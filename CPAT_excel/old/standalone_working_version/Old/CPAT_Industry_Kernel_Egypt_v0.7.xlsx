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8B603C42-6030-4729-B957-529B18FE5F4F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07" i="2" l="1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E304" i="2" s="1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G729" i="2" s="1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F730" i="2" s="1"/>
  <c r="J664" i="2"/>
  <c r="G730" i="2" s="1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G731" i="2" s="1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G732" i="2" s="1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G735" i="2" s="1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G736" i="2" s="1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29" i="2"/>
  <c r="F731" i="2"/>
  <c r="F733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G332" i="2" s="1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V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AA129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G333" i="2" l="1"/>
  <c r="R129" i="2"/>
  <c r="G337" i="2"/>
  <c r="L308" i="2"/>
  <c r="G336" i="2"/>
  <c r="G331" i="2"/>
  <c r="G734" i="2"/>
  <c r="J734" i="2" s="1"/>
  <c r="R308" i="2"/>
  <c r="R1457" i="8" s="1"/>
  <c r="T587" i="2"/>
  <c r="S308" i="2"/>
  <c r="G335" i="2"/>
  <c r="J335" i="2" s="1"/>
  <c r="T308" i="2"/>
  <c r="M530" i="2"/>
  <c r="G330" i="2"/>
  <c r="O341" i="2" s="1"/>
  <c r="G733" i="2"/>
  <c r="J733" i="2" s="1"/>
  <c r="U308" i="2"/>
  <c r="AA468" i="2"/>
  <c r="X308" i="2"/>
  <c r="X1457" i="8" s="1"/>
  <c r="G334" i="2"/>
  <c r="J334" i="2" s="1"/>
  <c r="E299" i="2"/>
  <c r="F1459" i="8"/>
  <c r="F1460" i="8"/>
  <c r="T1457" i="8"/>
  <c r="AC1457" i="8"/>
  <c r="P308" i="2"/>
  <c r="AD308" i="2"/>
  <c r="Q308" i="2"/>
  <c r="AE308" i="2"/>
  <c r="V308" i="2"/>
  <c r="U1457" i="8"/>
  <c r="W308" i="2"/>
  <c r="Y308" i="2"/>
  <c r="Z308" i="2"/>
  <c r="M308" i="2"/>
  <c r="AA308" i="2"/>
  <c r="L1457" i="8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E702" i="2" s="1"/>
  <c r="I733" i="2" s="1"/>
  <c r="Z251" i="2"/>
  <c r="N27" i="10"/>
  <c r="I672" i="2" s="1"/>
  <c r="AA251" i="2"/>
  <c r="O27" i="10"/>
  <c r="J672" i="2" s="1"/>
  <c r="E716" i="2" s="1"/>
  <c r="J736" i="2" s="1"/>
  <c r="Q269" i="2"/>
  <c r="F337" i="2"/>
  <c r="O337" i="2" s="1"/>
  <c r="AA247" i="2"/>
  <c r="AA588" i="8" s="1"/>
  <c r="AA589" i="8" s="1"/>
  <c r="E312" i="2"/>
  <c r="J332" i="2" s="1"/>
  <c r="E317" i="2"/>
  <c r="J337" i="2" s="1"/>
  <c r="E314" i="2"/>
  <c r="E311" i="2"/>
  <c r="J331" i="2" s="1"/>
  <c r="F1447" i="8"/>
  <c r="E316" i="2"/>
  <c r="J336" i="2" s="1"/>
  <c r="E313" i="2"/>
  <c r="J333" i="2" s="1"/>
  <c r="E310" i="2"/>
  <c r="E711" i="2"/>
  <c r="J731" i="2" s="1"/>
  <c r="E315" i="2"/>
  <c r="E302" i="2"/>
  <c r="E305" i="2"/>
  <c r="N259" i="2"/>
  <c r="E300" i="2"/>
  <c r="E303" i="2"/>
  <c r="E306" i="2"/>
  <c r="E301" i="2"/>
  <c r="AA618" i="2"/>
  <c r="F335" i="2"/>
  <c r="O335" i="2" s="1"/>
  <c r="O747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U82" i="2" s="1"/>
  <c r="U351" i="8" s="1"/>
  <c r="U352" i="8" s="1"/>
  <c r="Z188" i="2"/>
  <c r="Y497" i="2"/>
  <c r="N616" i="8"/>
  <c r="N617" i="8" s="1"/>
  <c r="T97" i="2"/>
  <c r="T79" i="2" s="1"/>
  <c r="S15" i="2"/>
  <c r="W97" i="2"/>
  <c r="O277" i="2"/>
  <c r="P277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N746" i="2"/>
  <c r="F700" i="2"/>
  <c r="F698" i="2"/>
  <c r="F699" i="2"/>
  <c r="N346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M342" i="2"/>
  <c r="F704" i="2"/>
  <c r="F702" i="2"/>
  <c r="F703" i="2"/>
  <c r="AB36" i="9"/>
  <c r="AB270" i="2" s="1"/>
  <c r="AA36" i="9"/>
  <c r="AA270" i="2" s="1"/>
  <c r="O342" i="2"/>
  <c r="O796" i="8" s="1"/>
  <c r="O797" i="8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Z306" i="2" s="1"/>
  <c r="Z688" i="8" s="1"/>
  <c r="Z689" i="8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Q351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O992" i="8" s="1"/>
  <c r="O993" i="8" s="1"/>
  <c r="N645" i="2"/>
  <c r="N697" i="2" s="1"/>
  <c r="N750" i="2" s="1"/>
  <c r="Q39" i="2"/>
  <c r="L557" i="2"/>
  <c r="AA329" i="2"/>
  <c r="G300" i="2"/>
  <c r="M645" i="2"/>
  <c r="M697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M735" i="2" s="1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AA669" i="2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09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L342" i="2"/>
  <c r="I256" i="2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M750" i="2"/>
  <c r="M708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624" i="8"/>
  <c r="O625" i="8" s="1"/>
  <c r="AA319" i="2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M345" i="2"/>
  <c r="O604" i="8"/>
  <c r="O605" i="8" s="1"/>
  <c r="O343" i="2"/>
  <c r="P278" i="2"/>
  <c r="Y266" i="2"/>
  <c r="AE351" i="2"/>
  <c r="Z645" i="2"/>
  <c r="Z697" i="2" s="1"/>
  <c r="Z728" i="2"/>
  <c r="H729" i="2"/>
  <c r="T471" i="2"/>
  <c r="AD471" i="2"/>
  <c r="AB471" i="2"/>
  <c r="V41" i="2"/>
  <c r="X526" i="2"/>
  <c r="R8" i="2"/>
  <c r="V8" i="2"/>
  <c r="Q15" i="2"/>
  <c r="P129" i="2"/>
  <c r="P139" i="2" s="1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N747" i="2"/>
  <c r="O1012" i="8"/>
  <c r="O1013" i="8" s="1"/>
  <c r="O745" i="2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P747" i="2"/>
  <c r="Q682" i="2"/>
  <c r="N351" i="2"/>
  <c r="N309" i="2"/>
  <c r="AD329" i="2"/>
  <c r="X362" i="2"/>
  <c r="X391" i="2" s="1"/>
  <c r="X319" i="2"/>
  <c r="L730" i="2"/>
  <c r="M351" i="2"/>
  <c r="M309" i="2"/>
  <c r="N335" i="2"/>
  <c r="W362" i="2"/>
  <c r="W391" i="2" s="1"/>
  <c r="W319" i="2"/>
  <c r="X645" i="2"/>
  <c r="X697" i="2" s="1"/>
  <c r="X728" i="2"/>
  <c r="N741" i="2"/>
  <c r="H730" i="2"/>
  <c r="Q586" i="2"/>
  <c r="AA586" i="2"/>
  <c r="X586" i="2"/>
  <c r="U586" i="2"/>
  <c r="L309" i="2"/>
  <c r="L351" i="2"/>
  <c r="P600" i="8"/>
  <c r="P601" i="8" s="1"/>
  <c r="P342" i="2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O348" i="2"/>
  <c r="T761" i="2"/>
  <c r="T790" i="2" s="1"/>
  <c r="T718" i="2"/>
  <c r="M992" i="8"/>
  <c r="M993" i="8" s="1"/>
  <c r="M729" i="2"/>
  <c r="M740" i="2"/>
  <c r="L668" i="2"/>
  <c r="F734" i="2"/>
  <c r="O744" i="2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M741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L217" i="2"/>
  <c r="Z217" i="2"/>
  <c r="K217" i="2"/>
  <c r="W217" i="2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B157" i="2"/>
  <c r="AB138" i="2" s="1"/>
  <c r="X157" i="2"/>
  <c r="Q157" i="2"/>
  <c r="P157" i="2"/>
  <c r="P142" i="2" s="1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T18" i="2" s="1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M78" i="2" s="1"/>
  <c r="M335" i="8" s="1"/>
  <c r="M336" i="8" s="1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W8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P85" i="2"/>
  <c r="P363" i="8" s="1"/>
  <c r="P364" i="8" s="1"/>
  <c r="Z129" i="2"/>
  <c r="K19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M83" i="2" s="1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K17" i="2" s="1"/>
  <c r="K27" i="2" s="1"/>
  <c r="V7" i="2"/>
  <c r="T7" i="2"/>
  <c r="R7" i="2"/>
  <c r="Z14" i="2"/>
  <c r="T70" i="2"/>
  <c r="S70" i="2"/>
  <c r="AB70" i="2"/>
  <c r="N70" i="2"/>
  <c r="Z70" i="2"/>
  <c r="L70" i="2"/>
  <c r="O70" i="2"/>
  <c r="M70" i="2"/>
  <c r="M80" i="2" s="1"/>
  <c r="X70" i="2"/>
  <c r="X80" i="2" s="1"/>
  <c r="X90" i="2" s="1"/>
  <c r="W70" i="2"/>
  <c r="W80" i="2" s="1"/>
  <c r="W90" i="2" s="1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M84" i="2" s="1"/>
  <c r="AB74" i="2"/>
  <c r="AB84" i="2" s="1"/>
  <c r="L74" i="2"/>
  <c r="W74" i="2"/>
  <c r="S74" i="2"/>
  <c r="K74" i="2"/>
  <c r="X74" i="2"/>
  <c r="U74" i="2"/>
  <c r="R74" i="2"/>
  <c r="R84" i="2" s="1"/>
  <c r="O74" i="2"/>
  <c r="N74" i="2"/>
  <c r="Y10" i="2"/>
  <c r="K10" i="2"/>
  <c r="K20" i="2" s="1"/>
  <c r="K30" i="2" s="1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V19" i="2" s="1"/>
  <c r="T9" i="2"/>
  <c r="V67" i="2"/>
  <c r="U67" i="2"/>
  <c r="AD67" i="2"/>
  <c r="P67" i="2"/>
  <c r="P77" i="2" s="1"/>
  <c r="AB67" i="2"/>
  <c r="N67" i="2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P144" i="2" s="1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AD24" i="2" s="1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N85" i="2" s="1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AA205" i="2" s="1"/>
  <c r="M195" i="2"/>
  <c r="Y195" i="2"/>
  <c r="Y205" i="2" s="1"/>
  <c r="K195" i="2"/>
  <c r="V195" i="2"/>
  <c r="T195" i="2"/>
  <c r="AC195" i="2"/>
  <c r="X195" i="2"/>
  <c r="W195" i="2"/>
  <c r="U195" i="2"/>
  <c r="P195" i="2"/>
  <c r="P205" i="2" s="1"/>
  <c r="W71" i="2"/>
  <c r="O72" i="2"/>
  <c r="AD72" i="2"/>
  <c r="S97" i="2"/>
  <c r="S81" i="2" s="1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AA85" i="2" s="1"/>
  <c r="K99" i="2"/>
  <c r="AB99" i="2"/>
  <c r="W128" i="2"/>
  <c r="AD139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AE201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Z199" i="2" s="1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P204" i="2" s="1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E705" i="2" l="1"/>
  <c r="I736" i="2" s="1"/>
  <c r="W81" i="2"/>
  <c r="W91" i="2" s="1"/>
  <c r="M200" i="2"/>
  <c r="AD19" i="2"/>
  <c r="M996" i="8"/>
  <c r="M997" i="8" s="1"/>
  <c r="U85" i="2"/>
  <c r="N345" i="2"/>
  <c r="AC23" i="2"/>
  <c r="AC79" i="2"/>
  <c r="AC19" i="2"/>
  <c r="AC24" i="2"/>
  <c r="X204" i="2"/>
  <c r="N337" i="2"/>
  <c r="N784" i="8" s="1"/>
  <c r="N785" i="8" s="1"/>
  <c r="O84" i="2"/>
  <c r="AE199" i="2"/>
  <c r="P141" i="2"/>
  <c r="U319" i="2"/>
  <c r="Q335" i="2"/>
  <c r="Q776" i="8" s="1"/>
  <c r="Q777" i="8" s="1"/>
  <c r="AE708" i="2"/>
  <c r="AE761" i="2" s="1"/>
  <c r="AE790" i="2" s="1"/>
  <c r="E698" i="2"/>
  <c r="AE200" i="2"/>
  <c r="AB669" i="2"/>
  <c r="Q346" i="2"/>
  <c r="AE203" i="2"/>
  <c r="L205" i="2"/>
  <c r="N82" i="2"/>
  <c r="O346" i="2"/>
  <c r="O812" i="8" s="1"/>
  <c r="O813" i="8" s="1"/>
  <c r="M346" i="2"/>
  <c r="E699" i="2"/>
  <c r="I730" i="2" s="1"/>
  <c r="AE197" i="2"/>
  <c r="E712" i="2"/>
  <c r="J732" i="2" s="1"/>
  <c r="AE198" i="2"/>
  <c r="M93" i="2"/>
  <c r="L197" i="2"/>
  <c r="Y718" i="2"/>
  <c r="H335" i="2"/>
  <c r="E715" i="2"/>
  <c r="J735" i="2" s="1"/>
  <c r="L198" i="2"/>
  <c r="L407" i="8" s="1"/>
  <c r="L408" i="8" s="1"/>
  <c r="E713" i="2"/>
  <c r="P197" i="2"/>
  <c r="M205" i="2"/>
  <c r="P140" i="2"/>
  <c r="V80" i="2"/>
  <c r="V17" i="2"/>
  <c r="V27" i="2" s="1"/>
  <c r="V20" i="2"/>
  <c r="P18" i="2"/>
  <c r="W203" i="2"/>
  <c r="W427" i="8" s="1"/>
  <c r="W428" i="8" s="1"/>
  <c r="V25" i="2"/>
  <c r="S18" i="2"/>
  <c r="R664" i="2"/>
  <c r="P137" i="2"/>
  <c r="AC78" i="2"/>
  <c r="V24" i="2"/>
  <c r="U83" i="2"/>
  <c r="N745" i="2"/>
  <c r="L741" i="2"/>
  <c r="P335" i="2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C1458" i="8"/>
  <c r="AB1457" i="8"/>
  <c r="N1457" i="8"/>
  <c r="Z202" i="2"/>
  <c r="X91" i="2"/>
  <c r="AC25" i="2"/>
  <c r="Z203" i="2"/>
  <c r="K23" i="2"/>
  <c r="K319" i="8" s="1"/>
  <c r="Z200" i="2"/>
  <c r="Z204" i="2"/>
  <c r="Z431" i="8" s="1"/>
  <c r="Z432" i="8" s="1"/>
  <c r="I332" i="2"/>
  <c r="R267" i="2"/>
  <c r="R666" i="2"/>
  <c r="K203" i="2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I729" i="2"/>
  <c r="M796" i="8"/>
  <c r="M797" i="8" s="1"/>
  <c r="N139" i="2"/>
  <c r="N375" i="8" s="1"/>
  <c r="N376" i="8" s="1"/>
  <c r="N1212" i="8"/>
  <c r="N1213" i="8" s="1"/>
  <c r="O259" i="2"/>
  <c r="O258" i="2"/>
  <c r="M199" i="2"/>
  <c r="M202" i="2"/>
  <c r="O21" i="2"/>
  <c r="O311" i="8" s="1"/>
  <c r="O312" i="8" s="1"/>
  <c r="J330" i="2"/>
  <c r="F1446" i="8"/>
  <c r="M198" i="2"/>
  <c r="M258" i="2"/>
  <c r="M259" i="2"/>
  <c r="O357" i="2"/>
  <c r="L199" i="2"/>
  <c r="AE81" i="2"/>
  <c r="K25" i="2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M335" i="2"/>
  <c r="R204" i="2"/>
  <c r="L203" i="2"/>
  <c r="L427" i="8" s="1"/>
  <c r="L428" i="8" s="1"/>
  <c r="O82" i="2"/>
  <c r="O92" i="2" s="1"/>
  <c r="AB205" i="2"/>
  <c r="K18" i="2"/>
  <c r="AB22" i="2"/>
  <c r="AB199" i="2"/>
  <c r="AB411" i="8" s="1"/>
  <c r="AB412" i="8" s="1"/>
  <c r="W82" i="2"/>
  <c r="W83" i="2"/>
  <c r="W355" i="8" s="1"/>
  <c r="W356" i="8" s="1"/>
  <c r="Q138" i="2"/>
  <c r="Q371" i="8" s="1"/>
  <c r="Q372" i="8" s="1"/>
  <c r="AD78" i="2"/>
  <c r="K201" i="2"/>
  <c r="K211" i="2" s="1"/>
  <c r="R197" i="2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L212" i="2" s="1"/>
  <c r="AC84" i="2"/>
  <c r="N79" i="2"/>
  <c r="X139" i="2"/>
  <c r="X375" i="8" s="1"/>
  <c r="X376" i="8" s="1"/>
  <c r="O359" i="2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P357" i="2"/>
  <c r="N77" i="2"/>
  <c r="N87" i="2" s="1"/>
  <c r="N357" i="2"/>
  <c r="O792" i="8"/>
  <c r="O793" i="8" s="1"/>
  <c r="K424" i="2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O330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V29" i="2"/>
  <c r="L84" i="2"/>
  <c r="L94" i="2" s="1"/>
  <c r="L17" i="2"/>
  <c r="L27" i="2" s="1"/>
  <c r="Y79" i="2"/>
  <c r="Y89" i="2" s="1"/>
  <c r="AE204" i="2"/>
  <c r="AE214" i="2" s="1"/>
  <c r="U78" i="2"/>
  <c r="V30" i="2"/>
  <c r="T78" i="2"/>
  <c r="T335" i="8" s="1"/>
  <c r="T336" i="8" s="1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U95" i="2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A215" i="2"/>
  <c r="K3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W42" i="10"/>
  <c r="X42" i="10"/>
  <c r="K42" i="10"/>
  <c r="Y42" i="10"/>
  <c r="L42" i="10"/>
  <c r="Z42" i="10"/>
  <c r="M42" i="10"/>
  <c r="AA42" i="10"/>
  <c r="N42" i="10"/>
  <c r="N126" i="5" s="1"/>
  <c r="AB42" i="10"/>
  <c r="AB126" i="5" s="1"/>
  <c r="O42" i="10"/>
  <c r="O126" i="5" s="1"/>
  <c r="AC42" i="10"/>
  <c r="AC126" i="5" s="1"/>
  <c r="Q42" i="10"/>
  <c r="AE42" i="10"/>
  <c r="AE126" i="5" s="1"/>
  <c r="AG42" i="10"/>
  <c r="R42" i="10"/>
  <c r="P42" i="10"/>
  <c r="S42" i="10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R80" i="2"/>
  <c r="R90" i="2" s="1"/>
  <c r="U84" i="2"/>
  <c r="U359" i="8" s="1"/>
  <c r="U360" i="8" s="1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O81" i="2"/>
  <c r="O347" i="8" s="1"/>
  <c r="O348" i="8" s="1"/>
  <c r="X82" i="2"/>
  <c r="X92" i="2" s="1"/>
  <c r="O23" i="2"/>
  <c r="O33" i="2" s="1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C43" i="10"/>
  <c r="AC127" i="5" s="1"/>
  <c r="AD43" i="10"/>
  <c r="O43" i="10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W95" i="2"/>
  <c r="Y95" i="2"/>
  <c r="T45" i="10"/>
  <c r="T135" i="5" s="1"/>
  <c r="Y45" i="10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S32" i="2" s="1"/>
  <c r="Z17" i="2"/>
  <c r="Z27" i="2" s="1"/>
  <c r="X83" i="2"/>
  <c r="X93" i="2" s="1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Q138" i="5"/>
  <c r="X126" i="5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AA138" i="5"/>
  <c r="M126" i="5"/>
  <c r="AA126" i="5"/>
  <c r="AC139" i="5"/>
  <c r="AC648" i="2" s="1"/>
  <c r="R139" i="5"/>
  <c r="R648" i="2" s="1"/>
  <c r="E21" i="9"/>
  <c r="X139" i="5"/>
  <c r="X648" i="2" s="1"/>
  <c r="V126" i="5"/>
  <c r="R126" i="5"/>
  <c r="W139" i="5"/>
  <c r="W648" i="2" s="1"/>
  <c r="Y135" i="5"/>
  <c r="V139" i="5"/>
  <c r="V648" i="2" s="1"/>
  <c r="O127" i="5"/>
  <c r="M138" i="5"/>
  <c r="U139" i="5"/>
  <c r="U648" i="2" s="1"/>
  <c r="AD127" i="5"/>
  <c r="S126" i="5"/>
  <c r="P139" i="5"/>
  <c r="P648" i="2" s="1"/>
  <c r="AB127" i="5"/>
  <c r="Q126" i="5"/>
  <c r="O139" i="5"/>
  <c r="O648" i="2" s="1"/>
  <c r="O755" i="2" s="1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Q46" i="10"/>
  <c r="Q47" i="10" s="1"/>
  <c r="Q137" i="5" s="1"/>
  <c r="Q650" i="2" s="1"/>
  <c r="AE46" i="10"/>
  <c r="T46" i="10"/>
  <c r="AI46" i="10"/>
  <c r="AI47" i="10" s="1"/>
  <c r="U46" i="10"/>
  <c r="V46" i="10"/>
  <c r="V47" i="10" s="1"/>
  <c r="V137" i="5" s="1"/>
  <c r="V650" i="2" s="1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P740" i="2" s="1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O729" i="2"/>
  <c r="O1152" i="8" s="1"/>
  <c r="O1153" i="8" s="1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L21" i="2"/>
  <c r="L311" i="8" s="1"/>
  <c r="L312" i="8" s="1"/>
  <c r="O740" i="2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N150" i="2"/>
  <c r="R94" i="2"/>
  <c r="W363" i="8"/>
  <c r="W364" i="8" s="1"/>
  <c r="M17" i="2"/>
  <c r="M27" i="2" s="1"/>
  <c r="M343" i="2"/>
  <c r="S200" i="2"/>
  <c r="S415" i="8" s="1"/>
  <c r="S416" i="8" s="1"/>
  <c r="AE145" i="2"/>
  <c r="AE399" i="8" s="1"/>
  <c r="AE400" i="8" s="1"/>
  <c r="M91" i="2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M812" i="8"/>
  <c r="M813" i="8" s="1"/>
  <c r="W24" i="2"/>
  <c r="W34" i="2" s="1"/>
  <c r="X311" i="8"/>
  <c r="X312" i="8" s="1"/>
  <c r="AD415" i="8"/>
  <c r="AD416" i="8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D299" i="8"/>
  <c r="AD300" i="8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O1208" i="8"/>
  <c r="O1209" i="8" s="1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N304" i="2"/>
  <c r="N680" i="8" s="1"/>
  <c r="N681" i="8" s="1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N761" i="2"/>
  <c r="N790" i="2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O764" i="8"/>
  <c r="O765" i="8" s="1"/>
  <c r="M336" i="2"/>
  <c r="O1168" i="8"/>
  <c r="O1169" i="8" s="1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X304" i="2"/>
  <c r="X680" i="8" s="1"/>
  <c r="X681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S300" i="2"/>
  <c r="S664" i="8" s="1"/>
  <c r="S665" i="8" s="1"/>
  <c r="Z300" i="2"/>
  <c r="Z664" i="8" s="1"/>
  <c r="Z665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O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M1012" i="8"/>
  <c r="M1013" i="8" s="1"/>
  <c r="M745" i="2"/>
  <c r="L680" i="2"/>
  <c r="M734" i="2"/>
  <c r="L796" i="8"/>
  <c r="L797" i="8" s="1"/>
  <c r="Q663" i="2"/>
  <c r="R663" i="2"/>
  <c r="U197" i="2"/>
  <c r="AD199" i="2"/>
  <c r="AD209" i="2" s="1"/>
  <c r="AD155" i="2"/>
  <c r="W205" i="2"/>
  <c r="W215" i="2" s="1"/>
  <c r="X200" i="2"/>
  <c r="X415" i="8" s="1"/>
  <c r="X416" i="8" s="1"/>
  <c r="K143" i="2"/>
  <c r="T88" i="2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0" i="2"/>
  <c r="W664" i="8" s="1"/>
  <c r="W665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AE29" i="2" s="1"/>
  <c r="X199" i="2"/>
  <c r="X209" i="2" s="1"/>
  <c r="T198" i="2"/>
  <c r="T208" i="2" s="1"/>
  <c r="Q153" i="2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92" i="8"/>
  <c r="L1193" i="8" s="1"/>
  <c r="Q304" i="2"/>
  <c r="Q680" i="8" s="1"/>
  <c r="Q681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AA271" i="2"/>
  <c r="H732" i="2"/>
  <c r="L1156" i="8"/>
  <c r="L1157" i="8" s="1"/>
  <c r="Q1020" i="8"/>
  <c r="Q1021" i="8" s="1"/>
  <c r="Q736" i="2"/>
  <c r="Q747" i="2"/>
  <c r="R682" i="2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S301" i="2"/>
  <c r="S668" i="8" s="1"/>
  <c r="S66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808" i="8"/>
  <c r="M809" i="8" s="1"/>
  <c r="M332" i="2"/>
  <c r="N332" i="2"/>
  <c r="L332" i="2"/>
  <c r="AA761" i="2"/>
  <c r="AA790" i="2" s="1"/>
  <c r="AA718" i="2"/>
  <c r="N336" i="2"/>
  <c r="Q266" i="2"/>
  <c r="R266" i="2"/>
  <c r="L304" i="2"/>
  <c r="L680" i="8" s="1"/>
  <c r="L681" i="8" s="1"/>
  <c r="Z304" i="2"/>
  <c r="Z680" i="8" s="1"/>
  <c r="Z681" i="8" s="1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Y403" i="8"/>
  <c r="Y404" i="8" s="1"/>
  <c r="M88" i="2"/>
  <c r="O22" i="2"/>
  <c r="O315" i="8" s="1"/>
  <c r="O316" i="8" s="1"/>
  <c r="AD91" i="2"/>
  <c r="Q265" i="2"/>
  <c r="R265" i="2"/>
  <c r="M1192" i="8"/>
  <c r="M1193" i="8" s="1"/>
  <c r="H733" i="2"/>
  <c r="P1180" i="8"/>
  <c r="P1181" i="8" s="1"/>
  <c r="U304" i="2"/>
  <c r="U680" i="8" s="1"/>
  <c r="U681" i="8" s="1"/>
  <c r="P812" i="8"/>
  <c r="P813" i="8" s="1"/>
  <c r="AB299" i="2"/>
  <c r="AB660" i="8" s="1"/>
  <c r="AB661" i="8" s="1"/>
  <c r="O784" i="8"/>
  <c r="O785" i="8" s="1"/>
  <c r="O376" i="2"/>
  <c r="O908" i="8" s="1"/>
  <c r="O909" i="8" s="1"/>
  <c r="O856" i="8"/>
  <c r="O857" i="8" s="1"/>
  <c r="AC718" i="2"/>
  <c r="AC761" i="2"/>
  <c r="AC790" i="2" s="1"/>
  <c r="Q665" i="2"/>
  <c r="R665" i="2"/>
  <c r="Q812" i="8"/>
  <c r="Q813" i="8" s="1"/>
  <c r="AB89" i="2"/>
  <c r="AB339" i="8"/>
  <c r="AB340" i="8" s="1"/>
  <c r="X355" i="8"/>
  <c r="X356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S147" i="2"/>
  <c r="S367" i="8"/>
  <c r="S368" i="8" s="1"/>
  <c r="L95" i="2"/>
  <c r="L363" i="8"/>
  <c r="L364" i="8" s="1"/>
  <c r="L145" i="2"/>
  <c r="L399" i="8" s="1"/>
  <c r="L400" i="8" s="1"/>
  <c r="N147" i="2"/>
  <c r="N367" i="8"/>
  <c r="N368" i="8" s="1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K307" i="8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K84" i="2"/>
  <c r="K94" i="2" s="1"/>
  <c r="K542" i="2"/>
  <c r="K552" i="2" s="1"/>
  <c r="AB210" i="2"/>
  <c r="R140" i="2"/>
  <c r="R150" i="2" s="1"/>
  <c r="M212" i="2"/>
  <c r="M423" i="8"/>
  <c r="M424" i="8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X351" i="8"/>
  <c r="X352" i="8" s="1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P299" i="8"/>
  <c r="P300" i="8" s="1"/>
  <c r="N207" i="2"/>
  <c r="V92" i="2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V138" i="2"/>
  <c r="V148" i="2" s="1"/>
  <c r="S82" i="2"/>
  <c r="S351" i="8" s="1"/>
  <c r="S352" i="8" s="1"/>
  <c r="Q152" i="2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Y339" i="8"/>
  <c r="Y340" i="8" s="1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R207" i="2"/>
  <c r="M215" i="2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K295" i="8"/>
  <c r="T347" i="8"/>
  <c r="T348" i="8" s="1"/>
  <c r="W93" i="2"/>
  <c r="P138" i="2"/>
  <c r="S197" i="2"/>
  <c r="S403" i="8" s="1"/>
  <c r="S404" i="8" s="1"/>
  <c r="S205" i="2"/>
  <c r="S435" i="8" s="1"/>
  <c r="S436" i="8" s="1"/>
  <c r="X198" i="2"/>
  <c r="U92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Q214" i="2"/>
  <c r="P88" i="2"/>
  <c r="P335" i="8"/>
  <c r="P336" i="8" s="1"/>
  <c r="W214" i="2"/>
  <c r="W431" i="8"/>
  <c r="W432" i="8" s="1"/>
  <c r="K213" i="2"/>
  <c r="K427" i="8"/>
  <c r="K490" i="2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Q94" i="2"/>
  <c r="AE210" i="2"/>
  <c r="AE415" i="8"/>
  <c r="AE416" i="8" s="1"/>
  <c r="S155" i="2"/>
  <c r="S399" i="8"/>
  <c r="S400" i="8" s="1"/>
  <c r="AA207" i="2"/>
  <c r="AA403" i="8"/>
  <c r="AA404" i="8" s="1"/>
  <c r="N379" i="8"/>
  <c r="N380" i="8" s="1"/>
  <c r="W138" i="2"/>
  <c r="AA141" i="2"/>
  <c r="AA139" i="2"/>
  <c r="AA144" i="2"/>
  <c r="AA138" i="2"/>
  <c r="L155" i="2"/>
  <c r="W137" i="2"/>
  <c r="AE35" i="2"/>
  <c r="AE327" i="8"/>
  <c r="AE328" i="8" s="1"/>
  <c r="M141" i="2"/>
  <c r="AC152" i="2"/>
  <c r="AC387" i="8"/>
  <c r="AC388" i="8" s="1"/>
  <c r="AC94" i="2"/>
  <c r="AC359" i="8"/>
  <c r="AC360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355" i="8"/>
  <c r="AB356" i="8" s="1"/>
  <c r="K208" i="2"/>
  <c r="K407" i="8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S91" i="2"/>
  <c r="S347" i="8"/>
  <c r="S348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W213" i="2"/>
  <c r="Z212" i="2"/>
  <c r="Z423" i="8"/>
  <c r="Z424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M32" i="2"/>
  <c r="M315" i="8"/>
  <c r="M316" i="8" s="1"/>
  <c r="U35" i="2"/>
  <c r="U28" i="2"/>
  <c r="U32" i="2"/>
  <c r="U33" i="2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E91" i="2"/>
  <c r="AE347" i="8"/>
  <c r="AE348" i="8" s="1"/>
  <c r="M142" i="2"/>
  <c r="M139" i="2"/>
  <c r="M145" i="2"/>
  <c r="K417" i="2"/>
  <c r="K416" i="2"/>
  <c r="K419" i="2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P214" i="2"/>
  <c r="P431" i="8"/>
  <c r="P432" i="8" s="1"/>
  <c r="M210" i="2"/>
  <c r="M415" i="8"/>
  <c r="M416" i="8" s="1"/>
  <c r="M143" i="2"/>
  <c r="AB95" i="2"/>
  <c r="AB363" i="8"/>
  <c r="AB364" i="8" s="1"/>
  <c r="AA32" i="2"/>
  <c r="AA315" i="8"/>
  <c r="AA316" i="8" s="1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K419" i="8"/>
  <c r="AA435" i="8"/>
  <c r="AA436" i="8" s="1"/>
  <c r="K543" i="2"/>
  <c r="U214" i="2"/>
  <c r="U431" i="8"/>
  <c r="U432" i="8" s="1"/>
  <c r="K488" i="2"/>
  <c r="W209" i="2"/>
  <c r="W411" i="8"/>
  <c r="W412" i="8" s="1"/>
  <c r="U435" i="8"/>
  <c r="U436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AD154" i="2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L387" i="8"/>
  <c r="L388" i="8" s="1"/>
  <c r="K544" i="2"/>
  <c r="U207" i="2"/>
  <c r="U403" i="8"/>
  <c r="U404" i="8" s="1"/>
  <c r="R411" i="8"/>
  <c r="R412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U94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V88" i="2"/>
  <c r="V335" i="8"/>
  <c r="V336" i="8" s="1"/>
  <c r="W92" i="2"/>
  <c r="W351" i="8"/>
  <c r="W352" i="8" s="1"/>
  <c r="M87" i="2"/>
  <c r="M114" i="2" s="1"/>
  <c r="M331" i="8"/>
  <c r="M332" i="8" s="1"/>
  <c r="V35" i="2"/>
  <c r="V327" i="8"/>
  <c r="V328" i="8" s="1"/>
  <c r="AD351" i="8"/>
  <c r="AD352" i="8" s="1"/>
  <c r="AB419" i="8"/>
  <c r="AB420" i="8" s="1"/>
  <c r="R403" i="8"/>
  <c r="R404" i="8" s="1"/>
  <c r="R19" i="2"/>
  <c r="K596" i="2"/>
  <c r="K418" i="2"/>
  <c r="L207" i="2"/>
  <c r="L403" i="8"/>
  <c r="L404" i="8" s="1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K435" i="8"/>
  <c r="Y142" i="2"/>
  <c r="Y140" i="2"/>
  <c r="N92" i="2"/>
  <c r="N351" i="8"/>
  <c r="N352" i="8" s="1"/>
  <c r="P149" i="2"/>
  <c r="P375" i="8"/>
  <c r="P376" i="8" s="1"/>
  <c r="L143" i="2"/>
  <c r="R155" i="2"/>
  <c r="R399" i="8"/>
  <c r="R400" i="8" s="1"/>
  <c r="T141" i="2"/>
  <c r="AE28" i="2"/>
  <c r="AE299" i="8"/>
  <c r="AE300" i="8" s="1"/>
  <c r="AC154" i="2"/>
  <c r="AD150" i="2"/>
  <c r="M35" i="2"/>
  <c r="M62" i="2" s="1"/>
  <c r="M327" i="8"/>
  <c r="M328" i="8" s="1"/>
  <c r="W94" i="2"/>
  <c r="W359" i="8"/>
  <c r="W360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AC153" i="2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V295" i="8"/>
  <c r="V296" i="8" s="1"/>
  <c r="AB415" i="8"/>
  <c r="AB416" i="8" s="1"/>
  <c r="M359" i="8"/>
  <c r="M360" i="8" s="1"/>
  <c r="X411" i="8"/>
  <c r="X412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147" i="2"/>
  <c r="P367" i="8"/>
  <c r="P368" i="8" s="1"/>
  <c r="AA82" i="2"/>
  <c r="AC399" i="8"/>
  <c r="AC400" i="8" s="1"/>
  <c r="Q29" i="2"/>
  <c r="W141" i="2"/>
  <c r="AC93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213" i="2"/>
  <c r="AB427" i="8"/>
  <c r="AB428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149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V303" i="8"/>
  <c r="V304" i="8" s="1"/>
  <c r="X367" i="8"/>
  <c r="X368" i="8" s="1"/>
  <c r="W331" i="8"/>
  <c r="W332" i="8" s="1"/>
  <c r="K415" i="8"/>
  <c r="O423" i="8"/>
  <c r="O424" i="8" s="1"/>
  <c r="T415" i="8"/>
  <c r="T416" i="8" s="1"/>
  <c r="Q80" i="2"/>
  <c r="R17" i="2"/>
  <c r="Z140" i="2"/>
  <c r="O31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P215" i="2"/>
  <c r="AA145" i="2"/>
  <c r="M138" i="2"/>
  <c r="O210" i="2"/>
  <c r="V143" i="2"/>
  <c r="Z138" i="2"/>
  <c r="M137" i="2"/>
  <c r="K78" i="2"/>
  <c r="P151" i="2"/>
  <c r="AA34" i="2"/>
  <c r="W144" i="2"/>
  <c r="U363" i="8"/>
  <c r="U364" i="8" s="1"/>
  <c r="AC371" i="8"/>
  <c r="AC372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R347" i="8"/>
  <c r="R348" i="8" s="1"/>
  <c r="P383" i="8"/>
  <c r="P384" i="8" s="1"/>
  <c r="S80" i="2"/>
  <c r="AA323" i="8"/>
  <c r="AA324" i="8" s="1"/>
  <c r="R359" i="8"/>
  <c r="R360" i="8" s="1"/>
  <c r="T407" i="8" l="1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Q357" i="2"/>
  <c r="Q848" i="8" s="1"/>
  <c r="Q849" i="8" s="1"/>
  <c r="M359" i="2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F1458" i="8"/>
  <c r="D1455" i="8" s="1"/>
  <c r="N335" i="8"/>
  <c r="N336" i="8" s="1"/>
  <c r="AB407" i="8"/>
  <c r="AB408" i="8" s="1"/>
  <c r="P258" i="2"/>
  <c r="V331" i="8"/>
  <c r="V332" i="8" s="1"/>
  <c r="N407" i="8"/>
  <c r="N408" i="8" s="1"/>
  <c r="L213" i="2"/>
  <c r="M240" i="2" s="1"/>
  <c r="N240" i="2" s="1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657" i="2"/>
  <c r="P658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M354" i="2"/>
  <c r="O752" i="2"/>
  <c r="O1228" i="8" s="1"/>
  <c r="O1229" i="8" s="1"/>
  <c r="O356" i="2"/>
  <c r="O757" i="2"/>
  <c r="M352" i="2"/>
  <c r="O753" i="2"/>
  <c r="Q353" i="2"/>
  <c r="Q832" i="8" s="1"/>
  <c r="Q833" i="8" s="1"/>
  <c r="Z95" i="2"/>
  <c r="M300" i="2"/>
  <c r="M664" i="8" s="1"/>
  <c r="M665" i="8" s="1"/>
  <c r="L359" i="2"/>
  <c r="L856" i="8" s="1"/>
  <c r="L857" i="8" s="1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P375" i="2" s="1"/>
  <c r="P904" i="8" s="1"/>
  <c r="P905" i="8" s="1"/>
  <c r="T331" i="8"/>
  <c r="T332" i="8" s="1"/>
  <c r="R355" i="8"/>
  <c r="R356" i="8" s="1"/>
  <c r="P755" i="2"/>
  <c r="M758" i="2"/>
  <c r="L300" i="2"/>
  <c r="L664" i="8" s="1"/>
  <c r="L665" i="8" s="1"/>
  <c r="P359" i="2"/>
  <c r="X327" i="8"/>
  <c r="X328" i="8" s="1"/>
  <c r="M756" i="2"/>
  <c r="N355" i="2"/>
  <c r="M355" i="2"/>
  <c r="L89" i="2"/>
  <c r="M116" i="2" s="1"/>
  <c r="AC300" i="2"/>
  <c r="AC664" i="8" s="1"/>
  <c r="AC665" i="8" s="1"/>
  <c r="M353" i="2"/>
  <c r="R357" i="2"/>
  <c r="AC383" i="8"/>
  <c r="AC384" i="8" s="1"/>
  <c r="L90" i="2"/>
  <c r="M117" i="2" s="1"/>
  <c r="N117" i="2" s="1"/>
  <c r="O354" i="2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Q758" i="2"/>
  <c r="Q1252" i="8" s="1"/>
  <c r="Q1253" i="8" s="1"/>
  <c r="S215" i="2"/>
  <c r="P304" i="2"/>
  <c r="P680" i="8" s="1"/>
  <c r="P681" i="8" s="1"/>
  <c r="O756" i="2"/>
  <c r="O1244" i="8" s="1"/>
  <c r="O1245" i="8" s="1"/>
  <c r="N353" i="2"/>
  <c r="AE371" i="8"/>
  <c r="AE372" i="8" s="1"/>
  <c r="AE303" i="8"/>
  <c r="AE304" i="8" s="1"/>
  <c r="V304" i="2"/>
  <c r="V680" i="8" s="1"/>
  <c r="V681" i="8" s="1"/>
  <c r="O754" i="2"/>
  <c r="M754" i="2"/>
  <c r="M1236" i="8" s="1"/>
  <c r="M1237" i="8" s="1"/>
  <c r="M376" i="2"/>
  <c r="M908" i="8" s="1"/>
  <c r="M909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N119" i="2" s="1"/>
  <c r="M34" i="2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N1176" i="8"/>
  <c r="N1177" i="8" s="1"/>
  <c r="N376" i="2"/>
  <c r="N908" i="8" s="1"/>
  <c r="N909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M211" i="2"/>
  <c r="M238" i="2" s="1"/>
  <c r="P356" i="2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V302" i="2"/>
  <c r="V672" i="8" s="1"/>
  <c r="V673" i="8" s="1"/>
  <c r="L210" i="2"/>
  <c r="M237" i="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P836" i="8" s="1"/>
  <c r="P837" i="8" s="1"/>
  <c r="M760" i="8"/>
  <c r="M761" i="8" s="1"/>
  <c r="O355" i="2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L353" i="2"/>
  <c r="L832" i="8" s="1"/>
  <c r="L833" i="8" s="1"/>
  <c r="M358" i="2"/>
  <c r="M755" i="2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M61" i="2"/>
  <c r="M35" i="8" s="1"/>
  <c r="M36" i="8" s="1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N1224" i="8" s="1"/>
  <c r="N1225" i="8" s="1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N54" i="2" s="1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L852" i="8"/>
  <c r="L853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O1248" i="8"/>
  <c r="O1249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L376" i="2"/>
  <c r="L908" i="8" s="1"/>
  <c r="L909" i="8" s="1"/>
  <c r="N772" i="8"/>
  <c r="N773" i="8" s="1"/>
  <c r="N844" i="8"/>
  <c r="N845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N840" i="8"/>
  <c r="N841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L836" i="8"/>
  <c r="L837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O117" i="2" l="1"/>
  <c r="M7" i="8"/>
  <c r="M8" i="8" s="1"/>
  <c r="M63" i="8"/>
  <c r="M64" i="8" s="1"/>
  <c r="M58" i="2"/>
  <c r="N58" i="2" s="1"/>
  <c r="Q258" i="2"/>
  <c r="AE701" i="2"/>
  <c r="AE1068" i="8" s="1"/>
  <c r="AE1069" i="8" s="1"/>
  <c r="AD701" i="2"/>
  <c r="AD1068" i="8" s="1"/>
  <c r="AD1069" i="8" s="1"/>
  <c r="N239" i="2"/>
  <c r="N116" i="2"/>
  <c r="M51" i="8"/>
  <c r="M52" i="8" s="1"/>
  <c r="M176" i="2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M135" i="8"/>
  <c r="M136" i="8" s="1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120" i="2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F665" i="8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N237" i="2"/>
  <c r="M127" i="8"/>
  <c r="M128" i="8" s="1"/>
  <c r="R353" i="2"/>
  <c r="P757" i="2"/>
  <c r="P1248" i="8" s="1"/>
  <c r="P1249" i="8" s="1"/>
  <c r="L355" i="2"/>
  <c r="L756" i="2"/>
  <c r="O852" i="8"/>
  <c r="O853" i="8" s="1"/>
  <c r="N1240" i="8"/>
  <c r="N1241" i="8" s="1"/>
  <c r="P753" i="2"/>
  <c r="P1232" i="8" s="1"/>
  <c r="P1233" i="8" s="1"/>
  <c r="P349" i="2"/>
  <c r="P824" i="8" s="1"/>
  <c r="P825" i="8" s="1"/>
  <c r="Q352" i="2"/>
  <c r="Q755" i="2"/>
  <c r="L352" i="2"/>
  <c r="Q359" i="2"/>
  <c r="L757" i="2"/>
  <c r="Q756" i="2"/>
  <c r="M75" i="8"/>
  <c r="M76" i="8" s="1"/>
  <c r="N61" i="2"/>
  <c r="O61" i="2" s="1"/>
  <c r="N59" i="2"/>
  <c r="S357" i="2"/>
  <c r="R758" i="2"/>
  <c r="AB701" i="2"/>
  <c r="AB1068" i="8" s="1"/>
  <c r="AB1069" i="8" s="1"/>
  <c r="N121" i="2"/>
  <c r="N71" i="8" s="1"/>
  <c r="N72" i="8" s="1"/>
  <c r="F436" i="8"/>
  <c r="P355" i="2"/>
  <c r="P751" i="2"/>
  <c r="P1224" i="8" s="1"/>
  <c r="P1225" i="8" s="1"/>
  <c r="L755" i="2"/>
  <c r="P1152" i="8"/>
  <c r="P1153" i="8" s="1"/>
  <c r="T701" i="2"/>
  <c r="T1068" i="8" s="1"/>
  <c r="T1069" i="8" s="1"/>
  <c r="Q354" i="2"/>
  <c r="N1228" i="8"/>
  <c r="N1229" i="8" s="1"/>
  <c r="F404" i="8"/>
  <c r="Q775" i="2"/>
  <c r="Q1304" i="8" s="1"/>
  <c r="Q1305" i="8" s="1"/>
  <c r="M1224" i="8"/>
  <c r="M1225" i="8" s="1"/>
  <c r="R675" i="2"/>
  <c r="M67" i="8"/>
  <c r="M68" i="8" s="1"/>
  <c r="L758" i="2"/>
  <c r="L1252" i="8" s="1"/>
  <c r="L1253" i="8" s="1"/>
  <c r="L753" i="2"/>
  <c r="P754" i="2"/>
  <c r="M55" i="8"/>
  <c r="M56" i="8" s="1"/>
  <c r="L754" i="2"/>
  <c r="N234" i="2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F420" i="8"/>
  <c r="P737" i="2"/>
  <c r="P1184" i="8" s="1"/>
  <c r="P1185" i="8" s="1"/>
  <c r="P752" i="2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M243" i="2"/>
  <c r="O360" i="2"/>
  <c r="R596" i="8"/>
  <c r="R597" i="8" s="1"/>
  <c r="R341" i="2"/>
  <c r="S276" i="2"/>
  <c r="R330" i="2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L375" i="2"/>
  <c r="L904" i="8" s="1"/>
  <c r="L905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R604" i="8"/>
  <c r="R605" i="8" s="1"/>
  <c r="S278" i="2"/>
  <c r="R332" i="2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R259" i="2" s="1"/>
  <c r="Q344" i="2"/>
  <c r="Q333" i="2"/>
  <c r="L374" i="2"/>
  <c r="M181" i="2"/>
  <c r="M107" i="8" s="1"/>
  <c r="M108" i="8" s="1"/>
  <c r="N241" i="2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O59" i="2"/>
  <c r="N27" i="8"/>
  <c r="N28" i="8" s="1"/>
  <c r="F392" i="8"/>
  <c r="M175" i="2"/>
  <c r="O242" i="2"/>
  <c r="N147" i="8"/>
  <c r="N148" i="8" s="1"/>
  <c r="O239" i="2"/>
  <c r="N135" i="8"/>
  <c r="N136" i="8" s="1"/>
  <c r="O234" i="2"/>
  <c r="N115" i="8"/>
  <c r="N116" i="8" s="1"/>
  <c r="F344" i="8"/>
  <c r="F372" i="8"/>
  <c r="O57" i="2"/>
  <c r="N19" i="8"/>
  <c r="N20" i="8" s="1"/>
  <c r="P117" i="2"/>
  <c r="O55" i="8"/>
  <c r="O56" i="8" s="1"/>
  <c r="M180" i="2"/>
  <c r="O238" i="2"/>
  <c r="N131" i="8"/>
  <c r="N132" i="8" s="1"/>
  <c r="O240" i="2"/>
  <c r="N139" i="8"/>
  <c r="N140" i="8" s="1"/>
  <c r="N179" i="2"/>
  <c r="M99" i="8"/>
  <c r="M100" i="8" s="1"/>
  <c r="N177" i="2"/>
  <c r="M91" i="8"/>
  <c r="M92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237" i="2"/>
  <c r="N127" i="8"/>
  <c r="N128" i="8" s="1"/>
  <c r="O122" i="2"/>
  <c r="N75" i="8"/>
  <c r="N76" i="8" s="1"/>
  <c r="O116" i="2"/>
  <c r="N51" i="8"/>
  <c r="N52" i="8" s="1"/>
  <c r="O121" i="2"/>
  <c r="O56" i="2"/>
  <c r="N15" i="8"/>
  <c r="N16" i="8" s="1"/>
  <c r="N174" i="2"/>
  <c r="M79" i="8"/>
  <c r="M80" i="8" s="1"/>
  <c r="F356" i="8"/>
  <c r="M636" i="2" l="1"/>
  <c r="N636" i="2" s="1"/>
  <c r="S769" i="2"/>
  <c r="S798" i="2" s="1"/>
  <c r="M458" i="2"/>
  <c r="N458" i="2" s="1"/>
  <c r="O458" i="2" s="1"/>
  <c r="P458" i="2" s="1"/>
  <c r="L781" i="2"/>
  <c r="L382" i="2"/>
  <c r="M634" i="2"/>
  <c r="M633" i="2"/>
  <c r="N633" i="2" s="1"/>
  <c r="O633" i="2" s="1"/>
  <c r="P633" i="2" s="1"/>
  <c r="N35" i="8"/>
  <c r="N36" i="8" s="1"/>
  <c r="R832" i="8"/>
  <c r="R833" i="8" s="1"/>
  <c r="N243" i="2"/>
  <c r="N31" i="8"/>
  <c r="N32" i="8" s="1"/>
  <c r="N123" i="8"/>
  <c r="N124" i="8" s="1"/>
  <c r="R658" i="2"/>
  <c r="R657" i="2"/>
  <c r="R258" i="2"/>
  <c r="N634" i="2"/>
  <c r="O634" i="2" s="1"/>
  <c r="M453" i="2"/>
  <c r="P1228" i="8"/>
  <c r="P1229" i="8" s="1"/>
  <c r="P382" i="2"/>
  <c r="O241" i="2"/>
  <c r="N143" i="8"/>
  <c r="N144" i="8" s="1"/>
  <c r="N59" i="8"/>
  <c r="N60" i="8" s="1"/>
  <c r="N123" i="2"/>
  <c r="P781" i="2"/>
  <c r="P1236" i="8"/>
  <c r="P1237" i="8" s="1"/>
  <c r="R751" i="2"/>
  <c r="Q757" i="2"/>
  <c r="R354" i="2"/>
  <c r="Q358" i="2"/>
  <c r="Q852" i="8" s="1"/>
  <c r="Q853" i="8" s="1"/>
  <c r="S353" i="2"/>
  <c r="M580" i="2"/>
  <c r="N580" i="2" s="1"/>
  <c r="L840" i="8"/>
  <c r="L841" i="8" s="1"/>
  <c r="R755" i="2"/>
  <c r="S758" i="2"/>
  <c r="R352" i="2"/>
  <c r="T357" i="2"/>
  <c r="N455" i="2"/>
  <c r="O455" i="2" s="1"/>
  <c r="Q753" i="2"/>
  <c r="Q1232" i="8" s="1"/>
  <c r="Q1233" i="8" s="1"/>
  <c r="R756" i="2"/>
  <c r="R1244" i="8" s="1"/>
  <c r="R1245" i="8" s="1"/>
  <c r="Q752" i="2"/>
  <c r="Q1228" i="8" s="1"/>
  <c r="Q1229" i="8" s="1"/>
  <c r="R359" i="2"/>
  <c r="R856" i="8" s="1"/>
  <c r="R857" i="8" s="1"/>
  <c r="Q356" i="2"/>
  <c r="Q355" i="2"/>
  <c r="Q382" i="2" s="1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N461" i="2" s="1"/>
  <c r="O461" i="2" s="1"/>
  <c r="P461" i="2" s="1"/>
  <c r="H656" i="2"/>
  <c r="F712" i="2" s="1"/>
  <c r="Q765" i="2" s="1"/>
  <c r="Q794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Q751" i="2"/>
  <c r="Q1152" i="8"/>
  <c r="Q1153" i="8" s="1"/>
  <c r="H255" i="2"/>
  <c r="F317" i="2" s="1"/>
  <c r="R370" i="2" s="1"/>
  <c r="R399" i="2" s="1"/>
  <c r="I255" i="2"/>
  <c r="G317" i="2" s="1"/>
  <c r="O379" i="2"/>
  <c r="I654" i="2"/>
  <c r="G716" i="2" s="1"/>
  <c r="H654" i="2"/>
  <c r="F716" i="2" s="1"/>
  <c r="M640" i="2"/>
  <c r="N640" i="2" s="1"/>
  <c r="F1413" i="8"/>
  <c r="I254" i="2"/>
  <c r="H254" i="2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H253" i="2"/>
  <c r="I253" i="2"/>
  <c r="N181" i="2"/>
  <c r="N107" i="8" s="1"/>
  <c r="N108" i="8" s="1"/>
  <c r="Q737" i="2"/>
  <c r="Q1184" i="8" s="1"/>
  <c r="Q1185" i="8" s="1"/>
  <c r="Q772" i="8"/>
  <c r="Q773" i="8" s="1"/>
  <c r="Q844" i="8"/>
  <c r="Q845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69" i="2" s="1"/>
  <c r="T736" i="2"/>
  <c r="S624" i="8"/>
  <c r="S625" i="8" s="1"/>
  <c r="T283" i="2"/>
  <c r="S348" i="2"/>
  <c r="S370" i="2" s="1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R1004" i="8"/>
  <c r="R1005" i="8" s="1"/>
  <c r="S678" i="2"/>
  <c r="R743" i="2"/>
  <c r="R765" i="2" s="1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R344" i="2"/>
  <c r="R366" i="2" s="1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S1252" i="8"/>
  <c r="S1253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R836" i="8"/>
  <c r="R837" i="8" s="1"/>
  <c r="N900" i="8"/>
  <c r="N901" i="8" s="1"/>
  <c r="N379" i="2"/>
  <c r="Q816" i="8"/>
  <c r="Q817" i="8" s="1"/>
  <c r="Q349" i="2"/>
  <c r="Q824" i="8" s="1"/>
  <c r="Q825" i="8" s="1"/>
  <c r="P773" i="2"/>
  <c r="O459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174" i="2"/>
  <c r="N79" i="8"/>
  <c r="N80" i="8" s="1"/>
  <c r="O123" i="2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O636" i="2"/>
  <c r="Q840" i="8" l="1"/>
  <c r="Q841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N366" i="2"/>
  <c r="N395" i="2" s="1"/>
  <c r="AB313" i="2"/>
  <c r="N313" i="2"/>
  <c r="V313" i="2"/>
  <c r="M313" i="2"/>
  <c r="AD313" i="2"/>
  <c r="Y313" i="2"/>
  <c r="AE313" i="2"/>
  <c r="M366" i="2"/>
  <c r="M395" i="2" s="1"/>
  <c r="M960" i="8" s="1"/>
  <c r="M961" i="8" s="1"/>
  <c r="O366" i="2"/>
  <c r="O395" i="2" s="1"/>
  <c r="L366" i="2"/>
  <c r="L395" i="2" s="1"/>
  <c r="L960" i="8" s="1"/>
  <c r="L961" i="8" s="1"/>
  <c r="P366" i="2"/>
  <c r="P395" i="2" s="1"/>
  <c r="Q366" i="2"/>
  <c r="Q395" i="2" s="1"/>
  <c r="S259" i="2"/>
  <c r="S1288" i="8"/>
  <c r="S1289" i="8" s="1"/>
  <c r="R716" i="2"/>
  <c r="T716" i="2"/>
  <c r="W716" i="2"/>
  <c r="AE716" i="2"/>
  <c r="S716" i="2"/>
  <c r="Q716" i="2"/>
  <c r="N769" i="2"/>
  <c r="N798" i="2" s="1"/>
  <c r="AD716" i="2"/>
  <c r="AC716" i="2"/>
  <c r="Z716" i="2"/>
  <c r="AA716" i="2"/>
  <c r="M769" i="2"/>
  <c r="M798" i="2" s="1"/>
  <c r="M716" i="2"/>
  <c r="V716" i="2"/>
  <c r="Y716" i="2"/>
  <c r="N716" i="2"/>
  <c r="O769" i="2"/>
  <c r="O798" i="2" s="1"/>
  <c r="P769" i="2"/>
  <c r="P798" i="2" s="1"/>
  <c r="X716" i="2"/>
  <c r="P716" i="2"/>
  <c r="U716" i="2"/>
  <c r="L716" i="2"/>
  <c r="O716" i="2"/>
  <c r="AB716" i="2"/>
  <c r="Q769" i="2"/>
  <c r="Q798" i="2" s="1"/>
  <c r="R769" i="2"/>
  <c r="R798" i="2" s="1"/>
  <c r="L769" i="2"/>
  <c r="L798" i="2" s="1"/>
  <c r="L1372" i="8" s="1"/>
  <c r="L1373" i="8" s="1"/>
  <c r="O259" i="8"/>
  <c r="O260" i="8" s="1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O370" i="2"/>
  <c r="O399" i="2" s="1"/>
  <c r="V317" i="2"/>
  <c r="O317" i="2"/>
  <c r="AD317" i="2"/>
  <c r="M370" i="2"/>
  <c r="M399" i="2" s="1"/>
  <c r="P370" i="2"/>
  <c r="P399" i="2" s="1"/>
  <c r="L370" i="2"/>
  <c r="L399" i="2" s="1"/>
  <c r="N370" i="2"/>
  <c r="N399" i="2" s="1"/>
  <c r="N976" i="8" s="1"/>
  <c r="N977" i="8" s="1"/>
  <c r="Q370" i="2"/>
  <c r="Q399" i="2" s="1"/>
  <c r="T712" i="2"/>
  <c r="AE712" i="2"/>
  <c r="W712" i="2"/>
  <c r="S712" i="2"/>
  <c r="Q712" i="2"/>
  <c r="AB712" i="2"/>
  <c r="R712" i="2"/>
  <c r="Z712" i="2"/>
  <c r="AA712" i="2"/>
  <c r="M712" i="2"/>
  <c r="Y712" i="2"/>
  <c r="P712" i="2"/>
  <c r="L712" i="2"/>
  <c r="V712" i="2"/>
  <c r="X712" i="2"/>
  <c r="O712" i="2"/>
  <c r="N765" i="2"/>
  <c r="N794" i="2" s="1"/>
  <c r="U712" i="2"/>
  <c r="AD712" i="2"/>
  <c r="N712" i="2"/>
  <c r="AC712" i="2"/>
  <c r="O765" i="2"/>
  <c r="O794" i="2" s="1"/>
  <c r="M765" i="2"/>
  <c r="M794" i="2" s="1"/>
  <c r="P765" i="2"/>
  <c r="P794" i="2" s="1"/>
  <c r="P1356" i="8" s="1"/>
  <c r="P1357" i="8" s="1"/>
  <c r="L765" i="2"/>
  <c r="L794" i="2" s="1"/>
  <c r="S658" i="2"/>
  <c r="S1372" i="8"/>
  <c r="S1373" i="8" s="1"/>
  <c r="S657" i="2"/>
  <c r="O960" i="8"/>
  <c r="O961" i="8" s="1"/>
  <c r="S258" i="2"/>
  <c r="R892" i="8"/>
  <c r="R893" i="8" s="1"/>
  <c r="Q1224" i="8"/>
  <c r="Q1225" i="8" s="1"/>
  <c r="Q781" i="2"/>
  <c r="O181" i="2"/>
  <c r="P181" i="2" s="1"/>
  <c r="D1381" i="8"/>
  <c r="Q876" i="8"/>
  <c r="Q877" i="8" s="1"/>
  <c r="Q1272" i="8"/>
  <c r="Q1273" i="8" s="1"/>
  <c r="Q1356" i="8"/>
  <c r="Q1357" i="8" s="1"/>
  <c r="L860" i="8"/>
  <c r="L861" i="8" s="1"/>
  <c r="S756" i="2"/>
  <c r="S1244" i="8" s="1"/>
  <c r="S1245" i="8" s="1"/>
  <c r="T758" i="2"/>
  <c r="T1252" i="8" s="1"/>
  <c r="T1253" i="8" s="1"/>
  <c r="S354" i="2"/>
  <c r="P1256" i="8"/>
  <c r="P1257" i="8" s="1"/>
  <c r="R976" i="8"/>
  <c r="R977" i="8" s="1"/>
  <c r="T848" i="8"/>
  <c r="T849" i="8" s="1"/>
  <c r="U357" i="2"/>
  <c r="R757" i="2"/>
  <c r="R1248" i="8" s="1"/>
  <c r="R1249" i="8" s="1"/>
  <c r="O1316" i="8"/>
  <c r="O1317" i="8" s="1"/>
  <c r="P860" i="8"/>
  <c r="P861" i="8" s="1"/>
  <c r="S352" i="2"/>
  <c r="F1085" i="8"/>
  <c r="R356" i="2"/>
  <c r="R374" i="2" s="1"/>
  <c r="M920" i="8"/>
  <c r="M921" i="8" s="1"/>
  <c r="T353" i="2"/>
  <c r="N1316" i="8"/>
  <c r="N1317" i="8" s="1"/>
  <c r="S751" i="2"/>
  <c r="R358" i="2"/>
  <c r="R754" i="2"/>
  <c r="R794" i="2" s="1"/>
  <c r="M1316" i="8"/>
  <c r="M1317" i="8" s="1"/>
  <c r="Q960" i="8"/>
  <c r="Q961" i="8" s="1"/>
  <c r="S359" i="2"/>
  <c r="S399" i="2" s="1"/>
  <c r="N920" i="8"/>
  <c r="N921" i="8" s="1"/>
  <c r="S832" i="8"/>
  <c r="S833" i="8" s="1"/>
  <c r="N251" i="8"/>
  <c r="N252" i="8" s="1"/>
  <c r="L1256" i="8"/>
  <c r="L1257" i="8" s="1"/>
  <c r="S755" i="2"/>
  <c r="S1240" i="8" s="1"/>
  <c r="S1241" i="8" s="1"/>
  <c r="R748" i="2"/>
  <c r="R1220" i="8" s="1"/>
  <c r="R1221" i="8" s="1"/>
  <c r="R355" i="2"/>
  <c r="R382" i="2" s="1"/>
  <c r="R753" i="2"/>
  <c r="R1232" i="8" s="1"/>
  <c r="R1233" i="8" s="1"/>
  <c r="O920" i="8"/>
  <c r="O921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Q517" i="2" s="1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O191" i="8"/>
  <c r="O192" i="8" s="1"/>
  <c r="P514" i="2"/>
  <c r="Q514" i="2" s="1"/>
  <c r="N638" i="2"/>
  <c r="N279" i="8" s="1"/>
  <c r="N280" i="8" s="1"/>
  <c r="M642" i="2"/>
  <c r="F311" i="2"/>
  <c r="F312" i="2"/>
  <c r="S365" i="2" s="1"/>
  <c r="S394" i="2" s="1"/>
  <c r="F310" i="2"/>
  <c r="T260" i="2" s="1"/>
  <c r="F1069" i="8"/>
  <c r="G312" i="2"/>
  <c r="G311" i="2"/>
  <c r="G310" i="2"/>
  <c r="R737" i="2"/>
  <c r="R1184" i="8" s="1"/>
  <c r="R1185" i="8" s="1"/>
  <c r="R752" i="2"/>
  <c r="F1073" i="8"/>
  <c r="F1057" i="8"/>
  <c r="M522" i="2"/>
  <c r="N513" i="2"/>
  <c r="M1372" i="8"/>
  <c r="M1373" i="8" s="1"/>
  <c r="P1372" i="8"/>
  <c r="P1373" i="8" s="1"/>
  <c r="N1372" i="8"/>
  <c r="N1373" i="8" s="1"/>
  <c r="Q1372" i="8"/>
  <c r="Q1373" i="8" s="1"/>
  <c r="R1372" i="8"/>
  <c r="R1373" i="8" s="1"/>
  <c r="O1372" i="8"/>
  <c r="O1373" i="8" s="1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R768" i="2" s="1"/>
  <c r="R797" i="2" s="1"/>
  <c r="G714" i="2"/>
  <c r="F1077" i="8"/>
  <c r="P960" i="8"/>
  <c r="P961" i="8" s="1"/>
  <c r="N960" i="8"/>
  <c r="N961" i="8" s="1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R369" i="2" s="1"/>
  <c r="R398" i="2" s="1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R367" i="2" s="1"/>
  <c r="R396" i="2" s="1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S767" i="2" s="1"/>
  <c r="S796" i="2" s="1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R660" i="2" s="1"/>
  <c r="G710" i="2"/>
  <c r="G711" i="2"/>
  <c r="L976" i="8"/>
  <c r="L977" i="8" s="1"/>
  <c r="Q976" i="8"/>
  <c r="Q977" i="8" s="1"/>
  <c r="M976" i="8"/>
  <c r="M977" i="8" s="1"/>
  <c r="O976" i="8"/>
  <c r="O977" i="8" s="1"/>
  <c r="P976" i="8"/>
  <c r="P977" i="8" s="1"/>
  <c r="O1356" i="8"/>
  <c r="O1357" i="8" s="1"/>
  <c r="F710" i="2"/>
  <c r="R763" i="2" s="1"/>
  <c r="R792" i="2" s="1"/>
  <c r="F711" i="2"/>
  <c r="R764" i="2" s="1"/>
  <c r="R793" i="2" s="1"/>
  <c r="F709" i="2"/>
  <c r="T659" i="2" s="1"/>
  <c r="N1356" i="8"/>
  <c r="N1357" i="8" s="1"/>
  <c r="L1356" i="8"/>
  <c r="L1357" i="8" s="1"/>
  <c r="M1356" i="8"/>
  <c r="M1357" i="8" s="1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S768" i="2" s="1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64" i="2" s="1"/>
  <c r="U331" i="2"/>
  <c r="R804" i="8"/>
  <c r="R805" i="8" s="1"/>
  <c r="R876" i="8"/>
  <c r="R877" i="8" s="1"/>
  <c r="R1164" i="8"/>
  <c r="R1165" i="8" s="1"/>
  <c r="R1236" i="8"/>
  <c r="R1237" i="8" s="1"/>
  <c r="S756" i="8"/>
  <c r="S757" i="8" s="1"/>
  <c r="S820" i="8"/>
  <c r="S821" i="8" s="1"/>
  <c r="S892" i="8"/>
  <c r="S893" i="8" s="1"/>
  <c r="R1176" i="8"/>
  <c r="R1177" i="8" s="1"/>
  <c r="R1224" i="8"/>
  <c r="R1225" i="8" s="1"/>
  <c r="T796" i="8"/>
  <c r="T797" i="8" s="1"/>
  <c r="R768" i="8"/>
  <c r="R769" i="8" s="1"/>
  <c r="R840" i="8"/>
  <c r="R841" i="8" s="1"/>
  <c r="S784" i="8"/>
  <c r="S785" i="8" s="1"/>
  <c r="R780" i="8"/>
  <c r="R781" i="8" s="1"/>
  <c r="R852" i="8"/>
  <c r="R853" i="8" s="1"/>
  <c r="S608" i="8"/>
  <c r="S609" i="8" s="1"/>
  <c r="S333" i="2"/>
  <c r="S344" i="2"/>
  <c r="S366" i="2" s="1"/>
  <c r="T279" i="2"/>
  <c r="R1200" i="8"/>
  <c r="R1201" i="8" s="1"/>
  <c r="R1272" i="8"/>
  <c r="R1273" i="8" s="1"/>
  <c r="T596" i="8"/>
  <c r="T597" i="8" s="1"/>
  <c r="T341" i="2"/>
  <c r="U276" i="2"/>
  <c r="T330" i="2"/>
  <c r="U812" i="8"/>
  <c r="U813" i="8" s="1"/>
  <c r="T624" i="8"/>
  <c r="T625" i="8" s="1"/>
  <c r="T348" i="2"/>
  <c r="T370" i="2" s="1"/>
  <c r="T337" i="2"/>
  <c r="U283" i="2"/>
  <c r="S1168" i="8"/>
  <c r="S1169" i="8" s="1"/>
  <c r="L1296" i="8"/>
  <c r="L1297" i="8" s="1"/>
  <c r="L778" i="2"/>
  <c r="S1004" i="8"/>
  <c r="S1005" i="8" s="1"/>
  <c r="S743" i="2"/>
  <c r="S765" i="2" s="1"/>
  <c r="T678" i="2"/>
  <c r="S732" i="2"/>
  <c r="S800" i="8"/>
  <c r="S801" i="8" s="1"/>
  <c r="S792" i="8"/>
  <c r="S793" i="8" s="1"/>
  <c r="U776" i="8"/>
  <c r="U777" i="8" s="1"/>
  <c r="U848" i="8"/>
  <c r="U849" i="8" s="1"/>
  <c r="S620" i="8"/>
  <c r="S621" i="8" s="1"/>
  <c r="T282" i="2"/>
  <c r="S347" i="2"/>
  <c r="S369" i="2" s="1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T332" i="2"/>
  <c r="T343" i="2"/>
  <c r="T365" i="2" s="1"/>
  <c r="T1180" i="8"/>
  <c r="T1181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1288" i="8"/>
  <c r="T1289" i="8" s="1"/>
  <c r="S1000" i="8"/>
  <c r="S1001" i="8" s="1"/>
  <c r="S731" i="2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69" i="2" s="1"/>
  <c r="U736" i="2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S763" i="2" s="1"/>
  <c r="T676" i="2"/>
  <c r="S730" i="2"/>
  <c r="T1012" i="8"/>
  <c r="T1013" i="8" s="1"/>
  <c r="U680" i="2"/>
  <c r="T745" i="2"/>
  <c r="T734" i="2"/>
  <c r="T1008" i="8"/>
  <c r="T1009" i="8" s="1"/>
  <c r="T733" i="2"/>
  <c r="T744" i="2"/>
  <c r="T766" i="2" s="1"/>
  <c r="U679" i="2"/>
  <c r="S1188" i="8"/>
  <c r="S1189" i="8" s="1"/>
  <c r="S1204" i="8"/>
  <c r="S1205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Q456" i="2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P235" i="8"/>
  <c r="P236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P203" i="8" l="1"/>
  <c r="P204" i="8" s="1"/>
  <c r="S856" i="8"/>
  <c r="S857" i="8" s="1"/>
  <c r="S792" i="2"/>
  <c r="S1348" i="8" s="1"/>
  <c r="S1349" i="8" s="1"/>
  <c r="T394" i="2"/>
  <c r="L315" i="2"/>
  <c r="U315" i="2"/>
  <c r="X315" i="2"/>
  <c r="R315" i="2"/>
  <c r="T315" i="2"/>
  <c r="S315" i="2"/>
  <c r="AC315" i="2"/>
  <c r="Y315" i="2"/>
  <c r="O368" i="2"/>
  <c r="O397" i="2" s="1"/>
  <c r="M368" i="2"/>
  <c r="M397" i="2" s="1"/>
  <c r="O315" i="2"/>
  <c r="V315" i="2"/>
  <c r="AA315" i="2"/>
  <c r="AD315" i="2"/>
  <c r="N368" i="2"/>
  <c r="N397" i="2" s="1"/>
  <c r="AE315" i="2"/>
  <c r="Q368" i="2"/>
  <c r="Q397" i="2" s="1"/>
  <c r="M315" i="2"/>
  <c r="Q315" i="2"/>
  <c r="W315" i="2"/>
  <c r="P315" i="2"/>
  <c r="P368" i="2"/>
  <c r="P397" i="2" s="1"/>
  <c r="Z315" i="2"/>
  <c r="AB315" i="2"/>
  <c r="N315" i="2"/>
  <c r="R368" i="2"/>
  <c r="R397" i="2" s="1"/>
  <c r="L368" i="2"/>
  <c r="L397" i="2" s="1"/>
  <c r="S368" i="2"/>
  <c r="S397" i="2" s="1"/>
  <c r="T368" i="2"/>
  <c r="T397" i="2" s="1"/>
  <c r="L310" i="2"/>
  <c r="X310" i="2"/>
  <c r="T310" i="2"/>
  <c r="U310" i="2"/>
  <c r="R310" i="2"/>
  <c r="AC310" i="2"/>
  <c r="S310" i="2"/>
  <c r="P261" i="2"/>
  <c r="N363" i="2"/>
  <c r="AB310" i="2"/>
  <c r="N310" i="2"/>
  <c r="P260" i="2"/>
  <c r="O310" i="2"/>
  <c r="M310" i="2"/>
  <c r="N261" i="2"/>
  <c r="L260" i="2"/>
  <c r="O363" i="2"/>
  <c r="O261" i="2"/>
  <c r="V310" i="2"/>
  <c r="M261" i="2"/>
  <c r="N260" i="2"/>
  <c r="AD310" i="2"/>
  <c r="Z310" i="2"/>
  <c r="R261" i="2"/>
  <c r="O260" i="2"/>
  <c r="AE310" i="2"/>
  <c r="M260" i="2"/>
  <c r="Y310" i="2"/>
  <c r="Q310" i="2"/>
  <c r="Q260" i="2"/>
  <c r="Q261" i="2"/>
  <c r="AA310" i="2"/>
  <c r="W310" i="2"/>
  <c r="P310" i="2"/>
  <c r="P363" i="2"/>
  <c r="M363" i="2"/>
  <c r="L261" i="2"/>
  <c r="Q363" i="2"/>
  <c r="R260" i="2"/>
  <c r="L363" i="2"/>
  <c r="S260" i="2"/>
  <c r="R363" i="2"/>
  <c r="S261" i="2"/>
  <c r="L311" i="2"/>
  <c r="S311" i="2"/>
  <c r="X311" i="2"/>
  <c r="R311" i="2"/>
  <c r="AC311" i="2"/>
  <c r="T311" i="2"/>
  <c r="U311" i="2"/>
  <c r="L364" i="2"/>
  <c r="L393" i="2" s="1"/>
  <c r="O364" i="2"/>
  <c r="O393" i="2" s="1"/>
  <c r="AA311" i="2"/>
  <c r="V311" i="2"/>
  <c r="M364" i="2"/>
  <c r="M393" i="2" s="1"/>
  <c r="AD311" i="2"/>
  <c r="AE311" i="2"/>
  <c r="W311" i="2"/>
  <c r="N364" i="2"/>
  <c r="N393" i="2" s="1"/>
  <c r="O311" i="2"/>
  <c r="Q311" i="2"/>
  <c r="Y311" i="2"/>
  <c r="P311" i="2"/>
  <c r="M311" i="2"/>
  <c r="Z311" i="2"/>
  <c r="AB311" i="2"/>
  <c r="N311" i="2"/>
  <c r="P364" i="2"/>
  <c r="P393" i="2" s="1"/>
  <c r="Q364" i="2"/>
  <c r="Q393" i="2" s="1"/>
  <c r="R364" i="2"/>
  <c r="R393" i="2" s="1"/>
  <c r="S364" i="2"/>
  <c r="S393" i="2" s="1"/>
  <c r="R395" i="2"/>
  <c r="AB710" i="2"/>
  <c r="Q710" i="2"/>
  <c r="R710" i="2"/>
  <c r="S710" i="2"/>
  <c r="T710" i="2"/>
  <c r="AE710" i="2"/>
  <c r="W710" i="2"/>
  <c r="X710" i="2"/>
  <c r="O710" i="2"/>
  <c r="U710" i="2"/>
  <c r="L710" i="2"/>
  <c r="N763" i="2"/>
  <c r="N792" i="2" s="1"/>
  <c r="AC710" i="2"/>
  <c r="Z710" i="2"/>
  <c r="P710" i="2"/>
  <c r="AD710" i="2"/>
  <c r="AA710" i="2"/>
  <c r="M710" i="2"/>
  <c r="N710" i="2"/>
  <c r="Y710" i="2"/>
  <c r="V710" i="2"/>
  <c r="L763" i="2"/>
  <c r="L792" i="2" s="1"/>
  <c r="O763" i="2"/>
  <c r="O792" i="2" s="1"/>
  <c r="M763" i="2"/>
  <c r="M792" i="2" s="1"/>
  <c r="P763" i="2"/>
  <c r="P792" i="2" s="1"/>
  <c r="Q763" i="2"/>
  <c r="Q792" i="2" s="1"/>
  <c r="R314" i="2"/>
  <c r="AC314" i="2"/>
  <c r="U314" i="2"/>
  <c r="S314" i="2"/>
  <c r="L314" i="2"/>
  <c r="X314" i="2"/>
  <c r="T314" i="2"/>
  <c r="AA314" i="2"/>
  <c r="P314" i="2"/>
  <c r="N367" i="2"/>
  <c r="N396" i="2" s="1"/>
  <c r="Z314" i="2"/>
  <c r="O367" i="2"/>
  <c r="O396" i="2" s="1"/>
  <c r="M367" i="2"/>
  <c r="M396" i="2" s="1"/>
  <c r="AB314" i="2"/>
  <c r="N314" i="2"/>
  <c r="O314" i="2"/>
  <c r="M314" i="2"/>
  <c r="AD314" i="2"/>
  <c r="V314" i="2"/>
  <c r="Y314" i="2"/>
  <c r="AE314" i="2"/>
  <c r="Q314" i="2"/>
  <c r="W314" i="2"/>
  <c r="P367" i="2"/>
  <c r="P396" i="2" s="1"/>
  <c r="P964" i="8" s="1"/>
  <c r="P965" i="8" s="1"/>
  <c r="L367" i="2"/>
  <c r="L396" i="2" s="1"/>
  <c r="L964" i="8" s="1"/>
  <c r="L965" i="8" s="1"/>
  <c r="Q367" i="2"/>
  <c r="Q396" i="2" s="1"/>
  <c r="T261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N365" i="2"/>
  <c r="N394" i="2" s="1"/>
  <c r="AB312" i="2"/>
  <c r="N312" i="2"/>
  <c r="U312" i="2"/>
  <c r="O365" i="2"/>
  <c r="O394" i="2" s="1"/>
  <c r="V312" i="2"/>
  <c r="O312" i="2"/>
  <c r="M312" i="2"/>
  <c r="P365" i="2"/>
  <c r="P394" i="2" s="1"/>
  <c r="M365" i="2"/>
  <c r="M394" i="2" s="1"/>
  <c r="L365" i="2"/>
  <c r="L394" i="2" s="1"/>
  <c r="Q365" i="2"/>
  <c r="Q394" i="2" s="1"/>
  <c r="R365" i="2"/>
  <c r="R394" i="2" s="1"/>
  <c r="V368" i="2"/>
  <c r="T798" i="2"/>
  <c r="T1372" i="8" s="1"/>
  <c r="T1373" i="8" s="1"/>
  <c r="S363" i="2"/>
  <c r="T767" i="2"/>
  <c r="T796" i="2" s="1"/>
  <c r="T363" i="2"/>
  <c r="T383" i="2" s="1"/>
  <c r="W713" i="2"/>
  <c r="AE713" i="2"/>
  <c r="R713" i="2"/>
  <c r="Q713" i="2"/>
  <c r="S713" i="2"/>
  <c r="AB713" i="2"/>
  <c r="T713" i="2"/>
  <c r="AA713" i="2"/>
  <c r="M713" i="2"/>
  <c r="V713" i="2"/>
  <c r="O766" i="2"/>
  <c r="O795" i="2" s="1"/>
  <c r="P713" i="2"/>
  <c r="L713" i="2"/>
  <c r="X713" i="2"/>
  <c r="O713" i="2"/>
  <c r="N713" i="2"/>
  <c r="U713" i="2"/>
  <c r="AC713" i="2"/>
  <c r="Y713" i="2"/>
  <c r="AD713" i="2"/>
  <c r="Z713" i="2"/>
  <c r="M766" i="2"/>
  <c r="M795" i="2" s="1"/>
  <c r="N766" i="2"/>
  <c r="N795" i="2" s="1"/>
  <c r="N1360" i="8" s="1"/>
  <c r="N1361" i="8" s="1"/>
  <c r="P766" i="2"/>
  <c r="P795" i="2" s="1"/>
  <c r="Q766" i="2"/>
  <c r="Q795" i="2" s="1"/>
  <c r="L766" i="2"/>
  <c r="L795" i="2" s="1"/>
  <c r="R766" i="2"/>
  <c r="R795" i="2" s="1"/>
  <c r="S714" i="2"/>
  <c r="Q714" i="2"/>
  <c r="R714" i="2"/>
  <c r="AB714" i="2"/>
  <c r="AE714" i="2"/>
  <c r="W714" i="2"/>
  <c r="T714" i="2"/>
  <c r="Y714" i="2"/>
  <c r="Z714" i="2"/>
  <c r="P714" i="2"/>
  <c r="X714" i="2"/>
  <c r="O714" i="2"/>
  <c r="M767" i="2"/>
  <c r="M796" i="2" s="1"/>
  <c r="N767" i="2"/>
  <c r="N796" i="2" s="1"/>
  <c r="U714" i="2"/>
  <c r="AC714" i="2"/>
  <c r="AD714" i="2"/>
  <c r="O767" i="2"/>
  <c r="O796" i="2" s="1"/>
  <c r="V714" i="2"/>
  <c r="N714" i="2"/>
  <c r="AA714" i="2"/>
  <c r="L714" i="2"/>
  <c r="M714" i="2"/>
  <c r="P767" i="2"/>
  <c r="P796" i="2" s="1"/>
  <c r="Q767" i="2"/>
  <c r="Q796" i="2" s="1"/>
  <c r="L767" i="2"/>
  <c r="L796" i="2" s="1"/>
  <c r="R767" i="2"/>
  <c r="R796" i="2" s="1"/>
  <c r="O107" i="8"/>
  <c r="O108" i="8" s="1"/>
  <c r="T658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N768" i="2"/>
  <c r="N797" i="2" s="1"/>
  <c r="M768" i="2"/>
  <c r="M797" i="2" s="1"/>
  <c r="T715" i="2"/>
  <c r="O768" i="2"/>
  <c r="O797" i="2" s="1"/>
  <c r="L768" i="2"/>
  <c r="L797" i="2" s="1"/>
  <c r="P768" i="2"/>
  <c r="P797" i="2" s="1"/>
  <c r="Q768" i="2"/>
  <c r="Q797" i="2" s="1"/>
  <c r="U368" i="2"/>
  <c r="T762" i="2"/>
  <c r="T791" i="2" s="1"/>
  <c r="T782" i="2"/>
  <c r="T258" i="2"/>
  <c r="S367" i="2"/>
  <c r="W709" i="2"/>
  <c r="S709" i="2"/>
  <c r="Q709" i="2"/>
  <c r="AB709" i="2"/>
  <c r="T709" i="2"/>
  <c r="Q660" i="2"/>
  <c r="R709" i="2"/>
  <c r="AE709" i="2"/>
  <c r="L762" i="2"/>
  <c r="V709" i="2"/>
  <c r="M659" i="2"/>
  <c r="M660" i="2"/>
  <c r="U709" i="2"/>
  <c r="AA709" i="2"/>
  <c r="M709" i="2"/>
  <c r="P709" i="2"/>
  <c r="L709" i="2"/>
  <c r="X709" i="2"/>
  <c r="O709" i="2"/>
  <c r="N709" i="2"/>
  <c r="P660" i="2"/>
  <c r="L660" i="2"/>
  <c r="O660" i="2"/>
  <c r="Y709" i="2"/>
  <c r="AD709" i="2"/>
  <c r="N660" i="2"/>
  <c r="P659" i="2"/>
  <c r="L659" i="2"/>
  <c r="AC709" i="2"/>
  <c r="O659" i="2"/>
  <c r="N659" i="2"/>
  <c r="Z709" i="2"/>
  <c r="M762" i="2"/>
  <c r="O762" i="2"/>
  <c r="N762" i="2"/>
  <c r="P762" i="2"/>
  <c r="Q659" i="2"/>
  <c r="S660" i="2"/>
  <c r="R762" i="2"/>
  <c r="Q762" i="2"/>
  <c r="R659" i="2"/>
  <c r="S659" i="2"/>
  <c r="R781" i="2"/>
  <c r="T364" i="2"/>
  <c r="T393" i="2" s="1"/>
  <c r="T660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N764" i="2"/>
  <c r="N793" i="2" s="1"/>
  <c r="X711" i="2"/>
  <c r="M764" i="2"/>
  <c r="M793" i="2" s="1"/>
  <c r="AE711" i="2"/>
  <c r="O764" i="2"/>
  <c r="O793" i="2" s="1"/>
  <c r="L764" i="2"/>
  <c r="L793" i="2" s="1"/>
  <c r="P764" i="2"/>
  <c r="P793" i="2" s="1"/>
  <c r="Q764" i="2"/>
  <c r="Q793" i="2" s="1"/>
  <c r="S766" i="2"/>
  <c r="S795" i="2" s="1"/>
  <c r="T259" i="2"/>
  <c r="S764" i="2"/>
  <c r="S793" i="2" s="1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M369" i="2"/>
  <c r="M398" i="2" s="1"/>
  <c r="O369" i="2"/>
  <c r="O398" i="2" s="1"/>
  <c r="L369" i="2"/>
  <c r="L398" i="2" s="1"/>
  <c r="N369" i="2"/>
  <c r="N398" i="2" s="1"/>
  <c r="P369" i="2"/>
  <c r="P398" i="2" s="1"/>
  <c r="Q369" i="2"/>
  <c r="Q398" i="2" s="1"/>
  <c r="S762" i="2"/>
  <c r="R888" i="8"/>
  <c r="R889" i="8" s="1"/>
  <c r="S382" i="2"/>
  <c r="R1268" i="8"/>
  <c r="R1269" i="8" s="1"/>
  <c r="R360" i="2"/>
  <c r="R860" i="8" s="1"/>
  <c r="R861" i="8" s="1"/>
  <c r="R1264" i="8"/>
  <c r="R1265" i="8" s="1"/>
  <c r="T657" i="2"/>
  <c r="R964" i="8"/>
  <c r="R965" i="8" s="1"/>
  <c r="R1356" i="8"/>
  <c r="R1357" i="8" s="1"/>
  <c r="S976" i="8"/>
  <c r="S977" i="8" s="1"/>
  <c r="R1368" i="8"/>
  <c r="R1369" i="8" s="1"/>
  <c r="U868" i="8"/>
  <c r="U869" i="8" s="1"/>
  <c r="P247" i="8"/>
  <c r="P248" i="8" s="1"/>
  <c r="T1276" i="8"/>
  <c r="T1277" i="8" s="1"/>
  <c r="T892" i="8"/>
  <c r="T893" i="8" s="1"/>
  <c r="T872" i="8"/>
  <c r="T873" i="8" s="1"/>
  <c r="R972" i="8"/>
  <c r="R973" i="8" s="1"/>
  <c r="Q521" i="2"/>
  <c r="V884" i="8"/>
  <c r="V885" i="8" s="1"/>
  <c r="T756" i="2"/>
  <c r="P199" i="8"/>
  <c r="P200" i="8" s="1"/>
  <c r="P191" i="8"/>
  <c r="P192" i="8" s="1"/>
  <c r="S752" i="2"/>
  <c r="S781" i="2" s="1"/>
  <c r="U758" i="2"/>
  <c r="U775" i="2" s="1"/>
  <c r="U1304" i="8" s="1"/>
  <c r="U1305" i="8" s="1"/>
  <c r="S753" i="2"/>
  <c r="T354" i="2"/>
  <c r="R960" i="8"/>
  <c r="R961" i="8" s="1"/>
  <c r="T755" i="2"/>
  <c r="T795" i="2" s="1"/>
  <c r="V357" i="2"/>
  <c r="V848" i="8" s="1"/>
  <c r="V849" i="8" s="1"/>
  <c r="R1352" i="8"/>
  <c r="R1353" i="8" s="1"/>
  <c r="S358" i="2"/>
  <c r="S398" i="2" s="1"/>
  <c r="S356" i="2"/>
  <c r="L1316" i="8"/>
  <c r="L1317" i="8" s="1"/>
  <c r="U353" i="2"/>
  <c r="U393" i="2" s="1"/>
  <c r="T359" i="2"/>
  <c r="T399" i="2" s="1"/>
  <c r="Q1256" i="8"/>
  <c r="Q1257" i="8" s="1"/>
  <c r="P920" i="8"/>
  <c r="P921" i="8" s="1"/>
  <c r="S355" i="2"/>
  <c r="S395" i="2" s="1"/>
  <c r="T751" i="2"/>
  <c r="S757" i="2"/>
  <c r="S797" i="2" s="1"/>
  <c r="L920" i="8"/>
  <c r="L921" i="8" s="1"/>
  <c r="R1348" i="8"/>
  <c r="R1349" i="8" s="1"/>
  <c r="T352" i="2"/>
  <c r="T392" i="2" s="1"/>
  <c r="Q860" i="8"/>
  <c r="Q861" i="8" s="1"/>
  <c r="P1316" i="8"/>
  <c r="P1317" i="8" s="1"/>
  <c r="S754" i="2"/>
  <c r="S794" i="2" s="1"/>
  <c r="O227" i="8"/>
  <c r="O228" i="8" s="1"/>
  <c r="R389" i="2"/>
  <c r="R940" i="8" s="1"/>
  <c r="R941" i="8" s="1"/>
  <c r="F504" i="8"/>
  <c r="S872" i="8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O964" i="8"/>
  <c r="O965" i="8" s="1"/>
  <c r="N964" i="8"/>
  <c r="N965" i="8" s="1"/>
  <c r="Q964" i="8"/>
  <c r="Q965" i="8" s="1"/>
  <c r="M964" i="8"/>
  <c r="M965" i="8" s="1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1360" i="8"/>
  <c r="Q1361" i="8" s="1"/>
  <c r="L1360" i="8"/>
  <c r="L1361" i="8" s="1"/>
  <c r="O1360" i="8"/>
  <c r="O1361" i="8" s="1"/>
  <c r="P1360" i="8"/>
  <c r="P1361" i="8" s="1"/>
  <c r="M1360" i="8"/>
  <c r="M1361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880" i="8"/>
  <c r="S881" i="8" s="1"/>
  <c r="S844" i="8"/>
  <c r="S845" i="8" s="1"/>
  <c r="S772" i="8"/>
  <c r="S773" i="8" s="1"/>
  <c r="T345" i="2"/>
  <c r="T367" i="2" s="1"/>
  <c r="T612" i="8"/>
  <c r="T613" i="8" s="1"/>
  <c r="U280" i="2"/>
  <c r="U260" i="2" s="1"/>
  <c r="T334" i="2"/>
  <c r="T996" i="8"/>
  <c r="T997" i="8" s="1"/>
  <c r="U676" i="2"/>
  <c r="U660" i="2" s="1"/>
  <c r="T741" i="2"/>
  <c r="T763" i="2" s="1"/>
  <c r="T730" i="2"/>
  <c r="T1004" i="8"/>
  <c r="T1005" i="8" s="1"/>
  <c r="T743" i="2"/>
  <c r="T765" i="2" s="1"/>
  <c r="U678" i="2"/>
  <c r="U659" i="2" s="1"/>
  <c r="T732" i="2"/>
  <c r="S804" i="8"/>
  <c r="S805" i="8" s="1"/>
  <c r="S1164" i="8"/>
  <c r="S1165" i="8" s="1"/>
  <c r="S1236" i="8"/>
  <c r="S1237" i="8" s="1"/>
  <c r="S1192" i="8"/>
  <c r="S1193" i="8" s="1"/>
  <c r="U1180" i="8"/>
  <c r="U1181" i="8" s="1"/>
  <c r="U1252" i="8"/>
  <c r="U1253" i="8" s="1"/>
  <c r="S1200" i="8"/>
  <c r="S1201" i="8" s="1"/>
  <c r="S1272" i="8"/>
  <c r="S1273" i="8" s="1"/>
  <c r="S768" i="8"/>
  <c r="S769" i="8" s="1"/>
  <c r="S840" i="8"/>
  <c r="S841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S1156" i="8"/>
  <c r="S1157" i="8" s="1"/>
  <c r="S1228" i="8"/>
  <c r="S1229" i="8" s="1"/>
  <c r="S1260" i="8"/>
  <c r="S1261" i="8" s="1"/>
  <c r="T1000" i="8"/>
  <c r="T1001" i="8" s="1"/>
  <c r="T731" i="2"/>
  <c r="U677" i="2"/>
  <c r="T742" i="2"/>
  <c r="T764" i="2" s="1"/>
  <c r="S387" i="2"/>
  <c r="S932" i="8" s="1"/>
  <c r="S933" i="8" s="1"/>
  <c r="U796" i="8"/>
  <c r="U797" i="8" s="1"/>
  <c r="U624" i="8"/>
  <c r="U625" i="8" s="1"/>
  <c r="U337" i="2"/>
  <c r="U348" i="2"/>
  <c r="U370" i="2" s="1"/>
  <c r="V283" i="2"/>
  <c r="R1228" i="8"/>
  <c r="R1229" i="8" s="1"/>
  <c r="R774" i="2"/>
  <c r="R1300" i="8" s="1"/>
  <c r="R1301" i="8" s="1"/>
  <c r="V600" i="8"/>
  <c r="V601" i="8" s="1"/>
  <c r="W277" i="2"/>
  <c r="V342" i="2"/>
  <c r="V364" i="2" s="1"/>
  <c r="V331" i="2"/>
  <c r="T1172" i="8"/>
  <c r="T1173" i="8" s="1"/>
  <c r="T1244" i="8"/>
  <c r="T1245" i="8" s="1"/>
  <c r="T620" i="8"/>
  <c r="T621" i="8" s="1"/>
  <c r="U282" i="2"/>
  <c r="T347" i="2"/>
  <c r="T369" i="2" s="1"/>
  <c r="T336" i="2"/>
  <c r="S864" i="8"/>
  <c r="S865" i="8" s="1"/>
  <c r="S338" i="2"/>
  <c r="S788" i="8" s="1"/>
  <c r="S789" i="8" s="1"/>
  <c r="R785" i="2"/>
  <c r="R1324" i="8" s="1"/>
  <c r="R1325" i="8" s="1"/>
  <c r="S1176" i="8"/>
  <c r="S1177" i="8" s="1"/>
  <c r="S816" i="8"/>
  <c r="S817" i="8" s="1"/>
  <c r="S888" i="8"/>
  <c r="S889" i="8" s="1"/>
  <c r="R759" i="2"/>
  <c r="T1208" i="8"/>
  <c r="T1209" i="8" s="1"/>
  <c r="T1280" i="8"/>
  <c r="T1281" i="8" s="1"/>
  <c r="T800" i="8"/>
  <c r="T801" i="8" s="1"/>
  <c r="S349" i="2"/>
  <c r="S824" i="8" s="1"/>
  <c r="S825" i="8" s="1"/>
  <c r="S1196" i="8"/>
  <c r="S1197" i="8" s="1"/>
  <c r="T784" i="8"/>
  <c r="T785" i="8" s="1"/>
  <c r="T856" i="8"/>
  <c r="T857" i="8" s="1"/>
  <c r="S780" i="8"/>
  <c r="S781" i="8" s="1"/>
  <c r="R773" i="2"/>
  <c r="U1012" i="8"/>
  <c r="U1013" i="8" s="1"/>
  <c r="V680" i="2"/>
  <c r="U745" i="2"/>
  <c r="U767" i="2" s="1"/>
  <c r="U734" i="2"/>
  <c r="T836" i="8"/>
  <c r="T837" i="8" s="1"/>
  <c r="T764" i="8"/>
  <c r="T765" i="8" s="1"/>
  <c r="T756" i="8"/>
  <c r="T757" i="8" s="1"/>
  <c r="S828" i="8"/>
  <c r="S829" i="8" s="1"/>
  <c r="V1020" i="8"/>
  <c r="V1021" i="8" s="1"/>
  <c r="W682" i="2"/>
  <c r="V747" i="2"/>
  <c r="V769" i="2" s="1"/>
  <c r="V736" i="2"/>
  <c r="U1008" i="8"/>
  <c r="U1009" i="8" s="1"/>
  <c r="U733" i="2"/>
  <c r="U744" i="2"/>
  <c r="U766" i="2" s="1"/>
  <c r="V679" i="2"/>
  <c r="Q1296" i="8"/>
  <c r="Q1297" i="8" s="1"/>
  <c r="Q778" i="2"/>
  <c r="U604" i="8"/>
  <c r="U605" i="8" s="1"/>
  <c r="V278" i="2"/>
  <c r="U332" i="2"/>
  <c r="U343" i="2"/>
  <c r="U365" i="2" s="1"/>
  <c r="V812" i="8"/>
  <c r="V813" i="8" s="1"/>
  <c r="U596" i="8"/>
  <c r="U597" i="8" s="1"/>
  <c r="U341" i="2"/>
  <c r="U330" i="2"/>
  <c r="V276" i="2"/>
  <c r="R900" i="8"/>
  <c r="R901" i="8" s="1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S1284" i="8"/>
  <c r="S1285" i="8" s="1"/>
  <c r="T608" i="8"/>
  <c r="T609" i="8" s="1"/>
  <c r="T333" i="2"/>
  <c r="T344" i="2"/>
  <c r="T366" i="2" s="1"/>
  <c r="U279" i="2"/>
  <c r="T1168" i="8"/>
  <c r="T1169" i="8" s="1"/>
  <c r="W616" i="8"/>
  <c r="W617" i="8" s="1"/>
  <c r="W346" i="2"/>
  <c r="W368" i="2" s="1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T768" i="2" s="1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U762" i="2" l="1"/>
  <c r="W397" i="2"/>
  <c r="S383" i="2"/>
  <c r="S396" i="2"/>
  <c r="S964" i="8" s="1"/>
  <c r="S965" i="8" s="1"/>
  <c r="U798" i="2"/>
  <c r="O383" i="2"/>
  <c r="O392" i="2"/>
  <c r="L782" i="2"/>
  <c r="L791" i="2"/>
  <c r="L383" i="2"/>
  <c r="L392" i="2"/>
  <c r="U832" i="8"/>
  <c r="U833" i="8" s="1"/>
  <c r="U259" i="2"/>
  <c r="S852" i="8"/>
  <c r="S853" i="8" s="1"/>
  <c r="U261" i="2"/>
  <c r="U399" i="2"/>
  <c r="Q782" i="2"/>
  <c r="Q791" i="2"/>
  <c r="U363" i="2"/>
  <c r="U392" i="2" s="1"/>
  <c r="V798" i="2"/>
  <c r="R782" i="2"/>
  <c r="R791" i="2"/>
  <c r="V397" i="2"/>
  <c r="R383" i="2"/>
  <c r="R392" i="2"/>
  <c r="T398" i="2"/>
  <c r="T375" i="2"/>
  <c r="T904" i="8" s="1"/>
  <c r="T905" i="8" s="1"/>
  <c r="P782" i="2"/>
  <c r="P791" i="2"/>
  <c r="T793" i="2"/>
  <c r="N791" i="2"/>
  <c r="N782" i="2"/>
  <c r="U397" i="2"/>
  <c r="U968" i="8" s="1"/>
  <c r="U969" i="8" s="1"/>
  <c r="U884" i="8"/>
  <c r="U885" i="8" s="1"/>
  <c r="Q383" i="2"/>
  <c r="Q392" i="2"/>
  <c r="U394" i="2"/>
  <c r="S782" i="2"/>
  <c r="O782" i="2"/>
  <c r="O791" i="2"/>
  <c r="N383" i="2"/>
  <c r="N392" i="2"/>
  <c r="M782" i="2"/>
  <c r="M791" i="2"/>
  <c r="M383" i="2"/>
  <c r="M392" i="2"/>
  <c r="S392" i="2"/>
  <c r="S948" i="8" s="1"/>
  <c r="S949" i="8" s="1"/>
  <c r="U658" i="2"/>
  <c r="S1268" i="8"/>
  <c r="S1269" i="8" s="1"/>
  <c r="P383" i="2"/>
  <c r="P392" i="2"/>
  <c r="S791" i="2"/>
  <c r="S1344" i="8" s="1"/>
  <c r="S1345" i="8" s="1"/>
  <c r="S1264" i="8"/>
  <c r="S1265" i="8" s="1"/>
  <c r="U1372" i="8"/>
  <c r="U1373" i="8" s="1"/>
  <c r="T1360" i="8"/>
  <c r="T1361" i="8" s="1"/>
  <c r="S773" i="2"/>
  <c r="U258" i="2"/>
  <c r="U657" i="2"/>
  <c r="T1240" i="8"/>
  <c r="T1241" i="8" s="1"/>
  <c r="S1368" i="8"/>
  <c r="S1369" i="8" s="1"/>
  <c r="S876" i="8"/>
  <c r="S877" i="8" s="1"/>
  <c r="T880" i="8"/>
  <c r="T881" i="8" s="1"/>
  <c r="T976" i="8"/>
  <c r="T977" i="8" s="1"/>
  <c r="T1268" i="8"/>
  <c r="T1269" i="8" s="1"/>
  <c r="U952" i="8"/>
  <c r="U953" i="8" s="1"/>
  <c r="S1356" i="8"/>
  <c r="S1357" i="8" s="1"/>
  <c r="T956" i="8"/>
  <c r="T957" i="8" s="1"/>
  <c r="S960" i="8"/>
  <c r="S961" i="8" s="1"/>
  <c r="U352" i="2"/>
  <c r="U755" i="2"/>
  <c r="U1240" i="8" s="1"/>
  <c r="U1241" i="8" s="1"/>
  <c r="U359" i="2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S1352" i="8"/>
  <c r="S13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S972" i="8"/>
  <c r="S973" i="8" s="1"/>
  <c r="T754" i="2"/>
  <c r="T794" i="2" s="1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V758" i="2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382" i="2" s="1"/>
  <c r="T358" i="2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V393" i="2" s="1"/>
  <c r="T752" i="2"/>
  <c r="T781" i="2" s="1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R1284" i="8"/>
  <c r="R1285" i="8" s="1"/>
  <c r="S1248" i="8"/>
  <c r="S1249" i="8" s="1"/>
  <c r="T753" i="2"/>
  <c r="Q920" i="8"/>
  <c r="Q921" i="8" s="1"/>
  <c r="L1264" i="8"/>
  <c r="L1265" i="8" s="1"/>
  <c r="L1348" i="8"/>
  <c r="L1349" i="8" s="1"/>
  <c r="N884" i="8"/>
  <c r="N885" i="8" s="1"/>
  <c r="N968" i="8"/>
  <c r="N969" i="8" s="1"/>
  <c r="T1364" i="8"/>
  <c r="T1365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V968" i="8"/>
  <c r="V969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91" i="2" s="1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67" i="2" s="1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U768" i="2" s="1"/>
  <c r="S784" i="2"/>
  <c r="V624" i="8"/>
  <c r="V625" i="8" s="1"/>
  <c r="V337" i="2"/>
  <c r="W283" i="2"/>
  <c r="V348" i="2"/>
  <c r="V370" i="2" s="1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677" i="2"/>
  <c r="U742" i="2"/>
  <c r="U764" i="2" s="1"/>
  <c r="V604" i="8"/>
  <c r="V605" i="8" s="1"/>
  <c r="W278" i="2"/>
  <c r="V343" i="2"/>
  <c r="V365" i="2" s="1"/>
  <c r="V332" i="2"/>
  <c r="U1152" i="8"/>
  <c r="U1153" i="8" s="1"/>
  <c r="T804" i="8"/>
  <c r="T805" i="8" s="1"/>
  <c r="W1020" i="8"/>
  <c r="W1021" i="8" s="1"/>
  <c r="X682" i="2"/>
  <c r="W747" i="2"/>
  <c r="W769" i="2" s="1"/>
  <c r="W736" i="2"/>
  <c r="X277" i="2"/>
  <c r="W600" i="8"/>
  <c r="W601" i="8" s="1"/>
  <c r="W342" i="2"/>
  <c r="W364" i="2" s="1"/>
  <c r="W331" i="2"/>
  <c r="S770" i="2"/>
  <c r="S1292" i="8" s="1"/>
  <c r="S1293" i="8" s="1"/>
  <c r="T1156" i="8"/>
  <c r="T1157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V1216" i="8"/>
  <c r="V1217" i="8" s="1"/>
  <c r="V1288" i="8"/>
  <c r="V1289" i="8" s="1"/>
  <c r="V992" i="8"/>
  <c r="V993" i="8" s="1"/>
  <c r="W675" i="2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92" i="8"/>
  <c r="U793" i="8" s="1"/>
  <c r="T948" i="8"/>
  <c r="T949" i="8" s="1"/>
  <c r="S360" i="2"/>
  <c r="U1208" i="8"/>
  <c r="U1209" i="8" s="1"/>
  <c r="U1280" i="8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V676" i="2"/>
  <c r="V660" i="2" s="1"/>
  <c r="U741" i="2"/>
  <c r="U763" i="2" s="1"/>
  <c r="V1008" i="8"/>
  <c r="V1009" i="8" s="1"/>
  <c r="V744" i="2"/>
  <c r="V766" i="2" s="1"/>
  <c r="W679" i="2"/>
  <c r="V733" i="2"/>
  <c r="V1012" i="8"/>
  <c r="V1013" i="8" s="1"/>
  <c r="V745" i="2"/>
  <c r="V767" i="2" s="1"/>
  <c r="W680" i="2"/>
  <c r="V734" i="2"/>
  <c r="T816" i="8"/>
  <c r="T817" i="8" s="1"/>
  <c r="T888" i="8"/>
  <c r="T889" i="8" s="1"/>
  <c r="U608" i="8"/>
  <c r="U609" i="8" s="1"/>
  <c r="U344" i="2"/>
  <c r="U366" i="2" s="1"/>
  <c r="V279" i="2"/>
  <c r="V260" i="2" s="1"/>
  <c r="U333" i="2"/>
  <c r="R379" i="2"/>
  <c r="W776" i="8"/>
  <c r="W777" i="8" s="1"/>
  <c r="W848" i="8"/>
  <c r="W849" i="8" s="1"/>
  <c r="U1204" i="8"/>
  <c r="U1205" i="8" s="1"/>
  <c r="U1276" i="8"/>
  <c r="U1277" i="8" s="1"/>
  <c r="T338" i="2"/>
  <c r="T788" i="8" s="1"/>
  <c r="T789" i="8" s="1"/>
  <c r="U620" i="8"/>
  <c r="U621" i="8" s="1"/>
  <c r="V282" i="2"/>
  <c r="U347" i="2"/>
  <c r="U369" i="2" s="1"/>
  <c r="U336" i="2"/>
  <c r="T1164" i="8"/>
  <c r="T1165" i="8" s="1"/>
  <c r="T1236" i="8"/>
  <c r="T1237" i="8" s="1"/>
  <c r="U764" i="8"/>
  <c r="U765" i="8" s="1"/>
  <c r="U836" i="8"/>
  <c r="U837" i="8" s="1"/>
  <c r="V1180" i="8"/>
  <c r="V1181" i="8" s="1"/>
  <c r="U784" i="8"/>
  <c r="U785" i="8" s="1"/>
  <c r="X616" i="8"/>
  <c r="X617" i="8" s="1"/>
  <c r="X346" i="2"/>
  <c r="X368" i="2" s="1"/>
  <c r="Y281" i="2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65" i="2" s="1"/>
  <c r="U732" i="2"/>
  <c r="V678" i="2"/>
  <c r="W812" i="8"/>
  <c r="W813" i="8" s="1"/>
  <c r="W884" i="8"/>
  <c r="W885" i="8" s="1"/>
  <c r="T737" i="2"/>
  <c r="T1184" i="8" s="1"/>
  <c r="T1185" i="8" s="1"/>
  <c r="S374" i="2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V762" i="2" l="1"/>
  <c r="V782" i="2" s="1"/>
  <c r="U795" i="2"/>
  <c r="U1360" i="8" s="1"/>
  <c r="U1361" i="8" s="1"/>
  <c r="W659" i="2"/>
  <c r="U797" i="2"/>
  <c r="T395" i="2"/>
  <c r="T960" i="8" s="1"/>
  <c r="T961" i="8" s="1"/>
  <c r="T396" i="2"/>
  <c r="V363" i="2"/>
  <c r="T972" i="8"/>
  <c r="T973" i="8" s="1"/>
  <c r="V261" i="2"/>
  <c r="U794" i="2"/>
  <c r="U792" i="2"/>
  <c r="T1228" i="8"/>
  <c r="T1229" i="8" s="1"/>
  <c r="V394" i="2"/>
  <c r="V259" i="2"/>
  <c r="V658" i="2"/>
  <c r="T792" i="2"/>
  <c r="T1348" i="8" s="1"/>
  <c r="T1349" i="8" s="1"/>
  <c r="U782" i="2"/>
  <c r="U395" i="2"/>
  <c r="V659" i="2"/>
  <c r="U383" i="2"/>
  <c r="T876" i="8"/>
  <c r="T877" i="8" s="1"/>
  <c r="V657" i="2"/>
  <c r="T964" i="8"/>
  <c r="T965" i="8" s="1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968" i="8"/>
  <c r="W969" i="8" s="1"/>
  <c r="W1288" i="8"/>
  <c r="W1289" i="8" s="1"/>
  <c r="P1292" i="8"/>
  <c r="P1293" i="8" s="1"/>
  <c r="P780" i="2"/>
  <c r="P1438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856" i="8"/>
  <c r="U857" i="8" s="1"/>
  <c r="V354" i="2"/>
  <c r="N1292" i="8"/>
  <c r="N1293" i="8" s="1"/>
  <c r="N780" i="2"/>
  <c r="N1438" i="8" s="1"/>
  <c r="Q948" i="8"/>
  <c r="Q949" i="8" s="1"/>
  <c r="Q400" i="2"/>
  <c r="V751" i="2"/>
  <c r="V791" i="2" s="1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R1316" i="8"/>
  <c r="R131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 s="1"/>
  <c r="U753" i="2"/>
  <c r="U1232" i="8" s="1"/>
  <c r="U1233" i="8" s="1"/>
  <c r="U1344" i="8"/>
  <c r="U1345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Q896" i="8"/>
  <c r="Q897" i="8" s="1"/>
  <c r="Q381" i="2"/>
  <c r="Q1434" i="8" s="1"/>
  <c r="P948" i="8"/>
  <c r="P949" i="8" s="1"/>
  <c r="P400" i="2"/>
  <c r="R896" i="8"/>
  <c r="R897" i="8" s="1"/>
  <c r="R381" i="2"/>
  <c r="R1434" i="8" s="1"/>
  <c r="U752" i="2"/>
  <c r="V352" i="2"/>
  <c r="V392" i="2" s="1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T924" i="8" s="1"/>
  <c r="T925" i="8" s="1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V334" i="2"/>
  <c r="V345" i="2"/>
  <c r="V367" i="2" s="1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T799" i="2"/>
  <c r="V996" i="8"/>
  <c r="V997" i="8" s="1"/>
  <c r="V730" i="2"/>
  <c r="W676" i="2"/>
  <c r="W657" i="2" s="1"/>
  <c r="V741" i="2"/>
  <c r="V763" i="2" s="1"/>
  <c r="U1260" i="8"/>
  <c r="U1261" i="8" s="1"/>
  <c r="V1152" i="8"/>
  <c r="V1153" i="8" s="1"/>
  <c r="T777" i="2"/>
  <c r="T1312" i="8" s="1"/>
  <c r="T1313" i="8" s="1"/>
  <c r="Y616" i="8"/>
  <c r="Y617" i="8" s="1"/>
  <c r="Y346" i="2"/>
  <c r="Y368" i="2" s="1"/>
  <c r="Z281" i="2"/>
  <c r="Y335" i="2"/>
  <c r="W1012" i="8"/>
  <c r="W1013" i="8" s="1"/>
  <c r="W745" i="2"/>
  <c r="W767" i="2" s="1"/>
  <c r="X680" i="2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70" i="2" s="1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66" i="2" s="1"/>
  <c r="W733" i="2"/>
  <c r="X679" i="2"/>
  <c r="S778" i="2"/>
  <c r="Y277" i="2"/>
  <c r="X600" i="8"/>
  <c r="X601" i="8" s="1"/>
  <c r="X342" i="2"/>
  <c r="X364" i="2" s="1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U1228" i="8"/>
  <c r="U1229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V836" i="8"/>
  <c r="V837" i="8" s="1"/>
  <c r="T759" i="2"/>
  <c r="V620" i="8"/>
  <c r="V621" i="8" s="1"/>
  <c r="W282" i="2"/>
  <c r="V347" i="2"/>
  <c r="V369" i="2" s="1"/>
  <c r="V336" i="2"/>
  <c r="U768" i="8"/>
  <c r="U769" i="8" s="1"/>
  <c r="V1276" i="8"/>
  <c r="V1277" i="8" s="1"/>
  <c r="V1204" i="8"/>
  <c r="V1205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65" i="2" s="1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V765" i="2" s="1"/>
  <c r="W678" i="2"/>
  <c r="V608" i="8"/>
  <c r="V609" i="8" s="1"/>
  <c r="V344" i="2"/>
  <c r="V366" i="2" s="1"/>
  <c r="W279" i="2"/>
  <c r="W259" i="2" s="1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X1020" i="8"/>
  <c r="X1021" i="8" s="1"/>
  <c r="X747" i="2"/>
  <c r="X769" i="2" s="1"/>
  <c r="Y682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V742" i="2"/>
  <c r="V764" i="2" s="1"/>
  <c r="V1000" i="8"/>
  <c r="V1001" i="8" s="1"/>
  <c r="V731" i="2"/>
  <c r="V1016" i="8"/>
  <c r="V1017" i="8" s="1"/>
  <c r="W681" i="2"/>
  <c r="V735" i="2"/>
  <c r="V746" i="2"/>
  <c r="V768" i="2" s="1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X798" i="2" l="1"/>
  <c r="V396" i="2"/>
  <c r="W660" i="2"/>
  <c r="V398" i="2"/>
  <c r="W258" i="2"/>
  <c r="V795" i="2"/>
  <c r="V1360" i="8" s="1"/>
  <c r="V1361" i="8" s="1"/>
  <c r="X260" i="2"/>
  <c r="U964" i="8"/>
  <c r="U965" i="8" s="1"/>
  <c r="W394" i="2"/>
  <c r="V399" i="2"/>
  <c r="W363" i="2"/>
  <c r="W261" i="2"/>
  <c r="U793" i="2"/>
  <c r="W796" i="2"/>
  <c r="V383" i="2"/>
  <c r="V956" i="8"/>
  <c r="V957" i="8" s="1"/>
  <c r="W260" i="2"/>
  <c r="Y397" i="2"/>
  <c r="W1372" i="8"/>
  <c r="W1373" i="8" s="1"/>
  <c r="X397" i="2"/>
  <c r="X968" i="8" s="1"/>
  <c r="X969" i="8" s="1"/>
  <c r="W762" i="2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R779" i="2"/>
  <c r="V376" i="2"/>
  <c r="V908" i="8" s="1"/>
  <c r="V909" i="8" s="1"/>
  <c r="V976" i="8"/>
  <c r="V977" i="8" s="1"/>
  <c r="W658" i="2"/>
  <c r="T400" i="2"/>
  <c r="T980" i="8" s="1"/>
  <c r="T981" i="8" s="1"/>
  <c r="U844" i="8"/>
  <c r="U845" i="8" s="1"/>
  <c r="U781" i="2"/>
  <c r="U382" i="2"/>
  <c r="U1352" i="8"/>
  <c r="U1353" i="8" s="1"/>
  <c r="X868" i="8"/>
  <c r="X869" i="8" s="1"/>
  <c r="W892" i="8"/>
  <c r="W893" i="8" s="1"/>
  <c r="W952" i="8"/>
  <c r="W953" i="8" s="1"/>
  <c r="W956" i="8"/>
  <c r="W957" i="8" s="1"/>
  <c r="U876" i="8"/>
  <c r="U877" i="8" s="1"/>
  <c r="R1437" i="8"/>
  <c r="R1448" i="8"/>
  <c r="U1368" i="8"/>
  <c r="U1369" i="8" s="1"/>
  <c r="V972" i="8"/>
  <c r="V973" i="8" s="1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N250" i="2"/>
  <c r="N980" i="8"/>
  <c r="N981" i="8" s="1"/>
  <c r="N1432" i="8"/>
  <c r="N1431" i="8"/>
  <c r="U960" i="8"/>
  <c r="U961" i="8" s="1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Q380" i="2"/>
  <c r="P1340" i="8"/>
  <c r="P779" i="2"/>
  <c r="P944" i="8"/>
  <c r="P380" i="2"/>
  <c r="V757" i="2"/>
  <c r="V797" i="2" s="1"/>
  <c r="V375" i="2"/>
  <c r="V904" i="8" s="1"/>
  <c r="V905" i="8" s="1"/>
  <c r="U1356" i="8"/>
  <c r="U1357" i="8" s="1"/>
  <c r="S250" i="2"/>
  <c r="X758" i="2"/>
  <c r="X1252" i="8" s="1"/>
  <c r="X1253" i="8" s="1"/>
  <c r="U378" i="2"/>
  <c r="U916" i="8" s="1"/>
  <c r="U917" i="8" s="1"/>
  <c r="W352" i="2"/>
  <c r="W392" i="2" s="1"/>
  <c r="W756" i="2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S1432" i="8"/>
  <c r="M1431" i="8"/>
  <c r="M1432" i="8"/>
  <c r="M980" i="8"/>
  <c r="M981" i="8" s="1"/>
  <c r="M250" i="2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W791" i="2" s="1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436" i="8"/>
  <c r="T1435" i="8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92" i="2" s="1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V844" i="8"/>
  <c r="V845" i="8" s="1"/>
  <c r="X280" i="2"/>
  <c r="W334" i="2"/>
  <c r="W345" i="2"/>
  <c r="W367" i="2" s="1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1000" i="8"/>
  <c r="W1001" i="8" s="1"/>
  <c r="X677" i="2"/>
  <c r="W742" i="2"/>
  <c r="W764" i="2" s="1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W1244" i="8"/>
  <c r="W1245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X767" i="2" s="1"/>
  <c r="Y680" i="2"/>
  <c r="X734" i="2"/>
  <c r="U770" i="2"/>
  <c r="U1292" i="8" s="1"/>
  <c r="U1293" i="8" s="1"/>
  <c r="W608" i="8"/>
  <c r="W609" i="8" s="1"/>
  <c r="W333" i="2"/>
  <c r="W344" i="2"/>
  <c r="W366" i="2" s="1"/>
  <c r="X279" i="2"/>
  <c r="X259" i="2" s="1"/>
  <c r="Y1020" i="8"/>
  <c r="Y1021" i="8" s="1"/>
  <c r="Y747" i="2"/>
  <c r="Y769" i="2" s="1"/>
  <c r="Z682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X370" i="2" s="1"/>
  <c r="Y283" i="2"/>
  <c r="W620" i="8"/>
  <c r="W621" i="8" s="1"/>
  <c r="X282" i="2"/>
  <c r="W336" i="2"/>
  <c r="W347" i="2"/>
  <c r="W369" i="2" s="1"/>
  <c r="X796" i="8"/>
  <c r="X797" i="8" s="1"/>
  <c r="U371" i="2"/>
  <c r="U896" i="8" s="1"/>
  <c r="U897" i="8" s="1"/>
  <c r="V1192" i="8"/>
  <c r="V1193" i="8" s="1"/>
  <c r="W732" i="2"/>
  <c r="W743" i="2"/>
  <c r="W765" i="2" s="1"/>
  <c r="W1004" i="8"/>
  <c r="W1005" i="8" s="1"/>
  <c r="X678" i="2"/>
  <c r="W996" i="8"/>
  <c r="W997" i="8" s="1"/>
  <c r="W730" i="2"/>
  <c r="W741" i="2"/>
  <c r="W763" i="2" s="1"/>
  <c r="X676" i="2"/>
  <c r="X657" i="2" s="1"/>
  <c r="V1212" i="8"/>
  <c r="V1213" i="8" s="1"/>
  <c r="U389" i="2"/>
  <c r="U940" i="8" s="1"/>
  <c r="U941" i="8" s="1"/>
  <c r="V1164" i="8"/>
  <c r="V1165" i="8" s="1"/>
  <c r="Z277" i="2"/>
  <c r="Y600" i="8"/>
  <c r="Y601" i="8" s="1"/>
  <c r="Y342" i="2"/>
  <c r="Y364" i="2" s="1"/>
  <c r="Y331" i="2"/>
  <c r="V828" i="8"/>
  <c r="V829" i="8" s="1"/>
  <c r="U360" i="2"/>
  <c r="Z616" i="8"/>
  <c r="Z617" i="8" s="1"/>
  <c r="Z346" i="2"/>
  <c r="Z368" i="2" s="1"/>
  <c r="AA281" i="2"/>
  <c r="Z335" i="2"/>
  <c r="V1156" i="8"/>
  <c r="V1157" i="8" s="1"/>
  <c r="V1176" i="8"/>
  <c r="V1177" i="8" s="1"/>
  <c r="U400" i="2"/>
  <c r="T789" i="2"/>
  <c r="T1340" i="8" s="1"/>
  <c r="Y276" i="2"/>
  <c r="X330" i="2"/>
  <c r="X596" i="8"/>
  <c r="X597" i="8" s="1"/>
  <c r="X341" i="2"/>
  <c r="Y812" i="8"/>
  <c r="Y813" i="8" s="1"/>
  <c r="X604" i="8"/>
  <c r="X605" i="8" s="1"/>
  <c r="Y278" i="2"/>
  <c r="X343" i="2"/>
  <c r="X365" i="2" s="1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W746" i="2"/>
  <c r="W768" i="2" s="1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679" i="2"/>
  <c r="X744" i="2"/>
  <c r="X766" i="2" s="1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X261" i="2" l="1"/>
  <c r="X363" i="2"/>
  <c r="X762" i="2"/>
  <c r="X782" i="2"/>
  <c r="Y393" i="2"/>
  <c r="X832" i="8"/>
  <c r="X833" i="8" s="1"/>
  <c r="Z397" i="2"/>
  <c r="W396" i="2"/>
  <c r="X795" i="2"/>
  <c r="W782" i="2"/>
  <c r="W383" i="2"/>
  <c r="W399" i="2"/>
  <c r="X791" i="2"/>
  <c r="Y261" i="2"/>
  <c r="Y260" i="2"/>
  <c r="W793" i="2"/>
  <c r="W1352" i="8" s="1"/>
  <c r="W1353" i="8" s="1"/>
  <c r="V793" i="2"/>
  <c r="V1352" i="8" s="1"/>
  <c r="V1353" i="8" s="1"/>
  <c r="V395" i="2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Y968" i="8"/>
  <c r="Y969" i="8" s="1"/>
  <c r="V1348" i="8"/>
  <c r="V1349" i="8" s="1"/>
  <c r="T1432" i="8"/>
  <c r="X258" i="2"/>
  <c r="Y884" i="8"/>
  <c r="Y885" i="8" s="1"/>
  <c r="V964" i="8"/>
  <c r="V965" i="8" s="1"/>
  <c r="X658" i="2"/>
  <c r="T250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P1433" i="8"/>
  <c r="P1445" i="8"/>
  <c r="V960" i="8"/>
  <c r="V961" i="8" s="1"/>
  <c r="W880" i="8"/>
  <c r="W881" i="8" s="1"/>
  <c r="S1433" i="8"/>
  <c r="S1445" i="8"/>
  <c r="P1437" i="8"/>
  <c r="P1448" i="8"/>
  <c r="W976" i="8"/>
  <c r="W977" i="8" s="1"/>
  <c r="Q1437" i="8"/>
  <c r="Q1448" i="8"/>
  <c r="Q1433" i="8"/>
  <c r="Q1445" i="8"/>
  <c r="O1437" i="8"/>
  <c r="O1448" i="8"/>
  <c r="S1437" i="8"/>
  <c r="S1448" i="8"/>
  <c r="R1433" i="8"/>
  <c r="R1445" i="8"/>
  <c r="X755" i="2"/>
  <c r="X1240" i="8" s="1"/>
  <c r="X1241" i="8" s="1"/>
  <c r="W355" i="2"/>
  <c r="W395" i="2" s="1"/>
  <c r="T920" i="8"/>
  <c r="T921" i="8" s="1"/>
  <c r="T380" i="2"/>
  <c r="W356" i="2"/>
  <c r="W844" i="8" s="1"/>
  <c r="W845" i="8" s="1"/>
  <c r="X756" i="2"/>
  <c r="X1244" i="8" s="1"/>
  <c r="X1245" i="8" s="1"/>
  <c r="W757" i="2"/>
  <c r="W1248" i="8" s="1"/>
  <c r="W1249" i="8" s="1"/>
  <c r="X751" i="2"/>
  <c r="X352" i="2"/>
  <c r="X392" i="2" s="1"/>
  <c r="U860" i="8"/>
  <c r="U861" i="8" s="1"/>
  <c r="U381" i="2"/>
  <c r="U1434" i="8" s="1"/>
  <c r="W752" i="2"/>
  <c r="W358" i="2"/>
  <c r="W852" i="8" s="1"/>
  <c r="W853" i="8" s="1"/>
  <c r="Y758" i="2"/>
  <c r="Y798" i="2" s="1"/>
  <c r="T779" i="2"/>
  <c r="X354" i="2"/>
  <c r="X836" i="8" s="1"/>
  <c r="X837" i="8" s="1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X1372" i="8"/>
  <c r="X1373" i="8" s="1"/>
  <c r="Y353" i="2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5" i="8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U1376" i="8"/>
  <c r="U1377" i="8" s="1"/>
  <c r="U649" i="2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280" i="2"/>
  <c r="X345" i="2"/>
  <c r="X367" i="2" s="1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Y365" i="2" s="1"/>
  <c r="Z278" i="2"/>
  <c r="W1164" i="8"/>
  <c r="W1165" i="8" s="1"/>
  <c r="X620" i="8"/>
  <c r="X621" i="8" s="1"/>
  <c r="X336" i="2"/>
  <c r="Y282" i="2"/>
  <c r="X347" i="2"/>
  <c r="X369" i="2" s="1"/>
  <c r="V389" i="2"/>
  <c r="V940" i="8" s="1"/>
  <c r="V941" i="8" s="1"/>
  <c r="Y1008" i="8"/>
  <c r="Y1009" i="8" s="1"/>
  <c r="Z679" i="2"/>
  <c r="Y733" i="2"/>
  <c r="Y744" i="2"/>
  <c r="Y766" i="2" s="1"/>
  <c r="AB281" i="2"/>
  <c r="AA616" i="8"/>
  <c r="AA617" i="8" s="1"/>
  <c r="AA346" i="2"/>
  <c r="AA368" i="2" s="1"/>
  <c r="AA335" i="2"/>
  <c r="V1264" i="8"/>
  <c r="V1265" i="8" s="1"/>
  <c r="V785" i="2"/>
  <c r="V1324" i="8" s="1"/>
  <c r="V1325" i="8" s="1"/>
  <c r="Y624" i="8"/>
  <c r="Y625" i="8" s="1"/>
  <c r="Y348" i="2"/>
  <c r="Y370" i="2" s="1"/>
  <c r="Y337" i="2"/>
  <c r="Z283" i="2"/>
  <c r="Y1012" i="8"/>
  <c r="Y1013" i="8" s="1"/>
  <c r="Y745" i="2"/>
  <c r="Y767" i="2" s="1"/>
  <c r="Z680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X856" i="8"/>
  <c r="X857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X375" i="2"/>
  <c r="X904" i="8" s="1"/>
  <c r="X905" i="8" s="1"/>
  <c r="Z1020" i="8"/>
  <c r="Z1021" i="8" s="1"/>
  <c r="Z736" i="2"/>
  <c r="AA682" i="2"/>
  <c r="Z747" i="2"/>
  <c r="Z769" i="2" s="1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741" i="2"/>
  <c r="X763" i="2" s="1"/>
  <c r="Y676" i="2"/>
  <c r="Y659" i="2" s="1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V400" i="2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344" i="2"/>
  <c r="X366" i="2" s="1"/>
  <c r="Y279" i="2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X768" i="2" s="1"/>
  <c r="Y681" i="2"/>
  <c r="V1248" i="8"/>
  <c r="V1249" i="8" s="1"/>
  <c r="V773" i="2"/>
  <c r="AA277" i="2"/>
  <c r="Z331" i="2"/>
  <c r="Z600" i="8"/>
  <c r="Z601" i="8" s="1"/>
  <c r="Z342" i="2"/>
  <c r="Z364" i="2" s="1"/>
  <c r="X1004" i="8"/>
  <c r="X1005" i="8" s="1"/>
  <c r="X743" i="2"/>
  <c r="X765" i="2" s="1"/>
  <c r="X732" i="2"/>
  <c r="Y678" i="2"/>
  <c r="Y658" i="2" s="1"/>
  <c r="W804" i="8"/>
  <c r="W805" i="8" s="1"/>
  <c r="W876" i="8"/>
  <c r="W877" i="8" s="1"/>
  <c r="W376" i="2"/>
  <c r="W908" i="8" s="1"/>
  <c r="W909" i="8" s="1"/>
  <c r="X1000" i="8"/>
  <c r="X1001" i="8" s="1"/>
  <c r="Y677" i="2"/>
  <c r="X742" i="2"/>
  <c r="X764" i="2" s="1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X396" i="2" l="1"/>
  <c r="Y660" i="2"/>
  <c r="Z393" i="2"/>
  <c r="Y259" i="2"/>
  <c r="X395" i="2"/>
  <c r="X394" i="2"/>
  <c r="W794" i="2"/>
  <c r="W799" i="2" s="1"/>
  <c r="X383" i="2"/>
  <c r="W781" i="2"/>
  <c r="Z660" i="2"/>
  <c r="Y762" i="2"/>
  <c r="Y399" i="2"/>
  <c r="W797" i="2"/>
  <c r="W1368" i="8" s="1"/>
  <c r="W1369" i="8" s="1"/>
  <c r="AA397" i="2"/>
  <c r="Y657" i="2"/>
  <c r="W398" i="2"/>
  <c r="W972" i="8" s="1"/>
  <c r="W973" i="8" s="1"/>
  <c r="X796" i="2"/>
  <c r="X1364" i="8" s="1"/>
  <c r="X1365" i="8" s="1"/>
  <c r="Y363" i="2"/>
  <c r="Y383" i="2"/>
  <c r="Z798" i="2"/>
  <c r="W792" i="2"/>
  <c r="X1280" i="8"/>
  <c r="X1281" i="8" s="1"/>
  <c r="X387" i="2"/>
  <c r="X932" i="8" s="1"/>
  <c r="X933" i="8" s="1"/>
  <c r="Y258" i="2"/>
  <c r="W960" i="8"/>
  <c r="W961" i="8" s="1"/>
  <c r="Y1372" i="8"/>
  <c r="Y1373" i="8" s="1"/>
  <c r="Y952" i="8"/>
  <c r="Y953" i="8" s="1"/>
  <c r="X1360" i="8"/>
  <c r="X1361" i="8" s="1"/>
  <c r="V799" i="2"/>
  <c r="V649" i="2" s="1"/>
  <c r="W840" i="8"/>
  <c r="W841" i="8" s="1"/>
  <c r="W382" i="2"/>
  <c r="Z968" i="8"/>
  <c r="Z969" i="8" s="1"/>
  <c r="W1348" i="8"/>
  <c r="W134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Y976" i="8"/>
  <c r="Y977" i="8" s="1"/>
  <c r="Z868" i="8"/>
  <c r="Z869" i="8" s="1"/>
  <c r="Z952" i="8"/>
  <c r="Z953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X956" i="8"/>
  <c r="X957" i="8" s="1"/>
  <c r="Z758" i="2"/>
  <c r="Y354" i="2"/>
  <c r="Y836" i="8" s="1"/>
  <c r="Y837" i="8" s="1"/>
  <c r="Y756" i="2"/>
  <c r="Y796" i="2" s="1"/>
  <c r="X752" i="2"/>
  <c r="X781" i="2" s="1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W964" i="8"/>
  <c r="W965" i="8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55" i="2"/>
  <c r="V1256" i="8"/>
  <c r="V1257" i="8" s="1"/>
  <c r="V780" i="2"/>
  <c r="V1438" i="8" s="1"/>
  <c r="Y352" i="2"/>
  <c r="Y392" i="2" s="1"/>
  <c r="V1431" i="8"/>
  <c r="V1432" i="8"/>
  <c r="V1435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V1376" i="8"/>
  <c r="V1377" i="8" s="1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Z280" i="2"/>
  <c r="Y345" i="2"/>
  <c r="Y367" i="2" s="1"/>
  <c r="Y334" i="2"/>
  <c r="Y612" i="8"/>
  <c r="Y613" i="8" s="1"/>
  <c r="V379" i="2"/>
  <c r="W371" i="2"/>
  <c r="W896" i="8" s="1"/>
  <c r="W897" i="8" s="1"/>
  <c r="X840" i="8"/>
  <c r="X841" i="8" s="1"/>
  <c r="X768" i="8"/>
  <c r="X769" i="8" s="1"/>
  <c r="AA1020" i="8"/>
  <c r="AA1021" i="8" s="1"/>
  <c r="AB682" i="2"/>
  <c r="AA736" i="2"/>
  <c r="AA747" i="2"/>
  <c r="AA769" i="2" s="1"/>
  <c r="Y775" i="2"/>
  <c r="Y1304" i="8" s="1"/>
  <c r="Y1305" i="8" s="1"/>
  <c r="X948" i="8"/>
  <c r="X949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Y347" i="2"/>
  <c r="Y369" i="2" s="1"/>
  <c r="Y1016" i="8"/>
  <c r="Y1017" i="8" s="1"/>
  <c r="Y746" i="2"/>
  <c r="Y768" i="2" s="1"/>
  <c r="Z681" i="2"/>
  <c r="Y735" i="2"/>
  <c r="Y786" i="2"/>
  <c r="Y1328" i="8" s="1"/>
  <c r="Y1329" i="8" s="1"/>
  <c r="Z1180" i="8"/>
  <c r="Z1181" i="8" s="1"/>
  <c r="Z1252" i="8"/>
  <c r="Z1253" i="8" s="1"/>
  <c r="X864" i="8"/>
  <c r="X865" i="8" s="1"/>
  <c r="X1212" i="8"/>
  <c r="X1213" i="8" s="1"/>
  <c r="X1284" i="8"/>
  <c r="X1285" i="8" s="1"/>
  <c r="Y996" i="8"/>
  <c r="Y997" i="8" s="1"/>
  <c r="Y741" i="2"/>
  <c r="Y763" i="2" s="1"/>
  <c r="Y730" i="2"/>
  <c r="Z676" i="2"/>
  <c r="AA776" i="8"/>
  <c r="AA777" i="8" s="1"/>
  <c r="AA848" i="8"/>
  <c r="AA849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281" i="2"/>
  <c r="AB616" i="8"/>
  <c r="AB617" i="8" s="1"/>
  <c r="AB346" i="2"/>
  <c r="AB368" i="2" s="1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Y765" i="2" s="1"/>
  <c r="Z678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Z744" i="2"/>
  <c r="Z766" i="2" s="1"/>
  <c r="Z733" i="2"/>
  <c r="Z796" i="8"/>
  <c r="Z797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Z365" i="2" s="1"/>
  <c r="X1160" i="8"/>
  <c r="X1161" i="8" s="1"/>
  <c r="Y756" i="8"/>
  <c r="Y757" i="8" s="1"/>
  <c r="Y1188" i="8"/>
  <c r="Y1189" i="8" s="1"/>
  <c r="Z624" i="8"/>
  <c r="Z625" i="8" s="1"/>
  <c r="Z348" i="2"/>
  <c r="Z370" i="2" s="1"/>
  <c r="Z337" i="2"/>
  <c r="AA283" i="2"/>
  <c r="W773" i="2"/>
  <c r="W385" i="2"/>
  <c r="Z1012" i="8"/>
  <c r="Z1013" i="8" s="1"/>
  <c r="AA680" i="2"/>
  <c r="Z745" i="2"/>
  <c r="Z767" i="2" s="1"/>
  <c r="Z734" i="2"/>
  <c r="X1196" i="8"/>
  <c r="X1197" i="8" s="1"/>
  <c r="Z760" i="8"/>
  <c r="Z761" i="8" s="1"/>
  <c r="Z279" i="2"/>
  <c r="Z260" i="2" s="1"/>
  <c r="Y333" i="2"/>
  <c r="Y608" i="8"/>
  <c r="Y609" i="8" s="1"/>
  <c r="Y344" i="2"/>
  <c r="Y366" i="2" s="1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Y764" i="2" s="1"/>
  <c r="Z677" i="2"/>
  <c r="Y731" i="2"/>
  <c r="AA331" i="2"/>
  <c r="AA600" i="8"/>
  <c r="AA601" i="8" s="1"/>
  <c r="AB277" i="2"/>
  <c r="AA342" i="2"/>
  <c r="AA364" i="2" s="1"/>
  <c r="X804" i="8"/>
  <c r="X805" i="8" s="1"/>
  <c r="X876" i="8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Y1244" i="8" l="1"/>
  <c r="Y1245" i="8" s="1"/>
  <c r="Z363" i="2"/>
  <c r="Z383" i="2"/>
  <c r="Y1240" i="8"/>
  <c r="Y1241" i="8" s="1"/>
  <c r="Z762" i="2"/>
  <c r="Z782" i="2"/>
  <c r="Y395" i="2"/>
  <c r="Z399" i="2"/>
  <c r="W400" i="2"/>
  <c r="W250" i="2" s="1"/>
  <c r="Y396" i="2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Z795" i="2"/>
  <c r="Z1360" i="8" s="1"/>
  <c r="Z1361" i="8" s="1"/>
  <c r="Z658" i="2"/>
  <c r="Y398" i="2"/>
  <c r="Y972" i="8" s="1"/>
  <c r="Y973" i="8" s="1"/>
  <c r="Z659" i="2"/>
  <c r="AA798" i="2"/>
  <c r="X797" i="2"/>
  <c r="X1368" i="8" s="1"/>
  <c r="X1369" i="8" s="1"/>
  <c r="X792" i="2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X972" i="8"/>
  <c r="X973" i="8" s="1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W1438" i="8" s="1"/>
  <c r="AB357" i="2"/>
  <c r="AB397" i="2" s="1"/>
  <c r="Y757" i="2"/>
  <c r="Y797" i="2" s="1"/>
  <c r="Y358" i="2"/>
  <c r="Y852" i="8" s="1"/>
  <c r="Y853" i="8" s="1"/>
  <c r="Z352" i="2"/>
  <c r="Z392" i="2" s="1"/>
  <c r="Y752" i="2"/>
  <c r="Y792" i="2" s="1"/>
  <c r="Z1372" i="8"/>
  <c r="Z1373" i="8" s="1"/>
  <c r="X784" i="2"/>
  <c r="X1320" i="8" s="1"/>
  <c r="X1321" i="8" s="1"/>
  <c r="Z755" i="2"/>
  <c r="W860" i="8"/>
  <c r="W861" i="8" s="1"/>
  <c r="W381" i="2"/>
  <c r="W1434" i="8" s="1"/>
  <c r="AA353" i="2"/>
  <c r="AA832" i="8" s="1"/>
  <c r="AA833" i="8" s="1"/>
  <c r="Z354" i="2"/>
  <c r="Z394" i="2" s="1"/>
  <c r="W1435" i="8"/>
  <c r="W1436" i="8"/>
  <c r="W1431" i="8"/>
  <c r="W1432" i="8"/>
  <c r="Y386" i="2"/>
  <c r="Y928" i="8" s="1"/>
  <c r="Y929" i="8" s="1"/>
  <c r="X389" i="2"/>
  <c r="X940" i="8" s="1"/>
  <c r="X941" i="8" s="1"/>
  <c r="W980" i="8"/>
  <c r="W981" i="8" s="1"/>
  <c r="Y349" i="2"/>
  <c r="Y824" i="8" s="1"/>
  <c r="Y825" i="8" s="1"/>
  <c r="Y338" i="2"/>
  <c r="Y788" i="8" s="1"/>
  <c r="Y789" i="8" s="1"/>
  <c r="Y355" i="2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W1376" i="8"/>
  <c r="W1377" i="8" s="1"/>
  <c r="W649" i="2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Z367" i="2" s="1"/>
  <c r="AA280" i="2"/>
  <c r="AA260" i="2" s="1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766" i="2" s="1"/>
  <c r="AA596" i="8"/>
  <c r="AA597" i="8" s="1"/>
  <c r="AB276" i="2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Z765" i="2" s="1"/>
  <c r="AA678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C335" i="2"/>
  <c r="AC616" i="8"/>
  <c r="AC617" i="8" s="1"/>
  <c r="AC346" i="2"/>
  <c r="AC368" i="2" s="1"/>
  <c r="AA1216" i="8"/>
  <c r="AA1217" i="8" s="1"/>
  <c r="Y864" i="8"/>
  <c r="Y865" i="8" s="1"/>
  <c r="Z1152" i="8"/>
  <c r="Z1153" i="8" s="1"/>
  <c r="AA624" i="8"/>
  <c r="AA625" i="8" s="1"/>
  <c r="AA348" i="2"/>
  <c r="AA370" i="2" s="1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A745" i="2"/>
  <c r="AA767" i="2" s="1"/>
  <c r="Y828" i="8"/>
  <c r="Y829" i="8" s="1"/>
  <c r="Z1188" i="8"/>
  <c r="Z1189" i="8" s="1"/>
  <c r="AB812" i="8"/>
  <c r="AB813" i="8" s="1"/>
  <c r="Y768" i="8"/>
  <c r="Y769" i="8" s="1"/>
  <c r="Z784" i="8"/>
  <c r="Z785" i="8" s="1"/>
  <c r="Z856" i="8"/>
  <c r="Z857" i="8" s="1"/>
  <c r="Y1176" i="8"/>
  <c r="Y1177" i="8" s="1"/>
  <c r="AB1020" i="8"/>
  <c r="AB1021" i="8" s="1"/>
  <c r="AB736" i="2"/>
  <c r="AB747" i="2"/>
  <c r="AB769" i="2" s="1"/>
  <c r="AC682" i="2"/>
  <c r="AA796" i="8"/>
  <c r="AA797" i="8" s="1"/>
  <c r="AA279" i="2"/>
  <c r="Z333" i="2"/>
  <c r="Z608" i="8"/>
  <c r="Z609" i="8" s="1"/>
  <c r="Z344" i="2"/>
  <c r="Z366" i="2" s="1"/>
  <c r="Z820" i="8"/>
  <c r="Z821" i="8" s="1"/>
  <c r="Z996" i="8"/>
  <c r="Z997" i="8" s="1"/>
  <c r="Z730" i="2"/>
  <c r="Z741" i="2"/>
  <c r="Z763" i="2" s="1"/>
  <c r="AA676" i="2"/>
  <c r="AA658" i="2" s="1"/>
  <c r="Z1016" i="8"/>
  <c r="Z1017" i="8" s="1"/>
  <c r="AA681" i="2"/>
  <c r="Z746" i="2"/>
  <c r="Z768" i="2" s="1"/>
  <c r="Z735" i="2"/>
  <c r="AB600" i="8"/>
  <c r="AB601" i="8" s="1"/>
  <c r="AB331" i="2"/>
  <c r="AB342" i="2"/>
  <c r="AB364" i="2" s="1"/>
  <c r="AC277" i="2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64" i="2" s="1"/>
  <c r="Z731" i="2"/>
  <c r="AA677" i="2"/>
  <c r="X774" i="2"/>
  <c r="X1300" i="8" s="1"/>
  <c r="X1301" i="8" s="1"/>
  <c r="AA343" i="2"/>
  <c r="AA365" i="2" s="1"/>
  <c r="AA604" i="8"/>
  <c r="AA605" i="8" s="1"/>
  <c r="AA332" i="2"/>
  <c r="AB278" i="2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Z369" i="2" s="1"/>
  <c r="AA282" i="2"/>
  <c r="AA258" i="2" s="1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Y773" i="2" l="1"/>
  <c r="Z395" i="2"/>
  <c r="AA392" i="2"/>
  <c r="Y382" i="2"/>
  <c r="AA393" i="2"/>
  <c r="AA363" i="2"/>
  <c r="AA660" i="2"/>
  <c r="AB660" i="2"/>
  <c r="Y1248" i="8"/>
  <c r="Y1249" i="8" s="1"/>
  <c r="AA259" i="2"/>
  <c r="Z796" i="2"/>
  <c r="Y794" i="2"/>
  <c r="Y1356" i="8" s="1"/>
  <c r="Y1357" i="8" s="1"/>
  <c r="AA659" i="2"/>
  <c r="AB968" i="8"/>
  <c r="AB969" i="8" s="1"/>
  <c r="AA796" i="2"/>
  <c r="AA1364" i="8" s="1"/>
  <c r="AA1365" i="8" s="1"/>
  <c r="AA795" i="2"/>
  <c r="Y781" i="2"/>
  <c r="AB798" i="2"/>
  <c r="Y793" i="2"/>
  <c r="Z797" i="2"/>
  <c r="AA762" i="2"/>
  <c r="X799" i="2"/>
  <c r="X1436" i="8" s="1"/>
  <c r="AA261" i="2"/>
  <c r="Z836" i="8"/>
  <c r="Z837" i="8" s="1"/>
  <c r="X1348" i="8"/>
  <c r="X1349" i="8" s="1"/>
  <c r="AA657" i="2"/>
  <c r="Z976" i="8"/>
  <c r="Z977" i="8" s="1"/>
  <c r="Y1352" i="8"/>
  <c r="Y1353" i="8" s="1"/>
  <c r="X400" i="2"/>
  <c r="X1431" i="8" s="1"/>
  <c r="AA952" i="8"/>
  <c r="AA953" i="8" s="1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AA1372" i="8"/>
  <c r="AA1373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Z1364" i="8"/>
  <c r="Z1365" i="8" s="1"/>
  <c r="Y777" i="2"/>
  <c r="Y1312" i="8" s="1"/>
  <c r="Y1313" i="8" s="1"/>
  <c r="Z757" i="2"/>
  <c r="AC357" i="2"/>
  <c r="AC848" i="8" s="1"/>
  <c r="AC849" i="8" s="1"/>
  <c r="Z754" i="2"/>
  <c r="Z1236" i="8" s="1"/>
  <c r="Z1237" i="8" s="1"/>
  <c r="AA352" i="2"/>
  <c r="X1256" i="8"/>
  <c r="X1257" i="8" s="1"/>
  <c r="X780" i="2"/>
  <c r="X1438" i="8" s="1"/>
  <c r="Y840" i="8"/>
  <c r="Y841" i="8" s="1"/>
  <c r="Z358" i="2"/>
  <c r="Z752" i="2"/>
  <c r="AB758" i="2"/>
  <c r="AA359" i="2"/>
  <c r="AA856" i="8" s="1"/>
  <c r="AA857" i="8" s="1"/>
  <c r="AA751" i="2"/>
  <c r="AA791" i="2" s="1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755" i="2"/>
  <c r="AA1240" i="8" s="1"/>
  <c r="AA1241" i="8" s="1"/>
  <c r="X860" i="8"/>
  <c r="X861" i="8" s="1"/>
  <c r="X381" i="2"/>
  <c r="X1434" i="8" s="1"/>
  <c r="Z956" i="8"/>
  <c r="Z957" i="8" s="1"/>
  <c r="V183" i="2"/>
  <c r="Z753" i="2"/>
  <c r="Z1232" i="8" s="1"/>
  <c r="Z1233" i="8" s="1"/>
  <c r="AB353" i="2"/>
  <c r="X1435" i="8"/>
  <c r="X1432" i="8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AA367" i="2" s="1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B259" i="2" s="1"/>
  <c r="AA333" i="2"/>
  <c r="AA608" i="8"/>
  <c r="AA609" i="8" s="1"/>
  <c r="AA344" i="2"/>
  <c r="AA366" i="2" s="1"/>
  <c r="Y378" i="2"/>
  <c r="Y916" i="8" s="1"/>
  <c r="Y917" i="8" s="1"/>
  <c r="AA1172" i="8"/>
  <c r="AA1173" i="8" s="1"/>
  <c r="AA1244" i="8"/>
  <c r="AA1245" i="8" s="1"/>
  <c r="AA1188" i="8"/>
  <c r="AA1189" i="8" s="1"/>
  <c r="AA1016" i="8"/>
  <c r="AA1017" i="8" s="1"/>
  <c r="AB681" i="2"/>
  <c r="AA746" i="2"/>
  <c r="AA768" i="2" s="1"/>
  <c r="AA735" i="2"/>
  <c r="AA1152" i="8"/>
  <c r="AA1153" i="8" s="1"/>
  <c r="Y770" i="2"/>
  <c r="Y1292" i="8" s="1"/>
  <c r="Y1293" i="8" s="1"/>
  <c r="AB348" i="2"/>
  <c r="AB370" i="2" s="1"/>
  <c r="AB624" i="8"/>
  <c r="AB625" i="8" s="1"/>
  <c r="AC283" i="2"/>
  <c r="AB337" i="2"/>
  <c r="AC812" i="8"/>
  <c r="AC813" i="8" s="1"/>
  <c r="AC884" i="8"/>
  <c r="AC885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A763" i="2" s="1"/>
  <c r="AB676" i="2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276" i="2"/>
  <c r="AB341" i="2"/>
  <c r="AB330" i="2"/>
  <c r="Y1296" i="8"/>
  <c r="Y1297" i="8" s="1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A765" i="2" s="1"/>
  <c r="AB678" i="2"/>
  <c r="AA1204" i="8"/>
  <c r="AA1205" i="8" s="1"/>
  <c r="Z864" i="8"/>
  <c r="Z865" i="8" s="1"/>
  <c r="AB343" i="2"/>
  <c r="AB365" i="2" s="1"/>
  <c r="AB332" i="2"/>
  <c r="AB604" i="8"/>
  <c r="AB605" i="8" s="1"/>
  <c r="AC278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D335" i="2"/>
  <c r="AD346" i="2"/>
  <c r="AD368" i="2" s="1"/>
  <c r="AB1180" i="8"/>
  <c r="AB1181" i="8" s="1"/>
  <c r="Z1200" i="8"/>
  <c r="Z1201" i="8" s="1"/>
  <c r="AB1008" i="8"/>
  <c r="AB1009" i="8" s="1"/>
  <c r="AB744" i="2"/>
  <c r="AB766" i="2" s="1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AA369" i="2" s="1"/>
  <c r="Z816" i="8"/>
  <c r="Z817" i="8" s="1"/>
  <c r="AA1000" i="8"/>
  <c r="AA1001" i="8" s="1"/>
  <c r="AA742" i="2"/>
  <c r="AA764" i="2" s="1"/>
  <c r="AB677" i="2"/>
  <c r="AA731" i="2"/>
  <c r="AC600" i="8"/>
  <c r="AC601" i="8" s="1"/>
  <c r="AC331" i="2"/>
  <c r="AC342" i="2"/>
  <c r="AC364" i="2" s="1"/>
  <c r="AD277" i="2"/>
  <c r="Z780" i="8"/>
  <c r="Z781" i="8" s="1"/>
  <c r="Z852" i="8"/>
  <c r="Z853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C769" i="2" s="1"/>
  <c r="AD682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AB1012" i="8"/>
  <c r="AB1013" i="8" s="1"/>
  <c r="AB745" i="2"/>
  <c r="AB767" i="2" s="1"/>
  <c r="AB734" i="2"/>
  <c r="AC680" i="2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B658" i="2" l="1"/>
  <c r="AB258" i="2"/>
  <c r="AB659" i="2"/>
  <c r="AB394" i="2"/>
  <c r="AA383" i="2"/>
  <c r="X250" i="2"/>
  <c r="Z774" i="2"/>
  <c r="Z1300" i="8" s="1"/>
  <c r="Z1301" i="8" s="1"/>
  <c r="X980" i="8"/>
  <c r="X981" i="8" s="1"/>
  <c r="Z374" i="2"/>
  <c r="Z398" i="2"/>
  <c r="Z972" i="8" s="1"/>
  <c r="Z973" i="8" s="1"/>
  <c r="Z794" i="2"/>
  <c r="Z1356" i="8" s="1"/>
  <c r="Z1357" i="8" s="1"/>
  <c r="AB363" i="2"/>
  <c r="AA399" i="2"/>
  <c r="AA976" i="8" s="1"/>
  <c r="AA977" i="8" s="1"/>
  <c r="AA797" i="2"/>
  <c r="Z396" i="2"/>
  <c r="Z964" i="8" s="1"/>
  <c r="Z965" i="8" s="1"/>
  <c r="AB393" i="2"/>
  <c r="AB952" i="8" s="1"/>
  <c r="AB953" i="8" s="1"/>
  <c r="AA782" i="2"/>
  <c r="AA394" i="2"/>
  <c r="AA956" i="8" s="1"/>
  <c r="AA957" i="8" s="1"/>
  <c r="AB762" i="2"/>
  <c r="AC393" i="2"/>
  <c r="AB832" i="8"/>
  <c r="AB833" i="8" s="1"/>
  <c r="AB260" i="2"/>
  <c r="AB796" i="2"/>
  <c r="AB261" i="2"/>
  <c r="AC397" i="2"/>
  <c r="AC968" i="8" s="1"/>
  <c r="AC969" i="8" s="1"/>
  <c r="Z793" i="2"/>
  <c r="Z792" i="2"/>
  <c r="Z799" i="2" s="1"/>
  <c r="AA382" i="2"/>
  <c r="Y799" i="2"/>
  <c r="Y1435" i="8" s="1"/>
  <c r="Z1272" i="8"/>
  <c r="Z1273" i="8" s="1"/>
  <c r="Z382" i="2"/>
  <c r="AB657" i="2"/>
  <c r="Z840" i="8"/>
  <c r="Z841" i="8" s="1"/>
  <c r="Z1348" i="8"/>
  <c r="Z1349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91" i="2" s="1"/>
  <c r="AB755" i="2"/>
  <c r="AB795" i="2" s="1"/>
  <c r="X920" i="8"/>
  <c r="X921" i="8" s="1"/>
  <c r="X380" i="2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781" i="2" s="1"/>
  <c r="AA356" i="2"/>
  <c r="AA396" i="2" s="1"/>
  <c r="AA1360" i="8"/>
  <c r="AA1361" i="8" s="1"/>
  <c r="AA1344" i="8"/>
  <c r="AA1345" i="8" s="1"/>
  <c r="Y860" i="8"/>
  <c r="Y861" i="8" s="1"/>
  <c r="Y381" i="2"/>
  <c r="Y1434" i="8" s="1"/>
  <c r="AC758" i="2"/>
  <c r="AC798" i="2" s="1"/>
  <c r="AB1252" i="8"/>
  <c r="AB1253" i="8" s="1"/>
  <c r="AB756" i="2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B392" i="2" s="1"/>
  <c r="AA757" i="2"/>
  <c r="AC353" i="2"/>
  <c r="AC832" i="8" s="1"/>
  <c r="AC833" i="8" s="1"/>
  <c r="AD357" i="2"/>
  <c r="AD397" i="2" s="1"/>
  <c r="X1316" i="8"/>
  <c r="X1317" i="8" s="1"/>
  <c r="X779" i="2"/>
  <c r="Y1436" i="8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Y1376" i="8"/>
  <c r="Y1377" i="8" s="1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A844" i="8"/>
  <c r="AA845" i="8" s="1"/>
  <c r="AB334" i="2"/>
  <c r="AC280" i="2"/>
  <c r="AC260" i="2" s="1"/>
  <c r="AB612" i="8"/>
  <c r="AB613" i="8" s="1"/>
  <c r="AB345" i="2"/>
  <c r="AB367" i="2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B765" i="2" s="1"/>
  <c r="AC678" i="2"/>
  <c r="Z759" i="2"/>
  <c r="AA376" i="2"/>
  <c r="AA908" i="8" s="1"/>
  <c r="AA909" i="8" s="1"/>
  <c r="AB1152" i="8"/>
  <c r="AB1153" i="8" s="1"/>
  <c r="AA1176" i="8"/>
  <c r="AA1177" i="8" s="1"/>
  <c r="AA1248" i="8"/>
  <c r="AA1249" i="8" s="1"/>
  <c r="AC1008" i="8"/>
  <c r="AC1009" i="8" s="1"/>
  <c r="AC744" i="2"/>
  <c r="AC766" i="2" s="1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D769" i="2" s="1"/>
  <c r="AE682" i="2"/>
  <c r="AC1012" i="8"/>
  <c r="AC1013" i="8" s="1"/>
  <c r="AC745" i="2"/>
  <c r="AC767" i="2" s="1"/>
  <c r="AC734" i="2"/>
  <c r="AD680" i="2"/>
  <c r="AC1216" i="8"/>
  <c r="AC1217" i="8" s="1"/>
  <c r="Z385" i="2"/>
  <c r="AC604" i="8"/>
  <c r="AC605" i="8" s="1"/>
  <c r="AC343" i="2"/>
  <c r="AC365" i="2" s="1"/>
  <c r="AC332" i="2"/>
  <c r="AD278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A804" i="8"/>
  <c r="AA805" i="8" s="1"/>
  <c r="AA876" i="8"/>
  <c r="AA877" i="8" s="1"/>
  <c r="AB1172" i="8"/>
  <c r="AB1173" i="8" s="1"/>
  <c r="AB1244" i="8"/>
  <c r="AB1245" i="8" s="1"/>
  <c r="Y900" i="8"/>
  <c r="Y901" i="8" s="1"/>
  <c r="Y379" i="2"/>
  <c r="AC1180" i="8"/>
  <c r="AC1181" i="8" s="1"/>
  <c r="AC1252" i="8"/>
  <c r="AC1253" i="8" s="1"/>
  <c r="AD812" i="8"/>
  <c r="AD813" i="8" s="1"/>
  <c r="AD884" i="8"/>
  <c r="AD885" i="8" s="1"/>
  <c r="AA1164" i="8"/>
  <c r="AA1165" i="8" s="1"/>
  <c r="AB996" i="8"/>
  <c r="AB997" i="8" s="1"/>
  <c r="AC676" i="2"/>
  <c r="AC658" i="2" s="1"/>
  <c r="AB741" i="2"/>
  <c r="AB763" i="2" s="1"/>
  <c r="AB730" i="2"/>
  <c r="AB1016" i="8"/>
  <c r="AB1017" i="8" s="1"/>
  <c r="AC681" i="2"/>
  <c r="AB746" i="2"/>
  <c r="AB768" i="2" s="1"/>
  <c r="AB735" i="2"/>
  <c r="AB608" i="8"/>
  <c r="AB609" i="8" s="1"/>
  <c r="AB333" i="2"/>
  <c r="AB344" i="2"/>
  <c r="AB366" i="2" s="1"/>
  <c r="AC279" i="2"/>
  <c r="AC760" i="8"/>
  <c r="AC761" i="8" s="1"/>
  <c r="AB1000" i="8"/>
  <c r="AB1001" i="8" s="1"/>
  <c r="AB731" i="2"/>
  <c r="AB742" i="2"/>
  <c r="AB764" i="2" s="1"/>
  <c r="AC677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Z900" i="8"/>
  <c r="Z901" i="8" s="1"/>
  <c r="AE335" i="2"/>
  <c r="AE616" i="8"/>
  <c r="AE617" i="8" s="1"/>
  <c r="F617" i="8" s="1"/>
  <c r="AE346" i="2"/>
  <c r="AE368" i="2" s="1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620" i="8"/>
  <c r="AB621" i="8" s="1"/>
  <c r="AC282" i="2"/>
  <c r="AB347" i="2"/>
  <c r="AB369" i="2" s="1"/>
  <c r="AB336" i="2"/>
  <c r="Z788" i="2"/>
  <c r="Z1336" i="8" s="1"/>
  <c r="Z1337" i="8" s="1"/>
  <c r="AD283" i="2"/>
  <c r="AC337" i="2"/>
  <c r="AC624" i="8"/>
  <c r="AC625" i="8" s="1"/>
  <c r="AC348" i="2"/>
  <c r="AC370" i="2" s="1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D364" i="2" s="1"/>
  <c r="AE277" i="2"/>
  <c r="AA780" i="8"/>
  <c r="AA781" i="8" s="1"/>
  <c r="AA374" i="2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C762" i="2" l="1"/>
  <c r="AD393" i="2"/>
  <c r="AC791" i="2"/>
  <c r="AC795" i="2"/>
  <c r="AA794" i="2"/>
  <c r="AA1356" i="8" s="1"/>
  <c r="AA1357" i="8" s="1"/>
  <c r="AA793" i="2"/>
  <c r="AC796" i="2"/>
  <c r="AC259" i="2"/>
  <c r="AB399" i="2"/>
  <c r="Z400" i="2"/>
  <c r="Z980" i="8" s="1"/>
  <c r="Z981" i="8" s="1"/>
  <c r="AA792" i="2"/>
  <c r="AA1348" i="8" s="1"/>
  <c r="AA1349" i="8" s="1"/>
  <c r="AB383" i="2"/>
  <c r="AC261" i="2"/>
  <c r="AC660" i="2"/>
  <c r="AD798" i="2"/>
  <c r="AC363" i="2"/>
  <c r="AC392" i="2"/>
  <c r="AC394" i="2"/>
  <c r="AD260" i="2"/>
  <c r="AA852" i="8"/>
  <c r="AA853" i="8" s="1"/>
  <c r="AB782" i="2"/>
  <c r="AB398" i="2"/>
  <c r="AB792" i="2"/>
  <c r="AC659" i="2"/>
  <c r="AD848" i="8"/>
  <c r="AD849" i="8" s="1"/>
  <c r="Y250" i="2"/>
  <c r="AC952" i="8"/>
  <c r="AC953" i="8" s="1"/>
  <c r="AD258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B1348" i="8"/>
  <c r="AB134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B1364" i="8"/>
  <c r="AB1365" i="8" s="1"/>
  <c r="AE357" i="2"/>
  <c r="AE848" i="8" s="1"/>
  <c r="AE849" i="8" s="1"/>
  <c r="F849" i="8" s="1"/>
  <c r="Z860" i="8"/>
  <c r="Z861" i="8" s="1"/>
  <c r="Z381" i="2"/>
  <c r="Z1434" i="8" s="1"/>
  <c r="AC755" i="2"/>
  <c r="AC1240" i="8" s="1"/>
  <c r="AC1241" i="8" s="1"/>
  <c r="AA1352" i="8"/>
  <c r="AA1353" i="8" s="1"/>
  <c r="AB358" i="2"/>
  <c r="AB752" i="2"/>
  <c r="AB1228" i="8" s="1"/>
  <c r="AB1229" i="8" s="1"/>
  <c r="AA1368" i="8"/>
  <c r="AA1369" i="8" s="1"/>
  <c r="AA1228" i="8"/>
  <c r="AA1229" i="8" s="1"/>
  <c r="AB948" i="8"/>
  <c r="AB949" i="8" s="1"/>
  <c r="AB976" i="8"/>
  <c r="AB977" i="8" s="1"/>
  <c r="AD353" i="2"/>
  <c r="AD758" i="2"/>
  <c r="AD1252" i="8" s="1"/>
  <c r="AD1253" i="8" s="1"/>
  <c r="Z1256" i="8"/>
  <c r="Z1257" i="8" s="1"/>
  <c r="Z780" i="2"/>
  <c r="Z1438" i="8" s="1"/>
  <c r="AB356" i="2"/>
  <c r="AB844" i="8" s="1"/>
  <c r="AB845" i="8" s="1"/>
  <c r="AC751" i="2"/>
  <c r="AB956" i="8"/>
  <c r="AB957" i="8" s="1"/>
  <c r="AC354" i="2"/>
  <c r="AC352" i="2"/>
  <c r="AB754" i="2"/>
  <c r="AB1236" i="8" s="1"/>
  <c r="AB1237" i="8" s="1"/>
  <c r="AB355" i="2"/>
  <c r="AB382" i="2" s="1"/>
  <c r="AA840" i="8"/>
  <c r="AA841" i="8" s="1"/>
  <c r="Y1316" i="8"/>
  <c r="Y1317" i="8" s="1"/>
  <c r="Y779" i="2"/>
  <c r="AA960" i="8"/>
  <c r="AA961" i="8" s="1"/>
  <c r="Z1431" i="8"/>
  <c r="Z1432" i="8"/>
  <c r="Z1436" i="8"/>
  <c r="Z1435" i="8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Z250" i="2"/>
  <c r="Z1376" i="8"/>
  <c r="Z1377" i="8" s="1"/>
  <c r="Z649" i="2"/>
  <c r="AA385" i="2"/>
  <c r="AA924" i="8" s="1"/>
  <c r="AA925" i="8" s="1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67" i="2" s="1"/>
  <c r="AC334" i="2"/>
  <c r="AD280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232" i="8"/>
  <c r="AB1233" i="8" s="1"/>
  <c r="AB1196" i="8"/>
  <c r="AB1197" i="8" s="1"/>
  <c r="AC996" i="8"/>
  <c r="AC997" i="8" s="1"/>
  <c r="AD676" i="2"/>
  <c r="AD660" i="2" s="1"/>
  <c r="AC741" i="2"/>
  <c r="AC763" i="2" s="1"/>
  <c r="AC730" i="2"/>
  <c r="AD1008" i="8"/>
  <c r="AD1009" i="8" s="1"/>
  <c r="AE679" i="2"/>
  <c r="AD744" i="2"/>
  <c r="AD766" i="2" s="1"/>
  <c r="AD733" i="2"/>
  <c r="AD1012" i="8"/>
  <c r="AD1013" i="8" s="1"/>
  <c r="AD745" i="2"/>
  <c r="AD767" i="2" s="1"/>
  <c r="AD734" i="2"/>
  <c r="AE680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C731" i="2"/>
  <c r="AC742" i="2"/>
  <c r="AC764" i="2" s="1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66" i="2" s="1"/>
  <c r="AC333" i="2"/>
  <c r="AD279" i="2"/>
  <c r="AD261" i="2" s="1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769" i="2" s="1"/>
  <c r="AE283" i="2"/>
  <c r="AD337" i="2"/>
  <c r="AD624" i="8"/>
  <c r="AD625" i="8" s="1"/>
  <c r="AD348" i="2"/>
  <c r="AD370" i="2" s="1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C856" i="8"/>
  <c r="AC857" i="8" s="1"/>
  <c r="AB768" i="8"/>
  <c r="AB769" i="8" s="1"/>
  <c r="AC1188" i="8"/>
  <c r="AC1189" i="8" s="1"/>
  <c r="AD604" i="8"/>
  <c r="AD605" i="8" s="1"/>
  <c r="AD343" i="2"/>
  <c r="AD365" i="2" s="1"/>
  <c r="AE278" i="2"/>
  <c r="AD332" i="2"/>
  <c r="AD1216" i="8"/>
  <c r="AD1217" i="8" s="1"/>
  <c r="AB1224" i="8"/>
  <c r="AB1225" i="8" s="1"/>
  <c r="AC1152" i="8"/>
  <c r="AC1153" i="8" s="1"/>
  <c r="AD1180" i="8"/>
  <c r="AD1181" i="8" s="1"/>
  <c r="AD775" i="2"/>
  <c r="AD1304" i="8" s="1"/>
  <c r="AD1305" i="8" s="1"/>
  <c r="AA900" i="8"/>
  <c r="AA90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C836" i="8"/>
  <c r="AC837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1344" i="8"/>
  <c r="AB1345" i="8" s="1"/>
  <c r="AB864" i="8"/>
  <c r="AB865" i="8" s="1"/>
  <c r="AC1016" i="8"/>
  <c r="AC1017" i="8" s="1"/>
  <c r="AD681" i="2"/>
  <c r="AC746" i="2"/>
  <c r="AC768" i="2" s="1"/>
  <c r="AC735" i="2"/>
  <c r="Z924" i="8"/>
  <c r="Z925" i="8" s="1"/>
  <c r="Z390" i="2"/>
  <c r="Z944" i="8" s="1"/>
  <c r="AC756" i="8"/>
  <c r="AC757" i="8" s="1"/>
  <c r="AC375" i="2"/>
  <c r="AC904" i="8" s="1"/>
  <c r="AC905" i="8" s="1"/>
  <c r="Z1296" i="8"/>
  <c r="Z1297" i="8" s="1"/>
  <c r="Z778" i="2"/>
  <c r="AE600" i="8"/>
  <c r="AE601" i="8" s="1"/>
  <c r="F601" i="8" s="1"/>
  <c r="AE331" i="2"/>
  <c r="AE342" i="2"/>
  <c r="AE364" i="2" s="1"/>
  <c r="AC620" i="8"/>
  <c r="AC621" i="8" s="1"/>
  <c r="AD282" i="2"/>
  <c r="AC347" i="2"/>
  <c r="AC369" i="2" s="1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C765" i="2" s="1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B395" i="2" l="1"/>
  <c r="AD363" i="2"/>
  <c r="AD383" i="2" s="1"/>
  <c r="AD796" i="2"/>
  <c r="AB794" i="2"/>
  <c r="AB1356" i="8" s="1"/>
  <c r="AB1357" i="8" s="1"/>
  <c r="AD392" i="2"/>
  <c r="AE393" i="2"/>
  <c r="AD394" i="2"/>
  <c r="AC383" i="2"/>
  <c r="AE397" i="2"/>
  <c r="AE968" i="8" s="1"/>
  <c r="AE969" i="8" s="1"/>
  <c r="F969" i="8" s="1"/>
  <c r="AB781" i="2"/>
  <c r="AD259" i="2"/>
  <c r="AB396" i="2"/>
  <c r="AD659" i="2"/>
  <c r="AC396" i="2"/>
  <c r="AD791" i="2"/>
  <c r="AD658" i="2"/>
  <c r="AC782" i="2"/>
  <c r="AD762" i="2"/>
  <c r="AD782" i="2" s="1"/>
  <c r="AB1248" i="8"/>
  <c r="AB1249" i="8" s="1"/>
  <c r="AC386" i="2"/>
  <c r="AC928" i="8" s="1"/>
  <c r="AC929" i="8" s="1"/>
  <c r="AB972" i="8"/>
  <c r="AB973" i="8" s="1"/>
  <c r="AB799" i="2"/>
  <c r="AD657" i="2"/>
  <c r="AB964" i="8"/>
  <c r="AB965" i="8" s="1"/>
  <c r="AB852" i="8"/>
  <c r="AB853" i="8" s="1"/>
  <c r="AC1360" i="8"/>
  <c r="AC1361" i="8" s="1"/>
  <c r="AB1352" i="8"/>
  <c r="AB1353" i="8" s="1"/>
  <c r="AB960" i="8"/>
  <c r="AB961" i="8" s="1"/>
  <c r="AC1364" i="8"/>
  <c r="AC1365" i="8" s="1"/>
  <c r="AC880" i="8"/>
  <c r="AC881" i="8" s="1"/>
  <c r="Y1433" i="8"/>
  <c r="Y1445" i="8"/>
  <c r="AC1268" i="8"/>
  <c r="AC1269" i="8" s="1"/>
  <c r="AC1272" i="8"/>
  <c r="AC1273" i="8" s="1"/>
  <c r="AC956" i="8"/>
  <c r="AC957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AD1372" i="8"/>
  <c r="AD1373" i="8" s="1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C840" i="8" s="1"/>
  <c r="AC841" i="8" s="1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56" i="2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B385" i="2"/>
  <c r="AB924" i="8" s="1"/>
  <c r="AB925" i="8" s="1"/>
  <c r="AA1435" i="8"/>
  <c r="AA1436" i="8"/>
  <c r="AA390" i="2"/>
  <c r="AA944" i="8" s="1"/>
  <c r="X223" i="8"/>
  <c r="X224" i="8" s="1"/>
  <c r="X582" i="2"/>
  <c r="Y573" i="2"/>
  <c r="AA778" i="2"/>
  <c r="X642" i="2"/>
  <c r="Y638" i="2"/>
  <c r="X279" i="8"/>
  <c r="X280" i="8" s="1"/>
  <c r="Y513" i="2"/>
  <c r="X522" i="2"/>
  <c r="X187" i="8"/>
  <c r="X188" i="8" s="1"/>
  <c r="AB371" i="2"/>
  <c r="AB896" i="8" s="1"/>
  <c r="AB897" i="8" s="1"/>
  <c r="AD786" i="2"/>
  <c r="AD1328" i="8" s="1"/>
  <c r="AD1329" i="8" s="1"/>
  <c r="Y454" i="2"/>
  <c r="X155" i="8"/>
  <c r="X156" i="8" s="1"/>
  <c r="X462" i="2"/>
  <c r="AD345" i="2"/>
  <c r="AD367" i="2" s="1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65" i="2" s="1"/>
  <c r="AE332" i="2"/>
  <c r="AE337" i="2"/>
  <c r="AE624" i="8"/>
  <c r="AE625" i="8" s="1"/>
  <c r="F625" i="8" s="1"/>
  <c r="AE348" i="2"/>
  <c r="AE370" i="2" s="1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E259" i="2" s="1"/>
  <c r="AD344" i="2"/>
  <c r="AD366" i="2" s="1"/>
  <c r="AD333" i="2"/>
  <c r="AC1260" i="8"/>
  <c r="AC1261" i="8" s="1"/>
  <c r="AC768" i="8"/>
  <c r="AC769" i="8" s="1"/>
  <c r="AC1156" i="8"/>
  <c r="AC1157" i="8" s="1"/>
  <c r="AC1228" i="8"/>
  <c r="AC1229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D741" i="2"/>
  <c r="AD763" i="2" s="1"/>
  <c r="AD730" i="2"/>
  <c r="AE760" i="8"/>
  <c r="AE761" i="8" s="1"/>
  <c r="F761" i="8" s="1"/>
  <c r="AD1000" i="8"/>
  <c r="AD1001" i="8" s="1"/>
  <c r="AD731" i="2"/>
  <c r="AE677" i="2"/>
  <c r="AD742" i="2"/>
  <c r="AD764" i="2" s="1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282" i="2"/>
  <c r="AD347" i="2"/>
  <c r="AD369" i="2" s="1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E766" i="2" s="1"/>
  <c r="AC1200" i="8"/>
  <c r="AC1201" i="8" s="1"/>
  <c r="AD746" i="2"/>
  <c r="AD768" i="2" s="1"/>
  <c r="AD1016" i="8"/>
  <c r="AD1017" i="8" s="1"/>
  <c r="AE681" i="2"/>
  <c r="AD735" i="2"/>
  <c r="AE1012" i="8"/>
  <c r="AE1013" i="8" s="1"/>
  <c r="F1013" i="8" s="1"/>
  <c r="AE745" i="2"/>
  <c r="AE767" i="2" s="1"/>
  <c r="AE734" i="2"/>
  <c r="AB784" i="2"/>
  <c r="AD1004" i="8"/>
  <c r="AD1005" i="8" s="1"/>
  <c r="AE678" i="2"/>
  <c r="AE659" i="2" s="1"/>
  <c r="AD732" i="2"/>
  <c r="AD743" i="2"/>
  <c r="AD765" i="2" s="1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E261" i="2" l="1"/>
  <c r="AE260" i="2"/>
  <c r="AE660" i="2"/>
  <c r="AE658" i="2"/>
  <c r="AA1431" i="8"/>
  <c r="AE798" i="2"/>
  <c r="AE392" i="2"/>
  <c r="AD792" i="2"/>
  <c r="AC395" i="2"/>
  <c r="AC400" i="2" s="1"/>
  <c r="AD398" i="2"/>
  <c r="AE363" i="2"/>
  <c r="AE383" i="2"/>
  <c r="AD399" i="2"/>
  <c r="AC793" i="2"/>
  <c r="AC1352" i="8" s="1"/>
  <c r="AC1353" i="8" s="1"/>
  <c r="AE762" i="2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E795" i="2"/>
  <c r="AC797" i="2"/>
  <c r="AA649" i="2"/>
  <c r="AC777" i="2"/>
  <c r="AC1312" i="8" s="1"/>
  <c r="AC1313" i="8" s="1"/>
  <c r="AC852" i="8"/>
  <c r="AC853" i="8" s="1"/>
  <c r="AD1364" i="8"/>
  <c r="AD1365" i="8" s="1"/>
  <c r="AE1372" i="8"/>
  <c r="AE1373" i="8" s="1"/>
  <c r="F1373" i="8" s="1"/>
  <c r="AC1368" i="8"/>
  <c r="AC1369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C960" i="8"/>
  <c r="AC961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791" i="2" s="1"/>
  <c r="AE354" i="2"/>
  <c r="AE394" i="2" s="1"/>
  <c r="AD757" i="2"/>
  <c r="AD797" i="2" s="1"/>
  <c r="AD956" i="8"/>
  <c r="AD957" i="8" s="1"/>
  <c r="AC964" i="8"/>
  <c r="AC965" i="8" s="1"/>
  <c r="AB1256" i="8"/>
  <c r="AB1257" i="8" s="1"/>
  <c r="AB780" i="2"/>
  <c r="AB1438" i="8" s="1"/>
  <c r="AE352" i="2"/>
  <c r="AD349" i="2"/>
  <c r="AD824" i="8" s="1"/>
  <c r="AD825" i="8" s="1"/>
  <c r="AD753" i="2"/>
  <c r="AD1232" i="8" s="1"/>
  <c r="AD1233" i="8" s="1"/>
  <c r="AD976" i="8"/>
  <c r="AD977" i="8" s="1"/>
  <c r="AD1244" i="8"/>
  <c r="AD1245" i="8" s="1"/>
  <c r="AD358" i="2"/>
  <c r="AD1240" i="8"/>
  <c r="AD1241" i="8" s="1"/>
  <c r="AB1436" i="8"/>
  <c r="AB1435" i="8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AB1376" i="8"/>
  <c r="AB1377" i="8" s="1"/>
  <c r="AB649" i="2"/>
  <c r="Y155" i="8"/>
  <c r="Y156" i="8" s="1"/>
  <c r="Z454" i="2"/>
  <c r="Y462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67" i="2" s="1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68" i="2" s="1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E764" i="2" s="1"/>
  <c r="AC788" i="2"/>
  <c r="AC1336" i="8" s="1"/>
  <c r="AC1337" i="8" s="1"/>
  <c r="AD816" i="8"/>
  <c r="AD817" i="8" s="1"/>
  <c r="AD1200" i="8"/>
  <c r="AD1201" i="8" s="1"/>
  <c r="AE347" i="2"/>
  <c r="AE369" i="2" s="1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D852" i="8"/>
  <c r="AD853" i="8" s="1"/>
  <c r="AC784" i="2"/>
  <c r="AE1188" i="8"/>
  <c r="AE1189" i="8" s="1"/>
  <c r="F1189" i="8" s="1"/>
  <c r="AE1004" i="8"/>
  <c r="AE1005" i="8" s="1"/>
  <c r="F1005" i="8" s="1"/>
  <c r="AE732" i="2"/>
  <c r="AE743" i="2"/>
  <c r="AE765" i="2" s="1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D1236" i="8"/>
  <c r="AD1237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AE763" i="2" s="1"/>
  <c r="AE730" i="2"/>
  <c r="AD387" i="2"/>
  <c r="AD932" i="8" s="1"/>
  <c r="AD933" i="8" s="1"/>
  <c r="AD804" i="8"/>
  <c r="AD805" i="8" s="1"/>
  <c r="AE784" i="8"/>
  <c r="AE785" i="8" s="1"/>
  <c r="F785" i="8" s="1"/>
  <c r="AE376" i="2"/>
  <c r="AE908" i="8" s="1"/>
  <c r="AE909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66" i="2" s="1"/>
  <c r="AE333" i="2"/>
  <c r="AE764" i="8"/>
  <c r="AE765" i="8" s="1"/>
  <c r="F765" i="8" s="1"/>
  <c r="AE836" i="8"/>
  <c r="AE837" i="8" s="1"/>
  <c r="F837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D395" i="2" l="1"/>
  <c r="AD396" i="2"/>
  <c r="AD964" i="8" s="1"/>
  <c r="AD965" i="8" s="1"/>
  <c r="AD793" i="2"/>
  <c r="AE1244" i="8"/>
  <c r="AE1245" i="8" s="1"/>
  <c r="F1245" i="8" s="1"/>
  <c r="AD378" i="2"/>
  <c r="AD916" i="8" s="1"/>
  <c r="AD917" i="8" s="1"/>
  <c r="AE782" i="2"/>
  <c r="AE396" i="2"/>
  <c r="AB1432" i="8"/>
  <c r="AE794" i="2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E1360" i="8"/>
  <c r="AE1361" i="8" s="1"/>
  <c r="F1361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D960" i="8"/>
  <c r="AD961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753" i="2"/>
  <c r="AE1232" i="8" s="1"/>
  <c r="AE1233" i="8" s="1"/>
  <c r="F1233" i="8" s="1"/>
  <c r="AD1348" i="8"/>
  <c r="AD1349" i="8" s="1"/>
  <c r="AD1352" i="8"/>
  <c r="AD1353" i="8" s="1"/>
  <c r="AE757" i="2"/>
  <c r="AE797" i="2" s="1"/>
  <c r="AE754" i="2"/>
  <c r="AE1236" i="8" s="1"/>
  <c r="AE1237" i="8" s="1"/>
  <c r="F1237" i="8" s="1"/>
  <c r="AC799" i="2"/>
  <c r="AC1436" i="8" s="1"/>
  <c r="AE358" i="2"/>
  <c r="AE852" i="8" s="1"/>
  <c r="AE853" i="8" s="1"/>
  <c r="F853" i="8" s="1"/>
  <c r="AE752" i="2"/>
  <c r="AE781" i="2" s="1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C250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44" i="8"/>
  <c r="AE845" i="8" s="1"/>
  <c r="F845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F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344" i="8"/>
  <c r="AE1345" i="8" s="1"/>
  <c r="F1345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E398" i="2" l="1"/>
  <c r="AE1356" i="8"/>
  <c r="AE1357" i="8" s="1"/>
  <c r="AE382" i="2"/>
  <c r="AE1248" i="8"/>
  <c r="AE1249" i="8" s="1"/>
  <c r="AC649" i="2"/>
  <c r="AE792" i="2"/>
  <c r="AE799" i="2" s="1"/>
  <c r="AE793" i="2"/>
  <c r="AE1352" i="8" s="1"/>
  <c r="AE1353" i="8" s="1"/>
  <c r="F1357" i="8"/>
  <c r="F1353" i="8"/>
  <c r="F1269" i="8"/>
  <c r="AE1264" i="8"/>
  <c r="AE1265" i="8" s="1"/>
  <c r="F1265" i="8" s="1"/>
  <c r="AD400" i="2"/>
  <c r="AD250" i="2" s="1"/>
  <c r="F1249" i="8"/>
  <c r="AC1376" i="8"/>
  <c r="AC1377" i="8" s="1"/>
  <c r="AE972" i="8"/>
  <c r="AE973" i="8" s="1"/>
  <c r="F973" i="8" s="1"/>
  <c r="AE964" i="8"/>
  <c r="AE965" i="8" s="1"/>
  <c r="F965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D1431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400" i="2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D980" i="8" l="1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F136" i="8"/>
  <c r="AE1436" i="8"/>
  <c r="F1436" i="8" s="1"/>
  <c r="AE1435" i="8"/>
  <c r="F1435" i="8" s="1"/>
  <c r="F196" i="8"/>
  <c r="AC513" i="2"/>
  <c r="AB522" i="2"/>
  <c r="AB187" i="8"/>
  <c r="AB188" i="8" s="1"/>
  <c r="AE980" i="8"/>
  <c r="AE981" i="8" s="1"/>
  <c r="F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AD179" i="8"/>
  <c r="AD180" i="8" s="1"/>
  <c r="F184" i="8"/>
  <c r="AE179" i="2"/>
  <c r="AE99" i="8" s="1"/>
  <c r="AE100" i="8" s="1"/>
  <c r="AD99" i="8"/>
  <c r="AD100" i="8" s="1"/>
  <c r="F180" i="8" l="1"/>
  <c r="AD1437" i="8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1437" i="8" l="1"/>
  <c r="F1437" i="8" s="1"/>
  <c r="AE1448" i="8"/>
  <c r="F1448" i="8" s="1"/>
  <c r="AE1433" i="8"/>
  <c r="F1433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D1429" i="8" l="1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3" i="8" l="1"/>
</calcChain>
</file>

<file path=xl/sharedStrings.xml><?xml version="1.0" encoding="utf-8"?>
<sst xmlns="http://schemas.openxmlformats.org/spreadsheetml/2006/main" count="9785" uniqueCount="1935">
  <si>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</si>
  <si>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</si>
  <si>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</si>
  <si>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</si>
  <si>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</si>
  <si>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</si>
  <si>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</si>
  <si>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</si>
  <si>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</si>
  <si>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</si>
  <si>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</si>
  <si>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</si>
  <si>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</si>
  <si>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</si>
  <si>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</si>
  <si>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</si>
  <si>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</si>
  <si>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</si>
  <si>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</si>
  <si>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</si>
  <si>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</si>
  <si>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</si>
  <si>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</si>
  <si>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</si>
  <si>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</si>
  <si>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</si>
  <si>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</si>
  <si>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</si>
  <si>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</si>
  <si>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</si>
  <si>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</si>
  <si>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</si>
  <si>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</si>
  <si>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</si>
  <si>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</si>
  <si>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</si>
  <si>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</si>
  <si>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</si>
  <si>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</si>
  <si>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</si>
  <si>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</si>
  <si>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</si>
  <si>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</si>
  <si>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</si>
  <si>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</si>
  <si>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</si>
  <si>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</si>
  <si>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</si>
  <si>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</si>
  <si>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</si>
  <si>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</si>
  <si>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</si>
  <si>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</si>
  <si>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</si>
  <si>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</si>
  <si>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</si>
  <si>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</si>
  <si>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</si>
  <si>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</si>
  <si>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</si>
  <si>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</si>
  <si>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</si>
  <si>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</si>
  <si>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</si>
  <si>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</si>
  <si>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</si>
  <si>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</si>
  <si>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</si>
  <si>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</si>
  <si>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</si>
  <si>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</si>
  <si>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</si>
  <si>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</si>
  <si>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</si>
  <si>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</si>
  <si>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</si>
  <si>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</si>
  <si>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</si>
  <si>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</si>
  <si>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</si>
  <si>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</si>
  <si>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</si>
  <si>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</si>
  <si>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</si>
  <si>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</si>
  <si>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</si>
  <si>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</si>
  <si>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</si>
  <si>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</si>
  <si>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</si>
  <si>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</si>
  <si>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</si>
  <si>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</si>
  <si>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</si>
  <si>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</si>
  <si>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</si>
  <si>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</si>
  <si>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</si>
  <si>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</si>
  <si>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</si>
  <si>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</si>
  <si>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</si>
  <si>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</si>
  <si>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</si>
  <si>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</si>
  <si>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</si>
  <si>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</si>
  <si>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</si>
  <si>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</si>
  <si>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</si>
  <si>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</si>
  <si>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</si>
  <si>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</si>
  <si>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</si>
  <si>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</si>
  <si>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</si>
  <si>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</si>
  <si>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</si>
  <si>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</si>
  <si>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</si>
  <si>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</si>
  <si>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</si>
  <si>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</si>
  <si>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</si>
  <si>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</si>
  <si>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</si>
  <si>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</si>
  <si>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</si>
  <si>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</si>
  <si>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</si>
  <si>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</si>
  <si>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</si>
  <si>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</si>
  <si>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</si>
  <si>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</si>
  <si>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</si>
  <si>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</si>
  <si>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</si>
  <si>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</si>
  <si>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</si>
  <si>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</si>
  <si>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</si>
  <si>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</si>
  <si>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</si>
  <si>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</si>
  <si>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</si>
  <si>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</si>
  <si>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</si>
  <si>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</si>
  <si>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</si>
  <si>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</si>
  <si>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</si>
  <si>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</si>
  <si>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</si>
  <si>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</si>
  <si>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</si>
  <si>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</si>
  <si>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</si>
  <si>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</si>
  <si>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</si>
  <si>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</si>
  <si>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</si>
  <si>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</si>
  <si>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</si>
  <si>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</si>
  <si>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</si>
  <si>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</si>
  <si>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</si>
  <si>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</si>
  <si>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</si>
  <si>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</si>
  <si>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</si>
  <si>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</si>
  <si>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</si>
  <si>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</si>
  <si>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</si>
  <si>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</si>
  <si>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</si>
  <si>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</si>
  <si>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</si>
  <si>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</si>
  <si>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</si>
  <si>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</si>
  <si>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</si>
  <si>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</si>
  <si>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</si>
  <si>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</si>
  <si>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</si>
  <si>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</si>
  <si>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</si>
  <si>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</si>
  <si>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</si>
  <si>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</si>
  <si>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</si>
  <si>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</si>
  <si>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</si>
  <si>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</si>
  <si>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</si>
  <si>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</si>
  <si>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</si>
  <si>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</si>
  <si>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</si>
  <si>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</si>
  <si>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</si>
  <si>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</si>
  <si>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</si>
  <si>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</si>
  <si>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</si>
  <si>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</si>
  <si>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</si>
  <si>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</si>
  <si>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</si>
  <si>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</si>
  <si>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</si>
  <si>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</si>
  <si>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</si>
  <si>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</si>
  <si>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</si>
  <si>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</si>
  <si>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</si>
  <si>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</si>
  <si>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</si>
  <si>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</si>
  <si>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</si>
  <si>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</si>
  <si>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</si>
  <si>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</si>
  <si>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</si>
  <si>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</si>
  <si>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</si>
  <si>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</si>
  <si>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</si>
  <si>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</si>
  <si>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</si>
  <si>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</si>
  <si>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</si>
  <si>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</si>
  <si>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</si>
  <si>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</si>
  <si>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</si>
  <si>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</si>
  <si>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</si>
  <si>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</si>
  <si>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</si>
  <si>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</si>
  <si>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</si>
  <si>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</si>
  <si>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</si>
  <si>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</si>
  <si>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</si>
  <si>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</si>
  <si>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</si>
  <si>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</si>
  <si>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</si>
  <si>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</si>
  <si>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</si>
  <si>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</si>
  <si>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</si>
  <si>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</si>
  <si>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</si>
  <si>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</si>
  <si>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</si>
  <si>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</si>
  <si>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</si>
  <si>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</si>
  <si>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</si>
  <si>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</si>
  <si>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</si>
  <si>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</si>
  <si>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</si>
  <si>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</si>
  <si>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</si>
  <si>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</si>
  <si>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</si>
  <si>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</si>
  <si>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</si>
  <si>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</si>
  <si>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</si>
  <si>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</si>
  <si>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</si>
  <si>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</si>
  <si>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</si>
  <si>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</si>
  <si>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</si>
  <si>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</si>
  <si>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</si>
  <si>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</si>
  <si>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</si>
  <si>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</si>
  <si>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</si>
  <si>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</si>
  <si>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</si>
  <si>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</si>
  <si>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</si>
  <si>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</si>
  <si>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</si>
  <si>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</si>
  <si>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</si>
  <si>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</si>
  <si>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</si>
  <si>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</si>
  <si>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</si>
  <si>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</si>
  <si>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</si>
  <si>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</si>
  <si>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</si>
  <si>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</si>
  <si>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</si>
  <si>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</si>
  <si>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</si>
  <si>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</si>
  <si>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</si>
  <si>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</si>
  <si>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</si>
  <si>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</si>
  <si>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</si>
  <si>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</si>
  <si>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</si>
  <si>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</si>
  <si>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</si>
  <si>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</si>
  <si>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</si>
  <si>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</si>
  <si>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</si>
  <si>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</si>
  <si>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</si>
  <si>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</si>
  <si>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</si>
  <si>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</si>
  <si>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</si>
  <si>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</si>
  <si>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</si>
  <si>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</si>
  <si>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</si>
  <si>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</si>
  <si>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</si>
  <si>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</si>
  <si>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</si>
  <si>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</si>
  <si>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</si>
  <si>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</si>
  <si>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</si>
  <si>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</si>
  <si>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</si>
  <si>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</si>
  <si>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</si>
  <si>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</si>
  <si>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</si>
  <si>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</si>
  <si>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</si>
  <si>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</si>
  <si>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</si>
  <si>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</si>
  <si>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</si>
  <si>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</si>
  <si>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</si>
  <si>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</si>
  <si>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</si>
  <si>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</si>
  <si>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</si>
  <si>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</si>
  <si>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</si>
  <si>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</si>
  <si>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</si>
  <si>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</si>
  <si>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</si>
  <si>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</si>
  <si>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</si>
  <si>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</si>
  <si>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</si>
  <si>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</si>
  <si>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</si>
  <si>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</si>
  <si>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</si>
  <si>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</si>
  <si>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</si>
  <si>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</si>
  <si>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</si>
  <si>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</si>
  <si>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</si>
  <si>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</si>
  <si>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</si>
  <si>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</si>
  <si>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</si>
  <si>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</si>
  <si>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</si>
  <si>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</si>
  <si>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</si>
  <si>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</si>
  <si>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</si>
  <si>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</si>
  <si>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</si>
  <si>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</si>
  <si>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</si>
  <si>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</si>
  <si>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</si>
  <si>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</si>
  <si>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</si>
  <si>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</si>
  <si>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</si>
  <si>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</si>
  <si>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</si>
  <si>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</si>
  <si>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</si>
  <si>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</si>
  <si>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</si>
  <si>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</si>
  <si>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</si>
  <si>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</si>
  <si>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</si>
  <si>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</si>
  <si>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</si>
  <si>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</si>
  <si>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</si>
  <si>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</si>
  <si>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</si>
  <si>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</si>
  <si>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</si>
  <si>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</si>
  <si>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</si>
  <si>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</si>
  <si>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</si>
  <si>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</si>
  <si>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</si>
  <si>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</si>
  <si>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</si>
  <si>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</si>
  <si>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</si>
  <si>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</si>
  <si>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</si>
  <si>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</si>
  <si>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</si>
  <si>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</si>
  <si>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</si>
  <si>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</si>
  <si>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</si>
  <si>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</si>
  <si>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</si>
  <si>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</si>
  <si>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</si>
  <si>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</si>
  <si>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</si>
  <si>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</si>
  <si>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</si>
  <si>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</si>
  <si>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</si>
  <si>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</si>
  <si>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</si>
  <si>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</si>
  <si>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</si>
  <si>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</si>
  <si>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</si>
  <si>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</si>
  <si>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</si>
  <si>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</si>
  <si>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</si>
  <si>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</si>
  <si>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</si>
  <si>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</si>
  <si>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</si>
  <si>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</si>
  <si>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</si>
  <si>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</si>
  <si>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</si>
  <si>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</si>
  <si>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</si>
  <si>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</si>
  <si>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</si>
  <si>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</si>
  <si>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</si>
  <si>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</si>
  <si>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</si>
  <si>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</si>
  <si>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</si>
  <si>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</si>
  <si>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</si>
  <si>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</si>
  <si>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</si>
  <si>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</si>
  <si>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</si>
  <si>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</si>
  <si>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</si>
  <si>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</si>
  <si>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</si>
  <si>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</si>
  <si>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</si>
  <si>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</si>
  <si>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</si>
  <si>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</si>
  <si>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</si>
  <si>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</si>
  <si>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</si>
  <si>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</si>
  <si>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</si>
  <si>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</si>
  <si>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</si>
  <si>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</si>
  <si>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</si>
  <si>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</si>
  <si>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</si>
  <si>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</si>
  <si>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</si>
  <si>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</si>
  <si>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</si>
  <si>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</si>
  <si>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</si>
  <si>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</si>
  <si>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</si>
  <si>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</si>
  <si>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</si>
  <si>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</si>
  <si>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</si>
  <si>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</si>
  <si>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</si>
  <si>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</si>
  <si>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</si>
  <si>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</si>
  <si>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</si>
  <si>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</si>
  <si>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</si>
  <si>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</si>
  <si>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</si>
  <si>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</si>
  <si>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</si>
  <si>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</si>
  <si>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</si>
  <si>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</si>
  <si>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</si>
  <si>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</si>
  <si>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</si>
  <si>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</si>
  <si>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</si>
  <si>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</si>
  <si>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</si>
  <si>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</si>
  <si>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</si>
  <si>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</si>
  <si>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</si>
  <si>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</si>
  <si>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</si>
  <si>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</si>
  <si>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</si>
  <si>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</si>
  <si>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</si>
  <si>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</si>
  <si>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</si>
  <si>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</si>
  <si>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</si>
  <si>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</si>
  <si>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</si>
  <si>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</si>
  <si>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</si>
  <si>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</si>
  <si>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</si>
  <si>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</si>
  <si>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</si>
  <si>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</si>
  <si>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</si>
  <si>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</si>
  <si>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</si>
  <si>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</si>
  <si>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</si>
  <si>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</si>
  <si>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</si>
  <si>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</si>
  <si>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</si>
  <si>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</si>
  <si>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</si>
  <si>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</si>
  <si>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</si>
  <si>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</si>
  <si>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</si>
  <si>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</si>
  <si>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</si>
  <si>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</si>
  <si>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</si>
  <si>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</si>
  <si>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</si>
  <si>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</si>
  <si>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</si>
  <si>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</si>
  <si>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</si>
  <si>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</si>
  <si>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</si>
  <si>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</si>
  <si>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</si>
  <si>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</si>
  <si>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</si>
  <si>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</si>
  <si>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</si>
  <si>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</si>
  <si>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</si>
  <si>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</si>
  <si>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</si>
  <si>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</si>
  <si>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</si>
  <si>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</si>
  <si>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</si>
  <si>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</si>
  <si>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</si>
  <si>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</si>
  <si>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</si>
  <si>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</si>
  <si>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</si>
  <si>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</si>
  <si>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</si>
  <si>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</si>
  <si>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</si>
  <si>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</si>
  <si>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</si>
  <si>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</si>
  <si>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</si>
  <si>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</si>
  <si>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</si>
  <si>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</si>
  <si>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</si>
  <si>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</si>
  <si>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</si>
  <si>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</si>
  <si>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</si>
  <si>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</si>
  <si>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</si>
  <si>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</si>
  <si>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</si>
  <si>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</si>
  <si>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</si>
  <si>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</si>
  <si>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</si>
  <si>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</si>
  <si>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</si>
  <si>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</si>
  <si>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</si>
  <si>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</si>
  <si>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</si>
  <si>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</si>
  <si>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</si>
  <si>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</si>
  <si>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</si>
  <si>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</si>
  <si>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</si>
  <si>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</si>
  <si>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</si>
  <si>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</si>
  <si>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</si>
  <si>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</si>
  <si>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</si>
  <si>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</si>
  <si>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</si>
  <si>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</si>
  <si>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</si>
  <si>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</si>
  <si>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</si>
  <si>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</si>
  <si>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</si>
  <si>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</si>
  <si>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</si>
  <si>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</si>
  <si>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</si>
  <si>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</si>
  <si>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</si>
  <si>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</si>
  <si>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</si>
  <si>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</si>
  <si>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</si>
  <si>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</si>
  <si>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</si>
  <si>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</si>
  <si>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</si>
  <si>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</si>
  <si>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</si>
  <si>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</si>
  <si>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</si>
  <si>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</si>
  <si>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</si>
  <si>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</si>
  <si>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</si>
  <si>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</si>
  <si>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</si>
  <si>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</si>
  <si>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</si>
  <si>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</si>
  <si>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</si>
  <si>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</si>
  <si>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</si>
  <si>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</si>
  <si>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</si>
  <si>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</si>
  <si>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</si>
  <si>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</si>
  <si>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</si>
  <si>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</si>
  <si>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</si>
  <si>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</si>
  <si>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</si>
  <si>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</si>
  <si>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</si>
  <si>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</si>
  <si>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</si>
  <si>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</si>
  <si>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</si>
  <si>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</si>
  <si>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</si>
  <si>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</si>
  <si>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</si>
  <si>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</si>
  <si>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</si>
  <si>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</si>
  <si>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</si>
  <si>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</si>
  <si>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</si>
  <si>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</si>
  <si>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</si>
  <si>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</si>
  <si>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</si>
  <si>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</si>
  <si>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</si>
  <si>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</si>
  <si>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</si>
  <si>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</si>
  <si>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</si>
  <si>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</si>
  <si>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</si>
  <si>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</si>
  <si>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</si>
  <si>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</si>
  <si>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</si>
  <si>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</si>
  <si>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</si>
  <si>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</si>
  <si>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</si>
  <si>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</si>
  <si>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</si>
  <si>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</si>
  <si>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</si>
  <si>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</si>
  <si>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</si>
  <si>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</si>
  <si>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</si>
  <si>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</si>
  <si>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</si>
  <si>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</si>
  <si>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</si>
  <si>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</si>
  <si>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</si>
  <si>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</si>
  <si>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</si>
  <si>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</si>
  <si>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</si>
  <si>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</si>
  <si>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</si>
  <si>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</si>
  <si>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</si>
  <si>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</si>
  <si>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</si>
  <si>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</si>
  <si>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</si>
  <si>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</si>
  <si>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</si>
  <si>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</si>
  <si>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</si>
  <si>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</si>
  <si>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</si>
  <si>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</si>
  <si>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</si>
  <si>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</si>
  <si>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</si>
  <si>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</si>
  <si>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</si>
  <si>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</si>
  <si>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</si>
  <si>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</si>
  <si>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</si>
  <si>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</si>
  <si>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</si>
  <si>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</si>
  <si>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</si>
  <si>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</si>
  <si>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</si>
  <si>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</si>
  <si>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</si>
  <si>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</si>
  <si>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</si>
  <si>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</si>
  <si>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</si>
  <si>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</si>
  <si>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</si>
  <si>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</si>
  <si>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</si>
  <si>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</si>
  <si>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</si>
  <si>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</si>
  <si>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</si>
  <si>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</si>
  <si>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</si>
  <si>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</si>
  <si>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</si>
  <si>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</si>
  <si>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</si>
  <si>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</si>
  <si>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</si>
  <si>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</si>
  <si>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</si>
  <si>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</si>
  <si>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</si>
  <si>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</si>
  <si>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</si>
  <si>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</si>
  <si>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</si>
  <si>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</si>
  <si>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</si>
  <si>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</si>
  <si>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</si>
  <si>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</si>
  <si>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</si>
  <si>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</si>
  <si>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</si>
  <si>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</si>
  <si>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</si>
  <si>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</si>
  <si>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</si>
  <si>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</si>
  <si>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</si>
  <si>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</si>
  <si>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</si>
  <si>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</si>
  <si>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</si>
  <si>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</si>
  <si>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</si>
  <si>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</si>
  <si>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</si>
  <si>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</si>
  <si>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</si>
  <si>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</si>
  <si>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</si>
  <si>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</si>
  <si>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</si>
  <si>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</si>
  <si>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</si>
  <si>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</si>
  <si>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</si>
  <si>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</si>
  <si>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</si>
  <si>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</si>
  <si>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</si>
  <si>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</si>
  <si>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</si>
  <si>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</si>
  <si>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</si>
  <si>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</si>
  <si>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</si>
  <si>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</si>
  <si>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</si>
  <si>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</si>
  <si>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</si>
  <si>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</si>
  <si>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</si>
  <si>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</si>
  <si>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</si>
  <si>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</si>
  <si>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</si>
  <si>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</si>
  <si>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</si>
  <si>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</si>
  <si>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</si>
  <si>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</si>
  <si>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</si>
  <si>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</si>
  <si>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</si>
  <si>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</si>
  <si>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</si>
  <si>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</si>
  <si>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</si>
  <si>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</si>
  <si>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</si>
  <si>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</si>
  <si>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</si>
  <si>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</si>
  <si>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</si>
  <si>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</si>
  <si>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</si>
  <si>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</si>
  <si>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</si>
  <si>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</si>
  <si>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</si>
  <si>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</si>
  <si>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</si>
  <si>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</si>
  <si>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</si>
  <si>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</si>
  <si>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</si>
  <si>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</si>
  <si>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</si>
  <si>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</si>
  <si>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</si>
  <si>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</si>
  <si>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</si>
  <si>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</si>
  <si>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</si>
  <si>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</si>
  <si>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</si>
  <si>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</si>
  <si>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</si>
  <si>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</si>
  <si>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</si>
  <si>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</si>
  <si>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</si>
  <si>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</si>
  <si>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</si>
  <si>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</si>
  <si>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</si>
  <si>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</si>
  <si>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</si>
  <si>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</si>
  <si>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</si>
  <si>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</si>
  <si>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</si>
  <si>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</si>
  <si>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</si>
  <si>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</si>
  <si>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</si>
  <si>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</si>
  <si>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</si>
  <si>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</si>
  <si>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</si>
  <si>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</si>
  <si>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</si>
  <si>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</si>
  <si>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</si>
  <si>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</si>
  <si>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</si>
  <si>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</si>
  <si>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</si>
  <si>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</si>
  <si>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</si>
  <si>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</si>
  <si>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</si>
  <si>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</si>
  <si>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</si>
  <si>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</si>
  <si>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</si>
  <si>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</si>
  <si>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</si>
  <si>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</si>
  <si>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</si>
  <si>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</si>
  <si>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</si>
  <si>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</si>
  <si>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</si>
  <si>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</si>
  <si>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</si>
  <si>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</si>
  <si>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</si>
  <si>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</si>
  <si>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</si>
  <si>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</si>
  <si>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</si>
  <si>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</si>
  <si>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</si>
  <si>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</si>
  <si>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</si>
  <si>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</si>
  <si>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</si>
  <si>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</si>
  <si>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</si>
  <si>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</si>
  <si>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</si>
  <si>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</si>
  <si>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</si>
  <si>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</si>
  <si>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</si>
  <si>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</si>
  <si>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</si>
  <si>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</si>
  <si>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</si>
  <si>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</si>
  <si>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</si>
  <si>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</si>
  <si>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</si>
  <si>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</si>
  <si>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</si>
  <si>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</si>
  <si>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</si>
  <si>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</si>
  <si>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</si>
  <si>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</si>
  <si>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</si>
  <si>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</si>
  <si>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</si>
  <si>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</si>
  <si>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</si>
  <si>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</si>
  <si>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</si>
  <si>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</si>
  <si>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</si>
  <si>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</si>
  <si>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</si>
  <si>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</si>
  <si>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</si>
  <si>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</si>
  <si>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</si>
  <si>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</si>
  <si>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</si>
  <si>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</si>
  <si>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</si>
  <si>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</si>
  <si>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</si>
  <si>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</si>
  <si>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</si>
  <si>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</si>
  <si>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</si>
  <si>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</si>
  <si>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</si>
  <si>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</si>
  <si>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</si>
  <si>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</si>
  <si>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</si>
  <si>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</si>
  <si>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</si>
  <si>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</si>
  <si>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</si>
  <si>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</si>
  <si>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</si>
  <si>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</si>
  <si>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</si>
  <si>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</si>
  <si>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</si>
  <si>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</si>
  <si>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</si>
  <si>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</si>
  <si>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</si>
  <si>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</si>
  <si>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</si>
  <si>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</si>
  <si>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</si>
  <si>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</si>
  <si>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</si>
  <si>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</si>
  <si>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</si>
  <si>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</si>
  <si>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</si>
  <si>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</si>
  <si>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</si>
  <si>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</si>
  <si>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</si>
  <si>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</si>
  <si>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</si>
  <si>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</si>
  <si>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</si>
  <si>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</si>
  <si>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</si>
  <si>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</si>
  <si>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</si>
  <si>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</si>
  <si>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</si>
  <si>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</si>
  <si>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</si>
  <si>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</si>
  <si>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</si>
  <si>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</si>
  <si>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</si>
  <si>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</si>
  <si>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</si>
  <si>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</si>
  <si>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</si>
  <si>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</si>
  <si>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</si>
  <si>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</si>
  <si>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</si>
  <si>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</si>
  <si>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</si>
  <si>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</si>
  <si>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</si>
  <si>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</si>
  <si>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</si>
  <si>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</si>
  <si>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</si>
  <si>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</si>
  <si>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</si>
  <si>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</si>
  <si>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</si>
  <si>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</si>
  <si>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</si>
  <si>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</si>
  <si>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</si>
  <si>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</si>
  <si>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</si>
  <si>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</si>
  <si>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</si>
  <si>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</si>
  <si>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</si>
  <si>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</si>
  <si>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</si>
  <si>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</si>
  <si>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</si>
  <si>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</si>
  <si>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</si>
  <si>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</si>
  <si>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</si>
  <si>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</si>
  <si>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</si>
  <si>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</si>
  <si>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</si>
  <si>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</si>
  <si>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</si>
  <si>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</si>
  <si>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</si>
  <si>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</si>
  <si>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</si>
  <si>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</si>
  <si>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</si>
  <si>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</si>
  <si>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</si>
  <si>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</si>
  <si>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</si>
  <si>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</si>
  <si>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</si>
  <si>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</si>
  <si>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</si>
  <si>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</si>
  <si>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</si>
  <si>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</si>
  <si>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</si>
  <si>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</si>
  <si>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</si>
  <si>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</si>
  <si>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</si>
  <si>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</si>
  <si>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</si>
  <si>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</si>
  <si>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</si>
  <si>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</si>
  <si>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</si>
  <si>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</si>
  <si>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</si>
  <si>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</si>
  <si>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</si>
  <si>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</si>
  <si>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</si>
  <si>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</si>
  <si>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</si>
  <si>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</si>
  <si>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</si>
  <si>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</si>
  <si>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</si>
  <si>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</si>
  <si>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</si>
  <si>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</si>
  <si>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</si>
  <si>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</si>
  <si>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</si>
  <si>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</si>
  <si>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</si>
  <si>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</si>
  <si>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</si>
  <si>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</si>
  <si>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</si>
  <si>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</si>
  <si>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</si>
  <si>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</si>
  <si>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</si>
  <si>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</si>
  <si>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</si>
  <si>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</si>
  <si>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</si>
  <si>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</si>
  <si>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</si>
  <si>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</si>
  <si>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</si>
  <si>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</si>
  <si>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</si>
  <si>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</si>
  <si>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</si>
  <si>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</si>
  <si>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</si>
  <si>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</si>
  <si>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</si>
  <si>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</si>
  <si>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</si>
  <si>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</si>
  <si>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</si>
  <si>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</si>
  <si>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</si>
  <si>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</si>
  <si>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</si>
  <si>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</si>
  <si>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</si>
  <si>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</si>
  <si>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</si>
  <si>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</si>
  <si>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</si>
  <si>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</si>
  <si>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</si>
  <si>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</si>
  <si>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</si>
  <si>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</si>
  <si>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</si>
  <si>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</si>
  <si>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</si>
  <si>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</si>
  <si>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</si>
  <si>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</si>
  <si>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</si>
  <si>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</si>
  <si>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</si>
  <si>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</si>
  <si>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</si>
  <si>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</si>
  <si>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</si>
  <si>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</si>
  <si>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</si>
  <si>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</si>
  <si>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</si>
  <si>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</si>
  <si>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</si>
  <si>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</si>
  <si>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</si>
  <si>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</si>
  <si>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</si>
  <si>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</si>
  <si>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</si>
  <si>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</si>
  <si>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</si>
  <si>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</si>
  <si>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</si>
  <si>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</si>
  <si>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</si>
  <si>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</si>
  <si>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</si>
  <si>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</si>
  <si>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</si>
  <si>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</si>
  <si>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</si>
  <si>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</si>
  <si>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</si>
  <si>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</si>
  <si>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</si>
  <si>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</si>
  <si>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</si>
  <si>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</si>
  <si>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</si>
  <si>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</si>
  <si>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</si>
  <si>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</si>
  <si>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</si>
  <si>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</si>
  <si>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</si>
  <si>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</si>
  <si>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</si>
  <si>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</si>
  <si>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</si>
  <si>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</si>
  <si>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</si>
  <si>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</si>
  <si>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</si>
  <si>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</si>
  <si>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</si>
  <si>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</si>
  <si>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</si>
  <si>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</si>
  <si>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</si>
  <si>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</si>
  <si>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</si>
  <si>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</si>
  <si>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</si>
  <si>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</si>
  <si>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</si>
  <si>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</si>
  <si>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</si>
  <si>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</si>
  <si>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</si>
  <si>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</si>
  <si>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</si>
  <si>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</si>
  <si>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</si>
  <si>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</si>
  <si>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</si>
  <si>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</si>
  <si>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</si>
  <si>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</si>
  <si>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</si>
  <si>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</si>
  <si>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</si>
  <si>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</si>
  <si>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</si>
  <si>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</si>
  <si>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</si>
  <si>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</si>
  <si>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</si>
  <si>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</si>
  <si>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</si>
  <si>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</si>
  <si>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</si>
  <si>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</si>
  <si>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</si>
  <si>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</si>
  <si>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</si>
  <si>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</si>
  <si>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</si>
  <si>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</si>
  <si>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</si>
  <si>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</si>
  <si>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</si>
  <si>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</si>
  <si>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</si>
  <si>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</si>
  <si>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</si>
  <si>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</si>
  <si>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</si>
  <si>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</si>
  <si>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</si>
  <si>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</si>
  <si>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</si>
  <si>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</si>
  <si>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</si>
  <si>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</si>
  <si>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</si>
  <si>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</si>
  <si>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</si>
  <si>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</si>
  <si>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</si>
  <si>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</si>
  <si>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</si>
  <si>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</si>
  <si>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</si>
  <si>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</si>
  <si>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</si>
  <si>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</si>
  <si>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</si>
  <si>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</si>
  <si>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</si>
  <si>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</si>
  <si>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</si>
  <si>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</si>
  <si>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</si>
  <si>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</si>
  <si>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</si>
  <si>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</si>
  <si>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</si>
  <si>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</si>
  <si>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</si>
  <si>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</si>
  <si>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</si>
  <si>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</si>
  <si>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</si>
  <si>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</si>
  <si>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</si>
  <si>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</si>
  <si>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</si>
  <si>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</si>
  <si>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</si>
  <si>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</si>
  <si>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</si>
  <si>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</si>
  <si>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</si>
  <si>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</si>
  <si>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</si>
  <si>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</si>
  <si>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</si>
  <si>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</si>
  <si>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</si>
  <si>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</si>
  <si>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</si>
  <si>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</si>
  <si>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</si>
  <si>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</si>
  <si>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</si>
  <si>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</si>
  <si>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</si>
  <si>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</si>
  <si>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</si>
  <si>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</si>
  <si>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</si>
  <si>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</si>
  <si>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</si>
  <si>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</si>
  <si>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</si>
  <si>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</si>
  <si>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</si>
  <si>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</si>
  <si>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</si>
  <si>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</si>
  <si>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</si>
  <si>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</si>
  <si>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</si>
  <si>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</si>
  <si>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</si>
  <si>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</si>
  <si>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</si>
  <si>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</si>
  <si>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</si>
  <si>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</si>
  <si>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</si>
  <si>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</si>
  <si>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</si>
  <si>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</si>
  <si>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</si>
  <si>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</si>
  <si>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</si>
  <si>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</si>
  <si>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</si>
  <si>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</si>
  <si>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</si>
  <si>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</si>
  <si>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</si>
  <si>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</si>
  <si>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</si>
  <si>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</si>
  <si>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</si>
  <si>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</si>
  <si>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</si>
  <si>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</si>
  <si>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</si>
  <si>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</si>
  <si>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</si>
  <si>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</si>
  <si>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</si>
  <si>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</si>
  <si>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</si>
  <si>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</si>
  <si>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</si>
  <si>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</si>
  <si>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</si>
  <si>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</si>
  <si>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</si>
  <si>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</si>
  <si>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</si>
  <si>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</si>
  <si>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</si>
  <si>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</si>
  <si>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</si>
  <si>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</si>
  <si>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</si>
  <si>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</si>
  <si>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</si>
  <si>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</si>
  <si>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</si>
  <si>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</si>
  <si>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</si>
  <si>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</si>
  <si>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</si>
  <si>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</si>
  <si>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</si>
  <si>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</si>
  <si>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</si>
  <si>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</si>
  <si>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</si>
  <si>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</si>
  <si>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</si>
  <si>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</si>
  <si>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</si>
  <si>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</si>
  <si>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</si>
  <si>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</si>
  <si>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</si>
  <si>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</si>
  <si>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</si>
  <si>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</si>
  <si>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</si>
  <si>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</si>
  <si>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</si>
  <si>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</si>
  <si>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</si>
  <si>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</si>
  <si>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</si>
  <si>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</si>
  <si>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</si>
  <si>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</si>
  <si>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</si>
  <si>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</si>
  <si>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</si>
  <si>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</si>
  <si>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</si>
  <si>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</si>
  <si>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</si>
  <si>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</si>
  <si>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</si>
  <si>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</si>
  <si>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</si>
  <si>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</si>
  <si>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</si>
  <si>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</si>
  <si>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</si>
  <si>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</si>
  <si>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</si>
  <si>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</si>
  <si>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</si>
  <si>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</si>
  <si>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</si>
  <si>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</si>
  <si>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</si>
  <si>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</si>
  <si>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</si>
  <si>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</si>
  <si>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</si>
  <si>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</si>
  <si>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</si>
  <si>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</si>
  <si>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</si>
  <si>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</si>
  <si>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</si>
  <si>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</si>
  <si>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</si>
  <si>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</si>
  <si>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</si>
  <si>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</si>
  <si>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</si>
  <si>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</si>
  <si>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</si>
  <si>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</si>
  <si>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</si>
  <si>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</si>
  <si>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</si>
  <si>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</si>
  <si>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</si>
  <si>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</si>
  <si>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</si>
  <si>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</si>
  <si>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</si>
  <si>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</si>
  <si>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</si>
  <si>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</si>
  <si>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</si>
  <si>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</si>
  <si>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</si>
  <si>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</si>
  <si>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</si>
  <si>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</si>
  <si>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</si>
  <si>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</si>
  <si>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</si>
  <si>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</si>
  <si>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</si>
  <si>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</si>
  <si>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</si>
  <si>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</si>
  <si>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</si>
  <si>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</si>
  <si>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</si>
  <si>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</si>
  <si>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</si>
  <si>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</si>
  <si>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</si>
  <si>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</si>
  <si>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</si>
  <si>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</si>
  <si>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</si>
  <si>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</si>
  <si>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</si>
  <si>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</si>
  <si>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</si>
  <si>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</si>
  <si>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</si>
  <si>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</si>
  <si>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</si>
  <si>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</si>
  <si>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</si>
  <si>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</si>
  <si>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</si>
  <si>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</si>
  <si>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</si>
  <si>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</si>
  <si>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</si>
  <si>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</si>
  <si>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</si>
  <si>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</si>
  <si>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</si>
  <si>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</si>
  <si>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</si>
  <si>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</si>
  <si>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</si>
  <si>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</si>
  <si>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</si>
  <si>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</si>
  <si>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</si>
  <si>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</si>
  <si>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</si>
  <si>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</si>
  <si>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</si>
  <si>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</si>
  <si>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</si>
  <si>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</si>
  <si>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</si>
  <si>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</si>
  <si>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</si>
  <si>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</si>
  <si>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</si>
  <si>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</si>
  <si>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</si>
  <si>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</si>
  <si>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</si>
  <si>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</si>
  <si>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</si>
  <si>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</si>
  <si>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</si>
  <si>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</si>
  <si>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</si>
  <si>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</si>
  <si>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</si>
  <si>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</si>
  <si>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</si>
  <si>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</si>
  <si>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</si>
  <si>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</si>
  <si>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</si>
  <si>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</si>
  <si>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</si>
  <si>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</si>
  <si>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</si>
  <si>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</si>
  <si>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</si>
  <si>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</si>
  <si>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</si>
  <si>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</si>
  <si>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</si>
  <si>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</si>
  <si>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</si>
  <si>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</si>
  <si>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</si>
  <si>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</si>
  <si>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</si>
  <si>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</si>
  <si>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</si>
  <si>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</si>
  <si>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</si>
  <si>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</si>
  <si>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</si>
  <si>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</si>
  <si>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</si>
  <si>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</si>
  <si>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</si>
  <si>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</si>
  <si>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</si>
  <si>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</si>
  <si>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</si>
  <si>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</si>
  <si>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</si>
  <si>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</si>
  <si>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</si>
  <si>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</si>
  <si>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</si>
  <si>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</si>
  <si>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</si>
  <si>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</si>
  <si>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</si>
  <si>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</si>
  <si>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</si>
  <si>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</si>
  <si>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</si>
  <si>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</si>
  <si>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</si>
  <si>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</si>
  <si>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</si>
  <si>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</si>
  <si>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</si>
  <si>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</si>
  <si>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</si>
  <si>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</si>
  <si>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</si>
  <si>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</si>
  <si>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</si>
  <si>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</si>
  <si>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</si>
  <si>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</si>
  <si>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</si>
  <si>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</si>
  <si>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</si>
  <si>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</si>
  <si>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</si>
  <si>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</si>
  <si>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</si>
  <si>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</si>
  <si>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</si>
  <si>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</si>
  <si>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</si>
  <si>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</si>
  <si>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</si>
  <si>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</si>
  <si>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</si>
  <si>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</si>
  <si>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</si>
  <si>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</si>
  <si>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</si>
  <si>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</si>
  <si>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</si>
  <si>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</si>
  <si>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</si>
  <si>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</si>
  <si>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</si>
  <si>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</si>
  <si>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</si>
  <si>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</si>
  <si>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</si>
  <si>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</si>
  <si>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</si>
  <si>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</si>
  <si>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</si>
  <si>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</si>
  <si>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</si>
  <si>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</si>
  <si>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</si>
  <si>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</si>
  <si>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</si>
  <si>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</si>
  <si>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</si>
  <si>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</si>
  <si>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</si>
  <si>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</si>
  <si>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</si>
  <si>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</si>
  <si>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</si>
  <si>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</si>
  <si>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</si>
  <si>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</si>
  <si>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</si>
  <si>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</si>
  <si>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</si>
  <si>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</si>
  <si>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</si>
  <si>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</si>
  <si>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</si>
  <si>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</si>
  <si>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</si>
  <si>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</si>
  <si>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</si>
  <si>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</si>
  <si>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</si>
  <si>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</si>
  <si>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</si>
  <si>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</si>
  <si>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</si>
  <si>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</si>
  <si>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</si>
  <si>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</si>
  <si>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</si>
  <si>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</si>
  <si>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</si>
  <si>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</si>
  <si>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</si>
  <si>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</si>
  <si>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</si>
  <si>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</si>
  <si>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</si>
  <si>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</si>
  <si>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</si>
  <si>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</si>
  <si>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</si>
  <si>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</si>
  <si>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</si>
  <si>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</si>
  <si>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</si>
  <si>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</si>
  <si>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</si>
  <si>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</si>
  <si>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</si>
  <si>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</si>
  <si>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</si>
  <si>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</si>
  <si>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</si>
  <si>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</si>
  <si>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</si>
  <si>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</si>
  <si>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</si>
  <si>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</si>
  <si>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</si>
  <si>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</si>
  <si>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</si>
  <si>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</si>
  <si>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</si>
  <si>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</si>
  <si>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</si>
  <si>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</si>
  <si>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</si>
  <si>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</si>
  <si>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</si>
  <si>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</si>
  <si>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</si>
  <si>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</si>
  <si>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</si>
  <si>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</si>
  <si>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</si>
  <si>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</si>
  <si>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</si>
  <si>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</si>
  <si>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</si>
  <si>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</si>
  <si>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</si>
  <si>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</si>
  <si>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</si>
  <si>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</si>
  <si>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</si>
  <si>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</si>
  <si>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</si>
  <si>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</si>
  <si>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</si>
  <si>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</si>
  <si>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</si>
  <si>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</si>
  <si>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</si>
  <si>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</si>
  <si>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</si>
  <si>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</si>
  <si>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</si>
  <si>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</si>
  <si>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</si>
  <si>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</si>
  <si>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</si>
  <si>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</si>
  <si>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</si>
  <si>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</si>
  <si>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</si>
  <si>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</si>
  <si>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</si>
  <si>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</si>
  <si>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</si>
  <si>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</si>
  <si>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</si>
  <si>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</si>
  <si>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</si>
  <si>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</si>
  <si>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</si>
  <si>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</si>
  <si>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</si>
  <si>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</si>
  <si>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</si>
  <si>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</si>
  <si>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</si>
  <si>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</si>
  <si>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</si>
  <si>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</si>
  <si>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</si>
  <si>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</si>
  <si>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</si>
  <si>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</si>
  <si>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</si>
  <si>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</si>
  <si>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</si>
  <si>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</si>
  <si>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</si>
  <si>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</si>
  <si>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</si>
  <si>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</si>
  <si>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</si>
  <si>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</si>
  <si>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</si>
  <si>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</si>
  <si>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</si>
  <si>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</si>
  <si>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</si>
  <si>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</si>
  <si>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</si>
  <si>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</si>
  <si>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</si>
  <si>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</si>
  <si>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</si>
  <si>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</si>
  <si>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</si>
  <si>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</si>
  <si>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</si>
  <si>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</si>
  <si>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</si>
  <si>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</si>
  <si>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</si>
  <si>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</si>
  <si>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</si>
  <si>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</si>
  <si>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</si>
  <si>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</si>
  <si>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</si>
  <si>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</si>
  <si>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</si>
  <si>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</si>
  <si>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</si>
  <si>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</si>
  <si>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</si>
  <si>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</si>
  <si>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</si>
  <si>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</si>
  <si>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</si>
  <si>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</si>
  <si>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</si>
  <si>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</si>
  <si>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</si>
  <si>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</si>
  <si>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</si>
  <si>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</si>
  <si>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</si>
  <si>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</si>
  <si>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</si>
  <si>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</si>
  <si>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</si>
  <si>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</si>
  <si>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</si>
  <si>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</si>
  <si>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</si>
  <si>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</si>
  <si>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</si>
  <si>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</si>
  <si>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</si>
  <si>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</si>
  <si>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</si>
  <si>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</si>
  <si>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</si>
  <si>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</si>
  <si>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</si>
  <si>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</si>
  <si>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</si>
  <si>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</si>
  <si>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</si>
  <si>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</si>
  <si>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</si>
  <si>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</si>
  <si>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</si>
  <si>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</si>
  <si>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</si>
  <si>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</si>
  <si>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</si>
  <si>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</si>
  <si>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</si>
  <si>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</si>
  <si>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</si>
  <si>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</si>
  <si>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</si>
  <si>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</si>
  <si>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</si>
  <si>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</si>
  <si>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</si>
  <si>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</si>
  <si>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</si>
  <si>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</si>
  <si>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</si>
  <si>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</si>
  <si>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CPAT industry kernel - Egypt prototype v0.7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</si>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</sst>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8" zoomScaleNormal="100" workbookViewId="0">
      <selection activeCell="A34" sqref="A34:XFD34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1931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1837</v>
      </c>
      <c r="B10" s="43" t="s">
        <v>1754</v>
      </c>
      <c r="C10" t="s">
        <v>1838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1839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1840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1932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1841</v>
      </c>
      <c r="B31" s="95" t="s">
        <v>1842</v>
      </c>
      <c r="C31" t="s">
        <v>1843</v>
      </c>
    </row>
    <row r="32" spans="1:3" x14ac:dyDescent="0.45">
      <c r="A32" t="s">
        <v>1889</v>
      </c>
      <c r="B32" s="95" t="s">
        <v>1842</v>
      </c>
      <c r="C32" t="s">
        <v>1890</v>
      </c>
    </row>
    <row r="33" spans="1:3" x14ac:dyDescent="0.45">
      <c r="A33" t="s">
        <v>1918</v>
      </c>
      <c r="B33" s="95" t="s">
        <v>1842</v>
      </c>
      <c r="C33" t="s">
        <v>1919</v>
      </c>
    </row>
    <row r="34" spans="1:3" x14ac:dyDescent="0.45">
      <c r="A34" t="s">
        <v>1933</v>
      </c>
      <c r="B34" s="95" t="s">
        <v>1842</v>
      </c>
      <c r="C34" s="101" t="s">
        <v>1934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1870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1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1891</v>
      </c>
      <c r="N16" s="58" t="s">
        <v>1892</v>
      </c>
      <c r="O16" s="58" t="s">
        <v>1893</v>
      </c>
      <c r="P16" s="58" t="s">
        <v>1894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1891</v>
      </c>
      <c r="N26" s="56" t="s">
        <v>1892</v>
      </c>
      <c r="O26" s="56" t="s">
        <v>1893</v>
      </c>
      <c r="P26" s="56" t="s">
        <v>1894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1920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1790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1791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1792</v>
      </c>
      <c r="C44" s="53" t="s">
        <v>1793</v>
      </c>
      <c r="D44" s="53" t="s">
        <v>1788</v>
      </c>
      <c r="E44" s="53" t="s">
        <v>1415</v>
      </c>
      <c r="F44" s="53" t="s">
        <v>1789</v>
      </c>
      <c r="G44" s="94" t="s">
        <v>1794</v>
      </c>
      <c r="H44" s="53" t="s">
        <v>1921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1795</v>
      </c>
      <c r="C45" s="53" t="s">
        <v>1796</v>
      </c>
      <c r="D45" s="53" t="s">
        <v>1788</v>
      </c>
      <c r="E45" s="53" t="s">
        <v>79</v>
      </c>
      <c r="F45" s="53" t="s">
        <v>1789</v>
      </c>
      <c r="G45" s="94" t="s">
        <v>1797</v>
      </c>
      <c r="H45" s="53" t="s">
        <v>1798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1799</v>
      </c>
      <c r="C46" s="53" t="s">
        <v>1800</v>
      </c>
      <c r="D46" s="53" t="s">
        <v>1801</v>
      </c>
      <c r="E46" s="53" t="s">
        <v>79</v>
      </c>
      <c r="F46" s="53" t="s">
        <v>1789</v>
      </c>
      <c r="G46" s="94" t="s">
        <v>1802</v>
      </c>
      <c r="H46" s="53" t="s">
        <v>1803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1804</v>
      </c>
      <c r="C47" s="53" t="s">
        <v>1805</v>
      </c>
      <c r="D47" s="53" t="s">
        <v>1801</v>
      </c>
      <c r="E47" s="53" t="s">
        <v>1415</v>
      </c>
      <c r="F47" s="53" t="s">
        <v>1789</v>
      </c>
      <c r="G47" s="94" t="s">
        <v>1806</v>
      </c>
      <c r="H47" s="53" t="s">
        <v>1807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1808</v>
      </c>
      <c r="C48" s="53" t="s">
        <v>1809</v>
      </c>
      <c r="D48" s="53" t="s">
        <v>1810</v>
      </c>
      <c r="E48" s="53" t="s">
        <v>79</v>
      </c>
      <c r="F48" s="53" t="s">
        <v>1789</v>
      </c>
      <c r="G48" s="94" t="s">
        <v>1811</v>
      </c>
      <c r="H48" s="53" t="s">
        <v>1812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1813</v>
      </c>
      <c r="C49" s="53" t="s">
        <v>1814</v>
      </c>
      <c r="D49" s="53" t="s">
        <v>1815</v>
      </c>
      <c r="E49" s="53" t="s">
        <v>1415</v>
      </c>
      <c r="F49" s="53" t="s">
        <v>1789</v>
      </c>
      <c r="G49" s="94" t="s">
        <v>1816</v>
      </c>
      <c r="H49" s="53" t="s">
        <v>1817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1818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1819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1820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1819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1821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1819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1822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1819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1823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1819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1824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1819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1825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1819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1826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1819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1827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1819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1828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1829</v>
      </c>
    </row>
    <row r="62" spans="1:35" ht="13.15" x14ac:dyDescent="0.4">
      <c r="A62" s="56"/>
      <c r="B62" s="53" t="s">
        <v>1830</v>
      </c>
    </row>
    <row r="63" spans="1:35" ht="13.15" x14ac:dyDescent="0.4">
      <c r="A63" s="56"/>
      <c r="B63" s="53" t="s">
        <v>1831</v>
      </c>
    </row>
    <row r="64" spans="1:35" ht="13.15" x14ac:dyDescent="0.4">
      <c r="A64" s="56"/>
      <c r="B64" s="53" t="s">
        <v>1832</v>
      </c>
    </row>
    <row r="65" spans="1:2" ht="13.15" x14ac:dyDescent="0.4">
      <c r="A65" s="56"/>
      <c r="B65" s="53" t="s">
        <v>1833</v>
      </c>
    </row>
    <row r="66" spans="1:2" ht="13.15" x14ac:dyDescent="0.4">
      <c r="A66" s="56"/>
      <c r="B66" s="53" t="s">
        <v>1834</v>
      </c>
    </row>
    <row r="67" spans="1:2" ht="13.15" x14ac:dyDescent="0.4">
      <c r="A67" s="56"/>
      <c r="B67" s="53" t="s">
        <v>1835</v>
      </c>
    </row>
    <row r="68" spans="1:2" ht="13.15" x14ac:dyDescent="0.4">
      <c r="A68" s="56"/>
      <c r="B68" s="53" t="s">
        <v>1836</v>
      </c>
    </row>
    <row r="69" spans="1:2" x14ac:dyDescent="0.35">
      <c r="B69" s="53" t="s">
        <v>1880</v>
      </c>
    </row>
    <row r="70" spans="1:2" x14ac:dyDescent="0.35">
      <c r="B70" s="53" t="s">
        <v>1895</v>
      </c>
    </row>
    <row r="71" spans="1:2" x14ac:dyDescent="0.35">
      <c r="B71" s="53" t="s">
        <v>1922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91" activePane="bottomRight" state="frozen"/>
      <selection pane="topRight" activeCell="E1" sqref="E1"/>
      <selection pane="bottomLeft" activeCell="A2" sqref="A2"/>
      <selection pane="bottomRight" activeCell="A707" sqref="A707:XFD707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1865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1866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1867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1868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1869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1907</v>
      </c>
      <c r="D258" s="72" t="s">
        <v>1908</v>
      </c>
      <c r="E258" s="72" t="s">
        <v>1875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21.221453892876493</v>
      </c>
      <c r="V258" s="72">
        <f t="shared" si="61"/>
        <v>21.929188494316183</v>
      </c>
      <c r="W258" s="72">
        <f t="shared" si="61"/>
        <v>22.660926639924462</v>
      </c>
      <c r="X258" s="72">
        <f t="shared" si="61"/>
        <v>23.417496589319807</v>
      </c>
      <c r="Y258" s="72">
        <f t="shared" si="61"/>
        <v>24.199755722449424</v>
      </c>
      <c r="Z258" s="72">
        <f t="shared" si="61"/>
        <v>25.008591585210855</v>
      </c>
      <c r="AA258" s="72">
        <f t="shared" si="61"/>
        <v>25.844922973525978</v>
      </c>
      <c r="AB258" s="72">
        <f t="shared" si="61"/>
        <v>26.70970105731983</v>
      </c>
      <c r="AC258" s="72">
        <f t="shared" si="61"/>
        <v>27.603910545913184</v>
      </c>
      <c r="AD258" s="72">
        <f t="shared" si="61"/>
        <v>28.528570896396591</v>
      </c>
      <c r="AE258" s="72">
        <f t="shared" si="61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1909</v>
      </c>
      <c r="E259" s="72" t="s">
        <v>1875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6.0348730065378478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6.8995657584700698</v>
      </c>
      <c r="V259" s="72">
        <f t="shared" si="62"/>
        <v>7.1364424209471196</v>
      </c>
      <c r="W259" s="72">
        <f t="shared" si="62"/>
        <v>7.3822741634934586</v>
      </c>
      <c r="X259" s="72">
        <f t="shared" si="62"/>
        <v>7.6374227247843764</v>
      </c>
      <c r="Y259" s="72">
        <f t="shared" si="62"/>
        <v>7.9022650497302331</v>
      </c>
      <c r="Z259" s="72">
        <f t="shared" si="62"/>
        <v>8.1771939429249265</v>
      </c>
      <c r="AA259" s="72">
        <f t="shared" si="62"/>
        <v>8.4626187505023296</v>
      </c>
      <c r="AB259" s="72">
        <f t="shared" si="62"/>
        <v>8.7589660716430906</v>
      </c>
      <c r="AC259" s="72">
        <f t="shared" si="62"/>
        <v>9.0666805010286549</v>
      </c>
      <c r="AD259" s="72">
        <f t="shared" si="62"/>
        <v>9.3862254035963169</v>
      </c>
      <c r="AE259" s="72">
        <f t="shared" si="62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1910</v>
      </c>
      <c r="E260" s="72" t="s">
        <v>1875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>SUMPRODUCT(L$276:L$283*($J$264:$J$271&gt;0)*$J$264:$J$271*(1+$J$273*(EXP(-$E$363:$E$370*($F$310:$F$317*L$308+$G$310:$G$317*L$248))-1)))/1000</f>
        <v>25.304020994313927</v>
      </c>
      <c r="M260" s="72">
        <f>SUMPRODUCT(M$276:M$283*($J$264:$J$271&gt;0)*$J$264:$J$271*(1+$J$273*(EXP(-$E$363:$E$370*($F$310:$F$317*M$308+$G$310:$G$317*M$248))-1)))/1000</f>
        <v>26.150733850694163</v>
      </c>
      <c r="N260" s="72">
        <f>SUMPRODUCT(N$276:N$283*($J$264:$J$271&gt;0)*$J$264:$J$271*(1+$J$273*(EXP(-$E$363:$E$370*($F$310:$F$317*N$308+$G$310:$G$317*N$248))-1)))/1000</f>
        <v>27.026</v>
      </c>
      <c r="O260" s="72">
        <f>SUMPRODUCT(O$276:O$283*($J$264:$J$271&gt;0)*$J$264:$J$271*(1+$J$273*(EXP(-$E$363:$E$370*($F$310:$F$317*O$308+$G$310:$G$317*O$248))-1)))/1000</f>
        <v>27.930793999999999</v>
      </c>
      <c r="P260" s="72">
        <f>SUMPRODUCT(P$276:P$283*($J$264:$J$271&gt;0)*$J$264:$J$271*(1+$J$273*(EXP(-$E$363:$E$370*($F$310:$F$317*P$308+$G$310:$G$317*P$248))-1)))/1000</f>
        <v>28.866124285999998</v>
      </c>
      <c r="Q260" s="72">
        <f>SUMPRODUCT(Q$276:Q$283*($J$264:$J$271&gt;0)*$J$264:$J$271*(1+$J$273*(EXP(-$E$363:$E$370*($F$310:$F$317*Q$308+$G$310:$G$317*Q$248))-1)))/1000</f>
        <v>29.833034380633993</v>
      </c>
      <c r="R260" s="72">
        <f>SUMPRODUCT(R$276:R$283*($J$264:$J$271&gt;0)*$J$264:$J$271*(1+$J$273*(EXP(-$E$363:$E$370*($F$310:$F$317*R$308+$G$310:$G$317*R$248))-1)))/1000</f>
        <v>30.832604148514033</v>
      </c>
      <c r="S260" s="72">
        <f>SUMPRODUCT(S$276:S$283*($J$264:$J$271&gt;0)*$J$264:$J$271*(1+$J$273*(EXP(-$E$363:$E$370*($F$310:$F$317*S$308+$G$310:$G$317*S$248))-1)))/1000</f>
        <v>31.865951097485905</v>
      </c>
      <c r="T260" s="72">
        <f>SUMPRODUCT(T$276:T$283*($J$264:$J$271&gt;0)*$J$264:$J$271*(1+$J$273*(EXP(-$E$363:$E$370*($F$310:$F$317*T$308+$G$310:$G$317*T$248))-1)))/1000</f>
        <v>32.934231728309406</v>
      </c>
      <c r="U260" s="72">
        <f>SUMPRODUCT(U$276:U$283*($J$264:$J$271&gt;0)*$J$264:$J$271*(1+$J$273*(EXP(-$E$363:$E$370*($F$310:$F$317*U$308+$G$310:$G$317*U$248))-1)))/1000</f>
        <v>34.038642934657474</v>
      </c>
      <c r="V260" s="72">
        <f>SUMPRODUCT(V$276:V$283*($J$264:$J$271&gt;0)*$J$264:$J$271*(1+$J$273*(EXP(-$E$363:$E$370*($F$310:$F$317*V$308+$G$310:$G$317*V$248))-1)))/1000</f>
        <v>35.180423455406491</v>
      </c>
      <c r="W260" s="72">
        <f>SUMPRODUCT(W$276:W$283*($J$264:$J$271&gt;0)*$J$264:$J$271*(1+$J$273*(EXP(-$E$363:$E$370*($F$310:$F$317*W$308+$G$310:$G$317*W$248))-1)))/1000</f>
        <v>36.360855381272714</v>
      </c>
      <c r="X260" s="72">
        <f>SUMPRODUCT(X$276:X$283*($J$264:$J$271&gt;0)*$J$264:$J$271*(1+$J$273*(EXP(-$E$363:$E$370*($F$310:$F$317*X$308+$G$310:$G$317*X$248))-1)))/1000</f>
        <v>37.581265717934862</v>
      </c>
      <c r="Y260" s="72">
        <f>SUMPRODUCT(Y$276:Y$283*($J$264:$J$271&gt;0)*$J$264:$J$271*(1+$J$273*(EXP(-$E$363:$E$370*($F$310:$F$317*Y$308+$G$310:$G$317*Y$248))-1)))/1000</f>
        <v>38.843028007872753</v>
      </c>
      <c r="Z260" s="72">
        <f>SUMPRODUCT(Z$276:Z$283*($J$264:$J$271&gt;0)*$J$264:$J$271*(1+$J$273*(EXP(-$E$363:$E$370*($F$310:$F$317*Z$308+$G$310:$G$317*Z$248))-1)))/1000</f>
        <v>40.147564013244939</v>
      </c>
      <c r="AA260" s="72">
        <f>SUMPRODUCT(AA$276:AA$283*($J$264:$J$271&gt;0)*$J$264:$J$271*(1+$J$273*(EXP(-$E$363:$E$370*($F$310:$F$317*AA$308+$G$310:$G$317*AA$248))-1)))/1000</f>
        <v>41.496345462226095</v>
      </c>
      <c r="AB260" s="72">
        <f>SUMPRODUCT(AB$276:AB$283*($J$264:$J$271&gt;0)*$J$264:$J$271*(1+$J$273*(EXP(-$E$363:$E$370*($F$310:$F$317*AB$308+$G$310:$G$317*AB$248))-1)))/1000</f>
        <v>42.890895861326769</v>
      </c>
      <c r="AC260" s="72">
        <f>SUMPRODUCT(AC$276:AC$283*($J$264:$J$271&gt;0)*$J$264:$J$271*(1+$J$273*(EXP(-$E$363:$E$370*($F$310:$F$317*AC$308+$G$310:$G$317*AC$248))-1)))/1000</f>
        <v>44.332792376324477</v>
      </c>
      <c r="AD260" s="72">
        <f>SUMPRODUCT(AD$276:AD$283*($J$264:$J$271&gt;0)*$J$264:$J$271*(1+$J$273*(EXP(-$E$363:$E$370*($F$310:$F$317*AD$308+$G$310:$G$317*AD$248))-1)))/1000</f>
        <v>45.823667784546558</v>
      </c>
      <c r="AE260" s="72">
        <f>SUMPRODUCT(AE$276:AE$283*($J$264:$J$271&gt;0)*$J$264:$J$271*(1+$J$273*(EXP(-$E$363:$E$370*($F$310:$F$317*AE$308+$G$310:$G$317*AE$248))-1)))/1000</f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1911</v>
      </c>
      <c r="E261" s="72" t="s">
        <v>1875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>SUMPRODUCT(L$276:L$283*($K$264:$K$271&gt;0)*$K$264:$K$271*(1+$K$273*(EXP(-$E$363:$E$370*($F$310:$F$317*L$308+$G$310:$G$317*L$248))-1)))/1000</f>
        <v>0.78631830560210647</v>
      </c>
      <c r="M261" s="72">
        <f>SUMPRODUCT(M$276:M$283*($K$264:$K$271&gt;0)*$K$264:$K$271*(1+$K$273*(EXP(-$E$363:$E$370*($F$310:$F$317*M$308+$G$310:$G$317*M$248))-1)))/1000</f>
        <v>0.81117778540358554</v>
      </c>
      <c r="N261" s="72">
        <f>SUMPRODUCT(N$276:N$283*($K$264:$K$271&gt;0)*$K$264:$K$271*(1+$K$273*(EXP(-$E$363:$E$370*($F$310:$F$317*N$308+$G$310:$G$317*N$248))-1)))/1000</f>
        <v>0.83699999999999997</v>
      </c>
      <c r="O261" s="72">
        <f>SUMPRODUCT(O$276:O$283*($K$264:$K$271&gt;0)*$K$264:$K$271*(1+$K$273*(EXP(-$E$363:$E$370*($F$310:$F$317*O$308+$G$310:$G$317*O$248))-1)))/1000</f>
        <v>0.86382899999999996</v>
      </c>
      <c r="P261" s="72">
        <f>SUMPRODUCT(P$276:P$283*($K$264:$K$271&gt;0)*$K$264:$K$271*(1+$K$273*(EXP(-$E$363:$E$370*($F$310:$F$317*P$308+$G$310:$G$317*P$248))-1)))/1000</f>
        <v>0.89171106300000003</v>
      </c>
      <c r="Q261" s="72">
        <f>SUMPRODUCT(Q$276:Q$283*($K$264:$K$271&gt;0)*$K$264:$K$271*(1+$K$273*(EXP(-$E$363:$E$370*($F$310:$F$317*Q$308+$G$310:$G$317*Q$248))-1)))/1000</f>
        <v>0.92069481176099999</v>
      </c>
      <c r="R261" s="72">
        <f>SUMPRODUCT(R$276:R$283*($K$264:$K$271&gt;0)*$K$264:$K$271*(1+$K$273*(EXP(-$E$363:$E$370*($F$310:$F$317*R$308+$G$310:$G$317*R$248))-1)))/1000</f>
        <v>0.95083133879036696</v>
      </c>
      <c r="S261" s="72">
        <f>SUMPRODUCT(S$276:S$283*($K$264:$K$271&gt;0)*$K$264:$K$271*(1+$K$273*(EXP(-$E$363:$E$370*($F$310:$F$317*S$308+$G$310:$G$317*S$248))-1)))/1000</f>
        <v>0.9821743376787645</v>
      </c>
      <c r="T261" s="72">
        <f>SUMPRODUCT(T$276:T$283*($K$264:$K$271&gt;0)*$K$264:$K$271*(1+$K$273*(EXP(-$E$363:$E$370*($F$310:$F$317*T$308+$G$310:$G$317*T$248))-1)))/1000</f>
        <v>1.0147802415616323</v>
      </c>
      <c r="U261" s="72">
        <f>SUMPRODUCT(U$276:U$283*($K$264:$K$271&gt;0)*$K$264:$K$271*(1+$K$273*(EXP(-$E$363:$E$370*($F$310:$F$317*U$308+$G$310:$G$317*U$248))-1)))/1000</f>
        <v>1.0487083690948893</v>
      </c>
      <c r="V261" s="72">
        <f>SUMPRODUCT(V$276:V$283*($K$264:$K$271&gt;0)*$K$264:$K$271*(1+$K$273*(EXP(-$E$363:$E$370*($F$310:$F$317*V$308+$G$310:$G$317*V$248))-1)))/1000</f>
        <v>1.0840210783559179</v>
      </c>
      <c r="W261" s="72">
        <f>SUMPRODUCT(W$276:W$283*($K$264:$K$271&gt;0)*$K$264:$K$271*(1+$K$273*(EXP(-$E$363:$E$370*($F$310:$F$317*W$308+$G$310:$G$317*W$248))-1)))/1000</f>
        <v>1.1207839291034407</v>
      </c>
      <c r="X261" s="72">
        <f>SUMPRODUCT(X$276:X$283*($K$264:$K$271&gt;0)*$K$264:$K$271*(1+$K$273*(EXP(-$E$363:$E$370*($F$310:$F$317*X$308+$G$310:$G$317*X$248))-1)))/1000</f>
        <v>1.1590658538537117</v>
      </c>
      <c r="Y261" s="72">
        <f>SUMPRODUCT(Y$276:Y$283*($K$264:$K$271&gt;0)*$K$264:$K$271*(1+$K$273*(EXP(-$E$363:$E$370*($F$310:$F$317*Y$308+$G$310:$G$317*Y$248))-1)))/1000</f>
        <v>1.1989393382555391</v>
      </c>
      <c r="Z261" s="72">
        <f>SUMPRODUCT(Z$276:Z$283*($K$264:$K$271&gt;0)*$K$264:$K$271*(1+$K$273*(EXP(-$E$363:$E$370*($F$310:$F$317*Z$308+$G$310:$G$317*Z$248))-1)))/1000</f>
        <v>1.2404806112731439</v>
      </c>
      <c r="AA261" s="72">
        <f>SUMPRODUCT(AA$276:AA$283*($K$264:$K$271&gt;0)*$K$264:$K$271*(1+$K$273*(EXP(-$E$363:$E$370*($F$310:$F$317*AA$308+$G$310:$G$317*AA$248))-1)))/1000</f>
        <v>1.2837698457138154</v>
      </c>
      <c r="AB261" s="72">
        <f>SUMPRODUCT(AB$276:AB$283*($K$264:$K$271&gt;0)*$K$264:$K$271*(1+$K$273*(EXP(-$E$363:$E$370*($F$310:$F$317*AB$308+$G$310:$G$317*AB$248))-1)))/1000</f>
        <v>1.3288913696667775</v>
      </c>
      <c r="AC261" s="72">
        <f>SUMPRODUCT(AC$276:AC$283*($K$264:$K$271&gt;0)*$K$264:$K$271*(1+$K$273*(EXP(-$E$363:$E$370*($F$310:$F$317*AC$308+$G$310:$G$317*AC$248))-1)))/1000</f>
        <v>1.3759338894508044</v>
      </c>
      <c r="AD261" s="72">
        <f>SUMPRODUCT(AD$276:AD$283*($K$264:$K$271&gt;0)*$K$264:$K$271*(1+$K$273*(EXP(-$E$363:$E$370*($F$310:$F$317*AD$308+$G$310:$G$317*AD$248))-1)))/1000</f>
        <v>1.4249907247009044</v>
      </c>
      <c r="AE261" s="72">
        <f>SUMPRODUCT(AE$276:AE$283*($K$264:$K$271&gt;0)*$K$264:$K$271*(1+$K$273*(EXP(-$E$363:$E$370*($F$310:$F$317*AE$308+$G$310:$G$317*AE$248))-1)))/1000</f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3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4">N264+O264</f>
        <v>0.98003000000000007</v>
      </c>
      <c r="R264" s="76">
        <f t="shared" ref="R264:R271" si="65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3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4"/>
        <v>0.40525</v>
      </c>
      <c r="R265" s="76">
        <f t="shared" si="65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3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4"/>
        <v>2.3595000000000002</v>
      </c>
      <c r="R266" s="76">
        <f t="shared" si="65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3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4"/>
        <v>0.87055000000000005</v>
      </c>
      <c r="R267" s="76">
        <f t="shared" si="65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3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4"/>
        <v>1.8888</v>
      </c>
      <c r="R268" s="76">
        <f t="shared" si="65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3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4"/>
        <v>0.48764960000000002</v>
      </c>
      <c r="R269" s="76">
        <f t="shared" si="65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3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4"/>
        <v>1.52732</v>
      </c>
      <c r="R270" s="76">
        <f t="shared" si="65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3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4"/>
        <v>9.2560000000000002</v>
      </c>
      <c r="R271" s="76">
        <f t="shared" si="65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1896</v>
      </c>
      <c r="D272" s="73"/>
      <c r="E272" s="71"/>
      <c r="F272" s="71"/>
      <c r="G272" s="71"/>
      <c r="H272" s="71" t="s">
        <v>1898</v>
      </c>
      <c r="I272" s="71" t="s">
        <v>1899</v>
      </c>
      <c r="J272" s="71" t="s">
        <v>1900</v>
      </c>
      <c r="K272" s="71" t="s">
        <v>1901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1897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6">M276/(1+G276)</f>
        <v>4679.1738230501605</v>
      </c>
      <c r="M276" s="72">
        <f t="shared" ref="M276:M283" si="67">N276/(1+G276)</f>
        <v>4885.0574712643675</v>
      </c>
      <c r="N276" s="90">
        <f>IF(UPPER(Settings!$B$3)="EGY",F276,0)</f>
        <v>5100</v>
      </c>
      <c r="O276" s="72">
        <f t="shared" ref="O276:O283" si="68">N276*(1+G276)</f>
        <v>5324.4000000000005</v>
      </c>
      <c r="P276" s="72">
        <f t="shared" ref="P276:P283" si="69">O276*(1+G276)</f>
        <v>5558.673600000001</v>
      </c>
      <c r="Q276" s="72">
        <f t="shared" ref="Q276:Q283" si="70">P276*(1+G276)</f>
        <v>5803.255238400001</v>
      </c>
      <c r="R276" s="72">
        <f t="shared" ref="R276:R283" si="71">Q276*(1+G276)</f>
        <v>6058.5984688896015</v>
      </c>
      <c r="S276" s="72">
        <f t="shared" ref="S276:S283" si="72">R276*(1+G276)</f>
        <v>6325.1768015207444</v>
      </c>
      <c r="T276" s="72">
        <f t="shared" ref="T276:T283" si="73">S276*(1+G276)</f>
        <v>6603.4845807876573</v>
      </c>
      <c r="U276" s="72">
        <f t="shared" ref="U276:U283" si="74">T276*(1+G276)</f>
        <v>6894.0379023423147</v>
      </c>
      <c r="V276" s="72">
        <f t="shared" ref="V276:V283" si="75">U276*(1+G276)</f>
        <v>7197.3755700453767</v>
      </c>
      <c r="W276" s="72">
        <f t="shared" ref="W276:W283" si="76">V276*(1+G276)</f>
        <v>7514.0600951273736</v>
      </c>
      <c r="X276" s="72">
        <f t="shared" ref="X276:X283" si="77">W276*(1+G276)</f>
        <v>7844.678739312978</v>
      </c>
      <c r="Y276" s="72">
        <f t="shared" ref="Y276:Y283" si="78">X276*(1+G276)</f>
        <v>8189.8446038427492</v>
      </c>
      <c r="Z276" s="72">
        <f t="shared" ref="Z276:Z283" si="79">Y276*(1+G276)</f>
        <v>8550.1977664118313</v>
      </c>
      <c r="AA276" s="72">
        <f t="shared" ref="AA276:AA283" si="80">Z276*(1+G276)</f>
        <v>8926.4064681339514</v>
      </c>
      <c r="AB276" s="72">
        <f t="shared" ref="AB276:AB283" si="81">AA276*(1+G276)</f>
        <v>9319.1683527318455</v>
      </c>
      <c r="AC276" s="72">
        <f t="shared" ref="AC276:AC283" si="82">AB276*(1+G276)</f>
        <v>9729.2117602520466</v>
      </c>
      <c r="AD276" s="72">
        <f t="shared" ref="AD276:AD283" si="83">AC276*(1+G276)</f>
        <v>10157.297077703137</v>
      </c>
      <c r="AE276" s="72">
        <f t="shared" ref="AE276:AE283" si="84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6"/>
        <v>4403.9283040472101</v>
      </c>
      <c r="M277" s="72">
        <f t="shared" si="67"/>
        <v>4597.7011494252874</v>
      </c>
      <c r="N277" s="90">
        <f>IF(UPPER(Settings!$B$3)="EGY",F277,0)</f>
        <v>4800</v>
      </c>
      <c r="O277" s="72">
        <f t="shared" si="68"/>
        <v>5011.2</v>
      </c>
      <c r="P277" s="72">
        <f t="shared" si="69"/>
        <v>5231.6927999999998</v>
      </c>
      <c r="Q277" s="72">
        <f t="shared" si="70"/>
        <v>5461.8872831999997</v>
      </c>
      <c r="R277" s="72">
        <f t="shared" si="71"/>
        <v>5702.2103236608</v>
      </c>
      <c r="S277" s="72">
        <f t="shared" si="72"/>
        <v>5953.1075779018756</v>
      </c>
      <c r="T277" s="72">
        <f t="shared" si="73"/>
        <v>6215.0443113295587</v>
      </c>
      <c r="U277" s="72">
        <f t="shared" si="74"/>
        <v>6488.5062610280593</v>
      </c>
      <c r="V277" s="72">
        <f t="shared" si="75"/>
        <v>6774.0005365132938</v>
      </c>
      <c r="W277" s="72">
        <f t="shared" si="76"/>
        <v>7072.0565601198787</v>
      </c>
      <c r="X277" s="72">
        <f t="shared" si="77"/>
        <v>7383.227048765154</v>
      </c>
      <c r="Y277" s="72">
        <f t="shared" si="78"/>
        <v>7708.0890389108208</v>
      </c>
      <c r="Z277" s="72">
        <f t="shared" si="79"/>
        <v>8047.244956622897</v>
      </c>
      <c r="AA277" s="72">
        <f t="shared" si="80"/>
        <v>8401.323734714304</v>
      </c>
      <c r="AB277" s="72">
        <f t="shared" si="81"/>
        <v>8770.9819790417332</v>
      </c>
      <c r="AC277" s="72">
        <f t="shared" si="82"/>
        <v>9156.9051861195694</v>
      </c>
      <c r="AD277" s="72">
        <f t="shared" si="83"/>
        <v>9559.8090143088302</v>
      </c>
      <c r="AE277" s="72">
        <f t="shared" si="84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6"/>
        <v>0</v>
      </c>
      <c r="M278" s="72">
        <f t="shared" si="67"/>
        <v>0</v>
      </c>
      <c r="N278" s="90">
        <f>IF(UPPER(Settings!$B$3)="EGY",F278,0)</f>
        <v>0</v>
      </c>
      <c r="O278" s="72">
        <f t="shared" si="68"/>
        <v>0</v>
      </c>
      <c r="P278" s="72">
        <f t="shared" si="69"/>
        <v>0</v>
      </c>
      <c r="Q278" s="72">
        <f t="shared" si="70"/>
        <v>0</v>
      </c>
      <c r="R278" s="72">
        <f t="shared" si="71"/>
        <v>0</v>
      </c>
      <c r="S278" s="72">
        <f t="shared" si="72"/>
        <v>0</v>
      </c>
      <c r="T278" s="72">
        <f t="shared" si="73"/>
        <v>0</v>
      </c>
      <c r="U278" s="72">
        <f t="shared" si="74"/>
        <v>0</v>
      </c>
      <c r="V278" s="72">
        <f t="shared" si="75"/>
        <v>0</v>
      </c>
      <c r="W278" s="72">
        <f t="shared" si="76"/>
        <v>0</v>
      </c>
      <c r="X278" s="72">
        <f t="shared" si="77"/>
        <v>0</v>
      </c>
      <c r="Y278" s="72">
        <f t="shared" si="78"/>
        <v>0</v>
      </c>
      <c r="Z278" s="72">
        <f t="shared" si="79"/>
        <v>0</v>
      </c>
      <c r="AA278" s="72">
        <f t="shared" si="80"/>
        <v>0</v>
      </c>
      <c r="AB278" s="72">
        <f t="shared" si="81"/>
        <v>0</v>
      </c>
      <c r="AC278" s="72">
        <f t="shared" si="82"/>
        <v>0</v>
      </c>
      <c r="AD278" s="72">
        <f t="shared" si="83"/>
        <v>0</v>
      </c>
      <c r="AE278" s="72">
        <f t="shared" si="84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6"/>
        <v>46856.447775209017</v>
      </c>
      <c r="M279" s="72">
        <f t="shared" si="67"/>
        <v>48402.710551790908</v>
      </c>
      <c r="N279" s="90">
        <f>IF(UPPER(Settings!$B$3)="EGY",F279,0)</f>
        <v>50000</v>
      </c>
      <c r="O279" s="72">
        <f t="shared" si="68"/>
        <v>51649.999999999993</v>
      </c>
      <c r="P279" s="72">
        <f t="shared" si="69"/>
        <v>53354.44999999999</v>
      </c>
      <c r="Q279" s="72">
        <f t="shared" si="70"/>
        <v>55115.146849999983</v>
      </c>
      <c r="R279" s="72">
        <f t="shared" si="71"/>
        <v>56933.946696049978</v>
      </c>
      <c r="S279" s="72">
        <f t="shared" si="72"/>
        <v>58812.766937019624</v>
      </c>
      <c r="T279" s="72">
        <f t="shared" si="73"/>
        <v>60753.588245941268</v>
      </c>
      <c r="U279" s="72">
        <f t="shared" si="74"/>
        <v>62758.456658057323</v>
      </c>
      <c r="V279" s="72">
        <f t="shared" si="75"/>
        <v>64829.485727773208</v>
      </c>
      <c r="W279" s="72">
        <f t="shared" si="76"/>
        <v>66968.858756789719</v>
      </c>
      <c r="X279" s="72">
        <f t="shared" si="77"/>
        <v>69178.831095763773</v>
      </c>
      <c r="Y279" s="72">
        <f t="shared" si="78"/>
        <v>71461.732521923972</v>
      </c>
      <c r="Z279" s="72">
        <f t="shared" si="79"/>
        <v>73819.969695147462</v>
      </c>
      <c r="AA279" s="72">
        <f t="shared" si="80"/>
        <v>76256.028695087327</v>
      </c>
      <c r="AB279" s="72">
        <f t="shared" si="81"/>
        <v>78772.477642025202</v>
      </c>
      <c r="AC279" s="72">
        <f t="shared" si="82"/>
        <v>81371.969404212025</v>
      </c>
      <c r="AD279" s="72">
        <f t="shared" si="83"/>
        <v>84057.244394551017</v>
      </c>
      <c r="AE279" s="72">
        <f t="shared" si="84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6"/>
        <v>1708.9778302013242</v>
      </c>
      <c r="M280" s="72">
        <f t="shared" si="67"/>
        <v>1746.5753424657535</v>
      </c>
      <c r="N280" s="90">
        <f>IF(UPPER(Settings!$B$3)="EGY",F280,0)</f>
        <v>1785</v>
      </c>
      <c r="O280" s="72">
        <f t="shared" si="68"/>
        <v>1824.27</v>
      </c>
      <c r="P280" s="72">
        <f t="shared" si="69"/>
        <v>1864.4039399999999</v>
      </c>
      <c r="Q280" s="72">
        <f t="shared" si="70"/>
        <v>1905.4208266799999</v>
      </c>
      <c r="R280" s="72">
        <f t="shared" si="71"/>
        <v>1947.3400848669598</v>
      </c>
      <c r="S280" s="72">
        <f t="shared" si="72"/>
        <v>1990.1815667340329</v>
      </c>
      <c r="T280" s="72">
        <f t="shared" si="73"/>
        <v>2033.9655612021818</v>
      </c>
      <c r="U280" s="72">
        <f t="shared" si="74"/>
        <v>2078.7128035486298</v>
      </c>
      <c r="V280" s="72">
        <f t="shared" si="75"/>
        <v>2124.4444852266997</v>
      </c>
      <c r="W280" s="72">
        <f t="shared" si="76"/>
        <v>2171.1822639016873</v>
      </c>
      <c r="X280" s="72">
        <f t="shared" si="77"/>
        <v>2218.9482737075245</v>
      </c>
      <c r="Y280" s="72">
        <f t="shared" si="78"/>
        <v>2267.7651357290902</v>
      </c>
      <c r="Z280" s="72">
        <f t="shared" si="79"/>
        <v>2317.6559687151303</v>
      </c>
      <c r="AA280" s="72">
        <f t="shared" si="80"/>
        <v>2368.644400026863</v>
      </c>
      <c r="AB280" s="72">
        <f t="shared" si="81"/>
        <v>2420.754576827454</v>
      </c>
      <c r="AC280" s="72">
        <f t="shared" si="82"/>
        <v>2474.0111775176579</v>
      </c>
      <c r="AD280" s="72">
        <f t="shared" si="83"/>
        <v>2528.4394234230463</v>
      </c>
      <c r="AE280" s="72">
        <f t="shared" si="84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6"/>
        <v>2680.7495375707044</v>
      </c>
      <c r="M281" s="72">
        <f t="shared" si="67"/>
        <v>2739.7260273972602</v>
      </c>
      <c r="N281" s="90">
        <f>IF(UPPER(Settings!$B$3)="EGY",F281,0)</f>
        <v>2800</v>
      </c>
      <c r="O281" s="72">
        <f t="shared" si="68"/>
        <v>2861.6</v>
      </c>
      <c r="P281" s="72">
        <f t="shared" si="69"/>
        <v>2924.5551999999998</v>
      </c>
      <c r="Q281" s="72">
        <f t="shared" si="70"/>
        <v>2988.8954143999999</v>
      </c>
      <c r="R281" s="72">
        <f t="shared" si="71"/>
        <v>3054.6511135167998</v>
      </c>
      <c r="S281" s="72">
        <f t="shared" si="72"/>
        <v>3121.8534380141696</v>
      </c>
      <c r="T281" s="72">
        <f t="shared" si="73"/>
        <v>3190.5342136504814</v>
      </c>
      <c r="U281" s="72">
        <f t="shared" si="74"/>
        <v>3260.7259663507921</v>
      </c>
      <c r="V281" s="72">
        <f t="shared" si="75"/>
        <v>3332.4619376105097</v>
      </c>
      <c r="W281" s="72">
        <f t="shared" si="76"/>
        <v>3405.7761002379411</v>
      </c>
      <c r="X281" s="72">
        <f t="shared" si="77"/>
        <v>3480.7031744431761</v>
      </c>
      <c r="Y281" s="72">
        <f t="shared" si="78"/>
        <v>3557.2786442809261</v>
      </c>
      <c r="Z281" s="72">
        <f t="shared" si="79"/>
        <v>3635.5387744551067</v>
      </c>
      <c r="AA281" s="72">
        <f t="shared" si="80"/>
        <v>3715.5206274931193</v>
      </c>
      <c r="AB281" s="72">
        <f t="shared" si="81"/>
        <v>3797.2620812979681</v>
      </c>
      <c r="AC281" s="72">
        <f t="shared" si="82"/>
        <v>3880.8018470865236</v>
      </c>
      <c r="AD281" s="72">
        <f t="shared" si="83"/>
        <v>3966.179487722427</v>
      </c>
      <c r="AE281" s="72">
        <f t="shared" si="84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6"/>
        <v>574.44632947943671</v>
      </c>
      <c r="M282" s="72">
        <f t="shared" si="67"/>
        <v>587.08414872798437</v>
      </c>
      <c r="N282" s="90">
        <f>IF(UPPER(Settings!$B$3)="EGY",F282,0)</f>
        <v>600</v>
      </c>
      <c r="O282" s="72">
        <f t="shared" si="68"/>
        <v>613.20000000000005</v>
      </c>
      <c r="P282" s="72">
        <f t="shared" si="69"/>
        <v>626.69040000000007</v>
      </c>
      <c r="Q282" s="72">
        <f t="shared" si="70"/>
        <v>640.47758880000004</v>
      </c>
      <c r="R282" s="72">
        <f t="shared" si="71"/>
        <v>654.56809575360001</v>
      </c>
      <c r="S282" s="72">
        <f t="shared" si="72"/>
        <v>668.96859386017923</v>
      </c>
      <c r="T282" s="72">
        <f t="shared" si="73"/>
        <v>683.68590292510316</v>
      </c>
      <c r="U282" s="72">
        <f t="shared" si="74"/>
        <v>698.72699278945549</v>
      </c>
      <c r="V282" s="72">
        <f t="shared" si="75"/>
        <v>714.09898663082356</v>
      </c>
      <c r="W282" s="72">
        <f t="shared" si="76"/>
        <v>729.80916433670166</v>
      </c>
      <c r="X282" s="72">
        <f t="shared" si="77"/>
        <v>745.86496595210906</v>
      </c>
      <c r="Y282" s="72">
        <f t="shared" si="78"/>
        <v>762.27399520305551</v>
      </c>
      <c r="Z282" s="72">
        <f t="shared" si="79"/>
        <v>779.04402309752277</v>
      </c>
      <c r="AA282" s="72">
        <f t="shared" si="80"/>
        <v>796.18299160566824</v>
      </c>
      <c r="AB282" s="72">
        <f t="shared" si="81"/>
        <v>813.69901742099296</v>
      </c>
      <c r="AC282" s="72">
        <f t="shared" si="82"/>
        <v>831.60039580425484</v>
      </c>
      <c r="AD282" s="72">
        <f t="shared" si="83"/>
        <v>849.89560451194848</v>
      </c>
      <c r="AE282" s="72">
        <f t="shared" si="84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6"/>
        <v>269.53572471417982</v>
      </c>
      <c r="M283" s="72">
        <f t="shared" si="67"/>
        <v>284.36018957345971</v>
      </c>
      <c r="N283" s="90">
        <f>IF(UPPER(Settings!$B$3)="EGY",F283,0)</f>
        <v>300</v>
      </c>
      <c r="O283" s="72">
        <f t="shared" si="68"/>
        <v>316.5</v>
      </c>
      <c r="P283" s="72">
        <f t="shared" si="69"/>
        <v>333.90749999999997</v>
      </c>
      <c r="Q283" s="72">
        <f t="shared" si="70"/>
        <v>352.27241249999997</v>
      </c>
      <c r="R283" s="72">
        <f t="shared" si="71"/>
        <v>371.64739518749997</v>
      </c>
      <c r="S283" s="72">
        <f t="shared" si="72"/>
        <v>392.08800192281245</v>
      </c>
      <c r="T283" s="72">
        <f t="shared" si="73"/>
        <v>413.65284202856714</v>
      </c>
      <c r="U283" s="72">
        <f t="shared" si="74"/>
        <v>436.40374834013829</v>
      </c>
      <c r="V283" s="72">
        <f t="shared" si="75"/>
        <v>460.40595449884586</v>
      </c>
      <c r="W283" s="72">
        <f t="shared" si="76"/>
        <v>485.72828199628236</v>
      </c>
      <c r="X283" s="72">
        <f t="shared" si="77"/>
        <v>512.44333750607791</v>
      </c>
      <c r="Y283" s="72">
        <f t="shared" si="78"/>
        <v>540.62772106891214</v>
      </c>
      <c r="Z283" s="72">
        <f t="shared" si="79"/>
        <v>570.36224572770232</v>
      </c>
      <c r="AA283" s="72">
        <f t="shared" si="80"/>
        <v>601.73216924272594</v>
      </c>
      <c r="AB283" s="72">
        <f t="shared" si="81"/>
        <v>634.82743855107583</v>
      </c>
      <c r="AC283" s="72">
        <f t="shared" si="82"/>
        <v>669.74294767138497</v>
      </c>
      <c r="AD283" s="72">
        <f t="shared" si="83"/>
        <v>706.57880979331105</v>
      </c>
      <c r="AE283" s="72">
        <f t="shared" si="84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5">L274</f>
        <v>2022</v>
      </c>
      <c r="M287" s="74">
        <f t="shared" si="85"/>
        <v>2023</v>
      </c>
      <c r="N287" s="74">
        <f t="shared" si="85"/>
        <v>2024</v>
      </c>
      <c r="O287" s="74">
        <f t="shared" si="85"/>
        <v>2025</v>
      </c>
      <c r="P287" s="74">
        <f t="shared" si="85"/>
        <v>2026</v>
      </c>
      <c r="Q287" s="74">
        <f t="shared" si="85"/>
        <v>2027</v>
      </c>
      <c r="R287" s="74">
        <f t="shared" si="85"/>
        <v>2028</v>
      </c>
      <c r="S287" s="74">
        <f t="shared" si="85"/>
        <v>2029</v>
      </c>
      <c r="T287" s="74">
        <f t="shared" si="85"/>
        <v>2030</v>
      </c>
      <c r="U287" s="74">
        <f t="shared" si="85"/>
        <v>2031</v>
      </c>
      <c r="V287" s="74">
        <f t="shared" si="85"/>
        <v>2032</v>
      </c>
      <c r="W287" s="74">
        <f t="shared" si="85"/>
        <v>2033</v>
      </c>
      <c r="X287" s="74">
        <f t="shared" si="85"/>
        <v>2034</v>
      </c>
      <c r="Y287" s="74">
        <f t="shared" si="85"/>
        <v>2035</v>
      </c>
      <c r="Z287" s="74">
        <f t="shared" si="85"/>
        <v>2036</v>
      </c>
      <c r="AA287" s="74">
        <f t="shared" si="85"/>
        <v>2037</v>
      </c>
      <c r="AB287" s="74">
        <f t="shared" si="85"/>
        <v>2038</v>
      </c>
      <c r="AC287" s="74">
        <f t="shared" si="85"/>
        <v>2039</v>
      </c>
      <c r="AD287" s="74">
        <f t="shared" si="85"/>
        <v>2040</v>
      </c>
      <c r="AE287" s="74">
        <f t="shared" si="8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6">G288</f>
        <v>750</v>
      </c>
      <c r="M288" s="72">
        <f t="shared" ref="M288:M295" si="87">G288</f>
        <v>750</v>
      </c>
      <c r="N288" s="72">
        <f t="shared" ref="N288:N295" si="88">G288</f>
        <v>750</v>
      </c>
      <c r="O288" s="72">
        <f t="shared" ref="O288:O295" si="89">G288</f>
        <v>750</v>
      </c>
      <c r="P288" s="72">
        <f t="shared" ref="P288:P295" si="90">G288</f>
        <v>750</v>
      </c>
      <c r="Q288" s="72">
        <f t="shared" ref="Q288:Q295" si="91">G288</f>
        <v>750</v>
      </c>
      <c r="R288" s="72">
        <f t="shared" ref="R288:R295" si="92">G288</f>
        <v>750</v>
      </c>
      <c r="S288" s="72">
        <f t="shared" ref="S288:S295" si="93">G288</f>
        <v>750</v>
      </c>
      <c r="T288" s="72">
        <f t="shared" ref="T288:T295" si="94">G288</f>
        <v>750</v>
      </c>
      <c r="U288" s="72">
        <f t="shared" ref="U288:U295" si="95">G288</f>
        <v>750</v>
      </c>
      <c r="V288" s="72">
        <f t="shared" ref="V288:V295" si="96">G288</f>
        <v>750</v>
      </c>
      <c r="W288" s="72">
        <f t="shared" ref="W288:W295" si="97">G288</f>
        <v>750</v>
      </c>
      <c r="X288" s="72">
        <f t="shared" ref="X288:X295" si="98">G288</f>
        <v>750</v>
      </c>
      <c r="Y288" s="72">
        <f t="shared" ref="Y288:Y295" si="99">G288</f>
        <v>750</v>
      </c>
      <c r="Z288" s="72">
        <f t="shared" ref="Z288:Z295" si="100">G288</f>
        <v>750</v>
      </c>
      <c r="AA288" s="72">
        <f t="shared" ref="AA288:AA295" si="101">G288</f>
        <v>750</v>
      </c>
      <c r="AB288" s="72">
        <f t="shared" ref="AB288:AB295" si="102">G288</f>
        <v>750</v>
      </c>
      <c r="AC288" s="72">
        <f t="shared" ref="AC288:AC295" si="103">G288</f>
        <v>750</v>
      </c>
      <c r="AD288" s="72">
        <f t="shared" ref="AD288:AD295" si="104">G288</f>
        <v>750</v>
      </c>
      <c r="AE288" s="72">
        <f t="shared" ref="AE288:AE295" si="10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6"/>
        <v>680</v>
      </c>
      <c r="M289" s="72">
        <f t="shared" si="87"/>
        <v>680</v>
      </c>
      <c r="N289" s="72">
        <f t="shared" si="88"/>
        <v>680</v>
      </c>
      <c r="O289" s="72">
        <f t="shared" si="89"/>
        <v>680</v>
      </c>
      <c r="P289" s="72">
        <f t="shared" si="90"/>
        <v>680</v>
      </c>
      <c r="Q289" s="72">
        <f t="shared" si="91"/>
        <v>680</v>
      </c>
      <c r="R289" s="72">
        <f t="shared" si="92"/>
        <v>680</v>
      </c>
      <c r="S289" s="72">
        <f t="shared" si="93"/>
        <v>680</v>
      </c>
      <c r="T289" s="72">
        <f t="shared" si="94"/>
        <v>680</v>
      </c>
      <c r="U289" s="72">
        <f t="shared" si="95"/>
        <v>680</v>
      </c>
      <c r="V289" s="72">
        <f t="shared" si="96"/>
        <v>680</v>
      </c>
      <c r="W289" s="72">
        <f t="shared" si="97"/>
        <v>680</v>
      </c>
      <c r="X289" s="72">
        <f t="shared" si="98"/>
        <v>680</v>
      </c>
      <c r="Y289" s="72">
        <f t="shared" si="99"/>
        <v>680</v>
      </c>
      <c r="Z289" s="72">
        <f t="shared" si="100"/>
        <v>680</v>
      </c>
      <c r="AA289" s="72">
        <f t="shared" si="101"/>
        <v>680</v>
      </c>
      <c r="AB289" s="72">
        <f t="shared" si="102"/>
        <v>680</v>
      </c>
      <c r="AC289" s="72">
        <f t="shared" si="103"/>
        <v>680</v>
      </c>
      <c r="AD289" s="72">
        <f t="shared" si="104"/>
        <v>680</v>
      </c>
      <c r="AE289" s="72">
        <f t="shared" si="10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6"/>
        <v>620</v>
      </c>
      <c r="M290" s="72">
        <f t="shared" si="87"/>
        <v>620</v>
      </c>
      <c r="N290" s="72">
        <f t="shared" si="88"/>
        <v>620</v>
      </c>
      <c r="O290" s="72">
        <f t="shared" si="89"/>
        <v>620</v>
      </c>
      <c r="P290" s="72">
        <f t="shared" si="90"/>
        <v>620</v>
      </c>
      <c r="Q290" s="72">
        <f t="shared" si="91"/>
        <v>620</v>
      </c>
      <c r="R290" s="72">
        <f t="shared" si="92"/>
        <v>620</v>
      </c>
      <c r="S290" s="72">
        <f t="shared" si="93"/>
        <v>620</v>
      </c>
      <c r="T290" s="72">
        <f t="shared" si="94"/>
        <v>620</v>
      </c>
      <c r="U290" s="72">
        <f t="shared" si="95"/>
        <v>620</v>
      </c>
      <c r="V290" s="72">
        <f t="shared" si="96"/>
        <v>620</v>
      </c>
      <c r="W290" s="72">
        <f t="shared" si="97"/>
        <v>620</v>
      </c>
      <c r="X290" s="72">
        <f t="shared" si="98"/>
        <v>620</v>
      </c>
      <c r="Y290" s="72">
        <f t="shared" si="99"/>
        <v>620</v>
      </c>
      <c r="Z290" s="72">
        <f t="shared" si="100"/>
        <v>620</v>
      </c>
      <c r="AA290" s="72">
        <f t="shared" si="101"/>
        <v>620</v>
      </c>
      <c r="AB290" s="72">
        <f t="shared" si="102"/>
        <v>620</v>
      </c>
      <c r="AC290" s="72">
        <f t="shared" si="103"/>
        <v>620</v>
      </c>
      <c r="AD290" s="72">
        <f t="shared" si="104"/>
        <v>620</v>
      </c>
      <c r="AE290" s="72">
        <f t="shared" si="10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6"/>
        <v>110</v>
      </c>
      <c r="M291" s="72">
        <f t="shared" si="87"/>
        <v>110</v>
      </c>
      <c r="N291" s="72">
        <f t="shared" si="88"/>
        <v>110</v>
      </c>
      <c r="O291" s="72">
        <f t="shared" si="89"/>
        <v>110</v>
      </c>
      <c r="P291" s="72">
        <f t="shared" si="90"/>
        <v>110</v>
      </c>
      <c r="Q291" s="72">
        <f t="shared" si="91"/>
        <v>110</v>
      </c>
      <c r="R291" s="72">
        <f t="shared" si="92"/>
        <v>110</v>
      </c>
      <c r="S291" s="72">
        <f t="shared" si="93"/>
        <v>110</v>
      </c>
      <c r="T291" s="72">
        <f t="shared" si="94"/>
        <v>110</v>
      </c>
      <c r="U291" s="72">
        <f t="shared" si="95"/>
        <v>110</v>
      </c>
      <c r="V291" s="72">
        <f t="shared" si="96"/>
        <v>110</v>
      </c>
      <c r="W291" s="72">
        <f t="shared" si="97"/>
        <v>110</v>
      </c>
      <c r="X291" s="72">
        <f t="shared" si="98"/>
        <v>110</v>
      </c>
      <c r="Y291" s="72">
        <f t="shared" si="99"/>
        <v>110</v>
      </c>
      <c r="Z291" s="72">
        <f t="shared" si="100"/>
        <v>110</v>
      </c>
      <c r="AA291" s="72">
        <f t="shared" si="101"/>
        <v>110</v>
      </c>
      <c r="AB291" s="72">
        <f t="shared" si="102"/>
        <v>110</v>
      </c>
      <c r="AC291" s="72">
        <f t="shared" si="103"/>
        <v>110</v>
      </c>
      <c r="AD291" s="72">
        <f t="shared" si="104"/>
        <v>110</v>
      </c>
      <c r="AE291" s="72">
        <f t="shared" si="10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6"/>
        <v>450</v>
      </c>
      <c r="M292" s="72">
        <f t="shared" si="87"/>
        <v>450</v>
      </c>
      <c r="N292" s="72">
        <f t="shared" si="88"/>
        <v>450</v>
      </c>
      <c r="O292" s="72">
        <f t="shared" si="89"/>
        <v>450</v>
      </c>
      <c r="P292" s="72">
        <f t="shared" si="90"/>
        <v>450</v>
      </c>
      <c r="Q292" s="72">
        <f t="shared" si="91"/>
        <v>450</v>
      </c>
      <c r="R292" s="72">
        <f t="shared" si="92"/>
        <v>450</v>
      </c>
      <c r="S292" s="72">
        <f t="shared" si="93"/>
        <v>450</v>
      </c>
      <c r="T292" s="72">
        <f t="shared" si="94"/>
        <v>450</v>
      </c>
      <c r="U292" s="72">
        <f t="shared" si="95"/>
        <v>450</v>
      </c>
      <c r="V292" s="72">
        <f t="shared" si="96"/>
        <v>450</v>
      </c>
      <c r="W292" s="72">
        <f t="shared" si="97"/>
        <v>450</v>
      </c>
      <c r="X292" s="72">
        <f t="shared" si="98"/>
        <v>450</v>
      </c>
      <c r="Y292" s="72">
        <f t="shared" si="99"/>
        <v>450</v>
      </c>
      <c r="Z292" s="72">
        <f t="shared" si="100"/>
        <v>450</v>
      </c>
      <c r="AA292" s="72">
        <f t="shared" si="101"/>
        <v>450</v>
      </c>
      <c r="AB292" s="72">
        <f t="shared" si="102"/>
        <v>450</v>
      </c>
      <c r="AC292" s="72">
        <f t="shared" si="103"/>
        <v>450</v>
      </c>
      <c r="AD292" s="72">
        <f t="shared" si="104"/>
        <v>450</v>
      </c>
      <c r="AE292" s="72">
        <f t="shared" si="10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6"/>
        <v>380</v>
      </c>
      <c r="M293" s="72">
        <f t="shared" si="87"/>
        <v>380</v>
      </c>
      <c r="N293" s="72">
        <f t="shared" si="88"/>
        <v>380</v>
      </c>
      <c r="O293" s="72">
        <f t="shared" si="89"/>
        <v>380</v>
      </c>
      <c r="P293" s="72">
        <f t="shared" si="90"/>
        <v>380</v>
      </c>
      <c r="Q293" s="72">
        <f t="shared" si="91"/>
        <v>380</v>
      </c>
      <c r="R293" s="72">
        <f t="shared" si="92"/>
        <v>380</v>
      </c>
      <c r="S293" s="72">
        <f t="shared" si="93"/>
        <v>380</v>
      </c>
      <c r="T293" s="72">
        <f t="shared" si="94"/>
        <v>380</v>
      </c>
      <c r="U293" s="72">
        <f t="shared" si="95"/>
        <v>380</v>
      </c>
      <c r="V293" s="72">
        <f t="shared" si="96"/>
        <v>380</v>
      </c>
      <c r="W293" s="72">
        <f t="shared" si="97"/>
        <v>380</v>
      </c>
      <c r="X293" s="72">
        <f t="shared" si="98"/>
        <v>380</v>
      </c>
      <c r="Y293" s="72">
        <f t="shared" si="99"/>
        <v>380</v>
      </c>
      <c r="Z293" s="72">
        <f t="shared" si="100"/>
        <v>380</v>
      </c>
      <c r="AA293" s="72">
        <f t="shared" si="101"/>
        <v>380</v>
      </c>
      <c r="AB293" s="72">
        <f t="shared" si="102"/>
        <v>380</v>
      </c>
      <c r="AC293" s="72">
        <f t="shared" si="103"/>
        <v>380</v>
      </c>
      <c r="AD293" s="72">
        <f t="shared" si="104"/>
        <v>380</v>
      </c>
      <c r="AE293" s="72">
        <f t="shared" si="10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6"/>
        <v>320</v>
      </c>
      <c r="M294" s="72">
        <f t="shared" si="87"/>
        <v>320</v>
      </c>
      <c r="N294" s="72">
        <f t="shared" si="88"/>
        <v>320</v>
      </c>
      <c r="O294" s="72">
        <f t="shared" si="89"/>
        <v>320</v>
      </c>
      <c r="P294" s="72">
        <f t="shared" si="90"/>
        <v>320</v>
      </c>
      <c r="Q294" s="72">
        <f t="shared" si="91"/>
        <v>320</v>
      </c>
      <c r="R294" s="72">
        <f t="shared" si="92"/>
        <v>320</v>
      </c>
      <c r="S294" s="72">
        <f t="shared" si="93"/>
        <v>320</v>
      </c>
      <c r="T294" s="72">
        <f t="shared" si="94"/>
        <v>320</v>
      </c>
      <c r="U294" s="72">
        <f t="shared" si="95"/>
        <v>320</v>
      </c>
      <c r="V294" s="72">
        <f t="shared" si="96"/>
        <v>320</v>
      </c>
      <c r="W294" s="72">
        <f t="shared" si="97"/>
        <v>320</v>
      </c>
      <c r="X294" s="72">
        <f t="shared" si="98"/>
        <v>320</v>
      </c>
      <c r="Y294" s="72">
        <f t="shared" si="99"/>
        <v>320</v>
      </c>
      <c r="Z294" s="72">
        <f t="shared" si="100"/>
        <v>320</v>
      </c>
      <c r="AA294" s="72">
        <f t="shared" si="101"/>
        <v>320</v>
      </c>
      <c r="AB294" s="72">
        <f t="shared" si="102"/>
        <v>320</v>
      </c>
      <c r="AC294" s="72">
        <f t="shared" si="103"/>
        <v>320</v>
      </c>
      <c r="AD294" s="72">
        <f t="shared" si="104"/>
        <v>320</v>
      </c>
      <c r="AE294" s="72">
        <f t="shared" si="10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6"/>
        <v>2400</v>
      </c>
      <c r="M295" s="72">
        <f t="shared" si="87"/>
        <v>2400</v>
      </c>
      <c r="N295" s="72">
        <f t="shared" si="88"/>
        <v>2400</v>
      </c>
      <c r="O295" s="72">
        <f t="shared" si="89"/>
        <v>2400</v>
      </c>
      <c r="P295" s="72">
        <f t="shared" si="90"/>
        <v>2400</v>
      </c>
      <c r="Q295" s="72">
        <f t="shared" si="91"/>
        <v>2400</v>
      </c>
      <c r="R295" s="72">
        <f t="shared" si="92"/>
        <v>2400</v>
      </c>
      <c r="S295" s="72">
        <f t="shared" si="93"/>
        <v>2400</v>
      </c>
      <c r="T295" s="72">
        <f t="shared" si="94"/>
        <v>2400</v>
      </c>
      <c r="U295" s="72">
        <f t="shared" si="95"/>
        <v>2400</v>
      </c>
      <c r="V295" s="72">
        <f t="shared" si="96"/>
        <v>2400</v>
      </c>
      <c r="W295" s="72">
        <f t="shared" si="97"/>
        <v>2400</v>
      </c>
      <c r="X295" s="72">
        <f t="shared" si="98"/>
        <v>2400</v>
      </c>
      <c r="Y295" s="72">
        <f t="shared" si="99"/>
        <v>2400</v>
      </c>
      <c r="Z295" s="72">
        <f t="shared" si="100"/>
        <v>2400</v>
      </c>
      <c r="AA295" s="72">
        <f t="shared" si="101"/>
        <v>2400</v>
      </c>
      <c r="AB295" s="72">
        <f t="shared" si="102"/>
        <v>2400</v>
      </c>
      <c r="AC295" s="72">
        <f t="shared" si="103"/>
        <v>2400</v>
      </c>
      <c r="AD295" s="72">
        <f t="shared" si="104"/>
        <v>2400</v>
      </c>
      <c r="AE295" s="72">
        <f t="shared" si="10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1902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6">L246</f>
        <v>2022</v>
      </c>
      <c r="M298" s="74">
        <f t="shared" si="106"/>
        <v>2023</v>
      </c>
      <c r="N298" s="74">
        <f t="shared" si="106"/>
        <v>2024</v>
      </c>
      <c r="O298" s="74">
        <f t="shared" si="106"/>
        <v>2025</v>
      </c>
      <c r="P298" s="74">
        <f t="shared" si="106"/>
        <v>2026</v>
      </c>
      <c r="Q298" s="74">
        <f t="shared" si="106"/>
        <v>2027</v>
      </c>
      <c r="R298" s="74">
        <f t="shared" si="106"/>
        <v>2028</v>
      </c>
      <c r="S298" s="74">
        <f t="shared" si="106"/>
        <v>2029</v>
      </c>
      <c r="T298" s="74">
        <f t="shared" si="106"/>
        <v>2030</v>
      </c>
      <c r="U298" s="74">
        <f t="shared" si="106"/>
        <v>2031</v>
      </c>
      <c r="V298" s="74">
        <f t="shared" si="106"/>
        <v>2032</v>
      </c>
      <c r="W298" s="74">
        <f t="shared" si="106"/>
        <v>2033</v>
      </c>
      <c r="X298" s="74">
        <f t="shared" si="106"/>
        <v>2034</v>
      </c>
      <c r="Y298" s="74">
        <f t="shared" si="106"/>
        <v>2035</v>
      </c>
      <c r="Z298" s="74">
        <f t="shared" si="106"/>
        <v>2036</v>
      </c>
      <c r="AA298" s="74">
        <f t="shared" si="106"/>
        <v>2037</v>
      </c>
      <c r="AB298" s="74">
        <f t="shared" si="106"/>
        <v>2038</v>
      </c>
      <c r="AC298" s="74">
        <f t="shared" si="106"/>
        <v>2039</v>
      </c>
      <c r="AD298" s="74">
        <f t="shared" si="106"/>
        <v>2040</v>
      </c>
      <c r="AE298" s="74">
        <f t="shared" si="106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ref="E299:E306" si="107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107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107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107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107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107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107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107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1923</v>
      </c>
      <c r="E308" s="71" t="s">
        <v>1415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1924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1903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08">L298</f>
        <v>2022</v>
      </c>
      <c r="M309" s="74">
        <f t="shared" si="108"/>
        <v>2023</v>
      </c>
      <c r="N309" s="74">
        <f t="shared" si="108"/>
        <v>2024</v>
      </c>
      <c r="O309" s="74">
        <f t="shared" si="108"/>
        <v>2025</v>
      </c>
      <c r="P309" s="74">
        <f t="shared" si="108"/>
        <v>2026</v>
      </c>
      <c r="Q309" s="74">
        <f t="shared" si="108"/>
        <v>2027</v>
      </c>
      <c r="R309" s="74">
        <f t="shared" si="108"/>
        <v>2028</v>
      </c>
      <c r="S309" s="74">
        <f t="shared" si="108"/>
        <v>2029</v>
      </c>
      <c r="T309" s="74">
        <f t="shared" si="108"/>
        <v>2030</v>
      </c>
      <c r="U309" s="74">
        <f t="shared" si="108"/>
        <v>2031</v>
      </c>
      <c r="V309" s="74">
        <f t="shared" si="108"/>
        <v>2032</v>
      </c>
      <c r="W309" s="74">
        <f t="shared" si="108"/>
        <v>2033</v>
      </c>
      <c r="X309" s="74">
        <f t="shared" si="108"/>
        <v>2034</v>
      </c>
      <c r="Y309" s="74">
        <f t="shared" si="108"/>
        <v>2035</v>
      </c>
      <c r="Z309" s="74">
        <f t="shared" si="108"/>
        <v>2036</v>
      </c>
      <c r="AA309" s="74">
        <f t="shared" si="108"/>
        <v>2037</v>
      </c>
      <c r="AB309" s="74">
        <f t="shared" si="108"/>
        <v>2038</v>
      </c>
      <c r="AC309" s="74">
        <f t="shared" si="108"/>
        <v>2039</v>
      </c>
      <c r="AD309" s="74">
        <f t="shared" si="108"/>
        <v>2040</v>
      </c>
      <c r="AE309" s="74">
        <f t="shared" si="108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ref="E310:E317" si="109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>($F310*L$308+$G310*L$248)*$E310</f>
        <v>0</v>
      </c>
      <c r="M310" s="81">
        <f>($F310*M$308+$G310*M$248)*$E310</f>
        <v>0</v>
      </c>
      <c r="N310" s="81">
        <f>($F310*N$308+$G310*N$248)*$E310</f>
        <v>0</v>
      </c>
      <c r="O310" s="81">
        <f>($F310*O$308+$G310*O$248)*$E310</f>
        <v>0</v>
      </c>
      <c r="P310" s="81">
        <f>($F310*P$308+$G310*P$248)*$E310</f>
        <v>0</v>
      </c>
      <c r="Q310" s="81">
        <f>($F310*Q$308+$G310*Q$248)*$E310</f>
        <v>0</v>
      </c>
      <c r="R310" s="81">
        <f>($F310*R$308+$G310*R$248)*$E310</f>
        <v>0</v>
      </c>
      <c r="S310" s="81">
        <f>($F310*S$308+$G310*S$248)*$E310</f>
        <v>0</v>
      </c>
      <c r="T310" s="81">
        <f>($F310*T$308+$G310*T$248)*$E310</f>
        <v>0</v>
      </c>
      <c r="U310" s="81">
        <f>($F310*U$308+$G310*U$248)*$E310</f>
        <v>0</v>
      </c>
      <c r="V310" s="81">
        <f>($F310*V$308+$G310*V$248)*$E310</f>
        <v>0</v>
      </c>
      <c r="W310" s="81">
        <f>($F310*W$308+$G310*W$248)*$E310</f>
        <v>0</v>
      </c>
      <c r="X310" s="81">
        <f>($F310*X$308+$G310*X$248)*$E310</f>
        <v>0</v>
      </c>
      <c r="Y310" s="81">
        <f>($F310*Y$308+$G310*Y$248)*$E310</f>
        <v>0</v>
      </c>
      <c r="Z310" s="81">
        <f>($F310*Z$308+$G310*Z$248)*$E310</f>
        <v>0</v>
      </c>
      <c r="AA310" s="81">
        <f>($F310*AA$308+$G310*AA$248)*$E310</f>
        <v>0</v>
      </c>
      <c r="AB310" s="81">
        <f>($F310*AB$308+$G310*AB$248)*$E310</f>
        <v>0</v>
      </c>
      <c r="AC310" s="81">
        <f>($F310*AC$308+$G310*AC$248)*$E310</f>
        <v>0</v>
      </c>
      <c r="AD310" s="81">
        <f>($F310*AD$308+$G310*AD$248)*$E310</f>
        <v>0</v>
      </c>
      <c r="AE310" s="81">
        <f>($F310*AE$308+$G310*AE$248)*$E310</f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109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>($F311*L$308+$G311*L$248)*$E311</f>
        <v>0</v>
      </c>
      <c r="M311" s="81">
        <f>($F311*M$308+$G311*M$248)*$E311</f>
        <v>0</v>
      </c>
      <c r="N311" s="81">
        <f>($F311*N$308+$G311*N$248)*$E311</f>
        <v>0</v>
      </c>
      <c r="O311" s="81">
        <f>($F311*O$308+$G311*O$248)*$E311</f>
        <v>0</v>
      </c>
      <c r="P311" s="81">
        <f>($F311*P$308+$G311*P$248)*$E311</f>
        <v>0</v>
      </c>
      <c r="Q311" s="81">
        <f>($F311*Q$308+$G311*Q$248)*$E311</f>
        <v>0</v>
      </c>
      <c r="R311" s="81">
        <f>($F311*R$308+$G311*R$248)*$E311</f>
        <v>0</v>
      </c>
      <c r="S311" s="81">
        <f>($F311*S$308+$G311*S$248)*$E311</f>
        <v>0</v>
      </c>
      <c r="T311" s="81">
        <f>($F311*T$308+$G311*T$248)*$E311</f>
        <v>0</v>
      </c>
      <c r="U311" s="81">
        <f>($F311*U$308+$G311*U$248)*$E311</f>
        <v>0</v>
      </c>
      <c r="V311" s="81">
        <f>($F311*V$308+$G311*V$248)*$E311</f>
        <v>0</v>
      </c>
      <c r="W311" s="81">
        <f>($F311*W$308+$G311*W$248)*$E311</f>
        <v>0</v>
      </c>
      <c r="X311" s="81">
        <f>($F311*X$308+$G311*X$248)*$E311</f>
        <v>0</v>
      </c>
      <c r="Y311" s="81">
        <f>($F311*Y$308+$G311*Y$248)*$E311</f>
        <v>0</v>
      </c>
      <c r="Z311" s="81">
        <f>($F311*Z$308+$G311*Z$248)*$E311</f>
        <v>0</v>
      </c>
      <c r="AA311" s="81">
        <f>($F311*AA$308+$G311*AA$248)*$E311</f>
        <v>0</v>
      </c>
      <c r="AB311" s="81">
        <f>($F311*AB$308+$G311*AB$248)*$E311</f>
        <v>0</v>
      </c>
      <c r="AC311" s="81">
        <f>($F311*AC$308+$G311*AC$248)*$E311</f>
        <v>0</v>
      </c>
      <c r="AD311" s="81">
        <f>($F311*AD$308+$G311*AD$248)*$E311</f>
        <v>0</v>
      </c>
      <c r="AE311" s="81">
        <f>($F311*AE$308+$G311*AE$248)*$E311</f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109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>($F312*L$308+$G312*L$248)*$E312</f>
        <v>0</v>
      </c>
      <c r="M312" s="81">
        <f>($F312*M$308+$G312*M$248)*$E312</f>
        <v>0</v>
      </c>
      <c r="N312" s="81">
        <f>($F312*N$308+$G312*N$248)*$E312</f>
        <v>0</v>
      </c>
      <c r="O312" s="81">
        <f>($F312*O$308+$G312*O$248)*$E312</f>
        <v>0</v>
      </c>
      <c r="P312" s="81">
        <f>($F312*P$308+$G312*P$248)*$E312</f>
        <v>0</v>
      </c>
      <c r="Q312" s="81">
        <f>($F312*Q$308+$G312*Q$248)*$E312</f>
        <v>0</v>
      </c>
      <c r="R312" s="81">
        <f>($F312*R$308+$G312*R$248)*$E312</f>
        <v>0</v>
      </c>
      <c r="S312" s="81">
        <f>($F312*S$308+$G312*S$248)*$E312</f>
        <v>0</v>
      </c>
      <c r="T312" s="81">
        <f>($F312*T$308+$G312*T$248)*$E312</f>
        <v>0</v>
      </c>
      <c r="U312" s="81">
        <f>($F312*U$308+$G312*U$248)*$E312</f>
        <v>0</v>
      </c>
      <c r="V312" s="81">
        <f>($F312*V$308+$G312*V$248)*$E312</f>
        <v>0</v>
      </c>
      <c r="W312" s="81">
        <f>($F312*W$308+$G312*W$248)*$E312</f>
        <v>0</v>
      </c>
      <c r="X312" s="81">
        <f>($F312*X$308+$G312*X$248)*$E312</f>
        <v>0</v>
      </c>
      <c r="Y312" s="81">
        <f>($F312*Y$308+$G312*Y$248)*$E312</f>
        <v>0</v>
      </c>
      <c r="Z312" s="81">
        <f>($F312*Z$308+$G312*Z$248)*$E312</f>
        <v>0</v>
      </c>
      <c r="AA312" s="81">
        <f>($F312*AA$308+$G312*AA$248)*$E312</f>
        <v>0</v>
      </c>
      <c r="AB312" s="81">
        <f>($F312*AB$308+$G312*AB$248)*$E312</f>
        <v>0</v>
      </c>
      <c r="AC312" s="81">
        <f>($F312*AC$308+$G312*AC$248)*$E312</f>
        <v>0</v>
      </c>
      <c r="AD312" s="81">
        <f>($F312*AD$308+$G312*AD$248)*$E312</f>
        <v>0</v>
      </c>
      <c r="AE312" s="81">
        <f>($F312*AE$308+$G312*AE$248)*$E312</f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109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>($F313*L$308+$G313*L$248)*$E313</f>
        <v>0</v>
      </c>
      <c r="M313" s="81">
        <f>($F313*M$308+$G313*M$248)*$E313</f>
        <v>0</v>
      </c>
      <c r="N313" s="81">
        <f>($F313*N$308+$G313*N$248)*$E313</f>
        <v>0</v>
      </c>
      <c r="O313" s="81">
        <f>($F313*O$308+$G313*O$248)*$E313</f>
        <v>0</v>
      </c>
      <c r="P313" s="81">
        <f>($F313*P$308+$G313*P$248)*$E313</f>
        <v>0</v>
      </c>
      <c r="Q313" s="81">
        <f>($F313*Q$308+$G313*Q$248)*$E313</f>
        <v>0</v>
      </c>
      <c r="R313" s="81">
        <f>($F313*R$308+$G313*R$248)*$E313</f>
        <v>0</v>
      </c>
      <c r="S313" s="81">
        <f>($F313*S$308+$G313*S$248)*$E313</f>
        <v>0</v>
      </c>
      <c r="T313" s="81">
        <f>($F313*T$308+$G313*T$248)*$E313</f>
        <v>0</v>
      </c>
      <c r="U313" s="81">
        <f>($F313*U$308+$G313*U$248)*$E313</f>
        <v>0</v>
      </c>
      <c r="V313" s="81">
        <f>($F313*V$308+$G313*V$248)*$E313</f>
        <v>0</v>
      </c>
      <c r="W313" s="81">
        <f>($F313*W$308+$G313*W$248)*$E313</f>
        <v>0</v>
      </c>
      <c r="X313" s="81">
        <f>($F313*X$308+$G313*X$248)*$E313</f>
        <v>0</v>
      </c>
      <c r="Y313" s="81">
        <f>($F313*Y$308+$G313*Y$248)*$E313</f>
        <v>0</v>
      </c>
      <c r="Z313" s="81">
        <f>($F313*Z$308+$G313*Z$248)*$E313</f>
        <v>0</v>
      </c>
      <c r="AA313" s="81">
        <f>($F313*AA$308+$G313*AA$248)*$E313</f>
        <v>0</v>
      </c>
      <c r="AB313" s="81">
        <f>($F313*AB$308+$G313*AB$248)*$E313</f>
        <v>0</v>
      </c>
      <c r="AC313" s="81">
        <f>($F313*AC$308+$G313*AC$248)*$E313</f>
        <v>0</v>
      </c>
      <c r="AD313" s="81">
        <f>($F313*AD$308+$G313*AD$248)*$E313</f>
        <v>0</v>
      </c>
      <c r="AE313" s="81">
        <f>($F313*AE$308+$G313*AE$248)*$E313</f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109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>($F314*L$308+$G314*L$248)*$E314</f>
        <v>0</v>
      </c>
      <c r="M314" s="81">
        <f>($F314*M$308+$G314*M$248)*$E314</f>
        <v>0</v>
      </c>
      <c r="N314" s="81">
        <f>($F314*N$308+$G314*N$248)*$E314</f>
        <v>0</v>
      </c>
      <c r="O314" s="81">
        <f>($F314*O$308+$G314*O$248)*$E314</f>
        <v>0</v>
      </c>
      <c r="P314" s="81">
        <f>($F314*P$308+$G314*P$248)*$E314</f>
        <v>0</v>
      </c>
      <c r="Q314" s="81">
        <f>($F314*Q$308+$G314*Q$248)*$E314</f>
        <v>0</v>
      </c>
      <c r="R314" s="81">
        <f>($F314*R$308+$G314*R$248)*$E314</f>
        <v>0</v>
      </c>
      <c r="S314" s="81">
        <f>($F314*S$308+$G314*S$248)*$E314</f>
        <v>0</v>
      </c>
      <c r="T314" s="81">
        <f>($F314*T$308+$G314*T$248)*$E314</f>
        <v>0</v>
      </c>
      <c r="U314" s="81">
        <f>($F314*U$308+$G314*U$248)*$E314</f>
        <v>0</v>
      </c>
      <c r="V314" s="81">
        <f>($F314*V$308+$G314*V$248)*$E314</f>
        <v>0</v>
      </c>
      <c r="W314" s="81">
        <f>($F314*W$308+$G314*W$248)*$E314</f>
        <v>0</v>
      </c>
      <c r="X314" s="81">
        <f>($F314*X$308+$G314*X$248)*$E314</f>
        <v>0</v>
      </c>
      <c r="Y314" s="81">
        <f>($F314*Y$308+$G314*Y$248)*$E314</f>
        <v>0</v>
      </c>
      <c r="Z314" s="81">
        <f>($F314*Z$308+$G314*Z$248)*$E314</f>
        <v>0</v>
      </c>
      <c r="AA314" s="81">
        <f>($F314*AA$308+$G314*AA$248)*$E314</f>
        <v>0</v>
      </c>
      <c r="AB314" s="81">
        <f>($F314*AB$308+$G314*AB$248)*$E314</f>
        <v>0</v>
      </c>
      <c r="AC314" s="81">
        <f>($F314*AC$308+$G314*AC$248)*$E314</f>
        <v>0</v>
      </c>
      <c r="AD314" s="81">
        <f>($F314*AD$308+$G314*AD$248)*$E314</f>
        <v>0</v>
      </c>
      <c r="AE314" s="81">
        <f>($F314*AE$308+$G314*AE$248)*$E314</f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109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>($F315*L$308+$G315*L$248)*$E315</f>
        <v>0</v>
      </c>
      <c r="M315" s="81">
        <f>($F315*M$308+$G315*M$248)*$E315</f>
        <v>0</v>
      </c>
      <c r="N315" s="81">
        <f>($F315*N$308+$G315*N$248)*$E315</f>
        <v>0</v>
      </c>
      <c r="O315" s="81">
        <f>($F315*O$308+$G315*O$248)*$E315</f>
        <v>0</v>
      </c>
      <c r="P315" s="81">
        <f>($F315*P$308+$G315*P$248)*$E315</f>
        <v>0</v>
      </c>
      <c r="Q315" s="81">
        <f>($F315*Q$308+$G315*Q$248)*$E315</f>
        <v>0</v>
      </c>
      <c r="R315" s="81">
        <f>($F315*R$308+$G315*R$248)*$E315</f>
        <v>0</v>
      </c>
      <c r="S315" s="81">
        <f>($F315*S$308+$G315*S$248)*$E315</f>
        <v>0</v>
      </c>
      <c r="T315" s="81">
        <f>($F315*T$308+$G315*T$248)*$E315</f>
        <v>0</v>
      </c>
      <c r="U315" s="81">
        <f>($F315*U$308+$G315*U$248)*$E315</f>
        <v>0</v>
      </c>
      <c r="V315" s="81">
        <f>($F315*V$308+$G315*V$248)*$E315</f>
        <v>0</v>
      </c>
      <c r="W315" s="81">
        <f>($F315*W$308+$G315*W$248)*$E315</f>
        <v>0</v>
      </c>
      <c r="X315" s="81">
        <f>($F315*X$308+$G315*X$248)*$E315</f>
        <v>0</v>
      </c>
      <c r="Y315" s="81">
        <f>($F315*Y$308+$G315*Y$248)*$E315</f>
        <v>0</v>
      </c>
      <c r="Z315" s="81">
        <f>($F315*Z$308+$G315*Z$248)*$E315</f>
        <v>0</v>
      </c>
      <c r="AA315" s="81">
        <f>($F315*AA$308+$G315*AA$248)*$E315</f>
        <v>0</v>
      </c>
      <c r="AB315" s="81">
        <f>($F315*AB$308+$G315*AB$248)*$E315</f>
        <v>0</v>
      </c>
      <c r="AC315" s="81">
        <f>($F315*AC$308+$G315*AC$248)*$E315</f>
        <v>0</v>
      </c>
      <c r="AD315" s="81">
        <f>($F315*AD$308+$G315*AD$248)*$E315</f>
        <v>0</v>
      </c>
      <c r="AE315" s="81">
        <f>($F315*AE$308+$G315*AE$248)*$E315</f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109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>($F316*L$308+$G316*L$248)*$E316</f>
        <v>0</v>
      </c>
      <c r="M316" s="81">
        <f>($F316*M$308+$G316*M$248)*$E316</f>
        <v>0</v>
      </c>
      <c r="N316" s="81">
        <f>($F316*N$308+$G316*N$248)*$E316</f>
        <v>0</v>
      </c>
      <c r="O316" s="81">
        <f>($F316*O$308+$G316*O$248)*$E316</f>
        <v>0</v>
      </c>
      <c r="P316" s="81">
        <f>($F316*P$308+$G316*P$248)*$E316</f>
        <v>0</v>
      </c>
      <c r="Q316" s="81">
        <f>($F316*Q$308+$G316*Q$248)*$E316</f>
        <v>0</v>
      </c>
      <c r="R316" s="81">
        <f>($F316*R$308+$G316*R$248)*$E316</f>
        <v>0</v>
      </c>
      <c r="S316" s="81">
        <f>($F316*S$308+$G316*S$248)*$E316</f>
        <v>0</v>
      </c>
      <c r="T316" s="81">
        <f>($F316*T$308+$G316*T$248)*$E316</f>
        <v>0</v>
      </c>
      <c r="U316" s="81">
        <f>($F316*U$308+$G316*U$248)*$E316</f>
        <v>0</v>
      </c>
      <c r="V316" s="81">
        <f>($F316*V$308+$G316*V$248)*$E316</f>
        <v>0</v>
      </c>
      <c r="W316" s="81">
        <f>($F316*W$308+$G316*W$248)*$E316</f>
        <v>0</v>
      </c>
      <c r="X316" s="81">
        <f>($F316*X$308+$G316*X$248)*$E316</f>
        <v>0</v>
      </c>
      <c r="Y316" s="81">
        <f>($F316*Y$308+$G316*Y$248)*$E316</f>
        <v>0</v>
      </c>
      <c r="Z316" s="81">
        <f>($F316*Z$308+$G316*Z$248)*$E316</f>
        <v>0</v>
      </c>
      <c r="AA316" s="81">
        <f>($F316*AA$308+$G316*AA$248)*$E316</f>
        <v>0</v>
      </c>
      <c r="AB316" s="81">
        <f>($F316*AB$308+$G316*AB$248)*$E316</f>
        <v>0</v>
      </c>
      <c r="AC316" s="81">
        <f>($F316*AC$308+$G316*AC$248)*$E316</f>
        <v>0</v>
      </c>
      <c r="AD316" s="81">
        <f>($F316*AD$308+$G316*AD$248)*$E316</f>
        <v>0</v>
      </c>
      <c r="AE316" s="81">
        <f>($F316*AE$308+$G316*AE$248)*$E316</f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109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>($F317*L$308+$G317*L$248)*$E317</f>
        <v>0</v>
      </c>
      <c r="M317" s="81">
        <f>($F317*M$308+$G317*M$248)*$E317</f>
        <v>0</v>
      </c>
      <c r="N317" s="81">
        <f>($F317*N$308+$G317*N$248)*$E317</f>
        <v>0</v>
      </c>
      <c r="O317" s="81">
        <f>($F317*O$308+$G317*O$248)*$E317</f>
        <v>0</v>
      </c>
      <c r="P317" s="81">
        <f>($F317*P$308+$G317*P$248)*$E317</f>
        <v>0</v>
      </c>
      <c r="Q317" s="81">
        <f>($F317*Q$308+$G317*Q$248)*$E317</f>
        <v>0</v>
      </c>
      <c r="R317" s="81">
        <f>($F317*R$308+$G317*R$248)*$E317</f>
        <v>0</v>
      </c>
      <c r="S317" s="81">
        <f>($F317*S$308+$G317*S$248)*$E317</f>
        <v>0</v>
      </c>
      <c r="T317" s="81">
        <f>($F317*T$308+$G317*T$248)*$E317</f>
        <v>0</v>
      </c>
      <c r="U317" s="81">
        <f>($F317*U$308+$G317*U$248)*$E317</f>
        <v>0</v>
      </c>
      <c r="V317" s="81">
        <f>($F317*V$308+$G317*V$248)*$E317</f>
        <v>0</v>
      </c>
      <c r="W317" s="81">
        <f>($F317*W$308+$G317*W$248)*$E317</f>
        <v>0</v>
      </c>
      <c r="X317" s="81">
        <f>($F317*X$308+$G317*X$248)*$E317</f>
        <v>0</v>
      </c>
      <c r="Y317" s="81">
        <f>($F317*Y$308+$G317*Y$248)*$E317</f>
        <v>0</v>
      </c>
      <c r="Z317" s="81">
        <f>($F317*Z$308+$G317*Z$248)*$E317</f>
        <v>0</v>
      </c>
      <c r="AA317" s="81">
        <f>($F317*AA$308+$G317*AA$248)*$E317</f>
        <v>0</v>
      </c>
      <c r="AB317" s="81">
        <f>($F317*AB$308+$G317*AB$248)*$E317</f>
        <v>0</v>
      </c>
      <c r="AC317" s="81">
        <f>($F317*AC$308+$G317*AC$248)*$E317</f>
        <v>0</v>
      </c>
      <c r="AD317" s="81">
        <f>($F317*AD$308+$G317*AD$248)*$E317</f>
        <v>0</v>
      </c>
      <c r="AE317" s="81">
        <f>($F317*AE$308+$G317*AE$248)*$E317</f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10">L309</f>
        <v>2022</v>
      </c>
      <c r="M319" s="74">
        <f t="shared" si="110"/>
        <v>2023</v>
      </c>
      <c r="N319" s="74">
        <f t="shared" si="110"/>
        <v>2024</v>
      </c>
      <c r="O319" s="74">
        <f t="shared" si="110"/>
        <v>2025</v>
      </c>
      <c r="P319" s="74">
        <f t="shared" si="110"/>
        <v>2026</v>
      </c>
      <c r="Q319" s="74">
        <f t="shared" si="110"/>
        <v>2027</v>
      </c>
      <c r="R319" s="74">
        <f t="shared" si="110"/>
        <v>2028</v>
      </c>
      <c r="S319" s="74">
        <f t="shared" si="110"/>
        <v>2029</v>
      </c>
      <c r="T319" s="74">
        <f t="shared" si="110"/>
        <v>2030</v>
      </c>
      <c r="U319" s="74">
        <f t="shared" si="110"/>
        <v>2031</v>
      </c>
      <c r="V319" s="74">
        <f t="shared" si="110"/>
        <v>2032</v>
      </c>
      <c r="W319" s="74">
        <f t="shared" si="110"/>
        <v>2033</v>
      </c>
      <c r="X319" s="74">
        <f t="shared" si="110"/>
        <v>2034</v>
      </c>
      <c r="Y319" s="74">
        <f t="shared" si="110"/>
        <v>2035</v>
      </c>
      <c r="Z319" s="74">
        <f t="shared" si="110"/>
        <v>2036</v>
      </c>
      <c r="AA319" s="74">
        <f t="shared" si="110"/>
        <v>2037</v>
      </c>
      <c r="AB319" s="74">
        <f t="shared" si="110"/>
        <v>2038</v>
      </c>
      <c r="AC319" s="74">
        <f t="shared" si="110"/>
        <v>2039</v>
      </c>
      <c r="AD319" s="74">
        <f t="shared" si="110"/>
        <v>2040</v>
      </c>
      <c r="AE319" s="74">
        <f t="shared" si="110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11">(L310+L299)/L288</f>
        <v>0</v>
      </c>
      <c r="M320" s="78">
        <f t="shared" si="111"/>
        <v>0</v>
      </c>
      <c r="N320" s="78">
        <f t="shared" si="111"/>
        <v>0</v>
      </c>
      <c r="O320" s="78">
        <f t="shared" si="111"/>
        <v>0</v>
      </c>
      <c r="P320" s="78">
        <f t="shared" si="111"/>
        <v>0</v>
      </c>
      <c r="Q320" s="78">
        <f t="shared" si="111"/>
        <v>0</v>
      </c>
      <c r="R320" s="78">
        <f t="shared" si="111"/>
        <v>0</v>
      </c>
      <c r="S320" s="78">
        <f t="shared" si="111"/>
        <v>0</v>
      </c>
      <c r="T320" s="78">
        <f t="shared" si="111"/>
        <v>0</v>
      </c>
      <c r="U320" s="78">
        <f t="shared" si="111"/>
        <v>0</v>
      </c>
      <c r="V320" s="78">
        <f t="shared" si="111"/>
        <v>0</v>
      </c>
      <c r="W320" s="78">
        <f t="shared" si="111"/>
        <v>0</v>
      </c>
      <c r="X320" s="78">
        <f t="shared" si="111"/>
        <v>0</v>
      </c>
      <c r="Y320" s="78">
        <f t="shared" si="111"/>
        <v>0</v>
      </c>
      <c r="Z320" s="78">
        <f t="shared" si="111"/>
        <v>0</v>
      </c>
      <c r="AA320" s="78">
        <f t="shared" si="111"/>
        <v>0</v>
      </c>
      <c r="AB320" s="78">
        <f t="shared" si="111"/>
        <v>0</v>
      </c>
      <c r="AC320" s="78">
        <f t="shared" si="111"/>
        <v>0</v>
      </c>
      <c r="AD320" s="78">
        <f t="shared" si="111"/>
        <v>0</v>
      </c>
      <c r="AE320" s="78">
        <f t="shared" si="111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12">(L311+L300)/L289</f>
        <v>0</v>
      </c>
      <c r="M321" s="78">
        <f t="shared" si="112"/>
        <v>0</v>
      </c>
      <c r="N321" s="78">
        <f t="shared" si="112"/>
        <v>0</v>
      </c>
      <c r="O321" s="78">
        <f t="shared" si="112"/>
        <v>0</v>
      </c>
      <c r="P321" s="78">
        <f t="shared" si="112"/>
        <v>0</v>
      </c>
      <c r="Q321" s="78">
        <f t="shared" si="112"/>
        <v>0</v>
      </c>
      <c r="R321" s="78">
        <f t="shared" si="112"/>
        <v>0</v>
      </c>
      <c r="S321" s="78">
        <f t="shared" si="112"/>
        <v>0</v>
      </c>
      <c r="T321" s="78">
        <f t="shared" si="112"/>
        <v>0</v>
      </c>
      <c r="U321" s="78">
        <f t="shared" si="112"/>
        <v>0</v>
      </c>
      <c r="V321" s="78">
        <f t="shared" si="112"/>
        <v>0</v>
      </c>
      <c r="W321" s="78">
        <f t="shared" si="112"/>
        <v>0</v>
      </c>
      <c r="X321" s="78">
        <f t="shared" si="112"/>
        <v>0</v>
      </c>
      <c r="Y321" s="78">
        <f t="shared" si="112"/>
        <v>0</v>
      </c>
      <c r="Z321" s="78">
        <f t="shared" si="112"/>
        <v>0</v>
      </c>
      <c r="AA321" s="78">
        <f t="shared" si="112"/>
        <v>0</v>
      </c>
      <c r="AB321" s="78">
        <f t="shared" si="112"/>
        <v>0</v>
      </c>
      <c r="AC321" s="78">
        <f t="shared" si="112"/>
        <v>0</v>
      </c>
      <c r="AD321" s="78">
        <f t="shared" si="112"/>
        <v>0</v>
      </c>
      <c r="AE321" s="78">
        <f t="shared" si="112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13">(L312+L301)/L290</f>
        <v>0</v>
      </c>
      <c r="M322" s="78">
        <f t="shared" si="113"/>
        <v>0</v>
      </c>
      <c r="N322" s="78">
        <f t="shared" si="113"/>
        <v>0</v>
      </c>
      <c r="O322" s="78">
        <f t="shared" si="113"/>
        <v>0</v>
      </c>
      <c r="P322" s="78">
        <f t="shared" si="113"/>
        <v>0</v>
      </c>
      <c r="Q322" s="78">
        <f t="shared" si="113"/>
        <v>0</v>
      </c>
      <c r="R322" s="78">
        <f t="shared" si="113"/>
        <v>0</v>
      </c>
      <c r="S322" s="78">
        <f t="shared" si="113"/>
        <v>0</v>
      </c>
      <c r="T322" s="78">
        <f t="shared" si="113"/>
        <v>0</v>
      </c>
      <c r="U322" s="78">
        <f t="shared" si="113"/>
        <v>0</v>
      </c>
      <c r="V322" s="78">
        <f t="shared" si="113"/>
        <v>0</v>
      </c>
      <c r="W322" s="78">
        <f t="shared" si="113"/>
        <v>0</v>
      </c>
      <c r="X322" s="78">
        <f t="shared" si="113"/>
        <v>0</v>
      </c>
      <c r="Y322" s="78">
        <f t="shared" si="113"/>
        <v>0</v>
      </c>
      <c r="Z322" s="78">
        <f t="shared" si="113"/>
        <v>0</v>
      </c>
      <c r="AA322" s="78">
        <f t="shared" si="113"/>
        <v>0</v>
      </c>
      <c r="AB322" s="78">
        <f t="shared" si="113"/>
        <v>0</v>
      </c>
      <c r="AC322" s="78">
        <f t="shared" si="113"/>
        <v>0</v>
      </c>
      <c r="AD322" s="78">
        <f t="shared" si="113"/>
        <v>0</v>
      </c>
      <c r="AE322" s="78">
        <f t="shared" si="113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4">(L313+L302)/L291</f>
        <v>0</v>
      </c>
      <c r="M323" s="78">
        <f t="shared" si="114"/>
        <v>0</v>
      </c>
      <c r="N323" s="78">
        <f t="shared" si="114"/>
        <v>0</v>
      </c>
      <c r="O323" s="78">
        <f t="shared" si="114"/>
        <v>0</v>
      </c>
      <c r="P323" s="78">
        <f t="shared" si="114"/>
        <v>0</v>
      </c>
      <c r="Q323" s="78">
        <f t="shared" si="114"/>
        <v>0</v>
      </c>
      <c r="R323" s="78">
        <f t="shared" si="114"/>
        <v>0</v>
      </c>
      <c r="S323" s="78">
        <f t="shared" si="114"/>
        <v>0</v>
      </c>
      <c r="T323" s="78">
        <f t="shared" si="114"/>
        <v>0</v>
      </c>
      <c r="U323" s="78">
        <f t="shared" si="114"/>
        <v>0</v>
      </c>
      <c r="V323" s="78">
        <f t="shared" si="114"/>
        <v>0</v>
      </c>
      <c r="W323" s="78">
        <f t="shared" si="114"/>
        <v>0</v>
      </c>
      <c r="X323" s="78">
        <f t="shared" si="114"/>
        <v>0</v>
      </c>
      <c r="Y323" s="78">
        <f t="shared" si="114"/>
        <v>0</v>
      </c>
      <c r="Z323" s="78">
        <f t="shared" si="114"/>
        <v>0</v>
      </c>
      <c r="AA323" s="78">
        <f t="shared" si="114"/>
        <v>0</v>
      </c>
      <c r="AB323" s="78">
        <f t="shared" si="114"/>
        <v>0</v>
      </c>
      <c r="AC323" s="78">
        <f t="shared" si="114"/>
        <v>0</v>
      </c>
      <c r="AD323" s="78">
        <f t="shared" si="114"/>
        <v>0</v>
      </c>
      <c r="AE323" s="78">
        <f t="shared" si="114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5">(L314+L303)/L292</f>
        <v>0</v>
      </c>
      <c r="M324" s="78">
        <f t="shared" si="115"/>
        <v>0</v>
      </c>
      <c r="N324" s="78">
        <f t="shared" si="115"/>
        <v>0</v>
      </c>
      <c r="O324" s="78">
        <f t="shared" si="115"/>
        <v>0</v>
      </c>
      <c r="P324" s="78">
        <f t="shared" si="115"/>
        <v>0</v>
      </c>
      <c r="Q324" s="78">
        <f t="shared" si="115"/>
        <v>0</v>
      </c>
      <c r="R324" s="78">
        <f t="shared" si="115"/>
        <v>0</v>
      </c>
      <c r="S324" s="78">
        <f t="shared" si="115"/>
        <v>0</v>
      </c>
      <c r="T324" s="78">
        <f t="shared" si="115"/>
        <v>0</v>
      </c>
      <c r="U324" s="78">
        <f t="shared" si="115"/>
        <v>0</v>
      </c>
      <c r="V324" s="78">
        <f t="shared" si="115"/>
        <v>0</v>
      </c>
      <c r="W324" s="78">
        <f t="shared" si="115"/>
        <v>0</v>
      </c>
      <c r="X324" s="78">
        <f t="shared" si="115"/>
        <v>0</v>
      </c>
      <c r="Y324" s="78">
        <f t="shared" si="115"/>
        <v>0</v>
      </c>
      <c r="Z324" s="78">
        <f t="shared" si="115"/>
        <v>0</v>
      </c>
      <c r="AA324" s="78">
        <f t="shared" si="115"/>
        <v>0</v>
      </c>
      <c r="AB324" s="78">
        <f t="shared" si="115"/>
        <v>0</v>
      </c>
      <c r="AC324" s="78">
        <f t="shared" si="115"/>
        <v>0</v>
      </c>
      <c r="AD324" s="78">
        <f t="shared" si="115"/>
        <v>0</v>
      </c>
      <c r="AE324" s="78">
        <f t="shared" si="115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16">(L315+L304)/L293</f>
        <v>0</v>
      </c>
      <c r="M325" s="78">
        <f t="shared" si="116"/>
        <v>0</v>
      </c>
      <c r="N325" s="78">
        <f t="shared" si="116"/>
        <v>0</v>
      </c>
      <c r="O325" s="78">
        <f t="shared" si="116"/>
        <v>0</v>
      </c>
      <c r="P325" s="78">
        <f t="shared" si="116"/>
        <v>0</v>
      </c>
      <c r="Q325" s="78">
        <f t="shared" si="116"/>
        <v>0</v>
      </c>
      <c r="R325" s="78">
        <f t="shared" si="116"/>
        <v>0</v>
      </c>
      <c r="S325" s="78">
        <f t="shared" si="116"/>
        <v>0</v>
      </c>
      <c r="T325" s="78">
        <f t="shared" si="116"/>
        <v>0</v>
      </c>
      <c r="U325" s="78">
        <f t="shared" si="116"/>
        <v>0</v>
      </c>
      <c r="V325" s="78">
        <f t="shared" si="116"/>
        <v>0</v>
      </c>
      <c r="W325" s="78">
        <f t="shared" si="116"/>
        <v>0</v>
      </c>
      <c r="X325" s="78">
        <f t="shared" si="116"/>
        <v>0</v>
      </c>
      <c r="Y325" s="78">
        <f t="shared" si="116"/>
        <v>0</v>
      </c>
      <c r="Z325" s="78">
        <f t="shared" si="116"/>
        <v>0</v>
      </c>
      <c r="AA325" s="78">
        <f t="shared" si="116"/>
        <v>0</v>
      </c>
      <c r="AB325" s="78">
        <f t="shared" si="116"/>
        <v>0</v>
      </c>
      <c r="AC325" s="78">
        <f t="shared" si="116"/>
        <v>0</v>
      </c>
      <c r="AD325" s="78">
        <f t="shared" si="116"/>
        <v>0</v>
      </c>
      <c r="AE325" s="78">
        <f t="shared" si="116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17">(L316+L305)/L294</f>
        <v>0</v>
      </c>
      <c r="M326" s="78">
        <f t="shared" si="117"/>
        <v>0</v>
      </c>
      <c r="N326" s="78">
        <f t="shared" si="117"/>
        <v>0</v>
      </c>
      <c r="O326" s="78">
        <f t="shared" si="117"/>
        <v>0</v>
      </c>
      <c r="P326" s="78">
        <f t="shared" si="117"/>
        <v>0</v>
      </c>
      <c r="Q326" s="78">
        <f t="shared" si="117"/>
        <v>0</v>
      </c>
      <c r="R326" s="78">
        <f t="shared" si="117"/>
        <v>0</v>
      </c>
      <c r="S326" s="78">
        <f t="shared" si="117"/>
        <v>0</v>
      </c>
      <c r="T326" s="78">
        <f t="shared" si="117"/>
        <v>0</v>
      </c>
      <c r="U326" s="78">
        <f t="shared" si="117"/>
        <v>0</v>
      </c>
      <c r="V326" s="78">
        <f t="shared" si="117"/>
        <v>0</v>
      </c>
      <c r="W326" s="78">
        <f t="shared" si="117"/>
        <v>0</v>
      </c>
      <c r="X326" s="78">
        <f t="shared" si="117"/>
        <v>0</v>
      </c>
      <c r="Y326" s="78">
        <f t="shared" si="117"/>
        <v>0</v>
      </c>
      <c r="Z326" s="78">
        <f t="shared" si="117"/>
        <v>0</v>
      </c>
      <c r="AA326" s="78">
        <f t="shared" si="117"/>
        <v>0</v>
      </c>
      <c r="AB326" s="78">
        <f t="shared" si="117"/>
        <v>0</v>
      </c>
      <c r="AC326" s="78">
        <f t="shared" si="117"/>
        <v>0</v>
      </c>
      <c r="AD326" s="78">
        <f t="shared" si="117"/>
        <v>0</v>
      </c>
      <c r="AE326" s="78">
        <f t="shared" si="117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18">(L317+L306)/L295</f>
        <v>0</v>
      </c>
      <c r="M327" s="78">
        <f t="shared" si="118"/>
        <v>0</v>
      </c>
      <c r="N327" s="78">
        <f t="shared" si="118"/>
        <v>0</v>
      </c>
      <c r="O327" s="78">
        <f t="shared" si="118"/>
        <v>0</v>
      </c>
      <c r="P327" s="78">
        <f t="shared" si="118"/>
        <v>0</v>
      </c>
      <c r="Q327" s="78">
        <f t="shared" si="118"/>
        <v>0</v>
      </c>
      <c r="R327" s="78">
        <f t="shared" si="118"/>
        <v>0</v>
      </c>
      <c r="S327" s="78">
        <f t="shared" si="118"/>
        <v>0</v>
      </c>
      <c r="T327" s="78">
        <f t="shared" si="118"/>
        <v>0</v>
      </c>
      <c r="U327" s="78">
        <f t="shared" si="118"/>
        <v>0</v>
      </c>
      <c r="V327" s="78">
        <f t="shared" si="118"/>
        <v>0</v>
      </c>
      <c r="W327" s="78">
        <f t="shared" si="118"/>
        <v>0</v>
      </c>
      <c r="X327" s="78">
        <f t="shared" si="118"/>
        <v>0</v>
      </c>
      <c r="Y327" s="78">
        <f t="shared" si="118"/>
        <v>0</v>
      </c>
      <c r="Z327" s="78">
        <f t="shared" si="118"/>
        <v>0</v>
      </c>
      <c r="AA327" s="78">
        <f t="shared" si="118"/>
        <v>0</v>
      </c>
      <c r="AB327" s="78">
        <f t="shared" si="118"/>
        <v>0</v>
      </c>
      <c r="AC327" s="78">
        <f t="shared" si="118"/>
        <v>0</v>
      </c>
      <c r="AD327" s="78">
        <f t="shared" si="118"/>
        <v>0</v>
      </c>
      <c r="AE327" s="78">
        <f t="shared" si="118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1904</v>
      </c>
      <c r="J329" s="72" t="s">
        <v>1905</v>
      </c>
      <c r="K329" s="72"/>
      <c r="L329" s="74">
        <f t="shared" ref="L329:AE329" si="119">L340</f>
        <v>2022</v>
      </c>
      <c r="M329" s="74">
        <f t="shared" si="119"/>
        <v>2023</v>
      </c>
      <c r="N329" s="74">
        <f t="shared" si="119"/>
        <v>2024</v>
      </c>
      <c r="O329" s="74">
        <f t="shared" si="119"/>
        <v>2025</v>
      </c>
      <c r="P329" s="74">
        <f t="shared" si="119"/>
        <v>2026</v>
      </c>
      <c r="Q329" s="74">
        <f t="shared" si="119"/>
        <v>2027</v>
      </c>
      <c r="R329" s="74">
        <f t="shared" si="119"/>
        <v>2028</v>
      </c>
      <c r="S329" s="74">
        <f t="shared" si="119"/>
        <v>2029</v>
      </c>
      <c r="T329" s="74">
        <f t="shared" si="119"/>
        <v>2030</v>
      </c>
      <c r="U329" s="74">
        <f t="shared" si="119"/>
        <v>2031</v>
      </c>
      <c r="V329" s="74">
        <f t="shared" si="119"/>
        <v>2032</v>
      </c>
      <c r="W329" s="74">
        <f t="shared" si="119"/>
        <v>2033</v>
      </c>
      <c r="X329" s="74">
        <f t="shared" si="119"/>
        <v>2034</v>
      </c>
      <c r="Y329" s="74">
        <f t="shared" si="119"/>
        <v>2035</v>
      </c>
      <c r="Z329" s="74">
        <f t="shared" si="119"/>
        <v>2036</v>
      </c>
      <c r="AA329" s="74">
        <f t="shared" si="119"/>
        <v>2037</v>
      </c>
      <c r="AB329" s="74">
        <f t="shared" si="119"/>
        <v>2038</v>
      </c>
      <c r="AC329" s="74">
        <f t="shared" si="119"/>
        <v>2039</v>
      </c>
      <c r="AD329" s="74">
        <f t="shared" si="119"/>
        <v>2040</v>
      </c>
      <c r="AE329" s="74">
        <f t="shared" si="119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20">H264+I264</f>
        <v>0.69003000000000003</v>
      </c>
      <c r="G330" s="72">
        <f t="shared" ref="G330:G337" si="121">MAX($J264,0)+MAX($K264,0)</f>
        <v>0.04</v>
      </c>
      <c r="H330" s="72">
        <f t="shared" ref="H330:H337" si="122">G330/F330</f>
        <v>5.7968494123443903E-2</v>
      </c>
      <c r="I330" s="100">
        <f t="shared" ref="I330:I337" si="123">IF($F330=0,0,$E299/$F330)</f>
        <v>1</v>
      </c>
      <c r="J330" s="100">
        <f t="shared" ref="J330:J337" si="124">IF($G330=0,0,$E310/$G330)</f>
        <v>1</v>
      </c>
      <c r="K330" s="72"/>
      <c r="L330" s="72">
        <f t="shared" ref="L330:AE330" si="125">L276*$F330/1000</f>
        <v>3.2287703131193024</v>
      </c>
      <c r="M330" s="72">
        <f t="shared" si="125"/>
        <v>3.3708362068965516</v>
      </c>
      <c r="N330" s="72">
        <f t="shared" si="125"/>
        <v>3.5191530000000002</v>
      </c>
      <c r="O330" s="72">
        <f t="shared" si="125"/>
        <v>3.6739957320000007</v>
      </c>
      <c r="P330" s="72">
        <f t="shared" si="125"/>
        <v>3.8356515442080008</v>
      </c>
      <c r="Q330" s="72">
        <f t="shared" si="125"/>
        <v>4.0044202121531534</v>
      </c>
      <c r="R330" s="72">
        <f t="shared" si="125"/>
        <v>4.1806147014878912</v>
      </c>
      <c r="S330" s="72">
        <f t="shared" si="125"/>
        <v>4.3645617483533599</v>
      </c>
      <c r="T330" s="72">
        <f t="shared" si="125"/>
        <v>4.556602465280907</v>
      </c>
      <c r="U330" s="72">
        <f t="shared" si="125"/>
        <v>4.7570929737532675</v>
      </c>
      <c r="V330" s="72">
        <f t="shared" si="125"/>
        <v>4.9664050645984119</v>
      </c>
      <c r="W330" s="72">
        <f t="shared" si="125"/>
        <v>5.1849268874407413</v>
      </c>
      <c r="X330" s="72">
        <f t="shared" si="125"/>
        <v>5.4130636704881345</v>
      </c>
      <c r="Y330" s="72">
        <f t="shared" si="125"/>
        <v>5.6512384719896129</v>
      </c>
      <c r="Z330" s="72">
        <f t="shared" si="125"/>
        <v>5.8998929647571554</v>
      </c>
      <c r="AA330" s="72">
        <f t="shared" si="125"/>
        <v>6.1594882552064707</v>
      </c>
      <c r="AB330" s="72">
        <f t="shared" si="125"/>
        <v>6.4305057384355555</v>
      </c>
      <c r="AC330" s="72">
        <f t="shared" si="125"/>
        <v>6.7134479909267206</v>
      </c>
      <c r="AD330" s="72">
        <f t="shared" si="125"/>
        <v>7.0088397025274967</v>
      </c>
      <c r="AE330" s="72">
        <f t="shared" si="125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20"/>
        <v>0.14025000000000001</v>
      </c>
      <c r="G331" s="72">
        <f t="shared" si="121"/>
        <v>1.4999999999999999E-2</v>
      </c>
      <c r="H331" s="72">
        <f t="shared" si="122"/>
        <v>0.10695187165775399</v>
      </c>
      <c r="I331" s="100">
        <f t="shared" si="123"/>
        <v>1</v>
      </c>
      <c r="J331" s="100">
        <f t="shared" si="124"/>
        <v>1</v>
      </c>
      <c r="K331" s="72"/>
      <c r="L331" s="72">
        <f t="shared" ref="L331:AE331" si="126">L277*$F331/1000</f>
        <v>0.61765094464262127</v>
      </c>
      <c r="M331" s="72">
        <f t="shared" si="126"/>
        <v>0.64482758620689662</v>
      </c>
      <c r="N331" s="72">
        <f t="shared" si="126"/>
        <v>0.67320000000000002</v>
      </c>
      <c r="O331" s="72">
        <f t="shared" si="126"/>
        <v>0.70282080000000002</v>
      </c>
      <c r="P331" s="72">
        <f t="shared" si="126"/>
        <v>0.73374491520000007</v>
      </c>
      <c r="Q331" s="72">
        <f t="shared" si="126"/>
        <v>0.76602969146880007</v>
      </c>
      <c r="R331" s="72">
        <f t="shared" si="126"/>
        <v>0.79973499789342728</v>
      </c>
      <c r="S331" s="72">
        <f t="shared" si="126"/>
        <v>0.83492333780073813</v>
      </c>
      <c r="T331" s="72">
        <f t="shared" si="126"/>
        <v>0.87165996466397067</v>
      </c>
      <c r="U331" s="72">
        <f t="shared" si="126"/>
        <v>0.91001300310918543</v>
      </c>
      <c r="V331" s="72">
        <f t="shared" si="126"/>
        <v>0.95005357524598955</v>
      </c>
      <c r="W331" s="72">
        <f t="shared" si="126"/>
        <v>0.99185593255681304</v>
      </c>
      <c r="X331" s="72">
        <f t="shared" si="126"/>
        <v>1.0354975935893131</v>
      </c>
      <c r="Y331" s="72">
        <f t="shared" si="126"/>
        <v>1.0810594877072426</v>
      </c>
      <c r="Z331" s="72">
        <f t="shared" si="126"/>
        <v>1.1286261051663613</v>
      </c>
      <c r="AA331" s="72">
        <f t="shared" si="126"/>
        <v>1.1782856537936812</v>
      </c>
      <c r="AB331" s="72">
        <f t="shared" si="126"/>
        <v>1.2301302225606032</v>
      </c>
      <c r="AC331" s="72">
        <f t="shared" si="126"/>
        <v>1.2842559523532697</v>
      </c>
      <c r="AD331" s="72">
        <f t="shared" si="126"/>
        <v>1.3407632142568136</v>
      </c>
      <c r="AE331" s="72">
        <f t="shared" si="126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20"/>
        <v>1.9220000000000002</v>
      </c>
      <c r="G332" s="72">
        <f t="shared" si="121"/>
        <v>0.25</v>
      </c>
      <c r="H332" s="72">
        <f t="shared" si="122"/>
        <v>0.13007284079084286</v>
      </c>
      <c r="I332" s="100">
        <f t="shared" si="123"/>
        <v>1</v>
      </c>
      <c r="J332" s="100">
        <f t="shared" si="124"/>
        <v>1</v>
      </c>
      <c r="K332" s="72"/>
      <c r="L332" s="72">
        <f t="shared" ref="L332:AE332" si="127">L278*$F332/1000</f>
        <v>0</v>
      </c>
      <c r="M332" s="72">
        <f t="shared" si="127"/>
        <v>0</v>
      </c>
      <c r="N332" s="72">
        <f t="shared" si="127"/>
        <v>0</v>
      </c>
      <c r="O332" s="72">
        <f t="shared" si="127"/>
        <v>0</v>
      </c>
      <c r="P332" s="72">
        <f t="shared" si="127"/>
        <v>0</v>
      </c>
      <c r="Q332" s="72">
        <f t="shared" si="127"/>
        <v>0</v>
      </c>
      <c r="R332" s="72">
        <f t="shared" si="127"/>
        <v>0</v>
      </c>
      <c r="S332" s="72">
        <f t="shared" si="127"/>
        <v>0</v>
      </c>
      <c r="T332" s="72">
        <f t="shared" si="127"/>
        <v>0</v>
      </c>
      <c r="U332" s="72">
        <f t="shared" si="127"/>
        <v>0</v>
      </c>
      <c r="V332" s="72">
        <f t="shared" si="127"/>
        <v>0</v>
      </c>
      <c r="W332" s="72">
        <f t="shared" si="127"/>
        <v>0</v>
      </c>
      <c r="X332" s="72">
        <f t="shared" si="127"/>
        <v>0</v>
      </c>
      <c r="Y332" s="72">
        <f t="shared" si="127"/>
        <v>0</v>
      </c>
      <c r="Z332" s="72">
        <f t="shared" si="127"/>
        <v>0</v>
      </c>
      <c r="AA332" s="72">
        <f t="shared" si="127"/>
        <v>0</v>
      </c>
      <c r="AB332" s="72">
        <f t="shared" si="127"/>
        <v>0</v>
      </c>
      <c r="AC332" s="72">
        <f t="shared" si="127"/>
        <v>0</v>
      </c>
      <c r="AD332" s="72">
        <f t="shared" si="127"/>
        <v>0</v>
      </c>
      <c r="AE332" s="72">
        <f t="shared" si="127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20"/>
        <v>0.2883</v>
      </c>
      <c r="G333" s="72">
        <f t="shared" si="121"/>
        <v>0.52600000000000002</v>
      </c>
      <c r="H333" s="72">
        <f t="shared" si="122"/>
        <v>1.8244883801595562</v>
      </c>
      <c r="I333" s="100">
        <f t="shared" si="123"/>
        <v>1</v>
      </c>
      <c r="J333" s="100">
        <f t="shared" si="124"/>
        <v>1</v>
      </c>
      <c r="K333" s="72"/>
      <c r="L333" s="72">
        <f t="shared" ref="L333:AE333" si="128">L279*$F333/1000</f>
        <v>13.508713893592759</v>
      </c>
      <c r="M333" s="72">
        <f t="shared" si="128"/>
        <v>13.954501452081319</v>
      </c>
      <c r="N333" s="72">
        <f t="shared" si="128"/>
        <v>14.414999999999999</v>
      </c>
      <c r="O333" s="72">
        <f t="shared" si="128"/>
        <v>14.890694999999997</v>
      </c>
      <c r="P333" s="72">
        <f t="shared" si="128"/>
        <v>15.382087934999998</v>
      </c>
      <c r="Q333" s="72">
        <f t="shared" si="128"/>
        <v>15.889696836854995</v>
      </c>
      <c r="R333" s="72">
        <f t="shared" si="128"/>
        <v>16.414056832471207</v>
      </c>
      <c r="S333" s="72">
        <f t="shared" si="128"/>
        <v>16.955720707942756</v>
      </c>
      <c r="T333" s="72">
        <f t="shared" si="128"/>
        <v>17.515259491304867</v>
      </c>
      <c r="U333" s="72">
        <f t="shared" si="128"/>
        <v>18.093263054517926</v>
      </c>
      <c r="V333" s="72">
        <f t="shared" si="128"/>
        <v>18.690340735317015</v>
      </c>
      <c r="W333" s="72">
        <f t="shared" si="128"/>
        <v>19.307121979582476</v>
      </c>
      <c r="X333" s="72">
        <f t="shared" si="128"/>
        <v>19.944257004908696</v>
      </c>
      <c r="Y333" s="72">
        <f t="shared" si="128"/>
        <v>20.602417486070681</v>
      </c>
      <c r="Z333" s="72">
        <f t="shared" si="128"/>
        <v>21.282297263111012</v>
      </c>
      <c r="AA333" s="72">
        <f t="shared" si="128"/>
        <v>21.984613072793675</v>
      </c>
      <c r="AB333" s="72">
        <f t="shared" si="128"/>
        <v>22.710105304195867</v>
      </c>
      <c r="AC333" s="72">
        <f t="shared" si="128"/>
        <v>23.459538779234329</v>
      </c>
      <c r="AD333" s="72">
        <f t="shared" si="128"/>
        <v>24.23370355894906</v>
      </c>
      <c r="AE333" s="72">
        <f t="shared" si="128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20"/>
        <v>1.8512999999999999</v>
      </c>
      <c r="G334" s="72">
        <f t="shared" si="121"/>
        <v>0</v>
      </c>
      <c r="H334" s="72">
        <f t="shared" si="122"/>
        <v>0</v>
      </c>
      <c r="I334" s="100">
        <f t="shared" si="123"/>
        <v>1</v>
      </c>
      <c r="J334" s="100">
        <f t="shared" si="124"/>
        <v>0</v>
      </c>
      <c r="K334" s="72"/>
      <c r="L334" s="72">
        <f t="shared" ref="L334:AE334" si="129">L280*$F334/1000</f>
        <v>3.1638306570517116</v>
      </c>
      <c r="M334" s="72">
        <f t="shared" si="129"/>
        <v>3.2334349315068494</v>
      </c>
      <c r="N334" s="72">
        <f t="shared" si="129"/>
        <v>3.3045704999999996</v>
      </c>
      <c r="O334" s="72">
        <f t="shared" si="129"/>
        <v>3.3772710509999997</v>
      </c>
      <c r="P334" s="72">
        <f t="shared" si="129"/>
        <v>3.4515710141219995</v>
      </c>
      <c r="Q334" s="72">
        <f t="shared" si="129"/>
        <v>3.5275055764326835</v>
      </c>
      <c r="R334" s="72">
        <f t="shared" si="129"/>
        <v>3.6051106991142028</v>
      </c>
      <c r="S334" s="72">
        <f t="shared" si="129"/>
        <v>3.6844231344947151</v>
      </c>
      <c r="T334" s="72">
        <f t="shared" si="129"/>
        <v>3.7654804434535989</v>
      </c>
      <c r="U334" s="72">
        <f t="shared" si="129"/>
        <v>3.8483210132095782</v>
      </c>
      <c r="V334" s="72">
        <f t="shared" si="129"/>
        <v>3.932984075500189</v>
      </c>
      <c r="W334" s="72">
        <f t="shared" si="129"/>
        <v>4.0195097251611935</v>
      </c>
      <c r="X334" s="72">
        <f t="shared" si="129"/>
        <v>4.1079389391147396</v>
      </c>
      <c r="Y334" s="72">
        <f t="shared" si="129"/>
        <v>4.1983135957752644</v>
      </c>
      <c r="Z334" s="72">
        <f t="shared" si="129"/>
        <v>4.2906764948823204</v>
      </c>
      <c r="AA334" s="72">
        <f t="shared" si="129"/>
        <v>4.385071377769731</v>
      </c>
      <c r="AB334" s="72">
        <f t="shared" si="129"/>
        <v>4.4815429480806648</v>
      </c>
      <c r="AC334" s="72">
        <f t="shared" si="129"/>
        <v>4.5801368929384401</v>
      </c>
      <c r="AD334" s="72">
        <f t="shared" si="129"/>
        <v>4.680899904583085</v>
      </c>
      <c r="AE334" s="72">
        <f t="shared" si="129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20"/>
        <v>0.11219999999999999</v>
      </c>
      <c r="G335" s="72">
        <f t="shared" si="121"/>
        <v>0</v>
      </c>
      <c r="H335" s="72">
        <f t="shared" si="122"/>
        <v>0</v>
      </c>
      <c r="I335" s="100">
        <f t="shared" si="123"/>
        <v>1</v>
      </c>
      <c r="J335" s="100">
        <f t="shared" si="124"/>
        <v>0</v>
      </c>
      <c r="K335" s="72"/>
      <c r="L335" s="72">
        <f t="shared" ref="L335:AE335" si="130">L281*$F335/1000</f>
        <v>0.30078009811543305</v>
      </c>
      <c r="M335" s="72">
        <f t="shared" si="130"/>
        <v>0.30739726027397257</v>
      </c>
      <c r="N335" s="72">
        <f t="shared" si="130"/>
        <v>0.31415999999999999</v>
      </c>
      <c r="O335" s="72">
        <f t="shared" si="130"/>
        <v>0.32107151999999994</v>
      </c>
      <c r="P335" s="72">
        <f t="shared" si="130"/>
        <v>0.32813509343999991</v>
      </c>
      <c r="Q335" s="72">
        <f t="shared" si="130"/>
        <v>0.33535406549567992</v>
      </c>
      <c r="R335" s="72">
        <f t="shared" si="130"/>
        <v>0.34273185493658492</v>
      </c>
      <c r="S335" s="72">
        <f t="shared" si="130"/>
        <v>0.35027195574518982</v>
      </c>
      <c r="T335" s="72">
        <f t="shared" si="130"/>
        <v>0.35797793877158396</v>
      </c>
      <c r="U335" s="72">
        <f t="shared" si="130"/>
        <v>0.36585345342455883</v>
      </c>
      <c r="V335" s="72">
        <f t="shared" si="130"/>
        <v>0.37390222939989914</v>
      </c>
      <c r="W335" s="72">
        <f t="shared" si="130"/>
        <v>0.38212807844669699</v>
      </c>
      <c r="X335" s="72">
        <f t="shared" si="130"/>
        <v>0.39053489617252435</v>
      </c>
      <c r="Y335" s="72">
        <f t="shared" si="130"/>
        <v>0.39912666388831991</v>
      </c>
      <c r="Z335" s="72">
        <f t="shared" si="130"/>
        <v>0.40790745049386296</v>
      </c>
      <c r="AA335" s="72">
        <f t="shared" si="130"/>
        <v>0.41688141440472792</v>
      </c>
      <c r="AB335" s="72">
        <f t="shared" si="130"/>
        <v>0.42605280552163199</v>
      </c>
      <c r="AC335" s="72">
        <f t="shared" si="130"/>
        <v>0.43542596724310795</v>
      </c>
      <c r="AD335" s="72">
        <f t="shared" si="130"/>
        <v>0.44500533852245627</v>
      </c>
      <c r="AE335" s="72">
        <f t="shared" si="130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20"/>
        <v>0.11219999999999999</v>
      </c>
      <c r="G336" s="72">
        <f t="shared" si="121"/>
        <v>0.97</v>
      </c>
      <c r="H336" s="72">
        <f t="shared" si="122"/>
        <v>8.6452762923351152</v>
      </c>
      <c r="I336" s="100">
        <f t="shared" si="123"/>
        <v>1</v>
      </c>
      <c r="J336" s="100">
        <f t="shared" si="124"/>
        <v>1</v>
      </c>
      <c r="K336" s="72"/>
      <c r="L336" s="72">
        <f t="shared" ref="L336:AE336" si="131">L282*$F336/1000</f>
        <v>6.4452878167592806E-2</v>
      </c>
      <c r="M336" s="72">
        <f t="shared" si="131"/>
        <v>6.5870841487279841E-2</v>
      </c>
      <c r="N336" s="72">
        <f t="shared" si="131"/>
        <v>6.7319999999999991E-2</v>
      </c>
      <c r="O336" s="72">
        <f t="shared" si="131"/>
        <v>6.8801039999999994E-2</v>
      </c>
      <c r="P336" s="72">
        <f t="shared" si="131"/>
        <v>7.0314662880000003E-2</v>
      </c>
      <c r="Q336" s="72">
        <f t="shared" si="131"/>
        <v>7.1861585463359995E-2</v>
      </c>
      <c r="R336" s="72">
        <f t="shared" si="131"/>
        <v>7.3442540343553922E-2</v>
      </c>
      <c r="S336" s="72">
        <f t="shared" si="131"/>
        <v>7.5058276231112109E-2</v>
      </c>
      <c r="T336" s="72">
        <f t="shared" si="131"/>
        <v>7.6709558308196577E-2</v>
      </c>
      <c r="U336" s="72">
        <f t="shared" si="131"/>
        <v>7.8397168590976909E-2</v>
      </c>
      <c r="V336" s="72">
        <f t="shared" si="131"/>
        <v>8.012190629997841E-2</v>
      </c>
      <c r="W336" s="72">
        <f t="shared" si="131"/>
        <v>8.1884588238577916E-2</v>
      </c>
      <c r="X336" s="72">
        <f t="shared" si="131"/>
        <v>8.3686049179826624E-2</v>
      </c>
      <c r="Y336" s="72">
        <f t="shared" si="131"/>
        <v>8.5527142261782832E-2</v>
      </c>
      <c r="Z336" s="72">
        <f t="shared" si="131"/>
        <v>8.7408739391542062E-2</v>
      </c>
      <c r="AA336" s="72">
        <f t="shared" si="131"/>
        <v>8.9331731658155972E-2</v>
      </c>
      <c r="AB336" s="72">
        <f t="shared" si="131"/>
        <v>9.1297029754635398E-2</v>
      </c>
      <c r="AC336" s="72">
        <f t="shared" si="131"/>
        <v>9.3305564409237388E-2</v>
      </c>
      <c r="AD336" s="72">
        <f t="shared" si="131"/>
        <v>9.5358286826240618E-2</v>
      </c>
      <c r="AE336" s="72">
        <f t="shared" si="131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20"/>
        <v>0.156</v>
      </c>
      <c r="G337" s="72">
        <f t="shared" si="121"/>
        <v>2.35</v>
      </c>
      <c r="H337" s="72">
        <f t="shared" si="122"/>
        <v>15.064102564102564</v>
      </c>
      <c r="I337" s="100">
        <f t="shared" si="123"/>
        <v>1</v>
      </c>
      <c r="J337" s="100">
        <f t="shared" si="124"/>
        <v>1</v>
      </c>
      <c r="K337" s="72"/>
      <c r="L337" s="72">
        <f t="shared" ref="L337:AE337" si="132">L283*$F337/1000</f>
        <v>4.2047573055412055E-2</v>
      </c>
      <c r="M337" s="72">
        <f t="shared" si="132"/>
        <v>4.4360189573459712E-2</v>
      </c>
      <c r="N337" s="72">
        <f t="shared" si="132"/>
        <v>4.6799999999999994E-2</v>
      </c>
      <c r="O337" s="72">
        <f t="shared" si="132"/>
        <v>4.9374000000000001E-2</v>
      </c>
      <c r="P337" s="72">
        <f t="shared" si="132"/>
        <v>5.2089569999999995E-2</v>
      </c>
      <c r="Q337" s="72">
        <f t="shared" si="132"/>
        <v>5.4954496349999993E-2</v>
      </c>
      <c r="R337" s="72">
        <f t="shared" si="132"/>
        <v>5.7976993649249998E-2</v>
      </c>
      <c r="S337" s="72">
        <f t="shared" si="132"/>
        <v>6.1165728299958741E-2</v>
      </c>
      <c r="T337" s="72">
        <f t="shared" si="132"/>
        <v>6.4529843356456465E-2</v>
      </c>
      <c r="U337" s="72">
        <f t="shared" si="132"/>
        <v>6.8078984741061568E-2</v>
      </c>
      <c r="V337" s="72">
        <f t="shared" si="132"/>
        <v>7.1823328901819944E-2</v>
      </c>
      <c r="W337" s="72">
        <f t="shared" si="132"/>
        <v>7.5773611991420048E-2</v>
      </c>
      <c r="X337" s="72">
        <f t="shared" si="132"/>
        <v>7.9941160650948154E-2</v>
      </c>
      <c r="Y337" s="72">
        <f t="shared" si="132"/>
        <v>8.4337924486750301E-2</v>
      </c>
      <c r="Z337" s="72">
        <f t="shared" si="132"/>
        <v>8.8976510333521566E-2</v>
      </c>
      <c r="AA337" s="72">
        <f t="shared" si="132"/>
        <v>9.3870218401865241E-2</v>
      </c>
      <c r="AB337" s="72">
        <f t="shared" si="132"/>
        <v>9.9033080413967828E-2</v>
      </c>
      <c r="AC337" s="72">
        <f t="shared" si="132"/>
        <v>0.10447989983673606</v>
      </c>
      <c r="AD337" s="72">
        <f t="shared" si="132"/>
        <v>0.11022629432775652</v>
      </c>
      <c r="AE337" s="72">
        <f t="shared" si="132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33">SUM(L330:L337)</f>
        <v>20.926246357744834</v>
      </c>
      <c r="M338" s="72">
        <f t="shared" si="133"/>
        <v>21.621228468026327</v>
      </c>
      <c r="N338" s="72">
        <f t="shared" si="133"/>
        <v>22.340203500000001</v>
      </c>
      <c r="O338" s="72">
        <f t="shared" si="133"/>
        <v>23.084029143000002</v>
      </c>
      <c r="P338" s="72">
        <f t="shared" si="133"/>
        <v>23.853594734849999</v>
      </c>
      <c r="Q338" s="72">
        <f t="shared" si="133"/>
        <v>24.649822464218669</v>
      </c>
      <c r="R338" s="72">
        <f t="shared" si="133"/>
        <v>25.473668619896113</v>
      </c>
      <c r="S338" s="72">
        <f t="shared" si="133"/>
        <v>26.326124888867827</v>
      </c>
      <c r="T338" s="72">
        <f t="shared" si="133"/>
        <v>27.20821970513958</v>
      </c>
      <c r="U338" s="72">
        <f t="shared" si="133"/>
        <v>28.121019651346554</v>
      </c>
      <c r="V338" s="72">
        <f t="shared" si="133"/>
        <v>29.065630915263306</v>
      </c>
      <c r="W338" s="72">
        <f t="shared" si="133"/>
        <v>30.043200803417918</v>
      </c>
      <c r="X338" s="72">
        <f t="shared" si="133"/>
        <v>31.054919314104183</v>
      </c>
      <c r="Y338" s="72">
        <f t="shared" si="133"/>
        <v>32.102020772179657</v>
      </c>
      <c r="Z338" s="72">
        <f t="shared" si="133"/>
        <v>33.185785528135781</v>
      </c>
      <c r="AA338" s="72">
        <f t="shared" si="133"/>
        <v>34.307541724028312</v>
      </c>
      <c r="AB338" s="72">
        <f t="shared" si="133"/>
        <v>35.468667128962927</v>
      </c>
      <c r="AC338" s="72">
        <f t="shared" si="133"/>
        <v>36.67059104694183</v>
      </c>
      <c r="AD338" s="72">
        <f t="shared" si="133"/>
        <v>37.914796299992908</v>
      </c>
      <c r="AE338" s="72">
        <f t="shared" si="133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4">L274</f>
        <v>2022</v>
      </c>
      <c r="M340" s="74">
        <f t="shared" si="134"/>
        <v>2023</v>
      </c>
      <c r="N340" s="74">
        <f t="shared" si="134"/>
        <v>2024</v>
      </c>
      <c r="O340" s="74">
        <f t="shared" si="134"/>
        <v>2025</v>
      </c>
      <c r="P340" s="74">
        <f t="shared" si="134"/>
        <v>2026</v>
      </c>
      <c r="Q340" s="74">
        <f t="shared" si="134"/>
        <v>2027</v>
      </c>
      <c r="R340" s="74">
        <f t="shared" si="134"/>
        <v>2028</v>
      </c>
      <c r="S340" s="74">
        <f t="shared" si="134"/>
        <v>2029</v>
      </c>
      <c r="T340" s="74">
        <f t="shared" si="134"/>
        <v>2030</v>
      </c>
      <c r="U340" s="74">
        <f t="shared" si="134"/>
        <v>2031</v>
      </c>
      <c r="V340" s="74">
        <f t="shared" si="134"/>
        <v>2032</v>
      </c>
      <c r="W340" s="74">
        <f t="shared" si="134"/>
        <v>2033</v>
      </c>
      <c r="X340" s="74">
        <f t="shared" si="134"/>
        <v>2034</v>
      </c>
      <c r="Y340" s="74">
        <f t="shared" si="134"/>
        <v>2035</v>
      </c>
      <c r="Z340" s="74">
        <f t="shared" si="134"/>
        <v>2036</v>
      </c>
      <c r="AA340" s="74">
        <f t="shared" si="134"/>
        <v>2037</v>
      </c>
      <c r="AB340" s="74">
        <f t="shared" si="134"/>
        <v>2038</v>
      </c>
      <c r="AC340" s="74">
        <f t="shared" si="134"/>
        <v>2039</v>
      </c>
      <c r="AD340" s="74">
        <f t="shared" si="134"/>
        <v>2040</v>
      </c>
      <c r="AE340" s="74">
        <f t="shared" si="134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35">L276*G330/1000</f>
        <v>0.18716695292200644</v>
      </c>
      <c r="M341" s="72">
        <f t="shared" ref="M341:M348" si="136">M276*G330/1000</f>
        <v>0.1954022988505747</v>
      </c>
      <c r="N341" s="72">
        <f t="shared" ref="N341:N348" si="137">N276*G330/1000</f>
        <v>0.20399999999999999</v>
      </c>
      <c r="O341" s="72">
        <f t="shared" ref="O341:O348" si="138">O276*G330/1000</f>
        <v>0.21297600000000003</v>
      </c>
      <c r="P341" s="72">
        <f t="shared" ref="P341:P348" si="139">P276*G330/1000</f>
        <v>0.22234694400000005</v>
      </c>
      <c r="Q341" s="72">
        <f t="shared" ref="Q341:Q348" si="140">Q276*G330/1000</f>
        <v>0.23213020953600005</v>
      </c>
      <c r="R341" s="72">
        <f t="shared" ref="R341:R348" si="141">R276*G330/1000</f>
        <v>0.24234393875558408</v>
      </c>
      <c r="S341" s="72">
        <f t="shared" ref="S341:S348" si="142">S276*G330/1000</f>
        <v>0.25300707206082979</v>
      </c>
      <c r="T341" s="72">
        <f t="shared" ref="T341:T348" si="143">T276*G330/1000</f>
        <v>0.26413938323150632</v>
      </c>
      <c r="U341" s="72">
        <f t="shared" ref="U341:U348" si="144">U276*G330/1000</f>
        <v>0.27576151609369259</v>
      </c>
      <c r="V341" s="72">
        <f t="shared" ref="V341:V348" si="145">V276*G330/1000</f>
        <v>0.28789502280181506</v>
      </c>
      <c r="W341" s="72">
        <f t="shared" ref="W341:W348" si="146">W276*G330/1000</f>
        <v>0.30056240380509497</v>
      </c>
      <c r="X341" s="72">
        <f t="shared" ref="X341:X348" si="147">X276*G330/1000</f>
        <v>0.31378714957251913</v>
      </c>
      <c r="Y341" s="72">
        <f t="shared" ref="Y341:Y348" si="148">Y276*G330/1000</f>
        <v>0.32759378415370999</v>
      </c>
      <c r="Z341" s="72">
        <f t="shared" ref="Z341:Z348" si="149">Z276*G330/1000</f>
        <v>0.34200791065647324</v>
      </c>
      <c r="AA341" s="72">
        <f t="shared" ref="AA341:AA348" si="150">AA276*G330/1000</f>
        <v>0.35705625872535807</v>
      </c>
      <c r="AB341" s="72">
        <f t="shared" ref="AB341:AB348" si="151">AB276*G330/1000</f>
        <v>0.37276673410927386</v>
      </c>
      <c r="AC341" s="72">
        <f t="shared" ref="AC341:AC348" si="152">AC276*G330/1000</f>
        <v>0.38916847041008185</v>
      </c>
      <c r="AD341" s="72">
        <f t="shared" ref="AD341:AD348" si="153">AD276*G330/1000</f>
        <v>0.40629188310812547</v>
      </c>
      <c r="AE341" s="72">
        <f t="shared" ref="AE341:AE348" si="154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35"/>
        <v>6.6058924560708152E-2</v>
      </c>
      <c r="M342" s="72">
        <f t="shared" si="136"/>
        <v>6.8965517241379309E-2</v>
      </c>
      <c r="N342" s="72">
        <f t="shared" si="137"/>
        <v>7.1999999999999995E-2</v>
      </c>
      <c r="O342" s="72">
        <f t="shared" si="138"/>
        <v>7.5167999999999999E-2</v>
      </c>
      <c r="P342" s="72">
        <f t="shared" si="139"/>
        <v>7.8475392000000005E-2</v>
      </c>
      <c r="Q342" s="72">
        <f t="shared" si="140"/>
        <v>8.1928309247999986E-2</v>
      </c>
      <c r="R342" s="72">
        <f t="shared" si="141"/>
        <v>8.5533154854912002E-2</v>
      </c>
      <c r="S342" s="72">
        <f t="shared" si="142"/>
        <v>8.9296613668528119E-2</v>
      </c>
      <c r="T342" s="72">
        <f t="shared" si="143"/>
        <v>9.3225664669943364E-2</v>
      </c>
      <c r="U342" s="72">
        <f t="shared" si="144"/>
        <v>9.7327593915420896E-2</v>
      </c>
      <c r="V342" s="72">
        <f t="shared" si="145"/>
        <v>0.10161000804769942</v>
      </c>
      <c r="W342" s="72">
        <f t="shared" si="146"/>
        <v>0.10608084840179818</v>
      </c>
      <c r="X342" s="72">
        <f t="shared" si="147"/>
        <v>0.1107484057314773</v>
      </c>
      <c r="Y342" s="72">
        <f t="shared" si="148"/>
        <v>0.1156213355836623</v>
      </c>
      <c r="Z342" s="72">
        <f t="shared" si="149"/>
        <v>0.12070867434934346</v>
      </c>
      <c r="AA342" s="72">
        <f t="shared" si="150"/>
        <v>0.12601985602071455</v>
      </c>
      <c r="AB342" s="72">
        <f t="shared" si="151"/>
        <v>0.13156472968562599</v>
      </c>
      <c r="AC342" s="72">
        <f t="shared" si="152"/>
        <v>0.13735357779179352</v>
      </c>
      <c r="AD342" s="72">
        <f t="shared" si="153"/>
        <v>0.14339713521463243</v>
      </c>
      <c r="AE342" s="72">
        <f t="shared" si="154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35"/>
        <v>0</v>
      </c>
      <c r="M343" s="72">
        <f t="shared" si="136"/>
        <v>0</v>
      </c>
      <c r="N343" s="72">
        <f t="shared" si="137"/>
        <v>0</v>
      </c>
      <c r="O343" s="72">
        <f t="shared" si="138"/>
        <v>0</v>
      </c>
      <c r="P343" s="72">
        <f t="shared" si="139"/>
        <v>0</v>
      </c>
      <c r="Q343" s="72">
        <f t="shared" si="140"/>
        <v>0</v>
      </c>
      <c r="R343" s="72">
        <f t="shared" si="141"/>
        <v>0</v>
      </c>
      <c r="S343" s="72">
        <f t="shared" si="142"/>
        <v>0</v>
      </c>
      <c r="T343" s="72">
        <f t="shared" si="143"/>
        <v>0</v>
      </c>
      <c r="U343" s="72">
        <f t="shared" si="144"/>
        <v>0</v>
      </c>
      <c r="V343" s="72">
        <f t="shared" si="145"/>
        <v>0</v>
      </c>
      <c r="W343" s="72">
        <f t="shared" si="146"/>
        <v>0</v>
      </c>
      <c r="X343" s="72">
        <f t="shared" si="147"/>
        <v>0</v>
      </c>
      <c r="Y343" s="72">
        <f t="shared" si="148"/>
        <v>0</v>
      </c>
      <c r="Z343" s="72">
        <f t="shared" si="149"/>
        <v>0</v>
      </c>
      <c r="AA343" s="72">
        <f t="shared" si="150"/>
        <v>0</v>
      </c>
      <c r="AB343" s="72">
        <f t="shared" si="151"/>
        <v>0</v>
      </c>
      <c r="AC343" s="72">
        <f t="shared" si="152"/>
        <v>0</v>
      </c>
      <c r="AD343" s="72">
        <f t="shared" si="153"/>
        <v>0</v>
      </c>
      <c r="AE343" s="72">
        <f t="shared" si="154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35"/>
        <v>24.646491529759945</v>
      </c>
      <c r="M344" s="72">
        <f t="shared" si="136"/>
        <v>25.459825750242022</v>
      </c>
      <c r="N344" s="72">
        <f t="shared" si="137"/>
        <v>26.3</v>
      </c>
      <c r="O344" s="72">
        <f t="shared" si="138"/>
        <v>27.167899999999999</v>
      </c>
      <c r="P344" s="72">
        <f t="shared" si="139"/>
        <v>28.064440699999995</v>
      </c>
      <c r="Q344" s="72">
        <f t="shared" si="140"/>
        <v>28.990567243099992</v>
      </c>
      <c r="R344" s="72">
        <f t="shared" si="141"/>
        <v>29.947255962122291</v>
      </c>
      <c r="S344" s="72">
        <f t="shared" si="142"/>
        <v>30.935515408872323</v>
      </c>
      <c r="T344" s="72">
        <f t="shared" si="143"/>
        <v>31.956387417365111</v>
      </c>
      <c r="U344" s="72">
        <f t="shared" si="144"/>
        <v>33.010948202138152</v>
      </c>
      <c r="V344" s="72">
        <f t="shared" si="145"/>
        <v>34.100309492808705</v>
      </c>
      <c r="W344" s="72">
        <f t="shared" si="146"/>
        <v>35.225619706071399</v>
      </c>
      <c r="X344" s="72">
        <f t="shared" si="147"/>
        <v>36.388065156371745</v>
      </c>
      <c r="Y344" s="72">
        <f t="shared" si="148"/>
        <v>37.588871306532013</v>
      </c>
      <c r="Z344" s="72">
        <f t="shared" si="149"/>
        <v>38.829304059647569</v>
      </c>
      <c r="AA344" s="72">
        <f t="shared" si="150"/>
        <v>40.110671093615935</v>
      </c>
      <c r="AB344" s="72">
        <f t="shared" si="151"/>
        <v>41.434323239705257</v>
      </c>
      <c r="AC344" s="72">
        <f t="shared" si="152"/>
        <v>42.801655906615522</v>
      </c>
      <c r="AD344" s="72">
        <f t="shared" si="153"/>
        <v>44.214110551533835</v>
      </c>
      <c r="AE344" s="72">
        <f t="shared" si="154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35"/>
        <v>0</v>
      </c>
      <c r="M345" s="72">
        <f t="shared" si="136"/>
        <v>0</v>
      </c>
      <c r="N345" s="72">
        <f t="shared" si="137"/>
        <v>0</v>
      </c>
      <c r="O345" s="72">
        <f t="shared" si="138"/>
        <v>0</v>
      </c>
      <c r="P345" s="72">
        <f t="shared" si="139"/>
        <v>0</v>
      </c>
      <c r="Q345" s="72">
        <f t="shared" si="140"/>
        <v>0</v>
      </c>
      <c r="R345" s="72">
        <f t="shared" si="141"/>
        <v>0</v>
      </c>
      <c r="S345" s="72">
        <f t="shared" si="142"/>
        <v>0</v>
      </c>
      <c r="T345" s="72">
        <f t="shared" si="143"/>
        <v>0</v>
      </c>
      <c r="U345" s="72">
        <f t="shared" si="144"/>
        <v>0</v>
      </c>
      <c r="V345" s="72">
        <f t="shared" si="145"/>
        <v>0</v>
      </c>
      <c r="W345" s="72">
        <f t="shared" si="146"/>
        <v>0</v>
      </c>
      <c r="X345" s="72">
        <f t="shared" si="147"/>
        <v>0</v>
      </c>
      <c r="Y345" s="72">
        <f t="shared" si="148"/>
        <v>0</v>
      </c>
      <c r="Z345" s="72">
        <f t="shared" si="149"/>
        <v>0</v>
      </c>
      <c r="AA345" s="72">
        <f t="shared" si="150"/>
        <v>0</v>
      </c>
      <c r="AB345" s="72">
        <f t="shared" si="151"/>
        <v>0</v>
      </c>
      <c r="AC345" s="72">
        <f t="shared" si="152"/>
        <v>0</v>
      </c>
      <c r="AD345" s="72">
        <f t="shared" si="153"/>
        <v>0</v>
      </c>
      <c r="AE345" s="72">
        <f t="shared" si="154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35"/>
        <v>0</v>
      </c>
      <c r="M346" s="72">
        <f t="shared" si="136"/>
        <v>0</v>
      </c>
      <c r="N346" s="72">
        <f t="shared" si="137"/>
        <v>0</v>
      </c>
      <c r="O346" s="72">
        <f t="shared" si="138"/>
        <v>0</v>
      </c>
      <c r="P346" s="72">
        <f t="shared" si="139"/>
        <v>0</v>
      </c>
      <c r="Q346" s="72">
        <f t="shared" si="140"/>
        <v>0</v>
      </c>
      <c r="R346" s="72">
        <f t="shared" si="141"/>
        <v>0</v>
      </c>
      <c r="S346" s="72">
        <f t="shared" si="142"/>
        <v>0</v>
      </c>
      <c r="T346" s="72">
        <f t="shared" si="143"/>
        <v>0</v>
      </c>
      <c r="U346" s="72">
        <f t="shared" si="144"/>
        <v>0</v>
      </c>
      <c r="V346" s="72">
        <f t="shared" si="145"/>
        <v>0</v>
      </c>
      <c r="W346" s="72">
        <f t="shared" si="146"/>
        <v>0</v>
      </c>
      <c r="X346" s="72">
        <f t="shared" si="147"/>
        <v>0</v>
      </c>
      <c r="Y346" s="72">
        <f t="shared" si="148"/>
        <v>0</v>
      </c>
      <c r="Z346" s="72">
        <f t="shared" si="149"/>
        <v>0</v>
      </c>
      <c r="AA346" s="72">
        <f t="shared" si="150"/>
        <v>0</v>
      </c>
      <c r="AB346" s="72">
        <f t="shared" si="151"/>
        <v>0</v>
      </c>
      <c r="AC346" s="72">
        <f t="shared" si="152"/>
        <v>0</v>
      </c>
      <c r="AD346" s="72">
        <f t="shared" si="153"/>
        <v>0</v>
      </c>
      <c r="AE346" s="72">
        <f t="shared" si="154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35"/>
        <v>0.55721293959505358</v>
      </c>
      <c r="M347" s="72">
        <f t="shared" si="136"/>
        <v>0.56947162426614473</v>
      </c>
      <c r="N347" s="72">
        <f t="shared" si="137"/>
        <v>0.58199999999999996</v>
      </c>
      <c r="O347" s="72">
        <f t="shared" si="138"/>
        <v>0.594804</v>
      </c>
      <c r="P347" s="72">
        <f t="shared" si="139"/>
        <v>0.60788968800000009</v>
      </c>
      <c r="Q347" s="72">
        <f t="shared" si="140"/>
        <v>0.62126326113599994</v>
      </c>
      <c r="R347" s="72">
        <f t="shared" si="141"/>
        <v>0.63493105288099194</v>
      </c>
      <c r="S347" s="72">
        <f t="shared" si="142"/>
        <v>0.64889953604437378</v>
      </c>
      <c r="T347" s="72">
        <f t="shared" si="143"/>
        <v>0.66317532583735006</v>
      </c>
      <c r="U347" s="72">
        <f t="shared" si="144"/>
        <v>0.67776518300577182</v>
      </c>
      <c r="V347" s="72">
        <f t="shared" si="145"/>
        <v>0.69267601703189885</v>
      </c>
      <c r="W347" s="72">
        <f t="shared" si="146"/>
        <v>0.70791488940660052</v>
      </c>
      <c r="X347" s="72">
        <f t="shared" si="147"/>
        <v>0.72348901697354573</v>
      </c>
      <c r="Y347" s="72">
        <f t="shared" si="148"/>
        <v>0.73940577534696372</v>
      </c>
      <c r="Z347" s="72">
        <f t="shared" si="149"/>
        <v>0.75567270240459705</v>
      </c>
      <c r="AA347" s="72">
        <f t="shared" si="150"/>
        <v>0.77229750185749824</v>
      </c>
      <c r="AB347" s="72">
        <f t="shared" si="151"/>
        <v>0.78928804689836318</v>
      </c>
      <c r="AC347" s="72">
        <f t="shared" si="152"/>
        <v>0.80665238393012717</v>
      </c>
      <c r="AD347" s="72">
        <f t="shared" si="153"/>
        <v>0.82439873637659</v>
      </c>
      <c r="AE347" s="72">
        <f t="shared" si="154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35"/>
        <v>0.63340895307832257</v>
      </c>
      <c r="M348" s="72">
        <f t="shared" si="136"/>
        <v>0.66824644549763035</v>
      </c>
      <c r="N348" s="72">
        <f t="shared" si="137"/>
        <v>0.70499999999999996</v>
      </c>
      <c r="O348" s="72">
        <f t="shared" si="138"/>
        <v>0.74377499999999996</v>
      </c>
      <c r="P348" s="72">
        <f t="shared" si="139"/>
        <v>0.78468262499999997</v>
      </c>
      <c r="Q348" s="72">
        <f t="shared" si="140"/>
        <v>0.82784016937499993</v>
      </c>
      <c r="R348" s="72">
        <f t="shared" si="141"/>
        <v>0.87337137869062498</v>
      </c>
      <c r="S348" s="72">
        <f t="shared" si="142"/>
        <v>0.92140680451860935</v>
      </c>
      <c r="T348" s="72">
        <f t="shared" si="143"/>
        <v>0.97208417876713282</v>
      </c>
      <c r="U348" s="72">
        <f t="shared" si="144"/>
        <v>1.025548808599325</v>
      </c>
      <c r="V348" s="72">
        <f t="shared" si="145"/>
        <v>1.0819539930722879</v>
      </c>
      <c r="W348" s="72">
        <f t="shared" si="146"/>
        <v>1.1414614626912638</v>
      </c>
      <c r="X348" s="72">
        <f t="shared" si="147"/>
        <v>1.2042418431392832</v>
      </c>
      <c r="Y348" s="72">
        <f t="shared" si="148"/>
        <v>1.2704751445119435</v>
      </c>
      <c r="Z348" s="72">
        <f t="shared" si="149"/>
        <v>1.3403512774601003</v>
      </c>
      <c r="AA348" s="72">
        <f t="shared" si="150"/>
        <v>1.4140705977204062</v>
      </c>
      <c r="AB348" s="72">
        <f t="shared" si="151"/>
        <v>1.4918444805950282</v>
      </c>
      <c r="AC348" s="72">
        <f t="shared" si="152"/>
        <v>1.5738959270277546</v>
      </c>
      <c r="AD348" s="72">
        <f t="shared" si="153"/>
        <v>1.660460203014281</v>
      </c>
      <c r="AE348" s="72">
        <f t="shared" si="154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55">SUM(L341:L348)</f>
        <v>26.090339299916039</v>
      </c>
      <c r="M349" s="72">
        <f t="shared" si="155"/>
        <v>26.961911636097753</v>
      </c>
      <c r="N349" s="72">
        <f t="shared" si="155"/>
        <v>27.863</v>
      </c>
      <c r="O349" s="72">
        <f t="shared" si="155"/>
        <v>28.794622999999998</v>
      </c>
      <c r="P349" s="72">
        <f t="shared" si="155"/>
        <v>29.757835348999993</v>
      </c>
      <c r="Q349" s="72">
        <f t="shared" si="155"/>
        <v>30.753729192394996</v>
      </c>
      <c r="R349" s="72">
        <f t="shared" si="155"/>
        <v>31.783435487304406</v>
      </c>
      <c r="S349" s="72">
        <f t="shared" si="155"/>
        <v>32.848125435164668</v>
      </c>
      <c r="T349" s="72">
        <f t="shared" si="155"/>
        <v>33.949011969871044</v>
      </c>
      <c r="U349" s="72">
        <f t="shared" si="155"/>
        <v>35.087351303752364</v>
      </c>
      <c r="V349" s="72">
        <f t="shared" si="155"/>
        <v>36.264444533762408</v>
      </c>
      <c r="W349" s="72">
        <f t="shared" si="155"/>
        <v>37.481639310376153</v>
      </c>
      <c r="X349" s="72">
        <f t="shared" si="155"/>
        <v>38.740331571788573</v>
      </c>
      <c r="Y349" s="72">
        <f t="shared" si="155"/>
        <v>40.041967346128295</v>
      </c>
      <c r="Z349" s="72">
        <f t="shared" si="155"/>
        <v>41.388044624518081</v>
      </c>
      <c r="AA349" s="72">
        <f t="shared" si="155"/>
        <v>42.780115307939909</v>
      </c>
      <c r="AB349" s="72">
        <f t="shared" si="155"/>
        <v>44.219787230993546</v>
      </c>
      <c r="AC349" s="72">
        <f t="shared" si="155"/>
        <v>45.708726265775283</v>
      </c>
      <c r="AD349" s="72">
        <f t="shared" si="155"/>
        <v>47.248658509247463</v>
      </c>
      <c r="AE349" s="72">
        <f t="shared" si="155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56">L298</f>
        <v>2022</v>
      </c>
      <c r="M351" s="74">
        <f t="shared" si="156"/>
        <v>2023</v>
      </c>
      <c r="N351" s="74">
        <f t="shared" si="156"/>
        <v>2024</v>
      </c>
      <c r="O351" s="74">
        <f t="shared" si="156"/>
        <v>2025</v>
      </c>
      <c r="P351" s="74">
        <f t="shared" si="156"/>
        <v>2026</v>
      </c>
      <c r="Q351" s="74">
        <f t="shared" si="156"/>
        <v>2027</v>
      </c>
      <c r="R351" s="74">
        <f t="shared" si="156"/>
        <v>2028</v>
      </c>
      <c r="S351" s="74">
        <f t="shared" si="156"/>
        <v>2029</v>
      </c>
      <c r="T351" s="74">
        <f t="shared" si="156"/>
        <v>2030</v>
      </c>
      <c r="U351" s="74">
        <f t="shared" si="156"/>
        <v>2031</v>
      </c>
      <c r="V351" s="74">
        <f t="shared" si="156"/>
        <v>2032</v>
      </c>
      <c r="W351" s="74">
        <f t="shared" si="156"/>
        <v>2033</v>
      </c>
      <c r="X351" s="74">
        <f t="shared" si="156"/>
        <v>2034</v>
      </c>
      <c r="Y351" s="74">
        <f t="shared" si="156"/>
        <v>2035</v>
      </c>
      <c r="Z351" s="74">
        <f t="shared" si="156"/>
        <v>2036</v>
      </c>
      <c r="AA351" s="74">
        <f t="shared" si="156"/>
        <v>2037</v>
      </c>
      <c r="AB351" s="74">
        <f t="shared" si="156"/>
        <v>2038</v>
      </c>
      <c r="AC351" s="74">
        <f t="shared" si="156"/>
        <v>2039</v>
      </c>
      <c r="AD351" s="74">
        <f t="shared" si="156"/>
        <v>2040</v>
      </c>
      <c r="AE351" s="74">
        <f t="shared" si="156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57">L330*(EXP(-($E352)*(L249))-1)</f>
        <v>0</v>
      </c>
      <c r="M352" s="72">
        <f t="shared" si="157"/>
        <v>0</v>
      </c>
      <c r="N352" s="72">
        <f t="shared" si="157"/>
        <v>0</v>
      </c>
      <c r="O352" s="72">
        <f t="shared" si="157"/>
        <v>0</v>
      </c>
      <c r="P352" s="72">
        <f t="shared" si="157"/>
        <v>0</v>
      </c>
      <c r="Q352" s="72">
        <f t="shared" si="157"/>
        <v>0</v>
      </c>
      <c r="R352" s="72">
        <f t="shared" si="157"/>
        <v>0</v>
      </c>
      <c r="S352" s="72">
        <f t="shared" si="157"/>
        <v>0</v>
      </c>
      <c r="T352" s="72">
        <f t="shared" si="157"/>
        <v>0</v>
      </c>
      <c r="U352" s="72">
        <f t="shared" si="157"/>
        <v>0</v>
      </c>
      <c r="V352" s="72">
        <f t="shared" si="157"/>
        <v>0</v>
      </c>
      <c r="W352" s="72">
        <f t="shared" si="157"/>
        <v>0</v>
      </c>
      <c r="X352" s="72">
        <f t="shared" si="157"/>
        <v>0</v>
      </c>
      <c r="Y352" s="72">
        <f t="shared" si="157"/>
        <v>0</v>
      </c>
      <c r="Z352" s="72">
        <f t="shared" si="157"/>
        <v>0</v>
      </c>
      <c r="AA352" s="72">
        <f t="shared" si="157"/>
        <v>0</v>
      </c>
      <c r="AB352" s="72">
        <f t="shared" si="157"/>
        <v>0</v>
      </c>
      <c r="AC352" s="72">
        <f t="shared" si="157"/>
        <v>0</v>
      </c>
      <c r="AD352" s="72">
        <f t="shared" si="157"/>
        <v>0</v>
      </c>
      <c r="AE352" s="72">
        <f t="shared" si="157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58">L331*(EXP(-($E353)*(L249))-1)</f>
        <v>0</v>
      </c>
      <c r="M353" s="72">
        <f t="shared" si="158"/>
        <v>0</v>
      </c>
      <c r="N353" s="72">
        <f t="shared" si="158"/>
        <v>0</v>
      </c>
      <c r="O353" s="72">
        <f t="shared" si="158"/>
        <v>0</v>
      </c>
      <c r="P353" s="72">
        <f t="shared" si="158"/>
        <v>0</v>
      </c>
      <c r="Q353" s="72">
        <f t="shared" si="158"/>
        <v>0</v>
      </c>
      <c r="R353" s="72">
        <f t="shared" si="158"/>
        <v>0</v>
      </c>
      <c r="S353" s="72">
        <f t="shared" si="158"/>
        <v>0</v>
      </c>
      <c r="T353" s="72">
        <f t="shared" si="158"/>
        <v>0</v>
      </c>
      <c r="U353" s="72">
        <f t="shared" si="158"/>
        <v>0</v>
      </c>
      <c r="V353" s="72">
        <f t="shared" si="158"/>
        <v>0</v>
      </c>
      <c r="W353" s="72">
        <f t="shared" si="158"/>
        <v>0</v>
      </c>
      <c r="X353" s="72">
        <f t="shared" si="158"/>
        <v>0</v>
      </c>
      <c r="Y353" s="72">
        <f t="shared" si="158"/>
        <v>0</v>
      </c>
      <c r="Z353" s="72">
        <f t="shared" si="158"/>
        <v>0</v>
      </c>
      <c r="AA353" s="72">
        <f t="shared" si="158"/>
        <v>0</v>
      </c>
      <c r="AB353" s="72">
        <f t="shared" si="158"/>
        <v>0</v>
      </c>
      <c r="AC353" s="72">
        <f t="shared" si="158"/>
        <v>0</v>
      </c>
      <c r="AD353" s="72">
        <f t="shared" si="158"/>
        <v>0</v>
      </c>
      <c r="AE353" s="72">
        <f t="shared" si="158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59">L332*(EXP(-($E354)*(L249))-1)</f>
        <v>0</v>
      </c>
      <c r="M354" s="72">
        <f t="shared" si="159"/>
        <v>0</v>
      </c>
      <c r="N354" s="72">
        <f t="shared" si="159"/>
        <v>0</v>
      </c>
      <c r="O354" s="72">
        <f t="shared" si="159"/>
        <v>0</v>
      </c>
      <c r="P354" s="72">
        <f t="shared" si="159"/>
        <v>0</v>
      </c>
      <c r="Q354" s="72">
        <f t="shared" si="159"/>
        <v>0</v>
      </c>
      <c r="R354" s="72">
        <f t="shared" si="159"/>
        <v>0</v>
      </c>
      <c r="S354" s="72">
        <f t="shared" si="159"/>
        <v>0</v>
      </c>
      <c r="T354" s="72">
        <f t="shared" si="159"/>
        <v>0</v>
      </c>
      <c r="U354" s="72">
        <f t="shared" si="159"/>
        <v>0</v>
      </c>
      <c r="V354" s="72">
        <f t="shared" si="159"/>
        <v>0</v>
      </c>
      <c r="W354" s="72">
        <f t="shared" si="159"/>
        <v>0</v>
      </c>
      <c r="X354" s="72">
        <f t="shared" si="159"/>
        <v>0</v>
      </c>
      <c r="Y354" s="72">
        <f t="shared" si="159"/>
        <v>0</v>
      </c>
      <c r="Z354" s="72">
        <f t="shared" si="159"/>
        <v>0</v>
      </c>
      <c r="AA354" s="72">
        <f t="shared" si="159"/>
        <v>0</v>
      </c>
      <c r="AB354" s="72">
        <f t="shared" si="159"/>
        <v>0</v>
      </c>
      <c r="AC354" s="72">
        <f t="shared" si="159"/>
        <v>0</v>
      </c>
      <c r="AD354" s="72">
        <f t="shared" si="159"/>
        <v>0</v>
      </c>
      <c r="AE354" s="72">
        <f t="shared" si="159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60">L333*(EXP(-($E355)*(L249))-1)</f>
        <v>0</v>
      </c>
      <c r="M355" s="72">
        <f t="shared" si="160"/>
        <v>0</v>
      </c>
      <c r="N355" s="72">
        <f t="shared" si="160"/>
        <v>0</v>
      </c>
      <c r="O355" s="72">
        <f t="shared" si="160"/>
        <v>0</v>
      </c>
      <c r="P355" s="72">
        <f t="shared" si="160"/>
        <v>0</v>
      </c>
      <c r="Q355" s="72">
        <f t="shared" si="160"/>
        <v>0</v>
      </c>
      <c r="R355" s="72">
        <f t="shared" si="160"/>
        <v>0</v>
      </c>
      <c r="S355" s="72">
        <f t="shared" si="160"/>
        <v>0</v>
      </c>
      <c r="T355" s="72">
        <f t="shared" si="160"/>
        <v>0</v>
      </c>
      <c r="U355" s="72">
        <f t="shared" si="160"/>
        <v>0</v>
      </c>
      <c r="V355" s="72">
        <f t="shared" si="160"/>
        <v>0</v>
      </c>
      <c r="W355" s="72">
        <f t="shared" si="160"/>
        <v>0</v>
      </c>
      <c r="X355" s="72">
        <f t="shared" si="160"/>
        <v>0</v>
      </c>
      <c r="Y355" s="72">
        <f t="shared" si="160"/>
        <v>0</v>
      </c>
      <c r="Z355" s="72">
        <f t="shared" si="160"/>
        <v>0</v>
      </c>
      <c r="AA355" s="72">
        <f t="shared" si="160"/>
        <v>0</v>
      </c>
      <c r="AB355" s="72">
        <f t="shared" si="160"/>
        <v>0</v>
      </c>
      <c r="AC355" s="72">
        <f t="shared" si="160"/>
        <v>0</v>
      </c>
      <c r="AD355" s="72">
        <f t="shared" si="160"/>
        <v>0</v>
      </c>
      <c r="AE355" s="72">
        <f t="shared" si="160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61">L334*(EXP(-($E356)*(L249))-1)</f>
        <v>0</v>
      </c>
      <c r="M356" s="72">
        <f t="shared" si="161"/>
        <v>0</v>
      </c>
      <c r="N356" s="72">
        <f t="shared" si="161"/>
        <v>0</v>
      </c>
      <c r="O356" s="72">
        <f t="shared" si="161"/>
        <v>0</v>
      </c>
      <c r="P356" s="72">
        <f t="shared" si="161"/>
        <v>0</v>
      </c>
      <c r="Q356" s="72">
        <f t="shared" si="161"/>
        <v>0</v>
      </c>
      <c r="R356" s="72">
        <f t="shared" si="161"/>
        <v>0</v>
      </c>
      <c r="S356" s="72">
        <f t="shared" si="161"/>
        <v>0</v>
      </c>
      <c r="T356" s="72">
        <f t="shared" si="161"/>
        <v>0</v>
      </c>
      <c r="U356" s="72">
        <f t="shared" si="161"/>
        <v>0</v>
      </c>
      <c r="V356" s="72">
        <f t="shared" si="161"/>
        <v>0</v>
      </c>
      <c r="W356" s="72">
        <f t="shared" si="161"/>
        <v>0</v>
      </c>
      <c r="X356" s="72">
        <f t="shared" si="161"/>
        <v>0</v>
      </c>
      <c r="Y356" s="72">
        <f t="shared" si="161"/>
        <v>0</v>
      </c>
      <c r="Z356" s="72">
        <f t="shared" si="161"/>
        <v>0</v>
      </c>
      <c r="AA356" s="72">
        <f t="shared" si="161"/>
        <v>0</v>
      </c>
      <c r="AB356" s="72">
        <f t="shared" si="161"/>
        <v>0</v>
      </c>
      <c r="AC356" s="72">
        <f t="shared" si="161"/>
        <v>0</v>
      </c>
      <c r="AD356" s="72">
        <f t="shared" si="161"/>
        <v>0</v>
      </c>
      <c r="AE356" s="72">
        <f t="shared" si="161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62">L335*(EXP(-($E357)*(L249))-1)</f>
        <v>0</v>
      </c>
      <c r="M357" s="72">
        <f t="shared" si="162"/>
        <v>0</v>
      </c>
      <c r="N357" s="72">
        <f t="shared" si="162"/>
        <v>0</v>
      </c>
      <c r="O357" s="72">
        <f t="shared" si="162"/>
        <v>0</v>
      </c>
      <c r="P357" s="72">
        <f t="shared" si="162"/>
        <v>0</v>
      </c>
      <c r="Q357" s="72">
        <f t="shared" si="162"/>
        <v>0</v>
      </c>
      <c r="R357" s="72">
        <f t="shared" si="162"/>
        <v>0</v>
      </c>
      <c r="S357" s="72">
        <f t="shared" si="162"/>
        <v>0</v>
      </c>
      <c r="T357" s="72">
        <f t="shared" si="162"/>
        <v>0</v>
      </c>
      <c r="U357" s="72">
        <f t="shared" si="162"/>
        <v>0</v>
      </c>
      <c r="V357" s="72">
        <f t="shared" si="162"/>
        <v>0</v>
      </c>
      <c r="W357" s="72">
        <f t="shared" si="162"/>
        <v>0</v>
      </c>
      <c r="X357" s="72">
        <f t="shared" si="162"/>
        <v>0</v>
      </c>
      <c r="Y357" s="72">
        <f t="shared" si="162"/>
        <v>0</v>
      </c>
      <c r="Z357" s="72">
        <f t="shared" si="162"/>
        <v>0</v>
      </c>
      <c r="AA357" s="72">
        <f t="shared" si="162"/>
        <v>0</v>
      </c>
      <c r="AB357" s="72">
        <f t="shared" si="162"/>
        <v>0</v>
      </c>
      <c r="AC357" s="72">
        <f t="shared" si="162"/>
        <v>0</v>
      </c>
      <c r="AD357" s="72">
        <f t="shared" si="162"/>
        <v>0</v>
      </c>
      <c r="AE357" s="72">
        <f t="shared" si="162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63">L336*(EXP(-($E358)*(L249))-1)</f>
        <v>0</v>
      </c>
      <c r="M358" s="72">
        <f t="shared" si="163"/>
        <v>0</v>
      </c>
      <c r="N358" s="72">
        <f t="shared" si="163"/>
        <v>0</v>
      </c>
      <c r="O358" s="72">
        <f t="shared" si="163"/>
        <v>0</v>
      </c>
      <c r="P358" s="72">
        <f t="shared" si="163"/>
        <v>0</v>
      </c>
      <c r="Q358" s="72">
        <f t="shared" si="163"/>
        <v>0</v>
      </c>
      <c r="R358" s="72">
        <f t="shared" si="163"/>
        <v>0</v>
      </c>
      <c r="S358" s="72">
        <f t="shared" si="163"/>
        <v>0</v>
      </c>
      <c r="T358" s="72">
        <f t="shared" si="163"/>
        <v>0</v>
      </c>
      <c r="U358" s="72">
        <f t="shared" si="163"/>
        <v>0</v>
      </c>
      <c r="V358" s="72">
        <f t="shared" si="163"/>
        <v>0</v>
      </c>
      <c r="W358" s="72">
        <f t="shared" si="163"/>
        <v>0</v>
      </c>
      <c r="X358" s="72">
        <f t="shared" si="163"/>
        <v>0</v>
      </c>
      <c r="Y358" s="72">
        <f t="shared" si="163"/>
        <v>0</v>
      </c>
      <c r="Z358" s="72">
        <f t="shared" si="163"/>
        <v>0</v>
      </c>
      <c r="AA358" s="72">
        <f t="shared" si="163"/>
        <v>0</v>
      </c>
      <c r="AB358" s="72">
        <f t="shared" si="163"/>
        <v>0</v>
      </c>
      <c r="AC358" s="72">
        <f t="shared" si="163"/>
        <v>0</v>
      </c>
      <c r="AD358" s="72">
        <f t="shared" si="163"/>
        <v>0</v>
      </c>
      <c r="AE358" s="72">
        <f t="shared" si="163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64">L337*(EXP(-($E359)*(L249))-1)</f>
        <v>0</v>
      </c>
      <c r="M359" s="72">
        <f t="shared" si="164"/>
        <v>0</v>
      </c>
      <c r="N359" s="72">
        <f t="shared" si="164"/>
        <v>0</v>
      </c>
      <c r="O359" s="72">
        <f t="shared" si="164"/>
        <v>0</v>
      </c>
      <c r="P359" s="72">
        <f t="shared" si="164"/>
        <v>0</v>
      </c>
      <c r="Q359" s="72">
        <f t="shared" si="164"/>
        <v>0</v>
      </c>
      <c r="R359" s="72">
        <f t="shared" si="164"/>
        <v>0</v>
      </c>
      <c r="S359" s="72">
        <f t="shared" si="164"/>
        <v>0</v>
      </c>
      <c r="T359" s="72">
        <f t="shared" si="164"/>
        <v>0</v>
      </c>
      <c r="U359" s="72">
        <f t="shared" si="164"/>
        <v>0</v>
      </c>
      <c r="V359" s="72">
        <f t="shared" si="164"/>
        <v>0</v>
      </c>
      <c r="W359" s="72">
        <f t="shared" si="164"/>
        <v>0</v>
      </c>
      <c r="X359" s="72">
        <f t="shared" si="164"/>
        <v>0</v>
      </c>
      <c r="Y359" s="72">
        <f t="shared" si="164"/>
        <v>0</v>
      </c>
      <c r="Z359" s="72">
        <f t="shared" si="164"/>
        <v>0</v>
      </c>
      <c r="AA359" s="72">
        <f t="shared" si="164"/>
        <v>0</v>
      </c>
      <c r="AB359" s="72">
        <f t="shared" si="164"/>
        <v>0</v>
      </c>
      <c r="AC359" s="72">
        <f t="shared" si="164"/>
        <v>0</v>
      </c>
      <c r="AD359" s="72">
        <f t="shared" si="164"/>
        <v>0</v>
      </c>
      <c r="AE359" s="72">
        <f t="shared" si="164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65">SUM(L352:L359)</f>
        <v>0</v>
      </c>
      <c r="M360" s="72">
        <f t="shared" si="165"/>
        <v>0</v>
      </c>
      <c r="N360" s="72">
        <f t="shared" si="165"/>
        <v>0</v>
      </c>
      <c r="O360" s="72">
        <f t="shared" si="165"/>
        <v>0</v>
      </c>
      <c r="P360" s="72">
        <f t="shared" si="165"/>
        <v>0</v>
      </c>
      <c r="Q360" s="72">
        <f t="shared" si="165"/>
        <v>0</v>
      </c>
      <c r="R360" s="72">
        <f t="shared" si="165"/>
        <v>0</v>
      </c>
      <c r="S360" s="72">
        <f t="shared" si="165"/>
        <v>0</v>
      </c>
      <c r="T360" s="72">
        <f t="shared" si="165"/>
        <v>0</v>
      </c>
      <c r="U360" s="72">
        <f t="shared" si="165"/>
        <v>0</v>
      </c>
      <c r="V360" s="72">
        <f t="shared" si="165"/>
        <v>0</v>
      </c>
      <c r="W360" s="72">
        <f t="shared" si="165"/>
        <v>0</v>
      </c>
      <c r="X360" s="72">
        <f t="shared" si="165"/>
        <v>0</v>
      </c>
      <c r="Y360" s="72">
        <f t="shared" si="165"/>
        <v>0</v>
      </c>
      <c r="Z360" s="72">
        <f t="shared" si="165"/>
        <v>0</v>
      </c>
      <c r="AA360" s="72">
        <f t="shared" si="165"/>
        <v>0</v>
      </c>
      <c r="AB360" s="72">
        <f t="shared" si="165"/>
        <v>0</v>
      </c>
      <c r="AC360" s="72">
        <f t="shared" si="165"/>
        <v>0</v>
      </c>
      <c r="AD360" s="72">
        <f t="shared" si="165"/>
        <v>0</v>
      </c>
      <c r="AE360" s="72">
        <f t="shared" si="165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66">L309</f>
        <v>2022</v>
      </c>
      <c r="M362" s="74">
        <f t="shared" si="166"/>
        <v>2023</v>
      </c>
      <c r="N362" s="74">
        <f t="shared" si="166"/>
        <v>2024</v>
      </c>
      <c r="O362" s="74">
        <f t="shared" si="166"/>
        <v>2025</v>
      </c>
      <c r="P362" s="74">
        <f t="shared" si="166"/>
        <v>2026</v>
      </c>
      <c r="Q362" s="74">
        <f t="shared" si="166"/>
        <v>2027</v>
      </c>
      <c r="R362" s="74">
        <f t="shared" si="166"/>
        <v>2028</v>
      </c>
      <c r="S362" s="74">
        <f t="shared" si="166"/>
        <v>2029</v>
      </c>
      <c r="T362" s="74">
        <f t="shared" si="166"/>
        <v>2030</v>
      </c>
      <c r="U362" s="74">
        <f t="shared" si="166"/>
        <v>2031</v>
      </c>
      <c r="V362" s="74">
        <f t="shared" si="166"/>
        <v>2032</v>
      </c>
      <c r="W362" s="74">
        <f t="shared" si="166"/>
        <v>2033</v>
      </c>
      <c r="X362" s="74">
        <f t="shared" si="166"/>
        <v>2034</v>
      </c>
      <c r="Y362" s="74">
        <f t="shared" si="166"/>
        <v>2035</v>
      </c>
      <c r="Z362" s="74">
        <f t="shared" si="166"/>
        <v>2036</v>
      </c>
      <c r="AA362" s="74">
        <f t="shared" si="166"/>
        <v>2037</v>
      </c>
      <c r="AB362" s="74">
        <f t="shared" si="166"/>
        <v>2038</v>
      </c>
      <c r="AC362" s="74">
        <f t="shared" si="166"/>
        <v>2039</v>
      </c>
      <c r="AD362" s="74">
        <f t="shared" si="166"/>
        <v>2040</v>
      </c>
      <c r="AE362" s="74">
        <f t="shared" si="166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>L341*$J330*(EXP(-($E363)*($F310*L$308+$G310*L$248))-1)</f>
        <v>0</v>
      </c>
      <c r="M363" s="72">
        <f>M341*$J330*(EXP(-($E363)*($F310*M$308+$G310*M$248))-1)</f>
        <v>0</v>
      </c>
      <c r="N363" s="72">
        <f>N341*$J330*(EXP(-($E363)*($F310*N$308+$G310*N$248))-1)</f>
        <v>0</v>
      </c>
      <c r="O363" s="72">
        <f>O341*$J330*(EXP(-($E363)*($F310*O$308+$G310*O$248))-1)</f>
        <v>0</v>
      </c>
      <c r="P363" s="72">
        <f>P341*$J330*(EXP(-($E363)*($F310*P$308+$G310*P$248))-1)</f>
        <v>0</v>
      </c>
      <c r="Q363" s="72">
        <f>Q341*$J330*(EXP(-($E363)*($F310*Q$308+$G310*Q$248))-1)</f>
        <v>0</v>
      </c>
      <c r="R363" s="72">
        <f>R341*$J330*(EXP(-($E363)*($F310*R$308+$G310*R$248))-1)</f>
        <v>0</v>
      </c>
      <c r="S363" s="72">
        <f>S341*$J330*(EXP(-($E363)*($F310*S$308+$G310*S$248))-1)</f>
        <v>0</v>
      </c>
      <c r="T363" s="72">
        <f>T341*$J330*(EXP(-($E363)*($F310*T$308+$G310*T$248))-1)</f>
        <v>0</v>
      </c>
      <c r="U363" s="72">
        <f>U341*$J330*(EXP(-($E363)*($F310*U$308+$G310*U$248))-1)</f>
        <v>0</v>
      </c>
      <c r="V363" s="72">
        <f>V341*$J330*(EXP(-($E363)*($F310*V$308+$G310*V$248))-1)</f>
        <v>0</v>
      </c>
      <c r="W363" s="72">
        <f>W341*$J330*(EXP(-($E363)*($F310*W$308+$G310*W$248))-1)</f>
        <v>0</v>
      </c>
      <c r="X363" s="72">
        <f>X341*$J330*(EXP(-($E363)*($F310*X$308+$G310*X$248))-1)</f>
        <v>0</v>
      </c>
      <c r="Y363" s="72">
        <f>Y341*$J330*(EXP(-($E363)*($F310*Y$308+$G310*Y$248))-1)</f>
        <v>0</v>
      </c>
      <c r="Z363" s="72">
        <f>Z341*$J330*(EXP(-($E363)*($F310*Z$308+$G310*Z$248))-1)</f>
        <v>0</v>
      </c>
      <c r="AA363" s="72">
        <f>AA341*$J330*(EXP(-($E363)*($F310*AA$308+$G310*AA$248))-1)</f>
        <v>0</v>
      </c>
      <c r="AB363" s="72">
        <f>AB341*$J330*(EXP(-($E363)*($F310*AB$308+$G310*AB$248))-1)</f>
        <v>0</v>
      </c>
      <c r="AC363" s="72">
        <f>AC341*$J330*(EXP(-($E363)*($F310*AC$308+$G310*AC$248))-1)</f>
        <v>0</v>
      </c>
      <c r="AD363" s="72">
        <f>AD341*$J330*(EXP(-($E363)*($F310*AD$308+$G310*AD$248))-1)</f>
        <v>0</v>
      </c>
      <c r="AE363" s="72">
        <f>AE341*$J330*(EXP(-($E363)*($F310*AE$308+$G310*AE$248))-1)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>L342*$J331*(EXP(-($E364)*($F311*L$308+$G311*L$248))-1)</f>
        <v>0</v>
      </c>
      <c r="M364" s="72">
        <f>M342*$J331*(EXP(-($E364)*($F311*M$308+$G311*M$248))-1)</f>
        <v>0</v>
      </c>
      <c r="N364" s="72">
        <f>N342*$J331*(EXP(-($E364)*($F311*N$308+$G311*N$248))-1)</f>
        <v>0</v>
      </c>
      <c r="O364" s="72">
        <f>O342*$J331*(EXP(-($E364)*($F311*O$308+$G311*O$248))-1)</f>
        <v>0</v>
      </c>
      <c r="P364" s="72">
        <f>P342*$J331*(EXP(-($E364)*($F311*P$308+$G311*P$248))-1)</f>
        <v>0</v>
      </c>
      <c r="Q364" s="72">
        <f>Q342*$J331*(EXP(-($E364)*($F311*Q$308+$G311*Q$248))-1)</f>
        <v>0</v>
      </c>
      <c r="R364" s="72">
        <f>R342*$J331*(EXP(-($E364)*($F311*R$308+$G311*R$248))-1)</f>
        <v>0</v>
      </c>
      <c r="S364" s="72">
        <f>S342*$J331*(EXP(-($E364)*($F311*S$308+$G311*S$248))-1)</f>
        <v>0</v>
      </c>
      <c r="T364" s="72">
        <f>T342*$J331*(EXP(-($E364)*($F311*T$308+$G311*T$248))-1)</f>
        <v>0</v>
      </c>
      <c r="U364" s="72">
        <f>U342*$J331*(EXP(-($E364)*($F311*U$308+$G311*U$248))-1)</f>
        <v>0</v>
      </c>
      <c r="V364" s="72">
        <f>V342*$J331*(EXP(-($E364)*($F311*V$308+$G311*V$248))-1)</f>
        <v>0</v>
      </c>
      <c r="W364" s="72">
        <f>W342*$J331*(EXP(-($E364)*($F311*W$308+$G311*W$248))-1)</f>
        <v>0</v>
      </c>
      <c r="X364" s="72">
        <f>X342*$J331*(EXP(-($E364)*($F311*X$308+$G311*X$248))-1)</f>
        <v>0</v>
      </c>
      <c r="Y364" s="72">
        <f>Y342*$J331*(EXP(-($E364)*($F311*Y$308+$G311*Y$248))-1)</f>
        <v>0</v>
      </c>
      <c r="Z364" s="72">
        <f>Z342*$J331*(EXP(-($E364)*($F311*Z$308+$G311*Z$248))-1)</f>
        <v>0</v>
      </c>
      <c r="AA364" s="72">
        <f>AA342*$J331*(EXP(-($E364)*($F311*AA$308+$G311*AA$248))-1)</f>
        <v>0</v>
      </c>
      <c r="AB364" s="72">
        <f>AB342*$J331*(EXP(-($E364)*($F311*AB$308+$G311*AB$248))-1)</f>
        <v>0</v>
      </c>
      <c r="AC364" s="72">
        <f>AC342*$J331*(EXP(-($E364)*($F311*AC$308+$G311*AC$248))-1)</f>
        <v>0</v>
      </c>
      <c r="AD364" s="72">
        <f>AD342*$J331*(EXP(-($E364)*($F311*AD$308+$G311*AD$248))-1)</f>
        <v>0</v>
      </c>
      <c r="AE364" s="72">
        <f>AE342*$J331*(EXP(-($E364)*($F311*AE$308+$G311*AE$248))-1)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>L343*$J332*(EXP(-($E365)*($F312*L$308+$G312*L$248))-1)</f>
        <v>0</v>
      </c>
      <c r="M365" s="72">
        <f>M343*$J332*(EXP(-($E365)*($F312*M$308+$G312*M$248))-1)</f>
        <v>0</v>
      </c>
      <c r="N365" s="72">
        <f>N343*$J332*(EXP(-($E365)*($F312*N$308+$G312*N$248))-1)</f>
        <v>0</v>
      </c>
      <c r="O365" s="72">
        <f>O343*$J332*(EXP(-($E365)*($F312*O$308+$G312*O$248))-1)</f>
        <v>0</v>
      </c>
      <c r="P365" s="72">
        <f>P343*$J332*(EXP(-($E365)*($F312*P$308+$G312*P$248))-1)</f>
        <v>0</v>
      </c>
      <c r="Q365" s="72">
        <f>Q343*$J332*(EXP(-($E365)*($F312*Q$308+$G312*Q$248))-1)</f>
        <v>0</v>
      </c>
      <c r="R365" s="72">
        <f>R343*$J332*(EXP(-($E365)*($F312*R$308+$G312*R$248))-1)</f>
        <v>0</v>
      </c>
      <c r="S365" s="72">
        <f>S343*$J332*(EXP(-($E365)*($F312*S$308+$G312*S$248))-1)</f>
        <v>0</v>
      </c>
      <c r="T365" s="72">
        <f>T343*$J332*(EXP(-($E365)*($F312*T$308+$G312*T$248))-1)</f>
        <v>0</v>
      </c>
      <c r="U365" s="72">
        <f>U343*$J332*(EXP(-($E365)*($F312*U$308+$G312*U$248))-1)</f>
        <v>0</v>
      </c>
      <c r="V365" s="72">
        <f>V343*$J332*(EXP(-($E365)*($F312*V$308+$G312*V$248))-1)</f>
        <v>0</v>
      </c>
      <c r="W365" s="72">
        <f>W343*$J332*(EXP(-($E365)*($F312*W$308+$G312*W$248))-1)</f>
        <v>0</v>
      </c>
      <c r="X365" s="72">
        <f>X343*$J332*(EXP(-($E365)*($F312*X$308+$G312*X$248))-1)</f>
        <v>0</v>
      </c>
      <c r="Y365" s="72">
        <f>Y343*$J332*(EXP(-($E365)*($F312*Y$308+$G312*Y$248))-1)</f>
        <v>0</v>
      </c>
      <c r="Z365" s="72">
        <f>Z343*$J332*(EXP(-($E365)*($F312*Z$308+$G312*Z$248))-1)</f>
        <v>0</v>
      </c>
      <c r="AA365" s="72">
        <f>AA343*$J332*(EXP(-($E365)*($F312*AA$308+$G312*AA$248))-1)</f>
        <v>0</v>
      </c>
      <c r="AB365" s="72">
        <f>AB343*$J332*(EXP(-($E365)*($F312*AB$308+$G312*AB$248))-1)</f>
        <v>0</v>
      </c>
      <c r="AC365" s="72">
        <f>AC343*$J332*(EXP(-($E365)*($F312*AC$308+$G312*AC$248))-1)</f>
        <v>0</v>
      </c>
      <c r="AD365" s="72">
        <f>AD343*$J332*(EXP(-($E365)*($F312*AD$308+$G312*AD$248))-1)</f>
        <v>0</v>
      </c>
      <c r="AE365" s="72">
        <f>AE343*$J332*(EXP(-($E365)*($F312*AE$308+$G312*AE$248))-1)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>L344*$J333*(EXP(-($E366)*($F313*L$308+$G313*L$248))-1)</f>
        <v>0</v>
      </c>
      <c r="M366" s="72">
        <f>M344*$J333*(EXP(-($E366)*($F313*M$308+$G313*M$248))-1)</f>
        <v>0</v>
      </c>
      <c r="N366" s="72">
        <f>N344*$J333*(EXP(-($E366)*($F313*N$308+$G313*N$248))-1)</f>
        <v>0</v>
      </c>
      <c r="O366" s="72">
        <f>O344*$J333*(EXP(-($E366)*($F313*O$308+$G313*O$248))-1)</f>
        <v>0</v>
      </c>
      <c r="P366" s="72">
        <f>P344*$J333*(EXP(-($E366)*($F313*P$308+$G313*P$248))-1)</f>
        <v>0</v>
      </c>
      <c r="Q366" s="72">
        <f>Q344*$J333*(EXP(-($E366)*($F313*Q$308+$G313*Q$248))-1)</f>
        <v>0</v>
      </c>
      <c r="R366" s="72">
        <f>R344*$J333*(EXP(-($E366)*($F313*R$308+$G313*R$248))-1)</f>
        <v>0</v>
      </c>
      <c r="S366" s="72">
        <f>S344*$J333*(EXP(-($E366)*($F313*S$308+$G313*S$248))-1)</f>
        <v>0</v>
      </c>
      <c r="T366" s="72">
        <f>T344*$J333*(EXP(-($E366)*($F313*T$308+$G313*T$248))-1)</f>
        <v>0</v>
      </c>
      <c r="U366" s="72">
        <f>U344*$J333*(EXP(-($E366)*($F313*U$308+$G313*U$248))-1)</f>
        <v>0</v>
      </c>
      <c r="V366" s="72">
        <f>V344*$J333*(EXP(-($E366)*($F313*V$308+$G313*V$248))-1)</f>
        <v>0</v>
      </c>
      <c r="W366" s="72">
        <f>W344*$J333*(EXP(-($E366)*($F313*W$308+$G313*W$248))-1)</f>
        <v>0</v>
      </c>
      <c r="X366" s="72">
        <f>X344*$J333*(EXP(-($E366)*($F313*X$308+$G313*X$248))-1)</f>
        <v>0</v>
      </c>
      <c r="Y366" s="72">
        <f>Y344*$J333*(EXP(-($E366)*($F313*Y$308+$G313*Y$248))-1)</f>
        <v>0</v>
      </c>
      <c r="Z366" s="72">
        <f>Z344*$J333*(EXP(-($E366)*($F313*Z$308+$G313*Z$248))-1)</f>
        <v>0</v>
      </c>
      <c r="AA366" s="72">
        <f>AA344*$J333*(EXP(-($E366)*($F313*AA$308+$G313*AA$248))-1)</f>
        <v>0</v>
      </c>
      <c r="AB366" s="72">
        <f>AB344*$J333*(EXP(-($E366)*($F313*AB$308+$G313*AB$248))-1)</f>
        <v>0</v>
      </c>
      <c r="AC366" s="72">
        <f>AC344*$J333*(EXP(-($E366)*($F313*AC$308+$G313*AC$248))-1)</f>
        <v>0</v>
      </c>
      <c r="AD366" s="72">
        <f>AD344*$J333*(EXP(-($E366)*($F313*AD$308+$G313*AD$248))-1)</f>
        <v>0</v>
      </c>
      <c r="AE366" s="72">
        <f>AE344*$J333*(EXP(-($E366)*($F313*AE$308+$G313*AE$248))-1)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>L345*$J334*(EXP(-($E367)*($F314*L$308+$G314*L$248))-1)</f>
        <v>0</v>
      </c>
      <c r="M367" s="72">
        <f>M345*$J334*(EXP(-($E367)*($F314*M$308+$G314*M$248))-1)</f>
        <v>0</v>
      </c>
      <c r="N367" s="72">
        <f>N345*$J334*(EXP(-($E367)*($F314*N$308+$G314*N$248))-1)</f>
        <v>0</v>
      </c>
      <c r="O367" s="72">
        <f>O345*$J334*(EXP(-($E367)*($F314*O$308+$G314*O$248))-1)</f>
        <v>0</v>
      </c>
      <c r="P367" s="72">
        <f>P345*$J334*(EXP(-($E367)*($F314*P$308+$G314*P$248))-1)</f>
        <v>0</v>
      </c>
      <c r="Q367" s="72">
        <f>Q345*$J334*(EXP(-($E367)*($F314*Q$308+$G314*Q$248))-1)</f>
        <v>0</v>
      </c>
      <c r="R367" s="72">
        <f>R345*$J334*(EXP(-($E367)*($F314*R$308+$G314*R$248))-1)</f>
        <v>0</v>
      </c>
      <c r="S367" s="72">
        <f>S345*$J334*(EXP(-($E367)*($F314*S$308+$G314*S$248))-1)</f>
        <v>0</v>
      </c>
      <c r="T367" s="72">
        <f>T345*$J334*(EXP(-($E367)*($F314*T$308+$G314*T$248))-1)</f>
        <v>0</v>
      </c>
      <c r="U367" s="72">
        <f>U345*$J334*(EXP(-($E367)*($F314*U$308+$G314*U$248))-1)</f>
        <v>0</v>
      </c>
      <c r="V367" s="72">
        <f>V345*$J334*(EXP(-($E367)*($F314*V$308+$G314*V$248))-1)</f>
        <v>0</v>
      </c>
      <c r="W367" s="72">
        <f>W345*$J334*(EXP(-($E367)*($F314*W$308+$G314*W$248))-1)</f>
        <v>0</v>
      </c>
      <c r="X367" s="72">
        <f>X345*$J334*(EXP(-($E367)*($F314*X$308+$G314*X$248))-1)</f>
        <v>0</v>
      </c>
      <c r="Y367" s="72">
        <f>Y345*$J334*(EXP(-($E367)*($F314*Y$308+$G314*Y$248))-1)</f>
        <v>0</v>
      </c>
      <c r="Z367" s="72">
        <f>Z345*$J334*(EXP(-($E367)*($F314*Z$308+$G314*Z$248))-1)</f>
        <v>0</v>
      </c>
      <c r="AA367" s="72">
        <f>AA345*$J334*(EXP(-($E367)*($F314*AA$308+$G314*AA$248))-1)</f>
        <v>0</v>
      </c>
      <c r="AB367" s="72">
        <f>AB345*$J334*(EXP(-($E367)*($F314*AB$308+$G314*AB$248))-1)</f>
        <v>0</v>
      </c>
      <c r="AC367" s="72">
        <f>AC345*$J334*(EXP(-($E367)*($F314*AC$308+$G314*AC$248))-1)</f>
        <v>0</v>
      </c>
      <c r="AD367" s="72">
        <f>AD345*$J334*(EXP(-($E367)*($F314*AD$308+$G314*AD$248))-1)</f>
        <v>0</v>
      </c>
      <c r="AE367" s="72">
        <f>AE345*$J334*(EXP(-($E367)*($F314*AE$308+$G314*AE$248))-1)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>L346*$J335*(EXP(-($E368)*($F315*L$308+$G315*L$248))-1)</f>
        <v>0</v>
      </c>
      <c r="M368" s="72">
        <f>M346*$J335*(EXP(-($E368)*($F315*M$308+$G315*M$248))-1)</f>
        <v>0</v>
      </c>
      <c r="N368" s="72">
        <f>N346*$J335*(EXP(-($E368)*($F315*N$308+$G315*N$248))-1)</f>
        <v>0</v>
      </c>
      <c r="O368" s="72">
        <f>O346*$J335*(EXP(-($E368)*($F315*O$308+$G315*O$248))-1)</f>
        <v>0</v>
      </c>
      <c r="P368" s="72">
        <f>P346*$J335*(EXP(-($E368)*($F315*P$308+$G315*P$248))-1)</f>
        <v>0</v>
      </c>
      <c r="Q368" s="72">
        <f>Q346*$J335*(EXP(-($E368)*($F315*Q$308+$G315*Q$248))-1)</f>
        <v>0</v>
      </c>
      <c r="R368" s="72">
        <f>R346*$J335*(EXP(-($E368)*($F315*R$308+$G315*R$248))-1)</f>
        <v>0</v>
      </c>
      <c r="S368" s="72">
        <f>S346*$J335*(EXP(-($E368)*($F315*S$308+$G315*S$248))-1)</f>
        <v>0</v>
      </c>
      <c r="T368" s="72">
        <f>T346*$J335*(EXP(-($E368)*($F315*T$308+$G315*T$248))-1)</f>
        <v>0</v>
      </c>
      <c r="U368" s="72">
        <f>U346*$J335*(EXP(-($E368)*($F315*U$308+$G315*U$248))-1)</f>
        <v>0</v>
      </c>
      <c r="V368" s="72">
        <f>V346*$J335*(EXP(-($E368)*($F315*V$308+$G315*V$248))-1)</f>
        <v>0</v>
      </c>
      <c r="W368" s="72">
        <f>W346*$J335*(EXP(-($E368)*($F315*W$308+$G315*W$248))-1)</f>
        <v>0</v>
      </c>
      <c r="X368" s="72">
        <f>X346*$J335*(EXP(-($E368)*($F315*X$308+$G315*X$248))-1)</f>
        <v>0</v>
      </c>
      <c r="Y368" s="72">
        <f>Y346*$J335*(EXP(-($E368)*($F315*Y$308+$G315*Y$248))-1)</f>
        <v>0</v>
      </c>
      <c r="Z368" s="72">
        <f>Z346*$J335*(EXP(-($E368)*($F315*Z$308+$G315*Z$248))-1)</f>
        <v>0</v>
      </c>
      <c r="AA368" s="72">
        <f>AA346*$J335*(EXP(-($E368)*($F315*AA$308+$G315*AA$248))-1)</f>
        <v>0</v>
      </c>
      <c r="AB368" s="72">
        <f>AB346*$J335*(EXP(-($E368)*($F315*AB$308+$G315*AB$248))-1)</f>
        <v>0</v>
      </c>
      <c r="AC368" s="72">
        <f>AC346*$J335*(EXP(-($E368)*($F315*AC$308+$G315*AC$248))-1)</f>
        <v>0</v>
      </c>
      <c r="AD368" s="72">
        <f>AD346*$J335*(EXP(-($E368)*($F315*AD$308+$G315*AD$248))-1)</f>
        <v>0</v>
      </c>
      <c r="AE368" s="72">
        <f>AE346*$J335*(EXP(-($E368)*($F315*AE$308+$G315*AE$248))-1)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>L347*$J336*(EXP(-($E369)*($F316*L$308+$G316*L$248))-1)</f>
        <v>0</v>
      </c>
      <c r="M369" s="72">
        <f>M347*$J336*(EXP(-($E369)*($F316*M$308+$G316*M$248))-1)</f>
        <v>0</v>
      </c>
      <c r="N369" s="72">
        <f>N347*$J336*(EXP(-($E369)*($F316*N$308+$G316*N$248))-1)</f>
        <v>0</v>
      </c>
      <c r="O369" s="72">
        <f>O347*$J336*(EXP(-($E369)*($F316*O$308+$G316*O$248))-1)</f>
        <v>0</v>
      </c>
      <c r="P369" s="72">
        <f>P347*$J336*(EXP(-($E369)*($F316*P$308+$G316*P$248))-1)</f>
        <v>0</v>
      </c>
      <c r="Q369" s="72">
        <f>Q347*$J336*(EXP(-($E369)*($F316*Q$308+$G316*Q$248))-1)</f>
        <v>0</v>
      </c>
      <c r="R369" s="72">
        <f>R347*$J336*(EXP(-($E369)*($F316*R$308+$G316*R$248))-1)</f>
        <v>0</v>
      </c>
      <c r="S369" s="72">
        <f>S347*$J336*(EXP(-($E369)*($F316*S$308+$G316*S$248))-1)</f>
        <v>0</v>
      </c>
      <c r="T369" s="72">
        <f>T347*$J336*(EXP(-($E369)*($F316*T$308+$G316*T$248))-1)</f>
        <v>0</v>
      </c>
      <c r="U369" s="72">
        <f>U347*$J336*(EXP(-($E369)*($F316*U$308+$G316*U$248))-1)</f>
        <v>0</v>
      </c>
      <c r="V369" s="72">
        <f>V347*$J336*(EXP(-($E369)*($F316*V$308+$G316*V$248))-1)</f>
        <v>0</v>
      </c>
      <c r="W369" s="72">
        <f>W347*$J336*(EXP(-($E369)*($F316*W$308+$G316*W$248))-1)</f>
        <v>0</v>
      </c>
      <c r="X369" s="72">
        <f>X347*$J336*(EXP(-($E369)*($F316*X$308+$G316*X$248))-1)</f>
        <v>0</v>
      </c>
      <c r="Y369" s="72">
        <f>Y347*$J336*(EXP(-($E369)*($F316*Y$308+$G316*Y$248))-1)</f>
        <v>0</v>
      </c>
      <c r="Z369" s="72">
        <f>Z347*$J336*(EXP(-($E369)*($F316*Z$308+$G316*Z$248))-1)</f>
        <v>0</v>
      </c>
      <c r="AA369" s="72">
        <f>AA347*$J336*(EXP(-($E369)*($F316*AA$308+$G316*AA$248))-1)</f>
        <v>0</v>
      </c>
      <c r="AB369" s="72">
        <f>AB347*$J336*(EXP(-($E369)*($F316*AB$308+$G316*AB$248))-1)</f>
        <v>0</v>
      </c>
      <c r="AC369" s="72">
        <f>AC347*$J336*(EXP(-($E369)*($F316*AC$308+$G316*AC$248))-1)</f>
        <v>0</v>
      </c>
      <c r="AD369" s="72">
        <f>AD347*$J336*(EXP(-($E369)*($F316*AD$308+$G316*AD$248))-1)</f>
        <v>0</v>
      </c>
      <c r="AE369" s="72">
        <f>AE347*$J336*(EXP(-($E369)*($F316*AE$308+$G316*AE$248))-1)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>L348*$J337*(EXP(-($E370)*($F317*L$308+$G317*L$248))-1)</f>
        <v>0</v>
      </c>
      <c r="M370" s="72">
        <f>M348*$J337*(EXP(-($E370)*($F317*M$308+$G317*M$248))-1)</f>
        <v>0</v>
      </c>
      <c r="N370" s="72">
        <f>N348*$J337*(EXP(-($E370)*($F317*N$308+$G317*N$248))-1)</f>
        <v>0</v>
      </c>
      <c r="O370" s="72">
        <f>O348*$J337*(EXP(-($E370)*($F317*O$308+$G317*O$248))-1)</f>
        <v>0</v>
      </c>
      <c r="P370" s="72">
        <f>P348*$J337*(EXP(-($E370)*($F317*P$308+$G317*P$248))-1)</f>
        <v>0</v>
      </c>
      <c r="Q370" s="72">
        <f>Q348*$J337*(EXP(-($E370)*($F317*Q$308+$G317*Q$248))-1)</f>
        <v>0</v>
      </c>
      <c r="R370" s="72">
        <f>R348*$J337*(EXP(-($E370)*($F317*R$308+$G317*R$248))-1)</f>
        <v>0</v>
      </c>
      <c r="S370" s="72">
        <f>S348*$J337*(EXP(-($E370)*($F317*S$308+$G317*S$248))-1)</f>
        <v>0</v>
      </c>
      <c r="T370" s="72">
        <f>T348*$J337*(EXP(-($E370)*($F317*T$308+$G317*T$248))-1)</f>
        <v>0</v>
      </c>
      <c r="U370" s="72">
        <f>U348*$J337*(EXP(-($E370)*($F317*U$308+$G317*U$248))-1)</f>
        <v>0</v>
      </c>
      <c r="V370" s="72">
        <f>V348*$J337*(EXP(-($E370)*($F317*V$308+$G317*V$248))-1)</f>
        <v>0</v>
      </c>
      <c r="W370" s="72">
        <f>W348*$J337*(EXP(-($E370)*($F317*W$308+$G317*W$248))-1)</f>
        <v>0</v>
      </c>
      <c r="X370" s="72">
        <f>X348*$J337*(EXP(-($E370)*($F317*X$308+$G317*X$248))-1)</f>
        <v>0</v>
      </c>
      <c r="Y370" s="72">
        <f>Y348*$J337*(EXP(-($E370)*($F317*Y$308+$G317*Y$248))-1)</f>
        <v>0</v>
      </c>
      <c r="Z370" s="72">
        <f>Z348*$J337*(EXP(-($E370)*($F317*Z$308+$G317*Z$248))-1)</f>
        <v>0</v>
      </c>
      <c r="AA370" s="72">
        <f>AA348*$J337*(EXP(-($E370)*($F317*AA$308+$G317*AA$248))-1)</f>
        <v>0</v>
      </c>
      <c r="AB370" s="72">
        <f>AB348*$J337*(EXP(-($E370)*($F317*AB$308+$G317*AB$248))-1)</f>
        <v>0</v>
      </c>
      <c r="AC370" s="72">
        <f>AC348*$J337*(EXP(-($E370)*($F317*AC$308+$G317*AC$248))-1)</f>
        <v>0</v>
      </c>
      <c r="AD370" s="72">
        <f>AD348*$J337*(EXP(-($E370)*($F317*AD$308+$G317*AD$248))-1)</f>
        <v>0</v>
      </c>
      <c r="AE370" s="72">
        <f>AE348*$J337*(EXP(-($E370)*($F317*AE$308+$G317*AE$248))-1)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67">SUM(L363:L370)</f>
        <v>0</v>
      </c>
      <c r="M371" s="72">
        <f t="shared" si="167"/>
        <v>0</v>
      </c>
      <c r="N371" s="72">
        <f t="shared" si="167"/>
        <v>0</v>
      </c>
      <c r="O371" s="72">
        <f t="shared" si="167"/>
        <v>0</v>
      </c>
      <c r="P371" s="72">
        <f t="shared" si="167"/>
        <v>0</v>
      </c>
      <c r="Q371" s="72">
        <f t="shared" si="167"/>
        <v>0</v>
      </c>
      <c r="R371" s="72">
        <f t="shared" si="167"/>
        <v>0</v>
      </c>
      <c r="S371" s="72">
        <f t="shared" si="167"/>
        <v>0</v>
      </c>
      <c r="T371" s="72">
        <f t="shared" si="167"/>
        <v>0</v>
      </c>
      <c r="U371" s="72">
        <f t="shared" si="167"/>
        <v>0</v>
      </c>
      <c r="V371" s="72">
        <f t="shared" si="167"/>
        <v>0</v>
      </c>
      <c r="W371" s="72">
        <f t="shared" si="167"/>
        <v>0</v>
      </c>
      <c r="X371" s="72">
        <f t="shared" si="167"/>
        <v>0</v>
      </c>
      <c r="Y371" s="72">
        <f t="shared" si="167"/>
        <v>0</v>
      </c>
      <c r="Z371" s="72">
        <f t="shared" si="167"/>
        <v>0</v>
      </c>
      <c r="AA371" s="72">
        <f t="shared" si="167"/>
        <v>0</v>
      </c>
      <c r="AB371" s="72">
        <f t="shared" si="167"/>
        <v>0</v>
      </c>
      <c r="AC371" s="72">
        <f t="shared" si="167"/>
        <v>0</v>
      </c>
      <c r="AD371" s="72">
        <f t="shared" si="167"/>
        <v>0</v>
      </c>
      <c r="AE371" s="72">
        <f t="shared" si="167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68">SUM(L334:L336)+SUM(L356:L358)</f>
        <v>3.5290636333347374</v>
      </c>
      <c r="M374" s="72">
        <f t="shared" si="168"/>
        <v>3.6067030332681016</v>
      </c>
      <c r="N374" s="72">
        <f t="shared" si="168"/>
        <v>3.6860504999999999</v>
      </c>
      <c r="O374" s="72">
        <f t="shared" si="168"/>
        <v>3.7671436109999994</v>
      </c>
      <c r="P374" s="72">
        <f t="shared" si="168"/>
        <v>3.8500207704419993</v>
      </c>
      <c r="Q374" s="72">
        <f t="shared" si="168"/>
        <v>3.9347212273917234</v>
      </c>
      <c r="R374" s="72">
        <f t="shared" si="168"/>
        <v>4.0212850943943419</v>
      </c>
      <c r="S374" s="72">
        <f t="shared" si="168"/>
        <v>4.1097533664710166</v>
      </c>
      <c r="T374" s="72">
        <f t="shared" si="168"/>
        <v>4.2001679405333787</v>
      </c>
      <c r="U374" s="72">
        <f t="shared" si="168"/>
        <v>4.292571635225114</v>
      </c>
      <c r="V374" s="72">
        <f t="shared" si="168"/>
        <v>4.3870082112000661</v>
      </c>
      <c r="W374" s="72">
        <f t="shared" si="168"/>
        <v>4.4835223918464688</v>
      </c>
      <c r="X374" s="72">
        <f t="shared" si="168"/>
        <v>4.5821598844670905</v>
      </c>
      <c r="Y374" s="72">
        <f t="shared" si="168"/>
        <v>4.6829674019253673</v>
      </c>
      <c r="Z374" s="72">
        <f t="shared" si="168"/>
        <v>4.7859926847677254</v>
      </c>
      <c r="AA374" s="72">
        <f t="shared" si="168"/>
        <v>4.8912845238326152</v>
      </c>
      <c r="AB374" s="72">
        <f t="shared" si="168"/>
        <v>4.9988927833569319</v>
      </c>
      <c r="AC374" s="72">
        <f t="shared" si="168"/>
        <v>5.1088684245907858</v>
      </c>
      <c r="AD374" s="72">
        <f t="shared" si="168"/>
        <v>5.2212635299317824</v>
      </c>
      <c r="AE374" s="72">
        <f t="shared" si="168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69">SUM(L330:L332)+SUM(L352:L354)</f>
        <v>3.8464212577619237</v>
      </c>
      <c r="M375" s="72">
        <f t="shared" si="169"/>
        <v>4.0156637931034478</v>
      </c>
      <c r="N375" s="72">
        <f t="shared" si="169"/>
        <v>4.1923530000000007</v>
      </c>
      <c r="O375" s="72">
        <f t="shared" si="169"/>
        <v>4.3768165320000012</v>
      </c>
      <c r="P375" s="72">
        <f t="shared" si="169"/>
        <v>4.5693964594080008</v>
      </c>
      <c r="Q375" s="72">
        <f t="shared" si="169"/>
        <v>4.7704499036219534</v>
      </c>
      <c r="R375" s="72">
        <f t="shared" si="169"/>
        <v>4.9803496993813186</v>
      </c>
      <c r="S375" s="72">
        <f t="shared" si="169"/>
        <v>5.1994850861540982</v>
      </c>
      <c r="T375" s="72">
        <f t="shared" si="169"/>
        <v>5.4282624299448781</v>
      </c>
      <c r="U375" s="72">
        <f t="shared" si="169"/>
        <v>5.6671059768624525</v>
      </c>
      <c r="V375" s="72">
        <f t="shared" si="169"/>
        <v>5.9164586398444019</v>
      </c>
      <c r="W375" s="72">
        <f t="shared" si="169"/>
        <v>6.1767828199975545</v>
      </c>
      <c r="X375" s="72">
        <f t="shared" si="169"/>
        <v>6.4485612640774477</v>
      </c>
      <c r="Y375" s="72">
        <f t="shared" si="169"/>
        <v>6.7322979596968553</v>
      </c>
      <c r="Z375" s="72">
        <f t="shared" si="169"/>
        <v>7.0285190699235169</v>
      </c>
      <c r="AA375" s="72">
        <f t="shared" si="169"/>
        <v>7.3377739090001519</v>
      </c>
      <c r="AB375" s="72">
        <f t="shared" si="169"/>
        <v>7.6606359609961583</v>
      </c>
      <c r="AC375" s="72">
        <f t="shared" si="169"/>
        <v>7.9977039432799906</v>
      </c>
      <c r="AD375" s="72">
        <f t="shared" si="169"/>
        <v>8.3496029167843098</v>
      </c>
      <c r="AE375" s="72">
        <f t="shared" si="169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70">L337+L359</f>
        <v>4.2047573055412055E-2</v>
      </c>
      <c r="M376" s="72">
        <f t="shared" si="170"/>
        <v>4.4360189573459712E-2</v>
      </c>
      <c r="N376" s="72">
        <f t="shared" si="170"/>
        <v>4.6799999999999994E-2</v>
      </c>
      <c r="O376" s="72">
        <f t="shared" si="170"/>
        <v>4.9374000000000001E-2</v>
      </c>
      <c r="P376" s="72">
        <f t="shared" si="170"/>
        <v>5.2089569999999995E-2</v>
      </c>
      <c r="Q376" s="72">
        <f t="shared" si="170"/>
        <v>5.4954496349999993E-2</v>
      </c>
      <c r="R376" s="72">
        <f t="shared" si="170"/>
        <v>5.7976993649249998E-2</v>
      </c>
      <c r="S376" s="72">
        <f t="shared" si="170"/>
        <v>6.1165728299958741E-2</v>
      </c>
      <c r="T376" s="72">
        <f t="shared" si="170"/>
        <v>6.4529843356456465E-2</v>
      </c>
      <c r="U376" s="72">
        <f t="shared" si="170"/>
        <v>6.8078984741061568E-2</v>
      </c>
      <c r="V376" s="72">
        <f t="shared" si="170"/>
        <v>7.1823328901819944E-2</v>
      </c>
      <c r="W376" s="72">
        <f t="shared" si="170"/>
        <v>7.5773611991420048E-2</v>
      </c>
      <c r="X376" s="72">
        <f t="shared" si="170"/>
        <v>7.9941160650948154E-2</v>
      </c>
      <c r="Y376" s="72">
        <f t="shared" si="170"/>
        <v>8.4337924486750301E-2</v>
      </c>
      <c r="Z376" s="72">
        <f t="shared" si="170"/>
        <v>8.8976510333521566E-2</v>
      </c>
      <c r="AA376" s="72">
        <f t="shared" si="170"/>
        <v>9.3870218401865241E-2</v>
      </c>
      <c r="AB376" s="72">
        <f t="shared" si="170"/>
        <v>9.9033080413967828E-2</v>
      </c>
      <c r="AC376" s="72">
        <f t="shared" si="170"/>
        <v>0.10447989983673606</v>
      </c>
      <c r="AD376" s="72">
        <f t="shared" si="170"/>
        <v>0.11022629432775652</v>
      </c>
      <c r="AE376" s="72">
        <f t="shared" si="170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71">L333+L355</f>
        <v>13.508713893592759</v>
      </c>
      <c r="M378" s="72">
        <f t="shared" si="171"/>
        <v>13.954501452081319</v>
      </c>
      <c r="N378" s="72">
        <f t="shared" si="171"/>
        <v>14.414999999999999</v>
      </c>
      <c r="O378" s="72">
        <f t="shared" si="171"/>
        <v>14.890694999999997</v>
      </c>
      <c r="P378" s="72">
        <f t="shared" si="171"/>
        <v>15.382087934999998</v>
      </c>
      <c r="Q378" s="72">
        <f t="shared" si="171"/>
        <v>15.889696836854995</v>
      </c>
      <c r="R378" s="72">
        <f t="shared" si="171"/>
        <v>16.414056832471207</v>
      </c>
      <c r="S378" s="72">
        <f t="shared" si="171"/>
        <v>16.955720707942756</v>
      </c>
      <c r="T378" s="72">
        <f t="shared" si="171"/>
        <v>17.515259491304867</v>
      </c>
      <c r="U378" s="72">
        <f t="shared" si="171"/>
        <v>18.093263054517926</v>
      </c>
      <c r="V378" s="72">
        <f t="shared" si="171"/>
        <v>18.690340735317015</v>
      </c>
      <c r="W378" s="72">
        <f t="shared" si="171"/>
        <v>19.307121979582476</v>
      </c>
      <c r="X378" s="72">
        <f t="shared" si="171"/>
        <v>19.944257004908696</v>
      </c>
      <c r="Y378" s="72">
        <f t="shared" si="171"/>
        <v>20.602417486070681</v>
      </c>
      <c r="Z378" s="72">
        <f t="shared" si="171"/>
        <v>21.282297263111012</v>
      </c>
      <c r="AA378" s="72">
        <f t="shared" si="171"/>
        <v>21.984613072793675</v>
      </c>
      <c r="AB378" s="72">
        <f t="shared" si="171"/>
        <v>22.710105304195867</v>
      </c>
      <c r="AC378" s="72">
        <f t="shared" si="171"/>
        <v>23.459538779234329</v>
      </c>
      <c r="AD378" s="72">
        <f t="shared" si="171"/>
        <v>24.23370355894906</v>
      </c>
      <c r="AE378" s="72">
        <f t="shared" si="171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72">SUM(L374:L378)</f>
        <v>20.926246357744834</v>
      </c>
      <c r="M379" s="72">
        <f t="shared" si="172"/>
        <v>21.621228468026327</v>
      </c>
      <c r="N379" s="72">
        <f t="shared" si="172"/>
        <v>22.340203500000001</v>
      </c>
      <c r="O379" s="72">
        <f t="shared" si="172"/>
        <v>23.084029142999999</v>
      </c>
      <c r="P379" s="72">
        <f t="shared" si="172"/>
        <v>23.853594734849999</v>
      </c>
      <c r="Q379" s="72">
        <f t="shared" si="172"/>
        <v>24.649822464218673</v>
      </c>
      <c r="R379" s="72">
        <f t="shared" si="172"/>
        <v>25.473668619896117</v>
      </c>
      <c r="S379" s="72">
        <f t="shared" si="172"/>
        <v>26.326124888867831</v>
      </c>
      <c r="T379" s="72">
        <f t="shared" si="172"/>
        <v>27.20821970513958</v>
      </c>
      <c r="U379" s="72">
        <f t="shared" si="172"/>
        <v>28.121019651346558</v>
      </c>
      <c r="V379" s="72">
        <f t="shared" si="172"/>
        <v>29.065630915263306</v>
      </c>
      <c r="W379" s="72">
        <f t="shared" si="172"/>
        <v>30.043200803417918</v>
      </c>
      <c r="X379" s="72">
        <f t="shared" si="172"/>
        <v>31.054919314104183</v>
      </c>
      <c r="Y379" s="72">
        <f t="shared" si="172"/>
        <v>32.102020772179657</v>
      </c>
      <c r="Z379" s="72">
        <f t="shared" si="172"/>
        <v>33.185785528135774</v>
      </c>
      <c r="AA379" s="72">
        <f t="shared" si="172"/>
        <v>34.307541724028304</v>
      </c>
      <c r="AB379" s="72">
        <f t="shared" si="172"/>
        <v>35.46866712896292</v>
      </c>
      <c r="AC379" s="72">
        <f t="shared" si="172"/>
        <v>36.670591046941837</v>
      </c>
      <c r="AD379" s="72">
        <f t="shared" si="172"/>
        <v>37.914796299992908</v>
      </c>
      <c r="AE379" s="72">
        <f t="shared" si="172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1874</v>
      </c>
      <c r="E380" s="72" t="s">
        <v>1875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73">L$379+L$390</f>
        <v>47.016585657660869</v>
      </c>
      <c r="M380" s="72">
        <f t="shared" si="173"/>
        <v>48.583140104124077</v>
      </c>
      <c r="N380" s="72">
        <f t="shared" si="173"/>
        <v>50.203203500000001</v>
      </c>
      <c r="O380" s="72">
        <f t="shared" si="173"/>
        <v>51.878652142999996</v>
      </c>
      <c r="P380" s="72">
        <f t="shared" si="173"/>
        <v>53.611430083849996</v>
      </c>
      <c r="Q380" s="72">
        <f t="shared" si="173"/>
        <v>55.403551656613665</v>
      </c>
      <c r="R380" s="72">
        <f t="shared" si="173"/>
        <v>57.257104107200519</v>
      </c>
      <c r="S380" s="72">
        <f t="shared" si="173"/>
        <v>59.174250324032492</v>
      </c>
      <c r="T380" s="72">
        <f t="shared" si="173"/>
        <v>61.157231675010621</v>
      </c>
      <c r="U380" s="72">
        <f t="shared" si="173"/>
        <v>63.208370955098921</v>
      </c>
      <c r="V380" s="72">
        <f t="shared" si="173"/>
        <v>65.330075449025713</v>
      </c>
      <c r="W380" s="72">
        <f t="shared" si="173"/>
        <v>67.52484011379407</v>
      </c>
      <c r="X380" s="72">
        <f t="shared" si="173"/>
        <v>69.795250885892756</v>
      </c>
      <c r="Y380" s="72">
        <f t="shared" si="173"/>
        <v>72.143988118307959</v>
      </c>
      <c r="Z380" s="72">
        <f t="shared" si="173"/>
        <v>74.573830152653855</v>
      </c>
      <c r="AA380" s="72">
        <f t="shared" si="173"/>
        <v>77.087657031968206</v>
      </c>
      <c r="AB380" s="72">
        <f t="shared" si="173"/>
        <v>79.688454359956467</v>
      </c>
      <c r="AC380" s="72">
        <f t="shared" si="173"/>
        <v>82.37931731271712</v>
      </c>
      <c r="AD380" s="72">
        <f t="shared" si="173"/>
        <v>85.163454809240363</v>
      </c>
      <c r="AE380" s="72">
        <f t="shared" si="173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1876</v>
      </c>
      <c r="E381" s="72" t="s">
        <v>1875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74">L$360+L$371</f>
        <v>0</v>
      </c>
      <c r="M381" s="72">
        <f t="shared" si="174"/>
        <v>0</v>
      </c>
      <c r="N381" s="72">
        <f t="shared" si="174"/>
        <v>0</v>
      </c>
      <c r="O381" s="72">
        <f t="shared" si="174"/>
        <v>0</v>
      </c>
      <c r="P381" s="72">
        <f t="shared" si="174"/>
        <v>0</v>
      </c>
      <c r="Q381" s="72">
        <f t="shared" si="174"/>
        <v>0</v>
      </c>
      <c r="R381" s="72">
        <f t="shared" si="174"/>
        <v>0</v>
      </c>
      <c r="S381" s="72">
        <f t="shared" si="174"/>
        <v>0</v>
      </c>
      <c r="T381" s="72">
        <f t="shared" si="174"/>
        <v>0</v>
      </c>
      <c r="U381" s="72">
        <f t="shared" si="174"/>
        <v>0</v>
      </c>
      <c r="V381" s="72">
        <f t="shared" si="174"/>
        <v>0</v>
      </c>
      <c r="W381" s="72">
        <f t="shared" si="174"/>
        <v>0</v>
      </c>
      <c r="X381" s="72">
        <f t="shared" si="174"/>
        <v>0</v>
      </c>
      <c r="Y381" s="72">
        <f t="shared" si="174"/>
        <v>0</v>
      </c>
      <c r="Z381" s="72">
        <f t="shared" si="174"/>
        <v>0</v>
      </c>
      <c r="AA381" s="72">
        <f t="shared" si="174"/>
        <v>0</v>
      </c>
      <c r="AB381" s="72">
        <f t="shared" si="174"/>
        <v>0</v>
      </c>
      <c r="AC381" s="72">
        <f t="shared" si="174"/>
        <v>0</v>
      </c>
      <c r="AD381" s="72">
        <f t="shared" si="174"/>
        <v>0</v>
      </c>
      <c r="AE381" s="72">
        <f t="shared" si="174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1906</v>
      </c>
      <c r="E382" s="72" t="s">
        <v>1877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75">SUMPRODUCT((L$330:L$337+L$352:L$359)*$I$330:$I$337*($F$299:$F$306*L$247+$G$299:$G$306*L$248))</f>
        <v>0</v>
      </c>
      <c r="M382" s="72">
        <f t="shared" si="175"/>
        <v>0</v>
      </c>
      <c r="N382" s="72">
        <f t="shared" si="175"/>
        <v>0</v>
      </c>
      <c r="O382" s="72">
        <f t="shared" si="175"/>
        <v>0</v>
      </c>
      <c r="P382" s="72">
        <f t="shared" si="175"/>
        <v>0</v>
      </c>
      <c r="Q382" s="72">
        <f t="shared" si="175"/>
        <v>0</v>
      </c>
      <c r="R382" s="72">
        <f t="shared" si="175"/>
        <v>0</v>
      </c>
      <c r="S382" s="72">
        <f t="shared" si="175"/>
        <v>0</v>
      </c>
      <c r="T382" s="72">
        <f t="shared" si="175"/>
        <v>0</v>
      </c>
      <c r="U382" s="72">
        <f t="shared" si="175"/>
        <v>0</v>
      </c>
      <c r="V382" s="72">
        <f t="shared" si="175"/>
        <v>0</v>
      </c>
      <c r="W382" s="72">
        <f t="shared" si="175"/>
        <v>0</v>
      </c>
      <c r="X382" s="72">
        <f t="shared" si="175"/>
        <v>0</v>
      </c>
      <c r="Y382" s="72">
        <f t="shared" si="175"/>
        <v>0</v>
      </c>
      <c r="Z382" s="72">
        <f t="shared" si="175"/>
        <v>0</v>
      </c>
      <c r="AA382" s="72">
        <f t="shared" si="175"/>
        <v>0</v>
      </c>
      <c r="AB382" s="72">
        <f t="shared" si="175"/>
        <v>0</v>
      </c>
      <c r="AC382" s="72">
        <f t="shared" si="175"/>
        <v>0</v>
      </c>
      <c r="AD382" s="72">
        <f t="shared" si="175"/>
        <v>0</v>
      </c>
      <c r="AE382" s="72">
        <f t="shared" si="175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1925</v>
      </c>
      <c r="E383" s="72" t="s">
        <v>1877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>SUMPRODUCT((L$341:L$348*$J$330:$J$337+L$363:L$370)*($F$310:$F$317*L$308+$G$310:$G$317*L$248))</f>
        <v>0</v>
      </c>
      <c r="M383" s="72">
        <f>SUMPRODUCT((M$341:M$348*$J$330:$J$337+M$363:M$370)*($F$310:$F$317*M$308+$G$310:$G$317*M$248))</f>
        <v>0</v>
      </c>
      <c r="N383" s="72">
        <f>SUMPRODUCT((N$341:N$348*$J$330:$J$337+N$363:N$370)*($F$310:$F$317*N$308+$G$310:$G$317*N$248))</f>
        <v>0</v>
      </c>
      <c r="O383" s="72">
        <f>SUMPRODUCT((O$341:O$348*$J$330:$J$337+O$363:O$370)*($F$310:$F$317*O$308+$G$310:$G$317*O$248))</f>
        <v>0</v>
      </c>
      <c r="P383" s="72">
        <f>SUMPRODUCT((P$341:P$348*$J$330:$J$337+P$363:P$370)*($F$310:$F$317*P$308+$G$310:$G$317*P$248))</f>
        <v>0</v>
      </c>
      <c r="Q383" s="72">
        <f>SUMPRODUCT((Q$341:Q$348*$J$330:$J$337+Q$363:Q$370)*($F$310:$F$317*Q$308+$G$310:$G$317*Q$248))</f>
        <v>0</v>
      </c>
      <c r="R383" s="72">
        <f>SUMPRODUCT((R$341:R$348*$J$330:$J$337+R$363:R$370)*($F$310:$F$317*R$308+$G$310:$G$317*R$248))</f>
        <v>0</v>
      </c>
      <c r="S383" s="72">
        <f>SUMPRODUCT((S$341:S$348*$J$330:$J$337+S$363:S$370)*($F$310:$F$317*S$308+$G$310:$G$317*S$248))</f>
        <v>0</v>
      </c>
      <c r="T383" s="72">
        <f>SUMPRODUCT((T$341:T$348*$J$330:$J$337+T$363:T$370)*($F$310:$F$317*T$308+$G$310:$G$317*T$248))</f>
        <v>0</v>
      </c>
      <c r="U383" s="72">
        <f>SUMPRODUCT((U$341:U$348*$J$330:$J$337+U$363:U$370)*($F$310:$F$317*U$308+$G$310:$G$317*U$248))</f>
        <v>0</v>
      </c>
      <c r="V383" s="72">
        <f>SUMPRODUCT((V$341:V$348*$J$330:$J$337+V$363:V$370)*($F$310:$F$317*V$308+$G$310:$G$317*V$248))</f>
        <v>0</v>
      </c>
      <c r="W383" s="72">
        <f>SUMPRODUCT((W$341:W$348*$J$330:$J$337+W$363:W$370)*($F$310:$F$317*W$308+$G$310:$G$317*W$248))</f>
        <v>0</v>
      </c>
      <c r="X383" s="72">
        <f>SUMPRODUCT((X$341:X$348*$J$330:$J$337+X$363:X$370)*($F$310:$F$317*X$308+$G$310:$G$317*X$248))</f>
        <v>0</v>
      </c>
      <c r="Y383" s="72">
        <f>SUMPRODUCT((Y$341:Y$348*$J$330:$J$337+Y$363:Y$370)*($F$310:$F$317*Y$308+$G$310:$G$317*Y$248))</f>
        <v>0</v>
      </c>
      <c r="Z383" s="72">
        <f>SUMPRODUCT((Z$341:Z$348*$J$330:$J$337+Z$363:Z$370)*($F$310:$F$317*Z$308+$G$310:$G$317*Z$248))</f>
        <v>0</v>
      </c>
      <c r="AA383" s="72">
        <f>SUMPRODUCT((AA$341:AA$348*$J$330:$J$337+AA$363:AA$370)*($F$310:$F$317*AA$308+$G$310:$G$317*AA$248))</f>
        <v>0</v>
      </c>
      <c r="AB383" s="72">
        <f>SUMPRODUCT((AB$341:AB$348*$J$330:$J$337+AB$363:AB$370)*($F$310:$F$317*AB$308+$G$310:$G$317*AB$248))</f>
        <v>0</v>
      </c>
      <c r="AC383" s="72">
        <f>SUMPRODUCT((AC$341:AC$348*$J$330:$J$337+AC$363:AC$370)*($F$310:$F$317*AC$308+$G$310:$G$317*AC$248))</f>
        <v>0</v>
      </c>
      <c r="AD383" s="72">
        <f>SUMPRODUCT((AD$341:AD$348*$J$330:$J$337+AD$363:AD$370)*($F$310:$F$317*AD$308+$G$310:$G$317*AD$248))</f>
        <v>0</v>
      </c>
      <c r="AE383" s="72">
        <f>SUMPRODUCT((AE$341:AE$348*$J$330:$J$337+AE$363:AE$370)*($F$310:$F$317*AE$308+$G$310:$G$317*AE$248))</f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76">SUM(L345:L347)+SUM(L367:L369)</f>
        <v>0.55721293959505358</v>
      </c>
      <c r="M385" s="72">
        <f t="shared" si="176"/>
        <v>0.56947162426614473</v>
      </c>
      <c r="N385" s="72">
        <f t="shared" si="176"/>
        <v>0.58199999999999996</v>
      </c>
      <c r="O385" s="72">
        <f t="shared" si="176"/>
        <v>0.594804</v>
      </c>
      <c r="P385" s="72">
        <f t="shared" si="176"/>
        <v>0.60788968800000009</v>
      </c>
      <c r="Q385" s="72">
        <f t="shared" si="176"/>
        <v>0.62126326113599994</v>
      </c>
      <c r="R385" s="72">
        <f t="shared" si="176"/>
        <v>0.63493105288099194</v>
      </c>
      <c r="S385" s="72">
        <f t="shared" si="176"/>
        <v>0.64889953604437378</v>
      </c>
      <c r="T385" s="72">
        <f t="shared" si="176"/>
        <v>0.66317532583735006</v>
      </c>
      <c r="U385" s="72">
        <f t="shared" si="176"/>
        <v>0.67776518300577182</v>
      </c>
      <c r="V385" s="72">
        <f t="shared" si="176"/>
        <v>0.69267601703189885</v>
      </c>
      <c r="W385" s="72">
        <f t="shared" si="176"/>
        <v>0.70791488940660052</v>
      </c>
      <c r="X385" s="72">
        <f t="shared" si="176"/>
        <v>0.72348901697354573</v>
      </c>
      <c r="Y385" s="72">
        <f t="shared" si="176"/>
        <v>0.73940577534696372</v>
      </c>
      <c r="Z385" s="72">
        <f t="shared" si="176"/>
        <v>0.75567270240459705</v>
      </c>
      <c r="AA385" s="72">
        <f t="shared" si="176"/>
        <v>0.77229750185749824</v>
      </c>
      <c r="AB385" s="72">
        <f t="shared" si="176"/>
        <v>0.78928804689836318</v>
      </c>
      <c r="AC385" s="72">
        <f t="shared" si="176"/>
        <v>0.80665238393012717</v>
      </c>
      <c r="AD385" s="72">
        <f t="shared" si="176"/>
        <v>0.82439873637659</v>
      </c>
      <c r="AE385" s="72">
        <f t="shared" si="176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77">SUM(L341:L343)+SUM(L363:L365)</f>
        <v>0.25322587748271458</v>
      </c>
      <c r="M386" s="72">
        <f t="shared" si="177"/>
        <v>0.26436781609195403</v>
      </c>
      <c r="N386" s="72">
        <f t="shared" si="177"/>
        <v>0.27599999999999997</v>
      </c>
      <c r="O386" s="72">
        <f t="shared" si="177"/>
        <v>0.28814400000000001</v>
      </c>
      <c r="P386" s="72">
        <f t="shared" si="177"/>
        <v>0.30082233600000008</v>
      </c>
      <c r="Q386" s="72">
        <f t="shared" si="177"/>
        <v>0.31405851878400004</v>
      </c>
      <c r="R386" s="72">
        <f t="shared" si="177"/>
        <v>0.32787709361049611</v>
      </c>
      <c r="S386" s="72">
        <f t="shared" si="177"/>
        <v>0.34230368572935788</v>
      </c>
      <c r="T386" s="72">
        <f t="shared" si="177"/>
        <v>0.35736504790144968</v>
      </c>
      <c r="U386" s="72">
        <f t="shared" si="177"/>
        <v>0.37308911000911349</v>
      </c>
      <c r="V386" s="72">
        <f t="shared" si="177"/>
        <v>0.38950503084951449</v>
      </c>
      <c r="W386" s="72">
        <f t="shared" si="177"/>
        <v>0.40664325220689312</v>
      </c>
      <c r="X386" s="72">
        <f t="shared" si="177"/>
        <v>0.42453555530399645</v>
      </c>
      <c r="Y386" s="72">
        <f t="shared" si="177"/>
        <v>0.44321511973737227</v>
      </c>
      <c r="Z386" s="72">
        <f t="shared" si="177"/>
        <v>0.46271658500581669</v>
      </c>
      <c r="AA386" s="72">
        <f t="shared" si="177"/>
        <v>0.48307611474607259</v>
      </c>
      <c r="AB386" s="72">
        <f t="shared" si="177"/>
        <v>0.5043314637948999</v>
      </c>
      <c r="AC386" s="72">
        <f t="shared" si="177"/>
        <v>0.52652204820187531</v>
      </c>
      <c r="AD386" s="72">
        <f t="shared" si="177"/>
        <v>0.54968901832275785</v>
      </c>
      <c r="AE386" s="72">
        <f t="shared" si="177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78">L348+L370</f>
        <v>0.63340895307832257</v>
      </c>
      <c r="M387" s="72">
        <f t="shared" si="178"/>
        <v>0.66824644549763035</v>
      </c>
      <c r="N387" s="72">
        <f t="shared" si="178"/>
        <v>0.70499999999999996</v>
      </c>
      <c r="O387" s="72">
        <f t="shared" si="178"/>
        <v>0.74377499999999996</v>
      </c>
      <c r="P387" s="72">
        <f t="shared" si="178"/>
        <v>0.78468262499999997</v>
      </c>
      <c r="Q387" s="72">
        <f t="shared" si="178"/>
        <v>0.82784016937499993</v>
      </c>
      <c r="R387" s="72">
        <f t="shared" si="178"/>
        <v>0.87337137869062498</v>
      </c>
      <c r="S387" s="72">
        <f t="shared" si="178"/>
        <v>0.92140680451860935</v>
      </c>
      <c r="T387" s="72">
        <f t="shared" si="178"/>
        <v>0.97208417876713282</v>
      </c>
      <c r="U387" s="72">
        <f t="shared" si="178"/>
        <v>1.025548808599325</v>
      </c>
      <c r="V387" s="72">
        <f t="shared" si="178"/>
        <v>1.0819539930722879</v>
      </c>
      <c r="W387" s="72">
        <f t="shared" si="178"/>
        <v>1.1414614626912638</v>
      </c>
      <c r="X387" s="72">
        <f t="shared" si="178"/>
        <v>1.2042418431392832</v>
      </c>
      <c r="Y387" s="72">
        <f t="shared" si="178"/>
        <v>1.2704751445119435</v>
      </c>
      <c r="Z387" s="72">
        <f t="shared" si="178"/>
        <v>1.3403512774601003</v>
      </c>
      <c r="AA387" s="72">
        <f t="shared" si="178"/>
        <v>1.4140705977204062</v>
      </c>
      <c r="AB387" s="72">
        <f t="shared" si="178"/>
        <v>1.4918444805950282</v>
      </c>
      <c r="AC387" s="72">
        <f t="shared" si="178"/>
        <v>1.5738959270277546</v>
      </c>
      <c r="AD387" s="72">
        <f t="shared" si="178"/>
        <v>1.660460203014281</v>
      </c>
      <c r="AE387" s="72">
        <f t="shared" si="178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79">L344+L366</f>
        <v>24.646491529759945</v>
      </c>
      <c r="M389" s="72">
        <f t="shared" si="179"/>
        <v>25.459825750242022</v>
      </c>
      <c r="N389" s="72">
        <f t="shared" si="179"/>
        <v>26.3</v>
      </c>
      <c r="O389" s="72">
        <f t="shared" si="179"/>
        <v>27.167899999999999</v>
      </c>
      <c r="P389" s="72">
        <f t="shared" si="179"/>
        <v>28.064440699999995</v>
      </c>
      <c r="Q389" s="72">
        <f t="shared" si="179"/>
        <v>28.990567243099992</v>
      </c>
      <c r="R389" s="72">
        <f t="shared" si="179"/>
        <v>29.947255962122291</v>
      </c>
      <c r="S389" s="72">
        <f t="shared" si="179"/>
        <v>30.935515408872323</v>
      </c>
      <c r="T389" s="72">
        <f t="shared" si="179"/>
        <v>31.956387417365111</v>
      </c>
      <c r="U389" s="72">
        <f t="shared" si="179"/>
        <v>33.010948202138152</v>
      </c>
      <c r="V389" s="72">
        <f t="shared" si="179"/>
        <v>34.100309492808705</v>
      </c>
      <c r="W389" s="72">
        <f t="shared" si="179"/>
        <v>35.225619706071399</v>
      </c>
      <c r="X389" s="72">
        <f t="shared" si="179"/>
        <v>36.388065156371745</v>
      </c>
      <c r="Y389" s="72">
        <f t="shared" si="179"/>
        <v>37.588871306532013</v>
      </c>
      <c r="Z389" s="72">
        <f t="shared" si="179"/>
        <v>38.829304059647569</v>
      </c>
      <c r="AA389" s="72">
        <f t="shared" si="179"/>
        <v>40.110671093615935</v>
      </c>
      <c r="AB389" s="72">
        <f t="shared" si="179"/>
        <v>41.434323239705257</v>
      </c>
      <c r="AC389" s="72">
        <f t="shared" si="179"/>
        <v>42.801655906615522</v>
      </c>
      <c r="AD389" s="72">
        <f t="shared" si="179"/>
        <v>44.214110551533835</v>
      </c>
      <c r="AE389" s="72">
        <f t="shared" si="179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80">SUM(L385:L389)</f>
        <v>26.090339299916035</v>
      </c>
      <c r="M390" s="72">
        <f t="shared" si="180"/>
        <v>26.961911636097749</v>
      </c>
      <c r="N390" s="72">
        <f t="shared" si="180"/>
        <v>27.863</v>
      </c>
      <c r="O390" s="72">
        <f t="shared" si="180"/>
        <v>28.794623000000001</v>
      </c>
      <c r="P390" s="72">
        <f t="shared" si="180"/>
        <v>29.757835348999997</v>
      </c>
      <c r="Q390" s="72">
        <f t="shared" si="180"/>
        <v>30.753729192394992</v>
      </c>
      <c r="R390" s="72">
        <f t="shared" si="180"/>
        <v>31.783435487304406</v>
      </c>
      <c r="S390" s="72">
        <f t="shared" si="180"/>
        <v>32.848125435164661</v>
      </c>
      <c r="T390" s="72">
        <f t="shared" si="180"/>
        <v>33.949011969871044</v>
      </c>
      <c r="U390" s="72">
        <f t="shared" si="180"/>
        <v>35.087351303752364</v>
      </c>
      <c r="V390" s="72">
        <f t="shared" si="180"/>
        <v>36.264444533762408</v>
      </c>
      <c r="W390" s="72">
        <f t="shared" si="180"/>
        <v>37.481639310376153</v>
      </c>
      <c r="X390" s="72">
        <f t="shared" si="180"/>
        <v>38.740331571788573</v>
      </c>
      <c r="Y390" s="72">
        <f t="shared" si="180"/>
        <v>40.041967346128295</v>
      </c>
      <c r="Z390" s="72">
        <f t="shared" si="180"/>
        <v>41.388044624518081</v>
      </c>
      <c r="AA390" s="72">
        <f t="shared" si="180"/>
        <v>42.780115307939909</v>
      </c>
      <c r="AB390" s="72">
        <f t="shared" si="180"/>
        <v>44.219787230993546</v>
      </c>
      <c r="AC390" s="72">
        <f t="shared" si="180"/>
        <v>45.708726265775283</v>
      </c>
      <c r="AD390" s="72">
        <f t="shared" si="180"/>
        <v>47.248658509247463</v>
      </c>
      <c r="AE390" s="72">
        <f t="shared" si="180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1878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81">L362</f>
        <v>2022</v>
      </c>
      <c r="M391" s="74">
        <f t="shared" si="181"/>
        <v>2023</v>
      </c>
      <c r="N391" s="74">
        <f t="shared" si="181"/>
        <v>2024</v>
      </c>
      <c r="O391" s="74">
        <f t="shared" si="181"/>
        <v>2025</v>
      </c>
      <c r="P391" s="74">
        <f t="shared" si="181"/>
        <v>2026</v>
      </c>
      <c r="Q391" s="74">
        <f t="shared" si="181"/>
        <v>2027</v>
      </c>
      <c r="R391" s="74">
        <f t="shared" si="181"/>
        <v>2028</v>
      </c>
      <c r="S391" s="74">
        <f t="shared" si="181"/>
        <v>2029</v>
      </c>
      <c r="T391" s="74">
        <f t="shared" si="181"/>
        <v>2030</v>
      </c>
      <c r="U391" s="74">
        <f t="shared" si="181"/>
        <v>2031</v>
      </c>
      <c r="V391" s="74">
        <f t="shared" si="181"/>
        <v>2032</v>
      </c>
      <c r="W391" s="74">
        <f t="shared" si="181"/>
        <v>2033</v>
      </c>
      <c r="X391" s="74">
        <f t="shared" si="181"/>
        <v>2034</v>
      </c>
      <c r="Y391" s="74">
        <f t="shared" si="181"/>
        <v>2035</v>
      </c>
      <c r="Z391" s="74">
        <f t="shared" si="181"/>
        <v>2036</v>
      </c>
      <c r="AA391" s="74">
        <f t="shared" si="181"/>
        <v>2037</v>
      </c>
      <c r="AB391" s="74">
        <f t="shared" si="181"/>
        <v>2038</v>
      </c>
      <c r="AC391" s="74">
        <f t="shared" si="181"/>
        <v>2039</v>
      </c>
      <c r="AD391" s="74">
        <f t="shared" si="181"/>
        <v>2040</v>
      </c>
      <c r="AE391" s="74">
        <f t="shared" si="181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>(L330+L352)*$I330*($F299*L$247+$G299*L$248)+(L341*$J330+L363)*($F310*L$308+$G310*L$248)</f>
        <v>0</v>
      </c>
      <c r="M392" s="72">
        <f>(M330+M352)*$I330*($F299*M$247+$G299*M$248)+(M341*$J330+M363)*($F310*M$308+$G310*M$248)</f>
        <v>0</v>
      </c>
      <c r="N392" s="72">
        <f>(N330+N352)*$I330*($F299*N$247+$G299*N$248)+(N341*$J330+N363)*($F310*N$308+$G310*N$248)</f>
        <v>0</v>
      </c>
      <c r="O392" s="72">
        <f>(O330+O352)*$I330*($F299*O$247+$G299*O$248)+(O341*$J330+O363)*($F310*O$308+$G310*O$248)</f>
        <v>0</v>
      </c>
      <c r="P392" s="72">
        <f>(P330+P352)*$I330*($F299*P$247+$G299*P$248)+(P341*$J330+P363)*($F310*P$308+$G310*P$248)</f>
        <v>0</v>
      </c>
      <c r="Q392" s="72">
        <f>(Q330+Q352)*$I330*($F299*Q$247+$G299*Q$248)+(Q341*$J330+Q363)*($F310*Q$308+$G310*Q$248)</f>
        <v>0</v>
      </c>
      <c r="R392" s="72">
        <f>(R330+R352)*$I330*($F299*R$247+$G299*R$248)+(R341*$J330+R363)*($F310*R$308+$G310*R$248)</f>
        <v>0</v>
      </c>
      <c r="S392" s="72">
        <f>(S330+S352)*$I330*($F299*S$247+$G299*S$248)+(S341*$J330+S363)*($F310*S$308+$G310*S$248)</f>
        <v>0</v>
      </c>
      <c r="T392" s="72">
        <f>(T330+T352)*$I330*($F299*T$247+$G299*T$248)+(T341*$J330+T363)*($F310*T$308+$G310*T$248)</f>
        <v>0</v>
      </c>
      <c r="U392" s="72">
        <f>(U330+U352)*$I330*($F299*U$247+$G299*U$248)+(U341*$J330+U363)*($F310*U$308+$G310*U$248)</f>
        <v>0</v>
      </c>
      <c r="V392" s="72">
        <f>(V330+V352)*$I330*($F299*V$247+$G299*V$248)+(V341*$J330+V363)*($F310*V$308+$G310*V$248)</f>
        <v>0</v>
      </c>
      <c r="W392" s="72">
        <f>(W330+W352)*$I330*($F299*W$247+$G299*W$248)+(W341*$J330+W363)*($F310*W$308+$G310*W$248)</f>
        <v>0</v>
      </c>
      <c r="X392" s="72">
        <f>(X330+X352)*$I330*($F299*X$247+$G299*X$248)+(X341*$J330+X363)*($F310*X$308+$G310*X$248)</f>
        <v>0</v>
      </c>
      <c r="Y392" s="72">
        <f>(Y330+Y352)*$I330*($F299*Y$247+$G299*Y$248)+(Y341*$J330+Y363)*($F310*Y$308+$G310*Y$248)</f>
        <v>0</v>
      </c>
      <c r="Z392" s="72">
        <f>(Z330+Z352)*$I330*($F299*Z$247+$G299*Z$248)+(Z341*$J330+Z363)*($F310*Z$308+$G310*Z$248)</f>
        <v>0</v>
      </c>
      <c r="AA392" s="72">
        <f>(AA330+AA352)*$I330*($F299*AA$247+$G299*AA$248)+(AA341*$J330+AA363)*($F310*AA$308+$G310*AA$248)</f>
        <v>0</v>
      </c>
      <c r="AB392" s="72">
        <f>(AB330+AB352)*$I330*($F299*AB$247+$G299*AB$248)+(AB341*$J330+AB363)*($F310*AB$308+$G310*AB$248)</f>
        <v>0</v>
      </c>
      <c r="AC392" s="72">
        <f>(AC330+AC352)*$I330*($F299*AC$247+$G299*AC$248)+(AC341*$J330+AC363)*($F310*AC$308+$G310*AC$248)</f>
        <v>0</v>
      </c>
      <c r="AD392" s="72">
        <f>(AD330+AD352)*$I330*($F299*AD$247+$G299*AD$248)+(AD341*$J330+AD363)*($F310*AD$308+$G310*AD$248)</f>
        <v>0</v>
      </c>
      <c r="AE392" s="72">
        <f>(AE330+AE352)*$I330*($F299*AE$247+$G299*AE$248)+(AE341*$J330+AE363)*($F310*AE$308+$G310*AE$248)</f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>(L331+L353)*$I331*($F300*L$247+$G300*L$248)+(L342*$J331+L364)*($F311*L$308+$G311*L$248)</f>
        <v>0</v>
      </c>
      <c r="M393" s="72">
        <f>(M331+M353)*$I331*($F300*M$247+$G300*M$248)+(M342*$J331+M364)*($F311*M$308+$G311*M$248)</f>
        <v>0</v>
      </c>
      <c r="N393" s="72">
        <f>(N331+N353)*$I331*($F300*N$247+$G300*N$248)+(N342*$J331+N364)*($F311*N$308+$G311*N$248)</f>
        <v>0</v>
      </c>
      <c r="O393" s="72">
        <f>(O331+O353)*$I331*($F300*O$247+$G300*O$248)+(O342*$J331+O364)*($F311*O$308+$G311*O$248)</f>
        <v>0</v>
      </c>
      <c r="P393" s="72">
        <f>(P331+P353)*$I331*($F300*P$247+$G300*P$248)+(P342*$J331+P364)*($F311*P$308+$G311*P$248)</f>
        <v>0</v>
      </c>
      <c r="Q393" s="72">
        <f>(Q331+Q353)*$I331*($F300*Q$247+$G300*Q$248)+(Q342*$J331+Q364)*($F311*Q$308+$G311*Q$248)</f>
        <v>0</v>
      </c>
      <c r="R393" s="72">
        <f>(R331+R353)*$I331*($F300*R$247+$G300*R$248)+(R342*$J331+R364)*($F311*R$308+$G311*R$248)</f>
        <v>0</v>
      </c>
      <c r="S393" s="72">
        <f>(S331+S353)*$I331*($F300*S$247+$G300*S$248)+(S342*$J331+S364)*($F311*S$308+$G311*S$248)</f>
        <v>0</v>
      </c>
      <c r="T393" s="72">
        <f>(T331+T353)*$I331*($F300*T$247+$G300*T$248)+(T342*$J331+T364)*($F311*T$308+$G311*T$248)</f>
        <v>0</v>
      </c>
      <c r="U393" s="72">
        <f>(U331+U353)*$I331*($F300*U$247+$G300*U$248)+(U342*$J331+U364)*($F311*U$308+$G311*U$248)</f>
        <v>0</v>
      </c>
      <c r="V393" s="72">
        <f>(V331+V353)*$I331*($F300*V$247+$G300*V$248)+(V342*$J331+V364)*($F311*V$308+$G311*V$248)</f>
        <v>0</v>
      </c>
      <c r="W393" s="72">
        <f>(W331+W353)*$I331*($F300*W$247+$G300*W$248)+(W342*$J331+W364)*($F311*W$308+$G311*W$248)</f>
        <v>0</v>
      </c>
      <c r="X393" s="72">
        <f>(X331+X353)*$I331*($F300*X$247+$G300*X$248)+(X342*$J331+X364)*($F311*X$308+$G311*X$248)</f>
        <v>0</v>
      </c>
      <c r="Y393" s="72">
        <f>(Y331+Y353)*$I331*($F300*Y$247+$G300*Y$248)+(Y342*$J331+Y364)*($F311*Y$308+$G311*Y$248)</f>
        <v>0</v>
      </c>
      <c r="Z393" s="72">
        <f>(Z331+Z353)*$I331*($F300*Z$247+$G300*Z$248)+(Z342*$J331+Z364)*($F311*Z$308+$G311*Z$248)</f>
        <v>0</v>
      </c>
      <c r="AA393" s="72">
        <f>(AA331+AA353)*$I331*($F300*AA$247+$G300*AA$248)+(AA342*$J331+AA364)*($F311*AA$308+$G311*AA$248)</f>
        <v>0</v>
      </c>
      <c r="AB393" s="72">
        <f>(AB331+AB353)*$I331*($F300*AB$247+$G300*AB$248)+(AB342*$J331+AB364)*($F311*AB$308+$G311*AB$248)</f>
        <v>0</v>
      </c>
      <c r="AC393" s="72">
        <f>(AC331+AC353)*$I331*($F300*AC$247+$G300*AC$248)+(AC342*$J331+AC364)*($F311*AC$308+$G311*AC$248)</f>
        <v>0</v>
      </c>
      <c r="AD393" s="72">
        <f>(AD331+AD353)*$I331*($F300*AD$247+$G300*AD$248)+(AD342*$J331+AD364)*($F311*AD$308+$G311*AD$248)</f>
        <v>0</v>
      </c>
      <c r="AE393" s="72">
        <f>(AE331+AE353)*$I331*($F300*AE$247+$G300*AE$248)+(AE342*$J331+AE364)*($F311*AE$308+$G311*AE$248)</f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>(L332+L354)*$I332*($F301*L$247+$G301*L$248)+(L343*$J332+L365)*($F312*L$308+$G312*L$248)</f>
        <v>0</v>
      </c>
      <c r="M394" s="72">
        <f>(M332+M354)*$I332*($F301*M$247+$G301*M$248)+(M343*$J332+M365)*($F312*M$308+$G312*M$248)</f>
        <v>0</v>
      </c>
      <c r="N394" s="72">
        <f>(N332+N354)*$I332*($F301*N$247+$G301*N$248)+(N343*$J332+N365)*($F312*N$308+$G312*N$248)</f>
        <v>0</v>
      </c>
      <c r="O394" s="72">
        <f>(O332+O354)*$I332*($F301*O$247+$G301*O$248)+(O343*$J332+O365)*($F312*O$308+$G312*O$248)</f>
        <v>0</v>
      </c>
      <c r="P394" s="72">
        <f>(P332+P354)*$I332*($F301*P$247+$G301*P$248)+(P343*$J332+P365)*($F312*P$308+$G312*P$248)</f>
        <v>0</v>
      </c>
      <c r="Q394" s="72">
        <f>(Q332+Q354)*$I332*($F301*Q$247+$G301*Q$248)+(Q343*$J332+Q365)*($F312*Q$308+$G312*Q$248)</f>
        <v>0</v>
      </c>
      <c r="R394" s="72">
        <f>(R332+R354)*$I332*($F301*R$247+$G301*R$248)+(R343*$J332+R365)*($F312*R$308+$G312*R$248)</f>
        <v>0</v>
      </c>
      <c r="S394" s="72">
        <f>(S332+S354)*$I332*($F301*S$247+$G301*S$248)+(S343*$J332+S365)*($F312*S$308+$G312*S$248)</f>
        <v>0</v>
      </c>
      <c r="T394" s="72">
        <f>(T332+T354)*$I332*($F301*T$247+$G301*T$248)+(T343*$J332+T365)*($F312*T$308+$G312*T$248)</f>
        <v>0</v>
      </c>
      <c r="U394" s="72">
        <f>(U332+U354)*$I332*($F301*U$247+$G301*U$248)+(U343*$J332+U365)*($F312*U$308+$G312*U$248)</f>
        <v>0</v>
      </c>
      <c r="V394" s="72">
        <f>(V332+V354)*$I332*($F301*V$247+$G301*V$248)+(V343*$J332+V365)*($F312*V$308+$G312*V$248)</f>
        <v>0</v>
      </c>
      <c r="W394" s="72">
        <f>(W332+W354)*$I332*($F301*W$247+$G301*W$248)+(W343*$J332+W365)*($F312*W$308+$G312*W$248)</f>
        <v>0</v>
      </c>
      <c r="X394" s="72">
        <f>(X332+X354)*$I332*($F301*X$247+$G301*X$248)+(X343*$J332+X365)*($F312*X$308+$G312*X$248)</f>
        <v>0</v>
      </c>
      <c r="Y394" s="72">
        <f>(Y332+Y354)*$I332*($F301*Y$247+$G301*Y$248)+(Y343*$J332+Y365)*($F312*Y$308+$G312*Y$248)</f>
        <v>0</v>
      </c>
      <c r="Z394" s="72">
        <f>(Z332+Z354)*$I332*($F301*Z$247+$G301*Z$248)+(Z343*$J332+Z365)*($F312*Z$308+$G312*Z$248)</f>
        <v>0</v>
      </c>
      <c r="AA394" s="72">
        <f>(AA332+AA354)*$I332*($F301*AA$247+$G301*AA$248)+(AA343*$J332+AA365)*($F312*AA$308+$G312*AA$248)</f>
        <v>0</v>
      </c>
      <c r="AB394" s="72">
        <f>(AB332+AB354)*$I332*($F301*AB$247+$G301*AB$248)+(AB343*$J332+AB365)*($F312*AB$308+$G312*AB$248)</f>
        <v>0</v>
      </c>
      <c r="AC394" s="72">
        <f>(AC332+AC354)*$I332*($F301*AC$247+$G301*AC$248)+(AC343*$J332+AC365)*($F312*AC$308+$G312*AC$248)</f>
        <v>0</v>
      </c>
      <c r="AD394" s="72">
        <f>(AD332+AD354)*$I332*($F301*AD$247+$G301*AD$248)+(AD343*$J332+AD365)*($F312*AD$308+$G312*AD$248)</f>
        <v>0</v>
      </c>
      <c r="AE394" s="72">
        <f>(AE332+AE354)*$I332*($F301*AE$247+$G301*AE$248)+(AE343*$J332+AE365)*($F312*AE$308+$G312*AE$248)</f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>(L333+L355)*$I333*($F302*L$247+$G302*L$248)+(L344*$J333+L366)*($F313*L$308+$G313*L$248)</f>
        <v>0</v>
      </c>
      <c r="M395" s="72">
        <f>(M333+M355)*$I333*($F302*M$247+$G302*M$248)+(M344*$J333+M366)*($F313*M$308+$G313*M$248)</f>
        <v>0</v>
      </c>
      <c r="N395" s="72">
        <f>(N333+N355)*$I333*($F302*N$247+$G302*N$248)+(N344*$J333+N366)*($F313*N$308+$G313*N$248)</f>
        <v>0</v>
      </c>
      <c r="O395" s="72">
        <f>(O333+O355)*$I333*($F302*O$247+$G302*O$248)+(O344*$J333+O366)*($F313*O$308+$G313*O$248)</f>
        <v>0</v>
      </c>
      <c r="P395" s="72">
        <f>(P333+P355)*$I333*($F302*P$247+$G302*P$248)+(P344*$J333+P366)*($F313*P$308+$G313*P$248)</f>
        <v>0</v>
      </c>
      <c r="Q395" s="72">
        <f>(Q333+Q355)*$I333*($F302*Q$247+$G302*Q$248)+(Q344*$J333+Q366)*($F313*Q$308+$G313*Q$248)</f>
        <v>0</v>
      </c>
      <c r="R395" s="72">
        <f>(R333+R355)*$I333*($F302*R$247+$G302*R$248)+(R344*$J333+R366)*($F313*R$308+$G313*R$248)</f>
        <v>0</v>
      </c>
      <c r="S395" s="72">
        <f>(S333+S355)*$I333*($F302*S$247+$G302*S$248)+(S344*$J333+S366)*($F313*S$308+$G313*S$248)</f>
        <v>0</v>
      </c>
      <c r="T395" s="72">
        <f>(T333+T355)*$I333*($F302*T$247+$G302*T$248)+(T344*$J333+T366)*($F313*T$308+$G313*T$248)</f>
        <v>0</v>
      </c>
      <c r="U395" s="72">
        <f>(U333+U355)*$I333*($F302*U$247+$G302*U$248)+(U344*$J333+U366)*($F313*U$308+$G313*U$248)</f>
        <v>0</v>
      </c>
      <c r="V395" s="72">
        <f>(V333+V355)*$I333*($F302*V$247+$G302*V$248)+(V344*$J333+V366)*($F313*V$308+$G313*V$248)</f>
        <v>0</v>
      </c>
      <c r="W395" s="72">
        <f>(W333+W355)*$I333*($F302*W$247+$G302*W$248)+(W344*$J333+W366)*($F313*W$308+$G313*W$248)</f>
        <v>0</v>
      </c>
      <c r="X395" s="72">
        <f>(X333+X355)*$I333*($F302*X$247+$G302*X$248)+(X344*$J333+X366)*($F313*X$308+$G313*X$248)</f>
        <v>0</v>
      </c>
      <c r="Y395" s="72">
        <f>(Y333+Y355)*$I333*($F302*Y$247+$G302*Y$248)+(Y344*$J333+Y366)*($F313*Y$308+$G313*Y$248)</f>
        <v>0</v>
      </c>
      <c r="Z395" s="72">
        <f>(Z333+Z355)*$I333*($F302*Z$247+$G302*Z$248)+(Z344*$J333+Z366)*($F313*Z$308+$G313*Z$248)</f>
        <v>0</v>
      </c>
      <c r="AA395" s="72">
        <f>(AA333+AA355)*$I333*($F302*AA$247+$G302*AA$248)+(AA344*$J333+AA366)*($F313*AA$308+$G313*AA$248)</f>
        <v>0</v>
      </c>
      <c r="AB395" s="72">
        <f>(AB333+AB355)*$I333*($F302*AB$247+$G302*AB$248)+(AB344*$J333+AB366)*($F313*AB$308+$G313*AB$248)</f>
        <v>0</v>
      </c>
      <c r="AC395" s="72">
        <f>(AC333+AC355)*$I333*($F302*AC$247+$G302*AC$248)+(AC344*$J333+AC366)*($F313*AC$308+$G313*AC$248)</f>
        <v>0</v>
      </c>
      <c r="AD395" s="72">
        <f>(AD333+AD355)*$I333*($F302*AD$247+$G302*AD$248)+(AD344*$J333+AD366)*($F313*AD$308+$G313*AD$248)</f>
        <v>0</v>
      </c>
      <c r="AE395" s="72">
        <f>(AE333+AE355)*$I333*($F302*AE$247+$G302*AE$248)+(AE344*$J333+AE366)*($F313*AE$308+$G313*AE$248)</f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>(L334+L356)*$I334*($F303*L$247+$G303*L$248)+(L345*$J334+L367)*($F314*L$308+$G314*L$248)</f>
        <v>0</v>
      </c>
      <c r="M396" s="72">
        <f>(M334+M356)*$I334*($F303*M$247+$G303*M$248)+(M345*$J334+M367)*($F314*M$308+$G314*M$248)</f>
        <v>0</v>
      </c>
      <c r="N396" s="72">
        <f>(N334+N356)*$I334*($F303*N$247+$G303*N$248)+(N345*$J334+N367)*($F314*N$308+$G314*N$248)</f>
        <v>0</v>
      </c>
      <c r="O396" s="72">
        <f>(O334+O356)*$I334*($F303*O$247+$G303*O$248)+(O345*$J334+O367)*($F314*O$308+$G314*O$248)</f>
        <v>0</v>
      </c>
      <c r="P396" s="72">
        <f>(P334+P356)*$I334*($F303*P$247+$G303*P$248)+(P345*$J334+P367)*($F314*P$308+$G314*P$248)</f>
        <v>0</v>
      </c>
      <c r="Q396" s="72">
        <f>(Q334+Q356)*$I334*($F303*Q$247+$G303*Q$248)+(Q345*$J334+Q367)*($F314*Q$308+$G314*Q$248)</f>
        <v>0</v>
      </c>
      <c r="R396" s="72">
        <f>(R334+R356)*$I334*($F303*R$247+$G303*R$248)+(R345*$J334+R367)*($F314*R$308+$G314*R$248)</f>
        <v>0</v>
      </c>
      <c r="S396" s="72">
        <f>(S334+S356)*$I334*($F303*S$247+$G303*S$248)+(S345*$J334+S367)*($F314*S$308+$G314*S$248)</f>
        <v>0</v>
      </c>
      <c r="T396" s="72">
        <f>(T334+T356)*$I334*($F303*T$247+$G303*T$248)+(T345*$J334+T367)*($F314*T$308+$G314*T$248)</f>
        <v>0</v>
      </c>
      <c r="U396" s="72">
        <f>(U334+U356)*$I334*($F303*U$247+$G303*U$248)+(U345*$J334+U367)*($F314*U$308+$G314*U$248)</f>
        <v>0</v>
      </c>
      <c r="V396" s="72">
        <f>(V334+V356)*$I334*($F303*V$247+$G303*V$248)+(V345*$J334+V367)*($F314*V$308+$G314*V$248)</f>
        <v>0</v>
      </c>
      <c r="W396" s="72">
        <f>(W334+W356)*$I334*($F303*W$247+$G303*W$248)+(W345*$J334+W367)*($F314*W$308+$G314*W$248)</f>
        <v>0</v>
      </c>
      <c r="X396" s="72">
        <f>(X334+X356)*$I334*($F303*X$247+$G303*X$248)+(X345*$J334+X367)*($F314*X$308+$G314*X$248)</f>
        <v>0</v>
      </c>
      <c r="Y396" s="72">
        <f>(Y334+Y356)*$I334*($F303*Y$247+$G303*Y$248)+(Y345*$J334+Y367)*($F314*Y$308+$G314*Y$248)</f>
        <v>0</v>
      </c>
      <c r="Z396" s="72">
        <f>(Z334+Z356)*$I334*($F303*Z$247+$G303*Z$248)+(Z345*$J334+Z367)*($F314*Z$308+$G314*Z$248)</f>
        <v>0</v>
      </c>
      <c r="AA396" s="72">
        <f>(AA334+AA356)*$I334*($F303*AA$247+$G303*AA$248)+(AA345*$J334+AA367)*($F314*AA$308+$G314*AA$248)</f>
        <v>0</v>
      </c>
      <c r="AB396" s="72">
        <f>(AB334+AB356)*$I334*($F303*AB$247+$G303*AB$248)+(AB345*$J334+AB367)*($F314*AB$308+$G314*AB$248)</f>
        <v>0</v>
      </c>
      <c r="AC396" s="72">
        <f>(AC334+AC356)*$I334*($F303*AC$247+$G303*AC$248)+(AC345*$J334+AC367)*($F314*AC$308+$G314*AC$248)</f>
        <v>0</v>
      </c>
      <c r="AD396" s="72">
        <f>(AD334+AD356)*$I334*($F303*AD$247+$G303*AD$248)+(AD345*$J334+AD367)*($F314*AD$308+$G314*AD$248)</f>
        <v>0</v>
      </c>
      <c r="AE396" s="72">
        <f>(AE334+AE356)*$I334*($F303*AE$247+$G303*AE$248)+(AE345*$J334+AE367)*($F314*AE$308+$G314*AE$248)</f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>(L335+L357)*$I335*($F304*L$247+$G304*L$248)+(L346*$J335+L368)*($F315*L$308+$G315*L$248)</f>
        <v>0</v>
      </c>
      <c r="M397" s="72">
        <f>(M335+M357)*$I335*($F304*M$247+$G304*M$248)+(M346*$J335+M368)*($F315*M$308+$G315*M$248)</f>
        <v>0</v>
      </c>
      <c r="N397" s="72">
        <f>(N335+N357)*$I335*($F304*N$247+$G304*N$248)+(N346*$J335+N368)*($F315*N$308+$G315*N$248)</f>
        <v>0</v>
      </c>
      <c r="O397" s="72">
        <f>(O335+O357)*$I335*($F304*O$247+$G304*O$248)+(O346*$J335+O368)*($F315*O$308+$G315*O$248)</f>
        <v>0</v>
      </c>
      <c r="P397" s="72">
        <f>(P335+P357)*$I335*($F304*P$247+$G304*P$248)+(P346*$J335+P368)*($F315*P$308+$G315*P$248)</f>
        <v>0</v>
      </c>
      <c r="Q397" s="72">
        <f>(Q335+Q357)*$I335*($F304*Q$247+$G304*Q$248)+(Q346*$J335+Q368)*($F315*Q$308+$G315*Q$248)</f>
        <v>0</v>
      </c>
      <c r="R397" s="72">
        <f>(R335+R357)*$I335*($F304*R$247+$G304*R$248)+(R346*$J335+R368)*($F315*R$308+$G315*R$248)</f>
        <v>0</v>
      </c>
      <c r="S397" s="72">
        <f>(S335+S357)*$I335*($F304*S$247+$G304*S$248)+(S346*$J335+S368)*($F315*S$308+$G315*S$248)</f>
        <v>0</v>
      </c>
      <c r="T397" s="72">
        <f>(T335+T357)*$I335*($F304*T$247+$G304*T$248)+(T346*$J335+T368)*($F315*T$308+$G315*T$248)</f>
        <v>0</v>
      </c>
      <c r="U397" s="72">
        <f>(U335+U357)*$I335*($F304*U$247+$G304*U$248)+(U346*$J335+U368)*($F315*U$308+$G315*U$248)</f>
        <v>0</v>
      </c>
      <c r="V397" s="72">
        <f>(V335+V357)*$I335*($F304*V$247+$G304*V$248)+(V346*$J335+V368)*($F315*V$308+$G315*V$248)</f>
        <v>0</v>
      </c>
      <c r="W397" s="72">
        <f>(W335+W357)*$I335*($F304*W$247+$G304*W$248)+(W346*$J335+W368)*($F315*W$308+$G315*W$248)</f>
        <v>0</v>
      </c>
      <c r="X397" s="72">
        <f>(X335+X357)*$I335*($F304*X$247+$G304*X$248)+(X346*$J335+X368)*($F315*X$308+$G315*X$248)</f>
        <v>0</v>
      </c>
      <c r="Y397" s="72">
        <f>(Y335+Y357)*$I335*($F304*Y$247+$G304*Y$248)+(Y346*$J335+Y368)*($F315*Y$308+$G315*Y$248)</f>
        <v>0</v>
      </c>
      <c r="Z397" s="72">
        <f>(Z335+Z357)*$I335*($F304*Z$247+$G304*Z$248)+(Z346*$J335+Z368)*($F315*Z$308+$G315*Z$248)</f>
        <v>0</v>
      </c>
      <c r="AA397" s="72">
        <f>(AA335+AA357)*$I335*($F304*AA$247+$G304*AA$248)+(AA346*$J335+AA368)*($F315*AA$308+$G315*AA$248)</f>
        <v>0</v>
      </c>
      <c r="AB397" s="72">
        <f>(AB335+AB357)*$I335*($F304*AB$247+$G304*AB$248)+(AB346*$J335+AB368)*($F315*AB$308+$G315*AB$248)</f>
        <v>0</v>
      </c>
      <c r="AC397" s="72">
        <f>(AC335+AC357)*$I335*($F304*AC$247+$G304*AC$248)+(AC346*$J335+AC368)*($F315*AC$308+$G315*AC$248)</f>
        <v>0</v>
      </c>
      <c r="AD397" s="72">
        <f>(AD335+AD357)*$I335*($F304*AD$247+$G304*AD$248)+(AD346*$J335+AD368)*($F315*AD$308+$G315*AD$248)</f>
        <v>0</v>
      </c>
      <c r="AE397" s="72">
        <f>(AE335+AE357)*$I335*($F304*AE$247+$G304*AE$248)+(AE346*$J335+AE368)*($F315*AE$308+$G315*AE$248)</f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>(L336+L358)*$I336*($F305*L$247+$G305*L$248)+(L347*$J336+L369)*($F316*L$308+$G316*L$248)</f>
        <v>0</v>
      </c>
      <c r="M398" s="72">
        <f>(M336+M358)*$I336*($F305*M$247+$G305*M$248)+(M347*$J336+M369)*($F316*M$308+$G316*M$248)</f>
        <v>0</v>
      </c>
      <c r="N398" s="72">
        <f>(N336+N358)*$I336*($F305*N$247+$G305*N$248)+(N347*$J336+N369)*($F316*N$308+$G316*N$248)</f>
        <v>0</v>
      </c>
      <c r="O398" s="72">
        <f>(O336+O358)*$I336*($F305*O$247+$G305*O$248)+(O347*$J336+O369)*($F316*O$308+$G316*O$248)</f>
        <v>0</v>
      </c>
      <c r="P398" s="72">
        <f>(P336+P358)*$I336*($F305*P$247+$G305*P$248)+(P347*$J336+P369)*($F316*P$308+$G316*P$248)</f>
        <v>0</v>
      </c>
      <c r="Q398" s="72">
        <f>(Q336+Q358)*$I336*($F305*Q$247+$G305*Q$248)+(Q347*$J336+Q369)*($F316*Q$308+$G316*Q$248)</f>
        <v>0</v>
      </c>
      <c r="R398" s="72">
        <f>(R336+R358)*$I336*($F305*R$247+$G305*R$248)+(R347*$J336+R369)*($F316*R$308+$G316*R$248)</f>
        <v>0</v>
      </c>
      <c r="S398" s="72">
        <f>(S336+S358)*$I336*($F305*S$247+$G305*S$248)+(S347*$J336+S369)*($F316*S$308+$G316*S$248)</f>
        <v>0</v>
      </c>
      <c r="T398" s="72">
        <f>(T336+T358)*$I336*($F305*T$247+$G305*T$248)+(T347*$J336+T369)*($F316*T$308+$G316*T$248)</f>
        <v>0</v>
      </c>
      <c r="U398" s="72">
        <f>(U336+U358)*$I336*($F305*U$247+$G305*U$248)+(U347*$J336+U369)*($F316*U$308+$G316*U$248)</f>
        <v>0</v>
      </c>
      <c r="V398" s="72">
        <f>(V336+V358)*$I336*($F305*V$247+$G305*V$248)+(V347*$J336+V369)*($F316*V$308+$G316*V$248)</f>
        <v>0</v>
      </c>
      <c r="W398" s="72">
        <f>(W336+W358)*$I336*($F305*W$247+$G305*W$248)+(W347*$J336+W369)*($F316*W$308+$G316*W$248)</f>
        <v>0</v>
      </c>
      <c r="X398" s="72">
        <f>(X336+X358)*$I336*($F305*X$247+$G305*X$248)+(X347*$J336+X369)*($F316*X$308+$G316*X$248)</f>
        <v>0</v>
      </c>
      <c r="Y398" s="72">
        <f>(Y336+Y358)*$I336*($F305*Y$247+$G305*Y$248)+(Y347*$J336+Y369)*($F316*Y$308+$G316*Y$248)</f>
        <v>0</v>
      </c>
      <c r="Z398" s="72">
        <f>(Z336+Z358)*$I336*($F305*Z$247+$G305*Z$248)+(Z347*$J336+Z369)*($F316*Z$308+$G316*Z$248)</f>
        <v>0</v>
      </c>
      <c r="AA398" s="72">
        <f>(AA336+AA358)*$I336*($F305*AA$247+$G305*AA$248)+(AA347*$J336+AA369)*($F316*AA$308+$G316*AA$248)</f>
        <v>0</v>
      </c>
      <c r="AB398" s="72">
        <f>(AB336+AB358)*$I336*($F305*AB$247+$G305*AB$248)+(AB347*$J336+AB369)*($F316*AB$308+$G316*AB$248)</f>
        <v>0</v>
      </c>
      <c r="AC398" s="72">
        <f>(AC336+AC358)*$I336*($F305*AC$247+$G305*AC$248)+(AC347*$J336+AC369)*($F316*AC$308+$G316*AC$248)</f>
        <v>0</v>
      </c>
      <c r="AD398" s="72">
        <f>(AD336+AD358)*$I336*($F305*AD$247+$G305*AD$248)+(AD347*$J336+AD369)*($F316*AD$308+$G316*AD$248)</f>
        <v>0</v>
      </c>
      <c r="AE398" s="72">
        <f>(AE336+AE358)*$I336*($F305*AE$247+$G305*AE$248)+(AE347*$J336+AE369)*($F316*AE$308+$G316*AE$248)</f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>(L337+L359)*$I337*($F306*L$247+$G306*L$248)+(L348*$J337+L370)*($F317*L$308+$G317*L$248)</f>
        <v>0</v>
      </c>
      <c r="M399" s="72">
        <f>(M337+M359)*$I337*($F306*M$247+$G306*M$248)+(M348*$J337+M370)*($F317*M$308+$G317*M$248)</f>
        <v>0</v>
      </c>
      <c r="N399" s="72">
        <f>(N337+N359)*$I337*($F306*N$247+$G306*N$248)+(N348*$J337+N370)*($F317*N$308+$G317*N$248)</f>
        <v>0</v>
      </c>
      <c r="O399" s="72">
        <f>(O337+O359)*$I337*($F306*O$247+$G306*O$248)+(O348*$J337+O370)*($F317*O$308+$G317*O$248)</f>
        <v>0</v>
      </c>
      <c r="P399" s="72">
        <f>(P337+P359)*$I337*($F306*P$247+$G306*P$248)+(P348*$J337+P370)*($F317*P$308+$G317*P$248)</f>
        <v>0</v>
      </c>
      <c r="Q399" s="72">
        <f>(Q337+Q359)*$I337*($F306*Q$247+$G306*Q$248)+(Q348*$J337+Q370)*($F317*Q$308+$G317*Q$248)</f>
        <v>0</v>
      </c>
      <c r="R399" s="72">
        <f>(R337+R359)*$I337*($F306*R$247+$G306*R$248)+(R348*$J337+R370)*($F317*R$308+$G317*R$248)</f>
        <v>0</v>
      </c>
      <c r="S399" s="72">
        <f>(S337+S359)*$I337*($F306*S$247+$G306*S$248)+(S348*$J337+S370)*($F317*S$308+$G317*S$248)</f>
        <v>0</v>
      </c>
      <c r="T399" s="72">
        <f>(T337+T359)*$I337*($F306*T$247+$G306*T$248)+(T348*$J337+T370)*($F317*T$308+$G317*T$248)</f>
        <v>0</v>
      </c>
      <c r="U399" s="72">
        <f>(U337+U359)*$I337*($F306*U$247+$G306*U$248)+(U348*$J337+U370)*($F317*U$308+$G317*U$248)</f>
        <v>0</v>
      </c>
      <c r="V399" s="72">
        <f>(V337+V359)*$I337*($F306*V$247+$G306*V$248)+(V348*$J337+V370)*($F317*V$308+$G317*V$248)</f>
        <v>0</v>
      </c>
      <c r="W399" s="72">
        <f>(W337+W359)*$I337*($F306*W$247+$G306*W$248)+(W348*$J337+W370)*($F317*W$308+$G317*W$248)</f>
        <v>0</v>
      </c>
      <c r="X399" s="72">
        <f>(X337+X359)*$I337*($F306*X$247+$G306*X$248)+(X348*$J337+X370)*($F317*X$308+$G317*X$248)</f>
        <v>0</v>
      </c>
      <c r="Y399" s="72">
        <f>(Y337+Y359)*$I337*($F306*Y$247+$G306*Y$248)+(Y348*$J337+Y370)*($F317*Y$308+$G317*Y$248)</f>
        <v>0</v>
      </c>
      <c r="Z399" s="72">
        <f>(Z337+Z359)*$I337*($F306*Z$247+$G306*Z$248)+(Z348*$J337+Z370)*($F317*Z$308+$G317*Z$248)</f>
        <v>0</v>
      </c>
      <c r="AA399" s="72">
        <f>(AA337+AA359)*$I337*($F306*AA$247+$G306*AA$248)+(AA348*$J337+AA370)*($F317*AA$308+$G317*AA$248)</f>
        <v>0</v>
      </c>
      <c r="AB399" s="72">
        <f>(AB337+AB359)*$I337*($F306*AB$247+$G306*AB$248)+(AB348*$J337+AB370)*($F317*AB$308+$G317*AB$248)</f>
        <v>0</v>
      </c>
      <c r="AC399" s="72">
        <f>(AC337+AC359)*$I337*($F306*AC$247+$G306*AC$248)+(AC348*$J337+AC370)*($F317*AC$308+$G317*AC$248)</f>
        <v>0</v>
      </c>
      <c r="AD399" s="72">
        <f>(AD337+AD359)*$I337*($F306*AD$247+$G306*AD$248)+(AD348*$J337+AD370)*($F317*AD$308+$G317*AD$248)</f>
        <v>0</v>
      </c>
      <c r="AE399" s="72">
        <f>(AE337+AE359)*$I337*($F306*AE$247+$G306*AE$248)+(AE348*$J337+AE370)*($F317*AE$308+$G317*AE$248)</f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1877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1879</v>
      </c>
      <c r="J400" s="70"/>
      <c r="K400" s="72"/>
      <c r="L400" s="72">
        <f t="shared" ref="L400:AE400" si="182">SUM(L392:L399)</f>
        <v>0</v>
      </c>
      <c r="M400" s="72">
        <f t="shared" si="182"/>
        <v>0</v>
      </c>
      <c r="N400" s="72">
        <f t="shared" si="182"/>
        <v>0</v>
      </c>
      <c r="O400" s="72">
        <f t="shared" si="182"/>
        <v>0</v>
      </c>
      <c r="P400" s="72">
        <f t="shared" si="182"/>
        <v>0</v>
      </c>
      <c r="Q400" s="72">
        <f t="shared" si="182"/>
        <v>0</v>
      </c>
      <c r="R400" s="72">
        <f t="shared" si="182"/>
        <v>0</v>
      </c>
      <c r="S400" s="72">
        <f t="shared" si="182"/>
        <v>0</v>
      </c>
      <c r="T400" s="72">
        <f t="shared" si="182"/>
        <v>0</v>
      </c>
      <c r="U400" s="72">
        <f t="shared" si="182"/>
        <v>0</v>
      </c>
      <c r="V400" s="72">
        <f t="shared" si="182"/>
        <v>0</v>
      </c>
      <c r="W400" s="72">
        <f t="shared" si="182"/>
        <v>0</v>
      </c>
      <c r="X400" s="72">
        <f t="shared" si="182"/>
        <v>0</v>
      </c>
      <c r="Y400" s="72">
        <f t="shared" si="182"/>
        <v>0</v>
      </c>
      <c r="Z400" s="72">
        <f t="shared" si="182"/>
        <v>0</v>
      </c>
      <c r="AA400" s="72">
        <f t="shared" si="182"/>
        <v>0</v>
      </c>
      <c r="AB400" s="72">
        <f t="shared" si="182"/>
        <v>0</v>
      </c>
      <c r="AC400" s="72">
        <f t="shared" si="182"/>
        <v>0</v>
      </c>
      <c r="AD400" s="72">
        <f t="shared" si="182"/>
        <v>0</v>
      </c>
      <c r="AE400" s="72">
        <f t="shared" si="182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83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83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83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83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83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83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83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83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83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84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84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84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84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84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84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84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84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84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85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85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85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85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85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85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85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85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85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86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86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86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86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86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86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86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86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86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87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188">L453*(1+M$438)^($E443*M$439)*(1+M$440)*IF(L416&lt;=0,1,M416/L416)^$F443*(IF(L426&lt;=0,1,M426/L426)^$G443/(1+$H443+$I443))^(1+$F443)</f>
        <v>189.45265610688699</v>
      </c>
      <c r="N453" s="24">
        <f t="shared" si="188"/>
        <v>217.72883870914094</v>
      </c>
      <c r="O453" s="24">
        <f t="shared" si="188"/>
        <v>237.89793015048883</v>
      </c>
      <c r="P453" s="24">
        <f t="shared" si="188"/>
        <v>232.65006903124424</v>
      </c>
      <c r="Q453" s="24">
        <f t="shared" si="188"/>
        <v>218.61847136811463</v>
      </c>
      <c r="R453" s="24">
        <f t="shared" si="188"/>
        <v>210.28498690349488</v>
      </c>
      <c r="S453" s="24">
        <f t="shared" si="188"/>
        <v>203.14643963897521</v>
      </c>
      <c r="T453" s="24">
        <f t="shared" si="188"/>
        <v>196.84230886321788</v>
      </c>
      <c r="U453" s="24">
        <f t="shared" si="188"/>
        <v>191.39075749537983</v>
      </c>
      <c r="V453" s="24">
        <f t="shared" si="188"/>
        <v>186.2178811492559</v>
      </c>
      <c r="W453" s="24">
        <f t="shared" si="188"/>
        <v>181.78008799508211</v>
      </c>
      <c r="X453" s="24">
        <f t="shared" si="188"/>
        <v>177.97349187208462</v>
      </c>
      <c r="Y453" s="24">
        <f t="shared" si="188"/>
        <v>174.72635256308322</v>
      </c>
      <c r="Z453" s="24">
        <f t="shared" si="188"/>
        <v>171.99928670368777</v>
      </c>
      <c r="AA453" s="24">
        <f t="shared" si="188"/>
        <v>169.74391219112042</v>
      </c>
      <c r="AB453" s="24">
        <f t="shared" si="188"/>
        <v>167.91465652501745</v>
      </c>
      <c r="AC453" s="24">
        <f t="shared" si="188"/>
        <v>166.45600964782685</v>
      </c>
      <c r="AD453" s="24">
        <f t="shared" si="188"/>
        <v>165.32123471166477</v>
      </c>
      <c r="AE453" s="24">
        <f t="shared" si="188"/>
        <v>164.47316873515103</v>
      </c>
    </row>
    <row r="454" spans="1:35" x14ac:dyDescent="0.45">
      <c r="B454" s="14" t="s">
        <v>53</v>
      </c>
      <c r="C454" s="14" t="str">
        <f t="shared" si="187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189">L454*(1+M$438)^($E444*M$439)*(1+M$440)*IF(L417&lt;=0,1,M417/L417)^$F444*(IF(L427&lt;=0,1,M427/L427)^$G444/(1+$H444+$I444))^(1+$F444)</f>
        <v>1431.7775208824874</v>
      </c>
      <c r="N454" s="24">
        <f t="shared" si="189"/>
        <v>1603.1180815212331</v>
      </c>
      <c r="O454" s="24">
        <f t="shared" si="189"/>
        <v>1666.4691074748598</v>
      </c>
      <c r="P454" s="24">
        <f t="shared" si="189"/>
        <v>1729.0519522219979</v>
      </c>
      <c r="Q454" s="24">
        <f t="shared" si="189"/>
        <v>1637.7863258003924</v>
      </c>
      <c r="R454" s="24">
        <f t="shared" si="189"/>
        <v>1578.6642302926864</v>
      </c>
      <c r="S454" s="24">
        <f t="shared" si="189"/>
        <v>1529.186426457856</v>
      </c>
      <c r="T454" s="24">
        <f t="shared" si="189"/>
        <v>1485.5462441642121</v>
      </c>
      <c r="U454" s="24">
        <f t="shared" si="189"/>
        <v>1450.0773513762758</v>
      </c>
      <c r="V454" s="24">
        <f t="shared" si="189"/>
        <v>1421.68890759584</v>
      </c>
      <c r="W454" s="24">
        <f t="shared" si="189"/>
        <v>1399.5811578972732</v>
      </c>
      <c r="X454" s="24">
        <f t="shared" si="189"/>
        <v>1383.0540457815339</v>
      </c>
      <c r="Y454" s="24">
        <f t="shared" si="189"/>
        <v>1371.7254363432983</v>
      </c>
      <c r="Z454" s="24">
        <f t="shared" si="189"/>
        <v>1365.5951108489835</v>
      </c>
      <c r="AA454" s="24">
        <f t="shared" si="189"/>
        <v>1364.4341895239882</v>
      </c>
      <c r="AB454" s="24">
        <f t="shared" si="189"/>
        <v>1367.9863527047892</v>
      </c>
      <c r="AC454" s="24">
        <f t="shared" si="189"/>
        <v>1375.7703000424308</v>
      </c>
      <c r="AD454" s="24">
        <f t="shared" si="189"/>
        <v>1387.3865840128042</v>
      </c>
      <c r="AE454" s="24">
        <f t="shared" si="189"/>
        <v>1402.5434936424028</v>
      </c>
    </row>
    <row r="455" spans="1:35" x14ac:dyDescent="0.45">
      <c r="B455" s="14" t="s">
        <v>55</v>
      </c>
      <c r="C455" s="14" t="str">
        <f t="shared" si="187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190">L455*(1+M$438)^($E445*M$439)*(1+M$440)*IF(L418&lt;=0,1,M418/L418)^$F445*(IF(L428&lt;=0,1,M428/L428)^$G445/(1+$H445+$I445))^(1+$F445)</f>
        <v>0</v>
      </c>
      <c r="N455" s="24">
        <f t="shared" si="190"/>
        <v>0</v>
      </c>
      <c r="O455" s="24">
        <f t="shared" si="190"/>
        <v>0</v>
      </c>
      <c r="P455" s="24">
        <f t="shared" si="190"/>
        <v>0</v>
      </c>
      <c r="Q455" s="24">
        <f t="shared" si="190"/>
        <v>0</v>
      </c>
      <c r="R455" s="24">
        <f t="shared" si="190"/>
        <v>0</v>
      </c>
      <c r="S455" s="24">
        <f t="shared" si="190"/>
        <v>0</v>
      </c>
      <c r="T455" s="24">
        <f t="shared" si="190"/>
        <v>0</v>
      </c>
      <c r="U455" s="24">
        <f t="shared" si="190"/>
        <v>0</v>
      </c>
      <c r="V455" s="24">
        <f t="shared" si="190"/>
        <v>0</v>
      </c>
      <c r="W455" s="24">
        <f t="shared" si="190"/>
        <v>0</v>
      </c>
      <c r="X455" s="24">
        <f t="shared" si="190"/>
        <v>0</v>
      </c>
      <c r="Y455" s="24">
        <f t="shared" si="190"/>
        <v>0</v>
      </c>
      <c r="Z455" s="24">
        <f t="shared" si="190"/>
        <v>0</v>
      </c>
      <c r="AA455" s="24">
        <f t="shared" si="190"/>
        <v>0</v>
      </c>
      <c r="AB455" s="24">
        <f t="shared" si="190"/>
        <v>0</v>
      </c>
      <c r="AC455" s="24">
        <f t="shared" si="190"/>
        <v>0</v>
      </c>
      <c r="AD455" s="24">
        <f t="shared" si="190"/>
        <v>0</v>
      </c>
      <c r="AE455" s="24">
        <f t="shared" si="190"/>
        <v>0</v>
      </c>
    </row>
    <row r="456" spans="1:35" x14ac:dyDescent="0.45">
      <c r="B456" s="14" t="s">
        <v>58</v>
      </c>
      <c r="C456" s="14" t="str">
        <f t="shared" si="187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191">L456*(1+M$438)^($E446*M$439)*(1+M$440)*IF(L419&lt;=0,1,M419/L419)^$F446*(IF(L429&lt;=0,1,M429/L429)^$G446/(1+$H446+$I446))^(1+$F446)</f>
        <v>0</v>
      </c>
      <c r="N456" s="24">
        <f t="shared" si="191"/>
        <v>0</v>
      </c>
      <c r="O456" s="24">
        <f t="shared" si="191"/>
        <v>0</v>
      </c>
      <c r="P456" s="24">
        <f t="shared" si="191"/>
        <v>0</v>
      </c>
      <c r="Q456" s="24">
        <f t="shared" si="191"/>
        <v>0</v>
      </c>
      <c r="R456" s="24">
        <f t="shared" si="191"/>
        <v>0</v>
      </c>
      <c r="S456" s="24">
        <f t="shared" si="191"/>
        <v>0</v>
      </c>
      <c r="T456" s="24">
        <f t="shared" si="191"/>
        <v>0</v>
      </c>
      <c r="U456" s="24">
        <f t="shared" si="191"/>
        <v>0</v>
      </c>
      <c r="V456" s="24">
        <f t="shared" si="191"/>
        <v>0</v>
      </c>
      <c r="W456" s="24">
        <f t="shared" si="191"/>
        <v>0</v>
      </c>
      <c r="X456" s="24">
        <f t="shared" si="191"/>
        <v>0</v>
      </c>
      <c r="Y456" s="24">
        <f t="shared" si="191"/>
        <v>0</v>
      </c>
      <c r="Z456" s="24">
        <f t="shared" si="191"/>
        <v>0</v>
      </c>
      <c r="AA456" s="24">
        <f t="shared" si="191"/>
        <v>0</v>
      </c>
      <c r="AB456" s="24">
        <f t="shared" si="191"/>
        <v>0</v>
      </c>
      <c r="AC456" s="24">
        <f t="shared" si="191"/>
        <v>0</v>
      </c>
      <c r="AD456" s="24">
        <f t="shared" si="191"/>
        <v>0</v>
      </c>
      <c r="AE456" s="24">
        <f t="shared" si="191"/>
        <v>0</v>
      </c>
    </row>
    <row r="457" spans="1:35" x14ac:dyDescent="0.45">
      <c r="B457" s="14" t="s">
        <v>60</v>
      </c>
      <c r="C457" s="14" t="str">
        <f t="shared" si="187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192">L457*(1+M$438)^($E447*M$439)*(1+M$440)*IF(L420&lt;=0,1,M420/L420)^$F447*(IF(L430&lt;=0,1,M430/L430)^$G447/(1+$H447+$I447))^(1+$F447)</f>
        <v>0</v>
      </c>
      <c r="N457" s="24">
        <f t="shared" si="192"/>
        <v>0</v>
      </c>
      <c r="O457" s="24">
        <f t="shared" si="192"/>
        <v>0</v>
      </c>
      <c r="P457" s="24">
        <f t="shared" si="192"/>
        <v>0</v>
      </c>
      <c r="Q457" s="24">
        <f t="shared" si="192"/>
        <v>0</v>
      </c>
      <c r="R457" s="24">
        <f t="shared" si="192"/>
        <v>0</v>
      </c>
      <c r="S457" s="24">
        <f t="shared" si="192"/>
        <v>0</v>
      </c>
      <c r="T457" s="24">
        <f t="shared" si="192"/>
        <v>0</v>
      </c>
      <c r="U457" s="24">
        <f t="shared" si="192"/>
        <v>0</v>
      </c>
      <c r="V457" s="24">
        <f t="shared" si="192"/>
        <v>0</v>
      </c>
      <c r="W457" s="24">
        <f t="shared" si="192"/>
        <v>0</v>
      </c>
      <c r="X457" s="24">
        <f t="shared" si="192"/>
        <v>0</v>
      </c>
      <c r="Y457" s="24">
        <f t="shared" si="192"/>
        <v>0</v>
      </c>
      <c r="Z457" s="24">
        <f t="shared" si="192"/>
        <v>0</v>
      </c>
      <c r="AA457" s="24">
        <f t="shared" si="192"/>
        <v>0</v>
      </c>
      <c r="AB457" s="24">
        <f t="shared" si="192"/>
        <v>0</v>
      </c>
      <c r="AC457" s="24">
        <f t="shared" si="192"/>
        <v>0</v>
      </c>
      <c r="AD457" s="24">
        <f t="shared" si="192"/>
        <v>0</v>
      </c>
      <c r="AE457" s="24">
        <f t="shared" si="192"/>
        <v>0</v>
      </c>
    </row>
    <row r="458" spans="1:35" x14ac:dyDescent="0.45">
      <c r="B458" s="14" t="s">
        <v>62</v>
      </c>
      <c r="C458" s="14" t="str">
        <f t="shared" si="187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193">L458*(1+M$438)^($E448*M$439)*(1+M$440)*IF(L421&lt;=0,1,M421/L421)^$F448*(IF(L431&lt;=0,1,M431/L431)^$G448/(1+$H448+$I448))^(1+$F448)</f>
        <v>0</v>
      </c>
      <c r="N458" s="24">
        <f t="shared" si="193"/>
        <v>0</v>
      </c>
      <c r="O458" s="24">
        <f t="shared" si="193"/>
        <v>0</v>
      </c>
      <c r="P458" s="24">
        <f t="shared" si="193"/>
        <v>0</v>
      </c>
      <c r="Q458" s="24">
        <f t="shared" si="193"/>
        <v>0</v>
      </c>
      <c r="R458" s="24">
        <f t="shared" si="193"/>
        <v>0</v>
      </c>
      <c r="S458" s="24">
        <f t="shared" si="193"/>
        <v>0</v>
      </c>
      <c r="T458" s="24">
        <f t="shared" si="193"/>
        <v>0</v>
      </c>
      <c r="U458" s="24">
        <f t="shared" si="193"/>
        <v>0</v>
      </c>
      <c r="V458" s="24">
        <f t="shared" si="193"/>
        <v>0</v>
      </c>
      <c r="W458" s="24">
        <f t="shared" si="193"/>
        <v>0</v>
      </c>
      <c r="X458" s="24">
        <f t="shared" si="193"/>
        <v>0</v>
      </c>
      <c r="Y458" s="24">
        <f t="shared" si="193"/>
        <v>0</v>
      </c>
      <c r="Z458" s="24">
        <f t="shared" si="193"/>
        <v>0</v>
      </c>
      <c r="AA458" s="24">
        <f t="shared" si="193"/>
        <v>0</v>
      </c>
      <c r="AB458" s="24">
        <f t="shared" si="193"/>
        <v>0</v>
      </c>
      <c r="AC458" s="24">
        <f t="shared" si="193"/>
        <v>0</v>
      </c>
      <c r="AD458" s="24">
        <f t="shared" si="193"/>
        <v>0</v>
      </c>
      <c r="AE458" s="24">
        <f t="shared" si="193"/>
        <v>0</v>
      </c>
    </row>
    <row r="459" spans="1:35" x14ac:dyDescent="0.45">
      <c r="B459" s="14" t="s">
        <v>64</v>
      </c>
      <c r="C459" s="14" t="str">
        <f t="shared" si="187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194">L459*(1+M$438)^($E449*M$439)*(1+M$440)*IF(L422&lt;=0,1,M422/L422)^$F449*(IF(L432&lt;=0,1,M432/L432)^$G449/(1+$H449+$I449))^(1+$F449)</f>
        <v>0</v>
      </c>
      <c r="N459" s="24">
        <f t="shared" si="194"/>
        <v>0</v>
      </c>
      <c r="O459" s="24">
        <f t="shared" si="194"/>
        <v>0</v>
      </c>
      <c r="P459" s="24">
        <f t="shared" si="194"/>
        <v>0</v>
      </c>
      <c r="Q459" s="24">
        <f t="shared" si="194"/>
        <v>0</v>
      </c>
      <c r="R459" s="24">
        <f t="shared" si="194"/>
        <v>0</v>
      </c>
      <c r="S459" s="24">
        <f t="shared" si="194"/>
        <v>0</v>
      </c>
      <c r="T459" s="24">
        <f t="shared" si="194"/>
        <v>0</v>
      </c>
      <c r="U459" s="24">
        <f t="shared" si="194"/>
        <v>0</v>
      </c>
      <c r="V459" s="24">
        <f t="shared" si="194"/>
        <v>0</v>
      </c>
      <c r="W459" s="24">
        <f t="shared" si="194"/>
        <v>0</v>
      </c>
      <c r="X459" s="24">
        <f t="shared" si="194"/>
        <v>0</v>
      </c>
      <c r="Y459" s="24">
        <f t="shared" si="194"/>
        <v>0</v>
      </c>
      <c r="Z459" s="24">
        <f t="shared" si="194"/>
        <v>0</v>
      </c>
      <c r="AA459" s="24">
        <f t="shared" si="194"/>
        <v>0</v>
      </c>
      <c r="AB459" s="24">
        <f t="shared" si="194"/>
        <v>0</v>
      </c>
      <c r="AC459" s="24">
        <f t="shared" si="194"/>
        <v>0</v>
      </c>
      <c r="AD459" s="24">
        <f t="shared" si="194"/>
        <v>0</v>
      </c>
      <c r="AE459" s="24">
        <f t="shared" si="194"/>
        <v>0</v>
      </c>
    </row>
    <row r="460" spans="1:35" x14ac:dyDescent="0.45">
      <c r="B460" s="14" t="s">
        <v>67</v>
      </c>
      <c r="C460" s="14" t="str">
        <f t="shared" si="187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195">L460*(1+M$438)^($E450*M$439)*(1+M$440)*IF(L423&lt;=0,1,M423/L423)^$F450*(IF(L433&lt;=0,1,M433/L433)^$G450/(1+$H450+$I450))^(1+$F450)</f>
        <v>0</v>
      </c>
      <c r="N460" s="24">
        <f t="shared" si="195"/>
        <v>0</v>
      </c>
      <c r="O460" s="24">
        <f t="shared" si="195"/>
        <v>0</v>
      </c>
      <c r="P460" s="24">
        <f t="shared" si="195"/>
        <v>0</v>
      </c>
      <c r="Q460" s="24">
        <f t="shared" si="195"/>
        <v>0</v>
      </c>
      <c r="R460" s="24">
        <f t="shared" si="195"/>
        <v>0</v>
      </c>
      <c r="S460" s="24">
        <f t="shared" si="195"/>
        <v>0</v>
      </c>
      <c r="T460" s="24">
        <f t="shared" si="195"/>
        <v>0</v>
      </c>
      <c r="U460" s="24">
        <f t="shared" si="195"/>
        <v>0</v>
      </c>
      <c r="V460" s="24">
        <f t="shared" si="195"/>
        <v>0</v>
      </c>
      <c r="W460" s="24">
        <f t="shared" si="195"/>
        <v>0</v>
      </c>
      <c r="X460" s="24">
        <f t="shared" si="195"/>
        <v>0</v>
      </c>
      <c r="Y460" s="24">
        <f t="shared" si="195"/>
        <v>0</v>
      </c>
      <c r="Z460" s="24">
        <f t="shared" si="195"/>
        <v>0</v>
      </c>
      <c r="AA460" s="24">
        <f t="shared" si="195"/>
        <v>0</v>
      </c>
      <c r="AB460" s="24">
        <f t="shared" si="195"/>
        <v>0</v>
      </c>
      <c r="AC460" s="24">
        <f t="shared" si="195"/>
        <v>0</v>
      </c>
      <c r="AD460" s="24">
        <f t="shared" si="195"/>
        <v>0</v>
      </c>
      <c r="AE460" s="24">
        <f t="shared" si="195"/>
        <v>0</v>
      </c>
    </row>
    <row r="461" spans="1:35" x14ac:dyDescent="0.45">
      <c r="B461" s="14" t="s">
        <v>69</v>
      </c>
      <c r="C461" s="14" t="str">
        <f t="shared" si="187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196">L461*(1+M$438)^($E451*M$439)*(1+M$440)*IF(L424&lt;=0,1,M424/L424)^$F451*(IF(L434&lt;=0,1,M434/L434)^$G451/(1+$H451+$I451))^(1+$F451)</f>
        <v>0</v>
      </c>
      <c r="N461" s="24">
        <f t="shared" si="196"/>
        <v>0</v>
      </c>
      <c r="O461" s="24">
        <f t="shared" si="196"/>
        <v>0</v>
      </c>
      <c r="P461" s="24">
        <f t="shared" si="196"/>
        <v>0</v>
      </c>
      <c r="Q461" s="24">
        <f t="shared" si="196"/>
        <v>0</v>
      </c>
      <c r="R461" s="24">
        <f t="shared" si="196"/>
        <v>0</v>
      </c>
      <c r="S461" s="24">
        <f t="shared" si="196"/>
        <v>0</v>
      </c>
      <c r="T461" s="24">
        <f t="shared" si="196"/>
        <v>0</v>
      </c>
      <c r="U461" s="24">
        <f t="shared" si="196"/>
        <v>0</v>
      </c>
      <c r="V461" s="24">
        <f t="shared" si="196"/>
        <v>0</v>
      </c>
      <c r="W461" s="24">
        <f t="shared" si="196"/>
        <v>0</v>
      </c>
      <c r="X461" s="24">
        <f t="shared" si="196"/>
        <v>0</v>
      </c>
      <c r="Y461" s="24">
        <f t="shared" si="196"/>
        <v>0</v>
      </c>
      <c r="Z461" s="24">
        <f t="shared" si="196"/>
        <v>0</v>
      </c>
      <c r="AA461" s="24">
        <f t="shared" si="196"/>
        <v>0</v>
      </c>
      <c r="AB461" s="24">
        <f t="shared" si="196"/>
        <v>0</v>
      </c>
      <c r="AC461" s="24">
        <f t="shared" si="196"/>
        <v>0</v>
      </c>
      <c r="AD461" s="24">
        <f t="shared" si="196"/>
        <v>0</v>
      </c>
      <c r="AE461" s="24">
        <f t="shared" si="196"/>
        <v>0</v>
      </c>
    </row>
    <row r="462" spans="1:35" x14ac:dyDescent="0.45">
      <c r="B462" s="14" t="s">
        <v>110</v>
      </c>
      <c r="C462" s="14" t="str">
        <f t="shared" si="187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97">SUM(L453:L461)</f>
        <v>1901.7140738122609</v>
      </c>
      <c r="M462" s="26">
        <f t="shared" si="197"/>
        <v>1621.2301769893743</v>
      </c>
      <c r="N462" s="26">
        <f t="shared" si="197"/>
        <v>1820.8469202303741</v>
      </c>
      <c r="O462" s="26">
        <f t="shared" si="197"/>
        <v>1904.3670376253485</v>
      </c>
      <c r="P462" s="26">
        <f t="shared" si="197"/>
        <v>1961.702021253242</v>
      </c>
      <c r="Q462" s="26">
        <f t="shared" si="197"/>
        <v>1856.404797168507</v>
      </c>
      <c r="R462" s="26">
        <f t="shared" si="197"/>
        <v>1788.9492171961813</v>
      </c>
      <c r="S462" s="26">
        <f t="shared" si="197"/>
        <v>1732.3328660968311</v>
      </c>
      <c r="T462" s="26">
        <f t="shared" si="197"/>
        <v>1682.3885530274299</v>
      </c>
      <c r="U462" s="26">
        <f t="shared" si="197"/>
        <v>1641.4681088716557</v>
      </c>
      <c r="V462" s="26">
        <f t="shared" si="197"/>
        <v>1607.9067887450958</v>
      </c>
      <c r="W462" s="26">
        <f t="shared" si="197"/>
        <v>1581.3612458923553</v>
      </c>
      <c r="X462" s="26">
        <f t="shared" si="197"/>
        <v>1561.0275376536185</v>
      </c>
      <c r="Y462" s="26">
        <f t="shared" si="197"/>
        <v>1546.4517889063816</v>
      </c>
      <c r="Z462" s="26">
        <f t="shared" si="197"/>
        <v>1537.5943975526714</v>
      </c>
      <c r="AA462" s="26">
        <f t="shared" si="197"/>
        <v>1534.1781017151086</v>
      </c>
      <c r="AB462" s="26">
        <f t="shared" si="197"/>
        <v>1535.9010092298067</v>
      </c>
      <c r="AC462" s="26">
        <f t="shared" si="197"/>
        <v>1542.2263096902577</v>
      </c>
      <c r="AD462" s="26">
        <f t="shared" si="197"/>
        <v>1552.707818724469</v>
      </c>
      <c r="AE462" s="26">
        <f t="shared" si="197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98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98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98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98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98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98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98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98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98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99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99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99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99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99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99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99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99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99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00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00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00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00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00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00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00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00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00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01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01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01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01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01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01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01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01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01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02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03">L513*(1+M$498)^($E503*M$499)*(1+M$500)*IF(L476&lt;=0,1,M476/L476)^$F503*(IF(L486&lt;=0,1,M486/L486)^$G503/(1+$H503+$I503))^(1+$F503)</f>
        <v>1191.3644362517186</v>
      </c>
      <c r="N513" s="24">
        <f t="shared" si="203"/>
        <v>1369.1779282213379</v>
      </c>
      <c r="O513" s="24">
        <f t="shared" si="203"/>
        <v>1496.0103450821184</v>
      </c>
      <c r="P513" s="24">
        <f t="shared" si="203"/>
        <v>1463.0094084242087</v>
      </c>
      <c r="Q513" s="24">
        <f t="shared" si="203"/>
        <v>1374.7723428524598</v>
      </c>
      <c r="R513" s="24">
        <f t="shared" si="203"/>
        <v>1322.3676037201524</v>
      </c>
      <c r="S513" s="24">
        <f t="shared" si="203"/>
        <v>1277.4771729802817</v>
      </c>
      <c r="T513" s="24">
        <f t="shared" si="203"/>
        <v>1237.8339324892117</v>
      </c>
      <c r="U513" s="24">
        <f t="shared" si="203"/>
        <v>1203.5520989403735</v>
      </c>
      <c r="V513" s="24">
        <f t="shared" si="203"/>
        <v>1171.0227006276741</v>
      </c>
      <c r="W513" s="24">
        <f t="shared" si="203"/>
        <v>1143.1158396315363</v>
      </c>
      <c r="X513" s="24">
        <f t="shared" si="203"/>
        <v>1119.1782325411702</v>
      </c>
      <c r="Y513" s="24">
        <f t="shared" si="203"/>
        <v>1098.7587442542565</v>
      </c>
      <c r="Z513" s="24">
        <f t="shared" si="203"/>
        <v>1081.6097142698629</v>
      </c>
      <c r="AA513" s="24">
        <f t="shared" si="203"/>
        <v>1067.4268939287992</v>
      </c>
      <c r="AB513" s="24">
        <f t="shared" si="203"/>
        <v>1055.9237026292408</v>
      </c>
      <c r="AC513" s="24">
        <f t="shared" si="203"/>
        <v>1046.7510678916517</v>
      </c>
      <c r="AD513" s="24">
        <f t="shared" si="203"/>
        <v>1039.6150871676307</v>
      </c>
      <c r="AE513" s="24">
        <f t="shared" si="203"/>
        <v>1034.2820627341093</v>
      </c>
    </row>
    <row r="514" spans="1:35" x14ac:dyDescent="0.45">
      <c r="B514" s="14" t="s">
        <v>53</v>
      </c>
      <c r="C514" s="14" t="str">
        <f t="shared" si="202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04">L514*(1+M$498)^($E504*M$499)*(1+M$500)*IF(L477&lt;=0,1,M477/L477)^$F504*(IF(L487&lt;=0,1,M487/L487)^$G504/(1+$H504+$I504))^(1+$F504)</f>
        <v>1498.9759731403976</v>
      </c>
      <c r="N514" s="24">
        <f t="shared" si="204"/>
        <v>1678.358160579395</v>
      </c>
      <c r="O514" s="24">
        <f t="shared" si="204"/>
        <v>1744.6824773068638</v>
      </c>
      <c r="P514" s="24">
        <f t="shared" si="204"/>
        <v>1810.2025593297435</v>
      </c>
      <c r="Q514" s="24">
        <f t="shared" si="204"/>
        <v>1714.6535098550225</v>
      </c>
      <c r="R514" s="24">
        <f t="shared" si="204"/>
        <v>1652.7566024408457</v>
      </c>
      <c r="S514" s="24">
        <f t="shared" si="204"/>
        <v>1600.9566278844272</v>
      </c>
      <c r="T514" s="24">
        <f t="shared" si="204"/>
        <v>1555.2682553771401</v>
      </c>
      <c r="U514" s="24">
        <f t="shared" si="204"/>
        <v>1518.134680287737</v>
      </c>
      <c r="V514" s="24">
        <f t="shared" si="204"/>
        <v>1488.4138650625532</v>
      </c>
      <c r="W514" s="24">
        <f t="shared" si="204"/>
        <v>1465.2685194100193</v>
      </c>
      <c r="X514" s="24">
        <f t="shared" si="204"/>
        <v>1447.9657306697538</v>
      </c>
      <c r="Y514" s="24">
        <f t="shared" si="204"/>
        <v>1436.1054289752974</v>
      </c>
      <c r="Z514" s="24">
        <f t="shared" si="204"/>
        <v>1429.6873853271168</v>
      </c>
      <c r="AA514" s="24">
        <f t="shared" si="204"/>
        <v>1428.4719778022093</v>
      </c>
      <c r="AB514" s="24">
        <f t="shared" si="204"/>
        <v>1432.1908567362859</v>
      </c>
      <c r="AC514" s="24">
        <f t="shared" si="204"/>
        <v>1440.340132629459</v>
      </c>
      <c r="AD514" s="24">
        <f t="shared" si="204"/>
        <v>1452.5016104532156</v>
      </c>
      <c r="AE514" s="24">
        <f t="shared" si="204"/>
        <v>1468.3698881922217</v>
      </c>
    </row>
    <row r="515" spans="1:35" x14ac:dyDescent="0.45">
      <c r="B515" s="14" t="s">
        <v>55</v>
      </c>
      <c r="C515" s="14" t="str">
        <f t="shared" si="202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05">L515*(1+M$498)^($E505*M$499)*(1+M$500)*IF(L478&lt;=0,1,M478/L478)^$F505*(IF(L488&lt;=0,1,M488/L488)^$G505/(1+$H505+$I505))^(1+$F505)</f>
        <v>0</v>
      </c>
      <c r="N515" s="24">
        <f t="shared" si="205"/>
        <v>0</v>
      </c>
      <c r="O515" s="24">
        <f t="shared" si="205"/>
        <v>0</v>
      </c>
      <c r="P515" s="24">
        <f t="shared" si="205"/>
        <v>0</v>
      </c>
      <c r="Q515" s="24">
        <f t="shared" si="205"/>
        <v>0</v>
      </c>
      <c r="R515" s="24">
        <f t="shared" si="205"/>
        <v>0</v>
      </c>
      <c r="S515" s="24">
        <f t="shared" si="205"/>
        <v>0</v>
      </c>
      <c r="T515" s="24">
        <f t="shared" si="205"/>
        <v>0</v>
      </c>
      <c r="U515" s="24">
        <f t="shared" si="205"/>
        <v>0</v>
      </c>
      <c r="V515" s="24">
        <f t="shared" si="205"/>
        <v>0</v>
      </c>
      <c r="W515" s="24">
        <f t="shared" si="205"/>
        <v>0</v>
      </c>
      <c r="X515" s="24">
        <f t="shared" si="205"/>
        <v>0</v>
      </c>
      <c r="Y515" s="24">
        <f t="shared" si="205"/>
        <v>0</v>
      </c>
      <c r="Z515" s="24">
        <f t="shared" si="205"/>
        <v>0</v>
      </c>
      <c r="AA515" s="24">
        <f t="shared" si="205"/>
        <v>0</v>
      </c>
      <c r="AB515" s="24">
        <f t="shared" si="205"/>
        <v>0</v>
      </c>
      <c r="AC515" s="24">
        <f t="shared" si="205"/>
        <v>0</v>
      </c>
      <c r="AD515" s="24">
        <f t="shared" si="205"/>
        <v>0</v>
      </c>
      <c r="AE515" s="24">
        <f t="shared" si="205"/>
        <v>0</v>
      </c>
    </row>
    <row r="516" spans="1:35" x14ac:dyDescent="0.45">
      <c r="B516" s="14" t="s">
        <v>58</v>
      </c>
      <c r="C516" s="14" t="str">
        <f t="shared" si="202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06">L516*(1+M$498)^($E506*M$499)*(1+M$500)*IF(L479&lt;=0,1,M479/L479)^$F506*(IF(L489&lt;=0,1,M489/L489)^$G506/(1+$H506+$I506))^(1+$F506)</f>
        <v>0</v>
      </c>
      <c r="N516" s="24">
        <f t="shared" si="206"/>
        <v>0</v>
      </c>
      <c r="O516" s="24">
        <f t="shared" si="206"/>
        <v>0</v>
      </c>
      <c r="P516" s="24">
        <f t="shared" si="206"/>
        <v>0</v>
      </c>
      <c r="Q516" s="24">
        <f t="shared" si="206"/>
        <v>0</v>
      </c>
      <c r="R516" s="24">
        <f t="shared" si="206"/>
        <v>0</v>
      </c>
      <c r="S516" s="24">
        <f t="shared" si="206"/>
        <v>0</v>
      </c>
      <c r="T516" s="24">
        <f t="shared" si="206"/>
        <v>0</v>
      </c>
      <c r="U516" s="24">
        <f t="shared" si="206"/>
        <v>0</v>
      </c>
      <c r="V516" s="24">
        <f t="shared" si="206"/>
        <v>0</v>
      </c>
      <c r="W516" s="24">
        <f t="shared" si="206"/>
        <v>0</v>
      </c>
      <c r="X516" s="24">
        <f t="shared" si="206"/>
        <v>0</v>
      </c>
      <c r="Y516" s="24">
        <f t="shared" si="206"/>
        <v>0</v>
      </c>
      <c r="Z516" s="24">
        <f t="shared" si="206"/>
        <v>0</v>
      </c>
      <c r="AA516" s="24">
        <f t="shared" si="206"/>
        <v>0</v>
      </c>
      <c r="AB516" s="24">
        <f t="shared" si="206"/>
        <v>0</v>
      </c>
      <c r="AC516" s="24">
        <f t="shared" si="206"/>
        <v>0</v>
      </c>
      <c r="AD516" s="24">
        <f t="shared" si="206"/>
        <v>0</v>
      </c>
      <c r="AE516" s="24">
        <f t="shared" si="206"/>
        <v>0</v>
      </c>
    </row>
    <row r="517" spans="1:35" x14ac:dyDescent="0.45">
      <c r="B517" s="14" t="s">
        <v>60</v>
      </c>
      <c r="C517" s="14" t="str">
        <f t="shared" si="202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07">L517*(1+M$498)^($E507*M$499)*(1+M$500)*IF(L480&lt;=0,1,M480/L480)^$F507*(IF(L490&lt;=0,1,M490/L490)^$G507/(1+$H507+$I507))^(1+$F507)</f>
        <v>0</v>
      </c>
      <c r="N517" s="24">
        <f t="shared" si="207"/>
        <v>0</v>
      </c>
      <c r="O517" s="24">
        <f t="shared" si="207"/>
        <v>0</v>
      </c>
      <c r="P517" s="24">
        <f t="shared" si="207"/>
        <v>0</v>
      </c>
      <c r="Q517" s="24">
        <f t="shared" si="207"/>
        <v>0</v>
      </c>
      <c r="R517" s="24">
        <f t="shared" si="207"/>
        <v>0</v>
      </c>
      <c r="S517" s="24">
        <f t="shared" si="207"/>
        <v>0</v>
      </c>
      <c r="T517" s="24">
        <f t="shared" si="207"/>
        <v>0</v>
      </c>
      <c r="U517" s="24">
        <f t="shared" si="207"/>
        <v>0</v>
      </c>
      <c r="V517" s="24">
        <f t="shared" si="207"/>
        <v>0</v>
      </c>
      <c r="W517" s="24">
        <f t="shared" si="207"/>
        <v>0</v>
      </c>
      <c r="X517" s="24">
        <f t="shared" si="207"/>
        <v>0</v>
      </c>
      <c r="Y517" s="24">
        <f t="shared" si="207"/>
        <v>0</v>
      </c>
      <c r="Z517" s="24">
        <f t="shared" si="207"/>
        <v>0</v>
      </c>
      <c r="AA517" s="24">
        <f t="shared" si="207"/>
        <v>0</v>
      </c>
      <c r="AB517" s="24">
        <f t="shared" si="207"/>
        <v>0</v>
      </c>
      <c r="AC517" s="24">
        <f t="shared" si="207"/>
        <v>0</v>
      </c>
      <c r="AD517" s="24">
        <f t="shared" si="207"/>
        <v>0</v>
      </c>
      <c r="AE517" s="24">
        <f t="shared" si="207"/>
        <v>0</v>
      </c>
    </row>
    <row r="518" spans="1:35" x14ac:dyDescent="0.45">
      <c r="B518" s="14" t="s">
        <v>62</v>
      </c>
      <c r="C518" s="14" t="str">
        <f t="shared" si="202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08">L518*(1+M$498)^($E508*M$499)*(1+M$500)*IF(L481&lt;=0,1,M481/L481)^$F508*(IF(L491&lt;=0,1,M491/L491)^$G508/(1+$H508+$I508))^(1+$F508)</f>
        <v>0</v>
      </c>
      <c r="N518" s="24">
        <f t="shared" si="208"/>
        <v>0</v>
      </c>
      <c r="O518" s="24">
        <f t="shared" si="208"/>
        <v>0</v>
      </c>
      <c r="P518" s="24">
        <f t="shared" si="208"/>
        <v>0</v>
      </c>
      <c r="Q518" s="24">
        <f t="shared" si="208"/>
        <v>0</v>
      </c>
      <c r="R518" s="24">
        <f t="shared" si="208"/>
        <v>0</v>
      </c>
      <c r="S518" s="24">
        <f t="shared" si="208"/>
        <v>0</v>
      </c>
      <c r="T518" s="24">
        <f t="shared" si="208"/>
        <v>0</v>
      </c>
      <c r="U518" s="24">
        <f t="shared" si="208"/>
        <v>0</v>
      </c>
      <c r="V518" s="24">
        <f t="shared" si="208"/>
        <v>0</v>
      </c>
      <c r="W518" s="24">
        <f t="shared" si="208"/>
        <v>0</v>
      </c>
      <c r="X518" s="24">
        <f t="shared" si="208"/>
        <v>0</v>
      </c>
      <c r="Y518" s="24">
        <f t="shared" si="208"/>
        <v>0</v>
      </c>
      <c r="Z518" s="24">
        <f t="shared" si="208"/>
        <v>0</v>
      </c>
      <c r="AA518" s="24">
        <f t="shared" si="208"/>
        <v>0</v>
      </c>
      <c r="AB518" s="24">
        <f t="shared" si="208"/>
        <v>0</v>
      </c>
      <c r="AC518" s="24">
        <f t="shared" si="208"/>
        <v>0</v>
      </c>
      <c r="AD518" s="24">
        <f t="shared" si="208"/>
        <v>0</v>
      </c>
      <c r="AE518" s="24">
        <f t="shared" si="208"/>
        <v>0</v>
      </c>
    </row>
    <row r="519" spans="1:35" x14ac:dyDescent="0.45">
      <c r="B519" s="14" t="s">
        <v>64</v>
      </c>
      <c r="C519" s="14" t="str">
        <f t="shared" si="202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09">L519*(1+M$498)^($E509*M$499)*(1+M$500)*IF(L482&lt;=0,1,M482/L482)^$F509*(IF(L492&lt;=0,1,M492/L492)^$G509/(1+$H509+$I509))^(1+$F509)</f>
        <v>0</v>
      </c>
      <c r="N519" s="24">
        <f t="shared" si="209"/>
        <v>0</v>
      </c>
      <c r="O519" s="24">
        <f t="shared" si="209"/>
        <v>0</v>
      </c>
      <c r="P519" s="24">
        <f t="shared" si="209"/>
        <v>0</v>
      </c>
      <c r="Q519" s="24">
        <f t="shared" si="209"/>
        <v>0</v>
      </c>
      <c r="R519" s="24">
        <f t="shared" si="209"/>
        <v>0</v>
      </c>
      <c r="S519" s="24">
        <f t="shared" si="209"/>
        <v>0</v>
      </c>
      <c r="T519" s="24">
        <f t="shared" si="209"/>
        <v>0</v>
      </c>
      <c r="U519" s="24">
        <f t="shared" si="209"/>
        <v>0</v>
      </c>
      <c r="V519" s="24">
        <f t="shared" si="209"/>
        <v>0</v>
      </c>
      <c r="W519" s="24">
        <f t="shared" si="209"/>
        <v>0</v>
      </c>
      <c r="X519" s="24">
        <f t="shared" si="209"/>
        <v>0</v>
      </c>
      <c r="Y519" s="24">
        <f t="shared" si="209"/>
        <v>0</v>
      </c>
      <c r="Z519" s="24">
        <f t="shared" si="209"/>
        <v>0</v>
      </c>
      <c r="AA519" s="24">
        <f t="shared" si="209"/>
        <v>0</v>
      </c>
      <c r="AB519" s="24">
        <f t="shared" si="209"/>
        <v>0</v>
      </c>
      <c r="AC519" s="24">
        <f t="shared" si="209"/>
        <v>0</v>
      </c>
      <c r="AD519" s="24">
        <f t="shared" si="209"/>
        <v>0</v>
      </c>
      <c r="AE519" s="24">
        <f t="shared" si="209"/>
        <v>0</v>
      </c>
    </row>
    <row r="520" spans="1:35" x14ac:dyDescent="0.45">
      <c r="B520" s="14" t="s">
        <v>67</v>
      </c>
      <c r="C520" s="14" t="str">
        <f t="shared" si="202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10">L520*(1+M$498)^($E510*M$499)*(1+M$500)*IF(L483&lt;=0,1,M483/L483)^$F510*(IF(L493&lt;=0,1,M493/L493)^$G510/(1+$H510+$I510))^(1+$F510)</f>
        <v>0</v>
      </c>
      <c r="N520" s="24">
        <f t="shared" si="210"/>
        <v>0</v>
      </c>
      <c r="O520" s="24">
        <f t="shared" si="210"/>
        <v>0</v>
      </c>
      <c r="P520" s="24">
        <f t="shared" si="210"/>
        <v>0</v>
      </c>
      <c r="Q520" s="24">
        <f t="shared" si="210"/>
        <v>0</v>
      </c>
      <c r="R520" s="24">
        <f t="shared" si="210"/>
        <v>0</v>
      </c>
      <c r="S520" s="24">
        <f t="shared" si="210"/>
        <v>0</v>
      </c>
      <c r="T520" s="24">
        <f t="shared" si="210"/>
        <v>0</v>
      </c>
      <c r="U520" s="24">
        <f t="shared" si="210"/>
        <v>0</v>
      </c>
      <c r="V520" s="24">
        <f t="shared" si="210"/>
        <v>0</v>
      </c>
      <c r="W520" s="24">
        <f t="shared" si="210"/>
        <v>0</v>
      </c>
      <c r="X520" s="24">
        <f t="shared" si="210"/>
        <v>0</v>
      </c>
      <c r="Y520" s="24">
        <f t="shared" si="210"/>
        <v>0</v>
      </c>
      <c r="Z520" s="24">
        <f t="shared" si="210"/>
        <v>0</v>
      </c>
      <c r="AA520" s="24">
        <f t="shared" si="210"/>
        <v>0</v>
      </c>
      <c r="AB520" s="24">
        <f t="shared" si="210"/>
        <v>0</v>
      </c>
      <c r="AC520" s="24">
        <f t="shared" si="210"/>
        <v>0</v>
      </c>
      <c r="AD520" s="24">
        <f t="shared" si="210"/>
        <v>0</v>
      </c>
      <c r="AE520" s="24">
        <f t="shared" si="210"/>
        <v>0</v>
      </c>
    </row>
    <row r="521" spans="1:35" x14ac:dyDescent="0.45">
      <c r="B521" s="14" t="s">
        <v>69</v>
      </c>
      <c r="C521" s="14" t="str">
        <f t="shared" si="202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11">L521*(1+M$498)^($E511*M$499)*(1+M$500)*IF(L484&lt;=0,1,M484/L484)^$F511*(IF(L494&lt;=0,1,M494/L494)^$G511/(1+$H511+$I511))^(1+$F511)</f>
        <v>0</v>
      </c>
      <c r="N521" s="24">
        <f t="shared" si="211"/>
        <v>0</v>
      </c>
      <c r="O521" s="24">
        <f t="shared" si="211"/>
        <v>0</v>
      </c>
      <c r="P521" s="24">
        <f t="shared" si="211"/>
        <v>0</v>
      </c>
      <c r="Q521" s="24">
        <f t="shared" si="211"/>
        <v>0</v>
      </c>
      <c r="R521" s="24">
        <f t="shared" si="211"/>
        <v>0</v>
      </c>
      <c r="S521" s="24">
        <f t="shared" si="211"/>
        <v>0</v>
      </c>
      <c r="T521" s="24">
        <f t="shared" si="211"/>
        <v>0</v>
      </c>
      <c r="U521" s="24">
        <f t="shared" si="211"/>
        <v>0</v>
      </c>
      <c r="V521" s="24">
        <f t="shared" si="211"/>
        <v>0</v>
      </c>
      <c r="W521" s="24">
        <f t="shared" si="211"/>
        <v>0</v>
      </c>
      <c r="X521" s="24">
        <f t="shared" si="211"/>
        <v>0</v>
      </c>
      <c r="Y521" s="24">
        <f t="shared" si="211"/>
        <v>0</v>
      </c>
      <c r="Z521" s="24">
        <f t="shared" si="211"/>
        <v>0</v>
      </c>
      <c r="AA521" s="24">
        <f t="shared" si="211"/>
        <v>0</v>
      </c>
      <c r="AB521" s="24">
        <f t="shared" si="211"/>
        <v>0</v>
      </c>
      <c r="AC521" s="24">
        <f t="shared" si="211"/>
        <v>0</v>
      </c>
      <c r="AD521" s="24">
        <f t="shared" si="211"/>
        <v>0</v>
      </c>
      <c r="AE521" s="24">
        <f t="shared" si="211"/>
        <v>0</v>
      </c>
    </row>
    <row r="522" spans="1:35" x14ac:dyDescent="0.45">
      <c r="B522" s="14" t="s">
        <v>110</v>
      </c>
      <c r="C522" s="14" t="str">
        <f t="shared" si="202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12">SUM(L513:L521)</f>
        <v>3210.4467592248702</v>
      </c>
      <c r="M522" s="26">
        <f t="shared" si="212"/>
        <v>2690.3404093921163</v>
      </c>
      <c r="N522" s="26">
        <f t="shared" si="212"/>
        <v>3047.5360888007326</v>
      </c>
      <c r="O522" s="26">
        <f t="shared" si="212"/>
        <v>3240.6928223889822</v>
      </c>
      <c r="P522" s="26">
        <f t="shared" si="212"/>
        <v>3273.2119677539522</v>
      </c>
      <c r="Q522" s="26">
        <f t="shared" si="212"/>
        <v>3089.4258527074826</v>
      </c>
      <c r="R522" s="26">
        <f t="shared" si="212"/>
        <v>2975.1242061609983</v>
      </c>
      <c r="S522" s="26">
        <f t="shared" si="212"/>
        <v>2878.4338008647092</v>
      </c>
      <c r="T522" s="26">
        <f t="shared" si="212"/>
        <v>2793.1021878663519</v>
      </c>
      <c r="U522" s="26">
        <f t="shared" si="212"/>
        <v>2721.6867792281105</v>
      </c>
      <c r="V522" s="26">
        <f t="shared" si="212"/>
        <v>2659.4365656902273</v>
      </c>
      <c r="W522" s="26">
        <f t="shared" si="212"/>
        <v>2608.3843590415554</v>
      </c>
      <c r="X522" s="26">
        <f t="shared" si="212"/>
        <v>2567.1439632109241</v>
      </c>
      <c r="Y522" s="26">
        <f t="shared" si="212"/>
        <v>2534.8641732295537</v>
      </c>
      <c r="Z522" s="26">
        <f t="shared" si="212"/>
        <v>2511.2970995969799</v>
      </c>
      <c r="AA522" s="26">
        <f t="shared" si="212"/>
        <v>2495.8988717310085</v>
      </c>
      <c r="AB522" s="26">
        <f t="shared" si="212"/>
        <v>2488.1145593655265</v>
      </c>
      <c r="AC522" s="26">
        <f t="shared" si="212"/>
        <v>2487.0912005211107</v>
      </c>
      <c r="AD522" s="26">
        <f t="shared" si="212"/>
        <v>2492.116697620846</v>
      </c>
      <c r="AE522" s="26">
        <f t="shared" si="212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13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13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13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13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13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13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13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13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13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14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14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14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14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14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14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14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14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14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15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15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15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15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15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15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15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15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15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16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16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16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16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16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16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16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16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16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17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18">L573*(1+M$558)^($E563*M$559)*(1+M$560)*IF(L536&lt;=0,1,M536/L536)^$F563*(IF(L546&lt;=0,1,M546/L546)^$G563/(1+$H563+$I563))^(1+$F563)</f>
        <v>0</v>
      </c>
      <c r="N573" s="24">
        <f t="shared" si="218"/>
        <v>0</v>
      </c>
      <c r="O573" s="24">
        <f t="shared" si="218"/>
        <v>0</v>
      </c>
      <c r="P573" s="24">
        <f t="shared" si="218"/>
        <v>0</v>
      </c>
      <c r="Q573" s="24">
        <f t="shared" si="218"/>
        <v>0</v>
      </c>
      <c r="R573" s="24">
        <f t="shared" si="218"/>
        <v>0</v>
      </c>
      <c r="S573" s="24">
        <f t="shared" si="218"/>
        <v>0</v>
      </c>
      <c r="T573" s="24">
        <f t="shared" si="218"/>
        <v>0</v>
      </c>
      <c r="U573" s="24">
        <f t="shared" si="218"/>
        <v>0</v>
      </c>
      <c r="V573" s="24">
        <f t="shared" si="218"/>
        <v>0</v>
      </c>
      <c r="W573" s="24">
        <f t="shared" si="218"/>
        <v>0</v>
      </c>
      <c r="X573" s="24">
        <f t="shared" si="218"/>
        <v>0</v>
      </c>
      <c r="Y573" s="24">
        <f t="shared" si="218"/>
        <v>0</v>
      </c>
      <c r="Z573" s="24">
        <f t="shared" si="218"/>
        <v>0</v>
      </c>
      <c r="AA573" s="24">
        <f t="shared" si="218"/>
        <v>0</v>
      </c>
      <c r="AB573" s="24">
        <f t="shared" si="218"/>
        <v>0</v>
      </c>
      <c r="AC573" s="24">
        <f t="shared" si="218"/>
        <v>0</v>
      </c>
      <c r="AD573" s="24">
        <f t="shared" si="218"/>
        <v>0</v>
      </c>
      <c r="AE573" s="24">
        <f t="shared" si="218"/>
        <v>0</v>
      </c>
    </row>
    <row r="574" spans="2:31" x14ac:dyDescent="0.45">
      <c r="B574" s="14" t="s">
        <v>53</v>
      </c>
      <c r="C574" s="14" t="str">
        <f t="shared" si="217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19">L574*(1+M$558)^($E564*M$559)*(1+M$560)*IF(L537&lt;=0,1,M537/L537)^$F564*(IF(L547&lt;=0,1,M547/L547)^$G564/(1+$H564+$I564))^(1+$F564)</f>
        <v>0</v>
      </c>
      <c r="N574" s="24">
        <f t="shared" si="219"/>
        <v>0</v>
      </c>
      <c r="O574" s="24">
        <f t="shared" si="219"/>
        <v>0</v>
      </c>
      <c r="P574" s="24">
        <f t="shared" si="219"/>
        <v>0</v>
      </c>
      <c r="Q574" s="24">
        <f t="shared" si="219"/>
        <v>0</v>
      </c>
      <c r="R574" s="24">
        <f t="shared" si="219"/>
        <v>0</v>
      </c>
      <c r="S574" s="24">
        <f t="shared" si="219"/>
        <v>0</v>
      </c>
      <c r="T574" s="24">
        <f t="shared" si="219"/>
        <v>0</v>
      </c>
      <c r="U574" s="24">
        <f t="shared" si="219"/>
        <v>0</v>
      </c>
      <c r="V574" s="24">
        <f t="shared" si="219"/>
        <v>0</v>
      </c>
      <c r="W574" s="24">
        <f t="shared" si="219"/>
        <v>0</v>
      </c>
      <c r="X574" s="24">
        <f t="shared" si="219"/>
        <v>0</v>
      </c>
      <c r="Y574" s="24">
        <f t="shared" si="219"/>
        <v>0</v>
      </c>
      <c r="Z574" s="24">
        <f t="shared" si="219"/>
        <v>0</v>
      </c>
      <c r="AA574" s="24">
        <f t="shared" si="219"/>
        <v>0</v>
      </c>
      <c r="AB574" s="24">
        <f t="shared" si="219"/>
        <v>0</v>
      </c>
      <c r="AC574" s="24">
        <f t="shared" si="219"/>
        <v>0</v>
      </c>
      <c r="AD574" s="24">
        <f t="shared" si="219"/>
        <v>0</v>
      </c>
      <c r="AE574" s="24">
        <f t="shared" si="219"/>
        <v>0</v>
      </c>
    </row>
    <row r="575" spans="2:31" x14ac:dyDescent="0.45">
      <c r="B575" s="14" t="s">
        <v>55</v>
      </c>
      <c r="C575" s="14" t="str">
        <f t="shared" si="217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20">L575*(1+M$558)^($E565*M$559)*(1+M$560)*IF(L538&lt;=0,1,M538/L538)^$F565*(IF(L548&lt;=0,1,M548/L548)^$G565/(1+$H565+$I565))^(1+$F565)</f>
        <v>0</v>
      </c>
      <c r="N575" s="24">
        <f t="shared" si="220"/>
        <v>0</v>
      </c>
      <c r="O575" s="24">
        <f t="shared" si="220"/>
        <v>0</v>
      </c>
      <c r="P575" s="24">
        <f t="shared" si="220"/>
        <v>0</v>
      </c>
      <c r="Q575" s="24">
        <f t="shared" si="220"/>
        <v>0</v>
      </c>
      <c r="R575" s="24">
        <f t="shared" si="220"/>
        <v>0</v>
      </c>
      <c r="S575" s="24">
        <f t="shared" si="220"/>
        <v>0</v>
      </c>
      <c r="T575" s="24">
        <f t="shared" si="220"/>
        <v>0</v>
      </c>
      <c r="U575" s="24">
        <f t="shared" si="220"/>
        <v>0</v>
      </c>
      <c r="V575" s="24">
        <f t="shared" si="220"/>
        <v>0</v>
      </c>
      <c r="W575" s="24">
        <f t="shared" si="220"/>
        <v>0</v>
      </c>
      <c r="X575" s="24">
        <f t="shared" si="220"/>
        <v>0</v>
      </c>
      <c r="Y575" s="24">
        <f t="shared" si="220"/>
        <v>0</v>
      </c>
      <c r="Z575" s="24">
        <f t="shared" si="220"/>
        <v>0</v>
      </c>
      <c r="AA575" s="24">
        <f t="shared" si="220"/>
        <v>0</v>
      </c>
      <c r="AB575" s="24">
        <f t="shared" si="220"/>
        <v>0</v>
      </c>
      <c r="AC575" s="24">
        <f t="shared" si="220"/>
        <v>0</v>
      </c>
      <c r="AD575" s="24">
        <f t="shared" si="220"/>
        <v>0</v>
      </c>
      <c r="AE575" s="24">
        <f t="shared" si="220"/>
        <v>0</v>
      </c>
    </row>
    <row r="576" spans="2:31" x14ac:dyDescent="0.45">
      <c r="B576" s="14" t="s">
        <v>58</v>
      </c>
      <c r="C576" s="14" t="str">
        <f t="shared" si="217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21">L576*(1+M$558)^($E566*M$559)*(1+M$560)*IF(L539&lt;=0,1,M539/L539)^$F566*(IF(L549&lt;=0,1,M549/L549)^$G566/(1+$H566+$I566))^(1+$F566)</f>
        <v>0</v>
      </c>
      <c r="N576" s="24">
        <f t="shared" si="221"/>
        <v>0</v>
      </c>
      <c r="O576" s="24">
        <f t="shared" si="221"/>
        <v>0</v>
      </c>
      <c r="P576" s="24">
        <f t="shared" si="221"/>
        <v>0</v>
      </c>
      <c r="Q576" s="24">
        <f t="shared" si="221"/>
        <v>0</v>
      </c>
      <c r="R576" s="24">
        <f t="shared" si="221"/>
        <v>0</v>
      </c>
      <c r="S576" s="24">
        <f t="shared" si="221"/>
        <v>0</v>
      </c>
      <c r="T576" s="24">
        <f t="shared" si="221"/>
        <v>0</v>
      </c>
      <c r="U576" s="24">
        <f t="shared" si="221"/>
        <v>0</v>
      </c>
      <c r="V576" s="24">
        <f t="shared" si="221"/>
        <v>0</v>
      </c>
      <c r="W576" s="24">
        <f t="shared" si="221"/>
        <v>0</v>
      </c>
      <c r="X576" s="24">
        <f t="shared" si="221"/>
        <v>0</v>
      </c>
      <c r="Y576" s="24">
        <f t="shared" si="221"/>
        <v>0</v>
      </c>
      <c r="Z576" s="24">
        <f t="shared" si="221"/>
        <v>0</v>
      </c>
      <c r="AA576" s="24">
        <f t="shared" si="221"/>
        <v>0</v>
      </c>
      <c r="AB576" s="24">
        <f t="shared" si="221"/>
        <v>0</v>
      </c>
      <c r="AC576" s="24">
        <f t="shared" si="221"/>
        <v>0</v>
      </c>
      <c r="AD576" s="24">
        <f t="shared" si="221"/>
        <v>0</v>
      </c>
      <c r="AE576" s="24">
        <f t="shared" si="221"/>
        <v>0</v>
      </c>
    </row>
    <row r="577" spans="1:35" x14ac:dyDescent="0.45">
      <c r="B577" s="14" t="s">
        <v>60</v>
      </c>
      <c r="C577" s="14" t="str">
        <f t="shared" si="217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22">L577*(1+M$558)^($E567*M$559)*(1+M$560)*IF(L540&lt;=0,1,M540/L540)^$F567*(IF(L550&lt;=0,1,M550/L550)^$G567/(1+$H567+$I567))^(1+$F567)</f>
        <v>0</v>
      </c>
      <c r="N577" s="24">
        <f t="shared" si="222"/>
        <v>0</v>
      </c>
      <c r="O577" s="24">
        <f t="shared" si="222"/>
        <v>0</v>
      </c>
      <c r="P577" s="24">
        <f t="shared" si="222"/>
        <v>0</v>
      </c>
      <c r="Q577" s="24">
        <f t="shared" si="222"/>
        <v>0</v>
      </c>
      <c r="R577" s="24">
        <f t="shared" si="222"/>
        <v>0</v>
      </c>
      <c r="S577" s="24">
        <f t="shared" si="222"/>
        <v>0</v>
      </c>
      <c r="T577" s="24">
        <f t="shared" si="222"/>
        <v>0</v>
      </c>
      <c r="U577" s="24">
        <f t="shared" si="222"/>
        <v>0</v>
      </c>
      <c r="V577" s="24">
        <f t="shared" si="222"/>
        <v>0</v>
      </c>
      <c r="W577" s="24">
        <f t="shared" si="222"/>
        <v>0</v>
      </c>
      <c r="X577" s="24">
        <f t="shared" si="222"/>
        <v>0</v>
      </c>
      <c r="Y577" s="24">
        <f t="shared" si="222"/>
        <v>0</v>
      </c>
      <c r="Z577" s="24">
        <f t="shared" si="222"/>
        <v>0</v>
      </c>
      <c r="AA577" s="24">
        <f t="shared" si="222"/>
        <v>0</v>
      </c>
      <c r="AB577" s="24">
        <f t="shared" si="222"/>
        <v>0</v>
      </c>
      <c r="AC577" s="24">
        <f t="shared" si="222"/>
        <v>0</v>
      </c>
      <c r="AD577" s="24">
        <f t="shared" si="222"/>
        <v>0</v>
      </c>
      <c r="AE577" s="24">
        <f t="shared" si="222"/>
        <v>0</v>
      </c>
    </row>
    <row r="578" spans="1:35" x14ac:dyDescent="0.45">
      <c r="B578" s="14" t="s">
        <v>62</v>
      </c>
      <c r="C578" s="14" t="str">
        <f t="shared" si="217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23">L578*(1+M$558)^($E568*M$559)*(1+M$560)*IF(L541&lt;=0,1,M541/L541)^$F568*(IF(L551&lt;=0,1,M551/L551)^$G568/(1+$H568+$I568))^(1+$F568)</f>
        <v>0</v>
      </c>
      <c r="N578" s="24">
        <f t="shared" si="223"/>
        <v>0</v>
      </c>
      <c r="O578" s="24">
        <f t="shared" si="223"/>
        <v>0</v>
      </c>
      <c r="P578" s="24">
        <f t="shared" si="223"/>
        <v>0</v>
      </c>
      <c r="Q578" s="24">
        <f t="shared" si="223"/>
        <v>0</v>
      </c>
      <c r="R578" s="24">
        <f t="shared" si="223"/>
        <v>0</v>
      </c>
      <c r="S578" s="24">
        <f t="shared" si="223"/>
        <v>0</v>
      </c>
      <c r="T578" s="24">
        <f t="shared" si="223"/>
        <v>0</v>
      </c>
      <c r="U578" s="24">
        <f t="shared" si="223"/>
        <v>0</v>
      </c>
      <c r="V578" s="24">
        <f t="shared" si="223"/>
        <v>0</v>
      </c>
      <c r="W578" s="24">
        <f t="shared" si="223"/>
        <v>0</v>
      </c>
      <c r="X578" s="24">
        <f t="shared" si="223"/>
        <v>0</v>
      </c>
      <c r="Y578" s="24">
        <f t="shared" si="223"/>
        <v>0</v>
      </c>
      <c r="Z578" s="24">
        <f t="shared" si="223"/>
        <v>0</v>
      </c>
      <c r="AA578" s="24">
        <f t="shared" si="223"/>
        <v>0</v>
      </c>
      <c r="AB578" s="24">
        <f t="shared" si="223"/>
        <v>0</v>
      </c>
      <c r="AC578" s="24">
        <f t="shared" si="223"/>
        <v>0</v>
      </c>
      <c r="AD578" s="24">
        <f t="shared" si="223"/>
        <v>0</v>
      </c>
      <c r="AE578" s="24">
        <f t="shared" si="223"/>
        <v>0</v>
      </c>
    </row>
    <row r="579" spans="1:35" x14ac:dyDescent="0.45">
      <c r="B579" s="14" t="s">
        <v>64</v>
      </c>
      <c r="C579" s="14" t="str">
        <f t="shared" si="217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24">L579*(1+M$558)^($E569*M$559)*(1+M$560)*IF(L542&lt;=0,1,M542/L542)^$F569*(IF(L552&lt;=0,1,M552/L552)^$G569/(1+$H569+$I569))^(1+$F569)</f>
        <v>0</v>
      </c>
      <c r="N579" s="24">
        <f t="shared" si="224"/>
        <v>0</v>
      </c>
      <c r="O579" s="24">
        <f t="shared" si="224"/>
        <v>0</v>
      </c>
      <c r="P579" s="24">
        <f t="shared" si="224"/>
        <v>0</v>
      </c>
      <c r="Q579" s="24">
        <f t="shared" si="224"/>
        <v>0</v>
      </c>
      <c r="R579" s="24">
        <f t="shared" si="224"/>
        <v>0</v>
      </c>
      <c r="S579" s="24">
        <f t="shared" si="224"/>
        <v>0</v>
      </c>
      <c r="T579" s="24">
        <f t="shared" si="224"/>
        <v>0</v>
      </c>
      <c r="U579" s="24">
        <f t="shared" si="224"/>
        <v>0</v>
      </c>
      <c r="V579" s="24">
        <f t="shared" si="224"/>
        <v>0</v>
      </c>
      <c r="W579" s="24">
        <f t="shared" si="224"/>
        <v>0</v>
      </c>
      <c r="X579" s="24">
        <f t="shared" si="224"/>
        <v>0</v>
      </c>
      <c r="Y579" s="24">
        <f t="shared" si="224"/>
        <v>0</v>
      </c>
      <c r="Z579" s="24">
        <f t="shared" si="224"/>
        <v>0</v>
      </c>
      <c r="AA579" s="24">
        <f t="shared" si="224"/>
        <v>0</v>
      </c>
      <c r="AB579" s="24">
        <f t="shared" si="224"/>
        <v>0</v>
      </c>
      <c r="AC579" s="24">
        <f t="shared" si="224"/>
        <v>0</v>
      </c>
      <c r="AD579" s="24">
        <f t="shared" si="224"/>
        <v>0</v>
      </c>
      <c r="AE579" s="24">
        <f t="shared" si="224"/>
        <v>0</v>
      </c>
    </row>
    <row r="580" spans="1:35" x14ac:dyDescent="0.45">
      <c r="B580" s="14" t="s">
        <v>67</v>
      </c>
      <c r="C580" s="14" t="str">
        <f t="shared" si="217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25">L580*(1+M$558)^($E570*M$559)*(1+M$560)*IF(L543&lt;=0,1,M543/L543)^$F570*(IF(L553&lt;=0,1,M553/L553)^$G570/(1+$H570+$I570))^(1+$F570)</f>
        <v>0</v>
      </c>
      <c r="N580" s="24">
        <f t="shared" si="225"/>
        <v>0</v>
      </c>
      <c r="O580" s="24">
        <f t="shared" si="225"/>
        <v>0</v>
      </c>
      <c r="P580" s="24">
        <f t="shared" si="225"/>
        <v>0</v>
      </c>
      <c r="Q580" s="24">
        <f t="shared" si="225"/>
        <v>0</v>
      </c>
      <c r="R580" s="24">
        <f t="shared" si="225"/>
        <v>0</v>
      </c>
      <c r="S580" s="24">
        <f t="shared" si="225"/>
        <v>0</v>
      </c>
      <c r="T580" s="24">
        <f t="shared" si="225"/>
        <v>0</v>
      </c>
      <c r="U580" s="24">
        <f t="shared" si="225"/>
        <v>0</v>
      </c>
      <c r="V580" s="24">
        <f t="shared" si="225"/>
        <v>0</v>
      </c>
      <c r="W580" s="24">
        <f t="shared" si="225"/>
        <v>0</v>
      </c>
      <c r="X580" s="24">
        <f t="shared" si="225"/>
        <v>0</v>
      </c>
      <c r="Y580" s="24">
        <f t="shared" si="225"/>
        <v>0</v>
      </c>
      <c r="Z580" s="24">
        <f t="shared" si="225"/>
        <v>0</v>
      </c>
      <c r="AA580" s="24">
        <f t="shared" si="225"/>
        <v>0</v>
      </c>
      <c r="AB580" s="24">
        <f t="shared" si="225"/>
        <v>0</v>
      </c>
      <c r="AC580" s="24">
        <f t="shared" si="225"/>
        <v>0</v>
      </c>
      <c r="AD580" s="24">
        <f t="shared" si="225"/>
        <v>0</v>
      </c>
      <c r="AE580" s="24">
        <f t="shared" si="225"/>
        <v>0</v>
      </c>
    </row>
    <row r="581" spans="1:35" x14ac:dyDescent="0.45">
      <c r="B581" s="14" t="s">
        <v>69</v>
      </c>
      <c r="C581" s="14" t="str">
        <f t="shared" si="217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26">L581*(1+M$558)^($E571*M$559)*(1+M$560)*IF(L544&lt;=0,1,M544/L544)^$F571*(IF(L554&lt;=0,1,M554/L554)^$G571/(1+$H571+$I571))^(1+$F571)</f>
        <v>0</v>
      </c>
      <c r="N581" s="24">
        <f t="shared" si="226"/>
        <v>0</v>
      </c>
      <c r="O581" s="24">
        <f t="shared" si="226"/>
        <v>0</v>
      </c>
      <c r="P581" s="24">
        <f t="shared" si="226"/>
        <v>0</v>
      </c>
      <c r="Q581" s="24">
        <f t="shared" si="226"/>
        <v>0</v>
      </c>
      <c r="R581" s="24">
        <f t="shared" si="226"/>
        <v>0</v>
      </c>
      <c r="S581" s="24">
        <f t="shared" si="226"/>
        <v>0</v>
      </c>
      <c r="T581" s="24">
        <f t="shared" si="226"/>
        <v>0</v>
      </c>
      <c r="U581" s="24">
        <f t="shared" si="226"/>
        <v>0</v>
      </c>
      <c r="V581" s="24">
        <f t="shared" si="226"/>
        <v>0</v>
      </c>
      <c r="W581" s="24">
        <f t="shared" si="226"/>
        <v>0</v>
      </c>
      <c r="X581" s="24">
        <f t="shared" si="226"/>
        <v>0</v>
      </c>
      <c r="Y581" s="24">
        <f t="shared" si="226"/>
        <v>0</v>
      </c>
      <c r="Z581" s="24">
        <f t="shared" si="226"/>
        <v>0</v>
      </c>
      <c r="AA581" s="24">
        <f t="shared" si="226"/>
        <v>0</v>
      </c>
      <c r="AB581" s="24">
        <f t="shared" si="226"/>
        <v>0</v>
      </c>
      <c r="AC581" s="24">
        <f t="shared" si="226"/>
        <v>0</v>
      </c>
      <c r="AD581" s="24">
        <f t="shared" si="226"/>
        <v>0</v>
      </c>
      <c r="AE581" s="24">
        <f t="shared" si="226"/>
        <v>0</v>
      </c>
    </row>
    <row r="582" spans="1:35" x14ac:dyDescent="0.45">
      <c r="B582" s="14" t="s">
        <v>110</v>
      </c>
      <c r="C582" s="14" t="str">
        <f t="shared" si="217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27">SUM(L573:L581)</f>
        <v>0</v>
      </c>
      <c r="M582" s="26">
        <f t="shared" si="227"/>
        <v>0</v>
      </c>
      <c r="N582" s="26">
        <f t="shared" si="227"/>
        <v>0</v>
      </c>
      <c r="O582" s="26">
        <f t="shared" si="227"/>
        <v>0</v>
      </c>
      <c r="P582" s="26">
        <f t="shared" si="227"/>
        <v>0</v>
      </c>
      <c r="Q582" s="26">
        <f t="shared" si="227"/>
        <v>0</v>
      </c>
      <c r="R582" s="26">
        <f t="shared" si="227"/>
        <v>0</v>
      </c>
      <c r="S582" s="26">
        <f t="shared" si="227"/>
        <v>0</v>
      </c>
      <c r="T582" s="26">
        <f t="shared" si="227"/>
        <v>0</v>
      </c>
      <c r="U582" s="26">
        <f t="shared" si="227"/>
        <v>0</v>
      </c>
      <c r="V582" s="26">
        <f t="shared" si="227"/>
        <v>0</v>
      </c>
      <c r="W582" s="26">
        <f t="shared" si="227"/>
        <v>0</v>
      </c>
      <c r="X582" s="26">
        <f t="shared" si="227"/>
        <v>0</v>
      </c>
      <c r="Y582" s="26">
        <f t="shared" si="227"/>
        <v>0</v>
      </c>
      <c r="Z582" s="26">
        <f t="shared" si="227"/>
        <v>0</v>
      </c>
      <c r="AA582" s="26">
        <f t="shared" si="227"/>
        <v>0</v>
      </c>
      <c r="AB582" s="26">
        <f t="shared" si="227"/>
        <v>0</v>
      </c>
      <c r="AC582" s="26">
        <f t="shared" si="227"/>
        <v>0</v>
      </c>
      <c r="AD582" s="26">
        <f t="shared" si="227"/>
        <v>0</v>
      </c>
      <c r="AE582" s="26">
        <f t="shared" si="227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28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28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28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28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28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28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28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28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28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29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29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29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29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29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29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29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29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29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30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30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30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30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30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30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30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30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30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31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31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31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31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31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31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31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31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31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32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33">L633*(1+M$618)^($E623*M$619)*(1+M$620)*IF(L596&lt;=0,1,M596/L596)^$F623*(IF(L606&lt;=0,1,M606/L606)^$G623/(1+$H623+$I623))^(1+$F623)</f>
        <v>0</v>
      </c>
      <c r="N633" s="24">
        <f t="shared" si="233"/>
        <v>0</v>
      </c>
      <c r="O633" s="24">
        <f t="shared" si="233"/>
        <v>0</v>
      </c>
      <c r="P633" s="24">
        <f t="shared" si="233"/>
        <v>0</v>
      </c>
      <c r="Q633" s="24">
        <f t="shared" si="233"/>
        <v>0</v>
      </c>
      <c r="R633" s="24">
        <f t="shared" si="233"/>
        <v>0</v>
      </c>
      <c r="S633" s="24">
        <f t="shared" si="233"/>
        <v>0</v>
      </c>
      <c r="T633" s="24">
        <f t="shared" si="233"/>
        <v>0</v>
      </c>
      <c r="U633" s="24">
        <f t="shared" si="233"/>
        <v>0</v>
      </c>
      <c r="V633" s="24">
        <f t="shared" si="233"/>
        <v>0</v>
      </c>
      <c r="W633" s="24">
        <f t="shared" si="233"/>
        <v>0</v>
      </c>
      <c r="X633" s="24">
        <f t="shared" si="233"/>
        <v>0</v>
      </c>
      <c r="Y633" s="24">
        <f t="shared" si="233"/>
        <v>0</v>
      </c>
      <c r="Z633" s="24">
        <f t="shared" si="233"/>
        <v>0</v>
      </c>
      <c r="AA633" s="24">
        <f t="shared" si="233"/>
        <v>0</v>
      </c>
      <c r="AB633" s="24">
        <f t="shared" si="233"/>
        <v>0</v>
      </c>
      <c r="AC633" s="24">
        <f t="shared" si="233"/>
        <v>0</v>
      </c>
      <c r="AD633" s="24">
        <f t="shared" si="233"/>
        <v>0</v>
      </c>
      <c r="AE633" s="24">
        <f t="shared" si="233"/>
        <v>0</v>
      </c>
    </row>
    <row r="634" spans="2:31" x14ac:dyDescent="0.45">
      <c r="B634" s="14" t="s">
        <v>53</v>
      </c>
      <c r="C634" s="14" t="str">
        <f t="shared" si="232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34">L634*(1+M$618)^($E624*M$619)*(1+M$620)*IF(L597&lt;=0,1,M597/L597)^$F624*(IF(L607&lt;=0,1,M607/L607)^$G624/(1+$H624+$I624))^(1+$F624)</f>
        <v>0</v>
      </c>
      <c r="N634" s="24">
        <f t="shared" si="234"/>
        <v>0</v>
      </c>
      <c r="O634" s="24">
        <f t="shared" si="234"/>
        <v>0</v>
      </c>
      <c r="P634" s="24">
        <f t="shared" si="234"/>
        <v>0</v>
      </c>
      <c r="Q634" s="24">
        <f t="shared" si="234"/>
        <v>0</v>
      </c>
      <c r="R634" s="24">
        <f t="shared" si="234"/>
        <v>0</v>
      </c>
      <c r="S634" s="24">
        <f t="shared" si="234"/>
        <v>0</v>
      </c>
      <c r="T634" s="24">
        <f t="shared" si="234"/>
        <v>0</v>
      </c>
      <c r="U634" s="24">
        <f t="shared" si="234"/>
        <v>0</v>
      </c>
      <c r="V634" s="24">
        <f t="shared" si="234"/>
        <v>0</v>
      </c>
      <c r="W634" s="24">
        <f t="shared" si="234"/>
        <v>0</v>
      </c>
      <c r="X634" s="24">
        <f t="shared" si="234"/>
        <v>0</v>
      </c>
      <c r="Y634" s="24">
        <f t="shared" si="234"/>
        <v>0</v>
      </c>
      <c r="Z634" s="24">
        <f t="shared" si="234"/>
        <v>0</v>
      </c>
      <c r="AA634" s="24">
        <f t="shared" si="234"/>
        <v>0</v>
      </c>
      <c r="AB634" s="24">
        <f t="shared" si="234"/>
        <v>0</v>
      </c>
      <c r="AC634" s="24">
        <f t="shared" si="234"/>
        <v>0</v>
      </c>
      <c r="AD634" s="24">
        <f t="shared" si="234"/>
        <v>0</v>
      </c>
      <c r="AE634" s="24">
        <f t="shared" si="234"/>
        <v>0</v>
      </c>
    </row>
    <row r="635" spans="2:31" x14ac:dyDescent="0.45">
      <c r="B635" s="14" t="s">
        <v>55</v>
      </c>
      <c r="C635" s="14" t="str">
        <f t="shared" si="232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35">L635*(1+M$618)^($E625*M$619)*(1+M$620)*IF(L598&lt;=0,1,M598/L598)^$F625*(IF(L608&lt;=0,1,M608/L608)^$G625/(1+$H625+$I625))^(1+$F625)</f>
        <v>0</v>
      </c>
      <c r="N635" s="24">
        <f t="shared" si="235"/>
        <v>0</v>
      </c>
      <c r="O635" s="24">
        <f t="shared" si="235"/>
        <v>0</v>
      </c>
      <c r="P635" s="24">
        <f t="shared" si="235"/>
        <v>0</v>
      </c>
      <c r="Q635" s="24">
        <f t="shared" si="235"/>
        <v>0</v>
      </c>
      <c r="R635" s="24">
        <f t="shared" si="235"/>
        <v>0</v>
      </c>
      <c r="S635" s="24">
        <f t="shared" si="235"/>
        <v>0</v>
      </c>
      <c r="T635" s="24">
        <f t="shared" si="235"/>
        <v>0</v>
      </c>
      <c r="U635" s="24">
        <f t="shared" si="235"/>
        <v>0</v>
      </c>
      <c r="V635" s="24">
        <f t="shared" si="235"/>
        <v>0</v>
      </c>
      <c r="W635" s="24">
        <f t="shared" si="235"/>
        <v>0</v>
      </c>
      <c r="X635" s="24">
        <f t="shared" si="235"/>
        <v>0</v>
      </c>
      <c r="Y635" s="24">
        <f t="shared" si="235"/>
        <v>0</v>
      </c>
      <c r="Z635" s="24">
        <f t="shared" si="235"/>
        <v>0</v>
      </c>
      <c r="AA635" s="24">
        <f t="shared" si="235"/>
        <v>0</v>
      </c>
      <c r="AB635" s="24">
        <f t="shared" si="235"/>
        <v>0</v>
      </c>
      <c r="AC635" s="24">
        <f t="shared" si="235"/>
        <v>0</v>
      </c>
      <c r="AD635" s="24">
        <f t="shared" si="235"/>
        <v>0</v>
      </c>
      <c r="AE635" s="24">
        <f t="shared" si="235"/>
        <v>0</v>
      </c>
    </row>
    <row r="636" spans="2:31" x14ac:dyDescent="0.45">
      <c r="B636" s="14" t="s">
        <v>58</v>
      </c>
      <c r="C636" s="14" t="str">
        <f t="shared" si="232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36">L636*(1+M$618)^($E626*M$619)*(1+M$620)*IF(L599&lt;=0,1,M599/L599)^$F626*(IF(L609&lt;=0,1,M609/L609)^$G626/(1+$H626+$I626))^(1+$F626)</f>
        <v>0</v>
      </c>
      <c r="N636" s="24">
        <f t="shared" si="236"/>
        <v>0</v>
      </c>
      <c r="O636" s="24">
        <f t="shared" si="236"/>
        <v>0</v>
      </c>
      <c r="P636" s="24">
        <f t="shared" si="236"/>
        <v>0</v>
      </c>
      <c r="Q636" s="24">
        <f t="shared" si="236"/>
        <v>0</v>
      </c>
      <c r="R636" s="24">
        <f t="shared" si="236"/>
        <v>0</v>
      </c>
      <c r="S636" s="24">
        <f t="shared" si="236"/>
        <v>0</v>
      </c>
      <c r="T636" s="24">
        <f t="shared" si="236"/>
        <v>0</v>
      </c>
      <c r="U636" s="24">
        <f t="shared" si="236"/>
        <v>0</v>
      </c>
      <c r="V636" s="24">
        <f t="shared" si="236"/>
        <v>0</v>
      </c>
      <c r="W636" s="24">
        <f t="shared" si="236"/>
        <v>0</v>
      </c>
      <c r="X636" s="24">
        <f t="shared" si="236"/>
        <v>0</v>
      </c>
      <c r="Y636" s="24">
        <f t="shared" si="236"/>
        <v>0</v>
      </c>
      <c r="Z636" s="24">
        <f t="shared" si="236"/>
        <v>0</v>
      </c>
      <c r="AA636" s="24">
        <f t="shared" si="236"/>
        <v>0</v>
      </c>
      <c r="AB636" s="24">
        <f t="shared" si="236"/>
        <v>0</v>
      </c>
      <c r="AC636" s="24">
        <f t="shared" si="236"/>
        <v>0</v>
      </c>
      <c r="AD636" s="24">
        <f t="shared" si="236"/>
        <v>0</v>
      </c>
      <c r="AE636" s="24">
        <f t="shared" si="236"/>
        <v>0</v>
      </c>
    </row>
    <row r="637" spans="2:31" x14ac:dyDescent="0.45">
      <c r="B637" s="14" t="s">
        <v>60</v>
      </c>
      <c r="C637" s="14" t="str">
        <f t="shared" si="232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37">L637*(1+M$618)^($E627*M$619)*(1+M$620)*IF(L600&lt;=0,1,M600/L600)^$F627*(IF(L610&lt;=0,1,M610/L610)^$G627/(1+$H627+$I627))^(1+$F627)</f>
        <v>0</v>
      </c>
      <c r="N637" s="24">
        <f t="shared" si="237"/>
        <v>0</v>
      </c>
      <c r="O637" s="24">
        <f t="shared" si="237"/>
        <v>0</v>
      </c>
      <c r="P637" s="24">
        <f t="shared" si="237"/>
        <v>0</v>
      </c>
      <c r="Q637" s="24">
        <f t="shared" si="237"/>
        <v>0</v>
      </c>
      <c r="R637" s="24">
        <f t="shared" si="237"/>
        <v>0</v>
      </c>
      <c r="S637" s="24">
        <f t="shared" si="237"/>
        <v>0</v>
      </c>
      <c r="T637" s="24">
        <f t="shared" si="237"/>
        <v>0</v>
      </c>
      <c r="U637" s="24">
        <f t="shared" si="237"/>
        <v>0</v>
      </c>
      <c r="V637" s="24">
        <f t="shared" si="237"/>
        <v>0</v>
      </c>
      <c r="W637" s="24">
        <f t="shared" si="237"/>
        <v>0</v>
      </c>
      <c r="X637" s="24">
        <f t="shared" si="237"/>
        <v>0</v>
      </c>
      <c r="Y637" s="24">
        <f t="shared" si="237"/>
        <v>0</v>
      </c>
      <c r="Z637" s="24">
        <f t="shared" si="237"/>
        <v>0</v>
      </c>
      <c r="AA637" s="24">
        <f t="shared" si="237"/>
        <v>0</v>
      </c>
      <c r="AB637" s="24">
        <f t="shared" si="237"/>
        <v>0</v>
      </c>
      <c r="AC637" s="24">
        <f t="shared" si="237"/>
        <v>0</v>
      </c>
      <c r="AD637" s="24">
        <f t="shared" si="237"/>
        <v>0</v>
      </c>
      <c r="AE637" s="24">
        <f t="shared" si="237"/>
        <v>0</v>
      </c>
    </row>
    <row r="638" spans="2:31" x14ac:dyDescent="0.45">
      <c r="B638" s="14" t="s">
        <v>62</v>
      </c>
      <c r="C638" s="14" t="str">
        <f t="shared" si="232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38">L638*(1+M$618)^($E628*M$619)*(1+M$620)*IF(L601&lt;=0,1,M601/L601)^$F628*(IF(L611&lt;=0,1,M611/L611)^$G628/(1+$H628+$I628))^(1+$F628)</f>
        <v>0</v>
      </c>
      <c r="N638" s="24">
        <f t="shared" si="238"/>
        <v>0</v>
      </c>
      <c r="O638" s="24">
        <f t="shared" si="238"/>
        <v>0</v>
      </c>
      <c r="P638" s="24">
        <f t="shared" si="238"/>
        <v>0</v>
      </c>
      <c r="Q638" s="24">
        <f t="shared" si="238"/>
        <v>0</v>
      </c>
      <c r="R638" s="24">
        <f t="shared" si="238"/>
        <v>0</v>
      </c>
      <c r="S638" s="24">
        <f t="shared" si="238"/>
        <v>0</v>
      </c>
      <c r="T638" s="24">
        <f t="shared" si="238"/>
        <v>0</v>
      </c>
      <c r="U638" s="24">
        <f t="shared" si="238"/>
        <v>0</v>
      </c>
      <c r="V638" s="24">
        <f t="shared" si="238"/>
        <v>0</v>
      </c>
      <c r="W638" s="24">
        <f t="shared" si="238"/>
        <v>0</v>
      </c>
      <c r="X638" s="24">
        <f t="shared" si="238"/>
        <v>0</v>
      </c>
      <c r="Y638" s="24">
        <f t="shared" si="238"/>
        <v>0</v>
      </c>
      <c r="Z638" s="24">
        <f t="shared" si="238"/>
        <v>0</v>
      </c>
      <c r="AA638" s="24">
        <f t="shared" si="238"/>
        <v>0</v>
      </c>
      <c r="AB638" s="24">
        <f t="shared" si="238"/>
        <v>0</v>
      </c>
      <c r="AC638" s="24">
        <f t="shared" si="238"/>
        <v>0</v>
      </c>
      <c r="AD638" s="24">
        <f t="shared" si="238"/>
        <v>0</v>
      </c>
      <c r="AE638" s="24">
        <f t="shared" si="238"/>
        <v>0</v>
      </c>
    </row>
    <row r="639" spans="2:31" x14ac:dyDescent="0.45">
      <c r="B639" s="14" t="s">
        <v>64</v>
      </c>
      <c r="C639" s="14" t="str">
        <f t="shared" si="232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39">L639*(1+M$618)^($E629*M$619)*(1+M$620)*IF(L602&lt;=0,1,M602/L602)^$F629*(IF(L612&lt;=0,1,M612/L612)^$G629/(1+$H629+$I629))^(1+$F629)</f>
        <v>0</v>
      </c>
      <c r="N639" s="24">
        <f t="shared" si="239"/>
        <v>0</v>
      </c>
      <c r="O639" s="24">
        <f t="shared" si="239"/>
        <v>0</v>
      </c>
      <c r="P639" s="24">
        <f t="shared" si="239"/>
        <v>0</v>
      </c>
      <c r="Q639" s="24">
        <f t="shared" si="239"/>
        <v>0</v>
      </c>
      <c r="R639" s="24">
        <f t="shared" si="239"/>
        <v>0</v>
      </c>
      <c r="S639" s="24">
        <f t="shared" si="239"/>
        <v>0</v>
      </c>
      <c r="T639" s="24">
        <f t="shared" si="239"/>
        <v>0</v>
      </c>
      <c r="U639" s="24">
        <f t="shared" si="239"/>
        <v>0</v>
      </c>
      <c r="V639" s="24">
        <f t="shared" si="239"/>
        <v>0</v>
      </c>
      <c r="W639" s="24">
        <f t="shared" si="239"/>
        <v>0</v>
      </c>
      <c r="X639" s="24">
        <f t="shared" si="239"/>
        <v>0</v>
      </c>
      <c r="Y639" s="24">
        <f t="shared" si="239"/>
        <v>0</v>
      </c>
      <c r="Z639" s="24">
        <f t="shared" si="239"/>
        <v>0</v>
      </c>
      <c r="AA639" s="24">
        <f t="shared" si="239"/>
        <v>0</v>
      </c>
      <c r="AB639" s="24">
        <f t="shared" si="239"/>
        <v>0</v>
      </c>
      <c r="AC639" s="24">
        <f t="shared" si="239"/>
        <v>0</v>
      </c>
      <c r="AD639" s="24">
        <f t="shared" si="239"/>
        <v>0</v>
      </c>
      <c r="AE639" s="24">
        <f t="shared" si="239"/>
        <v>0</v>
      </c>
    </row>
    <row r="640" spans="2:31" x14ac:dyDescent="0.45">
      <c r="B640" s="14" t="s">
        <v>67</v>
      </c>
      <c r="C640" s="14" t="str">
        <f t="shared" si="232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40">L640*(1+M$618)^($E630*M$619)*(1+M$620)*IF(L603&lt;=0,1,M603/L603)^$F630*(IF(L613&lt;=0,1,M613/L613)^$G630/(1+$H630+$I630))^(1+$F630)</f>
        <v>0</v>
      </c>
      <c r="N640" s="24">
        <f t="shared" si="240"/>
        <v>0</v>
      </c>
      <c r="O640" s="24">
        <f t="shared" si="240"/>
        <v>0</v>
      </c>
      <c r="P640" s="24">
        <f t="shared" si="240"/>
        <v>0</v>
      </c>
      <c r="Q640" s="24">
        <f t="shared" si="240"/>
        <v>0</v>
      </c>
      <c r="R640" s="24">
        <f t="shared" si="240"/>
        <v>0</v>
      </c>
      <c r="S640" s="24">
        <f t="shared" si="240"/>
        <v>0</v>
      </c>
      <c r="T640" s="24">
        <f t="shared" si="240"/>
        <v>0</v>
      </c>
      <c r="U640" s="24">
        <f t="shared" si="240"/>
        <v>0</v>
      </c>
      <c r="V640" s="24">
        <f t="shared" si="240"/>
        <v>0</v>
      </c>
      <c r="W640" s="24">
        <f t="shared" si="240"/>
        <v>0</v>
      </c>
      <c r="X640" s="24">
        <f t="shared" si="240"/>
        <v>0</v>
      </c>
      <c r="Y640" s="24">
        <f t="shared" si="240"/>
        <v>0</v>
      </c>
      <c r="Z640" s="24">
        <f t="shared" si="240"/>
        <v>0</v>
      </c>
      <c r="AA640" s="24">
        <f t="shared" si="240"/>
        <v>0</v>
      </c>
      <c r="AB640" s="24">
        <f t="shared" si="240"/>
        <v>0</v>
      </c>
      <c r="AC640" s="24">
        <f t="shared" si="240"/>
        <v>0</v>
      </c>
      <c r="AD640" s="24">
        <f t="shared" si="240"/>
        <v>0</v>
      </c>
      <c r="AE640" s="24">
        <f t="shared" si="240"/>
        <v>0</v>
      </c>
    </row>
    <row r="641" spans="1:35" x14ac:dyDescent="0.45">
      <c r="B641" s="14" t="s">
        <v>69</v>
      </c>
      <c r="C641" s="14" t="str">
        <f t="shared" si="232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41">L641*(1+M$618)^($E631*M$619)*(1+M$620)*IF(L604&lt;=0,1,M604/L604)^$F631*(IF(L614&lt;=0,1,M614/L614)^$G631/(1+$H631+$I631))^(1+$F631)</f>
        <v>0</v>
      </c>
      <c r="N641" s="24">
        <f t="shared" si="241"/>
        <v>0</v>
      </c>
      <c r="O641" s="24">
        <f t="shared" si="241"/>
        <v>0</v>
      </c>
      <c r="P641" s="24">
        <f t="shared" si="241"/>
        <v>0</v>
      </c>
      <c r="Q641" s="24">
        <f t="shared" si="241"/>
        <v>0</v>
      </c>
      <c r="R641" s="24">
        <f t="shared" si="241"/>
        <v>0</v>
      </c>
      <c r="S641" s="24">
        <f t="shared" si="241"/>
        <v>0</v>
      </c>
      <c r="T641" s="24">
        <f t="shared" si="241"/>
        <v>0</v>
      </c>
      <c r="U641" s="24">
        <f t="shared" si="241"/>
        <v>0</v>
      </c>
      <c r="V641" s="24">
        <f t="shared" si="241"/>
        <v>0</v>
      </c>
      <c r="W641" s="24">
        <f t="shared" si="241"/>
        <v>0</v>
      </c>
      <c r="X641" s="24">
        <f t="shared" si="241"/>
        <v>0</v>
      </c>
      <c r="Y641" s="24">
        <f t="shared" si="241"/>
        <v>0</v>
      </c>
      <c r="Z641" s="24">
        <f t="shared" si="241"/>
        <v>0</v>
      </c>
      <c r="AA641" s="24">
        <f t="shared" si="241"/>
        <v>0</v>
      </c>
      <c r="AB641" s="24">
        <f t="shared" si="241"/>
        <v>0</v>
      </c>
      <c r="AC641" s="24">
        <f t="shared" si="241"/>
        <v>0</v>
      </c>
      <c r="AD641" s="24">
        <f t="shared" si="241"/>
        <v>0</v>
      </c>
      <c r="AE641" s="24">
        <f t="shared" si="241"/>
        <v>0</v>
      </c>
    </row>
    <row r="642" spans="1:35" x14ac:dyDescent="0.45">
      <c r="B642" s="14" t="s">
        <v>110</v>
      </c>
      <c r="C642" s="14" t="str">
        <f t="shared" si="232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42">SUM(L633:L641)</f>
        <v>0</v>
      </c>
      <c r="M642" s="26">
        <f t="shared" si="242"/>
        <v>0</v>
      </c>
      <c r="N642" s="26">
        <f t="shared" si="242"/>
        <v>0</v>
      </c>
      <c r="O642" s="26">
        <f t="shared" si="242"/>
        <v>0</v>
      </c>
      <c r="P642" s="26">
        <f t="shared" si="242"/>
        <v>0</v>
      </c>
      <c r="Q642" s="26">
        <f t="shared" si="242"/>
        <v>0</v>
      </c>
      <c r="R642" s="26">
        <f t="shared" si="242"/>
        <v>0</v>
      </c>
      <c r="S642" s="26">
        <f t="shared" si="242"/>
        <v>0</v>
      </c>
      <c r="T642" s="26">
        <f t="shared" si="242"/>
        <v>0</v>
      </c>
      <c r="U642" s="26">
        <f t="shared" si="242"/>
        <v>0</v>
      </c>
      <c r="V642" s="26">
        <f t="shared" si="242"/>
        <v>0</v>
      </c>
      <c r="W642" s="26">
        <f t="shared" si="242"/>
        <v>0</v>
      </c>
      <c r="X642" s="26">
        <f t="shared" si="242"/>
        <v>0</v>
      </c>
      <c r="Y642" s="26">
        <f t="shared" si="242"/>
        <v>0</v>
      </c>
      <c r="Z642" s="26">
        <f t="shared" si="242"/>
        <v>0</v>
      </c>
      <c r="AA642" s="26">
        <f t="shared" si="242"/>
        <v>0</v>
      </c>
      <c r="AB642" s="26">
        <f t="shared" si="242"/>
        <v>0</v>
      </c>
      <c r="AC642" s="26">
        <f t="shared" si="242"/>
        <v>0</v>
      </c>
      <c r="AD642" s="26">
        <f t="shared" si="242"/>
        <v>0</v>
      </c>
      <c r="AE642" s="26">
        <f t="shared" si="242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43">L739</f>
        <v>2022</v>
      </c>
      <c r="M645" s="74">
        <f t="shared" si="243"/>
        <v>2023</v>
      </c>
      <c r="N645" s="74">
        <f t="shared" si="243"/>
        <v>2024</v>
      </c>
      <c r="O645" s="74">
        <f t="shared" si="243"/>
        <v>2025</v>
      </c>
      <c r="P645" s="74">
        <f t="shared" si="243"/>
        <v>2026</v>
      </c>
      <c r="Q645" s="74">
        <f t="shared" si="243"/>
        <v>2027</v>
      </c>
      <c r="R645" s="74">
        <f t="shared" si="243"/>
        <v>2028</v>
      </c>
      <c r="S645" s="74">
        <f t="shared" si="243"/>
        <v>2029</v>
      </c>
      <c r="T645" s="74">
        <f t="shared" si="243"/>
        <v>2030</v>
      </c>
      <c r="U645" s="74">
        <f t="shared" si="243"/>
        <v>2031</v>
      </c>
      <c r="V645" s="74">
        <f t="shared" si="243"/>
        <v>2032</v>
      </c>
      <c r="W645" s="74">
        <f t="shared" si="243"/>
        <v>2033</v>
      </c>
      <c r="X645" s="74">
        <f t="shared" si="243"/>
        <v>2034</v>
      </c>
      <c r="Y645" s="74">
        <f t="shared" si="243"/>
        <v>2035</v>
      </c>
      <c r="Z645" s="74">
        <f t="shared" si="243"/>
        <v>2036</v>
      </c>
      <c r="AA645" s="74">
        <f t="shared" si="243"/>
        <v>2037</v>
      </c>
      <c r="AB645" s="74">
        <f t="shared" si="243"/>
        <v>2038</v>
      </c>
      <c r="AC645" s="74">
        <f t="shared" si="243"/>
        <v>2039</v>
      </c>
      <c r="AD645" s="74">
        <f t="shared" si="243"/>
        <v>2040</v>
      </c>
      <c r="AE645" s="74">
        <f t="shared" si="243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1865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1866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1867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1868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1869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1907</v>
      </c>
      <c r="D657" s="72" t="s">
        <v>1908</v>
      </c>
      <c r="E657" s="72" t="s">
        <v>1875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44">SUMPRODUCT(L$675:L$682*$H$663:$H$670*EXP(-$E$751:$E$758*L$648))/1000</f>
        <v>15.80851477988204</v>
      </c>
      <c r="M657" s="72">
        <f t="shared" si="244"/>
        <v>16.333156432126469</v>
      </c>
      <c r="N657" s="72">
        <f t="shared" si="244"/>
        <v>16.8755025</v>
      </c>
      <c r="O657" s="72">
        <f t="shared" si="244"/>
        <v>17.436160520999998</v>
      </c>
      <c r="P657" s="72">
        <f t="shared" si="244"/>
        <v>18.015759258365996</v>
      </c>
      <c r="Q657" s="72">
        <f t="shared" si="244"/>
        <v>18.614949457680826</v>
      </c>
      <c r="R657" s="72">
        <f t="shared" si="244"/>
        <v>19.234404631062102</v>
      </c>
      <c r="S657" s="72">
        <f t="shared" si="244"/>
        <v>19.874821869976433</v>
      </c>
      <c r="T657" s="72">
        <f t="shared" si="244"/>
        <v>20.536922687748202</v>
      </c>
      <c r="U657" s="72">
        <f t="shared" si="244"/>
        <v>21.221453892876493</v>
      </c>
      <c r="V657" s="72">
        <f t="shared" si="244"/>
        <v>21.929188494316183</v>
      </c>
      <c r="W657" s="72">
        <f t="shared" si="244"/>
        <v>22.660926639924462</v>
      </c>
      <c r="X657" s="72">
        <f t="shared" si="244"/>
        <v>23.417496589319807</v>
      </c>
      <c r="Y657" s="72">
        <f t="shared" si="244"/>
        <v>24.199755722449424</v>
      </c>
      <c r="Z657" s="72">
        <f t="shared" si="244"/>
        <v>25.008591585210855</v>
      </c>
      <c r="AA657" s="72">
        <f t="shared" si="244"/>
        <v>25.844922973525978</v>
      </c>
      <c r="AB657" s="72">
        <f t="shared" si="244"/>
        <v>26.70970105731983</v>
      </c>
      <c r="AC657" s="72">
        <f t="shared" si="244"/>
        <v>27.603910545913184</v>
      </c>
      <c r="AD657" s="72">
        <f t="shared" si="244"/>
        <v>28.528570896396591</v>
      </c>
      <c r="AE657" s="72">
        <f t="shared" si="244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1909</v>
      </c>
      <c r="E658" s="72" t="s">
        <v>1875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45">SUMPRODUCT(L$675:L$682*$I$663:$I$670*EXP(-$E$751:$E$758*L$648))/1000</f>
        <v>5.1177315778627914</v>
      </c>
      <c r="M658" s="72">
        <f t="shared" si="245"/>
        <v>5.2880720358998579</v>
      </c>
      <c r="N658" s="72">
        <f t="shared" si="245"/>
        <v>5.4647009999999998</v>
      </c>
      <c r="O658" s="72">
        <f t="shared" si="245"/>
        <v>5.6478686219999998</v>
      </c>
      <c r="P658" s="72">
        <f t="shared" si="245"/>
        <v>5.8378354764840008</v>
      </c>
      <c r="Q658" s="72">
        <f t="shared" si="245"/>
        <v>6.0348730065378478</v>
      </c>
      <c r="R658" s="72">
        <f t="shared" si="245"/>
        <v>6.2392639888340149</v>
      </c>
      <c r="S658" s="72">
        <f t="shared" si="245"/>
        <v>6.451303018891398</v>
      </c>
      <c r="T658" s="72">
        <f t="shared" si="245"/>
        <v>6.6712970173913781</v>
      </c>
      <c r="U658" s="72">
        <f t="shared" si="245"/>
        <v>6.8995657584700698</v>
      </c>
      <c r="V658" s="72">
        <f t="shared" si="245"/>
        <v>7.1364424209471196</v>
      </c>
      <c r="W658" s="72">
        <f t="shared" si="245"/>
        <v>7.3822741634934586</v>
      </c>
      <c r="X658" s="72">
        <f t="shared" si="245"/>
        <v>7.6374227247843764</v>
      </c>
      <c r="Y658" s="72">
        <f t="shared" si="245"/>
        <v>7.9022650497302331</v>
      </c>
      <c r="Z658" s="72">
        <f t="shared" si="245"/>
        <v>8.1771939429249265</v>
      </c>
      <c r="AA658" s="72">
        <f t="shared" si="245"/>
        <v>8.4626187505023296</v>
      </c>
      <c r="AB658" s="72">
        <f t="shared" si="245"/>
        <v>8.7589660716430906</v>
      </c>
      <c r="AC658" s="72">
        <f t="shared" si="245"/>
        <v>9.0666805010286549</v>
      </c>
      <c r="AD658" s="72">
        <f t="shared" si="245"/>
        <v>9.3862254035963169</v>
      </c>
      <c r="AE658" s="72">
        <f t="shared" si="245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1910</v>
      </c>
      <c r="E659" s="72" t="s">
        <v>1875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>SUMPRODUCT(L$675:L$682*($J$663:$J$670&gt;0)*$J$663:$J$670*(1+$J$672*(EXP(-$E$762:$E$769*($F$709:$F$716*L$707+$G$709:$G$716*L$647))-1)))/1000</f>
        <v>25.304020994313927</v>
      </c>
      <c r="M659" s="72">
        <f>SUMPRODUCT(M$675:M$682*($J$663:$J$670&gt;0)*$J$663:$J$670*(1+$J$672*(EXP(-$E$762:$E$769*($F$709:$F$716*M$707+$G$709:$G$716*M$647))-1)))/1000</f>
        <v>26.150733850694163</v>
      </c>
      <c r="N659" s="72">
        <f>SUMPRODUCT(N$675:N$682*($J$663:$J$670&gt;0)*$J$663:$J$670*(1+$J$672*(EXP(-$E$762:$E$769*($F$709:$F$716*N$707+$G$709:$G$716*N$647))-1)))/1000</f>
        <v>27.026</v>
      </c>
      <c r="O659" s="72">
        <f>SUMPRODUCT(O$675:O$682*($J$663:$J$670&gt;0)*$J$663:$J$670*(1+$J$672*(EXP(-$E$762:$E$769*($F$709:$F$716*O$707+$G$709:$G$716*O$647))-1)))/1000</f>
        <v>27.930793999999999</v>
      </c>
      <c r="P659" s="72">
        <f>SUMPRODUCT(P$675:P$682*($J$663:$J$670&gt;0)*$J$663:$J$670*(1+$J$672*(EXP(-$E$762:$E$769*($F$709:$F$716*P$707+$G$709:$G$716*P$647))-1)))/1000</f>
        <v>28.866124285999998</v>
      </c>
      <c r="Q659" s="72">
        <f>SUMPRODUCT(Q$675:Q$682*($J$663:$J$670&gt;0)*$J$663:$J$670*(1+$J$672*(EXP(-$E$762:$E$769*($F$709:$F$716*Q$707+$G$709:$G$716*Q$647))-1)))/1000</f>
        <v>29.833034380633993</v>
      </c>
      <c r="R659" s="72">
        <f>SUMPRODUCT(R$675:R$682*($J$663:$J$670&gt;0)*$J$663:$J$670*(1+$J$672*(EXP(-$E$762:$E$769*($F$709:$F$716*R$707+$G$709:$G$716*R$647))-1)))/1000</f>
        <v>30.832604148514033</v>
      </c>
      <c r="S659" s="72">
        <f>SUMPRODUCT(S$675:S$682*($J$663:$J$670&gt;0)*$J$663:$J$670*(1+$J$672*(EXP(-$E$762:$E$769*($F$709:$F$716*S$707+$G$709:$G$716*S$647))-1)))/1000</f>
        <v>31.865951097485905</v>
      </c>
      <c r="T659" s="72">
        <f>SUMPRODUCT(T$675:T$682*($J$663:$J$670&gt;0)*$J$663:$J$670*(1+$J$672*(EXP(-$E$762:$E$769*($F$709:$F$716*T$707+$G$709:$G$716*T$647))-1)))/1000</f>
        <v>32.934231728309406</v>
      </c>
      <c r="U659" s="72">
        <f>SUMPRODUCT(U$675:U$682*($J$663:$J$670&gt;0)*$J$663:$J$670*(1+$J$672*(EXP(-$E$762:$E$769*($F$709:$F$716*U$707+$G$709:$G$716*U$647))-1)))/1000</f>
        <v>34.038642934657474</v>
      </c>
      <c r="V659" s="72">
        <f>SUMPRODUCT(V$675:V$682*($J$663:$J$670&gt;0)*$J$663:$J$670*(1+$J$672*(EXP(-$E$762:$E$769*($F$709:$F$716*V$707+$G$709:$G$716*V$647))-1)))/1000</f>
        <v>35.180423455406491</v>
      </c>
      <c r="W659" s="72">
        <f>SUMPRODUCT(W$675:W$682*($J$663:$J$670&gt;0)*$J$663:$J$670*(1+$J$672*(EXP(-$E$762:$E$769*($F$709:$F$716*W$707+$G$709:$G$716*W$647))-1)))/1000</f>
        <v>36.360855381272714</v>
      </c>
      <c r="X659" s="72">
        <f>SUMPRODUCT(X$675:X$682*($J$663:$J$670&gt;0)*$J$663:$J$670*(1+$J$672*(EXP(-$E$762:$E$769*($F$709:$F$716*X$707+$G$709:$G$716*X$647))-1)))/1000</f>
        <v>37.581265717934862</v>
      </c>
      <c r="Y659" s="72">
        <f>SUMPRODUCT(Y$675:Y$682*($J$663:$J$670&gt;0)*$J$663:$J$670*(1+$J$672*(EXP(-$E$762:$E$769*($F$709:$F$716*Y$707+$G$709:$G$716*Y$647))-1)))/1000</f>
        <v>38.843028007872753</v>
      </c>
      <c r="Z659" s="72">
        <f>SUMPRODUCT(Z$675:Z$682*($J$663:$J$670&gt;0)*$J$663:$J$670*(1+$J$672*(EXP(-$E$762:$E$769*($F$709:$F$716*Z$707+$G$709:$G$716*Z$647))-1)))/1000</f>
        <v>40.147564013244939</v>
      </c>
      <c r="AA659" s="72">
        <f>SUMPRODUCT(AA$675:AA$682*($J$663:$J$670&gt;0)*$J$663:$J$670*(1+$J$672*(EXP(-$E$762:$E$769*($F$709:$F$716*AA$707+$G$709:$G$716*AA$647))-1)))/1000</f>
        <v>41.496345462226095</v>
      </c>
      <c r="AB659" s="72">
        <f>SUMPRODUCT(AB$675:AB$682*($J$663:$J$670&gt;0)*$J$663:$J$670*(1+$J$672*(EXP(-$E$762:$E$769*($F$709:$F$716*AB$707+$G$709:$G$716*AB$647))-1)))/1000</f>
        <v>42.890895861326769</v>
      </c>
      <c r="AC659" s="72">
        <f>SUMPRODUCT(AC$675:AC$682*($J$663:$J$670&gt;0)*$J$663:$J$670*(1+$J$672*(EXP(-$E$762:$E$769*($F$709:$F$716*AC$707+$G$709:$G$716*AC$647))-1)))/1000</f>
        <v>44.332792376324477</v>
      </c>
      <c r="AD659" s="72">
        <f>SUMPRODUCT(AD$675:AD$682*($J$663:$J$670&gt;0)*$J$663:$J$670*(1+$J$672*(EXP(-$E$762:$E$769*($F$709:$F$716*AD$707+$G$709:$G$716*AD$647))-1)))/1000</f>
        <v>45.823667784546558</v>
      </c>
      <c r="AE659" s="72">
        <f>SUMPRODUCT(AE$675:AE$682*($J$663:$J$670&gt;0)*$J$663:$J$670*(1+$J$672*(EXP(-$E$762:$E$769*($F$709:$F$716*AE$707+$G$709:$G$716*AE$647))-1)))/1000</f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1911</v>
      </c>
      <c r="E660" s="72" t="s">
        <v>1875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>SUMPRODUCT(L$675:L$682*($K$663:$K$670&gt;0)*$K$663:$K$670*(1+$K$672*(EXP(-$E$762:$E$769*($F$709:$F$716*L$707+$G$709:$G$716*L$647))-1)))/1000</f>
        <v>0.78631830560210647</v>
      </c>
      <c r="M660" s="72">
        <f>SUMPRODUCT(M$675:M$682*($K$663:$K$670&gt;0)*$K$663:$K$670*(1+$K$672*(EXP(-$E$762:$E$769*($F$709:$F$716*M$707+$G$709:$G$716*M$647))-1)))/1000</f>
        <v>0.81117778540358554</v>
      </c>
      <c r="N660" s="72">
        <f>SUMPRODUCT(N$675:N$682*($K$663:$K$670&gt;0)*$K$663:$K$670*(1+$K$672*(EXP(-$E$762:$E$769*($F$709:$F$716*N$707+$G$709:$G$716*N$647))-1)))/1000</f>
        <v>0.83699999999999997</v>
      </c>
      <c r="O660" s="72">
        <f>SUMPRODUCT(O$675:O$682*($K$663:$K$670&gt;0)*$K$663:$K$670*(1+$K$672*(EXP(-$E$762:$E$769*($F$709:$F$716*O$707+$G$709:$G$716*O$647))-1)))/1000</f>
        <v>0.86382899999999996</v>
      </c>
      <c r="P660" s="72">
        <f>SUMPRODUCT(P$675:P$682*($K$663:$K$670&gt;0)*$K$663:$K$670*(1+$K$672*(EXP(-$E$762:$E$769*($F$709:$F$716*P$707+$G$709:$G$716*P$647))-1)))/1000</f>
        <v>0.89171106300000003</v>
      </c>
      <c r="Q660" s="72">
        <f>SUMPRODUCT(Q$675:Q$682*($K$663:$K$670&gt;0)*$K$663:$K$670*(1+$K$672*(EXP(-$E$762:$E$769*($F$709:$F$716*Q$707+$G$709:$G$716*Q$647))-1)))/1000</f>
        <v>0.92069481176099999</v>
      </c>
      <c r="R660" s="72">
        <f>SUMPRODUCT(R$675:R$682*($K$663:$K$670&gt;0)*$K$663:$K$670*(1+$K$672*(EXP(-$E$762:$E$769*($F$709:$F$716*R$707+$G$709:$G$716*R$647))-1)))/1000</f>
        <v>0.95083133879036696</v>
      </c>
      <c r="S660" s="72">
        <f>SUMPRODUCT(S$675:S$682*($K$663:$K$670&gt;0)*$K$663:$K$670*(1+$K$672*(EXP(-$E$762:$E$769*($F$709:$F$716*S$707+$G$709:$G$716*S$647))-1)))/1000</f>
        <v>0.9821743376787645</v>
      </c>
      <c r="T660" s="72">
        <f>SUMPRODUCT(T$675:T$682*($K$663:$K$670&gt;0)*$K$663:$K$670*(1+$K$672*(EXP(-$E$762:$E$769*($F$709:$F$716*T$707+$G$709:$G$716*T$647))-1)))/1000</f>
        <v>1.0147802415616323</v>
      </c>
      <c r="U660" s="72">
        <f>SUMPRODUCT(U$675:U$682*($K$663:$K$670&gt;0)*$K$663:$K$670*(1+$K$672*(EXP(-$E$762:$E$769*($F$709:$F$716*U$707+$G$709:$G$716*U$647))-1)))/1000</f>
        <v>1.0487083690948893</v>
      </c>
      <c r="V660" s="72">
        <f>SUMPRODUCT(V$675:V$682*($K$663:$K$670&gt;0)*$K$663:$K$670*(1+$K$672*(EXP(-$E$762:$E$769*($F$709:$F$716*V$707+$G$709:$G$716*V$647))-1)))/1000</f>
        <v>1.0840210783559179</v>
      </c>
      <c r="W660" s="72">
        <f>SUMPRODUCT(W$675:W$682*($K$663:$K$670&gt;0)*$K$663:$K$670*(1+$K$672*(EXP(-$E$762:$E$769*($F$709:$F$716*W$707+$G$709:$G$716*W$647))-1)))/1000</f>
        <v>1.1207839291034407</v>
      </c>
      <c r="X660" s="72">
        <f>SUMPRODUCT(X$675:X$682*($K$663:$K$670&gt;0)*$K$663:$K$670*(1+$K$672*(EXP(-$E$762:$E$769*($F$709:$F$716*X$707+$G$709:$G$716*X$647))-1)))/1000</f>
        <v>1.1590658538537117</v>
      </c>
      <c r="Y660" s="72">
        <f>SUMPRODUCT(Y$675:Y$682*($K$663:$K$670&gt;0)*$K$663:$K$670*(1+$K$672*(EXP(-$E$762:$E$769*($F$709:$F$716*Y$707+$G$709:$G$716*Y$647))-1)))/1000</f>
        <v>1.1989393382555391</v>
      </c>
      <c r="Z660" s="72">
        <f>SUMPRODUCT(Z$675:Z$682*($K$663:$K$670&gt;0)*$K$663:$K$670*(1+$K$672*(EXP(-$E$762:$E$769*($F$709:$F$716*Z$707+$G$709:$G$716*Z$647))-1)))/1000</f>
        <v>1.2404806112731439</v>
      </c>
      <c r="AA660" s="72">
        <f>SUMPRODUCT(AA$675:AA$682*($K$663:$K$670&gt;0)*$K$663:$K$670*(1+$K$672*(EXP(-$E$762:$E$769*($F$709:$F$716*AA$707+$G$709:$G$716*AA$647))-1)))/1000</f>
        <v>1.2837698457138154</v>
      </c>
      <c r="AB660" s="72">
        <f>SUMPRODUCT(AB$675:AB$682*($K$663:$K$670&gt;0)*$K$663:$K$670*(1+$K$672*(EXP(-$E$762:$E$769*($F$709:$F$716*AB$707+$G$709:$G$716*AB$647))-1)))/1000</f>
        <v>1.3288913696667775</v>
      </c>
      <c r="AC660" s="72">
        <f>SUMPRODUCT(AC$675:AC$682*($K$663:$K$670&gt;0)*$K$663:$K$670*(1+$K$672*(EXP(-$E$762:$E$769*($F$709:$F$716*AC$707+$G$709:$G$716*AC$647))-1)))/1000</f>
        <v>1.3759338894508044</v>
      </c>
      <c r="AD660" s="72">
        <f>SUMPRODUCT(AD$675:AD$682*($K$663:$K$670&gt;0)*$K$663:$K$670*(1+$K$672*(EXP(-$E$762:$E$769*($F$709:$F$716*AD$707+$G$709:$G$716*AD$647))-1)))/1000</f>
        <v>1.4249907247009044</v>
      </c>
      <c r="AE660" s="72">
        <f>SUMPRODUCT(AE$675:AE$682*($K$663:$K$670&gt;0)*$K$663:$K$670*(1+$K$672*(EXP(-$E$762:$E$769*($F$709:$F$716*AE$707+$G$709:$G$716*AE$647))-1)))/1000</f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46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47">N663+O663</f>
        <v>0.98003000000000007</v>
      </c>
      <c r="R663" s="76">
        <f t="shared" ref="R663:R670" si="248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46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47"/>
        <v>0.40525</v>
      </c>
      <c r="R664" s="76">
        <f t="shared" si="248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46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47"/>
        <v>2.3595000000000002</v>
      </c>
      <c r="R665" s="76">
        <f t="shared" si="248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46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47"/>
        <v>0.87055000000000005</v>
      </c>
      <c r="R666" s="76">
        <f t="shared" si="248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46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47"/>
        <v>1.8888</v>
      </c>
      <c r="R667" s="76">
        <f t="shared" si="248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46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47"/>
        <v>0.48764960000000002</v>
      </c>
      <c r="R668" s="76">
        <f t="shared" si="248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46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47"/>
        <v>1.52732</v>
      </c>
      <c r="R669" s="76">
        <f t="shared" si="248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46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47"/>
        <v>9.2560000000000002</v>
      </c>
      <c r="R670" s="76">
        <f t="shared" si="248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1896</v>
      </c>
      <c r="D671" s="73"/>
      <c r="E671" s="71"/>
      <c r="F671" s="71"/>
      <c r="G671" s="71"/>
      <c r="H671" s="71" t="s">
        <v>1898</v>
      </c>
      <c r="I671" s="71" t="s">
        <v>1899</v>
      </c>
      <c r="J671" s="71" t="s">
        <v>1900</v>
      </c>
      <c r="K671" s="71" t="s">
        <v>1901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1897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49">M675/(1+G675)</f>
        <v>4679.1738230501605</v>
      </c>
      <c r="M675" s="72">
        <f t="shared" ref="M675:M682" si="250">N675/(1+G675)</f>
        <v>4885.0574712643675</v>
      </c>
      <c r="N675" s="90">
        <f>IF(UPPER(Settings!$B$3)="EGY",F675,0)</f>
        <v>5100</v>
      </c>
      <c r="O675" s="72">
        <f t="shared" ref="O675:O682" si="251">N675*(1+G675)</f>
        <v>5324.4000000000005</v>
      </c>
      <c r="P675" s="72">
        <f t="shared" ref="P675:P682" si="252">O675*(1+G675)</f>
        <v>5558.673600000001</v>
      </c>
      <c r="Q675" s="72">
        <f t="shared" ref="Q675:Q682" si="253">P675*(1+G675)</f>
        <v>5803.255238400001</v>
      </c>
      <c r="R675" s="72">
        <f t="shared" ref="R675:R682" si="254">Q675*(1+G675)</f>
        <v>6058.5984688896015</v>
      </c>
      <c r="S675" s="72">
        <f t="shared" ref="S675:S682" si="255">R675*(1+G675)</f>
        <v>6325.1768015207444</v>
      </c>
      <c r="T675" s="72">
        <f t="shared" ref="T675:T682" si="256">S675*(1+G675)</f>
        <v>6603.4845807876573</v>
      </c>
      <c r="U675" s="72">
        <f t="shared" ref="U675:U682" si="257">T675*(1+G675)</f>
        <v>6894.0379023423147</v>
      </c>
      <c r="V675" s="72">
        <f t="shared" ref="V675:V682" si="258">U675*(1+G675)</f>
        <v>7197.3755700453767</v>
      </c>
      <c r="W675" s="72">
        <f t="shared" ref="W675:W682" si="259">V675*(1+G675)</f>
        <v>7514.0600951273736</v>
      </c>
      <c r="X675" s="72">
        <f t="shared" ref="X675:X682" si="260">W675*(1+G675)</f>
        <v>7844.678739312978</v>
      </c>
      <c r="Y675" s="72">
        <f t="shared" ref="Y675:Y682" si="261">X675*(1+G675)</f>
        <v>8189.8446038427492</v>
      </c>
      <c r="Z675" s="72">
        <f t="shared" ref="Z675:Z682" si="262">Y675*(1+G675)</f>
        <v>8550.1977664118313</v>
      </c>
      <c r="AA675" s="72">
        <f t="shared" ref="AA675:AA682" si="263">Z675*(1+G675)</f>
        <v>8926.4064681339514</v>
      </c>
      <c r="AB675" s="72">
        <f t="shared" ref="AB675:AB682" si="264">AA675*(1+G675)</f>
        <v>9319.1683527318455</v>
      </c>
      <c r="AC675" s="72">
        <f t="shared" ref="AC675:AC682" si="265">AB675*(1+G675)</f>
        <v>9729.2117602520466</v>
      </c>
      <c r="AD675" s="72">
        <f t="shared" ref="AD675:AD682" si="266">AC675*(1+G675)</f>
        <v>10157.297077703137</v>
      </c>
      <c r="AE675" s="72">
        <f t="shared" ref="AE675:AE682" si="267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49"/>
        <v>4403.9283040472101</v>
      </c>
      <c r="M676" s="72">
        <f t="shared" si="250"/>
        <v>4597.7011494252874</v>
      </c>
      <c r="N676" s="90">
        <f>IF(UPPER(Settings!$B$3)="EGY",F676,0)</f>
        <v>4800</v>
      </c>
      <c r="O676" s="72">
        <f t="shared" si="251"/>
        <v>5011.2</v>
      </c>
      <c r="P676" s="72">
        <f t="shared" si="252"/>
        <v>5231.6927999999998</v>
      </c>
      <c r="Q676" s="72">
        <f t="shared" si="253"/>
        <v>5461.8872831999997</v>
      </c>
      <c r="R676" s="72">
        <f t="shared" si="254"/>
        <v>5702.2103236608</v>
      </c>
      <c r="S676" s="72">
        <f t="shared" si="255"/>
        <v>5953.1075779018756</v>
      </c>
      <c r="T676" s="72">
        <f t="shared" si="256"/>
        <v>6215.0443113295587</v>
      </c>
      <c r="U676" s="72">
        <f t="shared" si="257"/>
        <v>6488.5062610280593</v>
      </c>
      <c r="V676" s="72">
        <f t="shared" si="258"/>
        <v>6774.0005365132938</v>
      </c>
      <c r="W676" s="72">
        <f t="shared" si="259"/>
        <v>7072.0565601198787</v>
      </c>
      <c r="X676" s="72">
        <f t="shared" si="260"/>
        <v>7383.227048765154</v>
      </c>
      <c r="Y676" s="72">
        <f t="shared" si="261"/>
        <v>7708.0890389108208</v>
      </c>
      <c r="Z676" s="72">
        <f t="shared" si="262"/>
        <v>8047.244956622897</v>
      </c>
      <c r="AA676" s="72">
        <f t="shared" si="263"/>
        <v>8401.323734714304</v>
      </c>
      <c r="AB676" s="72">
        <f t="shared" si="264"/>
        <v>8770.9819790417332</v>
      </c>
      <c r="AC676" s="72">
        <f t="shared" si="265"/>
        <v>9156.9051861195694</v>
      </c>
      <c r="AD676" s="72">
        <f t="shared" si="266"/>
        <v>9559.8090143088302</v>
      </c>
      <c r="AE676" s="72">
        <f t="shared" si="267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49"/>
        <v>0</v>
      </c>
      <c r="M677" s="72">
        <f t="shared" si="250"/>
        <v>0</v>
      </c>
      <c r="N677" s="90">
        <f>IF(UPPER(Settings!$B$3)="EGY",F677,0)</f>
        <v>0</v>
      </c>
      <c r="O677" s="72">
        <f t="shared" si="251"/>
        <v>0</v>
      </c>
      <c r="P677" s="72">
        <f t="shared" si="252"/>
        <v>0</v>
      </c>
      <c r="Q677" s="72">
        <f t="shared" si="253"/>
        <v>0</v>
      </c>
      <c r="R677" s="72">
        <f t="shared" si="254"/>
        <v>0</v>
      </c>
      <c r="S677" s="72">
        <f t="shared" si="255"/>
        <v>0</v>
      </c>
      <c r="T677" s="72">
        <f t="shared" si="256"/>
        <v>0</v>
      </c>
      <c r="U677" s="72">
        <f t="shared" si="257"/>
        <v>0</v>
      </c>
      <c r="V677" s="72">
        <f t="shared" si="258"/>
        <v>0</v>
      </c>
      <c r="W677" s="72">
        <f t="shared" si="259"/>
        <v>0</v>
      </c>
      <c r="X677" s="72">
        <f t="shared" si="260"/>
        <v>0</v>
      </c>
      <c r="Y677" s="72">
        <f t="shared" si="261"/>
        <v>0</v>
      </c>
      <c r="Z677" s="72">
        <f t="shared" si="262"/>
        <v>0</v>
      </c>
      <c r="AA677" s="72">
        <f t="shared" si="263"/>
        <v>0</v>
      </c>
      <c r="AB677" s="72">
        <f t="shared" si="264"/>
        <v>0</v>
      </c>
      <c r="AC677" s="72">
        <f t="shared" si="265"/>
        <v>0</v>
      </c>
      <c r="AD677" s="72">
        <f t="shared" si="266"/>
        <v>0</v>
      </c>
      <c r="AE677" s="72">
        <f t="shared" si="267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49"/>
        <v>46856.447775209017</v>
      </c>
      <c r="M678" s="72">
        <f t="shared" si="250"/>
        <v>48402.710551790908</v>
      </c>
      <c r="N678" s="90">
        <f>IF(UPPER(Settings!$B$3)="EGY",F678,0)</f>
        <v>50000</v>
      </c>
      <c r="O678" s="72">
        <f t="shared" si="251"/>
        <v>51649.999999999993</v>
      </c>
      <c r="P678" s="72">
        <f t="shared" si="252"/>
        <v>53354.44999999999</v>
      </c>
      <c r="Q678" s="72">
        <f t="shared" si="253"/>
        <v>55115.146849999983</v>
      </c>
      <c r="R678" s="72">
        <f t="shared" si="254"/>
        <v>56933.946696049978</v>
      </c>
      <c r="S678" s="72">
        <f t="shared" si="255"/>
        <v>58812.766937019624</v>
      </c>
      <c r="T678" s="72">
        <f t="shared" si="256"/>
        <v>60753.588245941268</v>
      </c>
      <c r="U678" s="72">
        <f t="shared" si="257"/>
        <v>62758.456658057323</v>
      </c>
      <c r="V678" s="72">
        <f t="shared" si="258"/>
        <v>64829.485727773208</v>
      </c>
      <c r="W678" s="72">
        <f t="shared" si="259"/>
        <v>66968.858756789719</v>
      </c>
      <c r="X678" s="72">
        <f t="shared" si="260"/>
        <v>69178.831095763773</v>
      </c>
      <c r="Y678" s="72">
        <f t="shared" si="261"/>
        <v>71461.732521923972</v>
      </c>
      <c r="Z678" s="72">
        <f t="shared" si="262"/>
        <v>73819.969695147462</v>
      </c>
      <c r="AA678" s="72">
        <f t="shared" si="263"/>
        <v>76256.028695087327</v>
      </c>
      <c r="AB678" s="72">
        <f t="shared" si="264"/>
        <v>78772.477642025202</v>
      </c>
      <c r="AC678" s="72">
        <f t="shared" si="265"/>
        <v>81371.969404212025</v>
      </c>
      <c r="AD678" s="72">
        <f t="shared" si="266"/>
        <v>84057.244394551017</v>
      </c>
      <c r="AE678" s="72">
        <f t="shared" si="267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49"/>
        <v>1708.9778302013242</v>
      </c>
      <c r="M679" s="72">
        <f t="shared" si="250"/>
        <v>1746.5753424657535</v>
      </c>
      <c r="N679" s="90">
        <f>IF(UPPER(Settings!$B$3)="EGY",F679,0)</f>
        <v>1785</v>
      </c>
      <c r="O679" s="72">
        <f t="shared" si="251"/>
        <v>1824.27</v>
      </c>
      <c r="P679" s="72">
        <f t="shared" si="252"/>
        <v>1864.4039399999999</v>
      </c>
      <c r="Q679" s="72">
        <f t="shared" si="253"/>
        <v>1905.4208266799999</v>
      </c>
      <c r="R679" s="72">
        <f t="shared" si="254"/>
        <v>1947.3400848669598</v>
      </c>
      <c r="S679" s="72">
        <f t="shared" si="255"/>
        <v>1990.1815667340329</v>
      </c>
      <c r="T679" s="72">
        <f t="shared" si="256"/>
        <v>2033.9655612021818</v>
      </c>
      <c r="U679" s="72">
        <f t="shared" si="257"/>
        <v>2078.7128035486298</v>
      </c>
      <c r="V679" s="72">
        <f t="shared" si="258"/>
        <v>2124.4444852266997</v>
      </c>
      <c r="W679" s="72">
        <f t="shared" si="259"/>
        <v>2171.1822639016873</v>
      </c>
      <c r="X679" s="72">
        <f t="shared" si="260"/>
        <v>2218.9482737075245</v>
      </c>
      <c r="Y679" s="72">
        <f t="shared" si="261"/>
        <v>2267.7651357290902</v>
      </c>
      <c r="Z679" s="72">
        <f t="shared" si="262"/>
        <v>2317.6559687151303</v>
      </c>
      <c r="AA679" s="72">
        <f t="shared" si="263"/>
        <v>2368.644400026863</v>
      </c>
      <c r="AB679" s="72">
        <f t="shared" si="264"/>
        <v>2420.754576827454</v>
      </c>
      <c r="AC679" s="72">
        <f t="shared" si="265"/>
        <v>2474.0111775176579</v>
      </c>
      <c r="AD679" s="72">
        <f t="shared" si="266"/>
        <v>2528.4394234230463</v>
      </c>
      <c r="AE679" s="72">
        <f t="shared" si="267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49"/>
        <v>2680.7495375707044</v>
      </c>
      <c r="M680" s="72">
        <f t="shared" si="250"/>
        <v>2739.7260273972602</v>
      </c>
      <c r="N680" s="90">
        <f>IF(UPPER(Settings!$B$3)="EGY",F680,0)</f>
        <v>2800</v>
      </c>
      <c r="O680" s="72">
        <f t="shared" si="251"/>
        <v>2861.6</v>
      </c>
      <c r="P680" s="72">
        <f t="shared" si="252"/>
        <v>2924.5551999999998</v>
      </c>
      <c r="Q680" s="72">
        <f t="shared" si="253"/>
        <v>2988.8954143999999</v>
      </c>
      <c r="R680" s="72">
        <f t="shared" si="254"/>
        <v>3054.6511135167998</v>
      </c>
      <c r="S680" s="72">
        <f t="shared" si="255"/>
        <v>3121.8534380141696</v>
      </c>
      <c r="T680" s="72">
        <f t="shared" si="256"/>
        <v>3190.5342136504814</v>
      </c>
      <c r="U680" s="72">
        <f t="shared" si="257"/>
        <v>3260.7259663507921</v>
      </c>
      <c r="V680" s="72">
        <f t="shared" si="258"/>
        <v>3332.4619376105097</v>
      </c>
      <c r="W680" s="72">
        <f t="shared" si="259"/>
        <v>3405.7761002379411</v>
      </c>
      <c r="X680" s="72">
        <f t="shared" si="260"/>
        <v>3480.7031744431761</v>
      </c>
      <c r="Y680" s="72">
        <f t="shared" si="261"/>
        <v>3557.2786442809261</v>
      </c>
      <c r="Z680" s="72">
        <f t="shared" si="262"/>
        <v>3635.5387744551067</v>
      </c>
      <c r="AA680" s="72">
        <f t="shared" si="263"/>
        <v>3715.5206274931193</v>
      </c>
      <c r="AB680" s="72">
        <f t="shared" si="264"/>
        <v>3797.2620812979681</v>
      </c>
      <c r="AC680" s="72">
        <f t="shared" si="265"/>
        <v>3880.8018470865236</v>
      </c>
      <c r="AD680" s="72">
        <f t="shared" si="266"/>
        <v>3966.179487722427</v>
      </c>
      <c r="AE680" s="72">
        <f t="shared" si="267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49"/>
        <v>574.44632947943671</v>
      </c>
      <c r="M681" s="72">
        <f t="shared" si="250"/>
        <v>587.08414872798437</v>
      </c>
      <c r="N681" s="90">
        <f>IF(UPPER(Settings!$B$3)="EGY",F681,0)</f>
        <v>600</v>
      </c>
      <c r="O681" s="72">
        <f t="shared" si="251"/>
        <v>613.20000000000005</v>
      </c>
      <c r="P681" s="72">
        <f t="shared" si="252"/>
        <v>626.69040000000007</v>
      </c>
      <c r="Q681" s="72">
        <f t="shared" si="253"/>
        <v>640.47758880000004</v>
      </c>
      <c r="R681" s="72">
        <f t="shared" si="254"/>
        <v>654.56809575360001</v>
      </c>
      <c r="S681" s="72">
        <f t="shared" si="255"/>
        <v>668.96859386017923</v>
      </c>
      <c r="T681" s="72">
        <f t="shared" si="256"/>
        <v>683.68590292510316</v>
      </c>
      <c r="U681" s="72">
        <f t="shared" si="257"/>
        <v>698.72699278945549</v>
      </c>
      <c r="V681" s="72">
        <f t="shared" si="258"/>
        <v>714.09898663082356</v>
      </c>
      <c r="W681" s="72">
        <f t="shared" si="259"/>
        <v>729.80916433670166</v>
      </c>
      <c r="X681" s="72">
        <f t="shared" si="260"/>
        <v>745.86496595210906</v>
      </c>
      <c r="Y681" s="72">
        <f t="shared" si="261"/>
        <v>762.27399520305551</v>
      </c>
      <c r="Z681" s="72">
        <f t="shared" si="262"/>
        <v>779.04402309752277</v>
      </c>
      <c r="AA681" s="72">
        <f t="shared" si="263"/>
        <v>796.18299160566824</v>
      </c>
      <c r="AB681" s="72">
        <f t="shared" si="264"/>
        <v>813.69901742099296</v>
      </c>
      <c r="AC681" s="72">
        <f t="shared" si="265"/>
        <v>831.60039580425484</v>
      </c>
      <c r="AD681" s="72">
        <f t="shared" si="266"/>
        <v>849.89560451194848</v>
      </c>
      <c r="AE681" s="72">
        <f t="shared" si="267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49"/>
        <v>269.53572471417982</v>
      </c>
      <c r="M682" s="72">
        <f t="shared" si="250"/>
        <v>284.36018957345971</v>
      </c>
      <c r="N682" s="90">
        <f>IF(UPPER(Settings!$B$3)="EGY",F682,0)</f>
        <v>300</v>
      </c>
      <c r="O682" s="72">
        <f t="shared" si="251"/>
        <v>316.5</v>
      </c>
      <c r="P682" s="72">
        <f t="shared" si="252"/>
        <v>333.90749999999997</v>
      </c>
      <c r="Q682" s="72">
        <f t="shared" si="253"/>
        <v>352.27241249999997</v>
      </c>
      <c r="R682" s="72">
        <f t="shared" si="254"/>
        <v>371.64739518749997</v>
      </c>
      <c r="S682" s="72">
        <f t="shared" si="255"/>
        <v>392.08800192281245</v>
      </c>
      <c r="T682" s="72">
        <f t="shared" si="256"/>
        <v>413.65284202856714</v>
      </c>
      <c r="U682" s="72">
        <f t="shared" si="257"/>
        <v>436.40374834013829</v>
      </c>
      <c r="V682" s="72">
        <f t="shared" si="258"/>
        <v>460.40595449884586</v>
      </c>
      <c r="W682" s="72">
        <f t="shared" si="259"/>
        <v>485.72828199628236</v>
      </c>
      <c r="X682" s="72">
        <f t="shared" si="260"/>
        <v>512.44333750607791</v>
      </c>
      <c r="Y682" s="72">
        <f t="shared" si="261"/>
        <v>540.62772106891214</v>
      </c>
      <c r="Z682" s="72">
        <f t="shared" si="262"/>
        <v>570.36224572770232</v>
      </c>
      <c r="AA682" s="72">
        <f t="shared" si="263"/>
        <v>601.73216924272594</v>
      </c>
      <c r="AB682" s="72">
        <f t="shared" si="264"/>
        <v>634.82743855107583</v>
      </c>
      <c r="AC682" s="72">
        <f t="shared" si="265"/>
        <v>669.74294767138497</v>
      </c>
      <c r="AD682" s="72">
        <f t="shared" si="266"/>
        <v>706.57880979331105</v>
      </c>
      <c r="AE682" s="72">
        <f t="shared" si="267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68">L673</f>
        <v>2022</v>
      </c>
      <c r="M686" s="74">
        <f t="shared" si="268"/>
        <v>2023</v>
      </c>
      <c r="N686" s="74">
        <f t="shared" si="268"/>
        <v>2024</v>
      </c>
      <c r="O686" s="74">
        <f t="shared" si="268"/>
        <v>2025</v>
      </c>
      <c r="P686" s="74">
        <f t="shared" si="268"/>
        <v>2026</v>
      </c>
      <c r="Q686" s="74">
        <f t="shared" si="268"/>
        <v>2027</v>
      </c>
      <c r="R686" s="74">
        <f t="shared" si="268"/>
        <v>2028</v>
      </c>
      <c r="S686" s="74">
        <f t="shared" si="268"/>
        <v>2029</v>
      </c>
      <c r="T686" s="74">
        <f t="shared" si="268"/>
        <v>2030</v>
      </c>
      <c r="U686" s="74">
        <f t="shared" si="268"/>
        <v>2031</v>
      </c>
      <c r="V686" s="74">
        <f t="shared" si="268"/>
        <v>2032</v>
      </c>
      <c r="W686" s="74">
        <f t="shared" si="268"/>
        <v>2033</v>
      </c>
      <c r="X686" s="74">
        <f t="shared" si="268"/>
        <v>2034</v>
      </c>
      <c r="Y686" s="74">
        <f t="shared" si="268"/>
        <v>2035</v>
      </c>
      <c r="Z686" s="74">
        <f t="shared" si="268"/>
        <v>2036</v>
      </c>
      <c r="AA686" s="74">
        <f t="shared" si="268"/>
        <v>2037</v>
      </c>
      <c r="AB686" s="74">
        <f t="shared" si="268"/>
        <v>2038</v>
      </c>
      <c r="AC686" s="74">
        <f t="shared" si="268"/>
        <v>2039</v>
      </c>
      <c r="AD686" s="74">
        <f t="shared" si="268"/>
        <v>2040</v>
      </c>
      <c r="AE686" s="74">
        <f t="shared" si="268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69">G687</f>
        <v>750</v>
      </c>
      <c r="M687" s="72">
        <f t="shared" ref="M687:M694" si="270">G687</f>
        <v>750</v>
      </c>
      <c r="N687" s="72">
        <f t="shared" ref="N687:N694" si="271">G687</f>
        <v>750</v>
      </c>
      <c r="O687" s="72">
        <f t="shared" ref="O687:O694" si="272">G687</f>
        <v>750</v>
      </c>
      <c r="P687" s="72">
        <f t="shared" ref="P687:P694" si="273">G687</f>
        <v>750</v>
      </c>
      <c r="Q687" s="72">
        <f t="shared" ref="Q687:Q694" si="274">G687</f>
        <v>750</v>
      </c>
      <c r="R687" s="72">
        <f t="shared" ref="R687:R694" si="275">G687</f>
        <v>750</v>
      </c>
      <c r="S687" s="72">
        <f t="shared" ref="S687:S694" si="276">G687</f>
        <v>750</v>
      </c>
      <c r="T687" s="72">
        <f t="shared" ref="T687:T694" si="277">G687</f>
        <v>750</v>
      </c>
      <c r="U687" s="72">
        <f t="shared" ref="U687:U694" si="278">G687</f>
        <v>750</v>
      </c>
      <c r="V687" s="72">
        <f t="shared" ref="V687:V694" si="279">G687</f>
        <v>750</v>
      </c>
      <c r="W687" s="72">
        <f t="shared" ref="W687:W694" si="280">G687</f>
        <v>750</v>
      </c>
      <c r="X687" s="72">
        <f t="shared" ref="X687:X694" si="281">G687</f>
        <v>750</v>
      </c>
      <c r="Y687" s="72">
        <f t="shared" ref="Y687:Y694" si="282">G687</f>
        <v>750</v>
      </c>
      <c r="Z687" s="72">
        <f t="shared" ref="Z687:Z694" si="283">G687</f>
        <v>750</v>
      </c>
      <c r="AA687" s="72">
        <f t="shared" ref="AA687:AA694" si="284">G687</f>
        <v>750</v>
      </c>
      <c r="AB687" s="72">
        <f t="shared" ref="AB687:AB694" si="285">G687</f>
        <v>750</v>
      </c>
      <c r="AC687" s="72">
        <f t="shared" ref="AC687:AC694" si="286">G687</f>
        <v>750</v>
      </c>
      <c r="AD687" s="72">
        <f t="shared" ref="AD687:AD694" si="287">G687</f>
        <v>750</v>
      </c>
      <c r="AE687" s="72">
        <f t="shared" ref="AE687:AE694" si="288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69"/>
        <v>680</v>
      </c>
      <c r="M688" s="72">
        <f t="shared" si="270"/>
        <v>680</v>
      </c>
      <c r="N688" s="72">
        <f t="shared" si="271"/>
        <v>680</v>
      </c>
      <c r="O688" s="72">
        <f t="shared" si="272"/>
        <v>680</v>
      </c>
      <c r="P688" s="72">
        <f t="shared" si="273"/>
        <v>680</v>
      </c>
      <c r="Q688" s="72">
        <f t="shared" si="274"/>
        <v>680</v>
      </c>
      <c r="R688" s="72">
        <f t="shared" si="275"/>
        <v>680</v>
      </c>
      <c r="S688" s="72">
        <f t="shared" si="276"/>
        <v>680</v>
      </c>
      <c r="T688" s="72">
        <f t="shared" si="277"/>
        <v>680</v>
      </c>
      <c r="U688" s="72">
        <f t="shared" si="278"/>
        <v>680</v>
      </c>
      <c r="V688" s="72">
        <f t="shared" si="279"/>
        <v>680</v>
      </c>
      <c r="W688" s="72">
        <f t="shared" si="280"/>
        <v>680</v>
      </c>
      <c r="X688" s="72">
        <f t="shared" si="281"/>
        <v>680</v>
      </c>
      <c r="Y688" s="72">
        <f t="shared" si="282"/>
        <v>680</v>
      </c>
      <c r="Z688" s="72">
        <f t="shared" si="283"/>
        <v>680</v>
      </c>
      <c r="AA688" s="72">
        <f t="shared" si="284"/>
        <v>680</v>
      </c>
      <c r="AB688" s="72">
        <f t="shared" si="285"/>
        <v>680</v>
      </c>
      <c r="AC688" s="72">
        <f t="shared" si="286"/>
        <v>680</v>
      </c>
      <c r="AD688" s="72">
        <f t="shared" si="287"/>
        <v>680</v>
      </c>
      <c r="AE688" s="72">
        <f t="shared" si="288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69"/>
        <v>620</v>
      </c>
      <c r="M689" s="72">
        <f t="shared" si="270"/>
        <v>620</v>
      </c>
      <c r="N689" s="72">
        <f t="shared" si="271"/>
        <v>620</v>
      </c>
      <c r="O689" s="72">
        <f t="shared" si="272"/>
        <v>620</v>
      </c>
      <c r="P689" s="72">
        <f t="shared" si="273"/>
        <v>620</v>
      </c>
      <c r="Q689" s="72">
        <f t="shared" si="274"/>
        <v>620</v>
      </c>
      <c r="R689" s="72">
        <f t="shared" si="275"/>
        <v>620</v>
      </c>
      <c r="S689" s="72">
        <f t="shared" si="276"/>
        <v>620</v>
      </c>
      <c r="T689" s="72">
        <f t="shared" si="277"/>
        <v>620</v>
      </c>
      <c r="U689" s="72">
        <f t="shared" si="278"/>
        <v>620</v>
      </c>
      <c r="V689" s="72">
        <f t="shared" si="279"/>
        <v>620</v>
      </c>
      <c r="W689" s="72">
        <f t="shared" si="280"/>
        <v>620</v>
      </c>
      <c r="X689" s="72">
        <f t="shared" si="281"/>
        <v>620</v>
      </c>
      <c r="Y689" s="72">
        <f t="shared" si="282"/>
        <v>620</v>
      </c>
      <c r="Z689" s="72">
        <f t="shared" si="283"/>
        <v>620</v>
      </c>
      <c r="AA689" s="72">
        <f t="shared" si="284"/>
        <v>620</v>
      </c>
      <c r="AB689" s="72">
        <f t="shared" si="285"/>
        <v>620</v>
      </c>
      <c r="AC689" s="72">
        <f t="shared" si="286"/>
        <v>620</v>
      </c>
      <c r="AD689" s="72">
        <f t="shared" si="287"/>
        <v>620</v>
      </c>
      <c r="AE689" s="72">
        <f t="shared" si="288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69"/>
        <v>110</v>
      </c>
      <c r="M690" s="72">
        <f t="shared" si="270"/>
        <v>110</v>
      </c>
      <c r="N690" s="72">
        <f t="shared" si="271"/>
        <v>110</v>
      </c>
      <c r="O690" s="72">
        <f t="shared" si="272"/>
        <v>110</v>
      </c>
      <c r="P690" s="72">
        <f t="shared" si="273"/>
        <v>110</v>
      </c>
      <c r="Q690" s="72">
        <f t="shared" si="274"/>
        <v>110</v>
      </c>
      <c r="R690" s="72">
        <f t="shared" si="275"/>
        <v>110</v>
      </c>
      <c r="S690" s="72">
        <f t="shared" si="276"/>
        <v>110</v>
      </c>
      <c r="T690" s="72">
        <f t="shared" si="277"/>
        <v>110</v>
      </c>
      <c r="U690" s="72">
        <f t="shared" si="278"/>
        <v>110</v>
      </c>
      <c r="V690" s="72">
        <f t="shared" si="279"/>
        <v>110</v>
      </c>
      <c r="W690" s="72">
        <f t="shared" si="280"/>
        <v>110</v>
      </c>
      <c r="X690" s="72">
        <f t="shared" si="281"/>
        <v>110</v>
      </c>
      <c r="Y690" s="72">
        <f t="shared" si="282"/>
        <v>110</v>
      </c>
      <c r="Z690" s="72">
        <f t="shared" si="283"/>
        <v>110</v>
      </c>
      <c r="AA690" s="72">
        <f t="shared" si="284"/>
        <v>110</v>
      </c>
      <c r="AB690" s="72">
        <f t="shared" si="285"/>
        <v>110</v>
      </c>
      <c r="AC690" s="72">
        <f t="shared" si="286"/>
        <v>110</v>
      </c>
      <c r="AD690" s="72">
        <f t="shared" si="287"/>
        <v>110</v>
      </c>
      <c r="AE690" s="72">
        <f t="shared" si="288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69"/>
        <v>450</v>
      </c>
      <c r="M691" s="72">
        <f t="shared" si="270"/>
        <v>450</v>
      </c>
      <c r="N691" s="72">
        <f t="shared" si="271"/>
        <v>450</v>
      </c>
      <c r="O691" s="72">
        <f t="shared" si="272"/>
        <v>450</v>
      </c>
      <c r="P691" s="72">
        <f t="shared" si="273"/>
        <v>450</v>
      </c>
      <c r="Q691" s="72">
        <f t="shared" si="274"/>
        <v>450</v>
      </c>
      <c r="R691" s="72">
        <f t="shared" si="275"/>
        <v>450</v>
      </c>
      <c r="S691" s="72">
        <f t="shared" si="276"/>
        <v>450</v>
      </c>
      <c r="T691" s="72">
        <f t="shared" si="277"/>
        <v>450</v>
      </c>
      <c r="U691" s="72">
        <f t="shared" si="278"/>
        <v>450</v>
      </c>
      <c r="V691" s="72">
        <f t="shared" si="279"/>
        <v>450</v>
      </c>
      <c r="W691" s="72">
        <f t="shared" si="280"/>
        <v>450</v>
      </c>
      <c r="X691" s="72">
        <f t="shared" si="281"/>
        <v>450</v>
      </c>
      <c r="Y691" s="72">
        <f t="shared" si="282"/>
        <v>450</v>
      </c>
      <c r="Z691" s="72">
        <f t="shared" si="283"/>
        <v>450</v>
      </c>
      <c r="AA691" s="72">
        <f t="shared" si="284"/>
        <v>450</v>
      </c>
      <c r="AB691" s="72">
        <f t="shared" si="285"/>
        <v>450</v>
      </c>
      <c r="AC691" s="72">
        <f t="shared" si="286"/>
        <v>450</v>
      </c>
      <c r="AD691" s="72">
        <f t="shared" si="287"/>
        <v>450</v>
      </c>
      <c r="AE691" s="72">
        <f t="shared" si="288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69"/>
        <v>380</v>
      </c>
      <c r="M692" s="72">
        <f t="shared" si="270"/>
        <v>380</v>
      </c>
      <c r="N692" s="72">
        <f t="shared" si="271"/>
        <v>380</v>
      </c>
      <c r="O692" s="72">
        <f t="shared" si="272"/>
        <v>380</v>
      </c>
      <c r="P692" s="72">
        <f t="shared" si="273"/>
        <v>380</v>
      </c>
      <c r="Q692" s="72">
        <f t="shared" si="274"/>
        <v>380</v>
      </c>
      <c r="R692" s="72">
        <f t="shared" si="275"/>
        <v>380</v>
      </c>
      <c r="S692" s="72">
        <f t="shared" si="276"/>
        <v>380</v>
      </c>
      <c r="T692" s="72">
        <f t="shared" si="277"/>
        <v>380</v>
      </c>
      <c r="U692" s="72">
        <f t="shared" si="278"/>
        <v>380</v>
      </c>
      <c r="V692" s="72">
        <f t="shared" si="279"/>
        <v>380</v>
      </c>
      <c r="W692" s="72">
        <f t="shared" si="280"/>
        <v>380</v>
      </c>
      <c r="X692" s="72">
        <f t="shared" si="281"/>
        <v>380</v>
      </c>
      <c r="Y692" s="72">
        <f t="shared" si="282"/>
        <v>380</v>
      </c>
      <c r="Z692" s="72">
        <f t="shared" si="283"/>
        <v>380</v>
      </c>
      <c r="AA692" s="72">
        <f t="shared" si="284"/>
        <v>380</v>
      </c>
      <c r="AB692" s="72">
        <f t="shared" si="285"/>
        <v>380</v>
      </c>
      <c r="AC692" s="72">
        <f t="shared" si="286"/>
        <v>380</v>
      </c>
      <c r="AD692" s="72">
        <f t="shared" si="287"/>
        <v>380</v>
      </c>
      <c r="AE692" s="72">
        <f t="shared" si="288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69"/>
        <v>320</v>
      </c>
      <c r="M693" s="72">
        <f t="shared" si="270"/>
        <v>320</v>
      </c>
      <c r="N693" s="72">
        <f t="shared" si="271"/>
        <v>320</v>
      </c>
      <c r="O693" s="72">
        <f t="shared" si="272"/>
        <v>320</v>
      </c>
      <c r="P693" s="72">
        <f t="shared" si="273"/>
        <v>320</v>
      </c>
      <c r="Q693" s="72">
        <f t="shared" si="274"/>
        <v>320</v>
      </c>
      <c r="R693" s="72">
        <f t="shared" si="275"/>
        <v>320</v>
      </c>
      <c r="S693" s="72">
        <f t="shared" si="276"/>
        <v>320</v>
      </c>
      <c r="T693" s="72">
        <f t="shared" si="277"/>
        <v>320</v>
      </c>
      <c r="U693" s="72">
        <f t="shared" si="278"/>
        <v>320</v>
      </c>
      <c r="V693" s="72">
        <f t="shared" si="279"/>
        <v>320</v>
      </c>
      <c r="W693" s="72">
        <f t="shared" si="280"/>
        <v>320</v>
      </c>
      <c r="X693" s="72">
        <f t="shared" si="281"/>
        <v>320</v>
      </c>
      <c r="Y693" s="72">
        <f t="shared" si="282"/>
        <v>320</v>
      </c>
      <c r="Z693" s="72">
        <f t="shared" si="283"/>
        <v>320</v>
      </c>
      <c r="AA693" s="72">
        <f t="shared" si="284"/>
        <v>320</v>
      </c>
      <c r="AB693" s="72">
        <f t="shared" si="285"/>
        <v>320</v>
      </c>
      <c r="AC693" s="72">
        <f t="shared" si="286"/>
        <v>320</v>
      </c>
      <c r="AD693" s="72">
        <f t="shared" si="287"/>
        <v>320</v>
      </c>
      <c r="AE693" s="72">
        <f t="shared" si="288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69"/>
        <v>2400</v>
      </c>
      <c r="M694" s="72">
        <f t="shared" si="270"/>
        <v>2400</v>
      </c>
      <c r="N694" s="72">
        <f t="shared" si="271"/>
        <v>2400</v>
      </c>
      <c r="O694" s="72">
        <f t="shared" si="272"/>
        <v>2400</v>
      </c>
      <c r="P694" s="72">
        <f t="shared" si="273"/>
        <v>2400</v>
      </c>
      <c r="Q694" s="72">
        <f t="shared" si="274"/>
        <v>2400</v>
      </c>
      <c r="R694" s="72">
        <f t="shared" si="275"/>
        <v>2400</v>
      </c>
      <c r="S694" s="72">
        <f t="shared" si="276"/>
        <v>2400</v>
      </c>
      <c r="T694" s="72">
        <f t="shared" si="277"/>
        <v>2400</v>
      </c>
      <c r="U694" s="72">
        <f t="shared" si="278"/>
        <v>2400</v>
      </c>
      <c r="V694" s="72">
        <f t="shared" si="279"/>
        <v>2400</v>
      </c>
      <c r="W694" s="72">
        <f t="shared" si="280"/>
        <v>2400</v>
      </c>
      <c r="X694" s="72">
        <f t="shared" si="281"/>
        <v>2400</v>
      </c>
      <c r="Y694" s="72">
        <f t="shared" si="282"/>
        <v>2400</v>
      </c>
      <c r="Z694" s="72">
        <f t="shared" si="283"/>
        <v>2400</v>
      </c>
      <c r="AA694" s="72">
        <f t="shared" si="284"/>
        <v>2400</v>
      </c>
      <c r="AB694" s="72">
        <f t="shared" si="285"/>
        <v>2400</v>
      </c>
      <c r="AC694" s="72">
        <f t="shared" si="286"/>
        <v>2400</v>
      </c>
      <c r="AD694" s="72">
        <f t="shared" si="287"/>
        <v>2400</v>
      </c>
      <c r="AE694" s="72">
        <f t="shared" si="288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1902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89">L645</f>
        <v>2022</v>
      </c>
      <c r="M697" s="74">
        <f t="shared" si="289"/>
        <v>2023</v>
      </c>
      <c r="N697" s="74">
        <f t="shared" si="289"/>
        <v>2024</v>
      </c>
      <c r="O697" s="74">
        <f t="shared" si="289"/>
        <v>2025</v>
      </c>
      <c r="P697" s="74">
        <f t="shared" si="289"/>
        <v>2026</v>
      </c>
      <c r="Q697" s="74">
        <f t="shared" si="289"/>
        <v>2027</v>
      </c>
      <c r="R697" s="74">
        <f t="shared" si="289"/>
        <v>2028</v>
      </c>
      <c r="S697" s="74">
        <f t="shared" si="289"/>
        <v>2029</v>
      </c>
      <c r="T697" s="74">
        <f t="shared" si="289"/>
        <v>2030</v>
      </c>
      <c r="U697" s="74">
        <f t="shared" si="289"/>
        <v>2031</v>
      </c>
      <c r="V697" s="74">
        <f t="shared" si="289"/>
        <v>2032</v>
      </c>
      <c r="W697" s="74">
        <f t="shared" si="289"/>
        <v>2033</v>
      </c>
      <c r="X697" s="74">
        <f t="shared" si="289"/>
        <v>2034</v>
      </c>
      <c r="Y697" s="74">
        <f t="shared" si="289"/>
        <v>2035</v>
      </c>
      <c r="Z697" s="74">
        <f t="shared" si="289"/>
        <v>2036</v>
      </c>
      <c r="AA697" s="74">
        <f t="shared" si="289"/>
        <v>2037</v>
      </c>
      <c r="AB697" s="74">
        <f t="shared" si="289"/>
        <v>2038</v>
      </c>
      <c r="AC697" s="74">
        <f t="shared" si="289"/>
        <v>2039</v>
      </c>
      <c r="AD697" s="74">
        <f t="shared" si="289"/>
        <v>2040</v>
      </c>
      <c r="AE697" s="74">
        <f t="shared" si="289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ref="E698:E705" si="290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290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290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290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290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290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290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290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1923</v>
      </c>
      <c r="E707" s="71" t="s">
        <v>1415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1924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1903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91">L697</f>
        <v>2022</v>
      </c>
      <c r="M708" s="74">
        <f t="shared" si="291"/>
        <v>2023</v>
      </c>
      <c r="N708" s="74">
        <f t="shared" si="291"/>
        <v>2024</v>
      </c>
      <c r="O708" s="74">
        <f t="shared" si="291"/>
        <v>2025</v>
      </c>
      <c r="P708" s="74">
        <f t="shared" si="291"/>
        <v>2026</v>
      </c>
      <c r="Q708" s="74">
        <f t="shared" si="291"/>
        <v>2027</v>
      </c>
      <c r="R708" s="74">
        <f t="shared" si="291"/>
        <v>2028</v>
      </c>
      <c r="S708" s="74">
        <f t="shared" si="291"/>
        <v>2029</v>
      </c>
      <c r="T708" s="74">
        <f t="shared" si="291"/>
        <v>2030</v>
      </c>
      <c r="U708" s="74">
        <f t="shared" si="291"/>
        <v>2031</v>
      </c>
      <c r="V708" s="74">
        <f t="shared" si="291"/>
        <v>2032</v>
      </c>
      <c r="W708" s="74">
        <f t="shared" si="291"/>
        <v>2033</v>
      </c>
      <c r="X708" s="74">
        <f t="shared" si="291"/>
        <v>2034</v>
      </c>
      <c r="Y708" s="74">
        <f t="shared" si="291"/>
        <v>2035</v>
      </c>
      <c r="Z708" s="74">
        <f t="shared" si="291"/>
        <v>2036</v>
      </c>
      <c r="AA708" s="74">
        <f t="shared" si="291"/>
        <v>2037</v>
      </c>
      <c r="AB708" s="74">
        <f t="shared" si="291"/>
        <v>2038</v>
      </c>
      <c r="AC708" s="74">
        <f t="shared" si="291"/>
        <v>2039</v>
      </c>
      <c r="AD708" s="74">
        <f t="shared" si="291"/>
        <v>2040</v>
      </c>
      <c r="AE708" s="74">
        <f t="shared" si="291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ref="E709:E716" si="292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>($F709*L$707+$G709*L$647)*$E709</f>
        <v>0</v>
      </c>
      <c r="M709" s="81">
        <f>($F709*M$707+$G709*M$647)*$E709</f>
        <v>0</v>
      </c>
      <c r="N709" s="81">
        <f>($F709*N$707+$G709*N$647)*$E709</f>
        <v>0</v>
      </c>
      <c r="O709" s="81">
        <f>($F709*O$707+$G709*O$647)*$E709</f>
        <v>0</v>
      </c>
      <c r="P709" s="81">
        <f>($F709*P$707+$G709*P$647)*$E709</f>
        <v>0</v>
      </c>
      <c r="Q709" s="81">
        <f>($F709*Q$707+$G709*Q$647)*$E709</f>
        <v>0</v>
      </c>
      <c r="R709" s="81">
        <f>($F709*R$707+$G709*R$647)*$E709</f>
        <v>0</v>
      </c>
      <c r="S709" s="81">
        <f>($F709*S$707+$G709*S$647)*$E709</f>
        <v>0</v>
      </c>
      <c r="T709" s="81">
        <f>($F709*T$707+$G709*T$647)*$E709</f>
        <v>0</v>
      </c>
      <c r="U709" s="81">
        <f>($F709*U$707+$G709*U$647)*$E709</f>
        <v>0</v>
      </c>
      <c r="V709" s="81">
        <f>($F709*V$707+$G709*V$647)*$E709</f>
        <v>0</v>
      </c>
      <c r="W709" s="81">
        <f>($F709*W$707+$G709*W$647)*$E709</f>
        <v>0</v>
      </c>
      <c r="X709" s="81">
        <f>($F709*X$707+$G709*X$647)*$E709</f>
        <v>0</v>
      </c>
      <c r="Y709" s="81">
        <f>($F709*Y$707+$G709*Y$647)*$E709</f>
        <v>0</v>
      </c>
      <c r="Z709" s="81">
        <f>($F709*Z$707+$G709*Z$647)*$E709</f>
        <v>0</v>
      </c>
      <c r="AA709" s="81">
        <f>($F709*AA$707+$G709*AA$647)*$E709</f>
        <v>0</v>
      </c>
      <c r="AB709" s="81">
        <f>($F709*AB$707+$G709*AB$647)*$E709</f>
        <v>0</v>
      </c>
      <c r="AC709" s="81">
        <f>($F709*AC$707+$G709*AC$647)*$E709</f>
        <v>0</v>
      </c>
      <c r="AD709" s="81">
        <f>($F709*AD$707+$G709*AD$647)*$E709</f>
        <v>0</v>
      </c>
      <c r="AE709" s="81">
        <f>($F709*AE$707+$G709*AE$647)*$E709</f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292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>($F710*L$707+$G710*L$647)*$E710</f>
        <v>0</v>
      </c>
      <c r="M710" s="81">
        <f>($F710*M$707+$G710*M$647)*$E710</f>
        <v>0</v>
      </c>
      <c r="N710" s="81">
        <f>($F710*N$707+$G710*N$647)*$E710</f>
        <v>0</v>
      </c>
      <c r="O710" s="81">
        <f>($F710*O$707+$G710*O$647)*$E710</f>
        <v>0</v>
      </c>
      <c r="P710" s="81">
        <f>($F710*P$707+$G710*P$647)*$E710</f>
        <v>0</v>
      </c>
      <c r="Q710" s="81">
        <f>($F710*Q$707+$G710*Q$647)*$E710</f>
        <v>0</v>
      </c>
      <c r="R710" s="81">
        <f>($F710*R$707+$G710*R$647)*$E710</f>
        <v>0</v>
      </c>
      <c r="S710" s="81">
        <f>($F710*S$707+$G710*S$647)*$E710</f>
        <v>0</v>
      </c>
      <c r="T710" s="81">
        <f>($F710*T$707+$G710*T$647)*$E710</f>
        <v>0</v>
      </c>
      <c r="U710" s="81">
        <f>($F710*U$707+$G710*U$647)*$E710</f>
        <v>0</v>
      </c>
      <c r="V710" s="81">
        <f>($F710*V$707+$G710*V$647)*$E710</f>
        <v>0</v>
      </c>
      <c r="W710" s="81">
        <f>($F710*W$707+$G710*W$647)*$E710</f>
        <v>0</v>
      </c>
      <c r="X710" s="81">
        <f>($F710*X$707+$G710*X$647)*$E710</f>
        <v>0</v>
      </c>
      <c r="Y710" s="81">
        <f>($F710*Y$707+$G710*Y$647)*$E710</f>
        <v>0</v>
      </c>
      <c r="Z710" s="81">
        <f>($F710*Z$707+$G710*Z$647)*$E710</f>
        <v>0</v>
      </c>
      <c r="AA710" s="81">
        <f>($F710*AA$707+$G710*AA$647)*$E710</f>
        <v>0</v>
      </c>
      <c r="AB710" s="81">
        <f>($F710*AB$707+$G710*AB$647)*$E710</f>
        <v>0</v>
      </c>
      <c r="AC710" s="81">
        <f>($F710*AC$707+$G710*AC$647)*$E710</f>
        <v>0</v>
      </c>
      <c r="AD710" s="81">
        <f>($F710*AD$707+$G710*AD$647)*$E710</f>
        <v>0</v>
      </c>
      <c r="AE710" s="81">
        <f>($F710*AE$707+$G710*AE$647)*$E710</f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292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>($F711*L$707+$G711*L$647)*$E711</f>
        <v>0</v>
      </c>
      <c r="M711" s="81">
        <f>($F711*M$707+$G711*M$647)*$E711</f>
        <v>0</v>
      </c>
      <c r="N711" s="81">
        <f>($F711*N$707+$G711*N$647)*$E711</f>
        <v>0</v>
      </c>
      <c r="O711" s="81">
        <f>($F711*O$707+$G711*O$647)*$E711</f>
        <v>0</v>
      </c>
      <c r="P711" s="81">
        <f>($F711*P$707+$G711*P$647)*$E711</f>
        <v>0</v>
      </c>
      <c r="Q711" s="81">
        <f>($F711*Q$707+$G711*Q$647)*$E711</f>
        <v>0</v>
      </c>
      <c r="R711" s="81">
        <f>($F711*R$707+$G711*R$647)*$E711</f>
        <v>0</v>
      </c>
      <c r="S711" s="81">
        <f>($F711*S$707+$G711*S$647)*$E711</f>
        <v>0</v>
      </c>
      <c r="T711" s="81">
        <f>($F711*T$707+$G711*T$647)*$E711</f>
        <v>0</v>
      </c>
      <c r="U711" s="81">
        <f>($F711*U$707+$G711*U$647)*$E711</f>
        <v>0</v>
      </c>
      <c r="V711" s="81">
        <f>($F711*V$707+$G711*V$647)*$E711</f>
        <v>0</v>
      </c>
      <c r="W711" s="81">
        <f>($F711*W$707+$G711*W$647)*$E711</f>
        <v>0</v>
      </c>
      <c r="X711" s="81">
        <f>($F711*X$707+$G711*X$647)*$E711</f>
        <v>0</v>
      </c>
      <c r="Y711" s="81">
        <f>($F711*Y$707+$G711*Y$647)*$E711</f>
        <v>0</v>
      </c>
      <c r="Z711" s="81">
        <f>($F711*Z$707+$G711*Z$647)*$E711</f>
        <v>0</v>
      </c>
      <c r="AA711" s="81">
        <f>($F711*AA$707+$G711*AA$647)*$E711</f>
        <v>0</v>
      </c>
      <c r="AB711" s="81">
        <f>($F711*AB$707+$G711*AB$647)*$E711</f>
        <v>0</v>
      </c>
      <c r="AC711" s="81">
        <f>($F711*AC$707+$G711*AC$647)*$E711</f>
        <v>0</v>
      </c>
      <c r="AD711" s="81">
        <f>($F711*AD$707+$G711*AD$647)*$E711</f>
        <v>0</v>
      </c>
      <c r="AE711" s="81">
        <f>($F711*AE$707+$G711*AE$647)*$E711</f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292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>($F712*L$707+$G712*L$647)*$E712</f>
        <v>0</v>
      </c>
      <c r="M712" s="81">
        <f>($F712*M$707+$G712*M$647)*$E712</f>
        <v>0</v>
      </c>
      <c r="N712" s="81">
        <f>($F712*N$707+$G712*N$647)*$E712</f>
        <v>0</v>
      </c>
      <c r="O712" s="81">
        <f>($F712*O$707+$G712*O$647)*$E712</f>
        <v>0</v>
      </c>
      <c r="P712" s="81">
        <f>($F712*P$707+$G712*P$647)*$E712</f>
        <v>0</v>
      </c>
      <c r="Q712" s="81">
        <f>($F712*Q$707+$G712*Q$647)*$E712</f>
        <v>0</v>
      </c>
      <c r="R712" s="81">
        <f>($F712*R$707+$G712*R$647)*$E712</f>
        <v>0</v>
      </c>
      <c r="S712" s="81">
        <f>($F712*S$707+$G712*S$647)*$E712</f>
        <v>0</v>
      </c>
      <c r="T712" s="81">
        <f>($F712*T$707+$G712*T$647)*$E712</f>
        <v>0</v>
      </c>
      <c r="U712" s="81">
        <f>($F712*U$707+$G712*U$647)*$E712</f>
        <v>0</v>
      </c>
      <c r="V712" s="81">
        <f>($F712*V$707+$G712*V$647)*$E712</f>
        <v>0</v>
      </c>
      <c r="W712" s="81">
        <f>($F712*W$707+$G712*W$647)*$E712</f>
        <v>0</v>
      </c>
      <c r="X712" s="81">
        <f>($F712*X$707+$G712*X$647)*$E712</f>
        <v>0</v>
      </c>
      <c r="Y712" s="81">
        <f>($F712*Y$707+$G712*Y$647)*$E712</f>
        <v>0</v>
      </c>
      <c r="Z712" s="81">
        <f>($F712*Z$707+$G712*Z$647)*$E712</f>
        <v>0</v>
      </c>
      <c r="AA712" s="81">
        <f>($F712*AA$707+$G712*AA$647)*$E712</f>
        <v>0</v>
      </c>
      <c r="AB712" s="81">
        <f>($F712*AB$707+$G712*AB$647)*$E712</f>
        <v>0</v>
      </c>
      <c r="AC712" s="81">
        <f>($F712*AC$707+$G712*AC$647)*$E712</f>
        <v>0</v>
      </c>
      <c r="AD712" s="81">
        <f>($F712*AD$707+$G712*AD$647)*$E712</f>
        <v>0</v>
      </c>
      <c r="AE712" s="81">
        <f>($F712*AE$707+$G712*AE$647)*$E712</f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292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>($F713*L$707+$G713*L$647)*$E713</f>
        <v>0</v>
      </c>
      <c r="M713" s="81">
        <f>($F713*M$707+$G713*M$647)*$E713</f>
        <v>0</v>
      </c>
      <c r="N713" s="81">
        <f>($F713*N$707+$G713*N$647)*$E713</f>
        <v>0</v>
      </c>
      <c r="O713" s="81">
        <f>($F713*O$707+$G713*O$647)*$E713</f>
        <v>0</v>
      </c>
      <c r="P713" s="81">
        <f>($F713*P$707+$G713*P$647)*$E713</f>
        <v>0</v>
      </c>
      <c r="Q713" s="81">
        <f>($F713*Q$707+$G713*Q$647)*$E713</f>
        <v>0</v>
      </c>
      <c r="R713" s="81">
        <f>($F713*R$707+$G713*R$647)*$E713</f>
        <v>0</v>
      </c>
      <c r="S713" s="81">
        <f>($F713*S$707+$G713*S$647)*$E713</f>
        <v>0</v>
      </c>
      <c r="T713" s="81">
        <f>($F713*T$707+$G713*T$647)*$E713</f>
        <v>0</v>
      </c>
      <c r="U713" s="81">
        <f>($F713*U$707+$G713*U$647)*$E713</f>
        <v>0</v>
      </c>
      <c r="V713" s="81">
        <f>($F713*V$707+$G713*V$647)*$E713</f>
        <v>0</v>
      </c>
      <c r="W713" s="81">
        <f>($F713*W$707+$G713*W$647)*$E713</f>
        <v>0</v>
      </c>
      <c r="X713" s="81">
        <f>($F713*X$707+$G713*X$647)*$E713</f>
        <v>0</v>
      </c>
      <c r="Y713" s="81">
        <f>($F713*Y$707+$G713*Y$647)*$E713</f>
        <v>0</v>
      </c>
      <c r="Z713" s="81">
        <f>($F713*Z$707+$G713*Z$647)*$E713</f>
        <v>0</v>
      </c>
      <c r="AA713" s="81">
        <f>($F713*AA$707+$G713*AA$647)*$E713</f>
        <v>0</v>
      </c>
      <c r="AB713" s="81">
        <f>($F713*AB$707+$G713*AB$647)*$E713</f>
        <v>0</v>
      </c>
      <c r="AC713" s="81">
        <f>($F713*AC$707+$G713*AC$647)*$E713</f>
        <v>0</v>
      </c>
      <c r="AD713" s="81">
        <f>($F713*AD$707+$G713*AD$647)*$E713</f>
        <v>0</v>
      </c>
      <c r="AE713" s="81">
        <f>($F713*AE$707+$G713*AE$647)*$E713</f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292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>($F714*L$707+$G714*L$647)*$E714</f>
        <v>0</v>
      </c>
      <c r="M714" s="81">
        <f>($F714*M$707+$G714*M$647)*$E714</f>
        <v>0</v>
      </c>
      <c r="N714" s="81">
        <f>($F714*N$707+$G714*N$647)*$E714</f>
        <v>0</v>
      </c>
      <c r="O714" s="81">
        <f>($F714*O$707+$G714*O$647)*$E714</f>
        <v>0</v>
      </c>
      <c r="P714" s="81">
        <f>($F714*P$707+$G714*P$647)*$E714</f>
        <v>0</v>
      </c>
      <c r="Q714" s="81">
        <f>($F714*Q$707+$G714*Q$647)*$E714</f>
        <v>0</v>
      </c>
      <c r="R714" s="81">
        <f>($F714*R$707+$G714*R$647)*$E714</f>
        <v>0</v>
      </c>
      <c r="S714" s="81">
        <f>($F714*S$707+$G714*S$647)*$E714</f>
        <v>0</v>
      </c>
      <c r="T714" s="81">
        <f>($F714*T$707+$G714*T$647)*$E714</f>
        <v>0</v>
      </c>
      <c r="U714" s="81">
        <f>($F714*U$707+$G714*U$647)*$E714</f>
        <v>0</v>
      </c>
      <c r="V714" s="81">
        <f>($F714*V$707+$G714*V$647)*$E714</f>
        <v>0</v>
      </c>
      <c r="W714" s="81">
        <f>($F714*W$707+$G714*W$647)*$E714</f>
        <v>0</v>
      </c>
      <c r="X714" s="81">
        <f>($F714*X$707+$G714*X$647)*$E714</f>
        <v>0</v>
      </c>
      <c r="Y714" s="81">
        <f>($F714*Y$707+$G714*Y$647)*$E714</f>
        <v>0</v>
      </c>
      <c r="Z714" s="81">
        <f>($F714*Z$707+$G714*Z$647)*$E714</f>
        <v>0</v>
      </c>
      <c r="AA714" s="81">
        <f>($F714*AA$707+$G714*AA$647)*$E714</f>
        <v>0</v>
      </c>
      <c r="AB714" s="81">
        <f>($F714*AB$707+$G714*AB$647)*$E714</f>
        <v>0</v>
      </c>
      <c r="AC714" s="81">
        <f>($F714*AC$707+$G714*AC$647)*$E714</f>
        <v>0</v>
      </c>
      <c r="AD714" s="81">
        <f>($F714*AD$707+$G714*AD$647)*$E714</f>
        <v>0</v>
      </c>
      <c r="AE714" s="81">
        <f>($F714*AE$707+$G714*AE$647)*$E714</f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292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>($F715*L$707+$G715*L$647)*$E715</f>
        <v>0</v>
      </c>
      <c r="M715" s="81">
        <f>($F715*M$707+$G715*M$647)*$E715</f>
        <v>0</v>
      </c>
      <c r="N715" s="81">
        <f>($F715*N$707+$G715*N$647)*$E715</f>
        <v>0</v>
      </c>
      <c r="O715" s="81">
        <f>($F715*O$707+$G715*O$647)*$E715</f>
        <v>0</v>
      </c>
      <c r="P715" s="81">
        <f>($F715*P$707+$G715*P$647)*$E715</f>
        <v>0</v>
      </c>
      <c r="Q715" s="81">
        <f>($F715*Q$707+$G715*Q$647)*$E715</f>
        <v>0</v>
      </c>
      <c r="R715" s="81">
        <f>($F715*R$707+$G715*R$647)*$E715</f>
        <v>0</v>
      </c>
      <c r="S715" s="81">
        <f>($F715*S$707+$G715*S$647)*$E715</f>
        <v>0</v>
      </c>
      <c r="T715" s="81">
        <f>($F715*T$707+$G715*T$647)*$E715</f>
        <v>0</v>
      </c>
      <c r="U715" s="81">
        <f>($F715*U$707+$G715*U$647)*$E715</f>
        <v>0</v>
      </c>
      <c r="V715" s="81">
        <f>($F715*V$707+$G715*V$647)*$E715</f>
        <v>0</v>
      </c>
      <c r="W715" s="81">
        <f>($F715*W$707+$G715*W$647)*$E715</f>
        <v>0</v>
      </c>
      <c r="X715" s="81">
        <f>($F715*X$707+$G715*X$647)*$E715</f>
        <v>0</v>
      </c>
      <c r="Y715" s="81">
        <f>($F715*Y$707+$G715*Y$647)*$E715</f>
        <v>0</v>
      </c>
      <c r="Z715" s="81">
        <f>($F715*Z$707+$G715*Z$647)*$E715</f>
        <v>0</v>
      </c>
      <c r="AA715" s="81">
        <f>($F715*AA$707+$G715*AA$647)*$E715</f>
        <v>0</v>
      </c>
      <c r="AB715" s="81">
        <f>($F715*AB$707+$G715*AB$647)*$E715</f>
        <v>0</v>
      </c>
      <c r="AC715" s="81">
        <f>($F715*AC$707+$G715*AC$647)*$E715</f>
        <v>0</v>
      </c>
      <c r="AD715" s="81">
        <f>($F715*AD$707+$G715*AD$647)*$E715</f>
        <v>0</v>
      </c>
      <c r="AE715" s="81">
        <f>($F715*AE$707+$G715*AE$647)*$E715</f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292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>($F716*L$707+$G716*L$647)*$E716</f>
        <v>0</v>
      </c>
      <c r="M716" s="81">
        <f>($F716*M$707+$G716*M$647)*$E716</f>
        <v>0</v>
      </c>
      <c r="N716" s="81">
        <f>($F716*N$707+$G716*N$647)*$E716</f>
        <v>0</v>
      </c>
      <c r="O716" s="81">
        <f>($F716*O$707+$G716*O$647)*$E716</f>
        <v>0</v>
      </c>
      <c r="P716" s="81">
        <f>($F716*P$707+$G716*P$647)*$E716</f>
        <v>0</v>
      </c>
      <c r="Q716" s="81">
        <f>($F716*Q$707+$G716*Q$647)*$E716</f>
        <v>0</v>
      </c>
      <c r="R716" s="81">
        <f>($F716*R$707+$G716*R$647)*$E716</f>
        <v>0</v>
      </c>
      <c r="S716" s="81">
        <f>($F716*S$707+$G716*S$647)*$E716</f>
        <v>0</v>
      </c>
      <c r="T716" s="81">
        <f>($F716*T$707+$G716*T$647)*$E716</f>
        <v>0</v>
      </c>
      <c r="U716" s="81">
        <f>($F716*U$707+$G716*U$647)*$E716</f>
        <v>0</v>
      </c>
      <c r="V716" s="81">
        <f>($F716*V$707+$G716*V$647)*$E716</f>
        <v>0</v>
      </c>
      <c r="W716" s="81">
        <f>($F716*W$707+$G716*W$647)*$E716</f>
        <v>0</v>
      </c>
      <c r="X716" s="81">
        <f>($F716*X$707+$G716*X$647)*$E716</f>
        <v>0</v>
      </c>
      <c r="Y716" s="81">
        <f>($F716*Y$707+$G716*Y$647)*$E716</f>
        <v>0</v>
      </c>
      <c r="Z716" s="81">
        <f>($F716*Z$707+$G716*Z$647)*$E716</f>
        <v>0</v>
      </c>
      <c r="AA716" s="81">
        <f>($F716*AA$707+$G716*AA$647)*$E716</f>
        <v>0</v>
      </c>
      <c r="AB716" s="81">
        <f>($F716*AB$707+$G716*AB$647)*$E716</f>
        <v>0</v>
      </c>
      <c r="AC716" s="81">
        <f>($F716*AC$707+$G716*AC$647)*$E716</f>
        <v>0</v>
      </c>
      <c r="AD716" s="81">
        <f>($F716*AD$707+$G716*AD$647)*$E716</f>
        <v>0</v>
      </c>
      <c r="AE716" s="81">
        <f>($F716*AE$707+$G716*AE$647)*$E716</f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93">L708</f>
        <v>2022</v>
      </c>
      <c r="M718" s="74">
        <f t="shared" si="293"/>
        <v>2023</v>
      </c>
      <c r="N718" s="74">
        <f t="shared" si="293"/>
        <v>2024</v>
      </c>
      <c r="O718" s="74">
        <f t="shared" si="293"/>
        <v>2025</v>
      </c>
      <c r="P718" s="74">
        <f t="shared" si="293"/>
        <v>2026</v>
      </c>
      <c r="Q718" s="74">
        <f t="shared" si="293"/>
        <v>2027</v>
      </c>
      <c r="R718" s="74">
        <f t="shared" si="293"/>
        <v>2028</v>
      </c>
      <c r="S718" s="74">
        <f t="shared" si="293"/>
        <v>2029</v>
      </c>
      <c r="T718" s="74">
        <f t="shared" si="293"/>
        <v>2030</v>
      </c>
      <c r="U718" s="74">
        <f t="shared" si="293"/>
        <v>2031</v>
      </c>
      <c r="V718" s="74">
        <f t="shared" si="293"/>
        <v>2032</v>
      </c>
      <c r="W718" s="74">
        <f t="shared" si="293"/>
        <v>2033</v>
      </c>
      <c r="X718" s="74">
        <f t="shared" si="293"/>
        <v>2034</v>
      </c>
      <c r="Y718" s="74">
        <f t="shared" si="293"/>
        <v>2035</v>
      </c>
      <c r="Z718" s="74">
        <f t="shared" si="293"/>
        <v>2036</v>
      </c>
      <c r="AA718" s="74">
        <f t="shared" si="293"/>
        <v>2037</v>
      </c>
      <c r="AB718" s="74">
        <f t="shared" si="293"/>
        <v>2038</v>
      </c>
      <c r="AC718" s="74">
        <f t="shared" si="293"/>
        <v>2039</v>
      </c>
      <c r="AD718" s="74">
        <f t="shared" si="293"/>
        <v>2040</v>
      </c>
      <c r="AE718" s="74">
        <f t="shared" si="293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94">(L709+L698)/L687</f>
        <v>0</v>
      </c>
      <c r="M719" s="78">
        <f t="shared" si="294"/>
        <v>0</v>
      </c>
      <c r="N719" s="78">
        <f t="shared" si="294"/>
        <v>0</v>
      </c>
      <c r="O719" s="78">
        <f t="shared" si="294"/>
        <v>0</v>
      </c>
      <c r="P719" s="78">
        <f t="shared" si="294"/>
        <v>0</v>
      </c>
      <c r="Q719" s="78">
        <f t="shared" si="294"/>
        <v>1.15005E-2</v>
      </c>
      <c r="R719" s="78">
        <f t="shared" si="294"/>
        <v>2.3001000000000001E-2</v>
      </c>
      <c r="S719" s="78">
        <f t="shared" si="294"/>
        <v>3.4501500000000004E-2</v>
      </c>
      <c r="T719" s="78">
        <f t="shared" si="294"/>
        <v>4.6002000000000001E-2</v>
      </c>
      <c r="U719" s="78">
        <f t="shared" si="294"/>
        <v>5.7502500000000005E-2</v>
      </c>
      <c r="V719" s="78">
        <f t="shared" si="294"/>
        <v>6.9003000000000009E-2</v>
      </c>
      <c r="W719" s="78">
        <f t="shared" si="294"/>
        <v>8.0503500000000006E-2</v>
      </c>
      <c r="X719" s="78">
        <f t="shared" si="294"/>
        <v>9.2004000000000002E-2</v>
      </c>
      <c r="Y719" s="78">
        <f t="shared" si="294"/>
        <v>0.10350450000000001</v>
      </c>
      <c r="Z719" s="78">
        <f t="shared" si="294"/>
        <v>0.11500500000000001</v>
      </c>
      <c r="AA719" s="78">
        <f t="shared" si="294"/>
        <v>0.12650549999999999</v>
      </c>
      <c r="AB719" s="78">
        <f t="shared" si="294"/>
        <v>0.13800600000000002</v>
      </c>
      <c r="AC719" s="78">
        <f t="shared" si="294"/>
        <v>0.14950649999999999</v>
      </c>
      <c r="AD719" s="78">
        <f t="shared" si="294"/>
        <v>0.16100700000000001</v>
      </c>
      <c r="AE719" s="78">
        <f t="shared" si="294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95">(L710+L699)/L688</f>
        <v>0</v>
      </c>
      <c r="M720" s="78">
        <f t="shared" si="295"/>
        <v>0</v>
      </c>
      <c r="N720" s="78">
        <f t="shared" si="295"/>
        <v>0</v>
      </c>
      <c r="O720" s="78">
        <f t="shared" si="295"/>
        <v>0</v>
      </c>
      <c r="P720" s="78">
        <f t="shared" si="295"/>
        <v>0</v>
      </c>
      <c r="Q720" s="78">
        <f t="shared" si="295"/>
        <v>2.5781250000000006E-3</v>
      </c>
      <c r="R720" s="78">
        <f t="shared" si="295"/>
        <v>5.1562500000000011E-3</v>
      </c>
      <c r="S720" s="78">
        <f t="shared" si="295"/>
        <v>7.7343750000000008E-3</v>
      </c>
      <c r="T720" s="78">
        <f t="shared" si="295"/>
        <v>1.0312500000000002E-2</v>
      </c>
      <c r="U720" s="78">
        <f t="shared" si="295"/>
        <v>1.2890624999999999E-2</v>
      </c>
      <c r="V720" s="78">
        <f t="shared" si="295"/>
        <v>1.5468750000000002E-2</v>
      </c>
      <c r="W720" s="78">
        <f t="shared" si="295"/>
        <v>1.8046875E-2</v>
      </c>
      <c r="X720" s="78">
        <f t="shared" si="295"/>
        <v>2.0625000000000004E-2</v>
      </c>
      <c r="Y720" s="78">
        <f t="shared" si="295"/>
        <v>2.3203125000000002E-2</v>
      </c>
      <c r="Z720" s="78">
        <f t="shared" si="295"/>
        <v>2.5781249999999999E-2</v>
      </c>
      <c r="AA720" s="78">
        <f t="shared" si="295"/>
        <v>2.8359375000000003E-2</v>
      </c>
      <c r="AB720" s="78">
        <f t="shared" si="295"/>
        <v>3.0937500000000003E-2</v>
      </c>
      <c r="AC720" s="78">
        <f t="shared" si="295"/>
        <v>3.3515625E-2</v>
      </c>
      <c r="AD720" s="78">
        <f t="shared" si="295"/>
        <v>3.6093750000000001E-2</v>
      </c>
      <c r="AE720" s="78">
        <f t="shared" si="295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96">(L711+L700)/L689</f>
        <v>0</v>
      </c>
      <c r="M721" s="78">
        <f t="shared" si="296"/>
        <v>0</v>
      </c>
      <c r="N721" s="78">
        <f t="shared" si="296"/>
        <v>0</v>
      </c>
      <c r="O721" s="78">
        <f t="shared" si="296"/>
        <v>0</v>
      </c>
      <c r="P721" s="78">
        <f t="shared" si="296"/>
        <v>0</v>
      </c>
      <c r="Q721" s="78">
        <f t="shared" si="296"/>
        <v>3.8750000000000007E-2</v>
      </c>
      <c r="R721" s="78">
        <f t="shared" si="296"/>
        <v>7.7500000000000013E-2</v>
      </c>
      <c r="S721" s="78">
        <f t="shared" si="296"/>
        <v>0.11625000000000001</v>
      </c>
      <c r="T721" s="78">
        <f t="shared" si="296"/>
        <v>0.15500000000000003</v>
      </c>
      <c r="U721" s="78">
        <f t="shared" si="296"/>
        <v>0.19375000000000003</v>
      </c>
      <c r="V721" s="78">
        <f t="shared" si="296"/>
        <v>0.23250000000000001</v>
      </c>
      <c r="W721" s="78">
        <f t="shared" si="296"/>
        <v>0.27124999999999999</v>
      </c>
      <c r="X721" s="78">
        <f t="shared" si="296"/>
        <v>0.31000000000000005</v>
      </c>
      <c r="Y721" s="78">
        <f t="shared" si="296"/>
        <v>0.34875000000000006</v>
      </c>
      <c r="Z721" s="78">
        <f t="shared" si="296"/>
        <v>0.38750000000000007</v>
      </c>
      <c r="AA721" s="78">
        <f t="shared" si="296"/>
        <v>0.42625000000000007</v>
      </c>
      <c r="AB721" s="78">
        <f t="shared" si="296"/>
        <v>0.46500000000000002</v>
      </c>
      <c r="AC721" s="78">
        <f t="shared" si="296"/>
        <v>0.50375000000000003</v>
      </c>
      <c r="AD721" s="78">
        <f t="shared" si="296"/>
        <v>0.54249999999999998</v>
      </c>
      <c r="AE721" s="78">
        <f t="shared" si="296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97">(L712+L701)/L690</f>
        <v>0</v>
      </c>
      <c r="M722" s="78">
        <f t="shared" si="297"/>
        <v>0</v>
      </c>
      <c r="N722" s="78">
        <f t="shared" si="297"/>
        <v>0</v>
      </c>
      <c r="O722" s="78">
        <f t="shared" si="297"/>
        <v>0</v>
      </c>
      <c r="P722" s="78">
        <f t="shared" si="297"/>
        <v>0</v>
      </c>
      <c r="Q722" s="78">
        <f t="shared" si="297"/>
        <v>3.2761363636363637E-2</v>
      </c>
      <c r="R722" s="78">
        <f t="shared" si="297"/>
        <v>6.5522727272727274E-2</v>
      </c>
      <c r="S722" s="78">
        <f t="shared" si="297"/>
        <v>9.8284090909090904E-2</v>
      </c>
      <c r="T722" s="78">
        <f t="shared" si="297"/>
        <v>0.13104545454545455</v>
      </c>
      <c r="U722" s="78">
        <f t="shared" si="297"/>
        <v>0.16380681818181819</v>
      </c>
      <c r="V722" s="78">
        <f t="shared" si="297"/>
        <v>0.19656818181818181</v>
      </c>
      <c r="W722" s="78">
        <f t="shared" si="297"/>
        <v>0.22932954545454545</v>
      </c>
      <c r="X722" s="78">
        <f t="shared" si="297"/>
        <v>0.2620909090909091</v>
      </c>
      <c r="Y722" s="78">
        <f t="shared" si="297"/>
        <v>0.29485227272727277</v>
      </c>
      <c r="Z722" s="78">
        <f t="shared" si="297"/>
        <v>0.32761363636363638</v>
      </c>
      <c r="AA722" s="78">
        <f t="shared" si="297"/>
        <v>0.360375</v>
      </c>
      <c r="AB722" s="78">
        <f t="shared" si="297"/>
        <v>0.39313636363636362</v>
      </c>
      <c r="AC722" s="78">
        <f t="shared" si="297"/>
        <v>0.42589772727272729</v>
      </c>
      <c r="AD722" s="78">
        <f t="shared" si="297"/>
        <v>0.45865909090909091</v>
      </c>
      <c r="AE722" s="78">
        <f t="shared" si="297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98">(L713+L702)/L691</f>
        <v>0</v>
      </c>
      <c r="M723" s="78">
        <f t="shared" si="298"/>
        <v>0</v>
      </c>
      <c r="N723" s="78">
        <f t="shared" si="298"/>
        <v>0</v>
      </c>
      <c r="O723" s="78">
        <f t="shared" si="298"/>
        <v>0</v>
      </c>
      <c r="P723" s="78">
        <f t="shared" si="298"/>
        <v>0</v>
      </c>
      <c r="Q723" s="78">
        <f t="shared" si="298"/>
        <v>5.1424999999999998E-2</v>
      </c>
      <c r="R723" s="78">
        <f t="shared" si="298"/>
        <v>0.10285</v>
      </c>
      <c r="S723" s="78">
        <f t="shared" si="298"/>
        <v>0.154275</v>
      </c>
      <c r="T723" s="78">
        <f t="shared" si="298"/>
        <v>0.20569999999999999</v>
      </c>
      <c r="U723" s="78">
        <f t="shared" si="298"/>
        <v>0.25712499999999999</v>
      </c>
      <c r="V723" s="78">
        <f t="shared" si="298"/>
        <v>0.30854999999999999</v>
      </c>
      <c r="W723" s="78">
        <f t="shared" si="298"/>
        <v>0.35997499999999993</v>
      </c>
      <c r="X723" s="78">
        <f t="shared" si="298"/>
        <v>0.41139999999999999</v>
      </c>
      <c r="Y723" s="78">
        <f t="shared" si="298"/>
        <v>0.46282499999999993</v>
      </c>
      <c r="Z723" s="78">
        <f t="shared" si="298"/>
        <v>0.51424999999999998</v>
      </c>
      <c r="AA723" s="78">
        <f t="shared" si="298"/>
        <v>0.56567499999999993</v>
      </c>
      <c r="AB723" s="78">
        <f t="shared" si="298"/>
        <v>0.61709999999999998</v>
      </c>
      <c r="AC723" s="78">
        <f t="shared" si="298"/>
        <v>0.66852500000000004</v>
      </c>
      <c r="AD723" s="78">
        <f t="shared" si="298"/>
        <v>0.71994999999999987</v>
      </c>
      <c r="AE723" s="78">
        <f t="shared" si="298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99">(L714+L703)/L692</f>
        <v>0</v>
      </c>
      <c r="M724" s="78">
        <f t="shared" si="299"/>
        <v>0</v>
      </c>
      <c r="N724" s="78">
        <f t="shared" si="299"/>
        <v>0</v>
      </c>
      <c r="O724" s="78">
        <f t="shared" si="299"/>
        <v>0</v>
      </c>
      <c r="P724" s="78">
        <f t="shared" si="299"/>
        <v>0</v>
      </c>
      <c r="Q724" s="78">
        <f t="shared" si="299"/>
        <v>3.6907894736842102E-3</v>
      </c>
      <c r="R724" s="78">
        <f t="shared" si="299"/>
        <v>7.3815789473684204E-3</v>
      </c>
      <c r="S724" s="78">
        <f t="shared" si="299"/>
        <v>1.1072368421052631E-2</v>
      </c>
      <c r="T724" s="78">
        <f t="shared" si="299"/>
        <v>1.4763157894736841E-2</v>
      </c>
      <c r="U724" s="78">
        <f t="shared" si="299"/>
        <v>1.8453947368421052E-2</v>
      </c>
      <c r="V724" s="78">
        <f t="shared" si="299"/>
        <v>2.2144736842105262E-2</v>
      </c>
      <c r="W724" s="78">
        <f t="shared" si="299"/>
        <v>2.5835526315789472E-2</v>
      </c>
      <c r="X724" s="78">
        <f t="shared" si="299"/>
        <v>2.9526315789473682E-2</v>
      </c>
      <c r="Y724" s="78">
        <f t="shared" si="299"/>
        <v>3.3217105263157888E-2</v>
      </c>
      <c r="Z724" s="78">
        <f t="shared" si="299"/>
        <v>3.6907894736842105E-2</v>
      </c>
      <c r="AA724" s="78">
        <f t="shared" si="299"/>
        <v>4.0598684210526315E-2</v>
      </c>
      <c r="AB724" s="78">
        <f t="shared" si="299"/>
        <v>4.4289473684210524E-2</v>
      </c>
      <c r="AC724" s="78">
        <f t="shared" si="299"/>
        <v>4.7980263157894734E-2</v>
      </c>
      <c r="AD724" s="78">
        <f t="shared" si="299"/>
        <v>5.1671052631578944E-2</v>
      </c>
      <c r="AE724" s="78">
        <f t="shared" si="299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300">(L715+L704)/L693</f>
        <v>0</v>
      </c>
      <c r="M725" s="78">
        <f t="shared" si="300"/>
        <v>0</v>
      </c>
      <c r="N725" s="78">
        <f t="shared" si="300"/>
        <v>0</v>
      </c>
      <c r="O725" s="78">
        <f t="shared" si="300"/>
        <v>0</v>
      </c>
      <c r="P725" s="78">
        <f t="shared" si="300"/>
        <v>0</v>
      </c>
      <c r="Q725" s="78">
        <f t="shared" si="300"/>
        <v>4.3828124999999996E-3</v>
      </c>
      <c r="R725" s="78">
        <f t="shared" si="300"/>
        <v>8.7656249999999991E-3</v>
      </c>
      <c r="S725" s="78">
        <f t="shared" si="300"/>
        <v>1.3148437499999999E-2</v>
      </c>
      <c r="T725" s="78">
        <f t="shared" si="300"/>
        <v>1.7531249999999998E-2</v>
      </c>
      <c r="U725" s="78">
        <f t="shared" si="300"/>
        <v>2.1914062499999998E-2</v>
      </c>
      <c r="V725" s="78">
        <f t="shared" si="300"/>
        <v>2.6296874999999997E-2</v>
      </c>
      <c r="W725" s="78">
        <f t="shared" si="300"/>
        <v>3.0679687499999997E-2</v>
      </c>
      <c r="X725" s="78">
        <f t="shared" si="300"/>
        <v>3.5062499999999996E-2</v>
      </c>
      <c r="Y725" s="78">
        <f t="shared" si="300"/>
        <v>3.9445312499999996E-2</v>
      </c>
      <c r="Z725" s="78">
        <f t="shared" si="300"/>
        <v>4.3828124999999996E-2</v>
      </c>
      <c r="AA725" s="78">
        <f t="shared" si="300"/>
        <v>4.8210937499999995E-2</v>
      </c>
      <c r="AB725" s="78">
        <f t="shared" si="300"/>
        <v>5.2593749999999995E-2</v>
      </c>
      <c r="AC725" s="78">
        <f t="shared" si="300"/>
        <v>5.6976562499999994E-2</v>
      </c>
      <c r="AD725" s="78">
        <f t="shared" si="300"/>
        <v>6.1359374999999994E-2</v>
      </c>
      <c r="AE725" s="78">
        <f t="shared" si="300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301">(L716+L705)/L694</f>
        <v>0</v>
      </c>
      <c r="M726" s="78">
        <f t="shared" si="301"/>
        <v>0</v>
      </c>
      <c r="N726" s="78">
        <f t="shared" si="301"/>
        <v>0</v>
      </c>
      <c r="O726" s="78">
        <f t="shared" si="301"/>
        <v>0</v>
      </c>
      <c r="P726" s="78">
        <f t="shared" si="301"/>
        <v>0</v>
      </c>
      <c r="Q726" s="78">
        <f t="shared" si="301"/>
        <v>8.1249999999999996E-4</v>
      </c>
      <c r="R726" s="78">
        <f t="shared" si="301"/>
        <v>1.6249999999999999E-3</v>
      </c>
      <c r="S726" s="78">
        <f t="shared" si="301"/>
        <v>2.4375E-3</v>
      </c>
      <c r="T726" s="78">
        <f t="shared" si="301"/>
        <v>3.2499999999999999E-3</v>
      </c>
      <c r="U726" s="78">
        <f t="shared" si="301"/>
        <v>4.0625000000000001E-3</v>
      </c>
      <c r="V726" s="78">
        <f t="shared" si="301"/>
        <v>4.875E-3</v>
      </c>
      <c r="W726" s="78">
        <f t="shared" si="301"/>
        <v>5.6874999999999998E-3</v>
      </c>
      <c r="X726" s="78">
        <f t="shared" si="301"/>
        <v>6.4999999999999997E-3</v>
      </c>
      <c r="Y726" s="78">
        <f t="shared" si="301"/>
        <v>7.3125000000000004E-3</v>
      </c>
      <c r="Z726" s="78">
        <f t="shared" si="301"/>
        <v>8.1250000000000003E-3</v>
      </c>
      <c r="AA726" s="78">
        <f t="shared" si="301"/>
        <v>8.9374999999999993E-3</v>
      </c>
      <c r="AB726" s="78">
        <f t="shared" si="301"/>
        <v>9.75E-3</v>
      </c>
      <c r="AC726" s="78">
        <f t="shared" si="301"/>
        <v>1.0562500000000001E-2</v>
      </c>
      <c r="AD726" s="78">
        <f t="shared" si="301"/>
        <v>1.1375E-2</v>
      </c>
      <c r="AE726" s="78">
        <f t="shared" si="301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1904</v>
      </c>
      <c r="J728" s="72" t="s">
        <v>1905</v>
      </c>
      <c r="K728" s="72"/>
      <c r="L728" s="74">
        <f t="shared" ref="L728:AE728" si="302">L739</f>
        <v>2022</v>
      </c>
      <c r="M728" s="74">
        <f t="shared" si="302"/>
        <v>2023</v>
      </c>
      <c r="N728" s="74">
        <f t="shared" si="302"/>
        <v>2024</v>
      </c>
      <c r="O728" s="74">
        <f t="shared" si="302"/>
        <v>2025</v>
      </c>
      <c r="P728" s="74">
        <f t="shared" si="302"/>
        <v>2026</v>
      </c>
      <c r="Q728" s="74">
        <f t="shared" si="302"/>
        <v>2027</v>
      </c>
      <c r="R728" s="74">
        <f t="shared" si="302"/>
        <v>2028</v>
      </c>
      <c r="S728" s="74">
        <f t="shared" si="302"/>
        <v>2029</v>
      </c>
      <c r="T728" s="74">
        <f t="shared" si="302"/>
        <v>2030</v>
      </c>
      <c r="U728" s="74">
        <f t="shared" si="302"/>
        <v>2031</v>
      </c>
      <c r="V728" s="74">
        <f t="shared" si="302"/>
        <v>2032</v>
      </c>
      <c r="W728" s="74">
        <f t="shared" si="302"/>
        <v>2033</v>
      </c>
      <c r="X728" s="74">
        <f t="shared" si="302"/>
        <v>2034</v>
      </c>
      <c r="Y728" s="74">
        <f t="shared" si="302"/>
        <v>2035</v>
      </c>
      <c r="Z728" s="74">
        <f t="shared" si="302"/>
        <v>2036</v>
      </c>
      <c r="AA728" s="74">
        <f t="shared" si="302"/>
        <v>2037</v>
      </c>
      <c r="AB728" s="74">
        <f t="shared" si="302"/>
        <v>2038</v>
      </c>
      <c r="AC728" s="74">
        <f t="shared" si="302"/>
        <v>2039</v>
      </c>
      <c r="AD728" s="74">
        <f t="shared" si="302"/>
        <v>2040</v>
      </c>
      <c r="AE728" s="74">
        <f t="shared" si="302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303">H663+I663</f>
        <v>0.69003000000000003</v>
      </c>
      <c r="G729" s="72">
        <f t="shared" ref="G729:G736" si="304">MAX($J663,0)+MAX($K663,0)</f>
        <v>0.04</v>
      </c>
      <c r="H729" s="72">
        <f t="shared" ref="H729:H736" si="305">G729/F729</f>
        <v>5.7968494123443903E-2</v>
      </c>
      <c r="I729" s="100">
        <f t="shared" ref="I729:I736" si="306">IF($F729=0,0,$E698/$F729)</f>
        <v>1</v>
      </c>
      <c r="J729" s="100">
        <f t="shared" ref="J729:J736" si="307">IF($G729=0,0,$E709/$G729)</f>
        <v>1</v>
      </c>
      <c r="K729" s="72"/>
      <c r="L729" s="72">
        <f t="shared" ref="L729:AE729" si="308">L675*$F729/1000</f>
        <v>3.2287703131193024</v>
      </c>
      <c r="M729" s="72">
        <f t="shared" si="308"/>
        <v>3.3708362068965516</v>
      </c>
      <c r="N729" s="72">
        <f t="shared" si="308"/>
        <v>3.5191530000000002</v>
      </c>
      <c r="O729" s="72">
        <f t="shared" si="308"/>
        <v>3.6739957320000007</v>
      </c>
      <c r="P729" s="72">
        <f t="shared" si="308"/>
        <v>3.8356515442080008</v>
      </c>
      <c r="Q729" s="72">
        <f t="shared" si="308"/>
        <v>4.0044202121531534</v>
      </c>
      <c r="R729" s="72">
        <f t="shared" si="308"/>
        <v>4.1806147014878912</v>
      </c>
      <c r="S729" s="72">
        <f t="shared" si="308"/>
        <v>4.3645617483533599</v>
      </c>
      <c r="T729" s="72">
        <f t="shared" si="308"/>
        <v>4.556602465280907</v>
      </c>
      <c r="U729" s="72">
        <f t="shared" si="308"/>
        <v>4.7570929737532675</v>
      </c>
      <c r="V729" s="72">
        <f t="shared" si="308"/>
        <v>4.9664050645984119</v>
      </c>
      <c r="W729" s="72">
        <f t="shared" si="308"/>
        <v>5.1849268874407413</v>
      </c>
      <c r="X729" s="72">
        <f t="shared" si="308"/>
        <v>5.4130636704881345</v>
      </c>
      <c r="Y729" s="72">
        <f t="shared" si="308"/>
        <v>5.6512384719896129</v>
      </c>
      <c r="Z729" s="72">
        <f t="shared" si="308"/>
        <v>5.8998929647571554</v>
      </c>
      <c r="AA729" s="72">
        <f t="shared" si="308"/>
        <v>6.1594882552064707</v>
      </c>
      <c r="AB729" s="72">
        <f t="shared" si="308"/>
        <v>6.4305057384355555</v>
      </c>
      <c r="AC729" s="72">
        <f t="shared" si="308"/>
        <v>6.7134479909267206</v>
      </c>
      <c r="AD729" s="72">
        <f t="shared" si="308"/>
        <v>7.0088397025274967</v>
      </c>
      <c r="AE729" s="72">
        <f t="shared" si="308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303"/>
        <v>0.14025000000000001</v>
      </c>
      <c r="G730" s="72">
        <f t="shared" si="304"/>
        <v>1.4999999999999999E-2</v>
      </c>
      <c r="H730" s="72">
        <f t="shared" si="305"/>
        <v>0.10695187165775399</v>
      </c>
      <c r="I730" s="100">
        <f t="shared" si="306"/>
        <v>1</v>
      </c>
      <c r="J730" s="100">
        <f t="shared" si="307"/>
        <v>1</v>
      </c>
      <c r="K730" s="72"/>
      <c r="L730" s="72">
        <f t="shared" ref="L730:AE730" si="309">L676*$F730/1000</f>
        <v>0.61765094464262127</v>
      </c>
      <c r="M730" s="72">
        <f t="shared" si="309"/>
        <v>0.64482758620689662</v>
      </c>
      <c r="N730" s="72">
        <f t="shared" si="309"/>
        <v>0.67320000000000002</v>
      </c>
      <c r="O730" s="72">
        <f t="shared" si="309"/>
        <v>0.70282080000000002</v>
      </c>
      <c r="P730" s="72">
        <f t="shared" si="309"/>
        <v>0.73374491520000007</v>
      </c>
      <c r="Q730" s="72">
        <f t="shared" si="309"/>
        <v>0.76602969146880007</v>
      </c>
      <c r="R730" s="72">
        <f t="shared" si="309"/>
        <v>0.79973499789342728</v>
      </c>
      <c r="S730" s="72">
        <f t="shared" si="309"/>
        <v>0.83492333780073813</v>
      </c>
      <c r="T730" s="72">
        <f t="shared" si="309"/>
        <v>0.87165996466397067</v>
      </c>
      <c r="U730" s="72">
        <f t="shared" si="309"/>
        <v>0.91001300310918543</v>
      </c>
      <c r="V730" s="72">
        <f t="shared" si="309"/>
        <v>0.95005357524598955</v>
      </c>
      <c r="W730" s="72">
        <f t="shared" si="309"/>
        <v>0.99185593255681304</v>
      </c>
      <c r="X730" s="72">
        <f t="shared" si="309"/>
        <v>1.0354975935893131</v>
      </c>
      <c r="Y730" s="72">
        <f t="shared" si="309"/>
        <v>1.0810594877072426</v>
      </c>
      <c r="Z730" s="72">
        <f t="shared" si="309"/>
        <v>1.1286261051663613</v>
      </c>
      <c r="AA730" s="72">
        <f t="shared" si="309"/>
        <v>1.1782856537936812</v>
      </c>
      <c r="AB730" s="72">
        <f t="shared" si="309"/>
        <v>1.2301302225606032</v>
      </c>
      <c r="AC730" s="72">
        <f t="shared" si="309"/>
        <v>1.2842559523532697</v>
      </c>
      <c r="AD730" s="72">
        <f t="shared" si="309"/>
        <v>1.3407632142568136</v>
      </c>
      <c r="AE730" s="72">
        <f t="shared" si="309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303"/>
        <v>1.9220000000000002</v>
      </c>
      <c r="G731" s="72">
        <f t="shared" si="304"/>
        <v>0.25</v>
      </c>
      <c r="H731" s="72">
        <f t="shared" si="305"/>
        <v>0.13007284079084286</v>
      </c>
      <c r="I731" s="100">
        <f t="shared" si="306"/>
        <v>1</v>
      </c>
      <c r="J731" s="100">
        <f t="shared" si="307"/>
        <v>1</v>
      </c>
      <c r="K731" s="72"/>
      <c r="L731" s="72">
        <f t="shared" ref="L731:AE731" si="310">L677*$F731/1000</f>
        <v>0</v>
      </c>
      <c r="M731" s="72">
        <f t="shared" si="310"/>
        <v>0</v>
      </c>
      <c r="N731" s="72">
        <f t="shared" si="310"/>
        <v>0</v>
      </c>
      <c r="O731" s="72">
        <f t="shared" si="310"/>
        <v>0</v>
      </c>
      <c r="P731" s="72">
        <f t="shared" si="310"/>
        <v>0</v>
      </c>
      <c r="Q731" s="72">
        <f t="shared" si="310"/>
        <v>0</v>
      </c>
      <c r="R731" s="72">
        <f t="shared" si="310"/>
        <v>0</v>
      </c>
      <c r="S731" s="72">
        <f t="shared" si="310"/>
        <v>0</v>
      </c>
      <c r="T731" s="72">
        <f t="shared" si="310"/>
        <v>0</v>
      </c>
      <c r="U731" s="72">
        <f t="shared" si="310"/>
        <v>0</v>
      </c>
      <c r="V731" s="72">
        <f t="shared" si="310"/>
        <v>0</v>
      </c>
      <c r="W731" s="72">
        <f t="shared" si="310"/>
        <v>0</v>
      </c>
      <c r="X731" s="72">
        <f t="shared" si="310"/>
        <v>0</v>
      </c>
      <c r="Y731" s="72">
        <f t="shared" si="310"/>
        <v>0</v>
      </c>
      <c r="Z731" s="72">
        <f t="shared" si="310"/>
        <v>0</v>
      </c>
      <c r="AA731" s="72">
        <f t="shared" si="310"/>
        <v>0</v>
      </c>
      <c r="AB731" s="72">
        <f t="shared" si="310"/>
        <v>0</v>
      </c>
      <c r="AC731" s="72">
        <f t="shared" si="310"/>
        <v>0</v>
      </c>
      <c r="AD731" s="72">
        <f t="shared" si="310"/>
        <v>0</v>
      </c>
      <c r="AE731" s="72">
        <f t="shared" si="310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303"/>
        <v>0.2883</v>
      </c>
      <c r="G732" s="72">
        <f t="shared" si="304"/>
        <v>0.52600000000000002</v>
      </c>
      <c r="H732" s="72">
        <f t="shared" si="305"/>
        <v>1.8244883801595562</v>
      </c>
      <c r="I732" s="100">
        <f t="shared" si="306"/>
        <v>1</v>
      </c>
      <c r="J732" s="100">
        <f t="shared" si="307"/>
        <v>1</v>
      </c>
      <c r="K732" s="72"/>
      <c r="L732" s="72">
        <f t="shared" ref="L732:AE732" si="311">L678*$F732/1000</f>
        <v>13.508713893592759</v>
      </c>
      <c r="M732" s="72">
        <f t="shared" si="311"/>
        <v>13.954501452081319</v>
      </c>
      <c r="N732" s="72">
        <f t="shared" si="311"/>
        <v>14.414999999999999</v>
      </c>
      <c r="O732" s="72">
        <f t="shared" si="311"/>
        <v>14.890694999999997</v>
      </c>
      <c r="P732" s="72">
        <f t="shared" si="311"/>
        <v>15.382087934999998</v>
      </c>
      <c r="Q732" s="72">
        <f t="shared" si="311"/>
        <v>15.889696836854995</v>
      </c>
      <c r="R732" s="72">
        <f t="shared" si="311"/>
        <v>16.414056832471207</v>
      </c>
      <c r="S732" s="72">
        <f t="shared" si="311"/>
        <v>16.955720707942756</v>
      </c>
      <c r="T732" s="72">
        <f t="shared" si="311"/>
        <v>17.515259491304867</v>
      </c>
      <c r="U732" s="72">
        <f t="shared" si="311"/>
        <v>18.093263054517926</v>
      </c>
      <c r="V732" s="72">
        <f t="shared" si="311"/>
        <v>18.690340735317015</v>
      </c>
      <c r="W732" s="72">
        <f t="shared" si="311"/>
        <v>19.307121979582476</v>
      </c>
      <c r="X732" s="72">
        <f t="shared" si="311"/>
        <v>19.944257004908696</v>
      </c>
      <c r="Y732" s="72">
        <f t="shared" si="311"/>
        <v>20.602417486070681</v>
      </c>
      <c r="Z732" s="72">
        <f t="shared" si="311"/>
        <v>21.282297263111012</v>
      </c>
      <c r="AA732" s="72">
        <f t="shared" si="311"/>
        <v>21.984613072793675</v>
      </c>
      <c r="AB732" s="72">
        <f t="shared" si="311"/>
        <v>22.710105304195867</v>
      </c>
      <c r="AC732" s="72">
        <f t="shared" si="311"/>
        <v>23.459538779234329</v>
      </c>
      <c r="AD732" s="72">
        <f t="shared" si="311"/>
        <v>24.23370355894906</v>
      </c>
      <c r="AE732" s="72">
        <f t="shared" si="311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303"/>
        <v>1.8512999999999999</v>
      </c>
      <c r="G733" s="72">
        <f t="shared" si="304"/>
        <v>0</v>
      </c>
      <c r="H733" s="72">
        <f t="shared" si="305"/>
        <v>0</v>
      </c>
      <c r="I733" s="100">
        <f t="shared" si="306"/>
        <v>1</v>
      </c>
      <c r="J733" s="100">
        <f t="shared" si="307"/>
        <v>0</v>
      </c>
      <c r="K733" s="72"/>
      <c r="L733" s="72">
        <f t="shared" ref="L733:AE733" si="312">L679*$F733/1000</f>
        <v>3.1638306570517116</v>
      </c>
      <c r="M733" s="72">
        <f t="shared" si="312"/>
        <v>3.2334349315068494</v>
      </c>
      <c r="N733" s="72">
        <f t="shared" si="312"/>
        <v>3.3045704999999996</v>
      </c>
      <c r="O733" s="72">
        <f t="shared" si="312"/>
        <v>3.3772710509999997</v>
      </c>
      <c r="P733" s="72">
        <f t="shared" si="312"/>
        <v>3.4515710141219995</v>
      </c>
      <c r="Q733" s="72">
        <f t="shared" si="312"/>
        <v>3.5275055764326835</v>
      </c>
      <c r="R733" s="72">
        <f t="shared" si="312"/>
        <v>3.6051106991142028</v>
      </c>
      <c r="S733" s="72">
        <f t="shared" si="312"/>
        <v>3.6844231344947151</v>
      </c>
      <c r="T733" s="72">
        <f t="shared" si="312"/>
        <v>3.7654804434535989</v>
      </c>
      <c r="U733" s="72">
        <f t="shared" si="312"/>
        <v>3.8483210132095782</v>
      </c>
      <c r="V733" s="72">
        <f t="shared" si="312"/>
        <v>3.932984075500189</v>
      </c>
      <c r="W733" s="72">
        <f t="shared" si="312"/>
        <v>4.0195097251611935</v>
      </c>
      <c r="X733" s="72">
        <f t="shared" si="312"/>
        <v>4.1079389391147396</v>
      </c>
      <c r="Y733" s="72">
        <f t="shared" si="312"/>
        <v>4.1983135957752644</v>
      </c>
      <c r="Z733" s="72">
        <f t="shared" si="312"/>
        <v>4.2906764948823204</v>
      </c>
      <c r="AA733" s="72">
        <f t="shared" si="312"/>
        <v>4.385071377769731</v>
      </c>
      <c r="AB733" s="72">
        <f t="shared" si="312"/>
        <v>4.4815429480806648</v>
      </c>
      <c r="AC733" s="72">
        <f t="shared" si="312"/>
        <v>4.5801368929384401</v>
      </c>
      <c r="AD733" s="72">
        <f t="shared" si="312"/>
        <v>4.680899904583085</v>
      </c>
      <c r="AE733" s="72">
        <f t="shared" si="312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303"/>
        <v>0.11219999999999999</v>
      </c>
      <c r="G734" s="72">
        <f t="shared" si="304"/>
        <v>0</v>
      </c>
      <c r="H734" s="72">
        <f t="shared" si="305"/>
        <v>0</v>
      </c>
      <c r="I734" s="100">
        <f t="shared" si="306"/>
        <v>1</v>
      </c>
      <c r="J734" s="100">
        <f t="shared" si="307"/>
        <v>0</v>
      </c>
      <c r="K734" s="72"/>
      <c r="L734" s="72">
        <f t="shared" ref="L734:AE734" si="313">L680*$F734/1000</f>
        <v>0.30078009811543305</v>
      </c>
      <c r="M734" s="72">
        <f t="shared" si="313"/>
        <v>0.30739726027397257</v>
      </c>
      <c r="N734" s="72">
        <f t="shared" si="313"/>
        <v>0.31415999999999999</v>
      </c>
      <c r="O734" s="72">
        <f t="shared" si="313"/>
        <v>0.32107151999999994</v>
      </c>
      <c r="P734" s="72">
        <f t="shared" si="313"/>
        <v>0.32813509343999991</v>
      </c>
      <c r="Q734" s="72">
        <f t="shared" si="313"/>
        <v>0.33535406549567992</v>
      </c>
      <c r="R734" s="72">
        <f t="shared" si="313"/>
        <v>0.34273185493658492</v>
      </c>
      <c r="S734" s="72">
        <f t="shared" si="313"/>
        <v>0.35027195574518982</v>
      </c>
      <c r="T734" s="72">
        <f t="shared" si="313"/>
        <v>0.35797793877158396</v>
      </c>
      <c r="U734" s="72">
        <f t="shared" si="313"/>
        <v>0.36585345342455883</v>
      </c>
      <c r="V734" s="72">
        <f t="shared" si="313"/>
        <v>0.37390222939989914</v>
      </c>
      <c r="W734" s="72">
        <f t="shared" si="313"/>
        <v>0.38212807844669699</v>
      </c>
      <c r="X734" s="72">
        <f t="shared" si="313"/>
        <v>0.39053489617252435</v>
      </c>
      <c r="Y734" s="72">
        <f t="shared" si="313"/>
        <v>0.39912666388831991</v>
      </c>
      <c r="Z734" s="72">
        <f t="shared" si="313"/>
        <v>0.40790745049386296</v>
      </c>
      <c r="AA734" s="72">
        <f t="shared" si="313"/>
        <v>0.41688141440472792</v>
      </c>
      <c r="AB734" s="72">
        <f t="shared" si="313"/>
        <v>0.42605280552163199</v>
      </c>
      <c r="AC734" s="72">
        <f t="shared" si="313"/>
        <v>0.43542596724310795</v>
      </c>
      <c r="AD734" s="72">
        <f t="shared" si="313"/>
        <v>0.44500533852245627</v>
      </c>
      <c r="AE734" s="72">
        <f t="shared" si="313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303"/>
        <v>0.11219999999999999</v>
      </c>
      <c r="G735" s="72">
        <f t="shared" si="304"/>
        <v>0.97</v>
      </c>
      <c r="H735" s="72">
        <f t="shared" si="305"/>
        <v>8.6452762923351152</v>
      </c>
      <c r="I735" s="100">
        <f t="shared" si="306"/>
        <v>1</v>
      </c>
      <c r="J735" s="100">
        <f t="shared" si="307"/>
        <v>1</v>
      </c>
      <c r="K735" s="72"/>
      <c r="L735" s="72">
        <f t="shared" ref="L735:AE735" si="314">L681*$F735/1000</f>
        <v>6.4452878167592806E-2</v>
      </c>
      <c r="M735" s="72">
        <f t="shared" si="314"/>
        <v>6.5870841487279841E-2</v>
      </c>
      <c r="N735" s="72">
        <f t="shared" si="314"/>
        <v>6.7319999999999991E-2</v>
      </c>
      <c r="O735" s="72">
        <f t="shared" si="314"/>
        <v>6.8801039999999994E-2</v>
      </c>
      <c r="P735" s="72">
        <f t="shared" si="314"/>
        <v>7.0314662880000003E-2</v>
      </c>
      <c r="Q735" s="72">
        <f t="shared" si="314"/>
        <v>7.1861585463359995E-2</v>
      </c>
      <c r="R735" s="72">
        <f t="shared" si="314"/>
        <v>7.3442540343553922E-2</v>
      </c>
      <c r="S735" s="72">
        <f t="shared" si="314"/>
        <v>7.5058276231112109E-2</v>
      </c>
      <c r="T735" s="72">
        <f t="shared" si="314"/>
        <v>7.6709558308196577E-2</v>
      </c>
      <c r="U735" s="72">
        <f t="shared" si="314"/>
        <v>7.8397168590976909E-2</v>
      </c>
      <c r="V735" s="72">
        <f t="shared" si="314"/>
        <v>8.012190629997841E-2</v>
      </c>
      <c r="W735" s="72">
        <f t="shared" si="314"/>
        <v>8.1884588238577916E-2</v>
      </c>
      <c r="X735" s="72">
        <f t="shared" si="314"/>
        <v>8.3686049179826624E-2</v>
      </c>
      <c r="Y735" s="72">
        <f t="shared" si="314"/>
        <v>8.5527142261782832E-2</v>
      </c>
      <c r="Z735" s="72">
        <f t="shared" si="314"/>
        <v>8.7408739391542062E-2</v>
      </c>
      <c r="AA735" s="72">
        <f t="shared" si="314"/>
        <v>8.9331731658155972E-2</v>
      </c>
      <c r="AB735" s="72">
        <f t="shared" si="314"/>
        <v>9.1297029754635398E-2</v>
      </c>
      <c r="AC735" s="72">
        <f t="shared" si="314"/>
        <v>9.3305564409237388E-2</v>
      </c>
      <c r="AD735" s="72">
        <f t="shared" si="314"/>
        <v>9.5358286826240618E-2</v>
      </c>
      <c r="AE735" s="72">
        <f t="shared" si="314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303"/>
        <v>0.156</v>
      </c>
      <c r="G736" s="72">
        <f t="shared" si="304"/>
        <v>2.35</v>
      </c>
      <c r="H736" s="72">
        <f t="shared" si="305"/>
        <v>15.064102564102564</v>
      </c>
      <c r="I736" s="100">
        <f t="shared" si="306"/>
        <v>1</v>
      </c>
      <c r="J736" s="100">
        <f t="shared" si="307"/>
        <v>1</v>
      </c>
      <c r="K736" s="72"/>
      <c r="L736" s="72">
        <f t="shared" ref="L736:AE736" si="315">L682*$F736/1000</f>
        <v>4.2047573055412055E-2</v>
      </c>
      <c r="M736" s="72">
        <f t="shared" si="315"/>
        <v>4.4360189573459712E-2</v>
      </c>
      <c r="N736" s="72">
        <f t="shared" si="315"/>
        <v>4.6799999999999994E-2</v>
      </c>
      <c r="O736" s="72">
        <f t="shared" si="315"/>
        <v>4.9374000000000001E-2</v>
      </c>
      <c r="P736" s="72">
        <f t="shared" si="315"/>
        <v>5.2089569999999995E-2</v>
      </c>
      <c r="Q736" s="72">
        <f t="shared" si="315"/>
        <v>5.4954496349999993E-2</v>
      </c>
      <c r="R736" s="72">
        <f t="shared" si="315"/>
        <v>5.7976993649249998E-2</v>
      </c>
      <c r="S736" s="72">
        <f t="shared" si="315"/>
        <v>6.1165728299958741E-2</v>
      </c>
      <c r="T736" s="72">
        <f t="shared" si="315"/>
        <v>6.4529843356456465E-2</v>
      </c>
      <c r="U736" s="72">
        <f t="shared" si="315"/>
        <v>6.8078984741061568E-2</v>
      </c>
      <c r="V736" s="72">
        <f t="shared" si="315"/>
        <v>7.1823328901819944E-2</v>
      </c>
      <c r="W736" s="72">
        <f t="shared" si="315"/>
        <v>7.5773611991420048E-2</v>
      </c>
      <c r="X736" s="72">
        <f t="shared" si="315"/>
        <v>7.9941160650948154E-2</v>
      </c>
      <c r="Y736" s="72">
        <f t="shared" si="315"/>
        <v>8.4337924486750301E-2</v>
      </c>
      <c r="Z736" s="72">
        <f t="shared" si="315"/>
        <v>8.8976510333521566E-2</v>
      </c>
      <c r="AA736" s="72">
        <f t="shared" si="315"/>
        <v>9.3870218401865241E-2</v>
      </c>
      <c r="AB736" s="72">
        <f t="shared" si="315"/>
        <v>9.9033080413967828E-2</v>
      </c>
      <c r="AC736" s="72">
        <f t="shared" si="315"/>
        <v>0.10447989983673606</v>
      </c>
      <c r="AD736" s="72">
        <f t="shared" si="315"/>
        <v>0.11022629432775652</v>
      </c>
      <c r="AE736" s="72">
        <f t="shared" si="315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316">SUM(L729:L736)</f>
        <v>20.926246357744834</v>
      </c>
      <c r="M737" s="72">
        <f t="shared" si="316"/>
        <v>21.621228468026327</v>
      </c>
      <c r="N737" s="72">
        <f t="shared" si="316"/>
        <v>22.340203500000001</v>
      </c>
      <c r="O737" s="72">
        <f t="shared" si="316"/>
        <v>23.084029143000002</v>
      </c>
      <c r="P737" s="72">
        <f t="shared" si="316"/>
        <v>23.853594734849999</v>
      </c>
      <c r="Q737" s="72">
        <f t="shared" si="316"/>
        <v>24.649822464218669</v>
      </c>
      <c r="R737" s="72">
        <f t="shared" si="316"/>
        <v>25.473668619896113</v>
      </c>
      <c r="S737" s="72">
        <f t="shared" si="316"/>
        <v>26.326124888867827</v>
      </c>
      <c r="T737" s="72">
        <f t="shared" si="316"/>
        <v>27.20821970513958</v>
      </c>
      <c r="U737" s="72">
        <f t="shared" si="316"/>
        <v>28.121019651346554</v>
      </c>
      <c r="V737" s="72">
        <f t="shared" si="316"/>
        <v>29.065630915263306</v>
      </c>
      <c r="W737" s="72">
        <f t="shared" si="316"/>
        <v>30.043200803417918</v>
      </c>
      <c r="X737" s="72">
        <f t="shared" si="316"/>
        <v>31.054919314104183</v>
      </c>
      <c r="Y737" s="72">
        <f t="shared" si="316"/>
        <v>32.102020772179657</v>
      </c>
      <c r="Z737" s="72">
        <f t="shared" si="316"/>
        <v>33.185785528135781</v>
      </c>
      <c r="AA737" s="72">
        <f t="shared" si="316"/>
        <v>34.307541724028312</v>
      </c>
      <c r="AB737" s="72">
        <f t="shared" si="316"/>
        <v>35.468667128962927</v>
      </c>
      <c r="AC737" s="72">
        <f t="shared" si="316"/>
        <v>36.67059104694183</v>
      </c>
      <c r="AD737" s="72">
        <f t="shared" si="316"/>
        <v>37.914796299992908</v>
      </c>
      <c r="AE737" s="72">
        <f t="shared" si="316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17">L673</f>
        <v>2022</v>
      </c>
      <c r="M739" s="74">
        <f t="shared" si="317"/>
        <v>2023</v>
      </c>
      <c r="N739" s="74">
        <f t="shared" si="317"/>
        <v>2024</v>
      </c>
      <c r="O739" s="74">
        <f t="shared" si="317"/>
        <v>2025</v>
      </c>
      <c r="P739" s="74">
        <f t="shared" si="317"/>
        <v>2026</v>
      </c>
      <c r="Q739" s="74">
        <f t="shared" si="317"/>
        <v>2027</v>
      </c>
      <c r="R739" s="74">
        <f t="shared" si="317"/>
        <v>2028</v>
      </c>
      <c r="S739" s="74">
        <f t="shared" si="317"/>
        <v>2029</v>
      </c>
      <c r="T739" s="74">
        <f t="shared" si="317"/>
        <v>2030</v>
      </c>
      <c r="U739" s="74">
        <f t="shared" si="317"/>
        <v>2031</v>
      </c>
      <c r="V739" s="74">
        <f t="shared" si="317"/>
        <v>2032</v>
      </c>
      <c r="W739" s="74">
        <f t="shared" si="317"/>
        <v>2033</v>
      </c>
      <c r="X739" s="74">
        <f t="shared" si="317"/>
        <v>2034</v>
      </c>
      <c r="Y739" s="74">
        <f t="shared" si="317"/>
        <v>2035</v>
      </c>
      <c r="Z739" s="74">
        <f t="shared" si="317"/>
        <v>2036</v>
      </c>
      <c r="AA739" s="74">
        <f t="shared" si="317"/>
        <v>2037</v>
      </c>
      <c r="AB739" s="74">
        <f t="shared" si="317"/>
        <v>2038</v>
      </c>
      <c r="AC739" s="74">
        <f t="shared" si="317"/>
        <v>2039</v>
      </c>
      <c r="AD739" s="74">
        <f t="shared" si="317"/>
        <v>2040</v>
      </c>
      <c r="AE739" s="74">
        <f t="shared" si="317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318">L675*G729/1000</f>
        <v>0.18716695292200644</v>
      </c>
      <c r="M740" s="72">
        <f t="shared" ref="M740:M747" si="319">M675*G729/1000</f>
        <v>0.1954022988505747</v>
      </c>
      <c r="N740" s="72">
        <f t="shared" ref="N740:N747" si="320">N675*G729/1000</f>
        <v>0.20399999999999999</v>
      </c>
      <c r="O740" s="72">
        <f t="shared" ref="O740:O747" si="321">O675*G729/1000</f>
        <v>0.21297600000000003</v>
      </c>
      <c r="P740" s="72">
        <f t="shared" ref="P740:P747" si="322">P675*G729/1000</f>
        <v>0.22234694400000005</v>
      </c>
      <c r="Q740" s="72">
        <f t="shared" ref="Q740:Q747" si="323">Q675*G729/1000</f>
        <v>0.23213020953600005</v>
      </c>
      <c r="R740" s="72">
        <f t="shared" ref="R740:R747" si="324">R675*G729/1000</f>
        <v>0.24234393875558408</v>
      </c>
      <c r="S740" s="72">
        <f t="shared" ref="S740:S747" si="325">S675*G729/1000</f>
        <v>0.25300707206082979</v>
      </c>
      <c r="T740" s="72">
        <f t="shared" ref="T740:T747" si="326">T675*G729/1000</f>
        <v>0.26413938323150632</v>
      </c>
      <c r="U740" s="72">
        <f t="shared" ref="U740:U747" si="327">U675*G729/1000</f>
        <v>0.27576151609369259</v>
      </c>
      <c r="V740" s="72">
        <f t="shared" ref="V740:V747" si="328">V675*G729/1000</f>
        <v>0.28789502280181506</v>
      </c>
      <c r="W740" s="72">
        <f t="shared" ref="W740:W747" si="329">W675*G729/1000</f>
        <v>0.30056240380509497</v>
      </c>
      <c r="X740" s="72">
        <f t="shared" ref="X740:X747" si="330">X675*G729/1000</f>
        <v>0.31378714957251913</v>
      </c>
      <c r="Y740" s="72">
        <f t="shared" ref="Y740:Y747" si="331">Y675*G729/1000</f>
        <v>0.32759378415370999</v>
      </c>
      <c r="Z740" s="72">
        <f t="shared" ref="Z740:Z747" si="332">Z675*G729/1000</f>
        <v>0.34200791065647324</v>
      </c>
      <c r="AA740" s="72">
        <f t="shared" ref="AA740:AA747" si="333">AA675*G729/1000</f>
        <v>0.35705625872535807</v>
      </c>
      <c r="AB740" s="72">
        <f t="shared" ref="AB740:AB747" si="334">AB675*G729/1000</f>
        <v>0.37276673410927386</v>
      </c>
      <c r="AC740" s="72">
        <f t="shared" ref="AC740:AC747" si="335">AC675*G729/1000</f>
        <v>0.38916847041008185</v>
      </c>
      <c r="AD740" s="72">
        <f t="shared" ref="AD740:AD747" si="336">AD675*G729/1000</f>
        <v>0.40629188310812547</v>
      </c>
      <c r="AE740" s="72">
        <f t="shared" ref="AE740:AE747" si="337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318"/>
        <v>6.6058924560708152E-2</v>
      </c>
      <c r="M741" s="72">
        <f t="shared" si="319"/>
        <v>6.8965517241379309E-2</v>
      </c>
      <c r="N741" s="72">
        <f t="shared" si="320"/>
        <v>7.1999999999999995E-2</v>
      </c>
      <c r="O741" s="72">
        <f t="shared" si="321"/>
        <v>7.5167999999999999E-2</v>
      </c>
      <c r="P741" s="72">
        <f t="shared" si="322"/>
        <v>7.8475392000000005E-2</v>
      </c>
      <c r="Q741" s="72">
        <f t="shared" si="323"/>
        <v>8.1928309247999986E-2</v>
      </c>
      <c r="R741" s="72">
        <f t="shared" si="324"/>
        <v>8.5533154854912002E-2</v>
      </c>
      <c r="S741" s="72">
        <f t="shared" si="325"/>
        <v>8.9296613668528119E-2</v>
      </c>
      <c r="T741" s="72">
        <f t="shared" si="326"/>
        <v>9.3225664669943364E-2</v>
      </c>
      <c r="U741" s="72">
        <f t="shared" si="327"/>
        <v>9.7327593915420896E-2</v>
      </c>
      <c r="V741" s="72">
        <f t="shared" si="328"/>
        <v>0.10161000804769942</v>
      </c>
      <c r="W741" s="72">
        <f t="shared" si="329"/>
        <v>0.10608084840179818</v>
      </c>
      <c r="X741" s="72">
        <f t="shared" si="330"/>
        <v>0.1107484057314773</v>
      </c>
      <c r="Y741" s="72">
        <f t="shared" si="331"/>
        <v>0.1156213355836623</v>
      </c>
      <c r="Z741" s="72">
        <f t="shared" si="332"/>
        <v>0.12070867434934346</v>
      </c>
      <c r="AA741" s="72">
        <f t="shared" si="333"/>
        <v>0.12601985602071455</v>
      </c>
      <c r="AB741" s="72">
        <f t="shared" si="334"/>
        <v>0.13156472968562599</v>
      </c>
      <c r="AC741" s="72">
        <f t="shared" si="335"/>
        <v>0.13735357779179352</v>
      </c>
      <c r="AD741" s="72">
        <f t="shared" si="336"/>
        <v>0.14339713521463243</v>
      </c>
      <c r="AE741" s="72">
        <f t="shared" si="337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318"/>
        <v>0</v>
      </c>
      <c r="M742" s="72">
        <f t="shared" si="319"/>
        <v>0</v>
      </c>
      <c r="N742" s="72">
        <f t="shared" si="320"/>
        <v>0</v>
      </c>
      <c r="O742" s="72">
        <f t="shared" si="321"/>
        <v>0</v>
      </c>
      <c r="P742" s="72">
        <f t="shared" si="322"/>
        <v>0</v>
      </c>
      <c r="Q742" s="72">
        <f t="shared" si="323"/>
        <v>0</v>
      </c>
      <c r="R742" s="72">
        <f t="shared" si="324"/>
        <v>0</v>
      </c>
      <c r="S742" s="72">
        <f t="shared" si="325"/>
        <v>0</v>
      </c>
      <c r="T742" s="72">
        <f t="shared" si="326"/>
        <v>0</v>
      </c>
      <c r="U742" s="72">
        <f t="shared" si="327"/>
        <v>0</v>
      </c>
      <c r="V742" s="72">
        <f t="shared" si="328"/>
        <v>0</v>
      </c>
      <c r="W742" s="72">
        <f t="shared" si="329"/>
        <v>0</v>
      </c>
      <c r="X742" s="72">
        <f t="shared" si="330"/>
        <v>0</v>
      </c>
      <c r="Y742" s="72">
        <f t="shared" si="331"/>
        <v>0</v>
      </c>
      <c r="Z742" s="72">
        <f t="shared" si="332"/>
        <v>0</v>
      </c>
      <c r="AA742" s="72">
        <f t="shared" si="333"/>
        <v>0</v>
      </c>
      <c r="AB742" s="72">
        <f t="shared" si="334"/>
        <v>0</v>
      </c>
      <c r="AC742" s="72">
        <f t="shared" si="335"/>
        <v>0</v>
      </c>
      <c r="AD742" s="72">
        <f t="shared" si="336"/>
        <v>0</v>
      </c>
      <c r="AE742" s="72">
        <f t="shared" si="337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318"/>
        <v>24.646491529759945</v>
      </c>
      <c r="M743" s="72">
        <f t="shared" si="319"/>
        <v>25.459825750242022</v>
      </c>
      <c r="N743" s="72">
        <f t="shared" si="320"/>
        <v>26.3</v>
      </c>
      <c r="O743" s="72">
        <f t="shared" si="321"/>
        <v>27.167899999999999</v>
      </c>
      <c r="P743" s="72">
        <f t="shared" si="322"/>
        <v>28.064440699999995</v>
      </c>
      <c r="Q743" s="72">
        <f t="shared" si="323"/>
        <v>28.990567243099992</v>
      </c>
      <c r="R743" s="72">
        <f t="shared" si="324"/>
        <v>29.947255962122291</v>
      </c>
      <c r="S743" s="72">
        <f t="shared" si="325"/>
        <v>30.935515408872323</v>
      </c>
      <c r="T743" s="72">
        <f t="shared" si="326"/>
        <v>31.956387417365111</v>
      </c>
      <c r="U743" s="72">
        <f t="shared" si="327"/>
        <v>33.010948202138152</v>
      </c>
      <c r="V743" s="72">
        <f t="shared" si="328"/>
        <v>34.100309492808705</v>
      </c>
      <c r="W743" s="72">
        <f t="shared" si="329"/>
        <v>35.225619706071399</v>
      </c>
      <c r="X743" s="72">
        <f t="shared" si="330"/>
        <v>36.388065156371745</v>
      </c>
      <c r="Y743" s="72">
        <f t="shared" si="331"/>
        <v>37.588871306532013</v>
      </c>
      <c r="Z743" s="72">
        <f t="shared" si="332"/>
        <v>38.829304059647569</v>
      </c>
      <c r="AA743" s="72">
        <f t="shared" si="333"/>
        <v>40.110671093615935</v>
      </c>
      <c r="AB743" s="72">
        <f t="shared" si="334"/>
        <v>41.434323239705257</v>
      </c>
      <c r="AC743" s="72">
        <f t="shared" si="335"/>
        <v>42.801655906615522</v>
      </c>
      <c r="AD743" s="72">
        <f t="shared" si="336"/>
        <v>44.214110551533835</v>
      </c>
      <c r="AE743" s="72">
        <f t="shared" si="337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318"/>
        <v>0</v>
      </c>
      <c r="M744" s="72">
        <f t="shared" si="319"/>
        <v>0</v>
      </c>
      <c r="N744" s="72">
        <f t="shared" si="320"/>
        <v>0</v>
      </c>
      <c r="O744" s="72">
        <f t="shared" si="321"/>
        <v>0</v>
      </c>
      <c r="P744" s="72">
        <f t="shared" si="322"/>
        <v>0</v>
      </c>
      <c r="Q744" s="72">
        <f t="shared" si="323"/>
        <v>0</v>
      </c>
      <c r="R744" s="72">
        <f t="shared" si="324"/>
        <v>0</v>
      </c>
      <c r="S744" s="72">
        <f t="shared" si="325"/>
        <v>0</v>
      </c>
      <c r="T744" s="72">
        <f t="shared" si="326"/>
        <v>0</v>
      </c>
      <c r="U744" s="72">
        <f t="shared" si="327"/>
        <v>0</v>
      </c>
      <c r="V744" s="72">
        <f t="shared" si="328"/>
        <v>0</v>
      </c>
      <c r="W744" s="72">
        <f t="shared" si="329"/>
        <v>0</v>
      </c>
      <c r="X744" s="72">
        <f t="shared" si="330"/>
        <v>0</v>
      </c>
      <c r="Y744" s="72">
        <f t="shared" si="331"/>
        <v>0</v>
      </c>
      <c r="Z744" s="72">
        <f t="shared" si="332"/>
        <v>0</v>
      </c>
      <c r="AA744" s="72">
        <f t="shared" si="333"/>
        <v>0</v>
      </c>
      <c r="AB744" s="72">
        <f t="shared" si="334"/>
        <v>0</v>
      </c>
      <c r="AC744" s="72">
        <f t="shared" si="335"/>
        <v>0</v>
      </c>
      <c r="AD744" s="72">
        <f t="shared" si="336"/>
        <v>0</v>
      </c>
      <c r="AE744" s="72">
        <f t="shared" si="337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318"/>
        <v>0</v>
      </c>
      <c r="M745" s="72">
        <f t="shared" si="319"/>
        <v>0</v>
      </c>
      <c r="N745" s="72">
        <f t="shared" si="320"/>
        <v>0</v>
      </c>
      <c r="O745" s="72">
        <f t="shared" si="321"/>
        <v>0</v>
      </c>
      <c r="P745" s="72">
        <f t="shared" si="322"/>
        <v>0</v>
      </c>
      <c r="Q745" s="72">
        <f t="shared" si="323"/>
        <v>0</v>
      </c>
      <c r="R745" s="72">
        <f t="shared" si="324"/>
        <v>0</v>
      </c>
      <c r="S745" s="72">
        <f t="shared" si="325"/>
        <v>0</v>
      </c>
      <c r="T745" s="72">
        <f t="shared" si="326"/>
        <v>0</v>
      </c>
      <c r="U745" s="72">
        <f t="shared" si="327"/>
        <v>0</v>
      </c>
      <c r="V745" s="72">
        <f t="shared" si="328"/>
        <v>0</v>
      </c>
      <c r="W745" s="72">
        <f t="shared" si="329"/>
        <v>0</v>
      </c>
      <c r="X745" s="72">
        <f t="shared" si="330"/>
        <v>0</v>
      </c>
      <c r="Y745" s="72">
        <f t="shared" si="331"/>
        <v>0</v>
      </c>
      <c r="Z745" s="72">
        <f t="shared" si="332"/>
        <v>0</v>
      </c>
      <c r="AA745" s="72">
        <f t="shared" si="333"/>
        <v>0</v>
      </c>
      <c r="AB745" s="72">
        <f t="shared" si="334"/>
        <v>0</v>
      </c>
      <c r="AC745" s="72">
        <f t="shared" si="335"/>
        <v>0</v>
      </c>
      <c r="AD745" s="72">
        <f t="shared" si="336"/>
        <v>0</v>
      </c>
      <c r="AE745" s="72">
        <f t="shared" si="337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318"/>
        <v>0.55721293959505358</v>
      </c>
      <c r="M746" s="72">
        <f t="shared" si="319"/>
        <v>0.56947162426614473</v>
      </c>
      <c r="N746" s="72">
        <f t="shared" si="320"/>
        <v>0.58199999999999996</v>
      </c>
      <c r="O746" s="72">
        <f t="shared" si="321"/>
        <v>0.594804</v>
      </c>
      <c r="P746" s="72">
        <f t="shared" si="322"/>
        <v>0.60788968800000009</v>
      </c>
      <c r="Q746" s="72">
        <f t="shared" si="323"/>
        <v>0.62126326113599994</v>
      </c>
      <c r="R746" s="72">
        <f t="shared" si="324"/>
        <v>0.63493105288099194</v>
      </c>
      <c r="S746" s="72">
        <f t="shared" si="325"/>
        <v>0.64889953604437378</v>
      </c>
      <c r="T746" s="72">
        <f t="shared" si="326"/>
        <v>0.66317532583735006</v>
      </c>
      <c r="U746" s="72">
        <f t="shared" si="327"/>
        <v>0.67776518300577182</v>
      </c>
      <c r="V746" s="72">
        <f t="shared" si="328"/>
        <v>0.69267601703189885</v>
      </c>
      <c r="W746" s="72">
        <f t="shared" si="329"/>
        <v>0.70791488940660052</v>
      </c>
      <c r="X746" s="72">
        <f t="shared" si="330"/>
        <v>0.72348901697354573</v>
      </c>
      <c r="Y746" s="72">
        <f t="shared" si="331"/>
        <v>0.73940577534696372</v>
      </c>
      <c r="Z746" s="72">
        <f t="shared" si="332"/>
        <v>0.75567270240459705</v>
      </c>
      <c r="AA746" s="72">
        <f t="shared" si="333"/>
        <v>0.77229750185749824</v>
      </c>
      <c r="AB746" s="72">
        <f t="shared" si="334"/>
        <v>0.78928804689836318</v>
      </c>
      <c r="AC746" s="72">
        <f t="shared" si="335"/>
        <v>0.80665238393012717</v>
      </c>
      <c r="AD746" s="72">
        <f t="shared" si="336"/>
        <v>0.82439873637659</v>
      </c>
      <c r="AE746" s="72">
        <f t="shared" si="337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318"/>
        <v>0.63340895307832257</v>
      </c>
      <c r="M747" s="72">
        <f t="shared" si="319"/>
        <v>0.66824644549763035</v>
      </c>
      <c r="N747" s="72">
        <f t="shared" si="320"/>
        <v>0.70499999999999996</v>
      </c>
      <c r="O747" s="72">
        <f t="shared" si="321"/>
        <v>0.74377499999999996</v>
      </c>
      <c r="P747" s="72">
        <f t="shared" si="322"/>
        <v>0.78468262499999997</v>
      </c>
      <c r="Q747" s="72">
        <f t="shared" si="323"/>
        <v>0.82784016937499993</v>
      </c>
      <c r="R747" s="72">
        <f t="shared" si="324"/>
        <v>0.87337137869062498</v>
      </c>
      <c r="S747" s="72">
        <f t="shared" si="325"/>
        <v>0.92140680451860935</v>
      </c>
      <c r="T747" s="72">
        <f t="shared" si="326"/>
        <v>0.97208417876713282</v>
      </c>
      <c r="U747" s="72">
        <f t="shared" si="327"/>
        <v>1.025548808599325</v>
      </c>
      <c r="V747" s="72">
        <f t="shared" si="328"/>
        <v>1.0819539930722879</v>
      </c>
      <c r="W747" s="72">
        <f t="shared" si="329"/>
        <v>1.1414614626912638</v>
      </c>
      <c r="X747" s="72">
        <f t="shared" si="330"/>
        <v>1.2042418431392832</v>
      </c>
      <c r="Y747" s="72">
        <f t="shared" si="331"/>
        <v>1.2704751445119435</v>
      </c>
      <c r="Z747" s="72">
        <f t="shared" si="332"/>
        <v>1.3403512774601003</v>
      </c>
      <c r="AA747" s="72">
        <f t="shared" si="333"/>
        <v>1.4140705977204062</v>
      </c>
      <c r="AB747" s="72">
        <f t="shared" si="334"/>
        <v>1.4918444805950282</v>
      </c>
      <c r="AC747" s="72">
        <f t="shared" si="335"/>
        <v>1.5738959270277546</v>
      </c>
      <c r="AD747" s="72">
        <f t="shared" si="336"/>
        <v>1.660460203014281</v>
      </c>
      <c r="AE747" s="72">
        <f t="shared" si="337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38">SUM(L740:L747)</f>
        <v>26.090339299916039</v>
      </c>
      <c r="M748" s="72">
        <f t="shared" si="338"/>
        <v>26.961911636097753</v>
      </c>
      <c r="N748" s="72">
        <f t="shared" si="338"/>
        <v>27.863</v>
      </c>
      <c r="O748" s="72">
        <f t="shared" si="338"/>
        <v>28.794622999999998</v>
      </c>
      <c r="P748" s="72">
        <f t="shared" si="338"/>
        <v>29.757835348999993</v>
      </c>
      <c r="Q748" s="72">
        <f t="shared" si="338"/>
        <v>30.753729192394996</v>
      </c>
      <c r="R748" s="72">
        <f t="shared" si="338"/>
        <v>31.783435487304406</v>
      </c>
      <c r="S748" s="72">
        <f t="shared" si="338"/>
        <v>32.848125435164668</v>
      </c>
      <c r="T748" s="72">
        <f t="shared" si="338"/>
        <v>33.949011969871044</v>
      </c>
      <c r="U748" s="72">
        <f t="shared" si="338"/>
        <v>35.087351303752364</v>
      </c>
      <c r="V748" s="72">
        <f t="shared" si="338"/>
        <v>36.264444533762408</v>
      </c>
      <c r="W748" s="72">
        <f t="shared" si="338"/>
        <v>37.481639310376153</v>
      </c>
      <c r="X748" s="72">
        <f t="shared" si="338"/>
        <v>38.740331571788573</v>
      </c>
      <c r="Y748" s="72">
        <f t="shared" si="338"/>
        <v>40.041967346128295</v>
      </c>
      <c r="Z748" s="72">
        <f t="shared" si="338"/>
        <v>41.388044624518081</v>
      </c>
      <c r="AA748" s="72">
        <f t="shared" si="338"/>
        <v>42.780115307939909</v>
      </c>
      <c r="AB748" s="72">
        <f t="shared" si="338"/>
        <v>44.219787230993546</v>
      </c>
      <c r="AC748" s="72">
        <f t="shared" si="338"/>
        <v>45.708726265775283</v>
      </c>
      <c r="AD748" s="72">
        <f t="shared" si="338"/>
        <v>47.248658509247463</v>
      </c>
      <c r="AE748" s="72">
        <f t="shared" si="338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39">L697</f>
        <v>2022</v>
      </c>
      <c r="M750" s="74">
        <f t="shared" si="339"/>
        <v>2023</v>
      </c>
      <c r="N750" s="74">
        <f t="shared" si="339"/>
        <v>2024</v>
      </c>
      <c r="O750" s="74">
        <f t="shared" si="339"/>
        <v>2025</v>
      </c>
      <c r="P750" s="74">
        <f t="shared" si="339"/>
        <v>2026</v>
      </c>
      <c r="Q750" s="74">
        <f t="shared" si="339"/>
        <v>2027</v>
      </c>
      <c r="R750" s="74">
        <f t="shared" si="339"/>
        <v>2028</v>
      </c>
      <c r="S750" s="74">
        <f t="shared" si="339"/>
        <v>2029</v>
      </c>
      <c r="T750" s="74">
        <f t="shared" si="339"/>
        <v>2030</v>
      </c>
      <c r="U750" s="74">
        <f t="shared" si="339"/>
        <v>2031</v>
      </c>
      <c r="V750" s="74">
        <f t="shared" si="339"/>
        <v>2032</v>
      </c>
      <c r="W750" s="74">
        <f t="shared" si="339"/>
        <v>2033</v>
      </c>
      <c r="X750" s="74">
        <f t="shared" si="339"/>
        <v>2034</v>
      </c>
      <c r="Y750" s="74">
        <f t="shared" si="339"/>
        <v>2035</v>
      </c>
      <c r="Z750" s="74">
        <f t="shared" si="339"/>
        <v>2036</v>
      </c>
      <c r="AA750" s="74">
        <f t="shared" si="339"/>
        <v>2037</v>
      </c>
      <c r="AB750" s="74">
        <f t="shared" si="339"/>
        <v>2038</v>
      </c>
      <c r="AC750" s="74">
        <f t="shared" si="339"/>
        <v>2039</v>
      </c>
      <c r="AD750" s="74">
        <f t="shared" si="339"/>
        <v>2040</v>
      </c>
      <c r="AE750" s="74">
        <f t="shared" si="339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40">L729*(EXP(-($E751)*(L648))-1)</f>
        <v>0</v>
      </c>
      <c r="M751" s="72">
        <f t="shared" si="340"/>
        <v>0</v>
      </c>
      <c r="N751" s="72">
        <f t="shared" si="340"/>
        <v>0</v>
      </c>
      <c r="O751" s="72">
        <f t="shared" si="340"/>
        <v>0</v>
      </c>
      <c r="P751" s="72">
        <f t="shared" si="340"/>
        <v>0</v>
      </c>
      <c r="Q751" s="72">
        <f t="shared" si="340"/>
        <v>0</v>
      </c>
      <c r="R751" s="72">
        <f t="shared" si="340"/>
        <v>0</v>
      </c>
      <c r="S751" s="72">
        <f t="shared" si="340"/>
        <v>0</v>
      </c>
      <c r="T751" s="72">
        <f t="shared" si="340"/>
        <v>0</v>
      </c>
      <c r="U751" s="72">
        <f t="shared" si="340"/>
        <v>0</v>
      </c>
      <c r="V751" s="72">
        <f t="shared" si="340"/>
        <v>0</v>
      </c>
      <c r="W751" s="72">
        <f t="shared" si="340"/>
        <v>0</v>
      </c>
      <c r="X751" s="72">
        <f t="shared" si="340"/>
        <v>0</v>
      </c>
      <c r="Y751" s="72">
        <f t="shared" si="340"/>
        <v>0</v>
      </c>
      <c r="Z751" s="72">
        <f t="shared" si="340"/>
        <v>0</v>
      </c>
      <c r="AA751" s="72">
        <f t="shared" si="340"/>
        <v>0</v>
      </c>
      <c r="AB751" s="72">
        <f t="shared" si="340"/>
        <v>0</v>
      </c>
      <c r="AC751" s="72">
        <f t="shared" si="340"/>
        <v>0</v>
      </c>
      <c r="AD751" s="72">
        <f t="shared" si="340"/>
        <v>0</v>
      </c>
      <c r="AE751" s="72">
        <f t="shared" si="340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41">L730*(EXP(-($E752)*(L648))-1)</f>
        <v>0</v>
      </c>
      <c r="M752" s="72">
        <f t="shared" si="341"/>
        <v>0</v>
      </c>
      <c r="N752" s="72">
        <f t="shared" si="341"/>
        <v>0</v>
      </c>
      <c r="O752" s="72">
        <f t="shared" si="341"/>
        <v>0</v>
      </c>
      <c r="P752" s="72">
        <f t="shared" si="341"/>
        <v>0</v>
      </c>
      <c r="Q752" s="72">
        <f t="shared" si="341"/>
        <v>0</v>
      </c>
      <c r="R752" s="72">
        <f t="shared" si="341"/>
        <v>0</v>
      </c>
      <c r="S752" s="72">
        <f t="shared" si="341"/>
        <v>0</v>
      </c>
      <c r="T752" s="72">
        <f t="shared" si="341"/>
        <v>0</v>
      </c>
      <c r="U752" s="72">
        <f t="shared" si="341"/>
        <v>0</v>
      </c>
      <c r="V752" s="72">
        <f t="shared" si="341"/>
        <v>0</v>
      </c>
      <c r="W752" s="72">
        <f t="shared" si="341"/>
        <v>0</v>
      </c>
      <c r="X752" s="72">
        <f t="shared" si="341"/>
        <v>0</v>
      </c>
      <c r="Y752" s="72">
        <f t="shared" si="341"/>
        <v>0</v>
      </c>
      <c r="Z752" s="72">
        <f t="shared" si="341"/>
        <v>0</v>
      </c>
      <c r="AA752" s="72">
        <f t="shared" si="341"/>
        <v>0</v>
      </c>
      <c r="AB752" s="72">
        <f t="shared" si="341"/>
        <v>0</v>
      </c>
      <c r="AC752" s="72">
        <f t="shared" si="341"/>
        <v>0</v>
      </c>
      <c r="AD752" s="72">
        <f t="shared" si="341"/>
        <v>0</v>
      </c>
      <c r="AE752" s="72">
        <f t="shared" si="341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42">L731*(EXP(-($E753)*(L648))-1)</f>
        <v>0</v>
      </c>
      <c r="M753" s="72">
        <f t="shared" si="342"/>
        <v>0</v>
      </c>
      <c r="N753" s="72">
        <f t="shared" si="342"/>
        <v>0</v>
      </c>
      <c r="O753" s="72">
        <f t="shared" si="342"/>
        <v>0</v>
      </c>
      <c r="P753" s="72">
        <f t="shared" si="342"/>
        <v>0</v>
      </c>
      <c r="Q753" s="72">
        <f t="shared" si="342"/>
        <v>0</v>
      </c>
      <c r="R753" s="72">
        <f t="shared" si="342"/>
        <v>0</v>
      </c>
      <c r="S753" s="72">
        <f t="shared" si="342"/>
        <v>0</v>
      </c>
      <c r="T753" s="72">
        <f t="shared" si="342"/>
        <v>0</v>
      </c>
      <c r="U753" s="72">
        <f t="shared" si="342"/>
        <v>0</v>
      </c>
      <c r="V753" s="72">
        <f t="shared" si="342"/>
        <v>0</v>
      </c>
      <c r="W753" s="72">
        <f t="shared" si="342"/>
        <v>0</v>
      </c>
      <c r="X753" s="72">
        <f t="shared" si="342"/>
        <v>0</v>
      </c>
      <c r="Y753" s="72">
        <f t="shared" si="342"/>
        <v>0</v>
      </c>
      <c r="Z753" s="72">
        <f t="shared" si="342"/>
        <v>0</v>
      </c>
      <c r="AA753" s="72">
        <f t="shared" si="342"/>
        <v>0</v>
      </c>
      <c r="AB753" s="72">
        <f t="shared" si="342"/>
        <v>0</v>
      </c>
      <c r="AC753" s="72">
        <f t="shared" si="342"/>
        <v>0</v>
      </c>
      <c r="AD753" s="72">
        <f t="shared" si="342"/>
        <v>0</v>
      </c>
      <c r="AE753" s="72">
        <f t="shared" si="342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43">L732*(EXP(-($E754)*(L648))-1)</f>
        <v>0</v>
      </c>
      <c r="M754" s="72">
        <f t="shared" si="343"/>
        <v>0</v>
      </c>
      <c r="N754" s="72">
        <f t="shared" si="343"/>
        <v>0</v>
      </c>
      <c r="O754" s="72">
        <f t="shared" si="343"/>
        <v>0</v>
      </c>
      <c r="P754" s="72">
        <f t="shared" si="343"/>
        <v>0</v>
      </c>
      <c r="Q754" s="72">
        <f t="shared" si="343"/>
        <v>0</v>
      </c>
      <c r="R754" s="72">
        <f t="shared" si="343"/>
        <v>0</v>
      </c>
      <c r="S754" s="72">
        <f t="shared" si="343"/>
        <v>0</v>
      </c>
      <c r="T754" s="72">
        <f t="shared" si="343"/>
        <v>0</v>
      </c>
      <c r="U754" s="72">
        <f t="shared" si="343"/>
        <v>0</v>
      </c>
      <c r="V754" s="72">
        <f t="shared" si="343"/>
        <v>0</v>
      </c>
      <c r="W754" s="72">
        <f t="shared" si="343"/>
        <v>0</v>
      </c>
      <c r="X754" s="72">
        <f t="shared" si="343"/>
        <v>0</v>
      </c>
      <c r="Y754" s="72">
        <f t="shared" si="343"/>
        <v>0</v>
      </c>
      <c r="Z754" s="72">
        <f t="shared" si="343"/>
        <v>0</v>
      </c>
      <c r="AA754" s="72">
        <f t="shared" si="343"/>
        <v>0</v>
      </c>
      <c r="AB754" s="72">
        <f t="shared" si="343"/>
        <v>0</v>
      </c>
      <c r="AC754" s="72">
        <f t="shared" si="343"/>
        <v>0</v>
      </c>
      <c r="AD754" s="72">
        <f t="shared" si="343"/>
        <v>0</v>
      </c>
      <c r="AE754" s="72">
        <f t="shared" si="343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44">L733*(EXP(-($E755)*(L648))-1)</f>
        <v>0</v>
      </c>
      <c r="M755" s="72">
        <f t="shared" si="344"/>
        <v>0</v>
      </c>
      <c r="N755" s="72">
        <f t="shared" si="344"/>
        <v>0</v>
      </c>
      <c r="O755" s="72">
        <f t="shared" si="344"/>
        <v>0</v>
      </c>
      <c r="P755" s="72">
        <f t="shared" si="344"/>
        <v>0</v>
      </c>
      <c r="Q755" s="72">
        <f t="shared" si="344"/>
        <v>0</v>
      </c>
      <c r="R755" s="72">
        <f t="shared" si="344"/>
        <v>0</v>
      </c>
      <c r="S755" s="72">
        <f t="shared" si="344"/>
        <v>0</v>
      </c>
      <c r="T755" s="72">
        <f t="shared" si="344"/>
        <v>0</v>
      </c>
      <c r="U755" s="72">
        <f t="shared" si="344"/>
        <v>0</v>
      </c>
      <c r="V755" s="72">
        <f t="shared" si="344"/>
        <v>0</v>
      </c>
      <c r="W755" s="72">
        <f t="shared" si="344"/>
        <v>0</v>
      </c>
      <c r="X755" s="72">
        <f t="shared" si="344"/>
        <v>0</v>
      </c>
      <c r="Y755" s="72">
        <f t="shared" si="344"/>
        <v>0</v>
      </c>
      <c r="Z755" s="72">
        <f t="shared" si="344"/>
        <v>0</v>
      </c>
      <c r="AA755" s="72">
        <f t="shared" si="344"/>
        <v>0</v>
      </c>
      <c r="AB755" s="72">
        <f t="shared" si="344"/>
        <v>0</v>
      </c>
      <c r="AC755" s="72">
        <f t="shared" si="344"/>
        <v>0</v>
      </c>
      <c r="AD755" s="72">
        <f t="shared" si="344"/>
        <v>0</v>
      </c>
      <c r="AE755" s="72">
        <f t="shared" si="344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45">L734*(EXP(-($E756)*(L648))-1)</f>
        <v>0</v>
      </c>
      <c r="M756" s="72">
        <f t="shared" si="345"/>
        <v>0</v>
      </c>
      <c r="N756" s="72">
        <f t="shared" si="345"/>
        <v>0</v>
      </c>
      <c r="O756" s="72">
        <f t="shared" si="345"/>
        <v>0</v>
      </c>
      <c r="P756" s="72">
        <f t="shared" si="345"/>
        <v>0</v>
      </c>
      <c r="Q756" s="72">
        <f t="shared" si="345"/>
        <v>0</v>
      </c>
      <c r="R756" s="72">
        <f t="shared" si="345"/>
        <v>0</v>
      </c>
      <c r="S756" s="72">
        <f t="shared" si="345"/>
        <v>0</v>
      </c>
      <c r="T756" s="72">
        <f t="shared" si="345"/>
        <v>0</v>
      </c>
      <c r="U756" s="72">
        <f t="shared" si="345"/>
        <v>0</v>
      </c>
      <c r="V756" s="72">
        <f t="shared" si="345"/>
        <v>0</v>
      </c>
      <c r="W756" s="72">
        <f t="shared" si="345"/>
        <v>0</v>
      </c>
      <c r="X756" s="72">
        <f t="shared" si="345"/>
        <v>0</v>
      </c>
      <c r="Y756" s="72">
        <f t="shared" si="345"/>
        <v>0</v>
      </c>
      <c r="Z756" s="72">
        <f t="shared" si="345"/>
        <v>0</v>
      </c>
      <c r="AA756" s="72">
        <f t="shared" si="345"/>
        <v>0</v>
      </c>
      <c r="AB756" s="72">
        <f t="shared" si="345"/>
        <v>0</v>
      </c>
      <c r="AC756" s="72">
        <f t="shared" si="345"/>
        <v>0</v>
      </c>
      <c r="AD756" s="72">
        <f t="shared" si="345"/>
        <v>0</v>
      </c>
      <c r="AE756" s="72">
        <f t="shared" si="345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46">L735*(EXP(-($E757)*(L648))-1)</f>
        <v>0</v>
      </c>
      <c r="M757" s="72">
        <f t="shared" si="346"/>
        <v>0</v>
      </c>
      <c r="N757" s="72">
        <f t="shared" si="346"/>
        <v>0</v>
      </c>
      <c r="O757" s="72">
        <f t="shared" si="346"/>
        <v>0</v>
      </c>
      <c r="P757" s="72">
        <f t="shared" si="346"/>
        <v>0</v>
      </c>
      <c r="Q757" s="72">
        <f t="shared" si="346"/>
        <v>0</v>
      </c>
      <c r="R757" s="72">
        <f t="shared" si="346"/>
        <v>0</v>
      </c>
      <c r="S757" s="72">
        <f t="shared" si="346"/>
        <v>0</v>
      </c>
      <c r="T757" s="72">
        <f t="shared" si="346"/>
        <v>0</v>
      </c>
      <c r="U757" s="72">
        <f t="shared" si="346"/>
        <v>0</v>
      </c>
      <c r="V757" s="72">
        <f t="shared" si="346"/>
        <v>0</v>
      </c>
      <c r="W757" s="72">
        <f t="shared" si="346"/>
        <v>0</v>
      </c>
      <c r="X757" s="72">
        <f t="shared" si="346"/>
        <v>0</v>
      </c>
      <c r="Y757" s="72">
        <f t="shared" si="346"/>
        <v>0</v>
      </c>
      <c r="Z757" s="72">
        <f t="shared" si="346"/>
        <v>0</v>
      </c>
      <c r="AA757" s="72">
        <f t="shared" si="346"/>
        <v>0</v>
      </c>
      <c r="AB757" s="72">
        <f t="shared" si="346"/>
        <v>0</v>
      </c>
      <c r="AC757" s="72">
        <f t="shared" si="346"/>
        <v>0</v>
      </c>
      <c r="AD757" s="72">
        <f t="shared" si="346"/>
        <v>0</v>
      </c>
      <c r="AE757" s="72">
        <f t="shared" si="346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47">L736*(EXP(-($E758)*(L648))-1)</f>
        <v>0</v>
      </c>
      <c r="M758" s="72">
        <f t="shared" si="347"/>
        <v>0</v>
      </c>
      <c r="N758" s="72">
        <f t="shared" si="347"/>
        <v>0</v>
      </c>
      <c r="O758" s="72">
        <f t="shared" si="347"/>
        <v>0</v>
      </c>
      <c r="P758" s="72">
        <f t="shared" si="347"/>
        <v>0</v>
      </c>
      <c r="Q758" s="72">
        <f t="shared" si="347"/>
        <v>0</v>
      </c>
      <c r="R758" s="72">
        <f t="shared" si="347"/>
        <v>0</v>
      </c>
      <c r="S758" s="72">
        <f t="shared" si="347"/>
        <v>0</v>
      </c>
      <c r="T758" s="72">
        <f t="shared" si="347"/>
        <v>0</v>
      </c>
      <c r="U758" s="72">
        <f t="shared" si="347"/>
        <v>0</v>
      </c>
      <c r="V758" s="72">
        <f t="shared" si="347"/>
        <v>0</v>
      </c>
      <c r="W758" s="72">
        <f t="shared" si="347"/>
        <v>0</v>
      </c>
      <c r="X758" s="72">
        <f t="shared" si="347"/>
        <v>0</v>
      </c>
      <c r="Y758" s="72">
        <f t="shared" si="347"/>
        <v>0</v>
      </c>
      <c r="Z758" s="72">
        <f t="shared" si="347"/>
        <v>0</v>
      </c>
      <c r="AA758" s="72">
        <f t="shared" si="347"/>
        <v>0</v>
      </c>
      <c r="AB758" s="72">
        <f t="shared" si="347"/>
        <v>0</v>
      </c>
      <c r="AC758" s="72">
        <f t="shared" si="347"/>
        <v>0</v>
      </c>
      <c r="AD758" s="72">
        <f t="shared" si="347"/>
        <v>0</v>
      </c>
      <c r="AE758" s="72">
        <f t="shared" si="347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48">SUM(L751:L758)</f>
        <v>0</v>
      </c>
      <c r="M759" s="72">
        <f t="shared" si="348"/>
        <v>0</v>
      </c>
      <c r="N759" s="72">
        <f t="shared" si="348"/>
        <v>0</v>
      </c>
      <c r="O759" s="72">
        <f t="shared" si="348"/>
        <v>0</v>
      </c>
      <c r="P759" s="72">
        <f t="shared" si="348"/>
        <v>0</v>
      </c>
      <c r="Q759" s="72">
        <f t="shared" si="348"/>
        <v>0</v>
      </c>
      <c r="R759" s="72">
        <f t="shared" si="348"/>
        <v>0</v>
      </c>
      <c r="S759" s="72">
        <f t="shared" si="348"/>
        <v>0</v>
      </c>
      <c r="T759" s="72">
        <f t="shared" si="348"/>
        <v>0</v>
      </c>
      <c r="U759" s="72">
        <f t="shared" si="348"/>
        <v>0</v>
      </c>
      <c r="V759" s="72">
        <f t="shared" si="348"/>
        <v>0</v>
      </c>
      <c r="W759" s="72">
        <f t="shared" si="348"/>
        <v>0</v>
      </c>
      <c r="X759" s="72">
        <f t="shared" si="348"/>
        <v>0</v>
      </c>
      <c r="Y759" s="72">
        <f t="shared" si="348"/>
        <v>0</v>
      </c>
      <c r="Z759" s="72">
        <f t="shared" si="348"/>
        <v>0</v>
      </c>
      <c r="AA759" s="72">
        <f t="shared" si="348"/>
        <v>0</v>
      </c>
      <c r="AB759" s="72">
        <f t="shared" si="348"/>
        <v>0</v>
      </c>
      <c r="AC759" s="72">
        <f t="shared" si="348"/>
        <v>0</v>
      </c>
      <c r="AD759" s="72">
        <f t="shared" si="348"/>
        <v>0</v>
      </c>
      <c r="AE759" s="72">
        <f t="shared" si="348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49">L708</f>
        <v>2022</v>
      </c>
      <c r="M761" s="74">
        <f t="shared" si="349"/>
        <v>2023</v>
      </c>
      <c r="N761" s="74">
        <f t="shared" si="349"/>
        <v>2024</v>
      </c>
      <c r="O761" s="74">
        <f t="shared" si="349"/>
        <v>2025</v>
      </c>
      <c r="P761" s="74">
        <f t="shared" si="349"/>
        <v>2026</v>
      </c>
      <c r="Q761" s="74">
        <f t="shared" si="349"/>
        <v>2027</v>
      </c>
      <c r="R761" s="74">
        <f t="shared" si="349"/>
        <v>2028</v>
      </c>
      <c r="S761" s="74">
        <f t="shared" si="349"/>
        <v>2029</v>
      </c>
      <c r="T761" s="74">
        <f t="shared" si="349"/>
        <v>2030</v>
      </c>
      <c r="U761" s="74">
        <f t="shared" si="349"/>
        <v>2031</v>
      </c>
      <c r="V761" s="74">
        <f t="shared" si="349"/>
        <v>2032</v>
      </c>
      <c r="W761" s="74">
        <f t="shared" si="349"/>
        <v>2033</v>
      </c>
      <c r="X761" s="74">
        <f t="shared" si="349"/>
        <v>2034</v>
      </c>
      <c r="Y761" s="74">
        <f t="shared" si="349"/>
        <v>2035</v>
      </c>
      <c r="Z761" s="74">
        <f t="shared" si="349"/>
        <v>2036</v>
      </c>
      <c r="AA761" s="74">
        <f t="shared" si="349"/>
        <v>2037</v>
      </c>
      <c r="AB761" s="74">
        <f t="shared" si="349"/>
        <v>2038</v>
      </c>
      <c r="AC761" s="74">
        <f t="shared" si="349"/>
        <v>2039</v>
      </c>
      <c r="AD761" s="74">
        <f t="shared" si="349"/>
        <v>2040</v>
      </c>
      <c r="AE761" s="74">
        <f t="shared" si="349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>L740*$J729*(EXP(-($E762)*($F709*L$707+$G709*L$647))-1)</f>
        <v>0</v>
      </c>
      <c r="M762" s="72">
        <f>M740*$J729*(EXP(-($E762)*($F709*M$707+$G709*M$647))-1)</f>
        <v>0</v>
      </c>
      <c r="N762" s="72">
        <f>N740*$J729*(EXP(-($E762)*($F709*N$707+$G709*N$647))-1)</f>
        <v>0</v>
      </c>
      <c r="O762" s="72">
        <f>O740*$J729*(EXP(-($E762)*($F709*O$707+$G709*O$647))-1)</f>
        <v>0</v>
      </c>
      <c r="P762" s="72">
        <f>P740*$J729*(EXP(-($E762)*($F709*P$707+$G709*P$647))-1)</f>
        <v>0</v>
      </c>
      <c r="Q762" s="72">
        <f>Q740*$J729*(EXP(-($E762)*($F709*Q$707+$G709*Q$647))-1)</f>
        <v>0</v>
      </c>
      <c r="R762" s="72">
        <f>R740*$J729*(EXP(-($E762)*($F709*R$707+$G709*R$647))-1)</f>
        <v>0</v>
      </c>
      <c r="S762" s="72">
        <f>S740*$J729*(EXP(-($E762)*($F709*S$707+$G709*S$647))-1)</f>
        <v>0</v>
      </c>
      <c r="T762" s="72">
        <f>T740*$J729*(EXP(-($E762)*($F709*T$707+$G709*T$647))-1)</f>
        <v>0</v>
      </c>
      <c r="U762" s="72">
        <f>U740*$J729*(EXP(-($E762)*($F709*U$707+$G709*U$647))-1)</f>
        <v>0</v>
      </c>
      <c r="V762" s="72">
        <f>V740*$J729*(EXP(-($E762)*($F709*V$707+$G709*V$647))-1)</f>
        <v>0</v>
      </c>
      <c r="W762" s="72">
        <f>W740*$J729*(EXP(-($E762)*($F709*W$707+$G709*W$647))-1)</f>
        <v>0</v>
      </c>
      <c r="X762" s="72">
        <f>X740*$J729*(EXP(-($E762)*($F709*X$707+$G709*X$647))-1)</f>
        <v>0</v>
      </c>
      <c r="Y762" s="72">
        <f>Y740*$J729*(EXP(-($E762)*($F709*Y$707+$G709*Y$647))-1)</f>
        <v>0</v>
      </c>
      <c r="Z762" s="72">
        <f>Z740*$J729*(EXP(-($E762)*($F709*Z$707+$G709*Z$647))-1)</f>
        <v>0</v>
      </c>
      <c r="AA762" s="72">
        <f>AA740*$J729*(EXP(-($E762)*($F709*AA$707+$G709*AA$647))-1)</f>
        <v>0</v>
      </c>
      <c r="AB762" s="72">
        <f>AB740*$J729*(EXP(-($E762)*($F709*AB$707+$G709*AB$647))-1)</f>
        <v>0</v>
      </c>
      <c r="AC762" s="72">
        <f>AC740*$J729*(EXP(-($E762)*($F709*AC$707+$G709*AC$647))-1)</f>
        <v>0</v>
      </c>
      <c r="AD762" s="72">
        <f>AD740*$J729*(EXP(-($E762)*($F709*AD$707+$G709*AD$647))-1)</f>
        <v>0</v>
      </c>
      <c r="AE762" s="72">
        <f>AE740*$J729*(EXP(-($E762)*($F709*AE$707+$G709*AE$647))-1)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>L741*$J730*(EXP(-($E763)*($F710*L$707+$G710*L$647))-1)</f>
        <v>0</v>
      </c>
      <c r="M763" s="72">
        <f>M741*$J730*(EXP(-($E763)*($F710*M$707+$G710*M$647))-1)</f>
        <v>0</v>
      </c>
      <c r="N763" s="72">
        <f>N741*$J730*(EXP(-($E763)*($F710*N$707+$G710*N$647))-1)</f>
        <v>0</v>
      </c>
      <c r="O763" s="72">
        <f>O741*$J730*(EXP(-($E763)*($F710*O$707+$G710*O$647))-1)</f>
        <v>0</v>
      </c>
      <c r="P763" s="72">
        <f>P741*$J730*(EXP(-($E763)*($F710*P$707+$G710*P$647))-1)</f>
        <v>0</v>
      </c>
      <c r="Q763" s="72">
        <f>Q741*$J730*(EXP(-($E763)*($F710*Q$707+$G710*Q$647))-1)</f>
        <v>0</v>
      </c>
      <c r="R763" s="72">
        <f>R741*$J730*(EXP(-($E763)*($F710*R$707+$G710*R$647))-1)</f>
        <v>0</v>
      </c>
      <c r="S763" s="72">
        <f>S741*$J730*(EXP(-($E763)*($F710*S$707+$G710*S$647))-1)</f>
        <v>0</v>
      </c>
      <c r="T763" s="72">
        <f>T741*$J730*(EXP(-($E763)*($F710*T$707+$G710*T$647))-1)</f>
        <v>0</v>
      </c>
      <c r="U763" s="72">
        <f>U741*$J730*(EXP(-($E763)*($F710*U$707+$G710*U$647))-1)</f>
        <v>0</v>
      </c>
      <c r="V763" s="72">
        <f>V741*$J730*(EXP(-($E763)*($F710*V$707+$G710*V$647))-1)</f>
        <v>0</v>
      </c>
      <c r="W763" s="72">
        <f>W741*$J730*(EXP(-($E763)*($F710*W$707+$G710*W$647))-1)</f>
        <v>0</v>
      </c>
      <c r="X763" s="72">
        <f>X741*$J730*(EXP(-($E763)*($F710*X$707+$G710*X$647))-1)</f>
        <v>0</v>
      </c>
      <c r="Y763" s="72">
        <f>Y741*$J730*(EXP(-($E763)*($F710*Y$707+$G710*Y$647))-1)</f>
        <v>0</v>
      </c>
      <c r="Z763" s="72">
        <f>Z741*$J730*(EXP(-($E763)*($F710*Z$707+$G710*Z$647))-1)</f>
        <v>0</v>
      </c>
      <c r="AA763" s="72">
        <f>AA741*$J730*(EXP(-($E763)*($F710*AA$707+$G710*AA$647))-1)</f>
        <v>0</v>
      </c>
      <c r="AB763" s="72">
        <f>AB741*$J730*(EXP(-($E763)*($F710*AB$707+$G710*AB$647))-1)</f>
        <v>0</v>
      </c>
      <c r="AC763" s="72">
        <f>AC741*$J730*(EXP(-($E763)*($F710*AC$707+$G710*AC$647))-1)</f>
        <v>0</v>
      </c>
      <c r="AD763" s="72">
        <f>AD741*$J730*(EXP(-($E763)*($F710*AD$707+$G710*AD$647))-1)</f>
        <v>0</v>
      </c>
      <c r="AE763" s="72">
        <f>AE741*$J730*(EXP(-($E763)*($F710*AE$707+$G710*AE$647))-1)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>L742*$J731*(EXP(-($E764)*($F711*L$707+$G711*L$647))-1)</f>
        <v>0</v>
      </c>
      <c r="M764" s="72">
        <f>M742*$J731*(EXP(-($E764)*($F711*M$707+$G711*M$647))-1)</f>
        <v>0</v>
      </c>
      <c r="N764" s="72">
        <f>N742*$J731*(EXP(-($E764)*($F711*N$707+$G711*N$647))-1)</f>
        <v>0</v>
      </c>
      <c r="O764" s="72">
        <f>O742*$J731*(EXP(-($E764)*($F711*O$707+$G711*O$647))-1)</f>
        <v>0</v>
      </c>
      <c r="P764" s="72">
        <f>P742*$J731*(EXP(-($E764)*($F711*P$707+$G711*P$647))-1)</f>
        <v>0</v>
      </c>
      <c r="Q764" s="72">
        <f>Q742*$J731*(EXP(-($E764)*($F711*Q$707+$G711*Q$647))-1)</f>
        <v>0</v>
      </c>
      <c r="R764" s="72">
        <f>R742*$J731*(EXP(-($E764)*($F711*R$707+$G711*R$647))-1)</f>
        <v>0</v>
      </c>
      <c r="S764" s="72">
        <f>S742*$J731*(EXP(-($E764)*($F711*S$707+$G711*S$647))-1)</f>
        <v>0</v>
      </c>
      <c r="T764" s="72">
        <f>T742*$J731*(EXP(-($E764)*($F711*T$707+$G711*T$647))-1)</f>
        <v>0</v>
      </c>
      <c r="U764" s="72">
        <f>U742*$J731*(EXP(-($E764)*($F711*U$707+$G711*U$647))-1)</f>
        <v>0</v>
      </c>
      <c r="V764" s="72">
        <f>V742*$J731*(EXP(-($E764)*($F711*V$707+$G711*V$647))-1)</f>
        <v>0</v>
      </c>
      <c r="W764" s="72">
        <f>W742*$J731*(EXP(-($E764)*($F711*W$707+$G711*W$647))-1)</f>
        <v>0</v>
      </c>
      <c r="X764" s="72">
        <f>X742*$J731*(EXP(-($E764)*($F711*X$707+$G711*X$647))-1)</f>
        <v>0</v>
      </c>
      <c r="Y764" s="72">
        <f>Y742*$J731*(EXP(-($E764)*($F711*Y$707+$G711*Y$647))-1)</f>
        <v>0</v>
      </c>
      <c r="Z764" s="72">
        <f>Z742*$J731*(EXP(-($E764)*($F711*Z$707+$G711*Z$647))-1)</f>
        <v>0</v>
      </c>
      <c r="AA764" s="72">
        <f>AA742*$J731*(EXP(-($E764)*($F711*AA$707+$G711*AA$647))-1)</f>
        <v>0</v>
      </c>
      <c r="AB764" s="72">
        <f>AB742*$J731*(EXP(-($E764)*($F711*AB$707+$G711*AB$647))-1)</f>
        <v>0</v>
      </c>
      <c r="AC764" s="72">
        <f>AC742*$J731*(EXP(-($E764)*($F711*AC$707+$G711*AC$647))-1)</f>
        <v>0</v>
      </c>
      <c r="AD764" s="72">
        <f>AD742*$J731*(EXP(-($E764)*($F711*AD$707+$G711*AD$647))-1)</f>
        <v>0</v>
      </c>
      <c r="AE764" s="72">
        <f>AE742*$J731*(EXP(-($E764)*($F711*AE$707+$G711*AE$647))-1)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>L743*$J732*(EXP(-($E765)*($F712*L$707+$G712*L$647))-1)</f>
        <v>0</v>
      </c>
      <c r="M765" s="72">
        <f>M743*$J732*(EXP(-($E765)*($F712*M$707+$G712*M$647))-1)</f>
        <v>0</v>
      </c>
      <c r="N765" s="72">
        <f>N743*$J732*(EXP(-($E765)*($F712*N$707+$G712*N$647))-1)</f>
        <v>0</v>
      </c>
      <c r="O765" s="72">
        <f>O743*$J732*(EXP(-($E765)*($F712*O$707+$G712*O$647))-1)</f>
        <v>0</v>
      </c>
      <c r="P765" s="72">
        <f>P743*$J732*(EXP(-($E765)*($F712*P$707+$G712*P$647))-1)</f>
        <v>0</v>
      </c>
      <c r="Q765" s="72">
        <f>Q743*$J732*(EXP(-($E765)*($F712*Q$707+$G712*Q$647))-1)</f>
        <v>0</v>
      </c>
      <c r="R765" s="72">
        <f>R743*$J732*(EXP(-($E765)*($F712*R$707+$G712*R$647))-1)</f>
        <v>0</v>
      </c>
      <c r="S765" s="72">
        <f>S743*$J732*(EXP(-($E765)*($F712*S$707+$G712*S$647))-1)</f>
        <v>0</v>
      </c>
      <c r="T765" s="72">
        <f>T743*$J732*(EXP(-($E765)*($F712*T$707+$G712*T$647))-1)</f>
        <v>0</v>
      </c>
      <c r="U765" s="72">
        <f>U743*$J732*(EXP(-($E765)*($F712*U$707+$G712*U$647))-1)</f>
        <v>0</v>
      </c>
      <c r="V765" s="72">
        <f>V743*$J732*(EXP(-($E765)*($F712*V$707+$G712*V$647))-1)</f>
        <v>0</v>
      </c>
      <c r="W765" s="72">
        <f>W743*$J732*(EXP(-($E765)*($F712*W$707+$G712*W$647))-1)</f>
        <v>0</v>
      </c>
      <c r="X765" s="72">
        <f>X743*$J732*(EXP(-($E765)*($F712*X$707+$G712*X$647))-1)</f>
        <v>0</v>
      </c>
      <c r="Y765" s="72">
        <f>Y743*$J732*(EXP(-($E765)*($F712*Y$707+$G712*Y$647))-1)</f>
        <v>0</v>
      </c>
      <c r="Z765" s="72">
        <f>Z743*$J732*(EXP(-($E765)*($F712*Z$707+$G712*Z$647))-1)</f>
        <v>0</v>
      </c>
      <c r="AA765" s="72">
        <f>AA743*$J732*(EXP(-($E765)*($F712*AA$707+$G712*AA$647))-1)</f>
        <v>0</v>
      </c>
      <c r="AB765" s="72">
        <f>AB743*$J732*(EXP(-($E765)*($F712*AB$707+$G712*AB$647))-1)</f>
        <v>0</v>
      </c>
      <c r="AC765" s="72">
        <f>AC743*$J732*(EXP(-($E765)*($F712*AC$707+$G712*AC$647))-1)</f>
        <v>0</v>
      </c>
      <c r="AD765" s="72">
        <f>AD743*$J732*(EXP(-($E765)*($F712*AD$707+$G712*AD$647))-1)</f>
        <v>0</v>
      </c>
      <c r="AE765" s="72">
        <f>AE743*$J732*(EXP(-($E765)*($F712*AE$707+$G712*AE$647))-1)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>L744*$J733*(EXP(-($E766)*($F713*L$707+$G713*L$647))-1)</f>
        <v>0</v>
      </c>
      <c r="M766" s="72">
        <f>M744*$J733*(EXP(-($E766)*($F713*M$707+$G713*M$647))-1)</f>
        <v>0</v>
      </c>
      <c r="N766" s="72">
        <f>N744*$J733*(EXP(-($E766)*($F713*N$707+$G713*N$647))-1)</f>
        <v>0</v>
      </c>
      <c r="O766" s="72">
        <f>O744*$J733*(EXP(-($E766)*($F713*O$707+$G713*O$647))-1)</f>
        <v>0</v>
      </c>
      <c r="P766" s="72">
        <f>P744*$J733*(EXP(-($E766)*($F713*P$707+$G713*P$647))-1)</f>
        <v>0</v>
      </c>
      <c r="Q766" s="72">
        <f>Q744*$J733*(EXP(-($E766)*($F713*Q$707+$G713*Q$647))-1)</f>
        <v>0</v>
      </c>
      <c r="R766" s="72">
        <f>R744*$J733*(EXP(-($E766)*($F713*R$707+$G713*R$647))-1)</f>
        <v>0</v>
      </c>
      <c r="S766" s="72">
        <f>S744*$J733*(EXP(-($E766)*($F713*S$707+$G713*S$647))-1)</f>
        <v>0</v>
      </c>
      <c r="T766" s="72">
        <f>T744*$J733*(EXP(-($E766)*($F713*T$707+$G713*T$647))-1)</f>
        <v>0</v>
      </c>
      <c r="U766" s="72">
        <f>U744*$J733*(EXP(-($E766)*($F713*U$707+$G713*U$647))-1)</f>
        <v>0</v>
      </c>
      <c r="V766" s="72">
        <f>V744*$J733*(EXP(-($E766)*($F713*V$707+$G713*V$647))-1)</f>
        <v>0</v>
      </c>
      <c r="W766" s="72">
        <f>W744*$J733*(EXP(-($E766)*($F713*W$707+$G713*W$647))-1)</f>
        <v>0</v>
      </c>
      <c r="X766" s="72">
        <f>X744*$J733*(EXP(-($E766)*($F713*X$707+$G713*X$647))-1)</f>
        <v>0</v>
      </c>
      <c r="Y766" s="72">
        <f>Y744*$J733*(EXP(-($E766)*($F713*Y$707+$G713*Y$647))-1)</f>
        <v>0</v>
      </c>
      <c r="Z766" s="72">
        <f>Z744*$J733*(EXP(-($E766)*($F713*Z$707+$G713*Z$647))-1)</f>
        <v>0</v>
      </c>
      <c r="AA766" s="72">
        <f>AA744*$J733*(EXP(-($E766)*($F713*AA$707+$G713*AA$647))-1)</f>
        <v>0</v>
      </c>
      <c r="AB766" s="72">
        <f>AB744*$J733*(EXP(-($E766)*($F713*AB$707+$G713*AB$647))-1)</f>
        <v>0</v>
      </c>
      <c r="AC766" s="72">
        <f>AC744*$J733*(EXP(-($E766)*($F713*AC$707+$G713*AC$647))-1)</f>
        <v>0</v>
      </c>
      <c r="AD766" s="72">
        <f>AD744*$J733*(EXP(-($E766)*($F713*AD$707+$G713*AD$647))-1)</f>
        <v>0</v>
      </c>
      <c r="AE766" s="72">
        <f>AE744*$J733*(EXP(-($E766)*($F713*AE$707+$G713*AE$647))-1)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>L745*$J734*(EXP(-($E767)*($F714*L$707+$G714*L$647))-1)</f>
        <v>0</v>
      </c>
      <c r="M767" s="72">
        <f>M745*$J734*(EXP(-($E767)*($F714*M$707+$G714*M$647))-1)</f>
        <v>0</v>
      </c>
      <c r="N767" s="72">
        <f>N745*$J734*(EXP(-($E767)*($F714*N$707+$G714*N$647))-1)</f>
        <v>0</v>
      </c>
      <c r="O767" s="72">
        <f>O745*$J734*(EXP(-($E767)*($F714*O$707+$G714*O$647))-1)</f>
        <v>0</v>
      </c>
      <c r="P767" s="72">
        <f>P745*$J734*(EXP(-($E767)*($F714*P$707+$G714*P$647))-1)</f>
        <v>0</v>
      </c>
      <c r="Q767" s="72">
        <f>Q745*$J734*(EXP(-($E767)*($F714*Q$707+$G714*Q$647))-1)</f>
        <v>0</v>
      </c>
      <c r="R767" s="72">
        <f>R745*$J734*(EXP(-($E767)*($F714*R$707+$G714*R$647))-1)</f>
        <v>0</v>
      </c>
      <c r="S767" s="72">
        <f>S745*$J734*(EXP(-($E767)*($F714*S$707+$G714*S$647))-1)</f>
        <v>0</v>
      </c>
      <c r="T767" s="72">
        <f>T745*$J734*(EXP(-($E767)*($F714*T$707+$G714*T$647))-1)</f>
        <v>0</v>
      </c>
      <c r="U767" s="72">
        <f>U745*$J734*(EXP(-($E767)*($F714*U$707+$G714*U$647))-1)</f>
        <v>0</v>
      </c>
      <c r="V767" s="72">
        <f>V745*$J734*(EXP(-($E767)*($F714*V$707+$G714*V$647))-1)</f>
        <v>0</v>
      </c>
      <c r="W767" s="72">
        <f>W745*$J734*(EXP(-($E767)*($F714*W$707+$G714*W$647))-1)</f>
        <v>0</v>
      </c>
      <c r="X767" s="72">
        <f>X745*$J734*(EXP(-($E767)*($F714*X$707+$G714*X$647))-1)</f>
        <v>0</v>
      </c>
      <c r="Y767" s="72">
        <f>Y745*$J734*(EXP(-($E767)*($F714*Y$707+$G714*Y$647))-1)</f>
        <v>0</v>
      </c>
      <c r="Z767" s="72">
        <f>Z745*$J734*(EXP(-($E767)*($F714*Z$707+$G714*Z$647))-1)</f>
        <v>0</v>
      </c>
      <c r="AA767" s="72">
        <f>AA745*$J734*(EXP(-($E767)*($F714*AA$707+$G714*AA$647))-1)</f>
        <v>0</v>
      </c>
      <c r="AB767" s="72">
        <f>AB745*$J734*(EXP(-($E767)*($F714*AB$707+$G714*AB$647))-1)</f>
        <v>0</v>
      </c>
      <c r="AC767" s="72">
        <f>AC745*$J734*(EXP(-($E767)*($F714*AC$707+$G714*AC$647))-1)</f>
        <v>0</v>
      </c>
      <c r="AD767" s="72">
        <f>AD745*$J734*(EXP(-($E767)*($F714*AD$707+$G714*AD$647))-1)</f>
        <v>0</v>
      </c>
      <c r="AE767" s="72">
        <f>AE745*$J734*(EXP(-($E767)*($F714*AE$707+$G714*AE$647))-1)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>L746*$J735*(EXP(-($E768)*($F715*L$707+$G715*L$647))-1)</f>
        <v>0</v>
      </c>
      <c r="M768" s="72">
        <f>M746*$J735*(EXP(-($E768)*($F715*M$707+$G715*M$647))-1)</f>
        <v>0</v>
      </c>
      <c r="N768" s="72">
        <f>N746*$J735*(EXP(-($E768)*($F715*N$707+$G715*N$647))-1)</f>
        <v>0</v>
      </c>
      <c r="O768" s="72">
        <f>O746*$J735*(EXP(-($E768)*($F715*O$707+$G715*O$647))-1)</f>
        <v>0</v>
      </c>
      <c r="P768" s="72">
        <f>P746*$J735*(EXP(-($E768)*($F715*P$707+$G715*P$647))-1)</f>
        <v>0</v>
      </c>
      <c r="Q768" s="72">
        <f>Q746*$J735*(EXP(-($E768)*($F715*Q$707+$G715*Q$647))-1)</f>
        <v>0</v>
      </c>
      <c r="R768" s="72">
        <f>R746*$J735*(EXP(-($E768)*($F715*R$707+$G715*R$647))-1)</f>
        <v>0</v>
      </c>
      <c r="S768" s="72">
        <f>S746*$J735*(EXP(-($E768)*($F715*S$707+$G715*S$647))-1)</f>
        <v>0</v>
      </c>
      <c r="T768" s="72">
        <f>T746*$J735*(EXP(-($E768)*($F715*T$707+$G715*T$647))-1)</f>
        <v>0</v>
      </c>
      <c r="U768" s="72">
        <f>U746*$J735*(EXP(-($E768)*($F715*U$707+$G715*U$647))-1)</f>
        <v>0</v>
      </c>
      <c r="V768" s="72">
        <f>V746*$J735*(EXP(-($E768)*($F715*V$707+$G715*V$647))-1)</f>
        <v>0</v>
      </c>
      <c r="W768" s="72">
        <f>W746*$J735*(EXP(-($E768)*($F715*W$707+$G715*W$647))-1)</f>
        <v>0</v>
      </c>
      <c r="X768" s="72">
        <f>X746*$J735*(EXP(-($E768)*($F715*X$707+$G715*X$647))-1)</f>
        <v>0</v>
      </c>
      <c r="Y768" s="72">
        <f>Y746*$J735*(EXP(-($E768)*($F715*Y$707+$G715*Y$647))-1)</f>
        <v>0</v>
      </c>
      <c r="Z768" s="72">
        <f>Z746*$J735*(EXP(-($E768)*($F715*Z$707+$G715*Z$647))-1)</f>
        <v>0</v>
      </c>
      <c r="AA768" s="72">
        <f>AA746*$J735*(EXP(-($E768)*($F715*AA$707+$G715*AA$647))-1)</f>
        <v>0</v>
      </c>
      <c r="AB768" s="72">
        <f>AB746*$J735*(EXP(-($E768)*($F715*AB$707+$G715*AB$647))-1)</f>
        <v>0</v>
      </c>
      <c r="AC768" s="72">
        <f>AC746*$J735*(EXP(-($E768)*($F715*AC$707+$G715*AC$647))-1)</f>
        <v>0</v>
      </c>
      <c r="AD768" s="72">
        <f>AD746*$J735*(EXP(-($E768)*($F715*AD$707+$G715*AD$647))-1)</f>
        <v>0</v>
      </c>
      <c r="AE768" s="72">
        <f>AE746*$J735*(EXP(-($E768)*($F715*AE$707+$G715*AE$647))-1)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>L747*$J736*(EXP(-($E769)*($F716*L$707+$G716*L$647))-1)</f>
        <v>0</v>
      </c>
      <c r="M769" s="72">
        <f>M747*$J736*(EXP(-($E769)*($F716*M$707+$G716*M$647))-1)</f>
        <v>0</v>
      </c>
      <c r="N769" s="72">
        <f>N747*$J736*(EXP(-($E769)*($F716*N$707+$G716*N$647))-1)</f>
        <v>0</v>
      </c>
      <c r="O769" s="72">
        <f>O747*$J736*(EXP(-($E769)*($F716*O$707+$G716*O$647))-1)</f>
        <v>0</v>
      </c>
      <c r="P769" s="72">
        <f>P747*$J736*(EXP(-($E769)*($F716*P$707+$G716*P$647))-1)</f>
        <v>0</v>
      </c>
      <c r="Q769" s="72">
        <f>Q747*$J736*(EXP(-($E769)*($F716*Q$707+$G716*Q$647))-1)</f>
        <v>0</v>
      </c>
      <c r="R769" s="72">
        <f>R747*$J736*(EXP(-($E769)*($F716*R$707+$G716*R$647))-1)</f>
        <v>0</v>
      </c>
      <c r="S769" s="72">
        <f>S747*$J736*(EXP(-($E769)*($F716*S$707+$G716*S$647))-1)</f>
        <v>0</v>
      </c>
      <c r="T769" s="72">
        <f>T747*$J736*(EXP(-($E769)*($F716*T$707+$G716*T$647))-1)</f>
        <v>0</v>
      </c>
      <c r="U769" s="72">
        <f>U747*$J736*(EXP(-($E769)*($F716*U$707+$G716*U$647))-1)</f>
        <v>0</v>
      </c>
      <c r="V769" s="72">
        <f>V747*$J736*(EXP(-($E769)*($F716*V$707+$G716*V$647))-1)</f>
        <v>0</v>
      </c>
      <c r="W769" s="72">
        <f>W747*$J736*(EXP(-($E769)*($F716*W$707+$G716*W$647))-1)</f>
        <v>0</v>
      </c>
      <c r="X769" s="72">
        <f>X747*$J736*(EXP(-($E769)*($F716*X$707+$G716*X$647))-1)</f>
        <v>0</v>
      </c>
      <c r="Y769" s="72">
        <f>Y747*$J736*(EXP(-($E769)*($F716*Y$707+$G716*Y$647))-1)</f>
        <v>0</v>
      </c>
      <c r="Z769" s="72">
        <f>Z747*$J736*(EXP(-($E769)*($F716*Z$707+$G716*Z$647))-1)</f>
        <v>0</v>
      </c>
      <c r="AA769" s="72">
        <f>AA747*$J736*(EXP(-($E769)*($F716*AA$707+$G716*AA$647))-1)</f>
        <v>0</v>
      </c>
      <c r="AB769" s="72">
        <f>AB747*$J736*(EXP(-($E769)*($F716*AB$707+$G716*AB$647))-1)</f>
        <v>0</v>
      </c>
      <c r="AC769" s="72">
        <f>AC747*$J736*(EXP(-($E769)*($F716*AC$707+$G716*AC$647))-1)</f>
        <v>0</v>
      </c>
      <c r="AD769" s="72">
        <f>AD747*$J736*(EXP(-($E769)*($F716*AD$707+$G716*AD$647))-1)</f>
        <v>0</v>
      </c>
      <c r="AE769" s="72">
        <f>AE747*$J736*(EXP(-($E769)*($F716*AE$707+$G716*AE$647))-1)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50">SUM(L762:L769)</f>
        <v>0</v>
      </c>
      <c r="M770" s="72">
        <f t="shared" si="350"/>
        <v>0</v>
      </c>
      <c r="N770" s="72">
        <f t="shared" si="350"/>
        <v>0</v>
      </c>
      <c r="O770" s="72">
        <f t="shared" si="350"/>
        <v>0</v>
      </c>
      <c r="P770" s="72">
        <f t="shared" si="350"/>
        <v>0</v>
      </c>
      <c r="Q770" s="72">
        <f t="shared" si="350"/>
        <v>0</v>
      </c>
      <c r="R770" s="72">
        <f t="shared" si="350"/>
        <v>0</v>
      </c>
      <c r="S770" s="72">
        <f t="shared" si="350"/>
        <v>0</v>
      </c>
      <c r="T770" s="72">
        <f t="shared" si="350"/>
        <v>0</v>
      </c>
      <c r="U770" s="72">
        <f t="shared" si="350"/>
        <v>0</v>
      </c>
      <c r="V770" s="72">
        <f t="shared" si="350"/>
        <v>0</v>
      </c>
      <c r="W770" s="72">
        <f t="shared" si="350"/>
        <v>0</v>
      </c>
      <c r="X770" s="72">
        <f t="shared" si="350"/>
        <v>0</v>
      </c>
      <c r="Y770" s="72">
        <f t="shared" si="350"/>
        <v>0</v>
      </c>
      <c r="Z770" s="72">
        <f t="shared" si="350"/>
        <v>0</v>
      </c>
      <c r="AA770" s="72">
        <f t="shared" si="350"/>
        <v>0</v>
      </c>
      <c r="AB770" s="72">
        <f t="shared" si="350"/>
        <v>0</v>
      </c>
      <c r="AC770" s="72">
        <f t="shared" si="350"/>
        <v>0</v>
      </c>
      <c r="AD770" s="72">
        <f t="shared" si="350"/>
        <v>0</v>
      </c>
      <c r="AE770" s="72">
        <f t="shared" si="350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51">SUM(L733:L735)+SUM(L755:L757)</f>
        <v>3.5290636333347374</v>
      </c>
      <c r="M773" s="72">
        <f t="shared" si="351"/>
        <v>3.6067030332681016</v>
      </c>
      <c r="N773" s="72">
        <f t="shared" si="351"/>
        <v>3.6860504999999999</v>
      </c>
      <c r="O773" s="72">
        <f t="shared" si="351"/>
        <v>3.7671436109999994</v>
      </c>
      <c r="P773" s="72">
        <f t="shared" si="351"/>
        <v>3.8500207704419993</v>
      </c>
      <c r="Q773" s="72">
        <f t="shared" si="351"/>
        <v>3.9347212273917234</v>
      </c>
      <c r="R773" s="72">
        <f t="shared" si="351"/>
        <v>4.0212850943943419</v>
      </c>
      <c r="S773" s="72">
        <f t="shared" si="351"/>
        <v>4.1097533664710166</v>
      </c>
      <c r="T773" s="72">
        <f t="shared" si="351"/>
        <v>4.2001679405333787</v>
      </c>
      <c r="U773" s="72">
        <f t="shared" si="351"/>
        <v>4.292571635225114</v>
      </c>
      <c r="V773" s="72">
        <f t="shared" si="351"/>
        <v>4.3870082112000661</v>
      </c>
      <c r="W773" s="72">
        <f t="shared" si="351"/>
        <v>4.4835223918464688</v>
      </c>
      <c r="X773" s="72">
        <f t="shared" si="351"/>
        <v>4.5821598844670905</v>
      </c>
      <c r="Y773" s="72">
        <f t="shared" si="351"/>
        <v>4.6829674019253673</v>
      </c>
      <c r="Z773" s="72">
        <f t="shared" si="351"/>
        <v>4.7859926847677254</v>
      </c>
      <c r="AA773" s="72">
        <f t="shared" si="351"/>
        <v>4.8912845238326152</v>
      </c>
      <c r="AB773" s="72">
        <f t="shared" si="351"/>
        <v>4.9988927833569319</v>
      </c>
      <c r="AC773" s="72">
        <f t="shared" si="351"/>
        <v>5.1088684245907858</v>
      </c>
      <c r="AD773" s="72">
        <f t="shared" si="351"/>
        <v>5.2212635299317824</v>
      </c>
      <c r="AE773" s="72">
        <f t="shared" si="351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52">SUM(L729:L731)+SUM(L751:L753)</f>
        <v>3.8464212577619237</v>
      </c>
      <c r="M774" s="72">
        <f t="shared" si="352"/>
        <v>4.0156637931034478</v>
      </c>
      <c r="N774" s="72">
        <f t="shared" si="352"/>
        <v>4.1923530000000007</v>
      </c>
      <c r="O774" s="72">
        <f t="shared" si="352"/>
        <v>4.3768165320000012</v>
      </c>
      <c r="P774" s="72">
        <f t="shared" si="352"/>
        <v>4.5693964594080008</v>
      </c>
      <c r="Q774" s="72">
        <f t="shared" si="352"/>
        <v>4.7704499036219534</v>
      </c>
      <c r="R774" s="72">
        <f t="shared" si="352"/>
        <v>4.9803496993813186</v>
      </c>
      <c r="S774" s="72">
        <f t="shared" si="352"/>
        <v>5.1994850861540982</v>
      </c>
      <c r="T774" s="72">
        <f t="shared" si="352"/>
        <v>5.4282624299448781</v>
      </c>
      <c r="U774" s="72">
        <f t="shared" si="352"/>
        <v>5.6671059768624525</v>
      </c>
      <c r="V774" s="72">
        <f t="shared" si="352"/>
        <v>5.9164586398444019</v>
      </c>
      <c r="W774" s="72">
        <f t="shared" si="352"/>
        <v>6.1767828199975545</v>
      </c>
      <c r="X774" s="72">
        <f t="shared" si="352"/>
        <v>6.4485612640774477</v>
      </c>
      <c r="Y774" s="72">
        <f t="shared" si="352"/>
        <v>6.7322979596968553</v>
      </c>
      <c r="Z774" s="72">
        <f t="shared" si="352"/>
        <v>7.0285190699235169</v>
      </c>
      <c r="AA774" s="72">
        <f t="shared" si="352"/>
        <v>7.3377739090001519</v>
      </c>
      <c r="AB774" s="72">
        <f t="shared" si="352"/>
        <v>7.6606359609961583</v>
      </c>
      <c r="AC774" s="72">
        <f t="shared" si="352"/>
        <v>7.9977039432799906</v>
      </c>
      <c r="AD774" s="72">
        <f t="shared" si="352"/>
        <v>8.3496029167843098</v>
      </c>
      <c r="AE774" s="72">
        <f t="shared" si="352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53">L736+L758</f>
        <v>4.2047573055412055E-2</v>
      </c>
      <c r="M775" s="72">
        <f t="shared" si="353"/>
        <v>4.4360189573459712E-2</v>
      </c>
      <c r="N775" s="72">
        <f t="shared" si="353"/>
        <v>4.6799999999999994E-2</v>
      </c>
      <c r="O775" s="72">
        <f t="shared" si="353"/>
        <v>4.9374000000000001E-2</v>
      </c>
      <c r="P775" s="72">
        <f t="shared" si="353"/>
        <v>5.2089569999999995E-2</v>
      </c>
      <c r="Q775" s="72">
        <f t="shared" si="353"/>
        <v>5.4954496349999993E-2</v>
      </c>
      <c r="R775" s="72">
        <f t="shared" si="353"/>
        <v>5.7976993649249998E-2</v>
      </c>
      <c r="S775" s="72">
        <f t="shared" si="353"/>
        <v>6.1165728299958741E-2</v>
      </c>
      <c r="T775" s="72">
        <f t="shared" si="353"/>
        <v>6.4529843356456465E-2</v>
      </c>
      <c r="U775" s="72">
        <f t="shared" si="353"/>
        <v>6.8078984741061568E-2</v>
      </c>
      <c r="V775" s="72">
        <f t="shared" si="353"/>
        <v>7.1823328901819944E-2</v>
      </c>
      <c r="W775" s="72">
        <f t="shared" si="353"/>
        <v>7.5773611991420048E-2</v>
      </c>
      <c r="X775" s="72">
        <f t="shared" si="353"/>
        <v>7.9941160650948154E-2</v>
      </c>
      <c r="Y775" s="72">
        <f t="shared" si="353"/>
        <v>8.4337924486750301E-2</v>
      </c>
      <c r="Z775" s="72">
        <f t="shared" si="353"/>
        <v>8.8976510333521566E-2</v>
      </c>
      <c r="AA775" s="72">
        <f t="shared" si="353"/>
        <v>9.3870218401865241E-2</v>
      </c>
      <c r="AB775" s="72">
        <f t="shared" si="353"/>
        <v>9.9033080413967828E-2</v>
      </c>
      <c r="AC775" s="72">
        <f t="shared" si="353"/>
        <v>0.10447989983673606</v>
      </c>
      <c r="AD775" s="72">
        <f t="shared" si="353"/>
        <v>0.11022629432775652</v>
      </c>
      <c r="AE775" s="72">
        <f t="shared" si="353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54">L732+L754</f>
        <v>13.508713893592759</v>
      </c>
      <c r="M777" s="72">
        <f t="shared" si="354"/>
        <v>13.954501452081319</v>
      </c>
      <c r="N777" s="72">
        <f t="shared" si="354"/>
        <v>14.414999999999999</v>
      </c>
      <c r="O777" s="72">
        <f t="shared" si="354"/>
        <v>14.890694999999997</v>
      </c>
      <c r="P777" s="72">
        <f t="shared" si="354"/>
        <v>15.382087934999998</v>
      </c>
      <c r="Q777" s="72">
        <f t="shared" si="354"/>
        <v>15.889696836854995</v>
      </c>
      <c r="R777" s="72">
        <f t="shared" si="354"/>
        <v>16.414056832471207</v>
      </c>
      <c r="S777" s="72">
        <f t="shared" si="354"/>
        <v>16.955720707942756</v>
      </c>
      <c r="T777" s="72">
        <f t="shared" si="354"/>
        <v>17.515259491304867</v>
      </c>
      <c r="U777" s="72">
        <f t="shared" si="354"/>
        <v>18.093263054517926</v>
      </c>
      <c r="V777" s="72">
        <f t="shared" si="354"/>
        <v>18.690340735317015</v>
      </c>
      <c r="W777" s="72">
        <f t="shared" si="354"/>
        <v>19.307121979582476</v>
      </c>
      <c r="X777" s="72">
        <f t="shared" si="354"/>
        <v>19.944257004908696</v>
      </c>
      <c r="Y777" s="72">
        <f t="shared" si="354"/>
        <v>20.602417486070681</v>
      </c>
      <c r="Z777" s="72">
        <f t="shared" si="354"/>
        <v>21.282297263111012</v>
      </c>
      <c r="AA777" s="72">
        <f t="shared" si="354"/>
        <v>21.984613072793675</v>
      </c>
      <c r="AB777" s="72">
        <f t="shared" si="354"/>
        <v>22.710105304195867</v>
      </c>
      <c r="AC777" s="72">
        <f t="shared" si="354"/>
        <v>23.459538779234329</v>
      </c>
      <c r="AD777" s="72">
        <f t="shared" si="354"/>
        <v>24.23370355894906</v>
      </c>
      <c r="AE777" s="72">
        <f t="shared" si="354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55">SUM(L773:L777)</f>
        <v>20.926246357744834</v>
      </c>
      <c r="M778" s="72">
        <f t="shared" si="355"/>
        <v>21.621228468026327</v>
      </c>
      <c r="N778" s="72">
        <f t="shared" si="355"/>
        <v>22.340203500000001</v>
      </c>
      <c r="O778" s="72">
        <f t="shared" si="355"/>
        <v>23.084029142999999</v>
      </c>
      <c r="P778" s="72">
        <f t="shared" si="355"/>
        <v>23.853594734849999</v>
      </c>
      <c r="Q778" s="72">
        <f t="shared" si="355"/>
        <v>24.649822464218673</v>
      </c>
      <c r="R778" s="72">
        <f t="shared" si="355"/>
        <v>25.473668619896117</v>
      </c>
      <c r="S778" s="72">
        <f t="shared" si="355"/>
        <v>26.326124888867831</v>
      </c>
      <c r="T778" s="72">
        <f t="shared" si="355"/>
        <v>27.20821970513958</v>
      </c>
      <c r="U778" s="72">
        <f t="shared" si="355"/>
        <v>28.121019651346558</v>
      </c>
      <c r="V778" s="72">
        <f t="shared" si="355"/>
        <v>29.065630915263306</v>
      </c>
      <c r="W778" s="72">
        <f t="shared" si="355"/>
        <v>30.043200803417918</v>
      </c>
      <c r="X778" s="72">
        <f t="shared" si="355"/>
        <v>31.054919314104183</v>
      </c>
      <c r="Y778" s="72">
        <f t="shared" si="355"/>
        <v>32.102020772179657</v>
      </c>
      <c r="Z778" s="72">
        <f t="shared" si="355"/>
        <v>33.185785528135774</v>
      </c>
      <c r="AA778" s="72">
        <f t="shared" si="355"/>
        <v>34.307541724028304</v>
      </c>
      <c r="AB778" s="72">
        <f t="shared" si="355"/>
        <v>35.46866712896292</v>
      </c>
      <c r="AC778" s="72">
        <f t="shared" si="355"/>
        <v>36.670591046941837</v>
      </c>
      <c r="AD778" s="72">
        <f t="shared" si="355"/>
        <v>37.914796299992908</v>
      </c>
      <c r="AE778" s="72">
        <f t="shared" si="355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1874</v>
      </c>
      <c r="E779" s="72" t="s">
        <v>1875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56">L$778+L$789</f>
        <v>47.016585657660869</v>
      </c>
      <c r="M779" s="72">
        <f t="shared" si="356"/>
        <v>48.583140104124077</v>
      </c>
      <c r="N779" s="72">
        <f t="shared" si="356"/>
        <v>50.203203500000001</v>
      </c>
      <c r="O779" s="72">
        <f t="shared" si="356"/>
        <v>51.878652142999996</v>
      </c>
      <c r="P779" s="72">
        <f t="shared" si="356"/>
        <v>53.611430083849996</v>
      </c>
      <c r="Q779" s="72">
        <f t="shared" si="356"/>
        <v>55.403551656613665</v>
      </c>
      <c r="R779" s="72">
        <f t="shared" si="356"/>
        <v>57.257104107200519</v>
      </c>
      <c r="S779" s="72">
        <f t="shared" si="356"/>
        <v>59.174250324032492</v>
      </c>
      <c r="T779" s="72">
        <f t="shared" si="356"/>
        <v>61.157231675010621</v>
      </c>
      <c r="U779" s="72">
        <f t="shared" si="356"/>
        <v>63.208370955098921</v>
      </c>
      <c r="V779" s="72">
        <f t="shared" si="356"/>
        <v>65.330075449025713</v>
      </c>
      <c r="W779" s="72">
        <f t="shared" si="356"/>
        <v>67.52484011379407</v>
      </c>
      <c r="X779" s="72">
        <f t="shared" si="356"/>
        <v>69.795250885892756</v>
      </c>
      <c r="Y779" s="72">
        <f t="shared" si="356"/>
        <v>72.143988118307959</v>
      </c>
      <c r="Z779" s="72">
        <f t="shared" si="356"/>
        <v>74.573830152653855</v>
      </c>
      <c r="AA779" s="72">
        <f t="shared" si="356"/>
        <v>77.087657031968206</v>
      </c>
      <c r="AB779" s="72">
        <f t="shared" si="356"/>
        <v>79.688454359956467</v>
      </c>
      <c r="AC779" s="72">
        <f t="shared" si="356"/>
        <v>82.37931731271712</v>
      </c>
      <c r="AD779" s="72">
        <f t="shared" si="356"/>
        <v>85.163454809240363</v>
      </c>
      <c r="AE779" s="72">
        <f t="shared" si="356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1876</v>
      </c>
      <c r="E780" s="72" t="s">
        <v>1875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57">L$759+L$770</f>
        <v>0</v>
      </c>
      <c r="M780" s="72">
        <f t="shared" si="357"/>
        <v>0</v>
      </c>
      <c r="N780" s="72">
        <f t="shared" si="357"/>
        <v>0</v>
      </c>
      <c r="O780" s="72">
        <f t="shared" si="357"/>
        <v>0</v>
      </c>
      <c r="P780" s="72">
        <f t="shared" si="357"/>
        <v>0</v>
      </c>
      <c r="Q780" s="72">
        <f t="shared" si="357"/>
        <v>0</v>
      </c>
      <c r="R780" s="72">
        <f t="shared" si="357"/>
        <v>0</v>
      </c>
      <c r="S780" s="72">
        <f t="shared" si="357"/>
        <v>0</v>
      </c>
      <c r="T780" s="72">
        <f t="shared" si="357"/>
        <v>0</v>
      </c>
      <c r="U780" s="72">
        <f t="shared" si="357"/>
        <v>0</v>
      </c>
      <c r="V780" s="72">
        <f t="shared" si="357"/>
        <v>0</v>
      </c>
      <c r="W780" s="72">
        <f t="shared" si="357"/>
        <v>0</v>
      </c>
      <c r="X780" s="72">
        <f t="shared" si="357"/>
        <v>0</v>
      </c>
      <c r="Y780" s="72">
        <f t="shared" si="357"/>
        <v>0</v>
      </c>
      <c r="Z780" s="72">
        <f t="shared" si="357"/>
        <v>0</v>
      </c>
      <c r="AA780" s="72">
        <f t="shared" si="357"/>
        <v>0</v>
      </c>
      <c r="AB780" s="72">
        <f t="shared" si="357"/>
        <v>0</v>
      </c>
      <c r="AC780" s="72">
        <f t="shared" si="357"/>
        <v>0</v>
      </c>
      <c r="AD780" s="72">
        <f t="shared" si="357"/>
        <v>0</v>
      </c>
      <c r="AE780" s="72">
        <f t="shared" si="357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1906</v>
      </c>
      <c r="E781" s="72" t="s">
        <v>1877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58">SUMPRODUCT((L$729:L$736+L$751:L$758)*$I$729:$I$736*($F$698:$F$705*L$646+$G$698:$G$705*L$647))</f>
        <v>0</v>
      </c>
      <c r="M781" s="72">
        <f t="shared" si="358"/>
        <v>0</v>
      </c>
      <c r="N781" s="72">
        <f t="shared" si="358"/>
        <v>0</v>
      </c>
      <c r="O781" s="72">
        <f t="shared" si="358"/>
        <v>0</v>
      </c>
      <c r="P781" s="72">
        <f t="shared" si="358"/>
        <v>0</v>
      </c>
      <c r="Q781" s="72">
        <f t="shared" si="358"/>
        <v>308.12278080273342</v>
      </c>
      <c r="R781" s="72">
        <f t="shared" si="358"/>
        <v>636.8417154974029</v>
      </c>
      <c r="S781" s="72">
        <f t="shared" si="358"/>
        <v>987.22968333254369</v>
      </c>
      <c r="T781" s="72">
        <f t="shared" si="358"/>
        <v>1360.4109852569791</v>
      </c>
      <c r="U781" s="72">
        <f t="shared" si="358"/>
        <v>1757.56372820916</v>
      </c>
      <c r="V781" s="72">
        <f t="shared" si="358"/>
        <v>2179.922318644748</v>
      </c>
      <c r="W781" s="72">
        <f t="shared" si="358"/>
        <v>2628.780070299068</v>
      </c>
      <c r="X781" s="72">
        <f t="shared" si="358"/>
        <v>3105.4919314104181</v>
      </c>
      <c r="Y781" s="72">
        <f t="shared" si="358"/>
        <v>3611.4773368702113</v>
      </c>
      <c r="Z781" s="72">
        <f t="shared" si="358"/>
        <v>4148.2231910169721</v>
      </c>
      <c r="AA781" s="72">
        <f t="shared" si="358"/>
        <v>4717.2869870538907</v>
      </c>
      <c r="AB781" s="72">
        <f t="shared" si="358"/>
        <v>5320.3000693444392</v>
      </c>
      <c r="AC781" s="72">
        <f t="shared" si="358"/>
        <v>5958.9710451280498</v>
      </c>
      <c r="AD781" s="72">
        <f t="shared" si="358"/>
        <v>6635.0893524987587</v>
      </c>
      <c r="AE781" s="72">
        <f t="shared" si="358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1925</v>
      </c>
      <c r="E782" s="72" t="s">
        <v>1877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>SUMPRODUCT((L$740:L$747*$J$729:$J$736+L$762:L$769)*($F$709:$F$716*L$707+$G$709:$G$716*L$647))</f>
        <v>0</v>
      </c>
      <c r="M782" s="72">
        <f>SUMPRODUCT((M$740:M$747*$J$729:$J$736+M$762:M$769)*($F$709:$F$716*M$707+$G$709:$G$716*M$647))</f>
        <v>0</v>
      </c>
      <c r="N782" s="72">
        <f>SUMPRODUCT((N$740:N$747*$J$729:$J$736+N$762:N$769)*($F$709:$F$716*N$707+$G$709:$G$716*N$647))</f>
        <v>0</v>
      </c>
      <c r="O782" s="72">
        <f>SUMPRODUCT((O$740:O$747*$J$729:$J$736+O$762:O$769)*($F$709:$F$716*O$707+$G$709:$G$716*O$647))</f>
        <v>0</v>
      </c>
      <c r="P782" s="72">
        <f>SUMPRODUCT((P$740:P$747*$J$729:$J$736+P$762:P$769)*($F$709:$F$716*P$707+$G$709:$G$716*P$647))</f>
        <v>0</v>
      </c>
      <c r="Q782" s="72">
        <f>SUMPRODUCT((Q$740:Q$747*$J$729:$J$736+Q$762:Q$769)*($F$709:$F$716*Q$707+$G$709:$G$716*Q$647))</f>
        <v>0</v>
      </c>
      <c r="R782" s="72">
        <f>SUMPRODUCT((R$740:R$747*$J$729:$J$736+R$762:R$769)*($F$709:$F$716*R$707+$G$709:$G$716*R$647))</f>
        <v>0</v>
      </c>
      <c r="S782" s="72">
        <f>SUMPRODUCT((S$740:S$747*$J$729:$J$736+S$762:S$769)*($F$709:$F$716*S$707+$G$709:$G$716*S$647))</f>
        <v>0</v>
      </c>
      <c r="T782" s="72">
        <f>SUMPRODUCT((T$740:T$747*$J$729:$J$736+T$762:T$769)*($F$709:$F$716*T$707+$G$709:$G$716*T$647))</f>
        <v>0</v>
      </c>
      <c r="U782" s="72">
        <f>SUMPRODUCT((U$740:U$747*$J$729:$J$736+U$762:U$769)*($F$709:$F$716*U$707+$G$709:$G$716*U$647))</f>
        <v>0</v>
      </c>
      <c r="V782" s="72">
        <f>SUMPRODUCT((V$740:V$747*$J$729:$J$736+V$762:V$769)*($F$709:$F$716*V$707+$G$709:$G$716*V$647))</f>
        <v>0</v>
      </c>
      <c r="W782" s="72">
        <f>SUMPRODUCT((W$740:W$747*$J$729:$J$736+W$762:W$769)*($F$709:$F$716*W$707+$G$709:$G$716*W$647))</f>
        <v>0</v>
      </c>
      <c r="X782" s="72">
        <f>SUMPRODUCT((X$740:X$747*$J$729:$J$736+X$762:X$769)*($F$709:$F$716*X$707+$G$709:$G$716*X$647))</f>
        <v>0</v>
      </c>
      <c r="Y782" s="72">
        <f>SUMPRODUCT((Y$740:Y$747*$J$729:$J$736+Y$762:Y$769)*($F$709:$F$716*Y$707+$G$709:$G$716*Y$647))</f>
        <v>0</v>
      </c>
      <c r="Z782" s="72">
        <f>SUMPRODUCT((Z$740:Z$747*$J$729:$J$736+Z$762:Z$769)*($F$709:$F$716*Z$707+$G$709:$G$716*Z$647))</f>
        <v>0</v>
      </c>
      <c r="AA782" s="72">
        <f>SUMPRODUCT((AA$740:AA$747*$J$729:$J$736+AA$762:AA$769)*($F$709:$F$716*AA$707+$G$709:$G$716*AA$647))</f>
        <v>0</v>
      </c>
      <c r="AB782" s="72">
        <f>SUMPRODUCT((AB$740:AB$747*$J$729:$J$736+AB$762:AB$769)*($F$709:$F$716*AB$707+$G$709:$G$716*AB$647))</f>
        <v>0</v>
      </c>
      <c r="AC782" s="72">
        <f>SUMPRODUCT((AC$740:AC$747*$J$729:$J$736+AC$762:AC$769)*($F$709:$F$716*AC$707+$G$709:$G$716*AC$647))</f>
        <v>0</v>
      </c>
      <c r="AD782" s="72">
        <f>SUMPRODUCT((AD$740:AD$747*$J$729:$J$736+AD$762:AD$769)*($F$709:$F$716*AD$707+$G$709:$G$716*AD$647))</f>
        <v>0</v>
      </c>
      <c r="AE782" s="72">
        <f>SUMPRODUCT((AE$740:AE$747*$J$729:$J$736+AE$762:AE$769)*($F$709:$F$716*AE$707+$G$709:$G$716*AE$647))</f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59">SUM(L744:L746)+SUM(L766:L768)</f>
        <v>0.55721293959505358</v>
      </c>
      <c r="M784" s="72">
        <f t="shared" si="359"/>
        <v>0.56947162426614473</v>
      </c>
      <c r="N784" s="72">
        <f t="shared" si="359"/>
        <v>0.58199999999999996</v>
      </c>
      <c r="O784" s="72">
        <f t="shared" si="359"/>
        <v>0.594804</v>
      </c>
      <c r="P784" s="72">
        <f t="shared" si="359"/>
        <v>0.60788968800000009</v>
      </c>
      <c r="Q784" s="72">
        <f t="shared" si="359"/>
        <v>0.62126326113599994</v>
      </c>
      <c r="R784" s="72">
        <f t="shared" si="359"/>
        <v>0.63493105288099194</v>
      </c>
      <c r="S784" s="72">
        <f t="shared" si="359"/>
        <v>0.64889953604437378</v>
      </c>
      <c r="T784" s="72">
        <f t="shared" si="359"/>
        <v>0.66317532583735006</v>
      </c>
      <c r="U784" s="72">
        <f t="shared" si="359"/>
        <v>0.67776518300577182</v>
      </c>
      <c r="V784" s="72">
        <f t="shared" si="359"/>
        <v>0.69267601703189885</v>
      </c>
      <c r="W784" s="72">
        <f t="shared" si="359"/>
        <v>0.70791488940660052</v>
      </c>
      <c r="X784" s="72">
        <f t="shared" si="359"/>
        <v>0.72348901697354573</v>
      </c>
      <c r="Y784" s="72">
        <f t="shared" si="359"/>
        <v>0.73940577534696372</v>
      </c>
      <c r="Z784" s="72">
        <f t="shared" si="359"/>
        <v>0.75567270240459705</v>
      </c>
      <c r="AA784" s="72">
        <f t="shared" si="359"/>
        <v>0.77229750185749824</v>
      </c>
      <c r="AB784" s="72">
        <f t="shared" si="359"/>
        <v>0.78928804689836318</v>
      </c>
      <c r="AC784" s="72">
        <f t="shared" si="359"/>
        <v>0.80665238393012717</v>
      </c>
      <c r="AD784" s="72">
        <f t="shared" si="359"/>
        <v>0.82439873637659</v>
      </c>
      <c r="AE784" s="72">
        <f t="shared" si="359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60">SUM(L740:L742)+SUM(L762:L764)</f>
        <v>0.25322587748271458</v>
      </c>
      <c r="M785" s="72">
        <f t="shared" si="360"/>
        <v>0.26436781609195403</v>
      </c>
      <c r="N785" s="72">
        <f t="shared" si="360"/>
        <v>0.27599999999999997</v>
      </c>
      <c r="O785" s="72">
        <f t="shared" si="360"/>
        <v>0.28814400000000001</v>
      </c>
      <c r="P785" s="72">
        <f t="shared" si="360"/>
        <v>0.30082233600000008</v>
      </c>
      <c r="Q785" s="72">
        <f t="shared" si="360"/>
        <v>0.31405851878400004</v>
      </c>
      <c r="R785" s="72">
        <f t="shared" si="360"/>
        <v>0.32787709361049611</v>
      </c>
      <c r="S785" s="72">
        <f t="shared" si="360"/>
        <v>0.34230368572935788</v>
      </c>
      <c r="T785" s="72">
        <f t="shared" si="360"/>
        <v>0.35736504790144968</v>
      </c>
      <c r="U785" s="72">
        <f t="shared" si="360"/>
        <v>0.37308911000911349</v>
      </c>
      <c r="V785" s="72">
        <f t="shared" si="360"/>
        <v>0.38950503084951449</v>
      </c>
      <c r="W785" s="72">
        <f t="shared" si="360"/>
        <v>0.40664325220689312</v>
      </c>
      <c r="X785" s="72">
        <f t="shared" si="360"/>
        <v>0.42453555530399645</v>
      </c>
      <c r="Y785" s="72">
        <f t="shared" si="360"/>
        <v>0.44321511973737227</v>
      </c>
      <c r="Z785" s="72">
        <f t="shared" si="360"/>
        <v>0.46271658500581669</v>
      </c>
      <c r="AA785" s="72">
        <f t="shared" si="360"/>
        <v>0.48307611474607259</v>
      </c>
      <c r="AB785" s="72">
        <f t="shared" si="360"/>
        <v>0.5043314637948999</v>
      </c>
      <c r="AC785" s="72">
        <f t="shared" si="360"/>
        <v>0.52652204820187531</v>
      </c>
      <c r="AD785" s="72">
        <f t="shared" si="360"/>
        <v>0.54968901832275785</v>
      </c>
      <c r="AE785" s="72">
        <f t="shared" si="360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61">L747+L769</f>
        <v>0.63340895307832257</v>
      </c>
      <c r="M786" s="72">
        <f t="shared" si="361"/>
        <v>0.66824644549763035</v>
      </c>
      <c r="N786" s="72">
        <f t="shared" si="361"/>
        <v>0.70499999999999996</v>
      </c>
      <c r="O786" s="72">
        <f t="shared" si="361"/>
        <v>0.74377499999999996</v>
      </c>
      <c r="P786" s="72">
        <f t="shared" si="361"/>
        <v>0.78468262499999997</v>
      </c>
      <c r="Q786" s="72">
        <f t="shared" si="361"/>
        <v>0.82784016937499993</v>
      </c>
      <c r="R786" s="72">
        <f t="shared" si="361"/>
        <v>0.87337137869062498</v>
      </c>
      <c r="S786" s="72">
        <f t="shared" si="361"/>
        <v>0.92140680451860935</v>
      </c>
      <c r="T786" s="72">
        <f t="shared" si="361"/>
        <v>0.97208417876713282</v>
      </c>
      <c r="U786" s="72">
        <f t="shared" si="361"/>
        <v>1.025548808599325</v>
      </c>
      <c r="V786" s="72">
        <f t="shared" si="361"/>
        <v>1.0819539930722879</v>
      </c>
      <c r="W786" s="72">
        <f t="shared" si="361"/>
        <v>1.1414614626912638</v>
      </c>
      <c r="X786" s="72">
        <f t="shared" si="361"/>
        <v>1.2042418431392832</v>
      </c>
      <c r="Y786" s="72">
        <f t="shared" si="361"/>
        <v>1.2704751445119435</v>
      </c>
      <c r="Z786" s="72">
        <f t="shared" si="361"/>
        <v>1.3403512774601003</v>
      </c>
      <c r="AA786" s="72">
        <f t="shared" si="361"/>
        <v>1.4140705977204062</v>
      </c>
      <c r="AB786" s="72">
        <f t="shared" si="361"/>
        <v>1.4918444805950282</v>
      </c>
      <c r="AC786" s="72">
        <f t="shared" si="361"/>
        <v>1.5738959270277546</v>
      </c>
      <c r="AD786" s="72">
        <f t="shared" si="361"/>
        <v>1.660460203014281</v>
      </c>
      <c r="AE786" s="72">
        <f t="shared" si="361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62">L743+L765</f>
        <v>24.646491529759945</v>
      </c>
      <c r="M788" s="72">
        <f t="shared" si="362"/>
        <v>25.459825750242022</v>
      </c>
      <c r="N788" s="72">
        <f t="shared" si="362"/>
        <v>26.3</v>
      </c>
      <c r="O788" s="72">
        <f t="shared" si="362"/>
        <v>27.167899999999999</v>
      </c>
      <c r="P788" s="72">
        <f t="shared" si="362"/>
        <v>28.064440699999995</v>
      </c>
      <c r="Q788" s="72">
        <f t="shared" si="362"/>
        <v>28.990567243099992</v>
      </c>
      <c r="R788" s="72">
        <f t="shared" si="362"/>
        <v>29.947255962122291</v>
      </c>
      <c r="S788" s="72">
        <f t="shared" si="362"/>
        <v>30.935515408872323</v>
      </c>
      <c r="T788" s="72">
        <f t="shared" si="362"/>
        <v>31.956387417365111</v>
      </c>
      <c r="U788" s="72">
        <f t="shared" si="362"/>
        <v>33.010948202138152</v>
      </c>
      <c r="V788" s="72">
        <f t="shared" si="362"/>
        <v>34.100309492808705</v>
      </c>
      <c r="W788" s="72">
        <f t="shared" si="362"/>
        <v>35.225619706071399</v>
      </c>
      <c r="X788" s="72">
        <f t="shared" si="362"/>
        <v>36.388065156371745</v>
      </c>
      <c r="Y788" s="72">
        <f t="shared" si="362"/>
        <v>37.588871306532013</v>
      </c>
      <c r="Z788" s="72">
        <f t="shared" si="362"/>
        <v>38.829304059647569</v>
      </c>
      <c r="AA788" s="72">
        <f t="shared" si="362"/>
        <v>40.110671093615935</v>
      </c>
      <c r="AB788" s="72">
        <f t="shared" si="362"/>
        <v>41.434323239705257</v>
      </c>
      <c r="AC788" s="72">
        <f t="shared" si="362"/>
        <v>42.801655906615522</v>
      </c>
      <c r="AD788" s="72">
        <f t="shared" si="362"/>
        <v>44.214110551533835</v>
      </c>
      <c r="AE788" s="72">
        <f t="shared" si="362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63">SUM(L784:L788)</f>
        <v>26.090339299916035</v>
      </c>
      <c r="M789" s="72">
        <f t="shared" si="363"/>
        <v>26.961911636097749</v>
      </c>
      <c r="N789" s="72">
        <f t="shared" si="363"/>
        <v>27.863</v>
      </c>
      <c r="O789" s="72">
        <f t="shared" si="363"/>
        <v>28.794623000000001</v>
      </c>
      <c r="P789" s="72">
        <f t="shared" si="363"/>
        <v>29.757835348999997</v>
      </c>
      <c r="Q789" s="72">
        <f t="shared" si="363"/>
        <v>30.753729192394992</v>
      </c>
      <c r="R789" s="72">
        <f t="shared" si="363"/>
        <v>31.783435487304406</v>
      </c>
      <c r="S789" s="72">
        <f t="shared" si="363"/>
        <v>32.848125435164661</v>
      </c>
      <c r="T789" s="72">
        <f t="shared" si="363"/>
        <v>33.949011969871044</v>
      </c>
      <c r="U789" s="72">
        <f t="shared" si="363"/>
        <v>35.087351303752364</v>
      </c>
      <c r="V789" s="72">
        <f t="shared" si="363"/>
        <v>36.264444533762408</v>
      </c>
      <c r="W789" s="72">
        <f t="shared" si="363"/>
        <v>37.481639310376153</v>
      </c>
      <c r="X789" s="72">
        <f t="shared" si="363"/>
        <v>38.740331571788573</v>
      </c>
      <c r="Y789" s="72">
        <f t="shared" si="363"/>
        <v>40.041967346128295</v>
      </c>
      <c r="Z789" s="72">
        <f t="shared" si="363"/>
        <v>41.388044624518081</v>
      </c>
      <c r="AA789" s="72">
        <f t="shared" si="363"/>
        <v>42.780115307939909</v>
      </c>
      <c r="AB789" s="72">
        <f t="shared" si="363"/>
        <v>44.219787230993546</v>
      </c>
      <c r="AC789" s="72">
        <f t="shared" si="363"/>
        <v>45.708726265775283</v>
      </c>
      <c r="AD789" s="72">
        <f t="shared" si="363"/>
        <v>47.248658509247463</v>
      </c>
      <c r="AE789" s="72">
        <f t="shared" si="363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1878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64">L761</f>
        <v>2022</v>
      </c>
      <c r="M790" s="74">
        <f t="shared" si="364"/>
        <v>2023</v>
      </c>
      <c r="N790" s="74">
        <f t="shared" si="364"/>
        <v>2024</v>
      </c>
      <c r="O790" s="74">
        <f t="shared" si="364"/>
        <v>2025</v>
      </c>
      <c r="P790" s="74">
        <f t="shared" si="364"/>
        <v>2026</v>
      </c>
      <c r="Q790" s="74">
        <f t="shared" si="364"/>
        <v>2027</v>
      </c>
      <c r="R790" s="74">
        <f t="shared" si="364"/>
        <v>2028</v>
      </c>
      <c r="S790" s="74">
        <f t="shared" si="364"/>
        <v>2029</v>
      </c>
      <c r="T790" s="74">
        <f t="shared" si="364"/>
        <v>2030</v>
      </c>
      <c r="U790" s="74">
        <f t="shared" si="364"/>
        <v>2031</v>
      </c>
      <c r="V790" s="74">
        <f t="shared" si="364"/>
        <v>2032</v>
      </c>
      <c r="W790" s="74">
        <f t="shared" si="364"/>
        <v>2033</v>
      </c>
      <c r="X790" s="74">
        <f t="shared" si="364"/>
        <v>2034</v>
      </c>
      <c r="Y790" s="74">
        <f t="shared" si="364"/>
        <v>2035</v>
      </c>
      <c r="Z790" s="74">
        <f t="shared" si="364"/>
        <v>2036</v>
      </c>
      <c r="AA790" s="74">
        <f t="shared" si="364"/>
        <v>2037</v>
      </c>
      <c r="AB790" s="74">
        <f t="shared" si="364"/>
        <v>2038</v>
      </c>
      <c r="AC790" s="74">
        <f t="shared" si="364"/>
        <v>2039</v>
      </c>
      <c r="AD790" s="74">
        <f t="shared" si="364"/>
        <v>2040</v>
      </c>
      <c r="AE790" s="74">
        <f t="shared" si="364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>(L729+L751)*$I729*($F698*L$646+$G698*L$647)+(L740*$J729+L762)*($F709*L$707+$G709*L$647)</f>
        <v>0</v>
      </c>
      <c r="M791" s="72">
        <f>(M729+M751)*$I729*($F698*M$646+$G698*M$647)+(M740*$J729+M762)*($F709*M$707+$G709*M$647)</f>
        <v>0</v>
      </c>
      <c r="N791" s="72">
        <f>(N729+N751)*$I729*($F698*N$646+$G698*N$647)+(N740*$J729+N762)*($F709*N$707+$G709*N$647)</f>
        <v>0</v>
      </c>
      <c r="O791" s="72">
        <f>(O729+O751)*$I729*($F698*O$646+$G698*O$647)+(O740*$J729+O762)*($F709*O$707+$G709*O$647)</f>
        <v>0</v>
      </c>
      <c r="P791" s="72">
        <f>(P729+P751)*$I729*($F698*P$646+$G698*P$647)+(P740*$J729+P762)*($F709*P$707+$G709*P$647)</f>
        <v>0</v>
      </c>
      <c r="Q791" s="72">
        <f>(Q729+Q751)*$I729*($F698*Q$646+$G698*Q$647)+(Q740*$J729+Q762)*($F709*Q$707+$G709*Q$647)</f>
        <v>50.055252651914415</v>
      </c>
      <c r="R791" s="72">
        <f>(R729+R751)*$I729*($F698*R$646+$G698*R$647)+(R740*$J729+R762)*($F709*R$707+$G709*R$647)</f>
        <v>104.51536753719728</v>
      </c>
      <c r="S791" s="72">
        <f>(S729+S751)*$I729*($F698*S$646+$G698*S$647)+(S740*$J729+S762)*($F709*S$707+$G709*S$647)</f>
        <v>163.67106556325101</v>
      </c>
      <c r="T791" s="72">
        <f>(T729+T751)*$I729*($F698*T$646+$G698*T$647)+(T740*$J729+T762)*($F709*T$707+$G709*T$647)</f>
        <v>227.83012326404534</v>
      </c>
      <c r="U791" s="72">
        <f>(U729+U751)*$I729*($F698*U$646+$G698*U$647)+(U740*$J729+U762)*($F709*U$707+$G709*U$647)</f>
        <v>297.31831085957924</v>
      </c>
      <c r="V791" s="72">
        <f>(V729+V751)*$I729*($F698*V$646+$G698*V$647)+(V740*$J729+V762)*($F709*V$707+$G709*V$647)</f>
        <v>372.48037984488087</v>
      </c>
      <c r="W791" s="72">
        <f>(W729+W751)*$I729*($F698*W$646+$G698*W$647)+(W740*$J729+W762)*($F709*W$707+$G709*W$647)</f>
        <v>453.68110265106486</v>
      </c>
      <c r="X791" s="72">
        <f>(X729+X751)*$I729*($F698*X$646+$G698*X$647)+(X740*$J729+X762)*($F709*X$707+$G709*X$647)</f>
        <v>541.3063670488134</v>
      </c>
      <c r="Y791" s="72">
        <f>(Y729+Y751)*$I729*($F698*Y$646+$G698*Y$647)+(Y740*$J729+Y762)*($F709*Y$707+$G709*Y$647)</f>
        <v>635.76432809883147</v>
      </c>
      <c r="Z791" s="72">
        <f>(Z729+Z751)*$I729*($F698*Z$646+$G698*Z$647)+(Z740*$J729+Z762)*($F709*Z$707+$G709*Z$647)</f>
        <v>737.48662059464448</v>
      </c>
      <c r="AA791" s="72">
        <f>(AA729+AA751)*$I729*($F698*AA$646+$G698*AA$647)+(AA740*$J729+AA762)*($F709*AA$707+$G709*AA$647)</f>
        <v>846.92963509088975</v>
      </c>
      <c r="AB791" s="72">
        <f>(AB729+AB751)*$I729*($F698*AB$646+$G698*AB$647)+(AB740*$J729+AB762)*($F709*AB$707+$G709*AB$647)</f>
        <v>964.57586076533335</v>
      </c>
      <c r="AC791" s="72">
        <f>(AC729+AC751)*$I729*($F698*AC$646+$G698*AC$647)+(AC740*$J729+AC762)*($F709*AC$707+$G709*AC$647)</f>
        <v>1090.9352985255921</v>
      </c>
      <c r="AD791" s="72">
        <f>(AD729+AD751)*$I729*($F698*AD$646+$G698*AD$647)+(AD740*$J729+AD762)*($F709*AD$707+$G709*AD$647)</f>
        <v>1226.5469479423118</v>
      </c>
      <c r="AE791" s="72">
        <f>(AE729+AE751)*$I729*($F698*AE$646+$G698*AE$647)+(AE740*$J729+AE762)*($F709*AE$707+$G709*AE$647)</f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>(L730+L752)*$I730*($F699*L$646+$G699*L$647)+(L741*$J730+L763)*($F710*L$707+$G710*L$647)</f>
        <v>0</v>
      </c>
      <c r="M792" s="72">
        <f>(M730+M752)*$I730*($F699*M$646+$G699*M$647)+(M741*$J730+M763)*($F710*M$707+$G710*M$647)</f>
        <v>0</v>
      </c>
      <c r="N792" s="72">
        <f>(N730+N752)*$I730*($F699*N$646+$G699*N$647)+(N741*$J730+N763)*($F710*N$707+$G710*N$647)</f>
        <v>0</v>
      </c>
      <c r="O792" s="72">
        <f>(O730+O752)*$I730*($F699*O$646+$G699*O$647)+(O741*$J730+O763)*($F710*O$707+$G710*O$647)</f>
        <v>0</v>
      </c>
      <c r="P792" s="72">
        <f>(P730+P752)*$I730*($F699*P$646+$G699*P$647)+(P741*$J730+P763)*($F710*P$707+$G710*P$647)</f>
        <v>0</v>
      </c>
      <c r="Q792" s="72">
        <f>(Q730+Q752)*$I730*($F699*Q$646+$G699*Q$647)+(Q741*$J730+Q763)*($F710*Q$707+$G710*Q$647)</f>
        <v>9.5753711433600017</v>
      </c>
      <c r="R792" s="72">
        <f>(R730+R752)*$I730*($F699*R$646+$G699*R$647)+(R741*$J730+R763)*($F710*R$707+$G710*R$647)</f>
        <v>19.993374947335681</v>
      </c>
      <c r="S792" s="72">
        <f>(S730+S752)*$I730*($F699*S$646+$G699*S$647)+(S741*$J730+S763)*($F710*S$707+$G710*S$647)</f>
        <v>31.309625167527681</v>
      </c>
      <c r="T792" s="72">
        <f>(T730+T752)*$I730*($F699*T$646+$G699*T$647)+(T741*$J730+T763)*($F710*T$707+$G710*T$647)</f>
        <v>43.582998233198531</v>
      </c>
      <c r="U792" s="72">
        <f>(U730+U752)*$I730*($F699*U$646+$G699*U$647)+(U741*$J730+U763)*($F710*U$707+$G710*U$647)</f>
        <v>56.87581269432409</v>
      </c>
      <c r="V792" s="72">
        <f>(V730+V752)*$I730*($F699*V$646+$G699*V$647)+(V741*$J730+V763)*($F710*V$707+$G710*V$647)</f>
        <v>71.254018143449215</v>
      </c>
      <c r="W792" s="72">
        <f>(W730+W752)*$I730*($F699*W$646+$G699*W$647)+(W741*$J730+W763)*($F710*W$707+$G710*W$647)</f>
        <v>86.787394098721137</v>
      </c>
      <c r="X792" s="72">
        <f>(X730+X752)*$I730*($F699*X$646+$G699*X$647)+(X741*$J730+X763)*($F710*X$707+$G710*X$647)</f>
        <v>103.54975935893131</v>
      </c>
      <c r="Y792" s="72">
        <f>(Y730+Y752)*$I730*($F699*Y$646+$G699*Y$647)+(Y741*$J730+Y763)*($F710*Y$707+$G710*Y$647)</f>
        <v>121.61919236706478</v>
      </c>
      <c r="Z792" s="72">
        <f>(Z730+Z752)*$I730*($F699*Z$646+$G699*Z$647)+(Z741*$J730+Z763)*($F710*Z$707+$G710*Z$647)</f>
        <v>141.07826314579518</v>
      </c>
      <c r="AA792" s="72">
        <f>(AA730+AA752)*$I730*($F699*AA$646+$G699*AA$647)+(AA741*$J730+AA763)*($F710*AA$707+$G710*AA$647)</f>
        <v>162.01427739663117</v>
      </c>
      <c r="AB792" s="72">
        <f>(AB730+AB752)*$I730*($F699*AB$646+$G699*AB$647)+(AB741*$J730+AB763)*($F710*AB$707+$G710*AB$647)</f>
        <v>184.51953338409049</v>
      </c>
      <c r="AC792" s="72">
        <f>(AC730+AC752)*$I730*($F699*AC$646+$G699*AC$647)+(AC741*$J730+AC763)*($F710*AC$707+$G710*AC$647)</f>
        <v>208.69159225740634</v>
      </c>
      <c r="AD792" s="72">
        <f>(AD730+AD752)*$I730*($F699*AD$646+$G699*AD$647)+(AD741*$J730+AD763)*($F710*AD$707+$G710*AD$647)</f>
        <v>234.63356249494237</v>
      </c>
      <c r="AE792" s="72">
        <f>(AE730+AE752)*$I730*($F699*AE$646+$G699*AE$647)+(AE741*$J730+AE763)*($F710*AE$707+$G710*AE$647)</f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>(L731+L753)*$I731*($F700*L$646+$G700*L$647)+(L742*$J731+L764)*($F711*L$707+$G711*L$647)</f>
        <v>0</v>
      </c>
      <c r="M793" s="72">
        <f>(M731+M753)*$I731*($F700*M$646+$G700*M$647)+(M742*$J731+M764)*($F711*M$707+$G711*M$647)</f>
        <v>0</v>
      </c>
      <c r="N793" s="72">
        <f>(N731+N753)*$I731*($F700*N$646+$G700*N$647)+(N742*$J731+N764)*($F711*N$707+$G711*N$647)</f>
        <v>0</v>
      </c>
      <c r="O793" s="72">
        <f>(O731+O753)*$I731*($F700*O$646+$G700*O$647)+(O742*$J731+O764)*($F711*O$707+$G711*O$647)</f>
        <v>0</v>
      </c>
      <c r="P793" s="72">
        <f>(P731+P753)*$I731*($F700*P$646+$G700*P$647)+(P742*$J731+P764)*($F711*P$707+$G711*P$647)</f>
        <v>0</v>
      </c>
      <c r="Q793" s="72">
        <f>(Q731+Q753)*$I731*($F700*Q$646+$G700*Q$647)+(Q742*$J731+Q764)*($F711*Q$707+$G711*Q$647)</f>
        <v>0</v>
      </c>
      <c r="R793" s="72">
        <f>(R731+R753)*$I731*($F700*R$646+$G700*R$647)+(R742*$J731+R764)*($F711*R$707+$G711*R$647)</f>
        <v>0</v>
      </c>
      <c r="S793" s="72">
        <f>(S731+S753)*$I731*($F700*S$646+$G700*S$647)+(S742*$J731+S764)*($F711*S$707+$G711*S$647)</f>
        <v>0</v>
      </c>
      <c r="T793" s="72">
        <f>(T731+T753)*$I731*($F700*T$646+$G700*T$647)+(T742*$J731+T764)*($F711*T$707+$G711*T$647)</f>
        <v>0</v>
      </c>
      <c r="U793" s="72">
        <f>(U731+U753)*$I731*($F700*U$646+$G700*U$647)+(U742*$J731+U764)*($F711*U$707+$G711*U$647)</f>
        <v>0</v>
      </c>
      <c r="V793" s="72">
        <f>(V731+V753)*$I731*($F700*V$646+$G700*V$647)+(V742*$J731+V764)*($F711*V$707+$G711*V$647)</f>
        <v>0</v>
      </c>
      <c r="W793" s="72">
        <f>(W731+W753)*$I731*($F700*W$646+$G700*W$647)+(W742*$J731+W764)*($F711*W$707+$G711*W$647)</f>
        <v>0</v>
      </c>
      <c r="X793" s="72">
        <f>(X731+X753)*$I731*($F700*X$646+$G700*X$647)+(X742*$J731+X764)*($F711*X$707+$G711*X$647)</f>
        <v>0</v>
      </c>
      <c r="Y793" s="72">
        <f>(Y731+Y753)*$I731*($F700*Y$646+$G700*Y$647)+(Y742*$J731+Y764)*($F711*Y$707+$G711*Y$647)</f>
        <v>0</v>
      </c>
      <c r="Z793" s="72">
        <f>(Z731+Z753)*$I731*($F700*Z$646+$G700*Z$647)+(Z742*$J731+Z764)*($F711*Z$707+$G711*Z$647)</f>
        <v>0</v>
      </c>
      <c r="AA793" s="72">
        <f>(AA731+AA753)*$I731*($F700*AA$646+$G700*AA$647)+(AA742*$J731+AA764)*($F711*AA$707+$G711*AA$647)</f>
        <v>0</v>
      </c>
      <c r="AB793" s="72">
        <f>(AB731+AB753)*$I731*($F700*AB$646+$G700*AB$647)+(AB742*$J731+AB764)*($F711*AB$707+$G711*AB$647)</f>
        <v>0</v>
      </c>
      <c r="AC793" s="72">
        <f>(AC731+AC753)*$I731*($F700*AC$646+$G700*AC$647)+(AC742*$J731+AC764)*($F711*AC$707+$G711*AC$647)</f>
        <v>0</v>
      </c>
      <c r="AD793" s="72">
        <f>(AD731+AD753)*$I731*($F700*AD$646+$G700*AD$647)+(AD742*$J731+AD764)*($F711*AD$707+$G711*AD$647)</f>
        <v>0</v>
      </c>
      <c r="AE793" s="72">
        <f>(AE731+AE753)*$I731*($F700*AE$646+$G700*AE$647)+(AE742*$J731+AE764)*($F711*AE$707+$G711*AE$647)</f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>(L732+L754)*$I732*($F701*L$646+$G701*L$647)+(L743*$J732+L765)*($F712*L$707+$G712*L$647)</f>
        <v>0</v>
      </c>
      <c r="M794" s="72">
        <f>(M732+M754)*$I732*($F701*M$646+$G701*M$647)+(M743*$J732+M765)*($F712*M$707+$G712*M$647)</f>
        <v>0</v>
      </c>
      <c r="N794" s="72">
        <f>(N732+N754)*$I732*($F701*N$646+$G701*N$647)+(N743*$J732+N765)*($F712*N$707+$G712*N$647)</f>
        <v>0</v>
      </c>
      <c r="O794" s="72">
        <f>(O732+O754)*$I732*($F701*O$646+$G701*O$647)+(O743*$J732+O765)*($F712*O$707+$G712*O$647)</f>
        <v>0</v>
      </c>
      <c r="P794" s="72">
        <f>(P732+P754)*$I732*($F701*P$646+$G701*P$647)+(P743*$J732+P765)*($F712*P$707+$G712*P$647)</f>
        <v>0</v>
      </c>
      <c r="Q794" s="72">
        <f>(Q732+Q754)*$I732*($F701*Q$646+$G701*Q$647)+(Q743*$J732+Q765)*($F712*Q$707+$G712*Q$647)</f>
        <v>198.62121046068745</v>
      </c>
      <c r="R794" s="72">
        <f>(R732+R754)*$I732*($F701*R$646+$G701*R$647)+(R743*$J732+R765)*($F712*R$707+$G712*R$647)</f>
        <v>410.3514208117802</v>
      </c>
      <c r="S794" s="72">
        <f>(S732+S754)*$I732*($F701*S$646+$G701*S$647)+(S743*$J732+S765)*($F712*S$707+$G712*S$647)</f>
        <v>635.83952654785332</v>
      </c>
      <c r="T794" s="72">
        <f>(T732+T754)*$I732*($F701*T$646+$G701*T$647)+(T743*$J732+T765)*($F712*T$707+$G712*T$647)</f>
        <v>875.76297456524333</v>
      </c>
      <c r="U794" s="72">
        <f>(U732+U754)*$I732*($F701*U$646+$G701*U$647)+(U743*$J732+U765)*($F712*U$707+$G712*U$647)</f>
        <v>1130.8289409073705</v>
      </c>
      <c r="V794" s="72">
        <f>(V732+V754)*$I732*($F701*V$646+$G701*V$647)+(V743*$J732+V765)*($F712*V$707+$G712*V$647)</f>
        <v>1401.7755551487762</v>
      </c>
      <c r="W794" s="72">
        <f>(W732+W754)*$I732*($F701*W$646+$G701*W$647)+(W743*$J732+W765)*($F712*W$707+$G712*W$647)</f>
        <v>1689.3731732134665</v>
      </c>
      <c r="X794" s="72">
        <f>(X732+X754)*$I732*($F701*X$646+$G701*X$647)+(X743*$J732+X765)*($F712*X$707+$G712*X$647)</f>
        <v>1994.4257004908695</v>
      </c>
      <c r="Y794" s="72">
        <f>(Y732+Y754)*$I732*($F701*Y$646+$G701*Y$647)+(Y743*$J732+Y765)*($F712*Y$707+$G712*Y$647)</f>
        <v>2317.7719671829518</v>
      </c>
      <c r="Z794" s="72">
        <f>(Z732+Z754)*$I732*($F701*Z$646+$G701*Z$647)+(Z743*$J732+Z765)*($F712*Z$707+$G712*Z$647)</f>
        <v>2660.2871578888767</v>
      </c>
      <c r="AA794" s="72">
        <f>(AA732+AA754)*$I732*($F701*AA$646+$G701*AA$647)+(AA743*$J732+AA765)*($F712*AA$707+$G712*AA$647)</f>
        <v>3022.8842975091302</v>
      </c>
      <c r="AB794" s="72">
        <f>(AB732+AB754)*$I732*($F701*AB$646+$G701*AB$647)+(AB743*$J732+AB765)*($F712*AB$707+$G712*AB$647)</f>
        <v>3406.5157956293801</v>
      </c>
      <c r="AC794" s="72">
        <f>(AC732+AC754)*$I732*($F701*AC$646+$G701*AC$647)+(AC743*$J732+AC765)*($F712*AC$707+$G712*AC$647)</f>
        <v>3812.1750516255784</v>
      </c>
      <c r="AD794" s="72">
        <f>(AD732+AD754)*$I732*($F701*AD$646+$G701*AD$647)+(AD743*$J732+AD765)*($F712*AD$707+$G712*AD$647)</f>
        <v>4240.8981228160856</v>
      </c>
      <c r="AE794" s="72">
        <f>(AE732+AE754)*$I732*($F701*AE$646+$G701*AE$647)+(AE743*$J732+AE765)*($F712*AE$707+$G712*AE$647)</f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>(L733+L755)*$I733*($F702*L$646+$G702*L$647)+(L744*$J733+L766)*($F713*L$707+$G713*L$647)</f>
        <v>0</v>
      </c>
      <c r="M795" s="72">
        <f>(M733+M755)*$I733*($F702*M$646+$G702*M$647)+(M744*$J733+M766)*($F713*M$707+$G713*M$647)</f>
        <v>0</v>
      </c>
      <c r="N795" s="72">
        <f>(N733+N755)*$I733*($F702*N$646+$G702*N$647)+(N744*$J733+N766)*($F713*N$707+$G713*N$647)</f>
        <v>0</v>
      </c>
      <c r="O795" s="72">
        <f>(O733+O755)*$I733*($F702*O$646+$G702*O$647)+(O744*$J733+O766)*($F713*O$707+$G713*O$647)</f>
        <v>0</v>
      </c>
      <c r="P795" s="72">
        <f>(P733+P755)*$I733*($F702*P$646+$G702*P$647)+(P744*$J733+P766)*($F713*P$707+$G713*P$647)</f>
        <v>0</v>
      </c>
      <c r="Q795" s="72">
        <f>(Q733+Q755)*$I733*($F702*Q$646+$G702*Q$647)+(Q744*$J733+Q766)*($F713*Q$707+$G713*Q$647)</f>
        <v>44.093819705408542</v>
      </c>
      <c r="R795" s="72">
        <f>(R733+R755)*$I733*($F702*R$646+$G702*R$647)+(R744*$J733+R766)*($F713*R$707+$G713*R$647)</f>
        <v>90.127767477855073</v>
      </c>
      <c r="S795" s="72">
        <f>(S733+S755)*$I733*($F702*S$646+$G702*S$647)+(S744*$J733+S766)*($F713*S$707+$G713*S$647)</f>
        <v>138.16586754355183</v>
      </c>
      <c r="T795" s="72">
        <f>(T733+T755)*$I733*($F702*T$646+$G702*T$647)+(T744*$J733+T766)*($F713*T$707+$G713*T$647)</f>
        <v>188.27402217267993</v>
      </c>
      <c r="U795" s="72">
        <f>(U733+U755)*$I733*($F702*U$646+$G702*U$647)+(U744*$J733+U766)*($F713*U$707+$G713*U$647)</f>
        <v>240.52006332559864</v>
      </c>
      <c r="V795" s="72">
        <f>(V733+V755)*$I733*($F702*V$646+$G702*V$647)+(V744*$J733+V766)*($F713*V$707+$G713*V$647)</f>
        <v>294.97380566251417</v>
      </c>
      <c r="W795" s="72">
        <f>(W733+W755)*$I733*($F702*W$646+$G702*W$647)+(W744*$J733+W766)*($F713*W$707+$G713*W$647)</f>
        <v>351.70710095160445</v>
      </c>
      <c r="X795" s="72">
        <f>(X733+X755)*$I733*($F702*X$646+$G702*X$647)+(X744*$J733+X766)*($F713*X$707+$G713*X$647)</f>
        <v>410.79389391147396</v>
      </c>
      <c r="Y795" s="72">
        <f>(Y733+Y755)*$I733*($F702*Y$646+$G702*Y$647)+(Y744*$J733+Y766)*($F713*Y$707+$G713*Y$647)</f>
        <v>472.31027952471726</v>
      </c>
      <c r="Z795" s="72">
        <f>(Z733+Z755)*$I733*($F702*Z$646+$G702*Z$647)+(Z744*$J733+Z766)*($F713*Z$707+$G713*Z$647)</f>
        <v>536.33456186029002</v>
      </c>
      <c r="AA795" s="72">
        <f>(AA733+AA755)*$I733*($F702*AA$646+$G702*AA$647)+(AA744*$J733+AA766)*($F713*AA$707+$G713*AA$647)</f>
        <v>602.94731444333797</v>
      </c>
      <c r="AB795" s="72">
        <f>(AB733+AB755)*$I733*($F702*AB$646+$G702*AB$647)+(AB744*$J733+AB766)*($F713*AB$707+$G713*AB$647)</f>
        <v>672.23144221209975</v>
      </c>
      <c r="AC795" s="72">
        <f>(AC733+AC755)*$I733*($F702*AC$646+$G702*AC$647)+(AC744*$J733+AC766)*($F713*AC$707+$G713*AC$647)</f>
        <v>744.27224510249653</v>
      </c>
      <c r="AD795" s="72">
        <f>(AD733+AD755)*$I733*($F702*AD$646+$G702*AD$647)+(AD744*$J733+AD766)*($F713*AD$707+$G713*AD$647)</f>
        <v>819.15748330203985</v>
      </c>
      <c r="AE795" s="72">
        <f>(AE733+AE755)*$I733*($F702*AE$646+$G702*AE$647)+(AE744*$J733+AE766)*($F713*AE$707+$G713*AE$647)</f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>(L734+L756)*$I734*($F703*L$646+$G703*L$647)+(L745*$J734+L767)*($F714*L$707+$G714*L$647)</f>
        <v>0</v>
      </c>
      <c r="M796" s="72">
        <f>(M734+M756)*$I734*($F703*M$646+$G703*M$647)+(M745*$J734+M767)*($F714*M$707+$G714*M$647)</f>
        <v>0</v>
      </c>
      <c r="N796" s="72">
        <f>(N734+N756)*$I734*($F703*N$646+$G703*N$647)+(N745*$J734+N767)*($F714*N$707+$G714*N$647)</f>
        <v>0</v>
      </c>
      <c r="O796" s="72">
        <f>(O734+O756)*$I734*($F703*O$646+$G703*O$647)+(O745*$J734+O767)*($F714*O$707+$G714*O$647)</f>
        <v>0</v>
      </c>
      <c r="P796" s="72">
        <f>(P734+P756)*$I734*($F703*P$646+$G703*P$647)+(P745*$J734+P767)*($F714*P$707+$G714*P$647)</f>
        <v>0</v>
      </c>
      <c r="Q796" s="72">
        <f>(Q734+Q756)*$I734*($F703*Q$646+$G703*Q$647)+(Q745*$J734+Q767)*($F714*Q$707+$G714*Q$647)</f>
        <v>4.1919258186959993</v>
      </c>
      <c r="R796" s="72">
        <f>(R734+R756)*$I734*($F703*R$646+$G703*R$647)+(R745*$J734+R767)*($F714*R$707+$G714*R$647)</f>
        <v>8.5682963734146238</v>
      </c>
      <c r="S796" s="72">
        <f>(S734+S756)*$I734*($F703*S$646+$G703*S$647)+(S745*$J734+S767)*($F714*S$707+$G714*S$647)</f>
        <v>13.135198340444619</v>
      </c>
      <c r="T796" s="72">
        <f>(T734+T756)*$I734*($F703*T$646+$G703*T$647)+(T745*$J734+T767)*($F714*T$707+$G714*T$647)</f>
        <v>17.898896938579199</v>
      </c>
      <c r="U796" s="72">
        <f>(U734+U756)*$I734*($F703*U$646+$G703*U$647)+(U745*$J734+U767)*($F714*U$707+$G714*U$647)</f>
        <v>22.865840839034927</v>
      </c>
      <c r="V796" s="72">
        <f>(V734+V756)*$I734*($F703*V$646+$G703*V$647)+(V745*$J734+V767)*($F714*V$707+$G714*V$647)</f>
        <v>28.042667204992437</v>
      </c>
      <c r="W796" s="72">
        <f>(W734+W756)*$I734*($F703*W$646+$G703*W$647)+(W745*$J734+W767)*($F714*W$707+$G714*W$647)</f>
        <v>33.436206864085989</v>
      </c>
      <c r="X796" s="72">
        <f>(X734+X756)*$I734*($F703*X$646+$G703*X$647)+(X745*$J734+X767)*($F714*X$707+$G714*X$647)</f>
        <v>39.053489617252438</v>
      </c>
      <c r="Y796" s="72">
        <f>(Y734+Y756)*$I734*($F703*Y$646+$G703*Y$647)+(Y745*$J734+Y767)*($F714*Y$707+$G714*Y$647)</f>
        <v>44.901749687435988</v>
      </c>
      <c r="Z796" s="72">
        <f>(Z734+Z756)*$I734*($F703*Z$646+$G703*Z$647)+(Z745*$J734+Z767)*($F714*Z$707+$G714*Z$647)</f>
        <v>50.988431311732867</v>
      </c>
      <c r="AA796" s="72">
        <f>(AA734+AA756)*$I734*($F703*AA$646+$G703*AA$647)+(AA745*$J734+AA767)*($F714*AA$707+$G714*AA$647)</f>
        <v>57.321194480650092</v>
      </c>
      <c r="AB796" s="72">
        <f>(AB734+AB756)*$I734*($F703*AB$646+$G703*AB$647)+(AB745*$J734+AB767)*($F714*AB$707+$G714*AB$647)</f>
        <v>63.907920828244798</v>
      </c>
      <c r="AC796" s="72">
        <f>(AC734+AC756)*$I734*($F703*AC$646+$G703*AC$647)+(AC745*$J734+AC767)*($F714*AC$707+$G714*AC$647)</f>
        <v>70.756719677005037</v>
      </c>
      <c r="AD796" s="72">
        <f>(AD734+AD756)*$I734*($F703*AD$646+$G703*AD$647)+(AD745*$J734+AD767)*($F714*AD$707+$G714*AD$647)</f>
        <v>77.875934241429846</v>
      </c>
      <c r="AE796" s="72">
        <f>(AE734+AE756)*$I734*($F703*AE$646+$G703*AE$647)+(AE745*$J734+AE767)*($F714*AE$707+$G714*AE$647)</f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>(L735+L757)*$I735*($F704*L$646+$G704*L$647)+(L746*$J735+L768)*($F715*L$707+$G715*L$647)</f>
        <v>0</v>
      </c>
      <c r="M797" s="72">
        <f>(M735+M757)*$I735*($F704*M$646+$G704*M$647)+(M746*$J735+M768)*($F715*M$707+$G715*M$647)</f>
        <v>0</v>
      </c>
      <c r="N797" s="72">
        <f>(N735+N757)*$I735*($F704*N$646+$G704*N$647)+(N746*$J735+N768)*($F715*N$707+$G715*N$647)</f>
        <v>0</v>
      </c>
      <c r="O797" s="72">
        <f>(O735+O757)*$I735*($F704*O$646+$G704*O$647)+(O746*$J735+O768)*($F715*O$707+$G715*O$647)</f>
        <v>0</v>
      </c>
      <c r="P797" s="72">
        <f>(P735+P757)*$I735*($F704*P$646+$G704*P$647)+(P746*$J735+P768)*($F715*P$707+$G715*P$647)</f>
        <v>0</v>
      </c>
      <c r="Q797" s="72">
        <f>(Q735+Q757)*$I735*($F704*Q$646+$G704*Q$647)+(Q746*$J735+Q768)*($F715*Q$707+$G715*Q$647)</f>
        <v>0.89826981829199992</v>
      </c>
      <c r="R797" s="72">
        <f>(R735+R757)*$I735*($F704*R$646+$G704*R$647)+(R746*$J735+R768)*($F715*R$707+$G715*R$647)</f>
        <v>1.8360635085888481</v>
      </c>
      <c r="S797" s="72">
        <f>(S735+S757)*$I735*($F704*S$646+$G704*S$647)+(S746*$J735+S768)*($F715*S$707+$G715*S$647)</f>
        <v>2.8146853586667042</v>
      </c>
      <c r="T797" s="72">
        <f>(T735+T757)*$I735*($F704*T$646+$G704*T$647)+(T746*$J735+T768)*($F715*T$707+$G715*T$647)</f>
        <v>3.8354779154098289</v>
      </c>
      <c r="U797" s="72">
        <f>(U735+U757)*$I735*($F704*U$646+$G704*U$647)+(U746*$J735+U768)*($F715*U$707+$G715*U$647)</f>
        <v>4.8998230369360565</v>
      </c>
      <c r="V797" s="72">
        <f>(V735+V757)*$I735*($F704*V$646+$G704*V$647)+(V746*$J735+V768)*($F715*V$707+$G715*V$647)</f>
        <v>6.0091429724983811</v>
      </c>
      <c r="W797" s="72">
        <f>(W735+W757)*$I735*($F704*W$646+$G704*W$647)+(W746*$J735+W768)*($F715*W$707+$G715*W$647)</f>
        <v>7.1649014708755674</v>
      </c>
      <c r="X797" s="72">
        <f>(X735+X757)*$I735*($F704*X$646+$G704*X$647)+(X746*$J735+X768)*($F715*X$707+$G715*X$647)</f>
        <v>8.3686049179826618</v>
      </c>
      <c r="Y797" s="72">
        <f>(Y735+Y757)*$I735*($F704*Y$646+$G704*Y$647)+(Y746*$J735+Y768)*($F715*Y$707+$G715*Y$647)</f>
        <v>9.6218035044505683</v>
      </c>
      <c r="Z797" s="72">
        <f>(Z735+Z757)*$I735*($F704*Z$646+$G704*Z$647)+(Z746*$J735+Z768)*($F715*Z$707+$G715*Z$647)</f>
        <v>10.926092423942757</v>
      </c>
      <c r="AA797" s="72">
        <f>(AA735+AA757)*$I735*($F704*AA$646+$G704*AA$647)+(AA746*$J735+AA768)*($F715*AA$707+$G715*AA$647)</f>
        <v>12.283113102996445</v>
      </c>
      <c r="AB797" s="72">
        <f>(AB735+AB757)*$I735*($F704*AB$646+$G704*AB$647)+(AB746*$J735+AB768)*($F715*AB$707+$G715*AB$647)</f>
        <v>13.69455446319531</v>
      </c>
      <c r="AC797" s="72">
        <f>(AC735+AC757)*$I735*($F704*AC$646+$G704*AC$647)+(AC746*$J735+AC768)*($F715*AC$707+$G715*AC$647)</f>
        <v>15.162154216501076</v>
      </c>
      <c r="AD797" s="72">
        <f>(AD735+AD757)*$I735*($F704*AD$646+$G704*AD$647)+(AD746*$J735+AD768)*($F715*AD$707+$G715*AD$647)</f>
        <v>16.687700194592107</v>
      </c>
      <c r="AE797" s="72">
        <f>(AE735+AE757)*$I735*($F704*AE$646+$G704*AE$647)+(AE746*$J735+AE768)*($F715*AE$707+$G715*AE$647)</f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>(L736+L758)*$I736*($F705*L$646+$G705*L$647)+(L747*$J736+L769)*($F716*L$707+$G716*L$647)</f>
        <v>0</v>
      </c>
      <c r="M798" s="72">
        <f>(M736+M758)*$I736*($F705*M$646+$G705*M$647)+(M747*$J736+M769)*($F716*M$707+$G716*M$647)</f>
        <v>0</v>
      </c>
      <c r="N798" s="72">
        <f>(N736+N758)*$I736*($F705*N$646+$G705*N$647)+(N747*$J736+N769)*($F716*N$707+$G716*N$647)</f>
        <v>0</v>
      </c>
      <c r="O798" s="72">
        <f>(O736+O758)*$I736*($F705*O$646+$G705*O$647)+(O747*$J736+O769)*($F716*O$707+$G716*O$647)</f>
        <v>0</v>
      </c>
      <c r="P798" s="72">
        <f>(P736+P758)*$I736*($F705*P$646+$G705*P$647)+(P747*$J736+P769)*($F716*P$707+$G716*P$647)</f>
        <v>0</v>
      </c>
      <c r="Q798" s="72">
        <f>(Q736+Q758)*$I736*($F705*Q$646+$G705*Q$647)+(Q747*$J736+Q769)*($F716*Q$707+$G716*Q$647)</f>
        <v>0.68693120437499988</v>
      </c>
      <c r="R798" s="72">
        <f>(R736+R758)*$I736*($F705*R$646+$G705*R$647)+(R747*$J736+R769)*($F716*R$707+$G716*R$647)</f>
        <v>1.44942484123125</v>
      </c>
      <c r="S798" s="72">
        <f>(S736+S758)*$I736*($F705*S$646+$G705*S$647)+(S747*$J736+S769)*($F716*S$707+$G716*S$647)</f>
        <v>2.2937148112484529</v>
      </c>
      <c r="T798" s="72">
        <f>(T736+T758)*$I736*($F705*T$646+$G705*T$647)+(T747*$J736+T769)*($F716*T$707+$G716*T$647)</f>
        <v>3.2264921678228231</v>
      </c>
      <c r="U798" s="72">
        <f>(U736+U758)*$I736*($F705*U$646+$G705*U$647)+(U747*$J736+U769)*($F716*U$707+$G716*U$647)</f>
        <v>4.2549365463163484</v>
      </c>
      <c r="V798" s="72">
        <f>(V736+V758)*$I736*($F705*V$646+$G705*V$647)+(V747*$J736+V769)*($F716*V$707+$G716*V$647)</f>
        <v>5.3867496676364954</v>
      </c>
      <c r="W798" s="72">
        <f>(W736+W758)*$I736*($F705*W$646+$G705*W$647)+(W747*$J736+W769)*($F716*W$707+$G716*W$647)</f>
        <v>6.6301910492492544</v>
      </c>
      <c r="X798" s="72">
        <f>(X736+X758)*$I736*($F705*X$646+$G705*X$647)+(X747*$J736+X769)*($F716*X$707+$G716*X$647)</f>
        <v>7.9941160650948158</v>
      </c>
      <c r="Y798" s="72">
        <f>(Y736+Y758)*$I736*($F705*Y$646+$G705*Y$647)+(Y747*$J736+Y769)*($F716*Y$707+$G716*Y$647)</f>
        <v>9.4880165047594094</v>
      </c>
      <c r="Z798" s="72">
        <f>(Z736+Z758)*$I736*($F705*Z$646+$G705*Z$647)+(Z747*$J736+Z769)*($F716*Z$707+$G716*Z$647)</f>
        <v>11.122063791690195</v>
      </c>
      <c r="AA798" s="72">
        <f>(AA736+AA758)*$I736*($F705*AA$646+$G705*AA$647)+(AA747*$J736+AA769)*($F716*AA$707+$G716*AA$647)</f>
        <v>12.907155030256471</v>
      </c>
      <c r="AB798" s="72">
        <f>(AB736+AB758)*$I736*($F705*AB$646+$G705*AB$647)+(AB747*$J736+AB769)*($F716*AB$707+$G716*AB$647)</f>
        <v>14.854962062095174</v>
      </c>
      <c r="AC798" s="72">
        <f>(AC736+AC758)*$I736*($F705*AC$646+$G705*AC$647)+(AC747*$J736+AC769)*($F716*AC$707+$G716*AC$647)</f>
        <v>16.97798372346961</v>
      </c>
      <c r="AD798" s="72">
        <f>(AD736+AD758)*$I736*($F705*AD$646+$G705*AD$647)+(AD747*$J736+AD769)*($F716*AD$707+$G716*AD$647)</f>
        <v>19.289601507357389</v>
      </c>
      <c r="AE798" s="72">
        <f>(AE736+AE758)*$I736*($F705*AE$646+$G705*AE$647)+(AE747*$J736+AE769)*($F716*AE$707+$G716*AE$647)</f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1877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1879</v>
      </c>
      <c r="J799" s="70"/>
      <c r="K799" s="72"/>
      <c r="L799" s="72">
        <f t="shared" ref="L799:AE799" si="365">SUM(L791:L798)</f>
        <v>0</v>
      </c>
      <c r="M799" s="72">
        <f t="shared" si="365"/>
        <v>0</v>
      </c>
      <c r="N799" s="72">
        <f t="shared" si="365"/>
        <v>0</v>
      </c>
      <c r="O799" s="72">
        <f t="shared" si="365"/>
        <v>0</v>
      </c>
      <c r="P799" s="72">
        <f t="shared" si="365"/>
        <v>0</v>
      </c>
      <c r="Q799" s="72">
        <f t="shared" si="365"/>
        <v>308.12278080273342</v>
      </c>
      <c r="R799" s="72">
        <f t="shared" si="365"/>
        <v>636.8417154974029</v>
      </c>
      <c r="S799" s="72">
        <f t="shared" si="365"/>
        <v>987.22968333254369</v>
      </c>
      <c r="T799" s="72">
        <f t="shared" si="365"/>
        <v>1360.4109852569791</v>
      </c>
      <c r="U799" s="72">
        <f t="shared" si="365"/>
        <v>1757.56372820916</v>
      </c>
      <c r="V799" s="72">
        <f t="shared" si="365"/>
        <v>2179.922318644748</v>
      </c>
      <c r="W799" s="72">
        <f t="shared" si="365"/>
        <v>2628.780070299068</v>
      </c>
      <c r="X799" s="72">
        <f t="shared" si="365"/>
        <v>3105.4919314104181</v>
      </c>
      <c r="Y799" s="72">
        <f t="shared" si="365"/>
        <v>3611.4773368702113</v>
      </c>
      <c r="Z799" s="72">
        <f t="shared" si="365"/>
        <v>4148.2231910169721</v>
      </c>
      <c r="AA799" s="72">
        <f t="shared" si="365"/>
        <v>4717.2869870538907</v>
      </c>
      <c r="AB799" s="72">
        <f t="shared" si="365"/>
        <v>5320.3000693444392</v>
      </c>
      <c r="AC799" s="72">
        <f t="shared" si="365"/>
        <v>5958.9710451280498</v>
      </c>
      <c r="AD799" s="72">
        <f t="shared" si="365"/>
        <v>6635.0893524987587</v>
      </c>
      <c r="AE799" s="72">
        <f t="shared" si="365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1848</v>
      </c>
      <c r="H64" s="5" t="s">
        <v>1849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1848</v>
      </c>
      <c r="H66" s="5" t="s">
        <v>1850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1848</v>
      </c>
      <c r="H68" s="5" t="s">
        <v>1851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1848</v>
      </c>
      <c r="H70" s="5" t="s">
        <v>1852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1848</v>
      </c>
      <c r="H72" s="5" t="s">
        <v>1853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1848</v>
      </c>
      <c r="H74" s="5" t="s">
        <v>1854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1848</v>
      </c>
      <c r="H76" s="5" t="s">
        <v>1855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1848</v>
      </c>
      <c r="H78" s="5" t="s">
        <v>1856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1848</v>
      </c>
      <c r="H80" s="5" t="s">
        <v>1857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1844</v>
      </c>
      <c r="H126" s="5" t="s">
        <v>1845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1846</v>
      </c>
      <c r="H127" s="5" t="s">
        <v>1847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1858</v>
      </c>
      <c r="B128" s="5" t="s">
        <v>77</v>
      </c>
      <c r="C128" s="5" t="s">
        <v>1413</v>
      </c>
      <c r="D128" s="5" t="s">
        <v>1792</v>
      </c>
      <c r="E128" s="5">
        <v>1</v>
      </c>
      <c r="F128" s="5" t="s">
        <v>1415</v>
      </c>
      <c r="G128" s="5" t="s">
        <v>1793</v>
      </c>
      <c r="H128" s="5" t="s">
        <v>1859</v>
      </c>
      <c r="I128" s="28" t="s">
        <v>1858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1860</v>
      </c>
      <c r="B129" s="5" t="s">
        <v>77</v>
      </c>
      <c r="C129" s="5" t="s">
        <v>1413</v>
      </c>
      <c r="D129" s="5" t="s">
        <v>1795</v>
      </c>
      <c r="E129" s="5">
        <v>1</v>
      </c>
      <c r="F129" s="5" t="s">
        <v>79</v>
      </c>
      <c r="G129" s="5" t="s">
        <v>1796</v>
      </c>
      <c r="H129" s="5" t="s">
        <v>1859</v>
      </c>
      <c r="I129" s="28" t="s">
        <v>1860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1861</v>
      </c>
      <c r="B130" s="5" t="s">
        <v>77</v>
      </c>
      <c r="C130" s="5" t="s">
        <v>1413</v>
      </c>
      <c r="D130" s="5" t="s">
        <v>1799</v>
      </c>
      <c r="E130" s="5">
        <v>1</v>
      </c>
      <c r="F130" s="5" t="s">
        <v>79</v>
      </c>
      <c r="G130" s="5" t="s">
        <v>1800</v>
      </c>
      <c r="H130" s="5" t="s">
        <v>1859</v>
      </c>
      <c r="I130" s="28" t="s">
        <v>1861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1862</v>
      </c>
      <c r="B131" s="5" t="s">
        <v>77</v>
      </c>
      <c r="C131" s="5" t="s">
        <v>1413</v>
      </c>
      <c r="D131" s="5" t="s">
        <v>1804</v>
      </c>
      <c r="E131" s="5">
        <v>1</v>
      </c>
      <c r="F131" s="5" t="s">
        <v>1415</v>
      </c>
      <c r="G131" s="5" t="s">
        <v>1805</v>
      </c>
      <c r="H131" s="5" t="s">
        <v>1859</v>
      </c>
      <c r="I131" s="28" t="s">
        <v>1862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1863</v>
      </c>
      <c r="B132" s="5" t="s">
        <v>77</v>
      </c>
      <c r="C132" s="5" t="s">
        <v>1413</v>
      </c>
      <c r="D132" s="5" t="s">
        <v>1808</v>
      </c>
      <c r="E132" s="5">
        <v>1</v>
      </c>
      <c r="F132" s="5" t="s">
        <v>79</v>
      </c>
      <c r="G132" s="5" t="s">
        <v>1809</v>
      </c>
      <c r="H132" s="5" t="s">
        <v>1859</v>
      </c>
      <c r="I132" s="28" t="s">
        <v>1863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1864</v>
      </c>
      <c r="B133" s="5" t="s">
        <v>77</v>
      </c>
      <c r="C133" s="5" t="s">
        <v>1413</v>
      </c>
      <c r="D133" s="5" t="s">
        <v>1813</v>
      </c>
      <c r="E133" s="5">
        <v>1</v>
      </c>
      <c r="F133" s="5" t="s">
        <v>1415</v>
      </c>
      <c r="G133" s="5" t="s">
        <v>1814</v>
      </c>
      <c r="H133" s="5" t="s">
        <v>1859</v>
      </c>
      <c r="I133" s="28" t="s">
        <v>1864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1794</v>
      </c>
      <c r="B134" s="5" t="s">
        <v>77</v>
      </c>
      <c r="C134" s="5" t="s">
        <v>1413</v>
      </c>
      <c r="D134" s="5" t="s">
        <v>1792</v>
      </c>
      <c r="E134" s="5">
        <v>2</v>
      </c>
      <c r="F134" s="5" t="s">
        <v>1415</v>
      </c>
      <c r="G134" s="5" t="s">
        <v>1793</v>
      </c>
      <c r="H134" s="5" t="s">
        <v>1789</v>
      </c>
      <c r="I134" s="28" t="s">
        <v>1794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1797</v>
      </c>
      <c r="B135" s="5" t="s">
        <v>77</v>
      </c>
      <c r="C135" s="5" t="s">
        <v>1413</v>
      </c>
      <c r="D135" s="5" t="s">
        <v>1795</v>
      </c>
      <c r="E135" s="5">
        <v>2</v>
      </c>
      <c r="F135" s="5" t="s">
        <v>79</v>
      </c>
      <c r="G135" s="5" t="s">
        <v>1796</v>
      </c>
      <c r="H135" s="5" t="s">
        <v>1789</v>
      </c>
      <c r="I135" s="28" t="s">
        <v>1797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1802</v>
      </c>
      <c r="B136" s="5" t="s">
        <v>77</v>
      </c>
      <c r="C136" s="5" t="s">
        <v>1413</v>
      </c>
      <c r="D136" s="5" t="s">
        <v>1799</v>
      </c>
      <c r="E136" s="5">
        <v>2</v>
      </c>
      <c r="F136" s="5" t="s">
        <v>79</v>
      </c>
      <c r="G136" s="5" t="s">
        <v>1800</v>
      </c>
      <c r="H136" s="5" t="s">
        <v>1789</v>
      </c>
      <c r="I136" s="28" t="s">
        <v>1802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1806</v>
      </c>
      <c r="B137" s="5" t="s">
        <v>77</v>
      </c>
      <c r="C137" s="5" t="s">
        <v>1413</v>
      </c>
      <c r="D137" s="5" t="s">
        <v>1804</v>
      </c>
      <c r="E137" s="5">
        <v>2</v>
      </c>
      <c r="F137" s="5" t="s">
        <v>1415</v>
      </c>
      <c r="G137" s="5" t="s">
        <v>1805</v>
      </c>
      <c r="H137" s="5" t="s">
        <v>1789</v>
      </c>
      <c r="I137" s="28" t="s">
        <v>1806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1811</v>
      </c>
      <c r="B138" s="5" t="s">
        <v>77</v>
      </c>
      <c r="C138" s="5" t="s">
        <v>1413</v>
      </c>
      <c r="D138" s="5" t="s">
        <v>1808</v>
      </c>
      <c r="E138" s="5">
        <v>2</v>
      </c>
      <c r="F138" s="5" t="s">
        <v>79</v>
      </c>
      <c r="G138" s="5" t="s">
        <v>1809</v>
      </c>
      <c r="H138" s="5" t="s">
        <v>1789</v>
      </c>
      <c r="I138" s="28" t="s">
        <v>1811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1816</v>
      </c>
      <c r="B139" s="5" t="s">
        <v>77</v>
      </c>
      <c r="C139" s="5" t="s">
        <v>1413</v>
      </c>
      <c r="D139" s="5" t="s">
        <v>1813</v>
      </c>
      <c r="E139" s="5">
        <v>2</v>
      </c>
      <c r="F139" s="5" t="s">
        <v>1415</v>
      </c>
      <c r="G139" s="5" t="s">
        <v>1814</v>
      </c>
      <c r="H139" s="5" t="s">
        <v>1789</v>
      </c>
      <c r="I139" s="28" t="s">
        <v>1816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60"/>
  <sheetViews>
    <sheetView zoomScaleNormal="100" workbookViewId="0">
      <pane xSplit="5" ySplit="5" topLeftCell="F1430" activePane="bottomRight" state="frozen"/>
      <selection pane="topRight" activeCell="F1" sqref="F1"/>
      <selection pane="bottomLeft" activeCell="A6" sqref="A6"/>
      <selection pane="bottomRight" activeCell="A1456" sqref="A1456:XFD1456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1881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1881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1881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1881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1881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1881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1881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1881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1881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1871</v>
      </c>
    </row>
    <row r="1381" spans="1:35" x14ac:dyDescent="0.45">
      <c r="A1381" t="s">
        <v>1873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1841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1872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1841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1872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1841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1872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1841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1872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1841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1872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1841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1872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1841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1872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1841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1872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1841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1872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1841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1872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1841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1872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1882</v>
      </c>
    </row>
    <row r="1429" spans="1:35" x14ac:dyDescent="0.45">
      <c r="A1429" t="s">
        <v>1888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1883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1884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1885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1886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1883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1884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1885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1886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1887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1912</v>
      </c>
    </row>
    <row r="1443" spans="1:35" x14ac:dyDescent="0.45">
      <c r="A1443" t="s">
        <v>1917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1913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1914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1915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1913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1914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1915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1916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1926</v>
      </c>
    </row>
    <row r="1455" spans="1:35" x14ac:dyDescent="0.45">
      <c r="A1455" t="s">
        <v>1930</v>
      </c>
      <c r="D1455" s="92">
        <f>MAX(F1457:F1460)</f>
        <v>0</v>
      </c>
    </row>
    <row r="1456" spans="1:35" x14ac:dyDescent="0.45">
      <c r="A1456" s="50" t="s">
        <v>1505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1506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1" x14ac:dyDescent="0.45">
      <c r="A1457" t="s">
        <v>1927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1" x14ac:dyDescent="0.45">
      <c r="A1458" t="s">
        <v>1927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1" x14ac:dyDescent="0.45">
      <c r="A1459" t="s">
        <v>1928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1" x14ac:dyDescent="0.45">
      <c r="A1460" t="s">
        <v>1929</v>
      </c>
      <c r="D1460">
        <v>2</v>
      </c>
      <c r="F1460">
        <f>IF(Scenarios!$B$27="LEGACY",0,ABS(Mitigation_Industry!T646-20))</f>
        <v>0</v>
      </c>
      <c r="I1460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2026-10-02T20:24:12Z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