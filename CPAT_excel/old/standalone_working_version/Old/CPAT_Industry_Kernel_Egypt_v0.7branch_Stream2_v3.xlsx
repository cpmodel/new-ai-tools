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cpat_excel_new\standalone_working_version\"/>
    </mc:Choice>
  </mc:AlternateContent>
  <xr:revisionPtr revIDLastSave="0" documentId="13_ncr:1_{CAF6F983-F6C6-4C84-9DD9-4A27D2A454D8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Settings" sheetId="1" r:id="rId1"/>
    <sheet name="Manual inputs" sheetId="9" r:id="rId2"/>
    <sheet name="Scenarios" sheetId="10" r:id="rId3"/>
    <sheet name="Mitigation_Industry" sheetId="2" r:id="rId4"/>
    <sheet name="Emissions_Industry" sheetId="12" r:id="rId5"/>
    <sheet name="Rebate_Industry" sheetId="13" r:id="rId6"/>
    <sheet name="Fund_Industry" sheetId="14" r:id="rId7"/>
    <sheet name="MTInputs" sheetId="3" r:id="rId8"/>
    <sheet name="Data_Energy" sheetId="4" r:id="rId9"/>
    <sheet name="Data_Prices" sheetId="5" r:id="rId10"/>
    <sheet name="Data_Macro" sheetId="6" r:id="rId11"/>
    <sheet name="Data_Elast" sheetId="7" r:id="rId12"/>
    <sheet name="Data_EF" sheetId="11" r:id="rId13"/>
    <sheet name="Check" sheetId="8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15" i="5" l="1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H334" i="14"/>
  <c r="H333" i="14"/>
  <c r="H332" i="14"/>
  <c r="H331" i="14"/>
  <c r="H330" i="14"/>
  <c r="H329" i="14"/>
  <c r="H328" i="14"/>
  <c r="H327" i="14"/>
  <c r="H326" i="14"/>
  <c r="H321" i="14"/>
  <c r="H319" i="14"/>
  <c r="H317" i="14"/>
  <c r="H316" i="14"/>
  <c r="H315" i="14"/>
  <c r="H314" i="14"/>
  <c r="H313" i="14"/>
  <c r="H246" i="14"/>
  <c r="H245" i="14"/>
  <c r="H244" i="14"/>
  <c r="H243" i="14"/>
  <c r="H242" i="14"/>
  <c r="H239" i="14"/>
  <c r="H238" i="14"/>
  <c r="H237" i="14"/>
  <c r="H236" i="14"/>
  <c r="H235" i="14"/>
  <c r="H234" i="14"/>
  <c r="H233" i="14"/>
  <c r="H232" i="14"/>
  <c r="H229" i="14"/>
  <c r="H228" i="14"/>
  <c r="H227" i="14"/>
  <c r="H226" i="14"/>
  <c r="H225" i="14"/>
  <c r="H224" i="14"/>
  <c r="H223" i="14"/>
  <c r="H222" i="14"/>
  <c r="H219" i="14"/>
  <c r="H218" i="14"/>
  <c r="H217" i="14"/>
  <c r="H216" i="14"/>
  <c r="H215" i="14"/>
  <c r="H214" i="14"/>
  <c r="H213" i="14"/>
  <c r="H212" i="14"/>
  <c r="H209" i="14"/>
  <c r="H208" i="14"/>
  <c r="H207" i="14"/>
  <c r="H206" i="14"/>
  <c r="H205" i="14"/>
  <c r="H204" i="14"/>
  <c r="H203" i="14"/>
  <c r="H202" i="14"/>
  <c r="H199" i="14"/>
  <c r="H198" i="14"/>
  <c r="H197" i="14"/>
  <c r="H196" i="14"/>
  <c r="H195" i="14"/>
  <c r="H194" i="14"/>
  <c r="H193" i="14"/>
  <c r="H192" i="14"/>
  <c r="H189" i="14"/>
  <c r="H188" i="14"/>
  <c r="H187" i="14"/>
  <c r="H186" i="14"/>
  <c r="H185" i="14"/>
  <c r="H184" i="14"/>
  <c r="H183" i="14"/>
  <c r="H182" i="14"/>
  <c r="H169" i="14"/>
  <c r="H168" i="14"/>
  <c r="H167" i="14"/>
  <c r="H166" i="14"/>
  <c r="H165" i="14"/>
  <c r="H164" i="14"/>
  <c r="H163" i="14"/>
  <c r="H162" i="14"/>
  <c r="H161" i="14"/>
  <c r="H156" i="14"/>
  <c r="H154" i="14"/>
  <c r="H152" i="14"/>
  <c r="H151" i="14"/>
  <c r="H150" i="14"/>
  <c r="H149" i="14"/>
  <c r="H148" i="14"/>
  <c r="H81" i="14"/>
  <c r="H80" i="14"/>
  <c r="H79" i="14"/>
  <c r="H78" i="14"/>
  <c r="H77" i="14"/>
  <c r="H74" i="14"/>
  <c r="H73" i="14"/>
  <c r="H72" i="14"/>
  <c r="H71" i="14"/>
  <c r="H70" i="14"/>
  <c r="H69" i="14"/>
  <c r="H68" i="14"/>
  <c r="H67" i="14"/>
  <c r="H64" i="14"/>
  <c r="H63" i="14"/>
  <c r="H62" i="14"/>
  <c r="H61" i="14"/>
  <c r="H60" i="14"/>
  <c r="H59" i="14"/>
  <c r="H58" i="14"/>
  <c r="H57" i="14"/>
  <c r="H54" i="14"/>
  <c r="H53" i="14"/>
  <c r="H52" i="14"/>
  <c r="H51" i="14"/>
  <c r="H50" i="14"/>
  <c r="H49" i="14"/>
  <c r="H48" i="14"/>
  <c r="H47" i="14"/>
  <c r="H44" i="14"/>
  <c r="H43" i="14"/>
  <c r="H42" i="14"/>
  <c r="H41" i="14"/>
  <c r="H40" i="14"/>
  <c r="H39" i="14"/>
  <c r="H38" i="14"/>
  <c r="H37" i="14"/>
  <c r="H34" i="14"/>
  <c r="H33" i="14"/>
  <c r="H32" i="14"/>
  <c r="H31" i="14"/>
  <c r="H30" i="14"/>
  <c r="H29" i="14"/>
  <c r="H28" i="14"/>
  <c r="H27" i="14"/>
  <c r="H24" i="14"/>
  <c r="H23" i="14"/>
  <c r="H22" i="14"/>
  <c r="H21" i="14"/>
  <c r="H20" i="14"/>
  <c r="H19" i="14"/>
  <c r="H18" i="14"/>
  <c r="H17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H278" i="13"/>
  <c r="H273" i="13"/>
  <c r="H272" i="13"/>
  <c r="H271" i="13"/>
  <c r="H270" i="13"/>
  <c r="H269" i="13"/>
  <c r="H268" i="13"/>
  <c r="H267" i="13"/>
  <c r="H266" i="13"/>
  <c r="H265" i="13"/>
  <c r="H264" i="13"/>
  <c r="H263" i="13"/>
  <c r="H262" i="13"/>
  <c r="H259" i="13"/>
  <c r="H258" i="13"/>
  <c r="H257" i="13"/>
  <c r="H256" i="13"/>
  <c r="H255" i="13"/>
  <c r="H254" i="13"/>
  <c r="H253" i="13"/>
  <c r="H252" i="13"/>
  <c r="H251" i="13"/>
  <c r="H250" i="13"/>
  <c r="H249" i="13"/>
  <c r="H248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7" i="13"/>
  <c r="H216" i="13"/>
  <c r="H215" i="13"/>
  <c r="H214" i="13"/>
  <c r="H213" i="13"/>
  <c r="H212" i="13"/>
  <c r="H211" i="13"/>
  <c r="H210" i="13"/>
  <c r="H209" i="13"/>
  <c r="H206" i="13"/>
  <c r="H205" i="13"/>
  <c r="H204" i="13"/>
  <c r="H203" i="13"/>
  <c r="H202" i="13"/>
  <c r="H201" i="13"/>
  <c r="H200" i="13"/>
  <c r="H199" i="13"/>
  <c r="H196" i="13"/>
  <c r="H195" i="13"/>
  <c r="H194" i="13"/>
  <c r="H193" i="13"/>
  <c r="H192" i="13"/>
  <c r="H191" i="13"/>
  <c r="H190" i="13"/>
  <c r="H189" i="13"/>
  <c r="H186" i="13"/>
  <c r="H185" i="13"/>
  <c r="H184" i="13"/>
  <c r="H183" i="13"/>
  <c r="H182" i="13"/>
  <c r="H181" i="13"/>
  <c r="H180" i="13"/>
  <c r="H179" i="13"/>
  <c r="H176" i="13"/>
  <c r="H175" i="13"/>
  <c r="H174" i="13"/>
  <c r="H173" i="13"/>
  <c r="H172" i="13"/>
  <c r="H171" i="13"/>
  <c r="H170" i="13"/>
  <c r="H169" i="13"/>
  <c r="H166" i="13"/>
  <c r="H165" i="13"/>
  <c r="H164" i="13"/>
  <c r="H163" i="13"/>
  <c r="H162" i="13"/>
  <c r="H161" i="13"/>
  <c r="H160" i="13"/>
  <c r="H159" i="13"/>
  <c r="H156" i="13"/>
  <c r="H155" i="13"/>
  <c r="H154" i="13"/>
  <c r="H153" i="13"/>
  <c r="H152" i="13"/>
  <c r="H151" i="13"/>
  <c r="H150" i="13"/>
  <c r="H149" i="13"/>
  <c r="H139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78" i="13"/>
  <c r="H77" i="13"/>
  <c r="H76" i="13"/>
  <c r="H75" i="13"/>
  <c r="H74" i="13"/>
  <c r="H73" i="13"/>
  <c r="H72" i="13"/>
  <c r="H71" i="13"/>
  <c r="H70" i="13"/>
  <c r="H67" i="13"/>
  <c r="H66" i="13"/>
  <c r="H65" i="13"/>
  <c r="H64" i="13"/>
  <c r="H63" i="13"/>
  <c r="H62" i="13"/>
  <c r="H61" i="13"/>
  <c r="H60" i="13"/>
  <c r="H57" i="13"/>
  <c r="H56" i="13"/>
  <c r="H55" i="13"/>
  <c r="H54" i="13"/>
  <c r="H53" i="13"/>
  <c r="H52" i="13"/>
  <c r="H51" i="13"/>
  <c r="H50" i="13"/>
  <c r="H47" i="13"/>
  <c r="H46" i="13"/>
  <c r="H45" i="13"/>
  <c r="H44" i="13"/>
  <c r="H43" i="13"/>
  <c r="H42" i="13"/>
  <c r="H41" i="13"/>
  <c r="H40" i="13"/>
  <c r="H37" i="13"/>
  <c r="H36" i="13"/>
  <c r="H35" i="13"/>
  <c r="H34" i="13"/>
  <c r="H33" i="13"/>
  <c r="H32" i="13"/>
  <c r="H31" i="13"/>
  <c r="H30" i="13"/>
  <c r="H27" i="13"/>
  <c r="H26" i="13"/>
  <c r="H25" i="13"/>
  <c r="H24" i="13"/>
  <c r="H23" i="13"/>
  <c r="H22" i="13"/>
  <c r="H21" i="13"/>
  <c r="H20" i="13"/>
  <c r="H17" i="13"/>
  <c r="H16" i="13"/>
  <c r="H15" i="13"/>
  <c r="H14" i="13"/>
  <c r="H13" i="13"/>
  <c r="H12" i="13"/>
  <c r="H11" i="13"/>
  <c r="H10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G1486" i="8"/>
  <c r="G1483" i="8"/>
  <c r="H102" i="12"/>
  <c r="C102" i="12"/>
  <c r="H101" i="12"/>
  <c r="G101" i="12"/>
  <c r="C101" i="12"/>
  <c r="H100" i="12"/>
  <c r="G100" i="12"/>
  <c r="C100" i="12"/>
  <c r="H99" i="12"/>
  <c r="G99" i="12"/>
  <c r="C99" i="12"/>
  <c r="H98" i="12"/>
  <c r="G98" i="12"/>
  <c r="C98" i="12"/>
  <c r="H97" i="12"/>
  <c r="G97" i="12"/>
  <c r="C97" i="12"/>
  <c r="H96" i="12"/>
  <c r="G96" i="12"/>
  <c r="C96" i="12"/>
  <c r="H95" i="12"/>
  <c r="G95" i="12"/>
  <c r="C95" i="12"/>
  <c r="H94" i="12"/>
  <c r="G94" i="12"/>
  <c r="C94" i="12"/>
  <c r="H93" i="12"/>
  <c r="G93" i="12"/>
  <c r="C93" i="12"/>
  <c r="H90" i="12"/>
  <c r="C90" i="12"/>
  <c r="H89" i="12"/>
  <c r="G89" i="12"/>
  <c r="C89" i="12"/>
  <c r="H88" i="12"/>
  <c r="G88" i="12"/>
  <c r="C88" i="12"/>
  <c r="H87" i="12"/>
  <c r="G87" i="12"/>
  <c r="C87" i="12"/>
  <c r="H86" i="12"/>
  <c r="G86" i="12"/>
  <c r="C86" i="12"/>
  <c r="H85" i="12"/>
  <c r="G85" i="12"/>
  <c r="C85" i="12"/>
  <c r="H84" i="12"/>
  <c r="G84" i="12"/>
  <c r="C84" i="12"/>
  <c r="H83" i="12"/>
  <c r="G83" i="12"/>
  <c r="C83" i="12"/>
  <c r="H82" i="12"/>
  <c r="G82" i="12"/>
  <c r="C82" i="12"/>
  <c r="H81" i="12"/>
  <c r="G81" i="12"/>
  <c r="C81" i="12"/>
  <c r="H78" i="12"/>
  <c r="C78" i="12"/>
  <c r="H77" i="12"/>
  <c r="G77" i="12"/>
  <c r="C77" i="12"/>
  <c r="H76" i="12"/>
  <c r="G76" i="12"/>
  <c r="C76" i="12"/>
  <c r="H75" i="12"/>
  <c r="G75" i="12"/>
  <c r="C75" i="12"/>
  <c r="H74" i="12"/>
  <c r="G74" i="12"/>
  <c r="C74" i="12"/>
  <c r="H73" i="12"/>
  <c r="G73" i="12"/>
  <c r="C73" i="12"/>
  <c r="H72" i="12"/>
  <c r="G72" i="12"/>
  <c r="C72" i="12"/>
  <c r="H71" i="12"/>
  <c r="G71" i="12"/>
  <c r="C71" i="12"/>
  <c r="H70" i="12"/>
  <c r="G70" i="12"/>
  <c r="C70" i="12"/>
  <c r="H69" i="12"/>
  <c r="G69" i="12"/>
  <c r="C69" i="12"/>
  <c r="H66" i="12"/>
  <c r="C66" i="12"/>
  <c r="H65" i="12"/>
  <c r="G65" i="12"/>
  <c r="C65" i="12"/>
  <c r="H64" i="12"/>
  <c r="G64" i="12"/>
  <c r="C64" i="12"/>
  <c r="H63" i="12"/>
  <c r="G63" i="12"/>
  <c r="C63" i="12"/>
  <c r="H62" i="12"/>
  <c r="G62" i="12"/>
  <c r="C62" i="12"/>
  <c r="H61" i="12"/>
  <c r="G61" i="12"/>
  <c r="C61" i="12"/>
  <c r="H60" i="12"/>
  <c r="G60" i="12"/>
  <c r="C60" i="12"/>
  <c r="H59" i="12"/>
  <c r="G59" i="12"/>
  <c r="C59" i="12"/>
  <c r="H58" i="12"/>
  <c r="G58" i="12"/>
  <c r="C58" i="12"/>
  <c r="H57" i="12"/>
  <c r="G57" i="12"/>
  <c r="C57" i="12"/>
  <c r="H51" i="12"/>
  <c r="C51" i="12"/>
  <c r="H50" i="12"/>
  <c r="G50" i="12"/>
  <c r="C50" i="12"/>
  <c r="H49" i="12"/>
  <c r="G49" i="12"/>
  <c r="C49" i="12"/>
  <c r="H48" i="12"/>
  <c r="G48" i="12"/>
  <c r="C48" i="12"/>
  <c r="H47" i="12"/>
  <c r="G47" i="12"/>
  <c r="C47" i="12"/>
  <c r="H46" i="12"/>
  <c r="G46" i="12"/>
  <c r="C46" i="12"/>
  <c r="H45" i="12"/>
  <c r="G45" i="12"/>
  <c r="C45" i="12"/>
  <c r="H44" i="12"/>
  <c r="G44" i="12"/>
  <c r="C44" i="12"/>
  <c r="H43" i="12"/>
  <c r="G43" i="12"/>
  <c r="C43" i="12"/>
  <c r="H42" i="12"/>
  <c r="G42" i="12"/>
  <c r="C42" i="12"/>
  <c r="H39" i="12"/>
  <c r="C39" i="12"/>
  <c r="H38" i="12"/>
  <c r="G38" i="12"/>
  <c r="C38" i="12"/>
  <c r="H37" i="12"/>
  <c r="G37" i="12"/>
  <c r="C37" i="12"/>
  <c r="H36" i="12"/>
  <c r="G36" i="12"/>
  <c r="C36" i="12"/>
  <c r="H35" i="12"/>
  <c r="G35" i="12"/>
  <c r="C35" i="12"/>
  <c r="H34" i="12"/>
  <c r="G34" i="12"/>
  <c r="C34" i="12"/>
  <c r="H33" i="12"/>
  <c r="G33" i="12"/>
  <c r="C33" i="12"/>
  <c r="H32" i="12"/>
  <c r="G32" i="12"/>
  <c r="C32" i="12"/>
  <c r="H31" i="12"/>
  <c r="G31" i="12"/>
  <c r="C31" i="12"/>
  <c r="H30" i="12"/>
  <c r="G30" i="12"/>
  <c r="C30" i="12"/>
  <c r="H27" i="12"/>
  <c r="C27" i="12"/>
  <c r="H26" i="12"/>
  <c r="G26" i="12"/>
  <c r="C26" i="12"/>
  <c r="H25" i="12"/>
  <c r="G25" i="12"/>
  <c r="C25" i="12"/>
  <c r="H24" i="12"/>
  <c r="G24" i="12"/>
  <c r="C24" i="12"/>
  <c r="H23" i="12"/>
  <c r="G23" i="12"/>
  <c r="C23" i="12"/>
  <c r="H22" i="12"/>
  <c r="G22" i="12"/>
  <c r="C22" i="12"/>
  <c r="H21" i="12"/>
  <c r="G21" i="12"/>
  <c r="C21" i="12"/>
  <c r="H20" i="12"/>
  <c r="G20" i="12"/>
  <c r="C20" i="12"/>
  <c r="H19" i="12"/>
  <c r="G19" i="12"/>
  <c r="C19" i="12"/>
  <c r="H18" i="12"/>
  <c r="G18" i="12"/>
  <c r="C18" i="12"/>
  <c r="H15" i="12"/>
  <c r="C15" i="12"/>
  <c r="H14" i="12"/>
  <c r="G14" i="12"/>
  <c r="C14" i="12"/>
  <c r="H13" i="12"/>
  <c r="G13" i="12"/>
  <c r="C13" i="12"/>
  <c r="H12" i="12"/>
  <c r="G12" i="12"/>
  <c r="C12" i="12"/>
  <c r="H11" i="12"/>
  <c r="G11" i="12"/>
  <c r="C11" i="12"/>
  <c r="H10" i="12"/>
  <c r="G10" i="12"/>
  <c r="C10" i="12"/>
  <c r="H9" i="12"/>
  <c r="G9" i="12"/>
  <c r="C9" i="12"/>
  <c r="H8" i="12"/>
  <c r="G8" i="12"/>
  <c r="C8" i="12"/>
  <c r="H7" i="12"/>
  <c r="G7" i="12"/>
  <c r="C7" i="12"/>
  <c r="H6" i="12"/>
  <c r="G6" i="12"/>
  <c r="C6" i="12"/>
  <c r="D19" i="11"/>
  <c r="D21" i="11" s="1"/>
  <c r="D18" i="11"/>
  <c r="E12" i="11"/>
  <c r="A12" i="11"/>
  <c r="E11" i="11"/>
  <c r="A11" i="11"/>
  <c r="E10" i="11"/>
  <c r="A10" i="11"/>
  <c r="E9" i="11"/>
  <c r="A9" i="11"/>
  <c r="E8" i="11"/>
  <c r="A8" i="11"/>
  <c r="E7" i="11"/>
  <c r="A7" i="11"/>
  <c r="E6" i="11"/>
  <c r="A6" i="11"/>
  <c r="E5" i="11"/>
  <c r="A5" i="11"/>
  <c r="E4" i="11"/>
  <c r="A4" i="11"/>
  <c r="G707" i="2"/>
  <c r="G308" i="2"/>
  <c r="AC308" i="2" s="1"/>
  <c r="AC14" i="14" s="1"/>
  <c r="F1451" i="8"/>
  <c r="H660" i="2"/>
  <c r="H659" i="2"/>
  <c r="H658" i="2"/>
  <c r="H657" i="2"/>
  <c r="H261" i="2"/>
  <c r="H260" i="2"/>
  <c r="H259" i="2"/>
  <c r="H258" i="2"/>
  <c r="K273" i="2"/>
  <c r="J273" i="2"/>
  <c r="I273" i="2"/>
  <c r="H273" i="2"/>
  <c r="H782" i="2"/>
  <c r="H781" i="2"/>
  <c r="H780" i="2"/>
  <c r="H779" i="2"/>
  <c r="H789" i="2"/>
  <c r="H778" i="2"/>
  <c r="H788" i="2"/>
  <c r="H777" i="2"/>
  <c r="H787" i="2"/>
  <c r="H776" i="2"/>
  <c r="H786" i="2"/>
  <c r="H775" i="2"/>
  <c r="H785" i="2"/>
  <c r="H774" i="2"/>
  <c r="H784" i="2"/>
  <c r="H773" i="2"/>
  <c r="H770" i="2"/>
  <c r="H759" i="2"/>
  <c r="H383" i="2"/>
  <c r="H382" i="2"/>
  <c r="H381" i="2"/>
  <c r="H380" i="2"/>
  <c r="H390" i="2"/>
  <c r="H379" i="2"/>
  <c r="H389" i="2"/>
  <c r="H378" i="2"/>
  <c r="H388" i="2"/>
  <c r="H377" i="2"/>
  <c r="H387" i="2"/>
  <c r="H376" i="2"/>
  <c r="H386" i="2"/>
  <c r="H375" i="2"/>
  <c r="H385" i="2"/>
  <c r="H374" i="2"/>
  <c r="H371" i="2"/>
  <c r="H360" i="2"/>
  <c r="G650" i="2"/>
  <c r="G649" i="2"/>
  <c r="G648" i="2"/>
  <c r="G251" i="2"/>
  <c r="AD251" i="2" s="1"/>
  <c r="G250" i="2"/>
  <c r="G249" i="2"/>
  <c r="N249" i="2" s="1"/>
  <c r="B27" i="10"/>
  <c r="P27" i="10" s="1"/>
  <c r="K672" i="2" s="1"/>
  <c r="K1377" i="8"/>
  <c r="K1376" i="8"/>
  <c r="K1373" i="8"/>
  <c r="K1372" i="8"/>
  <c r="K1369" i="8"/>
  <c r="K1368" i="8"/>
  <c r="K1365" i="8"/>
  <c r="K1364" i="8"/>
  <c r="K1361" i="8"/>
  <c r="K1360" i="8"/>
  <c r="K1357" i="8"/>
  <c r="K1356" i="8"/>
  <c r="K1353" i="8"/>
  <c r="K1352" i="8"/>
  <c r="K1349" i="8"/>
  <c r="K1348" i="8"/>
  <c r="K1345" i="8"/>
  <c r="K1344" i="8"/>
  <c r="K1341" i="8"/>
  <c r="L1341" i="8"/>
  <c r="M1341" i="8"/>
  <c r="N1341" i="8"/>
  <c r="O1341" i="8"/>
  <c r="P1341" i="8"/>
  <c r="Q1341" i="8"/>
  <c r="R1341" i="8"/>
  <c r="S1341" i="8"/>
  <c r="T1341" i="8"/>
  <c r="U1341" i="8"/>
  <c r="V1341" i="8"/>
  <c r="W1341" i="8"/>
  <c r="X1341" i="8"/>
  <c r="Y1341" i="8"/>
  <c r="Z1341" i="8"/>
  <c r="AA1341" i="8"/>
  <c r="AB1341" i="8"/>
  <c r="AC1341" i="8"/>
  <c r="AD1341" i="8"/>
  <c r="AE1341" i="8"/>
  <c r="K1340" i="8"/>
  <c r="K1337" i="8"/>
  <c r="K1336" i="8"/>
  <c r="K1333" i="8"/>
  <c r="K1332" i="8"/>
  <c r="L1332" i="8"/>
  <c r="L1333" i="8" s="1"/>
  <c r="M1332" i="8"/>
  <c r="M1333" i="8" s="1"/>
  <c r="N1332" i="8"/>
  <c r="N1333" i="8" s="1"/>
  <c r="O1332" i="8"/>
  <c r="O1333" i="8" s="1"/>
  <c r="P1332" i="8"/>
  <c r="P1333" i="8" s="1"/>
  <c r="Q1332" i="8"/>
  <c r="Q1333" i="8" s="1"/>
  <c r="R1332" i="8"/>
  <c r="R1333" i="8" s="1"/>
  <c r="S1332" i="8"/>
  <c r="S1333" i="8" s="1"/>
  <c r="T1332" i="8"/>
  <c r="T1333" i="8" s="1"/>
  <c r="U1332" i="8"/>
  <c r="U1333" i="8" s="1"/>
  <c r="V1332" i="8"/>
  <c r="V1333" i="8" s="1"/>
  <c r="W1332" i="8"/>
  <c r="W1333" i="8" s="1"/>
  <c r="X1332" i="8"/>
  <c r="X1333" i="8" s="1"/>
  <c r="Y1332" i="8"/>
  <c r="Y1333" i="8" s="1"/>
  <c r="Z1332" i="8"/>
  <c r="Z1333" i="8" s="1"/>
  <c r="AA1332" i="8"/>
  <c r="AA1333" i="8" s="1"/>
  <c r="AB1332" i="8"/>
  <c r="AB1333" i="8" s="1"/>
  <c r="AC1332" i="8"/>
  <c r="AC1333" i="8" s="1"/>
  <c r="AD1332" i="8"/>
  <c r="AD1333" i="8" s="1"/>
  <c r="AE1332" i="8"/>
  <c r="AE1333" i="8" s="1"/>
  <c r="K1329" i="8"/>
  <c r="K1328" i="8"/>
  <c r="K1325" i="8"/>
  <c r="K1324" i="8"/>
  <c r="K1321" i="8"/>
  <c r="K1320" i="8"/>
  <c r="K1317" i="8"/>
  <c r="K1316" i="8"/>
  <c r="K1313" i="8"/>
  <c r="K1312" i="8"/>
  <c r="K1309" i="8"/>
  <c r="K1308" i="8"/>
  <c r="L1308" i="8"/>
  <c r="L1309" i="8" s="1"/>
  <c r="M1308" i="8"/>
  <c r="M1309" i="8" s="1"/>
  <c r="N1308" i="8"/>
  <c r="N1309" i="8" s="1"/>
  <c r="O1308" i="8"/>
  <c r="O1309" i="8" s="1"/>
  <c r="P1308" i="8"/>
  <c r="P1309" i="8" s="1"/>
  <c r="Q1308" i="8"/>
  <c r="Q1309" i="8" s="1"/>
  <c r="R1308" i="8"/>
  <c r="R1309" i="8" s="1"/>
  <c r="S1308" i="8"/>
  <c r="S1309" i="8" s="1"/>
  <c r="T1308" i="8"/>
  <c r="T1309" i="8" s="1"/>
  <c r="U1308" i="8"/>
  <c r="U1309" i="8" s="1"/>
  <c r="V1308" i="8"/>
  <c r="V1309" i="8" s="1"/>
  <c r="W1308" i="8"/>
  <c r="W1309" i="8" s="1"/>
  <c r="X1308" i="8"/>
  <c r="X1309" i="8" s="1"/>
  <c r="Y1308" i="8"/>
  <c r="Y1309" i="8" s="1"/>
  <c r="Z1308" i="8"/>
  <c r="Z1309" i="8" s="1"/>
  <c r="AA1308" i="8"/>
  <c r="AA1309" i="8" s="1"/>
  <c r="AB1308" i="8"/>
  <c r="AB1309" i="8" s="1"/>
  <c r="AC1308" i="8"/>
  <c r="AC1309" i="8" s="1"/>
  <c r="AD1308" i="8"/>
  <c r="AD1309" i="8" s="1"/>
  <c r="AE1308" i="8"/>
  <c r="AE1309" i="8" s="1"/>
  <c r="K1305" i="8"/>
  <c r="K1304" i="8"/>
  <c r="K1301" i="8"/>
  <c r="K1300" i="8"/>
  <c r="K1297" i="8"/>
  <c r="K1296" i="8"/>
  <c r="K1293" i="8"/>
  <c r="K1292" i="8"/>
  <c r="K1289" i="8"/>
  <c r="K1288" i="8"/>
  <c r="K1285" i="8"/>
  <c r="K1284" i="8"/>
  <c r="K1281" i="8"/>
  <c r="K1280" i="8"/>
  <c r="K1277" i="8"/>
  <c r="K1276" i="8"/>
  <c r="K1273" i="8"/>
  <c r="K1272" i="8"/>
  <c r="K1269" i="8"/>
  <c r="K1268" i="8"/>
  <c r="K1265" i="8"/>
  <c r="K1264" i="8"/>
  <c r="K1261" i="8"/>
  <c r="K1260" i="8"/>
  <c r="K1257" i="8"/>
  <c r="K1256" i="8"/>
  <c r="K1253" i="8"/>
  <c r="K1252" i="8"/>
  <c r="K1249" i="8"/>
  <c r="K1248" i="8"/>
  <c r="K1245" i="8"/>
  <c r="K1244" i="8"/>
  <c r="K1241" i="8"/>
  <c r="K1240" i="8"/>
  <c r="K1237" i="8"/>
  <c r="K1236" i="8"/>
  <c r="K1233" i="8"/>
  <c r="K1232" i="8"/>
  <c r="K1229" i="8"/>
  <c r="K1228" i="8"/>
  <c r="K1225" i="8"/>
  <c r="K1224" i="8"/>
  <c r="K1221" i="8"/>
  <c r="K1220" i="8"/>
  <c r="K1217" i="8"/>
  <c r="K1216" i="8"/>
  <c r="K1213" i="8"/>
  <c r="K1212" i="8"/>
  <c r="K1209" i="8"/>
  <c r="K1208" i="8"/>
  <c r="K1205" i="8"/>
  <c r="K1204" i="8"/>
  <c r="K1201" i="8"/>
  <c r="K1200" i="8"/>
  <c r="K1197" i="8"/>
  <c r="K1196" i="8"/>
  <c r="K1193" i="8"/>
  <c r="K1192" i="8"/>
  <c r="K1189" i="8"/>
  <c r="K1188" i="8"/>
  <c r="K1185" i="8"/>
  <c r="K1184" i="8"/>
  <c r="K1181" i="8"/>
  <c r="K1180" i="8"/>
  <c r="K1177" i="8"/>
  <c r="K1176" i="8"/>
  <c r="K1173" i="8"/>
  <c r="K1172" i="8"/>
  <c r="K1169" i="8"/>
  <c r="K1168" i="8"/>
  <c r="K1165" i="8"/>
  <c r="K1164" i="8"/>
  <c r="K1161" i="8"/>
  <c r="K1160" i="8"/>
  <c r="K1157" i="8"/>
  <c r="K1156" i="8"/>
  <c r="K1153" i="8"/>
  <c r="K1152" i="8"/>
  <c r="K1149" i="8"/>
  <c r="K1148" i="8"/>
  <c r="K1145" i="8"/>
  <c r="K1144" i="8"/>
  <c r="K1141" i="8"/>
  <c r="K1140" i="8"/>
  <c r="K1137" i="8"/>
  <c r="K1136" i="8"/>
  <c r="K1133" i="8"/>
  <c r="K1132" i="8"/>
  <c r="K1129" i="8"/>
  <c r="K1128" i="8"/>
  <c r="K1125" i="8"/>
  <c r="K1124" i="8"/>
  <c r="K1121" i="8"/>
  <c r="K1120" i="8"/>
  <c r="K1117" i="8"/>
  <c r="K1116" i="8"/>
  <c r="K1113" i="8"/>
  <c r="K1112" i="8"/>
  <c r="K1109" i="8"/>
  <c r="K1108" i="8"/>
  <c r="K1105" i="8"/>
  <c r="K1104" i="8"/>
  <c r="K1101" i="8"/>
  <c r="K1100" i="8"/>
  <c r="K1097" i="8"/>
  <c r="K1096" i="8"/>
  <c r="K1093" i="8"/>
  <c r="K1092" i="8"/>
  <c r="K1089" i="8"/>
  <c r="K1088" i="8"/>
  <c r="K1085" i="8"/>
  <c r="K1084" i="8"/>
  <c r="K1081" i="8"/>
  <c r="K1080" i="8"/>
  <c r="K1077" i="8"/>
  <c r="K1076" i="8"/>
  <c r="K1073" i="8"/>
  <c r="K1072" i="8"/>
  <c r="K1069" i="8"/>
  <c r="K1068" i="8"/>
  <c r="K1065" i="8"/>
  <c r="K1064" i="8"/>
  <c r="K1061" i="8"/>
  <c r="K1060" i="8"/>
  <c r="K1057" i="8"/>
  <c r="K1056" i="8"/>
  <c r="K1053" i="8"/>
  <c r="K1052" i="8"/>
  <c r="K1049" i="8"/>
  <c r="K1048" i="8"/>
  <c r="K1045" i="8"/>
  <c r="K1044" i="8"/>
  <c r="K1041" i="8"/>
  <c r="K1040" i="8"/>
  <c r="K1037" i="8"/>
  <c r="K1036" i="8"/>
  <c r="K1033" i="8"/>
  <c r="K1032" i="8"/>
  <c r="K1029" i="8"/>
  <c r="K1028" i="8"/>
  <c r="K1025" i="8"/>
  <c r="K1024" i="8"/>
  <c r="K1021" i="8"/>
  <c r="K1020" i="8"/>
  <c r="K1017" i="8"/>
  <c r="K1016" i="8"/>
  <c r="K1013" i="8"/>
  <c r="K1012" i="8"/>
  <c r="K1009" i="8"/>
  <c r="K1008" i="8"/>
  <c r="K1005" i="8"/>
  <c r="K1004" i="8"/>
  <c r="K1001" i="8"/>
  <c r="K1000" i="8"/>
  <c r="K997" i="8"/>
  <c r="K996" i="8"/>
  <c r="K993" i="8"/>
  <c r="K992" i="8"/>
  <c r="K989" i="8"/>
  <c r="K988" i="8"/>
  <c r="K985" i="8"/>
  <c r="K984" i="8"/>
  <c r="K981" i="8"/>
  <c r="K980" i="8"/>
  <c r="K977" i="8"/>
  <c r="K976" i="8"/>
  <c r="K973" i="8"/>
  <c r="K972" i="8"/>
  <c r="K969" i="8"/>
  <c r="K968" i="8"/>
  <c r="K965" i="8"/>
  <c r="K964" i="8"/>
  <c r="K961" i="8"/>
  <c r="K960" i="8"/>
  <c r="K957" i="8"/>
  <c r="K956" i="8"/>
  <c r="K953" i="8"/>
  <c r="K952" i="8"/>
  <c r="K949" i="8"/>
  <c r="K948" i="8"/>
  <c r="K945" i="8"/>
  <c r="L945" i="8"/>
  <c r="M945" i="8"/>
  <c r="N945" i="8"/>
  <c r="O945" i="8"/>
  <c r="P945" i="8"/>
  <c r="Q945" i="8"/>
  <c r="R945" i="8"/>
  <c r="S945" i="8"/>
  <c r="T945" i="8"/>
  <c r="U945" i="8"/>
  <c r="V945" i="8"/>
  <c r="W945" i="8"/>
  <c r="X945" i="8"/>
  <c r="Y945" i="8"/>
  <c r="Z945" i="8"/>
  <c r="AA945" i="8"/>
  <c r="AB945" i="8"/>
  <c r="AC945" i="8"/>
  <c r="AD945" i="8"/>
  <c r="AE945" i="8"/>
  <c r="K944" i="8"/>
  <c r="K941" i="8"/>
  <c r="K940" i="8"/>
  <c r="K937" i="8"/>
  <c r="K936" i="8"/>
  <c r="L936" i="8"/>
  <c r="L937" i="8" s="1"/>
  <c r="M936" i="8"/>
  <c r="M937" i="8" s="1"/>
  <c r="N936" i="8"/>
  <c r="N937" i="8" s="1"/>
  <c r="O936" i="8"/>
  <c r="O937" i="8" s="1"/>
  <c r="P936" i="8"/>
  <c r="P937" i="8" s="1"/>
  <c r="Q936" i="8"/>
  <c r="Q937" i="8" s="1"/>
  <c r="R936" i="8"/>
  <c r="R937" i="8" s="1"/>
  <c r="S936" i="8"/>
  <c r="S937" i="8" s="1"/>
  <c r="T936" i="8"/>
  <c r="T937" i="8" s="1"/>
  <c r="U936" i="8"/>
  <c r="U937" i="8" s="1"/>
  <c r="V936" i="8"/>
  <c r="V937" i="8" s="1"/>
  <c r="W936" i="8"/>
  <c r="W937" i="8" s="1"/>
  <c r="X936" i="8"/>
  <c r="X937" i="8" s="1"/>
  <c r="Y936" i="8"/>
  <c r="Y937" i="8" s="1"/>
  <c r="Z936" i="8"/>
  <c r="Z937" i="8" s="1"/>
  <c r="AA936" i="8"/>
  <c r="AA937" i="8" s="1"/>
  <c r="AB936" i="8"/>
  <c r="AB937" i="8" s="1"/>
  <c r="AC936" i="8"/>
  <c r="AC937" i="8" s="1"/>
  <c r="AD936" i="8"/>
  <c r="AD937" i="8" s="1"/>
  <c r="AE936" i="8"/>
  <c r="AE937" i="8" s="1"/>
  <c r="K933" i="8"/>
  <c r="K932" i="8"/>
  <c r="K929" i="8"/>
  <c r="K928" i="8"/>
  <c r="K925" i="8"/>
  <c r="K924" i="8"/>
  <c r="K921" i="8"/>
  <c r="K920" i="8"/>
  <c r="K917" i="8"/>
  <c r="K916" i="8"/>
  <c r="K913" i="8"/>
  <c r="K912" i="8"/>
  <c r="L912" i="8"/>
  <c r="L913" i="8" s="1"/>
  <c r="M912" i="8"/>
  <c r="M913" i="8" s="1"/>
  <c r="N912" i="8"/>
  <c r="N913" i="8" s="1"/>
  <c r="O912" i="8"/>
  <c r="O913" i="8" s="1"/>
  <c r="P912" i="8"/>
  <c r="P913" i="8" s="1"/>
  <c r="Q912" i="8"/>
  <c r="Q913" i="8" s="1"/>
  <c r="R912" i="8"/>
  <c r="R913" i="8" s="1"/>
  <c r="S912" i="8"/>
  <c r="S913" i="8" s="1"/>
  <c r="T912" i="8"/>
  <c r="T913" i="8" s="1"/>
  <c r="U912" i="8"/>
  <c r="U913" i="8" s="1"/>
  <c r="V912" i="8"/>
  <c r="V913" i="8" s="1"/>
  <c r="W912" i="8"/>
  <c r="W913" i="8" s="1"/>
  <c r="X912" i="8"/>
  <c r="X913" i="8" s="1"/>
  <c r="Y912" i="8"/>
  <c r="Y913" i="8" s="1"/>
  <c r="Z912" i="8"/>
  <c r="Z913" i="8" s="1"/>
  <c r="AA912" i="8"/>
  <c r="AA913" i="8" s="1"/>
  <c r="AB912" i="8"/>
  <c r="AB913" i="8" s="1"/>
  <c r="AC912" i="8"/>
  <c r="AC913" i="8" s="1"/>
  <c r="AD912" i="8"/>
  <c r="AD913" i="8" s="1"/>
  <c r="AE912" i="8"/>
  <c r="AE913" i="8" s="1"/>
  <c r="K909" i="8"/>
  <c r="K908" i="8"/>
  <c r="K905" i="8"/>
  <c r="K904" i="8"/>
  <c r="K901" i="8"/>
  <c r="K900" i="8"/>
  <c r="K897" i="8"/>
  <c r="K896" i="8"/>
  <c r="K893" i="8"/>
  <c r="K892" i="8"/>
  <c r="K889" i="8"/>
  <c r="K888" i="8"/>
  <c r="K885" i="8"/>
  <c r="K884" i="8"/>
  <c r="K881" i="8"/>
  <c r="K880" i="8"/>
  <c r="K877" i="8"/>
  <c r="K876" i="8"/>
  <c r="K873" i="8"/>
  <c r="K872" i="8"/>
  <c r="K869" i="8"/>
  <c r="K868" i="8"/>
  <c r="K865" i="8"/>
  <c r="K864" i="8"/>
  <c r="K861" i="8"/>
  <c r="K860" i="8"/>
  <c r="K857" i="8"/>
  <c r="K856" i="8"/>
  <c r="K853" i="8"/>
  <c r="K852" i="8"/>
  <c r="K849" i="8"/>
  <c r="K848" i="8"/>
  <c r="K845" i="8"/>
  <c r="K844" i="8"/>
  <c r="K841" i="8"/>
  <c r="K840" i="8"/>
  <c r="K837" i="8"/>
  <c r="K836" i="8"/>
  <c r="K833" i="8"/>
  <c r="K832" i="8"/>
  <c r="K829" i="8"/>
  <c r="K828" i="8"/>
  <c r="K825" i="8"/>
  <c r="K824" i="8"/>
  <c r="K821" i="8"/>
  <c r="K820" i="8"/>
  <c r="K817" i="8"/>
  <c r="K816" i="8"/>
  <c r="K813" i="8"/>
  <c r="K812" i="8"/>
  <c r="K809" i="8"/>
  <c r="K808" i="8"/>
  <c r="K805" i="8"/>
  <c r="K804" i="8"/>
  <c r="K801" i="8"/>
  <c r="K800" i="8"/>
  <c r="K797" i="8"/>
  <c r="K796" i="8"/>
  <c r="K793" i="8"/>
  <c r="K792" i="8"/>
  <c r="K789" i="8"/>
  <c r="K788" i="8"/>
  <c r="K785" i="8"/>
  <c r="K784" i="8"/>
  <c r="K781" i="8"/>
  <c r="K780" i="8"/>
  <c r="K777" i="8"/>
  <c r="K776" i="8"/>
  <c r="K773" i="8"/>
  <c r="K772" i="8"/>
  <c r="K769" i="8"/>
  <c r="K768" i="8"/>
  <c r="K765" i="8"/>
  <c r="K764" i="8"/>
  <c r="K761" i="8"/>
  <c r="K760" i="8"/>
  <c r="K757" i="8"/>
  <c r="K756" i="8"/>
  <c r="K753" i="8"/>
  <c r="K752" i="8"/>
  <c r="K749" i="8"/>
  <c r="K748" i="8"/>
  <c r="K745" i="8"/>
  <c r="K744" i="8"/>
  <c r="K741" i="8"/>
  <c r="K740" i="8"/>
  <c r="K737" i="8"/>
  <c r="K736" i="8"/>
  <c r="K733" i="8"/>
  <c r="K732" i="8"/>
  <c r="K729" i="8"/>
  <c r="K728" i="8"/>
  <c r="K725" i="8"/>
  <c r="K724" i="8"/>
  <c r="K721" i="8"/>
  <c r="K720" i="8"/>
  <c r="K717" i="8"/>
  <c r="K716" i="8"/>
  <c r="K713" i="8"/>
  <c r="K712" i="8"/>
  <c r="K709" i="8"/>
  <c r="K708" i="8"/>
  <c r="K705" i="8"/>
  <c r="K704" i="8"/>
  <c r="K701" i="8"/>
  <c r="K700" i="8"/>
  <c r="K697" i="8"/>
  <c r="K696" i="8"/>
  <c r="K693" i="8"/>
  <c r="K692" i="8"/>
  <c r="K689" i="8"/>
  <c r="K688" i="8"/>
  <c r="K685" i="8"/>
  <c r="K684" i="8"/>
  <c r="K681" i="8"/>
  <c r="K680" i="8"/>
  <c r="K677" i="8"/>
  <c r="K676" i="8"/>
  <c r="K673" i="8"/>
  <c r="K672" i="8"/>
  <c r="K669" i="8"/>
  <c r="K668" i="8"/>
  <c r="K665" i="8"/>
  <c r="K664" i="8"/>
  <c r="K661" i="8"/>
  <c r="K660" i="8"/>
  <c r="K657" i="8"/>
  <c r="K656" i="8"/>
  <c r="K653" i="8"/>
  <c r="K652" i="8"/>
  <c r="K649" i="8"/>
  <c r="K648" i="8"/>
  <c r="K645" i="8"/>
  <c r="K644" i="8"/>
  <c r="K641" i="8"/>
  <c r="K640" i="8"/>
  <c r="K637" i="8"/>
  <c r="K636" i="8"/>
  <c r="K633" i="8"/>
  <c r="K632" i="8"/>
  <c r="K629" i="8"/>
  <c r="K628" i="8"/>
  <c r="K625" i="8"/>
  <c r="K624" i="8"/>
  <c r="K621" i="8"/>
  <c r="K620" i="8"/>
  <c r="K617" i="8"/>
  <c r="K616" i="8"/>
  <c r="K613" i="8"/>
  <c r="K612" i="8"/>
  <c r="K609" i="8"/>
  <c r="K608" i="8"/>
  <c r="K605" i="8"/>
  <c r="K604" i="8"/>
  <c r="K601" i="8"/>
  <c r="K600" i="8"/>
  <c r="K597" i="8"/>
  <c r="K596" i="8"/>
  <c r="K593" i="8"/>
  <c r="K592" i="8"/>
  <c r="K589" i="8"/>
  <c r="K588" i="8"/>
  <c r="J644" i="2"/>
  <c r="G646" i="2"/>
  <c r="G647" i="2"/>
  <c r="F652" i="2"/>
  <c r="G703" i="2" s="1"/>
  <c r="F653" i="2"/>
  <c r="G700" i="2" s="1"/>
  <c r="F654" i="2"/>
  <c r="G705" i="2" s="1"/>
  <c r="F655" i="2"/>
  <c r="F656" i="2"/>
  <c r="G701" i="2" s="1"/>
  <c r="H663" i="2"/>
  <c r="I663" i="2"/>
  <c r="J663" i="2"/>
  <c r="K663" i="2"/>
  <c r="M663" i="2"/>
  <c r="O663" i="2"/>
  <c r="P663" i="2"/>
  <c r="S663" i="2"/>
  <c r="T663" i="2"/>
  <c r="U663" i="2"/>
  <c r="V663" i="2"/>
  <c r="W663" i="2"/>
  <c r="X663" i="2"/>
  <c r="Z663" i="2"/>
  <c r="O149" i="13" s="1"/>
  <c r="AC663" i="2"/>
  <c r="AD663" i="2"/>
  <c r="AE663" i="2"/>
  <c r="H664" i="2"/>
  <c r="I664" i="2"/>
  <c r="J664" i="2"/>
  <c r="K664" i="2"/>
  <c r="M664" i="2"/>
  <c r="O664" i="2"/>
  <c r="P664" i="2"/>
  <c r="S664" i="2"/>
  <c r="T664" i="2"/>
  <c r="U664" i="2"/>
  <c r="V664" i="2"/>
  <c r="W664" i="2"/>
  <c r="X664" i="2"/>
  <c r="Z664" i="2"/>
  <c r="AC664" i="2"/>
  <c r="AD664" i="2"/>
  <c r="AE664" i="2"/>
  <c r="H665" i="2"/>
  <c r="I665" i="2"/>
  <c r="J665" i="2"/>
  <c r="K665" i="2"/>
  <c r="M665" i="2"/>
  <c r="O665" i="2"/>
  <c r="P665" i="2"/>
  <c r="S665" i="2"/>
  <c r="T665" i="2"/>
  <c r="U665" i="2"/>
  <c r="V665" i="2"/>
  <c r="W665" i="2"/>
  <c r="X665" i="2"/>
  <c r="Z665" i="2"/>
  <c r="N151" i="13" s="1"/>
  <c r="AC665" i="2"/>
  <c r="AD665" i="2"/>
  <c r="AE665" i="2"/>
  <c r="H666" i="2"/>
  <c r="I666" i="2"/>
  <c r="J666" i="2"/>
  <c r="K666" i="2"/>
  <c r="M666" i="2"/>
  <c r="O666" i="2"/>
  <c r="P666" i="2"/>
  <c r="S666" i="2"/>
  <c r="T666" i="2"/>
  <c r="U666" i="2"/>
  <c r="V666" i="2"/>
  <c r="W666" i="2"/>
  <c r="X666" i="2"/>
  <c r="Z666" i="2"/>
  <c r="AC666" i="2"/>
  <c r="AD666" i="2"/>
  <c r="AE666" i="2"/>
  <c r="H667" i="2"/>
  <c r="I667" i="2"/>
  <c r="J667" i="2"/>
  <c r="K667" i="2"/>
  <c r="M667" i="2"/>
  <c r="O667" i="2"/>
  <c r="P667" i="2"/>
  <c r="S667" i="2"/>
  <c r="T667" i="2"/>
  <c r="U667" i="2"/>
  <c r="V667" i="2"/>
  <c r="W667" i="2"/>
  <c r="X667" i="2"/>
  <c r="Z667" i="2"/>
  <c r="AC667" i="2"/>
  <c r="AD667" i="2"/>
  <c r="AE667" i="2"/>
  <c r="H668" i="2"/>
  <c r="I668" i="2"/>
  <c r="J668" i="2"/>
  <c r="K668" i="2"/>
  <c r="M668" i="2"/>
  <c r="O668" i="2"/>
  <c r="P668" i="2"/>
  <c r="S668" i="2"/>
  <c r="T668" i="2"/>
  <c r="U668" i="2"/>
  <c r="V668" i="2"/>
  <c r="W668" i="2"/>
  <c r="X668" i="2"/>
  <c r="Z668" i="2"/>
  <c r="V154" i="13" s="1"/>
  <c r="AC668" i="2"/>
  <c r="AD668" i="2"/>
  <c r="AE668" i="2"/>
  <c r="H669" i="2"/>
  <c r="I669" i="2"/>
  <c r="J669" i="2"/>
  <c r="K669" i="2"/>
  <c r="M669" i="2"/>
  <c r="O669" i="2"/>
  <c r="P669" i="2"/>
  <c r="S669" i="2"/>
  <c r="T669" i="2"/>
  <c r="U669" i="2"/>
  <c r="V669" i="2"/>
  <c r="W669" i="2"/>
  <c r="X669" i="2"/>
  <c r="Z669" i="2"/>
  <c r="AC669" i="2"/>
  <c r="AD669" i="2"/>
  <c r="AE669" i="2"/>
  <c r="H670" i="2"/>
  <c r="I670" i="2"/>
  <c r="J670" i="2"/>
  <c r="K670" i="2"/>
  <c r="M670" i="2"/>
  <c r="O670" i="2"/>
  <c r="P670" i="2"/>
  <c r="S670" i="2"/>
  <c r="T670" i="2"/>
  <c r="U670" i="2"/>
  <c r="V670" i="2"/>
  <c r="W670" i="2"/>
  <c r="X670" i="2"/>
  <c r="Z670" i="2"/>
  <c r="AC670" i="2"/>
  <c r="AD670" i="2"/>
  <c r="AE670" i="2"/>
  <c r="N675" i="2"/>
  <c r="N676" i="2"/>
  <c r="N996" i="8" s="1"/>
  <c r="N997" i="8" s="1"/>
  <c r="N677" i="2"/>
  <c r="N678" i="2"/>
  <c r="N1004" i="8" s="1"/>
  <c r="N1005" i="8" s="1"/>
  <c r="N679" i="2"/>
  <c r="O679" i="2" s="1"/>
  <c r="N680" i="2"/>
  <c r="O680" i="2" s="1"/>
  <c r="N681" i="2"/>
  <c r="N1016" i="8" s="1"/>
  <c r="N1017" i="8" s="1"/>
  <c r="N682" i="2"/>
  <c r="O682" i="2" s="1"/>
  <c r="P682" i="2" s="1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L687" i="2"/>
  <c r="M687" i="2"/>
  <c r="N687" i="2"/>
  <c r="O687" i="2"/>
  <c r="P687" i="2"/>
  <c r="Q687" i="2"/>
  <c r="R687" i="2"/>
  <c r="S687" i="2"/>
  <c r="T687" i="2"/>
  <c r="U687" i="2"/>
  <c r="V687" i="2"/>
  <c r="W687" i="2"/>
  <c r="X687" i="2"/>
  <c r="Y687" i="2"/>
  <c r="Z687" i="2"/>
  <c r="AA687" i="2"/>
  <c r="AB687" i="2"/>
  <c r="AB1024" i="8" s="1"/>
  <c r="AB1025" i="8" s="1"/>
  <c r="AC687" i="2"/>
  <c r="AD687" i="2"/>
  <c r="AE687" i="2"/>
  <c r="L688" i="2"/>
  <c r="M688" i="2"/>
  <c r="N688" i="2"/>
  <c r="O688" i="2"/>
  <c r="P688" i="2"/>
  <c r="Q688" i="2"/>
  <c r="R688" i="2"/>
  <c r="S688" i="2"/>
  <c r="T688" i="2"/>
  <c r="U688" i="2"/>
  <c r="V688" i="2"/>
  <c r="W688" i="2"/>
  <c r="X688" i="2"/>
  <c r="Y688" i="2"/>
  <c r="Z688" i="2"/>
  <c r="AA688" i="2"/>
  <c r="AB688" i="2"/>
  <c r="AC688" i="2"/>
  <c r="AD688" i="2"/>
  <c r="AE688" i="2"/>
  <c r="L689" i="2"/>
  <c r="M689" i="2"/>
  <c r="N689" i="2"/>
  <c r="O689" i="2"/>
  <c r="P689" i="2"/>
  <c r="Q689" i="2"/>
  <c r="R689" i="2"/>
  <c r="S689" i="2"/>
  <c r="T689" i="2"/>
  <c r="U689" i="2"/>
  <c r="V689" i="2"/>
  <c r="W689" i="2"/>
  <c r="W1032" i="8" s="1"/>
  <c r="W1033" i="8" s="1"/>
  <c r="X689" i="2"/>
  <c r="X1032" i="8" s="1"/>
  <c r="X1033" i="8" s="1"/>
  <c r="Y689" i="2"/>
  <c r="Z689" i="2"/>
  <c r="AA689" i="2"/>
  <c r="AB689" i="2"/>
  <c r="AC689" i="2"/>
  <c r="AD689" i="2"/>
  <c r="AE689" i="2"/>
  <c r="L690" i="2"/>
  <c r="M690" i="2"/>
  <c r="N690" i="2"/>
  <c r="O690" i="2"/>
  <c r="P690" i="2"/>
  <c r="Q690" i="2"/>
  <c r="R690" i="2"/>
  <c r="S690" i="2"/>
  <c r="T690" i="2"/>
  <c r="U690" i="2"/>
  <c r="U1036" i="8" s="1"/>
  <c r="U1037" i="8" s="1"/>
  <c r="V690" i="2"/>
  <c r="W690" i="2"/>
  <c r="X690" i="2"/>
  <c r="Y690" i="2"/>
  <c r="Z690" i="2"/>
  <c r="AA690" i="2"/>
  <c r="AB690" i="2"/>
  <c r="AC690" i="2"/>
  <c r="AD690" i="2"/>
  <c r="AE690" i="2"/>
  <c r="L691" i="2"/>
  <c r="M691" i="2"/>
  <c r="N691" i="2"/>
  <c r="O691" i="2"/>
  <c r="P691" i="2"/>
  <c r="Q691" i="2"/>
  <c r="R691" i="2"/>
  <c r="S691" i="2"/>
  <c r="T691" i="2"/>
  <c r="U691" i="2"/>
  <c r="V691" i="2"/>
  <c r="W691" i="2"/>
  <c r="X691" i="2"/>
  <c r="Y691" i="2"/>
  <c r="Z691" i="2"/>
  <c r="AA691" i="2"/>
  <c r="AB691" i="2"/>
  <c r="AC691" i="2"/>
  <c r="AD691" i="2"/>
  <c r="AE691" i="2"/>
  <c r="L692" i="2"/>
  <c r="M692" i="2"/>
  <c r="N692" i="2"/>
  <c r="O692" i="2"/>
  <c r="P692" i="2"/>
  <c r="Q692" i="2"/>
  <c r="R692" i="2"/>
  <c r="S692" i="2"/>
  <c r="T692" i="2"/>
  <c r="U692" i="2"/>
  <c r="V692" i="2"/>
  <c r="W692" i="2"/>
  <c r="X692" i="2"/>
  <c r="Y692" i="2"/>
  <c r="Z692" i="2"/>
  <c r="AA692" i="2"/>
  <c r="AB692" i="2"/>
  <c r="AC692" i="2"/>
  <c r="AD692" i="2"/>
  <c r="AE692" i="2"/>
  <c r="L693" i="2"/>
  <c r="M693" i="2"/>
  <c r="N693" i="2"/>
  <c r="O693" i="2"/>
  <c r="P693" i="2"/>
  <c r="Q693" i="2"/>
  <c r="R693" i="2"/>
  <c r="S693" i="2"/>
  <c r="T693" i="2"/>
  <c r="U693" i="2"/>
  <c r="V693" i="2"/>
  <c r="W693" i="2"/>
  <c r="W1048" i="8" s="1"/>
  <c r="W1049" i="8" s="1"/>
  <c r="X693" i="2"/>
  <c r="Y693" i="2"/>
  <c r="Z693" i="2"/>
  <c r="Z1048" i="8" s="1"/>
  <c r="Z1049" i="8" s="1"/>
  <c r="AA693" i="2"/>
  <c r="AB693" i="2"/>
  <c r="AB1048" i="8" s="1"/>
  <c r="AB1049" i="8" s="1"/>
  <c r="AC693" i="2"/>
  <c r="AD693" i="2"/>
  <c r="AE693" i="2"/>
  <c r="L694" i="2"/>
  <c r="M694" i="2"/>
  <c r="N694" i="2"/>
  <c r="O694" i="2"/>
  <c r="P694" i="2"/>
  <c r="Q694" i="2"/>
  <c r="R694" i="2"/>
  <c r="S694" i="2"/>
  <c r="T694" i="2"/>
  <c r="U694" i="2"/>
  <c r="V694" i="2"/>
  <c r="W694" i="2"/>
  <c r="X694" i="2"/>
  <c r="Y694" i="2"/>
  <c r="Z694" i="2"/>
  <c r="AA694" i="2"/>
  <c r="AB694" i="2"/>
  <c r="AC694" i="2"/>
  <c r="AD694" i="2"/>
  <c r="AE694" i="2"/>
  <c r="L739" i="2"/>
  <c r="L728" i="2" s="1"/>
  <c r="M739" i="2"/>
  <c r="M728" i="2" s="1"/>
  <c r="N739" i="2"/>
  <c r="N728" i="2" s="1"/>
  <c r="O739" i="2"/>
  <c r="O645" i="2" s="1"/>
  <c r="O697" i="2" s="1"/>
  <c r="O750" i="2" s="1"/>
  <c r="P739" i="2"/>
  <c r="P728" i="2" s="1"/>
  <c r="Q739" i="2"/>
  <c r="Q728" i="2" s="1"/>
  <c r="R739" i="2"/>
  <c r="R645" i="2" s="1"/>
  <c r="R697" i="2" s="1"/>
  <c r="R708" i="2" s="1"/>
  <c r="R761" i="2" s="1"/>
  <c r="R790" i="2" s="1"/>
  <c r="S739" i="2"/>
  <c r="T739" i="2"/>
  <c r="T645" i="2" s="1"/>
  <c r="T697" i="2" s="1"/>
  <c r="T708" i="2" s="1"/>
  <c r="U739" i="2"/>
  <c r="U645" i="2" s="1"/>
  <c r="U697" i="2" s="1"/>
  <c r="U708" i="2" s="1"/>
  <c r="V739" i="2"/>
  <c r="V645" i="2" s="1"/>
  <c r="V697" i="2" s="1"/>
  <c r="W739" i="2"/>
  <c r="W645" i="2" s="1"/>
  <c r="W697" i="2" s="1"/>
  <c r="W708" i="2" s="1"/>
  <c r="W718" i="2" s="1"/>
  <c r="X739" i="2"/>
  <c r="Y739" i="2"/>
  <c r="Y645" i="2" s="1"/>
  <c r="Y697" i="2" s="1"/>
  <c r="Z739" i="2"/>
  <c r="AA739" i="2"/>
  <c r="AA645" i="2" s="1"/>
  <c r="AA697" i="2" s="1"/>
  <c r="AB739" i="2"/>
  <c r="AB645" i="2" s="1"/>
  <c r="AB697" i="2" s="1"/>
  <c r="AC739" i="2"/>
  <c r="AC645" i="2" s="1"/>
  <c r="AC697" i="2" s="1"/>
  <c r="AD739" i="2"/>
  <c r="AD728" i="2" s="1"/>
  <c r="AE739" i="2"/>
  <c r="AE728" i="2" s="1"/>
  <c r="E751" i="2"/>
  <c r="F751" i="2"/>
  <c r="E752" i="2"/>
  <c r="F752" i="2"/>
  <c r="E753" i="2"/>
  <c r="F753" i="2"/>
  <c r="E754" i="2"/>
  <c r="F754" i="2"/>
  <c r="E755" i="2"/>
  <c r="F755" i="2"/>
  <c r="E756" i="2"/>
  <c r="F756" i="2"/>
  <c r="E757" i="2"/>
  <c r="F757" i="2"/>
  <c r="E758" i="2"/>
  <c r="F758" i="2"/>
  <c r="E762" i="2"/>
  <c r="F762" i="2"/>
  <c r="E763" i="2"/>
  <c r="F763" i="2"/>
  <c r="E764" i="2"/>
  <c r="F764" i="2"/>
  <c r="E765" i="2"/>
  <c r="F765" i="2"/>
  <c r="E766" i="2"/>
  <c r="F766" i="2"/>
  <c r="E767" i="2"/>
  <c r="F767" i="2"/>
  <c r="E768" i="2"/>
  <c r="F768" i="2"/>
  <c r="E769" i="2"/>
  <c r="F769" i="2"/>
  <c r="H799" i="2"/>
  <c r="J245" i="2"/>
  <c r="G247" i="2"/>
  <c r="L247" i="2" s="1"/>
  <c r="L588" i="8" s="1"/>
  <c r="L589" i="8" s="1"/>
  <c r="G248" i="2"/>
  <c r="L248" i="2" s="1"/>
  <c r="L592" i="8" s="1"/>
  <c r="L593" i="8" s="1"/>
  <c r="F253" i="2"/>
  <c r="G305" i="2" s="1"/>
  <c r="F254" i="2"/>
  <c r="G299" i="2" s="1"/>
  <c r="F255" i="2"/>
  <c r="G306" i="2" s="1"/>
  <c r="F256" i="2"/>
  <c r="F257" i="2"/>
  <c r="G302" i="2" s="1"/>
  <c r="H264" i="2"/>
  <c r="I264" i="2"/>
  <c r="J264" i="2"/>
  <c r="K264" i="2"/>
  <c r="M264" i="2"/>
  <c r="O264" i="2"/>
  <c r="P264" i="2"/>
  <c r="S264" i="2"/>
  <c r="T264" i="2"/>
  <c r="U264" i="2"/>
  <c r="V264" i="2"/>
  <c r="W264" i="2"/>
  <c r="X264" i="2"/>
  <c r="Z264" i="2"/>
  <c r="X10" i="13" s="1"/>
  <c r="AC264" i="2"/>
  <c r="AD264" i="2"/>
  <c r="AE264" i="2"/>
  <c r="H265" i="2"/>
  <c r="I265" i="2"/>
  <c r="J265" i="2"/>
  <c r="K265" i="2"/>
  <c r="M265" i="2"/>
  <c r="O265" i="2"/>
  <c r="P265" i="2"/>
  <c r="S265" i="2"/>
  <c r="T265" i="2"/>
  <c r="U265" i="2"/>
  <c r="V265" i="2"/>
  <c r="W265" i="2"/>
  <c r="X265" i="2"/>
  <c r="Z265" i="2"/>
  <c r="AA11" i="13" s="1"/>
  <c r="AC265" i="2"/>
  <c r="AD265" i="2"/>
  <c r="AE265" i="2"/>
  <c r="H266" i="2"/>
  <c r="I266" i="2"/>
  <c r="J266" i="2"/>
  <c r="K266" i="2"/>
  <c r="M266" i="2"/>
  <c r="O266" i="2"/>
  <c r="P266" i="2"/>
  <c r="S266" i="2"/>
  <c r="T266" i="2"/>
  <c r="U266" i="2"/>
  <c r="V266" i="2"/>
  <c r="W266" i="2"/>
  <c r="X266" i="2"/>
  <c r="Z266" i="2"/>
  <c r="AC266" i="2"/>
  <c r="AD266" i="2"/>
  <c r="AE266" i="2"/>
  <c r="H267" i="2"/>
  <c r="I267" i="2"/>
  <c r="J267" i="2"/>
  <c r="K267" i="2"/>
  <c r="M267" i="2"/>
  <c r="O267" i="2"/>
  <c r="P267" i="2"/>
  <c r="S267" i="2"/>
  <c r="T267" i="2"/>
  <c r="U267" i="2"/>
  <c r="V267" i="2"/>
  <c r="W267" i="2"/>
  <c r="X267" i="2"/>
  <c r="Z267" i="2"/>
  <c r="N13" i="13" s="1"/>
  <c r="AC267" i="2"/>
  <c r="AD267" i="2"/>
  <c r="AE267" i="2"/>
  <c r="H268" i="2"/>
  <c r="I268" i="2"/>
  <c r="J268" i="2"/>
  <c r="K268" i="2"/>
  <c r="M268" i="2"/>
  <c r="O268" i="2"/>
  <c r="P268" i="2"/>
  <c r="S268" i="2"/>
  <c r="T268" i="2"/>
  <c r="U268" i="2"/>
  <c r="V268" i="2"/>
  <c r="W268" i="2"/>
  <c r="X268" i="2"/>
  <c r="Z268" i="2"/>
  <c r="AC268" i="2"/>
  <c r="AD268" i="2"/>
  <c r="AE268" i="2"/>
  <c r="H269" i="2"/>
  <c r="I269" i="2"/>
  <c r="J269" i="2"/>
  <c r="K269" i="2"/>
  <c r="M269" i="2"/>
  <c r="O269" i="2"/>
  <c r="P269" i="2"/>
  <c r="S269" i="2"/>
  <c r="T269" i="2"/>
  <c r="U269" i="2"/>
  <c r="V269" i="2"/>
  <c r="W269" i="2"/>
  <c r="X269" i="2"/>
  <c r="Z269" i="2"/>
  <c r="P15" i="13" s="1"/>
  <c r="AC269" i="2"/>
  <c r="AD269" i="2"/>
  <c r="AE269" i="2"/>
  <c r="H270" i="2"/>
  <c r="I270" i="2"/>
  <c r="J270" i="2"/>
  <c r="K270" i="2"/>
  <c r="M270" i="2"/>
  <c r="O270" i="2"/>
  <c r="P270" i="2"/>
  <c r="S270" i="2"/>
  <c r="T270" i="2"/>
  <c r="U270" i="2"/>
  <c r="V270" i="2"/>
  <c r="W270" i="2"/>
  <c r="X270" i="2"/>
  <c r="Z270" i="2"/>
  <c r="AC270" i="2"/>
  <c r="AD270" i="2"/>
  <c r="AE270" i="2"/>
  <c r="H271" i="2"/>
  <c r="I271" i="2"/>
  <c r="J271" i="2"/>
  <c r="K271" i="2"/>
  <c r="M271" i="2"/>
  <c r="O271" i="2"/>
  <c r="P271" i="2"/>
  <c r="S271" i="2"/>
  <c r="T271" i="2"/>
  <c r="U271" i="2"/>
  <c r="V271" i="2"/>
  <c r="W271" i="2"/>
  <c r="X271" i="2"/>
  <c r="Z271" i="2"/>
  <c r="N17" i="13" s="1"/>
  <c r="AC271" i="2"/>
  <c r="AD271" i="2"/>
  <c r="AE271" i="2"/>
  <c r="N276" i="2"/>
  <c r="N277" i="2"/>
  <c r="M277" i="2" s="1"/>
  <c r="N278" i="2"/>
  <c r="O278" i="2" s="1"/>
  <c r="N279" i="2"/>
  <c r="N280" i="2"/>
  <c r="N612" i="8" s="1"/>
  <c r="N613" i="8" s="1"/>
  <c r="N281" i="2"/>
  <c r="O281" i="2" s="1"/>
  <c r="P281" i="2" s="1"/>
  <c r="Q281" i="2" s="1"/>
  <c r="N282" i="2"/>
  <c r="M282" i="2" s="1"/>
  <c r="N283" i="2"/>
  <c r="O283" i="2" s="1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L288" i="2"/>
  <c r="M288" i="2"/>
  <c r="N288" i="2"/>
  <c r="O288" i="2"/>
  <c r="P288" i="2"/>
  <c r="Q288" i="2"/>
  <c r="R288" i="2"/>
  <c r="S288" i="2"/>
  <c r="T288" i="2"/>
  <c r="U288" i="2"/>
  <c r="U628" i="8" s="1"/>
  <c r="U629" i="8" s="1"/>
  <c r="V288" i="2"/>
  <c r="W288" i="2"/>
  <c r="W628" i="8" s="1"/>
  <c r="W629" i="8" s="1"/>
  <c r="X288" i="2"/>
  <c r="X628" i="8" s="1"/>
  <c r="X629" i="8" s="1"/>
  <c r="Y288" i="2"/>
  <c r="Z288" i="2"/>
  <c r="AA288" i="2"/>
  <c r="AB288" i="2"/>
  <c r="AC288" i="2"/>
  <c r="AD288" i="2"/>
  <c r="AE288" i="2"/>
  <c r="L289" i="2"/>
  <c r="M289" i="2"/>
  <c r="N289" i="2"/>
  <c r="N632" i="8" s="1"/>
  <c r="N633" i="8" s="1"/>
  <c r="O289" i="2"/>
  <c r="P289" i="2"/>
  <c r="P632" i="8" s="1"/>
  <c r="P633" i="8" s="1"/>
  <c r="Q289" i="2"/>
  <c r="Q632" i="8" s="1"/>
  <c r="Q633" i="8" s="1"/>
  <c r="R289" i="2"/>
  <c r="S289" i="2"/>
  <c r="T289" i="2"/>
  <c r="U289" i="2"/>
  <c r="V289" i="2"/>
  <c r="W289" i="2"/>
  <c r="X289" i="2"/>
  <c r="Y289" i="2"/>
  <c r="Z289" i="2"/>
  <c r="AA289" i="2"/>
  <c r="AB289" i="2"/>
  <c r="AB632" i="8" s="1"/>
  <c r="AB633" i="8" s="1"/>
  <c r="AC289" i="2"/>
  <c r="AD289" i="2"/>
  <c r="AD632" i="8" s="1"/>
  <c r="AD633" i="8" s="1"/>
  <c r="AE289" i="2"/>
  <c r="AE632" i="8" s="1"/>
  <c r="AE633" i="8" s="1"/>
  <c r="L290" i="2"/>
  <c r="M290" i="2"/>
  <c r="N290" i="2"/>
  <c r="O290" i="2"/>
  <c r="P290" i="2"/>
  <c r="Q290" i="2"/>
  <c r="R290" i="2"/>
  <c r="S290" i="2"/>
  <c r="T290" i="2"/>
  <c r="U290" i="2"/>
  <c r="U636" i="8" s="1"/>
  <c r="U637" i="8" s="1"/>
  <c r="V290" i="2"/>
  <c r="W290" i="2"/>
  <c r="W636" i="8" s="1"/>
  <c r="W637" i="8" s="1"/>
  <c r="X290" i="2"/>
  <c r="X636" i="8" s="1"/>
  <c r="X637" i="8" s="1"/>
  <c r="Y290" i="2"/>
  <c r="Z290" i="2"/>
  <c r="AA290" i="2"/>
  <c r="AB290" i="2"/>
  <c r="AC290" i="2"/>
  <c r="AD290" i="2"/>
  <c r="AE290" i="2"/>
  <c r="L291" i="2"/>
  <c r="M291" i="2"/>
  <c r="N291" i="2"/>
  <c r="N640" i="8" s="1"/>
  <c r="N641" i="8" s="1"/>
  <c r="O291" i="2"/>
  <c r="P291" i="2"/>
  <c r="P640" i="8" s="1"/>
  <c r="P641" i="8" s="1"/>
  <c r="Q291" i="2"/>
  <c r="Q640" i="8" s="1"/>
  <c r="Q641" i="8" s="1"/>
  <c r="R291" i="2"/>
  <c r="S291" i="2"/>
  <c r="T291" i="2"/>
  <c r="U291" i="2"/>
  <c r="V291" i="2"/>
  <c r="W291" i="2"/>
  <c r="X291" i="2"/>
  <c r="Y291" i="2"/>
  <c r="Z291" i="2"/>
  <c r="AA291" i="2"/>
  <c r="AB291" i="2"/>
  <c r="AB640" i="8" s="1"/>
  <c r="AB641" i="8" s="1"/>
  <c r="AC291" i="2"/>
  <c r="AD291" i="2"/>
  <c r="AD640" i="8" s="1"/>
  <c r="AD641" i="8" s="1"/>
  <c r="AE291" i="2"/>
  <c r="AE640" i="8" s="1"/>
  <c r="AE641" i="8" s="1"/>
  <c r="L292" i="2"/>
  <c r="M292" i="2"/>
  <c r="N292" i="2"/>
  <c r="O292" i="2"/>
  <c r="O644" i="8" s="1"/>
  <c r="O645" i="8" s="1"/>
  <c r="P292" i="2"/>
  <c r="Q292" i="2"/>
  <c r="Q644" i="8" s="1"/>
  <c r="Q645" i="8" s="1"/>
  <c r="R292" i="2"/>
  <c r="R644" i="8" s="1"/>
  <c r="R645" i="8" s="1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L293" i="2"/>
  <c r="L648" i="8" s="1"/>
  <c r="L649" i="8" s="1"/>
  <c r="M293" i="2"/>
  <c r="M648" i="8" s="1"/>
  <c r="M649" i="8" s="1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E652" i="8" s="1"/>
  <c r="AE653" i="8" s="1"/>
  <c r="L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Z656" i="8" s="1"/>
  <c r="Z657" i="8" s="1"/>
  <c r="AA295" i="2"/>
  <c r="AB295" i="2"/>
  <c r="AB656" i="8" s="1"/>
  <c r="AB657" i="8" s="1"/>
  <c r="AC295" i="2"/>
  <c r="AD295" i="2"/>
  <c r="AE295" i="2"/>
  <c r="L340" i="2"/>
  <c r="L246" i="2" s="1"/>
  <c r="L298" i="2" s="1"/>
  <c r="M340" i="2"/>
  <c r="M246" i="2" s="1"/>
  <c r="M298" i="2" s="1"/>
  <c r="N340" i="2"/>
  <c r="N246" i="2" s="1"/>
  <c r="N298" i="2" s="1"/>
  <c r="O340" i="2"/>
  <c r="P340" i="2"/>
  <c r="Q340" i="2"/>
  <c r="Q329" i="2" s="1"/>
  <c r="R340" i="2"/>
  <c r="R329" i="2" s="1"/>
  <c r="S340" i="2"/>
  <c r="S329" i="2" s="1"/>
  <c r="T340" i="2"/>
  <c r="T329" i="2" s="1"/>
  <c r="U340" i="2"/>
  <c r="U246" i="2" s="1"/>
  <c r="U298" i="2" s="1"/>
  <c r="U351" i="2" s="1"/>
  <c r="V340" i="2"/>
  <c r="V246" i="2" s="1"/>
  <c r="V298" i="2" s="1"/>
  <c r="V309" i="2" s="1"/>
  <c r="W340" i="2"/>
  <c r="W246" i="2" s="1"/>
  <c r="W298" i="2" s="1"/>
  <c r="W309" i="2" s="1"/>
  <c r="X340" i="2"/>
  <c r="X246" i="2" s="1"/>
  <c r="X298" i="2" s="1"/>
  <c r="X309" i="2" s="1"/>
  <c r="Y340" i="2"/>
  <c r="Y329" i="2" s="1"/>
  <c r="Z340" i="2"/>
  <c r="Z246" i="2" s="1"/>
  <c r="Z298" i="2" s="1"/>
  <c r="Z309" i="2" s="1"/>
  <c r="Z362" i="2" s="1"/>
  <c r="Z391" i="2" s="1"/>
  <c r="AA340" i="2"/>
  <c r="AA246" i="2" s="1"/>
  <c r="AA298" i="2" s="1"/>
  <c r="AA351" i="2" s="1"/>
  <c r="AB340" i="2"/>
  <c r="AB246" i="2" s="1"/>
  <c r="AB298" i="2" s="1"/>
  <c r="AC340" i="2"/>
  <c r="AD340" i="2"/>
  <c r="AD246" i="2" s="1"/>
  <c r="AD298" i="2" s="1"/>
  <c r="AE340" i="2"/>
  <c r="AE329" i="2" s="1"/>
  <c r="E352" i="2"/>
  <c r="U47" i="14" s="1"/>
  <c r="F352" i="2"/>
  <c r="E353" i="2"/>
  <c r="O48" i="14" s="1"/>
  <c r="F353" i="2"/>
  <c r="E354" i="2"/>
  <c r="U49" i="14" s="1"/>
  <c r="F354" i="2"/>
  <c r="E355" i="2"/>
  <c r="N50" i="14" s="1"/>
  <c r="F355" i="2"/>
  <c r="E356" i="2"/>
  <c r="F356" i="2"/>
  <c r="E357" i="2"/>
  <c r="F357" i="2"/>
  <c r="E358" i="2"/>
  <c r="U53" i="14" s="1"/>
  <c r="F358" i="2"/>
  <c r="E359" i="2"/>
  <c r="N54" i="14" s="1"/>
  <c r="F359" i="2"/>
  <c r="E363" i="2"/>
  <c r="U57" i="14" s="1"/>
  <c r="F363" i="2"/>
  <c r="E364" i="2"/>
  <c r="N58" i="14" s="1"/>
  <c r="F364" i="2"/>
  <c r="E365" i="2"/>
  <c r="U59" i="14" s="1"/>
  <c r="F365" i="2"/>
  <c r="E366" i="2"/>
  <c r="F366" i="2"/>
  <c r="E367" i="2"/>
  <c r="F367" i="2"/>
  <c r="E368" i="2"/>
  <c r="Z62" i="14" s="1"/>
  <c r="F368" i="2"/>
  <c r="E369" i="2"/>
  <c r="O63" i="14" s="1"/>
  <c r="F369" i="2"/>
  <c r="E370" i="2"/>
  <c r="T64" i="14" s="1"/>
  <c r="F370" i="2"/>
  <c r="H400" i="2"/>
  <c r="F120" i="3"/>
  <c r="G655" i="2" s="1"/>
  <c r="Y37" i="9"/>
  <c r="Y670" i="2" s="1"/>
  <c r="L37" i="9"/>
  <c r="N37" i="9" s="1"/>
  <c r="Y36" i="9"/>
  <c r="L36" i="9"/>
  <c r="N36" i="9" s="1"/>
  <c r="R36" i="9" s="1"/>
  <c r="Y35" i="9"/>
  <c r="Y668" i="2" s="1"/>
  <c r="L35" i="9"/>
  <c r="N35" i="9" s="1"/>
  <c r="N269" i="2" s="1"/>
  <c r="Y34" i="9"/>
  <c r="L34" i="9"/>
  <c r="N34" i="9" s="1"/>
  <c r="Y33" i="9"/>
  <c r="L33" i="9"/>
  <c r="N33" i="9" s="1"/>
  <c r="Y32" i="9"/>
  <c r="Y665" i="2" s="1"/>
  <c r="L32" i="9"/>
  <c r="N32" i="9" s="1"/>
  <c r="Q32" i="9" s="1"/>
  <c r="Y31" i="9"/>
  <c r="Y664" i="2" s="1"/>
  <c r="L31" i="9"/>
  <c r="N31" i="9" s="1"/>
  <c r="Y30" i="9"/>
  <c r="L30" i="9"/>
  <c r="N30" i="9" s="1"/>
  <c r="K580" i="8"/>
  <c r="K576" i="8"/>
  <c r="K572" i="8"/>
  <c r="K568" i="8"/>
  <c r="K564" i="8"/>
  <c r="K560" i="8"/>
  <c r="K556" i="8"/>
  <c r="K552" i="8"/>
  <c r="K548" i="8"/>
  <c r="K544" i="8"/>
  <c r="K540" i="8"/>
  <c r="K536" i="8"/>
  <c r="K532" i="8"/>
  <c r="K528" i="8"/>
  <c r="K524" i="8"/>
  <c r="K520" i="8"/>
  <c r="K516" i="8"/>
  <c r="K512" i="8"/>
  <c r="K508" i="8"/>
  <c r="K504" i="8"/>
  <c r="K500" i="8"/>
  <c r="K496" i="8"/>
  <c r="K492" i="8"/>
  <c r="K488" i="8"/>
  <c r="K484" i="8"/>
  <c r="K480" i="8"/>
  <c r="K476" i="8"/>
  <c r="K472" i="8"/>
  <c r="K468" i="8"/>
  <c r="K464" i="8"/>
  <c r="K460" i="8"/>
  <c r="K456" i="8"/>
  <c r="K452" i="8"/>
  <c r="K448" i="8"/>
  <c r="K444" i="8"/>
  <c r="K440" i="8"/>
  <c r="K436" i="8"/>
  <c r="K432" i="8"/>
  <c r="K428" i="8"/>
  <c r="K424" i="8"/>
  <c r="K420" i="8"/>
  <c r="K416" i="8"/>
  <c r="K412" i="8"/>
  <c r="K408" i="8"/>
  <c r="K404" i="8"/>
  <c r="K400" i="8"/>
  <c r="K396" i="8"/>
  <c r="K392" i="8"/>
  <c r="K388" i="8"/>
  <c r="K384" i="8"/>
  <c r="K380" i="8"/>
  <c r="K376" i="8"/>
  <c r="K372" i="8"/>
  <c r="K368" i="8"/>
  <c r="K364" i="8"/>
  <c r="K360" i="8"/>
  <c r="K356" i="8"/>
  <c r="K352" i="8"/>
  <c r="K348" i="8"/>
  <c r="K344" i="8"/>
  <c r="K340" i="8"/>
  <c r="K336" i="8"/>
  <c r="K332" i="8"/>
  <c r="K328" i="8"/>
  <c r="K324" i="8"/>
  <c r="K320" i="8"/>
  <c r="K316" i="8"/>
  <c r="K312" i="8"/>
  <c r="K308" i="8"/>
  <c r="K304" i="8"/>
  <c r="K300" i="8"/>
  <c r="K296" i="8"/>
  <c r="K292" i="8"/>
  <c r="K288" i="8"/>
  <c r="K284" i="8"/>
  <c r="K280" i="8"/>
  <c r="K276" i="8"/>
  <c r="K272" i="8"/>
  <c r="K268" i="8"/>
  <c r="K264" i="8"/>
  <c r="K260" i="8"/>
  <c r="K256" i="8"/>
  <c r="K252" i="8"/>
  <c r="K248" i="8"/>
  <c r="K244" i="8"/>
  <c r="K240" i="8"/>
  <c r="K236" i="8"/>
  <c r="K232" i="8"/>
  <c r="K228" i="8"/>
  <c r="K224" i="8"/>
  <c r="K220" i="8"/>
  <c r="K216" i="8"/>
  <c r="K212" i="8"/>
  <c r="K208" i="8"/>
  <c r="K204" i="8"/>
  <c r="K200" i="8"/>
  <c r="K196" i="8"/>
  <c r="K192" i="8"/>
  <c r="K188" i="8"/>
  <c r="K184" i="8"/>
  <c r="K180" i="8"/>
  <c r="K176" i="8"/>
  <c r="K172" i="8"/>
  <c r="K168" i="8"/>
  <c r="K164" i="8"/>
  <c r="K160" i="8"/>
  <c r="K156" i="8"/>
  <c r="K152" i="8"/>
  <c r="K148" i="8"/>
  <c r="K144" i="8"/>
  <c r="K140" i="8"/>
  <c r="K136" i="8"/>
  <c r="K132" i="8"/>
  <c r="K128" i="8"/>
  <c r="K124" i="8"/>
  <c r="K120" i="8"/>
  <c r="K116" i="8"/>
  <c r="K112" i="8"/>
  <c r="K108" i="8"/>
  <c r="K104" i="8"/>
  <c r="K100" i="8"/>
  <c r="K96" i="8"/>
  <c r="K92" i="8"/>
  <c r="K88" i="8"/>
  <c r="K84" i="8"/>
  <c r="K80" i="8"/>
  <c r="K76" i="8"/>
  <c r="K72" i="8"/>
  <c r="K68" i="8"/>
  <c r="K64" i="8"/>
  <c r="K60" i="8"/>
  <c r="K56" i="8"/>
  <c r="K52" i="8"/>
  <c r="K48" i="8"/>
  <c r="K44" i="8"/>
  <c r="G191" i="3"/>
  <c r="F191" i="3"/>
  <c r="G131" i="3"/>
  <c r="F131" i="3"/>
  <c r="G123" i="3"/>
  <c r="F123" i="3"/>
  <c r="G121" i="3"/>
  <c r="G120" i="3"/>
  <c r="G119" i="3"/>
  <c r="G118" i="3"/>
  <c r="G117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49" i="3"/>
  <c r="F49" i="3"/>
  <c r="G47" i="3"/>
  <c r="F47" i="3"/>
  <c r="G46" i="3"/>
  <c r="F46" i="3"/>
  <c r="G45" i="3"/>
  <c r="F45" i="3"/>
  <c r="G44" i="3"/>
  <c r="F44" i="3"/>
  <c r="G43" i="3"/>
  <c r="F43" i="3"/>
  <c r="E257" i="2" s="1"/>
  <c r="F302" i="2" s="1"/>
  <c r="G42" i="3"/>
  <c r="F42" i="3"/>
  <c r="E655" i="2" s="1"/>
  <c r="G41" i="3"/>
  <c r="F41" i="3"/>
  <c r="E654" i="2" s="1"/>
  <c r="F705" i="2" s="1"/>
  <c r="G40" i="3"/>
  <c r="F40" i="3"/>
  <c r="E653" i="2" s="1"/>
  <c r="G39" i="3"/>
  <c r="F39" i="3"/>
  <c r="E652" i="2" s="1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C5" i="3"/>
  <c r="H642" i="2"/>
  <c r="C642" i="2"/>
  <c r="H641" i="2"/>
  <c r="G641" i="2"/>
  <c r="C641" i="2"/>
  <c r="L641" i="2" s="1"/>
  <c r="H640" i="2"/>
  <c r="G640" i="2"/>
  <c r="C640" i="2"/>
  <c r="L640" i="2" s="1"/>
  <c r="H639" i="2"/>
  <c r="G639" i="2"/>
  <c r="C639" i="2"/>
  <c r="L639" i="2" s="1"/>
  <c r="H638" i="2"/>
  <c r="G638" i="2"/>
  <c r="C638" i="2"/>
  <c r="L638" i="2" s="1"/>
  <c r="H637" i="2"/>
  <c r="G637" i="2"/>
  <c r="C637" i="2"/>
  <c r="L637" i="2" s="1"/>
  <c r="H636" i="2"/>
  <c r="G636" i="2"/>
  <c r="C636" i="2"/>
  <c r="L636" i="2" s="1"/>
  <c r="H635" i="2"/>
  <c r="G635" i="2"/>
  <c r="C635" i="2"/>
  <c r="L635" i="2" s="1"/>
  <c r="H634" i="2"/>
  <c r="G634" i="2"/>
  <c r="C634" i="2"/>
  <c r="L634" i="2" s="1"/>
  <c r="H633" i="2"/>
  <c r="G633" i="2"/>
  <c r="C633" i="2"/>
  <c r="L633" i="2" s="1"/>
  <c r="J631" i="2"/>
  <c r="H631" i="2"/>
  <c r="G631" i="2"/>
  <c r="F631" i="2"/>
  <c r="E631" i="2"/>
  <c r="C631" i="2"/>
  <c r="J630" i="2"/>
  <c r="H630" i="2"/>
  <c r="G630" i="2"/>
  <c r="F630" i="2"/>
  <c r="E630" i="2"/>
  <c r="C630" i="2"/>
  <c r="J629" i="2"/>
  <c r="H629" i="2"/>
  <c r="G629" i="2"/>
  <c r="F629" i="2"/>
  <c r="E629" i="2"/>
  <c r="C629" i="2"/>
  <c r="J628" i="2"/>
  <c r="H628" i="2"/>
  <c r="G628" i="2"/>
  <c r="F628" i="2"/>
  <c r="E628" i="2"/>
  <c r="C628" i="2"/>
  <c r="J627" i="2"/>
  <c r="H627" i="2"/>
  <c r="G627" i="2"/>
  <c r="F627" i="2"/>
  <c r="E627" i="2"/>
  <c r="C627" i="2"/>
  <c r="J626" i="2"/>
  <c r="H626" i="2"/>
  <c r="G626" i="2"/>
  <c r="F626" i="2"/>
  <c r="E626" i="2"/>
  <c r="C626" i="2"/>
  <c r="J625" i="2"/>
  <c r="H625" i="2"/>
  <c r="G625" i="2"/>
  <c r="F625" i="2"/>
  <c r="E625" i="2"/>
  <c r="C625" i="2"/>
  <c r="J624" i="2"/>
  <c r="H624" i="2"/>
  <c r="G624" i="2"/>
  <c r="F624" i="2"/>
  <c r="E624" i="2"/>
  <c r="C624" i="2"/>
  <c r="J623" i="2"/>
  <c r="H623" i="2"/>
  <c r="G623" i="2"/>
  <c r="F623" i="2"/>
  <c r="E623" i="2"/>
  <c r="C623" i="2"/>
  <c r="G620" i="2"/>
  <c r="Z620" i="2" s="1"/>
  <c r="C620" i="2"/>
  <c r="G619" i="2"/>
  <c r="C619" i="2"/>
  <c r="G618" i="2"/>
  <c r="Z618" i="2" s="1"/>
  <c r="C618" i="2"/>
  <c r="G617" i="2"/>
  <c r="M617" i="2" s="1"/>
  <c r="C617" i="2"/>
  <c r="G616" i="2"/>
  <c r="C616" i="2"/>
  <c r="H614" i="2"/>
  <c r="G614" i="2"/>
  <c r="C614" i="2"/>
  <c r="H613" i="2"/>
  <c r="G613" i="2"/>
  <c r="C613" i="2"/>
  <c r="H612" i="2"/>
  <c r="G612" i="2"/>
  <c r="C612" i="2"/>
  <c r="H611" i="2"/>
  <c r="G611" i="2"/>
  <c r="C611" i="2"/>
  <c r="H610" i="2"/>
  <c r="G610" i="2"/>
  <c r="C610" i="2"/>
  <c r="H609" i="2"/>
  <c r="G609" i="2"/>
  <c r="C609" i="2"/>
  <c r="H608" i="2"/>
  <c r="G608" i="2"/>
  <c r="C608" i="2"/>
  <c r="H607" i="2"/>
  <c r="G607" i="2"/>
  <c r="C607" i="2"/>
  <c r="H606" i="2"/>
  <c r="G606" i="2"/>
  <c r="C606" i="2"/>
  <c r="H604" i="2"/>
  <c r="G604" i="2"/>
  <c r="C604" i="2"/>
  <c r="H603" i="2"/>
  <c r="G603" i="2"/>
  <c r="C603" i="2"/>
  <c r="H602" i="2"/>
  <c r="G602" i="2"/>
  <c r="C602" i="2"/>
  <c r="H601" i="2"/>
  <c r="G601" i="2"/>
  <c r="C601" i="2"/>
  <c r="H600" i="2"/>
  <c r="G600" i="2"/>
  <c r="C600" i="2"/>
  <c r="H599" i="2"/>
  <c r="G599" i="2"/>
  <c r="C599" i="2"/>
  <c r="H598" i="2"/>
  <c r="G598" i="2"/>
  <c r="C598" i="2"/>
  <c r="H597" i="2"/>
  <c r="G597" i="2"/>
  <c r="C597" i="2"/>
  <c r="H596" i="2"/>
  <c r="G596" i="2"/>
  <c r="C596" i="2"/>
  <c r="H594" i="2"/>
  <c r="G594" i="2"/>
  <c r="C594" i="2"/>
  <c r="H593" i="2"/>
  <c r="G593" i="2"/>
  <c r="M593" i="2" s="1"/>
  <c r="C593" i="2"/>
  <c r="H592" i="2"/>
  <c r="G592" i="2"/>
  <c r="C592" i="2"/>
  <c r="H591" i="2"/>
  <c r="G591" i="2"/>
  <c r="C591" i="2"/>
  <c r="H590" i="2"/>
  <c r="G590" i="2"/>
  <c r="C590" i="2"/>
  <c r="H589" i="2"/>
  <c r="G589" i="2"/>
  <c r="C589" i="2"/>
  <c r="H588" i="2"/>
  <c r="G588" i="2"/>
  <c r="X588" i="2" s="1"/>
  <c r="C588" i="2"/>
  <c r="H587" i="2"/>
  <c r="G587" i="2"/>
  <c r="W587" i="2" s="1"/>
  <c r="C587" i="2"/>
  <c r="H586" i="2"/>
  <c r="G586" i="2"/>
  <c r="T586" i="2" s="1"/>
  <c r="C586" i="2"/>
  <c r="H582" i="2"/>
  <c r="C582" i="2"/>
  <c r="H581" i="2"/>
  <c r="G581" i="2"/>
  <c r="C581" i="2"/>
  <c r="L581" i="2" s="1"/>
  <c r="H580" i="2"/>
  <c r="G580" i="2"/>
  <c r="C580" i="2"/>
  <c r="L580" i="2" s="1"/>
  <c r="H579" i="2"/>
  <c r="G579" i="2"/>
  <c r="C579" i="2"/>
  <c r="L579" i="2" s="1"/>
  <c r="H578" i="2"/>
  <c r="G578" i="2"/>
  <c r="C578" i="2"/>
  <c r="L578" i="2" s="1"/>
  <c r="H577" i="2"/>
  <c r="G577" i="2"/>
  <c r="C577" i="2"/>
  <c r="L577" i="2" s="1"/>
  <c r="H576" i="2"/>
  <c r="G576" i="2"/>
  <c r="C576" i="2"/>
  <c r="L576" i="2" s="1"/>
  <c r="H575" i="2"/>
  <c r="G575" i="2"/>
  <c r="C575" i="2"/>
  <c r="L575" i="2" s="1"/>
  <c r="H574" i="2"/>
  <c r="G574" i="2"/>
  <c r="C574" i="2"/>
  <c r="L574" i="2" s="1"/>
  <c r="H573" i="2"/>
  <c r="G573" i="2"/>
  <c r="C573" i="2"/>
  <c r="L573" i="2" s="1"/>
  <c r="J571" i="2"/>
  <c r="H571" i="2"/>
  <c r="G571" i="2"/>
  <c r="F571" i="2"/>
  <c r="E571" i="2"/>
  <c r="C571" i="2"/>
  <c r="J570" i="2"/>
  <c r="H570" i="2"/>
  <c r="G570" i="2"/>
  <c r="F570" i="2"/>
  <c r="E570" i="2"/>
  <c r="C570" i="2"/>
  <c r="J569" i="2"/>
  <c r="H569" i="2"/>
  <c r="G569" i="2"/>
  <c r="F569" i="2"/>
  <c r="E569" i="2"/>
  <c r="C569" i="2"/>
  <c r="J568" i="2"/>
  <c r="H568" i="2"/>
  <c r="G568" i="2"/>
  <c r="F568" i="2"/>
  <c r="E568" i="2"/>
  <c r="C568" i="2"/>
  <c r="J567" i="2"/>
  <c r="H567" i="2"/>
  <c r="G567" i="2"/>
  <c r="F567" i="2"/>
  <c r="E567" i="2"/>
  <c r="C567" i="2"/>
  <c r="J566" i="2"/>
  <c r="H566" i="2"/>
  <c r="G566" i="2"/>
  <c r="F566" i="2"/>
  <c r="E566" i="2"/>
  <c r="C566" i="2"/>
  <c r="J565" i="2"/>
  <c r="H565" i="2"/>
  <c r="G565" i="2"/>
  <c r="F565" i="2"/>
  <c r="E565" i="2"/>
  <c r="C565" i="2"/>
  <c r="J564" i="2"/>
  <c r="H564" i="2"/>
  <c r="G564" i="2"/>
  <c r="F564" i="2"/>
  <c r="E564" i="2"/>
  <c r="C564" i="2"/>
  <c r="J563" i="2"/>
  <c r="H563" i="2"/>
  <c r="G563" i="2"/>
  <c r="F563" i="2"/>
  <c r="E563" i="2"/>
  <c r="C563" i="2"/>
  <c r="G560" i="2"/>
  <c r="P560" i="2" s="1"/>
  <c r="C560" i="2"/>
  <c r="G559" i="2"/>
  <c r="C559" i="2"/>
  <c r="G558" i="2"/>
  <c r="N558" i="2" s="1"/>
  <c r="C558" i="2"/>
  <c r="G557" i="2"/>
  <c r="C557" i="2"/>
  <c r="G556" i="2"/>
  <c r="C556" i="2"/>
  <c r="H554" i="2"/>
  <c r="G554" i="2"/>
  <c r="C554" i="2"/>
  <c r="H553" i="2"/>
  <c r="G553" i="2"/>
  <c r="C553" i="2"/>
  <c r="H552" i="2"/>
  <c r="G552" i="2"/>
  <c r="C552" i="2"/>
  <c r="H551" i="2"/>
  <c r="G551" i="2"/>
  <c r="C551" i="2"/>
  <c r="H550" i="2"/>
  <c r="G550" i="2"/>
  <c r="C550" i="2"/>
  <c r="H549" i="2"/>
  <c r="G549" i="2"/>
  <c r="C549" i="2"/>
  <c r="H548" i="2"/>
  <c r="G548" i="2"/>
  <c r="C548" i="2"/>
  <c r="H547" i="2"/>
  <c r="G547" i="2"/>
  <c r="C547" i="2"/>
  <c r="H546" i="2"/>
  <c r="G546" i="2"/>
  <c r="C546" i="2"/>
  <c r="H544" i="2"/>
  <c r="G544" i="2"/>
  <c r="C544" i="2"/>
  <c r="H543" i="2"/>
  <c r="G543" i="2"/>
  <c r="C543" i="2"/>
  <c r="H542" i="2"/>
  <c r="G542" i="2"/>
  <c r="C542" i="2"/>
  <c r="H541" i="2"/>
  <c r="G541" i="2"/>
  <c r="C541" i="2"/>
  <c r="H540" i="2"/>
  <c r="G540" i="2"/>
  <c r="C540" i="2"/>
  <c r="H539" i="2"/>
  <c r="G539" i="2"/>
  <c r="C539" i="2"/>
  <c r="H538" i="2"/>
  <c r="G538" i="2"/>
  <c r="C538" i="2"/>
  <c r="H537" i="2"/>
  <c r="G537" i="2"/>
  <c r="C537" i="2"/>
  <c r="H536" i="2"/>
  <c r="G536" i="2"/>
  <c r="C536" i="2"/>
  <c r="H534" i="2"/>
  <c r="G534" i="2"/>
  <c r="W534" i="2" s="1"/>
  <c r="C534" i="2"/>
  <c r="H533" i="2"/>
  <c r="G533" i="2"/>
  <c r="C533" i="2"/>
  <c r="H532" i="2"/>
  <c r="G532" i="2"/>
  <c r="T532" i="2" s="1"/>
  <c r="C532" i="2"/>
  <c r="H531" i="2"/>
  <c r="G531" i="2"/>
  <c r="C531" i="2"/>
  <c r="H530" i="2"/>
  <c r="G530" i="2"/>
  <c r="Z530" i="2" s="1"/>
  <c r="C530" i="2"/>
  <c r="H529" i="2"/>
  <c r="G529" i="2"/>
  <c r="N529" i="2" s="1"/>
  <c r="C529" i="2"/>
  <c r="H528" i="2"/>
  <c r="G528" i="2"/>
  <c r="C528" i="2"/>
  <c r="H527" i="2"/>
  <c r="G527" i="2"/>
  <c r="AB527" i="2" s="1"/>
  <c r="C527" i="2"/>
  <c r="H526" i="2"/>
  <c r="G526" i="2"/>
  <c r="AC526" i="2" s="1"/>
  <c r="C526" i="2"/>
  <c r="H522" i="2"/>
  <c r="C522" i="2"/>
  <c r="H521" i="2"/>
  <c r="G521" i="2"/>
  <c r="C521" i="2"/>
  <c r="L521" i="2" s="1"/>
  <c r="H520" i="2"/>
  <c r="G520" i="2"/>
  <c r="C520" i="2"/>
  <c r="L520" i="2" s="1"/>
  <c r="H519" i="2"/>
  <c r="G519" i="2"/>
  <c r="C519" i="2"/>
  <c r="L519" i="2" s="1"/>
  <c r="H518" i="2"/>
  <c r="G518" i="2"/>
  <c r="C518" i="2"/>
  <c r="L518" i="2" s="1"/>
  <c r="H517" i="2"/>
  <c r="G517" i="2"/>
  <c r="C517" i="2"/>
  <c r="L517" i="2" s="1"/>
  <c r="H516" i="2"/>
  <c r="G516" i="2"/>
  <c r="C516" i="2"/>
  <c r="L516" i="2" s="1"/>
  <c r="H515" i="2"/>
  <c r="G515" i="2"/>
  <c r="C515" i="2"/>
  <c r="L515" i="2" s="1"/>
  <c r="H514" i="2"/>
  <c r="G514" i="2"/>
  <c r="C514" i="2"/>
  <c r="L514" i="2" s="1"/>
  <c r="H513" i="2"/>
  <c r="G513" i="2"/>
  <c r="C513" i="2"/>
  <c r="L513" i="2" s="1"/>
  <c r="J511" i="2"/>
  <c r="H511" i="2"/>
  <c r="G511" i="2"/>
  <c r="F511" i="2"/>
  <c r="E511" i="2"/>
  <c r="C511" i="2"/>
  <c r="J510" i="2"/>
  <c r="H510" i="2"/>
  <c r="G510" i="2"/>
  <c r="F510" i="2"/>
  <c r="E510" i="2"/>
  <c r="C510" i="2"/>
  <c r="J509" i="2"/>
  <c r="H509" i="2"/>
  <c r="G509" i="2"/>
  <c r="F509" i="2"/>
  <c r="E509" i="2"/>
  <c r="C509" i="2"/>
  <c r="J508" i="2"/>
  <c r="H508" i="2"/>
  <c r="G508" i="2"/>
  <c r="F508" i="2"/>
  <c r="E508" i="2"/>
  <c r="C508" i="2"/>
  <c r="J507" i="2"/>
  <c r="H507" i="2"/>
  <c r="G507" i="2"/>
  <c r="F507" i="2"/>
  <c r="E507" i="2"/>
  <c r="C507" i="2"/>
  <c r="J506" i="2"/>
  <c r="H506" i="2"/>
  <c r="G506" i="2"/>
  <c r="F506" i="2"/>
  <c r="E506" i="2"/>
  <c r="C506" i="2"/>
  <c r="J505" i="2"/>
  <c r="H505" i="2"/>
  <c r="G505" i="2"/>
  <c r="F505" i="2"/>
  <c r="E505" i="2"/>
  <c r="C505" i="2"/>
  <c r="J504" i="2"/>
  <c r="H504" i="2"/>
  <c r="G504" i="2"/>
  <c r="F504" i="2"/>
  <c r="E504" i="2"/>
  <c r="C504" i="2"/>
  <c r="J503" i="2"/>
  <c r="H503" i="2"/>
  <c r="G503" i="2"/>
  <c r="F503" i="2"/>
  <c r="E503" i="2"/>
  <c r="C503" i="2"/>
  <c r="G500" i="2"/>
  <c r="C500" i="2"/>
  <c r="G499" i="2"/>
  <c r="R499" i="2" s="1"/>
  <c r="C499" i="2"/>
  <c r="G498" i="2"/>
  <c r="S498" i="2" s="1"/>
  <c r="C498" i="2"/>
  <c r="G497" i="2"/>
  <c r="AB497" i="2" s="1"/>
  <c r="C497" i="2"/>
  <c r="G496" i="2"/>
  <c r="C496" i="2"/>
  <c r="H494" i="2"/>
  <c r="G494" i="2"/>
  <c r="C494" i="2"/>
  <c r="H493" i="2"/>
  <c r="G493" i="2"/>
  <c r="C493" i="2"/>
  <c r="H492" i="2"/>
  <c r="G492" i="2"/>
  <c r="C492" i="2"/>
  <c r="H491" i="2"/>
  <c r="G491" i="2"/>
  <c r="C491" i="2"/>
  <c r="H490" i="2"/>
  <c r="G490" i="2"/>
  <c r="C490" i="2"/>
  <c r="H489" i="2"/>
  <c r="G489" i="2"/>
  <c r="C489" i="2"/>
  <c r="H488" i="2"/>
  <c r="G488" i="2"/>
  <c r="C488" i="2"/>
  <c r="H487" i="2"/>
  <c r="G487" i="2"/>
  <c r="C487" i="2"/>
  <c r="H486" i="2"/>
  <c r="G486" i="2"/>
  <c r="C486" i="2"/>
  <c r="H484" i="2"/>
  <c r="G484" i="2"/>
  <c r="C484" i="2"/>
  <c r="H483" i="2"/>
  <c r="G483" i="2"/>
  <c r="C483" i="2"/>
  <c r="H482" i="2"/>
  <c r="G482" i="2"/>
  <c r="C482" i="2"/>
  <c r="H481" i="2"/>
  <c r="G481" i="2"/>
  <c r="C481" i="2"/>
  <c r="H480" i="2"/>
  <c r="G480" i="2"/>
  <c r="C480" i="2"/>
  <c r="H479" i="2"/>
  <c r="G479" i="2"/>
  <c r="C479" i="2"/>
  <c r="H478" i="2"/>
  <c r="G478" i="2"/>
  <c r="C478" i="2"/>
  <c r="H477" i="2"/>
  <c r="G477" i="2"/>
  <c r="C477" i="2"/>
  <c r="H476" i="2"/>
  <c r="G476" i="2"/>
  <c r="C476" i="2"/>
  <c r="H474" i="2"/>
  <c r="G474" i="2"/>
  <c r="C474" i="2"/>
  <c r="H473" i="2"/>
  <c r="G473" i="2"/>
  <c r="P473" i="2" s="1"/>
  <c r="C473" i="2"/>
  <c r="H472" i="2"/>
  <c r="G472" i="2"/>
  <c r="C472" i="2"/>
  <c r="H471" i="2"/>
  <c r="G471" i="2"/>
  <c r="V471" i="2" s="1"/>
  <c r="C471" i="2"/>
  <c r="H470" i="2"/>
  <c r="G470" i="2"/>
  <c r="Q470" i="2" s="1"/>
  <c r="C470" i="2"/>
  <c r="H469" i="2"/>
  <c r="G469" i="2"/>
  <c r="C469" i="2"/>
  <c r="H468" i="2"/>
  <c r="G468" i="2"/>
  <c r="AB468" i="2" s="1"/>
  <c r="C468" i="2"/>
  <c r="H467" i="2"/>
  <c r="G467" i="2"/>
  <c r="AA467" i="2" s="1"/>
  <c r="C467" i="2"/>
  <c r="H466" i="2"/>
  <c r="G466" i="2"/>
  <c r="S466" i="2" s="1"/>
  <c r="C466" i="2"/>
  <c r="H462" i="2"/>
  <c r="C462" i="2"/>
  <c r="H461" i="2"/>
  <c r="G461" i="2"/>
  <c r="C461" i="2"/>
  <c r="L461" i="2" s="1"/>
  <c r="H460" i="2"/>
  <c r="G460" i="2"/>
  <c r="C460" i="2"/>
  <c r="L460" i="2" s="1"/>
  <c r="H459" i="2"/>
  <c r="G459" i="2"/>
  <c r="C459" i="2"/>
  <c r="L459" i="2" s="1"/>
  <c r="H458" i="2"/>
  <c r="G458" i="2"/>
  <c r="C458" i="2"/>
  <c r="L458" i="2" s="1"/>
  <c r="H457" i="2"/>
  <c r="G457" i="2"/>
  <c r="C457" i="2"/>
  <c r="L457" i="2" s="1"/>
  <c r="H456" i="2"/>
  <c r="G456" i="2"/>
  <c r="C456" i="2"/>
  <c r="L456" i="2" s="1"/>
  <c r="H455" i="2"/>
  <c r="G455" i="2"/>
  <c r="C455" i="2"/>
  <c r="L455" i="2" s="1"/>
  <c r="H454" i="2"/>
  <c r="G454" i="2"/>
  <c r="C454" i="2"/>
  <c r="L454" i="2" s="1"/>
  <c r="H453" i="2"/>
  <c r="G453" i="2"/>
  <c r="C453" i="2"/>
  <c r="L453" i="2" s="1"/>
  <c r="J451" i="2"/>
  <c r="H451" i="2"/>
  <c r="G451" i="2"/>
  <c r="F451" i="2"/>
  <c r="E451" i="2"/>
  <c r="C451" i="2"/>
  <c r="J450" i="2"/>
  <c r="H450" i="2"/>
  <c r="G450" i="2"/>
  <c r="F450" i="2"/>
  <c r="E450" i="2"/>
  <c r="C450" i="2"/>
  <c r="J449" i="2"/>
  <c r="H449" i="2"/>
  <c r="G449" i="2"/>
  <c r="F449" i="2"/>
  <c r="E449" i="2"/>
  <c r="C449" i="2"/>
  <c r="J448" i="2"/>
  <c r="H448" i="2"/>
  <c r="G448" i="2"/>
  <c r="F448" i="2"/>
  <c r="E448" i="2"/>
  <c r="C448" i="2"/>
  <c r="J447" i="2"/>
  <c r="H447" i="2"/>
  <c r="G447" i="2"/>
  <c r="F447" i="2"/>
  <c r="E447" i="2"/>
  <c r="C447" i="2"/>
  <c r="J446" i="2"/>
  <c r="H446" i="2"/>
  <c r="G446" i="2"/>
  <c r="F446" i="2"/>
  <c r="E446" i="2"/>
  <c r="C446" i="2"/>
  <c r="J445" i="2"/>
  <c r="H445" i="2"/>
  <c r="G445" i="2"/>
  <c r="F445" i="2"/>
  <c r="E445" i="2"/>
  <c r="C445" i="2"/>
  <c r="J444" i="2"/>
  <c r="H444" i="2"/>
  <c r="G444" i="2"/>
  <c r="F444" i="2"/>
  <c r="E444" i="2"/>
  <c r="C444" i="2"/>
  <c r="J443" i="2"/>
  <c r="H443" i="2"/>
  <c r="G443" i="2"/>
  <c r="F443" i="2"/>
  <c r="E443" i="2"/>
  <c r="C443" i="2"/>
  <c r="G440" i="2"/>
  <c r="N440" i="2" s="1"/>
  <c r="C440" i="2"/>
  <c r="G439" i="2"/>
  <c r="K439" i="2" s="1"/>
  <c r="C439" i="2"/>
  <c r="G438" i="2"/>
  <c r="S438" i="2" s="1"/>
  <c r="C438" i="2"/>
  <c r="G437" i="2"/>
  <c r="K437" i="2" s="1"/>
  <c r="C437" i="2"/>
  <c r="G436" i="2"/>
  <c r="AE436" i="2" s="1"/>
  <c r="C436" i="2"/>
  <c r="H434" i="2"/>
  <c r="G434" i="2"/>
  <c r="C434" i="2"/>
  <c r="H433" i="2"/>
  <c r="G433" i="2"/>
  <c r="C433" i="2"/>
  <c r="H432" i="2"/>
  <c r="G432" i="2"/>
  <c r="C432" i="2"/>
  <c r="H431" i="2"/>
  <c r="G431" i="2"/>
  <c r="C431" i="2"/>
  <c r="H430" i="2"/>
  <c r="G430" i="2"/>
  <c r="C430" i="2"/>
  <c r="H429" i="2"/>
  <c r="G429" i="2"/>
  <c r="C429" i="2"/>
  <c r="H428" i="2"/>
  <c r="G428" i="2"/>
  <c r="C428" i="2"/>
  <c r="H427" i="2"/>
  <c r="G427" i="2"/>
  <c r="C427" i="2"/>
  <c r="H426" i="2"/>
  <c r="G426" i="2"/>
  <c r="C426" i="2"/>
  <c r="H424" i="2"/>
  <c r="G424" i="2"/>
  <c r="C424" i="2"/>
  <c r="H423" i="2"/>
  <c r="G423" i="2"/>
  <c r="C423" i="2"/>
  <c r="H422" i="2"/>
  <c r="G422" i="2"/>
  <c r="C422" i="2"/>
  <c r="H421" i="2"/>
  <c r="G421" i="2"/>
  <c r="C421" i="2"/>
  <c r="H420" i="2"/>
  <c r="G420" i="2"/>
  <c r="C420" i="2"/>
  <c r="H419" i="2"/>
  <c r="G419" i="2"/>
  <c r="C419" i="2"/>
  <c r="H418" i="2"/>
  <c r="G418" i="2"/>
  <c r="C418" i="2"/>
  <c r="H417" i="2"/>
  <c r="G417" i="2"/>
  <c r="C417" i="2"/>
  <c r="H416" i="2"/>
  <c r="G416" i="2"/>
  <c r="C416" i="2"/>
  <c r="H414" i="2"/>
  <c r="G414" i="2"/>
  <c r="AA414" i="2" s="1"/>
  <c r="C414" i="2"/>
  <c r="H413" i="2"/>
  <c r="G413" i="2"/>
  <c r="C413" i="2"/>
  <c r="H412" i="2"/>
  <c r="G412" i="2"/>
  <c r="W412" i="2" s="1"/>
  <c r="C412" i="2"/>
  <c r="H411" i="2"/>
  <c r="G411" i="2"/>
  <c r="O411" i="2" s="1"/>
  <c r="C411" i="2"/>
  <c r="H410" i="2"/>
  <c r="G410" i="2"/>
  <c r="Q410" i="2" s="1"/>
  <c r="C410" i="2"/>
  <c r="H409" i="2"/>
  <c r="G409" i="2"/>
  <c r="C409" i="2"/>
  <c r="H408" i="2"/>
  <c r="G408" i="2"/>
  <c r="L408" i="2" s="1"/>
  <c r="C408" i="2"/>
  <c r="H407" i="2"/>
  <c r="G407" i="2"/>
  <c r="C407" i="2"/>
  <c r="H406" i="2"/>
  <c r="G406" i="2"/>
  <c r="AC406" i="2" s="1"/>
  <c r="C406" i="2"/>
  <c r="H243" i="2"/>
  <c r="C243" i="2"/>
  <c r="H242" i="2"/>
  <c r="G242" i="2"/>
  <c r="C242" i="2"/>
  <c r="L242" i="2" s="1"/>
  <c r="H241" i="2"/>
  <c r="G241" i="2"/>
  <c r="C241" i="2"/>
  <c r="L241" i="2" s="1"/>
  <c r="H240" i="2"/>
  <c r="G240" i="2"/>
  <c r="C240" i="2"/>
  <c r="L240" i="2" s="1"/>
  <c r="H239" i="2"/>
  <c r="G239" i="2"/>
  <c r="C239" i="2"/>
  <c r="L239" i="2" s="1"/>
  <c r="H238" i="2"/>
  <c r="G238" i="2"/>
  <c r="C238" i="2"/>
  <c r="L238" i="2" s="1"/>
  <c r="H237" i="2"/>
  <c r="G237" i="2"/>
  <c r="C237" i="2"/>
  <c r="L237" i="2" s="1"/>
  <c r="H236" i="2"/>
  <c r="G236" i="2"/>
  <c r="C236" i="2"/>
  <c r="L236" i="2" s="1"/>
  <c r="H235" i="2"/>
  <c r="G235" i="2"/>
  <c r="C235" i="2"/>
  <c r="L235" i="2" s="1"/>
  <c r="H234" i="2"/>
  <c r="G234" i="2"/>
  <c r="C234" i="2"/>
  <c r="L234" i="2" s="1"/>
  <c r="J232" i="2"/>
  <c r="H232" i="2"/>
  <c r="G232" i="2"/>
  <c r="F232" i="2"/>
  <c r="E232" i="2"/>
  <c r="C232" i="2"/>
  <c r="J231" i="2"/>
  <c r="H231" i="2"/>
  <c r="G231" i="2"/>
  <c r="F231" i="2"/>
  <c r="E231" i="2"/>
  <c r="C231" i="2"/>
  <c r="J230" i="2"/>
  <c r="H230" i="2"/>
  <c r="G230" i="2"/>
  <c r="F230" i="2"/>
  <c r="E230" i="2"/>
  <c r="C230" i="2"/>
  <c r="J229" i="2"/>
  <c r="H229" i="2"/>
  <c r="G229" i="2"/>
  <c r="F229" i="2"/>
  <c r="E229" i="2"/>
  <c r="C229" i="2"/>
  <c r="J228" i="2"/>
  <c r="H228" i="2"/>
  <c r="G228" i="2"/>
  <c r="F228" i="2"/>
  <c r="E228" i="2"/>
  <c r="C228" i="2"/>
  <c r="J227" i="2"/>
  <c r="H227" i="2"/>
  <c r="G227" i="2"/>
  <c r="F227" i="2"/>
  <c r="E227" i="2"/>
  <c r="C227" i="2"/>
  <c r="J226" i="2"/>
  <c r="H226" i="2"/>
  <c r="G226" i="2"/>
  <c r="F226" i="2"/>
  <c r="E226" i="2"/>
  <c r="C226" i="2"/>
  <c r="J225" i="2"/>
  <c r="H225" i="2"/>
  <c r="G225" i="2"/>
  <c r="F225" i="2"/>
  <c r="E225" i="2"/>
  <c r="C225" i="2"/>
  <c r="J224" i="2"/>
  <c r="H224" i="2"/>
  <c r="G224" i="2"/>
  <c r="F224" i="2"/>
  <c r="E224" i="2"/>
  <c r="C224" i="2"/>
  <c r="G221" i="2"/>
  <c r="L221" i="2" s="1"/>
  <c r="C221" i="2"/>
  <c r="G220" i="2"/>
  <c r="AC220" i="2" s="1"/>
  <c r="C220" i="2"/>
  <c r="G219" i="2"/>
  <c r="O219" i="2" s="1"/>
  <c r="C219" i="2"/>
  <c r="G218" i="2"/>
  <c r="AE218" i="2" s="1"/>
  <c r="C218" i="2"/>
  <c r="G217" i="2"/>
  <c r="C217" i="2"/>
  <c r="H215" i="2"/>
  <c r="G215" i="2"/>
  <c r="C215" i="2"/>
  <c r="H214" i="2"/>
  <c r="G214" i="2"/>
  <c r="C214" i="2"/>
  <c r="H213" i="2"/>
  <c r="G213" i="2"/>
  <c r="C213" i="2"/>
  <c r="H212" i="2"/>
  <c r="G212" i="2"/>
  <c r="C212" i="2"/>
  <c r="H211" i="2"/>
  <c r="G211" i="2"/>
  <c r="C211" i="2"/>
  <c r="H210" i="2"/>
  <c r="G210" i="2"/>
  <c r="C210" i="2"/>
  <c r="H209" i="2"/>
  <c r="G209" i="2"/>
  <c r="C209" i="2"/>
  <c r="H208" i="2"/>
  <c r="G208" i="2"/>
  <c r="C208" i="2"/>
  <c r="H207" i="2"/>
  <c r="G207" i="2"/>
  <c r="C207" i="2"/>
  <c r="H205" i="2"/>
  <c r="G205" i="2"/>
  <c r="C205" i="2"/>
  <c r="H204" i="2"/>
  <c r="G204" i="2"/>
  <c r="C204" i="2"/>
  <c r="H203" i="2"/>
  <c r="G203" i="2"/>
  <c r="C203" i="2"/>
  <c r="H202" i="2"/>
  <c r="G202" i="2"/>
  <c r="C202" i="2"/>
  <c r="H201" i="2"/>
  <c r="G201" i="2"/>
  <c r="C201" i="2"/>
  <c r="H200" i="2"/>
  <c r="G200" i="2"/>
  <c r="C200" i="2"/>
  <c r="H199" i="2"/>
  <c r="G199" i="2"/>
  <c r="C199" i="2"/>
  <c r="H198" i="2"/>
  <c r="G198" i="2"/>
  <c r="C198" i="2"/>
  <c r="H197" i="2"/>
  <c r="G197" i="2"/>
  <c r="C197" i="2"/>
  <c r="H195" i="2"/>
  <c r="G195" i="2"/>
  <c r="O195" i="2" s="1"/>
  <c r="C195" i="2"/>
  <c r="H194" i="2"/>
  <c r="G194" i="2"/>
  <c r="C194" i="2"/>
  <c r="H193" i="2"/>
  <c r="G193" i="2"/>
  <c r="U193" i="2" s="1"/>
  <c r="C193" i="2"/>
  <c r="H192" i="2"/>
  <c r="G192" i="2"/>
  <c r="S192" i="2" s="1"/>
  <c r="C192" i="2"/>
  <c r="H191" i="2"/>
  <c r="G191" i="2"/>
  <c r="C191" i="2"/>
  <c r="H190" i="2"/>
  <c r="G190" i="2"/>
  <c r="AC190" i="2" s="1"/>
  <c r="C190" i="2"/>
  <c r="H189" i="2"/>
  <c r="G189" i="2"/>
  <c r="AA189" i="2" s="1"/>
  <c r="C189" i="2"/>
  <c r="H188" i="2"/>
  <c r="G188" i="2"/>
  <c r="AC188" i="2" s="1"/>
  <c r="C188" i="2"/>
  <c r="H187" i="2"/>
  <c r="G187" i="2"/>
  <c r="AA187" i="2" s="1"/>
  <c r="C187" i="2"/>
  <c r="H183" i="2"/>
  <c r="C183" i="2"/>
  <c r="H182" i="2"/>
  <c r="G182" i="2"/>
  <c r="C182" i="2"/>
  <c r="L182" i="2" s="1"/>
  <c r="H181" i="2"/>
  <c r="G181" i="2"/>
  <c r="C181" i="2"/>
  <c r="L181" i="2" s="1"/>
  <c r="H180" i="2"/>
  <c r="G180" i="2"/>
  <c r="C180" i="2"/>
  <c r="L180" i="2" s="1"/>
  <c r="H179" i="2"/>
  <c r="G179" i="2"/>
  <c r="C179" i="2"/>
  <c r="L179" i="2" s="1"/>
  <c r="H178" i="2"/>
  <c r="G178" i="2"/>
  <c r="C178" i="2"/>
  <c r="L178" i="2" s="1"/>
  <c r="H177" i="2"/>
  <c r="G177" i="2"/>
  <c r="C177" i="2"/>
  <c r="L177" i="2" s="1"/>
  <c r="H176" i="2"/>
  <c r="G176" i="2"/>
  <c r="C176" i="2"/>
  <c r="L176" i="2" s="1"/>
  <c r="H175" i="2"/>
  <c r="G175" i="2"/>
  <c r="C175" i="2"/>
  <c r="L175" i="2" s="1"/>
  <c r="H174" i="2"/>
  <c r="G174" i="2"/>
  <c r="C174" i="2"/>
  <c r="L174" i="2" s="1"/>
  <c r="J172" i="2"/>
  <c r="H172" i="2"/>
  <c r="G172" i="2"/>
  <c r="F172" i="2"/>
  <c r="E172" i="2"/>
  <c r="C172" i="2"/>
  <c r="J171" i="2"/>
  <c r="H171" i="2"/>
  <c r="G171" i="2"/>
  <c r="F171" i="2"/>
  <c r="E171" i="2"/>
  <c r="C171" i="2"/>
  <c r="J170" i="2"/>
  <c r="H170" i="2"/>
  <c r="G170" i="2"/>
  <c r="F170" i="2"/>
  <c r="E170" i="2"/>
  <c r="C170" i="2"/>
  <c r="J169" i="2"/>
  <c r="H169" i="2"/>
  <c r="G169" i="2"/>
  <c r="F169" i="2"/>
  <c r="E169" i="2"/>
  <c r="C169" i="2"/>
  <c r="J168" i="2"/>
  <c r="H168" i="2"/>
  <c r="G168" i="2"/>
  <c r="F168" i="2"/>
  <c r="E168" i="2"/>
  <c r="C168" i="2"/>
  <c r="J167" i="2"/>
  <c r="H167" i="2"/>
  <c r="G167" i="2"/>
  <c r="F167" i="2"/>
  <c r="E167" i="2"/>
  <c r="C167" i="2"/>
  <c r="J166" i="2"/>
  <c r="H166" i="2"/>
  <c r="G166" i="2"/>
  <c r="F166" i="2"/>
  <c r="E166" i="2"/>
  <c r="C166" i="2"/>
  <c r="J165" i="2"/>
  <c r="H165" i="2"/>
  <c r="G165" i="2"/>
  <c r="F165" i="2"/>
  <c r="E165" i="2"/>
  <c r="C165" i="2"/>
  <c r="J164" i="2"/>
  <c r="H164" i="2"/>
  <c r="G164" i="2"/>
  <c r="F164" i="2"/>
  <c r="E164" i="2"/>
  <c r="C164" i="2"/>
  <c r="G161" i="2"/>
  <c r="C161" i="2"/>
  <c r="G160" i="2"/>
  <c r="Y160" i="2" s="1"/>
  <c r="C160" i="2"/>
  <c r="G159" i="2"/>
  <c r="AE159" i="2" s="1"/>
  <c r="C159" i="2"/>
  <c r="G158" i="2"/>
  <c r="AB158" i="2" s="1"/>
  <c r="C158" i="2"/>
  <c r="G157" i="2"/>
  <c r="S157" i="2" s="1"/>
  <c r="C157" i="2"/>
  <c r="H155" i="2"/>
  <c r="G155" i="2"/>
  <c r="C155" i="2"/>
  <c r="H154" i="2"/>
  <c r="G154" i="2"/>
  <c r="C154" i="2"/>
  <c r="H153" i="2"/>
  <c r="G153" i="2"/>
  <c r="C153" i="2"/>
  <c r="H152" i="2"/>
  <c r="G152" i="2"/>
  <c r="C152" i="2"/>
  <c r="H151" i="2"/>
  <c r="G151" i="2"/>
  <c r="C151" i="2"/>
  <c r="H150" i="2"/>
  <c r="G150" i="2"/>
  <c r="C150" i="2"/>
  <c r="H149" i="2"/>
  <c r="G149" i="2"/>
  <c r="C149" i="2"/>
  <c r="H148" i="2"/>
  <c r="G148" i="2"/>
  <c r="C148" i="2"/>
  <c r="H147" i="2"/>
  <c r="G147" i="2"/>
  <c r="C147" i="2"/>
  <c r="H145" i="2"/>
  <c r="G145" i="2"/>
  <c r="C145" i="2"/>
  <c r="H144" i="2"/>
  <c r="G144" i="2"/>
  <c r="C144" i="2"/>
  <c r="H143" i="2"/>
  <c r="G143" i="2"/>
  <c r="C143" i="2"/>
  <c r="H142" i="2"/>
  <c r="G142" i="2"/>
  <c r="C142" i="2"/>
  <c r="H141" i="2"/>
  <c r="G141" i="2"/>
  <c r="C141" i="2"/>
  <c r="H140" i="2"/>
  <c r="G140" i="2"/>
  <c r="C140" i="2"/>
  <c r="H139" i="2"/>
  <c r="G139" i="2"/>
  <c r="C139" i="2"/>
  <c r="H138" i="2"/>
  <c r="G138" i="2"/>
  <c r="C138" i="2"/>
  <c r="H137" i="2"/>
  <c r="G137" i="2"/>
  <c r="C137" i="2"/>
  <c r="H135" i="2"/>
  <c r="G135" i="2"/>
  <c r="X135" i="2" s="1"/>
  <c r="C135" i="2"/>
  <c r="H134" i="2"/>
  <c r="G134" i="2"/>
  <c r="C134" i="2"/>
  <c r="H133" i="2"/>
  <c r="G133" i="2"/>
  <c r="W133" i="2" s="1"/>
  <c r="C133" i="2"/>
  <c r="H132" i="2"/>
  <c r="G132" i="2"/>
  <c r="AA132" i="2" s="1"/>
  <c r="C132" i="2"/>
  <c r="H131" i="2"/>
  <c r="G131" i="2"/>
  <c r="AA131" i="2" s="1"/>
  <c r="C131" i="2"/>
  <c r="H130" i="2"/>
  <c r="G130" i="2"/>
  <c r="Z130" i="2" s="1"/>
  <c r="C130" i="2"/>
  <c r="H129" i="2"/>
  <c r="G129" i="2"/>
  <c r="Y129" i="2" s="1"/>
  <c r="C129" i="2"/>
  <c r="H128" i="2"/>
  <c r="G128" i="2"/>
  <c r="AA128" i="2" s="1"/>
  <c r="C128" i="2"/>
  <c r="H127" i="2"/>
  <c r="G127" i="2"/>
  <c r="R127" i="2" s="1"/>
  <c r="C127" i="2"/>
  <c r="H123" i="2"/>
  <c r="C123" i="2"/>
  <c r="H122" i="2"/>
  <c r="G122" i="2"/>
  <c r="C122" i="2"/>
  <c r="L122" i="2" s="1"/>
  <c r="H121" i="2"/>
  <c r="G121" i="2"/>
  <c r="C121" i="2"/>
  <c r="L121" i="2" s="1"/>
  <c r="H120" i="2"/>
  <c r="G120" i="2"/>
  <c r="C120" i="2"/>
  <c r="L120" i="2" s="1"/>
  <c r="H119" i="2"/>
  <c r="G119" i="2"/>
  <c r="C119" i="2"/>
  <c r="L119" i="2" s="1"/>
  <c r="H118" i="2"/>
  <c r="G118" i="2"/>
  <c r="C118" i="2"/>
  <c r="L118" i="2" s="1"/>
  <c r="H117" i="2"/>
  <c r="G117" i="2"/>
  <c r="C117" i="2"/>
  <c r="L117" i="2" s="1"/>
  <c r="H116" i="2"/>
  <c r="G116" i="2"/>
  <c r="C116" i="2"/>
  <c r="L116" i="2" s="1"/>
  <c r="H115" i="2"/>
  <c r="G115" i="2"/>
  <c r="C115" i="2"/>
  <c r="L115" i="2" s="1"/>
  <c r="H114" i="2"/>
  <c r="G114" i="2"/>
  <c r="C114" i="2"/>
  <c r="L114" i="2" s="1"/>
  <c r="J112" i="2"/>
  <c r="H112" i="2"/>
  <c r="G112" i="2"/>
  <c r="F112" i="2"/>
  <c r="E112" i="2"/>
  <c r="C112" i="2"/>
  <c r="J111" i="2"/>
  <c r="H111" i="2"/>
  <c r="G111" i="2"/>
  <c r="F111" i="2"/>
  <c r="E111" i="2"/>
  <c r="C111" i="2"/>
  <c r="J110" i="2"/>
  <c r="H110" i="2"/>
  <c r="G110" i="2"/>
  <c r="F110" i="2"/>
  <c r="E110" i="2"/>
  <c r="C110" i="2"/>
  <c r="J109" i="2"/>
  <c r="H109" i="2"/>
  <c r="G109" i="2"/>
  <c r="F109" i="2"/>
  <c r="E109" i="2"/>
  <c r="C109" i="2"/>
  <c r="J108" i="2"/>
  <c r="H108" i="2"/>
  <c r="G108" i="2"/>
  <c r="F108" i="2"/>
  <c r="E108" i="2"/>
  <c r="C108" i="2"/>
  <c r="J107" i="2"/>
  <c r="H107" i="2"/>
  <c r="G107" i="2"/>
  <c r="F107" i="2"/>
  <c r="E107" i="2"/>
  <c r="C107" i="2"/>
  <c r="J106" i="2"/>
  <c r="H106" i="2"/>
  <c r="G106" i="2"/>
  <c r="F106" i="2"/>
  <c r="E106" i="2"/>
  <c r="C106" i="2"/>
  <c r="J105" i="2"/>
  <c r="H105" i="2"/>
  <c r="G105" i="2"/>
  <c r="F105" i="2"/>
  <c r="E105" i="2"/>
  <c r="C105" i="2"/>
  <c r="J104" i="2"/>
  <c r="H104" i="2"/>
  <c r="G104" i="2"/>
  <c r="F104" i="2"/>
  <c r="E104" i="2"/>
  <c r="C104" i="2"/>
  <c r="G101" i="2"/>
  <c r="C101" i="2"/>
  <c r="G100" i="2"/>
  <c r="Y100" i="2" s="1"/>
  <c r="C100" i="2"/>
  <c r="G99" i="2"/>
  <c r="N99" i="2" s="1"/>
  <c r="C99" i="2"/>
  <c r="G98" i="2"/>
  <c r="C98" i="2"/>
  <c r="G97" i="2"/>
  <c r="P97" i="2" s="1"/>
  <c r="C97" i="2"/>
  <c r="H95" i="2"/>
  <c r="G95" i="2"/>
  <c r="C95" i="2"/>
  <c r="H94" i="2"/>
  <c r="G94" i="2"/>
  <c r="C94" i="2"/>
  <c r="H93" i="2"/>
  <c r="G93" i="2"/>
  <c r="C93" i="2"/>
  <c r="H92" i="2"/>
  <c r="G92" i="2"/>
  <c r="C92" i="2"/>
  <c r="H91" i="2"/>
  <c r="G91" i="2"/>
  <c r="C91" i="2"/>
  <c r="H90" i="2"/>
  <c r="G90" i="2"/>
  <c r="C90" i="2"/>
  <c r="H89" i="2"/>
  <c r="G89" i="2"/>
  <c r="C89" i="2"/>
  <c r="H88" i="2"/>
  <c r="G88" i="2"/>
  <c r="C88" i="2"/>
  <c r="H87" i="2"/>
  <c r="G87" i="2"/>
  <c r="C87" i="2"/>
  <c r="H85" i="2"/>
  <c r="G85" i="2"/>
  <c r="C85" i="2"/>
  <c r="H84" i="2"/>
  <c r="G84" i="2"/>
  <c r="C84" i="2"/>
  <c r="H83" i="2"/>
  <c r="G83" i="2"/>
  <c r="C83" i="2"/>
  <c r="H82" i="2"/>
  <c r="G82" i="2"/>
  <c r="C82" i="2"/>
  <c r="H81" i="2"/>
  <c r="G81" i="2"/>
  <c r="C81" i="2"/>
  <c r="H80" i="2"/>
  <c r="G80" i="2"/>
  <c r="C80" i="2"/>
  <c r="H79" i="2"/>
  <c r="G79" i="2"/>
  <c r="C79" i="2"/>
  <c r="H78" i="2"/>
  <c r="G78" i="2"/>
  <c r="C78" i="2"/>
  <c r="H77" i="2"/>
  <c r="G77" i="2"/>
  <c r="C77" i="2"/>
  <c r="H75" i="2"/>
  <c r="G75" i="2"/>
  <c r="Y75" i="2" s="1"/>
  <c r="C75" i="2"/>
  <c r="H74" i="2"/>
  <c r="G74" i="2"/>
  <c r="Y74" i="2" s="1"/>
  <c r="C74" i="2"/>
  <c r="H73" i="2"/>
  <c r="G73" i="2"/>
  <c r="T73" i="2" s="1"/>
  <c r="C73" i="2"/>
  <c r="H72" i="2"/>
  <c r="G72" i="2"/>
  <c r="C72" i="2"/>
  <c r="H71" i="2"/>
  <c r="G71" i="2"/>
  <c r="AB71" i="2" s="1"/>
  <c r="C71" i="2"/>
  <c r="H70" i="2"/>
  <c r="G70" i="2"/>
  <c r="AC70" i="2" s="1"/>
  <c r="C70" i="2"/>
  <c r="H69" i="2"/>
  <c r="G69" i="2"/>
  <c r="Z69" i="2" s="1"/>
  <c r="C69" i="2"/>
  <c r="H68" i="2"/>
  <c r="G68" i="2"/>
  <c r="C68" i="2"/>
  <c r="H67" i="2"/>
  <c r="G67" i="2"/>
  <c r="Z67" i="2" s="1"/>
  <c r="C67" i="2"/>
  <c r="H63" i="2"/>
  <c r="C63" i="2"/>
  <c r="H62" i="2"/>
  <c r="G62" i="2"/>
  <c r="C62" i="2"/>
  <c r="L62" i="2" s="1"/>
  <c r="H61" i="2"/>
  <c r="G61" i="2"/>
  <c r="C61" i="2"/>
  <c r="L61" i="2" s="1"/>
  <c r="H60" i="2"/>
  <c r="G60" i="2"/>
  <c r="C60" i="2"/>
  <c r="L60" i="2" s="1"/>
  <c r="H59" i="2"/>
  <c r="G59" i="2"/>
  <c r="C59" i="2"/>
  <c r="L59" i="2" s="1"/>
  <c r="H58" i="2"/>
  <c r="G58" i="2"/>
  <c r="C58" i="2"/>
  <c r="L58" i="2" s="1"/>
  <c r="H57" i="2"/>
  <c r="G57" i="2"/>
  <c r="C57" i="2"/>
  <c r="L57" i="2" s="1"/>
  <c r="H56" i="2"/>
  <c r="G56" i="2"/>
  <c r="C56" i="2"/>
  <c r="L56" i="2" s="1"/>
  <c r="H55" i="2"/>
  <c r="G55" i="2"/>
  <c r="C55" i="2"/>
  <c r="L55" i="2" s="1"/>
  <c r="H54" i="2"/>
  <c r="G54" i="2"/>
  <c r="C54" i="2"/>
  <c r="L54" i="2" s="1"/>
  <c r="J52" i="2"/>
  <c r="H52" i="2"/>
  <c r="G52" i="2"/>
  <c r="F52" i="2"/>
  <c r="E52" i="2"/>
  <c r="C52" i="2"/>
  <c r="J51" i="2"/>
  <c r="H51" i="2"/>
  <c r="G51" i="2"/>
  <c r="F51" i="2"/>
  <c r="E51" i="2"/>
  <c r="C51" i="2"/>
  <c r="J50" i="2"/>
  <c r="H50" i="2"/>
  <c r="G50" i="2"/>
  <c r="F50" i="2"/>
  <c r="E50" i="2"/>
  <c r="C50" i="2"/>
  <c r="J49" i="2"/>
  <c r="H49" i="2"/>
  <c r="G49" i="2"/>
  <c r="F49" i="2"/>
  <c r="E49" i="2"/>
  <c r="C49" i="2"/>
  <c r="J48" i="2"/>
  <c r="H48" i="2"/>
  <c r="G48" i="2"/>
  <c r="F48" i="2"/>
  <c r="E48" i="2"/>
  <c r="C48" i="2"/>
  <c r="J47" i="2"/>
  <c r="H47" i="2"/>
  <c r="G47" i="2"/>
  <c r="F47" i="2"/>
  <c r="E47" i="2"/>
  <c r="C47" i="2"/>
  <c r="J46" i="2"/>
  <c r="H46" i="2"/>
  <c r="G46" i="2"/>
  <c r="F46" i="2"/>
  <c r="E46" i="2"/>
  <c r="C46" i="2"/>
  <c r="J45" i="2"/>
  <c r="H45" i="2"/>
  <c r="G45" i="2"/>
  <c r="F45" i="2"/>
  <c r="E45" i="2"/>
  <c r="C45" i="2"/>
  <c r="J44" i="2"/>
  <c r="H44" i="2"/>
  <c r="G44" i="2"/>
  <c r="F44" i="2"/>
  <c r="E44" i="2"/>
  <c r="C44" i="2"/>
  <c r="G41" i="2"/>
  <c r="N41" i="2" s="1"/>
  <c r="C41" i="2"/>
  <c r="G40" i="2"/>
  <c r="AC40" i="2" s="1"/>
  <c r="C40" i="2"/>
  <c r="G39" i="2"/>
  <c r="AC39" i="2" s="1"/>
  <c r="C39" i="2"/>
  <c r="G38" i="2"/>
  <c r="AE38" i="2" s="1"/>
  <c r="C38" i="2"/>
  <c r="G37" i="2"/>
  <c r="U37" i="2" s="1"/>
  <c r="C37" i="2"/>
  <c r="H35" i="2"/>
  <c r="G35" i="2"/>
  <c r="C35" i="2"/>
  <c r="H34" i="2"/>
  <c r="G34" i="2"/>
  <c r="C34" i="2"/>
  <c r="H33" i="2"/>
  <c r="G33" i="2"/>
  <c r="C33" i="2"/>
  <c r="H32" i="2"/>
  <c r="G32" i="2"/>
  <c r="C32" i="2"/>
  <c r="H31" i="2"/>
  <c r="G31" i="2"/>
  <c r="C31" i="2"/>
  <c r="H30" i="2"/>
  <c r="G30" i="2"/>
  <c r="C30" i="2"/>
  <c r="H29" i="2"/>
  <c r="G29" i="2"/>
  <c r="C29" i="2"/>
  <c r="H28" i="2"/>
  <c r="G28" i="2"/>
  <c r="C28" i="2"/>
  <c r="H27" i="2"/>
  <c r="G27" i="2"/>
  <c r="C27" i="2"/>
  <c r="H25" i="2"/>
  <c r="G25" i="2"/>
  <c r="C25" i="2"/>
  <c r="H24" i="2"/>
  <c r="G24" i="2"/>
  <c r="C24" i="2"/>
  <c r="H23" i="2"/>
  <c r="G23" i="2"/>
  <c r="C23" i="2"/>
  <c r="H22" i="2"/>
  <c r="G22" i="2"/>
  <c r="C22" i="2"/>
  <c r="H21" i="2"/>
  <c r="G21" i="2"/>
  <c r="C21" i="2"/>
  <c r="H20" i="2"/>
  <c r="G20" i="2"/>
  <c r="C20" i="2"/>
  <c r="H19" i="2"/>
  <c r="G19" i="2"/>
  <c r="C19" i="2"/>
  <c r="H18" i="2"/>
  <c r="G18" i="2"/>
  <c r="C18" i="2"/>
  <c r="H17" i="2"/>
  <c r="G17" i="2"/>
  <c r="C17" i="2"/>
  <c r="H15" i="2"/>
  <c r="G15" i="2"/>
  <c r="Y15" i="2" s="1"/>
  <c r="C15" i="2"/>
  <c r="H14" i="2"/>
  <c r="G14" i="2"/>
  <c r="AB14" i="2" s="1"/>
  <c r="C14" i="2"/>
  <c r="H13" i="2"/>
  <c r="G13" i="2"/>
  <c r="AB13" i="2" s="1"/>
  <c r="C13" i="2"/>
  <c r="H12" i="2"/>
  <c r="G12" i="2"/>
  <c r="V12" i="2" s="1"/>
  <c r="C12" i="2"/>
  <c r="H11" i="2"/>
  <c r="G11" i="2"/>
  <c r="V11" i="2" s="1"/>
  <c r="C11" i="2"/>
  <c r="H10" i="2"/>
  <c r="G10" i="2"/>
  <c r="AC10" i="2" s="1"/>
  <c r="C10" i="2"/>
  <c r="H9" i="2"/>
  <c r="G9" i="2"/>
  <c r="AB9" i="2" s="1"/>
  <c r="C9" i="2"/>
  <c r="H8" i="2"/>
  <c r="G8" i="2"/>
  <c r="Y8" i="2" s="1"/>
  <c r="C8" i="2"/>
  <c r="H7" i="2"/>
  <c r="G7" i="2"/>
  <c r="Y7" i="2" s="1"/>
  <c r="C7" i="2"/>
  <c r="B9" i="1"/>
  <c r="B8" i="1"/>
  <c r="B7" i="1"/>
  <c r="I50" i="2" s="1"/>
  <c r="Z557" i="2" l="1"/>
  <c r="AE63" i="14"/>
  <c r="X30" i="13"/>
  <c r="AB50" i="14"/>
  <c r="O58" i="14"/>
  <c r="V59" i="14"/>
  <c r="L13" i="14"/>
  <c r="X224" i="14"/>
  <c r="N224" i="14"/>
  <c r="AB224" i="14"/>
  <c r="O224" i="14"/>
  <c r="AC224" i="14"/>
  <c r="P224" i="14"/>
  <c r="AD224" i="14"/>
  <c r="M224" i="14"/>
  <c r="Q224" i="14"/>
  <c r="R224" i="14"/>
  <c r="S224" i="14"/>
  <c r="T224" i="14"/>
  <c r="U224" i="14"/>
  <c r="V224" i="14"/>
  <c r="W224" i="14"/>
  <c r="Y224" i="14"/>
  <c r="Z224" i="14"/>
  <c r="AA224" i="14"/>
  <c r="AE224" i="14"/>
  <c r="L224" i="14"/>
  <c r="W215" i="14"/>
  <c r="X215" i="14"/>
  <c r="Y215" i="14"/>
  <c r="L215" i="14"/>
  <c r="Z215" i="14"/>
  <c r="M215" i="14"/>
  <c r="AA215" i="14"/>
  <c r="N215" i="14"/>
  <c r="AB215" i="14"/>
  <c r="O215" i="14"/>
  <c r="AC215" i="14"/>
  <c r="P215" i="14"/>
  <c r="AD215" i="14"/>
  <c r="Q215" i="14"/>
  <c r="AE215" i="14"/>
  <c r="R215" i="14"/>
  <c r="S215" i="14"/>
  <c r="U215" i="14"/>
  <c r="T215" i="14"/>
  <c r="V215" i="14"/>
  <c r="AA62" i="14"/>
  <c r="V53" i="14"/>
  <c r="Q223" i="14"/>
  <c r="AE223" i="14"/>
  <c r="U223" i="14"/>
  <c r="V223" i="14"/>
  <c r="W223" i="14"/>
  <c r="M223" i="14"/>
  <c r="N223" i="14"/>
  <c r="O223" i="14"/>
  <c r="P223" i="14"/>
  <c r="R223" i="14"/>
  <c r="S223" i="14"/>
  <c r="T223" i="14"/>
  <c r="X223" i="14"/>
  <c r="Y223" i="14"/>
  <c r="Z223" i="14"/>
  <c r="L223" i="14"/>
  <c r="AA223" i="14"/>
  <c r="AB223" i="14"/>
  <c r="AC223" i="14"/>
  <c r="AD223" i="14"/>
  <c r="P214" i="14"/>
  <c r="AD214" i="14"/>
  <c r="Q214" i="14"/>
  <c r="AE214" i="14"/>
  <c r="R214" i="14"/>
  <c r="S214" i="14"/>
  <c r="T214" i="14"/>
  <c r="U214" i="14"/>
  <c r="V214" i="14"/>
  <c r="W214" i="14"/>
  <c r="X214" i="14"/>
  <c r="Y214" i="14"/>
  <c r="L214" i="14"/>
  <c r="M214" i="14"/>
  <c r="N214" i="14"/>
  <c r="O214" i="14"/>
  <c r="Z214" i="14"/>
  <c r="AA214" i="14"/>
  <c r="AC214" i="14"/>
  <c r="AB214" i="14"/>
  <c r="AC50" i="14"/>
  <c r="R61" i="14"/>
  <c r="L61" i="14"/>
  <c r="W61" i="14"/>
  <c r="X61" i="14"/>
  <c r="Y61" i="14"/>
  <c r="Z61" i="14"/>
  <c r="AA61" i="14"/>
  <c r="M61" i="14"/>
  <c r="AB61" i="14"/>
  <c r="N61" i="14"/>
  <c r="AC61" i="14"/>
  <c r="O61" i="14"/>
  <c r="AD61" i="14"/>
  <c r="P61" i="14"/>
  <c r="AE61" i="14"/>
  <c r="Q61" i="14"/>
  <c r="S61" i="14"/>
  <c r="T61" i="14"/>
  <c r="Q229" i="14"/>
  <c r="AE229" i="14"/>
  <c r="S229" i="14"/>
  <c r="T229" i="14"/>
  <c r="U229" i="14"/>
  <c r="V229" i="14"/>
  <c r="W229" i="14"/>
  <c r="O229" i="14"/>
  <c r="P229" i="14"/>
  <c r="R229" i="14"/>
  <c r="X229" i="14"/>
  <c r="Y229" i="14"/>
  <c r="Z229" i="14"/>
  <c r="AA229" i="14"/>
  <c r="AB229" i="14"/>
  <c r="AC229" i="14"/>
  <c r="AD229" i="14"/>
  <c r="L229" i="14"/>
  <c r="M229" i="14"/>
  <c r="N229" i="14"/>
  <c r="X222" i="14"/>
  <c r="N222" i="14"/>
  <c r="AB222" i="14"/>
  <c r="O222" i="14"/>
  <c r="AC222" i="14"/>
  <c r="P222" i="14"/>
  <c r="AD222" i="14"/>
  <c r="L222" i="14"/>
  <c r="M222" i="14"/>
  <c r="Q222" i="14"/>
  <c r="R222" i="14"/>
  <c r="S222" i="14"/>
  <c r="T222" i="14"/>
  <c r="U222" i="14"/>
  <c r="V222" i="14"/>
  <c r="W222" i="14"/>
  <c r="Y222" i="14"/>
  <c r="Z222" i="14"/>
  <c r="AE222" i="14"/>
  <c r="AA222" i="14"/>
  <c r="W213" i="14"/>
  <c r="X213" i="14"/>
  <c r="Y213" i="14"/>
  <c r="L213" i="14"/>
  <c r="Z213" i="14"/>
  <c r="M213" i="14"/>
  <c r="AA213" i="14"/>
  <c r="N213" i="14"/>
  <c r="AB213" i="14"/>
  <c r="O213" i="14"/>
  <c r="AC213" i="14"/>
  <c r="P213" i="14"/>
  <c r="AD213" i="14"/>
  <c r="Q213" i="14"/>
  <c r="AE213" i="14"/>
  <c r="R213" i="14"/>
  <c r="S213" i="14"/>
  <c r="U213" i="14"/>
  <c r="T213" i="14"/>
  <c r="V213" i="14"/>
  <c r="M675" i="2"/>
  <c r="M992" i="8" s="1"/>
  <c r="M993" i="8" s="1"/>
  <c r="O50" i="14"/>
  <c r="AC54" i="14"/>
  <c r="P63" i="14"/>
  <c r="P60" i="14"/>
  <c r="AD60" i="14"/>
  <c r="Q60" i="14"/>
  <c r="AE60" i="14"/>
  <c r="R60" i="14"/>
  <c r="S60" i="14"/>
  <c r="T60" i="14"/>
  <c r="U60" i="14"/>
  <c r="V60" i="14"/>
  <c r="W60" i="14"/>
  <c r="X60" i="14"/>
  <c r="Y60" i="14"/>
  <c r="L60" i="14"/>
  <c r="Z60" i="14"/>
  <c r="M60" i="14"/>
  <c r="AA60" i="14"/>
  <c r="W51" i="14"/>
  <c r="X51" i="14"/>
  <c r="Y51" i="14"/>
  <c r="L51" i="14"/>
  <c r="Z51" i="14"/>
  <c r="M51" i="14"/>
  <c r="AA51" i="14"/>
  <c r="N51" i="14"/>
  <c r="AB51" i="14"/>
  <c r="O51" i="14"/>
  <c r="AC51" i="14"/>
  <c r="P51" i="14"/>
  <c r="AD51" i="14"/>
  <c r="Q51" i="14"/>
  <c r="AE51" i="14"/>
  <c r="R51" i="14"/>
  <c r="S51" i="14"/>
  <c r="T51" i="14"/>
  <c r="V47" i="14"/>
  <c r="AB54" i="14"/>
  <c r="X228" i="14"/>
  <c r="M228" i="14"/>
  <c r="AA228" i="14"/>
  <c r="N228" i="14"/>
  <c r="AB228" i="14"/>
  <c r="O228" i="14"/>
  <c r="AC228" i="14"/>
  <c r="P228" i="14"/>
  <c r="AD228" i="14"/>
  <c r="S228" i="14"/>
  <c r="T228" i="14"/>
  <c r="U228" i="14"/>
  <c r="V228" i="14"/>
  <c r="W228" i="14"/>
  <c r="Y228" i="14"/>
  <c r="Z228" i="14"/>
  <c r="AE228" i="14"/>
  <c r="L228" i="14"/>
  <c r="Q228" i="14"/>
  <c r="R228" i="14"/>
  <c r="Q219" i="14"/>
  <c r="AE219" i="14"/>
  <c r="U219" i="14"/>
  <c r="V219" i="14"/>
  <c r="W219" i="14"/>
  <c r="AC219" i="14"/>
  <c r="L219" i="14"/>
  <c r="AD219" i="14"/>
  <c r="M219" i="14"/>
  <c r="N219" i="14"/>
  <c r="O219" i="14"/>
  <c r="P219" i="14"/>
  <c r="R219" i="14"/>
  <c r="S219" i="14"/>
  <c r="T219" i="14"/>
  <c r="X219" i="14"/>
  <c r="Y219" i="14"/>
  <c r="Z219" i="14"/>
  <c r="AA219" i="14"/>
  <c r="AB219" i="14"/>
  <c r="P212" i="14"/>
  <c r="AD212" i="14"/>
  <c r="Q212" i="14"/>
  <c r="AE212" i="14"/>
  <c r="R212" i="14"/>
  <c r="S212" i="14"/>
  <c r="T212" i="14"/>
  <c r="U212" i="14"/>
  <c r="V212" i="14"/>
  <c r="W212" i="14"/>
  <c r="X212" i="14"/>
  <c r="Y212" i="14"/>
  <c r="L212" i="14"/>
  <c r="M212" i="14"/>
  <c r="N212" i="14"/>
  <c r="O212" i="14"/>
  <c r="Z212" i="14"/>
  <c r="AA212" i="14"/>
  <c r="AC212" i="14"/>
  <c r="AB212" i="14"/>
  <c r="O54" i="14"/>
  <c r="AC60" i="14"/>
  <c r="W59" i="14"/>
  <c r="X59" i="14"/>
  <c r="Y59" i="14"/>
  <c r="L59" i="14"/>
  <c r="Z59" i="14"/>
  <c r="M59" i="14"/>
  <c r="AA59" i="14"/>
  <c r="N59" i="14"/>
  <c r="AB59" i="14"/>
  <c r="O59" i="14"/>
  <c r="AC59" i="14"/>
  <c r="P59" i="14"/>
  <c r="AD59" i="14"/>
  <c r="Q59" i="14"/>
  <c r="AE59" i="14"/>
  <c r="R59" i="14"/>
  <c r="S59" i="14"/>
  <c r="T59" i="14"/>
  <c r="P50" i="14"/>
  <c r="AD50" i="14"/>
  <c r="Q50" i="14"/>
  <c r="AE50" i="14"/>
  <c r="R50" i="14"/>
  <c r="S50" i="14"/>
  <c r="T50" i="14"/>
  <c r="U50" i="14"/>
  <c r="V50" i="14"/>
  <c r="W50" i="14"/>
  <c r="X50" i="14"/>
  <c r="Y50" i="14"/>
  <c r="L50" i="14"/>
  <c r="Z50" i="14"/>
  <c r="M50" i="14"/>
  <c r="AA50" i="14"/>
  <c r="V51" i="14"/>
  <c r="AB60" i="14"/>
  <c r="U64" i="14"/>
  <c r="Y62" i="14"/>
  <c r="S62" i="14"/>
  <c r="L62" i="14"/>
  <c r="AB62" i="14"/>
  <c r="M62" i="14"/>
  <c r="AC62" i="14"/>
  <c r="N62" i="14"/>
  <c r="AD62" i="14"/>
  <c r="O62" i="14"/>
  <c r="AE62" i="14"/>
  <c r="P62" i="14"/>
  <c r="Q62" i="14"/>
  <c r="R62" i="14"/>
  <c r="T62" i="14"/>
  <c r="U62" i="14"/>
  <c r="V62" i="14"/>
  <c r="W62" i="14"/>
  <c r="X62" i="14"/>
  <c r="P52" i="14"/>
  <c r="AD52" i="14"/>
  <c r="Q52" i="14"/>
  <c r="AE52" i="14"/>
  <c r="R52" i="14"/>
  <c r="S52" i="14"/>
  <c r="T52" i="14"/>
  <c r="U52" i="14"/>
  <c r="V52" i="14"/>
  <c r="W52" i="14"/>
  <c r="X52" i="14"/>
  <c r="Y52" i="14"/>
  <c r="L52" i="14"/>
  <c r="Z52" i="14"/>
  <c r="M52" i="14"/>
  <c r="AA52" i="14"/>
  <c r="Q227" i="14"/>
  <c r="AE227" i="14"/>
  <c r="U227" i="14"/>
  <c r="V227" i="14"/>
  <c r="W227" i="14"/>
  <c r="R227" i="14"/>
  <c r="S227" i="14"/>
  <c r="T227" i="14"/>
  <c r="X227" i="14"/>
  <c r="Y227" i="14"/>
  <c r="Z227" i="14"/>
  <c r="AA227" i="14"/>
  <c r="AB227" i="14"/>
  <c r="AC227" i="14"/>
  <c r="L227" i="14"/>
  <c r="AD227" i="14"/>
  <c r="O227" i="14"/>
  <c r="P227" i="14"/>
  <c r="M227" i="14"/>
  <c r="N227" i="14"/>
  <c r="X218" i="14"/>
  <c r="N218" i="14"/>
  <c r="AB218" i="14"/>
  <c r="O218" i="14"/>
  <c r="AC218" i="14"/>
  <c r="P218" i="14"/>
  <c r="AD218" i="14"/>
  <c r="AA218" i="14"/>
  <c r="AE218" i="14"/>
  <c r="L218" i="14"/>
  <c r="M218" i="14"/>
  <c r="Q218" i="14"/>
  <c r="R218" i="14"/>
  <c r="S218" i="14"/>
  <c r="T218" i="14"/>
  <c r="U218" i="14"/>
  <c r="V218" i="14"/>
  <c r="W218" i="14"/>
  <c r="Z218" i="14"/>
  <c r="Y218" i="14"/>
  <c r="L12" i="14"/>
  <c r="AC48" i="14"/>
  <c r="U51" i="14"/>
  <c r="O60" i="14"/>
  <c r="P58" i="14"/>
  <c r="AD58" i="14"/>
  <c r="Q58" i="14"/>
  <c r="AE58" i="14"/>
  <c r="R58" i="14"/>
  <c r="S58" i="14"/>
  <c r="T58" i="14"/>
  <c r="U58" i="14"/>
  <c r="V58" i="14"/>
  <c r="W58" i="14"/>
  <c r="X58" i="14"/>
  <c r="Y58" i="14"/>
  <c r="L58" i="14"/>
  <c r="Z58" i="14"/>
  <c r="M58" i="14"/>
  <c r="AA58" i="14"/>
  <c r="W49" i="14"/>
  <c r="X49" i="14"/>
  <c r="Y49" i="14"/>
  <c r="L49" i="14"/>
  <c r="Z49" i="14"/>
  <c r="M49" i="14"/>
  <c r="AA49" i="14"/>
  <c r="N49" i="14"/>
  <c r="AB49" i="14"/>
  <c r="O49" i="14"/>
  <c r="AC49" i="14"/>
  <c r="P49" i="14"/>
  <c r="AD49" i="14"/>
  <c r="Q49" i="14"/>
  <c r="AE49" i="14"/>
  <c r="R49" i="14"/>
  <c r="S49" i="14"/>
  <c r="T49" i="14"/>
  <c r="AB48" i="14"/>
  <c r="V57" i="14"/>
  <c r="N60" i="14"/>
  <c r="X226" i="14"/>
  <c r="N226" i="14"/>
  <c r="AB226" i="14"/>
  <c r="O226" i="14"/>
  <c r="AC226" i="14"/>
  <c r="P226" i="14"/>
  <c r="AD226" i="14"/>
  <c r="R226" i="14"/>
  <c r="S226" i="14"/>
  <c r="T226" i="14"/>
  <c r="U226" i="14"/>
  <c r="V226" i="14"/>
  <c r="W226" i="14"/>
  <c r="Y226" i="14"/>
  <c r="Z226" i="14"/>
  <c r="AA226" i="14"/>
  <c r="AE226" i="14"/>
  <c r="L226" i="14"/>
  <c r="M226" i="14"/>
  <c r="Q226" i="14"/>
  <c r="W217" i="14"/>
  <c r="X217" i="14"/>
  <c r="Y217" i="14"/>
  <c r="L217" i="14"/>
  <c r="Z217" i="14"/>
  <c r="M217" i="14"/>
  <c r="AA217" i="14"/>
  <c r="N217" i="14"/>
  <c r="AB217" i="14"/>
  <c r="O217" i="14"/>
  <c r="AC217" i="14"/>
  <c r="P217" i="14"/>
  <c r="AD217" i="14"/>
  <c r="Q217" i="14"/>
  <c r="AE217" i="14"/>
  <c r="R217" i="14"/>
  <c r="S217" i="14"/>
  <c r="U217" i="14"/>
  <c r="T217" i="14"/>
  <c r="V217" i="14"/>
  <c r="AC52" i="14"/>
  <c r="Y64" i="14"/>
  <c r="S64" i="14"/>
  <c r="V64" i="14"/>
  <c r="W64" i="14"/>
  <c r="X64" i="14"/>
  <c r="Z64" i="14"/>
  <c r="AA64" i="14"/>
  <c r="L64" i="14"/>
  <c r="AB64" i="14"/>
  <c r="M64" i="14"/>
  <c r="AC64" i="14"/>
  <c r="N64" i="14"/>
  <c r="AD64" i="14"/>
  <c r="O64" i="14"/>
  <c r="AE64" i="14"/>
  <c r="P64" i="14"/>
  <c r="Q64" i="14"/>
  <c r="R64" i="14"/>
  <c r="W57" i="14"/>
  <c r="X57" i="14"/>
  <c r="Y57" i="14"/>
  <c r="L57" i="14"/>
  <c r="Z57" i="14"/>
  <c r="M57" i="14"/>
  <c r="AA57" i="14"/>
  <c r="N57" i="14"/>
  <c r="AB57" i="14"/>
  <c r="O57" i="14"/>
  <c r="AC57" i="14"/>
  <c r="P57" i="14"/>
  <c r="AD57" i="14"/>
  <c r="Q57" i="14"/>
  <c r="AE57" i="14"/>
  <c r="R57" i="14"/>
  <c r="S57" i="14"/>
  <c r="T57" i="14"/>
  <c r="P48" i="14"/>
  <c r="AD48" i="14"/>
  <c r="Q48" i="14"/>
  <c r="AE48" i="14"/>
  <c r="R48" i="14"/>
  <c r="S48" i="14"/>
  <c r="T48" i="14"/>
  <c r="U48" i="14"/>
  <c r="V48" i="14"/>
  <c r="W48" i="14"/>
  <c r="X48" i="14"/>
  <c r="Y48" i="14"/>
  <c r="L48" i="14"/>
  <c r="Z48" i="14"/>
  <c r="M48" i="14"/>
  <c r="AA48" i="14"/>
  <c r="O276" i="2"/>
  <c r="N48" i="14"/>
  <c r="AB52" i="14"/>
  <c r="V61" i="14"/>
  <c r="W53" i="14"/>
  <c r="X53" i="14"/>
  <c r="Y53" i="14"/>
  <c r="L53" i="14"/>
  <c r="Z53" i="14"/>
  <c r="M53" i="14"/>
  <c r="AA53" i="14"/>
  <c r="N53" i="14"/>
  <c r="AB53" i="14"/>
  <c r="O53" i="14"/>
  <c r="AC53" i="14"/>
  <c r="P53" i="14"/>
  <c r="AD53" i="14"/>
  <c r="Q53" i="14"/>
  <c r="AE53" i="14"/>
  <c r="R53" i="14"/>
  <c r="S53" i="14"/>
  <c r="T53" i="14"/>
  <c r="Q225" i="14"/>
  <c r="AE225" i="14"/>
  <c r="U225" i="14"/>
  <c r="V225" i="14"/>
  <c r="W225" i="14"/>
  <c r="O225" i="14"/>
  <c r="P225" i="14"/>
  <c r="R225" i="14"/>
  <c r="S225" i="14"/>
  <c r="T225" i="14"/>
  <c r="X225" i="14"/>
  <c r="Y225" i="14"/>
  <c r="Z225" i="14"/>
  <c r="AA225" i="14"/>
  <c r="AB225" i="14"/>
  <c r="M225" i="14"/>
  <c r="N225" i="14"/>
  <c r="AC225" i="14"/>
  <c r="L225" i="14"/>
  <c r="AD225" i="14"/>
  <c r="P216" i="14"/>
  <c r="AD216" i="14"/>
  <c r="Q216" i="14"/>
  <c r="AE216" i="14"/>
  <c r="R216" i="14"/>
  <c r="S216" i="14"/>
  <c r="T216" i="14"/>
  <c r="U216" i="14"/>
  <c r="V216" i="14"/>
  <c r="W216" i="14"/>
  <c r="X216" i="14"/>
  <c r="Y216" i="14"/>
  <c r="L216" i="14"/>
  <c r="M216" i="14"/>
  <c r="N216" i="14"/>
  <c r="O216" i="14"/>
  <c r="Z216" i="14"/>
  <c r="AA216" i="14"/>
  <c r="AC216" i="14"/>
  <c r="AB216" i="14"/>
  <c r="O52" i="14"/>
  <c r="AC58" i="14"/>
  <c r="U61" i="14"/>
  <c r="R63" i="14"/>
  <c r="L63" i="14"/>
  <c r="Z63" i="14"/>
  <c r="Q63" i="14"/>
  <c r="S63" i="14"/>
  <c r="T63" i="14"/>
  <c r="U63" i="14"/>
  <c r="V63" i="14"/>
  <c r="W63" i="14"/>
  <c r="X63" i="14"/>
  <c r="Y63" i="14"/>
  <c r="AA63" i="14"/>
  <c r="AB63" i="14"/>
  <c r="M63" i="14"/>
  <c r="AC63" i="14"/>
  <c r="N63" i="14"/>
  <c r="AD63" i="14"/>
  <c r="P54" i="14"/>
  <c r="AD54" i="14"/>
  <c r="Q54" i="14"/>
  <c r="AE54" i="14"/>
  <c r="R54" i="14"/>
  <c r="S54" i="14"/>
  <c r="T54" i="14"/>
  <c r="U54" i="14"/>
  <c r="V54" i="14"/>
  <c r="W54" i="14"/>
  <c r="X54" i="14"/>
  <c r="Y54" i="14"/>
  <c r="L54" i="14"/>
  <c r="Z54" i="14"/>
  <c r="M54" i="14"/>
  <c r="AA54" i="14"/>
  <c r="W47" i="14"/>
  <c r="X47" i="14"/>
  <c r="Y47" i="14"/>
  <c r="L47" i="14"/>
  <c r="Z47" i="14"/>
  <c r="M47" i="14"/>
  <c r="AA47" i="14"/>
  <c r="N47" i="14"/>
  <c r="AB47" i="14"/>
  <c r="O47" i="14"/>
  <c r="AC47" i="14"/>
  <c r="P47" i="14"/>
  <c r="AD47" i="14"/>
  <c r="Q47" i="14"/>
  <c r="AE47" i="14"/>
  <c r="R47" i="14"/>
  <c r="S47" i="14"/>
  <c r="T47" i="14"/>
  <c r="V49" i="14"/>
  <c r="N52" i="14"/>
  <c r="AB58" i="14"/>
  <c r="AA31" i="13"/>
  <c r="M15" i="13"/>
  <c r="M35" i="13" s="1"/>
  <c r="AB15" i="13"/>
  <c r="AB35" i="13" s="1"/>
  <c r="AB17" i="13"/>
  <c r="AB37" i="13" s="1"/>
  <c r="M17" i="13"/>
  <c r="M37" i="13" s="1"/>
  <c r="AB11" i="13"/>
  <c r="AB31" i="13" s="1"/>
  <c r="M11" i="13"/>
  <c r="M31" i="13" s="1"/>
  <c r="AB13" i="13"/>
  <c r="AB33" i="13" s="1"/>
  <c r="M13" i="13"/>
  <c r="M33" i="13" s="1"/>
  <c r="P1032" i="8"/>
  <c r="P1033" i="8" s="1"/>
  <c r="T656" i="8"/>
  <c r="T657" i="8" s="1"/>
  <c r="S1048" i="8"/>
  <c r="S1049" i="8" s="1"/>
  <c r="P153" i="13"/>
  <c r="AD153" i="13"/>
  <c r="Q153" i="13"/>
  <c r="AE153" i="13"/>
  <c r="R153" i="13"/>
  <c r="S153" i="13"/>
  <c r="T153" i="13"/>
  <c r="U153" i="13"/>
  <c r="V153" i="13"/>
  <c r="W153" i="13"/>
  <c r="X153" i="13"/>
  <c r="M153" i="13"/>
  <c r="AA153" i="13"/>
  <c r="O153" i="13"/>
  <c r="Y153" i="13"/>
  <c r="Z153" i="13"/>
  <c r="AB153" i="13"/>
  <c r="AC153" i="13"/>
  <c r="S656" i="8"/>
  <c r="S657" i="8" s="1"/>
  <c r="Y652" i="8"/>
  <c r="Y653" i="8" s="1"/>
  <c r="AE648" i="8"/>
  <c r="AE649" i="8" s="1"/>
  <c r="Q648" i="8"/>
  <c r="Q649" i="8" s="1"/>
  <c r="W644" i="8"/>
  <c r="W645" i="8" s="1"/>
  <c r="AC640" i="8"/>
  <c r="AC641" i="8" s="1"/>
  <c r="O640" i="8"/>
  <c r="O641" i="8" s="1"/>
  <c r="AA632" i="8"/>
  <c r="AA633" i="8" s="1"/>
  <c r="M632" i="8"/>
  <c r="M633" i="8" s="1"/>
  <c r="S628" i="8"/>
  <c r="S629" i="8" s="1"/>
  <c r="Y16" i="13"/>
  <c r="Y36" i="13" s="1"/>
  <c r="L16" i="13"/>
  <c r="L36" i="13" s="1"/>
  <c r="Z16" i="13"/>
  <c r="Z36" i="13" s="1"/>
  <c r="M16" i="13"/>
  <c r="M36" i="13" s="1"/>
  <c r="AA16" i="13"/>
  <c r="AA36" i="13" s="1"/>
  <c r="N16" i="13"/>
  <c r="N36" i="13" s="1"/>
  <c r="AB16" i="13"/>
  <c r="AB36" i="13" s="1"/>
  <c r="O16" i="13"/>
  <c r="O36" i="13" s="1"/>
  <c r="AC16" i="13"/>
  <c r="AC36" i="13" s="1"/>
  <c r="P16" i="13"/>
  <c r="P36" i="13" s="1"/>
  <c r="AD16" i="13"/>
  <c r="AD36" i="13" s="1"/>
  <c r="Q16" i="13"/>
  <c r="Q36" i="13" s="1"/>
  <c r="AE16" i="13"/>
  <c r="AE36" i="13" s="1"/>
  <c r="R16" i="13"/>
  <c r="R36" i="13" s="1"/>
  <c r="S16" i="13"/>
  <c r="S36" i="13" s="1"/>
  <c r="V16" i="13"/>
  <c r="V36" i="13" s="1"/>
  <c r="Z1052" i="8"/>
  <c r="Z1053" i="8" s="1"/>
  <c r="L1052" i="8"/>
  <c r="L1053" i="8" s="1"/>
  <c r="R1048" i="8"/>
  <c r="R1049" i="8" s="1"/>
  <c r="X1044" i="8"/>
  <c r="X1045" i="8" s="1"/>
  <c r="AD1040" i="8"/>
  <c r="AD1041" i="8" s="1"/>
  <c r="P1040" i="8"/>
  <c r="P1041" i="8" s="1"/>
  <c r="V1036" i="8"/>
  <c r="V1037" i="8" s="1"/>
  <c r="AB1032" i="8"/>
  <c r="AB1033" i="8" s="1"/>
  <c r="N1032" i="8"/>
  <c r="N1033" i="8" s="1"/>
  <c r="T1028" i="8"/>
  <c r="T1029" i="8" s="1"/>
  <c r="Z1024" i="8"/>
  <c r="Z1025" i="8" s="1"/>
  <c r="L1024" i="8"/>
  <c r="L1025" i="8" s="1"/>
  <c r="AA13" i="13"/>
  <c r="AA33" i="13" s="1"/>
  <c r="AA15" i="13"/>
  <c r="AA35" i="13" s="1"/>
  <c r="AA17" i="13"/>
  <c r="AA37" i="13" s="1"/>
  <c r="O151" i="13"/>
  <c r="U656" i="8"/>
  <c r="U657" i="8" s="1"/>
  <c r="Y644" i="8"/>
  <c r="Y645" i="8" s="1"/>
  <c r="Z652" i="8"/>
  <c r="Z653" i="8" s="1"/>
  <c r="L652" i="8"/>
  <c r="L653" i="8" s="1"/>
  <c r="R648" i="8"/>
  <c r="R649" i="8" s="1"/>
  <c r="X644" i="8"/>
  <c r="X645" i="8" s="1"/>
  <c r="V636" i="8"/>
  <c r="V637" i="8" s="1"/>
  <c r="T628" i="8"/>
  <c r="T629" i="8" s="1"/>
  <c r="AA1052" i="8"/>
  <c r="AA1053" i="8" s="1"/>
  <c r="M1052" i="8"/>
  <c r="M1053" i="8" s="1"/>
  <c r="Y1044" i="8"/>
  <c r="Y1045" i="8" s="1"/>
  <c r="AE1040" i="8"/>
  <c r="AE1041" i="8" s="1"/>
  <c r="Q1040" i="8"/>
  <c r="Q1041" i="8" s="1"/>
  <c r="W1036" i="8"/>
  <c r="W1037" i="8" s="1"/>
  <c r="AC1032" i="8"/>
  <c r="AC1033" i="8" s="1"/>
  <c r="O1032" i="8"/>
  <c r="O1033" i="8" s="1"/>
  <c r="U1028" i="8"/>
  <c r="U1029" i="8" s="1"/>
  <c r="AA1024" i="8"/>
  <c r="AA1025" i="8" s="1"/>
  <c r="M1024" i="8"/>
  <c r="M1025" i="8" s="1"/>
  <c r="R656" i="8"/>
  <c r="R657" i="8" s="1"/>
  <c r="X652" i="8"/>
  <c r="X653" i="8" s="1"/>
  <c r="AD648" i="8"/>
  <c r="AD649" i="8" s="1"/>
  <c r="P648" i="8"/>
  <c r="P649" i="8" s="1"/>
  <c r="V644" i="8"/>
  <c r="V645" i="8" s="1"/>
  <c r="T636" i="8"/>
  <c r="T637" i="8" s="1"/>
  <c r="Z632" i="8"/>
  <c r="Z633" i="8" s="1"/>
  <c r="L632" i="8"/>
  <c r="L633" i="8" s="1"/>
  <c r="R628" i="8"/>
  <c r="R629" i="8" s="1"/>
  <c r="R11" i="13"/>
  <c r="R31" i="13" s="1"/>
  <c r="S11" i="13"/>
  <c r="S31" i="13" s="1"/>
  <c r="T11" i="13"/>
  <c r="T31" i="13" s="1"/>
  <c r="U11" i="13"/>
  <c r="U31" i="13" s="1"/>
  <c r="V11" i="13"/>
  <c r="V31" i="13" s="1"/>
  <c r="W11" i="13"/>
  <c r="W31" i="13" s="1"/>
  <c r="X11" i="13"/>
  <c r="X31" i="13" s="1"/>
  <c r="Y11" i="13"/>
  <c r="Y31" i="13" s="1"/>
  <c r="L11" i="13"/>
  <c r="L31" i="13" s="1"/>
  <c r="Z11" i="13"/>
  <c r="Z31" i="13" s="1"/>
  <c r="O11" i="13"/>
  <c r="O31" i="13" s="1"/>
  <c r="AC11" i="13"/>
  <c r="AC31" i="13" s="1"/>
  <c r="Y1052" i="8"/>
  <c r="Y1053" i="8" s="1"/>
  <c r="AE1048" i="8"/>
  <c r="AE1049" i="8" s="1"/>
  <c r="Q1048" i="8"/>
  <c r="Q1049" i="8" s="1"/>
  <c r="W1044" i="8"/>
  <c r="W1045" i="8" s="1"/>
  <c r="AC1040" i="8"/>
  <c r="AC1041" i="8" s="1"/>
  <c r="O1040" i="8"/>
  <c r="O1041" i="8" s="1"/>
  <c r="AA1032" i="8"/>
  <c r="AA1033" i="8" s="1"/>
  <c r="M1032" i="8"/>
  <c r="M1033" i="8" s="1"/>
  <c r="S1028" i="8"/>
  <c r="S1029" i="8" s="1"/>
  <c r="Y1024" i="8"/>
  <c r="Y1025" i="8" s="1"/>
  <c r="Q11" i="13"/>
  <c r="Q31" i="13" s="1"/>
  <c r="Q13" i="13"/>
  <c r="Q33" i="13" s="1"/>
  <c r="Q15" i="13"/>
  <c r="Q35" i="13" s="1"/>
  <c r="Q17" i="13"/>
  <c r="Q37" i="13" s="1"/>
  <c r="P11" i="13"/>
  <c r="P31" i="13" s="1"/>
  <c r="P13" i="13"/>
  <c r="P33" i="13" s="1"/>
  <c r="P17" i="13"/>
  <c r="P37" i="13" s="1"/>
  <c r="P35" i="13"/>
  <c r="S648" i="8"/>
  <c r="S649" i="8" s="1"/>
  <c r="N1052" i="8"/>
  <c r="N1053" i="8" s="1"/>
  <c r="AE656" i="8"/>
  <c r="AE657" i="8" s="1"/>
  <c r="Q656" i="8"/>
  <c r="Q657" i="8" s="1"/>
  <c r="W652" i="8"/>
  <c r="W653" i="8" s="1"/>
  <c r="AC648" i="8"/>
  <c r="AC649" i="8" s="1"/>
  <c r="O648" i="8"/>
  <c r="O649" i="8" s="1"/>
  <c r="U644" i="8"/>
  <c r="U645" i="8" s="1"/>
  <c r="AA640" i="8"/>
  <c r="AA641" i="8" s="1"/>
  <c r="M640" i="8"/>
  <c r="M641" i="8" s="1"/>
  <c r="S636" i="8"/>
  <c r="S637" i="8" s="1"/>
  <c r="Y632" i="8"/>
  <c r="Y633" i="8" s="1"/>
  <c r="AE628" i="8"/>
  <c r="AE629" i="8" s="1"/>
  <c r="Q628" i="8"/>
  <c r="Q629" i="8" s="1"/>
  <c r="X1052" i="8"/>
  <c r="X1053" i="8" s="1"/>
  <c r="AD1048" i="8"/>
  <c r="AD1049" i="8" s="1"/>
  <c r="P1048" i="8"/>
  <c r="P1049" i="8" s="1"/>
  <c r="V1044" i="8"/>
  <c r="V1045" i="8" s="1"/>
  <c r="AB1040" i="8"/>
  <c r="AB1041" i="8" s="1"/>
  <c r="N1040" i="8"/>
  <c r="N1041" i="8" s="1"/>
  <c r="T1036" i="8"/>
  <c r="T1037" i="8" s="1"/>
  <c r="Z1032" i="8"/>
  <c r="Z1033" i="8" s="1"/>
  <c r="L1032" i="8"/>
  <c r="L1033" i="8" s="1"/>
  <c r="R1028" i="8"/>
  <c r="R1029" i="8" s="1"/>
  <c r="X1024" i="8"/>
  <c r="X1025" i="8" s="1"/>
  <c r="W152" i="13"/>
  <c r="X152" i="13"/>
  <c r="Y152" i="13"/>
  <c r="L152" i="13"/>
  <c r="Z152" i="13"/>
  <c r="M152" i="13"/>
  <c r="AA152" i="13"/>
  <c r="N152" i="13"/>
  <c r="AB152" i="13"/>
  <c r="O152" i="13"/>
  <c r="AC152" i="13"/>
  <c r="P152" i="13"/>
  <c r="AD152" i="13"/>
  <c r="Q152" i="13"/>
  <c r="AE152" i="13"/>
  <c r="T152" i="13"/>
  <c r="R152" i="13"/>
  <c r="S152" i="13"/>
  <c r="U152" i="13"/>
  <c r="V152" i="13"/>
  <c r="AD656" i="8"/>
  <c r="AD657" i="8" s="1"/>
  <c r="P656" i="8"/>
  <c r="P657" i="8" s="1"/>
  <c r="V652" i="8"/>
  <c r="V653" i="8" s="1"/>
  <c r="AB648" i="8"/>
  <c r="AB649" i="8" s="1"/>
  <c r="N648" i="8"/>
  <c r="N649" i="8" s="1"/>
  <c r="T644" i="8"/>
  <c r="T645" i="8" s="1"/>
  <c r="Z640" i="8"/>
  <c r="Z641" i="8" s="1"/>
  <c r="L640" i="8"/>
  <c r="L641" i="8" s="1"/>
  <c r="R636" i="8"/>
  <c r="R637" i="8" s="1"/>
  <c r="X632" i="8"/>
  <c r="X633" i="8" s="1"/>
  <c r="AD628" i="8"/>
  <c r="AD629" i="8" s="1"/>
  <c r="P628" i="8"/>
  <c r="P629" i="8" s="1"/>
  <c r="R15" i="13"/>
  <c r="R35" i="13" s="1"/>
  <c r="S15" i="13"/>
  <c r="S35" i="13" s="1"/>
  <c r="T15" i="13"/>
  <c r="T35" i="13" s="1"/>
  <c r="U15" i="13"/>
  <c r="U35" i="13" s="1"/>
  <c r="V15" i="13"/>
  <c r="V35" i="13" s="1"/>
  <c r="W15" i="13"/>
  <c r="W35" i="13" s="1"/>
  <c r="X15" i="13"/>
  <c r="X35" i="13" s="1"/>
  <c r="Y15" i="13"/>
  <c r="Y35" i="13" s="1"/>
  <c r="L15" i="13"/>
  <c r="L35" i="13" s="1"/>
  <c r="Z15" i="13"/>
  <c r="Z35" i="13" s="1"/>
  <c r="O15" i="13"/>
  <c r="O35" i="13" s="1"/>
  <c r="AC15" i="13"/>
  <c r="AC35" i="13" s="1"/>
  <c r="W1052" i="8"/>
  <c r="W1053" i="8" s="1"/>
  <c r="AC1048" i="8"/>
  <c r="AC1049" i="8" s="1"/>
  <c r="O1048" i="8"/>
  <c r="O1049" i="8" s="1"/>
  <c r="U1044" i="8"/>
  <c r="U1045" i="8" s="1"/>
  <c r="AA1040" i="8"/>
  <c r="AA1041" i="8" s="1"/>
  <c r="M1040" i="8"/>
  <c r="M1041" i="8" s="1"/>
  <c r="S1036" i="8"/>
  <c r="S1037" i="8" s="1"/>
  <c r="Y1032" i="8"/>
  <c r="Y1033" i="8" s="1"/>
  <c r="AE1028" i="8"/>
  <c r="AE1029" i="8" s="1"/>
  <c r="Q1028" i="8"/>
  <c r="Q1029" i="8" s="1"/>
  <c r="W1024" i="8"/>
  <c r="W1025" i="8" s="1"/>
  <c r="N11" i="13"/>
  <c r="N31" i="13" s="1"/>
  <c r="N15" i="13"/>
  <c r="N35" i="13" s="1"/>
  <c r="N33" i="13"/>
  <c r="N37" i="13"/>
  <c r="N153" i="13"/>
  <c r="M652" i="8"/>
  <c r="M653" i="8" s="1"/>
  <c r="AC632" i="8"/>
  <c r="AC633" i="8" s="1"/>
  <c r="O632" i="8"/>
  <c r="O633" i="8" s="1"/>
  <c r="Y12" i="13"/>
  <c r="Y32" i="13" s="1"/>
  <c r="L12" i="13"/>
  <c r="L32" i="13" s="1"/>
  <c r="Z12" i="13"/>
  <c r="Z32" i="13" s="1"/>
  <c r="M12" i="13"/>
  <c r="M32" i="13" s="1"/>
  <c r="AA12" i="13"/>
  <c r="AA32" i="13" s="1"/>
  <c r="N12" i="13"/>
  <c r="N32" i="13" s="1"/>
  <c r="AB12" i="13"/>
  <c r="AB32" i="13" s="1"/>
  <c r="O12" i="13"/>
  <c r="O32" i="13" s="1"/>
  <c r="AC12" i="13"/>
  <c r="AC32" i="13" s="1"/>
  <c r="P12" i="13"/>
  <c r="P32" i="13" s="1"/>
  <c r="AD12" i="13"/>
  <c r="AD32" i="13" s="1"/>
  <c r="Q12" i="13"/>
  <c r="Q32" i="13" s="1"/>
  <c r="AE12" i="13"/>
  <c r="AE32" i="13" s="1"/>
  <c r="R12" i="13"/>
  <c r="R32" i="13" s="1"/>
  <c r="S12" i="13"/>
  <c r="S32" i="13" s="1"/>
  <c r="V12" i="13"/>
  <c r="V32" i="13" s="1"/>
  <c r="L1044" i="8"/>
  <c r="L1045" i="8" s="1"/>
  <c r="AC656" i="8"/>
  <c r="AC657" i="8" s="1"/>
  <c r="O656" i="8"/>
  <c r="O657" i="8" s="1"/>
  <c r="AA648" i="8"/>
  <c r="AA649" i="8" s="1"/>
  <c r="O628" i="8"/>
  <c r="O629" i="8" s="1"/>
  <c r="V1052" i="8"/>
  <c r="V1053" i="8" s="1"/>
  <c r="AD1028" i="8"/>
  <c r="AD1029" i="8" s="1"/>
  <c r="P1028" i="8"/>
  <c r="P1029" i="8" s="1"/>
  <c r="V1024" i="8"/>
  <c r="V1025" i="8" s="1"/>
  <c r="W156" i="13"/>
  <c r="X156" i="13"/>
  <c r="Y156" i="13"/>
  <c r="L156" i="13"/>
  <c r="Z156" i="13"/>
  <c r="M156" i="13"/>
  <c r="AA156" i="13"/>
  <c r="N156" i="13"/>
  <c r="AB156" i="13"/>
  <c r="O156" i="13"/>
  <c r="AC156" i="13"/>
  <c r="P156" i="13"/>
  <c r="AD156" i="13"/>
  <c r="Q156" i="13"/>
  <c r="AE156" i="13"/>
  <c r="T156" i="13"/>
  <c r="R156" i="13"/>
  <c r="S156" i="13"/>
  <c r="V156" i="13"/>
  <c r="N656" i="8"/>
  <c r="N657" i="8" s="1"/>
  <c r="T652" i="8"/>
  <c r="T653" i="8" s="1"/>
  <c r="Z648" i="8"/>
  <c r="Z649" i="8" s="1"/>
  <c r="X640" i="8"/>
  <c r="X641" i="8" s="1"/>
  <c r="AD636" i="8"/>
  <c r="AD637" i="8" s="1"/>
  <c r="P636" i="8"/>
  <c r="P637" i="8" s="1"/>
  <c r="V632" i="8"/>
  <c r="V633" i="8" s="1"/>
  <c r="AB628" i="8"/>
  <c r="AB629" i="8" s="1"/>
  <c r="N628" i="8"/>
  <c r="N629" i="8" s="1"/>
  <c r="U1052" i="8"/>
  <c r="U1053" i="8" s="1"/>
  <c r="AA1048" i="8"/>
  <c r="AA1049" i="8" s="1"/>
  <c r="M1048" i="8"/>
  <c r="M1049" i="8" s="1"/>
  <c r="S1044" i="8"/>
  <c r="S1045" i="8" s="1"/>
  <c r="Y1040" i="8"/>
  <c r="Y1041" i="8" s="1"/>
  <c r="AE1036" i="8"/>
  <c r="AE1037" i="8" s="1"/>
  <c r="Q1036" i="8"/>
  <c r="Q1037" i="8" s="1"/>
  <c r="AC1028" i="8"/>
  <c r="AC1029" i="8" s="1"/>
  <c r="O1028" i="8"/>
  <c r="O1029" i="8" s="1"/>
  <c r="U1024" i="8"/>
  <c r="U1025" i="8" s="1"/>
  <c r="P151" i="13"/>
  <c r="AD151" i="13"/>
  <c r="Q151" i="13"/>
  <c r="AE151" i="13"/>
  <c r="R151" i="13"/>
  <c r="S151" i="13"/>
  <c r="T151" i="13"/>
  <c r="U151" i="13"/>
  <c r="V151" i="13"/>
  <c r="W151" i="13"/>
  <c r="X151" i="13"/>
  <c r="M151" i="13"/>
  <c r="AA151" i="13"/>
  <c r="Y151" i="13"/>
  <c r="Z151" i="13"/>
  <c r="AB151" i="13"/>
  <c r="AC151" i="13"/>
  <c r="L151" i="13"/>
  <c r="L153" i="13"/>
  <c r="U652" i="8"/>
  <c r="U653" i="8" s="1"/>
  <c r="AA656" i="8"/>
  <c r="AA657" i="8" s="1"/>
  <c r="M656" i="8"/>
  <c r="M657" i="8" s="1"/>
  <c r="S652" i="8"/>
  <c r="S653" i="8" s="1"/>
  <c r="Y648" i="8"/>
  <c r="Y649" i="8" s="1"/>
  <c r="AE644" i="8"/>
  <c r="AE645" i="8" s="1"/>
  <c r="W640" i="8"/>
  <c r="W641" i="8" s="1"/>
  <c r="AC636" i="8"/>
  <c r="AC637" i="8" s="1"/>
  <c r="O636" i="8"/>
  <c r="O637" i="8" s="1"/>
  <c r="U632" i="8"/>
  <c r="U633" i="8" s="1"/>
  <c r="AA628" i="8"/>
  <c r="AA629" i="8" s="1"/>
  <c r="M628" i="8"/>
  <c r="M629" i="8" s="1"/>
  <c r="Y14" i="13"/>
  <c r="Y34" i="13" s="1"/>
  <c r="L14" i="13"/>
  <c r="L34" i="13" s="1"/>
  <c r="Z14" i="13"/>
  <c r="Z34" i="13" s="1"/>
  <c r="M14" i="13"/>
  <c r="M34" i="13" s="1"/>
  <c r="AA14" i="13"/>
  <c r="AA34" i="13" s="1"/>
  <c r="N14" i="13"/>
  <c r="N34" i="13" s="1"/>
  <c r="AB14" i="13"/>
  <c r="AB34" i="13" s="1"/>
  <c r="O14" i="13"/>
  <c r="O34" i="13" s="1"/>
  <c r="AC14" i="13"/>
  <c r="AC34" i="13" s="1"/>
  <c r="P14" i="13"/>
  <c r="P34" i="13" s="1"/>
  <c r="AD14" i="13"/>
  <c r="AD34" i="13" s="1"/>
  <c r="Q14" i="13"/>
  <c r="Q34" i="13" s="1"/>
  <c r="AE14" i="13"/>
  <c r="AE34" i="13" s="1"/>
  <c r="R14" i="13"/>
  <c r="R34" i="13" s="1"/>
  <c r="S14" i="13"/>
  <c r="S34" i="13" s="1"/>
  <c r="V14" i="13"/>
  <c r="V34" i="13" s="1"/>
  <c r="T1052" i="8"/>
  <c r="T1053" i="8" s="1"/>
  <c r="L1048" i="8"/>
  <c r="L1049" i="8" s="1"/>
  <c r="R1044" i="8"/>
  <c r="R1045" i="8" s="1"/>
  <c r="X1040" i="8"/>
  <c r="X1041" i="8" s="1"/>
  <c r="AD1036" i="8"/>
  <c r="AD1037" i="8" s="1"/>
  <c r="P1036" i="8"/>
  <c r="P1037" i="8" s="1"/>
  <c r="V1032" i="8"/>
  <c r="V1033" i="8" s="1"/>
  <c r="AB1028" i="8"/>
  <c r="AB1029" i="8" s="1"/>
  <c r="N1028" i="8"/>
  <c r="N1029" i="8" s="1"/>
  <c r="T1024" i="8"/>
  <c r="T1025" i="8" s="1"/>
  <c r="X12" i="13"/>
  <c r="X32" i="13" s="1"/>
  <c r="X14" i="13"/>
  <c r="X34" i="13" s="1"/>
  <c r="X16" i="13"/>
  <c r="X36" i="13" s="1"/>
  <c r="AB1052" i="8"/>
  <c r="AB1053" i="8" s="1"/>
  <c r="T1048" i="8"/>
  <c r="T1049" i="8" s="1"/>
  <c r="Z1044" i="8"/>
  <c r="Z1045" i="8" s="1"/>
  <c r="X1036" i="8"/>
  <c r="X1037" i="8" s="1"/>
  <c r="AD1032" i="8"/>
  <c r="AD1033" i="8" s="1"/>
  <c r="N1024" i="8"/>
  <c r="N1025" i="8" s="1"/>
  <c r="S644" i="8"/>
  <c r="S645" i="8" s="1"/>
  <c r="Y640" i="8"/>
  <c r="Y641" i="8" s="1"/>
  <c r="AE636" i="8"/>
  <c r="AE637" i="8" s="1"/>
  <c r="Q636" i="8"/>
  <c r="Q637" i="8" s="1"/>
  <c r="W632" i="8"/>
  <c r="W633" i="8" s="1"/>
  <c r="AC628" i="8"/>
  <c r="AC629" i="8" s="1"/>
  <c r="Y10" i="13"/>
  <c r="Y30" i="13" s="1"/>
  <c r="L10" i="13"/>
  <c r="L30" i="13" s="1"/>
  <c r="Z10" i="13"/>
  <c r="Z30" i="13" s="1"/>
  <c r="M10" i="13"/>
  <c r="M30" i="13" s="1"/>
  <c r="AA10" i="13"/>
  <c r="AA30" i="13" s="1"/>
  <c r="N10" i="13"/>
  <c r="N30" i="13" s="1"/>
  <c r="AB10" i="13"/>
  <c r="AB30" i="13" s="1"/>
  <c r="O10" i="13"/>
  <c r="O30" i="13" s="1"/>
  <c r="AC10" i="13"/>
  <c r="AC30" i="13" s="1"/>
  <c r="P10" i="13"/>
  <c r="P30" i="13" s="1"/>
  <c r="AD10" i="13"/>
  <c r="AD30" i="13" s="1"/>
  <c r="Q10" i="13"/>
  <c r="Q30" i="13" s="1"/>
  <c r="AE10" i="13"/>
  <c r="AE30" i="13" s="1"/>
  <c r="R10" i="13"/>
  <c r="R30" i="13" s="1"/>
  <c r="S10" i="13"/>
  <c r="S30" i="13" s="1"/>
  <c r="V10" i="13"/>
  <c r="V30" i="13" s="1"/>
  <c r="N1048" i="8"/>
  <c r="N1049" i="8" s="1"/>
  <c r="T1044" i="8"/>
  <c r="T1045" i="8" s="1"/>
  <c r="Z1040" i="8"/>
  <c r="Z1041" i="8" s="1"/>
  <c r="L1040" i="8"/>
  <c r="L1041" i="8" s="1"/>
  <c r="R1036" i="8"/>
  <c r="R1037" i="8" s="1"/>
  <c r="L656" i="8"/>
  <c r="L657" i="8" s="1"/>
  <c r="R652" i="8"/>
  <c r="R653" i="8" s="1"/>
  <c r="X648" i="8"/>
  <c r="X649" i="8" s="1"/>
  <c r="AD644" i="8"/>
  <c r="AD645" i="8" s="1"/>
  <c r="P644" i="8"/>
  <c r="P645" i="8" s="1"/>
  <c r="V640" i="8"/>
  <c r="V641" i="8" s="1"/>
  <c r="AB636" i="8"/>
  <c r="AB637" i="8" s="1"/>
  <c r="N636" i="8"/>
  <c r="N637" i="8" s="1"/>
  <c r="T632" i="8"/>
  <c r="T633" i="8" s="1"/>
  <c r="Z628" i="8"/>
  <c r="Z629" i="8" s="1"/>
  <c r="L628" i="8"/>
  <c r="L629" i="8" s="1"/>
  <c r="S1052" i="8"/>
  <c r="S1053" i="8" s="1"/>
  <c r="Y1048" i="8"/>
  <c r="Y1049" i="8" s="1"/>
  <c r="AE1044" i="8"/>
  <c r="AE1045" i="8" s="1"/>
  <c r="Q1044" i="8"/>
  <c r="Q1045" i="8" s="1"/>
  <c r="W1040" i="8"/>
  <c r="W1041" i="8" s="1"/>
  <c r="AC1036" i="8"/>
  <c r="AC1037" i="8" s="1"/>
  <c r="O1036" i="8"/>
  <c r="O1037" i="8" s="1"/>
  <c r="U1032" i="8"/>
  <c r="U1033" i="8" s="1"/>
  <c r="AA1028" i="8"/>
  <c r="AA1029" i="8" s="1"/>
  <c r="M1028" i="8"/>
  <c r="M1029" i="8" s="1"/>
  <c r="S1024" i="8"/>
  <c r="S1025" i="8" s="1"/>
  <c r="P155" i="13"/>
  <c r="AD155" i="13"/>
  <c r="Q155" i="13"/>
  <c r="AE155" i="13"/>
  <c r="R155" i="13"/>
  <c r="S155" i="13"/>
  <c r="T155" i="13"/>
  <c r="U155" i="13"/>
  <c r="V155" i="13"/>
  <c r="W155" i="13"/>
  <c r="X155" i="13"/>
  <c r="M155" i="13"/>
  <c r="AA155" i="13"/>
  <c r="N155" i="13"/>
  <c r="O155" i="13"/>
  <c r="Y155" i="13"/>
  <c r="Z155" i="13"/>
  <c r="AB155" i="13"/>
  <c r="AC155" i="13"/>
  <c r="W10" i="13"/>
  <c r="W30" i="13" s="1"/>
  <c r="W12" i="13"/>
  <c r="W32" i="13" s="1"/>
  <c r="W14" i="13"/>
  <c r="W34" i="13" s="1"/>
  <c r="W16" i="13"/>
  <c r="W36" i="13" s="1"/>
  <c r="U10" i="13"/>
  <c r="U30" i="13" s="1"/>
  <c r="U12" i="13"/>
  <c r="U32" i="13" s="1"/>
  <c r="U14" i="13"/>
  <c r="U34" i="13" s="1"/>
  <c r="U16" i="13"/>
  <c r="U36" i="13" s="1"/>
  <c r="R1040" i="8"/>
  <c r="R1041" i="8" s="1"/>
  <c r="M636" i="8"/>
  <c r="M637" i="8" s="1"/>
  <c r="Y628" i="8"/>
  <c r="Y629" i="8" s="1"/>
  <c r="X656" i="8"/>
  <c r="X657" i="8" s="1"/>
  <c r="AD652" i="8"/>
  <c r="AD653" i="8" s="1"/>
  <c r="P652" i="8"/>
  <c r="P653" i="8" s="1"/>
  <c r="V648" i="8"/>
  <c r="V649" i="8" s="1"/>
  <c r="AB644" i="8"/>
  <c r="AB645" i="8" s="1"/>
  <c r="N644" i="8"/>
  <c r="N645" i="8" s="1"/>
  <c r="T640" i="8"/>
  <c r="T641" i="8" s="1"/>
  <c r="Z636" i="8"/>
  <c r="Z637" i="8" s="1"/>
  <c r="L636" i="8"/>
  <c r="L637" i="8" s="1"/>
  <c r="R632" i="8"/>
  <c r="R633" i="8" s="1"/>
  <c r="R13" i="13"/>
  <c r="R33" i="13" s="1"/>
  <c r="S13" i="13"/>
  <c r="S33" i="13" s="1"/>
  <c r="T13" i="13"/>
  <c r="T33" i="13" s="1"/>
  <c r="U13" i="13"/>
  <c r="U33" i="13" s="1"/>
  <c r="V13" i="13"/>
  <c r="V33" i="13" s="1"/>
  <c r="W13" i="13"/>
  <c r="W33" i="13" s="1"/>
  <c r="X13" i="13"/>
  <c r="X33" i="13" s="1"/>
  <c r="Y13" i="13"/>
  <c r="Y33" i="13" s="1"/>
  <c r="L13" i="13"/>
  <c r="L33" i="13" s="1"/>
  <c r="Z13" i="13"/>
  <c r="Z33" i="13" s="1"/>
  <c r="O13" i="13"/>
  <c r="O33" i="13" s="1"/>
  <c r="AC13" i="13"/>
  <c r="AC33" i="13" s="1"/>
  <c r="AE1052" i="8"/>
  <c r="AE1053" i="8" s="1"/>
  <c r="Q1052" i="8"/>
  <c r="Q1053" i="8" s="1"/>
  <c r="AC1044" i="8"/>
  <c r="AC1045" i="8" s="1"/>
  <c r="O1044" i="8"/>
  <c r="O1045" i="8" s="1"/>
  <c r="U1040" i="8"/>
  <c r="U1041" i="8" s="1"/>
  <c r="AA1036" i="8"/>
  <c r="AA1037" i="8" s="1"/>
  <c r="M1036" i="8"/>
  <c r="M1037" i="8" s="1"/>
  <c r="S1032" i="8"/>
  <c r="S1033" i="8" s="1"/>
  <c r="Y1028" i="8"/>
  <c r="Y1029" i="8" s="1"/>
  <c r="AE1024" i="8"/>
  <c r="AE1025" i="8" s="1"/>
  <c r="Q1024" i="8"/>
  <c r="Q1025" i="8" s="1"/>
  <c r="T10" i="13"/>
  <c r="T30" i="13" s="1"/>
  <c r="T12" i="13"/>
  <c r="T32" i="13" s="1"/>
  <c r="T14" i="13"/>
  <c r="T34" i="13" s="1"/>
  <c r="T16" i="13"/>
  <c r="T36" i="13" s="1"/>
  <c r="Y149" i="13"/>
  <c r="L155" i="13"/>
  <c r="V1028" i="8"/>
  <c r="V1029" i="8" s="1"/>
  <c r="Q652" i="8"/>
  <c r="Q653" i="8" s="1"/>
  <c r="W648" i="8"/>
  <c r="W649" i="8" s="1"/>
  <c r="AC644" i="8"/>
  <c r="AC645" i="8" s="1"/>
  <c r="U640" i="8"/>
  <c r="U641" i="8" s="1"/>
  <c r="S632" i="8"/>
  <c r="S633" i="8" s="1"/>
  <c r="R1052" i="8"/>
  <c r="R1053" i="8" s="1"/>
  <c r="AD1044" i="8"/>
  <c r="AD1045" i="8" s="1"/>
  <c r="V1040" i="8"/>
  <c r="V1041" i="8" s="1"/>
  <c r="AB1036" i="8"/>
  <c r="AB1037" i="8" s="1"/>
  <c r="T1032" i="8"/>
  <c r="T1033" i="8" s="1"/>
  <c r="Z1028" i="8"/>
  <c r="Z1029" i="8" s="1"/>
  <c r="L1028" i="8"/>
  <c r="L1029" i="8" s="1"/>
  <c r="W656" i="8"/>
  <c r="W657" i="8" s="1"/>
  <c r="AC652" i="8"/>
  <c r="AC653" i="8" s="1"/>
  <c r="O652" i="8"/>
  <c r="O653" i="8" s="1"/>
  <c r="U648" i="8"/>
  <c r="U649" i="8" s="1"/>
  <c r="AA644" i="8"/>
  <c r="AA645" i="8" s="1"/>
  <c r="M644" i="8"/>
  <c r="M645" i="8" s="1"/>
  <c r="S640" i="8"/>
  <c r="S641" i="8" s="1"/>
  <c r="Y636" i="8"/>
  <c r="Y637" i="8" s="1"/>
  <c r="AD1052" i="8"/>
  <c r="AD1053" i="8" s="1"/>
  <c r="P1052" i="8"/>
  <c r="P1053" i="8" s="1"/>
  <c r="V1048" i="8"/>
  <c r="V1049" i="8" s="1"/>
  <c r="AB1044" i="8"/>
  <c r="AB1045" i="8" s="1"/>
  <c r="N1044" i="8"/>
  <c r="N1045" i="8" s="1"/>
  <c r="T1040" i="8"/>
  <c r="T1041" i="8" s="1"/>
  <c r="Z1036" i="8"/>
  <c r="Z1037" i="8" s="1"/>
  <c r="L1036" i="8"/>
  <c r="L1037" i="8" s="1"/>
  <c r="R1032" i="8"/>
  <c r="R1033" i="8" s="1"/>
  <c r="X1028" i="8"/>
  <c r="X1029" i="8" s="1"/>
  <c r="AD1024" i="8"/>
  <c r="AD1025" i="8" s="1"/>
  <c r="P1024" i="8"/>
  <c r="P1025" i="8" s="1"/>
  <c r="W154" i="13"/>
  <c r="X154" i="13"/>
  <c r="Y154" i="13"/>
  <c r="L154" i="13"/>
  <c r="Z154" i="13"/>
  <c r="M154" i="13"/>
  <c r="AA154" i="13"/>
  <c r="N154" i="13"/>
  <c r="AB154" i="13"/>
  <c r="O154" i="13"/>
  <c r="AC154" i="13"/>
  <c r="P154" i="13"/>
  <c r="AD154" i="13"/>
  <c r="Q154" i="13"/>
  <c r="AE154" i="13"/>
  <c r="T154" i="13"/>
  <c r="R154" i="13"/>
  <c r="S154" i="13"/>
  <c r="U154" i="13"/>
  <c r="AA652" i="8"/>
  <c r="AA653" i="8" s="1"/>
  <c r="Y656" i="8"/>
  <c r="Y657" i="8" s="1"/>
  <c r="AA636" i="8"/>
  <c r="AA637" i="8" s="1"/>
  <c r="X1048" i="8"/>
  <c r="X1049" i="8" s="1"/>
  <c r="P1044" i="8"/>
  <c r="P1045" i="8" s="1"/>
  <c r="N1036" i="8"/>
  <c r="N1037" i="8" s="1"/>
  <c r="R1024" i="8"/>
  <c r="R1025" i="8" s="1"/>
  <c r="W150" i="13"/>
  <c r="X150" i="13"/>
  <c r="Y150" i="13"/>
  <c r="L150" i="13"/>
  <c r="Z150" i="13"/>
  <c r="M150" i="13"/>
  <c r="AA150" i="13"/>
  <c r="N150" i="13"/>
  <c r="AB150" i="13"/>
  <c r="O150" i="13"/>
  <c r="AC150" i="13"/>
  <c r="P150" i="13"/>
  <c r="AD150" i="13"/>
  <c r="Q150" i="13"/>
  <c r="AE150" i="13"/>
  <c r="T150" i="13"/>
  <c r="R150" i="13"/>
  <c r="S150" i="13"/>
  <c r="U150" i="13"/>
  <c r="V150" i="13"/>
  <c r="V656" i="8"/>
  <c r="V657" i="8" s="1"/>
  <c r="AB652" i="8"/>
  <c r="AB653" i="8" s="1"/>
  <c r="N652" i="8"/>
  <c r="N653" i="8" s="1"/>
  <c r="T648" i="8"/>
  <c r="T649" i="8" s="1"/>
  <c r="Z644" i="8"/>
  <c r="Z645" i="8" s="1"/>
  <c r="L644" i="8"/>
  <c r="L645" i="8" s="1"/>
  <c r="R640" i="8"/>
  <c r="R641" i="8" s="1"/>
  <c r="V628" i="8"/>
  <c r="V629" i="8" s="1"/>
  <c r="R17" i="13"/>
  <c r="R37" i="13" s="1"/>
  <c r="S17" i="13"/>
  <c r="S37" i="13" s="1"/>
  <c r="T17" i="13"/>
  <c r="T37" i="13" s="1"/>
  <c r="U17" i="13"/>
  <c r="U37" i="13" s="1"/>
  <c r="V17" i="13"/>
  <c r="V37" i="13" s="1"/>
  <c r="W17" i="13"/>
  <c r="W37" i="13" s="1"/>
  <c r="X17" i="13"/>
  <c r="X37" i="13" s="1"/>
  <c r="Y17" i="13"/>
  <c r="Y37" i="13" s="1"/>
  <c r="L17" i="13"/>
  <c r="L37" i="13" s="1"/>
  <c r="Z17" i="13"/>
  <c r="Z37" i="13" s="1"/>
  <c r="O17" i="13"/>
  <c r="O37" i="13" s="1"/>
  <c r="AC17" i="13"/>
  <c r="AC37" i="13" s="1"/>
  <c r="AC1052" i="8"/>
  <c r="AC1053" i="8" s="1"/>
  <c r="O1052" i="8"/>
  <c r="O1053" i="8" s="1"/>
  <c r="U1048" i="8"/>
  <c r="U1049" i="8" s="1"/>
  <c r="AA1044" i="8"/>
  <c r="AA1045" i="8" s="1"/>
  <c r="M1044" i="8"/>
  <c r="M1045" i="8" s="1"/>
  <c r="S1040" i="8"/>
  <c r="S1041" i="8" s="1"/>
  <c r="Y1036" i="8"/>
  <c r="Y1037" i="8" s="1"/>
  <c r="AE1032" i="8"/>
  <c r="AE1033" i="8" s="1"/>
  <c r="Q1032" i="8"/>
  <c r="Q1033" i="8" s="1"/>
  <c r="W1028" i="8"/>
  <c r="W1029" i="8" s="1"/>
  <c r="AC1024" i="8"/>
  <c r="AC1025" i="8" s="1"/>
  <c r="O1024" i="8"/>
  <c r="O1025" i="8" s="1"/>
  <c r="P149" i="13"/>
  <c r="AD149" i="13"/>
  <c r="Q149" i="13"/>
  <c r="AE149" i="13"/>
  <c r="R149" i="13"/>
  <c r="S149" i="13"/>
  <c r="T149" i="13"/>
  <c r="U149" i="13"/>
  <c r="V149" i="13"/>
  <c r="W149" i="13"/>
  <c r="X149" i="13"/>
  <c r="M149" i="13"/>
  <c r="AA149" i="13"/>
  <c r="Z149" i="13"/>
  <c r="AB149" i="13"/>
  <c r="AC149" i="13"/>
  <c r="N149" i="13"/>
  <c r="AE11" i="13"/>
  <c r="AE31" i="13" s="1"/>
  <c r="AE13" i="13"/>
  <c r="AE33" i="13" s="1"/>
  <c r="AE15" i="13"/>
  <c r="AE35" i="13" s="1"/>
  <c r="AE17" i="13"/>
  <c r="AE37" i="13" s="1"/>
  <c r="L149" i="13"/>
  <c r="U156" i="13"/>
  <c r="AD11" i="13"/>
  <c r="AD31" i="13" s="1"/>
  <c r="AD13" i="13"/>
  <c r="AD33" i="13" s="1"/>
  <c r="AD15" i="13"/>
  <c r="AD35" i="13" s="1"/>
  <c r="AD17" i="13"/>
  <c r="AD37" i="13" s="1"/>
  <c r="F729" i="2"/>
  <c r="N729" i="2" s="1"/>
  <c r="N202" i="14" s="1"/>
  <c r="F733" i="2"/>
  <c r="N733" i="2" s="1"/>
  <c r="N206" i="14" s="1"/>
  <c r="R750" i="2"/>
  <c r="E304" i="2"/>
  <c r="G729" i="2"/>
  <c r="F731" i="2"/>
  <c r="N731" i="2" s="1"/>
  <c r="N204" i="14" s="1"/>
  <c r="F730" i="2"/>
  <c r="N730" i="2" s="1"/>
  <c r="N203" i="14" s="1"/>
  <c r="F8" i="11"/>
  <c r="G8" i="11" s="1"/>
  <c r="I8" i="11" s="1"/>
  <c r="F6" i="11"/>
  <c r="G6" i="11" s="1"/>
  <c r="I6" i="11" s="1"/>
  <c r="F7" i="11"/>
  <c r="G7" i="11" s="1"/>
  <c r="F11" i="11"/>
  <c r="G11" i="11" s="1"/>
  <c r="I11" i="11" s="1"/>
  <c r="F12" i="11"/>
  <c r="G12" i="11" s="1"/>
  <c r="L65" i="12" s="1"/>
  <c r="F9" i="11"/>
  <c r="G9" i="11" s="1"/>
  <c r="V351" i="2"/>
  <c r="G332" i="2"/>
  <c r="O343" i="2" s="1"/>
  <c r="G730" i="2"/>
  <c r="G735" i="2"/>
  <c r="N746" i="2" s="1"/>
  <c r="G731" i="2"/>
  <c r="N742" i="2" s="1"/>
  <c r="AA129" i="2"/>
  <c r="G736" i="2"/>
  <c r="O747" i="2" s="1"/>
  <c r="G732" i="2"/>
  <c r="N743" i="2" s="1"/>
  <c r="F4" i="11"/>
  <c r="G4" i="11" s="1"/>
  <c r="F10" i="11"/>
  <c r="G10" i="11" s="1"/>
  <c r="F5" i="11"/>
  <c r="G5" i="11" s="1"/>
  <c r="G333" i="2"/>
  <c r="N344" i="2" s="1"/>
  <c r="R129" i="2"/>
  <c r="G337" i="2"/>
  <c r="O348" i="2" s="1"/>
  <c r="L308" i="2"/>
  <c r="L14" i="14" s="1"/>
  <c r="G336" i="2"/>
  <c r="M347" i="2" s="1"/>
  <c r="G331" i="2"/>
  <c r="G734" i="2"/>
  <c r="J734" i="2" s="1"/>
  <c r="R308" i="2"/>
  <c r="T587" i="2"/>
  <c r="S308" i="2"/>
  <c r="S14" i="14" s="1"/>
  <c r="G335" i="2"/>
  <c r="J335" i="2" s="1"/>
  <c r="T308" i="2"/>
  <c r="M530" i="2"/>
  <c r="G330" i="2"/>
  <c r="G733" i="2"/>
  <c r="J733" i="2" s="1"/>
  <c r="U308" i="2"/>
  <c r="AA468" i="2"/>
  <c r="X308" i="2"/>
  <c r="G334" i="2"/>
  <c r="J334" i="2" s="1"/>
  <c r="E299" i="2"/>
  <c r="AC1457" i="8"/>
  <c r="P308" i="2"/>
  <c r="P14" i="14" s="1"/>
  <c r="AD308" i="2"/>
  <c r="AD14" i="14" s="1"/>
  <c r="Q308" i="2"/>
  <c r="Q14" i="14" s="1"/>
  <c r="AE308" i="2"/>
  <c r="AE14" i="14" s="1"/>
  <c r="V308" i="2"/>
  <c r="V14" i="14" s="1"/>
  <c r="W308" i="2"/>
  <c r="W14" i="14" s="1"/>
  <c r="Y308" i="2"/>
  <c r="Y14" i="14" s="1"/>
  <c r="Z308" i="2"/>
  <c r="Z14" i="14" s="1"/>
  <c r="M308" i="2"/>
  <c r="M14" i="14" s="1"/>
  <c r="AA308" i="2"/>
  <c r="AA14" i="14" s="1"/>
  <c r="N308" i="2"/>
  <c r="N14" i="14" s="1"/>
  <c r="AB308" i="2"/>
  <c r="AB14" i="14" s="1"/>
  <c r="O308" i="2"/>
  <c r="O14" i="14" s="1"/>
  <c r="X128" i="2"/>
  <c r="AD468" i="2"/>
  <c r="AC557" i="2"/>
  <c r="R195" i="2"/>
  <c r="L664" i="2"/>
  <c r="N593" i="2"/>
  <c r="AC728" i="2"/>
  <c r="N258" i="2"/>
  <c r="T750" i="2"/>
  <c r="N251" i="2"/>
  <c r="Q251" i="2"/>
  <c r="X251" i="2"/>
  <c r="M27" i="10"/>
  <c r="H672" i="2" s="1"/>
  <c r="Z251" i="2"/>
  <c r="N27" i="10"/>
  <c r="I672" i="2" s="1"/>
  <c r="AA251" i="2"/>
  <c r="O27" i="10"/>
  <c r="J672" i="2" s="1"/>
  <c r="Q269" i="2"/>
  <c r="F337" i="2"/>
  <c r="O337" i="2" s="1"/>
  <c r="O44" i="14" s="1"/>
  <c r="AA247" i="2"/>
  <c r="E312" i="2"/>
  <c r="E317" i="2"/>
  <c r="E314" i="2"/>
  <c r="E311" i="2"/>
  <c r="F1447" i="8"/>
  <c r="E316" i="2"/>
  <c r="E313" i="2"/>
  <c r="E310" i="2"/>
  <c r="E315" i="2"/>
  <c r="E302" i="2"/>
  <c r="E305" i="2"/>
  <c r="N259" i="2"/>
  <c r="E300" i="2"/>
  <c r="E303" i="2"/>
  <c r="E306" i="2"/>
  <c r="E301" i="2"/>
  <c r="AA618" i="2"/>
  <c r="F335" i="2"/>
  <c r="O335" i="2" s="1"/>
  <c r="O42" i="14" s="1"/>
  <c r="Y130" i="2"/>
  <c r="Y192" i="2"/>
  <c r="W750" i="2"/>
  <c r="L8" i="2"/>
  <c r="V527" i="2"/>
  <c r="L128" i="2"/>
  <c r="Q128" i="2"/>
  <c r="R128" i="2"/>
  <c r="Z319" i="2"/>
  <c r="AB128" i="2"/>
  <c r="G303" i="2"/>
  <c r="Z247" i="2"/>
  <c r="X247" i="2"/>
  <c r="AA15" i="2"/>
  <c r="N666" i="2"/>
  <c r="Q666" i="2" s="1"/>
  <c r="N267" i="2"/>
  <c r="Q267" i="2" s="1"/>
  <c r="Q33" i="9"/>
  <c r="Y708" i="2"/>
  <c r="Y761" i="2" s="1"/>
  <c r="Y790" i="2" s="1"/>
  <c r="Y750" i="2"/>
  <c r="X351" i="2"/>
  <c r="X249" i="2"/>
  <c r="O249" i="2"/>
  <c r="K69" i="2"/>
  <c r="E254" i="2"/>
  <c r="F299" i="2" s="1"/>
  <c r="Q249" i="2"/>
  <c r="Y249" i="2"/>
  <c r="M69" i="2"/>
  <c r="Z249" i="2"/>
  <c r="Q69" i="2"/>
  <c r="Z248" i="2"/>
  <c r="R249" i="2"/>
  <c r="T69" i="2"/>
  <c r="V129" i="2"/>
  <c r="AA530" i="2"/>
  <c r="T248" i="2"/>
  <c r="U750" i="2"/>
  <c r="R251" i="2"/>
  <c r="AA249" i="2"/>
  <c r="S249" i="2"/>
  <c r="AB129" i="2"/>
  <c r="T438" i="2"/>
  <c r="AA527" i="2"/>
  <c r="V587" i="2"/>
  <c r="S251" i="2"/>
  <c r="AB251" i="2"/>
  <c r="AC438" i="2"/>
  <c r="AE527" i="2"/>
  <c r="X587" i="2"/>
  <c r="Q617" i="2"/>
  <c r="T251" i="2"/>
  <c r="AC249" i="2"/>
  <c r="AE438" i="2"/>
  <c r="L468" i="2"/>
  <c r="L558" i="2"/>
  <c r="AB587" i="2"/>
  <c r="M281" i="2"/>
  <c r="L249" i="2"/>
  <c r="U251" i="2"/>
  <c r="AE249" i="2"/>
  <c r="Y69" i="2"/>
  <c r="R468" i="2"/>
  <c r="AD587" i="2"/>
  <c r="F330" i="2"/>
  <c r="N330" i="2" s="1"/>
  <c r="N37" i="14" s="1"/>
  <c r="F736" i="2"/>
  <c r="L251" i="2"/>
  <c r="V249" i="2"/>
  <c r="AE251" i="2"/>
  <c r="U468" i="2"/>
  <c r="S246" i="2"/>
  <c r="S298" i="2" s="1"/>
  <c r="S351" i="2" s="1"/>
  <c r="M249" i="2"/>
  <c r="V251" i="2"/>
  <c r="V468" i="2"/>
  <c r="L669" i="2"/>
  <c r="AE645" i="2"/>
  <c r="AE697" i="2" s="1"/>
  <c r="AE750" i="2" s="1"/>
  <c r="M251" i="2"/>
  <c r="W249" i="2"/>
  <c r="S38" i="2"/>
  <c r="V38" i="2"/>
  <c r="Z468" i="2"/>
  <c r="Z351" i="2"/>
  <c r="L329" i="2"/>
  <c r="AD645" i="2"/>
  <c r="AD697" i="2" s="1"/>
  <c r="AD750" i="2" s="1"/>
  <c r="W251" i="2"/>
  <c r="G704" i="2"/>
  <c r="G702" i="2"/>
  <c r="AB98" i="2"/>
  <c r="Q98" i="2"/>
  <c r="AA13" i="2"/>
  <c r="AD13" i="2"/>
  <c r="Q219" i="2"/>
  <c r="P219" i="2"/>
  <c r="AB219" i="2"/>
  <c r="W219" i="2"/>
  <c r="S219" i="2"/>
  <c r="M219" i="2"/>
  <c r="N533" i="2"/>
  <c r="O533" i="2"/>
  <c r="Y161" i="2"/>
  <c r="Q161" i="2"/>
  <c r="O190" i="2"/>
  <c r="AA74" i="2"/>
  <c r="AB161" i="2"/>
  <c r="M194" i="2"/>
  <c r="L194" i="2"/>
  <c r="K194" i="2"/>
  <c r="AA134" i="2"/>
  <c r="Z134" i="2"/>
  <c r="L27" i="10"/>
  <c r="K27" i="10"/>
  <c r="J27" i="10"/>
  <c r="I27" i="10"/>
  <c r="H27" i="10"/>
  <c r="G27" i="10"/>
  <c r="F27" i="10"/>
  <c r="E27" i="10"/>
  <c r="C27" i="10"/>
  <c r="D27" i="10"/>
  <c r="AE407" i="2"/>
  <c r="AD407" i="2"/>
  <c r="AA407" i="2"/>
  <c r="X407" i="2"/>
  <c r="W407" i="2"/>
  <c r="V407" i="2"/>
  <c r="Q407" i="2"/>
  <c r="N407" i="2"/>
  <c r="L407" i="2"/>
  <c r="G698" i="2"/>
  <c r="G699" i="2"/>
  <c r="X38" i="2"/>
  <c r="AD128" i="2"/>
  <c r="M439" i="2"/>
  <c r="Q560" i="2"/>
  <c r="Q248" i="2"/>
  <c r="R439" i="2"/>
  <c r="X470" i="2"/>
  <c r="Y414" i="2"/>
  <c r="Q11" i="2"/>
  <c r="N97" i="2"/>
  <c r="Z414" i="2"/>
  <c r="AC439" i="2"/>
  <c r="R497" i="2"/>
  <c r="AD247" i="2"/>
  <c r="AD135" i="2"/>
  <c r="X11" i="2"/>
  <c r="R97" i="2"/>
  <c r="AB414" i="2"/>
  <c r="AD439" i="2"/>
  <c r="T497" i="2"/>
  <c r="M280" i="2"/>
  <c r="M612" i="8" s="1"/>
  <c r="M613" i="8" s="1"/>
  <c r="AB247" i="2"/>
  <c r="AD414" i="2"/>
  <c r="AE439" i="2"/>
  <c r="V497" i="2"/>
  <c r="Y11" i="2"/>
  <c r="AE8" i="2"/>
  <c r="AA11" i="2"/>
  <c r="U97" i="2"/>
  <c r="Z188" i="2"/>
  <c r="Y497" i="2"/>
  <c r="N616" i="8"/>
  <c r="N617" i="8" s="1"/>
  <c r="T97" i="2"/>
  <c r="S15" i="2"/>
  <c r="W97" i="2"/>
  <c r="O277" i="2"/>
  <c r="P277" i="2" s="1"/>
  <c r="P600" i="8" s="1"/>
  <c r="P601" i="8" s="1"/>
  <c r="Y247" i="2"/>
  <c r="K11" i="2"/>
  <c r="T15" i="2"/>
  <c r="S41" i="2"/>
  <c r="X97" i="2"/>
  <c r="V218" i="2"/>
  <c r="P587" i="2"/>
  <c r="X15" i="2"/>
  <c r="U69" i="2"/>
  <c r="Y97" i="2"/>
  <c r="Y84" i="2" s="1"/>
  <c r="AD129" i="2"/>
  <c r="AD218" i="2"/>
  <c r="Q587" i="2"/>
  <c r="G304" i="2"/>
  <c r="U249" i="2"/>
  <c r="AD249" i="2"/>
  <c r="P249" i="2"/>
  <c r="T249" i="2"/>
  <c r="AB249" i="2"/>
  <c r="O251" i="2"/>
  <c r="AC251" i="2"/>
  <c r="Y251" i="2"/>
  <c r="P251" i="2"/>
  <c r="F700" i="2"/>
  <c r="F698" i="2"/>
  <c r="F699" i="2"/>
  <c r="N670" i="2"/>
  <c r="N271" i="2"/>
  <c r="Q271" i="2" s="1"/>
  <c r="Q37" i="9"/>
  <c r="R37" i="9"/>
  <c r="AB37" i="9" s="1"/>
  <c r="AB670" i="2" s="1"/>
  <c r="N664" i="2"/>
  <c r="Q664" i="2" s="1"/>
  <c r="R31" i="9"/>
  <c r="Q31" i="9"/>
  <c r="L277" i="2"/>
  <c r="L600" i="8" s="1"/>
  <c r="L601" i="8" s="1"/>
  <c r="F704" i="2"/>
  <c r="F702" i="2"/>
  <c r="F703" i="2"/>
  <c r="AB36" i="9"/>
  <c r="AB270" i="2" s="1"/>
  <c r="AA36" i="9"/>
  <c r="AA270" i="2" s="1"/>
  <c r="R269" i="2"/>
  <c r="E256" i="2"/>
  <c r="AE246" i="2"/>
  <c r="AE298" i="2" s="1"/>
  <c r="AE309" i="2" s="1"/>
  <c r="T38" i="2"/>
  <c r="S69" i="2"/>
  <c r="O97" i="2"/>
  <c r="N128" i="2"/>
  <c r="X129" i="2"/>
  <c r="V438" i="2"/>
  <c r="S497" i="2"/>
  <c r="W527" i="2"/>
  <c r="AB533" i="2"/>
  <c r="M278" i="2"/>
  <c r="L278" i="2" s="1"/>
  <c r="S248" i="2"/>
  <c r="Y246" i="2"/>
  <c r="Y298" i="2" s="1"/>
  <c r="M678" i="2"/>
  <c r="E656" i="2"/>
  <c r="F701" i="2" s="1"/>
  <c r="F1309" i="8"/>
  <c r="K187" i="2"/>
  <c r="M283" i="2"/>
  <c r="E255" i="2"/>
  <c r="F306" i="2" s="1"/>
  <c r="R248" i="2"/>
  <c r="T246" i="2"/>
  <c r="T298" i="2" s="1"/>
  <c r="L665" i="2"/>
  <c r="Z38" i="2"/>
  <c r="Q412" i="2"/>
  <c r="Q35" i="9"/>
  <c r="AA309" i="2"/>
  <c r="AA362" i="2" s="1"/>
  <c r="AA391" i="2" s="1"/>
  <c r="R246" i="2"/>
  <c r="R298" i="2" s="1"/>
  <c r="AB728" i="2"/>
  <c r="N668" i="2"/>
  <c r="R668" i="2" s="1"/>
  <c r="F913" i="8"/>
  <c r="AD38" i="2"/>
  <c r="AE69" i="2"/>
  <c r="V97" i="2"/>
  <c r="Z128" i="2"/>
  <c r="V187" i="2"/>
  <c r="N189" i="2"/>
  <c r="R412" i="2"/>
  <c r="P467" i="2"/>
  <c r="R586" i="2"/>
  <c r="M620" i="2"/>
  <c r="R35" i="9"/>
  <c r="U309" i="2"/>
  <c r="U362" i="2" s="1"/>
  <c r="U391" i="2" s="1"/>
  <c r="L269" i="2"/>
  <c r="Q246" i="2"/>
  <c r="Q298" i="2" s="1"/>
  <c r="AA728" i="2"/>
  <c r="M676" i="2"/>
  <c r="L676" i="2" s="1"/>
  <c r="L996" i="8" s="1"/>
  <c r="L997" i="8" s="1"/>
  <c r="F735" i="2"/>
  <c r="Q645" i="2"/>
  <c r="Q697" i="2" s="1"/>
  <c r="T187" i="2"/>
  <c r="K189" i="2"/>
  <c r="AC15" i="2"/>
  <c r="K13" i="2"/>
  <c r="Y187" i="2"/>
  <c r="P189" i="2"/>
  <c r="S412" i="2"/>
  <c r="Q467" i="2"/>
  <c r="S586" i="2"/>
  <c r="N620" i="2"/>
  <c r="W351" i="2"/>
  <c r="G301" i="2"/>
  <c r="E253" i="2"/>
  <c r="AC247" i="2"/>
  <c r="AC12" i="14" s="1"/>
  <c r="Y728" i="2"/>
  <c r="P645" i="2"/>
  <c r="P697" i="2" s="1"/>
  <c r="R467" i="2"/>
  <c r="Y620" i="2"/>
  <c r="AB329" i="2"/>
  <c r="Y265" i="2"/>
  <c r="AA248" i="2"/>
  <c r="W728" i="2"/>
  <c r="O675" i="2"/>
  <c r="N645" i="2"/>
  <c r="N697" i="2" s="1"/>
  <c r="N750" i="2" s="1"/>
  <c r="Q39" i="2"/>
  <c r="L557" i="2"/>
  <c r="AA329" i="2"/>
  <c r="G300" i="2"/>
  <c r="M645" i="2"/>
  <c r="M697" i="2" s="1"/>
  <c r="M750" i="2" s="1"/>
  <c r="N624" i="8"/>
  <c r="N625" i="8" s="1"/>
  <c r="M187" i="2"/>
  <c r="AB187" i="2"/>
  <c r="K438" i="2"/>
  <c r="T467" i="2"/>
  <c r="M8" i="2"/>
  <c r="R11" i="2"/>
  <c r="M38" i="2"/>
  <c r="AC187" i="2"/>
  <c r="AB189" i="2"/>
  <c r="O407" i="2"/>
  <c r="N438" i="2"/>
  <c r="AB467" i="2"/>
  <c r="U499" i="2"/>
  <c r="M527" i="2"/>
  <c r="P557" i="2"/>
  <c r="L560" i="2"/>
  <c r="U588" i="2"/>
  <c r="R33" i="9"/>
  <c r="Z329" i="2"/>
  <c r="O280" i="2"/>
  <c r="Y248" i="2"/>
  <c r="R718" i="2"/>
  <c r="T189" i="2"/>
  <c r="U189" i="2"/>
  <c r="AA8" i="2"/>
  <c r="S11" i="2"/>
  <c r="N38" i="2"/>
  <c r="AE187" i="2"/>
  <c r="O438" i="2"/>
  <c r="X499" i="2"/>
  <c r="N527" i="2"/>
  <c r="Q557" i="2"/>
  <c r="M560" i="2"/>
  <c r="V588" i="2"/>
  <c r="X248" i="2"/>
  <c r="M681" i="2"/>
  <c r="K38" i="2"/>
  <c r="P38" i="2"/>
  <c r="I111" i="2"/>
  <c r="Z161" i="2"/>
  <c r="X218" i="2"/>
  <c r="X220" i="2"/>
  <c r="U407" i="2"/>
  <c r="P438" i="2"/>
  <c r="Y499" i="2"/>
  <c r="O527" i="2"/>
  <c r="R557" i="2"/>
  <c r="N560" i="2"/>
  <c r="M587" i="2"/>
  <c r="W588" i="2"/>
  <c r="T618" i="2"/>
  <c r="Q36" i="9"/>
  <c r="X329" i="2"/>
  <c r="W248" i="2"/>
  <c r="Q38" i="2"/>
  <c r="L69" i="2"/>
  <c r="L97" i="2"/>
  <c r="Y98" i="2"/>
  <c r="I109" i="2"/>
  <c r="S129" i="2"/>
  <c r="S139" i="2" s="1"/>
  <c r="Y218" i="2"/>
  <c r="Q438" i="2"/>
  <c r="Z499" i="2"/>
  <c r="R527" i="2"/>
  <c r="M533" i="2"/>
  <c r="T557" i="2"/>
  <c r="O560" i="2"/>
  <c r="N587" i="2"/>
  <c r="AA588" i="2"/>
  <c r="V618" i="2"/>
  <c r="N329" i="2"/>
  <c r="G256" i="2"/>
  <c r="I256" i="2" s="1"/>
  <c r="V248" i="2"/>
  <c r="U247" i="2"/>
  <c r="W761" i="2"/>
  <c r="W790" i="2" s="1"/>
  <c r="R38" i="2"/>
  <c r="R41" i="2"/>
  <c r="M97" i="2"/>
  <c r="K128" i="2"/>
  <c r="U129" i="2"/>
  <c r="Y135" i="2"/>
  <c r="T527" i="2"/>
  <c r="M329" i="2"/>
  <c r="Y271" i="2"/>
  <c r="U248" i="2"/>
  <c r="AE409" i="2"/>
  <c r="AD409" i="2"/>
  <c r="O409" i="2"/>
  <c r="Z409" i="2"/>
  <c r="Y409" i="2"/>
  <c r="W409" i="2"/>
  <c r="M409" i="2"/>
  <c r="S409" i="2"/>
  <c r="Q409" i="2"/>
  <c r="K409" i="2"/>
  <c r="P409" i="2"/>
  <c r="Q616" i="8"/>
  <c r="Q617" i="8" s="1"/>
  <c r="R281" i="2"/>
  <c r="W591" i="2"/>
  <c r="T591" i="2"/>
  <c r="S591" i="2"/>
  <c r="AD591" i="2"/>
  <c r="AC591" i="2"/>
  <c r="AA591" i="2"/>
  <c r="L591" i="2"/>
  <c r="X591" i="2"/>
  <c r="K591" i="2"/>
  <c r="P591" i="2"/>
  <c r="O591" i="2"/>
  <c r="M591" i="2"/>
  <c r="W469" i="2"/>
  <c r="N469" i="2"/>
  <c r="M469" i="2"/>
  <c r="Q469" i="2"/>
  <c r="O469" i="2"/>
  <c r="AD469" i="2"/>
  <c r="AC469" i="2"/>
  <c r="T469" i="2"/>
  <c r="AB469" i="2"/>
  <c r="U469" i="2"/>
  <c r="AA469" i="2"/>
  <c r="Y469" i="2"/>
  <c r="V469" i="2"/>
  <c r="S469" i="2"/>
  <c r="L469" i="2"/>
  <c r="R469" i="2"/>
  <c r="N663" i="2"/>
  <c r="N264" i="2"/>
  <c r="R30" i="9"/>
  <c r="Q30" i="9"/>
  <c r="Z132" i="2"/>
  <c r="Y132" i="2"/>
  <c r="X132" i="2"/>
  <c r="S132" i="2"/>
  <c r="S142" i="2" s="1"/>
  <c r="P132" i="2"/>
  <c r="L132" i="2"/>
  <c r="Q132" i="2"/>
  <c r="O132" i="2"/>
  <c r="K132" i="2"/>
  <c r="AE132" i="2"/>
  <c r="AC132" i="2"/>
  <c r="X410" i="2"/>
  <c r="V410" i="2"/>
  <c r="T410" i="2"/>
  <c r="AE410" i="2"/>
  <c r="L410" i="2"/>
  <c r="AB351" i="2"/>
  <c r="AB309" i="2"/>
  <c r="AA72" i="2"/>
  <c r="M72" i="2"/>
  <c r="AC72" i="2"/>
  <c r="Z72" i="2"/>
  <c r="W72" i="2"/>
  <c r="U72" i="2"/>
  <c r="S72" i="2"/>
  <c r="R72" i="2"/>
  <c r="T72" i="2"/>
  <c r="K72" i="2"/>
  <c r="L72" i="2"/>
  <c r="N667" i="2"/>
  <c r="N268" i="2"/>
  <c r="R34" i="9"/>
  <c r="Q34" i="9"/>
  <c r="S68" i="2"/>
  <c r="AD68" i="2"/>
  <c r="U68" i="2"/>
  <c r="V68" i="2"/>
  <c r="Y268" i="2"/>
  <c r="Y667" i="2"/>
  <c r="AB590" i="2"/>
  <c r="N590" i="2"/>
  <c r="K590" i="2"/>
  <c r="AE590" i="2"/>
  <c r="AD590" i="2"/>
  <c r="Q590" i="2"/>
  <c r="P590" i="2"/>
  <c r="M472" i="2"/>
  <c r="AA472" i="2"/>
  <c r="N665" i="2"/>
  <c r="N266" i="2"/>
  <c r="R32" i="9"/>
  <c r="L265" i="2"/>
  <c r="F331" i="2"/>
  <c r="AB8" i="2"/>
  <c r="AB135" i="2"/>
  <c r="X194" i="2"/>
  <c r="Q194" i="2"/>
  <c r="O194" i="2"/>
  <c r="AE593" i="2"/>
  <c r="AD593" i="2"/>
  <c r="AC593" i="2"/>
  <c r="AC8" i="2"/>
  <c r="U15" i="2"/>
  <c r="U25" i="2" s="1"/>
  <c r="Q41" i="2"/>
  <c r="AC135" i="2"/>
  <c r="Y560" i="2"/>
  <c r="AB560" i="2"/>
  <c r="AA560" i="2"/>
  <c r="Z560" i="2"/>
  <c r="V560" i="2"/>
  <c r="U560" i="2"/>
  <c r="S560" i="2"/>
  <c r="U618" i="2"/>
  <c r="R618" i="2"/>
  <c r="Q618" i="2"/>
  <c r="Y669" i="2"/>
  <c r="Y270" i="2"/>
  <c r="L268" i="2"/>
  <c r="O8" i="2"/>
  <c r="N220" i="2"/>
  <c r="AE220" i="2"/>
  <c r="Z531" i="2"/>
  <c r="U531" i="2"/>
  <c r="S531" i="2"/>
  <c r="U594" i="2"/>
  <c r="AA594" i="2"/>
  <c r="X594" i="2"/>
  <c r="R594" i="2"/>
  <c r="Q594" i="2"/>
  <c r="P594" i="2"/>
  <c r="N594" i="2"/>
  <c r="K594" i="2"/>
  <c r="AE594" i="2"/>
  <c r="W594" i="2"/>
  <c r="I52" i="2"/>
  <c r="P100" i="2"/>
  <c r="S127" i="2"/>
  <c r="S137" i="2" s="1"/>
  <c r="AC129" i="2"/>
  <c r="R133" i="2"/>
  <c r="M135" i="2"/>
  <c r="S158" i="2"/>
  <c r="T194" i="2"/>
  <c r="O220" i="2"/>
  <c r="W466" i="2"/>
  <c r="N471" i="2"/>
  <c r="K531" i="2"/>
  <c r="Y663" i="2"/>
  <c r="Y264" i="2"/>
  <c r="N620" i="8"/>
  <c r="N621" i="8" s="1"/>
  <c r="O282" i="2"/>
  <c r="AA750" i="2"/>
  <c r="AA708" i="2"/>
  <c r="K498" i="2"/>
  <c r="AD15" i="2"/>
  <c r="S194" i="2"/>
  <c r="L220" i="2"/>
  <c r="AB437" i="2"/>
  <c r="AA437" i="2"/>
  <c r="M471" i="2"/>
  <c r="AC246" i="2"/>
  <c r="AC298" i="2" s="1"/>
  <c r="AC329" i="2"/>
  <c r="O1008" i="8"/>
  <c r="O1009" i="8" s="1"/>
  <c r="P679" i="2"/>
  <c r="AE15" i="2"/>
  <c r="AD37" i="2"/>
  <c r="N135" i="2"/>
  <c r="Y194" i="2"/>
  <c r="P220" i="2"/>
  <c r="O414" i="2"/>
  <c r="L414" i="2"/>
  <c r="Q437" i="2"/>
  <c r="Z496" i="2"/>
  <c r="S496" i="2"/>
  <c r="AB496" i="2"/>
  <c r="T496" i="2"/>
  <c r="P531" i="2"/>
  <c r="L282" i="2"/>
  <c r="M620" i="8"/>
  <c r="M621" i="8" s="1"/>
  <c r="L270" i="2"/>
  <c r="F336" i="2"/>
  <c r="AC708" i="2"/>
  <c r="AC750" i="2"/>
  <c r="I48" i="2"/>
  <c r="O75" i="2"/>
  <c r="AB97" i="2"/>
  <c r="AB81" i="2" s="1"/>
  <c r="AA100" i="2"/>
  <c r="L129" i="2"/>
  <c r="U133" i="2"/>
  <c r="Q135" i="2"/>
  <c r="AA158" i="2"/>
  <c r="AA194" i="2"/>
  <c r="Q220" i="2"/>
  <c r="M406" i="2"/>
  <c r="AD437" i="2"/>
  <c r="R471" i="2"/>
  <c r="R496" i="2"/>
  <c r="Q531" i="2"/>
  <c r="AD558" i="2"/>
  <c r="AC558" i="2"/>
  <c r="AB558" i="2"/>
  <c r="Q558" i="2"/>
  <c r="P558" i="2"/>
  <c r="R560" i="2"/>
  <c r="T594" i="2"/>
  <c r="M279" i="2"/>
  <c r="O279" i="2"/>
  <c r="N608" i="8"/>
  <c r="N609" i="8" s="1"/>
  <c r="F332" i="2"/>
  <c r="L266" i="2"/>
  <c r="AB708" i="2"/>
  <c r="AB750" i="2"/>
  <c r="L645" i="2"/>
  <c r="L697" i="2" s="1"/>
  <c r="P283" i="2"/>
  <c r="O624" i="8"/>
  <c r="O625" i="8" s="1"/>
  <c r="O100" i="2"/>
  <c r="Q133" i="2"/>
  <c r="K135" i="2"/>
  <c r="AC193" i="2"/>
  <c r="O193" i="2"/>
  <c r="M193" i="2"/>
  <c r="Z498" i="2"/>
  <c r="O246" i="2"/>
  <c r="O298" i="2" s="1"/>
  <c r="O329" i="2"/>
  <c r="U158" i="2"/>
  <c r="P193" i="2"/>
  <c r="K406" i="2"/>
  <c r="O471" i="2"/>
  <c r="S594" i="2"/>
  <c r="S8" i="2"/>
  <c r="AE12" i="2"/>
  <c r="N15" i="2"/>
  <c r="T8" i="2"/>
  <c r="O15" i="2"/>
  <c r="I46" i="2"/>
  <c r="V75" i="2"/>
  <c r="AD97" i="2"/>
  <c r="M129" i="2"/>
  <c r="X133" i="2"/>
  <c r="R135" i="2"/>
  <c r="V193" i="2"/>
  <c r="AC194" i="2"/>
  <c r="T219" i="2"/>
  <c r="AD219" i="2"/>
  <c r="AC219" i="2"/>
  <c r="R220" i="2"/>
  <c r="S406" i="2"/>
  <c r="K414" i="2"/>
  <c r="U471" i="2"/>
  <c r="R531" i="2"/>
  <c r="K558" i="2"/>
  <c r="AD560" i="2"/>
  <c r="V594" i="2"/>
  <c r="M100" i="2"/>
  <c r="P8" i="2"/>
  <c r="AE528" i="2"/>
  <c r="L528" i="2"/>
  <c r="S528" i="2"/>
  <c r="R528" i="2"/>
  <c r="M528" i="2"/>
  <c r="Q8" i="2"/>
  <c r="M15" i="2"/>
  <c r="S133" i="2"/>
  <c r="S143" i="2" s="1"/>
  <c r="U8" i="2"/>
  <c r="U18" i="2" s="1"/>
  <c r="P15" i="2"/>
  <c r="N129" i="2"/>
  <c r="Z133" i="2"/>
  <c r="T135" i="2"/>
  <c r="W193" i="2"/>
  <c r="AE194" i="2"/>
  <c r="U220" i="2"/>
  <c r="AA406" i="2"/>
  <c r="P414" i="2"/>
  <c r="W438" i="2"/>
  <c r="Z438" i="2"/>
  <c r="X438" i="2"/>
  <c r="U438" i="2"/>
  <c r="V531" i="2"/>
  <c r="AE560" i="2"/>
  <c r="Q589" i="2"/>
  <c r="R589" i="2"/>
  <c r="O604" i="8"/>
  <c r="O605" i="8" s="1"/>
  <c r="P278" i="2"/>
  <c r="Y266" i="2"/>
  <c r="Z645" i="2"/>
  <c r="Z697" i="2" s="1"/>
  <c r="Z728" i="2"/>
  <c r="T471" i="2"/>
  <c r="AD471" i="2"/>
  <c r="AB471" i="2"/>
  <c r="V41" i="2"/>
  <c r="X526" i="2"/>
  <c r="R8" i="2"/>
  <c r="V8" i="2"/>
  <c r="Q15" i="2"/>
  <c r="P129" i="2"/>
  <c r="V135" i="2"/>
  <c r="X193" i="2"/>
  <c r="V220" i="2"/>
  <c r="AB406" i="2"/>
  <c r="Q414" i="2"/>
  <c r="W471" i="2"/>
  <c r="AB531" i="2"/>
  <c r="H655" i="2"/>
  <c r="I655" i="2"/>
  <c r="F334" i="2"/>
  <c r="P616" i="8"/>
  <c r="P617" i="8" s="1"/>
  <c r="W41" i="2"/>
  <c r="X8" i="2"/>
  <c r="R15" i="2"/>
  <c r="Q129" i="2"/>
  <c r="W135" i="2"/>
  <c r="AA193" i="2"/>
  <c r="W220" i="2"/>
  <c r="S414" i="2"/>
  <c r="Y530" i="2"/>
  <c r="Q530" i="2"/>
  <c r="AE530" i="2"/>
  <c r="AD530" i="2"/>
  <c r="AB530" i="2"/>
  <c r="L530" i="2"/>
  <c r="N669" i="2"/>
  <c r="N270" i="2"/>
  <c r="V362" i="2"/>
  <c r="V391" i="2" s="1"/>
  <c r="V319" i="2"/>
  <c r="O1012" i="8"/>
  <c r="O1013" i="8" s="1"/>
  <c r="P680" i="2"/>
  <c r="AD351" i="2"/>
  <c r="AD309" i="2"/>
  <c r="P246" i="2"/>
  <c r="P298" i="2" s="1"/>
  <c r="P329" i="2"/>
  <c r="O616" i="8"/>
  <c r="O617" i="8" s="1"/>
  <c r="F333" i="2"/>
  <c r="L267" i="2"/>
  <c r="P1020" i="8"/>
  <c r="P1021" i="8" s="1"/>
  <c r="Q682" i="2"/>
  <c r="N351" i="2"/>
  <c r="N309" i="2"/>
  <c r="AD329" i="2"/>
  <c r="X362" i="2"/>
  <c r="X391" i="2" s="1"/>
  <c r="X319" i="2"/>
  <c r="M351" i="2"/>
  <c r="M309" i="2"/>
  <c r="W362" i="2"/>
  <c r="W391" i="2" s="1"/>
  <c r="W319" i="2"/>
  <c r="X645" i="2"/>
  <c r="X697" i="2" s="1"/>
  <c r="X728" i="2"/>
  <c r="Q586" i="2"/>
  <c r="AA586" i="2"/>
  <c r="X586" i="2"/>
  <c r="U586" i="2"/>
  <c r="L309" i="2"/>
  <c r="L351" i="2"/>
  <c r="Z617" i="2"/>
  <c r="AB617" i="2"/>
  <c r="Y617" i="2"/>
  <c r="V617" i="2"/>
  <c r="S617" i="2"/>
  <c r="R617" i="2"/>
  <c r="V708" i="2"/>
  <c r="V750" i="2"/>
  <c r="U761" i="2"/>
  <c r="U790" i="2" s="1"/>
  <c r="U718" i="2"/>
  <c r="L271" i="2"/>
  <c r="T761" i="2"/>
  <c r="T790" i="2" s="1"/>
  <c r="T718" i="2"/>
  <c r="L668" i="2"/>
  <c r="F734" i="2"/>
  <c r="L667" i="2"/>
  <c r="N992" i="8"/>
  <c r="N993" i="8" s="1"/>
  <c r="X557" i="2"/>
  <c r="Y557" i="2"/>
  <c r="W557" i="2"/>
  <c r="AE587" i="2"/>
  <c r="AB620" i="2"/>
  <c r="AC620" i="2"/>
  <c r="W329" i="2"/>
  <c r="N596" i="8"/>
  <c r="N597" i="8" s="1"/>
  <c r="M276" i="2"/>
  <c r="T247" i="2"/>
  <c r="T12" i="14" s="1"/>
  <c r="V329" i="2"/>
  <c r="N247" i="2"/>
  <c r="N12" i="14" s="1"/>
  <c r="U329" i="2"/>
  <c r="M247" i="2"/>
  <c r="M12" i="14" s="1"/>
  <c r="S645" i="2"/>
  <c r="S697" i="2" s="1"/>
  <c r="S728" i="2"/>
  <c r="O1020" i="8"/>
  <c r="O1021" i="8" s="1"/>
  <c r="N1012" i="8"/>
  <c r="N1013" i="8" s="1"/>
  <c r="M680" i="2"/>
  <c r="L666" i="2"/>
  <c r="F732" i="2"/>
  <c r="S533" i="2"/>
  <c r="X533" i="2"/>
  <c r="P533" i="2"/>
  <c r="N600" i="8"/>
  <c r="N601" i="8" s="1"/>
  <c r="N1020" i="8"/>
  <c r="N1021" i="8" s="1"/>
  <c r="M682" i="2"/>
  <c r="Y666" i="2"/>
  <c r="Y267" i="2"/>
  <c r="N604" i="8"/>
  <c r="N605" i="8" s="1"/>
  <c r="M600" i="8"/>
  <c r="M601" i="8" s="1"/>
  <c r="Y269" i="2"/>
  <c r="V247" i="2"/>
  <c r="V12" i="14" s="1"/>
  <c r="W247" i="2"/>
  <c r="W12" i="14" s="1"/>
  <c r="O247" i="2"/>
  <c r="O12" i="14" s="1"/>
  <c r="AE247" i="2"/>
  <c r="AE12" i="14" s="1"/>
  <c r="P247" i="2"/>
  <c r="P12" i="14" s="1"/>
  <c r="Q247" i="2"/>
  <c r="Q12" i="14" s="1"/>
  <c r="R247" i="2"/>
  <c r="R12" i="14" s="1"/>
  <c r="S247" i="2"/>
  <c r="S12" i="14" s="1"/>
  <c r="L264" i="2"/>
  <c r="N248" i="2"/>
  <c r="R728" i="2"/>
  <c r="N1000" i="8"/>
  <c r="N1001" i="8" s="1"/>
  <c r="O677" i="2"/>
  <c r="AE248" i="2"/>
  <c r="M248" i="2"/>
  <c r="O728" i="2"/>
  <c r="O708" i="2"/>
  <c r="M677" i="2"/>
  <c r="AB248" i="2"/>
  <c r="AB13" i="14" s="1"/>
  <c r="N265" i="2"/>
  <c r="O248" i="2"/>
  <c r="AC248" i="2"/>
  <c r="P248" i="2"/>
  <c r="AD248" i="2"/>
  <c r="AD13" i="14" s="1"/>
  <c r="V728" i="2"/>
  <c r="L663" i="2"/>
  <c r="U728" i="2"/>
  <c r="O678" i="2"/>
  <c r="L670" i="2"/>
  <c r="T728" i="2"/>
  <c r="N1008" i="8"/>
  <c r="N1009" i="8" s="1"/>
  <c r="M679" i="2"/>
  <c r="O681" i="2"/>
  <c r="F937" i="8"/>
  <c r="O676" i="2"/>
  <c r="F945" i="8"/>
  <c r="F1333" i="8"/>
  <c r="F1341" i="8"/>
  <c r="T11" i="2"/>
  <c r="Z13" i="2"/>
  <c r="AB37" i="2"/>
  <c r="AB23" i="2" s="1"/>
  <c r="Y70" i="2"/>
  <c r="Z98" i="2"/>
  <c r="S161" i="2"/>
  <c r="P466" i="2"/>
  <c r="X496" i="2"/>
  <c r="X217" i="2"/>
  <c r="AB217" i="2"/>
  <c r="M217" i="2"/>
  <c r="AA217" i="2"/>
  <c r="AA199" i="2" s="1"/>
  <c r="L217" i="2"/>
  <c r="Z217" i="2"/>
  <c r="K217" i="2"/>
  <c r="W217" i="2"/>
  <c r="R217" i="2"/>
  <c r="V217" i="2"/>
  <c r="U217" i="2"/>
  <c r="U203" i="2" s="1"/>
  <c r="T217" i="2"/>
  <c r="Q217" i="2"/>
  <c r="N217" i="2"/>
  <c r="Z12" i="2"/>
  <c r="AC12" i="2"/>
  <c r="X12" i="2"/>
  <c r="W12" i="2"/>
  <c r="U12" i="2"/>
  <c r="U22" i="2" s="1"/>
  <c r="V13" i="2"/>
  <c r="AD41" i="2"/>
  <c r="U41" i="2"/>
  <c r="AE41" i="2"/>
  <c r="M41" i="2"/>
  <c r="AC41" i="2"/>
  <c r="L41" i="2"/>
  <c r="AB41" i="2"/>
  <c r="K41" i="2"/>
  <c r="Z41" i="2"/>
  <c r="AD71" i="2"/>
  <c r="AE217" i="2"/>
  <c r="AD12" i="2"/>
  <c r="AC37" i="2"/>
  <c r="O41" i="2"/>
  <c r="AA70" i="2"/>
  <c r="Z191" i="2"/>
  <c r="AA191" i="2"/>
  <c r="X191" i="2"/>
  <c r="V191" i="2"/>
  <c r="S191" i="2"/>
  <c r="M191" i="2"/>
  <c r="AC191" i="2"/>
  <c r="AB191" i="2"/>
  <c r="U191" i="2"/>
  <c r="P191" i="2"/>
  <c r="L99" i="2"/>
  <c r="AA160" i="2"/>
  <c r="V160" i="2"/>
  <c r="T160" i="2"/>
  <c r="R160" i="2"/>
  <c r="P160" i="2"/>
  <c r="AD160" i="2"/>
  <c r="W160" i="2"/>
  <c r="Q160" i="2"/>
  <c r="O160" i="2"/>
  <c r="K160" i="2"/>
  <c r="K440" i="2"/>
  <c r="K37" i="2"/>
  <c r="AE101" i="2"/>
  <c r="S101" i="2"/>
  <c r="X101" i="2"/>
  <c r="U101" i="2"/>
  <c r="R101" i="2"/>
  <c r="O101" i="2"/>
  <c r="W221" i="2"/>
  <c r="AE221" i="2"/>
  <c r="AC221" i="2"/>
  <c r="AB221" i="2"/>
  <c r="X221" i="2"/>
  <c r="O221" i="2"/>
  <c r="U221" i="2"/>
  <c r="S221" i="2"/>
  <c r="Q221" i="2"/>
  <c r="M221" i="2"/>
  <c r="W13" i="2"/>
  <c r="U13" i="2"/>
  <c r="U23" i="2" s="1"/>
  <c r="T13" i="2"/>
  <c r="S13" i="2"/>
  <c r="P13" i="2"/>
  <c r="L37" i="2"/>
  <c r="Q101" i="2"/>
  <c r="AC157" i="2"/>
  <c r="AB157" i="2"/>
  <c r="X157" i="2"/>
  <c r="Q157" i="2"/>
  <c r="P157" i="2"/>
  <c r="N191" i="2"/>
  <c r="Y408" i="2"/>
  <c r="AE408" i="2"/>
  <c r="AD408" i="2"/>
  <c r="AC408" i="2"/>
  <c r="U408" i="2"/>
  <c r="M408" i="2"/>
  <c r="S408" i="2"/>
  <c r="N408" i="2"/>
  <c r="Q7" i="2"/>
  <c r="W11" i="2"/>
  <c r="AD11" i="2"/>
  <c r="N11" i="2"/>
  <c r="AC11" i="2"/>
  <c r="AB11" i="2"/>
  <c r="L11" i="2"/>
  <c r="Z11" i="2"/>
  <c r="AE11" i="2"/>
  <c r="M37" i="2"/>
  <c r="P39" i="2"/>
  <c r="T41" i="2"/>
  <c r="K71" i="2"/>
  <c r="Z101" i="2"/>
  <c r="N157" i="2"/>
  <c r="N160" i="2"/>
  <c r="O191" i="2"/>
  <c r="N221" i="2"/>
  <c r="AA411" i="2"/>
  <c r="Z411" i="2"/>
  <c r="W411" i="2"/>
  <c r="L411" i="2"/>
  <c r="AC411" i="2"/>
  <c r="T440" i="2"/>
  <c r="R440" i="2"/>
  <c r="Q440" i="2"/>
  <c r="O440" i="2"/>
  <c r="Z440" i="2"/>
  <c r="AC440" i="2"/>
  <c r="Y440" i="2"/>
  <c r="W440" i="2"/>
  <c r="U440" i="2"/>
  <c r="M440" i="2"/>
  <c r="Y99" i="2"/>
  <c r="X99" i="2"/>
  <c r="W99" i="2"/>
  <c r="U99" i="2"/>
  <c r="P99" i="2"/>
  <c r="AE99" i="2"/>
  <c r="AD99" i="2"/>
  <c r="V99" i="2"/>
  <c r="S99" i="2"/>
  <c r="R39" i="2"/>
  <c r="S71" i="2"/>
  <c r="AD157" i="2"/>
  <c r="AB160" i="2"/>
  <c r="AD191" i="2"/>
  <c r="O217" i="2"/>
  <c r="O205" i="2" s="1"/>
  <c r="AA221" i="2"/>
  <c r="O408" i="2"/>
  <c r="X436" i="2"/>
  <c r="W436" i="2"/>
  <c r="V436" i="2"/>
  <c r="T436" i="2"/>
  <c r="L436" i="2"/>
  <c r="AB436" i="2"/>
  <c r="S436" i="2"/>
  <c r="V440" i="2"/>
  <c r="Y500" i="2"/>
  <c r="X500" i="2"/>
  <c r="W500" i="2"/>
  <c r="P500" i="2"/>
  <c r="AA500" i="2"/>
  <c r="W7" i="2"/>
  <c r="R71" i="2"/>
  <c r="P37" i="2"/>
  <c r="R99" i="2"/>
  <c r="M11" i="2"/>
  <c r="M13" i="2"/>
  <c r="S39" i="2"/>
  <c r="Y41" i="2"/>
  <c r="T71" i="2"/>
  <c r="AE75" i="2"/>
  <c r="AA75" i="2"/>
  <c r="P75" i="2"/>
  <c r="P85" i="2" s="1"/>
  <c r="AC75" i="2"/>
  <c r="W75" i="2"/>
  <c r="X98" i="2"/>
  <c r="AE98" i="2"/>
  <c r="P98" i="2"/>
  <c r="AD98" i="2"/>
  <c r="O98" i="2"/>
  <c r="AC98" i="2"/>
  <c r="N98" i="2"/>
  <c r="AA98" i="2"/>
  <c r="L98" i="2"/>
  <c r="U98" i="2"/>
  <c r="W98" i="2"/>
  <c r="V98" i="2"/>
  <c r="T98" i="2"/>
  <c r="R98" i="2"/>
  <c r="T99" i="2"/>
  <c r="AC160" i="2"/>
  <c r="O188" i="2"/>
  <c r="L188" i="2"/>
  <c r="AD188" i="2"/>
  <c r="U188" i="2"/>
  <c r="S188" i="2"/>
  <c r="R188" i="2"/>
  <c r="Q188" i="2"/>
  <c r="AE191" i="2"/>
  <c r="P217" i="2"/>
  <c r="L473" i="2"/>
  <c r="L500" i="2"/>
  <c r="X37" i="2"/>
  <c r="T37" i="2"/>
  <c r="S37" i="2"/>
  <c r="Q37" i="2"/>
  <c r="AE37" i="2"/>
  <c r="O37" i="2"/>
  <c r="P408" i="2"/>
  <c r="N436" i="2"/>
  <c r="AD440" i="2"/>
  <c r="O11" i="2"/>
  <c r="L12" i="2"/>
  <c r="N13" i="2"/>
  <c r="V37" i="2"/>
  <c r="V22" i="2" s="1"/>
  <c r="U39" i="2"/>
  <c r="AA41" i="2"/>
  <c r="V71" i="2"/>
  <c r="K98" i="2"/>
  <c r="Z158" i="2"/>
  <c r="X158" i="2"/>
  <c r="V158" i="2"/>
  <c r="T158" i="2"/>
  <c r="M158" i="2"/>
  <c r="O158" i="2"/>
  <c r="N158" i="2"/>
  <c r="L158" i="2"/>
  <c r="AE160" i="2"/>
  <c r="S217" i="2"/>
  <c r="V408" i="2"/>
  <c r="P436" i="2"/>
  <c r="AE440" i="2"/>
  <c r="M473" i="2"/>
  <c r="V496" i="2"/>
  <c r="P496" i="2"/>
  <c r="O496" i="2"/>
  <c r="M496" i="2"/>
  <c r="AD496" i="2"/>
  <c r="K496" i="2"/>
  <c r="W496" i="2"/>
  <c r="AE496" i="2"/>
  <c r="AA496" i="2"/>
  <c r="U496" i="2"/>
  <c r="M500" i="2"/>
  <c r="T534" i="2"/>
  <c r="V534" i="2"/>
  <c r="Q534" i="2"/>
  <c r="N534" i="2"/>
  <c r="P11" i="2"/>
  <c r="N12" i="2"/>
  <c r="R13" i="2"/>
  <c r="W37" i="2"/>
  <c r="Z71" i="2"/>
  <c r="M75" i="2"/>
  <c r="M98" i="2"/>
  <c r="W100" i="2"/>
  <c r="AE100" i="2"/>
  <c r="AC100" i="2"/>
  <c r="Z100" i="2"/>
  <c r="K100" i="2"/>
  <c r="R158" i="2"/>
  <c r="P188" i="2"/>
  <c r="AE192" i="2"/>
  <c r="AB192" i="2"/>
  <c r="W192" i="2"/>
  <c r="T192" i="2"/>
  <c r="Y217" i="2"/>
  <c r="Q406" i="2"/>
  <c r="O406" i="2"/>
  <c r="N406" i="2"/>
  <c r="AE406" i="2"/>
  <c r="L406" i="2"/>
  <c r="W406" i="2"/>
  <c r="Y406" i="2"/>
  <c r="U406" i="2"/>
  <c r="T406" i="2"/>
  <c r="R406" i="2"/>
  <c r="Q436" i="2"/>
  <c r="L496" i="2"/>
  <c r="Q500" i="2"/>
  <c r="AC532" i="2"/>
  <c r="AB532" i="2"/>
  <c r="U532" i="2"/>
  <c r="Y532" i="2"/>
  <c r="X532" i="2"/>
  <c r="Q99" i="2"/>
  <c r="P440" i="2"/>
  <c r="Q473" i="2"/>
  <c r="V473" i="2"/>
  <c r="U473" i="2"/>
  <c r="T473" i="2"/>
  <c r="R473" i="2"/>
  <c r="AD473" i="2"/>
  <c r="Z473" i="2"/>
  <c r="W473" i="2"/>
  <c r="S473" i="2"/>
  <c r="O473" i="2"/>
  <c r="Y37" i="2"/>
  <c r="X161" i="2"/>
  <c r="AE161" i="2"/>
  <c r="P161" i="2"/>
  <c r="AD161" i="2"/>
  <c r="O161" i="2"/>
  <c r="AC161" i="2"/>
  <c r="N161" i="2"/>
  <c r="AA161" i="2"/>
  <c r="L161" i="2"/>
  <c r="U161" i="2"/>
  <c r="W161" i="2"/>
  <c r="V161" i="2"/>
  <c r="T161" i="2"/>
  <c r="R161" i="2"/>
  <c r="K161" i="2"/>
  <c r="W188" i="2"/>
  <c r="AA190" i="2"/>
  <c r="Y190" i="2"/>
  <c r="R190" i="2"/>
  <c r="Q190" i="2"/>
  <c r="L190" i="2"/>
  <c r="AC217" i="2"/>
  <c r="AC198" i="2" s="1"/>
  <c r="U436" i="2"/>
  <c r="AA473" i="2"/>
  <c r="AC500" i="2"/>
  <c r="AE529" i="2"/>
  <c r="Y529" i="2"/>
  <c r="X529" i="2"/>
  <c r="W529" i="2"/>
  <c r="M529" i="2"/>
  <c r="L529" i="2"/>
  <c r="AA529" i="2"/>
  <c r="N37" i="2"/>
  <c r="V221" i="2"/>
  <c r="X7" i="2"/>
  <c r="O12" i="2"/>
  <c r="AA71" i="2"/>
  <c r="R12" i="2"/>
  <c r="X13" i="2"/>
  <c r="Z37" i="2"/>
  <c r="U75" i="2"/>
  <c r="S98" i="2"/>
  <c r="M161" i="2"/>
  <c r="X188" i="2"/>
  <c r="AD217" i="2"/>
  <c r="Y436" i="2"/>
  <c r="N466" i="2"/>
  <c r="L466" i="2"/>
  <c r="AE466" i="2"/>
  <c r="V466" i="2"/>
  <c r="AA466" i="2"/>
  <c r="Z466" i="2"/>
  <c r="X466" i="2"/>
  <c r="U466" i="2"/>
  <c r="O466" i="2"/>
  <c r="AB473" i="2"/>
  <c r="AE500" i="2"/>
  <c r="X71" i="2"/>
  <c r="P71" i="2"/>
  <c r="P81" i="2" s="1"/>
  <c r="AE71" i="2"/>
  <c r="N71" i="2"/>
  <c r="AC71" i="2"/>
  <c r="L71" i="2"/>
  <c r="U71" i="2"/>
  <c r="Q71" i="2"/>
  <c r="O71" i="2"/>
  <c r="M71" i="2"/>
  <c r="AA101" i="2"/>
  <c r="Q191" i="2"/>
  <c r="L13" i="2"/>
  <c r="T12" i="2"/>
  <c r="Y13" i="2"/>
  <c r="AA37" i="2"/>
  <c r="AE473" i="2"/>
  <c r="W589" i="2"/>
  <c r="P589" i="2"/>
  <c r="AE589" i="2"/>
  <c r="O589" i="2"/>
  <c r="AD589" i="2"/>
  <c r="N589" i="2"/>
  <c r="AC589" i="2"/>
  <c r="M589" i="2"/>
  <c r="AB589" i="2"/>
  <c r="L589" i="2"/>
  <c r="AA589" i="2"/>
  <c r="K589" i="2"/>
  <c r="Z589" i="2"/>
  <c r="V589" i="2"/>
  <c r="Y589" i="2"/>
  <c r="X589" i="2"/>
  <c r="U589" i="2"/>
  <c r="S589" i="2"/>
  <c r="AE195" i="2"/>
  <c r="Z195" i="2"/>
  <c r="Y439" i="2"/>
  <c r="X439" i="2"/>
  <c r="W439" i="2"/>
  <c r="U439" i="2"/>
  <c r="L439" i="2"/>
  <c r="Z558" i="2"/>
  <c r="Z8" i="2"/>
  <c r="V15" i="2"/>
  <c r="Y38" i="2"/>
  <c r="Z127" i="2"/>
  <c r="T127" i="2"/>
  <c r="W132" i="2"/>
  <c r="V132" i="2"/>
  <c r="U132" i="2"/>
  <c r="T132" i="2"/>
  <c r="R132" i="2"/>
  <c r="AB132" i="2"/>
  <c r="M132" i="2"/>
  <c r="AD132" i="2"/>
  <c r="X187" i="2"/>
  <c r="Q187" i="2"/>
  <c r="O187" i="2"/>
  <c r="N187" i="2"/>
  <c r="L187" i="2"/>
  <c r="Z187" i="2"/>
  <c r="Q195" i="2"/>
  <c r="AA409" i="2"/>
  <c r="T414" i="2"/>
  <c r="W414" i="2"/>
  <c r="V414" i="2"/>
  <c r="U414" i="2"/>
  <c r="R414" i="2"/>
  <c r="AC414" i="2"/>
  <c r="M414" i="2"/>
  <c r="AE414" i="2"/>
  <c r="O439" i="2"/>
  <c r="S468" i="2"/>
  <c r="P468" i="2"/>
  <c r="O468" i="2"/>
  <c r="M468" i="2"/>
  <c r="AE468" i="2"/>
  <c r="K468" i="2"/>
  <c r="W468" i="2"/>
  <c r="AA592" i="2"/>
  <c r="X592" i="2"/>
  <c r="W592" i="2"/>
  <c r="V592" i="2"/>
  <c r="T592" i="2"/>
  <c r="L592" i="2"/>
  <c r="K592" i="2"/>
  <c r="AB616" i="2"/>
  <c r="AA616" i="2"/>
  <c r="Z616" i="2"/>
  <c r="V616" i="2"/>
  <c r="R616" i="2"/>
  <c r="Z15" i="2"/>
  <c r="AB38" i="2"/>
  <c r="AB68" i="2"/>
  <c r="AE68" i="2"/>
  <c r="W68" i="2"/>
  <c r="M68" i="2"/>
  <c r="AE74" i="2"/>
  <c r="AD74" i="2"/>
  <c r="Z74" i="2"/>
  <c r="S195" i="2"/>
  <c r="S439" i="2"/>
  <c r="AE559" i="2"/>
  <c r="Y559" i="2"/>
  <c r="V559" i="2"/>
  <c r="P559" i="2"/>
  <c r="N559" i="2"/>
  <c r="Q616" i="2"/>
  <c r="AD195" i="2"/>
  <c r="V409" i="2"/>
  <c r="U409" i="2"/>
  <c r="T409" i="2"/>
  <c r="R409" i="2"/>
  <c r="AC409" i="2"/>
  <c r="L409" i="2"/>
  <c r="V439" i="2"/>
  <c r="AB592" i="2"/>
  <c r="S616" i="2"/>
  <c r="I224" i="2"/>
  <c r="I44" i="2"/>
  <c r="N8" i="2"/>
  <c r="AD8" i="2"/>
  <c r="L15" i="2"/>
  <c r="AB15" i="2"/>
  <c r="L38" i="2"/>
  <c r="Q68" i="2"/>
  <c r="Q74" i="2"/>
  <c r="V127" i="2"/>
  <c r="N132" i="2"/>
  <c r="S187" i="2"/>
  <c r="Y410" i="2"/>
  <c r="P410" i="2"/>
  <c r="N410" i="2"/>
  <c r="M410" i="2"/>
  <c r="AC410" i="2"/>
  <c r="AB412" i="2"/>
  <c r="Y412" i="2"/>
  <c r="P412" i="2"/>
  <c r="N414" i="2"/>
  <c r="Z439" i="2"/>
  <c r="T468" i="2"/>
  <c r="P470" i="2"/>
  <c r="X530" i="2"/>
  <c r="U530" i="2"/>
  <c r="T530" i="2"/>
  <c r="R530" i="2"/>
  <c r="P530" i="2"/>
  <c r="O530" i="2"/>
  <c r="N530" i="2"/>
  <c r="AC530" i="2"/>
  <c r="K530" i="2"/>
  <c r="U616" i="2"/>
  <c r="W533" i="2"/>
  <c r="L533" i="2"/>
  <c r="AD533" i="2"/>
  <c r="K533" i="2"/>
  <c r="AC533" i="2"/>
  <c r="AA533" i="2"/>
  <c r="Z533" i="2"/>
  <c r="Y533" i="2"/>
  <c r="R533" i="2"/>
  <c r="AA558" i="2"/>
  <c r="Y558" i="2"/>
  <c r="W558" i="2"/>
  <c r="V558" i="2"/>
  <c r="U558" i="2"/>
  <c r="T558" i="2"/>
  <c r="S558" i="2"/>
  <c r="R558" i="2"/>
  <c r="AE558" i="2"/>
  <c r="O558" i="2"/>
  <c r="Z590" i="2"/>
  <c r="W590" i="2"/>
  <c r="V590" i="2"/>
  <c r="U590" i="2"/>
  <c r="T590" i="2"/>
  <c r="S590" i="2"/>
  <c r="R590" i="2"/>
  <c r="O590" i="2"/>
  <c r="W593" i="2"/>
  <c r="AB593" i="2"/>
  <c r="X593" i="2"/>
  <c r="U593" i="2"/>
  <c r="S593" i="2"/>
  <c r="R593" i="2"/>
  <c r="P593" i="2"/>
  <c r="O593" i="2"/>
  <c r="L593" i="2"/>
  <c r="N69" i="2"/>
  <c r="Q72" i="2"/>
  <c r="AC97" i="2"/>
  <c r="P128" i="2"/>
  <c r="O129" i="2"/>
  <c r="AE129" i="2"/>
  <c r="V189" i="2"/>
  <c r="R193" i="2"/>
  <c r="N194" i="2"/>
  <c r="V219" i="2"/>
  <c r="T220" i="2"/>
  <c r="R407" i="2"/>
  <c r="R438" i="2"/>
  <c r="Y467" i="2"/>
  <c r="P469" i="2"/>
  <c r="AE469" i="2"/>
  <c r="S471" i="2"/>
  <c r="W497" i="2"/>
  <c r="AE499" i="2"/>
  <c r="Q527" i="2"/>
  <c r="T531" i="2"/>
  <c r="U557" i="2"/>
  <c r="W586" i="2"/>
  <c r="S587" i="2"/>
  <c r="AB588" i="2"/>
  <c r="AB594" i="2"/>
  <c r="W617" i="2"/>
  <c r="X618" i="2"/>
  <c r="X531" i="2"/>
  <c r="AB586" i="2"/>
  <c r="AC618" i="2"/>
  <c r="Y531" i="2"/>
  <c r="AA557" i="2"/>
  <c r="AD586" i="2"/>
  <c r="AD618" i="2"/>
  <c r="W69" i="2"/>
  <c r="V72" i="2"/>
  <c r="T129" i="2"/>
  <c r="AE135" i="2"/>
  <c r="Y193" i="2"/>
  <c r="V194" i="2"/>
  <c r="AE219" i="2"/>
  <c r="AA220" i="2"/>
  <c r="Y407" i="2"/>
  <c r="AC471" i="2"/>
  <c r="AA531" i="2"/>
  <c r="K557" i="2"/>
  <c r="AB557" i="2"/>
  <c r="L586" i="2"/>
  <c r="AE586" i="2"/>
  <c r="K618" i="2"/>
  <c r="AE618" i="2"/>
  <c r="N586" i="2"/>
  <c r="L618" i="2"/>
  <c r="AB69" i="2"/>
  <c r="Y72" i="2"/>
  <c r="Z194" i="2"/>
  <c r="AD220" i="2"/>
  <c r="AC407" i="2"/>
  <c r="AA438" i="2"/>
  <c r="X469" i="2"/>
  <c r="Y526" i="2"/>
  <c r="M531" i="2"/>
  <c r="AC531" i="2"/>
  <c r="M557" i="2"/>
  <c r="AD557" i="2"/>
  <c r="O586" i="2"/>
  <c r="N618" i="2"/>
  <c r="N531" i="2"/>
  <c r="AD531" i="2"/>
  <c r="N557" i="2"/>
  <c r="AE557" i="2"/>
  <c r="P586" i="2"/>
  <c r="O618" i="2"/>
  <c r="Z129" i="2"/>
  <c r="AB194" i="2"/>
  <c r="N219" i="2"/>
  <c r="K407" i="2"/>
  <c r="L438" i="2"/>
  <c r="AD438" i="2"/>
  <c r="N467" i="2"/>
  <c r="K469" i="2"/>
  <c r="Z469" i="2"/>
  <c r="L497" i="2"/>
  <c r="O531" i="2"/>
  <c r="AE531" i="2"/>
  <c r="O557" i="2"/>
  <c r="AC560" i="2"/>
  <c r="K587" i="2"/>
  <c r="V591" i="2"/>
  <c r="N617" i="2"/>
  <c r="P618" i="2"/>
  <c r="L10" i="2"/>
  <c r="K14" i="2"/>
  <c r="O67" i="2"/>
  <c r="AE7" i="2"/>
  <c r="R14" i="2"/>
  <c r="O40" i="2"/>
  <c r="R73" i="2"/>
  <c r="AD73" i="2"/>
  <c r="V73" i="2"/>
  <c r="U73" i="2"/>
  <c r="AE73" i="2"/>
  <c r="O73" i="2"/>
  <c r="AB73" i="2"/>
  <c r="M73" i="2"/>
  <c r="N73" i="2"/>
  <c r="L73" i="2"/>
  <c r="Y73" i="2"/>
  <c r="X73" i="2"/>
  <c r="W73" i="2"/>
  <c r="Q73" i="2"/>
  <c r="P73" i="2"/>
  <c r="P83" i="2" s="1"/>
  <c r="R9" i="2"/>
  <c r="U10" i="2"/>
  <c r="U20" i="2" s="1"/>
  <c r="X67" i="2"/>
  <c r="S9" i="2"/>
  <c r="V10" i="2"/>
  <c r="X14" i="2"/>
  <c r="T39" i="2"/>
  <c r="AB39" i="2"/>
  <c r="N39" i="2"/>
  <c r="Z39" i="2"/>
  <c r="L39" i="2"/>
  <c r="W39" i="2"/>
  <c r="V39" i="2"/>
  <c r="O39" i="2"/>
  <c r="AE39" i="2"/>
  <c r="M39" i="2"/>
  <c r="AD39" i="2"/>
  <c r="K39" i="2"/>
  <c r="Y39" i="2"/>
  <c r="X39" i="2"/>
  <c r="V40" i="2"/>
  <c r="Y67" i="2"/>
  <c r="Z73" i="2"/>
  <c r="W40" i="2"/>
  <c r="AA7" i="2"/>
  <c r="M7" i="2"/>
  <c r="U7" i="2"/>
  <c r="U17" i="2" s="1"/>
  <c r="S7" i="2"/>
  <c r="AD7" i="2"/>
  <c r="L7" i="2"/>
  <c r="AC7" i="2"/>
  <c r="K7" i="2"/>
  <c r="V7" i="2"/>
  <c r="T7" i="2"/>
  <c r="R7" i="2"/>
  <c r="Z14" i="2"/>
  <c r="T70" i="2"/>
  <c r="S70" i="2"/>
  <c r="AB70" i="2"/>
  <c r="N70" i="2"/>
  <c r="Z70" i="2"/>
  <c r="L70" i="2"/>
  <c r="O70" i="2"/>
  <c r="M70" i="2"/>
  <c r="X70" i="2"/>
  <c r="W70" i="2"/>
  <c r="V70" i="2"/>
  <c r="Q70" i="2"/>
  <c r="P70" i="2"/>
  <c r="P80" i="2" s="1"/>
  <c r="K123" i="8"/>
  <c r="K147" i="8"/>
  <c r="L143" i="8"/>
  <c r="L144" i="8" s="1"/>
  <c r="L147" i="8"/>
  <c r="L148" i="8" s="1"/>
  <c r="K127" i="8"/>
  <c r="L115" i="8"/>
  <c r="L116" i="8" s="1"/>
  <c r="K143" i="8"/>
  <c r="K115" i="8"/>
  <c r="L111" i="8"/>
  <c r="L112" i="8" s="1"/>
  <c r="L139" i="8"/>
  <c r="L140" i="8" s="1"/>
  <c r="L123" i="8"/>
  <c r="L124" i="8" s="1"/>
  <c r="K107" i="8"/>
  <c r="L103" i="8"/>
  <c r="L104" i="8" s="1"/>
  <c r="L95" i="8"/>
  <c r="L96" i="8" s="1"/>
  <c r="K43" i="8"/>
  <c r="L39" i="8"/>
  <c r="L40" i="8" s="1"/>
  <c r="K87" i="8"/>
  <c r="L83" i="8"/>
  <c r="L84" i="8" s="1"/>
  <c r="K31" i="8"/>
  <c r="K32" i="8" s="1"/>
  <c r="L27" i="8"/>
  <c r="L28" i="8" s="1"/>
  <c r="K139" i="8"/>
  <c r="K119" i="8"/>
  <c r="L99" i="8"/>
  <c r="L100" i="8" s="1"/>
  <c r="K79" i="8"/>
  <c r="L75" i="8"/>
  <c r="L76" i="8" s="1"/>
  <c r="K23" i="8"/>
  <c r="K24" i="8" s="1"/>
  <c r="L19" i="8"/>
  <c r="L20" i="8" s="1"/>
  <c r="K99" i="8"/>
  <c r="K75" i="8"/>
  <c r="L71" i="8"/>
  <c r="L72" i="8" s="1"/>
  <c r="K19" i="8"/>
  <c r="K20" i="8" s="1"/>
  <c r="L15" i="8"/>
  <c r="L16" i="8" s="1"/>
  <c r="K67" i="8"/>
  <c r="L63" i="8"/>
  <c r="L64" i="8" s="1"/>
  <c r="K11" i="8"/>
  <c r="K12" i="8" s="1"/>
  <c r="L7" i="8"/>
  <c r="L8" i="8" s="1"/>
  <c r="K103" i="8"/>
  <c r="L11" i="8"/>
  <c r="L12" i="8" s="1"/>
  <c r="K7" i="8"/>
  <c r="K8" i="8" s="1"/>
  <c r="L131" i="8"/>
  <c r="L132" i="8" s="1"/>
  <c r="L107" i="8"/>
  <c r="L108" i="8" s="1"/>
  <c r="L79" i="8"/>
  <c r="L80" i="8" s="1"/>
  <c r="K55" i="8"/>
  <c r="K51" i="8"/>
  <c r="L47" i="8"/>
  <c r="L48" i="8" s="1"/>
  <c r="L35" i="8"/>
  <c r="L36" i="8" s="1"/>
  <c r="L31" i="8"/>
  <c r="L32" i="8" s="1"/>
  <c r="K27" i="8"/>
  <c r="K28" i="8" s="1"/>
  <c r="K111" i="8"/>
  <c r="L91" i="8"/>
  <c r="L92" i="8" s="1"/>
  <c r="K71" i="8"/>
  <c r="K91" i="8"/>
  <c r="K131" i="8"/>
  <c r="L87" i="8"/>
  <c r="L88" i="8" s="1"/>
  <c r="L59" i="8"/>
  <c r="L60" i="8" s="1"/>
  <c r="K35" i="8"/>
  <c r="K36" i="8" s="1"/>
  <c r="K15" i="8"/>
  <c r="K16" i="8" s="1"/>
  <c r="L135" i="8"/>
  <c r="L136" i="8" s="1"/>
  <c r="L119" i="8"/>
  <c r="L120" i="8" s="1"/>
  <c r="L67" i="8"/>
  <c r="L68" i="8" s="1"/>
  <c r="K59" i="8"/>
  <c r="L51" i="8"/>
  <c r="L52" i="8" s="1"/>
  <c r="K135" i="8"/>
  <c r="K83" i="8"/>
  <c r="L43" i="8"/>
  <c r="L44" i="8" s="1"/>
  <c r="K95" i="8"/>
  <c r="L127" i="8"/>
  <c r="L128" i="8" s="1"/>
  <c r="K63" i="8"/>
  <c r="L55" i="8"/>
  <c r="L56" i="8" s="1"/>
  <c r="K39" i="8"/>
  <c r="K40" i="8" s="1"/>
  <c r="K47" i="8"/>
  <c r="L23" i="8"/>
  <c r="L24" i="8" s="1"/>
  <c r="N7" i="2"/>
  <c r="AC14" i="2"/>
  <c r="AD40" i="2"/>
  <c r="K70" i="2"/>
  <c r="V74" i="2"/>
  <c r="T74" i="2"/>
  <c r="AC74" i="2"/>
  <c r="M74" i="2"/>
  <c r="AB74" i="2"/>
  <c r="L74" i="2"/>
  <c r="W74" i="2"/>
  <c r="S74" i="2"/>
  <c r="K74" i="2"/>
  <c r="X74" i="2"/>
  <c r="U74" i="2"/>
  <c r="R74" i="2"/>
  <c r="O74" i="2"/>
  <c r="N74" i="2"/>
  <c r="Y10" i="2"/>
  <c r="K10" i="2"/>
  <c r="S10" i="2"/>
  <c r="AE10" i="2"/>
  <c r="Q10" i="2"/>
  <c r="Z10" i="2"/>
  <c r="X10" i="2"/>
  <c r="P10" i="2"/>
  <c r="O10" i="2"/>
  <c r="N10" i="2"/>
  <c r="U9" i="2"/>
  <c r="U19" i="2" s="1"/>
  <c r="AC9" i="2"/>
  <c r="O9" i="2"/>
  <c r="AA9" i="2"/>
  <c r="M9" i="2"/>
  <c r="N9" i="2"/>
  <c r="AE9" i="2"/>
  <c r="L9" i="2"/>
  <c r="W9" i="2"/>
  <c r="V9" i="2"/>
  <c r="T9" i="2"/>
  <c r="V67" i="2"/>
  <c r="U67" i="2"/>
  <c r="AD67" i="2"/>
  <c r="P67" i="2"/>
  <c r="P77" i="2" s="1"/>
  <c r="AB67" i="2"/>
  <c r="N67" i="2"/>
  <c r="AE67" i="2"/>
  <c r="K67" i="2"/>
  <c r="AC67" i="2"/>
  <c r="T67" i="2"/>
  <c r="S67" i="2"/>
  <c r="R67" i="2"/>
  <c r="M67" i="2"/>
  <c r="L67" i="2"/>
  <c r="AA10" i="2"/>
  <c r="AB40" i="2"/>
  <c r="Z9" i="2"/>
  <c r="R70" i="2"/>
  <c r="AC130" i="2"/>
  <c r="O130" i="2"/>
  <c r="AA130" i="2"/>
  <c r="M130" i="2"/>
  <c r="V130" i="2"/>
  <c r="U130" i="2"/>
  <c r="T130" i="2"/>
  <c r="P130" i="2"/>
  <c r="AD130" i="2"/>
  <c r="L130" i="2"/>
  <c r="X130" i="2"/>
  <c r="W130" i="2"/>
  <c r="Q130" i="2"/>
  <c r="N130" i="2"/>
  <c r="K130" i="2"/>
  <c r="AE130" i="2"/>
  <c r="AB130" i="2"/>
  <c r="S130" i="2"/>
  <c r="S140" i="2" s="1"/>
  <c r="R130" i="2"/>
  <c r="V134" i="2"/>
  <c r="AE134" i="2"/>
  <c r="Q134" i="2"/>
  <c r="AC134" i="2"/>
  <c r="O134" i="2"/>
  <c r="W134" i="2"/>
  <c r="U134" i="2"/>
  <c r="T134" i="2"/>
  <c r="N134" i="2"/>
  <c r="AD134" i="2"/>
  <c r="L134" i="2"/>
  <c r="Y134" i="2"/>
  <c r="X134" i="2"/>
  <c r="P134" i="2"/>
  <c r="M134" i="2"/>
  <c r="K134" i="2"/>
  <c r="AB134" i="2"/>
  <c r="S134" i="2"/>
  <c r="S144" i="2" s="1"/>
  <c r="R134" i="2"/>
  <c r="AA14" i="2"/>
  <c r="M14" i="2"/>
  <c r="U14" i="2"/>
  <c r="U24" i="2" s="1"/>
  <c r="S14" i="2"/>
  <c r="AE14" i="2"/>
  <c r="N14" i="2"/>
  <c r="AD14" i="2"/>
  <c r="L14" i="2"/>
  <c r="W14" i="2"/>
  <c r="V14" i="2"/>
  <c r="T14" i="2"/>
  <c r="X9" i="2"/>
  <c r="W10" i="2"/>
  <c r="Y14" i="2"/>
  <c r="AA73" i="2"/>
  <c r="Y9" i="2"/>
  <c r="AA67" i="2"/>
  <c r="AC73" i="2"/>
  <c r="AB10" i="2"/>
  <c r="L63" i="2"/>
  <c r="O7" i="2"/>
  <c r="AD9" i="2"/>
  <c r="AD10" i="2"/>
  <c r="P7" i="2"/>
  <c r="AA39" i="2"/>
  <c r="U70" i="2"/>
  <c r="P74" i="2"/>
  <c r="P84" i="2" s="1"/>
  <c r="K9" i="2"/>
  <c r="Y40" i="2"/>
  <c r="K40" i="2"/>
  <c r="S40" i="2"/>
  <c r="AE40" i="2"/>
  <c r="Q40" i="2"/>
  <c r="R40" i="2"/>
  <c r="P40" i="2"/>
  <c r="AA40" i="2"/>
  <c r="Z40" i="2"/>
  <c r="X40" i="2"/>
  <c r="U40" i="2"/>
  <c r="T40" i="2"/>
  <c r="O14" i="2"/>
  <c r="L40" i="2"/>
  <c r="AD70" i="2"/>
  <c r="M40" i="2"/>
  <c r="Q67" i="2"/>
  <c r="AE70" i="2"/>
  <c r="K73" i="2"/>
  <c r="M10" i="2"/>
  <c r="S131" i="2"/>
  <c r="S141" i="2" s="1"/>
  <c r="AE131" i="2"/>
  <c r="Q131" i="2"/>
  <c r="AD131" i="2"/>
  <c r="N131" i="2"/>
  <c r="AC131" i="2"/>
  <c r="M131" i="2"/>
  <c r="AB131" i="2"/>
  <c r="L131" i="2"/>
  <c r="X131" i="2"/>
  <c r="V131" i="2"/>
  <c r="P131" i="2"/>
  <c r="O131" i="2"/>
  <c r="W131" i="2"/>
  <c r="U131" i="2"/>
  <c r="T131" i="2"/>
  <c r="R131" i="2"/>
  <c r="Z131" i="2"/>
  <c r="Y131" i="2"/>
  <c r="Z7" i="2"/>
  <c r="P9" i="2"/>
  <c r="R10" i="2"/>
  <c r="P14" i="2"/>
  <c r="AB7" i="2"/>
  <c r="Q9" i="2"/>
  <c r="T10" i="2"/>
  <c r="Q14" i="2"/>
  <c r="N40" i="2"/>
  <c r="W67" i="2"/>
  <c r="S73" i="2"/>
  <c r="K131" i="2"/>
  <c r="AD413" i="2"/>
  <c r="P413" i="2"/>
  <c r="R413" i="2"/>
  <c r="AE413" i="2"/>
  <c r="N413" i="2"/>
  <c r="Y413" i="2"/>
  <c r="X413" i="2"/>
  <c r="W413" i="2"/>
  <c r="V413" i="2"/>
  <c r="S413" i="2"/>
  <c r="O413" i="2"/>
  <c r="AA413" i="2"/>
  <c r="T413" i="2"/>
  <c r="M413" i="2"/>
  <c r="L413" i="2"/>
  <c r="K413" i="2"/>
  <c r="AC413" i="2"/>
  <c r="AB413" i="2"/>
  <c r="Z413" i="2"/>
  <c r="U413" i="2"/>
  <c r="Q413" i="2"/>
  <c r="Q159" i="2"/>
  <c r="Z68" i="2"/>
  <c r="L68" i="2"/>
  <c r="Y68" i="2"/>
  <c r="K68" i="2"/>
  <c r="T68" i="2"/>
  <c r="R68" i="2"/>
  <c r="AC68" i="2"/>
  <c r="P12" i="2"/>
  <c r="N68" i="2"/>
  <c r="Q75" i="2"/>
  <c r="Q100" i="2"/>
  <c r="Q12" i="2"/>
  <c r="O68" i="2"/>
  <c r="AD69" i="2"/>
  <c r="P69" i="2"/>
  <c r="P79" i="2" s="1"/>
  <c r="AC69" i="2"/>
  <c r="O69" i="2"/>
  <c r="X69" i="2"/>
  <c r="V69" i="2"/>
  <c r="AA69" i="2"/>
  <c r="R75" i="2"/>
  <c r="P68" i="2"/>
  <c r="P78" i="2" s="1"/>
  <c r="AE127" i="2"/>
  <c r="Q127" i="2"/>
  <c r="AC127" i="2"/>
  <c r="O127" i="2"/>
  <c r="AD127" i="2"/>
  <c r="M127" i="2"/>
  <c r="AB127" i="2"/>
  <c r="L127" i="2"/>
  <c r="AA127" i="2"/>
  <c r="K127" i="2"/>
  <c r="W127" i="2"/>
  <c r="U127" i="2"/>
  <c r="P127" i="2"/>
  <c r="N127" i="2"/>
  <c r="V159" i="2"/>
  <c r="U159" i="2"/>
  <c r="AD159" i="2"/>
  <c r="P159" i="2"/>
  <c r="AB159" i="2"/>
  <c r="N159" i="2"/>
  <c r="M159" i="2"/>
  <c r="Z159" i="2"/>
  <c r="Y159" i="2"/>
  <c r="X159" i="2"/>
  <c r="R159" i="2"/>
  <c r="W159" i="2"/>
  <c r="T159" i="2"/>
  <c r="S159" i="2"/>
  <c r="K159" i="2"/>
  <c r="AC159" i="2"/>
  <c r="AA159" i="2"/>
  <c r="AC474" i="2"/>
  <c r="O474" i="2"/>
  <c r="AE474" i="2"/>
  <c r="P474" i="2"/>
  <c r="AD474" i="2"/>
  <c r="N474" i="2"/>
  <c r="AB474" i="2"/>
  <c r="M474" i="2"/>
  <c r="AA474" i="2"/>
  <c r="L474" i="2"/>
  <c r="W474" i="2"/>
  <c r="T474" i="2"/>
  <c r="X474" i="2"/>
  <c r="V474" i="2"/>
  <c r="R474" i="2"/>
  <c r="Q474" i="2"/>
  <c r="K474" i="2"/>
  <c r="Z474" i="2"/>
  <c r="Y474" i="2"/>
  <c r="S474" i="2"/>
  <c r="U474" i="2"/>
  <c r="L123" i="2"/>
  <c r="AC38" i="2"/>
  <c r="O38" i="2"/>
  <c r="W38" i="2"/>
  <c r="U38" i="2"/>
  <c r="AA38" i="2"/>
  <c r="X68" i="2"/>
  <c r="R69" i="2"/>
  <c r="Y101" i="2"/>
  <c r="K101" i="2"/>
  <c r="W101" i="2"/>
  <c r="AD101" i="2"/>
  <c r="N101" i="2"/>
  <c r="AC101" i="2"/>
  <c r="M101" i="2"/>
  <c r="AB101" i="2"/>
  <c r="L101" i="2"/>
  <c r="V101" i="2"/>
  <c r="T101" i="2"/>
  <c r="P101" i="2"/>
  <c r="X127" i="2"/>
  <c r="L159" i="2"/>
  <c r="S12" i="2"/>
  <c r="AA12" i="2"/>
  <c r="M12" i="2"/>
  <c r="Y12" i="2"/>
  <c r="K12" i="2"/>
  <c r="AB12" i="2"/>
  <c r="AA68" i="2"/>
  <c r="Z75" i="2"/>
  <c r="L75" i="2"/>
  <c r="X75" i="2"/>
  <c r="T75" i="2"/>
  <c r="S75" i="2"/>
  <c r="AD75" i="2"/>
  <c r="N75" i="2"/>
  <c r="AB75" i="2"/>
  <c r="K75" i="2"/>
  <c r="T100" i="2"/>
  <c r="R100" i="2"/>
  <c r="V100" i="2"/>
  <c r="U100" i="2"/>
  <c r="S100" i="2"/>
  <c r="AD100" i="2"/>
  <c r="N100" i="2"/>
  <c r="AB100" i="2"/>
  <c r="L100" i="2"/>
  <c r="X100" i="2"/>
  <c r="Y127" i="2"/>
  <c r="AA133" i="2"/>
  <c r="M133" i="2"/>
  <c r="Y133" i="2"/>
  <c r="K133" i="2"/>
  <c r="AD133" i="2"/>
  <c r="N133" i="2"/>
  <c r="AC133" i="2"/>
  <c r="L133" i="2"/>
  <c r="AB133" i="2"/>
  <c r="V133" i="2"/>
  <c r="T133" i="2"/>
  <c r="P133" i="2"/>
  <c r="AE133" i="2"/>
  <c r="O133" i="2"/>
  <c r="O159" i="2"/>
  <c r="L183" i="2"/>
  <c r="U128" i="2"/>
  <c r="S128" i="2"/>
  <c r="S138" i="2" s="1"/>
  <c r="Y128" i="2"/>
  <c r="U472" i="2"/>
  <c r="R472" i="2"/>
  <c r="Q472" i="2"/>
  <c r="AE472" i="2"/>
  <c r="P472" i="2"/>
  <c r="AD472" i="2"/>
  <c r="O472" i="2"/>
  <c r="Z472" i="2"/>
  <c r="K472" i="2"/>
  <c r="W472" i="2"/>
  <c r="AC472" i="2"/>
  <c r="AB472" i="2"/>
  <c r="V472" i="2"/>
  <c r="T472" i="2"/>
  <c r="Y472" i="2"/>
  <c r="X472" i="2"/>
  <c r="S472" i="2"/>
  <c r="N472" i="2"/>
  <c r="L472" i="2"/>
  <c r="I631" i="2"/>
  <c r="I629" i="2"/>
  <c r="I627" i="2"/>
  <c r="I625" i="2"/>
  <c r="I623" i="2"/>
  <c r="I630" i="2"/>
  <c r="I571" i="2"/>
  <c r="I569" i="2"/>
  <c r="I567" i="2"/>
  <c r="I565" i="2"/>
  <c r="I563" i="2"/>
  <c r="I570" i="2"/>
  <c r="I511" i="2"/>
  <c r="I509" i="2"/>
  <c r="I507" i="2"/>
  <c r="I505" i="2"/>
  <c r="I503" i="2"/>
  <c r="I624" i="2"/>
  <c r="I626" i="2"/>
  <c r="I628" i="2"/>
  <c r="I510" i="2"/>
  <c r="I508" i="2"/>
  <c r="I506" i="2"/>
  <c r="I504" i="2"/>
  <c r="I231" i="2"/>
  <c r="I229" i="2"/>
  <c r="I227" i="2"/>
  <c r="I225" i="2"/>
  <c r="I451" i="2"/>
  <c r="I449" i="2"/>
  <c r="I447" i="2"/>
  <c r="I445" i="2"/>
  <c r="I443" i="2"/>
  <c r="I568" i="2"/>
  <c r="I444" i="2"/>
  <c r="I446" i="2"/>
  <c r="I448" i="2"/>
  <c r="I450" i="2"/>
  <c r="I564" i="2"/>
  <c r="I228" i="2"/>
  <c r="I566" i="2"/>
  <c r="I232" i="2"/>
  <c r="I172" i="2"/>
  <c r="I170" i="2"/>
  <c r="I168" i="2"/>
  <c r="I166" i="2"/>
  <c r="I164" i="2"/>
  <c r="I226" i="2"/>
  <c r="I230" i="2"/>
  <c r="I171" i="2"/>
  <c r="I169" i="2"/>
  <c r="I167" i="2"/>
  <c r="I165" i="2"/>
  <c r="I112" i="2"/>
  <c r="I110" i="2"/>
  <c r="I108" i="2"/>
  <c r="I106" i="2"/>
  <c r="I104" i="2"/>
  <c r="W8" i="2"/>
  <c r="U11" i="2"/>
  <c r="U21" i="2" s="1"/>
  <c r="O13" i="2"/>
  <c r="AC13" i="2"/>
  <c r="W15" i="2"/>
  <c r="M128" i="2"/>
  <c r="AC128" i="2"/>
  <c r="K8" i="2"/>
  <c r="Q13" i="2"/>
  <c r="AE13" i="2"/>
  <c r="K15" i="2"/>
  <c r="R37" i="2"/>
  <c r="X41" i="2"/>
  <c r="AB72" i="2"/>
  <c r="N72" i="2"/>
  <c r="X72" i="2"/>
  <c r="O128" i="2"/>
  <c r="AE128" i="2"/>
  <c r="Z135" i="2"/>
  <c r="L135" i="2"/>
  <c r="U135" i="2"/>
  <c r="S135" i="2"/>
  <c r="S145" i="2" s="1"/>
  <c r="AA135" i="2"/>
  <c r="Z157" i="2"/>
  <c r="L157" i="2"/>
  <c r="Y157" i="2"/>
  <c r="Y139" i="2" s="1"/>
  <c r="K157" i="2"/>
  <c r="T157" i="2"/>
  <c r="R157" i="2"/>
  <c r="R137" i="2" s="1"/>
  <c r="V157" i="2"/>
  <c r="O157" i="2"/>
  <c r="AE157" i="2"/>
  <c r="M157" i="2"/>
  <c r="AA157" i="2"/>
  <c r="AA142" i="2" s="1"/>
  <c r="I107" i="2"/>
  <c r="T128" i="2"/>
  <c r="V190" i="2"/>
  <c r="U190" i="2"/>
  <c r="S190" i="2"/>
  <c r="AD190" i="2"/>
  <c r="P190" i="2"/>
  <c r="AB190" i="2"/>
  <c r="N190" i="2"/>
  <c r="AE190" i="2"/>
  <c r="Z190" i="2"/>
  <c r="X190" i="2"/>
  <c r="W190" i="2"/>
  <c r="T190" i="2"/>
  <c r="M190" i="2"/>
  <c r="AD192" i="2"/>
  <c r="P192" i="2"/>
  <c r="AC192" i="2"/>
  <c r="O192" i="2"/>
  <c r="AA192" i="2"/>
  <c r="M192" i="2"/>
  <c r="X192" i="2"/>
  <c r="V192" i="2"/>
  <c r="U192" i="2"/>
  <c r="R192" i="2"/>
  <c r="N192" i="2"/>
  <c r="L192" i="2"/>
  <c r="K192" i="2"/>
  <c r="Z192" i="2"/>
  <c r="AB195" i="2"/>
  <c r="N195" i="2"/>
  <c r="AA195" i="2"/>
  <c r="M195" i="2"/>
  <c r="Y195" i="2"/>
  <c r="K195" i="2"/>
  <c r="V195" i="2"/>
  <c r="T195" i="2"/>
  <c r="AC195" i="2"/>
  <c r="X195" i="2"/>
  <c r="W195" i="2"/>
  <c r="U195" i="2"/>
  <c r="P195" i="2"/>
  <c r="W71" i="2"/>
  <c r="O72" i="2"/>
  <c r="AD72" i="2"/>
  <c r="S97" i="2"/>
  <c r="AE97" i="2"/>
  <c r="Q97" i="2"/>
  <c r="Z97" i="2"/>
  <c r="Z79" i="2" s="1"/>
  <c r="AC99" i="2"/>
  <c r="O99" i="2"/>
  <c r="AA99" i="2"/>
  <c r="M99" i="2"/>
  <c r="Z99" i="2"/>
  <c r="I105" i="2"/>
  <c r="V128" i="2"/>
  <c r="O135" i="2"/>
  <c r="U157" i="2"/>
  <c r="AC218" i="2"/>
  <c r="O218" i="2"/>
  <c r="T218" i="2"/>
  <c r="S218" i="2"/>
  <c r="R218" i="2"/>
  <c r="Q218" i="2"/>
  <c r="AB218" i="2"/>
  <c r="M218" i="2"/>
  <c r="Z218" i="2"/>
  <c r="K218" i="2"/>
  <c r="AA218" i="2"/>
  <c r="W218" i="2"/>
  <c r="U218" i="2"/>
  <c r="P218" i="2"/>
  <c r="N218" i="2"/>
  <c r="V411" i="2"/>
  <c r="T411" i="2"/>
  <c r="AD411" i="2"/>
  <c r="N411" i="2"/>
  <c r="U411" i="2"/>
  <c r="S411" i="2"/>
  <c r="R411" i="2"/>
  <c r="Q411" i="2"/>
  <c r="AE411" i="2"/>
  <c r="M411" i="2"/>
  <c r="AB411" i="2"/>
  <c r="K411" i="2"/>
  <c r="P411" i="2"/>
  <c r="Y411" i="2"/>
  <c r="X411" i="2"/>
  <c r="P41" i="2"/>
  <c r="I45" i="2"/>
  <c r="I47" i="2"/>
  <c r="I49" i="2"/>
  <c r="I51" i="2"/>
  <c r="Y71" i="2"/>
  <c r="P72" i="2"/>
  <c r="P82" i="2" s="1"/>
  <c r="AE72" i="2"/>
  <c r="K97" i="2"/>
  <c r="AA97" i="2"/>
  <c r="K99" i="2"/>
  <c r="AB99" i="2"/>
  <c r="W128" i="2"/>
  <c r="P135" i="2"/>
  <c r="W157" i="2"/>
  <c r="K190" i="2"/>
  <c r="Q192" i="2"/>
  <c r="L195" i="2"/>
  <c r="L218" i="2"/>
  <c r="AA470" i="2"/>
  <c r="M470" i="2"/>
  <c r="U470" i="2"/>
  <c r="T470" i="2"/>
  <c r="S470" i="2"/>
  <c r="R470" i="2"/>
  <c r="AC470" i="2"/>
  <c r="N470" i="2"/>
  <c r="Y470" i="2"/>
  <c r="AE470" i="2"/>
  <c r="AD470" i="2"/>
  <c r="W470" i="2"/>
  <c r="V470" i="2"/>
  <c r="O470" i="2"/>
  <c r="L470" i="2"/>
  <c r="K470" i="2"/>
  <c r="S189" i="2"/>
  <c r="R498" i="2"/>
  <c r="X498" i="2"/>
  <c r="W498" i="2"/>
  <c r="V498" i="2"/>
  <c r="U498" i="2"/>
  <c r="AE498" i="2"/>
  <c r="P498" i="2"/>
  <c r="AB498" i="2"/>
  <c r="M498" i="2"/>
  <c r="N498" i="2"/>
  <c r="L498" i="2"/>
  <c r="AD498" i="2"/>
  <c r="AC498" i="2"/>
  <c r="Q498" i="2"/>
  <c r="AA498" i="2"/>
  <c r="Y498" i="2"/>
  <c r="T498" i="2"/>
  <c r="O498" i="2"/>
  <c r="W129" i="2"/>
  <c r="W189" i="2"/>
  <c r="T193" i="2"/>
  <c r="S193" i="2"/>
  <c r="AE193" i="2"/>
  <c r="Q193" i="2"/>
  <c r="AB193" i="2"/>
  <c r="N193" i="2"/>
  <c r="Z193" i="2"/>
  <c r="L193" i="2"/>
  <c r="AD193" i="2"/>
  <c r="R437" i="2"/>
  <c r="V437" i="2"/>
  <c r="S437" i="2"/>
  <c r="AC437" i="2"/>
  <c r="L437" i="2"/>
  <c r="X437" i="2"/>
  <c r="W437" i="2"/>
  <c r="Z437" i="2"/>
  <c r="Y437" i="2"/>
  <c r="U437" i="2"/>
  <c r="T437" i="2"/>
  <c r="P437" i="2"/>
  <c r="O437" i="2"/>
  <c r="M437" i="2"/>
  <c r="Z470" i="2"/>
  <c r="Y189" i="2"/>
  <c r="Z412" i="2"/>
  <c r="L412" i="2"/>
  <c r="AA412" i="2"/>
  <c r="K412" i="2"/>
  <c r="V412" i="2"/>
  <c r="O412" i="2"/>
  <c r="AE412" i="2"/>
  <c r="N412" i="2"/>
  <c r="AD412" i="2"/>
  <c r="M412" i="2"/>
  <c r="AC412" i="2"/>
  <c r="X412" i="2"/>
  <c r="U412" i="2"/>
  <c r="AB470" i="2"/>
  <c r="K129" i="2"/>
  <c r="AE158" i="2"/>
  <c r="Q158" i="2"/>
  <c r="AD158" i="2"/>
  <c r="P158" i="2"/>
  <c r="Y158" i="2"/>
  <c r="K158" i="2"/>
  <c r="W158" i="2"/>
  <c r="AC158" i="2"/>
  <c r="AB188" i="2"/>
  <c r="N188" i="2"/>
  <c r="AA188" i="2"/>
  <c r="M188" i="2"/>
  <c r="Y188" i="2"/>
  <c r="K188" i="2"/>
  <c r="V188" i="2"/>
  <c r="T188" i="2"/>
  <c r="AE188" i="2"/>
  <c r="K193" i="2"/>
  <c r="N437" i="2"/>
  <c r="R189" i="2"/>
  <c r="AE189" i="2"/>
  <c r="Q189" i="2"/>
  <c r="AC189" i="2"/>
  <c r="O189" i="2"/>
  <c r="Z189" i="2"/>
  <c r="L189" i="2"/>
  <c r="X189" i="2"/>
  <c r="AD189" i="2"/>
  <c r="L462" i="2"/>
  <c r="M189" i="2"/>
  <c r="T412" i="2"/>
  <c r="AE437" i="2"/>
  <c r="L582" i="2"/>
  <c r="L522" i="2"/>
  <c r="K526" i="2"/>
  <c r="Z619" i="2"/>
  <c r="L619" i="2"/>
  <c r="T619" i="2"/>
  <c r="Q619" i="2"/>
  <c r="AD619" i="2"/>
  <c r="O619" i="2"/>
  <c r="AA619" i="2"/>
  <c r="K619" i="2"/>
  <c r="Y619" i="2"/>
  <c r="X619" i="2"/>
  <c r="W619" i="2"/>
  <c r="V619" i="2"/>
  <c r="U619" i="2"/>
  <c r="S619" i="2"/>
  <c r="N619" i="2"/>
  <c r="M619" i="2"/>
  <c r="AE619" i="2"/>
  <c r="AC619" i="2"/>
  <c r="R619" i="2"/>
  <c r="AB619" i="2"/>
  <c r="S160" i="2"/>
  <c r="P187" i="2"/>
  <c r="AD187" i="2"/>
  <c r="R191" i="2"/>
  <c r="P194" i="2"/>
  <c r="AD194" i="2"/>
  <c r="R219" i="2"/>
  <c r="Y220" i="2"/>
  <c r="K220" i="2"/>
  <c r="Z220" i="2"/>
  <c r="R221" i="2"/>
  <c r="T407" i="2"/>
  <c r="AB407" i="2"/>
  <c r="M407" i="2"/>
  <c r="P407" i="2"/>
  <c r="Z407" i="2"/>
  <c r="Q408" i="2"/>
  <c r="S410" i="2"/>
  <c r="U467" i="2"/>
  <c r="P619" i="2"/>
  <c r="U160" i="2"/>
  <c r="R187" i="2"/>
  <c r="T191" i="2"/>
  <c r="R194" i="2"/>
  <c r="U219" i="2"/>
  <c r="M220" i="2"/>
  <c r="AB220" i="2"/>
  <c r="T221" i="2"/>
  <c r="T408" i="2"/>
  <c r="U410" i="2"/>
  <c r="V556" i="2"/>
  <c r="T556" i="2"/>
  <c r="S556" i="2"/>
  <c r="R556" i="2"/>
  <c r="AE556" i="2"/>
  <c r="Q556" i="2"/>
  <c r="AB556" i="2"/>
  <c r="N556" i="2"/>
  <c r="AC556" i="2"/>
  <c r="AA556" i="2"/>
  <c r="Z556" i="2"/>
  <c r="Y556" i="2"/>
  <c r="P556" i="2"/>
  <c r="L556" i="2"/>
  <c r="AD556" i="2"/>
  <c r="K556" i="2"/>
  <c r="X160" i="2"/>
  <c r="U187" i="2"/>
  <c r="W191" i="2"/>
  <c r="U194" i="2"/>
  <c r="X219" i="2"/>
  <c r="L243" i="2"/>
  <c r="M556" i="2"/>
  <c r="Y219" i="2"/>
  <c r="X408" i="2"/>
  <c r="R408" i="2"/>
  <c r="W408" i="2"/>
  <c r="Z408" i="2"/>
  <c r="R410" i="2"/>
  <c r="AD410" i="2"/>
  <c r="O410" i="2"/>
  <c r="W410" i="2"/>
  <c r="Z410" i="2"/>
  <c r="AC467" i="2"/>
  <c r="O467" i="2"/>
  <c r="S467" i="2"/>
  <c r="Z467" i="2"/>
  <c r="K467" i="2"/>
  <c r="W467" i="2"/>
  <c r="AE467" i="2"/>
  <c r="L467" i="2"/>
  <c r="AD467" i="2"/>
  <c r="X467" i="2"/>
  <c r="V467" i="2"/>
  <c r="O556" i="2"/>
  <c r="L160" i="2"/>
  <c r="Z160" i="2"/>
  <c r="W187" i="2"/>
  <c r="K191" i="2"/>
  <c r="Y191" i="2"/>
  <c r="W194" i="2"/>
  <c r="K219" i="2"/>
  <c r="Z219" i="2"/>
  <c r="AD221" i="2"/>
  <c r="P221" i="2"/>
  <c r="Y221" i="2"/>
  <c r="AA408" i="2"/>
  <c r="AA410" i="2"/>
  <c r="W499" i="2"/>
  <c r="AD499" i="2"/>
  <c r="O499" i="2"/>
  <c r="AC499" i="2"/>
  <c r="N499" i="2"/>
  <c r="AB499" i="2"/>
  <c r="M499" i="2"/>
  <c r="AA499" i="2"/>
  <c r="L499" i="2"/>
  <c r="V499" i="2"/>
  <c r="S499" i="2"/>
  <c r="Q499" i="2"/>
  <c r="P499" i="2"/>
  <c r="T499" i="2"/>
  <c r="U556" i="2"/>
  <c r="M160" i="2"/>
  <c r="L191" i="2"/>
  <c r="L219" i="2"/>
  <c r="AA219" i="2"/>
  <c r="S220" i="2"/>
  <c r="K221" i="2"/>
  <c r="Z221" i="2"/>
  <c r="AD406" i="2"/>
  <c r="P406" i="2"/>
  <c r="V406" i="2"/>
  <c r="X406" i="2"/>
  <c r="Z406" i="2"/>
  <c r="S407" i="2"/>
  <c r="K408" i="2"/>
  <c r="AB408" i="2"/>
  <c r="K410" i="2"/>
  <c r="AB410" i="2"/>
  <c r="M467" i="2"/>
  <c r="K499" i="2"/>
  <c r="W556" i="2"/>
  <c r="V526" i="2"/>
  <c r="U526" i="2"/>
  <c r="T526" i="2"/>
  <c r="AE526" i="2"/>
  <c r="Q526" i="2"/>
  <c r="O526" i="2"/>
  <c r="N526" i="2"/>
  <c r="M526" i="2"/>
  <c r="AD526" i="2"/>
  <c r="L526" i="2"/>
  <c r="Z526" i="2"/>
  <c r="W526" i="2"/>
  <c r="AB526" i="2"/>
  <c r="AA526" i="2"/>
  <c r="S526" i="2"/>
  <c r="R526" i="2"/>
  <c r="P526" i="2"/>
  <c r="X556" i="2"/>
  <c r="AD528" i="2"/>
  <c r="P528" i="2"/>
  <c r="AC528" i="2"/>
  <c r="O528" i="2"/>
  <c r="AB528" i="2"/>
  <c r="N528" i="2"/>
  <c r="Y528" i="2"/>
  <c r="K528" i="2"/>
  <c r="X528" i="2"/>
  <c r="W528" i="2"/>
  <c r="V528" i="2"/>
  <c r="U528" i="2"/>
  <c r="Q528" i="2"/>
  <c r="Y466" i="2"/>
  <c r="K466" i="2"/>
  <c r="AB466" i="2"/>
  <c r="M466" i="2"/>
  <c r="T466" i="2"/>
  <c r="Q466" i="2"/>
  <c r="AC466" i="2"/>
  <c r="Z497" i="2"/>
  <c r="T528" i="2"/>
  <c r="AB529" i="2"/>
  <c r="W559" i="2"/>
  <c r="U559" i="2"/>
  <c r="T559" i="2"/>
  <c r="S559" i="2"/>
  <c r="R559" i="2"/>
  <c r="AC559" i="2"/>
  <c r="O559" i="2"/>
  <c r="AD559" i="2"/>
  <c r="AB559" i="2"/>
  <c r="AA559" i="2"/>
  <c r="Z559" i="2"/>
  <c r="Q559" i="2"/>
  <c r="M559" i="2"/>
  <c r="AA436" i="2"/>
  <c r="M436" i="2"/>
  <c r="AD436" i="2"/>
  <c r="O436" i="2"/>
  <c r="Z436" i="2"/>
  <c r="K436" i="2"/>
  <c r="AC436" i="2"/>
  <c r="AB439" i="2"/>
  <c r="N439" i="2"/>
  <c r="T439" i="2"/>
  <c r="Q439" i="2"/>
  <c r="AA439" i="2"/>
  <c r="AD466" i="2"/>
  <c r="AB500" i="2"/>
  <c r="N500" i="2"/>
  <c r="V500" i="2"/>
  <c r="U500" i="2"/>
  <c r="T500" i="2"/>
  <c r="S500" i="2"/>
  <c r="AD500" i="2"/>
  <c r="O500" i="2"/>
  <c r="Z500" i="2"/>
  <c r="K500" i="2"/>
  <c r="Z528" i="2"/>
  <c r="K559" i="2"/>
  <c r="AA528" i="2"/>
  <c r="S532" i="2"/>
  <c r="R532" i="2"/>
  <c r="AE532" i="2"/>
  <c r="Q532" i="2"/>
  <c r="AD532" i="2"/>
  <c r="P532" i="2"/>
  <c r="AA532" i="2"/>
  <c r="M532" i="2"/>
  <c r="O532" i="2"/>
  <c r="N532" i="2"/>
  <c r="L532" i="2"/>
  <c r="K532" i="2"/>
  <c r="Z532" i="2"/>
  <c r="W532" i="2"/>
  <c r="AC534" i="2"/>
  <c r="O534" i="2"/>
  <c r="AA534" i="2"/>
  <c r="M534" i="2"/>
  <c r="Z534" i="2"/>
  <c r="L534" i="2"/>
  <c r="Y534" i="2"/>
  <c r="K534" i="2"/>
  <c r="X534" i="2"/>
  <c r="U534" i="2"/>
  <c r="AE534" i="2"/>
  <c r="AD534" i="2"/>
  <c r="AB534" i="2"/>
  <c r="S534" i="2"/>
  <c r="P534" i="2"/>
  <c r="L559" i="2"/>
  <c r="AA497" i="2"/>
  <c r="M497" i="2"/>
  <c r="Q497" i="2"/>
  <c r="AE497" i="2"/>
  <c r="P497" i="2"/>
  <c r="AD497" i="2"/>
  <c r="O497" i="2"/>
  <c r="AC497" i="2"/>
  <c r="N497" i="2"/>
  <c r="X497" i="2"/>
  <c r="U497" i="2"/>
  <c r="T529" i="2"/>
  <c r="S529" i="2"/>
  <c r="R529" i="2"/>
  <c r="AC529" i="2"/>
  <c r="O529" i="2"/>
  <c r="V529" i="2"/>
  <c r="U529" i="2"/>
  <c r="Q529" i="2"/>
  <c r="P529" i="2"/>
  <c r="AD529" i="2"/>
  <c r="K529" i="2"/>
  <c r="Z529" i="2"/>
  <c r="R436" i="2"/>
  <c r="P439" i="2"/>
  <c r="S440" i="2"/>
  <c r="AA440" i="2"/>
  <c r="L440" i="2"/>
  <c r="X440" i="2"/>
  <c r="AB440" i="2"/>
  <c r="R466" i="2"/>
  <c r="K497" i="2"/>
  <c r="R500" i="2"/>
  <c r="V532" i="2"/>
  <c r="R534" i="2"/>
  <c r="X559" i="2"/>
  <c r="Y438" i="2"/>
  <c r="N468" i="2"/>
  <c r="AC468" i="2"/>
  <c r="P471" i="2"/>
  <c r="N473" i="2"/>
  <c r="AC473" i="2"/>
  <c r="N496" i="2"/>
  <c r="AC496" i="2"/>
  <c r="P527" i="2"/>
  <c r="AB409" i="2"/>
  <c r="N409" i="2"/>
  <c r="X409" i="2"/>
  <c r="X414" i="2"/>
  <c r="M438" i="2"/>
  <c r="AB438" i="2"/>
  <c r="Q468" i="2"/>
  <c r="Q496" i="2"/>
  <c r="S527" i="2"/>
  <c r="AE471" i="2"/>
  <c r="Q471" i="2"/>
  <c r="X471" i="2"/>
  <c r="S588" i="2"/>
  <c r="AD588" i="2"/>
  <c r="P588" i="2"/>
  <c r="T588" i="2"/>
  <c r="R588" i="2"/>
  <c r="Q588" i="2"/>
  <c r="O588" i="2"/>
  <c r="AE588" i="2"/>
  <c r="N588" i="2"/>
  <c r="AC588" i="2"/>
  <c r="M588" i="2"/>
  <c r="Z588" i="2"/>
  <c r="Y588" i="2"/>
  <c r="Y471" i="2"/>
  <c r="X468" i="2"/>
  <c r="K471" i="2"/>
  <c r="Z471" i="2"/>
  <c r="Z527" i="2"/>
  <c r="L527" i="2"/>
  <c r="Y527" i="2"/>
  <c r="K527" i="2"/>
  <c r="X527" i="2"/>
  <c r="U527" i="2"/>
  <c r="AC527" i="2"/>
  <c r="K588" i="2"/>
  <c r="L642" i="2"/>
  <c r="Y468" i="2"/>
  <c r="L471" i="2"/>
  <c r="AA471" i="2"/>
  <c r="Y473" i="2"/>
  <c r="K473" i="2"/>
  <c r="X473" i="2"/>
  <c r="Y496" i="2"/>
  <c r="AD527" i="2"/>
  <c r="L588" i="2"/>
  <c r="U592" i="2"/>
  <c r="R592" i="2"/>
  <c r="Y592" i="2"/>
  <c r="AE620" i="2"/>
  <c r="Q620" i="2"/>
  <c r="AA620" i="2"/>
  <c r="L620" i="2"/>
  <c r="X620" i="2"/>
  <c r="V620" i="2"/>
  <c r="S620" i="2"/>
  <c r="AD620" i="2"/>
  <c r="S530" i="2"/>
  <c r="W531" i="2"/>
  <c r="Q533" i="2"/>
  <c r="AE533" i="2"/>
  <c r="S557" i="2"/>
  <c r="X558" i="2"/>
  <c r="T560" i="2"/>
  <c r="Y586" i="2"/>
  <c r="K586" i="2"/>
  <c r="V586" i="2"/>
  <c r="Z586" i="2"/>
  <c r="R587" i="2"/>
  <c r="AA590" i="2"/>
  <c r="M590" i="2"/>
  <c r="X590" i="2"/>
  <c r="Y590" i="2"/>
  <c r="R591" i="2"/>
  <c r="Z592" i="2"/>
  <c r="Q593" i="2"/>
  <c r="AC594" i="2"/>
  <c r="O594" i="2"/>
  <c r="Z594" i="2"/>
  <c r="L594" i="2"/>
  <c r="Y594" i="2"/>
  <c r="X616" i="2"/>
  <c r="T617" i="2"/>
  <c r="K620" i="2"/>
  <c r="V530" i="2"/>
  <c r="L531" i="2"/>
  <c r="T533" i="2"/>
  <c r="V557" i="2"/>
  <c r="M558" i="2"/>
  <c r="W560" i="2"/>
  <c r="M586" i="2"/>
  <c r="AC586" i="2"/>
  <c r="U587" i="2"/>
  <c r="L590" i="2"/>
  <c r="AC590" i="2"/>
  <c r="U591" i="2"/>
  <c r="M592" i="2"/>
  <c r="AC592" i="2"/>
  <c r="T593" i="2"/>
  <c r="M594" i="2"/>
  <c r="AD594" i="2"/>
  <c r="X617" i="2"/>
  <c r="O620" i="2"/>
  <c r="W530" i="2"/>
  <c r="U533" i="2"/>
  <c r="X560" i="2"/>
  <c r="N592" i="2"/>
  <c r="AD592" i="2"/>
  <c r="Y616" i="2"/>
  <c r="K616" i="2"/>
  <c r="AC616" i="2"/>
  <c r="N616" i="2"/>
  <c r="W616" i="2"/>
  <c r="T616" i="2"/>
  <c r="AD616" i="2"/>
  <c r="P620" i="2"/>
  <c r="V533" i="2"/>
  <c r="K560" i="2"/>
  <c r="O592" i="2"/>
  <c r="AE592" i="2"/>
  <c r="L616" i="2"/>
  <c r="AE616" i="2"/>
  <c r="R620" i="2"/>
  <c r="P592" i="2"/>
  <c r="M616" i="2"/>
  <c r="T620" i="2"/>
  <c r="AC587" i="2"/>
  <c r="O587" i="2"/>
  <c r="Z587" i="2"/>
  <c r="L587" i="2"/>
  <c r="Y587" i="2"/>
  <c r="AE591" i="2"/>
  <c r="Q591" i="2"/>
  <c r="AB591" i="2"/>
  <c r="N591" i="2"/>
  <c r="Y591" i="2"/>
  <c r="Q592" i="2"/>
  <c r="Y593" i="2"/>
  <c r="K593" i="2"/>
  <c r="V593" i="2"/>
  <c r="Z593" i="2"/>
  <c r="O616" i="2"/>
  <c r="AD617" i="2"/>
  <c r="P617" i="2"/>
  <c r="U617" i="2"/>
  <c r="AE617" i="2"/>
  <c r="O617" i="2"/>
  <c r="AA617" i="2"/>
  <c r="L617" i="2"/>
  <c r="AC617" i="2"/>
  <c r="U620" i="2"/>
  <c r="AA587" i="2"/>
  <c r="Z591" i="2"/>
  <c r="S592" i="2"/>
  <c r="AA593" i="2"/>
  <c r="P616" i="2"/>
  <c r="K617" i="2"/>
  <c r="W620" i="2"/>
  <c r="T589" i="2"/>
  <c r="S618" i="2"/>
  <c r="W618" i="2"/>
  <c r="Y618" i="2"/>
  <c r="M618" i="2"/>
  <c r="AB618" i="2"/>
  <c r="L20" i="14" l="1"/>
  <c r="M740" i="2"/>
  <c r="Z592" i="8"/>
  <c r="Z593" i="8" s="1"/>
  <c r="Z13" i="14"/>
  <c r="W592" i="8"/>
  <c r="W593" i="8" s="1"/>
  <c r="W13" i="14"/>
  <c r="W20" i="14" s="1"/>
  <c r="M729" i="2"/>
  <c r="M202" i="14" s="1"/>
  <c r="L24" i="14"/>
  <c r="L675" i="2"/>
  <c r="X1457" i="8"/>
  <c r="X14" i="14"/>
  <c r="P276" i="2"/>
  <c r="P330" i="2" s="1"/>
  <c r="P37" i="14" s="1"/>
  <c r="L1528" i="8"/>
  <c r="L1529" i="8"/>
  <c r="L1526" i="8"/>
  <c r="L1527" i="8"/>
  <c r="X588" i="8"/>
  <c r="X589" i="8" s="1"/>
  <c r="X12" i="14"/>
  <c r="U1457" i="8"/>
  <c r="U14" i="14"/>
  <c r="L1524" i="8"/>
  <c r="L1630" i="8"/>
  <c r="R592" i="8"/>
  <c r="R593" i="8" s="1"/>
  <c r="R13" i="14"/>
  <c r="R17" i="14" s="1"/>
  <c r="L1535" i="8"/>
  <c r="L1659" i="8"/>
  <c r="O596" i="8"/>
  <c r="O597" i="8" s="1"/>
  <c r="L1646" i="8"/>
  <c r="L1644" i="8"/>
  <c r="L1634" i="8"/>
  <c r="L1632" i="8"/>
  <c r="L1647" i="8"/>
  <c r="L1635" i="8"/>
  <c r="L1645" i="8"/>
  <c r="L1633" i="8"/>
  <c r="Z588" i="8"/>
  <c r="Z589" i="8" s="1"/>
  <c r="Z12" i="14"/>
  <c r="N804" i="8"/>
  <c r="N805" i="8" s="1"/>
  <c r="L1536" i="8"/>
  <c r="L1660" i="8"/>
  <c r="Y588" i="8"/>
  <c r="Y589" i="8" s="1"/>
  <c r="Y12" i="14"/>
  <c r="Y17" i="14" s="1"/>
  <c r="O341" i="2"/>
  <c r="O792" i="8" s="1"/>
  <c r="O793" i="8" s="1"/>
  <c r="X592" i="8"/>
  <c r="X593" i="8" s="1"/>
  <c r="X13" i="14"/>
  <c r="Y592" i="8"/>
  <c r="Y593" i="8" s="1"/>
  <c r="Y13" i="14"/>
  <c r="O992" i="8"/>
  <c r="O993" i="8" s="1"/>
  <c r="AB588" i="8"/>
  <c r="AB589" i="8" s="1"/>
  <c r="AB12" i="14"/>
  <c r="AB20" i="14" s="1"/>
  <c r="L17" i="14"/>
  <c r="AA588" i="8"/>
  <c r="AA589" i="8" s="1"/>
  <c r="AA12" i="14"/>
  <c r="L1525" i="8"/>
  <c r="L1631" i="8"/>
  <c r="M592" i="8"/>
  <c r="M593" i="8" s="1"/>
  <c r="M13" i="14"/>
  <c r="M20" i="14" s="1"/>
  <c r="T1457" i="8"/>
  <c r="T14" i="14"/>
  <c r="AC592" i="8"/>
  <c r="AC593" i="8" s="1"/>
  <c r="AC13" i="14"/>
  <c r="AC24" i="14" s="1"/>
  <c r="L1457" i="8"/>
  <c r="L1523" i="8"/>
  <c r="L1629" i="8"/>
  <c r="AE592" i="8"/>
  <c r="AE593" i="8" s="1"/>
  <c r="AE13" i="14"/>
  <c r="AE17" i="14" s="1"/>
  <c r="AA592" i="8"/>
  <c r="AA593" i="8" s="1"/>
  <c r="AA13" i="14"/>
  <c r="L1534" i="8"/>
  <c r="L1658" i="8"/>
  <c r="U588" i="8"/>
  <c r="U589" i="8" s="1"/>
  <c r="U12" i="14"/>
  <c r="S592" i="8"/>
  <c r="S593" i="8" s="1"/>
  <c r="S13" i="14"/>
  <c r="S24" i="14" s="1"/>
  <c r="Q592" i="8"/>
  <c r="Q593" i="8" s="1"/>
  <c r="Q13" i="14"/>
  <c r="Q17" i="14" s="1"/>
  <c r="T592" i="8"/>
  <c r="T593" i="8" s="1"/>
  <c r="T13" i="14"/>
  <c r="T24" i="14" s="1"/>
  <c r="AD588" i="8"/>
  <c r="AD589" i="8" s="1"/>
  <c r="AD12" i="14"/>
  <c r="AD20" i="14" s="1"/>
  <c r="L1522" i="8"/>
  <c r="L1628" i="8"/>
  <c r="V592" i="8"/>
  <c r="V593" i="8" s="1"/>
  <c r="V13" i="14"/>
  <c r="V24" i="14" s="1"/>
  <c r="L1537" i="8"/>
  <c r="L1661" i="8"/>
  <c r="R1457" i="8"/>
  <c r="R14" i="14"/>
  <c r="N592" i="8"/>
  <c r="N593" i="8" s="1"/>
  <c r="N13" i="14"/>
  <c r="N20" i="14" s="1"/>
  <c r="U592" i="8"/>
  <c r="U593" i="8" s="1"/>
  <c r="U13" i="14"/>
  <c r="O592" i="8"/>
  <c r="O593" i="8" s="1"/>
  <c r="O13" i="14"/>
  <c r="O20" i="14" s="1"/>
  <c r="P592" i="8"/>
  <c r="P593" i="8" s="1"/>
  <c r="P13" i="14"/>
  <c r="P20" i="14" s="1"/>
  <c r="L85" i="12"/>
  <c r="L729" i="2"/>
  <c r="L202" i="14" s="1"/>
  <c r="X81" i="2"/>
  <c r="X91" i="2" s="1"/>
  <c r="X78" i="2"/>
  <c r="X335" i="8" s="1"/>
  <c r="X336" i="8" s="1"/>
  <c r="O733" i="2"/>
  <c r="O206" i="14" s="1"/>
  <c r="H731" i="2"/>
  <c r="P747" i="2"/>
  <c r="P1216" i="8" s="1"/>
  <c r="P1217" i="8" s="1"/>
  <c r="L97" i="12"/>
  <c r="F1053" i="8"/>
  <c r="F1049" i="8"/>
  <c r="F641" i="8"/>
  <c r="F657" i="8"/>
  <c r="F1037" i="8"/>
  <c r="F1025" i="8"/>
  <c r="F645" i="8"/>
  <c r="Q144" i="2"/>
  <c r="Q154" i="2" s="1"/>
  <c r="L44" i="12"/>
  <c r="F649" i="8"/>
  <c r="F653" i="8"/>
  <c r="F1041" i="8"/>
  <c r="F637" i="8"/>
  <c r="F629" i="8"/>
  <c r="F1033" i="8"/>
  <c r="F1045" i="8"/>
  <c r="F633" i="8"/>
  <c r="F1029" i="8"/>
  <c r="Q140" i="2"/>
  <c r="Q150" i="2" s="1"/>
  <c r="U295" i="8"/>
  <c r="U296" i="8" s="1"/>
  <c r="AC407" i="8"/>
  <c r="AC408" i="8" s="1"/>
  <c r="U307" i="8"/>
  <c r="U308" i="8" s="1"/>
  <c r="U427" i="8"/>
  <c r="U428" i="8" s="1"/>
  <c r="U319" i="8"/>
  <c r="U320" i="8" s="1"/>
  <c r="U327" i="8"/>
  <c r="U328" i="8" s="1"/>
  <c r="U315" i="8"/>
  <c r="U316" i="8" s="1"/>
  <c r="U299" i="8"/>
  <c r="U300" i="8" s="1"/>
  <c r="AA411" i="8"/>
  <c r="AA412" i="8" s="1"/>
  <c r="P343" i="8"/>
  <c r="P344" i="8" s="1"/>
  <c r="L1532" i="8"/>
  <c r="L1530" i="8"/>
  <c r="L1531" i="8"/>
  <c r="L1533" i="8"/>
  <c r="P363" i="8"/>
  <c r="P364" i="8" s="1"/>
  <c r="W80" i="2"/>
  <c r="W343" i="8" s="1"/>
  <c r="W344" i="8" s="1"/>
  <c r="L740" i="2"/>
  <c r="W79" i="2"/>
  <c r="W339" i="8" s="1"/>
  <c r="W340" i="8" s="1"/>
  <c r="N740" i="2"/>
  <c r="H729" i="2"/>
  <c r="AD139" i="2"/>
  <c r="AD375" i="8" s="1"/>
  <c r="AD376" i="8" s="1"/>
  <c r="N747" i="2"/>
  <c r="L61" i="12"/>
  <c r="V19" i="2"/>
  <c r="V303" i="8" s="1"/>
  <c r="V304" i="8" s="1"/>
  <c r="J333" i="2"/>
  <c r="M79" i="2"/>
  <c r="R271" i="2"/>
  <c r="N346" i="2"/>
  <c r="AB82" i="2"/>
  <c r="AB92" i="2" s="1"/>
  <c r="K17" i="2"/>
  <c r="K295" i="8" s="1"/>
  <c r="L10" i="12"/>
  <c r="AC77" i="2"/>
  <c r="AC87" i="2" s="1"/>
  <c r="AB140" i="2"/>
  <c r="AB150" i="2" s="1"/>
  <c r="AB143" i="2"/>
  <c r="AB391" i="8" s="1"/>
  <c r="AB392" i="8" s="1"/>
  <c r="K476" i="2"/>
  <c r="K486" i="2" s="1"/>
  <c r="K22" i="2"/>
  <c r="K315" i="8" s="1"/>
  <c r="AB79" i="2"/>
  <c r="AB339" i="8" s="1"/>
  <c r="AB340" i="8" s="1"/>
  <c r="P346" i="2"/>
  <c r="Q277" i="2"/>
  <c r="Q600" i="8" s="1"/>
  <c r="Q601" i="8" s="1"/>
  <c r="M83" i="2"/>
  <c r="O600" i="8"/>
  <c r="O601" i="8" s="1"/>
  <c r="L71" i="12"/>
  <c r="R84" i="2"/>
  <c r="W197" i="2"/>
  <c r="L83" i="12"/>
  <c r="I9" i="11"/>
  <c r="L86" i="12"/>
  <c r="L47" i="12"/>
  <c r="L11" i="12"/>
  <c r="L62" i="12"/>
  <c r="L74" i="12"/>
  <c r="M82" i="2"/>
  <c r="M735" i="2"/>
  <c r="Q137" i="2"/>
  <c r="M77" i="2"/>
  <c r="M78" i="2"/>
  <c r="X85" i="2"/>
  <c r="M84" i="2"/>
  <c r="X80" i="2"/>
  <c r="X343" i="8" s="1"/>
  <c r="X344" i="8" s="1"/>
  <c r="X77" i="2"/>
  <c r="AD299" i="2"/>
  <c r="P204" i="2"/>
  <c r="P214" i="2" s="1"/>
  <c r="M80" i="2"/>
  <c r="M90" i="2" s="1"/>
  <c r="Q141" i="2"/>
  <c r="M81" i="2"/>
  <c r="T199" i="2"/>
  <c r="T209" i="2" s="1"/>
  <c r="O744" i="2"/>
  <c r="AD24" i="2"/>
  <c r="AE22" i="2"/>
  <c r="AE315" i="8" s="1"/>
  <c r="AE316" i="8" s="1"/>
  <c r="H730" i="2"/>
  <c r="I7" i="11"/>
  <c r="L21" i="12"/>
  <c r="H332" i="2"/>
  <c r="Y205" i="2"/>
  <c r="Y435" i="8" s="1"/>
  <c r="Y436" i="8" s="1"/>
  <c r="AA202" i="2"/>
  <c r="AA212" i="2" s="1"/>
  <c r="O745" i="2"/>
  <c r="AD23" i="2"/>
  <c r="U82" i="2"/>
  <c r="O202" i="2"/>
  <c r="L34" i="12"/>
  <c r="AA205" i="2"/>
  <c r="P144" i="2"/>
  <c r="K20" i="2"/>
  <c r="K30" i="2" s="1"/>
  <c r="L46" i="12"/>
  <c r="N341" i="2"/>
  <c r="N741" i="2"/>
  <c r="L342" i="2"/>
  <c r="L796" i="8" s="1"/>
  <c r="L797" i="8" s="1"/>
  <c r="L73" i="12"/>
  <c r="K483" i="2"/>
  <c r="K493" i="2" s="1"/>
  <c r="R205" i="2"/>
  <c r="L25" i="12"/>
  <c r="K481" i="2"/>
  <c r="K491" i="2" s="1"/>
  <c r="AA198" i="2"/>
  <c r="N343" i="2"/>
  <c r="K199" i="2"/>
  <c r="K209" i="2" s="1"/>
  <c r="O342" i="2"/>
  <c r="L22" i="12"/>
  <c r="AA197" i="2"/>
  <c r="K482" i="2"/>
  <c r="K492" i="2" s="1"/>
  <c r="L88" i="12"/>
  <c r="N85" i="2"/>
  <c r="N95" i="2" s="1"/>
  <c r="L84" i="12"/>
  <c r="E702" i="2"/>
  <c r="I733" i="2" s="1"/>
  <c r="L13" i="12"/>
  <c r="L96" i="12"/>
  <c r="L37" i="12"/>
  <c r="AE201" i="2"/>
  <c r="M708" i="2"/>
  <c r="M718" i="2" s="1"/>
  <c r="J331" i="2"/>
  <c r="L32" i="12"/>
  <c r="L60" i="12"/>
  <c r="N342" i="2"/>
  <c r="P342" i="2"/>
  <c r="J337" i="2"/>
  <c r="L8" i="12"/>
  <c r="L64" i="12"/>
  <c r="L33" i="12"/>
  <c r="L49" i="12"/>
  <c r="L95" i="12"/>
  <c r="Z199" i="2"/>
  <c r="I330" i="2"/>
  <c r="L72" i="12"/>
  <c r="AE351" i="2"/>
  <c r="Z306" i="2"/>
  <c r="M342" i="2"/>
  <c r="L100" i="12"/>
  <c r="L20" i="12"/>
  <c r="L50" i="12"/>
  <c r="L76" i="12"/>
  <c r="L59" i="12"/>
  <c r="I12" i="11"/>
  <c r="L89" i="12"/>
  <c r="L101" i="12"/>
  <c r="L77" i="12"/>
  <c r="L14" i="12"/>
  <c r="L38" i="12"/>
  <c r="L26" i="12"/>
  <c r="E716" i="2"/>
  <c r="J736" i="2" s="1"/>
  <c r="E711" i="2"/>
  <c r="J731" i="2" s="1"/>
  <c r="Q351" i="2"/>
  <c r="Q309" i="2"/>
  <c r="Q319" i="2" s="1"/>
  <c r="W199" i="2"/>
  <c r="AB84" i="2"/>
  <c r="AB359" i="8" s="1"/>
  <c r="AB360" i="8" s="1"/>
  <c r="M741" i="2"/>
  <c r="R203" i="2"/>
  <c r="R213" i="2" s="1"/>
  <c r="AD84" i="2"/>
  <c r="T18" i="2"/>
  <c r="S81" i="2"/>
  <c r="J336" i="2"/>
  <c r="X144" i="2"/>
  <c r="P142" i="2"/>
  <c r="P139" i="2"/>
  <c r="W204" i="2"/>
  <c r="AA85" i="2"/>
  <c r="P205" i="2"/>
  <c r="M22" i="2"/>
  <c r="M20" i="2"/>
  <c r="N335" i="2"/>
  <c r="L98" i="12"/>
  <c r="L9" i="12"/>
  <c r="AB85" i="2"/>
  <c r="AB138" i="2"/>
  <c r="M345" i="2"/>
  <c r="AA319" i="2"/>
  <c r="T79" i="2"/>
  <c r="J332" i="2"/>
  <c r="L23" i="12"/>
  <c r="L730" i="2"/>
  <c r="AA669" i="2"/>
  <c r="L35" i="12"/>
  <c r="L18" i="2"/>
  <c r="L45" i="12"/>
  <c r="I5" i="11"/>
  <c r="L94" i="12"/>
  <c r="L58" i="12"/>
  <c r="L19" i="12"/>
  <c r="L7" i="12"/>
  <c r="L43" i="12"/>
  <c r="L70" i="12"/>
  <c r="L82" i="12"/>
  <c r="L31" i="12"/>
  <c r="I4" i="11"/>
  <c r="L6" i="12"/>
  <c r="L69" i="12"/>
  <c r="L30" i="12"/>
  <c r="L18" i="12"/>
  <c r="L57" i="12"/>
  <c r="L42" i="12"/>
  <c r="L81" i="12"/>
  <c r="L93" i="12"/>
  <c r="I10" i="11"/>
  <c r="L36" i="12"/>
  <c r="L63" i="12"/>
  <c r="L87" i="12"/>
  <c r="L48" i="12"/>
  <c r="L12" i="12"/>
  <c r="L24" i="12"/>
  <c r="L99" i="12"/>
  <c r="L75" i="12"/>
  <c r="E705" i="2"/>
  <c r="I736" i="2" s="1"/>
  <c r="W81" i="2"/>
  <c r="M200" i="2"/>
  <c r="AD19" i="2"/>
  <c r="M996" i="8"/>
  <c r="M997" i="8" s="1"/>
  <c r="U85" i="2"/>
  <c r="N345" i="2"/>
  <c r="AC23" i="2"/>
  <c r="AC79" i="2"/>
  <c r="AC19" i="2"/>
  <c r="AC24" i="2"/>
  <c r="X204" i="2"/>
  <c r="N337" i="2"/>
  <c r="O84" i="2"/>
  <c r="AE199" i="2"/>
  <c r="AE209" i="2" s="1"/>
  <c r="P141" i="2"/>
  <c r="P383" i="8" s="1"/>
  <c r="P384" i="8" s="1"/>
  <c r="U319" i="2"/>
  <c r="Q335" i="2"/>
  <c r="AE708" i="2"/>
  <c r="AE761" i="2" s="1"/>
  <c r="AE790" i="2" s="1"/>
  <c r="E698" i="2"/>
  <c r="I729" i="2" s="1"/>
  <c r="AE200" i="2"/>
  <c r="AB669" i="2"/>
  <c r="Q346" i="2"/>
  <c r="AE203" i="2"/>
  <c r="L205" i="2"/>
  <c r="N82" i="2"/>
  <c r="O346" i="2"/>
  <c r="M346" i="2"/>
  <c r="E699" i="2"/>
  <c r="I730" i="2" s="1"/>
  <c r="AE197" i="2"/>
  <c r="E712" i="2"/>
  <c r="J732" i="2" s="1"/>
  <c r="AE198" i="2"/>
  <c r="L197" i="2"/>
  <c r="Y718" i="2"/>
  <c r="H335" i="2"/>
  <c r="E715" i="2"/>
  <c r="J735" i="2" s="1"/>
  <c r="L198" i="2"/>
  <c r="E713" i="2"/>
  <c r="P197" i="2"/>
  <c r="M205" i="2"/>
  <c r="P140" i="2"/>
  <c r="P379" i="8" s="1"/>
  <c r="P380" i="8" s="1"/>
  <c r="V80" i="2"/>
  <c r="V90" i="2" s="1"/>
  <c r="V17" i="2"/>
  <c r="V20" i="2"/>
  <c r="P18" i="2"/>
  <c r="W203" i="2"/>
  <c r="V25" i="2"/>
  <c r="V327" i="8" s="1"/>
  <c r="V328" i="8" s="1"/>
  <c r="S18" i="2"/>
  <c r="R664" i="2"/>
  <c r="P137" i="2"/>
  <c r="AC78" i="2"/>
  <c r="V24" i="2"/>
  <c r="U83" i="2"/>
  <c r="U355" i="8" s="1"/>
  <c r="U356" i="8" s="1"/>
  <c r="N745" i="2"/>
  <c r="L741" i="2"/>
  <c r="P335" i="2"/>
  <c r="M337" i="2"/>
  <c r="I337" i="2"/>
  <c r="S1457" i="8"/>
  <c r="Y1457" i="8"/>
  <c r="O1457" i="8"/>
  <c r="AD1457" i="8"/>
  <c r="V1457" i="8"/>
  <c r="Z1457" i="8"/>
  <c r="AE1457" i="8"/>
  <c r="P1457" i="8"/>
  <c r="Q1457" i="8"/>
  <c r="AA1457" i="8"/>
  <c r="M1457" i="8"/>
  <c r="W1457" i="8"/>
  <c r="AB1457" i="8"/>
  <c r="N1457" i="8"/>
  <c r="Z202" i="2"/>
  <c r="AC25" i="2"/>
  <c r="AC327" i="8" s="1"/>
  <c r="AC328" i="8" s="1"/>
  <c r="Z203" i="2"/>
  <c r="Z427" i="8" s="1"/>
  <c r="Z428" i="8" s="1"/>
  <c r="K23" i="2"/>
  <c r="K319" i="8" s="1"/>
  <c r="Z200" i="2"/>
  <c r="Z204" i="2"/>
  <c r="I332" i="2"/>
  <c r="R267" i="2"/>
  <c r="R666" i="2"/>
  <c r="K203" i="2"/>
  <c r="K213" i="2" s="1"/>
  <c r="K197" i="2"/>
  <c r="K403" i="8" s="1"/>
  <c r="I334" i="2"/>
  <c r="L281" i="2"/>
  <c r="L346" i="2" s="1"/>
  <c r="I331" i="2"/>
  <c r="E701" i="2"/>
  <c r="I732" i="2" s="1"/>
  <c r="AD197" i="2"/>
  <c r="AD403" i="8" s="1"/>
  <c r="AD404" i="8" s="1"/>
  <c r="Z197" i="2"/>
  <c r="E714" i="2"/>
  <c r="E704" i="2"/>
  <c r="I735" i="2" s="1"/>
  <c r="I335" i="2"/>
  <c r="AD200" i="2"/>
  <c r="I336" i="2"/>
  <c r="E700" i="2"/>
  <c r="I731" i="2" s="1"/>
  <c r="S309" i="2"/>
  <c r="S319" i="2" s="1"/>
  <c r="I333" i="2"/>
  <c r="E710" i="2"/>
  <c r="J730" i="2" s="1"/>
  <c r="E703" i="2"/>
  <c r="I734" i="2" s="1"/>
  <c r="E709" i="2"/>
  <c r="J729" i="2" s="1"/>
  <c r="F1450" i="8"/>
  <c r="N1200" i="8"/>
  <c r="N1201" i="8" s="1"/>
  <c r="M85" i="2"/>
  <c r="M816" i="8"/>
  <c r="M817" i="8" s="1"/>
  <c r="N139" i="2"/>
  <c r="N1212" i="8"/>
  <c r="N1213" i="8" s="1"/>
  <c r="O259" i="2"/>
  <c r="O258" i="2"/>
  <c r="M199" i="2"/>
  <c r="M209" i="2" s="1"/>
  <c r="M202" i="2"/>
  <c r="O21" i="2"/>
  <c r="J330" i="2"/>
  <c r="F1446" i="8"/>
  <c r="M198" i="2"/>
  <c r="M258" i="2"/>
  <c r="M259" i="2"/>
  <c r="O357" i="2"/>
  <c r="L199" i="2"/>
  <c r="AE81" i="2"/>
  <c r="K25" i="2"/>
  <c r="K35" i="2" s="1"/>
  <c r="M331" i="2"/>
  <c r="M38" i="14" s="1"/>
  <c r="N735" i="2"/>
  <c r="N208" i="14" s="1"/>
  <c r="H736" i="2"/>
  <c r="N347" i="2"/>
  <c r="M616" i="8"/>
  <c r="M617" i="8" s="1"/>
  <c r="AD82" i="2"/>
  <c r="P202" i="2"/>
  <c r="N78" i="2"/>
  <c r="K19" i="2"/>
  <c r="K29" i="2" s="1"/>
  <c r="W84" i="2"/>
  <c r="W359" i="8" s="1"/>
  <c r="W360" i="8" s="1"/>
  <c r="O80" i="2"/>
  <c r="AD17" i="2"/>
  <c r="W78" i="2"/>
  <c r="O200" i="2"/>
  <c r="O210" i="2" s="1"/>
  <c r="AD708" i="2"/>
  <c r="AD761" i="2" s="1"/>
  <c r="AD790" i="2" s="1"/>
  <c r="H735" i="2"/>
  <c r="Y94" i="2"/>
  <c r="Z299" i="2"/>
  <c r="W85" i="2"/>
  <c r="M335" i="2"/>
  <c r="R204" i="2"/>
  <c r="L203" i="2"/>
  <c r="O82" i="2"/>
  <c r="AB205" i="2"/>
  <c r="K18" i="2"/>
  <c r="K28" i="2" s="1"/>
  <c r="AB22" i="2"/>
  <c r="AB32" i="2" s="1"/>
  <c r="AB199" i="2"/>
  <c r="W82" i="2"/>
  <c r="W83" i="2"/>
  <c r="Q138" i="2"/>
  <c r="AD78" i="2"/>
  <c r="K201" i="2"/>
  <c r="K211" i="2" s="1"/>
  <c r="R197" i="2"/>
  <c r="K202" i="2"/>
  <c r="K423" i="8" s="1"/>
  <c r="N80" i="2"/>
  <c r="L201" i="2"/>
  <c r="R199" i="2"/>
  <c r="K82" i="2"/>
  <c r="K351" i="8" s="1"/>
  <c r="L202" i="2"/>
  <c r="AC84" i="2"/>
  <c r="N79" i="2"/>
  <c r="X139" i="2"/>
  <c r="O359" i="2"/>
  <c r="O376" i="2" s="1"/>
  <c r="O908" i="8" s="1"/>
  <c r="O909" i="8" s="1"/>
  <c r="Q142" i="2"/>
  <c r="L79" i="2"/>
  <c r="W77" i="2"/>
  <c r="R198" i="2"/>
  <c r="R202" i="2"/>
  <c r="AC139" i="2"/>
  <c r="R201" i="2"/>
  <c r="N84" i="2"/>
  <c r="N83" i="2"/>
  <c r="N744" i="2"/>
  <c r="N77" i="2"/>
  <c r="K424" i="2"/>
  <c r="K434" i="2" s="1"/>
  <c r="K198" i="2"/>
  <c r="K407" i="8" s="1"/>
  <c r="K200" i="2"/>
  <c r="K210" i="2" s="1"/>
  <c r="K205" i="2"/>
  <c r="P200" i="2"/>
  <c r="O78" i="2"/>
  <c r="S24" i="2"/>
  <c r="O83" i="2"/>
  <c r="AB204" i="2"/>
  <c r="N81" i="2"/>
  <c r="N25" i="2"/>
  <c r="R200" i="2"/>
  <c r="AA37" i="9"/>
  <c r="AA670" i="2" s="1"/>
  <c r="Y80" i="2"/>
  <c r="N736" i="2"/>
  <c r="O330" i="2"/>
  <c r="O37" i="14" s="1"/>
  <c r="F301" i="2"/>
  <c r="L77" i="2"/>
  <c r="AB18" i="2"/>
  <c r="T204" i="2"/>
  <c r="Y85" i="2"/>
  <c r="AB197" i="2"/>
  <c r="R81" i="2"/>
  <c r="L84" i="2"/>
  <c r="L17" i="2"/>
  <c r="Y79" i="2"/>
  <c r="AE204" i="2"/>
  <c r="U78" i="2"/>
  <c r="T78" i="2"/>
  <c r="O736" i="2"/>
  <c r="O209" i="14" s="1"/>
  <c r="H330" i="2"/>
  <c r="L80" i="2"/>
  <c r="L23" i="2"/>
  <c r="W299" i="2"/>
  <c r="T83" i="2"/>
  <c r="L299" i="2"/>
  <c r="Y78" i="2"/>
  <c r="Y88" i="2" s="1"/>
  <c r="T77" i="2"/>
  <c r="AA299" i="2"/>
  <c r="Q143" i="2"/>
  <c r="L82" i="2"/>
  <c r="Y81" i="2"/>
  <c r="L78" i="2"/>
  <c r="V140" i="2"/>
  <c r="T84" i="2"/>
  <c r="N348" i="2"/>
  <c r="L24" i="2"/>
  <c r="O17" i="2"/>
  <c r="Y83" i="2"/>
  <c r="Y82" i="2"/>
  <c r="Y351" i="8" s="1"/>
  <c r="Y352" i="8" s="1"/>
  <c r="T81" i="2"/>
  <c r="AB201" i="2"/>
  <c r="Q668" i="2"/>
  <c r="V85" i="2"/>
  <c r="V95" i="2" s="1"/>
  <c r="T85" i="2"/>
  <c r="T82" i="2"/>
  <c r="T80" i="2"/>
  <c r="L83" i="2"/>
  <c r="X299" i="2"/>
  <c r="P203" i="2"/>
  <c r="Y77" i="2"/>
  <c r="L85" i="2"/>
  <c r="L363" i="8" s="1"/>
  <c r="L364" i="8" s="1"/>
  <c r="L81" i="2"/>
  <c r="P736" i="2"/>
  <c r="O332" i="2"/>
  <c r="F300" i="2"/>
  <c r="W300" i="2" s="1"/>
  <c r="S149" i="2"/>
  <c r="S375" i="8"/>
  <c r="S376" i="8" s="1"/>
  <c r="AB137" i="2"/>
  <c r="O79" i="2"/>
  <c r="R77" i="2"/>
  <c r="L20" i="2"/>
  <c r="AB139" i="2"/>
  <c r="AA18" i="2"/>
  <c r="AD145" i="2"/>
  <c r="L204" i="2"/>
  <c r="V299" i="2"/>
  <c r="O85" i="2"/>
  <c r="K604" i="2"/>
  <c r="K614" i="2" s="1"/>
  <c r="R82" i="2"/>
  <c r="K48" i="10"/>
  <c r="Y48" i="10"/>
  <c r="Y138" i="5" s="1"/>
  <c r="Y176" i="14" s="1"/>
  <c r="X48" i="10"/>
  <c r="X138" i="5" s="1"/>
  <c r="X176" i="14" s="1"/>
  <c r="Z48" i="10"/>
  <c r="Z138" i="5" s="1"/>
  <c r="Z176" i="14" s="1"/>
  <c r="L48" i="10"/>
  <c r="L138" i="5" s="1"/>
  <c r="L176" i="14" s="1"/>
  <c r="AA48" i="10"/>
  <c r="AA138" i="5" s="1"/>
  <c r="AA176" i="14" s="1"/>
  <c r="M48" i="10"/>
  <c r="M138" i="5" s="1"/>
  <c r="M176" i="14" s="1"/>
  <c r="AB48" i="10"/>
  <c r="AB138" i="5" s="1"/>
  <c r="AB176" i="14" s="1"/>
  <c r="N48" i="10"/>
  <c r="N138" i="5" s="1"/>
  <c r="N176" i="14" s="1"/>
  <c r="AC48" i="10"/>
  <c r="AC138" i="5" s="1"/>
  <c r="AC176" i="14" s="1"/>
  <c r="O48" i="10"/>
  <c r="O138" i="5" s="1"/>
  <c r="O176" i="14" s="1"/>
  <c r="AD48" i="10"/>
  <c r="AD138" i="5" s="1"/>
  <c r="AD176" i="14" s="1"/>
  <c r="P48" i="10"/>
  <c r="P138" i="5" s="1"/>
  <c r="P176" i="14" s="1"/>
  <c r="AE48" i="10"/>
  <c r="AE138" i="5" s="1"/>
  <c r="AE176" i="14" s="1"/>
  <c r="T48" i="10"/>
  <c r="T138" i="5" s="1"/>
  <c r="T176" i="14" s="1"/>
  <c r="Q48" i="10"/>
  <c r="Q138" i="5" s="1"/>
  <c r="Q176" i="14" s="1"/>
  <c r="AF48" i="10"/>
  <c r="R48" i="10"/>
  <c r="R138" i="5" s="1"/>
  <c r="R176" i="14" s="1"/>
  <c r="AG48" i="10"/>
  <c r="S48" i="10"/>
  <c r="S138" i="5" s="1"/>
  <c r="S176" i="14" s="1"/>
  <c r="AH48" i="10"/>
  <c r="AI48" i="10"/>
  <c r="U48" i="10"/>
  <c r="U138" i="5" s="1"/>
  <c r="U176" i="14" s="1"/>
  <c r="V48" i="10"/>
  <c r="V138" i="5" s="1"/>
  <c r="V176" i="14" s="1"/>
  <c r="W48" i="10"/>
  <c r="W138" i="5" s="1"/>
  <c r="W176" i="14" s="1"/>
  <c r="AB203" i="2"/>
  <c r="AB213" i="2" s="1"/>
  <c r="R79" i="2"/>
  <c r="L19" i="2"/>
  <c r="AB142" i="2"/>
  <c r="N142" i="2"/>
  <c r="X137" i="2"/>
  <c r="AD20" i="2"/>
  <c r="S20" i="2"/>
  <c r="M197" i="2"/>
  <c r="U79" i="2"/>
  <c r="N306" i="2"/>
  <c r="T42" i="10"/>
  <c r="T126" i="5" s="1"/>
  <c r="AH42" i="10"/>
  <c r="U42" i="10"/>
  <c r="U126" i="5" s="1"/>
  <c r="AI42" i="10"/>
  <c r="V42" i="10"/>
  <c r="V126" i="5" s="1"/>
  <c r="W42" i="10"/>
  <c r="X42" i="10"/>
  <c r="X126" i="5" s="1"/>
  <c r="K42" i="10"/>
  <c r="Y42" i="10"/>
  <c r="L42" i="10"/>
  <c r="Z42" i="10"/>
  <c r="M42" i="10"/>
  <c r="M126" i="5" s="1"/>
  <c r="AA42" i="10"/>
  <c r="AA126" i="5" s="1"/>
  <c r="N42" i="10"/>
  <c r="N126" i="5" s="1"/>
  <c r="AB42" i="10"/>
  <c r="AB126" i="5" s="1"/>
  <c r="O42" i="10"/>
  <c r="O126" i="5" s="1"/>
  <c r="AC42" i="10"/>
  <c r="AC126" i="5" s="1"/>
  <c r="Q42" i="10"/>
  <c r="Q126" i="5" s="1"/>
  <c r="AE42" i="10"/>
  <c r="AE126" i="5" s="1"/>
  <c r="AG42" i="10"/>
  <c r="R42" i="10"/>
  <c r="P42" i="10"/>
  <c r="S42" i="10"/>
  <c r="S126" i="5" s="1"/>
  <c r="AD42" i="10"/>
  <c r="AD126" i="5" s="1"/>
  <c r="AF42" i="10"/>
  <c r="T306" i="2"/>
  <c r="Q201" i="2"/>
  <c r="N144" i="2"/>
  <c r="S153" i="2"/>
  <c r="X143" i="2"/>
  <c r="AE25" i="2"/>
  <c r="AE35" i="2" s="1"/>
  <c r="R80" i="2"/>
  <c r="U84" i="2"/>
  <c r="R83" i="2"/>
  <c r="AE205" i="2"/>
  <c r="Y197" i="2"/>
  <c r="Q139" i="2"/>
  <c r="M624" i="8"/>
  <c r="M625" i="8" s="1"/>
  <c r="L306" i="2"/>
  <c r="M25" i="2"/>
  <c r="S152" i="2"/>
  <c r="N756" i="8"/>
  <c r="N757" i="8" s="1"/>
  <c r="N352" i="2"/>
  <c r="N143" i="2"/>
  <c r="N140" i="2"/>
  <c r="O81" i="2"/>
  <c r="X82" i="2"/>
  <c r="O23" i="2"/>
  <c r="AB141" i="2"/>
  <c r="Z19" i="2"/>
  <c r="X84" i="2"/>
  <c r="U81" i="2"/>
  <c r="X25" i="2"/>
  <c r="AA201" i="2"/>
  <c r="AA211" i="2" s="1"/>
  <c r="L280" i="2"/>
  <c r="L334" i="2" s="1"/>
  <c r="L41" i="14" s="1"/>
  <c r="Q43" i="10"/>
  <c r="Q127" i="5" s="1"/>
  <c r="AE43" i="10"/>
  <c r="AE127" i="5" s="1"/>
  <c r="R43" i="10"/>
  <c r="R127" i="5" s="1"/>
  <c r="AF43" i="10"/>
  <c r="S43" i="10"/>
  <c r="S127" i="5" s="1"/>
  <c r="AG43" i="10"/>
  <c r="T43" i="10"/>
  <c r="T127" i="5" s="1"/>
  <c r="AH43" i="10"/>
  <c r="U43" i="10"/>
  <c r="U127" i="5" s="1"/>
  <c r="AI43" i="10"/>
  <c r="V43" i="10"/>
  <c r="V127" i="5" s="1"/>
  <c r="W43" i="10"/>
  <c r="W127" i="5" s="1"/>
  <c r="AA43" i="10"/>
  <c r="AA127" i="5" s="1"/>
  <c r="X43" i="10"/>
  <c r="X127" i="5" s="1"/>
  <c r="K43" i="10"/>
  <c r="Y43" i="10"/>
  <c r="Y127" i="5" s="1"/>
  <c r="L43" i="10"/>
  <c r="L127" i="5" s="1"/>
  <c r="Z43" i="10"/>
  <c r="Z127" i="5" s="1"/>
  <c r="M43" i="10"/>
  <c r="M127" i="5" s="1"/>
  <c r="N43" i="10"/>
  <c r="N127" i="5" s="1"/>
  <c r="AB43" i="10"/>
  <c r="AB127" i="5" s="1"/>
  <c r="AC43" i="10"/>
  <c r="AC127" i="5" s="1"/>
  <c r="AD43" i="10"/>
  <c r="AD127" i="5" s="1"/>
  <c r="O43" i="10"/>
  <c r="O127" i="5" s="1"/>
  <c r="P43" i="10"/>
  <c r="P127" i="5" s="1"/>
  <c r="R85" i="2"/>
  <c r="X140" i="2"/>
  <c r="U77" i="2"/>
  <c r="O20" i="2"/>
  <c r="T202" i="2"/>
  <c r="T45" i="10"/>
  <c r="T135" i="5" s="1"/>
  <c r="Y45" i="10"/>
  <c r="Y135" i="5" s="1"/>
  <c r="K45" i="10"/>
  <c r="Z45" i="10"/>
  <c r="Z135" i="5" s="1"/>
  <c r="L45" i="10"/>
  <c r="L135" i="5" s="1"/>
  <c r="AA45" i="10"/>
  <c r="AA135" i="5" s="1"/>
  <c r="M45" i="10"/>
  <c r="M135" i="5" s="1"/>
  <c r="AB45" i="10"/>
  <c r="AB135" i="5" s="1"/>
  <c r="N45" i="10"/>
  <c r="N135" i="5" s="1"/>
  <c r="AC45" i="10"/>
  <c r="AC135" i="5" s="1"/>
  <c r="O45" i="10"/>
  <c r="O135" i="5" s="1"/>
  <c r="AD45" i="10"/>
  <c r="AD135" i="5" s="1"/>
  <c r="P45" i="10"/>
  <c r="P135" i="5" s="1"/>
  <c r="AE45" i="10"/>
  <c r="AE135" i="5" s="1"/>
  <c r="U45" i="10"/>
  <c r="U135" i="5" s="1"/>
  <c r="Q45" i="10"/>
  <c r="Q135" i="5" s="1"/>
  <c r="AF45" i="10"/>
  <c r="R45" i="10"/>
  <c r="R135" i="5" s="1"/>
  <c r="AG45" i="10"/>
  <c r="S45" i="10"/>
  <c r="S135" i="5" s="1"/>
  <c r="AH45" i="10"/>
  <c r="V45" i="10"/>
  <c r="V135" i="5" s="1"/>
  <c r="AI45" i="10"/>
  <c r="W45" i="10"/>
  <c r="W135" i="5" s="1"/>
  <c r="X45" i="10"/>
  <c r="X135" i="5" s="1"/>
  <c r="N137" i="2"/>
  <c r="AB200" i="2"/>
  <c r="S22" i="2"/>
  <c r="Z17" i="2"/>
  <c r="X83" i="2"/>
  <c r="L25" i="2"/>
  <c r="U299" i="2"/>
  <c r="E21" i="9"/>
  <c r="R126" i="5"/>
  <c r="O77" i="2"/>
  <c r="AD18" i="2"/>
  <c r="Q204" i="2"/>
  <c r="X197" i="2"/>
  <c r="Z18" i="2"/>
  <c r="AB202" i="2"/>
  <c r="W21" i="2"/>
  <c r="L22" i="2"/>
  <c r="P199" i="2"/>
  <c r="K204" i="2"/>
  <c r="K431" i="8" s="1"/>
  <c r="L283" i="2"/>
  <c r="L348" i="2" s="1"/>
  <c r="AC197" i="2"/>
  <c r="AC207" i="2" s="1"/>
  <c r="N44" i="10"/>
  <c r="N134" i="5" s="1"/>
  <c r="N707" i="2" s="1"/>
  <c r="AB44" i="10"/>
  <c r="AB134" i="5" s="1"/>
  <c r="AB707" i="2" s="1"/>
  <c r="AB179" i="14" s="1"/>
  <c r="O44" i="10"/>
  <c r="O134" i="5" s="1"/>
  <c r="O707" i="2" s="1"/>
  <c r="AC44" i="10"/>
  <c r="AC134" i="5" s="1"/>
  <c r="AC707" i="2" s="1"/>
  <c r="P44" i="10"/>
  <c r="P134" i="5" s="1"/>
  <c r="P707" i="2" s="1"/>
  <c r="AD44" i="10"/>
  <c r="AD134" i="5" s="1"/>
  <c r="AD707" i="2" s="1"/>
  <c r="Q44" i="10"/>
  <c r="Q134" i="5" s="1"/>
  <c r="Q707" i="2" s="1"/>
  <c r="AE44" i="10"/>
  <c r="AE134" i="5" s="1"/>
  <c r="AE707" i="2" s="1"/>
  <c r="AE179" i="14" s="1"/>
  <c r="R44" i="10"/>
  <c r="R134" i="5" s="1"/>
  <c r="R707" i="2" s="1"/>
  <c r="R179" i="14" s="1"/>
  <c r="AF44" i="10"/>
  <c r="S44" i="10"/>
  <c r="S134" i="5" s="1"/>
  <c r="S707" i="2" s="1"/>
  <c r="S179" i="14" s="1"/>
  <c r="AG44" i="10"/>
  <c r="T44" i="10"/>
  <c r="T134" i="5" s="1"/>
  <c r="T707" i="2" s="1"/>
  <c r="T179" i="14" s="1"/>
  <c r="AH44" i="10"/>
  <c r="X44" i="10"/>
  <c r="X134" i="5" s="1"/>
  <c r="X707" i="2" s="1"/>
  <c r="U44" i="10"/>
  <c r="U134" i="5" s="1"/>
  <c r="U707" i="2" s="1"/>
  <c r="AI44" i="10"/>
  <c r="V44" i="10"/>
  <c r="V134" i="5" s="1"/>
  <c r="V707" i="2" s="1"/>
  <c r="W44" i="10"/>
  <c r="W134" i="5" s="1"/>
  <c r="W707" i="2" s="1"/>
  <c r="K44" i="10"/>
  <c r="Y44" i="10"/>
  <c r="Y134" i="5" s="1"/>
  <c r="Y707" i="2" s="1"/>
  <c r="L44" i="10"/>
  <c r="L134" i="5" s="1"/>
  <c r="L707" i="2" s="1"/>
  <c r="M44" i="10"/>
  <c r="M134" i="5" s="1"/>
  <c r="M707" i="2" s="1"/>
  <c r="Z44" i="10"/>
  <c r="Z134" i="5" s="1"/>
  <c r="Z707" i="2" s="1"/>
  <c r="AA44" i="10"/>
  <c r="AA134" i="5" s="1"/>
  <c r="AA707" i="2" s="1"/>
  <c r="S148" i="2"/>
  <c r="AB198" i="2"/>
  <c r="AA137" i="2"/>
  <c r="R78" i="2"/>
  <c r="O24" i="2"/>
  <c r="S154" i="2"/>
  <c r="K601" i="2"/>
  <c r="K611" i="2" s="1"/>
  <c r="Q84" i="2"/>
  <c r="X79" i="2"/>
  <c r="U80" i="2"/>
  <c r="AB144" i="2"/>
  <c r="Z20" i="2"/>
  <c r="X142" i="2"/>
  <c r="AE202" i="2"/>
  <c r="AD25" i="2"/>
  <c r="Z198" i="2"/>
  <c r="O18" i="2"/>
  <c r="Q46" i="10"/>
  <c r="AE46" i="10"/>
  <c r="T46" i="10"/>
  <c r="AI46" i="10"/>
  <c r="U46" i="10"/>
  <c r="V46" i="10"/>
  <c r="W46" i="10"/>
  <c r="W136" i="5" s="1"/>
  <c r="W145" i="13" s="1"/>
  <c r="X46" i="10"/>
  <c r="Y46" i="10"/>
  <c r="K46" i="10"/>
  <c r="Z46" i="10"/>
  <c r="O46" i="10"/>
  <c r="L46" i="10"/>
  <c r="AA46" i="10"/>
  <c r="M46" i="10"/>
  <c r="AB46" i="10"/>
  <c r="N46" i="10"/>
  <c r="AC46" i="10"/>
  <c r="AD46" i="10"/>
  <c r="P46" i="10"/>
  <c r="P136" i="5" s="1"/>
  <c r="P145" i="13" s="1"/>
  <c r="AF46" i="10"/>
  <c r="AG46" i="10"/>
  <c r="R46" i="10"/>
  <c r="S46" i="10"/>
  <c r="AH46" i="10"/>
  <c r="V32" i="2"/>
  <c r="V315" i="8"/>
  <c r="V316" i="8" s="1"/>
  <c r="O612" i="8"/>
  <c r="O613" i="8" s="1"/>
  <c r="P280" i="2"/>
  <c r="P334" i="2" s="1"/>
  <c r="P41" i="14" s="1"/>
  <c r="F304" i="2"/>
  <c r="F303" i="2"/>
  <c r="F305" i="2"/>
  <c r="L604" i="8"/>
  <c r="L605" i="8" s="1"/>
  <c r="L343" i="2"/>
  <c r="AC202" i="2"/>
  <c r="U200" i="2"/>
  <c r="V144" i="2"/>
  <c r="Y203" i="2"/>
  <c r="M730" i="2"/>
  <c r="AC306" i="2"/>
  <c r="T351" i="2"/>
  <c r="T309" i="2"/>
  <c r="AC145" i="2"/>
  <c r="O331" i="2"/>
  <c r="O38" i="14" s="1"/>
  <c r="M18" i="2"/>
  <c r="V197" i="2"/>
  <c r="AC588" i="8"/>
  <c r="AC589" i="8" s="1"/>
  <c r="AB33" i="9"/>
  <c r="AA33" i="9"/>
  <c r="Q670" i="2"/>
  <c r="R670" i="2"/>
  <c r="N19" i="2"/>
  <c r="O203" i="2"/>
  <c r="K480" i="2"/>
  <c r="K490" i="2" s="1"/>
  <c r="AD85" i="2"/>
  <c r="K484" i="2"/>
  <c r="K494" i="2" s="1"/>
  <c r="P22" i="2"/>
  <c r="M19" i="2"/>
  <c r="V84" i="2"/>
  <c r="V83" i="2"/>
  <c r="AE21" i="2"/>
  <c r="R306" i="2"/>
  <c r="P675" i="2"/>
  <c r="H331" i="2"/>
  <c r="O345" i="2"/>
  <c r="U306" i="2"/>
  <c r="X306" i="2"/>
  <c r="AA306" i="2"/>
  <c r="S201" i="2"/>
  <c r="V79" i="2"/>
  <c r="N24" i="2"/>
  <c r="AD83" i="2"/>
  <c r="Z21" i="2"/>
  <c r="M348" i="2"/>
  <c r="O729" i="2"/>
  <c r="AD202" i="2"/>
  <c r="Y198" i="2"/>
  <c r="AC203" i="2"/>
  <c r="AD80" i="2"/>
  <c r="AC140" i="2"/>
  <c r="P93" i="2"/>
  <c r="K478" i="2"/>
  <c r="K488" i="2" s="1"/>
  <c r="L21" i="2"/>
  <c r="O740" i="2"/>
  <c r="V145" i="2"/>
  <c r="Q145" i="2"/>
  <c r="O204" i="2"/>
  <c r="Y200" i="2"/>
  <c r="Y199" i="2"/>
  <c r="N202" i="2"/>
  <c r="AC138" i="2"/>
  <c r="AC141" i="2"/>
  <c r="V78" i="2"/>
  <c r="M17" i="2"/>
  <c r="M343" i="2"/>
  <c r="S200" i="2"/>
  <c r="AE145" i="2"/>
  <c r="X23" i="2"/>
  <c r="N201" i="2"/>
  <c r="M306" i="2"/>
  <c r="M604" i="8"/>
  <c r="M605" i="8" s="1"/>
  <c r="Y306" i="2"/>
  <c r="AB35" i="9"/>
  <c r="AA35" i="9"/>
  <c r="R351" i="2"/>
  <c r="R309" i="2"/>
  <c r="Q750" i="2"/>
  <c r="Q708" i="2"/>
  <c r="O199" i="2"/>
  <c r="N198" i="2"/>
  <c r="Q202" i="2"/>
  <c r="AC205" i="2"/>
  <c r="V82" i="2"/>
  <c r="AC142" i="2"/>
  <c r="M24" i="2"/>
  <c r="AD77" i="2"/>
  <c r="N20" i="2"/>
  <c r="N17" i="2"/>
  <c r="X18" i="2"/>
  <c r="K21" i="2"/>
  <c r="O201" i="2"/>
  <c r="Y299" i="2"/>
  <c r="AA203" i="2"/>
  <c r="AB145" i="2"/>
  <c r="H256" i="2"/>
  <c r="M1016" i="8"/>
  <c r="M1017" i="8" s="1"/>
  <c r="L681" i="2"/>
  <c r="M746" i="2"/>
  <c r="Q203" i="2"/>
  <c r="N205" i="2"/>
  <c r="AC199" i="2"/>
  <c r="N200" i="2"/>
  <c r="AD79" i="2"/>
  <c r="K479" i="2"/>
  <c r="K489" i="2" s="1"/>
  <c r="AD198" i="2"/>
  <c r="M23" i="2"/>
  <c r="P331" i="2"/>
  <c r="P38" i="14" s="1"/>
  <c r="N708" i="2"/>
  <c r="N718" i="2" s="1"/>
  <c r="P750" i="2"/>
  <c r="P708" i="2"/>
  <c r="N203" i="2"/>
  <c r="N23" i="2"/>
  <c r="AD204" i="2"/>
  <c r="Q199" i="2"/>
  <c r="AD203" i="2"/>
  <c r="V205" i="2"/>
  <c r="AC143" i="2"/>
  <c r="AC137" i="2"/>
  <c r="V77" i="2"/>
  <c r="Y359" i="8"/>
  <c r="Y360" i="8" s="1"/>
  <c r="V81" i="2"/>
  <c r="AD81" i="2"/>
  <c r="X21" i="2"/>
  <c r="N331" i="2"/>
  <c r="AC204" i="2"/>
  <c r="M1004" i="8"/>
  <c r="M1005" i="8" s="1"/>
  <c r="M743" i="2"/>
  <c r="L678" i="2"/>
  <c r="AB31" i="9"/>
  <c r="AA31" i="9"/>
  <c r="T24" i="2"/>
  <c r="Y201" i="2"/>
  <c r="K477" i="2"/>
  <c r="K487" i="2" s="1"/>
  <c r="AC144" i="2"/>
  <c r="T19" i="2"/>
  <c r="X20" i="2"/>
  <c r="O197" i="2"/>
  <c r="AB271" i="2"/>
  <c r="O306" i="2"/>
  <c r="V203" i="2"/>
  <c r="Y309" i="2"/>
  <c r="Y351" i="2"/>
  <c r="AB91" i="2"/>
  <c r="AB347" i="8"/>
  <c r="AB348" i="8" s="1"/>
  <c r="Z750" i="2"/>
  <c r="Z708" i="2"/>
  <c r="Q283" i="2"/>
  <c r="P337" i="2"/>
  <c r="P44" i="14" s="1"/>
  <c r="P348" i="2"/>
  <c r="P624" i="8"/>
  <c r="P625" i="8" s="1"/>
  <c r="O608" i="8"/>
  <c r="O609" i="8" s="1"/>
  <c r="P279" i="2"/>
  <c r="O333" i="2"/>
  <c r="O40" i="14" s="1"/>
  <c r="O344" i="2"/>
  <c r="T203" i="2"/>
  <c r="P91" i="2"/>
  <c r="Z141" i="2"/>
  <c r="AD141" i="2"/>
  <c r="S391" i="8"/>
  <c r="S392" i="8" s="1"/>
  <c r="X138" i="2"/>
  <c r="W202" i="2"/>
  <c r="T23" i="2"/>
  <c r="O1000" i="8"/>
  <c r="O1001" i="8" s="1"/>
  <c r="P677" i="2"/>
  <c r="O731" i="2"/>
  <c r="O204" i="14" s="1"/>
  <c r="O742" i="2"/>
  <c r="AD319" i="2"/>
  <c r="AD362" i="2"/>
  <c r="AD391" i="2" s="1"/>
  <c r="L279" i="2"/>
  <c r="M608" i="8"/>
  <c r="M609" i="8" s="1"/>
  <c r="M333" i="2"/>
  <c r="M40" i="14" s="1"/>
  <c r="M344" i="2"/>
  <c r="W24" i="2"/>
  <c r="AB25" i="2"/>
  <c r="AB78" i="2"/>
  <c r="X201" i="2"/>
  <c r="AA21" i="2"/>
  <c r="M1020" i="8"/>
  <c r="M1021" i="8" s="1"/>
  <c r="M736" i="2"/>
  <c r="M209" i="14" s="1"/>
  <c r="L682" i="2"/>
  <c r="M747" i="2"/>
  <c r="S708" i="2"/>
  <c r="S750" i="2"/>
  <c r="N1156" i="8"/>
  <c r="N1157" i="8" s="1"/>
  <c r="M1188" i="8"/>
  <c r="M1189" i="8" s="1"/>
  <c r="AE319" i="2"/>
  <c r="AE362" i="2"/>
  <c r="AE391" i="2" s="1"/>
  <c r="AE20" i="2"/>
  <c r="P1012" i="8"/>
  <c r="P1013" i="8" s="1"/>
  <c r="P734" i="2"/>
  <c r="P207" i="14" s="1"/>
  <c r="P745" i="2"/>
  <c r="Q680" i="2"/>
  <c r="AB20" i="2"/>
  <c r="O140" i="2"/>
  <c r="AB80" i="2"/>
  <c r="AA17" i="2"/>
  <c r="P95" i="2"/>
  <c r="T22" i="2"/>
  <c r="X17" i="2"/>
  <c r="T25" i="2"/>
  <c r="V18" i="2"/>
  <c r="N21" i="2"/>
  <c r="N1168" i="8"/>
  <c r="N1169" i="8" s="1"/>
  <c r="Q588" i="8"/>
  <c r="Q589" i="8" s="1"/>
  <c r="N1196" i="8"/>
  <c r="N1197" i="8" s="1"/>
  <c r="S306" i="2"/>
  <c r="T302" i="2"/>
  <c r="N333" i="2"/>
  <c r="N40" i="14" s="1"/>
  <c r="Q669" i="2"/>
  <c r="R669" i="2"/>
  <c r="P604" i="8"/>
  <c r="P605" i="8" s="1"/>
  <c r="Q278" i="2"/>
  <c r="P343" i="2"/>
  <c r="P332" i="2"/>
  <c r="P39" i="14" s="1"/>
  <c r="L750" i="2"/>
  <c r="L708" i="2"/>
  <c r="P1008" i="8"/>
  <c r="P1009" i="8" s="1"/>
  <c r="P744" i="2"/>
  <c r="Q679" i="2"/>
  <c r="P733" i="2"/>
  <c r="P206" i="14" s="1"/>
  <c r="H334" i="2"/>
  <c r="AB30" i="9"/>
  <c r="AA30" i="9"/>
  <c r="N1160" i="8"/>
  <c r="N1161" i="8" s="1"/>
  <c r="M588" i="8"/>
  <c r="M589" i="8" s="1"/>
  <c r="M299" i="2"/>
  <c r="AE23" i="2"/>
  <c r="W198" i="2"/>
  <c r="T20" i="2"/>
  <c r="AE24" i="2"/>
  <c r="AD144" i="2"/>
  <c r="X145" i="2"/>
  <c r="AD205" i="2"/>
  <c r="AB19" i="2"/>
  <c r="AD21" i="2"/>
  <c r="M1008" i="8"/>
  <c r="M1009" i="8" s="1"/>
  <c r="L679" i="2"/>
  <c r="M733" i="2"/>
  <c r="M206" i="14" s="1"/>
  <c r="M744" i="2"/>
  <c r="P588" i="8"/>
  <c r="P589" i="8" s="1"/>
  <c r="P299" i="2"/>
  <c r="N734" i="2"/>
  <c r="N207" i="14" s="1"/>
  <c r="N588" i="8"/>
  <c r="N589" i="8" s="1"/>
  <c r="N299" i="2"/>
  <c r="M596" i="8"/>
  <c r="M597" i="8" s="1"/>
  <c r="L276" i="2"/>
  <c r="M341" i="2"/>
  <c r="M330" i="2"/>
  <c r="M37" i="14" s="1"/>
  <c r="V718" i="2"/>
  <c r="V761" i="2"/>
  <c r="V790" i="2" s="1"/>
  <c r="O776" i="8"/>
  <c r="O777" i="8" s="1"/>
  <c r="O800" i="8"/>
  <c r="O801" i="8" s="1"/>
  <c r="R264" i="2"/>
  <c r="Q264" i="2"/>
  <c r="O1016" i="8"/>
  <c r="O1017" i="8" s="1"/>
  <c r="O735" i="2"/>
  <c r="O208" i="14" s="1"/>
  <c r="P681" i="2"/>
  <c r="O746" i="2"/>
  <c r="R588" i="8"/>
  <c r="R589" i="8" s="1"/>
  <c r="M732" i="2"/>
  <c r="M205" i="14" s="1"/>
  <c r="N732" i="2"/>
  <c r="N205" i="14" s="1"/>
  <c r="T588" i="8"/>
  <c r="T589" i="8" s="1"/>
  <c r="T299" i="2"/>
  <c r="O734" i="2"/>
  <c r="O207" i="14" s="1"/>
  <c r="M336" i="2"/>
  <c r="M43" i="14" s="1"/>
  <c r="O1168" i="8"/>
  <c r="O1169" i="8" s="1"/>
  <c r="T200" i="2"/>
  <c r="P21" i="2"/>
  <c r="AE588" i="8"/>
  <c r="AE589" i="8" s="1"/>
  <c r="AE306" i="2"/>
  <c r="X708" i="2"/>
  <c r="X750" i="2"/>
  <c r="H336" i="2"/>
  <c r="W201" i="2"/>
  <c r="U205" i="2"/>
  <c r="U435" i="8" s="1"/>
  <c r="U436" i="8" s="1"/>
  <c r="W200" i="2"/>
  <c r="AD143" i="2"/>
  <c r="AD137" i="2"/>
  <c r="AB17" i="2"/>
  <c r="V141" i="2"/>
  <c r="P355" i="8"/>
  <c r="P356" i="8" s="1"/>
  <c r="M203" i="2"/>
  <c r="L200" i="2"/>
  <c r="H734" i="2"/>
  <c r="M1000" i="8"/>
  <c r="M1001" i="8" s="1"/>
  <c r="M742" i="2"/>
  <c r="L677" i="2"/>
  <c r="M731" i="2"/>
  <c r="M204" i="14" s="1"/>
  <c r="O588" i="8"/>
  <c r="O589" i="8" s="1"/>
  <c r="AE299" i="2"/>
  <c r="N1152" i="8"/>
  <c r="N1153" i="8" s="1"/>
  <c r="R299" i="2"/>
  <c r="Q306" i="2"/>
  <c r="L331" i="2"/>
  <c r="L38" i="14" s="1"/>
  <c r="AB34" i="9"/>
  <c r="AA34" i="9"/>
  <c r="P351" i="2"/>
  <c r="P309" i="2"/>
  <c r="AD138" i="2"/>
  <c r="S588" i="8"/>
  <c r="S589" i="8" s="1"/>
  <c r="N334" i="2"/>
  <c r="N41" i="14" s="1"/>
  <c r="O334" i="2"/>
  <c r="O41" i="14" s="1"/>
  <c r="M334" i="2"/>
  <c r="M41" i="14" s="1"/>
  <c r="L336" i="2"/>
  <c r="L43" i="14" s="1"/>
  <c r="L620" i="8"/>
  <c r="L621" i="8" s="1"/>
  <c r="L347" i="2"/>
  <c r="P25" i="2"/>
  <c r="M362" i="2"/>
  <c r="M391" i="2" s="1"/>
  <c r="M319" i="2"/>
  <c r="N362" i="2"/>
  <c r="N391" i="2" s="1"/>
  <c r="N319" i="2"/>
  <c r="R270" i="2"/>
  <c r="Q270" i="2"/>
  <c r="AA19" i="2"/>
  <c r="M1012" i="8"/>
  <c r="M1013" i="8" s="1"/>
  <c r="M745" i="2"/>
  <c r="L680" i="2"/>
  <c r="M734" i="2"/>
  <c r="M207" i="14" s="1"/>
  <c r="Q663" i="2"/>
  <c r="R663" i="2"/>
  <c r="U197" i="2"/>
  <c r="AD199" i="2"/>
  <c r="W205" i="2"/>
  <c r="X200" i="2"/>
  <c r="K143" i="2"/>
  <c r="K391" i="8" s="1"/>
  <c r="P24" i="2"/>
  <c r="X141" i="2"/>
  <c r="AE18" i="2"/>
  <c r="AA83" i="2"/>
  <c r="AB77" i="2"/>
  <c r="S387" i="8"/>
  <c r="S388" i="8" s="1"/>
  <c r="P90" i="2"/>
  <c r="AE17" i="2"/>
  <c r="U199" i="2"/>
  <c r="P201" i="2"/>
  <c r="AD22" i="2"/>
  <c r="T21" i="2"/>
  <c r="AD592" i="8"/>
  <c r="AD593" i="8" s="1"/>
  <c r="W588" i="8"/>
  <c r="W589" i="8" s="1"/>
  <c r="W302" i="2"/>
  <c r="W306" i="2"/>
  <c r="Q299" i="2"/>
  <c r="H337" i="2"/>
  <c r="AD306" i="2"/>
  <c r="O351" i="2"/>
  <c r="O309" i="2"/>
  <c r="AB718" i="2"/>
  <c r="AB761" i="2"/>
  <c r="AB790" i="2" s="1"/>
  <c r="Q268" i="2"/>
  <c r="R268" i="2"/>
  <c r="AC351" i="2"/>
  <c r="AC309" i="2"/>
  <c r="O1216" i="8"/>
  <c r="O1217" i="8" s="1"/>
  <c r="AE19" i="2"/>
  <c r="X199" i="2"/>
  <c r="T198" i="2"/>
  <c r="X205" i="2"/>
  <c r="AD142" i="2"/>
  <c r="AA22" i="2"/>
  <c r="AA24" i="2"/>
  <c r="T17" i="2"/>
  <c r="X24" i="2"/>
  <c r="O718" i="2"/>
  <c r="O761" i="2"/>
  <c r="O790" i="2" s="1"/>
  <c r="V588" i="8"/>
  <c r="V589" i="8" s="1"/>
  <c r="V306" i="2"/>
  <c r="O299" i="2"/>
  <c r="S299" i="2"/>
  <c r="P306" i="2"/>
  <c r="O347" i="2"/>
  <c r="O336" i="2"/>
  <c r="O43" i="14" s="1"/>
  <c r="P282" i="2"/>
  <c r="O620" i="8"/>
  <c r="O621" i="8" s="1"/>
  <c r="Q667" i="2"/>
  <c r="R667" i="2"/>
  <c r="AC299" i="2"/>
  <c r="T201" i="2"/>
  <c r="U202" i="2"/>
  <c r="P19" i="2"/>
  <c r="P17" i="2"/>
  <c r="Y24" i="2"/>
  <c r="AB83" i="2"/>
  <c r="N197" i="2"/>
  <c r="Y204" i="2"/>
  <c r="AD201" i="2"/>
  <c r="Y202" i="2"/>
  <c r="AA204" i="2"/>
  <c r="AA23" i="2"/>
  <c r="O996" i="8"/>
  <c r="O997" i="8" s="1"/>
  <c r="P676" i="2"/>
  <c r="O730" i="2"/>
  <c r="O203" i="14" s="1"/>
  <c r="O741" i="2"/>
  <c r="O1004" i="8"/>
  <c r="O1005" i="8" s="1"/>
  <c r="P678" i="2"/>
  <c r="O743" i="2"/>
  <c r="O732" i="2"/>
  <c r="O205" i="14" s="1"/>
  <c r="H732" i="2"/>
  <c r="Q1020" i="8"/>
  <c r="Q1021" i="8" s="1"/>
  <c r="Q736" i="2"/>
  <c r="Q209" i="14" s="1"/>
  <c r="Q747" i="2"/>
  <c r="R682" i="2"/>
  <c r="O820" i="8"/>
  <c r="O821" i="8" s="1"/>
  <c r="H333" i="2"/>
  <c r="AB32" i="9"/>
  <c r="AA32" i="9"/>
  <c r="AB362" i="2"/>
  <c r="AB391" i="2" s="1"/>
  <c r="AB319" i="2"/>
  <c r="R616" i="8"/>
  <c r="R617" i="8" s="1"/>
  <c r="R346" i="2"/>
  <c r="S281" i="2"/>
  <c r="R335" i="2"/>
  <c r="R42" i="14" s="1"/>
  <c r="K139" i="2"/>
  <c r="K149" i="2" s="1"/>
  <c r="T205" i="2"/>
  <c r="T197" i="2"/>
  <c r="W20" i="2"/>
  <c r="AD140" i="2"/>
  <c r="AA20" i="2"/>
  <c r="AB33" i="2"/>
  <c r="AA25" i="2"/>
  <c r="X22" i="2"/>
  <c r="AB592" i="8"/>
  <c r="AB593" i="8" s="1"/>
  <c r="AB306" i="2"/>
  <c r="AE302" i="2"/>
  <c r="L362" i="2"/>
  <c r="L391" i="2" s="1"/>
  <c r="L319" i="2"/>
  <c r="M332" i="2"/>
  <c r="M39" i="14" s="1"/>
  <c r="N332" i="2"/>
  <c r="N39" i="14" s="1"/>
  <c r="L332" i="2"/>
  <c r="L39" i="14" s="1"/>
  <c r="AA761" i="2"/>
  <c r="AA790" i="2" s="1"/>
  <c r="AA718" i="2"/>
  <c r="N336" i="2"/>
  <c r="N43" i="14" s="1"/>
  <c r="Q266" i="2"/>
  <c r="R266" i="2"/>
  <c r="K536" i="2"/>
  <c r="K546" i="2" s="1"/>
  <c r="X202" i="2"/>
  <c r="Y137" i="2"/>
  <c r="X19" i="2"/>
  <c r="P20" i="2"/>
  <c r="O22" i="2"/>
  <c r="Q265" i="2"/>
  <c r="R265" i="2"/>
  <c r="H733" i="2"/>
  <c r="AB299" i="2"/>
  <c r="O784" i="8"/>
  <c r="O785" i="8" s="1"/>
  <c r="AC718" i="2"/>
  <c r="AC761" i="2"/>
  <c r="AC790" i="2" s="1"/>
  <c r="Q665" i="2"/>
  <c r="R665" i="2"/>
  <c r="Z139" i="2"/>
  <c r="Z142" i="2"/>
  <c r="AE143" i="2"/>
  <c r="Z137" i="2"/>
  <c r="R141" i="2"/>
  <c r="Y20" i="2"/>
  <c r="K80" i="2"/>
  <c r="K90" i="2" s="1"/>
  <c r="K539" i="2"/>
  <c r="K549" i="2" s="1"/>
  <c r="R144" i="2"/>
  <c r="Z143" i="2"/>
  <c r="AC18" i="2"/>
  <c r="AC20" i="2"/>
  <c r="S147" i="2"/>
  <c r="S367" i="8"/>
  <c r="S368" i="8" s="1"/>
  <c r="L145" i="2"/>
  <c r="Q78" i="2"/>
  <c r="S199" i="2"/>
  <c r="Z145" i="2"/>
  <c r="Q22" i="2"/>
  <c r="Q19" i="2"/>
  <c r="L142" i="2"/>
  <c r="L139" i="2"/>
  <c r="K84" i="2"/>
  <c r="K94" i="2" s="1"/>
  <c r="K542" i="2"/>
  <c r="K552" i="2" s="1"/>
  <c r="R140" i="2"/>
  <c r="Y22" i="2"/>
  <c r="AC80" i="2"/>
  <c r="AC82" i="2"/>
  <c r="R143" i="2"/>
  <c r="R145" i="2"/>
  <c r="Q21" i="2"/>
  <c r="Q25" i="2"/>
  <c r="Q18" i="2"/>
  <c r="K540" i="2"/>
  <c r="K550" i="2" s="1"/>
  <c r="K541" i="2"/>
  <c r="K551" i="2" s="1"/>
  <c r="K85" i="2"/>
  <c r="K95" i="2" s="1"/>
  <c r="S202" i="2"/>
  <c r="S204" i="2"/>
  <c r="R139" i="2"/>
  <c r="Y18" i="2"/>
  <c r="Y21" i="2"/>
  <c r="Y17" i="2"/>
  <c r="Y25" i="2"/>
  <c r="Y19" i="2"/>
  <c r="AC21" i="2"/>
  <c r="V200" i="2"/>
  <c r="Z85" i="2"/>
  <c r="L137" i="2"/>
  <c r="AE141" i="2"/>
  <c r="O25" i="2"/>
  <c r="Z24" i="2"/>
  <c r="V204" i="2"/>
  <c r="Q205" i="2"/>
  <c r="N18" i="2"/>
  <c r="P198" i="2"/>
  <c r="X203" i="2"/>
  <c r="O198" i="2"/>
  <c r="M21" i="2"/>
  <c r="S25" i="2"/>
  <c r="M201" i="2"/>
  <c r="K598" i="2"/>
  <c r="K608" i="2" s="1"/>
  <c r="U204" i="2"/>
  <c r="V138" i="2"/>
  <c r="S82" i="2"/>
  <c r="AA209" i="2"/>
  <c r="Q24" i="2"/>
  <c r="AC83" i="2"/>
  <c r="Y144" i="2"/>
  <c r="AA140" i="2"/>
  <c r="W19" i="2"/>
  <c r="AC81" i="2"/>
  <c r="S21" i="2"/>
  <c r="V21" i="2"/>
  <c r="S203" i="2"/>
  <c r="L144" i="2"/>
  <c r="AE140" i="2"/>
  <c r="AE379" i="8" s="1"/>
  <c r="AE380" i="8" s="1"/>
  <c r="Q20" i="2"/>
  <c r="M204" i="2"/>
  <c r="AC201" i="2"/>
  <c r="N22" i="2"/>
  <c r="V201" i="2"/>
  <c r="V23" i="2"/>
  <c r="Y23" i="2"/>
  <c r="N138" i="2"/>
  <c r="Q17" i="2"/>
  <c r="S19" i="2"/>
  <c r="Q200" i="2"/>
  <c r="AC17" i="2"/>
  <c r="W17" i="2"/>
  <c r="Z201" i="2"/>
  <c r="W22" i="2"/>
  <c r="AC85" i="2"/>
  <c r="K537" i="2"/>
  <c r="K547" i="2" s="1"/>
  <c r="K600" i="2"/>
  <c r="K610" i="2" s="1"/>
  <c r="K538" i="2"/>
  <c r="K548" i="2" s="1"/>
  <c r="V198" i="2"/>
  <c r="P145" i="2"/>
  <c r="V202" i="2"/>
  <c r="Q23" i="2"/>
  <c r="W25" i="2"/>
  <c r="AE137" i="2"/>
  <c r="W23" i="2"/>
  <c r="L141" i="2"/>
  <c r="O19" i="2"/>
  <c r="K24" i="2"/>
  <c r="Q197" i="2"/>
  <c r="AA200" i="2"/>
  <c r="AB24" i="2"/>
  <c r="P23" i="2"/>
  <c r="AC22" i="2"/>
  <c r="S17" i="2"/>
  <c r="V199" i="2"/>
  <c r="Z25" i="2"/>
  <c r="Z205" i="2"/>
  <c r="Q198" i="2"/>
  <c r="S23" i="2"/>
  <c r="Z22" i="2"/>
  <c r="AC200" i="2"/>
  <c r="N204" i="2"/>
  <c r="Z23" i="2"/>
  <c r="S198" i="2"/>
  <c r="O139" i="2"/>
  <c r="AE138" i="2"/>
  <c r="W18" i="2"/>
  <c r="Y138" i="2"/>
  <c r="P143" i="2"/>
  <c r="N141" i="2"/>
  <c r="Q77" i="2"/>
  <c r="AE144" i="2"/>
  <c r="P138" i="2"/>
  <c r="S197" i="2"/>
  <c r="S205" i="2"/>
  <c r="X198" i="2"/>
  <c r="U198" i="2"/>
  <c r="N199" i="2"/>
  <c r="AB21" i="2"/>
  <c r="N145" i="2"/>
  <c r="U201" i="2"/>
  <c r="P88" i="2"/>
  <c r="P335" i="8"/>
  <c r="P336" i="8" s="1"/>
  <c r="Y149" i="2"/>
  <c r="Y375" i="8"/>
  <c r="Y376" i="8" s="1"/>
  <c r="Z89" i="2"/>
  <c r="Z339" i="8"/>
  <c r="Z340" i="8" s="1"/>
  <c r="W142" i="2"/>
  <c r="W145" i="2"/>
  <c r="W143" i="2"/>
  <c r="R22" i="2"/>
  <c r="R21" i="2"/>
  <c r="R25" i="2"/>
  <c r="R18" i="2"/>
  <c r="R23" i="2"/>
  <c r="S155" i="2"/>
  <c r="S399" i="8"/>
  <c r="S400" i="8" s="1"/>
  <c r="W138" i="2"/>
  <c r="AA141" i="2"/>
  <c r="AA139" i="2"/>
  <c r="AA144" i="2"/>
  <c r="AA138" i="2"/>
  <c r="W137" i="2"/>
  <c r="M141" i="2"/>
  <c r="AA152" i="2"/>
  <c r="AA387" i="8"/>
  <c r="AA388" i="8" s="1"/>
  <c r="U142" i="2"/>
  <c r="U139" i="2"/>
  <c r="U143" i="2"/>
  <c r="P89" i="2"/>
  <c r="P339" i="8"/>
  <c r="P340" i="8" s="1"/>
  <c r="P94" i="2"/>
  <c r="P359" i="8"/>
  <c r="P360" i="8" s="1"/>
  <c r="U29" i="2"/>
  <c r="U303" i="8"/>
  <c r="U304" i="8" s="1"/>
  <c r="K597" i="2"/>
  <c r="K602" i="2"/>
  <c r="K599" i="2"/>
  <c r="O138" i="2"/>
  <c r="O142" i="2"/>
  <c r="P92" i="2"/>
  <c r="P351" i="8"/>
  <c r="P352" i="8" s="1"/>
  <c r="T142" i="2"/>
  <c r="T137" i="2"/>
  <c r="T139" i="2"/>
  <c r="U31" i="2"/>
  <c r="U311" i="8"/>
  <c r="U312" i="8" s="1"/>
  <c r="U35" i="2"/>
  <c r="U28" i="2"/>
  <c r="U32" i="2"/>
  <c r="U33" i="2"/>
  <c r="M142" i="2"/>
  <c r="M139" i="2"/>
  <c r="M145" i="2"/>
  <c r="K417" i="2"/>
  <c r="K416" i="2"/>
  <c r="K419" i="2"/>
  <c r="P87" i="2"/>
  <c r="P331" i="8"/>
  <c r="P332" i="8" s="1"/>
  <c r="M143" i="2"/>
  <c r="T145" i="2"/>
  <c r="AA143" i="2"/>
  <c r="U213" i="2"/>
  <c r="O145" i="2"/>
  <c r="U145" i="2"/>
  <c r="Y143" i="2"/>
  <c r="K137" i="2"/>
  <c r="Q85" i="2"/>
  <c r="K141" i="2"/>
  <c r="R20" i="2"/>
  <c r="R147" i="2"/>
  <c r="R367" i="8"/>
  <c r="R368" i="8" s="1"/>
  <c r="S150" i="2"/>
  <c r="S379" i="8"/>
  <c r="S380" i="8" s="1"/>
  <c r="M140" i="2"/>
  <c r="K543" i="2"/>
  <c r="AE139" i="2"/>
  <c r="AE142" i="2"/>
  <c r="O143" i="2"/>
  <c r="R142" i="2"/>
  <c r="S83" i="2"/>
  <c r="K140" i="2"/>
  <c r="AE83" i="2"/>
  <c r="K544" i="2"/>
  <c r="W139" i="2"/>
  <c r="T138" i="2"/>
  <c r="V137" i="2"/>
  <c r="V142" i="2"/>
  <c r="V139" i="2"/>
  <c r="S85" i="2"/>
  <c r="O215" i="2"/>
  <c r="O435" i="8"/>
  <c r="O436" i="8" s="1"/>
  <c r="Z78" i="2"/>
  <c r="U34" i="2"/>
  <c r="U323" i="8"/>
  <c r="U324" i="8" s="1"/>
  <c r="T144" i="2"/>
  <c r="R138" i="2"/>
  <c r="U30" i="2"/>
  <c r="K420" i="2"/>
  <c r="O137" i="2"/>
  <c r="L138" i="2"/>
  <c r="Y141" i="2"/>
  <c r="R19" i="2"/>
  <c r="K596" i="2"/>
  <c r="K418" i="2"/>
  <c r="Z82" i="2"/>
  <c r="Z81" i="2"/>
  <c r="Z77" i="2"/>
  <c r="Z84" i="2"/>
  <c r="K138" i="2"/>
  <c r="K142" i="2"/>
  <c r="K145" i="2"/>
  <c r="AA79" i="2"/>
  <c r="O144" i="2"/>
  <c r="L140" i="2"/>
  <c r="S77" i="2"/>
  <c r="S84" i="2"/>
  <c r="Q79" i="2"/>
  <c r="Q81" i="2"/>
  <c r="Q82" i="2"/>
  <c r="Y142" i="2"/>
  <c r="Y140" i="2"/>
  <c r="L143" i="2"/>
  <c r="T141" i="2"/>
  <c r="S371" i="8"/>
  <c r="S372" i="8" s="1"/>
  <c r="AA84" i="2"/>
  <c r="AA81" i="2"/>
  <c r="AE79" i="2"/>
  <c r="AE85" i="2"/>
  <c r="AE84" i="2"/>
  <c r="AE78" i="2"/>
  <c r="K423" i="2"/>
  <c r="U141" i="2"/>
  <c r="S151" i="2"/>
  <c r="S383" i="8"/>
  <c r="S384" i="8" s="1"/>
  <c r="AA80" i="2"/>
  <c r="K603" i="2"/>
  <c r="K422" i="2"/>
  <c r="S79" i="2"/>
  <c r="S78" i="2"/>
  <c r="AA78" i="2"/>
  <c r="AA82" i="2"/>
  <c r="W141" i="2"/>
  <c r="K144" i="2"/>
  <c r="T140" i="2"/>
  <c r="K77" i="2"/>
  <c r="AB319" i="8"/>
  <c r="AB320" i="8" s="1"/>
  <c r="P347" i="8"/>
  <c r="P348" i="8" s="1"/>
  <c r="S395" i="8"/>
  <c r="S396" i="8" s="1"/>
  <c r="AE82" i="2"/>
  <c r="K421" i="2"/>
  <c r="AC208" i="2"/>
  <c r="U138" i="2"/>
  <c r="U137" i="2"/>
  <c r="K81" i="2"/>
  <c r="AE80" i="2"/>
  <c r="Y145" i="2"/>
  <c r="AA77" i="2"/>
  <c r="M144" i="2"/>
  <c r="U140" i="2"/>
  <c r="K79" i="2"/>
  <c r="AE77" i="2"/>
  <c r="Q80" i="2"/>
  <c r="R17" i="2"/>
  <c r="Z140" i="2"/>
  <c r="Z144" i="2"/>
  <c r="T143" i="2"/>
  <c r="O141" i="2"/>
  <c r="K83" i="2"/>
  <c r="U144" i="2"/>
  <c r="W140" i="2"/>
  <c r="AA145" i="2"/>
  <c r="M138" i="2"/>
  <c r="V143" i="2"/>
  <c r="Z138" i="2"/>
  <c r="M137" i="2"/>
  <c r="K78" i="2"/>
  <c r="W144" i="2"/>
  <c r="Z83" i="2"/>
  <c r="Q83" i="2"/>
  <c r="Z80" i="2"/>
  <c r="U27" i="2"/>
  <c r="R24" i="2"/>
  <c r="S80" i="2"/>
  <c r="X88" i="2" l="1"/>
  <c r="AC331" i="8"/>
  <c r="AC332" i="8" s="1"/>
  <c r="X347" i="8"/>
  <c r="X348" i="8" s="1"/>
  <c r="X17" i="14"/>
  <c r="Z24" i="14"/>
  <c r="AC20" i="14"/>
  <c r="AA20" i="14"/>
  <c r="O17" i="14"/>
  <c r="O24" i="14"/>
  <c r="N24" i="14"/>
  <c r="R20" i="14"/>
  <c r="U24" i="14"/>
  <c r="P341" i="2"/>
  <c r="P792" i="8" s="1"/>
  <c r="P793" i="8" s="1"/>
  <c r="M17" i="14"/>
  <c r="Q276" i="2"/>
  <c r="Q341" i="2" s="1"/>
  <c r="P596" i="8"/>
  <c r="P597" i="8" s="1"/>
  <c r="Z17" i="14"/>
  <c r="M24" i="14"/>
  <c r="X24" i="14"/>
  <c r="U17" i="14"/>
  <c r="Q20" i="14"/>
  <c r="AB24" i="14"/>
  <c r="AC17" i="14"/>
  <c r="Y24" i="14"/>
  <c r="L1152" i="8"/>
  <c r="L1153" i="8" s="1"/>
  <c r="AB17" i="14"/>
  <c r="M796" i="8"/>
  <c r="M797" i="8" s="1"/>
  <c r="N760" i="8"/>
  <c r="N761" i="8" s="1"/>
  <c r="N38" i="14"/>
  <c r="X1458" i="8"/>
  <c r="X179" i="14"/>
  <c r="N1458" i="8"/>
  <c r="N179" i="14"/>
  <c r="Q812" i="8"/>
  <c r="Q813" i="8" s="1"/>
  <c r="O796" i="8"/>
  <c r="O797" i="8" s="1"/>
  <c r="N17" i="14"/>
  <c r="AE20" i="14"/>
  <c r="AA24" i="14"/>
  <c r="AC1458" i="8"/>
  <c r="AC179" i="14"/>
  <c r="L19" i="14"/>
  <c r="Z19" i="14"/>
  <c r="M19" i="14"/>
  <c r="AA19" i="14"/>
  <c r="N19" i="14"/>
  <c r="AB19" i="14"/>
  <c r="O19" i="14"/>
  <c r="AC19" i="14"/>
  <c r="P19" i="14"/>
  <c r="AD19" i="14"/>
  <c r="Q19" i="14"/>
  <c r="AE19" i="14"/>
  <c r="R19" i="14"/>
  <c r="S19" i="14"/>
  <c r="T19" i="14"/>
  <c r="U19" i="14"/>
  <c r="V19" i="14"/>
  <c r="W19" i="14"/>
  <c r="X19" i="14"/>
  <c r="Y19" i="14"/>
  <c r="N1180" i="8"/>
  <c r="N1181" i="8" s="1"/>
  <c r="N209" i="14"/>
  <c r="O1204" i="8"/>
  <c r="O1205" i="8" s="1"/>
  <c r="M1176" i="8"/>
  <c r="M1177" i="8" s="1"/>
  <c r="M208" i="14"/>
  <c r="W17" i="14"/>
  <c r="AA17" i="14"/>
  <c r="P796" i="8"/>
  <c r="P797" i="8" s="1"/>
  <c r="N792" i="8"/>
  <c r="N793" i="8" s="1"/>
  <c r="AB303" i="2"/>
  <c r="AB676" i="8" s="1"/>
  <c r="AB677" i="8" s="1"/>
  <c r="L21" i="14"/>
  <c r="Z21" i="14"/>
  <c r="M21" i="14"/>
  <c r="AA21" i="14"/>
  <c r="N21" i="14"/>
  <c r="AB21" i="14"/>
  <c r="O21" i="14"/>
  <c r="AC21" i="14"/>
  <c r="P21" i="14"/>
  <c r="AD21" i="14"/>
  <c r="Q21" i="14"/>
  <c r="AE21" i="14"/>
  <c r="R21" i="14"/>
  <c r="S21" i="14"/>
  <c r="T21" i="14"/>
  <c r="U21" i="14"/>
  <c r="V21" i="14"/>
  <c r="W21" i="14"/>
  <c r="X21" i="14"/>
  <c r="Y21" i="14"/>
  <c r="N808" i="8"/>
  <c r="N809" i="8" s="1"/>
  <c r="N800" i="8"/>
  <c r="N801" i="8" s="1"/>
  <c r="P812" i="8"/>
  <c r="P813" i="8" s="1"/>
  <c r="V17" i="14"/>
  <c r="L992" i="8"/>
  <c r="L993" i="8" s="1"/>
  <c r="M808" i="8"/>
  <c r="M809" i="8" s="1"/>
  <c r="N812" i="8"/>
  <c r="N813" i="8" s="1"/>
  <c r="M1156" i="8"/>
  <c r="M1157" i="8" s="1"/>
  <c r="M203" i="14"/>
  <c r="AA1458" i="8"/>
  <c r="AA179" i="14"/>
  <c r="N1216" i="8"/>
  <c r="N1217" i="8" s="1"/>
  <c r="T17" i="14"/>
  <c r="U1458" i="8"/>
  <c r="U179" i="14"/>
  <c r="M1152" i="8"/>
  <c r="M1153" i="8" s="1"/>
  <c r="Z1458" i="8"/>
  <c r="Z179" i="14"/>
  <c r="Q776" i="8"/>
  <c r="Q777" i="8" s="1"/>
  <c r="Q42" i="14"/>
  <c r="S17" i="14"/>
  <c r="Z20" i="14"/>
  <c r="R24" i="14"/>
  <c r="V20" i="14"/>
  <c r="S304" i="2"/>
  <c r="S680" i="8" s="1"/>
  <c r="S681" i="8" s="1"/>
  <c r="S22" i="14"/>
  <c r="T22" i="14"/>
  <c r="U22" i="14"/>
  <c r="V22" i="14"/>
  <c r="W22" i="14"/>
  <c r="X22" i="14"/>
  <c r="Y22" i="14"/>
  <c r="L22" i="14"/>
  <c r="Z22" i="14"/>
  <c r="M22" i="14"/>
  <c r="AA22" i="14"/>
  <c r="N22" i="14"/>
  <c r="AB22" i="14"/>
  <c r="O22" i="14"/>
  <c r="AC22" i="14"/>
  <c r="P22" i="14"/>
  <c r="AD22" i="14"/>
  <c r="Q22" i="14"/>
  <c r="AE22" i="14"/>
  <c r="R22" i="14"/>
  <c r="M1458" i="8"/>
  <c r="M179" i="14"/>
  <c r="Y300" i="2"/>
  <c r="Y664" i="8" s="1"/>
  <c r="Y665" i="8" s="1"/>
  <c r="S18" i="14"/>
  <c r="T18" i="14"/>
  <c r="U18" i="14"/>
  <c r="V18" i="14"/>
  <c r="W18" i="14"/>
  <c r="X18" i="14"/>
  <c r="Y18" i="14"/>
  <c r="L18" i="14"/>
  <c r="Z18" i="14"/>
  <c r="M18" i="14"/>
  <c r="AA18" i="14"/>
  <c r="N18" i="14"/>
  <c r="AB18" i="14"/>
  <c r="O18" i="14"/>
  <c r="AC18" i="14"/>
  <c r="P18" i="14"/>
  <c r="AD18" i="14"/>
  <c r="Q18" i="14"/>
  <c r="AE18" i="14"/>
  <c r="R18" i="14"/>
  <c r="O1208" i="8"/>
  <c r="O1209" i="8" s="1"/>
  <c r="AE24" i="14"/>
  <c r="W24" i="14"/>
  <c r="L1156" i="8"/>
  <c r="L1157" i="8" s="1"/>
  <c r="L203" i="14"/>
  <c r="P740" i="2"/>
  <c r="P1188" i="8" s="1"/>
  <c r="P1189" i="8" s="1"/>
  <c r="L1458" i="8"/>
  <c r="L179" i="14"/>
  <c r="O764" i="8"/>
  <c r="O765" i="8" s="1"/>
  <c r="O39" i="14"/>
  <c r="N1188" i="8"/>
  <c r="N1189" i="8" s="1"/>
  <c r="Y20" i="14"/>
  <c r="Q24" i="14"/>
  <c r="T20" i="14"/>
  <c r="N1208" i="8"/>
  <c r="N1209" i="8" s="1"/>
  <c r="O1458" i="8"/>
  <c r="O179" i="14"/>
  <c r="Y1458" i="8"/>
  <c r="Y179" i="14"/>
  <c r="Q1458" i="8"/>
  <c r="Q179" i="14"/>
  <c r="P1180" i="8"/>
  <c r="P1181" i="8" s="1"/>
  <c r="P209" i="14"/>
  <c r="M784" i="8"/>
  <c r="M785" i="8" s="1"/>
  <c r="M44" i="14"/>
  <c r="N357" i="2"/>
  <c r="N848" i="8" s="1"/>
  <c r="N849" i="8" s="1"/>
  <c r="N42" i="14"/>
  <c r="M1192" i="8"/>
  <c r="M1193" i="8" s="1"/>
  <c r="AD24" i="14"/>
  <c r="V1458" i="8"/>
  <c r="V179" i="14"/>
  <c r="N796" i="8"/>
  <c r="N797" i="8" s="1"/>
  <c r="O1152" i="8"/>
  <c r="O1153" i="8" s="1"/>
  <c r="O202" i="14"/>
  <c r="AD1458" i="8"/>
  <c r="AD179" i="14"/>
  <c r="M776" i="8"/>
  <c r="M777" i="8" s="1"/>
  <c r="M42" i="14"/>
  <c r="P357" i="2"/>
  <c r="P848" i="8" s="1"/>
  <c r="P849" i="8" s="1"/>
  <c r="P42" i="14"/>
  <c r="M812" i="8"/>
  <c r="M813" i="8" s="1"/>
  <c r="L1188" i="8"/>
  <c r="L1189" i="8" s="1"/>
  <c r="AD17" i="14"/>
  <c r="X20" i="14"/>
  <c r="P24" i="14"/>
  <c r="S20" i="14"/>
  <c r="R305" i="2"/>
  <c r="R684" i="8" s="1"/>
  <c r="R685" i="8" s="1"/>
  <c r="L23" i="14"/>
  <c r="Z23" i="14"/>
  <c r="M23" i="14"/>
  <c r="AA23" i="14"/>
  <c r="N23" i="14"/>
  <c r="AB23" i="14"/>
  <c r="O23" i="14"/>
  <c r="AC23" i="14"/>
  <c r="P23" i="14"/>
  <c r="AD23" i="14"/>
  <c r="Q23" i="14"/>
  <c r="AE23" i="14"/>
  <c r="R23" i="14"/>
  <c r="S23" i="14"/>
  <c r="T23" i="14"/>
  <c r="U23" i="14"/>
  <c r="V23" i="14"/>
  <c r="W23" i="14"/>
  <c r="X23" i="14"/>
  <c r="Y23" i="14"/>
  <c r="W1458" i="8"/>
  <c r="W179" i="14"/>
  <c r="P1458" i="8"/>
  <c r="P179" i="14"/>
  <c r="L1192" i="8"/>
  <c r="L1193" i="8" s="1"/>
  <c r="O812" i="8"/>
  <c r="O813" i="8" s="1"/>
  <c r="N784" i="8"/>
  <c r="N785" i="8" s="1"/>
  <c r="N44" i="14"/>
  <c r="N1192" i="8"/>
  <c r="N1193" i="8" s="1"/>
  <c r="U20" i="14"/>
  <c r="P17" i="14"/>
  <c r="W89" i="2"/>
  <c r="AB351" i="8"/>
  <c r="AB352" i="8" s="1"/>
  <c r="Q379" i="8"/>
  <c r="Q380" i="8" s="1"/>
  <c r="P776" i="8"/>
  <c r="P777" i="8" s="1"/>
  <c r="AA423" i="8"/>
  <c r="AA424" i="8" s="1"/>
  <c r="K32" i="2"/>
  <c r="AD149" i="2"/>
  <c r="W94" i="2"/>
  <c r="AE411" i="8"/>
  <c r="AE412" i="8" s="1"/>
  <c r="AB379" i="8"/>
  <c r="AB380" i="8" s="1"/>
  <c r="V343" i="8"/>
  <c r="V344" i="8" s="1"/>
  <c r="M411" i="8"/>
  <c r="M412" i="8" s="1"/>
  <c r="K427" i="8"/>
  <c r="N363" i="8"/>
  <c r="N364" i="8" s="1"/>
  <c r="AB94" i="2"/>
  <c r="S362" i="2"/>
  <c r="S391" i="2" s="1"/>
  <c r="N776" i="8"/>
  <c r="N777" i="8" s="1"/>
  <c r="AB427" i="8"/>
  <c r="AB428" i="8" s="1"/>
  <c r="K92" i="2"/>
  <c r="Q395" i="8"/>
  <c r="Q396" i="8" s="1"/>
  <c r="K207" i="2"/>
  <c r="P35" i="2"/>
  <c r="W423" i="8"/>
  <c r="W424" i="8" s="1"/>
  <c r="Z407" i="8"/>
  <c r="Z408" i="8" s="1"/>
  <c r="AB208" i="2"/>
  <c r="T90" i="2"/>
  <c r="O415" i="8"/>
  <c r="O416" i="8" s="1"/>
  <c r="V34" i="2"/>
  <c r="AC29" i="2"/>
  <c r="W214" i="2"/>
  <c r="AA207" i="2"/>
  <c r="M335" i="8"/>
  <c r="M336" i="8" s="1"/>
  <c r="Z153" i="2"/>
  <c r="AD152" i="2"/>
  <c r="AB27" i="2"/>
  <c r="T210" i="2"/>
  <c r="M660" i="8"/>
  <c r="M661" i="8" s="1"/>
  <c r="AB35" i="2"/>
  <c r="AD30" i="2"/>
  <c r="Y91" i="2"/>
  <c r="AB411" i="8"/>
  <c r="AB412" i="8" s="1"/>
  <c r="AE91" i="2"/>
  <c r="Z431" i="8"/>
  <c r="Z432" i="8" s="1"/>
  <c r="P149" i="2"/>
  <c r="M331" i="8"/>
  <c r="M332" i="8" s="1"/>
  <c r="Y371" i="8"/>
  <c r="Y372" i="8" s="1"/>
  <c r="P155" i="2"/>
  <c r="W29" i="2"/>
  <c r="R155" i="2"/>
  <c r="Q303" i="8"/>
  <c r="Q304" i="8" s="1"/>
  <c r="Y431" i="8"/>
  <c r="Y432" i="8" s="1"/>
  <c r="X215" i="2"/>
  <c r="R660" i="8"/>
  <c r="R661" i="8" s="1"/>
  <c r="AD367" i="8"/>
  <c r="AD368" i="8" s="1"/>
  <c r="W34" i="2"/>
  <c r="Y211" i="2"/>
  <c r="AC367" i="8"/>
  <c r="AC368" i="8" s="1"/>
  <c r="AC151" i="2"/>
  <c r="AD90" i="2"/>
  <c r="U688" i="8"/>
  <c r="U689" i="8" s="1"/>
  <c r="O427" i="8"/>
  <c r="O428" i="8" s="1"/>
  <c r="AE212" i="2"/>
  <c r="P411" i="8"/>
  <c r="P412" i="8" s="1"/>
  <c r="X94" i="2"/>
  <c r="Q375" i="8"/>
  <c r="Q376" i="8" s="1"/>
  <c r="X147" i="2"/>
  <c r="AB147" i="2"/>
  <c r="T363" i="8"/>
  <c r="T364" i="8" s="1"/>
  <c r="L351" i="8"/>
  <c r="L352" i="8" s="1"/>
  <c r="AE214" i="2"/>
  <c r="N87" i="2"/>
  <c r="AC359" i="8"/>
  <c r="AC360" i="8" s="1"/>
  <c r="AB315" i="8"/>
  <c r="AB316" i="8" s="1"/>
  <c r="AD295" i="8"/>
  <c r="AD296" i="8" s="1"/>
  <c r="L411" i="8"/>
  <c r="L412" i="8" s="1"/>
  <c r="Z210" i="2"/>
  <c r="P147" i="2"/>
  <c r="AC33" i="2"/>
  <c r="T89" i="2"/>
  <c r="P387" i="8"/>
  <c r="P388" i="8" s="1"/>
  <c r="Z688" i="8"/>
  <c r="Z689" i="8" s="1"/>
  <c r="P395" i="8"/>
  <c r="P396" i="8" s="1"/>
  <c r="AD34" i="2"/>
  <c r="Q147" i="2"/>
  <c r="M93" i="2"/>
  <c r="M89" i="2"/>
  <c r="L375" i="8"/>
  <c r="L376" i="8" s="1"/>
  <c r="V151" i="2"/>
  <c r="P660" i="8"/>
  <c r="P661" i="8" s="1"/>
  <c r="AE30" i="2"/>
  <c r="AD95" i="2"/>
  <c r="P391" i="8"/>
  <c r="P392" i="8" s="1"/>
  <c r="V423" i="8"/>
  <c r="V424" i="8" s="1"/>
  <c r="O407" i="8"/>
  <c r="O408" i="8" s="1"/>
  <c r="L152" i="2"/>
  <c r="AD211" i="2"/>
  <c r="AD688" i="8"/>
  <c r="AD689" i="8" s="1"/>
  <c r="Q688" i="8"/>
  <c r="Q689" i="8" s="1"/>
  <c r="X148" i="2"/>
  <c r="V87" i="2"/>
  <c r="U91" i="2"/>
  <c r="O89" i="2"/>
  <c r="T92" i="2"/>
  <c r="U88" i="2"/>
  <c r="Y90" i="2"/>
  <c r="N89" i="2"/>
  <c r="W88" i="2"/>
  <c r="N375" i="8"/>
  <c r="N376" i="8" s="1"/>
  <c r="AC88" i="2"/>
  <c r="K327" i="8"/>
  <c r="U419" i="8"/>
  <c r="U420" i="8" s="1"/>
  <c r="W28" i="2"/>
  <c r="V208" i="2"/>
  <c r="P407" i="8"/>
  <c r="P408" i="8" s="1"/>
  <c r="Y35" i="2"/>
  <c r="R391" i="8"/>
  <c r="R392" i="8" s="1"/>
  <c r="N403" i="8"/>
  <c r="N404" i="8" s="1"/>
  <c r="T208" i="2"/>
  <c r="AD391" i="8"/>
  <c r="AD392" i="8" s="1"/>
  <c r="AD151" i="2"/>
  <c r="T323" i="8"/>
  <c r="T324" i="8" s="1"/>
  <c r="AD339" i="8"/>
  <c r="AD340" i="8" s="1"/>
  <c r="AC427" i="8"/>
  <c r="AC428" i="8" s="1"/>
  <c r="N29" i="2"/>
  <c r="Y213" i="2"/>
  <c r="X152" i="2"/>
  <c r="L315" i="8"/>
  <c r="L316" i="8" s="1"/>
  <c r="Z29" i="2"/>
  <c r="Y207" i="2"/>
  <c r="N387" i="8"/>
  <c r="N388" i="8" s="1"/>
  <c r="V363" i="8"/>
  <c r="V364" i="8" s="1"/>
  <c r="Q391" i="8"/>
  <c r="Q392" i="8" s="1"/>
  <c r="Y89" i="2"/>
  <c r="R415" i="8"/>
  <c r="R416" i="8" s="1"/>
  <c r="L212" i="2"/>
  <c r="O343" i="8"/>
  <c r="O344" i="8" s="1"/>
  <c r="M95" i="2"/>
  <c r="AE415" i="8"/>
  <c r="AE416" i="8" s="1"/>
  <c r="X154" i="2"/>
  <c r="AA435" i="8"/>
  <c r="AA436" i="8" s="1"/>
  <c r="X212" i="2"/>
  <c r="AA315" i="8"/>
  <c r="AA316" i="8" s="1"/>
  <c r="AA688" i="8"/>
  <c r="AA689" i="8" s="1"/>
  <c r="L688" i="8"/>
  <c r="L689" i="8" s="1"/>
  <c r="S30" i="2"/>
  <c r="L88" i="2"/>
  <c r="X375" i="8"/>
  <c r="X376" i="8" s="1"/>
  <c r="AD210" i="2"/>
  <c r="AE213" i="2"/>
  <c r="AD208" i="2"/>
  <c r="O419" i="8"/>
  <c r="O420" i="8" s="1"/>
  <c r="V88" i="2"/>
  <c r="AC379" i="8"/>
  <c r="AC380" i="8" s="1"/>
  <c r="X688" i="8"/>
  <c r="X689" i="8" s="1"/>
  <c r="AC688" i="8"/>
  <c r="AC689" i="8" s="1"/>
  <c r="L407" i="8"/>
  <c r="L408" i="8" s="1"/>
  <c r="AC89" i="2"/>
  <c r="AE32" i="2"/>
  <c r="AE148" i="2"/>
  <c r="Y154" i="2"/>
  <c r="Z155" i="2"/>
  <c r="AB660" i="8"/>
  <c r="AB661" i="8" s="1"/>
  <c r="AE672" i="8"/>
  <c r="AE673" i="8" s="1"/>
  <c r="AB93" i="2"/>
  <c r="P688" i="8"/>
  <c r="P689" i="8" s="1"/>
  <c r="X209" i="2"/>
  <c r="Q660" i="8"/>
  <c r="Q661" i="8" s="1"/>
  <c r="AB87" i="2"/>
  <c r="AE660" i="8"/>
  <c r="AE661" i="8" s="1"/>
  <c r="W415" i="8"/>
  <c r="W416" i="8" s="1"/>
  <c r="AA295" i="8"/>
  <c r="AA296" i="8" s="1"/>
  <c r="Z151" i="2"/>
  <c r="V435" i="8"/>
  <c r="V436" i="8" s="1"/>
  <c r="N415" i="8"/>
  <c r="N416" i="8" s="1"/>
  <c r="N27" i="2"/>
  <c r="AC148" i="2"/>
  <c r="Y208" i="2"/>
  <c r="V395" i="8"/>
  <c r="V396" i="8" s="1"/>
  <c r="Z30" i="2"/>
  <c r="W311" i="8"/>
  <c r="W312" i="8" s="1"/>
  <c r="AB383" i="8"/>
  <c r="AB384" i="8" s="1"/>
  <c r="AB152" i="2"/>
  <c r="AA660" i="8"/>
  <c r="AA661" i="8" s="1"/>
  <c r="L27" i="2"/>
  <c r="N35" i="2"/>
  <c r="N355" i="8"/>
  <c r="N356" i="8" s="1"/>
  <c r="AB215" i="2"/>
  <c r="Z207" i="2"/>
  <c r="Z213" i="2"/>
  <c r="S28" i="2"/>
  <c r="T411" i="8"/>
  <c r="T412" i="8" s="1"/>
  <c r="M351" i="8"/>
  <c r="M352" i="8" s="1"/>
  <c r="V29" i="2"/>
  <c r="Q33" i="2"/>
  <c r="AC395" i="8"/>
  <c r="AC396" i="8" s="1"/>
  <c r="AC355" i="8"/>
  <c r="AC356" i="8" s="1"/>
  <c r="Q435" i="8"/>
  <c r="Q436" i="8" s="1"/>
  <c r="S209" i="2"/>
  <c r="Y30" i="2"/>
  <c r="AB688" i="8"/>
  <c r="AB689" i="8" s="1"/>
  <c r="Y34" i="2"/>
  <c r="S660" i="8"/>
  <c r="S661" i="8" s="1"/>
  <c r="AE29" i="2"/>
  <c r="W688" i="8"/>
  <c r="W689" i="8" s="1"/>
  <c r="AA93" i="2"/>
  <c r="U215" i="2"/>
  <c r="AD213" i="2"/>
  <c r="AC209" i="2"/>
  <c r="N30" i="2"/>
  <c r="N423" i="8"/>
  <c r="N424" i="8" s="1"/>
  <c r="U415" i="8"/>
  <c r="U416" i="8" s="1"/>
  <c r="AB395" i="8"/>
  <c r="AB396" i="8" s="1"/>
  <c r="AB423" i="8"/>
  <c r="AB424" i="8" s="1"/>
  <c r="O33" i="2"/>
  <c r="R93" i="2"/>
  <c r="L29" i="2"/>
  <c r="R92" i="2"/>
  <c r="AB211" i="2"/>
  <c r="T87" i="2"/>
  <c r="L94" i="2"/>
  <c r="N347" i="8"/>
  <c r="N348" i="8" s="1"/>
  <c r="N94" i="2"/>
  <c r="R209" i="2"/>
  <c r="O92" i="2"/>
  <c r="AD207" i="2"/>
  <c r="AC35" i="2"/>
  <c r="V35" i="2"/>
  <c r="AB371" i="8"/>
  <c r="AB372" i="8" s="1"/>
  <c r="S347" i="8"/>
  <c r="S348" i="8" s="1"/>
  <c r="AE211" i="2"/>
  <c r="AA208" i="2"/>
  <c r="O212" i="2"/>
  <c r="M91" i="2"/>
  <c r="AB89" i="2"/>
  <c r="T215" i="2"/>
  <c r="O149" i="2"/>
  <c r="S407" i="8"/>
  <c r="S408" i="8" s="1"/>
  <c r="W427" i="8"/>
  <c r="W428" i="8" s="1"/>
  <c r="AB95" i="2"/>
  <c r="T299" i="8"/>
  <c r="T300" i="8" s="1"/>
  <c r="Z209" i="2"/>
  <c r="P29" i="2"/>
  <c r="V688" i="8"/>
  <c r="V689" i="8" s="1"/>
  <c r="W672" i="8"/>
  <c r="W673" i="8" s="1"/>
  <c r="X151" i="2"/>
  <c r="AA303" i="8"/>
  <c r="AA304" i="8" s="1"/>
  <c r="T672" i="8"/>
  <c r="T673" i="8" s="1"/>
  <c r="O150" i="2"/>
  <c r="AD214" i="2"/>
  <c r="Q213" i="2"/>
  <c r="M323" i="8"/>
  <c r="M324" i="8" s="1"/>
  <c r="AE31" i="2"/>
  <c r="X89" i="2"/>
  <c r="X403" i="8"/>
  <c r="X404" i="8" s="1"/>
  <c r="L35" i="2"/>
  <c r="O347" i="8"/>
  <c r="O348" i="8" s="1"/>
  <c r="R90" i="2"/>
  <c r="O363" i="8"/>
  <c r="O364" i="8" s="1"/>
  <c r="Y92" i="2"/>
  <c r="L660" i="8"/>
  <c r="L661" i="8" s="1"/>
  <c r="AB207" i="2"/>
  <c r="O93" i="2"/>
  <c r="AC375" i="8"/>
  <c r="AC376" i="8" s="1"/>
  <c r="N343" i="8"/>
  <c r="N344" i="8" s="1"/>
  <c r="R214" i="2"/>
  <c r="P423" i="8"/>
  <c r="P424" i="8" s="1"/>
  <c r="Z212" i="2"/>
  <c r="P299" i="8"/>
  <c r="P300" i="8" s="1"/>
  <c r="M415" i="8"/>
  <c r="M416" i="8" s="1"/>
  <c r="AD359" i="8"/>
  <c r="AD360" i="8" s="1"/>
  <c r="AD33" i="2"/>
  <c r="M343" i="8"/>
  <c r="M344" i="8" s="1"/>
  <c r="W90" i="2"/>
  <c r="Y29" i="2"/>
  <c r="AE33" i="2"/>
  <c r="N411" i="8"/>
  <c r="N412" i="8" s="1"/>
  <c r="AC419" i="8"/>
  <c r="AC420" i="8" s="1"/>
  <c r="Y335" i="8"/>
  <c r="Y336" i="8" s="1"/>
  <c r="W315" i="8"/>
  <c r="W316" i="8" s="1"/>
  <c r="Q30" i="2"/>
  <c r="S351" i="8"/>
  <c r="S352" i="8" s="1"/>
  <c r="O35" i="2"/>
  <c r="S431" i="8"/>
  <c r="S432" i="8" s="1"/>
  <c r="AE153" i="2"/>
  <c r="AA327" i="8"/>
  <c r="AA328" i="8" s="1"/>
  <c r="U212" i="2"/>
  <c r="P34" i="2"/>
  <c r="AD371" i="8"/>
  <c r="AD372" i="8" s="1"/>
  <c r="AD215" i="2"/>
  <c r="S688" i="8"/>
  <c r="S689" i="8" s="1"/>
  <c r="V427" i="8"/>
  <c r="V428" i="8" s="1"/>
  <c r="AC387" i="8"/>
  <c r="AC388" i="8" s="1"/>
  <c r="M688" i="8"/>
  <c r="M689" i="8" s="1"/>
  <c r="O214" i="2"/>
  <c r="V93" i="2"/>
  <c r="N379" i="8"/>
  <c r="N380" i="8" s="1"/>
  <c r="AE327" i="8"/>
  <c r="AE328" i="8" s="1"/>
  <c r="V660" i="8"/>
  <c r="V661" i="8" s="1"/>
  <c r="L347" i="8"/>
  <c r="L348" i="8" s="1"/>
  <c r="Y93" i="2"/>
  <c r="T355" i="8"/>
  <c r="T356" i="8" s="1"/>
  <c r="Y363" i="8"/>
  <c r="Y364" i="8" s="1"/>
  <c r="S34" i="2"/>
  <c r="R423" i="8"/>
  <c r="R424" i="8" s="1"/>
  <c r="AD92" i="2"/>
  <c r="V307" i="8"/>
  <c r="V308" i="8" s="1"/>
  <c r="AE403" i="8"/>
  <c r="AE404" i="8" s="1"/>
  <c r="P151" i="2"/>
  <c r="W91" i="2"/>
  <c r="R427" i="8"/>
  <c r="R428" i="8" s="1"/>
  <c r="R435" i="8"/>
  <c r="R436" i="8" s="1"/>
  <c r="P431" i="8"/>
  <c r="P432" i="8" s="1"/>
  <c r="AB153" i="2"/>
  <c r="R95" i="2"/>
  <c r="T660" i="8"/>
  <c r="T661" i="8" s="1"/>
  <c r="T213" i="2"/>
  <c r="Q209" i="2"/>
  <c r="AD212" i="2"/>
  <c r="R89" i="2"/>
  <c r="M431" i="8"/>
  <c r="M432" i="8" s="1"/>
  <c r="Z34" i="2"/>
  <c r="R149" i="2"/>
  <c r="Z147" i="2"/>
  <c r="S435" i="8"/>
  <c r="S436" i="8" s="1"/>
  <c r="O29" i="2"/>
  <c r="Z419" i="8"/>
  <c r="Z420" i="8" s="1"/>
  <c r="AE150" i="2"/>
  <c r="V148" i="2"/>
  <c r="S423" i="8"/>
  <c r="S424" i="8" s="1"/>
  <c r="Y32" i="2"/>
  <c r="Z152" i="2"/>
  <c r="O315" i="8"/>
  <c r="O316" i="8" s="1"/>
  <c r="T211" i="2"/>
  <c r="O688" i="8"/>
  <c r="O689" i="8" s="1"/>
  <c r="AC431" i="8"/>
  <c r="AC432" i="8" s="1"/>
  <c r="N213" i="2"/>
  <c r="V351" i="8"/>
  <c r="V352" i="8" s="1"/>
  <c r="N211" i="2"/>
  <c r="Q399" i="8"/>
  <c r="Q400" i="8" s="1"/>
  <c r="V403" i="8"/>
  <c r="V404" i="8" s="1"/>
  <c r="AD28" i="2"/>
  <c r="Z27" i="2"/>
  <c r="N391" i="8"/>
  <c r="N392" i="8" s="1"/>
  <c r="X391" i="8"/>
  <c r="X392" i="8" s="1"/>
  <c r="L431" i="8"/>
  <c r="L432" i="8" s="1"/>
  <c r="L95" i="2"/>
  <c r="O27" i="2"/>
  <c r="W660" i="8"/>
  <c r="W661" i="8" s="1"/>
  <c r="T431" i="8"/>
  <c r="T432" i="8" s="1"/>
  <c r="O335" i="8"/>
  <c r="O336" i="8" s="1"/>
  <c r="R407" i="8"/>
  <c r="R408" i="8" s="1"/>
  <c r="V27" i="2"/>
  <c r="AD660" i="8"/>
  <c r="AD661" i="8" s="1"/>
  <c r="Y660" i="8"/>
  <c r="Y661" i="8" s="1"/>
  <c r="M27" i="2"/>
  <c r="X35" i="2"/>
  <c r="R87" i="2"/>
  <c r="Q335" i="8"/>
  <c r="Q336" i="8" s="1"/>
  <c r="U660" i="8"/>
  <c r="U661" i="8" s="1"/>
  <c r="AB431" i="8"/>
  <c r="AB432" i="8" s="1"/>
  <c r="L211" i="2"/>
  <c r="AD29" i="2"/>
  <c r="Q151" i="2"/>
  <c r="Q403" i="8"/>
  <c r="Q404" i="8" s="1"/>
  <c r="M407" i="8"/>
  <c r="M408" i="8" s="1"/>
  <c r="S403" i="8"/>
  <c r="S404" i="8" s="1"/>
  <c r="L151" i="2"/>
  <c r="W295" i="8"/>
  <c r="W296" i="8" s="1"/>
  <c r="L395" i="8"/>
  <c r="L396" i="8" s="1"/>
  <c r="U214" i="2"/>
  <c r="L147" i="2"/>
  <c r="Z149" i="2"/>
  <c r="M88" i="2"/>
  <c r="AA307" i="8"/>
  <c r="AA308" i="8" s="1"/>
  <c r="AC660" i="8"/>
  <c r="AC661" i="8" s="1"/>
  <c r="X415" i="8"/>
  <c r="X416" i="8" s="1"/>
  <c r="AD154" i="2"/>
  <c r="AC215" i="2"/>
  <c r="V155" i="2"/>
  <c r="AD93" i="2"/>
  <c r="V94" i="2"/>
  <c r="O87" i="2"/>
  <c r="S32" i="2"/>
  <c r="T423" i="8"/>
  <c r="T424" i="8" s="1"/>
  <c r="AD399" i="8"/>
  <c r="AD400" i="8" s="1"/>
  <c r="Y87" i="2"/>
  <c r="L34" i="2"/>
  <c r="L319" i="8"/>
  <c r="L320" i="8" s="1"/>
  <c r="AB299" i="8"/>
  <c r="AB300" i="8" s="1"/>
  <c r="P210" i="2"/>
  <c r="W87" i="2"/>
  <c r="Z660" i="8"/>
  <c r="Z661" i="8" s="1"/>
  <c r="M212" i="2"/>
  <c r="O359" i="8"/>
  <c r="O360" i="8" s="1"/>
  <c r="M30" i="2"/>
  <c r="Y215" i="2"/>
  <c r="X87" i="2"/>
  <c r="M33" i="2"/>
  <c r="R151" i="2"/>
  <c r="O660" i="8"/>
  <c r="O661" i="8" s="1"/>
  <c r="W664" i="8"/>
  <c r="W665" i="8" s="1"/>
  <c r="AE299" i="8"/>
  <c r="AE300" i="8" s="1"/>
  <c r="W211" i="2"/>
  <c r="N215" i="2"/>
  <c r="AD87" i="2"/>
  <c r="Y688" i="8"/>
  <c r="Y689" i="8" s="1"/>
  <c r="Y411" i="8"/>
  <c r="Y412" i="8" s="1"/>
  <c r="R688" i="8"/>
  <c r="R689" i="8" s="1"/>
  <c r="AC212" i="2"/>
  <c r="U90" i="2"/>
  <c r="T91" i="2"/>
  <c r="L427" i="8"/>
  <c r="L428" i="8" s="1"/>
  <c r="M208" i="2"/>
  <c r="W319" i="8"/>
  <c r="W320" i="8" s="1"/>
  <c r="AC295" i="8"/>
  <c r="AC296" i="8" s="1"/>
  <c r="S427" i="8"/>
  <c r="S428" i="8" s="1"/>
  <c r="Z363" i="8"/>
  <c r="Z364" i="8" s="1"/>
  <c r="R150" i="2"/>
  <c r="P30" i="2"/>
  <c r="AD379" i="8"/>
  <c r="AD380" i="8" s="1"/>
  <c r="W215" i="2"/>
  <c r="L415" i="8"/>
  <c r="L416" i="8" s="1"/>
  <c r="AE688" i="8"/>
  <c r="AE689" i="8" s="1"/>
  <c r="N660" i="8"/>
  <c r="N661" i="8" s="1"/>
  <c r="AE34" i="2"/>
  <c r="O207" i="2"/>
  <c r="X31" i="2"/>
  <c r="Q212" i="2"/>
  <c r="AE399" i="8"/>
  <c r="AE400" i="8" s="1"/>
  <c r="N34" i="2"/>
  <c r="M29" i="2"/>
  <c r="O323" i="8"/>
  <c r="O324" i="8" s="1"/>
  <c r="AB210" i="2"/>
  <c r="O307" i="8"/>
  <c r="O308" i="8" s="1"/>
  <c r="N395" i="8"/>
  <c r="N396" i="8" s="1"/>
  <c r="N688" i="8"/>
  <c r="N689" i="8" s="1"/>
  <c r="AA299" i="8"/>
  <c r="AA300" i="8" s="1"/>
  <c r="P427" i="8"/>
  <c r="P428" i="8" s="1"/>
  <c r="L343" i="8"/>
  <c r="L344" i="8" s="1"/>
  <c r="L87" i="2"/>
  <c r="L339" i="8"/>
  <c r="L340" i="8" s="1"/>
  <c r="AD88" i="2"/>
  <c r="P150" i="2"/>
  <c r="M32" i="2"/>
  <c r="X90" i="2"/>
  <c r="Q34" i="2"/>
  <c r="R91" i="2"/>
  <c r="R211" i="2"/>
  <c r="N88" i="2"/>
  <c r="AE208" i="2"/>
  <c r="U351" i="8"/>
  <c r="U352" i="8" s="1"/>
  <c r="U407" i="8"/>
  <c r="U408" i="8" s="1"/>
  <c r="W351" i="8"/>
  <c r="W352" i="8" s="1"/>
  <c r="AC93" i="2"/>
  <c r="W92" i="2"/>
  <c r="AE154" i="2"/>
  <c r="AE147" i="2"/>
  <c r="M419" i="8"/>
  <c r="M420" i="8" s="1"/>
  <c r="V210" i="2"/>
  <c r="X29" i="2"/>
  <c r="W30" i="2"/>
  <c r="AA319" i="8"/>
  <c r="AA320" i="8" s="1"/>
  <c r="T27" i="2"/>
  <c r="P419" i="8"/>
  <c r="P420" i="8" s="1"/>
  <c r="AD209" i="2"/>
  <c r="M427" i="8"/>
  <c r="M428" i="8" s="1"/>
  <c r="T307" i="8"/>
  <c r="T308" i="8" s="1"/>
  <c r="N311" i="8"/>
  <c r="N312" i="8" s="1"/>
  <c r="AA311" i="8"/>
  <c r="AA312" i="8" s="1"/>
  <c r="X30" i="2"/>
  <c r="AD347" i="8"/>
  <c r="AD348" i="8" s="1"/>
  <c r="N208" i="2"/>
  <c r="S415" i="8"/>
  <c r="S416" i="8" s="1"/>
  <c r="L311" i="8"/>
  <c r="L312" i="8" s="1"/>
  <c r="V89" i="2"/>
  <c r="P315" i="8"/>
  <c r="P316" i="8" s="1"/>
  <c r="AC155" i="2"/>
  <c r="R335" i="8"/>
  <c r="R336" i="8" s="1"/>
  <c r="N147" i="2"/>
  <c r="U87" i="2"/>
  <c r="Q419" i="8"/>
  <c r="Q420" i="8" s="1"/>
  <c r="U339" i="8"/>
  <c r="U340" i="8" s="1"/>
  <c r="X660" i="8"/>
  <c r="X661" i="8" s="1"/>
  <c r="T359" i="8"/>
  <c r="T360" i="8" s="1"/>
  <c r="Q387" i="8"/>
  <c r="Q388" i="8" s="1"/>
  <c r="Q371" i="8"/>
  <c r="Q372" i="8" s="1"/>
  <c r="M435" i="8"/>
  <c r="M436" i="8" s="1"/>
  <c r="N92" i="2"/>
  <c r="X431" i="8"/>
  <c r="X432" i="8" s="1"/>
  <c r="P215" i="2"/>
  <c r="W209" i="2"/>
  <c r="M359" i="8"/>
  <c r="M360" i="8" s="1"/>
  <c r="W207" i="2"/>
  <c r="Q87" i="2"/>
  <c r="Z435" i="8"/>
  <c r="Z436" i="8" s="1"/>
  <c r="W35" i="2"/>
  <c r="AC307" i="8"/>
  <c r="AC308" i="8" s="1"/>
  <c r="Y367" i="8"/>
  <c r="Y368" i="8" s="1"/>
  <c r="T207" i="2"/>
  <c r="AA34" i="2"/>
  <c r="U209" i="2"/>
  <c r="U207" i="2"/>
  <c r="W208" i="2"/>
  <c r="V28" i="2"/>
  <c r="T29" i="2"/>
  <c r="V91" i="2"/>
  <c r="AA427" i="8"/>
  <c r="AA428" i="8" s="1"/>
  <c r="O209" i="2"/>
  <c r="S419" i="8"/>
  <c r="S420" i="8" s="1"/>
  <c r="O299" i="8"/>
  <c r="O300" i="8" s="1"/>
  <c r="AA147" i="2"/>
  <c r="AC403" i="8"/>
  <c r="AC404" i="8" s="1"/>
  <c r="X150" i="2"/>
  <c r="AA419" i="8"/>
  <c r="AA420" i="8" s="1"/>
  <c r="M35" i="2"/>
  <c r="T688" i="8"/>
  <c r="T689" i="8" s="1"/>
  <c r="M403" i="8"/>
  <c r="M404" i="8" s="1"/>
  <c r="L30" i="2"/>
  <c r="L355" i="8"/>
  <c r="L356" i="8" s="1"/>
  <c r="V150" i="2"/>
  <c r="W355" i="8"/>
  <c r="W356" i="8" s="1"/>
  <c r="U93" i="2"/>
  <c r="P207" i="2"/>
  <c r="L435" i="8"/>
  <c r="L436" i="8" s="1"/>
  <c r="AC34" i="2"/>
  <c r="AA95" i="2"/>
  <c r="X363" i="8"/>
  <c r="X364" i="8" s="1"/>
  <c r="R94" i="2"/>
  <c r="M94" i="2"/>
  <c r="AA29" i="2"/>
  <c r="M215" i="2"/>
  <c r="O856" i="8"/>
  <c r="O857" i="8" s="1"/>
  <c r="Q331" i="2"/>
  <c r="R277" i="2"/>
  <c r="R600" i="8" s="1"/>
  <c r="R601" i="8" s="1"/>
  <c r="P403" i="8"/>
  <c r="P404" i="8" s="1"/>
  <c r="Q342" i="2"/>
  <c r="R359" i="8"/>
  <c r="R360" i="8" s="1"/>
  <c r="P367" i="8"/>
  <c r="P368" i="8" s="1"/>
  <c r="O379" i="8"/>
  <c r="O380" i="8" s="1"/>
  <c r="AD323" i="8"/>
  <c r="AD324" i="8" s="1"/>
  <c r="M87" i="2"/>
  <c r="L295" i="8"/>
  <c r="L296" i="8" s="1"/>
  <c r="M363" i="8"/>
  <c r="M364" i="8" s="1"/>
  <c r="L209" i="2"/>
  <c r="Z303" i="8"/>
  <c r="Z304" i="8" s="1"/>
  <c r="S300" i="2"/>
  <c r="AB209" i="2"/>
  <c r="AD411" i="8"/>
  <c r="AD412" i="8" s="1"/>
  <c r="AC319" i="8"/>
  <c r="AC320" i="8" s="1"/>
  <c r="V323" i="8"/>
  <c r="V324" i="8" s="1"/>
  <c r="N152" i="2"/>
  <c r="M339" i="8"/>
  <c r="M340" i="8" s="1"/>
  <c r="P154" i="2"/>
  <c r="Y403" i="8"/>
  <c r="Y404" i="8" s="1"/>
  <c r="O94" i="2"/>
  <c r="X95" i="2"/>
  <c r="K27" i="2"/>
  <c r="K415" i="8"/>
  <c r="X395" i="8"/>
  <c r="X396" i="8" s="1"/>
  <c r="L215" i="2"/>
  <c r="AA31" i="2"/>
  <c r="M355" i="8"/>
  <c r="M356" i="8" s="1"/>
  <c r="AI47" i="10"/>
  <c r="AD415" i="8"/>
  <c r="AD416" i="8" s="1"/>
  <c r="AE319" i="8"/>
  <c r="AE320" i="8" s="1"/>
  <c r="W403" i="8"/>
  <c r="W404" i="8" s="1"/>
  <c r="P152" i="2"/>
  <c r="AA271" i="2"/>
  <c r="Z403" i="8"/>
  <c r="Z404" i="8" s="1"/>
  <c r="T339" i="8"/>
  <c r="T340" i="8" s="1"/>
  <c r="Z300" i="2"/>
  <c r="O295" i="8"/>
  <c r="O296" i="8" s="1"/>
  <c r="R215" i="2"/>
  <c r="AC399" i="8"/>
  <c r="AC400" i="8" s="1"/>
  <c r="U304" i="2"/>
  <c r="AC435" i="8"/>
  <c r="AC436" i="8" s="1"/>
  <c r="X207" i="2"/>
  <c r="W407" i="8"/>
  <c r="W408" i="8" s="1"/>
  <c r="N748" i="2"/>
  <c r="N1220" i="8" s="1"/>
  <c r="N1221" i="8" s="1"/>
  <c r="M347" i="8"/>
  <c r="M348" i="8" s="1"/>
  <c r="AA323" i="8"/>
  <c r="AA324" i="8" s="1"/>
  <c r="S91" i="2"/>
  <c r="R431" i="8"/>
  <c r="R432" i="8" s="1"/>
  <c r="O423" i="8"/>
  <c r="O424" i="8" s="1"/>
  <c r="L304" i="2"/>
  <c r="AC149" i="2"/>
  <c r="AA407" i="8"/>
  <c r="AA408" i="8" s="1"/>
  <c r="L307" i="8"/>
  <c r="L308" i="8" s="1"/>
  <c r="W210" i="2"/>
  <c r="P212" i="2"/>
  <c r="V215" i="2"/>
  <c r="AB148" i="2"/>
  <c r="O88" i="2"/>
  <c r="AD319" i="8"/>
  <c r="AD320" i="8" s="1"/>
  <c r="K153" i="2"/>
  <c r="M92" i="2"/>
  <c r="S307" i="8"/>
  <c r="S308" i="8" s="1"/>
  <c r="AD307" i="8"/>
  <c r="AD308" i="8" s="1"/>
  <c r="Y147" i="2"/>
  <c r="AE419" i="8"/>
  <c r="AE420" i="8" s="1"/>
  <c r="AB355" i="8"/>
  <c r="AB356" i="8" s="1"/>
  <c r="U347" i="8"/>
  <c r="U348" i="8" s="1"/>
  <c r="N304" i="2"/>
  <c r="R212" i="2"/>
  <c r="Q383" i="8"/>
  <c r="Q384" i="8" s="1"/>
  <c r="X331" i="8"/>
  <c r="X332" i="8" s="1"/>
  <c r="P399" i="8"/>
  <c r="P400" i="8" s="1"/>
  <c r="AA32" i="2"/>
  <c r="AE210" i="2"/>
  <c r="AA215" i="2"/>
  <c r="T94" i="2"/>
  <c r="AD351" i="8"/>
  <c r="AD352" i="8" s="1"/>
  <c r="R331" i="8"/>
  <c r="R332" i="8" s="1"/>
  <c r="R375" i="8"/>
  <c r="R376" i="8" s="1"/>
  <c r="Q367" i="8"/>
  <c r="Q368" i="8" s="1"/>
  <c r="V92" i="2"/>
  <c r="Q148" i="2"/>
  <c r="AB151" i="2"/>
  <c r="Q152" i="2"/>
  <c r="K411" i="8"/>
  <c r="X311" i="8"/>
  <c r="X312" i="8" s="1"/>
  <c r="S299" i="8"/>
  <c r="S300" i="8" s="1"/>
  <c r="Z307" i="8"/>
  <c r="Z308" i="8" s="1"/>
  <c r="T28" i="2"/>
  <c r="AD423" i="8"/>
  <c r="AD424" i="8" s="1"/>
  <c r="M327" i="8"/>
  <c r="M328" i="8" s="1"/>
  <c r="R88" i="2"/>
  <c r="Q149" i="2"/>
  <c r="N435" i="8"/>
  <c r="N436" i="8" s="1"/>
  <c r="AE427" i="8"/>
  <c r="AE428" i="8" s="1"/>
  <c r="Z411" i="8"/>
  <c r="Z412" i="8" s="1"/>
  <c r="AD303" i="8"/>
  <c r="AD304" i="8" s="1"/>
  <c r="AC339" i="8"/>
  <c r="AC340" i="8" s="1"/>
  <c r="AD94" i="2"/>
  <c r="AC303" i="8"/>
  <c r="AC304" i="8" s="1"/>
  <c r="N91" i="2"/>
  <c r="AA30" i="2"/>
  <c r="V30" i="2"/>
  <c r="X379" i="8"/>
  <c r="X380" i="8" s="1"/>
  <c r="Z415" i="8"/>
  <c r="Z416" i="8" s="1"/>
  <c r="T427" i="8"/>
  <c r="T428" i="8" s="1"/>
  <c r="AA403" i="8"/>
  <c r="AA404" i="8" s="1"/>
  <c r="AB403" i="8"/>
  <c r="AB404" i="8" s="1"/>
  <c r="AB435" i="8"/>
  <c r="AB436" i="8" s="1"/>
  <c r="AB363" i="8"/>
  <c r="AB364" i="8" s="1"/>
  <c r="L208" i="2"/>
  <c r="AC371" i="8"/>
  <c r="AC372" i="8" s="1"/>
  <c r="P375" i="8"/>
  <c r="P376" i="8" s="1"/>
  <c r="U403" i="8"/>
  <c r="U404" i="8" s="1"/>
  <c r="K299" i="8"/>
  <c r="AC335" i="8"/>
  <c r="AC336" i="8" s="1"/>
  <c r="K307" i="8"/>
  <c r="P28" i="2"/>
  <c r="Q155" i="2"/>
  <c r="AD331" i="8"/>
  <c r="AD332" i="8" s="1"/>
  <c r="AE407" i="8"/>
  <c r="AE408" i="8" s="1"/>
  <c r="U92" i="2"/>
  <c r="AD155" i="2"/>
  <c r="Y331" i="8"/>
  <c r="Y332" i="8" s="1"/>
  <c r="M47" i="10"/>
  <c r="M137" i="5" s="1"/>
  <c r="M210" i="2"/>
  <c r="F1474" i="8"/>
  <c r="T212" i="2"/>
  <c r="N419" i="8"/>
  <c r="N420" i="8" s="1"/>
  <c r="AB415" i="8"/>
  <c r="AB416" i="8" s="1"/>
  <c r="R210" i="2"/>
  <c r="X367" i="8"/>
  <c r="X368" i="8" s="1"/>
  <c r="AD150" i="2"/>
  <c r="AD395" i="8"/>
  <c r="AD396" i="8" s="1"/>
  <c r="W411" i="8"/>
  <c r="W412" i="8" s="1"/>
  <c r="AC323" i="8"/>
  <c r="AC324" i="8" s="1"/>
  <c r="N327" i="8"/>
  <c r="N328" i="8" s="1"/>
  <c r="N331" i="8"/>
  <c r="N332" i="8" s="1"/>
  <c r="N207" i="2"/>
  <c r="W331" i="8"/>
  <c r="W332" i="8" s="1"/>
  <c r="R347" i="8"/>
  <c r="R348" i="8" s="1"/>
  <c r="U210" i="2"/>
  <c r="AE28" i="2"/>
  <c r="AE347" i="8"/>
  <c r="AE348" i="8" s="1"/>
  <c r="L214" i="2"/>
  <c r="W431" i="8"/>
  <c r="W432" i="8" s="1"/>
  <c r="T347" i="8"/>
  <c r="T348" i="8" s="1"/>
  <c r="N761" i="2"/>
  <c r="N790" i="2" s="1"/>
  <c r="Q323" i="8"/>
  <c r="Q324" i="8" s="1"/>
  <c r="W307" i="8"/>
  <c r="W308" i="8" s="1"/>
  <c r="U431" i="8"/>
  <c r="U432" i="8" s="1"/>
  <c r="O28" i="2"/>
  <c r="R399" i="8"/>
  <c r="R400" i="8" s="1"/>
  <c r="Q211" i="2"/>
  <c r="AE311" i="8"/>
  <c r="AE312" i="8" s="1"/>
  <c r="W335" i="8"/>
  <c r="W336" i="8" s="1"/>
  <c r="K303" i="8"/>
  <c r="Q29" i="2"/>
  <c r="Q362" i="2"/>
  <c r="Q391" i="2" s="1"/>
  <c r="L616" i="8"/>
  <c r="L617" i="8" s="1"/>
  <c r="Z214" i="2"/>
  <c r="AA363" i="8"/>
  <c r="AA364" i="8" s="1"/>
  <c r="N339" i="8"/>
  <c r="N340" i="8" s="1"/>
  <c r="AD91" i="2"/>
  <c r="Q423" i="8"/>
  <c r="Q424" i="8" s="1"/>
  <c r="L423" i="8"/>
  <c r="L424" i="8" s="1"/>
  <c r="R411" i="8"/>
  <c r="R412" i="8" s="1"/>
  <c r="X304" i="2"/>
  <c r="P435" i="8"/>
  <c r="P436" i="8" s="1"/>
  <c r="V154" i="2"/>
  <c r="L387" i="8"/>
  <c r="L388" i="8" s="1"/>
  <c r="AC94" i="2"/>
  <c r="X214" i="2"/>
  <c r="AB295" i="8"/>
  <c r="AB296" i="8" s="1"/>
  <c r="Y355" i="8"/>
  <c r="Y356" i="8" s="1"/>
  <c r="M761" i="2"/>
  <c r="M790" i="2" s="1"/>
  <c r="L327" i="8"/>
  <c r="L328" i="8" s="1"/>
  <c r="AE207" i="2"/>
  <c r="P213" i="2"/>
  <c r="AC152" i="2"/>
  <c r="AB212" i="2"/>
  <c r="N351" i="8"/>
  <c r="N352" i="8" s="1"/>
  <c r="V347" i="8"/>
  <c r="V348" i="8" s="1"/>
  <c r="T415" i="8"/>
  <c r="T416" i="8" s="1"/>
  <c r="T30" i="2"/>
  <c r="K208" i="2"/>
  <c r="Y95" i="2"/>
  <c r="L28" i="2"/>
  <c r="L299" i="8"/>
  <c r="L300" i="8" s="1"/>
  <c r="Q359" i="8"/>
  <c r="Q360" i="8" s="1"/>
  <c r="Q94" i="2"/>
  <c r="AC391" i="8"/>
  <c r="AC392" i="8" s="1"/>
  <c r="AC153" i="2"/>
  <c r="L207" i="2"/>
  <c r="L403" i="8"/>
  <c r="L404" i="8" s="1"/>
  <c r="U363" i="8"/>
  <c r="U364" i="8" s="1"/>
  <c r="U95" i="2"/>
  <c r="Q431" i="8"/>
  <c r="Q432" i="8" s="1"/>
  <c r="Q214" i="2"/>
  <c r="T335" i="8"/>
  <c r="T336" i="8" s="1"/>
  <c r="T88" i="2"/>
  <c r="W301" i="2"/>
  <c r="S301" i="2"/>
  <c r="K215" i="2"/>
  <c r="K435" i="8"/>
  <c r="R403" i="8"/>
  <c r="R404" i="8" s="1"/>
  <c r="R207" i="2"/>
  <c r="W363" i="8"/>
  <c r="W364" i="8" s="1"/>
  <c r="W95" i="2"/>
  <c r="O311" i="8"/>
  <c r="O312" i="8" s="1"/>
  <c r="O31" i="2"/>
  <c r="L399" i="8"/>
  <c r="L400" i="8" s="1"/>
  <c r="L155" i="2"/>
  <c r="X92" i="2"/>
  <c r="X351" i="8"/>
  <c r="X352" i="8" s="1"/>
  <c r="U359" i="8"/>
  <c r="U360" i="8" s="1"/>
  <c r="U94" i="2"/>
  <c r="X93" i="2"/>
  <c r="X355" i="8"/>
  <c r="X356" i="8" s="1"/>
  <c r="N150" i="2"/>
  <c r="X411" i="8"/>
  <c r="X412" i="8" s="1"/>
  <c r="V295" i="8"/>
  <c r="V296" i="8" s="1"/>
  <c r="W347" i="8"/>
  <c r="W348" i="8" s="1"/>
  <c r="V335" i="8"/>
  <c r="V336" i="8" s="1"/>
  <c r="M423" i="8"/>
  <c r="M424" i="8" s="1"/>
  <c r="L47" i="10"/>
  <c r="L137" i="5" s="1"/>
  <c r="M307" i="8"/>
  <c r="M308" i="8" s="1"/>
  <c r="AC154" i="2"/>
  <c r="Y339" i="8"/>
  <c r="Y340" i="8" s="1"/>
  <c r="Q47" i="10"/>
  <c r="Q137" i="5" s="1"/>
  <c r="Z423" i="8"/>
  <c r="Z424" i="8" s="1"/>
  <c r="AD153" i="2"/>
  <c r="U335" i="8"/>
  <c r="U336" i="8" s="1"/>
  <c r="Z304" i="2"/>
  <c r="Q304" i="2"/>
  <c r="L335" i="2"/>
  <c r="M315" i="8"/>
  <c r="M316" i="8" s="1"/>
  <c r="W213" i="2"/>
  <c r="W93" i="2"/>
  <c r="AB419" i="8"/>
  <c r="AB420" i="8" s="1"/>
  <c r="K419" i="8"/>
  <c r="N367" i="8"/>
  <c r="N368" i="8" s="1"/>
  <c r="AD335" i="8"/>
  <c r="AD336" i="8" s="1"/>
  <c r="Q153" i="2"/>
  <c r="AD299" i="8"/>
  <c r="AD300" i="8" s="1"/>
  <c r="V47" i="10"/>
  <c r="V137" i="5" s="1"/>
  <c r="L1490" i="8"/>
  <c r="L102" i="12"/>
  <c r="L1473" i="8" s="1"/>
  <c r="L1489" i="8"/>
  <c r="L90" i="12"/>
  <c r="L1472" i="8" s="1"/>
  <c r="L51" i="12"/>
  <c r="L78" i="12"/>
  <c r="L1471" i="8" s="1"/>
  <c r="L1488" i="8"/>
  <c r="L27" i="12"/>
  <c r="L39" i="12"/>
  <c r="L15" i="12"/>
  <c r="L1487" i="8"/>
  <c r="L66" i="12"/>
  <c r="T407" i="8"/>
  <c r="T408" i="8" s="1"/>
  <c r="AE423" i="8"/>
  <c r="AE424" i="8" s="1"/>
  <c r="K33" i="2"/>
  <c r="Y327" i="8"/>
  <c r="Y328" i="8" s="1"/>
  <c r="V399" i="8"/>
  <c r="V400" i="8" s="1"/>
  <c r="Z367" i="8"/>
  <c r="Z368" i="8" s="1"/>
  <c r="Q88" i="2"/>
  <c r="N47" i="10"/>
  <c r="N137" i="5" s="1"/>
  <c r="AD27" i="2"/>
  <c r="O95" i="2"/>
  <c r="Q357" i="2"/>
  <c r="Q848" i="8" s="1"/>
  <c r="Q849" i="8" s="1"/>
  <c r="M359" i="2"/>
  <c r="M376" i="2" s="1"/>
  <c r="M908" i="8" s="1"/>
  <c r="M909" i="8" s="1"/>
  <c r="N820" i="8"/>
  <c r="N821" i="8" s="1"/>
  <c r="O90" i="2"/>
  <c r="S213" i="2"/>
  <c r="Z295" i="8"/>
  <c r="Z296" i="8" s="1"/>
  <c r="AB387" i="8"/>
  <c r="AB388" i="8" s="1"/>
  <c r="O91" i="2"/>
  <c r="AB214" i="2"/>
  <c r="X387" i="8"/>
  <c r="X388" i="8" s="1"/>
  <c r="AB1458" i="8"/>
  <c r="N359" i="2"/>
  <c r="N856" i="8" s="1"/>
  <c r="N857" i="8" s="1"/>
  <c r="L305" i="2"/>
  <c r="N1204" i="8"/>
  <c r="N1205" i="8" s="1"/>
  <c r="P259" i="2"/>
  <c r="AD148" i="2"/>
  <c r="AD427" i="8"/>
  <c r="AD428" i="8" s="1"/>
  <c r="S315" i="8"/>
  <c r="S316" i="8" s="1"/>
  <c r="T1458" i="8"/>
  <c r="F1457" i="8"/>
  <c r="T34" i="2"/>
  <c r="AC147" i="2"/>
  <c r="S1458" i="8"/>
  <c r="V213" i="2"/>
  <c r="AE718" i="2"/>
  <c r="R1458" i="8"/>
  <c r="AE391" i="8"/>
  <c r="AE392" i="8" s="1"/>
  <c r="AE1458" i="8"/>
  <c r="N335" i="8"/>
  <c r="N336" i="8" s="1"/>
  <c r="AB407" i="8"/>
  <c r="AB408" i="8" s="1"/>
  <c r="P258" i="2"/>
  <c r="V331" i="8"/>
  <c r="V332" i="8" s="1"/>
  <c r="N407" i="8"/>
  <c r="N408" i="8" s="1"/>
  <c r="L213" i="2"/>
  <c r="Y407" i="8"/>
  <c r="Y408" i="8" s="1"/>
  <c r="O30" i="2"/>
  <c r="U331" i="8"/>
  <c r="U332" i="8" s="1"/>
  <c r="F1449" i="8"/>
  <c r="L331" i="8"/>
  <c r="L332" i="8" s="1"/>
  <c r="U211" i="2"/>
  <c r="L335" i="8"/>
  <c r="L336" i="8" s="1"/>
  <c r="Z208" i="2"/>
  <c r="AD419" i="8"/>
  <c r="AD420" i="8" s="1"/>
  <c r="AB28" i="2"/>
  <c r="L259" i="2"/>
  <c r="L258" i="2"/>
  <c r="L31" i="2"/>
  <c r="R419" i="8"/>
  <c r="R420" i="8" s="1"/>
  <c r="AE323" i="8"/>
  <c r="AE324" i="8" s="1"/>
  <c r="Y214" i="2"/>
  <c r="L337" i="2"/>
  <c r="AA213" i="2"/>
  <c r="Y307" i="8"/>
  <c r="Y308" i="8" s="1"/>
  <c r="AC213" i="2"/>
  <c r="N90" i="2"/>
  <c r="L624" i="8"/>
  <c r="L625" i="8" s="1"/>
  <c r="AD355" i="8"/>
  <c r="AD356" i="8" s="1"/>
  <c r="O213" i="2"/>
  <c r="T95" i="2"/>
  <c r="O848" i="8"/>
  <c r="O849" i="8" s="1"/>
  <c r="O351" i="8"/>
  <c r="O352" i="8" s="1"/>
  <c r="M1200" i="8"/>
  <c r="M1201" i="8" s="1"/>
  <c r="M820" i="8"/>
  <c r="M821" i="8" s="1"/>
  <c r="O355" i="8"/>
  <c r="O356" i="8" s="1"/>
  <c r="O411" i="8"/>
  <c r="O412" i="8" s="1"/>
  <c r="P208" i="2"/>
  <c r="N149" i="2"/>
  <c r="N816" i="8"/>
  <c r="N817" i="8" s="1"/>
  <c r="M213" i="2"/>
  <c r="P211" i="2"/>
  <c r="N828" i="8"/>
  <c r="N829" i="8" s="1"/>
  <c r="P307" i="8"/>
  <c r="P308" i="8" s="1"/>
  <c r="O808" i="8"/>
  <c r="O809" i="8" s="1"/>
  <c r="N153" i="2"/>
  <c r="O431" i="8"/>
  <c r="O432" i="8" s="1"/>
  <c r="N359" i="8"/>
  <c r="N360" i="8" s="1"/>
  <c r="L356" i="2"/>
  <c r="L844" i="8" s="1"/>
  <c r="L845" i="8" s="1"/>
  <c r="M354" i="2"/>
  <c r="M836" i="8" s="1"/>
  <c r="M837" i="8" s="1"/>
  <c r="O356" i="2"/>
  <c r="M352" i="2"/>
  <c r="Z95" i="2"/>
  <c r="M300" i="2"/>
  <c r="T214" i="2"/>
  <c r="O300" i="2"/>
  <c r="V207" i="2"/>
  <c r="X300" i="2"/>
  <c r="T300" i="2"/>
  <c r="AC27" i="2"/>
  <c r="S207" i="2"/>
  <c r="Y347" i="8"/>
  <c r="Y348" i="8" s="1"/>
  <c r="K212" i="2"/>
  <c r="O303" i="8"/>
  <c r="O304" i="8" s="1"/>
  <c r="Q427" i="8"/>
  <c r="Q428" i="8" s="1"/>
  <c r="P352" i="2"/>
  <c r="T331" i="8"/>
  <c r="T332" i="8" s="1"/>
  <c r="R355" i="8"/>
  <c r="R356" i="8" s="1"/>
  <c r="L300" i="2"/>
  <c r="P359" i="2"/>
  <c r="X327" i="8"/>
  <c r="X328" i="8" s="1"/>
  <c r="N355" i="2"/>
  <c r="N840" i="8" s="1"/>
  <c r="N841" i="8" s="1"/>
  <c r="M355" i="2"/>
  <c r="L89" i="2"/>
  <c r="AC300" i="2"/>
  <c r="M353" i="2"/>
  <c r="R357" i="2"/>
  <c r="R848" i="8" s="1"/>
  <c r="R849" i="8" s="1"/>
  <c r="AC383" i="8"/>
  <c r="AC384" i="8" s="1"/>
  <c r="L90" i="2"/>
  <c r="O354" i="2"/>
  <c r="AB331" i="8"/>
  <c r="AB332" i="8" s="1"/>
  <c r="V415" i="8"/>
  <c r="V416" i="8" s="1"/>
  <c r="R351" i="8"/>
  <c r="R352" i="8" s="1"/>
  <c r="S212" i="2"/>
  <c r="X359" i="8"/>
  <c r="X360" i="8" s="1"/>
  <c r="L419" i="8"/>
  <c r="L420" i="8" s="1"/>
  <c r="AD147" i="2"/>
  <c r="P32" i="2"/>
  <c r="N212" i="2"/>
  <c r="L367" i="8"/>
  <c r="L368" i="8" s="1"/>
  <c r="T419" i="8"/>
  <c r="T420" i="8" s="1"/>
  <c r="AD363" i="8"/>
  <c r="AD364" i="8" s="1"/>
  <c r="Y343" i="8"/>
  <c r="Y344" i="8" s="1"/>
  <c r="L91" i="2"/>
  <c r="Q300" i="2"/>
  <c r="N358" i="2"/>
  <c r="O1180" i="8"/>
  <c r="O1181" i="8" s="1"/>
  <c r="O302" i="2"/>
  <c r="AD300" i="2"/>
  <c r="S215" i="2"/>
  <c r="P304" i="2"/>
  <c r="N353" i="2"/>
  <c r="N832" i="8" s="1"/>
  <c r="N833" i="8" s="1"/>
  <c r="AE371" i="8"/>
  <c r="AE372" i="8" s="1"/>
  <c r="AE303" i="8"/>
  <c r="AE304" i="8" s="1"/>
  <c r="V304" i="2"/>
  <c r="Z375" i="8"/>
  <c r="Z376" i="8" s="1"/>
  <c r="W31" i="2"/>
  <c r="V379" i="8"/>
  <c r="V380" i="8" s="1"/>
  <c r="O319" i="8"/>
  <c r="O320" i="8" s="1"/>
  <c r="N154" i="2"/>
  <c r="X149" i="2"/>
  <c r="L92" i="2"/>
  <c r="M34" i="2"/>
  <c r="AD304" i="2"/>
  <c r="AE300" i="2"/>
  <c r="O358" i="2"/>
  <c r="V305" i="2"/>
  <c r="Y427" i="8"/>
  <c r="Y428" i="8" s="1"/>
  <c r="L358" i="2"/>
  <c r="L852" i="8" s="1"/>
  <c r="L853" i="8" s="1"/>
  <c r="N1176" i="8"/>
  <c r="N1177" i="8" s="1"/>
  <c r="AA300" i="2"/>
  <c r="N300" i="2"/>
  <c r="S47" i="10"/>
  <c r="S137" i="5" s="1"/>
  <c r="M357" i="2"/>
  <c r="N356" i="2"/>
  <c r="N844" i="8" s="1"/>
  <c r="N845" i="8" s="1"/>
  <c r="M211" i="2"/>
  <c r="P356" i="2"/>
  <c r="L149" i="2"/>
  <c r="Z391" i="8"/>
  <c r="Z392" i="8" s="1"/>
  <c r="AE367" i="8"/>
  <c r="AE368" i="8" s="1"/>
  <c r="O34" i="2"/>
  <c r="X307" i="8"/>
  <c r="X308" i="8" s="1"/>
  <c r="R153" i="2"/>
  <c r="W32" i="2"/>
  <c r="K363" i="8"/>
  <c r="S323" i="8"/>
  <c r="S324" i="8" s="1"/>
  <c r="AA355" i="8"/>
  <c r="AA356" i="8" s="1"/>
  <c r="V383" i="8"/>
  <c r="V384" i="8" s="1"/>
  <c r="AC304" i="2"/>
  <c r="AA28" i="2"/>
  <c r="L354" i="2"/>
  <c r="L836" i="8" s="1"/>
  <c r="L837" i="8" s="1"/>
  <c r="V302" i="2"/>
  <c r="L210" i="2"/>
  <c r="O1188" i="8"/>
  <c r="O1189" i="8" s="1"/>
  <c r="AE304" i="2"/>
  <c r="AD718" i="2"/>
  <c r="L33" i="2"/>
  <c r="R47" i="10"/>
  <c r="R137" i="5" s="1"/>
  <c r="Y47" i="10"/>
  <c r="Y137" i="5" s="1"/>
  <c r="X383" i="8"/>
  <c r="X384" i="8" s="1"/>
  <c r="O352" i="2"/>
  <c r="O828" i="8" s="1"/>
  <c r="O829" i="8" s="1"/>
  <c r="P415" i="8"/>
  <c r="P416" i="8" s="1"/>
  <c r="AE307" i="8"/>
  <c r="AE308" i="8" s="1"/>
  <c r="Z387" i="8"/>
  <c r="Z388" i="8" s="1"/>
  <c r="AA367" i="8"/>
  <c r="AA368" i="8" s="1"/>
  <c r="AC411" i="8"/>
  <c r="AC412" i="8" s="1"/>
  <c r="P303" i="8"/>
  <c r="P304" i="8" s="1"/>
  <c r="Z211" i="2"/>
  <c r="N93" i="2"/>
  <c r="O301" i="2"/>
  <c r="V300" i="2"/>
  <c r="R304" i="2"/>
  <c r="M303" i="2"/>
  <c r="P354" i="2"/>
  <c r="P836" i="8" s="1"/>
  <c r="P837" i="8" s="1"/>
  <c r="M760" i="8"/>
  <c r="M761" i="8" s="1"/>
  <c r="O355" i="2"/>
  <c r="AB300" i="2"/>
  <c r="P300" i="2"/>
  <c r="X47" i="10"/>
  <c r="X137" i="5" s="1"/>
  <c r="R208" i="2"/>
  <c r="W33" i="2"/>
  <c r="T351" i="8"/>
  <c r="T352" i="8" s="1"/>
  <c r="N354" i="2"/>
  <c r="N836" i="8" s="1"/>
  <c r="N837" i="8" s="1"/>
  <c r="O756" i="8"/>
  <c r="O757" i="8" s="1"/>
  <c r="R300" i="2"/>
  <c r="M356" i="2"/>
  <c r="L353" i="2"/>
  <c r="L832" i="8" s="1"/>
  <c r="L833" i="8" s="1"/>
  <c r="M358" i="2"/>
  <c r="O331" i="8"/>
  <c r="O332" i="8" s="1"/>
  <c r="AE431" i="8"/>
  <c r="AE432" i="8" s="1"/>
  <c r="N349" i="2"/>
  <c r="N824" i="8" s="1"/>
  <c r="N825" i="8" s="1"/>
  <c r="L359" i="8"/>
  <c r="L360" i="8" s="1"/>
  <c r="AC47" i="10"/>
  <c r="AC137" i="5" s="1"/>
  <c r="O211" i="2"/>
  <c r="X210" i="2"/>
  <c r="AC150" i="2"/>
  <c r="T303" i="8"/>
  <c r="T304" i="8" s="1"/>
  <c r="T343" i="8"/>
  <c r="T344" i="8" s="1"/>
  <c r="N31" i="2"/>
  <c r="M302" i="2"/>
  <c r="P303" i="2"/>
  <c r="N302" i="2"/>
  <c r="T47" i="10"/>
  <c r="T137" i="5" s="1"/>
  <c r="T93" i="2"/>
  <c r="P209" i="2"/>
  <c r="L93" i="2"/>
  <c r="V299" i="8"/>
  <c r="V300" i="8" s="1"/>
  <c r="O403" i="8"/>
  <c r="O404" i="8" s="1"/>
  <c r="R363" i="8"/>
  <c r="R364" i="8" s="1"/>
  <c r="R136" i="5"/>
  <c r="R145" i="13" s="1"/>
  <c r="S92" i="2"/>
  <c r="X435" i="8"/>
  <c r="X436" i="8" s="1"/>
  <c r="Q411" i="8"/>
  <c r="Q412" i="8" s="1"/>
  <c r="Z399" i="8"/>
  <c r="Z400" i="8" s="1"/>
  <c r="T435" i="8"/>
  <c r="T436" i="8" s="1"/>
  <c r="S210" i="2"/>
  <c r="N323" i="8"/>
  <c r="N324" i="8" s="1"/>
  <c r="X153" i="2"/>
  <c r="O339" i="8"/>
  <c r="O340" i="8" s="1"/>
  <c r="L323" i="8"/>
  <c r="L324" i="8" s="1"/>
  <c r="Y323" i="8"/>
  <c r="Y324" i="8" s="1"/>
  <c r="K343" i="8"/>
  <c r="O47" i="10"/>
  <c r="O137" i="5" s="1"/>
  <c r="T403" i="8"/>
  <c r="T404" i="8" s="1"/>
  <c r="AC214" i="2"/>
  <c r="AB154" i="2"/>
  <c r="V339" i="8"/>
  <c r="V340" i="8" s="1"/>
  <c r="L303" i="8"/>
  <c r="L304" i="8" s="1"/>
  <c r="L32" i="2"/>
  <c r="U343" i="8"/>
  <c r="U344" i="8" s="1"/>
  <c r="AH47" i="10"/>
  <c r="U89" i="2"/>
  <c r="U300" i="2"/>
  <c r="AB367" i="8"/>
  <c r="AB368" i="8" s="1"/>
  <c r="M303" i="8"/>
  <c r="M304" i="8" s="1"/>
  <c r="M207" i="2"/>
  <c r="N210" i="2"/>
  <c r="X339" i="8"/>
  <c r="X340" i="8" s="1"/>
  <c r="AD343" i="8"/>
  <c r="AD344" i="8" s="1"/>
  <c r="V359" i="8"/>
  <c r="V360" i="8" s="1"/>
  <c r="S302" i="2"/>
  <c r="X423" i="8"/>
  <c r="X424" i="8" s="1"/>
  <c r="AD431" i="8"/>
  <c r="AD432" i="8" s="1"/>
  <c r="R339" i="8"/>
  <c r="R340" i="8" s="1"/>
  <c r="O375" i="8"/>
  <c r="O376" i="8" s="1"/>
  <c r="AC301" i="2"/>
  <c r="AD89" i="2"/>
  <c r="W323" i="8"/>
  <c r="W324" i="8" s="1"/>
  <c r="N737" i="2"/>
  <c r="N1184" i="8" s="1"/>
  <c r="N1185" i="8" s="1"/>
  <c r="AA150" i="2"/>
  <c r="AA379" i="8"/>
  <c r="AA380" i="8" s="1"/>
  <c r="N151" i="2"/>
  <c r="N383" i="8"/>
  <c r="N384" i="8" s="1"/>
  <c r="Q407" i="8"/>
  <c r="Q408" i="8" s="1"/>
  <c r="Q208" i="2"/>
  <c r="R154" i="2"/>
  <c r="R395" i="8"/>
  <c r="R396" i="8" s="1"/>
  <c r="M28" i="2"/>
  <c r="M299" i="8"/>
  <c r="M300" i="8" s="1"/>
  <c r="S1384" i="8"/>
  <c r="S1385" i="8" s="1"/>
  <c r="S646" i="2"/>
  <c r="S177" i="14" s="1"/>
  <c r="U305" i="2"/>
  <c r="M305" i="2"/>
  <c r="P305" i="2"/>
  <c r="AB305" i="2"/>
  <c r="AA305" i="2"/>
  <c r="O305" i="2"/>
  <c r="N305" i="2"/>
  <c r="Q305" i="2"/>
  <c r="T305" i="2"/>
  <c r="AE305" i="2"/>
  <c r="W305" i="2"/>
  <c r="Z305" i="2"/>
  <c r="S305" i="2"/>
  <c r="Y305" i="2"/>
  <c r="AD47" i="10"/>
  <c r="AD137" i="5" s="1"/>
  <c r="AD136" i="5"/>
  <c r="AD145" i="13" s="1"/>
  <c r="U47" i="10"/>
  <c r="U137" i="5" s="1"/>
  <c r="U136" i="5"/>
  <c r="U145" i="13" s="1"/>
  <c r="S1388" i="8"/>
  <c r="S1389" i="8" s="1"/>
  <c r="S647" i="2"/>
  <c r="S178" i="14" s="1"/>
  <c r="L1388" i="8"/>
  <c r="L1389" i="8" s="1"/>
  <c r="L647" i="2"/>
  <c r="AF56" i="10"/>
  <c r="AF57" i="10"/>
  <c r="AF54" i="10"/>
  <c r="AF51" i="10"/>
  <c r="AF52" i="10"/>
  <c r="AF58" i="10"/>
  <c r="AF55" i="10"/>
  <c r="AF50" i="10"/>
  <c r="AF53" i="10"/>
  <c r="Z58" i="10"/>
  <c r="Z80" i="5" s="1"/>
  <c r="Z55" i="10"/>
  <c r="Z74" i="5" s="1"/>
  <c r="Z52" i="10"/>
  <c r="Z68" i="5" s="1"/>
  <c r="Z50" i="10"/>
  <c r="Z64" i="5" s="1"/>
  <c r="Z56" i="10"/>
  <c r="Z76" i="5" s="1"/>
  <c r="Z53" i="10"/>
  <c r="Z70" i="5" s="1"/>
  <c r="Z54" i="10"/>
  <c r="Z72" i="5" s="1"/>
  <c r="Z51" i="10"/>
  <c r="Z66" i="5" s="1"/>
  <c r="Z57" i="10"/>
  <c r="Z78" i="5" s="1"/>
  <c r="Z126" i="5"/>
  <c r="X1388" i="8"/>
  <c r="X1389" i="8" s="1"/>
  <c r="X647" i="2"/>
  <c r="Y1388" i="8"/>
  <c r="Y1389" i="8" s="1"/>
  <c r="Y647" i="2"/>
  <c r="Q415" i="8"/>
  <c r="Q416" i="8" s="1"/>
  <c r="Q210" i="2"/>
  <c r="M737" i="2"/>
  <c r="M1184" i="8" s="1"/>
  <c r="M1185" i="8" s="1"/>
  <c r="Q1388" i="8"/>
  <c r="Q1389" i="8" s="1"/>
  <c r="Q647" i="2"/>
  <c r="Q178" i="14" s="1"/>
  <c r="AE435" i="8"/>
  <c r="AE436" i="8" s="1"/>
  <c r="AE215" i="2"/>
  <c r="R343" i="8"/>
  <c r="R344" i="8" s="1"/>
  <c r="AB47" i="10"/>
  <c r="AB137" i="5" s="1"/>
  <c r="AB136" i="5"/>
  <c r="AB145" i="13" s="1"/>
  <c r="AE47" i="10"/>
  <c r="AE137" i="5" s="1"/>
  <c r="AE136" i="5"/>
  <c r="AE145" i="13" s="1"/>
  <c r="X1384" i="8"/>
  <c r="X1385" i="8" s="1"/>
  <c r="X646" i="2"/>
  <c r="X177" i="14" s="1"/>
  <c r="Z1388" i="8"/>
  <c r="Z1389" i="8" s="1"/>
  <c r="Z647" i="2"/>
  <c r="P992" i="8"/>
  <c r="P993" i="8" s="1"/>
  <c r="Q675" i="2"/>
  <c r="P729" i="2"/>
  <c r="P202" i="14" s="1"/>
  <c r="AA1388" i="8"/>
  <c r="AA1389" i="8" s="1"/>
  <c r="AA647" i="2"/>
  <c r="P353" i="2"/>
  <c r="P760" i="8"/>
  <c r="P761" i="8" s="1"/>
  <c r="M800" i="8"/>
  <c r="M801" i="8" s="1"/>
  <c r="O1388" i="8"/>
  <c r="O1389" i="8" s="1"/>
  <c r="O647" i="2"/>
  <c r="AA47" i="10"/>
  <c r="AA137" i="5" s="1"/>
  <c r="AA136" i="5"/>
  <c r="AA145" i="13" s="1"/>
  <c r="X305" i="2"/>
  <c r="AG51" i="10"/>
  <c r="AG57" i="10"/>
  <c r="AG54" i="10"/>
  <c r="AG52" i="10"/>
  <c r="AG58" i="10"/>
  <c r="AG55" i="10"/>
  <c r="AG50" i="10"/>
  <c r="AG53" i="10"/>
  <c r="AG56" i="10"/>
  <c r="AC305" i="2"/>
  <c r="AB155" i="2"/>
  <c r="AB399" i="8"/>
  <c r="AB400" i="8" s="1"/>
  <c r="AB1384" i="8"/>
  <c r="AB1385" i="8" s="1"/>
  <c r="AB646" i="2"/>
  <c r="AB177" i="14" s="1"/>
  <c r="AD1384" i="8"/>
  <c r="AD1385" i="8" s="1"/>
  <c r="AD646" i="2"/>
  <c r="AD177" i="14" s="1"/>
  <c r="W58" i="10"/>
  <c r="W80" i="5" s="1"/>
  <c r="W50" i="10"/>
  <c r="W64" i="5" s="1"/>
  <c r="W56" i="10"/>
  <c r="W76" i="5" s="1"/>
  <c r="W53" i="10"/>
  <c r="W70" i="5" s="1"/>
  <c r="W51" i="10"/>
  <c r="W66" i="5" s="1"/>
  <c r="W57" i="10"/>
  <c r="W78" i="5" s="1"/>
  <c r="W54" i="10"/>
  <c r="W72" i="5" s="1"/>
  <c r="W52" i="10"/>
  <c r="W68" i="5" s="1"/>
  <c r="W55" i="10"/>
  <c r="W74" i="5" s="1"/>
  <c r="W126" i="5"/>
  <c r="AD305" i="2"/>
  <c r="Z28" i="2"/>
  <c r="Z299" i="8"/>
  <c r="Z300" i="8" s="1"/>
  <c r="AE1384" i="8"/>
  <c r="AE1385" i="8" s="1"/>
  <c r="AE646" i="2"/>
  <c r="AE177" i="14" s="1"/>
  <c r="I22" i="9"/>
  <c r="F118" i="3" s="1"/>
  <c r="H22" i="9"/>
  <c r="F117" i="3" s="1"/>
  <c r="L22" i="9"/>
  <c r="F121" i="3" s="1"/>
  <c r="J22" i="9"/>
  <c r="F119" i="3" s="1"/>
  <c r="N1388" i="8"/>
  <c r="N1389" i="8" s="1"/>
  <c r="N647" i="2"/>
  <c r="M1388" i="8"/>
  <c r="M1389" i="8" s="1"/>
  <c r="M647" i="2"/>
  <c r="W1388" i="8"/>
  <c r="W1389" i="8" s="1"/>
  <c r="W647" i="2"/>
  <c r="R1388" i="8"/>
  <c r="R1389" i="8" s="1"/>
  <c r="R647" i="2"/>
  <c r="R178" i="14" s="1"/>
  <c r="T136" i="5"/>
  <c r="T145" i="13" s="1"/>
  <c r="AD52" i="10"/>
  <c r="AD68" i="5" s="1"/>
  <c r="AD57" i="10"/>
  <c r="AD78" i="5" s="1"/>
  <c r="AD54" i="10"/>
  <c r="AD72" i="5" s="1"/>
  <c r="AD51" i="10"/>
  <c r="AD66" i="5" s="1"/>
  <c r="AD58" i="10"/>
  <c r="AD80" i="5" s="1"/>
  <c r="AD55" i="10"/>
  <c r="AD74" i="5" s="1"/>
  <c r="AD50" i="10"/>
  <c r="AD64" i="5" s="1"/>
  <c r="AD53" i="10"/>
  <c r="AD70" i="5" s="1"/>
  <c r="AD56" i="10"/>
  <c r="AD76" i="5" s="1"/>
  <c r="L58" i="10"/>
  <c r="L80" i="5" s="1"/>
  <c r="L55" i="10"/>
  <c r="L74" i="5" s="1"/>
  <c r="L52" i="10"/>
  <c r="L68" i="5" s="1"/>
  <c r="L50" i="10"/>
  <c r="L64" i="5" s="1"/>
  <c r="L56" i="10"/>
  <c r="L76" i="5" s="1"/>
  <c r="L53" i="10"/>
  <c r="L70" i="5" s="1"/>
  <c r="L51" i="10"/>
  <c r="L66" i="5" s="1"/>
  <c r="L57" i="10"/>
  <c r="L78" i="5" s="1"/>
  <c r="L54" i="10"/>
  <c r="L72" i="5" s="1"/>
  <c r="AD1388" i="8"/>
  <c r="AD1389" i="8" s="1"/>
  <c r="AD647" i="2"/>
  <c r="T1384" i="8"/>
  <c r="T1385" i="8" s="1"/>
  <c r="T646" i="2"/>
  <c r="Q136" i="5"/>
  <c r="Q145" i="13" s="1"/>
  <c r="S51" i="10"/>
  <c r="S66" i="5" s="1"/>
  <c r="S56" i="10"/>
  <c r="S76" i="5" s="1"/>
  <c r="S53" i="10"/>
  <c r="S70" i="5" s="1"/>
  <c r="S50" i="10"/>
  <c r="S64" i="5" s="1"/>
  <c r="S58" i="10"/>
  <c r="S80" i="5" s="1"/>
  <c r="S57" i="10"/>
  <c r="S78" i="5" s="1"/>
  <c r="S54" i="10"/>
  <c r="S72" i="5" s="1"/>
  <c r="S55" i="10"/>
  <c r="S74" i="5" s="1"/>
  <c r="S52" i="10"/>
  <c r="S68" i="5" s="1"/>
  <c r="Y55" i="10"/>
  <c r="Y74" i="5" s="1"/>
  <c r="Y52" i="10"/>
  <c r="Y68" i="5" s="1"/>
  <c r="Y58" i="10"/>
  <c r="Y80" i="5" s="1"/>
  <c r="Y50" i="10"/>
  <c r="Y64" i="5" s="1"/>
  <c r="Y56" i="10"/>
  <c r="Y76" i="5" s="1"/>
  <c r="Y53" i="10"/>
  <c r="Y70" i="5" s="1"/>
  <c r="Y54" i="10"/>
  <c r="Y72" i="5" s="1"/>
  <c r="Y51" i="10"/>
  <c r="Y66" i="5" s="1"/>
  <c r="Y57" i="10"/>
  <c r="Y78" i="5" s="1"/>
  <c r="N1384" i="8"/>
  <c r="N1385" i="8" s="1"/>
  <c r="N646" i="2"/>
  <c r="N177" i="14" s="1"/>
  <c r="P52" i="10"/>
  <c r="P68" i="5" s="1"/>
  <c r="P57" i="10"/>
  <c r="P78" i="5" s="1"/>
  <c r="P54" i="10"/>
  <c r="P72" i="5" s="1"/>
  <c r="P51" i="10"/>
  <c r="P66" i="5" s="1"/>
  <c r="P58" i="10"/>
  <c r="P80" i="5" s="1"/>
  <c r="P55" i="10"/>
  <c r="P74" i="5" s="1"/>
  <c r="P53" i="10"/>
  <c r="P70" i="5" s="1"/>
  <c r="P50" i="10"/>
  <c r="P64" i="5" s="1"/>
  <c r="P56" i="10"/>
  <c r="P76" i="5" s="1"/>
  <c r="K55" i="10"/>
  <c r="K52" i="10"/>
  <c r="K58" i="10"/>
  <c r="K50" i="10"/>
  <c r="K56" i="10"/>
  <c r="K53" i="10"/>
  <c r="K54" i="10"/>
  <c r="K51" i="10"/>
  <c r="K57" i="10"/>
  <c r="AE1388" i="8"/>
  <c r="AE1389" i="8" s="1"/>
  <c r="AE647" i="2"/>
  <c r="AE178" i="14" s="1"/>
  <c r="AC1388" i="8"/>
  <c r="AC1389" i="8" s="1"/>
  <c r="AC647" i="2"/>
  <c r="AC1384" i="8"/>
  <c r="AC1385" i="8" s="1"/>
  <c r="AC646" i="2"/>
  <c r="AC177" i="14" s="1"/>
  <c r="L612" i="8"/>
  <c r="L613" i="8" s="1"/>
  <c r="L345" i="2"/>
  <c r="R56" i="10"/>
  <c r="R76" i="5" s="1"/>
  <c r="R57" i="10"/>
  <c r="R78" i="5" s="1"/>
  <c r="R54" i="10"/>
  <c r="R72" i="5" s="1"/>
  <c r="R51" i="10"/>
  <c r="R66" i="5" s="1"/>
  <c r="R52" i="10"/>
  <c r="R68" i="5" s="1"/>
  <c r="R58" i="10"/>
  <c r="R80" i="5" s="1"/>
  <c r="R55" i="10"/>
  <c r="R74" i="5" s="1"/>
  <c r="R53" i="10"/>
  <c r="R70" i="5" s="1"/>
  <c r="R50" i="10"/>
  <c r="R64" i="5" s="1"/>
  <c r="X54" i="10"/>
  <c r="X72" i="5" s="1"/>
  <c r="X55" i="10"/>
  <c r="X74" i="5" s="1"/>
  <c r="X52" i="10"/>
  <c r="X68" i="5" s="1"/>
  <c r="X58" i="10"/>
  <c r="X80" i="5" s="1"/>
  <c r="X57" i="10"/>
  <c r="X78" i="5" s="1"/>
  <c r="X50" i="10"/>
  <c r="X64" i="5" s="1"/>
  <c r="X56" i="10"/>
  <c r="X76" i="5" s="1"/>
  <c r="X53" i="10"/>
  <c r="X70" i="5" s="1"/>
  <c r="X51" i="10"/>
  <c r="X66" i="5" s="1"/>
  <c r="AB304" i="2"/>
  <c r="AC136" i="5"/>
  <c r="AC145" i="13" s="1"/>
  <c r="Y126" i="5"/>
  <c r="L136" i="5"/>
  <c r="L145" i="13" s="1"/>
  <c r="X136" i="5"/>
  <c r="X145" i="13" s="1"/>
  <c r="K214" i="2"/>
  <c r="AE57" i="10"/>
  <c r="AE78" i="5" s="1"/>
  <c r="AE54" i="10"/>
  <c r="AE72" i="5" s="1"/>
  <c r="AE51" i="10"/>
  <c r="AE66" i="5" s="1"/>
  <c r="AE52" i="10"/>
  <c r="AE68" i="5" s="1"/>
  <c r="AE58" i="10"/>
  <c r="AE80" i="5" s="1"/>
  <c r="AE55" i="10"/>
  <c r="AE74" i="5" s="1"/>
  <c r="AE53" i="10"/>
  <c r="AE70" i="5" s="1"/>
  <c r="AE50" i="10"/>
  <c r="AE64" i="5" s="1"/>
  <c r="AE56" i="10"/>
  <c r="AE76" i="5" s="1"/>
  <c r="V50" i="10"/>
  <c r="V64" i="5" s="1"/>
  <c r="V56" i="10"/>
  <c r="V76" i="5" s="1"/>
  <c r="V53" i="10"/>
  <c r="V70" i="5" s="1"/>
  <c r="V51" i="10"/>
  <c r="V66" i="5" s="1"/>
  <c r="V57" i="10"/>
  <c r="V78" i="5" s="1"/>
  <c r="V54" i="10"/>
  <c r="V72" i="5" s="1"/>
  <c r="V58" i="10"/>
  <c r="V80" i="5" s="1"/>
  <c r="V55" i="10"/>
  <c r="V74" i="5" s="1"/>
  <c r="V52" i="10"/>
  <c r="V68" i="5" s="1"/>
  <c r="M748" i="2"/>
  <c r="M1220" i="8" s="1"/>
  <c r="M1221" i="8" s="1"/>
  <c r="M304" i="2"/>
  <c r="W304" i="2"/>
  <c r="O1384" i="8"/>
  <c r="O1385" i="8" s="1"/>
  <c r="O646" i="2"/>
  <c r="O177" i="14" s="1"/>
  <c r="U1384" i="8"/>
  <c r="U1385" i="8" s="1"/>
  <c r="U646" i="2"/>
  <c r="U177" i="14" s="1"/>
  <c r="T1388" i="8"/>
  <c r="T1389" i="8" s="1"/>
  <c r="T647" i="2"/>
  <c r="O136" i="5"/>
  <c r="O145" i="13" s="1"/>
  <c r="Q57" i="10"/>
  <c r="Q78" i="5" s="1"/>
  <c r="Q54" i="10"/>
  <c r="Q72" i="5" s="1"/>
  <c r="Q51" i="10"/>
  <c r="Q66" i="5" s="1"/>
  <c r="Q52" i="10"/>
  <c r="Q68" i="5" s="1"/>
  <c r="Q58" i="10"/>
  <c r="Q80" i="5" s="1"/>
  <c r="Q55" i="10"/>
  <c r="Q74" i="5" s="1"/>
  <c r="Q53" i="10"/>
  <c r="Q70" i="5" s="1"/>
  <c r="Q50" i="10"/>
  <c r="Q64" i="5" s="1"/>
  <c r="Q56" i="10"/>
  <c r="Q76" i="5" s="1"/>
  <c r="AI55" i="10"/>
  <c r="AI56" i="10"/>
  <c r="AI53" i="10"/>
  <c r="AI50" i="10"/>
  <c r="AI52" i="10"/>
  <c r="AI51" i="10"/>
  <c r="AI57" i="10"/>
  <c r="AI54" i="10"/>
  <c r="AI58" i="10"/>
  <c r="Z47" i="10"/>
  <c r="Z137" i="5" s="1"/>
  <c r="V136" i="5"/>
  <c r="V145" i="13" s="1"/>
  <c r="P1388" i="8"/>
  <c r="P1389" i="8" s="1"/>
  <c r="P647" i="2"/>
  <c r="AC57" i="10"/>
  <c r="AC78" i="5" s="1"/>
  <c r="AC54" i="10"/>
  <c r="AC72" i="5" s="1"/>
  <c r="AC51" i="10"/>
  <c r="AC66" i="5" s="1"/>
  <c r="AC58" i="10"/>
  <c r="AC80" i="5" s="1"/>
  <c r="AC55" i="10"/>
  <c r="AC74" i="5" s="1"/>
  <c r="AC52" i="10"/>
  <c r="AC68" i="5" s="1"/>
  <c r="AC56" i="10"/>
  <c r="AC76" i="5" s="1"/>
  <c r="AC53" i="10"/>
  <c r="AC70" i="5" s="1"/>
  <c r="AC50" i="10"/>
  <c r="AC64" i="5" s="1"/>
  <c r="U55" i="10"/>
  <c r="U74" i="5" s="1"/>
  <c r="U56" i="10"/>
  <c r="U76" i="5" s="1"/>
  <c r="U53" i="10"/>
  <c r="U70" i="5" s="1"/>
  <c r="U50" i="10"/>
  <c r="U64" i="5" s="1"/>
  <c r="U51" i="10"/>
  <c r="U66" i="5" s="1"/>
  <c r="U57" i="10"/>
  <c r="U78" i="5" s="1"/>
  <c r="U54" i="10"/>
  <c r="U72" i="5" s="1"/>
  <c r="U52" i="10"/>
  <c r="U68" i="5" s="1"/>
  <c r="U58" i="10"/>
  <c r="U80" i="5" s="1"/>
  <c r="AB149" i="2"/>
  <c r="AB375" i="8"/>
  <c r="AB376" i="8" s="1"/>
  <c r="O760" i="8"/>
  <c r="O761" i="8" s="1"/>
  <c r="O353" i="2"/>
  <c r="K47" i="10"/>
  <c r="Y136" i="5"/>
  <c r="Y145" i="13" s="1"/>
  <c r="R1384" i="8"/>
  <c r="R1385" i="8" s="1"/>
  <c r="R646" i="2"/>
  <c r="R177" i="14" s="1"/>
  <c r="U1388" i="8"/>
  <c r="U1389" i="8" s="1"/>
  <c r="U647" i="2"/>
  <c r="U178" i="14" s="1"/>
  <c r="M136" i="5"/>
  <c r="M145" i="13" s="1"/>
  <c r="S136" i="5"/>
  <c r="S145" i="13" s="1"/>
  <c r="O57" i="10"/>
  <c r="O78" i="5" s="1"/>
  <c r="O54" i="10"/>
  <c r="O72" i="5" s="1"/>
  <c r="O51" i="10"/>
  <c r="O66" i="5" s="1"/>
  <c r="O53" i="10"/>
  <c r="O70" i="5" s="1"/>
  <c r="O58" i="10"/>
  <c r="O80" i="5" s="1"/>
  <c r="O55" i="10"/>
  <c r="O74" i="5" s="1"/>
  <c r="O52" i="10"/>
  <c r="O68" i="5" s="1"/>
  <c r="O50" i="10"/>
  <c r="O64" i="5" s="1"/>
  <c r="O56" i="10"/>
  <c r="O76" i="5" s="1"/>
  <c r="AH56" i="10"/>
  <c r="AH53" i="10"/>
  <c r="AH50" i="10"/>
  <c r="AH51" i="10"/>
  <c r="AH57" i="10"/>
  <c r="AH54" i="10"/>
  <c r="AH52" i="10"/>
  <c r="AH58" i="10"/>
  <c r="AH55" i="10"/>
  <c r="Q1384" i="8"/>
  <c r="Q1385" i="8" s="1"/>
  <c r="Q646" i="2"/>
  <c r="Q177" i="14" s="1"/>
  <c r="L126" i="5"/>
  <c r="N136" i="5"/>
  <c r="N145" i="13" s="1"/>
  <c r="AB57" i="10"/>
  <c r="AB78" i="5" s="1"/>
  <c r="AB58" i="10"/>
  <c r="AB80" i="5" s="1"/>
  <c r="AB55" i="10"/>
  <c r="AB74" i="5" s="1"/>
  <c r="AB52" i="10"/>
  <c r="AB68" i="5" s="1"/>
  <c r="AB53" i="10"/>
  <c r="AB70" i="5" s="1"/>
  <c r="AB50" i="10"/>
  <c r="AB64" i="5" s="1"/>
  <c r="AB56" i="10"/>
  <c r="AB76" i="5" s="1"/>
  <c r="AB54" i="10"/>
  <c r="AB72" i="5" s="1"/>
  <c r="AB51" i="10"/>
  <c r="AB66" i="5" s="1"/>
  <c r="T56" i="10"/>
  <c r="T76" i="5" s="1"/>
  <c r="T53" i="10"/>
  <c r="T70" i="5" s="1"/>
  <c r="T50" i="10"/>
  <c r="T64" i="5" s="1"/>
  <c r="T51" i="10"/>
  <c r="T66" i="5" s="1"/>
  <c r="T57" i="10"/>
  <c r="T78" i="5" s="1"/>
  <c r="T54" i="10"/>
  <c r="T72" i="5" s="1"/>
  <c r="T52" i="10"/>
  <c r="T68" i="5" s="1"/>
  <c r="T58" i="10"/>
  <c r="T80" i="5" s="1"/>
  <c r="T55" i="10"/>
  <c r="T74" i="5" s="1"/>
  <c r="O304" i="2"/>
  <c r="AG47" i="10"/>
  <c r="P126" i="5"/>
  <c r="Z136" i="5"/>
  <c r="Z145" i="13" s="1"/>
  <c r="AA1384" i="8"/>
  <c r="AA1385" i="8" s="1"/>
  <c r="AA646" i="2"/>
  <c r="AA177" i="14" s="1"/>
  <c r="N54" i="10"/>
  <c r="N72" i="5" s="1"/>
  <c r="N51" i="10"/>
  <c r="N66" i="5" s="1"/>
  <c r="N57" i="10"/>
  <c r="N78" i="5" s="1"/>
  <c r="N58" i="10"/>
  <c r="N80" i="5" s="1"/>
  <c r="N55" i="10"/>
  <c r="N74" i="5" s="1"/>
  <c r="N52" i="10"/>
  <c r="N68" i="5" s="1"/>
  <c r="N56" i="10"/>
  <c r="N76" i="5" s="1"/>
  <c r="N53" i="10"/>
  <c r="N70" i="5" s="1"/>
  <c r="N50" i="10"/>
  <c r="N64" i="5" s="1"/>
  <c r="AF47" i="10"/>
  <c r="W47" i="10"/>
  <c r="W137" i="5" s="1"/>
  <c r="AD35" i="2"/>
  <c r="AD327" i="8"/>
  <c r="AD328" i="8" s="1"/>
  <c r="AB1388" i="8"/>
  <c r="AB1389" i="8" s="1"/>
  <c r="AB647" i="2"/>
  <c r="V1384" i="8"/>
  <c r="V1385" i="8" s="1"/>
  <c r="V646" i="2"/>
  <c r="V177" i="14" s="1"/>
  <c r="V1388" i="8"/>
  <c r="V1389" i="8" s="1"/>
  <c r="V647" i="2"/>
  <c r="AA53" i="10"/>
  <c r="AA70" i="5" s="1"/>
  <c r="AA58" i="10"/>
  <c r="AA80" i="5" s="1"/>
  <c r="AA55" i="10"/>
  <c r="AA74" i="5" s="1"/>
  <c r="AA52" i="10"/>
  <c r="AA68" i="5" s="1"/>
  <c r="AA50" i="10"/>
  <c r="AA64" i="5" s="1"/>
  <c r="AA56" i="10"/>
  <c r="AA76" i="5" s="1"/>
  <c r="AA54" i="10"/>
  <c r="AA72" i="5" s="1"/>
  <c r="AA51" i="10"/>
  <c r="AA66" i="5" s="1"/>
  <c r="AA57" i="10"/>
  <c r="AA78" i="5" s="1"/>
  <c r="AA304" i="2"/>
  <c r="Y304" i="2"/>
  <c r="P47" i="10"/>
  <c r="P137" i="5" s="1"/>
  <c r="M1384" i="8"/>
  <c r="M1385" i="8" s="1"/>
  <c r="M646" i="2"/>
  <c r="M177" i="14" s="1"/>
  <c r="M53" i="10"/>
  <c r="M70" i="5" s="1"/>
  <c r="M57" i="10"/>
  <c r="M78" i="5" s="1"/>
  <c r="M58" i="10"/>
  <c r="M80" i="5" s="1"/>
  <c r="M55" i="10"/>
  <c r="M74" i="5" s="1"/>
  <c r="M52" i="10"/>
  <c r="M68" i="5" s="1"/>
  <c r="M50" i="10"/>
  <c r="M64" i="5" s="1"/>
  <c r="M56" i="10"/>
  <c r="M76" i="5" s="1"/>
  <c r="M51" i="10"/>
  <c r="M66" i="5" s="1"/>
  <c r="M54" i="10"/>
  <c r="M72" i="5" s="1"/>
  <c r="L1016" i="8"/>
  <c r="L1017" i="8" s="1"/>
  <c r="L735" i="2"/>
  <c r="L208" i="14" s="1"/>
  <c r="L746" i="2"/>
  <c r="AA668" i="2"/>
  <c r="AA269" i="2"/>
  <c r="P153" i="2"/>
  <c r="M214" i="2"/>
  <c r="Z383" i="8"/>
  <c r="Z384" i="8" s="1"/>
  <c r="M301" i="2"/>
  <c r="AA664" i="2"/>
  <c r="AA265" i="2"/>
  <c r="AB269" i="2"/>
  <c r="AB668" i="2"/>
  <c r="AA666" i="2"/>
  <c r="AA267" i="2"/>
  <c r="T362" i="2"/>
  <c r="T391" i="2" s="1"/>
  <c r="T319" i="2"/>
  <c r="Y209" i="2"/>
  <c r="W435" i="8"/>
  <c r="W436" i="8" s="1"/>
  <c r="P327" i="8"/>
  <c r="P328" i="8" s="1"/>
  <c r="V355" i="8"/>
  <c r="V356" i="8" s="1"/>
  <c r="T301" i="2"/>
  <c r="M295" i="8"/>
  <c r="M296" i="8" s="1"/>
  <c r="AB664" i="2"/>
  <c r="AB265" i="2"/>
  <c r="P761" i="2"/>
  <c r="P790" i="2" s="1"/>
  <c r="P718" i="2"/>
  <c r="Y210" i="2"/>
  <c r="Y415" i="8"/>
  <c r="Y416" i="8" s="1"/>
  <c r="AB267" i="2"/>
  <c r="AB666" i="2"/>
  <c r="L800" i="8"/>
  <c r="L801" i="8" s="1"/>
  <c r="X28" i="2"/>
  <c r="X299" i="8"/>
  <c r="X300" i="8" s="1"/>
  <c r="Y419" i="8"/>
  <c r="Y420" i="8" s="1"/>
  <c r="AC211" i="2"/>
  <c r="N307" i="8"/>
  <c r="N308" i="8" s="1"/>
  <c r="Z323" i="8"/>
  <c r="Z324" i="8" s="1"/>
  <c r="AD435" i="8"/>
  <c r="AD436" i="8" s="1"/>
  <c r="M319" i="8"/>
  <c r="M320" i="8" s="1"/>
  <c r="L1004" i="8"/>
  <c r="L1005" i="8" s="1"/>
  <c r="L743" i="2"/>
  <c r="L732" i="2"/>
  <c r="L205" i="14" s="1"/>
  <c r="Z31" i="2"/>
  <c r="Z311" i="8"/>
  <c r="Z312" i="8" s="1"/>
  <c r="O208" i="2"/>
  <c r="AB302" i="2"/>
  <c r="S411" i="8"/>
  <c r="S412" i="8" s="1"/>
  <c r="AA27" i="2"/>
  <c r="T295" i="8"/>
  <c r="T296" i="8" s="1"/>
  <c r="V407" i="8"/>
  <c r="V408" i="8" s="1"/>
  <c r="U423" i="8"/>
  <c r="U424" i="8" s="1"/>
  <c r="S211" i="2"/>
  <c r="AD407" i="8"/>
  <c r="AD408" i="8" s="1"/>
  <c r="AE155" i="2"/>
  <c r="AE301" i="2"/>
  <c r="T304" i="2"/>
  <c r="AC423" i="8"/>
  <c r="AC424" i="8" s="1"/>
  <c r="N295" i="8"/>
  <c r="N296" i="8" s="1"/>
  <c r="W303" i="8"/>
  <c r="W304" i="8" s="1"/>
  <c r="V371" i="8"/>
  <c r="V372" i="8" s="1"/>
  <c r="Q280" i="2"/>
  <c r="P345" i="2"/>
  <c r="P612" i="8"/>
  <c r="P613" i="8" s="1"/>
  <c r="U208" i="2"/>
  <c r="X303" i="8"/>
  <c r="X304" i="8" s="1"/>
  <c r="O748" i="2"/>
  <c r="O1220" i="8" s="1"/>
  <c r="O1221" i="8" s="1"/>
  <c r="N303" i="8"/>
  <c r="N304" i="8" s="1"/>
  <c r="N427" i="8"/>
  <c r="N428" i="8" s="1"/>
  <c r="W27" i="2"/>
  <c r="AD383" i="8"/>
  <c r="AD384" i="8" s="1"/>
  <c r="Y319" i="2"/>
  <c r="Y362" i="2"/>
  <c r="Y391" i="2" s="1"/>
  <c r="R319" i="2"/>
  <c r="R362" i="2"/>
  <c r="R391" i="2" s="1"/>
  <c r="K359" i="8"/>
  <c r="AA33" i="2"/>
  <c r="N33" i="2"/>
  <c r="N319" i="8"/>
  <c r="N320" i="8" s="1"/>
  <c r="K31" i="2"/>
  <c r="K311" i="8"/>
  <c r="Q761" i="2"/>
  <c r="Q790" i="2" s="1"/>
  <c r="Q718" i="2"/>
  <c r="M1212" i="8"/>
  <c r="M1213" i="8" s="1"/>
  <c r="X33" i="2"/>
  <c r="X319" i="8"/>
  <c r="X320" i="8" s="1"/>
  <c r="N764" i="8"/>
  <c r="N765" i="8" s="1"/>
  <c r="X315" i="8"/>
  <c r="X316" i="8" s="1"/>
  <c r="X32" i="2"/>
  <c r="Y212" i="2"/>
  <c r="Y423" i="8"/>
  <c r="Y424" i="8" s="1"/>
  <c r="L780" i="8"/>
  <c r="L781" i="8" s="1"/>
  <c r="AB667" i="2"/>
  <c r="AB268" i="2"/>
  <c r="P1016" i="8"/>
  <c r="P1017" i="8" s="1"/>
  <c r="P746" i="2"/>
  <c r="Q681" i="2"/>
  <c r="P735" i="2"/>
  <c r="P208" i="14" s="1"/>
  <c r="L341" i="2"/>
  <c r="L596" i="8"/>
  <c r="L597" i="8" s="1"/>
  <c r="L330" i="2"/>
  <c r="L37" i="14" s="1"/>
  <c r="X27" i="2"/>
  <c r="X295" i="8"/>
  <c r="X296" i="8" s="1"/>
  <c r="O768" i="8"/>
  <c r="O769" i="8" s="1"/>
  <c r="U411" i="8"/>
  <c r="U412" i="8" s="1"/>
  <c r="M764" i="8"/>
  <c r="M765" i="8" s="1"/>
  <c r="O32" i="2"/>
  <c r="L772" i="8"/>
  <c r="L773" i="8" s="1"/>
  <c r="O1176" i="8"/>
  <c r="O1177" i="8" s="1"/>
  <c r="T32" i="2"/>
  <c r="T315" i="8"/>
  <c r="T316" i="8" s="1"/>
  <c r="L812" i="8"/>
  <c r="L813" i="8" s="1"/>
  <c r="P608" i="8"/>
  <c r="P609" i="8" s="1"/>
  <c r="Q279" i="2"/>
  <c r="P344" i="2"/>
  <c r="P333" i="2"/>
  <c r="P40" i="14" s="1"/>
  <c r="O319" i="2"/>
  <c r="O362" i="2"/>
  <c r="O391" i="2" s="1"/>
  <c r="U303" i="2"/>
  <c r="L303" i="2"/>
  <c r="AA303" i="2"/>
  <c r="Q303" i="2"/>
  <c r="AD303" i="2"/>
  <c r="V303" i="2"/>
  <c r="W303" i="2"/>
  <c r="X303" i="2"/>
  <c r="Y303" i="2"/>
  <c r="Z303" i="2"/>
  <c r="AB88" i="2"/>
  <c r="AB335" i="8"/>
  <c r="AB336" i="8" s="1"/>
  <c r="T33" i="2"/>
  <c r="T319" i="8"/>
  <c r="T320" i="8" s="1"/>
  <c r="R776" i="8"/>
  <c r="R777" i="8" s="1"/>
  <c r="R1020" i="8"/>
  <c r="R1021" i="8" s="1"/>
  <c r="S682" i="2"/>
  <c r="R736" i="2"/>
  <c r="R209" i="14" s="1"/>
  <c r="R747" i="2"/>
  <c r="P347" i="2"/>
  <c r="P336" i="2"/>
  <c r="P43" i="14" s="1"/>
  <c r="Q282" i="2"/>
  <c r="P620" i="8"/>
  <c r="P621" i="8" s="1"/>
  <c r="M772" i="8"/>
  <c r="M773" i="8" s="1"/>
  <c r="X718" i="2"/>
  <c r="X761" i="2"/>
  <c r="X790" i="2" s="1"/>
  <c r="P1168" i="8"/>
  <c r="P1169" i="8" s="1"/>
  <c r="S616" i="8"/>
  <c r="S617" i="8" s="1"/>
  <c r="S335" i="2"/>
  <c r="S42" i="14" s="1"/>
  <c r="S346" i="2"/>
  <c r="T281" i="2"/>
  <c r="Q1216" i="8"/>
  <c r="Q1217" i="8" s="1"/>
  <c r="O1164" i="8"/>
  <c r="O1165" i="8" s="1"/>
  <c r="O780" i="8"/>
  <c r="O781" i="8" s="1"/>
  <c r="O772" i="8"/>
  <c r="O773" i="8" s="1"/>
  <c r="L760" i="8"/>
  <c r="L761" i="8" s="1"/>
  <c r="M780" i="8"/>
  <c r="M781" i="8" s="1"/>
  <c r="AB29" i="2"/>
  <c r="AB303" i="8"/>
  <c r="AB304" i="8" s="1"/>
  <c r="Q1008" i="8"/>
  <c r="Q1009" i="8" s="1"/>
  <c r="Q744" i="2"/>
  <c r="R679" i="2"/>
  <c r="Q733" i="2"/>
  <c r="Q206" i="14" s="1"/>
  <c r="P820" i="8"/>
  <c r="P821" i="8" s="1"/>
  <c r="W299" i="8"/>
  <c r="W300" i="8" s="1"/>
  <c r="R812" i="8"/>
  <c r="R813" i="8" s="1"/>
  <c r="Q1180" i="8"/>
  <c r="Q1181" i="8" s="1"/>
  <c r="O1200" i="8"/>
  <c r="O1201" i="8" s="1"/>
  <c r="O816" i="8"/>
  <c r="O817" i="8" s="1"/>
  <c r="AC319" i="2"/>
  <c r="AC362" i="2"/>
  <c r="AC391" i="2" s="1"/>
  <c r="N772" i="8"/>
  <c r="N773" i="8" s="1"/>
  <c r="F589" i="8"/>
  <c r="P1204" i="8"/>
  <c r="P1205" i="8" s="1"/>
  <c r="P784" i="8"/>
  <c r="P785" i="8" s="1"/>
  <c r="W419" i="8"/>
  <c r="W420" i="8" s="1"/>
  <c r="F593" i="8"/>
  <c r="P1004" i="8"/>
  <c r="P1005" i="8" s="1"/>
  <c r="Q678" i="2"/>
  <c r="P743" i="2"/>
  <c r="P732" i="2"/>
  <c r="P205" i="14" s="1"/>
  <c r="N1164" i="8"/>
  <c r="N1165" i="8" s="1"/>
  <c r="N768" i="8"/>
  <c r="N769" i="8" s="1"/>
  <c r="AB90" i="2"/>
  <c r="AB343" i="8"/>
  <c r="AB344" i="8" s="1"/>
  <c r="R283" i="2"/>
  <c r="Q337" i="2"/>
  <c r="Q44" i="14" s="1"/>
  <c r="Q348" i="2"/>
  <c r="Q624" i="8"/>
  <c r="Q625" i="8" s="1"/>
  <c r="Y148" i="2"/>
  <c r="Q331" i="8"/>
  <c r="Q332" i="8" s="1"/>
  <c r="Z215" i="2"/>
  <c r="N303" i="2"/>
  <c r="S303" i="2"/>
  <c r="AE27" i="2"/>
  <c r="AE295" i="8"/>
  <c r="AE296" i="8" s="1"/>
  <c r="L820" i="8"/>
  <c r="L821" i="8" s="1"/>
  <c r="M1164" i="8"/>
  <c r="M1165" i="8" s="1"/>
  <c r="N1172" i="8"/>
  <c r="N1173" i="8" s="1"/>
  <c r="L718" i="2"/>
  <c r="L761" i="2"/>
  <c r="L790" i="2" s="1"/>
  <c r="U302" i="2"/>
  <c r="Z302" i="2"/>
  <c r="AC302" i="2"/>
  <c r="AA302" i="2"/>
  <c r="AD302" i="2"/>
  <c r="L302" i="2"/>
  <c r="X302" i="2"/>
  <c r="Y302" i="2"/>
  <c r="M804" i="8"/>
  <c r="M805" i="8" s="1"/>
  <c r="S208" i="2"/>
  <c r="O1192" i="8"/>
  <c r="O1193" i="8" s="1"/>
  <c r="M1172" i="8"/>
  <c r="M1173" i="8" s="1"/>
  <c r="P319" i="2"/>
  <c r="P362" i="2"/>
  <c r="P391" i="2" s="1"/>
  <c r="N338" i="2"/>
  <c r="N788" i="8" s="1"/>
  <c r="N789" i="8" s="1"/>
  <c r="M1160" i="8"/>
  <c r="M1161" i="8" s="1"/>
  <c r="X155" i="2"/>
  <c r="X399" i="8"/>
  <c r="X400" i="8" s="1"/>
  <c r="S718" i="2"/>
  <c r="S761" i="2"/>
  <c r="S790" i="2" s="1"/>
  <c r="M768" i="8"/>
  <c r="M769" i="8" s="1"/>
  <c r="V301" i="2"/>
  <c r="Q307" i="8"/>
  <c r="Q308" i="8" s="1"/>
  <c r="AA35" i="2"/>
  <c r="N780" i="8"/>
  <c r="N781" i="8" s="1"/>
  <c r="O303" i="2"/>
  <c r="O1156" i="8"/>
  <c r="O1157" i="8" s="1"/>
  <c r="X34" i="2"/>
  <c r="X323" i="8"/>
  <c r="X324" i="8" s="1"/>
  <c r="L1012" i="8"/>
  <c r="L1013" i="8" s="1"/>
  <c r="L745" i="2"/>
  <c r="L734" i="2"/>
  <c r="L207" i="14" s="1"/>
  <c r="L1000" i="8"/>
  <c r="L1001" i="8" s="1"/>
  <c r="L742" i="2"/>
  <c r="L731" i="2"/>
  <c r="L204" i="14" s="1"/>
  <c r="P301" i="2"/>
  <c r="M1204" i="8"/>
  <c r="M1205" i="8" s="1"/>
  <c r="AA663" i="2"/>
  <c r="AA264" i="2"/>
  <c r="R303" i="2"/>
  <c r="Q1012" i="8"/>
  <c r="Q1013" i="8" s="1"/>
  <c r="R680" i="2"/>
  <c r="Q734" i="2"/>
  <c r="Q207" i="14" s="1"/>
  <c r="Q745" i="2"/>
  <c r="W212" i="2"/>
  <c r="AB327" i="8"/>
  <c r="AB328" i="8" s="1"/>
  <c r="P323" i="8"/>
  <c r="P324" i="8" s="1"/>
  <c r="T303" i="2"/>
  <c r="P996" i="8"/>
  <c r="P997" i="8" s="1"/>
  <c r="Q676" i="2"/>
  <c r="P730" i="2"/>
  <c r="P203" i="14" s="1"/>
  <c r="P741" i="2"/>
  <c r="P27" i="2"/>
  <c r="P295" i="8"/>
  <c r="P296" i="8" s="1"/>
  <c r="M1208" i="8"/>
  <c r="M1209" i="8" s="1"/>
  <c r="M1196" i="8"/>
  <c r="M1197" i="8" s="1"/>
  <c r="R301" i="2"/>
  <c r="P302" i="2"/>
  <c r="M1168" i="8"/>
  <c r="M1169" i="8" s="1"/>
  <c r="AB663" i="2"/>
  <c r="AB264" i="2"/>
  <c r="P764" i="8"/>
  <c r="P765" i="8" s="1"/>
  <c r="Q301" i="2"/>
  <c r="AB30" i="2"/>
  <c r="AB307" i="8"/>
  <c r="AB308" i="8" s="1"/>
  <c r="P1208" i="8"/>
  <c r="P1209" i="8" s="1"/>
  <c r="M1216" i="8"/>
  <c r="M1217" i="8" s="1"/>
  <c r="L333" i="2"/>
  <c r="L40" i="14" s="1"/>
  <c r="L608" i="8"/>
  <c r="L609" i="8" s="1"/>
  <c r="L344" i="2"/>
  <c r="O1196" i="8"/>
  <c r="O1197" i="8" s="1"/>
  <c r="AD387" i="8"/>
  <c r="AD388" i="8" s="1"/>
  <c r="Q319" i="8"/>
  <c r="Q320" i="8" s="1"/>
  <c r="L154" i="2"/>
  <c r="X371" i="8"/>
  <c r="X372" i="8" s="1"/>
  <c r="AB301" i="2"/>
  <c r="P756" i="8"/>
  <c r="P757" i="8" s="1"/>
  <c r="AA665" i="2"/>
  <c r="AA266" i="2"/>
  <c r="O338" i="2"/>
  <c r="O788" i="8" s="1"/>
  <c r="O789" i="8" s="1"/>
  <c r="P772" i="8"/>
  <c r="P773" i="8" s="1"/>
  <c r="T31" i="2"/>
  <c r="T311" i="8"/>
  <c r="T312" i="8" s="1"/>
  <c r="P31" i="2"/>
  <c r="P311" i="8"/>
  <c r="P312" i="8" s="1"/>
  <c r="R302" i="2"/>
  <c r="L1008" i="8"/>
  <c r="L1009" i="8" s="1"/>
  <c r="L733" i="2"/>
  <c r="L206" i="14" s="1"/>
  <c r="L744" i="2"/>
  <c r="P800" i="8"/>
  <c r="P801" i="8" s="1"/>
  <c r="O737" i="2"/>
  <c r="O1184" i="8" s="1"/>
  <c r="O1185" i="8" s="1"/>
  <c r="Q302" i="2"/>
  <c r="P1172" i="8"/>
  <c r="P1173" i="8" s="1"/>
  <c r="L1020" i="8"/>
  <c r="L1021" i="8" s="1"/>
  <c r="L736" i="2"/>
  <c r="L209" i="14" s="1"/>
  <c r="L747" i="2"/>
  <c r="O1160" i="8"/>
  <c r="O1161" i="8" s="1"/>
  <c r="K375" i="8"/>
  <c r="Q215" i="2"/>
  <c r="L764" i="8"/>
  <c r="L765" i="8" s="1"/>
  <c r="Q330" i="2"/>
  <c r="Q37" i="14" s="1"/>
  <c r="AB266" i="2"/>
  <c r="AB665" i="2"/>
  <c r="AD32" i="2"/>
  <c r="AD315" i="8"/>
  <c r="AD316" i="8" s="1"/>
  <c r="L816" i="8"/>
  <c r="L817" i="8" s="1"/>
  <c r="O1172" i="8"/>
  <c r="O1173" i="8" s="1"/>
  <c r="M756" i="8"/>
  <c r="M757" i="8" s="1"/>
  <c r="M338" i="2"/>
  <c r="M788" i="8" s="1"/>
  <c r="M789" i="8" s="1"/>
  <c r="Q604" i="8"/>
  <c r="Q605" i="8" s="1"/>
  <c r="R278" i="2"/>
  <c r="Q343" i="2"/>
  <c r="Q332" i="2"/>
  <c r="Q39" i="14" s="1"/>
  <c r="T35" i="2"/>
  <c r="T327" i="8"/>
  <c r="T328" i="8" s="1"/>
  <c r="M1180" i="8"/>
  <c r="M1181" i="8" s="1"/>
  <c r="P1000" i="8"/>
  <c r="P1001" i="8" s="1"/>
  <c r="Q677" i="2"/>
  <c r="P731" i="2"/>
  <c r="P204" i="14" s="1"/>
  <c r="P742" i="2"/>
  <c r="Z761" i="2"/>
  <c r="Z790" i="2" s="1"/>
  <c r="Z718" i="2"/>
  <c r="X301" i="2"/>
  <c r="AA301" i="2"/>
  <c r="Z301" i="2"/>
  <c r="U301" i="2"/>
  <c r="Y301" i="2"/>
  <c r="AD301" i="2"/>
  <c r="L301" i="2"/>
  <c r="N301" i="2"/>
  <c r="AA431" i="8"/>
  <c r="AA432" i="8" s="1"/>
  <c r="AA214" i="2"/>
  <c r="AC303" i="2"/>
  <c r="AA667" i="2"/>
  <c r="AA268" i="2"/>
  <c r="O1212" i="8"/>
  <c r="O1213" i="8" s="1"/>
  <c r="M792" i="8"/>
  <c r="M793" i="8" s="1"/>
  <c r="M349" i="2"/>
  <c r="M824" i="8" s="1"/>
  <c r="M825" i="8" s="1"/>
  <c r="AD31" i="2"/>
  <c r="AD311" i="8"/>
  <c r="AD312" i="8" s="1"/>
  <c r="X211" i="2"/>
  <c r="X419" i="8"/>
  <c r="X420" i="8" s="1"/>
  <c r="O804" i="8"/>
  <c r="O805" i="8" s="1"/>
  <c r="O349" i="2"/>
  <c r="O824" i="8" s="1"/>
  <c r="O825" i="8" s="1"/>
  <c r="AE303" i="2"/>
  <c r="AE395" i="8"/>
  <c r="AE396" i="8" s="1"/>
  <c r="V212" i="2"/>
  <c r="S27" i="2"/>
  <c r="S295" i="8"/>
  <c r="S296" i="8" s="1"/>
  <c r="AC95" i="2"/>
  <c r="AC363" i="8"/>
  <c r="AC364" i="8" s="1"/>
  <c r="N209" i="2"/>
  <c r="Y299" i="8"/>
  <c r="Y300" i="8" s="1"/>
  <c r="Y28" i="2"/>
  <c r="Q35" i="2"/>
  <c r="Q327" i="8"/>
  <c r="Q328" i="8" s="1"/>
  <c r="AB31" i="2"/>
  <c r="AB311" i="8"/>
  <c r="AB312" i="8" s="1"/>
  <c r="Z33" i="2"/>
  <c r="Z319" i="8"/>
  <c r="Z320" i="8" s="1"/>
  <c r="S29" i="2"/>
  <c r="S303" i="8"/>
  <c r="S304" i="8" s="1"/>
  <c r="N32" i="2"/>
  <c r="N315" i="8"/>
  <c r="N316" i="8" s="1"/>
  <c r="Q31" i="2"/>
  <c r="Q311" i="8"/>
  <c r="Q312" i="8" s="1"/>
  <c r="O327" i="8"/>
  <c r="O328" i="8" s="1"/>
  <c r="N214" i="2"/>
  <c r="N431" i="8"/>
  <c r="N432" i="8" s="1"/>
  <c r="Y315" i="8"/>
  <c r="Y316" i="8" s="1"/>
  <c r="AC315" i="8"/>
  <c r="AC316" i="8" s="1"/>
  <c r="AC32" i="2"/>
  <c r="Q27" i="2"/>
  <c r="Q295" i="8"/>
  <c r="Q296" i="8" s="1"/>
  <c r="V214" i="2"/>
  <c r="V431" i="8"/>
  <c r="V432" i="8" s="1"/>
  <c r="W327" i="8"/>
  <c r="W328" i="8" s="1"/>
  <c r="Z32" i="2"/>
  <c r="Z315" i="8"/>
  <c r="Z316" i="8" s="1"/>
  <c r="P33" i="2"/>
  <c r="P319" i="8"/>
  <c r="P320" i="8" s="1"/>
  <c r="N148" i="2"/>
  <c r="N371" i="8"/>
  <c r="N372" i="8" s="1"/>
  <c r="M31" i="2"/>
  <c r="M311" i="8"/>
  <c r="M312" i="8" s="1"/>
  <c r="AC30" i="2"/>
  <c r="AC90" i="2"/>
  <c r="AC343" i="8"/>
  <c r="AC344" i="8" s="1"/>
  <c r="Q32" i="2"/>
  <c r="Q315" i="8"/>
  <c r="Q316" i="8" s="1"/>
  <c r="V31" i="2"/>
  <c r="V311" i="8"/>
  <c r="V312" i="8" s="1"/>
  <c r="AC92" i="2"/>
  <c r="AC351" i="8"/>
  <c r="AC352" i="8" s="1"/>
  <c r="Y395" i="8"/>
  <c r="Y396" i="8" s="1"/>
  <c r="X208" i="2"/>
  <c r="X407" i="8"/>
  <c r="X408" i="8" s="1"/>
  <c r="S319" i="8"/>
  <c r="S320" i="8" s="1"/>
  <c r="S33" i="2"/>
  <c r="AB34" i="2"/>
  <c r="AB323" i="8"/>
  <c r="AB324" i="8" s="1"/>
  <c r="Y33" i="2"/>
  <c r="Y319" i="8"/>
  <c r="Y320" i="8" s="1"/>
  <c r="S31" i="2"/>
  <c r="S311" i="8"/>
  <c r="S312" i="8" s="1"/>
  <c r="L383" i="8"/>
  <c r="L384" i="8" s="1"/>
  <c r="X213" i="2"/>
  <c r="X427" i="8"/>
  <c r="X428" i="8" s="1"/>
  <c r="AC415" i="8"/>
  <c r="AC416" i="8" s="1"/>
  <c r="AC210" i="2"/>
  <c r="S35" i="2"/>
  <c r="S327" i="8"/>
  <c r="S328" i="8" s="1"/>
  <c r="R383" i="8"/>
  <c r="R384" i="8" s="1"/>
  <c r="Q207" i="2"/>
  <c r="AA415" i="8"/>
  <c r="AA416" i="8" s="1"/>
  <c r="AA210" i="2"/>
  <c r="N28" i="2"/>
  <c r="N299" i="8"/>
  <c r="N300" i="8" s="1"/>
  <c r="AE151" i="2"/>
  <c r="AE383" i="8"/>
  <c r="AE384" i="8" s="1"/>
  <c r="V33" i="2"/>
  <c r="V319" i="8"/>
  <c r="V320" i="8" s="1"/>
  <c r="AC31" i="2"/>
  <c r="AC311" i="8"/>
  <c r="AC312" i="8" s="1"/>
  <c r="R379" i="8"/>
  <c r="R380" i="8" s="1"/>
  <c r="Y303" i="8"/>
  <c r="Y304" i="8" s="1"/>
  <c r="Z35" i="2"/>
  <c r="Z327" i="8"/>
  <c r="Z328" i="8" s="1"/>
  <c r="K34" i="2"/>
  <c r="K323" i="8"/>
  <c r="V211" i="2"/>
  <c r="V419" i="8"/>
  <c r="V420" i="8" s="1"/>
  <c r="AC91" i="2"/>
  <c r="AC347" i="8"/>
  <c r="AC348" i="8" s="1"/>
  <c r="Y27" i="2"/>
  <c r="Y295" i="8"/>
  <c r="Y296" i="8" s="1"/>
  <c r="S214" i="2"/>
  <c r="N155" i="2"/>
  <c r="N399" i="8"/>
  <c r="N400" i="8" s="1"/>
  <c r="P371" i="8"/>
  <c r="P372" i="8" s="1"/>
  <c r="P148" i="2"/>
  <c r="V209" i="2"/>
  <c r="V411" i="8"/>
  <c r="V412" i="8" s="1"/>
  <c r="Y311" i="8"/>
  <c r="Y312" i="8" s="1"/>
  <c r="Y31" i="2"/>
  <c r="Q28" i="2"/>
  <c r="Q299" i="8"/>
  <c r="Q300" i="8" s="1"/>
  <c r="AC28" i="2"/>
  <c r="AC299" i="8"/>
  <c r="AC300" i="8" s="1"/>
  <c r="U154" i="2"/>
  <c r="U395" i="8"/>
  <c r="U396" i="8" s="1"/>
  <c r="O151" i="2"/>
  <c r="O383" i="8"/>
  <c r="O384" i="8" s="1"/>
  <c r="S88" i="2"/>
  <c r="S335" i="8"/>
  <c r="S336" i="8" s="1"/>
  <c r="K88" i="2"/>
  <c r="K335" i="8"/>
  <c r="Q93" i="2"/>
  <c r="Q355" i="8"/>
  <c r="Q356" i="8" s="1"/>
  <c r="K154" i="2"/>
  <c r="K395" i="8"/>
  <c r="T151" i="2"/>
  <c r="T383" i="8"/>
  <c r="T384" i="8" s="1"/>
  <c r="O154" i="2"/>
  <c r="O395" i="8"/>
  <c r="O396" i="8" s="1"/>
  <c r="AE152" i="2"/>
  <c r="AE387" i="8"/>
  <c r="AE388" i="8" s="1"/>
  <c r="T155" i="2"/>
  <c r="T399" i="8"/>
  <c r="T400" i="8" s="1"/>
  <c r="M152" i="2"/>
  <c r="M387" i="8"/>
  <c r="M388" i="8" s="1"/>
  <c r="K152" i="2"/>
  <c r="K387" i="8"/>
  <c r="K430" i="2"/>
  <c r="AE95" i="2"/>
  <c r="AE363" i="8"/>
  <c r="AE364" i="8" s="1"/>
  <c r="K87" i="2"/>
  <c r="K331" i="8"/>
  <c r="Z93" i="2"/>
  <c r="Z355" i="8"/>
  <c r="Z356" i="8" s="1"/>
  <c r="W150" i="2"/>
  <c r="W379" i="8"/>
  <c r="W380" i="8" s="1"/>
  <c r="AA92" i="2"/>
  <c r="AA351" i="8"/>
  <c r="AA352" i="8" s="1"/>
  <c r="K613" i="2"/>
  <c r="AA90" i="2"/>
  <c r="AA343" i="8"/>
  <c r="AA344" i="8" s="1"/>
  <c r="K155" i="2"/>
  <c r="K399" i="8"/>
  <c r="L148" i="2"/>
  <c r="L371" i="8"/>
  <c r="L372" i="8" s="1"/>
  <c r="AE149" i="2"/>
  <c r="AE375" i="8"/>
  <c r="AE376" i="8" s="1"/>
  <c r="R30" i="2"/>
  <c r="R307" i="8"/>
  <c r="R308" i="8" s="1"/>
  <c r="K609" i="2"/>
  <c r="R33" i="2"/>
  <c r="R319" i="8"/>
  <c r="R320" i="8" s="1"/>
  <c r="K93" i="2"/>
  <c r="K355" i="8"/>
  <c r="AA87" i="2"/>
  <c r="AA331" i="8"/>
  <c r="AA332" i="8" s="1"/>
  <c r="AE93" i="2"/>
  <c r="AE355" i="8"/>
  <c r="AE356" i="8" s="1"/>
  <c r="R28" i="2"/>
  <c r="R299" i="8"/>
  <c r="R300" i="8" s="1"/>
  <c r="W154" i="2"/>
  <c r="W395" i="8"/>
  <c r="W396" i="8" s="1"/>
  <c r="S93" i="2"/>
  <c r="S355" i="8"/>
  <c r="S356" i="8" s="1"/>
  <c r="R35" i="2"/>
  <c r="R327" i="8"/>
  <c r="R328" i="8" s="1"/>
  <c r="Q90" i="2"/>
  <c r="Q343" i="8"/>
  <c r="Q344" i="8" s="1"/>
  <c r="AE90" i="2"/>
  <c r="AE343" i="8"/>
  <c r="AE344" i="8" s="1"/>
  <c r="Q89" i="2"/>
  <c r="Q339" i="8"/>
  <c r="Q340" i="8" s="1"/>
  <c r="Q95" i="2"/>
  <c r="Q363" i="8"/>
  <c r="Q364" i="8" s="1"/>
  <c r="K426" i="2"/>
  <c r="R31" i="2"/>
  <c r="R311" i="8"/>
  <c r="R312" i="8" s="1"/>
  <c r="AE92" i="2"/>
  <c r="AE351" i="8"/>
  <c r="AE352" i="8" s="1"/>
  <c r="S89" i="2"/>
  <c r="S339" i="8"/>
  <c r="S340" i="8" s="1"/>
  <c r="AE89" i="2"/>
  <c r="AE339" i="8"/>
  <c r="AE340" i="8" s="1"/>
  <c r="S94" i="2"/>
  <c r="S359" i="8"/>
  <c r="S360" i="8" s="1"/>
  <c r="K553" i="2"/>
  <c r="M150" i="2"/>
  <c r="M379" i="8"/>
  <c r="M380" i="8" s="1"/>
  <c r="K147" i="2"/>
  <c r="K367" i="8"/>
  <c r="O155" i="2"/>
  <c r="O399" i="8"/>
  <c r="O400" i="8" s="1"/>
  <c r="K427" i="2"/>
  <c r="R32" i="2"/>
  <c r="R315" i="8"/>
  <c r="R316" i="8" s="1"/>
  <c r="M148" i="2"/>
  <c r="M371" i="8"/>
  <c r="M372" i="8" s="1"/>
  <c r="O153" i="2"/>
  <c r="O391" i="8"/>
  <c r="O392" i="8" s="1"/>
  <c r="W151" i="2"/>
  <c r="W383" i="8"/>
  <c r="W384" i="8" s="1"/>
  <c r="R148" i="2"/>
  <c r="R371" i="8"/>
  <c r="R372" i="8" s="1"/>
  <c r="R34" i="2"/>
  <c r="R323" i="8"/>
  <c r="R324" i="8" s="1"/>
  <c r="T153" i="2"/>
  <c r="T391" i="8"/>
  <c r="T392" i="8" s="1"/>
  <c r="K606" i="2"/>
  <c r="T149" i="2"/>
  <c r="T375" i="8"/>
  <c r="T376" i="8" s="1"/>
  <c r="W153" i="2"/>
  <c r="W391" i="8"/>
  <c r="W392" i="8" s="1"/>
  <c r="U155" i="2"/>
  <c r="U399" i="8"/>
  <c r="U400" i="8" s="1"/>
  <c r="K151" i="2"/>
  <c r="K383" i="8"/>
  <c r="K148" i="2"/>
  <c r="K371" i="8"/>
  <c r="K607" i="2"/>
  <c r="M153" i="2"/>
  <c r="M391" i="8"/>
  <c r="M392" i="8" s="1"/>
  <c r="Z90" i="2"/>
  <c r="Z343" i="8"/>
  <c r="Z344" i="8" s="1"/>
  <c r="Z150" i="2"/>
  <c r="Z379" i="8"/>
  <c r="Z380" i="8" s="1"/>
  <c r="K91" i="2"/>
  <c r="K347" i="8"/>
  <c r="U148" i="2"/>
  <c r="U371" i="8"/>
  <c r="U372" i="8" s="1"/>
  <c r="AA91" i="2"/>
  <c r="AA347" i="8"/>
  <c r="AA348" i="8" s="1"/>
  <c r="Z88" i="2"/>
  <c r="Z335" i="8"/>
  <c r="Z336" i="8" s="1"/>
  <c r="V149" i="2"/>
  <c r="V375" i="8"/>
  <c r="V376" i="8" s="1"/>
  <c r="T152" i="2"/>
  <c r="T387" i="8"/>
  <c r="T388" i="8" s="1"/>
  <c r="O152" i="2"/>
  <c r="O387" i="8"/>
  <c r="O388" i="8" s="1"/>
  <c r="U149" i="2"/>
  <c r="U375" i="8"/>
  <c r="U376" i="8" s="1"/>
  <c r="AA148" i="2"/>
  <c r="AA371" i="8"/>
  <c r="AA372" i="8" s="1"/>
  <c r="W152" i="2"/>
  <c r="W387" i="8"/>
  <c r="W388" i="8" s="1"/>
  <c r="M154" i="2"/>
  <c r="M395" i="8"/>
  <c r="M396" i="8" s="1"/>
  <c r="R152" i="2"/>
  <c r="R387" i="8"/>
  <c r="R388" i="8" s="1"/>
  <c r="AE88" i="2"/>
  <c r="AE335" i="8"/>
  <c r="AE336" i="8" s="1"/>
  <c r="Q92" i="2"/>
  <c r="Q351" i="8"/>
  <c r="Q352" i="8" s="1"/>
  <c r="S95" i="2"/>
  <c r="S363" i="8"/>
  <c r="S364" i="8" s="1"/>
  <c r="W147" i="2"/>
  <c r="W367" i="8"/>
  <c r="W368" i="8" s="1"/>
  <c r="K431" i="2"/>
  <c r="T147" i="2"/>
  <c r="T367" i="8"/>
  <c r="T368" i="8" s="1"/>
  <c r="Z87" i="2"/>
  <c r="Z331" i="8"/>
  <c r="Z332" i="8" s="1"/>
  <c r="U152" i="2"/>
  <c r="U387" i="8"/>
  <c r="U388" i="8" s="1"/>
  <c r="AA154" i="2"/>
  <c r="AA395" i="8"/>
  <c r="AA396" i="8" s="1"/>
  <c r="O147" i="2"/>
  <c r="O367" i="8"/>
  <c r="O368" i="8" s="1"/>
  <c r="AE94" i="2"/>
  <c r="AE359" i="8"/>
  <c r="AE360" i="8" s="1"/>
  <c r="L153" i="2"/>
  <c r="L391" i="8"/>
  <c r="L392" i="8" s="1"/>
  <c r="K429" i="2"/>
  <c r="K150" i="2"/>
  <c r="K379" i="8"/>
  <c r="W155" i="2"/>
  <c r="W399" i="8"/>
  <c r="W400" i="8" s="1"/>
  <c r="M147" i="2"/>
  <c r="M367" i="8"/>
  <c r="M368" i="8" s="1"/>
  <c r="R27" i="2"/>
  <c r="R295" i="8"/>
  <c r="R296" i="8" s="1"/>
  <c r="T150" i="2"/>
  <c r="T379" i="8"/>
  <c r="T380" i="8" s="1"/>
  <c r="Y150" i="2"/>
  <c r="Y379" i="8"/>
  <c r="Y380" i="8" s="1"/>
  <c r="S87" i="2"/>
  <c r="S331" i="8"/>
  <c r="S332" i="8" s="1"/>
  <c r="AA89" i="2"/>
  <c r="AA339" i="8"/>
  <c r="AA340" i="8" s="1"/>
  <c r="Z91" i="2"/>
  <c r="Z347" i="8"/>
  <c r="Z348" i="8" s="1"/>
  <c r="K428" i="2"/>
  <c r="Y151" i="2"/>
  <c r="Y383" i="8"/>
  <c r="Y384" i="8" s="1"/>
  <c r="V147" i="2"/>
  <c r="V367" i="8"/>
  <c r="V368" i="8" s="1"/>
  <c r="Y153" i="2"/>
  <c r="Y391" i="8"/>
  <c r="Y392" i="8" s="1"/>
  <c r="AA149" i="2"/>
  <c r="AA375" i="8"/>
  <c r="AA376" i="8" s="1"/>
  <c r="K612" i="2"/>
  <c r="AA155" i="2"/>
  <c r="AA399" i="8"/>
  <c r="AA400" i="8" s="1"/>
  <c r="O148" i="2"/>
  <c r="O371" i="8"/>
  <c r="O372" i="8" s="1"/>
  <c r="Y155" i="2"/>
  <c r="Y399" i="8"/>
  <c r="Y400" i="8" s="1"/>
  <c r="K432" i="2"/>
  <c r="Q91" i="2"/>
  <c r="Q347" i="8"/>
  <c r="Q348" i="8" s="1"/>
  <c r="U151" i="2"/>
  <c r="U383" i="8"/>
  <c r="U384" i="8" s="1"/>
  <c r="T154" i="2"/>
  <c r="T395" i="8"/>
  <c r="T396" i="8" s="1"/>
  <c r="U153" i="2"/>
  <c r="U391" i="8"/>
  <c r="U392" i="8" s="1"/>
  <c r="Z94" i="2"/>
  <c r="Z359" i="8"/>
  <c r="Z360" i="8" s="1"/>
  <c r="S90" i="2"/>
  <c r="S343" i="8"/>
  <c r="S344" i="8" s="1"/>
  <c r="AA88" i="2"/>
  <c r="AA335" i="8"/>
  <c r="AA336" i="8" s="1"/>
  <c r="AA94" i="2"/>
  <c r="AA359" i="8"/>
  <c r="AA360" i="8" s="1"/>
  <c r="R29" i="2"/>
  <c r="R303" i="8"/>
  <c r="R304" i="8" s="1"/>
  <c r="V152" i="2"/>
  <c r="V387" i="8"/>
  <c r="V388" i="8" s="1"/>
  <c r="AE87" i="2"/>
  <c r="AE331" i="8"/>
  <c r="AE332" i="8" s="1"/>
  <c r="Z148" i="2"/>
  <c r="Z371" i="8"/>
  <c r="Z372" i="8" s="1"/>
  <c r="K89" i="2"/>
  <c r="K339" i="8"/>
  <c r="U147" i="2"/>
  <c r="U367" i="8"/>
  <c r="U368" i="8" s="1"/>
  <c r="Y152" i="2"/>
  <c r="Y387" i="8"/>
  <c r="Y388" i="8" s="1"/>
  <c r="Z92" i="2"/>
  <c r="Z351" i="8"/>
  <c r="Z352" i="8" s="1"/>
  <c r="T148" i="2"/>
  <c r="T371" i="8"/>
  <c r="T372" i="8" s="1"/>
  <c r="W149" i="2"/>
  <c r="W375" i="8"/>
  <c r="W376" i="8" s="1"/>
  <c r="M155" i="2"/>
  <c r="M399" i="8"/>
  <c r="M400" i="8" s="1"/>
  <c r="AA151" i="2"/>
  <c r="AA383" i="8"/>
  <c r="AA384" i="8" s="1"/>
  <c r="V153" i="2"/>
  <c r="V391" i="8"/>
  <c r="V392" i="8" s="1"/>
  <c r="Z154" i="2"/>
  <c r="Z395" i="8"/>
  <c r="Z396" i="8" s="1"/>
  <c r="U150" i="2"/>
  <c r="U379" i="8"/>
  <c r="U380" i="8" s="1"/>
  <c r="K433" i="2"/>
  <c r="L150" i="2"/>
  <c r="L379" i="8"/>
  <c r="L380" i="8" s="1"/>
  <c r="K554" i="2"/>
  <c r="AA153" i="2"/>
  <c r="AA391" i="8"/>
  <c r="AA392" i="8" s="1"/>
  <c r="M149" i="2"/>
  <c r="M375" i="8"/>
  <c r="M376" i="8" s="1"/>
  <c r="M151" i="2"/>
  <c r="M383" i="8"/>
  <c r="M384" i="8" s="1"/>
  <c r="W148" i="2"/>
  <c r="W371" i="8"/>
  <c r="W372" i="8" s="1"/>
  <c r="R276" i="2" l="1"/>
  <c r="Q596" i="8"/>
  <c r="Q597" i="8" s="1"/>
  <c r="O77" i="14"/>
  <c r="M77" i="14"/>
  <c r="P77" i="14"/>
  <c r="W988" i="8"/>
  <c r="W989" i="8" s="1"/>
  <c r="W178" i="14"/>
  <c r="T988" i="8"/>
  <c r="T989" i="8" s="1"/>
  <c r="T178" i="14"/>
  <c r="Y988" i="8"/>
  <c r="Y989" i="8" s="1"/>
  <c r="Y178" i="14"/>
  <c r="L776" i="8"/>
  <c r="L777" i="8" s="1"/>
  <c r="L42" i="14"/>
  <c r="Q760" i="8"/>
  <c r="Q761" i="8" s="1"/>
  <c r="Q38" i="14"/>
  <c r="AB988" i="8"/>
  <c r="AB989" i="8" s="1"/>
  <c r="AB178" i="14"/>
  <c r="AB184" i="14" s="1"/>
  <c r="Q796" i="8"/>
  <c r="Q797" i="8" s="1"/>
  <c r="AC988" i="8"/>
  <c r="AC989" i="8" s="1"/>
  <c r="AC178" i="14"/>
  <c r="AC185" i="14" s="1"/>
  <c r="M988" i="8"/>
  <c r="M989" i="8" s="1"/>
  <c r="M178" i="14"/>
  <c r="M183" i="14" s="1"/>
  <c r="O988" i="8"/>
  <c r="O989" i="8" s="1"/>
  <c r="O178" i="14"/>
  <c r="O187" i="14" s="1"/>
  <c r="L784" i="8"/>
  <c r="L785" i="8" s="1"/>
  <c r="L44" i="14"/>
  <c r="U189" i="14"/>
  <c r="U183" i="14"/>
  <c r="U184" i="14"/>
  <c r="U186" i="14"/>
  <c r="U182" i="14"/>
  <c r="U187" i="14"/>
  <c r="U185" i="14"/>
  <c r="U188" i="14"/>
  <c r="F1460" i="8"/>
  <c r="T177" i="14"/>
  <c r="X988" i="8"/>
  <c r="X989" i="8" s="1"/>
  <c r="X178" i="14"/>
  <c r="X183" i="14" s="1"/>
  <c r="Q189" i="14"/>
  <c r="Q186" i="14"/>
  <c r="Q188" i="14"/>
  <c r="Q184" i="14"/>
  <c r="Q187" i="14"/>
  <c r="Q185" i="14"/>
  <c r="Q182" i="14"/>
  <c r="Q183" i="14"/>
  <c r="Z988" i="8"/>
  <c r="Z989" i="8" s="1"/>
  <c r="Z178" i="14"/>
  <c r="N988" i="8"/>
  <c r="N989" i="8" s="1"/>
  <c r="N178" i="14"/>
  <c r="N189" i="14" s="1"/>
  <c r="S189" i="14"/>
  <c r="S182" i="14"/>
  <c r="S187" i="14"/>
  <c r="S185" i="14"/>
  <c r="S183" i="14"/>
  <c r="S188" i="14"/>
  <c r="S186" i="14"/>
  <c r="S184" i="14"/>
  <c r="AD988" i="8"/>
  <c r="AD989" i="8" s="1"/>
  <c r="AD178" i="14"/>
  <c r="AD189" i="14" s="1"/>
  <c r="P988" i="8"/>
  <c r="P989" i="8" s="1"/>
  <c r="P178" i="14"/>
  <c r="AA988" i="8"/>
  <c r="AA989" i="8" s="1"/>
  <c r="AA178" i="14"/>
  <c r="AA189" i="14" s="1"/>
  <c r="L1470" i="8"/>
  <c r="L1662" i="8"/>
  <c r="N77" i="14"/>
  <c r="V988" i="8"/>
  <c r="V989" i="8" s="1"/>
  <c r="V178" i="14"/>
  <c r="V189" i="14" s="1"/>
  <c r="R189" i="14"/>
  <c r="R185" i="14"/>
  <c r="R186" i="14"/>
  <c r="R188" i="14"/>
  <c r="R184" i="14"/>
  <c r="R183" i="14"/>
  <c r="R187" i="14"/>
  <c r="R182" i="14"/>
  <c r="N183" i="14"/>
  <c r="AE189" i="14"/>
  <c r="AE182" i="14"/>
  <c r="AE187" i="14"/>
  <c r="AE183" i="14"/>
  <c r="AE184" i="14"/>
  <c r="AE185" i="14"/>
  <c r="AE186" i="14"/>
  <c r="AE188" i="14"/>
  <c r="L988" i="8"/>
  <c r="L989" i="8" s="1"/>
  <c r="L178" i="14"/>
  <c r="R331" i="2"/>
  <c r="R38" i="14" s="1"/>
  <c r="S277" i="2"/>
  <c r="S331" i="2" s="1"/>
  <c r="S38" i="14" s="1"/>
  <c r="Q353" i="2"/>
  <c r="Q832" i="8" s="1"/>
  <c r="Q833" i="8" s="1"/>
  <c r="R342" i="2"/>
  <c r="R796" i="8" s="1"/>
  <c r="R797" i="8" s="1"/>
  <c r="F689" i="8"/>
  <c r="F661" i="8"/>
  <c r="V676" i="8"/>
  <c r="V677" i="8" s="1"/>
  <c r="Y668" i="8"/>
  <c r="Y669" i="8" s="1"/>
  <c r="AD672" i="8"/>
  <c r="AD673" i="8" s="1"/>
  <c r="AD676" i="8"/>
  <c r="AD677" i="8" s="1"/>
  <c r="Z650" i="2"/>
  <c r="Z146" i="13"/>
  <c r="T684" i="8"/>
  <c r="T685" i="8" s="1"/>
  <c r="V672" i="8"/>
  <c r="V673" i="8" s="1"/>
  <c r="L680" i="8"/>
  <c r="L681" i="8" s="1"/>
  <c r="V680" i="8"/>
  <c r="V681" i="8" s="1"/>
  <c r="U668" i="8"/>
  <c r="U669" i="8" s="1"/>
  <c r="AA672" i="8"/>
  <c r="AA673" i="8" s="1"/>
  <c r="Q676" i="8"/>
  <c r="Q677" i="8" s="1"/>
  <c r="P650" i="2"/>
  <c r="P146" i="13"/>
  <c r="Q684" i="8"/>
  <c r="Q685" i="8" s="1"/>
  <c r="X650" i="2"/>
  <c r="X146" i="13"/>
  <c r="AE664" i="8"/>
  <c r="AE665" i="8" s="1"/>
  <c r="Q650" i="2"/>
  <c r="Q146" i="13"/>
  <c r="S668" i="8"/>
  <c r="S669" i="8" s="1"/>
  <c r="Z664" i="8"/>
  <c r="Z665" i="8" s="1"/>
  <c r="N676" i="8"/>
  <c r="N677" i="8" s="1"/>
  <c r="R672" i="8"/>
  <c r="R673" i="8" s="1"/>
  <c r="AC672" i="8"/>
  <c r="AC673" i="8" s="1"/>
  <c r="Y680" i="8"/>
  <c r="Y681" i="8" s="1"/>
  <c r="P664" i="8"/>
  <c r="P665" i="8" s="1"/>
  <c r="L676" i="8"/>
  <c r="L677" i="8" s="1"/>
  <c r="AE668" i="8"/>
  <c r="AE669" i="8" s="1"/>
  <c r="O684" i="8"/>
  <c r="O685" i="8" s="1"/>
  <c r="S672" i="8"/>
  <c r="S673" i="8" s="1"/>
  <c r="N672" i="8"/>
  <c r="N673" i="8" s="1"/>
  <c r="AB664" i="8"/>
  <c r="AB665" i="8" s="1"/>
  <c r="AC680" i="8"/>
  <c r="AC681" i="8" s="1"/>
  <c r="AD668" i="8"/>
  <c r="AD669" i="8" s="1"/>
  <c r="L672" i="8"/>
  <c r="L673" i="8" s="1"/>
  <c r="X668" i="8"/>
  <c r="X669" i="8" s="1"/>
  <c r="U672" i="8"/>
  <c r="U673" i="8" s="1"/>
  <c r="U676" i="8"/>
  <c r="U677" i="8" s="1"/>
  <c r="X684" i="8"/>
  <c r="X685" i="8" s="1"/>
  <c r="AA684" i="8"/>
  <c r="AA685" i="8" s="1"/>
  <c r="P676" i="8"/>
  <c r="P677" i="8" s="1"/>
  <c r="P680" i="8"/>
  <c r="P681" i="8" s="1"/>
  <c r="Z668" i="8"/>
  <c r="Z669" i="8" s="1"/>
  <c r="AA668" i="8"/>
  <c r="AA669" i="8" s="1"/>
  <c r="R668" i="8"/>
  <c r="R669" i="8" s="1"/>
  <c r="Z672" i="8"/>
  <c r="Z673" i="8" s="1"/>
  <c r="AA680" i="8"/>
  <c r="AA681" i="8" s="1"/>
  <c r="AD684" i="8"/>
  <c r="AD685" i="8" s="1"/>
  <c r="AB684" i="8"/>
  <c r="AB685" i="8" s="1"/>
  <c r="M672" i="8"/>
  <c r="M673" i="8" s="1"/>
  <c r="AC664" i="8"/>
  <c r="AC665" i="8" s="1"/>
  <c r="V684" i="8"/>
  <c r="V685" i="8" s="1"/>
  <c r="P672" i="8"/>
  <c r="P673" i="8" s="1"/>
  <c r="AA676" i="8"/>
  <c r="AA677" i="8" s="1"/>
  <c r="T680" i="8"/>
  <c r="T681" i="8" s="1"/>
  <c r="W668" i="8"/>
  <c r="W669" i="8" s="1"/>
  <c r="AA650" i="2"/>
  <c r="AA146" i="13"/>
  <c r="U650" i="2"/>
  <c r="U146" i="13"/>
  <c r="P684" i="8"/>
  <c r="P685" i="8" s="1"/>
  <c r="L684" i="8"/>
  <c r="L685" i="8" s="1"/>
  <c r="L650" i="2"/>
  <c r="L146" i="13"/>
  <c r="M680" i="8"/>
  <c r="M681" i="8" s="1"/>
  <c r="AE684" i="8"/>
  <c r="AE685" i="8" s="1"/>
  <c r="AD680" i="8"/>
  <c r="AD681" i="8" s="1"/>
  <c r="R676" i="8"/>
  <c r="R677" i="8" s="1"/>
  <c r="O676" i="8"/>
  <c r="O677" i="8" s="1"/>
  <c r="W650" i="2"/>
  <c r="W146" i="13"/>
  <c r="M684" i="8"/>
  <c r="M685" i="8" s="1"/>
  <c r="O650" i="2"/>
  <c r="O146" i="13"/>
  <c r="M676" i="8"/>
  <c r="M677" i="8" s="1"/>
  <c r="Y650" i="2"/>
  <c r="Y146" i="13"/>
  <c r="S650" i="2"/>
  <c r="S146" i="13"/>
  <c r="N650" i="2"/>
  <c r="N146" i="13"/>
  <c r="AC676" i="8"/>
  <c r="AC677" i="8" s="1"/>
  <c r="M668" i="8"/>
  <c r="M669" i="8" s="1"/>
  <c r="AC684" i="8"/>
  <c r="AC685" i="8" s="1"/>
  <c r="AE650" i="2"/>
  <c r="AE146" i="13"/>
  <c r="AD650" i="2"/>
  <c r="AD146" i="13"/>
  <c r="U684" i="8"/>
  <c r="U685" i="8" s="1"/>
  <c r="R680" i="8"/>
  <c r="R681" i="8" s="1"/>
  <c r="R650" i="2"/>
  <c r="R146" i="13"/>
  <c r="N664" i="8"/>
  <c r="N665" i="8" s="1"/>
  <c r="AD664" i="8"/>
  <c r="AD665" i="8" s="1"/>
  <c r="X680" i="8"/>
  <c r="X681" i="8" s="1"/>
  <c r="T650" i="2"/>
  <c r="T146" i="13"/>
  <c r="Z676" i="8"/>
  <c r="Z677" i="8" s="1"/>
  <c r="T668" i="8"/>
  <c r="T669" i="8" s="1"/>
  <c r="Y684" i="8"/>
  <c r="Y685" i="8" s="1"/>
  <c r="R664" i="8"/>
  <c r="R665" i="8" s="1"/>
  <c r="V664" i="8"/>
  <c r="V665" i="8" s="1"/>
  <c r="AA664" i="8"/>
  <c r="AA665" i="8" s="1"/>
  <c r="O672" i="8"/>
  <c r="O673" i="8" s="1"/>
  <c r="M650" i="2"/>
  <c r="M146" i="13"/>
  <c r="O664" i="8"/>
  <c r="O665" i="8" s="1"/>
  <c r="M664" i="8"/>
  <c r="M665" i="8" s="1"/>
  <c r="AB650" i="2"/>
  <c r="AB146" i="13"/>
  <c r="S684" i="8"/>
  <c r="S685" i="8" s="1"/>
  <c r="O668" i="8"/>
  <c r="O669" i="8" s="1"/>
  <c r="T664" i="8"/>
  <c r="T665" i="8" s="1"/>
  <c r="Q680" i="8"/>
  <c r="Q681" i="8" s="1"/>
  <c r="N680" i="8"/>
  <c r="N681" i="8" s="1"/>
  <c r="AC650" i="2"/>
  <c r="AC146" i="13"/>
  <c r="N684" i="8"/>
  <c r="N685" i="8" s="1"/>
  <c r="O680" i="8"/>
  <c r="O681" i="8" s="1"/>
  <c r="N668" i="8"/>
  <c r="N669" i="8" s="1"/>
  <c r="Q668" i="8"/>
  <c r="Q669" i="8" s="1"/>
  <c r="P668" i="8"/>
  <c r="P669" i="8" s="1"/>
  <c r="V668" i="8"/>
  <c r="V669" i="8" s="1"/>
  <c r="Y672" i="8"/>
  <c r="Y673" i="8" s="1"/>
  <c r="X676" i="8"/>
  <c r="X677" i="8" s="1"/>
  <c r="AB680" i="8"/>
  <c r="AB681" i="8" s="1"/>
  <c r="Z684" i="8"/>
  <c r="Z685" i="8" s="1"/>
  <c r="AC668" i="8"/>
  <c r="AC669" i="8" s="1"/>
  <c r="U664" i="8"/>
  <c r="U665" i="8" s="1"/>
  <c r="AE680" i="8"/>
  <c r="AE681" i="8" s="1"/>
  <c r="X664" i="8"/>
  <c r="X665" i="8" s="1"/>
  <c r="Z680" i="8"/>
  <c r="Z681" i="8" s="1"/>
  <c r="U680" i="8"/>
  <c r="U681" i="8" s="1"/>
  <c r="V650" i="2"/>
  <c r="V146" i="13"/>
  <c r="AE676" i="8"/>
  <c r="AE677" i="8" s="1"/>
  <c r="Q672" i="8"/>
  <c r="Q673" i="8" s="1"/>
  <c r="Y676" i="8"/>
  <c r="Y677" i="8" s="1"/>
  <c r="L668" i="8"/>
  <c r="L669" i="8" s="1"/>
  <c r="AB668" i="8"/>
  <c r="AB669" i="8" s="1"/>
  <c r="T676" i="8"/>
  <c r="T677" i="8" s="1"/>
  <c r="X672" i="8"/>
  <c r="X673" i="8" s="1"/>
  <c r="S676" i="8"/>
  <c r="S677" i="8" s="1"/>
  <c r="W676" i="8"/>
  <c r="W677" i="8" s="1"/>
  <c r="AB672" i="8"/>
  <c r="AB673" i="8" s="1"/>
  <c r="W680" i="8"/>
  <c r="W681" i="8" s="1"/>
  <c r="W684" i="8"/>
  <c r="W685" i="8" s="1"/>
  <c r="Q664" i="8"/>
  <c r="Q665" i="8" s="1"/>
  <c r="L664" i="8"/>
  <c r="L665" i="8" s="1"/>
  <c r="S664" i="8"/>
  <c r="S665" i="8" s="1"/>
  <c r="L357" i="2"/>
  <c r="L848" i="8" s="1"/>
  <c r="L849" i="8" s="1"/>
  <c r="L359" i="2"/>
  <c r="F1458" i="8"/>
  <c r="F1459" i="8"/>
  <c r="N376" i="2"/>
  <c r="N908" i="8" s="1"/>
  <c r="N909" i="8" s="1"/>
  <c r="P375" i="2"/>
  <c r="P904" i="8" s="1"/>
  <c r="P905" i="8" s="1"/>
  <c r="M856" i="8"/>
  <c r="M857" i="8" s="1"/>
  <c r="L1466" i="8"/>
  <c r="L1476" i="8"/>
  <c r="L1477" i="8" s="1"/>
  <c r="L1469" i="8"/>
  <c r="L1485" i="8"/>
  <c r="L1486" i="8" s="1"/>
  <c r="L1468" i="8"/>
  <c r="L1482" i="8"/>
  <c r="L1483" i="8" s="1"/>
  <c r="L1467" i="8"/>
  <c r="L1479" i="8"/>
  <c r="L1480" i="8" s="1"/>
  <c r="Q258" i="2"/>
  <c r="AE701" i="2"/>
  <c r="AD701" i="2"/>
  <c r="N852" i="8"/>
  <c r="N853" i="8" s="1"/>
  <c r="Q992" i="8"/>
  <c r="Q993" i="8" s="1"/>
  <c r="Q259" i="2"/>
  <c r="P832" i="8"/>
  <c r="P833" i="8" s="1"/>
  <c r="M840" i="8"/>
  <c r="M841" i="8" s="1"/>
  <c r="M382" i="2"/>
  <c r="P856" i="8"/>
  <c r="P857" i="8" s="1"/>
  <c r="N378" i="2"/>
  <c r="N916" i="8" s="1"/>
  <c r="N917" i="8" s="1"/>
  <c r="O844" i="8"/>
  <c r="O845" i="8" s="1"/>
  <c r="M375" i="2"/>
  <c r="M904" i="8" s="1"/>
  <c r="M905" i="8" s="1"/>
  <c r="O375" i="2"/>
  <c r="O904" i="8" s="1"/>
  <c r="O905" i="8" s="1"/>
  <c r="O840" i="8"/>
  <c r="O841" i="8" s="1"/>
  <c r="O836" i="8"/>
  <c r="O837" i="8" s="1"/>
  <c r="P844" i="8"/>
  <c r="P845" i="8" s="1"/>
  <c r="O382" i="2"/>
  <c r="M848" i="8"/>
  <c r="M849" i="8" s="1"/>
  <c r="O832" i="8"/>
  <c r="O833" i="8" s="1"/>
  <c r="M852" i="8"/>
  <c r="M853" i="8" s="1"/>
  <c r="N382" i="2"/>
  <c r="M844" i="8"/>
  <c r="M845" i="8" s="1"/>
  <c r="M832" i="8"/>
  <c r="M833" i="8" s="1"/>
  <c r="L355" i="2"/>
  <c r="O852" i="8"/>
  <c r="O853" i="8" s="1"/>
  <c r="P349" i="2"/>
  <c r="P824" i="8" s="1"/>
  <c r="P825" i="8" s="1"/>
  <c r="Q352" i="2"/>
  <c r="L352" i="2"/>
  <c r="L375" i="2" s="1"/>
  <c r="L904" i="8" s="1"/>
  <c r="L905" i="8" s="1"/>
  <c r="Q359" i="2"/>
  <c r="Q856" i="8" s="1"/>
  <c r="Q857" i="8" s="1"/>
  <c r="S357" i="2"/>
  <c r="S848" i="8" s="1"/>
  <c r="S849" i="8" s="1"/>
  <c r="AB701" i="2"/>
  <c r="F436" i="8"/>
  <c r="P355" i="2"/>
  <c r="P840" i="8" s="1"/>
  <c r="P841" i="8" s="1"/>
  <c r="P1152" i="8"/>
  <c r="P1153" i="8" s="1"/>
  <c r="T701" i="2"/>
  <c r="Q354" i="2"/>
  <c r="Q836" i="8" s="1"/>
  <c r="Q837" i="8" s="1"/>
  <c r="F404" i="8"/>
  <c r="R675" i="2"/>
  <c r="M701" i="2"/>
  <c r="F428" i="8"/>
  <c r="N701" i="2"/>
  <c r="X701" i="2"/>
  <c r="O701" i="2"/>
  <c r="F412" i="8"/>
  <c r="M702" i="2"/>
  <c r="M703" i="2"/>
  <c r="M984" i="8"/>
  <c r="M985" i="8" s="1"/>
  <c r="M698" i="2"/>
  <c r="M704" i="2"/>
  <c r="M705" i="2"/>
  <c r="M700" i="2"/>
  <c r="M699" i="2"/>
  <c r="N1404" i="8"/>
  <c r="N1405" i="8" s="1"/>
  <c r="N419" i="2"/>
  <c r="N479" i="2"/>
  <c r="N599" i="2"/>
  <c r="N539" i="2"/>
  <c r="T1412" i="8"/>
  <c r="T1413" i="8" s="1"/>
  <c r="T481" i="2"/>
  <c r="T541" i="2"/>
  <c r="T421" i="2"/>
  <c r="T601" i="2"/>
  <c r="AB1400" i="8"/>
  <c r="AB1401" i="8" s="1"/>
  <c r="AB538" i="2"/>
  <c r="AB478" i="2"/>
  <c r="AB598" i="2"/>
  <c r="AB418" i="2"/>
  <c r="U704" i="2"/>
  <c r="U988" i="8"/>
  <c r="U989" i="8" s="1"/>
  <c r="U1396" i="8"/>
  <c r="U1397" i="8" s="1"/>
  <c r="U477" i="2"/>
  <c r="U597" i="2"/>
  <c r="U537" i="2"/>
  <c r="U417" i="2"/>
  <c r="Q1392" i="8"/>
  <c r="Q1393" i="8" s="1"/>
  <c r="Q596" i="2"/>
  <c r="Q476" i="2"/>
  <c r="Q416" i="2"/>
  <c r="Q536" i="2"/>
  <c r="AE1392" i="8"/>
  <c r="AE1393" i="8" s="1"/>
  <c r="AE476" i="2"/>
  <c r="AE416" i="2"/>
  <c r="AE596" i="2"/>
  <c r="AE536" i="2"/>
  <c r="R1424" i="8"/>
  <c r="R1425" i="8" s="1"/>
  <c r="R544" i="2"/>
  <c r="R484" i="2"/>
  <c r="R604" i="2"/>
  <c r="R424" i="2"/>
  <c r="P1396" i="8"/>
  <c r="P1397" i="8" s="1"/>
  <c r="P477" i="2"/>
  <c r="P417" i="2"/>
  <c r="P597" i="2"/>
  <c r="P537" i="2"/>
  <c r="Y1412" i="8"/>
  <c r="Y1413" i="8" s="1"/>
  <c r="Y421" i="2"/>
  <c r="Y601" i="2"/>
  <c r="Y481" i="2"/>
  <c r="Y541" i="2"/>
  <c r="AD1424" i="8"/>
  <c r="AD1425" i="8" s="1"/>
  <c r="AD484" i="2"/>
  <c r="AD424" i="2"/>
  <c r="AD604" i="2"/>
  <c r="AD544" i="2"/>
  <c r="G654" i="2"/>
  <c r="G255" i="2"/>
  <c r="W1396" i="8"/>
  <c r="W1397" i="8" s="1"/>
  <c r="W477" i="2"/>
  <c r="W597" i="2"/>
  <c r="W417" i="2"/>
  <c r="W537" i="2"/>
  <c r="Z1384" i="8"/>
  <c r="Z1385" i="8" s="1"/>
  <c r="Z646" i="2"/>
  <c r="Z177" i="14" s="1"/>
  <c r="AA701" i="2"/>
  <c r="P338" i="2"/>
  <c r="P788" i="8" s="1"/>
  <c r="P789" i="8" s="1"/>
  <c r="P358" i="2"/>
  <c r="N1416" i="8"/>
  <c r="N1417" i="8" s="1"/>
  <c r="N422" i="2"/>
  <c r="N602" i="2"/>
  <c r="N482" i="2"/>
  <c r="N542" i="2"/>
  <c r="T1424" i="8"/>
  <c r="T1425" i="8" s="1"/>
  <c r="T544" i="2"/>
  <c r="T604" i="2"/>
  <c r="T484" i="2"/>
  <c r="T424" i="2"/>
  <c r="AB1412" i="8"/>
  <c r="AB1413" i="8" s="1"/>
  <c r="AB601" i="2"/>
  <c r="AB421" i="2"/>
  <c r="AB541" i="2"/>
  <c r="AB481" i="2"/>
  <c r="U1392" i="8"/>
  <c r="U1393" i="8" s="1"/>
  <c r="U596" i="2"/>
  <c r="U416" i="2"/>
  <c r="U476" i="2"/>
  <c r="U536" i="2"/>
  <c r="Q1404" i="8"/>
  <c r="Q1405" i="8" s="1"/>
  <c r="Q599" i="2"/>
  <c r="Q419" i="2"/>
  <c r="Q479" i="2"/>
  <c r="Q539" i="2"/>
  <c r="AE1404" i="8"/>
  <c r="AE1405" i="8" s="1"/>
  <c r="AE419" i="2"/>
  <c r="AE479" i="2"/>
  <c r="AE539" i="2"/>
  <c r="AE599" i="2"/>
  <c r="R1400" i="8"/>
  <c r="R1401" i="8" s="1"/>
  <c r="R598" i="2"/>
  <c r="R478" i="2"/>
  <c r="R538" i="2"/>
  <c r="R418" i="2"/>
  <c r="P1408" i="8"/>
  <c r="P1409" i="8" s="1"/>
  <c r="P420" i="2"/>
  <c r="P540" i="2"/>
  <c r="P480" i="2"/>
  <c r="P600" i="2"/>
  <c r="S1400" i="8"/>
  <c r="S1401" i="8" s="1"/>
  <c r="S478" i="2"/>
  <c r="S418" i="2"/>
  <c r="S598" i="2"/>
  <c r="S538" i="2"/>
  <c r="L1408" i="8"/>
  <c r="L1409" i="8" s="1"/>
  <c r="L420" i="2"/>
  <c r="L480" i="2"/>
  <c r="L600" i="2"/>
  <c r="L540" i="2"/>
  <c r="AD1396" i="8"/>
  <c r="AD1397" i="8" s="1"/>
  <c r="AD477" i="2"/>
  <c r="AD537" i="2"/>
  <c r="AD597" i="2"/>
  <c r="AD417" i="2"/>
  <c r="G257" i="2"/>
  <c r="G656" i="2"/>
  <c r="W1404" i="8"/>
  <c r="W1405" i="8" s="1"/>
  <c r="W479" i="2"/>
  <c r="W419" i="2"/>
  <c r="W599" i="2"/>
  <c r="W539" i="2"/>
  <c r="Z1420" i="8"/>
  <c r="Z1421" i="8" s="1"/>
  <c r="Z483" i="2"/>
  <c r="Z423" i="2"/>
  <c r="Z543" i="2"/>
  <c r="Z603" i="2"/>
  <c r="S984" i="8"/>
  <c r="S985" i="8" s="1"/>
  <c r="S703" i="2"/>
  <c r="S700" i="2"/>
  <c r="S702" i="2"/>
  <c r="S699" i="2"/>
  <c r="S698" i="2"/>
  <c r="S704" i="2"/>
  <c r="S701" i="2"/>
  <c r="U1404" i="8"/>
  <c r="U1405" i="8" s="1"/>
  <c r="U479" i="2"/>
  <c r="U419" i="2"/>
  <c r="U539" i="2"/>
  <c r="U599" i="2"/>
  <c r="AE1412" i="8"/>
  <c r="AE1413" i="8" s="1"/>
  <c r="AE541" i="2"/>
  <c r="AE421" i="2"/>
  <c r="AE481" i="2"/>
  <c r="AE601" i="2"/>
  <c r="X1396" i="8"/>
  <c r="X1397" i="8" s="1"/>
  <c r="X417" i="2"/>
  <c r="X477" i="2"/>
  <c r="X597" i="2"/>
  <c r="X537" i="2"/>
  <c r="R1396" i="8"/>
  <c r="R1397" i="8" s="1"/>
  <c r="R477" i="2"/>
  <c r="R597" i="2"/>
  <c r="R537" i="2"/>
  <c r="R417" i="2"/>
  <c r="P1420" i="8"/>
  <c r="P1421" i="8" s="1"/>
  <c r="P423" i="2"/>
  <c r="P603" i="2"/>
  <c r="P483" i="2"/>
  <c r="P543" i="2"/>
  <c r="W1416" i="8"/>
  <c r="W1417" i="8" s="1"/>
  <c r="W542" i="2"/>
  <c r="W422" i="2"/>
  <c r="W602" i="2"/>
  <c r="W482" i="2"/>
  <c r="Z1396" i="8"/>
  <c r="Z1397" i="8" s="1"/>
  <c r="Z477" i="2"/>
  <c r="Z597" i="2"/>
  <c r="Z417" i="2"/>
  <c r="Z537" i="2"/>
  <c r="F304" i="8"/>
  <c r="Q729" i="2"/>
  <c r="Q202" i="14" s="1"/>
  <c r="N1412" i="8"/>
  <c r="N1413" i="8" s="1"/>
  <c r="N421" i="2"/>
  <c r="N541" i="2"/>
  <c r="N481" i="2"/>
  <c r="N601" i="2"/>
  <c r="T1408" i="8"/>
  <c r="T1409" i="8" s="1"/>
  <c r="T480" i="2"/>
  <c r="T540" i="2"/>
  <c r="T420" i="2"/>
  <c r="T600" i="2"/>
  <c r="AB1420" i="8"/>
  <c r="AB1421" i="8" s="1"/>
  <c r="AB603" i="2"/>
  <c r="AB543" i="2"/>
  <c r="AB483" i="2"/>
  <c r="AB423" i="2"/>
  <c r="O1416" i="8"/>
  <c r="O1417" i="8" s="1"/>
  <c r="O422" i="2"/>
  <c r="O482" i="2"/>
  <c r="O602" i="2"/>
  <c r="O542" i="2"/>
  <c r="U1416" i="8"/>
  <c r="U1417" i="8" s="1"/>
  <c r="U422" i="2"/>
  <c r="U482" i="2"/>
  <c r="U542" i="2"/>
  <c r="U602" i="2"/>
  <c r="Q1424" i="8"/>
  <c r="Q1425" i="8" s="1"/>
  <c r="Q544" i="2"/>
  <c r="Q484" i="2"/>
  <c r="Q424" i="2"/>
  <c r="Q604" i="2"/>
  <c r="AE1424" i="8"/>
  <c r="AE1425" i="8" s="1"/>
  <c r="AE424" i="2"/>
  <c r="AE544" i="2"/>
  <c r="AE484" i="2"/>
  <c r="AE604" i="2"/>
  <c r="X1404" i="8"/>
  <c r="X1405" i="8" s="1"/>
  <c r="X419" i="2"/>
  <c r="X539" i="2"/>
  <c r="X479" i="2"/>
  <c r="X599" i="2"/>
  <c r="R1408" i="8"/>
  <c r="R1409" i="8" s="1"/>
  <c r="R600" i="2"/>
  <c r="R540" i="2"/>
  <c r="R480" i="2"/>
  <c r="R420" i="2"/>
  <c r="P1400" i="8"/>
  <c r="P1401" i="8" s="1"/>
  <c r="P478" i="2"/>
  <c r="P538" i="2"/>
  <c r="P598" i="2"/>
  <c r="P418" i="2"/>
  <c r="S1408" i="8"/>
  <c r="S1409" i="8" s="1"/>
  <c r="S480" i="2"/>
  <c r="S420" i="2"/>
  <c r="S540" i="2"/>
  <c r="S600" i="2"/>
  <c r="L1396" i="8"/>
  <c r="L1397" i="8" s="1"/>
  <c r="L477" i="2"/>
  <c r="L417" i="2"/>
  <c r="L597" i="2"/>
  <c r="L537" i="2"/>
  <c r="AD1420" i="8"/>
  <c r="AD1421" i="8" s="1"/>
  <c r="AD483" i="2"/>
  <c r="AD543" i="2"/>
  <c r="AD603" i="2"/>
  <c r="AD423" i="2"/>
  <c r="G653" i="2"/>
  <c r="G254" i="2"/>
  <c r="W1392" i="8"/>
  <c r="W1393" i="8" s="1"/>
  <c r="W596" i="2"/>
  <c r="W536" i="2"/>
  <c r="W416" i="2"/>
  <c r="W476" i="2"/>
  <c r="Z1408" i="8"/>
  <c r="Z1409" i="8" s="1"/>
  <c r="Z600" i="2"/>
  <c r="Z480" i="2"/>
  <c r="Z540" i="2"/>
  <c r="Z420" i="2"/>
  <c r="Q740" i="2"/>
  <c r="N1424" i="8"/>
  <c r="N1425" i="8" s="1"/>
  <c r="N544" i="2"/>
  <c r="N424" i="2"/>
  <c r="N484" i="2"/>
  <c r="N604" i="2"/>
  <c r="T1420" i="8"/>
  <c r="T1421" i="8" s="1"/>
  <c r="T423" i="2"/>
  <c r="T483" i="2"/>
  <c r="T543" i="2"/>
  <c r="T603" i="2"/>
  <c r="O1392" i="8"/>
  <c r="O1393" i="8" s="1"/>
  <c r="O416" i="2"/>
  <c r="O596" i="2"/>
  <c r="O476" i="2"/>
  <c r="O536" i="2"/>
  <c r="U1412" i="8"/>
  <c r="U1413" i="8" s="1"/>
  <c r="U541" i="2"/>
  <c r="U421" i="2"/>
  <c r="U601" i="2"/>
  <c r="U481" i="2"/>
  <c r="Q1400" i="8"/>
  <c r="Q1401" i="8" s="1"/>
  <c r="Q478" i="2"/>
  <c r="Q598" i="2"/>
  <c r="Q418" i="2"/>
  <c r="Q538" i="2"/>
  <c r="V1400" i="8"/>
  <c r="V1401" i="8" s="1"/>
  <c r="V538" i="2"/>
  <c r="V598" i="2"/>
  <c r="V478" i="2"/>
  <c r="V418" i="2"/>
  <c r="AE1400" i="8"/>
  <c r="AE1401" i="8" s="1"/>
  <c r="AE418" i="2"/>
  <c r="AE478" i="2"/>
  <c r="AE598" i="2"/>
  <c r="AE538" i="2"/>
  <c r="X1416" i="8"/>
  <c r="X1417" i="8" s="1"/>
  <c r="X422" i="2"/>
  <c r="X482" i="2"/>
  <c r="X542" i="2"/>
  <c r="X602" i="2"/>
  <c r="R1420" i="8"/>
  <c r="R1421" i="8" s="1"/>
  <c r="R543" i="2"/>
  <c r="R483" i="2"/>
  <c r="R603" i="2"/>
  <c r="R423" i="2"/>
  <c r="N703" i="2"/>
  <c r="N984" i="8"/>
  <c r="N985" i="8" s="1"/>
  <c r="N700" i="2"/>
  <c r="N698" i="2"/>
  <c r="N699" i="2"/>
  <c r="N705" i="2"/>
  <c r="N702" i="2"/>
  <c r="N704" i="2"/>
  <c r="S1420" i="8"/>
  <c r="S1421" i="8" s="1"/>
  <c r="S603" i="2"/>
  <c r="S483" i="2"/>
  <c r="S423" i="2"/>
  <c r="S543" i="2"/>
  <c r="L1404" i="8"/>
  <c r="L1405" i="8" s="1"/>
  <c r="L539" i="2"/>
  <c r="L479" i="2"/>
  <c r="L419" i="2"/>
  <c r="L599" i="2"/>
  <c r="AD1400" i="8"/>
  <c r="AD1401" i="8" s="1"/>
  <c r="AD478" i="2"/>
  <c r="AD538" i="2"/>
  <c r="AD598" i="2"/>
  <c r="AD418" i="2"/>
  <c r="AE984" i="8"/>
  <c r="AE985" i="8" s="1"/>
  <c r="AE704" i="2"/>
  <c r="AE699" i="2"/>
  <c r="AE702" i="2"/>
  <c r="AE705" i="2"/>
  <c r="AE698" i="2"/>
  <c r="AE700" i="2"/>
  <c r="W1424" i="8"/>
  <c r="W1425" i="8" s="1"/>
  <c r="W604" i="2"/>
  <c r="W484" i="2"/>
  <c r="W424" i="2"/>
  <c r="W544" i="2"/>
  <c r="Q698" i="2"/>
  <c r="Q988" i="8"/>
  <c r="Q989" i="8" s="1"/>
  <c r="Z1404" i="8"/>
  <c r="Z1405" i="8" s="1"/>
  <c r="Z479" i="2"/>
  <c r="Z599" i="2"/>
  <c r="Z539" i="2"/>
  <c r="Z419" i="2"/>
  <c r="T1400" i="8"/>
  <c r="T1401" i="8" s="1"/>
  <c r="T418" i="2"/>
  <c r="T478" i="2"/>
  <c r="T598" i="2"/>
  <c r="T538" i="2"/>
  <c r="T1396" i="8"/>
  <c r="T1397" i="8" s="1"/>
  <c r="T477" i="2"/>
  <c r="T417" i="2"/>
  <c r="T597" i="2"/>
  <c r="T537" i="2"/>
  <c r="O1400" i="8"/>
  <c r="O1401" i="8" s="1"/>
  <c r="O478" i="2"/>
  <c r="O598" i="2"/>
  <c r="O538" i="2"/>
  <c r="O418" i="2"/>
  <c r="Q1396" i="8"/>
  <c r="Q1397" i="8" s="1"/>
  <c r="Q417" i="2"/>
  <c r="Q597" i="2"/>
  <c r="Q477" i="2"/>
  <c r="Q537" i="2"/>
  <c r="X1392" i="8"/>
  <c r="X1393" i="8" s="1"/>
  <c r="X596" i="2"/>
  <c r="X536" i="2"/>
  <c r="X476" i="2"/>
  <c r="X416" i="2"/>
  <c r="R1416" i="8"/>
  <c r="R1417" i="8" s="1"/>
  <c r="R602" i="2"/>
  <c r="R542" i="2"/>
  <c r="R482" i="2"/>
  <c r="R422" i="2"/>
  <c r="S1424" i="8"/>
  <c r="S1425" i="8" s="1"/>
  <c r="S604" i="2"/>
  <c r="S484" i="2"/>
  <c r="S544" i="2"/>
  <c r="S424" i="2"/>
  <c r="Z1416" i="8"/>
  <c r="Z1417" i="8" s="1"/>
  <c r="Z482" i="2"/>
  <c r="Z602" i="2"/>
  <c r="Z542" i="2"/>
  <c r="Z422" i="2"/>
  <c r="M1396" i="8"/>
  <c r="M1397" i="8" s="1"/>
  <c r="M417" i="2"/>
  <c r="M477" i="2"/>
  <c r="M537" i="2"/>
  <c r="M597" i="2"/>
  <c r="AA1396" i="8"/>
  <c r="AA1397" i="8" s="1"/>
  <c r="AA477" i="2"/>
  <c r="AA597" i="2"/>
  <c r="AA417" i="2"/>
  <c r="AA537" i="2"/>
  <c r="N1396" i="8"/>
  <c r="N1397" i="8" s="1"/>
  <c r="N417" i="2"/>
  <c r="N477" i="2"/>
  <c r="N537" i="2"/>
  <c r="N597" i="2"/>
  <c r="T1392" i="8"/>
  <c r="T1393" i="8" s="1"/>
  <c r="T476" i="2"/>
  <c r="T416" i="2"/>
  <c r="T596" i="2"/>
  <c r="T536" i="2"/>
  <c r="Q984" i="8"/>
  <c r="Q985" i="8" s="1"/>
  <c r="Q700" i="2"/>
  <c r="Q699" i="2"/>
  <c r="Q703" i="2"/>
  <c r="Q702" i="2"/>
  <c r="Q704" i="2"/>
  <c r="Q705" i="2"/>
  <c r="O1412" i="8"/>
  <c r="O1413" i="8" s="1"/>
  <c r="O481" i="2"/>
  <c r="O601" i="2"/>
  <c r="O541" i="2"/>
  <c r="O421" i="2"/>
  <c r="AC1404" i="8"/>
  <c r="AC1405" i="8" s="1"/>
  <c r="AC419" i="2"/>
  <c r="AC599" i="2"/>
  <c r="AC479" i="2"/>
  <c r="AC539" i="2"/>
  <c r="Q1408" i="8"/>
  <c r="Q1409" i="8" s="1"/>
  <c r="Q600" i="2"/>
  <c r="Q480" i="2"/>
  <c r="Q540" i="2"/>
  <c r="Q420" i="2"/>
  <c r="V1424" i="8"/>
  <c r="V1425" i="8" s="1"/>
  <c r="V544" i="2"/>
  <c r="V484" i="2"/>
  <c r="V424" i="2"/>
  <c r="V604" i="2"/>
  <c r="AE1408" i="8"/>
  <c r="AE1409" i="8" s="1"/>
  <c r="AE420" i="2"/>
  <c r="AE480" i="2"/>
  <c r="AE600" i="2"/>
  <c r="AE540" i="2"/>
  <c r="X1420" i="8"/>
  <c r="X1421" i="8" s="1"/>
  <c r="X423" i="2"/>
  <c r="X603" i="2"/>
  <c r="X543" i="2"/>
  <c r="X483" i="2"/>
  <c r="L808" i="8"/>
  <c r="L809" i="8" s="1"/>
  <c r="Y1420" i="8"/>
  <c r="Y1421" i="8" s="1"/>
  <c r="Y543" i="2"/>
  <c r="Y423" i="2"/>
  <c r="Y603" i="2"/>
  <c r="Y483" i="2"/>
  <c r="S1392" i="8"/>
  <c r="S1393" i="8" s="1"/>
  <c r="S476" i="2"/>
  <c r="S536" i="2"/>
  <c r="S416" i="2"/>
  <c r="S596" i="2"/>
  <c r="L1392" i="8"/>
  <c r="L1393" i="8" s="1"/>
  <c r="L416" i="2"/>
  <c r="L596" i="2"/>
  <c r="L536" i="2"/>
  <c r="L476" i="2"/>
  <c r="R705" i="2"/>
  <c r="R988" i="8"/>
  <c r="R989" i="8" s="1"/>
  <c r="Z1392" i="8"/>
  <c r="Z1393" i="8" s="1"/>
  <c r="Z476" i="2"/>
  <c r="Z416" i="2"/>
  <c r="Z536" i="2"/>
  <c r="Z596" i="2"/>
  <c r="F1389" i="8"/>
  <c r="G253" i="2"/>
  <c r="G652" i="2"/>
  <c r="AA1420" i="8"/>
  <c r="AA1421" i="8" s="1"/>
  <c r="AA483" i="2"/>
  <c r="AA543" i="2"/>
  <c r="AA423" i="2"/>
  <c r="AA603" i="2"/>
  <c r="N1420" i="8"/>
  <c r="N1421" i="8" s="1"/>
  <c r="N423" i="2"/>
  <c r="N543" i="2"/>
  <c r="N603" i="2"/>
  <c r="N483" i="2"/>
  <c r="L1384" i="8"/>
  <c r="L1385" i="8" s="1"/>
  <c r="L646" i="2"/>
  <c r="L177" i="14" s="1"/>
  <c r="AC1392" i="8"/>
  <c r="AC1393" i="8" s="1"/>
  <c r="AC596" i="2"/>
  <c r="AC416" i="2"/>
  <c r="AC476" i="2"/>
  <c r="AC536" i="2"/>
  <c r="V1412" i="8"/>
  <c r="V1413" i="8" s="1"/>
  <c r="V541" i="2"/>
  <c r="V421" i="2"/>
  <c r="V481" i="2"/>
  <c r="V601" i="2"/>
  <c r="M1416" i="8"/>
  <c r="M1417" i="8" s="1"/>
  <c r="M482" i="2"/>
  <c r="M542" i="2"/>
  <c r="M602" i="2"/>
  <c r="M422" i="2"/>
  <c r="AA1408" i="8"/>
  <c r="AA1409" i="8" s="1"/>
  <c r="AA480" i="2"/>
  <c r="AA420" i="2"/>
  <c r="AA540" i="2"/>
  <c r="AA600" i="2"/>
  <c r="N1408" i="8"/>
  <c r="N1409" i="8" s="1"/>
  <c r="N420" i="2"/>
  <c r="N600" i="2"/>
  <c r="N540" i="2"/>
  <c r="N480" i="2"/>
  <c r="T1404" i="8"/>
  <c r="T1405" i="8" s="1"/>
  <c r="T479" i="2"/>
  <c r="T599" i="2"/>
  <c r="T419" i="2"/>
  <c r="T539" i="2"/>
  <c r="O1424" i="8"/>
  <c r="O1425" i="8" s="1"/>
  <c r="O424" i="2"/>
  <c r="O604" i="2"/>
  <c r="O484" i="2"/>
  <c r="O544" i="2"/>
  <c r="AC1416" i="8"/>
  <c r="AC1417" i="8" s="1"/>
  <c r="AC422" i="2"/>
  <c r="AC602" i="2"/>
  <c r="AC482" i="2"/>
  <c r="AC542" i="2"/>
  <c r="Q1420" i="8"/>
  <c r="Q1421" i="8" s="1"/>
  <c r="Q423" i="2"/>
  <c r="Q543" i="2"/>
  <c r="Q603" i="2"/>
  <c r="Q483" i="2"/>
  <c r="V1408" i="8"/>
  <c r="V1409" i="8" s="1"/>
  <c r="V480" i="2"/>
  <c r="V420" i="2"/>
  <c r="V540" i="2"/>
  <c r="V600" i="2"/>
  <c r="AE1420" i="8"/>
  <c r="AE1421" i="8" s="1"/>
  <c r="AE603" i="2"/>
  <c r="AE483" i="2"/>
  <c r="AE543" i="2"/>
  <c r="AE423" i="2"/>
  <c r="X1424" i="8"/>
  <c r="X1425" i="8" s="1"/>
  <c r="X424" i="2"/>
  <c r="X604" i="2"/>
  <c r="X484" i="2"/>
  <c r="X544" i="2"/>
  <c r="Y1396" i="8"/>
  <c r="Y1397" i="8" s="1"/>
  <c r="Y537" i="2"/>
  <c r="Y417" i="2"/>
  <c r="Y597" i="2"/>
  <c r="Y477" i="2"/>
  <c r="S1404" i="8"/>
  <c r="S1405" i="8" s="1"/>
  <c r="S599" i="2"/>
  <c r="S419" i="2"/>
  <c r="S479" i="2"/>
  <c r="S539" i="2"/>
  <c r="L1400" i="8"/>
  <c r="L1401" i="8" s="1"/>
  <c r="L478" i="2"/>
  <c r="L538" i="2"/>
  <c r="L418" i="2"/>
  <c r="L598" i="2"/>
  <c r="AB705" i="2"/>
  <c r="AB700" i="2"/>
  <c r="AB704" i="2"/>
  <c r="AB702" i="2"/>
  <c r="AB703" i="2"/>
  <c r="AB699" i="2"/>
  <c r="AB984" i="8"/>
  <c r="AB985" i="8" s="1"/>
  <c r="AB698" i="2"/>
  <c r="Z1400" i="8"/>
  <c r="Z1401" i="8" s="1"/>
  <c r="Z478" i="2"/>
  <c r="Z598" i="2"/>
  <c r="Z538" i="2"/>
  <c r="Z418" i="2"/>
  <c r="S705" i="2"/>
  <c r="S988" i="8"/>
  <c r="S989" i="8" s="1"/>
  <c r="AB1424" i="8"/>
  <c r="AB1425" i="8" s="1"/>
  <c r="AB424" i="2"/>
  <c r="AB544" i="2"/>
  <c r="AB484" i="2"/>
  <c r="AB604" i="2"/>
  <c r="Q1412" i="8"/>
  <c r="Q1413" i="8" s="1"/>
  <c r="Q541" i="2"/>
  <c r="Q421" i="2"/>
  <c r="Q481" i="2"/>
  <c r="Q601" i="2"/>
  <c r="M1392" i="8"/>
  <c r="M1393" i="8" s="1"/>
  <c r="M476" i="2"/>
  <c r="M596" i="2"/>
  <c r="M416" i="2"/>
  <c r="M536" i="2"/>
  <c r="AA1416" i="8"/>
  <c r="AA1417" i="8" s="1"/>
  <c r="AA482" i="2"/>
  <c r="AA422" i="2"/>
  <c r="AA542" i="2"/>
  <c r="AA602" i="2"/>
  <c r="AA698" i="2"/>
  <c r="AA704" i="2"/>
  <c r="AA705" i="2"/>
  <c r="AA984" i="8"/>
  <c r="AA985" i="8" s="1"/>
  <c r="AA700" i="2"/>
  <c r="AA702" i="2"/>
  <c r="AA703" i="2"/>
  <c r="AA699" i="2"/>
  <c r="T1416" i="8"/>
  <c r="T1417" i="8" s="1"/>
  <c r="T482" i="2"/>
  <c r="T542" i="2"/>
  <c r="T422" i="2"/>
  <c r="T602" i="2"/>
  <c r="O1404" i="8"/>
  <c r="O1405" i="8" s="1"/>
  <c r="O539" i="2"/>
  <c r="O479" i="2"/>
  <c r="O419" i="2"/>
  <c r="O599" i="2"/>
  <c r="AC1400" i="8"/>
  <c r="AC1401" i="8" s="1"/>
  <c r="AC598" i="2"/>
  <c r="AC538" i="2"/>
  <c r="AC478" i="2"/>
  <c r="AC418" i="2"/>
  <c r="V1420" i="8"/>
  <c r="V1421" i="8" s="1"/>
  <c r="V603" i="2"/>
  <c r="V543" i="2"/>
  <c r="V483" i="2"/>
  <c r="V423" i="2"/>
  <c r="X1400" i="8"/>
  <c r="X1401" i="8" s="1"/>
  <c r="X478" i="2"/>
  <c r="X418" i="2"/>
  <c r="X538" i="2"/>
  <c r="X598" i="2"/>
  <c r="AC703" i="2"/>
  <c r="AC705" i="2"/>
  <c r="AC984" i="8"/>
  <c r="AC985" i="8" s="1"/>
  <c r="AC700" i="2"/>
  <c r="AC704" i="2"/>
  <c r="AC699" i="2"/>
  <c r="AC702" i="2"/>
  <c r="AC701" i="2"/>
  <c r="AC698" i="2"/>
  <c r="Y1408" i="8"/>
  <c r="Y1409" i="8" s="1"/>
  <c r="Y540" i="2"/>
  <c r="Y480" i="2"/>
  <c r="Y600" i="2"/>
  <c r="Y420" i="2"/>
  <c r="S1416" i="8"/>
  <c r="S1417" i="8" s="1"/>
  <c r="S422" i="2"/>
  <c r="S482" i="2"/>
  <c r="S602" i="2"/>
  <c r="S542" i="2"/>
  <c r="L1412" i="8"/>
  <c r="L1413" i="8" s="1"/>
  <c r="L421" i="2"/>
  <c r="L481" i="2"/>
  <c r="L601" i="2"/>
  <c r="L541" i="2"/>
  <c r="Z1412" i="8"/>
  <c r="Z1413" i="8" s="1"/>
  <c r="Z481" i="2"/>
  <c r="Z601" i="2"/>
  <c r="Z541" i="2"/>
  <c r="Z421" i="2"/>
  <c r="V984" i="8"/>
  <c r="V985" i="8" s="1"/>
  <c r="V698" i="2"/>
  <c r="V704" i="2"/>
  <c r="V699" i="2"/>
  <c r="V702" i="2"/>
  <c r="V703" i="2"/>
  <c r="V700" i="2"/>
  <c r="V705" i="2"/>
  <c r="V701" i="2"/>
  <c r="S1412" i="8"/>
  <c r="S1413" i="8" s="1"/>
  <c r="S601" i="2"/>
  <c r="S481" i="2"/>
  <c r="S421" i="2"/>
  <c r="S541" i="2"/>
  <c r="AD984" i="8"/>
  <c r="AD985" i="8" s="1"/>
  <c r="AD700" i="2"/>
  <c r="AD699" i="2"/>
  <c r="AD704" i="2"/>
  <c r="AD702" i="2"/>
  <c r="AD698" i="2"/>
  <c r="AD703" i="2"/>
  <c r="AD705" i="2"/>
  <c r="P748" i="2"/>
  <c r="P1220" i="8" s="1"/>
  <c r="P1221" i="8" s="1"/>
  <c r="M1400" i="8"/>
  <c r="M1401" i="8" s="1"/>
  <c r="M538" i="2"/>
  <c r="M478" i="2"/>
  <c r="M598" i="2"/>
  <c r="M418" i="2"/>
  <c r="AA1392" i="8"/>
  <c r="AA1393" i="8" s="1"/>
  <c r="AA476" i="2"/>
  <c r="AA536" i="2"/>
  <c r="AA416" i="2"/>
  <c r="AA596" i="2"/>
  <c r="AB1396" i="8"/>
  <c r="AB1397" i="8" s="1"/>
  <c r="AB537" i="2"/>
  <c r="AB477" i="2"/>
  <c r="AB597" i="2"/>
  <c r="AB417" i="2"/>
  <c r="O1396" i="8"/>
  <c r="O1397" i="8" s="1"/>
  <c r="O477" i="2"/>
  <c r="O417" i="2"/>
  <c r="O597" i="2"/>
  <c r="O537" i="2"/>
  <c r="AC1412" i="8"/>
  <c r="AC1413" i="8" s="1"/>
  <c r="AC541" i="2"/>
  <c r="AC481" i="2"/>
  <c r="AC421" i="2"/>
  <c r="AC601" i="2"/>
  <c r="V1396" i="8"/>
  <c r="V1397" i="8" s="1"/>
  <c r="V477" i="2"/>
  <c r="V417" i="2"/>
  <c r="V537" i="2"/>
  <c r="V597" i="2"/>
  <c r="X1412" i="8"/>
  <c r="X1413" i="8" s="1"/>
  <c r="X421" i="2"/>
  <c r="X481" i="2"/>
  <c r="X601" i="2"/>
  <c r="X541" i="2"/>
  <c r="P1416" i="8"/>
  <c r="P1417" i="8" s="1"/>
  <c r="P482" i="2"/>
  <c r="P602" i="2"/>
  <c r="P422" i="2"/>
  <c r="P542" i="2"/>
  <c r="Y1404" i="8"/>
  <c r="Y1405" i="8" s="1"/>
  <c r="Y419" i="2"/>
  <c r="Y599" i="2"/>
  <c r="Y479" i="2"/>
  <c r="Y539" i="2"/>
  <c r="S1396" i="8"/>
  <c r="S1397" i="8" s="1"/>
  <c r="S417" i="2"/>
  <c r="S477" i="2"/>
  <c r="S597" i="2"/>
  <c r="S537" i="2"/>
  <c r="L1424" i="8"/>
  <c r="L1425" i="8" s="1"/>
  <c r="L424" i="2"/>
  <c r="L484" i="2"/>
  <c r="L544" i="2"/>
  <c r="L604" i="2"/>
  <c r="W1384" i="8"/>
  <c r="W1385" i="8" s="1"/>
  <c r="W646" i="2"/>
  <c r="W177" i="14" s="1"/>
  <c r="X984" i="8"/>
  <c r="X985" i="8" s="1"/>
  <c r="X704" i="2"/>
  <c r="X705" i="2"/>
  <c r="X702" i="2"/>
  <c r="X700" i="2"/>
  <c r="X699" i="2"/>
  <c r="X698" i="2"/>
  <c r="X703" i="2"/>
  <c r="Z1424" i="8"/>
  <c r="Z1425" i="8" s="1"/>
  <c r="Z604" i="2"/>
  <c r="Z484" i="2"/>
  <c r="Z544" i="2"/>
  <c r="Z424" i="2"/>
  <c r="L1416" i="8"/>
  <c r="L1417" i="8" s="1"/>
  <c r="L422" i="2"/>
  <c r="L482" i="2"/>
  <c r="L542" i="2"/>
  <c r="L602" i="2"/>
  <c r="F420" i="8"/>
  <c r="P737" i="2"/>
  <c r="P1184" i="8" s="1"/>
  <c r="P1185" i="8" s="1"/>
  <c r="U701" i="2"/>
  <c r="M1412" i="8"/>
  <c r="M1413" i="8" s="1"/>
  <c r="M481" i="2"/>
  <c r="M421" i="2"/>
  <c r="M601" i="2"/>
  <c r="M541" i="2"/>
  <c r="AA1400" i="8"/>
  <c r="AA1401" i="8" s="1"/>
  <c r="AA478" i="2"/>
  <c r="AA538" i="2"/>
  <c r="AA418" i="2"/>
  <c r="AA598" i="2"/>
  <c r="AB1408" i="8"/>
  <c r="AB1409" i="8" s="1"/>
  <c r="AB420" i="2"/>
  <c r="AB480" i="2"/>
  <c r="AB600" i="2"/>
  <c r="AB540" i="2"/>
  <c r="O1408" i="8"/>
  <c r="O1409" i="8" s="1"/>
  <c r="O420" i="2"/>
  <c r="O480" i="2"/>
  <c r="O540" i="2"/>
  <c r="O600" i="2"/>
  <c r="U1424" i="8"/>
  <c r="U1425" i="8" s="1"/>
  <c r="U424" i="2"/>
  <c r="U604" i="2"/>
  <c r="U484" i="2"/>
  <c r="U544" i="2"/>
  <c r="AC1424" i="8"/>
  <c r="AC1425" i="8" s="1"/>
  <c r="AC604" i="2"/>
  <c r="AC544" i="2"/>
  <c r="AC484" i="2"/>
  <c r="AC424" i="2"/>
  <c r="V1404" i="8"/>
  <c r="V1405" i="8" s="1"/>
  <c r="V479" i="2"/>
  <c r="V419" i="2"/>
  <c r="V539" i="2"/>
  <c r="V599" i="2"/>
  <c r="X1408" i="8"/>
  <c r="X1409" i="8" s="1"/>
  <c r="X420" i="2"/>
  <c r="X480" i="2"/>
  <c r="X600" i="2"/>
  <c r="X540" i="2"/>
  <c r="P1392" i="8"/>
  <c r="P1393" i="8" s="1"/>
  <c r="P536" i="2"/>
  <c r="P476" i="2"/>
  <c r="P416" i="2"/>
  <c r="P596" i="2"/>
  <c r="Y1416" i="8"/>
  <c r="Y1417" i="8" s="1"/>
  <c r="Y422" i="2"/>
  <c r="Y602" i="2"/>
  <c r="Y542" i="2"/>
  <c r="Y482" i="2"/>
  <c r="AD1416" i="8"/>
  <c r="AD1417" i="8" s="1"/>
  <c r="AD482" i="2"/>
  <c r="AD602" i="2"/>
  <c r="AD542" i="2"/>
  <c r="AD422" i="2"/>
  <c r="W1412" i="8"/>
  <c r="W1413" i="8" s="1"/>
  <c r="W541" i="2"/>
  <c r="W421" i="2"/>
  <c r="W601" i="2"/>
  <c r="W481" i="2"/>
  <c r="R984" i="8"/>
  <c r="R985" i="8" s="1"/>
  <c r="R699" i="2"/>
  <c r="R703" i="2"/>
  <c r="R702" i="2"/>
  <c r="R698" i="2"/>
  <c r="R704" i="2"/>
  <c r="R700" i="2"/>
  <c r="AD1408" i="8"/>
  <c r="AD1409" i="8" s="1"/>
  <c r="AD420" i="2"/>
  <c r="AD480" i="2"/>
  <c r="AD600" i="2"/>
  <c r="AD540" i="2"/>
  <c r="M1408" i="8"/>
  <c r="M1409" i="8" s="1"/>
  <c r="M480" i="2"/>
  <c r="M420" i="2"/>
  <c r="M600" i="2"/>
  <c r="M540" i="2"/>
  <c r="F416" i="8"/>
  <c r="M1424" i="8"/>
  <c r="M1425" i="8" s="1"/>
  <c r="M544" i="2"/>
  <c r="M424" i="2"/>
  <c r="M604" i="2"/>
  <c r="M484" i="2"/>
  <c r="AA1412" i="8"/>
  <c r="AA1413" i="8" s="1"/>
  <c r="AA541" i="2"/>
  <c r="AA421" i="2"/>
  <c r="AA601" i="2"/>
  <c r="AA481" i="2"/>
  <c r="Q701" i="2"/>
  <c r="P1384" i="8"/>
  <c r="P1385" i="8" s="1"/>
  <c r="P646" i="2"/>
  <c r="P177" i="14" s="1"/>
  <c r="AB1416" i="8"/>
  <c r="AB1417" i="8" s="1"/>
  <c r="AB542" i="2"/>
  <c r="AB602" i="2"/>
  <c r="AB482" i="2"/>
  <c r="AB422" i="2"/>
  <c r="O1420" i="8"/>
  <c r="O1421" i="8" s="1"/>
  <c r="O543" i="2"/>
  <c r="O603" i="2"/>
  <c r="O483" i="2"/>
  <c r="O423" i="2"/>
  <c r="U1400" i="8"/>
  <c r="U1401" i="8" s="1"/>
  <c r="U418" i="2"/>
  <c r="U598" i="2"/>
  <c r="U478" i="2"/>
  <c r="U538" i="2"/>
  <c r="AC1396" i="8"/>
  <c r="AC1397" i="8" s="1"/>
  <c r="AC417" i="2"/>
  <c r="AC477" i="2"/>
  <c r="AC537" i="2"/>
  <c r="AC597" i="2"/>
  <c r="U984" i="8"/>
  <c r="U985" i="8" s="1"/>
  <c r="U702" i="2"/>
  <c r="U700" i="2"/>
  <c r="U699" i="2"/>
  <c r="U698" i="2"/>
  <c r="U703" i="2"/>
  <c r="U705" i="2"/>
  <c r="V1416" i="8"/>
  <c r="V1417" i="8" s="1"/>
  <c r="V482" i="2"/>
  <c r="V422" i="2"/>
  <c r="V602" i="2"/>
  <c r="V542" i="2"/>
  <c r="R1392" i="8"/>
  <c r="R1393" i="8" s="1"/>
  <c r="R596" i="2"/>
  <c r="R536" i="2"/>
  <c r="R476" i="2"/>
  <c r="R416" i="2"/>
  <c r="P1404" i="8"/>
  <c r="P1405" i="8" s="1"/>
  <c r="P599" i="2"/>
  <c r="P479" i="2"/>
  <c r="P539" i="2"/>
  <c r="P419" i="2"/>
  <c r="Y1392" i="8"/>
  <c r="Y1393" i="8" s="1"/>
  <c r="Y596" i="2"/>
  <c r="Y416" i="2"/>
  <c r="Y536" i="2"/>
  <c r="Y476" i="2"/>
  <c r="T984" i="8"/>
  <c r="T985" i="8" s="1"/>
  <c r="T702" i="2"/>
  <c r="T705" i="2"/>
  <c r="T699" i="2"/>
  <c r="T704" i="2"/>
  <c r="T700" i="2"/>
  <c r="T703" i="2"/>
  <c r="T698" i="2"/>
  <c r="AD1404" i="8"/>
  <c r="AD1405" i="8" s="1"/>
  <c r="AD479" i="2"/>
  <c r="AD539" i="2"/>
  <c r="AD599" i="2"/>
  <c r="AD419" i="2"/>
  <c r="W1400" i="8"/>
  <c r="W1401" i="8" s="1"/>
  <c r="W418" i="2"/>
  <c r="W598" i="2"/>
  <c r="W478" i="2"/>
  <c r="W538" i="2"/>
  <c r="N1400" i="8"/>
  <c r="N1401" i="8" s="1"/>
  <c r="N478" i="2"/>
  <c r="N538" i="2"/>
  <c r="N418" i="2"/>
  <c r="N598" i="2"/>
  <c r="L1420" i="8"/>
  <c r="L1421" i="8" s="1"/>
  <c r="L483" i="2"/>
  <c r="L423" i="2"/>
  <c r="L603" i="2"/>
  <c r="L543" i="2"/>
  <c r="AE1396" i="8"/>
  <c r="AE1397" i="8" s="1"/>
  <c r="AE417" i="2"/>
  <c r="AE477" i="2"/>
  <c r="AE597" i="2"/>
  <c r="AE537" i="2"/>
  <c r="F408" i="8"/>
  <c r="M1420" i="8"/>
  <c r="M1421" i="8" s="1"/>
  <c r="M603" i="2"/>
  <c r="M423" i="2"/>
  <c r="M543" i="2"/>
  <c r="M483" i="2"/>
  <c r="AA1424" i="8"/>
  <c r="AA1425" i="8" s="1"/>
  <c r="AA484" i="2"/>
  <c r="AA604" i="2"/>
  <c r="AA544" i="2"/>
  <c r="AA424" i="2"/>
  <c r="AB1392" i="8"/>
  <c r="AB1393" i="8" s="1"/>
  <c r="AB476" i="2"/>
  <c r="AB416" i="2"/>
  <c r="AB596" i="2"/>
  <c r="AB536" i="2"/>
  <c r="U1408" i="8"/>
  <c r="U1409" i="8" s="1"/>
  <c r="U420" i="2"/>
  <c r="U480" i="2"/>
  <c r="U600" i="2"/>
  <c r="U540" i="2"/>
  <c r="AC1408" i="8"/>
  <c r="AC1409" i="8" s="1"/>
  <c r="AC480" i="2"/>
  <c r="AC420" i="2"/>
  <c r="AC540" i="2"/>
  <c r="AC600" i="2"/>
  <c r="V1392" i="8"/>
  <c r="V1393" i="8" s="1"/>
  <c r="V536" i="2"/>
  <c r="V416" i="2"/>
  <c r="V596" i="2"/>
  <c r="V476" i="2"/>
  <c r="Y1384" i="8"/>
  <c r="Y1385" i="8" s="1"/>
  <c r="Y646" i="2"/>
  <c r="Y177" i="14" s="1"/>
  <c r="R1404" i="8"/>
  <c r="R1405" i="8" s="1"/>
  <c r="R479" i="2"/>
  <c r="R599" i="2"/>
  <c r="R539" i="2"/>
  <c r="R419" i="2"/>
  <c r="AE703" i="2"/>
  <c r="AE988" i="8"/>
  <c r="AE989" i="8" s="1"/>
  <c r="P1412" i="8"/>
  <c r="P1413" i="8" s="1"/>
  <c r="P481" i="2"/>
  <c r="P421" i="2"/>
  <c r="P541" i="2"/>
  <c r="P601" i="2"/>
  <c r="Y1424" i="8"/>
  <c r="Y1425" i="8" s="1"/>
  <c r="Y424" i="2"/>
  <c r="Y484" i="2"/>
  <c r="Y604" i="2"/>
  <c r="Y544" i="2"/>
  <c r="AD1392" i="8"/>
  <c r="AD1393" i="8" s="1"/>
  <c r="AD596" i="2"/>
  <c r="AD476" i="2"/>
  <c r="AD416" i="2"/>
  <c r="AD536" i="2"/>
  <c r="W1408" i="8"/>
  <c r="W1409" i="8" s="1"/>
  <c r="W480" i="2"/>
  <c r="W600" i="2"/>
  <c r="W540" i="2"/>
  <c r="W420" i="2"/>
  <c r="R701" i="2"/>
  <c r="M1404" i="8"/>
  <c r="M1405" i="8" s="1"/>
  <c r="M539" i="2"/>
  <c r="M599" i="2"/>
  <c r="M419" i="2"/>
  <c r="M479" i="2"/>
  <c r="AA1404" i="8"/>
  <c r="AA1405" i="8" s="1"/>
  <c r="AA419" i="2"/>
  <c r="AA479" i="2"/>
  <c r="AA599" i="2"/>
  <c r="AA539" i="2"/>
  <c r="N1392" i="8"/>
  <c r="N1393" i="8" s="1"/>
  <c r="N416" i="2"/>
  <c r="N596" i="2"/>
  <c r="N536" i="2"/>
  <c r="N476" i="2"/>
  <c r="AB1404" i="8"/>
  <c r="AB1405" i="8" s="1"/>
  <c r="AB539" i="2"/>
  <c r="AB419" i="2"/>
  <c r="AB599" i="2"/>
  <c r="AB479" i="2"/>
  <c r="U1420" i="8"/>
  <c r="U1421" i="8" s="1"/>
  <c r="U543" i="2"/>
  <c r="U423" i="2"/>
  <c r="U603" i="2"/>
  <c r="U483" i="2"/>
  <c r="AC1420" i="8"/>
  <c r="AC1421" i="8" s="1"/>
  <c r="AC603" i="2"/>
  <c r="AC543" i="2"/>
  <c r="AC423" i="2"/>
  <c r="AC483" i="2"/>
  <c r="Q1416" i="8"/>
  <c r="Q1417" i="8" s="1"/>
  <c r="Q542" i="2"/>
  <c r="Q602" i="2"/>
  <c r="Q422" i="2"/>
  <c r="Q482" i="2"/>
  <c r="O984" i="8"/>
  <c r="O985" i="8" s="1"/>
  <c r="O704" i="2"/>
  <c r="O700" i="2"/>
  <c r="O698" i="2"/>
  <c r="O703" i="2"/>
  <c r="O699" i="2"/>
  <c r="O705" i="2"/>
  <c r="O702" i="2"/>
  <c r="AE1416" i="8"/>
  <c r="AE1417" i="8" s="1"/>
  <c r="AE602" i="2"/>
  <c r="AE542" i="2"/>
  <c r="AE422" i="2"/>
  <c r="AE482" i="2"/>
  <c r="R1412" i="8"/>
  <c r="R1413" i="8" s="1"/>
  <c r="R541" i="2"/>
  <c r="R481" i="2"/>
  <c r="R421" i="2"/>
  <c r="R601" i="2"/>
  <c r="P1424" i="8"/>
  <c r="P1425" i="8" s="1"/>
  <c r="P484" i="2"/>
  <c r="P544" i="2"/>
  <c r="P604" i="2"/>
  <c r="P424" i="2"/>
  <c r="Y1400" i="8"/>
  <c r="Y1401" i="8" s="1"/>
  <c r="Y598" i="2"/>
  <c r="Y418" i="2"/>
  <c r="Y538" i="2"/>
  <c r="Y478" i="2"/>
  <c r="AD1412" i="8"/>
  <c r="AD1413" i="8" s="1"/>
  <c r="AD421" i="2"/>
  <c r="AD541" i="2"/>
  <c r="AD481" i="2"/>
  <c r="AD601" i="2"/>
  <c r="W1420" i="8"/>
  <c r="W1421" i="8" s="1"/>
  <c r="W423" i="2"/>
  <c r="W543" i="2"/>
  <c r="W483" i="2"/>
  <c r="W603" i="2"/>
  <c r="F324" i="8"/>
  <c r="F424" i="8"/>
  <c r="L1164" i="8"/>
  <c r="L1165" i="8" s="1"/>
  <c r="L1200" i="8"/>
  <c r="L1201" i="8" s="1"/>
  <c r="O374" i="2"/>
  <c r="O900" i="8" s="1"/>
  <c r="O901" i="8" s="1"/>
  <c r="P808" i="8"/>
  <c r="P809" i="8" s="1"/>
  <c r="O378" i="2"/>
  <c r="O916" i="8" s="1"/>
  <c r="O917" i="8" s="1"/>
  <c r="Q612" i="8"/>
  <c r="Q613" i="8" s="1"/>
  <c r="Q345" i="2"/>
  <c r="R280" i="2"/>
  <c r="Q334" i="2"/>
  <c r="Q41" i="14" s="1"/>
  <c r="L1212" i="8"/>
  <c r="L1213" i="8" s="1"/>
  <c r="L1176" i="8"/>
  <c r="L1177" i="8" s="1"/>
  <c r="Q792" i="8"/>
  <c r="Q793" i="8" s="1"/>
  <c r="L1204" i="8"/>
  <c r="L1205" i="8" s="1"/>
  <c r="L1208" i="8"/>
  <c r="L1209" i="8" s="1"/>
  <c r="Q820" i="8"/>
  <c r="Q821" i="8" s="1"/>
  <c r="P1200" i="8"/>
  <c r="P1201" i="8" s="1"/>
  <c r="T616" i="8"/>
  <c r="T617" i="8" s="1"/>
  <c r="T335" i="2"/>
  <c r="T42" i="14" s="1"/>
  <c r="U281" i="2"/>
  <c r="T346" i="2"/>
  <c r="R282" i="2"/>
  <c r="Q347" i="2"/>
  <c r="Q336" i="2"/>
  <c r="Q43" i="14" s="1"/>
  <c r="Q620" i="8"/>
  <c r="Q621" i="8" s="1"/>
  <c r="O360" i="2"/>
  <c r="R596" i="8"/>
  <c r="R597" i="8" s="1"/>
  <c r="R341" i="2"/>
  <c r="S276" i="2"/>
  <c r="R330" i="2"/>
  <c r="R37" i="14" s="1"/>
  <c r="L1168" i="8"/>
  <c r="L1169" i="8" s="1"/>
  <c r="Q784" i="8"/>
  <c r="Q785" i="8" s="1"/>
  <c r="Q1004" i="8"/>
  <c r="Q1005" i="8" s="1"/>
  <c r="R678" i="2"/>
  <c r="Q743" i="2"/>
  <c r="Q732" i="2"/>
  <c r="Q205" i="14" s="1"/>
  <c r="P376" i="2"/>
  <c r="P908" i="8" s="1"/>
  <c r="P909" i="8" s="1"/>
  <c r="S812" i="8"/>
  <c r="S813" i="8" s="1"/>
  <c r="P780" i="8"/>
  <c r="P781" i="8" s="1"/>
  <c r="S600" i="8"/>
  <c r="S601" i="8" s="1"/>
  <c r="S342" i="2"/>
  <c r="L756" i="8"/>
  <c r="L757" i="8" s="1"/>
  <c r="L338" i="2"/>
  <c r="L788" i="8" s="1"/>
  <c r="L789" i="8" s="1"/>
  <c r="Q756" i="8"/>
  <c r="Q757" i="8" s="1"/>
  <c r="P1192" i="8"/>
  <c r="P1193" i="8" s="1"/>
  <c r="R624" i="8"/>
  <c r="R625" i="8" s="1"/>
  <c r="S283" i="2"/>
  <c r="R337" i="2"/>
  <c r="R44" i="14" s="1"/>
  <c r="R348" i="2"/>
  <c r="N374" i="2"/>
  <c r="S776" i="8"/>
  <c r="S777" i="8" s="1"/>
  <c r="P816" i="8"/>
  <c r="P817" i="8" s="1"/>
  <c r="P1156" i="8"/>
  <c r="P1157" i="8" s="1"/>
  <c r="Q800" i="8"/>
  <c r="Q801" i="8" s="1"/>
  <c r="Q996" i="8"/>
  <c r="Q997" i="8" s="1"/>
  <c r="R676" i="2"/>
  <c r="Q730" i="2"/>
  <c r="Q203" i="14" s="1"/>
  <c r="Q741" i="2"/>
  <c r="R604" i="8"/>
  <c r="R605" i="8" s="1"/>
  <c r="S278" i="2"/>
  <c r="R332" i="2"/>
  <c r="R39" i="14" s="1"/>
  <c r="R343" i="2"/>
  <c r="L1180" i="8"/>
  <c r="L1181" i="8" s="1"/>
  <c r="P828" i="8"/>
  <c r="P829" i="8" s="1"/>
  <c r="Q1204" i="8"/>
  <c r="Q1205" i="8" s="1"/>
  <c r="S1020" i="8"/>
  <c r="S1021" i="8" s="1"/>
  <c r="T682" i="2"/>
  <c r="S747" i="2"/>
  <c r="S736" i="2"/>
  <c r="S209" i="14" s="1"/>
  <c r="Q1016" i="8"/>
  <c r="Q1017" i="8" s="1"/>
  <c r="Q746" i="2"/>
  <c r="R681" i="2"/>
  <c r="Q735" i="2"/>
  <c r="Q208" i="14" s="1"/>
  <c r="R1180" i="8"/>
  <c r="R1181" i="8" s="1"/>
  <c r="M378" i="2"/>
  <c r="M916" i="8" s="1"/>
  <c r="M917" i="8" s="1"/>
  <c r="P1212" i="8"/>
  <c r="P1213" i="8" s="1"/>
  <c r="R1216" i="8"/>
  <c r="R1217" i="8" s="1"/>
  <c r="F396" i="8"/>
  <c r="L1216" i="8"/>
  <c r="L1217" i="8" s="1"/>
  <c r="F364" i="8"/>
  <c r="P1196" i="8"/>
  <c r="P1197" i="8" s="1"/>
  <c r="P768" i="8"/>
  <c r="P769" i="8" s="1"/>
  <c r="R1008" i="8"/>
  <c r="R1009" i="8" s="1"/>
  <c r="R733" i="2"/>
  <c r="R206" i="14" s="1"/>
  <c r="R744" i="2"/>
  <c r="S679" i="2"/>
  <c r="F308" i="8"/>
  <c r="P1160" i="8"/>
  <c r="P1161" i="8" s="1"/>
  <c r="L804" i="8"/>
  <c r="L805" i="8" s="1"/>
  <c r="N360" i="2"/>
  <c r="L1160" i="8"/>
  <c r="L1161" i="8" s="1"/>
  <c r="L737" i="2"/>
  <c r="L1184" i="8" s="1"/>
  <c r="L1185" i="8" s="1"/>
  <c r="M374" i="2"/>
  <c r="P804" i="8"/>
  <c r="P805" i="8" s="1"/>
  <c r="Q764" i="8"/>
  <c r="Q765" i="8" s="1"/>
  <c r="Q1168" i="8"/>
  <c r="Q1169" i="8" s="1"/>
  <c r="L792" i="8"/>
  <c r="L793" i="8" s="1"/>
  <c r="L349" i="2"/>
  <c r="L824" i="8" s="1"/>
  <c r="L825" i="8" s="1"/>
  <c r="P1176" i="8"/>
  <c r="P1177" i="8" s="1"/>
  <c r="F400" i="8"/>
  <c r="F360" i="8"/>
  <c r="Q1000" i="8"/>
  <c r="Q1001" i="8" s="1"/>
  <c r="Q731" i="2"/>
  <c r="Q204" i="14" s="1"/>
  <c r="R677" i="2"/>
  <c r="Q742" i="2"/>
  <c r="Q1208" i="8"/>
  <c r="Q1209" i="8" s="1"/>
  <c r="L1196" i="8"/>
  <c r="L1197" i="8" s="1"/>
  <c r="L748" i="2"/>
  <c r="L1220" i="8" s="1"/>
  <c r="L1221" i="8" s="1"/>
  <c r="Q608" i="8"/>
  <c r="Q609" i="8" s="1"/>
  <c r="R279" i="2"/>
  <c r="Q344" i="2"/>
  <c r="Q333" i="2"/>
  <c r="Q40" i="14" s="1"/>
  <c r="L768" i="8"/>
  <c r="L769" i="8" s="1"/>
  <c r="Q1172" i="8"/>
  <c r="Q1173" i="8" s="1"/>
  <c r="F312" i="8"/>
  <c r="F432" i="8"/>
  <c r="M828" i="8"/>
  <c r="M829" i="8" s="1"/>
  <c r="M360" i="2"/>
  <c r="R1012" i="8"/>
  <c r="R1013" i="8" s="1"/>
  <c r="S680" i="2"/>
  <c r="R734" i="2"/>
  <c r="R207" i="14" s="1"/>
  <c r="R745" i="2"/>
  <c r="N375" i="2"/>
  <c r="N904" i="8" s="1"/>
  <c r="N905" i="8" s="1"/>
  <c r="F300" i="8"/>
  <c r="L1172" i="8"/>
  <c r="L1173" i="8" s="1"/>
  <c r="P1164" i="8"/>
  <c r="P1165" i="8" s="1"/>
  <c r="F340" i="8"/>
  <c r="F332" i="8"/>
  <c r="F296" i="8"/>
  <c r="F348" i="8"/>
  <c r="F368" i="8"/>
  <c r="F352" i="8"/>
  <c r="F384" i="8"/>
  <c r="F376" i="8"/>
  <c r="F380" i="8"/>
  <c r="F328" i="8"/>
  <c r="F320" i="8"/>
  <c r="F336" i="8"/>
  <c r="F316" i="8"/>
  <c r="F388" i="8"/>
  <c r="F392" i="8"/>
  <c r="F344" i="8"/>
  <c r="F372" i="8"/>
  <c r="F356" i="8"/>
  <c r="L77" i="14" l="1"/>
  <c r="T277" i="2"/>
  <c r="R760" i="8"/>
  <c r="R761" i="8" s="1"/>
  <c r="V185" i="14"/>
  <c r="AC182" i="14"/>
  <c r="N182" i="14"/>
  <c r="N185" i="14"/>
  <c r="N188" i="14"/>
  <c r="AC187" i="14"/>
  <c r="AC189" i="14"/>
  <c r="AB188" i="14"/>
  <c r="N186" i="14"/>
  <c r="AC184" i="14"/>
  <c r="Z1639" i="8"/>
  <c r="R353" i="2"/>
  <c r="AB1639" i="8"/>
  <c r="N184" i="14"/>
  <c r="AA182" i="14"/>
  <c r="X188" i="14"/>
  <c r="AA184" i="14"/>
  <c r="Q77" i="14"/>
  <c r="N187" i="14"/>
  <c r="X185" i="14"/>
  <c r="AA186" i="14"/>
  <c r="AA1636" i="8"/>
  <c r="T1639" i="8"/>
  <c r="W1638" i="8"/>
  <c r="X187" i="14"/>
  <c r="AA183" i="14"/>
  <c r="AA1638" i="8"/>
  <c r="M1638" i="8"/>
  <c r="T1636" i="8"/>
  <c r="X182" i="14"/>
  <c r="AA188" i="14"/>
  <c r="V188" i="14"/>
  <c r="M184" i="14"/>
  <c r="X184" i="14"/>
  <c r="AB183" i="14"/>
  <c r="Y1637" i="8"/>
  <c r="V186" i="14"/>
  <c r="M182" i="14"/>
  <c r="X186" i="14"/>
  <c r="V183" i="14"/>
  <c r="M185" i="14"/>
  <c r="X189" i="14"/>
  <c r="AB186" i="14"/>
  <c r="M189" i="14"/>
  <c r="AD184" i="14"/>
  <c r="AD186" i="14"/>
  <c r="W1639" i="8"/>
  <c r="L1637" i="8"/>
  <c r="T1637" i="8"/>
  <c r="O184" i="14"/>
  <c r="AB185" i="14"/>
  <c r="Q242" i="14"/>
  <c r="O186" i="14"/>
  <c r="Y1636" i="8"/>
  <c r="AA1637" i="8"/>
  <c r="Y1639" i="8"/>
  <c r="M1639" i="8"/>
  <c r="AC1638" i="8"/>
  <c r="L1638" i="8"/>
  <c r="Z189" i="14"/>
  <c r="Z183" i="14"/>
  <c r="Z186" i="14"/>
  <c r="Z188" i="14"/>
  <c r="Z185" i="14"/>
  <c r="Z184" i="14"/>
  <c r="Z182" i="14"/>
  <c r="Z187" i="14"/>
  <c r="O189" i="14"/>
  <c r="M1636" i="8"/>
  <c r="N1637" i="8"/>
  <c r="N1638" i="8"/>
  <c r="Y189" i="14"/>
  <c r="Y185" i="14"/>
  <c r="Y187" i="14"/>
  <c r="Y183" i="14"/>
  <c r="Y186" i="14"/>
  <c r="Y188" i="14"/>
  <c r="Y184" i="14"/>
  <c r="Y182" i="14"/>
  <c r="M1637" i="8"/>
  <c r="AC1637" i="8"/>
  <c r="L1639" i="8"/>
  <c r="AE1638" i="8"/>
  <c r="V187" i="14"/>
  <c r="AD187" i="14"/>
  <c r="AA187" i="14"/>
  <c r="AB187" i="14"/>
  <c r="N1639" i="8"/>
  <c r="P189" i="14"/>
  <c r="P187" i="14"/>
  <c r="P185" i="14"/>
  <c r="P186" i="14"/>
  <c r="P184" i="14"/>
  <c r="P182" i="14"/>
  <c r="P183" i="14"/>
  <c r="P188" i="14"/>
  <c r="AC1636" i="8"/>
  <c r="L1636" i="8"/>
  <c r="O1638" i="8"/>
  <c r="AE1639" i="8"/>
  <c r="AB189" i="14"/>
  <c r="N1636" i="8"/>
  <c r="V1637" i="8"/>
  <c r="W189" i="14"/>
  <c r="W183" i="14"/>
  <c r="W186" i="14"/>
  <c r="W188" i="14"/>
  <c r="W184" i="14"/>
  <c r="W182" i="14"/>
  <c r="W187" i="14"/>
  <c r="W185" i="14"/>
  <c r="AC1639" i="8"/>
  <c r="X1636" i="8"/>
  <c r="O1637" i="8"/>
  <c r="Q1188" i="8"/>
  <c r="Q1189" i="8" s="1"/>
  <c r="AE1636" i="8"/>
  <c r="V182" i="14"/>
  <c r="AD188" i="14"/>
  <c r="S1639" i="8"/>
  <c r="X1637" i="8"/>
  <c r="O1639" i="8"/>
  <c r="AE1637" i="8"/>
  <c r="V1636" i="8"/>
  <c r="L189" i="14"/>
  <c r="L182" i="14"/>
  <c r="L183" i="14"/>
  <c r="L187" i="14"/>
  <c r="L186" i="14"/>
  <c r="L188" i="14"/>
  <c r="L184" i="14"/>
  <c r="L185" i="14"/>
  <c r="S1636" i="8"/>
  <c r="X1638" i="8"/>
  <c r="O1636" i="8"/>
  <c r="U1638" i="8"/>
  <c r="V184" i="14"/>
  <c r="AD182" i="14"/>
  <c r="AB1636" i="8"/>
  <c r="X1639" i="8"/>
  <c r="U1637" i="8"/>
  <c r="Q1638" i="8"/>
  <c r="AD183" i="14"/>
  <c r="P1639" i="8"/>
  <c r="AD1638" i="8"/>
  <c r="AB1637" i="8"/>
  <c r="R1636" i="8"/>
  <c r="P1636" i="8"/>
  <c r="Z1638" i="8"/>
  <c r="S1637" i="8"/>
  <c r="U1636" i="8"/>
  <c r="Q1636" i="8"/>
  <c r="M188" i="14"/>
  <c r="O183" i="14"/>
  <c r="AD185" i="14"/>
  <c r="AC183" i="14"/>
  <c r="AA185" i="14"/>
  <c r="Y1638" i="8"/>
  <c r="AD1636" i="8"/>
  <c r="R1637" i="8"/>
  <c r="P1637" i="8"/>
  <c r="Z1636" i="8"/>
  <c r="U1639" i="8"/>
  <c r="Q1637" i="8"/>
  <c r="M186" i="14"/>
  <c r="O182" i="14"/>
  <c r="AC188" i="14"/>
  <c r="AB1638" i="8"/>
  <c r="S1638" i="8"/>
  <c r="AD1637" i="8"/>
  <c r="R1638" i="8"/>
  <c r="P1638" i="8"/>
  <c r="Z1637" i="8"/>
  <c r="W1637" i="8"/>
  <c r="Q1639" i="8"/>
  <c r="M187" i="14"/>
  <c r="O185" i="14"/>
  <c r="T189" i="14"/>
  <c r="T182" i="14"/>
  <c r="T184" i="14"/>
  <c r="T187" i="14"/>
  <c r="T183" i="14"/>
  <c r="T185" i="14"/>
  <c r="T188" i="14"/>
  <c r="T186" i="14"/>
  <c r="AC186" i="14"/>
  <c r="AB182" i="14"/>
  <c r="O188" i="14"/>
  <c r="V1639" i="8"/>
  <c r="V1638" i="8"/>
  <c r="AD1639" i="8"/>
  <c r="R1639" i="8"/>
  <c r="AA1639" i="8"/>
  <c r="T1638" i="8"/>
  <c r="W1636" i="8"/>
  <c r="R729" i="2"/>
  <c r="R202" i="14" s="1"/>
  <c r="S675" i="2"/>
  <c r="S740" i="2" s="1"/>
  <c r="F673" i="8"/>
  <c r="F665" i="8"/>
  <c r="F681" i="8"/>
  <c r="F677" i="8"/>
  <c r="F685" i="8"/>
  <c r="F669" i="8"/>
  <c r="M1084" i="8"/>
  <c r="M1085" i="8" s="1"/>
  <c r="N1068" i="8"/>
  <c r="N1069" i="8" s="1"/>
  <c r="AD1056" i="8"/>
  <c r="AD1057" i="8" s="1"/>
  <c r="V1076" i="8"/>
  <c r="V1077" i="8" s="1"/>
  <c r="AC1072" i="8"/>
  <c r="AC1073" i="8" s="1"/>
  <c r="AB1076" i="8"/>
  <c r="AB1077" i="8" s="1"/>
  <c r="N1060" i="8"/>
  <c r="N1061" i="8" s="1"/>
  <c r="S1056" i="8"/>
  <c r="S1057" i="8" s="1"/>
  <c r="M1080" i="8"/>
  <c r="M1081" i="8" s="1"/>
  <c r="AB176" i="13"/>
  <c r="AB174" i="13"/>
  <c r="AB172" i="13"/>
  <c r="AB171" i="13"/>
  <c r="AB173" i="13"/>
  <c r="AB175" i="13"/>
  <c r="AB170" i="13"/>
  <c r="AB169" i="13"/>
  <c r="O172" i="13"/>
  <c r="O170" i="13"/>
  <c r="O174" i="13"/>
  <c r="O171" i="13"/>
  <c r="O176" i="13"/>
  <c r="O173" i="13"/>
  <c r="O175" i="13"/>
  <c r="O169" i="13"/>
  <c r="S1080" i="8"/>
  <c r="S1081" i="8" s="1"/>
  <c r="X1076" i="8"/>
  <c r="X1077" i="8" s="1"/>
  <c r="X1056" i="8"/>
  <c r="X1057" i="8" s="1"/>
  <c r="AD1072" i="8"/>
  <c r="AD1073" i="8" s="1"/>
  <c r="V1072" i="8"/>
  <c r="V1073" i="8" s="1"/>
  <c r="AC1060" i="8"/>
  <c r="AC1061" i="8" s="1"/>
  <c r="AB1072" i="8"/>
  <c r="AB1073" i="8" s="1"/>
  <c r="N1056" i="8"/>
  <c r="N1057" i="8" s="1"/>
  <c r="S1060" i="8"/>
  <c r="S1061" i="8" s="1"/>
  <c r="M1056" i="8"/>
  <c r="M1057" i="8" s="1"/>
  <c r="M1068" i="8"/>
  <c r="M1069" i="8" s="1"/>
  <c r="P169" i="13"/>
  <c r="P172" i="13"/>
  <c r="P170" i="13"/>
  <c r="P174" i="13"/>
  <c r="P171" i="13"/>
  <c r="P175" i="13"/>
  <c r="P176" i="13"/>
  <c r="P173" i="13"/>
  <c r="AB1060" i="8"/>
  <c r="AB1061" i="8" s="1"/>
  <c r="R1064" i="8"/>
  <c r="R1065" i="8" s="1"/>
  <c r="X1060" i="8"/>
  <c r="X1061" i="8" s="1"/>
  <c r="AD1080" i="8"/>
  <c r="AD1081" i="8" s="1"/>
  <c r="V1060" i="8"/>
  <c r="V1061" i="8" s="1"/>
  <c r="AC1080" i="8"/>
  <c r="AC1081" i="8" s="1"/>
  <c r="AB1080" i="8"/>
  <c r="AB1081" i="8" s="1"/>
  <c r="N1064" i="8"/>
  <c r="N1065" i="8" s="1"/>
  <c r="S1072" i="8"/>
  <c r="S1073" i="8" s="1"/>
  <c r="T1068" i="8"/>
  <c r="T1069" i="8" s="1"/>
  <c r="AC172" i="13"/>
  <c r="AC174" i="13"/>
  <c r="AC171" i="13"/>
  <c r="AC176" i="13"/>
  <c r="AC173" i="13"/>
  <c r="AC175" i="13"/>
  <c r="AC170" i="13"/>
  <c r="AC169" i="13"/>
  <c r="R169" i="13"/>
  <c r="R176" i="13"/>
  <c r="R175" i="13"/>
  <c r="R172" i="13"/>
  <c r="R174" i="13"/>
  <c r="R171" i="13"/>
  <c r="R173" i="13"/>
  <c r="R170" i="13"/>
  <c r="R1080" i="8"/>
  <c r="R1081" i="8" s="1"/>
  <c r="L176" i="13"/>
  <c r="L174" i="13"/>
  <c r="L172" i="13"/>
  <c r="L170" i="13"/>
  <c r="L171" i="13"/>
  <c r="L173" i="13"/>
  <c r="L175" i="13"/>
  <c r="L169" i="13"/>
  <c r="Z176" i="13"/>
  <c r="Z174" i="13"/>
  <c r="Z172" i="13"/>
  <c r="Z171" i="13"/>
  <c r="Z173" i="13"/>
  <c r="Z175" i="13"/>
  <c r="Z170" i="13"/>
  <c r="Z169" i="13"/>
  <c r="L374" i="2"/>
  <c r="L900" i="8" s="1"/>
  <c r="L901" i="8" s="1"/>
  <c r="O1072" i="8"/>
  <c r="O1073" i="8" s="1"/>
  <c r="R1056" i="8"/>
  <c r="R1057" i="8" s="1"/>
  <c r="X1072" i="8"/>
  <c r="X1073" i="8" s="1"/>
  <c r="AD1064" i="8"/>
  <c r="AD1065" i="8" s="1"/>
  <c r="V1056" i="8"/>
  <c r="V1057" i="8" s="1"/>
  <c r="AA1060" i="8"/>
  <c r="AA1061" i="8" s="1"/>
  <c r="AB1084" i="8"/>
  <c r="AB1085" i="8" s="1"/>
  <c r="AE1056" i="8"/>
  <c r="AE1057" i="8" s="1"/>
  <c r="N1076" i="8"/>
  <c r="N1077" i="8" s="1"/>
  <c r="S1076" i="8"/>
  <c r="S1077" i="8" s="1"/>
  <c r="M1072" i="8"/>
  <c r="M1073" i="8" s="1"/>
  <c r="W174" i="13"/>
  <c r="W170" i="13"/>
  <c r="W176" i="13"/>
  <c r="W169" i="13"/>
  <c r="W171" i="13"/>
  <c r="W173" i="13"/>
  <c r="W175" i="13"/>
  <c r="W172" i="13"/>
  <c r="T1072" i="8"/>
  <c r="T1073" i="8" s="1"/>
  <c r="AD1076" i="8"/>
  <c r="AD1077" i="8" s="1"/>
  <c r="AD1060" i="8"/>
  <c r="AD1061" i="8" s="1"/>
  <c r="V1080" i="8"/>
  <c r="V1081" i="8" s="1"/>
  <c r="AC1064" i="8"/>
  <c r="AC1065" i="8" s="1"/>
  <c r="R1084" i="8"/>
  <c r="R1085" i="8" s="1"/>
  <c r="AE1064" i="8"/>
  <c r="AE1065" i="8" s="1"/>
  <c r="S1064" i="8"/>
  <c r="S1065" i="8" s="1"/>
  <c r="O1084" i="8"/>
  <c r="O1085" i="8" s="1"/>
  <c r="R1068" i="8"/>
  <c r="R1069" i="8" s="1"/>
  <c r="R1072" i="8"/>
  <c r="R1073" i="8" s="1"/>
  <c r="X1084" i="8"/>
  <c r="X1085" i="8" s="1"/>
  <c r="AC1084" i="8"/>
  <c r="AC1085" i="8" s="1"/>
  <c r="AA1076" i="8"/>
  <c r="AA1077" i="8" s="1"/>
  <c r="S1084" i="8"/>
  <c r="S1085" i="8" s="1"/>
  <c r="AE1084" i="8"/>
  <c r="AE1085" i="8" s="1"/>
  <c r="AA1068" i="8"/>
  <c r="AA1069" i="8" s="1"/>
  <c r="AE1076" i="8"/>
  <c r="AE1077" i="8" s="1"/>
  <c r="N1084" i="8"/>
  <c r="N1085" i="8" s="1"/>
  <c r="X1064" i="8"/>
  <c r="X1065" i="8" s="1"/>
  <c r="AB1064" i="8"/>
  <c r="AB1065" i="8" s="1"/>
  <c r="M1076" i="8"/>
  <c r="M1077" i="8" s="1"/>
  <c r="O1060" i="8"/>
  <c r="O1061" i="8" s="1"/>
  <c r="R1076" i="8"/>
  <c r="R1077" i="8" s="1"/>
  <c r="X1080" i="8"/>
  <c r="X1081" i="8" s="1"/>
  <c r="AC1076" i="8"/>
  <c r="AC1077" i="8" s="1"/>
  <c r="AA1072" i="8"/>
  <c r="AA1073" i="8" s="1"/>
  <c r="AE1072" i="8"/>
  <c r="AE1073" i="8" s="1"/>
  <c r="M175" i="13"/>
  <c r="M173" i="13"/>
  <c r="M171" i="13"/>
  <c r="M176" i="13"/>
  <c r="M174" i="13"/>
  <c r="M172" i="13"/>
  <c r="M170" i="13"/>
  <c r="M169" i="13"/>
  <c r="N176" i="13"/>
  <c r="N174" i="13"/>
  <c r="N172" i="13"/>
  <c r="N170" i="13"/>
  <c r="N171" i="13"/>
  <c r="N173" i="13"/>
  <c r="N175" i="13"/>
  <c r="N169" i="13"/>
  <c r="O1076" i="8"/>
  <c r="O1077" i="8" s="1"/>
  <c r="O1056" i="8"/>
  <c r="O1057" i="8" s="1"/>
  <c r="T1076" i="8"/>
  <c r="T1077" i="8" s="1"/>
  <c r="U1076" i="8"/>
  <c r="U1077" i="8" s="1"/>
  <c r="Q1068" i="8"/>
  <c r="Q1069" i="8" s="1"/>
  <c r="Q1084" i="8"/>
  <c r="Q1085" i="8" s="1"/>
  <c r="AE1080" i="8"/>
  <c r="AE1081" i="8" s="1"/>
  <c r="T176" i="13"/>
  <c r="T174" i="13"/>
  <c r="T172" i="13"/>
  <c r="T175" i="13"/>
  <c r="T173" i="13"/>
  <c r="T171" i="13"/>
  <c r="T169" i="13"/>
  <c r="T170" i="13"/>
  <c r="AD169" i="13"/>
  <c r="AD172" i="13"/>
  <c r="AD174" i="13"/>
  <c r="AD171" i="13"/>
  <c r="AD176" i="13"/>
  <c r="AD173" i="13"/>
  <c r="AD175" i="13"/>
  <c r="AD170" i="13"/>
  <c r="S175" i="13"/>
  <c r="S173" i="13"/>
  <c r="S171" i="13"/>
  <c r="S169" i="13"/>
  <c r="S174" i="13"/>
  <c r="S170" i="13"/>
  <c r="S172" i="13"/>
  <c r="S176" i="13"/>
  <c r="U1068" i="8"/>
  <c r="U1069" i="8" s="1"/>
  <c r="V1064" i="8"/>
  <c r="V1065" i="8" s="1"/>
  <c r="O1064" i="8"/>
  <c r="O1065" i="8" s="1"/>
  <c r="T1064" i="8"/>
  <c r="T1065" i="8" s="1"/>
  <c r="U1056" i="8"/>
  <c r="U1057" i="8" s="1"/>
  <c r="AA1084" i="8"/>
  <c r="AA1085" i="8" s="1"/>
  <c r="Q1080" i="8"/>
  <c r="Q1081" i="8" s="1"/>
  <c r="U1080" i="8"/>
  <c r="U1081" i="8" s="1"/>
  <c r="AB1068" i="8"/>
  <c r="AB1069" i="8" s="1"/>
  <c r="T1056" i="8"/>
  <c r="T1057" i="8" s="1"/>
  <c r="U1084" i="8"/>
  <c r="U1085" i="8" s="1"/>
  <c r="R1060" i="8"/>
  <c r="R1061" i="8" s="1"/>
  <c r="O1080" i="8"/>
  <c r="O1081" i="8" s="1"/>
  <c r="T1080" i="8"/>
  <c r="T1081" i="8" s="1"/>
  <c r="U1060" i="8"/>
  <c r="U1061" i="8" s="1"/>
  <c r="AA1080" i="8"/>
  <c r="AA1081" i="8" s="1"/>
  <c r="Q1072" i="8"/>
  <c r="Q1073" i="8" s="1"/>
  <c r="O1068" i="8"/>
  <c r="O1069" i="8" s="1"/>
  <c r="AD1068" i="8"/>
  <c r="AD1069" i="8" s="1"/>
  <c r="V176" i="13"/>
  <c r="V169" i="13"/>
  <c r="V173" i="13"/>
  <c r="V170" i="13"/>
  <c r="V175" i="13"/>
  <c r="V172" i="13"/>
  <c r="V171" i="13"/>
  <c r="V174" i="13"/>
  <c r="AE175" i="13"/>
  <c r="AE173" i="13"/>
  <c r="AE171" i="13"/>
  <c r="AE169" i="13"/>
  <c r="AE172" i="13"/>
  <c r="AE174" i="13"/>
  <c r="AE176" i="13"/>
  <c r="AE170" i="13"/>
  <c r="Y173" i="13"/>
  <c r="Y172" i="13"/>
  <c r="Y175" i="13"/>
  <c r="Y174" i="13"/>
  <c r="Y176" i="13"/>
  <c r="Y170" i="13"/>
  <c r="Y169" i="13"/>
  <c r="Y171" i="13"/>
  <c r="U175" i="13"/>
  <c r="U173" i="13"/>
  <c r="U171" i="13"/>
  <c r="U169" i="13"/>
  <c r="U172" i="13"/>
  <c r="U176" i="13"/>
  <c r="U170" i="13"/>
  <c r="U174" i="13"/>
  <c r="AC1068" i="8"/>
  <c r="AC1069" i="8" s="1"/>
  <c r="Q1064" i="8"/>
  <c r="Q1065" i="8" s="1"/>
  <c r="AE1060" i="8"/>
  <c r="AE1061" i="8" s="1"/>
  <c r="Q175" i="13"/>
  <c r="Q173" i="13"/>
  <c r="Q171" i="13"/>
  <c r="Q169" i="13"/>
  <c r="Q172" i="13"/>
  <c r="Q170" i="13"/>
  <c r="Q174" i="13"/>
  <c r="Q176" i="13"/>
  <c r="T1060" i="8"/>
  <c r="T1061" i="8" s="1"/>
  <c r="U1064" i="8"/>
  <c r="U1065" i="8" s="1"/>
  <c r="V1068" i="8"/>
  <c r="V1069" i="8" s="1"/>
  <c r="AA1056" i="8"/>
  <c r="AA1057" i="8" s="1"/>
  <c r="AB1056" i="8"/>
  <c r="AB1057" i="8" s="1"/>
  <c r="Q1076" i="8"/>
  <c r="Q1077" i="8" s="1"/>
  <c r="Q1056" i="8"/>
  <c r="Q1057" i="8" s="1"/>
  <c r="N1080" i="8"/>
  <c r="N1081" i="8" s="1"/>
  <c r="M1060" i="8"/>
  <c r="M1061" i="8" s="1"/>
  <c r="AE1068" i="8"/>
  <c r="AE1069" i="8" s="1"/>
  <c r="X176" i="13"/>
  <c r="X174" i="13"/>
  <c r="X172" i="13"/>
  <c r="X175" i="13"/>
  <c r="X170" i="13"/>
  <c r="X169" i="13"/>
  <c r="X173" i="13"/>
  <c r="X171" i="13"/>
  <c r="AA1064" i="8"/>
  <c r="AA1065" i="8" s="1"/>
  <c r="T1084" i="8"/>
  <c r="T1085" i="8" s="1"/>
  <c r="U1072" i="8"/>
  <c r="U1073" i="8" s="1"/>
  <c r="AD1084" i="8"/>
  <c r="AD1085" i="8" s="1"/>
  <c r="V1084" i="8"/>
  <c r="V1085" i="8" s="1"/>
  <c r="AC1056" i="8"/>
  <c r="AC1057" i="8" s="1"/>
  <c r="Q1060" i="8"/>
  <c r="Q1061" i="8" s="1"/>
  <c r="N1072" i="8"/>
  <c r="N1073" i="8" s="1"/>
  <c r="S1068" i="8"/>
  <c r="S1069" i="8" s="1"/>
  <c r="M1064" i="8"/>
  <c r="M1065" i="8" s="1"/>
  <c r="X1068" i="8"/>
  <c r="X1069" i="8" s="1"/>
  <c r="AA175" i="13"/>
  <c r="AA173" i="13"/>
  <c r="AA171" i="13"/>
  <c r="AA176" i="13"/>
  <c r="AA174" i="13"/>
  <c r="AA172" i="13"/>
  <c r="AA170" i="13"/>
  <c r="AA169" i="13"/>
  <c r="R992" i="8"/>
  <c r="R993" i="8" s="1"/>
  <c r="R740" i="2"/>
  <c r="D1455" i="8"/>
  <c r="L856" i="8"/>
  <c r="L857" i="8" s="1"/>
  <c r="L376" i="2"/>
  <c r="L908" i="8" s="1"/>
  <c r="L909" i="8" s="1"/>
  <c r="R259" i="2"/>
  <c r="L382" i="2"/>
  <c r="R832" i="8"/>
  <c r="R833" i="8" s="1"/>
  <c r="R258" i="2"/>
  <c r="P382" i="2"/>
  <c r="R354" i="2"/>
  <c r="R836" i="8" s="1"/>
  <c r="R837" i="8" s="1"/>
  <c r="Q358" i="2"/>
  <c r="Q852" i="8" s="1"/>
  <c r="Q853" i="8" s="1"/>
  <c r="S353" i="2"/>
  <c r="L840" i="8"/>
  <c r="L841" i="8" s="1"/>
  <c r="R352" i="2"/>
  <c r="T357" i="2"/>
  <c r="R359" i="2"/>
  <c r="R856" i="8" s="1"/>
  <c r="R857" i="8" s="1"/>
  <c r="Q356" i="2"/>
  <c r="Q844" i="8" s="1"/>
  <c r="Q845" i="8" s="1"/>
  <c r="Q355" i="2"/>
  <c r="M860" i="8"/>
  <c r="M861" i="8" s="1"/>
  <c r="O860" i="8"/>
  <c r="O861" i="8" s="1"/>
  <c r="N860" i="8"/>
  <c r="N861" i="8" s="1"/>
  <c r="F1385" i="8"/>
  <c r="F989" i="8"/>
  <c r="H257" i="2"/>
  <c r="F313" i="2" s="1"/>
  <c r="I257" i="2"/>
  <c r="G313" i="2" s="1"/>
  <c r="P852" i="8"/>
  <c r="P853" i="8" s="1"/>
  <c r="P374" i="2"/>
  <c r="P900" i="8" s="1"/>
  <c r="P901" i="8" s="1"/>
  <c r="H656" i="2"/>
  <c r="F712" i="2" s="1"/>
  <c r="I656" i="2"/>
  <c r="G712" i="2" s="1"/>
  <c r="L984" i="8"/>
  <c r="L985" i="8" s="1"/>
  <c r="L700" i="2"/>
  <c r="L705" i="2"/>
  <c r="L703" i="2"/>
  <c r="L704" i="2"/>
  <c r="L699" i="2"/>
  <c r="L698" i="2"/>
  <c r="L702" i="2"/>
  <c r="L701" i="2"/>
  <c r="F1425" i="8"/>
  <c r="F1397" i="8"/>
  <c r="Q1152" i="8"/>
  <c r="Q1153" i="8" s="1"/>
  <c r="H255" i="2"/>
  <c r="F317" i="2" s="1"/>
  <c r="I255" i="2"/>
  <c r="G317" i="2" s="1"/>
  <c r="O379" i="2"/>
  <c r="I654" i="2"/>
  <c r="G716" i="2" s="1"/>
  <c r="H654" i="2"/>
  <c r="F716" i="2" s="1"/>
  <c r="F1413" i="8"/>
  <c r="I254" i="2"/>
  <c r="H254" i="2"/>
  <c r="H653" i="2"/>
  <c r="I653" i="2"/>
  <c r="Y984" i="8"/>
  <c r="Y985" i="8" s="1"/>
  <c r="Y700" i="2"/>
  <c r="Y704" i="2"/>
  <c r="Y705" i="2"/>
  <c r="Y703" i="2"/>
  <c r="Y702" i="2"/>
  <c r="Y699" i="2"/>
  <c r="Y698" i="2"/>
  <c r="Y701" i="2"/>
  <c r="F1421" i="8"/>
  <c r="P984" i="8"/>
  <c r="P985" i="8" s="1"/>
  <c r="P698" i="2"/>
  <c r="P700" i="2"/>
  <c r="P703" i="2"/>
  <c r="P705" i="2"/>
  <c r="P699" i="2"/>
  <c r="P702" i="2"/>
  <c r="P704" i="2"/>
  <c r="P701" i="2"/>
  <c r="Z704" i="2"/>
  <c r="Z698" i="2"/>
  <c r="Z700" i="2"/>
  <c r="Z699" i="2"/>
  <c r="Z984" i="8"/>
  <c r="Z985" i="8" s="1"/>
  <c r="Z703" i="2"/>
  <c r="Z705" i="2"/>
  <c r="Z702" i="2"/>
  <c r="Z701" i="2"/>
  <c r="F1417" i="8"/>
  <c r="W984" i="8"/>
  <c r="W985" i="8" s="1"/>
  <c r="W704" i="2"/>
  <c r="W705" i="2"/>
  <c r="W702" i="2"/>
  <c r="W703" i="2"/>
  <c r="W700" i="2"/>
  <c r="W698" i="2"/>
  <c r="W699" i="2"/>
  <c r="W701" i="2"/>
  <c r="F1405" i="8"/>
  <c r="H652" i="2"/>
  <c r="I652" i="2"/>
  <c r="F1393" i="8"/>
  <c r="F1409" i="8"/>
  <c r="F1401" i="8"/>
  <c r="H253" i="2"/>
  <c r="I253" i="2"/>
  <c r="Q737" i="2"/>
  <c r="Q1184" i="8" s="1"/>
  <c r="Q1185" i="8" s="1"/>
  <c r="Q772" i="8"/>
  <c r="Q773" i="8" s="1"/>
  <c r="R612" i="8"/>
  <c r="R613" i="8" s="1"/>
  <c r="R345" i="2"/>
  <c r="S280" i="2"/>
  <c r="R334" i="2"/>
  <c r="R41" i="14" s="1"/>
  <c r="Q808" i="8"/>
  <c r="Q809" i="8" s="1"/>
  <c r="Q1196" i="8"/>
  <c r="Q1197" i="8" s="1"/>
  <c r="Q1176" i="8"/>
  <c r="Q1177" i="8" s="1"/>
  <c r="S1216" i="8"/>
  <c r="S1217" i="8" s="1"/>
  <c r="R784" i="8"/>
  <c r="R785" i="8" s="1"/>
  <c r="T812" i="8"/>
  <c r="T813" i="8" s="1"/>
  <c r="R820" i="8"/>
  <c r="R821" i="8" s="1"/>
  <c r="R1208" i="8"/>
  <c r="R1209" i="8" s="1"/>
  <c r="R1000" i="8"/>
  <c r="R1001" i="8" s="1"/>
  <c r="R731" i="2"/>
  <c r="R204" i="14" s="1"/>
  <c r="S677" i="2"/>
  <c r="R742" i="2"/>
  <c r="P378" i="2"/>
  <c r="P916" i="8" s="1"/>
  <c r="P917" i="8" s="1"/>
  <c r="R1016" i="8"/>
  <c r="R1017" i="8" s="1"/>
  <c r="R746" i="2"/>
  <c r="S681" i="2"/>
  <c r="R735" i="2"/>
  <c r="R208" i="14" s="1"/>
  <c r="T1020" i="8"/>
  <c r="T1021" i="8" s="1"/>
  <c r="U682" i="2"/>
  <c r="T747" i="2"/>
  <c r="T736" i="2"/>
  <c r="T209" i="14" s="1"/>
  <c r="S624" i="8"/>
  <c r="S625" i="8" s="1"/>
  <c r="T283" i="2"/>
  <c r="S348" i="2"/>
  <c r="S337" i="2"/>
  <c r="S44" i="14" s="1"/>
  <c r="Q1164" i="8"/>
  <c r="Q1165" i="8" s="1"/>
  <c r="R756" i="8"/>
  <c r="R757" i="8" s="1"/>
  <c r="U616" i="8"/>
  <c r="U617" i="8" s="1"/>
  <c r="V281" i="2"/>
  <c r="U335" i="2"/>
  <c r="U42" i="14" s="1"/>
  <c r="U346" i="2"/>
  <c r="R1172" i="8"/>
  <c r="R1173" i="8" s="1"/>
  <c r="L828" i="8"/>
  <c r="L829" i="8" s="1"/>
  <c r="L360" i="2"/>
  <c r="Q1200" i="8"/>
  <c r="Q1201" i="8" s="1"/>
  <c r="S596" i="8"/>
  <c r="S597" i="8" s="1"/>
  <c r="S341" i="2"/>
  <c r="T276" i="2"/>
  <c r="S330" i="2"/>
  <c r="S37" i="14" s="1"/>
  <c r="T776" i="8"/>
  <c r="T777" i="8" s="1"/>
  <c r="S604" i="8"/>
  <c r="S605" i="8" s="1"/>
  <c r="T278" i="2"/>
  <c r="S332" i="2"/>
  <c r="S39" i="14" s="1"/>
  <c r="S343" i="2"/>
  <c r="Q768" i="8"/>
  <c r="Q769" i="8" s="1"/>
  <c r="R1004" i="8"/>
  <c r="R1005" i="8" s="1"/>
  <c r="S678" i="2"/>
  <c r="R743" i="2"/>
  <c r="R732" i="2"/>
  <c r="R205" i="14" s="1"/>
  <c r="R792" i="8"/>
  <c r="R793" i="8" s="1"/>
  <c r="P360" i="2"/>
  <c r="Q804" i="8"/>
  <c r="Q805" i="8" s="1"/>
  <c r="L378" i="2"/>
  <c r="L916" i="8" s="1"/>
  <c r="L917" i="8" s="1"/>
  <c r="R608" i="8"/>
  <c r="R609" i="8" s="1"/>
  <c r="S279" i="2"/>
  <c r="R344" i="2"/>
  <c r="R333" i="2"/>
  <c r="R40" i="14" s="1"/>
  <c r="Q748" i="2"/>
  <c r="Q1220" i="8" s="1"/>
  <c r="Q1221" i="8" s="1"/>
  <c r="Q1192" i="8"/>
  <c r="Q1193" i="8" s="1"/>
  <c r="T600" i="8"/>
  <c r="T601" i="8" s="1"/>
  <c r="U277" i="2"/>
  <c r="T342" i="2"/>
  <c r="T331" i="2"/>
  <c r="T38" i="14" s="1"/>
  <c r="Q376" i="2"/>
  <c r="Q908" i="8" s="1"/>
  <c r="Q909" i="8" s="1"/>
  <c r="S1008" i="8"/>
  <c r="S1009" i="8" s="1"/>
  <c r="S733" i="2"/>
  <c r="S206" i="14" s="1"/>
  <c r="S744" i="2"/>
  <c r="T679" i="2"/>
  <c r="R1168" i="8"/>
  <c r="R1169" i="8" s="1"/>
  <c r="R1152" i="8"/>
  <c r="R1153" i="8" s="1"/>
  <c r="Q338" i="2"/>
  <c r="Q788" i="8" s="1"/>
  <c r="Q789" i="8" s="1"/>
  <c r="Q1160" i="8"/>
  <c r="Q1161" i="8" s="1"/>
  <c r="Q1212" i="8"/>
  <c r="Q1213" i="8" s="1"/>
  <c r="R1204" i="8"/>
  <c r="R1205" i="8" s="1"/>
  <c r="Q828" i="8"/>
  <c r="Q829" i="8" s="1"/>
  <c r="Q375" i="2"/>
  <c r="Q904" i="8" s="1"/>
  <c r="Q905" i="8" s="1"/>
  <c r="S1180" i="8"/>
  <c r="S1181" i="8" s="1"/>
  <c r="Q1156" i="8"/>
  <c r="Q1157" i="8" s="1"/>
  <c r="S760" i="8"/>
  <c r="S761" i="8" s="1"/>
  <c r="S796" i="8"/>
  <c r="S797" i="8" s="1"/>
  <c r="R800" i="8"/>
  <c r="R801" i="8" s="1"/>
  <c r="Q780" i="8"/>
  <c r="Q781" i="8" s="1"/>
  <c r="R620" i="8"/>
  <c r="R621" i="8" s="1"/>
  <c r="S282" i="2"/>
  <c r="R347" i="2"/>
  <c r="R336" i="2"/>
  <c r="R43" i="14" s="1"/>
  <c r="S1012" i="8"/>
  <c r="S1013" i="8" s="1"/>
  <c r="T680" i="2"/>
  <c r="S734" i="2"/>
  <c r="S207" i="14" s="1"/>
  <c r="S745" i="2"/>
  <c r="R996" i="8"/>
  <c r="R997" i="8" s="1"/>
  <c r="R741" i="2"/>
  <c r="S676" i="2"/>
  <c r="R730" i="2"/>
  <c r="R203" i="14" s="1"/>
  <c r="M900" i="8"/>
  <c r="M901" i="8" s="1"/>
  <c r="M379" i="2"/>
  <c r="R764" i="8"/>
  <c r="R765" i="8" s="1"/>
  <c r="N900" i="8"/>
  <c r="N901" i="8" s="1"/>
  <c r="N379" i="2"/>
  <c r="Q816" i="8"/>
  <c r="Q817" i="8" s="1"/>
  <c r="Q349" i="2"/>
  <c r="Q824" i="8" s="1"/>
  <c r="Q825" i="8" s="1"/>
  <c r="R77" i="14" l="1"/>
  <c r="T675" i="2"/>
  <c r="T992" i="8" s="1"/>
  <c r="T993" i="8" s="1"/>
  <c r="S992" i="8"/>
  <c r="S993" i="8" s="1"/>
  <c r="S729" i="2"/>
  <c r="S202" i="14" s="1"/>
  <c r="N242" i="14"/>
  <c r="M242" i="14"/>
  <c r="R370" i="2"/>
  <c r="R399" i="2" s="1"/>
  <c r="R976" i="8" s="1"/>
  <c r="R977" i="8" s="1"/>
  <c r="S370" i="2"/>
  <c r="S892" i="8" s="1"/>
  <c r="S893" i="8" s="1"/>
  <c r="W199" i="14"/>
  <c r="X199" i="14"/>
  <c r="L199" i="14"/>
  <c r="L239" i="14" s="1"/>
  <c r="Z199" i="14"/>
  <c r="M199" i="14"/>
  <c r="M239" i="14" s="1"/>
  <c r="AA199" i="14"/>
  <c r="N199" i="14"/>
  <c r="N239" i="14" s="1"/>
  <c r="AB199" i="14"/>
  <c r="O199" i="14"/>
  <c r="O239" i="14" s="1"/>
  <c r="AC199" i="14"/>
  <c r="P199" i="14"/>
  <c r="P239" i="14" s="1"/>
  <c r="AD199" i="14"/>
  <c r="Q199" i="14"/>
  <c r="Q239" i="14" s="1"/>
  <c r="AE199" i="14"/>
  <c r="R199" i="14"/>
  <c r="R239" i="14" s="1"/>
  <c r="Y199" i="14"/>
  <c r="S199" i="14"/>
  <c r="S239" i="14" s="1"/>
  <c r="U199" i="14"/>
  <c r="T199" i="14"/>
  <c r="T239" i="14" s="1"/>
  <c r="V199" i="14"/>
  <c r="R1188" i="8"/>
  <c r="R1189" i="8" s="1"/>
  <c r="S30" i="14"/>
  <c r="T30" i="14"/>
  <c r="U30" i="14"/>
  <c r="V30" i="14"/>
  <c r="W30" i="14"/>
  <c r="X30" i="14"/>
  <c r="Y30" i="14"/>
  <c r="L30" i="14"/>
  <c r="L70" i="14" s="1"/>
  <c r="Z30" i="14"/>
  <c r="M30" i="14"/>
  <c r="M70" i="14" s="1"/>
  <c r="AA30" i="14"/>
  <c r="N30" i="14"/>
  <c r="N70" i="14" s="1"/>
  <c r="AB30" i="14"/>
  <c r="O30" i="14"/>
  <c r="O70" i="14" s="1"/>
  <c r="AC30" i="14"/>
  <c r="P30" i="14"/>
  <c r="P70" i="14" s="1"/>
  <c r="AD30" i="14"/>
  <c r="Q30" i="14"/>
  <c r="Q70" i="14" s="1"/>
  <c r="AE30" i="14"/>
  <c r="R30" i="14"/>
  <c r="R70" i="14" s="1"/>
  <c r="M366" i="2"/>
  <c r="M395" i="2" s="1"/>
  <c r="M960" i="8" s="1"/>
  <c r="M961" i="8" s="1"/>
  <c r="N366" i="2"/>
  <c r="O366" i="2"/>
  <c r="O395" i="2" s="1"/>
  <c r="O960" i="8" s="1"/>
  <c r="O961" i="8" s="1"/>
  <c r="L366" i="2"/>
  <c r="L395" i="2" s="1"/>
  <c r="L960" i="8" s="1"/>
  <c r="L961" i="8" s="1"/>
  <c r="P366" i="2"/>
  <c r="P395" i="2" s="1"/>
  <c r="P960" i="8" s="1"/>
  <c r="P961" i="8" s="1"/>
  <c r="Q366" i="2"/>
  <c r="Q395" i="2" s="1"/>
  <c r="Q960" i="8" s="1"/>
  <c r="Q961" i="8" s="1"/>
  <c r="F1638" i="8"/>
  <c r="F1639" i="8"/>
  <c r="R366" i="2"/>
  <c r="R876" i="8" s="1"/>
  <c r="R877" i="8" s="1"/>
  <c r="R242" i="14"/>
  <c r="L242" i="14"/>
  <c r="P34" i="14"/>
  <c r="P74" i="14" s="1"/>
  <c r="AD34" i="14"/>
  <c r="Q34" i="14"/>
  <c r="Q74" i="14" s="1"/>
  <c r="AE34" i="14"/>
  <c r="S34" i="14"/>
  <c r="S74" i="14" s="1"/>
  <c r="T34" i="14"/>
  <c r="U34" i="14"/>
  <c r="V34" i="14"/>
  <c r="W34" i="14"/>
  <c r="X34" i="14"/>
  <c r="Y34" i="14"/>
  <c r="L34" i="14"/>
  <c r="L74" i="14" s="1"/>
  <c r="Z34" i="14"/>
  <c r="M34" i="14"/>
  <c r="M74" i="14" s="1"/>
  <c r="AA34" i="14"/>
  <c r="N34" i="14"/>
  <c r="N74" i="14" s="1"/>
  <c r="O34" i="14"/>
  <c r="O74" i="14" s="1"/>
  <c r="R34" i="14"/>
  <c r="R74" i="14" s="1"/>
  <c r="AB34" i="14"/>
  <c r="AC34" i="14"/>
  <c r="O370" i="2"/>
  <c r="O399" i="2" s="1"/>
  <c r="O976" i="8" s="1"/>
  <c r="O977" i="8" s="1"/>
  <c r="L370" i="2"/>
  <c r="L399" i="2" s="1"/>
  <c r="L976" i="8" s="1"/>
  <c r="L977" i="8" s="1"/>
  <c r="P370" i="2"/>
  <c r="P399" i="2" s="1"/>
  <c r="P976" i="8" s="1"/>
  <c r="P977" i="8" s="1"/>
  <c r="M370" i="2"/>
  <c r="M399" i="2" s="1"/>
  <c r="M976" i="8" s="1"/>
  <c r="M977" i="8" s="1"/>
  <c r="N370" i="2"/>
  <c r="N399" i="2" s="1"/>
  <c r="N976" i="8" s="1"/>
  <c r="N977" i="8" s="1"/>
  <c r="Q370" i="2"/>
  <c r="Q399" i="2" s="1"/>
  <c r="Q976" i="8" s="1"/>
  <c r="Q977" i="8" s="1"/>
  <c r="F1636" i="8"/>
  <c r="W195" i="14"/>
  <c r="X195" i="14"/>
  <c r="L195" i="14"/>
  <c r="L235" i="14" s="1"/>
  <c r="Z195" i="14"/>
  <c r="M195" i="14"/>
  <c r="M235" i="14" s="1"/>
  <c r="AA195" i="14"/>
  <c r="N195" i="14"/>
  <c r="N235" i="14" s="1"/>
  <c r="AB195" i="14"/>
  <c r="O195" i="14"/>
  <c r="O235" i="14" s="1"/>
  <c r="AC195" i="14"/>
  <c r="Q195" i="14"/>
  <c r="Q235" i="14" s="1"/>
  <c r="AE195" i="14"/>
  <c r="R195" i="14"/>
  <c r="R235" i="14" s="1"/>
  <c r="P195" i="14"/>
  <c r="P235" i="14" s="1"/>
  <c r="S195" i="14"/>
  <c r="T195" i="14"/>
  <c r="V195" i="14"/>
  <c r="Y195" i="14"/>
  <c r="AD195" i="14"/>
  <c r="U195" i="14"/>
  <c r="F1637" i="8"/>
  <c r="O242" i="14"/>
  <c r="P242" i="14"/>
  <c r="Z1068" i="8"/>
  <c r="Z1069" i="8" s="1"/>
  <c r="L1064" i="8"/>
  <c r="L1065" i="8" s="1"/>
  <c r="Y1072" i="8"/>
  <c r="Y1073" i="8" s="1"/>
  <c r="P1072" i="8"/>
  <c r="P1073" i="8" s="1"/>
  <c r="Y1056" i="8"/>
  <c r="Y1057" i="8" s="1"/>
  <c r="L1080" i="8"/>
  <c r="L1081" i="8" s="1"/>
  <c r="L1084" i="8"/>
  <c r="L1085" i="8" s="1"/>
  <c r="P1068" i="8"/>
  <c r="P1069" i="8" s="1"/>
  <c r="Y1060" i="8"/>
  <c r="Y1061" i="8" s="1"/>
  <c r="L1076" i="8"/>
  <c r="L1077" i="8" s="1"/>
  <c r="Z1084" i="8"/>
  <c r="Z1085" i="8" s="1"/>
  <c r="P1060" i="8"/>
  <c r="P1061" i="8" s="1"/>
  <c r="Y1084" i="8"/>
  <c r="Y1085" i="8" s="1"/>
  <c r="Z1072" i="8"/>
  <c r="Z1073" i="8" s="1"/>
  <c r="W1060" i="8"/>
  <c r="W1061" i="8" s="1"/>
  <c r="Z1060" i="8"/>
  <c r="Z1061" i="8" s="1"/>
  <c r="P1064" i="8"/>
  <c r="P1065" i="8" s="1"/>
  <c r="P1076" i="8"/>
  <c r="P1077" i="8" s="1"/>
  <c r="W1064" i="8"/>
  <c r="W1065" i="8" s="1"/>
  <c r="Z1056" i="8"/>
  <c r="Z1057" i="8" s="1"/>
  <c r="Z1064" i="8"/>
  <c r="Z1065" i="8" s="1"/>
  <c r="P1056" i="8"/>
  <c r="P1057" i="8" s="1"/>
  <c r="W1076" i="8"/>
  <c r="W1077" i="8" s="1"/>
  <c r="L1068" i="8"/>
  <c r="L1069" i="8" s="1"/>
  <c r="P1080" i="8"/>
  <c r="P1081" i="8" s="1"/>
  <c r="Y1076" i="8"/>
  <c r="Y1077" i="8" s="1"/>
  <c r="P1084" i="8"/>
  <c r="P1085" i="8" s="1"/>
  <c r="W1068" i="8"/>
  <c r="W1069" i="8" s="1"/>
  <c r="Y1064" i="8"/>
  <c r="Y1065" i="8" s="1"/>
  <c r="W1056" i="8"/>
  <c r="W1057" i="8" s="1"/>
  <c r="Z1076" i="8"/>
  <c r="Z1077" i="8" s="1"/>
  <c r="Y1080" i="8"/>
  <c r="Y1081" i="8" s="1"/>
  <c r="Z1080" i="8"/>
  <c r="Z1081" i="8" s="1"/>
  <c r="W1084" i="8"/>
  <c r="W1085" i="8" s="1"/>
  <c r="L1056" i="8"/>
  <c r="L1057" i="8" s="1"/>
  <c r="W1072" i="8"/>
  <c r="W1073" i="8" s="1"/>
  <c r="L1072" i="8"/>
  <c r="L1073" i="8" s="1"/>
  <c r="W1080" i="8"/>
  <c r="W1081" i="8" s="1"/>
  <c r="Y1068" i="8"/>
  <c r="Y1069" i="8" s="1"/>
  <c r="L1060" i="8"/>
  <c r="L1061" i="8" s="1"/>
  <c r="Q382" i="2"/>
  <c r="Q840" i="8"/>
  <c r="Q841" i="8" s="1"/>
  <c r="S313" i="2"/>
  <c r="S23" i="13" s="1"/>
  <c r="U313" i="2"/>
  <c r="U23" i="13" s="1"/>
  <c r="T313" i="2"/>
  <c r="T23" i="13" s="1"/>
  <c r="AC313" i="2"/>
  <c r="AC23" i="13" s="1"/>
  <c r="L313" i="2"/>
  <c r="L23" i="13" s="1"/>
  <c r="X313" i="2"/>
  <c r="X23" i="13" s="1"/>
  <c r="R313" i="2"/>
  <c r="R23" i="13" s="1"/>
  <c r="Q313" i="2"/>
  <c r="Q23" i="13" s="1"/>
  <c r="W313" i="2"/>
  <c r="W23" i="13" s="1"/>
  <c r="P313" i="2"/>
  <c r="P23" i="13" s="1"/>
  <c r="AA313" i="2"/>
  <c r="AA23" i="13" s="1"/>
  <c r="O313" i="2"/>
  <c r="O23" i="13" s="1"/>
  <c r="Z313" i="2"/>
  <c r="Z23" i="13" s="1"/>
  <c r="N395" i="2"/>
  <c r="N960" i="8" s="1"/>
  <c r="N961" i="8" s="1"/>
  <c r="AB313" i="2"/>
  <c r="AB23" i="13" s="1"/>
  <c r="N313" i="2"/>
  <c r="N23" i="13" s="1"/>
  <c r="V313" i="2"/>
  <c r="V23" i="13" s="1"/>
  <c r="M313" i="2"/>
  <c r="M23" i="13" s="1"/>
  <c r="AD313" i="2"/>
  <c r="AD23" i="13" s="1"/>
  <c r="Y313" i="2"/>
  <c r="Y23" i="13" s="1"/>
  <c r="AE313" i="2"/>
  <c r="AE23" i="13" s="1"/>
  <c r="S259" i="2"/>
  <c r="R716" i="2"/>
  <c r="R166" i="13" s="1"/>
  <c r="T716" i="2"/>
  <c r="T166" i="13" s="1"/>
  <c r="T186" i="13" s="1"/>
  <c r="T216" i="13" s="1"/>
  <c r="T248" i="13" s="1"/>
  <c r="W716" i="2"/>
  <c r="W166" i="13" s="1"/>
  <c r="AE716" i="2"/>
  <c r="AE166" i="13" s="1"/>
  <c r="AE186" i="13" s="1"/>
  <c r="S716" i="2"/>
  <c r="S166" i="13" s="1"/>
  <c r="Q716" i="2"/>
  <c r="Q166" i="13" s="1"/>
  <c r="AD716" i="2"/>
  <c r="AD166" i="13" s="1"/>
  <c r="AC716" i="2"/>
  <c r="AC166" i="13" s="1"/>
  <c r="AC186" i="13" s="1"/>
  <c r="Z716" i="2"/>
  <c r="Z166" i="13" s="1"/>
  <c r="Z186" i="13" s="1"/>
  <c r="AA716" i="2"/>
  <c r="AA166" i="13" s="1"/>
  <c r="AA186" i="13" s="1"/>
  <c r="M716" i="2"/>
  <c r="M166" i="13" s="1"/>
  <c r="M186" i="13" s="1"/>
  <c r="M216" i="13" s="1"/>
  <c r="M248" i="13" s="1"/>
  <c r="V716" i="2"/>
  <c r="V166" i="13" s="1"/>
  <c r="V186" i="13" s="1"/>
  <c r="Y716" i="2"/>
  <c r="Y166" i="13" s="1"/>
  <c r="N716" i="2"/>
  <c r="N166" i="13" s="1"/>
  <c r="N186" i="13" s="1"/>
  <c r="N216" i="13" s="1"/>
  <c r="N248" i="13" s="1"/>
  <c r="X716" i="2"/>
  <c r="X166" i="13" s="1"/>
  <c r="P716" i="2"/>
  <c r="P166" i="13" s="1"/>
  <c r="U716" i="2"/>
  <c r="U166" i="13" s="1"/>
  <c r="L716" i="2"/>
  <c r="L166" i="13" s="1"/>
  <c r="O716" i="2"/>
  <c r="O166" i="13" s="1"/>
  <c r="O186" i="13" s="1"/>
  <c r="O216" i="13" s="1"/>
  <c r="O248" i="13" s="1"/>
  <c r="AB716" i="2"/>
  <c r="AB166" i="13" s="1"/>
  <c r="S317" i="2"/>
  <c r="S27" i="13" s="1"/>
  <c r="T317" i="2"/>
  <c r="T27" i="13" s="1"/>
  <c r="AC317" i="2"/>
  <c r="AC27" i="13" s="1"/>
  <c r="X317" i="2"/>
  <c r="X27" i="13" s="1"/>
  <c r="U317" i="2"/>
  <c r="U27" i="13" s="1"/>
  <c r="L317" i="2"/>
  <c r="L27" i="13" s="1"/>
  <c r="R317" i="2"/>
  <c r="R27" i="13" s="1"/>
  <c r="Y317" i="2"/>
  <c r="Y27" i="13" s="1"/>
  <c r="AA317" i="2"/>
  <c r="AA27" i="13" s="1"/>
  <c r="W317" i="2"/>
  <c r="W27" i="13" s="1"/>
  <c r="P317" i="2"/>
  <c r="P27" i="13" s="1"/>
  <c r="Z317" i="2"/>
  <c r="Z27" i="13" s="1"/>
  <c r="AE317" i="2"/>
  <c r="AE27" i="13" s="1"/>
  <c r="Q317" i="2"/>
  <c r="Q27" i="13" s="1"/>
  <c r="M317" i="2"/>
  <c r="M27" i="13" s="1"/>
  <c r="AB317" i="2"/>
  <c r="AB27" i="13" s="1"/>
  <c r="N317" i="2"/>
  <c r="N27" i="13" s="1"/>
  <c r="V317" i="2"/>
  <c r="V27" i="13" s="1"/>
  <c r="O317" i="2"/>
  <c r="O27" i="13" s="1"/>
  <c r="AD317" i="2"/>
  <c r="AD27" i="13" s="1"/>
  <c r="T712" i="2"/>
  <c r="T162" i="13" s="1"/>
  <c r="T182" i="13" s="1"/>
  <c r="AE712" i="2"/>
  <c r="AE162" i="13" s="1"/>
  <c r="AE182" i="13" s="1"/>
  <c r="W712" i="2"/>
  <c r="W162" i="13" s="1"/>
  <c r="S712" i="2"/>
  <c r="S162" i="13" s="1"/>
  <c r="Q712" i="2"/>
  <c r="Q162" i="13" s="1"/>
  <c r="AB712" i="2"/>
  <c r="AB162" i="13" s="1"/>
  <c r="AB182" i="13" s="1"/>
  <c r="R712" i="2"/>
  <c r="R162" i="13" s="1"/>
  <c r="R182" i="13" s="1"/>
  <c r="R212" i="13" s="1"/>
  <c r="R234" i="13" s="1"/>
  <c r="Z712" i="2"/>
  <c r="Z162" i="13" s="1"/>
  <c r="AA712" i="2"/>
  <c r="AA162" i="13" s="1"/>
  <c r="M712" i="2"/>
  <c r="M162" i="13" s="1"/>
  <c r="Y712" i="2"/>
  <c r="Y162" i="13" s="1"/>
  <c r="P712" i="2"/>
  <c r="P162" i="13" s="1"/>
  <c r="P182" i="13" s="1"/>
  <c r="P212" i="13" s="1"/>
  <c r="P234" i="13" s="1"/>
  <c r="L712" i="2"/>
  <c r="L162" i="13" s="1"/>
  <c r="V712" i="2"/>
  <c r="V162" i="13" s="1"/>
  <c r="V182" i="13" s="1"/>
  <c r="X712" i="2"/>
  <c r="X162" i="13" s="1"/>
  <c r="X182" i="13" s="1"/>
  <c r="O712" i="2"/>
  <c r="O162" i="13" s="1"/>
  <c r="O182" i="13" s="1"/>
  <c r="O212" i="13" s="1"/>
  <c r="O234" i="13" s="1"/>
  <c r="U712" i="2"/>
  <c r="U162" i="13" s="1"/>
  <c r="U182" i="13" s="1"/>
  <c r="AD712" i="2"/>
  <c r="AD162" i="13" s="1"/>
  <c r="AD182" i="13" s="1"/>
  <c r="N712" i="2"/>
  <c r="N162" i="13" s="1"/>
  <c r="N182" i="13" s="1"/>
  <c r="N212" i="13" s="1"/>
  <c r="N234" i="13" s="1"/>
  <c r="AC712" i="2"/>
  <c r="AC162" i="13" s="1"/>
  <c r="AC182" i="13" s="1"/>
  <c r="S258" i="2"/>
  <c r="D1381" i="8"/>
  <c r="L860" i="8"/>
  <c r="L861" i="8" s="1"/>
  <c r="S354" i="2"/>
  <c r="S836" i="8" s="1"/>
  <c r="S837" i="8" s="1"/>
  <c r="T848" i="8"/>
  <c r="T849" i="8" s="1"/>
  <c r="U357" i="2"/>
  <c r="U848" i="8" s="1"/>
  <c r="U849" i="8" s="1"/>
  <c r="P860" i="8"/>
  <c r="P861" i="8" s="1"/>
  <c r="S352" i="2"/>
  <c r="R356" i="2"/>
  <c r="R844" i="8" s="1"/>
  <c r="R845" i="8" s="1"/>
  <c r="M920" i="8"/>
  <c r="M921" i="8" s="1"/>
  <c r="T353" i="2"/>
  <c r="T832" i="8" s="1"/>
  <c r="T833" i="8" s="1"/>
  <c r="R358" i="2"/>
  <c r="R852" i="8" s="1"/>
  <c r="R853" i="8" s="1"/>
  <c r="S359" i="2"/>
  <c r="N920" i="8"/>
  <c r="N921" i="8" s="1"/>
  <c r="S832" i="8"/>
  <c r="S833" i="8" s="1"/>
  <c r="R748" i="2"/>
  <c r="R1220" i="8" s="1"/>
  <c r="R1221" i="8" s="1"/>
  <c r="R355" i="2"/>
  <c r="R840" i="8" s="1"/>
  <c r="R841" i="8" s="1"/>
  <c r="O920" i="8"/>
  <c r="O921" i="8" s="1"/>
  <c r="F1439" i="8"/>
  <c r="F311" i="2"/>
  <c r="F312" i="2"/>
  <c r="F310" i="2"/>
  <c r="G312" i="2"/>
  <c r="G311" i="2"/>
  <c r="G310" i="2"/>
  <c r="R737" i="2"/>
  <c r="R1184" i="8" s="1"/>
  <c r="R1185" i="8" s="1"/>
  <c r="L379" i="2"/>
  <c r="G315" i="2"/>
  <c r="G316" i="2"/>
  <c r="G314" i="2"/>
  <c r="G713" i="2"/>
  <c r="G715" i="2"/>
  <c r="G714" i="2"/>
  <c r="N523" i="8"/>
  <c r="N524" i="8" s="1"/>
  <c r="N575" i="8"/>
  <c r="N576" i="8" s="1"/>
  <c r="M467" i="8"/>
  <c r="M468" i="8" s="1"/>
  <c r="O439" i="8"/>
  <c r="O440" i="8" s="1"/>
  <c r="Y531" i="8"/>
  <c r="Y532" i="8" s="1"/>
  <c r="AB551" i="8"/>
  <c r="AB552" i="8" s="1"/>
  <c r="AB563" i="8"/>
  <c r="AB564" i="8" s="1"/>
  <c r="P575" i="8"/>
  <c r="P576" i="8" s="1"/>
  <c r="P567" i="8"/>
  <c r="P568" i="8" s="1"/>
  <c r="AC499" i="8"/>
  <c r="AC500" i="8" s="1"/>
  <c r="AC467" i="8"/>
  <c r="AC468" i="8" s="1"/>
  <c r="O551" i="8"/>
  <c r="O552" i="8" s="1"/>
  <c r="P571" i="8"/>
  <c r="P572" i="8" s="1"/>
  <c r="AC459" i="8"/>
  <c r="AC460" i="8" s="1"/>
  <c r="AD443" i="8"/>
  <c r="AD444" i="8" s="1"/>
  <c r="K563" i="8"/>
  <c r="Y443" i="8"/>
  <c r="Y444" i="8" s="1"/>
  <c r="M563" i="8"/>
  <c r="M564" i="8" s="1"/>
  <c r="Z463" i="8"/>
  <c r="Z464" i="8" s="1"/>
  <c r="X551" i="8"/>
  <c r="X552" i="8" s="1"/>
  <c r="T523" i="8"/>
  <c r="T524" i="8" s="1"/>
  <c r="K467" i="8"/>
  <c r="N483" i="8"/>
  <c r="N484" i="8" s="1"/>
  <c r="Q483" i="8"/>
  <c r="Q484" i="8" s="1"/>
  <c r="P519" i="8"/>
  <c r="P520" i="8" s="1"/>
  <c r="AC483" i="8"/>
  <c r="AC484" i="8" s="1"/>
  <c r="AC531" i="8"/>
  <c r="AC532" i="8" s="1"/>
  <c r="L567" i="8"/>
  <c r="L568" i="8" s="1"/>
  <c r="AC567" i="8"/>
  <c r="AC568" i="8" s="1"/>
  <c r="AD451" i="8"/>
  <c r="AD452" i="8" s="1"/>
  <c r="N507" i="8"/>
  <c r="N508" i="8" s="1"/>
  <c r="L563" i="8"/>
  <c r="L564" i="8" s="1"/>
  <c r="N531" i="8"/>
  <c r="N532" i="8" s="1"/>
  <c r="N491" i="8"/>
  <c r="N492" i="8" s="1"/>
  <c r="Z511" i="8"/>
  <c r="Z512" i="8" s="1"/>
  <c r="AC471" i="8"/>
  <c r="AC472" i="8" s="1"/>
  <c r="U511" i="8"/>
  <c r="U512" i="8" s="1"/>
  <c r="R467" i="8"/>
  <c r="R468" i="8" s="1"/>
  <c r="Y563" i="8"/>
  <c r="Y564" i="8" s="1"/>
  <c r="K443" i="8"/>
  <c r="Z451" i="8"/>
  <c r="Z452" i="8" s="1"/>
  <c r="AD439" i="8"/>
  <c r="AD440" i="8" s="1"/>
  <c r="AD447" i="8"/>
  <c r="AD448" i="8" s="1"/>
  <c r="AB527" i="8"/>
  <c r="AB528" i="8" s="1"/>
  <c r="AD559" i="8"/>
  <c r="AD560" i="8" s="1"/>
  <c r="AC507" i="8"/>
  <c r="AC508" i="8" s="1"/>
  <c r="L579" i="8"/>
  <c r="L580" i="8" s="1"/>
  <c r="AD579" i="8"/>
  <c r="AD580" i="8" s="1"/>
  <c r="AE539" i="8"/>
  <c r="AE540" i="8" s="1"/>
  <c r="Q475" i="8"/>
  <c r="Q476" i="8" s="1"/>
  <c r="AE479" i="8"/>
  <c r="AE480" i="8" s="1"/>
  <c r="V579" i="8"/>
  <c r="V580" i="8" s="1"/>
  <c r="V563" i="8"/>
  <c r="V564" i="8" s="1"/>
  <c r="P527" i="8"/>
  <c r="P528" i="8" s="1"/>
  <c r="O443" i="8"/>
  <c r="O444" i="8" s="1"/>
  <c r="K547" i="8"/>
  <c r="N567" i="8"/>
  <c r="N568" i="8" s="1"/>
  <c r="T515" i="8"/>
  <c r="T516" i="8" s="1"/>
  <c r="Y571" i="8"/>
  <c r="Y572" i="8" s="1"/>
  <c r="N527" i="8"/>
  <c r="N528" i="8" s="1"/>
  <c r="M463" i="8"/>
  <c r="M464" i="8" s="1"/>
  <c r="X579" i="8"/>
  <c r="X580" i="8" s="1"/>
  <c r="P547" i="8"/>
  <c r="P548" i="8" s="1"/>
  <c r="AC523" i="8"/>
  <c r="AC524" i="8" s="1"/>
  <c r="N495" i="8"/>
  <c r="N496" i="8" s="1"/>
  <c r="Q499" i="8"/>
  <c r="Q500" i="8" s="1"/>
  <c r="O559" i="8"/>
  <c r="O560" i="8" s="1"/>
  <c r="L559" i="8"/>
  <c r="L560" i="8" s="1"/>
  <c r="AC455" i="8"/>
  <c r="AC456" i="8" s="1"/>
  <c r="X567" i="8"/>
  <c r="X568" i="8" s="1"/>
  <c r="O527" i="8"/>
  <c r="O528" i="8" s="1"/>
  <c r="X535" i="8"/>
  <c r="X536" i="8" s="1"/>
  <c r="AC543" i="8"/>
  <c r="AC544" i="8" s="1"/>
  <c r="R455" i="8"/>
  <c r="R456" i="8" s="1"/>
  <c r="O547" i="8"/>
  <c r="O548" i="8" s="1"/>
  <c r="Z439" i="8"/>
  <c r="Z440" i="8" s="1"/>
  <c r="AE563" i="8"/>
  <c r="AE564" i="8" s="1"/>
  <c r="T563" i="8"/>
  <c r="T564" i="8" s="1"/>
  <c r="K559" i="8"/>
  <c r="U519" i="8"/>
  <c r="U520" i="8" s="1"/>
  <c r="W511" i="8"/>
  <c r="W512" i="8" s="1"/>
  <c r="S539" i="8"/>
  <c r="S540" i="8" s="1"/>
  <c r="K459" i="8"/>
  <c r="S523" i="8"/>
  <c r="S524" i="8" s="1"/>
  <c r="U535" i="8"/>
  <c r="U536" i="8" s="1"/>
  <c r="AA539" i="8"/>
  <c r="AA540" i="8" s="1"/>
  <c r="N547" i="8"/>
  <c r="N548" i="8" s="1"/>
  <c r="Q439" i="8"/>
  <c r="Q440" i="8" s="1"/>
  <c r="L575" i="8"/>
  <c r="L576" i="8" s="1"/>
  <c r="X519" i="8"/>
  <c r="X520" i="8" s="1"/>
  <c r="M515" i="8"/>
  <c r="M516" i="8" s="1"/>
  <c r="W515" i="8"/>
  <c r="W516" i="8" s="1"/>
  <c r="O503" i="8"/>
  <c r="O504" i="8" s="1"/>
  <c r="Y551" i="8"/>
  <c r="Y552" i="8" s="1"/>
  <c r="W563" i="8"/>
  <c r="W564" i="8" s="1"/>
  <c r="AD555" i="8"/>
  <c r="AD556" i="8" s="1"/>
  <c r="L223" i="8"/>
  <c r="L224" i="8" s="1"/>
  <c r="K195" i="8"/>
  <c r="AB487" i="8"/>
  <c r="AB488" i="8" s="1"/>
  <c r="L287" i="8"/>
  <c r="L288" i="8" s="1"/>
  <c r="K263" i="8"/>
  <c r="AB471" i="8"/>
  <c r="AB472" i="8" s="1"/>
  <c r="L163" i="8"/>
  <c r="L164" i="8" s="1"/>
  <c r="L151" i="8"/>
  <c r="L152" i="8" s="1"/>
  <c r="U487" i="8"/>
  <c r="U488" i="8" s="1"/>
  <c r="X479" i="8"/>
  <c r="X480" i="8" s="1"/>
  <c r="M547" i="8"/>
  <c r="M548" i="8" s="1"/>
  <c r="N475" i="8"/>
  <c r="N476" i="8" s="1"/>
  <c r="AC443" i="8"/>
  <c r="AC444" i="8" s="1"/>
  <c r="Y519" i="8"/>
  <c r="Y520" i="8" s="1"/>
  <c r="U463" i="8"/>
  <c r="U464" i="8" s="1"/>
  <c r="S555" i="8"/>
  <c r="S556" i="8" s="1"/>
  <c r="AD567" i="8"/>
  <c r="AD568" i="8" s="1"/>
  <c r="U467" i="8"/>
  <c r="U468" i="8" s="1"/>
  <c r="W499" i="8"/>
  <c r="W500" i="8" s="1"/>
  <c r="AB575" i="8"/>
  <c r="AB576" i="8" s="1"/>
  <c r="K503" i="8"/>
  <c r="AA455" i="8"/>
  <c r="AA456" i="8" s="1"/>
  <c r="K507" i="8"/>
  <c r="M491" i="8"/>
  <c r="M492" i="8" s="1"/>
  <c r="S567" i="8"/>
  <c r="S568" i="8" s="1"/>
  <c r="AA563" i="8"/>
  <c r="AA564" i="8" s="1"/>
  <c r="AD571" i="8"/>
  <c r="AD572" i="8" s="1"/>
  <c r="O463" i="8"/>
  <c r="O464" i="8" s="1"/>
  <c r="Z479" i="8"/>
  <c r="Z480" i="8" s="1"/>
  <c r="R503" i="8"/>
  <c r="R504" i="8" s="1"/>
  <c r="AE511" i="8"/>
  <c r="AE512" i="8" s="1"/>
  <c r="V499" i="8"/>
  <c r="V500" i="8" s="1"/>
  <c r="P499" i="8"/>
  <c r="P500" i="8" s="1"/>
  <c r="Z495" i="8"/>
  <c r="Z496" i="8" s="1"/>
  <c r="AE475" i="8"/>
  <c r="AE476" i="8" s="1"/>
  <c r="Z567" i="8"/>
  <c r="Z568" i="8" s="1"/>
  <c r="K567" i="8"/>
  <c r="AE515" i="8"/>
  <c r="AE516" i="8" s="1"/>
  <c r="Y579" i="8"/>
  <c r="Y580" i="8" s="1"/>
  <c r="K543" i="8"/>
  <c r="Q479" i="8"/>
  <c r="Q480" i="8" s="1"/>
  <c r="Y539" i="8"/>
  <c r="Y540" i="8" s="1"/>
  <c r="R439" i="8"/>
  <c r="R440" i="8" s="1"/>
  <c r="AE507" i="8"/>
  <c r="AE508" i="8" s="1"/>
  <c r="AC563" i="8"/>
  <c r="AC564" i="8" s="1"/>
  <c r="AB547" i="8"/>
  <c r="AB548" i="8" s="1"/>
  <c r="O543" i="8"/>
  <c r="O544" i="8" s="1"/>
  <c r="P535" i="8"/>
  <c r="P536" i="8" s="1"/>
  <c r="R523" i="8"/>
  <c r="R524" i="8" s="1"/>
  <c r="AC527" i="8"/>
  <c r="AC528" i="8" s="1"/>
  <c r="N439" i="8"/>
  <c r="N440" i="8" s="1"/>
  <c r="N551" i="8"/>
  <c r="N552" i="8" s="1"/>
  <c r="Z467" i="8"/>
  <c r="Z468" i="8" s="1"/>
  <c r="K151" i="8"/>
  <c r="L235" i="8"/>
  <c r="L236" i="8" s="1"/>
  <c r="K235" i="8"/>
  <c r="L199" i="8"/>
  <c r="L200" i="8" s="1"/>
  <c r="T503" i="8"/>
  <c r="T504" i="8" s="1"/>
  <c r="K211" i="8"/>
  <c r="K255" i="8"/>
  <c r="K239" i="8"/>
  <c r="U547" i="8"/>
  <c r="U548" i="8" s="1"/>
  <c r="AB499" i="8"/>
  <c r="AB500" i="8" s="1"/>
  <c r="W559" i="8"/>
  <c r="W560" i="8" s="1"/>
  <c r="AC551" i="8"/>
  <c r="AC552" i="8" s="1"/>
  <c r="L523" i="8"/>
  <c r="L524" i="8" s="1"/>
  <c r="P507" i="8"/>
  <c r="P508" i="8" s="1"/>
  <c r="P523" i="8"/>
  <c r="P524" i="8" s="1"/>
  <c r="S507" i="8"/>
  <c r="S508" i="8" s="1"/>
  <c r="M575" i="8"/>
  <c r="M576" i="8" s="1"/>
  <c r="K519" i="8"/>
  <c r="AB523" i="8"/>
  <c r="AB524" i="8" s="1"/>
  <c r="AB475" i="8"/>
  <c r="AB476" i="8" s="1"/>
  <c r="R507" i="8"/>
  <c r="R508" i="8" s="1"/>
  <c r="R547" i="8"/>
  <c r="R548" i="8" s="1"/>
  <c r="Y459" i="8"/>
  <c r="Y460" i="8" s="1"/>
  <c r="AC547" i="8"/>
  <c r="AC548" i="8" s="1"/>
  <c r="AC539" i="8"/>
  <c r="AC540" i="8" s="1"/>
  <c r="M535" i="8"/>
  <c r="M536" i="8" s="1"/>
  <c r="Q535" i="8"/>
  <c r="Q536" i="8" s="1"/>
  <c r="S547" i="8"/>
  <c r="S548" i="8" s="1"/>
  <c r="S479" i="8"/>
  <c r="S480" i="8" s="1"/>
  <c r="K491" i="8"/>
  <c r="X503" i="8"/>
  <c r="X504" i="8" s="1"/>
  <c r="AC479" i="8"/>
  <c r="AC480" i="8" s="1"/>
  <c r="U451" i="8"/>
  <c r="U452" i="8" s="1"/>
  <c r="AD547" i="8"/>
  <c r="AD548" i="8" s="1"/>
  <c r="W455" i="8"/>
  <c r="W456" i="8" s="1"/>
  <c r="S511" i="8"/>
  <c r="S512" i="8" s="1"/>
  <c r="W543" i="8"/>
  <c r="W544" i="8" s="1"/>
  <c r="AD467" i="8"/>
  <c r="AD468" i="8" s="1"/>
  <c r="K515" i="8"/>
  <c r="O571" i="8"/>
  <c r="O572" i="8" s="1"/>
  <c r="O531" i="8"/>
  <c r="O532" i="8" s="1"/>
  <c r="R519" i="8"/>
  <c r="R520" i="8" s="1"/>
  <c r="N479" i="8"/>
  <c r="N480" i="8" s="1"/>
  <c r="AA523" i="8"/>
  <c r="AA524" i="8" s="1"/>
  <c r="Z443" i="8"/>
  <c r="Z444" i="8" s="1"/>
  <c r="K455" i="8"/>
  <c r="AD527" i="8"/>
  <c r="AD528" i="8" s="1"/>
  <c r="V495" i="8"/>
  <c r="V496" i="8" s="1"/>
  <c r="K183" i="8"/>
  <c r="L219" i="8"/>
  <c r="L220" i="8" s="1"/>
  <c r="K203" i="8"/>
  <c r="K259" i="8"/>
  <c r="K231" i="8"/>
  <c r="L203" i="8"/>
  <c r="L204" i="8" s="1"/>
  <c r="K187" i="8"/>
  <c r="W471" i="8"/>
  <c r="W472" i="8" s="1"/>
  <c r="L471" i="8"/>
  <c r="L472" i="8" s="1"/>
  <c r="AB519" i="8"/>
  <c r="AB520" i="8" s="1"/>
  <c r="AE451" i="8"/>
  <c r="AE452" i="8" s="1"/>
  <c r="Y487" i="8"/>
  <c r="Y488" i="8" s="1"/>
  <c r="AD531" i="8"/>
  <c r="AD532" i="8" s="1"/>
  <c r="U491" i="8"/>
  <c r="U492" i="8" s="1"/>
  <c r="L535" i="8"/>
  <c r="L536" i="8" s="1"/>
  <c r="U531" i="8"/>
  <c r="U532" i="8" s="1"/>
  <c r="M579" i="8"/>
  <c r="M580" i="8" s="1"/>
  <c r="AB511" i="8"/>
  <c r="AB512" i="8" s="1"/>
  <c r="AE559" i="8"/>
  <c r="AE560" i="8" s="1"/>
  <c r="P515" i="8"/>
  <c r="P516" i="8" s="1"/>
  <c r="W491" i="8"/>
  <c r="W492" i="8" s="1"/>
  <c r="W531" i="8"/>
  <c r="W532" i="8" s="1"/>
  <c r="AE535" i="8"/>
  <c r="AE536" i="8" s="1"/>
  <c r="S443" i="8"/>
  <c r="S444" i="8" s="1"/>
  <c r="M543" i="8"/>
  <c r="M544" i="8" s="1"/>
  <c r="Q447" i="8"/>
  <c r="Q448" i="8" s="1"/>
  <c r="T527" i="8"/>
  <c r="T528" i="8" s="1"/>
  <c r="Z507" i="8"/>
  <c r="Z508" i="8" s="1"/>
  <c r="V491" i="8"/>
  <c r="V492" i="8" s="1"/>
  <c r="Q579" i="8"/>
  <c r="Q580" i="8" s="1"/>
  <c r="K579" i="8"/>
  <c r="AC463" i="8"/>
  <c r="AC464" i="8" s="1"/>
  <c r="N443" i="8"/>
  <c r="N444" i="8" s="1"/>
  <c r="AD455" i="8"/>
  <c r="AD456" i="8" s="1"/>
  <c r="M523" i="8"/>
  <c r="M524" i="8" s="1"/>
  <c r="X575" i="8"/>
  <c r="X576" i="8" s="1"/>
  <c r="W467" i="8"/>
  <c r="W468" i="8" s="1"/>
  <c r="Q523" i="8"/>
  <c r="Q524" i="8" s="1"/>
  <c r="AD471" i="8"/>
  <c r="AD472" i="8" s="1"/>
  <c r="AB531" i="8"/>
  <c r="AB532" i="8" s="1"/>
  <c r="AB559" i="8"/>
  <c r="AB560" i="8" s="1"/>
  <c r="N555" i="8"/>
  <c r="N556" i="8" s="1"/>
  <c r="Y547" i="8"/>
  <c r="Y548" i="8" s="1"/>
  <c r="L551" i="8"/>
  <c r="L552" i="8" s="1"/>
  <c r="Q471" i="8"/>
  <c r="Q472" i="8" s="1"/>
  <c r="U563" i="8"/>
  <c r="U564" i="8" s="1"/>
  <c r="N539" i="8"/>
  <c r="N540" i="8" s="1"/>
  <c r="O467" i="8"/>
  <c r="O468" i="8" s="1"/>
  <c r="T471" i="8"/>
  <c r="T472" i="8" s="1"/>
  <c r="L195" i="8"/>
  <c r="L196" i="8" s="1"/>
  <c r="L451" i="8"/>
  <c r="L452" i="8" s="1"/>
  <c r="K291" i="8"/>
  <c r="L283" i="8"/>
  <c r="L284" i="8" s="1"/>
  <c r="AD503" i="8"/>
  <c r="AD504" i="8" s="1"/>
  <c r="K283" i="8"/>
  <c r="S487" i="8"/>
  <c r="S488" i="8" s="1"/>
  <c r="S563" i="8"/>
  <c r="S564" i="8" s="1"/>
  <c r="M499" i="8"/>
  <c r="M500" i="8" s="1"/>
  <c r="O567" i="8"/>
  <c r="O568" i="8" s="1"/>
  <c r="Z499" i="8"/>
  <c r="Z500" i="8" s="1"/>
  <c r="T463" i="8"/>
  <c r="T464" i="8" s="1"/>
  <c r="AB515" i="8"/>
  <c r="AB516" i="8" s="1"/>
  <c r="S559" i="8"/>
  <c r="S560" i="8" s="1"/>
  <c r="O499" i="8"/>
  <c r="O500" i="8" s="1"/>
  <c r="AC519" i="8"/>
  <c r="AC520" i="8" s="1"/>
  <c r="X543" i="8"/>
  <c r="X544" i="8" s="1"/>
  <c r="P543" i="8"/>
  <c r="P544" i="8" s="1"/>
  <c r="AE483" i="8"/>
  <c r="AE484" i="8" s="1"/>
  <c r="P443" i="8"/>
  <c r="P444" i="8" s="1"/>
  <c r="V551" i="8"/>
  <c r="V552" i="8" s="1"/>
  <c r="V531" i="8"/>
  <c r="V532" i="8" s="1"/>
  <c r="AB491" i="8"/>
  <c r="AB492" i="8" s="1"/>
  <c r="U503" i="8"/>
  <c r="U504" i="8" s="1"/>
  <c r="AA515" i="8"/>
  <c r="AA516" i="8" s="1"/>
  <c r="AE467" i="8"/>
  <c r="AE468" i="8" s="1"/>
  <c r="Z547" i="8"/>
  <c r="Z548" i="8" s="1"/>
  <c r="P451" i="8"/>
  <c r="P452" i="8" s="1"/>
  <c r="V507" i="8"/>
  <c r="V508" i="8" s="1"/>
  <c r="N471" i="8"/>
  <c r="N472" i="8" s="1"/>
  <c r="Z475" i="8"/>
  <c r="Z476" i="8" s="1"/>
  <c r="W539" i="8"/>
  <c r="W540" i="8" s="1"/>
  <c r="W475" i="8"/>
  <c r="W476" i="8" s="1"/>
  <c r="U479" i="8"/>
  <c r="U480" i="8" s="1"/>
  <c r="Z503" i="8"/>
  <c r="Z504" i="8" s="1"/>
  <c r="M455" i="8"/>
  <c r="M456" i="8" s="1"/>
  <c r="Y559" i="8"/>
  <c r="Y560" i="8" s="1"/>
  <c r="U527" i="8"/>
  <c r="U528" i="8" s="1"/>
  <c r="AB555" i="8"/>
  <c r="AB556" i="8" s="1"/>
  <c r="N487" i="8"/>
  <c r="N488" i="8" s="1"/>
  <c r="P579" i="8"/>
  <c r="P580" i="8" s="1"/>
  <c r="Y527" i="8"/>
  <c r="Y528" i="8" s="1"/>
  <c r="O519" i="8"/>
  <c r="O520" i="8" s="1"/>
  <c r="S531" i="8"/>
  <c r="S532" i="8" s="1"/>
  <c r="N515" i="8"/>
  <c r="N516" i="8" s="1"/>
  <c r="AD563" i="8"/>
  <c r="AD564" i="8" s="1"/>
  <c r="U543" i="8"/>
  <c r="U544" i="8" s="1"/>
  <c r="AC511" i="8"/>
  <c r="AC512" i="8" s="1"/>
  <c r="AB579" i="8"/>
  <c r="AB580" i="8" s="1"/>
  <c r="P487" i="8"/>
  <c r="P488" i="8" s="1"/>
  <c r="O447" i="8"/>
  <c r="O448" i="8" s="1"/>
  <c r="V483" i="8"/>
  <c r="V484" i="8" s="1"/>
  <c r="L279" i="8"/>
  <c r="L280" i="8" s="1"/>
  <c r="Z483" i="8"/>
  <c r="Z484" i="8" s="1"/>
  <c r="L455" i="8"/>
  <c r="L456" i="8" s="1"/>
  <c r="L215" i="8"/>
  <c r="L216" i="8" s="1"/>
  <c r="L447" i="8"/>
  <c r="L448" i="8" s="1"/>
  <c r="AE443" i="8"/>
  <c r="AE444" i="8" s="1"/>
  <c r="T495" i="8"/>
  <c r="T496" i="8" s="1"/>
  <c r="S579" i="8"/>
  <c r="S580" i="8" s="1"/>
  <c r="L155" i="8"/>
  <c r="L156" i="8" s="1"/>
  <c r="AE543" i="8"/>
  <c r="AE544" i="8" s="1"/>
  <c r="T531" i="8"/>
  <c r="T532" i="8" s="1"/>
  <c r="S467" i="8"/>
  <c r="S468" i="8" s="1"/>
  <c r="M479" i="8"/>
  <c r="M480" i="8" s="1"/>
  <c r="R531" i="8"/>
  <c r="R532" i="8" s="1"/>
  <c r="O507" i="8"/>
  <c r="O508" i="8" s="1"/>
  <c r="AA575" i="8"/>
  <c r="AA576" i="8" s="1"/>
  <c r="V515" i="8"/>
  <c r="V516" i="8" s="1"/>
  <c r="AD499" i="8"/>
  <c r="AD500" i="8" s="1"/>
  <c r="O479" i="8"/>
  <c r="O480" i="8" s="1"/>
  <c r="K511" i="8"/>
  <c r="T455" i="8"/>
  <c r="T456" i="8" s="1"/>
  <c r="T559" i="8"/>
  <c r="T560" i="8" s="1"/>
  <c r="S495" i="8"/>
  <c r="S496" i="8" s="1"/>
  <c r="M475" i="8"/>
  <c r="M476" i="8" s="1"/>
  <c r="R475" i="8"/>
  <c r="R476" i="8" s="1"/>
  <c r="AE499" i="8"/>
  <c r="AE500" i="8" s="1"/>
  <c r="AA543" i="8"/>
  <c r="AA544" i="8" s="1"/>
  <c r="W451" i="8"/>
  <c r="W452" i="8" s="1"/>
  <c r="T575" i="8"/>
  <c r="T576" i="8" s="1"/>
  <c r="Q531" i="8"/>
  <c r="Q532" i="8" s="1"/>
  <c r="L507" i="8"/>
  <c r="L508" i="8" s="1"/>
  <c r="V439" i="8"/>
  <c r="V440" i="8" s="1"/>
  <c r="W487" i="8"/>
  <c r="W488" i="8" s="1"/>
  <c r="V547" i="8"/>
  <c r="V548" i="8" s="1"/>
  <c r="X495" i="8"/>
  <c r="X496" i="8" s="1"/>
  <c r="L483" i="8"/>
  <c r="L484" i="8" s="1"/>
  <c r="W523" i="8"/>
  <c r="W524" i="8" s="1"/>
  <c r="S439" i="8"/>
  <c r="S440" i="8" s="1"/>
  <c r="L527" i="8"/>
  <c r="L528" i="8" s="1"/>
  <c r="R447" i="8"/>
  <c r="R448" i="8" s="1"/>
  <c r="Y543" i="8"/>
  <c r="Y544" i="8" s="1"/>
  <c r="K439" i="8"/>
  <c r="R559" i="8"/>
  <c r="R560" i="8" s="1"/>
  <c r="AD523" i="8"/>
  <c r="AD524" i="8" s="1"/>
  <c r="Q519" i="8"/>
  <c r="Q520" i="8" s="1"/>
  <c r="X527" i="8"/>
  <c r="X528" i="8" s="1"/>
  <c r="U523" i="8"/>
  <c r="U524" i="8" s="1"/>
  <c r="Q511" i="8"/>
  <c r="Q512" i="8" s="1"/>
  <c r="T519" i="8"/>
  <c r="T520" i="8" s="1"/>
  <c r="O575" i="8"/>
  <c r="O576" i="8" s="1"/>
  <c r="AA579" i="8"/>
  <c r="AA580" i="8" s="1"/>
  <c r="T451" i="8"/>
  <c r="T452" i="8" s="1"/>
  <c r="R579" i="8"/>
  <c r="R580" i="8" s="1"/>
  <c r="K163" i="8"/>
  <c r="K247" i="8"/>
  <c r="N447" i="8"/>
  <c r="N448" i="8" s="1"/>
  <c r="K215" i="8"/>
  <c r="T479" i="8"/>
  <c r="T480" i="8" s="1"/>
  <c r="L291" i="8"/>
  <c r="L292" i="8" s="1"/>
  <c r="L187" i="8"/>
  <c r="L188" i="8" s="1"/>
  <c r="M439" i="8"/>
  <c r="M440" i="8" s="1"/>
  <c r="Z571" i="8"/>
  <c r="Z572" i="8" s="1"/>
  <c r="K555" i="8"/>
  <c r="AE571" i="8"/>
  <c r="AE572" i="8" s="1"/>
  <c r="U471" i="8"/>
  <c r="U472" i="8" s="1"/>
  <c r="Y511" i="8"/>
  <c r="Y512" i="8" s="1"/>
  <c r="N463" i="8"/>
  <c r="N464" i="8" s="1"/>
  <c r="AC503" i="8"/>
  <c r="AC504" i="8" s="1"/>
  <c r="T543" i="8"/>
  <c r="T544" i="8" s="1"/>
  <c r="U567" i="8"/>
  <c r="U568" i="8" s="1"/>
  <c r="W579" i="8"/>
  <c r="W580" i="8" s="1"/>
  <c r="X439" i="8"/>
  <c r="X440" i="8" s="1"/>
  <c r="W503" i="8"/>
  <c r="W504" i="8" s="1"/>
  <c r="S483" i="8"/>
  <c r="S484" i="8" s="1"/>
  <c r="Y467" i="8"/>
  <c r="Y468" i="8" s="1"/>
  <c r="R567" i="8"/>
  <c r="R568" i="8" s="1"/>
  <c r="Q459" i="8"/>
  <c r="Q460" i="8" s="1"/>
  <c r="L539" i="8"/>
  <c r="L540" i="8" s="1"/>
  <c r="Z487" i="8"/>
  <c r="Z488" i="8" s="1"/>
  <c r="T535" i="8"/>
  <c r="T536" i="8" s="1"/>
  <c r="AD543" i="8"/>
  <c r="AD544" i="8" s="1"/>
  <c r="V479" i="8"/>
  <c r="V480" i="8" s="1"/>
  <c r="AA551" i="8"/>
  <c r="AA552" i="8" s="1"/>
  <c r="L543" i="8"/>
  <c r="L544" i="8" s="1"/>
  <c r="V503" i="8"/>
  <c r="V504" i="8" s="1"/>
  <c r="M507" i="8"/>
  <c r="M508" i="8" s="1"/>
  <c r="T491" i="8"/>
  <c r="T492" i="8" s="1"/>
  <c r="R555" i="8"/>
  <c r="R556" i="8" s="1"/>
  <c r="O483" i="8"/>
  <c r="O484" i="8" s="1"/>
  <c r="T547" i="8"/>
  <c r="T548" i="8" s="1"/>
  <c r="V475" i="8"/>
  <c r="V476" i="8" s="1"/>
  <c r="Z447" i="8"/>
  <c r="Z448" i="8" s="1"/>
  <c r="Z459" i="8"/>
  <c r="Z460" i="8" s="1"/>
  <c r="P447" i="8"/>
  <c r="P448" i="8" s="1"/>
  <c r="AA467" i="8"/>
  <c r="AA468" i="8" s="1"/>
  <c r="K539" i="8"/>
  <c r="AD551" i="8"/>
  <c r="AD552" i="8" s="1"/>
  <c r="Z543" i="8"/>
  <c r="Z544" i="8" s="1"/>
  <c r="Y507" i="8"/>
  <c r="Y508" i="8" s="1"/>
  <c r="AD515" i="8"/>
  <c r="AD516" i="8" s="1"/>
  <c r="AA555" i="8"/>
  <c r="AA556" i="8" s="1"/>
  <c r="K463" i="8"/>
  <c r="P455" i="8"/>
  <c r="P456" i="8" s="1"/>
  <c r="Y495" i="8"/>
  <c r="Y496" i="8" s="1"/>
  <c r="W459" i="8"/>
  <c r="W460" i="8" s="1"/>
  <c r="K243" i="8"/>
  <c r="W447" i="8"/>
  <c r="W448" i="8" s="1"/>
  <c r="K251" i="8"/>
  <c r="L159" i="8"/>
  <c r="L160" i="8" s="1"/>
  <c r="L271" i="8"/>
  <c r="L272" i="8" s="1"/>
  <c r="T483" i="8"/>
  <c r="T484" i="8" s="1"/>
  <c r="Q551" i="8"/>
  <c r="Q552" i="8" s="1"/>
  <c r="L259" i="8"/>
  <c r="L260" i="8" s="1"/>
  <c r="K287" i="8"/>
  <c r="L495" i="8"/>
  <c r="L496" i="8" s="1"/>
  <c r="AA471" i="8"/>
  <c r="AA472" i="8" s="1"/>
  <c r="AD511" i="8"/>
  <c r="AD512" i="8" s="1"/>
  <c r="AB455" i="8"/>
  <c r="AB456" i="8" s="1"/>
  <c r="AE551" i="8"/>
  <c r="AE552" i="8" s="1"/>
  <c r="X507" i="8"/>
  <c r="X508" i="8" s="1"/>
  <c r="X451" i="8"/>
  <c r="X452" i="8" s="1"/>
  <c r="O451" i="8"/>
  <c r="O452" i="8" s="1"/>
  <c r="M519" i="8"/>
  <c r="M520" i="8" s="1"/>
  <c r="Q567" i="8"/>
  <c r="Q568" i="8" s="1"/>
  <c r="Q467" i="8"/>
  <c r="Q468" i="8" s="1"/>
  <c r="X447" i="8"/>
  <c r="X448" i="8" s="1"/>
  <c r="T539" i="8"/>
  <c r="T540" i="8" s="1"/>
  <c r="R511" i="8"/>
  <c r="R512" i="8" s="1"/>
  <c r="L443" i="8"/>
  <c r="L444" i="8" s="1"/>
  <c r="Y555" i="8"/>
  <c r="Y556" i="8" s="1"/>
  <c r="L491" i="8"/>
  <c r="L492" i="8" s="1"/>
  <c r="AA463" i="8"/>
  <c r="AA464" i="8" s="1"/>
  <c r="V555" i="8"/>
  <c r="V556" i="8" s="1"/>
  <c r="N467" i="8"/>
  <c r="N468" i="8" s="1"/>
  <c r="X547" i="8"/>
  <c r="X548" i="8" s="1"/>
  <c r="V455" i="8"/>
  <c r="V456" i="8" s="1"/>
  <c r="X463" i="8"/>
  <c r="X464" i="8" s="1"/>
  <c r="Y535" i="8"/>
  <c r="Y536" i="8" s="1"/>
  <c r="AA519" i="8"/>
  <c r="AA520" i="8" s="1"/>
  <c r="O523" i="8"/>
  <c r="O524" i="8" s="1"/>
  <c r="AB567" i="8"/>
  <c r="AB568" i="8" s="1"/>
  <c r="O471" i="8"/>
  <c r="O472" i="8" s="1"/>
  <c r="AA547" i="8"/>
  <c r="AA548" i="8" s="1"/>
  <c r="X511" i="8"/>
  <c r="X512" i="8" s="1"/>
  <c r="AC439" i="8"/>
  <c r="AC440" i="8" s="1"/>
  <c r="S535" i="8"/>
  <c r="S536" i="8" s="1"/>
  <c r="O555" i="8"/>
  <c r="O556" i="8" s="1"/>
  <c r="O475" i="8"/>
  <c r="O476" i="8" s="1"/>
  <c r="AA443" i="8"/>
  <c r="AA444" i="8" s="1"/>
  <c r="W519" i="8"/>
  <c r="W520" i="8" s="1"/>
  <c r="V523" i="8"/>
  <c r="V524" i="8" s="1"/>
  <c r="N563" i="8"/>
  <c r="N564" i="8" s="1"/>
  <c r="W555" i="8"/>
  <c r="W556" i="8" s="1"/>
  <c r="N559" i="8"/>
  <c r="N560" i="8" s="1"/>
  <c r="R459" i="8"/>
  <c r="R460" i="8" s="1"/>
  <c r="K447" i="8"/>
  <c r="Y483" i="8"/>
  <c r="Y484" i="8" s="1"/>
  <c r="L515" i="8"/>
  <c r="L516" i="8" s="1"/>
  <c r="U579" i="8"/>
  <c r="U580" i="8" s="1"/>
  <c r="F315" i="2"/>
  <c r="L227" i="8"/>
  <c r="L228" i="8" s="1"/>
  <c r="L255" i="8"/>
  <c r="L256" i="8" s="1"/>
  <c r="K271" i="8"/>
  <c r="AB439" i="8"/>
  <c r="AB440" i="8" s="1"/>
  <c r="K179" i="8"/>
  <c r="L211" i="8"/>
  <c r="L212" i="8" s="1"/>
  <c r="AB571" i="8"/>
  <c r="AB572" i="8" s="1"/>
  <c r="K159" i="8"/>
  <c r="K171" i="8"/>
  <c r="AB539" i="8"/>
  <c r="AB540" i="8" s="1"/>
  <c r="L499" i="8"/>
  <c r="L500" i="8" s="1"/>
  <c r="W535" i="8"/>
  <c r="W536" i="8" s="1"/>
  <c r="U495" i="8"/>
  <c r="U496" i="8" s="1"/>
  <c r="R575" i="8"/>
  <c r="R576" i="8" s="1"/>
  <c r="AE487" i="8"/>
  <c r="AE488" i="8" s="1"/>
  <c r="L519" i="8"/>
  <c r="L520" i="8" s="1"/>
  <c r="AA511" i="8"/>
  <c r="AA512" i="8" s="1"/>
  <c r="Z551" i="8"/>
  <c r="Z552" i="8" s="1"/>
  <c r="Q555" i="8"/>
  <c r="Q556" i="8" s="1"/>
  <c r="W483" i="8"/>
  <c r="W484" i="8" s="1"/>
  <c r="N543" i="8"/>
  <c r="N544" i="8" s="1"/>
  <c r="N459" i="8"/>
  <c r="N460" i="8" s="1"/>
  <c r="AB459" i="8"/>
  <c r="AB460" i="8" s="1"/>
  <c r="AC487" i="8"/>
  <c r="AC488" i="8" s="1"/>
  <c r="AC555" i="8"/>
  <c r="AC556" i="8" s="1"/>
  <c r="AA531" i="8"/>
  <c r="AA532" i="8" s="1"/>
  <c r="V543" i="8"/>
  <c r="V544" i="8" s="1"/>
  <c r="AB507" i="8"/>
  <c r="AB508" i="8" s="1"/>
  <c r="U539" i="8"/>
  <c r="U540" i="8" s="1"/>
  <c r="W479" i="8"/>
  <c r="W480" i="8" s="1"/>
  <c r="W495" i="8"/>
  <c r="W496" i="8" s="1"/>
  <c r="P503" i="8"/>
  <c r="P504" i="8" s="1"/>
  <c r="T467" i="8"/>
  <c r="T468" i="8" s="1"/>
  <c r="T499" i="8"/>
  <c r="T500" i="8" s="1"/>
  <c r="X523" i="8"/>
  <c r="X524" i="8" s="1"/>
  <c r="AA527" i="8"/>
  <c r="AA528" i="8" s="1"/>
  <c r="X483" i="8"/>
  <c r="X484" i="8" s="1"/>
  <c r="AA571" i="8"/>
  <c r="AA572" i="8" s="1"/>
  <c r="W567" i="8"/>
  <c r="W568" i="8" s="1"/>
  <c r="W439" i="8"/>
  <c r="W440" i="8" s="1"/>
  <c r="Z531" i="8"/>
  <c r="Z532" i="8" s="1"/>
  <c r="N503" i="8"/>
  <c r="N504" i="8" s="1"/>
  <c r="AA567" i="8"/>
  <c r="AA568" i="8" s="1"/>
  <c r="L555" i="8"/>
  <c r="L556" i="8" s="1"/>
  <c r="AC535" i="8"/>
  <c r="AC536" i="8" s="1"/>
  <c r="L571" i="8"/>
  <c r="L572" i="8" s="1"/>
  <c r="Y499" i="8"/>
  <c r="Y500" i="8" s="1"/>
  <c r="AD487" i="8"/>
  <c r="AD488" i="8" s="1"/>
  <c r="AC495" i="8"/>
  <c r="AC496" i="8" s="1"/>
  <c r="P539" i="8"/>
  <c r="P540" i="8" s="1"/>
  <c r="X555" i="8"/>
  <c r="X556" i="8" s="1"/>
  <c r="AA447" i="8"/>
  <c r="AA448" i="8" s="1"/>
  <c r="X531" i="8"/>
  <c r="X532" i="8" s="1"/>
  <c r="V447" i="8"/>
  <c r="V448" i="8" s="1"/>
  <c r="F316" i="2"/>
  <c r="Z563" i="8"/>
  <c r="Z564" i="8" s="1"/>
  <c r="L263" i="8"/>
  <c r="L264" i="8" s="1"/>
  <c r="AB495" i="8"/>
  <c r="AB496" i="8" s="1"/>
  <c r="L175" i="8"/>
  <c r="L176" i="8" s="1"/>
  <c r="K267" i="8"/>
  <c r="W443" i="8"/>
  <c r="W444" i="8" s="1"/>
  <c r="AE455" i="8"/>
  <c r="AE456" i="8" s="1"/>
  <c r="K207" i="8"/>
  <c r="L183" i="8"/>
  <c r="L184" i="8" s="1"/>
  <c r="R539" i="8"/>
  <c r="R540" i="8" s="1"/>
  <c r="AE471" i="8"/>
  <c r="AE472" i="8" s="1"/>
  <c r="V527" i="8"/>
  <c r="V528" i="8" s="1"/>
  <c r="O491" i="8"/>
  <c r="O492" i="8" s="1"/>
  <c r="AE527" i="8"/>
  <c r="AE528" i="8" s="1"/>
  <c r="Q571" i="8"/>
  <c r="Q572" i="8" s="1"/>
  <c r="T511" i="8"/>
  <c r="T512" i="8" s="1"/>
  <c r="V567" i="8"/>
  <c r="V568" i="8" s="1"/>
  <c r="W551" i="8"/>
  <c r="W552" i="8" s="1"/>
  <c r="S499" i="8"/>
  <c r="S500" i="8" s="1"/>
  <c r="R543" i="8"/>
  <c r="R544" i="8" s="1"/>
  <c r="AB447" i="8"/>
  <c r="AB448" i="8" s="1"/>
  <c r="AA507" i="8"/>
  <c r="AA508" i="8" s="1"/>
  <c r="Z555" i="8"/>
  <c r="Z556" i="8" s="1"/>
  <c r="R535" i="8"/>
  <c r="R536" i="8" s="1"/>
  <c r="T579" i="8"/>
  <c r="T580" i="8" s="1"/>
  <c r="Q547" i="8"/>
  <c r="Q548" i="8" s="1"/>
  <c r="P551" i="8"/>
  <c r="P552" i="8" s="1"/>
  <c r="AB503" i="8"/>
  <c r="AB504" i="8" s="1"/>
  <c r="W571" i="8"/>
  <c r="W572" i="8" s="1"/>
  <c r="T447" i="8"/>
  <c r="T448" i="8" s="1"/>
  <c r="R563" i="8"/>
  <c r="R564" i="8" s="1"/>
  <c r="AE463" i="8"/>
  <c r="AE464" i="8" s="1"/>
  <c r="Y523" i="8"/>
  <c r="Y524" i="8" s="1"/>
  <c r="K499" i="8"/>
  <c r="K495" i="8"/>
  <c r="AC451" i="8"/>
  <c r="AC452" i="8" s="1"/>
  <c r="V443" i="8"/>
  <c r="V444" i="8" s="1"/>
  <c r="M503" i="8"/>
  <c r="M504" i="8" s="1"/>
  <c r="P563" i="8"/>
  <c r="P564" i="8" s="1"/>
  <c r="M551" i="8"/>
  <c r="M552" i="8" s="1"/>
  <c r="Y575" i="8"/>
  <c r="Y576" i="8" s="1"/>
  <c r="T571" i="8"/>
  <c r="T572" i="8" s="1"/>
  <c r="AA535" i="8"/>
  <c r="AA536" i="8" s="1"/>
  <c r="Q539" i="8"/>
  <c r="Q540" i="8" s="1"/>
  <c r="AD535" i="8"/>
  <c r="AD536" i="8" s="1"/>
  <c r="U515" i="8"/>
  <c r="U516" i="8" s="1"/>
  <c r="V559" i="8"/>
  <c r="V560" i="8" s="1"/>
  <c r="Z455" i="8"/>
  <c r="Z456" i="8" s="1"/>
  <c r="AA503" i="8"/>
  <c r="AA504" i="8" s="1"/>
  <c r="N579" i="8"/>
  <c r="N580" i="8" s="1"/>
  <c r="Q503" i="8"/>
  <c r="Q504" i="8" s="1"/>
  <c r="Z471" i="8"/>
  <c r="Z472" i="8" s="1"/>
  <c r="W547" i="8"/>
  <c r="W548" i="8" s="1"/>
  <c r="F314" i="2"/>
  <c r="AB463" i="8"/>
  <c r="AB464" i="8" s="1"/>
  <c r="L275" i="8"/>
  <c r="L276" i="8" s="1"/>
  <c r="AB479" i="8"/>
  <c r="AB480" i="8" s="1"/>
  <c r="K199" i="8"/>
  <c r="L247" i="8"/>
  <c r="L248" i="8" s="1"/>
  <c r="AB483" i="8"/>
  <c r="AB484" i="8" s="1"/>
  <c r="N455" i="8"/>
  <c r="N456" i="8" s="1"/>
  <c r="K219" i="8"/>
  <c r="K175" i="8"/>
  <c r="AB467" i="8"/>
  <c r="AB468" i="8" s="1"/>
  <c r="R499" i="8"/>
  <c r="R500" i="8" s="1"/>
  <c r="M571" i="8"/>
  <c r="M572" i="8" s="1"/>
  <c r="S463" i="8"/>
  <c r="S464" i="8" s="1"/>
  <c r="AA459" i="8"/>
  <c r="AA460" i="8" s="1"/>
  <c r="Q491" i="8"/>
  <c r="Q492" i="8" s="1"/>
  <c r="Q495" i="8"/>
  <c r="Q496" i="8" s="1"/>
  <c r="AA439" i="8"/>
  <c r="AA440" i="8" s="1"/>
  <c r="R571" i="8"/>
  <c r="R572" i="8" s="1"/>
  <c r="T555" i="8"/>
  <c r="T556" i="8" s="1"/>
  <c r="AA451" i="8"/>
  <c r="AA452" i="8" s="1"/>
  <c r="S575" i="8"/>
  <c r="S576" i="8" s="1"/>
  <c r="R551" i="8"/>
  <c r="R552" i="8" s="1"/>
  <c r="AD539" i="8"/>
  <c r="AD540" i="8" s="1"/>
  <c r="AD475" i="8"/>
  <c r="AD476" i="8" s="1"/>
  <c r="L463" i="8"/>
  <c r="L464" i="8" s="1"/>
  <c r="Y515" i="8"/>
  <c r="Y516" i="8" s="1"/>
  <c r="V511" i="8"/>
  <c r="V512" i="8" s="1"/>
  <c r="L547" i="8"/>
  <c r="L548" i="8" s="1"/>
  <c r="S519" i="8"/>
  <c r="S520" i="8" s="1"/>
  <c r="S515" i="8"/>
  <c r="S516" i="8" s="1"/>
  <c r="Q563" i="8"/>
  <c r="Q564" i="8" s="1"/>
  <c r="P483" i="8"/>
  <c r="P484" i="8" s="1"/>
  <c r="P531" i="8"/>
  <c r="P532" i="8" s="1"/>
  <c r="X467" i="8"/>
  <c r="X468" i="8" s="1"/>
  <c r="L503" i="8"/>
  <c r="L504" i="8" s="1"/>
  <c r="AE495" i="8"/>
  <c r="AE496" i="8" s="1"/>
  <c r="M459" i="8"/>
  <c r="M460" i="8" s="1"/>
  <c r="M447" i="8"/>
  <c r="M448" i="8" s="1"/>
  <c r="AA499" i="8"/>
  <c r="AA500" i="8" s="1"/>
  <c r="Z519" i="8"/>
  <c r="Z520" i="8" s="1"/>
  <c r="U555" i="8"/>
  <c r="U556" i="8" s="1"/>
  <c r="Q527" i="8"/>
  <c r="Q528" i="8" s="1"/>
  <c r="Z523" i="8"/>
  <c r="Z524" i="8" s="1"/>
  <c r="T567" i="8"/>
  <c r="T568" i="8" s="1"/>
  <c r="O563" i="8"/>
  <c r="O564" i="8" s="1"/>
  <c r="K451" i="8"/>
  <c r="AD519" i="8"/>
  <c r="AD520" i="8" s="1"/>
  <c r="U559" i="8"/>
  <c r="U560" i="8" s="1"/>
  <c r="Q487" i="8"/>
  <c r="Q488" i="8" s="1"/>
  <c r="L475" i="8"/>
  <c r="L476" i="8" s="1"/>
  <c r="R451" i="8"/>
  <c r="R452" i="8" s="1"/>
  <c r="L511" i="8"/>
  <c r="L512" i="8" s="1"/>
  <c r="N499" i="8"/>
  <c r="N500" i="8" s="1"/>
  <c r="N511" i="8"/>
  <c r="N512" i="8" s="1"/>
  <c r="V471" i="8"/>
  <c r="V472" i="8" s="1"/>
  <c r="R479" i="8"/>
  <c r="R480" i="8" s="1"/>
  <c r="L439" i="8"/>
  <c r="L440" i="8" s="1"/>
  <c r="AE447" i="8"/>
  <c r="AE448" i="8" s="1"/>
  <c r="L191" i="8"/>
  <c r="L192" i="8" s="1"/>
  <c r="L251" i="8"/>
  <c r="L252" i="8" s="1"/>
  <c r="U483" i="8"/>
  <c r="U484" i="8" s="1"/>
  <c r="K155" i="8"/>
  <c r="K191" i="8"/>
  <c r="S447" i="8"/>
  <c r="S448" i="8" s="1"/>
  <c r="AE531" i="8"/>
  <c r="AE532" i="8" s="1"/>
  <c r="U575" i="8"/>
  <c r="U576" i="8" s="1"/>
  <c r="AD575" i="8"/>
  <c r="AD576" i="8" s="1"/>
  <c r="AD491" i="8"/>
  <c r="AD492" i="8" s="1"/>
  <c r="S455" i="8"/>
  <c r="S456" i="8" s="1"/>
  <c r="N451" i="8"/>
  <c r="N452" i="8" s="1"/>
  <c r="Q559" i="8"/>
  <c r="Q560" i="8" s="1"/>
  <c r="X459" i="8"/>
  <c r="X460" i="8" s="1"/>
  <c r="T551" i="8"/>
  <c r="T552" i="8" s="1"/>
  <c r="AB443" i="8"/>
  <c r="AB444" i="8" s="1"/>
  <c r="AD507" i="8"/>
  <c r="AD508" i="8" s="1"/>
  <c r="AC475" i="8"/>
  <c r="AC476" i="8" s="1"/>
  <c r="O455" i="8"/>
  <c r="O456" i="8" s="1"/>
  <c r="AA495" i="8"/>
  <c r="AA496" i="8" s="1"/>
  <c r="AE575" i="8"/>
  <c r="AE576" i="8" s="1"/>
  <c r="AD483" i="8"/>
  <c r="AD484" i="8" s="1"/>
  <c r="O495" i="8"/>
  <c r="O496" i="8" s="1"/>
  <c r="K531" i="8"/>
  <c r="P495" i="8"/>
  <c r="P496" i="8" s="1"/>
  <c r="AE567" i="8"/>
  <c r="AE568" i="8" s="1"/>
  <c r="R483" i="8"/>
  <c r="R484" i="8" s="1"/>
  <c r="K471" i="8"/>
  <c r="AC491" i="8"/>
  <c r="AC492" i="8" s="1"/>
  <c r="Q543" i="8"/>
  <c r="Q544" i="8" s="1"/>
  <c r="AD479" i="8"/>
  <c r="AD480" i="8" s="1"/>
  <c r="AB535" i="8"/>
  <c r="AB536" i="8" s="1"/>
  <c r="R495" i="8"/>
  <c r="R496" i="8" s="1"/>
  <c r="U443" i="8"/>
  <c r="U444" i="8" s="1"/>
  <c r="O515" i="8"/>
  <c r="O516" i="8" s="1"/>
  <c r="V535" i="8"/>
  <c r="V536" i="8" s="1"/>
  <c r="M531" i="8"/>
  <c r="M532" i="8" s="1"/>
  <c r="AA475" i="8"/>
  <c r="AA476" i="8" s="1"/>
  <c r="Q463" i="8"/>
  <c r="Q464" i="8" s="1"/>
  <c r="Q451" i="8"/>
  <c r="Q452" i="8" s="1"/>
  <c r="K475" i="8"/>
  <c r="V575" i="8"/>
  <c r="V576" i="8" s="1"/>
  <c r="V519" i="8"/>
  <c r="V520" i="8" s="1"/>
  <c r="W463" i="8"/>
  <c r="W464" i="8" s="1"/>
  <c r="K523" i="8"/>
  <c r="P459" i="8"/>
  <c r="P460" i="8" s="1"/>
  <c r="W575" i="8"/>
  <c r="W576" i="8" s="1"/>
  <c r="R491" i="8"/>
  <c r="R492" i="8" s="1"/>
  <c r="S503" i="8"/>
  <c r="S504" i="8" s="1"/>
  <c r="AE519" i="8"/>
  <c r="AE520" i="8" s="1"/>
  <c r="K575" i="8"/>
  <c r="Y491" i="8"/>
  <c r="Y492" i="8" s="1"/>
  <c r="AC515" i="8"/>
  <c r="AC516" i="8" s="1"/>
  <c r="V451" i="8"/>
  <c r="V452" i="8" s="1"/>
  <c r="K275" i="8"/>
  <c r="K223" i="8"/>
  <c r="S491" i="8"/>
  <c r="S492" i="8" s="1"/>
  <c r="AE491" i="8"/>
  <c r="AE492" i="8" s="1"/>
  <c r="W527" i="8"/>
  <c r="W528" i="8" s="1"/>
  <c r="P471" i="8"/>
  <c r="P472" i="8" s="1"/>
  <c r="P559" i="8"/>
  <c r="P560" i="8" s="1"/>
  <c r="X571" i="8"/>
  <c r="X572" i="8" s="1"/>
  <c r="AA483" i="8"/>
  <c r="AA484" i="8" s="1"/>
  <c r="Y439" i="8"/>
  <c r="Y440" i="8" s="1"/>
  <c r="V459" i="8"/>
  <c r="V460" i="8" s="1"/>
  <c r="T443" i="8"/>
  <c r="T444" i="8" s="1"/>
  <c r="Y567" i="8"/>
  <c r="Y568" i="8" s="1"/>
  <c r="K551" i="8"/>
  <c r="AC571" i="8"/>
  <c r="AC572" i="8" s="1"/>
  <c r="R443" i="8"/>
  <c r="R444" i="8" s="1"/>
  <c r="L231" i="8"/>
  <c r="L232" i="8" s="1"/>
  <c r="K227" i="8"/>
  <c r="Z491" i="8"/>
  <c r="Z492" i="8" s="1"/>
  <c r="P467" i="8"/>
  <c r="P468" i="8" s="1"/>
  <c r="L479" i="8"/>
  <c r="L480" i="8" s="1"/>
  <c r="Y463" i="8"/>
  <c r="Y464" i="8" s="1"/>
  <c r="U499" i="8"/>
  <c r="U500" i="8" s="1"/>
  <c r="P479" i="8"/>
  <c r="P480" i="8" s="1"/>
  <c r="T439" i="8"/>
  <c r="T440" i="8" s="1"/>
  <c r="M483" i="8"/>
  <c r="M484" i="8" s="1"/>
  <c r="Y475" i="8"/>
  <c r="Y476" i="8" s="1"/>
  <c r="Z579" i="8"/>
  <c r="Z580" i="8" s="1"/>
  <c r="R463" i="8"/>
  <c r="R464" i="8" s="1"/>
  <c r="Y479" i="8"/>
  <c r="Y480" i="8" s="1"/>
  <c r="Z515" i="8"/>
  <c r="Z516" i="8" s="1"/>
  <c r="Z559" i="8"/>
  <c r="Z560" i="8" s="1"/>
  <c r="R487" i="8"/>
  <c r="R488" i="8" s="1"/>
  <c r="V463" i="8"/>
  <c r="V464" i="8" s="1"/>
  <c r="L531" i="8"/>
  <c r="L532" i="8" s="1"/>
  <c r="AE503" i="8"/>
  <c r="AE504" i="8" s="1"/>
  <c r="T459" i="8"/>
  <c r="T460" i="8" s="1"/>
  <c r="AE523" i="8"/>
  <c r="AE524" i="8" s="1"/>
  <c r="U439" i="8"/>
  <c r="U440" i="8" s="1"/>
  <c r="U475" i="8"/>
  <c r="U476" i="8" s="1"/>
  <c r="O511" i="8"/>
  <c r="O512" i="8" s="1"/>
  <c r="AB543" i="8"/>
  <c r="AB544" i="8" s="1"/>
  <c r="M527" i="8"/>
  <c r="M528" i="8" s="1"/>
  <c r="L467" i="8"/>
  <c r="L468" i="8" s="1"/>
  <c r="K571" i="8"/>
  <c r="AE547" i="8"/>
  <c r="AE548" i="8" s="1"/>
  <c r="K487" i="8"/>
  <c r="AC575" i="8"/>
  <c r="AC576" i="8" s="1"/>
  <c r="U459" i="8"/>
  <c r="U460" i="8" s="1"/>
  <c r="S527" i="8"/>
  <c r="S528" i="8" s="1"/>
  <c r="AA491" i="8"/>
  <c r="AA492" i="8" s="1"/>
  <c r="Q575" i="8"/>
  <c r="Q576" i="8" s="1"/>
  <c r="V467" i="8"/>
  <c r="V468" i="8" s="1"/>
  <c r="V487" i="8"/>
  <c r="V488" i="8" s="1"/>
  <c r="Y455" i="8"/>
  <c r="Y456" i="8" s="1"/>
  <c r="M471" i="8"/>
  <c r="M472" i="8" s="1"/>
  <c r="L487" i="8"/>
  <c r="L488" i="8" s="1"/>
  <c r="S543" i="8"/>
  <c r="S544" i="8" s="1"/>
  <c r="O459" i="8"/>
  <c r="O460" i="8" s="1"/>
  <c r="X487" i="8"/>
  <c r="X488" i="8" s="1"/>
  <c r="X515" i="8"/>
  <c r="X516" i="8" s="1"/>
  <c r="K483" i="8"/>
  <c r="U571" i="8"/>
  <c r="U572" i="8" s="1"/>
  <c r="AD459" i="8"/>
  <c r="AD460" i="8" s="1"/>
  <c r="S571" i="8"/>
  <c r="S572" i="8" s="1"/>
  <c r="K535" i="8"/>
  <c r="X471" i="8"/>
  <c r="X472" i="8" s="1"/>
  <c r="U447" i="8"/>
  <c r="U448" i="8" s="1"/>
  <c r="R515" i="8"/>
  <c r="R516" i="8" s="1"/>
  <c r="Z575" i="8"/>
  <c r="Z576" i="8" s="1"/>
  <c r="M567" i="8"/>
  <c r="M568" i="8" s="1"/>
  <c r="Y447" i="8"/>
  <c r="Y448" i="8" s="1"/>
  <c r="AA479" i="8"/>
  <c r="AA480" i="8" s="1"/>
  <c r="P475" i="8"/>
  <c r="P476" i="8" s="1"/>
  <c r="P491" i="8"/>
  <c r="P492" i="8" s="1"/>
  <c r="K479" i="8"/>
  <c r="S471" i="8"/>
  <c r="S472" i="8" s="1"/>
  <c r="N519" i="8"/>
  <c r="N520" i="8" s="1"/>
  <c r="X559" i="8"/>
  <c r="X560" i="8" s="1"/>
  <c r="M451" i="8"/>
  <c r="M452" i="8" s="1"/>
  <c r="Z539" i="8"/>
  <c r="Z540" i="8" s="1"/>
  <c r="L459" i="8"/>
  <c r="L460" i="8" s="1"/>
  <c r="K167" i="8"/>
  <c r="V539" i="8"/>
  <c r="V540" i="8" s="1"/>
  <c r="M511" i="8"/>
  <c r="M512" i="8" s="1"/>
  <c r="W507" i="8"/>
  <c r="W508" i="8" s="1"/>
  <c r="X499" i="8"/>
  <c r="X500" i="8" s="1"/>
  <c r="Q455" i="8"/>
  <c r="Q456" i="8" s="1"/>
  <c r="Q507" i="8"/>
  <c r="Q508" i="8" s="1"/>
  <c r="P463" i="8"/>
  <c r="P464" i="8" s="1"/>
  <c r="X455" i="8"/>
  <c r="X456" i="8" s="1"/>
  <c r="Q515" i="8"/>
  <c r="Q516" i="8" s="1"/>
  <c r="S459" i="8"/>
  <c r="S460" i="8" s="1"/>
  <c r="K279" i="8"/>
  <c r="X539" i="8"/>
  <c r="X540" i="8" s="1"/>
  <c r="P555" i="8"/>
  <c r="P556" i="8" s="1"/>
  <c r="M555" i="8"/>
  <c r="M556" i="8" s="1"/>
  <c r="L267" i="8"/>
  <c r="L268" i="8" s="1"/>
  <c r="L243" i="8"/>
  <c r="L244" i="8" s="1"/>
  <c r="K527" i="8"/>
  <c r="AB451" i="8"/>
  <c r="AB452" i="8" s="1"/>
  <c r="S451" i="8"/>
  <c r="S452" i="8" s="1"/>
  <c r="Y451" i="8"/>
  <c r="Y452" i="8" s="1"/>
  <c r="O579" i="8"/>
  <c r="O580" i="8" s="1"/>
  <c r="X563" i="8"/>
  <c r="X564" i="8" s="1"/>
  <c r="AE555" i="8"/>
  <c r="AE556" i="8" s="1"/>
  <c r="AD495" i="8"/>
  <c r="AD496" i="8" s="1"/>
  <c r="AC579" i="8"/>
  <c r="AC580" i="8" s="1"/>
  <c r="X475" i="8"/>
  <c r="X476" i="8" s="1"/>
  <c r="Z527" i="8"/>
  <c r="Z528" i="8" s="1"/>
  <c r="L239" i="8"/>
  <c r="L240" i="8" s="1"/>
  <c r="AD463" i="8"/>
  <c r="AD464" i="8" s="1"/>
  <c r="N535" i="8"/>
  <c r="N536" i="8" s="1"/>
  <c r="M539" i="8"/>
  <c r="M540" i="8" s="1"/>
  <c r="AA559" i="8"/>
  <c r="AA560" i="8" s="1"/>
  <c r="S475" i="8"/>
  <c r="S476" i="8" s="1"/>
  <c r="T487" i="8"/>
  <c r="T488" i="8" s="1"/>
  <c r="U551" i="8"/>
  <c r="U552" i="8" s="1"/>
  <c r="T507" i="8"/>
  <c r="T508" i="8" s="1"/>
  <c r="O535" i="8"/>
  <c r="O536" i="8" s="1"/>
  <c r="Y471" i="8"/>
  <c r="Y472" i="8" s="1"/>
  <c r="R471" i="8"/>
  <c r="R472" i="8" s="1"/>
  <c r="T475" i="8"/>
  <c r="T476" i="8" s="1"/>
  <c r="M487" i="8"/>
  <c r="M488" i="8" s="1"/>
  <c r="X443" i="8"/>
  <c r="X444" i="8" s="1"/>
  <c r="L171" i="8"/>
  <c r="L172" i="8" s="1"/>
  <c r="AE579" i="8"/>
  <c r="AE580" i="8" s="1"/>
  <c r="AC447" i="8"/>
  <c r="AC448" i="8" s="1"/>
  <c r="O539" i="8"/>
  <c r="O540" i="8" s="1"/>
  <c r="M559" i="8"/>
  <c r="M560" i="8" s="1"/>
  <c r="V571" i="8"/>
  <c r="V572" i="8" s="1"/>
  <c r="M443" i="8"/>
  <c r="M444" i="8" s="1"/>
  <c r="L179" i="8"/>
  <c r="L180" i="8" s="1"/>
  <c r="AE439" i="8"/>
  <c r="AE440" i="8" s="1"/>
  <c r="O487" i="8"/>
  <c r="O488" i="8" s="1"/>
  <c r="Z535" i="8"/>
  <c r="Z536" i="8" s="1"/>
  <c r="P511" i="8"/>
  <c r="P512" i="8" s="1"/>
  <c r="P439" i="8"/>
  <c r="P440" i="8" s="1"/>
  <c r="Y503" i="8"/>
  <c r="Y504" i="8" s="1"/>
  <c r="R527" i="8"/>
  <c r="R528" i="8" s="1"/>
  <c r="AC559" i="8"/>
  <c r="AC560" i="8" s="1"/>
  <c r="Q443" i="8"/>
  <c r="Q444" i="8" s="1"/>
  <c r="L207" i="8"/>
  <c r="L208" i="8" s="1"/>
  <c r="X491" i="8"/>
  <c r="X492" i="8" s="1"/>
  <c r="M495" i="8"/>
  <c r="M496" i="8" s="1"/>
  <c r="U455" i="8"/>
  <c r="U456" i="8" s="1"/>
  <c r="AE459" i="8"/>
  <c r="AE460" i="8" s="1"/>
  <c r="S551" i="8"/>
  <c r="S552" i="8" s="1"/>
  <c r="U507" i="8"/>
  <c r="U508" i="8" s="1"/>
  <c r="L167" i="8"/>
  <c r="L168" i="8" s="1"/>
  <c r="N571" i="8"/>
  <c r="N572" i="8" s="1"/>
  <c r="AA487" i="8"/>
  <c r="AA488" i="8" s="1"/>
  <c r="F715" i="2"/>
  <c r="F714" i="2"/>
  <c r="F713" i="2"/>
  <c r="F985" i="8"/>
  <c r="G709" i="2"/>
  <c r="G710" i="2"/>
  <c r="G711" i="2"/>
  <c r="F710" i="2"/>
  <c r="F711" i="2"/>
  <c r="F709" i="2"/>
  <c r="Q378" i="2"/>
  <c r="Q916" i="8" s="1"/>
  <c r="Q917" i="8" s="1"/>
  <c r="R349" i="2"/>
  <c r="R824" i="8" s="1"/>
  <c r="R825" i="8" s="1"/>
  <c r="R772" i="8"/>
  <c r="R773" i="8" s="1"/>
  <c r="Q374" i="2"/>
  <c r="Q900" i="8" s="1"/>
  <c r="Q901" i="8" s="1"/>
  <c r="T280" i="2"/>
  <c r="S334" i="2"/>
  <c r="S41" i="14" s="1"/>
  <c r="S345" i="2"/>
  <c r="S612" i="8"/>
  <c r="S613" i="8" s="1"/>
  <c r="R808" i="8"/>
  <c r="R809" i="8" s="1"/>
  <c r="S1152" i="8"/>
  <c r="S1153" i="8" s="1"/>
  <c r="S1016" i="8"/>
  <c r="S1017" i="8" s="1"/>
  <c r="S735" i="2"/>
  <c r="S208" i="14" s="1"/>
  <c r="T681" i="2"/>
  <c r="S746" i="2"/>
  <c r="T760" i="8"/>
  <c r="T761" i="8" s="1"/>
  <c r="R1212" i="8"/>
  <c r="R1213" i="8" s="1"/>
  <c r="R376" i="2"/>
  <c r="R908" i="8" s="1"/>
  <c r="R909" i="8" s="1"/>
  <c r="U600" i="8"/>
  <c r="U601" i="8" s="1"/>
  <c r="V277" i="2"/>
  <c r="U342" i="2"/>
  <c r="U331" i="2"/>
  <c r="U38" i="14" s="1"/>
  <c r="R804" i="8"/>
  <c r="R805" i="8" s="1"/>
  <c r="R1164" i="8"/>
  <c r="R1165" i="8" s="1"/>
  <c r="S756" i="8"/>
  <c r="S757" i="8" s="1"/>
  <c r="S820" i="8"/>
  <c r="S821" i="8" s="1"/>
  <c r="R1176" i="8"/>
  <c r="R1177" i="8" s="1"/>
  <c r="T796" i="8"/>
  <c r="T797" i="8" s="1"/>
  <c r="R768" i="8"/>
  <c r="R769" i="8" s="1"/>
  <c r="S784" i="8"/>
  <c r="S785" i="8" s="1"/>
  <c r="R780" i="8"/>
  <c r="R781" i="8" s="1"/>
  <c r="S608" i="8"/>
  <c r="S609" i="8" s="1"/>
  <c r="S333" i="2"/>
  <c r="S40" i="14" s="1"/>
  <c r="S344" i="2"/>
  <c r="T279" i="2"/>
  <c r="R1200" i="8"/>
  <c r="R1201" i="8" s="1"/>
  <c r="T596" i="8"/>
  <c r="T597" i="8" s="1"/>
  <c r="T341" i="2"/>
  <c r="U276" i="2"/>
  <c r="T330" i="2"/>
  <c r="T37" i="14" s="1"/>
  <c r="U812" i="8"/>
  <c r="U813" i="8" s="1"/>
  <c r="T624" i="8"/>
  <c r="T625" i="8" s="1"/>
  <c r="T348" i="2"/>
  <c r="T337" i="2"/>
  <c r="T44" i="14" s="1"/>
  <c r="U283" i="2"/>
  <c r="S1168" i="8"/>
  <c r="S1169" i="8" s="1"/>
  <c r="S1004" i="8"/>
  <c r="S1005" i="8" s="1"/>
  <c r="S743" i="2"/>
  <c r="T678" i="2"/>
  <c r="S732" i="2"/>
  <c r="S205" i="14" s="1"/>
  <c r="S800" i="8"/>
  <c r="S801" i="8" s="1"/>
  <c r="S792" i="8"/>
  <c r="S793" i="8" s="1"/>
  <c r="U776" i="8"/>
  <c r="U777" i="8" s="1"/>
  <c r="S620" i="8"/>
  <c r="S621" i="8" s="1"/>
  <c r="T282" i="2"/>
  <c r="S347" i="2"/>
  <c r="S336" i="2"/>
  <c r="S43" i="14" s="1"/>
  <c r="S764" i="8"/>
  <c r="S765" i="8" s="1"/>
  <c r="V616" i="8"/>
  <c r="V617" i="8" s="1"/>
  <c r="W281" i="2"/>
  <c r="V335" i="2"/>
  <c r="V42" i="14" s="1"/>
  <c r="V346" i="2"/>
  <c r="P379" i="2"/>
  <c r="T604" i="8"/>
  <c r="T605" i="8" s="1"/>
  <c r="U278" i="2"/>
  <c r="T332" i="2"/>
  <c r="T39" i="14" s="1"/>
  <c r="T343" i="2"/>
  <c r="T1180" i="8"/>
  <c r="T1181" i="8" s="1"/>
  <c r="R1196" i="8"/>
  <c r="R1197" i="8" s="1"/>
  <c r="R338" i="2"/>
  <c r="R788" i="8" s="1"/>
  <c r="R789" i="8" s="1"/>
  <c r="T1216" i="8"/>
  <c r="T1217" i="8" s="1"/>
  <c r="S1000" i="8"/>
  <c r="S1001" i="8" s="1"/>
  <c r="S731" i="2"/>
  <c r="S204" i="14" s="1"/>
  <c r="S742" i="2"/>
  <c r="T677" i="2"/>
  <c r="R816" i="8"/>
  <c r="R817" i="8" s="1"/>
  <c r="S1208" i="8"/>
  <c r="S1209" i="8" s="1"/>
  <c r="Q360" i="2"/>
  <c r="R828" i="8"/>
  <c r="R829" i="8" s="1"/>
  <c r="U1020" i="8"/>
  <c r="U1021" i="8" s="1"/>
  <c r="V682" i="2"/>
  <c r="U747" i="2"/>
  <c r="U736" i="2"/>
  <c r="U209" i="14" s="1"/>
  <c r="R1160" i="8"/>
  <c r="R1161" i="8" s="1"/>
  <c r="R1192" i="8"/>
  <c r="R1193" i="8" s="1"/>
  <c r="R1156" i="8"/>
  <c r="R1157" i="8" s="1"/>
  <c r="S1172" i="8"/>
  <c r="S1173" i="8" s="1"/>
  <c r="R375" i="2"/>
  <c r="R904" i="8" s="1"/>
  <c r="R905" i="8" s="1"/>
  <c r="S996" i="8"/>
  <c r="S997" i="8" s="1"/>
  <c r="S741" i="2"/>
  <c r="T676" i="2"/>
  <c r="S730" i="2"/>
  <c r="S203" i="14" s="1"/>
  <c r="T1012" i="8"/>
  <c r="T1013" i="8" s="1"/>
  <c r="U680" i="2"/>
  <c r="T745" i="2"/>
  <c r="T734" i="2"/>
  <c r="T207" i="14" s="1"/>
  <c r="T1008" i="8"/>
  <c r="T1009" i="8" s="1"/>
  <c r="T733" i="2"/>
  <c r="T206" i="14" s="1"/>
  <c r="T744" i="2"/>
  <c r="U679" i="2"/>
  <c r="S1188" i="8"/>
  <c r="S1189" i="8" s="1"/>
  <c r="S1204" i="8"/>
  <c r="S1205" i="8" s="1"/>
  <c r="R387" i="2" l="1"/>
  <c r="R932" i="8" s="1"/>
  <c r="R933" i="8" s="1"/>
  <c r="T729" i="2"/>
  <c r="T202" i="14" s="1"/>
  <c r="T740" i="2"/>
  <c r="U675" i="2"/>
  <c r="S242" i="14"/>
  <c r="T364" i="2"/>
  <c r="T260" i="2"/>
  <c r="S365" i="2"/>
  <c r="S394" i="2" s="1"/>
  <c r="S77" i="14"/>
  <c r="S369" i="2"/>
  <c r="T370" i="2"/>
  <c r="T892" i="8" s="1"/>
  <c r="T893" i="8" s="1"/>
  <c r="T74" i="14"/>
  <c r="S367" i="2"/>
  <c r="S880" i="8" s="1"/>
  <c r="S881" i="8" s="1"/>
  <c r="P32" i="14"/>
  <c r="P72" i="14" s="1"/>
  <c r="Q32" i="14"/>
  <c r="Q72" i="14" s="1"/>
  <c r="X32" i="14"/>
  <c r="L32" i="14"/>
  <c r="L72" i="14" s="1"/>
  <c r="M32" i="14"/>
  <c r="M72" i="14" s="1"/>
  <c r="AA32" i="14"/>
  <c r="N32" i="14"/>
  <c r="N72" i="14" s="1"/>
  <c r="O32" i="14"/>
  <c r="O72" i="14" s="1"/>
  <c r="R32" i="14"/>
  <c r="R72" i="14" s="1"/>
  <c r="S32" i="14"/>
  <c r="S72" i="14" s="1"/>
  <c r="T32" i="14"/>
  <c r="T72" i="14" s="1"/>
  <c r="U32" i="14"/>
  <c r="U72" i="14" s="1"/>
  <c r="V32" i="14"/>
  <c r="V72" i="14" s="1"/>
  <c r="W32" i="14"/>
  <c r="Y32" i="14"/>
  <c r="Z32" i="14"/>
  <c r="AB32" i="14"/>
  <c r="AC32" i="14"/>
  <c r="AD32" i="14"/>
  <c r="AE32" i="14"/>
  <c r="P368" i="2"/>
  <c r="P397" i="2" s="1"/>
  <c r="R368" i="2"/>
  <c r="R397" i="2" s="1"/>
  <c r="M368" i="2"/>
  <c r="M397" i="2" s="1"/>
  <c r="O368" i="2"/>
  <c r="O397" i="2" s="1"/>
  <c r="L368" i="2"/>
  <c r="L397" i="2" s="1"/>
  <c r="Q368" i="2"/>
  <c r="Q397" i="2" s="1"/>
  <c r="N368" i="2"/>
  <c r="N397" i="2" s="1"/>
  <c r="S368" i="2"/>
  <c r="S397" i="2" s="1"/>
  <c r="T368" i="2"/>
  <c r="T397" i="2" s="1"/>
  <c r="W33" i="14"/>
  <c r="X33" i="14"/>
  <c r="L33" i="14"/>
  <c r="L73" i="14" s="1"/>
  <c r="Z33" i="14"/>
  <c r="M33" i="14"/>
  <c r="M73" i="14" s="1"/>
  <c r="AA33" i="14"/>
  <c r="O33" i="14"/>
  <c r="O73" i="14" s="1"/>
  <c r="AC33" i="14"/>
  <c r="P33" i="14"/>
  <c r="P73" i="14" s="1"/>
  <c r="Q33" i="14"/>
  <c r="Q73" i="14" s="1"/>
  <c r="AE33" i="14"/>
  <c r="R33" i="14"/>
  <c r="R73" i="14" s="1"/>
  <c r="S33" i="14"/>
  <c r="S73" i="14" s="1"/>
  <c r="T33" i="14"/>
  <c r="N33" i="14"/>
  <c r="N73" i="14" s="1"/>
  <c r="U33" i="14"/>
  <c r="V33" i="14"/>
  <c r="Y33" i="14"/>
  <c r="AB33" i="14"/>
  <c r="AD33" i="14"/>
  <c r="N369" i="2"/>
  <c r="N398" i="2" s="1"/>
  <c r="M369" i="2"/>
  <c r="M398" i="2" s="1"/>
  <c r="L369" i="2"/>
  <c r="O369" i="2"/>
  <c r="O398" i="2" s="1"/>
  <c r="P369" i="2"/>
  <c r="P398" i="2" s="1"/>
  <c r="Q369" i="2"/>
  <c r="Q398" i="2" s="1"/>
  <c r="T365" i="2"/>
  <c r="T872" i="8" s="1"/>
  <c r="T873" i="8" s="1"/>
  <c r="P196" i="14"/>
  <c r="P236" i="14" s="1"/>
  <c r="AD196" i="14"/>
  <c r="Q196" i="14"/>
  <c r="Q236" i="14" s="1"/>
  <c r="AE196" i="14"/>
  <c r="S196" i="14"/>
  <c r="S236" i="14" s="1"/>
  <c r="T196" i="14"/>
  <c r="T236" i="14" s="1"/>
  <c r="U196" i="14"/>
  <c r="V196" i="14"/>
  <c r="X196" i="14"/>
  <c r="Y196" i="14"/>
  <c r="AA196" i="14"/>
  <c r="AB196" i="14"/>
  <c r="AC196" i="14"/>
  <c r="M196" i="14"/>
  <c r="M236" i="14" s="1"/>
  <c r="N196" i="14"/>
  <c r="N236" i="14" s="1"/>
  <c r="O196" i="14"/>
  <c r="O236" i="14" s="1"/>
  <c r="W196" i="14"/>
  <c r="R196" i="14"/>
  <c r="R236" i="14" s="1"/>
  <c r="Z196" i="14"/>
  <c r="L196" i="14"/>
  <c r="L236" i="14" s="1"/>
  <c r="T261" i="2"/>
  <c r="W193" i="14"/>
  <c r="X193" i="14"/>
  <c r="L193" i="14"/>
  <c r="L233" i="14" s="1"/>
  <c r="Z193" i="14"/>
  <c r="M193" i="14"/>
  <c r="M233" i="14" s="1"/>
  <c r="AA193" i="14"/>
  <c r="N193" i="14"/>
  <c r="N233" i="14" s="1"/>
  <c r="AB193" i="14"/>
  <c r="O193" i="14"/>
  <c r="O233" i="14" s="1"/>
  <c r="AC193" i="14"/>
  <c r="Q193" i="14"/>
  <c r="Q233" i="14" s="1"/>
  <c r="AE193" i="14"/>
  <c r="U193" i="14"/>
  <c r="V193" i="14"/>
  <c r="Y193" i="14"/>
  <c r="AD193" i="14"/>
  <c r="P193" i="14"/>
  <c r="P233" i="14" s="1"/>
  <c r="S193" i="14"/>
  <c r="S233" i="14" s="1"/>
  <c r="R193" i="14"/>
  <c r="R233" i="14" s="1"/>
  <c r="T193" i="14"/>
  <c r="W197" i="14"/>
  <c r="X197" i="14"/>
  <c r="L197" i="14"/>
  <c r="L237" i="14" s="1"/>
  <c r="Z197" i="14"/>
  <c r="M197" i="14"/>
  <c r="M237" i="14" s="1"/>
  <c r="AA197" i="14"/>
  <c r="N197" i="14"/>
  <c r="N237" i="14" s="1"/>
  <c r="AB197" i="14"/>
  <c r="O197" i="14"/>
  <c r="O237" i="14" s="1"/>
  <c r="AC197" i="14"/>
  <c r="Q197" i="14"/>
  <c r="Q237" i="14" s="1"/>
  <c r="AE197" i="14"/>
  <c r="R197" i="14"/>
  <c r="R237" i="14" s="1"/>
  <c r="S197" i="14"/>
  <c r="S237" i="14" s="1"/>
  <c r="T197" i="14"/>
  <c r="T237" i="14" s="1"/>
  <c r="U197" i="14"/>
  <c r="V197" i="14"/>
  <c r="Y197" i="14"/>
  <c r="AD197" i="14"/>
  <c r="P197" i="14"/>
  <c r="P237" i="14" s="1"/>
  <c r="U239" i="14"/>
  <c r="Q31" i="14"/>
  <c r="Q71" i="14" s="1"/>
  <c r="Z31" i="14"/>
  <c r="L31" i="14"/>
  <c r="L71" i="14" s="1"/>
  <c r="AA31" i="14"/>
  <c r="M31" i="14"/>
  <c r="M71" i="14" s="1"/>
  <c r="AB31" i="14"/>
  <c r="N31" i="14"/>
  <c r="N71" i="14" s="1"/>
  <c r="AC31" i="14"/>
  <c r="O31" i="14"/>
  <c r="O71" i="14" s="1"/>
  <c r="AD31" i="14"/>
  <c r="P31" i="14"/>
  <c r="P71" i="14" s="1"/>
  <c r="AE31" i="14"/>
  <c r="R31" i="14"/>
  <c r="R71" i="14" s="1"/>
  <c r="S31" i="14"/>
  <c r="S71" i="14" s="1"/>
  <c r="T31" i="14"/>
  <c r="U31" i="14"/>
  <c r="V31" i="14"/>
  <c r="W31" i="14"/>
  <c r="X31" i="14"/>
  <c r="Y31" i="14"/>
  <c r="M367" i="2"/>
  <c r="M396" i="2" s="1"/>
  <c r="M964" i="8" s="1"/>
  <c r="M965" i="8" s="1"/>
  <c r="N367" i="2"/>
  <c r="N396" i="2" s="1"/>
  <c r="N964" i="8" s="1"/>
  <c r="N965" i="8" s="1"/>
  <c r="O367" i="2"/>
  <c r="O396" i="2" s="1"/>
  <c r="O964" i="8" s="1"/>
  <c r="O965" i="8" s="1"/>
  <c r="P367" i="2"/>
  <c r="P396" i="2" s="1"/>
  <c r="P964" i="8" s="1"/>
  <c r="P965" i="8" s="1"/>
  <c r="L367" i="2"/>
  <c r="L396" i="2" s="1"/>
  <c r="L964" i="8" s="1"/>
  <c r="L965" i="8" s="1"/>
  <c r="Q367" i="2"/>
  <c r="Q396" i="2" s="1"/>
  <c r="Q964" i="8" s="1"/>
  <c r="Q965" i="8" s="1"/>
  <c r="P198" i="14"/>
  <c r="P238" i="14" s="1"/>
  <c r="AD198" i="14"/>
  <c r="Q198" i="14"/>
  <c r="Q238" i="14" s="1"/>
  <c r="AE198" i="14"/>
  <c r="S198" i="14"/>
  <c r="S238" i="14" s="1"/>
  <c r="T198" i="14"/>
  <c r="U198" i="14"/>
  <c r="V198" i="14"/>
  <c r="X198" i="14"/>
  <c r="Y198" i="14"/>
  <c r="L198" i="14"/>
  <c r="L238" i="14" s="1"/>
  <c r="M198" i="14"/>
  <c r="M238" i="14" s="1"/>
  <c r="N198" i="14"/>
  <c r="N238" i="14" s="1"/>
  <c r="O198" i="14"/>
  <c r="O238" i="14" s="1"/>
  <c r="R198" i="14"/>
  <c r="R238" i="14" s="1"/>
  <c r="Z198" i="14"/>
  <c r="AA198" i="14"/>
  <c r="AB198" i="14"/>
  <c r="W198" i="14"/>
  <c r="AC198" i="14"/>
  <c r="T363" i="2"/>
  <c r="R367" i="2"/>
  <c r="R396" i="2" s="1"/>
  <c r="R964" i="8" s="1"/>
  <c r="R965" i="8" s="1"/>
  <c r="U368" i="2"/>
  <c r="S235" i="14"/>
  <c r="L27" i="14"/>
  <c r="L67" i="14" s="1"/>
  <c r="Z27" i="14"/>
  <c r="M27" i="14"/>
  <c r="M67" i="14" s="1"/>
  <c r="AA27" i="14"/>
  <c r="N27" i="14"/>
  <c r="N67" i="14" s="1"/>
  <c r="AB27" i="14"/>
  <c r="O27" i="14"/>
  <c r="O67" i="14" s="1"/>
  <c r="AC27" i="14"/>
  <c r="P27" i="14"/>
  <c r="P67" i="14" s="1"/>
  <c r="AD27" i="14"/>
  <c r="Q27" i="14"/>
  <c r="Q67" i="14" s="1"/>
  <c r="AE27" i="14"/>
  <c r="R27" i="14"/>
  <c r="R67" i="14" s="1"/>
  <c r="S27" i="14"/>
  <c r="S67" i="14" s="1"/>
  <c r="T27" i="14"/>
  <c r="T67" i="14" s="1"/>
  <c r="U27" i="14"/>
  <c r="V27" i="14"/>
  <c r="W27" i="14"/>
  <c r="X27" i="14"/>
  <c r="Y27" i="14"/>
  <c r="N261" i="2"/>
  <c r="N260" i="2"/>
  <c r="O261" i="2"/>
  <c r="M261" i="2"/>
  <c r="M260" i="2"/>
  <c r="O260" i="2"/>
  <c r="N363" i="2"/>
  <c r="Q260" i="2"/>
  <c r="Q261" i="2"/>
  <c r="P260" i="2"/>
  <c r="P261" i="2"/>
  <c r="L260" i="2"/>
  <c r="M363" i="2"/>
  <c r="P363" i="2"/>
  <c r="L261" i="2"/>
  <c r="O363" i="2"/>
  <c r="R261" i="2"/>
  <c r="Q363" i="2"/>
  <c r="R260" i="2"/>
  <c r="L363" i="2"/>
  <c r="S260" i="2"/>
  <c r="S261" i="2"/>
  <c r="R363" i="2"/>
  <c r="V368" i="2"/>
  <c r="V884" i="8" s="1"/>
  <c r="V885" i="8" s="1"/>
  <c r="S366" i="2"/>
  <c r="S70" i="14"/>
  <c r="P192" i="14"/>
  <c r="P232" i="14" s="1"/>
  <c r="AD192" i="14"/>
  <c r="Q192" i="14"/>
  <c r="Q232" i="14" s="1"/>
  <c r="AE192" i="14"/>
  <c r="S192" i="14"/>
  <c r="S232" i="14" s="1"/>
  <c r="T192" i="14"/>
  <c r="U192" i="14"/>
  <c r="V192" i="14"/>
  <c r="X192" i="14"/>
  <c r="AB192" i="14"/>
  <c r="AC192" i="14"/>
  <c r="L192" i="14"/>
  <c r="L232" i="14" s="1"/>
  <c r="M192" i="14"/>
  <c r="M232" i="14" s="1"/>
  <c r="O192" i="14"/>
  <c r="O232" i="14" s="1"/>
  <c r="R192" i="14"/>
  <c r="R232" i="14" s="1"/>
  <c r="W192" i="14"/>
  <c r="Z192" i="14"/>
  <c r="N192" i="14"/>
  <c r="N232" i="14" s="1"/>
  <c r="Y192" i="14"/>
  <c r="AA192" i="14"/>
  <c r="L29" i="14"/>
  <c r="L69" i="14" s="1"/>
  <c r="Z29" i="14"/>
  <c r="M29" i="14"/>
  <c r="M69" i="14" s="1"/>
  <c r="AA29" i="14"/>
  <c r="N29" i="14"/>
  <c r="N69" i="14" s="1"/>
  <c r="AB29" i="14"/>
  <c r="O29" i="14"/>
  <c r="O69" i="14" s="1"/>
  <c r="AC29" i="14"/>
  <c r="P29" i="14"/>
  <c r="P69" i="14" s="1"/>
  <c r="AD29" i="14"/>
  <c r="Q29" i="14"/>
  <c r="Q69" i="14" s="1"/>
  <c r="AE29" i="14"/>
  <c r="R29" i="14"/>
  <c r="R69" i="14" s="1"/>
  <c r="S29" i="14"/>
  <c r="S69" i="14" s="1"/>
  <c r="T29" i="14"/>
  <c r="T69" i="14" s="1"/>
  <c r="U29" i="14"/>
  <c r="V29" i="14"/>
  <c r="W29" i="14"/>
  <c r="X29" i="14"/>
  <c r="Y29" i="14"/>
  <c r="N365" i="2"/>
  <c r="N394" i="2" s="1"/>
  <c r="M365" i="2"/>
  <c r="M394" i="2" s="1"/>
  <c r="O365" i="2"/>
  <c r="O394" i="2" s="1"/>
  <c r="P365" i="2"/>
  <c r="P394" i="2" s="1"/>
  <c r="L365" i="2"/>
  <c r="L394" i="2" s="1"/>
  <c r="Q365" i="2"/>
  <c r="Q394" i="2" s="1"/>
  <c r="R365" i="2"/>
  <c r="R394" i="2" s="1"/>
  <c r="R369" i="2"/>
  <c r="R398" i="2" s="1"/>
  <c r="R972" i="8" s="1"/>
  <c r="R973" i="8" s="1"/>
  <c r="S363" i="2"/>
  <c r="U364" i="2"/>
  <c r="U868" i="8" s="1"/>
  <c r="U869" i="8" s="1"/>
  <c r="P194" i="14"/>
  <c r="P234" i="14" s="1"/>
  <c r="AD194" i="14"/>
  <c r="Q194" i="14"/>
  <c r="Q234" i="14" s="1"/>
  <c r="AE194" i="14"/>
  <c r="S194" i="14"/>
  <c r="S234" i="14" s="1"/>
  <c r="T194" i="14"/>
  <c r="U194" i="14"/>
  <c r="V194" i="14"/>
  <c r="X194" i="14"/>
  <c r="N194" i="14"/>
  <c r="N234" i="14" s="1"/>
  <c r="O194" i="14"/>
  <c r="O234" i="14" s="1"/>
  <c r="R194" i="14"/>
  <c r="R234" i="14" s="1"/>
  <c r="W194" i="14"/>
  <c r="Y194" i="14"/>
  <c r="Z194" i="14"/>
  <c r="AA194" i="14"/>
  <c r="AC194" i="14"/>
  <c r="L194" i="14"/>
  <c r="L234" i="14" s="1"/>
  <c r="M194" i="14"/>
  <c r="M234" i="14" s="1"/>
  <c r="AB194" i="14"/>
  <c r="S28" i="14"/>
  <c r="S68" i="14" s="1"/>
  <c r="T28" i="14"/>
  <c r="T68" i="14" s="1"/>
  <c r="U28" i="14"/>
  <c r="U68" i="14" s="1"/>
  <c r="V28" i="14"/>
  <c r="W28" i="14"/>
  <c r="X28" i="14"/>
  <c r="Y28" i="14"/>
  <c r="L28" i="14"/>
  <c r="L68" i="14" s="1"/>
  <c r="Z28" i="14"/>
  <c r="M28" i="14"/>
  <c r="M68" i="14" s="1"/>
  <c r="AA28" i="14"/>
  <c r="N28" i="14"/>
  <c r="N68" i="14" s="1"/>
  <c r="AB28" i="14"/>
  <c r="O28" i="14"/>
  <c r="O68" i="14" s="1"/>
  <c r="AC28" i="14"/>
  <c r="P28" i="14"/>
  <c r="P68" i="14" s="1"/>
  <c r="AD28" i="14"/>
  <c r="Q28" i="14"/>
  <c r="Q68" i="14" s="1"/>
  <c r="AE28" i="14"/>
  <c r="R28" i="14"/>
  <c r="R68" i="14" s="1"/>
  <c r="M364" i="2"/>
  <c r="M393" i="2" s="1"/>
  <c r="O364" i="2"/>
  <c r="O393" i="2" s="1"/>
  <c r="N364" i="2"/>
  <c r="N393" i="2" s="1"/>
  <c r="P364" i="2"/>
  <c r="P393" i="2" s="1"/>
  <c r="L364" i="2"/>
  <c r="L393" i="2" s="1"/>
  <c r="Q364" i="2"/>
  <c r="Q393" i="2" s="1"/>
  <c r="S364" i="2"/>
  <c r="S393" i="2" s="1"/>
  <c r="R364" i="2"/>
  <c r="R393" i="2" s="1"/>
  <c r="V216" i="13"/>
  <c r="V248" i="13" s="1"/>
  <c r="F1065" i="8"/>
  <c r="T212" i="13"/>
  <c r="T234" i="13" s="1"/>
  <c r="F1069" i="8"/>
  <c r="F1061" i="8"/>
  <c r="F1085" i="8"/>
  <c r="F1077" i="8"/>
  <c r="F1081" i="8"/>
  <c r="F1073" i="8"/>
  <c r="F1057" i="8"/>
  <c r="Z182" i="13"/>
  <c r="Y186" i="13"/>
  <c r="W182" i="13"/>
  <c r="Y182" i="13"/>
  <c r="L249" i="13"/>
  <c r="L250" i="13" s="1"/>
  <c r="L186" i="13"/>
  <c r="L216" i="13" s="1"/>
  <c r="L248" i="13" s="1"/>
  <c r="Y47" i="13"/>
  <c r="Y57" i="13" s="1"/>
  <c r="Y67" i="13" s="1"/>
  <c r="AE43" i="13"/>
  <c r="R96" i="13"/>
  <c r="R97" i="13" s="1"/>
  <c r="R43" i="13"/>
  <c r="R73" i="13" s="1"/>
  <c r="R95" i="13" s="1"/>
  <c r="AD47" i="13"/>
  <c r="R110" i="13"/>
  <c r="R111" i="13" s="1"/>
  <c r="R47" i="13"/>
  <c r="R77" i="13" s="1"/>
  <c r="R109" i="13" s="1"/>
  <c r="Q249" i="13"/>
  <c r="Y43" i="13"/>
  <c r="Y53" i="13" s="1"/>
  <c r="Y63" i="13" s="1"/>
  <c r="X43" i="13"/>
  <c r="P249" i="13"/>
  <c r="P250" i="13" s="1"/>
  <c r="M235" i="13"/>
  <c r="M236" i="13" s="1"/>
  <c r="L110" i="13"/>
  <c r="L111" i="13" s="1"/>
  <c r="L47" i="13"/>
  <c r="L77" i="13" s="1"/>
  <c r="L109" i="13" s="1"/>
  <c r="AD43" i="13"/>
  <c r="L96" i="13"/>
  <c r="L97" i="13" s="1"/>
  <c r="L43" i="13"/>
  <c r="L73" i="13" s="1"/>
  <c r="L95" i="13" s="1"/>
  <c r="AC192" i="13"/>
  <c r="AC202" i="13" s="1"/>
  <c r="R235" i="13"/>
  <c r="R236" i="13" s="1"/>
  <c r="R192" i="13"/>
  <c r="R202" i="13" s="1"/>
  <c r="V47" i="13"/>
  <c r="V57" i="13" s="1"/>
  <c r="V67" i="13" s="1"/>
  <c r="U110" i="13"/>
  <c r="U111" i="13" s="1"/>
  <c r="U47" i="13"/>
  <c r="U77" i="13" s="1"/>
  <c r="U109" i="13" s="1"/>
  <c r="AE196" i="13"/>
  <c r="AE206" i="13" s="1"/>
  <c r="M96" i="13"/>
  <c r="M97" i="13" s="1"/>
  <c r="M43" i="13"/>
  <c r="M73" i="13" s="1"/>
  <c r="M95" i="13" s="1"/>
  <c r="AC43" i="13"/>
  <c r="AC53" i="13" s="1"/>
  <c r="AC63" i="13" s="1"/>
  <c r="N235" i="13"/>
  <c r="N236" i="13" s="1"/>
  <c r="N192" i="13"/>
  <c r="N202" i="13" s="1"/>
  <c r="AB192" i="13"/>
  <c r="AB202" i="13" s="1"/>
  <c r="X47" i="13"/>
  <c r="V43" i="13"/>
  <c r="V53" i="13" s="1"/>
  <c r="V63" i="13" s="1"/>
  <c r="T96" i="13"/>
  <c r="T97" i="13" s="1"/>
  <c r="T43" i="13"/>
  <c r="T73" i="13" s="1"/>
  <c r="T95" i="13" s="1"/>
  <c r="O110" i="13"/>
  <c r="O111" i="13" s="1"/>
  <c r="O47" i="13"/>
  <c r="O77" i="13" s="1"/>
  <c r="O109" i="13" s="1"/>
  <c r="S249" i="13"/>
  <c r="Z196" i="13"/>
  <c r="Z206" i="13" s="1"/>
  <c r="U249" i="13"/>
  <c r="AD192" i="13"/>
  <c r="AD202" i="13" s="1"/>
  <c r="N110" i="13"/>
  <c r="N111" i="13" s="1"/>
  <c r="N47" i="13"/>
  <c r="N77" i="13" s="1"/>
  <c r="N109" i="13" s="1"/>
  <c r="N196" i="13"/>
  <c r="N206" i="13" s="1"/>
  <c r="N249" i="13"/>
  <c r="N250" i="13" s="1"/>
  <c r="N96" i="13"/>
  <c r="N97" i="13" s="1"/>
  <c r="N43" i="13"/>
  <c r="N73" i="13" s="1"/>
  <c r="N95" i="13" s="1"/>
  <c r="U192" i="13"/>
  <c r="U202" i="13" s="1"/>
  <c r="S235" i="13"/>
  <c r="AB47" i="13"/>
  <c r="AB57" i="13" s="1"/>
  <c r="AB67" i="13" s="1"/>
  <c r="T110" i="13"/>
  <c r="T111" i="13" s="1"/>
  <c r="T47" i="13"/>
  <c r="T77" i="13" s="1"/>
  <c r="T109" i="13" s="1"/>
  <c r="R249" i="13"/>
  <c r="AB43" i="13"/>
  <c r="AB53" i="13" s="1"/>
  <c r="AB63" i="13" s="1"/>
  <c r="S96" i="13"/>
  <c r="S97" i="13" s="1"/>
  <c r="S43" i="13"/>
  <c r="S73" i="13" s="1"/>
  <c r="S95" i="13" s="1"/>
  <c r="S186" i="13"/>
  <c r="S216" i="13" s="1"/>
  <c r="S248" i="13" s="1"/>
  <c r="M182" i="13"/>
  <c r="M212" i="13" s="1"/>
  <c r="M234" i="13" s="1"/>
  <c r="P186" i="13"/>
  <c r="P216" i="13" s="1"/>
  <c r="P248" i="13" s="1"/>
  <c r="Q235" i="13"/>
  <c r="AC47" i="13"/>
  <c r="AC57" i="13" s="1"/>
  <c r="AC67" i="13" s="1"/>
  <c r="T249" i="13"/>
  <c r="T250" i="13" s="1"/>
  <c r="T196" i="13"/>
  <c r="T206" i="13" s="1"/>
  <c r="U43" i="13"/>
  <c r="M110" i="13"/>
  <c r="M111" i="13" s="1"/>
  <c r="M47" i="13"/>
  <c r="M77" i="13" s="1"/>
  <c r="M109" i="13" s="1"/>
  <c r="S110" i="13"/>
  <c r="S111" i="13" s="1"/>
  <c r="S47" i="13"/>
  <c r="S77" i="13" s="1"/>
  <c r="S109" i="13" s="1"/>
  <c r="V249" i="13"/>
  <c r="V196" i="13"/>
  <c r="V206" i="13" s="1"/>
  <c r="Q182" i="13"/>
  <c r="Q212" i="13" s="1"/>
  <c r="Q234" i="13" s="1"/>
  <c r="S182" i="13"/>
  <c r="S212" i="13" s="1"/>
  <c r="S234" i="13" s="1"/>
  <c r="R186" i="13"/>
  <c r="R216" i="13" s="1"/>
  <c r="R248" i="13" s="1"/>
  <c r="AE192" i="13"/>
  <c r="AE202" i="13" s="1"/>
  <c r="L235" i="13"/>
  <c r="L236" i="13" s="1"/>
  <c r="T192" i="13"/>
  <c r="T202" i="13" s="1"/>
  <c r="T235" i="13"/>
  <c r="AE47" i="13"/>
  <c r="U186" i="13"/>
  <c r="U216" i="13" s="1"/>
  <c r="U248" i="13" s="1"/>
  <c r="V192" i="13"/>
  <c r="V202" i="13" s="1"/>
  <c r="Z47" i="13"/>
  <c r="Z57" i="13" s="1"/>
  <c r="Z67" i="13" s="1"/>
  <c r="AA196" i="13"/>
  <c r="AA206" i="13" s="1"/>
  <c r="AA43" i="13"/>
  <c r="AA53" i="13" s="1"/>
  <c r="AA63" i="13" s="1"/>
  <c r="X186" i="13"/>
  <c r="X196" i="13" s="1"/>
  <c r="X206" i="13" s="1"/>
  <c r="L182" i="13"/>
  <c r="L212" i="13" s="1"/>
  <c r="L234" i="13" s="1"/>
  <c r="Q186" i="13"/>
  <c r="Q216" i="13" s="1"/>
  <c r="Q248" i="13" s="1"/>
  <c r="AA182" i="13"/>
  <c r="X192" i="13"/>
  <c r="X202" i="13" s="1"/>
  <c r="O96" i="13"/>
  <c r="O97" i="13" s="1"/>
  <c r="O43" i="13"/>
  <c r="O73" i="13" s="1"/>
  <c r="O95" i="13" s="1"/>
  <c r="Q389" i="2"/>
  <c r="Q940" i="8" s="1"/>
  <c r="Q941" i="8" s="1"/>
  <c r="P110" i="13"/>
  <c r="P111" i="13" s="1"/>
  <c r="P47" i="13"/>
  <c r="P77" i="13" s="1"/>
  <c r="P109" i="13" s="1"/>
  <c r="P96" i="13"/>
  <c r="P97" i="13" s="1"/>
  <c r="P43" i="13"/>
  <c r="P73" i="13" s="1"/>
  <c r="P95" i="13" s="1"/>
  <c r="W186" i="13"/>
  <c r="W196" i="13" s="1"/>
  <c r="W206" i="13" s="1"/>
  <c r="AB186" i="13"/>
  <c r="AA47" i="13"/>
  <c r="AA57" i="13" s="1"/>
  <c r="AA67" i="13" s="1"/>
  <c r="Q96" i="13"/>
  <c r="Q97" i="13" s="1"/>
  <c r="Q43" i="13"/>
  <c r="Q73" i="13" s="1"/>
  <c r="Q95" i="13" s="1"/>
  <c r="O192" i="13"/>
  <c r="O202" i="13" s="1"/>
  <c r="O235" i="13"/>
  <c r="O236" i="13" s="1"/>
  <c r="Q110" i="13"/>
  <c r="Q111" i="13" s="1"/>
  <c r="Q47" i="13"/>
  <c r="Q77" i="13" s="1"/>
  <c r="Q109" i="13" s="1"/>
  <c r="M196" i="13"/>
  <c r="M206" i="13" s="1"/>
  <c r="M249" i="13"/>
  <c r="M250" i="13" s="1"/>
  <c r="Z43" i="13"/>
  <c r="Z53" i="13" s="1"/>
  <c r="Z63" i="13" s="1"/>
  <c r="P235" i="13"/>
  <c r="P236" i="13" s="1"/>
  <c r="P192" i="13"/>
  <c r="P202" i="13" s="1"/>
  <c r="W47" i="13"/>
  <c r="W57" i="13" s="1"/>
  <c r="W67" i="13" s="1"/>
  <c r="O196" i="13"/>
  <c r="O206" i="13" s="1"/>
  <c r="O249" i="13"/>
  <c r="O250" i="13" s="1"/>
  <c r="AC196" i="13"/>
  <c r="AC206" i="13" s="1"/>
  <c r="W43" i="13"/>
  <c r="W53" i="13" s="1"/>
  <c r="W63" i="13" s="1"/>
  <c r="AD186" i="13"/>
  <c r="S399" i="2"/>
  <c r="S976" i="8" s="1"/>
  <c r="S977" i="8" s="1"/>
  <c r="R374" i="2"/>
  <c r="R900" i="8" s="1"/>
  <c r="R901" i="8" s="1"/>
  <c r="S888" i="8"/>
  <c r="S889" i="8" s="1"/>
  <c r="R892" i="8"/>
  <c r="R893" i="8" s="1"/>
  <c r="R382" i="2"/>
  <c r="Q876" i="8"/>
  <c r="Q877" i="8" s="1"/>
  <c r="S856" i="8"/>
  <c r="S857" i="8" s="1"/>
  <c r="L315" i="2"/>
  <c r="L25" i="13" s="1"/>
  <c r="U315" i="2"/>
  <c r="U25" i="13" s="1"/>
  <c r="X315" i="2"/>
  <c r="X25" i="13" s="1"/>
  <c r="R315" i="2"/>
  <c r="R25" i="13" s="1"/>
  <c r="T315" i="2"/>
  <c r="T25" i="13" s="1"/>
  <c r="S315" i="2"/>
  <c r="S25" i="13" s="1"/>
  <c r="AC315" i="2"/>
  <c r="AC25" i="13" s="1"/>
  <c r="Y315" i="2"/>
  <c r="Y25" i="13" s="1"/>
  <c r="O315" i="2"/>
  <c r="O25" i="13" s="1"/>
  <c r="V315" i="2"/>
  <c r="V25" i="13" s="1"/>
  <c r="AA315" i="2"/>
  <c r="AA25" i="13" s="1"/>
  <c r="AD315" i="2"/>
  <c r="AD25" i="13" s="1"/>
  <c r="AE315" i="2"/>
  <c r="AE25" i="13" s="1"/>
  <c r="M315" i="2"/>
  <c r="M25" i="13" s="1"/>
  <c r="Q315" i="2"/>
  <c r="Q25" i="13" s="1"/>
  <c r="W315" i="2"/>
  <c r="W25" i="13" s="1"/>
  <c r="P315" i="2"/>
  <c r="P25" i="13" s="1"/>
  <c r="Z315" i="2"/>
  <c r="Z25" i="13" s="1"/>
  <c r="AB315" i="2"/>
  <c r="AB25" i="13" s="1"/>
  <c r="N315" i="2"/>
  <c r="N25" i="13" s="1"/>
  <c r="L310" i="2"/>
  <c r="L20" i="13" s="1"/>
  <c r="X310" i="2"/>
  <c r="X20" i="13" s="1"/>
  <c r="T310" i="2"/>
  <c r="T20" i="13" s="1"/>
  <c r="U310" i="2"/>
  <c r="U20" i="13" s="1"/>
  <c r="R310" i="2"/>
  <c r="R20" i="13" s="1"/>
  <c r="AC310" i="2"/>
  <c r="AC20" i="13" s="1"/>
  <c r="S310" i="2"/>
  <c r="S20" i="13" s="1"/>
  <c r="AB310" i="2"/>
  <c r="AB20" i="13" s="1"/>
  <c r="N310" i="2"/>
  <c r="N20" i="13" s="1"/>
  <c r="O310" i="2"/>
  <c r="O20" i="13" s="1"/>
  <c r="M310" i="2"/>
  <c r="M20" i="13" s="1"/>
  <c r="V310" i="2"/>
  <c r="V20" i="13" s="1"/>
  <c r="AD310" i="2"/>
  <c r="AD20" i="13" s="1"/>
  <c r="Z310" i="2"/>
  <c r="Z20" i="13" s="1"/>
  <c r="AE310" i="2"/>
  <c r="AE20" i="13" s="1"/>
  <c r="Y310" i="2"/>
  <c r="Y20" i="13" s="1"/>
  <c r="Q310" i="2"/>
  <c r="Q20" i="13" s="1"/>
  <c r="AA310" i="2"/>
  <c r="AA20" i="13" s="1"/>
  <c r="W310" i="2"/>
  <c r="W20" i="13" s="1"/>
  <c r="P310" i="2"/>
  <c r="P20" i="13" s="1"/>
  <c r="L311" i="2"/>
  <c r="L21" i="13" s="1"/>
  <c r="S311" i="2"/>
  <c r="S21" i="13" s="1"/>
  <c r="X311" i="2"/>
  <c r="X21" i="13" s="1"/>
  <c r="R311" i="2"/>
  <c r="R21" i="13" s="1"/>
  <c r="AC311" i="2"/>
  <c r="AC21" i="13" s="1"/>
  <c r="T311" i="2"/>
  <c r="T21" i="13" s="1"/>
  <c r="U311" i="2"/>
  <c r="U21" i="13" s="1"/>
  <c r="AA311" i="2"/>
  <c r="AA21" i="13" s="1"/>
  <c r="V311" i="2"/>
  <c r="V21" i="13" s="1"/>
  <c r="AD311" i="2"/>
  <c r="AD21" i="13" s="1"/>
  <c r="AE311" i="2"/>
  <c r="AE21" i="13" s="1"/>
  <c r="W311" i="2"/>
  <c r="W21" i="13" s="1"/>
  <c r="O311" i="2"/>
  <c r="O21" i="13" s="1"/>
  <c r="Q311" i="2"/>
  <c r="Q21" i="13" s="1"/>
  <c r="Y311" i="2"/>
  <c r="Y21" i="13" s="1"/>
  <c r="P311" i="2"/>
  <c r="P21" i="13" s="1"/>
  <c r="M311" i="2"/>
  <c r="M21" i="13" s="1"/>
  <c r="Z311" i="2"/>
  <c r="Z21" i="13" s="1"/>
  <c r="AB311" i="2"/>
  <c r="AB21" i="13" s="1"/>
  <c r="N311" i="2"/>
  <c r="N21" i="13" s="1"/>
  <c r="R395" i="2"/>
  <c r="R960" i="8" s="1"/>
  <c r="R961" i="8" s="1"/>
  <c r="AB710" i="2"/>
  <c r="AB160" i="13" s="1"/>
  <c r="Q710" i="2"/>
  <c r="Q160" i="13" s="1"/>
  <c r="R710" i="2"/>
  <c r="R160" i="13" s="1"/>
  <c r="S710" i="2"/>
  <c r="S160" i="13" s="1"/>
  <c r="T710" i="2"/>
  <c r="T160" i="13" s="1"/>
  <c r="AE710" i="2"/>
  <c r="AE160" i="13" s="1"/>
  <c r="W710" i="2"/>
  <c r="W160" i="13" s="1"/>
  <c r="X710" i="2"/>
  <c r="X160" i="13" s="1"/>
  <c r="O710" i="2"/>
  <c r="O160" i="13" s="1"/>
  <c r="U710" i="2"/>
  <c r="U160" i="13" s="1"/>
  <c r="L710" i="2"/>
  <c r="L160" i="13" s="1"/>
  <c r="AC710" i="2"/>
  <c r="AC160" i="13" s="1"/>
  <c r="Z710" i="2"/>
  <c r="Z160" i="13" s="1"/>
  <c r="P710" i="2"/>
  <c r="P160" i="13" s="1"/>
  <c r="AD710" i="2"/>
  <c r="AD160" i="13" s="1"/>
  <c r="AA710" i="2"/>
  <c r="AA160" i="13" s="1"/>
  <c r="M710" i="2"/>
  <c r="M160" i="13" s="1"/>
  <c r="N710" i="2"/>
  <c r="N160" i="13" s="1"/>
  <c r="Y710" i="2"/>
  <c r="Y160" i="13" s="1"/>
  <c r="V710" i="2"/>
  <c r="V160" i="13" s="1"/>
  <c r="R314" i="2"/>
  <c r="R24" i="13" s="1"/>
  <c r="AC314" i="2"/>
  <c r="AC24" i="13" s="1"/>
  <c r="U314" i="2"/>
  <c r="U24" i="13" s="1"/>
  <c r="S314" i="2"/>
  <c r="S24" i="13" s="1"/>
  <c r="L314" i="2"/>
  <c r="L24" i="13" s="1"/>
  <c r="X314" i="2"/>
  <c r="X24" i="13" s="1"/>
  <c r="T314" i="2"/>
  <c r="T24" i="13" s="1"/>
  <c r="AA314" i="2"/>
  <c r="AA24" i="13" s="1"/>
  <c r="P314" i="2"/>
  <c r="P24" i="13" s="1"/>
  <c r="Z314" i="2"/>
  <c r="Z24" i="13" s="1"/>
  <c r="AB314" i="2"/>
  <c r="AB24" i="13" s="1"/>
  <c r="N314" i="2"/>
  <c r="N24" i="13" s="1"/>
  <c r="O314" i="2"/>
  <c r="O24" i="13" s="1"/>
  <c r="M314" i="2"/>
  <c r="M24" i="13" s="1"/>
  <c r="AD314" i="2"/>
  <c r="AD24" i="13" s="1"/>
  <c r="V314" i="2"/>
  <c r="V24" i="13" s="1"/>
  <c r="Y314" i="2"/>
  <c r="Y24" i="13" s="1"/>
  <c r="AE314" i="2"/>
  <c r="AE24" i="13" s="1"/>
  <c r="Q314" i="2"/>
  <c r="Q24" i="13" s="1"/>
  <c r="W314" i="2"/>
  <c r="W24" i="13" s="1"/>
  <c r="R312" i="2"/>
  <c r="R22" i="13" s="1"/>
  <c r="L312" i="2"/>
  <c r="L22" i="13" s="1"/>
  <c r="T312" i="2"/>
  <c r="T22" i="13" s="1"/>
  <c r="S312" i="2"/>
  <c r="S22" i="13" s="1"/>
  <c r="AC312" i="2"/>
  <c r="AC22" i="13" s="1"/>
  <c r="X312" i="2"/>
  <c r="X22" i="13" s="1"/>
  <c r="P312" i="2"/>
  <c r="P22" i="13" s="1"/>
  <c r="AE312" i="2"/>
  <c r="AE22" i="13" s="1"/>
  <c r="Q312" i="2"/>
  <c r="Q22" i="13" s="1"/>
  <c r="Y312" i="2"/>
  <c r="Y22" i="13" s="1"/>
  <c r="W312" i="2"/>
  <c r="W22" i="13" s="1"/>
  <c r="AD312" i="2"/>
  <c r="AD22" i="13" s="1"/>
  <c r="Z312" i="2"/>
  <c r="Z22" i="13" s="1"/>
  <c r="AA312" i="2"/>
  <c r="AA22" i="13" s="1"/>
  <c r="AB312" i="2"/>
  <c r="AB22" i="13" s="1"/>
  <c r="N312" i="2"/>
  <c r="N22" i="13" s="1"/>
  <c r="U312" i="2"/>
  <c r="U22" i="13" s="1"/>
  <c r="V312" i="2"/>
  <c r="V22" i="13" s="1"/>
  <c r="O312" i="2"/>
  <c r="O22" i="13" s="1"/>
  <c r="M312" i="2"/>
  <c r="M22" i="13" s="1"/>
  <c r="S864" i="8"/>
  <c r="S865" i="8" s="1"/>
  <c r="W713" i="2"/>
  <c r="W163" i="13" s="1"/>
  <c r="AE713" i="2"/>
  <c r="AE163" i="13" s="1"/>
  <c r="R713" i="2"/>
  <c r="R163" i="13" s="1"/>
  <c r="Q713" i="2"/>
  <c r="Q163" i="13" s="1"/>
  <c r="S713" i="2"/>
  <c r="S163" i="13" s="1"/>
  <c r="AB713" i="2"/>
  <c r="AB163" i="13" s="1"/>
  <c r="T713" i="2"/>
  <c r="T163" i="13" s="1"/>
  <c r="AA713" i="2"/>
  <c r="AA163" i="13" s="1"/>
  <c r="M713" i="2"/>
  <c r="M163" i="13" s="1"/>
  <c r="V713" i="2"/>
  <c r="V163" i="13" s="1"/>
  <c r="P713" i="2"/>
  <c r="P163" i="13" s="1"/>
  <c r="L713" i="2"/>
  <c r="L163" i="13" s="1"/>
  <c r="X713" i="2"/>
  <c r="X163" i="13" s="1"/>
  <c r="O713" i="2"/>
  <c r="O163" i="13" s="1"/>
  <c r="N713" i="2"/>
  <c r="N163" i="13" s="1"/>
  <c r="U713" i="2"/>
  <c r="U163" i="13" s="1"/>
  <c r="AC713" i="2"/>
  <c r="AC163" i="13" s="1"/>
  <c r="Y713" i="2"/>
  <c r="Y163" i="13" s="1"/>
  <c r="AD713" i="2"/>
  <c r="AD163" i="13" s="1"/>
  <c r="Z713" i="2"/>
  <c r="Z163" i="13" s="1"/>
  <c r="S714" i="2"/>
  <c r="S164" i="13" s="1"/>
  <c r="Q714" i="2"/>
  <c r="Q164" i="13" s="1"/>
  <c r="R714" i="2"/>
  <c r="R164" i="13" s="1"/>
  <c r="AB714" i="2"/>
  <c r="AB164" i="13" s="1"/>
  <c r="AE714" i="2"/>
  <c r="AE164" i="13" s="1"/>
  <c r="W714" i="2"/>
  <c r="W164" i="13" s="1"/>
  <c r="T714" i="2"/>
  <c r="T164" i="13" s="1"/>
  <c r="Y714" i="2"/>
  <c r="Y164" i="13" s="1"/>
  <c r="Z714" i="2"/>
  <c r="Z164" i="13" s="1"/>
  <c r="P714" i="2"/>
  <c r="P164" i="13" s="1"/>
  <c r="X714" i="2"/>
  <c r="X164" i="13" s="1"/>
  <c r="O714" i="2"/>
  <c r="O164" i="13" s="1"/>
  <c r="U714" i="2"/>
  <c r="U164" i="13" s="1"/>
  <c r="AC714" i="2"/>
  <c r="AC164" i="13" s="1"/>
  <c r="AD714" i="2"/>
  <c r="AD164" i="13" s="1"/>
  <c r="V714" i="2"/>
  <c r="V164" i="13" s="1"/>
  <c r="N714" i="2"/>
  <c r="N164" i="13" s="1"/>
  <c r="AA714" i="2"/>
  <c r="AA164" i="13" s="1"/>
  <c r="L714" i="2"/>
  <c r="L164" i="13" s="1"/>
  <c r="M714" i="2"/>
  <c r="M164" i="13" s="1"/>
  <c r="AB715" i="2"/>
  <c r="AB165" i="13" s="1"/>
  <c r="AE715" i="2"/>
  <c r="AE165" i="13" s="1"/>
  <c r="W715" i="2"/>
  <c r="W165" i="13" s="1"/>
  <c r="Q715" i="2"/>
  <c r="Q165" i="13" s="1"/>
  <c r="S715" i="2"/>
  <c r="S165" i="13" s="1"/>
  <c r="R715" i="2"/>
  <c r="R165" i="13" s="1"/>
  <c r="P715" i="2"/>
  <c r="P165" i="13" s="1"/>
  <c r="X715" i="2"/>
  <c r="X165" i="13" s="1"/>
  <c r="U715" i="2"/>
  <c r="U165" i="13" s="1"/>
  <c r="L715" i="2"/>
  <c r="L165" i="13" s="1"/>
  <c r="N715" i="2"/>
  <c r="N165" i="13" s="1"/>
  <c r="AD715" i="2"/>
  <c r="AD165" i="13" s="1"/>
  <c r="Z715" i="2"/>
  <c r="Z165" i="13" s="1"/>
  <c r="AA715" i="2"/>
  <c r="AA165" i="13" s="1"/>
  <c r="O715" i="2"/>
  <c r="O165" i="13" s="1"/>
  <c r="M715" i="2"/>
  <c r="M165" i="13" s="1"/>
  <c r="Y715" i="2"/>
  <c r="Y165" i="13" s="1"/>
  <c r="AC715" i="2"/>
  <c r="AC165" i="13" s="1"/>
  <c r="V715" i="2"/>
  <c r="V165" i="13" s="1"/>
  <c r="T715" i="2"/>
  <c r="T165" i="13" s="1"/>
  <c r="T258" i="2"/>
  <c r="W709" i="2"/>
  <c r="W159" i="13" s="1"/>
  <c r="S709" i="2"/>
  <c r="S159" i="13" s="1"/>
  <c r="Q709" i="2"/>
  <c r="Q159" i="13" s="1"/>
  <c r="AB709" i="2"/>
  <c r="AB159" i="13" s="1"/>
  <c r="T709" i="2"/>
  <c r="T159" i="13" s="1"/>
  <c r="R709" i="2"/>
  <c r="R159" i="13" s="1"/>
  <c r="AE709" i="2"/>
  <c r="AE159" i="13" s="1"/>
  <c r="V709" i="2"/>
  <c r="V159" i="13" s="1"/>
  <c r="U709" i="2"/>
  <c r="U159" i="13" s="1"/>
  <c r="AA709" i="2"/>
  <c r="AA159" i="13" s="1"/>
  <c r="M709" i="2"/>
  <c r="M159" i="13" s="1"/>
  <c r="P709" i="2"/>
  <c r="P159" i="13" s="1"/>
  <c r="L709" i="2"/>
  <c r="L159" i="13" s="1"/>
  <c r="X709" i="2"/>
  <c r="X159" i="13" s="1"/>
  <c r="O709" i="2"/>
  <c r="O159" i="13" s="1"/>
  <c r="N709" i="2"/>
  <c r="N159" i="13" s="1"/>
  <c r="Y709" i="2"/>
  <c r="Y159" i="13" s="1"/>
  <c r="AD709" i="2"/>
  <c r="AD159" i="13" s="1"/>
  <c r="AC709" i="2"/>
  <c r="AC159" i="13" s="1"/>
  <c r="Z709" i="2"/>
  <c r="Z159" i="13" s="1"/>
  <c r="T393" i="2"/>
  <c r="S711" i="2"/>
  <c r="S161" i="13" s="1"/>
  <c r="R711" i="2"/>
  <c r="R161" i="13" s="1"/>
  <c r="Q711" i="2"/>
  <c r="Q161" i="13" s="1"/>
  <c r="W711" i="2"/>
  <c r="W161" i="13" s="1"/>
  <c r="AB711" i="2"/>
  <c r="AB161" i="13" s="1"/>
  <c r="T711" i="2"/>
  <c r="T161" i="13" s="1"/>
  <c r="P711" i="2"/>
  <c r="P161" i="13" s="1"/>
  <c r="N711" i="2"/>
  <c r="N161" i="13" s="1"/>
  <c r="U711" i="2"/>
  <c r="U161" i="13" s="1"/>
  <c r="L711" i="2"/>
  <c r="L161" i="13" s="1"/>
  <c r="O711" i="2"/>
  <c r="O161" i="13" s="1"/>
  <c r="AA711" i="2"/>
  <c r="AA161" i="13" s="1"/>
  <c r="M711" i="2"/>
  <c r="M161" i="13" s="1"/>
  <c r="AD711" i="2"/>
  <c r="AD161" i="13" s="1"/>
  <c r="AC711" i="2"/>
  <c r="AC161" i="13" s="1"/>
  <c r="Z711" i="2"/>
  <c r="Z161" i="13" s="1"/>
  <c r="V711" i="2"/>
  <c r="V161" i="13" s="1"/>
  <c r="Y711" i="2"/>
  <c r="Y161" i="13" s="1"/>
  <c r="X711" i="2"/>
  <c r="X161" i="13" s="1"/>
  <c r="AE711" i="2"/>
  <c r="AE161" i="13" s="1"/>
  <c r="T259" i="2"/>
  <c r="X316" i="2"/>
  <c r="X26" i="13" s="1"/>
  <c r="R316" i="2"/>
  <c r="R26" i="13" s="1"/>
  <c r="T316" i="2"/>
  <c r="T26" i="13" s="1"/>
  <c r="U316" i="2"/>
  <c r="U26" i="13" s="1"/>
  <c r="AC316" i="2"/>
  <c r="AC26" i="13" s="1"/>
  <c r="L316" i="2"/>
  <c r="L26" i="13" s="1"/>
  <c r="M316" i="2"/>
  <c r="M26" i="13" s="1"/>
  <c r="AE316" i="2"/>
  <c r="AE26" i="13" s="1"/>
  <c r="AB316" i="2"/>
  <c r="AB26" i="13" s="1"/>
  <c r="N316" i="2"/>
  <c r="N26" i="13" s="1"/>
  <c r="Q316" i="2"/>
  <c r="Q26" i="13" s="1"/>
  <c r="Y316" i="2"/>
  <c r="Y26" i="13" s="1"/>
  <c r="AD316" i="2"/>
  <c r="AD26" i="13" s="1"/>
  <c r="W316" i="2"/>
  <c r="W26" i="13" s="1"/>
  <c r="S316" i="2"/>
  <c r="S26" i="13" s="1"/>
  <c r="AA316" i="2"/>
  <c r="AA26" i="13" s="1"/>
  <c r="Z316" i="2"/>
  <c r="Z26" i="13" s="1"/>
  <c r="P316" i="2"/>
  <c r="P26" i="13" s="1"/>
  <c r="O316" i="2"/>
  <c r="O26" i="13" s="1"/>
  <c r="V316" i="2"/>
  <c r="V26" i="13" s="1"/>
  <c r="L398" i="2"/>
  <c r="R360" i="2"/>
  <c r="T354" i="2"/>
  <c r="T836" i="8" s="1"/>
  <c r="T837" i="8" s="1"/>
  <c r="V357" i="2"/>
  <c r="V848" i="8" s="1"/>
  <c r="V849" i="8" s="1"/>
  <c r="S358" i="2"/>
  <c r="S356" i="2"/>
  <c r="S844" i="8" s="1"/>
  <c r="S845" i="8" s="1"/>
  <c r="U353" i="2"/>
  <c r="T359" i="2"/>
  <c r="P920" i="8"/>
  <c r="P921" i="8" s="1"/>
  <c r="S355" i="2"/>
  <c r="L920" i="8"/>
  <c r="L921" i="8" s="1"/>
  <c r="T352" i="2"/>
  <c r="Q860" i="8"/>
  <c r="Q861" i="8" s="1"/>
  <c r="R389" i="2"/>
  <c r="R940" i="8" s="1"/>
  <c r="R941" i="8" s="1"/>
  <c r="F504" i="8"/>
  <c r="M327" i="2"/>
  <c r="M752" i="8" s="1"/>
  <c r="M753" i="8" s="1"/>
  <c r="M720" i="8"/>
  <c r="M721" i="8" s="1"/>
  <c r="M876" i="8"/>
  <c r="M877" i="8" s="1"/>
  <c r="M389" i="2"/>
  <c r="M940" i="8" s="1"/>
  <c r="M941" i="8" s="1"/>
  <c r="S722" i="2"/>
  <c r="S1132" i="8" s="1"/>
  <c r="S1133" i="8" s="1"/>
  <c r="S1100" i="8"/>
  <c r="S1101" i="8" s="1"/>
  <c r="F568" i="8"/>
  <c r="O876" i="8"/>
  <c r="O877" i="8" s="1"/>
  <c r="O389" i="2"/>
  <c r="O940" i="8" s="1"/>
  <c r="O941" i="8" s="1"/>
  <c r="V1100" i="8"/>
  <c r="V1101" i="8" s="1"/>
  <c r="V722" i="2"/>
  <c r="V1132" i="8" s="1"/>
  <c r="V1133" i="8" s="1"/>
  <c r="AB722" i="2"/>
  <c r="AB1132" i="8" s="1"/>
  <c r="AB1133" i="8" s="1"/>
  <c r="AB1100" i="8"/>
  <c r="AB1101" i="8" s="1"/>
  <c r="Q327" i="2"/>
  <c r="Q752" i="8" s="1"/>
  <c r="Q753" i="8" s="1"/>
  <c r="Q720" i="8"/>
  <c r="Q721" i="8" s="1"/>
  <c r="M387" i="2"/>
  <c r="M932" i="8" s="1"/>
  <c r="M933" i="8" s="1"/>
  <c r="M892" i="8"/>
  <c r="M893" i="8" s="1"/>
  <c r="F460" i="8"/>
  <c r="F572" i="8"/>
  <c r="F560" i="8"/>
  <c r="S704" i="8"/>
  <c r="S705" i="8" s="1"/>
  <c r="S323" i="2"/>
  <c r="S736" i="8" s="1"/>
  <c r="S737" i="8" s="1"/>
  <c r="AA1116" i="8"/>
  <c r="AA1117" i="8" s="1"/>
  <c r="AA726" i="2"/>
  <c r="AA1148" i="8" s="1"/>
  <c r="AA1149" i="8" s="1"/>
  <c r="Z1116" i="8"/>
  <c r="Z1117" i="8" s="1"/>
  <c r="Z726" i="2"/>
  <c r="Z1148" i="8" s="1"/>
  <c r="Z1149" i="8" s="1"/>
  <c r="N327" i="2"/>
  <c r="N752" i="8" s="1"/>
  <c r="N753" i="8" s="1"/>
  <c r="N720" i="8"/>
  <c r="N721" i="8" s="1"/>
  <c r="T722" i="2"/>
  <c r="T1132" i="8" s="1"/>
  <c r="T1133" i="8" s="1"/>
  <c r="T1100" i="8"/>
  <c r="T1101" i="8" s="1"/>
  <c r="N892" i="8"/>
  <c r="N893" i="8" s="1"/>
  <c r="N387" i="2"/>
  <c r="N932" i="8" s="1"/>
  <c r="N933" i="8" s="1"/>
  <c r="F456" i="8"/>
  <c r="V704" i="8"/>
  <c r="V705" i="8" s="1"/>
  <c r="V323" i="2"/>
  <c r="V736" i="8" s="1"/>
  <c r="V737" i="8" s="1"/>
  <c r="W1100" i="8"/>
  <c r="W1101" i="8" s="1"/>
  <c r="W722" i="2"/>
  <c r="W1132" i="8" s="1"/>
  <c r="W1133" i="8" s="1"/>
  <c r="AB720" i="8"/>
  <c r="AB721" i="8" s="1"/>
  <c r="AB327" i="2"/>
  <c r="AB752" i="8" s="1"/>
  <c r="AB753" i="8" s="1"/>
  <c r="Z327" i="2"/>
  <c r="Z752" i="8" s="1"/>
  <c r="Z753" i="8" s="1"/>
  <c r="Z720" i="8"/>
  <c r="Z721" i="8" s="1"/>
  <c r="F472" i="8"/>
  <c r="L704" i="8"/>
  <c r="L705" i="8" s="1"/>
  <c r="L323" i="2"/>
  <c r="L736" i="8" s="1"/>
  <c r="L737" i="8" s="1"/>
  <c r="S748" i="2"/>
  <c r="S1220" i="8" s="1"/>
  <c r="S1221" i="8" s="1"/>
  <c r="AE1100" i="8"/>
  <c r="AE1101" i="8" s="1"/>
  <c r="AE722" i="2"/>
  <c r="AE1132" i="8" s="1"/>
  <c r="AE1133" i="8" s="1"/>
  <c r="U722" i="2"/>
  <c r="U1132" i="8" s="1"/>
  <c r="U1133" i="8" s="1"/>
  <c r="U1100" i="8"/>
  <c r="U1101" i="8" s="1"/>
  <c r="P892" i="8"/>
  <c r="P893" i="8" s="1"/>
  <c r="P387" i="2"/>
  <c r="P932" i="8" s="1"/>
  <c r="P933" i="8" s="1"/>
  <c r="Y327" i="2"/>
  <c r="Y752" i="8" s="1"/>
  <c r="Y753" i="8" s="1"/>
  <c r="Y720" i="8"/>
  <c r="Y721" i="8" s="1"/>
  <c r="F488" i="8"/>
  <c r="F532" i="8"/>
  <c r="F564" i="8"/>
  <c r="N704" i="8"/>
  <c r="N705" i="8" s="1"/>
  <c r="N323" i="2"/>
  <c r="N736" i="8" s="1"/>
  <c r="N737" i="8" s="1"/>
  <c r="S1116" i="8"/>
  <c r="S1117" i="8" s="1"/>
  <c r="S726" i="2"/>
  <c r="S1148" i="8" s="1"/>
  <c r="S1149" i="8" s="1"/>
  <c r="Y1116" i="8"/>
  <c r="Y1117" i="8" s="1"/>
  <c r="Y726" i="2"/>
  <c r="Y1148" i="8" s="1"/>
  <c r="Y1149" i="8" s="1"/>
  <c r="R720" i="8"/>
  <c r="R721" i="8" s="1"/>
  <c r="R327" i="2"/>
  <c r="R752" i="8" s="1"/>
  <c r="R753" i="8" s="1"/>
  <c r="Y1100" i="8"/>
  <c r="Y1101" i="8" s="1"/>
  <c r="Y722" i="2"/>
  <c r="Y1132" i="8" s="1"/>
  <c r="Y1133" i="8" s="1"/>
  <c r="F508" i="8"/>
  <c r="N876" i="8"/>
  <c r="N877" i="8" s="1"/>
  <c r="N389" i="2"/>
  <c r="N940" i="8" s="1"/>
  <c r="N941" i="8" s="1"/>
  <c r="X1116" i="8"/>
  <c r="X1117" i="8" s="1"/>
  <c r="X726" i="2"/>
  <c r="X1148" i="8" s="1"/>
  <c r="X1149" i="8" s="1"/>
  <c r="L876" i="8"/>
  <c r="L877" i="8" s="1"/>
  <c r="L389" i="2"/>
  <c r="L940" i="8" s="1"/>
  <c r="L941" i="8" s="1"/>
  <c r="O387" i="2"/>
  <c r="O932" i="8" s="1"/>
  <c r="O933" i="8" s="1"/>
  <c r="O892" i="8"/>
  <c r="O893" i="8" s="1"/>
  <c r="AD1116" i="8"/>
  <c r="AD1117" i="8" s="1"/>
  <c r="AD726" i="2"/>
  <c r="AD1148" i="8" s="1"/>
  <c r="AD1149" i="8" s="1"/>
  <c r="F520" i="8"/>
  <c r="Q1100" i="8"/>
  <c r="Q1101" i="8" s="1"/>
  <c r="Q722" i="2"/>
  <c r="Q1132" i="8" s="1"/>
  <c r="Q1133" i="8" s="1"/>
  <c r="O720" i="8"/>
  <c r="O721" i="8" s="1"/>
  <c r="O327" i="2"/>
  <c r="O752" i="8" s="1"/>
  <c r="O753" i="8" s="1"/>
  <c r="T720" i="8"/>
  <c r="T721" i="8" s="1"/>
  <c r="T327" i="2"/>
  <c r="T752" i="8" s="1"/>
  <c r="T753" i="8" s="1"/>
  <c r="F480" i="8"/>
  <c r="F528" i="8"/>
  <c r="F552" i="8"/>
  <c r="F492" i="8"/>
  <c r="P323" i="2"/>
  <c r="P736" i="8" s="1"/>
  <c r="P737" i="8" s="1"/>
  <c r="P704" i="8"/>
  <c r="P705" i="8" s="1"/>
  <c r="R323" i="2"/>
  <c r="R736" i="8" s="1"/>
  <c r="R737" i="8" s="1"/>
  <c r="R704" i="8"/>
  <c r="R705" i="8" s="1"/>
  <c r="O726" i="2"/>
  <c r="O1148" i="8" s="1"/>
  <c r="O1149" i="8" s="1"/>
  <c r="O1116" i="8"/>
  <c r="O1117" i="8" s="1"/>
  <c r="X1100" i="8"/>
  <c r="X1101" i="8" s="1"/>
  <c r="X722" i="2"/>
  <c r="X1132" i="8" s="1"/>
  <c r="X1133" i="8" s="1"/>
  <c r="W1116" i="8"/>
  <c r="W1117" i="8" s="1"/>
  <c r="W726" i="2"/>
  <c r="W1148" i="8" s="1"/>
  <c r="W1149" i="8" s="1"/>
  <c r="O1100" i="8"/>
  <c r="O1101" i="8" s="1"/>
  <c r="O722" i="2"/>
  <c r="O1132" i="8" s="1"/>
  <c r="O1133" i="8" s="1"/>
  <c r="R1100" i="8"/>
  <c r="R1101" i="8" s="1"/>
  <c r="R722" i="2"/>
  <c r="R1132" i="8" s="1"/>
  <c r="R1133" i="8" s="1"/>
  <c r="AE720" i="8"/>
  <c r="AE721" i="8" s="1"/>
  <c r="AE327" i="2"/>
  <c r="AE752" i="8" s="1"/>
  <c r="AE753" i="8" s="1"/>
  <c r="F468" i="8"/>
  <c r="F556" i="8"/>
  <c r="Z722" i="2"/>
  <c r="Z1132" i="8" s="1"/>
  <c r="Z1133" i="8" s="1"/>
  <c r="Z1100" i="8"/>
  <c r="Z1101" i="8" s="1"/>
  <c r="P722" i="2"/>
  <c r="P1132" i="8" s="1"/>
  <c r="P1133" i="8" s="1"/>
  <c r="P1100" i="8"/>
  <c r="P1101" i="8" s="1"/>
  <c r="AA327" i="2"/>
  <c r="AA752" i="8" s="1"/>
  <c r="AA753" i="8" s="1"/>
  <c r="AA720" i="8"/>
  <c r="AA721" i="8" s="1"/>
  <c r="AC720" i="8"/>
  <c r="AC721" i="8" s="1"/>
  <c r="AC327" i="2"/>
  <c r="AC752" i="8" s="1"/>
  <c r="AC753" i="8" s="1"/>
  <c r="F548" i="8"/>
  <c r="T323" i="2"/>
  <c r="T736" i="8" s="1"/>
  <c r="T737" i="8" s="1"/>
  <c r="T704" i="8"/>
  <c r="T705" i="8" s="1"/>
  <c r="AB704" i="8"/>
  <c r="AB705" i="8" s="1"/>
  <c r="AB323" i="2"/>
  <c r="AB736" i="8" s="1"/>
  <c r="AB737" i="8" s="1"/>
  <c r="U1116" i="8"/>
  <c r="U1117" i="8" s="1"/>
  <c r="U726" i="2"/>
  <c r="U1148" i="8" s="1"/>
  <c r="U1149" i="8" s="1"/>
  <c r="L720" i="8"/>
  <c r="L721" i="8" s="1"/>
  <c r="L327" i="2"/>
  <c r="L752" i="8" s="1"/>
  <c r="L753" i="8" s="1"/>
  <c r="F544" i="8"/>
  <c r="P720" i="8"/>
  <c r="P721" i="8" s="1"/>
  <c r="P327" i="2"/>
  <c r="P752" i="8" s="1"/>
  <c r="P753" i="8" s="1"/>
  <c r="F524" i="8"/>
  <c r="AC1100" i="8"/>
  <c r="AC1101" i="8" s="1"/>
  <c r="AC722" i="2"/>
  <c r="AC1132" i="8" s="1"/>
  <c r="AC1133" i="8" s="1"/>
  <c r="L1100" i="8"/>
  <c r="L1101" i="8" s="1"/>
  <c r="L722" i="2"/>
  <c r="L1132" i="8" s="1"/>
  <c r="L1133" i="8" s="1"/>
  <c r="AD720" i="8"/>
  <c r="AD721" i="8" s="1"/>
  <c r="AD327" i="2"/>
  <c r="AD752" i="8" s="1"/>
  <c r="AD753" i="8" s="1"/>
  <c r="S720" i="8"/>
  <c r="S721" i="8" s="1"/>
  <c r="S327" i="2"/>
  <c r="S752" i="8" s="1"/>
  <c r="S753" i="8" s="1"/>
  <c r="F540" i="8"/>
  <c r="O704" i="8"/>
  <c r="O705" i="8" s="1"/>
  <c r="O323" i="2"/>
  <c r="O736" i="8" s="1"/>
  <c r="O737" i="8" s="1"/>
  <c r="AE704" i="8"/>
  <c r="AE705" i="8" s="1"/>
  <c r="AE323" i="2"/>
  <c r="AE736" i="8" s="1"/>
  <c r="AE737" i="8" s="1"/>
  <c r="R1116" i="8"/>
  <c r="R1117" i="8" s="1"/>
  <c r="R726" i="2"/>
  <c r="R1148" i="8" s="1"/>
  <c r="R1149" i="8" s="1"/>
  <c r="AC1116" i="8"/>
  <c r="AC1117" i="8" s="1"/>
  <c r="AC726" i="2"/>
  <c r="AC1148" i="8" s="1"/>
  <c r="AC1149" i="8" s="1"/>
  <c r="M323" i="2"/>
  <c r="M736" i="8" s="1"/>
  <c r="M737" i="8" s="1"/>
  <c r="M704" i="8"/>
  <c r="M705" i="8" s="1"/>
  <c r="M722" i="2"/>
  <c r="M1132" i="8" s="1"/>
  <c r="M1133" i="8" s="1"/>
  <c r="M1100" i="8"/>
  <c r="M1101" i="8" s="1"/>
  <c r="F440" i="8"/>
  <c r="X327" i="2"/>
  <c r="X752" i="8" s="1"/>
  <c r="X753" i="8" s="1"/>
  <c r="X720" i="8"/>
  <c r="X721" i="8" s="1"/>
  <c r="Q892" i="8"/>
  <c r="Q893" i="8" s="1"/>
  <c r="Q387" i="2"/>
  <c r="Q932" i="8" s="1"/>
  <c r="Q933" i="8" s="1"/>
  <c r="F516" i="8"/>
  <c r="F576" i="8"/>
  <c r="U704" i="8"/>
  <c r="U705" i="8" s="1"/>
  <c r="U323" i="2"/>
  <c r="U736" i="8" s="1"/>
  <c r="U737" i="8" s="1"/>
  <c r="AA704" i="8"/>
  <c r="AA705" i="8" s="1"/>
  <c r="AA323" i="2"/>
  <c r="AA736" i="8" s="1"/>
  <c r="AA737" i="8" s="1"/>
  <c r="T1116" i="8"/>
  <c r="T1117" i="8" s="1"/>
  <c r="T726" i="2"/>
  <c r="T1148" i="8" s="1"/>
  <c r="T1149" i="8" s="1"/>
  <c r="N1100" i="8"/>
  <c r="N1101" i="8" s="1"/>
  <c r="N722" i="2"/>
  <c r="N1132" i="8" s="1"/>
  <c r="N1133" i="8" s="1"/>
  <c r="W720" i="8"/>
  <c r="W721" i="8" s="1"/>
  <c r="W327" i="2"/>
  <c r="W752" i="8" s="1"/>
  <c r="W753" i="8" s="1"/>
  <c r="L892" i="8"/>
  <c r="L893" i="8" s="1"/>
  <c r="L387" i="2"/>
  <c r="L932" i="8" s="1"/>
  <c r="L933" i="8" s="1"/>
  <c r="F512" i="8"/>
  <c r="F464" i="8"/>
  <c r="F500" i="8"/>
  <c r="F484" i="8"/>
  <c r="F536" i="8"/>
  <c r="F580" i="8"/>
  <c r="AC323" i="2"/>
  <c r="AC736" i="8" s="1"/>
  <c r="AC737" i="8" s="1"/>
  <c r="AC704" i="8"/>
  <c r="AC705" i="8" s="1"/>
  <c r="Q704" i="8"/>
  <c r="Q705" i="8" s="1"/>
  <c r="Q323" i="2"/>
  <c r="Q736" i="8" s="1"/>
  <c r="Q737" i="8" s="1"/>
  <c r="AB1116" i="8"/>
  <c r="AB1117" i="8" s="1"/>
  <c r="AB726" i="2"/>
  <c r="AB1148" i="8" s="1"/>
  <c r="AB1149" i="8" s="1"/>
  <c r="V1116" i="8"/>
  <c r="V1117" i="8" s="1"/>
  <c r="V726" i="2"/>
  <c r="V1148" i="8" s="1"/>
  <c r="V1149" i="8" s="1"/>
  <c r="V327" i="2"/>
  <c r="V752" i="8" s="1"/>
  <c r="V753" i="8" s="1"/>
  <c r="V720" i="8"/>
  <c r="V721" i="8" s="1"/>
  <c r="F444" i="8"/>
  <c r="F496" i="8"/>
  <c r="X704" i="8"/>
  <c r="X705" i="8" s="1"/>
  <c r="X323" i="2"/>
  <c r="X736" i="8" s="1"/>
  <c r="X737" i="8" s="1"/>
  <c r="Z704" i="8"/>
  <c r="Z705" i="8" s="1"/>
  <c r="Z323" i="2"/>
  <c r="Z736" i="8" s="1"/>
  <c r="Z737" i="8" s="1"/>
  <c r="Q1116" i="8"/>
  <c r="Q1117" i="8" s="1"/>
  <c r="Q726" i="2"/>
  <c r="Q1148" i="8" s="1"/>
  <c r="Q1149" i="8" s="1"/>
  <c r="P726" i="2"/>
  <c r="P1148" i="8" s="1"/>
  <c r="P1149" i="8" s="1"/>
  <c r="P1116" i="8"/>
  <c r="P1117" i="8" s="1"/>
  <c r="AA1100" i="8"/>
  <c r="AA1101" i="8" s="1"/>
  <c r="AA722" i="2"/>
  <c r="AA1132" i="8" s="1"/>
  <c r="AA1133" i="8" s="1"/>
  <c r="U720" i="8"/>
  <c r="U721" i="8" s="1"/>
  <c r="U327" i="2"/>
  <c r="U752" i="8" s="1"/>
  <c r="U753" i="8" s="1"/>
  <c r="F476" i="8"/>
  <c r="Y704" i="8"/>
  <c r="Y705" i="8" s="1"/>
  <c r="Y323" i="2"/>
  <c r="Y736" i="8" s="1"/>
  <c r="Y737" i="8" s="1"/>
  <c r="AD704" i="8"/>
  <c r="AD705" i="8" s="1"/>
  <c r="AD323" i="2"/>
  <c r="AD736" i="8" s="1"/>
  <c r="AD737" i="8" s="1"/>
  <c r="L726" i="2"/>
  <c r="L1148" i="8" s="1"/>
  <c r="L1149" i="8" s="1"/>
  <c r="L1116" i="8"/>
  <c r="L1117" i="8" s="1"/>
  <c r="N1116" i="8"/>
  <c r="N1117" i="8" s="1"/>
  <c r="N726" i="2"/>
  <c r="N1148" i="8" s="1"/>
  <c r="N1149" i="8" s="1"/>
  <c r="AD1100" i="8"/>
  <c r="AD1101" i="8" s="1"/>
  <c r="AD722" i="2"/>
  <c r="AD1132" i="8" s="1"/>
  <c r="AD1133" i="8" s="1"/>
  <c r="F448" i="8"/>
  <c r="F452" i="8"/>
  <c r="W704" i="8"/>
  <c r="W705" i="8" s="1"/>
  <c r="W323" i="2"/>
  <c r="W736" i="8" s="1"/>
  <c r="W737" i="8" s="1"/>
  <c r="P876" i="8"/>
  <c r="P877" i="8" s="1"/>
  <c r="P389" i="2"/>
  <c r="P940" i="8" s="1"/>
  <c r="P941" i="8" s="1"/>
  <c r="AE1116" i="8"/>
  <c r="AE1117" i="8" s="1"/>
  <c r="AE726" i="2"/>
  <c r="AE1148" i="8" s="1"/>
  <c r="AE1149" i="8" s="1"/>
  <c r="M1116" i="8"/>
  <c r="M1117" i="8" s="1"/>
  <c r="M726" i="2"/>
  <c r="M1148" i="8" s="1"/>
  <c r="M1149" i="8" s="1"/>
  <c r="Q379" i="2"/>
  <c r="S375" i="2"/>
  <c r="S904" i="8" s="1"/>
  <c r="S905" i="8" s="1"/>
  <c r="S376" i="2"/>
  <c r="S908" i="8" s="1"/>
  <c r="S909" i="8" s="1"/>
  <c r="S808" i="8"/>
  <c r="S809" i="8" s="1"/>
  <c r="S772" i="8"/>
  <c r="S773" i="8" s="1"/>
  <c r="T345" i="2"/>
  <c r="T612" i="8"/>
  <c r="T613" i="8" s="1"/>
  <c r="U280" i="2"/>
  <c r="T334" i="2"/>
  <c r="T41" i="14" s="1"/>
  <c r="T996" i="8"/>
  <c r="T997" i="8" s="1"/>
  <c r="U676" i="2"/>
  <c r="T741" i="2"/>
  <c r="T730" i="2"/>
  <c r="T203" i="14" s="1"/>
  <c r="T1004" i="8"/>
  <c r="T1005" i="8" s="1"/>
  <c r="T743" i="2"/>
  <c r="U678" i="2"/>
  <c r="U235" i="13" s="1"/>
  <c r="T732" i="2"/>
  <c r="T205" i="14" s="1"/>
  <c r="S804" i="8"/>
  <c r="S805" i="8" s="1"/>
  <c r="S1164" i="8"/>
  <c r="S1165" i="8" s="1"/>
  <c r="S1192" i="8"/>
  <c r="S1193" i="8" s="1"/>
  <c r="U1180" i="8"/>
  <c r="U1181" i="8" s="1"/>
  <c r="S1200" i="8"/>
  <c r="S1201" i="8" s="1"/>
  <c r="S768" i="8"/>
  <c r="S769" i="8" s="1"/>
  <c r="S737" i="2"/>
  <c r="S1184" i="8" s="1"/>
  <c r="S1185" i="8" s="1"/>
  <c r="U1216" i="8"/>
  <c r="U1217" i="8" s="1"/>
  <c r="S1160" i="8"/>
  <c r="S1161" i="8" s="1"/>
  <c r="T820" i="8"/>
  <c r="T821" i="8" s="1"/>
  <c r="U760" i="8"/>
  <c r="U761" i="8" s="1"/>
  <c r="S1156" i="8"/>
  <c r="S1157" i="8" s="1"/>
  <c r="T1000" i="8"/>
  <c r="T1001" i="8" s="1"/>
  <c r="T731" i="2"/>
  <c r="T204" i="14" s="1"/>
  <c r="U677" i="2"/>
  <c r="T742" i="2"/>
  <c r="S387" i="2"/>
  <c r="S932" i="8" s="1"/>
  <c r="S933" i="8" s="1"/>
  <c r="U796" i="8"/>
  <c r="U797" i="8" s="1"/>
  <c r="U624" i="8"/>
  <c r="U625" i="8" s="1"/>
  <c r="U337" i="2"/>
  <c r="U44" i="14" s="1"/>
  <c r="U348" i="2"/>
  <c r="V283" i="2"/>
  <c r="V110" i="13" s="1"/>
  <c r="V111" i="13" s="1"/>
  <c r="V600" i="8"/>
  <c r="V601" i="8" s="1"/>
  <c r="W277" i="2"/>
  <c r="V342" i="2"/>
  <c r="V331" i="2"/>
  <c r="V38" i="14" s="1"/>
  <c r="T1172" i="8"/>
  <c r="T1173" i="8" s="1"/>
  <c r="T620" i="8"/>
  <c r="T621" i="8" s="1"/>
  <c r="U282" i="2"/>
  <c r="T347" i="2"/>
  <c r="T336" i="2"/>
  <c r="T43" i="14" s="1"/>
  <c r="S338" i="2"/>
  <c r="S788" i="8" s="1"/>
  <c r="S789" i="8" s="1"/>
  <c r="S1176" i="8"/>
  <c r="S1177" i="8" s="1"/>
  <c r="S816" i="8"/>
  <c r="S817" i="8" s="1"/>
  <c r="T1208" i="8"/>
  <c r="T1209" i="8" s="1"/>
  <c r="T800" i="8"/>
  <c r="T801" i="8" s="1"/>
  <c r="S349" i="2"/>
  <c r="S824" i="8" s="1"/>
  <c r="S825" i="8" s="1"/>
  <c r="S1196" i="8"/>
  <c r="S1197" i="8" s="1"/>
  <c r="T784" i="8"/>
  <c r="T785" i="8" s="1"/>
  <c r="S780" i="8"/>
  <c r="S781" i="8" s="1"/>
  <c r="U1012" i="8"/>
  <c r="U1013" i="8" s="1"/>
  <c r="V680" i="2"/>
  <c r="U745" i="2"/>
  <c r="U734" i="2"/>
  <c r="U207" i="14" s="1"/>
  <c r="T764" i="8"/>
  <c r="T765" i="8" s="1"/>
  <c r="T756" i="8"/>
  <c r="T757" i="8" s="1"/>
  <c r="S828" i="8"/>
  <c r="S829" i="8" s="1"/>
  <c r="V1020" i="8"/>
  <c r="V1021" i="8" s="1"/>
  <c r="W682" i="2"/>
  <c r="W249" i="13" s="1"/>
  <c r="V747" i="2"/>
  <c r="V736" i="2"/>
  <c r="V209" i="14" s="1"/>
  <c r="U1008" i="8"/>
  <c r="U1009" i="8" s="1"/>
  <c r="U733" i="2"/>
  <c r="U206" i="14" s="1"/>
  <c r="U744" i="2"/>
  <c r="V679" i="2"/>
  <c r="U604" i="8"/>
  <c r="U605" i="8" s="1"/>
  <c r="V278" i="2"/>
  <c r="U332" i="2"/>
  <c r="U39" i="14" s="1"/>
  <c r="U343" i="2"/>
  <c r="V812" i="8"/>
  <c r="V813" i="8" s="1"/>
  <c r="U596" i="8"/>
  <c r="U597" i="8" s="1"/>
  <c r="U341" i="2"/>
  <c r="U330" i="2"/>
  <c r="U37" i="14" s="1"/>
  <c r="V276" i="2"/>
  <c r="R378" i="2"/>
  <c r="R916" i="8" s="1"/>
  <c r="R917" i="8" s="1"/>
  <c r="T1152" i="8"/>
  <c r="T1153" i="8" s="1"/>
  <c r="T1204" i="8"/>
  <c r="T1205" i="8" s="1"/>
  <c r="V776" i="8"/>
  <c r="V777" i="8" s="1"/>
  <c r="T792" i="8"/>
  <c r="T793" i="8" s="1"/>
  <c r="T1188" i="8"/>
  <c r="T1189" i="8" s="1"/>
  <c r="S1212" i="8"/>
  <c r="S1213" i="8" s="1"/>
  <c r="T608" i="8"/>
  <c r="T609" i="8" s="1"/>
  <c r="T333" i="2"/>
  <c r="T40" i="14" s="1"/>
  <c r="T344" i="2"/>
  <c r="U279" i="2"/>
  <c r="U96" i="13" s="1"/>
  <c r="U97" i="13" s="1"/>
  <c r="T1168" i="8"/>
  <c r="T1169" i="8" s="1"/>
  <c r="W616" i="8"/>
  <c r="W617" i="8" s="1"/>
  <c r="W346" i="2"/>
  <c r="X281" i="2"/>
  <c r="W335" i="2"/>
  <c r="W42" i="14" s="1"/>
  <c r="U992" i="8"/>
  <c r="U993" i="8" s="1"/>
  <c r="V675" i="2"/>
  <c r="U729" i="2"/>
  <c r="U202" i="14" s="1"/>
  <c r="U740" i="2"/>
  <c r="T1016" i="8"/>
  <c r="T1017" i="8" s="1"/>
  <c r="T735" i="2"/>
  <c r="T208" i="14" s="1"/>
  <c r="U681" i="2"/>
  <c r="T746" i="2"/>
  <c r="T399" i="2" l="1"/>
  <c r="T232" i="14"/>
  <c r="T242" i="14"/>
  <c r="S395" i="2"/>
  <c r="S960" i="8" s="1"/>
  <c r="S961" i="8" s="1"/>
  <c r="T77" i="14"/>
  <c r="S78" i="14"/>
  <c r="S79" i="14" s="1"/>
  <c r="S82" i="14"/>
  <c r="S81" i="14"/>
  <c r="R78" i="14"/>
  <c r="R79" i="14" s="1"/>
  <c r="R82" i="14"/>
  <c r="R81" i="14"/>
  <c r="R860" i="8"/>
  <c r="R861" i="8" s="1"/>
  <c r="S243" i="14"/>
  <c r="S244" i="14" s="1"/>
  <c r="S246" i="14"/>
  <c r="T369" i="2"/>
  <c r="T888" i="8" s="1"/>
  <c r="T889" i="8" s="1"/>
  <c r="T73" i="14"/>
  <c r="W368" i="2"/>
  <c r="W884" i="8" s="1"/>
  <c r="W885" i="8" s="1"/>
  <c r="W72" i="14"/>
  <c r="V364" i="2"/>
  <c r="V868" i="8" s="1"/>
  <c r="V869" i="8" s="1"/>
  <c r="V68" i="14"/>
  <c r="N243" i="14"/>
  <c r="N244" i="14" s="1"/>
  <c r="N247" i="14"/>
  <c r="N246" i="14"/>
  <c r="P78" i="14"/>
  <c r="P79" i="14" s="1"/>
  <c r="P82" i="14"/>
  <c r="P81" i="14"/>
  <c r="T234" i="14"/>
  <c r="Q78" i="14"/>
  <c r="Q79" i="14" s="1"/>
  <c r="Q82" i="14"/>
  <c r="Q81" i="14"/>
  <c r="U363" i="2"/>
  <c r="U67" i="14"/>
  <c r="V239" i="14"/>
  <c r="Q243" i="14"/>
  <c r="Q244" i="14" s="1"/>
  <c r="Q247" i="14"/>
  <c r="Q246" i="14"/>
  <c r="U237" i="14"/>
  <c r="T238" i="14"/>
  <c r="O78" i="14"/>
  <c r="O79" i="14" s="1"/>
  <c r="O81" i="14"/>
  <c r="O82" i="14"/>
  <c r="T233" i="14"/>
  <c r="R243" i="14"/>
  <c r="R244" i="14" s="1"/>
  <c r="R246" i="14"/>
  <c r="R247" i="14"/>
  <c r="P243" i="14"/>
  <c r="P244" i="14" s="1"/>
  <c r="P246" i="14"/>
  <c r="P247" i="14"/>
  <c r="T367" i="2"/>
  <c r="T71" i="14"/>
  <c r="T235" i="14"/>
  <c r="O243" i="14"/>
  <c r="O244" i="14" s="1"/>
  <c r="O246" i="14"/>
  <c r="O247" i="14"/>
  <c r="N78" i="14"/>
  <c r="N79" i="14" s="1"/>
  <c r="N82" i="14"/>
  <c r="N81" i="14"/>
  <c r="U236" i="14"/>
  <c r="T366" i="2"/>
  <c r="T70" i="14"/>
  <c r="U365" i="2"/>
  <c r="U872" i="8" s="1"/>
  <c r="U873" i="8" s="1"/>
  <c r="U69" i="14"/>
  <c r="M243" i="14"/>
  <c r="M244" i="14" s="1"/>
  <c r="M246" i="14"/>
  <c r="M247" i="14"/>
  <c r="U260" i="2"/>
  <c r="U232" i="14"/>
  <c r="U370" i="2"/>
  <c r="U892" i="8" s="1"/>
  <c r="U893" i="8" s="1"/>
  <c r="U74" i="14"/>
  <c r="L243" i="14"/>
  <c r="L244" i="14" s="1"/>
  <c r="L247" i="14"/>
  <c r="L246" i="14"/>
  <c r="M78" i="14"/>
  <c r="M79" i="14" s="1"/>
  <c r="M82" i="14"/>
  <c r="M81" i="14"/>
  <c r="U261" i="2"/>
  <c r="S247" i="14"/>
  <c r="L78" i="14"/>
  <c r="L79" i="14" s="1"/>
  <c r="L82" i="14"/>
  <c r="L81" i="14"/>
  <c r="V250" i="13"/>
  <c r="V258" i="13" s="1"/>
  <c r="Q53" i="13"/>
  <c r="Q63" i="13" s="1"/>
  <c r="U196" i="13"/>
  <c r="U206" i="13" s="1"/>
  <c r="L196" i="13"/>
  <c r="L206" i="13" s="1"/>
  <c r="S196" i="13"/>
  <c r="S206" i="13" s="1"/>
  <c r="N57" i="13"/>
  <c r="N67" i="13" s="1"/>
  <c r="U250" i="13"/>
  <c r="U258" i="13" s="1"/>
  <c r="T236" i="13"/>
  <c r="T1541" i="8" s="1"/>
  <c r="S192" i="13"/>
  <c r="S202" i="13" s="1"/>
  <c r="P57" i="13"/>
  <c r="P67" i="13" s="1"/>
  <c r="O53" i="13"/>
  <c r="O63" i="13" s="1"/>
  <c r="R250" i="13"/>
  <c r="R256" i="13" s="1"/>
  <c r="L192" i="13"/>
  <c r="L202" i="13" s="1"/>
  <c r="Q250" i="13"/>
  <c r="Q252" i="13" s="1"/>
  <c r="Q236" i="13"/>
  <c r="Q244" i="13" s="1"/>
  <c r="S236" i="13"/>
  <c r="S240" i="13" s="1"/>
  <c r="R53" i="13"/>
  <c r="R63" i="13" s="1"/>
  <c r="Q57" i="13"/>
  <c r="Q67" i="13" s="1"/>
  <c r="S57" i="13"/>
  <c r="S67" i="13" s="1"/>
  <c r="O57" i="13"/>
  <c r="O67" i="13" s="1"/>
  <c r="S53" i="13"/>
  <c r="S63" i="13" s="1"/>
  <c r="U98" i="13"/>
  <c r="U106" i="13"/>
  <c r="U101" i="13"/>
  <c r="U100" i="13"/>
  <c r="U102" i="13"/>
  <c r="U105" i="13"/>
  <c r="U104" i="13"/>
  <c r="U99" i="13"/>
  <c r="U103" i="13"/>
  <c r="V114" i="13"/>
  <c r="V117" i="13"/>
  <c r="V112" i="13"/>
  <c r="V116" i="13"/>
  <c r="V113" i="13"/>
  <c r="V115" i="13"/>
  <c r="V120" i="13"/>
  <c r="V119" i="13"/>
  <c r="V118" i="13"/>
  <c r="P118" i="13"/>
  <c r="P119" i="13"/>
  <c r="P115" i="13"/>
  <c r="P112" i="13"/>
  <c r="P113" i="13"/>
  <c r="P114" i="13"/>
  <c r="P116" i="13"/>
  <c r="P120" i="13"/>
  <c r="P117" i="13"/>
  <c r="AE46" i="13"/>
  <c r="U181" i="13"/>
  <c r="U211" i="13" s="1"/>
  <c r="AA185" i="13"/>
  <c r="U184" i="13"/>
  <c r="U214" i="13" s="1"/>
  <c r="S184" i="13"/>
  <c r="S214" i="13" s="1"/>
  <c r="X183" i="13"/>
  <c r="U42" i="13"/>
  <c r="U72" i="13" s="1"/>
  <c r="S42" i="13"/>
  <c r="S72" i="13" s="1"/>
  <c r="M124" i="13"/>
  <c r="M125" i="13" s="1"/>
  <c r="M44" i="13"/>
  <c r="M74" i="13" s="1"/>
  <c r="U124" i="13"/>
  <c r="U125" i="13" s="1"/>
  <c r="U44" i="13"/>
  <c r="U74" i="13" s="1"/>
  <c r="P180" i="13"/>
  <c r="P210" i="13" s="1"/>
  <c r="AB180" i="13"/>
  <c r="S41" i="13"/>
  <c r="S71" i="13" s="1"/>
  <c r="T82" i="13"/>
  <c r="T83" i="13" s="1"/>
  <c r="T40" i="13"/>
  <c r="M45" i="13"/>
  <c r="M75" i="13" s="1"/>
  <c r="R45" i="13"/>
  <c r="R75" i="13" s="1"/>
  <c r="Q104" i="13"/>
  <c r="Q105" i="13"/>
  <c r="Q106" i="13"/>
  <c r="Q98" i="13"/>
  <c r="Q103" i="13"/>
  <c r="Q102" i="13"/>
  <c r="Q101" i="13"/>
  <c r="Q100" i="13"/>
  <c r="Q99" i="13"/>
  <c r="L1541" i="8"/>
  <c r="L242" i="13"/>
  <c r="L238" i="13"/>
  <c r="L240" i="13"/>
  <c r="L237" i="13"/>
  <c r="L243" i="13"/>
  <c r="L239" i="13"/>
  <c r="L241" i="13"/>
  <c r="L244" i="13"/>
  <c r="L245" i="13"/>
  <c r="M57" i="13"/>
  <c r="M67" i="13" s="1"/>
  <c r="T106" i="13"/>
  <c r="T99" i="13"/>
  <c r="T102" i="13"/>
  <c r="T105" i="13"/>
  <c r="T104" i="13"/>
  <c r="T98" i="13"/>
  <c r="T100" i="13"/>
  <c r="T103" i="13"/>
  <c r="T101" i="13"/>
  <c r="M46" i="13"/>
  <c r="M76" i="13" s="1"/>
  <c r="AE181" i="13"/>
  <c r="AE191" i="13" s="1"/>
  <c r="AE201" i="13" s="1"/>
  <c r="N181" i="13"/>
  <c r="N211" i="13" s="1"/>
  <c r="AD179" i="13"/>
  <c r="Z185" i="13"/>
  <c r="L263" i="13"/>
  <c r="L264" i="13" s="1"/>
  <c r="L183" i="13"/>
  <c r="L213" i="13" s="1"/>
  <c r="N42" i="13"/>
  <c r="N72" i="13" s="1"/>
  <c r="T42" i="13"/>
  <c r="T72" i="13" s="1"/>
  <c r="O124" i="13"/>
  <c r="O125" i="13" s="1"/>
  <c r="O44" i="13"/>
  <c r="O74" i="13" s="1"/>
  <c r="AC44" i="13"/>
  <c r="AC54" i="13" s="1"/>
  <c r="AC64" i="13" s="1"/>
  <c r="Z180" i="13"/>
  <c r="W41" i="13"/>
  <c r="W71" i="13" s="1"/>
  <c r="L41" i="13"/>
  <c r="L71" i="13" s="1"/>
  <c r="X40" i="13"/>
  <c r="X45" i="13"/>
  <c r="X75" i="13" s="1"/>
  <c r="P1541" i="8"/>
  <c r="P242" i="13"/>
  <c r="P243" i="13"/>
  <c r="P241" i="13"/>
  <c r="P240" i="13"/>
  <c r="P238" i="13"/>
  <c r="P239" i="13"/>
  <c r="P244" i="13"/>
  <c r="P245" i="13"/>
  <c r="P237" i="13"/>
  <c r="M118" i="13"/>
  <c r="M112" i="13"/>
  <c r="M120" i="13"/>
  <c r="M113" i="13"/>
  <c r="M115" i="13"/>
  <c r="M117" i="13"/>
  <c r="M116" i="13"/>
  <c r="M119" i="13"/>
  <c r="M114" i="13"/>
  <c r="T53" i="13"/>
  <c r="T63" i="13" s="1"/>
  <c r="L57" i="13"/>
  <c r="L67" i="13" s="1"/>
  <c r="Q196" i="13"/>
  <c r="Q206" i="13" s="1"/>
  <c r="AE53" i="13"/>
  <c r="AE63" i="13" s="1"/>
  <c r="W192" i="13"/>
  <c r="W202" i="13" s="1"/>
  <c r="AB46" i="13"/>
  <c r="AB56" i="13" s="1"/>
  <c r="AB66" i="13" s="1"/>
  <c r="V46" i="13"/>
  <c r="L46" i="13"/>
  <c r="L76" i="13" s="1"/>
  <c r="P181" i="13"/>
  <c r="P211" i="13" s="1"/>
  <c r="Y179" i="13"/>
  <c r="V179" i="13"/>
  <c r="AD185" i="13"/>
  <c r="AD195" i="13" s="1"/>
  <c r="AD205" i="13" s="1"/>
  <c r="P263" i="13"/>
  <c r="P264" i="13" s="1"/>
  <c r="P183" i="13"/>
  <c r="P213" i="13" s="1"/>
  <c r="AB42" i="13"/>
  <c r="AB52" i="13" s="1"/>
  <c r="AB62" i="13" s="1"/>
  <c r="L42" i="13"/>
  <c r="L72" i="13" s="1"/>
  <c r="N124" i="13"/>
  <c r="N125" i="13" s="1"/>
  <c r="N44" i="13"/>
  <c r="N74" i="13" s="1"/>
  <c r="R124" i="13"/>
  <c r="R125" i="13" s="1"/>
  <c r="R44" i="13"/>
  <c r="R74" i="13" s="1"/>
  <c r="AC180" i="13"/>
  <c r="AE41" i="13"/>
  <c r="AE51" i="13" s="1"/>
  <c r="AE61" i="13" s="1"/>
  <c r="Q82" i="13"/>
  <c r="Q83" i="13" s="1"/>
  <c r="Q40" i="13"/>
  <c r="Q50" i="13" s="1"/>
  <c r="L82" i="13"/>
  <c r="L83" i="13" s="1"/>
  <c r="L40" i="13"/>
  <c r="AE45" i="13"/>
  <c r="AE55" i="13" s="1"/>
  <c r="AE65" i="13" s="1"/>
  <c r="U45" i="13"/>
  <c r="U75" i="13" s="1"/>
  <c r="U73" i="13"/>
  <c r="U95" i="13" s="1"/>
  <c r="S99" i="13"/>
  <c r="S98" i="13"/>
  <c r="S102" i="13"/>
  <c r="S106" i="13"/>
  <c r="S105" i="13"/>
  <c r="S103" i="13"/>
  <c r="S104" i="13"/>
  <c r="S101" i="13"/>
  <c r="S100" i="13"/>
  <c r="R1541" i="8"/>
  <c r="R243" i="13"/>
  <c r="R242" i="13"/>
  <c r="R241" i="13"/>
  <c r="R240" i="13"/>
  <c r="R244" i="13"/>
  <c r="R238" i="13"/>
  <c r="R239" i="13"/>
  <c r="R237" i="13"/>
  <c r="R245" i="13"/>
  <c r="L114" i="13"/>
  <c r="L119" i="13"/>
  <c r="L115" i="13"/>
  <c r="L112" i="13"/>
  <c r="L117" i="13"/>
  <c r="L113" i="13"/>
  <c r="L118" i="13"/>
  <c r="L120" i="13"/>
  <c r="L116" i="13"/>
  <c r="AD41" i="13"/>
  <c r="AD51" i="13" s="1"/>
  <c r="AD61" i="13" s="1"/>
  <c r="U221" i="13"/>
  <c r="U179" i="13"/>
  <c r="U189" i="13" s="1"/>
  <c r="AB185" i="13"/>
  <c r="AB195" i="13" s="1"/>
  <c r="AB205" i="13" s="1"/>
  <c r="O263" i="13"/>
  <c r="O264" i="13" s="1"/>
  <c r="O183" i="13"/>
  <c r="O213" i="13" s="1"/>
  <c r="W183" i="13"/>
  <c r="AC42" i="13"/>
  <c r="AC52" i="13" s="1"/>
  <c r="AC62" i="13" s="1"/>
  <c r="S124" i="13"/>
  <c r="S125" i="13" s="1"/>
  <c r="S44" i="13"/>
  <c r="S74" i="13" s="1"/>
  <c r="Q180" i="13"/>
  <c r="Q210" i="13" s="1"/>
  <c r="X41" i="13"/>
  <c r="X51" i="13" s="1"/>
  <c r="X61" i="13" s="1"/>
  <c r="Q45" i="13"/>
  <c r="Q75" i="13" s="1"/>
  <c r="Z46" i="13"/>
  <c r="T46" i="13"/>
  <c r="T76" i="13" s="1"/>
  <c r="Y181" i="13"/>
  <c r="Y191" i="13" s="1"/>
  <c r="Y201" i="13" s="1"/>
  <c r="W181" i="13"/>
  <c r="W191" i="13" s="1"/>
  <c r="W201" i="13" s="1"/>
  <c r="R221" i="13"/>
  <c r="R179" i="13"/>
  <c r="R189" i="13" s="1"/>
  <c r="U185" i="13"/>
  <c r="U215" i="13" s="1"/>
  <c r="P184" i="13"/>
  <c r="P214" i="13" s="1"/>
  <c r="M263" i="13"/>
  <c r="M264" i="13" s="1"/>
  <c r="M183" i="13"/>
  <c r="M213" i="13" s="1"/>
  <c r="Z42" i="13"/>
  <c r="Z52" i="13" s="1"/>
  <c r="Z62" i="13" s="1"/>
  <c r="U180" i="13"/>
  <c r="U210" i="13" s="1"/>
  <c r="V41" i="13"/>
  <c r="V71" i="13" s="1"/>
  <c r="AE40" i="13"/>
  <c r="AA45" i="13"/>
  <c r="AA55" i="13" s="1"/>
  <c r="AA65" i="13" s="1"/>
  <c r="M1542" i="8"/>
  <c r="M257" i="13"/>
  <c r="M255" i="13"/>
  <c r="M254" i="13"/>
  <c r="M252" i="13"/>
  <c r="M259" i="13"/>
  <c r="M251" i="13"/>
  <c r="M258" i="13"/>
  <c r="M256" i="13"/>
  <c r="M253" i="13"/>
  <c r="W216" i="13"/>
  <c r="W248" i="13" s="1"/>
  <c r="W250" i="13" s="1"/>
  <c r="M53" i="13"/>
  <c r="M63" i="13" s="1"/>
  <c r="U212" i="13"/>
  <c r="U234" i="13" s="1"/>
  <c r="U236" i="13" s="1"/>
  <c r="P1542" i="8"/>
  <c r="P254" i="13"/>
  <c r="P253" i="13"/>
  <c r="P251" i="13"/>
  <c r="P255" i="13"/>
  <c r="P256" i="13"/>
  <c r="P259" i="13"/>
  <c r="P257" i="13"/>
  <c r="P258" i="13"/>
  <c r="P252" i="13"/>
  <c r="R57" i="13"/>
  <c r="R67" i="13" s="1"/>
  <c r="O185" i="13"/>
  <c r="O215" i="13" s="1"/>
  <c r="Q184" i="13"/>
  <c r="Q214" i="13" s="1"/>
  <c r="AD44" i="13"/>
  <c r="AD54" i="13" s="1"/>
  <c r="AD64" i="13" s="1"/>
  <c r="AD180" i="13"/>
  <c r="O41" i="13"/>
  <c r="O71" i="13" s="1"/>
  <c r="AA40" i="13"/>
  <c r="AA50" i="13" s="1"/>
  <c r="T45" i="13"/>
  <c r="T75" i="13" s="1"/>
  <c r="O46" i="13"/>
  <c r="O76" i="13" s="1"/>
  <c r="AC46" i="13"/>
  <c r="AC56" i="13" s="1"/>
  <c r="AC66" i="13" s="1"/>
  <c r="T181" i="13"/>
  <c r="T211" i="13" s="1"/>
  <c r="R42" i="13"/>
  <c r="R72" i="13" s="1"/>
  <c r="P46" i="13"/>
  <c r="P76" i="13" s="1"/>
  <c r="U46" i="13"/>
  <c r="U76" i="13" s="1"/>
  <c r="AB181" i="13"/>
  <c r="V183" i="13"/>
  <c r="V213" i="13" s="1"/>
  <c r="AA42" i="13"/>
  <c r="L180" i="13"/>
  <c r="L210" i="13" s="1"/>
  <c r="O82" i="13"/>
  <c r="O83" i="13" s="1"/>
  <c r="O40" i="13"/>
  <c r="O50" i="13" s="1"/>
  <c r="AD45" i="13"/>
  <c r="O101" i="13"/>
  <c r="O99" i="13"/>
  <c r="O105" i="13"/>
  <c r="O103" i="13"/>
  <c r="O106" i="13"/>
  <c r="O98" i="13"/>
  <c r="O100" i="13"/>
  <c r="O104" i="13"/>
  <c r="O102" i="13"/>
  <c r="U53" i="13"/>
  <c r="U63" i="13" s="1"/>
  <c r="M1541" i="8"/>
  <c r="M241" i="13"/>
  <c r="M237" i="13"/>
  <c r="M245" i="13"/>
  <c r="M243" i="13"/>
  <c r="M244" i="13"/>
  <c r="M242" i="13"/>
  <c r="M240" i="13"/>
  <c r="M238" i="13"/>
  <c r="M239" i="13"/>
  <c r="R112" i="13"/>
  <c r="R120" i="13"/>
  <c r="R115" i="13"/>
  <c r="R117" i="13"/>
  <c r="R119" i="13"/>
  <c r="R113" i="13"/>
  <c r="R114" i="13"/>
  <c r="R116" i="13"/>
  <c r="R118" i="13"/>
  <c r="Y196" i="13"/>
  <c r="Y206" i="13" s="1"/>
  <c r="AA46" i="13"/>
  <c r="R46" i="13"/>
  <c r="R76" i="13" s="1"/>
  <c r="V181" i="13"/>
  <c r="V191" i="13" s="1"/>
  <c r="V201" i="13" s="1"/>
  <c r="Q181" i="13"/>
  <c r="Q211" i="13" s="1"/>
  <c r="N221" i="13"/>
  <c r="N222" i="13" s="1"/>
  <c r="N179" i="13"/>
  <c r="T185" i="13"/>
  <c r="T215" i="13" s="1"/>
  <c r="X185" i="13"/>
  <c r="X195" i="13" s="1"/>
  <c r="X205" i="13" s="1"/>
  <c r="M184" i="13"/>
  <c r="M214" i="13" s="1"/>
  <c r="Z184" i="13"/>
  <c r="AA183" i="13"/>
  <c r="AD42" i="13"/>
  <c r="AD52" i="13" s="1"/>
  <c r="AD62" i="13" s="1"/>
  <c r="Z44" i="13"/>
  <c r="O180" i="13"/>
  <c r="O210" i="13" s="1"/>
  <c r="N41" i="13"/>
  <c r="N71" i="13" s="1"/>
  <c r="AA41" i="13"/>
  <c r="N82" i="13"/>
  <c r="N83" i="13" s="1"/>
  <c r="N40" i="13"/>
  <c r="V45" i="13"/>
  <c r="V75" i="13" s="1"/>
  <c r="T1542" i="8"/>
  <c r="T256" i="13"/>
  <c r="T252" i="13"/>
  <c r="T255" i="13"/>
  <c r="T259" i="13"/>
  <c r="T257" i="13"/>
  <c r="T253" i="13"/>
  <c r="T258" i="13"/>
  <c r="T251" i="13"/>
  <c r="T254" i="13"/>
  <c r="N53" i="13"/>
  <c r="N63" i="13" s="1"/>
  <c r="X57" i="13"/>
  <c r="X67" i="13" s="1"/>
  <c r="M103" i="13"/>
  <c r="M106" i="13"/>
  <c r="M101" i="13"/>
  <c r="M99" i="13"/>
  <c r="M104" i="13"/>
  <c r="M100" i="13"/>
  <c r="M102" i="13"/>
  <c r="M98" i="13"/>
  <c r="M105" i="13"/>
  <c r="P196" i="13"/>
  <c r="P206" i="13" s="1"/>
  <c r="X181" i="13"/>
  <c r="X191" i="13" s="1"/>
  <c r="X201" i="13" s="1"/>
  <c r="N185" i="13"/>
  <c r="N215" i="13" s="1"/>
  <c r="O184" i="13"/>
  <c r="O214" i="13" s="1"/>
  <c r="AB44" i="13"/>
  <c r="AB54" i="13" s="1"/>
  <c r="AB64" i="13" s="1"/>
  <c r="Y40" i="13"/>
  <c r="Y50" i="13" s="1"/>
  <c r="M82" i="13"/>
  <c r="M83" i="13" s="1"/>
  <c r="M40" i="13"/>
  <c r="M50" i="13" s="1"/>
  <c r="L45" i="13"/>
  <c r="L75" i="13" s="1"/>
  <c r="M192" i="13"/>
  <c r="M202" i="13" s="1"/>
  <c r="AE179" i="13"/>
  <c r="L185" i="13"/>
  <c r="L215" i="13" s="1"/>
  <c r="X184" i="13"/>
  <c r="S46" i="13"/>
  <c r="S76" i="13" s="1"/>
  <c r="X46" i="13"/>
  <c r="X56" i="13" s="1"/>
  <c r="X66" i="13" s="1"/>
  <c r="Z181" i="13"/>
  <c r="R181" i="13"/>
  <c r="R211" i="13" s="1"/>
  <c r="O221" i="13"/>
  <c r="O222" i="13" s="1"/>
  <c r="O179" i="13"/>
  <c r="T221" i="13"/>
  <c r="T179" i="13"/>
  <c r="P185" i="13"/>
  <c r="P215" i="13" s="1"/>
  <c r="L184" i="13"/>
  <c r="L214" i="13" s="1"/>
  <c r="Y184" i="13"/>
  <c r="Z183" i="13"/>
  <c r="T263" i="13"/>
  <c r="T183" i="13"/>
  <c r="T213" i="13" s="1"/>
  <c r="W42" i="13"/>
  <c r="X180" i="13"/>
  <c r="X190" i="13" s="1"/>
  <c r="X200" i="13" s="1"/>
  <c r="AB41" i="13"/>
  <c r="AB51" i="13" s="1"/>
  <c r="AB61" i="13" s="1"/>
  <c r="AB40" i="13"/>
  <c r="N45" i="13"/>
  <c r="N75" i="13" s="1"/>
  <c r="O45" i="13"/>
  <c r="O75" i="13" s="1"/>
  <c r="P53" i="13"/>
  <c r="P63" i="13" s="1"/>
  <c r="R196" i="13"/>
  <c r="R206" i="13" s="1"/>
  <c r="N104" i="13"/>
  <c r="N105" i="13"/>
  <c r="N101" i="13"/>
  <c r="N100" i="13"/>
  <c r="N103" i="13"/>
  <c r="N106" i="13"/>
  <c r="N98" i="13"/>
  <c r="N99" i="13"/>
  <c r="N102" i="13"/>
  <c r="L53" i="13"/>
  <c r="L63" i="13" s="1"/>
  <c r="AD196" i="13"/>
  <c r="AD206" i="13" s="1"/>
  <c r="AD57" i="13"/>
  <c r="AD67" i="13" s="1"/>
  <c r="L1542" i="8"/>
  <c r="L253" i="13"/>
  <c r="L251" i="13"/>
  <c r="L259" i="13"/>
  <c r="L252" i="13"/>
  <c r="L254" i="13"/>
  <c r="L257" i="13"/>
  <c r="L256" i="13"/>
  <c r="L258" i="13"/>
  <c r="L255" i="13"/>
  <c r="L181" i="13"/>
  <c r="L211" i="13" s="1"/>
  <c r="U82" i="13"/>
  <c r="U83" i="13" s="1"/>
  <c r="U40" i="13"/>
  <c r="W46" i="13"/>
  <c r="W56" i="13" s="1"/>
  <c r="W66" i="13" s="1"/>
  <c r="AC181" i="13"/>
  <c r="AC191" i="13" s="1"/>
  <c r="AC201" i="13" s="1"/>
  <c r="S181" i="13"/>
  <c r="S211" i="13" s="1"/>
  <c r="Z179" i="13"/>
  <c r="X179" i="13"/>
  <c r="X189" i="13" s="1"/>
  <c r="AB179" i="13"/>
  <c r="AB189" i="13" s="1"/>
  <c r="R185" i="13"/>
  <c r="R215" i="13" s="1"/>
  <c r="AA184" i="13"/>
  <c r="AA194" i="13" s="1"/>
  <c r="AA204" i="13" s="1"/>
  <c r="T184" i="13"/>
  <c r="T214" i="13" s="1"/>
  <c r="AD183" i="13"/>
  <c r="AD193" i="13" s="1"/>
  <c r="AD203" i="13" s="1"/>
  <c r="AB183" i="13"/>
  <c r="AB193" i="13" s="1"/>
  <c r="AB203" i="13" s="1"/>
  <c r="Y42" i="13"/>
  <c r="Y52" i="13" s="1"/>
  <c r="Y62" i="13" s="1"/>
  <c r="W44" i="13"/>
  <c r="W54" i="13" s="1"/>
  <c r="W64" i="13" s="1"/>
  <c r="P124" i="13"/>
  <c r="P125" i="13" s="1"/>
  <c r="P44" i="13"/>
  <c r="P74" i="13" s="1"/>
  <c r="V180" i="13"/>
  <c r="W180" i="13"/>
  <c r="W190" i="13" s="1"/>
  <c r="W200" i="13" s="1"/>
  <c r="Z41" i="13"/>
  <c r="Z51" i="13" s="1"/>
  <c r="Z61" i="13" s="1"/>
  <c r="Z40" i="13"/>
  <c r="Z50" i="13" s="1"/>
  <c r="AB45" i="13"/>
  <c r="AB55" i="13" s="1"/>
  <c r="AB65" i="13" s="1"/>
  <c r="Q119" i="13"/>
  <c r="Q115" i="13"/>
  <c r="Q113" i="13"/>
  <c r="Q120" i="13"/>
  <c r="Q112" i="13"/>
  <c r="Q118" i="13"/>
  <c r="Q114" i="13"/>
  <c r="Q116" i="13"/>
  <c r="Q117" i="13"/>
  <c r="P103" i="13"/>
  <c r="P106" i="13"/>
  <c r="P104" i="13"/>
  <c r="P102" i="13"/>
  <c r="P100" i="13"/>
  <c r="P101" i="13"/>
  <c r="P105" i="13"/>
  <c r="P98" i="13"/>
  <c r="P99" i="13"/>
  <c r="N1542" i="8"/>
  <c r="N258" i="13"/>
  <c r="N251" i="13"/>
  <c r="N252" i="13"/>
  <c r="N256" i="13"/>
  <c r="N253" i="13"/>
  <c r="N259" i="13"/>
  <c r="N257" i="13"/>
  <c r="N255" i="13"/>
  <c r="N254" i="13"/>
  <c r="L105" i="13"/>
  <c r="L103" i="13"/>
  <c r="L104" i="13"/>
  <c r="L102" i="13"/>
  <c r="L106" i="13"/>
  <c r="L101" i="13"/>
  <c r="L99" i="13"/>
  <c r="L98" i="13"/>
  <c r="L100" i="13"/>
  <c r="N184" i="13"/>
  <c r="N214" i="13" s="1"/>
  <c r="W184" i="13"/>
  <c r="Y183" i="13"/>
  <c r="Y193" i="13" s="1"/>
  <c r="Y203" i="13" s="1"/>
  <c r="S263" i="13"/>
  <c r="S183" i="13"/>
  <c r="S213" i="13" s="1"/>
  <c r="Q42" i="13"/>
  <c r="Q72" i="13" s="1"/>
  <c r="Q124" i="13"/>
  <c r="Q125" i="13" s="1"/>
  <c r="Q44" i="13"/>
  <c r="Q74" i="13" s="1"/>
  <c r="AA44" i="13"/>
  <c r="Y180" i="13"/>
  <c r="Y190" i="13" s="1"/>
  <c r="Y200" i="13" s="1"/>
  <c r="AE180" i="13"/>
  <c r="AE190" i="13" s="1"/>
  <c r="AE200" i="13" s="1"/>
  <c r="M41" i="13"/>
  <c r="M71" i="13" s="1"/>
  <c r="U41" i="13"/>
  <c r="U71" i="13" s="1"/>
  <c r="AD40" i="13"/>
  <c r="Z45" i="13"/>
  <c r="Z55" i="13" s="1"/>
  <c r="Z65" i="13" s="1"/>
  <c r="O1542" i="8"/>
  <c r="O254" i="13"/>
  <c r="O255" i="13"/>
  <c r="O257" i="13"/>
  <c r="O258" i="13"/>
  <c r="O253" i="13"/>
  <c r="O259" i="13"/>
  <c r="O252" i="13"/>
  <c r="O256" i="13"/>
  <c r="O251" i="13"/>
  <c r="AB196" i="13"/>
  <c r="AB206" i="13" s="1"/>
  <c r="AE57" i="13"/>
  <c r="AE67" i="13" s="1"/>
  <c r="V251" i="13"/>
  <c r="S250" i="13"/>
  <c r="AC184" i="13"/>
  <c r="AD181" i="13"/>
  <c r="AD191" i="13" s="1"/>
  <c r="AD201" i="13" s="1"/>
  <c r="L221" i="13"/>
  <c r="L222" i="13" s="1"/>
  <c r="L179" i="13"/>
  <c r="L189" i="13" s="1"/>
  <c r="V185" i="13"/>
  <c r="Y46" i="13"/>
  <c r="M181" i="13"/>
  <c r="M211" i="13" s="1"/>
  <c r="P221" i="13"/>
  <c r="P222" i="13" s="1"/>
  <c r="P179" i="13"/>
  <c r="S221" i="13"/>
  <c r="S179" i="13"/>
  <c r="S189" i="13" s="1"/>
  <c r="AC185" i="13"/>
  <c r="AC195" i="13" s="1"/>
  <c r="AC205" i="13" s="1"/>
  <c r="Q185" i="13"/>
  <c r="Q215" i="13" s="1"/>
  <c r="V184" i="13"/>
  <c r="V214" i="13" s="1"/>
  <c r="AE184" i="13"/>
  <c r="AC183" i="13"/>
  <c r="Q263" i="13"/>
  <c r="Q183" i="13"/>
  <c r="Q213" i="13" s="1"/>
  <c r="M42" i="13"/>
  <c r="M72" i="13" s="1"/>
  <c r="AE42" i="13"/>
  <c r="AE44" i="13"/>
  <c r="T124" i="13"/>
  <c r="T125" i="13" s="1"/>
  <c r="T44" i="13"/>
  <c r="T74" i="13" s="1"/>
  <c r="N180" i="13"/>
  <c r="N210" i="13" s="1"/>
  <c r="T180" i="13"/>
  <c r="T210" i="13" s="1"/>
  <c r="P41" i="13"/>
  <c r="P71" i="13" s="1"/>
  <c r="T41" i="13"/>
  <c r="T71" i="13" s="1"/>
  <c r="S82" i="13"/>
  <c r="S83" i="13" s="1"/>
  <c r="S40" i="13"/>
  <c r="S50" i="13" s="1"/>
  <c r="Y45" i="13"/>
  <c r="Y55" i="13" s="1"/>
  <c r="Y65" i="13" s="1"/>
  <c r="O1541" i="8"/>
  <c r="O244" i="13"/>
  <c r="O237" i="13"/>
  <c r="O243" i="13"/>
  <c r="O238" i="13"/>
  <c r="O241" i="13"/>
  <c r="O240" i="13"/>
  <c r="O245" i="13"/>
  <c r="O239" i="13"/>
  <c r="O242" i="13"/>
  <c r="Q192" i="13"/>
  <c r="Q202" i="13" s="1"/>
  <c r="T57" i="13"/>
  <c r="T67" i="13" s="1"/>
  <c r="U57" i="13"/>
  <c r="U67" i="13" s="1"/>
  <c r="AD53" i="13"/>
  <c r="AD63" i="13" s="1"/>
  <c r="X53" i="13"/>
  <c r="X63" i="13" s="1"/>
  <c r="AA192" i="13"/>
  <c r="AA202" i="13" s="1"/>
  <c r="Y192" i="13"/>
  <c r="Y202" i="13" s="1"/>
  <c r="AD46" i="13"/>
  <c r="AD56" i="13" s="1"/>
  <c r="AD66" i="13" s="1"/>
  <c r="Q221" i="13"/>
  <c r="Q179" i="13"/>
  <c r="S185" i="13"/>
  <c r="S215" i="13" s="1"/>
  <c r="Q46" i="13"/>
  <c r="Q76" i="13" s="1"/>
  <c r="AA181" i="13"/>
  <c r="AA191" i="13" s="1"/>
  <c r="AA201" i="13" s="1"/>
  <c r="AC179" i="13"/>
  <c r="AC189" i="13" s="1"/>
  <c r="M221" i="13"/>
  <c r="M222" i="13" s="1"/>
  <c r="M179" i="13"/>
  <c r="M189" i="13" s="1"/>
  <c r="W179" i="13"/>
  <c r="W189" i="13" s="1"/>
  <c r="Y185" i="13"/>
  <c r="Y195" i="13" s="1"/>
  <c r="Y205" i="13" s="1"/>
  <c r="W185" i="13"/>
  <c r="W195" i="13" s="1"/>
  <c r="W205" i="13" s="1"/>
  <c r="AB184" i="13"/>
  <c r="U263" i="13"/>
  <c r="U183" i="13"/>
  <c r="U213" i="13" s="1"/>
  <c r="R263" i="13"/>
  <c r="R183" i="13"/>
  <c r="R213" i="13" s="1"/>
  <c r="O42" i="13"/>
  <c r="O72" i="13" s="1"/>
  <c r="P42" i="13"/>
  <c r="P72" i="13" s="1"/>
  <c r="Y44" i="13"/>
  <c r="Y54" i="13" s="1"/>
  <c r="Y64" i="13" s="1"/>
  <c r="X44" i="13"/>
  <c r="X54" i="13" s="1"/>
  <c r="X64" i="13" s="1"/>
  <c r="M180" i="13"/>
  <c r="M210" i="13" s="1"/>
  <c r="S180" i="13"/>
  <c r="S210" i="13" s="1"/>
  <c r="Y41" i="13"/>
  <c r="Y51" i="13" s="1"/>
  <c r="Y61" i="13" s="1"/>
  <c r="AC41" i="13"/>
  <c r="P82" i="13"/>
  <c r="P83" i="13" s="1"/>
  <c r="P40" i="13"/>
  <c r="P50" i="13" s="1"/>
  <c r="AC40" i="13"/>
  <c r="AC50" i="13" s="1"/>
  <c r="P45" i="13"/>
  <c r="P75" i="13" s="1"/>
  <c r="AC45" i="13"/>
  <c r="T119" i="13"/>
  <c r="T116" i="13"/>
  <c r="T120" i="13"/>
  <c r="T115" i="13"/>
  <c r="T118" i="13"/>
  <c r="T114" i="13"/>
  <c r="T113" i="13"/>
  <c r="T117" i="13"/>
  <c r="T112" i="13"/>
  <c r="O113" i="13"/>
  <c r="O117" i="13"/>
  <c r="O114" i="13"/>
  <c r="O116" i="13"/>
  <c r="O115" i="13"/>
  <c r="O112" i="13"/>
  <c r="O118" i="13"/>
  <c r="O120" i="13"/>
  <c r="O119" i="13"/>
  <c r="N1541" i="8"/>
  <c r="N245" i="13"/>
  <c r="N238" i="13"/>
  <c r="N237" i="13"/>
  <c r="N242" i="13"/>
  <c r="N241" i="13"/>
  <c r="N239" i="13"/>
  <c r="N244" i="13"/>
  <c r="N240" i="13"/>
  <c r="N243" i="13"/>
  <c r="U116" i="13"/>
  <c r="U120" i="13"/>
  <c r="U119" i="13"/>
  <c r="U118" i="13"/>
  <c r="U114" i="13"/>
  <c r="U117" i="13"/>
  <c r="U112" i="13"/>
  <c r="U115" i="13"/>
  <c r="U113" i="13"/>
  <c r="Z192" i="13"/>
  <c r="Z202" i="13" s="1"/>
  <c r="N46" i="13"/>
  <c r="N76" i="13" s="1"/>
  <c r="O181" i="13"/>
  <c r="O211" i="13" s="1"/>
  <c r="AA179" i="13"/>
  <c r="AA189" i="13" s="1"/>
  <c r="M185" i="13"/>
  <c r="M215" i="13" s="1"/>
  <c r="AE185" i="13"/>
  <c r="AD184" i="13"/>
  <c r="R184" i="13"/>
  <c r="R214" i="13" s="1"/>
  <c r="N263" i="13"/>
  <c r="N264" i="13" s="1"/>
  <c r="N183" i="13"/>
  <c r="N213" i="13" s="1"/>
  <c r="AE183" i="13"/>
  <c r="AE193" i="13" s="1"/>
  <c r="AE203" i="13" s="1"/>
  <c r="V42" i="13"/>
  <c r="V72" i="13" s="1"/>
  <c r="X42" i="13"/>
  <c r="V44" i="13"/>
  <c r="L124" i="13"/>
  <c r="L125" i="13" s="1"/>
  <c r="L44" i="13"/>
  <c r="L74" i="13" s="1"/>
  <c r="AA180" i="13"/>
  <c r="AA190" i="13" s="1"/>
  <c r="AA200" i="13" s="1"/>
  <c r="R180" i="13"/>
  <c r="R210" i="13" s="1"/>
  <c r="Q41" i="13"/>
  <c r="Q71" i="13" s="1"/>
  <c r="R41" i="13"/>
  <c r="R71" i="13" s="1"/>
  <c r="W40" i="13"/>
  <c r="W50" i="13" s="1"/>
  <c r="V82" i="13"/>
  <c r="V83" i="13" s="1"/>
  <c r="V40" i="13"/>
  <c r="V50" i="13" s="1"/>
  <c r="R82" i="13"/>
  <c r="R83" i="13" s="1"/>
  <c r="R40" i="13"/>
  <c r="R50" i="13" s="1"/>
  <c r="W45" i="13"/>
  <c r="W75" i="13" s="1"/>
  <c r="S45" i="13"/>
  <c r="S75" i="13" s="1"/>
  <c r="S113" i="13"/>
  <c r="S112" i="13"/>
  <c r="S116" i="13"/>
  <c r="S114" i="13"/>
  <c r="S115" i="13"/>
  <c r="S117" i="13"/>
  <c r="S118" i="13"/>
  <c r="S119" i="13"/>
  <c r="S120" i="13"/>
  <c r="N115" i="13"/>
  <c r="N118" i="13"/>
  <c r="N117" i="13"/>
  <c r="N113" i="13"/>
  <c r="N114" i="13"/>
  <c r="N120" i="13"/>
  <c r="N112" i="13"/>
  <c r="N116" i="13"/>
  <c r="N119" i="13"/>
  <c r="V77" i="13"/>
  <c r="V109" i="13" s="1"/>
  <c r="R101" i="13"/>
  <c r="R100" i="13"/>
  <c r="R103" i="13"/>
  <c r="R102" i="13"/>
  <c r="R98" i="13"/>
  <c r="R105" i="13"/>
  <c r="R99" i="13"/>
  <c r="R106" i="13"/>
  <c r="R104" i="13"/>
  <c r="S840" i="8"/>
  <c r="S841" i="8" s="1"/>
  <c r="R888" i="8"/>
  <c r="R889" i="8" s="1"/>
  <c r="S398" i="2"/>
  <c r="S972" i="8" s="1"/>
  <c r="S973" i="8" s="1"/>
  <c r="U393" i="2"/>
  <c r="U952" i="8" s="1"/>
  <c r="U953" i="8" s="1"/>
  <c r="T856" i="8"/>
  <c r="T857" i="8" s="1"/>
  <c r="S872" i="8"/>
  <c r="S873" i="8" s="1"/>
  <c r="T392" i="2"/>
  <c r="T948" i="8" s="1"/>
  <c r="T949" i="8" s="1"/>
  <c r="S382" i="2"/>
  <c r="T394" i="2"/>
  <c r="T956" i="8" s="1"/>
  <c r="T957" i="8" s="1"/>
  <c r="S383" i="2"/>
  <c r="S396" i="2"/>
  <c r="S964" i="8" s="1"/>
  <c r="S965" i="8" s="1"/>
  <c r="O383" i="2"/>
  <c r="O392" i="2"/>
  <c r="L383" i="2"/>
  <c r="L392" i="2"/>
  <c r="U832" i="8"/>
  <c r="U833" i="8" s="1"/>
  <c r="U259" i="2"/>
  <c r="S852" i="8"/>
  <c r="S853" i="8" s="1"/>
  <c r="V397" i="2"/>
  <c r="V968" i="8" s="1"/>
  <c r="V969" i="8" s="1"/>
  <c r="R383" i="2"/>
  <c r="R392" i="2"/>
  <c r="T375" i="2"/>
  <c r="T904" i="8" s="1"/>
  <c r="T905" i="8" s="1"/>
  <c r="U397" i="2"/>
  <c r="U968" i="8" s="1"/>
  <c r="U969" i="8" s="1"/>
  <c r="U884" i="8"/>
  <c r="U885" i="8" s="1"/>
  <c r="Q383" i="2"/>
  <c r="Q392" i="2"/>
  <c r="N383" i="2"/>
  <c r="N392" i="2"/>
  <c r="M383" i="2"/>
  <c r="M392" i="2"/>
  <c r="S392" i="2"/>
  <c r="S948" i="8" s="1"/>
  <c r="S949" i="8" s="1"/>
  <c r="P383" i="2"/>
  <c r="P392" i="2"/>
  <c r="U258" i="2"/>
  <c r="S876" i="8"/>
  <c r="S877" i="8" s="1"/>
  <c r="T976" i="8"/>
  <c r="T977" i="8" s="1"/>
  <c r="U352" i="2"/>
  <c r="U359" i="2"/>
  <c r="T884" i="8"/>
  <c r="T885" i="8" s="1"/>
  <c r="T968" i="8"/>
  <c r="T969" i="8" s="1"/>
  <c r="N888" i="8"/>
  <c r="N889" i="8" s="1"/>
  <c r="N972" i="8"/>
  <c r="N973" i="8" s="1"/>
  <c r="M868" i="8"/>
  <c r="M869" i="8" s="1"/>
  <c r="M952" i="8"/>
  <c r="M953" i="8" s="1"/>
  <c r="Q868" i="8"/>
  <c r="Q869" i="8" s="1"/>
  <c r="Q952" i="8"/>
  <c r="Q953" i="8" s="1"/>
  <c r="P872" i="8"/>
  <c r="P873" i="8" s="1"/>
  <c r="P956" i="8"/>
  <c r="P957" i="8" s="1"/>
  <c r="O884" i="8"/>
  <c r="O885" i="8" s="1"/>
  <c r="O968" i="8"/>
  <c r="O969" i="8" s="1"/>
  <c r="T356" i="2"/>
  <c r="T844" i="8" s="1"/>
  <c r="T845" i="8" s="1"/>
  <c r="P888" i="8"/>
  <c r="P889" i="8" s="1"/>
  <c r="P972" i="8"/>
  <c r="P973" i="8" s="1"/>
  <c r="Q888" i="8"/>
  <c r="Q889" i="8" s="1"/>
  <c r="Q972" i="8"/>
  <c r="Q973" i="8" s="1"/>
  <c r="O872" i="8"/>
  <c r="O873" i="8" s="1"/>
  <c r="O956" i="8"/>
  <c r="O957" i="8" s="1"/>
  <c r="L872" i="8"/>
  <c r="L873" i="8" s="1"/>
  <c r="L956" i="8"/>
  <c r="L957" i="8" s="1"/>
  <c r="W357" i="2"/>
  <c r="Q884" i="8"/>
  <c r="Q885" i="8" s="1"/>
  <c r="Q968" i="8"/>
  <c r="Q969" i="8" s="1"/>
  <c r="O888" i="8"/>
  <c r="O889" i="8" s="1"/>
  <c r="O972" i="8"/>
  <c r="O973" i="8" s="1"/>
  <c r="R872" i="8"/>
  <c r="R873" i="8" s="1"/>
  <c r="R956" i="8"/>
  <c r="R957" i="8" s="1"/>
  <c r="T355" i="2"/>
  <c r="T840" i="8" s="1"/>
  <c r="T841" i="8" s="1"/>
  <c r="T358" i="2"/>
  <c r="M872" i="8"/>
  <c r="M873" i="8" s="1"/>
  <c r="M956" i="8"/>
  <c r="M957" i="8" s="1"/>
  <c r="L884" i="8"/>
  <c r="L885" i="8" s="1"/>
  <c r="L968" i="8"/>
  <c r="L969" i="8" s="1"/>
  <c r="S884" i="8"/>
  <c r="S885" i="8" s="1"/>
  <c r="S968" i="8"/>
  <c r="S969" i="8" s="1"/>
  <c r="Q872" i="8"/>
  <c r="Q873" i="8" s="1"/>
  <c r="Q956" i="8"/>
  <c r="Q957" i="8" s="1"/>
  <c r="V353" i="2"/>
  <c r="S868" i="8"/>
  <c r="S869" i="8" s="1"/>
  <c r="S952" i="8"/>
  <c r="S953" i="8" s="1"/>
  <c r="U354" i="2"/>
  <c r="Q920" i="8"/>
  <c r="Q921" i="8" s="1"/>
  <c r="N884" i="8"/>
  <c r="N885" i="8" s="1"/>
  <c r="N968" i="8"/>
  <c r="N969" i="8" s="1"/>
  <c r="P884" i="8"/>
  <c r="P885" i="8" s="1"/>
  <c r="P968" i="8"/>
  <c r="P969" i="8" s="1"/>
  <c r="M884" i="8"/>
  <c r="M885" i="8" s="1"/>
  <c r="M968" i="8"/>
  <c r="M969" i="8" s="1"/>
  <c r="T868" i="8"/>
  <c r="T869" i="8" s="1"/>
  <c r="T952" i="8"/>
  <c r="T953" i="8" s="1"/>
  <c r="M888" i="8"/>
  <c r="M889" i="8" s="1"/>
  <c r="M972" i="8"/>
  <c r="M973" i="8" s="1"/>
  <c r="L868" i="8"/>
  <c r="L869" i="8" s="1"/>
  <c r="L952" i="8"/>
  <c r="L953" i="8" s="1"/>
  <c r="R868" i="8"/>
  <c r="R869" i="8" s="1"/>
  <c r="R952" i="8"/>
  <c r="R953" i="8" s="1"/>
  <c r="P868" i="8"/>
  <c r="P869" i="8" s="1"/>
  <c r="P952" i="8"/>
  <c r="P953" i="8" s="1"/>
  <c r="N868" i="8"/>
  <c r="N869" i="8" s="1"/>
  <c r="N952" i="8"/>
  <c r="N953" i="8" s="1"/>
  <c r="L888" i="8"/>
  <c r="L889" i="8" s="1"/>
  <c r="L972" i="8"/>
  <c r="L973" i="8" s="1"/>
  <c r="N872" i="8"/>
  <c r="N873" i="8" s="1"/>
  <c r="N956" i="8"/>
  <c r="N957" i="8" s="1"/>
  <c r="S956" i="8"/>
  <c r="S957" i="8" s="1"/>
  <c r="R884" i="8"/>
  <c r="R885" i="8" s="1"/>
  <c r="R968" i="8"/>
  <c r="R969" i="8" s="1"/>
  <c r="O868" i="8"/>
  <c r="O869" i="8" s="1"/>
  <c r="O952" i="8"/>
  <c r="O953" i="8" s="1"/>
  <c r="T386" i="2"/>
  <c r="T928" i="8" s="1"/>
  <c r="T929" i="8" s="1"/>
  <c r="V1096" i="8"/>
  <c r="V1097" i="8" s="1"/>
  <c r="V721" i="2"/>
  <c r="V1128" i="8" s="1"/>
  <c r="V1129" i="8" s="1"/>
  <c r="AC721" i="2"/>
  <c r="AC1128" i="8" s="1"/>
  <c r="AC1129" i="8" s="1"/>
  <c r="AC1096" i="8"/>
  <c r="AC1097" i="8" s="1"/>
  <c r="AD325" i="2"/>
  <c r="AD744" i="8" s="1"/>
  <c r="AD745" i="8" s="1"/>
  <c r="AD712" i="8"/>
  <c r="AD713" i="8" s="1"/>
  <c r="AA322" i="2"/>
  <c r="AA732" i="8" s="1"/>
  <c r="AA733" i="8" s="1"/>
  <c r="AA700" i="8"/>
  <c r="AA701" i="8" s="1"/>
  <c r="Q386" i="2"/>
  <c r="Q928" i="8" s="1"/>
  <c r="Q929" i="8" s="1"/>
  <c r="Q864" i="8"/>
  <c r="Q865" i="8" s="1"/>
  <c r="Q371" i="2"/>
  <c r="U1104" i="8"/>
  <c r="U1105" i="8" s="1"/>
  <c r="U723" i="2"/>
  <c r="U1136" i="8" s="1"/>
  <c r="U1137" i="8" s="1"/>
  <c r="X724" i="2"/>
  <c r="X1140" i="8" s="1"/>
  <c r="X1141" i="8" s="1"/>
  <c r="X1108" i="8"/>
  <c r="X1109" i="8" s="1"/>
  <c r="V1108" i="8"/>
  <c r="V1109" i="8" s="1"/>
  <c r="V724" i="2"/>
  <c r="V1140" i="8" s="1"/>
  <c r="V1141" i="8" s="1"/>
  <c r="F1117" i="8"/>
  <c r="Q1104" i="8"/>
  <c r="Q1105" i="8" s="1"/>
  <c r="Q723" i="2"/>
  <c r="Q1136" i="8" s="1"/>
  <c r="Q1137" i="8" s="1"/>
  <c r="X1104" i="8"/>
  <c r="X1105" i="8" s="1"/>
  <c r="X723" i="2"/>
  <c r="X1136" i="8" s="1"/>
  <c r="X1137" i="8" s="1"/>
  <c r="AE720" i="2"/>
  <c r="AE1124" i="8" s="1"/>
  <c r="AE1125" i="8" s="1"/>
  <c r="AE1092" i="8"/>
  <c r="AE1093" i="8" s="1"/>
  <c r="L1096" i="8"/>
  <c r="L1097" i="8" s="1"/>
  <c r="L721" i="2"/>
  <c r="L1128" i="8" s="1"/>
  <c r="L1129" i="8" s="1"/>
  <c r="U1096" i="8"/>
  <c r="U1097" i="8" s="1"/>
  <c r="U721" i="2"/>
  <c r="U1128" i="8" s="1"/>
  <c r="U1129" i="8" s="1"/>
  <c r="AE1088" i="8"/>
  <c r="AE1089" i="8" s="1"/>
  <c r="AE719" i="2"/>
  <c r="AE1120" i="8" s="1"/>
  <c r="AE1121" i="8" s="1"/>
  <c r="F1133" i="8"/>
  <c r="AC325" i="2"/>
  <c r="AC744" i="8" s="1"/>
  <c r="AC745" i="8" s="1"/>
  <c r="AC712" i="8"/>
  <c r="AC713" i="8" s="1"/>
  <c r="P712" i="8"/>
  <c r="P713" i="8" s="1"/>
  <c r="P325" i="2"/>
  <c r="P744" i="8" s="1"/>
  <c r="P745" i="8" s="1"/>
  <c r="O708" i="8"/>
  <c r="O709" i="8" s="1"/>
  <c r="O324" i="2"/>
  <c r="O740" i="8" s="1"/>
  <c r="O741" i="8" s="1"/>
  <c r="AC324" i="2"/>
  <c r="AC740" i="8" s="1"/>
  <c r="AC741" i="8" s="1"/>
  <c r="AC708" i="8"/>
  <c r="AC709" i="8" s="1"/>
  <c r="U716" i="8"/>
  <c r="U717" i="8" s="1"/>
  <c r="U326" i="2"/>
  <c r="U748" i="8" s="1"/>
  <c r="U749" i="8" s="1"/>
  <c r="O725" i="2"/>
  <c r="O1144" i="8" s="1"/>
  <c r="O1145" i="8" s="1"/>
  <c r="O1112" i="8"/>
  <c r="O1113" i="8" s="1"/>
  <c r="M700" i="8"/>
  <c r="M701" i="8" s="1"/>
  <c r="M322" i="2"/>
  <c r="M732" i="8" s="1"/>
  <c r="M733" i="8" s="1"/>
  <c r="N322" i="2"/>
  <c r="N732" i="8" s="1"/>
  <c r="N733" i="8" s="1"/>
  <c r="N700" i="8"/>
  <c r="N701" i="8" s="1"/>
  <c r="AE692" i="8"/>
  <c r="AE693" i="8" s="1"/>
  <c r="AE320" i="2"/>
  <c r="AE724" i="8" s="1"/>
  <c r="AE725" i="8" s="1"/>
  <c r="Q692" i="8"/>
  <c r="Q693" i="8" s="1"/>
  <c r="Q320" i="2"/>
  <c r="Q724" i="8" s="1"/>
  <c r="Q725" i="8" s="1"/>
  <c r="W1104" i="8"/>
  <c r="W1105" i="8" s="1"/>
  <c r="W723" i="2"/>
  <c r="W1136" i="8" s="1"/>
  <c r="W1137" i="8" s="1"/>
  <c r="P720" i="2"/>
  <c r="P1124" i="8" s="1"/>
  <c r="P1125" i="8" s="1"/>
  <c r="P1092" i="8"/>
  <c r="P1093" i="8" s="1"/>
  <c r="P708" i="8"/>
  <c r="P709" i="8" s="1"/>
  <c r="P324" i="2"/>
  <c r="P740" i="8" s="1"/>
  <c r="P741" i="8" s="1"/>
  <c r="Z1112" i="8"/>
  <c r="Z1113" i="8" s="1"/>
  <c r="Z725" i="2"/>
  <c r="Z1144" i="8" s="1"/>
  <c r="Z1145" i="8" s="1"/>
  <c r="Z692" i="8"/>
  <c r="Z693" i="8" s="1"/>
  <c r="Z320" i="2"/>
  <c r="Z724" i="8" s="1"/>
  <c r="Z725" i="8" s="1"/>
  <c r="X1096" i="8"/>
  <c r="X1097" i="8" s="1"/>
  <c r="X721" i="2"/>
  <c r="X1128" i="8" s="1"/>
  <c r="X1129" i="8" s="1"/>
  <c r="M385" i="2"/>
  <c r="M880" i="8"/>
  <c r="M881" i="8" s="1"/>
  <c r="W708" i="8"/>
  <c r="W709" i="8" s="1"/>
  <c r="W324" i="2"/>
  <c r="W740" i="8" s="1"/>
  <c r="W741" i="8" s="1"/>
  <c r="Z321" i="2"/>
  <c r="Z728" i="8" s="1"/>
  <c r="Z729" i="8" s="1"/>
  <c r="Z696" i="8"/>
  <c r="Z697" i="8" s="1"/>
  <c r="AD700" i="8"/>
  <c r="AD701" i="8" s="1"/>
  <c r="AD322" i="2"/>
  <c r="AD732" i="8" s="1"/>
  <c r="AD733" i="8" s="1"/>
  <c r="AB320" i="2"/>
  <c r="AB724" i="8" s="1"/>
  <c r="AB725" i="8" s="1"/>
  <c r="AB692" i="8"/>
  <c r="AB693" i="8" s="1"/>
  <c r="O1108" i="8"/>
  <c r="O1109" i="8" s="1"/>
  <c r="O724" i="2"/>
  <c r="O1140" i="8" s="1"/>
  <c r="O1141" i="8" s="1"/>
  <c r="F1149" i="8"/>
  <c r="O723" i="2"/>
  <c r="O1136" i="8" s="1"/>
  <c r="O1137" i="8" s="1"/>
  <c r="O1104" i="8"/>
  <c r="O1105" i="8" s="1"/>
  <c r="L723" i="2"/>
  <c r="L1136" i="8" s="1"/>
  <c r="L1137" i="8" s="1"/>
  <c r="L1104" i="8"/>
  <c r="L1105" i="8" s="1"/>
  <c r="Z1092" i="8"/>
  <c r="Z1093" i="8" s="1"/>
  <c r="Z720" i="2"/>
  <c r="Z1124" i="8" s="1"/>
  <c r="Z1125" i="8" s="1"/>
  <c r="V720" i="2"/>
  <c r="V1124" i="8" s="1"/>
  <c r="V1125" i="8" s="1"/>
  <c r="V1092" i="8"/>
  <c r="V1093" i="8" s="1"/>
  <c r="W1096" i="8"/>
  <c r="W1097" i="8" s="1"/>
  <c r="W721" i="2"/>
  <c r="W1128" i="8" s="1"/>
  <c r="W1129" i="8" s="1"/>
  <c r="AC1088" i="8"/>
  <c r="AC1089" i="8" s="1"/>
  <c r="AC719" i="2"/>
  <c r="AC1120" i="8" s="1"/>
  <c r="AC1121" i="8" s="1"/>
  <c r="F1101" i="8"/>
  <c r="AB325" i="2"/>
  <c r="AB744" i="8" s="1"/>
  <c r="AB745" i="8" s="1"/>
  <c r="AB712" i="8"/>
  <c r="AB713" i="8" s="1"/>
  <c r="Y325" i="2"/>
  <c r="Y744" i="8" s="1"/>
  <c r="Y745" i="8" s="1"/>
  <c r="Y712" i="8"/>
  <c r="Y713" i="8" s="1"/>
  <c r="Q880" i="8"/>
  <c r="Q881" i="8" s="1"/>
  <c r="Q385" i="2"/>
  <c r="V708" i="8"/>
  <c r="V709" i="8" s="1"/>
  <c r="V324" i="2"/>
  <c r="V740" i="8" s="1"/>
  <c r="V741" i="8" s="1"/>
  <c r="AB716" i="8"/>
  <c r="AB717" i="8" s="1"/>
  <c r="AB326" i="2"/>
  <c r="AB748" i="8" s="1"/>
  <c r="AB749" i="8" s="1"/>
  <c r="AE716" i="8"/>
  <c r="AE717" i="8" s="1"/>
  <c r="AE326" i="2"/>
  <c r="AE748" i="8" s="1"/>
  <c r="AE749" i="8" s="1"/>
  <c r="AE1112" i="8"/>
  <c r="AE1113" i="8" s="1"/>
  <c r="AE725" i="2"/>
  <c r="AE1144" i="8" s="1"/>
  <c r="AE1145" i="8" s="1"/>
  <c r="W725" i="2"/>
  <c r="W1144" i="8" s="1"/>
  <c r="W1145" i="8" s="1"/>
  <c r="W1112" i="8"/>
  <c r="W1113" i="8" s="1"/>
  <c r="Q700" i="8"/>
  <c r="Q701" i="8" s="1"/>
  <c r="Q322" i="2"/>
  <c r="Q732" i="8" s="1"/>
  <c r="Q733" i="8" s="1"/>
  <c r="V322" i="2"/>
  <c r="V732" i="8" s="1"/>
  <c r="V733" i="8" s="1"/>
  <c r="V700" i="8"/>
  <c r="V701" i="8" s="1"/>
  <c r="F737" i="8"/>
  <c r="N692" i="8"/>
  <c r="N693" i="8" s="1"/>
  <c r="N320" i="2"/>
  <c r="N724" i="8" s="1"/>
  <c r="N725" i="8" s="1"/>
  <c r="S692" i="8"/>
  <c r="S693" i="8" s="1"/>
  <c r="S320" i="2"/>
  <c r="S724" i="8" s="1"/>
  <c r="S725" i="8" s="1"/>
  <c r="R864" i="8"/>
  <c r="R865" i="8" s="1"/>
  <c r="R386" i="2"/>
  <c r="R928" i="8" s="1"/>
  <c r="R929" i="8" s="1"/>
  <c r="AB1108" i="8"/>
  <c r="AB1109" i="8" s="1"/>
  <c r="AB724" i="2"/>
  <c r="AB1140" i="8" s="1"/>
  <c r="AB1141" i="8" s="1"/>
  <c r="M1096" i="8"/>
  <c r="M1097" i="8" s="1"/>
  <c r="M721" i="2"/>
  <c r="M1128" i="8" s="1"/>
  <c r="M1129" i="8" s="1"/>
  <c r="L712" i="8"/>
  <c r="L713" i="8" s="1"/>
  <c r="L325" i="2"/>
  <c r="L744" i="8" s="1"/>
  <c r="L745" i="8" s="1"/>
  <c r="X1112" i="8"/>
  <c r="X1113" i="8" s="1"/>
  <c r="X725" i="2"/>
  <c r="X1144" i="8" s="1"/>
  <c r="X1145" i="8" s="1"/>
  <c r="R700" i="8"/>
  <c r="R701" i="8" s="1"/>
  <c r="R322" i="2"/>
  <c r="R732" i="8" s="1"/>
  <c r="R733" i="8" s="1"/>
  <c r="O864" i="8"/>
  <c r="O865" i="8" s="1"/>
  <c r="O386" i="2"/>
  <c r="O928" i="8" s="1"/>
  <c r="O929" i="8" s="1"/>
  <c r="O371" i="2"/>
  <c r="P1108" i="8"/>
  <c r="P1109" i="8" s="1"/>
  <c r="P724" i="2"/>
  <c r="P1140" i="8" s="1"/>
  <c r="P1141" i="8" s="1"/>
  <c r="AA1108" i="8"/>
  <c r="AA1109" i="8" s="1"/>
  <c r="AA724" i="2"/>
  <c r="AA1140" i="8" s="1"/>
  <c r="AA1141" i="8" s="1"/>
  <c r="V723" i="2"/>
  <c r="V1136" i="8" s="1"/>
  <c r="V1137" i="8" s="1"/>
  <c r="V1104" i="8"/>
  <c r="V1105" i="8" s="1"/>
  <c r="Y1092" i="8"/>
  <c r="Y1093" i="8" s="1"/>
  <c r="Y720" i="2"/>
  <c r="Y1124" i="8" s="1"/>
  <c r="Y1125" i="8" s="1"/>
  <c r="AD720" i="2"/>
  <c r="AD1124" i="8" s="1"/>
  <c r="AD1125" i="8" s="1"/>
  <c r="AD1092" i="8"/>
  <c r="AD1093" i="8" s="1"/>
  <c r="AB1096" i="8"/>
  <c r="AB1097" i="8" s="1"/>
  <c r="AB721" i="2"/>
  <c r="AB1128" i="8" s="1"/>
  <c r="AB1129" i="8" s="1"/>
  <c r="L1088" i="8"/>
  <c r="L1089" i="8" s="1"/>
  <c r="L719" i="2"/>
  <c r="L1120" i="8" s="1"/>
  <c r="L1121" i="8" s="1"/>
  <c r="R712" i="8"/>
  <c r="R713" i="8" s="1"/>
  <c r="R325" i="2"/>
  <c r="R744" i="8" s="1"/>
  <c r="R745" i="8" s="1"/>
  <c r="T712" i="8"/>
  <c r="T713" i="8" s="1"/>
  <c r="T325" i="2"/>
  <c r="T744" i="8" s="1"/>
  <c r="T745" i="8" s="1"/>
  <c r="N385" i="2"/>
  <c r="N880" i="8"/>
  <c r="N881" i="8" s="1"/>
  <c r="AA708" i="8"/>
  <c r="AA709" i="8" s="1"/>
  <c r="AA324" i="2"/>
  <c r="AA740" i="8" s="1"/>
  <c r="AA741" i="8" s="1"/>
  <c r="T716" i="8"/>
  <c r="T717" i="8" s="1"/>
  <c r="T326" i="2"/>
  <c r="T748" i="8" s="1"/>
  <c r="T749" i="8" s="1"/>
  <c r="U725" i="2"/>
  <c r="U1144" i="8" s="1"/>
  <c r="U1145" i="8" s="1"/>
  <c r="U1112" i="8"/>
  <c r="U1113" i="8" s="1"/>
  <c r="AA321" i="2"/>
  <c r="AA728" i="8" s="1"/>
  <c r="AA729" i="8" s="1"/>
  <c r="AA696" i="8"/>
  <c r="AA697" i="8" s="1"/>
  <c r="Y696" i="8"/>
  <c r="Y697" i="8" s="1"/>
  <c r="Y321" i="2"/>
  <c r="Y728" i="8" s="1"/>
  <c r="Y729" i="8" s="1"/>
  <c r="Z700" i="8"/>
  <c r="Z701" i="8" s="1"/>
  <c r="Z322" i="2"/>
  <c r="Z732" i="8" s="1"/>
  <c r="Z733" i="8" s="1"/>
  <c r="F705" i="8"/>
  <c r="N386" i="2"/>
  <c r="N928" i="8" s="1"/>
  <c r="N929" i="8" s="1"/>
  <c r="N864" i="8"/>
  <c r="N865" i="8" s="1"/>
  <c r="N371" i="2"/>
  <c r="AD692" i="8"/>
  <c r="AD693" i="8" s="1"/>
  <c r="AD320" i="2"/>
  <c r="AD724" i="8" s="1"/>
  <c r="AD725" i="8" s="1"/>
  <c r="O721" i="2"/>
  <c r="O1128" i="8" s="1"/>
  <c r="O1129" i="8" s="1"/>
  <c r="O1096" i="8"/>
  <c r="O1097" i="8" s="1"/>
  <c r="AA719" i="2"/>
  <c r="AA1120" i="8" s="1"/>
  <c r="AA1121" i="8" s="1"/>
  <c r="AA1088" i="8"/>
  <c r="AA1089" i="8" s="1"/>
  <c r="L371" i="2"/>
  <c r="L385" i="2"/>
  <c r="L880" i="8"/>
  <c r="L881" i="8" s="1"/>
  <c r="AC696" i="8"/>
  <c r="AC697" i="8" s="1"/>
  <c r="AC321" i="2"/>
  <c r="AC728" i="8" s="1"/>
  <c r="AC729" i="8" s="1"/>
  <c r="S322" i="2"/>
  <c r="S732" i="8" s="1"/>
  <c r="S733" i="8" s="1"/>
  <c r="S700" i="8"/>
  <c r="S701" i="8" s="1"/>
  <c r="O700" i="8"/>
  <c r="O701" i="8" s="1"/>
  <c r="O322" i="2"/>
  <c r="O732" i="8" s="1"/>
  <c r="O733" i="8" s="1"/>
  <c r="AD1108" i="8"/>
  <c r="AD1109" i="8" s="1"/>
  <c r="AD724" i="2"/>
  <c r="AD1140" i="8" s="1"/>
  <c r="AD1141" i="8" s="1"/>
  <c r="S321" i="2"/>
  <c r="S728" i="8" s="1"/>
  <c r="S729" i="8" s="1"/>
  <c r="S696" i="8"/>
  <c r="S697" i="8" s="1"/>
  <c r="N1108" i="8"/>
  <c r="N1109" i="8" s="1"/>
  <c r="N724" i="2"/>
  <c r="N1140" i="8" s="1"/>
  <c r="N1141" i="8" s="1"/>
  <c r="U1108" i="8"/>
  <c r="U1109" i="8" s="1"/>
  <c r="U724" i="2"/>
  <c r="U1140" i="8" s="1"/>
  <c r="U1141" i="8" s="1"/>
  <c r="N1104" i="8"/>
  <c r="N1105" i="8" s="1"/>
  <c r="N723" i="2"/>
  <c r="N1136" i="8" s="1"/>
  <c r="N1137" i="8" s="1"/>
  <c r="AA1104" i="8"/>
  <c r="AA1105" i="8" s="1"/>
  <c r="AA723" i="2"/>
  <c r="AA1136" i="8" s="1"/>
  <c r="AA1137" i="8" s="1"/>
  <c r="X1092" i="8"/>
  <c r="X1093" i="8" s="1"/>
  <c r="X720" i="2"/>
  <c r="X1124" i="8" s="1"/>
  <c r="X1125" i="8" s="1"/>
  <c r="U1092" i="8"/>
  <c r="U1093" i="8" s="1"/>
  <c r="U720" i="2"/>
  <c r="U1124" i="8" s="1"/>
  <c r="U1125" i="8" s="1"/>
  <c r="AE1096" i="8"/>
  <c r="AE1097" i="8" s="1"/>
  <c r="AE721" i="2"/>
  <c r="AE1128" i="8" s="1"/>
  <c r="AE1129" i="8" s="1"/>
  <c r="Z1088" i="8"/>
  <c r="Z1089" i="8" s="1"/>
  <c r="Z719" i="2"/>
  <c r="Z1120" i="8" s="1"/>
  <c r="Z1121" i="8" s="1"/>
  <c r="V1088" i="8"/>
  <c r="V1089" i="8" s="1"/>
  <c r="V719" i="2"/>
  <c r="V1120" i="8" s="1"/>
  <c r="V1121" i="8" s="1"/>
  <c r="N712" i="8"/>
  <c r="N713" i="8" s="1"/>
  <c r="N325" i="2"/>
  <c r="N744" i="8" s="1"/>
  <c r="N745" i="8" s="1"/>
  <c r="AE708" i="8"/>
  <c r="AE709" i="8" s="1"/>
  <c r="AE324" i="2"/>
  <c r="AE740" i="8" s="1"/>
  <c r="AE741" i="8" s="1"/>
  <c r="U708" i="8"/>
  <c r="U709" i="8" s="1"/>
  <c r="U324" i="2"/>
  <c r="U740" i="8" s="1"/>
  <c r="U741" i="8" s="1"/>
  <c r="AA716" i="8"/>
  <c r="AA717" i="8" s="1"/>
  <c r="AA326" i="2"/>
  <c r="AA748" i="8" s="1"/>
  <c r="AA749" i="8" s="1"/>
  <c r="Q326" i="2"/>
  <c r="Q748" i="8" s="1"/>
  <c r="Q749" i="8" s="1"/>
  <c r="Q716" i="8"/>
  <c r="Q717" i="8" s="1"/>
  <c r="M1112" i="8"/>
  <c r="M1113" i="8" s="1"/>
  <c r="M725" i="2"/>
  <c r="M1144" i="8" s="1"/>
  <c r="M1145" i="8" s="1"/>
  <c r="V725" i="2"/>
  <c r="V1144" i="8" s="1"/>
  <c r="V1145" i="8" s="1"/>
  <c r="V1112" i="8"/>
  <c r="V1113" i="8" s="1"/>
  <c r="AB696" i="8"/>
  <c r="AB697" i="8" s="1"/>
  <c r="AB321" i="2"/>
  <c r="AB728" i="8" s="1"/>
  <c r="AB729" i="8" s="1"/>
  <c r="L700" i="8"/>
  <c r="L701" i="8" s="1"/>
  <c r="L322" i="2"/>
  <c r="L732" i="8" s="1"/>
  <c r="L733" i="8" s="1"/>
  <c r="U700" i="8"/>
  <c r="U701" i="8" s="1"/>
  <c r="U322" i="2"/>
  <c r="U732" i="8" s="1"/>
  <c r="U733" i="8" s="1"/>
  <c r="M692" i="8"/>
  <c r="M693" i="8" s="1"/>
  <c r="M320" i="2"/>
  <c r="M724" i="8" s="1"/>
  <c r="M725" i="8" s="1"/>
  <c r="R692" i="8"/>
  <c r="R693" i="8" s="1"/>
  <c r="R320" i="2"/>
  <c r="R724" i="8" s="1"/>
  <c r="R725" i="8" s="1"/>
  <c r="O1088" i="8"/>
  <c r="O1089" i="8" s="1"/>
  <c r="O719" i="2"/>
  <c r="O1120" i="8" s="1"/>
  <c r="O1121" i="8" s="1"/>
  <c r="L708" i="8"/>
  <c r="L709" i="8" s="1"/>
  <c r="L324" i="2"/>
  <c r="L740" i="8" s="1"/>
  <c r="L741" i="8" s="1"/>
  <c r="Y723" i="2"/>
  <c r="Y1136" i="8" s="1"/>
  <c r="Y1137" i="8" s="1"/>
  <c r="Y1104" i="8"/>
  <c r="Y1105" i="8" s="1"/>
  <c r="N1096" i="8"/>
  <c r="N1097" i="8" s="1"/>
  <c r="N721" i="2"/>
  <c r="N1128" i="8" s="1"/>
  <c r="N1129" i="8" s="1"/>
  <c r="Q712" i="8"/>
  <c r="Q713" i="8" s="1"/>
  <c r="Q325" i="2"/>
  <c r="Q744" i="8" s="1"/>
  <c r="Q745" i="8" s="1"/>
  <c r="T748" i="2"/>
  <c r="T1220" i="8" s="1"/>
  <c r="T1221" i="8" s="1"/>
  <c r="R1108" i="8"/>
  <c r="R1109" i="8" s="1"/>
  <c r="R724" i="2"/>
  <c r="R1140" i="8" s="1"/>
  <c r="R1141" i="8" s="1"/>
  <c r="M719" i="2"/>
  <c r="M1120" i="8" s="1"/>
  <c r="M1121" i="8" s="1"/>
  <c r="M1088" i="8"/>
  <c r="M1089" i="8" s="1"/>
  <c r="S326" i="2"/>
  <c r="S748" i="8" s="1"/>
  <c r="S749" i="8" s="1"/>
  <c r="S716" i="8"/>
  <c r="S717" i="8" s="1"/>
  <c r="X696" i="8"/>
  <c r="X697" i="8" s="1"/>
  <c r="X321" i="2"/>
  <c r="X728" i="8" s="1"/>
  <c r="X729" i="8" s="1"/>
  <c r="W1108" i="8"/>
  <c r="W1109" i="8" s="1"/>
  <c r="W724" i="2"/>
  <c r="W1140" i="8" s="1"/>
  <c r="W1141" i="8" s="1"/>
  <c r="R1092" i="8"/>
  <c r="R1093" i="8" s="1"/>
  <c r="R720" i="2"/>
  <c r="R1124" i="8" s="1"/>
  <c r="R1125" i="8" s="1"/>
  <c r="N1092" i="8"/>
  <c r="N1093" i="8" s="1"/>
  <c r="N720" i="2"/>
  <c r="N1124" i="8" s="1"/>
  <c r="N1125" i="8" s="1"/>
  <c r="S1096" i="8"/>
  <c r="S1097" i="8" s="1"/>
  <c r="S721" i="2"/>
  <c r="S1128" i="8" s="1"/>
  <c r="S1129" i="8" s="1"/>
  <c r="S1088" i="8"/>
  <c r="S1089" i="8" s="1"/>
  <c r="S719" i="2"/>
  <c r="S1120" i="8" s="1"/>
  <c r="S1121" i="8" s="1"/>
  <c r="Y1088" i="8"/>
  <c r="Y1089" i="8" s="1"/>
  <c r="Y719" i="2"/>
  <c r="Y1120" i="8" s="1"/>
  <c r="Y1121" i="8" s="1"/>
  <c r="V325" i="2"/>
  <c r="V744" i="8" s="1"/>
  <c r="V745" i="8" s="1"/>
  <c r="V712" i="8"/>
  <c r="V713" i="8" s="1"/>
  <c r="X712" i="8"/>
  <c r="X713" i="8" s="1"/>
  <c r="X325" i="2"/>
  <c r="X744" i="8" s="1"/>
  <c r="X745" i="8" s="1"/>
  <c r="N708" i="8"/>
  <c r="N709" i="8" s="1"/>
  <c r="N324" i="2"/>
  <c r="N740" i="8" s="1"/>
  <c r="N741" i="8" s="1"/>
  <c r="Z708" i="8"/>
  <c r="Z709" i="8" s="1"/>
  <c r="Z324" i="2"/>
  <c r="Z740" i="8" s="1"/>
  <c r="Z741" i="8" s="1"/>
  <c r="Z326" i="2"/>
  <c r="Z748" i="8" s="1"/>
  <c r="Z749" i="8" s="1"/>
  <c r="Z716" i="8"/>
  <c r="Z717" i="8" s="1"/>
  <c r="T725" i="2"/>
  <c r="T1144" i="8" s="1"/>
  <c r="T1145" i="8" s="1"/>
  <c r="T1112" i="8"/>
  <c r="T1113" i="8" s="1"/>
  <c r="AB1112" i="8"/>
  <c r="AB1113" i="8" s="1"/>
  <c r="AB725" i="2"/>
  <c r="AB1144" i="8" s="1"/>
  <c r="AB1145" i="8" s="1"/>
  <c r="P321" i="2"/>
  <c r="P728" i="8" s="1"/>
  <c r="P729" i="8" s="1"/>
  <c r="P696" i="8"/>
  <c r="P697" i="8" s="1"/>
  <c r="W696" i="8"/>
  <c r="W697" i="8" s="1"/>
  <c r="W321" i="2"/>
  <c r="W728" i="8" s="1"/>
  <c r="W729" i="8" s="1"/>
  <c r="L864" i="8"/>
  <c r="L865" i="8" s="1"/>
  <c r="L386" i="2"/>
  <c r="L928" i="8" s="1"/>
  <c r="L929" i="8" s="1"/>
  <c r="P692" i="8"/>
  <c r="P693" i="8" s="1"/>
  <c r="P320" i="2"/>
  <c r="P724" i="8" s="1"/>
  <c r="P725" i="8" s="1"/>
  <c r="X700" i="8"/>
  <c r="X701" i="8" s="1"/>
  <c r="X322" i="2"/>
  <c r="X732" i="8" s="1"/>
  <c r="X733" i="8" s="1"/>
  <c r="AB723" i="2"/>
  <c r="AB1136" i="8" s="1"/>
  <c r="AB1137" i="8" s="1"/>
  <c r="AB1104" i="8"/>
  <c r="AB1105" i="8" s="1"/>
  <c r="M724" i="2"/>
  <c r="M1140" i="8" s="1"/>
  <c r="M1141" i="8" s="1"/>
  <c r="M1108" i="8"/>
  <c r="M1109" i="8" s="1"/>
  <c r="T724" i="2"/>
  <c r="T1140" i="8" s="1"/>
  <c r="T1141" i="8" s="1"/>
  <c r="T1108" i="8"/>
  <c r="T1109" i="8" s="1"/>
  <c r="AE723" i="2"/>
  <c r="AE1136" i="8" s="1"/>
  <c r="AE1137" i="8" s="1"/>
  <c r="AE1104" i="8"/>
  <c r="AE1105" i="8" s="1"/>
  <c r="W1092" i="8"/>
  <c r="W1093" i="8" s="1"/>
  <c r="W720" i="2"/>
  <c r="W1124" i="8" s="1"/>
  <c r="W1125" i="8" s="1"/>
  <c r="Q1092" i="8"/>
  <c r="Q1093" i="8" s="1"/>
  <c r="Q720" i="2"/>
  <c r="Q1124" i="8" s="1"/>
  <c r="Q1125" i="8" s="1"/>
  <c r="AA721" i="2"/>
  <c r="AA1128" i="8" s="1"/>
  <c r="AA1129" i="8" s="1"/>
  <c r="AA1096" i="8"/>
  <c r="AA1097" i="8" s="1"/>
  <c r="AD1088" i="8"/>
  <c r="AD1089" i="8" s="1"/>
  <c r="AD719" i="2"/>
  <c r="AD1120" i="8" s="1"/>
  <c r="AD1121" i="8" s="1"/>
  <c r="U1088" i="8"/>
  <c r="U1089" i="8" s="1"/>
  <c r="U719" i="2"/>
  <c r="U1120" i="8" s="1"/>
  <c r="U1121" i="8" s="1"/>
  <c r="AA712" i="8"/>
  <c r="AA713" i="8" s="1"/>
  <c r="AA325" i="2"/>
  <c r="AA744" i="8" s="1"/>
  <c r="AA745" i="8" s="1"/>
  <c r="P385" i="2"/>
  <c r="P880" i="8"/>
  <c r="P881" i="8" s="1"/>
  <c r="T324" i="2"/>
  <c r="T740" i="8" s="1"/>
  <c r="T741" i="8" s="1"/>
  <c r="T708" i="8"/>
  <c r="T709" i="8" s="1"/>
  <c r="N716" i="8"/>
  <c r="N717" i="8" s="1"/>
  <c r="N326" i="2"/>
  <c r="N748" i="8" s="1"/>
  <c r="N749" i="8" s="1"/>
  <c r="L725" i="2"/>
  <c r="L1144" i="8" s="1"/>
  <c r="L1145" i="8" s="1"/>
  <c r="L1112" i="8"/>
  <c r="L1113" i="8" s="1"/>
  <c r="S1112" i="8"/>
  <c r="S1113" i="8" s="1"/>
  <c r="S725" i="2"/>
  <c r="S1144" i="8" s="1"/>
  <c r="S1145" i="8" s="1"/>
  <c r="O696" i="8"/>
  <c r="O697" i="8" s="1"/>
  <c r="O321" i="2"/>
  <c r="O728" i="8" s="1"/>
  <c r="O729" i="8" s="1"/>
  <c r="Y700" i="8"/>
  <c r="Y701" i="8" s="1"/>
  <c r="Y322" i="2"/>
  <c r="Y732" i="8" s="1"/>
  <c r="Y733" i="8" s="1"/>
  <c r="T322" i="2"/>
  <c r="T732" i="8" s="1"/>
  <c r="T733" i="8" s="1"/>
  <c r="T700" i="8"/>
  <c r="T701" i="8" s="1"/>
  <c r="W692" i="8"/>
  <c r="W693" i="8" s="1"/>
  <c r="W320" i="2"/>
  <c r="W724" i="8" s="1"/>
  <c r="W725" i="8" s="1"/>
  <c r="L692" i="8"/>
  <c r="L693" i="8" s="1"/>
  <c r="L320" i="2"/>
  <c r="L724" i="8" s="1"/>
  <c r="L725" i="8" s="1"/>
  <c r="R321" i="2"/>
  <c r="R728" i="8" s="1"/>
  <c r="R729" i="8" s="1"/>
  <c r="R696" i="8"/>
  <c r="R697" i="8" s="1"/>
  <c r="S723" i="2"/>
  <c r="S1136" i="8" s="1"/>
  <c r="S1137" i="8" s="1"/>
  <c r="S1104" i="8"/>
  <c r="S1105" i="8" s="1"/>
  <c r="T1092" i="8"/>
  <c r="T1093" i="8" s="1"/>
  <c r="T720" i="2"/>
  <c r="T1124" i="8" s="1"/>
  <c r="T1125" i="8" s="1"/>
  <c r="AC720" i="2"/>
  <c r="AC1124" i="8" s="1"/>
  <c r="AC1125" i="8" s="1"/>
  <c r="AC1092" i="8"/>
  <c r="AC1093" i="8" s="1"/>
  <c r="T1096" i="8"/>
  <c r="T1097" i="8" s="1"/>
  <c r="T721" i="2"/>
  <c r="T1128" i="8" s="1"/>
  <c r="T1129" i="8" s="1"/>
  <c r="X1088" i="8"/>
  <c r="X1089" i="8" s="1"/>
  <c r="X719" i="2"/>
  <c r="X1120" i="8" s="1"/>
  <c r="X1121" i="8" s="1"/>
  <c r="U712" i="8"/>
  <c r="U713" i="8" s="1"/>
  <c r="U325" i="2"/>
  <c r="U744" i="8" s="1"/>
  <c r="U745" i="8" s="1"/>
  <c r="M708" i="8"/>
  <c r="M709" i="8" s="1"/>
  <c r="M324" i="2"/>
  <c r="M740" i="8" s="1"/>
  <c r="M741" i="8" s="1"/>
  <c r="Y716" i="8"/>
  <c r="Y717" i="8" s="1"/>
  <c r="Y326" i="2"/>
  <c r="Y748" i="8" s="1"/>
  <c r="Y749" i="8" s="1"/>
  <c r="AD716" i="8"/>
  <c r="AD717" i="8" s="1"/>
  <c r="AD326" i="2"/>
  <c r="AD748" i="8" s="1"/>
  <c r="AD749" i="8" s="1"/>
  <c r="R1112" i="8"/>
  <c r="R1113" i="8" s="1"/>
  <c r="R725" i="2"/>
  <c r="R1144" i="8" s="1"/>
  <c r="R1145" i="8" s="1"/>
  <c r="AA1112" i="8"/>
  <c r="AA1113" i="8" s="1"/>
  <c r="AA725" i="2"/>
  <c r="AA1144" i="8" s="1"/>
  <c r="AA1145" i="8" s="1"/>
  <c r="Q696" i="8"/>
  <c r="Q697" i="8" s="1"/>
  <c r="Q321" i="2"/>
  <c r="Q728" i="8" s="1"/>
  <c r="Q729" i="8" s="1"/>
  <c r="V696" i="8"/>
  <c r="V697" i="8" s="1"/>
  <c r="V321" i="2"/>
  <c r="V728" i="8" s="1"/>
  <c r="V729" i="8" s="1"/>
  <c r="V692" i="8"/>
  <c r="V693" i="8" s="1"/>
  <c r="V320" i="2"/>
  <c r="V724" i="8" s="1"/>
  <c r="V725" i="8" s="1"/>
  <c r="AC692" i="8"/>
  <c r="AC693" i="8" s="1"/>
  <c r="AC320" i="2"/>
  <c r="AC724" i="8" s="1"/>
  <c r="AC725" i="8" s="1"/>
  <c r="S1092" i="8"/>
  <c r="S1093" i="8" s="1"/>
  <c r="S720" i="2"/>
  <c r="S1124" i="8" s="1"/>
  <c r="S1125" i="8" s="1"/>
  <c r="L724" i="2"/>
  <c r="L1140" i="8" s="1"/>
  <c r="L1141" i="8" s="1"/>
  <c r="L1108" i="8"/>
  <c r="L1109" i="8" s="1"/>
  <c r="S1108" i="8"/>
  <c r="S1109" i="8" s="1"/>
  <c r="S724" i="2"/>
  <c r="S1140" i="8" s="1"/>
  <c r="S1141" i="8" s="1"/>
  <c r="R723" i="2"/>
  <c r="R1136" i="8" s="1"/>
  <c r="R1137" i="8" s="1"/>
  <c r="R1104" i="8"/>
  <c r="R1105" i="8" s="1"/>
  <c r="L1092" i="8"/>
  <c r="L1093" i="8" s="1"/>
  <c r="L720" i="2"/>
  <c r="L1124" i="8" s="1"/>
  <c r="L1125" i="8" s="1"/>
  <c r="AA1092" i="8"/>
  <c r="AA1093" i="8" s="1"/>
  <c r="AA720" i="2"/>
  <c r="AA1124" i="8" s="1"/>
  <c r="AA1125" i="8" s="1"/>
  <c r="R1096" i="8"/>
  <c r="R1097" i="8" s="1"/>
  <c r="R721" i="2"/>
  <c r="R1128" i="8" s="1"/>
  <c r="R1129" i="8" s="1"/>
  <c r="Z1096" i="8"/>
  <c r="Z1097" i="8" s="1"/>
  <c r="Z721" i="2"/>
  <c r="Z1128" i="8" s="1"/>
  <c r="Z1129" i="8" s="1"/>
  <c r="N1088" i="8"/>
  <c r="N1089" i="8" s="1"/>
  <c r="N719" i="2"/>
  <c r="N1120" i="8" s="1"/>
  <c r="N1121" i="8" s="1"/>
  <c r="W325" i="2"/>
  <c r="W744" i="8" s="1"/>
  <c r="W745" i="8" s="1"/>
  <c r="W712" i="8"/>
  <c r="W713" i="8" s="1"/>
  <c r="M712" i="8"/>
  <c r="M713" i="8" s="1"/>
  <c r="M325" i="2"/>
  <c r="M744" i="8" s="1"/>
  <c r="M745" i="8" s="1"/>
  <c r="Y708" i="8"/>
  <c r="Y709" i="8" s="1"/>
  <c r="Y324" i="2"/>
  <c r="Y740" i="8" s="1"/>
  <c r="Y741" i="8" s="1"/>
  <c r="R324" i="2"/>
  <c r="R740" i="8" s="1"/>
  <c r="R741" i="8" s="1"/>
  <c r="R708" i="8"/>
  <c r="R709" i="8" s="1"/>
  <c r="W716" i="8"/>
  <c r="W717" i="8" s="1"/>
  <c r="W326" i="2"/>
  <c r="W748" i="8" s="1"/>
  <c r="W749" i="8" s="1"/>
  <c r="AC716" i="8"/>
  <c r="AC717" i="8" s="1"/>
  <c r="AC326" i="2"/>
  <c r="AC748" i="8" s="1"/>
  <c r="AC749" i="8" s="1"/>
  <c r="AD725" i="2"/>
  <c r="AD1144" i="8" s="1"/>
  <c r="AD1145" i="8" s="1"/>
  <c r="AD1112" i="8"/>
  <c r="AD1113" i="8" s="1"/>
  <c r="N321" i="2"/>
  <c r="N728" i="8" s="1"/>
  <c r="N729" i="8" s="1"/>
  <c r="N696" i="8"/>
  <c r="N697" i="8" s="1"/>
  <c r="AB322" i="2"/>
  <c r="AB732" i="8" s="1"/>
  <c r="AB733" i="8" s="1"/>
  <c r="AB700" i="8"/>
  <c r="AB701" i="8" s="1"/>
  <c r="U692" i="8"/>
  <c r="U693" i="8" s="1"/>
  <c r="U320" i="2"/>
  <c r="U724" i="8" s="1"/>
  <c r="U725" i="8" s="1"/>
  <c r="O692" i="8"/>
  <c r="O693" i="8" s="1"/>
  <c r="O320" i="2"/>
  <c r="O724" i="8" s="1"/>
  <c r="O725" i="8" s="1"/>
  <c r="P700" i="8"/>
  <c r="P701" i="8" s="1"/>
  <c r="P322" i="2"/>
  <c r="P732" i="8" s="1"/>
  <c r="P733" i="8" s="1"/>
  <c r="T692" i="8"/>
  <c r="T693" i="8" s="1"/>
  <c r="T320" i="2"/>
  <c r="T724" i="8" s="1"/>
  <c r="T725" i="8" s="1"/>
  <c r="M864" i="8"/>
  <c r="M865" i="8" s="1"/>
  <c r="M386" i="2"/>
  <c r="M928" i="8" s="1"/>
  <c r="M929" i="8" s="1"/>
  <c r="M371" i="2"/>
  <c r="AD1104" i="8"/>
  <c r="AD1105" i="8" s="1"/>
  <c r="AD723" i="2"/>
  <c r="AD1136" i="8" s="1"/>
  <c r="AD1137" i="8" s="1"/>
  <c r="L716" i="8"/>
  <c r="L717" i="8" s="1"/>
  <c r="L326" i="2"/>
  <c r="L748" i="8" s="1"/>
  <c r="L749" i="8" s="1"/>
  <c r="AB708" i="8"/>
  <c r="AB709" i="8" s="1"/>
  <c r="AB324" i="2"/>
  <c r="AB740" i="8" s="1"/>
  <c r="AB741" i="8" s="1"/>
  <c r="Z1104" i="8"/>
  <c r="Z1105" i="8" s="1"/>
  <c r="Z723" i="2"/>
  <c r="Z1136" i="8" s="1"/>
  <c r="Z1137" i="8" s="1"/>
  <c r="AC1104" i="8"/>
  <c r="AC1105" i="8" s="1"/>
  <c r="AC723" i="2"/>
  <c r="AC1136" i="8" s="1"/>
  <c r="AC1137" i="8" s="1"/>
  <c r="P1096" i="8"/>
  <c r="P1097" i="8" s="1"/>
  <c r="P721" i="2"/>
  <c r="P1128" i="8" s="1"/>
  <c r="P1129" i="8" s="1"/>
  <c r="R1088" i="8"/>
  <c r="R1089" i="8" s="1"/>
  <c r="R719" i="2"/>
  <c r="R1120" i="8" s="1"/>
  <c r="R1121" i="8" s="1"/>
  <c r="R880" i="8"/>
  <c r="R881" i="8" s="1"/>
  <c r="R385" i="2"/>
  <c r="AD324" i="2"/>
  <c r="AD740" i="8" s="1"/>
  <c r="AD741" i="8" s="1"/>
  <c r="AD708" i="8"/>
  <c r="AD709" i="8" s="1"/>
  <c r="X326" i="2"/>
  <c r="X748" i="8" s="1"/>
  <c r="X749" i="8" s="1"/>
  <c r="X716" i="8"/>
  <c r="X717" i="8" s="1"/>
  <c r="P326" i="2"/>
  <c r="P748" i="8" s="1"/>
  <c r="P749" i="8" s="1"/>
  <c r="P716" i="8"/>
  <c r="P717" i="8" s="1"/>
  <c r="P1112" i="8"/>
  <c r="P1113" i="8" s="1"/>
  <c r="P725" i="2"/>
  <c r="P1144" i="8" s="1"/>
  <c r="P1145" i="8" s="1"/>
  <c r="Q1112" i="8"/>
  <c r="Q1113" i="8" s="1"/>
  <c r="Q725" i="2"/>
  <c r="Q1144" i="8" s="1"/>
  <c r="Q1145" i="8" s="1"/>
  <c r="L696" i="8"/>
  <c r="L697" i="8" s="1"/>
  <c r="L321" i="2"/>
  <c r="L728" i="8" s="1"/>
  <c r="L729" i="8" s="1"/>
  <c r="AE1108" i="8"/>
  <c r="AE1109" i="8" s="1"/>
  <c r="AE724" i="2"/>
  <c r="AE1140" i="8" s="1"/>
  <c r="AE1141" i="8" s="1"/>
  <c r="P1104" i="8"/>
  <c r="P1105" i="8" s="1"/>
  <c r="P723" i="2"/>
  <c r="P1136" i="8" s="1"/>
  <c r="P1137" i="8" s="1"/>
  <c r="AB1092" i="8"/>
  <c r="AB1093" i="8" s="1"/>
  <c r="AB720" i="2"/>
  <c r="AB1124" i="8" s="1"/>
  <c r="AB1125" i="8" s="1"/>
  <c r="Y721" i="2"/>
  <c r="Y1128" i="8" s="1"/>
  <c r="Y1129" i="8" s="1"/>
  <c r="Y1096" i="8"/>
  <c r="Y1097" i="8" s="1"/>
  <c r="AB1088" i="8"/>
  <c r="AB1089" i="8" s="1"/>
  <c r="AB719" i="2"/>
  <c r="AB1120" i="8" s="1"/>
  <c r="AB1121" i="8" s="1"/>
  <c r="P1088" i="8"/>
  <c r="P1089" i="8" s="1"/>
  <c r="P719" i="2"/>
  <c r="P1120" i="8" s="1"/>
  <c r="P1121" i="8" s="1"/>
  <c r="D4" i="8"/>
  <c r="F721" i="8"/>
  <c r="O712" i="8"/>
  <c r="O713" i="8" s="1"/>
  <c r="O325" i="2"/>
  <c r="O744" i="8" s="1"/>
  <c r="O745" i="8" s="1"/>
  <c r="S712" i="8"/>
  <c r="S713" i="8" s="1"/>
  <c r="S325" i="2"/>
  <c r="S744" i="8" s="1"/>
  <c r="S745" i="8" s="1"/>
  <c r="X708" i="8"/>
  <c r="X709" i="8" s="1"/>
  <c r="X324" i="2"/>
  <c r="X740" i="8" s="1"/>
  <c r="X741" i="8" s="1"/>
  <c r="O880" i="8"/>
  <c r="O881" i="8" s="1"/>
  <c r="O385" i="2"/>
  <c r="O716" i="8"/>
  <c r="O717" i="8" s="1"/>
  <c r="O326" i="2"/>
  <c r="O748" i="8" s="1"/>
  <c r="O749" i="8" s="1"/>
  <c r="Y1112" i="8"/>
  <c r="Y1113" i="8" s="1"/>
  <c r="Y725" i="2"/>
  <c r="Y1144" i="8" s="1"/>
  <c r="Y1145" i="8" s="1"/>
  <c r="AE696" i="8"/>
  <c r="AE697" i="8" s="1"/>
  <c r="AE321" i="2"/>
  <c r="AE728" i="8" s="1"/>
  <c r="AE729" i="8" s="1"/>
  <c r="M696" i="8"/>
  <c r="M697" i="8" s="1"/>
  <c r="M321" i="2"/>
  <c r="M728" i="8" s="1"/>
  <c r="M729" i="8" s="1"/>
  <c r="AE700" i="8"/>
  <c r="AE701" i="8" s="1"/>
  <c r="AE322" i="2"/>
  <c r="AE732" i="8" s="1"/>
  <c r="AE733" i="8" s="1"/>
  <c r="AA692" i="8"/>
  <c r="AA693" i="8" s="1"/>
  <c r="AA320" i="2"/>
  <c r="AA724" i="8" s="1"/>
  <c r="AA725" i="8" s="1"/>
  <c r="P864" i="8"/>
  <c r="P865" i="8" s="1"/>
  <c r="P386" i="2"/>
  <c r="P928" i="8" s="1"/>
  <c r="P929" i="8" s="1"/>
  <c r="P371" i="2"/>
  <c r="Z724" i="2"/>
  <c r="Z1140" i="8" s="1"/>
  <c r="Z1141" i="8" s="1"/>
  <c r="Z1108" i="8"/>
  <c r="Z1109" i="8" s="1"/>
  <c r="R326" i="2"/>
  <c r="R748" i="8" s="1"/>
  <c r="R749" i="8" s="1"/>
  <c r="R716" i="8"/>
  <c r="R717" i="8" s="1"/>
  <c r="X692" i="8"/>
  <c r="X693" i="8" s="1"/>
  <c r="X320" i="2"/>
  <c r="X724" i="8" s="1"/>
  <c r="X725" i="8" s="1"/>
  <c r="Y1108" i="8"/>
  <c r="Y1109" i="8" s="1"/>
  <c r="Y724" i="2"/>
  <c r="Y1140" i="8" s="1"/>
  <c r="Y1141" i="8" s="1"/>
  <c r="W1088" i="8"/>
  <c r="W1089" i="8" s="1"/>
  <c r="W719" i="2"/>
  <c r="W1120" i="8" s="1"/>
  <c r="W1121" i="8" s="1"/>
  <c r="AC1108" i="8"/>
  <c r="AC1109" i="8" s="1"/>
  <c r="AC724" i="2"/>
  <c r="AC1140" i="8" s="1"/>
  <c r="AC1141" i="8" s="1"/>
  <c r="M1092" i="8"/>
  <c r="M1093" i="8" s="1"/>
  <c r="M720" i="2"/>
  <c r="M1124" i="8" s="1"/>
  <c r="M1125" i="8" s="1"/>
  <c r="Q1096" i="8"/>
  <c r="Q1097" i="8" s="1"/>
  <c r="Q721" i="2"/>
  <c r="Q1128" i="8" s="1"/>
  <c r="Q1129" i="8" s="1"/>
  <c r="T1088" i="8"/>
  <c r="T1089" i="8" s="1"/>
  <c r="T719" i="2"/>
  <c r="T1120" i="8" s="1"/>
  <c r="T1121" i="8" s="1"/>
  <c r="F753" i="8"/>
  <c r="U321" i="2"/>
  <c r="U728" i="8" s="1"/>
  <c r="U729" i="8" s="1"/>
  <c r="U696" i="8"/>
  <c r="U697" i="8" s="1"/>
  <c r="R371" i="2"/>
  <c r="Q1108" i="8"/>
  <c r="Q1109" i="8" s="1"/>
  <c r="Q724" i="2"/>
  <c r="Q1140" i="8" s="1"/>
  <c r="Q1141" i="8" s="1"/>
  <c r="T1104" i="8"/>
  <c r="T1105" i="8" s="1"/>
  <c r="T723" i="2"/>
  <c r="T1136" i="8" s="1"/>
  <c r="T1137" i="8" s="1"/>
  <c r="M1104" i="8"/>
  <c r="M1105" i="8" s="1"/>
  <c r="M723" i="2"/>
  <c r="M1136" i="8" s="1"/>
  <c r="M1137" i="8" s="1"/>
  <c r="O1092" i="8"/>
  <c r="O1093" i="8" s="1"/>
  <c r="O720" i="2"/>
  <c r="O1124" i="8" s="1"/>
  <c r="O1125" i="8" s="1"/>
  <c r="AD1096" i="8"/>
  <c r="AD1097" i="8" s="1"/>
  <c r="AD721" i="2"/>
  <c r="AD1128" i="8" s="1"/>
  <c r="AD1129" i="8" s="1"/>
  <c r="Q1088" i="8"/>
  <c r="Q1089" i="8" s="1"/>
  <c r="Q719" i="2"/>
  <c r="Q1120" i="8" s="1"/>
  <c r="Q1121" i="8" s="1"/>
  <c r="AE325" i="2"/>
  <c r="AE744" i="8" s="1"/>
  <c r="AE745" i="8" s="1"/>
  <c r="AE712" i="8"/>
  <c r="AE713" i="8" s="1"/>
  <c r="Z712" i="8"/>
  <c r="Z713" i="8" s="1"/>
  <c r="Z325" i="2"/>
  <c r="Z744" i="8" s="1"/>
  <c r="Z745" i="8" s="1"/>
  <c r="S324" i="2"/>
  <c r="S740" i="8" s="1"/>
  <c r="S741" i="8" s="1"/>
  <c r="S708" i="8"/>
  <c r="S709" i="8" s="1"/>
  <c r="Q324" i="2"/>
  <c r="Q740" i="8" s="1"/>
  <c r="Q741" i="8" s="1"/>
  <c r="Q708" i="8"/>
  <c r="Q709" i="8" s="1"/>
  <c r="V326" i="2"/>
  <c r="V748" i="8" s="1"/>
  <c r="V749" i="8" s="1"/>
  <c r="V716" i="8"/>
  <c r="V717" i="8" s="1"/>
  <c r="M326" i="2"/>
  <c r="M748" i="8" s="1"/>
  <c r="M749" i="8" s="1"/>
  <c r="M716" i="8"/>
  <c r="M717" i="8" s="1"/>
  <c r="AC725" i="2"/>
  <c r="AC1144" i="8" s="1"/>
  <c r="AC1145" i="8" s="1"/>
  <c r="AC1112" i="8"/>
  <c r="AC1113" i="8" s="1"/>
  <c r="N725" i="2"/>
  <c r="N1144" i="8" s="1"/>
  <c r="N1145" i="8" s="1"/>
  <c r="N1112" i="8"/>
  <c r="N1113" i="8" s="1"/>
  <c r="AD696" i="8"/>
  <c r="AD697" i="8" s="1"/>
  <c r="AD321" i="2"/>
  <c r="AD728" i="8" s="1"/>
  <c r="AD729" i="8" s="1"/>
  <c r="T696" i="8"/>
  <c r="T697" i="8" s="1"/>
  <c r="T321" i="2"/>
  <c r="T728" i="8" s="1"/>
  <c r="T729" i="8" s="1"/>
  <c r="W700" i="8"/>
  <c r="W701" i="8" s="1"/>
  <c r="W322" i="2"/>
  <c r="W732" i="8" s="1"/>
  <c r="W733" i="8" s="1"/>
  <c r="AC322" i="2"/>
  <c r="AC732" i="8" s="1"/>
  <c r="AC733" i="8" s="1"/>
  <c r="AC700" i="8"/>
  <c r="AC701" i="8" s="1"/>
  <c r="Y692" i="8"/>
  <c r="Y693" i="8" s="1"/>
  <c r="Y320" i="2"/>
  <c r="Y724" i="8" s="1"/>
  <c r="Y725" i="8" s="1"/>
  <c r="S386" i="2"/>
  <c r="S928" i="8" s="1"/>
  <c r="S929" i="8" s="1"/>
  <c r="T387" i="2"/>
  <c r="T932" i="8" s="1"/>
  <c r="T933" i="8" s="1"/>
  <c r="T808" i="8"/>
  <c r="T809" i="8" s="1"/>
  <c r="U612" i="8"/>
  <c r="U613" i="8" s="1"/>
  <c r="V280" i="2"/>
  <c r="U345" i="2"/>
  <c r="U334" i="2"/>
  <c r="U41" i="14" s="1"/>
  <c r="T772" i="8"/>
  <c r="T773" i="8" s="1"/>
  <c r="S371" i="2"/>
  <c r="S896" i="8" s="1"/>
  <c r="S897" i="8" s="1"/>
  <c r="S389" i="2"/>
  <c r="S940" i="8" s="1"/>
  <c r="S941" i="8" s="1"/>
  <c r="U1016" i="8"/>
  <c r="U1017" i="8" s="1"/>
  <c r="V681" i="2"/>
  <c r="V263" i="13" s="1"/>
  <c r="U735" i="2"/>
  <c r="U208" i="14" s="1"/>
  <c r="U746" i="2"/>
  <c r="V624" i="8"/>
  <c r="V625" i="8" s="1"/>
  <c r="V337" i="2"/>
  <c r="V44" i="14" s="1"/>
  <c r="W283" i="2"/>
  <c r="W110" i="13" s="1"/>
  <c r="W111" i="13" s="1"/>
  <c r="V348" i="2"/>
  <c r="T1196" i="8"/>
  <c r="T1197" i="8" s="1"/>
  <c r="S378" i="2"/>
  <c r="S916" i="8" s="1"/>
  <c r="S917" i="8" s="1"/>
  <c r="T1212" i="8"/>
  <c r="T1213" i="8" s="1"/>
  <c r="T1176" i="8"/>
  <c r="T1177" i="8" s="1"/>
  <c r="U800" i="8"/>
  <c r="U801" i="8" s="1"/>
  <c r="T376" i="2"/>
  <c r="T908" i="8" s="1"/>
  <c r="T909" i="8" s="1"/>
  <c r="U820" i="8"/>
  <c r="U821" i="8" s="1"/>
  <c r="U1000" i="8"/>
  <c r="U1001" i="8" s="1"/>
  <c r="U731" i="2"/>
  <c r="U204" i="14" s="1"/>
  <c r="V677" i="2"/>
  <c r="U742" i="2"/>
  <c r="V604" i="8"/>
  <c r="V605" i="8" s="1"/>
  <c r="W278" i="2"/>
  <c r="V343" i="2"/>
  <c r="V332" i="2"/>
  <c r="V39" i="14" s="1"/>
  <c r="U1152" i="8"/>
  <c r="U1153" i="8" s="1"/>
  <c r="T804" i="8"/>
  <c r="T805" i="8" s="1"/>
  <c r="W1020" i="8"/>
  <c r="W1021" i="8" s="1"/>
  <c r="X682" i="2"/>
  <c r="X249" i="13" s="1"/>
  <c r="W747" i="2"/>
  <c r="W736" i="2"/>
  <c r="W209" i="14" s="1"/>
  <c r="X277" i="2"/>
  <c r="W600" i="8"/>
  <c r="W601" i="8" s="1"/>
  <c r="W342" i="2"/>
  <c r="W331" i="2"/>
  <c r="W38" i="14" s="1"/>
  <c r="T1156" i="8"/>
  <c r="T1157" i="8" s="1"/>
  <c r="V760" i="8"/>
  <c r="V761" i="8" s="1"/>
  <c r="T1160" i="8"/>
  <c r="T1161" i="8" s="1"/>
  <c r="V1216" i="8"/>
  <c r="V1217" i="8" s="1"/>
  <c r="V992" i="8"/>
  <c r="V993" i="8" s="1"/>
  <c r="W675" i="2"/>
  <c r="V729" i="2"/>
  <c r="V202" i="14" s="1"/>
  <c r="V740" i="2"/>
  <c r="T768" i="8"/>
  <c r="T769" i="8" s="1"/>
  <c r="T864" i="8"/>
  <c r="T865" i="8" s="1"/>
  <c r="V596" i="8"/>
  <c r="V597" i="8" s="1"/>
  <c r="V330" i="2"/>
  <c r="V37" i="14" s="1"/>
  <c r="V341" i="2"/>
  <c r="W276" i="2"/>
  <c r="T1192" i="8"/>
  <c r="T1193" i="8" s="1"/>
  <c r="V796" i="8"/>
  <c r="V797" i="8" s="1"/>
  <c r="T349" i="2"/>
  <c r="T824" i="8" s="1"/>
  <c r="T825" i="8" s="1"/>
  <c r="U1172" i="8"/>
  <c r="U1173" i="8" s="1"/>
  <c r="U1188" i="8"/>
  <c r="U1189" i="8" s="1"/>
  <c r="U792" i="8"/>
  <c r="U793" i="8" s="1"/>
  <c r="S360" i="2"/>
  <c r="U1208" i="8"/>
  <c r="U1209" i="8" s="1"/>
  <c r="S385" i="2"/>
  <c r="T780" i="8"/>
  <c r="T781" i="8" s="1"/>
  <c r="U756" i="8"/>
  <c r="U757" i="8" s="1"/>
  <c r="U996" i="8"/>
  <c r="U997" i="8" s="1"/>
  <c r="U730" i="2"/>
  <c r="U203" i="14" s="1"/>
  <c r="V676" i="2"/>
  <c r="U741" i="2"/>
  <c r="V1008" i="8"/>
  <c r="V1009" i="8" s="1"/>
  <c r="V744" i="2"/>
  <c r="W679" i="2"/>
  <c r="V733" i="2"/>
  <c r="V206" i="14" s="1"/>
  <c r="V1012" i="8"/>
  <c r="V1013" i="8" s="1"/>
  <c r="V745" i="2"/>
  <c r="W680" i="2"/>
  <c r="V734" i="2"/>
  <c r="V207" i="14" s="1"/>
  <c r="T816" i="8"/>
  <c r="T817" i="8" s="1"/>
  <c r="U608" i="8"/>
  <c r="U609" i="8" s="1"/>
  <c r="U344" i="2"/>
  <c r="V279" i="2"/>
  <c r="V96" i="13" s="1"/>
  <c r="V97" i="13" s="1"/>
  <c r="U333" i="2"/>
  <c r="U40" i="14" s="1"/>
  <c r="R379" i="2"/>
  <c r="W776" i="8"/>
  <c r="W777" i="8" s="1"/>
  <c r="U1204" i="8"/>
  <c r="U1205" i="8" s="1"/>
  <c r="T338" i="2"/>
  <c r="T788" i="8" s="1"/>
  <c r="T789" i="8" s="1"/>
  <c r="U620" i="8"/>
  <c r="U621" i="8" s="1"/>
  <c r="V282" i="2"/>
  <c r="U347" i="2"/>
  <c r="U336" i="2"/>
  <c r="U43" i="14" s="1"/>
  <c r="T1164" i="8"/>
  <c r="T1165" i="8" s="1"/>
  <c r="U764" i="8"/>
  <c r="U765" i="8" s="1"/>
  <c r="V1180" i="8"/>
  <c r="V1181" i="8" s="1"/>
  <c r="U784" i="8"/>
  <c r="U785" i="8" s="1"/>
  <c r="X616" i="8"/>
  <c r="X617" i="8" s="1"/>
  <c r="X346" i="2"/>
  <c r="Y281" i="2"/>
  <c r="X335" i="2"/>
  <c r="X42" i="14" s="1"/>
  <c r="U1168" i="8"/>
  <c r="U1169" i="8" s="1"/>
  <c r="T828" i="8"/>
  <c r="T829" i="8" s="1"/>
  <c r="U1004" i="8"/>
  <c r="U1005" i="8" s="1"/>
  <c r="U743" i="2"/>
  <c r="U732" i="2"/>
  <c r="U205" i="14" s="1"/>
  <c r="V678" i="2"/>
  <c r="W812" i="8"/>
  <c r="W813" i="8" s="1"/>
  <c r="T737" i="2"/>
  <c r="T1184" i="8" s="1"/>
  <c r="T1185" i="8" s="1"/>
  <c r="S374" i="2"/>
  <c r="T1200" i="8"/>
  <c r="T1201" i="8" s="1"/>
  <c r="V253" i="13" l="1"/>
  <c r="V257" i="13"/>
  <c r="V254" i="13"/>
  <c r="V393" i="2"/>
  <c r="V952" i="8" s="1"/>
  <c r="V953" i="8" s="1"/>
  <c r="U394" i="2"/>
  <c r="V255" i="13"/>
  <c r="V261" i="2"/>
  <c r="V256" i="13"/>
  <c r="Q240" i="13"/>
  <c r="V252" i="13"/>
  <c r="V1542" i="8"/>
  <c r="T246" i="14"/>
  <c r="W397" i="2"/>
  <c r="T243" i="14"/>
  <c r="T244" i="14" s="1"/>
  <c r="T245" i="14" s="1"/>
  <c r="V260" i="2"/>
  <c r="T398" i="2"/>
  <c r="T972" i="8" s="1"/>
  <c r="T973" i="8" s="1"/>
  <c r="T383" i="2"/>
  <c r="T78" i="14"/>
  <c r="T79" i="14" s="1"/>
  <c r="T80" i="14" s="1"/>
  <c r="V370" i="2"/>
  <c r="V74" i="14"/>
  <c r="L245" i="14"/>
  <c r="T247" i="14"/>
  <c r="P80" i="14"/>
  <c r="U77" i="14"/>
  <c r="V237" i="14"/>
  <c r="T880" i="8"/>
  <c r="T881" i="8" s="1"/>
  <c r="O80" i="14"/>
  <c r="S245" i="14"/>
  <c r="S80" i="14"/>
  <c r="V232" i="14"/>
  <c r="L80" i="14"/>
  <c r="N245" i="14"/>
  <c r="V236" i="14"/>
  <c r="U367" i="2"/>
  <c r="U880" i="8" s="1"/>
  <c r="U881" i="8" s="1"/>
  <c r="U71" i="14"/>
  <c r="P245" i="14"/>
  <c r="U399" i="2"/>
  <c r="U976" i="8" s="1"/>
  <c r="U977" i="8" s="1"/>
  <c r="N80" i="14"/>
  <c r="Q80" i="14"/>
  <c r="U242" i="14"/>
  <c r="U238" i="14"/>
  <c r="M80" i="14"/>
  <c r="M245" i="14"/>
  <c r="R245" i="14"/>
  <c r="T82" i="14"/>
  <c r="U233" i="14"/>
  <c r="W239" i="14"/>
  <c r="U366" i="2"/>
  <c r="U70" i="14"/>
  <c r="U235" i="14"/>
  <c r="Q242" i="13"/>
  <c r="M175" i="2"/>
  <c r="N175" i="2" s="1"/>
  <c r="T81" i="14"/>
  <c r="U234" i="14"/>
  <c r="O245" i="14"/>
  <c r="W364" i="2"/>
  <c r="W868" i="8" s="1"/>
  <c r="W869" i="8" s="1"/>
  <c r="W68" i="14"/>
  <c r="X368" i="2"/>
  <c r="X884" i="8" s="1"/>
  <c r="X885" i="8" s="1"/>
  <c r="X72" i="14"/>
  <c r="U369" i="2"/>
  <c r="U888" i="8" s="1"/>
  <c r="U889" i="8" s="1"/>
  <c r="U73" i="14"/>
  <c r="V363" i="2"/>
  <c r="V67" i="14"/>
  <c r="V365" i="2"/>
  <c r="V69" i="14"/>
  <c r="Q239" i="13"/>
  <c r="Q245" i="14"/>
  <c r="R80" i="14"/>
  <c r="U256" i="13"/>
  <c r="U259" i="13"/>
  <c r="S243" i="13"/>
  <c r="S241" i="13"/>
  <c r="T240" i="13"/>
  <c r="T237" i="13"/>
  <c r="T239" i="13"/>
  <c r="U255" i="13"/>
  <c r="T244" i="13"/>
  <c r="T238" i="13"/>
  <c r="V259" i="13"/>
  <c r="R259" i="13"/>
  <c r="T245" i="13"/>
  <c r="R1542" i="8"/>
  <c r="T243" i="13"/>
  <c r="U252" i="13"/>
  <c r="U253" i="13"/>
  <c r="U254" i="13"/>
  <c r="U1542" i="8"/>
  <c r="T241" i="13"/>
  <c r="T242" i="13"/>
  <c r="W51" i="13"/>
  <c r="W61" i="13" s="1"/>
  <c r="Q253" i="13"/>
  <c r="Q255" i="13"/>
  <c r="Q259" i="13"/>
  <c r="Q254" i="13"/>
  <c r="Q257" i="13"/>
  <c r="Q1542" i="8"/>
  <c r="R254" i="13"/>
  <c r="R255" i="13"/>
  <c r="O54" i="13"/>
  <c r="O64" i="13" s="1"/>
  <c r="P51" i="13"/>
  <c r="P61" i="13" s="1"/>
  <c r="R257" i="13"/>
  <c r="R252" i="13"/>
  <c r="R253" i="13"/>
  <c r="Q251" i="13"/>
  <c r="M179" i="2"/>
  <c r="N179" i="2" s="1"/>
  <c r="R251" i="13"/>
  <c r="Q256" i="13"/>
  <c r="U257" i="13"/>
  <c r="R258" i="13"/>
  <c r="Q258" i="13"/>
  <c r="U251" i="13"/>
  <c r="M194" i="13"/>
  <c r="M204" i="13" s="1"/>
  <c r="N54" i="13"/>
  <c r="N64" i="13" s="1"/>
  <c r="W55" i="13"/>
  <c r="W65" i="13" s="1"/>
  <c r="V74" i="13"/>
  <c r="Q245" i="13"/>
  <c r="U51" i="13"/>
  <c r="U61" i="13" s="1"/>
  <c r="Q241" i="13"/>
  <c r="V55" i="13"/>
  <c r="V65" i="13" s="1"/>
  <c r="L52" i="13"/>
  <c r="L62" i="13" s="1"/>
  <c r="Q238" i="13"/>
  <c r="M180" i="2"/>
  <c r="M36" i="12" s="1"/>
  <c r="Q1541" i="8"/>
  <c r="M122" i="2"/>
  <c r="M75" i="8" s="1"/>
  <c r="M76" i="8" s="1"/>
  <c r="T54" i="13"/>
  <c r="T64" i="13" s="1"/>
  <c r="U190" i="13"/>
  <c r="U200" i="13" s="1"/>
  <c r="P193" i="13"/>
  <c r="P203" i="13" s="1"/>
  <c r="M262" i="13"/>
  <c r="V221" i="13"/>
  <c r="Q237" i="13"/>
  <c r="T191" i="13"/>
  <c r="T201" i="13" s="1"/>
  <c r="Q243" i="13"/>
  <c r="P194" i="13"/>
  <c r="P204" i="13" s="1"/>
  <c r="L194" i="13"/>
  <c r="L204" i="13" s="1"/>
  <c r="L193" i="13"/>
  <c r="L203" i="13" s="1"/>
  <c r="T1502" i="8"/>
  <c r="M190" i="13"/>
  <c r="M200" i="13" s="1"/>
  <c r="R52" i="13"/>
  <c r="R62" i="13" s="1"/>
  <c r="W213" i="13"/>
  <c r="S238" i="13"/>
  <c r="U55" i="13"/>
  <c r="U65" i="13" s="1"/>
  <c r="S51" i="13"/>
  <c r="S61" i="13" s="1"/>
  <c r="Q51" i="13"/>
  <c r="Q61" i="13" s="1"/>
  <c r="N262" i="13"/>
  <c r="T190" i="13"/>
  <c r="T200" i="13" s="1"/>
  <c r="Q52" i="13"/>
  <c r="Q62" i="13" s="1"/>
  <c r="S56" i="13"/>
  <c r="S66" i="13" s="1"/>
  <c r="S245" i="13"/>
  <c r="R190" i="13"/>
  <c r="R200" i="13" s="1"/>
  <c r="P55" i="13"/>
  <c r="P65" i="13" s="1"/>
  <c r="N190" i="13"/>
  <c r="N200" i="13" s="1"/>
  <c r="M119" i="2"/>
  <c r="N119" i="2" s="1"/>
  <c r="P190" i="13"/>
  <c r="P200" i="13" s="1"/>
  <c r="S1541" i="8"/>
  <c r="W82" i="13"/>
  <c r="W83" i="13" s="1"/>
  <c r="W86" i="13" s="1"/>
  <c r="S193" i="13"/>
  <c r="S203" i="13" s="1"/>
  <c r="M121" i="2"/>
  <c r="N121" i="2" s="1"/>
  <c r="P195" i="13"/>
  <c r="P205" i="13" s="1"/>
  <c r="L195" i="13"/>
  <c r="L205" i="13" s="1"/>
  <c r="N51" i="13"/>
  <c r="N61" i="13" s="1"/>
  <c r="L190" i="13"/>
  <c r="L200" i="13" s="1"/>
  <c r="N191" i="13"/>
  <c r="N201" i="13" s="1"/>
  <c r="U123" i="13"/>
  <c r="O1512" i="8"/>
  <c r="O190" i="13"/>
  <c r="O200" i="13" s="1"/>
  <c r="L54" i="13"/>
  <c r="L64" i="13" s="1"/>
  <c r="M195" i="13"/>
  <c r="M205" i="13" s="1"/>
  <c r="O52" i="13"/>
  <c r="O62" i="13" s="1"/>
  <c r="V193" i="13"/>
  <c r="V203" i="13" s="1"/>
  <c r="M182" i="2"/>
  <c r="M111" i="8" s="1"/>
  <c r="M112" i="8" s="1"/>
  <c r="S244" i="13"/>
  <c r="R56" i="13"/>
  <c r="R66" i="13" s="1"/>
  <c r="O51" i="13"/>
  <c r="O61" i="13" s="1"/>
  <c r="S237" i="13"/>
  <c r="S52" i="13"/>
  <c r="S62" i="13" s="1"/>
  <c r="M52" i="13"/>
  <c r="M62" i="13" s="1"/>
  <c r="M116" i="2"/>
  <c r="N116" i="2" s="1"/>
  <c r="R191" i="13"/>
  <c r="R201" i="13" s="1"/>
  <c r="S242" i="13"/>
  <c r="T52" i="13"/>
  <c r="T62" i="13" s="1"/>
  <c r="U193" i="13"/>
  <c r="U203" i="13" s="1"/>
  <c r="T193" i="13"/>
  <c r="T203" i="13" s="1"/>
  <c r="S54" i="13"/>
  <c r="S64" i="13" s="1"/>
  <c r="S239" i="13"/>
  <c r="U52" i="13"/>
  <c r="U62" i="13" s="1"/>
  <c r="N194" i="13"/>
  <c r="N204" i="13" s="1"/>
  <c r="P123" i="13"/>
  <c r="V124" i="13"/>
  <c r="V125" i="13" s="1"/>
  <c r="V132" i="13" s="1"/>
  <c r="V52" i="13"/>
  <c r="V62" i="13" s="1"/>
  <c r="N56" i="13"/>
  <c r="N66" i="13" s="1"/>
  <c r="Q193" i="13"/>
  <c r="Q203" i="13" s="1"/>
  <c r="P56" i="13"/>
  <c r="P66" i="13" s="1"/>
  <c r="Q60" i="13"/>
  <c r="AB199" i="13"/>
  <c r="S60" i="13"/>
  <c r="Y60" i="13"/>
  <c r="W60" i="13"/>
  <c r="U1541" i="8"/>
  <c r="U244" i="13"/>
  <c r="U243" i="13"/>
  <c r="U245" i="13"/>
  <c r="U239" i="13"/>
  <c r="U241" i="13"/>
  <c r="U240" i="13"/>
  <c r="U237" i="13"/>
  <c r="U242" i="13"/>
  <c r="U238" i="13"/>
  <c r="W1542" i="8"/>
  <c r="W257" i="13"/>
  <c r="W253" i="13"/>
  <c r="W258" i="13"/>
  <c r="W252" i="13"/>
  <c r="W254" i="13"/>
  <c r="W259" i="13"/>
  <c r="W256" i="13"/>
  <c r="W251" i="13"/>
  <c r="W255" i="13"/>
  <c r="R60" i="13"/>
  <c r="AC199" i="13"/>
  <c r="P1508" i="8"/>
  <c r="P209" i="13"/>
  <c r="W214" i="13"/>
  <c r="U1498" i="8"/>
  <c r="U70" i="13"/>
  <c r="W72" i="13"/>
  <c r="T1508" i="8"/>
  <c r="T209" i="13"/>
  <c r="M1501" i="8"/>
  <c r="S129" i="13"/>
  <c r="S126" i="13"/>
  <c r="S128" i="13"/>
  <c r="S131" i="13"/>
  <c r="S127" i="13"/>
  <c r="S133" i="13"/>
  <c r="S134" i="13"/>
  <c r="S130" i="13"/>
  <c r="S132" i="13"/>
  <c r="M178" i="2"/>
  <c r="L1498" i="8"/>
  <c r="L70" i="13"/>
  <c r="Y1508" i="8"/>
  <c r="V1498" i="8"/>
  <c r="V70" i="13"/>
  <c r="L123" i="13"/>
  <c r="N193" i="13"/>
  <c r="N203" i="13" s="1"/>
  <c r="O191" i="13"/>
  <c r="O201" i="13" s="1"/>
  <c r="P1498" i="8"/>
  <c r="P70" i="13"/>
  <c r="AB194" i="13"/>
  <c r="AB204" i="13" s="1"/>
  <c r="T123" i="13"/>
  <c r="AC193" i="13"/>
  <c r="AC203" i="13" s="1"/>
  <c r="P189" i="13"/>
  <c r="AC194" i="13"/>
  <c r="AC204" i="13" s="1"/>
  <c r="AA54" i="13"/>
  <c r="AA64" i="13" s="1"/>
  <c r="W194" i="13"/>
  <c r="W204" i="13" s="1"/>
  <c r="U50" i="13"/>
  <c r="W52" i="13"/>
  <c r="W62" i="13" s="1"/>
  <c r="T189" i="13"/>
  <c r="X194" i="13"/>
  <c r="X204" i="13" s="1"/>
  <c r="AA56" i="13"/>
  <c r="AA66" i="13" s="1"/>
  <c r="AA52" i="13"/>
  <c r="AA62" i="13" s="1"/>
  <c r="AD190" i="13"/>
  <c r="AD200" i="13" s="1"/>
  <c r="L50" i="13"/>
  <c r="N133" i="13"/>
  <c r="N130" i="13"/>
  <c r="N126" i="13"/>
  <c r="N131" i="13"/>
  <c r="N129" i="13"/>
  <c r="N128" i="13"/>
  <c r="N134" i="13"/>
  <c r="N132" i="13"/>
  <c r="N127" i="13"/>
  <c r="Y189" i="13"/>
  <c r="L51" i="13"/>
  <c r="L61" i="13" s="1"/>
  <c r="N52" i="13"/>
  <c r="N62" i="13" s="1"/>
  <c r="M56" i="13"/>
  <c r="M66" i="13" s="1"/>
  <c r="Q1501" i="8"/>
  <c r="AB190" i="13"/>
  <c r="AB200" i="13" s="1"/>
  <c r="X193" i="13"/>
  <c r="X203" i="13" s="1"/>
  <c r="V105" i="13"/>
  <c r="V101" i="13"/>
  <c r="V106" i="13"/>
  <c r="V98" i="13"/>
  <c r="V100" i="13"/>
  <c r="V99" i="13"/>
  <c r="V102" i="13"/>
  <c r="V104" i="13"/>
  <c r="V103" i="13"/>
  <c r="V212" i="13"/>
  <c r="V234" i="13" s="1"/>
  <c r="V235" i="13"/>
  <c r="V60" i="13"/>
  <c r="N1543" i="8"/>
  <c r="N268" i="13"/>
  <c r="N269" i="13"/>
  <c r="N265" i="13"/>
  <c r="N271" i="13"/>
  <c r="N272" i="13"/>
  <c r="N266" i="13"/>
  <c r="N273" i="13"/>
  <c r="N270" i="13"/>
  <c r="N267" i="13"/>
  <c r="P1504" i="8"/>
  <c r="P92" i="13"/>
  <c r="P85" i="13"/>
  <c r="P91" i="13"/>
  <c r="P87" i="13"/>
  <c r="P84" i="13"/>
  <c r="P89" i="13"/>
  <c r="P86" i="13"/>
  <c r="P88" i="13"/>
  <c r="P90" i="13"/>
  <c r="Y75" i="13"/>
  <c r="P1514" i="8"/>
  <c r="P1540" i="8"/>
  <c r="P228" i="13"/>
  <c r="P227" i="13"/>
  <c r="P223" i="13"/>
  <c r="P224" i="13"/>
  <c r="P226" i="13"/>
  <c r="P225" i="13"/>
  <c r="P229" i="13"/>
  <c r="P231" i="13"/>
  <c r="P230" i="13"/>
  <c r="X1508" i="8"/>
  <c r="U1504" i="8"/>
  <c r="U92" i="13"/>
  <c r="U88" i="13"/>
  <c r="U87" i="13"/>
  <c r="U91" i="13"/>
  <c r="U84" i="13"/>
  <c r="U89" i="13"/>
  <c r="U86" i="13"/>
  <c r="U90" i="13"/>
  <c r="U85" i="13"/>
  <c r="T262" i="13"/>
  <c r="T264" i="13" s="1"/>
  <c r="P1512" i="8"/>
  <c r="L1504" i="8"/>
  <c r="L86" i="13"/>
  <c r="L91" i="13"/>
  <c r="L84" i="13"/>
  <c r="L90" i="13"/>
  <c r="L85" i="13"/>
  <c r="L88" i="13"/>
  <c r="L87" i="13"/>
  <c r="L89" i="13"/>
  <c r="L92" i="13"/>
  <c r="L262" i="13"/>
  <c r="V1502" i="8"/>
  <c r="AD1498" i="8"/>
  <c r="X199" i="13"/>
  <c r="M191" i="13"/>
  <c r="M201" i="13" s="1"/>
  <c r="AD50" i="13"/>
  <c r="L191" i="13"/>
  <c r="L201" i="13" s="1"/>
  <c r="AE1508" i="8"/>
  <c r="M1543" i="8"/>
  <c r="M265" i="13"/>
  <c r="M266" i="13"/>
  <c r="M268" i="13"/>
  <c r="M271" i="13"/>
  <c r="M273" i="13"/>
  <c r="M272" i="13"/>
  <c r="M267" i="13"/>
  <c r="M270" i="13"/>
  <c r="M269" i="13"/>
  <c r="Q1504" i="8"/>
  <c r="Q89" i="13"/>
  <c r="Q92" i="13"/>
  <c r="Q84" i="13"/>
  <c r="Q91" i="13"/>
  <c r="Q86" i="13"/>
  <c r="Q90" i="13"/>
  <c r="Q87" i="13"/>
  <c r="Q88" i="13"/>
  <c r="Q85" i="13"/>
  <c r="P191" i="13"/>
  <c r="P201" i="13" s="1"/>
  <c r="N1502" i="8"/>
  <c r="V54" i="13"/>
  <c r="V64" i="13" s="1"/>
  <c r="AC51" i="13"/>
  <c r="AC61" i="13" s="1"/>
  <c r="P52" i="13"/>
  <c r="P62" i="13" s="1"/>
  <c r="X216" i="13"/>
  <c r="X248" i="13" s="1"/>
  <c r="X250" i="13" s="1"/>
  <c r="AE54" i="13"/>
  <c r="AE64" i="13" s="1"/>
  <c r="Q54" i="13"/>
  <c r="Q64" i="13" s="1"/>
  <c r="L1501" i="8"/>
  <c r="M114" i="2"/>
  <c r="Q1502" i="8"/>
  <c r="V210" i="13"/>
  <c r="Z1508" i="8"/>
  <c r="O1540" i="8"/>
  <c r="O1514" i="8"/>
  <c r="O226" i="13"/>
  <c r="O225" i="13"/>
  <c r="O229" i="13"/>
  <c r="O228" i="13"/>
  <c r="O227" i="13"/>
  <c r="O231" i="13"/>
  <c r="O230" i="13"/>
  <c r="O223" i="13"/>
  <c r="O224" i="13"/>
  <c r="N1508" i="8"/>
  <c r="N209" i="13"/>
  <c r="M1511" i="8"/>
  <c r="M193" i="13"/>
  <c r="M203" i="13" s="1"/>
  <c r="W193" i="13"/>
  <c r="W203" i="13" s="1"/>
  <c r="L1502" i="8"/>
  <c r="M174" i="2"/>
  <c r="V73" i="13"/>
  <c r="V95" i="13" s="1"/>
  <c r="S1501" i="8"/>
  <c r="Z190" i="13"/>
  <c r="Z200" i="13" s="1"/>
  <c r="L1511" i="8"/>
  <c r="U54" i="13"/>
  <c r="U64" i="13" s="1"/>
  <c r="S1502" i="8"/>
  <c r="AD194" i="13"/>
  <c r="AD204" i="13" s="1"/>
  <c r="N1511" i="8"/>
  <c r="W1508" i="8"/>
  <c r="W209" i="13"/>
  <c r="S195" i="13"/>
  <c r="S205" i="13" s="1"/>
  <c r="S1504" i="8"/>
  <c r="S91" i="13"/>
  <c r="S87" i="13"/>
  <c r="S89" i="13"/>
  <c r="S90" i="13"/>
  <c r="S92" i="13"/>
  <c r="S86" i="13"/>
  <c r="S84" i="13"/>
  <c r="S85" i="13"/>
  <c r="S88" i="13"/>
  <c r="V194" i="13"/>
  <c r="V204" i="13" s="1"/>
  <c r="Y56" i="13"/>
  <c r="Y66" i="13" s="1"/>
  <c r="S1542" i="8"/>
  <c r="S254" i="13"/>
  <c r="S253" i="13"/>
  <c r="S252" i="13"/>
  <c r="S259" i="13"/>
  <c r="S257" i="13"/>
  <c r="S251" i="13"/>
  <c r="S256" i="13"/>
  <c r="S255" i="13"/>
  <c r="S258" i="13"/>
  <c r="M115" i="2"/>
  <c r="N1512" i="8"/>
  <c r="V190" i="13"/>
  <c r="V200" i="13" s="1"/>
  <c r="Z189" i="13"/>
  <c r="N1501" i="8"/>
  <c r="N55" i="13"/>
  <c r="N65" i="13" s="1"/>
  <c r="Z193" i="13"/>
  <c r="Z203" i="13" s="1"/>
  <c r="AE189" i="13"/>
  <c r="O194" i="13"/>
  <c r="O204" i="13" s="1"/>
  <c r="N189" i="13"/>
  <c r="AB191" i="13"/>
  <c r="AB201" i="13" s="1"/>
  <c r="O56" i="13"/>
  <c r="O66" i="13" s="1"/>
  <c r="Q194" i="13"/>
  <c r="Q204" i="13" s="1"/>
  <c r="Z56" i="13"/>
  <c r="Z66" i="13" s="1"/>
  <c r="M177" i="2"/>
  <c r="P262" i="13"/>
  <c r="L56" i="13"/>
  <c r="L66" i="13" s="1"/>
  <c r="Z195" i="13"/>
  <c r="Z205" i="13" s="1"/>
  <c r="R55" i="13"/>
  <c r="R65" i="13" s="1"/>
  <c r="U132" i="13"/>
  <c r="U130" i="13"/>
  <c r="U131" i="13"/>
  <c r="U127" i="13"/>
  <c r="U129" i="13"/>
  <c r="U133" i="13"/>
  <c r="U134" i="13"/>
  <c r="U128" i="13"/>
  <c r="U126" i="13"/>
  <c r="U194" i="13"/>
  <c r="U204" i="13" s="1"/>
  <c r="T134" i="13"/>
  <c r="T127" i="13"/>
  <c r="T130" i="13"/>
  <c r="T126" i="13"/>
  <c r="T129" i="13"/>
  <c r="T132" i="13"/>
  <c r="T131" i="13"/>
  <c r="T128" i="13"/>
  <c r="T133" i="13"/>
  <c r="O1508" i="8"/>
  <c r="O209" i="13"/>
  <c r="Q132" i="13"/>
  <c r="Q126" i="13"/>
  <c r="Q134" i="13"/>
  <c r="Q130" i="13"/>
  <c r="Q127" i="13"/>
  <c r="Q128" i="13"/>
  <c r="Q129" i="13"/>
  <c r="Q133" i="13"/>
  <c r="Q131" i="13"/>
  <c r="U1502" i="8"/>
  <c r="W77" i="13"/>
  <c r="W109" i="13" s="1"/>
  <c r="W199" i="13"/>
  <c r="Q1508" i="8"/>
  <c r="Q209" i="13"/>
  <c r="V215" i="13"/>
  <c r="V262" i="13" s="1"/>
  <c r="V264" i="13" s="1"/>
  <c r="M117" i="2"/>
  <c r="P1501" i="8"/>
  <c r="AB1498" i="8"/>
  <c r="N1540" i="8"/>
  <c r="N1514" i="8"/>
  <c r="N229" i="13"/>
  <c r="N230" i="13"/>
  <c r="N227" i="13"/>
  <c r="N223" i="13"/>
  <c r="N228" i="13"/>
  <c r="N231" i="13"/>
  <c r="N226" i="13"/>
  <c r="N224" i="13"/>
  <c r="N225" i="13"/>
  <c r="O262" i="13"/>
  <c r="M181" i="2"/>
  <c r="V76" i="13"/>
  <c r="AD1508" i="8"/>
  <c r="T1501" i="8"/>
  <c r="M123" i="13"/>
  <c r="P60" i="13"/>
  <c r="O189" i="13"/>
  <c r="R51" i="13"/>
  <c r="R61" i="13" s="1"/>
  <c r="X52" i="13"/>
  <c r="X62" i="13" s="1"/>
  <c r="AE195" i="13"/>
  <c r="AE205" i="13" s="1"/>
  <c r="R262" i="13"/>
  <c r="R264" i="13" s="1"/>
  <c r="T51" i="13"/>
  <c r="T61" i="13" s="1"/>
  <c r="AE52" i="13"/>
  <c r="AE62" i="13" s="1"/>
  <c r="Q195" i="13"/>
  <c r="Q205" i="13" s="1"/>
  <c r="V195" i="13"/>
  <c r="V205" i="13" s="1"/>
  <c r="S262" i="13"/>
  <c r="S264" i="13" s="1"/>
  <c r="P133" i="13"/>
  <c r="P128" i="13"/>
  <c r="P132" i="13"/>
  <c r="P131" i="13"/>
  <c r="P129" i="13"/>
  <c r="P134" i="13"/>
  <c r="P127" i="13"/>
  <c r="P130" i="13"/>
  <c r="P126" i="13"/>
  <c r="T194" i="13"/>
  <c r="T204" i="13" s="1"/>
  <c r="AB50" i="13"/>
  <c r="N195" i="13"/>
  <c r="N205" i="13" s="1"/>
  <c r="N1498" i="8"/>
  <c r="N70" i="13"/>
  <c r="AD55" i="13"/>
  <c r="AD65" i="13" s="1"/>
  <c r="U56" i="13"/>
  <c r="U66" i="13" s="1"/>
  <c r="T55" i="13"/>
  <c r="T65" i="13" s="1"/>
  <c r="O195" i="13"/>
  <c r="O205" i="13" s="1"/>
  <c r="AE1498" i="8"/>
  <c r="Q55" i="13"/>
  <c r="Q65" i="13" s="1"/>
  <c r="O193" i="13"/>
  <c r="O203" i="13" s="1"/>
  <c r="M176" i="2"/>
  <c r="P1543" i="8"/>
  <c r="P271" i="13"/>
  <c r="P267" i="13"/>
  <c r="P272" i="13"/>
  <c r="P269" i="13"/>
  <c r="P270" i="13"/>
  <c r="P266" i="13"/>
  <c r="P273" i="13"/>
  <c r="P265" i="13"/>
  <c r="P268" i="13"/>
  <c r="V56" i="13"/>
  <c r="V66" i="13" s="1"/>
  <c r="M55" i="13"/>
  <c r="M65" i="13" s="1"/>
  <c r="M54" i="13"/>
  <c r="M64" i="13" s="1"/>
  <c r="AA195" i="13"/>
  <c r="AA205" i="13" s="1"/>
  <c r="V89" i="13"/>
  <c r="V85" i="13"/>
  <c r="V91" i="13"/>
  <c r="V86" i="13"/>
  <c r="V92" i="13"/>
  <c r="V88" i="13"/>
  <c r="V90" i="13"/>
  <c r="V87" i="13"/>
  <c r="V84" i="13"/>
  <c r="Q123" i="13"/>
  <c r="Q1498" i="8"/>
  <c r="Q70" i="13"/>
  <c r="W1498" i="8"/>
  <c r="W70" i="13"/>
  <c r="R194" i="13"/>
  <c r="R204" i="13" s="1"/>
  <c r="Q56" i="13"/>
  <c r="Q66" i="13" s="1"/>
  <c r="L1543" i="8"/>
  <c r="L266" i="13"/>
  <c r="L265" i="13"/>
  <c r="L270" i="13"/>
  <c r="L268" i="13"/>
  <c r="L272" i="13"/>
  <c r="L273" i="13"/>
  <c r="L269" i="13"/>
  <c r="L271" i="13"/>
  <c r="L267" i="13"/>
  <c r="S55" i="13"/>
  <c r="S65" i="13" s="1"/>
  <c r="AC55" i="13"/>
  <c r="AC65" i="13" s="1"/>
  <c r="S190" i="13"/>
  <c r="S200" i="13" s="1"/>
  <c r="R193" i="13"/>
  <c r="R203" i="13" s="1"/>
  <c r="M1508" i="8"/>
  <c r="M209" i="13"/>
  <c r="Q189" i="13"/>
  <c r="L1508" i="8"/>
  <c r="L209" i="13"/>
  <c r="M51" i="13"/>
  <c r="M61" i="13" s="1"/>
  <c r="M118" i="2"/>
  <c r="P54" i="13"/>
  <c r="P64" i="13" s="1"/>
  <c r="S191" i="13"/>
  <c r="S201" i="13" s="1"/>
  <c r="Y194" i="13"/>
  <c r="Y204" i="13" s="1"/>
  <c r="Z191" i="13"/>
  <c r="Z201" i="13" s="1"/>
  <c r="L55" i="13"/>
  <c r="L65" i="13" s="1"/>
  <c r="N50" i="13"/>
  <c r="AA193" i="13"/>
  <c r="AA203" i="13" s="1"/>
  <c r="Q191" i="13"/>
  <c r="Q201" i="13" s="1"/>
  <c r="O1498" i="8"/>
  <c r="O70" i="13"/>
  <c r="AA1498" i="8"/>
  <c r="AE50" i="13"/>
  <c r="U195" i="13"/>
  <c r="U205" i="13" s="1"/>
  <c r="X71" i="13"/>
  <c r="O1543" i="8"/>
  <c r="O267" i="13"/>
  <c r="O266" i="13"/>
  <c r="O270" i="13"/>
  <c r="O268" i="13"/>
  <c r="O273" i="13"/>
  <c r="O265" i="13"/>
  <c r="O271" i="13"/>
  <c r="O269" i="13"/>
  <c r="O272" i="13"/>
  <c r="AC190" i="13"/>
  <c r="AC200" i="13" s="1"/>
  <c r="O123" i="13"/>
  <c r="AD189" i="13"/>
  <c r="T1498" i="8"/>
  <c r="T70" i="13"/>
  <c r="M127" i="13"/>
  <c r="M128" i="13"/>
  <c r="M132" i="13"/>
  <c r="M126" i="13"/>
  <c r="M134" i="13"/>
  <c r="M133" i="13"/>
  <c r="M129" i="13"/>
  <c r="M130" i="13"/>
  <c r="M131" i="13"/>
  <c r="S1498" i="8"/>
  <c r="S70" i="13"/>
  <c r="T195" i="13"/>
  <c r="T205" i="13" s="1"/>
  <c r="P1502" i="8"/>
  <c r="W119" i="13"/>
  <c r="W113" i="13"/>
  <c r="W115" i="13"/>
  <c r="W114" i="13"/>
  <c r="W112" i="13"/>
  <c r="W116" i="13"/>
  <c r="W118" i="13"/>
  <c r="W120" i="13"/>
  <c r="W117" i="13"/>
  <c r="R1501" i="8"/>
  <c r="M1514" i="8"/>
  <c r="M1540" i="8"/>
  <c r="M229" i="13"/>
  <c r="M226" i="13"/>
  <c r="M223" i="13"/>
  <c r="M225" i="13"/>
  <c r="M224" i="13"/>
  <c r="M228" i="13"/>
  <c r="M227" i="13"/>
  <c r="M231" i="13"/>
  <c r="M230" i="13"/>
  <c r="L199" i="13"/>
  <c r="M120" i="2"/>
  <c r="M1498" i="8"/>
  <c r="M70" i="13"/>
  <c r="N1504" i="8"/>
  <c r="N87" i="13"/>
  <c r="N90" i="13"/>
  <c r="N91" i="13"/>
  <c r="N85" i="13"/>
  <c r="N86" i="13"/>
  <c r="N88" i="13"/>
  <c r="N84" i="13"/>
  <c r="N92" i="13"/>
  <c r="N89" i="13"/>
  <c r="V211" i="13"/>
  <c r="O1504" i="8"/>
  <c r="O86" i="13"/>
  <c r="O85" i="13"/>
  <c r="O89" i="13"/>
  <c r="O88" i="13"/>
  <c r="O91" i="13"/>
  <c r="O90" i="13"/>
  <c r="O84" i="13"/>
  <c r="O92" i="13"/>
  <c r="O87" i="13"/>
  <c r="AA60" i="13"/>
  <c r="R1508" i="8"/>
  <c r="R209" i="13"/>
  <c r="R1511" i="8"/>
  <c r="R123" i="13"/>
  <c r="M1502" i="8"/>
  <c r="X55" i="13"/>
  <c r="X65" i="13" s="1"/>
  <c r="O134" i="13"/>
  <c r="O129" i="13"/>
  <c r="O132" i="13"/>
  <c r="O127" i="13"/>
  <c r="O131" i="13"/>
  <c r="O133" i="13"/>
  <c r="O126" i="13"/>
  <c r="O130" i="13"/>
  <c r="O128" i="13"/>
  <c r="T50" i="13"/>
  <c r="U191" i="13"/>
  <c r="U201" i="13" s="1"/>
  <c r="L128" i="13"/>
  <c r="L134" i="13"/>
  <c r="L133" i="13"/>
  <c r="L127" i="13"/>
  <c r="L130" i="13"/>
  <c r="L132" i="13"/>
  <c r="L126" i="13"/>
  <c r="L131" i="13"/>
  <c r="L129" i="13"/>
  <c r="AA1508" i="8"/>
  <c r="U262" i="13"/>
  <c r="U264" i="13" s="1"/>
  <c r="M199" i="13"/>
  <c r="Q262" i="13"/>
  <c r="Q264" i="13" s="1"/>
  <c r="S1508" i="8"/>
  <c r="S209" i="13"/>
  <c r="L1540" i="8"/>
  <c r="L1514" i="8"/>
  <c r="L231" i="13"/>
  <c r="L224" i="13"/>
  <c r="L230" i="13"/>
  <c r="L226" i="13"/>
  <c r="L223" i="13"/>
  <c r="L227" i="13"/>
  <c r="L229" i="13"/>
  <c r="L228" i="13"/>
  <c r="L225" i="13"/>
  <c r="M60" i="13"/>
  <c r="T1512" i="8"/>
  <c r="R1502" i="8"/>
  <c r="O60" i="13"/>
  <c r="R199" i="13"/>
  <c r="R132" i="13"/>
  <c r="R128" i="13"/>
  <c r="R131" i="13"/>
  <c r="R134" i="13"/>
  <c r="R127" i="13"/>
  <c r="R126" i="13"/>
  <c r="R133" i="13"/>
  <c r="R129" i="13"/>
  <c r="R130" i="13"/>
  <c r="V1508" i="8"/>
  <c r="V209" i="13"/>
  <c r="X1498" i="8"/>
  <c r="T1504" i="8"/>
  <c r="T89" i="13"/>
  <c r="T88" i="13"/>
  <c r="T87" i="13"/>
  <c r="T90" i="13"/>
  <c r="T86" i="13"/>
  <c r="T85" i="13"/>
  <c r="T92" i="13"/>
  <c r="T84" i="13"/>
  <c r="T91" i="13"/>
  <c r="S194" i="13"/>
  <c r="S204" i="13" s="1"/>
  <c r="R1498" i="8"/>
  <c r="R70" i="13"/>
  <c r="AC1498" i="8"/>
  <c r="AC1508" i="8"/>
  <c r="S199" i="13"/>
  <c r="Z1498" i="8"/>
  <c r="R195" i="13"/>
  <c r="R205" i="13" s="1"/>
  <c r="L1512" i="8"/>
  <c r="M1504" i="8"/>
  <c r="M85" i="13"/>
  <c r="M91" i="13"/>
  <c r="M90" i="13"/>
  <c r="M86" i="13"/>
  <c r="M84" i="13"/>
  <c r="M89" i="13"/>
  <c r="M87" i="13"/>
  <c r="M88" i="13"/>
  <c r="M92" i="13"/>
  <c r="AA51" i="13"/>
  <c r="AA61" i="13" s="1"/>
  <c r="Z194" i="13"/>
  <c r="Z204" i="13" s="1"/>
  <c r="V51" i="13"/>
  <c r="V61" i="13" s="1"/>
  <c r="Q190" i="13"/>
  <c r="Q200" i="13" s="1"/>
  <c r="U1508" i="8"/>
  <c r="U209" i="13"/>
  <c r="R54" i="13"/>
  <c r="R64" i="13" s="1"/>
  <c r="V189" i="13"/>
  <c r="X50" i="13"/>
  <c r="AE56" i="13"/>
  <c r="AE66" i="13" s="1"/>
  <c r="AE194" i="13"/>
  <c r="AE204" i="13" s="1"/>
  <c r="O55" i="13"/>
  <c r="O65" i="13" s="1"/>
  <c r="Z54" i="13"/>
  <c r="Z64" i="13" s="1"/>
  <c r="T56" i="13"/>
  <c r="T66" i="13" s="1"/>
  <c r="R1504" i="8"/>
  <c r="R91" i="13"/>
  <c r="R89" i="13"/>
  <c r="R86" i="13"/>
  <c r="R84" i="13"/>
  <c r="R85" i="13"/>
  <c r="R88" i="13"/>
  <c r="R87" i="13"/>
  <c r="R90" i="13"/>
  <c r="R92" i="13"/>
  <c r="AA199" i="13"/>
  <c r="O1502" i="8"/>
  <c r="AC60" i="13"/>
  <c r="O1511" i="8"/>
  <c r="Z60" i="13"/>
  <c r="AB1508" i="8"/>
  <c r="Y1498" i="8"/>
  <c r="O1501" i="8"/>
  <c r="M1512" i="8"/>
  <c r="S123" i="13"/>
  <c r="U199" i="13"/>
  <c r="N123" i="13"/>
  <c r="P1511" i="8"/>
  <c r="U1501" i="8"/>
  <c r="W848" i="8"/>
  <c r="W849" i="8" s="1"/>
  <c r="T852" i="8"/>
  <c r="T853" i="8" s="1"/>
  <c r="U836" i="8"/>
  <c r="U837" i="8" s="1"/>
  <c r="U392" i="2"/>
  <c r="U948" i="8" s="1"/>
  <c r="U949" i="8" s="1"/>
  <c r="V832" i="8"/>
  <c r="V833" i="8" s="1"/>
  <c r="T382" i="2"/>
  <c r="T395" i="2"/>
  <c r="T960" i="8" s="1"/>
  <c r="T961" i="8" s="1"/>
  <c r="T396" i="2"/>
  <c r="T964" i="8" s="1"/>
  <c r="T965" i="8" s="1"/>
  <c r="V259" i="2"/>
  <c r="T876" i="8"/>
  <c r="T877" i="8" s="1"/>
  <c r="V258" i="2"/>
  <c r="U956" i="8"/>
  <c r="U957" i="8" s="1"/>
  <c r="V872" i="8"/>
  <c r="V873" i="8" s="1"/>
  <c r="W968" i="8"/>
  <c r="W969" i="8" s="1"/>
  <c r="L948" i="8"/>
  <c r="L949" i="8" s="1"/>
  <c r="L400" i="2"/>
  <c r="L1616" i="8" s="1"/>
  <c r="V359" i="2"/>
  <c r="V856" i="8" s="1"/>
  <c r="V857" i="8" s="1"/>
  <c r="U356" i="2"/>
  <c r="N948" i="8"/>
  <c r="N949" i="8" s="1"/>
  <c r="N400" i="2"/>
  <c r="U856" i="8"/>
  <c r="U857" i="8" s="1"/>
  <c r="V354" i="2"/>
  <c r="V394" i="2" s="1"/>
  <c r="Q948" i="8"/>
  <c r="Q949" i="8" s="1"/>
  <c r="Q400" i="2"/>
  <c r="O896" i="8"/>
  <c r="O897" i="8" s="1"/>
  <c r="O381" i="2"/>
  <c r="O1434" i="8" s="1"/>
  <c r="W353" i="2"/>
  <c r="M896" i="8"/>
  <c r="M897" i="8" s="1"/>
  <c r="M381" i="2"/>
  <c r="M1434" i="8" s="1"/>
  <c r="N896" i="8"/>
  <c r="N897" i="8" s="1"/>
  <c r="N381" i="2"/>
  <c r="N1434" i="8" s="1"/>
  <c r="O948" i="8"/>
  <c r="O949" i="8" s="1"/>
  <c r="O400" i="2"/>
  <c r="R920" i="8"/>
  <c r="R921" i="8" s="1"/>
  <c r="R948" i="8"/>
  <c r="R949" i="8" s="1"/>
  <c r="R400" i="2"/>
  <c r="R1616" i="8" s="1"/>
  <c r="U355" i="2"/>
  <c r="U840" i="8" s="1"/>
  <c r="U841" i="8" s="1"/>
  <c r="M400" i="2"/>
  <c r="M1616" i="8" s="1"/>
  <c r="M948" i="8"/>
  <c r="M949" i="8" s="1"/>
  <c r="S860" i="8"/>
  <c r="S861" i="8" s="1"/>
  <c r="S381" i="2"/>
  <c r="S1434" i="8" s="1"/>
  <c r="P896" i="8"/>
  <c r="P897" i="8" s="1"/>
  <c r="P381" i="2"/>
  <c r="P1434" i="8" s="1"/>
  <c r="L896" i="8"/>
  <c r="L897" i="8" s="1"/>
  <c r="L381" i="2"/>
  <c r="L1434" i="8" s="1"/>
  <c r="Q896" i="8"/>
  <c r="Q897" i="8" s="1"/>
  <c r="Q381" i="2"/>
  <c r="Q1434" i="8" s="1"/>
  <c r="P948" i="8"/>
  <c r="P949" i="8" s="1"/>
  <c r="P400" i="2"/>
  <c r="P1616" i="8" s="1"/>
  <c r="R896" i="8"/>
  <c r="R897" i="8" s="1"/>
  <c r="R381" i="2"/>
  <c r="R1434" i="8" s="1"/>
  <c r="V352" i="2"/>
  <c r="U387" i="2"/>
  <c r="U932" i="8" s="1"/>
  <c r="U933" i="8" s="1"/>
  <c r="S400" i="2"/>
  <c r="S157" i="14" s="1"/>
  <c r="X357" i="2"/>
  <c r="X848" i="8" s="1"/>
  <c r="X849" i="8" s="1"/>
  <c r="U386" i="2"/>
  <c r="U928" i="8" s="1"/>
  <c r="U929" i="8" s="1"/>
  <c r="F1141" i="8"/>
  <c r="L924" i="8"/>
  <c r="L925" i="8" s="1"/>
  <c r="L390" i="2"/>
  <c r="F745" i="8"/>
  <c r="F713" i="8"/>
  <c r="Q924" i="8"/>
  <c r="Q925" i="8" s="1"/>
  <c r="Q390" i="2"/>
  <c r="F1125" i="8"/>
  <c r="F749" i="8"/>
  <c r="F1093" i="8"/>
  <c r="R924" i="8"/>
  <c r="R925" i="8" s="1"/>
  <c r="R390" i="2"/>
  <c r="R944" i="8" s="1"/>
  <c r="F717" i="8"/>
  <c r="F1121" i="8"/>
  <c r="F1105" i="8"/>
  <c r="F1113" i="8"/>
  <c r="F1089" i="8"/>
  <c r="F1137" i="8"/>
  <c r="F729" i="8"/>
  <c r="F1145" i="8"/>
  <c r="F733" i="8"/>
  <c r="U748" i="2"/>
  <c r="U1220" i="8" s="1"/>
  <c r="U1221" i="8" s="1"/>
  <c r="F697" i="8"/>
  <c r="F725" i="8"/>
  <c r="F701" i="8"/>
  <c r="M390" i="2"/>
  <c r="M924" i="8"/>
  <c r="M925" i="8" s="1"/>
  <c r="U338" i="2"/>
  <c r="U788" i="8" s="1"/>
  <c r="U789" i="8" s="1"/>
  <c r="U358" i="2"/>
  <c r="U852" i="8" s="1"/>
  <c r="U853" i="8" s="1"/>
  <c r="F693" i="8"/>
  <c r="F1129" i="8"/>
  <c r="T385" i="2"/>
  <c r="T924" i="8" s="1"/>
  <c r="T925" i="8" s="1"/>
  <c r="F1097" i="8"/>
  <c r="O924" i="8"/>
  <c r="O925" i="8" s="1"/>
  <c r="O390" i="2"/>
  <c r="F1109" i="8"/>
  <c r="F741" i="8"/>
  <c r="N390" i="2"/>
  <c r="N924" i="8"/>
  <c r="N925" i="8" s="1"/>
  <c r="F709" i="8"/>
  <c r="P924" i="8"/>
  <c r="P925" i="8" s="1"/>
  <c r="P390" i="2"/>
  <c r="T360" i="2"/>
  <c r="U376" i="2"/>
  <c r="U908" i="8" s="1"/>
  <c r="U909" i="8" s="1"/>
  <c r="U737" i="2"/>
  <c r="U1184" i="8" s="1"/>
  <c r="U1185" i="8" s="1"/>
  <c r="U772" i="8"/>
  <c r="U773" i="8" s="1"/>
  <c r="U808" i="8"/>
  <c r="U809" i="8" s="1"/>
  <c r="V612" i="8"/>
  <c r="V613" i="8" s="1"/>
  <c r="W280" i="2"/>
  <c r="W74" i="13" s="1"/>
  <c r="V334" i="2"/>
  <c r="V41" i="14" s="1"/>
  <c r="V345" i="2"/>
  <c r="U349" i="2"/>
  <c r="U824" i="8" s="1"/>
  <c r="U825" i="8" s="1"/>
  <c r="T389" i="2"/>
  <c r="T940" i="8" s="1"/>
  <c r="T941" i="8" s="1"/>
  <c r="U1192" i="8"/>
  <c r="U1193" i="8" s="1"/>
  <c r="V1188" i="8"/>
  <c r="V1189" i="8" s="1"/>
  <c r="V996" i="8"/>
  <c r="V997" i="8" s="1"/>
  <c r="V730" i="2"/>
  <c r="V203" i="14" s="1"/>
  <c r="W676" i="2"/>
  <c r="V741" i="2"/>
  <c r="V1152" i="8"/>
  <c r="V1153" i="8" s="1"/>
  <c r="Y616" i="8"/>
  <c r="Y617" i="8" s="1"/>
  <c r="Y346" i="2"/>
  <c r="Z281" i="2"/>
  <c r="Z75" i="13" s="1"/>
  <c r="Y335" i="2"/>
  <c r="Y42" i="14" s="1"/>
  <c r="W1012" i="8"/>
  <c r="W1013" i="8" s="1"/>
  <c r="W745" i="2"/>
  <c r="X680" i="2"/>
  <c r="X214" i="13" s="1"/>
  <c r="W734" i="2"/>
  <c r="W207" i="14" s="1"/>
  <c r="V820" i="8"/>
  <c r="V821" i="8" s="1"/>
  <c r="V892" i="8"/>
  <c r="V893" i="8" s="1"/>
  <c r="S900" i="8"/>
  <c r="S901" i="8" s="1"/>
  <c r="S379" i="2"/>
  <c r="X812" i="8"/>
  <c r="X813" i="8" s="1"/>
  <c r="V1208" i="8"/>
  <c r="V1209" i="8" s="1"/>
  <c r="W330" i="2"/>
  <c r="W37" i="14" s="1"/>
  <c r="W341" i="2"/>
  <c r="W596" i="8"/>
  <c r="W597" i="8" s="1"/>
  <c r="X276" i="2"/>
  <c r="W760" i="8"/>
  <c r="W761" i="8" s="1"/>
  <c r="W624" i="8"/>
  <c r="W625" i="8" s="1"/>
  <c r="W348" i="2"/>
  <c r="W337" i="2"/>
  <c r="W44" i="14" s="1"/>
  <c r="X283" i="2"/>
  <c r="W992" i="8"/>
  <c r="W993" i="8" s="1"/>
  <c r="X675" i="2"/>
  <c r="W729" i="2"/>
  <c r="W202" i="14" s="1"/>
  <c r="W740" i="2"/>
  <c r="U828" i="8"/>
  <c r="U829" i="8" s="1"/>
  <c r="U864" i="8"/>
  <c r="U865" i="8" s="1"/>
  <c r="V792" i="8"/>
  <c r="V793" i="8" s="1"/>
  <c r="W796" i="8"/>
  <c r="W797" i="8" s="1"/>
  <c r="V784" i="8"/>
  <c r="V785" i="8" s="1"/>
  <c r="U780" i="8"/>
  <c r="U781" i="8" s="1"/>
  <c r="V756" i="8"/>
  <c r="V757" i="8" s="1"/>
  <c r="U816" i="8"/>
  <c r="U817" i="8" s="1"/>
  <c r="W1008" i="8"/>
  <c r="W1009" i="8" s="1"/>
  <c r="W744" i="2"/>
  <c r="W733" i="2"/>
  <c r="W206" i="14" s="1"/>
  <c r="X679" i="2"/>
  <c r="X213" i="13" s="1"/>
  <c r="Y277" i="2"/>
  <c r="Y71" i="13" s="1"/>
  <c r="X600" i="8"/>
  <c r="X601" i="8" s="1"/>
  <c r="X342" i="2"/>
  <c r="X331" i="2"/>
  <c r="X38" i="14" s="1"/>
  <c r="V800" i="8"/>
  <c r="V801" i="8" s="1"/>
  <c r="U1160" i="8"/>
  <c r="U1161" i="8" s="1"/>
  <c r="U1156" i="8"/>
  <c r="U1157" i="8" s="1"/>
  <c r="X776" i="8"/>
  <c r="X777" i="8" s="1"/>
  <c r="V1172" i="8"/>
  <c r="V1173" i="8" s="1"/>
  <c r="V1168" i="8"/>
  <c r="V1169" i="8" s="1"/>
  <c r="U375" i="2"/>
  <c r="U904" i="8" s="1"/>
  <c r="U905" i="8" s="1"/>
  <c r="V764" i="8"/>
  <c r="V765" i="8" s="1"/>
  <c r="V620" i="8"/>
  <c r="V621" i="8" s="1"/>
  <c r="W282" i="2"/>
  <c r="W76" i="13" s="1"/>
  <c r="V347" i="2"/>
  <c r="V336" i="2"/>
  <c r="V43" i="14" s="1"/>
  <c r="U768" i="8"/>
  <c r="U769" i="8" s="1"/>
  <c r="V1204" i="8"/>
  <c r="V1205" i="8" s="1"/>
  <c r="T371" i="2"/>
  <c r="T896" i="8" s="1"/>
  <c r="T897" i="8" s="1"/>
  <c r="W1180" i="8"/>
  <c r="W1181" i="8" s="1"/>
  <c r="W604" i="8"/>
  <c r="W605" i="8" s="1"/>
  <c r="X278" i="2"/>
  <c r="X72" i="13" s="1"/>
  <c r="W343" i="2"/>
  <c r="W332" i="2"/>
  <c r="W39" i="14" s="1"/>
  <c r="S924" i="8"/>
  <c r="S925" i="8" s="1"/>
  <c r="S390" i="2"/>
  <c r="S944" i="8" s="1"/>
  <c r="V1004" i="8"/>
  <c r="V1005" i="8" s="1"/>
  <c r="V732" i="2"/>
  <c r="V205" i="14" s="1"/>
  <c r="V743" i="2"/>
  <c r="W678" i="2"/>
  <c r="V608" i="8"/>
  <c r="V609" i="8" s="1"/>
  <c r="V344" i="2"/>
  <c r="W279" i="2"/>
  <c r="V333" i="2"/>
  <c r="V40" i="14" s="1"/>
  <c r="T374" i="2"/>
  <c r="W1216" i="8"/>
  <c r="W1217" i="8" s="1"/>
  <c r="U1212" i="8"/>
  <c r="U1213" i="8" s="1"/>
  <c r="U1164" i="8"/>
  <c r="U1165" i="8" s="1"/>
  <c r="U804" i="8"/>
  <c r="U805" i="8" s="1"/>
  <c r="X1020" i="8"/>
  <c r="X1021" i="8" s="1"/>
  <c r="X747" i="2"/>
  <c r="Y682" i="2"/>
  <c r="X736" i="2"/>
  <c r="X209" i="14" s="1"/>
  <c r="U1196" i="8"/>
  <c r="U1197" i="8" s="1"/>
  <c r="U1176" i="8"/>
  <c r="U1177" i="8" s="1"/>
  <c r="U1200" i="8"/>
  <c r="U1201" i="8" s="1"/>
  <c r="T378" i="2"/>
  <c r="T916" i="8" s="1"/>
  <c r="T917" i="8" s="1"/>
  <c r="W677" i="2"/>
  <c r="W211" i="13" s="1"/>
  <c r="V742" i="2"/>
  <c r="V1000" i="8"/>
  <c r="V1001" i="8" s="1"/>
  <c r="V731" i="2"/>
  <c r="V204" i="14" s="1"/>
  <c r="V1016" i="8"/>
  <c r="V1017" i="8" s="1"/>
  <c r="W681" i="2"/>
  <c r="W263" i="13" s="1"/>
  <c r="V735" i="2"/>
  <c r="V208" i="14" s="1"/>
  <c r="V746" i="2"/>
  <c r="V1512" i="8" l="1"/>
  <c r="W260" i="2"/>
  <c r="W261" i="2"/>
  <c r="W393" i="2"/>
  <c r="S158" i="14"/>
  <c r="S1616" i="8"/>
  <c r="U243" i="14"/>
  <c r="U244" i="14" s="1"/>
  <c r="U383" i="2"/>
  <c r="U396" i="2"/>
  <c r="U964" i="8" s="1"/>
  <c r="U965" i="8" s="1"/>
  <c r="V242" i="14"/>
  <c r="U78" i="14"/>
  <c r="U79" i="14" s="1"/>
  <c r="W363" i="2"/>
  <c r="W67" i="14"/>
  <c r="M649" i="2"/>
  <c r="M1621" i="8" s="1"/>
  <c r="M1649" i="8"/>
  <c r="M302" i="14"/>
  <c r="M306" i="14"/>
  <c r="M310" i="14"/>
  <c r="M313" i="14" s="1"/>
  <c r="M320" i="14" s="1"/>
  <c r="M1656" i="8" s="1"/>
  <c r="M270" i="14"/>
  <c r="M298" i="14"/>
  <c r="M286" i="14"/>
  <c r="M290" i="14"/>
  <c r="M262" i="14"/>
  <c r="M258" i="14"/>
  <c r="M282" i="14"/>
  <c r="M278" i="14"/>
  <c r="M248" i="14"/>
  <c r="M254" i="14"/>
  <c r="M294" i="14"/>
  <c r="M266" i="14"/>
  <c r="M274" i="14"/>
  <c r="P1649" i="8"/>
  <c r="P649" i="2"/>
  <c r="P1621" i="8" s="1"/>
  <c r="P302" i="14"/>
  <c r="P306" i="14"/>
  <c r="P282" i="14"/>
  <c r="P298" i="14"/>
  <c r="P286" i="14"/>
  <c r="P310" i="14"/>
  <c r="P313" i="14" s="1"/>
  <c r="P290" i="14"/>
  <c r="P262" i="14"/>
  <c r="P278" i="14"/>
  <c r="P270" i="14"/>
  <c r="P258" i="14"/>
  <c r="P248" i="14"/>
  <c r="P294" i="14"/>
  <c r="P254" i="14"/>
  <c r="P266" i="14"/>
  <c r="P274" i="14"/>
  <c r="V234" i="14"/>
  <c r="O250" i="2"/>
  <c r="O1617" i="8" s="1"/>
  <c r="O129" i="14"/>
  <c r="O145" i="14"/>
  <c r="O148" i="14" s="1"/>
  <c r="O155" i="14" s="1"/>
  <c r="O133" i="14"/>
  <c r="O137" i="14"/>
  <c r="O101" i="14"/>
  <c r="O117" i="14"/>
  <c r="O105" i="14"/>
  <c r="O109" i="14"/>
  <c r="O89" i="14"/>
  <c r="O125" i="14"/>
  <c r="O97" i="14"/>
  <c r="O141" i="14"/>
  <c r="O121" i="14"/>
  <c r="O113" i="14"/>
  <c r="O83" i="14"/>
  <c r="O93" i="14"/>
  <c r="V77" i="14"/>
  <c r="W237" i="14"/>
  <c r="N1649" i="8"/>
  <c r="N649" i="2"/>
  <c r="N1621" i="8" s="1"/>
  <c r="N306" i="14"/>
  <c r="N310" i="14"/>
  <c r="N313" i="14" s="1"/>
  <c r="N320" i="14" s="1"/>
  <c r="N1656" i="8" s="1"/>
  <c r="N298" i="14"/>
  <c r="N286" i="14"/>
  <c r="N278" i="14"/>
  <c r="N294" i="14"/>
  <c r="N266" i="14"/>
  <c r="N270" i="14"/>
  <c r="N258" i="14"/>
  <c r="N302" i="14"/>
  <c r="N290" i="14"/>
  <c r="N282" i="14"/>
  <c r="N262" i="14"/>
  <c r="N248" i="14"/>
  <c r="N274" i="14"/>
  <c r="N254" i="14"/>
  <c r="Y368" i="2"/>
  <c r="Y72" i="14"/>
  <c r="M137" i="13"/>
  <c r="M157" i="14"/>
  <c r="M158" i="14" s="1"/>
  <c r="O137" i="13"/>
  <c r="O157" i="14"/>
  <c r="O158" i="14" s="1"/>
  <c r="N137" i="13"/>
  <c r="N157" i="14"/>
  <c r="N158" i="14" s="1"/>
  <c r="M250" i="2"/>
  <c r="M1617" i="8" s="1"/>
  <c r="M145" i="14"/>
  <c r="M148" i="14" s="1"/>
  <c r="M155" i="14" s="1"/>
  <c r="M133" i="14"/>
  <c r="M137" i="14"/>
  <c r="M125" i="14"/>
  <c r="M117" i="14"/>
  <c r="M105" i="14"/>
  <c r="M141" i="14"/>
  <c r="M121" i="14"/>
  <c r="M93" i="14"/>
  <c r="M97" i="14"/>
  <c r="M129" i="14"/>
  <c r="M109" i="14"/>
  <c r="M113" i="14"/>
  <c r="M101" i="14"/>
  <c r="M83" i="14"/>
  <c r="M89" i="14"/>
  <c r="O1616" i="8"/>
  <c r="W232" i="14"/>
  <c r="Q137" i="13"/>
  <c r="Q157" i="14"/>
  <c r="Q158" i="14" s="1"/>
  <c r="M83" i="8"/>
  <c r="M84" i="8" s="1"/>
  <c r="W236" i="14"/>
  <c r="X209" i="13"/>
  <c r="M31" i="12"/>
  <c r="L250" i="2"/>
  <c r="L1617" i="8" s="1"/>
  <c r="L133" i="14"/>
  <c r="L137" i="14"/>
  <c r="L141" i="14"/>
  <c r="L117" i="14"/>
  <c r="L89" i="14"/>
  <c r="L105" i="14"/>
  <c r="L121" i="14"/>
  <c r="L93" i="14"/>
  <c r="L145" i="14"/>
  <c r="L148" i="14" s="1"/>
  <c r="L109" i="14"/>
  <c r="L97" i="14"/>
  <c r="L113" i="14"/>
  <c r="L125" i="14"/>
  <c r="L129" i="14"/>
  <c r="L101" i="14"/>
  <c r="L83" i="14"/>
  <c r="W365" i="2"/>
  <c r="W69" i="14"/>
  <c r="V367" i="2"/>
  <c r="V880" i="8" s="1"/>
  <c r="V881" i="8" s="1"/>
  <c r="V71" i="14"/>
  <c r="U81" i="14"/>
  <c r="V233" i="14"/>
  <c r="R137" i="13"/>
  <c r="R157" i="14"/>
  <c r="R158" i="14" s="1"/>
  <c r="R250" i="2"/>
  <c r="R1617" i="8" s="1"/>
  <c r="R141" i="14"/>
  <c r="R129" i="14"/>
  <c r="R145" i="14"/>
  <c r="R148" i="14" s="1"/>
  <c r="R155" i="14" s="1"/>
  <c r="R97" i="14"/>
  <c r="R125" i="14"/>
  <c r="R113" i="14"/>
  <c r="R101" i="14"/>
  <c r="R117" i="14"/>
  <c r="R89" i="14"/>
  <c r="R137" i="14"/>
  <c r="R133" i="14"/>
  <c r="R105" i="14"/>
  <c r="R121" i="14"/>
  <c r="R93" i="14"/>
  <c r="R83" i="14"/>
  <c r="R109" i="14"/>
  <c r="P250" i="2"/>
  <c r="P1617" i="8" s="1"/>
  <c r="P145" i="14"/>
  <c r="P148" i="14" s="1"/>
  <c r="P155" i="14" s="1"/>
  <c r="P133" i="14"/>
  <c r="P137" i="14"/>
  <c r="P129" i="14"/>
  <c r="P125" i="14"/>
  <c r="P113" i="14"/>
  <c r="P83" i="14"/>
  <c r="P101" i="14"/>
  <c r="P117" i="14"/>
  <c r="P89" i="14"/>
  <c r="P105" i="14"/>
  <c r="P141" i="14"/>
  <c r="P121" i="14"/>
  <c r="P93" i="14"/>
  <c r="P109" i="14"/>
  <c r="P97" i="14"/>
  <c r="T250" i="2"/>
  <c r="T1617" i="8" s="1"/>
  <c r="T141" i="14"/>
  <c r="T129" i="14"/>
  <c r="T133" i="14"/>
  <c r="T109" i="14"/>
  <c r="T97" i="14"/>
  <c r="T125" i="14"/>
  <c r="T113" i="14"/>
  <c r="T101" i="14"/>
  <c r="T117" i="14"/>
  <c r="T89" i="14"/>
  <c r="T137" i="14"/>
  <c r="T105" i="14"/>
  <c r="T93" i="14"/>
  <c r="T83" i="14"/>
  <c r="T121" i="14"/>
  <c r="T145" i="14"/>
  <c r="T148" i="14" s="1"/>
  <c r="X239" i="14"/>
  <c r="V366" i="2"/>
  <c r="V70" i="14"/>
  <c r="L137" i="13"/>
  <c r="L157" i="14"/>
  <c r="L158" i="14" s="1"/>
  <c r="Q1649" i="8"/>
  <c r="Q649" i="2"/>
  <c r="Q1621" i="8" s="1"/>
  <c r="Q302" i="14"/>
  <c r="Q306" i="14"/>
  <c r="Q294" i="14"/>
  <c r="Q282" i="14"/>
  <c r="Q298" i="14"/>
  <c r="Q286" i="14"/>
  <c r="Q258" i="14"/>
  <c r="Q274" i="14"/>
  <c r="Q266" i="14"/>
  <c r="Q310" i="14"/>
  <c r="Q313" i="14" s="1"/>
  <c r="Q320" i="14" s="1"/>
  <c r="Q1656" i="8" s="1"/>
  <c r="Q270" i="14"/>
  <c r="Q290" i="14"/>
  <c r="Q278" i="14"/>
  <c r="Q254" i="14"/>
  <c r="Q248" i="14"/>
  <c r="Q262" i="14"/>
  <c r="U246" i="14"/>
  <c r="Q1616" i="8"/>
  <c r="V369" i="2"/>
  <c r="V888" i="8" s="1"/>
  <c r="V889" i="8" s="1"/>
  <c r="V73" i="14"/>
  <c r="V238" i="14"/>
  <c r="W370" i="2"/>
  <c r="W74" i="14"/>
  <c r="O1649" i="8"/>
  <c r="O302" i="14"/>
  <c r="O282" i="14"/>
  <c r="O270" i="14"/>
  <c r="O298" i="14"/>
  <c r="O286" i="14"/>
  <c r="O310" i="14"/>
  <c r="O313" i="14" s="1"/>
  <c r="O320" i="14" s="1"/>
  <c r="O1656" i="8" s="1"/>
  <c r="O306" i="14"/>
  <c r="O274" i="14"/>
  <c r="O290" i="14"/>
  <c r="O258" i="14"/>
  <c r="O278" i="14"/>
  <c r="O262" i="14"/>
  <c r="O649" i="2"/>
  <c r="O1621" i="8" s="1"/>
  <c r="O266" i="14"/>
  <c r="O254" i="14"/>
  <c r="O294" i="14"/>
  <c r="O248" i="14"/>
  <c r="Q250" i="2"/>
  <c r="Q1617" i="8" s="1"/>
  <c r="Q141" i="14"/>
  <c r="Q145" i="14"/>
  <c r="Q148" i="14" s="1"/>
  <c r="Q155" i="14" s="1"/>
  <c r="Q133" i="14"/>
  <c r="Q129" i="14"/>
  <c r="Q125" i="14"/>
  <c r="Q113" i="14"/>
  <c r="Q101" i="14"/>
  <c r="Q117" i="14"/>
  <c r="Q89" i="14"/>
  <c r="Q121" i="14"/>
  <c r="Q93" i="14"/>
  <c r="Q137" i="14"/>
  <c r="Q105" i="14"/>
  <c r="Q83" i="14"/>
  <c r="Q109" i="14"/>
  <c r="Q97" i="14"/>
  <c r="U82" i="14"/>
  <c r="V235" i="14"/>
  <c r="N250" i="2"/>
  <c r="N1617" i="8" s="1"/>
  <c r="N145" i="14"/>
  <c r="N148" i="14" s="1"/>
  <c r="N155" i="14" s="1"/>
  <c r="N133" i="14"/>
  <c r="N101" i="14"/>
  <c r="N117" i="14"/>
  <c r="N105" i="14"/>
  <c r="N141" i="14"/>
  <c r="N137" i="14"/>
  <c r="N121" i="14"/>
  <c r="N93" i="14"/>
  <c r="N109" i="14"/>
  <c r="N97" i="14"/>
  <c r="N125" i="14"/>
  <c r="N129" i="14"/>
  <c r="N113" i="14"/>
  <c r="N89" i="14"/>
  <c r="N83" i="14"/>
  <c r="T1649" i="8"/>
  <c r="T649" i="2"/>
  <c r="T1621" i="8" s="1"/>
  <c r="T248" i="14"/>
  <c r="P137" i="13"/>
  <c r="P157" i="14"/>
  <c r="P158" i="14" s="1"/>
  <c r="N1616" i="8"/>
  <c r="S250" i="2"/>
  <c r="S1617" i="8" s="1"/>
  <c r="S125" i="14"/>
  <c r="S141" i="14"/>
  <c r="S129" i="14"/>
  <c r="S145" i="14"/>
  <c r="S148" i="14" s="1"/>
  <c r="S155" i="14" s="1"/>
  <c r="S133" i="14"/>
  <c r="S97" i="14"/>
  <c r="S113" i="14"/>
  <c r="S101" i="14"/>
  <c r="S137" i="14"/>
  <c r="S105" i="14"/>
  <c r="S89" i="14"/>
  <c r="S117" i="14"/>
  <c r="S83" i="14"/>
  <c r="S121" i="14"/>
  <c r="S109" i="14"/>
  <c r="S93" i="14"/>
  <c r="L1649" i="8"/>
  <c r="L302" i="14"/>
  <c r="L306" i="14"/>
  <c r="L310" i="14"/>
  <c r="L313" i="14" s="1"/>
  <c r="L320" i="14" s="1"/>
  <c r="L1656" i="8" s="1"/>
  <c r="L298" i="14"/>
  <c r="L286" i="14"/>
  <c r="L290" i="14"/>
  <c r="L294" i="14"/>
  <c r="L266" i="14"/>
  <c r="L649" i="2"/>
  <c r="L1621" i="8" s="1"/>
  <c r="L282" i="14"/>
  <c r="L258" i="14"/>
  <c r="L270" i="14"/>
  <c r="L278" i="14"/>
  <c r="L262" i="14"/>
  <c r="L248" i="14"/>
  <c r="L254" i="14"/>
  <c r="L274" i="14"/>
  <c r="R1649" i="8"/>
  <c r="R649" i="2"/>
  <c r="R1621" i="8" s="1"/>
  <c r="R248" i="14"/>
  <c r="X364" i="2"/>
  <c r="X868" i="8" s="1"/>
  <c r="X869" i="8" s="1"/>
  <c r="X68" i="14"/>
  <c r="S1649" i="8"/>
  <c r="S649" i="2"/>
  <c r="S1621" i="8" s="1"/>
  <c r="S248" i="14"/>
  <c r="U247" i="14"/>
  <c r="M63" i="8"/>
  <c r="M64" i="8" s="1"/>
  <c r="M23" i="12"/>
  <c r="M103" i="8"/>
  <c r="M104" i="8" s="1"/>
  <c r="W221" i="13"/>
  <c r="M26" i="12"/>
  <c r="V123" i="13"/>
  <c r="T1511" i="8"/>
  <c r="W89" i="13"/>
  <c r="N122" i="2"/>
  <c r="O122" i="2" s="1"/>
  <c r="U1512" i="8"/>
  <c r="W92" i="13"/>
  <c r="M20" i="12"/>
  <c r="M51" i="8"/>
  <c r="M52" i="8" s="1"/>
  <c r="W91" i="13"/>
  <c r="R1512" i="8"/>
  <c r="AA1509" i="8"/>
  <c r="AC1499" i="8"/>
  <c r="M38" i="12"/>
  <c r="Q1511" i="8"/>
  <c r="N182" i="2"/>
  <c r="O182" i="2" s="1"/>
  <c r="Q1512" i="8"/>
  <c r="S1511" i="8"/>
  <c r="M25" i="12"/>
  <c r="M71" i="8"/>
  <c r="M72" i="8" s="1"/>
  <c r="M35" i="12"/>
  <c r="M99" i="8"/>
  <c r="M100" i="8" s="1"/>
  <c r="X1509" i="8"/>
  <c r="M238" i="2"/>
  <c r="N238" i="2" s="1"/>
  <c r="W90" i="13"/>
  <c r="M240" i="2"/>
  <c r="N240" i="2" s="1"/>
  <c r="W87" i="13"/>
  <c r="N180" i="2"/>
  <c r="N103" i="8" s="1"/>
  <c r="N104" i="8" s="1"/>
  <c r="AB1509" i="8"/>
  <c r="U1509" i="8"/>
  <c r="V1504" i="8"/>
  <c r="V128" i="13"/>
  <c r="X82" i="13"/>
  <c r="X83" i="13" s="1"/>
  <c r="X90" i="13" s="1"/>
  <c r="V133" i="13"/>
  <c r="V126" i="13"/>
  <c r="V127" i="13"/>
  <c r="V131" i="13"/>
  <c r="T1503" i="8"/>
  <c r="M61" i="2"/>
  <c r="M13" i="12" s="1"/>
  <c r="M56" i="2"/>
  <c r="M8" i="12" s="1"/>
  <c r="Y1499" i="8"/>
  <c r="V130" i="13"/>
  <c r="T1500" i="8"/>
  <c r="M62" i="2"/>
  <c r="M39" i="8" s="1"/>
  <c r="M40" i="8" s="1"/>
  <c r="V134" i="13"/>
  <c r="M59" i="2"/>
  <c r="M11" i="12" s="1"/>
  <c r="W1512" i="8"/>
  <c r="W85" i="13"/>
  <c r="V129" i="13"/>
  <c r="W215" i="13"/>
  <c r="W262" i="13" s="1"/>
  <c r="W264" i="13" s="1"/>
  <c r="W210" i="13"/>
  <c r="W220" i="13" s="1"/>
  <c r="AA1499" i="8"/>
  <c r="M57" i="2"/>
  <c r="N57" i="2" s="1"/>
  <c r="W84" i="13"/>
  <c r="S1509" i="8"/>
  <c r="W88" i="13"/>
  <c r="M239" i="2"/>
  <c r="N239" i="2" s="1"/>
  <c r="R1543" i="8"/>
  <c r="R266" i="13"/>
  <c r="R269" i="13"/>
  <c r="R273" i="13"/>
  <c r="R265" i="13"/>
  <c r="R268" i="13"/>
  <c r="R270" i="13"/>
  <c r="R271" i="13"/>
  <c r="R267" i="13"/>
  <c r="R272" i="13"/>
  <c r="X1542" i="8"/>
  <c r="X251" i="13"/>
  <c r="X257" i="13"/>
  <c r="X255" i="13"/>
  <c r="X252" i="13"/>
  <c r="X259" i="13"/>
  <c r="X258" i="13"/>
  <c r="X253" i="13"/>
  <c r="X254" i="13"/>
  <c r="X256" i="13"/>
  <c r="V1543" i="8"/>
  <c r="V267" i="13"/>
  <c r="V270" i="13"/>
  <c r="V272" i="13"/>
  <c r="V266" i="13"/>
  <c r="V269" i="13"/>
  <c r="V271" i="13"/>
  <c r="V265" i="13"/>
  <c r="V273" i="13"/>
  <c r="V268" i="13"/>
  <c r="Q1543" i="8"/>
  <c r="Q266" i="13"/>
  <c r="Q272" i="13"/>
  <c r="Q267" i="13"/>
  <c r="Q273" i="13"/>
  <c r="Q265" i="13"/>
  <c r="Q270" i="13"/>
  <c r="Q268" i="13"/>
  <c r="Q269" i="13"/>
  <c r="Q271" i="13"/>
  <c r="N117" i="2"/>
  <c r="M21" i="12"/>
  <c r="M55" i="8"/>
  <c r="M56" i="8" s="1"/>
  <c r="T220" i="13"/>
  <c r="T222" i="13" s="1"/>
  <c r="T217" i="13"/>
  <c r="T1641" i="8" s="1"/>
  <c r="M1499" i="8"/>
  <c r="M1503" i="8"/>
  <c r="Q81" i="13"/>
  <c r="Q78" i="13"/>
  <c r="N78" i="13"/>
  <c r="N81" i="13"/>
  <c r="Q220" i="13"/>
  <c r="Q222" i="13" s="1"/>
  <c r="Q217" i="13"/>
  <c r="Q1641" i="8" s="1"/>
  <c r="O1510" i="8"/>
  <c r="M58" i="2"/>
  <c r="V78" i="13"/>
  <c r="V81" i="13"/>
  <c r="R1499" i="8"/>
  <c r="U1511" i="8"/>
  <c r="S1499" i="8"/>
  <c r="L1503" i="8"/>
  <c r="M234" i="2"/>
  <c r="N120" i="2"/>
  <c r="M24" i="12"/>
  <c r="M67" i="8"/>
  <c r="M68" i="8" s="1"/>
  <c r="O1513" i="8"/>
  <c r="L220" i="13"/>
  <c r="L217" i="13"/>
  <c r="L1641" i="8" s="1"/>
  <c r="M55" i="2"/>
  <c r="U81" i="13"/>
  <c r="U78" i="13"/>
  <c r="Q1499" i="8"/>
  <c r="N220" i="13"/>
  <c r="N217" i="13"/>
  <c r="N1641" i="8" s="1"/>
  <c r="N118" i="2"/>
  <c r="M59" i="8"/>
  <c r="M60" i="8" s="1"/>
  <c r="M22" i="12"/>
  <c r="W81" i="13"/>
  <c r="R1503" i="8"/>
  <c r="M237" i="2"/>
  <c r="N1500" i="8"/>
  <c r="W123" i="13"/>
  <c r="M1510" i="8"/>
  <c r="O81" i="13"/>
  <c r="O78" i="13"/>
  <c r="S1543" i="8"/>
  <c r="S267" i="13"/>
  <c r="S271" i="13"/>
  <c r="S268" i="13"/>
  <c r="S265" i="13"/>
  <c r="S270" i="13"/>
  <c r="S266" i="13"/>
  <c r="S269" i="13"/>
  <c r="S273" i="13"/>
  <c r="S272" i="13"/>
  <c r="N1510" i="8"/>
  <c r="AE1509" i="8"/>
  <c r="AE199" i="13"/>
  <c r="S1512" i="8"/>
  <c r="Y1509" i="8"/>
  <c r="Y199" i="13"/>
  <c r="O1500" i="8"/>
  <c r="F1508" i="8"/>
  <c r="Q1503" i="8"/>
  <c r="U1503" i="8"/>
  <c r="N114" i="2"/>
  <c r="M123" i="2"/>
  <c r="M43" i="8"/>
  <c r="M44" i="8" s="1"/>
  <c r="M18" i="12"/>
  <c r="M60" i="2"/>
  <c r="N1513" i="8"/>
  <c r="V1501" i="8"/>
  <c r="P1509" i="8"/>
  <c r="P199" i="13"/>
  <c r="W1509" i="8"/>
  <c r="L1500" i="8"/>
  <c r="M54" i="2"/>
  <c r="T1543" i="8"/>
  <c r="T265" i="13"/>
  <c r="T273" i="13"/>
  <c r="T269" i="13"/>
  <c r="T267" i="13"/>
  <c r="T272" i="13"/>
  <c r="T270" i="13"/>
  <c r="T271" i="13"/>
  <c r="T266" i="13"/>
  <c r="T268" i="13"/>
  <c r="O175" i="2"/>
  <c r="N31" i="12"/>
  <c r="N83" i="8"/>
  <c r="N84" i="8" s="1"/>
  <c r="P1500" i="8"/>
  <c r="Z1499" i="8"/>
  <c r="S1503" i="8"/>
  <c r="M241" i="2"/>
  <c r="M242" i="2"/>
  <c r="Z1509" i="8"/>
  <c r="Z199" i="13"/>
  <c r="N1503" i="8"/>
  <c r="P220" i="13"/>
  <c r="P217" i="13"/>
  <c r="P1641" i="8" s="1"/>
  <c r="O1503" i="8"/>
  <c r="W96" i="13"/>
  <c r="W97" i="13" s="1"/>
  <c r="W73" i="13"/>
  <c r="W95" i="13" s="1"/>
  <c r="O220" i="13"/>
  <c r="O217" i="13"/>
  <c r="O1641" i="8" s="1"/>
  <c r="V1509" i="8"/>
  <c r="V199" i="13"/>
  <c r="M1500" i="8"/>
  <c r="M1509" i="8"/>
  <c r="M236" i="2"/>
  <c r="M78" i="13"/>
  <c r="M81" i="13"/>
  <c r="AD1509" i="8"/>
  <c r="AD199" i="13"/>
  <c r="O116" i="2"/>
  <c r="N20" i="12"/>
  <c r="N51" i="8"/>
  <c r="N52" i="8" s="1"/>
  <c r="Q1500" i="8"/>
  <c r="U1500" i="8"/>
  <c r="P1510" i="8"/>
  <c r="V1499" i="8"/>
  <c r="T1509" i="8"/>
  <c r="T199" i="13"/>
  <c r="L78" i="13"/>
  <c r="L81" i="13"/>
  <c r="S217" i="13"/>
  <c r="S1641" i="8" s="1"/>
  <c r="S220" i="13"/>
  <c r="S222" i="13" s="1"/>
  <c r="N1499" i="8"/>
  <c r="N60" i="13"/>
  <c r="O119" i="2"/>
  <c r="N23" i="12"/>
  <c r="N63" i="8"/>
  <c r="N64" i="8" s="1"/>
  <c r="T81" i="13"/>
  <c r="T78" i="13"/>
  <c r="N174" i="2"/>
  <c r="M79" i="8"/>
  <c r="M80" i="8" s="1"/>
  <c r="M30" i="12"/>
  <c r="M183" i="2"/>
  <c r="R1509" i="8"/>
  <c r="Y249" i="13"/>
  <c r="Y216" i="13"/>
  <c r="Y248" i="13" s="1"/>
  <c r="U1543" i="8"/>
  <c r="U266" i="13"/>
  <c r="U265" i="13"/>
  <c r="U269" i="13"/>
  <c r="U271" i="13"/>
  <c r="U270" i="13"/>
  <c r="U272" i="13"/>
  <c r="U267" i="13"/>
  <c r="U268" i="13"/>
  <c r="U273" i="13"/>
  <c r="V217" i="13"/>
  <c r="V1641" i="8" s="1"/>
  <c r="V220" i="13"/>
  <c r="V222" i="13" s="1"/>
  <c r="O1499" i="8"/>
  <c r="P1513" i="8"/>
  <c r="P1503" i="8"/>
  <c r="P81" i="13"/>
  <c r="P78" i="13"/>
  <c r="F1498" i="8"/>
  <c r="M235" i="2"/>
  <c r="Q1509" i="8"/>
  <c r="Q199" i="13"/>
  <c r="L1513" i="8"/>
  <c r="O1509" i="8"/>
  <c r="O199" i="13"/>
  <c r="N177" i="2"/>
  <c r="M33" i="12"/>
  <c r="M91" i="8"/>
  <c r="M92" i="8" s="1"/>
  <c r="S81" i="13"/>
  <c r="S78" i="13"/>
  <c r="R1500" i="8"/>
  <c r="X1499" i="8"/>
  <c r="X60" i="13"/>
  <c r="X70" i="13"/>
  <c r="M1513" i="8"/>
  <c r="W235" i="13"/>
  <c r="W212" i="13"/>
  <c r="W234" i="13" s="1"/>
  <c r="S1431" i="8"/>
  <c r="S137" i="13"/>
  <c r="O121" i="2"/>
  <c r="N71" i="8"/>
  <c r="N72" i="8" s="1"/>
  <c r="N25" i="12"/>
  <c r="T1499" i="8"/>
  <c r="T60" i="13"/>
  <c r="O179" i="2"/>
  <c r="N35" i="12"/>
  <c r="N99" i="8"/>
  <c r="N100" i="8" s="1"/>
  <c r="N115" i="2"/>
  <c r="M47" i="8"/>
  <c r="M48" i="8" s="1"/>
  <c r="M19" i="12"/>
  <c r="V236" i="13"/>
  <c r="L1499" i="8"/>
  <c r="L60" i="13"/>
  <c r="U1499" i="8"/>
  <c r="U60" i="13"/>
  <c r="N178" i="2"/>
  <c r="M34" i="12"/>
  <c r="M95" i="8"/>
  <c r="M96" i="8" s="1"/>
  <c r="W1499" i="8"/>
  <c r="AD1499" i="8"/>
  <c r="AD60" i="13"/>
  <c r="N176" i="2"/>
  <c r="M32" i="12"/>
  <c r="M87" i="8"/>
  <c r="M88" i="8" s="1"/>
  <c r="W124" i="13"/>
  <c r="W125" i="13" s="1"/>
  <c r="R78" i="13"/>
  <c r="R81" i="13"/>
  <c r="L1509" i="8"/>
  <c r="M220" i="13"/>
  <c r="M217" i="13"/>
  <c r="M1641" i="8" s="1"/>
  <c r="AB1499" i="8"/>
  <c r="AB60" i="13"/>
  <c r="N181" i="2"/>
  <c r="M107" i="8"/>
  <c r="M108" i="8" s="1"/>
  <c r="M37" i="12"/>
  <c r="V1500" i="8"/>
  <c r="X110" i="13"/>
  <c r="X111" i="13" s="1"/>
  <c r="X77" i="13"/>
  <c r="X109" i="13" s="1"/>
  <c r="U217" i="13"/>
  <c r="U1641" i="8" s="1"/>
  <c r="U220" i="13"/>
  <c r="U222" i="13" s="1"/>
  <c r="L1510" i="8"/>
  <c r="R220" i="13"/>
  <c r="R222" i="13" s="1"/>
  <c r="R217" i="13"/>
  <c r="R1641" i="8" s="1"/>
  <c r="W1502" i="8"/>
  <c r="AE1499" i="8"/>
  <c r="AE60" i="13"/>
  <c r="P1499" i="8"/>
  <c r="N1509" i="8"/>
  <c r="N199" i="13"/>
  <c r="S1500" i="8"/>
  <c r="AC1509" i="8"/>
  <c r="V836" i="8"/>
  <c r="V837" i="8" s="1"/>
  <c r="W259" i="2"/>
  <c r="V392" i="2"/>
  <c r="V948" i="8" s="1"/>
  <c r="V949" i="8" s="1"/>
  <c r="U395" i="2"/>
  <c r="U960" i="8" s="1"/>
  <c r="U961" i="8" s="1"/>
  <c r="W258" i="2"/>
  <c r="V399" i="2"/>
  <c r="V976" i="8" s="1"/>
  <c r="V977" i="8" s="1"/>
  <c r="V956" i="8"/>
  <c r="V957" i="8" s="1"/>
  <c r="X397" i="2"/>
  <c r="X968" i="8" s="1"/>
  <c r="X969" i="8" s="1"/>
  <c r="U398" i="2"/>
  <c r="U972" i="8" s="1"/>
  <c r="U973" i="8" s="1"/>
  <c r="V376" i="2"/>
  <c r="V908" i="8" s="1"/>
  <c r="V909" i="8" s="1"/>
  <c r="T400" i="2"/>
  <c r="U844" i="8"/>
  <c r="U845" i="8" s="1"/>
  <c r="U382" i="2"/>
  <c r="W892" i="8"/>
  <c r="W893" i="8" s="1"/>
  <c r="W952" i="8"/>
  <c r="W953" i="8" s="1"/>
  <c r="U876" i="8"/>
  <c r="U877" i="8" s="1"/>
  <c r="N980" i="8"/>
  <c r="N981" i="8" s="1"/>
  <c r="N1432" i="8"/>
  <c r="N1431" i="8"/>
  <c r="P980" i="8"/>
  <c r="P981" i="8" s="1"/>
  <c r="P1432" i="8"/>
  <c r="P1431" i="8"/>
  <c r="M944" i="8"/>
  <c r="M380" i="2"/>
  <c r="O1431" i="8"/>
  <c r="O980" i="8"/>
  <c r="O981" i="8" s="1"/>
  <c r="O1432" i="8"/>
  <c r="N944" i="8"/>
  <c r="N380" i="2"/>
  <c r="Q944" i="8"/>
  <c r="Q380" i="2"/>
  <c r="P944" i="8"/>
  <c r="P380" i="2"/>
  <c r="V375" i="2"/>
  <c r="V904" i="8" s="1"/>
  <c r="V905" i="8" s="1"/>
  <c r="U378" i="2"/>
  <c r="U916" i="8" s="1"/>
  <c r="U917" i="8" s="1"/>
  <c r="W352" i="2"/>
  <c r="S980" i="8"/>
  <c r="S981" i="8" s="1"/>
  <c r="Y357" i="2"/>
  <c r="Y848" i="8" s="1"/>
  <c r="Y849" i="8" s="1"/>
  <c r="X353" i="2"/>
  <c r="T390" i="2"/>
  <c r="T944" i="8" s="1"/>
  <c r="S1432" i="8"/>
  <c r="M1431" i="8"/>
  <c r="M1432" i="8"/>
  <c r="M980" i="8"/>
  <c r="M981" i="8" s="1"/>
  <c r="W359" i="2"/>
  <c r="W856" i="8" s="1"/>
  <c r="W857" i="8" s="1"/>
  <c r="S920" i="8"/>
  <c r="S921" i="8" s="1"/>
  <c r="S380" i="2"/>
  <c r="T860" i="8"/>
  <c r="T861" i="8" s="1"/>
  <c r="T381" i="2"/>
  <c r="T1434" i="8" s="1"/>
  <c r="W832" i="8"/>
  <c r="W833" i="8" s="1"/>
  <c r="V356" i="2"/>
  <c r="O944" i="8"/>
  <c r="O380" i="2"/>
  <c r="R980" i="8"/>
  <c r="R981" i="8" s="1"/>
  <c r="R1432" i="8"/>
  <c r="R1431" i="8"/>
  <c r="L980" i="8"/>
  <c r="L981" i="8" s="1"/>
  <c r="L1431" i="8"/>
  <c r="L1432" i="8"/>
  <c r="W354" i="2"/>
  <c r="W836" i="8" s="1"/>
  <c r="W837" i="8" s="1"/>
  <c r="V358" i="2"/>
  <c r="V852" i="8" s="1"/>
  <c r="V853" i="8" s="1"/>
  <c r="R380" i="2"/>
  <c r="Q1432" i="8"/>
  <c r="Q980" i="8"/>
  <c r="Q981" i="8" s="1"/>
  <c r="Q1431" i="8"/>
  <c r="L944" i="8"/>
  <c r="L380" i="2"/>
  <c r="V737" i="2"/>
  <c r="V1184" i="8" s="1"/>
  <c r="V1185" i="8" s="1"/>
  <c r="V338" i="2"/>
  <c r="V788" i="8" s="1"/>
  <c r="V789" i="8" s="1"/>
  <c r="V355" i="2"/>
  <c r="V840" i="8" s="1"/>
  <c r="V841" i="8" s="1"/>
  <c r="V349" i="2"/>
  <c r="V824" i="8" s="1"/>
  <c r="V825" i="8" s="1"/>
  <c r="V808" i="8"/>
  <c r="V809" i="8" s="1"/>
  <c r="V772" i="8"/>
  <c r="V773" i="8" s="1"/>
  <c r="X280" i="2"/>
  <c r="W334" i="2"/>
  <c r="W41" i="14" s="1"/>
  <c r="W345" i="2"/>
  <c r="W612" i="8"/>
  <c r="W613" i="8" s="1"/>
  <c r="V386" i="2"/>
  <c r="V928" i="8" s="1"/>
  <c r="V929" i="8" s="1"/>
  <c r="U385" i="2"/>
  <c r="U924" i="8" s="1"/>
  <c r="U925" i="8" s="1"/>
  <c r="W1152" i="8"/>
  <c r="W1153" i="8" s="1"/>
  <c r="V1196" i="8"/>
  <c r="V1197" i="8" s="1"/>
  <c r="T900" i="8"/>
  <c r="T901" i="8" s="1"/>
  <c r="T379" i="2"/>
  <c r="W1204" i="8"/>
  <c r="W1205" i="8" s="1"/>
  <c r="X992" i="8"/>
  <c r="X993" i="8" s="1"/>
  <c r="X740" i="2"/>
  <c r="Y675" i="2"/>
  <c r="X729" i="2"/>
  <c r="X202" i="14" s="1"/>
  <c r="W1168" i="8"/>
  <c r="W1169" i="8" s="1"/>
  <c r="W1000" i="8"/>
  <c r="W1001" i="8" s="1"/>
  <c r="X677" i="2"/>
  <c r="X211" i="13" s="1"/>
  <c r="W742" i="2"/>
  <c r="W731" i="2"/>
  <c r="W204" i="14" s="1"/>
  <c r="V768" i="8"/>
  <c r="V769" i="8" s="1"/>
  <c r="W764" i="8"/>
  <c r="W765" i="8" s="1"/>
  <c r="V804" i="8"/>
  <c r="V805" i="8" s="1"/>
  <c r="V876" i="8"/>
  <c r="V877" i="8" s="1"/>
  <c r="W784" i="8"/>
  <c r="W785" i="8" s="1"/>
  <c r="W1172" i="8"/>
  <c r="W1173" i="8" s="1"/>
  <c r="X1180" i="8"/>
  <c r="X1181" i="8" s="1"/>
  <c r="V780" i="8"/>
  <c r="V781" i="8" s="1"/>
  <c r="W820" i="8"/>
  <c r="W821" i="8" s="1"/>
  <c r="X1012" i="8"/>
  <c r="X1013" i="8" s="1"/>
  <c r="X745" i="2"/>
  <c r="Y680" i="2"/>
  <c r="Y214" i="13" s="1"/>
  <c r="X734" i="2"/>
  <c r="X207" i="14" s="1"/>
  <c r="W608" i="8"/>
  <c r="W609" i="8" s="1"/>
  <c r="W333" i="2"/>
  <c r="W40" i="14" s="1"/>
  <c r="W344" i="2"/>
  <c r="X279" i="2"/>
  <c r="Y1020" i="8"/>
  <c r="Y1021" i="8" s="1"/>
  <c r="Y747" i="2"/>
  <c r="Z682" i="2"/>
  <c r="Y736" i="2"/>
  <c r="Y209" i="14" s="1"/>
  <c r="V816" i="8"/>
  <c r="V817" i="8" s="1"/>
  <c r="X760" i="8"/>
  <c r="X761" i="8" s="1"/>
  <c r="W1208" i="8"/>
  <c r="W1209" i="8" s="1"/>
  <c r="X624" i="8"/>
  <c r="X625" i="8" s="1"/>
  <c r="X337" i="2"/>
  <c r="X44" i="14" s="1"/>
  <c r="X348" i="2"/>
  <c r="Y283" i="2"/>
  <c r="W620" i="8"/>
  <c r="W621" i="8" s="1"/>
  <c r="X282" i="2"/>
  <c r="X76" i="13" s="1"/>
  <c r="W336" i="2"/>
  <c r="W43" i="14" s="1"/>
  <c r="W347" i="2"/>
  <c r="X796" i="8"/>
  <c r="X797" i="8" s="1"/>
  <c r="U371" i="2"/>
  <c r="U896" i="8" s="1"/>
  <c r="U897" i="8" s="1"/>
  <c r="V1192" i="8"/>
  <c r="V1193" i="8" s="1"/>
  <c r="W732" i="2"/>
  <c r="W205" i="14" s="1"/>
  <c r="W743" i="2"/>
  <c r="W1004" i="8"/>
  <c r="W1005" i="8" s="1"/>
  <c r="X678" i="2"/>
  <c r="W996" i="8"/>
  <c r="W997" i="8" s="1"/>
  <c r="W730" i="2"/>
  <c r="W203" i="14" s="1"/>
  <c r="W741" i="2"/>
  <c r="X676" i="2"/>
  <c r="X210" i="13" s="1"/>
  <c r="V1212" i="8"/>
  <c r="V1213" i="8" s="1"/>
  <c r="U389" i="2"/>
  <c r="U940" i="8" s="1"/>
  <c r="U941" i="8" s="1"/>
  <c r="V1164" i="8"/>
  <c r="V1165" i="8" s="1"/>
  <c r="Z277" i="2"/>
  <c r="Z71" i="13" s="1"/>
  <c r="Y600" i="8"/>
  <c r="Y601" i="8" s="1"/>
  <c r="Y342" i="2"/>
  <c r="Y331" i="2"/>
  <c r="Y38" i="14" s="1"/>
  <c r="V828" i="8"/>
  <c r="V829" i="8" s="1"/>
  <c r="U360" i="2"/>
  <c r="Z616" i="8"/>
  <c r="Z617" i="8" s="1"/>
  <c r="Z346" i="2"/>
  <c r="AA281" i="2"/>
  <c r="AA75" i="13" s="1"/>
  <c r="Z335" i="2"/>
  <c r="Z42" i="14" s="1"/>
  <c r="V1156" i="8"/>
  <c r="V1157" i="8" s="1"/>
  <c r="V1176" i="8"/>
  <c r="V1177" i="8" s="1"/>
  <c r="Y276" i="2"/>
  <c r="X330" i="2"/>
  <c r="X37" i="14" s="1"/>
  <c r="X596" i="8"/>
  <c r="X597" i="8" s="1"/>
  <c r="X341" i="2"/>
  <c r="Y812" i="8"/>
  <c r="Y813" i="8" s="1"/>
  <c r="X604" i="8"/>
  <c r="X605" i="8" s="1"/>
  <c r="Y278" i="2"/>
  <c r="Y72" i="13" s="1"/>
  <c r="X343" i="2"/>
  <c r="X332" i="2"/>
  <c r="X39" i="14" s="1"/>
  <c r="X1216" i="8"/>
  <c r="X1217" i="8" s="1"/>
  <c r="V1200" i="8"/>
  <c r="V1201" i="8" s="1"/>
  <c r="Y776" i="8"/>
  <c r="Y777" i="8" s="1"/>
  <c r="W735" i="2"/>
  <c r="W208" i="14" s="1"/>
  <c r="W1016" i="8"/>
  <c r="W1017" i="8" s="1"/>
  <c r="X681" i="2"/>
  <c r="X215" i="13" s="1"/>
  <c r="X262" i="13" s="1"/>
  <c r="W746" i="2"/>
  <c r="U374" i="2"/>
  <c r="W792" i="8"/>
  <c r="W793" i="8" s="1"/>
  <c r="V387" i="2"/>
  <c r="V932" i="8" s="1"/>
  <c r="V933" i="8" s="1"/>
  <c r="W800" i="8"/>
  <c r="W801" i="8" s="1"/>
  <c r="V864" i="8"/>
  <c r="V865" i="8" s="1"/>
  <c r="V1160" i="8"/>
  <c r="V1161" i="8" s="1"/>
  <c r="Y679" i="2"/>
  <c r="X744" i="2"/>
  <c r="X1008" i="8"/>
  <c r="X1009" i="8" s="1"/>
  <c r="X733" i="2"/>
  <c r="X206" i="14" s="1"/>
  <c r="W1188" i="8"/>
  <c r="W1189" i="8" s="1"/>
  <c r="W756" i="8"/>
  <c r="W757" i="8" s="1"/>
  <c r="V748" i="2"/>
  <c r="V1220" i="8" s="1"/>
  <c r="V1221" i="8" s="1"/>
  <c r="M35" i="8" l="1"/>
  <c r="M36" i="8" s="1"/>
  <c r="M15" i="8"/>
  <c r="M16" i="8" s="1"/>
  <c r="W242" i="14"/>
  <c r="V383" i="2"/>
  <c r="X261" i="2"/>
  <c r="W77" i="14"/>
  <c r="X393" i="2"/>
  <c r="V396" i="2"/>
  <c r="Q114" i="14"/>
  <c r="Q116" i="14" s="1"/>
  <c r="M90" i="14"/>
  <c r="M92" i="14" s="1"/>
  <c r="M138" i="14"/>
  <c r="M140" i="14" s="1"/>
  <c r="N275" i="14"/>
  <c r="N277" i="14" s="1"/>
  <c r="O98" i="14"/>
  <c r="O100" i="14" s="1"/>
  <c r="P279" i="14"/>
  <c r="P281" i="14" s="1"/>
  <c r="M267" i="14"/>
  <c r="M269" i="14" s="1"/>
  <c r="M307" i="14"/>
  <c r="M309" i="14" s="1"/>
  <c r="L287" i="14"/>
  <c r="L289" i="14" s="1"/>
  <c r="S138" i="14"/>
  <c r="S140" i="14" s="1"/>
  <c r="N110" i="14"/>
  <c r="N112" i="14" s="1"/>
  <c r="Q126" i="14"/>
  <c r="Q128" i="14" s="1"/>
  <c r="O259" i="14"/>
  <c r="O261" i="14" s="1"/>
  <c r="Q251" i="14"/>
  <c r="Q253" i="14" s="1"/>
  <c r="Q307" i="14"/>
  <c r="Q309" i="14" s="1"/>
  <c r="T94" i="14"/>
  <c r="T96" i="14" s="1"/>
  <c r="P126" i="14"/>
  <c r="P128" i="14" s="1"/>
  <c r="R134" i="14"/>
  <c r="R136" i="14" s="1"/>
  <c r="L98" i="14"/>
  <c r="L100" i="14" s="1"/>
  <c r="M86" i="14"/>
  <c r="M88" i="14" s="1"/>
  <c r="M134" i="14"/>
  <c r="M136" i="14" s="1"/>
  <c r="N251" i="14"/>
  <c r="N253" i="14" s="1"/>
  <c r="N307" i="14"/>
  <c r="N309" i="14" s="1"/>
  <c r="O126" i="14"/>
  <c r="O128" i="14" s="1"/>
  <c r="P263" i="14"/>
  <c r="P265" i="14" s="1"/>
  <c r="M295" i="14"/>
  <c r="M297" i="14" s="1"/>
  <c r="P114" i="14"/>
  <c r="P116" i="14" s="1"/>
  <c r="W367" i="2"/>
  <c r="W71" i="14"/>
  <c r="L299" i="14"/>
  <c r="L301" i="14" s="1"/>
  <c r="S102" i="14"/>
  <c r="S104" i="14" s="1"/>
  <c r="N94" i="14"/>
  <c r="N96" i="14" s="1"/>
  <c r="T106" i="14"/>
  <c r="T108" i="14" s="1"/>
  <c r="P291" i="14"/>
  <c r="P293" i="14" s="1"/>
  <c r="W366" i="2"/>
  <c r="W70" i="14"/>
  <c r="L255" i="14"/>
  <c r="L257" i="14" s="1"/>
  <c r="T138" i="14"/>
  <c r="T140" i="14" s="1"/>
  <c r="M114" i="14"/>
  <c r="M116" i="14" s="1"/>
  <c r="N283" i="14"/>
  <c r="N285" i="14" s="1"/>
  <c r="L251" i="14"/>
  <c r="L253" i="14" s="1"/>
  <c r="S98" i="14"/>
  <c r="S100" i="14" s="1"/>
  <c r="N138" i="14"/>
  <c r="N140" i="14" s="1"/>
  <c r="Q110" i="14"/>
  <c r="Q112" i="14" s="1"/>
  <c r="O307" i="14"/>
  <c r="O309" i="14" s="1"/>
  <c r="Q291" i="14"/>
  <c r="Q293" i="14" s="1"/>
  <c r="T90" i="14"/>
  <c r="T92" i="14" s="1"/>
  <c r="P110" i="14"/>
  <c r="P112" i="14" s="1"/>
  <c r="P134" i="14"/>
  <c r="P136" i="14" s="1"/>
  <c r="R118" i="14"/>
  <c r="R120" i="14" s="1"/>
  <c r="M110" i="14"/>
  <c r="M112" i="14" s="1"/>
  <c r="N291" i="14"/>
  <c r="N293" i="14" s="1"/>
  <c r="O106" i="14"/>
  <c r="O108" i="14" s="1"/>
  <c r="P287" i="14"/>
  <c r="P289" i="14" s="1"/>
  <c r="M279" i="14"/>
  <c r="M281" i="14" s="1"/>
  <c r="T86" i="14"/>
  <c r="T88" i="14" s="1"/>
  <c r="N263" i="14"/>
  <c r="N265" i="14" s="1"/>
  <c r="W233" i="14"/>
  <c r="L1650" i="8"/>
  <c r="L1643" i="8"/>
  <c r="L49" i="10"/>
  <c r="L334" i="14"/>
  <c r="L89" i="5" s="1"/>
  <c r="L332" i="14"/>
  <c r="L87" i="5" s="1"/>
  <c r="L330" i="14"/>
  <c r="L85" i="5" s="1"/>
  <c r="L328" i="14"/>
  <c r="L83" i="5" s="1"/>
  <c r="L326" i="14"/>
  <c r="L81" i="5" s="1"/>
  <c r="L333" i="14"/>
  <c r="L88" i="5" s="1"/>
  <c r="L331" i="14"/>
  <c r="L86" i="5" s="1"/>
  <c r="L327" i="14"/>
  <c r="L82" i="5" s="1"/>
  <c r="L329" i="14"/>
  <c r="L84" i="5" s="1"/>
  <c r="L315" i="14"/>
  <c r="L316" i="14"/>
  <c r="L1653" i="8" s="1"/>
  <c r="P1643" i="8"/>
  <c r="P1650" i="8"/>
  <c r="P327" i="14"/>
  <c r="P82" i="5" s="1"/>
  <c r="P330" i="14"/>
  <c r="P85" i="5" s="1"/>
  <c r="P49" i="10"/>
  <c r="P326" i="14"/>
  <c r="P81" i="5" s="1"/>
  <c r="P333" i="14"/>
  <c r="P88" i="5" s="1"/>
  <c r="P329" i="14"/>
  <c r="P84" i="5" s="1"/>
  <c r="P328" i="14"/>
  <c r="P83" i="5" s="1"/>
  <c r="P332" i="14"/>
  <c r="P87" i="5" s="1"/>
  <c r="P334" i="14"/>
  <c r="P89" i="5" s="1"/>
  <c r="P331" i="14"/>
  <c r="P86" i="5" s="1"/>
  <c r="P315" i="14"/>
  <c r="P316" i="14"/>
  <c r="P1653" i="8" s="1"/>
  <c r="Z368" i="2"/>
  <c r="Z884" i="8" s="1"/>
  <c r="Z885" i="8" s="1"/>
  <c r="Z72" i="14"/>
  <c r="M1524" i="8"/>
  <c r="M1630" i="8"/>
  <c r="L263" i="14"/>
  <c r="L265" i="14" s="1"/>
  <c r="L307" i="14"/>
  <c r="L309" i="14" s="1"/>
  <c r="S134" i="14"/>
  <c r="S136" i="14" s="1"/>
  <c r="N142" i="14"/>
  <c r="N144" i="14" s="1"/>
  <c r="Q86" i="14"/>
  <c r="Q88" i="14" s="1"/>
  <c r="Q1613" i="8"/>
  <c r="Q168" i="14"/>
  <c r="Q166" i="14"/>
  <c r="Q164" i="14"/>
  <c r="Q162" i="14"/>
  <c r="Q169" i="14"/>
  <c r="Q167" i="14"/>
  <c r="Q165" i="14"/>
  <c r="Q163" i="14"/>
  <c r="Q161" i="14"/>
  <c r="Q150" i="14"/>
  <c r="Q151" i="14"/>
  <c r="O1643" i="8"/>
  <c r="O1650" i="8"/>
  <c r="O330" i="14"/>
  <c r="O85" i="5" s="1"/>
  <c r="O333" i="14"/>
  <c r="O88" i="5" s="1"/>
  <c r="O329" i="14"/>
  <c r="O84" i="5" s="1"/>
  <c r="O332" i="14"/>
  <c r="O87" i="5" s="1"/>
  <c r="O328" i="14"/>
  <c r="O83" i="5" s="1"/>
  <c r="O49" i="10"/>
  <c r="O334" i="14"/>
  <c r="O89" i="5" s="1"/>
  <c r="O326" i="14"/>
  <c r="O81" i="5" s="1"/>
  <c r="O331" i="14"/>
  <c r="O86" i="5" s="1"/>
  <c r="O327" i="14"/>
  <c r="O82" i="5" s="1"/>
  <c r="O315" i="14"/>
  <c r="O316" i="14"/>
  <c r="O1653" i="8" s="1"/>
  <c r="Q271" i="14"/>
  <c r="Q273" i="14" s="1"/>
  <c r="T118" i="14"/>
  <c r="T120" i="14" s="1"/>
  <c r="P94" i="14"/>
  <c r="P96" i="14" s="1"/>
  <c r="R102" i="14"/>
  <c r="R104" i="14" s="1"/>
  <c r="L94" i="14"/>
  <c r="L96" i="14" s="1"/>
  <c r="M130" i="14"/>
  <c r="M132" i="14" s="1"/>
  <c r="N303" i="14"/>
  <c r="N305" i="14" s="1"/>
  <c r="O118" i="14"/>
  <c r="O120" i="14" s="1"/>
  <c r="P299" i="14"/>
  <c r="P301" i="14" s="1"/>
  <c r="M283" i="14"/>
  <c r="M285" i="14" s="1"/>
  <c r="S106" i="14"/>
  <c r="S108" i="14" s="1"/>
  <c r="N98" i="14"/>
  <c r="N100" i="14" s="1"/>
  <c r="L279" i="14"/>
  <c r="L281" i="14" s="1"/>
  <c r="L303" i="14"/>
  <c r="L305" i="14" s="1"/>
  <c r="N106" i="14"/>
  <c r="N108" i="14" s="1"/>
  <c r="Q106" i="14"/>
  <c r="Q108" i="14" s="1"/>
  <c r="Q142" i="14"/>
  <c r="Q144" i="14" s="1"/>
  <c r="O287" i="14"/>
  <c r="O289" i="14" s="1"/>
  <c r="Q1643" i="8"/>
  <c r="Q1650" i="8"/>
  <c r="Q334" i="14"/>
  <c r="Q89" i="5" s="1"/>
  <c r="Q327" i="14"/>
  <c r="Q82" i="5" s="1"/>
  <c r="Q49" i="10"/>
  <c r="Q326" i="14"/>
  <c r="Q81" i="5" s="1"/>
  <c r="Q333" i="14"/>
  <c r="Q88" i="5" s="1"/>
  <c r="Q332" i="14"/>
  <c r="Q87" i="5" s="1"/>
  <c r="Q328" i="14"/>
  <c r="Q83" i="5" s="1"/>
  <c r="Q330" i="14"/>
  <c r="Q85" i="5" s="1"/>
  <c r="Q329" i="14"/>
  <c r="Q84" i="5" s="1"/>
  <c r="Q331" i="14"/>
  <c r="Q86" i="5" s="1"/>
  <c r="Q315" i="14"/>
  <c r="Q316" i="14"/>
  <c r="Q1653" i="8" s="1"/>
  <c r="T102" i="14"/>
  <c r="T104" i="14" s="1"/>
  <c r="P122" i="14"/>
  <c r="P124" i="14" s="1"/>
  <c r="P1613" i="8"/>
  <c r="P168" i="14"/>
  <c r="P166" i="14"/>
  <c r="P164" i="14"/>
  <c r="P162" i="14"/>
  <c r="P169" i="14"/>
  <c r="P167" i="14"/>
  <c r="P165" i="14"/>
  <c r="P163" i="14"/>
  <c r="P161" i="14"/>
  <c r="P150" i="14"/>
  <c r="P151" i="14"/>
  <c r="R114" i="14"/>
  <c r="R116" i="14" s="1"/>
  <c r="L122" i="14"/>
  <c r="L124" i="14" s="1"/>
  <c r="M98" i="14"/>
  <c r="M100" i="14" s="1"/>
  <c r="N259" i="14"/>
  <c r="N261" i="14" s="1"/>
  <c r="O102" i="14"/>
  <c r="O104" i="14" s="1"/>
  <c r="P283" i="14"/>
  <c r="P285" i="14" s="1"/>
  <c r="M259" i="14"/>
  <c r="M261" i="14" s="1"/>
  <c r="Y239" i="14"/>
  <c r="P130" i="14"/>
  <c r="P132" i="14" s="1"/>
  <c r="R138" i="14"/>
  <c r="R140" i="14" s="1"/>
  <c r="L110" i="14"/>
  <c r="L112" i="14" s="1"/>
  <c r="M102" i="14"/>
  <c r="M104" i="14" s="1"/>
  <c r="M255" i="14"/>
  <c r="M257" i="14" s="1"/>
  <c r="T251" i="14"/>
  <c r="T253" i="14" s="1"/>
  <c r="N122" i="14"/>
  <c r="N124" i="14" s="1"/>
  <c r="O275" i="14"/>
  <c r="O277" i="14" s="1"/>
  <c r="Q279" i="14"/>
  <c r="Q281" i="14" s="1"/>
  <c r="P98" i="14"/>
  <c r="P100" i="14" s="1"/>
  <c r="P138" i="14"/>
  <c r="P140" i="14" s="1"/>
  <c r="R90" i="14"/>
  <c r="R92" i="14" s="1"/>
  <c r="L1613" i="8"/>
  <c r="L169" i="14"/>
  <c r="L167" i="14"/>
  <c r="L165" i="14"/>
  <c r="L163" i="14"/>
  <c r="L161" i="14"/>
  <c r="L168" i="14"/>
  <c r="L166" i="14"/>
  <c r="L164" i="14"/>
  <c r="L162" i="14"/>
  <c r="L150" i="14"/>
  <c r="L151" i="14"/>
  <c r="M1613" i="8"/>
  <c r="M169" i="14"/>
  <c r="M167" i="14"/>
  <c r="M165" i="14"/>
  <c r="M163" i="14"/>
  <c r="M161" i="14"/>
  <c r="M168" i="14"/>
  <c r="M166" i="14"/>
  <c r="M164" i="14"/>
  <c r="M162" i="14"/>
  <c r="M150" i="14"/>
  <c r="M151" i="14"/>
  <c r="M251" i="14"/>
  <c r="M253" i="14" s="1"/>
  <c r="X370" i="2"/>
  <c r="X74" i="14"/>
  <c r="X365" i="2"/>
  <c r="X69" i="14"/>
  <c r="W234" i="14"/>
  <c r="T157" i="14"/>
  <c r="T158" i="14" s="1"/>
  <c r="T1616" i="8"/>
  <c r="L271" i="14"/>
  <c r="L273" i="14" s="1"/>
  <c r="S1613" i="8"/>
  <c r="S168" i="14"/>
  <c r="S166" i="14"/>
  <c r="S164" i="14"/>
  <c r="S162" i="14"/>
  <c r="S169" i="14"/>
  <c r="S167" i="14"/>
  <c r="S165" i="14"/>
  <c r="S163" i="14"/>
  <c r="S161" i="14"/>
  <c r="S150" i="14"/>
  <c r="S151" i="14"/>
  <c r="N118" i="14"/>
  <c r="N120" i="14" s="1"/>
  <c r="Q138" i="14"/>
  <c r="Q140" i="14" s="1"/>
  <c r="O299" i="14"/>
  <c r="O301" i="14" s="1"/>
  <c r="Q267" i="14"/>
  <c r="Q269" i="14" s="1"/>
  <c r="T114" i="14"/>
  <c r="T116" i="14" s="1"/>
  <c r="P142" i="14"/>
  <c r="P144" i="14" s="1"/>
  <c r="R126" i="14"/>
  <c r="R128" i="14" s="1"/>
  <c r="L106" i="14"/>
  <c r="L108" i="14" s="1"/>
  <c r="M94" i="14"/>
  <c r="M96" i="14" s="1"/>
  <c r="N271" i="14"/>
  <c r="N273" i="14" s="1"/>
  <c r="O138" i="14"/>
  <c r="O140" i="14" s="1"/>
  <c r="P275" i="14"/>
  <c r="P277" i="14" s="1"/>
  <c r="O279" i="14"/>
  <c r="O281" i="14" s="1"/>
  <c r="Q263" i="14"/>
  <c r="Q265" i="14" s="1"/>
  <c r="Q295" i="14"/>
  <c r="Q297" i="14" s="1"/>
  <c r="T142" i="14"/>
  <c r="T144" i="14" s="1"/>
  <c r="L114" i="14"/>
  <c r="L116" i="14" s="1"/>
  <c r="L275" i="14"/>
  <c r="L277" i="14" s="1"/>
  <c r="Q130" i="14"/>
  <c r="Q132" i="14" s="1"/>
  <c r="O291" i="14"/>
  <c r="O293" i="14" s="1"/>
  <c r="Q255" i="14"/>
  <c r="Q257" i="14" s="1"/>
  <c r="O90" i="14"/>
  <c r="O92" i="14" s="1"/>
  <c r="S251" i="14"/>
  <c r="S253" i="14" s="1"/>
  <c r="S114" i="14"/>
  <c r="S116" i="14" s="1"/>
  <c r="Q134" i="14"/>
  <c r="Q136" i="14" s="1"/>
  <c r="Q303" i="14"/>
  <c r="Q305" i="14" s="1"/>
  <c r="L259" i="14"/>
  <c r="L261" i="14" s="1"/>
  <c r="S94" i="14"/>
  <c r="S96" i="14" s="1"/>
  <c r="S130" i="14"/>
  <c r="S132" i="14" s="1"/>
  <c r="N102" i="14"/>
  <c r="N104" i="14" s="1"/>
  <c r="Q94" i="14"/>
  <c r="Q96" i="14" s="1"/>
  <c r="O251" i="14"/>
  <c r="O253" i="14" s="1"/>
  <c r="O271" i="14"/>
  <c r="O273" i="14" s="1"/>
  <c r="Q275" i="14"/>
  <c r="Q277" i="14" s="1"/>
  <c r="V81" i="14"/>
  <c r="T126" i="14"/>
  <c r="T128" i="14" s="1"/>
  <c r="U245" i="14"/>
  <c r="L90" i="14"/>
  <c r="L92" i="14" s="1"/>
  <c r="M122" i="14"/>
  <c r="M124" i="14" s="1"/>
  <c r="N267" i="14"/>
  <c r="N269" i="14" s="1"/>
  <c r="O94" i="14"/>
  <c r="O96" i="14" s="1"/>
  <c r="O134" i="14"/>
  <c r="O136" i="14" s="1"/>
  <c r="P267" i="14"/>
  <c r="P269" i="14" s="1"/>
  <c r="P307" i="14"/>
  <c r="P309" i="14" s="1"/>
  <c r="M263" i="14"/>
  <c r="M265" i="14" s="1"/>
  <c r="X260" i="2"/>
  <c r="V246" i="14"/>
  <c r="M303" i="14"/>
  <c r="M305" i="14" s="1"/>
  <c r="Q98" i="14"/>
  <c r="Q100" i="14" s="1"/>
  <c r="W235" i="14"/>
  <c r="X237" i="14"/>
  <c r="L283" i="14"/>
  <c r="L285" i="14" s="1"/>
  <c r="S110" i="14"/>
  <c r="S112" i="14" s="1"/>
  <c r="S142" i="14"/>
  <c r="S144" i="14" s="1"/>
  <c r="N86" i="14"/>
  <c r="N88" i="14" s="1"/>
  <c r="Q122" i="14"/>
  <c r="Q124" i="14" s="1"/>
  <c r="O295" i="14"/>
  <c r="O297" i="14" s="1"/>
  <c r="O283" i="14"/>
  <c r="O285" i="14" s="1"/>
  <c r="T98" i="14"/>
  <c r="T100" i="14" s="1"/>
  <c r="P106" i="14"/>
  <c r="P108" i="14" s="1"/>
  <c r="R110" i="14"/>
  <c r="R112" i="14" s="1"/>
  <c r="R98" i="14"/>
  <c r="R100" i="14" s="1"/>
  <c r="U80" i="14"/>
  <c r="L118" i="14"/>
  <c r="L120" i="14" s="1"/>
  <c r="M142" i="14"/>
  <c r="M144" i="14" s="1"/>
  <c r="N295" i="14"/>
  <c r="N297" i="14" s="1"/>
  <c r="O86" i="14"/>
  <c r="O88" i="14" s="1"/>
  <c r="P255" i="14"/>
  <c r="P257" i="14" s="1"/>
  <c r="P320" i="14"/>
  <c r="P1656" i="8" s="1"/>
  <c r="M291" i="14"/>
  <c r="M293" i="14" s="1"/>
  <c r="R106" i="14"/>
  <c r="R108" i="14" s="1"/>
  <c r="O110" i="14"/>
  <c r="O112" i="14" s="1"/>
  <c r="W238" i="14"/>
  <c r="X363" i="2"/>
  <c r="X67" i="14"/>
  <c r="Y364" i="2"/>
  <c r="Y868" i="8" s="1"/>
  <c r="Y869" i="8" s="1"/>
  <c r="Y68" i="14"/>
  <c r="R251" i="14"/>
  <c r="R253" i="14" s="1"/>
  <c r="S122" i="14"/>
  <c r="S124" i="14" s="1"/>
  <c r="S126" i="14"/>
  <c r="S128" i="14" s="1"/>
  <c r="N90" i="14"/>
  <c r="N92" i="14" s="1"/>
  <c r="N134" i="14"/>
  <c r="N136" i="14" s="1"/>
  <c r="O255" i="14"/>
  <c r="O257" i="14" s="1"/>
  <c r="V243" i="14"/>
  <c r="V244" i="14" s="1"/>
  <c r="Q259" i="14"/>
  <c r="Q261" i="14" s="1"/>
  <c r="T110" i="14"/>
  <c r="T112" i="14" s="1"/>
  <c r="P90" i="14"/>
  <c r="P92" i="14" s="1"/>
  <c r="R86" i="14"/>
  <c r="R88" i="14" s="1"/>
  <c r="R1613" i="8"/>
  <c r="R168" i="14"/>
  <c r="R166" i="14"/>
  <c r="R164" i="14"/>
  <c r="R162" i="14"/>
  <c r="R169" i="14"/>
  <c r="R167" i="14"/>
  <c r="R165" i="14"/>
  <c r="R163" i="14"/>
  <c r="R161" i="14"/>
  <c r="R150" i="14"/>
  <c r="R151" i="14"/>
  <c r="L86" i="14"/>
  <c r="L88" i="14" s="1"/>
  <c r="L142" i="14"/>
  <c r="L144" i="14" s="1"/>
  <c r="M106" i="14"/>
  <c r="M108" i="14" s="1"/>
  <c r="N279" i="14"/>
  <c r="N281" i="14" s="1"/>
  <c r="O114" i="14"/>
  <c r="O116" i="14" s="1"/>
  <c r="O1613" i="8"/>
  <c r="O169" i="14"/>
  <c r="O167" i="14"/>
  <c r="O165" i="14"/>
  <c r="O163" i="14"/>
  <c r="O161" i="14"/>
  <c r="O168" i="14"/>
  <c r="O162" i="14"/>
  <c r="O166" i="14"/>
  <c r="O164" i="14"/>
  <c r="O150" i="14"/>
  <c r="O151" i="14"/>
  <c r="P295" i="14"/>
  <c r="P297" i="14" s="1"/>
  <c r="P303" i="14"/>
  <c r="P305" i="14" s="1"/>
  <c r="M287" i="14"/>
  <c r="M289" i="14" s="1"/>
  <c r="V82" i="14"/>
  <c r="X232" i="14"/>
  <c r="L267" i="14"/>
  <c r="L269" i="14" s="1"/>
  <c r="S86" i="14"/>
  <c r="S88" i="14" s="1"/>
  <c r="N114" i="14"/>
  <c r="N116" i="14" s="1"/>
  <c r="Q90" i="14"/>
  <c r="Q92" i="14" s="1"/>
  <c r="O267" i="14"/>
  <c r="O269" i="14" s="1"/>
  <c r="Q287" i="14"/>
  <c r="Q289" i="14" s="1"/>
  <c r="T134" i="14"/>
  <c r="T136" i="14" s="1"/>
  <c r="P118" i="14"/>
  <c r="P120" i="14" s="1"/>
  <c r="R94" i="14"/>
  <c r="R96" i="14" s="1"/>
  <c r="R130" i="14"/>
  <c r="R132" i="14" s="1"/>
  <c r="L102" i="14"/>
  <c r="L104" i="14" s="1"/>
  <c r="L138" i="14"/>
  <c r="L140" i="14" s="1"/>
  <c r="M118" i="14"/>
  <c r="M120" i="14" s="1"/>
  <c r="N287" i="14"/>
  <c r="N289" i="14" s="1"/>
  <c r="O122" i="14"/>
  <c r="O124" i="14" s="1"/>
  <c r="O130" i="14"/>
  <c r="O132" i="14" s="1"/>
  <c r="P251" i="14"/>
  <c r="P253" i="14" s="1"/>
  <c r="M299" i="14"/>
  <c r="M301" i="14" s="1"/>
  <c r="L295" i="14"/>
  <c r="L297" i="14" s="1"/>
  <c r="S118" i="14"/>
  <c r="S120" i="14" s="1"/>
  <c r="N130" i="14"/>
  <c r="N132" i="14" s="1"/>
  <c r="N1613" i="8"/>
  <c r="N169" i="14"/>
  <c r="N167" i="14"/>
  <c r="N165" i="14"/>
  <c r="N163" i="14"/>
  <c r="N161" i="14"/>
  <c r="N168" i="14"/>
  <c r="N166" i="14"/>
  <c r="N164" i="14"/>
  <c r="N162" i="14"/>
  <c r="N150" i="14"/>
  <c r="N151" i="14"/>
  <c r="Q118" i="14"/>
  <c r="Q120" i="14" s="1"/>
  <c r="O303" i="14"/>
  <c r="O305" i="14" s="1"/>
  <c r="Q299" i="14"/>
  <c r="Q301" i="14" s="1"/>
  <c r="T1613" i="8"/>
  <c r="T168" i="14"/>
  <c r="T166" i="14"/>
  <c r="T164" i="14"/>
  <c r="T162" i="14"/>
  <c r="T169" i="14"/>
  <c r="T167" i="14"/>
  <c r="T165" i="14"/>
  <c r="T163" i="14"/>
  <c r="T161" i="14"/>
  <c r="T150" i="14"/>
  <c r="T151" i="14"/>
  <c r="T155" i="14"/>
  <c r="P102" i="14"/>
  <c r="P104" i="14" s="1"/>
  <c r="R122" i="14"/>
  <c r="R124" i="14" s="1"/>
  <c r="R142" i="14"/>
  <c r="R144" i="14" s="1"/>
  <c r="L130" i="14"/>
  <c r="L132" i="14" s="1"/>
  <c r="L134" i="14"/>
  <c r="L136" i="14" s="1"/>
  <c r="M126" i="14"/>
  <c r="M128" i="14" s="1"/>
  <c r="N299" i="14"/>
  <c r="N301" i="14" s="1"/>
  <c r="O142" i="14"/>
  <c r="O144" i="14" s="1"/>
  <c r="P259" i="14"/>
  <c r="P261" i="14" s="1"/>
  <c r="M271" i="14"/>
  <c r="M273" i="14" s="1"/>
  <c r="X236" i="14"/>
  <c r="W369" i="2"/>
  <c r="W888" i="8" s="1"/>
  <c r="W889" i="8" s="1"/>
  <c r="W73" i="14"/>
  <c r="N56" i="2"/>
  <c r="O56" i="2" s="1"/>
  <c r="M1523" i="8"/>
  <c r="M1629" i="8"/>
  <c r="L291" i="14"/>
  <c r="L293" i="14" s="1"/>
  <c r="S90" i="14"/>
  <c r="S92" i="14" s="1"/>
  <c r="N126" i="14"/>
  <c r="N128" i="14" s="1"/>
  <c r="Q102" i="14"/>
  <c r="Q104" i="14" s="1"/>
  <c r="O263" i="14"/>
  <c r="O265" i="14" s="1"/>
  <c r="Q283" i="14"/>
  <c r="Q285" i="14" s="1"/>
  <c r="T122" i="14"/>
  <c r="T124" i="14" s="1"/>
  <c r="T130" i="14"/>
  <c r="T132" i="14" s="1"/>
  <c r="P86" i="14"/>
  <c r="P88" i="14" s="1"/>
  <c r="L126" i="14"/>
  <c r="L128" i="14" s="1"/>
  <c r="L155" i="14"/>
  <c r="N255" i="14"/>
  <c r="N257" i="14" s="1"/>
  <c r="N1643" i="8"/>
  <c r="N49" i="10"/>
  <c r="N334" i="14"/>
  <c r="N89" i="5" s="1"/>
  <c r="N332" i="14"/>
  <c r="N87" i="5" s="1"/>
  <c r="N330" i="14"/>
  <c r="N85" i="5" s="1"/>
  <c r="N328" i="14"/>
  <c r="N83" i="5" s="1"/>
  <c r="N326" i="14"/>
  <c r="N81" i="5" s="1"/>
  <c r="N1650" i="8"/>
  <c r="N329" i="14"/>
  <c r="N84" i="5" s="1"/>
  <c r="N331" i="14"/>
  <c r="N86" i="5" s="1"/>
  <c r="N333" i="14"/>
  <c r="N88" i="5" s="1"/>
  <c r="N327" i="14"/>
  <c r="N82" i="5" s="1"/>
  <c r="N315" i="14"/>
  <c r="N316" i="14"/>
  <c r="N1653" i="8" s="1"/>
  <c r="V78" i="14"/>
  <c r="V79" i="14" s="1"/>
  <c r="P271" i="14"/>
  <c r="P273" i="14" s="1"/>
  <c r="M275" i="14"/>
  <c r="M277" i="14" s="1"/>
  <c r="M1650" i="8"/>
  <c r="M1643" i="8"/>
  <c r="M49" i="10"/>
  <c r="M333" i="14"/>
  <c r="M88" i="5" s="1"/>
  <c r="M326" i="14"/>
  <c r="M81" i="5" s="1"/>
  <c r="M329" i="14"/>
  <c r="M84" i="5" s="1"/>
  <c r="M332" i="14"/>
  <c r="M87" i="5" s="1"/>
  <c r="M331" i="14"/>
  <c r="M86" i="5" s="1"/>
  <c r="M334" i="14"/>
  <c r="M89" i="5" s="1"/>
  <c r="M330" i="14"/>
  <c r="M85" i="5" s="1"/>
  <c r="M328" i="14"/>
  <c r="M83" i="5" s="1"/>
  <c r="M327" i="14"/>
  <c r="M82" i="5" s="1"/>
  <c r="M315" i="14"/>
  <c r="M316" i="14"/>
  <c r="M1653" i="8" s="1"/>
  <c r="V247" i="14"/>
  <c r="N36" i="12"/>
  <c r="O180" i="2"/>
  <c r="P180" i="2" s="1"/>
  <c r="N61" i="2"/>
  <c r="O61" i="2" s="1"/>
  <c r="N75" i="8"/>
  <c r="N76" i="8" s="1"/>
  <c r="N26" i="12"/>
  <c r="N111" i="8"/>
  <c r="N112" i="8" s="1"/>
  <c r="N38" i="12"/>
  <c r="W222" i="13"/>
  <c r="W223" i="13" s="1"/>
  <c r="M131" i="8"/>
  <c r="M132" i="8" s="1"/>
  <c r="M46" i="12"/>
  <c r="X91" i="13"/>
  <c r="M14" i="12"/>
  <c r="N59" i="2"/>
  <c r="O59" i="2" s="1"/>
  <c r="M48" i="12"/>
  <c r="M139" i="8"/>
  <c r="M140" i="8" s="1"/>
  <c r="N62" i="2"/>
  <c r="O62" i="2" s="1"/>
  <c r="X89" i="13"/>
  <c r="X88" i="13"/>
  <c r="X87" i="13"/>
  <c r="X86" i="13"/>
  <c r="X84" i="13"/>
  <c r="X85" i="13"/>
  <c r="X92" i="13"/>
  <c r="M19" i="8"/>
  <c r="M20" i="8" s="1"/>
  <c r="M9" i="12"/>
  <c r="V1503" i="8"/>
  <c r="V1513" i="8"/>
  <c r="M27" i="8"/>
  <c r="M28" i="8" s="1"/>
  <c r="M39" i="12"/>
  <c r="M1482" i="8" s="1"/>
  <c r="M1483" i="8" s="1"/>
  <c r="W1500" i="8"/>
  <c r="W236" i="13"/>
  <c r="W245" i="13" s="1"/>
  <c r="W269" i="13"/>
  <c r="W266" i="13"/>
  <c r="W270" i="13"/>
  <c r="W1543" i="8"/>
  <c r="W265" i="13"/>
  <c r="W273" i="13"/>
  <c r="W271" i="13"/>
  <c r="W272" i="13"/>
  <c r="W268" i="13"/>
  <c r="W267" i="13"/>
  <c r="M135" i="8"/>
  <c r="M136" i="8" s="1"/>
  <c r="M47" i="12"/>
  <c r="X1512" i="8"/>
  <c r="W78" i="13"/>
  <c r="W138" i="13" s="1"/>
  <c r="N54" i="2"/>
  <c r="M6" i="12"/>
  <c r="M7" i="8"/>
  <c r="M8" i="8" s="1"/>
  <c r="M63" i="2"/>
  <c r="O1505" i="8"/>
  <c r="O1506" i="8"/>
  <c r="O138" i="13"/>
  <c r="O139" i="13" s="1"/>
  <c r="O1507" i="8" s="1"/>
  <c r="U1506" i="8"/>
  <c r="U1505" i="8"/>
  <c r="U138" i="13"/>
  <c r="O178" i="2"/>
  <c r="N34" i="12"/>
  <c r="N95" i="8"/>
  <c r="N96" i="8" s="1"/>
  <c r="N60" i="2"/>
  <c r="M31" i="8"/>
  <c r="M32" i="8" s="1"/>
  <c r="M12" i="12"/>
  <c r="N1505" i="8"/>
  <c r="N1506" i="8"/>
  <c r="N138" i="13"/>
  <c r="N139" i="13" s="1"/>
  <c r="N1507" i="8" s="1"/>
  <c r="N241" i="2"/>
  <c r="M143" i="8"/>
  <c r="M144" i="8" s="1"/>
  <c r="M49" i="12"/>
  <c r="P182" i="2"/>
  <c r="O38" i="12"/>
  <c r="O111" i="8"/>
  <c r="O112" i="8" s="1"/>
  <c r="X212" i="13"/>
  <c r="X234" i="13" s="1"/>
  <c r="X235" i="13"/>
  <c r="O181" i="2"/>
  <c r="N107" i="8"/>
  <c r="N108" i="8" s="1"/>
  <c r="N37" i="12"/>
  <c r="U1513" i="8"/>
  <c r="S1515" i="8"/>
  <c r="S1538" i="8"/>
  <c r="S1516" i="8"/>
  <c r="S277" i="13"/>
  <c r="U1540" i="8"/>
  <c r="U1514" i="8"/>
  <c r="U229" i="13"/>
  <c r="U227" i="13"/>
  <c r="U223" i="13"/>
  <c r="U225" i="13"/>
  <c r="U226" i="13"/>
  <c r="U228" i="13"/>
  <c r="U230" i="13"/>
  <c r="U224" i="13"/>
  <c r="U231" i="13"/>
  <c r="O176" i="2"/>
  <c r="N32" i="12"/>
  <c r="N87" i="8"/>
  <c r="N88" i="8" s="1"/>
  <c r="W217" i="13"/>
  <c r="W1641" i="8" s="1"/>
  <c r="X221" i="13"/>
  <c r="M27" i="12"/>
  <c r="N55" i="2"/>
  <c r="M7" i="12"/>
  <c r="M11" i="8"/>
  <c r="M12" i="8" s="1"/>
  <c r="Q1505" i="8"/>
  <c r="Q1506" i="8"/>
  <c r="Q138" i="13"/>
  <c r="Q139" i="13" s="1"/>
  <c r="Q1507" i="8" s="1"/>
  <c r="P119" i="2"/>
  <c r="O23" i="12"/>
  <c r="O63" i="8"/>
  <c r="O64" i="8" s="1"/>
  <c r="O117" i="2"/>
  <c r="N21" i="12"/>
  <c r="N55" i="8"/>
  <c r="N56" i="8" s="1"/>
  <c r="Y110" i="13"/>
  <c r="Y111" i="13" s="1"/>
  <c r="Y77" i="13"/>
  <c r="Y109" i="13" s="1"/>
  <c r="Q1515" i="8"/>
  <c r="Q1516" i="8"/>
  <c r="Q1538" i="8"/>
  <c r="Q277" i="13"/>
  <c r="O240" i="2"/>
  <c r="N48" i="12"/>
  <c r="N139" i="8"/>
  <c r="N140" i="8" s="1"/>
  <c r="Q1514" i="8"/>
  <c r="Q1540" i="8"/>
  <c r="Q223" i="13"/>
  <c r="Q230" i="13"/>
  <c r="Q224" i="13"/>
  <c r="Q231" i="13"/>
  <c r="Q225" i="13"/>
  <c r="Q226" i="13"/>
  <c r="Q228" i="13"/>
  <c r="Q229" i="13"/>
  <c r="Q227" i="13"/>
  <c r="S1514" i="8"/>
  <c r="S1540" i="8"/>
  <c r="S227" i="13"/>
  <c r="S225" i="13"/>
  <c r="S224" i="13"/>
  <c r="S229" i="13"/>
  <c r="S228" i="13"/>
  <c r="S223" i="13"/>
  <c r="S231" i="13"/>
  <c r="S230" i="13"/>
  <c r="S226" i="13"/>
  <c r="P1515" i="8"/>
  <c r="P1516" i="8"/>
  <c r="P1538" i="8"/>
  <c r="P277" i="13"/>
  <c r="U1538" i="8"/>
  <c r="U1516" i="8"/>
  <c r="U1515" i="8"/>
  <c r="U277" i="13"/>
  <c r="N235" i="2"/>
  <c r="M119" i="8"/>
  <c r="M120" i="8" s="1"/>
  <c r="M43" i="12"/>
  <c r="Q1513" i="8"/>
  <c r="O120" i="2"/>
  <c r="N67" i="8"/>
  <c r="N68" i="8" s="1"/>
  <c r="N24" i="12"/>
  <c r="R1515" i="8"/>
  <c r="R1538" i="8"/>
  <c r="R1516" i="8"/>
  <c r="R277" i="13"/>
  <c r="R1540" i="8"/>
  <c r="R1514" i="8"/>
  <c r="R225" i="13"/>
  <c r="R229" i="13"/>
  <c r="R227" i="13"/>
  <c r="R226" i="13"/>
  <c r="R228" i="13"/>
  <c r="R230" i="13"/>
  <c r="R223" i="13"/>
  <c r="R224" i="13"/>
  <c r="R231" i="13"/>
  <c r="X124" i="13"/>
  <c r="X125" i="13" s="1"/>
  <c r="X74" i="13"/>
  <c r="X123" i="13" s="1"/>
  <c r="M1515" i="8"/>
  <c r="M1516" i="8"/>
  <c r="M1538" i="8"/>
  <c r="M277" i="13"/>
  <c r="O115" i="2"/>
  <c r="N19" i="12"/>
  <c r="N47" i="8"/>
  <c r="N48" i="8" s="1"/>
  <c r="T980" i="8"/>
  <c r="T981" i="8" s="1"/>
  <c r="T137" i="13"/>
  <c r="F1499" i="8"/>
  <c r="Y250" i="13"/>
  <c r="T1513" i="8"/>
  <c r="O114" i="2"/>
  <c r="N18" i="12"/>
  <c r="N43" i="8"/>
  <c r="N44" i="8" s="1"/>
  <c r="N123" i="2"/>
  <c r="N237" i="2"/>
  <c r="M45" i="12"/>
  <c r="M127" i="8"/>
  <c r="M128" i="8" s="1"/>
  <c r="P121" i="2"/>
  <c r="O25" i="12"/>
  <c r="O71" i="8"/>
  <c r="O72" i="8" s="1"/>
  <c r="R1513" i="8"/>
  <c r="F1509" i="8"/>
  <c r="X263" i="13"/>
  <c r="X264" i="13" s="1"/>
  <c r="S1505" i="8"/>
  <c r="S1506" i="8"/>
  <c r="S138" i="13"/>
  <c r="S139" i="13" s="1"/>
  <c r="S1507" i="8" s="1"/>
  <c r="P1505" i="8"/>
  <c r="P1506" i="8"/>
  <c r="P138" i="13"/>
  <c r="P139" i="13" s="1"/>
  <c r="P1507" i="8" s="1"/>
  <c r="V1540" i="8"/>
  <c r="V1514" i="8"/>
  <c r="V231" i="13"/>
  <c r="V226" i="13"/>
  <c r="V229" i="13"/>
  <c r="V223" i="13"/>
  <c r="V224" i="13"/>
  <c r="V228" i="13"/>
  <c r="V227" i="13"/>
  <c r="V225" i="13"/>
  <c r="V230" i="13"/>
  <c r="O174" i="2"/>
  <c r="N30" i="12"/>
  <c r="N79" i="8"/>
  <c r="N80" i="8" s="1"/>
  <c r="N183" i="2"/>
  <c r="P122" i="2"/>
  <c r="O26" i="12"/>
  <c r="O75" i="8"/>
  <c r="O76" i="8" s="1"/>
  <c r="L1538" i="8"/>
  <c r="L1516" i="8"/>
  <c r="L1515" i="8"/>
  <c r="L277" i="13"/>
  <c r="X96" i="13"/>
  <c r="X97" i="13" s="1"/>
  <c r="X73" i="13"/>
  <c r="X95" i="13" s="1"/>
  <c r="N234" i="2"/>
  <c r="M42" i="12"/>
  <c r="M115" i="8"/>
  <c r="M116" i="8" s="1"/>
  <c r="M243" i="2"/>
  <c r="P116" i="2"/>
  <c r="O20" i="12"/>
  <c r="O51" i="8"/>
  <c r="O52" i="8" s="1"/>
  <c r="X118" i="13"/>
  <c r="X113" i="13"/>
  <c r="X116" i="13"/>
  <c r="X120" i="13"/>
  <c r="X119" i="13"/>
  <c r="X115" i="13"/>
  <c r="X117" i="13"/>
  <c r="X112" i="13"/>
  <c r="X114" i="13"/>
  <c r="V1538" i="8"/>
  <c r="V1516" i="8"/>
  <c r="V1515" i="8"/>
  <c r="V277" i="13"/>
  <c r="T1506" i="8"/>
  <c r="T1505" i="8"/>
  <c r="T138" i="13"/>
  <c r="O118" i="2"/>
  <c r="N22" i="12"/>
  <c r="N59" i="8"/>
  <c r="N60" i="8" s="1"/>
  <c r="T1538" i="8"/>
  <c r="T1516" i="8"/>
  <c r="T1515" i="8"/>
  <c r="T277" i="13"/>
  <c r="W105" i="13"/>
  <c r="W106" i="13"/>
  <c r="W99" i="13"/>
  <c r="W101" i="13"/>
  <c r="W98" i="13"/>
  <c r="W104" i="13"/>
  <c r="W100" i="13"/>
  <c r="W102" i="13"/>
  <c r="W103" i="13"/>
  <c r="W1504" i="8"/>
  <c r="N15" i="8"/>
  <c r="N16" i="8" s="1"/>
  <c r="Y82" i="13"/>
  <c r="Y83" i="13" s="1"/>
  <c r="Y70" i="13"/>
  <c r="Z216" i="13"/>
  <c r="Z248" i="13" s="1"/>
  <c r="Z249" i="13"/>
  <c r="Y209" i="13"/>
  <c r="R1505" i="8"/>
  <c r="R1506" i="8"/>
  <c r="R138" i="13"/>
  <c r="R139" i="13" s="1"/>
  <c r="R1507" i="8" s="1"/>
  <c r="M1505" i="8"/>
  <c r="M1506" i="8"/>
  <c r="M138" i="13"/>
  <c r="M139" i="13" s="1"/>
  <c r="M1507" i="8" s="1"/>
  <c r="O1515" i="8"/>
  <c r="O1538" i="8"/>
  <c r="O1516" i="8"/>
  <c r="O277" i="13"/>
  <c r="O57" i="2"/>
  <c r="N9" i="12"/>
  <c r="N19" i="8"/>
  <c r="N20" i="8" s="1"/>
  <c r="N1515" i="8"/>
  <c r="N1538" i="8"/>
  <c r="N1516" i="8"/>
  <c r="N277" i="13"/>
  <c r="T1540" i="8"/>
  <c r="T1514" i="8"/>
  <c r="T224" i="13"/>
  <c r="T229" i="13"/>
  <c r="T223" i="13"/>
  <c r="T228" i="13"/>
  <c r="T226" i="13"/>
  <c r="T227" i="13"/>
  <c r="T231" i="13"/>
  <c r="T230" i="13"/>
  <c r="T225" i="13"/>
  <c r="V1541" i="8"/>
  <c r="V239" i="13"/>
  <c r="V243" i="13"/>
  <c r="V242" i="13"/>
  <c r="V244" i="13"/>
  <c r="V241" i="13"/>
  <c r="V240" i="13"/>
  <c r="V245" i="13"/>
  <c r="V237" i="13"/>
  <c r="V238" i="13"/>
  <c r="L1506" i="8"/>
  <c r="L1505" i="8"/>
  <c r="L138" i="13"/>
  <c r="L139" i="13" s="1"/>
  <c r="L1507" i="8" s="1"/>
  <c r="N236" i="2"/>
  <c r="M44" i="12"/>
  <c r="M123" i="8"/>
  <c r="M124" i="8" s="1"/>
  <c r="O238" i="2"/>
  <c r="N46" i="12"/>
  <c r="N131" i="8"/>
  <c r="N132" i="8" s="1"/>
  <c r="S1513" i="8"/>
  <c r="V1506" i="8"/>
  <c r="V1505" i="8"/>
  <c r="V138" i="13"/>
  <c r="X220" i="13"/>
  <c r="Y213" i="13"/>
  <c r="W126" i="13"/>
  <c r="W132" i="13"/>
  <c r="W130" i="13"/>
  <c r="W131" i="13"/>
  <c r="W133" i="13"/>
  <c r="W129" i="13"/>
  <c r="W128" i="13"/>
  <c r="W134" i="13"/>
  <c r="W127" i="13"/>
  <c r="P179" i="2"/>
  <c r="O35" i="12"/>
  <c r="O99" i="8"/>
  <c r="O100" i="8" s="1"/>
  <c r="X81" i="13"/>
  <c r="O177" i="2"/>
  <c r="N33" i="12"/>
  <c r="N91" i="8"/>
  <c r="N92" i="8" s="1"/>
  <c r="N242" i="2"/>
  <c r="M50" i="12"/>
  <c r="M147" i="8"/>
  <c r="M148" i="8" s="1"/>
  <c r="P175" i="2"/>
  <c r="O31" i="12"/>
  <c r="O83" i="8"/>
  <c r="O84" i="8" s="1"/>
  <c r="N58" i="2"/>
  <c r="M23" i="8"/>
  <c r="M24" i="8" s="1"/>
  <c r="M10" i="12"/>
  <c r="O239" i="2"/>
  <c r="N47" i="12"/>
  <c r="N135" i="8"/>
  <c r="N136" i="8" s="1"/>
  <c r="W392" i="2"/>
  <c r="W948" i="8" s="1"/>
  <c r="W949" i="8" s="1"/>
  <c r="V398" i="2"/>
  <c r="V972" i="8" s="1"/>
  <c r="V973" i="8" s="1"/>
  <c r="W394" i="2"/>
  <c r="W956" i="8" s="1"/>
  <c r="W957" i="8" s="1"/>
  <c r="Y397" i="2"/>
  <c r="Y968" i="8" s="1"/>
  <c r="Y969" i="8" s="1"/>
  <c r="V844" i="8"/>
  <c r="V845" i="8" s="1"/>
  <c r="U400" i="2"/>
  <c r="U157" i="14" s="1"/>
  <c r="X259" i="2"/>
  <c r="X832" i="8"/>
  <c r="X833" i="8" s="1"/>
  <c r="W399" i="2"/>
  <c r="W976" i="8" s="1"/>
  <c r="W977" i="8" s="1"/>
  <c r="V395" i="2"/>
  <c r="V960" i="8" s="1"/>
  <c r="V961" i="8" s="1"/>
  <c r="X952" i="8"/>
  <c r="X953" i="8" s="1"/>
  <c r="W872" i="8"/>
  <c r="W873" i="8" s="1"/>
  <c r="T1431" i="8"/>
  <c r="T1432" i="8"/>
  <c r="X258" i="2"/>
  <c r="Y884" i="8"/>
  <c r="Y885" i="8" s="1"/>
  <c r="V964" i="8"/>
  <c r="V965" i="8" s="1"/>
  <c r="V382" i="2"/>
  <c r="O1433" i="8"/>
  <c r="O1445" i="8"/>
  <c r="N1433" i="8"/>
  <c r="N1445" i="8"/>
  <c r="L1433" i="8"/>
  <c r="L1445" i="8"/>
  <c r="M1433" i="8"/>
  <c r="M1445" i="8"/>
  <c r="P1433" i="8"/>
  <c r="P1445" i="8"/>
  <c r="S1433" i="8"/>
  <c r="S1445" i="8"/>
  <c r="Q1433" i="8"/>
  <c r="Q1445" i="8"/>
  <c r="R1433" i="8"/>
  <c r="R1445" i="8"/>
  <c r="W355" i="2"/>
  <c r="W395" i="2" s="1"/>
  <c r="T920" i="8"/>
  <c r="T921" i="8" s="1"/>
  <c r="T380" i="2"/>
  <c r="W356" i="2"/>
  <c r="W844" i="8" s="1"/>
  <c r="W845" i="8" s="1"/>
  <c r="X352" i="2"/>
  <c r="U860" i="8"/>
  <c r="U861" i="8" s="1"/>
  <c r="U381" i="2"/>
  <c r="U1434" i="8" s="1"/>
  <c r="W358" i="2"/>
  <c r="W852" i="8" s="1"/>
  <c r="W853" i="8" s="1"/>
  <c r="X354" i="2"/>
  <c r="X836" i="8" s="1"/>
  <c r="X837" i="8" s="1"/>
  <c r="Z357" i="2"/>
  <c r="Z848" i="8" s="1"/>
  <c r="Z849" i="8" s="1"/>
  <c r="Y353" i="2"/>
  <c r="X359" i="2"/>
  <c r="W748" i="2"/>
  <c r="W1220" i="8" s="1"/>
  <c r="W1221" i="8" s="1"/>
  <c r="W386" i="2"/>
  <c r="W928" i="8" s="1"/>
  <c r="W929" i="8" s="1"/>
  <c r="V385" i="2"/>
  <c r="V924" i="8" s="1"/>
  <c r="V925" i="8" s="1"/>
  <c r="W808" i="8"/>
  <c r="W809" i="8" s="1"/>
  <c r="W772" i="8"/>
  <c r="W773" i="8" s="1"/>
  <c r="X612" i="8"/>
  <c r="X613" i="8" s="1"/>
  <c r="Y280" i="2"/>
  <c r="X345" i="2"/>
  <c r="X334" i="2"/>
  <c r="X41" i="14" s="1"/>
  <c r="V374" i="2"/>
  <c r="V900" i="8" s="1"/>
  <c r="V901" i="8" s="1"/>
  <c r="W768" i="8"/>
  <c r="W769" i="8" s="1"/>
  <c r="X1168" i="8"/>
  <c r="X1169" i="8" s="1"/>
  <c r="W1176" i="8"/>
  <c r="W1177" i="8" s="1"/>
  <c r="X800" i="8"/>
  <c r="X801" i="8" s="1"/>
  <c r="W1200" i="8"/>
  <c r="W1201" i="8" s="1"/>
  <c r="W780" i="8"/>
  <c r="W781" i="8" s="1"/>
  <c r="W816" i="8"/>
  <c r="W817" i="8" s="1"/>
  <c r="W349" i="2"/>
  <c r="W824" i="8" s="1"/>
  <c r="W825" i="8" s="1"/>
  <c r="Y604" i="8"/>
  <c r="Y605" i="8" s="1"/>
  <c r="Y332" i="2"/>
  <c r="Y39" i="14" s="1"/>
  <c r="Y343" i="2"/>
  <c r="Z278" i="2"/>
  <c r="Z72" i="13" s="1"/>
  <c r="W1164" i="8"/>
  <c r="W1165" i="8" s="1"/>
  <c r="X620" i="8"/>
  <c r="X621" i="8" s="1"/>
  <c r="X336" i="2"/>
  <c r="X43" i="14" s="1"/>
  <c r="Y282" i="2"/>
  <c r="Y76" i="13" s="1"/>
  <c r="X347" i="2"/>
  <c r="V389" i="2"/>
  <c r="V940" i="8" s="1"/>
  <c r="V941" i="8" s="1"/>
  <c r="Y1008" i="8"/>
  <c r="Y1009" i="8" s="1"/>
  <c r="Z679" i="2"/>
  <c r="Y733" i="2"/>
  <c r="Y206" i="14" s="1"/>
  <c r="Y744" i="2"/>
  <c r="AB281" i="2"/>
  <c r="AB75" i="13" s="1"/>
  <c r="AA616" i="8"/>
  <c r="AA617" i="8" s="1"/>
  <c r="AA346" i="2"/>
  <c r="AA335" i="2"/>
  <c r="AA42" i="14" s="1"/>
  <c r="Y624" i="8"/>
  <c r="Y625" i="8" s="1"/>
  <c r="Y348" i="2"/>
  <c r="Y337" i="2"/>
  <c r="Y44" i="14" s="1"/>
  <c r="Z283" i="2"/>
  <c r="Y1012" i="8"/>
  <c r="Y1013" i="8" s="1"/>
  <c r="Y745" i="2"/>
  <c r="Z680" i="2"/>
  <c r="Z214" i="13" s="1"/>
  <c r="Y734" i="2"/>
  <c r="Y207" i="14" s="1"/>
  <c r="Z812" i="8"/>
  <c r="Z813" i="8" s="1"/>
  <c r="X820" i="8"/>
  <c r="X821" i="8" s="1"/>
  <c r="X1208" i="8"/>
  <c r="X1209" i="8" s="1"/>
  <c r="Z776" i="8"/>
  <c r="Z777" i="8" s="1"/>
  <c r="W828" i="8"/>
  <c r="W829" i="8" s="1"/>
  <c r="X784" i="8"/>
  <c r="X785" i="8" s="1"/>
  <c r="X1172" i="8"/>
  <c r="X1173" i="8" s="1"/>
  <c r="W375" i="2"/>
  <c r="W904" i="8" s="1"/>
  <c r="W905" i="8" s="1"/>
  <c r="U900" i="8"/>
  <c r="U901" i="8" s="1"/>
  <c r="U379" i="2"/>
  <c r="X792" i="8"/>
  <c r="X793" i="8" s="1"/>
  <c r="W387" i="2"/>
  <c r="W932" i="8" s="1"/>
  <c r="W933" i="8" s="1"/>
  <c r="X1204" i="8"/>
  <c r="X1205" i="8" s="1"/>
  <c r="W864" i="8"/>
  <c r="W865" i="8" s="1"/>
  <c r="V371" i="2"/>
  <c r="V896" i="8" s="1"/>
  <c r="V897" i="8" s="1"/>
  <c r="V360" i="2"/>
  <c r="Y1180" i="8"/>
  <c r="Y1181" i="8" s="1"/>
  <c r="X1152" i="8"/>
  <c r="X1153" i="8" s="1"/>
  <c r="X756" i="8"/>
  <c r="X757" i="8" s="1"/>
  <c r="Z1020" i="8"/>
  <c r="Z1021" i="8" s="1"/>
  <c r="Z736" i="2"/>
  <c r="Z209" i="14" s="1"/>
  <c r="AA682" i="2"/>
  <c r="Z747" i="2"/>
  <c r="V378" i="2"/>
  <c r="V916" i="8" s="1"/>
  <c r="V917" i="8" s="1"/>
  <c r="Y992" i="8"/>
  <c r="Y993" i="8" s="1"/>
  <c r="Y740" i="2"/>
  <c r="Z675" i="2"/>
  <c r="Y729" i="2"/>
  <c r="Y202" i="14" s="1"/>
  <c r="X996" i="8"/>
  <c r="X997" i="8" s="1"/>
  <c r="X730" i="2"/>
  <c r="X203" i="14" s="1"/>
  <c r="X741" i="2"/>
  <c r="Y676" i="2"/>
  <c r="Y210" i="13" s="1"/>
  <c r="Z276" i="2"/>
  <c r="Y341" i="2"/>
  <c r="Y330" i="2"/>
  <c r="Y37" i="14" s="1"/>
  <c r="Y596" i="8"/>
  <c r="Y597" i="8" s="1"/>
  <c r="Y760" i="8"/>
  <c r="Y761" i="8" s="1"/>
  <c r="W1192" i="8"/>
  <c r="W1193" i="8" s="1"/>
  <c r="Y1216" i="8"/>
  <c r="Y1217" i="8" s="1"/>
  <c r="X1188" i="8"/>
  <c r="X1189" i="8" s="1"/>
  <c r="W338" i="2"/>
  <c r="W788" i="8" s="1"/>
  <c r="W789" i="8" s="1"/>
  <c r="Y796" i="8"/>
  <c r="Y797" i="8" s="1"/>
  <c r="W1156" i="8"/>
  <c r="W1157" i="8" s="1"/>
  <c r="W1160" i="8"/>
  <c r="W1161" i="8" s="1"/>
  <c r="W737" i="2"/>
  <c r="W1184" i="8" s="1"/>
  <c r="W1185" i="8" s="1"/>
  <c r="X764" i="8"/>
  <c r="X765" i="8" s="1"/>
  <c r="W1212" i="8"/>
  <c r="W1213" i="8" s="1"/>
  <c r="U390" i="2"/>
  <c r="U944" i="8" s="1"/>
  <c r="X608" i="8"/>
  <c r="X609" i="8" s="1"/>
  <c r="X333" i="2"/>
  <c r="X40" i="14" s="1"/>
  <c r="X344" i="2"/>
  <c r="Y279" i="2"/>
  <c r="W1196" i="8"/>
  <c r="W1197" i="8" s="1"/>
  <c r="X1016" i="8"/>
  <c r="X1017" i="8" s="1"/>
  <c r="X735" i="2"/>
  <c r="X208" i="14" s="1"/>
  <c r="X746" i="2"/>
  <c r="Y681" i="2"/>
  <c r="Y215" i="13" s="1"/>
  <c r="AA277" i="2"/>
  <c r="AA71" i="13" s="1"/>
  <c r="Z331" i="2"/>
  <c r="Z38" i="14" s="1"/>
  <c r="Z600" i="8"/>
  <c r="Z601" i="8" s="1"/>
  <c r="Z342" i="2"/>
  <c r="X1004" i="8"/>
  <c r="X1005" i="8" s="1"/>
  <c r="X743" i="2"/>
  <c r="X732" i="2"/>
  <c r="X205" i="14" s="1"/>
  <c r="Y678" i="2"/>
  <c r="W804" i="8"/>
  <c r="W805" i="8" s="1"/>
  <c r="W876" i="8"/>
  <c r="W877" i="8" s="1"/>
  <c r="W376" i="2"/>
  <c r="W908" i="8" s="1"/>
  <c r="W909" i="8" s="1"/>
  <c r="X1000" i="8"/>
  <c r="X1001" i="8" s="1"/>
  <c r="Y677" i="2"/>
  <c r="Y211" i="13" s="1"/>
  <c r="X742" i="2"/>
  <c r="X731" i="2"/>
  <c r="X204" i="14" s="1"/>
  <c r="S254" i="14" l="1"/>
  <c r="S255" i="14" s="1"/>
  <c r="S257" i="14" s="1"/>
  <c r="W383" i="2"/>
  <c r="W78" i="14"/>
  <c r="W79" i="14" s="1"/>
  <c r="W80" i="14" s="1"/>
  <c r="Y393" i="2"/>
  <c r="N39" i="8"/>
  <c r="N40" i="8" s="1"/>
  <c r="N300" i="14"/>
  <c r="L143" i="14"/>
  <c r="L272" i="14"/>
  <c r="P103" i="14"/>
  <c r="W880" i="8"/>
  <c r="W881" i="8" s="1"/>
  <c r="N13" i="12"/>
  <c r="R135" i="14"/>
  <c r="S123" i="14"/>
  <c r="Q276" i="14"/>
  <c r="Q135" i="14"/>
  <c r="Q264" i="14"/>
  <c r="O252" i="14"/>
  <c r="R111" i="14"/>
  <c r="L131" i="14"/>
  <c r="N296" i="14"/>
  <c r="T123" i="14"/>
  <c r="L119" i="14"/>
  <c r="Q111" i="14"/>
  <c r="Q272" i="14"/>
  <c r="N8" i="12"/>
  <c r="L107" i="14"/>
  <c r="T143" i="14"/>
  <c r="R127" i="14"/>
  <c r="P264" i="14"/>
  <c r="X399" i="2"/>
  <c r="X976" i="8" s="1"/>
  <c r="X977" i="8" s="1"/>
  <c r="O264" i="14"/>
  <c r="R123" i="14"/>
  <c r="R149" i="14"/>
  <c r="R152" i="14" s="1"/>
  <c r="N111" i="14"/>
  <c r="Y261" i="2"/>
  <c r="Q115" i="14"/>
  <c r="X77" i="14"/>
  <c r="P260" i="14"/>
  <c r="Q300" i="14"/>
  <c r="N103" i="14"/>
  <c r="O280" i="14"/>
  <c r="L149" i="14"/>
  <c r="L152" i="14" s="1"/>
  <c r="L153" i="14" s="1"/>
  <c r="L1614" i="8" s="1"/>
  <c r="Q149" i="14"/>
  <c r="Q156" i="14" s="1"/>
  <c r="O111" i="14"/>
  <c r="N149" i="14"/>
  <c r="N1615" i="8" s="1"/>
  <c r="O115" i="14"/>
  <c r="R99" i="14"/>
  <c r="S95" i="14"/>
  <c r="N272" i="14"/>
  <c r="L264" i="14"/>
  <c r="M127" i="14"/>
  <c r="Q131" i="14"/>
  <c r="S149" i="14"/>
  <c r="S1615" i="8" s="1"/>
  <c r="M111" i="14"/>
  <c r="M268" i="14"/>
  <c r="M107" i="14"/>
  <c r="S127" i="14"/>
  <c r="N119" i="14"/>
  <c r="P284" i="14"/>
  <c r="L280" i="14"/>
  <c r="Q103" i="14"/>
  <c r="L276" i="14"/>
  <c r="W82" i="14"/>
  <c r="S131" i="14"/>
  <c r="S115" i="14"/>
  <c r="W247" i="14"/>
  <c r="X242" i="14"/>
  <c r="P87" i="14"/>
  <c r="O143" i="14"/>
  <c r="S252" i="14"/>
  <c r="P143" i="14"/>
  <c r="T103" i="14"/>
  <c r="L292" i="14"/>
  <c r="O304" i="14"/>
  <c r="P256" i="14"/>
  <c r="T99" i="14"/>
  <c r="N95" i="14"/>
  <c r="T115" i="14"/>
  <c r="O119" i="14"/>
  <c r="N135" i="14"/>
  <c r="Q256" i="14"/>
  <c r="Q284" i="14"/>
  <c r="Q304" i="14"/>
  <c r="O292" i="14"/>
  <c r="O300" i="14"/>
  <c r="M308" i="14"/>
  <c r="U158" i="14"/>
  <c r="N280" i="14"/>
  <c r="N284" i="14"/>
  <c r="V80" i="14"/>
  <c r="X238" i="14"/>
  <c r="M612" i="2"/>
  <c r="M432" i="2"/>
  <c r="M552" i="2"/>
  <c r="M492" i="2"/>
  <c r="N1652" i="8"/>
  <c r="N314" i="14"/>
  <c r="O1626" i="8"/>
  <c r="O139" i="5"/>
  <c r="O648" i="2" s="1"/>
  <c r="Q552" i="2"/>
  <c r="Q432" i="2"/>
  <c r="Q612" i="2"/>
  <c r="Q492" i="2"/>
  <c r="P1626" i="8"/>
  <c r="P139" i="5"/>
  <c r="P648" i="2" s="1"/>
  <c r="L490" i="2"/>
  <c r="L430" i="2"/>
  <c r="L610" i="2"/>
  <c r="L550" i="2"/>
  <c r="Y237" i="14"/>
  <c r="N607" i="2"/>
  <c r="N487" i="2"/>
  <c r="N547" i="2"/>
  <c r="N427" i="2"/>
  <c r="N256" i="14"/>
  <c r="T149" i="14"/>
  <c r="M300" i="14"/>
  <c r="L103" i="14"/>
  <c r="Q91" i="14"/>
  <c r="Q260" i="14"/>
  <c r="N87" i="14"/>
  <c r="O135" i="14"/>
  <c r="P276" i="14"/>
  <c r="M252" i="14"/>
  <c r="R91" i="14"/>
  <c r="L123" i="14"/>
  <c r="Q613" i="2"/>
  <c r="Q493" i="2"/>
  <c r="Q553" i="2"/>
  <c r="Q433" i="2"/>
  <c r="N107" i="14"/>
  <c r="S107" i="14"/>
  <c r="R103" i="14"/>
  <c r="O548" i="2"/>
  <c r="O608" i="2"/>
  <c r="O488" i="2"/>
  <c r="O428" i="2"/>
  <c r="P610" i="2"/>
  <c r="P490" i="2"/>
  <c r="P550" i="2"/>
  <c r="P430" i="2"/>
  <c r="L612" i="2"/>
  <c r="L432" i="2"/>
  <c r="L492" i="2"/>
  <c r="L552" i="2"/>
  <c r="P288" i="14"/>
  <c r="T91" i="14"/>
  <c r="L252" i="14"/>
  <c r="M135" i="14"/>
  <c r="Q252" i="14"/>
  <c r="M139" i="14"/>
  <c r="N553" i="2"/>
  <c r="N433" i="2"/>
  <c r="N613" i="2"/>
  <c r="N493" i="2"/>
  <c r="P427" i="2"/>
  <c r="P547" i="2"/>
  <c r="P487" i="2"/>
  <c r="P607" i="2"/>
  <c r="P252" i="14"/>
  <c r="R131" i="14"/>
  <c r="N115" i="14"/>
  <c r="W243" i="14"/>
  <c r="W244" i="14" s="1"/>
  <c r="Q99" i="14"/>
  <c r="O95" i="14"/>
  <c r="O139" i="14"/>
  <c r="Q1626" i="8"/>
  <c r="Q139" i="5"/>
  <c r="Q648" i="2" s="1"/>
  <c r="M284" i="14"/>
  <c r="P95" i="14"/>
  <c r="S135" i="14"/>
  <c r="L1626" i="8"/>
  <c r="L139" i="5"/>
  <c r="L648" i="2" s="1"/>
  <c r="O107" i="14"/>
  <c r="Q292" i="14"/>
  <c r="P292" i="14"/>
  <c r="P115" i="14"/>
  <c r="M87" i="14"/>
  <c r="O260" i="14"/>
  <c r="M91" i="14"/>
  <c r="M553" i="2"/>
  <c r="M493" i="2"/>
  <c r="M433" i="2"/>
  <c r="M613" i="2"/>
  <c r="L127" i="14"/>
  <c r="N127" i="14"/>
  <c r="L135" i="14"/>
  <c r="Q119" i="14"/>
  <c r="O256" i="14"/>
  <c r="O87" i="14"/>
  <c r="P107" i="14"/>
  <c r="O272" i="14"/>
  <c r="L260" i="14"/>
  <c r="L115" i="14"/>
  <c r="Q268" i="14"/>
  <c r="P123" i="14"/>
  <c r="Q427" i="2"/>
  <c r="Q487" i="2"/>
  <c r="Q607" i="2"/>
  <c r="Q547" i="2"/>
  <c r="O549" i="2"/>
  <c r="O609" i="2"/>
  <c r="O429" i="2"/>
  <c r="O489" i="2"/>
  <c r="M149" i="14"/>
  <c r="P139" i="14"/>
  <c r="M256" i="14"/>
  <c r="R115" i="14"/>
  <c r="X369" i="2"/>
  <c r="X888" i="8" s="1"/>
  <c r="X889" i="8" s="1"/>
  <c r="X73" i="14"/>
  <c r="X235" i="14"/>
  <c r="Y370" i="2"/>
  <c r="Y74" i="14"/>
  <c r="M1626" i="8"/>
  <c r="M139" i="5"/>
  <c r="M648" i="2" s="1"/>
  <c r="N489" i="2"/>
  <c r="N429" i="2"/>
  <c r="N549" i="2"/>
  <c r="N609" i="2"/>
  <c r="N131" i="14"/>
  <c r="O131" i="14"/>
  <c r="R95" i="14"/>
  <c r="R252" i="14"/>
  <c r="R254" i="14" s="1"/>
  <c r="S143" i="14"/>
  <c r="M304" i="14"/>
  <c r="N268" i="14"/>
  <c r="P99" i="14"/>
  <c r="M103" i="14"/>
  <c r="M260" i="14"/>
  <c r="P149" i="14"/>
  <c r="Q434" i="2"/>
  <c r="Q494" i="2"/>
  <c r="Q554" i="2"/>
  <c r="Q614" i="2"/>
  <c r="L304" i="14"/>
  <c r="P300" i="14"/>
  <c r="T119" i="14"/>
  <c r="O553" i="2"/>
  <c r="O493" i="2"/>
  <c r="O613" i="2"/>
  <c r="O433" i="2"/>
  <c r="L308" i="14"/>
  <c r="P1652" i="8"/>
  <c r="P314" i="14"/>
  <c r="N292" i="14"/>
  <c r="O308" i="14"/>
  <c r="T107" i="14"/>
  <c r="M296" i="14"/>
  <c r="L99" i="14"/>
  <c r="Q127" i="14"/>
  <c r="M606" i="2"/>
  <c r="M486" i="2"/>
  <c r="M546" i="2"/>
  <c r="M426" i="2"/>
  <c r="O550" i="2"/>
  <c r="O430" i="2"/>
  <c r="O490" i="2"/>
  <c r="O610" i="2"/>
  <c r="P611" i="2"/>
  <c r="P551" i="2"/>
  <c r="P491" i="2"/>
  <c r="P431" i="2"/>
  <c r="L1652" i="8"/>
  <c r="L314" i="14"/>
  <c r="W246" i="14"/>
  <c r="O492" i="2"/>
  <c r="O552" i="2"/>
  <c r="O432" i="2"/>
  <c r="O612" i="2"/>
  <c r="L614" i="2"/>
  <c r="L434" i="2"/>
  <c r="L494" i="2"/>
  <c r="L554" i="2"/>
  <c r="N486" i="2"/>
  <c r="N606" i="2"/>
  <c r="N426" i="2"/>
  <c r="N546" i="2"/>
  <c r="O36" i="12"/>
  <c r="M1652" i="8"/>
  <c r="M314" i="14"/>
  <c r="N608" i="2"/>
  <c r="N548" i="2"/>
  <c r="N488" i="2"/>
  <c r="N428" i="2"/>
  <c r="T131" i="14"/>
  <c r="S91" i="14"/>
  <c r="M272" i="14"/>
  <c r="R143" i="14"/>
  <c r="L87" i="14"/>
  <c r="N91" i="14"/>
  <c r="R107" i="14"/>
  <c r="M143" i="14"/>
  <c r="Q95" i="14"/>
  <c r="O91" i="14"/>
  <c r="Q296" i="14"/>
  <c r="M95" i="14"/>
  <c r="Q139" i="14"/>
  <c r="Q1652" i="8"/>
  <c r="Q314" i="14"/>
  <c r="P492" i="2"/>
  <c r="P612" i="2"/>
  <c r="P432" i="2"/>
  <c r="P552" i="2"/>
  <c r="L489" i="2"/>
  <c r="L429" i="2"/>
  <c r="L609" i="2"/>
  <c r="L549" i="2"/>
  <c r="V245" i="14"/>
  <c r="O103" i="8"/>
  <c r="O104" i="8" s="1"/>
  <c r="S111" i="14"/>
  <c r="M123" i="14"/>
  <c r="Q280" i="14"/>
  <c r="Y232" i="14"/>
  <c r="M547" i="2"/>
  <c r="M427" i="2"/>
  <c r="M607" i="2"/>
  <c r="M487" i="2"/>
  <c r="M276" i="14"/>
  <c r="N550" i="2"/>
  <c r="N490" i="2"/>
  <c r="N430" i="2"/>
  <c r="N610" i="2"/>
  <c r="Y260" i="2"/>
  <c r="S119" i="14"/>
  <c r="N288" i="14"/>
  <c r="T135" i="14"/>
  <c r="L268" i="14"/>
  <c r="P304" i="14"/>
  <c r="R87" i="14"/>
  <c r="O284" i="14"/>
  <c r="L284" i="14"/>
  <c r="M264" i="14"/>
  <c r="L91" i="14"/>
  <c r="O276" i="14"/>
  <c r="R139" i="14"/>
  <c r="O103" i="14"/>
  <c r="Q611" i="2"/>
  <c r="Q491" i="2"/>
  <c r="Q551" i="2"/>
  <c r="Q431" i="2"/>
  <c r="O288" i="14"/>
  <c r="N304" i="14"/>
  <c r="O1652" i="8"/>
  <c r="O314" i="14"/>
  <c r="Q87" i="14"/>
  <c r="P428" i="2"/>
  <c r="P548" i="2"/>
  <c r="P608" i="2"/>
  <c r="P488" i="2"/>
  <c r="L607" i="2"/>
  <c r="L427" i="2"/>
  <c r="L487" i="2"/>
  <c r="L547" i="2"/>
  <c r="N264" i="14"/>
  <c r="R119" i="14"/>
  <c r="N139" i="14"/>
  <c r="M115" i="14"/>
  <c r="S103" i="14"/>
  <c r="O127" i="14"/>
  <c r="P127" i="14"/>
  <c r="P280" i="14"/>
  <c r="M1522" i="8"/>
  <c r="M1628" i="8"/>
  <c r="N156" i="14"/>
  <c r="L111" i="14"/>
  <c r="AA368" i="2"/>
  <c r="AA72" i="14"/>
  <c r="N1524" i="8"/>
  <c r="N1630" i="8"/>
  <c r="M488" i="2"/>
  <c r="M548" i="2"/>
  <c r="M428" i="2"/>
  <c r="M608" i="2"/>
  <c r="N492" i="2"/>
  <c r="N612" i="2"/>
  <c r="N432" i="2"/>
  <c r="N552" i="2"/>
  <c r="U1649" i="8"/>
  <c r="U649" i="2"/>
  <c r="U1621" i="8" s="1"/>
  <c r="U248" i="14"/>
  <c r="O487" i="2"/>
  <c r="O607" i="2"/>
  <c r="O427" i="2"/>
  <c r="O547" i="2"/>
  <c r="L551" i="2"/>
  <c r="L431" i="2"/>
  <c r="L611" i="2"/>
  <c r="L491" i="2"/>
  <c r="W81" i="14"/>
  <c r="X233" i="14"/>
  <c r="M609" i="2"/>
  <c r="M429" i="2"/>
  <c r="M489" i="2"/>
  <c r="M549" i="2"/>
  <c r="Q426" i="2"/>
  <c r="Q486" i="2"/>
  <c r="Q606" i="2"/>
  <c r="Q546" i="2"/>
  <c r="O123" i="14"/>
  <c r="P119" i="14"/>
  <c r="S87" i="14"/>
  <c r="M288" i="14"/>
  <c r="P434" i="2"/>
  <c r="P554" i="2"/>
  <c r="P494" i="2"/>
  <c r="P614" i="2"/>
  <c r="Y365" i="2"/>
  <c r="Y872" i="8" s="1"/>
  <c r="Y873" i="8" s="1"/>
  <c r="Y69" i="14"/>
  <c r="X234" i="14"/>
  <c r="Y363" i="2"/>
  <c r="Y67" i="14"/>
  <c r="Z239" i="14"/>
  <c r="X367" i="2"/>
  <c r="X880" i="8" s="1"/>
  <c r="X881" i="8" s="1"/>
  <c r="X71" i="14"/>
  <c r="M430" i="2"/>
  <c r="M490" i="2"/>
  <c r="M550" i="2"/>
  <c r="M610" i="2"/>
  <c r="P272" i="14"/>
  <c r="N494" i="2"/>
  <c r="N614" i="2"/>
  <c r="N434" i="2"/>
  <c r="N554" i="2"/>
  <c r="L296" i="14"/>
  <c r="M119" i="14"/>
  <c r="Q288" i="14"/>
  <c r="P296" i="14"/>
  <c r="P91" i="14"/>
  <c r="U1616" i="8"/>
  <c r="O296" i="14"/>
  <c r="P308" i="14"/>
  <c r="N123" i="14"/>
  <c r="P131" i="14"/>
  <c r="N260" i="14"/>
  <c r="Q429" i="2"/>
  <c r="Q609" i="2"/>
  <c r="Q549" i="2"/>
  <c r="Q489" i="2"/>
  <c r="Q143" i="14"/>
  <c r="M131" i="14"/>
  <c r="O491" i="2"/>
  <c r="O551" i="2"/>
  <c r="O431" i="2"/>
  <c r="O611" i="2"/>
  <c r="N143" i="14"/>
  <c r="P429" i="2"/>
  <c r="P549" i="2"/>
  <c r="P489" i="2"/>
  <c r="P609" i="2"/>
  <c r="L613" i="2"/>
  <c r="L493" i="2"/>
  <c r="L433" i="2"/>
  <c r="L553" i="2"/>
  <c r="T87" i="14"/>
  <c r="P135" i="14"/>
  <c r="T139" i="14"/>
  <c r="L300" i="14"/>
  <c r="N308" i="14"/>
  <c r="T95" i="14"/>
  <c r="S139" i="14"/>
  <c r="O99" i="14"/>
  <c r="N1523" i="8"/>
  <c r="N1629" i="8"/>
  <c r="N551" i="2"/>
  <c r="N611" i="2"/>
  <c r="N431" i="2"/>
  <c r="N491" i="2"/>
  <c r="Z364" i="2"/>
  <c r="Z868" i="8" s="1"/>
  <c r="Z869" i="8" s="1"/>
  <c r="Z68" i="14"/>
  <c r="M494" i="2"/>
  <c r="M554" i="2"/>
  <c r="M434" i="2"/>
  <c r="M614" i="2"/>
  <c r="N1626" i="8"/>
  <c r="N139" i="5"/>
  <c r="N648" i="2" s="1"/>
  <c r="U250" i="2"/>
  <c r="U1617" i="8" s="1"/>
  <c r="U137" i="14"/>
  <c r="U141" i="14"/>
  <c r="U129" i="14"/>
  <c r="U145" i="14"/>
  <c r="U148" i="14" s="1"/>
  <c r="U155" i="14" s="1"/>
  <c r="U109" i="14"/>
  <c r="U97" i="14"/>
  <c r="U125" i="14"/>
  <c r="U113" i="14"/>
  <c r="U133" i="14"/>
  <c r="U117" i="14"/>
  <c r="U89" i="14"/>
  <c r="U105" i="14"/>
  <c r="U93" i="14"/>
  <c r="U83" i="14"/>
  <c r="U121" i="14"/>
  <c r="U101" i="14"/>
  <c r="Q430" i="2"/>
  <c r="Q610" i="2"/>
  <c r="Q550" i="2"/>
  <c r="Q490" i="2"/>
  <c r="O486" i="2"/>
  <c r="O606" i="2"/>
  <c r="O546" i="2"/>
  <c r="O426" i="2"/>
  <c r="P493" i="2"/>
  <c r="P433" i="2"/>
  <c r="P613" i="2"/>
  <c r="P553" i="2"/>
  <c r="L486" i="2"/>
  <c r="L426" i="2"/>
  <c r="L546" i="2"/>
  <c r="L606" i="2"/>
  <c r="X366" i="2"/>
  <c r="X876" i="8" s="1"/>
  <c r="X877" i="8" s="1"/>
  <c r="X70" i="14"/>
  <c r="M1525" i="8"/>
  <c r="M1631" i="8"/>
  <c r="Y236" i="14"/>
  <c r="M611" i="2"/>
  <c r="M551" i="2"/>
  <c r="M431" i="2"/>
  <c r="M491" i="2"/>
  <c r="L139" i="14"/>
  <c r="O268" i="14"/>
  <c r="O149" i="14"/>
  <c r="T111" i="14"/>
  <c r="M292" i="14"/>
  <c r="Q123" i="14"/>
  <c r="P268" i="14"/>
  <c r="T127" i="14"/>
  <c r="T252" i="14"/>
  <c r="T254" i="14" s="1"/>
  <c r="M99" i="14"/>
  <c r="Q488" i="2"/>
  <c r="Q608" i="2"/>
  <c r="Q428" i="2"/>
  <c r="Q548" i="2"/>
  <c r="Q107" i="14"/>
  <c r="N99" i="14"/>
  <c r="L95" i="14"/>
  <c r="O494" i="2"/>
  <c r="O614" i="2"/>
  <c r="O434" i="2"/>
  <c r="O554" i="2"/>
  <c r="P546" i="2"/>
  <c r="P606" i="2"/>
  <c r="P426" i="2"/>
  <c r="P486" i="2"/>
  <c r="L488" i="2"/>
  <c r="L548" i="2"/>
  <c r="L428" i="2"/>
  <c r="L608" i="2"/>
  <c r="M280" i="14"/>
  <c r="P111" i="14"/>
  <c r="S99" i="14"/>
  <c r="L256" i="14"/>
  <c r="N252" i="14"/>
  <c r="Q308" i="14"/>
  <c r="L288" i="14"/>
  <c r="N276" i="14"/>
  <c r="W225" i="13"/>
  <c r="W226" i="13"/>
  <c r="W230" i="13"/>
  <c r="W228" i="13"/>
  <c r="W227" i="13"/>
  <c r="W1540" i="8"/>
  <c r="N35" i="8"/>
  <c r="N36" i="8" s="1"/>
  <c r="W244" i="13"/>
  <c r="W1505" i="8"/>
  <c r="W1506" i="8"/>
  <c r="N27" i="8"/>
  <c r="N28" i="8" s="1"/>
  <c r="W231" i="13"/>
  <c r="N11" i="12"/>
  <c r="W229" i="13"/>
  <c r="W224" i="13"/>
  <c r="W242" i="13"/>
  <c r="M1468" i="8"/>
  <c r="X1500" i="8"/>
  <c r="W1541" i="8"/>
  <c r="N14" i="12"/>
  <c r="W237" i="13"/>
  <c r="W238" i="13"/>
  <c r="W240" i="13"/>
  <c r="W239" i="13"/>
  <c r="X236" i="13"/>
  <c r="X239" i="13" s="1"/>
  <c r="W1514" i="8"/>
  <c r="W243" i="13"/>
  <c r="W241" i="13"/>
  <c r="M15" i="12"/>
  <c r="M1466" i="8" s="1"/>
  <c r="T139" i="13"/>
  <c r="T1507" i="8" s="1"/>
  <c r="W1513" i="8"/>
  <c r="T1510" i="8"/>
  <c r="W1501" i="8"/>
  <c r="P174" i="2"/>
  <c r="O30" i="12"/>
  <c r="O79" i="8"/>
  <c r="O80" i="8" s="1"/>
  <c r="O183" i="2"/>
  <c r="M51" i="12"/>
  <c r="Z110" i="13"/>
  <c r="Z111" i="13" s="1"/>
  <c r="Z77" i="13"/>
  <c r="Z109" i="13" s="1"/>
  <c r="V1511" i="8"/>
  <c r="O234" i="2"/>
  <c r="N42" i="12"/>
  <c r="N115" i="8"/>
  <c r="N116" i="8" s="1"/>
  <c r="N243" i="2"/>
  <c r="P120" i="2"/>
  <c r="O24" i="12"/>
  <c r="O67" i="8"/>
  <c r="O68" i="8" s="1"/>
  <c r="Q116" i="2"/>
  <c r="P20" i="12"/>
  <c r="P51" i="8"/>
  <c r="P52" i="8" s="1"/>
  <c r="Y114" i="13"/>
  <c r="Y120" i="13"/>
  <c r="Y117" i="13"/>
  <c r="Y119" i="13"/>
  <c r="Y112" i="13"/>
  <c r="Y115" i="13"/>
  <c r="Y113" i="13"/>
  <c r="Y116" i="13"/>
  <c r="Y118" i="13"/>
  <c r="W1538" i="8"/>
  <c r="W1516" i="8"/>
  <c r="W1515" i="8"/>
  <c r="W277" i="13"/>
  <c r="P178" i="2"/>
  <c r="O34" i="12"/>
  <c r="O95" i="8"/>
  <c r="O96" i="8" s="1"/>
  <c r="Y235" i="13"/>
  <c r="Y212" i="13"/>
  <c r="Y234" i="13" s="1"/>
  <c r="O58" i="2"/>
  <c r="N23" i="8"/>
  <c r="N24" i="8" s="1"/>
  <c r="N10" i="12"/>
  <c r="P62" i="2"/>
  <c r="O14" i="12"/>
  <c r="O39" i="8"/>
  <c r="O40" i="8" s="1"/>
  <c r="R1510" i="8"/>
  <c r="P240" i="2"/>
  <c r="O48" i="12"/>
  <c r="O139" i="8"/>
  <c r="O140" i="8" s="1"/>
  <c r="P61" i="2"/>
  <c r="O13" i="12"/>
  <c r="O35" i="8"/>
  <c r="O36" i="8" s="1"/>
  <c r="O237" i="2"/>
  <c r="N127" i="8"/>
  <c r="N128" i="8" s="1"/>
  <c r="N45" i="12"/>
  <c r="P117" i="2"/>
  <c r="O55" i="8"/>
  <c r="O56" i="8" s="1"/>
  <c r="O21" i="12"/>
  <c r="P176" i="2"/>
  <c r="O87" i="8"/>
  <c r="O88" i="8" s="1"/>
  <c r="O32" i="12"/>
  <c r="O54" i="2"/>
  <c r="N6" i="12"/>
  <c r="N7" i="8"/>
  <c r="N8" i="8" s="1"/>
  <c r="N63" i="2"/>
  <c r="P181" i="2"/>
  <c r="O37" i="12"/>
  <c r="O107" i="8"/>
  <c r="O108" i="8" s="1"/>
  <c r="Y96" i="13"/>
  <c r="Y97" i="13" s="1"/>
  <c r="Y73" i="13"/>
  <c r="Y95" i="13" s="1"/>
  <c r="X99" i="13"/>
  <c r="X102" i="13"/>
  <c r="X105" i="13"/>
  <c r="X100" i="13"/>
  <c r="X106" i="13"/>
  <c r="X101" i="13"/>
  <c r="X98" i="13"/>
  <c r="X103" i="13"/>
  <c r="X104" i="13"/>
  <c r="X1504" i="8"/>
  <c r="X1543" i="8"/>
  <c r="X270" i="13"/>
  <c r="X273" i="13"/>
  <c r="X269" i="13"/>
  <c r="X272" i="13"/>
  <c r="X271" i="13"/>
  <c r="X266" i="13"/>
  <c r="X268" i="13"/>
  <c r="X265" i="13"/>
  <c r="X267" i="13"/>
  <c r="O235" i="2"/>
  <c r="N43" i="12"/>
  <c r="N119" i="8"/>
  <c r="N120" i="8" s="1"/>
  <c r="Z209" i="13"/>
  <c r="P177" i="2"/>
  <c r="O33" i="12"/>
  <c r="O91" i="8"/>
  <c r="O92" i="8" s="1"/>
  <c r="O55" i="2"/>
  <c r="N7" i="12"/>
  <c r="N11" i="8"/>
  <c r="N12" i="8" s="1"/>
  <c r="P57" i="2"/>
  <c r="O19" i="8"/>
  <c r="O20" i="8" s="1"/>
  <c r="O9" i="12"/>
  <c r="Y220" i="13"/>
  <c r="P56" i="2"/>
  <c r="O8" i="12"/>
  <c r="O15" i="8"/>
  <c r="O16" i="8" s="1"/>
  <c r="V1510" i="8"/>
  <c r="N27" i="12"/>
  <c r="X127" i="13"/>
  <c r="X132" i="13"/>
  <c r="X128" i="13"/>
  <c r="X130" i="13"/>
  <c r="X134" i="13"/>
  <c r="X129" i="13"/>
  <c r="X133" i="13"/>
  <c r="X126" i="13"/>
  <c r="X131" i="13"/>
  <c r="Q119" i="2"/>
  <c r="P23" i="12"/>
  <c r="P63" i="8"/>
  <c r="P64" i="8" s="1"/>
  <c r="P239" i="2"/>
  <c r="O47" i="12"/>
  <c r="O135" i="8"/>
  <c r="O136" i="8" s="1"/>
  <c r="P238" i="2"/>
  <c r="O131" i="8"/>
  <c r="O132" i="8" s="1"/>
  <c r="O46" i="12"/>
  <c r="X78" i="13"/>
  <c r="Y221" i="13"/>
  <c r="P114" i="2"/>
  <c r="O18" i="12"/>
  <c r="O43" i="8"/>
  <c r="O44" i="8" s="1"/>
  <c r="O123" i="2"/>
  <c r="S1510" i="8"/>
  <c r="Q182" i="2"/>
  <c r="P111" i="8"/>
  <c r="P112" i="8" s="1"/>
  <c r="P38" i="12"/>
  <c r="O60" i="2"/>
  <c r="N12" i="12"/>
  <c r="N31" i="8"/>
  <c r="N32" i="8" s="1"/>
  <c r="Z213" i="13"/>
  <c r="W1503" i="8"/>
  <c r="Z250" i="13"/>
  <c r="P59" i="2"/>
  <c r="O11" i="12"/>
  <c r="O27" i="8"/>
  <c r="O28" i="8" s="1"/>
  <c r="M1467" i="8"/>
  <c r="M1479" i="8"/>
  <c r="M1480" i="8" s="1"/>
  <c r="X1502" i="8"/>
  <c r="P118" i="2"/>
  <c r="O22" i="12"/>
  <c r="O59" i="8"/>
  <c r="O60" i="8" s="1"/>
  <c r="Q121" i="2"/>
  <c r="P25" i="12"/>
  <c r="P71" i="8"/>
  <c r="P72" i="8" s="1"/>
  <c r="Q1510" i="8"/>
  <c r="Q180" i="2"/>
  <c r="P36" i="12"/>
  <c r="P103" i="8"/>
  <c r="P104" i="8" s="1"/>
  <c r="U980" i="8"/>
  <c r="U981" i="8" s="1"/>
  <c r="U137" i="13"/>
  <c r="U139" i="13" s="1"/>
  <c r="U1507" i="8" s="1"/>
  <c r="Y1542" i="8"/>
  <c r="Y254" i="13"/>
  <c r="Y251" i="13"/>
  <c r="Y257" i="13"/>
  <c r="Y256" i="13"/>
  <c r="Y259" i="13"/>
  <c r="Y258" i="13"/>
  <c r="Y255" i="13"/>
  <c r="Y252" i="13"/>
  <c r="Y253" i="13"/>
  <c r="Z82" i="13"/>
  <c r="Z83" i="13" s="1"/>
  <c r="Z70" i="13"/>
  <c r="AA216" i="13"/>
  <c r="AA248" i="13" s="1"/>
  <c r="AA249" i="13"/>
  <c r="Q175" i="2"/>
  <c r="P31" i="12"/>
  <c r="P83" i="8"/>
  <c r="P84" i="8" s="1"/>
  <c r="Q179" i="2"/>
  <c r="P35" i="12"/>
  <c r="P99" i="8"/>
  <c r="P100" i="8" s="1"/>
  <c r="Y262" i="13"/>
  <c r="Y81" i="13"/>
  <c r="Q122" i="2"/>
  <c r="P26" i="12"/>
  <c r="P75" i="8"/>
  <c r="P76" i="8" s="1"/>
  <c r="P115" i="2"/>
  <c r="O19" i="12"/>
  <c r="O47" i="8"/>
  <c r="O48" i="8" s="1"/>
  <c r="U1510" i="8"/>
  <c r="N39" i="12"/>
  <c r="O241" i="2"/>
  <c r="N49" i="12"/>
  <c r="N143" i="8"/>
  <c r="N144" i="8" s="1"/>
  <c r="O242" i="2"/>
  <c r="N50" i="12"/>
  <c r="N147" i="8"/>
  <c r="N148" i="8" s="1"/>
  <c r="X222" i="13"/>
  <c r="Y124" i="13"/>
  <c r="Y125" i="13" s="1"/>
  <c r="Y74" i="13"/>
  <c r="Y123" i="13" s="1"/>
  <c r="Y263" i="13"/>
  <c r="O236" i="2"/>
  <c r="N44" i="12"/>
  <c r="N123" i="8"/>
  <c r="N124" i="8" s="1"/>
  <c r="Y86" i="13"/>
  <c r="Y84" i="13"/>
  <c r="Y88" i="13"/>
  <c r="Y87" i="13"/>
  <c r="Y92" i="13"/>
  <c r="Y91" i="13"/>
  <c r="Y89" i="13"/>
  <c r="Y90" i="13"/>
  <c r="Y85" i="13"/>
  <c r="X217" i="13"/>
  <c r="X1641" i="8" s="1"/>
  <c r="X375" i="2"/>
  <c r="X904" i="8" s="1"/>
  <c r="X905" i="8" s="1"/>
  <c r="V400" i="2"/>
  <c r="V1616" i="8" s="1"/>
  <c r="U1432" i="8"/>
  <c r="U1431" i="8"/>
  <c r="W396" i="2"/>
  <c r="W964" i="8" s="1"/>
  <c r="W965" i="8" s="1"/>
  <c r="Z397" i="2"/>
  <c r="Z968" i="8" s="1"/>
  <c r="Z969" i="8" s="1"/>
  <c r="X392" i="2"/>
  <c r="X948" i="8" s="1"/>
  <c r="X949" i="8" s="1"/>
  <c r="X856" i="8"/>
  <c r="X857" i="8" s="1"/>
  <c r="Y259" i="2"/>
  <c r="X394" i="2"/>
  <c r="X956" i="8" s="1"/>
  <c r="X957" i="8" s="1"/>
  <c r="W398" i="2"/>
  <c r="W972" i="8" s="1"/>
  <c r="W973" i="8" s="1"/>
  <c r="X387" i="2"/>
  <c r="X932" i="8" s="1"/>
  <c r="X933" i="8" s="1"/>
  <c r="Y258" i="2"/>
  <c r="W960" i="8"/>
  <c r="W961" i="8" s="1"/>
  <c r="Y952" i="8"/>
  <c r="Y953" i="8" s="1"/>
  <c r="W840" i="8"/>
  <c r="W841" i="8" s="1"/>
  <c r="W382" i="2"/>
  <c r="X872" i="8"/>
  <c r="X873" i="8" s="1"/>
  <c r="T1433" i="8"/>
  <c r="T1445" i="8"/>
  <c r="X892" i="8"/>
  <c r="X893" i="8" s="1"/>
  <c r="AA357" i="2"/>
  <c r="U920" i="8"/>
  <c r="U921" i="8" s="1"/>
  <c r="U380" i="2"/>
  <c r="Y354" i="2"/>
  <c r="Y836" i="8" s="1"/>
  <c r="Y837" i="8" s="1"/>
  <c r="Y359" i="2"/>
  <c r="Y376" i="2" s="1"/>
  <c r="Y908" i="8" s="1"/>
  <c r="Y909" i="8" s="1"/>
  <c r="Z353" i="2"/>
  <c r="Z832" i="8" s="1"/>
  <c r="Z833" i="8" s="1"/>
  <c r="X349" i="2"/>
  <c r="X824" i="8" s="1"/>
  <c r="X825" i="8" s="1"/>
  <c r="Y832" i="8"/>
  <c r="Y833" i="8" s="1"/>
  <c r="V860" i="8"/>
  <c r="V861" i="8" s="1"/>
  <c r="V381" i="2"/>
  <c r="V1434" i="8" s="1"/>
  <c r="X358" i="2"/>
  <c r="X852" i="8" s="1"/>
  <c r="X853" i="8" s="1"/>
  <c r="X356" i="2"/>
  <c r="X355" i="2"/>
  <c r="X840" i="8" s="1"/>
  <c r="X841" i="8" s="1"/>
  <c r="Y352" i="2"/>
  <c r="X772" i="8"/>
  <c r="X773" i="8" s="1"/>
  <c r="W389" i="2"/>
  <c r="W940" i="8" s="1"/>
  <c r="W941" i="8" s="1"/>
  <c r="X808" i="8"/>
  <c r="X809" i="8" s="1"/>
  <c r="Z280" i="2"/>
  <c r="Y345" i="2"/>
  <c r="Y334" i="2"/>
  <c r="Y41" i="14" s="1"/>
  <c r="Y612" i="8"/>
  <c r="Y613" i="8" s="1"/>
  <c r="V379" i="2"/>
  <c r="W371" i="2"/>
  <c r="W896" i="8" s="1"/>
  <c r="W897" i="8" s="1"/>
  <c r="X768" i="8"/>
  <c r="X769" i="8" s="1"/>
  <c r="AA1020" i="8"/>
  <c r="AA1021" i="8" s="1"/>
  <c r="AB682" i="2"/>
  <c r="AA736" i="2"/>
  <c r="AA209" i="14" s="1"/>
  <c r="AA747" i="2"/>
  <c r="W360" i="2"/>
  <c r="X780" i="8"/>
  <c r="X781" i="8" s="1"/>
  <c r="Z1216" i="8"/>
  <c r="Z1217" i="8" s="1"/>
  <c r="Y620" i="8"/>
  <c r="Y621" i="8" s="1"/>
  <c r="Y336" i="2"/>
  <c r="Y43" i="14" s="1"/>
  <c r="Z282" i="2"/>
  <c r="Z76" i="13" s="1"/>
  <c r="Y347" i="2"/>
  <c r="Y1016" i="8"/>
  <c r="Y1017" i="8" s="1"/>
  <c r="Y746" i="2"/>
  <c r="Z681" i="2"/>
  <c r="Z215" i="13" s="1"/>
  <c r="Y735" i="2"/>
  <c r="Y208" i="14" s="1"/>
  <c r="Z1180" i="8"/>
  <c r="Z1181" i="8" s="1"/>
  <c r="X864" i="8"/>
  <c r="X865" i="8" s="1"/>
  <c r="X1212" i="8"/>
  <c r="X1213" i="8" s="1"/>
  <c r="Y996" i="8"/>
  <c r="Y997" i="8" s="1"/>
  <c r="Y741" i="2"/>
  <c r="Y730" i="2"/>
  <c r="Y203" i="14" s="1"/>
  <c r="Z676" i="2"/>
  <c r="Z210" i="13" s="1"/>
  <c r="AA776" i="8"/>
  <c r="AA777" i="8" s="1"/>
  <c r="AA812" i="8"/>
  <c r="AA813" i="8" s="1"/>
  <c r="AA884" i="8"/>
  <c r="AA885" i="8" s="1"/>
  <c r="X1156" i="8"/>
  <c r="X1157" i="8" s="1"/>
  <c r="Y1172" i="8"/>
  <c r="Y1173" i="8" s="1"/>
  <c r="W374" i="2"/>
  <c r="AC281" i="2"/>
  <c r="AC75" i="13" s="1"/>
  <c r="AB616" i="8"/>
  <c r="AB617" i="8" s="1"/>
  <c r="AB346" i="2"/>
  <c r="AB335" i="2"/>
  <c r="AB42" i="14" s="1"/>
  <c r="X1164" i="8"/>
  <c r="X1165" i="8" s="1"/>
  <c r="Y1208" i="8"/>
  <c r="Y1209" i="8" s="1"/>
  <c r="Y1204" i="8"/>
  <c r="Y1205" i="8" s="1"/>
  <c r="Y800" i="8"/>
  <c r="Y801" i="8" s="1"/>
  <c r="W378" i="2"/>
  <c r="W916" i="8" s="1"/>
  <c r="W917" i="8" s="1"/>
  <c r="X1192" i="8"/>
  <c r="X1193" i="8" s="1"/>
  <c r="X828" i="8"/>
  <c r="X829" i="8" s="1"/>
  <c r="Y1004" i="8"/>
  <c r="Y1005" i="8" s="1"/>
  <c r="Y732" i="2"/>
  <c r="Y205" i="14" s="1"/>
  <c r="Y743" i="2"/>
  <c r="Z678" i="2"/>
  <c r="X338" i="2"/>
  <c r="X788" i="8" s="1"/>
  <c r="X789" i="8" s="1"/>
  <c r="X1200" i="8"/>
  <c r="X1201" i="8" s="1"/>
  <c r="Y1168" i="8"/>
  <c r="Y1169" i="8" s="1"/>
  <c r="Y764" i="8"/>
  <c r="Y765" i="8" s="1"/>
  <c r="Y1152" i="8"/>
  <c r="Y1153" i="8" s="1"/>
  <c r="V390" i="2"/>
  <c r="V944" i="8" s="1"/>
  <c r="Z1008" i="8"/>
  <c r="Z1009" i="8" s="1"/>
  <c r="AA679" i="2"/>
  <c r="Z744" i="2"/>
  <c r="Z733" i="2"/>
  <c r="Z206" i="14" s="1"/>
  <c r="Z796" i="8"/>
  <c r="Z797" i="8" s="1"/>
  <c r="Z992" i="8"/>
  <c r="Z993" i="8" s="1"/>
  <c r="AA675" i="2"/>
  <c r="Z729" i="2"/>
  <c r="Z202" i="14" s="1"/>
  <c r="Z740" i="2"/>
  <c r="X737" i="2"/>
  <c r="X1184" i="8" s="1"/>
  <c r="X1185" i="8" s="1"/>
  <c r="X376" i="2"/>
  <c r="X908" i="8" s="1"/>
  <c r="X909" i="8" s="1"/>
  <c r="Z604" i="8"/>
  <c r="Z605" i="8" s="1"/>
  <c r="Z332" i="2"/>
  <c r="Z39" i="14" s="1"/>
  <c r="AA278" i="2"/>
  <c r="AA72" i="13" s="1"/>
  <c r="Z343" i="2"/>
  <c r="X1160" i="8"/>
  <c r="X1161" i="8" s="1"/>
  <c r="Y756" i="8"/>
  <c r="Y757" i="8" s="1"/>
  <c r="Y1188" i="8"/>
  <c r="Y1189" i="8" s="1"/>
  <c r="Z624" i="8"/>
  <c r="Z625" i="8" s="1"/>
  <c r="Z348" i="2"/>
  <c r="Z337" i="2"/>
  <c r="Z44" i="14" s="1"/>
  <c r="AA283" i="2"/>
  <c r="W385" i="2"/>
  <c r="Z1012" i="8"/>
  <c r="Z1013" i="8" s="1"/>
  <c r="AA680" i="2"/>
  <c r="AA214" i="13" s="1"/>
  <c r="Z745" i="2"/>
  <c r="Z734" i="2"/>
  <c r="Z207" i="14" s="1"/>
  <c r="X1196" i="8"/>
  <c r="X1197" i="8" s="1"/>
  <c r="Z760" i="8"/>
  <c r="Z761" i="8" s="1"/>
  <c r="Z279" i="2"/>
  <c r="Y333" i="2"/>
  <c r="Y40" i="14" s="1"/>
  <c r="Y608" i="8"/>
  <c r="Y609" i="8" s="1"/>
  <c r="Y344" i="2"/>
  <c r="X748" i="2"/>
  <c r="X1220" i="8" s="1"/>
  <c r="X1221" i="8" s="1"/>
  <c r="Y792" i="8"/>
  <c r="Y793" i="8" s="1"/>
  <c r="Y784" i="8"/>
  <c r="Y785" i="8" s="1"/>
  <c r="X1176" i="8"/>
  <c r="X1177" i="8" s="1"/>
  <c r="Y1000" i="8"/>
  <c r="Y1001" i="8" s="1"/>
  <c r="Y742" i="2"/>
  <c r="Z677" i="2"/>
  <c r="Z211" i="13" s="1"/>
  <c r="Y731" i="2"/>
  <c r="Y204" i="14" s="1"/>
  <c r="AA331" i="2"/>
  <c r="AA38" i="14" s="1"/>
  <c r="AA600" i="8"/>
  <c r="AA601" i="8" s="1"/>
  <c r="AB277" i="2"/>
  <c r="AB71" i="13" s="1"/>
  <c r="AA342" i="2"/>
  <c r="X804" i="8"/>
  <c r="X805" i="8" s="1"/>
  <c r="AA276" i="2"/>
  <c r="Z341" i="2"/>
  <c r="Z596" i="8"/>
  <c r="Z597" i="8" s="1"/>
  <c r="Z330" i="2"/>
  <c r="Z37" i="14" s="1"/>
  <c r="X386" i="2"/>
  <c r="X928" i="8" s="1"/>
  <c r="X929" i="8" s="1"/>
  <c r="Y820" i="8"/>
  <c r="Y821" i="8" s="1"/>
  <c r="X816" i="8"/>
  <c r="X817" i="8" s="1"/>
  <c r="S152" i="14" l="1"/>
  <c r="R255" i="14"/>
  <c r="R257" i="14" s="1"/>
  <c r="T255" i="14"/>
  <c r="T257" i="14" s="1"/>
  <c r="S256" i="14"/>
  <c r="S258" i="14" s="1"/>
  <c r="S156" i="14"/>
  <c r="M640" i="2"/>
  <c r="M100" i="12" s="1"/>
  <c r="M575" i="2"/>
  <c r="N575" i="2" s="1"/>
  <c r="M515" i="2"/>
  <c r="N515" i="2" s="1"/>
  <c r="L154" i="14"/>
  <c r="M634" i="2"/>
  <c r="N634" i="2" s="1"/>
  <c r="Q152" i="14"/>
  <c r="Q154" i="14" s="1"/>
  <c r="Q1615" i="8"/>
  <c r="Y77" i="14"/>
  <c r="L1615" i="8"/>
  <c r="M461" i="2"/>
  <c r="L156" i="14"/>
  <c r="R1615" i="8"/>
  <c r="N152" i="14"/>
  <c r="N153" i="14" s="1"/>
  <c r="N1614" i="8" s="1"/>
  <c r="R156" i="14"/>
  <c r="X78" i="14"/>
  <c r="X79" i="14" s="1"/>
  <c r="X80" i="14" s="1"/>
  <c r="M639" i="2"/>
  <c r="N639" i="2" s="1"/>
  <c r="Z261" i="2"/>
  <c r="M635" i="2"/>
  <c r="M95" i="12" s="1"/>
  <c r="AA397" i="2"/>
  <c r="AA968" i="8" s="1"/>
  <c r="AA969" i="8" s="1"/>
  <c r="M579" i="2"/>
  <c r="Y242" i="14"/>
  <c r="X396" i="2"/>
  <c r="X964" i="8" s="1"/>
  <c r="X965" i="8" s="1"/>
  <c r="M636" i="2"/>
  <c r="N636" i="2" s="1"/>
  <c r="M518" i="2"/>
  <c r="M207" i="8" s="1"/>
  <c r="M208" i="8" s="1"/>
  <c r="M456" i="2"/>
  <c r="N456" i="2" s="1"/>
  <c r="M638" i="2"/>
  <c r="M98" i="12" s="1"/>
  <c r="M516" i="2"/>
  <c r="M72" i="12" s="1"/>
  <c r="M458" i="2"/>
  <c r="N458" i="2" s="1"/>
  <c r="M460" i="2"/>
  <c r="M64" i="12" s="1"/>
  <c r="M578" i="2"/>
  <c r="N578" i="2" s="1"/>
  <c r="M519" i="2"/>
  <c r="M75" i="12" s="1"/>
  <c r="M520" i="2"/>
  <c r="M76" i="12" s="1"/>
  <c r="X246" i="14"/>
  <c r="M459" i="2"/>
  <c r="N459" i="2" s="1"/>
  <c r="M454" i="2"/>
  <c r="M155" i="8" s="1"/>
  <c r="M156" i="8" s="1"/>
  <c r="M455" i="2"/>
  <c r="M159" i="8" s="1"/>
  <c r="M160" i="8" s="1"/>
  <c r="X383" i="2"/>
  <c r="M521" i="2"/>
  <c r="N521" i="2" s="1"/>
  <c r="X243" i="14"/>
  <c r="X244" i="14" s="1"/>
  <c r="X245" i="14" s="1"/>
  <c r="M576" i="2"/>
  <c r="N576" i="2" s="1"/>
  <c r="Z260" i="2"/>
  <c r="U122" i="14"/>
  <c r="U124" i="14" s="1"/>
  <c r="U142" i="14"/>
  <c r="U144" i="14" s="1"/>
  <c r="O1651" i="8"/>
  <c r="O321" i="14"/>
  <c r="O317" i="14"/>
  <c r="N1623" i="8"/>
  <c r="N1519" i="8"/>
  <c r="Q1627" i="8"/>
  <c r="Q758" i="2"/>
  <c r="Q658" i="2"/>
  <c r="Q657" i="2"/>
  <c r="Q755" i="2"/>
  <c r="Q756" i="2"/>
  <c r="Q754" i="2"/>
  <c r="Q751" i="2"/>
  <c r="Q753" i="2"/>
  <c r="Q752" i="2"/>
  <c r="Q757" i="2"/>
  <c r="Q769" i="2"/>
  <c r="Q765" i="2"/>
  <c r="Q768" i="2"/>
  <c r="Q1284" i="8" s="1"/>
  <c r="Q1285" i="8" s="1"/>
  <c r="Q766" i="2"/>
  <c r="Q660" i="2"/>
  <c r="Q763" i="2"/>
  <c r="Q1264" i="8" s="1"/>
  <c r="Q1265" i="8" s="1"/>
  <c r="Q762" i="2"/>
  <c r="Q764" i="2"/>
  <c r="Q1268" i="8" s="1"/>
  <c r="Q1269" i="8" s="1"/>
  <c r="Q767" i="2"/>
  <c r="Q1280" i="8" s="1"/>
  <c r="Q1281" i="8" s="1"/>
  <c r="Q659" i="2"/>
  <c r="Q1622" i="8"/>
  <c r="Q1518" i="8"/>
  <c r="U86" i="14"/>
  <c r="U88" i="14" s="1"/>
  <c r="R153" i="14"/>
  <c r="R1614" i="8" s="1"/>
  <c r="R154" i="14"/>
  <c r="L1623" i="8"/>
  <c r="L1519" i="8"/>
  <c r="M513" i="2"/>
  <c r="Q1624" i="8"/>
  <c r="Q1520" i="8"/>
  <c r="Y234" i="14"/>
  <c r="M1623" i="8"/>
  <c r="M1519" i="8"/>
  <c r="Z232" i="14"/>
  <c r="Y238" i="14"/>
  <c r="O1523" i="8"/>
  <c r="O1629" i="8"/>
  <c r="X81" i="14"/>
  <c r="X82" i="14"/>
  <c r="U94" i="14"/>
  <c r="U96" i="14" s="1"/>
  <c r="U138" i="14"/>
  <c r="U140" i="14" s="1"/>
  <c r="Q153" i="14"/>
  <c r="Q1614" i="8" s="1"/>
  <c r="U102" i="14"/>
  <c r="U104" i="14" s="1"/>
  <c r="AA239" i="14"/>
  <c r="Y369" i="2"/>
  <c r="Y888" i="8" s="1"/>
  <c r="Y889" i="8" s="1"/>
  <c r="Y73" i="14"/>
  <c r="N1651" i="8"/>
  <c r="N321" i="14"/>
  <c r="N317" i="14"/>
  <c r="V250" i="2"/>
  <c r="V1617" i="8" s="1"/>
  <c r="V137" i="14"/>
  <c r="V125" i="14"/>
  <c r="V141" i="14"/>
  <c r="V145" i="14"/>
  <c r="V148" i="14" s="1"/>
  <c r="V155" i="14" s="1"/>
  <c r="V121" i="14"/>
  <c r="V93" i="14"/>
  <c r="V129" i="14"/>
  <c r="V109" i="14"/>
  <c r="V97" i="14"/>
  <c r="V113" i="14"/>
  <c r="V101" i="14"/>
  <c r="V133" i="14"/>
  <c r="V117" i="14"/>
  <c r="V89" i="14"/>
  <c r="V105" i="14"/>
  <c r="V83" i="14"/>
  <c r="N1525" i="8"/>
  <c r="N1631" i="8"/>
  <c r="U106" i="14"/>
  <c r="U108" i="14" s="1"/>
  <c r="Y366" i="2"/>
  <c r="Y876" i="8" s="1"/>
  <c r="Y877" i="8" s="1"/>
  <c r="Y70" i="14"/>
  <c r="Z370" i="2"/>
  <c r="Z892" i="8" s="1"/>
  <c r="Z893" i="8" s="1"/>
  <c r="Z74" i="14"/>
  <c r="V137" i="13"/>
  <c r="V139" i="13" s="1"/>
  <c r="V1507" i="8" s="1"/>
  <c r="V157" i="14"/>
  <c r="V158" i="14" s="1"/>
  <c r="P1623" i="8"/>
  <c r="P1519" i="8"/>
  <c r="U90" i="14"/>
  <c r="U92" i="14" s="1"/>
  <c r="X247" i="14"/>
  <c r="M574" i="2"/>
  <c r="M1651" i="8"/>
  <c r="M321" i="14"/>
  <c r="M317" i="14"/>
  <c r="M577" i="2"/>
  <c r="Z237" i="14"/>
  <c r="U110" i="14"/>
  <c r="U112" i="14" s="1"/>
  <c r="Q1625" i="8"/>
  <c r="Q1521" i="8"/>
  <c r="O755" i="2"/>
  <c r="O1627" i="8"/>
  <c r="O756" i="2"/>
  <c r="O754" i="2"/>
  <c r="O657" i="2"/>
  <c r="O658" i="2"/>
  <c r="O757" i="2"/>
  <c r="O751" i="2"/>
  <c r="O758" i="2"/>
  <c r="O752" i="2"/>
  <c r="O753" i="2"/>
  <c r="O765" i="2"/>
  <c r="O769" i="2"/>
  <c r="O766" i="2"/>
  <c r="O763" i="2"/>
  <c r="O1264" i="8" s="1"/>
  <c r="O1265" i="8" s="1"/>
  <c r="O660" i="2"/>
  <c r="O659" i="2"/>
  <c r="O764" i="2"/>
  <c r="O1268" i="8" s="1"/>
  <c r="O1269" i="8" s="1"/>
  <c r="O767" i="2"/>
  <c r="O1280" i="8" s="1"/>
  <c r="O1281" i="8" s="1"/>
  <c r="O768" i="2"/>
  <c r="O1284" i="8" s="1"/>
  <c r="O1285" i="8" s="1"/>
  <c r="O762" i="2"/>
  <c r="Q1623" i="8"/>
  <c r="Q1519" i="8"/>
  <c r="M641" i="2"/>
  <c r="P156" i="14"/>
  <c r="P1615" i="8"/>
  <c r="P152" i="14"/>
  <c r="U130" i="14"/>
  <c r="U132" i="14" s="1"/>
  <c r="AA364" i="2"/>
  <c r="AA868" i="8" s="1"/>
  <c r="AA869" i="8" s="1"/>
  <c r="AA68" i="14"/>
  <c r="P1622" i="8"/>
  <c r="P1518" i="8"/>
  <c r="O1622" i="8"/>
  <c r="O1518" i="8"/>
  <c r="U118" i="14"/>
  <c r="U120" i="14" s="1"/>
  <c r="M580" i="2"/>
  <c r="M514" i="2"/>
  <c r="L1651" i="8"/>
  <c r="L321" i="14"/>
  <c r="L317" i="14"/>
  <c r="T156" i="14"/>
  <c r="T1615" i="8"/>
  <c r="T152" i="14"/>
  <c r="M637" i="2"/>
  <c r="M1624" i="8"/>
  <c r="M1520" i="8"/>
  <c r="N461" i="2"/>
  <c r="M65" i="12"/>
  <c r="M183" i="8"/>
  <c r="M184" i="8" s="1"/>
  <c r="M1625" i="8"/>
  <c r="M1521" i="8"/>
  <c r="Z363" i="2"/>
  <c r="Z67" i="14"/>
  <c r="Y235" i="14"/>
  <c r="AB368" i="2"/>
  <c r="AB884" i="8" s="1"/>
  <c r="AB885" i="8" s="1"/>
  <c r="AB72" i="14"/>
  <c r="Y233" i="14"/>
  <c r="N1522" i="8"/>
  <c r="N1628" i="8"/>
  <c r="P1625" i="8"/>
  <c r="P1521" i="8"/>
  <c r="O1624" i="8"/>
  <c r="O1520" i="8"/>
  <c r="U134" i="14"/>
  <c r="U136" i="14" s="1"/>
  <c r="U251" i="14"/>
  <c r="U253" i="14" s="1"/>
  <c r="V1649" i="8"/>
  <c r="V649" i="2"/>
  <c r="V1621" i="8" s="1"/>
  <c r="V248" i="14"/>
  <c r="L1627" i="8"/>
  <c r="L752" i="2"/>
  <c r="L751" i="2"/>
  <c r="L658" i="2"/>
  <c r="L657" i="2"/>
  <c r="L758" i="2"/>
  <c r="L753" i="2"/>
  <c r="L756" i="2"/>
  <c r="L754" i="2"/>
  <c r="L755" i="2"/>
  <c r="L757" i="2"/>
  <c r="L765" i="2"/>
  <c r="L769" i="2"/>
  <c r="L766" i="2"/>
  <c r="L763" i="2"/>
  <c r="L1264" i="8" s="1"/>
  <c r="L1265" i="8" s="1"/>
  <c r="L762" i="2"/>
  <c r="L764" i="2"/>
  <c r="L1268" i="8" s="1"/>
  <c r="L1269" i="8" s="1"/>
  <c r="L660" i="2"/>
  <c r="L659" i="2"/>
  <c r="L767" i="2"/>
  <c r="L1280" i="8" s="1"/>
  <c r="L1281" i="8" s="1"/>
  <c r="L768" i="2"/>
  <c r="L1284" i="8" s="1"/>
  <c r="L1285" i="8" s="1"/>
  <c r="M457" i="2"/>
  <c r="N1627" i="8"/>
  <c r="N756" i="2"/>
  <c r="N753" i="2"/>
  <c r="N657" i="2"/>
  <c r="N757" i="2"/>
  <c r="N751" i="2"/>
  <c r="N658" i="2"/>
  <c r="N754" i="2"/>
  <c r="N755" i="2"/>
  <c r="N752" i="2"/>
  <c r="N758" i="2"/>
  <c r="N769" i="2"/>
  <c r="N765" i="2"/>
  <c r="N763" i="2"/>
  <c r="N1264" i="8" s="1"/>
  <c r="N1265" i="8" s="1"/>
  <c r="N766" i="2"/>
  <c r="N764" i="2"/>
  <c r="N1268" i="8" s="1"/>
  <c r="N1269" i="8" s="1"/>
  <c r="N768" i="2"/>
  <c r="N1284" i="8" s="1"/>
  <c r="N1285" i="8" s="1"/>
  <c r="N762" i="2"/>
  <c r="N659" i="2"/>
  <c r="N767" i="2"/>
  <c r="N1280" i="8" s="1"/>
  <c r="N1281" i="8" s="1"/>
  <c r="N660" i="2"/>
  <c r="O1524" i="8"/>
  <c r="O1630" i="8"/>
  <c r="N1624" i="8"/>
  <c r="N1520" i="8"/>
  <c r="U1613" i="8"/>
  <c r="U168" i="14"/>
  <c r="U166" i="14"/>
  <c r="U164" i="14"/>
  <c r="U162" i="14"/>
  <c r="U169" i="14"/>
  <c r="U167" i="14"/>
  <c r="U165" i="14"/>
  <c r="U163" i="14"/>
  <c r="U161" i="14"/>
  <c r="U150" i="14"/>
  <c r="U151" i="14"/>
  <c r="N579" i="2"/>
  <c r="M247" i="8"/>
  <c r="M248" i="8" s="1"/>
  <c r="M87" i="12"/>
  <c r="N1625" i="8"/>
  <c r="N1521" i="8"/>
  <c r="P1624" i="8"/>
  <c r="P1520" i="8"/>
  <c r="L1625" i="8"/>
  <c r="L1521" i="8"/>
  <c r="M633" i="2"/>
  <c r="O1625" i="8"/>
  <c r="O1521" i="8"/>
  <c r="U114" i="14"/>
  <c r="U116" i="14" s="1"/>
  <c r="M156" i="14"/>
  <c r="M1615" i="8"/>
  <c r="M152" i="14"/>
  <c r="W245" i="14"/>
  <c r="M517" i="2"/>
  <c r="M171" i="8"/>
  <c r="M172" i="8" s="1"/>
  <c r="N1622" i="8"/>
  <c r="N1518" i="8"/>
  <c r="M243" i="8"/>
  <c r="M244" i="8" s="1"/>
  <c r="L1624" i="8"/>
  <c r="L1520" i="8"/>
  <c r="M573" i="2"/>
  <c r="O1623" i="8"/>
  <c r="O1519" i="8"/>
  <c r="U126" i="14"/>
  <c r="U128" i="14" s="1"/>
  <c r="N640" i="2"/>
  <c r="M287" i="8"/>
  <c r="M288" i="8" s="1"/>
  <c r="Q1651" i="8"/>
  <c r="Q321" i="14"/>
  <c r="Q317" i="14"/>
  <c r="P1651" i="8"/>
  <c r="P321" i="14"/>
  <c r="P317" i="14"/>
  <c r="M1627" i="8"/>
  <c r="M757" i="2"/>
  <c r="M657" i="2"/>
  <c r="M658" i="2"/>
  <c r="M758" i="2"/>
  <c r="M754" i="2"/>
  <c r="M756" i="2"/>
  <c r="M753" i="2"/>
  <c r="M752" i="2"/>
  <c r="M751" i="2"/>
  <c r="M755" i="2"/>
  <c r="M765" i="2"/>
  <c r="M769" i="2"/>
  <c r="M766" i="2"/>
  <c r="M763" i="2"/>
  <c r="M1264" i="8" s="1"/>
  <c r="M1265" i="8" s="1"/>
  <c r="M762" i="2"/>
  <c r="M764" i="2"/>
  <c r="M1268" i="8" s="1"/>
  <c r="M1269" i="8" s="1"/>
  <c r="M767" i="2"/>
  <c r="M1280" i="8" s="1"/>
  <c r="M1281" i="8" s="1"/>
  <c r="M660" i="2"/>
  <c r="M768" i="2"/>
  <c r="M1284" i="8" s="1"/>
  <c r="M1285" i="8" s="1"/>
  <c r="M659" i="2"/>
  <c r="S153" i="14"/>
  <c r="S1614" i="8" s="1"/>
  <c r="S154" i="14"/>
  <c r="P1627" i="8"/>
  <c r="P756" i="2"/>
  <c r="P755" i="2"/>
  <c r="P758" i="2"/>
  <c r="P657" i="2"/>
  <c r="P658" i="2"/>
  <c r="P752" i="2"/>
  <c r="P757" i="2"/>
  <c r="P754" i="2"/>
  <c r="P751" i="2"/>
  <c r="P753" i="2"/>
  <c r="P765" i="2"/>
  <c r="P769" i="2"/>
  <c r="P768" i="2"/>
  <c r="P1284" i="8" s="1"/>
  <c r="P1285" i="8" s="1"/>
  <c r="P763" i="2"/>
  <c r="P1264" i="8" s="1"/>
  <c r="P1265" i="8" s="1"/>
  <c r="P660" i="2"/>
  <c r="P659" i="2"/>
  <c r="P767" i="2"/>
  <c r="P1280" i="8" s="1"/>
  <c r="P1281" i="8" s="1"/>
  <c r="P764" i="2"/>
  <c r="P1268" i="8" s="1"/>
  <c r="P1269" i="8" s="1"/>
  <c r="P762" i="2"/>
  <c r="P766" i="2"/>
  <c r="W250" i="2"/>
  <c r="W1617" i="8" s="1"/>
  <c r="W137" i="14"/>
  <c r="W125" i="14"/>
  <c r="W141" i="14"/>
  <c r="W129" i="14"/>
  <c r="W121" i="14"/>
  <c r="W93" i="14"/>
  <c r="W109" i="14"/>
  <c r="W97" i="14"/>
  <c r="W145" i="14"/>
  <c r="W148" i="14" s="1"/>
  <c r="W101" i="14"/>
  <c r="W89" i="14"/>
  <c r="W117" i="14"/>
  <c r="W105" i="14"/>
  <c r="W83" i="14"/>
  <c r="W133" i="14"/>
  <c r="W113" i="14"/>
  <c r="Z236" i="14"/>
  <c r="Z365" i="2"/>
  <c r="Z872" i="8" s="1"/>
  <c r="Z873" i="8" s="1"/>
  <c r="Z69" i="14"/>
  <c r="Y367" i="2"/>
  <c r="Y71" i="14"/>
  <c r="O156" i="14"/>
  <c r="O1615" i="8"/>
  <c r="O152" i="14"/>
  <c r="L1622" i="8"/>
  <c r="L1518" i="8"/>
  <c r="M453" i="2"/>
  <c r="U98" i="14"/>
  <c r="U100" i="14" s="1"/>
  <c r="M581" i="2"/>
  <c r="M1622" i="8"/>
  <c r="M1518" i="8"/>
  <c r="X242" i="13"/>
  <c r="X240" i="13"/>
  <c r="W1510" i="8"/>
  <c r="X1541" i="8"/>
  <c r="M1476" i="8"/>
  <c r="M1477" i="8" s="1"/>
  <c r="X237" i="13"/>
  <c r="W1511" i="8"/>
  <c r="X241" i="13"/>
  <c r="X243" i="13"/>
  <c r="X244" i="13"/>
  <c r="X245" i="13"/>
  <c r="X238" i="13"/>
  <c r="V1432" i="8"/>
  <c r="V980" i="8"/>
  <c r="V981" i="8" s="1"/>
  <c r="Y222" i="13"/>
  <c r="Y226" i="13" s="1"/>
  <c r="Z262" i="13"/>
  <c r="Y236" i="13"/>
  <c r="Y239" i="13" s="1"/>
  <c r="Y217" i="13"/>
  <c r="Y1504" i="8"/>
  <c r="AA848" i="8"/>
  <c r="AA849" i="8" s="1"/>
  <c r="X1540" i="8"/>
  <c r="X1514" i="8"/>
  <c r="X228" i="13"/>
  <c r="X226" i="13"/>
  <c r="X227" i="13"/>
  <c r="X231" i="13"/>
  <c r="X225" i="13"/>
  <c r="X224" i="13"/>
  <c r="X229" i="13"/>
  <c r="X223" i="13"/>
  <c r="X230" i="13"/>
  <c r="P236" i="2"/>
  <c r="O44" i="12"/>
  <c r="O123" i="8"/>
  <c r="O124" i="8" s="1"/>
  <c r="N1468" i="8"/>
  <c r="N1482" i="8"/>
  <c r="N1483" i="8" s="1"/>
  <c r="R180" i="2"/>
  <c r="Q36" i="12"/>
  <c r="Q103" i="8"/>
  <c r="Q104" i="8" s="1"/>
  <c r="Y105" i="13"/>
  <c r="Y102" i="13"/>
  <c r="Y99" i="13"/>
  <c r="Y101" i="13"/>
  <c r="Y103" i="13"/>
  <c r="Y100" i="13"/>
  <c r="Y104" i="13"/>
  <c r="Y106" i="13"/>
  <c r="Y98" i="13"/>
  <c r="Q62" i="2"/>
  <c r="P14" i="12"/>
  <c r="P39" i="8"/>
  <c r="P40" i="8" s="1"/>
  <c r="R175" i="2"/>
  <c r="Q31" i="12"/>
  <c r="Q83" i="8"/>
  <c r="Q84" i="8" s="1"/>
  <c r="Z221" i="13"/>
  <c r="AA82" i="13"/>
  <c r="AA83" i="13" s="1"/>
  <c r="AA70" i="13"/>
  <c r="AA110" i="13"/>
  <c r="AA111" i="13" s="1"/>
  <c r="AA77" i="13"/>
  <c r="AA109" i="13" s="1"/>
  <c r="Y264" i="13"/>
  <c r="P237" i="2"/>
  <c r="O127" i="8"/>
  <c r="O128" i="8" s="1"/>
  <c r="O45" i="12"/>
  <c r="N15" i="12"/>
  <c r="R116" i="2"/>
  <c r="Q20" i="12"/>
  <c r="Q51" i="8"/>
  <c r="Q52" i="8" s="1"/>
  <c r="R182" i="2"/>
  <c r="Q38" i="12"/>
  <c r="Q111" i="8"/>
  <c r="Q112" i="8" s="1"/>
  <c r="P60" i="2"/>
  <c r="O12" i="12"/>
  <c r="O31" i="8"/>
  <c r="O32" i="8" s="1"/>
  <c r="P54" i="2"/>
  <c r="O6" i="12"/>
  <c r="O7" i="8"/>
  <c r="O8" i="8" s="1"/>
  <c r="O63" i="2"/>
  <c r="AA209" i="13"/>
  <c r="AB249" i="13"/>
  <c r="AB216" i="13"/>
  <c r="AB248" i="13" s="1"/>
  <c r="X1513" i="8"/>
  <c r="V1431" i="8"/>
  <c r="R179" i="2"/>
  <c r="Q35" i="12"/>
  <c r="Q99" i="8"/>
  <c r="Q100" i="8" s="1"/>
  <c r="R121" i="2"/>
  <c r="Q25" i="12"/>
  <c r="Q71" i="8"/>
  <c r="Q72" i="8" s="1"/>
  <c r="Q114" i="2"/>
  <c r="P18" i="12"/>
  <c r="P43" i="8"/>
  <c r="P44" i="8" s="1"/>
  <c r="P123" i="2"/>
  <c r="Q238" i="2"/>
  <c r="P131" i="8"/>
  <c r="P132" i="8" s="1"/>
  <c r="P46" i="12"/>
  <c r="X1501" i="8"/>
  <c r="P58" i="2"/>
  <c r="O10" i="12"/>
  <c r="O23" i="8"/>
  <c r="O24" i="8" s="1"/>
  <c r="Y1502" i="8"/>
  <c r="Z81" i="13"/>
  <c r="X1503" i="8"/>
  <c r="M1469" i="8"/>
  <c r="M1485" i="8"/>
  <c r="M1486" i="8" s="1"/>
  <c r="Z235" i="13"/>
  <c r="Z212" i="13"/>
  <c r="Z234" i="13" s="1"/>
  <c r="Y1512" i="8"/>
  <c r="Z1542" i="8"/>
  <c r="Z252" i="13"/>
  <c r="Z257" i="13"/>
  <c r="Z254" i="13"/>
  <c r="Z256" i="13"/>
  <c r="Z253" i="13"/>
  <c r="Z258" i="13"/>
  <c r="Z255" i="13"/>
  <c r="Z259" i="13"/>
  <c r="Z251" i="13"/>
  <c r="Q57" i="2"/>
  <c r="P9" i="12"/>
  <c r="P19" i="8"/>
  <c r="P20" i="8" s="1"/>
  <c r="Q61" i="2"/>
  <c r="P13" i="12"/>
  <c r="P35" i="8"/>
  <c r="P36" i="8" s="1"/>
  <c r="P241" i="2"/>
  <c r="O143" i="8"/>
  <c r="O144" i="8" s="1"/>
  <c r="O49" i="12"/>
  <c r="Q56" i="2"/>
  <c r="P8" i="12"/>
  <c r="P15" i="8"/>
  <c r="P16" i="8" s="1"/>
  <c r="Y126" i="13"/>
  <c r="Y129" i="13"/>
  <c r="Y130" i="13"/>
  <c r="Y132" i="13"/>
  <c r="Y131" i="13"/>
  <c r="Y134" i="13"/>
  <c r="Y133" i="13"/>
  <c r="Y127" i="13"/>
  <c r="Y128" i="13"/>
  <c r="X1538" i="8"/>
  <c r="X1516" i="8"/>
  <c r="X1515" i="8"/>
  <c r="X277" i="13"/>
  <c r="Y1500" i="8"/>
  <c r="Q115" i="2"/>
  <c r="P19" i="12"/>
  <c r="P47" i="8"/>
  <c r="P48" i="8" s="1"/>
  <c r="AA250" i="13"/>
  <c r="Q239" i="2"/>
  <c r="P47" i="12"/>
  <c r="P135" i="8"/>
  <c r="P136" i="8" s="1"/>
  <c r="N1467" i="8"/>
  <c r="N1479" i="8"/>
  <c r="N1480" i="8" s="1"/>
  <c r="P55" i="2"/>
  <c r="O7" i="12"/>
  <c r="O11" i="8"/>
  <c r="O12" i="8" s="1"/>
  <c r="Q181" i="2"/>
  <c r="P37" i="12"/>
  <c r="P107" i="8"/>
  <c r="P108" i="8" s="1"/>
  <c r="Q176" i="2"/>
  <c r="P32" i="12"/>
  <c r="P87" i="8"/>
  <c r="P88" i="8" s="1"/>
  <c r="Q240" i="2"/>
  <c r="P48" i="12"/>
  <c r="P139" i="8"/>
  <c r="P140" i="8" s="1"/>
  <c r="Q174" i="2"/>
  <c r="P30" i="12"/>
  <c r="P79" i="8"/>
  <c r="P80" i="8" s="1"/>
  <c r="P183" i="2"/>
  <c r="Z96" i="13"/>
  <c r="Z97" i="13" s="1"/>
  <c r="Z73" i="13"/>
  <c r="Z95" i="13" s="1"/>
  <c r="Q118" i="2"/>
  <c r="P59" i="8"/>
  <c r="P60" i="8" s="1"/>
  <c r="P22" i="12"/>
  <c r="AA213" i="13"/>
  <c r="O27" i="12"/>
  <c r="Q178" i="2"/>
  <c r="P34" i="12"/>
  <c r="P95" i="8"/>
  <c r="P96" i="8" s="1"/>
  <c r="Q120" i="2"/>
  <c r="P24" i="12"/>
  <c r="P67" i="8"/>
  <c r="P68" i="8" s="1"/>
  <c r="P235" i="2"/>
  <c r="O43" i="12"/>
  <c r="O119" i="8"/>
  <c r="O120" i="8" s="1"/>
  <c r="Q117" i="2"/>
  <c r="P21" i="12"/>
  <c r="P55" i="8"/>
  <c r="P56" i="8" s="1"/>
  <c r="Z118" i="13"/>
  <c r="Z117" i="13"/>
  <c r="Z119" i="13"/>
  <c r="Z115" i="13"/>
  <c r="Z120" i="13"/>
  <c r="Z113" i="13"/>
  <c r="Z114" i="13"/>
  <c r="Z112" i="13"/>
  <c r="Z116" i="13"/>
  <c r="O39" i="12"/>
  <c r="R122" i="2"/>
  <c r="Q26" i="12"/>
  <c r="Q75" i="8"/>
  <c r="Q76" i="8" s="1"/>
  <c r="Z263" i="13"/>
  <c r="Y78" i="13"/>
  <c r="X1506" i="8"/>
  <c r="X1505" i="8"/>
  <c r="X138" i="13"/>
  <c r="R119" i="2"/>
  <c r="Q63" i="8"/>
  <c r="Q64" i="8" s="1"/>
  <c r="Q23" i="12"/>
  <c r="Q177" i="2"/>
  <c r="P33" i="12"/>
  <c r="P91" i="8"/>
  <c r="P92" i="8" s="1"/>
  <c r="N51" i="12"/>
  <c r="Z124" i="13"/>
  <c r="Z125" i="13" s="1"/>
  <c r="Z74" i="13"/>
  <c r="Z123" i="13" s="1"/>
  <c r="P242" i="2"/>
  <c r="O50" i="12"/>
  <c r="O147" i="8"/>
  <c r="O148" i="8" s="1"/>
  <c r="Z92" i="13"/>
  <c r="Z90" i="13"/>
  <c r="Z88" i="13"/>
  <c r="Z91" i="13"/>
  <c r="Z89" i="13"/>
  <c r="Z87" i="13"/>
  <c r="Z86" i="13"/>
  <c r="Z85" i="13"/>
  <c r="Z84" i="13"/>
  <c r="Q59" i="2"/>
  <c r="P11" i="12"/>
  <c r="P27" i="8"/>
  <c r="P28" i="8" s="1"/>
  <c r="Z220" i="13"/>
  <c r="P234" i="2"/>
  <c r="O42" i="12"/>
  <c r="O115" i="8"/>
  <c r="O116" i="8" s="1"/>
  <c r="O243" i="2"/>
  <c r="Y399" i="2"/>
  <c r="Y976" i="8" s="1"/>
  <c r="Y977" i="8" s="1"/>
  <c r="X844" i="8"/>
  <c r="X845" i="8" s="1"/>
  <c r="X395" i="2"/>
  <c r="X960" i="8" s="1"/>
  <c r="X961" i="8" s="1"/>
  <c r="Z393" i="2"/>
  <c r="Z952" i="8" s="1"/>
  <c r="Z953" i="8" s="1"/>
  <c r="Y392" i="2"/>
  <c r="Y948" i="8" s="1"/>
  <c r="Y949" i="8" s="1"/>
  <c r="W400" i="2"/>
  <c r="X382" i="2"/>
  <c r="X398" i="2"/>
  <c r="X972" i="8" s="1"/>
  <c r="X973" i="8" s="1"/>
  <c r="Y394" i="2"/>
  <c r="Y956" i="8" s="1"/>
  <c r="Y957" i="8" s="1"/>
  <c r="Z259" i="2"/>
  <c r="Z258" i="2"/>
  <c r="Y892" i="8"/>
  <c r="Y893" i="8" s="1"/>
  <c r="U1433" i="8"/>
  <c r="U1445" i="8"/>
  <c r="Z359" i="2"/>
  <c r="Z399" i="2" s="1"/>
  <c r="Y856" i="8"/>
  <c r="Y857" i="8" s="1"/>
  <c r="Y375" i="2"/>
  <c r="Y904" i="8" s="1"/>
  <c r="Y905" i="8" s="1"/>
  <c r="X374" i="2"/>
  <c r="X900" i="8" s="1"/>
  <c r="X901" i="8" s="1"/>
  <c r="V920" i="8"/>
  <c r="V921" i="8" s="1"/>
  <c r="V380" i="2"/>
  <c r="Y356" i="2"/>
  <c r="AB357" i="2"/>
  <c r="Y358" i="2"/>
  <c r="Y852" i="8" s="1"/>
  <c r="Y853" i="8" s="1"/>
  <c r="Z352" i="2"/>
  <c r="W860" i="8"/>
  <c r="W861" i="8" s="1"/>
  <c r="W381" i="2"/>
  <c r="W1434" i="8" s="1"/>
  <c r="AA353" i="2"/>
  <c r="AA832" i="8" s="1"/>
  <c r="AA833" i="8" s="1"/>
  <c r="Z354" i="2"/>
  <c r="Y386" i="2"/>
  <c r="Y928" i="8" s="1"/>
  <c r="Y929" i="8" s="1"/>
  <c r="X389" i="2"/>
  <c r="X940" i="8" s="1"/>
  <c r="X941" i="8" s="1"/>
  <c r="Y349" i="2"/>
  <c r="Y824" i="8" s="1"/>
  <c r="Y825" i="8" s="1"/>
  <c r="Y338" i="2"/>
  <c r="Y788" i="8" s="1"/>
  <c r="Y789" i="8" s="1"/>
  <c r="Y355" i="2"/>
  <c r="Y748" i="2"/>
  <c r="Y1220" i="8" s="1"/>
  <c r="Y1221" i="8" s="1"/>
  <c r="Y737" i="2"/>
  <c r="Y1184" i="8" s="1"/>
  <c r="Y1185" i="8" s="1"/>
  <c r="X360" i="2"/>
  <c r="Y772" i="8"/>
  <c r="Y773" i="8" s="1"/>
  <c r="Y808" i="8"/>
  <c r="Y809" i="8" s="1"/>
  <c r="Z334" i="2"/>
  <c r="Z41" i="14" s="1"/>
  <c r="Z612" i="8"/>
  <c r="Z613" i="8" s="1"/>
  <c r="Z345" i="2"/>
  <c r="AA280" i="2"/>
  <c r="X385" i="2"/>
  <c r="X924" i="8" s="1"/>
  <c r="X925" i="8" s="1"/>
  <c r="Y780" i="8"/>
  <c r="Y781" i="8" s="1"/>
  <c r="Z792" i="8"/>
  <c r="Z793" i="8" s="1"/>
  <c r="Y1196" i="8"/>
  <c r="Y1197" i="8" s="1"/>
  <c r="Z1172" i="8"/>
  <c r="Z1173" i="8" s="1"/>
  <c r="AA1008" i="8"/>
  <c r="AA1009" i="8" s="1"/>
  <c r="AA733" i="2"/>
  <c r="AA206" i="14" s="1"/>
  <c r="AB679" i="2"/>
  <c r="AA744" i="2"/>
  <c r="AA596" i="8"/>
  <c r="AA597" i="8" s="1"/>
  <c r="AB276" i="2"/>
  <c r="AA341" i="2"/>
  <c r="AA330" i="2"/>
  <c r="AA37" i="14" s="1"/>
  <c r="Z1208" i="8"/>
  <c r="Z1209" i="8" s="1"/>
  <c r="X371" i="2"/>
  <c r="X896" i="8" s="1"/>
  <c r="X897" i="8" s="1"/>
  <c r="W924" i="8"/>
  <c r="W925" i="8" s="1"/>
  <c r="W390" i="2"/>
  <c r="W944" i="8" s="1"/>
  <c r="AA992" i="8"/>
  <c r="AA993" i="8" s="1"/>
  <c r="AB675" i="2"/>
  <c r="AA729" i="2"/>
  <c r="AA202" i="14" s="1"/>
  <c r="AA740" i="2"/>
  <c r="Z1004" i="8"/>
  <c r="Z1005" i="8" s="1"/>
  <c r="Z732" i="2"/>
  <c r="Z205" i="14" s="1"/>
  <c r="Z743" i="2"/>
  <c r="AA678" i="2"/>
  <c r="Y387" i="2"/>
  <c r="Y932" i="8" s="1"/>
  <c r="Y933" i="8" s="1"/>
  <c r="Y804" i="8"/>
  <c r="Y805" i="8" s="1"/>
  <c r="Y1200" i="8"/>
  <c r="Y1201" i="8" s="1"/>
  <c r="AD281" i="2"/>
  <c r="AD75" i="13" s="1"/>
  <c r="AC335" i="2"/>
  <c r="AC42" i="14" s="1"/>
  <c r="AC616" i="8"/>
  <c r="AC617" i="8" s="1"/>
  <c r="AC346" i="2"/>
  <c r="AA1216" i="8"/>
  <c r="AA1217" i="8" s="1"/>
  <c r="Y864" i="8"/>
  <c r="Y865" i="8" s="1"/>
  <c r="Z1152" i="8"/>
  <c r="Z1153" i="8" s="1"/>
  <c r="AA624" i="8"/>
  <c r="AA625" i="8" s="1"/>
  <c r="AA348" i="2"/>
  <c r="AA337" i="2"/>
  <c r="AA44" i="14" s="1"/>
  <c r="AB283" i="2"/>
  <c r="Y1164" i="8"/>
  <c r="Y1165" i="8" s="1"/>
  <c r="W900" i="8"/>
  <c r="W901" i="8" s="1"/>
  <c r="W379" i="2"/>
  <c r="AA1180" i="8"/>
  <c r="AA1181" i="8" s="1"/>
  <c r="AA1012" i="8"/>
  <c r="AA1013" i="8" s="1"/>
  <c r="AA734" i="2"/>
  <c r="AA207" i="14" s="1"/>
  <c r="AB680" i="2"/>
  <c r="AB214" i="13" s="1"/>
  <c r="AA745" i="2"/>
  <c r="Y828" i="8"/>
  <c r="Y829" i="8" s="1"/>
  <c r="Z1188" i="8"/>
  <c r="Z1189" i="8" s="1"/>
  <c r="AB812" i="8"/>
  <c r="AB813" i="8" s="1"/>
  <c r="Y768" i="8"/>
  <c r="Y769" i="8" s="1"/>
  <c r="Z784" i="8"/>
  <c r="Z785" i="8" s="1"/>
  <c r="Y1176" i="8"/>
  <c r="Y1177" i="8" s="1"/>
  <c r="AB1020" i="8"/>
  <c r="AB1021" i="8" s="1"/>
  <c r="AB736" i="2"/>
  <c r="AB209" i="14" s="1"/>
  <c r="AB747" i="2"/>
  <c r="AC682" i="2"/>
  <c r="AA796" i="8"/>
  <c r="AA797" i="8" s="1"/>
  <c r="AA279" i="2"/>
  <c r="Z333" i="2"/>
  <c r="Z40" i="14" s="1"/>
  <c r="Z608" i="8"/>
  <c r="Z609" i="8" s="1"/>
  <c r="Z344" i="2"/>
  <c r="Z820" i="8"/>
  <c r="Z821" i="8" s="1"/>
  <c r="Z996" i="8"/>
  <c r="Z997" i="8" s="1"/>
  <c r="Z730" i="2"/>
  <c r="Z203" i="14" s="1"/>
  <c r="Z741" i="2"/>
  <c r="AA676" i="2"/>
  <c r="AA210" i="13" s="1"/>
  <c r="Z1016" i="8"/>
  <c r="Z1017" i="8" s="1"/>
  <c r="AA681" i="2"/>
  <c r="AA215" i="13" s="1"/>
  <c r="Z746" i="2"/>
  <c r="Z735" i="2"/>
  <c r="Z208" i="14" s="1"/>
  <c r="AB600" i="8"/>
  <c r="AB601" i="8" s="1"/>
  <c r="AB331" i="2"/>
  <c r="AB38" i="14" s="1"/>
  <c r="AB342" i="2"/>
  <c r="AC277" i="2"/>
  <c r="AC71" i="13" s="1"/>
  <c r="Z800" i="8"/>
  <c r="Z801" i="8" s="1"/>
  <c r="Y1156" i="8"/>
  <c r="Y1157" i="8" s="1"/>
  <c r="Y1212" i="8"/>
  <c r="Y1213" i="8" s="1"/>
  <c r="X378" i="2"/>
  <c r="X916" i="8" s="1"/>
  <c r="X917" i="8" s="1"/>
  <c r="Z1000" i="8"/>
  <c r="Z1001" i="8" s="1"/>
  <c r="Z742" i="2"/>
  <c r="Z731" i="2"/>
  <c r="Z204" i="14" s="1"/>
  <c r="AA677" i="2"/>
  <c r="AA211" i="13" s="1"/>
  <c r="AA343" i="2"/>
  <c r="AA604" i="8"/>
  <c r="AA605" i="8" s="1"/>
  <c r="AA332" i="2"/>
  <c r="AA39" i="14" s="1"/>
  <c r="AB278" i="2"/>
  <c r="AB72" i="13" s="1"/>
  <c r="Y1192" i="8"/>
  <c r="Y1193" i="8" s="1"/>
  <c r="AA760" i="8"/>
  <c r="AA761" i="8" s="1"/>
  <c r="Z764" i="8"/>
  <c r="Z765" i="8" s="1"/>
  <c r="Z1168" i="8"/>
  <c r="Z1169" i="8" s="1"/>
  <c r="Y816" i="8"/>
  <c r="Y817" i="8" s="1"/>
  <c r="AB776" i="8"/>
  <c r="AB777" i="8" s="1"/>
  <c r="Z756" i="8"/>
  <c r="Z757" i="8" s="1"/>
  <c r="Y1160" i="8"/>
  <c r="Y1161" i="8" s="1"/>
  <c r="Z1204" i="8"/>
  <c r="Z1205" i="8" s="1"/>
  <c r="Z620" i="8"/>
  <c r="Z621" i="8" s="1"/>
  <c r="Z336" i="2"/>
  <c r="Z43" i="14" s="1"/>
  <c r="Z347" i="2"/>
  <c r="AA282" i="2"/>
  <c r="AA76" i="13" s="1"/>
  <c r="N455" i="2" l="1"/>
  <c r="M59" i="12"/>
  <c r="M219" i="8"/>
  <c r="M220" i="8" s="1"/>
  <c r="M58" i="12"/>
  <c r="N454" i="2"/>
  <c r="M77" i="12"/>
  <c r="T256" i="14"/>
  <c r="R256" i="14"/>
  <c r="S259" i="14"/>
  <c r="S261" i="14" s="1"/>
  <c r="M263" i="8"/>
  <c r="M264" i="8" s="1"/>
  <c r="M94" i="12"/>
  <c r="U254" i="14"/>
  <c r="U255" i="14" s="1"/>
  <c r="U257" i="14" s="1"/>
  <c r="M195" i="8"/>
  <c r="M196" i="8" s="1"/>
  <c r="M71" i="12"/>
  <c r="T258" i="14"/>
  <c r="R258" i="14"/>
  <c r="M279" i="8"/>
  <c r="M280" i="8" s="1"/>
  <c r="N638" i="2"/>
  <c r="N98" i="12" s="1"/>
  <c r="M86" i="12"/>
  <c r="N520" i="2"/>
  <c r="O520" i="2" s="1"/>
  <c r="M62" i="12"/>
  <c r="N635" i="2"/>
  <c r="M83" i="12"/>
  <c r="M231" i="8"/>
  <c r="M232" i="8" s="1"/>
  <c r="M99" i="12"/>
  <c r="M235" i="8"/>
  <c r="M236" i="8" s="1"/>
  <c r="M283" i="8"/>
  <c r="M284" i="8" s="1"/>
  <c r="M84" i="12"/>
  <c r="Z77" i="14"/>
  <c r="N519" i="2"/>
  <c r="N75" i="12" s="1"/>
  <c r="N516" i="2"/>
  <c r="N72" i="12" s="1"/>
  <c r="N154" i="14"/>
  <c r="M215" i="8"/>
  <c r="M216" i="8" s="1"/>
  <c r="M179" i="8"/>
  <c r="M180" i="8" s="1"/>
  <c r="N460" i="2"/>
  <c r="N179" i="8" s="1"/>
  <c r="N180" i="8" s="1"/>
  <c r="M271" i="8"/>
  <c r="M272" i="8" s="1"/>
  <c r="M96" i="12"/>
  <c r="M267" i="8"/>
  <c r="M268" i="8" s="1"/>
  <c r="Z394" i="2"/>
  <c r="Y246" i="14"/>
  <c r="N518" i="2"/>
  <c r="O518" i="2" s="1"/>
  <c r="M74" i="12"/>
  <c r="Y396" i="2"/>
  <c r="Y964" i="8" s="1"/>
  <c r="Y965" i="8" s="1"/>
  <c r="M163" i="8"/>
  <c r="M164" i="8" s="1"/>
  <c r="M60" i="12"/>
  <c r="U149" i="14"/>
  <c r="U152" i="14" s="1"/>
  <c r="U103" i="14"/>
  <c r="U99" i="14"/>
  <c r="M175" i="8"/>
  <c r="M176" i="8" s="1"/>
  <c r="U135" i="14"/>
  <c r="M63" i="12"/>
  <c r="AA261" i="2"/>
  <c r="AA260" i="2"/>
  <c r="Y81" i="14"/>
  <c r="Y82" i="14"/>
  <c r="Y243" i="14"/>
  <c r="Y244" i="14" s="1"/>
  <c r="Y245" i="14" s="1"/>
  <c r="Y247" i="14"/>
  <c r="M211" i="8"/>
  <c r="M212" i="8" s="1"/>
  <c r="U107" i="14"/>
  <c r="Z242" i="14"/>
  <c r="M199" i="8"/>
  <c r="M200" i="8" s="1"/>
  <c r="Y78" i="14"/>
  <c r="Y79" i="14" s="1"/>
  <c r="Y80" i="14" s="1"/>
  <c r="U87" i="14"/>
  <c r="Y1516" i="8"/>
  <c r="Y1641" i="8"/>
  <c r="W94" i="14"/>
  <c r="W96" i="14" s="1"/>
  <c r="N573" i="2"/>
  <c r="M81" i="12"/>
  <c r="M582" i="2"/>
  <c r="M1646" i="8" s="1"/>
  <c r="M223" i="8"/>
  <c r="M224" i="8" s="1"/>
  <c r="N633" i="2"/>
  <c r="M642" i="2"/>
  <c r="M1647" i="8" s="1"/>
  <c r="M259" i="8"/>
  <c r="M260" i="8" s="1"/>
  <c r="M93" i="12"/>
  <c r="N1272" i="8"/>
  <c r="N1273" i="8" s="1"/>
  <c r="N788" i="2"/>
  <c r="N1336" i="8" s="1"/>
  <c r="N1337" i="8" s="1"/>
  <c r="L774" i="2"/>
  <c r="L1300" i="8" s="1"/>
  <c r="L1301" i="8" s="1"/>
  <c r="L1232" i="8"/>
  <c r="L1233" i="8" s="1"/>
  <c r="L793" i="2"/>
  <c r="L1352" i="8" s="1"/>
  <c r="L1353" i="8" s="1"/>
  <c r="V251" i="14"/>
  <c r="V253" i="14" s="1"/>
  <c r="O515" i="2"/>
  <c r="N195" i="8"/>
  <c r="N196" i="8" s="1"/>
  <c r="N71" i="12"/>
  <c r="O1236" i="8"/>
  <c r="O1237" i="8" s="1"/>
  <c r="O777" i="2"/>
  <c r="O1312" i="8" s="1"/>
  <c r="O1313" i="8" s="1"/>
  <c r="O794" i="2"/>
  <c r="O1356" i="8" s="1"/>
  <c r="O1357" i="8" s="1"/>
  <c r="V110" i="14"/>
  <c r="V112" i="14" s="1"/>
  <c r="O576" i="2"/>
  <c r="N235" i="8"/>
  <c r="N236" i="8" s="1"/>
  <c r="N84" i="12"/>
  <c r="Q1248" i="8"/>
  <c r="Q1249" i="8" s="1"/>
  <c r="Q797" i="2"/>
  <c r="Q1368" i="8" s="1"/>
  <c r="Q1369" i="8" s="1"/>
  <c r="AA237" i="14"/>
  <c r="Z367" i="2"/>
  <c r="Z880" i="8" s="1"/>
  <c r="Z881" i="8" s="1"/>
  <c r="Z71" i="14"/>
  <c r="O153" i="14"/>
  <c r="O1614" i="8" s="1"/>
  <c r="O154" i="14"/>
  <c r="W130" i="14"/>
  <c r="W132" i="14" s="1"/>
  <c r="P1288" i="8"/>
  <c r="P1289" i="8" s="1"/>
  <c r="P786" i="2"/>
  <c r="P1328" i="8" s="1"/>
  <c r="P1329" i="8" s="1"/>
  <c r="W649" i="2"/>
  <c r="W1621" i="8" s="1"/>
  <c r="W1649" i="8"/>
  <c r="W248" i="14"/>
  <c r="N775" i="2"/>
  <c r="N1304" i="8" s="1"/>
  <c r="N1305" i="8" s="1"/>
  <c r="N1252" i="8"/>
  <c r="N1253" i="8" s="1"/>
  <c r="N798" i="2"/>
  <c r="N1372" i="8" s="1"/>
  <c r="N1373" i="8" s="1"/>
  <c r="N65" i="12"/>
  <c r="N183" i="8"/>
  <c r="N184" i="8" s="1"/>
  <c r="O461" i="2"/>
  <c r="M1654" i="8"/>
  <c r="M318" i="14"/>
  <c r="M1618" i="8" s="1"/>
  <c r="M319" i="14"/>
  <c r="M1655" i="8" s="1"/>
  <c r="V94" i="14"/>
  <c r="V96" i="14" s="1"/>
  <c r="Q1232" i="8"/>
  <c r="Q1233" i="8" s="1"/>
  <c r="Q793" i="2"/>
  <c r="Q1352" i="8" s="1"/>
  <c r="Q1353" i="8" s="1"/>
  <c r="L1252" i="8"/>
  <c r="L1253" i="8" s="1"/>
  <c r="L775" i="2"/>
  <c r="L1304" i="8" s="1"/>
  <c r="L1305" i="8" s="1"/>
  <c r="L798" i="2"/>
  <c r="L1372" i="8" s="1"/>
  <c r="L1373" i="8" s="1"/>
  <c r="P1244" i="8"/>
  <c r="P1245" i="8" s="1"/>
  <c r="P796" i="2"/>
  <c r="P1364" i="8" s="1"/>
  <c r="P1365" i="8" s="1"/>
  <c r="N457" i="2"/>
  <c r="M61" i="12"/>
  <c r="M167" i="8"/>
  <c r="M168" i="8" s="1"/>
  <c r="AA363" i="2"/>
  <c r="AA67" i="14"/>
  <c r="V130" i="14"/>
  <c r="V132" i="14" s="1"/>
  <c r="W114" i="14"/>
  <c r="W116" i="14" s="1"/>
  <c r="AC368" i="2"/>
  <c r="AC884" i="8" s="1"/>
  <c r="AC885" i="8" s="1"/>
  <c r="AC72" i="14"/>
  <c r="P1524" i="8"/>
  <c r="P1630" i="8"/>
  <c r="W134" i="14"/>
  <c r="W136" i="14" s="1"/>
  <c r="W126" i="14"/>
  <c r="W128" i="14" s="1"/>
  <c r="P1232" i="8"/>
  <c r="P1233" i="8" s="1"/>
  <c r="P793" i="2"/>
  <c r="P1352" i="8" s="1"/>
  <c r="P1353" i="8" s="1"/>
  <c r="M1288" i="8"/>
  <c r="M1289" i="8" s="1"/>
  <c r="M786" i="2"/>
  <c r="M1328" i="8" s="1"/>
  <c r="M1329" i="8" s="1"/>
  <c r="N773" i="2"/>
  <c r="N1240" i="8"/>
  <c r="N1241" i="8" s="1"/>
  <c r="N795" i="2"/>
  <c r="N1360" i="8" s="1"/>
  <c r="N1361" i="8" s="1"/>
  <c r="L1224" i="8"/>
  <c r="L1225" i="8" s="1"/>
  <c r="L781" i="2"/>
  <c r="L759" i="2"/>
  <c r="L791" i="2"/>
  <c r="U131" i="14"/>
  <c r="O1276" i="8"/>
  <c r="O1277" i="8" s="1"/>
  <c r="O784" i="2"/>
  <c r="V1613" i="8"/>
  <c r="V168" i="14"/>
  <c r="V166" i="14"/>
  <c r="V164" i="14"/>
  <c r="V162" i="14"/>
  <c r="V169" i="14"/>
  <c r="V167" i="14"/>
  <c r="V165" i="14"/>
  <c r="V163" i="14"/>
  <c r="V161" i="14"/>
  <c r="V150" i="14"/>
  <c r="V151" i="14"/>
  <c r="U139" i="14"/>
  <c r="N513" i="2"/>
  <c r="M69" i="12"/>
  <c r="M187" i="8"/>
  <c r="M188" i="8" s="1"/>
  <c r="M522" i="2"/>
  <c r="M1645" i="8" s="1"/>
  <c r="N159" i="8"/>
  <c r="N160" i="8" s="1"/>
  <c r="O455" i="2"/>
  <c r="N59" i="12"/>
  <c r="Q1236" i="8"/>
  <c r="Q1237" i="8" s="1"/>
  <c r="Q777" i="2"/>
  <c r="Q1312" i="8" s="1"/>
  <c r="Q1313" i="8" s="1"/>
  <c r="Q794" i="2"/>
  <c r="Q1356" i="8" s="1"/>
  <c r="Q1357" i="8" s="1"/>
  <c r="W122" i="14"/>
  <c r="W124" i="14" s="1"/>
  <c r="M1248" i="8"/>
  <c r="M1249" i="8" s="1"/>
  <c r="M797" i="2"/>
  <c r="M1368" i="8" s="1"/>
  <c r="M1369" i="8" s="1"/>
  <c r="M70" i="12"/>
  <c r="M191" i="8"/>
  <c r="M192" i="8" s="1"/>
  <c r="N514" i="2"/>
  <c r="W142" i="14"/>
  <c r="W144" i="14" s="1"/>
  <c r="P1272" i="8"/>
  <c r="P1273" i="8" s="1"/>
  <c r="P788" i="2"/>
  <c r="P1336" i="8" s="1"/>
  <c r="P1337" i="8" s="1"/>
  <c r="M784" i="2"/>
  <c r="M1276" i="8"/>
  <c r="M1277" i="8" s="1"/>
  <c r="P318" i="14"/>
  <c r="P1618" i="8" s="1"/>
  <c r="P1654" i="8"/>
  <c r="P319" i="14"/>
  <c r="P1655" i="8" s="1"/>
  <c r="N1228" i="8"/>
  <c r="N1229" i="8" s="1"/>
  <c r="N792" i="2"/>
  <c r="N1348" i="8" s="1"/>
  <c r="N1349" i="8" s="1"/>
  <c r="O1240" i="8"/>
  <c r="O1241" i="8" s="1"/>
  <c r="O773" i="2"/>
  <c r="O795" i="2"/>
  <c r="O1360" i="8" s="1"/>
  <c r="O1361" i="8" s="1"/>
  <c r="Q774" i="2"/>
  <c r="Q1300" i="8" s="1"/>
  <c r="Q1301" i="8" s="1"/>
  <c r="Q759" i="2"/>
  <c r="Q1224" i="8"/>
  <c r="Q1225" i="8" s="1"/>
  <c r="Q781" i="2"/>
  <c r="Q791" i="2"/>
  <c r="AA232" i="14"/>
  <c r="P153" i="14"/>
  <c r="P1614" i="8" s="1"/>
  <c r="P154" i="14"/>
  <c r="Q1244" i="8"/>
  <c r="Q1245" i="8" s="1"/>
  <c r="Q796" i="2"/>
  <c r="Q1364" i="8" s="1"/>
  <c r="Q1365" i="8" s="1"/>
  <c r="W157" i="14"/>
  <c r="W158" i="14" s="1"/>
  <c r="W1616" i="8"/>
  <c r="M89" i="12"/>
  <c r="M255" i="8"/>
  <c r="M256" i="8" s="1"/>
  <c r="N581" i="2"/>
  <c r="W106" i="14"/>
  <c r="W108" i="14" s="1"/>
  <c r="W138" i="14"/>
  <c r="W140" i="14" s="1"/>
  <c r="P1236" i="8"/>
  <c r="P1237" i="8" s="1"/>
  <c r="P777" i="2"/>
  <c r="P1312" i="8" s="1"/>
  <c r="P1313" i="8" s="1"/>
  <c r="P794" i="2"/>
  <c r="P1356" i="8" s="1"/>
  <c r="P1357" i="8" s="1"/>
  <c r="M1240" i="8"/>
  <c r="M1241" i="8" s="1"/>
  <c r="M773" i="2"/>
  <c r="M795" i="2"/>
  <c r="M1360" i="8" s="1"/>
  <c r="M1361" i="8" s="1"/>
  <c r="Q1654" i="8"/>
  <c r="Q318" i="14"/>
  <c r="Q1618" i="8" s="1"/>
  <c r="Q319" i="14"/>
  <c r="Q1655" i="8" s="1"/>
  <c r="U252" i="14"/>
  <c r="N580" i="2"/>
  <c r="M88" i="12"/>
  <c r="M251" i="8"/>
  <c r="M252" i="8" s="1"/>
  <c r="O1272" i="8"/>
  <c r="O1273" i="8" s="1"/>
  <c r="O788" i="2"/>
  <c r="O1336" i="8" s="1"/>
  <c r="O1337" i="8" s="1"/>
  <c r="N271" i="8"/>
  <c r="N272" i="8" s="1"/>
  <c r="N96" i="12"/>
  <c r="O636" i="2"/>
  <c r="V106" i="14"/>
  <c r="V108" i="14" s="1"/>
  <c r="V126" i="14"/>
  <c r="V128" i="14" s="1"/>
  <c r="U95" i="14"/>
  <c r="Q1240" i="8"/>
  <c r="Q1241" i="8" s="1"/>
  <c r="Q773" i="2"/>
  <c r="Q795" i="2"/>
  <c r="Q1360" i="8" s="1"/>
  <c r="Q1361" i="8" s="1"/>
  <c r="O579" i="2"/>
  <c r="N247" i="8"/>
  <c r="N248" i="8" s="1"/>
  <c r="N87" i="12"/>
  <c r="Q1288" i="8"/>
  <c r="Q1289" i="8" s="1"/>
  <c r="Q786" i="2"/>
  <c r="Q1328" i="8" s="1"/>
  <c r="Q1329" i="8" s="1"/>
  <c r="AA236" i="14"/>
  <c r="V122" i="14"/>
  <c r="V124" i="14" s="1"/>
  <c r="AA365" i="2"/>
  <c r="AA872" i="8" s="1"/>
  <c r="AA873" i="8" s="1"/>
  <c r="AA69" i="14"/>
  <c r="Y383" i="2"/>
  <c r="O578" i="2"/>
  <c r="N243" i="8"/>
  <c r="N244" i="8" s="1"/>
  <c r="N86" i="12"/>
  <c r="O521" i="2"/>
  <c r="N219" i="8"/>
  <c r="N220" i="8" s="1"/>
  <c r="N77" i="12"/>
  <c r="N777" i="2"/>
  <c r="N1312" i="8" s="1"/>
  <c r="N1313" i="8" s="1"/>
  <c r="N1236" i="8"/>
  <c r="N1237" i="8" s="1"/>
  <c r="N794" i="2"/>
  <c r="N1356" i="8" s="1"/>
  <c r="N1357" i="8" s="1"/>
  <c r="L1228" i="8"/>
  <c r="L1229" i="8" s="1"/>
  <c r="L792" i="2"/>
  <c r="L1348" i="8" s="1"/>
  <c r="L1349" i="8" s="1"/>
  <c r="O786" i="2"/>
  <c r="O1328" i="8" s="1"/>
  <c r="O1329" i="8" s="1"/>
  <c r="O1288" i="8"/>
  <c r="O1289" i="8" s="1"/>
  <c r="V86" i="14"/>
  <c r="V88" i="14" s="1"/>
  <c r="V142" i="14"/>
  <c r="V144" i="14" s="1"/>
  <c r="X1649" i="8"/>
  <c r="X248" i="14"/>
  <c r="X649" i="2"/>
  <c r="X1621" i="8" s="1"/>
  <c r="Z238" i="14"/>
  <c r="AB239" i="14"/>
  <c r="O1525" i="8"/>
  <c r="O1631" i="8"/>
  <c r="W118" i="14"/>
  <c r="W120" i="14" s="1"/>
  <c r="P1248" i="8"/>
  <c r="P1249" i="8" s="1"/>
  <c r="P797" i="2"/>
  <c r="P1368" i="8" s="1"/>
  <c r="P1369" i="8" s="1"/>
  <c r="M759" i="2"/>
  <c r="M1224" i="8"/>
  <c r="M1225" i="8" s="1"/>
  <c r="M781" i="2"/>
  <c r="M774" i="2"/>
  <c r="M1300" i="8" s="1"/>
  <c r="M1301" i="8" s="1"/>
  <c r="M791" i="2"/>
  <c r="N76" i="12"/>
  <c r="N1224" i="8"/>
  <c r="N1225" i="8" s="1"/>
  <c r="N774" i="2"/>
  <c r="N1300" i="8" s="1"/>
  <c r="N1301" i="8" s="1"/>
  <c r="N781" i="2"/>
  <c r="N759" i="2"/>
  <c r="N791" i="2"/>
  <c r="L784" i="2"/>
  <c r="L1276" i="8"/>
  <c r="L1277" i="8" s="1"/>
  <c r="O1232" i="8"/>
  <c r="O1233" i="8" s="1"/>
  <c r="O793" i="2"/>
  <c r="O1352" i="8" s="1"/>
  <c r="O1353" i="8" s="1"/>
  <c r="V90" i="14"/>
  <c r="V92" i="14" s="1"/>
  <c r="Q770" i="2"/>
  <c r="Q1292" i="8" s="1"/>
  <c r="Q1293" i="8" s="1"/>
  <c r="Q785" i="2"/>
  <c r="Q1324" i="8" s="1"/>
  <c r="Q1325" i="8" s="1"/>
  <c r="Q782" i="2"/>
  <c r="Q1260" i="8"/>
  <c r="Q1261" i="8" s="1"/>
  <c r="Z366" i="2"/>
  <c r="Z70" i="14"/>
  <c r="O1522" i="8"/>
  <c r="O1628" i="8"/>
  <c r="O459" i="2"/>
  <c r="N175" i="8"/>
  <c r="N176" i="8" s="1"/>
  <c r="N63" i="12"/>
  <c r="W86" i="14"/>
  <c r="W88" i="14" s="1"/>
  <c r="P1224" i="8"/>
  <c r="P1225" i="8" s="1"/>
  <c r="P759" i="2"/>
  <c r="P781" i="2"/>
  <c r="P774" i="2"/>
  <c r="P1300" i="8" s="1"/>
  <c r="P1301" i="8" s="1"/>
  <c r="P791" i="2"/>
  <c r="M788" i="2"/>
  <c r="M1336" i="8" s="1"/>
  <c r="M1337" i="8" s="1"/>
  <c r="M1272" i="8"/>
  <c r="M1273" i="8" s="1"/>
  <c r="O640" i="2"/>
  <c r="N287" i="8"/>
  <c r="N288" i="8" s="1"/>
  <c r="N100" i="12"/>
  <c r="M153" i="14"/>
  <c r="M1614" i="8" s="1"/>
  <c r="M154" i="14"/>
  <c r="L782" i="2"/>
  <c r="L770" i="2"/>
  <c r="L1292" i="8" s="1"/>
  <c r="L1293" i="8" s="1"/>
  <c r="L785" i="2"/>
  <c r="L1324" i="8" s="1"/>
  <c r="L1325" i="8" s="1"/>
  <c r="L1260" i="8"/>
  <c r="L1261" i="8" s="1"/>
  <c r="M82" i="12"/>
  <c r="M227" i="8"/>
  <c r="M228" i="8" s="1"/>
  <c r="N574" i="2"/>
  <c r="Z234" i="14"/>
  <c r="W90" i="14"/>
  <c r="W92" i="14" s="1"/>
  <c r="P1276" i="8"/>
  <c r="P1277" i="8" s="1"/>
  <c r="P784" i="2"/>
  <c r="P1228" i="8"/>
  <c r="P1229" i="8" s="1"/>
  <c r="P792" i="2"/>
  <c r="P1348" i="8" s="1"/>
  <c r="P1349" i="8" s="1"/>
  <c r="M1228" i="8"/>
  <c r="M1229" i="8" s="1"/>
  <c r="M792" i="2"/>
  <c r="M1348" i="8" s="1"/>
  <c r="M1349" i="8" s="1"/>
  <c r="O634" i="2"/>
  <c r="N263" i="8"/>
  <c r="N264" i="8" s="1"/>
  <c r="N94" i="12"/>
  <c r="N1248" i="8"/>
  <c r="N1249" i="8" s="1"/>
  <c r="N797" i="2"/>
  <c r="N1368" i="8" s="1"/>
  <c r="N1369" i="8" s="1"/>
  <c r="L1288" i="8"/>
  <c r="L1289" i="8" s="1"/>
  <c r="L786" i="2"/>
  <c r="L1328" i="8" s="1"/>
  <c r="L1329" i="8" s="1"/>
  <c r="O460" i="2"/>
  <c r="N64" i="12"/>
  <c r="N637" i="2"/>
  <c r="M275" i="8"/>
  <c r="M276" i="8" s="1"/>
  <c r="M97" i="12"/>
  <c r="N641" i="2"/>
  <c r="M291" i="8"/>
  <c r="M292" i="8" s="1"/>
  <c r="M101" i="12"/>
  <c r="O1228" i="8"/>
  <c r="O1229" i="8" s="1"/>
  <c r="O792" i="2"/>
  <c r="O1348" i="8" s="1"/>
  <c r="O1349" i="8" s="1"/>
  <c r="V118" i="14"/>
  <c r="V120" i="14" s="1"/>
  <c r="V138" i="14"/>
  <c r="V140" i="14" s="1"/>
  <c r="U143" i="14"/>
  <c r="AA370" i="2"/>
  <c r="AA892" i="8" s="1"/>
  <c r="AA893" i="8" s="1"/>
  <c r="AA74" i="14"/>
  <c r="M57" i="12"/>
  <c r="M462" i="2"/>
  <c r="M1644" i="8" s="1"/>
  <c r="M151" i="8"/>
  <c r="M152" i="8" s="1"/>
  <c r="N453" i="2"/>
  <c r="N517" i="2"/>
  <c r="M73" i="12"/>
  <c r="M203" i="8"/>
  <c r="M204" i="8" s="1"/>
  <c r="O1244" i="8"/>
  <c r="O1245" i="8" s="1"/>
  <c r="O796" i="2"/>
  <c r="O1364" i="8" s="1"/>
  <c r="O1365" i="8" s="1"/>
  <c r="Q1228" i="8"/>
  <c r="Q1229" i="8" s="1"/>
  <c r="Q792" i="2"/>
  <c r="Q1348" i="8" s="1"/>
  <c r="Q1349" i="8" s="1"/>
  <c r="P1523" i="8"/>
  <c r="P1629" i="8"/>
  <c r="W102" i="14"/>
  <c r="W104" i="14" s="1"/>
  <c r="M1232" i="8"/>
  <c r="M1233" i="8" s="1"/>
  <c r="M793" i="2"/>
  <c r="M1352" i="8" s="1"/>
  <c r="M1353" i="8" s="1"/>
  <c r="N782" i="2"/>
  <c r="N785" i="2"/>
  <c r="N1324" i="8" s="1"/>
  <c r="N1325" i="8" s="1"/>
  <c r="N1260" i="8"/>
  <c r="N1261" i="8" s="1"/>
  <c r="N770" i="2"/>
  <c r="N1292" i="8" s="1"/>
  <c r="N1293" i="8" s="1"/>
  <c r="O639" i="2"/>
  <c r="N283" i="8"/>
  <c r="N284" i="8" s="1"/>
  <c r="N99" i="12"/>
  <c r="Q1252" i="8"/>
  <c r="Q1253" i="8" s="1"/>
  <c r="Q775" i="2"/>
  <c r="Q1304" i="8" s="1"/>
  <c r="Q1305" i="8" s="1"/>
  <c r="Q798" i="2"/>
  <c r="Q1372" i="8" s="1"/>
  <c r="Q1373" i="8" s="1"/>
  <c r="W110" i="14"/>
  <c r="W112" i="14" s="1"/>
  <c r="W1613" i="8"/>
  <c r="W169" i="14"/>
  <c r="W167" i="14"/>
  <c r="W165" i="14"/>
  <c r="W163" i="14"/>
  <c r="W161" i="14"/>
  <c r="W168" i="14"/>
  <c r="W162" i="14"/>
  <c r="W166" i="14"/>
  <c r="W164" i="14"/>
  <c r="W150" i="14"/>
  <c r="W151" i="14"/>
  <c r="M1244" i="8"/>
  <c r="M1245" i="8" s="1"/>
  <c r="M796" i="2"/>
  <c r="M1364" i="8" s="1"/>
  <c r="M1365" i="8" s="1"/>
  <c r="O458" i="2"/>
  <c r="N171" i="8"/>
  <c r="N172" i="8" s="1"/>
  <c r="N62" i="12"/>
  <c r="N1232" i="8"/>
  <c r="N1233" i="8" s="1"/>
  <c r="N793" i="2"/>
  <c r="N1352" i="8" s="1"/>
  <c r="N1353" i="8" s="1"/>
  <c r="L1248" i="8"/>
  <c r="L1249" i="8" s="1"/>
  <c r="L797" i="2"/>
  <c r="L1368" i="8" s="1"/>
  <c r="L1369" i="8" s="1"/>
  <c r="U119" i="14"/>
  <c r="O1224" i="8"/>
  <c r="O1225" i="8" s="1"/>
  <c r="O774" i="2"/>
  <c r="O1300" i="8" s="1"/>
  <c r="O1301" i="8" s="1"/>
  <c r="O759" i="2"/>
  <c r="O781" i="2"/>
  <c r="O791" i="2"/>
  <c r="U111" i="14"/>
  <c r="V102" i="14"/>
  <c r="V104" i="14" s="1"/>
  <c r="N318" i="14"/>
  <c r="N1618" i="8" s="1"/>
  <c r="N1654" i="8"/>
  <c r="N319" i="14"/>
  <c r="N1655" i="8" s="1"/>
  <c r="Q784" i="2"/>
  <c r="Q1276" i="8"/>
  <c r="Q1277" i="8" s="1"/>
  <c r="U123" i="14"/>
  <c r="X250" i="2"/>
  <c r="X1617" i="8" s="1"/>
  <c r="X137" i="14"/>
  <c r="X129" i="14"/>
  <c r="X105" i="14"/>
  <c r="X121" i="14"/>
  <c r="X93" i="14"/>
  <c r="X109" i="14"/>
  <c r="X125" i="14"/>
  <c r="X97" i="14"/>
  <c r="X113" i="14"/>
  <c r="X83" i="14"/>
  <c r="X145" i="14"/>
  <c r="X148" i="14" s="1"/>
  <c r="X155" i="14" s="1"/>
  <c r="X141" i="14"/>
  <c r="X101" i="14"/>
  <c r="X89" i="14"/>
  <c r="X117" i="14"/>
  <c r="X133" i="14"/>
  <c r="Z235" i="14"/>
  <c r="N1288" i="8"/>
  <c r="N1289" i="8" s="1"/>
  <c r="N786" i="2"/>
  <c r="N1328" i="8" s="1"/>
  <c r="N1329" i="8" s="1"/>
  <c r="N58" i="12"/>
  <c r="N155" i="8"/>
  <c r="N156" i="8" s="1"/>
  <c r="O454" i="2"/>
  <c r="N577" i="2"/>
  <c r="M85" i="12"/>
  <c r="M239" i="8"/>
  <c r="M240" i="8" s="1"/>
  <c r="O318" i="14"/>
  <c r="O1618" i="8" s="1"/>
  <c r="O1654" i="8"/>
  <c r="O319" i="14"/>
  <c r="O1655" i="8" s="1"/>
  <c r="P782" i="2"/>
  <c r="P785" i="2"/>
  <c r="P1324" i="8" s="1"/>
  <c r="P1325" i="8" s="1"/>
  <c r="P1260" i="8"/>
  <c r="P1261" i="8" s="1"/>
  <c r="P770" i="2"/>
  <c r="P1292" i="8" s="1"/>
  <c r="P1293" i="8" s="1"/>
  <c r="L1272" i="8"/>
  <c r="L1273" i="8" s="1"/>
  <c r="L788" i="2"/>
  <c r="L1336" i="8" s="1"/>
  <c r="L1337" i="8" s="1"/>
  <c r="T153" i="14"/>
  <c r="T1614" i="8" s="1"/>
  <c r="T154" i="14"/>
  <c r="O1252" i="8"/>
  <c r="O1253" i="8" s="1"/>
  <c r="O775" i="2"/>
  <c r="O1304" i="8" s="1"/>
  <c r="O1305" i="8" s="1"/>
  <c r="O798" i="2"/>
  <c r="O1372" i="8" s="1"/>
  <c r="O1373" i="8" s="1"/>
  <c r="V134" i="14"/>
  <c r="V136" i="14" s="1"/>
  <c r="Z233" i="14"/>
  <c r="Y395" i="2"/>
  <c r="Y960" i="8" s="1"/>
  <c r="Y961" i="8" s="1"/>
  <c r="W98" i="14"/>
  <c r="W100" i="14" s="1"/>
  <c r="P775" i="2"/>
  <c r="P1304" i="8" s="1"/>
  <c r="P1305" i="8" s="1"/>
  <c r="P1252" i="8"/>
  <c r="P1253" i="8" s="1"/>
  <c r="P798" i="2"/>
  <c r="P1372" i="8" s="1"/>
  <c r="P1373" i="8" s="1"/>
  <c r="M1236" i="8"/>
  <c r="M1237" i="8" s="1"/>
  <c r="M777" i="2"/>
  <c r="M1312" i="8" s="1"/>
  <c r="M1313" i="8" s="1"/>
  <c r="M794" i="2"/>
  <c r="M1356" i="8" s="1"/>
  <c r="M1357" i="8" s="1"/>
  <c r="U127" i="14"/>
  <c r="U115" i="14"/>
  <c r="N1244" i="8"/>
  <c r="N1245" i="8" s="1"/>
  <c r="N796" i="2"/>
  <c r="N1364" i="8" s="1"/>
  <c r="N1365" i="8" s="1"/>
  <c r="L1240" i="8"/>
  <c r="L1241" i="8" s="1"/>
  <c r="L773" i="2"/>
  <c r="L795" i="2"/>
  <c r="L1360" i="8" s="1"/>
  <c r="L1361" i="8" s="1"/>
  <c r="O782" i="2"/>
  <c r="O785" i="2"/>
  <c r="O1324" i="8" s="1"/>
  <c r="O1325" i="8" s="1"/>
  <c r="O1260" i="8"/>
  <c r="O1261" i="8" s="1"/>
  <c r="O770" i="2"/>
  <c r="O1292" i="8" s="1"/>
  <c r="O1293" i="8" s="1"/>
  <c r="O1248" i="8"/>
  <c r="O1249" i="8" s="1"/>
  <c r="O797" i="2"/>
  <c r="O1368" i="8" s="1"/>
  <c r="O1369" i="8" s="1"/>
  <c r="V114" i="14"/>
  <c r="V116" i="14" s="1"/>
  <c r="O575" i="2"/>
  <c r="N83" i="12"/>
  <c r="N231" i="8"/>
  <c r="N232" i="8" s="1"/>
  <c r="O456" i="2"/>
  <c r="N60" i="12"/>
  <c r="N163" i="8"/>
  <c r="N164" i="8" s="1"/>
  <c r="L1244" i="8"/>
  <c r="L1245" i="8" s="1"/>
  <c r="L796" i="2"/>
  <c r="L1364" i="8" s="1"/>
  <c r="L1365" i="8" s="1"/>
  <c r="O635" i="2"/>
  <c r="N95" i="12"/>
  <c r="N267" i="8"/>
  <c r="N268" i="8" s="1"/>
  <c r="M1260" i="8"/>
  <c r="M1261" i="8" s="1"/>
  <c r="M785" i="2"/>
  <c r="M1324" i="8" s="1"/>
  <c r="M1325" i="8" s="1"/>
  <c r="M770" i="2"/>
  <c r="M1292" i="8" s="1"/>
  <c r="M1293" i="8" s="1"/>
  <c r="M782" i="2"/>
  <c r="AB364" i="2"/>
  <c r="AB868" i="8" s="1"/>
  <c r="AB869" i="8" s="1"/>
  <c r="AB68" i="14"/>
  <c r="Z369" i="2"/>
  <c r="Z888" i="8" s="1"/>
  <c r="Z889" i="8" s="1"/>
  <c r="Z73" i="14"/>
  <c r="AB397" i="2"/>
  <c r="AB968" i="8" s="1"/>
  <c r="AB969" i="8" s="1"/>
  <c r="W155" i="14"/>
  <c r="P1240" i="8"/>
  <c r="P1241" i="8" s="1"/>
  <c r="P773" i="2"/>
  <c r="P795" i="2"/>
  <c r="P1360" i="8" s="1"/>
  <c r="P1361" i="8" s="1"/>
  <c r="M775" i="2"/>
  <c r="M1304" i="8" s="1"/>
  <c r="M1305" i="8" s="1"/>
  <c r="M1252" i="8"/>
  <c r="M1253" i="8" s="1"/>
  <c r="M798" i="2"/>
  <c r="M1372" i="8" s="1"/>
  <c r="M1373" i="8" s="1"/>
  <c r="N1276" i="8"/>
  <c r="N1277" i="8" s="1"/>
  <c r="N784" i="2"/>
  <c r="L1236" i="8"/>
  <c r="L1237" i="8" s="1"/>
  <c r="L777" i="2"/>
  <c r="L1312" i="8" s="1"/>
  <c r="L1313" i="8" s="1"/>
  <c r="L794" i="2"/>
  <c r="L1356" i="8" s="1"/>
  <c r="L1357" i="8" s="1"/>
  <c r="L1654" i="8"/>
  <c r="L318" i="14"/>
  <c r="L1618" i="8" s="1"/>
  <c r="L319" i="14"/>
  <c r="L1655" i="8" s="1"/>
  <c r="U91" i="14"/>
  <c r="V98" i="14"/>
  <c r="V100" i="14" s="1"/>
  <c r="Q788" i="2"/>
  <c r="Q1336" i="8" s="1"/>
  <c r="Q1337" i="8" s="1"/>
  <c r="Q1272" i="8"/>
  <c r="Q1273" i="8" s="1"/>
  <c r="Y277" i="13"/>
  <c r="Z264" i="13"/>
  <c r="Z1543" i="8" s="1"/>
  <c r="Y241" i="13"/>
  <c r="Y240" i="13"/>
  <c r="Y244" i="13"/>
  <c r="Y245" i="13"/>
  <c r="Y237" i="13"/>
  <c r="Y238" i="13"/>
  <c r="Y225" i="13"/>
  <c r="Y242" i="13"/>
  <c r="Y1541" i="8"/>
  <c r="Y243" i="13"/>
  <c r="X1511" i="8"/>
  <c r="Y1514" i="8"/>
  <c r="Y1515" i="8"/>
  <c r="Y228" i="13"/>
  <c r="Y1538" i="8"/>
  <c r="Y230" i="13"/>
  <c r="Y1540" i="8"/>
  <c r="Z1504" i="8"/>
  <c r="Y229" i="13"/>
  <c r="Y223" i="13"/>
  <c r="Y231" i="13"/>
  <c r="Y224" i="13"/>
  <c r="Z217" i="13"/>
  <c r="Y227" i="13"/>
  <c r="AB250" i="13"/>
  <c r="AB257" i="13" s="1"/>
  <c r="P27" i="12"/>
  <c r="P1479" i="8" s="1"/>
  <c r="P1480" i="8" s="1"/>
  <c r="Z236" i="13"/>
  <c r="Z244" i="13" s="1"/>
  <c r="AA262" i="13"/>
  <c r="AA263" i="13"/>
  <c r="R117" i="2"/>
  <c r="Q21" i="12"/>
  <c r="Q55" i="8"/>
  <c r="Q56" i="8" s="1"/>
  <c r="O1467" i="8"/>
  <c r="O1479" i="8"/>
  <c r="O1480" i="8" s="1"/>
  <c r="Z130" i="13"/>
  <c r="Z129" i="13"/>
  <c r="Z126" i="13"/>
  <c r="Z134" i="13"/>
  <c r="Z133" i="13"/>
  <c r="Z132" i="13"/>
  <c r="Z127" i="13"/>
  <c r="Z128" i="13"/>
  <c r="Z131" i="13"/>
  <c r="Z1502" i="8"/>
  <c r="P39" i="12"/>
  <c r="R115" i="2"/>
  <c r="Q19" i="12"/>
  <c r="Q47" i="8"/>
  <c r="Q48" i="8" s="1"/>
  <c r="Y1503" i="8"/>
  <c r="R56" i="2"/>
  <c r="Q8" i="12"/>
  <c r="Q15" i="8"/>
  <c r="Q16" i="8" s="1"/>
  <c r="Q237" i="2"/>
  <c r="P45" i="12"/>
  <c r="P127" i="8"/>
  <c r="P128" i="8" s="1"/>
  <c r="Q236" i="2"/>
  <c r="P123" i="8"/>
  <c r="P124" i="8" s="1"/>
  <c r="P44" i="12"/>
  <c r="AB110" i="13"/>
  <c r="AB111" i="13" s="1"/>
  <c r="AB77" i="13"/>
  <c r="AB109" i="13" s="1"/>
  <c r="S121" i="2"/>
  <c r="R25" i="12"/>
  <c r="R71" i="8"/>
  <c r="R72" i="8" s="1"/>
  <c r="AB82" i="13"/>
  <c r="AB83" i="13" s="1"/>
  <c r="AB70" i="13"/>
  <c r="R238" i="2"/>
  <c r="Q46" i="12"/>
  <c r="Q131" i="8"/>
  <c r="Q132" i="8" s="1"/>
  <c r="R174" i="2"/>
  <c r="Q30" i="12"/>
  <c r="Q79" i="8"/>
  <c r="Q80" i="8" s="1"/>
  <c r="Q183" i="2"/>
  <c r="S122" i="2"/>
  <c r="R26" i="12"/>
  <c r="R75" i="8"/>
  <c r="R76" i="8" s="1"/>
  <c r="Q235" i="2"/>
  <c r="P43" i="12"/>
  <c r="P119" i="8"/>
  <c r="P120" i="8" s="1"/>
  <c r="Q241" i="2"/>
  <c r="P49" i="12"/>
  <c r="P143" i="8"/>
  <c r="P144" i="8" s="1"/>
  <c r="R178" i="2"/>
  <c r="Q34" i="12"/>
  <c r="Q95" i="8"/>
  <c r="Q96" i="8" s="1"/>
  <c r="R61" i="2"/>
  <c r="Q35" i="8"/>
  <c r="Q36" i="8" s="1"/>
  <c r="Q13" i="12"/>
  <c r="Q55" i="2"/>
  <c r="P7" i="12"/>
  <c r="P11" i="8"/>
  <c r="P12" i="8" s="1"/>
  <c r="AA235" i="13"/>
  <c r="AA212" i="13"/>
  <c r="AA234" i="13" s="1"/>
  <c r="O51" i="12"/>
  <c r="Z78" i="13"/>
  <c r="Q54" i="2"/>
  <c r="P6" i="12"/>
  <c r="P7" i="8"/>
  <c r="P8" i="8" s="1"/>
  <c r="P63" i="2"/>
  <c r="S182" i="2"/>
  <c r="R38" i="12"/>
  <c r="R111" i="8"/>
  <c r="R112" i="8" s="1"/>
  <c r="AA124" i="13"/>
  <c r="AA125" i="13" s="1"/>
  <c r="AA74" i="13"/>
  <c r="AA123" i="13" s="1"/>
  <c r="R177" i="2"/>
  <c r="Q33" i="12"/>
  <c r="Q91" i="8"/>
  <c r="Q92" i="8" s="1"/>
  <c r="R240" i="2"/>
  <c r="Q48" i="12"/>
  <c r="Q139" i="8"/>
  <c r="Q140" i="8" s="1"/>
  <c r="R239" i="2"/>
  <c r="Q47" i="12"/>
  <c r="Q135" i="8"/>
  <c r="Q136" i="8" s="1"/>
  <c r="R57" i="2"/>
  <c r="Q9" i="12"/>
  <c r="Q19" i="8"/>
  <c r="Q20" i="8" s="1"/>
  <c r="Z1512" i="8"/>
  <c r="S179" i="2"/>
  <c r="R35" i="12"/>
  <c r="R99" i="8"/>
  <c r="R100" i="8" s="1"/>
  <c r="Y1543" i="8"/>
  <c r="Y273" i="13"/>
  <c r="Y270" i="13"/>
  <c r="Y266" i="13"/>
  <c r="Y271" i="13"/>
  <c r="Y269" i="13"/>
  <c r="Y268" i="13"/>
  <c r="Y272" i="13"/>
  <c r="Y267" i="13"/>
  <c r="Y265" i="13"/>
  <c r="S175" i="2"/>
  <c r="R31" i="12"/>
  <c r="R83" i="8"/>
  <c r="R84" i="8" s="1"/>
  <c r="R114" i="2"/>
  <c r="Q18" i="12"/>
  <c r="Q43" i="8"/>
  <c r="Q44" i="8" s="1"/>
  <c r="Q123" i="2"/>
  <c r="X1510" i="8"/>
  <c r="O1468" i="8"/>
  <c r="O1482" i="8"/>
  <c r="O1483" i="8" s="1"/>
  <c r="AA117" i="13"/>
  <c r="AA112" i="13"/>
  <c r="AA118" i="13"/>
  <c r="AA116" i="13"/>
  <c r="AA115" i="13"/>
  <c r="AA114" i="13"/>
  <c r="AA119" i="13"/>
  <c r="AA120" i="13"/>
  <c r="AA113" i="13"/>
  <c r="S119" i="2"/>
  <c r="R23" i="12"/>
  <c r="R63" i="8"/>
  <c r="R64" i="8" s="1"/>
  <c r="AB209" i="13"/>
  <c r="Q234" i="2"/>
  <c r="P42" i="12"/>
  <c r="P115" i="8"/>
  <c r="P116" i="8" s="1"/>
  <c r="P243" i="2"/>
  <c r="N1469" i="8"/>
  <c r="N1485" i="8"/>
  <c r="N1486" i="8" s="1"/>
  <c r="O15" i="12"/>
  <c r="Q60" i="2"/>
  <c r="P12" i="12"/>
  <c r="P31" i="8"/>
  <c r="P32" i="8" s="1"/>
  <c r="AA81" i="13"/>
  <c r="R62" i="2"/>
  <c r="Q14" i="12"/>
  <c r="Q39" i="8"/>
  <c r="Q40" i="8" s="1"/>
  <c r="AC249" i="13"/>
  <c r="AC216" i="13"/>
  <c r="AC248" i="13" s="1"/>
  <c r="R176" i="2"/>
  <c r="Q32" i="12"/>
  <c r="Q87" i="8"/>
  <c r="Q88" i="8" s="1"/>
  <c r="W137" i="13"/>
  <c r="W139" i="13" s="1"/>
  <c r="W1507" i="8" s="1"/>
  <c r="Q242" i="2"/>
  <c r="P50" i="12"/>
  <c r="P147" i="8"/>
  <c r="P148" i="8" s="1"/>
  <c r="R120" i="2"/>
  <c r="Q24" i="12"/>
  <c r="Q67" i="8"/>
  <c r="Q68" i="8" s="1"/>
  <c r="R118" i="2"/>
  <c r="Q22" i="12"/>
  <c r="Q59" i="8"/>
  <c r="Q60" i="8" s="1"/>
  <c r="Q58" i="2"/>
  <c r="P23" i="8"/>
  <c r="P24" i="8" s="1"/>
  <c r="P10" i="12"/>
  <c r="AA89" i="13"/>
  <c r="AA92" i="13"/>
  <c r="AA85" i="13"/>
  <c r="AA86" i="13"/>
  <c r="AA90" i="13"/>
  <c r="AA88" i="13"/>
  <c r="AA91" i="13"/>
  <c r="AA84" i="13"/>
  <c r="AA87" i="13"/>
  <c r="Y1501" i="8"/>
  <c r="S180" i="2"/>
  <c r="R36" i="12"/>
  <c r="R103" i="8"/>
  <c r="R104" i="8" s="1"/>
  <c r="AA96" i="13"/>
  <c r="AA97" i="13" s="1"/>
  <c r="AA73" i="13"/>
  <c r="AA95" i="13" s="1"/>
  <c r="AB213" i="13"/>
  <c r="R59" i="2"/>
  <c r="Q27" i="8"/>
  <c r="Q28" i="8" s="1"/>
  <c r="Q11" i="12"/>
  <c r="R181" i="2"/>
  <c r="Q107" i="8"/>
  <c r="Q108" i="8" s="1"/>
  <c r="Q37" i="12"/>
  <c r="AA220" i="13"/>
  <c r="S116" i="2"/>
  <c r="R20" i="12"/>
  <c r="R51" i="8"/>
  <c r="R52" i="8" s="1"/>
  <c r="Z222" i="13"/>
  <c r="Z1500" i="8"/>
  <c r="Y1506" i="8"/>
  <c r="Y1505" i="8"/>
  <c r="Y138" i="13"/>
  <c r="Z100" i="13"/>
  <c r="Z105" i="13"/>
  <c r="Z106" i="13"/>
  <c r="Z103" i="13"/>
  <c r="Z99" i="13"/>
  <c r="Z102" i="13"/>
  <c r="Z98" i="13"/>
  <c r="Z101" i="13"/>
  <c r="Z104" i="13"/>
  <c r="AA1542" i="8"/>
  <c r="AA258" i="13"/>
  <c r="AA259" i="13"/>
  <c r="AA251" i="13"/>
  <c r="AA253" i="13"/>
  <c r="AA254" i="13"/>
  <c r="AA255" i="13"/>
  <c r="AA256" i="13"/>
  <c r="AA257" i="13"/>
  <c r="AA252" i="13"/>
  <c r="AA221" i="13"/>
  <c r="N1476" i="8"/>
  <c r="N1477" i="8" s="1"/>
  <c r="N1466" i="8"/>
  <c r="W1431" i="8"/>
  <c r="W980" i="8"/>
  <c r="W981" i="8" s="1"/>
  <c r="W1432" i="8"/>
  <c r="Z856" i="8"/>
  <c r="Z857" i="8" s="1"/>
  <c r="AA258" i="2"/>
  <c r="Y398" i="2"/>
  <c r="Y972" i="8" s="1"/>
  <c r="Y973" i="8" s="1"/>
  <c r="Z392" i="2"/>
  <c r="Z948" i="8" s="1"/>
  <c r="Z949" i="8" s="1"/>
  <c r="Y382" i="2"/>
  <c r="AA393" i="2"/>
  <c r="AA952" i="8" s="1"/>
  <c r="AA953" i="8" s="1"/>
  <c r="AA259" i="2"/>
  <c r="Z836" i="8"/>
  <c r="Z837" i="8" s="1"/>
  <c r="Z976" i="8"/>
  <c r="Z977" i="8" s="1"/>
  <c r="X400" i="2"/>
  <c r="AB848" i="8"/>
  <c r="AB849" i="8" s="1"/>
  <c r="Y880" i="8"/>
  <c r="Y881" i="8" s="1"/>
  <c r="V1433" i="8"/>
  <c r="V1445" i="8"/>
  <c r="Z375" i="2"/>
  <c r="Z904" i="8" s="1"/>
  <c r="Z905" i="8" s="1"/>
  <c r="Z356" i="2"/>
  <c r="Z844" i="8" s="1"/>
  <c r="Z845" i="8" s="1"/>
  <c r="AC357" i="2"/>
  <c r="AC848" i="8" s="1"/>
  <c r="AC849" i="8" s="1"/>
  <c r="AA352" i="2"/>
  <c r="Y840" i="8"/>
  <c r="Y841" i="8" s="1"/>
  <c r="Z358" i="2"/>
  <c r="Z852" i="8" s="1"/>
  <c r="Z853" i="8" s="1"/>
  <c r="AA359" i="2"/>
  <c r="AA856" i="8" s="1"/>
  <c r="AA857" i="8" s="1"/>
  <c r="Y844" i="8"/>
  <c r="Y845" i="8" s="1"/>
  <c r="AA354" i="2"/>
  <c r="AA836" i="8" s="1"/>
  <c r="AA837" i="8" s="1"/>
  <c r="W920" i="8"/>
  <c r="W921" i="8" s="1"/>
  <c r="W380" i="2"/>
  <c r="X860" i="8"/>
  <c r="X861" i="8" s="1"/>
  <c r="X381" i="2"/>
  <c r="X1434" i="8" s="1"/>
  <c r="Z956" i="8"/>
  <c r="Z957" i="8" s="1"/>
  <c r="AB353" i="2"/>
  <c r="Z349" i="2"/>
  <c r="Z824" i="8" s="1"/>
  <c r="Z825" i="8" s="1"/>
  <c r="Z338" i="2"/>
  <c r="Z788" i="8" s="1"/>
  <c r="Z789" i="8" s="1"/>
  <c r="Z355" i="2"/>
  <c r="X379" i="2"/>
  <c r="Z808" i="8"/>
  <c r="Z809" i="8" s="1"/>
  <c r="Y389" i="2"/>
  <c r="Y940" i="8" s="1"/>
  <c r="Y941" i="8" s="1"/>
  <c r="Z772" i="8"/>
  <c r="Z773" i="8" s="1"/>
  <c r="Z737" i="2"/>
  <c r="Z1184" i="8" s="1"/>
  <c r="Z1185" i="8" s="1"/>
  <c r="X390" i="2"/>
  <c r="X944" i="8" s="1"/>
  <c r="AB280" i="2"/>
  <c r="AA334" i="2"/>
  <c r="AA41" i="14" s="1"/>
  <c r="AA612" i="8"/>
  <c r="AA613" i="8" s="1"/>
  <c r="AA345" i="2"/>
  <c r="Z387" i="2"/>
  <c r="Z932" i="8" s="1"/>
  <c r="Z933" i="8" s="1"/>
  <c r="Y385" i="2"/>
  <c r="Z1212" i="8"/>
  <c r="Z1213" i="8" s="1"/>
  <c r="AB279" i="2"/>
  <c r="AA333" i="2"/>
  <c r="AA40" i="14" s="1"/>
  <c r="AA608" i="8"/>
  <c r="AA609" i="8" s="1"/>
  <c r="AA344" i="2"/>
  <c r="Y378" i="2"/>
  <c r="Y916" i="8" s="1"/>
  <c r="Y917" i="8" s="1"/>
  <c r="AA1172" i="8"/>
  <c r="AA1173" i="8" s="1"/>
  <c r="AA1188" i="8"/>
  <c r="AA1189" i="8" s="1"/>
  <c r="AA1016" i="8"/>
  <c r="AA1017" i="8" s="1"/>
  <c r="AB681" i="2"/>
  <c r="AB215" i="13" s="1"/>
  <c r="AA746" i="2"/>
  <c r="AA735" i="2"/>
  <c r="AA208" i="14" s="1"/>
  <c r="AA1152" i="8"/>
  <c r="AA1153" i="8" s="1"/>
  <c r="AB348" i="2"/>
  <c r="AB624" i="8"/>
  <c r="AB625" i="8" s="1"/>
  <c r="AC283" i="2"/>
  <c r="AB337" i="2"/>
  <c r="AB44" i="14" s="1"/>
  <c r="AC812" i="8"/>
  <c r="AC813" i="8" s="1"/>
  <c r="AB992" i="8"/>
  <c r="AB993" i="8" s="1"/>
  <c r="AB729" i="2"/>
  <c r="AB202" i="14" s="1"/>
  <c r="AB740" i="2"/>
  <c r="AC675" i="2"/>
  <c r="AA756" i="8"/>
  <c r="AA757" i="8" s="1"/>
  <c r="AA996" i="8"/>
  <c r="AA997" i="8" s="1"/>
  <c r="AA730" i="2"/>
  <c r="AA203" i="14" s="1"/>
  <c r="AA741" i="2"/>
  <c r="AB676" i="2"/>
  <c r="AB210" i="13" s="1"/>
  <c r="AA784" i="8"/>
  <c r="AA785" i="8" s="1"/>
  <c r="AA792" i="8"/>
  <c r="AA793" i="8" s="1"/>
  <c r="AA800" i="8"/>
  <c r="AA801" i="8" s="1"/>
  <c r="Z1192" i="8"/>
  <c r="Z1193" i="8" s="1"/>
  <c r="AA820" i="8"/>
  <c r="AA821" i="8" s="1"/>
  <c r="AB596" i="8"/>
  <c r="AB597" i="8" s="1"/>
  <c r="AC276" i="2"/>
  <c r="AB341" i="2"/>
  <c r="AB330" i="2"/>
  <c r="AB37" i="14" s="1"/>
  <c r="AA1004" i="8"/>
  <c r="AA1005" i="8" s="1"/>
  <c r="AA732" i="2"/>
  <c r="AA205" i="14" s="1"/>
  <c r="AA743" i="2"/>
  <c r="AB678" i="2"/>
  <c r="AA1204" i="8"/>
  <c r="AA1205" i="8" s="1"/>
  <c r="Z864" i="8"/>
  <c r="Z865" i="8" s="1"/>
  <c r="AB343" i="2"/>
  <c r="AB332" i="2"/>
  <c r="AB39" i="14" s="1"/>
  <c r="AB604" i="8"/>
  <c r="AB605" i="8" s="1"/>
  <c r="AC278" i="2"/>
  <c r="AC72" i="13" s="1"/>
  <c r="AA764" i="8"/>
  <c r="AA765" i="8" s="1"/>
  <c r="Z1156" i="8"/>
  <c r="Z1157" i="8" s="1"/>
  <c r="AB1216" i="8"/>
  <c r="AB1217" i="8" s="1"/>
  <c r="Z748" i="2"/>
  <c r="Z1220" i="8" s="1"/>
  <c r="Z1221" i="8" s="1"/>
  <c r="AD616" i="8"/>
  <c r="AD617" i="8" s="1"/>
  <c r="AE281" i="2"/>
  <c r="AE75" i="13" s="1"/>
  <c r="AD335" i="2"/>
  <c r="AD42" i="14" s="1"/>
  <c r="AD346" i="2"/>
  <c r="AB1180" i="8"/>
  <c r="AB1181" i="8" s="1"/>
  <c r="Z1200" i="8"/>
  <c r="Z1201" i="8" s="1"/>
  <c r="AB1008" i="8"/>
  <c r="AB1009" i="8" s="1"/>
  <c r="AB744" i="2"/>
  <c r="AB733" i="2"/>
  <c r="AB206" i="14" s="1"/>
  <c r="AC679" i="2"/>
  <c r="Z386" i="2"/>
  <c r="Z928" i="8" s="1"/>
  <c r="Z929" i="8" s="1"/>
  <c r="Z828" i="8"/>
  <c r="Z829" i="8" s="1"/>
  <c r="AA620" i="8"/>
  <c r="AA621" i="8" s="1"/>
  <c r="AA336" i="2"/>
  <c r="AA43" i="14" s="1"/>
  <c r="AB282" i="2"/>
  <c r="AB76" i="13" s="1"/>
  <c r="AA347" i="2"/>
  <c r="Z816" i="8"/>
  <c r="Z817" i="8" s="1"/>
  <c r="AA1000" i="8"/>
  <c r="AA1001" i="8" s="1"/>
  <c r="AA742" i="2"/>
  <c r="AB677" i="2"/>
  <c r="AB211" i="13" s="1"/>
  <c r="AA731" i="2"/>
  <c r="AA204" i="14" s="1"/>
  <c r="AC600" i="8"/>
  <c r="AC601" i="8" s="1"/>
  <c r="AC331" i="2"/>
  <c r="AC38" i="14" s="1"/>
  <c r="AC342" i="2"/>
  <c r="AD277" i="2"/>
  <c r="AD71" i="13" s="1"/>
  <c r="Z780" i="8"/>
  <c r="Z781" i="8" s="1"/>
  <c r="Z1160" i="8"/>
  <c r="Z1161" i="8" s="1"/>
  <c r="AB796" i="8"/>
  <c r="AB797" i="8" s="1"/>
  <c r="Z376" i="2"/>
  <c r="Z908" i="8" s="1"/>
  <c r="Z909" i="8" s="1"/>
  <c r="Y360" i="2"/>
  <c r="Y371" i="2"/>
  <c r="Y896" i="8" s="1"/>
  <c r="Y897" i="8" s="1"/>
  <c r="Z1164" i="8"/>
  <c r="Z1165" i="8" s="1"/>
  <c r="AA1168" i="8"/>
  <c r="AA1169" i="8" s="1"/>
  <c r="AC1020" i="8"/>
  <c r="AC1021" i="8" s="1"/>
  <c r="AC736" i="2"/>
  <c r="AC209" i="14" s="1"/>
  <c r="AC747" i="2"/>
  <c r="AD682" i="2"/>
  <c r="AC776" i="8"/>
  <c r="AC777" i="8" s="1"/>
  <c r="Z1196" i="8"/>
  <c r="Z1197" i="8" s="1"/>
  <c r="AB760" i="8"/>
  <c r="AB761" i="8" s="1"/>
  <c r="Z804" i="8"/>
  <c r="Z805" i="8" s="1"/>
  <c r="Y374" i="2"/>
  <c r="AA1208" i="8"/>
  <c r="AA1209" i="8" s="1"/>
  <c r="Z1176" i="8"/>
  <c r="Z1177" i="8" s="1"/>
  <c r="Z768" i="8"/>
  <c r="Z769" i="8" s="1"/>
  <c r="AB1012" i="8"/>
  <c r="AB1013" i="8" s="1"/>
  <c r="AB745" i="2"/>
  <c r="AB734" i="2"/>
  <c r="AB207" i="14" s="1"/>
  <c r="AC680" i="2"/>
  <c r="AC214" i="13" s="1"/>
  <c r="N74" i="12" l="1"/>
  <c r="N207" i="8"/>
  <c r="N208" i="8" s="1"/>
  <c r="N215" i="8"/>
  <c r="N216" i="8" s="1"/>
  <c r="O638" i="2"/>
  <c r="N199" i="8"/>
  <c r="N200" i="8" s="1"/>
  <c r="O516" i="2"/>
  <c r="O72" i="12" s="1"/>
  <c r="R259" i="14"/>
  <c r="R261" i="14" s="1"/>
  <c r="N279" i="8"/>
  <c r="N280" i="8" s="1"/>
  <c r="T259" i="14"/>
  <c r="T261" i="14" s="1"/>
  <c r="U256" i="14"/>
  <c r="U258" i="14" s="1"/>
  <c r="S260" i="14"/>
  <c r="S262" i="14" s="1"/>
  <c r="N211" i="8"/>
  <c r="N212" i="8" s="1"/>
  <c r="O519" i="2"/>
  <c r="O211" i="8" s="1"/>
  <c r="O212" i="8" s="1"/>
  <c r="W119" i="14"/>
  <c r="U1615" i="8"/>
  <c r="U156" i="14"/>
  <c r="AA77" i="14"/>
  <c r="AB260" i="2"/>
  <c r="Z395" i="2"/>
  <c r="V103" i="14"/>
  <c r="V139" i="14"/>
  <c r="Z243" i="14"/>
  <c r="Z244" i="14" s="1"/>
  <c r="Z245" i="14" s="1"/>
  <c r="V87" i="14"/>
  <c r="W95" i="14"/>
  <c r="Z82" i="14"/>
  <c r="W135" i="14"/>
  <c r="V107" i="14"/>
  <c r="W131" i="14"/>
  <c r="V111" i="14"/>
  <c r="W149" i="14"/>
  <c r="W152" i="14" s="1"/>
  <c r="W153" i="14" s="1"/>
  <c r="W1614" i="8" s="1"/>
  <c r="W123" i="14"/>
  <c r="Z383" i="2"/>
  <c r="V135" i="14"/>
  <c r="AA233" i="14"/>
  <c r="AB363" i="2"/>
  <c r="AB67" i="14"/>
  <c r="P520" i="2"/>
  <c r="O215" i="8"/>
  <c r="O216" i="8" s="1"/>
  <c r="O76" i="12"/>
  <c r="W87" i="14"/>
  <c r="AB236" i="14"/>
  <c r="P456" i="2"/>
  <c r="O60" i="12"/>
  <c r="O163" i="8"/>
  <c r="O164" i="8" s="1"/>
  <c r="X98" i="14"/>
  <c r="X100" i="14" s="1"/>
  <c r="O517" i="2"/>
  <c r="N73" i="12"/>
  <c r="N203" i="8"/>
  <c r="N204" i="8" s="1"/>
  <c r="O100" i="12"/>
  <c r="P640" i="2"/>
  <c r="O287" i="8"/>
  <c r="O288" i="8" s="1"/>
  <c r="O279" i="8"/>
  <c r="O280" i="8" s="1"/>
  <c r="P638" i="2"/>
  <c r="O98" i="12"/>
  <c r="W139" i="14"/>
  <c r="P455" i="2"/>
  <c r="O159" i="8"/>
  <c r="O160" i="8" s="1"/>
  <c r="O59" i="12"/>
  <c r="W115" i="14"/>
  <c r="Q778" i="2"/>
  <c r="Q1296" i="8"/>
  <c r="Q1297" i="8" s="1"/>
  <c r="M789" i="2"/>
  <c r="M1340" i="8" s="1"/>
  <c r="M1320" i="8"/>
  <c r="M1321" i="8" s="1"/>
  <c r="AB237" i="14"/>
  <c r="W99" i="14"/>
  <c r="X114" i="14"/>
  <c r="X116" i="14" s="1"/>
  <c r="Z1538" i="8"/>
  <c r="Z1641" i="8"/>
  <c r="V99" i="14"/>
  <c r="Z247" i="14"/>
  <c r="X126" i="14"/>
  <c r="X128" i="14" s="1"/>
  <c r="W103" i="14"/>
  <c r="O64" i="12"/>
  <c r="P460" i="2"/>
  <c r="O179" i="8"/>
  <c r="O180" i="8" s="1"/>
  <c r="Z246" i="14"/>
  <c r="AA242" i="14"/>
  <c r="O1296" i="8"/>
  <c r="O1297" i="8" s="1"/>
  <c r="O778" i="2"/>
  <c r="W143" i="14"/>
  <c r="AB365" i="2"/>
  <c r="AB872" i="8" s="1"/>
  <c r="AB873" i="8" s="1"/>
  <c r="AB69" i="14"/>
  <c r="AA238" i="14"/>
  <c r="P519" i="2"/>
  <c r="O75" i="12"/>
  <c r="P459" i="2"/>
  <c r="O63" i="12"/>
  <c r="O175" i="8"/>
  <c r="O176" i="8" s="1"/>
  <c r="V123" i="14"/>
  <c r="N88" i="12"/>
  <c r="N251" i="8"/>
  <c r="N252" i="8" s="1"/>
  <c r="O580" i="2"/>
  <c r="W107" i="14"/>
  <c r="O514" i="2"/>
  <c r="N191" i="8"/>
  <c r="N192" i="8" s="1"/>
  <c r="N70" i="12"/>
  <c r="M1531" i="8"/>
  <c r="M1659" i="8"/>
  <c r="M1633" i="8"/>
  <c r="M1527" i="8"/>
  <c r="M1535" i="8"/>
  <c r="V131" i="14"/>
  <c r="W251" i="14"/>
  <c r="W253" i="14" s="1"/>
  <c r="Y250" i="2"/>
  <c r="Y1617" i="8" s="1"/>
  <c r="Y133" i="14"/>
  <c r="Y137" i="14"/>
  <c r="Y125" i="14"/>
  <c r="Y141" i="14"/>
  <c r="Y105" i="14"/>
  <c r="Y129" i="14"/>
  <c r="Y121" i="14"/>
  <c r="Y93" i="14"/>
  <c r="Y109" i="14"/>
  <c r="Y113" i="14"/>
  <c r="Y145" i="14"/>
  <c r="Y148" i="14" s="1"/>
  <c r="Y155" i="14" s="1"/>
  <c r="Y89" i="14"/>
  <c r="Y117" i="14"/>
  <c r="Y97" i="14"/>
  <c r="Y83" i="14"/>
  <c r="Y101" i="14"/>
  <c r="AA234" i="14"/>
  <c r="X110" i="14"/>
  <c r="X112" i="14" s="1"/>
  <c r="N57" i="12"/>
  <c r="N151" i="8"/>
  <c r="N152" i="8" s="1"/>
  <c r="O453" i="2"/>
  <c r="N462" i="2"/>
  <c r="N1644" i="8" s="1"/>
  <c r="N227" i="8"/>
  <c r="N228" i="8" s="1"/>
  <c r="O574" i="2"/>
  <c r="N82" i="12"/>
  <c r="L1320" i="8"/>
  <c r="L1321" i="8" s="1"/>
  <c r="L789" i="2"/>
  <c r="L1340" i="8" s="1"/>
  <c r="M1344" i="8"/>
  <c r="M1345" i="8" s="1"/>
  <c r="M799" i="2"/>
  <c r="V143" i="14"/>
  <c r="M778" i="2"/>
  <c r="M1296" i="8"/>
  <c r="M1297" i="8" s="1"/>
  <c r="N255" i="8"/>
  <c r="N256" i="8" s="1"/>
  <c r="N89" i="12"/>
  <c r="O581" i="2"/>
  <c r="L1344" i="8"/>
  <c r="L1345" i="8" s="1"/>
  <c r="L799" i="2"/>
  <c r="W127" i="14"/>
  <c r="U153" i="14"/>
  <c r="U1614" i="8" s="1"/>
  <c r="U154" i="14"/>
  <c r="X1613" i="8"/>
  <c r="X169" i="14"/>
  <c r="X167" i="14"/>
  <c r="X165" i="14"/>
  <c r="X163" i="14"/>
  <c r="X161" i="14"/>
  <c r="X168" i="14"/>
  <c r="X166" i="14"/>
  <c r="X164" i="14"/>
  <c r="X162" i="14"/>
  <c r="X150" i="14"/>
  <c r="X151" i="14"/>
  <c r="M1489" i="8"/>
  <c r="M90" i="12"/>
  <c r="M1472" i="8" s="1"/>
  <c r="P634" i="2"/>
  <c r="O94" i="12"/>
  <c r="O263" i="8"/>
  <c r="O264" i="8" s="1"/>
  <c r="V252" i="14"/>
  <c r="V254" i="14" s="1"/>
  <c r="Q1320" i="8"/>
  <c r="Q1321" i="8" s="1"/>
  <c r="Q789" i="2"/>
  <c r="Q1340" i="8" s="1"/>
  <c r="W111" i="14"/>
  <c r="AA367" i="2"/>
  <c r="AA71" i="14"/>
  <c r="AD368" i="2"/>
  <c r="AD884" i="8" s="1"/>
  <c r="AD885" i="8" s="1"/>
  <c r="AD72" i="14"/>
  <c r="AB232" i="14"/>
  <c r="P1525" i="8"/>
  <c r="P1631" i="8"/>
  <c r="Q1524" i="8"/>
  <c r="Q1630" i="8"/>
  <c r="X94" i="14"/>
  <c r="X96" i="14" s="1"/>
  <c r="V91" i="14"/>
  <c r="N1344" i="8"/>
  <c r="N1345" i="8" s="1"/>
  <c r="N799" i="2"/>
  <c r="O247" i="8"/>
  <c r="O248" i="8" s="1"/>
  <c r="O87" i="12"/>
  <c r="P579" i="2"/>
  <c r="V127" i="14"/>
  <c r="M1488" i="8"/>
  <c r="M78" i="12"/>
  <c r="M1471" i="8" s="1"/>
  <c r="L1619" i="8"/>
  <c r="L1256" i="8"/>
  <c r="L1257" i="8" s="1"/>
  <c r="L780" i="2"/>
  <c r="L1438" i="8" s="1"/>
  <c r="O457" i="2"/>
  <c r="N167" i="8"/>
  <c r="N168" i="8" s="1"/>
  <c r="N61" i="12"/>
  <c r="M1490" i="8"/>
  <c r="M102" i="12"/>
  <c r="M1473" i="8" s="1"/>
  <c r="AB370" i="2"/>
  <c r="AB892" i="8" s="1"/>
  <c r="AB893" i="8" s="1"/>
  <c r="AB74" i="14"/>
  <c r="Q1619" i="8"/>
  <c r="Q1256" i="8"/>
  <c r="Q1257" i="8" s="1"/>
  <c r="Q780" i="2"/>
  <c r="Q1438" i="8" s="1"/>
  <c r="V119" i="14"/>
  <c r="W91" i="14"/>
  <c r="N789" i="2"/>
  <c r="N1340" i="8" s="1"/>
  <c r="N1320" i="8"/>
  <c r="N1321" i="8" s="1"/>
  <c r="X122" i="14"/>
  <c r="X124" i="14" s="1"/>
  <c r="O283" i="8"/>
  <c r="O284" i="8" s="1"/>
  <c r="O99" i="12"/>
  <c r="P639" i="2"/>
  <c r="M1530" i="8"/>
  <c r="M1658" i="8"/>
  <c r="M1632" i="8"/>
  <c r="M1526" i="8"/>
  <c r="M1534" i="8"/>
  <c r="N1619" i="8"/>
  <c r="N1256" i="8"/>
  <c r="N1257" i="8" s="1"/>
  <c r="N780" i="2"/>
  <c r="N1438" i="8" s="1"/>
  <c r="X251" i="14"/>
  <c r="X253" i="14" s="1"/>
  <c r="P521" i="2"/>
  <c r="O77" i="12"/>
  <c r="O219" i="8"/>
  <c r="O220" i="8" s="1"/>
  <c r="O513" i="2"/>
  <c r="N69" i="12"/>
  <c r="N522" i="2"/>
  <c r="N1645" i="8" s="1"/>
  <c r="N187" i="8"/>
  <c r="N188" i="8" s="1"/>
  <c r="P576" i="2"/>
  <c r="O84" i="12"/>
  <c r="O235" i="8"/>
  <c r="O236" i="8" s="1"/>
  <c r="Y1649" i="8"/>
  <c r="Y649" i="2"/>
  <c r="Y1621" i="8" s="1"/>
  <c r="Y248" i="14"/>
  <c r="O58" i="12"/>
  <c r="P454" i="2"/>
  <c r="O155" i="8"/>
  <c r="O156" i="8" s="1"/>
  <c r="P575" i="2"/>
  <c r="O83" i="12"/>
  <c r="O231" i="8"/>
  <c r="O232" i="8" s="1"/>
  <c r="X134" i="14"/>
  <c r="X136" i="14" s="1"/>
  <c r="X106" i="14"/>
  <c r="X108" i="14" s="1"/>
  <c r="M66" i="12"/>
  <c r="M1487" i="8"/>
  <c r="AB261" i="2"/>
  <c r="M1533" i="8"/>
  <c r="M1661" i="8"/>
  <c r="M1529" i="8"/>
  <c r="M1635" i="8"/>
  <c r="M1537" i="8"/>
  <c r="Q1523" i="8"/>
  <c r="Q1629" i="8"/>
  <c r="AA369" i="2"/>
  <c r="AA888" i="8" s="1"/>
  <c r="AA889" i="8" s="1"/>
  <c r="AA73" i="14"/>
  <c r="P778" i="2"/>
  <c r="P1296" i="8"/>
  <c r="P1297" i="8" s="1"/>
  <c r="L1296" i="8"/>
  <c r="L1297" i="8" s="1"/>
  <c r="L778" i="2"/>
  <c r="X118" i="14"/>
  <c r="X120" i="14" s="1"/>
  <c r="X130" i="14"/>
  <c r="X132" i="14" s="1"/>
  <c r="O641" i="2"/>
  <c r="N291" i="8"/>
  <c r="N292" i="8" s="1"/>
  <c r="N101" i="12"/>
  <c r="P1344" i="8"/>
  <c r="P1345" i="8" s="1"/>
  <c r="P799" i="2"/>
  <c r="M1619" i="8"/>
  <c r="M1256" i="8"/>
  <c r="M1257" i="8" s="1"/>
  <c r="M780" i="2"/>
  <c r="M1438" i="8" s="1"/>
  <c r="O633" i="2"/>
  <c r="N259" i="8"/>
  <c r="N260" i="8" s="1"/>
  <c r="N93" i="12"/>
  <c r="N642" i="2"/>
  <c r="N1647" i="8" s="1"/>
  <c r="O577" i="2"/>
  <c r="N239" i="8"/>
  <c r="N240" i="8" s="1"/>
  <c r="N85" i="12"/>
  <c r="O183" i="8"/>
  <c r="O184" i="8" s="1"/>
  <c r="O65" i="12"/>
  <c r="P461" i="2"/>
  <c r="AA235" i="14"/>
  <c r="X157" i="14"/>
  <c r="X158" i="14" s="1"/>
  <c r="X1616" i="8"/>
  <c r="AA366" i="2"/>
  <c r="AA876" i="8" s="1"/>
  <c r="AA877" i="8" s="1"/>
  <c r="AA70" i="14"/>
  <c r="P518" i="2"/>
  <c r="O74" i="12"/>
  <c r="O207" i="8"/>
  <c r="O208" i="8" s="1"/>
  <c r="V115" i="14"/>
  <c r="X90" i="14"/>
  <c r="X92" i="14" s="1"/>
  <c r="O1344" i="8"/>
  <c r="O1345" i="8" s="1"/>
  <c r="O799" i="2"/>
  <c r="Z78" i="14"/>
  <c r="Z79" i="14" s="1"/>
  <c r="P578" i="2"/>
  <c r="O86" i="12"/>
  <c r="O243" i="8"/>
  <c r="O244" i="8" s="1"/>
  <c r="V149" i="14"/>
  <c r="V95" i="14"/>
  <c r="Z81" i="14"/>
  <c r="P1522" i="8"/>
  <c r="P1628" i="8"/>
  <c r="O95" i="12"/>
  <c r="O267" i="8"/>
  <c r="O268" i="8" s="1"/>
  <c r="P635" i="2"/>
  <c r="X102" i="14"/>
  <c r="X104" i="14" s="1"/>
  <c r="X138" i="14"/>
  <c r="X140" i="14" s="1"/>
  <c r="P636" i="2"/>
  <c r="O96" i="12"/>
  <c r="O271" i="8"/>
  <c r="O272" i="8" s="1"/>
  <c r="Q799" i="2"/>
  <c r="Q1344" i="8"/>
  <c r="Q1345" i="8" s="1"/>
  <c r="O789" i="2"/>
  <c r="O1340" i="8" s="1"/>
  <c r="O1320" i="8"/>
  <c r="O1321" i="8" s="1"/>
  <c r="N1296" i="8"/>
  <c r="N1297" i="8" s="1"/>
  <c r="N778" i="2"/>
  <c r="P516" i="2"/>
  <c r="O199" i="8"/>
  <c r="O200" i="8" s="1"/>
  <c r="AC364" i="2"/>
  <c r="AC868" i="8" s="1"/>
  <c r="AC869" i="8" s="1"/>
  <c r="AC68" i="14"/>
  <c r="X86" i="14"/>
  <c r="X88" i="14" s="1"/>
  <c r="O573" i="2"/>
  <c r="N81" i="12"/>
  <c r="N582" i="2"/>
  <c r="N1646" i="8" s="1"/>
  <c r="N223" i="8"/>
  <c r="N224" i="8" s="1"/>
  <c r="AC239" i="14"/>
  <c r="X142" i="14"/>
  <c r="X144" i="14" s="1"/>
  <c r="O1619" i="8"/>
  <c r="O1256" i="8"/>
  <c r="O1257" i="8" s="1"/>
  <c r="O780" i="2"/>
  <c r="O1438" i="8" s="1"/>
  <c r="P458" i="2"/>
  <c r="O171" i="8"/>
  <c r="O172" i="8" s="1"/>
  <c r="O62" i="12"/>
  <c r="N275" i="8"/>
  <c r="N276" i="8" s="1"/>
  <c r="N97" i="12"/>
  <c r="O637" i="2"/>
  <c r="P789" i="2"/>
  <c r="P1340" i="8" s="1"/>
  <c r="P1320" i="8"/>
  <c r="P1321" i="8" s="1"/>
  <c r="P1619" i="8"/>
  <c r="P1256" i="8"/>
  <c r="P1257" i="8" s="1"/>
  <c r="P780" i="2"/>
  <c r="P1438" i="8" s="1"/>
  <c r="O195" i="8"/>
  <c r="O196" i="8" s="1"/>
  <c r="P515" i="2"/>
  <c r="O71" i="12"/>
  <c r="M1532" i="8"/>
  <c r="M1660" i="8"/>
  <c r="M1528" i="8"/>
  <c r="M1634" i="8"/>
  <c r="M1536" i="8"/>
  <c r="Z267" i="13"/>
  <c r="Z269" i="13"/>
  <c r="Z271" i="13"/>
  <c r="Z273" i="13"/>
  <c r="Z268" i="13"/>
  <c r="Z272" i="13"/>
  <c r="Z266" i="13"/>
  <c r="Z265" i="13"/>
  <c r="Z270" i="13"/>
  <c r="AB252" i="13"/>
  <c r="AB259" i="13"/>
  <c r="Z1516" i="8"/>
  <c r="AB258" i="13"/>
  <c r="AB1542" i="8"/>
  <c r="Z239" i="13"/>
  <c r="AB254" i="13"/>
  <c r="Z241" i="13"/>
  <c r="Z242" i="13"/>
  <c r="Y1511" i="8"/>
  <c r="AB255" i="13"/>
  <c r="AB256" i="13"/>
  <c r="Z240" i="13"/>
  <c r="Z237" i="13"/>
  <c r="Z245" i="13"/>
  <c r="Z243" i="13"/>
  <c r="Z1541" i="8"/>
  <c r="Z238" i="13"/>
  <c r="AA264" i="13"/>
  <c r="AA267" i="13" s="1"/>
  <c r="AB251" i="13"/>
  <c r="AB253" i="13"/>
  <c r="Y1510" i="8"/>
  <c r="Z277" i="13"/>
  <c r="Z1515" i="8"/>
  <c r="P1467" i="8"/>
  <c r="AA222" i="13"/>
  <c r="AA230" i="13" s="1"/>
  <c r="AA217" i="13"/>
  <c r="AA277" i="13" s="1"/>
  <c r="Q27" i="12"/>
  <c r="Q1479" i="8" s="1"/>
  <c r="Q1480" i="8" s="1"/>
  <c r="AC250" i="13"/>
  <c r="AC254" i="13" s="1"/>
  <c r="AA78" i="13"/>
  <c r="AA1506" i="8" s="1"/>
  <c r="AB221" i="13"/>
  <c r="AB263" i="13"/>
  <c r="S118" i="2"/>
  <c r="R22" i="12"/>
  <c r="R59" i="8"/>
  <c r="R60" i="8" s="1"/>
  <c r="P1468" i="8"/>
  <c r="P1482" i="8"/>
  <c r="P1483" i="8" s="1"/>
  <c r="AC213" i="13"/>
  <c r="AC82" i="13"/>
  <c r="AC83" i="13" s="1"/>
  <c r="AC70" i="13"/>
  <c r="AB262" i="13"/>
  <c r="S240" i="2"/>
  <c r="R48" i="12"/>
  <c r="R139" i="8"/>
  <c r="R140" i="8" s="1"/>
  <c r="T119" i="2"/>
  <c r="S23" i="12"/>
  <c r="S63" i="8"/>
  <c r="S64" i="8" s="1"/>
  <c r="AA1502" i="8"/>
  <c r="T182" i="2"/>
  <c r="S38" i="12"/>
  <c r="S111" i="8"/>
  <c r="S112" i="8" s="1"/>
  <c r="S238" i="2"/>
  <c r="R46" i="12"/>
  <c r="R131" i="8"/>
  <c r="R132" i="8" s="1"/>
  <c r="R236" i="2"/>
  <c r="Q44" i="12"/>
  <c r="Q123" i="8"/>
  <c r="Q124" i="8" s="1"/>
  <c r="R55" i="2"/>
  <c r="Q7" i="12"/>
  <c r="Q11" i="8"/>
  <c r="Q12" i="8" s="1"/>
  <c r="R241" i="2"/>
  <c r="Q49" i="12"/>
  <c r="Q143" i="8"/>
  <c r="Q144" i="8" s="1"/>
  <c r="Q39" i="12"/>
  <c r="Z1540" i="8"/>
  <c r="Z1514" i="8"/>
  <c r="Z226" i="13"/>
  <c r="Z225" i="13"/>
  <c r="Z223" i="13"/>
  <c r="Z231" i="13"/>
  <c r="Z227" i="13"/>
  <c r="Z224" i="13"/>
  <c r="Z228" i="13"/>
  <c r="Z229" i="13"/>
  <c r="Z230" i="13"/>
  <c r="AA103" i="13"/>
  <c r="AA98" i="13"/>
  <c r="AA104" i="13"/>
  <c r="AA106" i="13"/>
  <c r="AA102" i="13"/>
  <c r="AA99" i="13"/>
  <c r="AA105" i="13"/>
  <c r="AA101" i="13"/>
  <c r="AA100" i="13"/>
  <c r="S177" i="2"/>
  <c r="R33" i="12"/>
  <c r="R91" i="8"/>
  <c r="R92" i="8" s="1"/>
  <c r="S174" i="2"/>
  <c r="R30" i="12"/>
  <c r="R79" i="8"/>
  <c r="R80" i="8" s="1"/>
  <c r="R183" i="2"/>
  <c r="T122" i="2"/>
  <c r="S26" i="12"/>
  <c r="S75" i="8"/>
  <c r="S76" i="8" s="1"/>
  <c r="S59" i="2"/>
  <c r="R11" i="12"/>
  <c r="R27" i="8"/>
  <c r="R28" i="8" s="1"/>
  <c r="S120" i="2"/>
  <c r="R24" i="12"/>
  <c r="R67" i="8"/>
  <c r="R68" i="8" s="1"/>
  <c r="AA1512" i="8"/>
  <c r="S181" i="2"/>
  <c r="R37" i="12"/>
  <c r="R107" i="8"/>
  <c r="R108" i="8" s="1"/>
  <c r="P15" i="12"/>
  <c r="S62" i="2"/>
  <c r="R14" i="12"/>
  <c r="R39" i="8"/>
  <c r="R40" i="8" s="1"/>
  <c r="R237" i="2"/>
  <c r="Q45" i="12"/>
  <c r="Q127" i="8"/>
  <c r="Q128" i="8" s="1"/>
  <c r="AD249" i="13"/>
  <c r="AD216" i="13"/>
  <c r="AD248" i="13" s="1"/>
  <c r="S176" i="2"/>
  <c r="R32" i="12"/>
  <c r="R87" i="8"/>
  <c r="R88" i="8" s="1"/>
  <c r="AC209" i="13"/>
  <c r="AA1504" i="8"/>
  <c r="R242" i="2"/>
  <c r="Q50" i="12"/>
  <c r="Q147" i="8"/>
  <c r="Q148" i="8" s="1"/>
  <c r="S114" i="2"/>
  <c r="R18" i="12"/>
  <c r="R43" i="8"/>
  <c r="R44" i="8" s="1"/>
  <c r="R123" i="2"/>
  <c r="R54" i="2"/>
  <c r="Q6" i="12"/>
  <c r="Q7" i="8"/>
  <c r="Q8" i="8" s="1"/>
  <c r="Q63" i="2"/>
  <c r="S61" i="2"/>
  <c r="R13" i="12"/>
  <c r="R35" i="8"/>
  <c r="R36" i="8" s="1"/>
  <c r="T121" i="2"/>
  <c r="S25" i="12"/>
  <c r="S71" i="8"/>
  <c r="S72" i="8" s="1"/>
  <c r="O1466" i="8"/>
  <c r="O1476" i="8"/>
  <c r="O1477" i="8" s="1"/>
  <c r="AB235" i="13"/>
  <c r="AB212" i="13"/>
  <c r="AB234" i="13" s="1"/>
  <c r="X1431" i="8"/>
  <c r="X137" i="13"/>
  <c r="X139" i="13" s="1"/>
  <c r="X1507" i="8" s="1"/>
  <c r="T116" i="2"/>
  <c r="S20" i="12"/>
  <c r="S51" i="8"/>
  <c r="S52" i="8" s="1"/>
  <c r="R58" i="2"/>
  <c r="Q10" i="12"/>
  <c r="Q23" i="8"/>
  <c r="Q24" i="8" s="1"/>
  <c r="Z1506" i="8"/>
  <c r="Z1505" i="8"/>
  <c r="Z138" i="13"/>
  <c r="AB81" i="13"/>
  <c r="Z1503" i="8"/>
  <c r="T179" i="2"/>
  <c r="S35" i="12"/>
  <c r="S99" i="8"/>
  <c r="S100" i="8" s="1"/>
  <c r="S57" i="2"/>
  <c r="R9" i="12"/>
  <c r="R19" i="8"/>
  <c r="R20" i="8" s="1"/>
  <c r="O1469" i="8"/>
  <c r="O1485" i="8"/>
  <c r="O1486" i="8" s="1"/>
  <c r="AB90" i="13"/>
  <c r="AB88" i="13"/>
  <c r="AB92" i="13"/>
  <c r="AB91" i="13"/>
  <c r="AB84" i="13"/>
  <c r="AB85" i="13"/>
  <c r="AB86" i="13"/>
  <c r="AB89" i="13"/>
  <c r="AB87" i="13"/>
  <c r="S56" i="2"/>
  <c r="R8" i="12"/>
  <c r="R15" i="8"/>
  <c r="R16" i="8" s="1"/>
  <c r="AB96" i="13"/>
  <c r="AB97" i="13" s="1"/>
  <c r="AB73" i="13"/>
  <c r="AB95" i="13" s="1"/>
  <c r="T180" i="2"/>
  <c r="S36" i="12"/>
  <c r="S103" i="8"/>
  <c r="S104" i="8" s="1"/>
  <c r="T175" i="2"/>
  <c r="S31" i="12"/>
  <c r="S83" i="8"/>
  <c r="S84" i="8" s="1"/>
  <c r="S178" i="2"/>
  <c r="R34" i="12"/>
  <c r="R95" i="8"/>
  <c r="R96" i="8" s="1"/>
  <c r="S117" i="2"/>
  <c r="R21" i="12"/>
  <c r="R55" i="8"/>
  <c r="R56" i="8" s="1"/>
  <c r="R60" i="2"/>
  <c r="Q12" i="12"/>
  <c r="Q31" i="8"/>
  <c r="Q32" i="8" s="1"/>
  <c r="P51" i="12"/>
  <c r="Y1513" i="8"/>
  <c r="R235" i="2"/>
  <c r="Q43" i="12"/>
  <c r="Q119" i="8"/>
  <c r="Q120" i="8" s="1"/>
  <c r="Z1501" i="8"/>
  <c r="R234" i="2"/>
  <c r="Q115" i="8"/>
  <c r="Q116" i="8" s="1"/>
  <c r="Q42" i="12"/>
  <c r="Q243" i="2"/>
  <c r="AA236" i="13"/>
  <c r="AA128" i="13"/>
  <c r="AA127" i="13"/>
  <c r="AA133" i="13"/>
  <c r="AA129" i="13"/>
  <c r="AA126" i="13"/>
  <c r="AA134" i="13"/>
  <c r="AA131" i="13"/>
  <c r="AA132" i="13"/>
  <c r="AA130" i="13"/>
  <c r="AB124" i="13"/>
  <c r="AB125" i="13" s="1"/>
  <c r="AB74" i="13"/>
  <c r="AB123" i="13" s="1"/>
  <c r="AC110" i="13"/>
  <c r="AC111" i="13" s="1"/>
  <c r="AC77" i="13"/>
  <c r="AC109" i="13" s="1"/>
  <c r="AA1500" i="8"/>
  <c r="AB220" i="13"/>
  <c r="S239" i="2"/>
  <c r="R47" i="12"/>
  <c r="R135" i="8"/>
  <c r="R136" i="8" s="1"/>
  <c r="AB116" i="13"/>
  <c r="AB117" i="13"/>
  <c r="AB119" i="13"/>
  <c r="AB118" i="13"/>
  <c r="AB114" i="13"/>
  <c r="AB120" i="13"/>
  <c r="AB112" i="13"/>
  <c r="AB113" i="13"/>
  <c r="AB115" i="13"/>
  <c r="S115" i="2"/>
  <c r="R47" i="8"/>
  <c r="R48" i="8" s="1"/>
  <c r="R19" i="12"/>
  <c r="X1432" i="8"/>
  <c r="AA392" i="2"/>
  <c r="AA948" i="8" s="1"/>
  <c r="AA949" i="8" s="1"/>
  <c r="AB259" i="2"/>
  <c r="AB258" i="2"/>
  <c r="X980" i="8"/>
  <c r="X981" i="8" s="1"/>
  <c r="Z374" i="2"/>
  <c r="Z900" i="8" s="1"/>
  <c r="Z901" i="8" s="1"/>
  <c r="Z398" i="2"/>
  <c r="Z972" i="8" s="1"/>
  <c r="Z973" i="8" s="1"/>
  <c r="AA399" i="2"/>
  <c r="AA976" i="8" s="1"/>
  <c r="AA977" i="8" s="1"/>
  <c r="Z396" i="2"/>
  <c r="Z964" i="8" s="1"/>
  <c r="Z965" i="8" s="1"/>
  <c r="AB393" i="2"/>
  <c r="AB952" i="8" s="1"/>
  <c r="AB953" i="8" s="1"/>
  <c r="AA394" i="2"/>
  <c r="AA956" i="8" s="1"/>
  <c r="AA957" i="8" s="1"/>
  <c r="AB832" i="8"/>
  <c r="AB833" i="8" s="1"/>
  <c r="AC397" i="2"/>
  <c r="AC968" i="8" s="1"/>
  <c r="AC969" i="8" s="1"/>
  <c r="Z382" i="2"/>
  <c r="Z840" i="8"/>
  <c r="Z841" i="8" s="1"/>
  <c r="Z876" i="8"/>
  <c r="Z877" i="8" s="1"/>
  <c r="Z960" i="8"/>
  <c r="Z961" i="8" s="1"/>
  <c r="W1433" i="8"/>
  <c r="W1445" i="8"/>
  <c r="X920" i="8"/>
  <c r="X921" i="8" s="1"/>
  <c r="X380" i="2"/>
  <c r="AB359" i="2"/>
  <c r="AB856" i="8" s="1"/>
  <c r="AB857" i="8" s="1"/>
  <c r="Y400" i="2"/>
  <c r="AA356" i="2"/>
  <c r="Y860" i="8"/>
  <c r="Y861" i="8" s="1"/>
  <c r="Y381" i="2"/>
  <c r="Y1434" i="8" s="1"/>
  <c r="AA358" i="2"/>
  <c r="AA375" i="2"/>
  <c r="AA904" i="8" s="1"/>
  <c r="AA905" i="8" s="1"/>
  <c r="AA355" i="2"/>
  <c r="AB354" i="2"/>
  <c r="AB836" i="8" s="1"/>
  <c r="AB837" i="8" s="1"/>
  <c r="AB352" i="2"/>
  <c r="AC353" i="2"/>
  <c r="AC832" i="8" s="1"/>
  <c r="AC833" i="8" s="1"/>
  <c r="AD357" i="2"/>
  <c r="AA737" i="2"/>
  <c r="AA1184" i="8" s="1"/>
  <c r="AA1185" i="8" s="1"/>
  <c r="AA772" i="8"/>
  <c r="AA773" i="8" s="1"/>
  <c r="AB334" i="2"/>
  <c r="AB41" i="14" s="1"/>
  <c r="AC280" i="2"/>
  <c r="AB612" i="8"/>
  <c r="AB613" i="8" s="1"/>
  <c r="AB345" i="2"/>
  <c r="AA808" i="8"/>
  <c r="AA809" i="8" s="1"/>
  <c r="AA338" i="2"/>
  <c r="AA788" i="8" s="1"/>
  <c r="AA789" i="8" s="1"/>
  <c r="AA386" i="2"/>
  <c r="AA928" i="8" s="1"/>
  <c r="AA929" i="8" s="1"/>
  <c r="Z360" i="2"/>
  <c r="AA1160" i="8"/>
  <c r="AA1161" i="8" s="1"/>
  <c r="AB756" i="8"/>
  <c r="AB757" i="8" s="1"/>
  <c r="AA864" i="8"/>
  <c r="AA865" i="8" s="1"/>
  <c r="AB1168" i="8"/>
  <c r="AB1169" i="8" s="1"/>
  <c r="AB1204" i="8"/>
  <c r="AB1205" i="8" s="1"/>
  <c r="AB1004" i="8"/>
  <c r="AB1005" i="8" s="1"/>
  <c r="AB732" i="2"/>
  <c r="AB205" i="14" s="1"/>
  <c r="AB743" i="2"/>
  <c r="AC678" i="2"/>
  <c r="AA376" i="2"/>
  <c r="AA908" i="8" s="1"/>
  <c r="AA909" i="8" s="1"/>
  <c r="AB1152" i="8"/>
  <c r="AB1153" i="8" s="1"/>
  <c r="AA1176" i="8"/>
  <c r="AA1177" i="8" s="1"/>
  <c r="AC1008" i="8"/>
  <c r="AC1009" i="8" s="1"/>
  <c r="AC744" i="2"/>
  <c r="AD679" i="2"/>
  <c r="AC733" i="2"/>
  <c r="AC206" i="14" s="1"/>
  <c r="AC596" i="8"/>
  <c r="AC597" i="8" s="1"/>
  <c r="AD276" i="2"/>
  <c r="AC330" i="2"/>
  <c r="AC37" i="14" s="1"/>
  <c r="AC341" i="2"/>
  <c r="AD1020" i="8"/>
  <c r="AD1021" i="8" s="1"/>
  <c r="AD736" i="2"/>
  <c r="AD209" i="14" s="1"/>
  <c r="AD747" i="2"/>
  <c r="AE682" i="2"/>
  <c r="AC1012" i="8"/>
  <c r="AC1013" i="8" s="1"/>
  <c r="AC745" i="2"/>
  <c r="AC734" i="2"/>
  <c r="AC207" i="14" s="1"/>
  <c r="AD680" i="2"/>
  <c r="AD214" i="13" s="1"/>
  <c r="AC1216" i="8"/>
  <c r="AC1217" i="8" s="1"/>
  <c r="Z385" i="2"/>
  <c r="AC604" i="8"/>
  <c r="AC605" i="8" s="1"/>
  <c r="AC343" i="2"/>
  <c r="AC332" i="2"/>
  <c r="AC39" i="14" s="1"/>
  <c r="AD278" i="2"/>
  <c r="AD72" i="13" s="1"/>
  <c r="AA1200" i="8"/>
  <c r="AA1201" i="8" s="1"/>
  <c r="AA387" i="2"/>
  <c r="AA932" i="8" s="1"/>
  <c r="AA933" i="8" s="1"/>
  <c r="AA1212" i="8"/>
  <c r="AA1213" i="8" s="1"/>
  <c r="AA768" i="8"/>
  <c r="AA769" i="8" s="1"/>
  <c r="AC992" i="8"/>
  <c r="AC993" i="8" s="1"/>
  <c r="AC729" i="2"/>
  <c r="AC202" i="14" s="1"/>
  <c r="AC740" i="2"/>
  <c r="AD675" i="2"/>
  <c r="AA804" i="8"/>
  <c r="AA805" i="8" s="1"/>
  <c r="AB1172" i="8"/>
  <c r="AB1173" i="8" s="1"/>
  <c r="Y900" i="8"/>
  <c r="Y901" i="8" s="1"/>
  <c r="Y379" i="2"/>
  <c r="AC1180" i="8"/>
  <c r="AC1181" i="8" s="1"/>
  <c r="AD812" i="8"/>
  <c r="AD813" i="8" s="1"/>
  <c r="AA1164" i="8"/>
  <c r="AA1165" i="8" s="1"/>
  <c r="AB996" i="8"/>
  <c r="AB997" i="8" s="1"/>
  <c r="AC676" i="2"/>
  <c r="AC210" i="13" s="1"/>
  <c r="AB741" i="2"/>
  <c r="AB730" i="2"/>
  <c r="AB203" i="14" s="1"/>
  <c r="AB1016" i="8"/>
  <c r="AB1017" i="8" s="1"/>
  <c r="AC681" i="2"/>
  <c r="AC215" i="13" s="1"/>
  <c r="AB746" i="2"/>
  <c r="AB735" i="2"/>
  <c r="AB208" i="14" s="1"/>
  <c r="AB608" i="8"/>
  <c r="AB609" i="8" s="1"/>
  <c r="AB333" i="2"/>
  <c r="AB40" i="14" s="1"/>
  <c r="AB344" i="2"/>
  <c r="AC279" i="2"/>
  <c r="AC760" i="8"/>
  <c r="AC761" i="8" s="1"/>
  <c r="AB1000" i="8"/>
  <c r="AB1001" i="8" s="1"/>
  <c r="AB731" i="2"/>
  <c r="AB204" i="14" s="1"/>
  <c r="AB742" i="2"/>
  <c r="AC677" i="2"/>
  <c r="AC211" i="13" s="1"/>
  <c r="AB792" i="8"/>
  <c r="AB793" i="8" s="1"/>
  <c r="AA1196" i="8"/>
  <c r="AA1197" i="8" s="1"/>
  <c r="AB1188" i="8"/>
  <c r="AB1189" i="8" s="1"/>
  <c r="AB1208" i="8"/>
  <c r="AB1209" i="8" s="1"/>
  <c r="AD776" i="8"/>
  <c r="AD777" i="8" s="1"/>
  <c r="AB764" i="8"/>
  <c r="AB765" i="8" s="1"/>
  <c r="AA1192" i="8"/>
  <c r="AA1193" i="8" s="1"/>
  <c r="AE335" i="2"/>
  <c r="AE42" i="14" s="1"/>
  <c r="AE616" i="8"/>
  <c r="AE617" i="8" s="1"/>
  <c r="F617" i="8" s="1"/>
  <c r="AE346" i="2"/>
  <c r="AB800" i="8"/>
  <c r="AB801" i="8" s="1"/>
  <c r="AA1156" i="8"/>
  <c r="AA1157" i="8" s="1"/>
  <c r="Z378" i="2"/>
  <c r="Z916" i="8" s="1"/>
  <c r="Z917" i="8" s="1"/>
  <c r="Z389" i="2"/>
  <c r="Z940" i="8" s="1"/>
  <c r="Z941" i="8" s="1"/>
  <c r="AA816" i="8"/>
  <c r="AA817" i="8" s="1"/>
  <c r="Z371" i="2"/>
  <c r="Z896" i="8" s="1"/>
  <c r="Z897" i="8" s="1"/>
  <c r="AB784" i="8"/>
  <c r="AB785" i="8" s="1"/>
  <c r="AB620" i="8"/>
  <c r="AB621" i="8" s="1"/>
  <c r="AC282" i="2"/>
  <c r="AC76" i="13" s="1"/>
  <c r="AB347" i="2"/>
  <c r="AB336" i="2"/>
  <c r="AB43" i="14" s="1"/>
  <c r="AD283" i="2"/>
  <c r="AC337" i="2"/>
  <c r="AC44" i="14" s="1"/>
  <c r="AC624" i="8"/>
  <c r="AC625" i="8" s="1"/>
  <c r="AC348" i="2"/>
  <c r="AA748" i="2"/>
  <c r="AA1220" i="8" s="1"/>
  <c r="AA1221" i="8" s="1"/>
  <c r="Y924" i="8"/>
  <c r="Y925" i="8" s="1"/>
  <c r="Y390" i="2"/>
  <c r="Y944" i="8" s="1"/>
  <c r="AD600" i="8"/>
  <c r="AD601" i="8" s="1"/>
  <c r="AD331" i="2"/>
  <c r="AD38" i="14" s="1"/>
  <c r="AD342" i="2"/>
  <c r="AE277" i="2"/>
  <c r="AE71" i="13" s="1"/>
  <c r="AA780" i="8"/>
  <c r="AA781" i="8" s="1"/>
  <c r="AC796" i="8"/>
  <c r="AC797" i="8" s="1"/>
  <c r="AA349" i="2"/>
  <c r="AA824" i="8" s="1"/>
  <c r="AA825" i="8" s="1"/>
  <c r="AA828" i="8"/>
  <c r="AA829" i="8" s="1"/>
  <c r="AB820" i="8"/>
  <c r="AB821" i="8" s="1"/>
  <c r="T260" i="14" l="1"/>
  <c r="S263" i="14"/>
  <c r="S265" i="14" s="1"/>
  <c r="U259" i="14"/>
  <c r="U261" i="14" s="1"/>
  <c r="V255" i="14"/>
  <c r="V257" i="14" s="1"/>
  <c r="W254" i="14"/>
  <c r="W255" i="14" s="1"/>
  <c r="W257" i="14" s="1"/>
  <c r="X254" i="14"/>
  <c r="X255" i="14" s="1"/>
  <c r="X257" i="14" s="1"/>
  <c r="T262" i="14"/>
  <c r="R260" i="14"/>
  <c r="R262" i="14" s="1"/>
  <c r="AD397" i="2"/>
  <c r="X149" i="14"/>
  <c r="X152" i="14" s="1"/>
  <c r="X153" i="14" s="1"/>
  <c r="X1614" i="8" s="1"/>
  <c r="AB77" i="14"/>
  <c r="X91" i="14"/>
  <c r="W1615" i="8"/>
  <c r="W156" i="14"/>
  <c r="W154" i="14"/>
  <c r="AA81" i="14"/>
  <c r="W252" i="14"/>
  <c r="AA246" i="14"/>
  <c r="AC261" i="2"/>
  <c r="X95" i="14"/>
  <c r="X107" i="14"/>
  <c r="X87" i="14"/>
  <c r="AA247" i="14"/>
  <c r="AA243" i="14"/>
  <c r="AA244" i="14" s="1"/>
  <c r="X143" i="14"/>
  <c r="AA395" i="2"/>
  <c r="AA960" i="8" s="1"/>
  <c r="AA961" i="8" s="1"/>
  <c r="X103" i="14"/>
  <c r="X99" i="14"/>
  <c r="AA396" i="2"/>
  <c r="X252" i="14"/>
  <c r="AD239" i="14"/>
  <c r="AB366" i="2"/>
  <c r="AB70" i="14"/>
  <c r="Y157" i="14"/>
  <c r="Y158" i="14" s="1"/>
  <c r="Y1616" i="8"/>
  <c r="AA383" i="2"/>
  <c r="X131" i="14"/>
  <c r="Y251" i="14"/>
  <c r="Y253" i="14" s="1"/>
  <c r="X123" i="14"/>
  <c r="AB242" i="14"/>
  <c r="P247" i="8"/>
  <c r="P248" i="8" s="1"/>
  <c r="P87" i="12"/>
  <c r="Q579" i="2"/>
  <c r="N1487" i="8"/>
  <c r="N66" i="12"/>
  <c r="Y1613" i="8"/>
  <c r="Y169" i="14"/>
  <c r="Y167" i="14"/>
  <c r="Y165" i="14"/>
  <c r="Y163" i="14"/>
  <c r="Y161" i="14"/>
  <c r="Y168" i="14"/>
  <c r="Y166" i="14"/>
  <c r="Y164" i="14"/>
  <c r="Y162" i="14"/>
  <c r="Y150" i="14"/>
  <c r="Y151" i="14"/>
  <c r="P76" i="12"/>
  <c r="Q520" i="2"/>
  <c r="P215" i="8"/>
  <c r="P216" i="8" s="1"/>
  <c r="X139" i="14"/>
  <c r="O276" i="13"/>
  <c r="O278" i="13" s="1"/>
  <c r="O1664" i="8"/>
  <c r="O322" i="14"/>
  <c r="O323" i="14" s="1"/>
  <c r="O1657" i="8" s="1"/>
  <c r="O1620" i="8"/>
  <c r="O1376" i="8"/>
  <c r="O1377" i="8" s="1"/>
  <c r="O1436" i="8"/>
  <c r="O1435" i="8"/>
  <c r="O85" i="12"/>
  <c r="O239" i="8"/>
  <c r="O240" i="8" s="1"/>
  <c r="P577" i="2"/>
  <c r="X119" i="14"/>
  <c r="Q576" i="2"/>
  <c r="P84" i="12"/>
  <c r="P235" i="8"/>
  <c r="P236" i="8" s="1"/>
  <c r="M276" i="13"/>
  <c r="M278" i="13" s="1"/>
  <c r="M1664" i="8"/>
  <c r="M322" i="14"/>
  <c r="M323" i="14" s="1"/>
  <c r="M1657" i="8" s="1"/>
  <c r="M1620" i="8"/>
  <c r="M1435" i="8"/>
  <c r="M1436" i="8"/>
  <c r="M1376" i="8"/>
  <c r="M1377" i="8" s="1"/>
  <c r="X111" i="14"/>
  <c r="Y110" i="14"/>
  <c r="Y112" i="14" s="1"/>
  <c r="Y90" i="14"/>
  <c r="Y92" i="14" s="1"/>
  <c r="Q1525" i="8"/>
  <c r="Q1631" i="8"/>
  <c r="AC363" i="2"/>
  <c r="AC67" i="14"/>
  <c r="X135" i="14"/>
  <c r="Y94" i="14"/>
  <c r="Y96" i="14" s="1"/>
  <c r="Z80" i="14"/>
  <c r="Q455" i="2"/>
  <c r="P59" i="12"/>
  <c r="P159" i="8"/>
  <c r="P160" i="8" s="1"/>
  <c r="AB238" i="14"/>
  <c r="P199" i="8"/>
  <c r="P200" i="8" s="1"/>
  <c r="Q516" i="2"/>
  <c r="P72" i="12"/>
  <c r="L276" i="13"/>
  <c r="L278" i="13" s="1"/>
  <c r="L1664" i="8"/>
  <c r="L322" i="14"/>
  <c r="L323" i="14" s="1"/>
  <c r="L1657" i="8" s="1"/>
  <c r="L1620" i="8"/>
  <c r="L1376" i="8"/>
  <c r="L1377" i="8" s="1"/>
  <c r="L1435" i="8"/>
  <c r="L1436" i="8"/>
  <c r="Y122" i="14"/>
  <c r="Y124" i="14" s="1"/>
  <c r="Q638" i="2"/>
  <c r="P279" i="8"/>
  <c r="P280" i="8" s="1"/>
  <c r="P98" i="12"/>
  <c r="AD364" i="2"/>
  <c r="AD868" i="8" s="1"/>
  <c r="AD869" i="8" s="1"/>
  <c r="AD68" i="14"/>
  <c r="AC365" i="2"/>
  <c r="AC872" i="8" s="1"/>
  <c r="AC873" i="8" s="1"/>
  <c r="AC69" i="14"/>
  <c r="AB367" i="2"/>
  <c r="AB71" i="14"/>
  <c r="P637" i="2"/>
  <c r="O97" i="12"/>
  <c r="O275" i="8"/>
  <c r="O276" i="8" s="1"/>
  <c r="N1532" i="8"/>
  <c r="N1660" i="8"/>
  <c r="N1634" i="8"/>
  <c r="N1528" i="8"/>
  <c r="N1536" i="8"/>
  <c r="N1316" i="8"/>
  <c r="N1317" i="8" s="1"/>
  <c r="N779" i="2"/>
  <c r="N1648" i="8" s="1"/>
  <c r="N276" i="13"/>
  <c r="N278" i="13" s="1"/>
  <c r="N1664" i="8"/>
  <c r="N322" i="14"/>
  <c r="N323" i="14" s="1"/>
  <c r="N1657" i="8" s="1"/>
  <c r="N1620" i="8"/>
  <c r="N1436" i="8"/>
  <c r="N1435" i="8"/>
  <c r="N1376" i="8"/>
  <c r="N1377" i="8" s="1"/>
  <c r="Y130" i="14"/>
  <c r="Y132" i="14" s="1"/>
  <c r="Q460" i="2"/>
  <c r="P64" i="12"/>
  <c r="P179" i="8"/>
  <c r="P180" i="8" s="1"/>
  <c r="Q1316" i="8"/>
  <c r="Q1317" i="8" s="1"/>
  <c r="Q779" i="2"/>
  <c r="Q1648" i="8" s="1"/>
  <c r="P517" i="2"/>
  <c r="O203" i="8"/>
  <c r="O204" i="8" s="1"/>
  <c r="O73" i="12"/>
  <c r="AB235" i="14"/>
  <c r="Y114" i="14"/>
  <c r="Y116" i="14" s="1"/>
  <c r="AC370" i="2"/>
  <c r="AC892" i="8" s="1"/>
  <c r="AC893" i="8" s="1"/>
  <c r="AC74" i="14"/>
  <c r="AA398" i="2"/>
  <c r="AA972" i="8" s="1"/>
  <c r="AA973" i="8" s="1"/>
  <c r="N1489" i="8"/>
  <c r="N90" i="12"/>
  <c r="N1472" i="8" s="1"/>
  <c r="N1531" i="8"/>
  <c r="N1659" i="8"/>
  <c r="N1633" i="8"/>
  <c r="N1527" i="8"/>
  <c r="N1535" i="8"/>
  <c r="P457" i="2"/>
  <c r="O167" i="8"/>
  <c r="O168" i="8" s="1"/>
  <c r="O61" i="12"/>
  <c r="P581" i="2"/>
  <c r="O89" i="12"/>
  <c r="O255" i="8"/>
  <c r="O256" i="8" s="1"/>
  <c r="Y106" i="14"/>
  <c r="Y108" i="14" s="1"/>
  <c r="P60" i="12"/>
  <c r="Q456" i="2"/>
  <c r="P163" i="8"/>
  <c r="P164" i="8" s="1"/>
  <c r="P211" i="8"/>
  <c r="P212" i="8" s="1"/>
  <c r="Q519" i="2"/>
  <c r="P75" i="12"/>
  <c r="AC232" i="14"/>
  <c r="O223" i="8"/>
  <c r="O224" i="8" s="1"/>
  <c r="P573" i="2"/>
  <c r="O81" i="12"/>
  <c r="O582" i="2"/>
  <c r="O1646" i="8" s="1"/>
  <c r="AA78" i="14"/>
  <c r="AA79" i="14" s="1"/>
  <c r="Q461" i="2"/>
  <c r="P183" i="8"/>
  <c r="P184" i="8" s="1"/>
  <c r="P65" i="12"/>
  <c r="N1533" i="8"/>
  <c r="N1661" i="8"/>
  <c r="N1529" i="8"/>
  <c r="N1635" i="8"/>
  <c r="N1537" i="8"/>
  <c r="L1316" i="8"/>
  <c r="L1317" i="8" s="1"/>
  <c r="L779" i="2"/>
  <c r="L1648" i="8" s="1"/>
  <c r="N78" i="12"/>
  <c r="N1471" i="8" s="1"/>
  <c r="N1488" i="8"/>
  <c r="Q634" i="2"/>
  <c r="P263" i="8"/>
  <c r="P264" i="8" s="1"/>
  <c r="P94" i="12"/>
  <c r="Y142" i="14"/>
  <c r="Y144" i="14" s="1"/>
  <c r="X115" i="14"/>
  <c r="Q636" i="2"/>
  <c r="P271" i="8"/>
  <c r="P272" i="8" s="1"/>
  <c r="P96" i="12"/>
  <c r="P580" i="2"/>
  <c r="O251" i="8"/>
  <c r="O252" i="8" s="1"/>
  <c r="O88" i="12"/>
  <c r="AB233" i="14"/>
  <c r="AC236" i="14"/>
  <c r="Q1522" i="8"/>
  <c r="Q1628" i="8"/>
  <c r="R1524" i="8"/>
  <c r="R1630" i="8"/>
  <c r="AA1515" i="8"/>
  <c r="AA1641" i="8"/>
  <c r="Q515" i="2"/>
  <c r="P71" i="12"/>
  <c r="P195" i="8"/>
  <c r="P196" i="8" s="1"/>
  <c r="N102" i="12"/>
  <c r="N1473" i="8" s="1"/>
  <c r="N1490" i="8"/>
  <c r="P276" i="13"/>
  <c r="P278" i="13" s="1"/>
  <c r="P1664" i="8"/>
  <c r="P322" i="14"/>
  <c r="P323" i="14" s="1"/>
  <c r="P1657" i="8" s="1"/>
  <c r="P1620" i="8"/>
  <c r="P1376" i="8"/>
  <c r="P1377" i="8" s="1"/>
  <c r="P1435" i="8"/>
  <c r="P1436" i="8"/>
  <c r="P513" i="2"/>
  <c r="O69" i="12"/>
  <c r="O187" i="8"/>
  <c r="O188" i="8" s="1"/>
  <c r="O522" i="2"/>
  <c r="O1645" i="8" s="1"/>
  <c r="Y126" i="14"/>
  <c r="Y128" i="14" s="1"/>
  <c r="Q459" i="2"/>
  <c r="P175" i="8"/>
  <c r="P176" i="8" s="1"/>
  <c r="P63" i="12"/>
  <c r="P267" i="8"/>
  <c r="P268" i="8" s="1"/>
  <c r="Q635" i="2"/>
  <c r="P95" i="12"/>
  <c r="V156" i="14"/>
  <c r="V1615" i="8"/>
  <c r="V152" i="14"/>
  <c r="O227" i="8"/>
  <c r="O228" i="8" s="1"/>
  <c r="P574" i="2"/>
  <c r="O82" i="12"/>
  <c r="Y102" i="14"/>
  <c r="Y104" i="14" s="1"/>
  <c r="AC260" i="2"/>
  <c r="Q640" i="2"/>
  <c r="P100" i="12"/>
  <c r="P287" i="8"/>
  <c r="P288" i="8" s="1"/>
  <c r="AB234" i="14"/>
  <c r="AE368" i="2"/>
  <c r="AE884" i="8" s="1"/>
  <c r="AE885" i="8" s="1"/>
  <c r="F885" i="8" s="1"/>
  <c r="AE72" i="14"/>
  <c r="AC237" i="14"/>
  <c r="Q458" i="2"/>
  <c r="P62" i="12"/>
  <c r="P171" i="8"/>
  <c r="P172" i="8" s="1"/>
  <c r="Q276" i="13"/>
  <c r="Q278" i="13" s="1"/>
  <c r="Q1664" i="8"/>
  <c r="Q322" i="14"/>
  <c r="Q323" i="14" s="1"/>
  <c r="Q1657" i="8" s="1"/>
  <c r="Q1620" i="8"/>
  <c r="Q1376" i="8"/>
  <c r="Q1377" i="8" s="1"/>
  <c r="Q1436" i="8"/>
  <c r="Q1435" i="8"/>
  <c r="P633" i="2"/>
  <c r="O93" i="12"/>
  <c r="O642" i="2"/>
  <c r="O1647" i="8" s="1"/>
  <c r="O259" i="8"/>
  <c r="O260" i="8" s="1"/>
  <c r="P1316" i="8"/>
  <c r="P1317" i="8" s="1"/>
  <c r="P779" i="2"/>
  <c r="P1648" i="8" s="1"/>
  <c r="Q575" i="2"/>
  <c r="P231" i="8"/>
  <c r="P232" i="8" s="1"/>
  <c r="P83" i="12"/>
  <c r="Q639" i="2"/>
  <c r="P283" i="8"/>
  <c r="P284" i="8" s="1"/>
  <c r="P99" i="12"/>
  <c r="M1316" i="8"/>
  <c r="M1317" i="8" s="1"/>
  <c r="M779" i="2"/>
  <c r="M1648" i="8" s="1"/>
  <c r="Y86" i="14"/>
  <c r="Y88" i="14" s="1"/>
  <c r="Y138" i="14"/>
  <c r="Y140" i="14" s="1"/>
  <c r="X127" i="14"/>
  <c r="AA82" i="14"/>
  <c r="P74" i="12"/>
  <c r="P207" i="8"/>
  <c r="P208" i="8" s="1"/>
  <c r="Q518" i="2"/>
  <c r="AB369" i="2"/>
  <c r="AB888" i="8" s="1"/>
  <c r="AB889" i="8" s="1"/>
  <c r="AB73" i="14"/>
  <c r="M1470" i="8"/>
  <c r="M1662" i="8"/>
  <c r="Q521" i="2"/>
  <c r="P77" i="12"/>
  <c r="P219" i="8"/>
  <c r="P220" i="8" s="1"/>
  <c r="N1530" i="8"/>
  <c r="N1658" i="8"/>
  <c r="N1526" i="8"/>
  <c r="N1632" i="8"/>
  <c r="N1534" i="8"/>
  <c r="Y98" i="14"/>
  <c r="Y100" i="14" s="1"/>
  <c r="Y134" i="14"/>
  <c r="Y136" i="14" s="1"/>
  <c r="O70" i="12"/>
  <c r="O191" i="8"/>
  <c r="O192" i="8" s="1"/>
  <c r="P514" i="2"/>
  <c r="Z1649" i="8"/>
  <c r="Z649" i="2"/>
  <c r="Z1621" i="8" s="1"/>
  <c r="Z248" i="14"/>
  <c r="R1523" i="8"/>
  <c r="R1629" i="8"/>
  <c r="P86" i="12"/>
  <c r="P243" i="8"/>
  <c r="P244" i="8" s="1"/>
  <c r="Q578" i="2"/>
  <c r="P641" i="2"/>
  <c r="O101" i="12"/>
  <c r="O291" i="8"/>
  <c r="O292" i="8" s="1"/>
  <c r="Q454" i="2"/>
  <c r="P155" i="8"/>
  <c r="P156" i="8" s="1"/>
  <c r="P58" i="12"/>
  <c r="P453" i="2"/>
  <c r="O151" i="8"/>
  <c r="O152" i="8" s="1"/>
  <c r="O57" i="12"/>
  <c r="O462" i="2"/>
  <c r="O1644" i="8" s="1"/>
  <c r="Y118" i="14"/>
  <c r="Y120" i="14" s="1"/>
  <c r="O1316" i="8"/>
  <c r="O1317" i="8" s="1"/>
  <c r="O779" i="2"/>
  <c r="O1648" i="8" s="1"/>
  <c r="AA1543" i="8"/>
  <c r="AA1514" i="8"/>
  <c r="Z1513" i="8"/>
  <c r="AA271" i="13"/>
  <c r="AA272" i="13"/>
  <c r="AA265" i="13"/>
  <c r="AA268" i="13"/>
  <c r="AA273" i="13"/>
  <c r="AA266" i="13"/>
  <c r="AA270" i="13"/>
  <c r="AA269" i="13"/>
  <c r="Z1511" i="8"/>
  <c r="AA231" i="13"/>
  <c r="AB222" i="13"/>
  <c r="AB226" i="13" s="1"/>
  <c r="AB1512" i="8"/>
  <c r="AC1542" i="8"/>
  <c r="AB264" i="13"/>
  <c r="AB273" i="13" s="1"/>
  <c r="AA229" i="13"/>
  <c r="AA224" i="13"/>
  <c r="AA1540" i="8"/>
  <c r="Q1467" i="8"/>
  <c r="AA1505" i="8"/>
  <c r="AA1516" i="8"/>
  <c r="AA1538" i="8"/>
  <c r="AC256" i="13"/>
  <c r="AA228" i="13"/>
  <c r="AC257" i="13"/>
  <c r="AA223" i="13"/>
  <c r="AC251" i="13"/>
  <c r="AC258" i="13"/>
  <c r="AC255" i="13"/>
  <c r="AC252" i="13"/>
  <c r="AC259" i="13"/>
  <c r="AA226" i="13"/>
  <c r="AA227" i="13"/>
  <c r="AA225" i="13"/>
  <c r="AC253" i="13"/>
  <c r="AA138" i="13"/>
  <c r="AD250" i="13"/>
  <c r="AD258" i="13" s="1"/>
  <c r="Q15" i="12"/>
  <c r="Q1466" i="8" s="1"/>
  <c r="AB217" i="13"/>
  <c r="AB1504" i="8"/>
  <c r="Y980" i="8"/>
  <c r="Y981" i="8" s="1"/>
  <c r="Y137" i="13"/>
  <c r="Y139" i="13" s="1"/>
  <c r="Y1507" i="8" s="1"/>
  <c r="AC212" i="13"/>
  <c r="AC234" i="13" s="1"/>
  <c r="AC235" i="13"/>
  <c r="P1469" i="8"/>
  <c r="P1485" i="8"/>
  <c r="P1486" i="8" s="1"/>
  <c r="AD209" i="13"/>
  <c r="AC124" i="13"/>
  <c r="AC125" i="13" s="1"/>
  <c r="AC74" i="13"/>
  <c r="AC123" i="13" s="1"/>
  <c r="R27" i="12"/>
  <c r="U180" i="2"/>
  <c r="T36" i="12"/>
  <c r="T103" i="8"/>
  <c r="T104" i="8" s="1"/>
  <c r="U179" i="2"/>
  <c r="T35" i="12"/>
  <c r="T99" i="8"/>
  <c r="T100" i="8" s="1"/>
  <c r="U121" i="2"/>
  <c r="T25" i="12"/>
  <c r="T71" i="8"/>
  <c r="T72" i="8" s="1"/>
  <c r="T114" i="2"/>
  <c r="S18" i="12"/>
  <c r="S43" i="8"/>
  <c r="S44" i="8" s="1"/>
  <c r="S123" i="2"/>
  <c r="T174" i="2"/>
  <c r="S30" i="12"/>
  <c r="S79" i="8"/>
  <c r="S80" i="8" s="1"/>
  <c r="S183" i="2"/>
  <c r="T115" i="2"/>
  <c r="S19" i="12"/>
  <c r="S47" i="8"/>
  <c r="S48" i="8" s="1"/>
  <c r="AA1503" i="8"/>
  <c r="T176" i="2"/>
  <c r="S32" i="12"/>
  <c r="S87" i="8"/>
  <c r="S88" i="8" s="1"/>
  <c r="R39" i="12"/>
  <c r="AD213" i="13"/>
  <c r="S60" i="2"/>
  <c r="R12" i="12"/>
  <c r="R31" i="8"/>
  <c r="R32" i="8" s="1"/>
  <c r="T117" i="2"/>
  <c r="S21" i="12"/>
  <c r="S55" i="8"/>
  <c r="S56" i="8" s="1"/>
  <c r="AB1500" i="8"/>
  <c r="T120" i="2"/>
  <c r="S24" i="12"/>
  <c r="S67" i="8"/>
  <c r="S68" i="8" s="1"/>
  <c r="T56" i="2"/>
  <c r="S8" i="12"/>
  <c r="S15" i="8"/>
  <c r="S16" i="8" s="1"/>
  <c r="U116" i="2"/>
  <c r="T20" i="12"/>
  <c r="T51" i="8"/>
  <c r="T52" i="8" s="1"/>
  <c r="T240" i="2"/>
  <c r="S48" i="12"/>
  <c r="S139" i="8"/>
  <c r="S140" i="8" s="1"/>
  <c r="AC262" i="13"/>
  <c r="AD110" i="13"/>
  <c r="AD111" i="13" s="1"/>
  <c r="AD77" i="13"/>
  <c r="AD109" i="13" s="1"/>
  <c r="AA1541" i="8"/>
  <c r="AA242" i="13"/>
  <c r="AA244" i="13"/>
  <c r="AA243" i="13"/>
  <c r="AA237" i="13"/>
  <c r="AA240" i="13"/>
  <c r="AA238" i="13"/>
  <c r="AA241" i="13"/>
  <c r="AA239" i="13"/>
  <c r="AA245" i="13"/>
  <c r="AB102" i="13"/>
  <c r="AB99" i="13"/>
  <c r="AB103" i="13"/>
  <c r="AB106" i="13"/>
  <c r="AB98" i="13"/>
  <c r="AB105" i="13"/>
  <c r="AB101" i="13"/>
  <c r="AB104" i="13"/>
  <c r="AB100" i="13"/>
  <c r="AB236" i="13"/>
  <c r="S242" i="2"/>
  <c r="R50" i="12"/>
  <c r="R147" i="8"/>
  <c r="R148" i="8" s="1"/>
  <c r="T177" i="2"/>
  <c r="S33" i="12"/>
  <c r="S91" i="8"/>
  <c r="S92" i="8" s="1"/>
  <c r="AC263" i="13"/>
  <c r="AD82" i="13"/>
  <c r="AD83" i="13" s="1"/>
  <c r="AD70" i="13"/>
  <c r="T62" i="2"/>
  <c r="S14" i="12"/>
  <c r="S39" i="8"/>
  <c r="S40" i="8" s="1"/>
  <c r="S236" i="2"/>
  <c r="R123" i="8"/>
  <c r="R124" i="8" s="1"/>
  <c r="R44" i="12"/>
  <c r="AC114" i="13"/>
  <c r="AC119" i="13"/>
  <c r="AC117" i="13"/>
  <c r="AC112" i="13"/>
  <c r="AC113" i="13"/>
  <c r="AC116" i="13"/>
  <c r="AC120" i="13"/>
  <c r="AC118" i="13"/>
  <c r="AC115" i="13"/>
  <c r="Q51" i="12"/>
  <c r="S235" i="2"/>
  <c r="R43" i="12"/>
  <c r="R119" i="8"/>
  <c r="R120" i="8" s="1"/>
  <c r="T178" i="2"/>
  <c r="S34" i="12"/>
  <c r="S95" i="8"/>
  <c r="S96" i="8" s="1"/>
  <c r="Z1510" i="8"/>
  <c r="Q1482" i="8"/>
  <c r="Q1483" i="8" s="1"/>
  <c r="Q1468" i="8"/>
  <c r="AC81" i="13"/>
  <c r="S234" i="2"/>
  <c r="R42" i="12"/>
  <c r="R115" i="8"/>
  <c r="R116" i="8" s="1"/>
  <c r="R243" i="2"/>
  <c r="AE249" i="13"/>
  <c r="AE216" i="13"/>
  <c r="AE248" i="13" s="1"/>
  <c r="AB78" i="13"/>
  <c r="T61" i="2"/>
  <c r="S13" i="12"/>
  <c r="S35" i="8"/>
  <c r="S36" i="8" s="1"/>
  <c r="T59" i="2"/>
  <c r="S11" i="12"/>
  <c r="S27" i="8"/>
  <c r="S28" i="8" s="1"/>
  <c r="U119" i="2"/>
  <c r="T23" i="12"/>
  <c r="T63" i="8"/>
  <c r="T64" i="8" s="1"/>
  <c r="AC87" i="13"/>
  <c r="AC89" i="13"/>
  <c r="AC91" i="13"/>
  <c r="AC86" i="13"/>
  <c r="AC85" i="13"/>
  <c r="AC90" i="13"/>
  <c r="AC92" i="13"/>
  <c r="AC84" i="13"/>
  <c r="AC88" i="13"/>
  <c r="S237" i="2"/>
  <c r="R45" i="12"/>
  <c r="R127" i="8"/>
  <c r="R128" i="8" s="1"/>
  <c r="T238" i="2"/>
  <c r="S46" i="12"/>
  <c r="S131" i="8"/>
  <c r="S132" i="8" s="1"/>
  <c r="P1466" i="8"/>
  <c r="P1476" i="8"/>
  <c r="P1477" i="8" s="1"/>
  <c r="S241" i="2"/>
  <c r="R49" i="12"/>
  <c r="R143" i="8"/>
  <c r="R144" i="8" s="1"/>
  <c r="T118" i="2"/>
  <c r="S22" i="12"/>
  <c r="S59" i="8"/>
  <c r="S60" i="8" s="1"/>
  <c r="AB126" i="13"/>
  <c r="AB128" i="13"/>
  <c r="AB134" i="13"/>
  <c r="AB132" i="13"/>
  <c r="AB133" i="13"/>
  <c r="AB127" i="13"/>
  <c r="AB130" i="13"/>
  <c r="AB131" i="13"/>
  <c r="AB129" i="13"/>
  <c r="S54" i="2"/>
  <c r="R6" i="12"/>
  <c r="R7" i="8"/>
  <c r="R8" i="8" s="1"/>
  <c r="R63" i="2"/>
  <c r="AC221" i="13"/>
  <c r="U182" i="2"/>
  <c r="T38" i="12"/>
  <c r="T111" i="8"/>
  <c r="T112" i="8" s="1"/>
  <c r="AC96" i="13"/>
  <c r="AC97" i="13" s="1"/>
  <c r="AC73" i="13"/>
  <c r="AC95" i="13" s="1"/>
  <c r="T239" i="2"/>
  <c r="S47" i="12"/>
  <c r="S135" i="8"/>
  <c r="S136" i="8" s="1"/>
  <c r="S58" i="2"/>
  <c r="R10" i="12"/>
  <c r="R23" i="8"/>
  <c r="R24" i="8" s="1"/>
  <c r="AC220" i="13"/>
  <c r="U122" i="2"/>
  <c r="T26" i="12"/>
  <c r="T75" i="8"/>
  <c r="T76" i="8" s="1"/>
  <c r="AB1502" i="8"/>
  <c r="U175" i="2"/>
  <c r="T83" i="8"/>
  <c r="T84" i="8" s="1"/>
  <c r="T31" i="12"/>
  <c r="T57" i="2"/>
  <c r="S9" i="12"/>
  <c r="S19" i="8"/>
  <c r="S20" i="8" s="1"/>
  <c r="T181" i="2"/>
  <c r="S37" i="12"/>
  <c r="S107" i="8"/>
  <c r="S108" i="8" s="1"/>
  <c r="AA1501" i="8"/>
  <c r="S55" i="2"/>
  <c r="R11" i="8"/>
  <c r="R12" i="8" s="1"/>
  <c r="R7" i="12"/>
  <c r="AB392" i="2"/>
  <c r="AB948" i="8" s="1"/>
  <c r="AB949" i="8" s="1"/>
  <c r="AA382" i="2"/>
  <c r="AB376" i="2"/>
  <c r="AB908" i="8" s="1"/>
  <c r="AB909" i="8" s="1"/>
  <c r="AC393" i="2"/>
  <c r="AC952" i="8" s="1"/>
  <c r="AC953" i="8" s="1"/>
  <c r="AA844" i="8"/>
  <c r="AA845" i="8" s="1"/>
  <c r="AB394" i="2"/>
  <c r="AB956" i="8" s="1"/>
  <c r="AB957" i="8" s="1"/>
  <c r="AA374" i="2"/>
  <c r="AA900" i="8" s="1"/>
  <c r="AA901" i="8" s="1"/>
  <c r="AC259" i="2"/>
  <c r="AB399" i="2"/>
  <c r="AB976" i="8" s="1"/>
  <c r="AB977" i="8" s="1"/>
  <c r="Z400" i="2"/>
  <c r="Z157" i="14" s="1"/>
  <c r="Z158" i="14" s="1"/>
  <c r="AA852" i="8"/>
  <c r="AA853" i="8" s="1"/>
  <c r="AD848" i="8"/>
  <c r="AD849" i="8" s="1"/>
  <c r="AC258" i="2"/>
  <c r="Y1432" i="8"/>
  <c r="AA880" i="8"/>
  <c r="AA881" i="8" s="1"/>
  <c r="Y1431" i="8"/>
  <c r="AD968" i="8"/>
  <c r="AD969" i="8" s="1"/>
  <c r="X1433" i="8"/>
  <c r="X1445" i="8"/>
  <c r="AC359" i="2"/>
  <c r="Y920" i="8"/>
  <c r="Y921" i="8" s="1"/>
  <c r="Y380" i="2"/>
  <c r="AA964" i="8"/>
  <c r="AA965" i="8" s="1"/>
  <c r="AE357" i="2"/>
  <c r="AE848" i="8" s="1"/>
  <c r="AE849" i="8" s="1"/>
  <c r="Z860" i="8"/>
  <c r="Z861" i="8" s="1"/>
  <c r="Z381" i="2"/>
  <c r="Z1434" i="8" s="1"/>
  <c r="AB358" i="2"/>
  <c r="AD353" i="2"/>
  <c r="AB356" i="2"/>
  <c r="AB844" i="8" s="1"/>
  <c r="AB845" i="8" s="1"/>
  <c r="AC354" i="2"/>
  <c r="AC352" i="2"/>
  <c r="AB355" i="2"/>
  <c r="AA840" i="8"/>
  <c r="AA841" i="8" s="1"/>
  <c r="AB387" i="2"/>
  <c r="AB932" i="8" s="1"/>
  <c r="AB933" i="8" s="1"/>
  <c r="AB737" i="2"/>
  <c r="AB1184" i="8" s="1"/>
  <c r="AB1185" i="8" s="1"/>
  <c r="AA385" i="2"/>
  <c r="AA924" i="8" s="1"/>
  <c r="AA925" i="8" s="1"/>
  <c r="AB349" i="2"/>
  <c r="AB824" i="8" s="1"/>
  <c r="AB825" i="8" s="1"/>
  <c r="AB386" i="2"/>
  <c r="AB928" i="8" s="1"/>
  <c r="AB929" i="8" s="1"/>
  <c r="AA360" i="2"/>
  <c r="AB338" i="2"/>
  <c r="AB788" i="8" s="1"/>
  <c r="AB789" i="8" s="1"/>
  <c r="AB808" i="8"/>
  <c r="AB809" i="8" s="1"/>
  <c r="AC345" i="2"/>
  <c r="AC334" i="2"/>
  <c r="AC41" i="14" s="1"/>
  <c r="AD280" i="2"/>
  <c r="AC612" i="8"/>
  <c r="AC613" i="8" s="1"/>
  <c r="AB772" i="8"/>
  <c r="AB773" i="8" s="1"/>
  <c r="AD796" i="8"/>
  <c r="AD797" i="8" s="1"/>
  <c r="AB1160" i="8"/>
  <c r="AB1161" i="8" s="1"/>
  <c r="AB1196" i="8"/>
  <c r="AB1197" i="8" s="1"/>
  <c r="AC996" i="8"/>
  <c r="AC997" i="8" s="1"/>
  <c r="AD676" i="2"/>
  <c r="AD210" i="13" s="1"/>
  <c r="AC741" i="2"/>
  <c r="AC730" i="2"/>
  <c r="AC203" i="14" s="1"/>
  <c r="AD1008" i="8"/>
  <c r="AD1009" i="8" s="1"/>
  <c r="AE679" i="2"/>
  <c r="AD744" i="2"/>
  <c r="AD733" i="2"/>
  <c r="AD206" i="14" s="1"/>
  <c r="AD1012" i="8"/>
  <c r="AD1013" i="8" s="1"/>
  <c r="AD745" i="2"/>
  <c r="AD734" i="2"/>
  <c r="AD207" i="14" s="1"/>
  <c r="AE680" i="2"/>
  <c r="AE214" i="13" s="1"/>
  <c r="AC1204" i="8"/>
  <c r="AC1205" i="8" s="1"/>
  <c r="AC1172" i="8"/>
  <c r="AC1173" i="8" s="1"/>
  <c r="AB828" i="8"/>
  <c r="AB829" i="8" s="1"/>
  <c r="AC1000" i="8"/>
  <c r="AC1001" i="8" s="1"/>
  <c r="AD677" i="2"/>
  <c r="AD211" i="13" s="1"/>
  <c r="AC731" i="2"/>
  <c r="AC204" i="14" s="1"/>
  <c r="AC742" i="2"/>
  <c r="AD760" i="8"/>
  <c r="AD761" i="8" s="1"/>
  <c r="AA389" i="2"/>
  <c r="AA940" i="8" s="1"/>
  <c r="AA941" i="8" s="1"/>
  <c r="AC1208" i="8"/>
  <c r="AC1209" i="8" s="1"/>
  <c r="AB375" i="2"/>
  <c r="AB904" i="8" s="1"/>
  <c r="AB905" i="8" s="1"/>
  <c r="AB1200" i="8"/>
  <c r="AB1201" i="8" s="1"/>
  <c r="AC820" i="8"/>
  <c r="AC821" i="8" s="1"/>
  <c r="AC608" i="8"/>
  <c r="AC609" i="8" s="1"/>
  <c r="AC344" i="2"/>
  <c r="AC333" i="2"/>
  <c r="AC40" i="14" s="1"/>
  <c r="AD279" i="2"/>
  <c r="AB748" i="2"/>
  <c r="AB1220" i="8" s="1"/>
  <c r="AB1221" i="8" s="1"/>
  <c r="AB1192" i="8"/>
  <c r="AB1193" i="8" s="1"/>
  <c r="AB804" i="8"/>
  <c r="AB805" i="8" s="1"/>
  <c r="AD992" i="8"/>
  <c r="AD993" i="8" s="1"/>
  <c r="AD740" i="2"/>
  <c r="AD729" i="2"/>
  <c r="AD202" i="14" s="1"/>
  <c r="AE675" i="2"/>
  <c r="AE1020" i="8"/>
  <c r="AE1021" i="8" s="1"/>
  <c r="F1021" i="8" s="1"/>
  <c r="AE736" i="2"/>
  <c r="AE209" i="14" s="1"/>
  <c r="AE747" i="2"/>
  <c r="AE283" i="2"/>
  <c r="AD337" i="2"/>
  <c r="AD44" i="14" s="1"/>
  <c r="AD624" i="8"/>
  <c r="AD625" i="8" s="1"/>
  <c r="AD348" i="2"/>
  <c r="AB1156" i="8"/>
  <c r="AB1157" i="8" s="1"/>
  <c r="AC1168" i="8"/>
  <c r="AC1169" i="8" s="1"/>
  <c r="AB1164" i="8"/>
  <c r="AB1165" i="8" s="1"/>
  <c r="AC784" i="8"/>
  <c r="AC785" i="8" s="1"/>
  <c r="AB768" i="8"/>
  <c r="AB769" i="8" s="1"/>
  <c r="AC1188" i="8"/>
  <c r="AC1189" i="8" s="1"/>
  <c r="AD604" i="8"/>
  <c r="AD605" i="8" s="1"/>
  <c r="AD343" i="2"/>
  <c r="AE278" i="2"/>
  <c r="AE72" i="13" s="1"/>
  <c r="AD332" i="2"/>
  <c r="AD39" i="14" s="1"/>
  <c r="AD1216" i="8"/>
  <c r="AD1217" i="8" s="1"/>
  <c r="AC1152" i="8"/>
  <c r="AC1153" i="8" s="1"/>
  <c r="AD1180" i="8"/>
  <c r="AD1181" i="8" s="1"/>
  <c r="AE812" i="8"/>
  <c r="AE813" i="8" s="1"/>
  <c r="F813" i="8" s="1"/>
  <c r="AB1176" i="8"/>
  <c r="AB1177" i="8" s="1"/>
  <c r="AC800" i="8"/>
  <c r="AC801" i="8" s="1"/>
  <c r="AC764" i="8"/>
  <c r="AC765" i="8" s="1"/>
  <c r="AB780" i="8"/>
  <c r="AB781" i="8" s="1"/>
  <c r="AB1212" i="8"/>
  <c r="AB1213" i="8" s="1"/>
  <c r="AA378" i="2"/>
  <c r="AA916" i="8" s="1"/>
  <c r="AA917" i="8" s="1"/>
  <c r="AC792" i="8"/>
  <c r="AC793" i="8" s="1"/>
  <c r="AB816" i="8"/>
  <c r="AB817" i="8" s="1"/>
  <c r="AE776" i="8"/>
  <c r="AE777" i="8" s="1"/>
  <c r="F777" i="8" s="1"/>
  <c r="AB864" i="8"/>
  <c r="AB865" i="8" s="1"/>
  <c r="AC1016" i="8"/>
  <c r="AC1017" i="8" s="1"/>
  <c r="AD681" i="2"/>
  <c r="AD215" i="13" s="1"/>
  <c r="AC746" i="2"/>
  <c r="AC735" i="2"/>
  <c r="AC208" i="14" s="1"/>
  <c r="Z924" i="8"/>
  <c r="Z925" i="8" s="1"/>
  <c r="Z390" i="2"/>
  <c r="Z944" i="8" s="1"/>
  <c r="AC756" i="8"/>
  <c r="AC757" i="8" s="1"/>
  <c r="AE600" i="8"/>
  <c r="AE601" i="8" s="1"/>
  <c r="F601" i="8" s="1"/>
  <c r="AE331" i="2"/>
  <c r="AE38" i="14" s="1"/>
  <c r="AE342" i="2"/>
  <c r="AC620" i="8"/>
  <c r="AC621" i="8" s="1"/>
  <c r="AD282" i="2"/>
  <c r="AD76" i="13" s="1"/>
  <c r="AC347" i="2"/>
  <c r="AC336" i="2"/>
  <c r="AC43" i="14" s="1"/>
  <c r="Z379" i="2"/>
  <c r="AD596" i="8"/>
  <c r="AD597" i="8" s="1"/>
  <c r="AE276" i="2"/>
  <c r="AD341" i="2"/>
  <c r="AD330" i="2"/>
  <c r="AD37" i="14" s="1"/>
  <c r="AC1004" i="8"/>
  <c r="AC1005" i="8" s="1"/>
  <c r="AD678" i="2"/>
  <c r="AC732" i="2"/>
  <c r="AC205" i="14" s="1"/>
  <c r="AC743" i="2"/>
  <c r="AA371" i="2"/>
  <c r="AA896" i="8" s="1"/>
  <c r="AA897" i="8" s="1"/>
  <c r="W256" i="14" l="1"/>
  <c r="X256" i="14"/>
  <c r="R263" i="14"/>
  <c r="R265" i="14" s="1"/>
  <c r="T263" i="14"/>
  <c r="T265" i="14" s="1"/>
  <c r="X258" i="14"/>
  <c r="W258" i="14"/>
  <c r="V256" i="14"/>
  <c r="V258" i="14"/>
  <c r="U260" i="14"/>
  <c r="U262" i="14" s="1"/>
  <c r="S264" i="14"/>
  <c r="S266" i="14"/>
  <c r="X156" i="14"/>
  <c r="X154" i="14"/>
  <c r="AD393" i="2"/>
  <c r="X1615" i="8"/>
  <c r="AB398" i="2"/>
  <c r="AB383" i="2"/>
  <c r="Y127" i="14"/>
  <c r="Y99" i="14"/>
  <c r="AB876" i="8"/>
  <c r="AB877" i="8" s="1"/>
  <c r="Y103" i="14"/>
  <c r="AB247" i="14"/>
  <c r="AB78" i="14"/>
  <c r="AB79" i="14" s="1"/>
  <c r="AB80" i="14" s="1"/>
  <c r="Y123" i="14"/>
  <c r="AC399" i="2"/>
  <c r="AC976" i="8" s="1"/>
  <c r="AC977" i="8" s="1"/>
  <c r="Y135" i="14"/>
  <c r="Y107" i="14"/>
  <c r="Y252" i="14"/>
  <c r="Y254" i="14" s="1"/>
  <c r="AC242" i="14"/>
  <c r="AB243" i="14"/>
  <c r="AB244" i="14" s="1"/>
  <c r="AD260" i="2"/>
  <c r="Y87" i="14"/>
  <c r="AB81" i="14"/>
  <c r="AC234" i="14"/>
  <c r="S1523" i="8"/>
  <c r="S1629" i="8"/>
  <c r="Q95" i="12"/>
  <c r="Q267" i="8"/>
  <c r="Q268" i="8" s="1"/>
  <c r="Q457" i="2"/>
  <c r="P61" i="12"/>
  <c r="P167" i="8"/>
  <c r="P168" i="8" s="1"/>
  <c r="Y115" i="14"/>
  <c r="N1663" i="8"/>
  <c r="N1640" i="8"/>
  <c r="N1437" i="8"/>
  <c r="N1448" i="8"/>
  <c r="Y95" i="14"/>
  <c r="M1665" i="8"/>
  <c r="M1642" i="8"/>
  <c r="M1517" i="8"/>
  <c r="M1539" i="8"/>
  <c r="AD363" i="2"/>
  <c r="AD67" i="14"/>
  <c r="P1663" i="8"/>
  <c r="P1640" i="8"/>
  <c r="P1448" i="8"/>
  <c r="P1437" i="8"/>
  <c r="P227" i="8"/>
  <c r="P228" i="8" s="1"/>
  <c r="Q574" i="2"/>
  <c r="P82" i="12"/>
  <c r="Q183" i="8"/>
  <c r="Q184" i="8" s="1"/>
  <c r="Q65" i="12"/>
  <c r="R1522" i="8"/>
  <c r="R1628" i="8"/>
  <c r="P101" i="12"/>
  <c r="P291" i="8"/>
  <c r="P292" i="8" s="1"/>
  <c r="Q641" i="2"/>
  <c r="O1533" i="8"/>
  <c r="O1661" i="8"/>
  <c r="O1529" i="8"/>
  <c r="O1635" i="8"/>
  <c r="O1537" i="8"/>
  <c r="Y143" i="14"/>
  <c r="AA80" i="14"/>
  <c r="AC369" i="2"/>
  <c r="AC888" i="8" s="1"/>
  <c r="AC889" i="8" s="1"/>
  <c r="AC73" i="14"/>
  <c r="AA245" i="14"/>
  <c r="O102" i="12"/>
  <c r="O1473" i="8" s="1"/>
  <c r="O1490" i="8"/>
  <c r="O1531" i="8"/>
  <c r="O1659" i="8"/>
  <c r="O1633" i="8"/>
  <c r="O1527" i="8"/>
  <c r="O1535" i="8"/>
  <c r="O1532" i="8"/>
  <c r="O1660" i="8"/>
  <c r="O1634" i="8"/>
  <c r="O1528" i="8"/>
  <c r="O1536" i="8"/>
  <c r="Y149" i="14"/>
  <c r="Q87" i="12"/>
  <c r="Q247" i="8"/>
  <c r="Q248" i="8" s="1"/>
  <c r="Q98" i="12"/>
  <c r="Q279" i="8"/>
  <c r="Q280" i="8" s="1"/>
  <c r="N1470" i="8"/>
  <c r="N1662" i="8"/>
  <c r="AC235" i="14"/>
  <c r="AE364" i="2"/>
  <c r="AE868" i="8" s="1"/>
  <c r="AE869" i="8" s="1"/>
  <c r="F869" i="8" s="1"/>
  <c r="AE68" i="14"/>
  <c r="Y119" i="14"/>
  <c r="Q99" i="12"/>
  <c r="Q283" i="8"/>
  <c r="Q284" i="8" s="1"/>
  <c r="P259" i="8"/>
  <c r="P260" i="8" s="1"/>
  <c r="Q633" i="2"/>
  <c r="P93" i="12"/>
  <c r="P642" i="2"/>
  <c r="P1647" i="8" s="1"/>
  <c r="Q1665" i="8"/>
  <c r="Q1642" i="8"/>
  <c r="Q1517" i="8"/>
  <c r="Q1539" i="8"/>
  <c r="Q71" i="12"/>
  <c r="Q195" i="8"/>
  <c r="Q196" i="8" s="1"/>
  <c r="O1489" i="8"/>
  <c r="O90" i="12"/>
  <c r="O1472" i="8" s="1"/>
  <c r="Q75" i="12"/>
  <c r="Q211" i="8"/>
  <c r="Q212" i="8" s="1"/>
  <c r="Q159" i="8"/>
  <c r="Q160" i="8" s="1"/>
  <c r="Q59" i="12"/>
  <c r="O1665" i="8"/>
  <c r="O1642" i="8"/>
  <c r="O1539" i="8"/>
  <c r="O1517" i="8"/>
  <c r="AC367" i="2"/>
  <c r="AC880" i="8" s="1"/>
  <c r="AC881" i="8" s="1"/>
  <c r="AC71" i="14"/>
  <c r="P191" i="8"/>
  <c r="P192" i="8" s="1"/>
  <c r="Q514" i="2"/>
  <c r="P70" i="12"/>
  <c r="AD232" i="14"/>
  <c r="AB1515" i="8"/>
  <c r="AB1641" i="8"/>
  <c r="AD237" i="14"/>
  <c r="P1665" i="8"/>
  <c r="P1642" i="8"/>
  <c r="P1539" i="8"/>
  <c r="P1517" i="8"/>
  <c r="P223" i="8"/>
  <c r="P224" i="8" s="1"/>
  <c r="P582" i="2"/>
  <c r="P1646" i="8" s="1"/>
  <c r="P81" i="12"/>
  <c r="Q573" i="2"/>
  <c r="Q517" i="2"/>
  <c r="P203" i="8"/>
  <c r="P204" i="8" s="1"/>
  <c r="P73" i="12"/>
  <c r="N1665" i="8"/>
  <c r="N1642" i="8"/>
  <c r="N1539" i="8"/>
  <c r="N1517" i="8"/>
  <c r="AD261" i="2"/>
  <c r="Q72" i="12"/>
  <c r="Q199" i="8"/>
  <c r="Q200" i="8" s="1"/>
  <c r="Z250" i="2"/>
  <c r="Z1617" i="8" s="1"/>
  <c r="Z133" i="14"/>
  <c r="Z137" i="14"/>
  <c r="Z141" i="14"/>
  <c r="Z117" i="14"/>
  <c r="Z89" i="14"/>
  <c r="Z105" i="14"/>
  <c r="Z129" i="14"/>
  <c r="Z121" i="14"/>
  <c r="Z93" i="14"/>
  <c r="Z125" i="14"/>
  <c r="Z109" i="14"/>
  <c r="Z97" i="14"/>
  <c r="Z113" i="14"/>
  <c r="Z83" i="14"/>
  <c r="Z101" i="14"/>
  <c r="Z145" i="14"/>
  <c r="Z148" i="14" s="1"/>
  <c r="AB82" i="14"/>
  <c r="AC77" i="14"/>
  <c r="Q84" i="12"/>
  <c r="Q235" i="8"/>
  <c r="Q236" i="8" s="1"/>
  <c r="AC238" i="14"/>
  <c r="R1525" i="8"/>
  <c r="R1631" i="8"/>
  <c r="Q215" i="8"/>
  <c r="Q216" i="8" s="1"/>
  <c r="Q76" i="12"/>
  <c r="O1663" i="8"/>
  <c r="O1640" i="8"/>
  <c r="O1437" i="8"/>
  <c r="O1448" i="8"/>
  <c r="Q219" i="8"/>
  <c r="Q220" i="8" s="1"/>
  <c r="Q77" i="12"/>
  <c r="O1530" i="8"/>
  <c r="O1658" i="8"/>
  <c r="O1526" i="8"/>
  <c r="O1632" i="8"/>
  <c r="O1534" i="8"/>
  <c r="O78" i="12"/>
  <c r="O1471" i="8" s="1"/>
  <c r="O1488" i="8"/>
  <c r="AD370" i="2"/>
  <c r="AD892" i="8" s="1"/>
  <c r="AD893" i="8" s="1"/>
  <c r="AD74" i="14"/>
  <c r="O1487" i="8"/>
  <c r="O66" i="12"/>
  <c r="Q155" i="8"/>
  <c r="Q156" i="8" s="1"/>
  <c r="Q58" i="12"/>
  <c r="Y139" i="14"/>
  <c r="P69" i="12"/>
  <c r="P187" i="8"/>
  <c r="P188" i="8" s="1"/>
  <c r="Q513" i="2"/>
  <c r="P522" i="2"/>
  <c r="P1645" i="8" s="1"/>
  <c r="Q263" i="8"/>
  <c r="Q264" i="8" s="1"/>
  <c r="Q94" i="12"/>
  <c r="L1663" i="8"/>
  <c r="L1640" i="8"/>
  <c r="L1437" i="8"/>
  <c r="L1448" i="8"/>
  <c r="Q1663" i="8"/>
  <c r="Q1640" i="8"/>
  <c r="Q1437" i="8"/>
  <c r="Q1448" i="8"/>
  <c r="Z1616" i="8"/>
  <c r="Y111" i="14"/>
  <c r="AD236" i="14"/>
  <c r="S1524" i="8"/>
  <c r="S1630" i="8"/>
  <c r="AA1513" i="8"/>
  <c r="Q171" i="8"/>
  <c r="Q172" i="8" s="1"/>
  <c r="Q62" i="12"/>
  <c r="Q580" i="2"/>
  <c r="P88" i="12"/>
  <c r="P251" i="8"/>
  <c r="P252" i="8" s="1"/>
  <c r="AB246" i="14"/>
  <c r="Q453" i="2"/>
  <c r="P57" i="12"/>
  <c r="P462" i="2"/>
  <c r="P1644" i="8" s="1"/>
  <c r="P151" i="8"/>
  <c r="P152" i="8" s="1"/>
  <c r="Z251" i="14"/>
  <c r="Z253" i="14" s="1"/>
  <c r="Q74" i="12"/>
  <c r="Q207" i="8"/>
  <c r="Q208" i="8" s="1"/>
  <c r="Q100" i="12"/>
  <c r="Q287" i="8"/>
  <c r="Q288" i="8" s="1"/>
  <c r="L1665" i="8"/>
  <c r="L1642" i="8"/>
  <c r="L1539" i="8"/>
  <c r="L1517" i="8"/>
  <c r="P97" i="12"/>
  <c r="P275" i="8"/>
  <c r="P276" i="8" s="1"/>
  <c r="Q637" i="2"/>
  <c r="P239" i="8"/>
  <c r="P240" i="8" s="1"/>
  <c r="Q577" i="2"/>
  <c r="P85" i="12"/>
  <c r="Q175" i="8"/>
  <c r="Q176" i="8" s="1"/>
  <c r="Q63" i="12"/>
  <c r="Q581" i="2"/>
  <c r="P89" i="12"/>
  <c r="P255" i="8"/>
  <c r="P256" i="8" s="1"/>
  <c r="AE239" i="14"/>
  <c r="AC366" i="2"/>
  <c r="AC70" i="14"/>
  <c r="Q243" i="8"/>
  <c r="Q244" i="8" s="1"/>
  <c r="Q86" i="12"/>
  <c r="V153" i="14"/>
  <c r="V1614" i="8" s="1"/>
  <c r="V154" i="14"/>
  <c r="Q96" i="12"/>
  <c r="Q271" i="8"/>
  <c r="Q272" i="8" s="1"/>
  <c r="Q64" i="12"/>
  <c r="Q179" i="8"/>
  <c r="Q180" i="8" s="1"/>
  <c r="Q231" i="8"/>
  <c r="Q232" i="8" s="1"/>
  <c r="Q83" i="12"/>
  <c r="M1663" i="8"/>
  <c r="M1640" i="8"/>
  <c r="M1437" i="8"/>
  <c r="M1448" i="8"/>
  <c r="AD365" i="2"/>
  <c r="AD872" i="8" s="1"/>
  <c r="AD873" i="8" s="1"/>
  <c r="AD69" i="14"/>
  <c r="AC233" i="14"/>
  <c r="Q163" i="8"/>
  <c r="Q164" i="8" s="1"/>
  <c r="Q60" i="12"/>
  <c r="Y131" i="14"/>
  <c r="Y91" i="14"/>
  <c r="AB1540" i="8"/>
  <c r="AB269" i="13"/>
  <c r="AB223" i="13"/>
  <c r="AB224" i="13"/>
  <c r="AB270" i="13"/>
  <c r="AB266" i="13"/>
  <c r="AB272" i="13"/>
  <c r="AB268" i="13"/>
  <c r="AB1543" i="8"/>
  <c r="AB227" i="13"/>
  <c r="AB231" i="13"/>
  <c r="AB225" i="13"/>
  <c r="AB230" i="13"/>
  <c r="AB271" i="13"/>
  <c r="AB228" i="13"/>
  <c r="AB267" i="13"/>
  <c r="AB229" i="13"/>
  <c r="AB265" i="13"/>
  <c r="AD255" i="13"/>
  <c r="AD253" i="13"/>
  <c r="AD1542" i="8"/>
  <c r="AD257" i="13"/>
  <c r="AA1510" i="8"/>
  <c r="AC1512" i="8"/>
  <c r="AB1538" i="8"/>
  <c r="AD252" i="13"/>
  <c r="AD254" i="13"/>
  <c r="AD259" i="13"/>
  <c r="AD256" i="13"/>
  <c r="AB277" i="13"/>
  <c r="AD251" i="13"/>
  <c r="AB1516" i="8"/>
  <c r="AC217" i="13"/>
  <c r="Q1476" i="8"/>
  <c r="Q1477" i="8" s="1"/>
  <c r="S27" i="12"/>
  <c r="S1479" i="8" s="1"/>
  <c r="S1480" i="8" s="1"/>
  <c r="S39" i="12"/>
  <c r="S1482" i="8" s="1"/>
  <c r="S1483" i="8" s="1"/>
  <c r="AB1501" i="8"/>
  <c r="AC264" i="13"/>
  <c r="AC265" i="13" s="1"/>
  <c r="AC222" i="13"/>
  <c r="AC224" i="13" s="1"/>
  <c r="U57" i="2"/>
  <c r="T9" i="12"/>
  <c r="T19" i="8"/>
  <c r="T20" i="8" s="1"/>
  <c r="U174" i="2"/>
  <c r="T30" i="12"/>
  <c r="T79" i="8"/>
  <c r="T80" i="8" s="1"/>
  <c r="T183" i="2"/>
  <c r="AE110" i="13"/>
  <c r="AE111" i="13" s="1"/>
  <c r="AE77" i="13"/>
  <c r="AE109" i="13" s="1"/>
  <c r="AE213" i="13"/>
  <c r="V122" i="2"/>
  <c r="U26" i="12"/>
  <c r="U75" i="8"/>
  <c r="U76" i="8" s="1"/>
  <c r="U239" i="2"/>
  <c r="T47" i="12"/>
  <c r="T135" i="8"/>
  <c r="T136" i="8" s="1"/>
  <c r="R51" i="12"/>
  <c r="V119" i="2"/>
  <c r="U23" i="12"/>
  <c r="U63" i="8"/>
  <c r="U64" i="8" s="1"/>
  <c r="T235" i="2"/>
  <c r="S43" i="12"/>
  <c r="S119" i="8"/>
  <c r="S120" i="8" s="1"/>
  <c r="U117" i="2"/>
  <c r="T55" i="8"/>
  <c r="T56" i="8" s="1"/>
  <c r="T21" i="12"/>
  <c r="V180" i="2"/>
  <c r="U36" i="12"/>
  <c r="U103" i="8"/>
  <c r="U104" i="8" s="1"/>
  <c r="AC236" i="13"/>
  <c r="AD124" i="13"/>
  <c r="AD125" i="13" s="1"/>
  <c r="AD74" i="13"/>
  <c r="AD123" i="13" s="1"/>
  <c r="U118" i="2"/>
  <c r="T22" i="12"/>
  <c r="T59" i="8"/>
  <c r="T60" i="8" s="1"/>
  <c r="R1467" i="8"/>
  <c r="R1479" i="8"/>
  <c r="R1480" i="8" s="1"/>
  <c r="V175" i="2"/>
  <c r="U31" i="12"/>
  <c r="U83" i="8"/>
  <c r="U84" i="8" s="1"/>
  <c r="AC104" i="13"/>
  <c r="AC101" i="13"/>
  <c r="AC103" i="13"/>
  <c r="AC102" i="13"/>
  <c r="AC98" i="13"/>
  <c r="AC100" i="13"/>
  <c r="AC105" i="13"/>
  <c r="AC99" i="13"/>
  <c r="AC106" i="13"/>
  <c r="T236" i="2"/>
  <c r="S44" i="12"/>
  <c r="S123" i="8"/>
  <c r="S124" i="8" s="1"/>
  <c r="AD85" i="13"/>
  <c r="AD90" i="13"/>
  <c r="AD91" i="13"/>
  <c r="AD92" i="13"/>
  <c r="AD86" i="13"/>
  <c r="AD89" i="13"/>
  <c r="AD84" i="13"/>
  <c r="AD88" i="13"/>
  <c r="AD87" i="13"/>
  <c r="U240" i="2"/>
  <c r="T48" i="12"/>
  <c r="T139" i="8"/>
  <c r="T140" i="8" s="1"/>
  <c r="T241" i="2"/>
  <c r="S49" i="12"/>
  <c r="S143" i="8"/>
  <c r="S144" i="8" s="1"/>
  <c r="Q1485" i="8"/>
  <c r="Q1486" i="8" s="1"/>
  <c r="Q1469" i="8"/>
  <c r="T55" i="2"/>
  <c r="S7" i="12"/>
  <c r="S11" i="8"/>
  <c r="S12" i="8" s="1"/>
  <c r="AC1500" i="8"/>
  <c r="U59" i="2"/>
  <c r="T11" i="12"/>
  <c r="T27" i="8"/>
  <c r="T28" i="8" s="1"/>
  <c r="T234" i="2"/>
  <c r="S42" i="12"/>
  <c r="S243" i="2"/>
  <c r="S115" i="8"/>
  <c r="S116" i="8" s="1"/>
  <c r="AD112" i="13"/>
  <c r="AD117" i="13"/>
  <c r="AD114" i="13"/>
  <c r="AD119" i="13"/>
  <c r="AD118" i="13"/>
  <c r="AD113" i="13"/>
  <c r="AD115" i="13"/>
  <c r="AD116" i="13"/>
  <c r="AD120" i="13"/>
  <c r="T60" i="2"/>
  <c r="S12" i="12"/>
  <c r="S31" i="8"/>
  <c r="S32" i="8" s="1"/>
  <c r="U114" i="2"/>
  <c r="T18" i="12"/>
  <c r="T123" i="2"/>
  <c r="T43" i="8"/>
  <c r="T44" i="8" s="1"/>
  <c r="AC127" i="13"/>
  <c r="AC131" i="13"/>
  <c r="AC132" i="13"/>
  <c r="AC126" i="13"/>
  <c r="AC130" i="13"/>
  <c r="AC134" i="13"/>
  <c r="AC133" i="13"/>
  <c r="AC128" i="13"/>
  <c r="AC129" i="13"/>
  <c r="AC1516" i="8"/>
  <c r="AD81" i="13"/>
  <c r="AB1541" i="8"/>
  <c r="AB240" i="13"/>
  <c r="AB237" i="13"/>
  <c r="AB245" i="13"/>
  <c r="AB242" i="13"/>
  <c r="AB241" i="13"/>
  <c r="AB243" i="13"/>
  <c r="AB238" i="13"/>
  <c r="AB244" i="13"/>
  <c r="AB239" i="13"/>
  <c r="AE209" i="13"/>
  <c r="R15" i="12"/>
  <c r="AC78" i="13"/>
  <c r="AD262" i="13"/>
  <c r="AD220" i="13"/>
  <c r="AD96" i="13"/>
  <c r="AD97" i="13" s="1"/>
  <c r="AD73" i="13"/>
  <c r="AD95" i="13" s="1"/>
  <c r="Z980" i="8"/>
  <c r="Z981" i="8" s="1"/>
  <c r="Z137" i="13"/>
  <c r="Z139" i="13" s="1"/>
  <c r="Z1507" i="8" s="1"/>
  <c r="T237" i="2"/>
  <c r="S45" i="12"/>
  <c r="S127" i="8"/>
  <c r="S128" i="8" s="1"/>
  <c r="T58" i="2"/>
  <c r="S10" i="12"/>
  <c r="S23" i="8"/>
  <c r="S24" i="8" s="1"/>
  <c r="V182" i="2"/>
  <c r="U38" i="12"/>
  <c r="U111" i="8"/>
  <c r="U112" i="8" s="1"/>
  <c r="AD263" i="13"/>
  <c r="AD221" i="13"/>
  <c r="U176" i="2"/>
  <c r="T32" i="12"/>
  <c r="T87" i="8"/>
  <c r="T88" i="8" s="1"/>
  <c r="AE82" i="13"/>
  <c r="AE83" i="13" s="1"/>
  <c r="AE70" i="13"/>
  <c r="U61" i="2"/>
  <c r="T13" i="12"/>
  <c r="T35" i="8"/>
  <c r="T36" i="8" s="1"/>
  <c r="U177" i="2"/>
  <c r="T33" i="12"/>
  <c r="T91" i="8"/>
  <c r="T92" i="8" s="1"/>
  <c r="V121" i="2"/>
  <c r="U25" i="12"/>
  <c r="U71" i="8"/>
  <c r="U72" i="8" s="1"/>
  <c r="AB1503" i="8"/>
  <c r="AC1502" i="8"/>
  <c r="AE250" i="13"/>
  <c r="U62" i="2"/>
  <c r="T14" i="12"/>
  <c r="T39" i="8"/>
  <c r="T40" i="8" s="1"/>
  <c r="AA1511" i="8"/>
  <c r="U120" i="2"/>
  <c r="T24" i="12"/>
  <c r="T67" i="8"/>
  <c r="T68" i="8" s="1"/>
  <c r="U181" i="2"/>
  <c r="T37" i="12"/>
  <c r="T107" i="8"/>
  <c r="T108" i="8" s="1"/>
  <c r="R1482" i="8"/>
  <c r="R1483" i="8" s="1"/>
  <c r="R1468" i="8"/>
  <c r="U115" i="2"/>
  <c r="T19" i="12"/>
  <c r="T47" i="8"/>
  <c r="T48" i="8" s="1"/>
  <c r="AB1514" i="8"/>
  <c r="U56" i="2"/>
  <c r="T8" i="12"/>
  <c r="T15" i="8"/>
  <c r="T16" i="8" s="1"/>
  <c r="T54" i="2"/>
  <c r="S6" i="12"/>
  <c r="S7" i="8"/>
  <c r="S8" i="8" s="1"/>
  <c r="S63" i="2"/>
  <c r="AB1505" i="8"/>
  <c r="AB1506" i="8"/>
  <c r="AB138" i="13"/>
  <c r="V179" i="2"/>
  <c r="U35" i="12"/>
  <c r="U99" i="8"/>
  <c r="U100" i="8" s="1"/>
  <c r="U238" i="2"/>
  <c r="T46" i="12"/>
  <c r="T131" i="8"/>
  <c r="T132" i="8" s="1"/>
  <c r="AD212" i="13"/>
  <c r="AD234" i="13" s="1"/>
  <c r="AD235" i="13"/>
  <c r="AC1504" i="8"/>
  <c r="U178" i="2"/>
  <c r="T34" i="12"/>
  <c r="T95" i="8"/>
  <c r="T96" i="8" s="1"/>
  <c r="T242" i="2"/>
  <c r="S50" i="12"/>
  <c r="S147" i="8"/>
  <c r="S148" i="8" s="1"/>
  <c r="V116" i="2"/>
  <c r="U20" i="12"/>
  <c r="U51" i="8"/>
  <c r="U52" i="8" s="1"/>
  <c r="AD832" i="8"/>
  <c r="AD833" i="8" s="1"/>
  <c r="AC392" i="2"/>
  <c r="AC948" i="8" s="1"/>
  <c r="AC949" i="8" s="1"/>
  <c r="F849" i="8"/>
  <c r="AD258" i="2"/>
  <c r="AB382" i="2"/>
  <c r="AC375" i="2"/>
  <c r="AC904" i="8" s="1"/>
  <c r="AC905" i="8" s="1"/>
  <c r="Z1432" i="8"/>
  <c r="AC856" i="8"/>
  <c r="AC857" i="8" s="1"/>
  <c r="AC394" i="2"/>
  <c r="AC956" i="8" s="1"/>
  <c r="AC957" i="8" s="1"/>
  <c r="Z1431" i="8"/>
  <c r="AC836" i="8"/>
  <c r="AC837" i="8" s="1"/>
  <c r="AB395" i="2"/>
  <c r="AB960" i="8" s="1"/>
  <c r="AB961" i="8" s="1"/>
  <c r="AE397" i="2"/>
  <c r="AE968" i="8" s="1"/>
  <c r="AE969" i="8" s="1"/>
  <c r="F969" i="8" s="1"/>
  <c r="AD259" i="2"/>
  <c r="AB396" i="2"/>
  <c r="AB964" i="8" s="1"/>
  <c r="AB965" i="8" s="1"/>
  <c r="AC386" i="2"/>
  <c r="AC928" i="8" s="1"/>
  <c r="AC929" i="8" s="1"/>
  <c r="AB972" i="8"/>
  <c r="AB973" i="8" s="1"/>
  <c r="AB852" i="8"/>
  <c r="AB853" i="8" s="1"/>
  <c r="Y1433" i="8"/>
  <c r="Y1445" i="8"/>
  <c r="AB880" i="8"/>
  <c r="AB881" i="8" s="1"/>
  <c r="AD952" i="8"/>
  <c r="AD953" i="8" s="1"/>
  <c r="AD359" i="2"/>
  <c r="AD856" i="8" s="1"/>
  <c r="AD857" i="8" s="1"/>
  <c r="AC356" i="2"/>
  <c r="AC844" i="8" s="1"/>
  <c r="AC845" i="8" s="1"/>
  <c r="Z920" i="8"/>
  <c r="Z921" i="8" s="1"/>
  <c r="Z380" i="2"/>
  <c r="AC355" i="2"/>
  <c r="AC840" i="8" s="1"/>
  <c r="AC841" i="8" s="1"/>
  <c r="AA400" i="2"/>
  <c r="AA157" i="14" s="1"/>
  <c r="AB840" i="8"/>
  <c r="AB841" i="8" s="1"/>
  <c r="AC358" i="2"/>
  <c r="AD354" i="2"/>
  <c r="AD836" i="8" s="1"/>
  <c r="AD837" i="8" s="1"/>
  <c r="AA860" i="8"/>
  <c r="AA861" i="8" s="1"/>
  <c r="AA381" i="2"/>
  <c r="AA1434" i="8" s="1"/>
  <c r="AE353" i="2"/>
  <c r="AD352" i="2"/>
  <c r="AB385" i="2"/>
  <c r="AB924" i="8" s="1"/>
  <c r="AB925" i="8" s="1"/>
  <c r="AA390" i="2"/>
  <c r="AA944" i="8" s="1"/>
  <c r="AB371" i="2"/>
  <c r="AB896" i="8" s="1"/>
  <c r="AB897" i="8" s="1"/>
  <c r="AD345" i="2"/>
  <c r="AD334" i="2"/>
  <c r="AD41" i="14" s="1"/>
  <c r="AE280" i="2"/>
  <c r="AD612" i="8"/>
  <c r="AD613" i="8" s="1"/>
  <c r="AC772" i="8"/>
  <c r="AC773" i="8" s="1"/>
  <c r="AC338" i="2"/>
  <c r="AC788" i="8" s="1"/>
  <c r="AC789" i="8" s="1"/>
  <c r="AC808" i="8"/>
  <c r="AC809" i="8" s="1"/>
  <c r="AC737" i="2"/>
  <c r="AC1184" i="8" s="1"/>
  <c r="AC1185" i="8" s="1"/>
  <c r="AC748" i="2"/>
  <c r="AC1220" i="8" s="1"/>
  <c r="AC1221" i="8" s="1"/>
  <c r="AD784" i="8"/>
  <c r="AD785" i="8" s="1"/>
  <c r="AD1168" i="8"/>
  <c r="AD1169" i="8" s="1"/>
  <c r="AD764" i="8"/>
  <c r="AD765" i="8" s="1"/>
  <c r="AD792" i="8"/>
  <c r="AD793" i="8" s="1"/>
  <c r="AE604" i="8"/>
  <c r="AE605" i="8" s="1"/>
  <c r="F605" i="8" s="1"/>
  <c r="AE343" i="2"/>
  <c r="AE332" i="2"/>
  <c r="AE39" i="14" s="1"/>
  <c r="AE337" i="2"/>
  <c r="AE44" i="14" s="1"/>
  <c r="AE624" i="8"/>
  <c r="AE625" i="8" s="1"/>
  <c r="F625" i="8" s="1"/>
  <c r="AE348" i="2"/>
  <c r="AB360" i="2"/>
  <c r="AD1204" i="8"/>
  <c r="AD1205" i="8" s="1"/>
  <c r="AE596" i="8"/>
  <c r="AE597" i="8" s="1"/>
  <c r="F597" i="8" s="1"/>
  <c r="AE330" i="2"/>
  <c r="AE37" i="14" s="1"/>
  <c r="AE341" i="2"/>
  <c r="AD608" i="8"/>
  <c r="AD609" i="8" s="1"/>
  <c r="AE279" i="2"/>
  <c r="AD344" i="2"/>
  <c r="AD333" i="2"/>
  <c r="AD40" i="14" s="1"/>
  <c r="AC768" i="8"/>
  <c r="AC769" i="8" s="1"/>
  <c r="AC1156" i="8"/>
  <c r="AC1157" i="8" s="1"/>
  <c r="AD800" i="8"/>
  <c r="AD801" i="8" s="1"/>
  <c r="AE992" i="8"/>
  <c r="AE993" i="8" s="1"/>
  <c r="F993" i="8" s="1"/>
  <c r="AE740" i="2"/>
  <c r="AE729" i="2"/>
  <c r="AE202" i="14" s="1"/>
  <c r="AC804" i="8"/>
  <c r="AC805" i="8" s="1"/>
  <c r="AC1192" i="8"/>
  <c r="AC1193" i="8" s="1"/>
  <c r="AD820" i="8"/>
  <c r="AD821" i="8" s="1"/>
  <c r="AD1208" i="8"/>
  <c r="AD1209" i="8" s="1"/>
  <c r="AC864" i="8"/>
  <c r="AC865" i="8" s="1"/>
  <c r="AD1152" i="8"/>
  <c r="AD1153" i="8" s="1"/>
  <c r="AD996" i="8"/>
  <c r="AD997" i="8" s="1"/>
  <c r="AE676" i="2"/>
  <c r="AE210" i="13" s="1"/>
  <c r="AD741" i="2"/>
  <c r="AD730" i="2"/>
  <c r="AD203" i="14" s="1"/>
  <c r="AE760" i="8"/>
  <c r="AE761" i="8" s="1"/>
  <c r="F761" i="8" s="1"/>
  <c r="AD1000" i="8"/>
  <c r="AD1001" i="8" s="1"/>
  <c r="AD731" i="2"/>
  <c r="AD204" i="14" s="1"/>
  <c r="AE677" i="2"/>
  <c r="AE211" i="13" s="1"/>
  <c r="AD742" i="2"/>
  <c r="AD756" i="8"/>
  <c r="AD757" i="8" s="1"/>
  <c r="AC780" i="8"/>
  <c r="AC781" i="8" s="1"/>
  <c r="AD1188" i="8"/>
  <c r="AD1189" i="8" s="1"/>
  <c r="AC816" i="8"/>
  <c r="AC817" i="8" s="1"/>
  <c r="AC1176" i="8"/>
  <c r="AC1177" i="8" s="1"/>
  <c r="AC387" i="2"/>
  <c r="AC932" i="8" s="1"/>
  <c r="AC933" i="8" s="1"/>
  <c r="AC376" i="2"/>
  <c r="AC908" i="8" s="1"/>
  <c r="AC909" i="8" s="1"/>
  <c r="AC828" i="8"/>
  <c r="AC829" i="8" s="1"/>
  <c r="AE1216" i="8"/>
  <c r="AE1217" i="8" s="1"/>
  <c r="F1217" i="8" s="1"/>
  <c r="AE1180" i="8"/>
  <c r="AE1181" i="8" s="1"/>
  <c r="F1181" i="8" s="1"/>
  <c r="AD620" i="8"/>
  <c r="AD621" i="8" s="1"/>
  <c r="AD336" i="2"/>
  <c r="AD43" i="14" s="1"/>
  <c r="AE282" i="2"/>
  <c r="AE76" i="13" s="1"/>
  <c r="AD347" i="2"/>
  <c r="AC1212" i="8"/>
  <c r="AC1213" i="8" s="1"/>
  <c r="AB374" i="2"/>
  <c r="AB378" i="2"/>
  <c r="AB916" i="8" s="1"/>
  <c r="AB917" i="8" s="1"/>
  <c r="AE1008" i="8"/>
  <c r="AE1009" i="8" s="1"/>
  <c r="F1009" i="8" s="1"/>
  <c r="AE733" i="2"/>
  <c r="AE206" i="14" s="1"/>
  <c r="AE744" i="2"/>
  <c r="AC1200" i="8"/>
  <c r="AC1201" i="8" s="1"/>
  <c r="AD746" i="2"/>
  <c r="AD1016" i="8"/>
  <c r="AD1017" i="8" s="1"/>
  <c r="AE681" i="2"/>
  <c r="AE215" i="13" s="1"/>
  <c r="AD735" i="2"/>
  <c r="AD208" i="14" s="1"/>
  <c r="AE1012" i="8"/>
  <c r="AE1013" i="8" s="1"/>
  <c r="F1013" i="8" s="1"/>
  <c r="AE745" i="2"/>
  <c r="AE734" i="2"/>
  <c r="AE207" i="14" s="1"/>
  <c r="AD1004" i="8"/>
  <c r="AD1005" i="8" s="1"/>
  <c r="AE678" i="2"/>
  <c r="AD732" i="2"/>
  <c r="AD205" i="14" s="1"/>
  <c r="AD743" i="2"/>
  <c r="AC1160" i="8"/>
  <c r="AC1161" i="8" s="1"/>
  <c r="AC1164" i="8"/>
  <c r="AC1165" i="8" s="1"/>
  <c r="AE796" i="8"/>
  <c r="AE797" i="8" s="1"/>
  <c r="F797" i="8" s="1"/>
  <c r="AC349" i="2"/>
  <c r="AC824" i="8" s="1"/>
  <c r="AC825" i="8" s="1"/>
  <c r="AA379" i="2"/>
  <c r="AB389" i="2"/>
  <c r="AB940" i="8" s="1"/>
  <c r="AB941" i="8" s="1"/>
  <c r="AC1196" i="8"/>
  <c r="AC1197" i="8" s="1"/>
  <c r="AD1172" i="8"/>
  <c r="AD1173" i="8" s="1"/>
  <c r="R264" i="14" l="1"/>
  <c r="Y255" i="14"/>
  <c r="Y257" i="14" s="1"/>
  <c r="U263" i="14"/>
  <c r="U265" i="14" s="1"/>
  <c r="Z254" i="14"/>
  <c r="Z255" i="14" s="1"/>
  <c r="Z257" i="14" s="1"/>
  <c r="V259" i="14"/>
  <c r="V261" i="14" s="1"/>
  <c r="W259" i="14"/>
  <c r="W261" i="14" s="1"/>
  <c r="X259" i="14"/>
  <c r="X261" i="14" s="1"/>
  <c r="T264" i="14"/>
  <c r="T266" i="14"/>
  <c r="S267" i="14"/>
  <c r="S269" i="14" s="1"/>
  <c r="R266" i="14"/>
  <c r="AE393" i="2"/>
  <c r="AE952" i="8" s="1"/>
  <c r="AE953" i="8" s="1"/>
  <c r="F953" i="8" s="1"/>
  <c r="AA158" i="14"/>
  <c r="AC81" i="14"/>
  <c r="AD242" i="14"/>
  <c r="AC383" i="2"/>
  <c r="AD77" i="14"/>
  <c r="AE260" i="2"/>
  <c r="AC398" i="2"/>
  <c r="AC972" i="8" s="1"/>
  <c r="AC973" i="8" s="1"/>
  <c r="AD235" i="14"/>
  <c r="AE232" i="14"/>
  <c r="Q239" i="8"/>
  <c r="Q240" i="8" s="1"/>
  <c r="Q85" i="12"/>
  <c r="Z130" i="14"/>
  <c r="Z132" i="14" s="1"/>
  <c r="Q101" i="12"/>
  <c r="Q291" i="8"/>
  <c r="Q292" i="8" s="1"/>
  <c r="P66" i="12"/>
  <c r="P1487" i="8"/>
  <c r="P1531" i="8"/>
  <c r="P1659" i="8"/>
  <c r="P1527" i="8"/>
  <c r="P1633" i="8"/>
  <c r="P1535" i="8"/>
  <c r="AD233" i="14"/>
  <c r="Z118" i="14"/>
  <c r="Z120" i="14" s="1"/>
  <c r="AC1538" i="8"/>
  <c r="AC1641" i="8"/>
  <c r="Q97" i="12"/>
  <c r="Q275" i="8"/>
  <c r="Q276" i="8" s="1"/>
  <c r="O1470" i="8"/>
  <c r="O1662" i="8"/>
  <c r="Z1613" i="8"/>
  <c r="Z169" i="14"/>
  <c r="Z167" i="14"/>
  <c r="Z165" i="14"/>
  <c r="Z163" i="14"/>
  <c r="Z161" i="14"/>
  <c r="Z168" i="14"/>
  <c r="Z166" i="14"/>
  <c r="Z164" i="14"/>
  <c r="Z162" i="14"/>
  <c r="Z150" i="14"/>
  <c r="Z151" i="14"/>
  <c r="Z142" i="14"/>
  <c r="Z144" i="14" s="1"/>
  <c r="Y156" i="14"/>
  <c r="Y1615" i="8"/>
  <c r="Y152" i="14"/>
  <c r="AA250" i="2"/>
  <c r="AA1617" i="8" s="1"/>
  <c r="AA145" i="14"/>
  <c r="AA148" i="14" s="1"/>
  <c r="AA155" i="14" s="1"/>
  <c r="AA133" i="14"/>
  <c r="AA137" i="14"/>
  <c r="AA125" i="14"/>
  <c r="AA117" i="14"/>
  <c r="AA105" i="14"/>
  <c r="AA129" i="14"/>
  <c r="AA121" i="14"/>
  <c r="AA93" i="14"/>
  <c r="AA97" i="14"/>
  <c r="AA141" i="14"/>
  <c r="AA89" i="14"/>
  <c r="AA109" i="14"/>
  <c r="AA83" i="14"/>
  <c r="AA101" i="14"/>
  <c r="AA113" i="14"/>
  <c r="AB250" i="2"/>
  <c r="AB1617" i="8" s="1"/>
  <c r="AB145" i="14"/>
  <c r="AB148" i="14" s="1"/>
  <c r="AB155" i="14" s="1"/>
  <c r="AB133" i="14"/>
  <c r="AB101" i="14"/>
  <c r="AB117" i="14"/>
  <c r="AB105" i="14"/>
  <c r="AB129" i="14"/>
  <c r="AB121" i="14"/>
  <c r="AB93" i="14"/>
  <c r="AB109" i="14"/>
  <c r="AB97" i="14"/>
  <c r="AB113" i="14"/>
  <c r="AB137" i="14"/>
  <c r="AB125" i="14"/>
  <c r="AB89" i="14"/>
  <c r="AB141" i="14"/>
  <c r="AB83" i="14"/>
  <c r="S1522" i="8"/>
  <c r="S1628" i="8"/>
  <c r="T1524" i="8"/>
  <c r="T1630" i="8"/>
  <c r="Q88" i="12"/>
  <c r="Q251" i="8"/>
  <c r="Q252" i="8" s="1"/>
  <c r="P78" i="12"/>
  <c r="P1471" i="8" s="1"/>
  <c r="P1488" i="8"/>
  <c r="Z102" i="14"/>
  <c r="Z104" i="14" s="1"/>
  <c r="Z138" i="14"/>
  <c r="Z140" i="14" s="1"/>
  <c r="AA1616" i="8"/>
  <c r="Z86" i="14"/>
  <c r="Z88" i="14" s="1"/>
  <c r="Z134" i="14"/>
  <c r="Z136" i="14" s="1"/>
  <c r="Q203" i="8"/>
  <c r="Q204" i="8" s="1"/>
  <c r="Q73" i="12"/>
  <c r="P1533" i="8"/>
  <c r="P1661" i="8"/>
  <c r="P1529" i="8"/>
  <c r="P1635" i="8"/>
  <c r="P1537" i="8"/>
  <c r="P1530" i="8"/>
  <c r="P1658" i="8"/>
  <c r="P1526" i="8"/>
  <c r="P1632" i="8"/>
  <c r="P1534" i="8"/>
  <c r="Q70" i="12"/>
  <c r="Q191" i="8"/>
  <c r="Q192" i="8" s="1"/>
  <c r="Q151" i="8"/>
  <c r="Q152" i="8" s="1"/>
  <c r="Q57" i="12"/>
  <c r="Q462" i="2"/>
  <c r="Q1644" i="8" s="1"/>
  <c r="Q522" i="2"/>
  <c r="Q1645" i="8" s="1"/>
  <c r="Q187" i="8"/>
  <c r="Q188" i="8" s="1"/>
  <c r="Q69" i="12"/>
  <c r="AE370" i="2"/>
  <c r="AE892" i="8" s="1"/>
  <c r="AE893" i="8" s="1"/>
  <c r="F893" i="8" s="1"/>
  <c r="AE74" i="14"/>
  <c r="AE237" i="14"/>
  <c r="AD369" i="2"/>
  <c r="AD73" i="14"/>
  <c r="AC277" i="13"/>
  <c r="Q255" i="8"/>
  <c r="Q256" i="8" s="1"/>
  <c r="Q89" i="12"/>
  <c r="AB245" i="14"/>
  <c r="Z155" i="14"/>
  <c r="Q81" i="12"/>
  <c r="Q223" i="8"/>
  <c r="Q224" i="8" s="1"/>
  <c r="Q582" i="2"/>
  <c r="Q1646" i="8" s="1"/>
  <c r="P102" i="12"/>
  <c r="P1473" i="8" s="1"/>
  <c r="P1490" i="8"/>
  <c r="Z106" i="14"/>
  <c r="Z108" i="14" s="1"/>
  <c r="Z90" i="14"/>
  <c r="Z92" i="14" s="1"/>
  <c r="T1523" i="8"/>
  <c r="T1629" i="8"/>
  <c r="AE261" i="2"/>
  <c r="Z114" i="14"/>
  <c r="Z116" i="14" s="1"/>
  <c r="P90" i="12"/>
  <c r="P1472" i="8" s="1"/>
  <c r="P1489" i="8"/>
  <c r="Q93" i="12"/>
  <c r="Q642" i="2"/>
  <c r="Q1647" i="8" s="1"/>
  <c r="Q259" i="8"/>
  <c r="Q260" i="8" s="1"/>
  <c r="AE365" i="2"/>
  <c r="AE872" i="8" s="1"/>
  <c r="AE873" i="8" s="1"/>
  <c r="F873" i="8" s="1"/>
  <c r="AE69" i="14"/>
  <c r="Z98" i="14"/>
  <c r="Z100" i="14" s="1"/>
  <c r="P1532" i="8"/>
  <c r="P1660" i="8"/>
  <c r="P1528" i="8"/>
  <c r="P1634" i="8"/>
  <c r="P1536" i="8"/>
  <c r="AC78" i="14"/>
  <c r="Z110" i="14"/>
  <c r="Z112" i="14" s="1"/>
  <c r="Q167" i="8"/>
  <c r="Q168" i="8" s="1"/>
  <c r="Q61" i="12"/>
  <c r="AC246" i="14"/>
  <c r="AC247" i="14"/>
  <c r="AD366" i="2"/>
  <c r="AD70" i="14"/>
  <c r="AD238" i="14"/>
  <c r="AD234" i="14"/>
  <c r="AD367" i="2"/>
  <c r="AD880" i="8" s="1"/>
  <c r="AD881" i="8" s="1"/>
  <c r="AD71" i="14"/>
  <c r="Z126" i="14"/>
  <c r="Z128" i="14" s="1"/>
  <c r="AC82" i="14"/>
  <c r="AC79" i="14"/>
  <c r="Z94" i="14"/>
  <c r="Z96" i="14" s="1"/>
  <c r="AA649" i="2"/>
  <c r="AA1621" i="8" s="1"/>
  <c r="AA1649" i="8"/>
  <c r="AA248" i="14"/>
  <c r="AC243" i="14"/>
  <c r="AC244" i="14" s="1"/>
  <c r="AE236" i="14"/>
  <c r="AE363" i="2"/>
  <c r="AE67" i="14"/>
  <c r="S1525" i="8"/>
  <c r="S1631" i="8"/>
  <c r="Z252" i="14"/>
  <c r="Z122" i="14"/>
  <c r="Z124" i="14" s="1"/>
  <c r="Q82" i="12"/>
  <c r="Q227" i="8"/>
  <c r="Q228" i="8" s="1"/>
  <c r="AB1510" i="8"/>
  <c r="AB1513" i="8"/>
  <c r="AC1515" i="8"/>
  <c r="AD1512" i="8"/>
  <c r="AC229" i="13"/>
  <c r="AC223" i="13"/>
  <c r="AC227" i="13"/>
  <c r="AC231" i="13"/>
  <c r="S1468" i="8"/>
  <c r="S1467" i="8"/>
  <c r="AC273" i="13"/>
  <c r="AC268" i="13"/>
  <c r="AD78" i="13"/>
  <c r="AD1505" i="8" s="1"/>
  <c r="AD236" i="13"/>
  <c r="AD241" i="13" s="1"/>
  <c r="AD217" i="13"/>
  <c r="AD1538" i="8" s="1"/>
  <c r="AC226" i="13"/>
  <c r="AC266" i="13"/>
  <c r="AC225" i="13"/>
  <c r="AC270" i="13"/>
  <c r="T39" i="12"/>
  <c r="T1468" i="8" s="1"/>
  <c r="AC228" i="13"/>
  <c r="AD222" i="13"/>
  <c r="AD231" i="13" s="1"/>
  <c r="AC1543" i="8"/>
  <c r="AC1540" i="8"/>
  <c r="AC269" i="13"/>
  <c r="AC1514" i="8"/>
  <c r="AC267" i="13"/>
  <c r="AC272" i="13"/>
  <c r="AE263" i="13"/>
  <c r="AC230" i="13"/>
  <c r="AC1503" i="8"/>
  <c r="AC271" i="13"/>
  <c r="R1466" i="8"/>
  <c r="R1476" i="8"/>
  <c r="R1477" i="8" s="1"/>
  <c r="AE115" i="13"/>
  <c r="AE114" i="13"/>
  <c r="AE119" i="13"/>
  <c r="AE117" i="13"/>
  <c r="AE116" i="13"/>
  <c r="AE112" i="13"/>
  <c r="AE113" i="13"/>
  <c r="AE118" i="13"/>
  <c r="AE120" i="13"/>
  <c r="V62" i="2"/>
  <c r="U14" i="12"/>
  <c r="U39" i="8"/>
  <c r="U40" i="8" s="1"/>
  <c r="AE221" i="13"/>
  <c r="AE96" i="13"/>
  <c r="AE97" i="13" s="1"/>
  <c r="AE73" i="13"/>
  <c r="AE95" i="13" s="1"/>
  <c r="V56" i="2"/>
  <c r="U8" i="12"/>
  <c r="U15" i="8"/>
  <c r="U16" i="8" s="1"/>
  <c r="AE1542" i="8"/>
  <c r="F1542" i="8" s="1"/>
  <c r="AE258" i="13"/>
  <c r="AE254" i="13"/>
  <c r="AE255" i="13"/>
  <c r="AE251" i="13"/>
  <c r="AE253" i="13"/>
  <c r="AE252" i="13"/>
  <c r="AE259" i="13"/>
  <c r="AE257" i="13"/>
  <c r="AE256" i="13"/>
  <c r="V177" i="2"/>
  <c r="U33" i="12"/>
  <c r="U91" i="8"/>
  <c r="U92" i="8" s="1"/>
  <c r="AD264" i="13"/>
  <c r="AD105" i="13"/>
  <c r="AD102" i="13"/>
  <c r="AD103" i="13"/>
  <c r="AD98" i="13"/>
  <c r="AD106" i="13"/>
  <c r="AD101" i="13"/>
  <c r="AD100" i="13"/>
  <c r="AD99" i="13"/>
  <c r="AD104" i="13"/>
  <c r="T27" i="12"/>
  <c r="W119" i="2"/>
  <c r="V23" i="12"/>
  <c r="V63" i="8"/>
  <c r="V64" i="8" s="1"/>
  <c r="R1485" i="8"/>
  <c r="R1486" i="8" s="1"/>
  <c r="R1469" i="8"/>
  <c r="AD1500" i="8"/>
  <c r="AE124" i="13"/>
  <c r="AE125" i="13" s="1"/>
  <c r="AE74" i="13"/>
  <c r="AE123" i="13" s="1"/>
  <c r="W121" i="2"/>
  <c r="V25" i="12"/>
  <c r="V71" i="8"/>
  <c r="V72" i="8" s="1"/>
  <c r="U241" i="2"/>
  <c r="T49" i="12"/>
  <c r="T143" i="8"/>
  <c r="T144" i="8" s="1"/>
  <c r="V117" i="2"/>
  <c r="U21" i="12"/>
  <c r="U55" i="8"/>
  <c r="U56" i="8" s="1"/>
  <c r="V174" i="2"/>
  <c r="U30" i="12"/>
  <c r="U79" i="8"/>
  <c r="U80" i="8" s="1"/>
  <c r="U183" i="2"/>
  <c r="U235" i="2"/>
  <c r="T43" i="12"/>
  <c r="T119" i="8"/>
  <c r="T120" i="8" s="1"/>
  <c r="V61" i="2"/>
  <c r="U13" i="12"/>
  <c r="U35" i="8"/>
  <c r="U36" i="8" s="1"/>
  <c r="V114" i="2"/>
  <c r="U18" i="12"/>
  <c r="U43" i="8"/>
  <c r="U44" i="8" s="1"/>
  <c r="U123" i="2"/>
  <c r="S51" i="12"/>
  <c r="U237" i="2"/>
  <c r="T45" i="12"/>
  <c r="T127" i="8"/>
  <c r="T128" i="8" s="1"/>
  <c r="V176" i="2"/>
  <c r="U32" i="12"/>
  <c r="U87" i="8"/>
  <c r="U88" i="8" s="1"/>
  <c r="U242" i="2"/>
  <c r="T50" i="12"/>
  <c r="T147" i="8"/>
  <c r="T148" i="8" s="1"/>
  <c r="AE81" i="13"/>
  <c r="W182" i="2"/>
  <c r="V38" i="12"/>
  <c r="V111" i="8"/>
  <c r="V112" i="8" s="1"/>
  <c r="AD1502" i="8"/>
  <c r="U234" i="2"/>
  <c r="T42" i="12"/>
  <c r="T115" i="8"/>
  <c r="T116" i="8" s="1"/>
  <c r="T243" i="2"/>
  <c r="AD1504" i="8"/>
  <c r="V239" i="2"/>
  <c r="U47" i="12"/>
  <c r="U135" i="8"/>
  <c r="U136" i="8" s="1"/>
  <c r="AE235" i="13"/>
  <c r="AE212" i="13"/>
  <c r="AE234" i="13" s="1"/>
  <c r="AE86" i="13"/>
  <c r="AE85" i="13"/>
  <c r="AE84" i="13"/>
  <c r="AE92" i="13"/>
  <c r="AE88" i="13"/>
  <c r="AE91" i="13"/>
  <c r="AE87" i="13"/>
  <c r="AE89" i="13"/>
  <c r="AE90" i="13"/>
  <c r="V240" i="2"/>
  <c r="U48" i="12"/>
  <c r="U139" i="8"/>
  <c r="U140" i="8" s="1"/>
  <c r="W175" i="2"/>
  <c r="V31" i="12"/>
  <c r="V83" i="8"/>
  <c r="V84" i="8" s="1"/>
  <c r="V118" i="2"/>
  <c r="U22" i="12"/>
  <c r="U59" i="8"/>
  <c r="U60" i="8" s="1"/>
  <c r="W180" i="2"/>
  <c r="V36" i="12"/>
  <c r="V103" i="8"/>
  <c r="V104" i="8" s="1"/>
  <c r="V181" i="2"/>
  <c r="U37" i="12"/>
  <c r="U107" i="8"/>
  <c r="U108" i="8" s="1"/>
  <c r="AC1501" i="8"/>
  <c r="V238" i="2"/>
  <c r="U46" i="12"/>
  <c r="U131" i="8"/>
  <c r="U132" i="8" s="1"/>
  <c r="V120" i="2"/>
  <c r="U24" i="12"/>
  <c r="U67" i="8"/>
  <c r="U68" i="8" s="1"/>
  <c r="S15" i="12"/>
  <c r="U60" i="2"/>
  <c r="T12" i="12"/>
  <c r="T31" i="8"/>
  <c r="T32" i="8" s="1"/>
  <c r="V178" i="2"/>
  <c r="U34" i="12"/>
  <c r="U95" i="8"/>
  <c r="U96" i="8" s="1"/>
  <c r="AB1511" i="8"/>
  <c r="AD130" i="13"/>
  <c r="AD127" i="13"/>
  <c r="AD126" i="13"/>
  <c r="AD134" i="13"/>
  <c r="AD132" i="13"/>
  <c r="AD131" i="13"/>
  <c r="AD133" i="13"/>
  <c r="AD128" i="13"/>
  <c r="AD129" i="13"/>
  <c r="W122" i="2"/>
  <c r="V26" i="12"/>
  <c r="V75" i="8"/>
  <c r="V76" i="8" s="1"/>
  <c r="V57" i="2"/>
  <c r="U9" i="12"/>
  <c r="U19" i="8"/>
  <c r="U20" i="8" s="1"/>
  <c r="U55" i="2"/>
  <c r="T11" i="8"/>
  <c r="T12" i="8" s="1"/>
  <c r="T7" i="12"/>
  <c r="AE220" i="13"/>
  <c r="V115" i="2"/>
  <c r="U19" i="12"/>
  <c r="U47" i="8"/>
  <c r="U48" i="8" s="1"/>
  <c r="AC1505" i="8"/>
  <c r="AC1506" i="8"/>
  <c r="AC138" i="13"/>
  <c r="U236" i="2"/>
  <c r="T44" i="12"/>
  <c r="T123" i="8"/>
  <c r="T124" i="8" s="1"/>
  <c r="W179" i="2"/>
  <c r="V35" i="12"/>
  <c r="V99" i="8"/>
  <c r="V100" i="8" s="1"/>
  <c r="U54" i="2"/>
  <c r="T6" i="12"/>
  <c r="T7" i="8"/>
  <c r="T8" i="8" s="1"/>
  <c r="T63" i="2"/>
  <c r="AC1541" i="8"/>
  <c r="AC239" i="13"/>
  <c r="AC237" i="13"/>
  <c r="AC238" i="13"/>
  <c r="AC242" i="13"/>
  <c r="AC244" i="13"/>
  <c r="AC240" i="13"/>
  <c r="AC245" i="13"/>
  <c r="AC243" i="13"/>
  <c r="AC241" i="13"/>
  <c r="W116" i="2"/>
  <c r="V20" i="12"/>
  <c r="V51" i="8"/>
  <c r="V52" i="8" s="1"/>
  <c r="AA1432" i="8"/>
  <c r="AA137" i="13"/>
  <c r="AA139" i="13" s="1"/>
  <c r="AA1507" i="8" s="1"/>
  <c r="U58" i="2"/>
  <c r="T10" i="12"/>
  <c r="T23" i="8"/>
  <c r="T24" i="8" s="1"/>
  <c r="V59" i="2"/>
  <c r="U11" i="12"/>
  <c r="U27" i="8"/>
  <c r="U28" i="8" s="1"/>
  <c r="AE262" i="13"/>
  <c r="AD392" i="2"/>
  <c r="AD948" i="8" s="1"/>
  <c r="AD949" i="8" s="1"/>
  <c r="AC396" i="2"/>
  <c r="AC964" i="8" s="1"/>
  <c r="AC965" i="8" s="1"/>
  <c r="AE259" i="2"/>
  <c r="AD394" i="2"/>
  <c r="AD956" i="8" s="1"/>
  <c r="AD957" i="8" s="1"/>
  <c r="AA1431" i="8"/>
  <c r="AC395" i="2"/>
  <c r="AC960" i="8" s="1"/>
  <c r="AC961" i="8" s="1"/>
  <c r="AD399" i="2"/>
  <c r="AD976" i="8" s="1"/>
  <c r="AD977" i="8" s="1"/>
  <c r="AA980" i="8"/>
  <c r="AA981" i="8" s="1"/>
  <c r="AC852" i="8"/>
  <c r="AC853" i="8" s="1"/>
  <c r="AE258" i="2"/>
  <c r="AE832" i="8"/>
  <c r="AE833" i="8" s="1"/>
  <c r="F833" i="8" s="1"/>
  <c r="AB400" i="2"/>
  <c r="AC382" i="2"/>
  <c r="Z1433" i="8"/>
  <c r="Z1445" i="8"/>
  <c r="AC876" i="8"/>
  <c r="AC877" i="8" s="1"/>
  <c r="AD356" i="2"/>
  <c r="AD844" i="8" s="1"/>
  <c r="AD845" i="8" s="1"/>
  <c r="AA920" i="8"/>
  <c r="AA921" i="8" s="1"/>
  <c r="AA380" i="2"/>
  <c r="AB860" i="8"/>
  <c r="AB861" i="8" s="1"/>
  <c r="AB381" i="2"/>
  <c r="AB1434" i="8" s="1"/>
  <c r="AD355" i="2"/>
  <c r="AD840" i="8" s="1"/>
  <c r="AD841" i="8" s="1"/>
  <c r="AE359" i="2"/>
  <c r="AE856" i="8" s="1"/>
  <c r="AE857" i="8" s="1"/>
  <c r="F857" i="8" s="1"/>
  <c r="AE354" i="2"/>
  <c r="AE352" i="2"/>
  <c r="AD349" i="2"/>
  <c r="AD824" i="8" s="1"/>
  <c r="AD825" i="8" s="1"/>
  <c r="AD358" i="2"/>
  <c r="AB390" i="2"/>
  <c r="AB944" i="8" s="1"/>
  <c r="AC389" i="2"/>
  <c r="AC940" i="8" s="1"/>
  <c r="AC941" i="8" s="1"/>
  <c r="AC385" i="2"/>
  <c r="AC924" i="8" s="1"/>
  <c r="AC925" i="8" s="1"/>
  <c r="AD748" i="2"/>
  <c r="AD1220" i="8" s="1"/>
  <c r="AD1221" i="8" s="1"/>
  <c r="AD386" i="2"/>
  <c r="AD928" i="8" s="1"/>
  <c r="AD929" i="8" s="1"/>
  <c r="AC374" i="2"/>
  <c r="AC378" i="2"/>
  <c r="AC916" i="8" s="1"/>
  <c r="AC917" i="8" s="1"/>
  <c r="AC371" i="2"/>
  <c r="AC896" i="8" s="1"/>
  <c r="AC897" i="8" s="1"/>
  <c r="AE612" i="8"/>
  <c r="AE613" i="8" s="1"/>
  <c r="F613" i="8" s="1"/>
  <c r="AE345" i="2"/>
  <c r="AE334" i="2"/>
  <c r="AE41" i="14" s="1"/>
  <c r="AD772" i="8"/>
  <c r="AD773" i="8" s="1"/>
  <c r="AD808" i="8"/>
  <c r="AD809" i="8" s="1"/>
  <c r="AD1176" i="8"/>
  <c r="AD1177" i="8" s="1"/>
  <c r="AE1016" i="8"/>
  <c r="AE1017" i="8" s="1"/>
  <c r="F1017" i="8" s="1"/>
  <c r="AE746" i="2"/>
  <c r="AE735" i="2"/>
  <c r="AE208" i="14" s="1"/>
  <c r="AB900" i="8"/>
  <c r="AB901" i="8" s="1"/>
  <c r="AB379" i="2"/>
  <c r="AD1196" i="8"/>
  <c r="AD1197" i="8" s="1"/>
  <c r="AE756" i="8"/>
  <c r="AE757" i="8" s="1"/>
  <c r="F757" i="8" s="1"/>
  <c r="AC360" i="2"/>
  <c r="AE1000" i="8"/>
  <c r="AE1001" i="8" s="1"/>
  <c r="F1001" i="8" s="1"/>
  <c r="AE731" i="2"/>
  <c r="AE204" i="14" s="1"/>
  <c r="AE742" i="2"/>
  <c r="AD816" i="8"/>
  <c r="AD817" i="8" s="1"/>
  <c r="AD1200" i="8"/>
  <c r="AD1201" i="8" s="1"/>
  <c r="AE347" i="2"/>
  <c r="AE620" i="8"/>
  <c r="AE621" i="8" s="1"/>
  <c r="F621" i="8" s="1"/>
  <c r="AE336" i="2"/>
  <c r="AE43" i="14" s="1"/>
  <c r="AE1152" i="8"/>
  <c r="AE1153" i="8" s="1"/>
  <c r="F1153" i="8" s="1"/>
  <c r="AD1212" i="8"/>
  <c r="AD1213" i="8" s="1"/>
  <c r="AD780" i="8"/>
  <c r="AD781" i="8" s="1"/>
  <c r="AE1188" i="8"/>
  <c r="AE1189" i="8" s="1"/>
  <c r="F1189" i="8" s="1"/>
  <c r="AE1004" i="8"/>
  <c r="AE1005" i="8" s="1"/>
  <c r="F1005" i="8" s="1"/>
  <c r="AE732" i="2"/>
  <c r="AE205" i="14" s="1"/>
  <c r="AE743" i="2"/>
  <c r="AE1204" i="8"/>
  <c r="AE1205" i="8" s="1"/>
  <c r="F1205" i="8" s="1"/>
  <c r="AD1156" i="8"/>
  <c r="AD1157" i="8" s="1"/>
  <c r="AE820" i="8"/>
  <c r="AE821" i="8" s="1"/>
  <c r="F821" i="8" s="1"/>
  <c r="AD828" i="8"/>
  <c r="AD829" i="8" s="1"/>
  <c r="AE792" i="8"/>
  <c r="AE793" i="8" s="1"/>
  <c r="F793" i="8" s="1"/>
  <c r="AD1160" i="8"/>
  <c r="AD1161" i="8" s="1"/>
  <c r="AD1164" i="8"/>
  <c r="AD1165" i="8" s="1"/>
  <c r="AE1168" i="8"/>
  <c r="AE1169" i="8" s="1"/>
  <c r="F1169" i="8" s="1"/>
  <c r="AD1192" i="8"/>
  <c r="AD1193" i="8" s="1"/>
  <c r="AD768" i="8"/>
  <c r="AD769" i="8" s="1"/>
  <c r="AE996" i="8"/>
  <c r="AE997" i="8" s="1"/>
  <c r="F997" i="8" s="1"/>
  <c r="AE741" i="2"/>
  <c r="AE730" i="2"/>
  <c r="AE203" i="14" s="1"/>
  <c r="AD387" i="2"/>
  <c r="AD932" i="8" s="1"/>
  <c r="AD933" i="8" s="1"/>
  <c r="AD804" i="8"/>
  <c r="AD805" i="8" s="1"/>
  <c r="AE784" i="8"/>
  <c r="AE785" i="8" s="1"/>
  <c r="F785" i="8" s="1"/>
  <c r="AD864" i="8"/>
  <c r="AD865" i="8" s="1"/>
  <c r="AE1172" i="8"/>
  <c r="AE1173" i="8" s="1"/>
  <c r="F1173" i="8" s="1"/>
  <c r="AD375" i="2"/>
  <c r="AD904" i="8" s="1"/>
  <c r="AD905" i="8" s="1"/>
  <c r="AE608" i="8"/>
  <c r="AE609" i="8" s="1"/>
  <c r="F609" i="8" s="1"/>
  <c r="AE344" i="2"/>
  <c r="AE333" i="2"/>
  <c r="AE40" i="14" s="1"/>
  <c r="AE764" i="8"/>
  <c r="AE765" i="8" s="1"/>
  <c r="F765" i="8" s="1"/>
  <c r="AD376" i="2"/>
  <c r="AD908" i="8" s="1"/>
  <c r="AD909" i="8" s="1"/>
  <c r="AE1208" i="8"/>
  <c r="AE1209" i="8" s="1"/>
  <c r="F1209" i="8" s="1"/>
  <c r="AD338" i="2"/>
  <c r="AD788" i="8" s="1"/>
  <c r="AD789" i="8" s="1"/>
  <c r="AD737" i="2"/>
  <c r="AD1184" i="8" s="1"/>
  <c r="AD1185" i="8" s="1"/>
  <c r="AE800" i="8"/>
  <c r="AE801" i="8" s="1"/>
  <c r="F801" i="8" s="1"/>
  <c r="X260" i="14" l="1"/>
  <c r="R267" i="14"/>
  <c r="R269" i="14" s="1"/>
  <c r="T267" i="14"/>
  <c r="T269" i="14" s="1"/>
  <c r="X262" i="14"/>
  <c r="W260" i="14"/>
  <c r="W262" i="14"/>
  <c r="V260" i="14"/>
  <c r="V262" i="14"/>
  <c r="Z256" i="14"/>
  <c r="Z258" i="14" s="1"/>
  <c r="U264" i="14"/>
  <c r="U266" i="14" s="1"/>
  <c r="S268" i="14"/>
  <c r="S270" i="14" s="1"/>
  <c r="Y256" i="14"/>
  <c r="Y258" i="14"/>
  <c r="Z87" i="14"/>
  <c r="Z95" i="14"/>
  <c r="AD247" i="14"/>
  <c r="AD245" i="13"/>
  <c r="AD82" i="14"/>
  <c r="Z99" i="14"/>
  <c r="AE77" i="14"/>
  <c r="AD81" i="14"/>
  <c r="AD383" i="2"/>
  <c r="AE394" i="2"/>
  <c r="AE956" i="8" s="1"/>
  <c r="AE957" i="8" s="1"/>
  <c r="F957" i="8" s="1"/>
  <c r="Z127" i="14"/>
  <c r="AD78" i="14"/>
  <c r="AD79" i="14" s="1"/>
  <c r="AD80" i="14" s="1"/>
  <c r="AD243" i="14"/>
  <c r="AD244" i="14" s="1"/>
  <c r="AD245" i="14" s="1"/>
  <c r="AA106" i="14"/>
  <c r="AA108" i="14" s="1"/>
  <c r="AB98" i="14"/>
  <c r="AB100" i="14" s="1"/>
  <c r="AA126" i="14"/>
  <c r="AA128" i="14" s="1"/>
  <c r="Z119" i="14"/>
  <c r="Q1533" i="8"/>
  <c r="Q1661" i="8"/>
  <c r="Q1529" i="8"/>
  <c r="Q1635" i="8"/>
  <c r="Q1537" i="8"/>
  <c r="AB110" i="14"/>
  <c r="AB112" i="14" s="1"/>
  <c r="AB138" i="14"/>
  <c r="AB140" i="14" s="1"/>
  <c r="AC245" i="14"/>
  <c r="Z103" i="14"/>
  <c r="Z149" i="14"/>
  <c r="AE235" i="14"/>
  <c r="AE369" i="2"/>
  <c r="AE888" i="8" s="1"/>
  <c r="AE889" i="8" s="1"/>
  <c r="AE73" i="14"/>
  <c r="AE238" i="14"/>
  <c r="AD888" i="8"/>
  <c r="AD889" i="8" s="1"/>
  <c r="Q1490" i="8"/>
  <c r="Q102" i="12"/>
  <c r="Q1473" i="8" s="1"/>
  <c r="Q1488" i="8"/>
  <c r="Q78" i="12"/>
  <c r="Q1471" i="8" s="1"/>
  <c r="AB94" i="14"/>
  <c r="AB96" i="14" s="1"/>
  <c r="AA114" i="14"/>
  <c r="AA116" i="14" s="1"/>
  <c r="AA138" i="14"/>
  <c r="AA140" i="14" s="1"/>
  <c r="AE242" i="14"/>
  <c r="AB1649" i="8"/>
  <c r="AB649" i="2"/>
  <c r="AB1621" i="8" s="1"/>
  <c r="AB248" i="14"/>
  <c r="AB122" i="14"/>
  <c r="AB124" i="14" s="1"/>
  <c r="AA102" i="14"/>
  <c r="AA104" i="14" s="1"/>
  <c r="AA134" i="14"/>
  <c r="AA136" i="14" s="1"/>
  <c r="T1522" i="8"/>
  <c r="T1628" i="8"/>
  <c r="AE233" i="14"/>
  <c r="AB114" i="14"/>
  <c r="AB116" i="14" s="1"/>
  <c r="AE366" i="2"/>
  <c r="AE70" i="14"/>
  <c r="AB130" i="14"/>
  <c r="AB132" i="14" s="1"/>
  <c r="AA86" i="14"/>
  <c r="AA88" i="14" s="1"/>
  <c r="Q90" i="12"/>
  <c r="Q1472" i="8" s="1"/>
  <c r="Q1489" i="8"/>
  <c r="AC80" i="14"/>
  <c r="AA118" i="14"/>
  <c r="AA120" i="14" s="1"/>
  <c r="Z107" i="14"/>
  <c r="AE234" i="14"/>
  <c r="AB157" i="14"/>
  <c r="AB158" i="14" s="1"/>
  <c r="AB1616" i="8"/>
  <c r="T1525" i="8"/>
  <c r="T1631" i="8"/>
  <c r="Q1531" i="8"/>
  <c r="Q1659" i="8"/>
  <c r="Q1527" i="8"/>
  <c r="Q1633" i="8"/>
  <c r="Q1535" i="8"/>
  <c r="AB106" i="14"/>
  <c r="AB108" i="14" s="1"/>
  <c r="AA110" i="14"/>
  <c r="AA112" i="14" s="1"/>
  <c r="AA1613" i="8"/>
  <c r="AA169" i="14"/>
  <c r="AA167" i="14"/>
  <c r="AA165" i="14"/>
  <c r="AA163" i="14"/>
  <c r="AA161" i="14"/>
  <c r="AA164" i="14"/>
  <c r="AA168" i="14"/>
  <c r="AA162" i="14"/>
  <c r="AA166" i="14"/>
  <c r="AA150" i="14"/>
  <c r="AA151" i="14"/>
  <c r="AD277" i="13"/>
  <c r="AD1641" i="8"/>
  <c r="U1524" i="8"/>
  <c r="U1630" i="8"/>
  <c r="AD246" i="14"/>
  <c r="Z115" i="14"/>
  <c r="Q1530" i="8"/>
  <c r="Q1658" i="8"/>
  <c r="Q1526" i="8"/>
  <c r="Q1632" i="8"/>
  <c r="Q1534" i="8"/>
  <c r="AB118" i="14"/>
  <c r="AB120" i="14" s="1"/>
  <c r="AA90" i="14"/>
  <c r="AA92" i="14" s="1"/>
  <c r="AA251" i="14"/>
  <c r="AA253" i="14" s="1"/>
  <c r="Q1487" i="8"/>
  <c r="Q66" i="12"/>
  <c r="AB102" i="14"/>
  <c r="AB104" i="14" s="1"/>
  <c r="AA142" i="14"/>
  <c r="AA144" i="14" s="1"/>
  <c r="Y153" i="14"/>
  <c r="Y1614" i="8" s="1"/>
  <c r="Y154" i="14"/>
  <c r="Z111" i="14"/>
  <c r="Z123" i="14"/>
  <c r="AB86" i="14"/>
  <c r="AB88" i="14" s="1"/>
  <c r="AA98" i="14"/>
  <c r="AA100" i="14" s="1"/>
  <c r="AD398" i="2"/>
  <c r="AD972" i="8" s="1"/>
  <c r="AD973" i="8" s="1"/>
  <c r="U1523" i="8"/>
  <c r="U1629" i="8"/>
  <c r="AB142" i="14"/>
  <c r="AB144" i="14" s="1"/>
  <c r="AB134" i="14"/>
  <c r="AB136" i="14" s="1"/>
  <c r="AA94" i="14"/>
  <c r="AA96" i="14" s="1"/>
  <c r="P1470" i="8"/>
  <c r="P1662" i="8"/>
  <c r="Z131" i="14"/>
  <c r="AB90" i="14"/>
  <c r="AB92" i="14" s="1"/>
  <c r="AA122" i="14"/>
  <c r="AA124" i="14" s="1"/>
  <c r="AE367" i="2"/>
  <c r="AE880" i="8" s="1"/>
  <c r="AE881" i="8" s="1"/>
  <c r="F881" i="8" s="1"/>
  <c r="AE71" i="14"/>
  <c r="Q1532" i="8"/>
  <c r="Q1660" i="8"/>
  <c r="Q1634" i="8"/>
  <c r="Q1528" i="8"/>
  <c r="Q1536" i="8"/>
  <c r="Z91" i="14"/>
  <c r="Z135" i="14"/>
  <c r="Z139" i="14"/>
  <c r="AB126" i="14"/>
  <c r="AB128" i="14" s="1"/>
  <c r="AB1613" i="8"/>
  <c r="AB169" i="14"/>
  <c r="AB167" i="14"/>
  <c r="AB165" i="14"/>
  <c r="AB163" i="14"/>
  <c r="AB161" i="14"/>
  <c r="AB168" i="14"/>
  <c r="AB166" i="14"/>
  <c r="AB164" i="14"/>
  <c r="AB162" i="14"/>
  <c r="AB150" i="14"/>
  <c r="AB151" i="14"/>
  <c r="AA130" i="14"/>
  <c r="AA132" i="14" s="1"/>
  <c r="Z143" i="14"/>
  <c r="AD240" i="13"/>
  <c r="AD243" i="13"/>
  <c r="AD138" i="13"/>
  <c r="AD1506" i="8"/>
  <c r="AD239" i="13"/>
  <c r="AD244" i="13"/>
  <c r="AD1541" i="8"/>
  <c r="AD1515" i="8"/>
  <c r="AD1516" i="8"/>
  <c r="AD237" i="13"/>
  <c r="AE264" i="13"/>
  <c r="AE265" i="13" s="1"/>
  <c r="AD238" i="13"/>
  <c r="T1482" i="8"/>
  <c r="T1483" i="8" s="1"/>
  <c r="AD242" i="13"/>
  <c r="AE1504" i="8"/>
  <c r="F1504" i="8" s="1"/>
  <c r="AD223" i="13"/>
  <c r="AD230" i="13"/>
  <c r="AD225" i="13"/>
  <c r="AC1510" i="8"/>
  <c r="AD227" i="13"/>
  <c r="AD224" i="13"/>
  <c r="AD228" i="13"/>
  <c r="AD226" i="13"/>
  <c r="AD1514" i="8"/>
  <c r="AD1540" i="8"/>
  <c r="AC1513" i="8"/>
  <c r="AE78" i="13"/>
  <c r="AE1505" i="8" s="1"/>
  <c r="F1505" i="8" s="1"/>
  <c r="AE236" i="13"/>
  <c r="AE243" i="13" s="1"/>
  <c r="AE217" i="13"/>
  <c r="AD229" i="13"/>
  <c r="W238" i="2"/>
  <c r="V46" i="12"/>
  <c r="V131" i="8"/>
  <c r="V132" i="8" s="1"/>
  <c r="T51" i="12"/>
  <c r="AD1543" i="8"/>
  <c r="AD265" i="13"/>
  <c r="AD271" i="13"/>
  <c r="AD266" i="13"/>
  <c r="AD273" i="13"/>
  <c r="AD270" i="13"/>
  <c r="AD269" i="13"/>
  <c r="AD267" i="13"/>
  <c r="AD268" i="13"/>
  <c r="AD272" i="13"/>
  <c r="W240" i="2"/>
  <c r="V48" i="12"/>
  <c r="V139" i="8"/>
  <c r="V140" i="8" s="1"/>
  <c r="AC1511" i="8"/>
  <c r="W115" i="2"/>
  <c r="V19" i="12"/>
  <c r="V47" i="8"/>
  <c r="V48" i="8" s="1"/>
  <c r="W178" i="2"/>
  <c r="V34" i="12"/>
  <c r="V95" i="8"/>
  <c r="V96" i="8" s="1"/>
  <c r="U39" i="12"/>
  <c r="AE132" i="13"/>
  <c r="AE131" i="13"/>
  <c r="AE130" i="13"/>
  <c r="AE129" i="13"/>
  <c r="AE134" i="13"/>
  <c r="AE133" i="13"/>
  <c r="AE126" i="13"/>
  <c r="AE128" i="13"/>
  <c r="AE127" i="13"/>
  <c r="W56" i="2"/>
  <c r="V8" i="12"/>
  <c r="V15" i="8"/>
  <c r="V16" i="8" s="1"/>
  <c r="V241" i="2"/>
  <c r="U49" i="12"/>
  <c r="U143" i="8"/>
  <c r="U144" i="8" s="1"/>
  <c r="AB1431" i="8"/>
  <c r="AB137" i="13"/>
  <c r="AB139" i="13" s="1"/>
  <c r="AB1507" i="8" s="1"/>
  <c r="V234" i="2"/>
  <c r="U42" i="12"/>
  <c r="U243" i="2"/>
  <c r="U115" i="8"/>
  <c r="U116" i="8" s="1"/>
  <c r="V237" i="2"/>
  <c r="U45" i="12"/>
  <c r="U127" i="8"/>
  <c r="U128" i="8" s="1"/>
  <c r="X121" i="2"/>
  <c r="W25" i="12"/>
  <c r="W71" i="8"/>
  <c r="W72" i="8" s="1"/>
  <c r="V58" i="2"/>
  <c r="U10" i="12"/>
  <c r="U23" i="8"/>
  <c r="U24" i="8" s="1"/>
  <c r="S1469" i="8"/>
  <c r="S1485" i="8"/>
  <c r="S1486" i="8" s="1"/>
  <c r="X122" i="2"/>
  <c r="W26" i="12"/>
  <c r="W75" i="8"/>
  <c r="W76" i="8" s="1"/>
  <c r="W120" i="2"/>
  <c r="V24" i="12"/>
  <c r="V67" i="8"/>
  <c r="V68" i="8" s="1"/>
  <c r="W181" i="2"/>
  <c r="V37" i="12"/>
  <c r="V107" i="8"/>
  <c r="V108" i="8" s="1"/>
  <c r="W174" i="2"/>
  <c r="V30" i="12"/>
  <c r="V79" i="8"/>
  <c r="V80" i="8" s="1"/>
  <c r="V183" i="2"/>
  <c r="W177" i="2"/>
  <c r="V33" i="12"/>
  <c r="V91" i="8"/>
  <c r="V92" i="8" s="1"/>
  <c r="W59" i="2"/>
  <c r="V11" i="12"/>
  <c r="V27" i="8"/>
  <c r="V28" i="8" s="1"/>
  <c r="T1479" i="8"/>
  <c r="T1480" i="8" s="1"/>
  <c r="T1467" i="8"/>
  <c r="W57" i="2"/>
  <c r="V9" i="12"/>
  <c r="V19" i="8"/>
  <c r="V20" i="8" s="1"/>
  <c r="T15" i="12"/>
  <c r="W118" i="2"/>
  <c r="V22" i="12"/>
  <c r="V59" i="8"/>
  <c r="V60" i="8" s="1"/>
  <c r="AE105" i="13"/>
  <c r="AE104" i="13"/>
  <c r="AE106" i="13"/>
  <c r="AE102" i="13"/>
  <c r="AE101" i="13"/>
  <c r="AE100" i="13"/>
  <c r="AE103" i="13"/>
  <c r="AE99" i="13"/>
  <c r="AE98" i="13"/>
  <c r="AE1502" i="8"/>
  <c r="F1502" i="8" s="1"/>
  <c r="V54" i="2"/>
  <c r="U6" i="12"/>
  <c r="U7" i="8"/>
  <c r="U8" i="8" s="1"/>
  <c r="U63" i="2"/>
  <c r="V60" i="2"/>
  <c r="U12" i="12"/>
  <c r="U31" i="8"/>
  <c r="U32" i="8" s="1"/>
  <c r="V242" i="2"/>
  <c r="U50" i="12"/>
  <c r="U147" i="8"/>
  <c r="U148" i="8" s="1"/>
  <c r="W114" i="2"/>
  <c r="V18" i="12"/>
  <c r="V43" i="8"/>
  <c r="V44" i="8" s="1"/>
  <c r="V123" i="2"/>
  <c r="U27" i="12"/>
  <c r="AE222" i="13"/>
  <c r="W62" i="2"/>
  <c r="V14" i="12"/>
  <c r="V39" i="8"/>
  <c r="V40" i="8" s="1"/>
  <c r="W176" i="2"/>
  <c r="V32" i="12"/>
  <c r="V87" i="8"/>
  <c r="V88" i="8" s="1"/>
  <c r="X180" i="2"/>
  <c r="W36" i="12"/>
  <c r="W103" i="8"/>
  <c r="W104" i="8" s="1"/>
  <c r="W117" i="2"/>
  <c r="V21" i="12"/>
  <c r="V55" i="8"/>
  <c r="V56" i="8" s="1"/>
  <c r="V236" i="2"/>
  <c r="U44" i="12"/>
  <c r="U123" i="8"/>
  <c r="U124" i="8" s="1"/>
  <c r="V55" i="2"/>
  <c r="U7" i="12"/>
  <c r="U11" i="8"/>
  <c r="U12" i="8" s="1"/>
  <c r="X175" i="2"/>
  <c r="W31" i="12"/>
  <c r="W83" i="8"/>
  <c r="W84" i="8" s="1"/>
  <c r="AE1500" i="8"/>
  <c r="F1500" i="8" s="1"/>
  <c r="W239" i="2"/>
  <c r="V47" i="12"/>
  <c r="V135" i="8"/>
  <c r="V136" i="8" s="1"/>
  <c r="X182" i="2"/>
  <c r="W38" i="12"/>
  <c r="W111" i="8"/>
  <c r="W112" i="8" s="1"/>
  <c r="X119" i="2"/>
  <c r="W23" i="12"/>
  <c r="W63" i="8"/>
  <c r="W64" i="8" s="1"/>
  <c r="W61" i="2"/>
  <c r="V13" i="12"/>
  <c r="V35" i="8"/>
  <c r="V36" i="8" s="1"/>
  <c r="X179" i="2"/>
  <c r="W35" i="12"/>
  <c r="W99" i="8"/>
  <c r="W100" i="8" s="1"/>
  <c r="X116" i="2"/>
  <c r="W20" i="12"/>
  <c r="W51" i="8"/>
  <c r="W52" i="8" s="1"/>
  <c r="S1476" i="8"/>
  <c r="S1477" i="8" s="1"/>
  <c r="S1466" i="8"/>
  <c r="AD1501" i="8"/>
  <c r="AE1512" i="8"/>
  <c r="F1512" i="8" s="1"/>
  <c r="AD1503" i="8"/>
  <c r="V235" i="2"/>
  <c r="U43" i="12"/>
  <c r="U119" i="8"/>
  <c r="U120" i="8" s="1"/>
  <c r="AE392" i="2"/>
  <c r="AE948" i="8" s="1"/>
  <c r="AE949" i="8" s="1"/>
  <c r="F949" i="8" s="1"/>
  <c r="AD852" i="8"/>
  <c r="AD853" i="8" s="1"/>
  <c r="AE836" i="8"/>
  <c r="AE837" i="8" s="1"/>
  <c r="F837" i="8" s="1"/>
  <c r="AE376" i="2"/>
  <c r="AE908" i="8" s="1"/>
  <c r="AE909" i="8" s="1"/>
  <c r="F909" i="8" s="1"/>
  <c r="AC400" i="2"/>
  <c r="AC157" i="14" s="1"/>
  <c r="AD395" i="2"/>
  <c r="AD960" i="8" s="1"/>
  <c r="AD961" i="8" s="1"/>
  <c r="AD396" i="2"/>
  <c r="AD964" i="8" s="1"/>
  <c r="AD965" i="8" s="1"/>
  <c r="AD378" i="2"/>
  <c r="AD916" i="8" s="1"/>
  <c r="AD917" i="8" s="1"/>
  <c r="AB1432" i="8"/>
  <c r="AE399" i="2"/>
  <c r="AE976" i="8" s="1"/>
  <c r="AE977" i="8" s="1"/>
  <c r="F977" i="8" s="1"/>
  <c r="AD382" i="2"/>
  <c r="AB980" i="8"/>
  <c r="AB981" i="8" s="1"/>
  <c r="AD876" i="8"/>
  <c r="AD877" i="8" s="1"/>
  <c r="AC390" i="2"/>
  <c r="AC944" i="8" s="1"/>
  <c r="AA1433" i="8"/>
  <c r="AA1445" i="8"/>
  <c r="AC860" i="8"/>
  <c r="AC861" i="8" s="1"/>
  <c r="AC381" i="2"/>
  <c r="AC1434" i="8" s="1"/>
  <c r="AE356" i="2"/>
  <c r="AE844" i="8" s="1"/>
  <c r="AE845" i="8" s="1"/>
  <c r="F845" i="8" s="1"/>
  <c r="AE358" i="2"/>
  <c r="AE852" i="8" s="1"/>
  <c r="AE853" i="8" s="1"/>
  <c r="AC379" i="2"/>
  <c r="AB920" i="8"/>
  <c r="AB921" i="8" s="1"/>
  <c r="AB380" i="2"/>
  <c r="AC900" i="8"/>
  <c r="AC901" i="8" s="1"/>
  <c r="AE338" i="2"/>
  <c r="AE788" i="8" s="1"/>
  <c r="AE789" i="8" s="1"/>
  <c r="F789" i="8" s="1"/>
  <c r="AE355" i="2"/>
  <c r="AE395" i="2" s="1"/>
  <c r="AE387" i="2"/>
  <c r="AE932" i="8" s="1"/>
  <c r="AE933" i="8" s="1"/>
  <c r="F933" i="8" s="1"/>
  <c r="AE386" i="2"/>
  <c r="AE928" i="8" s="1"/>
  <c r="AE929" i="8" s="1"/>
  <c r="F929" i="8" s="1"/>
  <c r="AE772" i="8"/>
  <c r="AE773" i="8" s="1"/>
  <c r="F773" i="8" s="1"/>
  <c r="AE808" i="8"/>
  <c r="AE809" i="8" s="1"/>
  <c r="F809" i="8" s="1"/>
  <c r="AE375" i="2"/>
  <c r="AE904" i="8" s="1"/>
  <c r="AE905" i="8" s="1"/>
  <c r="F905" i="8" s="1"/>
  <c r="AD385" i="2"/>
  <c r="AD924" i="8" s="1"/>
  <c r="AD925" i="8" s="1"/>
  <c r="AE804" i="8"/>
  <c r="AE805" i="8" s="1"/>
  <c r="F805" i="8" s="1"/>
  <c r="AE1164" i="8"/>
  <c r="AE1165" i="8" s="1"/>
  <c r="F1165" i="8" s="1"/>
  <c r="AD371" i="2"/>
  <c r="AD896" i="8" s="1"/>
  <c r="AD897" i="8" s="1"/>
  <c r="AE1160" i="8"/>
  <c r="AE1161" i="8" s="1"/>
  <c r="F1161" i="8" s="1"/>
  <c r="AE1200" i="8"/>
  <c r="AE1201" i="8" s="1"/>
  <c r="F1201" i="8" s="1"/>
  <c r="AE1176" i="8"/>
  <c r="AE1177" i="8" s="1"/>
  <c r="F1177" i="8" s="1"/>
  <c r="AE1212" i="8"/>
  <c r="AE1213" i="8" s="1"/>
  <c r="F1213" i="8" s="1"/>
  <c r="AE737" i="2"/>
  <c r="AE1184" i="8" s="1"/>
  <c r="AE1185" i="8" s="1"/>
  <c r="F1185" i="8" s="1"/>
  <c r="AE349" i="2"/>
  <c r="AE824" i="8" s="1"/>
  <c r="AE825" i="8" s="1"/>
  <c r="F825" i="8" s="1"/>
  <c r="AE1196" i="8"/>
  <c r="AE1197" i="8" s="1"/>
  <c r="F1197" i="8" s="1"/>
  <c r="AE816" i="8"/>
  <c r="AE817" i="8" s="1"/>
  <c r="F817" i="8" s="1"/>
  <c r="AE828" i="8"/>
  <c r="AE829" i="8" s="1"/>
  <c r="F829" i="8" s="1"/>
  <c r="AD389" i="2"/>
  <c r="AD940" i="8" s="1"/>
  <c r="AD941" i="8" s="1"/>
  <c r="AE748" i="2"/>
  <c r="AE1220" i="8" s="1"/>
  <c r="AE1221" i="8" s="1"/>
  <c r="F1221" i="8" s="1"/>
  <c r="AE768" i="8"/>
  <c r="AE769" i="8" s="1"/>
  <c r="F769" i="8" s="1"/>
  <c r="AE864" i="8"/>
  <c r="AE865" i="8" s="1"/>
  <c r="F865" i="8" s="1"/>
  <c r="AD374" i="2"/>
  <c r="AE780" i="8"/>
  <c r="AE781" i="8" s="1"/>
  <c r="F781" i="8" s="1"/>
  <c r="AE1156" i="8"/>
  <c r="AE1157" i="8" s="1"/>
  <c r="F1157" i="8" s="1"/>
  <c r="AD360" i="2"/>
  <c r="AE1192" i="8"/>
  <c r="AE1193" i="8" s="1"/>
  <c r="F1193" i="8" s="1"/>
  <c r="T268" i="14" l="1"/>
  <c r="S271" i="14"/>
  <c r="S273" i="14" s="1"/>
  <c r="Z259" i="14"/>
  <c r="Z261" i="14" s="1"/>
  <c r="U267" i="14"/>
  <c r="U269" i="14" s="1"/>
  <c r="V263" i="14"/>
  <c r="V265" i="14" s="1"/>
  <c r="V266" i="14" s="1"/>
  <c r="W263" i="14"/>
  <c r="W265" i="14" s="1"/>
  <c r="AB95" i="14"/>
  <c r="X263" i="14"/>
  <c r="X265" i="14" s="1"/>
  <c r="Y259" i="14"/>
  <c r="Y261" i="14" s="1"/>
  <c r="T270" i="14"/>
  <c r="R268" i="14"/>
  <c r="R270" i="14" s="1"/>
  <c r="AC158" i="14"/>
  <c r="AB119" i="14"/>
  <c r="AE383" i="2"/>
  <c r="AE243" i="14"/>
  <c r="AE244" i="14" s="1"/>
  <c r="AA143" i="14"/>
  <c r="AE876" i="8"/>
  <c r="AE877" i="8" s="1"/>
  <c r="F889" i="8"/>
  <c r="AA131" i="14"/>
  <c r="AB149" i="14"/>
  <c r="AB152" i="14" s="1"/>
  <c r="AE247" i="14"/>
  <c r="AE78" i="14"/>
  <c r="AE79" i="14" s="1"/>
  <c r="AE80" i="14" s="1"/>
  <c r="AA149" i="14"/>
  <c r="AA156" i="14" s="1"/>
  <c r="U1525" i="8"/>
  <c r="U1631" i="8"/>
  <c r="AB111" i="14"/>
  <c r="AB135" i="14"/>
  <c r="U1522" i="8"/>
  <c r="U1628" i="8"/>
  <c r="V1524" i="8"/>
  <c r="V1630" i="8"/>
  <c r="AA119" i="14"/>
  <c r="AA123" i="14"/>
  <c r="AB143" i="14"/>
  <c r="Q1470" i="8"/>
  <c r="Q1662" i="8"/>
  <c r="AC250" i="2"/>
  <c r="AC1617" i="8" s="1"/>
  <c r="AC129" i="14"/>
  <c r="AC145" i="14"/>
  <c r="AC148" i="14" s="1"/>
  <c r="AC155" i="14" s="1"/>
  <c r="AC133" i="14"/>
  <c r="AC137" i="14"/>
  <c r="AC101" i="14"/>
  <c r="AC117" i="14"/>
  <c r="AC105" i="14"/>
  <c r="AC125" i="14"/>
  <c r="AC109" i="14"/>
  <c r="AC113" i="14"/>
  <c r="AC93" i="14"/>
  <c r="AC97" i="14"/>
  <c r="AC89" i="14"/>
  <c r="AC141" i="14"/>
  <c r="AC121" i="14"/>
  <c r="AC83" i="14"/>
  <c r="AE81" i="14"/>
  <c r="AA135" i="14"/>
  <c r="AB139" i="14"/>
  <c r="AC1616" i="8"/>
  <c r="AB103" i="14"/>
  <c r="AB127" i="14"/>
  <c r="AB91" i="14"/>
  <c r="R1530" i="8"/>
  <c r="AA111" i="14"/>
  <c r="AA87" i="14"/>
  <c r="AA103" i="14"/>
  <c r="AB251" i="14"/>
  <c r="AB253" i="14" s="1"/>
  <c r="Z156" i="14"/>
  <c r="Z1615" i="8"/>
  <c r="Z152" i="14"/>
  <c r="AA127" i="14"/>
  <c r="AA107" i="14"/>
  <c r="AA95" i="14"/>
  <c r="AA99" i="14"/>
  <c r="R1533" i="8"/>
  <c r="AB87" i="14"/>
  <c r="V1523" i="8"/>
  <c r="V1629" i="8"/>
  <c r="AB107" i="14"/>
  <c r="AB131" i="14"/>
  <c r="AB123" i="14"/>
  <c r="AE82" i="14"/>
  <c r="AA252" i="14"/>
  <c r="AA254" i="14" s="1"/>
  <c r="AB115" i="14"/>
  <c r="AA139" i="14"/>
  <c r="R1532" i="8"/>
  <c r="AB99" i="14"/>
  <c r="R1531" i="8"/>
  <c r="AE246" i="14"/>
  <c r="AE1538" i="8"/>
  <c r="F1538" i="8" s="1"/>
  <c r="AE1641" i="8"/>
  <c r="F1641" i="8" s="1"/>
  <c r="AA91" i="14"/>
  <c r="AA115" i="14"/>
  <c r="AD1649" i="8"/>
  <c r="AD649" i="2"/>
  <c r="AD1621" i="8" s="1"/>
  <c r="AD248" i="14"/>
  <c r="AC1649" i="8"/>
  <c r="AC649" i="2"/>
  <c r="AC1621" i="8" s="1"/>
  <c r="AC248" i="14"/>
  <c r="AD250" i="2"/>
  <c r="AD1617" i="8" s="1"/>
  <c r="AD145" i="14"/>
  <c r="AD148" i="14" s="1"/>
  <c r="AD155" i="14" s="1"/>
  <c r="AD133" i="14"/>
  <c r="AD137" i="14"/>
  <c r="AD113" i="14"/>
  <c r="AD83" i="14"/>
  <c r="AD101" i="14"/>
  <c r="AD117" i="14"/>
  <c r="AD105" i="14"/>
  <c r="AD121" i="14"/>
  <c r="AD93" i="14"/>
  <c r="AD125" i="14"/>
  <c r="AD109" i="14"/>
  <c r="AD129" i="14"/>
  <c r="AD97" i="14"/>
  <c r="AD89" i="14"/>
  <c r="AD141" i="14"/>
  <c r="AE245" i="13"/>
  <c r="AE138" i="13"/>
  <c r="AE268" i="13"/>
  <c r="AE1543" i="8"/>
  <c r="F1543" i="8" s="1"/>
  <c r="AD1511" i="8"/>
  <c r="AE1515" i="8"/>
  <c r="F1515" i="8" s="1"/>
  <c r="AE266" i="13"/>
  <c r="AE269" i="13"/>
  <c r="AE273" i="13"/>
  <c r="AE270" i="13"/>
  <c r="AE271" i="13"/>
  <c r="AE242" i="13"/>
  <c r="AE238" i="13"/>
  <c r="AE241" i="13"/>
  <c r="AE237" i="13"/>
  <c r="AE240" i="13"/>
  <c r="AE272" i="13"/>
  <c r="AE1541" i="8"/>
  <c r="F1541" i="8" s="1"/>
  <c r="AD1510" i="8"/>
  <c r="AE267" i="13"/>
  <c r="AE244" i="13"/>
  <c r="AE277" i="13"/>
  <c r="AE1506" i="8"/>
  <c r="F1506" i="8" s="1"/>
  <c r="AE239" i="13"/>
  <c r="AE1516" i="8"/>
  <c r="F1516" i="8" s="1"/>
  <c r="U51" i="12"/>
  <c r="U1485" i="8" s="1"/>
  <c r="U1486" i="8" s="1"/>
  <c r="X62" i="2"/>
  <c r="W14" i="12"/>
  <c r="W39" i="8"/>
  <c r="W40" i="8" s="1"/>
  <c r="W60" i="2"/>
  <c r="V12" i="12"/>
  <c r="V31" i="8"/>
  <c r="V32" i="8" s="1"/>
  <c r="V39" i="12"/>
  <c r="U15" i="12"/>
  <c r="W58" i="2"/>
  <c r="V10" i="12"/>
  <c r="V23" i="8"/>
  <c r="V24" i="8" s="1"/>
  <c r="W55" i="2"/>
  <c r="V7" i="12"/>
  <c r="V11" i="8"/>
  <c r="V12" i="8" s="1"/>
  <c r="X115" i="2"/>
  <c r="W19" i="12"/>
  <c r="W47" i="8"/>
  <c r="W48" i="8" s="1"/>
  <c r="AC980" i="8"/>
  <c r="AC981" i="8" s="1"/>
  <c r="AC137" i="13"/>
  <c r="AC139" i="13" s="1"/>
  <c r="AC1507" i="8" s="1"/>
  <c r="X61" i="2"/>
  <c r="W13" i="12"/>
  <c r="W35" i="8"/>
  <c r="W36" i="8" s="1"/>
  <c r="W54" i="2"/>
  <c r="V6" i="12"/>
  <c r="V7" i="8"/>
  <c r="V8" i="8" s="1"/>
  <c r="V63" i="2"/>
  <c r="X118" i="2"/>
  <c r="W22" i="12"/>
  <c r="W59" i="8"/>
  <c r="W60" i="8" s="1"/>
  <c r="X181" i="2"/>
  <c r="W37" i="12"/>
  <c r="W107" i="8"/>
  <c r="W108" i="8" s="1"/>
  <c r="U1468" i="8"/>
  <c r="U1482" i="8"/>
  <c r="U1483" i="8" s="1"/>
  <c r="X240" i="2"/>
  <c r="W48" i="12"/>
  <c r="W139" i="8"/>
  <c r="W140" i="8" s="1"/>
  <c r="Y175" i="2"/>
  <c r="X31" i="12"/>
  <c r="X83" i="8"/>
  <c r="X84" i="8" s="1"/>
  <c r="T1476" i="8"/>
  <c r="T1477" i="8" s="1"/>
  <c r="T1466" i="8"/>
  <c r="X59" i="2"/>
  <c r="W11" i="12"/>
  <c r="W27" i="8"/>
  <c r="W28" i="8" s="1"/>
  <c r="Y121" i="2"/>
  <c r="X25" i="12"/>
  <c r="X71" i="8"/>
  <c r="X72" i="8" s="1"/>
  <c r="X56" i="2"/>
  <c r="W8" i="12"/>
  <c r="W15" i="8"/>
  <c r="W16" i="8" s="1"/>
  <c r="W236" i="2"/>
  <c r="V44" i="12"/>
  <c r="V123" i="8"/>
  <c r="V124" i="8" s="1"/>
  <c r="V27" i="12"/>
  <c r="X238" i="2"/>
  <c r="W46" i="12"/>
  <c r="W131" i="8"/>
  <c r="W132" i="8" s="1"/>
  <c r="AE1540" i="8"/>
  <c r="F1540" i="8" s="1"/>
  <c r="AE1514" i="8"/>
  <c r="F1514" i="8" s="1"/>
  <c r="AE224" i="13"/>
  <c r="AE223" i="13"/>
  <c r="AE229" i="13"/>
  <c r="AE231" i="13"/>
  <c r="AE228" i="13"/>
  <c r="AE225" i="13"/>
  <c r="AE226" i="13"/>
  <c r="AE230" i="13"/>
  <c r="AE227" i="13"/>
  <c r="X178" i="2"/>
  <c r="W34" i="12"/>
  <c r="W95" i="8"/>
  <c r="W96" i="8" s="1"/>
  <c r="Y116" i="2"/>
  <c r="X20" i="12"/>
  <c r="X51" i="8"/>
  <c r="X52" i="8" s="1"/>
  <c r="Y179" i="2"/>
  <c r="X35" i="12"/>
  <c r="X99" i="8"/>
  <c r="X100" i="8" s="1"/>
  <c r="Y182" i="2"/>
  <c r="X38" i="12"/>
  <c r="X111" i="8"/>
  <c r="X112" i="8" s="1"/>
  <c r="X117" i="2"/>
  <c r="W21" i="12"/>
  <c r="W55" i="8"/>
  <c r="W56" i="8" s="1"/>
  <c r="X120" i="2"/>
  <c r="W24" i="12"/>
  <c r="W67" i="8"/>
  <c r="W68" i="8" s="1"/>
  <c r="T1485" i="8"/>
  <c r="T1486" i="8" s="1"/>
  <c r="T1469" i="8"/>
  <c r="AD1513" i="8"/>
  <c r="U1467" i="8"/>
  <c r="U1479" i="8"/>
  <c r="U1480" i="8" s="1"/>
  <c r="X114" i="2"/>
  <c r="W18" i="12"/>
  <c r="W123" i="2"/>
  <c r="W43" i="8"/>
  <c r="W44" i="8" s="1"/>
  <c r="AE1501" i="8"/>
  <c r="F1501" i="8" s="1"/>
  <c r="W234" i="2"/>
  <c r="V42" i="12"/>
  <c r="V243" i="2"/>
  <c r="V115" i="8"/>
  <c r="V116" i="8" s="1"/>
  <c r="W241" i="2"/>
  <c r="V49" i="12"/>
  <c r="V143" i="8"/>
  <c r="V144" i="8" s="1"/>
  <c r="X174" i="2"/>
  <c r="W30" i="12"/>
  <c r="W79" i="8"/>
  <c r="W80" i="8" s="1"/>
  <c r="W183" i="2"/>
  <c r="W235" i="2"/>
  <c r="V43" i="12"/>
  <c r="V119" i="8"/>
  <c r="V120" i="8" s="1"/>
  <c r="X239" i="2"/>
  <c r="W47" i="12"/>
  <c r="W135" i="8"/>
  <c r="W136" i="8" s="1"/>
  <c r="Y180" i="2"/>
  <c r="X36" i="12"/>
  <c r="X103" i="8"/>
  <c r="X104" i="8" s="1"/>
  <c r="X176" i="2"/>
  <c r="W32" i="12"/>
  <c r="W87" i="8"/>
  <c r="W88" i="8" s="1"/>
  <c r="Y122" i="2"/>
  <c r="X26" i="12"/>
  <c r="X75" i="8"/>
  <c r="X76" i="8" s="1"/>
  <c r="X57" i="2"/>
  <c r="W9" i="12"/>
  <c r="W19" i="8"/>
  <c r="W20" i="8" s="1"/>
  <c r="W242" i="2"/>
  <c r="V50" i="12"/>
  <c r="V147" i="8"/>
  <c r="V148" i="8" s="1"/>
  <c r="X177" i="2"/>
  <c r="W33" i="12"/>
  <c r="W91" i="8"/>
  <c r="W92" i="8" s="1"/>
  <c r="W237" i="2"/>
  <c r="V45" i="12"/>
  <c r="V127" i="8"/>
  <c r="V128" i="8" s="1"/>
  <c r="AE1503" i="8"/>
  <c r="F1503" i="8" s="1"/>
  <c r="Y119" i="2"/>
  <c r="X23" i="12"/>
  <c r="X63" i="8"/>
  <c r="X64" i="8" s="1"/>
  <c r="F853" i="8"/>
  <c r="AC1431" i="8"/>
  <c r="AC1432" i="8"/>
  <c r="F877" i="8"/>
  <c r="AE396" i="2"/>
  <c r="AE964" i="8" s="1"/>
  <c r="AE965" i="8" s="1"/>
  <c r="F965" i="8" s="1"/>
  <c r="AE398" i="2"/>
  <c r="AE972" i="8" s="1"/>
  <c r="AE973" i="8" s="1"/>
  <c r="F973" i="8" s="1"/>
  <c r="AE382" i="2"/>
  <c r="AD400" i="2"/>
  <c r="AB1433" i="8"/>
  <c r="AB1445" i="8"/>
  <c r="AE840" i="8"/>
  <c r="AE841" i="8" s="1"/>
  <c r="F841" i="8" s="1"/>
  <c r="AE960" i="8"/>
  <c r="AE961" i="8" s="1"/>
  <c r="F961" i="8" s="1"/>
  <c r="AE378" i="2"/>
  <c r="AE916" i="8" s="1"/>
  <c r="AE917" i="8" s="1"/>
  <c r="F917" i="8" s="1"/>
  <c r="AD860" i="8"/>
  <c r="AD861" i="8" s="1"/>
  <c r="AD381" i="2"/>
  <c r="AD1434" i="8" s="1"/>
  <c r="AC920" i="8"/>
  <c r="AC921" i="8" s="1"/>
  <c r="AC380" i="2"/>
  <c r="AE385" i="2"/>
  <c r="AE924" i="8" s="1"/>
  <c r="AE925" i="8" s="1"/>
  <c r="F925" i="8" s="1"/>
  <c r="AD390" i="2"/>
  <c r="AD944" i="8" s="1"/>
  <c r="AE374" i="2"/>
  <c r="AE900" i="8" s="1"/>
  <c r="AE901" i="8" s="1"/>
  <c r="AD900" i="8"/>
  <c r="AD901" i="8" s="1"/>
  <c r="AD379" i="2"/>
  <c r="AE389" i="2"/>
  <c r="AE940" i="8" s="1"/>
  <c r="AE941" i="8" s="1"/>
  <c r="F941" i="8" s="1"/>
  <c r="AE371" i="2"/>
  <c r="AE896" i="8" s="1"/>
  <c r="AE897" i="8" s="1"/>
  <c r="F897" i="8" s="1"/>
  <c r="AE360" i="2"/>
  <c r="X264" i="14" l="1"/>
  <c r="V264" i="14"/>
  <c r="AA152" i="14"/>
  <c r="AA1615" i="8"/>
  <c r="Z260" i="14"/>
  <c r="AB1615" i="8"/>
  <c r="R271" i="14"/>
  <c r="R273" i="14" s="1"/>
  <c r="AA255" i="14"/>
  <c r="AA257" i="14" s="1"/>
  <c r="W264" i="14"/>
  <c r="W266" i="14"/>
  <c r="X266" i="14"/>
  <c r="V267" i="14"/>
  <c r="V269" i="14" s="1"/>
  <c r="U268" i="14"/>
  <c r="U270" i="14" s="1"/>
  <c r="T271" i="14"/>
  <c r="T273" i="14" s="1"/>
  <c r="Z262" i="14"/>
  <c r="Y260" i="14"/>
  <c r="S272" i="14"/>
  <c r="S274" i="14" s="1"/>
  <c r="Y262" i="14"/>
  <c r="AB156" i="14"/>
  <c r="AB252" i="14"/>
  <c r="AB254" i="14" s="1"/>
  <c r="AD142" i="14"/>
  <c r="AD144" i="14" s="1"/>
  <c r="AD138" i="14"/>
  <c r="AD140" i="14" s="1"/>
  <c r="AC102" i="14"/>
  <c r="AC104" i="14" s="1"/>
  <c r="AC138" i="14"/>
  <c r="AC140" i="14" s="1"/>
  <c r="AD98" i="14"/>
  <c r="AD100" i="14" s="1"/>
  <c r="AA153" i="14"/>
  <c r="AA1614" i="8" s="1"/>
  <c r="AA154" i="14"/>
  <c r="AC86" i="14"/>
  <c r="AC88" i="14" s="1"/>
  <c r="AC134" i="14"/>
  <c r="AC136" i="14" s="1"/>
  <c r="AD1613" i="8"/>
  <c r="AD168" i="14"/>
  <c r="AD166" i="14"/>
  <c r="AD164" i="14"/>
  <c r="AD162" i="14"/>
  <c r="AD163" i="14"/>
  <c r="AD167" i="14"/>
  <c r="AD161" i="14"/>
  <c r="AD165" i="14"/>
  <c r="AD169" i="14"/>
  <c r="AD150" i="14"/>
  <c r="AD151" i="14"/>
  <c r="S1531" i="8"/>
  <c r="AC122" i="14"/>
  <c r="AC124" i="14" s="1"/>
  <c r="AD130" i="14"/>
  <c r="AD132" i="14" s="1"/>
  <c r="AC142" i="14"/>
  <c r="AC144" i="14" s="1"/>
  <c r="AC1613" i="8"/>
  <c r="AC169" i="14"/>
  <c r="AC167" i="14"/>
  <c r="AC165" i="14"/>
  <c r="AC163" i="14"/>
  <c r="AC161" i="14"/>
  <c r="AC168" i="14"/>
  <c r="AC166" i="14"/>
  <c r="AC164" i="14"/>
  <c r="AC162" i="14"/>
  <c r="AC150" i="14"/>
  <c r="AC151" i="14"/>
  <c r="W1523" i="8"/>
  <c r="W1629" i="8"/>
  <c r="AD106" i="14"/>
  <c r="AD108" i="14" s="1"/>
  <c r="AC251" i="14"/>
  <c r="AC253" i="14" s="1"/>
  <c r="AD134" i="14"/>
  <c r="AD136" i="14" s="1"/>
  <c r="AD110" i="14"/>
  <c r="AD112" i="14" s="1"/>
  <c r="S1532" i="8"/>
  <c r="AC90" i="14"/>
  <c r="AC92" i="14" s="1"/>
  <c r="AC130" i="14"/>
  <c r="AC132" i="14" s="1"/>
  <c r="AD114" i="14"/>
  <c r="AD116" i="14" s="1"/>
  <c r="AC118" i="14"/>
  <c r="AC120" i="14" s="1"/>
  <c r="AD90" i="14"/>
  <c r="AD92" i="14" s="1"/>
  <c r="V1525" i="8"/>
  <c r="V1631" i="8"/>
  <c r="AD126" i="14"/>
  <c r="AD128" i="14" s="1"/>
  <c r="AC98" i="14"/>
  <c r="AC100" i="14" s="1"/>
  <c r="V1522" i="8"/>
  <c r="V1628" i="8"/>
  <c r="AD94" i="14"/>
  <c r="AD96" i="14" s="1"/>
  <c r="S1530" i="8"/>
  <c r="AD157" i="14"/>
  <c r="AD158" i="14" s="1"/>
  <c r="AD1616" i="8"/>
  <c r="W1524" i="8"/>
  <c r="W1630" i="8"/>
  <c r="AD122" i="14"/>
  <c r="AD124" i="14" s="1"/>
  <c r="AD251" i="14"/>
  <c r="AD253" i="14" s="1"/>
  <c r="AE245" i="14"/>
  <c r="AC94" i="14"/>
  <c r="AC96" i="14" s="1"/>
  <c r="AE250" i="2"/>
  <c r="AE1617" i="8" s="1"/>
  <c r="F1617" i="8" s="1"/>
  <c r="AE141" i="14"/>
  <c r="AE145" i="14"/>
  <c r="AE148" i="14" s="1"/>
  <c r="AE155" i="14" s="1"/>
  <c r="AE133" i="14"/>
  <c r="AE113" i="14"/>
  <c r="AE101" i="14"/>
  <c r="AE117" i="14"/>
  <c r="AE129" i="14"/>
  <c r="AE121" i="14"/>
  <c r="AE93" i="14"/>
  <c r="AE125" i="14"/>
  <c r="AE137" i="14"/>
  <c r="AE105" i="14"/>
  <c r="AE109" i="14"/>
  <c r="AE97" i="14"/>
  <c r="AE89" i="14"/>
  <c r="AE83" i="14"/>
  <c r="AB153" i="14"/>
  <c r="AB1614" i="8" s="1"/>
  <c r="AB154" i="14"/>
  <c r="Z153" i="14"/>
  <c r="Z1614" i="8" s="1"/>
  <c r="Z154" i="14"/>
  <c r="S1533" i="8"/>
  <c r="AC114" i="14"/>
  <c r="AC116" i="14" s="1"/>
  <c r="AD118" i="14"/>
  <c r="AD120" i="14" s="1"/>
  <c r="AC110" i="14"/>
  <c r="AC112" i="14" s="1"/>
  <c r="AD102" i="14"/>
  <c r="AD104" i="14" s="1"/>
  <c r="AC126" i="14"/>
  <c r="AC128" i="14" s="1"/>
  <c r="AD86" i="14"/>
  <c r="AD88" i="14" s="1"/>
  <c r="AC106" i="14"/>
  <c r="AC108" i="14" s="1"/>
  <c r="AE1513" i="8"/>
  <c r="F1513" i="8" s="1"/>
  <c r="U1469" i="8"/>
  <c r="AE1511" i="8"/>
  <c r="F1511" i="8" s="1"/>
  <c r="V15" i="12"/>
  <c r="V1466" i="8" s="1"/>
  <c r="W27" i="12"/>
  <c r="W1467" i="8" s="1"/>
  <c r="Z182" i="2"/>
  <c r="Y38" i="12"/>
  <c r="Y111" i="8"/>
  <c r="Y112" i="8" s="1"/>
  <c r="U1466" i="8"/>
  <c r="U1476" i="8"/>
  <c r="U1477" i="8" s="1"/>
  <c r="X55" i="2"/>
  <c r="W7" i="12"/>
  <c r="W11" i="8"/>
  <c r="W12" i="8" s="1"/>
  <c r="Y117" i="2"/>
  <c r="X21" i="12"/>
  <c r="X55" i="8"/>
  <c r="X56" i="8" s="1"/>
  <c r="Z180" i="2"/>
  <c r="Y36" i="12"/>
  <c r="Y103" i="8"/>
  <c r="Y104" i="8" s="1"/>
  <c r="Y178" i="2"/>
  <c r="X34" i="12"/>
  <c r="X95" i="8"/>
  <c r="X96" i="8" s="1"/>
  <c r="Y174" i="2"/>
  <c r="X30" i="12"/>
  <c r="X79" i="8"/>
  <c r="X80" i="8" s="1"/>
  <c r="X183" i="2"/>
  <c r="Y177" i="2"/>
  <c r="X33" i="12"/>
  <c r="X91" i="8"/>
  <c r="X92" i="8" s="1"/>
  <c r="Y239" i="2"/>
  <c r="X47" i="12"/>
  <c r="X135" i="8"/>
  <c r="X136" i="8" s="1"/>
  <c r="Y114" i="2"/>
  <c r="X18" i="12"/>
  <c r="X123" i="2"/>
  <c r="X43" i="8"/>
  <c r="X44" i="8" s="1"/>
  <c r="Y118" i="2"/>
  <c r="X22" i="12"/>
  <c r="X59" i="8"/>
  <c r="X60" i="8" s="1"/>
  <c r="Z119" i="2"/>
  <c r="Y23" i="12"/>
  <c r="Y63" i="8"/>
  <c r="Y64" i="8" s="1"/>
  <c r="X54" i="2"/>
  <c r="W6" i="12"/>
  <c r="W7" i="8"/>
  <c r="W8" i="8" s="1"/>
  <c r="W63" i="2"/>
  <c r="Y115" i="2"/>
  <c r="X19" i="12"/>
  <c r="X47" i="8"/>
  <c r="X48" i="8" s="1"/>
  <c r="Y59" i="2"/>
  <c r="X11" i="12"/>
  <c r="X27" i="8"/>
  <c r="X28" i="8" s="1"/>
  <c r="AD137" i="13"/>
  <c r="AD139" i="13" s="1"/>
  <c r="AD1507" i="8" s="1"/>
  <c r="Z179" i="2"/>
  <c r="Y35" i="12"/>
  <c r="Y99" i="8"/>
  <c r="Y100" i="8" s="1"/>
  <c r="V1468" i="8"/>
  <c r="V1482" i="8"/>
  <c r="V1483" i="8" s="1"/>
  <c r="X237" i="2"/>
  <c r="W45" i="12"/>
  <c r="W127" i="8"/>
  <c r="W128" i="8" s="1"/>
  <c r="Y120" i="2"/>
  <c r="X24" i="12"/>
  <c r="X67" i="8"/>
  <c r="X68" i="8" s="1"/>
  <c r="V1479" i="8"/>
  <c r="V1480" i="8" s="1"/>
  <c r="V1467" i="8"/>
  <c r="X235" i="2"/>
  <c r="W43" i="12"/>
  <c r="W119" i="8"/>
  <c r="W120" i="8" s="1"/>
  <c r="W39" i="12"/>
  <c r="Y57" i="2"/>
  <c r="X9" i="12"/>
  <c r="X19" i="8"/>
  <c r="X20" i="8" s="1"/>
  <c r="Z122" i="2"/>
  <c r="Y26" i="12"/>
  <c r="Y75" i="8"/>
  <c r="Y76" i="8" s="1"/>
  <c r="AE1510" i="8"/>
  <c r="F1510" i="8" s="1"/>
  <c r="Y56" i="2"/>
  <c r="X8" i="12"/>
  <c r="X15" i="8"/>
  <c r="X16" i="8" s="1"/>
  <c r="X60" i="2"/>
  <c r="W12" i="12"/>
  <c r="W31" i="8"/>
  <c r="W32" i="8" s="1"/>
  <c r="Y240" i="2"/>
  <c r="X48" i="12"/>
  <c r="X139" i="8"/>
  <c r="X140" i="8" s="1"/>
  <c r="X241" i="2"/>
  <c r="W49" i="12"/>
  <c r="W143" i="8"/>
  <c r="W144" i="8" s="1"/>
  <c r="V51" i="12"/>
  <c r="Y238" i="2"/>
  <c r="X46" i="12"/>
  <c r="X131" i="8"/>
  <c r="X132" i="8" s="1"/>
  <c r="X58" i="2"/>
  <c r="W10" i="12"/>
  <c r="W23" i="8"/>
  <c r="W24" i="8" s="1"/>
  <c r="X242" i="2"/>
  <c r="W50" i="12"/>
  <c r="W147" i="8"/>
  <c r="W148" i="8" s="1"/>
  <c r="X234" i="2"/>
  <c r="W42" i="12"/>
  <c r="W243" i="2"/>
  <c r="W115" i="8"/>
  <c r="W116" i="8" s="1"/>
  <c r="X236" i="2"/>
  <c r="W44" i="12"/>
  <c r="W123" i="8"/>
  <c r="W124" i="8" s="1"/>
  <c r="Y61" i="2"/>
  <c r="X13" i="12"/>
  <c r="X35" i="8"/>
  <c r="X36" i="8" s="1"/>
  <c r="Y176" i="2"/>
  <c r="X32" i="12"/>
  <c r="X87" i="8"/>
  <c r="X88" i="8" s="1"/>
  <c r="Z116" i="2"/>
  <c r="Y20" i="12"/>
  <c r="Y51" i="8"/>
  <c r="Y52" i="8" s="1"/>
  <c r="Z121" i="2"/>
  <c r="Y25" i="12"/>
  <c r="Y71" i="8"/>
  <c r="Y72" i="8" s="1"/>
  <c r="Z175" i="2"/>
  <c r="Y31" i="12"/>
  <c r="Y83" i="8"/>
  <c r="Y84" i="8" s="1"/>
  <c r="Y181" i="2"/>
  <c r="X37" i="12"/>
  <c r="X107" i="8"/>
  <c r="X108" i="8" s="1"/>
  <c r="Y62" i="2"/>
  <c r="X14" i="12"/>
  <c r="X39" i="8"/>
  <c r="X40" i="8" s="1"/>
  <c r="AE400" i="2"/>
  <c r="AD1431" i="8"/>
  <c r="AD980" i="8"/>
  <c r="AD981" i="8" s="1"/>
  <c r="AD1432" i="8"/>
  <c r="AC1433" i="8"/>
  <c r="AC1445" i="8"/>
  <c r="AD920" i="8"/>
  <c r="AD921" i="8" s="1"/>
  <c r="AD380" i="2"/>
  <c r="AE379" i="2"/>
  <c r="AE860" i="8"/>
  <c r="AE861" i="8" s="1"/>
  <c r="F861" i="8" s="1"/>
  <c r="AE381" i="2"/>
  <c r="AE1434" i="8" s="1"/>
  <c r="F1434" i="8" s="1"/>
  <c r="AE390" i="2"/>
  <c r="AE944" i="8" s="1"/>
  <c r="F901" i="8"/>
  <c r="AA256" i="14" l="1"/>
  <c r="T272" i="14"/>
  <c r="S275" i="14"/>
  <c r="S277" i="14" s="1"/>
  <c r="U271" i="14"/>
  <c r="U273" i="14" s="1"/>
  <c r="AB255" i="14"/>
  <c r="AB257" i="14" s="1"/>
  <c r="T274" i="14"/>
  <c r="V268" i="14"/>
  <c r="V270" i="14"/>
  <c r="X267" i="14"/>
  <c r="X269" i="14" s="1"/>
  <c r="W267" i="14"/>
  <c r="W269" i="14" s="1"/>
  <c r="Y263" i="14"/>
  <c r="Y265" i="14" s="1"/>
  <c r="AA258" i="14"/>
  <c r="AD254" i="14"/>
  <c r="AD255" i="14" s="1"/>
  <c r="AD257" i="14" s="1"/>
  <c r="R272" i="14"/>
  <c r="Z263" i="14"/>
  <c r="Z265" i="14" s="1"/>
  <c r="R274" i="14"/>
  <c r="AC107" i="14"/>
  <c r="AD111" i="14"/>
  <c r="AD119" i="14"/>
  <c r="AD107" i="14"/>
  <c r="AC111" i="14"/>
  <c r="AC131" i="14"/>
  <c r="AD123" i="14"/>
  <c r="AD99" i="14"/>
  <c r="AC143" i="14"/>
  <c r="AC135" i="14"/>
  <c r="AD139" i="14"/>
  <c r="AC149" i="14"/>
  <c r="AC152" i="14" s="1"/>
  <c r="AC153" i="14" s="1"/>
  <c r="AC1614" i="8" s="1"/>
  <c r="AD135" i="14"/>
  <c r="AD131" i="14"/>
  <c r="AD103" i="14"/>
  <c r="AC115" i="14"/>
  <c r="AE98" i="14"/>
  <c r="AE100" i="14" s="1"/>
  <c r="AE1613" i="8"/>
  <c r="F1613" i="8" s="1"/>
  <c r="AE168" i="14"/>
  <c r="AE166" i="14"/>
  <c r="AE164" i="14"/>
  <c r="AE162" i="14"/>
  <c r="AE169" i="14"/>
  <c r="AE167" i="14"/>
  <c r="AE165" i="14"/>
  <c r="AE163" i="14"/>
  <c r="AE161" i="14"/>
  <c r="AE150" i="14"/>
  <c r="AE151" i="14"/>
  <c r="AD252" i="14"/>
  <c r="AC87" i="14"/>
  <c r="X1523" i="8"/>
  <c r="X1629" i="8"/>
  <c r="AE110" i="14"/>
  <c r="AE112" i="14" s="1"/>
  <c r="AE142" i="14"/>
  <c r="AE144" i="14" s="1"/>
  <c r="AD127" i="14"/>
  <c r="AE90" i="14"/>
  <c r="AE92" i="14" s="1"/>
  <c r="AE106" i="14"/>
  <c r="AE108" i="14" s="1"/>
  <c r="T1532" i="8"/>
  <c r="AC127" i="14"/>
  <c r="AE138" i="14"/>
  <c r="AE140" i="14" s="1"/>
  <c r="AC99" i="14"/>
  <c r="T1531" i="8"/>
  <c r="AE86" i="14"/>
  <c r="AE88" i="14" s="1"/>
  <c r="AE126" i="14"/>
  <c r="AE128" i="14" s="1"/>
  <c r="AC103" i="14"/>
  <c r="AE134" i="14"/>
  <c r="AE136" i="14" s="1"/>
  <c r="W1522" i="8"/>
  <c r="W1628" i="8"/>
  <c r="AE94" i="14"/>
  <c r="AE96" i="14" s="1"/>
  <c r="AC95" i="14"/>
  <c r="AC91" i="14"/>
  <c r="AD149" i="14"/>
  <c r="AD115" i="14"/>
  <c r="T1533" i="8"/>
  <c r="AE122" i="14"/>
  <c r="AE124" i="14" s="1"/>
  <c r="W1525" i="8"/>
  <c r="W1631" i="8"/>
  <c r="AE130" i="14"/>
  <c r="AE132" i="14" s="1"/>
  <c r="AE1649" i="8"/>
  <c r="F1649" i="8" s="1"/>
  <c r="AE649" i="2"/>
  <c r="AE1621" i="8" s="1"/>
  <c r="F1621" i="8" s="1"/>
  <c r="AE248" i="14"/>
  <c r="AE118" i="14"/>
  <c r="AE120" i="14" s="1"/>
  <c r="AD87" i="14"/>
  <c r="AE102" i="14"/>
  <c r="AE104" i="14" s="1"/>
  <c r="AD91" i="14"/>
  <c r="AE114" i="14"/>
  <c r="AE116" i="14" s="1"/>
  <c r="AD95" i="14"/>
  <c r="AC252" i="14"/>
  <c r="AC254" i="14" s="1"/>
  <c r="AC139" i="14"/>
  <c r="AD143" i="14"/>
  <c r="AE137" i="13"/>
  <c r="AE139" i="13" s="1"/>
  <c r="AE1507" i="8" s="1"/>
  <c r="F1507" i="8" s="1"/>
  <c r="AE157" i="14"/>
  <c r="AE158" i="14" s="1"/>
  <c r="AE1616" i="8"/>
  <c r="F1616" i="8" s="1"/>
  <c r="X1524" i="8"/>
  <c r="X1630" i="8"/>
  <c r="AC119" i="14"/>
  <c r="T1530" i="8"/>
  <c r="AC123" i="14"/>
  <c r="V1476" i="8"/>
  <c r="V1477" i="8" s="1"/>
  <c r="W1479" i="8"/>
  <c r="W1480" i="8" s="1"/>
  <c r="AE1432" i="8"/>
  <c r="F1432" i="8" s="1"/>
  <c r="W15" i="12"/>
  <c r="W1466" i="8" s="1"/>
  <c r="AE1431" i="8"/>
  <c r="F1431" i="8" s="1"/>
  <c r="AA180" i="2"/>
  <c r="Z36" i="12"/>
  <c r="Z103" i="8"/>
  <c r="Z104" i="8" s="1"/>
  <c r="AA179" i="2"/>
  <c r="Z35" i="12"/>
  <c r="Z99" i="8"/>
  <c r="Z100" i="8" s="1"/>
  <c r="Z56" i="2"/>
  <c r="Y8" i="12"/>
  <c r="Y15" i="8"/>
  <c r="Y16" i="8" s="1"/>
  <c r="Z177" i="2"/>
  <c r="Y33" i="12"/>
  <c r="Y91" i="8"/>
  <c r="Y92" i="8" s="1"/>
  <c r="Z238" i="2"/>
  <c r="Y46" i="12"/>
  <c r="Y131" i="8"/>
  <c r="Y132" i="8" s="1"/>
  <c r="X27" i="12"/>
  <c r="W51" i="12"/>
  <c r="Z120" i="2"/>
  <c r="Y24" i="12"/>
  <c r="Y67" i="8"/>
  <c r="Y68" i="8" s="1"/>
  <c r="Z115" i="2"/>
  <c r="Y19" i="12"/>
  <c r="Y47" i="8"/>
  <c r="Y48" i="8" s="1"/>
  <c r="X39" i="12"/>
  <c r="Z117" i="2"/>
  <c r="Y21" i="12"/>
  <c r="Y55" i="8"/>
  <c r="Y56" i="8" s="1"/>
  <c r="Z176" i="2"/>
  <c r="Y32" i="12"/>
  <c r="Y87" i="8"/>
  <c r="Y88" i="8" s="1"/>
  <c r="Z114" i="2"/>
  <c r="Y18" i="12"/>
  <c r="Y43" i="8"/>
  <c r="Y44" i="8" s="1"/>
  <c r="Y123" i="2"/>
  <c r="Y234" i="2"/>
  <c r="X42" i="12"/>
  <c r="X243" i="2"/>
  <c r="X115" i="8"/>
  <c r="X116" i="8" s="1"/>
  <c r="Z240" i="2"/>
  <c r="Y48" i="12"/>
  <c r="Y139" i="8"/>
  <c r="Y140" i="8" s="1"/>
  <c r="Z174" i="2"/>
  <c r="Y30" i="12"/>
  <c r="Y79" i="8"/>
  <c r="Y80" i="8" s="1"/>
  <c r="Y183" i="2"/>
  <c r="AA119" i="2"/>
  <c r="Z23" i="12"/>
  <c r="Z63" i="8"/>
  <c r="Z64" i="8" s="1"/>
  <c r="Y55" i="2"/>
  <c r="X11" i="8"/>
  <c r="X12" i="8" s="1"/>
  <c r="X7" i="12"/>
  <c r="Z59" i="2"/>
  <c r="Y11" i="12"/>
  <c r="Y27" i="8"/>
  <c r="Y28" i="8" s="1"/>
  <c r="V1469" i="8"/>
  <c r="V1485" i="8"/>
  <c r="V1486" i="8" s="1"/>
  <c r="Y235" i="2"/>
  <c r="X43" i="12"/>
  <c r="X119" i="8"/>
  <c r="X120" i="8" s="1"/>
  <c r="Y242" i="2"/>
  <c r="X50" i="12"/>
  <c r="X147" i="8"/>
  <c r="X148" i="8" s="1"/>
  <c r="Y54" i="2"/>
  <c r="X6" i="12"/>
  <c r="X7" i="8"/>
  <c r="X8" i="8" s="1"/>
  <c r="X63" i="2"/>
  <c r="Z178" i="2"/>
  <c r="Y34" i="12"/>
  <c r="Y95" i="8"/>
  <c r="Y96" i="8" s="1"/>
  <c r="W1468" i="8"/>
  <c r="W1482" i="8"/>
  <c r="W1483" i="8" s="1"/>
  <c r="Y58" i="2"/>
  <c r="X10" i="12"/>
  <c r="X23" i="8"/>
  <c r="X24" i="8" s="1"/>
  <c r="AE980" i="8"/>
  <c r="AE981" i="8" s="1"/>
  <c r="F981" i="8" s="1"/>
  <c r="Z62" i="2"/>
  <c r="Y14" i="12"/>
  <c r="Y39" i="8"/>
  <c r="Y40" i="8" s="1"/>
  <c r="Z61" i="2"/>
  <c r="Y13" i="12"/>
  <c r="Y35" i="8"/>
  <c r="Y36" i="8" s="1"/>
  <c r="AA122" i="2"/>
  <c r="Z26" i="12"/>
  <c r="Z75" i="8"/>
  <c r="Z76" i="8" s="1"/>
  <c r="Y237" i="2"/>
  <c r="X45" i="12"/>
  <c r="X127" i="8"/>
  <c r="X128" i="8" s="1"/>
  <c r="Y241" i="2"/>
  <c r="X49" i="12"/>
  <c r="X143" i="8"/>
  <c r="X144" i="8" s="1"/>
  <c r="Y60" i="2"/>
  <c r="X12" i="12"/>
  <c r="X31" i="8"/>
  <c r="X32" i="8" s="1"/>
  <c r="Z239" i="2"/>
  <c r="Y47" i="12"/>
  <c r="Y135" i="8"/>
  <c r="Y136" i="8" s="1"/>
  <c r="AA175" i="2"/>
  <c r="Z31" i="12"/>
  <c r="Z83" i="8"/>
  <c r="Z84" i="8" s="1"/>
  <c r="Z118" i="2"/>
  <c r="Y22" i="12"/>
  <c r="Y59" i="8"/>
  <c r="Y60" i="8" s="1"/>
  <c r="AA121" i="2"/>
  <c r="Z25" i="12"/>
  <c r="Z71" i="8"/>
  <c r="Z72" i="8" s="1"/>
  <c r="Z181" i="2"/>
  <c r="Y37" i="12"/>
  <c r="Y107" i="8"/>
  <c r="Y108" i="8" s="1"/>
  <c r="AA116" i="2"/>
  <c r="Z20" i="12"/>
  <c r="Z51" i="8"/>
  <c r="Z52" i="8" s="1"/>
  <c r="Y236" i="2"/>
  <c r="X44" i="12"/>
  <c r="X123" i="8"/>
  <c r="X124" i="8" s="1"/>
  <c r="Z57" i="2"/>
  <c r="Y9" i="12"/>
  <c r="Y19" i="8"/>
  <c r="Y20" i="8" s="1"/>
  <c r="AA182" i="2"/>
  <c r="Z38" i="12"/>
  <c r="Z111" i="8"/>
  <c r="Z112" i="8" s="1"/>
  <c r="AD1433" i="8"/>
  <c r="AD1445" i="8"/>
  <c r="AE920" i="8"/>
  <c r="AE921" i="8" s="1"/>
  <c r="F921" i="8" s="1"/>
  <c r="AE380" i="2"/>
  <c r="AB256" i="14" l="1"/>
  <c r="AC255" i="14"/>
  <c r="AC257" i="14" s="1"/>
  <c r="W268" i="14"/>
  <c r="W270" i="14"/>
  <c r="X268" i="14"/>
  <c r="AC1615" i="8"/>
  <c r="AD256" i="14"/>
  <c r="X270" i="14"/>
  <c r="AC156" i="14"/>
  <c r="V271" i="14"/>
  <c r="V273" i="14" s="1"/>
  <c r="R275" i="14"/>
  <c r="R277" i="14" s="1"/>
  <c r="Z264" i="14"/>
  <c r="Z266" i="14" s="1"/>
  <c r="T275" i="14"/>
  <c r="T277" i="14" s="1"/>
  <c r="AB258" i="14"/>
  <c r="AC154" i="14"/>
  <c r="U272" i="14"/>
  <c r="AD258" i="14"/>
  <c r="U274" i="14"/>
  <c r="AA259" i="14"/>
  <c r="AA261" i="14" s="1"/>
  <c r="S276" i="14"/>
  <c r="S278" i="14" s="1"/>
  <c r="Y264" i="14"/>
  <c r="Y266" i="14" s="1"/>
  <c r="AE119" i="14"/>
  <c r="W1476" i="8"/>
  <c r="W1477" i="8" s="1"/>
  <c r="AE139" i="14"/>
  <c r="AE127" i="14"/>
  <c r="AE107" i="14"/>
  <c r="AE251" i="14"/>
  <c r="AE253" i="14" s="1"/>
  <c r="AE87" i="14"/>
  <c r="AE99" i="14"/>
  <c r="AE149" i="14"/>
  <c r="AE131" i="14"/>
  <c r="AE95" i="14"/>
  <c r="AE135" i="14"/>
  <c r="U1530" i="8"/>
  <c r="X1525" i="8"/>
  <c r="X1631" i="8"/>
  <c r="U1532" i="8"/>
  <c r="X1522" i="8"/>
  <c r="X1628" i="8"/>
  <c r="Y1524" i="8"/>
  <c r="Y1630" i="8"/>
  <c r="AE123" i="14"/>
  <c r="AD156" i="14"/>
  <c r="AD1615" i="8"/>
  <c r="AD152" i="14"/>
  <c r="AE91" i="14"/>
  <c r="AE103" i="14"/>
  <c r="U1531" i="8"/>
  <c r="AE143" i="14"/>
  <c r="Y1523" i="8"/>
  <c r="Y1629" i="8"/>
  <c r="U1533" i="8"/>
  <c r="AE115" i="14"/>
  <c r="AE111" i="14"/>
  <c r="X15" i="12"/>
  <c r="X1476" i="8" s="1"/>
  <c r="X1477" i="8" s="1"/>
  <c r="AB182" i="2"/>
  <c r="AA38" i="12"/>
  <c r="AA111" i="8"/>
  <c r="AA112" i="8" s="1"/>
  <c r="Z54" i="2"/>
  <c r="Y6" i="12"/>
  <c r="Y7" i="8"/>
  <c r="Y8" i="8" s="1"/>
  <c r="Y63" i="2"/>
  <c r="AA117" i="2"/>
  <c r="Z55" i="8"/>
  <c r="Z56" i="8" s="1"/>
  <c r="Z21" i="12"/>
  <c r="Y27" i="12"/>
  <c r="AA57" i="2"/>
  <c r="Z9" i="12"/>
  <c r="Z19" i="8"/>
  <c r="Z20" i="8" s="1"/>
  <c r="AA62" i="2"/>
  <c r="Z14" i="12"/>
  <c r="Z39" i="8"/>
  <c r="Z40" i="8" s="1"/>
  <c r="AA176" i="2"/>
  <c r="Z32" i="12"/>
  <c r="Z87" i="8"/>
  <c r="Z88" i="8" s="1"/>
  <c r="AB179" i="2"/>
  <c r="AA35" i="12"/>
  <c r="AA99" i="8"/>
  <c r="AA100" i="8" s="1"/>
  <c r="AA114" i="2"/>
  <c r="Z18" i="12"/>
  <c r="Z123" i="2"/>
  <c r="Z43" i="8"/>
  <c r="Z44" i="8" s="1"/>
  <c r="X1468" i="8"/>
  <c r="X1482" i="8"/>
  <c r="X1483" i="8" s="1"/>
  <c r="Z60" i="2"/>
  <c r="Y12" i="12"/>
  <c r="Y31" i="8"/>
  <c r="Y32" i="8" s="1"/>
  <c r="W1469" i="8"/>
  <c r="W1485" i="8"/>
  <c r="W1486" i="8" s="1"/>
  <c r="AA61" i="2"/>
  <c r="Z13" i="12"/>
  <c r="Z35" i="8"/>
  <c r="Z36" i="8" s="1"/>
  <c r="Z236" i="2"/>
  <c r="Y44" i="12"/>
  <c r="Y123" i="8"/>
  <c r="Y124" i="8" s="1"/>
  <c r="AA115" i="2"/>
  <c r="Z19" i="12"/>
  <c r="Z47" i="8"/>
  <c r="Z48" i="8" s="1"/>
  <c r="AA177" i="2"/>
  <c r="Z33" i="12"/>
  <c r="Z91" i="8"/>
  <c r="Z92" i="8" s="1"/>
  <c r="AB180" i="2"/>
  <c r="AA36" i="12"/>
  <c r="AA103" i="8"/>
  <c r="AA104" i="8" s="1"/>
  <c r="Z241" i="2"/>
  <c r="Y49" i="12"/>
  <c r="Y143" i="8"/>
  <c r="Y144" i="8" s="1"/>
  <c r="AA59" i="2"/>
  <c r="Z11" i="12"/>
  <c r="Z27" i="8"/>
  <c r="Z28" i="8" s="1"/>
  <c r="AA56" i="2"/>
  <c r="Z8" i="12"/>
  <c r="Z15" i="8"/>
  <c r="Z16" i="8" s="1"/>
  <c r="AB116" i="2"/>
  <c r="AA20" i="12"/>
  <c r="AA51" i="8"/>
  <c r="AA52" i="8" s="1"/>
  <c r="Z242" i="2"/>
  <c r="Y50" i="12"/>
  <c r="Y147" i="8"/>
  <c r="Y148" i="8" s="1"/>
  <c r="Y39" i="12"/>
  <c r="X1467" i="8"/>
  <c r="X1479" i="8"/>
  <c r="X1480" i="8" s="1"/>
  <c r="AA238" i="2"/>
  <c r="Z46" i="12"/>
  <c r="Z131" i="8"/>
  <c r="Z132" i="8" s="1"/>
  <c r="AA174" i="2"/>
  <c r="Z30" i="12"/>
  <c r="Z79" i="8"/>
  <c r="Z80" i="8" s="1"/>
  <c r="Z183" i="2"/>
  <c r="X51" i="12"/>
  <c r="AB121" i="2"/>
  <c r="AA25" i="12"/>
  <c r="AA71" i="8"/>
  <c r="AA72" i="8" s="1"/>
  <c r="AB175" i="2"/>
  <c r="AA31" i="12"/>
  <c r="AA83" i="8"/>
  <c r="AA84" i="8" s="1"/>
  <c r="AA118" i="2"/>
  <c r="Z22" i="12"/>
  <c r="Z59" i="8"/>
  <c r="Z60" i="8" s="1"/>
  <c r="Z237" i="2"/>
  <c r="Y45" i="12"/>
  <c r="Y127" i="8"/>
  <c r="Y128" i="8" s="1"/>
  <c r="AB122" i="2"/>
  <c r="AA26" i="12"/>
  <c r="AA75" i="8"/>
  <c r="AA76" i="8" s="1"/>
  <c r="Z55" i="2"/>
  <c r="Y7" i="12"/>
  <c r="Y11" i="8"/>
  <c r="Y12" i="8" s="1"/>
  <c r="AB119" i="2"/>
  <c r="AA23" i="12"/>
  <c r="AA63" i="8"/>
  <c r="AA64" i="8" s="1"/>
  <c r="Z234" i="2"/>
  <c r="Y42" i="12"/>
  <c r="Y243" i="2"/>
  <c r="Y115" i="8"/>
  <c r="Y116" i="8" s="1"/>
  <c r="AA120" i="2"/>
  <c r="Z24" i="12"/>
  <c r="Z67" i="8"/>
  <c r="Z68" i="8" s="1"/>
  <c r="Z58" i="2"/>
  <c r="Y10" i="12"/>
  <c r="Y23" i="8"/>
  <c r="Y24" i="8" s="1"/>
  <c r="AA240" i="2"/>
  <c r="Z48" i="12"/>
  <c r="Z139" i="8"/>
  <c r="Z140" i="8" s="1"/>
  <c r="AA181" i="2"/>
  <c r="Z37" i="12"/>
  <c r="Z107" i="8"/>
  <c r="Z108" i="8" s="1"/>
  <c r="AA178" i="2"/>
  <c r="Z34" i="12"/>
  <c r="Z95" i="8"/>
  <c r="Z96" i="8" s="1"/>
  <c r="AA239" i="2"/>
  <c r="Z47" i="12"/>
  <c r="Z135" i="8"/>
  <c r="Z136" i="8" s="1"/>
  <c r="Z235" i="2"/>
  <c r="Y43" i="12"/>
  <c r="Y119" i="8"/>
  <c r="Y120" i="8" s="1"/>
  <c r="AE1433" i="8"/>
  <c r="F1433" i="8" s="1"/>
  <c r="AE1445" i="8"/>
  <c r="F1445" i="8" s="1"/>
  <c r="V272" i="14" l="1"/>
  <c r="AA260" i="14"/>
  <c r="R276" i="14"/>
  <c r="AC256" i="14"/>
  <c r="Z267" i="14"/>
  <c r="Z269" i="14" s="1"/>
  <c r="S279" i="14"/>
  <c r="S281" i="14" s="1"/>
  <c r="Y267" i="14"/>
  <c r="Y269" i="14" s="1"/>
  <c r="R278" i="14"/>
  <c r="AA262" i="14"/>
  <c r="U275" i="14"/>
  <c r="U277" i="14" s="1"/>
  <c r="U276" i="14"/>
  <c r="X271" i="14"/>
  <c r="X273" i="14" s="1"/>
  <c r="X272" i="14"/>
  <c r="AD259" i="14"/>
  <c r="AD261" i="14" s="1"/>
  <c r="V274" i="14"/>
  <c r="AB259" i="14"/>
  <c r="AB261" i="14" s="1"/>
  <c r="AB262" i="14" s="1"/>
  <c r="W271" i="14"/>
  <c r="W273" i="14" s="1"/>
  <c r="T276" i="14"/>
  <c r="T278" i="14" s="1"/>
  <c r="AC258" i="14"/>
  <c r="V1533" i="8"/>
  <c r="AE156" i="14"/>
  <c r="AE1615" i="8"/>
  <c r="F1615" i="8" s="1"/>
  <c r="AE152" i="14"/>
  <c r="AE252" i="14"/>
  <c r="AE254" i="14" s="1"/>
  <c r="V1532" i="8"/>
  <c r="AD153" i="14"/>
  <c r="AD1614" i="8" s="1"/>
  <c r="AD154" i="14"/>
  <c r="Y1522" i="8"/>
  <c r="Y1628" i="8"/>
  <c r="V1530" i="8"/>
  <c r="Z1524" i="8"/>
  <c r="Z1630" i="8"/>
  <c r="Z1523" i="8"/>
  <c r="Z1629" i="8"/>
  <c r="Y1525" i="8"/>
  <c r="Y1631" i="8"/>
  <c r="V1531" i="8"/>
  <c r="X1466" i="8"/>
  <c r="AB56" i="2"/>
  <c r="AA8" i="12"/>
  <c r="AA15" i="8"/>
  <c r="AA16" i="8" s="1"/>
  <c r="AA241" i="2"/>
  <c r="Z49" i="12"/>
  <c r="Z143" i="8"/>
  <c r="Z144" i="8" s="1"/>
  <c r="AB177" i="2"/>
  <c r="AA33" i="12"/>
  <c r="AA91" i="8"/>
  <c r="AA92" i="8" s="1"/>
  <c r="AB57" i="2"/>
  <c r="AA9" i="12"/>
  <c r="AA19" i="8"/>
  <c r="AA20" i="8" s="1"/>
  <c r="Z27" i="12"/>
  <c r="AA234" i="2"/>
  <c r="Z42" i="12"/>
  <c r="Z243" i="2"/>
  <c r="Z115" i="8"/>
  <c r="Z116" i="8" s="1"/>
  <c r="AA242" i="2"/>
  <c r="Z50" i="12"/>
  <c r="Z147" i="8"/>
  <c r="Z148" i="8" s="1"/>
  <c r="AB120" i="2"/>
  <c r="AA24" i="12"/>
  <c r="AA67" i="8"/>
  <c r="AA68" i="8" s="1"/>
  <c r="AC179" i="2"/>
  <c r="AB35" i="12"/>
  <c r="AB99" i="8"/>
  <c r="AB100" i="8" s="1"/>
  <c r="Y51" i="12"/>
  <c r="AB118" i="2"/>
  <c r="AA22" i="12"/>
  <c r="AA59" i="8"/>
  <c r="AA60" i="8" s="1"/>
  <c r="AB61" i="2"/>
  <c r="AA13" i="12"/>
  <c r="AA35" i="8"/>
  <c r="AA36" i="8" s="1"/>
  <c r="AA60" i="2"/>
  <c r="Z12" i="12"/>
  <c r="Z31" i="8"/>
  <c r="Z32" i="8" s="1"/>
  <c r="AB117" i="2"/>
  <c r="AA21" i="12"/>
  <c r="AA55" i="8"/>
  <c r="AA56" i="8" s="1"/>
  <c r="AB178" i="2"/>
  <c r="AA34" i="12"/>
  <c r="AA95" i="8"/>
  <c r="AA96" i="8" s="1"/>
  <c r="AA237" i="2"/>
  <c r="Z45" i="12"/>
  <c r="Z127" i="8"/>
  <c r="Z128" i="8" s="1"/>
  <c r="AB238" i="2"/>
  <c r="AA46" i="12"/>
  <c r="AA131" i="8"/>
  <c r="AA132" i="8" s="1"/>
  <c r="AB115" i="2"/>
  <c r="AA19" i="12"/>
  <c r="AA47" i="8"/>
  <c r="AA48" i="8" s="1"/>
  <c r="AA236" i="2"/>
  <c r="Z44" i="12"/>
  <c r="Z123" i="8"/>
  <c r="Z124" i="8" s="1"/>
  <c r="AC119" i="2"/>
  <c r="AB23" i="12"/>
  <c r="AB63" i="8"/>
  <c r="AB64" i="8" s="1"/>
  <c r="X1469" i="8"/>
  <c r="X1485" i="8"/>
  <c r="X1486" i="8" s="1"/>
  <c r="AC116" i="2"/>
  <c r="AB20" i="12"/>
  <c r="AB51" i="8"/>
  <c r="AB52" i="8" s="1"/>
  <c r="AB176" i="2"/>
  <c r="AA32" i="12"/>
  <c r="AA87" i="8"/>
  <c r="AA88" i="8" s="1"/>
  <c r="AB239" i="2"/>
  <c r="AA47" i="12"/>
  <c r="AA135" i="8"/>
  <c r="AA136" i="8" s="1"/>
  <c r="AB240" i="2"/>
  <c r="AA48" i="12"/>
  <c r="AA139" i="8"/>
  <c r="AA140" i="8" s="1"/>
  <c r="AB181" i="2"/>
  <c r="AA37" i="12"/>
  <c r="AA107" i="8"/>
  <c r="AA108" i="8" s="1"/>
  <c r="Y1467" i="8"/>
  <c r="Y1479" i="8"/>
  <c r="Y1480" i="8" s="1"/>
  <c r="AA54" i="2"/>
  <c r="Z6" i="12"/>
  <c r="Z7" i="8"/>
  <c r="Z8" i="8" s="1"/>
  <c r="Z63" i="2"/>
  <c r="AC121" i="2"/>
  <c r="AB25" i="12"/>
  <c r="AB71" i="8"/>
  <c r="AB72" i="8" s="1"/>
  <c r="AA235" i="2"/>
  <c r="Z43" i="12"/>
  <c r="Z119" i="8"/>
  <c r="Z120" i="8" s="1"/>
  <c r="Y15" i="12"/>
  <c r="AA55" i="2"/>
  <c r="Z7" i="12"/>
  <c r="Z11" i="8"/>
  <c r="Z12" i="8" s="1"/>
  <c r="Z39" i="12"/>
  <c r="AC122" i="2"/>
  <c r="AB26" i="12"/>
  <c r="AB75" i="8"/>
  <c r="AB76" i="8" s="1"/>
  <c r="Y1468" i="8"/>
  <c r="Y1482" i="8"/>
  <c r="Y1483" i="8" s="1"/>
  <c r="AA58" i="2"/>
  <c r="Z10" i="12"/>
  <c r="Z23" i="8"/>
  <c r="Z24" i="8" s="1"/>
  <c r="AC175" i="2"/>
  <c r="AB31" i="12"/>
  <c r="AB83" i="8"/>
  <c r="AB84" i="8" s="1"/>
  <c r="AB174" i="2"/>
  <c r="AA30" i="12"/>
  <c r="AA79" i="8"/>
  <c r="AA80" i="8" s="1"/>
  <c r="AA183" i="2"/>
  <c r="AB59" i="2"/>
  <c r="AA11" i="12"/>
  <c r="AA27" i="8"/>
  <c r="AA28" i="8" s="1"/>
  <c r="AC180" i="2"/>
  <c r="AB36" i="12"/>
  <c r="AB103" i="8"/>
  <c r="AB104" i="8" s="1"/>
  <c r="AB62" i="2"/>
  <c r="AA14" i="12"/>
  <c r="AA39" i="8"/>
  <c r="AA40" i="8" s="1"/>
  <c r="AB114" i="2"/>
  <c r="AA18" i="12"/>
  <c r="AA123" i="2"/>
  <c r="AA43" i="8"/>
  <c r="AA44" i="8" s="1"/>
  <c r="AC182" i="2"/>
  <c r="AB38" i="12"/>
  <c r="AB111" i="8"/>
  <c r="AB112" i="8" s="1"/>
  <c r="AB260" i="14" l="1"/>
  <c r="S280" i="14"/>
  <c r="T279" i="14"/>
  <c r="T281" i="14" s="1"/>
  <c r="AE255" i="14"/>
  <c r="AE257" i="14" s="1"/>
  <c r="X274" i="14"/>
  <c r="U278" i="14"/>
  <c r="AA263" i="14"/>
  <c r="AA265" i="14" s="1"/>
  <c r="AC259" i="14"/>
  <c r="AC261" i="14" s="1"/>
  <c r="R279" i="14"/>
  <c r="R281" i="14" s="1"/>
  <c r="W272" i="14"/>
  <c r="W274" i="14"/>
  <c r="Y268" i="14"/>
  <c r="Y270" i="14" s="1"/>
  <c r="AB263" i="14"/>
  <c r="AB265" i="14" s="1"/>
  <c r="V275" i="14"/>
  <c r="V277" i="14" s="1"/>
  <c r="S282" i="14"/>
  <c r="AD260" i="14"/>
  <c r="Z268" i="14"/>
  <c r="AD262" i="14"/>
  <c r="Z270" i="14"/>
  <c r="Z1522" i="8"/>
  <c r="Z1628" i="8"/>
  <c r="W1531" i="8"/>
  <c r="AE153" i="14"/>
  <c r="AE1614" i="8" s="1"/>
  <c r="F1614" i="8" s="1"/>
  <c r="AE154" i="14"/>
  <c r="W1530" i="8"/>
  <c r="Z1525" i="8"/>
  <c r="Z1631" i="8"/>
  <c r="W1532" i="8"/>
  <c r="AA1523" i="8"/>
  <c r="AA1629" i="8"/>
  <c r="W1533" i="8"/>
  <c r="AA1524" i="8"/>
  <c r="AA1630" i="8"/>
  <c r="AA39" i="12"/>
  <c r="AA1468" i="8" s="1"/>
  <c r="AD119" i="2"/>
  <c r="AC23" i="12"/>
  <c r="AC63" i="8"/>
  <c r="AC64" i="8" s="1"/>
  <c r="AB235" i="2"/>
  <c r="AA43" i="12"/>
  <c r="AA119" i="8"/>
  <c r="AA120" i="8" s="1"/>
  <c r="AB236" i="2"/>
  <c r="AA44" i="12"/>
  <c r="AA123" i="8"/>
  <c r="AA124" i="8" s="1"/>
  <c r="AC238" i="2"/>
  <c r="AB46" i="12"/>
  <c r="AB131" i="8"/>
  <c r="AB132" i="8" s="1"/>
  <c r="AB60" i="2"/>
  <c r="AA12" i="12"/>
  <c r="AA31" i="8"/>
  <c r="AA32" i="8" s="1"/>
  <c r="AC240" i="2"/>
  <c r="AB48" i="12"/>
  <c r="AB139" i="8"/>
  <c r="AB140" i="8" s="1"/>
  <c r="AD121" i="2"/>
  <c r="AC25" i="12"/>
  <c r="AC71" i="8"/>
  <c r="AC72" i="8" s="1"/>
  <c r="AC176" i="2"/>
  <c r="AB32" i="12"/>
  <c r="AB87" i="8"/>
  <c r="AB88" i="8" s="1"/>
  <c r="AC120" i="2"/>
  <c r="AB24" i="12"/>
  <c r="AB67" i="8"/>
  <c r="AB68" i="8" s="1"/>
  <c r="Z1467" i="8"/>
  <c r="Z1479" i="8"/>
  <c r="Z1480" i="8" s="1"/>
  <c r="AD182" i="2"/>
  <c r="AC38" i="12"/>
  <c r="AC111" i="8"/>
  <c r="AC112" i="8" s="1"/>
  <c r="Y1485" i="8"/>
  <c r="Y1486" i="8" s="1"/>
  <c r="Y1469" i="8"/>
  <c r="AC61" i="2"/>
  <c r="AB13" i="12"/>
  <c r="AB35" i="8"/>
  <c r="AB36" i="8" s="1"/>
  <c r="AD175" i="2"/>
  <c r="AC31" i="12"/>
  <c r="AC83" i="8"/>
  <c r="AC84" i="8" s="1"/>
  <c r="Z15" i="12"/>
  <c r="AC57" i="2"/>
  <c r="AB9" i="12"/>
  <c r="AB19" i="8"/>
  <c r="AB20" i="8" s="1"/>
  <c r="AB234" i="2"/>
  <c r="AA42" i="12"/>
  <c r="AA243" i="2"/>
  <c r="AA115" i="8"/>
  <c r="AA116" i="8" s="1"/>
  <c r="AC174" i="2"/>
  <c r="AB30" i="12"/>
  <c r="AB79" i="8"/>
  <c r="AB80" i="8" s="1"/>
  <c r="AB183" i="2"/>
  <c r="AC59" i="2"/>
  <c r="AB11" i="12"/>
  <c r="AB27" i="8"/>
  <c r="AB28" i="8" s="1"/>
  <c r="AB58" i="2"/>
  <c r="AA10" i="12"/>
  <c r="AA23" i="8"/>
  <c r="AA24" i="8" s="1"/>
  <c r="AD122" i="2"/>
  <c r="AC26" i="12"/>
  <c r="AC75" i="8"/>
  <c r="AC76" i="8" s="1"/>
  <c r="AB55" i="2"/>
  <c r="AA11" i="8"/>
  <c r="AA12" i="8" s="1"/>
  <c r="AA7" i="12"/>
  <c r="AB54" i="2"/>
  <c r="AA6" i="12"/>
  <c r="AA7" i="8"/>
  <c r="AA8" i="8" s="1"/>
  <c r="AA63" i="2"/>
  <c r="AC178" i="2"/>
  <c r="AB34" i="12"/>
  <c r="AB95" i="8"/>
  <c r="AB96" i="8" s="1"/>
  <c r="AD179" i="2"/>
  <c r="AC35" i="12"/>
  <c r="AC99" i="8"/>
  <c r="AC100" i="8" s="1"/>
  <c r="AC56" i="2"/>
  <c r="AB8" i="12"/>
  <c r="AB15" i="8"/>
  <c r="AB16" i="8" s="1"/>
  <c r="AC62" i="2"/>
  <c r="AB14" i="12"/>
  <c r="AB39" i="8"/>
  <c r="AB40" i="8" s="1"/>
  <c r="AD180" i="2"/>
  <c r="AC36" i="12"/>
  <c r="AC103" i="8"/>
  <c r="AC104" i="8" s="1"/>
  <c r="AC114" i="2"/>
  <c r="AB18" i="12"/>
  <c r="AB43" i="8"/>
  <c r="AB44" i="8" s="1"/>
  <c r="AB123" i="2"/>
  <c r="Y1476" i="8"/>
  <c r="Y1477" i="8" s="1"/>
  <c r="Y1466" i="8"/>
  <c r="AC239" i="2"/>
  <c r="AB47" i="12"/>
  <c r="AB135" i="8"/>
  <c r="AB136" i="8" s="1"/>
  <c r="AD116" i="2"/>
  <c r="AC20" i="12"/>
  <c r="AC51" i="8"/>
  <c r="AC52" i="8" s="1"/>
  <c r="AA27" i="12"/>
  <c r="AB242" i="2"/>
  <c r="AA50" i="12"/>
  <c r="AA147" i="8"/>
  <c r="AA148" i="8" s="1"/>
  <c r="AC177" i="2"/>
  <c r="AB33" i="12"/>
  <c r="AB91" i="8"/>
  <c r="AB92" i="8" s="1"/>
  <c r="AC181" i="2"/>
  <c r="AB37" i="12"/>
  <c r="AB107" i="8"/>
  <c r="AB108" i="8" s="1"/>
  <c r="AC117" i="2"/>
  <c r="AB21" i="12"/>
  <c r="AB55" i="8"/>
  <c r="AB56" i="8" s="1"/>
  <c r="AC115" i="2"/>
  <c r="AB19" i="12"/>
  <c r="AB47" i="8"/>
  <c r="AB48" i="8" s="1"/>
  <c r="Z1468" i="8"/>
  <c r="Z1482" i="8"/>
  <c r="Z1483" i="8" s="1"/>
  <c r="AB237" i="2"/>
  <c r="AA45" i="12"/>
  <c r="AA127" i="8"/>
  <c r="AA128" i="8" s="1"/>
  <c r="AC118" i="2"/>
  <c r="AB22" i="12"/>
  <c r="AB59" i="8"/>
  <c r="AB60" i="8" s="1"/>
  <c r="Z51" i="12"/>
  <c r="AB241" i="2"/>
  <c r="AA49" i="12"/>
  <c r="AA143" i="8"/>
  <c r="AA144" i="8" s="1"/>
  <c r="R280" i="14" l="1"/>
  <c r="Y271" i="14"/>
  <c r="Y273" i="14" s="1"/>
  <c r="Z271" i="14"/>
  <c r="Z273" i="14" s="1"/>
  <c r="R282" i="14"/>
  <c r="AD263" i="14"/>
  <c r="AD265" i="14" s="1"/>
  <c r="AC260" i="14"/>
  <c r="AC262" i="14"/>
  <c r="AA264" i="14"/>
  <c r="S283" i="14"/>
  <c r="S285" i="14" s="1"/>
  <c r="AA266" i="14"/>
  <c r="W275" i="14"/>
  <c r="W277" i="14" s="1"/>
  <c r="V276" i="14"/>
  <c r="U279" i="14"/>
  <c r="U281" i="14" s="1"/>
  <c r="V278" i="14"/>
  <c r="X275" i="14"/>
  <c r="X277" i="14" s="1"/>
  <c r="X278" i="14" s="1"/>
  <c r="AB264" i="14"/>
  <c r="AE256" i="14"/>
  <c r="AB266" i="14"/>
  <c r="AE258" i="14"/>
  <c r="T280" i="14"/>
  <c r="T282" i="14"/>
  <c r="AA1482" i="8"/>
  <c r="AA1483" i="8" s="1"/>
  <c r="AB1523" i="8"/>
  <c r="AB1629" i="8"/>
  <c r="AA1522" i="8"/>
  <c r="AA1628" i="8"/>
  <c r="X1533" i="8"/>
  <c r="X1532" i="8"/>
  <c r="AB1524" i="8"/>
  <c r="AB1630" i="8"/>
  <c r="X1531" i="8"/>
  <c r="X1530" i="8"/>
  <c r="AA1525" i="8"/>
  <c r="AA1631" i="8"/>
  <c r="AD176" i="2"/>
  <c r="AC32" i="12"/>
  <c r="AC87" i="8"/>
  <c r="AC88" i="8" s="1"/>
  <c r="AC237" i="2"/>
  <c r="AB45" i="12"/>
  <c r="AB127" i="8"/>
  <c r="AB128" i="8" s="1"/>
  <c r="AD114" i="2"/>
  <c r="AC18" i="12"/>
  <c r="AC43" i="8"/>
  <c r="AC44" i="8" s="1"/>
  <c r="AC123" i="2"/>
  <c r="AE182" i="2"/>
  <c r="AD38" i="12"/>
  <c r="AD111" i="8"/>
  <c r="AD112" i="8" s="1"/>
  <c r="AE121" i="2"/>
  <c r="AD25" i="12"/>
  <c r="AD71" i="8"/>
  <c r="AD72" i="8" s="1"/>
  <c r="AC241" i="2"/>
  <c r="AB49" i="12"/>
  <c r="AB143" i="8"/>
  <c r="AB144" i="8" s="1"/>
  <c r="AD117" i="2"/>
  <c r="AC55" i="8"/>
  <c r="AC56" i="8" s="1"/>
  <c r="AC21" i="12"/>
  <c r="AE179" i="2"/>
  <c r="AD35" i="12"/>
  <c r="AD99" i="8"/>
  <c r="AD100" i="8" s="1"/>
  <c r="AD57" i="2"/>
  <c r="AC9" i="12"/>
  <c r="AC19" i="8"/>
  <c r="AC20" i="8" s="1"/>
  <c r="AC60" i="2"/>
  <c r="AB12" i="12"/>
  <c r="AB31" i="8"/>
  <c r="AB32" i="8" s="1"/>
  <c r="AC54" i="2"/>
  <c r="AB6" i="12"/>
  <c r="AB7" i="8"/>
  <c r="AB8" i="8" s="1"/>
  <c r="AB63" i="2"/>
  <c r="AE116" i="2"/>
  <c r="AD20" i="12"/>
  <c r="AD51" i="8"/>
  <c r="AD52" i="8" s="1"/>
  <c r="AE180" i="2"/>
  <c r="AD36" i="12"/>
  <c r="AD103" i="8"/>
  <c r="AD104" i="8" s="1"/>
  <c r="AC55" i="2"/>
  <c r="AB11" i="8"/>
  <c r="AB12" i="8" s="1"/>
  <c r="AB7" i="12"/>
  <c r="AD240" i="2"/>
  <c r="AC48" i="12"/>
  <c r="AC139" i="8"/>
  <c r="AC140" i="8" s="1"/>
  <c r="AC235" i="2"/>
  <c r="AB43" i="12"/>
  <c r="AB119" i="8"/>
  <c r="AB120" i="8" s="1"/>
  <c r="AB27" i="12"/>
  <c r="AD178" i="2"/>
  <c r="AC34" i="12"/>
  <c r="AC95" i="8"/>
  <c r="AC96" i="8" s="1"/>
  <c r="AB39" i="12"/>
  <c r="AD61" i="2"/>
  <c r="AC13" i="12"/>
  <c r="AC35" i="8"/>
  <c r="AC36" i="8" s="1"/>
  <c r="AD174" i="2"/>
  <c r="AC30" i="12"/>
  <c r="AC79" i="8"/>
  <c r="AC80" i="8" s="1"/>
  <c r="AC183" i="2"/>
  <c r="Z1466" i="8"/>
  <c r="Z1476" i="8"/>
  <c r="Z1477" i="8" s="1"/>
  <c r="AD120" i="2"/>
  <c r="AC24" i="12"/>
  <c r="AC67" i="8"/>
  <c r="AC68" i="8" s="1"/>
  <c r="AD118" i="2"/>
  <c r="AC22" i="12"/>
  <c r="AC59" i="8"/>
  <c r="AC60" i="8" s="1"/>
  <c r="Z1469" i="8"/>
  <c r="Z1485" i="8"/>
  <c r="Z1486" i="8" s="1"/>
  <c r="AD115" i="2"/>
  <c r="AC19" i="12"/>
  <c r="AC47" i="8"/>
  <c r="AC48" i="8" s="1"/>
  <c r="AD239" i="2"/>
  <c r="AC47" i="12"/>
  <c r="AC135" i="8"/>
  <c r="AC136" i="8" s="1"/>
  <c r="AD62" i="2"/>
  <c r="AC14" i="12"/>
  <c r="AC39" i="8"/>
  <c r="AC40" i="8" s="1"/>
  <c r="AE122" i="2"/>
  <c r="AD26" i="12"/>
  <c r="AD75" i="8"/>
  <c r="AD76" i="8" s="1"/>
  <c r="AD238" i="2"/>
  <c r="AC46" i="12"/>
  <c r="AC131" i="8"/>
  <c r="AC132" i="8" s="1"/>
  <c r="AE119" i="2"/>
  <c r="AD23" i="12"/>
  <c r="AD63" i="8"/>
  <c r="AD64" i="8" s="1"/>
  <c r="AD56" i="2"/>
  <c r="AC8" i="12"/>
  <c r="AC15" i="8"/>
  <c r="AC16" i="8" s="1"/>
  <c r="AD177" i="2"/>
  <c r="AC33" i="12"/>
  <c r="AC91" i="8"/>
  <c r="AC92" i="8" s="1"/>
  <c r="AA51" i="12"/>
  <c r="AE175" i="2"/>
  <c r="AD31" i="12"/>
  <c r="AD83" i="8"/>
  <c r="AD84" i="8" s="1"/>
  <c r="AA1467" i="8"/>
  <c r="AA1479" i="8"/>
  <c r="AA1480" i="8" s="1"/>
  <c r="AD59" i="2"/>
  <c r="AC11" i="12"/>
  <c r="AC27" i="8"/>
  <c r="AC28" i="8" s="1"/>
  <c r="AA15" i="12"/>
  <c r="AC58" i="2"/>
  <c r="AB23" i="8"/>
  <c r="AB24" i="8" s="1"/>
  <c r="AB10" i="12"/>
  <c r="AC234" i="2"/>
  <c r="AB42" i="12"/>
  <c r="AB243" i="2"/>
  <c r="AB115" i="8"/>
  <c r="AB116" i="8" s="1"/>
  <c r="AC236" i="2"/>
  <c r="AB44" i="12"/>
  <c r="AB123" i="8"/>
  <c r="AB124" i="8" s="1"/>
  <c r="AD181" i="2"/>
  <c r="AC37" i="12"/>
  <c r="AC107" i="8"/>
  <c r="AC108" i="8" s="1"/>
  <c r="AC242" i="2"/>
  <c r="AB50" i="12"/>
  <c r="AB147" i="8"/>
  <c r="AB148" i="8" s="1"/>
  <c r="S284" i="14" l="1"/>
  <c r="AD264" i="14"/>
  <c r="X276" i="14"/>
  <c r="AE259" i="14"/>
  <c r="AE261" i="14" s="1"/>
  <c r="S286" i="14"/>
  <c r="AB267" i="14"/>
  <c r="AB269" i="14" s="1"/>
  <c r="AC263" i="14"/>
  <c r="AC265" i="14" s="1"/>
  <c r="AC264" i="14"/>
  <c r="T283" i="14"/>
  <c r="T285" i="14" s="1"/>
  <c r="AA267" i="14"/>
  <c r="AA269" i="14" s="1"/>
  <c r="X279" i="14"/>
  <c r="X281" i="14" s="1"/>
  <c r="X282" i="14" s="1"/>
  <c r="AD266" i="14"/>
  <c r="U280" i="14"/>
  <c r="Z272" i="14"/>
  <c r="R283" i="14"/>
  <c r="R285" i="14" s="1"/>
  <c r="U282" i="14"/>
  <c r="Z274" i="14"/>
  <c r="V279" i="14"/>
  <c r="V281" i="14" s="1"/>
  <c r="Y272" i="14"/>
  <c r="W276" i="14"/>
  <c r="W278" i="14" s="1"/>
  <c r="Y274" i="14"/>
  <c r="Y1532" i="8"/>
  <c r="Y1531" i="8"/>
  <c r="Y1530" i="8"/>
  <c r="AB1525" i="8"/>
  <c r="AB1631" i="8"/>
  <c r="AB1522" i="8"/>
  <c r="AB1628" i="8"/>
  <c r="AC1523" i="8"/>
  <c r="AC1629" i="8"/>
  <c r="Y1533" i="8"/>
  <c r="AC1524" i="8"/>
  <c r="AC1630" i="8"/>
  <c r="AC39" i="12"/>
  <c r="AC1482" i="8" s="1"/>
  <c r="AC1483" i="8" s="1"/>
  <c r="AE20" i="12"/>
  <c r="AE51" i="8"/>
  <c r="AE52" i="8" s="1"/>
  <c r="F52" i="8" s="1"/>
  <c r="AE99" i="8"/>
  <c r="AE100" i="8" s="1"/>
  <c r="F100" i="8" s="1"/>
  <c r="AE35" i="12"/>
  <c r="AC27" i="12"/>
  <c r="AD60" i="2"/>
  <c r="AC12" i="12"/>
  <c r="AC31" i="8"/>
  <c r="AC32" i="8" s="1"/>
  <c r="AE23" i="12"/>
  <c r="AE63" i="8"/>
  <c r="AE64" i="8" s="1"/>
  <c r="F64" i="8" s="1"/>
  <c r="AB1467" i="8"/>
  <c r="AB1479" i="8"/>
  <c r="AB1480" i="8" s="1"/>
  <c r="AE239" i="2"/>
  <c r="AD47" i="12"/>
  <c r="AD135" i="8"/>
  <c r="AD136" i="8" s="1"/>
  <c r="AE61" i="2"/>
  <c r="AD13" i="12"/>
  <c r="AD35" i="8"/>
  <c r="AD36" i="8" s="1"/>
  <c r="AE240" i="2"/>
  <c r="AD48" i="12"/>
  <c r="AD139" i="8"/>
  <c r="AD140" i="8" s="1"/>
  <c r="AD237" i="2"/>
  <c r="AC45" i="12"/>
  <c r="AC127" i="8"/>
  <c r="AC128" i="8" s="1"/>
  <c r="AD241" i="2"/>
  <c r="AC49" i="12"/>
  <c r="AC143" i="8"/>
  <c r="AC144" i="8" s="1"/>
  <c r="AD242" i="2"/>
  <c r="AC50" i="12"/>
  <c r="AC147" i="8"/>
  <c r="AC148" i="8" s="1"/>
  <c r="AE174" i="2"/>
  <c r="AD30" i="12"/>
  <c r="AD79" i="8"/>
  <c r="AD80" i="8" s="1"/>
  <c r="AD183" i="2"/>
  <c r="AE115" i="2"/>
  <c r="AD19" i="12"/>
  <c r="AD47" i="8"/>
  <c r="AD48" i="8" s="1"/>
  <c r="AB1468" i="8"/>
  <c r="AB1482" i="8"/>
  <c r="AB1483" i="8" s="1"/>
  <c r="AE117" i="2"/>
  <c r="AD21" i="12"/>
  <c r="AD55" i="8"/>
  <c r="AD56" i="8" s="1"/>
  <c r="AA1466" i="8"/>
  <c r="AA1476" i="8"/>
  <c r="AA1477" i="8" s="1"/>
  <c r="AB51" i="12"/>
  <c r="AE75" i="8"/>
  <c r="AE76" i="8" s="1"/>
  <c r="F76" i="8" s="1"/>
  <c r="AE26" i="12"/>
  <c r="AE120" i="2"/>
  <c r="AD24" i="12"/>
  <c r="AD67" i="8"/>
  <c r="AD68" i="8" s="1"/>
  <c r="AD55" i="2"/>
  <c r="AC7" i="12"/>
  <c r="AC11" i="8"/>
  <c r="AC12" i="8" s="1"/>
  <c r="AE57" i="2"/>
  <c r="AD9" i="12"/>
  <c r="AD19" i="8"/>
  <c r="AD20" i="8" s="1"/>
  <c r="AE238" i="2"/>
  <c r="AD46" i="12"/>
  <c r="AD131" i="8"/>
  <c r="AD132" i="8" s="1"/>
  <c r="AE118" i="2"/>
  <c r="AD22" i="12"/>
  <c r="AD59" i="8"/>
  <c r="AD60" i="8" s="1"/>
  <c r="AE178" i="2"/>
  <c r="AD34" i="12"/>
  <c r="AD95" i="8"/>
  <c r="AD96" i="8" s="1"/>
  <c r="AE25" i="12"/>
  <c r="AE71" i="8"/>
  <c r="AE72" i="8" s="1"/>
  <c r="F72" i="8" s="1"/>
  <c r="AD54" i="2"/>
  <c r="AC6" i="12"/>
  <c r="AC7" i="8"/>
  <c r="AC8" i="8" s="1"/>
  <c r="AC63" i="2"/>
  <c r="AD235" i="2"/>
  <c r="AC43" i="12"/>
  <c r="AC119" i="8"/>
  <c r="AC120" i="8" s="1"/>
  <c r="AB15" i="12"/>
  <c r="AE83" i="8"/>
  <c r="AE84" i="8" s="1"/>
  <c r="F84" i="8" s="1"/>
  <c r="AE31" i="12"/>
  <c r="AE56" i="2"/>
  <c r="AD8" i="12"/>
  <c r="AD15" i="8"/>
  <c r="AD16" i="8" s="1"/>
  <c r="AE181" i="2"/>
  <c r="AD37" i="12"/>
  <c r="AD107" i="8"/>
  <c r="AD108" i="8" s="1"/>
  <c r="AE114" i="2"/>
  <c r="AD18" i="12"/>
  <c r="AD43" i="8"/>
  <c r="AD44" i="8" s="1"/>
  <c r="AD123" i="2"/>
  <c r="AD234" i="2"/>
  <c r="AC42" i="12"/>
  <c r="AC243" i="2"/>
  <c r="AC115" i="8"/>
  <c r="AC116" i="8" s="1"/>
  <c r="AE59" i="2"/>
  <c r="AD11" i="12"/>
  <c r="AD27" i="8"/>
  <c r="AD28" i="8" s="1"/>
  <c r="AA1469" i="8"/>
  <c r="AA1485" i="8"/>
  <c r="AA1486" i="8" s="1"/>
  <c r="AE62" i="2"/>
  <c r="AD14" i="12"/>
  <c r="AD39" i="8"/>
  <c r="AD40" i="8" s="1"/>
  <c r="AE36" i="12"/>
  <c r="AE103" i="8"/>
  <c r="AE104" i="8" s="1"/>
  <c r="F104" i="8" s="1"/>
  <c r="AD236" i="2"/>
  <c r="AC44" i="12"/>
  <c r="AC123" i="8"/>
  <c r="AC124" i="8" s="1"/>
  <c r="AD58" i="2"/>
  <c r="AC10" i="12"/>
  <c r="AC23" i="8"/>
  <c r="AC24" i="8" s="1"/>
  <c r="AE177" i="2"/>
  <c r="AD33" i="12"/>
  <c r="AD91" i="8"/>
  <c r="AD92" i="8" s="1"/>
  <c r="AE111" i="8"/>
  <c r="AE112" i="8" s="1"/>
  <c r="F112" i="8" s="1"/>
  <c r="AE38" i="12"/>
  <c r="AE176" i="2"/>
  <c r="AD32" i="12"/>
  <c r="AD87" i="8"/>
  <c r="AD88" i="8" s="1"/>
  <c r="X280" i="14" l="1"/>
  <c r="AA268" i="14"/>
  <c r="W279" i="14"/>
  <c r="W281" i="14" s="1"/>
  <c r="AD267" i="14"/>
  <c r="AD269" i="14" s="1"/>
  <c r="X283" i="14"/>
  <c r="X285" i="14" s="1"/>
  <c r="AA270" i="14"/>
  <c r="Y275" i="14"/>
  <c r="Y277" i="14" s="1"/>
  <c r="V280" i="14"/>
  <c r="T284" i="14"/>
  <c r="V282" i="14"/>
  <c r="T286" i="14"/>
  <c r="Z275" i="14"/>
  <c r="Z277" i="14" s="1"/>
  <c r="U283" i="14"/>
  <c r="U285" i="14" s="1"/>
  <c r="AC266" i="14"/>
  <c r="R284" i="14"/>
  <c r="R286" i="14" s="1"/>
  <c r="AB268" i="14"/>
  <c r="AB270" i="14"/>
  <c r="S287" i="14"/>
  <c r="S289" i="14" s="1"/>
  <c r="AE260" i="14"/>
  <c r="AE262" i="14"/>
  <c r="AD1523" i="8"/>
  <c r="AD1629" i="8"/>
  <c r="AD1524" i="8"/>
  <c r="AD1630" i="8"/>
  <c r="Z1530" i="8"/>
  <c r="Z1533" i="8"/>
  <c r="Z1532" i="8"/>
  <c r="AC1525" i="8"/>
  <c r="AC1631" i="8"/>
  <c r="AC1522" i="8"/>
  <c r="AC1628" i="8"/>
  <c r="Z1531" i="8"/>
  <c r="AC1468" i="8"/>
  <c r="AC15" i="12"/>
  <c r="AC1476" i="8" s="1"/>
  <c r="AC1477" i="8" s="1"/>
  <c r="AE58" i="2"/>
  <c r="AD23" i="8"/>
  <c r="AD24" i="8" s="1"/>
  <c r="AD10" i="12"/>
  <c r="AE235" i="2"/>
  <c r="AD43" i="12"/>
  <c r="AD119" i="8"/>
  <c r="AD120" i="8" s="1"/>
  <c r="AE30" i="12"/>
  <c r="AE79" i="8"/>
  <c r="AE80" i="8" s="1"/>
  <c r="F80" i="8" s="1"/>
  <c r="AE183" i="2"/>
  <c r="AE60" i="2"/>
  <c r="AD12" i="12"/>
  <c r="AD31" i="8"/>
  <c r="AD32" i="8" s="1"/>
  <c r="AB1469" i="8"/>
  <c r="AB1485" i="8"/>
  <c r="AB1486" i="8" s="1"/>
  <c r="AC1467" i="8"/>
  <c r="AC1479" i="8"/>
  <c r="AC1480" i="8" s="1"/>
  <c r="AE18" i="12"/>
  <c r="AE123" i="2"/>
  <c r="AE43" i="8"/>
  <c r="AE44" i="8" s="1"/>
  <c r="F44" i="8" s="1"/>
  <c r="AE27" i="8"/>
  <c r="AE28" i="8" s="1"/>
  <c r="F28" i="8" s="1"/>
  <c r="AE11" i="12"/>
  <c r="AE236" i="2"/>
  <c r="AD44" i="12"/>
  <c r="AD123" i="8"/>
  <c r="AD124" i="8" s="1"/>
  <c r="AE54" i="2"/>
  <c r="AD6" i="12"/>
  <c r="AD7" i="8"/>
  <c r="AD8" i="8" s="1"/>
  <c r="AD63" i="2"/>
  <c r="AE34" i="12"/>
  <c r="AE95" i="8"/>
  <c r="AE96" i="8" s="1"/>
  <c r="F96" i="8" s="1"/>
  <c r="AE47" i="8"/>
  <c r="AE48" i="8" s="1"/>
  <c r="F48" i="8" s="1"/>
  <c r="AE19" i="12"/>
  <c r="AE13" i="12"/>
  <c r="AE35" i="8"/>
  <c r="AE36" i="8" s="1"/>
  <c r="F36" i="8" s="1"/>
  <c r="AE67" i="8"/>
  <c r="AE68" i="8" s="1"/>
  <c r="F68" i="8" s="1"/>
  <c r="AE24" i="12"/>
  <c r="AE241" i="2"/>
  <c r="AD49" i="12"/>
  <c r="AD143" i="8"/>
  <c r="AD144" i="8" s="1"/>
  <c r="AE8" i="12"/>
  <c r="AE15" i="8"/>
  <c r="AE16" i="8" s="1"/>
  <c r="F16" i="8" s="1"/>
  <c r="AE107" i="8"/>
  <c r="AE108" i="8" s="1"/>
  <c r="F108" i="8" s="1"/>
  <c r="AE37" i="12"/>
  <c r="AE135" i="8"/>
  <c r="AE136" i="8" s="1"/>
  <c r="F136" i="8" s="1"/>
  <c r="AE47" i="12"/>
  <c r="AE46" i="12"/>
  <c r="AE131" i="8"/>
  <c r="AE132" i="8" s="1"/>
  <c r="F132" i="8" s="1"/>
  <c r="AE9" i="12"/>
  <c r="AE19" i="8"/>
  <c r="AE20" i="8" s="1"/>
  <c r="F20" i="8" s="1"/>
  <c r="AC51" i="12"/>
  <c r="AB1476" i="8"/>
  <c r="AB1477" i="8" s="1"/>
  <c r="AB1466" i="8"/>
  <c r="AE242" i="2"/>
  <c r="AD50" i="12"/>
  <c r="AD147" i="8"/>
  <c r="AD148" i="8" s="1"/>
  <c r="AE237" i="2"/>
  <c r="AD45" i="12"/>
  <c r="AD127" i="8"/>
  <c r="AD128" i="8" s="1"/>
  <c r="AE48" i="12"/>
  <c r="AE139" i="8"/>
  <c r="AE140" i="8" s="1"/>
  <c r="F140" i="8" s="1"/>
  <c r="AE234" i="2"/>
  <c r="AD42" i="12"/>
  <c r="AD243" i="2"/>
  <c r="AD115" i="8"/>
  <c r="AD116" i="8" s="1"/>
  <c r="AE55" i="2"/>
  <c r="AD7" i="12"/>
  <c r="AD11" i="8"/>
  <c r="AD12" i="8" s="1"/>
  <c r="AD39" i="12"/>
  <c r="AE33" i="12"/>
  <c r="AE91" i="8"/>
  <c r="AE92" i="8" s="1"/>
  <c r="F92" i="8" s="1"/>
  <c r="AE59" i="8"/>
  <c r="AE60" i="8" s="1"/>
  <c r="F60" i="8" s="1"/>
  <c r="AE22" i="12"/>
  <c r="AD27" i="12"/>
  <c r="AE87" i="8"/>
  <c r="AE88" i="8" s="1"/>
  <c r="F88" i="8" s="1"/>
  <c r="AE32" i="12"/>
  <c r="AE39" i="8"/>
  <c r="AE40" i="8" s="1"/>
  <c r="F40" i="8" s="1"/>
  <c r="AE14" i="12"/>
  <c r="AE55" i="8"/>
  <c r="AE56" i="8" s="1"/>
  <c r="F56" i="8" s="1"/>
  <c r="AE21" i="12"/>
  <c r="Z276" i="14" l="1"/>
  <c r="U284" i="14"/>
  <c r="R287" i="14"/>
  <c r="R289" i="14" s="1"/>
  <c r="Z278" i="14"/>
  <c r="T287" i="14"/>
  <c r="T289" i="14" s="1"/>
  <c r="V283" i="14"/>
  <c r="V285" i="14" s="1"/>
  <c r="S288" i="14"/>
  <c r="AE263" i="14"/>
  <c r="AE265" i="14" s="1"/>
  <c r="S290" i="14"/>
  <c r="Y276" i="14"/>
  <c r="Y278" i="14" s="1"/>
  <c r="AB271" i="14"/>
  <c r="AB273" i="14" s="1"/>
  <c r="AB274" i="14" s="1"/>
  <c r="AA271" i="14"/>
  <c r="AA273" i="14" s="1"/>
  <c r="X284" i="14"/>
  <c r="X286" i="14" s="1"/>
  <c r="AC267" i="14"/>
  <c r="AC269" i="14" s="1"/>
  <c r="AD268" i="14"/>
  <c r="AD270" i="14"/>
  <c r="U286" i="14"/>
  <c r="W280" i="14"/>
  <c r="W282" i="14"/>
  <c r="AA1533" i="8"/>
  <c r="AA1530" i="8"/>
  <c r="AA1531" i="8"/>
  <c r="AD1522" i="8"/>
  <c r="AD1628" i="8"/>
  <c r="AE1523" i="8"/>
  <c r="F1523" i="8" s="1"/>
  <c r="AE1629" i="8"/>
  <c r="F1629" i="8" s="1"/>
  <c r="AE1524" i="8"/>
  <c r="F1524" i="8" s="1"/>
  <c r="AE1630" i="8"/>
  <c r="F1630" i="8" s="1"/>
  <c r="AC1466" i="8"/>
  <c r="AA1532" i="8"/>
  <c r="AD1525" i="8"/>
  <c r="AD1631" i="8"/>
  <c r="AE50" i="12"/>
  <c r="AE147" i="8"/>
  <c r="AE148" i="8" s="1"/>
  <c r="F148" i="8" s="1"/>
  <c r="AE143" i="8"/>
  <c r="AE144" i="8" s="1"/>
  <c r="F144" i="8" s="1"/>
  <c r="AE49" i="12"/>
  <c r="AE6" i="12"/>
  <c r="AE7" i="8"/>
  <c r="AE8" i="8" s="1"/>
  <c r="F8" i="8" s="1"/>
  <c r="AE63" i="2"/>
  <c r="AE10" i="12"/>
  <c r="AE23" i="8"/>
  <c r="AE24" i="8" s="1"/>
  <c r="F24" i="8" s="1"/>
  <c r="AE127" i="8"/>
  <c r="AE128" i="8" s="1"/>
  <c r="F128" i="8" s="1"/>
  <c r="AE45" i="12"/>
  <c r="AE11" i="8"/>
  <c r="AE12" i="8" s="1"/>
  <c r="F12" i="8" s="1"/>
  <c r="AE7" i="12"/>
  <c r="AE44" i="12"/>
  <c r="AE123" i="8"/>
  <c r="AE124" i="8" s="1"/>
  <c r="F124" i="8" s="1"/>
  <c r="AD51" i="12"/>
  <c r="AE42" i="12"/>
  <c r="AE115" i="8"/>
  <c r="AE116" i="8" s="1"/>
  <c r="F116" i="8" s="1"/>
  <c r="AE243" i="2"/>
  <c r="AD15" i="12"/>
  <c r="AE27" i="12"/>
  <c r="AE119" i="8"/>
  <c r="AE120" i="8" s="1"/>
  <c r="F120" i="8" s="1"/>
  <c r="AE43" i="12"/>
  <c r="AD1468" i="8"/>
  <c r="AD1482" i="8"/>
  <c r="AD1483" i="8" s="1"/>
  <c r="AC1469" i="8"/>
  <c r="AC1485" i="8"/>
  <c r="AC1486" i="8" s="1"/>
  <c r="AE39" i="12"/>
  <c r="AD1467" i="8"/>
  <c r="AD1479" i="8"/>
  <c r="AD1480" i="8" s="1"/>
  <c r="AE31" i="8"/>
  <c r="AE32" i="8" s="1"/>
  <c r="F32" i="8" s="1"/>
  <c r="AE12" i="12"/>
  <c r="AB272" i="14" l="1"/>
  <c r="AA272" i="14"/>
  <c r="X287" i="14"/>
  <c r="X289" i="14" s="1"/>
  <c r="Y279" i="14"/>
  <c r="Y281" i="14" s="1"/>
  <c r="AB275" i="14"/>
  <c r="AB277" i="14" s="1"/>
  <c r="W283" i="14"/>
  <c r="W285" i="14" s="1"/>
  <c r="S291" i="14"/>
  <c r="S293" i="14" s="1"/>
  <c r="U287" i="14"/>
  <c r="U289" i="14" s="1"/>
  <c r="AE264" i="14"/>
  <c r="AE266" i="14" s="1"/>
  <c r="AD271" i="14"/>
  <c r="AD273" i="14" s="1"/>
  <c r="AC268" i="14"/>
  <c r="V284" i="14"/>
  <c r="AC270" i="14"/>
  <c r="V286" i="14"/>
  <c r="T288" i="14"/>
  <c r="T290" i="14" s="1"/>
  <c r="Z279" i="14"/>
  <c r="Z281" i="14" s="1"/>
  <c r="AA274" i="14"/>
  <c r="R288" i="14"/>
  <c r="R290" i="14" s="1"/>
  <c r="AB1533" i="8"/>
  <c r="AE1522" i="8"/>
  <c r="F1522" i="8" s="1"/>
  <c r="AE1628" i="8"/>
  <c r="F1628" i="8" s="1"/>
  <c r="AE1525" i="8"/>
  <c r="F1525" i="8" s="1"/>
  <c r="AE1631" i="8"/>
  <c r="F1631" i="8" s="1"/>
  <c r="AB1531" i="8"/>
  <c r="AB1532" i="8"/>
  <c r="AB1530" i="8"/>
  <c r="AE1468" i="8"/>
  <c r="F1468" i="8" s="1"/>
  <c r="AE1482" i="8"/>
  <c r="AE1483" i="8" s="1"/>
  <c r="F1483" i="8" s="1"/>
  <c r="AD1476" i="8"/>
  <c r="AD1477" i="8" s="1"/>
  <c r="AD1466" i="8"/>
  <c r="AE15" i="12"/>
  <c r="D2" i="8"/>
  <c r="AE1479" i="8"/>
  <c r="AE1480" i="8" s="1"/>
  <c r="F1480" i="8" s="1"/>
  <c r="G1480" i="8" s="1"/>
  <c r="AE1467" i="8"/>
  <c r="F1467" i="8" s="1"/>
  <c r="AE51" i="12"/>
  <c r="AD1485" i="8"/>
  <c r="AD1486" i="8" s="1"/>
  <c r="AD1469" i="8"/>
  <c r="U288" i="14" l="1"/>
  <c r="T291" i="14"/>
  <c r="T293" i="14" s="1"/>
  <c r="R291" i="14"/>
  <c r="R293" i="14" s="1"/>
  <c r="AE267" i="14"/>
  <c r="AE269" i="14" s="1"/>
  <c r="AA275" i="14"/>
  <c r="AA277" i="14" s="1"/>
  <c r="U290" i="14"/>
  <c r="Z280" i="14"/>
  <c r="S292" i="14"/>
  <c r="Z282" i="14"/>
  <c r="S294" i="14"/>
  <c r="W284" i="14"/>
  <c r="W286" i="14" s="1"/>
  <c r="V287" i="14"/>
  <c r="V289" i="14" s="1"/>
  <c r="AB276" i="14"/>
  <c r="AB278" i="14"/>
  <c r="Y280" i="14"/>
  <c r="Y282" i="14"/>
  <c r="AC271" i="14"/>
  <c r="AC273" i="14" s="1"/>
  <c r="X288" i="14"/>
  <c r="AD272" i="14"/>
  <c r="AD274" i="14" s="1"/>
  <c r="X290" i="14"/>
  <c r="AC1532" i="8"/>
  <c r="AC1530" i="8"/>
  <c r="AC1531" i="8"/>
  <c r="AC1533" i="8"/>
  <c r="AE1476" i="8"/>
  <c r="AE1477" i="8" s="1"/>
  <c r="F1477" i="8" s="1"/>
  <c r="G1477" i="8" s="1"/>
  <c r="AE1466" i="8"/>
  <c r="F1466" i="8" s="1"/>
  <c r="AE1469" i="8"/>
  <c r="F1469" i="8" s="1"/>
  <c r="AE1485" i="8"/>
  <c r="AE1486" i="8" s="1"/>
  <c r="F1486" i="8" s="1"/>
  <c r="V288" i="14" l="1"/>
  <c r="W287" i="14"/>
  <c r="W289" i="14" s="1"/>
  <c r="AD275" i="14"/>
  <c r="AD277" i="14" s="1"/>
  <c r="X291" i="14"/>
  <c r="X293" i="14" s="1"/>
  <c r="S295" i="14"/>
  <c r="S297" i="14" s="1"/>
  <c r="Z283" i="14"/>
  <c r="Z285" i="14" s="1"/>
  <c r="AC272" i="14"/>
  <c r="AC274" i="14"/>
  <c r="U291" i="14"/>
  <c r="U293" i="14" s="1"/>
  <c r="Y283" i="14"/>
  <c r="Y285" i="14" s="1"/>
  <c r="AA276" i="14"/>
  <c r="AA278" i="14" s="1"/>
  <c r="AE268" i="14"/>
  <c r="AE270" i="14" s="1"/>
  <c r="AB279" i="14"/>
  <c r="AB281" i="14" s="1"/>
  <c r="R292" i="14"/>
  <c r="R294" i="14" s="1"/>
  <c r="V290" i="14"/>
  <c r="T292" i="14"/>
  <c r="T294" i="14"/>
  <c r="AD1531" i="8"/>
  <c r="AD1533" i="8"/>
  <c r="AD1532" i="8"/>
  <c r="AD1530" i="8"/>
  <c r="AB280" i="14" l="1"/>
  <c r="AE271" i="14"/>
  <c r="AE273" i="14" s="1"/>
  <c r="R295" i="14"/>
  <c r="R297" i="14" s="1"/>
  <c r="AA279" i="14"/>
  <c r="AA281" i="14" s="1"/>
  <c r="U294" i="14"/>
  <c r="T295" i="14"/>
  <c r="T297" i="14" s="1"/>
  <c r="V291" i="14"/>
  <c r="V293" i="14" s="1"/>
  <c r="Z284" i="14"/>
  <c r="Z286" i="14"/>
  <c r="S296" i="14"/>
  <c r="S298" i="14" s="1"/>
  <c r="AC275" i="14"/>
  <c r="AC277" i="14" s="1"/>
  <c r="AC278" i="14" s="1"/>
  <c r="AB282" i="14"/>
  <c r="X292" i="14"/>
  <c r="X294" i="14" s="1"/>
  <c r="U292" i="14"/>
  <c r="AD276" i="14"/>
  <c r="AD278" i="14" s="1"/>
  <c r="Y284" i="14"/>
  <c r="W288" i="14"/>
  <c r="Y286" i="14"/>
  <c r="W290" i="14"/>
  <c r="AE1531" i="8"/>
  <c r="F1531" i="8" s="1"/>
  <c r="AE1533" i="8"/>
  <c r="F1533" i="8" s="1"/>
  <c r="AE1530" i="8"/>
  <c r="F1530" i="8" s="1"/>
  <c r="AE1532" i="8"/>
  <c r="F1532" i="8" s="1"/>
  <c r="AC276" i="14" l="1"/>
  <c r="X295" i="14"/>
  <c r="X297" i="14" s="1"/>
  <c r="S299" i="14"/>
  <c r="S301" i="14" s="1"/>
  <c r="AD279" i="14"/>
  <c r="AD281" i="14" s="1"/>
  <c r="Y287" i="14"/>
  <c r="Y289" i="14" s="1"/>
  <c r="V292" i="14"/>
  <c r="V294" i="14" s="1"/>
  <c r="T296" i="14"/>
  <c r="T298" i="14" s="1"/>
  <c r="Z287" i="14"/>
  <c r="Z289" i="14" s="1"/>
  <c r="W291" i="14"/>
  <c r="W293" i="14" s="1"/>
  <c r="U295" i="14"/>
  <c r="U297" i="14" s="1"/>
  <c r="AA280" i="14"/>
  <c r="AA282" i="14" s="1"/>
  <c r="AB283" i="14"/>
  <c r="AB285" i="14" s="1"/>
  <c r="R296" i="14"/>
  <c r="R298" i="14" s="1"/>
  <c r="AC279" i="14"/>
  <c r="AC281" i="14" s="1"/>
  <c r="AE272" i="14"/>
  <c r="AE274" i="14"/>
  <c r="U296" i="14" l="1"/>
  <c r="Y288" i="14"/>
  <c r="AA283" i="14"/>
  <c r="AA285" i="14" s="1"/>
  <c r="R299" i="14"/>
  <c r="R301" i="14" s="1"/>
  <c r="T299" i="14"/>
  <c r="T301" i="14" s="1"/>
  <c r="V295" i="14"/>
  <c r="V297" i="14" s="1"/>
  <c r="Z288" i="14"/>
  <c r="AC280" i="14"/>
  <c r="AE275" i="14"/>
  <c r="AE277" i="14" s="1"/>
  <c r="Z290" i="14"/>
  <c r="AC282" i="14"/>
  <c r="AB284" i="14"/>
  <c r="AB286" i="14" s="1"/>
  <c r="Y290" i="14"/>
  <c r="AD280" i="14"/>
  <c r="AD282" i="14"/>
  <c r="S300" i="14"/>
  <c r="S302" i="14"/>
  <c r="U298" i="14"/>
  <c r="X296" i="14"/>
  <c r="W292" i="14"/>
  <c r="W294" i="14" s="1"/>
  <c r="X298" i="14"/>
  <c r="V296" i="14" l="1"/>
  <c r="AB287" i="14"/>
  <c r="AB289" i="14" s="1"/>
  <c r="W295" i="14"/>
  <c r="W297" i="14" s="1"/>
  <c r="AE276" i="14"/>
  <c r="AE278" i="14" s="1"/>
  <c r="Z291" i="14"/>
  <c r="Z293" i="14" s="1"/>
  <c r="U299" i="14"/>
  <c r="U301" i="14" s="1"/>
  <c r="V298" i="14"/>
  <c r="T300" i="14"/>
  <c r="T302" i="14"/>
  <c r="R300" i="14"/>
  <c r="R302" i="14" s="1"/>
  <c r="AC283" i="14"/>
  <c r="AC285" i="14" s="1"/>
  <c r="X299" i="14"/>
  <c r="X301" i="14" s="1"/>
  <c r="S303" i="14"/>
  <c r="S305" i="14" s="1"/>
  <c r="S306" i="14" s="1"/>
  <c r="AD283" i="14"/>
  <c r="AD285" i="14" s="1"/>
  <c r="Y291" i="14"/>
  <c r="Y293" i="14" s="1"/>
  <c r="AA284" i="14"/>
  <c r="AA286" i="14"/>
  <c r="AC284" i="14" l="1"/>
  <c r="S304" i="14"/>
  <c r="Z292" i="14"/>
  <c r="X300" i="14"/>
  <c r="R303" i="14"/>
  <c r="R305" i="14" s="1"/>
  <c r="AE279" i="14"/>
  <c r="AE281" i="14" s="1"/>
  <c r="AA287" i="14"/>
  <c r="AA289" i="14" s="1"/>
  <c r="Y292" i="14"/>
  <c r="T303" i="14"/>
  <c r="T305" i="14" s="1"/>
  <c r="Y294" i="14"/>
  <c r="U300" i="14"/>
  <c r="U302" i="14" s="1"/>
  <c r="AD284" i="14"/>
  <c r="AD286" i="14" s="1"/>
  <c r="S307" i="14"/>
  <c r="S309" i="14" s="1"/>
  <c r="Z294" i="14"/>
  <c r="X302" i="14"/>
  <c r="W296" i="14"/>
  <c r="W298" i="14" s="1"/>
  <c r="V299" i="14"/>
  <c r="V301" i="14" s="1"/>
  <c r="AC286" i="14"/>
  <c r="AB288" i="14"/>
  <c r="AB290" i="14"/>
  <c r="V300" i="14" l="1"/>
  <c r="U303" i="14"/>
  <c r="U305" i="14" s="1"/>
  <c r="W299" i="14"/>
  <c r="W301" i="14" s="1"/>
  <c r="AD287" i="14"/>
  <c r="AD289" i="14" s="1"/>
  <c r="Y295" i="14"/>
  <c r="Y297" i="14" s="1"/>
  <c r="AC287" i="14"/>
  <c r="AC289" i="14" s="1"/>
  <c r="AB291" i="14"/>
  <c r="AB293" i="14" s="1"/>
  <c r="T304" i="14"/>
  <c r="T306" i="14" s="1"/>
  <c r="V302" i="14"/>
  <c r="AA288" i="14"/>
  <c r="X303" i="14"/>
  <c r="X305" i="14" s="1"/>
  <c r="AE280" i="14"/>
  <c r="AE282" i="14"/>
  <c r="AA290" i="14"/>
  <c r="Z295" i="14"/>
  <c r="Z297" i="14" s="1"/>
  <c r="Z298" i="14" s="1"/>
  <c r="Z296" i="14"/>
  <c r="S308" i="14"/>
  <c r="S310" i="14" s="1"/>
  <c r="S313" i="14" s="1"/>
  <c r="R304" i="14"/>
  <c r="R306" i="14"/>
  <c r="X304" i="14" l="1"/>
  <c r="Y296" i="14"/>
  <c r="T307" i="14"/>
  <c r="T309" i="14" s="1"/>
  <c r="S320" i="14"/>
  <c r="S1656" i="8" s="1"/>
  <c r="S327" i="14"/>
  <c r="S82" i="5" s="1"/>
  <c r="S1650" i="8"/>
  <c r="S330" i="14"/>
  <c r="S85" i="5" s="1"/>
  <c r="S49" i="10"/>
  <c r="S326" i="14"/>
  <c r="S81" i="5" s="1"/>
  <c r="S316" i="14"/>
  <c r="S1653" i="8" s="1"/>
  <c r="S332" i="14"/>
  <c r="S87" i="5" s="1"/>
  <c r="S328" i="14"/>
  <c r="S83" i="5" s="1"/>
  <c r="S334" i="14"/>
  <c r="S89" i="5" s="1"/>
  <c r="S315" i="14"/>
  <c r="S1643" i="8"/>
  <c r="S331" i="14"/>
  <c r="S86" i="5" s="1"/>
  <c r="S329" i="14"/>
  <c r="S84" i="5" s="1"/>
  <c r="S333" i="14"/>
  <c r="S88" i="5" s="1"/>
  <c r="AC288" i="14"/>
  <c r="AC290" i="14"/>
  <c r="AE283" i="14"/>
  <c r="AE285" i="14" s="1"/>
  <c r="AE286" i="14" s="1"/>
  <c r="R307" i="14"/>
  <c r="R309" i="14" s="1"/>
  <c r="AB292" i="14"/>
  <c r="AB294" i="14" s="1"/>
  <c r="Z299" i="14"/>
  <c r="Z301" i="14" s="1"/>
  <c r="AA291" i="14"/>
  <c r="AA293" i="14" s="1"/>
  <c r="Y298" i="14"/>
  <c r="AD288" i="14"/>
  <c r="X306" i="14"/>
  <c r="W300" i="14"/>
  <c r="W302" i="14"/>
  <c r="AD290" i="14"/>
  <c r="U304" i="14"/>
  <c r="V303" i="14"/>
  <c r="V305" i="14" s="1"/>
  <c r="U306" i="14"/>
  <c r="AE284" i="14" l="1"/>
  <c r="AB295" i="14"/>
  <c r="AB297" i="14" s="1"/>
  <c r="S1652" i="8"/>
  <c r="S314" i="14"/>
  <c r="S494" i="2"/>
  <c r="S614" i="2"/>
  <c r="S434" i="2"/>
  <c r="S554" i="2"/>
  <c r="R308" i="14"/>
  <c r="S606" i="2"/>
  <c r="S486" i="2"/>
  <c r="S546" i="2"/>
  <c r="S426" i="2"/>
  <c r="V306" i="14"/>
  <c r="Z300" i="14"/>
  <c r="U307" i="14"/>
  <c r="U309" i="14" s="1"/>
  <c r="AE287" i="14"/>
  <c r="AE289" i="14" s="1"/>
  <c r="AE290" i="14" s="1"/>
  <c r="W303" i="14"/>
  <c r="W305" i="14" s="1"/>
  <c r="W306" i="14" s="1"/>
  <c r="AC291" i="14"/>
  <c r="AC293" i="14" s="1"/>
  <c r="S1626" i="8"/>
  <c r="S139" i="5"/>
  <c r="S648" i="2" s="1"/>
  <c r="S610" i="2"/>
  <c r="S550" i="2"/>
  <c r="S430" i="2"/>
  <c r="S490" i="2"/>
  <c r="S428" i="2"/>
  <c r="S548" i="2"/>
  <c r="S608" i="2"/>
  <c r="S488" i="2"/>
  <c r="AD291" i="14"/>
  <c r="AD293" i="14" s="1"/>
  <c r="X307" i="14"/>
  <c r="X309" i="14" s="1"/>
  <c r="S427" i="2"/>
  <c r="S607" i="2"/>
  <c r="S547" i="2"/>
  <c r="S487" i="2"/>
  <c r="Z302" i="14"/>
  <c r="V304" i="14"/>
  <c r="S492" i="2"/>
  <c r="S552" i="2"/>
  <c r="S432" i="2"/>
  <c r="S612" i="2"/>
  <c r="S493" i="2"/>
  <c r="S613" i="2"/>
  <c r="S553" i="2"/>
  <c r="S433" i="2"/>
  <c r="R310" i="14"/>
  <c r="R313" i="14" s="1"/>
  <c r="Y299" i="14"/>
  <c r="Y301" i="14" s="1"/>
  <c r="AA292" i="14"/>
  <c r="AA294" i="14" s="1"/>
  <c r="S429" i="2"/>
  <c r="S609" i="2"/>
  <c r="S489" i="2"/>
  <c r="S549" i="2"/>
  <c r="T308" i="14"/>
  <c r="S491" i="2"/>
  <c r="S611" i="2"/>
  <c r="S551" i="2"/>
  <c r="S431" i="2"/>
  <c r="T310" i="14"/>
  <c r="T313" i="14" s="1"/>
  <c r="S1518" i="8" l="1"/>
  <c r="S1623" i="8"/>
  <c r="S1519" i="8"/>
  <c r="S1521" i="8"/>
  <c r="S1520" i="8"/>
  <c r="X308" i="14"/>
  <c r="W304" i="14"/>
  <c r="AE288" i="14"/>
  <c r="AA295" i="14"/>
  <c r="AA297" i="14" s="1"/>
  <c r="V307" i="14"/>
  <c r="V309" i="14" s="1"/>
  <c r="Y300" i="14"/>
  <c r="Y302" i="14" s="1"/>
  <c r="S1622" i="8"/>
  <c r="S659" i="2"/>
  <c r="S763" i="2"/>
  <c r="S1264" i="8" s="1"/>
  <c r="S1265" i="8" s="1"/>
  <c r="S768" i="2"/>
  <c r="S1284" i="8" s="1"/>
  <c r="S1285" i="8" s="1"/>
  <c r="S658" i="2"/>
  <c r="S657" i="2"/>
  <c r="S755" i="2"/>
  <c r="S762" i="2"/>
  <c r="S758" i="2"/>
  <c r="S769" i="2"/>
  <c r="S764" i="2"/>
  <c r="S1268" i="8" s="1"/>
  <c r="S1269" i="8" s="1"/>
  <c r="S766" i="2"/>
  <c r="S1627" i="8"/>
  <c r="S757" i="2"/>
  <c r="S752" i="2"/>
  <c r="S753" i="2"/>
  <c r="S765" i="2"/>
  <c r="S756" i="2"/>
  <c r="S751" i="2"/>
  <c r="S767" i="2"/>
  <c r="S1280" i="8" s="1"/>
  <c r="S1281" i="8" s="1"/>
  <c r="S660" i="2"/>
  <c r="S754" i="2"/>
  <c r="S1624" i="8"/>
  <c r="AD292" i="14"/>
  <c r="R320" i="14"/>
  <c r="R1656" i="8" s="1"/>
  <c r="R329" i="14"/>
  <c r="R84" i="5" s="1"/>
  <c r="R328" i="14"/>
  <c r="R83" i="5" s="1"/>
  <c r="R331" i="14"/>
  <c r="R86" i="5" s="1"/>
  <c r="R327" i="14"/>
  <c r="R82" i="5" s="1"/>
  <c r="R315" i="14"/>
  <c r="R316" i="14"/>
  <c r="R1653" i="8" s="1"/>
  <c r="R1643" i="8"/>
  <c r="R334" i="14"/>
  <c r="R89" i="5" s="1"/>
  <c r="R1650" i="8"/>
  <c r="R326" i="14"/>
  <c r="R81" i="5" s="1"/>
  <c r="R332" i="14"/>
  <c r="R87" i="5" s="1"/>
  <c r="R333" i="14"/>
  <c r="R88" i="5" s="1"/>
  <c r="R330" i="14"/>
  <c r="R85" i="5" s="1"/>
  <c r="R49" i="10"/>
  <c r="T320" i="14"/>
  <c r="T1656" i="8" s="1"/>
  <c r="T315" i="14"/>
  <c r="T316" i="14"/>
  <c r="T1653" i="8" s="1"/>
  <c r="T1643" i="8"/>
  <c r="T1650" i="8"/>
  <c r="T332" i="14"/>
  <c r="T87" i="5" s="1"/>
  <c r="T331" i="14"/>
  <c r="T86" i="5" s="1"/>
  <c r="T334" i="14"/>
  <c r="T89" i="5" s="1"/>
  <c r="T327" i="14"/>
  <c r="T82" i="5" s="1"/>
  <c r="T329" i="14"/>
  <c r="T84" i="5" s="1"/>
  <c r="T330" i="14"/>
  <c r="T85" i="5" s="1"/>
  <c r="T49" i="10"/>
  <c r="T326" i="14"/>
  <c r="T81" i="5" s="1"/>
  <c r="T328" i="14"/>
  <c r="T83" i="5" s="1"/>
  <c r="T333" i="14"/>
  <c r="T88" i="5" s="1"/>
  <c r="X310" i="14"/>
  <c r="X313" i="14" s="1"/>
  <c r="AD294" i="14"/>
  <c r="W307" i="14"/>
  <c r="W309" i="14" s="1"/>
  <c r="AC292" i="14"/>
  <c r="AC294" i="14" s="1"/>
  <c r="AE291" i="14"/>
  <c r="AE293" i="14" s="1"/>
  <c r="U308" i="14"/>
  <c r="U310" i="14" s="1"/>
  <c r="U313" i="14" s="1"/>
  <c r="S1651" i="8"/>
  <c r="S321" i="14"/>
  <c r="S317" i="14"/>
  <c r="S1625" i="8"/>
  <c r="AB296" i="14"/>
  <c r="Z303" i="14"/>
  <c r="Z305" i="14" s="1"/>
  <c r="AB298" i="14"/>
  <c r="U320" i="14" l="1"/>
  <c r="U1656" i="8" s="1"/>
  <c r="U1643" i="8"/>
  <c r="U334" i="14"/>
  <c r="U89" i="5" s="1"/>
  <c r="U330" i="14"/>
  <c r="U85" i="5" s="1"/>
  <c r="U49" i="10"/>
  <c r="U329" i="14"/>
  <c r="U84" i="5" s="1"/>
  <c r="U326" i="14"/>
  <c r="U81" i="5" s="1"/>
  <c r="U332" i="14"/>
  <c r="U87" i="5" s="1"/>
  <c r="U331" i="14"/>
  <c r="U86" i="5" s="1"/>
  <c r="U315" i="14"/>
  <c r="U316" i="14"/>
  <c r="U1653" i="8" s="1"/>
  <c r="U1650" i="8"/>
  <c r="U333" i="14"/>
  <c r="U88" i="5" s="1"/>
  <c r="U327" i="14"/>
  <c r="U82" i="5" s="1"/>
  <c r="U328" i="14"/>
  <c r="U83" i="5" s="1"/>
  <c r="AC295" i="14"/>
  <c r="AC297" i="14" s="1"/>
  <c r="Y303" i="14"/>
  <c r="Y305" i="14" s="1"/>
  <c r="T494" i="2"/>
  <c r="T434" i="2"/>
  <c r="T554" i="2"/>
  <c r="T614" i="2"/>
  <c r="S1240" i="8"/>
  <c r="S1241" i="8" s="1"/>
  <c r="S795" i="2"/>
  <c r="S1360" i="8" s="1"/>
  <c r="S1361" i="8" s="1"/>
  <c r="S773" i="2"/>
  <c r="S796" i="2"/>
  <c r="S1364" i="8" s="1"/>
  <c r="S1365" i="8" s="1"/>
  <c r="S1244" i="8"/>
  <c r="S1245" i="8" s="1"/>
  <c r="AE292" i="14"/>
  <c r="T547" i="2"/>
  <c r="T427" i="2"/>
  <c r="T607" i="2"/>
  <c r="T487" i="2"/>
  <c r="W310" i="14"/>
  <c r="W313" i="14" s="1"/>
  <c r="Z304" i="14"/>
  <c r="Z306" i="14" s="1"/>
  <c r="AD295" i="14"/>
  <c r="AD297" i="14" s="1"/>
  <c r="R1652" i="8"/>
  <c r="R314" i="14"/>
  <c r="S1272" i="8"/>
  <c r="S1273" i="8" s="1"/>
  <c r="S788" i="2"/>
  <c r="S1336" i="8" s="1"/>
  <c r="S1337" i="8" s="1"/>
  <c r="W308" i="14"/>
  <c r="X327" i="14"/>
  <c r="X82" i="5" s="1"/>
  <c r="X333" i="14"/>
  <c r="X88" i="5" s="1"/>
  <c r="X334" i="14"/>
  <c r="X89" i="5" s="1"/>
  <c r="X330" i="14"/>
  <c r="X85" i="5" s="1"/>
  <c r="X326" i="14"/>
  <c r="X81" i="5" s="1"/>
  <c r="X49" i="10"/>
  <c r="X329" i="14"/>
  <c r="X84" i="5" s="1"/>
  <c r="X332" i="14"/>
  <c r="X87" i="5" s="1"/>
  <c r="X315" i="14"/>
  <c r="X320" i="14"/>
  <c r="X1656" i="8" s="1"/>
  <c r="X328" i="14"/>
  <c r="X83" i="5" s="1"/>
  <c r="X316" i="14"/>
  <c r="X1653" i="8" s="1"/>
  <c r="X331" i="14"/>
  <c r="X86" i="5" s="1"/>
  <c r="X1650" i="8"/>
  <c r="X1643" i="8"/>
  <c r="R427" i="2"/>
  <c r="R454" i="2" s="1"/>
  <c r="R607" i="2"/>
  <c r="R634" i="2" s="1"/>
  <c r="R487" i="2"/>
  <c r="R514" i="2" s="1"/>
  <c r="R547" i="2"/>
  <c r="R574" i="2" s="1"/>
  <c r="T314" i="14"/>
  <c r="T1652" i="8"/>
  <c r="R486" i="2"/>
  <c r="R606" i="2"/>
  <c r="R546" i="2"/>
  <c r="R426" i="2"/>
  <c r="S782" i="2"/>
  <c r="S770" i="2"/>
  <c r="S1292" i="8" s="1"/>
  <c r="S1293" i="8" s="1"/>
  <c r="S1260" i="8"/>
  <c r="S1261" i="8" s="1"/>
  <c r="S785" i="2"/>
  <c r="S1324" i="8" s="1"/>
  <c r="S1325" i="8" s="1"/>
  <c r="S793" i="2"/>
  <c r="S1352" i="8" s="1"/>
  <c r="S1353" i="8" s="1"/>
  <c r="S1232" i="8"/>
  <c r="S1233" i="8" s="1"/>
  <c r="R611" i="2"/>
  <c r="R638" i="2" s="1"/>
  <c r="R491" i="2"/>
  <c r="R518" i="2" s="1"/>
  <c r="R431" i="2"/>
  <c r="R458" i="2" s="1"/>
  <c r="R551" i="2"/>
  <c r="R578" i="2" s="1"/>
  <c r="S1228" i="8"/>
  <c r="S1229" i="8" s="1"/>
  <c r="S792" i="2"/>
  <c r="S1348" i="8" s="1"/>
  <c r="S1349" i="8" s="1"/>
  <c r="T433" i="2"/>
  <c r="T493" i="2"/>
  <c r="T553" i="2"/>
  <c r="T613" i="2"/>
  <c r="R548" i="2"/>
  <c r="R575" i="2" s="1"/>
  <c r="R428" i="2"/>
  <c r="R455" i="2" s="1"/>
  <c r="R488" i="2"/>
  <c r="R515" i="2" s="1"/>
  <c r="R608" i="2"/>
  <c r="R635" i="2" s="1"/>
  <c r="S1248" i="8"/>
  <c r="S1249" i="8" s="1"/>
  <c r="S797" i="2"/>
  <c r="S1368" i="8" s="1"/>
  <c r="S1369" i="8" s="1"/>
  <c r="T611" i="2"/>
  <c r="T491" i="2"/>
  <c r="T551" i="2"/>
  <c r="T431" i="2"/>
  <c r="AB299" i="14"/>
  <c r="AB301" i="14" s="1"/>
  <c r="R429" i="2"/>
  <c r="R456" i="2" s="1"/>
  <c r="R489" i="2"/>
  <c r="R516" i="2" s="1"/>
  <c r="R549" i="2"/>
  <c r="R576" i="2" s="1"/>
  <c r="R609" i="2"/>
  <c r="R636" i="2" s="1"/>
  <c r="S1654" i="8"/>
  <c r="S318" i="14"/>
  <c r="S1618" i="8" s="1"/>
  <c r="S319" i="14"/>
  <c r="S1655" i="8" s="1"/>
  <c r="T606" i="2"/>
  <c r="T486" i="2"/>
  <c r="T546" i="2"/>
  <c r="T426" i="2"/>
  <c r="R139" i="5"/>
  <c r="R648" i="2" s="1"/>
  <c r="R1626" i="8"/>
  <c r="S1276" i="8"/>
  <c r="S1277" i="8" s="1"/>
  <c r="S784" i="2"/>
  <c r="V308" i="14"/>
  <c r="V310" i="14"/>
  <c r="V313" i="14" s="1"/>
  <c r="S794" i="2"/>
  <c r="S1356" i="8" s="1"/>
  <c r="S1357" i="8" s="1"/>
  <c r="S777" i="2"/>
  <c r="S1312" i="8" s="1"/>
  <c r="S1313" i="8" s="1"/>
  <c r="S1236" i="8"/>
  <c r="S1237" i="8" s="1"/>
  <c r="T432" i="2"/>
  <c r="T552" i="2"/>
  <c r="T492" i="2"/>
  <c r="T612" i="2"/>
  <c r="S791" i="2"/>
  <c r="S759" i="2"/>
  <c r="S781" i="2"/>
  <c r="S774" i="2"/>
  <c r="S1300" i="8" s="1"/>
  <c r="S1301" i="8" s="1"/>
  <c r="S1224" i="8"/>
  <c r="S1225" i="8" s="1"/>
  <c r="T428" i="2"/>
  <c r="T488" i="2"/>
  <c r="T548" i="2"/>
  <c r="T608" i="2"/>
  <c r="T1626" i="8"/>
  <c r="T139" i="5"/>
  <c r="T648" i="2" s="1"/>
  <c r="R550" i="2"/>
  <c r="R577" i="2" s="1"/>
  <c r="R430" i="2"/>
  <c r="R457" i="2" s="1"/>
  <c r="R490" i="2"/>
  <c r="R517" i="2" s="1"/>
  <c r="R610" i="2"/>
  <c r="R637" i="2" s="1"/>
  <c r="T430" i="2"/>
  <c r="T610" i="2"/>
  <c r="T550" i="2"/>
  <c r="T490" i="2"/>
  <c r="R553" i="2"/>
  <c r="R580" i="2" s="1"/>
  <c r="R433" i="2"/>
  <c r="R460" i="2" s="1"/>
  <c r="R613" i="2"/>
  <c r="R640" i="2" s="1"/>
  <c r="R493" i="2"/>
  <c r="R520" i="2" s="1"/>
  <c r="S1288" i="8"/>
  <c r="S1289" i="8" s="1"/>
  <c r="S786" i="2"/>
  <c r="S1328" i="8" s="1"/>
  <c r="S1329" i="8" s="1"/>
  <c r="AA296" i="14"/>
  <c r="AA298" i="14" s="1"/>
  <c r="AE294" i="14"/>
  <c r="R554" i="2"/>
  <c r="R581" i="2" s="1"/>
  <c r="R434" i="2"/>
  <c r="R461" i="2" s="1"/>
  <c r="R494" i="2"/>
  <c r="R521" i="2" s="1"/>
  <c r="R614" i="2"/>
  <c r="R641" i="2" s="1"/>
  <c r="T549" i="2"/>
  <c r="T609" i="2"/>
  <c r="T429" i="2"/>
  <c r="T489" i="2"/>
  <c r="R552" i="2"/>
  <c r="R579" i="2" s="1"/>
  <c r="R612" i="2"/>
  <c r="R639" i="2" s="1"/>
  <c r="R432" i="2"/>
  <c r="R459" i="2" s="1"/>
  <c r="R492" i="2"/>
  <c r="R519" i="2" s="1"/>
  <c r="S1252" i="8"/>
  <c r="S1253" i="8" s="1"/>
  <c r="S775" i="2"/>
  <c r="S1304" i="8" s="1"/>
  <c r="S1305" i="8" s="1"/>
  <c r="S798" i="2"/>
  <c r="S1372" i="8" s="1"/>
  <c r="S1373" i="8" s="1"/>
  <c r="T1518" i="8" l="1"/>
  <c r="R1518" i="8"/>
  <c r="R1520" i="8"/>
  <c r="R1521" i="8"/>
  <c r="R1519" i="8"/>
  <c r="T1520" i="8"/>
  <c r="T1519" i="8"/>
  <c r="T1521" i="8"/>
  <c r="Z307" i="14"/>
  <c r="Z309" i="14" s="1"/>
  <c r="AA299" i="14"/>
  <c r="AA301" i="14" s="1"/>
  <c r="S1619" i="8"/>
  <c r="S780" i="2"/>
  <c r="S1438" i="8" s="1"/>
  <c r="S1256" i="8"/>
  <c r="S1257" i="8" s="1"/>
  <c r="R1624" i="8"/>
  <c r="R573" i="2"/>
  <c r="X428" i="2"/>
  <c r="X548" i="2"/>
  <c r="X488" i="2"/>
  <c r="X608" i="2"/>
  <c r="R1651" i="8"/>
  <c r="R321" i="14"/>
  <c r="R317" i="14"/>
  <c r="S461" i="2"/>
  <c r="R65" i="12"/>
  <c r="R183" i="8"/>
  <c r="R184" i="8" s="1"/>
  <c r="R275" i="8"/>
  <c r="R276" i="8" s="1"/>
  <c r="R97" i="12"/>
  <c r="S637" i="2"/>
  <c r="S799" i="2"/>
  <c r="S1620" i="8" s="1"/>
  <c r="S1344" i="8"/>
  <c r="S1345" i="8" s="1"/>
  <c r="T1622" i="8"/>
  <c r="R1625" i="8"/>
  <c r="R633" i="2"/>
  <c r="R1627" i="8"/>
  <c r="R764" i="2"/>
  <c r="R1268" i="8" s="1"/>
  <c r="R1269" i="8" s="1"/>
  <c r="R758" i="2"/>
  <c r="R660" i="2"/>
  <c r="R755" i="2"/>
  <c r="R768" i="2"/>
  <c r="R1284" i="8" s="1"/>
  <c r="R1285" i="8" s="1"/>
  <c r="R658" i="2"/>
  <c r="R763" i="2"/>
  <c r="R1264" i="8" s="1"/>
  <c r="R1265" i="8" s="1"/>
  <c r="R752" i="2"/>
  <c r="R756" i="2"/>
  <c r="R659" i="2"/>
  <c r="R765" i="2"/>
  <c r="R657" i="2"/>
  <c r="R766" i="2"/>
  <c r="R757" i="2"/>
  <c r="R751" i="2"/>
  <c r="R767" i="2"/>
  <c r="R1280" i="8" s="1"/>
  <c r="R1281" i="8" s="1"/>
  <c r="R762" i="2"/>
  <c r="R754" i="2"/>
  <c r="R769" i="2"/>
  <c r="R753" i="2"/>
  <c r="S581" i="2"/>
  <c r="R89" i="12"/>
  <c r="R255" i="8"/>
  <c r="R256" i="8" s="1"/>
  <c r="S517" i="2"/>
  <c r="R73" i="12"/>
  <c r="R203" i="8"/>
  <c r="R204" i="8" s="1"/>
  <c r="T1624" i="8"/>
  <c r="S578" i="2"/>
  <c r="R86" i="12"/>
  <c r="R243" i="8"/>
  <c r="R244" i="8" s="1"/>
  <c r="R1623" i="8"/>
  <c r="R513" i="2"/>
  <c r="X1652" i="8"/>
  <c r="X314" i="14"/>
  <c r="AD296" i="14"/>
  <c r="AD298" i="14" s="1"/>
  <c r="U1652" i="8"/>
  <c r="U314" i="14"/>
  <c r="R1622" i="8"/>
  <c r="R453" i="2"/>
  <c r="S458" i="2"/>
  <c r="R171" i="8"/>
  <c r="R172" i="8" s="1"/>
  <c r="R62" i="12"/>
  <c r="X432" i="2"/>
  <c r="X492" i="2"/>
  <c r="X552" i="2"/>
  <c r="X612" i="2"/>
  <c r="U551" i="2"/>
  <c r="U491" i="2"/>
  <c r="U611" i="2"/>
  <c r="U431" i="2"/>
  <c r="AE295" i="14"/>
  <c r="AE297" i="14" s="1"/>
  <c r="R85" i="12"/>
  <c r="R239" i="8"/>
  <c r="R240" i="8" s="1"/>
  <c r="S577" i="2"/>
  <c r="S518" i="2"/>
  <c r="R74" i="12"/>
  <c r="R207" i="8"/>
  <c r="R208" i="8" s="1"/>
  <c r="T1651" i="8"/>
  <c r="T317" i="14"/>
  <c r="X549" i="2"/>
  <c r="X489" i="2"/>
  <c r="X609" i="2"/>
  <c r="X429" i="2"/>
  <c r="U492" i="2"/>
  <c r="U552" i="2"/>
  <c r="U432" i="2"/>
  <c r="U612" i="2"/>
  <c r="X431" i="2"/>
  <c r="X611" i="2"/>
  <c r="X551" i="2"/>
  <c r="X491" i="2"/>
  <c r="S521" i="2"/>
  <c r="R219" i="8"/>
  <c r="R220" i="8" s="1"/>
  <c r="R77" i="12"/>
  <c r="R61" i="12"/>
  <c r="S457" i="2"/>
  <c r="R167" i="8"/>
  <c r="R168" i="8" s="1"/>
  <c r="T1623" i="8"/>
  <c r="T1625" i="8"/>
  <c r="S519" i="2"/>
  <c r="R75" i="12"/>
  <c r="R211" i="8"/>
  <c r="R212" i="8" s="1"/>
  <c r="T658" i="2"/>
  <c r="T765" i="2"/>
  <c r="T756" i="2"/>
  <c r="T757" i="2"/>
  <c r="T755" i="2"/>
  <c r="T767" i="2"/>
  <c r="T1280" i="8" s="1"/>
  <c r="T1281" i="8" s="1"/>
  <c r="T660" i="2"/>
  <c r="T752" i="2"/>
  <c r="T766" i="2"/>
  <c r="T751" i="2"/>
  <c r="T764" i="2"/>
  <c r="T1268" i="8" s="1"/>
  <c r="T1269" i="8" s="1"/>
  <c r="T768" i="2"/>
  <c r="T1284" i="8" s="1"/>
  <c r="T1285" i="8" s="1"/>
  <c r="T657" i="2"/>
  <c r="T1627" i="8"/>
  <c r="T758" i="2"/>
  <c r="T762" i="2"/>
  <c r="T763" i="2"/>
  <c r="T1264" i="8" s="1"/>
  <c r="T1265" i="8" s="1"/>
  <c r="T769" i="2"/>
  <c r="T754" i="2"/>
  <c r="T659" i="2"/>
  <c r="T753" i="2"/>
  <c r="R98" i="12"/>
  <c r="R279" i="8"/>
  <c r="R280" i="8" s="1"/>
  <c r="S638" i="2"/>
  <c r="R82" i="12"/>
  <c r="R227" i="8"/>
  <c r="R228" i="8" s="1"/>
  <c r="S574" i="2"/>
  <c r="X139" i="5"/>
  <c r="X648" i="2" s="1"/>
  <c r="X1626" i="8"/>
  <c r="W320" i="14"/>
  <c r="W1656" i="8" s="1"/>
  <c r="W315" i="14"/>
  <c r="W1643" i="8"/>
  <c r="W316" i="14"/>
  <c r="W1653" i="8" s="1"/>
  <c r="W331" i="14"/>
  <c r="W86" i="5" s="1"/>
  <c r="W1650" i="8"/>
  <c r="W332" i="14"/>
  <c r="W87" i="5" s="1"/>
  <c r="W327" i="14"/>
  <c r="W82" i="5" s="1"/>
  <c r="W334" i="14"/>
  <c r="W89" i="5" s="1"/>
  <c r="W330" i="14"/>
  <c r="W85" i="5" s="1"/>
  <c r="W333" i="14"/>
  <c r="W88" i="5" s="1"/>
  <c r="W49" i="10"/>
  <c r="W326" i="14"/>
  <c r="W81" i="5" s="1"/>
  <c r="W328" i="14"/>
  <c r="W83" i="5" s="1"/>
  <c r="W329" i="14"/>
  <c r="W84" i="5" s="1"/>
  <c r="U546" i="2"/>
  <c r="U486" i="2"/>
  <c r="U426" i="2"/>
  <c r="U606" i="2"/>
  <c r="AB300" i="14"/>
  <c r="AB302" i="14" s="1"/>
  <c r="S1296" i="8"/>
  <c r="S1297" i="8" s="1"/>
  <c r="S778" i="2"/>
  <c r="R63" i="12"/>
  <c r="S459" i="2"/>
  <c r="R175" i="8"/>
  <c r="R176" i="8" s="1"/>
  <c r="S635" i="2"/>
  <c r="R95" i="12"/>
  <c r="R267" i="8"/>
  <c r="R268" i="8" s="1"/>
  <c r="R70" i="12"/>
  <c r="S514" i="2"/>
  <c r="R191" i="8"/>
  <c r="R192" i="8" s="1"/>
  <c r="X606" i="2"/>
  <c r="X486" i="2"/>
  <c r="X546" i="2"/>
  <c r="X1520" i="8" s="1"/>
  <c r="X426" i="2"/>
  <c r="Y304" i="14"/>
  <c r="U489" i="2"/>
  <c r="U609" i="2"/>
  <c r="U549" i="2"/>
  <c r="U429" i="2"/>
  <c r="R71" i="12"/>
  <c r="R195" i="8"/>
  <c r="R196" i="8" s="1"/>
  <c r="S515" i="2"/>
  <c r="R94" i="12"/>
  <c r="S634" i="2"/>
  <c r="R263" i="8"/>
  <c r="R264" i="8" s="1"/>
  <c r="X610" i="2"/>
  <c r="X550" i="2"/>
  <c r="X490" i="2"/>
  <c r="X430" i="2"/>
  <c r="Y306" i="14"/>
  <c r="U1626" i="8"/>
  <c r="U139" i="5"/>
  <c r="U648" i="2" s="1"/>
  <c r="S641" i="2"/>
  <c r="R291" i="8"/>
  <c r="R292" i="8" s="1"/>
  <c r="R101" i="12"/>
  <c r="S520" i="2"/>
  <c r="R76" i="12"/>
  <c r="R215" i="8"/>
  <c r="R216" i="8" s="1"/>
  <c r="R287" i="8"/>
  <c r="R288" i="8" s="1"/>
  <c r="S640" i="2"/>
  <c r="R100" i="12"/>
  <c r="S636" i="2"/>
  <c r="R96" i="12"/>
  <c r="R271" i="8"/>
  <c r="R272" i="8" s="1"/>
  <c r="R59" i="12"/>
  <c r="S455" i="2"/>
  <c r="R159" i="8"/>
  <c r="R160" i="8" s="1"/>
  <c r="S454" i="2"/>
  <c r="R58" i="12"/>
  <c r="R155" i="8"/>
  <c r="R156" i="8" s="1"/>
  <c r="X614" i="2"/>
  <c r="X434" i="2"/>
  <c r="X554" i="2"/>
  <c r="X494" i="2"/>
  <c r="AC296" i="14"/>
  <c r="U550" i="2"/>
  <c r="U430" i="2"/>
  <c r="U610" i="2"/>
  <c r="U490" i="2"/>
  <c r="R179" i="8"/>
  <c r="R180" i="8" s="1"/>
  <c r="S460" i="2"/>
  <c r="R64" i="12"/>
  <c r="V320" i="14"/>
  <c r="V1656" i="8" s="1"/>
  <c r="V327" i="14"/>
  <c r="V82" i="5" s="1"/>
  <c r="V329" i="14"/>
  <c r="V84" i="5" s="1"/>
  <c r="V1643" i="8"/>
  <c r="V334" i="14"/>
  <c r="V89" i="5" s="1"/>
  <c r="V333" i="14"/>
  <c r="V88" i="5" s="1"/>
  <c r="V326" i="14"/>
  <c r="V81" i="5" s="1"/>
  <c r="V330" i="14"/>
  <c r="V85" i="5" s="1"/>
  <c r="V332" i="14"/>
  <c r="V87" i="5" s="1"/>
  <c r="V316" i="14"/>
  <c r="V1653" i="8" s="1"/>
  <c r="V331" i="14"/>
  <c r="V86" i="5" s="1"/>
  <c r="V1650" i="8"/>
  <c r="V315" i="14"/>
  <c r="V49" i="10"/>
  <c r="V328" i="14"/>
  <c r="V83" i="5" s="1"/>
  <c r="R231" i="8"/>
  <c r="R232" i="8" s="1"/>
  <c r="R83" i="12"/>
  <c r="S575" i="2"/>
  <c r="X553" i="2"/>
  <c r="X613" i="2"/>
  <c r="X433" i="2"/>
  <c r="X493" i="2"/>
  <c r="AC298" i="14"/>
  <c r="U434" i="2"/>
  <c r="U554" i="2"/>
  <c r="U494" i="2"/>
  <c r="U614" i="2"/>
  <c r="U613" i="2"/>
  <c r="U493" i="2"/>
  <c r="U433" i="2"/>
  <c r="U553" i="2"/>
  <c r="R251" i="8"/>
  <c r="R252" i="8" s="1"/>
  <c r="S580" i="2"/>
  <c r="R88" i="12"/>
  <c r="S516" i="2"/>
  <c r="R72" i="12"/>
  <c r="R199" i="8"/>
  <c r="R200" i="8" s="1"/>
  <c r="X487" i="2"/>
  <c r="X607" i="2"/>
  <c r="X427" i="2"/>
  <c r="X547" i="2"/>
  <c r="U487" i="2"/>
  <c r="U607" i="2"/>
  <c r="U427" i="2"/>
  <c r="U547" i="2"/>
  <c r="R99" i="12"/>
  <c r="R283" i="8"/>
  <c r="R284" i="8" s="1"/>
  <c r="S639" i="2"/>
  <c r="R87" i="12"/>
  <c r="S579" i="2"/>
  <c r="R247" i="8"/>
  <c r="R248" i="8" s="1"/>
  <c r="R84" i="12"/>
  <c r="R235" i="8"/>
  <c r="R236" i="8" s="1"/>
  <c r="S576" i="2"/>
  <c r="S789" i="2"/>
  <c r="S1340" i="8" s="1"/>
  <c r="S1320" i="8"/>
  <c r="S1321" i="8" s="1"/>
  <c r="S456" i="2"/>
  <c r="R60" i="12"/>
  <c r="R163" i="8"/>
  <c r="R164" i="8" s="1"/>
  <c r="U428" i="2"/>
  <c r="U608" i="2"/>
  <c r="U488" i="2"/>
  <c r="U548" i="2"/>
  <c r="X1518" i="8" l="1"/>
  <c r="X1519" i="8"/>
  <c r="U1521" i="8"/>
  <c r="X1521" i="8"/>
  <c r="U1518" i="8"/>
  <c r="U1519" i="8"/>
  <c r="U1520" i="8"/>
  <c r="AE296" i="14"/>
  <c r="AD299" i="14"/>
  <c r="AD301" i="14" s="1"/>
  <c r="AB303" i="14"/>
  <c r="AB305" i="14" s="1"/>
  <c r="Y307" i="14"/>
  <c r="Y309" i="14" s="1"/>
  <c r="S633" i="2"/>
  <c r="R93" i="12"/>
  <c r="R259" i="8"/>
  <c r="R260" i="8" s="1"/>
  <c r="R642" i="2"/>
  <c r="X1624" i="8"/>
  <c r="W612" i="2"/>
  <c r="W432" i="2"/>
  <c r="W492" i="2"/>
  <c r="W552" i="2"/>
  <c r="T792" i="2"/>
  <c r="T1348" i="8" s="1"/>
  <c r="T1349" i="8" s="1"/>
  <c r="T1228" i="8"/>
  <c r="T1229" i="8" s="1"/>
  <c r="T457" i="2"/>
  <c r="S61" i="12"/>
  <c r="S167" i="8"/>
  <c r="S168" i="8" s="1"/>
  <c r="S203" i="8"/>
  <c r="S204" i="8" s="1"/>
  <c r="T517" i="2"/>
  <c r="S73" i="12"/>
  <c r="T519" i="2"/>
  <c r="S75" i="12"/>
  <c r="S211" i="8"/>
  <c r="S212" i="8" s="1"/>
  <c r="S243" i="8"/>
  <c r="S244" i="8" s="1"/>
  <c r="S86" i="12"/>
  <c r="T578" i="2"/>
  <c r="W610" i="2"/>
  <c r="W490" i="2"/>
  <c r="W430" i="2"/>
  <c r="W550" i="2"/>
  <c r="S1316" i="8"/>
  <c r="S1317" i="8" s="1"/>
  <c r="S779" i="2"/>
  <c r="S1640" i="8" s="1"/>
  <c r="X1622" i="8"/>
  <c r="W547" i="2"/>
  <c r="W487" i="2"/>
  <c r="W607" i="2"/>
  <c r="W427" i="2"/>
  <c r="S99" i="12"/>
  <c r="T639" i="2"/>
  <c r="S283" i="8"/>
  <c r="S284" i="8" s="1"/>
  <c r="V493" i="2"/>
  <c r="V553" i="2"/>
  <c r="V613" i="2"/>
  <c r="V433" i="2"/>
  <c r="S287" i="8"/>
  <c r="S288" i="8" s="1"/>
  <c r="S100" i="12"/>
  <c r="T640" i="2"/>
  <c r="X1623" i="8"/>
  <c r="U1625" i="8"/>
  <c r="T793" i="2"/>
  <c r="T1352" i="8" s="1"/>
  <c r="T1353" i="8" s="1"/>
  <c r="T1232" i="8"/>
  <c r="T1233" i="8" s="1"/>
  <c r="U321" i="14"/>
  <c r="U1651" i="8"/>
  <c r="U317" i="14"/>
  <c r="R1244" i="8"/>
  <c r="R1245" i="8" s="1"/>
  <c r="R796" i="2"/>
  <c r="R1364" i="8" s="1"/>
  <c r="R1365" i="8" s="1"/>
  <c r="S276" i="13"/>
  <c r="S278" i="13" s="1"/>
  <c r="S1642" i="8" s="1"/>
  <c r="S1664" i="8"/>
  <c r="S322" i="14"/>
  <c r="S323" i="14" s="1"/>
  <c r="S1657" i="8" s="1"/>
  <c r="S1376" i="8"/>
  <c r="S1377" i="8" s="1"/>
  <c r="S1436" i="8"/>
  <c r="S1435" i="8"/>
  <c r="R223" i="8"/>
  <c r="R224" i="8" s="1"/>
  <c r="R582" i="2"/>
  <c r="R81" i="12"/>
  <c r="S573" i="2"/>
  <c r="R792" i="2"/>
  <c r="R1348" i="8" s="1"/>
  <c r="R1349" i="8" s="1"/>
  <c r="R1228" i="8"/>
  <c r="R1229" i="8" s="1"/>
  <c r="T637" i="2"/>
  <c r="S275" i="8"/>
  <c r="S276" i="8" s="1"/>
  <c r="S97" i="12"/>
  <c r="T636" i="2"/>
  <c r="S271" i="8"/>
  <c r="S272" i="8" s="1"/>
  <c r="S96" i="12"/>
  <c r="R1272" i="8"/>
  <c r="R1273" i="8" s="1"/>
  <c r="R788" i="2"/>
  <c r="R1336" i="8" s="1"/>
  <c r="R1337" i="8" s="1"/>
  <c r="V494" i="2"/>
  <c r="V554" i="2"/>
  <c r="V614" i="2"/>
  <c r="V434" i="2"/>
  <c r="X1625" i="8"/>
  <c r="T634" i="2"/>
  <c r="S94" i="12"/>
  <c r="S263" i="8"/>
  <c r="S264" i="8" s="1"/>
  <c r="U1623" i="8"/>
  <c r="T794" i="2"/>
  <c r="T1356" i="8" s="1"/>
  <c r="T1357" i="8" s="1"/>
  <c r="T777" i="2"/>
  <c r="T1312" i="8" s="1"/>
  <c r="T1313" i="8" s="1"/>
  <c r="T1236" i="8"/>
  <c r="T1237" i="8" s="1"/>
  <c r="T773" i="2"/>
  <c r="T795" i="2"/>
  <c r="T1360" i="8" s="1"/>
  <c r="T1361" i="8" s="1"/>
  <c r="T1240" i="8"/>
  <c r="T1241" i="8" s="1"/>
  <c r="T319" i="14"/>
  <c r="T1655" i="8" s="1"/>
  <c r="T1654" i="8"/>
  <c r="T318" i="14"/>
  <c r="T1618" i="8" s="1"/>
  <c r="T581" i="2"/>
  <c r="S89" i="12"/>
  <c r="S255" i="8"/>
  <c r="S256" i="8" s="1"/>
  <c r="W433" i="2"/>
  <c r="W553" i="2"/>
  <c r="W613" i="2"/>
  <c r="W493" i="2"/>
  <c r="R1276" i="8"/>
  <c r="R1277" i="8" s="1"/>
  <c r="R784" i="2"/>
  <c r="W434" i="2"/>
  <c r="W554" i="2"/>
  <c r="W494" i="2"/>
  <c r="W614" i="2"/>
  <c r="T774" i="2"/>
  <c r="T1300" i="8" s="1"/>
  <c r="T1301" i="8" s="1"/>
  <c r="T781" i="2"/>
  <c r="T1224" i="8"/>
  <c r="T1225" i="8" s="1"/>
  <c r="T791" i="2"/>
  <c r="T759" i="2"/>
  <c r="T1276" i="8"/>
  <c r="T1277" i="8" s="1"/>
  <c r="T784" i="2"/>
  <c r="W491" i="2"/>
  <c r="W611" i="2"/>
  <c r="W551" i="2"/>
  <c r="W431" i="2"/>
  <c r="V429" i="2"/>
  <c r="V489" i="2"/>
  <c r="V609" i="2"/>
  <c r="V549" i="2"/>
  <c r="T514" i="2"/>
  <c r="S70" i="12"/>
  <c r="S191" i="8"/>
  <c r="S192" i="8" s="1"/>
  <c r="U1624" i="8"/>
  <c r="T1288" i="8"/>
  <c r="T1289" i="8" s="1"/>
  <c r="T786" i="2"/>
  <c r="T1328" i="8" s="1"/>
  <c r="T1329" i="8" s="1"/>
  <c r="T797" i="2"/>
  <c r="T1368" i="8" s="1"/>
  <c r="T1369" i="8" s="1"/>
  <c r="T1248" i="8"/>
  <c r="T1249" i="8" s="1"/>
  <c r="S77" i="12"/>
  <c r="S219" i="8"/>
  <c r="S220" i="8" s="1"/>
  <c r="T521" i="2"/>
  <c r="T321" i="14"/>
  <c r="X1651" i="8"/>
  <c r="X317" i="14"/>
  <c r="R1232" i="8"/>
  <c r="R1233" i="8" s="1"/>
  <c r="R793" i="2"/>
  <c r="R1352" i="8" s="1"/>
  <c r="R1353" i="8" s="1"/>
  <c r="AE298" i="14"/>
  <c r="S83" i="12"/>
  <c r="S231" i="8"/>
  <c r="S232" i="8" s="1"/>
  <c r="T575" i="2"/>
  <c r="U1622" i="8"/>
  <c r="T456" i="2"/>
  <c r="S60" i="12"/>
  <c r="S163" i="8"/>
  <c r="S164" i="8" s="1"/>
  <c r="V547" i="2"/>
  <c r="V427" i="2"/>
  <c r="V487" i="2"/>
  <c r="V607" i="2"/>
  <c r="T520" i="2"/>
  <c r="S76" i="12"/>
  <c r="S215" i="8"/>
  <c r="S216" i="8" s="1"/>
  <c r="S71" i="12"/>
  <c r="T515" i="2"/>
  <c r="S195" i="8"/>
  <c r="S196" i="8" s="1"/>
  <c r="W1652" i="8"/>
  <c r="W314" i="14"/>
  <c r="T1244" i="8"/>
  <c r="T1245" i="8" s="1"/>
  <c r="T796" i="2"/>
  <c r="T1364" i="8" s="1"/>
  <c r="T1365" i="8" s="1"/>
  <c r="R786" i="2"/>
  <c r="R1328" i="8" s="1"/>
  <c r="R1329" i="8" s="1"/>
  <c r="R1288" i="8"/>
  <c r="R1289" i="8" s="1"/>
  <c r="V431" i="2"/>
  <c r="V611" i="2"/>
  <c r="V491" i="2"/>
  <c r="V551" i="2"/>
  <c r="S247" i="8"/>
  <c r="S248" i="8" s="1"/>
  <c r="S87" i="12"/>
  <c r="T579" i="2"/>
  <c r="T580" i="2"/>
  <c r="S88" i="12"/>
  <c r="S251" i="8"/>
  <c r="S252" i="8" s="1"/>
  <c r="V608" i="2"/>
  <c r="V548" i="2"/>
  <c r="V428" i="2"/>
  <c r="V488" i="2"/>
  <c r="W549" i="2"/>
  <c r="W489" i="2"/>
  <c r="W609" i="2"/>
  <c r="W429" i="2"/>
  <c r="T785" i="2"/>
  <c r="T1324" i="8" s="1"/>
  <c r="T1325" i="8" s="1"/>
  <c r="T770" i="2"/>
  <c r="T1292" i="8" s="1"/>
  <c r="T1293" i="8" s="1"/>
  <c r="T782" i="2"/>
  <c r="T1260" i="8"/>
  <c r="T1261" i="8" s="1"/>
  <c r="T788" i="2"/>
  <c r="T1336" i="8" s="1"/>
  <c r="T1337" i="8" s="1"/>
  <c r="T1272" i="8"/>
  <c r="T1273" i="8" s="1"/>
  <c r="S513" i="2"/>
  <c r="R69" i="12"/>
  <c r="R187" i="8"/>
  <c r="R188" i="8" s="1"/>
  <c r="R522" i="2"/>
  <c r="R1236" i="8"/>
  <c r="R1237" i="8" s="1"/>
  <c r="R794" i="2"/>
  <c r="R1356" i="8" s="1"/>
  <c r="R1357" i="8" s="1"/>
  <c r="R777" i="2"/>
  <c r="R1312" i="8" s="1"/>
  <c r="R1313" i="8" s="1"/>
  <c r="R1240" i="8"/>
  <c r="R1241" i="8" s="1"/>
  <c r="R795" i="2"/>
  <c r="R1360" i="8" s="1"/>
  <c r="R1361" i="8" s="1"/>
  <c r="R773" i="2"/>
  <c r="AA300" i="14"/>
  <c r="AA302" i="14" s="1"/>
  <c r="S279" i="8"/>
  <c r="S280" i="8" s="1"/>
  <c r="S98" i="12"/>
  <c r="T638" i="2"/>
  <c r="V610" i="2"/>
  <c r="V550" i="2"/>
  <c r="V430" i="2"/>
  <c r="V490" i="2"/>
  <c r="S453" i="2"/>
  <c r="R57" i="12"/>
  <c r="R462" i="2"/>
  <c r="R151" i="8"/>
  <c r="R152" i="8" s="1"/>
  <c r="V1626" i="8"/>
  <c r="V139" i="5"/>
  <c r="V648" i="2" s="1"/>
  <c r="T454" i="2"/>
  <c r="S58" i="12"/>
  <c r="S155" i="8"/>
  <c r="S156" i="8" s="1"/>
  <c r="W428" i="2"/>
  <c r="W548" i="2"/>
  <c r="W488" i="2"/>
  <c r="W608" i="2"/>
  <c r="T775" i="2"/>
  <c r="T1304" i="8" s="1"/>
  <c r="T1305" i="8" s="1"/>
  <c r="T1252" i="8"/>
  <c r="T1253" i="8" s="1"/>
  <c r="T798" i="2"/>
  <c r="T1372" i="8" s="1"/>
  <c r="T1373" i="8" s="1"/>
  <c r="R1260" i="8"/>
  <c r="R1261" i="8" s="1"/>
  <c r="R770" i="2"/>
  <c r="R1292" i="8" s="1"/>
  <c r="R1293" i="8" s="1"/>
  <c r="R782" i="2"/>
  <c r="R785" i="2"/>
  <c r="R1324" i="8" s="1"/>
  <c r="R1325" i="8" s="1"/>
  <c r="S183" i="8"/>
  <c r="S184" i="8" s="1"/>
  <c r="T461" i="2"/>
  <c r="S65" i="12"/>
  <c r="V492" i="2"/>
  <c r="V552" i="2"/>
  <c r="V432" i="2"/>
  <c r="V612" i="2"/>
  <c r="V606" i="2"/>
  <c r="V426" i="2"/>
  <c r="V546" i="2"/>
  <c r="V486" i="2"/>
  <c r="S84" i="12"/>
  <c r="S235" i="8"/>
  <c r="S236" i="8" s="1"/>
  <c r="T576" i="2"/>
  <c r="V1652" i="8"/>
  <c r="V314" i="14"/>
  <c r="S64" i="12"/>
  <c r="S179" i="8"/>
  <c r="S180" i="8" s="1"/>
  <c r="T460" i="2"/>
  <c r="S101" i="12"/>
  <c r="T641" i="2"/>
  <c r="S291" i="8"/>
  <c r="S292" i="8" s="1"/>
  <c r="S95" i="12"/>
  <c r="S267" i="8"/>
  <c r="S268" i="8" s="1"/>
  <c r="T635" i="2"/>
  <c r="W546" i="2"/>
  <c r="W606" i="2"/>
  <c r="W486" i="2"/>
  <c r="W426" i="2"/>
  <c r="X659" i="2"/>
  <c r="X765" i="2"/>
  <c r="X753" i="2"/>
  <c r="X766" i="2"/>
  <c r="X660" i="2"/>
  <c r="X752" i="2"/>
  <c r="X658" i="2"/>
  <c r="X767" i="2"/>
  <c r="X1280" i="8" s="1"/>
  <c r="X1281" i="8" s="1"/>
  <c r="X757" i="2"/>
  <c r="X756" i="2"/>
  <c r="X751" i="2"/>
  <c r="X768" i="2"/>
  <c r="X1284" i="8" s="1"/>
  <c r="X1285" i="8" s="1"/>
  <c r="X758" i="2"/>
  <c r="X755" i="2"/>
  <c r="X769" i="2"/>
  <c r="X763" i="2"/>
  <c r="X1264" i="8" s="1"/>
  <c r="X1265" i="8" s="1"/>
  <c r="X657" i="2"/>
  <c r="X762" i="2"/>
  <c r="X754" i="2"/>
  <c r="X764" i="2"/>
  <c r="X1268" i="8" s="1"/>
  <c r="X1269" i="8" s="1"/>
  <c r="X1627" i="8"/>
  <c r="T518" i="2"/>
  <c r="S207" i="8"/>
  <c r="S208" i="8" s="1"/>
  <c r="S74" i="12"/>
  <c r="R775" i="2"/>
  <c r="R1304" i="8" s="1"/>
  <c r="R1305" i="8" s="1"/>
  <c r="R798" i="2"/>
  <c r="R1372" i="8" s="1"/>
  <c r="R1373" i="8" s="1"/>
  <c r="R1252" i="8"/>
  <c r="R1253" i="8" s="1"/>
  <c r="R318" i="14"/>
  <c r="R1618" i="8" s="1"/>
  <c r="R1654" i="8"/>
  <c r="R319" i="14"/>
  <c r="R1655" i="8" s="1"/>
  <c r="Z308" i="14"/>
  <c r="S63" i="12"/>
  <c r="S175" i="8"/>
  <c r="S176" i="8" s="1"/>
  <c r="T459" i="2"/>
  <c r="R797" i="2"/>
  <c r="R1368" i="8" s="1"/>
  <c r="R1369" i="8" s="1"/>
  <c r="R1248" i="8"/>
  <c r="R1249" i="8" s="1"/>
  <c r="AC299" i="14"/>
  <c r="AC301" i="14" s="1"/>
  <c r="S171" i="8"/>
  <c r="S172" i="8" s="1"/>
  <c r="T458" i="2"/>
  <c r="S62" i="12"/>
  <c r="S199" i="8"/>
  <c r="S200" i="8" s="1"/>
  <c r="S72" i="12"/>
  <c r="T516" i="2"/>
  <c r="S159" i="8"/>
  <c r="S160" i="8" s="1"/>
  <c r="T455" i="2"/>
  <c r="S59" i="12"/>
  <c r="U755" i="2"/>
  <c r="U767" i="2"/>
  <c r="U1280" i="8" s="1"/>
  <c r="U1281" i="8" s="1"/>
  <c r="U766" i="2"/>
  <c r="U657" i="2"/>
  <c r="U762" i="2"/>
  <c r="U764" i="2"/>
  <c r="U1268" i="8" s="1"/>
  <c r="U1269" i="8" s="1"/>
  <c r="U1627" i="8"/>
  <c r="U754" i="2"/>
  <c r="U763" i="2"/>
  <c r="U1264" i="8" s="1"/>
  <c r="U1265" i="8" s="1"/>
  <c r="U659" i="2"/>
  <c r="U658" i="2"/>
  <c r="U769" i="2"/>
  <c r="U753" i="2"/>
  <c r="U758" i="2"/>
  <c r="U752" i="2"/>
  <c r="U751" i="2"/>
  <c r="U660" i="2"/>
  <c r="U757" i="2"/>
  <c r="U768" i="2"/>
  <c r="U1284" i="8" s="1"/>
  <c r="U1285" i="8" s="1"/>
  <c r="U765" i="2"/>
  <c r="U756" i="2"/>
  <c r="W139" i="5"/>
  <c r="W648" i="2" s="1"/>
  <c r="W1626" i="8"/>
  <c r="S82" i="12"/>
  <c r="T574" i="2"/>
  <c r="S227" i="8"/>
  <c r="S228" i="8" s="1"/>
  <c r="T577" i="2"/>
  <c r="S239" i="8"/>
  <c r="S240" i="8" s="1"/>
  <c r="S85" i="12"/>
  <c r="R1224" i="8"/>
  <c r="R1225" i="8" s="1"/>
  <c r="R759" i="2"/>
  <c r="R774" i="2"/>
  <c r="R1300" i="8" s="1"/>
  <c r="R1301" i="8" s="1"/>
  <c r="R781" i="2"/>
  <c r="R791" i="2"/>
  <c r="Z310" i="14"/>
  <c r="Z313" i="14" s="1"/>
  <c r="W1518" i="8" l="1"/>
  <c r="R1635" i="8"/>
  <c r="R1529" i="8"/>
  <c r="W1519" i="8"/>
  <c r="W1520" i="8"/>
  <c r="V1519" i="8"/>
  <c r="R1526" i="8"/>
  <c r="R1632" i="8"/>
  <c r="V1520" i="8"/>
  <c r="V1622" i="8"/>
  <c r="V1518" i="8"/>
  <c r="W1521" i="8"/>
  <c r="V1521" i="8"/>
  <c r="R1527" i="8"/>
  <c r="R1633" i="8"/>
  <c r="R1634" i="8"/>
  <c r="R1528" i="8"/>
  <c r="AA303" i="14"/>
  <c r="AA305" i="14" s="1"/>
  <c r="R66" i="12"/>
  <c r="R1487" i="8"/>
  <c r="U1224" i="8"/>
  <c r="U1225" i="8" s="1"/>
  <c r="U791" i="2"/>
  <c r="U759" i="2"/>
  <c r="U774" i="2"/>
  <c r="U1300" i="8" s="1"/>
  <c r="U1301" i="8" s="1"/>
  <c r="U781" i="2"/>
  <c r="S151" i="8"/>
  <c r="S152" i="8" s="1"/>
  <c r="S462" i="2"/>
  <c r="S57" i="12"/>
  <c r="T453" i="2"/>
  <c r="X1260" i="8"/>
  <c r="X1261" i="8" s="1"/>
  <c r="X770" i="2"/>
  <c r="X1292" i="8" s="1"/>
  <c r="X1293" i="8" s="1"/>
  <c r="X782" i="2"/>
  <c r="X785" i="2"/>
  <c r="X1324" i="8" s="1"/>
  <c r="X1325" i="8" s="1"/>
  <c r="X1276" i="8"/>
  <c r="X1277" i="8" s="1"/>
  <c r="X784" i="2"/>
  <c r="U460" i="2"/>
  <c r="T179" i="8"/>
  <c r="T180" i="8" s="1"/>
  <c r="T64" i="12"/>
  <c r="R78" i="12"/>
  <c r="R1471" i="8" s="1"/>
  <c r="R1488" i="8"/>
  <c r="U521" i="2"/>
  <c r="T77" i="12"/>
  <c r="T219" i="8"/>
  <c r="T220" i="8" s="1"/>
  <c r="T75" i="12"/>
  <c r="T211" i="8"/>
  <c r="T212" i="8" s="1"/>
  <c r="U519" i="2"/>
  <c r="R1647" i="8"/>
  <c r="R1661" i="8"/>
  <c r="R1537" i="8"/>
  <c r="U1276" i="8"/>
  <c r="U1277" i="8" s="1"/>
  <c r="U784" i="2"/>
  <c r="U639" i="2"/>
  <c r="T283" i="8"/>
  <c r="T284" i="8" s="1"/>
  <c r="T99" i="12"/>
  <c r="U455" i="2"/>
  <c r="T159" i="8"/>
  <c r="T160" i="8" s="1"/>
  <c r="T59" i="12"/>
  <c r="U456" i="2"/>
  <c r="T60" i="12"/>
  <c r="T163" i="8"/>
  <c r="T164" i="8" s="1"/>
  <c r="R789" i="2"/>
  <c r="R1340" i="8" s="1"/>
  <c r="R1320" i="8"/>
  <c r="R1321" i="8" s="1"/>
  <c r="T778" i="2"/>
  <c r="T1296" i="8"/>
  <c r="T1297" i="8" s="1"/>
  <c r="U640" i="2"/>
  <c r="T287" i="8"/>
  <c r="T288" i="8" s="1"/>
  <c r="T100" i="12"/>
  <c r="T203" i="8"/>
  <c r="T204" i="8" s="1"/>
  <c r="U517" i="2"/>
  <c r="T73" i="12"/>
  <c r="R1490" i="8"/>
  <c r="R102" i="12"/>
  <c r="R1473" i="8" s="1"/>
  <c r="T74" i="12"/>
  <c r="T207" i="8"/>
  <c r="T208" i="8" s="1"/>
  <c r="U518" i="2"/>
  <c r="X1654" i="8"/>
  <c r="X318" i="14"/>
  <c r="X1618" i="8" s="1"/>
  <c r="X319" i="14"/>
  <c r="X1655" i="8" s="1"/>
  <c r="U775" i="2"/>
  <c r="U1304" i="8" s="1"/>
  <c r="U1305" i="8" s="1"/>
  <c r="U1252" i="8"/>
  <c r="U1253" i="8" s="1"/>
  <c r="U798" i="2"/>
  <c r="U1372" i="8" s="1"/>
  <c r="U1373" i="8" s="1"/>
  <c r="X1236" i="8"/>
  <c r="X1237" i="8" s="1"/>
  <c r="X794" i="2"/>
  <c r="X1356" i="8" s="1"/>
  <c r="X1357" i="8" s="1"/>
  <c r="X777" i="2"/>
  <c r="X1312" i="8" s="1"/>
  <c r="X1313" i="8" s="1"/>
  <c r="R1646" i="8"/>
  <c r="R1660" i="8"/>
  <c r="R1536" i="8"/>
  <c r="U1232" i="8"/>
  <c r="U1233" i="8" s="1"/>
  <c r="U793" i="2"/>
  <c r="U1352" i="8" s="1"/>
  <c r="U1353" i="8" s="1"/>
  <c r="S69" i="12"/>
  <c r="T513" i="2"/>
  <c r="S187" i="8"/>
  <c r="S188" i="8" s="1"/>
  <c r="S522" i="2"/>
  <c r="T227" i="8"/>
  <c r="T228" i="8" s="1"/>
  <c r="T82" i="12"/>
  <c r="U574" i="2"/>
  <c r="U516" i="2"/>
  <c r="T199" i="8"/>
  <c r="T200" i="8" s="1"/>
  <c r="T72" i="12"/>
  <c r="T279" i="8"/>
  <c r="T280" i="8" s="1"/>
  <c r="U638" i="2"/>
  <c r="T98" i="12"/>
  <c r="W1651" i="8"/>
  <c r="W317" i="14"/>
  <c r="S1648" i="8"/>
  <c r="S1437" i="8"/>
  <c r="S1448" i="8"/>
  <c r="S1663" i="8"/>
  <c r="T633" i="2"/>
  <c r="S93" i="12"/>
  <c r="S259" i="8"/>
  <c r="S260" i="8" s="1"/>
  <c r="S642" i="2"/>
  <c r="X321" i="14"/>
  <c r="T63" i="12"/>
  <c r="T175" i="8"/>
  <c r="T176" i="8" s="1"/>
  <c r="U459" i="2"/>
  <c r="R1645" i="8"/>
  <c r="R1659" i="8"/>
  <c r="R1535" i="8"/>
  <c r="T239" i="8"/>
  <c r="T240" i="8" s="1"/>
  <c r="T85" i="12"/>
  <c r="U577" i="2"/>
  <c r="U786" i="2"/>
  <c r="U1328" i="8" s="1"/>
  <c r="U1329" i="8" s="1"/>
  <c r="U1288" i="8"/>
  <c r="U1289" i="8" s="1"/>
  <c r="X1232" i="8"/>
  <c r="X1233" i="8" s="1"/>
  <c r="X793" i="2"/>
  <c r="X1352" i="8" s="1"/>
  <c r="X1353" i="8" s="1"/>
  <c r="X1272" i="8"/>
  <c r="X1273" i="8" s="1"/>
  <c r="X788" i="2"/>
  <c r="X1336" i="8" s="1"/>
  <c r="X1337" i="8" s="1"/>
  <c r="X786" i="2"/>
  <c r="X1328" i="8" s="1"/>
  <c r="X1329" i="8" s="1"/>
  <c r="X1288" i="8"/>
  <c r="X1289" i="8" s="1"/>
  <c r="V321" i="14"/>
  <c r="V1651" i="8"/>
  <c r="V317" i="14"/>
  <c r="X1240" i="8"/>
  <c r="X1241" i="8" s="1"/>
  <c r="X773" i="2"/>
  <c r="X795" i="2"/>
  <c r="X1360" i="8" s="1"/>
  <c r="X1361" i="8" s="1"/>
  <c r="W1622" i="8"/>
  <c r="U461" i="2"/>
  <c r="T183" i="8"/>
  <c r="T184" i="8" s="1"/>
  <c r="T65" i="12"/>
  <c r="U580" i="2"/>
  <c r="T88" i="12"/>
  <c r="T251" i="8"/>
  <c r="T252" i="8" s="1"/>
  <c r="T231" i="8"/>
  <c r="T232" i="8" s="1"/>
  <c r="U575" i="2"/>
  <c r="T83" i="12"/>
  <c r="Y308" i="14"/>
  <c r="S81" i="12"/>
  <c r="S582" i="2"/>
  <c r="S223" i="8"/>
  <c r="S224" i="8" s="1"/>
  <c r="T573" i="2"/>
  <c r="T291" i="8"/>
  <c r="T292" i="8" s="1"/>
  <c r="T101" i="12"/>
  <c r="U641" i="2"/>
  <c r="R90" i="12"/>
  <c r="R1472" i="8" s="1"/>
  <c r="R1489" i="8"/>
  <c r="U1236" i="8"/>
  <c r="U1237" i="8" s="1"/>
  <c r="U777" i="2"/>
  <c r="U1312" i="8" s="1"/>
  <c r="U1313" i="8" s="1"/>
  <c r="U794" i="2"/>
  <c r="U1356" i="8" s="1"/>
  <c r="U1357" i="8" s="1"/>
  <c r="X775" i="2"/>
  <c r="X1304" i="8" s="1"/>
  <c r="X1305" i="8" s="1"/>
  <c r="X798" i="2"/>
  <c r="X1372" i="8" s="1"/>
  <c r="X1373" i="8" s="1"/>
  <c r="X1252" i="8"/>
  <c r="X1253" i="8" s="1"/>
  <c r="T155" i="8"/>
  <c r="T156" i="8" s="1"/>
  <c r="U454" i="2"/>
  <c r="T58" i="12"/>
  <c r="T87" i="12"/>
  <c r="U579" i="2"/>
  <c r="T247" i="8"/>
  <c r="T248" i="8" s="1"/>
  <c r="T195" i="8"/>
  <c r="T196" i="8" s="1"/>
  <c r="T71" i="12"/>
  <c r="U515" i="2"/>
  <c r="T1320" i="8"/>
  <c r="T1321" i="8" s="1"/>
  <c r="T789" i="2"/>
  <c r="T1340" i="8" s="1"/>
  <c r="T271" i="8"/>
  <c r="T272" i="8" s="1"/>
  <c r="U636" i="2"/>
  <c r="T96" i="12"/>
  <c r="Y310" i="14"/>
  <c r="Y313" i="14" s="1"/>
  <c r="X792" i="2"/>
  <c r="X1348" i="8" s="1"/>
  <c r="X1349" i="8" s="1"/>
  <c r="X1228" i="8"/>
  <c r="X1229" i="8" s="1"/>
  <c r="W769" i="2"/>
  <c r="W754" i="2"/>
  <c r="W768" i="2"/>
  <c r="W1284" i="8" s="1"/>
  <c r="W1285" i="8" s="1"/>
  <c r="W660" i="2"/>
  <c r="W763" i="2"/>
  <c r="W1264" i="8" s="1"/>
  <c r="W1265" i="8" s="1"/>
  <c r="W765" i="2"/>
  <c r="W755" i="2"/>
  <c r="W758" i="2"/>
  <c r="W764" i="2"/>
  <c r="W1268" i="8" s="1"/>
  <c r="W1269" i="8" s="1"/>
  <c r="W751" i="2"/>
  <c r="W762" i="2"/>
  <c r="W756" i="2"/>
  <c r="W757" i="2"/>
  <c r="W659" i="2"/>
  <c r="W658" i="2"/>
  <c r="W767" i="2"/>
  <c r="W1280" i="8" s="1"/>
  <c r="W1281" i="8" s="1"/>
  <c r="W766" i="2"/>
  <c r="W753" i="2"/>
  <c r="W657" i="2"/>
  <c r="W1627" i="8"/>
  <c r="W752" i="2"/>
  <c r="Z334" i="14"/>
  <c r="Z89" i="5" s="1"/>
  <c r="Z332" i="14"/>
  <c r="Z87" i="5" s="1"/>
  <c r="Z328" i="14"/>
  <c r="Z83" i="5" s="1"/>
  <c r="Z1643" i="8"/>
  <c r="Z330" i="14"/>
  <c r="Z85" i="5" s="1"/>
  <c r="Z326" i="14"/>
  <c r="Z81" i="5" s="1"/>
  <c r="Z329" i="14"/>
  <c r="Z84" i="5" s="1"/>
  <c r="Z1650" i="8"/>
  <c r="Z320" i="14"/>
  <c r="Z1656" i="8" s="1"/>
  <c r="Z49" i="10"/>
  <c r="Z331" i="14"/>
  <c r="Z86" i="5" s="1"/>
  <c r="Z327" i="14"/>
  <c r="Z82" i="5" s="1"/>
  <c r="Z333" i="14"/>
  <c r="Z88" i="5" s="1"/>
  <c r="Z316" i="14"/>
  <c r="Z1653" i="8" s="1"/>
  <c r="Z315" i="14"/>
  <c r="T62" i="12"/>
  <c r="U458" i="2"/>
  <c r="T171" i="8"/>
  <c r="T172" i="8" s="1"/>
  <c r="W1625" i="8"/>
  <c r="V658" i="2"/>
  <c r="V755" i="2"/>
  <c r="V756" i="2"/>
  <c r="V657" i="2"/>
  <c r="V767" i="2"/>
  <c r="V1280" i="8" s="1"/>
  <c r="V1281" i="8" s="1"/>
  <c r="V752" i="2"/>
  <c r="V1627" i="8"/>
  <c r="V768" i="2"/>
  <c r="V1284" i="8" s="1"/>
  <c r="V1285" i="8" s="1"/>
  <c r="V758" i="2"/>
  <c r="V753" i="2"/>
  <c r="V659" i="2"/>
  <c r="V764" i="2"/>
  <c r="V1268" i="8" s="1"/>
  <c r="V1269" i="8" s="1"/>
  <c r="V660" i="2"/>
  <c r="V757" i="2"/>
  <c r="V769" i="2"/>
  <c r="V763" i="2"/>
  <c r="V1264" i="8" s="1"/>
  <c r="V1265" i="8" s="1"/>
  <c r="V766" i="2"/>
  <c r="V765" i="2"/>
  <c r="V762" i="2"/>
  <c r="V754" i="2"/>
  <c r="V751" i="2"/>
  <c r="R778" i="2"/>
  <c r="R1296" i="8"/>
  <c r="R1297" i="8" s="1"/>
  <c r="S1665" i="8"/>
  <c r="S1539" i="8"/>
  <c r="S1517" i="8"/>
  <c r="U457" i="2"/>
  <c r="T167" i="8"/>
  <c r="T168" i="8" s="1"/>
  <c r="T61" i="12"/>
  <c r="AB304" i="14"/>
  <c r="AB306" i="14" s="1"/>
  <c r="R1619" i="8"/>
  <c r="R1256" i="8"/>
  <c r="R1257" i="8" s="1"/>
  <c r="R780" i="2"/>
  <c r="R1438" i="8" s="1"/>
  <c r="W1623" i="8"/>
  <c r="U796" i="2"/>
  <c r="U1364" i="8" s="1"/>
  <c r="U1365" i="8" s="1"/>
  <c r="U1244" i="8"/>
  <c r="U1245" i="8" s="1"/>
  <c r="R1344" i="8"/>
  <c r="R1345" i="8" s="1"/>
  <c r="R799" i="2"/>
  <c r="R1620" i="8" s="1"/>
  <c r="U1272" i="8"/>
  <c r="U1273" i="8" s="1"/>
  <c r="U788" i="2"/>
  <c r="U1336" i="8" s="1"/>
  <c r="U1337" i="8" s="1"/>
  <c r="X759" i="2"/>
  <c r="X774" i="2"/>
  <c r="X1300" i="8" s="1"/>
  <c r="X1301" i="8" s="1"/>
  <c r="X1224" i="8"/>
  <c r="X1225" i="8" s="1"/>
  <c r="X791" i="2"/>
  <c r="X781" i="2"/>
  <c r="W1624" i="8"/>
  <c r="AE299" i="14"/>
  <c r="AE301" i="14" s="1"/>
  <c r="T1619" i="8"/>
  <c r="T780" i="2"/>
  <c r="T1438" i="8" s="1"/>
  <c r="T1256" i="8"/>
  <c r="T1257" i="8" s="1"/>
  <c r="U581" i="2"/>
  <c r="T255" i="8"/>
  <c r="T256" i="8" s="1"/>
  <c r="T89" i="12"/>
  <c r="U792" i="2"/>
  <c r="U1348" i="8" s="1"/>
  <c r="U1349" i="8" s="1"/>
  <c r="U1228" i="8"/>
  <c r="U1229" i="8" s="1"/>
  <c r="U576" i="2"/>
  <c r="T235" i="8"/>
  <c r="T236" i="8" s="1"/>
  <c r="T84" i="12"/>
  <c r="U770" i="2"/>
  <c r="U1292" i="8" s="1"/>
  <c r="U1293" i="8" s="1"/>
  <c r="U785" i="2"/>
  <c r="U1324" i="8" s="1"/>
  <c r="U1325" i="8" s="1"/>
  <c r="U782" i="2"/>
  <c r="U1260" i="8"/>
  <c r="U1261" i="8" s="1"/>
  <c r="AC300" i="14"/>
  <c r="X1244" i="8"/>
  <c r="X1245" i="8" s="1"/>
  <c r="X796" i="2"/>
  <c r="X1364" i="8" s="1"/>
  <c r="X1365" i="8" s="1"/>
  <c r="T95" i="12"/>
  <c r="U635" i="2"/>
  <c r="T267" i="8"/>
  <c r="T268" i="8" s="1"/>
  <c r="V1623" i="8"/>
  <c r="T1344" i="8"/>
  <c r="T1345" i="8" s="1"/>
  <c r="T799" i="2"/>
  <c r="T1620" i="8" s="1"/>
  <c r="U637" i="2"/>
  <c r="T275" i="8"/>
  <c r="T276" i="8" s="1"/>
  <c r="T97" i="12"/>
  <c r="AD300" i="14"/>
  <c r="U514" i="2"/>
  <c r="T191" i="8"/>
  <c r="T192" i="8" s="1"/>
  <c r="T70" i="12"/>
  <c r="V1625" i="8"/>
  <c r="U773" i="2"/>
  <c r="U795" i="2"/>
  <c r="U1360" i="8" s="1"/>
  <c r="U1361" i="8" s="1"/>
  <c r="U1240" i="8"/>
  <c r="U1241" i="8" s="1"/>
  <c r="U1248" i="8"/>
  <c r="U1249" i="8" s="1"/>
  <c r="U797" i="2"/>
  <c r="U1368" i="8" s="1"/>
  <c r="U1369" i="8" s="1"/>
  <c r="AC302" i="14"/>
  <c r="X1248" i="8"/>
  <c r="X1249" i="8" s="1"/>
  <c r="X797" i="2"/>
  <c r="X1368" i="8" s="1"/>
  <c r="X1369" i="8" s="1"/>
  <c r="V1624" i="8"/>
  <c r="R1644" i="8"/>
  <c r="R1658" i="8"/>
  <c r="R1534" i="8"/>
  <c r="U520" i="2"/>
  <c r="T215" i="8"/>
  <c r="T216" i="8" s="1"/>
  <c r="T76" i="12"/>
  <c r="T94" i="12"/>
  <c r="T263" i="8"/>
  <c r="T264" i="8" s="1"/>
  <c r="U634" i="2"/>
  <c r="U1654" i="8"/>
  <c r="U318" i="14"/>
  <c r="U1618" i="8" s="1"/>
  <c r="U319" i="14"/>
  <c r="U1655" i="8" s="1"/>
  <c r="U578" i="2"/>
  <c r="T243" i="8"/>
  <c r="T244" i="8" s="1"/>
  <c r="T86" i="12"/>
  <c r="AD302" i="14"/>
  <c r="S1529" i="8" l="1"/>
  <c r="S1635" i="8"/>
  <c r="S1526" i="8"/>
  <c r="S1632" i="8"/>
  <c r="S1634" i="8"/>
  <c r="S1528" i="8"/>
  <c r="S1527" i="8"/>
  <c r="S1633" i="8"/>
  <c r="AB307" i="14"/>
  <c r="AB309" i="14" s="1"/>
  <c r="U453" i="2"/>
  <c r="T57" i="12"/>
  <c r="T151" i="8"/>
  <c r="T152" i="8" s="1"/>
  <c r="T462" i="2"/>
  <c r="T276" i="13"/>
  <c r="T278" i="13" s="1"/>
  <c r="T1642" i="8" s="1"/>
  <c r="T1664" i="8"/>
  <c r="T322" i="14"/>
  <c r="T323" i="14" s="1"/>
  <c r="T1657" i="8" s="1"/>
  <c r="T1376" i="8"/>
  <c r="T1377" i="8" s="1"/>
  <c r="T1435" i="8"/>
  <c r="T1436" i="8"/>
  <c r="W1236" i="8"/>
  <c r="W1237" i="8" s="1"/>
  <c r="W794" i="2"/>
  <c r="W1356" i="8" s="1"/>
  <c r="W1357" i="8" s="1"/>
  <c r="W777" i="2"/>
  <c r="W1312" i="8" s="1"/>
  <c r="W1313" i="8" s="1"/>
  <c r="W1288" i="8"/>
  <c r="W1289" i="8" s="1"/>
  <c r="W786" i="2"/>
  <c r="W1328" i="8" s="1"/>
  <c r="W1329" i="8" s="1"/>
  <c r="U72" i="12"/>
  <c r="V516" i="2"/>
  <c r="U199" i="8"/>
  <c r="U200" i="8" s="1"/>
  <c r="U219" i="8"/>
  <c r="U220" i="8" s="1"/>
  <c r="U77" i="12"/>
  <c r="V521" i="2"/>
  <c r="Z609" i="2"/>
  <c r="Z549" i="2"/>
  <c r="Z489" i="2"/>
  <c r="Z429" i="2"/>
  <c r="T81" i="12"/>
  <c r="T582" i="2"/>
  <c r="U573" i="2"/>
  <c r="T223" i="8"/>
  <c r="T224" i="8" s="1"/>
  <c r="U633" i="2"/>
  <c r="T93" i="12"/>
  <c r="T642" i="2"/>
  <c r="T259" i="8"/>
  <c r="T260" i="8" s="1"/>
  <c r="V574" i="2"/>
  <c r="U82" i="12"/>
  <c r="U227" i="8"/>
  <c r="U228" i="8" s="1"/>
  <c r="U275" i="8"/>
  <c r="U276" i="8" s="1"/>
  <c r="U97" i="12"/>
  <c r="V637" i="2"/>
  <c r="V1272" i="8"/>
  <c r="V1273" i="8" s="1"/>
  <c r="V788" i="2"/>
  <c r="V1336" i="8" s="1"/>
  <c r="V1337" i="8" s="1"/>
  <c r="W1276" i="8"/>
  <c r="W1277" i="8" s="1"/>
  <c r="W784" i="2"/>
  <c r="U247" i="8"/>
  <c r="U248" i="8" s="1"/>
  <c r="U87" i="12"/>
  <c r="V579" i="2"/>
  <c r="X1344" i="8"/>
  <c r="X1345" i="8" s="1"/>
  <c r="X799" i="2"/>
  <c r="X1620" i="8" s="1"/>
  <c r="S1490" i="8"/>
  <c r="S102" i="12"/>
  <c r="S1473" i="8" s="1"/>
  <c r="U203" i="8"/>
  <c r="U204" i="8" s="1"/>
  <c r="U73" i="12"/>
  <c r="V517" i="2"/>
  <c r="U159" i="8"/>
  <c r="U160" i="8" s="1"/>
  <c r="V455" i="2"/>
  <c r="U59" i="12"/>
  <c r="S1644" i="8"/>
  <c r="S1658" i="8"/>
  <c r="S1534" i="8"/>
  <c r="U94" i="12"/>
  <c r="V634" i="2"/>
  <c r="U263" i="8"/>
  <c r="U264" i="8" s="1"/>
  <c r="V1288" i="8"/>
  <c r="V1289" i="8" s="1"/>
  <c r="V786" i="2"/>
  <c r="V1328" i="8" s="1"/>
  <c r="V1329" i="8" s="1"/>
  <c r="V797" i="2"/>
  <c r="V1368" i="8" s="1"/>
  <c r="V1369" i="8" s="1"/>
  <c r="V1248" i="8"/>
  <c r="V1249" i="8" s="1"/>
  <c r="Z606" i="2"/>
  <c r="Z426" i="2"/>
  <c r="Z486" i="2"/>
  <c r="Z546" i="2"/>
  <c r="W1248" i="8"/>
  <c r="W1249" i="8" s="1"/>
  <c r="W797" i="2"/>
  <c r="W1368" i="8" s="1"/>
  <c r="W1369" i="8" s="1"/>
  <c r="U58" i="12"/>
  <c r="V454" i="2"/>
  <c r="U155" i="8"/>
  <c r="U156" i="8" s="1"/>
  <c r="U239" i="8"/>
  <c r="U240" i="8" s="1"/>
  <c r="V577" i="2"/>
  <c r="U85" i="12"/>
  <c r="V578" i="2"/>
  <c r="U86" i="12"/>
  <c r="U243" i="8"/>
  <c r="U244" i="8" s="1"/>
  <c r="V639" i="2"/>
  <c r="U99" i="12"/>
  <c r="U283" i="8"/>
  <c r="U284" i="8" s="1"/>
  <c r="Z431" i="2"/>
  <c r="Z611" i="2"/>
  <c r="Z491" i="2"/>
  <c r="Z551" i="2"/>
  <c r="U101" i="12"/>
  <c r="U291" i="8"/>
  <c r="U292" i="8" s="1"/>
  <c r="V641" i="2"/>
  <c r="S66" i="12"/>
  <c r="S1487" i="8"/>
  <c r="X1256" i="8"/>
  <c r="X1257" i="8" s="1"/>
  <c r="X1619" i="8"/>
  <c r="X780" i="2"/>
  <c r="X1438" i="8" s="1"/>
  <c r="S1646" i="8"/>
  <c r="S1660" i="8"/>
  <c r="S1536" i="8"/>
  <c r="X1296" i="8"/>
  <c r="X1297" i="8" s="1"/>
  <c r="X778" i="2"/>
  <c r="U778" i="2"/>
  <c r="U1296" i="8"/>
  <c r="U1297" i="8" s="1"/>
  <c r="V458" i="2"/>
  <c r="U171" i="8"/>
  <c r="U172" i="8" s="1"/>
  <c r="U62" i="12"/>
  <c r="W782" i="2"/>
  <c r="W1260" i="8"/>
  <c r="W1261" i="8" s="1"/>
  <c r="W785" i="2"/>
  <c r="W1324" i="8" s="1"/>
  <c r="W1325" i="8" s="1"/>
  <c r="W770" i="2"/>
  <c r="W1292" i="8" s="1"/>
  <c r="W1293" i="8" s="1"/>
  <c r="S1489" i="8"/>
  <c r="S90" i="12"/>
  <c r="S1472" i="8" s="1"/>
  <c r="S1645" i="8"/>
  <c r="S1535" i="8"/>
  <c r="S1659" i="8"/>
  <c r="U100" i="12"/>
  <c r="U287" i="8"/>
  <c r="U288" i="8" s="1"/>
  <c r="V640" i="2"/>
  <c r="U789" i="2"/>
  <c r="U1340" i="8" s="1"/>
  <c r="U1320" i="8"/>
  <c r="U1321" i="8" s="1"/>
  <c r="U1256" i="8"/>
  <c r="U1257" i="8" s="1"/>
  <c r="U780" i="2"/>
  <c r="U1438" i="8" s="1"/>
  <c r="U1619" i="8"/>
  <c r="Z608" i="2"/>
  <c r="Z488" i="2"/>
  <c r="Z428" i="2"/>
  <c r="Z548" i="2"/>
  <c r="W1224" i="8"/>
  <c r="W1225" i="8" s="1"/>
  <c r="W774" i="2"/>
  <c r="W1300" i="8" s="1"/>
  <c r="W1301" i="8" s="1"/>
  <c r="W791" i="2"/>
  <c r="W759" i="2"/>
  <c r="W781" i="2"/>
  <c r="V636" i="2"/>
  <c r="U271" i="8"/>
  <c r="U272" i="8" s="1"/>
  <c r="U96" i="12"/>
  <c r="V1654" i="8"/>
  <c r="V319" i="14"/>
  <c r="V1655" i="8" s="1"/>
  <c r="V318" i="14"/>
  <c r="V1618" i="8" s="1"/>
  <c r="U179" i="8"/>
  <c r="U180" i="8" s="1"/>
  <c r="U64" i="12"/>
  <c r="V460" i="2"/>
  <c r="U799" i="2"/>
  <c r="U1620" i="8" s="1"/>
  <c r="U1344" i="8"/>
  <c r="U1345" i="8" s="1"/>
  <c r="AC303" i="14"/>
  <c r="AC305" i="14" s="1"/>
  <c r="AC304" i="14"/>
  <c r="V784" i="2"/>
  <c r="V1276" i="8"/>
  <c r="V1277" i="8" s="1"/>
  <c r="U95" i="12"/>
  <c r="U267" i="8"/>
  <c r="U268" i="8" s="1"/>
  <c r="V635" i="2"/>
  <c r="Z610" i="2"/>
  <c r="Z430" i="2"/>
  <c r="Z550" i="2"/>
  <c r="Z490" i="2"/>
  <c r="V520" i="2"/>
  <c r="U215" i="8"/>
  <c r="U216" i="8" s="1"/>
  <c r="U76" i="12"/>
  <c r="R1376" i="8"/>
  <c r="R1377" i="8" s="1"/>
  <c r="R1435" i="8"/>
  <c r="R1436" i="8"/>
  <c r="R322" i="14"/>
  <c r="R323" i="14" s="1"/>
  <c r="R1657" i="8" s="1"/>
  <c r="R276" i="13"/>
  <c r="R278" i="13" s="1"/>
  <c r="R1642" i="8" s="1"/>
  <c r="R1664" i="8"/>
  <c r="V1232" i="8"/>
  <c r="V1233" i="8" s="1"/>
  <c r="V793" i="2"/>
  <c r="V1352" i="8" s="1"/>
  <c r="V1353" i="8" s="1"/>
  <c r="Z612" i="2"/>
  <c r="Z432" i="2"/>
  <c r="Z492" i="2"/>
  <c r="Z552" i="2"/>
  <c r="W1654" i="8"/>
  <c r="W318" i="14"/>
  <c r="W1618" i="8" s="1"/>
  <c r="W319" i="14"/>
  <c r="W1655" i="8" s="1"/>
  <c r="U513" i="2"/>
  <c r="T69" i="12"/>
  <c r="T187" i="8"/>
  <c r="T188" i="8" s="1"/>
  <c r="T522" i="2"/>
  <c r="T1316" i="8"/>
  <c r="T1317" i="8" s="1"/>
  <c r="T779" i="2"/>
  <c r="T1640" i="8" s="1"/>
  <c r="X1320" i="8"/>
  <c r="X1321" i="8" s="1"/>
  <c r="X789" i="2"/>
  <c r="X1340" i="8" s="1"/>
  <c r="Z139" i="5"/>
  <c r="Z648" i="2" s="1"/>
  <c r="Z1626" i="8"/>
  <c r="V1244" i="8"/>
  <c r="V1245" i="8" s="1"/>
  <c r="V796" i="2"/>
  <c r="V1364" i="8" s="1"/>
  <c r="V1365" i="8" s="1"/>
  <c r="W1244" i="8"/>
  <c r="W1245" i="8" s="1"/>
  <c r="W796" i="2"/>
  <c r="W1364" i="8" s="1"/>
  <c r="W1365" i="8" s="1"/>
  <c r="V581" i="2"/>
  <c r="U89" i="12"/>
  <c r="U255" i="8"/>
  <c r="U256" i="8" s="1"/>
  <c r="V775" i="2"/>
  <c r="V1304" i="8" s="1"/>
  <c r="V1305" i="8" s="1"/>
  <c r="V798" i="2"/>
  <c r="V1372" i="8" s="1"/>
  <c r="V1373" i="8" s="1"/>
  <c r="V1252" i="8"/>
  <c r="V1253" i="8" s="1"/>
  <c r="Z1652" i="8"/>
  <c r="Z314" i="14"/>
  <c r="Z554" i="2"/>
  <c r="Z614" i="2"/>
  <c r="Z434" i="2"/>
  <c r="Z494" i="2"/>
  <c r="W798" i="2"/>
  <c r="W1372" i="8" s="1"/>
  <c r="W1373" i="8" s="1"/>
  <c r="W775" i="2"/>
  <c r="W1304" i="8" s="1"/>
  <c r="W1305" i="8" s="1"/>
  <c r="W1252" i="8"/>
  <c r="W1253" i="8" s="1"/>
  <c r="V575" i="2"/>
  <c r="U83" i="12"/>
  <c r="U231" i="8"/>
  <c r="U232" i="8" s="1"/>
  <c r="S78" i="12"/>
  <c r="S1471" i="8" s="1"/>
  <c r="S1488" i="8"/>
  <c r="U88" i="12"/>
  <c r="V580" i="2"/>
  <c r="U251" i="8"/>
  <c r="U252" i="8" s="1"/>
  <c r="S1647" i="8"/>
  <c r="S1661" i="8"/>
  <c r="S1537" i="8"/>
  <c r="V576" i="2"/>
  <c r="U84" i="12"/>
  <c r="U235" i="8"/>
  <c r="U236" i="8" s="1"/>
  <c r="V1240" i="8"/>
  <c r="V1241" i="8" s="1"/>
  <c r="V773" i="2"/>
  <c r="V795" i="2"/>
  <c r="V1360" i="8" s="1"/>
  <c r="V1361" i="8" s="1"/>
  <c r="U61" i="12"/>
  <c r="U167" i="8"/>
  <c r="U168" i="8" s="1"/>
  <c r="V457" i="2"/>
  <c r="AD303" i="14"/>
  <c r="AD305" i="14" s="1"/>
  <c r="V514" i="2"/>
  <c r="U70" i="12"/>
  <c r="U191" i="8"/>
  <c r="U192" i="8" s="1"/>
  <c r="R1316" i="8"/>
  <c r="R1317" i="8" s="1"/>
  <c r="R779" i="2"/>
  <c r="R1640" i="8" s="1"/>
  <c r="W792" i="2"/>
  <c r="W1348" i="8" s="1"/>
  <c r="W1349" i="8" s="1"/>
  <c r="W1228" i="8"/>
  <c r="W1229" i="8" s="1"/>
  <c r="W773" i="2"/>
  <c r="W795" i="2"/>
  <c r="W1360" i="8" s="1"/>
  <c r="W1361" i="8" s="1"/>
  <c r="W1240" i="8"/>
  <c r="W1241" i="8" s="1"/>
  <c r="V459" i="2"/>
  <c r="U175" i="8"/>
  <c r="U176" i="8" s="1"/>
  <c r="U63" i="12"/>
  <c r="W321" i="14"/>
  <c r="U74" i="12"/>
  <c r="V518" i="2"/>
  <c r="U207" i="8"/>
  <c r="U208" i="8" s="1"/>
  <c r="R1470" i="8"/>
  <c r="R1662" i="8"/>
  <c r="V785" i="2"/>
  <c r="V1324" i="8" s="1"/>
  <c r="V1325" i="8" s="1"/>
  <c r="V770" i="2"/>
  <c r="V1292" i="8" s="1"/>
  <c r="V1293" i="8" s="1"/>
  <c r="V1260" i="8"/>
  <c r="V1261" i="8" s="1"/>
  <c r="V782" i="2"/>
  <c r="W1232" i="8"/>
  <c r="W1233" i="8" s="1"/>
  <c r="W793" i="2"/>
  <c r="W1352" i="8" s="1"/>
  <c r="W1353" i="8" s="1"/>
  <c r="V456" i="2"/>
  <c r="U163" i="8"/>
  <c r="U164" i="8" s="1"/>
  <c r="U60" i="12"/>
  <c r="Y320" i="14"/>
  <c r="Y1656" i="8" s="1"/>
  <c r="Y1650" i="8"/>
  <c r="Y1643" i="8"/>
  <c r="Y331" i="14"/>
  <c r="Y86" i="5" s="1"/>
  <c r="Y328" i="14"/>
  <c r="Y83" i="5" s="1"/>
  <c r="Y334" i="14"/>
  <c r="Y89" i="5" s="1"/>
  <c r="Y330" i="14"/>
  <c r="Y85" i="5" s="1"/>
  <c r="Y49" i="10"/>
  <c r="Y316" i="14"/>
  <c r="Y1653" i="8" s="1"/>
  <c r="Y332" i="14"/>
  <c r="Y87" i="5" s="1"/>
  <c r="Y326" i="14"/>
  <c r="Y81" i="5" s="1"/>
  <c r="Y315" i="14"/>
  <c r="Y333" i="14"/>
  <c r="Y88" i="5" s="1"/>
  <c r="Y327" i="14"/>
  <c r="Y82" i="5" s="1"/>
  <c r="Y329" i="14"/>
  <c r="Y84" i="5" s="1"/>
  <c r="V1224" i="8"/>
  <c r="V1225" i="8" s="1"/>
  <c r="V781" i="2"/>
  <c r="V791" i="2"/>
  <c r="V774" i="2"/>
  <c r="V1300" i="8" s="1"/>
  <c r="V1301" i="8" s="1"/>
  <c r="V759" i="2"/>
  <c r="Z433" i="2"/>
  <c r="Z553" i="2"/>
  <c r="Z493" i="2"/>
  <c r="Z613" i="2"/>
  <c r="W1272" i="8"/>
  <c r="W1273" i="8" s="1"/>
  <c r="W788" i="2"/>
  <c r="W1336" i="8" s="1"/>
  <c r="W1337" i="8" s="1"/>
  <c r="U71" i="12"/>
  <c r="U195" i="8"/>
  <c r="U196" i="8" s="1"/>
  <c r="V515" i="2"/>
  <c r="U75" i="12"/>
  <c r="V519" i="2"/>
  <c r="U211" i="8"/>
  <c r="U212" i="8" s="1"/>
  <c r="AA304" i="14"/>
  <c r="U183" i="8"/>
  <c r="U184" i="8" s="1"/>
  <c r="U65" i="12"/>
  <c r="V461" i="2"/>
  <c r="AE300" i="14"/>
  <c r="AE302" i="14" s="1"/>
  <c r="V777" i="2"/>
  <c r="V1312" i="8" s="1"/>
  <c r="V1313" i="8" s="1"/>
  <c r="V1236" i="8"/>
  <c r="V1237" i="8" s="1"/>
  <c r="V794" i="2"/>
  <c r="V1356" i="8" s="1"/>
  <c r="V1357" i="8" s="1"/>
  <c r="V792" i="2"/>
  <c r="V1348" i="8" s="1"/>
  <c r="V1349" i="8" s="1"/>
  <c r="V1228" i="8"/>
  <c r="V1229" i="8" s="1"/>
  <c r="Z427" i="2"/>
  <c r="Z487" i="2"/>
  <c r="Z607" i="2"/>
  <c r="Z547" i="2"/>
  <c r="V638" i="2"/>
  <c r="U279" i="8"/>
  <c r="U280" i="8" s="1"/>
  <c r="U98" i="12"/>
  <c r="AA306" i="14"/>
  <c r="Z1520" i="8" l="1"/>
  <c r="Z1519" i="8"/>
  <c r="T1634" i="8"/>
  <c r="T1528" i="8"/>
  <c r="T1632" i="8"/>
  <c r="T1526" i="8"/>
  <c r="Z1622" i="8"/>
  <c r="Z1518" i="8"/>
  <c r="Z1521" i="8"/>
  <c r="T1635" i="8"/>
  <c r="T1529" i="8"/>
  <c r="T1633" i="8"/>
  <c r="T1527" i="8"/>
  <c r="AE303" i="14"/>
  <c r="AE305" i="14" s="1"/>
  <c r="T1648" i="8"/>
  <c r="T1663" i="8"/>
  <c r="T1437" i="8"/>
  <c r="T1448" i="8"/>
  <c r="AA307" i="14"/>
  <c r="AA309" i="14" s="1"/>
  <c r="V65" i="12"/>
  <c r="V183" i="8"/>
  <c r="V184" i="8" s="1"/>
  <c r="W461" i="2"/>
  <c r="W578" i="2"/>
  <c r="V243" i="8"/>
  <c r="V244" i="8" s="1"/>
  <c r="V86" i="12"/>
  <c r="W457" i="2"/>
  <c r="V61" i="12"/>
  <c r="V167" i="8"/>
  <c r="V168" i="8" s="1"/>
  <c r="Y1626" i="8"/>
  <c r="Y139" i="5"/>
  <c r="Y648" i="2" s="1"/>
  <c r="T1645" i="8"/>
  <c r="T1659" i="8"/>
  <c r="T1535" i="8"/>
  <c r="R1665" i="8"/>
  <c r="R1539" i="8"/>
  <c r="R1517" i="8"/>
  <c r="S1470" i="8"/>
  <c r="S1662" i="8"/>
  <c r="V239" i="8"/>
  <c r="V240" i="8" s="1"/>
  <c r="V85" i="12"/>
  <c r="W577" i="2"/>
  <c r="V231" i="8"/>
  <c r="V232" i="8" s="1"/>
  <c r="V83" i="12"/>
  <c r="W575" i="2"/>
  <c r="T78" i="12"/>
  <c r="T1471" i="8" s="1"/>
  <c r="T1488" i="8"/>
  <c r="V789" i="2"/>
  <c r="V1340" i="8" s="1"/>
  <c r="V1320" i="8"/>
  <c r="V1321" i="8" s="1"/>
  <c r="W640" i="2"/>
  <c r="V287" i="8"/>
  <c r="V288" i="8" s="1"/>
  <c r="V100" i="12"/>
  <c r="W458" i="2"/>
  <c r="V62" i="12"/>
  <c r="V171" i="8"/>
  <c r="V172" i="8" s="1"/>
  <c r="X1664" i="8"/>
  <c r="X322" i="14"/>
  <c r="X323" i="14" s="1"/>
  <c r="X1657" i="8" s="1"/>
  <c r="X1376" i="8"/>
  <c r="X1377" i="8" s="1"/>
  <c r="X1435" i="8"/>
  <c r="X1436" i="8"/>
  <c r="X276" i="13"/>
  <c r="X278" i="13" s="1"/>
  <c r="X1642" i="8" s="1"/>
  <c r="W574" i="2"/>
  <c r="V227" i="8"/>
  <c r="V228" i="8" s="1"/>
  <c r="V82" i="12"/>
  <c r="Y486" i="2"/>
  <c r="Y606" i="2"/>
  <c r="Y426" i="2"/>
  <c r="Y546" i="2"/>
  <c r="V203" i="8"/>
  <c r="V204" i="8" s="1"/>
  <c r="W517" i="2"/>
  <c r="V73" i="12"/>
  <c r="Y612" i="2"/>
  <c r="Y552" i="2"/>
  <c r="Y492" i="2"/>
  <c r="Y432" i="2"/>
  <c r="V780" i="2"/>
  <c r="V1438" i="8" s="1"/>
  <c r="V1256" i="8"/>
  <c r="V1257" i="8" s="1"/>
  <c r="V1619" i="8"/>
  <c r="W636" i="2"/>
  <c r="V96" i="12"/>
  <c r="V271" i="8"/>
  <c r="V272" i="8" s="1"/>
  <c r="V279" i="8"/>
  <c r="V280" i="8" s="1"/>
  <c r="W638" i="2"/>
  <c r="V98" i="12"/>
  <c r="V1344" i="8"/>
  <c r="V1345" i="8" s="1"/>
  <c r="V799" i="2"/>
  <c r="V1620" i="8" s="1"/>
  <c r="Y548" i="2"/>
  <c r="Y608" i="2"/>
  <c r="Y428" i="2"/>
  <c r="Y488" i="2"/>
  <c r="W581" i="2"/>
  <c r="V255" i="8"/>
  <c r="V256" i="8" s="1"/>
  <c r="V89" i="12"/>
  <c r="U187" i="8"/>
  <c r="U188" i="8" s="1"/>
  <c r="V513" i="2"/>
  <c r="U69" i="12"/>
  <c r="U522" i="2"/>
  <c r="W1256" i="8"/>
  <c r="W1257" i="8" s="1"/>
  <c r="W1619" i="8"/>
  <c r="W780" i="2"/>
  <c r="W1438" i="8" s="1"/>
  <c r="W634" i="2"/>
  <c r="V94" i="12"/>
  <c r="V263" i="8"/>
  <c r="V264" i="8" s="1"/>
  <c r="T1665" i="8"/>
  <c r="T1539" i="8"/>
  <c r="T1517" i="8"/>
  <c r="W456" i="2"/>
  <c r="V60" i="12"/>
  <c r="V163" i="8"/>
  <c r="V164" i="8" s="1"/>
  <c r="Z321" i="14"/>
  <c r="Z1651" i="8"/>
  <c r="Z317" i="14"/>
  <c r="Z1625" i="8"/>
  <c r="W459" i="2"/>
  <c r="V175" i="8"/>
  <c r="V176" i="8" s="1"/>
  <c r="V63" i="12"/>
  <c r="Y550" i="2"/>
  <c r="Y610" i="2"/>
  <c r="Y430" i="2"/>
  <c r="Y490" i="2"/>
  <c r="V1296" i="8"/>
  <c r="V1297" i="8" s="1"/>
  <c r="V778" i="2"/>
  <c r="V101" i="12"/>
  <c r="V291" i="8"/>
  <c r="V292" i="8" s="1"/>
  <c r="W641" i="2"/>
  <c r="Y434" i="2"/>
  <c r="Y494" i="2"/>
  <c r="Y614" i="2"/>
  <c r="Y554" i="2"/>
  <c r="V75" i="12"/>
  <c r="W519" i="2"/>
  <c r="V211" i="8"/>
  <c r="V212" i="8" s="1"/>
  <c r="Y611" i="2"/>
  <c r="Y431" i="2"/>
  <c r="Y551" i="2"/>
  <c r="Y491" i="2"/>
  <c r="R1648" i="8"/>
  <c r="R1437" i="8"/>
  <c r="R1448" i="8"/>
  <c r="R1663" i="8"/>
  <c r="AC306" i="14"/>
  <c r="W1344" i="8"/>
  <c r="W1345" i="8" s="1"/>
  <c r="W799" i="2"/>
  <c r="W1620" i="8" s="1"/>
  <c r="U1316" i="8"/>
  <c r="U1317" i="8" s="1"/>
  <c r="U779" i="2"/>
  <c r="U1640" i="8" s="1"/>
  <c r="W454" i="2"/>
  <c r="V155" i="8"/>
  <c r="V156" i="8" s="1"/>
  <c r="V58" i="12"/>
  <c r="V87" i="12"/>
  <c r="V247" i="8"/>
  <c r="V248" i="8" s="1"/>
  <c r="W579" i="2"/>
  <c r="T1647" i="8"/>
  <c r="T1661" i="8"/>
  <c r="T1537" i="8"/>
  <c r="T1644" i="8"/>
  <c r="T1534" i="8"/>
  <c r="T1658" i="8"/>
  <c r="Y1652" i="8"/>
  <c r="Y314" i="14"/>
  <c r="V283" i="8"/>
  <c r="V284" i="8" s="1"/>
  <c r="W639" i="2"/>
  <c r="V99" i="12"/>
  <c r="W521" i="2"/>
  <c r="V219" i="8"/>
  <c r="V220" i="8" s="1"/>
  <c r="V77" i="12"/>
  <c r="V84" i="12"/>
  <c r="W576" i="2"/>
  <c r="V235" i="8"/>
  <c r="V236" i="8" s="1"/>
  <c r="X779" i="2"/>
  <c r="X1640" i="8" s="1"/>
  <c r="X1316" i="8"/>
  <c r="X1317" i="8" s="1"/>
  <c r="T1490" i="8"/>
  <c r="T102" i="12"/>
  <c r="T1473" i="8" s="1"/>
  <c r="V199" i="8"/>
  <c r="V200" i="8" s="1"/>
  <c r="W516" i="2"/>
  <c r="V72" i="12"/>
  <c r="W637" i="2"/>
  <c r="V275" i="8"/>
  <c r="V276" i="8" s="1"/>
  <c r="V97" i="12"/>
  <c r="V95" i="12"/>
  <c r="W635" i="2"/>
  <c r="V267" i="8"/>
  <c r="V268" i="8" s="1"/>
  <c r="W778" i="2"/>
  <c r="W1296" i="8"/>
  <c r="W1297" i="8" s="1"/>
  <c r="W515" i="2"/>
  <c r="V71" i="12"/>
  <c r="V195" i="8"/>
  <c r="V196" i="8" s="1"/>
  <c r="U1664" i="8"/>
  <c r="U322" i="14"/>
  <c r="U323" i="14" s="1"/>
  <c r="U1657" i="8" s="1"/>
  <c r="U1435" i="8"/>
  <c r="U1376" i="8"/>
  <c r="U1377" i="8" s="1"/>
  <c r="U276" i="13"/>
  <c r="U278" i="13" s="1"/>
  <c r="U1642" i="8" s="1"/>
  <c r="U1436" i="8"/>
  <c r="U259" i="8"/>
  <c r="U260" i="8" s="1"/>
  <c r="V633" i="2"/>
  <c r="U93" i="12"/>
  <c r="U642" i="2"/>
  <c r="T66" i="12"/>
  <c r="T1487" i="8"/>
  <c r="Y609" i="2"/>
  <c r="Y429" i="2"/>
  <c r="Y549" i="2"/>
  <c r="Y489" i="2"/>
  <c r="V74" i="12"/>
  <c r="W518" i="2"/>
  <c r="V207" i="8"/>
  <c r="V208" i="8" s="1"/>
  <c r="V215" i="8"/>
  <c r="V216" i="8" s="1"/>
  <c r="W520" i="2"/>
  <c r="V76" i="12"/>
  <c r="V64" i="12"/>
  <c r="W460" i="2"/>
  <c r="V179" i="8"/>
  <c r="V180" i="8" s="1"/>
  <c r="W789" i="2"/>
  <c r="W1340" i="8" s="1"/>
  <c r="W1320" i="8"/>
  <c r="W1321" i="8" s="1"/>
  <c r="U57" i="12"/>
  <c r="U151" i="8"/>
  <c r="U152" i="8" s="1"/>
  <c r="V453" i="2"/>
  <c r="U462" i="2"/>
  <c r="W580" i="2"/>
  <c r="V251" i="8"/>
  <c r="V252" i="8" s="1"/>
  <c r="V88" i="12"/>
  <c r="Y547" i="2"/>
  <c r="Y607" i="2"/>
  <c r="Y427" i="2"/>
  <c r="Y487" i="2"/>
  <c r="V191" i="8"/>
  <c r="V192" i="8" s="1"/>
  <c r="W514" i="2"/>
  <c r="V70" i="12"/>
  <c r="Z1624" i="8"/>
  <c r="U223" i="8"/>
  <c r="U224" i="8" s="1"/>
  <c r="V573" i="2"/>
  <c r="U81" i="12"/>
  <c r="U582" i="2"/>
  <c r="AB308" i="14"/>
  <c r="AB310" i="14" s="1"/>
  <c r="AB313" i="14" s="1"/>
  <c r="AD306" i="14"/>
  <c r="T1489" i="8"/>
  <c r="T90" i="12"/>
  <c r="T1472" i="8" s="1"/>
  <c r="Y613" i="2"/>
  <c r="Y433" i="2"/>
  <c r="Y553" i="2"/>
  <c r="Y493" i="2"/>
  <c r="AD304" i="14"/>
  <c r="Z756" i="2"/>
  <c r="Z751" i="2"/>
  <c r="Z768" i="2"/>
  <c r="Z1284" i="8" s="1"/>
  <c r="Z1285" i="8" s="1"/>
  <c r="Z755" i="2"/>
  <c r="Z657" i="2"/>
  <c r="Z1627" i="8"/>
  <c r="Z757" i="2"/>
  <c r="Z762" i="2"/>
  <c r="Z758" i="2"/>
  <c r="Z765" i="2"/>
  <c r="Z658" i="2"/>
  <c r="Z766" i="2"/>
  <c r="Z769" i="2"/>
  <c r="Z752" i="2"/>
  <c r="Z660" i="2"/>
  <c r="Z753" i="2"/>
  <c r="Z659" i="2"/>
  <c r="Z764" i="2"/>
  <c r="Z1268" i="8" s="1"/>
  <c r="Z1269" i="8" s="1"/>
  <c r="Z767" i="2"/>
  <c r="Z1280" i="8" s="1"/>
  <c r="Z1281" i="8" s="1"/>
  <c r="Z763" i="2"/>
  <c r="Z1264" i="8" s="1"/>
  <c r="Z1265" i="8" s="1"/>
  <c r="Z754" i="2"/>
  <c r="Z1623" i="8"/>
  <c r="V59" i="12"/>
  <c r="V159" i="8"/>
  <c r="V160" i="8" s="1"/>
  <c r="W455" i="2"/>
  <c r="T1646" i="8"/>
  <c r="T1660" i="8"/>
  <c r="T1536" i="8"/>
  <c r="U1527" i="8" l="1"/>
  <c r="U1633" i="8"/>
  <c r="Y1622" i="8"/>
  <c r="Y1518" i="8"/>
  <c r="Y1521" i="8"/>
  <c r="Y1623" i="8"/>
  <c r="Y1519" i="8"/>
  <c r="U1528" i="8"/>
  <c r="U1634" i="8"/>
  <c r="U1635" i="8"/>
  <c r="U1529" i="8"/>
  <c r="U1632" i="8"/>
  <c r="U1526" i="8"/>
  <c r="Y1624" i="8"/>
  <c r="Y1520" i="8"/>
  <c r="AB320" i="14"/>
  <c r="AB1656" i="8" s="1"/>
  <c r="AB1650" i="8"/>
  <c r="AB49" i="10"/>
  <c r="AB332" i="14"/>
  <c r="AB87" i="5" s="1"/>
  <c r="AB334" i="14"/>
  <c r="AB89" i="5" s="1"/>
  <c r="AB330" i="14"/>
  <c r="AB85" i="5" s="1"/>
  <c r="AB328" i="14"/>
  <c r="AB83" i="5" s="1"/>
  <c r="AB326" i="14"/>
  <c r="AB81" i="5" s="1"/>
  <c r="AB333" i="14"/>
  <c r="AB88" i="5" s="1"/>
  <c r="AB331" i="14"/>
  <c r="AB86" i="5" s="1"/>
  <c r="AB327" i="14"/>
  <c r="AB82" i="5" s="1"/>
  <c r="AB329" i="14"/>
  <c r="AB84" i="5" s="1"/>
  <c r="AB1643" i="8"/>
  <c r="AB316" i="14"/>
  <c r="AB1653" i="8" s="1"/>
  <c r="AB315" i="14"/>
  <c r="Y1625" i="8"/>
  <c r="X521" i="2"/>
  <c r="W77" i="12"/>
  <c r="W219" i="8"/>
  <c r="W220" i="8" s="1"/>
  <c r="W65" i="12"/>
  <c r="W183" i="8"/>
  <c r="W184" i="8" s="1"/>
  <c r="X461" i="2"/>
  <c r="U1646" i="8"/>
  <c r="U1660" i="8"/>
  <c r="U1536" i="8"/>
  <c r="X580" i="2"/>
  <c r="W88" i="12"/>
  <c r="W251" i="8"/>
  <c r="W252" i="8" s="1"/>
  <c r="X518" i="2"/>
  <c r="W207" i="8"/>
  <c r="W208" i="8" s="1"/>
  <c r="W74" i="12"/>
  <c r="W275" i="8"/>
  <c r="W276" i="8" s="1"/>
  <c r="W97" i="12"/>
  <c r="X637" i="2"/>
  <c r="W287" i="8"/>
  <c r="W288" i="8" s="1"/>
  <c r="X640" i="2"/>
  <c r="W100" i="12"/>
  <c r="W267" i="8"/>
  <c r="W268" i="8" s="1"/>
  <c r="W95" i="12"/>
  <c r="X635" i="2"/>
  <c r="W96" i="12"/>
  <c r="W271" i="8"/>
  <c r="W272" i="8" s="1"/>
  <c r="X636" i="2"/>
  <c r="Z795" i="2"/>
  <c r="Z1360" i="8" s="1"/>
  <c r="Z1361" i="8" s="1"/>
  <c r="Z1240" i="8"/>
  <c r="Z1241" i="8" s="1"/>
  <c r="Z773" i="2"/>
  <c r="U90" i="12"/>
  <c r="U1472" i="8" s="1"/>
  <c r="U1489" i="8"/>
  <c r="U1644" i="8"/>
  <c r="U1658" i="8"/>
  <c r="U1534" i="8"/>
  <c r="W99" i="12"/>
  <c r="X639" i="2"/>
  <c r="W283" i="8"/>
  <c r="W284" i="8" s="1"/>
  <c r="W255" i="8"/>
  <c r="W256" i="8" s="1"/>
  <c r="X581" i="2"/>
  <c r="W89" i="12"/>
  <c r="V223" i="8"/>
  <c r="V224" i="8" s="1"/>
  <c r="W573" i="2"/>
  <c r="V81" i="12"/>
  <c r="V582" i="2"/>
  <c r="W227" i="8"/>
  <c r="W228" i="8" s="1"/>
  <c r="W82" i="12"/>
  <c r="X574" i="2"/>
  <c r="AA308" i="14"/>
  <c r="AA310" i="14" s="1"/>
  <c r="AA313" i="14" s="1"/>
  <c r="U78" i="12"/>
  <c r="U1471" i="8" s="1"/>
  <c r="U1488" i="8"/>
  <c r="Z1260" i="8"/>
  <c r="Z1261" i="8" s="1"/>
  <c r="Z782" i="2"/>
  <c r="Z785" i="2"/>
  <c r="Z1324" i="8" s="1"/>
  <c r="Z1325" i="8" s="1"/>
  <c r="Z770" i="2"/>
  <c r="Z1292" i="8" s="1"/>
  <c r="Z1293" i="8" s="1"/>
  <c r="X458" i="2"/>
  <c r="W62" i="12"/>
  <c r="W171" i="8"/>
  <c r="W172" i="8" s="1"/>
  <c r="AD307" i="14"/>
  <c r="AD309" i="14" s="1"/>
  <c r="V779" i="2"/>
  <c r="V1640" i="8" s="1"/>
  <c r="V1316" i="8"/>
  <c r="V1317" i="8" s="1"/>
  <c r="U1665" i="8"/>
  <c r="U1539" i="8"/>
  <c r="U1517" i="8"/>
  <c r="U1648" i="8"/>
  <c r="U1663" i="8"/>
  <c r="U1437" i="8"/>
  <c r="U1448" i="8"/>
  <c r="X1539" i="8"/>
  <c r="X1665" i="8"/>
  <c r="X1517" i="8"/>
  <c r="W86" i="12"/>
  <c r="X578" i="2"/>
  <c r="W243" i="8"/>
  <c r="W244" i="8" s="1"/>
  <c r="X456" i="2"/>
  <c r="W60" i="12"/>
  <c r="W163" i="8"/>
  <c r="W164" i="8" s="1"/>
  <c r="V462" i="2"/>
  <c r="V57" i="12"/>
  <c r="W453" i="2"/>
  <c r="V151" i="8"/>
  <c r="V152" i="8" s="1"/>
  <c r="X516" i="2"/>
  <c r="W199" i="8"/>
  <c r="W200" i="8" s="1"/>
  <c r="W72" i="12"/>
  <c r="W58" i="12"/>
  <c r="X454" i="2"/>
  <c r="W155" i="8"/>
  <c r="W156" i="8" s="1"/>
  <c r="Z1232" i="8"/>
  <c r="Z1233" i="8" s="1"/>
  <c r="Z793" i="2"/>
  <c r="Z1352" i="8" s="1"/>
  <c r="Z1353" i="8" s="1"/>
  <c r="Z791" i="2"/>
  <c r="Z1224" i="8"/>
  <c r="Z1225" i="8" s="1"/>
  <c r="Z781" i="2"/>
  <c r="Z759" i="2"/>
  <c r="Z774" i="2"/>
  <c r="Z1300" i="8" s="1"/>
  <c r="Z1301" i="8" s="1"/>
  <c r="Y321" i="14"/>
  <c r="Y1651" i="8"/>
  <c r="Y317" i="14"/>
  <c r="W211" i="8"/>
  <c r="W212" i="8" s="1"/>
  <c r="X519" i="2"/>
  <c r="W75" i="12"/>
  <c r="Z1244" i="8"/>
  <c r="Z1245" i="8" s="1"/>
  <c r="Z796" i="2"/>
  <c r="Z1364" i="8" s="1"/>
  <c r="Z1365" i="8" s="1"/>
  <c r="U1487" i="8"/>
  <c r="U66" i="12"/>
  <c r="V69" i="12"/>
  <c r="W513" i="2"/>
  <c r="V522" i="2"/>
  <c r="V187" i="8"/>
  <c r="V188" i="8" s="1"/>
  <c r="Z797" i="2"/>
  <c r="Z1368" i="8" s="1"/>
  <c r="Z1369" i="8" s="1"/>
  <c r="Z1248" i="8"/>
  <c r="Z1249" i="8" s="1"/>
  <c r="W322" i="14"/>
  <c r="W323" i="14" s="1"/>
  <c r="W1657" i="8" s="1"/>
  <c r="W1376" i="8"/>
  <c r="W1377" i="8" s="1"/>
  <c r="W1435" i="8"/>
  <c r="W276" i="13"/>
  <c r="W278" i="13" s="1"/>
  <c r="W1642" i="8" s="1"/>
  <c r="W1436" i="8"/>
  <c r="W1664" i="8"/>
  <c r="W94" i="12"/>
  <c r="W263" i="8"/>
  <c r="W264" i="8" s="1"/>
  <c r="X634" i="2"/>
  <c r="X575" i="2"/>
  <c r="W231" i="8"/>
  <c r="W232" i="8" s="1"/>
  <c r="W83" i="12"/>
  <c r="Y751" i="2"/>
  <c r="Y767" i="2"/>
  <c r="Y1280" i="8" s="1"/>
  <c r="Y1281" i="8" s="1"/>
  <c r="Y765" i="2"/>
  <c r="Y660" i="2"/>
  <c r="Y757" i="2"/>
  <c r="Y756" i="2"/>
  <c r="Y754" i="2"/>
  <c r="Y659" i="2"/>
  <c r="Y764" i="2"/>
  <c r="Y1268" i="8" s="1"/>
  <c r="Y1269" i="8" s="1"/>
  <c r="Y762" i="2"/>
  <c r="Y758" i="2"/>
  <c r="Y753" i="2"/>
  <c r="Y769" i="2"/>
  <c r="Y752" i="2"/>
  <c r="Y755" i="2"/>
  <c r="Y766" i="2"/>
  <c r="Y763" i="2"/>
  <c r="Y1264" i="8" s="1"/>
  <c r="Y1265" i="8" s="1"/>
  <c r="Y1627" i="8"/>
  <c r="Y658" i="2"/>
  <c r="Y768" i="2"/>
  <c r="Y1284" i="8" s="1"/>
  <c r="Y1285" i="8" s="1"/>
  <c r="Y657" i="2"/>
  <c r="V259" i="8"/>
  <c r="V260" i="8" s="1"/>
  <c r="W633" i="2"/>
  <c r="V642" i="2"/>
  <c r="V93" i="12"/>
  <c r="W247" i="8"/>
  <c r="W248" i="8" s="1"/>
  <c r="W87" i="12"/>
  <c r="X579" i="2"/>
  <c r="Z1288" i="8"/>
  <c r="Z1289" i="8" s="1"/>
  <c r="Z786" i="2"/>
  <c r="Z1328" i="8" s="1"/>
  <c r="Z1329" i="8" s="1"/>
  <c r="X514" i="2"/>
  <c r="W191" i="8"/>
  <c r="W192" i="8" s="1"/>
  <c r="W70" i="12"/>
  <c r="W71" i="12"/>
  <c r="X515" i="2"/>
  <c r="W195" i="8"/>
  <c r="W196" i="8" s="1"/>
  <c r="X459" i="2"/>
  <c r="W175" i="8"/>
  <c r="W176" i="8" s="1"/>
  <c r="W63" i="12"/>
  <c r="V1664" i="8"/>
  <c r="V322" i="14"/>
  <c r="V323" i="14" s="1"/>
  <c r="V1657" i="8" s="1"/>
  <c r="V276" i="13"/>
  <c r="V278" i="13" s="1"/>
  <c r="V1642" i="8" s="1"/>
  <c r="V1436" i="8"/>
  <c r="V1435" i="8"/>
  <c r="V1376" i="8"/>
  <c r="V1377" i="8" s="1"/>
  <c r="X520" i="2"/>
  <c r="W76" i="12"/>
  <c r="W215" i="8"/>
  <c r="W216" i="8" s="1"/>
  <c r="Z1276" i="8"/>
  <c r="Z1277" i="8" s="1"/>
  <c r="Z784" i="2"/>
  <c r="T1470" i="8"/>
  <c r="T1662" i="8"/>
  <c r="X1648" i="8"/>
  <c r="X1663" i="8"/>
  <c r="X1437" i="8"/>
  <c r="X1448" i="8"/>
  <c r="AC307" i="14"/>
  <c r="AC309" i="14" s="1"/>
  <c r="Z1252" i="8"/>
  <c r="Z1253" i="8" s="1"/>
  <c r="Z798" i="2"/>
  <c r="Z1372" i="8" s="1"/>
  <c r="Z1373" i="8" s="1"/>
  <c r="Z775" i="2"/>
  <c r="Z1304" i="8" s="1"/>
  <c r="Z1305" i="8" s="1"/>
  <c r="W64" i="12"/>
  <c r="W179" i="8"/>
  <c r="W180" i="8" s="1"/>
  <c r="X460" i="2"/>
  <c r="U1647" i="8"/>
  <c r="U1537" i="8"/>
  <c r="U1661" i="8"/>
  <c r="W1316" i="8"/>
  <c r="W1317" i="8" s="1"/>
  <c r="W779" i="2"/>
  <c r="W1640" i="8" s="1"/>
  <c r="Z1654" i="8"/>
  <c r="Z318" i="14"/>
  <c r="Z1618" i="8" s="1"/>
  <c r="Z319" i="14"/>
  <c r="Z1655" i="8" s="1"/>
  <c r="X517" i="2"/>
  <c r="W73" i="12"/>
  <c r="W203" i="8"/>
  <c r="W204" i="8" s="1"/>
  <c r="W85" i="12"/>
  <c r="X577" i="2"/>
  <c r="W239" i="8"/>
  <c r="W240" i="8" s="1"/>
  <c r="AE304" i="14"/>
  <c r="AE306" i="14" s="1"/>
  <c r="Z794" i="2"/>
  <c r="Z1356" i="8" s="1"/>
  <c r="Z1357" i="8" s="1"/>
  <c r="Z777" i="2"/>
  <c r="Z1312" i="8" s="1"/>
  <c r="Z1313" i="8" s="1"/>
  <c r="Z1236" i="8"/>
  <c r="Z1237" i="8" s="1"/>
  <c r="Z1228" i="8"/>
  <c r="Z1229" i="8" s="1"/>
  <c r="Z792" i="2"/>
  <c r="Z1348" i="8" s="1"/>
  <c r="Z1349" i="8" s="1"/>
  <c r="W59" i="12"/>
  <c r="X455" i="2"/>
  <c r="W159" i="8"/>
  <c r="W160" i="8" s="1"/>
  <c r="Z1272" i="8"/>
  <c r="Z1273" i="8" s="1"/>
  <c r="Z788" i="2"/>
  <c r="Z1336" i="8" s="1"/>
  <c r="Z1337" i="8" s="1"/>
  <c r="U102" i="12"/>
  <c r="U1473" i="8" s="1"/>
  <c r="U1490" i="8"/>
  <c r="X576" i="2"/>
  <c r="W235" i="8"/>
  <c r="W236" i="8" s="1"/>
  <c r="W84" i="12"/>
  <c r="W101" i="12"/>
  <c r="X641" i="2"/>
  <c r="W291" i="8"/>
  <c r="W292" i="8" s="1"/>
  <c r="U1645" i="8"/>
  <c r="U1659" i="8"/>
  <c r="U1535" i="8"/>
  <c r="W98" i="12"/>
  <c r="X638" i="2"/>
  <c r="W279" i="8"/>
  <c r="W280" i="8" s="1"/>
  <c r="W167" i="8"/>
  <c r="W168" i="8" s="1"/>
  <c r="W61" i="12"/>
  <c r="X457" i="2"/>
  <c r="V1632" i="8" l="1"/>
  <c r="V1526" i="8"/>
  <c r="V1635" i="8"/>
  <c r="V1529" i="8"/>
  <c r="AD308" i="14"/>
  <c r="V1634" i="8"/>
  <c r="V1528" i="8"/>
  <c r="V1527" i="8"/>
  <c r="V1633" i="8"/>
  <c r="AA320" i="14"/>
  <c r="AA1656" i="8" s="1"/>
  <c r="AA49" i="10"/>
  <c r="AA331" i="14"/>
  <c r="AA86" i="5" s="1"/>
  <c r="AA326" i="14"/>
  <c r="AA81" i="5" s="1"/>
  <c r="AA333" i="14"/>
  <c r="AA88" i="5" s="1"/>
  <c r="AA315" i="14"/>
  <c r="AA316" i="14"/>
  <c r="AA1653" i="8" s="1"/>
  <c r="AA1650" i="8"/>
  <c r="AA1643" i="8"/>
  <c r="AA329" i="14"/>
  <c r="AA84" i="5" s="1"/>
  <c r="AA334" i="14"/>
  <c r="AA89" i="5" s="1"/>
  <c r="AA332" i="14"/>
  <c r="AA87" i="5" s="1"/>
  <c r="AA328" i="14"/>
  <c r="AA83" i="5" s="1"/>
  <c r="AA327" i="14"/>
  <c r="AA82" i="5" s="1"/>
  <c r="AA330" i="14"/>
  <c r="AA85" i="5" s="1"/>
  <c r="AE307" i="14"/>
  <c r="AE309" i="14" s="1"/>
  <c r="Y575" i="2"/>
  <c r="X83" i="12"/>
  <c r="X231" i="8"/>
  <c r="X232" i="8" s="1"/>
  <c r="X263" i="8"/>
  <c r="X264" i="8" s="1"/>
  <c r="X94" i="12"/>
  <c r="Y634" i="2"/>
  <c r="AB429" i="2"/>
  <c r="AB549" i="2"/>
  <c r="AB609" i="2"/>
  <c r="AB489" i="2"/>
  <c r="V1647" i="8"/>
  <c r="V1537" i="8"/>
  <c r="V1661" i="8"/>
  <c r="Y785" i="2"/>
  <c r="Y1324" i="8" s="1"/>
  <c r="Y1325" i="8" s="1"/>
  <c r="Y782" i="2"/>
  <c r="Y770" i="2"/>
  <c r="Y1292" i="8" s="1"/>
  <c r="Y1293" i="8" s="1"/>
  <c r="Y1260" i="8"/>
  <c r="Y1261" i="8" s="1"/>
  <c r="U1470" i="8"/>
  <c r="U1662" i="8"/>
  <c r="Z1344" i="8"/>
  <c r="Z1345" i="8" s="1"/>
  <c r="Z799" i="2"/>
  <c r="Z1620" i="8" s="1"/>
  <c r="AB607" i="2"/>
  <c r="AB487" i="2"/>
  <c r="AB547" i="2"/>
  <c r="AB427" i="2"/>
  <c r="V1644" i="8"/>
  <c r="V1534" i="8"/>
  <c r="V1658" i="8"/>
  <c r="X84" i="12"/>
  <c r="X235" i="8"/>
  <c r="X236" i="8" s="1"/>
  <c r="Y576" i="2"/>
  <c r="Y459" i="2"/>
  <c r="X63" i="12"/>
  <c r="X175" i="8"/>
  <c r="X176" i="8" s="1"/>
  <c r="W642" i="2"/>
  <c r="W93" i="12"/>
  <c r="X633" i="2"/>
  <c r="W259" i="8"/>
  <c r="W260" i="8" s="1"/>
  <c r="X60" i="12"/>
  <c r="X163" i="8"/>
  <c r="X164" i="8" s="1"/>
  <c r="Y456" i="2"/>
  <c r="AB611" i="2"/>
  <c r="AB551" i="2"/>
  <c r="AB491" i="2"/>
  <c r="AB431" i="2"/>
  <c r="X283" i="8"/>
  <c r="X284" i="8" s="1"/>
  <c r="Y639" i="2"/>
  <c r="X99" i="12"/>
  <c r="X82" i="12"/>
  <c r="Y574" i="2"/>
  <c r="X227" i="8"/>
  <c r="X228" i="8" s="1"/>
  <c r="Y640" i="2"/>
  <c r="X287" i="8"/>
  <c r="X288" i="8" s="1"/>
  <c r="X100" i="12"/>
  <c r="X183" i="8"/>
  <c r="X184" i="8" s="1"/>
  <c r="X65" i="12"/>
  <c r="Y461" i="2"/>
  <c r="AB433" i="2"/>
  <c r="AB493" i="2"/>
  <c r="AB553" i="2"/>
  <c r="AB613" i="2"/>
  <c r="W1648" i="8"/>
  <c r="W1437" i="8"/>
  <c r="W1663" i="8"/>
  <c r="W1448" i="8"/>
  <c r="Y515" i="2"/>
  <c r="X71" i="12"/>
  <c r="X195" i="8"/>
  <c r="X196" i="8" s="1"/>
  <c r="Y1236" i="8"/>
  <c r="Y1237" i="8" s="1"/>
  <c r="Y794" i="2"/>
  <c r="Y1356" i="8" s="1"/>
  <c r="Y1357" i="8" s="1"/>
  <c r="Y777" i="2"/>
  <c r="Y1312" i="8" s="1"/>
  <c r="Y1313" i="8" s="1"/>
  <c r="X243" i="8"/>
  <c r="X244" i="8" s="1"/>
  <c r="X86" i="12"/>
  <c r="Y578" i="2"/>
  <c r="V1648" i="8"/>
  <c r="V1663" i="8"/>
  <c r="V1437" i="8"/>
  <c r="V1448" i="8"/>
  <c r="AB426" i="2"/>
  <c r="AB546" i="2"/>
  <c r="AB606" i="2"/>
  <c r="AB486" i="2"/>
  <c r="Y1232" i="8"/>
  <c r="Y1233" i="8" s="1"/>
  <c r="Y793" i="2"/>
  <c r="Y1352" i="8" s="1"/>
  <c r="Y1353" i="8" s="1"/>
  <c r="X251" i="8"/>
  <c r="X252" i="8" s="1"/>
  <c r="Y580" i="2"/>
  <c r="X88" i="12"/>
  <c r="Y457" i="2"/>
  <c r="X167" i="8"/>
  <c r="X168" i="8" s="1"/>
  <c r="X61" i="12"/>
  <c r="Y1244" i="8"/>
  <c r="Y1245" i="8" s="1"/>
  <c r="Y796" i="2"/>
  <c r="Y1364" i="8" s="1"/>
  <c r="Y1365" i="8" s="1"/>
  <c r="W1539" i="8"/>
  <c r="W1665" i="8"/>
  <c r="W1517" i="8"/>
  <c r="Y454" i="2"/>
  <c r="X155" i="8"/>
  <c r="X156" i="8" s="1"/>
  <c r="X58" i="12"/>
  <c r="Y637" i="2"/>
  <c r="X97" i="12"/>
  <c r="X275" i="8"/>
  <c r="X276" i="8" s="1"/>
  <c r="AB548" i="2"/>
  <c r="AB608" i="2"/>
  <c r="AB428" i="2"/>
  <c r="AB488" i="2"/>
  <c r="V1645" i="8"/>
  <c r="V1535" i="8"/>
  <c r="V1659" i="8"/>
  <c r="X513" i="2"/>
  <c r="W522" i="2"/>
  <c r="W187" i="8"/>
  <c r="W188" i="8" s="1"/>
  <c r="W69" i="12"/>
  <c r="V1488" i="8"/>
  <c r="V78" i="12"/>
  <c r="V1471" i="8" s="1"/>
  <c r="Y797" i="2"/>
  <c r="Y1368" i="8" s="1"/>
  <c r="Y1369" i="8" s="1"/>
  <c r="Y1248" i="8"/>
  <c r="Y1249" i="8" s="1"/>
  <c r="Y519" i="2"/>
  <c r="X211" i="8"/>
  <c r="X212" i="8" s="1"/>
  <c r="X75" i="12"/>
  <c r="AD310" i="14"/>
  <c r="AD313" i="14" s="1"/>
  <c r="V1646" i="8"/>
  <c r="V1660" i="8"/>
  <c r="V1536" i="8"/>
  <c r="AB430" i="2"/>
  <c r="AB610" i="2"/>
  <c r="AB550" i="2"/>
  <c r="AB490" i="2"/>
  <c r="X179" i="8"/>
  <c r="X180" i="8" s="1"/>
  <c r="Y460" i="2"/>
  <c r="X64" i="12"/>
  <c r="X239" i="8"/>
  <c r="X240" i="8" s="1"/>
  <c r="Y577" i="2"/>
  <c r="X85" i="12"/>
  <c r="Y520" i="2"/>
  <c r="X215" i="8"/>
  <c r="X216" i="8" s="1"/>
  <c r="X76" i="12"/>
  <c r="V1489" i="8"/>
  <c r="V90" i="12"/>
  <c r="V1472" i="8" s="1"/>
  <c r="Z778" i="2"/>
  <c r="Z1296" i="8"/>
  <c r="Z1297" i="8" s="1"/>
  <c r="AB554" i="2"/>
  <c r="AB494" i="2"/>
  <c r="AB434" i="2"/>
  <c r="AB614" i="2"/>
  <c r="X291" i="8"/>
  <c r="X292" i="8" s="1"/>
  <c r="X101" i="12"/>
  <c r="Y641" i="2"/>
  <c r="V66" i="12"/>
  <c r="V1487" i="8"/>
  <c r="X279" i="8"/>
  <c r="X280" i="8" s="1"/>
  <c r="X98" i="12"/>
  <c r="Y638" i="2"/>
  <c r="Y455" i="2"/>
  <c r="X59" i="12"/>
  <c r="X159" i="8"/>
  <c r="X160" i="8" s="1"/>
  <c r="X73" i="12"/>
  <c r="Y517" i="2"/>
  <c r="X203" i="8"/>
  <c r="X204" i="8" s="1"/>
  <c r="X70" i="12"/>
  <c r="X191" i="8"/>
  <c r="X192" i="8" s="1"/>
  <c r="Y514" i="2"/>
  <c r="Y788" i="2"/>
  <c r="Y1336" i="8" s="1"/>
  <c r="Y1337" i="8" s="1"/>
  <c r="Y1272" i="8"/>
  <c r="Y1273" i="8" s="1"/>
  <c r="Y1654" i="8"/>
  <c r="Y319" i="14"/>
  <c r="Y1655" i="8" s="1"/>
  <c r="Y318" i="14"/>
  <c r="Y1618" i="8" s="1"/>
  <c r="X573" i="2"/>
  <c r="W81" i="12"/>
  <c r="W223" i="8"/>
  <c r="W224" i="8" s="1"/>
  <c r="W582" i="2"/>
  <c r="Y521" i="2"/>
  <c r="X77" i="12"/>
  <c r="X219" i="8"/>
  <c r="X220" i="8" s="1"/>
  <c r="AB612" i="2"/>
  <c r="AB552" i="2"/>
  <c r="AB492" i="2"/>
  <c r="AB432" i="2"/>
  <c r="Y786" i="2"/>
  <c r="Y1328" i="8" s="1"/>
  <c r="Y1329" i="8" s="1"/>
  <c r="Y1288" i="8"/>
  <c r="Y1289" i="8" s="1"/>
  <c r="Z789" i="2"/>
  <c r="Z1340" i="8" s="1"/>
  <c r="Z1320" i="8"/>
  <c r="Z1321" i="8" s="1"/>
  <c r="AC308" i="14"/>
  <c r="Y1276" i="8"/>
  <c r="Y1277" i="8" s="1"/>
  <c r="Y784" i="2"/>
  <c r="Y516" i="2"/>
  <c r="X72" i="12"/>
  <c r="X199" i="8"/>
  <c r="X200" i="8" s="1"/>
  <c r="Y458" i="2"/>
  <c r="X171" i="8"/>
  <c r="X172" i="8" s="1"/>
  <c r="X62" i="12"/>
  <c r="AB1626" i="8"/>
  <c r="AB139" i="5"/>
  <c r="AB648" i="2" s="1"/>
  <c r="Z1619" i="8"/>
  <c r="Z780" i="2"/>
  <c r="Z1438" i="8" s="1"/>
  <c r="Z1256" i="8"/>
  <c r="Z1257" i="8" s="1"/>
  <c r="X267" i="8"/>
  <c r="X268" i="8" s="1"/>
  <c r="X95" i="12"/>
  <c r="Y635" i="2"/>
  <c r="Y798" i="2"/>
  <c r="Y1372" i="8" s="1"/>
  <c r="Y1373" i="8" s="1"/>
  <c r="Y1252" i="8"/>
  <c r="Y1253" i="8" s="1"/>
  <c r="Y775" i="2"/>
  <c r="Y1304" i="8" s="1"/>
  <c r="Y1305" i="8" s="1"/>
  <c r="AC310" i="14"/>
  <c r="AC313" i="14" s="1"/>
  <c r="Y795" i="2"/>
  <c r="Y1360" i="8" s="1"/>
  <c r="Y1361" i="8" s="1"/>
  <c r="Y1240" i="8"/>
  <c r="Y1241" i="8" s="1"/>
  <c r="Y773" i="2"/>
  <c r="Y1224" i="8"/>
  <c r="Y1225" i="8" s="1"/>
  <c r="Y791" i="2"/>
  <c r="Y759" i="2"/>
  <c r="Y781" i="2"/>
  <c r="Y774" i="2"/>
  <c r="Y1300" i="8" s="1"/>
  <c r="Y1301" i="8" s="1"/>
  <c r="Y636" i="2"/>
  <c r="X96" i="12"/>
  <c r="X271" i="8"/>
  <c r="X272" i="8" s="1"/>
  <c r="Y518" i="2"/>
  <c r="X74" i="12"/>
  <c r="X207" i="8"/>
  <c r="X208" i="8" s="1"/>
  <c r="V1490" i="8"/>
  <c r="V102" i="12"/>
  <c r="V1473" i="8" s="1"/>
  <c r="V1665" i="8"/>
  <c r="V1539" i="8"/>
  <c r="V1517" i="8"/>
  <c r="Y579" i="2"/>
  <c r="X247" i="8"/>
  <c r="X248" i="8" s="1"/>
  <c r="X87" i="12"/>
  <c r="Y792" i="2"/>
  <c r="Y1348" i="8" s="1"/>
  <c r="Y1349" i="8" s="1"/>
  <c r="Y1228" i="8"/>
  <c r="Y1229" i="8" s="1"/>
  <c r="X453" i="2"/>
  <c r="W57" i="12"/>
  <c r="W151" i="8"/>
  <c r="W152" i="8" s="1"/>
  <c r="W462" i="2"/>
  <c r="X89" i="12"/>
  <c r="Y581" i="2"/>
  <c r="X255" i="8"/>
  <c r="X256" i="8" s="1"/>
  <c r="AB1652" i="8"/>
  <c r="AB314" i="14"/>
  <c r="W1634" i="8" l="1"/>
  <c r="W1528" i="8"/>
  <c r="W1633" i="8"/>
  <c r="W1527" i="8"/>
  <c r="AB1519" i="8"/>
  <c r="AB1521" i="8"/>
  <c r="AB1520" i="8"/>
  <c r="AB1518" i="8"/>
  <c r="W1529" i="8"/>
  <c r="W1635" i="8"/>
  <c r="W1632" i="8"/>
  <c r="W1526" i="8"/>
  <c r="AB1622" i="8"/>
  <c r="V1662" i="8"/>
  <c r="V1470" i="8"/>
  <c r="Z1664" i="8"/>
  <c r="Z1435" i="8"/>
  <c r="Z322" i="14"/>
  <c r="Z323" i="14" s="1"/>
  <c r="Z1657" i="8" s="1"/>
  <c r="Z1436" i="8"/>
  <c r="Z1376" i="8"/>
  <c r="Z1377" i="8" s="1"/>
  <c r="Z276" i="13"/>
  <c r="Z278" i="13" s="1"/>
  <c r="Z1642" i="8" s="1"/>
  <c r="Y62" i="12"/>
  <c r="Y171" i="8"/>
  <c r="Y172" i="8" s="1"/>
  <c r="Z458" i="2"/>
  <c r="AA549" i="2"/>
  <c r="AA609" i="2"/>
  <c r="AA489" i="2"/>
  <c r="AA429" i="2"/>
  <c r="Z519" i="2"/>
  <c r="Y75" i="12"/>
  <c r="Y211" i="8"/>
  <c r="Y212" i="8" s="1"/>
  <c r="Z639" i="2"/>
  <c r="Y99" i="12"/>
  <c r="Y283" i="8"/>
  <c r="Y284" i="8" s="1"/>
  <c r="W102" i="12"/>
  <c r="W1473" i="8" s="1"/>
  <c r="W1490" i="8"/>
  <c r="AA494" i="2"/>
  <c r="AA434" i="2"/>
  <c r="AA554" i="2"/>
  <c r="AA614" i="2"/>
  <c r="Z457" i="2"/>
  <c r="Y167" i="8"/>
  <c r="Y168" i="8" s="1"/>
  <c r="Y61" i="12"/>
  <c r="Z578" i="2"/>
  <c r="Y243" i="8"/>
  <c r="Y244" i="8" s="1"/>
  <c r="Y86" i="12"/>
  <c r="Y175" i="8"/>
  <c r="Y176" i="8" s="1"/>
  <c r="Y63" i="12"/>
  <c r="Z459" i="2"/>
  <c r="AA488" i="2"/>
  <c r="AA548" i="2"/>
  <c r="AA428" i="2"/>
  <c r="AA608" i="2"/>
  <c r="AD320" i="14"/>
  <c r="AD1656" i="8" s="1"/>
  <c r="AD327" i="14"/>
  <c r="AD82" i="5" s="1"/>
  <c r="AD334" i="14"/>
  <c r="AD89" i="5" s="1"/>
  <c r="AD328" i="14"/>
  <c r="AD83" i="5" s="1"/>
  <c r="AD330" i="14"/>
  <c r="AD85" i="5" s="1"/>
  <c r="AD315" i="14"/>
  <c r="AD316" i="14"/>
  <c r="AD1653" i="8" s="1"/>
  <c r="AD1643" i="8"/>
  <c r="AD1650" i="8"/>
  <c r="AD49" i="10"/>
  <c r="AD326" i="14"/>
  <c r="AD81" i="5" s="1"/>
  <c r="AD331" i="14"/>
  <c r="AD86" i="5" s="1"/>
  <c r="AD329" i="14"/>
  <c r="AD84" i="5" s="1"/>
  <c r="AD332" i="14"/>
  <c r="AD87" i="5" s="1"/>
  <c r="AD333" i="14"/>
  <c r="AD88" i="5" s="1"/>
  <c r="W1644" i="8"/>
  <c r="W1658" i="8"/>
  <c r="W1534" i="8"/>
  <c r="Z516" i="2"/>
  <c r="Y199" i="8"/>
  <c r="Y200" i="8" s="1"/>
  <c r="Y72" i="12"/>
  <c r="Y77" i="12"/>
  <c r="Z521" i="2"/>
  <c r="Y219" i="8"/>
  <c r="Y220" i="8" s="1"/>
  <c r="Z517" i="2"/>
  <c r="Y203" i="8"/>
  <c r="Y204" i="8" s="1"/>
  <c r="Y73" i="12"/>
  <c r="Y179" i="8"/>
  <c r="Y180" i="8" s="1"/>
  <c r="Z460" i="2"/>
  <c r="Y64" i="12"/>
  <c r="Y235" i="8"/>
  <c r="Y236" i="8" s="1"/>
  <c r="Z576" i="2"/>
  <c r="Y84" i="12"/>
  <c r="Y1296" i="8"/>
  <c r="Y1297" i="8" s="1"/>
  <c r="Y778" i="2"/>
  <c r="Y70" i="12"/>
  <c r="Z514" i="2"/>
  <c r="Y191" i="8"/>
  <c r="Y192" i="8" s="1"/>
  <c r="Y85" i="12"/>
  <c r="Y239" i="8"/>
  <c r="Y240" i="8" s="1"/>
  <c r="Z577" i="2"/>
  <c r="Y453" i="2"/>
  <c r="X57" i="12"/>
  <c r="X151" i="8"/>
  <c r="X152" i="8" s="1"/>
  <c r="X462" i="2"/>
  <c r="Y267" i="8"/>
  <c r="Y268" i="8" s="1"/>
  <c r="Z635" i="2"/>
  <c r="Y95" i="12"/>
  <c r="Y789" i="2"/>
  <c r="Y1340" i="8" s="1"/>
  <c r="Y1320" i="8"/>
  <c r="Y1321" i="8" s="1"/>
  <c r="W1646" i="8"/>
  <c r="W1660" i="8"/>
  <c r="W1536" i="8"/>
  <c r="Z580" i="2"/>
  <c r="Y88" i="12"/>
  <c r="Y251" i="8"/>
  <c r="Y252" i="8" s="1"/>
  <c r="AA1652" i="8"/>
  <c r="AA314" i="14"/>
  <c r="AC316" i="14"/>
  <c r="AC1653" i="8" s="1"/>
  <c r="AC326" i="14"/>
  <c r="AC81" i="5" s="1"/>
  <c r="AC1643" i="8"/>
  <c r="AC320" i="14"/>
  <c r="AC1656" i="8" s="1"/>
  <c r="AC1650" i="8"/>
  <c r="AC333" i="14"/>
  <c r="AC88" i="5" s="1"/>
  <c r="AC329" i="14"/>
  <c r="AC84" i="5" s="1"/>
  <c r="AC332" i="14"/>
  <c r="AC87" i="5" s="1"/>
  <c r="AC327" i="14"/>
  <c r="AC82" i="5" s="1"/>
  <c r="AC328" i="14"/>
  <c r="AC83" i="5" s="1"/>
  <c r="AC331" i="14"/>
  <c r="AC86" i="5" s="1"/>
  <c r="AC334" i="14"/>
  <c r="AC89" i="5" s="1"/>
  <c r="AC330" i="14"/>
  <c r="AC85" i="5" s="1"/>
  <c r="AC49" i="10"/>
  <c r="AC315" i="14"/>
  <c r="Y94" i="12"/>
  <c r="Y263" i="8"/>
  <c r="Y264" i="8" s="1"/>
  <c r="Z634" i="2"/>
  <c r="Z636" i="2"/>
  <c r="Y96" i="12"/>
  <c r="Y271" i="8"/>
  <c r="Y272" i="8" s="1"/>
  <c r="Y97" i="12"/>
  <c r="Z637" i="2"/>
  <c r="Y275" i="8"/>
  <c r="Y276" i="8" s="1"/>
  <c r="Y65" i="12"/>
  <c r="Y183" i="8"/>
  <c r="Y184" i="8" s="1"/>
  <c r="Z461" i="2"/>
  <c r="Y83" i="12"/>
  <c r="Y231" i="8"/>
  <c r="Y232" i="8" s="1"/>
  <c r="Z575" i="2"/>
  <c r="AA433" i="2"/>
  <c r="AA613" i="2"/>
  <c r="AA493" i="2"/>
  <c r="AA553" i="2"/>
  <c r="W90" i="12"/>
  <c r="W1472" i="8" s="1"/>
  <c r="W1489" i="8"/>
  <c r="W78" i="12"/>
  <c r="W1471" i="8" s="1"/>
  <c r="W1488" i="8"/>
  <c r="AE308" i="14"/>
  <c r="AA486" i="2"/>
  <c r="AA606" i="2"/>
  <c r="AA426" i="2"/>
  <c r="AA546" i="2"/>
  <c r="AA1520" i="8" s="1"/>
  <c r="X642" i="2"/>
  <c r="Y633" i="2"/>
  <c r="X259" i="8"/>
  <c r="X260" i="8" s="1"/>
  <c r="X93" i="12"/>
  <c r="Y76" i="12"/>
  <c r="Y215" i="8"/>
  <c r="Y216" i="8" s="1"/>
  <c r="Z520" i="2"/>
  <c r="AA612" i="2"/>
  <c r="AA552" i="2"/>
  <c r="AA432" i="2"/>
  <c r="AA492" i="2"/>
  <c r="Y291" i="8"/>
  <c r="Y292" i="8" s="1"/>
  <c r="Z641" i="2"/>
  <c r="Y101" i="12"/>
  <c r="X81" i="12"/>
  <c r="X582" i="2"/>
  <c r="X223" i="8"/>
  <c r="X224" i="8" s="1"/>
  <c r="Y573" i="2"/>
  <c r="Z455" i="2"/>
  <c r="Y59" i="12"/>
  <c r="Y159" i="8"/>
  <c r="Y160" i="8" s="1"/>
  <c r="Z779" i="2"/>
  <c r="Z1640" i="8" s="1"/>
  <c r="Z1316" i="8"/>
  <c r="Z1317" i="8" s="1"/>
  <c r="Y163" i="8"/>
  <c r="Y164" i="8" s="1"/>
  <c r="Z456" i="2"/>
  <c r="Y60" i="12"/>
  <c r="AE310" i="14"/>
  <c r="AE313" i="14" s="1"/>
  <c r="AA491" i="2"/>
  <c r="AA551" i="2"/>
  <c r="AA611" i="2"/>
  <c r="AA431" i="2"/>
  <c r="W1487" i="8"/>
  <c r="W66" i="12"/>
  <c r="Z638" i="2"/>
  <c r="Y98" i="12"/>
  <c r="Y279" i="8"/>
  <c r="Y280" i="8" s="1"/>
  <c r="W1645" i="8"/>
  <c r="W1659" i="8"/>
  <c r="W1535" i="8"/>
  <c r="Y58" i="12"/>
  <c r="Z454" i="2"/>
  <c r="Y155" i="8"/>
  <c r="Y156" i="8" s="1"/>
  <c r="AB1623" i="8"/>
  <c r="AA1626" i="8"/>
  <c r="AA139" i="5"/>
  <c r="AA648" i="2" s="1"/>
  <c r="Z574" i="2"/>
  <c r="Y227" i="8"/>
  <c r="Y228" i="8" s="1"/>
  <c r="Y82" i="12"/>
  <c r="W1647" i="8"/>
  <c r="W1537" i="8"/>
  <c r="W1661" i="8"/>
  <c r="Y87" i="12"/>
  <c r="Z579" i="2"/>
  <c r="Y247" i="8"/>
  <c r="Y248" i="8" s="1"/>
  <c r="Y1619" i="8"/>
  <c r="Y1256" i="8"/>
  <c r="Y1257" i="8" s="1"/>
  <c r="Y780" i="2"/>
  <c r="Y1438" i="8" s="1"/>
  <c r="Y1344" i="8"/>
  <c r="Y1345" i="8" s="1"/>
  <c r="Y799" i="2"/>
  <c r="Y1620" i="8" s="1"/>
  <c r="X187" i="8"/>
  <c r="X188" i="8" s="1"/>
  <c r="Y513" i="2"/>
  <c r="X522" i="2"/>
  <c r="X69" i="12"/>
  <c r="AB1625" i="8"/>
  <c r="AA490" i="2"/>
  <c r="AA550" i="2"/>
  <c r="AA430" i="2"/>
  <c r="AA610" i="2"/>
  <c r="Y255" i="8"/>
  <c r="Y256" i="8" s="1"/>
  <c r="Z581" i="2"/>
  <c r="Y89" i="12"/>
  <c r="Y74" i="12"/>
  <c r="Z518" i="2"/>
  <c r="Y207" i="8"/>
  <c r="Y208" i="8" s="1"/>
  <c r="AB1651" i="8"/>
  <c r="AB321" i="14"/>
  <c r="AB317" i="14"/>
  <c r="AB769" i="2"/>
  <c r="AB764" i="2"/>
  <c r="AB1268" i="8" s="1"/>
  <c r="AB1269" i="8" s="1"/>
  <c r="AB758" i="2"/>
  <c r="AB757" i="2"/>
  <c r="AB660" i="2"/>
  <c r="AB763" i="2"/>
  <c r="AB1264" i="8" s="1"/>
  <c r="AB1265" i="8" s="1"/>
  <c r="AB659" i="2"/>
  <c r="AB753" i="2"/>
  <c r="AB657" i="2"/>
  <c r="AB768" i="2"/>
  <c r="AB1284" i="8" s="1"/>
  <c r="AB1285" i="8" s="1"/>
  <c r="AB766" i="2"/>
  <c r="AB1627" i="8"/>
  <c r="AB751" i="2"/>
  <c r="AB762" i="2"/>
  <c r="AB755" i="2"/>
  <c r="AB756" i="2"/>
  <c r="AB658" i="2"/>
  <c r="AB765" i="2"/>
  <c r="AB767" i="2"/>
  <c r="AB1280" i="8" s="1"/>
  <c r="AB1281" i="8" s="1"/>
  <c r="AB752" i="2"/>
  <c r="AB754" i="2"/>
  <c r="AB1624" i="8"/>
  <c r="Z515" i="2"/>
  <c r="Y195" i="8"/>
  <c r="Y196" i="8" s="1"/>
  <c r="Y71" i="12"/>
  <c r="Y100" i="12"/>
  <c r="Z640" i="2"/>
  <c r="Y287" i="8"/>
  <c r="Y288" i="8" s="1"/>
  <c r="AA487" i="2"/>
  <c r="AA427" i="2"/>
  <c r="AA547" i="2"/>
  <c r="AA607" i="2"/>
  <c r="X1526" i="8" l="1"/>
  <c r="X1632" i="8"/>
  <c r="X1527" i="8"/>
  <c r="X1633" i="8"/>
  <c r="AA1521" i="8"/>
  <c r="AA1623" i="8"/>
  <c r="AA1519" i="8"/>
  <c r="AA1518" i="8"/>
  <c r="X1528" i="8"/>
  <c r="X1634" i="8"/>
  <c r="X1635" i="8"/>
  <c r="X1529" i="8"/>
  <c r="AB798" i="2"/>
  <c r="AB1372" i="8" s="1"/>
  <c r="AB1373" i="8" s="1"/>
  <c r="AB775" i="2"/>
  <c r="AB1304" i="8" s="1"/>
  <c r="AB1305" i="8" s="1"/>
  <c r="AB1252" i="8"/>
  <c r="AB1253" i="8" s="1"/>
  <c r="AC614" i="2"/>
  <c r="AC554" i="2"/>
  <c r="AC434" i="2"/>
  <c r="AC494" i="2"/>
  <c r="Y462" i="2"/>
  <c r="Z453" i="2"/>
  <c r="Y151" i="8"/>
  <c r="Y152" i="8" s="1"/>
  <c r="Y57" i="12"/>
  <c r="AD613" i="2"/>
  <c r="AD433" i="2"/>
  <c r="AD553" i="2"/>
  <c r="AD493" i="2"/>
  <c r="AB1272" i="8"/>
  <c r="AB1273" i="8" s="1"/>
  <c r="AB788" i="2"/>
  <c r="AB1336" i="8" s="1"/>
  <c r="AB1337" i="8" s="1"/>
  <c r="AB797" i="2"/>
  <c r="AB1368" i="8" s="1"/>
  <c r="AB1369" i="8" s="1"/>
  <c r="AB1248" i="8"/>
  <c r="AB1249" i="8" s="1"/>
  <c r="AC551" i="2"/>
  <c r="AC431" i="2"/>
  <c r="AC491" i="2"/>
  <c r="AC611" i="2"/>
  <c r="AA577" i="2"/>
  <c r="Z239" i="8"/>
  <c r="Z240" i="8" s="1"/>
  <c r="Z85" i="12"/>
  <c r="AC548" i="2"/>
  <c r="AC608" i="2"/>
  <c r="AC428" i="2"/>
  <c r="AC488" i="2"/>
  <c r="AD609" i="2"/>
  <c r="AD489" i="2"/>
  <c r="AD429" i="2"/>
  <c r="AD549" i="2"/>
  <c r="AA458" i="2"/>
  <c r="Z62" i="12"/>
  <c r="Z171" i="8"/>
  <c r="Z172" i="8" s="1"/>
  <c r="AB1260" i="8"/>
  <c r="AB1261" i="8" s="1"/>
  <c r="AB770" i="2"/>
  <c r="AB1292" i="8" s="1"/>
  <c r="AB1293" i="8" s="1"/>
  <c r="AB785" i="2"/>
  <c r="AB1324" i="8" s="1"/>
  <c r="AB1325" i="8" s="1"/>
  <c r="AB782" i="2"/>
  <c r="AB1654" i="8"/>
  <c r="AB318" i="14"/>
  <c r="AB1618" i="8" s="1"/>
  <c r="AB319" i="14"/>
  <c r="AB1655" i="8" s="1"/>
  <c r="X78" i="12"/>
  <c r="X1471" i="8" s="1"/>
  <c r="X1488" i="8"/>
  <c r="Z76" i="12"/>
  <c r="AA520" i="2"/>
  <c r="Z215" i="8"/>
  <c r="Z216" i="8" s="1"/>
  <c r="AC427" i="2"/>
  <c r="AC487" i="2"/>
  <c r="AC547" i="2"/>
  <c r="AC607" i="2"/>
  <c r="Z203" i="8"/>
  <c r="Z204" i="8" s="1"/>
  <c r="AA517" i="2"/>
  <c r="Z73" i="12"/>
  <c r="AD611" i="2"/>
  <c r="AD491" i="2"/>
  <c r="AD551" i="2"/>
  <c r="AD431" i="2"/>
  <c r="AC550" i="2"/>
  <c r="AC430" i="2"/>
  <c r="AC610" i="2"/>
  <c r="AC490" i="2"/>
  <c r="Z1648" i="8"/>
  <c r="Z1448" i="8"/>
  <c r="Z1663" i="8"/>
  <c r="Z1437" i="8"/>
  <c r="AA580" i="2"/>
  <c r="Z251" i="8"/>
  <c r="Z252" i="8" s="1"/>
  <c r="Z88" i="12"/>
  <c r="X1645" i="8"/>
  <c r="X1659" i="8"/>
  <c r="X1535" i="8"/>
  <c r="AA638" i="2"/>
  <c r="Z98" i="12"/>
  <c r="Z279" i="8"/>
  <c r="Z280" i="8" s="1"/>
  <c r="AC552" i="2"/>
  <c r="AC612" i="2"/>
  <c r="AC432" i="2"/>
  <c r="AC492" i="2"/>
  <c r="AD606" i="2"/>
  <c r="AD546" i="2"/>
  <c r="AD486" i="2"/>
  <c r="AD426" i="2"/>
  <c r="AD552" i="2"/>
  <c r="AD492" i="2"/>
  <c r="AD432" i="2"/>
  <c r="AD612" i="2"/>
  <c r="Y522" i="2"/>
  <c r="Y69" i="12"/>
  <c r="Y187" i="8"/>
  <c r="Y188" i="8" s="1"/>
  <c r="Z513" i="2"/>
  <c r="W1470" i="8"/>
  <c r="W1662" i="8"/>
  <c r="AC549" i="2"/>
  <c r="AC609" i="2"/>
  <c r="AC429" i="2"/>
  <c r="AC489" i="2"/>
  <c r="AA514" i="2"/>
  <c r="Z191" i="8"/>
  <c r="Z192" i="8" s="1"/>
  <c r="Z70" i="12"/>
  <c r="AA521" i="2"/>
  <c r="Z77" i="12"/>
  <c r="Z219" i="8"/>
  <c r="Z220" i="8" s="1"/>
  <c r="AD1626" i="8"/>
  <c r="AD139" i="5"/>
  <c r="AD648" i="2" s="1"/>
  <c r="Z175" i="8"/>
  <c r="Z176" i="8" s="1"/>
  <c r="Z63" i="12"/>
  <c r="AA459" i="2"/>
  <c r="Z1665" i="8"/>
  <c r="Z1539" i="8"/>
  <c r="Z1517" i="8"/>
  <c r="AB1244" i="8"/>
  <c r="AB1245" i="8" s="1"/>
  <c r="AB796" i="2"/>
  <c r="AB1364" i="8" s="1"/>
  <c r="AB1365" i="8" s="1"/>
  <c r="AB791" i="2"/>
  <c r="AB774" i="2"/>
  <c r="AB1300" i="8" s="1"/>
  <c r="AB1301" i="8" s="1"/>
  <c r="AB759" i="2"/>
  <c r="AB781" i="2"/>
  <c r="AB1224" i="8"/>
  <c r="AB1225" i="8" s="1"/>
  <c r="AB1276" i="8"/>
  <c r="AB1277" i="8" s="1"/>
  <c r="AB784" i="2"/>
  <c r="Z82" i="12"/>
  <c r="Z227" i="8"/>
  <c r="Z228" i="8" s="1"/>
  <c r="AA574" i="2"/>
  <c r="X1490" i="8"/>
  <c r="X102" i="12"/>
  <c r="X1473" i="8" s="1"/>
  <c r="Z96" i="12"/>
  <c r="AA636" i="2"/>
  <c r="Z271" i="8"/>
  <c r="Z272" i="8" s="1"/>
  <c r="AC433" i="2"/>
  <c r="AC493" i="2"/>
  <c r="AC613" i="2"/>
  <c r="AC553" i="2"/>
  <c r="Z97" i="12"/>
  <c r="Z275" i="8"/>
  <c r="Z276" i="8" s="1"/>
  <c r="AA637" i="2"/>
  <c r="Z287" i="8"/>
  <c r="Z288" i="8" s="1"/>
  <c r="AA640" i="2"/>
  <c r="Z100" i="12"/>
  <c r="Z59" i="12"/>
  <c r="Z159" i="8"/>
  <c r="Z160" i="8" s="1"/>
  <c r="AA455" i="2"/>
  <c r="Y81" i="12"/>
  <c r="Y223" i="8"/>
  <c r="Y224" i="8" s="1"/>
  <c r="Y582" i="2"/>
  <c r="Z573" i="2"/>
  <c r="Z74" i="12"/>
  <c r="Z207" i="8"/>
  <c r="Z208" i="8" s="1"/>
  <c r="AA518" i="2"/>
  <c r="Y322" i="14"/>
  <c r="Y323" i="14" s="1"/>
  <c r="Y1657" i="8" s="1"/>
  <c r="Y1436" i="8"/>
  <c r="Y1376" i="8"/>
  <c r="Y1377" i="8" s="1"/>
  <c r="Y1435" i="8"/>
  <c r="Y1664" i="8"/>
  <c r="Y276" i="13"/>
  <c r="Y278" i="13" s="1"/>
  <c r="Y1642" i="8" s="1"/>
  <c r="AA657" i="2"/>
  <c r="AA755" i="2"/>
  <c r="AA658" i="2"/>
  <c r="AA766" i="2"/>
  <c r="AA751" i="2"/>
  <c r="AA767" i="2"/>
  <c r="AA1280" i="8" s="1"/>
  <c r="AA1281" i="8" s="1"/>
  <c r="AA753" i="2"/>
  <c r="AA1627" i="8"/>
  <c r="AA764" i="2"/>
  <c r="AA1268" i="8" s="1"/>
  <c r="AA1269" i="8" s="1"/>
  <c r="AA756" i="2"/>
  <c r="AA769" i="2"/>
  <c r="AA757" i="2"/>
  <c r="AA754" i="2"/>
  <c r="AA762" i="2"/>
  <c r="AA752" i="2"/>
  <c r="AA659" i="2"/>
  <c r="AA765" i="2"/>
  <c r="AA660" i="2"/>
  <c r="AA763" i="2"/>
  <c r="AA1264" i="8" s="1"/>
  <c r="AA1265" i="8" s="1"/>
  <c r="AA758" i="2"/>
  <c r="AA768" i="2"/>
  <c r="AA1284" i="8" s="1"/>
  <c r="AA1285" i="8" s="1"/>
  <c r="Z263" i="8"/>
  <c r="Z264" i="8" s="1"/>
  <c r="AA634" i="2"/>
  <c r="Z94" i="12"/>
  <c r="Y1316" i="8"/>
  <c r="Y1317" i="8" s="1"/>
  <c r="Y779" i="2"/>
  <c r="Y1640" i="8" s="1"/>
  <c r="AB1240" i="8"/>
  <c r="AB1241" i="8" s="1"/>
  <c r="AB773" i="2"/>
  <c r="AB795" i="2"/>
  <c r="AB1360" i="8" s="1"/>
  <c r="AB1361" i="8" s="1"/>
  <c r="AB786" i="2"/>
  <c r="AB1328" i="8" s="1"/>
  <c r="AB1329" i="8" s="1"/>
  <c r="AB1288" i="8"/>
  <c r="AB1289" i="8" s="1"/>
  <c r="Z195" i="8"/>
  <c r="Z196" i="8" s="1"/>
  <c r="Z71" i="12"/>
  <c r="AA515" i="2"/>
  <c r="X1646" i="8"/>
  <c r="X1660" i="8"/>
  <c r="X1536" i="8"/>
  <c r="Y642" i="2"/>
  <c r="Z633" i="2"/>
  <c r="Y93" i="12"/>
  <c r="Y259" i="8"/>
  <c r="Y260" i="8" s="1"/>
  <c r="AA639" i="2"/>
  <c r="Z283" i="8"/>
  <c r="Z284" i="8" s="1"/>
  <c r="Z99" i="12"/>
  <c r="Z60" i="12"/>
  <c r="Z163" i="8"/>
  <c r="Z164" i="8" s="1"/>
  <c r="AA456" i="2"/>
  <c r="AB1232" i="8"/>
  <c r="AB1233" i="8" s="1"/>
  <c r="AB793" i="2"/>
  <c r="AB1352" i="8" s="1"/>
  <c r="AB1353" i="8" s="1"/>
  <c r="X90" i="12"/>
  <c r="X1472" i="8" s="1"/>
  <c r="X1489" i="8"/>
  <c r="X1647" i="8"/>
  <c r="X1537" i="8"/>
  <c r="X1661" i="8"/>
  <c r="AA575" i="2"/>
  <c r="Z83" i="12"/>
  <c r="Z231" i="8"/>
  <c r="Z232" i="8" s="1"/>
  <c r="Z267" i="8"/>
  <c r="Z268" i="8" s="1"/>
  <c r="Z95" i="12"/>
  <c r="AA635" i="2"/>
  <c r="AA516" i="2"/>
  <c r="Z72" i="12"/>
  <c r="Z199" i="8"/>
  <c r="Z200" i="8" s="1"/>
  <c r="AD1652" i="8"/>
  <c r="AD314" i="14"/>
  <c r="AB1236" i="8"/>
  <c r="AB1237" i="8" s="1"/>
  <c r="AB777" i="2"/>
  <c r="AB1312" i="8" s="1"/>
  <c r="AB1313" i="8" s="1"/>
  <c r="AB794" i="2"/>
  <c r="AB1356" i="8" s="1"/>
  <c r="AB1357" i="8" s="1"/>
  <c r="AA581" i="2"/>
  <c r="Z255" i="8"/>
  <c r="Z256" i="8" s="1"/>
  <c r="Z89" i="12"/>
  <c r="AA1624" i="8"/>
  <c r="AC426" i="2"/>
  <c r="AC606" i="2"/>
  <c r="AC546" i="2"/>
  <c r="AC1520" i="8" s="1"/>
  <c r="AC486" i="2"/>
  <c r="AA576" i="2"/>
  <c r="Z84" i="12"/>
  <c r="Z235" i="8"/>
  <c r="Z236" i="8" s="1"/>
  <c r="AD430" i="2"/>
  <c r="AD490" i="2"/>
  <c r="AD550" i="2"/>
  <c r="AD610" i="2"/>
  <c r="AA578" i="2"/>
  <c r="Z86" i="12"/>
  <c r="Z243" i="8"/>
  <c r="Z244" i="8" s="1"/>
  <c r="Z247" i="8"/>
  <c r="Z248" i="8" s="1"/>
  <c r="Z87" i="12"/>
  <c r="AA579" i="2"/>
  <c r="AB1228" i="8"/>
  <c r="AB1229" i="8" s="1"/>
  <c r="AB792" i="2"/>
  <c r="AB1348" i="8" s="1"/>
  <c r="AB1349" i="8" s="1"/>
  <c r="Z58" i="12"/>
  <c r="Z155" i="8"/>
  <c r="Z156" i="8" s="1"/>
  <c r="AA454" i="2"/>
  <c r="AE320" i="14"/>
  <c r="AE1656" i="8" s="1"/>
  <c r="F1656" i="8" s="1"/>
  <c r="AE332" i="14"/>
  <c r="AE87" i="5" s="1"/>
  <c r="AE327" i="14"/>
  <c r="AE82" i="5" s="1"/>
  <c r="AE49" i="10"/>
  <c r="AE326" i="14"/>
  <c r="AE81" i="5" s="1"/>
  <c r="AE331" i="14"/>
  <c r="AE86" i="5" s="1"/>
  <c r="AE334" i="14"/>
  <c r="AE89" i="5" s="1"/>
  <c r="AE330" i="14"/>
  <c r="AE85" i="5" s="1"/>
  <c r="AE328" i="14"/>
  <c r="AE83" i="5" s="1"/>
  <c r="AE315" i="14"/>
  <c r="AE316" i="14"/>
  <c r="AE1653" i="8" s="1"/>
  <c r="F1653" i="8" s="1"/>
  <c r="AE1643" i="8"/>
  <c r="F1643" i="8" s="1"/>
  <c r="AE1650" i="8"/>
  <c r="F1650" i="8" s="1"/>
  <c r="AE333" i="14"/>
  <c r="AE88" i="5" s="1"/>
  <c r="AE329" i="14"/>
  <c r="AE84" i="5" s="1"/>
  <c r="AA641" i="2"/>
  <c r="Z291" i="8"/>
  <c r="Z292" i="8" s="1"/>
  <c r="Z101" i="12"/>
  <c r="AC1652" i="8"/>
  <c r="AC314" i="14"/>
  <c r="X1644" i="8"/>
  <c r="X1534" i="8"/>
  <c r="X1658" i="8"/>
  <c r="AD608" i="2"/>
  <c r="AD548" i="2"/>
  <c r="AD428" i="2"/>
  <c r="AD488" i="2"/>
  <c r="Z75" i="12"/>
  <c r="AA519" i="2"/>
  <c r="Z211" i="8"/>
  <c r="Z212" i="8" s="1"/>
  <c r="AA1622" i="8"/>
  <c r="AA1625" i="8"/>
  <c r="Z183" i="8"/>
  <c r="Z184" i="8" s="1"/>
  <c r="AA461" i="2"/>
  <c r="Z65" i="12"/>
  <c r="AC1626" i="8"/>
  <c r="AC139" i="5"/>
  <c r="AC648" i="2" s="1"/>
  <c r="AA321" i="14"/>
  <c r="AA1651" i="8"/>
  <c r="AA317" i="14"/>
  <c r="AD434" i="2"/>
  <c r="AD614" i="2"/>
  <c r="AD494" i="2"/>
  <c r="AD554" i="2"/>
  <c r="X66" i="12"/>
  <c r="X1487" i="8"/>
  <c r="Z179" i="8"/>
  <c r="Z180" i="8" s="1"/>
  <c r="AA460" i="2"/>
  <c r="Z64" i="12"/>
  <c r="AD547" i="2"/>
  <c r="AD607" i="2"/>
  <c r="AD487" i="2"/>
  <c r="AD427" i="2"/>
  <c r="Z61" i="12"/>
  <c r="Z167" i="8"/>
  <c r="Z168" i="8" s="1"/>
  <c r="AA457" i="2"/>
  <c r="AD1518" i="8" l="1"/>
  <c r="AD1519" i="8"/>
  <c r="AD1520" i="8"/>
  <c r="Y1635" i="8"/>
  <c r="Y1529" i="8"/>
  <c r="AD1521" i="8"/>
  <c r="AC1519" i="8"/>
  <c r="Y1526" i="8"/>
  <c r="Y1632" i="8"/>
  <c r="AC1521" i="8"/>
  <c r="Y1528" i="8"/>
  <c r="Y1634" i="8"/>
  <c r="Y1633" i="8"/>
  <c r="Y1527" i="8"/>
  <c r="AC1518" i="8"/>
  <c r="X1662" i="8"/>
  <c r="X1470" i="8"/>
  <c r="AE429" i="2"/>
  <c r="AE609" i="2"/>
  <c r="AE489" i="2"/>
  <c r="AE549" i="2"/>
  <c r="AA633" i="2"/>
  <c r="Z259" i="8"/>
  <c r="Z260" i="8" s="1"/>
  <c r="Z642" i="2"/>
  <c r="Z93" i="12"/>
  <c r="AA786" i="2"/>
  <c r="AA1328" i="8" s="1"/>
  <c r="AA1329" i="8" s="1"/>
  <c r="AA1288" i="8"/>
  <c r="AA1289" i="8" s="1"/>
  <c r="AA287" i="8"/>
  <c r="AA288" i="8" s="1"/>
  <c r="AB640" i="2"/>
  <c r="AA100" i="12"/>
  <c r="AB574" i="2"/>
  <c r="AA82" i="12"/>
  <c r="AA227" i="8"/>
  <c r="AA228" i="8" s="1"/>
  <c r="AD1624" i="8"/>
  <c r="AA88" i="12"/>
  <c r="AB580" i="2"/>
  <c r="AA251" i="8"/>
  <c r="AA252" i="8" s="1"/>
  <c r="AA73" i="12"/>
  <c r="AA203" i="8"/>
  <c r="AA204" i="8" s="1"/>
  <c r="AB517" i="2"/>
  <c r="AE493" i="2"/>
  <c r="AE553" i="2"/>
  <c r="AE433" i="2"/>
  <c r="AE613" i="2"/>
  <c r="AB454" i="2"/>
  <c r="AA155" i="8"/>
  <c r="AA156" i="8" s="1"/>
  <c r="AA58" i="12"/>
  <c r="Y1647" i="8"/>
  <c r="Y1661" i="8"/>
  <c r="Y1537" i="8"/>
  <c r="AA1244" i="8"/>
  <c r="AA1245" i="8" s="1"/>
  <c r="AA796" i="2"/>
  <c r="AA1364" i="8" s="1"/>
  <c r="AA1365" i="8" s="1"/>
  <c r="AB459" i="2"/>
  <c r="AA63" i="12"/>
  <c r="AA175" i="8"/>
  <c r="AA176" i="8" s="1"/>
  <c r="AD1625" i="8"/>
  <c r="AB1296" i="8"/>
  <c r="AB1297" i="8" s="1"/>
  <c r="AB778" i="2"/>
  <c r="AE552" i="2"/>
  <c r="AE492" i="2"/>
  <c r="AE612" i="2"/>
  <c r="AE432" i="2"/>
  <c r="Y1490" i="8"/>
  <c r="Y102" i="12"/>
  <c r="Y1473" i="8" s="1"/>
  <c r="AA318" i="14"/>
  <c r="AA1618" i="8" s="1"/>
  <c r="AA319" i="14"/>
  <c r="AA1655" i="8" s="1"/>
  <c r="AA1654" i="8"/>
  <c r="AD1651" i="8"/>
  <c r="AD321" i="14"/>
  <c r="AD317" i="14"/>
  <c r="AA94" i="12"/>
  <c r="AA263" i="8"/>
  <c r="AA264" i="8" s="1"/>
  <c r="AB634" i="2"/>
  <c r="AB637" i="2"/>
  <c r="AA275" i="8"/>
  <c r="AA276" i="8" s="1"/>
  <c r="AA97" i="12"/>
  <c r="Y66" i="12"/>
  <c r="Y1487" i="8"/>
  <c r="AD1623" i="8"/>
  <c r="AA74" i="12"/>
  <c r="AA207" i="8"/>
  <c r="AA208" i="8" s="1"/>
  <c r="AB518" i="2"/>
  <c r="AB789" i="2"/>
  <c r="AB1340" i="8" s="1"/>
  <c r="AB1320" i="8"/>
  <c r="AB1321" i="8" s="1"/>
  <c r="AB577" i="2"/>
  <c r="AA239" i="8"/>
  <c r="AA240" i="8" s="1"/>
  <c r="AA85" i="12"/>
  <c r="AA793" i="2"/>
  <c r="AA1352" i="8" s="1"/>
  <c r="AA1353" i="8" s="1"/>
  <c r="AA1232" i="8"/>
  <c r="AA1233" i="8" s="1"/>
  <c r="AD1627" i="8"/>
  <c r="AD754" i="2"/>
  <c r="AD765" i="2"/>
  <c r="AD659" i="2"/>
  <c r="AD660" i="2"/>
  <c r="AD768" i="2"/>
  <c r="AD1284" i="8" s="1"/>
  <c r="AD1285" i="8" s="1"/>
  <c r="AD753" i="2"/>
  <c r="AD769" i="2"/>
  <c r="AD763" i="2"/>
  <c r="AD1264" i="8" s="1"/>
  <c r="AD1265" i="8" s="1"/>
  <c r="AD758" i="2"/>
  <c r="AD764" i="2"/>
  <c r="AD1268" i="8" s="1"/>
  <c r="AD1269" i="8" s="1"/>
  <c r="AD752" i="2"/>
  <c r="AD756" i="2"/>
  <c r="AD767" i="2"/>
  <c r="AD1280" i="8" s="1"/>
  <c r="AD1281" i="8" s="1"/>
  <c r="AD755" i="2"/>
  <c r="AD657" i="2"/>
  <c r="AD757" i="2"/>
  <c r="AD751" i="2"/>
  <c r="AD658" i="2"/>
  <c r="AD766" i="2"/>
  <c r="AD762" i="2"/>
  <c r="AA513" i="2"/>
  <c r="Z69" i="12"/>
  <c r="Z187" i="8"/>
  <c r="Z188" i="8" s="1"/>
  <c r="Z522" i="2"/>
  <c r="Z57" i="12"/>
  <c r="Z462" i="2"/>
  <c r="AA453" i="2"/>
  <c r="Z151" i="8"/>
  <c r="Z152" i="8" s="1"/>
  <c r="AA235" i="8"/>
  <c r="AA236" i="8" s="1"/>
  <c r="AB576" i="2"/>
  <c r="AA84" i="12"/>
  <c r="AC754" i="2"/>
  <c r="AC1627" i="8"/>
  <c r="AC757" i="2"/>
  <c r="AC758" i="2"/>
  <c r="AC765" i="2"/>
  <c r="AC752" i="2"/>
  <c r="AC659" i="2"/>
  <c r="AC753" i="2"/>
  <c r="AC766" i="2"/>
  <c r="AC769" i="2"/>
  <c r="AC763" i="2"/>
  <c r="AC1264" i="8" s="1"/>
  <c r="AC1265" i="8" s="1"/>
  <c r="AC660" i="2"/>
  <c r="AC768" i="2"/>
  <c r="AC1284" i="8" s="1"/>
  <c r="AC1285" i="8" s="1"/>
  <c r="AC762" i="2"/>
  <c r="AC658" i="2"/>
  <c r="AC764" i="2"/>
  <c r="AC1268" i="8" s="1"/>
  <c r="AC1269" i="8" s="1"/>
  <c r="AC755" i="2"/>
  <c r="AC767" i="2"/>
  <c r="AC1280" i="8" s="1"/>
  <c r="AC1281" i="8" s="1"/>
  <c r="AC657" i="2"/>
  <c r="AC756" i="2"/>
  <c r="AC751" i="2"/>
  <c r="AE314" i="14"/>
  <c r="AE1652" i="8"/>
  <c r="F1652" i="8" s="1"/>
  <c r="AC1623" i="8"/>
  <c r="AA71" i="12"/>
  <c r="AB515" i="2"/>
  <c r="AA195" i="8"/>
  <c r="AA196" i="8" s="1"/>
  <c r="AA1252" i="8"/>
  <c r="AA1253" i="8" s="1"/>
  <c r="AA775" i="2"/>
  <c r="AA1304" i="8" s="1"/>
  <c r="AA1305" i="8" s="1"/>
  <c r="AA798" i="2"/>
  <c r="AA1372" i="8" s="1"/>
  <c r="AA1373" i="8" s="1"/>
  <c r="Y1644" i="8"/>
  <c r="Y1658" i="8"/>
  <c r="Y1534" i="8"/>
  <c r="AA61" i="12"/>
  <c r="AA167" i="8"/>
  <c r="AA168" i="8" s="1"/>
  <c r="AB457" i="2"/>
  <c r="AE548" i="2"/>
  <c r="AE608" i="2"/>
  <c r="AE428" i="2"/>
  <c r="AE488" i="2"/>
  <c r="AA87" i="12"/>
  <c r="AA247" i="8"/>
  <c r="AA248" i="8" s="1"/>
  <c r="AB579" i="2"/>
  <c r="AC1624" i="8"/>
  <c r="AB516" i="2"/>
  <c r="AA72" i="12"/>
  <c r="AA199" i="8"/>
  <c r="AA200" i="8" s="1"/>
  <c r="AB456" i="2"/>
  <c r="AA60" i="12"/>
  <c r="AA163" i="8"/>
  <c r="AA164" i="8" s="1"/>
  <c r="AA1224" i="8"/>
  <c r="AA1225" i="8" s="1"/>
  <c r="AA791" i="2"/>
  <c r="AA781" i="2"/>
  <c r="AA759" i="2"/>
  <c r="AA774" i="2"/>
  <c r="AA1300" i="8" s="1"/>
  <c r="AA1301" i="8" s="1"/>
  <c r="Z582" i="2"/>
  <c r="Z223" i="8"/>
  <c r="Z224" i="8" s="1"/>
  <c r="Z81" i="12"/>
  <c r="AA573" i="2"/>
  <c r="Y78" i="12"/>
  <c r="Y1471" i="8" s="1"/>
  <c r="Y1488" i="8"/>
  <c r="AA62" i="12"/>
  <c r="AB458" i="2"/>
  <c r="AA171" i="8"/>
  <c r="AA172" i="8" s="1"/>
  <c r="AA1248" i="8"/>
  <c r="AA1249" i="8" s="1"/>
  <c r="AA797" i="2"/>
  <c r="AA1368" i="8" s="1"/>
  <c r="AA1369" i="8" s="1"/>
  <c r="AE610" i="2"/>
  <c r="AE430" i="2"/>
  <c r="AE490" i="2"/>
  <c r="AE550" i="2"/>
  <c r="AC1625" i="8"/>
  <c r="AA95" i="12"/>
  <c r="AA267" i="8"/>
  <c r="AA268" i="8" s="1"/>
  <c r="AB635" i="2"/>
  <c r="AA1276" i="8"/>
  <c r="AA1277" i="8" s="1"/>
  <c r="AA784" i="2"/>
  <c r="Y1646" i="8"/>
  <c r="Y1660" i="8"/>
  <c r="Y1536" i="8"/>
  <c r="AB1256" i="8"/>
  <c r="AB1257" i="8" s="1"/>
  <c r="AB1619" i="8"/>
  <c r="AB780" i="2"/>
  <c r="AB1438" i="8" s="1"/>
  <c r="Y1645" i="8"/>
  <c r="Y1659" i="8"/>
  <c r="Y1535" i="8"/>
  <c r="AA215" i="8"/>
  <c r="AA216" i="8" s="1"/>
  <c r="AB520" i="2"/>
  <c r="AA76" i="12"/>
  <c r="AB639" i="2"/>
  <c r="AA283" i="8"/>
  <c r="AA284" i="8" s="1"/>
  <c r="AA99" i="12"/>
  <c r="AA70" i="12"/>
  <c r="AB514" i="2"/>
  <c r="AA191" i="8"/>
  <c r="AA192" i="8" s="1"/>
  <c r="Y1648" i="8"/>
  <c r="Y1437" i="8"/>
  <c r="Y1448" i="8"/>
  <c r="Y1663" i="8"/>
  <c r="AA64" i="12"/>
  <c r="AB460" i="2"/>
  <c r="AA179" i="8"/>
  <c r="AA180" i="8" s="1"/>
  <c r="AB461" i="2"/>
  <c r="AA183" i="8"/>
  <c r="AA184" i="8" s="1"/>
  <c r="AA65" i="12"/>
  <c r="AC1651" i="8"/>
  <c r="AC317" i="14"/>
  <c r="AE614" i="2"/>
  <c r="AE554" i="2"/>
  <c r="AE434" i="2"/>
  <c r="AE494" i="2"/>
  <c r="AC1622" i="8"/>
  <c r="AA1272" i="8"/>
  <c r="AA1273" i="8" s="1"/>
  <c r="AA788" i="2"/>
  <c r="AA1336" i="8" s="1"/>
  <c r="AA1337" i="8" s="1"/>
  <c r="AA219" i="8"/>
  <c r="AA220" i="8" s="1"/>
  <c r="AA77" i="12"/>
  <c r="AB521" i="2"/>
  <c r="AB638" i="2"/>
  <c r="AA279" i="8"/>
  <c r="AA280" i="8" s="1"/>
  <c r="AA98" i="12"/>
  <c r="AB578" i="2"/>
  <c r="AA243" i="8"/>
  <c r="AA244" i="8" s="1"/>
  <c r="AA86" i="12"/>
  <c r="Y1665" i="8"/>
  <c r="Y1539" i="8"/>
  <c r="Y1517" i="8"/>
  <c r="AE491" i="2"/>
  <c r="AE611" i="2"/>
  <c r="AE431" i="2"/>
  <c r="AE551" i="2"/>
  <c r="AA1240" i="8"/>
  <c r="AA1241" i="8" s="1"/>
  <c r="AA795" i="2"/>
  <c r="AA1360" i="8" s="1"/>
  <c r="AA1361" i="8" s="1"/>
  <c r="AA773" i="2"/>
  <c r="Y1489" i="8"/>
  <c r="Y90" i="12"/>
  <c r="Y1472" i="8" s="1"/>
  <c r="AB1344" i="8"/>
  <c r="AB1345" i="8" s="1"/>
  <c r="AB799" i="2"/>
  <c r="AB1620" i="8" s="1"/>
  <c r="AA75" i="12"/>
  <c r="AB519" i="2"/>
  <c r="AA211" i="8"/>
  <c r="AA212" i="8" s="1"/>
  <c r="AE426" i="2"/>
  <c r="AE486" i="2"/>
  <c r="AE546" i="2"/>
  <c r="AE606" i="2"/>
  <c r="AA1228" i="8"/>
  <c r="AA1229" i="8" s="1"/>
  <c r="AA792" i="2"/>
  <c r="AA1348" i="8" s="1"/>
  <c r="AA1349" i="8" s="1"/>
  <c r="AA159" i="8"/>
  <c r="AA160" i="8" s="1"/>
  <c r="AA59" i="12"/>
  <c r="AB455" i="2"/>
  <c r="AA271" i="8"/>
  <c r="AA272" i="8" s="1"/>
  <c r="AB636" i="2"/>
  <c r="AA96" i="12"/>
  <c r="AE1626" i="8"/>
  <c r="F1626" i="8" s="1"/>
  <c r="AE139" i="5"/>
  <c r="AE648" i="2" s="1"/>
  <c r="AA782" i="2"/>
  <c r="AA1260" i="8"/>
  <c r="AA1261" i="8" s="1"/>
  <c r="AA785" i="2"/>
  <c r="AA1324" i="8" s="1"/>
  <c r="AA1325" i="8" s="1"/>
  <c r="AA770" i="2"/>
  <c r="AA1292" i="8" s="1"/>
  <c r="AA1293" i="8" s="1"/>
  <c r="AA291" i="8"/>
  <c r="AA292" i="8" s="1"/>
  <c r="AA101" i="12"/>
  <c r="AB641" i="2"/>
  <c r="AE427" i="2"/>
  <c r="AE547" i="2"/>
  <c r="AE607" i="2"/>
  <c r="AE487" i="2"/>
  <c r="AB581" i="2"/>
  <c r="AA255" i="8"/>
  <c r="AA256" i="8" s="1"/>
  <c r="AA89" i="12"/>
  <c r="AA231" i="8"/>
  <c r="AA232" i="8" s="1"/>
  <c r="AA83" i="12"/>
  <c r="AB575" i="2"/>
  <c r="AA777" i="2"/>
  <c r="AA1312" i="8" s="1"/>
  <c r="AA1313" i="8" s="1"/>
  <c r="AA1236" i="8"/>
  <c r="AA1237" i="8" s="1"/>
  <c r="AA794" i="2"/>
  <c r="AA1356" i="8" s="1"/>
  <c r="AA1357" i="8" s="1"/>
  <c r="AD1622" i="8"/>
  <c r="AE1520" i="8" l="1"/>
  <c r="F1520" i="8" s="1"/>
  <c r="Z1529" i="8"/>
  <c r="Z1635" i="8"/>
  <c r="Z1528" i="8"/>
  <c r="Z1634" i="8"/>
  <c r="AE1518" i="8"/>
  <c r="F1518" i="8" s="1"/>
  <c r="AE1519" i="8"/>
  <c r="F1519" i="8" s="1"/>
  <c r="Z1526" i="8"/>
  <c r="Z1632" i="8"/>
  <c r="AE1625" i="8"/>
  <c r="F1625" i="8" s="1"/>
  <c r="AE1521" i="8"/>
  <c r="F1521" i="8" s="1"/>
  <c r="Z1633" i="8"/>
  <c r="Z1527" i="8"/>
  <c r="AC1228" i="8"/>
  <c r="AC1229" i="8" s="1"/>
  <c r="AC792" i="2"/>
  <c r="AC1348" i="8" s="1"/>
  <c r="AC1349" i="8" s="1"/>
  <c r="AB287" i="8"/>
  <c r="AB288" i="8" s="1"/>
  <c r="AB100" i="12"/>
  <c r="AC640" i="2"/>
  <c r="AC521" i="2"/>
  <c r="AB219" i="8"/>
  <c r="AB220" i="8" s="1"/>
  <c r="AB77" i="12"/>
  <c r="AB99" i="12"/>
  <c r="AC639" i="2"/>
  <c r="AB283" i="8"/>
  <c r="AB284" i="8" s="1"/>
  <c r="AC1272" i="8"/>
  <c r="AC1273" i="8" s="1"/>
  <c r="AC788" i="2"/>
  <c r="AC1336" i="8" s="1"/>
  <c r="AC1337" i="8" s="1"/>
  <c r="Z78" i="12"/>
  <c r="Z1471" i="8" s="1"/>
  <c r="Z1488" i="8"/>
  <c r="AD1654" i="8"/>
  <c r="AD318" i="14"/>
  <c r="AD1618" i="8" s="1"/>
  <c r="AD319" i="14"/>
  <c r="AD1655" i="8" s="1"/>
  <c r="AA582" i="2"/>
  <c r="AB573" i="2"/>
  <c r="AA223" i="8"/>
  <c r="AA224" i="8" s="1"/>
  <c r="AA81" i="12"/>
  <c r="AB72" i="12"/>
  <c r="AC516" i="2"/>
  <c r="AB199" i="8"/>
  <c r="AB200" i="8" s="1"/>
  <c r="AC1240" i="8"/>
  <c r="AC1241" i="8" s="1"/>
  <c r="AC795" i="2"/>
  <c r="AC1360" i="8" s="1"/>
  <c r="AC1361" i="8" s="1"/>
  <c r="AC773" i="2"/>
  <c r="AC1248" i="8"/>
  <c r="AC1249" i="8" s="1"/>
  <c r="AC797" i="2"/>
  <c r="AC1368" i="8" s="1"/>
  <c r="AC1369" i="8" s="1"/>
  <c r="AD1260" i="8"/>
  <c r="AD1261" i="8" s="1"/>
  <c r="AD782" i="2"/>
  <c r="AD785" i="2"/>
  <c r="AD1324" i="8" s="1"/>
  <c r="AD1325" i="8" s="1"/>
  <c r="AD770" i="2"/>
  <c r="AD1292" i="8" s="1"/>
  <c r="AD1293" i="8" s="1"/>
  <c r="AD1232" i="8"/>
  <c r="AD1233" i="8" s="1"/>
  <c r="AD793" i="2"/>
  <c r="AD1352" i="8" s="1"/>
  <c r="AD1353" i="8" s="1"/>
  <c r="AB74" i="12"/>
  <c r="AC518" i="2"/>
  <c r="AB207" i="8"/>
  <c r="AB208" i="8" s="1"/>
  <c r="AC517" i="2"/>
  <c r="AB73" i="12"/>
  <c r="AB203" i="8"/>
  <c r="AB204" i="8" s="1"/>
  <c r="AE1624" i="8"/>
  <c r="F1624" i="8" s="1"/>
  <c r="AC460" i="2"/>
  <c r="AB179" i="8"/>
  <c r="AB180" i="8" s="1"/>
  <c r="AB64" i="12"/>
  <c r="Z1489" i="8"/>
  <c r="Z90" i="12"/>
  <c r="Z1472" i="8" s="1"/>
  <c r="AD1276" i="8"/>
  <c r="AD1277" i="8" s="1"/>
  <c r="AD784" i="2"/>
  <c r="AB63" i="12"/>
  <c r="AB175" i="8"/>
  <c r="AB176" i="8" s="1"/>
  <c r="AC459" i="2"/>
  <c r="Z1490" i="8"/>
  <c r="Z102" i="12"/>
  <c r="Z1473" i="8" s="1"/>
  <c r="AC1244" i="8"/>
  <c r="AC1245" i="8" s="1"/>
  <c r="AC796" i="2"/>
  <c r="AC1364" i="8" s="1"/>
  <c r="AC1365" i="8" s="1"/>
  <c r="AC461" i="2"/>
  <c r="AB65" i="12"/>
  <c r="AB183" i="8"/>
  <c r="AB184" i="8" s="1"/>
  <c r="AB215" i="8"/>
  <c r="AB216" i="8" s="1"/>
  <c r="AC520" i="2"/>
  <c r="AB76" i="12"/>
  <c r="AE1623" i="8"/>
  <c r="F1623" i="8" s="1"/>
  <c r="AE1622" i="8"/>
  <c r="F1622" i="8" s="1"/>
  <c r="AB87" i="12"/>
  <c r="AC579" i="2"/>
  <c r="AB247" i="8"/>
  <c r="AB248" i="8" s="1"/>
  <c r="AC794" i="2"/>
  <c r="AC1356" i="8" s="1"/>
  <c r="AC1357" i="8" s="1"/>
  <c r="AC1236" i="8"/>
  <c r="AC1237" i="8" s="1"/>
  <c r="AC777" i="2"/>
  <c r="AC1312" i="8" s="1"/>
  <c r="AC1313" i="8" s="1"/>
  <c r="Z1647" i="8"/>
  <c r="Z1537" i="8"/>
  <c r="Z1661" i="8"/>
  <c r="AC638" i="2"/>
  <c r="AB279" i="8"/>
  <c r="AB280" i="8" s="1"/>
  <c r="AB98" i="12"/>
  <c r="AB239" i="8"/>
  <c r="AB240" i="8" s="1"/>
  <c r="AC577" i="2"/>
  <c r="AB85" i="12"/>
  <c r="AB513" i="2"/>
  <c r="AA187" i="8"/>
  <c r="AA188" i="8" s="1"/>
  <c r="AA522" i="2"/>
  <c r="AA69" i="12"/>
  <c r="Z1646" i="8"/>
  <c r="Z1536" i="8"/>
  <c r="Z1660" i="8"/>
  <c r="AC785" i="2"/>
  <c r="AC1324" i="8" s="1"/>
  <c r="AC1325" i="8" s="1"/>
  <c r="AC1260" i="8"/>
  <c r="AC1261" i="8" s="1"/>
  <c r="AC770" i="2"/>
  <c r="AC1292" i="8" s="1"/>
  <c r="AC1293" i="8" s="1"/>
  <c r="AC782" i="2"/>
  <c r="AD759" i="2"/>
  <c r="AD774" i="2"/>
  <c r="AD1300" i="8" s="1"/>
  <c r="AD1301" i="8" s="1"/>
  <c r="AD791" i="2"/>
  <c r="AD1224" i="8"/>
  <c r="AD1225" i="8" s="1"/>
  <c r="AD781" i="2"/>
  <c r="AC456" i="2"/>
  <c r="AB163" i="8"/>
  <c r="AB164" i="8" s="1"/>
  <c r="AB60" i="12"/>
  <c r="AE769" i="2"/>
  <c r="AE757" i="2"/>
  <c r="AE767" i="2"/>
  <c r="AE1280" i="8" s="1"/>
  <c r="AE1281" i="8" s="1"/>
  <c r="F1281" i="8" s="1"/>
  <c r="AE754" i="2"/>
  <c r="AE753" i="2"/>
  <c r="AE752" i="2"/>
  <c r="AE768" i="2"/>
  <c r="AE1284" i="8" s="1"/>
  <c r="AE1285" i="8" s="1"/>
  <c r="F1285" i="8" s="1"/>
  <c r="AE658" i="2"/>
  <c r="AE756" i="2"/>
  <c r="AE657" i="2"/>
  <c r="AE751" i="2"/>
  <c r="AE766" i="2"/>
  <c r="AE762" i="2"/>
  <c r="AE659" i="2"/>
  <c r="AE660" i="2"/>
  <c r="AE755" i="2"/>
  <c r="AE765" i="2"/>
  <c r="AE764" i="2"/>
  <c r="AE1268" i="8" s="1"/>
  <c r="AE1269" i="8" s="1"/>
  <c r="F1269" i="8" s="1"/>
  <c r="AE1627" i="8"/>
  <c r="F1627" i="8" s="1"/>
  <c r="AE763" i="2"/>
  <c r="AE1264" i="8" s="1"/>
  <c r="AE1265" i="8" s="1"/>
  <c r="F1265" i="8" s="1"/>
  <c r="AE758" i="2"/>
  <c r="AC519" i="2"/>
  <c r="AB211" i="8"/>
  <c r="AB212" i="8" s="1"/>
  <c r="AB75" i="12"/>
  <c r="AC576" i="2"/>
  <c r="AB235" i="8"/>
  <c r="AB236" i="8" s="1"/>
  <c r="AB84" i="12"/>
  <c r="AD797" i="2"/>
  <c r="AD1368" i="8" s="1"/>
  <c r="AD1369" i="8" s="1"/>
  <c r="AD1248" i="8"/>
  <c r="AD1249" i="8" s="1"/>
  <c r="AD1272" i="8"/>
  <c r="AD1273" i="8" s="1"/>
  <c r="AD788" i="2"/>
  <c r="AD1336" i="8" s="1"/>
  <c r="AD1337" i="8" s="1"/>
  <c r="AC580" i="2"/>
  <c r="AB88" i="12"/>
  <c r="AB251" i="8"/>
  <c r="AB252" i="8" s="1"/>
  <c r="AB633" i="2"/>
  <c r="AA259" i="8"/>
  <c r="AA260" i="8" s="1"/>
  <c r="AA93" i="12"/>
  <c r="AA642" i="2"/>
  <c r="AB267" i="8"/>
  <c r="AB268" i="8" s="1"/>
  <c r="AB95" i="12"/>
  <c r="AC635" i="2"/>
  <c r="AB195" i="8"/>
  <c r="AB196" i="8" s="1"/>
  <c r="AC515" i="2"/>
  <c r="AB71" i="12"/>
  <c r="AD1236" i="8"/>
  <c r="AD1237" i="8" s="1"/>
  <c r="AD777" i="2"/>
  <c r="AD1312" i="8" s="1"/>
  <c r="AD1313" i="8" s="1"/>
  <c r="AD794" i="2"/>
  <c r="AD1356" i="8" s="1"/>
  <c r="AD1357" i="8" s="1"/>
  <c r="Y1470" i="8"/>
  <c r="Y1662" i="8"/>
  <c r="AB255" i="8"/>
  <c r="AB256" i="8" s="1"/>
  <c r="AC581" i="2"/>
  <c r="AB89" i="12"/>
  <c r="AB271" i="8"/>
  <c r="AB272" i="8" s="1"/>
  <c r="AB96" i="12"/>
  <c r="AC636" i="2"/>
  <c r="AB1436" i="8"/>
  <c r="AB1435" i="8"/>
  <c r="AB1376" i="8"/>
  <c r="AB1377" i="8" s="1"/>
  <c r="AB322" i="14"/>
  <c r="AB323" i="14" s="1"/>
  <c r="AB1657" i="8" s="1"/>
  <c r="AB276" i="13"/>
  <c r="AB278" i="13" s="1"/>
  <c r="AB1642" i="8" s="1"/>
  <c r="AB1664" i="8"/>
  <c r="AD773" i="2"/>
  <c r="AD1240" i="8"/>
  <c r="AD1241" i="8" s="1"/>
  <c r="AD795" i="2"/>
  <c r="AD1360" i="8" s="1"/>
  <c r="AD1361" i="8" s="1"/>
  <c r="AD1288" i="8"/>
  <c r="AD1289" i="8" s="1"/>
  <c r="AD786" i="2"/>
  <c r="AD1328" i="8" s="1"/>
  <c r="AD1329" i="8" s="1"/>
  <c r="AA1344" i="8"/>
  <c r="AA1345" i="8" s="1"/>
  <c r="AA799" i="2"/>
  <c r="AA1620" i="8" s="1"/>
  <c r="AC1288" i="8"/>
  <c r="AC1289" i="8" s="1"/>
  <c r="AC786" i="2"/>
  <c r="AC1328" i="8" s="1"/>
  <c r="AC1329" i="8" s="1"/>
  <c r="AA462" i="2"/>
  <c r="AA151" i="8"/>
  <c r="AA152" i="8" s="1"/>
  <c r="AB453" i="2"/>
  <c r="AA57" i="12"/>
  <c r="AD1252" i="8"/>
  <c r="AD1253" i="8" s="1"/>
  <c r="AD798" i="2"/>
  <c r="AD1372" i="8" s="1"/>
  <c r="AD1373" i="8" s="1"/>
  <c r="AD775" i="2"/>
  <c r="AD1304" i="8" s="1"/>
  <c r="AD1305" i="8" s="1"/>
  <c r="AB159" i="8"/>
  <c r="AB160" i="8" s="1"/>
  <c r="AC455" i="2"/>
  <c r="AB59" i="12"/>
  <c r="AC578" i="2"/>
  <c r="AB243" i="8"/>
  <c r="AB244" i="8" s="1"/>
  <c r="AB86" i="12"/>
  <c r="AC1654" i="8"/>
  <c r="AC318" i="14"/>
  <c r="AC1618" i="8" s="1"/>
  <c r="AC319" i="14"/>
  <c r="AC1655" i="8" s="1"/>
  <c r="AB70" i="12"/>
  <c r="AC514" i="2"/>
  <c r="AB191" i="8"/>
  <c r="AB192" i="8" s="1"/>
  <c r="AC1276" i="8"/>
  <c r="AC1277" i="8" s="1"/>
  <c r="AC784" i="2"/>
  <c r="Z1644" i="8"/>
  <c r="Z1658" i="8"/>
  <c r="Z1534" i="8"/>
  <c r="AD796" i="2"/>
  <c r="AD1364" i="8" s="1"/>
  <c r="AD1365" i="8" s="1"/>
  <c r="AD1244" i="8"/>
  <c r="AD1245" i="8" s="1"/>
  <c r="AB97" i="12"/>
  <c r="AC637" i="2"/>
  <c r="AB275" i="8"/>
  <c r="AB276" i="8" s="1"/>
  <c r="AA1320" i="8"/>
  <c r="AA1321" i="8" s="1"/>
  <c r="AA789" i="2"/>
  <c r="AA1340" i="8" s="1"/>
  <c r="AC798" i="2"/>
  <c r="AC1372" i="8" s="1"/>
  <c r="AC1373" i="8" s="1"/>
  <c r="AC1252" i="8"/>
  <c r="AC1253" i="8" s="1"/>
  <c r="AC775" i="2"/>
  <c r="AC1304" i="8" s="1"/>
  <c r="AC1305" i="8" s="1"/>
  <c r="AC575" i="2"/>
  <c r="AB83" i="12"/>
  <c r="AB231" i="8"/>
  <c r="AB232" i="8" s="1"/>
  <c r="AA1619" i="8"/>
  <c r="AA1256" i="8"/>
  <c r="AA1257" i="8" s="1"/>
  <c r="AA780" i="2"/>
  <c r="AA1438" i="8" s="1"/>
  <c r="AC321" i="14"/>
  <c r="AB167" i="8"/>
  <c r="AB168" i="8" s="1"/>
  <c r="AB61" i="12"/>
  <c r="AC457" i="2"/>
  <c r="AE1651" i="8"/>
  <c r="F1651" i="8" s="1"/>
  <c r="AE317" i="14"/>
  <c r="AC1232" i="8"/>
  <c r="AC1233" i="8" s="1"/>
  <c r="AC793" i="2"/>
  <c r="AC1352" i="8" s="1"/>
  <c r="AC1353" i="8" s="1"/>
  <c r="Z1487" i="8"/>
  <c r="Z66" i="12"/>
  <c r="AD792" i="2"/>
  <c r="AD1348" i="8" s="1"/>
  <c r="AD1349" i="8" s="1"/>
  <c r="AD1228" i="8"/>
  <c r="AD1229" i="8" s="1"/>
  <c r="AB263" i="8"/>
  <c r="AB264" i="8" s="1"/>
  <c r="AC634" i="2"/>
  <c r="AB94" i="12"/>
  <c r="AC454" i="2"/>
  <c r="AB155" i="8"/>
  <c r="AB156" i="8" s="1"/>
  <c r="AB58" i="12"/>
  <c r="AC574" i="2"/>
  <c r="AB82" i="12"/>
  <c r="AB227" i="8"/>
  <c r="AB228" i="8" s="1"/>
  <c r="AC641" i="2"/>
  <c r="AB101" i="12"/>
  <c r="AB291" i="8"/>
  <c r="AB292" i="8" s="1"/>
  <c r="AA1296" i="8"/>
  <c r="AA1297" i="8" s="1"/>
  <c r="AA778" i="2"/>
  <c r="AC458" i="2"/>
  <c r="AB171" i="8"/>
  <c r="AB172" i="8" s="1"/>
  <c r="AB62" i="12"/>
  <c r="AC774" i="2"/>
  <c r="AC1300" i="8" s="1"/>
  <c r="AC1301" i="8" s="1"/>
  <c r="AC781" i="2"/>
  <c r="AC791" i="2"/>
  <c r="AC1224" i="8"/>
  <c r="AC1225" i="8" s="1"/>
  <c r="AC759" i="2"/>
  <c r="Z1645" i="8"/>
  <c r="Z1659" i="8"/>
  <c r="Z1535" i="8"/>
  <c r="AB779" i="2"/>
  <c r="AB1640" i="8" s="1"/>
  <c r="AB1316" i="8"/>
  <c r="AB1317" i="8" s="1"/>
  <c r="AA1633" i="8" l="1"/>
  <c r="AA1527" i="8"/>
  <c r="AA1529" i="8"/>
  <c r="AA1635" i="8"/>
  <c r="AA1634" i="8"/>
  <c r="AA1528" i="8"/>
  <c r="AA1526" i="8"/>
  <c r="AA1632" i="8"/>
  <c r="AC58" i="12"/>
  <c r="AD454" i="2"/>
  <c r="AC155" i="8"/>
  <c r="AC156" i="8" s="1"/>
  <c r="AC94" i="12"/>
  <c r="AD634" i="2"/>
  <c r="AC263" i="8"/>
  <c r="AC264" i="8" s="1"/>
  <c r="AD636" i="2"/>
  <c r="AC96" i="12"/>
  <c r="AC271" i="8"/>
  <c r="AC272" i="8" s="1"/>
  <c r="AC95" i="12"/>
  <c r="AD635" i="2"/>
  <c r="AC267" i="8"/>
  <c r="AC268" i="8" s="1"/>
  <c r="AE785" i="2"/>
  <c r="AE1324" i="8" s="1"/>
  <c r="AE1325" i="8" s="1"/>
  <c r="F1325" i="8" s="1"/>
  <c r="AE770" i="2"/>
  <c r="AE1292" i="8" s="1"/>
  <c r="AE1293" i="8" s="1"/>
  <c r="F1293" i="8" s="1"/>
  <c r="AE1260" i="8"/>
  <c r="AE1261" i="8" s="1"/>
  <c r="F1261" i="8" s="1"/>
  <c r="AE782" i="2"/>
  <c r="AA1488" i="8"/>
  <c r="AA78" i="12"/>
  <c r="AA1471" i="8" s="1"/>
  <c r="AC1296" i="8"/>
  <c r="AC1297" i="8" s="1"/>
  <c r="AC778" i="2"/>
  <c r="AA1664" i="8"/>
  <c r="AA322" i="14"/>
  <c r="AA323" i="14" s="1"/>
  <c r="AA1657" i="8" s="1"/>
  <c r="AA1376" i="8"/>
  <c r="AA1377" i="8" s="1"/>
  <c r="AA1436" i="8"/>
  <c r="AA1435" i="8"/>
  <c r="AA276" i="13"/>
  <c r="AA278" i="13" s="1"/>
  <c r="AA1642" i="8" s="1"/>
  <c r="AE1276" i="8"/>
  <c r="AE1277" i="8" s="1"/>
  <c r="F1277" i="8" s="1"/>
  <c r="AE784" i="2"/>
  <c r="AC60" i="12"/>
  <c r="AC163" i="8"/>
  <c r="AC164" i="8" s="1"/>
  <c r="AD456" i="2"/>
  <c r="AA1645" i="8"/>
  <c r="AA1659" i="8"/>
  <c r="AA1535" i="8"/>
  <c r="AA1316" i="8"/>
  <c r="AA1317" i="8" s="1"/>
  <c r="AA779" i="2"/>
  <c r="AA1640" i="8" s="1"/>
  <c r="AC243" i="8"/>
  <c r="AC244" i="8" s="1"/>
  <c r="AC86" i="12"/>
  <c r="AD578" i="2"/>
  <c r="AC84" i="12"/>
  <c r="AC235" i="8"/>
  <c r="AC236" i="8" s="1"/>
  <c r="AD576" i="2"/>
  <c r="AC73" i="12"/>
  <c r="AD517" i="2"/>
  <c r="AC203" i="8"/>
  <c r="AC204" i="8" s="1"/>
  <c r="AA1647" i="8"/>
  <c r="AA1661" i="8"/>
  <c r="AA1537" i="8"/>
  <c r="AB522" i="2"/>
  <c r="AB187" i="8"/>
  <c r="AB188" i="8" s="1"/>
  <c r="AC513" i="2"/>
  <c r="AB69" i="12"/>
  <c r="AC87" i="12"/>
  <c r="AD579" i="2"/>
  <c r="AC247" i="8"/>
  <c r="AC248" i="8" s="1"/>
  <c r="AD459" i="2"/>
  <c r="AC63" i="12"/>
  <c r="AC175" i="8"/>
  <c r="AC176" i="8" s="1"/>
  <c r="AB1648" i="8"/>
  <c r="AB1437" i="8"/>
  <c r="AB1448" i="8"/>
  <c r="AB1663" i="8"/>
  <c r="Z1470" i="8"/>
  <c r="Z1662" i="8"/>
  <c r="AC159" i="8"/>
  <c r="AC160" i="8" s="1"/>
  <c r="AD455" i="2"/>
  <c r="AC59" i="12"/>
  <c r="AC89" i="12"/>
  <c r="AC255" i="8"/>
  <c r="AC256" i="8" s="1"/>
  <c r="AD581" i="2"/>
  <c r="AA1490" i="8"/>
  <c r="AA102" i="12"/>
  <c r="AA1473" i="8" s="1"/>
  <c r="AE796" i="2"/>
  <c r="AE1364" i="8" s="1"/>
  <c r="AE1365" i="8" s="1"/>
  <c r="F1365" i="8" s="1"/>
  <c r="AE1244" i="8"/>
  <c r="AE1245" i="8" s="1"/>
  <c r="F1245" i="8" s="1"/>
  <c r="AD1344" i="8"/>
  <c r="AD1345" i="8" s="1"/>
  <c r="AD799" i="2"/>
  <c r="AD1620" i="8" s="1"/>
  <c r="AC74" i="12"/>
  <c r="AC207" i="8"/>
  <c r="AC208" i="8" s="1"/>
  <c r="AD518" i="2"/>
  <c r="AC199" i="8"/>
  <c r="AC200" i="8" s="1"/>
  <c r="AD516" i="2"/>
  <c r="AC72" i="12"/>
  <c r="AD639" i="2"/>
  <c r="AC283" i="8"/>
  <c r="AC284" i="8" s="1"/>
  <c r="AC99" i="12"/>
  <c r="AE759" i="2"/>
  <c r="AE774" i="2"/>
  <c r="AE1300" i="8" s="1"/>
  <c r="AE1301" i="8" s="1"/>
  <c r="F1301" i="8" s="1"/>
  <c r="AE781" i="2"/>
  <c r="AE791" i="2"/>
  <c r="AE1224" i="8"/>
  <c r="AE1225" i="8" s="1"/>
  <c r="F1225" i="8" s="1"/>
  <c r="AD519" i="2"/>
  <c r="AC75" i="12"/>
  <c r="AC211" i="8"/>
  <c r="AC212" i="8" s="1"/>
  <c r="AC239" i="8"/>
  <c r="AC240" i="8" s="1"/>
  <c r="AC85" i="12"/>
  <c r="AD577" i="2"/>
  <c r="AD575" i="2"/>
  <c r="AC83" i="12"/>
  <c r="AC231" i="8"/>
  <c r="AC232" i="8" s="1"/>
  <c r="AA90" i="12"/>
  <c r="AA1472" i="8" s="1"/>
  <c r="AA1489" i="8"/>
  <c r="AD1296" i="8"/>
  <c r="AD1297" i="8" s="1"/>
  <c r="AD778" i="2"/>
  <c r="AE792" i="2"/>
  <c r="AE1348" i="8" s="1"/>
  <c r="AE1349" i="8" s="1"/>
  <c r="F1349" i="8" s="1"/>
  <c r="AE1228" i="8"/>
  <c r="AE1229" i="8" s="1"/>
  <c r="F1229" i="8" s="1"/>
  <c r="AC62" i="12"/>
  <c r="AD458" i="2"/>
  <c r="AC171" i="8"/>
  <c r="AC172" i="8" s="1"/>
  <c r="AE1232" i="8"/>
  <c r="AE1233" i="8" s="1"/>
  <c r="F1233" i="8" s="1"/>
  <c r="AE793" i="2"/>
  <c r="AE1352" i="8" s="1"/>
  <c r="AE1353" i="8" s="1"/>
  <c r="F1353" i="8" s="1"/>
  <c r="AC215" i="8"/>
  <c r="AC216" i="8" s="1"/>
  <c r="AC76" i="12"/>
  <c r="AD520" i="2"/>
  <c r="AB81" i="12"/>
  <c r="AC573" i="2"/>
  <c r="AB582" i="2"/>
  <c r="AB223" i="8"/>
  <c r="AB224" i="8" s="1"/>
  <c r="AC77" i="12"/>
  <c r="AC219" i="8"/>
  <c r="AC220" i="8" s="1"/>
  <c r="AD521" i="2"/>
  <c r="AC1320" i="8"/>
  <c r="AC1321" i="8" s="1"/>
  <c r="AC789" i="2"/>
  <c r="AC1340" i="8" s="1"/>
  <c r="AE1252" i="8"/>
  <c r="AE1253" i="8" s="1"/>
  <c r="F1253" i="8" s="1"/>
  <c r="AE798" i="2"/>
  <c r="AE1372" i="8" s="1"/>
  <c r="AE1373" i="8" s="1"/>
  <c r="F1373" i="8" s="1"/>
  <c r="AE775" i="2"/>
  <c r="AE1304" i="8" s="1"/>
  <c r="AE1305" i="8" s="1"/>
  <c r="F1305" i="8" s="1"/>
  <c r="AE1654" i="8"/>
  <c r="F1654" i="8" s="1"/>
  <c r="AE318" i="14"/>
  <c r="AE1618" i="8" s="1"/>
  <c r="F1618" i="8" s="1"/>
  <c r="AE319" i="14"/>
  <c r="AE1655" i="8" s="1"/>
  <c r="F1655" i="8" s="1"/>
  <c r="AD574" i="2"/>
  <c r="AC82" i="12"/>
  <c r="AC227" i="8"/>
  <c r="AC228" i="8" s="1"/>
  <c r="AD514" i="2"/>
  <c r="AC70" i="12"/>
  <c r="AC191" i="8"/>
  <c r="AC192" i="8" s="1"/>
  <c r="AA1487" i="8"/>
  <c r="AA66" i="12"/>
  <c r="AB1665" i="8"/>
  <c r="AB1539" i="8"/>
  <c r="AB1517" i="8"/>
  <c r="AC251" i="8"/>
  <c r="AC252" i="8" s="1"/>
  <c r="AD580" i="2"/>
  <c r="AC88" i="12"/>
  <c r="AE1236" i="8"/>
  <c r="AE1237" i="8" s="1"/>
  <c r="F1237" i="8" s="1"/>
  <c r="AE794" i="2"/>
  <c r="AE1356" i="8" s="1"/>
  <c r="AE1357" i="8" s="1"/>
  <c r="F1357" i="8" s="1"/>
  <c r="AE777" i="2"/>
  <c r="AE1312" i="8" s="1"/>
  <c r="AE1313" i="8" s="1"/>
  <c r="F1313" i="8" s="1"/>
  <c r="AD638" i="2"/>
  <c r="AC98" i="12"/>
  <c r="AC279" i="8"/>
  <c r="AC280" i="8" s="1"/>
  <c r="AA1646" i="8"/>
  <c r="AA1660" i="8"/>
  <c r="AA1536" i="8"/>
  <c r="AC287" i="8"/>
  <c r="AC288" i="8" s="1"/>
  <c r="AD640" i="2"/>
  <c r="AC100" i="12"/>
  <c r="AD1320" i="8"/>
  <c r="AD1321" i="8" s="1"/>
  <c r="AD789" i="2"/>
  <c r="AD1340" i="8" s="1"/>
  <c r="AE321" i="14"/>
  <c r="AE1272" i="8"/>
  <c r="AE1273" i="8" s="1"/>
  <c r="F1273" i="8" s="1"/>
  <c r="AE788" i="2"/>
  <c r="AE1336" i="8" s="1"/>
  <c r="AE1337" i="8" s="1"/>
  <c r="F1337" i="8" s="1"/>
  <c r="AB93" i="12"/>
  <c r="AC633" i="2"/>
  <c r="AB259" i="8"/>
  <c r="AB260" i="8" s="1"/>
  <c r="AB642" i="2"/>
  <c r="AD1619" i="8"/>
  <c r="AD1256" i="8"/>
  <c r="AD1257" i="8" s="1"/>
  <c r="AD780" i="2"/>
  <c r="AD1438" i="8" s="1"/>
  <c r="AC1619" i="8"/>
  <c r="AC1256" i="8"/>
  <c r="AC1257" i="8" s="1"/>
  <c r="AC780" i="2"/>
  <c r="AC1438" i="8" s="1"/>
  <c r="AC1344" i="8"/>
  <c r="AC1345" i="8" s="1"/>
  <c r="AC799" i="2"/>
  <c r="AC1620" i="8" s="1"/>
  <c r="AC453" i="2"/>
  <c r="AB57" i="12"/>
  <c r="AB151" i="8"/>
  <c r="AB152" i="8" s="1"/>
  <c r="AB462" i="2"/>
  <c r="AC167" i="8"/>
  <c r="AC168" i="8" s="1"/>
  <c r="AC61" i="12"/>
  <c r="AD457" i="2"/>
  <c r="AE1240" i="8"/>
  <c r="AE1241" i="8" s="1"/>
  <c r="F1241" i="8" s="1"/>
  <c r="AE795" i="2"/>
  <c r="AE1360" i="8" s="1"/>
  <c r="AE1361" i="8" s="1"/>
  <c r="F1361" i="8" s="1"/>
  <c r="AE773" i="2"/>
  <c r="AE797" i="2"/>
  <c r="AE1368" i="8" s="1"/>
  <c r="AE1369" i="8" s="1"/>
  <c r="F1369" i="8" s="1"/>
  <c r="AE1248" i="8"/>
  <c r="AE1249" i="8" s="1"/>
  <c r="F1249" i="8" s="1"/>
  <c r="AC101" i="12"/>
  <c r="AD641" i="2"/>
  <c r="AC291" i="8"/>
  <c r="AC292" i="8" s="1"/>
  <c r="AA1644" i="8"/>
  <c r="AA1658" i="8"/>
  <c r="AA1534" i="8"/>
  <c r="AC71" i="12"/>
  <c r="AD515" i="2"/>
  <c r="AC195" i="8"/>
  <c r="AC196" i="8" s="1"/>
  <c r="AE1288" i="8"/>
  <c r="AE1289" i="8" s="1"/>
  <c r="F1289" i="8" s="1"/>
  <c r="AE786" i="2"/>
  <c r="AE1328" i="8" s="1"/>
  <c r="AE1329" i="8" s="1"/>
  <c r="F1329" i="8" s="1"/>
  <c r="AC183" i="8"/>
  <c r="AC184" i="8" s="1"/>
  <c r="AC65" i="12"/>
  <c r="AD461" i="2"/>
  <c r="AC64" i="12"/>
  <c r="AD460" i="2"/>
  <c r="AC179" i="8"/>
  <c r="AC180" i="8" s="1"/>
  <c r="AC97" i="12"/>
  <c r="AD637" i="2"/>
  <c r="AC275" i="8"/>
  <c r="AC276" i="8" s="1"/>
  <c r="AB1528" i="8" l="1"/>
  <c r="AB1634" i="8"/>
  <c r="AB1529" i="8"/>
  <c r="AB1635" i="8"/>
  <c r="AB1632" i="8"/>
  <c r="AB1526" i="8"/>
  <c r="AB1633" i="8"/>
  <c r="AB1527" i="8"/>
  <c r="AD175" i="8"/>
  <c r="AD176" i="8" s="1"/>
  <c r="AD63" i="12"/>
  <c r="AE459" i="2"/>
  <c r="AE1320" i="8"/>
  <c r="AE1321" i="8" s="1"/>
  <c r="F1321" i="8" s="1"/>
  <c r="AE789" i="2"/>
  <c r="AE1340" i="8" s="1"/>
  <c r="AE516" i="2"/>
  <c r="AD72" i="12"/>
  <c r="AD199" i="8"/>
  <c r="AD200" i="8" s="1"/>
  <c r="AD86" i="12"/>
  <c r="AE578" i="2"/>
  <c r="AD243" i="8"/>
  <c r="AD244" i="8" s="1"/>
  <c r="AE635" i="2"/>
  <c r="AD95" i="12"/>
  <c r="AD267" i="8"/>
  <c r="AD268" i="8" s="1"/>
  <c r="AD83" i="12"/>
  <c r="AE575" i="2"/>
  <c r="AD231" i="8"/>
  <c r="AD232" i="8" s="1"/>
  <c r="AD239" i="8"/>
  <c r="AD240" i="8" s="1"/>
  <c r="AD85" i="12"/>
  <c r="AE577" i="2"/>
  <c r="AE579" i="2"/>
  <c r="AD247" i="8"/>
  <c r="AD248" i="8" s="1"/>
  <c r="AD87" i="12"/>
  <c r="AA1517" i="8"/>
  <c r="AA1539" i="8"/>
  <c r="AA1665" i="8"/>
  <c r="AD167" i="8"/>
  <c r="AD168" i="8" s="1"/>
  <c r="AE457" i="2"/>
  <c r="AD61" i="12"/>
  <c r="AA1470" i="8"/>
  <c r="AA1662" i="8"/>
  <c r="AD59" i="12"/>
  <c r="AD159" i="8"/>
  <c r="AD160" i="8" s="1"/>
  <c r="AE455" i="2"/>
  <c r="AB1488" i="8"/>
  <c r="AB78" i="12"/>
  <c r="AB1471" i="8" s="1"/>
  <c r="AB1647" i="8"/>
  <c r="AB1661" i="8"/>
  <c r="AB1537" i="8"/>
  <c r="AD62" i="12"/>
  <c r="AE458" i="2"/>
  <c r="AD171" i="8"/>
  <c r="AD172" i="8" s="1"/>
  <c r="AD207" i="8"/>
  <c r="AD208" i="8" s="1"/>
  <c r="AE518" i="2"/>
  <c r="AD74" i="12"/>
  <c r="AC69" i="12"/>
  <c r="AD513" i="2"/>
  <c r="AC187" i="8"/>
  <c r="AC188" i="8" s="1"/>
  <c r="AC522" i="2"/>
  <c r="AE521" i="2"/>
  <c r="AD77" i="12"/>
  <c r="AD219" i="8"/>
  <c r="AD220" i="8" s="1"/>
  <c r="AA1648" i="8"/>
  <c r="AA1663" i="8"/>
  <c r="AA1437" i="8"/>
  <c r="AA1448" i="8"/>
  <c r="AE519" i="2"/>
  <c r="AD75" i="12"/>
  <c r="AD211" i="8"/>
  <c r="AD212" i="8" s="1"/>
  <c r="AB1645" i="8"/>
  <c r="AB1659" i="8"/>
  <c r="AB1535" i="8"/>
  <c r="AE636" i="2"/>
  <c r="AD96" i="12"/>
  <c r="AD271" i="8"/>
  <c r="AD272" i="8" s="1"/>
  <c r="AD1435" i="8"/>
  <c r="AD276" i="13"/>
  <c r="AD278" i="13" s="1"/>
  <c r="AD1642" i="8" s="1"/>
  <c r="AD1664" i="8"/>
  <c r="AD1376" i="8"/>
  <c r="AD1377" i="8" s="1"/>
  <c r="AD1436" i="8"/>
  <c r="AD322" i="14"/>
  <c r="AD323" i="14" s="1"/>
  <c r="AD1657" i="8" s="1"/>
  <c r="AC1316" i="8"/>
  <c r="AC1317" i="8" s="1"/>
  <c r="AC779" i="2"/>
  <c r="AC1640" i="8" s="1"/>
  <c r="AE576" i="2"/>
  <c r="AD84" i="12"/>
  <c r="AD235" i="8"/>
  <c r="AD236" i="8" s="1"/>
  <c r="AE1296" i="8"/>
  <c r="AE1297" i="8" s="1"/>
  <c r="F1297" i="8" s="1"/>
  <c r="AE778" i="2"/>
  <c r="AB1487" i="8"/>
  <c r="AB66" i="12"/>
  <c r="AD1316" i="8"/>
  <c r="AD1317" i="8" s="1"/>
  <c r="AD779" i="2"/>
  <c r="AD1640" i="8" s="1"/>
  <c r="AE1344" i="8"/>
  <c r="AE1345" i="8" s="1"/>
  <c r="F1345" i="8" s="1"/>
  <c r="AE799" i="2"/>
  <c r="AE1620" i="8" s="1"/>
  <c r="F1620" i="8" s="1"/>
  <c r="AE634" i="2"/>
  <c r="AD94" i="12"/>
  <c r="AD263" i="8"/>
  <c r="AD264" i="8" s="1"/>
  <c r="AD99" i="12"/>
  <c r="AD283" i="8"/>
  <c r="AD284" i="8" s="1"/>
  <c r="AE639" i="2"/>
  <c r="AB102" i="12"/>
  <c r="AB1473" i="8" s="1"/>
  <c r="AB1490" i="8"/>
  <c r="AC462" i="2"/>
  <c r="AC151" i="8"/>
  <c r="AC152" i="8" s="1"/>
  <c r="AD453" i="2"/>
  <c r="AC57" i="12"/>
  <c r="AB1646" i="8"/>
  <c r="AB1536" i="8"/>
  <c r="AB1660" i="8"/>
  <c r="AE581" i="2"/>
  <c r="AD89" i="12"/>
  <c r="AD255" i="8"/>
  <c r="AD256" i="8" s="1"/>
  <c r="AD100" i="12"/>
  <c r="AE640" i="2"/>
  <c r="AD287" i="8"/>
  <c r="AD288" i="8" s="1"/>
  <c r="AD633" i="2"/>
  <c r="AC259" i="8"/>
  <c r="AC260" i="8" s="1"/>
  <c r="AC93" i="12"/>
  <c r="AC642" i="2"/>
  <c r="AE637" i="2"/>
  <c r="AD275" i="8"/>
  <c r="AD276" i="8" s="1"/>
  <c r="AD97" i="12"/>
  <c r="AD70" i="12"/>
  <c r="AE514" i="2"/>
  <c r="AD191" i="8"/>
  <c r="AD192" i="8" s="1"/>
  <c r="AE460" i="2"/>
  <c r="AD179" i="8"/>
  <c r="AD180" i="8" s="1"/>
  <c r="AD64" i="12"/>
  <c r="AE641" i="2"/>
  <c r="AD291" i="8"/>
  <c r="AD292" i="8" s="1"/>
  <c r="AD101" i="12"/>
  <c r="AC1664" i="8"/>
  <c r="AC322" i="14"/>
  <c r="AC323" i="14" s="1"/>
  <c r="AC1657" i="8" s="1"/>
  <c r="AC1435" i="8"/>
  <c r="AC1376" i="8"/>
  <c r="AC1377" i="8" s="1"/>
  <c r="AC276" i="13"/>
  <c r="AC278" i="13" s="1"/>
  <c r="AC1642" i="8" s="1"/>
  <c r="AC1436" i="8"/>
  <c r="AD227" i="8"/>
  <c r="AD228" i="8" s="1"/>
  <c r="AD82" i="12"/>
  <c r="AE574" i="2"/>
  <c r="AC223" i="8"/>
  <c r="AC224" i="8" s="1"/>
  <c r="AD573" i="2"/>
  <c r="AC81" i="12"/>
  <c r="AC582" i="2"/>
  <c r="AE456" i="2"/>
  <c r="AD163" i="8"/>
  <c r="AD164" i="8" s="1"/>
  <c r="AD60" i="12"/>
  <c r="AB1644" i="8"/>
  <c r="AB1658" i="8"/>
  <c r="AB1534" i="8"/>
  <c r="AD279" i="8"/>
  <c r="AD280" i="8" s="1"/>
  <c r="AD98" i="12"/>
  <c r="AE638" i="2"/>
  <c r="AB90" i="12"/>
  <c r="AB1472" i="8" s="1"/>
  <c r="AB1489" i="8"/>
  <c r="AE1619" i="8"/>
  <c r="F1619" i="8" s="1"/>
  <c r="AE1256" i="8"/>
  <c r="AE1257" i="8" s="1"/>
  <c r="F1257" i="8" s="1"/>
  <c r="AE780" i="2"/>
  <c r="AE1438" i="8" s="1"/>
  <c r="F1438" i="8" s="1"/>
  <c r="AE517" i="2"/>
  <c r="AD73" i="12"/>
  <c r="AD203" i="8"/>
  <c r="AD204" i="8" s="1"/>
  <c r="AD58" i="12"/>
  <c r="AD155" i="8"/>
  <c r="AD156" i="8" s="1"/>
  <c r="AE454" i="2"/>
  <c r="AE515" i="2"/>
  <c r="AD195" i="8"/>
  <c r="AD196" i="8" s="1"/>
  <c r="AD71" i="12"/>
  <c r="AE461" i="2"/>
  <c r="AD183" i="8"/>
  <c r="AD184" i="8" s="1"/>
  <c r="AD65" i="12"/>
  <c r="AE580" i="2"/>
  <c r="AD88" i="12"/>
  <c r="AD251" i="8"/>
  <c r="AD252" i="8" s="1"/>
  <c r="AE520" i="2"/>
  <c r="AD215" i="8"/>
  <c r="AD216" i="8" s="1"/>
  <c r="AD76" i="12"/>
  <c r="AC1635" i="8" l="1"/>
  <c r="AC1529" i="8"/>
  <c r="AC1632" i="8"/>
  <c r="AC1526" i="8"/>
  <c r="AC1528" i="8"/>
  <c r="AC1634" i="8"/>
  <c r="AC1527" i="8"/>
  <c r="AC1633" i="8"/>
  <c r="D584" i="8"/>
  <c r="AE61" i="12"/>
  <c r="AE167" i="8"/>
  <c r="AE168" i="8" s="1"/>
  <c r="F168" i="8" s="1"/>
  <c r="AE95" i="12"/>
  <c r="AE267" i="8"/>
  <c r="AE268" i="8" s="1"/>
  <c r="F268" i="8" s="1"/>
  <c r="AC1490" i="8"/>
  <c r="AC102" i="12"/>
  <c r="AC1473" i="8" s="1"/>
  <c r="AB1470" i="8"/>
  <c r="AB1662" i="8"/>
  <c r="AE86" i="12"/>
  <c r="AE243" i="8"/>
  <c r="AE244" i="8" s="1"/>
  <c r="F244" i="8" s="1"/>
  <c r="AC1646" i="8"/>
  <c r="AC1660" i="8"/>
  <c r="AC1536" i="8"/>
  <c r="AD93" i="12"/>
  <c r="AD642" i="2"/>
  <c r="AE633" i="2"/>
  <c r="AD259" i="8"/>
  <c r="AD260" i="8" s="1"/>
  <c r="AE1316" i="8"/>
  <c r="AE1317" i="8" s="1"/>
  <c r="F1317" i="8" s="1"/>
  <c r="D585" i="8" s="1"/>
  <c r="AE779" i="2"/>
  <c r="AE1640" i="8" s="1"/>
  <c r="F1640" i="8" s="1"/>
  <c r="AE291" i="8"/>
  <c r="AE292" i="8" s="1"/>
  <c r="F292" i="8" s="1"/>
  <c r="AE101" i="12"/>
  <c r="AE77" i="12"/>
  <c r="AE219" i="8"/>
  <c r="AE220" i="8" s="1"/>
  <c r="F220" i="8" s="1"/>
  <c r="AE62" i="12"/>
  <c r="AE171" i="8"/>
  <c r="AE172" i="8" s="1"/>
  <c r="F172" i="8" s="1"/>
  <c r="AD1517" i="8"/>
  <c r="AD1539" i="8"/>
  <c r="AD1665" i="8"/>
  <c r="AE96" i="12"/>
  <c r="AE271" i="8"/>
  <c r="AE272" i="8" s="1"/>
  <c r="F272" i="8" s="1"/>
  <c r="AC1645" i="8"/>
  <c r="AC1535" i="8"/>
  <c r="AC1659" i="8"/>
  <c r="AE87" i="12"/>
  <c r="AE247" i="8"/>
  <c r="AE248" i="8" s="1"/>
  <c r="F248" i="8" s="1"/>
  <c r="AC66" i="12"/>
  <c r="AC1487" i="8"/>
  <c r="AD1648" i="8"/>
  <c r="AD1663" i="8"/>
  <c r="AD1448" i="8"/>
  <c r="AD1437" i="8"/>
  <c r="AE453" i="2"/>
  <c r="AD57" i="12"/>
  <c r="AD151" i="8"/>
  <c r="AD152" i="8" s="1"/>
  <c r="AD462" i="2"/>
  <c r="AE60" i="12"/>
  <c r="AE163" i="8"/>
  <c r="AE164" i="8" s="1"/>
  <c r="F164" i="8" s="1"/>
  <c r="AC1644" i="8"/>
  <c r="AC1658" i="8"/>
  <c r="AC1534" i="8"/>
  <c r="AE573" i="2"/>
  <c r="AD81" i="12"/>
  <c r="AD223" i="8"/>
  <c r="AD224" i="8" s="1"/>
  <c r="AD582" i="2"/>
  <c r="AE59" i="12"/>
  <c r="AE159" i="8"/>
  <c r="AE160" i="8" s="1"/>
  <c r="F160" i="8" s="1"/>
  <c r="AE85" i="12"/>
  <c r="AE239" i="8"/>
  <c r="AE240" i="8" s="1"/>
  <c r="F240" i="8" s="1"/>
  <c r="AE199" i="8"/>
  <c r="AE200" i="8" s="1"/>
  <c r="F200" i="8" s="1"/>
  <c r="AE72" i="12"/>
  <c r="AE99" i="12"/>
  <c r="AE283" i="8"/>
  <c r="AE284" i="8" s="1"/>
  <c r="F284" i="8" s="1"/>
  <c r="AE82" i="12"/>
  <c r="AE227" i="8"/>
  <c r="AE228" i="8" s="1"/>
  <c r="F228" i="8" s="1"/>
  <c r="AE64" i="12"/>
  <c r="AE179" i="8"/>
  <c r="AE180" i="8" s="1"/>
  <c r="F180" i="8" s="1"/>
  <c r="AE235" i="8"/>
  <c r="AE236" i="8" s="1"/>
  <c r="F236" i="8" s="1"/>
  <c r="AE84" i="12"/>
  <c r="AE513" i="2"/>
  <c r="AD69" i="12"/>
  <c r="AD522" i="2"/>
  <c r="AD187" i="8"/>
  <c r="AD188" i="8" s="1"/>
  <c r="AE203" i="8"/>
  <c r="AE204" i="8" s="1"/>
  <c r="F204" i="8" s="1"/>
  <c r="AE73" i="12"/>
  <c r="AC90" i="12"/>
  <c r="AC1472" i="8" s="1"/>
  <c r="AC1489" i="8"/>
  <c r="AE100" i="12"/>
  <c r="AE287" i="8"/>
  <c r="AE288" i="8" s="1"/>
  <c r="F288" i="8" s="1"/>
  <c r="AE98" i="12"/>
  <c r="AE279" i="8"/>
  <c r="AE280" i="8" s="1"/>
  <c r="F280" i="8" s="1"/>
  <c r="AC1648" i="8"/>
  <c r="AC1663" i="8"/>
  <c r="AC1448" i="8"/>
  <c r="AC1437" i="8"/>
  <c r="AC1488" i="8"/>
  <c r="AC78" i="12"/>
  <c r="AC1471" i="8" s="1"/>
  <c r="AE97" i="12"/>
  <c r="AE275" i="8"/>
  <c r="AE276" i="8" s="1"/>
  <c r="F276" i="8" s="1"/>
  <c r="AE215" i="8"/>
  <c r="AE216" i="8" s="1"/>
  <c r="F216" i="8" s="1"/>
  <c r="AE76" i="12"/>
  <c r="AE63" i="12"/>
  <c r="AE175" i="8"/>
  <c r="AE176" i="8" s="1"/>
  <c r="F176" i="8" s="1"/>
  <c r="AC1647" i="8"/>
  <c r="AC1661" i="8"/>
  <c r="AC1537" i="8"/>
  <c r="AE71" i="12"/>
  <c r="AE195" i="8"/>
  <c r="AE196" i="8" s="1"/>
  <c r="F196" i="8" s="1"/>
  <c r="AE94" i="12"/>
  <c r="AE263" i="8"/>
  <c r="AE264" i="8" s="1"/>
  <c r="F264" i="8" s="1"/>
  <c r="AE207" i="8"/>
  <c r="AE208" i="8" s="1"/>
  <c r="F208" i="8" s="1"/>
  <c r="AE74" i="12"/>
  <c r="AE231" i="8"/>
  <c r="AE232" i="8" s="1"/>
  <c r="F232" i="8" s="1"/>
  <c r="AE83" i="12"/>
  <c r="AE251" i="8"/>
  <c r="AE252" i="8" s="1"/>
  <c r="F252" i="8" s="1"/>
  <c r="AE88" i="12"/>
  <c r="AE65" i="12"/>
  <c r="AE183" i="8"/>
  <c r="AE184" i="8" s="1"/>
  <c r="F184" i="8" s="1"/>
  <c r="AE191" i="8"/>
  <c r="AE192" i="8" s="1"/>
  <c r="F192" i="8" s="1"/>
  <c r="AE70" i="12"/>
  <c r="AE89" i="12"/>
  <c r="AE255" i="8"/>
  <c r="AE256" i="8" s="1"/>
  <c r="F256" i="8" s="1"/>
  <c r="AE155" i="8"/>
  <c r="AE156" i="8" s="1"/>
  <c r="F156" i="8" s="1"/>
  <c r="AE58" i="12"/>
  <c r="AC1539" i="8"/>
  <c r="AC1517" i="8"/>
  <c r="AC1665" i="8"/>
  <c r="AE1435" i="8"/>
  <c r="F1435" i="8" s="1"/>
  <c r="AE1664" i="8"/>
  <c r="F1664" i="8" s="1"/>
  <c r="AE276" i="13"/>
  <c r="AE278" i="13" s="1"/>
  <c r="AE1642" i="8" s="1"/>
  <c r="F1642" i="8" s="1"/>
  <c r="AE1436" i="8"/>
  <c r="F1436" i="8" s="1"/>
  <c r="AE1376" i="8"/>
  <c r="AE1377" i="8" s="1"/>
  <c r="F1377" i="8" s="1"/>
  <c r="AE322" i="14"/>
  <c r="AE323" i="14" s="1"/>
  <c r="AE1657" i="8" s="1"/>
  <c r="F1657" i="8" s="1"/>
  <c r="AE211" i="8"/>
  <c r="AE212" i="8" s="1"/>
  <c r="F212" i="8" s="1"/>
  <c r="AE75" i="12"/>
  <c r="AD1526" i="8" l="1"/>
  <c r="AD1632" i="8"/>
  <c r="AD1529" i="8"/>
  <c r="AD1635" i="8"/>
  <c r="AD1528" i="8"/>
  <c r="AD1634" i="8"/>
  <c r="AD1527" i="8"/>
  <c r="AD1633" i="8"/>
  <c r="AE582" i="2"/>
  <c r="AE223" i="8"/>
  <c r="AE224" i="8" s="1"/>
  <c r="F224" i="8" s="1"/>
  <c r="AE81" i="12"/>
  <c r="AC1662" i="8"/>
  <c r="AC1470" i="8"/>
  <c r="AD1646" i="8"/>
  <c r="AD1536" i="8"/>
  <c r="AD1660" i="8"/>
  <c r="AE1665" i="8"/>
  <c r="F1665" i="8" s="1"/>
  <c r="AE1517" i="8"/>
  <c r="F1517" i="8" s="1"/>
  <c r="AE1539" i="8"/>
  <c r="F1539" i="8" s="1"/>
  <c r="AD90" i="12"/>
  <c r="AD1472" i="8" s="1"/>
  <c r="AD1489" i="8"/>
  <c r="AE1648" i="8"/>
  <c r="F1648" i="8" s="1"/>
  <c r="AE1663" i="8"/>
  <c r="F1663" i="8" s="1"/>
  <c r="AE1437" i="8"/>
  <c r="F1437" i="8" s="1"/>
  <c r="D1429" i="8" s="1"/>
  <c r="AE1448" i="8"/>
  <c r="F1448" i="8" s="1"/>
  <c r="D1443" i="8" s="1"/>
  <c r="AD1644" i="8"/>
  <c r="AD1534" i="8"/>
  <c r="AD1658" i="8"/>
  <c r="AE259" i="8"/>
  <c r="AE260" i="8" s="1"/>
  <c r="F260" i="8" s="1"/>
  <c r="AE642" i="2"/>
  <c r="AE93" i="12"/>
  <c r="AD1645" i="8"/>
  <c r="AD1659" i="8"/>
  <c r="AD1535" i="8"/>
  <c r="AD66" i="12"/>
  <c r="AD1487" i="8"/>
  <c r="AD1647" i="8"/>
  <c r="AD1661" i="8"/>
  <c r="AD1537" i="8"/>
  <c r="AD1488" i="8"/>
  <c r="AD78" i="12"/>
  <c r="AD1471" i="8" s="1"/>
  <c r="AE57" i="12"/>
  <c r="AE462" i="2"/>
  <c r="AE151" i="8"/>
  <c r="AE152" i="8" s="1"/>
  <c r="F152" i="8" s="1"/>
  <c r="AD102" i="12"/>
  <c r="AD1473" i="8" s="1"/>
  <c r="AD1490" i="8"/>
  <c r="AE187" i="8"/>
  <c r="AE188" i="8" s="1"/>
  <c r="F188" i="8" s="1"/>
  <c r="AE69" i="12"/>
  <c r="AE522" i="2"/>
  <c r="AE1633" i="8" l="1"/>
  <c r="F1633" i="8" s="1"/>
  <c r="AE1527" i="8"/>
  <c r="F1527" i="8" s="1"/>
  <c r="AE1635" i="8"/>
  <c r="F1635" i="8" s="1"/>
  <c r="AE1529" i="8"/>
  <c r="F1529" i="8" s="1"/>
  <c r="AE1528" i="8"/>
  <c r="F1528" i="8" s="1"/>
  <c r="AE1634" i="8"/>
  <c r="F1634" i="8" s="1"/>
  <c r="AE1632" i="8"/>
  <c r="F1632" i="8" s="1"/>
  <c r="AE1526" i="8"/>
  <c r="F1526" i="8" s="1"/>
  <c r="D1496" i="8" s="1"/>
  <c r="D3" i="8"/>
  <c r="AE1647" i="8"/>
  <c r="F1647" i="8" s="1"/>
  <c r="AE1661" i="8"/>
  <c r="F1661" i="8" s="1"/>
  <c r="AE1537" i="8"/>
  <c r="F1537" i="8" s="1"/>
  <c r="AE1644" i="8"/>
  <c r="F1644" i="8" s="1"/>
  <c r="AE1658" i="8"/>
  <c r="F1658" i="8" s="1"/>
  <c r="AE1534" i="8"/>
  <c r="F1534" i="8" s="1"/>
  <c r="AE1645" i="8"/>
  <c r="F1645" i="8" s="1"/>
  <c r="AE1659" i="8"/>
  <c r="F1659" i="8" s="1"/>
  <c r="AE1535" i="8"/>
  <c r="F1535" i="8" s="1"/>
  <c r="AE1490" i="8"/>
  <c r="F1490" i="8" s="1"/>
  <c r="AE102" i="12"/>
  <c r="AE1473" i="8" s="1"/>
  <c r="F1473" i="8" s="1"/>
  <c r="AE1487" i="8"/>
  <c r="F1487" i="8" s="1"/>
  <c r="AE66" i="12"/>
  <c r="AE1488" i="8"/>
  <c r="F1488" i="8" s="1"/>
  <c r="AE78" i="12"/>
  <c r="AE1471" i="8" s="1"/>
  <c r="F1471" i="8" s="1"/>
  <c r="AE1489" i="8"/>
  <c r="F1489" i="8" s="1"/>
  <c r="AE90" i="12"/>
  <c r="AE1472" i="8" s="1"/>
  <c r="F1472" i="8" s="1"/>
  <c r="AD1470" i="8"/>
  <c r="AD1662" i="8"/>
  <c r="AE1646" i="8"/>
  <c r="F1646" i="8" s="1"/>
  <c r="AE1660" i="8"/>
  <c r="F1660" i="8" s="1"/>
  <c r="AE1536" i="8"/>
  <c r="F1536" i="8" s="1"/>
  <c r="AE1470" i="8" l="1"/>
  <c r="F1470" i="8" s="1"/>
  <c r="D1464" i="8" s="1"/>
  <c r="AE1662" i="8"/>
  <c r="F1662" i="8" s="1"/>
  <c r="D1611" i="8"/>
</calcChain>
</file>

<file path=xl/sharedStrings.xml><?xml version="1.0" encoding="utf-8"?>
<sst xmlns="http://schemas.openxmlformats.org/spreadsheetml/2006/main" count="14348" uniqueCount="2956">
  <si>
    <t>Country code</t>
  </si>
  <si>
    <t>egy</t>
  </si>
  <si>
    <t>First component of every code; CPAT convention (egy.mit.&lt;var&gt;.&lt;sector&gt;.&lt;fuel&gt;.&lt;type&gt;.&lt;scenario&gt;)</t>
  </si>
  <si>
    <t>Price group for industry sectors</t>
  </si>
  <si>
    <t>ind</t>
  </si>
  <si>
    <t>C2 retail-price group the four sectors read (pow / res / ind / tra)</t>
  </si>
  <si>
    <t>Elasticity column</t>
  </si>
  <si>
    <t>Industries</t>
  </si>
  <si>
    <t>Column of the master elasticity table (Transport / Residential / Industries / Services)</t>
  </si>
  <si>
    <t>Base year</t>
  </si>
  <si>
    <t>MTInputs FirstYearCalculations; energy in the base year is read from Data_Energy, later years from the kernel</t>
  </si>
  <si>
    <t>Additional policy-induced efficiency (alpha+)</t>
  </si>
  <si>
    <t>Read from the MTInputs column by NameOfParameter; this is the only MTInputs dependency of the kernel rows</t>
  </si>
  <si>
    <t>Carbon price start year (info)</t>
  </si>
  <si>
    <t>For reference: the policy scenario new-policy wedge (nce) starts here</t>
  </si>
  <si>
    <t>Carbon price target (info)</t>
  </si>
  <si>
    <t>$/tCO2</t>
  </si>
  <si>
    <t>Kernel (every energy cell, year t &gt;= 2023):</t>
  </si>
  <si>
    <t>F(t) = F(t-1) * (1+g)^(eY*delta) * (1+psi) * (p(t)/p(t-1))^eU * [ (s(t)/s(t-1))^eF / (1 + a + a+) ]^(1+eU)</t>
  </si>
  <si>
    <t>p = post-tax price (atp), s = shadow price (shp) = atp + sigma*ssc, g = post-policy GDP growth, delta = income-elasticity discount, psi = exogenous shock</t>
  </si>
  <si>
    <t>Sheets</t>
  </si>
  <si>
    <t>Mitigation_Industry</t>
  </si>
  <si>
    <t>MTInputs</t>
  </si>
  <si>
    <t>The 415-row CPAT parameter column, copied unchanged (columns A-I of the MTInputs sheet).</t>
  </si>
  <si>
    <t>Data_Energy</t>
  </si>
  <si>
    <t>Base-year energy matrix, fuel x sector, ktoe (Mitigation B4 rows 583-602).</t>
  </si>
  <si>
    <t>Data_Prices</t>
  </si>
  <si>
    <t>Data_Macro</t>
  </si>
  <si>
    <t>GDP growth, income-elasticity discount factor, exogenous shock; both scenarios.</t>
  </si>
  <si>
    <t>Data_Elast</t>
  </si>
  <si>
    <t>Master elasticity table (income, usage, efficiency, AEEI) by fuel group x sector group, plus the fuel-group map.</t>
  </si>
  <si>
    <t>Check</t>
  </si>
  <si>
    <t>Fuel</t>
  </si>
  <si>
    <t>Sector</t>
  </si>
  <si>
    <t>Description</t>
  </si>
  <si>
    <t>Unit</t>
  </si>
  <si>
    <t>Source</t>
  </si>
  <si>
    <t>Input Code</t>
  </si>
  <si>
    <t>Output Code</t>
  </si>
  <si>
    <t>Note</t>
  </si>
  <si>
    <t>Helper</t>
  </si>
  <si>
    <t>Industrial sector - Baseline  (CBAM sectors: iron and steel, cement, non-ferrous metals, mining &amp; chemicals)</t>
  </si>
  <si>
    <t>Iron and steel</t>
  </si>
  <si>
    <t>irn</t>
  </si>
  <si>
    <t>Fuel Type</t>
  </si>
  <si>
    <t>Variable Code</t>
  </si>
  <si>
    <t>Input Code (data-table key)</t>
  </si>
  <si>
    <t>Scenario</t>
  </si>
  <si>
    <t>Pre-tax price: price before any new policy (supply cost + VAT + existing excise, subsidies and carbon prices)</t>
  </si>
  <si>
    <t>coa</t>
  </si>
  <si>
    <t>Coal</t>
  </si>
  <si>
    <t>$/GJ</t>
  </si>
  <si>
    <t>ptp</t>
  </si>
  <si>
    <t>nga</t>
  </si>
  <si>
    <t>Natural gas</t>
  </si>
  <si>
    <t>gso</t>
  </si>
  <si>
    <t>Gasoline</t>
  </si>
  <si>
    <t>$/liter</t>
  </si>
  <si>
    <t>die</t>
  </si>
  <si>
    <t>Diesel</t>
  </si>
  <si>
    <t>lpg</t>
  </si>
  <si>
    <t>LPG</t>
  </si>
  <si>
    <t>ker</t>
  </si>
  <si>
    <t>Kerosene</t>
  </si>
  <si>
    <t>oop</t>
  </si>
  <si>
    <t>Other oil products</t>
  </si>
  <si>
    <t>$/bbl</t>
  </si>
  <si>
    <t>bio</t>
  </si>
  <si>
    <t>Biomass</t>
  </si>
  <si>
    <t>ren</t>
  </si>
  <si>
    <t>Self-generated renewables</t>
  </si>
  <si>
    <t>$/kwh</t>
  </si>
  <si>
    <t>Post-tax price: pre-tax + new-policy wedge x sector coverage factor  (= CPAT atp row)</t>
  </si>
  <si>
    <t>atp</t>
  </si>
  <si>
    <t>Shadow price: post-tax + shadow price of non-price policies x share acting on efficiency</t>
  </si>
  <si>
    <t>shp</t>
  </si>
  <si>
    <t>Sector policy and macro drivers</t>
  </si>
  <si>
    <t>-</t>
  </si>
  <si>
    <t>Sector coverage factor of the new-policy wedge</t>
  </si>
  <si>
    <t>share</t>
  </si>
  <si>
    <t>tcf</t>
  </si>
  <si>
    <t>Share of shadow price acting on efficiency</t>
  </si>
  <si>
    <t>ssc</t>
  </si>
  <si>
    <t>Post-policy real GDP growth</t>
  </si>
  <si>
    <t>%</t>
  </si>
  <si>
    <t>g</t>
  </si>
  <si>
    <t>Income-elasticity discount factor</t>
  </si>
  <si>
    <t>ratio</t>
  </si>
  <si>
    <t>delta</t>
  </si>
  <si>
    <t>Exogenous shock on energy consumption</t>
  </si>
  <si>
    <t>psi</t>
  </si>
  <si>
    <t>Kernel parameters (looked up from Data_Elast; column = Settings elasticity group)</t>
  </si>
  <si>
    <t>Income el. (eY)</t>
  </si>
  <si>
    <t>Usage el. (eU)</t>
  </si>
  <si>
    <t>Efficiency el. (eF)</t>
  </si>
  <si>
    <t>AEEI (a)</t>
  </si>
  <si>
    <t>Add. efficiency (a+)</t>
  </si>
  <si>
    <t>Elasticity fuel group</t>
  </si>
  <si>
    <t>Parameters: Coal</t>
  </si>
  <si>
    <t>Parameters: Natural gas</t>
  </si>
  <si>
    <t>Parameters: Gasoline</t>
  </si>
  <si>
    <t>Parameters: Diesel</t>
  </si>
  <si>
    <t>Parameters: LPG</t>
  </si>
  <si>
    <t>Parameters: Kerosene</t>
  </si>
  <si>
    <t>Parameters: Other oil products</t>
  </si>
  <si>
    <t>Parameters: Biomass</t>
  </si>
  <si>
    <t>Parameters: Self-generated renewables</t>
  </si>
  <si>
    <t>Energy use: base year from Data_Energy, later years from the kernel  (= CPAT ener rows)</t>
  </si>
  <si>
    <t>ktoe</t>
  </si>
  <si>
    <t>ener</t>
  </si>
  <si>
    <t>tot</t>
  </si>
  <si>
    <t>Total</t>
  </si>
  <si>
    <t>Cement</t>
  </si>
  <si>
    <t>cem</t>
  </si>
  <si>
    <t>Non-ferrous metals</t>
  </si>
  <si>
    <t>nfm</t>
  </si>
  <si>
    <t>Mining &amp; Chemicals</t>
  </si>
  <si>
    <t>mch</t>
  </si>
  <si>
    <t>Industrial sector - Carbon tax  (policy scenario, same four sectors)</t>
  </si>
  <si>
    <t>CPAT Inputs</t>
  </si>
  <si>
    <t>Links ----&gt;</t>
  </si>
  <si>
    <t>Dashboard</t>
  </si>
  <si>
    <t>Explanation: this tabs is used for running MT as well as being a convenient place for all CPAT policy and parameter inputs to be viewed</t>
  </si>
  <si>
    <t>NB: Please do not change any cells. Make sure that "MT is active" switch is "False"</t>
  </si>
  <si>
    <t>&lt;-- Should normally  be "FALSE"!</t>
  </si>
  <si>
    <t>Parameters</t>
  </si>
  <si>
    <t>unit</t>
  </si>
  <si>
    <t>MT values</t>
  </si>
  <si>
    <t>"Dashboard" values</t>
  </si>
  <si>
    <t>Used for calculation</t>
  </si>
  <si>
    <t>Defaults</t>
  </si>
  <si>
    <t>NameOfParameter</t>
  </si>
  <si>
    <t>Country</t>
  </si>
  <si>
    <t>Egypt</t>
  </si>
  <si>
    <t>Countryname</t>
  </si>
  <si>
    <t>Scenario identification</t>
  </si>
  <si>
    <t>Scenario ID</t>
  </si>
  <si>
    <t>#</t>
  </si>
  <si>
    <t>N/A</t>
  </si>
  <si>
    <t>MSTScenarioID</t>
  </si>
  <si>
    <t>Scenario status</t>
  </si>
  <si>
    <t>switch</t>
  </si>
  <si>
    <t>Scenario name</t>
  </si>
  <si>
    <t>name</t>
  </si>
  <si>
    <t>Chosen policy</t>
  </si>
  <si>
    <t xml:space="preserve"> - Carbon tax</t>
  </si>
  <si>
    <t>ScenarioSelected</t>
  </si>
  <si>
    <t>Scenario status for macro</t>
  </si>
  <si>
    <t>Scenario parameters override?</t>
  </si>
  <si>
    <t>CPAT-side parameters override?</t>
  </si>
  <si>
    <t>Manual*</t>
  </si>
  <si>
    <t>CPATDefaultsOrUserDefined</t>
  </si>
  <si>
    <t>Carbon pricing: main inputs</t>
  </si>
  <si>
    <t>X</t>
  </si>
  <si>
    <t>Carbon pricing start year</t>
  </si>
  <si>
    <t>year</t>
  </si>
  <si>
    <t>CPIntro</t>
  </si>
  <si>
    <t>Starting carbon price</t>
  </si>
  <si>
    <t>nom. USD/tCO2</t>
  </si>
  <si>
    <t>CPLevelStart</t>
  </si>
  <si>
    <t>Target level of carbon price</t>
  </si>
  <si>
    <t>CPLevelTarget</t>
  </si>
  <si>
    <t>Year to reach target level</t>
  </si>
  <si>
    <t>CPOutro</t>
  </si>
  <si>
    <t>Carbon pricing: fuel coverage</t>
  </si>
  <si>
    <t>Apply tax to coal?</t>
  </si>
  <si>
    <t>MCovCoa</t>
  </si>
  <si>
    <t>Apply tax to natural gas?</t>
  </si>
  <si>
    <t>MCovNga</t>
  </si>
  <si>
    <t>Apply tax to gasoline?</t>
  </si>
  <si>
    <t>MCovGso</t>
  </si>
  <si>
    <t>Apply tax to diesel?</t>
  </si>
  <si>
    <t>MCovDie</t>
  </si>
  <si>
    <t>Apply tax to LPG?</t>
  </si>
  <si>
    <t>MCovLpg</t>
  </si>
  <si>
    <t>Apply tax to kerosene?</t>
  </si>
  <si>
    <t>MCovKer</t>
  </si>
  <si>
    <t>Apply tax to non-road oil products?</t>
  </si>
  <si>
    <t>MCovOop</t>
  </si>
  <si>
    <t>Carbon pricing: sector coverage</t>
  </si>
  <si>
    <t>Apply tax to power sector?</t>
  </si>
  <si>
    <t>MCovPow</t>
  </si>
  <si>
    <t>Apply tax to road transportation?</t>
  </si>
  <si>
    <t>MCovRod</t>
  </si>
  <si>
    <t>Apply tax to rail transportation?</t>
  </si>
  <si>
    <t>MCovRal</t>
  </si>
  <si>
    <t>Apply tax to domestic aviation?</t>
  </si>
  <si>
    <t>MCovAvi</t>
  </si>
  <si>
    <t>Apply tax to domestic shipping?</t>
  </si>
  <si>
    <t>MCovNav</t>
  </si>
  <si>
    <t>Apply tax to residential sector?</t>
  </si>
  <si>
    <t>MCovRes</t>
  </si>
  <si>
    <t>Apply tax to food &amp; forestry?</t>
  </si>
  <si>
    <t>MCovFoo</t>
  </si>
  <si>
    <t>Apply tax to services (private / public)?</t>
  </si>
  <si>
    <t>MCovSrv</t>
  </si>
  <si>
    <t>Apply tax to mining &amp; chemicals?</t>
  </si>
  <si>
    <t>MCovMch</t>
  </si>
  <si>
    <t>Apply tax to iron and steel?</t>
  </si>
  <si>
    <t>MCovIrn</t>
  </si>
  <si>
    <t>Apply tax to non-ferrous metals?</t>
  </si>
  <si>
    <t>MCovNfm</t>
  </si>
  <si>
    <t>Apply tax to machinery?</t>
  </si>
  <si>
    <t>MCovMac</t>
  </si>
  <si>
    <t>Apply tax to cement?</t>
  </si>
  <si>
    <t>MCovCem</t>
  </si>
  <si>
    <t>Apply tax to other manucfacturing?</t>
  </si>
  <si>
    <t>MCovOmn</t>
  </si>
  <si>
    <t>Apply tax to construction?</t>
  </si>
  <si>
    <t>MCovCst</t>
  </si>
  <si>
    <t>Apply tax to fuel transformation?</t>
  </si>
  <si>
    <t>MCovFtr</t>
  </si>
  <si>
    <t>Apply tax to other energy use?</t>
  </si>
  <si>
    <t>MCovOen</t>
  </si>
  <si>
    <t>Exemptions phaseout</t>
  </si>
  <si>
    <t>Apply exemption phaseout?</t>
  </si>
  <si>
    <t>ExemptPhaseout</t>
  </si>
  <si>
    <t>Year to start exemption phaseout (if applicable)</t>
  </si>
  <si>
    <t>YearPha</t>
  </si>
  <si>
    <t>Period to reach full exemption phaseout (if applicable)</t>
  </si>
  <si>
    <t>ExemptPhaseoutPeriod</t>
  </si>
  <si>
    <t>Feebates: Starting and End Date</t>
  </si>
  <si>
    <t>Start date</t>
  </si>
  <si>
    <t>D_FeebateIntro</t>
  </si>
  <si>
    <t>Target date</t>
  </si>
  <si>
    <t>D_FeebateOutro</t>
  </si>
  <si>
    <t>Feebates: Feebate starting rate</t>
  </si>
  <si>
    <t>Power sector</t>
  </si>
  <si>
    <t>USD/tCO2</t>
  </si>
  <si>
    <t>D_Feb_Level_Start_Pow</t>
  </si>
  <si>
    <t>Transport</t>
  </si>
  <si>
    <t>D_Feb_Level_Start_Trans</t>
  </si>
  <si>
    <t>Residential</t>
  </si>
  <si>
    <t>D_Feb_Level_Start_Res</t>
  </si>
  <si>
    <t>Industry</t>
  </si>
  <si>
    <t>D_Feb_Level_Start_Ind</t>
  </si>
  <si>
    <t>Feebates: Feebate target rate</t>
  </si>
  <si>
    <t>D_Feb_Level_Target_Pow</t>
  </si>
  <si>
    <t>D_Feb_Level_Target_Trans</t>
  </si>
  <si>
    <t>D_Feb_Level_Target_Res</t>
  </si>
  <si>
    <t>D_Feb_Level_Target_Ind</t>
  </si>
  <si>
    <t>Feebates sector coverage</t>
  </si>
  <si>
    <t>ETS Main Characteristics</t>
  </si>
  <si>
    <t>Apply new ETS?</t>
  </si>
  <si>
    <t>No</t>
  </si>
  <si>
    <t>D_NewETS</t>
  </si>
  <si>
    <t>Change Relative to Baseline in Start Year</t>
  </si>
  <si>
    <t>D_ETSChangeRelStart</t>
  </si>
  <si>
    <t>Change Relative to Baseline in Target Year</t>
  </si>
  <si>
    <t>D_ETSChangeRelTarget</t>
  </si>
  <si>
    <t>Cap continuation after target year?</t>
  </si>
  <si>
    <t>Constant</t>
  </si>
  <si>
    <t>KeepRelativeCapConstant</t>
  </si>
  <si>
    <t>D_ETSCapCont</t>
  </si>
  <si>
    <t>ETS Start Year</t>
  </si>
  <si>
    <t>D_ETSIntro</t>
  </si>
  <si>
    <t>ETS Target Year</t>
  </si>
  <si>
    <t>D_ETSOutro</t>
  </si>
  <si>
    <t>Proportion Auctioned in Starting Year</t>
  </si>
  <si>
    <t>D_ETSAuctStart</t>
  </si>
  <si>
    <t>Proportion Auctioned in Target Year</t>
  </si>
  <si>
    <t>D_ETSAuctTarget</t>
  </si>
  <si>
    <t>Auction proportion continuation after target year?</t>
  </si>
  <si>
    <t>D_ETSAuctCont</t>
  </si>
  <si>
    <t>Override ETS price</t>
  </si>
  <si>
    <t>D_ETSPriceOverride</t>
  </si>
  <si>
    <t>ETS: modelling assumptions</t>
  </si>
  <si>
    <t>ETS Volatility</t>
  </si>
  <si>
    <t>Medium*</t>
  </si>
  <si>
    <t>D_ETSVolatility</t>
  </si>
  <si>
    <t>Impact of Volatility on Abatement Costs</t>
  </si>
  <si>
    <t>D_ETSVolImpact</t>
  </si>
  <si>
    <t>Carbon Tax Policy Risk</t>
  </si>
  <si>
    <t>D_ETSCTRisk</t>
  </si>
  <si>
    <t>ETS: sector coverage</t>
  </si>
  <si>
    <t>power sector</t>
  </si>
  <si>
    <t>road transportation</t>
  </si>
  <si>
    <t>rail transportation</t>
  </si>
  <si>
    <t>domestic aviation</t>
  </si>
  <si>
    <t>domestic shipping</t>
  </si>
  <si>
    <t>residential</t>
  </si>
  <si>
    <t>food &amp; forestry</t>
  </si>
  <si>
    <t>services (private / public)</t>
  </si>
  <si>
    <t>mining &amp; chemicals</t>
  </si>
  <si>
    <t>iron and steel</t>
  </si>
  <si>
    <t>non-ferrous metals</t>
  </si>
  <si>
    <t>machinery</t>
  </si>
  <si>
    <t>cement</t>
  </si>
  <si>
    <t>other manucfacturing</t>
  </si>
  <si>
    <t>construction</t>
  </si>
  <si>
    <t>fuel transformation</t>
  </si>
  <si>
    <t>other energy use</t>
  </si>
  <si>
    <t>CBAM Goods Non-Fuel Process Emissions</t>
  </si>
  <si>
    <t>Fossil fuel subsidies (producer-side)</t>
  </si>
  <si>
    <t>Apply producer subsidies phaseout in the policy scenario?</t>
  </si>
  <si>
    <t>TRUE/FALSE</t>
  </si>
  <si>
    <t>ProdSubPh</t>
  </si>
  <si>
    <t>Year to start producer subsidies phaseout (if applicable)</t>
  </si>
  <si>
    <t>YearProdSubPha</t>
  </si>
  <si>
    <t>Period to reach full producer subsidies phaseout (if applicable)</t>
  </si>
  <si>
    <t>FFSProdPhaseoutPeriod</t>
  </si>
  <si>
    <t>Share of producer subsidies to phase-out</t>
  </si>
  <si>
    <t>ShareofProdSubPha</t>
  </si>
  <si>
    <t>Apply producer subsidies phaseout in the baseline?</t>
  </si>
  <si>
    <t>Yes/No</t>
  </si>
  <si>
    <t>ProdSubPhaBaseline</t>
  </si>
  <si>
    <t>Period to reach full producer subsidies phaseout (baseline)</t>
  </si>
  <si>
    <t>FFSProdPhaseoutPeriodBA</t>
  </si>
  <si>
    <t>Share of producer subsidies to phase-out in the baseline</t>
  </si>
  <si>
    <t>ShareOfProdSubPhaBA</t>
  </si>
  <si>
    <t>Fossil fuel subsidies (consumer-side)</t>
  </si>
  <si>
    <t>Apply consumer subsidies phaseout?</t>
  </si>
  <si>
    <t>ConsSubPha</t>
  </si>
  <si>
    <t>Year to start consumer subsidies phaseout (if applicable)</t>
  </si>
  <si>
    <t>YearConsSubPha</t>
  </si>
  <si>
    <t>Period to reach full consumer subsidies phaseout (if applicable)</t>
  </si>
  <si>
    <t>FFPhaseOut</t>
  </si>
  <si>
    <t>Share of consumer subsidies to phase-out</t>
  </si>
  <si>
    <t>ShareOfConsSubPha</t>
  </si>
  <si>
    <t>Apply consumer subsidies phaseout in the baseline?</t>
  </si>
  <si>
    <t>ConsSubPhaBaseline</t>
  </si>
  <si>
    <t>Period to reach full consumer subsidies phaseout (baseline)</t>
  </si>
  <si>
    <t>FFSConsPhaseoutPeriodBA</t>
  </si>
  <si>
    <t>Share of consumer subsidies to phase-out in the baseline</t>
  </si>
  <si>
    <t>ShareofConsSubPhaBA</t>
  </si>
  <si>
    <t>Include power subsidies in any phase out?</t>
  </si>
  <si>
    <t>Exempt/Include*</t>
  </si>
  <si>
    <t>DoNotPhaseOut*</t>
  </si>
  <si>
    <t>PowerSubsidyExemptInclude</t>
  </si>
  <si>
    <t>Fuel Price Reform</t>
  </si>
  <si>
    <t>Starting year</t>
  </si>
  <si>
    <t>Target year</t>
  </si>
  <si>
    <t>Starting price increase, Coal , Power</t>
  </si>
  <si>
    <t>Starting price increase, Coal , Residential</t>
  </si>
  <si>
    <t>Starting price increase, Coal , Industry</t>
  </si>
  <si>
    <t>Starting price increase, Natural gas , Power</t>
  </si>
  <si>
    <t>Starting price increase, Natural gas , Residential</t>
  </si>
  <si>
    <t>Starting price increase, Natural gas , Industry</t>
  </si>
  <si>
    <t>Starting price increase, Electricity , Residential</t>
  </si>
  <si>
    <t>Starting price increase, Electricity , Industry</t>
  </si>
  <si>
    <t>Starting price increase, Gasoline , All</t>
  </si>
  <si>
    <t>Starting price increase, Diesel  , All</t>
  </si>
  <si>
    <t>Starting price increase, LPG , All</t>
  </si>
  <si>
    <t>Starting price increase, Kerosene , All</t>
  </si>
  <si>
    <t>Starting price increase, Other oil products , All</t>
  </si>
  <si>
    <t>Starting price increase, Biomass , All</t>
  </si>
  <si>
    <t>Final price increase, Coal , Power</t>
  </si>
  <si>
    <t>Final price increase, Coal , Residential</t>
  </si>
  <si>
    <t>Final price increase, Coal , Industry</t>
  </si>
  <si>
    <t>Final price increase, Natural gas , Power</t>
  </si>
  <si>
    <t>Final price increase, Natural gas , Residential</t>
  </si>
  <si>
    <t>Final price increase, Natural gas , Industry</t>
  </si>
  <si>
    <t>Final price increase, Electricity , Residential</t>
  </si>
  <si>
    <t>Final price increase, Electricity , Industry</t>
  </si>
  <si>
    <t>Final price increase, Gasoline , All</t>
  </si>
  <si>
    <t>Final price increase, Diesel  , All</t>
  </si>
  <si>
    <t>Final price increase, LPG , All</t>
  </si>
  <si>
    <t>Final price increase, Kerosene , All</t>
  </si>
  <si>
    <t>Final price increase, Other oil products , All</t>
  </si>
  <si>
    <t>Final price increase, Biomass , All</t>
  </si>
  <si>
    <t>Price increase units, Coal , Power</t>
  </si>
  <si>
    <t>Price increase units, Coal , Residential</t>
  </si>
  <si>
    <t>Price increase units, Coal , Industry</t>
  </si>
  <si>
    <t>Price increase units, Natural gas , Power</t>
  </si>
  <si>
    <t>Price increase units, Natural gas , Residential</t>
  </si>
  <si>
    <t>Price increase units, Natural gas , Industry</t>
  </si>
  <si>
    <t>Price increase units, Electricity , Residential</t>
  </si>
  <si>
    <t>Price increase units, Electricity , Industry</t>
  </si>
  <si>
    <t>Price increase units, Gasoline , All</t>
  </si>
  <si>
    <t>Price increase units, Diesel  , All</t>
  </si>
  <si>
    <t>Price increase units, LPG , All</t>
  </si>
  <si>
    <t>Price increase units, Kerosene , All</t>
  </si>
  <si>
    <t>Price increase units, Other oil products , All</t>
  </si>
  <si>
    <t>$/bbn</t>
  </si>
  <si>
    <t>Price increase units, Biomass , All</t>
  </si>
  <si>
    <t>Methane tax</t>
  </si>
  <si>
    <t>Apply carbon tax to methane</t>
  </si>
  <si>
    <t>CTforMethane</t>
  </si>
  <si>
    <t>Year of methane fee introduction</t>
  </si>
  <si>
    <t>MPIntro</t>
  </si>
  <si>
    <t>Starting methane fee (real USD per ton CO2eq)</t>
  </si>
  <si>
    <t>USD per ton of CO2 eq</t>
  </si>
  <si>
    <t>MPLevelStart</t>
  </si>
  <si>
    <t>Target level of methane fee</t>
  </si>
  <si>
    <t>MPLevelTarget</t>
  </si>
  <si>
    <t>Year to reach target methane fee level</t>
  </si>
  <si>
    <t>MPOutro</t>
  </si>
  <si>
    <t>Price liberalization</t>
  </si>
  <si>
    <t>Apply price controls phaseout?</t>
  </si>
  <si>
    <t>PrcContPha</t>
  </si>
  <si>
    <t>Year to start price controls phaseout (if applicable)</t>
  </si>
  <si>
    <t>YearPrcContPha</t>
  </si>
  <si>
    <t>Period to reach full price controls phaseout (if applicable)</t>
  </si>
  <si>
    <t>PrcControlPhaseout</t>
  </si>
  <si>
    <t>Government energy price controls</t>
  </si>
  <si>
    <t>Bucketed*</t>
  </si>
  <si>
    <t>GovPriceControls</t>
  </si>
  <si>
    <t>Apply price controls phaseout in the baseline scenario?</t>
  </si>
  <si>
    <t>PrcContPhaBaseline</t>
  </si>
  <si>
    <t>Revenues use</t>
  </si>
  <si>
    <t>Labor tax reductions</t>
  </si>
  <si>
    <t>% of revenues</t>
  </si>
  <si>
    <t>EXPLabortax</t>
  </si>
  <si>
    <t>Corporate taxes</t>
  </si>
  <si>
    <t>EXPCIT</t>
  </si>
  <si>
    <t>Public investment</t>
  </si>
  <si>
    <t>EXPCapex</t>
  </si>
  <si>
    <t>Current spending</t>
  </si>
  <si>
    <t>EXPGoodsandserv</t>
  </si>
  <si>
    <t>Targeted transfers</t>
  </si>
  <si>
    <t>EXPTransfers</t>
  </si>
  <si>
    <t>of which:</t>
  </si>
  <si>
    <t>targeted percentile</t>
  </si>
  <si>
    <t>% bottom targetting (from bottom of distribution)</t>
  </si>
  <si>
    <t>TargettedPercentile</t>
  </si>
  <si>
    <t>coverage rate</t>
  </si>
  <si>
    <t>% of targeted percentile that receive transfers</t>
  </si>
  <si>
    <t>CoverageRate</t>
  </si>
  <si>
    <t>leakage rate</t>
  </si>
  <si>
    <t>% of untargeted percentile that receive transfers</t>
  </si>
  <si>
    <t>LeakageRate</t>
  </si>
  <si>
    <t>Policy options</t>
  </si>
  <si>
    <t>Additional mitigation policies in non-energy sectors?</t>
  </si>
  <si>
    <t>No*</t>
  </si>
  <si>
    <t>Yes*</t>
  </si>
  <si>
    <t>AdditionMitigationPoliciesNonEnergy</t>
  </si>
  <si>
    <t>Apply existing ETS (if exists)?</t>
  </si>
  <si>
    <t>ExistingETSApply</t>
  </si>
  <si>
    <t>Existing ETS permit price growth per annum (real terms)</t>
  </si>
  <si>
    <t>%, real</t>
  </si>
  <si>
    <t>ExistingETSGrowth</t>
  </si>
  <si>
    <t>New carbon tax complementary to existing ETS coverage</t>
  </si>
  <si>
    <t>CTaxComplimentaryToETS</t>
  </si>
  <si>
    <t>ETS behavioral responses and revenues adjustment</t>
  </si>
  <si>
    <t>ETSBehavioralAdjustment</t>
  </si>
  <si>
    <t>Years to phase in Pigouvian tax?</t>
  </si>
  <si>
    <t>AddEfficientTaxesPhaseInYears</t>
  </si>
  <si>
    <t>Apply existing carbon tax (if exists)?</t>
  </si>
  <si>
    <t>ExistingCTApply</t>
  </si>
  <si>
    <t>Assumed existing carbon tax growth per annum (real terms)</t>
  </si>
  <si>
    <t>ExistingCTGrowth</t>
  </si>
  <si>
    <t>Add additional excise tax (see 'Manual inputs' tab)?</t>
  </si>
  <si>
    <t>AdditionalExcise</t>
  </si>
  <si>
    <t>Include climate externality in Pigouvian tax?</t>
  </si>
  <si>
    <t>ClimateEffTax</t>
  </si>
  <si>
    <t>Add Pigouvian tax on top?</t>
  </si>
  <si>
    <t>AddEfficientTaxes</t>
  </si>
  <si>
    <t>Externalities are part of VAT base for optimal taxes?</t>
  </si>
  <si>
    <t>ExternalityAddVAT</t>
  </si>
  <si>
    <t>Sources for key inputs</t>
  </si>
  <si>
    <t>International energy price forecasts</t>
  </si>
  <si>
    <t>IMF</t>
  </si>
  <si>
    <t>IMF-WB*</t>
  </si>
  <si>
    <t>IntEnerPricForeSource</t>
  </si>
  <si>
    <t>Global energy demand scenario</t>
  </si>
  <si>
    <t>Stated Policies*</t>
  </si>
  <si>
    <t>GlobalEnergyDemand</t>
  </si>
  <si>
    <t>GDP growth forecasts</t>
  </si>
  <si>
    <t>WEO*</t>
  </si>
  <si>
    <t>GDPScenario</t>
  </si>
  <si>
    <t>Primary source for price elasticities of demand</t>
  </si>
  <si>
    <t>Simple*</t>
  </si>
  <si>
    <t>ElPrcMainSrc</t>
  </si>
  <si>
    <t>Primary source for income elasticities of demand</t>
  </si>
  <si>
    <t>ElIncMainSrc</t>
  </si>
  <si>
    <t>CO2 emissions factors</t>
  </si>
  <si>
    <t>IIASA*</t>
  </si>
  <si>
    <t>EmissionsFactCO2</t>
  </si>
  <si>
    <t>Fiscal multipliers</t>
  </si>
  <si>
    <t>Income-grp*</t>
  </si>
  <si>
    <t>MultipliersSource</t>
  </si>
  <si>
    <t>Power sector model (elasticity or engineering)?</t>
  </si>
  <si>
    <t>Engineer</t>
  </si>
  <si>
    <t>PowModelSelected</t>
  </si>
  <si>
    <t>NDC submission</t>
  </si>
  <si>
    <t>Latest*</t>
  </si>
  <si>
    <t>NDCs</t>
  </si>
  <si>
    <t>NDC target year</t>
  </si>
  <si>
    <t>Main*</t>
  </si>
  <si>
    <t>NDCTargetYear</t>
  </si>
  <si>
    <t>If conditional NDC, use:</t>
  </si>
  <si>
    <t>Average*</t>
  </si>
  <si>
    <t>Conditionality</t>
  </si>
  <si>
    <t>General assumptions</t>
  </si>
  <si>
    <t>First year of model calculations?</t>
  </si>
  <si>
    <t>FirstYearCalculations</t>
  </si>
  <si>
    <t>Nominal results in real terms of which year?</t>
  </si>
  <si>
    <t>ResultsYear</t>
  </si>
  <si>
    <t>Use energy balances or (CPAT) energy consumption data</t>
  </si>
  <si>
    <t>Balances</t>
  </si>
  <si>
    <t>BalancesOrConsumption</t>
  </si>
  <si>
    <t>Generate Matrix of Energy Consumption Projections for Year</t>
  </si>
  <si>
    <t>EnergyConsumptionsMatrixProjectionsYear</t>
  </si>
  <si>
    <t>Start year for GDP calculations</t>
  </si>
  <si>
    <t>GDPStartYear</t>
  </si>
  <si>
    <t>Adjust Annex I country energy-related CO2 EFs to match UNFCCC GHG inventories?</t>
  </si>
  <si>
    <t>EFsAdjustmentAnnexI</t>
  </si>
  <si>
    <t>Adjust non-Annex I country energy-related CO2 EFs to match CAIT GHG inventories?</t>
  </si>
  <si>
    <t>EFsAdjustmentNonAnnexI</t>
  </si>
  <si>
    <t>Industrial process emissions scale with industrial CO2 energy emissions?</t>
  </si>
  <si>
    <t>IndustrialProcessEmissionsScaleEner</t>
  </si>
  <si>
    <t>LULUCF emissions decline at % pa (in absolute value of start year)?</t>
  </si>
  <si>
    <t>LULUCFAnnualEmissionsDecline</t>
  </si>
  <si>
    <t>Additional policy-induced efficiency gains pa by sector:</t>
  </si>
  <si>
    <t>Power</t>
  </si>
  <si>
    <t>AdditionalEfficiencyPower</t>
  </si>
  <si>
    <t>Road vehicles</t>
  </si>
  <si>
    <t>AdditionalEfficiencyRoadVehicle</t>
  </si>
  <si>
    <t>AdditionalEfficiencyResidential</t>
  </si>
  <si>
    <t>Industrial</t>
  </si>
  <si>
    <t>AdditionalEfficiencyIndustrial</t>
  </si>
  <si>
    <t>Adjustment to efficiency margins for shadow pricing policies:</t>
  </si>
  <si>
    <t>Energy efficiency regulations</t>
  </si>
  <si>
    <t>SPPEffAdjEnergyEfficiencyRegulations</t>
  </si>
  <si>
    <t>Vehicle fuel economy</t>
  </si>
  <si>
    <t>SPPEffAdjVehicleFuelEconomy</t>
  </si>
  <si>
    <t>Residential efficiency regulations</t>
  </si>
  <si>
    <t>SPPEffAdjRes</t>
  </si>
  <si>
    <t>Industrial efficiency regulations</t>
  </si>
  <si>
    <t>SPPEffAdjInd</t>
  </si>
  <si>
    <t>Feebates</t>
  </si>
  <si>
    <t>SPPEffAdjFeebates</t>
  </si>
  <si>
    <t>Residential Substitution Implicit Efficiencies</t>
  </si>
  <si>
    <t>ResSubstLPGEff</t>
  </si>
  <si>
    <t>ResSubstKerEff</t>
  </si>
  <si>
    <t>ResSubstBioEff</t>
  </si>
  <si>
    <t>NatGas</t>
  </si>
  <si>
    <t>ResSubstNatGasEff</t>
  </si>
  <si>
    <t>Uncertainty adjustments</t>
  </si>
  <si>
    <t>International energy prices adjustment</t>
  </si>
  <si>
    <t>Base*</t>
  </si>
  <si>
    <t>IntEnerPricForecastAdjustment</t>
  </si>
  <si>
    <t>GDP growth adjustment</t>
  </si>
  <si>
    <t>GdpAdj</t>
  </si>
  <si>
    <t>Price elasticities adjustment</t>
  </si>
  <si>
    <t>ElastPriceAdjustment</t>
  </si>
  <si>
    <t>Income elasticities adjustment</t>
  </si>
  <si>
    <t>ElastIncAdjustment</t>
  </si>
  <si>
    <t>Adjust income elasticities for GDP levels?</t>
  </si>
  <si>
    <t>IncElAdj</t>
  </si>
  <si>
    <t>Fiscal multipliers adjustment</t>
  </si>
  <si>
    <t>FmAdj</t>
  </si>
  <si>
    <t>Miscellaneous</t>
  </si>
  <si>
    <t>Price pathway continues to rise after target year?</t>
  </si>
  <si>
    <t>Linear*</t>
  </si>
  <si>
    <t>ExtendCarbonPriceBeyondOutro</t>
  </si>
  <si>
    <t>Tax pathway is in nominal or real terms?</t>
  </si>
  <si>
    <t>Real*</t>
  </si>
  <si>
    <t>NomorReal</t>
  </si>
  <si>
    <t>Include endogenous GDP effects?</t>
  </si>
  <si>
    <t>GDPEndogenous</t>
  </si>
  <si>
    <t>Residential LPG/kerosene always exempted</t>
  </si>
  <si>
    <t>AlwaysExemptResLPGKer</t>
  </si>
  <si>
    <t>National social cost of carbon (NSCC) source</t>
  </si>
  <si>
    <t>Target*</t>
  </si>
  <si>
    <t>NSCCSource</t>
  </si>
  <si>
    <t>Override dashboard and impose a linear or exponential carbon price trajectory?</t>
  </si>
  <si>
    <t>CTaxTrajectoryType</t>
  </si>
  <si>
    <t>If overridden and exponential, what is the real escalation rate per year?</t>
  </si>
  <si>
    <t>CtaxExponentialEscalationRate</t>
  </si>
  <si>
    <t xml:space="preserve">Social cost of carbon </t>
  </si>
  <si>
    <t>NSCC discount rate (ρ)</t>
  </si>
  <si>
    <t>2%*</t>
  </si>
  <si>
    <t>NSCCDiscountRate</t>
  </si>
  <si>
    <t>NSCC elasticity of marginal utility (μ)</t>
  </si>
  <si>
    <t>1.5%*</t>
  </si>
  <si>
    <t>NSCCMargUtilofCons</t>
  </si>
  <si>
    <t>Global social cost of carbon (GSCC) source</t>
  </si>
  <si>
    <t>GSCCSource</t>
  </si>
  <si>
    <t xml:space="preserve">Manual - assumed starting in year 2021 </t>
  </si>
  <si>
    <t>SCC (both NSCC and GSCC)</t>
  </si>
  <si>
    <t>real growth, %</t>
  </si>
  <si>
    <t>SCCRise</t>
  </si>
  <si>
    <t>Target-consistent carbon price by 2030 (for 'Target' option)</t>
  </si>
  <si>
    <t>SCCTargetConsistentCP</t>
  </si>
  <si>
    <t>Energy pricing assumptions</t>
  </si>
  <si>
    <t>Use manual domestic prices?</t>
  </si>
  <si>
    <t>DomPrTax</t>
  </si>
  <si>
    <t>Use uniform global assumption for fuel prices (normally 'No')</t>
  </si>
  <si>
    <t>UseGlobalPrices</t>
  </si>
  <si>
    <t>Year of interest for energy externalities &amp; prices</t>
  </si>
  <si>
    <t>YearFuelPrices</t>
  </si>
  <si>
    <t>VAT reform</t>
  </si>
  <si>
    <t>Apply general VAT rate on residential and transport consumption?</t>
  </si>
  <si>
    <t>VatRef</t>
  </si>
  <si>
    <t>Existing non-carbon taxes</t>
  </si>
  <si>
    <t>Apply existing non-carbon taxes on coal?</t>
  </si>
  <si>
    <t>ApplyExistingNonCarbonTaxCoa</t>
  </si>
  <si>
    <t>Apply existing non-carbon taxes on natural gas?</t>
  </si>
  <si>
    <t>ApplyExistingNonCarbonTaxNga</t>
  </si>
  <si>
    <t>Apply existing non-carbon taxes on gasoline?</t>
  </si>
  <si>
    <t>ApplyExistingNonCarbonTaxGso</t>
  </si>
  <si>
    <t>Apply existing non-carbon taxes on diesel?</t>
  </si>
  <si>
    <t>ApplyExistingNonCarbonTaxDie</t>
  </si>
  <si>
    <t>Apply existing non-carbon taxes on other oil products?</t>
  </si>
  <si>
    <t>ApplyExistingNonCarbonTaxOop</t>
  </si>
  <si>
    <t>Apply existing non-carbon taxes on LPG?</t>
  </si>
  <si>
    <t>ApplyExistingNonCarbonTaxLpg</t>
  </si>
  <si>
    <t>Apply existing non-carbon taxes on kerosene?</t>
  </si>
  <si>
    <t>ApplyExistingNonCarbonTaxKer</t>
  </si>
  <si>
    <t>Apply existing non-carbon taxes on biomass?</t>
  </si>
  <si>
    <t>ApplyExistingNonCarbonTaxBio</t>
  </si>
  <si>
    <t>Apply existing non-carbon taxes on electricity?</t>
  </si>
  <si>
    <t>ApplyExistingNonCarbonTaxEcy</t>
  </si>
  <si>
    <t>Other assumptions: mitigation module</t>
  </si>
  <si>
    <t>Use 'world' (USA) or country-specific discount factors?</t>
  </si>
  <si>
    <t>World</t>
  </si>
  <si>
    <t>DfSelection</t>
  </si>
  <si>
    <t>Sum all oil products in industrial transformation sector</t>
  </si>
  <si>
    <t>Converted</t>
  </si>
  <si>
    <t>NonEnergyTransformationMethod</t>
  </si>
  <si>
    <t>LPG in residential implicit (cookstove) efficiency</t>
  </si>
  <si>
    <t>LPGEff</t>
  </si>
  <si>
    <t>Kerosene in residential implicit (cookstove) efficiency</t>
  </si>
  <si>
    <t>KerEff</t>
  </si>
  <si>
    <t>Biomass in residential implicit (cookstove) efficiency</t>
  </si>
  <si>
    <t>BioEff</t>
  </si>
  <si>
    <t>Natural gas in residential implicit (cookstove) efficiency</t>
  </si>
  <si>
    <t>NatGasEff</t>
  </si>
  <si>
    <t>Include producer-side subsidies as part of TCP measure</t>
  </si>
  <si>
    <t>PsInTCP</t>
  </si>
  <si>
    <t>Distributional module assumptions</t>
  </si>
  <si>
    <t>Analysis year for distributional module</t>
  </si>
  <si>
    <t>YearDistn</t>
  </si>
  <si>
    <t>Targeted transfer type</t>
  </si>
  <si>
    <t>Cash</t>
  </si>
  <si>
    <t>TransferType</t>
  </si>
  <si>
    <t>Target households below poverty line (2011 PPP$/day)</t>
  </si>
  <si>
    <t>number</t>
  </si>
  <si>
    <t>TargetBelow</t>
  </si>
  <si>
    <t>Public/infrastructure investment type</t>
  </si>
  <si>
    <t>All Infr.</t>
  </si>
  <si>
    <t>PublicInfrastructureInvType</t>
  </si>
  <si>
    <t>Current spending type</t>
  </si>
  <si>
    <t>All Social Protection and Labor</t>
  </si>
  <si>
    <t>CurrentSpendingType</t>
  </si>
  <si>
    <t>Personal Income Tax (PIT) reduction type</t>
  </si>
  <si>
    <t>Personal Allowance</t>
  </si>
  <si>
    <t>PITReductionType</t>
  </si>
  <si>
    <t>"Targeted Exemption" for bottom XX deciles</t>
  </si>
  <si>
    <t>DistExcCfDec</t>
  </si>
  <si>
    <t>Replace missing labor tax data, grouping by country</t>
  </si>
  <si>
    <t>income</t>
  </si>
  <si>
    <t>MissingDataReplacement</t>
  </si>
  <si>
    <t>Exempt most-used cooking fossil fuel?</t>
  </si>
  <si>
    <t>ExemptMostCook</t>
  </si>
  <si>
    <t>Exempt cooking fossil fuel for bottom XX deciles:</t>
  </si>
  <si>
    <t>ExemptCookDeciles</t>
  </si>
  <si>
    <t>Adjust for behavioral &amp; structural change?</t>
  </si>
  <si>
    <t>InferredDist</t>
  </si>
  <si>
    <t>Include decile-specific price elasticities?</t>
  </si>
  <si>
    <t>Yes</t>
  </si>
  <si>
    <t>PEDs</t>
  </si>
  <si>
    <t>Adjust GTAP-implied CP revenues to CPAT?</t>
  </si>
  <si>
    <t>ScaleGTAP</t>
  </si>
  <si>
    <t>Adjust for deadweight losses?</t>
  </si>
  <si>
    <t>DWLs</t>
  </si>
  <si>
    <t>Imperfect pass-through?</t>
  </si>
  <si>
    <t>PassthroughDist</t>
  </si>
  <si>
    <t>Impacts for average, median, p25, or p75?</t>
  </si>
  <si>
    <t>mean</t>
  </si>
  <si>
    <t>QuantilesStatistic</t>
  </si>
  <si>
    <t>Quantiles in LCU?</t>
  </si>
  <si>
    <t>QuantilesLCU</t>
  </si>
  <si>
    <t>Air pollution module assumptions</t>
  </si>
  <si>
    <t>Emissions to concentrations, PM2.5</t>
  </si>
  <si>
    <t>Local study-FASST</t>
  </si>
  <si>
    <t>Avg. iF and LS FASST*</t>
  </si>
  <si>
    <t>SourceAppSel</t>
  </si>
  <si>
    <t>Emissions to concentrations, Ozone</t>
  </si>
  <si>
    <t>TM5-FASST</t>
  </si>
  <si>
    <t>SourceAppO3</t>
  </si>
  <si>
    <t>Emission factors</t>
  </si>
  <si>
    <t>Average</t>
  </si>
  <si>
    <t>EFSel</t>
  </si>
  <si>
    <t>Include leakage to biomass in residential sector</t>
  </si>
  <si>
    <t>BiomassLeakage</t>
  </si>
  <si>
    <t>Biomass is a normal good</t>
  </si>
  <si>
    <t>BiomassNormal</t>
  </si>
  <si>
    <t>VSL source</t>
  </si>
  <si>
    <t>Transfer from Group</t>
  </si>
  <si>
    <t>Transfer from OECD</t>
  </si>
  <si>
    <t>VSLMethod</t>
  </si>
  <si>
    <t>VSL (where manual source)</t>
  </si>
  <si>
    <t>VSLManual</t>
  </si>
  <si>
    <t>0x17</t>
  </si>
  <si>
    <t>VSL elasticity source</t>
  </si>
  <si>
    <t>Income group</t>
  </si>
  <si>
    <t>VslElSource</t>
  </si>
  <si>
    <t>VSL elasticity (where manual source)</t>
  </si>
  <si>
    <t>VslEl</t>
  </si>
  <si>
    <t>Discount rate selection</t>
  </si>
  <si>
    <t>3% (Robinson 2019)</t>
  </si>
  <si>
    <t>DiscSel</t>
  </si>
  <si>
    <t>Discount rate (where manual source)</t>
  </si>
  <si>
    <t>DiscRate</t>
  </si>
  <si>
    <t>Other assumptions: air pollution module</t>
  </si>
  <si>
    <t>Number of working days per month</t>
  </si>
  <si>
    <t>days</t>
  </si>
  <si>
    <t>WorkDays</t>
  </si>
  <si>
    <t>Labor share of GDP, default value</t>
  </si>
  <si>
    <t>ApLabSh</t>
  </si>
  <si>
    <t>Max % of households using solid fuels</t>
  </si>
  <si>
    <t>ApMaxSs</t>
  </si>
  <si>
    <t>Leakage converted into % HH using solid fuels</t>
  </si>
  <si>
    <t>ApLeakHh</t>
  </si>
  <si>
    <t>Apply cessation lag when discounting averted deaths</t>
  </si>
  <si>
    <t>ApCessLag</t>
  </si>
  <si>
    <t>Transportation</t>
  </si>
  <si>
    <t>Engineering or elasticity model</t>
  </si>
  <si>
    <t>option</t>
  </si>
  <si>
    <t>Elasticity</t>
  </si>
  <si>
    <t>TrModel</t>
  </si>
  <si>
    <t>Power Sector</t>
  </si>
  <si>
    <t>Power Rebate</t>
  </si>
  <si>
    <t>PowerRebates</t>
  </si>
  <si>
    <t>Power price: portion of cost change passed-on:</t>
  </si>
  <si>
    <t>PowerSectorPriceChangePassOn</t>
  </si>
  <si>
    <t>Year of interest for power sector costs</t>
  </si>
  <si>
    <t>CostBreakdownYear</t>
  </si>
  <si>
    <t>Estimate economy-wide or sectoral power demand?</t>
  </si>
  <si>
    <t>Economy-wide</t>
  </si>
  <si>
    <t xml:space="preserve">ElasticityModel </t>
  </si>
  <si>
    <t>k Parameter dispatch</t>
  </si>
  <si>
    <t>coefficient</t>
  </si>
  <si>
    <t>kDispatch</t>
  </si>
  <si>
    <t>k Parameter investment</t>
  </si>
  <si>
    <t>kInvestment</t>
  </si>
  <si>
    <t>Minimum WACC</t>
  </si>
  <si>
    <t>MinimumWACC</t>
  </si>
  <si>
    <t>Use old or new generation costs in elasticity model?</t>
  </si>
  <si>
    <t>New*</t>
  </si>
  <si>
    <t>PowGenCostsOldNew</t>
  </si>
  <si>
    <t>Hydro retirement rate set to zero</t>
  </si>
  <si>
    <t>HydroDoesntRetire</t>
  </si>
  <si>
    <t>Minimum (post subsidy) generation cost $/kwh real</t>
  </si>
  <si>
    <t>MinPostSubsidyPowerPrice</t>
  </si>
  <si>
    <t>RE Subsidies</t>
  </si>
  <si>
    <t>Treat over/underestimate of supply costs as subsidy/tax</t>
  </si>
  <si>
    <t>SupplyCostDeltaSubsidy</t>
  </si>
  <si>
    <t>Baseline renewable energy subsidy, $/kwh nom</t>
  </si>
  <si>
    <t>$/kwh nom</t>
  </si>
  <si>
    <t>RenewableSubsidyBL</t>
  </si>
  <si>
    <t>New renewable energy subsidy, $/kwh nom</t>
  </si>
  <si>
    <t>RenSubsidyAddUSDkwh</t>
  </si>
  <si>
    <t>New renewable energy subsidy, phaseout</t>
  </si>
  <si>
    <t>years</t>
  </si>
  <si>
    <t>RenSubsidyAddPhaseoutYrs</t>
  </si>
  <si>
    <t>Apply additional RE subsidy to hydroelectric power?</t>
  </si>
  <si>
    <t>RenewableSubsidyHydro</t>
  </si>
  <si>
    <t>Electrical Generation Scale-up limits</t>
  </si>
  <si>
    <t>Max new investment in coal/gas/hyd as a percentage of total generation</t>
  </si>
  <si>
    <t>MaxNonVREAsPCOfTotalGen</t>
  </si>
  <si>
    <t>Max new investment oil/nucl/ore/bio as a percentage of total generation</t>
  </si>
  <si>
    <t>MaxNonNucOreBioAsPCOfTotalGen</t>
  </si>
  <si>
    <t>User-Defined Setting for VRE Max-Scale up (if used)</t>
  </si>
  <si>
    <t>MaxWindSolarScaleup</t>
  </si>
  <si>
    <t>Max renewable scaleup rate setting</t>
  </si>
  <si>
    <t>CtryDefault*</t>
  </si>
  <si>
    <t>MaxScaleUpRateCategory</t>
  </si>
  <si>
    <t>More Power Generation Settings</t>
  </si>
  <si>
    <t>Use Elasticity Model Power Demand In Engineer Model</t>
  </si>
  <si>
    <t>UseElasticityModelPowerDemandInEngineerModel</t>
  </si>
  <si>
    <t>Cost of capital: User-defined, Inc-dep,  or Tech-dep?</t>
  </si>
  <si>
    <t>Tech</t>
  </si>
  <si>
    <t>Income*</t>
  </si>
  <si>
    <t>WACCSource</t>
  </si>
  <si>
    <t>If Global, what Value?</t>
  </si>
  <si>
    <t>WACCUserGlobal</t>
  </si>
  <si>
    <t>Renewable Cost Declines</t>
  </si>
  <si>
    <t>RenewableCostDeclineRate</t>
  </si>
  <si>
    <t>Use Spot Fuel Prices in Engineer Power Model</t>
  </si>
  <si>
    <t>UseSpotFuelPricesInEngineerModel</t>
  </si>
  <si>
    <t>Use Additional Coal Intangible Cost</t>
  </si>
  <si>
    <t>AdditionalCoalIntangibleCost</t>
  </si>
  <si>
    <t>Manual Coal Intangible Cost (short term)</t>
  </si>
  <si>
    <t>ManualCoalIntangibleCostST</t>
  </si>
  <si>
    <t>Manual Coal Intangible Cost (long term)</t>
  </si>
  <si>
    <t>ManualCoalIntangibleCostLT</t>
  </si>
  <si>
    <t>Maximum Coal Capacity Factor</t>
  </si>
  <si>
    <t>MaximumCoalCF</t>
  </si>
  <si>
    <t>Maximum Gas Capacity Factor</t>
  </si>
  <si>
    <t>MaximumGasCF</t>
  </si>
  <si>
    <t>Proportion of GHG adjustment passed on to engineer model power demand</t>
  </si>
  <si>
    <t>EngineerModelProportionOfCovidFactor</t>
  </si>
  <si>
    <t>Override Capacity Factor if below (Wind and Solar)</t>
  </si>
  <si>
    <t>CFOverrideIfBelowWndSol</t>
  </si>
  <si>
    <t>Override Capacity Factor if below (Others)</t>
  </si>
  <si>
    <t>CFOverrideIfBelowFosOth</t>
  </si>
  <si>
    <t>Override Capacity Factor if below (All)</t>
  </si>
  <si>
    <t>CFOverrideIfAbove</t>
  </si>
  <si>
    <t>Proportion of coal capacity that can be retired</t>
  </si>
  <si>
    <t>MaxCostBasedEarlyRetirement</t>
  </si>
  <si>
    <t>Allow cost-based coal phaseout in baseline?</t>
  </si>
  <si>
    <t>EarlyRetirementInBaseline</t>
  </si>
  <si>
    <t>Minimum Thermal Efficiency</t>
  </si>
  <si>
    <t>MinimumThermalEfficiency</t>
  </si>
  <si>
    <t>Coal and Gas Power Purchase Agreements</t>
  </si>
  <si>
    <t>Proportion of PPAs in Coal and Gas Generation</t>
  </si>
  <si>
    <t>PPAProportionCoalGas</t>
  </si>
  <si>
    <t>Phase out any coal and gas PPAs? (Baseline)</t>
  </si>
  <si>
    <t>PhaseOutCoalAndGasPPAsBaseline</t>
  </si>
  <si>
    <t>Phase out any coal and gas PPAs? (Policy)</t>
  </si>
  <si>
    <t>PhaseOutCoalAndGasPPAsPolicy</t>
  </si>
  <si>
    <t>Phase begins when?</t>
  </si>
  <si>
    <t>YearPPACoalGas</t>
  </si>
  <si>
    <t>Phase out coal and gas PPAs over n years?</t>
  </si>
  <si>
    <t>YearsToPhaseOutPPAs</t>
  </si>
  <si>
    <t>Short Term Storage Parameters</t>
  </si>
  <si>
    <t>Percent allocation of ST storage costs to VRE</t>
  </si>
  <si>
    <t>AllocateSTStorageToVRE</t>
  </si>
  <si>
    <t>Total hours short term strorage for 100% VRE</t>
  </si>
  <si>
    <t>TotalHoursStorageFor100pcVRE</t>
  </si>
  <si>
    <t>kwh storage to kw interface ratio (hours)</t>
  </si>
  <si>
    <t>StorageToInterfaceRatioSTStorage</t>
  </si>
  <si>
    <t>Long Term Storage Parameters</t>
  </si>
  <si>
    <t>Percent allocation of LT storage costs to VRE</t>
  </si>
  <si>
    <t>AllocateLTStorageToVRE</t>
  </si>
  <si>
    <t>Starting point of long term storage requirement (%VRE)</t>
  </si>
  <si>
    <t>StartingPointWhenLTStorageIsNeeded</t>
  </si>
  <si>
    <t>GW electrolyzer per Gwy/y for 100% VRE (%)</t>
  </si>
  <si>
    <t>LongTermStorageFor100pcVRE</t>
  </si>
  <si>
    <t>Storage hours for LT storage</t>
  </si>
  <si>
    <t>StorageHoursForLTStorage</t>
  </si>
  <si>
    <t>Allowed New Investments Override if selected</t>
  </si>
  <si>
    <t>Coal - New Investment Override</t>
  </si>
  <si>
    <t>Switch</t>
  </si>
  <si>
    <t>If Present*</t>
  </si>
  <si>
    <t>NewInvCoa</t>
  </si>
  <si>
    <t>Natural gas - New Investment Override</t>
  </si>
  <si>
    <t>NewInvNga</t>
  </si>
  <si>
    <t>Oil - New Investment Override</t>
  </si>
  <si>
    <t>NewInvOil</t>
  </si>
  <si>
    <t>Nuclear - New Investment Override</t>
  </si>
  <si>
    <t>NewInvNuc</t>
  </si>
  <si>
    <t>Wind - New Investment Override</t>
  </si>
  <si>
    <t>NewInvWnd</t>
  </si>
  <si>
    <t>Solar - New Investment Override</t>
  </si>
  <si>
    <t>NewInvSol</t>
  </si>
  <si>
    <t>Hydro - New Investment Override</t>
  </si>
  <si>
    <t>NewInvHyd</t>
  </si>
  <si>
    <t>Other renewables - New Investment Override</t>
  </si>
  <si>
    <t>NewInvOre</t>
  </si>
  <si>
    <t>Biomass - New Investment Override</t>
  </si>
  <si>
    <t>NewInvBio</t>
  </si>
  <si>
    <t>Allowed New Investments (Date of Coming Online)</t>
  </si>
  <si>
    <t>Year</t>
  </si>
  <si>
    <t>NewInvCoaYear</t>
  </si>
  <si>
    <t>NewInvNgaYear</t>
  </si>
  <si>
    <t>Oil</t>
  </si>
  <si>
    <t>NewInvOilYear</t>
  </si>
  <si>
    <t>Nuclear</t>
  </si>
  <si>
    <t>NewInvNucYear</t>
  </si>
  <si>
    <t>Wind</t>
  </si>
  <si>
    <t>NewInvWndYear</t>
  </si>
  <si>
    <t>Solar</t>
  </si>
  <si>
    <t>NewInvSolYear</t>
  </si>
  <si>
    <t>Hydro</t>
  </si>
  <si>
    <t>NewInvHydYear</t>
  </si>
  <si>
    <t>Other renewables</t>
  </si>
  <si>
    <t>NewInvOreYear</t>
  </si>
  <si>
    <t>NewInvBioYear</t>
  </si>
  <si>
    <t>Base-year energy use by fuel and sector, ktoe (CPAT_1_0pre_456, Mitigation rows 583-602, Egypt)</t>
  </si>
  <si>
    <t>Energy used in power generation (ktoe)</t>
  </si>
  <si>
    <t>Road</t>
  </si>
  <si>
    <t>Rail</t>
  </si>
  <si>
    <t>Domestic aviation</t>
  </si>
  <si>
    <t>Domestic navigation</t>
  </si>
  <si>
    <t>Food &amp; forestry</t>
  </si>
  <si>
    <t>Services (public &amp; private)</t>
  </si>
  <si>
    <t>Other metals</t>
  </si>
  <si>
    <t>Machinery</t>
  </si>
  <si>
    <t>Other manufacturing</t>
  </si>
  <si>
    <t>Construction</t>
  </si>
  <si>
    <t>Fuel transformation</t>
  </si>
  <si>
    <t>Other - energy use</t>
  </si>
  <si>
    <t>Other - non-energy use</t>
  </si>
  <si>
    <t>CPAT code</t>
  </si>
  <si>
    <t>fuel</t>
  </si>
  <si>
    <t>pow</t>
  </si>
  <si>
    <t>rod</t>
  </si>
  <si>
    <t>ral</t>
  </si>
  <si>
    <t>avi</t>
  </si>
  <si>
    <t>nav</t>
  </si>
  <si>
    <t>res</t>
  </si>
  <si>
    <t>foo</t>
  </si>
  <si>
    <t>srv</t>
  </si>
  <si>
    <t>mac</t>
  </si>
  <si>
    <t>omn</t>
  </si>
  <si>
    <t>cst</t>
  </si>
  <si>
    <t>ftr</t>
  </si>
  <si>
    <t>oen</t>
  </si>
  <si>
    <t>egy.mit.enc.ele</t>
  </si>
  <si>
    <t>Electricity</t>
  </si>
  <si>
    <t>ele</t>
  </si>
  <si>
    <t>egy.mit.enc.coa</t>
  </si>
  <si>
    <t>egy.mit.enc.nga</t>
  </si>
  <si>
    <t>egy.mit.enc.oop</t>
  </si>
  <si>
    <t>egy.mit.enc.gso</t>
  </si>
  <si>
    <t>egy.mit.enc.die</t>
  </si>
  <si>
    <t>egy.mit.enc.ker</t>
  </si>
  <si>
    <t>egy.mit.enc.lpg</t>
  </si>
  <si>
    <t>egy.mit.enc.jfu</t>
  </si>
  <si>
    <t>Jet fuel</t>
  </si>
  <si>
    <t>jfu</t>
  </si>
  <si>
    <t>egy.mit.enc.wnd</t>
  </si>
  <si>
    <t>wnd</t>
  </si>
  <si>
    <t>egy.mit.enc.sol</t>
  </si>
  <si>
    <t>sol</t>
  </si>
  <si>
    <t>egy.mit.enc.hyd</t>
  </si>
  <si>
    <t>hyd</t>
  </si>
  <si>
    <t>egy.mit.enc.ore</t>
  </si>
  <si>
    <t>ore</t>
  </si>
  <si>
    <t>egy.mit.enc.nuc</t>
  </si>
  <si>
    <t>nuc</t>
  </si>
  <si>
    <t>egy.mit.enc.bio</t>
  </si>
  <si>
    <t>egy.mit.enc.bgs</t>
  </si>
  <si>
    <t>- in which: biogasoline</t>
  </si>
  <si>
    <t>bgs</t>
  </si>
  <si>
    <t>egy.mit.enc.bdi</t>
  </si>
  <si>
    <t>- in which: biodiesel</t>
  </si>
  <si>
    <t>bdi</t>
  </si>
  <si>
    <t>egy.mit.enc.obf</t>
  </si>
  <si>
    <t>- in which: other liquid biofuels</t>
  </si>
  <si>
    <t>obf</t>
  </si>
  <si>
    <t>egy.mit.enc.heat</t>
  </si>
  <si>
    <t>Heat</t>
  </si>
  <si>
    <t>heat</t>
  </si>
  <si>
    <t>Total self-generated renewables (nonbiomass)</t>
  </si>
  <si>
    <t>Code</t>
  </si>
  <si>
    <t>Sector / group</t>
  </si>
  <si>
    <t>Variable</t>
  </si>
  <si>
    <t>CPAT source row</t>
  </si>
  <si>
    <t>Source code</t>
  </si>
  <si>
    <t>egy.mit.pbc.ind.coa.a.1</t>
  </si>
  <si>
    <t>pbc</t>
  </si>
  <si>
    <t>Price before any new policy (supply cost + VAT + existing excise, subsidies, carbon prices)</t>
  </si>
  <si>
    <t>egy.mit.nce.ind.coa.a.1</t>
  </si>
  <si>
    <t>nce</t>
  </si>
  <si>
    <t>Total new policy wedge before sector coverage</t>
  </si>
  <si>
    <t>egy.mit.pbc.ind.nga.a.1</t>
  </si>
  <si>
    <t>egy.mit.nce.ind.nga.a.1</t>
  </si>
  <si>
    <t>egy.mit.pbc.ind.gso.a.1</t>
  </si>
  <si>
    <t>egy.mit.pbc.all.gso.a.1</t>
  </si>
  <si>
    <t>egy.mit.nce.ind.gso.a.1</t>
  </si>
  <si>
    <t>egy.mit.nce.all.gso.a.1</t>
  </si>
  <si>
    <t>egy.mit.pbc.ind.die.a.1</t>
  </si>
  <si>
    <t>egy.mit.pbc.all.die.a.1</t>
  </si>
  <si>
    <t>egy.mit.nce.ind.die.a.1</t>
  </si>
  <si>
    <t>egy.mit.nce.all.die.a.1</t>
  </si>
  <si>
    <t>egy.mit.pbc.ind.lpg.a.1</t>
  </si>
  <si>
    <t>egy.mit.pbc.all.lpg.a.1</t>
  </si>
  <si>
    <t>egy.mit.nce.ind.lpg.a.1</t>
  </si>
  <si>
    <t>egy.mit.nce.all.lpg.a.1</t>
  </si>
  <si>
    <t>egy.mit.pbc.ind.ker.a.1</t>
  </si>
  <si>
    <t>egy.mit.pbc.ker.a.1</t>
  </si>
  <si>
    <t>egy.mit.nce.ind.ker.a.1</t>
  </si>
  <si>
    <t>egy.mit.nce.ker.a.1</t>
  </si>
  <si>
    <t>egy.mit.pbc.ind.oop.a.1</t>
  </si>
  <si>
    <t>egy.mit.pbc.all.oop.all.1</t>
  </si>
  <si>
    <t>egy.mit.nce.ind.oop.a.1</t>
  </si>
  <si>
    <t>egy.mit.nce.all.oop.a.1</t>
  </si>
  <si>
    <t>egy.mit.pbc.ind.bio.a.1</t>
  </si>
  <si>
    <t>egy.mit.pbc.all.bio.all.1</t>
  </si>
  <si>
    <t>egy.mit.nce.ind.bio.a.1</t>
  </si>
  <si>
    <t>egy.mit.nce.all.bio.a.1</t>
  </si>
  <si>
    <t>egy.mit.pbc.ind.ren.a.1</t>
  </si>
  <si>
    <t>egy.mit.pbc.ren.ind.1</t>
  </si>
  <si>
    <t>egy.mit.nce.ind.ren.a.1</t>
  </si>
  <si>
    <t>egy.mit.nce.ren.ind.1</t>
  </si>
  <si>
    <t>egy.mit.shp.coa.ind.1</t>
  </si>
  <si>
    <t>Shadow price of non-price policies ($/unit)</t>
  </si>
  <si>
    <t>egy.mit.shp.nga.ind.1</t>
  </si>
  <si>
    <t>egy.mit.shp.gso.ind.1</t>
  </si>
  <si>
    <t>egy.mit.shp.gso.all.1</t>
  </si>
  <si>
    <t>egy.mit.shp.die.ind.1</t>
  </si>
  <si>
    <t>egy.mit.shp.die.all.1</t>
  </si>
  <si>
    <t>egy.mit.shp.lpg.ind.1</t>
  </si>
  <si>
    <t>egy.mit.shp.lpg.all.1</t>
  </si>
  <si>
    <t>egy.mit.shp.ker.ind.1</t>
  </si>
  <si>
    <t>egy.mit.shp.ker.all.1</t>
  </si>
  <si>
    <t>egy.mit.shp.oop.ind.1</t>
  </si>
  <si>
    <t>egy.mit.shp.oop.all.1</t>
  </si>
  <si>
    <t>egy.mit.shp.bio.ind.1</t>
  </si>
  <si>
    <t>egy.mit.shp.bio.all.1</t>
  </si>
  <si>
    <t>egy.mit.shp.ren.ind.1</t>
  </si>
  <si>
    <t>Shadow price of non-price policies (no CPAT row for self-generated renewables: set to 0)</t>
  </si>
  <si>
    <t>egy.mit.tcf.pow.1</t>
  </si>
  <si>
    <t>Sector coverage factor of the new policy wedge</t>
  </si>
  <si>
    <t>egy.mit.tcf.rod.1</t>
  </si>
  <si>
    <t>egy.mit.tcf.ral.1</t>
  </si>
  <si>
    <t>egy.mit.tcf.nav.1</t>
  </si>
  <si>
    <t>egy.mit.tcf.avi.1</t>
  </si>
  <si>
    <t>egy.mit.tcf.res.1</t>
  </si>
  <si>
    <t>egy.mit.tcf.foo.1</t>
  </si>
  <si>
    <t>egy.mit.tcf.srv.1</t>
  </si>
  <si>
    <t>egy.mit.tcf.mch.1</t>
  </si>
  <si>
    <t>egy.mit.tcf.irn.1</t>
  </si>
  <si>
    <t>egy.mit.tcf.nfm.1</t>
  </si>
  <si>
    <t>egy.mit.tcf.mac.1</t>
  </si>
  <si>
    <t>egy.mit.tcf.cem.1</t>
  </si>
  <si>
    <t>egy.mit.tcf.omn.1</t>
  </si>
  <si>
    <t>egy.mit.tcf.cst.1</t>
  </si>
  <si>
    <t>egy.mit.tcf.ftr.1</t>
  </si>
  <si>
    <t>egy.mit.tcf.oen.1</t>
  </si>
  <si>
    <t>egy.mit.ssc.pow.1</t>
  </si>
  <si>
    <t>egy.mit.ssc.rod.1</t>
  </si>
  <si>
    <t>egy.mit.ssc.ral.1</t>
  </si>
  <si>
    <t>egy.mit.ssc.nav.1</t>
  </si>
  <si>
    <t>egy.mit.ssc.avi.1</t>
  </si>
  <si>
    <t>egy.mit.ssc.res.1</t>
  </si>
  <si>
    <t>egy.mit.ssc.foo.1</t>
  </si>
  <si>
    <t>egy.mit.ssc.srv.1</t>
  </si>
  <si>
    <t>egy.mit.ssc.mch.1</t>
  </si>
  <si>
    <t>egy.mit.ssc.irn.1</t>
  </si>
  <si>
    <t>egy.mit.ssc.nfm.1</t>
  </si>
  <si>
    <t>egy.mit.ssc.mac.1</t>
  </si>
  <si>
    <t>egy.mit.ssc.cem.1</t>
  </si>
  <si>
    <t>egy.mit.ssc.omn.1</t>
  </si>
  <si>
    <t>egy.mit.ssc.cst.1</t>
  </si>
  <si>
    <t>egy.mit.ssc.ftr.1</t>
  </si>
  <si>
    <t>egy.mit.ssc.oen.1</t>
  </si>
  <si>
    <t>egy.mit.pbc.ind.coa.a.2</t>
  </si>
  <si>
    <t>egy.mit.nce.ind.coa.a.2</t>
  </si>
  <si>
    <t>egy.mit.pbc.ind.nga.a.2</t>
  </si>
  <si>
    <t>egy.mit.nce.ind.nga.a.2</t>
  </si>
  <si>
    <t>egy.mit.pbc.ind.gso.a.2</t>
  </si>
  <si>
    <t>egy.mit.pbc.all.gso.a.2</t>
  </si>
  <si>
    <t>egy.mit.nce.ind.gso.a.2</t>
  </si>
  <si>
    <t>egy.mit.nce.all.gso.a.2</t>
  </si>
  <si>
    <t>egy.mit.pbc.ind.die.a.2</t>
  </si>
  <si>
    <t>egy.mit.pbc.all.die.a.2</t>
  </si>
  <si>
    <t>egy.mit.nce.ind.die.a.2</t>
  </si>
  <si>
    <t>egy.mit.nce.all.die.a.2</t>
  </si>
  <si>
    <t>egy.mit.pbc.ind.lpg.a.2</t>
  </si>
  <si>
    <t>egy.mit.pbc.all.lpg.a.2</t>
  </si>
  <si>
    <t>egy.mit.nce.ind.lpg.a.2</t>
  </si>
  <si>
    <t>egy.mit.nce.all.lpg.a.2</t>
  </si>
  <si>
    <t>egy.mit.pbc.ind.ker.a.2</t>
  </si>
  <si>
    <t>egy.mit.pbc.ker.a.2</t>
  </si>
  <si>
    <t>egy.mit.nce.ind.ker.a.2</t>
  </si>
  <si>
    <t>egy.mit.nce.ker.a.2</t>
  </si>
  <si>
    <t>egy.mit.pbc.ind.oop.a.2</t>
  </si>
  <si>
    <t>egy.mit.pbc.all.oop.all.2</t>
  </si>
  <si>
    <t>egy.mit.nce.ind.oop.a.2</t>
  </si>
  <si>
    <t>egy.mit.nce.all.oop.a.2</t>
  </si>
  <si>
    <t>egy.mit.pbc.ind.bio.a.2</t>
  </si>
  <si>
    <t>egy.mit.pbc.all.bio.all.2</t>
  </si>
  <si>
    <t>egy.mit.nce.ind.bio.a.2</t>
  </si>
  <si>
    <t>egy.mit.nce.all.bio.a.2</t>
  </si>
  <si>
    <t>egy.mit.pbc.ind.ren.a.2</t>
  </si>
  <si>
    <t>egy.mit.pbc.ren.ind.2</t>
  </si>
  <si>
    <t>egy.mit.nce.ind.ren.a.2</t>
  </si>
  <si>
    <t>egy.mit.nce.ren.ind.2</t>
  </si>
  <si>
    <t>egy.mit.shp.coa.ind.2</t>
  </si>
  <si>
    <t>egy.mit.shp.nga.ind.2</t>
  </si>
  <si>
    <t>egy.mit.shp.gso.ind.2</t>
  </si>
  <si>
    <t>egy.mit.shp.gso.all.2</t>
  </si>
  <si>
    <t>egy.mit.shp.die.ind.2</t>
  </si>
  <si>
    <t>egy.mit.shp.die.all.2</t>
  </si>
  <si>
    <t>egy.mit.shp.lpg.ind.2</t>
  </si>
  <si>
    <t>egy.mit.shp.lpg.all.2</t>
  </si>
  <si>
    <t>egy.mit.shp.ker.ind.2</t>
  </si>
  <si>
    <t>egy.mit.shp.ker.all.2</t>
  </si>
  <si>
    <t>egy.mit.shp.oop.ind.2</t>
  </si>
  <si>
    <t>egy.mit.shp.oop.all.2</t>
  </si>
  <si>
    <t>egy.mit.shp.bio.ind.2</t>
  </si>
  <si>
    <t>egy.mit.shp.bio.all.2</t>
  </si>
  <si>
    <t>egy.mit.shp.ren.ind.2</t>
  </si>
  <si>
    <t>egy.mit.tcf.pow.2</t>
  </si>
  <si>
    <t>egy.mit.tcf.rod.2</t>
  </si>
  <si>
    <t>egy.mit.tcf.ral.2</t>
  </si>
  <si>
    <t>egy.mit.tcf.nav.2</t>
  </si>
  <si>
    <t>egy.mit.tcf.avi.2</t>
  </si>
  <si>
    <t>egy.mit.tcf.res.2</t>
  </si>
  <si>
    <t>egy.mit.tcf.foo.2</t>
  </si>
  <si>
    <t>egy.mit.tcf.srv.2</t>
  </si>
  <si>
    <t>egy.mit.tcf.mch.2</t>
  </si>
  <si>
    <t>egy.mit.tcf.irn.2</t>
  </si>
  <si>
    <t>egy.mit.tcf.nfm.2</t>
  </si>
  <si>
    <t>egy.mit.tcf.mac.2</t>
  </si>
  <si>
    <t>egy.mit.tcf.cem.2</t>
  </si>
  <si>
    <t>egy.mit.tcf.omn.2</t>
  </si>
  <si>
    <t>egy.mit.tcf.cst.2</t>
  </si>
  <si>
    <t>egy.mit.tcf.ftr.2</t>
  </si>
  <si>
    <t>egy.mit.tcf.oen.2</t>
  </si>
  <si>
    <t>egy.mit.ssc.pow.2</t>
  </si>
  <si>
    <t>egy.mit.ssc.rod.2</t>
  </si>
  <si>
    <t>egy.mit.ssc.ral.2</t>
  </si>
  <si>
    <t>egy.mit.ssc.nav.2</t>
  </si>
  <si>
    <t>egy.mit.ssc.avi.2</t>
  </si>
  <si>
    <t>egy.mit.ssc.res.2</t>
  </si>
  <si>
    <t>egy.mit.ssc.foo.2</t>
  </si>
  <si>
    <t>egy.mit.ssc.srv.2</t>
  </si>
  <si>
    <t>egy.mit.ssc.mch.2</t>
  </si>
  <si>
    <t>egy.mit.ssc.irn.2</t>
  </si>
  <si>
    <t>egy.mit.ssc.nfm.2</t>
  </si>
  <si>
    <t>egy.mit.ssc.mac.2</t>
  </si>
  <si>
    <t>egy.mit.ssc.cem.2</t>
  </si>
  <si>
    <t>egy.mit.ssc.omn.2</t>
  </si>
  <si>
    <t>egy.mit.ssc.cst.2</t>
  </si>
  <si>
    <t>egy.mit.ssc.ftr.2</t>
  </si>
  <si>
    <t>egy.mit.ssc.oen.2</t>
  </si>
  <si>
    <t>egy.mit.gdp.pos.pct.1</t>
  </si>
  <si>
    <t>egy.mit.inc.ela.adj.1</t>
  </si>
  <si>
    <t>Income-elasticity discount factor (Gertler reverse-U)</t>
  </si>
  <si>
    <t>egy.mit.shock.1</t>
  </si>
  <si>
    <t>Exogenous shock on energy consumption (Covid calibration; no CPAT code)</t>
  </si>
  <si>
    <t>egy.mit.gdp.pos.pct.2</t>
  </si>
  <si>
    <t>egy.mit.inc.ela.adj.2</t>
  </si>
  <si>
    <t>egy.mit.shock.2</t>
  </si>
  <si>
    <t>Kind</t>
  </si>
  <si>
    <t>Fuel group</t>
  </si>
  <si>
    <t>Services</t>
  </si>
  <si>
    <t>Elasticity group</t>
  </si>
  <si>
    <t>AEEI group</t>
  </si>
  <si>
    <t>el_inc_coa</t>
  </si>
  <si>
    <t>el_inc_nga</t>
  </si>
  <si>
    <t>el_inc_gso</t>
  </si>
  <si>
    <t>oil</t>
  </si>
  <si>
    <t>el_inc_die</t>
  </si>
  <si>
    <t>el_inc_oil</t>
  </si>
  <si>
    <t>el_inc_bio</t>
  </si>
  <si>
    <t>el_inc_ren</t>
  </si>
  <si>
    <t>el_inc_ecy</t>
  </si>
  <si>
    <t>ecy</t>
  </si>
  <si>
    <t>el_dem_coa</t>
  </si>
  <si>
    <t>usage</t>
  </si>
  <si>
    <t>el_dem_nga</t>
  </si>
  <si>
    <t>el_dem_gso</t>
  </si>
  <si>
    <t>el_dem_die</t>
  </si>
  <si>
    <t>el_dem_oil</t>
  </si>
  <si>
    <t>el_dem_bio</t>
  </si>
  <si>
    <t>el_dem_ren</t>
  </si>
  <si>
    <t>el_dem_ecy</t>
  </si>
  <si>
    <t>el_eff_coa</t>
  </si>
  <si>
    <t>efficiency</t>
  </si>
  <si>
    <t>el_eff_nga</t>
  </si>
  <si>
    <t>el_eff_gso</t>
  </si>
  <si>
    <t>el_eff_die</t>
  </si>
  <si>
    <t>el_eff_oil</t>
  </si>
  <si>
    <t>el_eff_bio</t>
  </si>
  <si>
    <t>el_eff_ren</t>
  </si>
  <si>
    <t>el_eff_ecy</t>
  </si>
  <si>
    <t>eff_imp_coa</t>
  </si>
  <si>
    <t>aeei</t>
  </si>
  <si>
    <t>eff_imp_nga</t>
  </si>
  <si>
    <t>eff_imp_oil</t>
  </si>
  <si>
    <t>eff_imp_bio</t>
  </si>
  <si>
    <t>eff_imp_ren</t>
  </si>
  <si>
    <t>eff_imp_ecy</t>
  </si>
  <si>
    <t>Source: Mitigation B2 rows 297-304 (income), 328-335 (usage), 337-344 (efficiency), 371-376 (autonomous efficiency improvement); columns K-N. Fuel-group map at I:K.</t>
  </si>
  <si>
    <t>Kernel output vs values stored in CPAT_1_0pre_456 (Egypt), same Output Codes</t>
  </si>
  <si>
    <t>Max |kernel - CPAT| energy, baseline (ktoe)</t>
  </si>
  <si>
    <t>Max |kernel - CPAT| energy, policy (ktoe)</t>
  </si>
  <si>
    <t>Max |kernel - CPAT| post-tax price (native units)</t>
  </si>
  <si>
    <t>Series</t>
  </si>
  <si>
    <t>max |diff|</t>
  </si>
  <si>
    <t>egy.mit.ener.irn.coa.e.1</t>
  </si>
  <si>
    <t>CPAT</t>
  </si>
  <si>
    <t>kernel</t>
  </si>
  <si>
    <t>diff</t>
  </si>
  <si>
    <t>egy.mit.ener.irn.nga.e.1</t>
  </si>
  <si>
    <t>egy.mit.ener.irn.gso.e.1</t>
  </si>
  <si>
    <t>egy.mit.ener.irn.die.e.1</t>
  </si>
  <si>
    <t>egy.mit.ener.irn.lpg.e.1</t>
  </si>
  <si>
    <t>egy.mit.ener.irn.ker.e.1</t>
  </si>
  <si>
    <t>egy.mit.ener.irn.oop.e.1</t>
  </si>
  <si>
    <t>egy.mit.ener.irn.bio.e.1</t>
  </si>
  <si>
    <t>egy.mit.ener.irn.ren.e.1</t>
  </si>
  <si>
    <t>egy.mit.ener.cem.coa.e.1</t>
  </si>
  <si>
    <t>egy.mit.ener.cem.nga.e.1</t>
  </si>
  <si>
    <t>egy.mit.ener.cem.gso.e.1</t>
  </si>
  <si>
    <t>egy.mit.ener.cem.die.e.1</t>
  </si>
  <si>
    <t>egy.mit.ener.cem.lpg.e.1</t>
  </si>
  <si>
    <t>egy.mit.ener.cem.ker.e.1</t>
  </si>
  <si>
    <t>egy.mit.ener.cem.oop.e.1</t>
  </si>
  <si>
    <t>egy.mit.ener.cem.bio.e.1</t>
  </si>
  <si>
    <t>egy.mit.ener.cem.ren.e.1</t>
  </si>
  <si>
    <t>egy.mit.ener.nfm.coa.e.1</t>
  </si>
  <si>
    <t>egy.mit.ener.nfm.nga.e.1</t>
  </si>
  <si>
    <t>egy.mit.ener.nfm.gso.e.1</t>
  </si>
  <si>
    <t>egy.mit.ener.nfm.die.e.1</t>
  </si>
  <si>
    <t>egy.mit.ener.nfm.lpg.e.1</t>
  </si>
  <si>
    <t>egy.mit.ener.nfm.ker.e.1</t>
  </si>
  <si>
    <t>egy.mit.ener.nfm.oop.e.1</t>
  </si>
  <si>
    <t>egy.mit.ener.nfm.bio.e.1</t>
  </si>
  <si>
    <t>egy.mit.ener.nfm.ren.e.1</t>
  </si>
  <si>
    <t>egy.mit.ener.mch.coa.e.1</t>
  </si>
  <si>
    <t>egy.mit.ener.mch.nga.e.1</t>
  </si>
  <si>
    <t>egy.mit.ener.mch.gso.e.1</t>
  </si>
  <si>
    <t>egy.mit.ener.mch.die.e.1</t>
  </si>
  <si>
    <t>egy.mit.ener.mch.lpg.e.1</t>
  </si>
  <si>
    <t>egy.mit.ener.mch.ker.e.1</t>
  </si>
  <si>
    <t>egy.mit.ener.mch.oop.e.1</t>
  </si>
  <si>
    <t>egy.mit.ener.mch.bio.e.1</t>
  </si>
  <si>
    <t>egy.mit.ener.mch.ren.e.1</t>
  </si>
  <si>
    <t>egy.mit.ener.irn.coa.e.2</t>
  </si>
  <si>
    <t>egy.mit.ener.irn.nga.e.2</t>
  </si>
  <si>
    <t>egy.mit.ener.irn.gso.e.2</t>
  </si>
  <si>
    <t>egy.mit.ener.irn.die.e.2</t>
  </si>
  <si>
    <t>egy.mit.ener.irn.lpg.e.2</t>
  </si>
  <si>
    <t>egy.mit.ener.irn.ker.e.2</t>
  </si>
  <si>
    <t>egy.mit.ener.irn.oop.e.2</t>
  </si>
  <si>
    <t>egy.mit.ener.irn.bio.e.2</t>
  </si>
  <si>
    <t>egy.mit.ener.irn.ren.e.2</t>
  </si>
  <si>
    <t>egy.mit.ener.cem.coa.e.2</t>
  </si>
  <si>
    <t>egy.mit.ener.cem.nga.e.2</t>
  </si>
  <si>
    <t>egy.mit.ener.cem.gso.e.2</t>
  </si>
  <si>
    <t>egy.mit.ener.cem.die.e.2</t>
  </si>
  <si>
    <t>egy.mit.ener.cem.lpg.e.2</t>
  </si>
  <si>
    <t>egy.mit.ener.cem.ker.e.2</t>
  </si>
  <si>
    <t>egy.mit.ener.cem.oop.e.2</t>
  </si>
  <si>
    <t>egy.mit.ener.cem.bio.e.2</t>
  </si>
  <si>
    <t>egy.mit.ener.cem.ren.e.2</t>
  </si>
  <si>
    <t>egy.mit.ener.nfm.coa.e.2</t>
  </si>
  <si>
    <t>egy.mit.ener.nfm.nga.e.2</t>
  </si>
  <si>
    <t>egy.mit.ener.nfm.gso.e.2</t>
  </si>
  <si>
    <t>egy.mit.ener.nfm.die.e.2</t>
  </si>
  <si>
    <t>egy.mit.ener.nfm.lpg.e.2</t>
  </si>
  <si>
    <t>egy.mit.ener.nfm.ker.e.2</t>
  </si>
  <si>
    <t>egy.mit.ener.nfm.oop.e.2</t>
  </si>
  <si>
    <t>egy.mit.ener.nfm.bio.e.2</t>
  </si>
  <si>
    <t>egy.mit.ener.nfm.ren.e.2</t>
  </si>
  <si>
    <t>egy.mit.ener.mch.coa.e.2</t>
  </si>
  <si>
    <t>egy.mit.ener.mch.nga.e.2</t>
  </si>
  <si>
    <t>egy.mit.ener.mch.gso.e.2</t>
  </si>
  <si>
    <t>egy.mit.ener.mch.die.e.2</t>
  </si>
  <si>
    <t>egy.mit.ener.mch.lpg.e.2</t>
  </si>
  <si>
    <t>egy.mit.ener.mch.ker.e.2</t>
  </si>
  <si>
    <t>egy.mit.ener.mch.oop.e.2</t>
  </si>
  <si>
    <t>egy.mit.ener.mch.bio.e.2</t>
  </si>
  <si>
    <t>egy.mit.ener.mch.ren.e.2</t>
  </si>
  <si>
    <t>egy.mit.atp.irn.coa.e.1</t>
  </si>
  <si>
    <t>egy.mit.atp.irn.nga.e.1</t>
  </si>
  <si>
    <t>egy.mit.atp.irn.gso.e.1</t>
  </si>
  <si>
    <t>egy.mit.atp.irn.die.e.1</t>
  </si>
  <si>
    <t>egy.mit.atp.irn.lpg.e.1</t>
  </si>
  <si>
    <t>egy.mit.atp.irn.ker.e.1</t>
  </si>
  <si>
    <t>egy.mit.atp.irn.oop.e.1</t>
  </si>
  <si>
    <t>egy.mit.atp.irn.bio.e.1</t>
  </si>
  <si>
    <t>egy.mit.atp.irn.ren.e.1</t>
  </si>
  <si>
    <t>egy.mit.atp.cem.coa.e.1</t>
  </si>
  <si>
    <t>egy.mit.atp.cem.nga.e.1</t>
  </si>
  <si>
    <t>egy.mit.atp.cem.gso.e.1</t>
  </si>
  <si>
    <t>egy.mit.atp.cem.die.e.1</t>
  </si>
  <si>
    <t>egy.mit.atp.cem.lpg.e.1</t>
  </si>
  <si>
    <t>egy.mit.atp.cem.ker.e.1</t>
  </si>
  <si>
    <t>egy.mit.atp.cem.oop.e.1</t>
  </si>
  <si>
    <t>egy.mit.atp.cem.bio.e.1</t>
  </si>
  <si>
    <t>egy.mit.atp.cem.ren.e.1</t>
  </si>
  <si>
    <t>egy.mit.atp.nfm.coa.e.1</t>
  </si>
  <si>
    <t>egy.mit.atp.nfm.nga.e.1</t>
  </si>
  <si>
    <t>egy.mit.atp.nfm.gso.e.1</t>
  </si>
  <si>
    <t>egy.mit.atp.nfm.die.e.1</t>
  </si>
  <si>
    <t>egy.mit.atp.nfm.lpg.e.1</t>
  </si>
  <si>
    <t>egy.mit.atp.nfm.ker.e.1</t>
  </si>
  <si>
    <t>egy.mit.atp.nfm.oop.e.1</t>
  </si>
  <si>
    <t>egy.mit.atp.nfm.bio.e.1</t>
  </si>
  <si>
    <t>egy.mit.atp.nfm.ren.e.1</t>
  </si>
  <si>
    <t>egy.mit.atp.mch.coa.e.1</t>
  </si>
  <si>
    <t>egy.mit.atp.mch.nga.e.1</t>
  </si>
  <si>
    <t>egy.mit.atp.mch.gso.e.1</t>
  </si>
  <si>
    <t>egy.mit.atp.mch.die.e.1</t>
  </si>
  <si>
    <t>egy.mit.atp.mch.lpg.e.1</t>
  </si>
  <si>
    <t>egy.mit.atp.mch.ker.e.1</t>
  </si>
  <si>
    <t>egy.mit.atp.mch.oop.e.1</t>
  </si>
  <si>
    <t>egy.mit.atp.mch.bio.e.1</t>
  </si>
  <si>
    <t>egy.mit.atp.mch.ren.e.1</t>
  </si>
  <si>
    <t>egy.mit.atp.irn.coa.e.2</t>
  </si>
  <si>
    <t>egy.mit.atp.irn.nga.e.2</t>
  </si>
  <si>
    <t>egy.mit.atp.irn.gso.e.2</t>
  </si>
  <si>
    <t>egy.mit.atp.irn.die.e.2</t>
  </si>
  <si>
    <t>egy.mit.atp.irn.lpg.e.2</t>
  </si>
  <si>
    <t>egy.mit.atp.irn.ker.e.2</t>
  </si>
  <si>
    <t>egy.mit.atp.irn.oop.e.2</t>
  </si>
  <si>
    <t>egy.mit.atp.irn.bio.e.2</t>
  </si>
  <si>
    <t>egy.mit.atp.irn.ren.e.2</t>
  </si>
  <si>
    <t>egy.mit.atp.cem.coa.e.2</t>
  </si>
  <si>
    <t>egy.mit.atp.cem.nga.e.2</t>
  </si>
  <si>
    <t>egy.mit.atp.cem.gso.e.2</t>
  </si>
  <si>
    <t>egy.mit.atp.cem.die.e.2</t>
  </si>
  <si>
    <t>egy.mit.atp.cem.lpg.e.2</t>
  </si>
  <si>
    <t>egy.mit.atp.cem.ker.e.2</t>
  </si>
  <si>
    <t>egy.mit.atp.cem.oop.e.2</t>
  </si>
  <si>
    <t>egy.mit.atp.cem.bio.e.2</t>
  </si>
  <si>
    <t>egy.mit.atp.cem.ren.e.2</t>
  </si>
  <si>
    <t>egy.mit.atp.nfm.coa.e.2</t>
  </si>
  <si>
    <t>egy.mit.atp.nfm.nga.e.2</t>
  </si>
  <si>
    <t>egy.mit.atp.nfm.gso.e.2</t>
  </si>
  <si>
    <t>egy.mit.atp.nfm.die.e.2</t>
  </si>
  <si>
    <t>egy.mit.atp.nfm.lpg.e.2</t>
  </si>
  <si>
    <t>egy.mit.atp.nfm.ker.e.2</t>
  </si>
  <si>
    <t>egy.mit.atp.nfm.oop.e.2</t>
  </si>
  <si>
    <t>egy.mit.atp.nfm.bio.e.2</t>
  </si>
  <si>
    <t>egy.mit.atp.nfm.ren.e.2</t>
  </si>
  <si>
    <t>egy.mit.atp.mch.coa.e.2</t>
  </si>
  <si>
    <t>egy.mit.atp.mch.nga.e.2</t>
  </si>
  <si>
    <t>egy.mit.atp.mch.gso.e.2</t>
  </si>
  <si>
    <t>egy.mit.atp.mch.die.e.2</t>
  </si>
  <si>
    <t>egy.mit.atp.mch.lpg.e.2</t>
  </si>
  <si>
    <t>egy.mit.atp.mch.ker.e.2</t>
  </si>
  <si>
    <t>egy.mit.atp.mch.oop.e.2</t>
  </si>
  <si>
    <t>egy.mit.atp.mch.bio.e.2</t>
  </si>
  <si>
    <t>egy.mit.atp.mch.ren.e.2</t>
  </si>
  <si>
    <t>Mitigation Module - Egypt: Industry kernel</t>
  </si>
  <si>
    <t>Version log</t>
  </si>
  <si>
    <t>v0.1</t>
  </si>
  <si>
    <t>Initial kernel (egypt+mitigation).</t>
  </si>
  <si>
    <t>v0.2</t>
  </si>
  <si>
    <t>Conformed to NORMS.md: MTInputs used/unused colouring, hidden MT/Dashboard placeholder columns, CPAT colours, title band. No formula changes.</t>
  </si>
  <si>
    <t>CPAT Manual inputs</t>
  </si>
  <si>
    <t>Replicates the legacy 'Manual inputs' tab at the same row/column positions. Only the Process Emissions section (rows 18-47, used by the CBAM block) is ported; other rows are left blank so legacy references port 1:1.</t>
  </si>
  <si>
    <t>Change only green cells. Row 22 feeds MTInputs F117:F121 (as in legacy).</t>
  </si>
  <si>
    <t>.</t>
  </si>
  <si>
    <t>Process Emissions</t>
  </si>
  <si>
    <t>Non-Fuel Process Emissions Coverage (CBAM goods only) for ETS and Carbon Tax</t>
  </si>
  <si>
    <t>Emission Factors</t>
  </si>
  <si>
    <t>SCOPE 1  (tCO₂e/t, NH₃ integrated)</t>
  </si>
  <si>
    <t>SCOPE 2 + TOTALS</t>
  </si>
  <si>
    <t>EF INPUTS</t>
  </si>
  <si>
    <t>LATEST MAY 2026 EU DEFAULTS + BENCHMARKS</t>
  </si>
  <si>
    <t>CONFIDENCE</t>
  </si>
  <si>
    <t>Product</t>
  </si>
  <si>
    <t>CN codes</t>
  </si>
  <si>
    <t>Route</t>
  </si>
  <si>
    <t>S1.fc</t>
  </si>
  <si>
    <t>S1.fp</t>
  </si>
  <si>
    <t>S1.np</t>
  </si>
  <si>
    <t>S1.no</t>
  </si>
  <si>
    <t>S1 own</t>
  </si>
  <si>
    <t>Embed
NH₃</t>
  </si>
  <si>
    <t>S1 incl
NH₃</t>
  </si>
  <si>
    <t>S2</t>
  </si>
  <si>
    <t>S2 in CBAM
scope?</t>
  </si>
  <si>
    <t>S1+S2
total</t>
  </si>
  <si>
    <t>CBAM-
equiv</t>
  </si>
  <si>
    <t>fc
GJ/t</t>
  </si>
  <si>
    <t>fc
EF</t>
  </si>
  <si>
    <t>fp
GJ/t</t>
  </si>
  <si>
    <t>fp
EF</t>
  </si>
  <si>
    <t>EU def
base</t>
  </si>
  <si>
    <t>mark
up</t>
  </si>
  <si>
    <t>EU def
2026</t>
  </si>
  <si>
    <t>EU
bench</t>
  </si>
  <si>
    <t>Gap vs
def</t>
  </si>
  <si>
    <t>Gap vs
bench</t>
  </si>
  <si>
    <t>Latest EU regulatory note (May 2026)</t>
  </si>
  <si>
    <t>S1.fc / S1.fp confidence</t>
  </si>
  <si>
    <t>S1.np / S1.no confidence</t>
  </si>
  <si>
    <t>DRI-EAF steel</t>
  </si>
  <si>
    <t>t crude steel</t>
  </si>
  <si>
    <t>7207 10 (D); 7207 12 (D); 7208/7209 flat (partial); 7214 rebar</t>
  </si>
  <si>
    <t>Midrex NG shaft furnace + EAF</t>
  </si>
  <si>
    <t>DRI-EAF. Default base 1.820 ×1.10 markup = 2.002 (2026). Benchmark 0.481 (final IR 2025/2620). CAUTION: CBAM default matrix for HRC CN 7208 may assign only BF-BOF route (4.454) — 'DRI default vacancy' risk for flat products.</t>
  </si>
  <si>
    <t xml:space="preserve">S1.fc: Est: Midrex heat:reductant ratio 5:24 GJ/t NG. Total EF Auth (WSA 2023 / S1.fp: Est: Midrex standard ratio; IPCC 2006 Vol2 2C1; WSA 2023. Total Auth; </t>
  </si>
  <si>
    <t>S1.np: Auth: IPCC 2006 2C1 — DRI process CO2 = 0 / S1.no: Auth: IPCC 2006 2C1</t>
  </si>
  <si>
    <t>Scrap-EAF steel</t>
  </si>
  <si>
    <t>7206 10; 7207 10 (E); 7214 rebar; 7208 HRC (E-route); 7216 sections</t>
  </si>
  <si>
    <t>Scrap-EAF</t>
  </si>
  <si>
    <t>Scrap-EAF. Default base 0.720 ×1.10 = 0.792 (2026). Benchmark 0.072 (final, scrap route).</t>
  </si>
  <si>
    <t>S1.fc: Est: IEA Egypt sector average; WSA 2023 scrap-EAF range 2-3 GJ/t. Tota / S1.fp: Auth: no reductant in scrap melting process</t>
  </si>
  <si>
    <t>S1.np: Est: IPCC 2006 Vol2 2C1 default 0.01-0.02 tCO2/t for scrap-EAF / S1.no: Auth: IPCC 2006 2C1</t>
  </si>
  <si>
    <t>BF-BOF steel (reference)</t>
  </si>
  <si>
    <t>7206 10 (C); 7207 10 (C); 7209 CR (C-route); 7208 HRC (C-route)</t>
  </si>
  <si>
    <t>BF-BOF coal/coke</t>
  </si>
  <si>
    <t>BF-BOF reference. Default base 2.800 ×1.10 = 3.080 (2026). Benchmark 1.370 (final IR 2025/2620).</t>
  </si>
  <si>
    <t>S1.fc: Prox: WSA 2023 global BF-BOF average. No Egypt-specific data (no produ / S1.fp: Prox: WSA 2023 BF standard; IPCC 2006 Vol2 2C1. Split Est within proxy</t>
  </si>
  <si>
    <t>S1.np: Auth: IPCC 2006 Vol2 2C1 default 0.22-0.28 tCO2/t crude steel / S1.no: Auth: IPCC 2006 2C1</t>
  </si>
  <si>
    <t>Grey clinker (dry-process)</t>
  </si>
  <si>
    <t>t clinker</t>
  </si>
  <si>
    <t>2523 10 (clinker); 2523 21; 2523 29 Portland cement</t>
  </si>
  <si>
    <t>Dry rotary kiln</t>
  </si>
  <si>
    <t>Cement clinker. Default base 1.580 ×1.10 = 1.738 (2026). Benchmark 0.666 (col B). S2 IN CBAM scope.</t>
  </si>
  <si>
    <t>S1.fc: Est: IEA Egypt cement sector; CSI/GCCA GNR Egypt 2022. Total AukCoa / S1.fp: Auth: cement production has no chemical reductant fuel</t>
  </si>
  <si>
    <t>S1.np: Auth: IPCC 2006 2A1 stoichiometric constant (44/100 × fraction CaCO3 i / S1.no: Auth</t>
  </si>
  <si>
    <t>Ammonia (net merchant)</t>
  </si>
  <si>
    <t>t NH3</t>
  </si>
  <si>
    <t>2814 10 (anhydrous ammonia)</t>
  </si>
  <si>
    <t>Steam methane reforming (SMR) + Haber-Bosch synthesis</t>
  </si>
  <si>
    <t>Egypt ammonia 2026 default = 2.07 tCO2e/t (incl 1% fertiliser markup; Argus 17 Dec 2025). Benchmark 1.522 → 1.484 after 2.5% reduction in 2026. S2 IN CBAM scope.</t>
  </si>
  <si>
    <t>S1.fc: Est: IFA/EFMA BAT Vol.1; combustion ~6-8 GJ/t NH3. Total Auth (IFA sta / S1.fp: Est: IFA/EFMA BAT Vol.1 standard SMR ~24-28 GJ/t NH3. Total Auth; comb</t>
  </si>
  <si>
    <t>S1.np: Auth: NH3 synthesis has no carbon process emissions / S1.no: Auth</t>
  </si>
  <si>
    <t>Urea</t>
  </si>
  <si>
    <t>t urea</t>
  </si>
  <si>
    <t>3102 10 (urea &gt;= 45% N)</t>
  </si>
  <si>
    <t>Urea synthesis from captured CO2 + NH3 feedstock</t>
  </si>
  <si>
    <t>NH₃ INTEGRATED in headline. Egypt urea 2026 default = 1.404 tCO2e/t (incl 1% markup; Sandbag Feb 2026). Benchmark col B 0.902 (col A 0.053 for actual-data pathway). SEFA chain uses ammonia benchmark 1.522. S2 IN CBAM scope.</t>
  </si>
  <si>
    <t>S1.fc: Est: IFA/EFMA; small relative to NH3 chain. ~1.5-2.5 GJ/t urea typical / S1.fp: Auth: no additional reductant/feedstock in urea synthesis itself</t>
  </si>
  <si>
    <t>S1.np: Auth: IPCC 2006 Vol2 3G stoichiometric constant. 44/60 = 0.733 tCO2 ab / S1.no: Auth</t>
  </si>
  <si>
    <t>Ammonium nitrate</t>
  </si>
  <si>
    <t>t AN</t>
  </si>
  <si>
    <t>3102 30 (AN &gt;= 28% N); 3102 40 (CAN)</t>
  </si>
  <si>
    <t>Ostwald process (NH3 → HNO3) + neutralisation (HNO3 + NH3 → NH4NO3)</t>
  </si>
  <si>
    <t>NH₃ INTEGRATED in headline. AN/CAN. Default base ~2.64 ×1.01 = 2.666 (2026, N2O-driven). Benchmark 0.302. S2 IN CBAM scope. Default value highly sensitive to assumed N2O abatement.</t>
  </si>
  <si>
    <t>S1.fc: Est: IFA/EFMA BAT Vol.3; 1.5-2.5 GJ/t AN typical. Total direct EF less / S1.fp: Auth: HNO3 and neutralisation have no reductant</t>
  </si>
  <si>
    <t>S1.np: Auth: AN chemistry (NH4NO3) contains no carbon / S1.no: Est: IPCC 2006 2B2; GWP AR6 AII.1.2. CRITICAL: range 0.21 (with high-e</t>
  </si>
  <si>
    <t>Primary aluminium</t>
  </si>
  <si>
    <t>t Al</t>
  </si>
  <si>
    <t>7601 10 (unwrought primary); 7601 20 (alloys, semi-finished); 7604 (bars/rods); 7606 (sheet/plate)</t>
  </si>
  <si>
    <t>Hall-Héroult electrolysis + carbon anode prebaking</t>
  </si>
  <si>
    <t>Primary aluminium. Default base 2.060 ×1.10 = 2.266 (2026). Benchmark 1.423. S2 NOT in CBAM scope (direct emissions only).</t>
  </si>
  <si>
    <t>S1.fc: Est: IAI 2023 smelter profile; 1.5-2.5 GJ/t range. Weighted EF 78 kgCO / S1.fp: Auth: Hall-Héroult is electrolytic; reduction is electrical not fuel-d</t>
  </si>
  <si>
    <t>S1.np: Auth: IPCC 2006 Vol2 2C3 default 1.5 tCO2/t Al for prebaked anodes. Ra / S1.no: Est: IAI 2023 Egypt country profile. Global prebaked average 0.38 tCO2</t>
  </si>
  <si>
    <t>Process Emissions Half Elasticities</t>
  </si>
  <si>
    <t>Process</t>
  </si>
  <si>
    <t>Half Elasticity</t>
  </si>
  <si>
    <t>ER at $100 (%)</t>
  </si>
  <si>
    <t>BF-BOF steel reference</t>
  </si>
  <si>
    <t>Grey clinker dry-process</t>
  </si>
  <si>
    <t>Ammonia net</t>
  </si>
  <si>
    <t>AN</t>
  </si>
  <si>
    <t>egy.mit.cptraj.1</t>
  </si>
  <si>
    <t>all</t>
  </si>
  <si>
    <t>cptraj</t>
  </si>
  <si>
    <t>$/ton CO2 real</t>
  </si>
  <si>
    <t>Carbon price trajectory used</t>
  </si>
  <si>
    <t>egy.mit.etstraj.1</t>
  </si>
  <si>
    <t>etstraj</t>
  </si>
  <si>
    <t>Auctioned ETS price (ETS price x auctioned proportion)</t>
  </si>
  <si>
    <t>egy.mit.cptraj.2</t>
  </si>
  <si>
    <t>egy.mit.etstraj.2</t>
  </si>
  <si>
    <t>CBAM Goods (WIP, Egypt Only at present)</t>
  </si>
  <si>
    <t>Carbon Price (Explicit Only)</t>
  </si>
  <si>
    <t>Carbon Tax</t>
  </si>
  <si>
    <t>ETS Price (Auctioned)</t>
  </si>
  <si>
    <t>Total Shadow Price</t>
  </si>
  <si>
    <t>$/ton CO2</t>
  </si>
  <si>
    <t>Revenues Fund</t>
  </si>
  <si>
    <t>CBAM Non-Fuel Process Emisssions included in Ctax and ETS?</t>
  </si>
  <si>
    <t>Ctax</t>
  </si>
  <si>
    <t>ETS</t>
  </si>
  <si>
    <t>Process-Ctax</t>
  </si>
  <si>
    <t>Process-ETS</t>
  </si>
  <si>
    <t>Production</t>
  </si>
  <si>
    <t>VOL+GROWTH</t>
  </si>
  <si>
    <t>2024 Prod kt (net)</t>
  </si>
  <si>
    <t>Production Growth %/yr</t>
  </si>
  <si>
    <t>2024 Exports kt</t>
  </si>
  <si>
    <t>2024 EUexp kt</t>
  </si>
  <si>
    <t>kt crude steel</t>
  </si>
  <si>
    <t>kt clinker</t>
  </si>
  <si>
    <t>Ammonia (net)</t>
  </si>
  <si>
    <t>kt NH3</t>
  </si>
  <si>
    <t>kt urea</t>
  </si>
  <si>
    <t>kt AN</t>
  </si>
  <si>
    <t>kt Al</t>
  </si>
  <si>
    <t>Product Prices</t>
  </si>
  <si>
    <t>Full Price Code</t>
  </si>
  <si>
    <t>Pre-policy price (USD/t)</t>
  </si>
  <si>
    <t>DRI-EAF steel (CN 7206 (D))</t>
  </si>
  <si>
    <t>all.in.ppx.stl.drg.---</t>
  </si>
  <si>
    <t>stl.drg</t>
  </si>
  <si>
    <t>Scrap-EAF steel (CN 7206 (E))</t>
  </si>
  <si>
    <t>all.in.ppx.stl.scr.---</t>
  </si>
  <si>
    <t>stl.scr</t>
  </si>
  <si>
    <t>BF-BOF steel (CN 7206 (C))</t>
  </si>
  <si>
    <t>all.in.ppx.stl.bof.---</t>
  </si>
  <si>
    <t>stl.bof</t>
  </si>
  <si>
    <t>Cement (CN 25231000 (A))</t>
  </si>
  <si>
    <t>all.in.ppx.cmt.dry.---</t>
  </si>
  <si>
    <t>cmt.dry</t>
  </si>
  <si>
    <t>Ammonia (CN 28141000)</t>
  </si>
  <si>
    <t>all.in.ppx.frt.amc.---</t>
  </si>
  <si>
    <t>frt.amc</t>
  </si>
  <si>
    <t>Urea (CN 31021010)</t>
  </si>
  <si>
    <t>all.in.ppx.frt.ure.---</t>
  </si>
  <si>
    <t>frt.ure</t>
  </si>
  <si>
    <t>Ammonium nitrate (CN 31023090)</t>
  </si>
  <si>
    <t>all.in.ppx.frt.nit.---</t>
  </si>
  <si>
    <t>frt.nit</t>
  </si>
  <si>
    <t>Primary aluminium (CN 76011000 (K))</t>
  </si>
  <si>
    <t>all.in.ppx.alu.prp.---</t>
  </si>
  <si>
    <t>alu.prp</t>
  </si>
  <si>
    <t>Price Increase Fuel-related EF</t>
  </si>
  <si>
    <t>Inclusion (CTax)</t>
  </si>
  <si>
    <t>Inclusion (ETS)</t>
  </si>
  <si>
    <t>Price Increase non-CO2 process and non-fuel-CO2</t>
  </si>
  <si>
    <t>Inclusion (Ctax, NonCO2 Proc)</t>
  </si>
  <si>
    <t>Inclusion (ETS, NonCO2 Proc)</t>
  </si>
  <si>
    <t>Price Increase total</t>
  </si>
  <si>
    <t>Pre-policy Fuel Emissions</t>
  </si>
  <si>
    <t>EF Fuel CO2</t>
  </si>
  <si>
    <t>EF, Process non-ff co2 + all non-co2</t>
  </si>
  <si>
    <t>As a proportion of fuel co2</t>
  </si>
  <si>
    <t>tCO2e</t>
  </si>
  <si>
    <t>Total Emissions</t>
  </si>
  <si>
    <t>Pre-policy Non-Fuel and Non-CO2 Process Emissions</t>
  </si>
  <si>
    <t>Additional Emissions Reductions, fuel emissions</t>
  </si>
  <si>
    <t>Semi-Elasticity</t>
  </si>
  <si>
    <t>reference</t>
  </si>
  <si>
    <t>Emisssions Reductions, non-fuel process emissions</t>
  </si>
  <si>
    <t>cbam.tot</t>
  </si>
  <si>
    <t>Emisssions (post Policy if any, for policy scenario) fuel combustion and process emissions</t>
  </si>
  <si>
    <t>ind.mch</t>
  </si>
  <si>
    <t>ind.irn</t>
  </si>
  <si>
    <t>ind.nfm</t>
  </si>
  <si>
    <t>ind.mac</t>
  </si>
  <si>
    <t>ind.cem</t>
  </si>
  <si>
    <t>Emisssions (post Policy if any, for policy scenario) non-fuel process emissions</t>
  </si>
  <si>
    <t>Revenues</t>
  </si>
  <si>
    <t>Total Revenues</t>
  </si>
  <si>
    <t>CBAM block vs values stored in CPAT_1_0pre_456 (Egypt): legacy Mitigation rows 5881-6036 (baseline) and 12198-12353 (carbon tax); kernel = Mitigation_Industry same block row</t>
  </si>
  <si>
    <t>Legacy row</t>
  </si>
  <si>
    <t>Block section</t>
  </si>
  <si>
    <t>Item</t>
  </si>
  <si>
    <t>Expected</t>
  </si>
  <si>
    <t>Reason</t>
  </si>
  <si>
    <t>Mitigation!5883</t>
  </si>
  <si>
    <t>same</t>
  </si>
  <si>
    <t>Mitigation!5884</t>
  </si>
  <si>
    <t>Mitigation!5912</t>
  </si>
  <si>
    <t>Mitigation!5913</t>
  </si>
  <si>
    <t>Mitigation!5914</t>
  </si>
  <si>
    <t>Mitigation!5915</t>
  </si>
  <si>
    <t>Mitigation!5916</t>
  </si>
  <si>
    <t>Mitigation!5917</t>
  </si>
  <si>
    <t>Mitigation!5918</t>
  </si>
  <si>
    <t>Mitigation!5919</t>
  </si>
  <si>
    <t>Mitigation!5924</t>
  </si>
  <si>
    <t>Mitigation!5925</t>
  </si>
  <si>
    <t>Mitigation!5926</t>
  </si>
  <si>
    <t>Mitigation!5927</t>
  </si>
  <si>
    <t>Mitigation!5928</t>
  </si>
  <si>
    <t>Mitigation!5929</t>
  </si>
  <si>
    <t>Mitigation!5930</t>
  </si>
  <si>
    <t>Mitigation!5931</t>
  </si>
  <si>
    <t>Mitigation!5935</t>
  </si>
  <si>
    <t>Mitigation!5936</t>
  </si>
  <si>
    <t>Mitigation!5937</t>
  </si>
  <si>
    <t>Mitigation!5938</t>
  </si>
  <si>
    <t>Mitigation!5939</t>
  </si>
  <si>
    <t>Mitigation!5940</t>
  </si>
  <si>
    <t>Mitigation!5941</t>
  </si>
  <si>
    <t>Mitigation!5942</t>
  </si>
  <si>
    <t>Mitigation!5946</t>
  </si>
  <si>
    <t>Mitigation!5947</t>
  </si>
  <si>
    <t>Mitigation!5948</t>
  </si>
  <si>
    <t>Mitigation!5949</t>
  </si>
  <si>
    <t>Mitigation!5950</t>
  </si>
  <si>
    <t>Mitigation!5951</t>
  </si>
  <si>
    <t>Mitigation!5952</t>
  </si>
  <si>
    <t>Mitigation!5953</t>
  </si>
  <si>
    <t>Mitigation!5956</t>
  </si>
  <si>
    <t>Mitigation!5957</t>
  </si>
  <si>
    <t>Mitigation!5958</t>
  </si>
  <si>
    <t>Mitigation!5959</t>
  </si>
  <si>
    <t>Mitigation!5960</t>
  </si>
  <si>
    <t>Mitigation!5961</t>
  </si>
  <si>
    <t>Mitigation!5962</t>
  </si>
  <si>
    <t>Mitigation!5963</t>
  </si>
  <si>
    <t>Mitigation!5966</t>
  </si>
  <si>
    <t>Mitigation!5967</t>
  </si>
  <si>
    <t>Mitigation!5968</t>
  </si>
  <si>
    <t>Mitigation!5969</t>
  </si>
  <si>
    <t>Mitigation!5970</t>
  </si>
  <si>
    <t>Mitigation!5971</t>
  </si>
  <si>
    <t>Mitigation!5972</t>
  </si>
  <si>
    <t>Mitigation!5973</t>
  </si>
  <si>
    <t>Mitigation!5974</t>
  </si>
  <si>
    <t>Mitigation!5977</t>
  </si>
  <si>
    <t>Mitigation!5978</t>
  </si>
  <si>
    <t>Mitigation!5979</t>
  </si>
  <si>
    <t>Mitigation!5980</t>
  </si>
  <si>
    <t>Mitigation!5981</t>
  </si>
  <si>
    <t>Mitigation!5982</t>
  </si>
  <si>
    <t>Mitigation!5983</t>
  </si>
  <si>
    <t>Mitigation!5984</t>
  </si>
  <si>
    <t>Mitigation!5985</t>
  </si>
  <si>
    <t>Mitigation!5988</t>
  </si>
  <si>
    <t>Mitigation!5989</t>
  </si>
  <si>
    <t>Mitigation!5990</t>
  </si>
  <si>
    <t>Mitigation!5991</t>
  </si>
  <si>
    <t>Mitigation!5992</t>
  </si>
  <si>
    <t>Mitigation!5993</t>
  </si>
  <si>
    <t>Mitigation!5994</t>
  </si>
  <si>
    <t>Mitigation!5995</t>
  </si>
  <si>
    <t>Mitigation!5996</t>
  </si>
  <si>
    <t>Mitigation!5999</t>
  </si>
  <si>
    <t>Mitigation!6000</t>
  </si>
  <si>
    <t>Mitigation!6001</t>
  </si>
  <si>
    <t>Mitigation!6002</t>
  </si>
  <si>
    <t>Mitigation!6003</t>
  </si>
  <si>
    <t>Mitigation!6004</t>
  </si>
  <si>
    <t>Mitigation!6005</t>
  </si>
  <si>
    <t>Mitigation!6006</t>
  </si>
  <si>
    <t>Mitigation!6007</t>
  </si>
  <si>
    <t>Mitigation!6010</t>
  </si>
  <si>
    <t>changed</t>
  </si>
  <si>
    <t>fix: legacy M..AE hard-coded</t>
  </si>
  <si>
    <t>Mitigation!6011</t>
  </si>
  <si>
    <t>Mitigation!6012</t>
  </si>
  <si>
    <t>Mitigation!6013</t>
  </si>
  <si>
    <t>Mitigation!6014</t>
  </si>
  <si>
    <t>Mitigation!6015</t>
  </si>
  <si>
    <t>Mitigation!6021</t>
  </si>
  <si>
    <t>Mitigation!6022</t>
  </si>
  <si>
    <t>Mitigation!6023</t>
  </si>
  <si>
    <t>Mitigation!6024</t>
  </si>
  <si>
    <t>Mitigation!6025</t>
  </si>
  <si>
    <t>Mitigation!6026</t>
  </si>
  <si>
    <t>Mitigation!6028</t>
  </si>
  <si>
    <t>Mitigation!6029</t>
  </si>
  <si>
    <t>Mitigation!6030</t>
  </si>
  <si>
    <t>Mitigation!6031</t>
  </si>
  <si>
    <t>Mitigation!6032</t>
  </si>
  <si>
    <t>Mitigation!6033</t>
  </si>
  <si>
    <t>Mitigation!6034</t>
  </si>
  <si>
    <t>Mitigation!6035</t>
  </si>
  <si>
    <t>Mitigation!6036</t>
  </si>
  <si>
    <t>Mitigation!12200</t>
  </si>
  <si>
    <t>carbon tax wired to cptraj (legacy hard 0)</t>
  </si>
  <si>
    <t>Mitigation!12201</t>
  </si>
  <si>
    <t>Mitigation!12229</t>
  </si>
  <si>
    <t>Mitigation!12230</t>
  </si>
  <si>
    <t>Mitigation!12231</t>
  </si>
  <si>
    <t>Mitigation!12232</t>
  </si>
  <si>
    <t>Mitigation!12233</t>
  </si>
  <si>
    <t>Mitigation!12234</t>
  </si>
  <si>
    <t>Mitigation!12235</t>
  </si>
  <si>
    <t>Mitigation!12236</t>
  </si>
  <si>
    <t>Mitigation!12241</t>
  </si>
  <si>
    <t>Mitigation!12242</t>
  </si>
  <si>
    <t>Mitigation!12243</t>
  </si>
  <si>
    <t>Mitigation!12244</t>
  </si>
  <si>
    <t>Mitigation!12245</t>
  </si>
  <si>
    <t>Mitigation!12246</t>
  </si>
  <si>
    <t>Mitigation!12247</t>
  </si>
  <si>
    <t>Mitigation!12248</t>
  </si>
  <si>
    <t>Mitigation!12252</t>
  </si>
  <si>
    <t>uses wired carbon tax</t>
  </si>
  <si>
    <t>Mitigation!12253</t>
  </si>
  <si>
    <t>Mitigation!12254</t>
  </si>
  <si>
    <t>Mitigation!12255</t>
  </si>
  <si>
    <t>Mitigation!12256</t>
  </si>
  <si>
    <t>Mitigation!12257</t>
  </si>
  <si>
    <t>Mitigation!12258</t>
  </si>
  <si>
    <t>Mitigation!12259</t>
  </si>
  <si>
    <t>Mitigation!12263</t>
  </si>
  <si>
    <t>Mitigation!12264</t>
  </si>
  <si>
    <t>Mitigation!12265</t>
  </si>
  <si>
    <t>Mitigation!12266</t>
  </si>
  <si>
    <t>Mitigation!12267</t>
  </si>
  <si>
    <t>Mitigation!12268</t>
  </si>
  <si>
    <t>Mitigation!12269</t>
  </si>
  <si>
    <t>Mitigation!12270</t>
  </si>
  <si>
    <t>Mitigation!12273</t>
  </si>
  <si>
    <t>Mitigation!12274</t>
  </si>
  <si>
    <t>Mitigation!12275</t>
  </si>
  <si>
    <t>Mitigation!12276</t>
  </si>
  <si>
    <t>Mitigation!12277</t>
  </si>
  <si>
    <t>Mitigation!12278</t>
  </si>
  <si>
    <t>Mitigation!12279</t>
  </si>
  <si>
    <t>Mitigation!12280</t>
  </si>
  <si>
    <t>Mitigation!12283</t>
  </si>
  <si>
    <t>Mitigation!12284</t>
  </si>
  <si>
    <t>Mitigation!12285</t>
  </si>
  <si>
    <t>Mitigation!12286</t>
  </si>
  <si>
    <t>Mitigation!12287</t>
  </si>
  <si>
    <t>Mitigation!12288</t>
  </si>
  <si>
    <t>Mitigation!12289</t>
  </si>
  <si>
    <t>Mitigation!12290</t>
  </si>
  <si>
    <t>Mitigation!12291</t>
  </si>
  <si>
    <t>Mitigation!12294</t>
  </si>
  <si>
    <t>Mitigation!12295</t>
  </si>
  <si>
    <t>Mitigation!12296</t>
  </si>
  <si>
    <t>Mitigation!12297</t>
  </si>
  <si>
    <t>Mitigation!12298</t>
  </si>
  <si>
    <t>Mitigation!12299</t>
  </si>
  <si>
    <t>Mitigation!12300</t>
  </si>
  <si>
    <t>Mitigation!12301</t>
  </si>
  <si>
    <t>Mitigation!12302</t>
  </si>
  <si>
    <t>Mitigation!12305</t>
  </si>
  <si>
    <t>Mitigation!12306</t>
  </si>
  <si>
    <t>Mitigation!12307</t>
  </si>
  <si>
    <t>Mitigation!12308</t>
  </si>
  <si>
    <t>Mitigation!12309</t>
  </si>
  <si>
    <t>Mitigation!12310</t>
  </si>
  <si>
    <t>Mitigation!12311</t>
  </si>
  <si>
    <t>Mitigation!12312</t>
  </si>
  <si>
    <t>Mitigation!12313</t>
  </si>
  <si>
    <t>Mitigation!12316</t>
  </si>
  <si>
    <t>Mitigation!12317</t>
  </si>
  <si>
    <t>Mitigation!12318</t>
  </si>
  <si>
    <t>Mitigation!12319</t>
  </si>
  <si>
    <t>Mitigation!12320</t>
  </si>
  <si>
    <t>Mitigation!12321</t>
  </si>
  <si>
    <t>Mitigation!12322</t>
  </si>
  <si>
    <t>Mitigation!12323</t>
  </si>
  <si>
    <t>Mitigation!12324</t>
  </si>
  <si>
    <t>Mitigation!12327</t>
  </si>
  <si>
    <t>Mitigation!12328</t>
  </si>
  <si>
    <t>Mitigation!12329</t>
  </si>
  <si>
    <t>Mitigation!12330</t>
  </si>
  <si>
    <t>Mitigation!12331</t>
  </si>
  <si>
    <t>Mitigation!12332</t>
  </si>
  <si>
    <t>Mitigation!12338</t>
  </si>
  <si>
    <t>Mitigation!12339</t>
  </si>
  <si>
    <t>Mitigation!12340</t>
  </si>
  <si>
    <t>Mitigation!12341</t>
  </si>
  <si>
    <t>Mitigation!12342</t>
  </si>
  <si>
    <t>Mitigation!12343</t>
  </si>
  <si>
    <t>Mitigation!12345</t>
  </si>
  <si>
    <t>Mitigation!12346</t>
  </si>
  <si>
    <t>Mitigation!12347</t>
  </si>
  <si>
    <t>Mitigation!12348</t>
  </si>
  <si>
    <t>Mitigation!12349</t>
  </si>
  <si>
    <t>Mitigation!12350</t>
  </si>
  <si>
    <t>Mitigation!12351</t>
  </si>
  <si>
    <t>Mitigation!12352</t>
  </si>
  <si>
    <t>Mitigation!12353</t>
  </si>
  <si>
    <t>Max |kernel - CPAT| CBAM block, rows replicated unchanged</t>
  </si>
  <si>
    <t>Max |kernel - CPAT| CBAM block, rows changed by design (reason in column J)</t>
  </si>
  <si>
    <t>Manual inputs</t>
  </si>
  <si>
    <t>Legacy 'Manual inputs' Process Emissions section (rows 18-47, same positions): CBAM process coverage switches, product emission factors, half-elasticities.</t>
  </si>
  <si>
    <t>Kernel sheet in the CPAT Mitigation layout (columns A-AI, years K-AI): 4 CBAM sectors x 2 scenarios, each scenario followed by the 156-row CBAM goods block (legacy Mitigation 5881-6036 / 12198-12353). All formulas; codes built from components.</t>
  </si>
  <si>
    <t>v0.3</t>
  </si>
  <si>
    <t>TASK-1: CBAM goods / process emissions block (legacy Mitigation 12198-12353, 156 rows, cols A-AI) added after each scenario; 'Manual inputs' rows 18-47; cptraj/etstraj in Data_Prices; MTInputs F117:F121 linked to Manual inputs row 22. Carbon Tax/ETS rows now read the scenario trajectories (legacy: hard zeros, broken K refs). Legacy WIP bugs fixed: fuel emissions by sector M..AE hard-coded; aluminium fuel-ER relative ref; missing post-policy process total; product-price year header. Kernel rows unchanged (regression diff 0).</t>
  </si>
  <si>
    <t>Scenarios (EGY): carbon price paths, policy bundles, active-bundle series</t>
  </si>
  <si>
    <t>Policy scenario 2 runs the bundle selected in Settings!B10 (one at a time). Section 4 is mirrored into Data_Prices by code. LEGACY reproduces v0.3 / CPAT default values exactly.</t>
  </si>
  <si>
    <t>Change only green cells. Bundles from EgyptResultsInitial.docx Table 1/2.</t>
  </si>
  <si>
    <t>Carbon price paths ($/ton CO2 real)</t>
  </si>
  <si>
    <t>Path</t>
  </si>
  <si>
    <t>LEGACY_CP</t>
  </si>
  <si>
    <t>CPAT default carbon tax path in the legacy file</t>
  </si>
  <si>
    <t>CPAT 1.0pre_456 Mitigation row 8582 (cptraj.2)</t>
  </si>
  <si>
    <t>EGY</t>
  </si>
  <si>
    <t>LEGACY_ETS</t>
  </si>
  <si>
    <t>CPAT default auctioned ETS path in the legacy file</t>
  </si>
  <si>
    <t>CPAT 1.0pre_456 Mitigation row 8583 (etstraj.2)</t>
  </si>
  <si>
    <t>ZERO</t>
  </si>
  <si>
    <t>No price</t>
  </si>
  <si>
    <t>FLAT20_2028</t>
  </si>
  <si>
    <t>USD20/tCO2 flat from 2028</t>
  </si>
  <si>
    <t>EgyptResultsInitial 1A/2A/2B; CPAT runs EG1/EG2</t>
  </si>
  <si>
    <t>RAMP_EG3</t>
  </si>
  <si>
    <t>USD5 in 2028, +7.5/yr (USD20 in 2030, USD50 in 2034, keeps rising)</t>
  </si>
  <si>
    <t>CPAT run EG3 (Outputs), behind the reported 3A-3C numbers</t>
  </si>
  <si>
    <t>RAMP50_2034</t>
  </si>
  <si>
    <t>USD5 in 2028, +7.5/yr to USD50 in 2034, flat after</t>
  </si>
  <si>
    <t>EgyptResultsInitial text ('USD5 to USD50 by 2034')</t>
  </si>
  <si>
    <t>Kernel and Data_Prices use 2022-2041 (L..AE), the CPAT data horizon. Reported EgyptResultsInitial metrics refer to 2030, when every non-legacy bundle prices USD20/tCO2. RAMP_EG3 (3A-3C default) and RAMP50_2034 differ only after 2034.</t>
  </si>
  <si>
    <t>Policy bundles (one row per bundle)</t>
  </si>
  <si>
    <t>Bundle</t>
  </si>
  <si>
    <t>Name</t>
  </si>
  <si>
    <t>Energy CO2 price path</t>
  </si>
  <si>
    <t>ETS path</t>
  </si>
  <si>
    <t>Industry energy covered (share)</t>
  </si>
  <si>
    <t>Process emissions covered (0/1)</t>
  </si>
  <si>
    <t>Process price path</t>
  </si>
  <si>
    <t>OBR share (theta)</t>
  </si>
  <si>
    <t>Fund share (phi)</t>
  </si>
  <si>
    <t>Revenue use</t>
  </si>
  <si>
    <t>Energy scope in main CPAT (Task M)</t>
  </si>
  <si>
    <t>LEGACY</t>
  </si>
  <si>
    <t>CPAT default policy scenario (regression)</t>
  </si>
  <si>
    <t>CPAT default</t>
  </si>
  <si>
    <t>All sectors</t>
  </si>
  <si>
    <t>1A</t>
  </si>
  <si>
    <t>Comprehensive levy + CBAM process fee</t>
  </si>
  <si>
    <t>Public investment (non-green)</t>
  </si>
  <si>
    <t>2A</t>
  </si>
  <si>
    <t>Upstream levy, public investment</t>
  </si>
  <si>
    <t>2B</t>
  </si>
  <si>
    <t>Upstream levy, households</t>
  </si>
  <si>
    <t>Households (per capita)</t>
  </si>
  <si>
    <t>3A</t>
  </si>
  <si>
    <t>Downstream heavy industry, households</t>
  </si>
  <si>
    <t>Industry only</t>
  </si>
  <si>
    <t>3B</t>
  </si>
  <si>
    <t>Downstream heavy industry, free allocation (benchmark)</t>
  </si>
  <si>
    <t>Firms: output-based free allocation</t>
  </si>
  <si>
    <t>3C</t>
  </si>
  <si>
    <t>Downstream heavy industry, abatement rebate</t>
  </si>
  <si>
    <t>Firms: abatement rebate fund</t>
  </si>
  <si>
    <t>Active bundle (policy scenario 2) and carbon price pass-through factors</t>
  </si>
  <si>
    <t>Pass-through factor: price units per $/ton CO2</t>
  </si>
  <si>
    <t>Factor</t>
  </si>
  <si>
    <t>CO2 content per native unit (tCO2/unit)</t>
  </si>
  <si>
    <t>$/GJ per $/tCO2</t>
  </si>
  <si>
    <t>Implied by CPAT: legacy nce.2 / cptraj.2 (exactly proportional)</t>
  </si>
  <si>
    <t>$/liter per $/tCO2</t>
  </si>
  <si>
    <t>$/bbl per $/tCO2</t>
  </si>
  <si>
    <t>$/kwh per $/tCO2</t>
  </si>
  <si>
    <t>Active-bundle series for scenario 2 (read by Data_Prices via code in column G)</t>
  </si>
  <si>
    <t>Written by</t>
  </si>
  <si>
    <t>Read by</t>
  </si>
  <si>
    <t>Carbon price on energy CO2 (active bundle)</t>
  </si>
  <si>
    <t>Stream 2 (E)</t>
  </si>
  <si>
    <t>Scenarios</t>
  </si>
  <si>
    <t>Auctioned ETS price (active bundle)</t>
  </si>
  <si>
    <t>CBAM block o3</t>
  </si>
  <si>
    <t>pptraj</t>
  </si>
  <si>
    <t>Carbon price on CBAM process emissions = process path x process flag</t>
  </si>
  <si>
    <t>egy.mit.pptraj.2</t>
  </si>
  <si>
    <t>encov</t>
  </si>
  <si>
    <t>Share of industry energy CO2 covered by the energy price</t>
  </si>
  <si>
    <t>egy.mit.encov.2</t>
  </si>
  <si>
    <t>nce (this sheet)</t>
  </si>
  <si>
    <t>obrsh</t>
  </si>
  <si>
    <t>Output-based rebate share theta (free allocation / benchmark)</t>
  </si>
  <si>
    <t>Stream 2 (E, I)</t>
  </si>
  <si>
    <t>egy.mit.obrsh.2</t>
  </si>
  <si>
    <t>obrrb</t>
  </si>
  <si>
    <t>Output-based rebate = theta x cptraj (value returned per t at benchmark)</t>
  </si>
  <si>
    <t>egy.mit.obrrb.2</t>
  </si>
  <si>
    <t>fundsh</t>
  </si>
  <si>
    <t>Share of revenue recycled to the industrial abatement fund phi</t>
  </si>
  <si>
    <t>Stream 2 (E, J)</t>
  </si>
  <si>
    <t>egy.mit.fundsh.2</t>
  </si>
  <si>
    <t>fundsp</t>
  </si>
  <si>
    <t>Shadow price of fund-financed abatement (acts on intensity only). Placeholder 0 until Task J</t>
  </si>
  <si>
    <t>Stream 2 (J)</t>
  </si>
  <si>
    <t>egy.mit.fundsp.2</t>
  </si>
  <si>
    <t>New-policy wedge, coa = cptraj x encov x factor</t>
  </si>
  <si>
    <t>kernel atp rows</t>
  </si>
  <si>
    <t>New-policy wedge, nga = cptraj x encov x factor</t>
  </si>
  <si>
    <t>New-policy wedge, gso = cptraj x encov x factor</t>
  </si>
  <si>
    <t>New-policy wedge, die = cptraj x encov x factor</t>
  </si>
  <si>
    <t>New-policy wedge, lpg = cptraj x encov x factor</t>
  </si>
  <si>
    <t>New-policy wedge, ker = cptraj x encov x factor</t>
  </si>
  <si>
    <t>New-policy wedge, oop = cptraj x encov x factor</t>
  </si>
  <si>
    <t>New-policy wedge, bio = cptraj x encov x factor</t>
  </si>
  <si>
    <t>New-policy wedge, ren = cptraj x encov x factor</t>
  </si>
  <si>
    <t>Interface contract between work streams (merge rules)</t>
  </si>
  <si>
    <t>Stream 1 = product/CBAM side (tasks A, B, C, D, H, K, L): owns Manual inputs rows 18-47 and CBAM block rows o7-o155.</t>
  </si>
  <si>
    <t>Stream 2 = energy/policy side (tasks E, F, I, J): owns Scenarios, Data_Prices policy rows, kernel sector blocks, block rows o2-o6.</t>
  </si>
  <si>
    <t>Interface = the codes in section 4 (Data_Prices egy.mit.&lt;var&gt;.&lt;s&gt;) plus block rows o2-o6. Stream 2 writes, stream 1 reads.</t>
  </si>
  <si>
    <t>o2 Carbon Tax = cptraj; o3 ETS = etstraj; o4 Total Shadow Price = fundsp ($/tCO2, intensity only); o5 Revenues Fund = fundsh x Total Revenues (o155); o6 Output-based rebate = obrrb.</t>
  </si>
  <si>
    <t>Price seen by: efficiency / intensity (fuel and process ER) = full price (+ o4); output / usage = price - obrrb (Task H, I).</t>
  </si>
  <si>
    <t>Process emissions price = pptraj (Task C switches block process rows from o2 to pptraj; equal for all current bundles).</t>
  </si>
  <si>
    <t>Manual inputs E21 (process emissions priced) = active bundle 'Process emissions covered'; per-sector detail stays in Manual inputs (Task C).</t>
  </si>
  <si>
    <t>Rules: find rows by code/label, never by row number; never insert rows in the other stream's area; each stream adds its own Check section; merge = run both stream build scripts on v0.4.</t>
  </si>
  <si>
    <t>Policy bundle for scenario 2 (EGY)</t>
  </si>
  <si>
    <t>Bundle run as policy scenario 2 (Scenarios section 2). LEGACY = CPAT default (regression vs v0.3/legacy). Check-sheet legacy comparisons are valid for LEGACY only.</t>
  </si>
  <si>
    <t>EGY: carbon price paths, policy bundles 1A-3C (+LEGACY), active-bundle series mirrored into Data_Prices by code, pass-through factors, interface contract between work streams.</t>
  </si>
  <si>
    <t>Pre-tax price before new policies (pbc), new-policy wedge (nce), shadow price (shp), sector coverage (tcf), share of shadow price on efficiency (ssc); both scenarios. Plus carbon price (cptraj) and auctioned ETS price (etstraj) trajectories for the CBAM block. v0.4: scenario-2 cptraj/etstraj/nce read Scenarios; interface rows pptraj, encov, obrsh, obrrb, fundsh, fundsp.</t>
  </si>
  <si>
    <t>v0.4</t>
  </si>
  <si>
    <t>2026-10-02</t>
  </si>
  <si>
    <t>Task E: Scenarios sheet (price paths LEGACY/ZERO/FLAT20_2028/RAMP_EG3/RAMP50_2034; bundles LEGACY,1A,2A,2B,3A,3B,3C; selector Settings!B10). Scenario-2 cptraj/etstraj/nce now = active-bundle series (nce = cptraj x encov x factor). New interface rows pptraj/encov/obrsh/obrrb/fundsh/fundsp (both scenarios). CBAM block o4 = fundsp, o5 = fundsh x o155, o6 = obrrb; Additional ER rows o107-o114 read o4 instead of o5. Manual inputs E21 = bundle process flag. LEGACY: regression diff vs v0.3 ~1e-15 (floating point of cptraj x factor).</t>
  </si>
  <si>
    <t>Carbon price trajectory used - active bundle (Scenarios)</t>
  </si>
  <si>
    <t>Scenarios (legacy 8582)</t>
  </si>
  <si>
    <t>Auctioned ETS price (ETS price x auctioned proportion) - active bundle (Scenarios)</t>
  </si>
  <si>
    <t>Scenarios (legacy 8583)</t>
  </si>
  <si>
    <t>Total new policy wedge before sector coverage - active bundle (Scenarios)</t>
  </si>
  <si>
    <t>Scenarios (legacy 8845)</t>
  </si>
  <si>
    <t>Scenarios (legacy 8914)</t>
  </si>
  <si>
    <t>Scenarios (legacy 8937)</t>
  </si>
  <si>
    <t>Scenarios (legacy 8960)</t>
  </si>
  <si>
    <t>Scenarios (legacy 8983)</t>
  </si>
  <si>
    <t>Scenarios (legacy 9006)</t>
  </si>
  <si>
    <t>Scenarios (legacy 9029)</t>
  </si>
  <si>
    <t>Scenarios (legacy 9052)</t>
  </si>
  <si>
    <t>Scenarios (legacy 9141)</t>
  </si>
  <si>
    <t>egy.mit.pptraj.1</t>
  </si>
  <si>
    <t>- (baseline: no new policy)</t>
  </si>
  <si>
    <t>egy.mit.encov.1</t>
  </si>
  <si>
    <t>egy.mit.obrsh.1</t>
  </si>
  <si>
    <t>egy.mit.obrrb.1</t>
  </si>
  <si>
    <t>egy.mit.fundsh.1</t>
  </si>
  <si>
    <t>egy.mit.fundsp.1</t>
  </si>
  <si>
    <t>units of o155</t>
  </si>
  <si>
    <t>Output-based rebate</t>
  </si>
  <si>
    <t>theta x carbon tax; deducted from the price seen by output (Tasks H, I)</t>
  </si>
  <si>
    <t>Include non-fuel process emissions in ETS/CT? (legacy Dashboard!G20; v0.4: set by the active bundle, Scenarios)</t>
  </si>
  <si>
    <t>Scenario-2 policy inputs (Data_Prices, now from Scenarios) vs values stored in v0.3 / CPAT_1_0pre_456; expected same when Settings!B10 = LEGACY</t>
  </si>
  <si>
    <t>same if LEGACY</t>
  </si>
  <si>
    <t>Max |v0.4 - v0.3| scenario-2 price inputs (valid when Settings!B10 = LEGACY)</t>
  </si>
  <si>
    <t>Total, fuel + non-fuel process (post-policy)</t>
  </si>
  <si>
    <t>MtCO2e</t>
  </si>
  <si>
    <t>Total additional ER, fuel + non-fuel process</t>
  </si>
  <si>
    <t>USD million</t>
  </si>
  <si>
    <t>Revenues (fuel CO2 + non-fuel process, post-policy; USD million)</t>
  </si>
  <si>
    <t>revf (o137) + revp (o138); base of o5 Revenues Fund</t>
  </si>
  <si>
    <t>Stream 1 output codes (Task A, CBAM block column H, suffix = scenario): cpef / cpep.ind.&lt;sec&gt; (post-policy fuel / process emissions by sector); emisf / emisp / emis.cbam.tot; emrf / emrp / emr.cbam.tot; revf / revp / rev.cbam.tot (o137 / o138 / o155). o5 fund base = o155 = fuel + process revenue; main CPAT adds only revp (fuel CO2 already in nce).</t>
  </si>
  <si>
    <t>Task A (v0.5): fuel + process revenue, process inclusion flags, post-policy emissions</t>
  </si>
  <si>
    <t>Task A (v0.5): CBAM block identities and output-code uniqueness (expected 0)</t>
  </si>
  <si>
    <t>Total Revenues o155 - (revf o137 + revp o138)</t>
  </si>
  <si>
    <t>Revenue o155 - sum of product rows o147-o154</t>
  </si>
  <si>
    <t>emis o135 - (sector fuel o129-133 + sector process o140-144)</t>
  </si>
  <si>
    <t>emr o136 - (fuel ER o107-114 + process ER o118-125)</t>
  </si>
  <si>
    <t>Duplicate output codes (egy.mit.*) in Mitigation_Industry column H</t>
  </si>
  <si>
    <t>Max |identity| and duplicate-code count (Task A)</t>
  </si>
  <si>
    <t>v0.5</t>
  </si>
  <si>
    <t>Task A: CBAM block output codes unique (cpef/cpep, emisf/emisp, emrf/emrp; combined emis/emr in spare rows o135/o136). Revenues fixed: o147-o154 = post-policy fuel CO2 x fuel inclusion + post-policy process x process inclusion (legacy: pre-policy process x fuel inclusion, no fuel revenue); split revf/revp in o137/o138, o155 = sum. Changed by design: scenario-2 revenue rows (LEGACY o155 2030: 1697.5 -&gt; fuel only, process not covered); all other values identical to v0.4.</t>
  </si>
  <si>
    <t>fc covered (0/1)</t>
  </si>
  <si>
    <t>fp covered (0/1)</t>
  </si>
  <si>
    <t>np covered (0/1)</t>
  </si>
  <si>
    <t>no covered (0/1)</t>
  </si>
  <si>
    <t>Task B (stream 1): EF category coverage switches M:P (c.fc, c.fp, c.np, c.no; 1 in every bundle: the report treats fc + fp as the fuel-combustion share covered by energy CO2 pricing and np + no as all process emissions). fc, fp are priced with the energy CO2 flags, np, no with the process flags (E21). Set c.fp = 0 to exclude reductant/feedstock fuel, c.no = 0 to exclude non-CO2. Outputs emisfc / emisfp / emisnp / emisno.cbam.tot (block o13-o16); fuel switches affect only CBAM-block memo revenue, not the kernel energy wedge (nce).</t>
  </si>
  <si>
    <t>Emission-factor category coverage (1 = priced; Task B)</t>
  </si>
  <si>
    <t>Active bundle (Scenarios M:P); fc, fp priced with fuel flags (o54), np, no with process flags (o65); scenario 1 = 1</t>
  </si>
  <si>
    <t>c.fc</t>
  </si>
  <si>
    <t>c.fp</t>
  </si>
  <si>
    <t>c.np</t>
  </si>
  <si>
    <t>c.no</t>
  </si>
  <si>
    <t>Covered fuel EF = fc*c.fc + fp*c.fp</t>
  </si>
  <si>
    <t>Covered process EF = np*c.np + no*c.no (each &gt;= 0)</t>
  </si>
  <si>
    <t>Covered share, fuel (o54 E / F)</t>
  </si>
  <si>
    <t>Covered share, process (o65 E / G)</t>
  </si>
  <si>
    <t>Revenues, fuel CO2, covered fc + fp (memo: same CO2 is priced in kernel energy via nce)</t>
  </si>
  <si>
    <t>Post-policy emissions by EF category (Task B)</t>
  </si>
  <si>
    <t>fc: fuel combustion CO2</t>
  </si>
  <si>
    <t>fp: fuel used in the process / reduction CO2</t>
  </si>
  <si>
    <t>np: non-fuel process CO2 (floored at 0)</t>
  </si>
  <si>
    <t>no: non-CO2 process (N2O, PFC; floored at 0)</t>
  </si>
  <si>
    <t>Task B (v0.6): EF category split and coverage switches (expected 0)</t>
  </si>
  <si>
    <t>emis o135 - sum of EF categories o13-o16</t>
  </si>
  <si>
    <t>Covered EF above full EF (count of products, fuel + process)</t>
  </si>
  <si>
    <t>Block switches o28 H:K not 0/1 (count)</t>
  </si>
  <si>
    <t>Scenarios bundle switches M17:P23 not 0/1 (count)</t>
  </si>
  <si>
    <t>Max |identity| and violation counts (Task B)</t>
  </si>
  <si>
    <t>v0.6</t>
  </si>
  <si>
    <t>Task B: 4-way EF split (fc, fp, np, no) with coverage switches per bundle (Scenarios M:P, all 1; block o28). Price rows use covered EFs (fuel group fc+fp, process group np+no); process ER and revenues act on the covered share (o85-o92 I:J). Full process EF floored per category. Post-policy emissions by category in o13-o16 (emisfc/emisfp/emisnp/emisno.cbam.tot). All values identical to v0.5 with switches = 1.</t>
  </si>
  <si>
    <t>kernel via nce; CBAM block o2 (fuel CO2 only from v0.7)</t>
  </si>
  <si>
    <t>CBAM block o63 (Task C, process price); Stream 1 L: CBAM obligations</t>
  </si>
  <si>
    <t>Task C (stream 1, v0.7): CBAM process emissions (np + no) are priced at pptraj (block o63), fuel CO2 (fc + fp) at cptraj (o2); ETS (o3) applies to both via the sector ETS flags. To give process emissions their own path, set the bundle's 'Process price path' (column H); 'Process emissions covered' (G) switches it off. Reporting convention: all bundles price 20 $/t in 2030 (checked).</t>
  </si>
  <si>
    <t>Process carbon price</t>
  </si>
  <si>
    <t>pptraj = process path x process flag (Scenarios H, G); prices np + no in o65-o72, o118-o125, o138, o147-o154, o15-o16 (Task C)</t>
  </si>
  <si>
    <t>Revenues, covered non-fuel process np + no at the process price o63 (additional to energy carbon revenue)</t>
  </si>
  <si>
    <t>Task C (v0.7): process emissions priced at pptraj (expected 0)</t>
  </si>
  <si>
    <t>Block process price o63 - Data_Prices pptraj</t>
  </si>
  <si>
    <t>2030 process price - energy price x process flag (non-LEGACY bundles; reporting convention 20 $/t in 2030)</t>
  </si>
  <si>
    <t>2030 energy price &lt;&gt; 20 $/t (non-LEGACY bundles)</t>
  </si>
  <si>
    <t>Max |identity| (Task C)</t>
  </si>
  <si>
    <t>v0.7</t>
  </si>
  <si>
    <t>Task C: CBAM process emissions (np + no) priced at pptraj (new block row o63) in the process price rows, process ER, revp, product revenues and np/no emissions; fuel CO2 stays on cptraj (o2). All values identical to v0.6 (every bundle uses the same energy and process path).</t>
  </si>
  <si>
    <t>Fuel CO2 emission factors for industry, Egypt (Task F, Stream 2) - as used by CPAT_1_0pre_456 for energy-related CO2 (Mitigation rows 972-1009, 6511-6552)</t>
  </si>
  <si>
    <t>EF used (tCO2/ktoe) = IIASA EF (tCO2/GJ) x GJ per ktoe x inventory adjustment factor (applied when MTInputs EFsAdjustmentNonAnnexI = Yes; Egypt is Non-Annex I). The kernel (Emissions_Industry) reads column G by the code in column A.</t>
  </si>
  <si>
    <t>IIASA EF (tCO2/GJ)</t>
  </si>
  <si>
    <t>tCO2/ktoe unadjusted</t>
  </si>
  <si>
    <t>Adjustment applied</t>
  </si>
  <si>
    <t>EF used (tCO2/ktoe)</t>
  </si>
  <si>
    <t>CPAT EF used (tCO2/ktoe)</t>
  </si>
  <si>
    <t>diff G-H</t>
  </si>
  <si>
    <t>CPAT EF code</t>
  </si>
  <si>
    <t>Source / note</t>
  </si>
  <si>
    <t>egy.mit.ef.coa.ind</t>
  </si>
  <si>
    <t>Mitigation row 1001 (coa, ind)</t>
  </si>
  <si>
    <t>egy.mit.ef.nga.ind</t>
  </si>
  <si>
    <t>Mitigation row 1002 (nga, ind)</t>
  </si>
  <si>
    <t>egy.mit.ef.gso.ind</t>
  </si>
  <si>
    <t>Mitigation row 1003 (gso, ind; 0.0023707 tCO2/l x 28.6 l/GJ)</t>
  </si>
  <si>
    <t>egy.mit.ef.die.ind</t>
  </si>
  <si>
    <t>Mitigation row 1004 (die, ind)</t>
  </si>
  <si>
    <t>egy.mit.ef.lpg.ind</t>
  </si>
  <si>
    <t>Mitigation row 1005 (lpg, ind)</t>
  </si>
  <si>
    <t>egy.mit.ef.ker.ind</t>
  </si>
  <si>
    <t>Mitigation row 1006 (ker, ind)</t>
  </si>
  <si>
    <t>egy.mit.ef.oop.ind</t>
  </si>
  <si>
    <t>Mitigation row 1007 (oop, ind; labelled 'Crude Oil', 0.4694 tCO2/bbl)</t>
  </si>
  <si>
    <t>Mitigation row 1009: biomass combustion CO2 counted as 0 (biogenic), as in CPAT</t>
  </si>
  <si>
    <t>Self-generated renewables: no combustion, EF 0 (CPAT has no EF row)</t>
  </si>
  <si>
    <t>GJ per ktoe</t>
  </si>
  <si>
    <t>CPAT Mitigation row 1035 (unit conversions)</t>
  </si>
  <si>
    <t>EFs selected (MTInputs EmissionsFactCO2)</t>
  </si>
  <si>
    <t>Only the IIASA set is stored here (CPAT default IIASA*); another setting needs re-sourcing (REVIEW)</t>
  </si>
  <si>
    <t>Adjust non-Annex I EFs to inventories (MTInputs EFsAdjustmentNonAnnexI)</t>
  </si>
  <si>
    <t>CPAT Mitigation row 976; Egypt is Non-Annex I (row 975)</t>
  </si>
  <si>
    <t>Adjustment factor, Egypt</t>
  </si>
  <si>
    <t>CPAT Mitigation row 977: ratio of inventory (UNFCCC/IMF) to EF-estimated energy CO2, stored as a value</t>
  </si>
  <si>
    <t>Adjustment factor applied</t>
  </si>
  <si>
    <t>1 if the switch is off</t>
  </si>
  <si>
    <t>Check: CPAT irn 2022 = 232.657 ktoe coa x 3892.11 + 1669.057 ktoe nga x 2171.80 (/1e6) = 4.5304 MtCO2 = CPAT egy.mit.co2.ind.irn.1 (Mitigation row 6572).</t>
  </si>
  <si>
    <t>Mitigation Module - Egypt: Industry kernel - energy CO2 by sector and fuel (Task F, Stream 2): eco2 = Mitigation_Industry ener (ktoe) x Data_EF EF (tCO2/ktoe) / 1e6</t>
  </si>
  <si>
    <t>Energy CO2 - Baseline (scenario 1), MtCO2; energy from Mitigation_Industry rows 5-243</t>
  </si>
  <si>
    <t>Input Code (Data_EF key)</t>
  </si>
  <si>
    <t>MtCO2</t>
  </si>
  <si>
    <t>eco2</t>
  </si>
  <si>
    <t>Mitigation_Industry row 54 x Data_EF G / 1e6</t>
  </si>
  <si>
    <t>Mitigation_Industry row 55 x Data_EF G / 1e6</t>
  </si>
  <si>
    <t>Mitigation_Industry row 56 x Data_EF G / 1e6</t>
  </si>
  <si>
    <t>Mitigation_Industry row 57 x Data_EF G / 1e6</t>
  </si>
  <si>
    <t>Mitigation_Industry row 58 x Data_EF G / 1e6</t>
  </si>
  <si>
    <t>Mitigation_Industry row 59 x Data_EF G / 1e6</t>
  </si>
  <si>
    <t>Mitigation_Industry row 60 x Data_EF G / 1e6</t>
  </si>
  <si>
    <t>Mitigation_Industry row 61 x Data_EF G / 1e6</t>
  </si>
  <si>
    <t>Mitigation_Industry row 62 x Data_EF G / 1e6</t>
  </si>
  <si>
    <t>Mitigation_Industry row 114 x Data_EF G / 1e6</t>
  </si>
  <si>
    <t>Mitigation_Industry row 115 x Data_EF G / 1e6</t>
  </si>
  <si>
    <t>Mitigation_Industry row 116 x Data_EF G / 1e6</t>
  </si>
  <si>
    <t>Mitigation_Industry row 117 x Data_EF G / 1e6</t>
  </si>
  <si>
    <t>Mitigation_Industry row 118 x Data_EF G / 1e6</t>
  </si>
  <si>
    <t>Mitigation_Industry row 119 x Data_EF G / 1e6</t>
  </si>
  <si>
    <t>Mitigation_Industry row 120 x Data_EF G / 1e6</t>
  </si>
  <si>
    <t>Mitigation_Industry row 121 x Data_EF G / 1e6</t>
  </si>
  <si>
    <t>Mitigation_Industry row 122 x Data_EF G / 1e6</t>
  </si>
  <si>
    <t>Mitigation_Industry row 174 x Data_EF G / 1e6</t>
  </si>
  <si>
    <t>Mitigation_Industry row 175 x Data_EF G / 1e6</t>
  </si>
  <si>
    <t>Mitigation_Industry row 176 x Data_EF G / 1e6</t>
  </si>
  <si>
    <t>Mitigation_Industry row 177 x Data_EF G / 1e6</t>
  </si>
  <si>
    <t>Mitigation_Industry row 178 x Data_EF G / 1e6</t>
  </si>
  <si>
    <t>Mitigation_Industry row 179 x Data_EF G / 1e6</t>
  </si>
  <si>
    <t>Mitigation_Industry row 180 x Data_EF G / 1e6</t>
  </si>
  <si>
    <t>Mitigation_Industry row 181 x Data_EF G / 1e6</t>
  </si>
  <si>
    <t>Mitigation_Industry row 182 x Data_EF G / 1e6</t>
  </si>
  <si>
    <t>Mitigation_Industry row 234 x Data_EF G / 1e6</t>
  </si>
  <si>
    <t>Mitigation_Industry row 235 x Data_EF G / 1e6</t>
  </si>
  <si>
    <t>Mitigation_Industry row 236 x Data_EF G / 1e6</t>
  </si>
  <si>
    <t>Mitigation_Industry row 237 x Data_EF G / 1e6</t>
  </si>
  <si>
    <t>Mitigation_Industry row 238 x Data_EF G / 1e6</t>
  </si>
  <si>
    <t>Mitigation_Industry row 239 x Data_EF G / 1e6</t>
  </si>
  <si>
    <t>Mitigation_Industry row 240 x Data_EF G / 1e6</t>
  </si>
  <si>
    <t>Mitigation_Industry row 241 x Data_EF G / 1e6</t>
  </si>
  <si>
    <t>Mitigation_Industry row 242 x Data_EF G / 1e6</t>
  </si>
  <si>
    <t>Energy CO2 - Carbon tax (policy scenario) (scenario 2), MtCO2; energy from Mitigation_Industry rows 404-642</t>
  </si>
  <si>
    <t>Mitigation_Industry row 453 x Data_EF G / 1e6</t>
  </si>
  <si>
    <t>Mitigation_Industry row 454 x Data_EF G / 1e6</t>
  </si>
  <si>
    <t>Mitigation_Industry row 455 x Data_EF G / 1e6</t>
  </si>
  <si>
    <t>Mitigation_Industry row 456 x Data_EF G / 1e6</t>
  </si>
  <si>
    <t>Mitigation_Industry row 457 x Data_EF G / 1e6</t>
  </si>
  <si>
    <t>Mitigation_Industry row 458 x Data_EF G / 1e6</t>
  </si>
  <si>
    <t>Mitigation_Industry row 459 x Data_EF G / 1e6</t>
  </si>
  <si>
    <t>Mitigation_Industry row 460 x Data_EF G / 1e6</t>
  </si>
  <si>
    <t>Mitigation_Industry row 461 x Data_EF G / 1e6</t>
  </si>
  <si>
    <t>Mitigation_Industry row 513 x Data_EF G / 1e6</t>
  </si>
  <si>
    <t>Mitigation_Industry row 514 x Data_EF G / 1e6</t>
  </si>
  <si>
    <t>Mitigation_Industry row 515 x Data_EF G / 1e6</t>
  </si>
  <si>
    <t>Mitigation_Industry row 516 x Data_EF G / 1e6</t>
  </si>
  <si>
    <t>Mitigation_Industry row 517 x Data_EF G / 1e6</t>
  </si>
  <si>
    <t>Mitigation_Industry row 518 x Data_EF G / 1e6</t>
  </si>
  <si>
    <t>Mitigation_Industry row 519 x Data_EF G / 1e6</t>
  </si>
  <si>
    <t>Mitigation_Industry row 520 x Data_EF G / 1e6</t>
  </si>
  <si>
    <t>Mitigation_Industry row 521 x Data_EF G / 1e6</t>
  </si>
  <si>
    <t>Mitigation_Industry row 573 x Data_EF G / 1e6</t>
  </si>
  <si>
    <t>Mitigation_Industry row 574 x Data_EF G / 1e6</t>
  </si>
  <si>
    <t>Mitigation_Industry row 575 x Data_EF G / 1e6</t>
  </si>
  <si>
    <t>Mitigation_Industry row 576 x Data_EF G / 1e6</t>
  </si>
  <si>
    <t>Mitigation_Industry row 577 x Data_EF G / 1e6</t>
  </si>
  <si>
    <t>Mitigation_Industry row 578 x Data_EF G / 1e6</t>
  </si>
  <si>
    <t>Mitigation_Industry row 579 x Data_EF G / 1e6</t>
  </si>
  <si>
    <t>Mitigation_Industry row 580 x Data_EF G / 1e6</t>
  </si>
  <si>
    <t>Mitigation_Industry row 581 x Data_EF G / 1e6</t>
  </si>
  <si>
    <t>Mitigation_Industry row 633 x Data_EF G / 1e6</t>
  </si>
  <si>
    <t>Mitigation_Industry row 634 x Data_EF G / 1e6</t>
  </si>
  <si>
    <t>Mitigation_Industry row 635 x Data_EF G / 1e6</t>
  </si>
  <si>
    <t>Mitigation_Industry row 636 x Data_EF G / 1e6</t>
  </si>
  <si>
    <t>Mitigation_Industry row 637 x Data_EF G / 1e6</t>
  </si>
  <si>
    <t>Mitigation_Industry row 638 x Data_EF G / 1e6</t>
  </si>
  <si>
    <t>Mitigation_Industry row 639 x Data_EF G / 1e6</t>
  </si>
  <si>
    <t>Mitigation_Industry row 640 x Data_EF G / 1e6</t>
  </si>
  <si>
    <t>Mitigation_Industry row 641 x Data_EF G / 1e6</t>
  </si>
  <si>
    <t>Task F (stream 2, v0.7branch_Stream2_v1): energy CO2 codes egy.mit.eco2.&lt;sector&gt;.&lt;fuel&gt;.e.&lt;s&gt; and .tot (sheet Emissions_Industry, MtCO2, rows 5-51 scenario 1 and 56-102 scenario 2) = ener x EF; EF codes egy.mit.efc.&lt;fuel&gt; (sheet Data_EF, tCO2/ktoe = IIASA tCO2/GJ x 41868 x CPAT inventory adjustment 0.92962; bio and ren = 0).</t>
  </si>
  <si>
    <t>Task F (Stream2 v1): energy CO2 by sector and fuel (expected 0)</t>
  </si>
  <si>
    <t>rel. to max |CPAT|</t>
  </si>
  <si>
    <t>eco2 total - sum of fuel rows (irn, Emissions_Industry row 15)</t>
  </si>
  <si>
    <t>eco2 total - sum of fuel rows (cem, Emissions_Industry row 27)</t>
  </si>
  <si>
    <t>eco2 total - sum of fuel rows (nfm, Emissions_Industry row 39)</t>
  </si>
  <si>
    <t>eco2 total - sum of fuel rows (mch, Emissions_Industry row 51)</t>
  </si>
  <si>
    <t>eco2 total - sum of fuel rows (irn, Emissions_Industry row 66)</t>
  </si>
  <si>
    <t>eco2 total - sum of fuel rows (cem, Emissions_Industry row 78)</t>
  </si>
  <si>
    <t>eco2 total - sum of fuel rows (nfm, Emissions_Industry row 90)</t>
  </si>
  <si>
    <t>eco2 total - sum of fuel rows (mch, Emissions_Industry row 102)</t>
  </si>
  <si>
    <t>Data_EF EF used - CPAT EF used (tCO2/ktoe; Mitigation rows 6516-6552 col B), max over fuels</t>
  </si>
  <si>
    <t>egy.mit.co2.ind.irn.1</t>
  </si>
  <si>
    <t>CPAT_1_0pre_456 Mitigation row 6572, mt.CO2</t>
  </si>
  <si>
    <t>egy.mit.eco2.irn.tot.e.1</t>
  </si>
  <si>
    <t>egy.mit.co2.ind.cem.1</t>
  </si>
  <si>
    <t>CPAT_1_0pre_456 Mitigation row 6575, mt.CO2</t>
  </si>
  <si>
    <t>egy.mit.eco2.cem.tot.e.1</t>
  </si>
  <si>
    <t>egy.mit.co2.ind.nfm.1</t>
  </si>
  <si>
    <t>CPAT_1_0pre_456 Mitigation row 6573, mt.CO2</t>
  </si>
  <si>
    <t>egy.mit.eco2.nfm.tot.e.1</t>
  </si>
  <si>
    <t>egy.mit.co2.ind.mch.1</t>
  </si>
  <si>
    <t>CPAT_1_0pre_456 Mitigation row 6571, mt.CO2</t>
  </si>
  <si>
    <t>egy.mit.eco2.mch.tot.e.1</t>
  </si>
  <si>
    <t>Scenario 2 eco2 &gt; scenario 1 eco2 while explicit carbon price (block o1, row 645) &gt; 0 (count of fuel-years, irn)</t>
  </si>
  <si>
    <t>count</t>
  </si>
  <si>
    <t>Scenario 2 eco2 &gt; scenario 1 eco2 while explicit carbon price (block o1, row 645) &gt; 0 (count of fuel-years, cem)</t>
  </si>
  <si>
    <t>Scenario 2 eco2 &gt; scenario 1 eco2 while explicit carbon price (block o1, row 645) &gt; 0 (count of fuel-years, nfm)</t>
  </si>
  <si>
    <t>Scenario 2 eco2 &gt; scenario 1 eco2 while explicit carbon price (block o1, row 645) &gt; 0 (count of fuel-years, mch)</t>
  </si>
  <si>
    <t>Max |identity| and violation counts (Task F)</t>
  </si>
  <si>
    <t>Note: the CPAT comparison is exact only if the baseline ener rows match CPAT (Check!F2 = 0); energy CO2 here is combustion CO2 only (no process emissions, Task G).</t>
  </si>
  <si>
    <t>v0.7branch_Stream2_v1</t>
  </si>
  <si>
    <t>Task F (Stream 2, branched from v0.7): energy CO2 by sector x fuel x scenario. NEW SHEETS ONLY: Data_EF (after Data_Elast; IIASA industry fuel EFs from CPAT_1_0pre_456 Mitigation rows 1001-1009 x 41868 GJ/ktoe x inventory adjustment 0.92962 (row 977, applied while MTInputs EFsAdjustmentNonAnnexI = Yes); codes egy.mit.efc.&lt;fuel&gt;, tCO2/ktoe; bio and ren = 0 as in CPAT) and Emissions_Industry (after Mitigation_Industry; same columns/years; eco2 = ener x EF / 1e6, MtCO2; codes egy.mit.eco2.&lt;sector&gt;.&lt;fuel&gt;.e.&lt;s&gt; and .tot; scenario 1 rows 5-51, scenario 2 rows 56-102). Chosen because Mitigation_Industry has no spare rows after the sector sections (single blank separators) and the CBAM spare rows are used by Stream 1; references into Mitigation_Industry are by cell (ener rows h+49..h+58 for headers 5/65/125/185 and 404/464/524/584). Merge = add the two sheets, this row, the Check section, the Scenarios note, MTInputs green on rows EmissionsFactCO2 / EFsAdjustmentNonAnnexI, and Data_EF / Emissions_Industry entries in the Sheets list above (not inserted here to keep row 25 fixed). No existing value changes. IPPU/process reconciliation is Task G.</t>
  </si>
  <si>
    <t>Mitigation Module - Egypt: Industry kernel - output-based rebating (Task I, Stream 2): rebate per t = MIN(obrrb x EU benchmark, carbon cost per t); net fuel price atpn = atp - (atp - ptp) x sector rebate share feeds the Mitigation_Industry ener USAGE term; shp (efficiency term) and the block process ER keep the full price</t>
  </si>
  <si>
    <t>Output-based rebate - Baseline (scenario 1); CBAM block rows 245-400, kernel rows 5-243</t>
  </si>
  <si>
    <t>policy</t>
  </si>
  <si>
    <t>Output-based rebate share theta (active bundle)</t>
  </si>
  <si>
    <t>Data_Prices (Scenarios section 4)</t>
  </si>
  <si>
    <t>Output-based rebate per t at benchmark = theta x cptraj</t>
  </si>
  <si>
    <t>Data_Prices = CBAM block o6 (row 251); ETS not included (Task E)</t>
  </si>
  <si>
    <t>obrbm</t>
  </si>
  <si>
    <t>DRI-EAF steel: EU product benchmark</t>
  </si>
  <si>
    <t>tCO2/t</t>
  </si>
  <si>
    <t>CBAM block column Z rows o19-o26 (Manual inputs Z30:Z37)</t>
  </si>
  <si>
    <t>Scrap-EAF steel: EU product benchmark</t>
  </si>
  <si>
    <t>BOF steel: EU product benchmark</t>
  </si>
  <si>
    <t>Clinker / cement: EU product benchmark</t>
  </si>
  <si>
    <t>Ammonia: EU product benchmark</t>
  </si>
  <si>
    <t>Urea: EU product benchmark</t>
  </si>
  <si>
    <t>Ammonium nitrate: EU product benchmark</t>
  </si>
  <si>
    <t>Primary aluminium: EU product benchmark</t>
  </si>
  <si>
    <t>ccpt</t>
  </si>
  <si>
    <t>DRI-EAF steel: Full carbon cost per t = fuel + process price increase</t>
  </si>
  <si>
    <t>$/t</t>
  </si>
  <si>
    <t>CBAM block o54 + o65</t>
  </si>
  <si>
    <t>Scrap-EAF steel: Full carbon cost per t = fuel + process price increase</t>
  </si>
  <si>
    <t>BOF steel: Full carbon cost per t = fuel + process price increase</t>
  </si>
  <si>
    <t>Clinker / cement: Full carbon cost per t = fuel + process price increase</t>
  </si>
  <si>
    <t>Ammonia: Full carbon cost per t = fuel + process price increase</t>
  </si>
  <si>
    <t>Urea: Full carbon cost per t = fuel + process price increase</t>
  </si>
  <si>
    <t>Ammonium nitrate: Full carbon cost per t = fuel + process price increase</t>
  </si>
  <si>
    <t>Primary aluminium: Full carbon cost per t = fuel + process price increase</t>
  </si>
  <si>
    <t>obrpu</t>
  </si>
  <si>
    <t>DRI-EAF steel: Rebate per t uncapped = obrrb x benchmark</t>
  </si>
  <si>
    <t>memo</t>
  </si>
  <si>
    <t>Scrap-EAF steel: Rebate per t uncapped = obrrb x benchmark</t>
  </si>
  <si>
    <t>BOF steel: Rebate per t uncapped = obrrb x benchmark</t>
  </si>
  <si>
    <t>Clinker / cement: Rebate per t uncapped = obrrb x benchmark</t>
  </si>
  <si>
    <t>Ammonia: Rebate per t uncapped = obrrb x benchmark</t>
  </si>
  <si>
    <t>Urea: Rebate per t uncapped = obrrb x benchmark</t>
  </si>
  <si>
    <t>Ammonium nitrate: Rebate per t uncapped = obrrb x benchmark</t>
  </si>
  <si>
    <t>Primary aluminium: Rebate per t uncapped = obrrb x benchmark</t>
  </si>
  <si>
    <t>obrpt</t>
  </si>
  <si>
    <t>DRI-EAF steel: Rebate per t used = MIN(uncapped, full carbon cost)</t>
  </si>
  <si>
    <t>cap keeps the net price &gt;= pre-tax price (binding when benchmark &gt; priced intensity, e.g. urea)</t>
  </si>
  <si>
    <t>Scrap-EAF steel: Rebate per t used = MIN(uncapped, full carbon cost)</t>
  </si>
  <si>
    <t>BOF steel: Rebate per t used = MIN(uncapped, full carbon cost)</t>
  </si>
  <si>
    <t>Clinker / cement: Rebate per t used = MIN(uncapped, full carbon cost)</t>
  </si>
  <si>
    <t>Ammonia: Rebate per t used = MIN(uncapped, full carbon cost)</t>
  </si>
  <si>
    <t>Urea: Rebate per t used = MIN(uncapped, full carbon cost)</t>
  </si>
  <si>
    <t>Ammonium nitrate: Rebate per t used = MIN(uncapped, full carbon cost)</t>
  </si>
  <si>
    <t>Primary aluminium: Rebate per t used = MIN(uncapped, full carbon cost)</t>
  </si>
  <si>
    <t>ccnet</t>
  </si>
  <si>
    <t>DRI-EAF steel: Net carbon cost per t = full cost - rebate</t>
  </si>
  <si>
    <t>Scrap-EAF steel: Net carbon cost per t = full cost - rebate</t>
  </si>
  <si>
    <t>BOF steel: Net carbon cost per t = full cost - rebate</t>
  </si>
  <si>
    <t>Clinker / cement: Net carbon cost per t = full cost - rebate</t>
  </si>
  <si>
    <t>Ammonia: Net carbon cost per t = full cost - rebate</t>
  </si>
  <si>
    <t>Urea: Net carbon cost per t = full cost - rebate</t>
  </si>
  <si>
    <t>Ammonium nitrate: Net carbon cost per t = full cost - rebate</t>
  </si>
  <si>
    <t>Primary aluminium: Net carbon cost per t = full cost - rebate</t>
  </si>
  <si>
    <t>ppin</t>
  </si>
  <si>
    <t>DRI-EAF steel: Net product price increase share (TASK H HOOK: wire into output)</t>
  </si>
  <si>
    <t>net cost / product price (CBAM block o43, USD/t)</t>
  </si>
  <si>
    <t>Scrap-EAF steel: Net product price increase share (TASK H HOOK: wire into output)</t>
  </si>
  <si>
    <t>BOF steel: Net product price increase share (TASK H HOOK: wire into output)</t>
  </si>
  <si>
    <t>Clinker / cement: Net product price increase share (TASK H HOOK: wire into output)</t>
  </si>
  <si>
    <t>Ammonia: Net product price increase share (TASK H HOOK: wire into output)</t>
  </si>
  <si>
    <t>Urea: Net product price increase share (TASK H HOOK: wire into output)</t>
  </si>
  <si>
    <t>Ammonium nitrate: Net product price increase share (TASK H HOOK: wire into output)</t>
  </si>
  <si>
    <t>Primary aluminium: Net product price increase share (TASK H HOOK: wire into output)</t>
  </si>
  <si>
    <t>obr</t>
  </si>
  <si>
    <t>DRI-EAF steel: Rebate cost = rebate per t x production / 1000</t>
  </si>
  <si>
    <t>production kt: CBAM block o31-o38</t>
  </si>
  <si>
    <t>Scrap-EAF steel: Rebate cost = rebate per t x production / 1000</t>
  </si>
  <si>
    <t>BOF steel: Rebate cost = rebate per t x production / 1000</t>
  </si>
  <si>
    <t>Clinker / cement: Rebate cost = rebate per t x production / 1000</t>
  </si>
  <si>
    <t>Ammonia: Rebate cost = rebate per t x production / 1000</t>
  </si>
  <si>
    <t>Urea: Rebate cost = rebate per t x production / 1000</t>
  </si>
  <si>
    <t>Ammonium nitrate: Rebate cost = rebate per t x production / 1000</t>
  </si>
  <si>
    <t>Primary aluminium: Rebate cost = rebate per t x production / 1000</t>
  </si>
  <si>
    <t>Total rebate cost, CBAM products</t>
  </si>
  <si>
    <t>Sector rebate = sum of product rebate costs</t>
  </si>
  <si>
    <t>products: stl.drg, stl.scr, stl.bof</t>
  </si>
  <si>
    <t>Sector carbon-cost base = sum of full cost per t x production / 1000</t>
  </si>
  <si>
    <t>ccf</t>
  </si>
  <si>
    <t>Sector rebate share rsh = MIN(1, rebate / carbon-cost base)</t>
  </si>
  <si>
    <t>rsh</t>
  </si>
  <si>
    <t>applied to the kernel fuel carbon wedge (atp - ptp)</t>
  </si>
  <si>
    <t>Coal: net post-tax price = atp - (atp - ptp) x rsh</t>
  </si>
  <si>
    <t>atpn</t>
  </si>
  <si>
    <t>read by the ener usage term, Mitigation_Industry row 54</t>
  </si>
  <si>
    <t>Natural gas: net post-tax price = atp - (atp - ptp) x rsh</t>
  </si>
  <si>
    <t>read by the ener usage term, Mitigation_Industry row 55</t>
  </si>
  <si>
    <t>Gasoline: net post-tax price = atp - (atp - ptp) x rsh</t>
  </si>
  <si>
    <t>read by the ener usage term, Mitigation_Industry row 56</t>
  </si>
  <si>
    <t>Diesel: net post-tax price = atp - (atp - ptp) x rsh</t>
  </si>
  <si>
    <t>read by the ener usage term, Mitigation_Industry row 57</t>
  </si>
  <si>
    <t>LPG: net post-tax price = atp - (atp - ptp) x rsh</t>
  </si>
  <si>
    <t>read by the ener usage term, Mitigation_Industry row 58</t>
  </si>
  <si>
    <t>Kerosene: net post-tax price = atp - (atp - ptp) x rsh</t>
  </si>
  <si>
    <t>read by the ener usage term, Mitigation_Industry row 59</t>
  </si>
  <si>
    <t>Other oil products: net post-tax price = atp - (atp - ptp) x rsh</t>
  </si>
  <si>
    <t>read by the ener usage term, Mitigation_Industry row 60</t>
  </si>
  <si>
    <t>Biomass: net post-tax price = atp - (atp - ptp) x rsh</t>
  </si>
  <si>
    <t>read by the ener usage term, Mitigation_Industry row 61</t>
  </si>
  <si>
    <t>Self-generated renewables: net post-tax price = atp - (atp - ptp) x rsh</t>
  </si>
  <si>
    <t>read by the ener usage term, Mitigation_Industry row 62</t>
  </si>
  <si>
    <t>products: cmt.dry</t>
  </si>
  <si>
    <t>read by the ener usage term, Mitigation_Industry row 114</t>
  </si>
  <si>
    <t>read by the ener usage term, Mitigation_Industry row 115</t>
  </si>
  <si>
    <t>read by the ener usage term, Mitigation_Industry row 116</t>
  </si>
  <si>
    <t>read by the ener usage term, Mitigation_Industry row 117</t>
  </si>
  <si>
    <t>read by the ener usage term, Mitigation_Industry row 118</t>
  </si>
  <si>
    <t>read by the ener usage term, Mitigation_Industry row 119</t>
  </si>
  <si>
    <t>read by the ener usage term, Mitigation_Industry row 120</t>
  </si>
  <si>
    <t>read by the ener usage term, Mitigation_Industry row 121</t>
  </si>
  <si>
    <t>read by the ener usage term, Mitigation_Industry row 122</t>
  </si>
  <si>
    <t>products: alu.prp</t>
  </si>
  <si>
    <t>read by the ener usage term, Mitigation_Industry row 174</t>
  </si>
  <si>
    <t>read by the ener usage term, Mitigation_Industry row 175</t>
  </si>
  <si>
    <t>read by the ener usage term, Mitigation_Industry row 176</t>
  </si>
  <si>
    <t>read by the ener usage term, Mitigation_Industry row 177</t>
  </si>
  <si>
    <t>read by the ener usage term, Mitigation_Industry row 178</t>
  </si>
  <si>
    <t>read by the ener usage term, Mitigation_Industry row 179</t>
  </si>
  <si>
    <t>read by the ener usage term, Mitigation_Industry row 180</t>
  </si>
  <si>
    <t>read by the ener usage term, Mitigation_Industry row 181</t>
  </si>
  <si>
    <t>read by the ener usage term, Mitigation_Industry row 182</t>
  </si>
  <si>
    <t>products: frt.amc, frt.ure, frt.nit</t>
  </si>
  <si>
    <t>read by the ener usage term, Mitigation_Industry row 234</t>
  </si>
  <si>
    <t>read by the ener usage term, Mitigation_Industry row 235</t>
  </si>
  <si>
    <t>read by the ener usage term, Mitigation_Industry row 236</t>
  </si>
  <si>
    <t>read by the ener usage term, Mitigation_Industry row 237</t>
  </si>
  <si>
    <t>read by the ener usage term, Mitigation_Industry row 238</t>
  </si>
  <si>
    <t>read by the ener usage term, Mitigation_Industry row 239</t>
  </si>
  <si>
    <t>read by the ener usage term, Mitigation_Industry row 240</t>
  </si>
  <si>
    <t>read by the ener usage term, Mitigation_Industry row 241</t>
  </si>
  <si>
    <t>read by the ener usage term, Mitigation_Industry row 242</t>
  </si>
  <si>
    <t>revenue</t>
  </si>
  <si>
    <t>Total revenues (CBAM block o155)</t>
  </si>
  <si>
    <t>rev</t>
  </si>
  <si>
    <t>link to egy.mit.rev.cbam.tot.1 (Mitigation_Industry row 400)</t>
  </si>
  <si>
    <t>Total rebate cost</t>
  </si>
  <si>
    <t>Net revenue = total revenues - rebate cost</t>
  </si>
  <si>
    <t>revnet</t>
  </si>
  <si>
    <t>Output-based rebate - Policy (scenario 2); CBAM block rows 644-799, kernel rows 404-642</t>
  </si>
  <si>
    <t>Data_Prices = CBAM block o6 (row 650); ETS not included (Task E)</t>
  </si>
  <si>
    <t>read by the ener usage term, Mitigation_Industry row 453</t>
  </si>
  <si>
    <t>read by the ener usage term, Mitigation_Industry row 454</t>
  </si>
  <si>
    <t>read by the ener usage term, Mitigation_Industry row 455</t>
  </si>
  <si>
    <t>read by the ener usage term, Mitigation_Industry row 456</t>
  </si>
  <si>
    <t>read by the ener usage term, Mitigation_Industry row 457</t>
  </si>
  <si>
    <t>read by the ener usage term, Mitigation_Industry row 458</t>
  </si>
  <si>
    <t>read by the ener usage term, Mitigation_Industry row 459</t>
  </si>
  <si>
    <t>read by the ener usage term, Mitigation_Industry row 460</t>
  </si>
  <si>
    <t>read by the ener usage term, Mitigation_Industry row 461</t>
  </si>
  <si>
    <t>read by the ener usage term, Mitigation_Industry row 513</t>
  </si>
  <si>
    <t>read by the ener usage term, Mitigation_Industry row 514</t>
  </si>
  <si>
    <t>read by the ener usage term, Mitigation_Industry row 515</t>
  </si>
  <si>
    <t>read by the ener usage term, Mitigation_Industry row 516</t>
  </si>
  <si>
    <t>read by the ener usage term, Mitigation_Industry row 517</t>
  </si>
  <si>
    <t>read by the ener usage term, Mitigation_Industry row 518</t>
  </si>
  <si>
    <t>read by the ener usage term, Mitigation_Industry row 519</t>
  </si>
  <si>
    <t>read by the ener usage term, Mitigation_Industry row 520</t>
  </si>
  <si>
    <t>read by the ener usage term, Mitigation_Industry row 521</t>
  </si>
  <si>
    <t>read by the ener usage term, Mitigation_Industry row 573</t>
  </si>
  <si>
    <t>read by the ener usage term, Mitigation_Industry row 574</t>
  </si>
  <si>
    <t>read by the ener usage term, Mitigation_Industry row 575</t>
  </si>
  <si>
    <t>read by the ener usage term, Mitigation_Industry row 576</t>
  </si>
  <si>
    <t>read by the ener usage term, Mitigation_Industry row 577</t>
  </si>
  <si>
    <t>read by the ener usage term, Mitigation_Industry row 578</t>
  </si>
  <si>
    <t>read by the ener usage term, Mitigation_Industry row 579</t>
  </si>
  <si>
    <t>read by the ener usage term, Mitigation_Industry row 580</t>
  </si>
  <si>
    <t>read by the ener usage term, Mitigation_Industry row 581</t>
  </si>
  <si>
    <t>read by the ener usage term, Mitigation_Industry row 633</t>
  </si>
  <si>
    <t>read by the ener usage term, Mitigation_Industry row 634</t>
  </si>
  <si>
    <t>read by the ener usage term, Mitigation_Industry row 635</t>
  </si>
  <si>
    <t>read by the ener usage term, Mitigation_Industry row 636</t>
  </si>
  <si>
    <t>read by the ener usage term, Mitigation_Industry row 637</t>
  </si>
  <si>
    <t>read by the ener usage term, Mitigation_Industry row 638</t>
  </si>
  <si>
    <t>read by the ener usage term, Mitigation_Industry row 639</t>
  </si>
  <si>
    <t>read by the ener usage term, Mitigation_Industry row 640</t>
  </si>
  <si>
    <t>read by the ener usage term, Mitigation_Industry row 641</t>
  </si>
  <si>
    <t>link to egy.mit.rev.cbam.tot.2 (Mitigation_Industry row 799)</t>
  </si>
  <si>
    <t>usage term reads net price Rebate_Industry row 84 (atpn, Task I); efficiency term shp</t>
  </si>
  <si>
    <t>usage term reads net price Rebate_Industry row 85 (atpn, Task I); efficiency term shp</t>
  </si>
  <si>
    <t>usage term reads net price Rebate_Industry row 86 (atpn, Task I); efficiency term shp</t>
  </si>
  <si>
    <t>usage term reads net price Rebate_Industry row 87 (atpn, Task I); efficiency term shp</t>
  </si>
  <si>
    <t>usage term reads net price Rebate_Industry row 88 (atpn, Task I); efficiency term shp</t>
  </si>
  <si>
    <t>usage term reads net price Rebate_Industry row 89 (atpn, Task I); efficiency term shp</t>
  </si>
  <si>
    <t>usage term reads net price Rebate_Industry row 90 (atpn, Task I); efficiency term shp</t>
  </si>
  <si>
    <t>usage term reads net price Rebate_Industry row 91 (atpn, Task I); efficiency term shp</t>
  </si>
  <si>
    <t>usage term reads net price Rebate_Industry row 92 (atpn, Task I); efficiency term shp</t>
  </si>
  <si>
    <t>usage term reads net price Rebate_Industry row 98 (atpn, Task I); efficiency term shp</t>
  </si>
  <si>
    <t>usage term reads net price Rebate_Industry row 99 (atpn, Task I); efficiency term shp</t>
  </si>
  <si>
    <t>usage term reads net price Rebate_Industry row 100 (atpn, Task I); efficiency term shp</t>
  </si>
  <si>
    <t>usage term reads net price Rebate_Industry row 101 (atpn, Task I); efficiency term shp</t>
  </si>
  <si>
    <t>usage term reads net price Rebate_Industry row 102 (atpn, Task I); efficiency term shp</t>
  </si>
  <si>
    <t>usage term reads net price Rebate_Industry row 103 (atpn, Task I); efficiency term shp</t>
  </si>
  <si>
    <t>usage term reads net price Rebate_Industry row 104 (atpn, Task I); efficiency term shp</t>
  </si>
  <si>
    <t>usage term reads net price Rebate_Industry row 105 (atpn, Task I); efficiency term shp</t>
  </si>
  <si>
    <t>usage term reads net price Rebate_Industry row 106 (atpn, Task I); efficiency term shp</t>
  </si>
  <si>
    <t>usage term reads net price Rebate_Industry row 112 (atpn, Task I); efficiency term shp</t>
  </si>
  <si>
    <t>usage term reads net price Rebate_Industry row 113 (atpn, Task I); efficiency term shp</t>
  </si>
  <si>
    <t>usage term reads net price Rebate_Industry row 114 (atpn, Task I); efficiency term shp</t>
  </si>
  <si>
    <t>usage term reads net price Rebate_Industry row 115 (atpn, Task I); efficiency term shp</t>
  </si>
  <si>
    <t>usage term reads net price Rebate_Industry row 116 (atpn, Task I); efficiency term shp</t>
  </si>
  <si>
    <t>usage term reads net price Rebate_Industry row 117 (atpn, Task I); efficiency term shp</t>
  </si>
  <si>
    <t>usage term reads net price Rebate_Industry row 118 (atpn, Task I); efficiency term shp</t>
  </si>
  <si>
    <t>usage term reads net price Rebate_Industry row 119 (atpn, Task I); efficiency term shp</t>
  </si>
  <si>
    <t>usage term reads net price Rebate_Industry row 120 (atpn, Task I); efficiency term shp</t>
  </si>
  <si>
    <t>usage term reads net price Rebate_Industry row 126 (atpn, Task I); efficiency term shp</t>
  </si>
  <si>
    <t>usage term reads net price Rebate_Industry row 127 (atpn, Task I); efficiency term shp</t>
  </si>
  <si>
    <t>usage term reads net price Rebate_Industry row 128 (atpn, Task I); efficiency term shp</t>
  </si>
  <si>
    <t>usage term reads net price Rebate_Industry row 129 (atpn, Task I); efficiency term shp</t>
  </si>
  <si>
    <t>usage term reads net price Rebate_Industry row 130 (atpn, Task I); efficiency term shp</t>
  </si>
  <si>
    <t>usage term reads net price Rebate_Industry row 131 (atpn, Task I); efficiency term shp</t>
  </si>
  <si>
    <t>usage term reads net price Rebate_Industry row 132 (atpn, Task I); efficiency term shp</t>
  </si>
  <si>
    <t>usage term reads net price Rebate_Industry row 133 (atpn, Task I); efficiency term shp</t>
  </si>
  <si>
    <t>usage term reads net price Rebate_Industry row 134 (atpn, Task I); efficiency term shp</t>
  </si>
  <si>
    <t>usage term reads net price Rebate_Industry row 223 (atpn, Task I); efficiency term shp</t>
  </si>
  <si>
    <t>usage term reads net price Rebate_Industry row 224 (atpn, Task I); efficiency term shp</t>
  </si>
  <si>
    <t>usage term reads net price Rebate_Industry row 225 (atpn, Task I); efficiency term shp</t>
  </si>
  <si>
    <t>usage term reads net price Rebate_Industry row 226 (atpn, Task I); efficiency term shp</t>
  </si>
  <si>
    <t>usage term reads net price Rebate_Industry row 227 (atpn, Task I); efficiency term shp</t>
  </si>
  <si>
    <t>usage term reads net price Rebate_Industry row 228 (atpn, Task I); efficiency term shp</t>
  </si>
  <si>
    <t>usage term reads net price Rebate_Industry row 229 (atpn, Task I); efficiency term shp</t>
  </si>
  <si>
    <t>usage term reads net price Rebate_Industry row 230 (atpn, Task I); efficiency term shp</t>
  </si>
  <si>
    <t>usage term reads net price Rebate_Industry row 231 (atpn, Task I); efficiency term shp</t>
  </si>
  <si>
    <t>usage term reads net price Rebate_Industry row 237 (atpn, Task I); efficiency term shp</t>
  </si>
  <si>
    <t>usage term reads net price Rebate_Industry row 238 (atpn, Task I); efficiency term shp</t>
  </si>
  <si>
    <t>usage term reads net price Rebate_Industry row 239 (atpn, Task I); efficiency term shp</t>
  </si>
  <si>
    <t>usage term reads net price Rebate_Industry row 240 (atpn, Task I); efficiency term shp</t>
  </si>
  <si>
    <t>usage term reads net price Rebate_Industry row 241 (atpn, Task I); efficiency term shp</t>
  </si>
  <si>
    <t>usage term reads net price Rebate_Industry row 242 (atpn, Task I); efficiency term shp</t>
  </si>
  <si>
    <t>usage term reads net price Rebate_Industry row 243 (atpn, Task I); efficiency term shp</t>
  </si>
  <si>
    <t>usage term reads net price Rebate_Industry row 244 (atpn, Task I); efficiency term shp</t>
  </si>
  <si>
    <t>usage term reads net price Rebate_Industry row 245 (atpn, Task I); efficiency term shp</t>
  </si>
  <si>
    <t>usage term reads net price Rebate_Industry row 251 (atpn, Task I); efficiency term shp</t>
  </si>
  <si>
    <t>usage term reads net price Rebate_Industry row 252 (atpn, Task I); efficiency term shp</t>
  </si>
  <si>
    <t>usage term reads net price Rebate_Industry row 253 (atpn, Task I); efficiency term shp</t>
  </si>
  <si>
    <t>usage term reads net price Rebate_Industry row 254 (atpn, Task I); efficiency term shp</t>
  </si>
  <si>
    <t>usage term reads net price Rebate_Industry row 255 (atpn, Task I); efficiency term shp</t>
  </si>
  <si>
    <t>usage term reads net price Rebate_Industry row 256 (atpn, Task I); efficiency term shp</t>
  </si>
  <si>
    <t>usage term reads net price Rebate_Industry row 257 (atpn, Task I); efficiency term shp</t>
  </si>
  <si>
    <t>usage term reads net price Rebate_Industry row 258 (atpn, Task I); efficiency term shp</t>
  </si>
  <si>
    <t>usage term reads net price Rebate_Industry row 259 (atpn, Task I); efficiency term shp</t>
  </si>
  <si>
    <t>usage term reads net price Rebate_Industry row 265 (atpn, Task I); efficiency term shp</t>
  </si>
  <si>
    <t>usage term reads net price Rebate_Industry row 266 (atpn, Task I); efficiency term shp</t>
  </si>
  <si>
    <t>usage term reads net price Rebate_Industry row 267 (atpn, Task I); efficiency term shp</t>
  </si>
  <si>
    <t>usage term reads net price Rebate_Industry row 268 (atpn, Task I); efficiency term shp</t>
  </si>
  <si>
    <t>usage term reads net price Rebate_Industry row 269 (atpn, Task I); efficiency term shp</t>
  </si>
  <si>
    <t>usage term reads net price Rebate_Industry row 270 (atpn, Task I); efficiency term shp</t>
  </si>
  <si>
    <t>usage term reads net price Rebate_Industry row 271 (atpn, Task I); efficiency term shp</t>
  </si>
  <si>
    <t>usage term reads net price Rebate_Industry row 272 (atpn, Task I); efficiency term shp</t>
  </si>
  <si>
    <t>usage term reads net price Rebate_Industry row 273 (atpn, Task I); efficiency term shp</t>
  </si>
  <si>
    <t>Stream 1 (H: output response; L: CBAM price deduction); Stream 2 (I: Rebate_Industry)</t>
  </si>
  <si>
    <t>CBAM block o6; Stream 1 (H, L); Stream 2 (I: Rebate_Industry)</t>
  </si>
  <si>
    <t>Task I (stream 2, v0.7branch_Stream2_v2): output-based rebate in sheet Rebate_Industry (scenario 1 rows 5-139, scenario 2 rows 144-278). Rebate per t = MIN(obrrb x EU benchmark, fuel + process carbon cost per t); sector rebate share rsh = rebate / carbon-cost base; net fuel price atpn = atp - (atp - ptp) x rsh replaces atp in the kernel ener USAGE term only (efficiency term shp and block process ER keep the full price). Codes egy.mit.atpn.&lt;sector&gt;.&lt;fuel&gt;.e.&lt;s&gt;, obr/ccf/rsh.ind.&lt;sector&gt;.&lt;s&gt;, obrbm/ccpt/obrpu/obrpt/ccnet/ppin/obr.&lt;prod&gt;.&lt;s&gt;, obr.cbam.tot.&lt;s&gt;, revnet.cbam.tot.&lt;s&gt;. ppin = net product price increase share = TASK H HOOK (production exogenous until Task H). Only bundles with theta &gt; 0 (3B) change.</t>
  </si>
  <si>
    <t>Task I (Stream2 v2): output-based rebating (identities expected 0, counts expected 0)</t>
  </si>
  <si>
    <t>max |diff| / count</t>
  </si>
  <si>
    <t>Rebate per t while obrsh = 0: sum |obrpt| x (obrsh = 0), all products</t>
  </si>
  <si>
    <t>Net carbon cost per t &lt; 0 or &gt; full carbon cost (count, all products)</t>
  </si>
  <si>
    <t>Net price atpn &gt; atp (full price) or atpn &lt; ptp (pre-tax) (count of fuel-years, irn)</t>
  </si>
  <si>
    <t>Net price atpn &gt; atp (full price) or atpn &lt; ptp (pre-tax) (count of fuel-years, cem)</t>
  </si>
  <si>
    <t>Net price atpn &gt; atp (full price) or atpn &lt; ptp (pre-tax) (count of fuel-years, nfm)</t>
  </si>
  <si>
    <t>Net price atpn &gt; atp (full price) or atpn &lt; ptp (pre-tax) (count of fuel-years, mch)</t>
  </si>
  <si>
    <t>Sector rebate share rsh outside [0,1] (count, 4 sectors)</t>
  </si>
  <si>
    <t>Total rebate cost - sum of product rebate rows</t>
  </si>
  <si>
    <t>Total rebate cost - sum of sector rebate rows</t>
  </si>
  <si>
    <t>Net revenue - (total revenues - total rebate cost)</t>
  </si>
  <si>
    <t>ener total scenario 1 (irn) - v1 (baseline, bundle-independent)</t>
  </si>
  <si>
    <t>ener total scenario 1 (cem) - v1 (baseline, bundle-independent)</t>
  </si>
  <si>
    <t>ener total scenario 1 (nfm) - v1 (baseline, bundle-independent)</t>
  </si>
  <si>
    <t>ener total scenario 1 (mch) - v1 (baseline, bundle-independent)</t>
  </si>
  <si>
    <t>ener total scenario 2 (irn) below v1 while theta &gt; 0 (count of years; the rebate can only raise energy use)</t>
  </si>
  <si>
    <t>ener total scenario 2 (cem) below v1 while theta &gt; 0 (count of years; the rebate can only raise energy use)</t>
  </si>
  <si>
    <t>ener total scenario 2 (nfm) below v1 while theta &gt; 0 (count of years; the rebate can only raise energy use)</t>
  </si>
  <si>
    <t>ener total scenario 2 (mch) below v1 while theta &gt; 0 (count of years; the rebate can only raise energy use)</t>
  </si>
  <si>
    <t>INFO: ener total scenario 2 (irn) - v1 for the active bundle (rebate effect, ktoe)</t>
  </si>
  <si>
    <t>info</t>
  </si>
  <si>
    <t>INFO: ener total scenario 2 (cem) - v1 for the active bundle (rebate effect, ktoe)</t>
  </si>
  <si>
    <t>INFO: ener total scenario 2 (nfm) - v1 for the active bundle (rebate effect, ktoe)</t>
  </si>
  <si>
    <t>INFO: ener total scenario 2 (mch) - v1 for the active bundle (rebate effect, ktoe)</t>
  </si>
  <si>
    <t>INFO: total rebate cost scenario 2 (USD million)</t>
  </si>
  <si>
    <t>INFO: net revenue scenario 2 (USD million)</t>
  </si>
  <si>
    <t>INFO: sector rebate share rsh scenario 2 (irn)</t>
  </si>
  <si>
    <t>INFO: sector rebate share rsh scenario 2 (cem)</t>
  </si>
  <si>
    <t>INFO: sector rebate share rsh scenario 2 (nfm)</t>
  </si>
  <si>
    <t>INFO: sector rebate share rsh scenario 2 (mch)</t>
  </si>
  <si>
    <t>Note: for every bundle with theta = 0 (all but 3B) all kernel values equal v1 (atpn = atp exactly); for 3B the rebate lowers the net price in the ener usage term so energy use is &gt;= v1 (INFO rows). The efficiency-term price (shp) is unchanged for all bundles. Production is exogenous until Task H.</t>
  </si>
  <si>
    <t>Stored v1 values (CPAT_Industry_Kernel_Egypt_v0.7branch_Stream2_v1, computed per bundle by looping Settings!B10 before the Task I changes); key = v1:&lt;var&gt;:&lt;scenario&gt;:&lt;sector&gt;:&lt;bundle&gt;</t>
  </si>
  <si>
    <t>v1:ener:1:irn:</t>
  </si>
  <si>
    <t>v1 ener ktoe</t>
  </si>
  <si>
    <t>v1:ener:1:cem:</t>
  </si>
  <si>
    <t>v1:ener:1:nfm:</t>
  </si>
  <si>
    <t>v1:ener:1:mch:</t>
  </si>
  <si>
    <t>v1:ener:2:irn:LEGACY</t>
  </si>
  <si>
    <t>v1 ener ktoe (LEGACY)</t>
  </si>
  <si>
    <t>v1:ener:2:cem:LEGACY</t>
  </si>
  <si>
    <t>v1:ener:2:nfm:LEGACY</t>
  </si>
  <si>
    <t>v1:ener:2:mch:LEGACY</t>
  </si>
  <si>
    <t>v1:shp:2:irn:LEGACY</t>
  </si>
  <si>
    <t>sum</t>
  </si>
  <si>
    <t>v1 sum shp (LEGACY)</t>
  </si>
  <si>
    <t>v1:shp:2:cem:LEGACY</t>
  </si>
  <si>
    <t>v1:shp:2:nfm:LEGACY</t>
  </si>
  <si>
    <t>v1:shp:2:mch:LEGACY</t>
  </si>
  <si>
    <t>v1:ener:2:irn:1A</t>
  </si>
  <si>
    <t>v1 ener ktoe (1A)</t>
  </si>
  <si>
    <t>v1:ener:2:cem:1A</t>
  </si>
  <si>
    <t>v1:ener:2:nfm:1A</t>
  </si>
  <si>
    <t>v1:ener:2:mch:1A</t>
  </si>
  <si>
    <t>v1:shp:2:irn:1A</t>
  </si>
  <si>
    <t>v1 sum shp (1A)</t>
  </si>
  <si>
    <t>v1:shp:2:cem:1A</t>
  </si>
  <si>
    <t>v1:shp:2:nfm:1A</t>
  </si>
  <si>
    <t>v1:shp:2:mch:1A</t>
  </si>
  <si>
    <t>v1:ener:2:irn:2A</t>
  </si>
  <si>
    <t>v1 ener ktoe (2A)</t>
  </si>
  <si>
    <t>v1:ener:2:cem:2A</t>
  </si>
  <si>
    <t>v1:ener:2:nfm:2A</t>
  </si>
  <si>
    <t>v1:ener:2:mch:2A</t>
  </si>
  <si>
    <t>v1:shp:2:irn:2A</t>
  </si>
  <si>
    <t>v1 sum shp (2A)</t>
  </si>
  <si>
    <t>v1:shp:2:cem:2A</t>
  </si>
  <si>
    <t>v1:shp:2:nfm:2A</t>
  </si>
  <si>
    <t>v1:shp:2:mch:2A</t>
  </si>
  <si>
    <t>v1:ener:2:irn:2B</t>
  </si>
  <si>
    <t>v1 ener ktoe (2B)</t>
  </si>
  <si>
    <t>v1:ener:2:cem:2B</t>
  </si>
  <si>
    <t>v1:ener:2:nfm:2B</t>
  </si>
  <si>
    <t>v1:ener:2:mch:2B</t>
  </si>
  <si>
    <t>v1:shp:2:irn:2B</t>
  </si>
  <si>
    <t>v1 sum shp (2B)</t>
  </si>
  <si>
    <t>v1:shp:2:cem:2B</t>
  </si>
  <si>
    <t>v1:shp:2:nfm:2B</t>
  </si>
  <si>
    <t>v1:shp:2:mch:2B</t>
  </si>
  <si>
    <t>v1:ener:2:irn:3A</t>
  </si>
  <si>
    <t>v1 ener ktoe (3A)</t>
  </si>
  <si>
    <t>v1:ener:2:cem:3A</t>
  </si>
  <si>
    <t>v1:ener:2:nfm:3A</t>
  </si>
  <si>
    <t>v1:ener:2:mch:3A</t>
  </si>
  <si>
    <t>v1:shp:2:irn:3A</t>
  </si>
  <si>
    <t>v1 sum shp (3A)</t>
  </si>
  <si>
    <t>v1:shp:2:cem:3A</t>
  </si>
  <si>
    <t>v1:shp:2:nfm:3A</t>
  </si>
  <si>
    <t>v1:shp:2:mch:3A</t>
  </si>
  <si>
    <t>v1:ener:2:irn:3B</t>
  </si>
  <si>
    <t>v1 ener ktoe (3B)</t>
  </si>
  <si>
    <t>v1:ener:2:cem:3B</t>
  </si>
  <si>
    <t>v1:ener:2:nfm:3B</t>
  </si>
  <si>
    <t>v1:ener:2:mch:3B</t>
  </si>
  <si>
    <t>v1:shp:2:irn:3B</t>
  </si>
  <si>
    <t>v1 sum shp (3B)</t>
  </si>
  <si>
    <t>v1:shp:2:cem:3B</t>
  </si>
  <si>
    <t>v1:shp:2:nfm:3B</t>
  </si>
  <si>
    <t>v1:shp:2:mch:3B</t>
  </si>
  <si>
    <t>v1:ener:2:irn:3C</t>
  </si>
  <si>
    <t>v1 ener ktoe (3C)</t>
  </si>
  <si>
    <t>v1:ener:2:cem:3C</t>
  </si>
  <si>
    <t>v1:ener:2:nfm:3C</t>
  </si>
  <si>
    <t>v1:ener:2:mch:3C</t>
  </si>
  <si>
    <t>v1:shp:2:irn:3C</t>
  </si>
  <si>
    <t>v1 sum shp (3C)</t>
  </si>
  <si>
    <t>v1:shp:2:cem:3C</t>
  </si>
  <si>
    <t>v1:shp:2:nfm:3C</t>
  </si>
  <si>
    <t>v1:shp:2:mch:3C</t>
  </si>
  <si>
    <t>Max |identity| and violation counts (Task I)</t>
  </si>
  <si>
    <t>identities rows 1498-1529, counts rows 1530-1533</t>
  </si>
  <si>
    <t>v0.7branch_Stream2_v2</t>
  </si>
  <si>
    <t>Task I (Stream 2, from Stream2_v1): output-based rebating. NEW SHEET Rebate_Industry (after Emissions_Industry; Mitigation_Industry layout; scenario 1 rows 5-139, scenario 2 rows 144-278): per product rebate per t = MIN(obrrb x EU benchmark [block col Z, Manual inputs Z30:Z37], fuel + process price increase per t [block o54-o61 + o65-o72]) (cap keeps the net price &gt;= pre-tax price), net carbon cost per t, net product price increase share ppin (TASK H HOOK: wire into output; production is exogenous until Task H, so the output/usage effect acts only through the kernel energy usage term), rebate cost obr = rebate x production / 1000 (USD million) + total obr.cbam.tot; per sector rebate share rsh = MIN(1, sum rebate / sum carbon cost) and 9 net fuel prices atpn = atp - (atp - ptp) x rsh; net revenue revnet.cbam.tot = rev.cbam.tot - obr.cbam.tot. ONE FORMULA EDIT in Mitigation_Industry: the ener usage term IF(atp(t-1)&lt;=0,1,atp(t)/atp(t-1))^eU now reads the Rebate_Industry atpn row (1368 cells: columns M..AE of rows h+49..h+57 for headers 5/65/125/185 and 404/464/524/584, each asserted against the v1 R1C1 pattern first; column I note added); the efficiency term still reads shp (full price) and the block process-ER rows keep the full process price. MECHANISM CHOICE: explicit net-price rows rather than the shp/ssc wedge, because shp/ssc are separable per-fuel x per-sector series reserved for the Task J fund shadow price and carrying the rebate through them would require rewriting the atp rows; atp, shp, Data_Prices, Manual inputs and the CBAM block are untouched (block col Z benchmarks and o31-o38 / o43-o50 / o54-o61 / o65-o72 / o155 are now read). obrrb = theta x cptraj (Task E; ETS not included). Only bundle 3B (theta = 1) changes; LEGACY and every theta = 0 bundle reproduce v1 exactly (Check Task I section stores the v1 values per bundle; the build loops Settings!B10 over all bundles and asserts the section is 0). Merge = add the sheet, apply the same ener usage-term R1C1 edit, this row, the Check section, the Scenarios note and 'Read by' text; Sheets list above not extended (keeps row 25 fixed).</t>
  </si>
  <si>
    <t>Mitigation Module - Egypt: Industry kernel - use-of-funds model (Task J, Stream 2): fund F = phi x carbon revenue (pre-fund); fund shadow price s solves outlay(s) = F along the CBAM block semi-elasticity curves (sequential, after the carbon price); s -&gt; block o4 (fuel and process ER) and -&gt; kernel shp (efficiency term only) via Data_Prices shp/ssc</t>
  </si>
  <si>
    <t>Fund parameters (GREEN = manual input)</t>
  </si>
  <si>
    <t>Outlay rule: RATE = fund pays s $/t for all abatement (reverse-auction clearing price); COST = fund pays the abatement cost (area under the marginal cost curve)</t>
  </si>
  <si>
    <t>text</t>
  </si>
  <si>
    <t>RATE</t>
  </si>
  <si>
    <t>Cap on the fund shadow price s (binding cap -&gt; part of the fund stays unspent)</t>
  </si>
  <si>
    <t>ssc_fund: share of s added to the kernel efficiency-term shadow price shp (Data_Prices egy.mit.ssc.&lt;sector&gt;.2); 1 = full s (kernel usage term never sees s)</t>
  </si>
  <si>
    <t>Newton iterations: 15 (explicit rows, no circular reference)</t>
  </si>
  <si>
    <t>Abatement fund - Baseline (scenario 1); CBAM block rows 245-400, kernel rows 5-243 - MEMO ONLY (baseline fundsh = 0; not wired to the block or the kernel)</t>
  </si>
  <si>
    <t>Fund share of carbon revenue phi (active bundle)</t>
  </si>
  <si>
    <t>Carbon price on energy CO2</t>
  </si>
  <si>
    <t>CBAM block o2 (row 247)</t>
  </si>
  <si>
    <t>ETS price</t>
  </si>
  <si>
    <t>CBAM block o3 (row 248)</t>
  </si>
  <si>
    <t>Carbon price on process CO2</t>
  </si>
  <si>
    <t>CBAM block o63 (row 308)</t>
  </si>
  <si>
    <t>pf</t>
  </si>
  <si>
    <t>Fuel-CO2 carbon price per t - DRI-EAF steel</t>
  </si>
  <si>
    <t>block o54-o61 col F/G x o2/o3</t>
  </si>
  <si>
    <t>Fuel-CO2 carbon price per t - Scrap-EAF steel</t>
  </si>
  <si>
    <t>Fuel-CO2 carbon price per t - BOF steel</t>
  </si>
  <si>
    <t>Fuel-CO2 carbon price per t - Clinker / cement</t>
  </si>
  <si>
    <t>Fuel-CO2 carbon price per t - Ammonia</t>
  </si>
  <si>
    <t>Fuel-CO2 carbon price per t - Urea</t>
  </si>
  <si>
    <t>Fuel-CO2 carbon price per t - Ammonium nitrate</t>
  </si>
  <si>
    <t>Fuel-CO2 carbon price per t - Primary aluminium</t>
  </si>
  <si>
    <t>pp</t>
  </si>
  <si>
    <t>Process-CO2 carbon price per t - DRI-EAF steel</t>
  </si>
  <si>
    <t>block o65-o72 col F/G x o63/o3</t>
  </si>
  <si>
    <t>Process-CO2 carbon price per t - Scrap-EAF steel</t>
  </si>
  <si>
    <t>Process-CO2 carbon price per t - BOF steel</t>
  </si>
  <si>
    <t>Process-CO2 carbon price per t - Clinker / cement</t>
  </si>
  <si>
    <t>Process-CO2 carbon price per t - Ammonia</t>
  </si>
  <si>
    <t>Process-CO2 carbon price per t - Urea</t>
  </si>
  <si>
    <t>Process-CO2 carbon price per t - Ammonium nitrate</t>
  </si>
  <si>
    <t>Process-CO2 carbon price per t - Primary aluminium</t>
  </si>
  <si>
    <t>wf</t>
  </si>
  <si>
    <t>Fuel CO2 abatement base - DRI-EAF steel</t>
  </si>
  <si>
    <t>block o85-o92</t>
  </si>
  <si>
    <t>Fuel CO2 abatement base - Scrap-EAF steel</t>
  </si>
  <si>
    <t>Fuel CO2 abatement base - BOF steel</t>
  </si>
  <si>
    <t>Fuel CO2 abatement base - Clinker / cement</t>
  </si>
  <si>
    <t>Fuel CO2 abatement base - Ammonia</t>
  </si>
  <si>
    <t>Fuel CO2 abatement base - Urea</t>
  </si>
  <si>
    <t>Fuel CO2 abatement base - Ammonium nitrate</t>
  </si>
  <si>
    <t>Fuel CO2 abatement base - Primary aluminium</t>
  </si>
  <si>
    <t>bf</t>
  </si>
  <si>
    <t>Fuel semi-elasticity beta_f - DRI-EAF steel</t>
  </si>
  <si>
    <t>1/($/t)</t>
  </si>
  <si>
    <t>Manual inputs E40:E47</t>
  </si>
  <si>
    <t>Fuel semi-elasticity beta_f - Scrap-EAF steel</t>
  </si>
  <si>
    <t>Fuel semi-elasticity beta_f - BOF steel</t>
  </si>
  <si>
    <t>Fuel semi-elasticity beta_f - Clinker / cement</t>
  </si>
  <si>
    <t>Fuel semi-elasticity beta_f - Ammonia</t>
  </si>
  <si>
    <t>Fuel semi-elasticity beta_f - Urea</t>
  </si>
  <si>
    <t>Fuel semi-elasticity beta_f - Ammonium nitrate</t>
  </si>
  <si>
    <t>Fuel semi-elasticity beta_f - Primary aluminium</t>
  </si>
  <si>
    <t>bp</t>
  </si>
  <si>
    <t>Process semi-elasticity beta_p - DRI-EAF steel</t>
  </si>
  <si>
    <t>Process semi-elasticity beta_p - Scrap-EAF steel</t>
  </si>
  <si>
    <t>Process semi-elasticity beta_p - BOF steel</t>
  </si>
  <si>
    <t>Process semi-elasticity beta_p - Clinker / cement</t>
  </si>
  <si>
    <t>Process semi-elasticity beta_p - Ammonia</t>
  </si>
  <si>
    <t>Process semi-elasticity beta_p - Urea</t>
  </si>
  <si>
    <t>Process semi-elasticity beta_p - Ammonium nitrate</t>
  </si>
  <si>
    <t>Process semi-elasticity beta_p - Primary aluminium</t>
  </si>
  <si>
    <t>wp</t>
  </si>
  <si>
    <t>Process CO2 remaining after the carbon price = covered process CO2 x EXP(-beta_p x pp) - DRI-EAF steel</t>
  </si>
  <si>
    <t>block o96-o103 x o85 col J x EXP</t>
  </si>
  <si>
    <t>Process CO2 remaining after the carbon price = covered process CO2 x EXP(-beta_p x pp) - Scrap-EAF steel</t>
  </si>
  <si>
    <t>Process CO2 remaining after the carbon price = covered process CO2 x EXP(-beta_p x pp) - BOF steel</t>
  </si>
  <si>
    <t>Process CO2 remaining after the carbon price = covered process CO2 x EXP(-beta_p x pp) - Clinker / cement</t>
  </si>
  <si>
    <t>Process CO2 remaining after the carbon price = covered process CO2 x EXP(-beta_p x pp) - Ammonia</t>
  </si>
  <si>
    <t>Process CO2 remaining after the carbon price = covered process CO2 x EXP(-beta_p x pp) - Urea</t>
  </si>
  <si>
    <t>Process CO2 remaining after the carbon price = covered process CO2 x EXP(-beta_p x pp) - Ammonium nitrate</t>
  </si>
  <si>
    <t>Process CO2 remaining after the carbon price = covered process CO2 x EXP(-beta_p x pp) - Primary aluminium</t>
  </si>
  <si>
    <t>fund</t>
  </si>
  <si>
    <t>revf0</t>
  </si>
  <si>
    <t>cbam</t>
  </si>
  <si>
    <t>Fuel-CO2 carbon revenue before the fund response (= block o137 at o4 = 0)</t>
  </si>
  <si>
    <t>sum wf x covered share (o85 col I) x pf</t>
  </si>
  <si>
    <t>revp0</t>
  </si>
  <si>
    <t>Process-CO2 carbon revenue before the fund response (= block o138 at o4 = 0)</t>
  </si>
  <si>
    <t>sum wp x pp</t>
  </si>
  <si>
    <t>rev0</t>
  </si>
  <si>
    <t>Carbon revenue base of the fund (pre-fund; = block o155 when phi = 0)</t>
  </si>
  <si>
    <t>revf0 + revp0; breaks the fund -&gt; abatement -&gt; revenue -&gt; fund circularity (ex-post shortfall below)</t>
  </si>
  <si>
    <t>Abatement fund F = phi x rev0</t>
  </si>
  <si>
    <t>feeds CBAM block o5 'Revenues Fund' (row 250)</t>
  </si>
  <si>
    <t>emrp0</t>
  </si>
  <si>
    <t>Process ER from the carbon price alone (= block o126 at o4 = 0)</t>
  </si>
  <si>
    <t>sum wp - sum covered process CO2</t>
  </si>
  <si>
    <t>swb</t>
  </si>
  <si>
    <t>Marginal abatement at s = 0: sum w x beta (fuel + process)</t>
  </si>
  <si>
    <t>MtCO2 per $/t</t>
  </si>
  <si>
    <t>A'(0); start value s0 = SQRT(F / A'(0)) (x2 for the COST rule)</t>
  </si>
  <si>
    <t>s0</t>
  </si>
  <si>
    <t>Newton start value</t>
  </si>
  <si>
    <t>newton</t>
  </si>
  <si>
    <t>15 safeguarded Newton steps on outlay(s) - F = 0; step k evaluates A, outlay and d outlay/ds at s(k-1); s(k) = s(k-1) - (outlay - F) / gradient, halved if negative, capped at smax; s = 0 when F &lt;= 0</t>
  </si>
  <si>
    <t>A1</t>
  </si>
  <si>
    <t>Abatement A(s0)</t>
  </si>
  <si>
    <t>A</t>
  </si>
  <si>
    <t>out1</t>
  </si>
  <si>
    <t>Outlay(s0)</t>
  </si>
  <si>
    <t>out</t>
  </si>
  <si>
    <t>gd1</t>
  </si>
  <si>
    <t>d outlay / ds at s0</t>
  </si>
  <si>
    <t>USD million per $/t</t>
  </si>
  <si>
    <t>gd</t>
  </si>
  <si>
    <t>s1</t>
  </si>
  <si>
    <t>Shadow price after step 1</t>
  </si>
  <si>
    <t>s</t>
  </si>
  <si>
    <t>A2</t>
  </si>
  <si>
    <t>Abatement A(s1)</t>
  </si>
  <si>
    <t>out2</t>
  </si>
  <si>
    <t>Outlay(s1)</t>
  </si>
  <si>
    <t>gd2</t>
  </si>
  <si>
    <t>d outlay / ds at s1</t>
  </si>
  <si>
    <t>s2</t>
  </si>
  <si>
    <t>Shadow price after step 2</t>
  </si>
  <si>
    <t>A3</t>
  </si>
  <si>
    <t>Abatement A(s2)</t>
  </si>
  <si>
    <t>out3</t>
  </si>
  <si>
    <t>Outlay(s2)</t>
  </si>
  <si>
    <t>gd3</t>
  </si>
  <si>
    <t>d outlay / ds at s2</t>
  </si>
  <si>
    <t>s3</t>
  </si>
  <si>
    <t>Shadow price after step 3</t>
  </si>
  <si>
    <t>A4</t>
  </si>
  <si>
    <t>Abatement A(s3)</t>
  </si>
  <si>
    <t>out4</t>
  </si>
  <si>
    <t>Outlay(s3)</t>
  </si>
  <si>
    <t>gd4</t>
  </si>
  <si>
    <t>d outlay / ds at s3</t>
  </si>
  <si>
    <t>s4</t>
  </si>
  <si>
    <t>Shadow price after step 4</t>
  </si>
  <si>
    <t>A5</t>
  </si>
  <si>
    <t>Abatement A(s4)</t>
  </si>
  <si>
    <t>out5</t>
  </si>
  <si>
    <t>Outlay(s4)</t>
  </si>
  <si>
    <t>gd5</t>
  </si>
  <si>
    <t>d outlay / ds at s4</t>
  </si>
  <si>
    <t>s5</t>
  </si>
  <si>
    <t>Shadow price after step 5</t>
  </si>
  <si>
    <t>A6</t>
  </si>
  <si>
    <t>Abatement A(s5)</t>
  </si>
  <si>
    <t>out6</t>
  </si>
  <si>
    <t>Outlay(s5)</t>
  </si>
  <si>
    <t>gd6</t>
  </si>
  <si>
    <t>d outlay / ds at s5</t>
  </si>
  <si>
    <t>s6</t>
  </si>
  <si>
    <t>Shadow price after step 6</t>
  </si>
  <si>
    <t>A7</t>
  </si>
  <si>
    <t>Abatement A(s6)</t>
  </si>
  <si>
    <t>out7</t>
  </si>
  <si>
    <t>Outlay(s6)</t>
  </si>
  <si>
    <t>gd7</t>
  </si>
  <si>
    <t>d outlay / ds at s6</t>
  </si>
  <si>
    <t>s7</t>
  </si>
  <si>
    <t>Shadow price after step 7</t>
  </si>
  <si>
    <t>A8</t>
  </si>
  <si>
    <t>Abatement A(s7)</t>
  </si>
  <si>
    <t>out8</t>
  </si>
  <si>
    <t>Outlay(s7)</t>
  </si>
  <si>
    <t>gd8</t>
  </si>
  <si>
    <t>d outlay / ds at s7</t>
  </si>
  <si>
    <t>s8</t>
  </si>
  <si>
    <t>Shadow price after step 8</t>
  </si>
  <si>
    <t>A9</t>
  </si>
  <si>
    <t>Abatement A(s8)</t>
  </si>
  <si>
    <t>out9</t>
  </si>
  <si>
    <t>Outlay(s8)</t>
  </si>
  <si>
    <t>gd9</t>
  </si>
  <si>
    <t>d outlay / ds at s8</t>
  </si>
  <si>
    <t>s9</t>
  </si>
  <si>
    <t>Shadow price after step 9</t>
  </si>
  <si>
    <t>A10</t>
  </si>
  <si>
    <t>Abatement A(s9)</t>
  </si>
  <si>
    <t>out10</t>
  </si>
  <si>
    <t>Outlay(s9)</t>
  </si>
  <si>
    <t>gd10</t>
  </si>
  <si>
    <t>d outlay / ds at s9</t>
  </si>
  <si>
    <t>s10</t>
  </si>
  <si>
    <t>Shadow price after step 10</t>
  </si>
  <si>
    <t>A11</t>
  </si>
  <si>
    <t>Abatement A(s10)</t>
  </si>
  <si>
    <t>out11</t>
  </si>
  <si>
    <t>Outlay(s10)</t>
  </si>
  <si>
    <t>gd11</t>
  </si>
  <si>
    <t>d outlay / ds at s10</t>
  </si>
  <si>
    <t>s11</t>
  </si>
  <si>
    <t>Shadow price after step 11</t>
  </si>
  <si>
    <t>A12</t>
  </si>
  <si>
    <t>Abatement A(s11)</t>
  </si>
  <si>
    <t>out12</t>
  </si>
  <si>
    <t>Outlay(s11)</t>
  </si>
  <si>
    <t>gd12</t>
  </si>
  <si>
    <t>d outlay / ds at s11</t>
  </si>
  <si>
    <t>s12</t>
  </si>
  <si>
    <t>Shadow price after step 12</t>
  </si>
  <si>
    <t>A13</t>
  </si>
  <si>
    <t>Abatement A(s12)</t>
  </si>
  <si>
    <t>out13</t>
  </si>
  <si>
    <t>Outlay(s12)</t>
  </si>
  <si>
    <t>gd13</t>
  </si>
  <si>
    <t>d outlay / ds at s12</t>
  </si>
  <si>
    <t>s13</t>
  </si>
  <si>
    <t>Shadow price after step 13</t>
  </si>
  <si>
    <t>A14</t>
  </si>
  <si>
    <t>Abatement A(s13)</t>
  </si>
  <si>
    <t>out14</t>
  </si>
  <si>
    <t>Outlay(s13)</t>
  </si>
  <si>
    <t>gd14</t>
  </si>
  <si>
    <t>d outlay / ds at s13</t>
  </si>
  <si>
    <t>s14</t>
  </si>
  <si>
    <t>Shadow price after step 14</t>
  </si>
  <si>
    <t>A15</t>
  </si>
  <si>
    <t>Abatement A(s14)</t>
  </si>
  <si>
    <t>out15</t>
  </si>
  <si>
    <t>Outlay(s14)</t>
  </si>
  <si>
    <t>gd15</t>
  </si>
  <si>
    <t>d outlay / ds at s14</t>
  </si>
  <si>
    <t>s15</t>
  </si>
  <si>
    <t>Shadow price after step 15</t>
  </si>
  <si>
    <t>result</t>
  </si>
  <si>
    <t>Fund shadow price s (solution)</t>
  </si>
  <si>
    <t>feeds Scenarios fundsp row -&gt; Data_Prices egy.mit.fundsp.1 -&gt; CBAM block o4 (row 249); -&gt; kernel shp via shpf rows below</t>
  </si>
  <si>
    <t>abat</t>
  </si>
  <si>
    <t>Fund-financed abatement A(s), fuel + process</t>
  </si>
  <si>
    <t>equals -(block o115 + o126 - emrp0) exactly (Check)</t>
  </si>
  <si>
    <t>abatf</t>
  </si>
  <si>
    <t>Fund-financed fuel-CO2 abatement</t>
  </si>
  <si>
    <t>equals -block o115</t>
  </si>
  <si>
    <t>abatp</t>
  </si>
  <si>
    <t>Fund-financed process-CO2 abatement</t>
  </si>
  <si>
    <t>equals emrp0 - block o126</t>
  </si>
  <si>
    <t>outlay</t>
  </si>
  <si>
    <t>Fund outlay at s (RATE: s x A; COST: abatement cost)</t>
  </si>
  <si>
    <t>resid</t>
  </si>
  <si>
    <t>Budget residual outlay - F (0 unless capped or F &lt;= 0)</t>
  </si>
  <si>
    <t>unspent</t>
  </si>
  <si>
    <t>Unspent fund = MAX(0, F - outlay)</t>
  </si>
  <si>
    <t>capped</t>
  </si>
  <si>
    <t>s at the cap smax (1/0)</t>
  </si>
  <si>
    <t>flag</t>
  </si>
  <si>
    <t>cpt</t>
  </si>
  <si>
    <t>Average fund cost per t abated = outlay / A</t>
  </si>
  <si>
    <t>expost</t>
  </si>
  <si>
    <t>Ex-post fund = phi x block o155 (revenue after the fund response)</t>
  </si>
  <si>
    <t>INFO: o155 falls as the fund abates priced emissions</t>
  </si>
  <si>
    <t>short</t>
  </si>
  <si>
    <t>Ex-post revenue shortfall = phi x o155 - F (&lt;= 0)</t>
  </si>
  <si>
    <t>INFO</t>
  </si>
  <si>
    <t>s x Scenarios pass-through factor (E30:E38, fuel price unit per $/tCO2; bio / ren 0) -&gt; Data_Prices egy.mit.shp.&lt;fuel&gt;.ind.1 -&gt; kernel shp = atp + shpf x ssc (efficiency term only)</t>
  </si>
  <si>
    <t>Fund shadow price in fuel price units - coa</t>
  </si>
  <si>
    <t>shpf</t>
  </si>
  <si>
    <t>Fund shadow price in fuel price units - nga</t>
  </si>
  <si>
    <t>Fund shadow price in fuel price units - gso</t>
  </si>
  <si>
    <t>Fund shadow price in fuel price units - die</t>
  </si>
  <si>
    <t>Fund shadow price in fuel price units - lpg</t>
  </si>
  <si>
    <t>Fund shadow price in fuel price units - ker</t>
  </si>
  <si>
    <t>Fund shadow price in fuel price units - oop</t>
  </si>
  <si>
    <t>Fund shadow price in fuel price units - bio</t>
  </si>
  <si>
    <t>Fund shadow price in fuel price units - ren</t>
  </si>
  <si>
    <t>Abatement fund - Policy (scenario 2); CBAM block rows 644-799, kernel rows 404-642</t>
  </si>
  <si>
    <t>CBAM block o2 (row 646)</t>
  </si>
  <si>
    <t>CBAM block o3 (row 647)</t>
  </si>
  <si>
    <t>CBAM block o63 (row 707)</t>
  </si>
  <si>
    <t>feeds CBAM block o5 'Revenues Fund' (row 649)</t>
  </si>
  <si>
    <t>feeds Scenarios fundsp row -&gt; Data_Prices egy.mit.fundsp.2 -&gt; CBAM block o4 (row 648); -&gt; kernel shp via shpf rows below</t>
  </si>
  <si>
    <t>s x Scenarios pass-through factor (E30:E38, fuel price unit per $/tCO2; bio / ren 0) -&gt; Data_Prices egy.mit.shp.&lt;fuel&gt;.ind.2 -&gt; kernel shp = atp + shpf x ssc (efficiency term only)</t>
  </si>
  <si>
    <t>Shadow price of non-price policies ($/unit): Task J fund shadow price s x pass-through factor (Fund_Industry shpf row 326); 0 when the bundle's fund share phi = 0</t>
  </si>
  <si>
    <t>Shadow price of non-price policies ($/unit): Task J fund shadow price s x pass-through factor (Fund_Industry shpf row 327); 0 when the bundle's fund share phi = 0</t>
  </si>
  <si>
    <t>Shadow price of non-price policies ($/unit): Task J fund shadow price s x pass-through factor (Fund_Industry shpf row 328); 0 when the bundle's fund share phi = 0</t>
  </si>
  <si>
    <t>Shadow price of non-price policies ($/unit): Task J fund shadow price s x pass-through factor (Fund_Industry shpf row 329); 0 when the bundle's fund share phi = 0</t>
  </si>
  <si>
    <t>Shadow price of non-price policies ($/unit): Task J fund shadow price s x pass-through factor (Fund_Industry shpf row 330); 0 when the bundle's fund share phi = 0</t>
  </si>
  <si>
    <t>Shadow price of non-price policies ($/unit): Task J fund shadow price s x pass-through factor (Fund_Industry shpf row 331); 0 when the bundle's fund share phi = 0</t>
  </si>
  <si>
    <t>Shadow price of non-price policies ($/unit): Task J fund shadow price s x pass-through factor (Fund_Industry shpf row 332); 0 when the bundle's fund share phi = 0</t>
  </si>
  <si>
    <t>Shadow price of non-price policies ($/unit): Task J fund shadow price s x pass-through factor (Fund_Industry shpf row 333); 0 when the bundle's fund share phi = 0</t>
  </si>
  <si>
    <t>Shadow price of non-price policies ($/unit): Task J fund shadow price s x pass-through factor (Fund_Industry shpf row 334); 0 when the bundle's fund share phi = 0</t>
  </si>
  <si>
    <t>Share of the shadow price added to the efficiency-term price shp: Task J ssc_fund (Fund_Industry F6, default 1)</t>
  </si>
  <si>
    <t>Shadow price of fund-financed abatement s (acts on intensity only): solved in Fund_Industry so that fund outlay(s) = phi x carbon revenue (Task J)</t>
  </si>
  <si>
    <t>CBAM block o4 -&gt; fuel ER rows o107-o114 and process ER rows o118-o125 (price term P + s); kernel shp via Data_Prices shp.&lt;fuel&gt;.ind.2 (Fund_Industry shpf rows)</t>
  </si>
  <si>
    <t>CBAM block o5; Fund_Industry fund size F = phi x rev0 (Task J)</t>
  </si>
  <si>
    <t>Task J (stream 2, v0.7branch_Stream2_v3): use-of-funds model in sheet Fund_Industry (scenario 1 rows 10-169 memo only, scenario 2 rows 175-334). Fund F = phi x pre-fund carbon revenue rev0 (block fuel + process revenue at o4 = 0); the fund buys abatement along the CBAM block semi-elasticity curves after the carbon price: shadow price s solves outlay(s) = F (outlay rule RATE: s x A(s); alternative COST: area under the marginal cost curve; Fund_Industry F4:F6 parameters, cap smax). s -&gt; fundsp row 49 -&gt; block o4 (fuel ER o107-o114 as before; process ER o118-o125 and o15/o16 now use EXP(-beta x (P + o4))); o5 = F. Kernel: Data_Prices shp.&lt;fuel&gt;.ind.2 = s x pass-through factor (rows 30-38), ssc.&lt;sector&gt;.2 = ssc_fund, so shp = atp + s x cpf reaches the EFFICIENCY term only (usage term keeps atpn / atp). Codes egy.mit.fund/rev0/fundsp/abat/abatf/abatp/outlay/unspent/cpt.cbam.tot.&lt;s&gt;, pf/pp/wf/wp/bf/bp.&lt;prod&gt;.&lt;s&gt;, shpf.&lt;fuel&gt;.ind.&lt;s&gt;. Only bundles with phi &gt; 0 (3C) change.</t>
  </si>
  <si>
    <t>Task J: fund F = fundsh x rev0 (Fund_Industry row 80; pre-fund revenue base, not o155, to avoid the fund -&gt; abatement -&gt; revenue circularity)</t>
  </si>
  <si>
    <t>Fund-financed abatement shadow price s (Task J, Fund_Industry row 148 via Scenarios / Data_Prices); fuel ER o107-o114 and process ER o118-o125 (price term P + o4)</t>
  </si>
  <si>
    <t>Task J: EXP(-beta x (process price + o4 fund shadow price)) - sequential: the fund's abatement is the response at P + s minus the response at P</t>
  </si>
  <si>
    <t xml:space="preserve"> Task J: price term includes o4.</t>
  </si>
  <si>
    <t>Task J: fund F = fundsh x rev0 (Fund_Industry row 245; pre-fund revenue base, not o155, to avoid the fund -&gt; abatement -&gt; revenue circularity)</t>
  </si>
  <si>
    <t>Fund-financed abatement shadow price s (Task J, Fund_Industry row 313 via Scenarios / Data_Prices); fuel ER o107-o114 and process ER o118-o125 (price term P + o4)</t>
  </si>
  <si>
    <t>Efficiency-term price unchanged: sum of shp over fuels (scenario 2, irn) - v1, active bundle and phi = 0 (Task J)</t>
  </si>
  <si>
    <t>Efficiency-term price unchanged: sum of shp over fuels (scenario 2, cem) - v1, active bundle and phi = 0 (Task J)</t>
  </si>
  <si>
    <t>Efficiency-term price unchanged: sum of shp over fuels (scenario 2, nfm) - v1, active bundle and phi = 0 (Task J)</t>
  </si>
  <si>
    <t>Efficiency-term price unchanged: sum of shp over fuels (scenario 2, mch) - v1, active bundle and phi = 0 (Task J)</t>
  </si>
  <si>
    <t>ener total scenario 2 (irn) - v1 for the active bundle when its theta = 0 (else 0) and phi = 0 (Task J)</t>
  </si>
  <si>
    <t>ener total scenario 2 (cem) - v1 for the active bundle when its theta = 0 (else 0) and phi = 0 (Task J)</t>
  </si>
  <si>
    <t>ener total scenario 2 (nfm) - v1 for the active bundle when its theta = 0 (else 0) and phi = 0 (Task J)</t>
  </si>
  <si>
    <t>ener total scenario 2 (mch) - v1 for the active bundle when its theta = 0 (else 0) and phi = 0 (Task J)</t>
  </si>
  <si>
    <t>Task J (Stream2 v3): use-of-funds model (identities expected 0, counts expected 0)</t>
  </si>
  <si>
    <t>Fund shadow price s, scenario 1 (baseline fundsh = 0; memo block)</t>
  </si>
  <si>
    <t>Budget residual outlay(s) - F when F &gt; 0, s uncapped and abatement available (Newton convergence)</t>
  </si>
  <si>
    <t>Block fund ER identity: o115 + o126 - emrp0 + A(s) (fuel + process ER from the fund = -A exactly)</t>
  </si>
  <si>
    <t>Pre-fund revenue base rev0 - block o155 when phi = 0 (else 0)</t>
  </si>
  <si>
    <t>Block o5 'Revenues Fund' - F</t>
  </si>
  <si>
    <t>Kernel shadow-price wedge: sum over fuels of (shp - atp - shpf x ssc_fund), scenario 2, irn</t>
  </si>
  <si>
    <t>Kernel shadow-price wedge: sum over fuels of (shp - atp - shpf x ssc_fund), scenario 2, cem</t>
  </si>
  <si>
    <t>Kernel shadow-price wedge: sum over fuels of (shp - atp - shpf x ssc_fund), scenario 2, nfm</t>
  </si>
  <si>
    <t>Kernel shadow-price wedge: sum over fuels of (shp - atp - shpf x ssc_fund), scenario 2, mch</t>
  </si>
  <si>
    <t>Scenarios fundsp row 49 - s (scenario 2)</t>
  </si>
  <si>
    <t>Block o4 'Total Shadow Price' - s (scenario 2)</t>
  </si>
  <si>
    <t>ener total scenario 1 (irn) - v2 (baseline, bundle-independent)</t>
  </si>
  <si>
    <t>ener total scenario 1 (cem) - v2 (baseline, bundle-independent)</t>
  </si>
  <si>
    <t>ener total scenario 1 (nfm) - v2 (baseline, bundle-independent)</t>
  </si>
  <si>
    <t>ener total scenario 1 (mch) - v2 (baseline, bundle-independent)</t>
  </si>
  <si>
    <t>ener total scenario 2 (irn) - v2 for the active bundle when its phi = 0 (else 0)</t>
  </si>
  <si>
    <t>ener total scenario 2 (cem) - v2 for the active bundle when its phi = 0 (else 0)</t>
  </si>
  <si>
    <t>ener total scenario 2 (nfm) - v2 for the active bundle when its phi = 0 (else 0)</t>
  </si>
  <si>
    <t>ener total scenario 2 (mch) - v2 for the active bundle when its phi = 0 (else 0)</t>
  </si>
  <si>
    <t>Usage-term price unchanged: sum of atp over fuels (scenario 2, irn) - v2, all bundles</t>
  </si>
  <si>
    <t>Usage-term price unchanged: sum of atp over fuels (scenario 2, cem) - v2, all bundles</t>
  </si>
  <si>
    <t>Usage-term price unchanged: sum of atp over fuels (scenario 2, nfm) - v2, all bundles</t>
  </si>
  <si>
    <t>Usage-term price unchanged: sum of atp over fuels (scenario 2, mch) - v2, all bundles</t>
  </si>
  <si>
    <t>Block o135 total emissions scenario 2 - v2 when phi = 0 (else 0)</t>
  </si>
  <si>
    <t>Rebate cost obr.cbam.tot.2 - v2, all bundles (rebate independent of the fund)</t>
  </si>
  <si>
    <t>Net revenue revnet.cbam.tot.2 - v2 when phi = 0 (else 0)</t>
  </si>
  <si>
    <t>s outside [0, smax] (count of years, scenario 2)</t>
  </si>
  <si>
    <t>ener total scenario 2 (irn) above v2 while phi &gt; 0 (count of years; the fund can only lower energy use)</t>
  </si>
  <si>
    <t>ener total scenario 2 (cem) above v2 while phi &gt; 0 (count of years; the fund can only lower energy use)</t>
  </si>
  <si>
    <t>ener total scenario 2 (nfm) above v2 while phi &gt; 0 (count of years; the fund can only lower energy use)</t>
  </si>
  <si>
    <t>ener total scenario 2 (mch) above v2 while phi &gt; 0 (count of years; the fund can only lower energy use)</t>
  </si>
  <si>
    <t>Block o135 scenario 2 above v2 while phi &gt; 0 (count of years)</t>
  </si>
  <si>
    <t>INFO: fund F (USD million), scenario 2</t>
  </si>
  <si>
    <t>INFO: fund shadow price s ($/tCO2), scenario 2</t>
  </si>
  <si>
    <t>INFO: fund-financed abatement A (MtCO2), scenario 2</t>
  </si>
  <si>
    <t>INFO: fuel-CO2 abatement (MtCO2), scenario 2</t>
  </si>
  <si>
    <t>INFO: process-CO2 abatement (MtCO2), scenario 2</t>
  </si>
  <si>
    <t>INFO: fund outlay (USD million), scenario 2</t>
  </si>
  <si>
    <t>INFO: unspent fund (USD million), scenario 2</t>
  </si>
  <si>
    <t>INFO: s capped at smax (1/0), scenario 2</t>
  </si>
  <si>
    <t>INFO: ex-post revenue shortfall phi x o155 - F (USD million), scenario 2</t>
  </si>
  <si>
    <t>INFO: ener total scenario 2 (irn) - v2 for the active bundle (fund effect, ktoe)</t>
  </si>
  <si>
    <t>INFO: ener total scenario 2 (cem) - v2 for the active bundle (fund effect, ktoe)</t>
  </si>
  <si>
    <t>INFO: ener total scenario 2 (nfm) - v2 for the active bundle (fund effect, ktoe)</t>
  </si>
  <si>
    <t>INFO: ener total scenario 2 (mch) - v2 for the active bundle (fund effect, ktoe)</t>
  </si>
  <si>
    <t>INFO: kernel energy CO2 scenario 2 (4 sectors, Emissions_Industry) - v2 (MtCO2)</t>
  </si>
  <si>
    <t>INFO: block o135 total emissions scenario 2 - v2 (MtCO2e)</t>
  </si>
  <si>
    <t>INFO: block o155 total revenues scenario 2 - v2 (USD million)</t>
  </si>
  <si>
    <t>INFO: net revenue revnet.cbam.tot.2 (USD million)</t>
  </si>
  <si>
    <t>Note: for every bundle with phi = 0 (all but 3C) all kernel and block values equal v2 (s = 0 exactly); for 3C the fund shadow price raises the efficiency-term price shp and the block ER rows, so energy use and emissions are &lt;= v2 (INFO rows). atp (usage term) and the rebate are unchanged for all bundles. Residual tolerance: Newton converges to ~1E-12 USD million.</t>
  </si>
  <si>
    <t>Stored v2 values (CPAT_Industry_Kernel_Egypt_v0.7branch_Stream2_v2, computed per bundle by looping Settings!B10 before the Task J changes); key = v2:&lt;var&gt;:&lt;scenario&gt;:&lt;sector|tot&gt;:&lt;bundle&gt;</t>
  </si>
  <si>
    <t>v2:ener:1:irn:</t>
  </si>
  <si>
    <t>v2 ener ktoe</t>
  </si>
  <si>
    <t>v2:ener:1:cem:</t>
  </si>
  <si>
    <t>v2:ener:1:nfm:</t>
  </si>
  <si>
    <t>v2:ener:1:mch:</t>
  </si>
  <si>
    <t>v2:ener:2:irn:LEGACY</t>
  </si>
  <si>
    <t>v2 ener ktoe (LEGACY)</t>
  </si>
  <si>
    <t>v2:ener:2:cem:LEGACY</t>
  </si>
  <si>
    <t>v2:ener:2:nfm:LEGACY</t>
  </si>
  <si>
    <t>v2:ener:2:mch:LEGACY</t>
  </si>
  <si>
    <t>v2:atp:2:irn:LEGACY</t>
  </si>
  <si>
    <t>v2 sum atp (LEGACY)</t>
  </si>
  <si>
    <t>v2:atp:2:cem:LEGACY</t>
  </si>
  <si>
    <t>v2:atp:2:nfm:LEGACY</t>
  </si>
  <si>
    <t>v2:atp:2:mch:LEGACY</t>
  </si>
  <si>
    <t>v2:emis:2:tot:LEGACY</t>
  </si>
  <si>
    <t>v2 emis MtCO2e (LEGACY)</t>
  </si>
  <si>
    <t>v2:rev:2:tot:LEGACY</t>
  </si>
  <si>
    <t>v2 rev USD million (LEGACY)</t>
  </si>
  <si>
    <t>v2:obr:2:tot:LEGACY</t>
  </si>
  <si>
    <t>v2 obr USD million (LEGACY)</t>
  </si>
  <si>
    <t>v2:revnet:2:tot:LEGACY</t>
  </si>
  <si>
    <t>v2 revnet USD million (LEGACY)</t>
  </si>
  <si>
    <t>v2:eco2:2:tot:LEGACY</t>
  </si>
  <si>
    <t>v2 eco2 MtCO2 (LEGACY)</t>
  </si>
  <si>
    <t>v2:phi:2:tot:LEGACY</t>
  </si>
  <si>
    <t>phi</t>
  </si>
  <si>
    <t>v2 bundle fund share (info)</t>
  </si>
  <si>
    <t>v2:ener:2:irn:1A</t>
  </si>
  <si>
    <t>v2 ener ktoe (1A)</t>
  </si>
  <si>
    <t>v2:ener:2:cem:1A</t>
  </si>
  <si>
    <t>v2:ener:2:nfm:1A</t>
  </si>
  <si>
    <t>v2:ener:2:mch:1A</t>
  </si>
  <si>
    <t>v2:atp:2:irn:1A</t>
  </si>
  <si>
    <t>v2 sum atp (1A)</t>
  </si>
  <si>
    <t>v2:atp:2:cem:1A</t>
  </si>
  <si>
    <t>v2:atp:2:nfm:1A</t>
  </si>
  <si>
    <t>v2:atp:2:mch:1A</t>
  </si>
  <si>
    <t>v2:emis:2:tot:1A</t>
  </si>
  <si>
    <t>v2 emis MtCO2e (1A)</t>
  </si>
  <si>
    <t>v2:rev:2:tot:1A</t>
  </si>
  <si>
    <t>v2 rev USD million (1A)</t>
  </si>
  <si>
    <t>v2:obr:2:tot:1A</t>
  </si>
  <si>
    <t>v2 obr USD million (1A)</t>
  </si>
  <si>
    <t>v2:revnet:2:tot:1A</t>
  </si>
  <si>
    <t>v2 revnet USD million (1A)</t>
  </si>
  <si>
    <t>v2:eco2:2:tot:1A</t>
  </si>
  <si>
    <t>v2 eco2 MtCO2 (1A)</t>
  </si>
  <si>
    <t>v2:phi:2:tot:1A</t>
  </si>
  <si>
    <t>v2:ener:2:irn:2A</t>
  </si>
  <si>
    <t>v2 ener ktoe (2A)</t>
  </si>
  <si>
    <t>v2:ener:2:cem:2A</t>
  </si>
  <si>
    <t>v2:ener:2:nfm:2A</t>
  </si>
  <si>
    <t>v2:ener:2:mch:2A</t>
  </si>
  <si>
    <t>v2:atp:2:irn:2A</t>
  </si>
  <si>
    <t>v2 sum atp (2A)</t>
  </si>
  <si>
    <t>v2:atp:2:cem:2A</t>
  </si>
  <si>
    <t>v2:atp:2:nfm:2A</t>
  </si>
  <si>
    <t>v2:atp:2:mch:2A</t>
  </si>
  <si>
    <t>v2:emis:2:tot:2A</t>
  </si>
  <si>
    <t>v2 emis MtCO2e (2A)</t>
  </si>
  <si>
    <t>v2:rev:2:tot:2A</t>
  </si>
  <si>
    <t>v2 rev USD million (2A)</t>
  </si>
  <si>
    <t>v2:obr:2:tot:2A</t>
  </si>
  <si>
    <t>v2 obr USD million (2A)</t>
  </si>
  <si>
    <t>v2:revnet:2:tot:2A</t>
  </si>
  <si>
    <t>v2 revnet USD million (2A)</t>
  </si>
  <si>
    <t>v2:eco2:2:tot:2A</t>
  </si>
  <si>
    <t>v2 eco2 MtCO2 (2A)</t>
  </si>
  <si>
    <t>v2:phi:2:tot:2A</t>
  </si>
  <si>
    <t>v2:ener:2:irn:2B</t>
  </si>
  <si>
    <t>v2 ener ktoe (2B)</t>
  </si>
  <si>
    <t>v2:ener:2:cem:2B</t>
  </si>
  <si>
    <t>v2:ener:2:nfm:2B</t>
  </si>
  <si>
    <t>v2:ener:2:mch:2B</t>
  </si>
  <si>
    <t>v2:atp:2:irn:2B</t>
  </si>
  <si>
    <t>v2 sum atp (2B)</t>
  </si>
  <si>
    <t>v2:atp:2:cem:2B</t>
  </si>
  <si>
    <t>v2:atp:2:nfm:2B</t>
  </si>
  <si>
    <t>v2:atp:2:mch:2B</t>
  </si>
  <si>
    <t>v2:emis:2:tot:2B</t>
  </si>
  <si>
    <t>v2 emis MtCO2e (2B)</t>
  </si>
  <si>
    <t>v2:rev:2:tot:2B</t>
  </si>
  <si>
    <t>v2 rev USD million (2B)</t>
  </si>
  <si>
    <t>v2:obr:2:tot:2B</t>
  </si>
  <si>
    <t>v2 obr USD million (2B)</t>
  </si>
  <si>
    <t>v2:revnet:2:tot:2B</t>
  </si>
  <si>
    <t>v2 revnet USD million (2B)</t>
  </si>
  <si>
    <t>v2:eco2:2:tot:2B</t>
  </si>
  <si>
    <t>v2 eco2 MtCO2 (2B)</t>
  </si>
  <si>
    <t>v2:phi:2:tot:2B</t>
  </si>
  <si>
    <t>v2:ener:2:irn:3A</t>
  </si>
  <si>
    <t>v2 ener ktoe (3A)</t>
  </si>
  <si>
    <t>v2:ener:2:cem:3A</t>
  </si>
  <si>
    <t>v2:ener:2:nfm:3A</t>
  </si>
  <si>
    <t>v2:ener:2:mch:3A</t>
  </si>
  <si>
    <t>v2:atp:2:irn:3A</t>
  </si>
  <si>
    <t>v2 sum atp (3A)</t>
  </si>
  <si>
    <t>v2:atp:2:cem:3A</t>
  </si>
  <si>
    <t>v2:atp:2:nfm:3A</t>
  </si>
  <si>
    <t>v2:atp:2:mch:3A</t>
  </si>
  <si>
    <t>v2:emis:2:tot:3A</t>
  </si>
  <si>
    <t>v2 emis MtCO2e (3A)</t>
  </si>
  <si>
    <t>v2:rev:2:tot:3A</t>
  </si>
  <si>
    <t>v2 rev USD million (3A)</t>
  </si>
  <si>
    <t>v2:obr:2:tot:3A</t>
  </si>
  <si>
    <t>v2 obr USD million (3A)</t>
  </si>
  <si>
    <t>v2:revnet:2:tot:3A</t>
  </si>
  <si>
    <t>v2 revnet USD million (3A)</t>
  </si>
  <si>
    <t>v2:eco2:2:tot:3A</t>
  </si>
  <si>
    <t>v2 eco2 MtCO2 (3A)</t>
  </si>
  <si>
    <t>v2:phi:2:tot:3A</t>
  </si>
  <si>
    <t>v2:ener:2:irn:3B</t>
  </si>
  <si>
    <t>v2 ener ktoe (3B)</t>
  </si>
  <si>
    <t>v2:ener:2:cem:3B</t>
  </si>
  <si>
    <t>v2:ener:2:nfm:3B</t>
  </si>
  <si>
    <t>v2:ener:2:mch:3B</t>
  </si>
  <si>
    <t>v2:atp:2:irn:3B</t>
  </si>
  <si>
    <t>v2 sum atp (3B)</t>
  </si>
  <si>
    <t>v2:atp:2:cem:3B</t>
  </si>
  <si>
    <t>v2:atp:2:nfm:3B</t>
  </si>
  <si>
    <t>v2:atp:2:mch:3B</t>
  </si>
  <si>
    <t>v2:emis:2:tot:3B</t>
  </si>
  <si>
    <t>v2 emis MtCO2e (3B)</t>
  </si>
  <si>
    <t>v2:rev:2:tot:3B</t>
  </si>
  <si>
    <t>v2 rev USD million (3B)</t>
  </si>
  <si>
    <t>v2:obr:2:tot:3B</t>
  </si>
  <si>
    <t>v2 obr USD million (3B)</t>
  </si>
  <si>
    <t>v2:revnet:2:tot:3B</t>
  </si>
  <si>
    <t>v2 revnet USD million (3B)</t>
  </si>
  <si>
    <t>v2:eco2:2:tot:3B</t>
  </si>
  <si>
    <t>v2 eco2 MtCO2 (3B)</t>
  </si>
  <si>
    <t>v2:phi:2:tot:3B</t>
  </si>
  <si>
    <t>v2:ener:2:irn:3C</t>
  </si>
  <si>
    <t>v2 ener ktoe (3C)</t>
  </si>
  <si>
    <t>v2:ener:2:cem:3C</t>
  </si>
  <si>
    <t>v2:ener:2:nfm:3C</t>
  </si>
  <si>
    <t>v2:ener:2:mch:3C</t>
  </si>
  <si>
    <t>v2:atp:2:irn:3C</t>
  </si>
  <si>
    <t>v2 sum atp (3C)</t>
  </si>
  <si>
    <t>v2:atp:2:cem:3C</t>
  </si>
  <si>
    <t>v2:atp:2:nfm:3C</t>
  </si>
  <si>
    <t>v2:atp:2:mch:3C</t>
  </si>
  <si>
    <t>v2:emis:2:tot:3C</t>
  </si>
  <si>
    <t>v2 emis MtCO2e (3C)</t>
  </si>
  <si>
    <t>v2:rev:2:tot:3C</t>
  </si>
  <si>
    <t>v2 rev USD million (3C)</t>
  </si>
  <si>
    <t>v2:obr:2:tot:3C</t>
  </si>
  <si>
    <t>v2 obr USD million (3C)</t>
  </si>
  <si>
    <t>v2:revnet:2:tot:3C</t>
  </si>
  <si>
    <t>v2 revnet USD million (3C)</t>
  </si>
  <si>
    <t>v2:eco2:2:tot:3C</t>
  </si>
  <si>
    <t>v2 eco2 MtCO2 (3C)</t>
  </si>
  <si>
    <t>v2:phi:2:tot:3C</t>
  </si>
  <si>
    <t>Max |identity| and violation counts (Task J)</t>
  </si>
  <si>
    <t>identities rows 1613-1642, counts rows 1643-1648</t>
  </si>
  <si>
    <t>CPAT industry kernel - Egypt prototype v0.7branch_Stream2_v3</t>
  </si>
  <si>
    <t>Kernel output against the values stored in CPAT_1_0pre_456 for the same rows; max absolute and relative differences. v0.3: plus CBAM block rows vs legacy (rows from 583). v0.4: plus Scenarios regression section. v0.5: Task A identity section (row 1429). v0.6: Task B section (row 1443). v0.7: Task C section (row 1455). v0.7branch_Stream2_v1: Task F section (row 1464). v0.7branch_Stream2_v2: Task I section (row 1496). v0.7branch_Stream2_v3: Task J section (row 1611).</t>
  </si>
  <si>
    <t>v0.7branch_Stream2_v3</t>
  </si>
  <si>
    <t>Task J (Stream 2, from Stream2_v2): use-of-funds model. NEW SHEET Fund_Industry (after Rebate_Industry; Mitigation_Industry layout; parameters F4:F6 outlay rule RATE|COST, cap smax, ssc_fund; scenario 1 rows 10-169 MEMO ONLY (baseline fundsh = 0, not wired), scenario 2 rows 175-334). Fund F = phi (Scenarios 'Fund share', egy.mit.fundsh.2) x rev0, rev0 = CBAM block fuel + process carbon revenue BEFORE the fund response (= o155 at o4 = 0; this breaks the fund -&gt; abatement -&gt; revenue -&gt; fund circularity; the ex-post shortfall phi x o155 - F is reported). The fund buys abatement along the block semi-elasticity curves sequentially after the carbon price: A(s) = sum_k o85_k (1 - e^-bf s) + sum_k o96_k x covered x e^-bp P (1 - e^-bp s) with bf / bp = o107-o114 / o118-o125 col E (Manual inputs E40:E47); shadow price s solves outlay(s) = F by 15 explicit safeguarded Newton rows (RATE: outlay = s x A, uniform clearing price; COST: area under the marginal cost curve), capped at smax (unspent fund reported). DELIVERY: s -&gt; Scenarios fundsp row 49 (was GREEN 0) -&gt; Data_Prices egy.mit.fundsp.2 -&gt; block o4 (fuel ER o107-o114 already read o4 since Task E). BLOCK EDITS (440 cells, both scenarios, each asserted against the v0.7 R1C1 first): process ER rows o118-o125 and o15/o16 now use EXP(-beta x (P + o4)) (sequential, not additive); o5 'Revenues Fund' = F from Fund_Industry instead of fundsh x o155 (would be circular). KERNEL: Data_Prices egy.mit.shp.&lt;fuel&gt;.ind.2 (rows 81-89) = s x Scenarios pass-through factor (E30:E38; bio / ren 0) and egy.mit.ssc.&lt;sector&gt;.2 = ssc_fund (260 cells; these CPAT-input rows were 0 placeholders reserved for this), so shp = atp + s x cpf reaches the kernel EFFICIENCY term only while the usage term keeps atpn / atp (Task I). MECHANISM CHOICE: the shp/ssc wedge (Task E design) rather than a new kernel column, because the kernel already separates the efficiency price (shp) from the usage price (atp); the block already had o4 in the fuel-ER rows, so adding it to the process-ER price term is the minimal completion. Check Task J section (row 1611) stores the v2 values per bundle; the Task I rows 'efficiency-term price unchanged' and 'ener = v1 when theta = 0' are now also conditioned on phi = 0. Only bundle 3C (phi = 1) changes; LEGACY and every phi = 0 bundle reproduce v2 exactly. MERGE NOTES for Stream 1: (1) re-apply '+o4' inside the process price term of whatever o118-o125 / o15-o16 form wins (v0.9 ERmax form, Manual inputs T:W rows 53-60); (2) the fund budget is calibrated on the block semi-elasticities, not on the kernel eF energy response (Task G reconciliation); (3) o5 is redefined as the pre-fund fund size F; (4) Task H (Stream 1 v0.10) output response may change rev0 through production; (5) scenario-1 fund block is memo only. Sheets list above not extended (keeps row 25 fixed).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</si>
</sst>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_(* #,##0.00_);_(* \(#,##0.00\);_(* \-??_);_(@_)"/>
    <numFmt numFmtId="165" formatCode="0.0000"/>
    <numFmt numFmtId="166" formatCode="0.000"/>
    <numFmt numFmtId="167" formatCode="_(* #,##0_);_(* \(#,##0\);_(* \-??_);_(@_)"/>
    <numFmt numFmtId="168" formatCode="0.000000"/>
    <numFmt numFmtId="169" formatCode="0.00000"/>
    <numFmt numFmtId="170" formatCode="0.0"/>
    <numFmt numFmtId="171" formatCode="\+0.000;\-0.000;\-"/>
    <numFmt numFmtId="172" formatCode="0.000%"/>
    <numFmt numFmtId="173" formatCode="_(&quot;$&quot;* #,##0_);_(&quot;$&quot;* \(#,##0\);_(&quot;$&quot;* &quot;-&quot;??_);_(@_)"/>
    <numFmt numFmtId="174" formatCode="_(* #,##0_);_(* \(#,##0\);_(* &quot;-&quot;??_);_(@_)"/>
    <numFmt numFmtId="175" formatCode="0.0%"/>
    <numFmt numFmtId="176" formatCode="_(* #,##0_);_(* \(#,##0\);_(* &quot;-&quot;?????_);_(@_)"/>
    <numFmt numFmtId="177" formatCode="0.0000000000"/>
    <numFmt numFmtId="178" formatCode="0.0E+00"/>
  </numFmts>
  <fonts count="25" x14ac:knownFonts="1">
    <font>
      <sz val="11"/>
      <color theme="1"/>
      <name val="Calibri"/>
      <family val="2"/>
      <charset val="1"/>
    </font>
    <font>
      <b/>
      <sz val="14"/>
      <color rgb="FF37562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color rgb="FF7F7F7F"/>
      <name val="Arial"/>
      <family val="2"/>
    </font>
    <font>
      <sz val="10"/>
      <name val="Consolas"/>
      <family val="3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1"/>
      <color rgb="FFD9D9D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rgb="FF375623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rgb="FFD9D9D9"/>
      </patternFill>
    </fill>
    <fill>
      <patternFill patternType="solid">
        <fgColor rgb="FFDDD9C4"/>
        <bgColor rgb="FFD9D9D9"/>
      </patternFill>
    </fill>
    <fill>
      <patternFill patternType="solid">
        <fgColor rgb="FFEBF1DE"/>
        <bgColor rgb="FFFFFFFF"/>
      </patternFill>
    </fill>
    <fill>
      <patternFill patternType="solid">
        <fgColor rgb="FFEBF1DE"/>
        <bgColor rgb="FFDAE3F3"/>
      </patternFill>
    </fill>
    <fill>
      <patternFill patternType="solid">
        <fgColor rgb="FFDCE6F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3" borderId="0" xfId="0" applyFont="1" applyFill="1" applyAlignment="1">
      <alignment horizontal="right"/>
    </xf>
    <xf numFmtId="0" fontId="7" fillId="3" borderId="0" xfId="0" applyFont="1" applyFill="1"/>
    <xf numFmtId="0" fontId="0" fillId="3" borderId="0" xfId="0" applyFill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indent="2"/>
    </xf>
    <xf numFmtId="166" fontId="3" fillId="0" borderId="0" xfId="0" applyNumberFormat="1" applyFont="1" applyAlignment="1">
      <alignment horizontal="center"/>
    </xf>
    <xf numFmtId="167" fontId="0" fillId="0" borderId="0" xfId="0" applyNumberFormat="1"/>
    <xf numFmtId="0" fontId="2" fillId="0" borderId="2" xfId="0" applyFont="1" applyBorder="1" applyAlignment="1">
      <alignment horizontal="left"/>
    </xf>
    <xf numFmtId="167" fontId="2" fillId="0" borderId="2" xfId="0" applyNumberFormat="1" applyFont="1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168" fontId="2" fillId="2" borderId="0" xfId="0" applyNumberFormat="1" applyFont="1" applyFill="1"/>
    <xf numFmtId="168" fontId="2" fillId="0" borderId="0" xfId="0" applyNumberFormat="1" applyFont="1"/>
    <xf numFmtId="168" fontId="0" fillId="0" borderId="0" xfId="0" applyNumberFormat="1"/>
    <xf numFmtId="0" fontId="0" fillId="4" borderId="0" xfId="0" applyFill="1"/>
    <xf numFmtId="0" fontId="11" fillId="4" borderId="0" xfId="0" applyFont="1" applyFill="1"/>
    <xf numFmtId="0" fontId="13" fillId="4" borderId="0" xfId="0" applyFont="1" applyFill="1"/>
    <xf numFmtId="0" fontId="0" fillId="5" borderId="0" xfId="0" applyFill="1"/>
    <xf numFmtId="0" fontId="11" fillId="5" borderId="0" xfId="0" applyFont="1" applyFill="1"/>
    <xf numFmtId="0" fontId="14" fillId="0" borderId="0" xfId="0" applyFont="1"/>
    <xf numFmtId="0" fontId="11" fillId="6" borderId="0" xfId="0" applyFont="1" applyFill="1"/>
    <xf numFmtId="0" fontId="0" fillId="6" borderId="0" xfId="0" applyFill="1"/>
    <xf numFmtId="0" fontId="15" fillId="0" borderId="0" xfId="0" applyFont="1"/>
    <xf numFmtId="0" fontId="11" fillId="7" borderId="0" xfId="0" applyFont="1" applyFill="1"/>
    <xf numFmtId="0" fontId="0" fillId="7" borderId="0" xfId="0" applyFill="1"/>
    <xf numFmtId="0" fontId="16" fillId="4" borderId="0" xfId="0" applyFont="1" applyFill="1"/>
    <xf numFmtId="0" fontId="10" fillId="8" borderId="0" xfId="0" applyFont="1" applyFill="1" applyAlignment="1">
      <alignment horizontal="center"/>
    </xf>
    <xf numFmtId="0" fontId="2" fillId="9" borderId="1" xfId="0" applyFont="1" applyFill="1" applyBorder="1"/>
    <xf numFmtId="167" fontId="0" fillId="9" borderId="0" xfId="0" applyNumberFormat="1" applyFill="1"/>
    <xf numFmtId="0" fontId="2" fillId="10" borderId="1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" xfId="0" applyFont="1" applyFill="1" applyBorder="1"/>
    <xf numFmtId="0" fontId="3" fillId="10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8" fillId="4" borderId="0" xfId="0" applyFont="1" applyFill="1"/>
    <xf numFmtId="0" fontId="20" fillId="4" borderId="0" xfId="0" applyFont="1" applyFill="1"/>
    <xf numFmtId="0" fontId="19" fillId="0" borderId="0" xfId="0" applyFont="1"/>
    <xf numFmtId="169" fontId="19" fillId="0" borderId="0" xfId="0" applyNumberFormat="1" applyFont="1"/>
    <xf numFmtId="0" fontId="19" fillId="0" borderId="0" xfId="0" applyFont="1" applyAlignment="1">
      <alignment wrapText="1"/>
    </xf>
    <xf numFmtId="166" fontId="18" fillId="0" borderId="0" xfId="0" applyNumberFormat="1" applyFont="1"/>
    <xf numFmtId="166" fontId="19" fillId="0" borderId="0" xfId="0" applyNumberFormat="1" applyFont="1"/>
    <xf numFmtId="171" fontId="18" fillId="0" borderId="0" xfId="0" applyNumberFormat="1" applyFont="1"/>
    <xf numFmtId="0" fontId="18" fillId="7" borderId="0" xfId="0" applyFont="1" applyFill="1"/>
    <xf numFmtId="0" fontId="19" fillId="5" borderId="0" xfId="0" applyFont="1" applyFill="1"/>
    <xf numFmtId="0" fontId="18" fillId="5" borderId="0" xfId="0" applyFont="1" applyFill="1"/>
    <xf numFmtId="166" fontId="18" fillId="7" borderId="0" xfId="0" applyNumberFormat="1" applyFont="1" applyFill="1"/>
    <xf numFmtId="0" fontId="19" fillId="7" borderId="0" xfId="0" applyFont="1" applyFill="1"/>
    <xf numFmtId="170" fontId="18" fillId="7" borderId="0" xfId="0" applyNumberFormat="1" applyFont="1" applyFill="1"/>
    <xf numFmtId="9" fontId="18" fillId="7" borderId="0" xfId="0" applyNumberFormat="1" applyFont="1" applyFill="1"/>
    <xf numFmtId="172" fontId="18" fillId="7" borderId="0" xfId="0" applyNumberFormat="1" applyFont="1" applyFill="1"/>
    <xf numFmtId="0" fontId="21" fillId="0" borderId="0" xfId="0" applyFont="1"/>
    <xf numFmtId="169" fontId="21" fillId="0" borderId="0" xfId="0" applyNumberFormat="1" applyFont="1"/>
    <xf numFmtId="43" fontId="21" fillId="0" borderId="0" xfId="0" applyNumberFormat="1" applyFont="1"/>
    <xf numFmtId="169" fontId="17" fillId="0" borderId="0" xfId="0" applyNumberFormat="1" applyFont="1"/>
    <xf numFmtId="1" fontId="21" fillId="0" borderId="0" xfId="0" applyNumberFormat="1" applyFont="1"/>
    <xf numFmtId="174" fontId="21" fillId="0" borderId="0" xfId="0" applyNumberFormat="1" applyFont="1"/>
    <xf numFmtId="166" fontId="21" fillId="0" borderId="0" xfId="0" applyNumberFormat="1" applyFont="1"/>
    <xf numFmtId="170" fontId="21" fillId="0" borderId="0" xfId="0" applyNumberFormat="1" applyFont="1"/>
    <xf numFmtId="9" fontId="21" fillId="0" borderId="0" xfId="0" applyNumberFormat="1" applyFont="1"/>
    <xf numFmtId="171" fontId="21" fillId="0" borderId="0" xfId="0" applyNumberFormat="1" applyFont="1"/>
    <xf numFmtId="3" fontId="21" fillId="0" borderId="0" xfId="0" applyNumberFormat="1" applyFont="1"/>
    <xf numFmtId="176" fontId="21" fillId="0" borderId="0" xfId="0" applyNumberFormat="1" applyFont="1"/>
    <xf numFmtId="172" fontId="21" fillId="0" borderId="0" xfId="0" applyNumberFormat="1" applyFont="1"/>
    <xf numFmtId="177" fontId="21" fillId="0" borderId="0" xfId="0" applyNumberFormat="1" applyFont="1"/>
    <xf numFmtId="10" fontId="21" fillId="0" borderId="0" xfId="0" applyNumberFormat="1" applyFont="1"/>
    <xf numFmtId="0" fontId="21" fillId="7" borderId="0" xfId="0" applyFont="1" applyFill="1"/>
    <xf numFmtId="169" fontId="21" fillId="12" borderId="0" xfId="0" applyNumberFormat="1" applyFont="1" applyFill="1"/>
    <xf numFmtId="0" fontId="21" fillId="12" borderId="0" xfId="0" applyFont="1" applyFill="1"/>
    <xf numFmtId="3" fontId="21" fillId="7" borderId="0" xfId="0" applyNumberFormat="1" applyFont="1" applyFill="1"/>
    <xf numFmtId="175" fontId="21" fillId="7" borderId="0" xfId="0" applyNumberFormat="1" applyFont="1" applyFill="1"/>
    <xf numFmtId="43" fontId="21" fillId="13" borderId="0" xfId="0" applyNumberFormat="1" applyFont="1" applyFill="1"/>
    <xf numFmtId="0" fontId="21" fillId="0" borderId="0" xfId="0" applyFont="1" applyAlignment="1">
      <alignment wrapText="1"/>
    </xf>
    <xf numFmtId="0" fontId="0" fillId="14" borderId="0" xfId="0" applyFill="1"/>
    <xf numFmtId="0" fontId="18" fillId="13" borderId="0" xfId="0" applyFont="1" applyFill="1"/>
    <xf numFmtId="0" fontId="18" fillId="12" borderId="0" xfId="0" applyFont="1" applyFill="1"/>
    <xf numFmtId="0" fontId="0" fillId="0" borderId="0" xfId="0" quotePrefix="1"/>
    <xf numFmtId="173" fontId="21" fillId="0" borderId="0" xfId="0" applyNumberFormat="1" applyFont="1"/>
    <xf numFmtId="43" fontId="0" fillId="0" borderId="0" xfId="0" applyNumberFormat="1"/>
    <xf numFmtId="43" fontId="0" fillId="14" borderId="0" xfId="0" applyNumberFormat="1" applyFill="1"/>
    <xf numFmtId="0" fontId="21" fillId="13" borderId="0" xfId="0" applyFont="1" applyFill="1"/>
    <xf numFmtId="166" fontId="21" fillId="13" borderId="0" xfId="0" applyNumberFormat="1" applyFont="1" applyFill="1"/>
    <xf numFmtId="0" fontId="22" fillId="0" borderId="0" xfId="0" applyFont="1"/>
    <xf numFmtId="0" fontId="24" fillId="4" borderId="0" xfId="0" applyFont="1" applyFill="1"/>
    <xf numFmtId="0" fontId="22" fillId="7" borderId="0" xfId="0" applyFont="1" applyFill="1"/>
    <xf numFmtId="0" fontId="23" fillId="7" borderId="0" xfId="0" applyFont="1" applyFill="1"/>
    <xf numFmtId="0" fontId="22" fillId="12" borderId="0" xfId="0" applyFont="1" applyFill="1"/>
    <xf numFmtId="168" fontId="22" fillId="7" borderId="0" xfId="0" applyNumberFormat="1" applyFont="1" applyFill="1"/>
    <xf numFmtId="165" fontId="22" fillId="0" borderId="0" xfId="0" applyNumberFormat="1" applyFont="1"/>
    <xf numFmtId="165" fontId="22" fillId="7" borderId="0" xfId="0" applyNumberFormat="1" applyFont="1" applyFill="1"/>
    <xf numFmtId="178" fontId="22" fillId="0" borderId="0" xfId="0" applyNumberFormat="1" applyFont="1"/>
    <xf numFmtId="0" fontId="23" fillId="0" borderId="0" xfId="0" applyFont="1"/>
    <xf numFmtId="177" fontId="22" fillId="7" borderId="0" xfId="0" applyNumberFormat="1" applyFont="1" applyFill="1"/>
    <xf numFmtId="177" fontId="22" fillId="0" borderId="0" xfId="0" applyNumberFormat="1" applyFont="1"/>
    <xf numFmtId="0" fontId="22" fillId="14" borderId="0" xfId="0" applyFont="1" applyFill="1"/>
    <xf numFmtId="0" fontId="10" fillId="12" borderId="0" xfId="0" applyFont="1" applyFill="1" applyAlignment="1">
      <alignment horizontal="center"/>
    </xf>
    <xf numFmtId="165" fontId="0" fillId="9" borderId="0" xfId="0" applyNumberFormat="1" applyFill="1"/>
    <xf numFmtId="165" fontId="2" fillId="0" borderId="2" xfId="0" applyNumberFormat="1" applyFont="1" applyBorder="1"/>
    <xf numFmtId="178" fontId="0" fillId="0" borderId="0" xfId="0" applyNumberFormat="1"/>
    <xf numFmtId="0" fontId="22" fillId="7" borderId="0" xfId="0" applyFont="1" applyFill="1" applyAlignment="1">
      <alignment horizontal="right"/>
    </xf>
    <xf numFmtId="0" fontId="10" fillId="0" borderId="0" xfId="0" applyFont="1" applyFill="1" applyAlignment="1">
      <alignment horizontal="center"/>
    </xf>
    <xf numFmtId="2" fontId="0" fillId="0" borderId="0" xfId="0" applyNumberFormat="1"/>
    <xf numFmtId="1" fontId="0" fillId="0" borderId="0" xfId="0" applyNumberFormat="1"/>
    <xf numFmtId="0" fontId="22" fillId="0" borderId="0" xfId="0" applyFont="1" applyAlignment="1">
      <alignment horizontal="right"/>
    </xf>
    <xf numFmtId="0" fontId="0" fillId="3" borderId="0" xfId="0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9" borderId="1" xfId="0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18" fillId="0" borderId="0" xfId="0" applyNumberFormat="1" applyFont="1" applyFill="1"/>
    <xf numFmtId="2" fontId="21" fillId="0" borderId="0" xfId="0" applyNumberFormat="1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18" zoomScaleNormal="100" workbookViewId="0">
      <selection activeCell="A37" sqref="A37:XFD37"/>
    </sheetView>
  </sheetViews>
  <sheetFormatPr defaultColWidth="8.6640625" defaultRowHeight="14.25" x14ac:dyDescent="0.45"/>
  <cols>
    <col min="1" max="1" width="38" customWidth="1"/>
    <col min="2" max="2" width="18" customWidth="1"/>
    <col min="3" max="3" width="70" customWidth="1"/>
  </cols>
  <sheetData>
    <row r="1" spans="1:3" ht="17.649999999999999" x14ac:dyDescent="0.5">
      <c r="A1" s="1" t="s">
        <v>2952</v>
      </c>
    </row>
    <row r="3" spans="1:3" x14ac:dyDescent="0.45">
      <c r="A3" s="2" t="s">
        <v>0</v>
      </c>
      <c r="B3" s="51" t="s">
        <v>1</v>
      </c>
      <c r="C3" s="3" t="s">
        <v>2</v>
      </c>
    </row>
    <row r="4" spans="1:3" x14ac:dyDescent="0.45">
      <c r="A4" s="2" t="s">
        <v>3</v>
      </c>
      <c r="B4" s="51" t="s">
        <v>4</v>
      </c>
      <c r="C4" s="3" t="s">
        <v>5</v>
      </c>
    </row>
    <row r="5" spans="1:3" x14ac:dyDescent="0.45">
      <c r="A5" s="2" t="s">
        <v>6</v>
      </c>
      <c r="B5" s="51" t="s">
        <v>7</v>
      </c>
      <c r="C5" s="3" t="s">
        <v>8</v>
      </c>
    </row>
    <row r="6" spans="1:3" x14ac:dyDescent="0.45">
      <c r="A6" s="2" t="s">
        <v>9</v>
      </c>
      <c r="B6" s="51">
        <v>2022</v>
      </c>
      <c r="C6" s="3" t="s">
        <v>10</v>
      </c>
    </row>
    <row r="7" spans="1:3" x14ac:dyDescent="0.45">
      <c r="A7" s="2" t="s">
        <v>11</v>
      </c>
      <c r="B7" s="16">
        <f>INDEX(MTInputs!$F$8:$F$415,MATCH("AdditionalEfficiencyIndustrial",MTInputs!$H$8:$H$415,0))</f>
        <v>0</v>
      </c>
      <c r="C7" s="3" t="s">
        <v>12</v>
      </c>
    </row>
    <row r="8" spans="1:3" x14ac:dyDescent="0.45">
      <c r="A8" s="2" t="s">
        <v>13</v>
      </c>
      <c r="B8" s="16">
        <f>INDEX(MTInputs!$F$8:$F$415,MATCH("CPIntro",MTInputs!$H$8:$H$415,0))</f>
        <v>2026</v>
      </c>
      <c r="C8" s="3" t="s">
        <v>14</v>
      </c>
    </row>
    <row r="9" spans="1:3" x14ac:dyDescent="0.45">
      <c r="A9" s="2" t="s">
        <v>15</v>
      </c>
      <c r="B9" s="16">
        <f>INDEX(MTInputs!$F$8:$F$415,MATCH("CPLevelTarget",MTInputs!$H$8:$H$415,0))</f>
        <v>50</v>
      </c>
      <c r="C9" s="3" t="s">
        <v>16</v>
      </c>
    </row>
    <row r="10" spans="1:3" x14ac:dyDescent="0.45">
      <c r="A10" t="s">
        <v>1833</v>
      </c>
      <c r="B10" s="43" t="s">
        <v>1754</v>
      </c>
      <c r="C10" t="s">
        <v>1834</v>
      </c>
    </row>
    <row r="12" spans="1:3" x14ac:dyDescent="0.45">
      <c r="A12" s="2" t="s">
        <v>17</v>
      </c>
    </row>
    <row r="13" spans="1:3" x14ac:dyDescent="0.45">
      <c r="A13" s="4" t="s">
        <v>18</v>
      </c>
    </row>
    <row r="14" spans="1:3" x14ac:dyDescent="0.45">
      <c r="A14" s="3" t="s">
        <v>19</v>
      </c>
    </row>
    <row r="16" spans="1:3" x14ac:dyDescent="0.45">
      <c r="A16" s="2" t="s">
        <v>20</v>
      </c>
    </row>
    <row r="17" spans="1:3" x14ac:dyDescent="0.45">
      <c r="A17" s="2" t="s">
        <v>1713</v>
      </c>
      <c r="C17" t="s">
        <v>1714</v>
      </c>
    </row>
    <row r="18" spans="1:3" x14ac:dyDescent="0.45">
      <c r="A18" s="2" t="s">
        <v>1789</v>
      </c>
      <c r="C18" t="s">
        <v>1835</v>
      </c>
    </row>
    <row r="19" spans="1:3" x14ac:dyDescent="0.45">
      <c r="A19" s="5" t="s">
        <v>21</v>
      </c>
      <c r="C19" s="3" t="s">
        <v>1715</v>
      </c>
    </row>
    <row r="20" spans="1:3" x14ac:dyDescent="0.45">
      <c r="A20" s="5" t="s">
        <v>22</v>
      </c>
      <c r="C20" s="3" t="s">
        <v>23</v>
      </c>
    </row>
    <row r="21" spans="1:3" x14ac:dyDescent="0.45">
      <c r="A21" s="5" t="s">
        <v>24</v>
      </c>
      <c r="C21" s="3" t="s">
        <v>25</v>
      </c>
    </row>
    <row r="22" spans="1:3" x14ac:dyDescent="0.45">
      <c r="A22" s="5" t="s">
        <v>26</v>
      </c>
      <c r="C22" s="3" t="s">
        <v>1836</v>
      </c>
    </row>
    <row r="23" spans="1:3" x14ac:dyDescent="0.45">
      <c r="A23" s="5" t="s">
        <v>27</v>
      </c>
      <c r="C23" s="3" t="s">
        <v>28</v>
      </c>
    </row>
    <row r="24" spans="1:3" x14ac:dyDescent="0.45">
      <c r="A24" s="5" t="s">
        <v>29</v>
      </c>
      <c r="C24" s="3" t="s">
        <v>30</v>
      </c>
    </row>
    <row r="25" spans="1:3" x14ac:dyDescent="0.45">
      <c r="A25" s="5" t="s">
        <v>31</v>
      </c>
      <c r="C25" s="3" t="s">
        <v>2953</v>
      </c>
    </row>
    <row r="27" spans="1:3" x14ac:dyDescent="0.45">
      <c r="A27" s="52" t="s">
        <v>1306</v>
      </c>
    </row>
    <row r="28" spans="1:3" x14ac:dyDescent="0.45">
      <c r="A28" t="s">
        <v>1307</v>
      </c>
      <c r="C28" t="s">
        <v>1308</v>
      </c>
    </row>
    <row r="29" spans="1:3" x14ac:dyDescent="0.45">
      <c r="A29" t="s">
        <v>1309</v>
      </c>
      <c r="C29" t="s">
        <v>1310</v>
      </c>
    </row>
    <row r="30" spans="1:3" x14ac:dyDescent="0.45">
      <c r="A30" t="s">
        <v>1716</v>
      </c>
      <c r="C30" t="s">
        <v>1717</v>
      </c>
    </row>
    <row r="31" spans="1:3" x14ac:dyDescent="0.45">
      <c r="A31" t="s">
        <v>1837</v>
      </c>
      <c r="B31" s="95" t="s">
        <v>1838</v>
      </c>
      <c r="C31" t="s">
        <v>1839</v>
      </c>
    </row>
    <row r="32" spans="1:3" x14ac:dyDescent="0.45">
      <c r="A32" t="s">
        <v>1883</v>
      </c>
      <c r="B32" s="95" t="s">
        <v>1838</v>
      </c>
      <c r="C32" t="s">
        <v>1884</v>
      </c>
    </row>
    <row r="33" spans="1:3" x14ac:dyDescent="0.45">
      <c r="A33" t="s">
        <v>1912</v>
      </c>
      <c r="B33" s="95" t="s">
        <v>1838</v>
      </c>
      <c r="C33" t="s">
        <v>1913</v>
      </c>
    </row>
    <row r="34" spans="1:3" x14ac:dyDescent="0.45">
      <c r="A34" t="s">
        <v>1925</v>
      </c>
      <c r="B34" s="95" t="s">
        <v>1838</v>
      </c>
      <c r="C34" t="s">
        <v>1926</v>
      </c>
    </row>
    <row r="35" spans="1:3" x14ac:dyDescent="0.45">
      <c r="A35" t="s">
        <v>2073</v>
      </c>
      <c r="B35" s="95" t="s">
        <v>1838</v>
      </c>
      <c r="C35" t="s">
        <v>2074</v>
      </c>
    </row>
    <row r="36" spans="1:3" x14ac:dyDescent="0.45">
      <c r="A36" t="s">
        <v>2442</v>
      </c>
      <c r="B36" s="95" t="s">
        <v>1838</v>
      </c>
      <c r="C36" t="s">
        <v>2443</v>
      </c>
    </row>
    <row r="37" spans="1:3" x14ac:dyDescent="0.45">
      <c r="A37" t="s">
        <v>2954</v>
      </c>
      <c r="B37" s="95" t="s">
        <v>1838</v>
      </c>
      <c r="C37" s="134" t="s">
        <v>2955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5F8148-CF66-412B-87A0-B97989DA7611}">
          <x14:formula1>
            <xm:f>Scenarios!$B$17:$B$23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3E7-E9AD-4BB8-8CB6-5A6773C2FEDF}">
  <dimension ref="A1:AE47"/>
  <sheetViews>
    <sheetView workbookViewId="0"/>
  </sheetViews>
  <sheetFormatPr defaultRowHeight="12.75" x14ac:dyDescent="0.35"/>
  <cols>
    <col min="1" max="1" width="2.53125" style="53" customWidth="1"/>
    <col min="2" max="2" width="12.53125" style="53" customWidth="1"/>
    <col min="3" max="3" width="17.53125" style="53" customWidth="1"/>
    <col min="4" max="5" width="28.3984375" style="53" customWidth="1"/>
    <col min="6" max="6" width="18.06640625" style="53" customWidth="1"/>
    <col min="7" max="7" width="10.9296875" style="53" customWidth="1"/>
    <col min="8" max="8" width="7.53125" style="53" customWidth="1"/>
    <col min="9" max="9" width="13.265625" style="53" customWidth="1"/>
    <col min="10" max="11" width="9.53125" style="53" customWidth="1"/>
    <col min="12" max="12" width="10.06640625" style="53" customWidth="1"/>
    <col min="13" max="16" width="9.53125" style="53" customWidth="1"/>
    <col min="17" max="17" width="24.265625" style="53" customWidth="1"/>
    <col min="18" max="31" width="9.53125" style="53" customWidth="1"/>
    <col min="32" max="16384" width="9.06640625" style="53"/>
  </cols>
  <sheetData>
    <row r="1" spans="1:31" ht="17.649999999999999" x14ac:dyDescent="0.5">
      <c r="A1" s="54"/>
      <c r="B1" s="55" t="s">
        <v>1311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x14ac:dyDescent="0.35">
      <c r="B2" s="53" t="s">
        <v>1312</v>
      </c>
    </row>
    <row r="3" spans="1:31" x14ac:dyDescent="0.35">
      <c r="B3" s="53" t="s">
        <v>1313</v>
      </c>
    </row>
    <row r="18" spans="1:31" ht="13.15" x14ac:dyDescent="0.4">
      <c r="A18" s="63" t="s">
        <v>1314</v>
      </c>
      <c r="B18" s="63" t="s">
        <v>1315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spans="1:31" ht="13.15" x14ac:dyDescent="0.4">
      <c r="B19" s="56" t="s">
        <v>1316</v>
      </c>
    </row>
    <row r="20" spans="1:31" x14ac:dyDescent="0.35">
      <c r="H20" s="53" t="s">
        <v>283</v>
      </c>
      <c r="I20" s="53" t="s">
        <v>284</v>
      </c>
      <c r="J20" s="53" t="s">
        <v>285</v>
      </c>
      <c r="K20" s="53" t="s">
        <v>286</v>
      </c>
      <c r="L20" s="53" t="s">
        <v>287</v>
      </c>
    </row>
    <row r="21" spans="1:31" x14ac:dyDescent="0.35">
      <c r="D21" s="53" t="s">
        <v>1864</v>
      </c>
      <c r="E21" s="93" t="b">
        <f>Scenarios!$G$27=1</f>
        <v>0</v>
      </c>
      <c r="H21" s="62" t="b">
        <v>1</v>
      </c>
      <c r="I21" s="62" t="b">
        <v>1</v>
      </c>
      <c r="J21" s="62" t="b">
        <v>1</v>
      </c>
      <c r="K21" s="62"/>
      <c r="L21" s="62" t="b">
        <v>1</v>
      </c>
    </row>
    <row r="22" spans="1:31" x14ac:dyDescent="0.35">
      <c r="H22" s="53" t="b">
        <f>AND($E$21,'Manual inputs'!H21)</f>
        <v>0</v>
      </c>
      <c r="I22" s="53" t="b">
        <f>AND($E$21,'Manual inputs'!I21)</f>
        <v>0</v>
      </c>
      <c r="J22" s="53" t="b">
        <f>AND($E$21,'Manual inputs'!J21)</f>
        <v>0</v>
      </c>
      <c r="K22" s="53" t="b">
        <v>0</v>
      </c>
      <c r="L22" s="53" t="b">
        <f>AND($E$21,'Manual inputs'!L21)</f>
        <v>0</v>
      </c>
    </row>
    <row r="28" spans="1:31" ht="13.15" x14ac:dyDescent="0.4">
      <c r="B28" s="57" t="s">
        <v>1317</v>
      </c>
      <c r="H28" s="56" t="s">
        <v>1318</v>
      </c>
      <c r="O28" s="56" t="s">
        <v>1319</v>
      </c>
      <c r="S28" s="56" t="s">
        <v>1320</v>
      </c>
      <c r="W28" s="56" t="s">
        <v>1321</v>
      </c>
      <c r="AD28" s="56" t="s">
        <v>1322</v>
      </c>
    </row>
    <row r="29" spans="1:31" ht="39.4" x14ac:dyDescent="0.4">
      <c r="D29" s="56" t="s">
        <v>1323</v>
      </c>
      <c r="E29" s="56" t="s">
        <v>35</v>
      </c>
      <c r="F29" s="56" t="s">
        <v>1324</v>
      </c>
      <c r="G29" s="56" t="s">
        <v>1325</v>
      </c>
      <c r="H29" s="56" t="s">
        <v>1326</v>
      </c>
      <c r="I29" s="56" t="s">
        <v>1327</v>
      </c>
      <c r="J29" s="56" t="s">
        <v>1328</v>
      </c>
      <c r="K29" s="56" t="s">
        <v>1329</v>
      </c>
      <c r="L29" s="56" t="s">
        <v>1330</v>
      </c>
      <c r="M29" s="58" t="s">
        <v>1331</v>
      </c>
      <c r="N29" s="58" t="s">
        <v>1332</v>
      </c>
      <c r="O29" s="56" t="s">
        <v>1333</v>
      </c>
      <c r="P29" s="58" t="s">
        <v>1334</v>
      </c>
      <c r="Q29" s="58" t="s">
        <v>1335</v>
      </c>
      <c r="R29" s="58" t="s">
        <v>1336</v>
      </c>
      <c r="S29" s="58" t="s">
        <v>1337</v>
      </c>
      <c r="T29" s="58" t="s">
        <v>1338</v>
      </c>
      <c r="U29" s="58" t="s">
        <v>1339</v>
      </c>
      <c r="V29" s="58" t="s">
        <v>1340</v>
      </c>
      <c r="W29" s="58" t="s">
        <v>1341</v>
      </c>
      <c r="X29" s="58" t="s">
        <v>1342</v>
      </c>
      <c r="Y29" s="58" t="s">
        <v>1343</v>
      </c>
      <c r="Z29" s="58" t="s">
        <v>1344</v>
      </c>
      <c r="AA29" s="58" t="s">
        <v>1345</v>
      </c>
      <c r="AB29" s="58" t="s">
        <v>1346</v>
      </c>
      <c r="AC29" s="56" t="s">
        <v>1347</v>
      </c>
      <c r="AD29" s="56" t="s">
        <v>1348</v>
      </c>
      <c r="AE29" s="56" t="s">
        <v>1349</v>
      </c>
    </row>
    <row r="30" spans="1:31" ht="13.15" x14ac:dyDescent="0.4">
      <c r="D30" s="56" t="s">
        <v>1350</v>
      </c>
      <c r="E30" s="53" t="s">
        <v>1351</v>
      </c>
      <c r="F30" s="53" t="s">
        <v>1352</v>
      </c>
      <c r="G30" s="53" t="s">
        <v>1353</v>
      </c>
      <c r="H30" s="65">
        <v>0.12903000000000001</v>
      </c>
      <c r="I30" s="65">
        <v>0.56100000000000005</v>
      </c>
      <c r="J30" s="65">
        <v>0.04</v>
      </c>
      <c r="K30" s="65">
        <v>0</v>
      </c>
      <c r="L30" s="59">
        <f t="shared" ref="L30:L37" si="0">SUM(H30:K30)</f>
        <v>0.73003000000000007</v>
      </c>
      <c r="M30" s="65">
        <v>0</v>
      </c>
      <c r="N30" s="59">
        <f t="shared" ref="N30:N37" si="1">L30+M30</f>
        <v>0.73003000000000007</v>
      </c>
      <c r="O30" s="65">
        <v>0.25</v>
      </c>
      <c r="P30" s="66">
        <v>0</v>
      </c>
      <c r="Q30" s="59">
        <f t="shared" ref="Q30:Q37" si="2">N30+O30</f>
        <v>0.98003000000000007</v>
      </c>
      <c r="R30" s="60">
        <f t="shared" ref="R30:R37" si="3">N30+O30*P30</f>
        <v>0.73003000000000007</v>
      </c>
      <c r="S30" s="67">
        <v>5</v>
      </c>
      <c r="T30" s="67">
        <v>56.1</v>
      </c>
      <c r="U30" s="67">
        <v>24</v>
      </c>
      <c r="V30" s="67">
        <v>56.1</v>
      </c>
      <c r="W30" s="65">
        <v>1.82</v>
      </c>
      <c r="X30" s="68">
        <v>0.1</v>
      </c>
      <c r="Y30" s="59">
        <f t="shared" ref="Y30:Y37" si="4">W30*(1+X30)</f>
        <v>2.0020000000000002</v>
      </c>
      <c r="Z30" s="65">
        <v>0.48099999999999998</v>
      </c>
      <c r="AA30" s="61">
        <f t="shared" ref="AA30:AA37" si="5">R30-Y30</f>
        <v>-1.27197</v>
      </c>
      <c r="AB30" s="61">
        <f t="shared" ref="AB30:AB37" si="6">R30-Z30</f>
        <v>0.24903000000000008</v>
      </c>
      <c r="AC30" s="53" t="s">
        <v>1354</v>
      </c>
      <c r="AD30" s="56" t="s">
        <v>1355</v>
      </c>
      <c r="AE30" s="56" t="s">
        <v>1356</v>
      </c>
    </row>
    <row r="31" spans="1:31" ht="13.15" x14ac:dyDescent="0.4">
      <c r="D31" s="56" t="s">
        <v>1357</v>
      </c>
      <c r="E31" s="53" t="s">
        <v>1351</v>
      </c>
      <c r="F31" s="53" t="s">
        <v>1358</v>
      </c>
      <c r="G31" s="53" t="s">
        <v>1359</v>
      </c>
      <c r="H31" s="65">
        <v>0.14025000000000001</v>
      </c>
      <c r="I31" s="65">
        <v>0</v>
      </c>
      <c r="J31" s="65">
        <v>1.4999999999999999E-2</v>
      </c>
      <c r="K31" s="65">
        <v>0</v>
      </c>
      <c r="L31" s="59">
        <f t="shared" si="0"/>
        <v>0.15525</v>
      </c>
      <c r="M31" s="65">
        <v>0</v>
      </c>
      <c r="N31" s="59">
        <f t="shared" si="1"/>
        <v>0.15525</v>
      </c>
      <c r="O31" s="65">
        <v>0.25</v>
      </c>
      <c r="P31" s="66">
        <v>0</v>
      </c>
      <c r="Q31" s="59">
        <f t="shared" si="2"/>
        <v>0.40525</v>
      </c>
      <c r="R31" s="60">
        <f t="shared" si="3"/>
        <v>0.15525</v>
      </c>
      <c r="S31" s="67">
        <v>2.5</v>
      </c>
      <c r="T31" s="67">
        <v>56.1</v>
      </c>
      <c r="U31" s="67">
        <v>0</v>
      </c>
      <c r="V31" s="67">
        <v>0</v>
      </c>
      <c r="W31" s="65">
        <v>0.72</v>
      </c>
      <c r="X31" s="68">
        <v>0.1</v>
      </c>
      <c r="Y31" s="59">
        <f t="shared" si="4"/>
        <v>0.79200000000000004</v>
      </c>
      <c r="Z31" s="65">
        <v>7.1999999999999995E-2</v>
      </c>
      <c r="AA31" s="61">
        <f t="shared" si="5"/>
        <v>-0.63675000000000004</v>
      </c>
      <c r="AB31" s="61">
        <f t="shared" si="6"/>
        <v>8.3250000000000005E-2</v>
      </c>
      <c r="AC31" s="53" t="s">
        <v>1360</v>
      </c>
      <c r="AD31" s="56" t="s">
        <v>1361</v>
      </c>
      <c r="AE31" s="56" t="s">
        <v>1362</v>
      </c>
    </row>
    <row r="32" spans="1:31" ht="13.15" x14ac:dyDescent="0.4">
      <c r="D32" s="56" t="s">
        <v>1363</v>
      </c>
      <c r="E32" s="53" t="s">
        <v>1351</v>
      </c>
      <c r="F32" s="53" t="s">
        <v>1364</v>
      </c>
      <c r="G32" s="53" t="s">
        <v>1365</v>
      </c>
      <c r="H32" s="65">
        <v>0.38440000000000002</v>
      </c>
      <c r="I32" s="65">
        <v>1.5376000000000001</v>
      </c>
      <c r="J32" s="65">
        <v>0.25</v>
      </c>
      <c r="K32" s="65">
        <v>0</v>
      </c>
      <c r="L32" s="59">
        <f t="shared" si="0"/>
        <v>2.1720000000000002</v>
      </c>
      <c r="M32" s="65">
        <v>0</v>
      </c>
      <c r="N32" s="59">
        <f t="shared" si="1"/>
        <v>2.1720000000000002</v>
      </c>
      <c r="O32" s="65">
        <v>0.1875</v>
      </c>
      <c r="P32" s="66">
        <v>0</v>
      </c>
      <c r="Q32" s="59">
        <f t="shared" si="2"/>
        <v>2.3595000000000002</v>
      </c>
      <c r="R32" s="60">
        <f t="shared" si="3"/>
        <v>2.1720000000000002</v>
      </c>
      <c r="S32" s="67">
        <v>4</v>
      </c>
      <c r="T32" s="67">
        <v>96.1</v>
      </c>
      <c r="U32" s="67">
        <v>16</v>
      </c>
      <c r="V32" s="67">
        <v>96.1</v>
      </c>
      <c r="W32" s="65">
        <v>2.8</v>
      </c>
      <c r="X32" s="68">
        <v>0.1</v>
      </c>
      <c r="Y32" s="59">
        <f t="shared" si="4"/>
        <v>3.08</v>
      </c>
      <c r="Z32" s="65">
        <v>1.37</v>
      </c>
      <c r="AA32" s="61">
        <f t="shared" si="5"/>
        <v>-0.90799999999999992</v>
      </c>
      <c r="AB32" s="61">
        <f t="shared" si="6"/>
        <v>0.80200000000000005</v>
      </c>
      <c r="AC32" s="53" t="s">
        <v>1366</v>
      </c>
      <c r="AD32" s="56" t="s">
        <v>1367</v>
      </c>
      <c r="AE32" s="56" t="s">
        <v>1368</v>
      </c>
    </row>
    <row r="33" spans="1:31" ht="13.15" x14ac:dyDescent="0.4">
      <c r="D33" s="56" t="s">
        <v>1369</v>
      </c>
      <c r="E33" s="53" t="s">
        <v>1370</v>
      </c>
      <c r="F33" s="53" t="s">
        <v>1371</v>
      </c>
      <c r="G33" s="53" t="s">
        <v>1372</v>
      </c>
      <c r="H33" s="65">
        <v>0.2883</v>
      </c>
      <c r="I33" s="65">
        <v>0</v>
      </c>
      <c r="J33" s="65">
        <v>0.52600000000000002</v>
      </c>
      <c r="K33" s="65">
        <v>0</v>
      </c>
      <c r="L33" s="59">
        <f t="shared" si="0"/>
        <v>0.81430000000000002</v>
      </c>
      <c r="M33" s="65">
        <v>0</v>
      </c>
      <c r="N33" s="59">
        <f t="shared" si="1"/>
        <v>0.81430000000000002</v>
      </c>
      <c r="O33" s="65">
        <v>5.6250000000000001E-2</v>
      </c>
      <c r="P33" s="66">
        <v>1</v>
      </c>
      <c r="Q33" s="59">
        <f t="shared" si="2"/>
        <v>0.87055000000000005</v>
      </c>
      <c r="R33" s="60">
        <f t="shared" si="3"/>
        <v>0.87055000000000005</v>
      </c>
      <c r="S33" s="67">
        <v>3</v>
      </c>
      <c r="T33" s="67">
        <v>96.1</v>
      </c>
      <c r="U33" s="67">
        <v>0</v>
      </c>
      <c r="V33" s="67">
        <v>0</v>
      </c>
      <c r="W33" s="65">
        <v>1.58</v>
      </c>
      <c r="X33" s="68">
        <v>0.1</v>
      </c>
      <c r="Y33" s="59">
        <f t="shared" si="4"/>
        <v>1.7380000000000002</v>
      </c>
      <c r="Z33" s="65">
        <v>0.66600000000000004</v>
      </c>
      <c r="AA33" s="61">
        <f t="shared" si="5"/>
        <v>-0.86745000000000017</v>
      </c>
      <c r="AB33" s="61">
        <f t="shared" si="6"/>
        <v>0.20455000000000001</v>
      </c>
      <c r="AC33" s="53" t="s">
        <v>1373</v>
      </c>
      <c r="AD33" s="56" t="s">
        <v>1374</v>
      </c>
      <c r="AE33" s="56" t="s">
        <v>1375</v>
      </c>
    </row>
    <row r="34" spans="1:31" ht="13.15" x14ac:dyDescent="0.4">
      <c r="D34" s="56" t="s">
        <v>1376</v>
      </c>
      <c r="E34" s="53" t="s">
        <v>1377</v>
      </c>
      <c r="F34" s="53" t="s">
        <v>1378</v>
      </c>
      <c r="G34" s="53" t="s">
        <v>1379</v>
      </c>
      <c r="H34" s="65">
        <v>0.39269999999999999</v>
      </c>
      <c r="I34" s="65">
        <v>1.4585999999999999</v>
      </c>
      <c r="J34" s="65">
        <v>0</v>
      </c>
      <c r="K34" s="65">
        <v>0</v>
      </c>
      <c r="L34" s="59">
        <f t="shared" si="0"/>
        <v>1.8512999999999999</v>
      </c>
      <c r="M34" s="65">
        <v>0</v>
      </c>
      <c r="N34" s="59">
        <f t="shared" si="1"/>
        <v>1.8512999999999999</v>
      </c>
      <c r="O34" s="65">
        <v>3.7499999999999999E-2</v>
      </c>
      <c r="P34" s="66">
        <v>1</v>
      </c>
      <c r="Q34" s="59">
        <f t="shared" si="2"/>
        <v>1.8888</v>
      </c>
      <c r="R34" s="60">
        <f t="shared" si="3"/>
        <v>1.8888</v>
      </c>
      <c r="S34" s="67">
        <v>7</v>
      </c>
      <c r="T34" s="67">
        <v>56.1</v>
      </c>
      <c r="U34" s="67">
        <v>26</v>
      </c>
      <c r="V34" s="67">
        <v>56.1</v>
      </c>
      <c r="W34" s="65">
        <v>2.0499999999999998</v>
      </c>
      <c r="X34" s="68">
        <v>0.01</v>
      </c>
      <c r="Y34" s="59">
        <f t="shared" si="4"/>
        <v>2.0705</v>
      </c>
      <c r="Z34" s="65">
        <v>1.484</v>
      </c>
      <c r="AA34" s="61">
        <f t="shared" si="5"/>
        <v>-0.18169999999999997</v>
      </c>
      <c r="AB34" s="61">
        <f t="shared" si="6"/>
        <v>0.40480000000000005</v>
      </c>
      <c r="AC34" s="53" t="s">
        <v>1380</v>
      </c>
      <c r="AD34" s="56" t="s">
        <v>1381</v>
      </c>
      <c r="AE34" s="56" t="s">
        <v>1382</v>
      </c>
    </row>
    <row r="35" spans="1:31" ht="13.15" x14ac:dyDescent="0.4">
      <c r="D35" s="56" t="s">
        <v>1383</v>
      </c>
      <c r="E35" s="53" t="s">
        <v>1384</v>
      </c>
      <c r="F35" s="53" t="s">
        <v>1385</v>
      </c>
      <c r="G35" s="53" t="s">
        <v>1386</v>
      </c>
      <c r="H35" s="65">
        <v>0.11219999999999999</v>
      </c>
      <c r="I35" s="65">
        <v>0</v>
      </c>
      <c r="J35" s="65">
        <v>-0.73299999999999998</v>
      </c>
      <c r="K35" s="65">
        <v>0</v>
      </c>
      <c r="L35" s="59">
        <f t="shared" si="0"/>
        <v>-0.62080000000000002</v>
      </c>
      <c r="M35" s="65">
        <v>1.0709496000000001</v>
      </c>
      <c r="N35" s="59">
        <f t="shared" si="1"/>
        <v>0.45014960000000004</v>
      </c>
      <c r="O35" s="65">
        <v>3.7499999999999999E-2</v>
      </c>
      <c r="P35" s="66">
        <v>1</v>
      </c>
      <c r="Q35" s="59">
        <f t="shared" si="2"/>
        <v>0.48764960000000002</v>
      </c>
      <c r="R35" s="60">
        <f t="shared" si="3"/>
        <v>0.48764960000000002</v>
      </c>
      <c r="S35" s="67">
        <v>2</v>
      </c>
      <c r="T35" s="67">
        <v>56.1</v>
      </c>
      <c r="U35" s="67">
        <v>0</v>
      </c>
      <c r="V35" s="67">
        <v>0</v>
      </c>
      <c r="W35" s="65">
        <v>1.39</v>
      </c>
      <c r="X35" s="68">
        <v>0.01</v>
      </c>
      <c r="Y35" s="59">
        <f t="shared" si="4"/>
        <v>1.4038999999999999</v>
      </c>
      <c r="Z35" s="65">
        <v>0.90200000000000002</v>
      </c>
      <c r="AA35" s="61">
        <f t="shared" si="5"/>
        <v>-0.91625039999999991</v>
      </c>
      <c r="AB35" s="61">
        <f t="shared" si="6"/>
        <v>-0.41435040000000001</v>
      </c>
      <c r="AC35" s="53" t="s">
        <v>1387</v>
      </c>
      <c r="AD35" s="56" t="s">
        <v>1388</v>
      </c>
      <c r="AE35" s="56" t="s">
        <v>1389</v>
      </c>
    </row>
    <row r="36" spans="1:31" ht="13.15" x14ac:dyDescent="0.4">
      <c r="D36" s="56" t="s">
        <v>1390</v>
      </c>
      <c r="E36" s="53" t="s">
        <v>1391</v>
      </c>
      <c r="F36" s="53" t="s">
        <v>1392</v>
      </c>
      <c r="G36" s="53" t="s">
        <v>1393</v>
      </c>
      <c r="H36" s="65">
        <v>0.11219999999999999</v>
      </c>
      <c r="I36" s="65">
        <v>0</v>
      </c>
      <c r="J36" s="65">
        <v>0</v>
      </c>
      <c r="K36" s="65">
        <v>0.97</v>
      </c>
      <c r="L36" s="59">
        <f t="shared" si="0"/>
        <v>1.0822000000000001</v>
      </c>
      <c r="M36" s="65">
        <v>0.40137</v>
      </c>
      <c r="N36" s="59">
        <f t="shared" si="1"/>
        <v>1.4835700000000001</v>
      </c>
      <c r="O36" s="65">
        <v>4.3749999999999997E-2</v>
      </c>
      <c r="P36" s="66">
        <v>1</v>
      </c>
      <c r="Q36" s="59">
        <f t="shared" si="2"/>
        <v>1.52732</v>
      </c>
      <c r="R36" s="60">
        <f t="shared" si="3"/>
        <v>1.52732</v>
      </c>
      <c r="S36" s="67">
        <v>2</v>
      </c>
      <c r="T36" s="67">
        <v>56.1</v>
      </c>
      <c r="U36" s="67">
        <v>0</v>
      </c>
      <c r="V36" s="67">
        <v>0</v>
      </c>
      <c r="W36" s="65">
        <v>2.64</v>
      </c>
      <c r="X36" s="68">
        <v>0.01</v>
      </c>
      <c r="Y36" s="59">
        <f t="shared" si="4"/>
        <v>2.6664000000000003</v>
      </c>
      <c r="Z36" s="65">
        <v>0.30199999999999999</v>
      </c>
      <c r="AA36" s="61">
        <f t="shared" si="5"/>
        <v>-1.1390800000000003</v>
      </c>
      <c r="AB36" s="61">
        <f t="shared" si="6"/>
        <v>1.22532</v>
      </c>
      <c r="AC36" s="53" t="s">
        <v>1394</v>
      </c>
      <c r="AD36" s="56" t="s">
        <v>1395</v>
      </c>
      <c r="AE36" s="56" t="s">
        <v>1396</v>
      </c>
    </row>
    <row r="37" spans="1:31" ht="13.15" x14ac:dyDescent="0.4">
      <c r="D37" s="56" t="s">
        <v>1397</v>
      </c>
      <c r="E37" s="53" t="s">
        <v>1398</v>
      </c>
      <c r="F37" s="53" t="s">
        <v>1399</v>
      </c>
      <c r="G37" s="53" t="s">
        <v>1400</v>
      </c>
      <c r="H37" s="65">
        <v>0.156</v>
      </c>
      <c r="I37" s="65">
        <v>0</v>
      </c>
      <c r="J37" s="65">
        <v>1.5</v>
      </c>
      <c r="K37" s="65">
        <v>0.85</v>
      </c>
      <c r="L37" s="59">
        <f t="shared" si="0"/>
        <v>2.5059999999999998</v>
      </c>
      <c r="M37" s="65">
        <v>0</v>
      </c>
      <c r="N37" s="59">
        <f t="shared" si="1"/>
        <v>2.5059999999999998</v>
      </c>
      <c r="O37" s="65">
        <v>6.75</v>
      </c>
      <c r="P37" s="66">
        <v>0</v>
      </c>
      <c r="Q37" s="59">
        <f t="shared" si="2"/>
        <v>9.2560000000000002</v>
      </c>
      <c r="R37" s="60">
        <f t="shared" si="3"/>
        <v>2.5059999999999998</v>
      </c>
      <c r="S37" s="67">
        <v>2</v>
      </c>
      <c r="T37" s="67">
        <v>78</v>
      </c>
      <c r="U37" s="67">
        <v>0</v>
      </c>
      <c r="V37" s="67">
        <v>0</v>
      </c>
      <c r="W37" s="65">
        <v>2.06</v>
      </c>
      <c r="X37" s="68">
        <v>0.1</v>
      </c>
      <c r="Y37" s="59">
        <f t="shared" si="4"/>
        <v>2.2660000000000005</v>
      </c>
      <c r="Z37" s="65">
        <v>1.423</v>
      </c>
      <c r="AA37" s="61">
        <f t="shared" si="5"/>
        <v>0.23999999999999932</v>
      </c>
      <c r="AB37" s="61">
        <f t="shared" si="6"/>
        <v>1.0829999999999997</v>
      </c>
      <c r="AC37" s="53" t="s">
        <v>1401</v>
      </c>
      <c r="AD37" s="56" t="s">
        <v>1402</v>
      </c>
      <c r="AE37" s="56" t="s">
        <v>1403</v>
      </c>
    </row>
    <row r="38" spans="1:31" ht="13.15" x14ac:dyDescent="0.4">
      <c r="A38" s="56"/>
      <c r="B38" s="56" t="s">
        <v>1404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 spans="1:31" ht="13.15" x14ac:dyDescent="0.4">
      <c r="D39" s="56" t="s">
        <v>1405</v>
      </c>
      <c r="E39" s="56" t="s">
        <v>1406</v>
      </c>
      <c r="F39" s="53" t="s">
        <v>1407</v>
      </c>
    </row>
    <row r="40" spans="1:31" ht="13.15" x14ac:dyDescent="0.4">
      <c r="D40" s="56" t="s">
        <v>1350</v>
      </c>
      <c r="E40" s="69">
        <v>1.0536051565782599E-3</v>
      </c>
      <c r="F40" s="68">
        <v>0.1</v>
      </c>
    </row>
    <row r="41" spans="1:31" ht="13.15" x14ac:dyDescent="0.4">
      <c r="D41" s="56" t="s">
        <v>1357</v>
      </c>
      <c r="E41" s="69">
        <v>2.0202707317519501E-4</v>
      </c>
      <c r="F41" s="68">
        <v>0.02</v>
      </c>
    </row>
    <row r="42" spans="1:31" ht="13.15" x14ac:dyDescent="0.4">
      <c r="D42" s="56" t="s">
        <v>1408</v>
      </c>
      <c r="E42" s="69">
        <v>5.1293294387550598E-4</v>
      </c>
      <c r="F42" s="68">
        <v>0.05</v>
      </c>
    </row>
    <row r="43" spans="1:31" ht="13.15" x14ac:dyDescent="0.4">
      <c r="D43" s="56" t="s">
        <v>1409</v>
      </c>
      <c r="E43" s="69">
        <v>8.3381608939051E-4</v>
      </c>
      <c r="F43" s="68">
        <v>0.08</v>
      </c>
    </row>
    <row r="44" spans="1:31" ht="13.15" x14ac:dyDescent="0.4">
      <c r="D44" s="56" t="s">
        <v>1410</v>
      </c>
      <c r="E44" s="69">
        <v>1.98450938723838E-3</v>
      </c>
      <c r="F44" s="68">
        <v>0.18</v>
      </c>
    </row>
    <row r="45" spans="1:31" ht="13.15" x14ac:dyDescent="0.4">
      <c r="D45" s="56" t="s">
        <v>1383</v>
      </c>
      <c r="E45" s="69">
        <v>0</v>
      </c>
      <c r="F45" s="68">
        <v>0</v>
      </c>
    </row>
    <row r="46" spans="1:31" ht="13.15" x14ac:dyDescent="0.4">
      <c r="D46" s="56" t="s">
        <v>1411</v>
      </c>
      <c r="E46" s="69">
        <v>1.04982212449868E-2</v>
      </c>
      <c r="F46" s="68">
        <v>0.65</v>
      </c>
    </row>
    <row r="47" spans="1:31" ht="13.15" x14ac:dyDescent="0.4">
      <c r="D47" s="56" t="s">
        <v>1397</v>
      </c>
      <c r="E47" s="69">
        <v>8.3381608939051E-4</v>
      </c>
      <c r="F47" s="68">
        <v>0.08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F7F1-7A56-4356-8F83-09E626DD4AB9}">
  <dimension ref="A1:AI74"/>
  <sheetViews>
    <sheetView topLeftCell="H1" workbookViewId="0">
      <selection activeCell="M27" sqref="M27:P27"/>
    </sheetView>
  </sheetViews>
  <sheetFormatPr defaultRowHeight="12.75" x14ac:dyDescent="0.35"/>
  <cols>
    <col min="1" max="1" width="3.59765625" style="53" customWidth="1"/>
    <col min="2" max="2" width="14.59765625" style="53" customWidth="1"/>
    <col min="3" max="3" width="34.59765625" style="53" customWidth="1"/>
    <col min="4" max="4" width="22.59765625" style="53" customWidth="1"/>
    <col min="5" max="6" width="14.59765625" style="53" customWidth="1"/>
    <col min="7" max="7" width="26.59765625" style="53" customWidth="1"/>
    <col min="8" max="8" width="14.59765625" style="53" customWidth="1"/>
    <col min="9" max="9" width="12.59765625" style="53" customWidth="1"/>
    <col min="10" max="10" width="26.59765625" style="53" customWidth="1"/>
    <col min="11" max="35" width="9.59765625" style="53" customWidth="1"/>
    <col min="36" max="16384" width="9.06640625" style="53"/>
  </cols>
  <sheetData>
    <row r="1" spans="1:35" ht="17.649999999999999" x14ac:dyDescent="0.5">
      <c r="A1" s="54"/>
      <c r="B1" s="55" t="s">
        <v>1718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spans="1:35" x14ac:dyDescent="0.35">
      <c r="B2" s="53" t="s">
        <v>1719</v>
      </c>
    </row>
    <row r="3" spans="1:35" x14ac:dyDescent="0.35">
      <c r="B3" s="53" t="s">
        <v>1720</v>
      </c>
    </row>
    <row r="5" spans="1:35" ht="13.15" x14ac:dyDescent="0.4">
      <c r="A5" s="63">
        <v>1</v>
      </c>
      <c r="B5" s="63" t="s">
        <v>1721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</row>
    <row r="6" spans="1:35" ht="13.15" x14ac:dyDescent="0.4">
      <c r="A6" s="56"/>
      <c r="B6" s="56" t="s">
        <v>1722</v>
      </c>
      <c r="C6" s="56" t="s">
        <v>34</v>
      </c>
      <c r="D6" s="56" t="s">
        <v>36</v>
      </c>
      <c r="E6" s="56"/>
      <c r="F6" s="56"/>
      <c r="G6" s="56"/>
      <c r="H6" s="56"/>
      <c r="I6" s="56" t="s">
        <v>35</v>
      </c>
      <c r="J6" s="56" t="s">
        <v>47</v>
      </c>
      <c r="K6" s="56">
        <v>2021</v>
      </c>
      <c r="L6" s="56">
        <v>2022</v>
      </c>
      <c r="M6" s="56">
        <v>2023</v>
      </c>
      <c r="N6" s="56">
        <v>2024</v>
      </c>
      <c r="O6" s="56">
        <v>2025</v>
      </c>
      <c r="P6" s="56">
        <v>2026</v>
      </c>
      <c r="Q6" s="56">
        <v>2027</v>
      </c>
      <c r="R6" s="56">
        <v>2028</v>
      </c>
      <c r="S6" s="56">
        <v>2029</v>
      </c>
      <c r="T6" s="56">
        <v>2030</v>
      </c>
      <c r="U6" s="56">
        <v>2031</v>
      </c>
      <c r="V6" s="56">
        <v>2032</v>
      </c>
      <c r="W6" s="56">
        <v>2033</v>
      </c>
      <c r="X6" s="56">
        <v>2034</v>
      </c>
      <c r="Y6" s="56">
        <v>2035</v>
      </c>
      <c r="Z6" s="56">
        <v>2036</v>
      </c>
      <c r="AA6" s="56">
        <v>2037</v>
      </c>
      <c r="AB6" s="56">
        <v>2038</v>
      </c>
      <c r="AC6" s="56">
        <v>2039</v>
      </c>
      <c r="AD6" s="56">
        <v>2040</v>
      </c>
      <c r="AE6" s="56">
        <v>2041</v>
      </c>
      <c r="AF6" s="56">
        <v>2042</v>
      </c>
      <c r="AG6" s="56">
        <v>2043</v>
      </c>
      <c r="AH6" s="56">
        <v>2044</v>
      </c>
      <c r="AI6" s="56">
        <v>2045</v>
      </c>
    </row>
    <row r="7" spans="1:35" ht="13.15" x14ac:dyDescent="0.4">
      <c r="A7" s="56"/>
      <c r="B7" s="53" t="s">
        <v>1723</v>
      </c>
      <c r="C7" s="53" t="s">
        <v>1724</v>
      </c>
      <c r="D7" s="53" t="s">
        <v>1725</v>
      </c>
      <c r="I7" s="53" t="s">
        <v>1415</v>
      </c>
      <c r="J7" s="53" t="s">
        <v>1726</v>
      </c>
      <c r="K7" s="67"/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12.5</v>
      </c>
      <c r="R7" s="67">
        <v>25</v>
      </c>
      <c r="S7" s="67">
        <v>37.5</v>
      </c>
      <c r="T7" s="67">
        <v>50</v>
      </c>
      <c r="U7" s="67">
        <v>62.5</v>
      </c>
      <c r="V7" s="67">
        <v>75</v>
      </c>
      <c r="W7" s="67">
        <v>87.5</v>
      </c>
      <c r="X7" s="67">
        <v>100</v>
      </c>
      <c r="Y7" s="67">
        <v>112.5</v>
      </c>
      <c r="Z7" s="67">
        <v>125</v>
      </c>
      <c r="AA7" s="67">
        <v>137.5</v>
      </c>
      <c r="AB7" s="67">
        <v>150</v>
      </c>
      <c r="AC7" s="67">
        <v>162.5</v>
      </c>
      <c r="AD7" s="67">
        <v>175</v>
      </c>
      <c r="AE7" s="67">
        <v>187.5</v>
      </c>
      <c r="AF7" s="67"/>
      <c r="AG7" s="67"/>
      <c r="AH7" s="67"/>
      <c r="AI7" s="67"/>
    </row>
    <row r="8" spans="1:35" ht="13.15" x14ac:dyDescent="0.4">
      <c r="A8" s="56"/>
      <c r="B8" s="53" t="s">
        <v>1727</v>
      </c>
      <c r="C8" s="53" t="s">
        <v>1728</v>
      </c>
      <c r="D8" s="53" t="s">
        <v>1729</v>
      </c>
      <c r="I8" s="53" t="s">
        <v>1415</v>
      </c>
      <c r="J8" s="53" t="s">
        <v>1726</v>
      </c>
      <c r="K8" s="67"/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/>
      <c r="AG8" s="67"/>
      <c r="AH8" s="67"/>
      <c r="AI8" s="67"/>
    </row>
    <row r="9" spans="1:35" ht="13.15" x14ac:dyDescent="0.4">
      <c r="A9" s="56"/>
      <c r="B9" s="53" t="s">
        <v>1730</v>
      </c>
      <c r="C9" s="53" t="s">
        <v>1731</v>
      </c>
      <c r="D9" s="53" t="s">
        <v>77</v>
      </c>
      <c r="I9" s="53" t="s">
        <v>1415</v>
      </c>
      <c r="J9" s="53" t="s">
        <v>1726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</row>
    <row r="10" spans="1:35" ht="13.15" x14ac:dyDescent="0.4">
      <c r="A10" s="56"/>
      <c r="B10" s="53" t="s">
        <v>1732</v>
      </c>
      <c r="C10" s="53" t="s">
        <v>1733</v>
      </c>
      <c r="D10" s="53" t="s">
        <v>1734</v>
      </c>
      <c r="I10" s="53" t="s">
        <v>1415</v>
      </c>
      <c r="J10" s="53" t="s">
        <v>1726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20</v>
      </c>
      <c r="S10" s="67">
        <v>20</v>
      </c>
      <c r="T10" s="67">
        <v>20</v>
      </c>
      <c r="U10" s="67">
        <v>20</v>
      </c>
      <c r="V10" s="67">
        <v>20</v>
      </c>
      <c r="W10" s="67">
        <v>20</v>
      </c>
      <c r="X10" s="67">
        <v>20</v>
      </c>
      <c r="Y10" s="67">
        <v>20</v>
      </c>
      <c r="Z10" s="67">
        <v>20</v>
      </c>
      <c r="AA10" s="67">
        <v>20</v>
      </c>
      <c r="AB10" s="67">
        <v>20</v>
      </c>
      <c r="AC10" s="67">
        <v>20</v>
      </c>
      <c r="AD10" s="67">
        <v>20</v>
      </c>
      <c r="AE10" s="67">
        <v>20</v>
      </c>
      <c r="AF10" s="67">
        <v>20</v>
      </c>
      <c r="AG10" s="67">
        <v>20</v>
      </c>
      <c r="AH10" s="67">
        <v>20</v>
      </c>
      <c r="AI10" s="67">
        <v>20</v>
      </c>
    </row>
    <row r="11" spans="1:35" ht="13.15" x14ac:dyDescent="0.4">
      <c r="A11" s="56"/>
      <c r="B11" s="53" t="s">
        <v>1735</v>
      </c>
      <c r="C11" s="53" t="s">
        <v>1736</v>
      </c>
      <c r="D11" s="53" t="s">
        <v>1737</v>
      </c>
      <c r="I11" s="53" t="s">
        <v>1415</v>
      </c>
      <c r="J11" s="53" t="s">
        <v>1726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5</v>
      </c>
      <c r="S11" s="67">
        <v>12.5</v>
      </c>
      <c r="T11" s="67">
        <v>20</v>
      </c>
      <c r="U11" s="67">
        <v>27.5</v>
      </c>
      <c r="V11" s="67">
        <v>35</v>
      </c>
      <c r="W11" s="67">
        <v>42.5</v>
      </c>
      <c r="X11" s="67">
        <v>50</v>
      </c>
      <c r="Y11" s="67">
        <v>57.5</v>
      </c>
      <c r="Z11" s="67">
        <v>65</v>
      </c>
      <c r="AA11" s="67">
        <v>72.5</v>
      </c>
      <c r="AB11" s="67">
        <v>80</v>
      </c>
      <c r="AC11" s="67">
        <v>87.5</v>
      </c>
      <c r="AD11" s="67">
        <v>95</v>
      </c>
      <c r="AE11" s="67">
        <v>102.5</v>
      </c>
      <c r="AF11" s="67">
        <v>110</v>
      </c>
      <c r="AG11" s="67">
        <v>117.5</v>
      </c>
      <c r="AH11" s="67">
        <v>125</v>
      </c>
      <c r="AI11" s="67">
        <v>132.5</v>
      </c>
    </row>
    <row r="12" spans="1:35" ht="13.15" x14ac:dyDescent="0.4">
      <c r="A12" s="56"/>
      <c r="B12" s="53" t="s">
        <v>1738</v>
      </c>
      <c r="C12" s="53" t="s">
        <v>1739</v>
      </c>
      <c r="D12" s="53" t="s">
        <v>1740</v>
      </c>
      <c r="I12" s="53" t="s">
        <v>1415</v>
      </c>
      <c r="J12" s="53" t="s">
        <v>1726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5</v>
      </c>
      <c r="S12" s="67">
        <v>12.5</v>
      </c>
      <c r="T12" s="67">
        <v>20</v>
      </c>
      <c r="U12" s="67">
        <v>27.5</v>
      </c>
      <c r="V12" s="67">
        <v>35</v>
      </c>
      <c r="W12" s="67">
        <v>42.5</v>
      </c>
      <c r="X12" s="67">
        <v>50</v>
      </c>
      <c r="Y12" s="67">
        <v>50</v>
      </c>
      <c r="Z12" s="67">
        <v>50</v>
      </c>
      <c r="AA12" s="67">
        <v>50</v>
      </c>
      <c r="AB12" s="67">
        <v>50</v>
      </c>
      <c r="AC12" s="67">
        <v>50</v>
      </c>
      <c r="AD12" s="67">
        <v>50</v>
      </c>
      <c r="AE12" s="67">
        <v>50</v>
      </c>
      <c r="AF12" s="67">
        <v>50</v>
      </c>
      <c r="AG12" s="67">
        <v>50</v>
      </c>
      <c r="AH12" s="67">
        <v>50</v>
      </c>
      <c r="AI12" s="67">
        <v>50</v>
      </c>
    </row>
    <row r="13" spans="1:35" ht="13.15" x14ac:dyDescent="0.4">
      <c r="A13" s="56"/>
      <c r="B13" s="53" t="s">
        <v>1741</v>
      </c>
    </row>
    <row r="14" spans="1:35" ht="13.15" x14ac:dyDescent="0.4">
      <c r="A14" s="56"/>
    </row>
    <row r="15" spans="1:35" ht="13.15" x14ac:dyDescent="0.4">
      <c r="A15" s="63">
        <v>2</v>
      </c>
      <c r="B15" s="63" t="s">
        <v>1742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</row>
    <row r="16" spans="1:35" ht="65.650000000000006" x14ac:dyDescent="0.4">
      <c r="A16" s="56"/>
      <c r="B16" s="58" t="s">
        <v>1743</v>
      </c>
      <c r="C16" s="58" t="s">
        <v>1744</v>
      </c>
      <c r="D16" s="58" t="s">
        <v>1745</v>
      </c>
      <c r="E16" s="58" t="s">
        <v>1746</v>
      </c>
      <c r="F16" s="58" t="s">
        <v>1747</v>
      </c>
      <c r="G16" s="58" t="s">
        <v>1748</v>
      </c>
      <c r="H16" s="58" t="s">
        <v>1749</v>
      </c>
      <c r="I16" s="58" t="s">
        <v>1750</v>
      </c>
      <c r="J16" s="58" t="s">
        <v>1751</v>
      </c>
      <c r="K16" s="58" t="s">
        <v>1752</v>
      </c>
      <c r="L16" s="58" t="s">
        <v>1753</v>
      </c>
      <c r="M16" s="58" t="s">
        <v>1885</v>
      </c>
      <c r="N16" s="58" t="s">
        <v>1886</v>
      </c>
      <c r="O16" s="58" t="s">
        <v>1887</v>
      </c>
      <c r="P16" s="58" t="s">
        <v>1888</v>
      </c>
    </row>
    <row r="17" spans="1:35" ht="13.15" x14ac:dyDescent="0.4">
      <c r="A17" s="56"/>
      <c r="B17" s="53" t="s">
        <v>1754</v>
      </c>
      <c r="C17" s="62" t="s">
        <v>1755</v>
      </c>
      <c r="D17" s="62" t="s">
        <v>1723</v>
      </c>
      <c r="E17" s="62" t="s">
        <v>1727</v>
      </c>
      <c r="F17" s="62">
        <v>1</v>
      </c>
      <c r="G17" s="62">
        <v>0</v>
      </c>
      <c r="H17" s="62" t="s">
        <v>1723</v>
      </c>
      <c r="I17" s="62">
        <v>0</v>
      </c>
      <c r="J17" s="62">
        <v>0</v>
      </c>
      <c r="K17" s="62" t="s">
        <v>1756</v>
      </c>
      <c r="L17" s="62" t="s">
        <v>1757</v>
      </c>
      <c r="M17" s="62">
        <v>1</v>
      </c>
      <c r="N17" s="62">
        <v>1</v>
      </c>
      <c r="O17" s="62">
        <v>1</v>
      </c>
      <c r="P17" s="62">
        <v>1</v>
      </c>
    </row>
    <row r="18" spans="1:35" ht="13.15" x14ac:dyDescent="0.4">
      <c r="A18" s="56"/>
      <c r="B18" s="53" t="s">
        <v>1758</v>
      </c>
      <c r="C18" s="62" t="s">
        <v>1759</v>
      </c>
      <c r="D18" s="62" t="s">
        <v>1732</v>
      </c>
      <c r="E18" s="62" t="s">
        <v>1730</v>
      </c>
      <c r="F18" s="62">
        <v>1</v>
      </c>
      <c r="G18" s="62">
        <v>1</v>
      </c>
      <c r="H18" s="62" t="s">
        <v>1732</v>
      </c>
      <c r="I18" s="62">
        <v>0</v>
      </c>
      <c r="J18" s="62">
        <v>0</v>
      </c>
      <c r="K18" s="62" t="s">
        <v>1760</v>
      </c>
      <c r="L18" s="62" t="s">
        <v>1757</v>
      </c>
      <c r="M18" s="62">
        <v>1</v>
      </c>
      <c r="N18" s="62">
        <v>1</v>
      </c>
      <c r="O18" s="62">
        <v>1</v>
      </c>
      <c r="P18" s="62">
        <v>1</v>
      </c>
    </row>
    <row r="19" spans="1:35" ht="13.15" x14ac:dyDescent="0.4">
      <c r="A19" s="56"/>
      <c r="B19" s="53" t="s">
        <v>1761</v>
      </c>
      <c r="C19" s="62" t="s">
        <v>1762</v>
      </c>
      <c r="D19" s="62" t="s">
        <v>1732</v>
      </c>
      <c r="E19" s="62" t="s">
        <v>1730</v>
      </c>
      <c r="F19" s="62">
        <v>1</v>
      </c>
      <c r="G19" s="62">
        <v>0</v>
      </c>
      <c r="H19" s="62" t="s">
        <v>1732</v>
      </c>
      <c r="I19" s="62">
        <v>0</v>
      </c>
      <c r="J19" s="62">
        <v>0</v>
      </c>
      <c r="K19" s="62" t="s">
        <v>1760</v>
      </c>
      <c r="L19" s="62" t="s">
        <v>1757</v>
      </c>
      <c r="M19" s="62">
        <v>1</v>
      </c>
      <c r="N19" s="62">
        <v>1</v>
      </c>
      <c r="O19" s="62">
        <v>1</v>
      </c>
      <c r="P19" s="62">
        <v>1</v>
      </c>
    </row>
    <row r="20" spans="1:35" ht="13.15" x14ac:dyDescent="0.4">
      <c r="A20" s="56"/>
      <c r="B20" s="53" t="s">
        <v>1763</v>
      </c>
      <c r="C20" s="62" t="s">
        <v>1764</v>
      </c>
      <c r="D20" s="62" t="s">
        <v>1732</v>
      </c>
      <c r="E20" s="62" t="s">
        <v>1730</v>
      </c>
      <c r="F20" s="62">
        <v>1</v>
      </c>
      <c r="G20" s="62">
        <v>0</v>
      </c>
      <c r="H20" s="62" t="s">
        <v>1732</v>
      </c>
      <c r="I20" s="62">
        <v>0</v>
      </c>
      <c r="J20" s="62">
        <v>0</v>
      </c>
      <c r="K20" s="62" t="s">
        <v>1765</v>
      </c>
      <c r="L20" s="62" t="s">
        <v>1757</v>
      </c>
      <c r="M20" s="62">
        <v>1</v>
      </c>
      <c r="N20" s="62">
        <v>1</v>
      </c>
      <c r="O20" s="62">
        <v>1</v>
      </c>
      <c r="P20" s="62">
        <v>1</v>
      </c>
    </row>
    <row r="21" spans="1:35" ht="13.15" x14ac:dyDescent="0.4">
      <c r="A21" s="56"/>
      <c r="B21" s="53" t="s">
        <v>1766</v>
      </c>
      <c r="C21" s="62" t="s">
        <v>1767</v>
      </c>
      <c r="D21" s="62" t="s">
        <v>1735</v>
      </c>
      <c r="E21" s="62" t="s">
        <v>1730</v>
      </c>
      <c r="F21" s="62">
        <v>1</v>
      </c>
      <c r="G21" s="62">
        <v>1</v>
      </c>
      <c r="H21" s="62" t="s">
        <v>1735</v>
      </c>
      <c r="I21" s="62">
        <v>0</v>
      </c>
      <c r="J21" s="62">
        <v>0</v>
      </c>
      <c r="K21" s="62" t="s">
        <v>1765</v>
      </c>
      <c r="L21" s="62" t="s">
        <v>1768</v>
      </c>
      <c r="M21" s="62">
        <v>1</v>
      </c>
      <c r="N21" s="62">
        <v>1</v>
      </c>
      <c r="O21" s="62">
        <v>1</v>
      </c>
      <c r="P21" s="62">
        <v>1</v>
      </c>
    </row>
    <row r="22" spans="1:35" ht="13.15" x14ac:dyDescent="0.4">
      <c r="A22" s="56"/>
      <c r="B22" s="53" t="s">
        <v>1769</v>
      </c>
      <c r="C22" s="62" t="s">
        <v>1770</v>
      </c>
      <c r="D22" s="62" t="s">
        <v>1735</v>
      </c>
      <c r="E22" s="62" t="s">
        <v>1730</v>
      </c>
      <c r="F22" s="62">
        <v>1</v>
      </c>
      <c r="G22" s="62">
        <v>1</v>
      </c>
      <c r="H22" s="62" t="s">
        <v>1735</v>
      </c>
      <c r="I22" s="62">
        <v>1</v>
      </c>
      <c r="J22" s="62">
        <v>0</v>
      </c>
      <c r="K22" s="62" t="s">
        <v>1771</v>
      </c>
      <c r="L22" s="62" t="s">
        <v>1768</v>
      </c>
      <c r="M22" s="62">
        <v>1</v>
      </c>
      <c r="N22" s="62">
        <v>1</v>
      </c>
      <c r="O22" s="62">
        <v>1</v>
      </c>
      <c r="P22" s="62">
        <v>1</v>
      </c>
    </row>
    <row r="23" spans="1:35" ht="13.15" x14ac:dyDescent="0.4">
      <c r="A23" s="56"/>
      <c r="B23" s="53" t="s">
        <v>1772</v>
      </c>
      <c r="C23" s="62" t="s">
        <v>1773</v>
      </c>
      <c r="D23" s="62" t="s">
        <v>1735</v>
      </c>
      <c r="E23" s="62" t="s">
        <v>1730</v>
      </c>
      <c r="F23" s="62">
        <v>1</v>
      </c>
      <c r="G23" s="62">
        <v>1</v>
      </c>
      <c r="H23" s="62" t="s">
        <v>1735</v>
      </c>
      <c r="I23" s="62">
        <v>0</v>
      </c>
      <c r="J23" s="62">
        <v>1</v>
      </c>
      <c r="K23" s="62" t="s">
        <v>1774</v>
      </c>
      <c r="L23" s="62" t="s">
        <v>1768</v>
      </c>
      <c r="M23" s="62">
        <v>1</v>
      </c>
      <c r="N23" s="62">
        <v>1</v>
      </c>
      <c r="O23" s="62">
        <v>1</v>
      </c>
      <c r="P23" s="62">
        <v>1</v>
      </c>
    </row>
    <row r="24" spans="1:35" ht="13.15" x14ac:dyDescent="0.4">
      <c r="A24" s="56"/>
    </row>
    <row r="25" spans="1:35" ht="13.15" x14ac:dyDescent="0.4">
      <c r="A25" s="63">
        <v>3</v>
      </c>
      <c r="B25" s="63" t="s">
        <v>1775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</row>
    <row r="26" spans="1:35" ht="13.15" x14ac:dyDescent="0.4">
      <c r="A26" s="56"/>
      <c r="B26" s="56" t="s">
        <v>1743</v>
      </c>
      <c r="C26" s="56" t="s">
        <v>1744</v>
      </c>
      <c r="D26" s="56" t="s">
        <v>1745</v>
      </c>
      <c r="E26" s="56" t="s">
        <v>1746</v>
      </c>
      <c r="F26" s="56" t="s">
        <v>1747</v>
      </c>
      <c r="G26" s="56" t="s">
        <v>1748</v>
      </c>
      <c r="H26" s="56" t="s">
        <v>1749</v>
      </c>
      <c r="I26" s="56" t="s">
        <v>1750</v>
      </c>
      <c r="J26" s="56" t="s">
        <v>1751</v>
      </c>
      <c r="K26" s="56" t="s">
        <v>1752</v>
      </c>
      <c r="L26" s="56" t="s">
        <v>1753</v>
      </c>
      <c r="M26" s="56" t="s">
        <v>1885</v>
      </c>
      <c r="N26" s="56" t="s">
        <v>1886</v>
      </c>
      <c r="O26" s="56" t="s">
        <v>1887</v>
      </c>
      <c r="P26" s="56" t="s">
        <v>1888</v>
      </c>
    </row>
    <row r="27" spans="1:35" ht="13.15" x14ac:dyDescent="0.4">
      <c r="A27" s="56"/>
      <c r="B27" s="93" t="str">
        <f>Settings!$B$10</f>
        <v>LEGACY</v>
      </c>
      <c r="C27" s="53" t="str">
        <f t="shared" ref="C27:L27" si="0">INDEX(C$17:C$23,MATCH($B$27,$B$17:$B$23,0))</f>
        <v>CPAT default policy scenario (regression)</v>
      </c>
      <c r="D27" s="53" t="str">
        <f t="shared" si="0"/>
        <v>LEGACY_CP</v>
      </c>
      <c r="E27" s="53" t="str">
        <f t="shared" si="0"/>
        <v>LEGACY_ETS</v>
      </c>
      <c r="F27" s="53">
        <f t="shared" si="0"/>
        <v>1</v>
      </c>
      <c r="G27" s="53">
        <f t="shared" si="0"/>
        <v>0</v>
      </c>
      <c r="H27" s="53" t="str">
        <f t="shared" si="0"/>
        <v>LEGACY_CP</v>
      </c>
      <c r="I27" s="53">
        <f t="shared" si="0"/>
        <v>0</v>
      </c>
      <c r="J27" s="53">
        <f t="shared" si="0"/>
        <v>0</v>
      </c>
      <c r="K27" s="53" t="str">
        <f t="shared" si="0"/>
        <v>CPAT default</v>
      </c>
      <c r="L27" s="53" t="str">
        <f t="shared" si="0"/>
        <v>All sectors</v>
      </c>
      <c r="M27" s="53">
        <f>INDEX(M$17:M$23,MATCH($B$27,$B$17:$B$23,0))</f>
        <v>1</v>
      </c>
      <c r="N27" s="53">
        <f>INDEX(N$17:N$23,MATCH($B$27,$B$17:$B$23,0))</f>
        <v>1</v>
      </c>
      <c r="O27" s="53">
        <f>INDEX(O$17:O$23,MATCH($B$27,$B$17:$B$23,0))</f>
        <v>1</v>
      </c>
      <c r="P27" s="53">
        <f>INDEX(P$17:P$23,MATCH($B$27,$B$17:$B$23,0))</f>
        <v>1</v>
      </c>
    </row>
    <row r="28" spans="1:35" ht="13.15" x14ac:dyDescent="0.4">
      <c r="A28" s="56"/>
    </row>
    <row r="29" spans="1:35" ht="13.15" x14ac:dyDescent="0.4">
      <c r="A29" s="56"/>
      <c r="B29" s="56" t="s">
        <v>32</v>
      </c>
      <c r="C29" s="56" t="s">
        <v>1776</v>
      </c>
      <c r="D29" s="56"/>
      <c r="E29" s="56" t="s">
        <v>1777</v>
      </c>
      <c r="F29" s="56"/>
      <c r="G29" s="56"/>
      <c r="H29" s="56"/>
      <c r="I29" s="56" t="s">
        <v>35</v>
      </c>
      <c r="J29" s="56" t="s">
        <v>36</v>
      </c>
    </row>
    <row r="30" spans="1:35" ht="13.15" x14ac:dyDescent="0.4">
      <c r="A30" s="56"/>
      <c r="B30" s="53" t="s">
        <v>49</v>
      </c>
      <c r="C30" s="53" t="s">
        <v>1778</v>
      </c>
      <c r="E30" s="62">
        <v>0.1</v>
      </c>
      <c r="I30" s="53" t="s">
        <v>1779</v>
      </c>
      <c r="J30" s="53" t="s">
        <v>1780</v>
      </c>
    </row>
    <row r="31" spans="1:35" ht="13.15" x14ac:dyDescent="0.4">
      <c r="A31" s="56"/>
      <c r="B31" s="53" t="s">
        <v>53</v>
      </c>
      <c r="C31" s="53" t="s">
        <v>1778</v>
      </c>
      <c r="E31" s="62">
        <v>5.5800000000000002E-2</v>
      </c>
      <c r="I31" s="53" t="s">
        <v>1779</v>
      </c>
      <c r="J31" s="53" t="s">
        <v>1780</v>
      </c>
    </row>
    <row r="32" spans="1:35" ht="13.15" x14ac:dyDescent="0.4">
      <c r="A32" s="56"/>
      <c r="B32" s="53" t="s">
        <v>55</v>
      </c>
      <c r="C32" s="53" t="s">
        <v>1778</v>
      </c>
      <c r="E32" s="62">
        <v>2.3142274537200002E-3</v>
      </c>
      <c r="I32" s="53" t="s">
        <v>1781</v>
      </c>
      <c r="J32" s="53" t="s">
        <v>1780</v>
      </c>
    </row>
    <row r="33" spans="1:35" ht="13.15" x14ac:dyDescent="0.4">
      <c r="A33" s="56"/>
      <c r="B33" s="53" t="s">
        <v>58</v>
      </c>
      <c r="C33" s="53" t="s">
        <v>1778</v>
      </c>
      <c r="E33" s="62">
        <v>2.64083510871E-3</v>
      </c>
      <c r="I33" s="53" t="s">
        <v>1781</v>
      </c>
      <c r="J33" s="53" t="s">
        <v>1780</v>
      </c>
    </row>
    <row r="34" spans="1:35" ht="13.15" x14ac:dyDescent="0.4">
      <c r="A34" s="56"/>
      <c r="B34" s="53" t="s">
        <v>60</v>
      </c>
      <c r="C34" s="53" t="s">
        <v>1778</v>
      </c>
      <c r="E34" s="62">
        <v>1.7684866341836534E-3</v>
      </c>
      <c r="I34" s="53" t="s">
        <v>1781</v>
      </c>
      <c r="J34" s="53" t="s">
        <v>1780</v>
      </c>
    </row>
    <row r="35" spans="1:35" ht="13.15" x14ac:dyDescent="0.4">
      <c r="A35" s="56"/>
      <c r="B35" s="53" t="s">
        <v>62</v>
      </c>
      <c r="C35" s="53" t="s">
        <v>1778</v>
      </c>
      <c r="E35" s="62">
        <v>2.5591064088086772E-3</v>
      </c>
      <c r="I35" s="53" t="s">
        <v>1781</v>
      </c>
      <c r="J35" s="53" t="s">
        <v>1780</v>
      </c>
    </row>
    <row r="36" spans="1:35" ht="13.15" x14ac:dyDescent="0.4">
      <c r="A36" s="56"/>
      <c r="B36" s="53" t="s">
        <v>64</v>
      </c>
      <c r="C36" s="53" t="s">
        <v>1778</v>
      </c>
      <c r="E36" s="62">
        <v>0.46940399999999999</v>
      </c>
      <c r="I36" s="53" t="s">
        <v>1782</v>
      </c>
      <c r="J36" s="53" t="s">
        <v>1780</v>
      </c>
    </row>
    <row r="37" spans="1:35" ht="13.15" x14ac:dyDescent="0.4">
      <c r="A37" s="56"/>
      <c r="B37" s="53" t="s">
        <v>67</v>
      </c>
      <c r="C37" s="53" t="s">
        <v>1778</v>
      </c>
      <c r="E37" s="62">
        <v>0</v>
      </c>
      <c r="I37" s="53" t="s">
        <v>1779</v>
      </c>
      <c r="J37" s="53" t="s">
        <v>1780</v>
      </c>
    </row>
    <row r="38" spans="1:35" ht="13.15" x14ac:dyDescent="0.4">
      <c r="A38" s="56"/>
      <c r="B38" s="53" t="s">
        <v>69</v>
      </c>
      <c r="C38" s="53" t="s">
        <v>1778</v>
      </c>
      <c r="E38" s="62">
        <v>0</v>
      </c>
      <c r="I38" s="53" t="s">
        <v>1783</v>
      </c>
      <c r="J38" s="53" t="s">
        <v>1780</v>
      </c>
    </row>
    <row r="39" spans="1:35" ht="13.15" x14ac:dyDescent="0.4">
      <c r="A39" s="56"/>
    </row>
    <row r="40" spans="1:35" ht="13.15" x14ac:dyDescent="0.4">
      <c r="A40" s="63">
        <v>4</v>
      </c>
      <c r="B40" s="63" t="s">
        <v>1784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</row>
    <row r="41" spans="1:35" ht="13.15" x14ac:dyDescent="0.4">
      <c r="A41" s="56"/>
      <c r="B41" s="56" t="s">
        <v>931</v>
      </c>
      <c r="C41" s="56" t="s">
        <v>34</v>
      </c>
      <c r="D41" s="56" t="s">
        <v>1785</v>
      </c>
      <c r="E41" s="56" t="s">
        <v>35</v>
      </c>
      <c r="F41" s="56" t="s">
        <v>36</v>
      </c>
      <c r="G41" s="56" t="s">
        <v>37</v>
      </c>
      <c r="H41" s="56" t="s">
        <v>1786</v>
      </c>
      <c r="I41" s="56"/>
      <c r="J41" s="56" t="s">
        <v>47</v>
      </c>
      <c r="K41" s="56">
        <v>2021</v>
      </c>
      <c r="L41" s="56">
        <v>2022</v>
      </c>
      <c r="M41" s="56">
        <v>2023</v>
      </c>
      <c r="N41" s="56">
        <v>2024</v>
      </c>
      <c r="O41" s="56">
        <v>2025</v>
      </c>
      <c r="P41" s="56">
        <v>2026</v>
      </c>
      <c r="Q41" s="56">
        <v>2027</v>
      </c>
      <c r="R41" s="56">
        <v>2028</v>
      </c>
      <c r="S41" s="56">
        <v>2029</v>
      </c>
      <c r="T41" s="56">
        <v>2030</v>
      </c>
      <c r="U41" s="56">
        <v>2031</v>
      </c>
      <c r="V41" s="56">
        <v>2032</v>
      </c>
      <c r="W41" s="56">
        <v>2033</v>
      </c>
      <c r="X41" s="56">
        <v>2034</v>
      </c>
      <c r="Y41" s="56">
        <v>2035</v>
      </c>
      <c r="Z41" s="56">
        <v>2036</v>
      </c>
      <c r="AA41" s="56">
        <v>2037</v>
      </c>
      <c r="AB41" s="56">
        <v>2038</v>
      </c>
      <c r="AC41" s="56">
        <v>2039</v>
      </c>
      <c r="AD41" s="56">
        <v>2040</v>
      </c>
      <c r="AE41" s="56">
        <v>2041</v>
      </c>
      <c r="AF41" s="56">
        <v>2042</v>
      </c>
      <c r="AG41" s="56">
        <v>2043</v>
      </c>
      <c r="AH41" s="56">
        <v>2044</v>
      </c>
      <c r="AI41" s="56">
        <v>2045</v>
      </c>
    </row>
    <row r="42" spans="1:35" ht="13.15" x14ac:dyDescent="0.4">
      <c r="A42" s="56"/>
      <c r="B42" s="53" t="s">
        <v>1414</v>
      </c>
      <c r="C42" s="53" t="s">
        <v>1787</v>
      </c>
      <c r="D42" s="53" t="s">
        <v>1788</v>
      </c>
      <c r="E42" s="53" t="s">
        <v>1415</v>
      </c>
      <c r="F42" s="53" t="s">
        <v>1789</v>
      </c>
      <c r="G42" s="94" t="s">
        <v>1420</v>
      </c>
      <c r="H42" s="53" t="s">
        <v>1914</v>
      </c>
      <c r="J42" s="53" t="s">
        <v>1726</v>
      </c>
      <c r="K42" s="59">
        <f t="shared" ref="K42:AI42" si="1">INDEX(K$7:K$12,MATCH($D$27,$B$7:$B$12,0))</f>
        <v>0</v>
      </c>
      <c r="L42" s="59">
        <f t="shared" si="1"/>
        <v>0</v>
      </c>
      <c r="M42" s="59">
        <f t="shared" si="1"/>
        <v>0</v>
      </c>
      <c r="N42" s="59">
        <f t="shared" si="1"/>
        <v>0</v>
      </c>
      <c r="O42" s="59">
        <f t="shared" si="1"/>
        <v>0</v>
      </c>
      <c r="P42" s="59">
        <f t="shared" si="1"/>
        <v>0</v>
      </c>
      <c r="Q42" s="59">
        <f t="shared" si="1"/>
        <v>12.5</v>
      </c>
      <c r="R42" s="59">
        <f t="shared" si="1"/>
        <v>25</v>
      </c>
      <c r="S42" s="59">
        <f t="shared" si="1"/>
        <v>37.5</v>
      </c>
      <c r="T42" s="59">
        <f t="shared" si="1"/>
        <v>50</v>
      </c>
      <c r="U42" s="59">
        <f t="shared" si="1"/>
        <v>62.5</v>
      </c>
      <c r="V42" s="59">
        <f t="shared" si="1"/>
        <v>75</v>
      </c>
      <c r="W42" s="59">
        <f t="shared" si="1"/>
        <v>87.5</v>
      </c>
      <c r="X42" s="59">
        <f t="shared" si="1"/>
        <v>100</v>
      </c>
      <c r="Y42" s="59">
        <f t="shared" si="1"/>
        <v>112.5</v>
      </c>
      <c r="Z42" s="59">
        <f t="shared" si="1"/>
        <v>125</v>
      </c>
      <c r="AA42" s="59">
        <f t="shared" si="1"/>
        <v>137.5</v>
      </c>
      <c r="AB42" s="59">
        <f t="shared" si="1"/>
        <v>150</v>
      </c>
      <c r="AC42" s="59">
        <f t="shared" si="1"/>
        <v>162.5</v>
      </c>
      <c r="AD42" s="59">
        <f t="shared" si="1"/>
        <v>175</v>
      </c>
      <c r="AE42" s="59">
        <f t="shared" si="1"/>
        <v>187.5</v>
      </c>
      <c r="AF42" s="59">
        <f t="shared" si="1"/>
        <v>0</v>
      </c>
      <c r="AG42" s="59">
        <f t="shared" si="1"/>
        <v>0</v>
      </c>
      <c r="AH42" s="59">
        <f t="shared" si="1"/>
        <v>0</v>
      </c>
      <c r="AI42" s="59">
        <f t="shared" si="1"/>
        <v>0</v>
      </c>
    </row>
    <row r="43" spans="1:35" ht="13.15" x14ac:dyDescent="0.4">
      <c r="A43" s="56"/>
      <c r="B43" s="53" t="s">
        <v>1418</v>
      </c>
      <c r="C43" s="53" t="s">
        <v>1790</v>
      </c>
      <c r="D43" s="53" t="s">
        <v>1788</v>
      </c>
      <c r="E43" s="53" t="s">
        <v>1415</v>
      </c>
      <c r="F43" s="53" t="s">
        <v>1789</v>
      </c>
      <c r="G43" s="94" t="s">
        <v>1421</v>
      </c>
      <c r="H43" s="53" t="s">
        <v>1791</v>
      </c>
      <c r="J43" s="53" t="s">
        <v>1726</v>
      </c>
      <c r="K43" s="59">
        <f t="shared" ref="K43:AI43" si="2">INDEX(K$7:K$12,MATCH($E$27,$B$7:$B$12,0))</f>
        <v>0</v>
      </c>
      <c r="L43" s="59">
        <f t="shared" si="2"/>
        <v>0</v>
      </c>
      <c r="M43" s="59">
        <f t="shared" si="2"/>
        <v>0</v>
      </c>
      <c r="N43" s="59">
        <f t="shared" si="2"/>
        <v>0</v>
      </c>
      <c r="O43" s="59">
        <f t="shared" si="2"/>
        <v>0</v>
      </c>
      <c r="P43" s="59">
        <f t="shared" si="2"/>
        <v>0</v>
      </c>
      <c r="Q43" s="59">
        <f t="shared" si="2"/>
        <v>0</v>
      </c>
      <c r="R43" s="59">
        <f t="shared" si="2"/>
        <v>0</v>
      </c>
      <c r="S43" s="59">
        <f t="shared" si="2"/>
        <v>0</v>
      </c>
      <c r="T43" s="59">
        <f t="shared" si="2"/>
        <v>0</v>
      </c>
      <c r="U43" s="59">
        <f t="shared" si="2"/>
        <v>0</v>
      </c>
      <c r="V43" s="59">
        <f t="shared" si="2"/>
        <v>0</v>
      </c>
      <c r="W43" s="59">
        <f t="shared" si="2"/>
        <v>0</v>
      </c>
      <c r="X43" s="59">
        <f t="shared" si="2"/>
        <v>0</v>
      </c>
      <c r="Y43" s="59">
        <f t="shared" si="2"/>
        <v>0</v>
      </c>
      <c r="Z43" s="59">
        <f t="shared" si="2"/>
        <v>0</v>
      </c>
      <c r="AA43" s="59">
        <f t="shared" si="2"/>
        <v>0</v>
      </c>
      <c r="AB43" s="59">
        <f t="shared" si="2"/>
        <v>0</v>
      </c>
      <c r="AC43" s="59">
        <f t="shared" si="2"/>
        <v>0</v>
      </c>
      <c r="AD43" s="59">
        <f t="shared" si="2"/>
        <v>0</v>
      </c>
      <c r="AE43" s="59">
        <f t="shared" si="2"/>
        <v>0</v>
      </c>
      <c r="AF43" s="59">
        <f t="shared" si="2"/>
        <v>0</v>
      </c>
      <c r="AG43" s="59">
        <f t="shared" si="2"/>
        <v>0</v>
      </c>
      <c r="AH43" s="59">
        <f t="shared" si="2"/>
        <v>0</v>
      </c>
      <c r="AI43" s="59">
        <f t="shared" si="2"/>
        <v>0</v>
      </c>
    </row>
    <row r="44" spans="1:35" ht="13.15" x14ac:dyDescent="0.4">
      <c r="A44" s="56"/>
      <c r="B44" s="53" t="s">
        <v>1792</v>
      </c>
      <c r="C44" s="53" t="s">
        <v>1793</v>
      </c>
      <c r="D44" s="53" t="s">
        <v>1788</v>
      </c>
      <c r="E44" s="53" t="s">
        <v>1415</v>
      </c>
      <c r="F44" s="53" t="s">
        <v>1789</v>
      </c>
      <c r="G44" s="94" t="s">
        <v>1794</v>
      </c>
      <c r="H44" s="53" t="s">
        <v>1915</v>
      </c>
      <c r="J44" s="53" t="s">
        <v>1726</v>
      </c>
      <c r="K44" s="59">
        <f t="shared" ref="K44:AI44" si="3">INDEX(K$7:K$12,MATCH($H$27,$B$7:$B$12,0))*$G$27</f>
        <v>0</v>
      </c>
      <c r="L44" s="59">
        <f t="shared" si="3"/>
        <v>0</v>
      </c>
      <c r="M44" s="59">
        <f t="shared" si="3"/>
        <v>0</v>
      </c>
      <c r="N44" s="59">
        <f t="shared" si="3"/>
        <v>0</v>
      </c>
      <c r="O44" s="59">
        <f t="shared" si="3"/>
        <v>0</v>
      </c>
      <c r="P44" s="59">
        <f t="shared" si="3"/>
        <v>0</v>
      </c>
      <c r="Q44" s="59">
        <f t="shared" si="3"/>
        <v>0</v>
      </c>
      <c r="R44" s="59">
        <f t="shared" si="3"/>
        <v>0</v>
      </c>
      <c r="S44" s="59">
        <f t="shared" si="3"/>
        <v>0</v>
      </c>
      <c r="T44" s="59">
        <f t="shared" si="3"/>
        <v>0</v>
      </c>
      <c r="U44" s="59">
        <f t="shared" si="3"/>
        <v>0</v>
      </c>
      <c r="V44" s="59">
        <f t="shared" si="3"/>
        <v>0</v>
      </c>
      <c r="W44" s="59">
        <f t="shared" si="3"/>
        <v>0</v>
      </c>
      <c r="X44" s="59">
        <f t="shared" si="3"/>
        <v>0</v>
      </c>
      <c r="Y44" s="59">
        <f t="shared" si="3"/>
        <v>0</v>
      </c>
      <c r="Z44" s="59">
        <f t="shared" si="3"/>
        <v>0</v>
      </c>
      <c r="AA44" s="59">
        <f t="shared" si="3"/>
        <v>0</v>
      </c>
      <c r="AB44" s="59">
        <f t="shared" si="3"/>
        <v>0</v>
      </c>
      <c r="AC44" s="59">
        <f t="shared" si="3"/>
        <v>0</v>
      </c>
      <c r="AD44" s="59">
        <f t="shared" si="3"/>
        <v>0</v>
      </c>
      <c r="AE44" s="59">
        <f t="shared" si="3"/>
        <v>0</v>
      </c>
      <c r="AF44" s="59">
        <f t="shared" si="3"/>
        <v>0</v>
      </c>
      <c r="AG44" s="59">
        <f t="shared" si="3"/>
        <v>0</v>
      </c>
      <c r="AH44" s="59">
        <f t="shared" si="3"/>
        <v>0</v>
      </c>
      <c r="AI44" s="59">
        <f t="shared" si="3"/>
        <v>0</v>
      </c>
    </row>
    <row r="45" spans="1:35" ht="13.15" x14ac:dyDescent="0.4">
      <c r="A45" s="56"/>
      <c r="B45" s="53" t="s">
        <v>1795</v>
      </c>
      <c r="C45" s="53" t="s">
        <v>1796</v>
      </c>
      <c r="D45" s="53" t="s">
        <v>1788</v>
      </c>
      <c r="E45" s="53" t="s">
        <v>79</v>
      </c>
      <c r="F45" s="53" t="s">
        <v>1789</v>
      </c>
      <c r="G45" s="94" t="s">
        <v>1797</v>
      </c>
      <c r="H45" s="53" t="s">
        <v>1798</v>
      </c>
      <c r="J45" s="53" t="s">
        <v>1726</v>
      </c>
      <c r="K45" s="59">
        <f t="shared" ref="K45:AI45" si="4">$F$27</f>
        <v>1</v>
      </c>
      <c r="L45" s="59">
        <f t="shared" si="4"/>
        <v>1</v>
      </c>
      <c r="M45" s="59">
        <f t="shared" si="4"/>
        <v>1</v>
      </c>
      <c r="N45" s="59">
        <f t="shared" si="4"/>
        <v>1</v>
      </c>
      <c r="O45" s="59">
        <f t="shared" si="4"/>
        <v>1</v>
      </c>
      <c r="P45" s="59">
        <f t="shared" si="4"/>
        <v>1</v>
      </c>
      <c r="Q45" s="59">
        <f t="shared" si="4"/>
        <v>1</v>
      </c>
      <c r="R45" s="59">
        <f t="shared" si="4"/>
        <v>1</v>
      </c>
      <c r="S45" s="59">
        <f t="shared" si="4"/>
        <v>1</v>
      </c>
      <c r="T45" s="59">
        <f t="shared" si="4"/>
        <v>1</v>
      </c>
      <c r="U45" s="59">
        <f t="shared" si="4"/>
        <v>1</v>
      </c>
      <c r="V45" s="59">
        <f t="shared" si="4"/>
        <v>1</v>
      </c>
      <c r="W45" s="59">
        <f t="shared" si="4"/>
        <v>1</v>
      </c>
      <c r="X45" s="59">
        <f t="shared" si="4"/>
        <v>1</v>
      </c>
      <c r="Y45" s="59">
        <f t="shared" si="4"/>
        <v>1</v>
      </c>
      <c r="Z45" s="59">
        <f t="shared" si="4"/>
        <v>1</v>
      </c>
      <c r="AA45" s="59">
        <f t="shared" si="4"/>
        <v>1</v>
      </c>
      <c r="AB45" s="59">
        <f t="shared" si="4"/>
        <v>1</v>
      </c>
      <c r="AC45" s="59">
        <f t="shared" si="4"/>
        <v>1</v>
      </c>
      <c r="AD45" s="59">
        <f t="shared" si="4"/>
        <v>1</v>
      </c>
      <c r="AE45" s="59">
        <f t="shared" si="4"/>
        <v>1</v>
      </c>
      <c r="AF45" s="59">
        <f t="shared" si="4"/>
        <v>1</v>
      </c>
      <c r="AG45" s="59">
        <f t="shared" si="4"/>
        <v>1</v>
      </c>
      <c r="AH45" s="59">
        <f t="shared" si="4"/>
        <v>1</v>
      </c>
      <c r="AI45" s="59">
        <f t="shared" si="4"/>
        <v>1</v>
      </c>
    </row>
    <row r="46" spans="1:35" ht="13.15" x14ac:dyDescent="0.4">
      <c r="A46" s="56"/>
      <c r="B46" s="53" t="s">
        <v>1799</v>
      </c>
      <c r="C46" s="53" t="s">
        <v>1800</v>
      </c>
      <c r="D46" s="53" t="s">
        <v>1801</v>
      </c>
      <c r="E46" s="53" t="s">
        <v>79</v>
      </c>
      <c r="F46" s="53" t="s">
        <v>1789</v>
      </c>
      <c r="G46" s="94" t="s">
        <v>1802</v>
      </c>
      <c r="H46" s="53" t="s">
        <v>2328</v>
      </c>
      <c r="J46" s="53" t="s">
        <v>1726</v>
      </c>
      <c r="K46" s="59">
        <f t="shared" ref="K46:AI46" si="5">$I$27</f>
        <v>0</v>
      </c>
      <c r="L46" s="59">
        <f t="shared" si="5"/>
        <v>0</v>
      </c>
      <c r="M46" s="59">
        <f t="shared" si="5"/>
        <v>0</v>
      </c>
      <c r="N46" s="59">
        <f t="shared" si="5"/>
        <v>0</v>
      </c>
      <c r="O46" s="59">
        <f t="shared" si="5"/>
        <v>0</v>
      </c>
      <c r="P46" s="59">
        <f t="shared" si="5"/>
        <v>0</v>
      </c>
      <c r="Q46" s="59">
        <f t="shared" si="5"/>
        <v>0</v>
      </c>
      <c r="R46" s="59">
        <f t="shared" si="5"/>
        <v>0</v>
      </c>
      <c r="S46" s="59">
        <f t="shared" si="5"/>
        <v>0</v>
      </c>
      <c r="T46" s="59">
        <f t="shared" si="5"/>
        <v>0</v>
      </c>
      <c r="U46" s="59">
        <f t="shared" si="5"/>
        <v>0</v>
      </c>
      <c r="V46" s="59">
        <f t="shared" si="5"/>
        <v>0</v>
      </c>
      <c r="W46" s="59">
        <f t="shared" si="5"/>
        <v>0</v>
      </c>
      <c r="X46" s="59">
        <f t="shared" si="5"/>
        <v>0</v>
      </c>
      <c r="Y46" s="59">
        <f t="shared" si="5"/>
        <v>0</v>
      </c>
      <c r="Z46" s="59">
        <f t="shared" si="5"/>
        <v>0</v>
      </c>
      <c r="AA46" s="59">
        <f t="shared" si="5"/>
        <v>0</v>
      </c>
      <c r="AB46" s="59">
        <f t="shared" si="5"/>
        <v>0</v>
      </c>
      <c r="AC46" s="59">
        <f t="shared" si="5"/>
        <v>0</v>
      </c>
      <c r="AD46" s="59">
        <f t="shared" si="5"/>
        <v>0</v>
      </c>
      <c r="AE46" s="59">
        <f t="shared" si="5"/>
        <v>0</v>
      </c>
      <c r="AF46" s="59">
        <f t="shared" si="5"/>
        <v>0</v>
      </c>
      <c r="AG46" s="59">
        <f t="shared" si="5"/>
        <v>0</v>
      </c>
      <c r="AH46" s="59">
        <f t="shared" si="5"/>
        <v>0</v>
      </c>
      <c r="AI46" s="59">
        <f t="shared" si="5"/>
        <v>0</v>
      </c>
    </row>
    <row r="47" spans="1:35" ht="13.15" x14ac:dyDescent="0.4">
      <c r="A47" s="56"/>
      <c r="B47" s="53" t="s">
        <v>1803</v>
      </c>
      <c r="C47" s="53" t="s">
        <v>1804</v>
      </c>
      <c r="D47" s="53" t="s">
        <v>1801</v>
      </c>
      <c r="E47" s="53" t="s">
        <v>1415</v>
      </c>
      <c r="F47" s="53" t="s">
        <v>1789</v>
      </c>
      <c r="G47" s="94" t="s">
        <v>1805</v>
      </c>
      <c r="H47" s="53" t="s">
        <v>2329</v>
      </c>
      <c r="J47" s="53" t="s">
        <v>1726</v>
      </c>
      <c r="K47" s="59">
        <f t="shared" ref="K47:AI47" si="6">K46*K42</f>
        <v>0</v>
      </c>
      <c r="L47" s="59">
        <f t="shared" si="6"/>
        <v>0</v>
      </c>
      <c r="M47" s="59">
        <f t="shared" si="6"/>
        <v>0</v>
      </c>
      <c r="N47" s="59">
        <f t="shared" si="6"/>
        <v>0</v>
      </c>
      <c r="O47" s="59">
        <f t="shared" si="6"/>
        <v>0</v>
      </c>
      <c r="P47" s="59">
        <f t="shared" si="6"/>
        <v>0</v>
      </c>
      <c r="Q47" s="59">
        <f t="shared" si="6"/>
        <v>0</v>
      </c>
      <c r="R47" s="59">
        <f t="shared" si="6"/>
        <v>0</v>
      </c>
      <c r="S47" s="59">
        <f t="shared" si="6"/>
        <v>0</v>
      </c>
      <c r="T47" s="59">
        <f t="shared" si="6"/>
        <v>0</v>
      </c>
      <c r="U47" s="59">
        <f t="shared" si="6"/>
        <v>0</v>
      </c>
      <c r="V47" s="59">
        <f t="shared" si="6"/>
        <v>0</v>
      </c>
      <c r="W47" s="59">
        <f t="shared" si="6"/>
        <v>0</v>
      </c>
      <c r="X47" s="59">
        <f t="shared" si="6"/>
        <v>0</v>
      </c>
      <c r="Y47" s="59">
        <f t="shared" si="6"/>
        <v>0</v>
      </c>
      <c r="Z47" s="59">
        <f t="shared" si="6"/>
        <v>0</v>
      </c>
      <c r="AA47" s="59">
        <f t="shared" si="6"/>
        <v>0</v>
      </c>
      <c r="AB47" s="59">
        <f t="shared" si="6"/>
        <v>0</v>
      </c>
      <c r="AC47" s="59">
        <f t="shared" si="6"/>
        <v>0</v>
      </c>
      <c r="AD47" s="59">
        <f t="shared" si="6"/>
        <v>0</v>
      </c>
      <c r="AE47" s="59">
        <f t="shared" si="6"/>
        <v>0</v>
      </c>
      <c r="AF47" s="59">
        <f t="shared" si="6"/>
        <v>0</v>
      </c>
      <c r="AG47" s="59">
        <f t="shared" si="6"/>
        <v>0</v>
      </c>
      <c r="AH47" s="59">
        <f t="shared" si="6"/>
        <v>0</v>
      </c>
      <c r="AI47" s="59">
        <f t="shared" si="6"/>
        <v>0</v>
      </c>
    </row>
    <row r="48" spans="1:35" ht="13.15" x14ac:dyDescent="0.4">
      <c r="A48" s="56"/>
      <c r="B48" s="53" t="s">
        <v>1806</v>
      </c>
      <c r="C48" s="53" t="s">
        <v>1807</v>
      </c>
      <c r="D48" s="53" t="s">
        <v>1808</v>
      </c>
      <c r="E48" s="53" t="s">
        <v>79</v>
      </c>
      <c r="F48" s="53" t="s">
        <v>1789</v>
      </c>
      <c r="G48" s="94" t="s">
        <v>1809</v>
      </c>
      <c r="H48" s="53" t="s">
        <v>2728</v>
      </c>
      <c r="J48" s="53" t="s">
        <v>1726</v>
      </c>
      <c r="K48" s="59">
        <f t="shared" ref="K48:AI48" si="7">$J$27</f>
        <v>0</v>
      </c>
      <c r="L48" s="59">
        <f t="shared" si="7"/>
        <v>0</v>
      </c>
      <c r="M48" s="59">
        <f t="shared" si="7"/>
        <v>0</v>
      </c>
      <c r="N48" s="59">
        <f t="shared" si="7"/>
        <v>0</v>
      </c>
      <c r="O48" s="59">
        <f t="shared" si="7"/>
        <v>0</v>
      </c>
      <c r="P48" s="59">
        <f t="shared" si="7"/>
        <v>0</v>
      </c>
      <c r="Q48" s="59">
        <f t="shared" si="7"/>
        <v>0</v>
      </c>
      <c r="R48" s="59">
        <f t="shared" si="7"/>
        <v>0</v>
      </c>
      <c r="S48" s="59">
        <f t="shared" si="7"/>
        <v>0</v>
      </c>
      <c r="T48" s="59">
        <f t="shared" si="7"/>
        <v>0</v>
      </c>
      <c r="U48" s="59">
        <f t="shared" si="7"/>
        <v>0</v>
      </c>
      <c r="V48" s="59">
        <f t="shared" si="7"/>
        <v>0</v>
      </c>
      <c r="W48" s="59">
        <f t="shared" si="7"/>
        <v>0</v>
      </c>
      <c r="X48" s="59">
        <f t="shared" si="7"/>
        <v>0</v>
      </c>
      <c r="Y48" s="59">
        <f t="shared" si="7"/>
        <v>0</v>
      </c>
      <c r="Z48" s="59">
        <f t="shared" si="7"/>
        <v>0</v>
      </c>
      <c r="AA48" s="59">
        <f t="shared" si="7"/>
        <v>0</v>
      </c>
      <c r="AB48" s="59">
        <f t="shared" si="7"/>
        <v>0</v>
      </c>
      <c r="AC48" s="59">
        <f t="shared" si="7"/>
        <v>0</v>
      </c>
      <c r="AD48" s="59">
        <f t="shared" si="7"/>
        <v>0</v>
      </c>
      <c r="AE48" s="59">
        <f t="shared" si="7"/>
        <v>0</v>
      </c>
      <c r="AF48" s="59">
        <f t="shared" si="7"/>
        <v>0</v>
      </c>
      <c r="AG48" s="59">
        <f t="shared" si="7"/>
        <v>0</v>
      </c>
      <c r="AH48" s="59">
        <f t="shared" si="7"/>
        <v>0</v>
      </c>
      <c r="AI48" s="59">
        <f t="shared" si="7"/>
        <v>0</v>
      </c>
    </row>
    <row r="49" spans="1:35" ht="13.15" x14ac:dyDescent="0.4">
      <c r="A49" s="56"/>
      <c r="B49" s="53" t="s">
        <v>1810</v>
      </c>
      <c r="C49" s="53" t="s">
        <v>2726</v>
      </c>
      <c r="D49" s="53" t="s">
        <v>1812</v>
      </c>
      <c r="E49" s="53" t="s">
        <v>1415</v>
      </c>
      <c r="F49" s="53" t="s">
        <v>1789</v>
      </c>
      <c r="G49" s="94" t="s">
        <v>1813</v>
      </c>
      <c r="H49" s="53" t="s">
        <v>2727</v>
      </c>
      <c r="J49" s="53" t="s">
        <v>1726</v>
      </c>
      <c r="K49" s="132">
        <v>0</v>
      </c>
      <c r="L49" s="132">
        <f>Fund_Industry!L$313</f>
        <v>0</v>
      </c>
      <c r="M49" s="132">
        <f>Fund_Industry!M$313</f>
        <v>0</v>
      </c>
      <c r="N49" s="132">
        <f>Fund_Industry!N$313</f>
        <v>0</v>
      </c>
      <c r="O49" s="132">
        <f>Fund_Industry!O$313</f>
        <v>0</v>
      </c>
      <c r="P49" s="132">
        <f>Fund_Industry!P$313</f>
        <v>0</v>
      </c>
      <c r="Q49" s="132">
        <f>Fund_Industry!Q$313</f>
        <v>0</v>
      </c>
      <c r="R49" s="132">
        <f>Fund_Industry!R$313</f>
        <v>0</v>
      </c>
      <c r="S49" s="132">
        <f>Fund_Industry!S$313</f>
        <v>0</v>
      </c>
      <c r="T49" s="132">
        <f>Fund_Industry!T$313</f>
        <v>0</v>
      </c>
      <c r="U49" s="132">
        <f>Fund_Industry!U$313</f>
        <v>0</v>
      </c>
      <c r="V49" s="132">
        <f>Fund_Industry!V$313</f>
        <v>0</v>
      </c>
      <c r="W49" s="132">
        <f>Fund_Industry!W$313</f>
        <v>0</v>
      </c>
      <c r="X49" s="132">
        <f>Fund_Industry!X$313</f>
        <v>0</v>
      </c>
      <c r="Y49" s="132">
        <f>Fund_Industry!Y$313</f>
        <v>0</v>
      </c>
      <c r="Z49" s="132">
        <f>Fund_Industry!Z$313</f>
        <v>0</v>
      </c>
      <c r="AA49" s="132">
        <f>Fund_Industry!AA$313</f>
        <v>0</v>
      </c>
      <c r="AB49" s="132">
        <f>Fund_Industry!AB$313</f>
        <v>0</v>
      </c>
      <c r="AC49" s="132">
        <f>Fund_Industry!AC$313</f>
        <v>0</v>
      </c>
      <c r="AD49" s="132">
        <f>Fund_Industry!AD$313</f>
        <v>0</v>
      </c>
      <c r="AE49" s="132">
        <f>Fund_Industry!AE$313</f>
        <v>0</v>
      </c>
      <c r="AF49" s="132">
        <v>0</v>
      </c>
      <c r="AG49" s="132">
        <v>0</v>
      </c>
      <c r="AH49" s="132">
        <v>0</v>
      </c>
      <c r="AI49" s="132">
        <v>0</v>
      </c>
    </row>
    <row r="50" spans="1:35" ht="13.15" x14ac:dyDescent="0.4">
      <c r="A50" s="56"/>
      <c r="B50" s="53" t="s">
        <v>938</v>
      </c>
      <c r="C50" s="53" t="s">
        <v>1814</v>
      </c>
      <c r="D50" s="53" t="s">
        <v>1788</v>
      </c>
      <c r="E50" s="53" t="s">
        <v>51</v>
      </c>
      <c r="F50" s="53" t="s">
        <v>1789</v>
      </c>
      <c r="G50" s="94" t="s">
        <v>1023</v>
      </c>
      <c r="H50" s="53" t="s">
        <v>1815</v>
      </c>
      <c r="J50" s="53" t="s">
        <v>1726</v>
      </c>
      <c r="K50" s="59">
        <f t="shared" ref="K50:AI50" si="8">K42*K45*$E$30</f>
        <v>0</v>
      </c>
      <c r="L50" s="59">
        <f t="shared" si="8"/>
        <v>0</v>
      </c>
      <c r="M50" s="59">
        <f t="shared" si="8"/>
        <v>0</v>
      </c>
      <c r="N50" s="59">
        <f t="shared" si="8"/>
        <v>0</v>
      </c>
      <c r="O50" s="59">
        <f t="shared" si="8"/>
        <v>0</v>
      </c>
      <c r="P50" s="59">
        <f t="shared" si="8"/>
        <v>0</v>
      </c>
      <c r="Q50" s="59">
        <f t="shared" si="8"/>
        <v>1.25</v>
      </c>
      <c r="R50" s="59">
        <f t="shared" si="8"/>
        <v>2.5</v>
      </c>
      <c r="S50" s="59">
        <f t="shared" si="8"/>
        <v>3.75</v>
      </c>
      <c r="T50" s="59">
        <f t="shared" si="8"/>
        <v>5</v>
      </c>
      <c r="U50" s="59">
        <f t="shared" si="8"/>
        <v>6.25</v>
      </c>
      <c r="V50" s="59">
        <f t="shared" si="8"/>
        <v>7.5</v>
      </c>
      <c r="W50" s="59">
        <f t="shared" si="8"/>
        <v>8.75</v>
      </c>
      <c r="X50" s="59">
        <f t="shared" si="8"/>
        <v>10</v>
      </c>
      <c r="Y50" s="59">
        <f t="shared" si="8"/>
        <v>11.25</v>
      </c>
      <c r="Z50" s="59">
        <f t="shared" si="8"/>
        <v>12.5</v>
      </c>
      <c r="AA50" s="59">
        <f t="shared" si="8"/>
        <v>13.75</v>
      </c>
      <c r="AB50" s="59">
        <f t="shared" si="8"/>
        <v>15</v>
      </c>
      <c r="AC50" s="59">
        <f t="shared" si="8"/>
        <v>16.25</v>
      </c>
      <c r="AD50" s="59">
        <f t="shared" si="8"/>
        <v>17.5</v>
      </c>
      <c r="AE50" s="59">
        <f t="shared" si="8"/>
        <v>18.75</v>
      </c>
      <c r="AF50" s="59">
        <f t="shared" si="8"/>
        <v>0</v>
      </c>
      <c r="AG50" s="59">
        <f t="shared" si="8"/>
        <v>0</v>
      </c>
      <c r="AH50" s="59">
        <f t="shared" si="8"/>
        <v>0</v>
      </c>
      <c r="AI50" s="59">
        <f t="shared" si="8"/>
        <v>0</v>
      </c>
    </row>
    <row r="51" spans="1:35" ht="13.15" x14ac:dyDescent="0.4">
      <c r="A51" s="56"/>
      <c r="B51" s="53" t="s">
        <v>938</v>
      </c>
      <c r="C51" s="53" t="s">
        <v>1816</v>
      </c>
      <c r="D51" s="53" t="s">
        <v>1788</v>
      </c>
      <c r="E51" s="53" t="s">
        <v>51</v>
      </c>
      <c r="F51" s="53" t="s">
        <v>1789</v>
      </c>
      <c r="G51" s="94" t="s">
        <v>1025</v>
      </c>
      <c r="H51" s="53" t="s">
        <v>1815</v>
      </c>
      <c r="J51" s="53" t="s">
        <v>1726</v>
      </c>
      <c r="K51" s="59">
        <f t="shared" ref="K51:AI51" si="9">K42*K45*$E$31</f>
        <v>0</v>
      </c>
      <c r="L51" s="59">
        <f t="shared" si="9"/>
        <v>0</v>
      </c>
      <c r="M51" s="59">
        <f t="shared" si="9"/>
        <v>0</v>
      </c>
      <c r="N51" s="59">
        <f t="shared" si="9"/>
        <v>0</v>
      </c>
      <c r="O51" s="59">
        <f t="shared" si="9"/>
        <v>0</v>
      </c>
      <c r="P51" s="59">
        <f t="shared" si="9"/>
        <v>0</v>
      </c>
      <c r="Q51" s="59">
        <f t="shared" si="9"/>
        <v>0.69750000000000001</v>
      </c>
      <c r="R51" s="59">
        <f t="shared" si="9"/>
        <v>1.395</v>
      </c>
      <c r="S51" s="59">
        <f t="shared" si="9"/>
        <v>2.0925000000000002</v>
      </c>
      <c r="T51" s="59">
        <f t="shared" si="9"/>
        <v>2.79</v>
      </c>
      <c r="U51" s="59">
        <f t="shared" si="9"/>
        <v>3.4875000000000003</v>
      </c>
      <c r="V51" s="59">
        <f t="shared" si="9"/>
        <v>4.1850000000000005</v>
      </c>
      <c r="W51" s="59">
        <f t="shared" si="9"/>
        <v>4.8825000000000003</v>
      </c>
      <c r="X51" s="59">
        <f t="shared" si="9"/>
        <v>5.58</v>
      </c>
      <c r="Y51" s="59">
        <f t="shared" si="9"/>
        <v>6.2774999999999999</v>
      </c>
      <c r="Z51" s="59">
        <f t="shared" si="9"/>
        <v>6.9750000000000005</v>
      </c>
      <c r="AA51" s="59">
        <f t="shared" si="9"/>
        <v>7.6725000000000003</v>
      </c>
      <c r="AB51" s="59">
        <f t="shared" si="9"/>
        <v>8.370000000000001</v>
      </c>
      <c r="AC51" s="59">
        <f t="shared" si="9"/>
        <v>9.0675000000000008</v>
      </c>
      <c r="AD51" s="59">
        <f t="shared" si="9"/>
        <v>9.7650000000000006</v>
      </c>
      <c r="AE51" s="59">
        <f t="shared" si="9"/>
        <v>10.4625</v>
      </c>
      <c r="AF51" s="59">
        <f t="shared" si="9"/>
        <v>0</v>
      </c>
      <c r="AG51" s="59">
        <f t="shared" si="9"/>
        <v>0</v>
      </c>
      <c r="AH51" s="59">
        <f t="shared" si="9"/>
        <v>0</v>
      </c>
      <c r="AI51" s="59">
        <f t="shared" si="9"/>
        <v>0</v>
      </c>
    </row>
    <row r="52" spans="1:35" ht="13.15" x14ac:dyDescent="0.4">
      <c r="A52" s="56"/>
      <c r="B52" s="53" t="s">
        <v>938</v>
      </c>
      <c r="C52" s="53" t="s">
        <v>1817</v>
      </c>
      <c r="D52" s="53" t="s">
        <v>1788</v>
      </c>
      <c r="E52" s="53" t="s">
        <v>57</v>
      </c>
      <c r="F52" s="53" t="s">
        <v>1789</v>
      </c>
      <c r="G52" s="94" t="s">
        <v>1028</v>
      </c>
      <c r="H52" s="53" t="s">
        <v>1815</v>
      </c>
      <c r="J52" s="53" t="s">
        <v>1726</v>
      </c>
      <c r="K52" s="59">
        <f t="shared" ref="K52:AI52" si="10">K42*K45*$E$32</f>
        <v>0</v>
      </c>
      <c r="L52" s="59">
        <f t="shared" si="10"/>
        <v>0</v>
      </c>
      <c r="M52" s="59">
        <f t="shared" si="10"/>
        <v>0</v>
      </c>
      <c r="N52" s="59">
        <f t="shared" si="10"/>
        <v>0</v>
      </c>
      <c r="O52" s="59">
        <f t="shared" si="10"/>
        <v>0</v>
      </c>
      <c r="P52" s="59">
        <f t="shared" si="10"/>
        <v>0</v>
      </c>
      <c r="Q52" s="59">
        <f t="shared" si="10"/>
        <v>2.8927843171500003E-2</v>
      </c>
      <c r="R52" s="59">
        <f t="shared" si="10"/>
        <v>5.7855686343000007E-2</v>
      </c>
      <c r="S52" s="59">
        <f t="shared" si="10"/>
        <v>8.678352951450001E-2</v>
      </c>
      <c r="T52" s="59">
        <f t="shared" si="10"/>
        <v>0.11571137268600001</v>
      </c>
      <c r="U52" s="59">
        <f t="shared" si="10"/>
        <v>0.1446392158575</v>
      </c>
      <c r="V52" s="59">
        <f t="shared" si="10"/>
        <v>0.17356705902900002</v>
      </c>
      <c r="W52" s="59">
        <f t="shared" si="10"/>
        <v>0.20249490220050001</v>
      </c>
      <c r="X52" s="59">
        <f t="shared" si="10"/>
        <v>0.23142274537200003</v>
      </c>
      <c r="Y52" s="59">
        <f t="shared" si="10"/>
        <v>0.26035058854350002</v>
      </c>
      <c r="Z52" s="59">
        <f t="shared" si="10"/>
        <v>0.28927843171500001</v>
      </c>
      <c r="AA52" s="59">
        <f t="shared" si="10"/>
        <v>0.31820627488650005</v>
      </c>
      <c r="AB52" s="59">
        <f t="shared" si="10"/>
        <v>0.34713411805800004</v>
      </c>
      <c r="AC52" s="59">
        <f t="shared" si="10"/>
        <v>0.37606196122950003</v>
      </c>
      <c r="AD52" s="59">
        <f t="shared" si="10"/>
        <v>0.40498980440100002</v>
      </c>
      <c r="AE52" s="59">
        <f t="shared" si="10"/>
        <v>0.43391764757250006</v>
      </c>
      <c r="AF52" s="59">
        <f t="shared" si="10"/>
        <v>0</v>
      </c>
      <c r="AG52" s="59">
        <f t="shared" si="10"/>
        <v>0</v>
      </c>
      <c r="AH52" s="59">
        <f t="shared" si="10"/>
        <v>0</v>
      </c>
      <c r="AI52" s="59">
        <f t="shared" si="10"/>
        <v>0</v>
      </c>
    </row>
    <row r="53" spans="1:35" ht="13.15" x14ac:dyDescent="0.4">
      <c r="A53" s="56"/>
      <c r="B53" s="53" t="s">
        <v>938</v>
      </c>
      <c r="C53" s="53" t="s">
        <v>1818</v>
      </c>
      <c r="D53" s="53" t="s">
        <v>1788</v>
      </c>
      <c r="E53" s="53" t="s">
        <v>57</v>
      </c>
      <c r="F53" s="53" t="s">
        <v>1789</v>
      </c>
      <c r="G53" s="94" t="s">
        <v>1032</v>
      </c>
      <c r="H53" s="53" t="s">
        <v>1815</v>
      </c>
      <c r="J53" s="53" t="s">
        <v>1726</v>
      </c>
      <c r="K53" s="59">
        <f t="shared" ref="K53:AI53" si="11">K42*K45*$E$33</f>
        <v>0</v>
      </c>
      <c r="L53" s="59">
        <f t="shared" si="11"/>
        <v>0</v>
      </c>
      <c r="M53" s="59">
        <f t="shared" si="11"/>
        <v>0</v>
      </c>
      <c r="N53" s="59">
        <f t="shared" si="11"/>
        <v>0</v>
      </c>
      <c r="O53" s="59">
        <f t="shared" si="11"/>
        <v>0</v>
      </c>
      <c r="P53" s="59">
        <f t="shared" si="11"/>
        <v>0</v>
      </c>
      <c r="Q53" s="59">
        <f t="shared" si="11"/>
        <v>3.3010438858875002E-2</v>
      </c>
      <c r="R53" s="59">
        <f t="shared" si="11"/>
        <v>6.6020877717750004E-2</v>
      </c>
      <c r="S53" s="59">
        <f t="shared" si="11"/>
        <v>9.9031316576625006E-2</v>
      </c>
      <c r="T53" s="59">
        <f t="shared" si="11"/>
        <v>0.13204175543550001</v>
      </c>
      <c r="U53" s="59">
        <f t="shared" si="11"/>
        <v>0.16505219429437501</v>
      </c>
      <c r="V53" s="59">
        <f t="shared" si="11"/>
        <v>0.19806263315325001</v>
      </c>
      <c r="W53" s="59">
        <f t="shared" si="11"/>
        <v>0.23107307201212501</v>
      </c>
      <c r="X53" s="59">
        <f t="shared" si="11"/>
        <v>0.26408351087100002</v>
      </c>
      <c r="Y53" s="59">
        <f t="shared" si="11"/>
        <v>0.29709394972987502</v>
      </c>
      <c r="Z53" s="59">
        <f t="shared" si="11"/>
        <v>0.33010438858875002</v>
      </c>
      <c r="AA53" s="59">
        <f t="shared" si="11"/>
        <v>0.36311482744762502</v>
      </c>
      <c r="AB53" s="59">
        <f t="shared" si="11"/>
        <v>0.39612526630650002</v>
      </c>
      <c r="AC53" s="59">
        <f t="shared" si="11"/>
        <v>0.42913570516537503</v>
      </c>
      <c r="AD53" s="59">
        <f t="shared" si="11"/>
        <v>0.46214614402425003</v>
      </c>
      <c r="AE53" s="59">
        <f t="shared" si="11"/>
        <v>0.49515658288312497</v>
      </c>
      <c r="AF53" s="59">
        <f t="shared" si="11"/>
        <v>0</v>
      </c>
      <c r="AG53" s="59">
        <f t="shared" si="11"/>
        <v>0</v>
      </c>
      <c r="AH53" s="59">
        <f t="shared" si="11"/>
        <v>0</v>
      </c>
      <c r="AI53" s="59">
        <f t="shared" si="11"/>
        <v>0</v>
      </c>
    </row>
    <row r="54" spans="1:35" ht="13.15" x14ac:dyDescent="0.4">
      <c r="A54" s="56"/>
      <c r="B54" s="53" t="s">
        <v>938</v>
      </c>
      <c r="C54" s="53" t="s">
        <v>1819</v>
      </c>
      <c r="D54" s="53" t="s">
        <v>1788</v>
      </c>
      <c r="E54" s="53" t="s">
        <v>57</v>
      </c>
      <c r="F54" s="53" t="s">
        <v>1789</v>
      </c>
      <c r="G54" s="94" t="s">
        <v>1036</v>
      </c>
      <c r="H54" s="53" t="s">
        <v>1815</v>
      </c>
      <c r="J54" s="53" t="s">
        <v>1726</v>
      </c>
      <c r="K54" s="59">
        <f t="shared" ref="K54:AI54" si="12">K42*K45*$E$34</f>
        <v>0</v>
      </c>
      <c r="L54" s="59">
        <f t="shared" si="12"/>
        <v>0</v>
      </c>
      <c r="M54" s="59">
        <f t="shared" si="12"/>
        <v>0</v>
      </c>
      <c r="N54" s="59">
        <f t="shared" si="12"/>
        <v>0</v>
      </c>
      <c r="O54" s="59">
        <f t="shared" si="12"/>
        <v>0</v>
      </c>
      <c r="P54" s="59">
        <f t="shared" si="12"/>
        <v>0</v>
      </c>
      <c r="Q54" s="59">
        <f t="shared" si="12"/>
        <v>2.2106082927295666E-2</v>
      </c>
      <c r="R54" s="59">
        <f t="shared" si="12"/>
        <v>4.4212165854591333E-2</v>
      </c>
      <c r="S54" s="59">
        <f t="shared" si="12"/>
        <v>6.6318248781886996E-2</v>
      </c>
      <c r="T54" s="59">
        <f t="shared" si="12"/>
        <v>8.8424331709182666E-2</v>
      </c>
      <c r="U54" s="59">
        <f t="shared" si="12"/>
        <v>0.11053041463647834</v>
      </c>
      <c r="V54" s="59">
        <f t="shared" si="12"/>
        <v>0.13263649756377399</v>
      </c>
      <c r="W54" s="59">
        <f t="shared" si="12"/>
        <v>0.15474258049106968</v>
      </c>
      <c r="X54" s="59">
        <f t="shared" si="12"/>
        <v>0.17684866341836533</v>
      </c>
      <c r="Y54" s="59">
        <f t="shared" si="12"/>
        <v>0.19895474634566102</v>
      </c>
      <c r="Z54" s="59">
        <f t="shared" si="12"/>
        <v>0.22106082927295667</v>
      </c>
      <c r="AA54" s="59">
        <f t="shared" si="12"/>
        <v>0.24316691220025236</v>
      </c>
      <c r="AB54" s="59">
        <f t="shared" si="12"/>
        <v>0.26527299512754798</v>
      </c>
      <c r="AC54" s="59">
        <f t="shared" si="12"/>
        <v>0.2873790780548437</v>
      </c>
      <c r="AD54" s="59">
        <f t="shared" si="12"/>
        <v>0.30948516098213935</v>
      </c>
      <c r="AE54" s="59">
        <f t="shared" si="12"/>
        <v>0.33159124390943501</v>
      </c>
      <c r="AF54" s="59">
        <f t="shared" si="12"/>
        <v>0</v>
      </c>
      <c r="AG54" s="59">
        <f t="shared" si="12"/>
        <v>0</v>
      </c>
      <c r="AH54" s="59">
        <f t="shared" si="12"/>
        <v>0</v>
      </c>
      <c r="AI54" s="59">
        <f t="shared" si="12"/>
        <v>0</v>
      </c>
    </row>
    <row r="55" spans="1:35" ht="13.15" x14ac:dyDescent="0.4">
      <c r="A55" s="56"/>
      <c r="B55" s="53" t="s">
        <v>938</v>
      </c>
      <c r="C55" s="53" t="s">
        <v>1820</v>
      </c>
      <c r="D55" s="53" t="s">
        <v>1788</v>
      </c>
      <c r="E55" s="53" t="s">
        <v>57</v>
      </c>
      <c r="F55" s="53" t="s">
        <v>1789</v>
      </c>
      <c r="G55" s="94" t="s">
        <v>1040</v>
      </c>
      <c r="H55" s="53" t="s">
        <v>1815</v>
      </c>
      <c r="J55" s="53" t="s">
        <v>1726</v>
      </c>
      <c r="K55" s="59">
        <f t="shared" ref="K55:AI55" si="13">K42*K45*$E$35</f>
        <v>0</v>
      </c>
      <c r="L55" s="59">
        <f t="shared" si="13"/>
        <v>0</v>
      </c>
      <c r="M55" s="59">
        <f t="shared" si="13"/>
        <v>0</v>
      </c>
      <c r="N55" s="59">
        <f t="shared" si="13"/>
        <v>0</v>
      </c>
      <c r="O55" s="59">
        <f t="shared" si="13"/>
        <v>0</v>
      </c>
      <c r="P55" s="59">
        <f t="shared" si="13"/>
        <v>0</v>
      </c>
      <c r="Q55" s="59">
        <f t="shared" si="13"/>
        <v>3.1988830110108467E-2</v>
      </c>
      <c r="R55" s="59">
        <f t="shared" si="13"/>
        <v>6.3977660220216934E-2</v>
      </c>
      <c r="S55" s="59">
        <f t="shared" si="13"/>
        <v>9.5966490330325394E-2</v>
      </c>
      <c r="T55" s="59">
        <f t="shared" si="13"/>
        <v>0.12795532044043387</v>
      </c>
      <c r="U55" s="59">
        <f t="shared" si="13"/>
        <v>0.15994415055054234</v>
      </c>
      <c r="V55" s="59">
        <f t="shared" si="13"/>
        <v>0.19193298066065079</v>
      </c>
      <c r="W55" s="59">
        <f t="shared" si="13"/>
        <v>0.22392181077075926</v>
      </c>
      <c r="X55" s="59">
        <f t="shared" si="13"/>
        <v>0.25591064088086773</v>
      </c>
      <c r="Y55" s="59">
        <f t="shared" si="13"/>
        <v>0.28789947099097618</v>
      </c>
      <c r="Z55" s="59">
        <f t="shared" si="13"/>
        <v>0.31988830110108468</v>
      </c>
      <c r="AA55" s="59">
        <f t="shared" si="13"/>
        <v>0.35187713121119313</v>
      </c>
      <c r="AB55" s="59">
        <f t="shared" si="13"/>
        <v>0.38386596132130157</v>
      </c>
      <c r="AC55" s="59">
        <f t="shared" si="13"/>
        <v>0.41585479143141008</v>
      </c>
      <c r="AD55" s="59">
        <f t="shared" si="13"/>
        <v>0.44784362154151852</v>
      </c>
      <c r="AE55" s="59">
        <f t="shared" si="13"/>
        <v>0.47983245165162697</v>
      </c>
      <c r="AF55" s="59">
        <f t="shared" si="13"/>
        <v>0</v>
      </c>
      <c r="AG55" s="59">
        <f t="shared" si="13"/>
        <v>0</v>
      </c>
      <c r="AH55" s="59">
        <f t="shared" si="13"/>
        <v>0</v>
      </c>
      <c r="AI55" s="59">
        <f t="shared" si="13"/>
        <v>0</v>
      </c>
    </row>
    <row r="56" spans="1:35" ht="13.15" x14ac:dyDescent="0.4">
      <c r="A56" s="56"/>
      <c r="B56" s="53" t="s">
        <v>938</v>
      </c>
      <c r="C56" s="53" t="s">
        <v>1821</v>
      </c>
      <c r="D56" s="53" t="s">
        <v>1788</v>
      </c>
      <c r="E56" s="53" t="s">
        <v>66</v>
      </c>
      <c r="F56" s="53" t="s">
        <v>1789</v>
      </c>
      <c r="G56" s="94" t="s">
        <v>1044</v>
      </c>
      <c r="H56" s="53" t="s">
        <v>1815</v>
      </c>
      <c r="J56" s="53" t="s">
        <v>1726</v>
      </c>
      <c r="K56" s="59">
        <f t="shared" ref="K56:AI56" si="14">K42*K45*$E$36</f>
        <v>0</v>
      </c>
      <c r="L56" s="59">
        <f t="shared" si="14"/>
        <v>0</v>
      </c>
      <c r="M56" s="59">
        <f t="shared" si="14"/>
        <v>0</v>
      </c>
      <c r="N56" s="59">
        <f t="shared" si="14"/>
        <v>0</v>
      </c>
      <c r="O56" s="59">
        <f t="shared" si="14"/>
        <v>0</v>
      </c>
      <c r="P56" s="59">
        <f t="shared" si="14"/>
        <v>0</v>
      </c>
      <c r="Q56" s="59">
        <f t="shared" si="14"/>
        <v>5.8675499999999996</v>
      </c>
      <c r="R56" s="59">
        <f t="shared" si="14"/>
        <v>11.735099999999999</v>
      </c>
      <c r="S56" s="59">
        <f t="shared" si="14"/>
        <v>17.602650000000001</v>
      </c>
      <c r="T56" s="59">
        <f t="shared" si="14"/>
        <v>23.470199999999998</v>
      </c>
      <c r="U56" s="59">
        <f t="shared" si="14"/>
        <v>29.33775</v>
      </c>
      <c r="V56" s="59">
        <f t="shared" si="14"/>
        <v>35.205300000000001</v>
      </c>
      <c r="W56" s="59">
        <f t="shared" si="14"/>
        <v>41.072849999999995</v>
      </c>
      <c r="X56" s="59">
        <f t="shared" si="14"/>
        <v>46.940399999999997</v>
      </c>
      <c r="Y56" s="59">
        <f t="shared" si="14"/>
        <v>52.807949999999998</v>
      </c>
      <c r="Z56" s="59">
        <f t="shared" si="14"/>
        <v>58.6755</v>
      </c>
      <c r="AA56" s="59">
        <f t="shared" si="14"/>
        <v>64.543049999999994</v>
      </c>
      <c r="AB56" s="59">
        <f t="shared" si="14"/>
        <v>70.410600000000002</v>
      </c>
      <c r="AC56" s="59">
        <f t="shared" si="14"/>
        <v>76.278149999999997</v>
      </c>
      <c r="AD56" s="59">
        <f t="shared" si="14"/>
        <v>82.145699999999991</v>
      </c>
      <c r="AE56" s="59">
        <f t="shared" si="14"/>
        <v>88.013249999999999</v>
      </c>
      <c r="AF56" s="59">
        <f t="shared" si="14"/>
        <v>0</v>
      </c>
      <c r="AG56" s="59">
        <f t="shared" si="14"/>
        <v>0</v>
      </c>
      <c r="AH56" s="59">
        <f t="shared" si="14"/>
        <v>0</v>
      </c>
      <c r="AI56" s="59">
        <f t="shared" si="14"/>
        <v>0</v>
      </c>
    </row>
    <row r="57" spans="1:35" ht="13.15" x14ac:dyDescent="0.4">
      <c r="A57" s="56"/>
      <c r="B57" s="53" t="s">
        <v>938</v>
      </c>
      <c r="C57" s="53" t="s">
        <v>1822</v>
      </c>
      <c r="D57" s="53" t="s">
        <v>1788</v>
      </c>
      <c r="E57" s="53" t="s">
        <v>51</v>
      </c>
      <c r="F57" s="53" t="s">
        <v>1789</v>
      </c>
      <c r="G57" s="94" t="s">
        <v>1048</v>
      </c>
      <c r="H57" s="53" t="s">
        <v>1815</v>
      </c>
      <c r="J57" s="53" t="s">
        <v>1726</v>
      </c>
      <c r="K57" s="59">
        <f t="shared" ref="K57:AI57" si="15">K42*K45*$E$37</f>
        <v>0</v>
      </c>
      <c r="L57" s="59">
        <f t="shared" si="15"/>
        <v>0</v>
      </c>
      <c r="M57" s="59">
        <f t="shared" si="15"/>
        <v>0</v>
      </c>
      <c r="N57" s="59">
        <f t="shared" si="15"/>
        <v>0</v>
      </c>
      <c r="O57" s="59">
        <f t="shared" si="15"/>
        <v>0</v>
      </c>
      <c r="P57" s="59">
        <f t="shared" si="15"/>
        <v>0</v>
      </c>
      <c r="Q57" s="59">
        <f t="shared" si="15"/>
        <v>0</v>
      </c>
      <c r="R57" s="59">
        <f t="shared" si="15"/>
        <v>0</v>
      </c>
      <c r="S57" s="59">
        <f t="shared" si="15"/>
        <v>0</v>
      </c>
      <c r="T57" s="59">
        <f t="shared" si="15"/>
        <v>0</v>
      </c>
      <c r="U57" s="59">
        <f t="shared" si="15"/>
        <v>0</v>
      </c>
      <c r="V57" s="59">
        <f t="shared" si="15"/>
        <v>0</v>
      </c>
      <c r="W57" s="59">
        <f t="shared" si="15"/>
        <v>0</v>
      </c>
      <c r="X57" s="59">
        <f t="shared" si="15"/>
        <v>0</v>
      </c>
      <c r="Y57" s="59">
        <f t="shared" si="15"/>
        <v>0</v>
      </c>
      <c r="Z57" s="59">
        <f t="shared" si="15"/>
        <v>0</v>
      </c>
      <c r="AA57" s="59">
        <f t="shared" si="15"/>
        <v>0</v>
      </c>
      <c r="AB57" s="59">
        <f t="shared" si="15"/>
        <v>0</v>
      </c>
      <c r="AC57" s="59">
        <f t="shared" si="15"/>
        <v>0</v>
      </c>
      <c r="AD57" s="59">
        <f t="shared" si="15"/>
        <v>0</v>
      </c>
      <c r="AE57" s="59">
        <f t="shared" si="15"/>
        <v>0</v>
      </c>
      <c r="AF57" s="59">
        <f t="shared" si="15"/>
        <v>0</v>
      </c>
      <c r="AG57" s="59">
        <f t="shared" si="15"/>
        <v>0</v>
      </c>
      <c r="AH57" s="59">
        <f t="shared" si="15"/>
        <v>0</v>
      </c>
      <c r="AI57" s="59">
        <f t="shared" si="15"/>
        <v>0</v>
      </c>
    </row>
    <row r="58" spans="1:35" ht="13.15" x14ac:dyDescent="0.4">
      <c r="A58" s="56"/>
      <c r="B58" s="53" t="s">
        <v>938</v>
      </c>
      <c r="C58" s="53" t="s">
        <v>1823</v>
      </c>
      <c r="D58" s="53" t="s">
        <v>1788</v>
      </c>
      <c r="E58" s="53" t="s">
        <v>71</v>
      </c>
      <c r="F58" s="53" t="s">
        <v>1789</v>
      </c>
      <c r="G58" s="94" t="s">
        <v>1052</v>
      </c>
      <c r="H58" s="53" t="s">
        <v>1815</v>
      </c>
      <c r="J58" s="53" t="s">
        <v>1726</v>
      </c>
      <c r="K58" s="59">
        <f t="shared" ref="K58:AI58" si="16">K42*K45*$E$38</f>
        <v>0</v>
      </c>
      <c r="L58" s="59">
        <f t="shared" si="16"/>
        <v>0</v>
      </c>
      <c r="M58" s="59">
        <f t="shared" si="16"/>
        <v>0</v>
      </c>
      <c r="N58" s="59">
        <f t="shared" si="16"/>
        <v>0</v>
      </c>
      <c r="O58" s="59">
        <f t="shared" si="16"/>
        <v>0</v>
      </c>
      <c r="P58" s="59">
        <f t="shared" si="16"/>
        <v>0</v>
      </c>
      <c r="Q58" s="59">
        <f t="shared" si="16"/>
        <v>0</v>
      </c>
      <c r="R58" s="59">
        <f t="shared" si="16"/>
        <v>0</v>
      </c>
      <c r="S58" s="59">
        <f t="shared" si="16"/>
        <v>0</v>
      </c>
      <c r="T58" s="59">
        <f t="shared" si="16"/>
        <v>0</v>
      </c>
      <c r="U58" s="59">
        <f t="shared" si="16"/>
        <v>0</v>
      </c>
      <c r="V58" s="59">
        <f t="shared" si="16"/>
        <v>0</v>
      </c>
      <c r="W58" s="59">
        <f t="shared" si="16"/>
        <v>0</v>
      </c>
      <c r="X58" s="59">
        <f t="shared" si="16"/>
        <v>0</v>
      </c>
      <c r="Y58" s="59">
        <f t="shared" si="16"/>
        <v>0</v>
      </c>
      <c r="Z58" s="59">
        <f t="shared" si="16"/>
        <v>0</v>
      </c>
      <c r="AA58" s="59">
        <f t="shared" si="16"/>
        <v>0</v>
      </c>
      <c r="AB58" s="59">
        <f t="shared" si="16"/>
        <v>0</v>
      </c>
      <c r="AC58" s="59">
        <f t="shared" si="16"/>
        <v>0</v>
      </c>
      <c r="AD58" s="59">
        <f t="shared" si="16"/>
        <v>0</v>
      </c>
      <c r="AE58" s="59">
        <f t="shared" si="16"/>
        <v>0</v>
      </c>
      <c r="AF58" s="59">
        <f t="shared" si="16"/>
        <v>0</v>
      </c>
      <c r="AG58" s="59">
        <f t="shared" si="16"/>
        <v>0</v>
      </c>
      <c r="AH58" s="59">
        <f t="shared" si="16"/>
        <v>0</v>
      </c>
      <c r="AI58" s="59">
        <f t="shared" si="16"/>
        <v>0</v>
      </c>
    </row>
    <row r="59" spans="1:35" ht="13.15" x14ac:dyDescent="0.4">
      <c r="A59" s="56"/>
    </row>
    <row r="60" spans="1:35" ht="13.15" x14ac:dyDescent="0.4">
      <c r="A60" s="63">
        <v>5</v>
      </c>
      <c r="B60" s="63" t="s">
        <v>1824</v>
      </c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</row>
    <row r="61" spans="1:35" ht="13.15" x14ac:dyDescent="0.4">
      <c r="A61" s="56"/>
      <c r="B61" s="53" t="s">
        <v>1825</v>
      </c>
    </row>
    <row r="62" spans="1:35" ht="13.15" x14ac:dyDescent="0.4">
      <c r="A62" s="56"/>
      <c r="B62" s="53" t="s">
        <v>1826</v>
      </c>
    </row>
    <row r="63" spans="1:35" ht="13.15" x14ac:dyDescent="0.4">
      <c r="A63" s="56"/>
      <c r="B63" s="53" t="s">
        <v>1827</v>
      </c>
    </row>
    <row r="64" spans="1:35" ht="13.15" x14ac:dyDescent="0.4">
      <c r="A64" s="56"/>
      <c r="B64" s="53" t="s">
        <v>1828</v>
      </c>
    </row>
    <row r="65" spans="1:2" ht="13.15" x14ac:dyDescent="0.4">
      <c r="A65" s="56"/>
      <c r="B65" s="53" t="s">
        <v>1829</v>
      </c>
    </row>
    <row r="66" spans="1:2" ht="13.15" x14ac:dyDescent="0.4">
      <c r="A66" s="56"/>
      <c r="B66" s="53" t="s">
        <v>1830</v>
      </c>
    </row>
    <row r="67" spans="1:2" ht="13.15" x14ac:dyDescent="0.4">
      <c r="A67" s="56"/>
      <c r="B67" s="53" t="s">
        <v>1831</v>
      </c>
    </row>
    <row r="68" spans="1:2" ht="13.15" x14ac:dyDescent="0.4">
      <c r="A68" s="56"/>
      <c r="B68" s="53" t="s">
        <v>1832</v>
      </c>
    </row>
    <row r="69" spans="1:2" x14ac:dyDescent="0.35">
      <c r="B69" s="53" t="s">
        <v>1874</v>
      </c>
    </row>
    <row r="70" spans="1:2" x14ac:dyDescent="0.35">
      <c r="B70" s="53" t="s">
        <v>1889</v>
      </c>
    </row>
    <row r="71" spans="1:2" x14ac:dyDescent="0.35">
      <c r="B71" s="53" t="s">
        <v>1916</v>
      </c>
    </row>
    <row r="72" spans="1:2" x14ac:dyDescent="0.35">
      <c r="B72" s="53" t="s">
        <v>2042</v>
      </c>
    </row>
    <row r="73" spans="1:2" x14ac:dyDescent="0.35">
      <c r="B73" s="53" t="s">
        <v>2330</v>
      </c>
    </row>
    <row r="74" spans="1:2" x14ac:dyDescent="0.35">
      <c r="B74" s="53" t="s">
        <v>2729</v>
      </c>
    </row>
  </sheetData>
  <dataValidations count="1">
    <dataValidation type="list" allowBlank="1" showInputMessage="1" showErrorMessage="1" sqref="D17:D23 E17:E23 H17:H23" xr:uid="{86EC94D6-3435-4DF9-BB12-BF7A6E4ABEC1}">
      <formula1>$B$7:$B$12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99"/>
  <sheetViews>
    <sheetView showGridLines="0" zoomScaleNormal="100" workbookViewId="0">
      <pane xSplit="4" ySplit="1" topLeftCell="E691" activePane="bottomRight" state="frozen"/>
      <selection pane="topRight" activeCell="E1" sqref="E1"/>
      <selection pane="bottomLeft" activeCell="A2" sqref="A2"/>
      <selection pane="bottomRight" activeCell="A707" sqref="A707:XFD707"/>
    </sheetView>
  </sheetViews>
  <sheetFormatPr defaultColWidth="8.6640625" defaultRowHeight="14.25" x14ac:dyDescent="0.45"/>
  <cols>
    <col min="1" max="1" width="3" customWidth="1"/>
    <col min="2" max="2" width="12.46484375" customWidth="1"/>
    <col min="3" max="3" width="28" customWidth="1"/>
    <col min="4" max="4" width="33.73046875" customWidth="1"/>
    <col min="5" max="5" width="14.73046875" customWidth="1"/>
    <col min="6" max="6" width="17.73046875" customWidth="1"/>
    <col min="7" max="7" width="30.265625" customWidth="1"/>
    <col min="8" max="8" width="28.86328125" customWidth="1"/>
    <col min="9" max="9" width="31.265625" customWidth="1"/>
    <col min="10" max="10" width="30.265625" customWidth="1"/>
    <col min="11" max="11" width="10.53125" customWidth="1"/>
    <col min="12" max="35" width="12" customWidth="1"/>
  </cols>
  <sheetData>
    <row r="1" spans="1:3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x14ac:dyDescent="0.45">
      <c r="A2" s="33"/>
      <c r="B2" s="44" t="s">
        <v>1305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8" customHeight="1" x14ac:dyDescent="0.45">
      <c r="A3" s="8">
        <v>7</v>
      </c>
      <c r="B3" s="9" t="s">
        <v>41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46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45">
      <c r="B6" s="13" t="s">
        <v>48</v>
      </c>
    </row>
    <row r="7" spans="1:35" x14ac:dyDescent="0.45">
      <c r="B7" s="14" t="s">
        <v>49</v>
      </c>
      <c r="C7" s="14" t="str">
        <f t="shared" ref="C7:C15" si="0">$C$5</f>
        <v>irn</v>
      </c>
      <c r="D7" s="15" t="s">
        <v>50</v>
      </c>
      <c r="E7" s="16" t="s">
        <v>51</v>
      </c>
      <c r="F7" s="14" t="s">
        <v>52</v>
      </c>
      <c r="G7" s="17" t="str">
        <f>Settings!$B$3&amp;".mit.pbc."&amp;Settings!$B$4&amp;"."&amp;$B7&amp;".a."&amp;$J$5</f>
        <v>egy.mit.pbc.ind.coa.a.1</v>
      </c>
      <c r="H7" s="45" t="str">
        <f>Settings!$B$3&amp;".mit.ptp."&amp;$C$5&amp;"."&amp;$B7&amp;".e."&amp;$J$5</f>
        <v>egy.mit.ptp.irn.coa.e.1</v>
      </c>
      <c r="K7" s="18">
        <f>INDEX(Data_Prices!K:K,MATCH($G7,Data_Prices!$A:$A,0))</f>
        <v>11.182901589243899</v>
      </c>
      <c r="L7" s="18">
        <f>INDEX(Data_Prices!L:L,MATCH($G7,Data_Prices!$A:$A,0))</f>
        <v>10.5233613454312</v>
      </c>
      <c r="M7" s="18">
        <f>INDEX(Data_Prices!M:M,MATCH($G7,Data_Prices!$A:$A,0))</f>
        <v>10.2995608274442</v>
      </c>
      <c r="N7" s="18">
        <f>INDEX(Data_Prices!N:N,MATCH($G7,Data_Prices!$A:$A,0))</f>
        <v>9.5775283595382597</v>
      </c>
      <c r="O7" s="18">
        <f>INDEX(Data_Prices!O:O,MATCH($G7,Data_Prices!$A:$A,0))</f>
        <v>8.4854782869580507</v>
      </c>
      <c r="P7" s="18">
        <f>INDEX(Data_Prices!P:P,MATCH($G7,Data_Prices!$A:$A,0))</f>
        <v>9.0871922352498604</v>
      </c>
      <c r="Q7" s="18">
        <f>INDEX(Data_Prices!Q:Q,MATCH($G7,Data_Prices!$A:$A,0))</f>
        <v>9.2229237289326793</v>
      </c>
      <c r="R7" s="18">
        <f>INDEX(Data_Prices!R:R,MATCH($G7,Data_Prices!$A:$A,0))</f>
        <v>9.1585649555096893</v>
      </c>
      <c r="S7" s="18">
        <f>INDEX(Data_Prices!S:S,MATCH($G7,Data_Prices!$A:$A,0))</f>
        <v>9.0895478773973792</v>
      </c>
      <c r="T7" s="18">
        <f>INDEX(Data_Prices!T:T,MATCH($G7,Data_Prices!$A:$A,0))</f>
        <v>9.0156816660228305</v>
      </c>
      <c r="U7" s="18">
        <f>INDEX(Data_Prices!U:U,MATCH($G7,Data_Prices!$A:$A,0))</f>
        <v>8.9443977655571096</v>
      </c>
      <c r="V7" s="18">
        <f>INDEX(Data_Prices!V:V,MATCH($G7,Data_Prices!$A:$A,0))</f>
        <v>8.9443977655571096</v>
      </c>
      <c r="W7" s="18">
        <f>INDEX(Data_Prices!W:W,MATCH($G7,Data_Prices!$A:$A,0))</f>
        <v>8.9443977655571096</v>
      </c>
      <c r="X7" s="18">
        <f>INDEX(Data_Prices!X:X,MATCH($G7,Data_Prices!$A:$A,0))</f>
        <v>8.9443977655571096</v>
      </c>
      <c r="Y7" s="18">
        <f>INDEX(Data_Prices!Y:Y,MATCH($G7,Data_Prices!$A:$A,0))</f>
        <v>8.9443977655571096</v>
      </c>
      <c r="Z7" s="18">
        <f>INDEX(Data_Prices!Z:Z,MATCH($G7,Data_Prices!$A:$A,0))</f>
        <v>8.9443977655571096</v>
      </c>
      <c r="AA7" s="18">
        <f>INDEX(Data_Prices!AA:AA,MATCH($G7,Data_Prices!$A:$A,0))</f>
        <v>8.9443977655571096</v>
      </c>
      <c r="AB7" s="18">
        <f>INDEX(Data_Prices!AB:AB,MATCH($G7,Data_Prices!$A:$A,0))</f>
        <v>8.9443977655571096</v>
      </c>
      <c r="AC7" s="18">
        <f>INDEX(Data_Prices!AC:AC,MATCH($G7,Data_Prices!$A:$A,0))</f>
        <v>8.9443977655571096</v>
      </c>
      <c r="AD7" s="18">
        <f>INDEX(Data_Prices!AD:AD,MATCH($G7,Data_Prices!$A:$A,0))</f>
        <v>8.9443977655571096</v>
      </c>
      <c r="AE7" s="18">
        <f>INDEX(Data_Prices!AE:AE,MATCH($G7,Data_Prices!$A:$A,0))</f>
        <v>8.9443977655571096</v>
      </c>
    </row>
    <row r="8" spans="1:35" x14ac:dyDescent="0.45">
      <c r="B8" s="14" t="s">
        <v>53</v>
      </c>
      <c r="C8" s="14" t="str">
        <f t="shared" si="0"/>
        <v>irn</v>
      </c>
      <c r="D8" s="15" t="s">
        <v>54</v>
      </c>
      <c r="E8" s="16" t="s">
        <v>51</v>
      </c>
      <c r="F8" s="14" t="s">
        <v>52</v>
      </c>
      <c r="G8" s="17" t="str">
        <f>Settings!$B$3&amp;".mit.pbc."&amp;Settings!$B$4&amp;"."&amp;$B8&amp;".a."&amp;$J$5</f>
        <v>egy.mit.pbc.ind.nga.a.1</v>
      </c>
      <c r="H8" s="45" t="str">
        <f>Settings!$B$3&amp;".mit.ptp."&amp;$C$5&amp;"."&amp;$B8&amp;".e."&amp;$J$5</f>
        <v>egy.mit.ptp.irn.nga.e.1</v>
      </c>
      <c r="K8" s="18">
        <f>INDEX(Data_Prices!K:K,MATCH($G8,Data_Prices!$A:$A,0))</f>
        <v>6.0634636156729096</v>
      </c>
      <c r="L8" s="18">
        <f>INDEX(Data_Prices!L:L,MATCH($G8,Data_Prices!$A:$A,0))</f>
        <v>5.4510150816191896</v>
      </c>
      <c r="M8" s="18">
        <f>INDEX(Data_Prices!M:M,MATCH($G8,Data_Prices!$A:$A,0))</f>
        <v>5.1193563062624801</v>
      </c>
      <c r="N8" s="18">
        <f>INDEX(Data_Prices!N:N,MATCH($G8,Data_Prices!$A:$A,0))</f>
        <v>5.08218458640407</v>
      </c>
      <c r="O8" s="18">
        <f>INDEX(Data_Prices!O:O,MATCH($G8,Data_Prices!$A:$A,0))</f>
        <v>5.08218458640407</v>
      </c>
      <c r="P8" s="18">
        <f>INDEX(Data_Prices!P:P,MATCH($G8,Data_Prices!$A:$A,0))</f>
        <v>5.08218458640407</v>
      </c>
      <c r="Q8" s="18">
        <f>INDEX(Data_Prices!Q:Q,MATCH($G8,Data_Prices!$A:$A,0))</f>
        <v>5.08218458640407</v>
      </c>
      <c r="R8" s="18">
        <f>INDEX(Data_Prices!R:R,MATCH($G8,Data_Prices!$A:$A,0))</f>
        <v>5.08218458640407</v>
      </c>
      <c r="S8" s="18">
        <f>INDEX(Data_Prices!S:S,MATCH($G8,Data_Prices!$A:$A,0))</f>
        <v>5.08218458640407</v>
      </c>
      <c r="T8" s="18">
        <f>INDEX(Data_Prices!T:T,MATCH($G8,Data_Prices!$A:$A,0))</f>
        <v>5.08218458640407</v>
      </c>
      <c r="U8" s="18">
        <f>INDEX(Data_Prices!U:U,MATCH($G8,Data_Prices!$A:$A,0))</f>
        <v>5.08218458640407</v>
      </c>
      <c r="V8" s="18">
        <f>INDEX(Data_Prices!V:V,MATCH($G8,Data_Prices!$A:$A,0))</f>
        <v>5.08218458640407</v>
      </c>
      <c r="W8" s="18">
        <f>INDEX(Data_Prices!W:W,MATCH($G8,Data_Prices!$A:$A,0))</f>
        <v>5.08218458640407</v>
      </c>
      <c r="X8" s="18">
        <f>INDEX(Data_Prices!X:X,MATCH($G8,Data_Prices!$A:$A,0))</f>
        <v>5.08218458640407</v>
      </c>
      <c r="Y8" s="18">
        <f>INDEX(Data_Prices!Y:Y,MATCH($G8,Data_Prices!$A:$A,0))</f>
        <v>5.08218458640407</v>
      </c>
      <c r="Z8" s="18">
        <f>INDEX(Data_Prices!Z:Z,MATCH($G8,Data_Prices!$A:$A,0))</f>
        <v>5.08218458640407</v>
      </c>
      <c r="AA8" s="18">
        <f>INDEX(Data_Prices!AA:AA,MATCH($G8,Data_Prices!$A:$A,0))</f>
        <v>5.08218458640407</v>
      </c>
      <c r="AB8" s="18">
        <f>INDEX(Data_Prices!AB:AB,MATCH($G8,Data_Prices!$A:$A,0))</f>
        <v>5.08218458640407</v>
      </c>
      <c r="AC8" s="18">
        <f>INDEX(Data_Prices!AC:AC,MATCH($G8,Data_Prices!$A:$A,0))</f>
        <v>5.08218458640407</v>
      </c>
      <c r="AD8" s="18">
        <f>INDEX(Data_Prices!AD:AD,MATCH($G8,Data_Prices!$A:$A,0))</f>
        <v>5.08218458640407</v>
      </c>
      <c r="AE8" s="18">
        <f>INDEX(Data_Prices!AE:AE,MATCH($G8,Data_Prices!$A:$A,0))</f>
        <v>5.08218458640407</v>
      </c>
    </row>
    <row r="9" spans="1:35" x14ac:dyDescent="0.45">
      <c r="B9" s="14" t="s">
        <v>55</v>
      </c>
      <c r="C9" s="14" t="str">
        <f t="shared" si="0"/>
        <v>irn</v>
      </c>
      <c r="D9" s="15" t="s">
        <v>56</v>
      </c>
      <c r="E9" s="16" t="s">
        <v>57</v>
      </c>
      <c r="F9" s="14" t="s">
        <v>52</v>
      </c>
      <c r="G9" s="17" t="str">
        <f>Settings!$B$3&amp;".mit.pbc."&amp;Settings!$B$4&amp;"."&amp;$B9&amp;".a."&amp;$J$5</f>
        <v>egy.mit.pbc.ind.gso.a.1</v>
      </c>
      <c r="H9" s="45" t="str">
        <f>Settings!$B$3&amp;".mit.ptp."&amp;$C$5&amp;"."&amp;$B9&amp;".e."&amp;$J$5</f>
        <v>egy.mit.ptp.irn.gso.e.1</v>
      </c>
      <c r="K9" s="18">
        <f>INDEX(Data_Prices!K:K,MATCH($G9,Data_Prices!$A:$A,0))</f>
        <v>0.67114653332181595</v>
      </c>
      <c r="L9" s="18">
        <f>INDEX(Data_Prices!L:L,MATCH($G9,Data_Prices!$A:$A,0))</f>
        <v>0.61197797679140598</v>
      </c>
      <c r="M9" s="18">
        <f>INDEX(Data_Prices!M:M,MATCH($G9,Data_Prices!$A:$A,0))</f>
        <v>0.61180974964187596</v>
      </c>
      <c r="N9" s="18">
        <f>INDEX(Data_Prices!N:N,MATCH($G9,Data_Prices!$A:$A,0))</f>
        <v>0.60358310017790595</v>
      </c>
      <c r="O9" s="18">
        <f>INDEX(Data_Prices!O:O,MATCH($G9,Data_Prices!$A:$A,0))</f>
        <v>0.60358310017790595</v>
      </c>
      <c r="P9" s="18">
        <f>INDEX(Data_Prices!P:P,MATCH($G9,Data_Prices!$A:$A,0))</f>
        <v>0.60358310017790595</v>
      </c>
      <c r="Q9" s="18">
        <f>INDEX(Data_Prices!Q:Q,MATCH($G9,Data_Prices!$A:$A,0))</f>
        <v>0.60358310017790595</v>
      </c>
      <c r="R9" s="18">
        <f>INDEX(Data_Prices!R:R,MATCH($G9,Data_Prices!$A:$A,0))</f>
        <v>0.60358310017790595</v>
      </c>
      <c r="S9" s="18">
        <f>INDEX(Data_Prices!S:S,MATCH($G9,Data_Prices!$A:$A,0))</f>
        <v>0.60358310017790595</v>
      </c>
      <c r="T9" s="18">
        <f>INDEX(Data_Prices!T:T,MATCH($G9,Data_Prices!$A:$A,0))</f>
        <v>0.60358310017790595</v>
      </c>
      <c r="U9" s="18">
        <f>INDEX(Data_Prices!U:U,MATCH($G9,Data_Prices!$A:$A,0))</f>
        <v>0.60358310017790595</v>
      </c>
      <c r="V9" s="18">
        <f>INDEX(Data_Prices!V:V,MATCH($G9,Data_Prices!$A:$A,0))</f>
        <v>0.60358310017790595</v>
      </c>
      <c r="W9" s="18">
        <f>INDEX(Data_Prices!W:W,MATCH($G9,Data_Prices!$A:$A,0))</f>
        <v>0.60358310017790595</v>
      </c>
      <c r="X9" s="18">
        <f>INDEX(Data_Prices!X:X,MATCH($G9,Data_Prices!$A:$A,0))</f>
        <v>0.60358310017790595</v>
      </c>
      <c r="Y9" s="18">
        <f>INDEX(Data_Prices!Y:Y,MATCH($G9,Data_Prices!$A:$A,0))</f>
        <v>0.60358310017790595</v>
      </c>
      <c r="Z9" s="18">
        <f>INDEX(Data_Prices!Z:Z,MATCH($G9,Data_Prices!$A:$A,0))</f>
        <v>0.60358310017790595</v>
      </c>
      <c r="AA9" s="18">
        <f>INDEX(Data_Prices!AA:AA,MATCH($G9,Data_Prices!$A:$A,0))</f>
        <v>0.60358310017790595</v>
      </c>
      <c r="AB9" s="18">
        <f>INDEX(Data_Prices!AB:AB,MATCH($G9,Data_Prices!$A:$A,0))</f>
        <v>0.60358310017790595</v>
      </c>
      <c r="AC9" s="18">
        <f>INDEX(Data_Prices!AC:AC,MATCH($G9,Data_Prices!$A:$A,0))</f>
        <v>0.60358310017790595</v>
      </c>
      <c r="AD9" s="18">
        <f>INDEX(Data_Prices!AD:AD,MATCH($G9,Data_Prices!$A:$A,0))</f>
        <v>0.60358310017790595</v>
      </c>
      <c r="AE9" s="18">
        <f>INDEX(Data_Prices!AE:AE,MATCH($G9,Data_Prices!$A:$A,0))</f>
        <v>0.60358310017790595</v>
      </c>
    </row>
    <row r="10" spans="1:35" x14ac:dyDescent="0.45">
      <c r="B10" s="14" t="s">
        <v>58</v>
      </c>
      <c r="C10" s="14" t="str">
        <f t="shared" si="0"/>
        <v>irn</v>
      </c>
      <c r="D10" s="15" t="s">
        <v>59</v>
      </c>
      <c r="E10" s="16" t="s">
        <v>57</v>
      </c>
      <c r="F10" s="14" t="s">
        <v>52</v>
      </c>
      <c r="G10" s="17" t="str">
        <f>Settings!$B$3&amp;".mit.pbc."&amp;Settings!$B$4&amp;"."&amp;$B10&amp;".a."&amp;$J$5</f>
        <v>egy.mit.pbc.ind.die.a.1</v>
      </c>
      <c r="H10" s="45" t="str">
        <f>Settings!$B$3&amp;".mit.ptp."&amp;$C$5&amp;"."&amp;$B10&amp;".e."&amp;$J$5</f>
        <v>egy.mit.ptp.irn.die.e.1</v>
      </c>
      <c r="K10" s="18">
        <f>INDEX(Data_Prices!K:K,MATCH($G10,Data_Prices!$A:$A,0))</f>
        <v>0.55971121315568795</v>
      </c>
      <c r="L10" s="18">
        <f>INDEX(Data_Prices!L:L,MATCH($G10,Data_Prices!$A:$A,0))</f>
        <v>0.49458873084106802</v>
      </c>
      <c r="M10" s="18">
        <f>INDEX(Data_Prices!M:M,MATCH($G10,Data_Prices!$A:$A,0))</f>
        <v>0.50778654720250105</v>
      </c>
      <c r="N10" s="18">
        <f>INDEX(Data_Prices!N:N,MATCH($G10,Data_Prices!$A:$A,0))</f>
        <v>0.47043642679561698</v>
      </c>
      <c r="O10" s="18">
        <f>INDEX(Data_Prices!O:O,MATCH($G10,Data_Prices!$A:$A,0))</f>
        <v>0.47043642679561698</v>
      </c>
      <c r="P10" s="18">
        <f>INDEX(Data_Prices!P:P,MATCH($G10,Data_Prices!$A:$A,0))</f>
        <v>0.47043642679561698</v>
      </c>
      <c r="Q10" s="18">
        <f>INDEX(Data_Prices!Q:Q,MATCH($G10,Data_Prices!$A:$A,0))</f>
        <v>0.47043642679561698</v>
      </c>
      <c r="R10" s="18">
        <f>INDEX(Data_Prices!R:R,MATCH($G10,Data_Prices!$A:$A,0))</f>
        <v>0.47043642679561698</v>
      </c>
      <c r="S10" s="18">
        <f>INDEX(Data_Prices!S:S,MATCH($G10,Data_Prices!$A:$A,0))</f>
        <v>0.47043642679561698</v>
      </c>
      <c r="T10" s="18">
        <f>INDEX(Data_Prices!T:T,MATCH($G10,Data_Prices!$A:$A,0))</f>
        <v>0.47043642679561698</v>
      </c>
      <c r="U10" s="18">
        <f>INDEX(Data_Prices!U:U,MATCH($G10,Data_Prices!$A:$A,0))</f>
        <v>0.47043642679561698</v>
      </c>
      <c r="V10" s="18">
        <f>INDEX(Data_Prices!V:V,MATCH($G10,Data_Prices!$A:$A,0))</f>
        <v>0.47043642679561698</v>
      </c>
      <c r="W10" s="18">
        <f>INDEX(Data_Prices!W:W,MATCH($G10,Data_Prices!$A:$A,0))</f>
        <v>0.47043642679561698</v>
      </c>
      <c r="X10" s="18">
        <f>INDEX(Data_Prices!X:X,MATCH($G10,Data_Prices!$A:$A,0))</f>
        <v>0.47043642679561698</v>
      </c>
      <c r="Y10" s="18">
        <f>INDEX(Data_Prices!Y:Y,MATCH($G10,Data_Prices!$A:$A,0))</f>
        <v>0.47043642679561698</v>
      </c>
      <c r="Z10" s="18">
        <f>INDEX(Data_Prices!Z:Z,MATCH($G10,Data_Prices!$A:$A,0))</f>
        <v>0.47043642679561698</v>
      </c>
      <c r="AA10" s="18">
        <f>INDEX(Data_Prices!AA:AA,MATCH($G10,Data_Prices!$A:$A,0))</f>
        <v>0.47043642679561698</v>
      </c>
      <c r="AB10" s="18">
        <f>INDEX(Data_Prices!AB:AB,MATCH($G10,Data_Prices!$A:$A,0))</f>
        <v>0.47043642679561698</v>
      </c>
      <c r="AC10" s="18">
        <f>INDEX(Data_Prices!AC:AC,MATCH($G10,Data_Prices!$A:$A,0))</f>
        <v>0.47043642679561698</v>
      </c>
      <c r="AD10" s="18">
        <f>INDEX(Data_Prices!AD:AD,MATCH($G10,Data_Prices!$A:$A,0))</f>
        <v>0.47043642679561698</v>
      </c>
      <c r="AE10" s="18">
        <f>INDEX(Data_Prices!AE:AE,MATCH($G10,Data_Prices!$A:$A,0))</f>
        <v>0.47043642679561698</v>
      </c>
    </row>
    <row r="11" spans="1:35" x14ac:dyDescent="0.45">
      <c r="B11" s="14" t="s">
        <v>60</v>
      </c>
      <c r="C11" s="14" t="str">
        <f t="shared" si="0"/>
        <v>irn</v>
      </c>
      <c r="D11" s="15" t="s">
        <v>61</v>
      </c>
      <c r="E11" s="16" t="s">
        <v>57</v>
      </c>
      <c r="F11" s="14" t="s">
        <v>52</v>
      </c>
      <c r="G11" s="17" t="str">
        <f>Settings!$B$3&amp;".mit.pbc."&amp;Settings!$B$4&amp;"."&amp;$B11&amp;".a."&amp;$J$5</f>
        <v>egy.mit.pbc.ind.lpg.a.1</v>
      </c>
      <c r="H11" s="45" t="str">
        <f>Settings!$B$3&amp;".mit.ptp."&amp;$C$5&amp;"."&amp;$B11&amp;".e."&amp;$J$5</f>
        <v>egy.mit.ptp.irn.lpg.e.1</v>
      </c>
      <c r="K11" s="18">
        <f>INDEX(Data_Prices!K:K,MATCH($G11,Data_Prices!$A:$A,0))</f>
        <v>0.20036669112673799</v>
      </c>
      <c r="L11" s="18">
        <f>INDEX(Data_Prices!L:L,MATCH($G11,Data_Prices!$A:$A,0))</f>
        <v>0.15734473625227399</v>
      </c>
      <c r="M11" s="18">
        <f>INDEX(Data_Prices!M:M,MATCH($G11,Data_Prices!$A:$A,0))</f>
        <v>0.164484037759277</v>
      </c>
      <c r="N11" s="18">
        <f>INDEX(Data_Prices!N:N,MATCH($G11,Data_Prices!$A:$A,0))</f>
        <v>0.15070907780704901</v>
      </c>
      <c r="O11" s="18">
        <f>INDEX(Data_Prices!O:O,MATCH($G11,Data_Prices!$A:$A,0))</f>
        <v>0.15070907780704901</v>
      </c>
      <c r="P11" s="18">
        <f>INDEX(Data_Prices!P:P,MATCH($G11,Data_Prices!$A:$A,0))</f>
        <v>0.15070907780704901</v>
      </c>
      <c r="Q11" s="18">
        <f>INDEX(Data_Prices!Q:Q,MATCH($G11,Data_Prices!$A:$A,0))</f>
        <v>0.15070907780704901</v>
      </c>
      <c r="R11" s="18">
        <f>INDEX(Data_Prices!R:R,MATCH($G11,Data_Prices!$A:$A,0))</f>
        <v>0.15070907780704901</v>
      </c>
      <c r="S11" s="18">
        <f>INDEX(Data_Prices!S:S,MATCH($G11,Data_Prices!$A:$A,0))</f>
        <v>0.15070907780704901</v>
      </c>
      <c r="T11" s="18">
        <f>INDEX(Data_Prices!T:T,MATCH($G11,Data_Prices!$A:$A,0))</f>
        <v>0.15070907780704901</v>
      </c>
      <c r="U11" s="18">
        <f>INDEX(Data_Prices!U:U,MATCH($G11,Data_Prices!$A:$A,0))</f>
        <v>0.15070907780704901</v>
      </c>
      <c r="V11" s="18">
        <f>INDEX(Data_Prices!V:V,MATCH($G11,Data_Prices!$A:$A,0))</f>
        <v>0.15070907780704901</v>
      </c>
      <c r="W11" s="18">
        <f>INDEX(Data_Prices!W:W,MATCH($G11,Data_Prices!$A:$A,0))</f>
        <v>0.15070907780704901</v>
      </c>
      <c r="X11" s="18">
        <f>INDEX(Data_Prices!X:X,MATCH($G11,Data_Prices!$A:$A,0))</f>
        <v>0.15070907780704901</v>
      </c>
      <c r="Y11" s="18">
        <f>INDEX(Data_Prices!Y:Y,MATCH($G11,Data_Prices!$A:$A,0))</f>
        <v>0.15070907780704901</v>
      </c>
      <c r="Z11" s="18">
        <f>INDEX(Data_Prices!Z:Z,MATCH($G11,Data_Prices!$A:$A,0))</f>
        <v>0.15070907780704901</v>
      </c>
      <c r="AA11" s="18">
        <f>INDEX(Data_Prices!AA:AA,MATCH($G11,Data_Prices!$A:$A,0))</f>
        <v>0.15070907780704901</v>
      </c>
      <c r="AB11" s="18">
        <f>INDEX(Data_Prices!AB:AB,MATCH($G11,Data_Prices!$A:$A,0))</f>
        <v>0.15070907780704901</v>
      </c>
      <c r="AC11" s="18">
        <f>INDEX(Data_Prices!AC:AC,MATCH($G11,Data_Prices!$A:$A,0))</f>
        <v>0.15070907780704901</v>
      </c>
      <c r="AD11" s="18">
        <f>INDEX(Data_Prices!AD:AD,MATCH($G11,Data_Prices!$A:$A,0))</f>
        <v>0.15070907780704901</v>
      </c>
      <c r="AE11" s="18">
        <f>INDEX(Data_Prices!AE:AE,MATCH($G11,Data_Prices!$A:$A,0))</f>
        <v>0.15070907780704901</v>
      </c>
    </row>
    <row r="12" spans="1:35" x14ac:dyDescent="0.45">
      <c r="B12" s="14" t="s">
        <v>62</v>
      </c>
      <c r="C12" s="14" t="str">
        <f t="shared" si="0"/>
        <v>irn</v>
      </c>
      <c r="D12" s="15" t="s">
        <v>63</v>
      </c>
      <c r="E12" s="16" t="s">
        <v>57</v>
      </c>
      <c r="F12" s="14" t="s">
        <v>52</v>
      </c>
      <c r="G12" s="17" t="str">
        <f>Settings!$B$3&amp;".mit.pbc."&amp;Settings!$B$4&amp;"."&amp;$B12&amp;".a."&amp;$J$5</f>
        <v>egy.mit.pbc.ind.ker.a.1</v>
      </c>
      <c r="H12" s="45" t="str">
        <f>Settings!$B$3&amp;".mit.ptp."&amp;$C$5&amp;"."&amp;$B12&amp;".e."&amp;$J$5</f>
        <v>egy.mit.ptp.irn.ker.e.1</v>
      </c>
      <c r="K12" s="18">
        <f>INDEX(Data_Prices!K:K,MATCH($G12,Data_Prices!$A:$A,0))</f>
        <v>0.48429424097343499</v>
      </c>
      <c r="L12" s="18">
        <f>INDEX(Data_Prices!L:L,MATCH($G12,Data_Prices!$A:$A,0))</f>
        <v>0.45642817050012802</v>
      </c>
      <c r="M12" s="18">
        <f>INDEX(Data_Prices!M:M,MATCH($G12,Data_Prices!$A:$A,0))</f>
        <v>0.43168920195599497</v>
      </c>
      <c r="N12" s="18">
        <f>INDEX(Data_Prices!N:N,MATCH($G12,Data_Prices!$A:$A,0))</f>
        <v>0.42507558395597</v>
      </c>
      <c r="O12" s="18">
        <f>INDEX(Data_Prices!O:O,MATCH($G12,Data_Prices!$A:$A,0))</f>
        <v>0.42507558395597</v>
      </c>
      <c r="P12" s="18">
        <f>INDEX(Data_Prices!P:P,MATCH($G12,Data_Prices!$A:$A,0))</f>
        <v>0.42507558395597</v>
      </c>
      <c r="Q12" s="18">
        <f>INDEX(Data_Prices!Q:Q,MATCH($G12,Data_Prices!$A:$A,0))</f>
        <v>0.42507558395597</v>
      </c>
      <c r="R12" s="18">
        <f>INDEX(Data_Prices!R:R,MATCH($G12,Data_Prices!$A:$A,0))</f>
        <v>0.42507558395597</v>
      </c>
      <c r="S12" s="18">
        <f>INDEX(Data_Prices!S:S,MATCH($G12,Data_Prices!$A:$A,0))</f>
        <v>0.42507558395597</v>
      </c>
      <c r="T12" s="18">
        <f>INDEX(Data_Prices!T:T,MATCH($G12,Data_Prices!$A:$A,0))</f>
        <v>0.42507558395597</v>
      </c>
      <c r="U12" s="18">
        <f>INDEX(Data_Prices!U:U,MATCH($G12,Data_Prices!$A:$A,0))</f>
        <v>0.42507558395597</v>
      </c>
      <c r="V12" s="18">
        <f>INDEX(Data_Prices!V:V,MATCH($G12,Data_Prices!$A:$A,0))</f>
        <v>0.42507558395597</v>
      </c>
      <c r="W12" s="18">
        <f>INDEX(Data_Prices!W:W,MATCH($G12,Data_Prices!$A:$A,0))</f>
        <v>0.42507558395597</v>
      </c>
      <c r="X12" s="18">
        <f>INDEX(Data_Prices!X:X,MATCH($G12,Data_Prices!$A:$A,0))</f>
        <v>0.42507558395597</v>
      </c>
      <c r="Y12" s="18">
        <f>INDEX(Data_Prices!Y:Y,MATCH($G12,Data_Prices!$A:$A,0))</f>
        <v>0.42507558395597</v>
      </c>
      <c r="Z12" s="18">
        <f>INDEX(Data_Prices!Z:Z,MATCH($G12,Data_Prices!$A:$A,0))</f>
        <v>0.42507558395597</v>
      </c>
      <c r="AA12" s="18">
        <f>INDEX(Data_Prices!AA:AA,MATCH($G12,Data_Prices!$A:$A,0))</f>
        <v>0.42507558395597</v>
      </c>
      <c r="AB12" s="18">
        <f>INDEX(Data_Prices!AB:AB,MATCH($G12,Data_Prices!$A:$A,0))</f>
        <v>0.42507558395597</v>
      </c>
      <c r="AC12" s="18">
        <f>INDEX(Data_Prices!AC:AC,MATCH($G12,Data_Prices!$A:$A,0))</f>
        <v>0.42507558395597</v>
      </c>
      <c r="AD12" s="18">
        <f>INDEX(Data_Prices!AD:AD,MATCH($G12,Data_Prices!$A:$A,0))</f>
        <v>0.42507558395597</v>
      </c>
      <c r="AE12" s="18">
        <f>INDEX(Data_Prices!AE:AE,MATCH($G12,Data_Prices!$A:$A,0))</f>
        <v>0.42507558395597</v>
      </c>
    </row>
    <row r="13" spans="1:35" x14ac:dyDescent="0.45">
      <c r="B13" s="14" t="s">
        <v>64</v>
      </c>
      <c r="C13" s="14" t="str">
        <f t="shared" si="0"/>
        <v>irn</v>
      </c>
      <c r="D13" s="15" t="s">
        <v>65</v>
      </c>
      <c r="E13" s="16" t="s">
        <v>66</v>
      </c>
      <c r="F13" s="14" t="s">
        <v>52</v>
      </c>
      <c r="G13" s="17" t="str">
        <f>Settings!$B$3&amp;".mit.pbc."&amp;Settings!$B$4&amp;"."&amp;$B13&amp;".a."&amp;$J$5</f>
        <v>egy.mit.pbc.ind.oop.a.1</v>
      </c>
      <c r="H13" s="45" t="str">
        <f>Settings!$B$3&amp;".mit.ptp."&amp;$C$5&amp;"."&amp;$B13&amp;".e."&amp;$J$5</f>
        <v>egy.mit.ptp.irn.oop.e.1</v>
      </c>
      <c r="K13" s="18">
        <f>INDEX(Data_Prices!K:K,MATCH($G13,Data_Prices!$A:$A,0))</f>
        <v>41.500338498868402</v>
      </c>
      <c r="L13" s="18">
        <f>INDEX(Data_Prices!L:L,MATCH($G13,Data_Prices!$A:$A,0))</f>
        <v>34.4153703043132</v>
      </c>
      <c r="M13" s="18">
        <f>INDEX(Data_Prices!M:M,MATCH($G13,Data_Prices!$A:$A,0))</f>
        <v>37.368960690431997</v>
      </c>
      <c r="N13" s="18">
        <f>INDEX(Data_Prices!N:N,MATCH($G13,Data_Prices!$A:$A,0))</f>
        <v>28.982761101477301</v>
      </c>
      <c r="O13" s="18">
        <f>INDEX(Data_Prices!O:O,MATCH($G13,Data_Prices!$A:$A,0))</f>
        <v>15</v>
      </c>
      <c r="P13" s="18">
        <f>INDEX(Data_Prices!P:P,MATCH($G13,Data_Prices!$A:$A,0))</f>
        <v>24.2586300842555</v>
      </c>
      <c r="Q13" s="18">
        <f>INDEX(Data_Prices!Q:Q,MATCH($G13,Data_Prices!$A:$A,0))</f>
        <v>15</v>
      </c>
      <c r="R13" s="18">
        <f>INDEX(Data_Prices!R:R,MATCH($G13,Data_Prices!$A:$A,0))</f>
        <v>15</v>
      </c>
      <c r="S13" s="18">
        <f>INDEX(Data_Prices!S:S,MATCH($G13,Data_Prices!$A:$A,0))</f>
        <v>15</v>
      </c>
      <c r="T13" s="18">
        <f>INDEX(Data_Prices!T:T,MATCH($G13,Data_Prices!$A:$A,0))</f>
        <v>15</v>
      </c>
      <c r="U13" s="18">
        <f>INDEX(Data_Prices!U:U,MATCH($G13,Data_Prices!$A:$A,0))</f>
        <v>15</v>
      </c>
      <c r="V13" s="18">
        <f>INDEX(Data_Prices!V:V,MATCH($G13,Data_Prices!$A:$A,0))</f>
        <v>15</v>
      </c>
      <c r="W13" s="18">
        <f>INDEX(Data_Prices!W:W,MATCH($G13,Data_Prices!$A:$A,0))</f>
        <v>15</v>
      </c>
      <c r="X13" s="18">
        <f>INDEX(Data_Prices!X:X,MATCH($G13,Data_Prices!$A:$A,0))</f>
        <v>15</v>
      </c>
      <c r="Y13" s="18">
        <f>INDEX(Data_Prices!Y:Y,MATCH($G13,Data_Prices!$A:$A,0))</f>
        <v>15</v>
      </c>
      <c r="Z13" s="18">
        <f>INDEX(Data_Prices!Z:Z,MATCH($G13,Data_Prices!$A:$A,0))</f>
        <v>15</v>
      </c>
      <c r="AA13" s="18">
        <f>INDEX(Data_Prices!AA:AA,MATCH($G13,Data_Prices!$A:$A,0))</f>
        <v>15</v>
      </c>
      <c r="AB13" s="18">
        <f>INDEX(Data_Prices!AB:AB,MATCH($G13,Data_Prices!$A:$A,0))</f>
        <v>15</v>
      </c>
      <c r="AC13" s="18">
        <f>INDEX(Data_Prices!AC:AC,MATCH($G13,Data_Prices!$A:$A,0))</f>
        <v>15</v>
      </c>
      <c r="AD13" s="18">
        <f>INDEX(Data_Prices!AD:AD,MATCH($G13,Data_Prices!$A:$A,0))</f>
        <v>15</v>
      </c>
      <c r="AE13" s="18">
        <f>INDEX(Data_Prices!AE:AE,MATCH($G13,Data_Prices!$A:$A,0))</f>
        <v>15</v>
      </c>
    </row>
    <row r="14" spans="1:35" x14ac:dyDescent="0.45">
      <c r="B14" s="14" t="s">
        <v>67</v>
      </c>
      <c r="C14" s="14" t="str">
        <f t="shared" si="0"/>
        <v>irn</v>
      </c>
      <c r="D14" s="15" t="s">
        <v>68</v>
      </c>
      <c r="E14" s="16" t="s">
        <v>51</v>
      </c>
      <c r="F14" s="14" t="s">
        <v>52</v>
      </c>
      <c r="G14" s="17" t="str">
        <f>Settings!$B$3&amp;".mit.pbc."&amp;Settings!$B$4&amp;"."&amp;$B14&amp;".a."&amp;$J$5</f>
        <v>egy.mit.pbc.ind.bio.a.1</v>
      </c>
      <c r="H14" s="45" t="str">
        <f>Settings!$B$3&amp;".mit.ptp."&amp;$C$5&amp;"."&amp;$B14&amp;".e."&amp;$J$5</f>
        <v>egy.mit.ptp.irn.bio.e.1</v>
      </c>
      <c r="K14" s="18">
        <f>INDEX(Data_Prices!K:K,MATCH($G14,Data_Prices!$A:$A,0))</f>
        <v>15.3345505293169</v>
      </c>
      <c r="L14" s="18">
        <f>INDEX(Data_Prices!L:L,MATCH($G14,Data_Prices!$A:$A,0))</f>
        <v>14.199528390634899</v>
      </c>
      <c r="M14" s="18">
        <f>INDEX(Data_Prices!M:M,MATCH($G14,Data_Prices!$A:$A,0))</f>
        <v>13.8404416133152</v>
      </c>
      <c r="N14" s="18">
        <f>INDEX(Data_Prices!N:N,MATCH($G14,Data_Prices!$A:$A,0))</f>
        <v>13.5677269404465</v>
      </c>
      <c r="O14" s="18">
        <f>INDEX(Data_Prices!O:O,MATCH($G14,Data_Prices!$A:$A,0))</f>
        <v>13.5677269404465</v>
      </c>
      <c r="P14" s="18">
        <f>INDEX(Data_Prices!P:P,MATCH($G14,Data_Prices!$A:$A,0))</f>
        <v>13.5677269404465</v>
      </c>
      <c r="Q14" s="18">
        <f>INDEX(Data_Prices!Q:Q,MATCH($G14,Data_Prices!$A:$A,0))</f>
        <v>13.5677269404465</v>
      </c>
      <c r="R14" s="18">
        <f>INDEX(Data_Prices!R:R,MATCH($G14,Data_Prices!$A:$A,0))</f>
        <v>13.5677269404465</v>
      </c>
      <c r="S14" s="18">
        <f>INDEX(Data_Prices!S:S,MATCH($G14,Data_Prices!$A:$A,0))</f>
        <v>13.5677269404465</v>
      </c>
      <c r="T14" s="18">
        <f>INDEX(Data_Prices!T:T,MATCH($G14,Data_Prices!$A:$A,0))</f>
        <v>13.5677269404465</v>
      </c>
      <c r="U14" s="18">
        <f>INDEX(Data_Prices!U:U,MATCH($G14,Data_Prices!$A:$A,0))</f>
        <v>13.5677269404465</v>
      </c>
      <c r="V14" s="18">
        <f>INDEX(Data_Prices!V:V,MATCH($G14,Data_Prices!$A:$A,0))</f>
        <v>13.5677269404465</v>
      </c>
      <c r="W14" s="18">
        <f>INDEX(Data_Prices!W:W,MATCH($G14,Data_Prices!$A:$A,0))</f>
        <v>13.5677269404465</v>
      </c>
      <c r="X14" s="18">
        <f>INDEX(Data_Prices!X:X,MATCH($G14,Data_Prices!$A:$A,0))</f>
        <v>13.5677269404465</v>
      </c>
      <c r="Y14" s="18">
        <f>INDEX(Data_Prices!Y:Y,MATCH($G14,Data_Prices!$A:$A,0))</f>
        <v>13.5677269404465</v>
      </c>
      <c r="Z14" s="18">
        <f>INDEX(Data_Prices!Z:Z,MATCH($G14,Data_Prices!$A:$A,0))</f>
        <v>13.5677269404465</v>
      </c>
      <c r="AA14" s="18">
        <f>INDEX(Data_Prices!AA:AA,MATCH($G14,Data_Prices!$A:$A,0))</f>
        <v>13.5677269404465</v>
      </c>
      <c r="AB14" s="18">
        <f>INDEX(Data_Prices!AB:AB,MATCH($G14,Data_Prices!$A:$A,0))</f>
        <v>13.5677269404465</v>
      </c>
      <c r="AC14" s="18">
        <f>INDEX(Data_Prices!AC:AC,MATCH($G14,Data_Prices!$A:$A,0))</f>
        <v>13.5677269404465</v>
      </c>
      <c r="AD14" s="18">
        <f>INDEX(Data_Prices!AD:AD,MATCH($G14,Data_Prices!$A:$A,0))</f>
        <v>13.5677269404465</v>
      </c>
      <c r="AE14" s="18">
        <f>INDEX(Data_Prices!AE:AE,MATCH($G14,Data_Prices!$A:$A,0))</f>
        <v>13.5677269404465</v>
      </c>
    </row>
    <row r="15" spans="1:35" x14ac:dyDescent="0.45">
      <c r="B15" s="14" t="s">
        <v>69</v>
      </c>
      <c r="C15" s="14" t="str">
        <f t="shared" si="0"/>
        <v>irn</v>
      </c>
      <c r="D15" s="15" t="s">
        <v>70</v>
      </c>
      <c r="E15" s="16" t="s">
        <v>71</v>
      </c>
      <c r="F15" s="14" t="s">
        <v>52</v>
      </c>
      <c r="G15" s="17" t="str">
        <f>Settings!$B$3&amp;".mit.pbc."&amp;Settings!$B$4&amp;"."&amp;$B15&amp;".a."&amp;$J$5</f>
        <v>egy.mit.pbc.ind.ren.a.1</v>
      </c>
      <c r="H15" s="45" t="str">
        <f>Settings!$B$3&amp;".mit.ptp."&amp;$C$5&amp;"."&amp;$B15&amp;".e."&amp;$J$5</f>
        <v>egy.mit.ptp.irn.ren.e.1</v>
      </c>
      <c r="K15" s="18">
        <f>INDEX(Data_Prices!K:K,MATCH($G15,Data_Prices!$A:$A,0))</f>
        <v>0</v>
      </c>
      <c r="L15" s="18">
        <f>INDEX(Data_Prices!L:L,MATCH($G15,Data_Prices!$A:$A,0))</f>
        <v>0.14404498679319799</v>
      </c>
      <c r="M15" s="18">
        <f>INDEX(Data_Prices!M:M,MATCH($G15,Data_Prices!$A:$A,0))</f>
        <v>0.14102040965700399</v>
      </c>
      <c r="N15" s="18">
        <f>INDEX(Data_Prices!N:N,MATCH($G15,Data_Prices!$A:$A,0))</f>
        <v>0.13511635959447599</v>
      </c>
      <c r="O15" s="18">
        <f>INDEX(Data_Prices!O:O,MATCH($G15,Data_Prices!$A:$A,0))</f>
        <v>0.13098825698585601</v>
      </c>
      <c r="P15" s="18">
        <f>INDEX(Data_Prices!P:P,MATCH($G15,Data_Prices!$A:$A,0))</f>
        <v>0.12790841608631801</v>
      </c>
      <c r="Q15" s="18">
        <f>INDEX(Data_Prices!Q:Q,MATCH($G15,Data_Prices!$A:$A,0))</f>
        <v>0.124814310557813</v>
      </c>
      <c r="R15" s="18">
        <f>INDEX(Data_Prices!R:R,MATCH($G15,Data_Prices!$A:$A,0))</f>
        <v>0.121460257122878</v>
      </c>
      <c r="S15" s="18">
        <f>INDEX(Data_Prices!S:S,MATCH($G15,Data_Prices!$A:$A,0))</f>
        <v>0.117950744135786</v>
      </c>
      <c r="T15" s="18">
        <f>INDEX(Data_Prices!T:T,MATCH($G15,Data_Prices!$A:$A,0))</f>
        <v>0.114199161044597</v>
      </c>
      <c r="U15" s="18">
        <f>INDEX(Data_Prices!U:U,MATCH($G15,Data_Prices!$A:$A,0))</f>
        <v>0.113665100059665</v>
      </c>
      <c r="V15" s="18">
        <f>INDEX(Data_Prices!V:V,MATCH($G15,Data_Prices!$A:$A,0))</f>
        <v>0.113016929625957</v>
      </c>
      <c r="W15" s="18">
        <f>INDEX(Data_Prices!W:W,MATCH($G15,Data_Prices!$A:$A,0))</f>
        <v>0.112314070507636</v>
      </c>
      <c r="X15" s="18">
        <f>INDEX(Data_Prices!X:X,MATCH($G15,Data_Prices!$A:$A,0))</f>
        <v>0.11142204273284299</v>
      </c>
      <c r="Y15" s="18">
        <f>INDEX(Data_Prices!Y:Y,MATCH($G15,Data_Prices!$A:$A,0))</f>
        <v>0.110434123675809</v>
      </c>
      <c r="Z15" s="18">
        <f>INDEX(Data_Prices!Z:Z,MATCH($G15,Data_Prices!$A:$A,0))</f>
        <v>0.109483973304471</v>
      </c>
      <c r="AA15" s="18">
        <f>INDEX(Data_Prices!AA:AA,MATCH($G15,Data_Prices!$A:$A,0))</f>
        <v>0.10839192105294</v>
      </c>
      <c r="AB15" s="18">
        <f>INDEX(Data_Prices!AB:AB,MATCH($G15,Data_Prices!$A:$A,0))</f>
        <v>0.10735443362670399</v>
      </c>
      <c r="AC15" s="18">
        <f>INDEX(Data_Prices!AC:AC,MATCH($G15,Data_Prices!$A:$A,0))</f>
        <v>0.105168675441661</v>
      </c>
      <c r="AD15" s="18">
        <f>INDEX(Data_Prices!AD:AD,MATCH($G15,Data_Prices!$A:$A,0))</f>
        <v>0.103057983256008</v>
      </c>
      <c r="AE15" s="18">
        <f>INDEX(Data_Prices!AE:AE,MATCH($G15,Data_Prices!$A:$A,0))</f>
        <v>0.100931838990114</v>
      </c>
    </row>
    <row r="16" spans="1:35" x14ac:dyDescent="0.45">
      <c r="B16" s="13" t="s">
        <v>72</v>
      </c>
    </row>
    <row r="17" spans="2:31" x14ac:dyDescent="0.45">
      <c r="B17" s="14" t="s">
        <v>49</v>
      </c>
      <c r="C17" s="14" t="str">
        <f t="shared" ref="C17:C25" si="1">$C$5</f>
        <v>irn</v>
      </c>
      <c r="D17" s="15" t="s">
        <v>50</v>
      </c>
      <c r="E17" s="16" t="s">
        <v>51</v>
      </c>
      <c r="F17" s="14" t="s">
        <v>73</v>
      </c>
      <c r="G17" s="17" t="str">
        <f>Settings!$B$3&amp;".mit.nce."&amp;Settings!$B$4&amp;"."&amp;$B17&amp;".a."&amp;$J$5</f>
        <v>egy.mit.nce.ind.coa.a.1</v>
      </c>
      <c r="H17" s="45" t="str">
        <f>Settings!$B$3&amp;".mit.atp."&amp;$C$5&amp;"."&amp;$B17&amp;".e."&amp;$J$5</f>
        <v>egy.mit.atp.irn.coa.e.1</v>
      </c>
      <c r="K17" s="18">
        <f>K7+INDEX(Data_Prices!K:K,MATCH($G17,Data_Prices!$A:$A,0))*K$37</f>
        <v>11.182901589243899</v>
      </c>
      <c r="L17" s="18">
        <f>L7+INDEX(Data_Prices!L:L,MATCH($G17,Data_Prices!$A:$A,0))*L$37</f>
        <v>10.5233613454312</v>
      </c>
      <c r="M17" s="18">
        <f>M7+INDEX(Data_Prices!M:M,MATCH($G17,Data_Prices!$A:$A,0))*M$37</f>
        <v>10.2995608274442</v>
      </c>
      <c r="N17" s="18">
        <f>N7+INDEX(Data_Prices!N:N,MATCH($G17,Data_Prices!$A:$A,0))*N$37</f>
        <v>9.5775283595382597</v>
      </c>
      <c r="O17" s="18">
        <f>O7+INDEX(Data_Prices!O:O,MATCH($G17,Data_Prices!$A:$A,0))*O$37</f>
        <v>8.4854782869580507</v>
      </c>
      <c r="P17" s="18">
        <f>P7+INDEX(Data_Prices!P:P,MATCH($G17,Data_Prices!$A:$A,0))*P$37</f>
        <v>9.0871922352498604</v>
      </c>
      <c r="Q17" s="18">
        <f>Q7+INDEX(Data_Prices!Q:Q,MATCH($G17,Data_Prices!$A:$A,0))*Q$37</f>
        <v>9.2229237289326793</v>
      </c>
      <c r="R17" s="18">
        <f>R7+INDEX(Data_Prices!R:R,MATCH($G17,Data_Prices!$A:$A,0))*R$37</f>
        <v>9.1585649555096893</v>
      </c>
      <c r="S17" s="18">
        <f>S7+INDEX(Data_Prices!S:S,MATCH($G17,Data_Prices!$A:$A,0))*S$37</f>
        <v>9.0895478773973792</v>
      </c>
      <c r="T17" s="18">
        <f>T7+INDEX(Data_Prices!T:T,MATCH($G17,Data_Prices!$A:$A,0))*T$37</f>
        <v>9.0156816660228305</v>
      </c>
      <c r="U17" s="18">
        <f>U7+INDEX(Data_Prices!U:U,MATCH($G17,Data_Prices!$A:$A,0))*U$37</f>
        <v>8.9443977655571096</v>
      </c>
      <c r="V17" s="18">
        <f>V7+INDEX(Data_Prices!V:V,MATCH($G17,Data_Prices!$A:$A,0))*V$37</f>
        <v>8.9443977655571096</v>
      </c>
      <c r="W17" s="18">
        <f>W7+INDEX(Data_Prices!W:W,MATCH($G17,Data_Prices!$A:$A,0))*W$37</f>
        <v>8.9443977655571096</v>
      </c>
      <c r="X17" s="18">
        <f>X7+INDEX(Data_Prices!X:X,MATCH($G17,Data_Prices!$A:$A,0))*X$37</f>
        <v>8.9443977655571096</v>
      </c>
      <c r="Y17" s="18">
        <f>Y7+INDEX(Data_Prices!Y:Y,MATCH($G17,Data_Prices!$A:$A,0))*Y$37</f>
        <v>8.9443977655571096</v>
      </c>
      <c r="Z17" s="18">
        <f>Z7+INDEX(Data_Prices!Z:Z,MATCH($G17,Data_Prices!$A:$A,0))*Z$37</f>
        <v>8.9443977655571096</v>
      </c>
      <c r="AA17" s="18">
        <f>AA7+INDEX(Data_Prices!AA:AA,MATCH($G17,Data_Prices!$A:$A,0))*AA$37</f>
        <v>8.9443977655571096</v>
      </c>
      <c r="AB17" s="18">
        <f>AB7+INDEX(Data_Prices!AB:AB,MATCH($G17,Data_Prices!$A:$A,0))*AB$37</f>
        <v>8.9443977655571096</v>
      </c>
      <c r="AC17" s="18">
        <f>AC7+INDEX(Data_Prices!AC:AC,MATCH($G17,Data_Prices!$A:$A,0))*AC$37</f>
        <v>8.9443977655571096</v>
      </c>
      <c r="AD17" s="18">
        <f>AD7+INDEX(Data_Prices!AD:AD,MATCH($G17,Data_Prices!$A:$A,0))*AD$37</f>
        <v>8.9443977655571096</v>
      </c>
      <c r="AE17" s="18">
        <f>AE7+INDEX(Data_Prices!AE:AE,MATCH($G17,Data_Prices!$A:$A,0))*AE$37</f>
        <v>8.9443977655571096</v>
      </c>
    </row>
    <row r="18" spans="2:31" x14ac:dyDescent="0.45">
      <c r="B18" s="14" t="s">
        <v>53</v>
      </c>
      <c r="C18" s="14" t="str">
        <f t="shared" si="1"/>
        <v>irn</v>
      </c>
      <c r="D18" s="15" t="s">
        <v>54</v>
      </c>
      <c r="E18" s="16" t="s">
        <v>51</v>
      </c>
      <c r="F18" s="14" t="s">
        <v>73</v>
      </c>
      <c r="G18" s="17" t="str">
        <f>Settings!$B$3&amp;".mit.nce."&amp;Settings!$B$4&amp;"."&amp;$B18&amp;".a."&amp;$J$5</f>
        <v>egy.mit.nce.ind.nga.a.1</v>
      </c>
      <c r="H18" s="45" t="str">
        <f>Settings!$B$3&amp;".mit.atp."&amp;$C$5&amp;"."&amp;$B18&amp;".e."&amp;$J$5</f>
        <v>egy.mit.atp.irn.nga.e.1</v>
      </c>
      <c r="K18" s="18">
        <f>K8+INDEX(Data_Prices!K:K,MATCH($G18,Data_Prices!$A:$A,0))*K$37</f>
        <v>6.0634636156729096</v>
      </c>
      <c r="L18" s="18">
        <f>L8+INDEX(Data_Prices!L:L,MATCH($G18,Data_Prices!$A:$A,0))*L$37</f>
        <v>5.4510150816191896</v>
      </c>
      <c r="M18" s="18">
        <f>M8+INDEX(Data_Prices!M:M,MATCH($G18,Data_Prices!$A:$A,0))*M$37</f>
        <v>5.1193563062624801</v>
      </c>
      <c r="N18" s="18">
        <f>N8+INDEX(Data_Prices!N:N,MATCH($G18,Data_Prices!$A:$A,0))*N$37</f>
        <v>5.08218458640407</v>
      </c>
      <c r="O18" s="18">
        <f>O8+INDEX(Data_Prices!O:O,MATCH($G18,Data_Prices!$A:$A,0))*O$37</f>
        <v>5.08218458640407</v>
      </c>
      <c r="P18" s="18">
        <f>P8+INDEX(Data_Prices!P:P,MATCH($G18,Data_Prices!$A:$A,0))*P$37</f>
        <v>5.08218458640407</v>
      </c>
      <c r="Q18" s="18">
        <f>Q8+INDEX(Data_Prices!Q:Q,MATCH($G18,Data_Prices!$A:$A,0))*Q$37</f>
        <v>5.08218458640407</v>
      </c>
      <c r="R18" s="18">
        <f>R8+INDEX(Data_Prices!R:R,MATCH($G18,Data_Prices!$A:$A,0))*R$37</f>
        <v>5.08218458640407</v>
      </c>
      <c r="S18" s="18">
        <f>S8+INDEX(Data_Prices!S:S,MATCH($G18,Data_Prices!$A:$A,0))*S$37</f>
        <v>5.08218458640407</v>
      </c>
      <c r="T18" s="18">
        <f>T8+INDEX(Data_Prices!T:T,MATCH($G18,Data_Prices!$A:$A,0))*T$37</f>
        <v>5.08218458640407</v>
      </c>
      <c r="U18" s="18">
        <f>U8+INDEX(Data_Prices!U:U,MATCH($G18,Data_Prices!$A:$A,0))*U$37</f>
        <v>5.08218458640407</v>
      </c>
      <c r="V18" s="18">
        <f>V8+INDEX(Data_Prices!V:V,MATCH($G18,Data_Prices!$A:$A,0))*V$37</f>
        <v>5.08218458640407</v>
      </c>
      <c r="W18" s="18">
        <f>W8+INDEX(Data_Prices!W:W,MATCH($G18,Data_Prices!$A:$A,0))*W$37</f>
        <v>5.08218458640407</v>
      </c>
      <c r="X18" s="18">
        <f>X8+INDEX(Data_Prices!X:X,MATCH($G18,Data_Prices!$A:$A,0))*X$37</f>
        <v>5.08218458640407</v>
      </c>
      <c r="Y18" s="18">
        <f>Y8+INDEX(Data_Prices!Y:Y,MATCH($G18,Data_Prices!$A:$A,0))*Y$37</f>
        <v>5.08218458640407</v>
      </c>
      <c r="Z18" s="18">
        <f>Z8+INDEX(Data_Prices!Z:Z,MATCH($G18,Data_Prices!$A:$A,0))*Z$37</f>
        <v>5.08218458640407</v>
      </c>
      <c r="AA18" s="18">
        <f>AA8+INDEX(Data_Prices!AA:AA,MATCH($G18,Data_Prices!$A:$A,0))*AA$37</f>
        <v>5.08218458640407</v>
      </c>
      <c r="AB18" s="18">
        <f>AB8+INDEX(Data_Prices!AB:AB,MATCH($G18,Data_Prices!$A:$A,0))*AB$37</f>
        <v>5.08218458640407</v>
      </c>
      <c r="AC18" s="18">
        <f>AC8+INDEX(Data_Prices!AC:AC,MATCH($G18,Data_Prices!$A:$A,0))*AC$37</f>
        <v>5.08218458640407</v>
      </c>
      <c r="AD18" s="18">
        <f>AD8+INDEX(Data_Prices!AD:AD,MATCH($G18,Data_Prices!$A:$A,0))*AD$37</f>
        <v>5.08218458640407</v>
      </c>
      <c r="AE18" s="18">
        <f>AE8+INDEX(Data_Prices!AE:AE,MATCH($G18,Data_Prices!$A:$A,0))*AE$37</f>
        <v>5.08218458640407</v>
      </c>
    </row>
    <row r="19" spans="2:31" x14ac:dyDescent="0.45">
      <c r="B19" s="14" t="s">
        <v>55</v>
      </c>
      <c r="C19" s="14" t="str">
        <f t="shared" si="1"/>
        <v>irn</v>
      </c>
      <c r="D19" s="15" t="s">
        <v>56</v>
      </c>
      <c r="E19" s="16" t="s">
        <v>57</v>
      </c>
      <c r="F19" s="14" t="s">
        <v>73</v>
      </c>
      <c r="G19" s="17" t="str">
        <f>Settings!$B$3&amp;".mit.nce."&amp;Settings!$B$4&amp;"."&amp;$B19&amp;".a."&amp;$J$5</f>
        <v>egy.mit.nce.ind.gso.a.1</v>
      </c>
      <c r="H19" s="45" t="str">
        <f>Settings!$B$3&amp;".mit.atp."&amp;$C$5&amp;"."&amp;$B19&amp;".e."&amp;$J$5</f>
        <v>egy.mit.atp.irn.gso.e.1</v>
      </c>
      <c r="K19" s="18">
        <f>K9+INDEX(Data_Prices!K:K,MATCH($G19,Data_Prices!$A:$A,0))*K$37</f>
        <v>0.67114653332181595</v>
      </c>
      <c r="L19" s="18">
        <f>L9+INDEX(Data_Prices!L:L,MATCH($G19,Data_Prices!$A:$A,0))*L$37</f>
        <v>0.61197797679140598</v>
      </c>
      <c r="M19" s="18">
        <f>M9+INDEX(Data_Prices!M:M,MATCH($G19,Data_Prices!$A:$A,0))*M$37</f>
        <v>0.61180974964187596</v>
      </c>
      <c r="N19" s="18">
        <f>N9+INDEX(Data_Prices!N:N,MATCH($G19,Data_Prices!$A:$A,0))*N$37</f>
        <v>0.60358310017790595</v>
      </c>
      <c r="O19" s="18">
        <f>O9+INDEX(Data_Prices!O:O,MATCH($G19,Data_Prices!$A:$A,0))*O$37</f>
        <v>0.60358310017790595</v>
      </c>
      <c r="P19" s="18">
        <f>P9+INDEX(Data_Prices!P:P,MATCH($G19,Data_Prices!$A:$A,0))*P$37</f>
        <v>0.60358310017790595</v>
      </c>
      <c r="Q19" s="18">
        <f>Q9+INDEX(Data_Prices!Q:Q,MATCH($G19,Data_Prices!$A:$A,0))*Q$37</f>
        <v>0.60358310017790595</v>
      </c>
      <c r="R19" s="18">
        <f>R9+INDEX(Data_Prices!R:R,MATCH($G19,Data_Prices!$A:$A,0))*R$37</f>
        <v>0.60358310017790595</v>
      </c>
      <c r="S19" s="18">
        <f>S9+INDEX(Data_Prices!S:S,MATCH($G19,Data_Prices!$A:$A,0))*S$37</f>
        <v>0.60358310017790595</v>
      </c>
      <c r="T19" s="18">
        <f>T9+INDEX(Data_Prices!T:T,MATCH($G19,Data_Prices!$A:$A,0))*T$37</f>
        <v>0.60358310017790595</v>
      </c>
      <c r="U19" s="18">
        <f>U9+INDEX(Data_Prices!U:U,MATCH($G19,Data_Prices!$A:$A,0))*U$37</f>
        <v>0.60358310017790595</v>
      </c>
      <c r="V19" s="18">
        <f>V9+INDEX(Data_Prices!V:V,MATCH($G19,Data_Prices!$A:$A,0))*V$37</f>
        <v>0.60358310017790595</v>
      </c>
      <c r="W19" s="18">
        <f>W9+INDEX(Data_Prices!W:W,MATCH($G19,Data_Prices!$A:$A,0))*W$37</f>
        <v>0.60358310017790595</v>
      </c>
      <c r="X19" s="18">
        <f>X9+INDEX(Data_Prices!X:X,MATCH($G19,Data_Prices!$A:$A,0))*X$37</f>
        <v>0.60358310017790595</v>
      </c>
      <c r="Y19" s="18">
        <f>Y9+INDEX(Data_Prices!Y:Y,MATCH($G19,Data_Prices!$A:$A,0))*Y$37</f>
        <v>0.60358310017790595</v>
      </c>
      <c r="Z19" s="18">
        <f>Z9+INDEX(Data_Prices!Z:Z,MATCH($G19,Data_Prices!$A:$A,0))*Z$37</f>
        <v>0.60358310017790595</v>
      </c>
      <c r="AA19" s="18">
        <f>AA9+INDEX(Data_Prices!AA:AA,MATCH($G19,Data_Prices!$A:$A,0))*AA$37</f>
        <v>0.60358310017790595</v>
      </c>
      <c r="AB19" s="18">
        <f>AB9+INDEX(Data_Prices!AB:AB,MATCH($G19,Data_Prices!$A:$A,0))*AB$37</f>
        <v>0.60358310017790595</v>
      </c>
      <c r="AC19" s="18">
        <f>AC9+INDEX(Data_Prices!AC:AC,MATCH($G19,Data_Prices!$A:$A,0))*AC$37</f>
        <v>0.60358310017790595</v>
      </c>
      <c r="AD19" s="18">
        <f>AD9+INDEX(Data_Prices!AD:AD,MATCH($G19,Data_Prices!$A:$A,0))*AD$37</f>
        <v>0.60358310017790595</v>
      </c>
      <c r="AE19" s="18">
        <f>AE9+INDEX(Data_Prices!AE:AE,MATCH($G19,Data_Prices!$A:$A,0))*AE$37</f>
        <v>0.60358310017790595</v>
      </c>
    </row>
    <row r="20" spans="2:31" x14ac:dyDescent="0.45">
      <c r="B20" s="14" t="s">
        <v>58</v>
      </c>
      <c r="C20" s="14" t="str">
        <f t="shared" si="1"/>
        <v>irn</v>
      </c>
      <c r="D20" s="15" t="s">
        <v>59</v>
      </c>
      <c r="E20" s="16" t="s">
        <v>57</v>
      </c>
      <c r="F20" s="14" t="s">
        <v>73</v>
      </c>
      <c r="G20" s="17" t="str">
        <f>Settings!$B$3&amp;".mit.nce."&amp;Settings!$B$4&amp;"."&amp;$B20&amp;".a."&amp;$J$5</f>
        <v>egy.mit.nce.ind.die.a.1</v>
      </c>
      <c r="H20" s="45" t="str">
        <f>Settings!$B$3&amp;".mit.atp."&amp;$C$5&amp;"."&amp;$B20&amp;".e."&amp;$J$5</f>
        <v>egy.mit.atp.irn.die.e.1</v>
      </c>
      <c r="K20" s="18">
        <f>K10+INDEX(Data_Prices!K:K,MATCH($G20,Data_Prices!$A:$A,0))*K$37</f>
        <v>0.55971121315568795</v>
      </c>
      <c r="L20" s="18">
        <f>L10+INDEX(Data_Prices!L:L,MATCH($G20,Data_Prices!$A:$A,0))*L$37</f>
        <v>0.49458873084106802</v>
      </c>
      <c r="M20" s="18">
        <f>M10+INDEX(Data_Prices!M:M,MATCH($G20,Data_Prices!$A:$A,0))*M$37</f>
        <v>0.50778654720250105</v>
      </c>
      <c r="N20" s="18">
        <f>N10+INDEX(Data_Prices!N:N,MATCH($G20,Data_Prices!$A:$A,0))*N$37</f>
        <v>0.47043642679561698</v>
      </c>
      <c r="O20" s="18">
        <f>O10+INDEX(Data_Prices!O:O,MATCH($G20,Data_Prices!$A:$A,0))*O$37</f>
        <v>0.47043642679561698</v>
      </c>
      <c r="P20" s="18">
        <f>P10+INDEX(Data_Prices!P:P,MATCH($G20,Data_Prices!$A:$A,0))*P$37</f>
        <v>0.47043642679561698</v>
      </c>
      <c r="Q20" s="18">
        <f>Q10+INDEX(Data_Prices!Q:Q,MATCH($G20,Data_Prices!$A:$A,0))*Q$37</f>
        <v>0.47043642679561698</v>
      </c>
      <c r="R20" s="18">
        <f>R10+INDEX(Data_Prices!R:R,MATCH($G20,Data_Prices!$A:$A,0))*R$37</f>
        <v>0.47043642679561698</v>
      </c>
      <c r="S20" s="18">
        <f>S10+INDEX(Data_Prices!S:S,MATCH($G20,Data_Prices!$A:$A,0))*S$37</f>
        <v>0.47043642679561698</v>
      </c>
      <c r="T20" s="18">
        <f>T10+INDEX(Data_Prices!T:T,MATCH($G20,Data_Prices!$A:$A,0))*T$37</f>
        <v>0.47043642679561698</v>
      </c>
      <c r="U20" s="18">
        <f>U10+INDEX(Data_Prices!U:U,MATCH($G20,Data_Prices!$A:$A,0))*U$37</f>
        <v>0.47043642679561698</v>
      </c>
      <c r="V20" s="18">
        <f>V10+INDEX(Data_Prices!V:V,MATCH($G20,Data_Prices!$A:$A,0))*V$37</f>
        <v>0.47043642679561698</v>
      </c>
      <c r="W20" s="18">
        <f>W10+INDEX(Data_Prices!W:W,MATCH($G20,Data_Prices!$A:$A,0))*W$37</f>
        <v>0.47043642679561698</v>
      </c>
      <c r="X20" s="18">
        <f>X10+INDEX(Data_Prices!X:X,MATCH($G20,Data_Prices!$A:$A,0))*X$37</f>
        <v>0.47043642679561698</v>
      </c>
      <c r="Y20" s="18">
        <f>Y10+INDEX(Data_Prices!Y:Y,MATCH($G20,Data_Prices!$A:$A,0))*Y$37</f>
        <v>0.47043642679561698</v>
      </c>
      <c r="Z20" s="18">
        <f>Z10+INDEX(Data_Prices!Z:Z,MATCH($G20,Data_Prices!$A:$A,0))*Z$37</f>
        <v>0.47043642679561698</v>
      </c>
      <c r="AA20" s="18">
        <f>AA10+INDEX(Data_Prices!AA:AA,MATCH($G20,Data_Prices!$A:$A,0))*AA$37</f>
        <v>0.47043642679561698</v>
      </c>
      <c r="AB20" s="18">
        <f>AB10+INDEX(Data_Prices!AB:AB,MATCH($G20,Data_Prices!$A:$A,0))*AB$37</f>
        <v>0.47043642679561698</v>
      </c>
      <c r="AC20" s="18">
        <f>AC10+INDEX(Data_Prices!AC:AC,MATCH($G20,Data_Prices!$A:$A,0))*AC$37</f>
        <v>0.47043642679561698</v>
      </c>
      <c r="AD20" s="18">
        <f>AD10+INDEX(Data_Prices!AD:AD,MATCH($G20,Data_Prices!$A:$A,0))*AD$37</f>
        <v>0.47043642679561698</v>
      </c>
      <c r="AE20" s="18">
        <f>AE10+INDEX(Data_Prices!AE:AE,MATCH($G20,Data_Prices!$A:$A,0))*AE$37</f>
        <v>0.47043642679561698</v>
      </c>
    </row>
    <row r="21" spans="2:31" x14ac:dyDescent="0.45">
      <c r="B21" s="14" t="s">
        <v>60</v>
      </c>
      <c r="C21" s="14" t="str">
        <f t="shared" si="1"/>
        <v>irn</v>
      </c>
      <c r="D21" s="15" t="s">
        <v>61</v>
      </c>
      <c r="E21" s="16" t="s">
        <v>57</v>
      </c>
      <c r="F21" s="14" t="s">
        <v>73</v>
      </c>
      <c r="G21" s="17" t="str">
        <f>Settings!$B$3&amp;".mit.nce."&amp;Settings!$B$4&amp;"."&amp;$B21&amp;".a."&amp;$J$5</f>
        <v>egy.mit.nce.ind.lpg.a.1</v>
      </c>
      <c r="H21" s="45" t="str">
        <f>Settings!$B$3&amp;".mit.atp."&amp;$C$5&amp;"."&amp;$B21&amp;".e."&amp;$J$5</f>
        <v>egy.mit.atp.irn.lpg.e.1</v>
      </c>
      <c r="K21" s="18">
        <f>K11+INDEX(Data_Prices!K:K,MATCH($G21,Data_Prices!$A:$A,0))*K$37</f>
        <v>0.20036669112673799</v>
      </c>
      <c r="L21" s="18">
        <f>L11+INDEX(Data_Prices!L:L,MATCH($G21,Data_Prices!$A:$A,0))*L$37</f>
        <v>0.15734473625227399</v>
      </c>
      <c r="M21" s="18">
        <f>M11+INDEX(Data_Prices!M:M,MATCH($G21,Data_Prices!$A:$A,0))*M$37</f>
        <v>0.164484037759277</v>
      </c>
      <c r="N21" s="18">
        <f>N11+INDEX(Data_Prices!N:N,MATCH($G21,Data_Prices!$A:$A,0))*N$37</f>
        <v>0.15070907780704901</v>
      </c>
      <c r="O21" s="18">
        <f>O11+INDEX(Data_Prices!O:O,MATCH($G21,Data_Prices!$A:$A,0))*O$37</f>
        <v>0.15070907780704901</v>
      </c>
      <c r="P21" s="18">
        <f>P11+INDEX(Data_Prices!P:P,MATCH($G21,Data_Prices!$A:$A,0))*P$37</f>
        <v>0.15070907780704901</v>
      </c>
      <c r="Q21" s="18">
        <f>Q11+INDEX(Data_Prices!Q:Q,MATCH($G21,Data_Prices!$A:$A,0))*Q$37</f>
        <v>0.15070907780704901</v>
      </c>
      <c r="R21" s="18">
        <f>R11+INDEX(Data_Prices!R:R,MATCH($G21,Data_Prices!$A:$A,0))*R$37</f>
        <v>0.15070907780704901</v>
      </c>
      <c r="S21" s="18">
        <f>S11+INDEX(Data_Prices!S:S,MATCH($G21,Data_Prices!$A:$A,0))*S$37</f>
        <v>0.15070907780704901</v>
      </c>
      <c r="T21" s="18">
        <f>T11+INDEX(Data_Prices!T:T,MATCH($G21,Data_Prices!$A:$A,0))*T$37</f>
        <v>0.15070907780704901</v>
      </c>
      <c r="U21" s="18">
        <f>U11+INDEX(Data_Prices!U:U,MATCH($G21,Data_Prices!$A:$A,0))*U$37</f>
        <v>0.15070907780704901</v>
      </c>
      <c r="V21" s="18">
        <f>V11+INDEX(Data_Prices!V:V,MATCH($G21,Data_Prices!$A:$A,0))*V$37</f>
        <v>0.15070907780704901</v>
      </c>
      <c r="W21" s="18">
        <f>W11+INDEX(Data_Prices!W:W,MATCH($G21,Data_Prices!$A:$A,0))*W$37</f>
        <v>0.15070907780704901</v>
      </c>
      <c r="X21" s="18">
        <f>X11+INDEX(Data_Prices!X:X,MATCH($G21,Data_Prices!$A:$A,0))*X$37</f>
        <v>0.15070907780704901</v>
      </c>
      <c r="Y21" s="18">
        <f>Y11+INDEX(Data_Prices!Y:Y,MATCH($G21,Data_Prices!$A:$A,0))*Y$37</f>
        <v>0.15070907780704901</v>
      </c>
      <c r="Z21" s="18">
        <f>Z11+INDEX(Data_Prices!Z:Z,MATCH($G21,Data_Prices!$A:$A,0))*Z$37</f>
        <v>0.15070907780704901</v>
      </c>
      <c r="AA21" s="18">
        <f>AA11+INDEX(Data_Prices!AA:AA,MATCH($G21,Data_Prices!$A:$A,0))*AA$37</f>
        <v>0.15070907780704901</v>
      </c>
      <c r="AB21" s="18">
        <f>AB11+INDEX(Data_Prices!AB:AB,MATCH($G21,Data_Prices!$A:$A,0))*AB$37</f>
        <v>0.15070907780704901</v>
      </c>
      <c r="AC21" s="18">
        <f>AC11+INDEX(Data_Prices!AC:AC,MATCH($G21,Data_Prices!$A:$A,0))*AC$37</f>
        <v>0.15070907780704901</v>
      </c>
      <c r="AD21" s="18">
        <f>AD11+INDEX(Data_Prices!AD:AD,MATCH($G21,Data_Prices!$A:$A,0))*AD$37</f>
        <v>0.15070907780704901</v>
      </c>
      <c r="AE21" s="18">
        <f>AE11+INDEX(Data_Prices!AE:AE,MATCH($G21,Data_Prices!$A:$A,0))*AE$37</f>
        <v>0.15070907780704901</v>
      </c>
    </row>
    <row r="22" spans="2:31" x14ac:dyDescent="0.45">
      <c r="B22" s="14" t="s">
        <v>62</v>
      </c>
      <c r="C22" s="14" t="str">
        <f t="shared" si="1"/>
        <v>irn</v>
      </c>
      <c r="D22" s="15" t="s">
        <v>63</v>
      </c>
      <c r="E22" s="16" t="s">
        <v>57</v>
      </c>
      <c r="F22" s="14" t="s">
        <v>73</v>
      </c>
      <c r="G22" s="17" t="str">
        <f>Settings!$B$3&amp;".mit.nce."&amp;Settings!$B$4&amp;"."&amp;$B22&amp;".a."&amp;$J$5</f>
        <v>egy.mit.nce.ind.ker.a.1</v>
      </c>
      <c r="H22" s="45" t="str">
        <f>Settings!$B$3&amp;".mit.atp."&amp;$C$5&amp;"."&amp;$B22&amp;".e."&amp;$J$5</f>
        <v>egy.mit.atp.irn.ker.e.1</v>
      </c>
      <c r="K22" s="18">
        <f>K12+INDEX(Data_Prices!K:K,MATCH($G22,Data_Prices!$A:$A,0))*K$37</f>
        <v>0.48429424097343499</v>
      </c>
      <c r="L22" s="18">
        <f>L12+INDEX(Data_Prices!L:L,MATCH($G22,Data_Prices!$A:$A,0))*L$37</f>
        <v>0.45642817050012802</v>
      </c>
      <c r="M22" s="18">
        <f>M12+INDEX(Data_Prices!M:M,MATCH($G22,Data_Prices!$A:$A,0))*M$37</f>
        <v>0.43168920195599497</v>
      </c>
      <c r="N22" s="18">
        <f>N12+INDEX(Data_Prices!N:N,MATCH($G22,Data_Prices!$A:$A,0))*N$37</f>
        <v>0.42507558395597</v>
      </c>
      <c r="O22" s="18">
        <f>O12+INDEX(Data_Prices!O:O,MATCH($G22,Data_Prices!$A:$A,0))*O$37</f>
        <v>0.42507558395597</v>
      </c>
      <c r="P22" s="18">
        <f>P12+INDEX(Data_Prices!P:P,MATCH($G22,Data_Prices!$A:$A,0))*P$37</f>
        <v>0.42507558395597</v>
      </c>
      <c r="Q22" s="18">
        <f>Q12+INDEX(Data_Prices!Q:Q,MATCH($G22,Data_Prices!$A:$A,0))*Q$37</f>
        <v>0.42507558395597</v>
      </c>
      <c r="R22" s="18">
        <f>R12+INDEX(Data_Prices!R:R,MATCH($G22,Data_Prices!$A:$A,0))*R$37</f>
        <v>0.42507558395597</v>
      </c>
      <c r="S22" s="18">
        <f>S12+INDEX(Data_Prices!S:S,MATCH($G22,Data_Prices!$A:$A,0))*S$37</f>
        <v>0.42507558395597</v>
      </c>
      <c r="T22" s="18">
        <f>T12+INDEX(Data_Prices!T:T,MATCH($G22,Data_Prices!$A:$A,0))*T$37</f>
        <v>0.42507558395597</v>
      </c>
      <c r="U22" s="18">
        <f>U12+INDEX(Data_Prices!U:U,MATCH($G22,Data_Prices!$A:$A,0))*U$37</f>
        <v>0.42507558395597</v>
      </c>
      <c r="V22" s="18">
        <f>V12+INDEX(Data_Prices!V:V,MATCH($G22,Data_Prices!$A:$A,0))*V$37</f>
        <v>0.42507558395597</v>
      </c>
      <c r="W22" s="18">
        <f>W12+INDEX(Data_Prices!W:W,MATCH($G22,Data_Prices!$A:$A,0))*W$37</f>
        <v>0.42507558395597</v>
      </c>
      <c r="X22" s="18">
        <f>X12+INDEX(Data_Prices!X:X,MATCH($G22,Data_Prices!$A:$A,0))*X$37</f>
        <v>0.42507558395597</v>
      </c>
      <c r="Y22" s="18">
        <f>Y12+INDEX(Data_Prices!Y:Y,MATCH($G22,Data_Prices!$A:$A,0))*Y$37</f>
        <v>0.42507558395597</v>
      </c>
      <c r="Z22" s="18">
        <f>Z12+INDEX(Data_Prices!Z:Z,MATCH($G22,Data_Prices!$A:$A,0))*Z$37</f>
        <v>0.42507558395597</v>
      </c>
      <c r="AA22" s="18">
        <f>AA12+INDEX(Data_Prices!AA:AA,MATCH($G22,Data_Prices!$A:$A,0))*AA$37</f>
        <v>0.42507558395597</v>
      </c>
      <c r="AB22" s="18">
        <f>AB12+INDEX(Data_Prices!AB:AB,MATCH($G22,Data_Prices!$A:$A,0))*AB$37</f>
        <v>0.42507558395597</v>
      </c>
      <c r="AC22" s="18">
        <f>AC12+INDEX(Data_Prices!AC:AC,MATCH($G22,Data_Prices!$A:$A,0))*AC$37</f>
        <v>0.42507558395597</v>
      </c>
      <c r="AD22" s="18">
        <f>AD12+INDEX(Data_Prices!AD:AD,MATCH($G22,Data_Prices!$A:$A,0))*AD$37</f>
        <v>0.42507558395597</v>
      </c>
      <c r="AE22" s="18">
        <f>AE12+INDEX(Data_Prices!AE:AE,MATCH($G22,Data_Prices!$A:$A,0))*AE$37</f>
        <v>0.42507558395597</v>
      </c>
    </row>
    <row r="23" spans="2:31" x14ac:dyDescent="0.45">
      <c r="B23" s="14" t="s">
        <v>64</v>
      </c>
      <c r="C23" s="14" t="str">
        <f t="shared" si="1"/>
        <v>irn</v>
      </c>
      <c r="D23" s="15" t="s">
        <v>65</v>
      </c>
      <c r="E23" s="16" t="s">
        <v>66</v>
      </c>
      <c r="F23" s="14" t="s">
        <v>73</v>
      </c>
      <c r="G23" s="17" t="str">
        <f>Settings!$B$3&amp;".mit.nce."&amp;Settings!$B$4&amp;"."&amp;$B23&amp;".a."&amp;$J$5</f>
        <v>egy.mit.nce.ind.oop.a.1</v>
      </c>
      <c r="H23" s="45" t="str">
        <f>Settings!$B$3&amp;".mit.atp."&amp;$C$5&amp;"."&amp;$B23&amp;".e."&amp;$J$5</f>
        <v>egy.mit.atp.irn.oop.e.1</v>
      </c>
      <c r="K23" s="18">
        <f>K13+INDEX(Data_Prices!K:K,MATCH($G23,Data_Prices!$A:$A,0))*K$37</f>
        <v>41.500338498868402</v>
      </c>
      <c r="L23" s="18">
        <f>L13+INDEX(Data_Prices!L:L,MATCH($G23,Data_Prices!$A:$A,0))*L$37</f>
        <v>34.4153703043132</v>
      </c>
      <c r="M23" s="18">
        <f>M13+INDEX(Data_Prices!M:M,MATCH($G23,Data_Prices!$A:$A,0))*M$37</f>
        <v>37.368960690431997</v>
      </c>
      <c r="N23" s="18">
        <f>N13+INDEX(Data_Prices!N:N,MATCH($G23,Data_Prices!$A:$A,0))*N$37</f>
        <v>28.982761101477301</v>
      </c>
      <c r="O23" s="18">
        <f>O13+INDEX(Data_Prices!O:O,MATCH($G23,Data_Prices!$A:$A,0))*O$37</f>
        <v>15</v>
      </c>
      <c r="P23" s="18">
        <f>P13+INDEX(Data_Prices!P:P,MATCH($G23,Data_Prices!$A:$A,0))*P$37</f>
        <v>24.2586300842555</v>
      </c>
      <c r="Q23" s="18">
        <f>Q13+INDEX(Data_Prices!Q:Q,MATCH($G23,Data_Prices!$A:$A,0))*Q$37</f>
        <v>15</v>
      </c>
      <c r="R23" s="18">
        <f>R13+INDEX(Data_Prices!R:R,MATCH($G23,Data_Prices!$A:$A,0))*R$37</f>
        <v>15</v>
      </c>
      <c r="S23" s="18">
        <f>S13+INDEX(Data_Prices!S:S,MATCH($G23,Data_Prices!$A:$A,0))*S$37</f>
        <v>15</v>
      </c>
      <c r="T23" s="18">
        <f>T13+INDEX(Data_Prices!T:T,MATCH($G23,Data_Prices!$A:$A,0))*T$37</f>
        <v>15</v>
      </c>
      <c r="U23" s="18">
        <f>U13+INDEX(Data_Prices!U:U,MATCH($G23,Data_Prices!$A:$A,0))*U$37</f>
        <v>15</v>
      </c>
      <c r="V23" s="18">
        <f>V13+INDEX(Data_Prices!V:V,MATCH($G23,Data_Prices!$A:$A,0))*V$37</f>
        <v>15</v>
      </c>
      <c r="W23" s="18">
        <f>W13+INDEX(Data_Prices!W:W,MATCH($G23,Data_Prices!$A:$A,0))*W$37</f>
        <v>15</v>
      </c>
      <c r="X23" s="18">
        <f>X13+INDEX(Data_Prices!X:X,MATCH($G23,Data_Prices!$A:$A,0))*X$37</f>
        <v>15</v>
      </c>
      <c r="Y23" s="18">
        <f>Y13+INDEX(Data_Prices!Y:Y,MATCH($G23,Data_Prices!$A:$A,0))*Y$37</f>
        <v>15</v>
      </c>
      <c r="Z23" s="18">
        <f>Z13+INDEX(Data_Prices!Z:Z,MATCH($G23,Data_Prices!$A:$A,0))*Z$37</f>
        <v>15</v>
      </c>
      <c r="AA23" s="18">
        <f>AA13+INDEX(Data_Prices!AA:AA,MATCH($G23,Data_Prices!$A:$A,0))*AA$37</f>
        <v>15</v>
      </c>
      <c r="AB23" s="18">
        <f>AB13+INDEX(Data_Prices!AB:AB,MATCH($G23,Data_Prices!$A:$A,0))*AB$37</f>
        <v>15</v>
      </c>
      <c r="AC23" s="18">
        <f>AC13+INDEX(Data_Prices!AC:AC,MATCH($G23,Data_Prices!$A:$A,0))*AC$37</f>
        <v>15</v>
      </c>
      <c r="AD23" s="18">
        <f>AD13+INDEX(Data_Prices!AD:AD,MATCH($G23,Data_Prices!$A:$A,0))*AD$37</f>
        <v>15</v>
      </c>
      <c r="AE23" s="18">
        <f>AE13+INDEX(Data_Prices!AE:AE,MATCH($G23,Data_Prices!$A:$A,0))*AE$37</f>
        <v>15</v>
      </c>
    </row>
    <row r="24" spans="2:31" x14ac:dyDescent="0.45">
      <c r="B24" s="14" t="s">
        <v>67</v>
      </c>
      <c r="C24" s="14" t="str">
        <f t="shared" si="1"/>
        <v>irn</v>
      </c>
      <c r="D24" s="15" t="s">
        <v>68</v>
      </c>
      <c r="E24" s="16" t="s">
        <v>51</v>
      </c>
      <c r="F24" s="14" t="s">
        <v>73</v>
      </c>
      <c r="G24" s="17" t="str">
        <f>Settings!$B$3&amp;".mit.nce."&amp;Settings!$B$4&amp;"."&amp;$B24&amp;".a."&amp;$J$5</f>
        <v>egy.mit.nce.ind.bio.a.1</v>
      </c>
      <c r="H24" s="45" t="str">
        <f>Settings!$B$3&amp;".mit.atp."&amp;$C$5&amp;"."&amp;$B24&amp;".e."&amp;$J$5</f>
        <v>egy.mit.atp.irn.bio.e.1</v>
      </c>
      <c r="K24" s="18">
        <f>K14+INDEX(Data_Prices!K:K,MATCH($G24,Data_Prices!$A:$A,0))*K$37</f>
        <v>15.3345505293169</v>
      </c>
      <c r="L24" s="18">
        <f>L14+INDEX(Data_Prices!L:L,MATCH($G24,Data_Prices!$A:$A,0))*L$37</f>
        <v>14.199528390634899</v>
      </c>
      <c r="M24" s="18">
        <f>M14+INDEX(Data_Prices!M:M,MATCH($G24,Data_Prices!$A:$A,0))*M$37</f>
        <v>13.8404416133152</v>
      </c>
      <c r="N24" s="18">
        <f>N14+INDEX(Data_Prices!N:N,MATCH($G24,Data_Prices!$A:$A,0))*N$37</f>
        <v>13.5677269404465</v>
      </c>
      <c r="O24" s="18">
        <f>O14+INDEX(Data_Prices!O:O,MATCH($G24,Data_Prices!$A:$A,0))*O$37</f>
        <v>13.5677269404465</v>
      </c>
      <c r="P24" s="18">
        <f>P14+INDEX(Data_Prices!P:P,MATCH($G24,Data_Prices!$A:$A,0))*P$37</f>
        <v>13.5677269404465</v>
      </c>
      <c r="Q24" s="18">
        <f>Q14+INDEX(Data_Prices!Q:Q,MATCH($G24,Data_Prices!$A:$A,0))*Q$37</f>
        <v>13.5677269404465</v>
      </c>
      <c r="R24" s="18">
        <f>R14+INDEX(Data_Prices!R:R,MATCH($G24,Data_Prices!$A:$A,0))*R$37</f>
        <v>13.5677269404465</v>
      </c>
      <c r="S24" s="18">
        <f>S14+INDEX(Data_Prices!S:S,MATCH($G24,Data_Prices!$A:$A,0))*S$37</f>
        <v>13.5677269404465</v>
      </c>
      <c r="T24" s="18">
        <f>T14+INDEX(Data_Prices!T:T,MATCH($G24,Data_Prices!$A:$A,0))*T$37</f>
        <v>13.5677269404465</v>
      </c>
      <c r="U24" s="18">
        <f>U14+INDEX(Data_Prices!U:U,MATCH($G24,Data_Prices!$A:$A,0))*U$37</f>
        <v>13.5677269404465</v>
      </c>
      <c r="V24" s="18">
        <f>V14+INDEX(Data_Prices!V:V,MATCH($G24,Data_Prices!$A:$A,0))*V$37</f>
        <v>13.5677269404465</v>
      </c>
      <c r="W24" s="18">
        <f>W14+INDEX(Data_Prices!W:W,MATCH($G24,Data_Prices!$A:$A,0))*W$37</f>
        <v>13.5677269404465</v>
      </c>
      <c r="X24" s="18">
        <f>X14+INDEX(Data_Prices!X:X,MATCH($G24,Data_Prices!$A:$A,0))*X$37</f>
        <v>13.5677269404465</v>
      </c>
      <c r="Y24" s="18">
        <f>Y14+INDEX(Data_Prices!Y:Y,MATCH($G24,Data_Prices!$A:$A,0))*Y$37</f>
        <v>13.5677269404465</v>
      </c>
      <c r="Z24" s="18">
        <f>Z14+INDEX(Data_Prices!Z:Z,MATCH($G24,Data_Prices!$A:$A,0))*Z$37</f>
        <v>13.5677269404465</v>
      </c>
      <c r="AA24" s="18">
        <f>AA14+INDEX(Data_Prices!AA:AA,MATCH($G24,Data_Prices!$A:$A,0))*AA$37</f>
        <v>13.5677269404465</v>
      </c>
      <c r="AB24" s="18">
        <f>AB14+INDEX(Data_Prices!AB:AB,MATCH($G24,Data_Prices!$A:$A,0))*AB$37</f>
        <v>13.5677269404465</v>
      </c>
      <c r="AC24" s="18">
        <f>AC14+INDEX(Data_Prices!AC:AC,MATCH($G24,Data_Prices!$A:$A,0))*AC$37</f>
        <v>13.5677269404465</v>
      </c>
      <c r="AD24" s="18">
        <f>AD14+INDEX(Data_Prices!AD:AD,MATCH($G24,Data_Prices!$A:$A,0))*AD$37</f>
        <v>13.5677269404465</v>
      </c>
      <c r="AE24" s="18">
        <f>AE14+INDEX(Data_Prices!AE:AE,MATCH($G24,Data_Prices!$A:$A,0))*AE$37</f>
        <v>13.5677269404465</v>
      </c>
    </row>
    <row r="25" spans="2:31" x14ac:dyDescent="0.45">
      <c r="B25" s="14" t="s">
        <v>69</v>
      </c>
      <c r="C25" s="14" t="str">
        <f t="shared" si="1"/>
        <v>irn</v>
      </c>
      <c r="D25" s="15" t="s">
        <v>70</v>
      </c>
      <c r="E25" s="16" t="s">
        <v>71</v>
      </c>
      <c r="F25" s="14" t="s">
        <v>73</v>
      </c>
      <c r="G25" s="17" t="str">
        <f>Settings!$B$3&amp;".mit.nce."&amp;Settings!$B$4&amp;"."&amp;$B25&amp;".a."&amp;$J$5</f>
        <v>egy.mit.nce.ind.ren.a.1</v>
      </c>
      <c r="H25" s="45" t="str">
        <f>Settings!$B$3&amp;".mit.atp."&amp;$C$5&amp;"."&amp;$B25&amp;".e."&amp;$J$5</f>
        <v>egy.mit.atp.irn.ren.e.1</v>
      </c>
      <c r="K25" s="18">
        <f>K15+INDEX(Data_Prices!K:K,MATCH($G25,Data_Prices!$A:$A,0))*K$37</f>
        <v>0</v>
      </c>
      <c r="L25" s="18">
        <f>L15+INDEX(Data_Prices!L:L,MATCH($G25,Data_Prices!$A:$A,0))*L$37</f>
        <v>0.14404498679319799</v>
      </c>
      <c r="M25" s="18">
        <f>M15+INDEX(Data_Prices!M:M,MATCH($G25,Data_Prices!$A:$A,0))*M$37</f>
        <v>0.14102040965700399</v>
      </c>
      <c r="N25" s="18">
        <f>N15+INDEX(Data_Prices!N:N,MATCH($G25,Data_Prices!$A:$A,0))*N$37</f>
        <v>0.13511635959447599</v>
      </c>
      <c r="O25" s="18">
        <f>O15+INDEX(Data_Prices!O:O,MATCH($G25,Data_Prices!$A:$A,0))*O$37</f>
        <v>0.13098825698585601</v>
      </c>
      <c r="P25" s="18">
        <f>P15+INDEX(Data_Prices!P:P,MATCH($G25,Data_Prices!$A:$A,0))*P$37</f>
        <v>0.12790841608631801</v>
      </c>
      <c r="Q25" s="18">
        <f>Q15+INDEX(Data_Prices!Q:Q,MATCH($G25,Data_Prices!$A:$A,0))*Q$37</f>
        <v>0.124814310557813</v>
      </c>
      <c r="R25" s="18">
        <f>R15+INDEX(Data_Prices!R:R,MATCH($G25,Data_Prices!$A:$A,0))*R$37</f>
        <v>0.121460257122878</v>
      </c>
      <c r="S25" s="18">
        <f>S15+INDEX(Data_Prices!S:S,MATCH($G25,Data_Prices!$A:$A,0))*S$37</f>
        <v>0.117950744135786</v>
      </c>
      <c r="T25" s="18">
        <f>T15+INDEX(Data_Prices!T:T,MATCH($G25,Data_Prices!$A:$A,0))*T$37</f>
        <v>0.114199161044597</v>
      </c>
      <c r="U25" s="18">
        <f>U15+INDEX(Data_Prices!U:U,MATCH($G25,Data_Prices!$A:$A,0))*U$37</f>
        <v>0.113665100059665</v>
      </c>
      <c r="V25" s="18">
        <f>V15+INDEX(Data_Prices!V:V,MATCH($G25,Data_Prices!$A:$A,0))*V$37</f>
        <v>0.113016929625957</v>
      </c>
      <c r="W25" s="18">
        <f>W15+INDEX(Data_Prices!W:W,MATCH($G25,Data_Prices!$A:$A,0))*W$37</f>
        <v>0.112314070507636</v>
      </c>
      <c r="X25" s="18">
        <f>X15+INDEX(Data_Prices!X:X,MATCH($G25,Data_Prices!$A:$A,0))*X$37</f>
        <v>0.11142204273284299</v>
      </c>
      <c r="Y25" s="18">
        <f>Y15+INDEX(Data_Prices!Y:Y,MATCH($G25,Data_Prices!$A:$A,0))*Y$37</f>
        <v>0.110434123675809</v>
      </c>
      <c r="Z25" s="18">
        <f>Z15+INDEX(Data_Prices!Z:Z,MATCH($G25,Data_Prices!$A:$A,0))*Z$37</f>
        <v>0.109483973304471</v>
      </c>
      <c r="AA25" s="18">
        <f>AA15+INDEX(Data_Prices!AA:AA,MATCH($G25,Data_Prices!$A:$A,0))*AA$37</f>
        <v>0.10839192105294</v>
      </c>
      <c r="AB25" s="18">
        <f>AB15+INDEX(Data_Prices!AB:AB,MATCH($G25,Data_Prices!$A:$A,0))*AB$37</f>
        <v>0.10735443362670399</v>
      </c>
      <c r="AC25" s="18">
        <f>AC15+INDEX(Data_Prices!AC:AC,MATCH($G25,Data_Prices!$A:$A,0))*AC$37</f>
        <v>0.105168675441661</v>
      </c>
      <c r="AD25" s="18">
        <f>AD15+INDEX(Data_Prices!AD:AD,MATCH($G25,Data_Prices!$A:$A,0))*AD$37</f>
        <v>0.103057983256008</v>
      </c>
      <c r="AE25" s="18">
        <f>AE15+INDEX(Data_Prices!AE:AE,MATCH($G25,Data_Prices!$A:$A,0))*AE$37</f>
        <v>0.100931838990114</v>
      </c>
    </row>
    <row r="26" spans="2:31" x14ac:dyDescent="0.45">
      <c r="B26" s="13" t="s">
        <v>74</v>
      </c>
    </row>
    <row r="27" spans="2:31" x14ac:dyDescent="0.45">
      <c r="B27" s="14" t="s">
        <v>49</v>
      </c>
      <c r="C27" s="14" t="str">
        <f t="shared" ref="C27:C35" si="2">$C$5</f>
        <v>irn</v>
      </c>
      <c r="D27" s="15" t="s">
        <v>50</v>
      </c>
      <c r="E27" s="16" t="s">
        <v>51</v>
      </c>
      <c r="F27" s="14" t="s">
        <v>75</v>
      </c>
      <c r="G27" s="17" t="str">
        <f>Settings!$B$3&amp;".mit.shp."&amp;$B27&amp;"."&amp;Settings!$B$4&amp;"."&amp;$J$5</f>
        <v>egy.mit.shp.coa.ind.1</v>
      </c>
      <c r="H27" s="45" t="str">
        <f>Settings!$B$3&amp;".mit.shp."&amp;$C$5&amp;"."&amp;$B27&amp;".e."&amp;$J$5</f>
        <v>egy.mit.shp.irn.coa.e.1</v>
      </c>
      <c r="K27" s="19">
        <f>K17+INDEX(Data_Prices!K:K,MATCH($G27,Data_Prices!$A:$A,0))*K$38</f>
        <v>11.182901589243899</v>
      </c>
      <c r="L27" s="19">
        <f>L17+INDEX(Data_Prices!L:L,MATCH($G27,Data_Prices!$A:$A,0))*L$38</f>
        <v>10.5233613454312</v>
      </c>
      <c r="M27" s="19">
        <f>M17+INDEX(Data_Prices!M:M,MATCH($G27,Data_Prices!$A:$A,0))*M$38</f>
        <v>10.2995608274442</v>
      </c>
      <c r="N27" s="19">
        <f>N17+INDEX(Data_Prices!N:N,MATCH($G27,Data_Prices!$A:$A,0))*N$38</f>
        <v>9.5775283595382597</v>
      </c>
      <c r="O27" s="19">
        <f>O17+INDEX(Data_Prices!O:O,MATCH($G27,Data_Prices!$A:$A,0))*O$38</f>
        <v>8.4854782869580507</v>
      </c>
      <c r="P27" s="19">
        <f>P17+INDEX(Data_Prices!P:P,MATCH($G27,Data_Prices!$A:$A,0))*P$38</f>
        <v>9.0871922352498604</v>
      </c>
      <c r="Q27" s="19">
        <f>Q17+INDEX(Data_Prices!Q:Q,MATCH($G27,Data_Prices!$A:$A,0))*Q$38</f>
        <v>9.2229237289326793</v>
      </c>
      <c r="R27" s="19">
        <f>R17+INDEX(Data_Prices!R:R,MATCH($G27,Data_Prices!$A:$A,0))*R$38</f>
        <v>9.1585649555096893</v>
      </c>
      <c r="S27" s="19">
        <f>S17+INDEX(Data_Prices!S:S,MATCH($G27,Data_Prices!$A:$A,0))*S$38</f>
        <v>9.0895478773973792</v>
      </c>
      <c r="T27" s="19">
        <f>T17+INDEX(Data_Prices!T:T,MATCH($G27,Data_Prices!$A:$A,0))*T$38</f>
        <v>9.0156816660228305</v>
      </c>
      <c r="U27" s="19">
        <f>U17+INDEX(Data_Prices!U:U,MATCH($G27,Data_Prices!$A:$A,0))*U$38</f>
        <v>8.9443977655571096</v>
      </c>
      <c r="V27" s="19">
        <f>V17+INDEX(Data_Prices!V:V,MATCH($G27,Data_Prices!$A:$A,0))*V$38</f>
        <v>8.9443977655571096</v>
      </c>
      <c r="W27" s="19">
        <f>W17+INDEX(Data_Prices!W:W,MATCH($G27,Data_Prices!$A:$A,0))*W$38</f>
        <v>8.9443977655571096</v>
      </c>
      <c r="X27" s="19">
        <f>X17+INDEX(Data_Prices!X:X,MATCH($G27,Data_Prices!$A:$A,0))*X$38</f>
        <v>8.9443977655571096</v>
      </c>
      <c r="Y27" s="19">
        <f>Y17+INDEX(Data_Prices!Y:Y,MATCH($G27,Data_Prices!$A:$A,0))*Y$38</f>
        <v>8.9443977655571096</v>
      </c>
      <c r="Z27" s="19">
        <f>Z17+INDEX(Data_Prices!Z:Z,MATCH($G27,Data_Prices!$A:$A,0))*Z$38</f>
        <v>8.9443977655571096</v>
      </c>
      <c r="AA27" s="19">
        <f>AA17+INDEX(Data_Prices!AA:AA,MATCH($G27,Data_Prices!$A:$A,0))*AA$38</f>
        <v>8.9443977655571096</v>
      </c>
      <c r="AB27" s="19">
        <f>AB17+INDEX(Data_Prices!AB:AB,MATCH($G27,Data_Prices!$A:$A,0))*AB$38</f>
        <v>8.9443977655571096</v>
      </c>
      <c r="AC27" s="19">
        <f>AC17+INDEX(Data_Prices!AC:AC,MATCH($G27,Data_Prices!$A:$A,0))*AC$38</f>
        <v>8.9443977655571096</v>
      </c>
      <c r="AD27" s="19">
        <f>AD17+INDEX(Data_Prices!AD:AD,MATCH($G27,Data_Prices!$A:$A,0))*AD$38</f>
        <v>8.9443977655571096</v>
      </c>
      <c r="AE27" s="19">
        <f>AE17+INDEX(Data_Prices!AE:AE,MATCH($G27,Data_Prices!$A:$A,0))*AE$38</f>
        <v>8.9443977655571096</v>
      </c>
    </row>
    <row r="28" spans="2:31" x14ac:dyDescent="0.45">
      <c r="B28" s="14" t="s">
        <v>53</v>
      </c>
      <c r="C28" s="14" t="str">
        <f t="shared" si="2"/>
        <v>irn</v>
      </c>
      <c r="D28" s="15" t="s">
        <v>54</v>
      </c>
      <c r="E28" s="16" t="s">
        <v>51</v>
      </c>
      <c r="F28" s="14" t="s">
        <v>75</v>
      </c>
      <c r="G28" s="17" t="str">
        <f>Settings!$B$3&amp;".mit.shp."&amp;$B28&amp;"."&amp;Settings!$B$4&amp;"."&amp;$J$5</f>
        <v>egy.mit.shp.nga.ind.1</v>
      </c>
      <c r="H28" s="45" t="str">
        <f>Settings!$B$3&amp;".mit.shp."&amp;$C$5&amp;"."&amp;$B28&amp;".e."&amp;$J$5</f>
        <v>egy.mit.shp.irn.nga.e.1</v>
      </c>
      <c r="K28" s="19">
        <f>K18+INDEX(Data_Prices!K:K,MATCH($G28,Data_Prices!$A:$A,0))*K$38</f>
        <v>6.0634636156729096</v>
      </c>
      <c r="L28" s="19">
        <f>L18+INDEX(Data_Prices!L:L,MATCH($G28,Data_Prices!$A:$A,0))*L$38</f>
        <v>5.4510150816191896</v>
      </c>
      <c r="M28" s="19">
        <f>M18+INDEX(Data_Prices!M:M,MATCH($G28,Data_Prices!$A:$A,0))*M$38</f>
        <v>5.1193563062624801</v>
      </c>
      <c r="N28" s="19">
        <f>N18+INDEX(Data_Prices!N:N,MATCH($G28,Data_Prices!$A:$A,0))*N$38</f>
        <v>5.08218458640407</v>
      </c>
      <c r="O28" s="19">
        <f>O18+INDEX(Data_Prices!O:O,MATCH($G28,Data_Prices!$A:$A,0))*O$38</f>
        <v>5.08218458640407</v>
      </c>
      <c r="P28" s="19">
        <f>P18+INDEX(Data_Prices!P:P,MATCH($G28,Data_Prices!$A:$A,0))*P$38</f>
        <v>5.08218458640407</v>
      </c>
      <c r="Q28" s="19">
        <f>Q18+INDEX(Data_Prices!Q:Q,MATCH($G28,Data_Prices!$A:$A,0))*Q$38</f>
        <v>5.08218458640407</v>
      </c>
      <c r="R28" s="19">
        <f>R18+INDEX(Data_Prices!R:R,MATCH($G28,Data_Prices!$A:$A,0))*R$38</f>
        <v>5.08218458640407</v>
      </c>
      <c r="S28" s="19">
        <f>S18+INDEX(Data_Prices!S:S,MATCH($G28,Data_Prices!$A:$A,0))*S$38</f>
        <v>5.08218458640407</v>
      </c>
      <c r="T28" s="19">
        <f>T18+INDEX(Data_Prices!T:T,MATCH($G28,Data_Prices!$A:$A,0))*T$38</f>
        <v>5.08218458640407</v>
      </c>
      <c r="U28" s="19">
        <f>U18+INDEX(Data_Prices!U:U,MATCH($G28,Data_Prices!$A:$A,0))*U$38</f>
        <v>5.08218458640407</v>
      </c>
      <c r="V28" s="19">
        <f>V18+INDEX(Data_Prices!V:V,MATCH($G28,Data_Prices!$A:$A,0))*V$38</f>
        <v>5.08218458640407</v>
      </c>
      <c r="W28" s="19">
        <f>W18+INDEX(Data_Prices!W:W,MATCH($G28,Data_Prices!$A:$A,0))*W$38</f>
        <v>5.08218458640407</v>
      </c>
      <c r="X28" s="19">
        <f>X18+INDEX(Data_Prices!X:X,MATCH($G28,Data_Prices!$A:$A,0))*X$38</f>
        <v>5.08218458640407</v>
      </c>
      <c r="Y28" s="19">
        <f>Y18+INDEX(Data_Prices!Y:Y,MATCH($G28,Data_Prices!$A:$A,0))*Y$38</f>
        <v>5.08218458640407</v>
      </c>
      <c r="Z28" s="19">
        <f>Z18+INDEX(Data_Prices!Z:Z,MATCH($G28,Data_Prices!$A:$A,0))*Z$38</f>
        <v>5.08218458640407</v>
      </c>
      <c r="AA28" s="19">
        <f>AA18+INDEX(Data_Prices!AA:AA,MATCH($G28,Data_Prices!$A:$A,0))*AA$38</f>
        <v>5.08218458640407</v>
      </c>
      <c r="AB28" s="19">
        <f>AB18+INDEX(Data_Prices!AB:AB,MATCH($G28,Data_Prices!$A:$A,0))*AB$38</f>
        <v>5.08218458640407</v>
      </c>
      <c r="AC28" s="19">
        <f>AC18+INDEX(Data_Prices!AC:AC,MATCH($G28,Data_Prices!$A:$A,0))*AC$38</f>
        <v>5.08218458640407</v>
      </c>
      <c r="AD28" s="19">
        <f>AD18+INDEX(Data_Prices!AD:AD,MATCH($G28,Data_Prices!$A:$A,0))*AD$38</f>
        <v>5.08218458640407</v>
      </c>
      <c r="AE28" s="19">
        <f>AE18+INDEX(Data_Prices!AE:AE,MATCH($G28,Data_Prices!$A:$A,0))*AE$38</f>
        <v>5.08218458640407</v>
      </c>
    </row>
    <row r="29" spans="2:31" x14ac:dyDescent="0.45">
      <c r="B29" s="14" t="s">
        <v>55</v>
      </c>
      <c r="C29" s="14" t="str">
        <f t="shared" si="2"/>
        <v>irn</v>
      </c>
      <c r="D29" s="15" t="s">
        <v>56</v>
      </c>
      <c r="E29" s="16" t="s">
        <v>57</v>
      </c>
      <c r="F29" s="14" t="s">
        <v>75</v>
      </c>
      <c r="G29" s="17" t="str">
        <f>Settings!$B$3&amp;".mit.shp."&amp;$B29&amp;"."&amp;Settings!$B$4&amp;"."&amp;$J$5</f>
        <v>egy.mit.shp.gso.ind.1</v>
      </c>
      <c r="H29" s="45" t="str">
        <f>Settings!$B$3&amp;".mit.shp."&amp;$C$5&amp;"."&amp;$B29&amp;".e."&amp;$J$5</f>
        <v>egy.mit.shp.irn.gso.e.1</v>
      </c>
      <c r="K29" s="19">
        <f>K19+INDEX(Data_Prices!K:K,MATCH($G29,Data_Prices!$A:$A,0))*K$38</f>
        <v>0.67114653332181595</v>
      </c>
      <c r="L29" s="19">
        <f>L19+INDEX(Data_Prices!L:L,MATCH($G29,Data_Prices!$A:$A,0))*L$38</f>
        <v>0.61197797679140598</v>
      </c>
      <c r="M29" s="19">
        <f>M19+INDEX(Data_Prices!M:M,MATCH($G29,Data_Prices!$A:$A,0))*M$38</f>
        <v>0.61180974964187596</v>
      </c>
      <c r="N29" s="19">
        <f>N19+INDEX(Data_Prices!N:N,MATCH($G29,Data_Prices!$A:$A,0))*N$38</f>
        <v>0.60358310017790595</v>
      </c>
      <c r="O29" s="19">
        <f>O19+INDEX(Data_Prices!O:O,MATCH($G29,Data_Prices!$A:$A,0))*O$38</f>
        <v>0.60358310017790595</v>
      </c>
      <c r="P29" s="19">
        <f>P19+INDEX(Data_Prices!P:P,MATCH($G29,Data_Prices!$A:$A,0))*P$38</f>
        <v>0.60358310017790595</v>
      </c>
      <c r="Q29" s="19">
        <f>Q19+INDEX(Data_Prices!Q:Q,MATCH($G29,Data_Prices!$A:$A,0))*Q$38</f>
        <v>0.60358310017790595</v>
      </c>
      <c r="R29" s="19">
        <f>R19+INDEX(Data_Prices!R:R,MATCH($G29,Data_Prices!$A:$A,0))*R$38</f>
        <v>0.60358310017790595</v>
      </c>
      <c r="S29" s="19">
        <f>S19+INDEX(Data_Prices!S:S,MATCH($G29,Data_Prices!$A:$A,0))*S$38</f>
        <v>0.60358310017790595</v>
      </c>
      <c r="T29" s="19">
        <f>T19+INDEX(Data_Prices!T:T,MATCH($G29,Data_Prices!$A:$A,0))*T$38</f>
        <v>0.60358310017790595</v>
      </c>
      <c r="U29" s="19">
        <f>U19+INDEX(Data_Prices!U:U,MATCH($G29,Data_Prices!$A:$A,0))*U$38</f>
        <v>0.60358310017790595</v>
      </c>
      <c r="V29" s="19">
        <f>V19+INDEX(Data_Prices!V:V,MATCH($G29,Data_Prices!$A:$A,0))*V$38</f>
        <v>0.60358310017790595</v>
      </c>
      <c r="W29" s="19">
        <f>W19+INDEX(Data_Prices!W:W,MATCH($G29,Data_Prices!$A:$A,0))*W$38</f>
        <v>0.60358310017790595</v>
      </c>
      <c r="X29" s="19">
        <f>X19+INDEX(Data_Prices!X:X,MATCH($G29,Data_Prices!$A:$A,0))*X$38</f>
        <v>0.60358310017790595</v>
      </c>
      <c r="Y29" s="19">
        <f>Y19+INDEX(Data_Prices!Y:Y,MATCH($G29,Data_Prices!$A:$A,0))*Y$38</f>
        <v>0.60358310017790595</v>
      </c>
      <c r="Z29" s="19">
        <f>Z19+INDEX(Data_Prices!Z:Z,MATCH($G29,Data_Prices!$A:$A,0))*Z$38</f>
        <v>0.60358310017790595</v>
      </c>
      <c r="AA29" s="19">
        <f>AA19+INDEX(Data_Prices!AA:AA,MATCH($G29,Data_Prices!$A:$A,0))*AA$38</f>
        <v>0.60358310017790595</v>
      </c>
      <c r="AB29" s="19">
        <f>AB19+INDEX(Data_Prices!AB:AB,MATCH($G29,Data_Prices!$A:$A,0))*AB$38</f>
        <v>0.60358310017790595</v>
      </c>
      <c r="AC29" s="19">
        <f>AC19+INDEX(Data_Prices!AC:AC,MATCH($G29,Data_Prices!$A:$A,0))*AC$38</f>
        <v>0.60358310017790595</v>
      </c>
      <c r="AD29" s="19">
        <f>AD19+INDEX(Data_Prices!AD:AD,MATCH($G29,Data_Prices!$A:$A,0))*AD$38</f>
        <v>0.60358310017790595</v>
      </c>
      <c r="AE29" s="19">
        <f>AE19+INDEX(Data_Prices!AE:AE,MATCH($G29,Data_Prices!$A:$A,0))*AE$38</f>
        <v>0.60358310017790595</v>
      </c>
    </row>
    <row r="30" spans="2:31" x14ac:dyDescent="0.45">
      <c r="B30" s="14" t="s">
        <v>58</v>
      </c>
      <c r="C30" s="14" t="str">
        <f t="shared" si="2"/>
        <v>irn</v>
      </c>
      <c r="D30" s="15" t="s">
        <v>59</v>
      </c>
      <c r="E30" s="16" t="s">
        <v>57</v>
      </c>
      <c r="F30" s="14" t="s">
        <v>75</v>
      </c>
      <c r="G30" s="17" t="str">
        <f>Settings!$B$3&amp;".mit.shp."&amp;$B30&amp;"."&amp;Settings!$B$4&amp;"."&amp;$J$5</f>
        <v>egy.mit.shp.die.ind.1</v>
      </c>
      <c r="H30" s="45" t="str">
        <f>Settings!$B$3&amp;".mit.shp."&amp;$C$5&amp;"."&amp;$B30&amp;".e."&amp;$J$5</f>
        <v>egy.mit.shp.irn.die.e.1</v>
      </c>
      <c r="K30" s="19">
        <f>K20+INDEX(Data_Prices!K:K,MATCH($G30,Data_Prices!$A:$A,0))*K$38</f>
        <v>0.55971121315568795</v>
      </c>
      <c r="L30" s="19">
        <f>L20+INDEX(Data_Prices!L:L,MATCH($G30,Data_Prices!$A:$A,0))*L$38</f>
        <v>0.49458873084106802</v>
      </c>
      <c r="M30" s="19">
        <f>M20+INDEX(Data_Prices!M:M,MATCH($G30,Data_Prices!$A:$A,0))*M$38</f>
        <v>0.50778654720250105</v>
      </c>
      <c r="N30" s="19">
        <f>N20+INDEX(Data_Prices!N:N,MATCH($G30,Data_Prices!$A:$A,0))*N$38</f>
        <v>0.47043642679561698</v>
      </c>
      <c r="O30" s="19">
        <f>O20+INDEX(Data_Prices!O:O,MATCH($G30,Data_Prices!$A:$A,0))*O$38</f>
        <v>0.47043642679561698</v>
      </c>
      <c r="P30" s="19">
        <f>P20+INDEX(Data_Prices!P:P,MATCH($G30,Data_Prices!$A:$A,0))*P$38</f>
        <v>0.47043642679561698</v>
      </c>
      <c r="Q30" s="19">
        <f>Q20+INDEX(Data_Prices!Q:Q,MATCH($G30,Data_Prices!$A:$A,0))*Q$38</f>
        <v>0.47043642679561698</v>
      </c>
      <c r="R30" s="19">
        <f>R20+INDEX(Data_Prices!R:R,MATCH($G30,Data_Prices!$A:$A,0))*R$38</f>
        <v>0.47043642679561698</v>
      </c>
      <c r="S30" s="19">
        <f>S20+INDEX(Data_Prices!S:S,MATCH($G30,Data_Prices!$A:$A,0))*S$38</f>
        <v>0.47043642679561698</v>
      </c>
      <c r="T30" s="19">
        <f>T20+INDEX(Data_Prices!T:T,MATCH($G30,Data_Prices!$A:$A,0))*T$38</f>
        <v>0.47043642679561698</v>
      </c>
      <c r="U30" s="19">
        <f>U20+INDEX(Data_Prices!U:U,MATCH($G30,Data_Prices!$A:$A,0))*U$38</f>
        <v>0.47043642679561698</v>
      </c>
      <c r="V30" s="19">
        <f>V20+INDEX(Data_Prices!V:V,MATCH($G30,Data_Prices!$A:$A,0))*V$38</f>
        <v>0.47043642679561698</v>
      </c>
      <c r="W30" s="19">
        <f>W20+INDEX(Data_Prices!W:W,MATCH($G30,Data_Prices!$A:$A,0))*W$38</f>
        <v>0.47043642679561698</v>
      </c>
      <c r="X30" s="19">
        <f>X20+INDEX(Data_Prices!X:X,MATCH($G30,Data_Prices!$A:$A,0))*X$38</f>
        <v>0.47043642679561698</v>
      </c>
      <c r="Y30" s="19">
        <f>Y20+INDEX(Data_Prices!Y:Y,MATCH($G30,Data_Prices!$A:$A,0))*Y$38</f>
        <v>0.47043642679561698</v>
      </c>
      <c r="Z30" s="19">
        <f>Z20+INDEX(Data_Prices!Z:Z,MATCH($G30,Data_Prices!$A:$A,0))*Z$38</f>
        <v>0.47043642679561698</v>
      </c>
      <c r="AA30" s="19">
        <f>AA20+INDEX(Data_Prices!AA:AA,MATCH($G30,Data_Prices!$A:$A,0))*AA$38</f>
        <v>0.47043642679561698</v>
      </c>
      <c r="AB30" s="19">
        <f>AB20+INDEX(Data_Prices!AB:AB,MATCH($G30,Data_Prices!$A:$A,0))*AB$38</f>
        <v>0.47043642679561698</v>
      </c>
      <c r="AC30" s="19">
        <f>AC20+INDEX(Data_Prices!AC:AC,MATCH($G30,Data_Prices!$A:$A,0))*AC$38</f>
        <v>0.47043642679561698</v>
      </c>
      <c r="AD30" s="19">
        <f>AD20+INDEX(Data_Prices!AD:AD,MATCH($G30,Data_Prices!$A:$A,0))*AD$38</f>
        <v>0.47043642679561698</v>
      </c>
      <c r="AE30" s="19">
        <f>AE20+INDEX(Data_Prices!AE:AE,MATCH($G30,Data_Prices!$A:$A,0))*AE$38</f>
        <v>0.47043642679561698</v>
      </c>
    </row>
    <row r="31" spans="2:31" x14ac:dyDescent="0.45">
      <c r="B31" s="14" t="s">
        <v>60</v>
      </c>
      <c r="C31" s="14" t="str">
        <f t="shared" si="2"/>
        <v>irn</v>
      </c>
      <c r="D31" s="15" t="s">
        <v>61</v>
      </c>
      <c r="E31" s="16" t="s">
        <v>57</v>
      </c>
      <c r="F31" s="14" t="s">
        <v>75</v>
      </c>
      <c r="G31" s="17" t="str">
        <f>Settings!$B$3&amp;".mit.shp."&amp;$B31&amp;"."&amp;Settings!$B$4&amp;"."&amp;$J$5</f>
        <v>egy.mit.shp.lpg.ind.1</v>
      </c>
      <c r="H31" s="45" t="str">
        <f>Settings!$B$3&amp;".mit.shp."&amp;$C$5&amp;"."&amp;$B31&amp;".e."&amp;$J$5</f>
        <v>egy.mit.shp.irn.lpg.e.1</v>
      </c>
      <c r="K31" s="19">
        <f>K21+INDEX(Data_Prices!K:K,MATCH($G31,Data_Prices!$A:$A,0))*K$38</f>
        <v>0.20036669112673799</v>
      </c>
      <c r="L31" s="19">
        <f>L21+INDEX(Data_Prices!L:L,MATCH($G31,Data_Prices!$A:$A,0))*L$38</f>
        <v>0.15734473625227399</v>
      </c>
      <c r="M31" s="19">
        <f>M21+INDEX(Data_Prices!M:M,MATCH($G31,Data_Prices!$A:$A,0))*M$38</f>
        <v>0.164484037759277</v>
      </c>
      <c r="N31" s="19">
        <f>N21+INDEX(Data_Prices!N:N,MATCH($G31,Data_Prices!$A:$A,0))*N$38</f>
        <v>0.15070907780704901</v>
      </c>
      <c r="O31" s="19">
        <f>O21+INDEX(Data_Prices!O:O,MATCH($G31,Data_Prices!$A:$A,0))*O$38</f>
        <v>0.15070907780704901</v>
      </c>
      <c r="P31" s="19">
        <f>P21+INDEX(Data_Prices!P:P,MATCH($G31,Data_Prices!$A:$A,0))*P$38</f>
        <v>0.15070907780704901</v>
      </c>
      <c r="Q31" s="19">
        <f>Q21+INDEX(Data_Prices!Q:Q,MATCH($G31,Data_Prices!$A:$A,0))*Q$38</f>
        <v>0.15070907780704901</v>
      </c>
      <c r="R31" s="19">
        <f>R21+INDEX(Data_Prices!R:R,MATCH($G31,Data_Prices!$A:$A,0))*R$38</f>
        <v>0.15070907780704901</v>
      </c>
      <c r="S31" s="19">
        <f>S21+INDEX(Data_Prices!S:S,MATCH($G31,Data_Prices!$A:$A,0))*S$38</f>
        <v>0.15070907780704901</v>
      </c>
      <c r="T31" s="19">
        <f>T21+INDEX(Data_Prices!T:T,MATCH($G31,Data_Prices!$A:$A,0))*T$38</f>
        <v>0.15070907780704901</v>
      </c>
      <c r="U31" s="19">
        <f>U21+INDEX(Data_Prices!U:U,MATCH($G31,Data_Prices!$A:$A,0))*U$38</f>
        <v>0.15070907780704901</v>
      </c>
      <c r="V31" s="19">
        <f>V21+INDEX(Data_Prices!V:V,MATCH($G31,Data_Prices!$A:$A,0))*V$38</f>
        <v>0.15070907780704901</v>
      </c>
      <c r="W31" s="19">
        <f>W21+INDEX(Data_Prices!W:W,MATCH($G31,Data_Prices!$A:$A,0))*W$38</f>
        <v>0.15070907780704901</v>
      </c>
      <c r="X31" s="19">
        <f>X21+INDEX(Data_Prices!X:X,MATCH($G31,Data_Prices!$A:$A,0))*X$38</f>
        <v>0.15070907780704901</v>
      </c>
      <c r="Y31" s="19">
        <f>Y21+INDEX(Data_Prices!Y:Y,MATCH($G31,Data_Prices!$A:$A,0))*Y$38</f>
        <v>0.15070907780704901</v>
      </c>
      <c r="Z31" s="19">
        <f>Z21+INDEX(Data_Prices!Z:Z,MATCH($G31,Data_Prices!$A:$A,0))*Z$38</f>
        <v>0.15070907780704901</v>
      </c>
      <c r="AA31" s="19">
        <f>AA21+INDEX(Data_Prices!AA:AA,MATCH($G31,Data_Prices!$A:$A,0))*AA$38</f>
        <v>0.15070907780704901</v>
      </c>
      <c r="AB31" s="19">
        <f>AB21+INDEX(Data_Prices!AB:AB,MATCH($G31,Data_Prices!$A:$A,0))*AB$38</f>
        <v>0.15070907780704901</v>
      </c>
      <c r="AC31" s="19">
        <f>AC21+INDEX(Data_Prices!AC:AC,MATCH($G31,Data_Prices!$A:$A,0))*AC$38</f>
        <v>0.15070907780704901</v>
      </c>
      <c r="AD31" s="19">
        <f>AD21+INDEX(Data_Prices!AD:AD,MATCH($G31,Data_Prices!$A:$A,0))*AD$38</f>
        <v>0.15070907780704901</v>
      </c>
      <c r="AE31" s="19">
        <f>AE21+INDEX(Data_Prices!AE:AE,MATCH($G31,Data_Prices!$A:$A,0))*AE$38</f>
        <v>0.15070907780704901</v>
      </c>
    </row>
    <row r="32" spans="2:31" x14ac:dyDescent="0.45">
      <c r="B32" s="14" t="s">
        <v>62</v>
      </c>
      <c r="C32" s="14" t="str">
        <f t="shared" si="2"/>
        <v>irn</v>
      </c>
      <c r="D32" s="15" t="s">
        <v>63</v>
      </c>
      <c r="E32" s="16" t="s">
        <v>57</v>
      </c>
      <c r="F32" s="14" t="s">
        <v>75</v>
      </c>
      <c r="G32" s="17" t="str">
        <f>Settings!$B$3&amp;".mit.shp."&amp;$B32&amp;"."&amp;Settings!$B$4&amp;"."&amp;$J$5</f>
        <v>egy.mit.shp.ker.ind.1</v>
      </c>
      <c r="H32" s="45" t="str">
        <f>Settings!$B$3&amp;".mit.shp."&amp;$C$5&amp;"."&amp;$B32&amp;".e."&amp;$J$5</f>
        <v>egy.mit.shp.irn.ker.e.1</v>
      </c>
      <c r="K32" s="19">
        <f>K22+INDEX(Data_Prices!K:K,MATCH($G32,Data_Prices!$A:$A,0))*K$38</f>
        <v>0.48429424097343499</v>
      </c>
      <c r="L32" s="19">
        <f>L22+INDEX(Data_Prices!L:L,MATCH($G32,Data_Prices!$A:$A,0))*L$38</f>
        <v>0.45642817050012802</v>
      </c>
      <c r="M32" s="19">
        <f>M22+INDEX(Data_Prices!M:M,MATCH($G32,Data_Prices!$A:$A,0))*M$38</f>
        <v>0.43168920195599497</v>
      </c>
      <c r="N32" s="19">
        <f>N22+INDEX(Data_Prices!N:N,MATCH($G32,Data_Prices!$A:$A,0))*N$38</f>
        <v>0.42507558395597</v>
      </c>
      <c r="O32" s="19">
        <f>O22+INDEX(Data_Prices!O:O,MATCH($G32,Data_Prices!$A:$A,0))*O$38</f>
        <v>0.42507558395597</v>
      </c>
      <c r="P32" s="19">
        <f>P22+INDEX(Data_Prices!P:P,MATCH($G32,Data_Prices!$A:$A,0))*P$38</f>
        <v>0.42507558395597</v>
      </c>
      <c r="Q32" s="19">
        <f>Q22+INDEX(Data_Prices!Q:Q,MATCH($G32,Data_Prices!$A:$A,0))*Q$38</f>
        <v>0.42507558395597</v>
      </c>
      <c r="R32" s="19">
        <f>R22+INDEX(Data_Prices!R:R,MATCH($G32,Data_Prices!$A:$A,0))*R$38</f>
        <v>0.42507558395597</v>
      </c>
      <c r="S32" s="19">
        <f>S22+INDEX(Data_Prices!S:S,MATCH($G32,Data_Prices!$A:$A,0))*S$38</f>
        <v>0.42507558395597</v>
      </c>
      <c r="T32" s="19">
        <f>T22+INDEX(Data_Prices!T:T,MATCH($G32,Data_Prices!$A:$A,0))*T$38</f>
        <v>0.42507558395597</v>
      </c>
      <c r="U32" s="19">
        <f>U22+INDEX(Data_Prices!U:U,MATCH($G32,Data_Prices!$A:$A,0))*U$38</f>
        <v>0.42507558395597</v>
      </c>
      <c r="V32" s="19">
        <f>V22+INDEX(Data_Prices!V:V,MATCH($G32,Data_Prices!$A:$A,0))*V$38</f>
        <v>0.42507558395597</v>
      </c>
      <c r="W32" s="19">
        <f>W22+INDEX(Data_Prices!W:W,MATCH($G32,Data_Prices!$A:$A,0))*W$38</f>
        <v>0.42507558395597</v>
      </c>
      <c r="X32" s="19">
        <f>X22+INDEX(Data_Prices!X:X,MATCH($G32,Data_Prices!$A:$A,0))*X$38</f>
        <v>0.42507558395597</v>
      </c>
      <c r="Y32" s="19">
        <f>Y22+INDEX(Data_Prices!Y:Y,MATCH($G32,Data_Prices!$A:$A,0))*Y$38</f>
        <v>0.42507558395597</v>
      </c>
      <c r="Z32" s="19">
        <f>Z22+INDEX(Data_Prices!Z:Z,MATCH($G32,Data_Prices!$A:$A,0))*Z$38</f>
        <v>0.42507558395597</v>
      </c>
      <c r="AA32" s="19">
        <f>AA22+INDEX(Data_Prices!AA:AA,MATCH($G32,Data_Prices!$A:$A,0))*AA$38</f>
        <v>0.42507558395597</v>
      </c>
      <c r="AB32" s="19">
        <f>AB22+INDEX(Data_Prices!AB:AB,MATCH($G32,Data_Prices!$A:$A,0))*AB$38</f>
        <v>0.42507558395597</v>
      </c>
      <c r="AC32" s="19">
        <f>AC22+INDEX(Data_Prices!AC:AC,MATCH($G32,Data_Prices!$A:$A,0))*AC$38</f>
        <v>0.42507558395597</v>
      </c>
      <c r="AD32" s="19">
        <f>AD22+INDEX(Data_Prices!AD:AD,MATCH($G32,Data_Prices!$A:$A,0))*AD$38</f>
        <v>0.42507558395597</v>
      </c>
      <c r="AE32" s="19">
        <f>AE22+INDEX(Data_Prices!AE:AE,MATCH($G32,Data_Prices!$A:$A,0))*AE$38</f>
        <v>0.42507558395597</v>
      </c>
    </row>
    <row r="33" spans="2:31" x14ac:dyDescent="0.45">
      <c r="B33" s="14" t="s">
        <v>64</v>
      </c>
      <c r="C33" s="14" t="str">
        <f t="shared" si="2"/>
        <v>irn</v>
      </c>
      <c r="D33" s="15" t="s">
        <v>65</v>
      </c>
      <c r="E33" s="16" t="s">
        <v>66</v>
      </c>
      <c r="F33" s="14" t="s">
        <v>75</v>
      </c>
      <c r="G33" s="17" t="str">
        <f>Settings!$B$3&amp;".mit.shp."&amp;$B33&amp;"."&amp;Settings!$B$4&amp;"."&amp;$J$5</f>
        <v>egy.mit.shp.oop.ind.1</v>
      </c>
      <c r="H33" s="45" t="str">
        <f>Settings!$B$3&amp;".mit.shp."&amp;$C$5&amp;"."&amp;$B33&amp;".e."&amp;$J$5</f>
        <v>egy.mit.shp.irn.oop.e.1</v>
      </c>
      <c r="K33" s="19">
        <f>K23+INDEX(Data_Prices!K:K,MATCH($G33,Data_Prices!$A:$A,0))*K$38</f>
        <v>41.500338498868402</v>
      </c>
      <c r="L33" s="19">
        <f>L23+INDEX(Data_Prices!L:L,MATCH($G33,Data_Prices!$A:$A,0))*L$38</f>
        <v>34.4153703043132</v>
      </c>
      <c r="M33" s="19">
        <f>M23+INDEX(Data_Prices!M:M,MATCH($G33,Data_Prices!$A:$A,0))*M$38</f>
        <v>37.368960690431997</v>
      </c>
      <c r="N33" s="19">
        <f>N23+INDEX(Data_Prices!N:N,MATCH($G33,Data_Prices!$A:$A,0))*N$38</f>
        <v>28.982761101477301</v>
      </c>
      <c r="O33" s="19">
        <f>O23+INDEX(Data_Prices!O:O,MATCH($G33,Data_Prices!$A:$A,0))*O$38</f>
        <v>15</v>
      </c>
      <c r="P33" s="19">
        <f>P23+INDEX(Data_Prices!P:P,MATCH($G33,Data_Prices!$A:$A,0))*P$38</f>
        <v>24.2586300842555</v>
      </c>
      <c r="Q33" s="19">
        <f>Q23+INDEX(Data_Prices!Q:Q,MATCH($G33,Data_Prices!$A:$A,0))*Q$38</f>
        <v>15</v>
      </c>
      <c r="R33" s="19">
        <f>R23+INDEX(Data_Prices!R:R,MATCH($G33,Data_Prices!$A:$A,0))*R$38</f>
        <v>15</v>
      </c>
      <c r="S33" s="19">
        <f>S23+INDEX(Data_Prices!S:S,MATCH($G33,Data_Prices!$A:$A,0))*S$38</f>
        <v>15</v>
      </c>
      <c r="T33" s="19">
        <f>T23+INDEX(Data_Prices!T:T,MATCH($G33,Data_Prices!$A:$A,0))*T$38</f>
        <v>15</v>
      </c>
      <c r="U33" s="19">
        <f>U23+INDEX(Data_Prices!U:U,MATCH($G33,Data_Prices!$A:$A,0))*U$38</f>
        <v>15</v>
      </c>
      <c r="V33" s="19">
        <f>V23+INDEX(Data_Prices!V:V,MATCH($G33,Data_Prices!$A:$A,0))*V$38</f>
        <v>15</v>
      </c>
      <c r="W33" s="19">
        <f>W23+INDEX(Data_Prices!W:W,MATCH($G33,Data_Prices!$A:$A,0))*W$38</f>
        <v>15</v>
      </c>
      <c r="X33" s="19">
        <f>X23+INDEX(Data_Prices!X:X,MATCH($G33,Data_Prices!$A:$A,0))*X$38</f>
        <v>15</v>
      </c>
      <c r="Y33" s="19">
        <f>Y23+INDEX(Data_Prices!Y:Y,MATCH($G33,Data_Prices!$A:$A,0))*Y$38</f>
        <v>15</v>
      </c>
      <c r="Z33" s="19">
        <f>Z23+INDEX(Data_Prices!Z:Z,MATCH($G33,Data_Prices!$A:$A,0))*Z$38</f>
        <v>15</v>
      </c>
      <c r="AA33" s="19">
        <f>AA23+INDEX(Data_Prices!AA:AA,MATCH($G33,Data_Prices!$A:$A,0))*AA$38</f>
        <v>15</v>
      </c>
      <c r="AB33" s="19">
        <f>AB23+INDEX(Data_Prices!AB:AB,MATCH($G33,Data_Prices!$A:$A,0))*AB$38</f>
        <v>15</v>
      </c>
      <c r="AC33" s="19">
        <f>AC23+INDEX(Data_Prices!AC:AC,MATCH($G33,Data_Prices!$A:$A,0))*AC$38</f>
        <v>15</v>
      </c>
      <c r="AD33" s="19">
        <f>AD23+INDEX(Data_Prices!AD:AD,MATCH($G33,Data_Prices!$A:$A,0))*AD$38</f>
        <v>15</v>
      </c>
      <c r="AE33" s="19">
        <f>AE23+INDEX(Data_Prices!AE:AE,MATCH($G33,Data_Prices!$A:$A,0))*AE$38</f>
        <v>15</v>
      </c>
    </row>
    <row r="34" spans="2:31" x14ac:dyDescent="0.45">
      <c r="B34" s="14" t="s">
        <v>67</v>
      </c>
      <c r="C34" s="14" t="str">
        <f t="shared" si="2"/>
        <v>irn</v>
      </c>
      <c r="D34" s="15" t="s">
        <v>68</v>
      </c>
      <c r="E34" s="16" t="s">
        <v>51</v>
      </c>
      <c r="F34" s="14" t="s">
        <v>75</v>
      </c>
      <c r="G34" s="17" t="str">
        <f>Settings!$B$3&amp;".mit.shp."&amp;$B34&amp;"."&amp;Settings!$B$4&amp;"."&amp;$J$5</f>
        <v>egy.mit.shp.bio.ind.1</v>
      </c>
      <c r="H34" s="45" t="str">
        <f>Settings!$B$3&amp;".mit.shp."&amp;$C$5&amp;"."&amp;$B34&amp;".e."&amp;$J$5</f>
        <v>egy.mit.shp.irn.bio.e.1</v>
      </c>
      <c r="K34" s="19">
        <f>K24+INDEX(Data_Prices!K:K,MATCH($G34,Data_Prices!$A:$A,0))*K$38</f>
        <v>15.3345505293169</v>
      </c>
      <c r="L34" s="19">
        <f>L24+INDEX(Data_Prices!L:L,MATCH($G34,Data_Prices!$A:$A,0))*L$38</f>
        <v>14.199528390634899</v>
      </c>
      <c r="M34" s="19">
        <f>M24+INDEX(Data_Prices!M:M,MATCH($G34,Data_Prices!$A:$A,0))*M$38</f>
        <v>13.8404416133152</v>
      </c>
      <c r="N34" s="19">
        <f>N24+INDEX(Data_Prices!N:N,MATCH($G34,Data_Prices!$A:$A,0))*N$38</f>
        <v>13.5677269404465</v>
      </c>
      <c r="O34" s="19">
        <f>O24+INDEX(Data_Prices!O:O,MATCH($G34,Data_Prices!$A:$A,0))*O$38</f>
        <v>13.5677269404465</v>
      </c>
      <c r="P34" s="19">
        <f>P24+INDEX(Data_Prices!P:P,MATCH($G34,Data_Prices!$A:$A,0))*P$38</f>
        <v>13.5677269404465</v>
      </c>
      <c r="Q34" s="19">
        <f>Q24+INDEX(Data_Prices!Q:Q,MATCH($G34,Data_Prices!$A:$A,0))*Q$38</f>
        <v>13.5677269404465</v>
      </c>
      <c r="R34" s="19">
        <f>R24+INDEX(Data_Prices!R:R,MATCH($G34,Data_Prices!$A:$A,0))*R$38</f>
        <v>13.5677269404465</v>
      </c>
      <c r="S34" s="19">
        <f>S24+INDEX(Data_Prices!S:S,MATCH($G34,Data_Prices!$A:$A,0))*S$38</f>
        <v>13.5677269404465</v>
      </c>
      <c r="T34" s="19">
        <f>T24+INDEX(Data_Prices!T:T,MATCH($G34,Data_Prices!$A:$A,0))*T$38</f>
        <v>13.5677269404465</v>
      </c>
      <c r="U34" s="19">
        <f>U24+INDEX(Data_Prices!U:U,MATCH($G34,Data_Prices!$A:$A,0))*U$38</f>
        <v>13.5677269404465</v>
      </c>
      <c r="V34" s="19">
        <f>V24+INDEX(Data_Prices!V:V,MATCH($G34,Data_Prices!$A:$A,0))*V$38</f>
        <v>13.5677269404465</v>
      </c>
      <c r="W34" s="19">
        <f>W24+INDEX(Data_Prices!W:W,MATCH($G34,Data_Prices!$A:$A,0))*W$38</f>
        <v>13.5677269404465</v>
      </c>
      <c r="X34" s="19">
        <f>X24+INDEX(Data_Prices!X:X,MATCH($G34,Data_Prices!$A:$A,0))*X$38</f>
        <v>13.5677269404465</v>
      </c>
      <c r="Y34" s="19">
        <f>Y24+INDEX(Data_Prices!Y:Y,MATCH($G34,Data_Prices!$A:$A,0))*Y$38</f>
        <v>13.5677269404465</v>
      </c>
      <c r="Z34" s="19">
        <f>Z24+INDEX(Data_Prices!Z:Z,MATCH($G34,Data_Prices!$A:$A,0))*Z$38</f>
        <v>13.5677269404465</v>
      </c>
      <c r="AA34" s="19">
        <f>AA24+INDEX(Data_Prices!AA:AA,MATCH($G34,Data_Prices!$A:$A,0))*AA$38</f>
        <v>13.5677269404465</v>
      </c>
      <c r="AB34" s="19">
        <f>AB24+INDEX(Data_Prices!AB:AB,MATCH($G34,Data_Prices!$A:$A,0))*AB$38</f>
        <v>13.5677269404465</v>
      </c>
      <c r="AC34" s="19">
        <f>AC24+INDEX(Data_Prices!AC:AC,MATCH($G34,Data_Prices!$A:$A,0))*AC$38</f>
        <v>13.5677269404465</v>
      </c>
      <c r="AD34" s="19">
        <f>AD24+INDEX(Data_Prices!AD:AD,MATCH($G34,Data_Prices!$A:$A,0))*AD$38</f>
        <v>13.5677269404465</v>
      </c>
      <c r="AE34" s="19">
        <f>AE24+INDEX(Data_Prices!AE:AE,MATCH($G34,Data_Prices!$A:$A,0))*AE$38</f>
        <v>13.5677269404465</v>
      </c>
    </row>
    <row r="35" spans="2:31" x14ac:dyDescent="0.45">
      <c r="B35" s="14" t="s">
        <v>69</v>
      </c>
      <c r="C35" s="14" t="str">
        <f t="shared" si="2"/>
        <v>irn</v>
      </c>
      <c r="D35" s="15" t="s">
        <v>70</v>
      </c>
      <c r="E35" s="16" t="s">
        <v>71</v>
      </c>
      <c r="F35" s="14" t="s">
        <v>75</v>
      </c>
      <c r="G35" s="17" t="str">
        <f>Settings!$B$3&amp;".mit.shp."&amp;$B35&amp;"."&amp;Settings!$B$4&amp;"."&amp;$J$5</f>
        <v>egy.mit.shp.ren.ind.1</v>
      </c>
      <c r="H35" s="45" t="str">
        <f>Settings!$B$3&amp;".mit.shp."&amp;$C$5&amp;"."&amp;$B35&amp;".e."&amp;$J$5</f>
        <v>egy.mit.shp.irn.ren.e.1</v>
      </c>
      <c r="K35" s="19">
        <f>K25+INDEX(Data_Prices!K:K,MATCH($G35,Data_Prices!$A:$A,0))*K$38</f>
        <v>0</v>
      </c>
      <c r="L35" s="19">
        <f>L25+INDEX(Data_Prices!L:L,MATCH($G35,Data_Prices!$A:$A,0))*L$38</f>
        <v>0.14404498679319799</v>
      </c>
      <c r="M35" s="19">
        <f>M25+INDEX(Data_Prices!M:M,MATCH($G35,Data_Prices!$A:$A,0))*M$38</f>
        <v>0.14102040965700399</v>
      </c>
      <c r="N35" s="19">
        <f>N25+INDEX(Data_Prices!N:N,MATCH($G35,Data_Prices!$A:$A,0))*N$38</f>
        <v>0.13511635959447599</v>
      </c>
      <c r="O35" s="19">
        <f>O25+INDEX(Data_Prices!O:O,MATCH($G35,Data_Prices!$A:$A,0))*O$38</f>
        <v>0.13098825698585601</v>
      </c>
      <c r="P35" s="19">
        <f>P25+INDEX(Data_Prices!P:P,MATCH($G35,Data_Prices!$A:$A,0))*P$38</f>
        <v>0.12790841608631801</v>
      </c>
      <c r="Q35" s="19">
        <f>Q25+INDEX(Data_Prices!Q:Q,MATCH($G35,Data_Prices!$A:$A,0))*Q$38</f>
        <v>0.124814310557813</v>
      </c>
      <c r="R35" s="19">
        <f>R25+INDEX(Data_Prices!R:R,MATCH($G35,Data_Prices!$A:$A,0))*R$38</f>
        <v>0.121460257122878</v>
      </c>
      <c r="S35" s="19">
        <f>S25+INDEX(Data_Prices!S:S,MATCH($G35,Data_Prices!$A:$A,0))*S$38</f>
        <v>0.117950744135786</v>
      </c>
      <c r="T35" s="19">
        <f>T25+INDEX(Data_Prices!T:T,MATCH($G35,Data_Prices!$A:$A,0))*T$38</f>
        <v>0.114199161044597</v>
      </c>
      <c r="U35" s="19">
        <f>U25+INDEX(Data_Prices!U:U,MATCH($G35,Data_Prices!$A:$A,0))*U$38</f>
        <v>0.113665100059665</v>
      </c>
      <c r="V35" s="19">
        <f>V25+INDEX(Data_Prices!V:V,MATCH($G35,Data_Prices!$A:$A,0))*V$38</f>
        <v>0.113016929625957</v>
      </c>
      <c r="W35" s="19">
        <f>W25+INDEX(Data_Prices!W:W,MATCH($G35,Data_Prices!$A:$A,0))*W$38</f>
        <v>0.112314070507636</v>
      </c>
      <c r="X35" s="19">
        <f>X25+INDEX(Data_Prices!X:X,MATCH($G35,Data_Prices!$A:$A,0))*X$38</f>
        <v>0.11142204273284299</v>
      </c>
      <c r="Y35" s="19">
        <f>Y25+INDEX(Data_Prices!Y:Y,MATCH($G35,Data_Prices!$A:$A,0))*Y$38</f>
        <v>0.110434123675809</v>
      </c>
      <c r="Z35" s="19">
        <f>Z25+INDEX(Data_Prices!Z:Z,MATCH($G35,Data_Prices!$A:$A,0))*Z$38</f>
        <v>0.109483973304471</v>
      </c>
      <c r="AA35" s="19">
        <f>AA25+INDEX(Data_Prices!AA:AA,MATCH($G35,Data_Prices!$A:$A,0))*AA$38</f>
        <v>0.10839192105294</v>
      </c>
      <c r="AB35" s="19">
        <f>AB25+INDEX(Data_Prices!AB:AB,MATCH($G35,Data_Prices!$A:$A,0))*AB$38</f>
        <v>0.10735443362670399</v>
      </c>
      <c r="AC35" s="19">
        <f>AC25+INDEX(Data_Prices!AC:AC,MATCH($G35,Data_Prices!$A:$A,0))*AC$38</f>
        <v>0.105168675441661</v>
      </c>
      <c r="AD35" s="19">
        <f>AD25+INDEX(Data_Prices!AD:AD,MATCH($G35,Data_Prices!$A:$A,0))*AD$38</f>
        <v>0.103057983256008</v>
      </c>
      <c r="AE35" s="19">
        <f>AE25+INDEX(Data_Prices!AE:AE,MATCH($G35,Data_Prices!$A:$A,0))*AE$38</f>
        <v>0.100931838990114</v>
      </c>
    </row>
    <row r="36" spans="2:31" x14ac:dyDescent="0.45">
      <c r="B36" s="13" t="s">
        <v>76</v>
      </c>
    </row>
    <row r="37" spans="2:31" x14ac:dyDescent="0.45">
      <c r="B37" s="14" t="s">
        <v>77</v>
      </c>
      <c r="C37" s="14" t="str">
        <f>$C$5</f>
        <v>irn</v>
      </c>
      <c r="D37" s="15" t="s">
        <v>78</v>
      </c>
      <c r="E37" s="16" t="s">
        <v>79</v>
      </c>
      <c r="F37" s="14" t="s">
        <v>80</v>
      </c>
      <c r="G37" s="17" t="str">
        <f>Settings!$B$3&amp;".mit.tcf."&amp;$C$5&amp;"."&amp;$J$5</f>
        <v>egy.mit.tcf.irn.1</v>
      </c>
      <c r="K37" s="19">
        <f>INDEX(Data_Prices!K:K,MATCH($G37,Data_Prices!$A:$A,0))</f>
        <v>0</v>
      </c>
      <c r="L37" s="19">
        <f>INDEX(Data_Prices!L:L,MATCH($G37,Data_Prices!$A:$A,0))</f>
        <v>0</v>
      </c>
      <c r="M37" s="19">
        <f>INDEX(Data_Prices!M:M,MATCH($G37,Data_Prices!$A:$A,0))</f>
        <v>0</v>
      </c>
      <c r="N37" s="19">
        <f>INDEX(Data_Prices!N:N,MATCH($G37,Data_Prices!$A:$A,0))</f>
        <v>0</v>
      </c>
      <c r="O37" s="19">
        <f>INDEX(Data_Prices!O:O,MATCH($G37,Data_Prices!$A:$A,0))</f>
        <v>0</v>
      </c>
      <c r="P37" s="19">
        <f>INDEX(Data_Prices!P:P,MATCH($G37,Data_Prices!$A:$A,0))</f>
        <v>0</v>
      </c>
      <c r="Q37" s="19">
        <f>INDEX(Data_Prices!Q:Q,MATCH($G37,Data_Prices!$A:$A,0))</f>
        <v>0</v>
      </c>
      <c r="R37" s="19">
        <f>INDEX(Data_Prices!R:R,MATCH($G37,Data_Prices!$A:$A,0))</f>
        <v>0</v>
      </c>
      <c r="S37" s="19">
        <f>INDEX(Data_Prices!S:S,MATCH($G37,Data_Prices!$A:$A,0))</f>
        <v>0</v>
      </c>
      <c r="T37" s="19">
        <f>INDEX(Data_Prices!T:T,MATCH($G37,Data_Prices!$A:$A,0))</f>
        <v>0</v>
      </c>
      <c r="U37" s="19">
        <f>INDEX(Data_Prices!U:U,MATCH($G37,Data_Prices!$A:$A,0))</f>
        <v>0</v>
      </c>
      <c r="V37" s="19">
        <f>INDEX(Data_Prices!V:V,MATCH($G37,Data_Prices!$A:$A,0))</f>
        <v>0</v>
      </c>
      <c r="W37" s="19">
        <f>INDEX(Data_Prices!W:W,MATCH($G37,Data_Prices!$A:$A,0))</f>
        <v>0</v>
      </c>
      <c r="X37" s="19">
        <f>INDEX(Data_Prices!X:X,MATCH($G37,Data_Prices!$A:$A,0))</f>
        <v>0</v>
      </c>
      <c r="Y37" s="19">
        <f>INDEX(Data_Prices!Y:Y,MATCH($G37,Data_Prices!$A:$A,0))</f>
        <v>0</v>
      </c>
      <c r="Z37" s="19">
        <f>INDEX(Data_Prices!Z:Z,MATCH($G37,Data_Prices!$A:$A,0))</f>
        <v>0</v>
      </c>
      <c r="AA37" s="19">
        <f>INDEX(Data_Prices!AA:AA,MATCH($G37,Data_Prices!$A:$A,0))</f>
        <v>0</v>
      </c>
      <c r="AB37" s="19">
        <f>INDEX(Data_Prices!AB:AB,MATCH($G37,Data_Prices!$A:$A,0))</f>
        <v>0</v>
      </c>
      <c r="AC37" s="19">
        <f>INDEX(Data_Prices!AC:AC,MATCH($G37,Data_Prices!$A:$A,0))</f>
        <v>0</v>
      </c>
      <c r="AD37" s="19">
        <f>INDEX(Data_Prices!AD:AD,MATCH($G37,Data_Prices!$A:$A,0))</f>
        <v>0</v>
      </c>
      <c r="AE37" s="19">
        <f>INDEX(Data_Prices!AE:AE,MATCH($G37,Data_Prices!$A:$A,0))</f>
        <v>0</v>
      </c>
    </row>
    <row r="38" spans="2:31" x14ac:dyDescent="0.45">
      <c r="B38" s="14" t="s">
        <v>77</v>
      </c>
      <c r="C38" s="14" t="str">
        <f>$C$5</f>
        <v>irn</v>
      </c>
      <c r="D38" s="15" t="s">
        <v>81</v>
      </c>
      <c r="E38" s="16" t="s">
        <v>79</v>
      </c>
      <c r="F38" s="14" t="s">
        <v>82</v>
      </c>
      <c r="G38" s="17" t="str">
        <f>Settings!$B$3&amp;".mit.ssc."&amp;$C$5&amp;"."&amp;$J$5</f>
        <v>egy.mit.ssc.irn.1</v>
      </c>
      <c r="K38" s="19">
        <f>INDEX(Data_Prices!K:K,MATCH($G38,Data_Prices!$A:$A,0))</f>
        <v>0</v>
      </c>
      <c r="L38" s="19">
        <f>INDEX(Data_Prices!L:L,MATCH($G38,Data_Prices!$A:$A,0))</f>
        <v>0</v>
      </c>
      <c r="M38" s="19">
        <f>INDEX(Data_Prices!M:M,MATCH($G38,Data_Prices!$A:$A,0))</f>
        <v>0</v>
      </c>
      <c r="N38" s="19">
        <f>INDEX(Data_Prices!N:N,MATCH($G38,Data_Prices!$A:$A,0))</f>
        <v>0</v>
      </c>
      <c r="O38" s="19">
        <f>INDEX(Data_Prices!O:O,MATCH($G38,Data_Prices!$A:$A,0))</f>
        <v>0</v>
      </c>
      <c r="P38" s="19">
        <f>INDEX(Data_Prices!P:P,MATCH($G38,Data_Prices!$A:$A,0))</f>
        <v>0</v>
      </c>
      <c r="Q38" s="19">
        <f>INDEX(Data_Prices!Q:Q,MATCH($G38,Data_Prices!$A:$A,0))</f>
        <v>0</v>
      </c>
      <c r="R38" s="19">
        <f>INDEX(Data_Prices!R:R,MATCH($G38,Data_Prices!$A:$A,0))</f>
        <v>0</v>
      </c>
      <c r="S38" s="19">
        <f>INDEX(Data_Prices!S:S,MATCH($G38,Data_Prices!$A:$A,0))</f>
        <v>0</v>
      </c>
      <c r="T38" s="19">
        <f>INDEX(Data_Prices!T:T,MATCH($G38,Data_Prices!$A:$A,0))</f>
        <v>0</v>
      </c>
      <c r="U38" s="19">
        <f>INDEX(Data_Prices!U:U,MATCH($G38,Data_Prices!$A:$A,0))</f>
        <v>0</v>
      </c>
      <c r="V38" s="19">
        <f>INDEX(Data_Prices!V:V,MATCH($G38,Data_Prices!$A:$A,0))</f>
        <v>0</v>
      </c>
      <c r="W38" s="19">
        <f>INDEX(Data_Prices!W:W,MATCH($G38,Data_Prices!$A:$A,0))</f>
        <v>0</v>
      </c>
      <c r="X38" s="19">
        <f>INDEX(Data_Prices!X:X,MATCH($G38,Data_Prices!$A:$A,0))</f>
        <v>0</v>
      </c>
      <c r="Y38" s="19">
        <f>INDEX(Data_Prices!Y:Y,MATCH($G38,Data_Prices!$A:$A,0))</f>
        <v>0</v>
      </c>
      <c r="Z38" s="19">
        <f>INDEX(Data_Prices!Z:Z,MATCH($G38,Data_Prices!$A:$A,0))</f>
        <v>0</v>
      </c>
      <c r="AA38" s="19">
        <f>INDEX(Data_Prices!AA:AA,MATCH($G38,Data_Prices!$A:$A,0))</f>
        <v>0</v>
      </c>
      <c r="AB38" s="19">
        <f>INDEX(Data_Prices!AB:AB,MATCH($G38,Data_Prices!$A:$A,0))</f>
        <v>0</v>
      </c>
      <c r="AC38" s="19">
        <f>INDEX(Data_Prices!AC:AC,MATCH($G38,Data_Prices!$A:$A,0))</f>
        <v>0</v>
      </c>
      <c r="AD38" s="19">
        <f>INDEX(Data_Prices!AD:AD,MATCH($G38,Data_Prices!$A:$A,0))</f>
        <v>0</v>
      </c>
      <c r="AE38" s="19">
        <f>INDEX(Data_Prices!AE:AE,MATCH($G38,Data_Prices!$A:$A,0))</f>
        <v>0</v>
      </c>
    </row>
    <row r="39" spans="2:31" x14ac:dyDescent="0.45">
      <c r="B39" s="14" t="s">
        <v>77</v>
      </c>
      <c r="C39" s="14" t="str">
        <f>$C$5</f>
        <v>irn</v>
      </c>
      <c r="D39" s="15" t="s">
        <v>83</v>
      </c>
      <c r="E39" s="16" t="s">
        <v>84</v>
      </c>
      <c r="F39" s="14" t="s">
        <v>85</v>
      </c>
      <c r="G39" s="17" t="str">
        <f>Settings!$B$3&amp;".mit.gdp.pos.pct."&amp;$J$5</f>
        <v>egy.mit.gdp.pos.pct.1</v>
      </c>
      <c r="K39" s="20">
        <f>INDEX(Data_Macro!K:K,MATCH($G39,Data_Macro!$A:$A,0))</f>
        <v>0</v>
      </c>
      <c r="L39" s="20">
        <f>INDEX(Data_Macro!L:L,MATCH($G39,Data_Macro!$A:$A,0))</f>
        <v>6.6513450000000002E-2</v>
      </c>
      <c r="M39" s="20">
        <f>INDEX(Data_Macro!M:M,MATCH($G39,Data_Macro!$A:$A,0))</f>
        <v>3.760281E-2</v>
      </c>
      <c r="N39" s="20">
        <f>INDEX(Data_Macro!N:N,MATCH($G39,Data_Macro!$A:$A,0))</f>
        <v>2.3988010000000001E-2</v>
      </c>
      <c r="O39" s="20">
        <f>INDEX(Data_Macro!O:O,MATCH($G39,Data_Macro!$A:$A,0))</f>
        <v>4.3923869999999997E-2</v>
      </c>
      <c r="P39" s="20">
        <f>INDEX(Data_Macro!P:P,MATCH($G39,Data_Macro!$A:$A,0))</f>
        <v>4.239706E-2</v>
      </c>
      <c r="Q39" s="20">
        <f>INDEX(Data_Macro!Q:Q,MATCH($G39,Data_Macro!$A:$A,0))</f>
        <v>4.8292179999999997E-2</v>
      </c>
      <c r="R39" s="20">
        <f>INDEX(Data_Macro!R:R,MATCH($G39,Data_Macro!$A:$A,0))</f>
        <v>5.5353159999999998E-2</v>
      </c>
      <c r="S39" s="20">
        <f>INDEX(Data_Macro!S:S,MATCH($G39,Data_Macro!$A:$A,0))</f>
        <v>5.2266060000000003E-2</v>
      </c>
      <c r="T39" s="20">
        <f>INDEX(Data_Macro!T:T,MATCH($G39,Data_Macro!$A:$A,0))</f>
        <v>4.841877E-2</v>
      </c>
      <c r="U39" s="20">
        <f>INDEX(Data_Macro!U:U,MATCH($G39,Data_Macro!$A:$A,0))</f>
        <v>4.7887359999999997E-2</v>
      </c>
      <c r="V39" s="20">
        <f>INDEX(Data_Macro!V:V,MATCH($G39,Data_Macro!$A:$A,0))</f>
        <v>4.7355950000000001E-2</v>
      </c>
      <c r="W39" s="20">
        <f>INDEX(Data_Macro!W:W,MATCH($G39,Data_Macro!$A:$A,0))</f>
        <v>4.6824539999999998E-2</v>
      </c>
      <c r="X39" s="20">
        <f>INDEX(Data_Macro!X:X,MATCH($G39,Data_Macro!$A:$A,0))</f>
        <v>4.6293130000000002E-2</v>
      </c>
      <c r="Y39" s="20">
        <f>INDEX(Data_Macro!Y:Y,MATCH($G39,Data_Macro!$A:$A,0))</f>
        <v>4.5761719999999999E-2</v>
      </c>
      <c r="Z39" s="20">
        <f>INDEX(Data_Macro!Z:Z,MATCH($G39,Data_Macro!$A:$A,0))</f>
        <v>4.5230310000000003E-2</v>
      </c>
      <c r="AA39" s="20">
        <f>INDEX(Data_Macro!AA:AA,MATCH($G39,Data_Macro!$A:$A,0))</f>
        <v>4.46989E-2</v>
      </c>
      <c r="AB39" s="20">
        <f>INDEX(Data_Macro!AB:AB,MATCH($G39,Data_Macro!$A:$A,0))</f>
        <v>4.4167489999999997E-2</v>
      </c>
      <c r="AC39" s="20">
        <f>INDEX(Data_Macro!AC:AC,MATCH($G39,Data_Macro!$A:$A,0))</f>
        <v>4.3636080000000001E-2</v>
      </c>
      <c r="AD39" s="20">
        <f>INDEX(Data_Macro!AD:AD,MATCH($G39,Data_Macro!$A:$A,0))</f>
        <v>4.3104669999999998E-2</v>
      </c>
      <c r="AE39" s="20">
        <f>INDEX(Data_Macro!AE:AE,MATCH($G39,Data_Macro!$A:$A,0))</f>
        <v>4.2573260000000002E-2</v>
      </c>
    </row>
    <row r="40" spans="2:31" x14ac:dyDescent="0.45">
      <c r="B40" s="14" t="s">
        <v>77</v>
      </c>
      <c r="C40" s="14" t="str">
        <f>$C$5</f>
        <v>irn</v>
      </c>
      <c r="D40" s="15" t="s">
        <v>86</v>
      </c>
      <c r="E40" s="16" t="s">
        <v>87</v>
      </c>
      <c r="F40" s="14" t="s">
        <v>88</v>
      </c>
      <c r="G40" s="17" t="str">
        <f>Settings!$B$3&amp;".mit.inc.ela.adj."&amp;$J$5</f>
        <v>egy.mit.inc.ela.adj.1</v>
      </c>
      <c r="K40" s="19">
        <f>INDEX(Data_Macro!K:K,MATCH($G40,Data_Macro!$A:$A,0))</f>
        <v>0</v>
      </c>
      <c r="L40" s="19">
        <f>INDEX(Data_Macro!L:L,MATCH($G40,Data_Macro!$A:$A,0))</f>
        <v>1.02715172471961</v>
      </c>
      <c r="M40" s="19">
        <f>INDEX(Data_Macro!M:M,MATCH($G40,Data_Macro!$A:$A,0))</f>
        <v>1.02715172471961</v>
      </c>
      <c r="N40" s="19">
        <f>INDEX(Data_Macro!N:N,MATCH($G40,Data_Macro!$A:$A,0))</f>
        <v>1.0205698358851201</v>
      </c>
      <c r="O40" s="19">
        <f>INDEX(Data_Macro!O:O,MATCH($G40,Data_Macro!$A:$A,0))</f>
        <v>1.01733442885234</v>
      </c>
      <c r="P40" s="19">
        <f>INDEX(Data_Macro!P:P,MATCH($G40,Data_Macro!$A:$A,0))</f>
        <v>1.00766833225382</v>
      </c>
      <c r="Q40" s="19">
        <f>INDEX(Data_Macro!Q:Q,MATCH($G40,Data_Macro!$A:$A,0))</f>
        <v>1.0007442871755301</v>
      </c>
      <c r="R40" s="19">
        <f>INDEX(Data_Macro!R:R,MATCH($G40,Data_Macro!$A:$A,0))</f>
        <v>0.99188648901185805</v>
      </c>
      <c r="S40" s="19">
        <f>INDEX(Data_Macro!S:S,MATCH($G40,Data_Macro!$A:$A,0))</f>
        <v>0.98065540330043</v>
      </c>
      <c r="T40" s="19">
        <f>INDEX(Data_Macro!T:T,MATCH($G40,Data_Macro!$A:$A,0))</f>
        <v>0.97020940399244304</v>
      </c>
      <c r="U40" s="19">
        <f>INDEX(Data_Macro!U:U,MATCH($G40,Data_Macro!$A:$A,0))</f>
        <v>0.96419265907710505</v>
      </c>
      <c r="V40" s="19">
        <f>INDEX(Data_Macro!V:V,MATCH($G40,Data_Macro!$A:$A,0))</f>
        <v>0.961612871227152</v>
      </c>
      <c r="W40" s="19">
        <f>INDEX(Data_Macro!W:W,MATCH($G40,Data_Macro!$A:$A,0))</f>
        <v>0.95919844785404995</v>
      </c>
      <c r="X40" s="19">
        <f>INDEX(Data_Macro!X:X,MATCH($G40,Data_Macro!$A:$A,0))</f>
        <v>0.95695125444519602</v>
      </c>
      <c r="Y40" s="19">
        <f>INDEX(Data_Macro!Y:Y,MATCH($G40,Data_Macro!$A:$A,0))</f>
        <v>0.95487297859577702</v>
      </c>
      <c r="Z40" s="19">
        <f>INDEX(Data_Macro!Z:Z,MATCH($G40,Data_Macro!$A:$A,0))</f>
        <v>0.95296514086144901</v>
      </c>
      <c r="AA40" s="19">
        <f>INDEX(Data_Macro!AA:AA,MATCH($G40,Data_Macro!$A:$A,0))</f>
        <v>0.95122910490338497</v>
      </c>
      <c r="AB40" s="19">
        <f>INDEX(Data_Macro!AB:AB,MATCH($G40,Data_Macro!$A:$A,0))</f>
        <v>0.94966608689229304</v>
      </c>
      <c r="AC40" s="19">
        <f>INDEX(Data_Macro!AC:AC,MATCH($G40,Data_Macro!$A:$A,0))</f>
        <v>0.94827716413797603</v>
      </c>
      <c r="AD40" s="19">
        <f>INDEX(Data_Macro!AD:AD,MATCH($G40,Data_Macro!$A:$A,0))</f>
        <v>0.94706328291559205</v>
      </c>
      <c r="AE40" s="19">
        <f>INDEX(Data_Macro!AE:AE,MATCH($G40,Data_Macro!$A:$A,0))</f>
        <v>0.94602526545851295</v>
      </c>
    </row>
    <row r="41" spans="2:31" x14ac:dyDescent="0.45">
      <c r="B41" s="14" t="s">
        <v>77</v>
      </c>
      <c r="C41" s="14" t="str">
        <f>$C$5</f>
        <v>irn</v>
      </c>
      <c r="D41" s="15" t="s">
        <v>89</v>
      </c>
      <c r="E41" s="16" t="s">
        <v>87</v>
      </c>
      <c r="F41" s="14" t="s">
        <v>90</v>
      </c>
      <c r="G41" s="17" t="str">
        <f>Settings!$B$3&amp;".mit.shock."&amp;$J$5</f>
        <v>egy.mit.shock.1</v>
      </c>
      <c r="K41" s="19">
        <f>INDEX(Data_Macro!K:K,MATCH($G41,Data_Macro!$A:$A,0))</f>
        <v>0</v>
      </c>
      <c r="L41" s="19">
        <f>INDEX(Data_Macro!L:L,MATCH($G41,Data_Macro!$A:$A,0))</f>
        <v>0</v>
      </c>
      <c r="M41" s="19">
        <f>INDEX(Data_Macro!M:M,MATCH($G41,Data_Macro!$A:$A,0))</f>
        <v>-0.20813308302044201</v>
      </c>
      <c r="N41" s="19">
        <f>INDEX(Data_Macro!N:N,MATCH($G41,Data_Macro!$A:$A,0))</f>
        <v>9.2371428571428604E-2</v>
      </c>
      <c r="O41" s="19">
        <f>INDEX(Data_Macro!O:O,MATCH($G41,Data_Macro!$A:$A,0))</f>
        <v>0</v>
      </c>
      <c r="P41" s="19">
        <f>INDEX(Data_Macro!P:P,MATCH($G41,Data_Macro!$A:$A,0))</f>
        <v>0</v>
      </c>
      <c r="Q41" s="19">
        <f>INDEX(Data_Macro!Q:Q,MATCH($G41,Data_Macro!$A:$A,0))</f>
        <v>0</v>
      </c>
      <c r="R41" s="19">
        <f>INDEX(Data_Macro!R:R,MATCH($G41,Data_Macro!$A:$A,0))</f>
        <v>0</v>
      </c>
      <c r="S41" s="19">
        <f>INDEX(Data_Macro!S:S,MATCH($G41,Data_Macro!$A:$A,0))</f>
        <v>0</v>
      </c>
      <c r="T41" s="19">
        <f>INDEX(Data_Macro!T:T,MATCH($G41,Data_Macro!$A:$A,0))</f>
        <v>0</v>
      </c>
      <c r="U41" s="19">
        <f>INDEX(Data_Macro!U:U,MATCH($G41,Data_Macro!$A:$A,0))</f>
        <v>0</v>
      </c>
      <c r="V41" s="19">
        <f>INDEX(Data_Macro!V:V,MATCH($G41,Data_Macro!$A:$A,0))</f>
        <v>0</v>
      </c>
      <c r="W41" s="19">
        <f>INDEX(Data_Macro!W:W,MATCH($G41,Data_Macro!$A:$A,0))</f>
        <v>0</v>
      </c>
      <c r="X41" s="19">
        <f>INDEX(Data_Macro!X:X,MATCH($G41,Data_Macro!$A:$A,0))</f>
        <v>0</v>
      </c>
      <c r="Y41" s="19">
        <f>INDEX(Data_Macro!Y:Y,MATCH($G41,Data_Macro!$A:$A,0))</f>
        <v>0</v>
      </c>
      <c r="Z41" s="19">
        <f>INDEX(Data_Macro!Z:Z,MATCH($G41,Data_Macro!$A:$A,0))</f>
        <v>0</v>
      </c>
      <c r="AA41" s="19">
        <f>INDEX(Data_Macro!AA:AA,MATCH($G41,Data_Macro!$A:$A,0))</f>
        <v>0</v>
      </c>
      <c r="AB41" s="19">
        <f>INDEX(Data_Macro!AB:AB,MATCH($G41,Data_Macro!$A:$A,0))</f>
        <v>0</v>
      </c>
      <c r="AC41" s="19">
        <f>INDEX(Data_Macro!AC:AC,MATCH($G41,Data_Macro!$A:$A,0))</f>
        <v>0</v>
      </c>
      <c r="AD41" s="19">
        <f>INDEX(Data_Macro!AD:AD,MATCH($G41,Data_Macro!$A:$A,0))</f>
        <v>0</v>
      </c>
      <c r="AE41" s="19">
        <f>INDEX(Data_Macro!AE:AE,MATCH($G41,Data_Macro!$A:$A,0))</f>
        <v>0</v>
      </c>
    </row>
    <row r="42" spans="2:31" x14ac:dyDescent="0.45">
      <c r="B42" s="13" t="s">
        <v>91</v>
      </c>
    </row>
    <row r="43" spans="2:31" x14ac:dyDescent="0.45">
      <c r="B43" s="7" t="s">
        <v>32</v>
      </c>
      <c r="C43" s="7" t="s">
        <v>33</v>
      </c>
      <c r="D43" s="21" t="s">
        <v>34</v>
      </c>
      <c r="E43" s="7" t="s">
        <v>92</v>
      </c>
      <c r="F43" s="7" t="s">
        <v>93</v>
      </c>
      <c r="G43" s="7" t="s">
        <v>94</v>
      </c>
      <c r="H43" s="7" t="s">
        <v>95</v>
      </c>
      <c r="I43" s="7" t="s">
        <v>96</v>
      </c>
      <c r="J43" s="7" t="s">
        <v>97</v>
      </c>
    </row>
    <row r="44" spans="2:31" x14ac:dyDescent="0.45">
      <c r="B44" s="14" t="s">
        <v>49</v>
      </c>
      <c r="C44" s="14" t="str">
        <f t="shared" ref="C44:C52" si="3">$C$5</f>
        <v>irn</v>
      </c>
      <c r="D44" s="22" t="s">
        <v>98</v>
      </c>
      <c r="E44" s="23">
        <f>INDEX(Data_Elast!$D:$G,MATCH("el_inc_"&amp;INDEX(Data_Elast!$J:$J,MATCH($B44,Data_Elast!$I:$I,0)),Data_Elast!$A:$A,0),MATCH(Settings!$B$5,Data_Elast!$D$1:$G$1,0))</f>
        <v>0.5</v>
      </c>
      <c r="F44" s="23">
        <f>INDEX(Data_Elast!$D:$G,MATCH("el_dem_"&amp;INDEX(Data_Elast!$J:$J,MATCH($B44,Data_Elast!$I:$I,0)),Data_Elast!$A:$A,0),MATCH(Settings!$B$5,Data_Elast!$D$1:$G$1,0))</f>
        <v>-0.3</v>
      </c>
      <c r="G44" s="23">
        <f>INDEX(Data_Elast!$D:$G,MATCH("el_eff_"&amp;INDEX(Data_Elast!$J:$J,MATCH($B44,Data_Elast!$I:$I,0)),Data_Elast!$A:$A,0),MATCH(Settings!$B$5,Data_Elast!$D$1:$G$1,0))</f>
        <v>-0.4</v>
      </c>
      <c r="H44" s="23">
        <f>INDEX(Data_Elast!$D:$G,MATCH("eff_imp_"&amp;INDEX(Data_Elast!$K:$K,MATCH($B44,Data_Elast!$I:$I,0)),Data_Elast!$A:$A,0),MATCH(Settings!$B$5,Data_Elast!$D$1:$G$1,0))</f>
        <v>5.0000000000000001E-3</v>
      </c>
      <c r="I44" s="23">
        <f>Settings!$B$7</f>
        <v>0</v>
      </c>
      <c r="J44" s="16" t="str">
        <f>INDEX(Data_Elast!$J:$J,MATCH($B44,Data_Elast!$I:$I,0))</f>
        <v>coa</v>
      </c>
    </row>
    <row r="45" spans="2:31" x14ac:dyDescent="0.45">
      <c r="B45" s="14" t="s">
        <v>53</v>
      </c>
      <c r="C45" s="14" t="str">
        <f t="shared" si="3"/>
        <v>irn</v>
      </c>
      <c r="D45" s="22" t="s">
        <v>99</v>
      </c>
      <c r="E45" s="23">
        <f>INDEX(Data_Elast!$D:$G,MATCH("el_inc_"&amp;INDEX(Data_Elast!$J:$J,MATCH($B45,Data_Elast!$I:$I,0)),Data_Elast!$A:$A,0),MATCH(Settings!$B$5,Data_Elast!$D$1:$G$1,0))</f>
        <v>1</v>
      </c>
      <c r="F45" s="23">
        <f>INDEX(Data_Elast!$D:$G,MATCH("el_dem_"&amp;INDEX(Data_Elast!$J:$J,MATCH($B45,Data_Elast!$I:$I,0)),Data_Elast!$A:$A,0),MATCH(Settings!$B$5,Data_Elast!$D$1:$G$1,0))</f>
        <v>-0.5</v>
      </c>
      <c r="G45" s="23">
        <f>INDEX(Data_Elast!$D:$G,MATCH("el_eff_"&amp;INDEX(Data_Elast!$J:$J,MATCH($B45,Data_Elast!$I:$I,0)),Data_Elast!$A:$A,0),MATCH(Settings!$B$5,Data_Elast!$D$1:$G$1,0))</f>
        <v>-0.5</v>
      </c>
      <c r="H45" s="23">
        <f>INDEX(Data_Elast!$D:$G,MATCH("eff_imp_"&amp;INDEX(Data_Elast!$K:$K,MATCH($B45,Data_Elast!$I:$I,0)),Data_Elast!$A:$A,0),MATCH(Settings!$B$5,Data_Elast!$D$1:$G$1,0))</f>
        <v>0.01</v>
      </c>
      <c r="I45" s="23">
        <f>Settings!$B$7</f>
        <v>0</v>
      </c>
      <c r="J45" s="16" t="str">
        <f>INDEX(Data_Elast!$J:$J,MATCH($B45,Data_Elast!$I:$I,0))</f>
        <v>nga</v>
      </c>
    </row>
    <row r="46" spans="2:31" x14ac:dyDescent="0.45">
      <c r="B46" s="14" t="s">
        <v>55</v>
      </c>
      <c r="C46" s="14" t="str">
        <f t="shared" si="3"/>
        <v>irn</v>
      </c>
      <c r="D46" s="22" t="s">
        <v>100</v>
      </c>
      <c r="E46" s="23">
        <f>INDEX(Data_Elast!$D:$G,MATCH("el_inc_"&amp;INDEX(Data_Elast!$J:$J,MATCH($B46,Data_Elast!$I:$I,0)),Data_Elast!$A:$A,0),MATCH(Settings!$B$5,Data_Elast!$D$1:$G$1,0))</f>
        <v>0.5</v>
      </c>
      <c r="F46" s="23">
        <f>INDEX(Data_Elast!$D:$G,MATCH("el_dem_"&amp;INDEX(Data_Elast!$J:$J,MATCH($B46,Data_Elast!$I:$I,0)),Data_Elast!$A:$A,0),MATCH(Settings!$B$5,Data_Elast!$D$1:$G$1,0))</f>
        <v>-0.4</v>
      </c>
      <c r="G46" s="23">
        <f>INDEX(Data_Elast!$D:$G,MATCH("el_eff_"&amp;INDEX(Data_Elast!$J:$J,MATCH($B46,Data_Elast!$I:$I,0)),Data_Elast!$A:$A,0),MATCH(Settings!$B$5,Data_Elast!$D$1:$G$1,0))</f>
        <v>-0.7</v>
      </c>
      <c r="H46" s="23">
        <f>INDEX(Data_Elast!$D:$G,MATCH("eff_imp_"&amp;INDEX(Data_Elast!$K:$K,MATCH($B46,Data_Elast!$I:$I,0)),Data_Elast!$A:$A,0),MATCH(Settings!$B$5,Data_Elast!$D$1:$G$1,0))</f>
        <v>5.0000000000000001E-3</v>
      </c>
      <c r="I46" s="23">
        <f>Settings!$B$7</f>
        <v>0</v>
      </c>
      <c r="J46" s="16" t="str">
        <f>INDEX(Data_Elast!$J:$J,MATCH($B46,Data_Elast!$I:$I,0))</f>
        <v>gso</v>
      </c>
    </row>
    <row r="47" spans="2:31" x14ac:dyDescent="0.45">
      <c r="B47" s="14" t="s">
        <v>58</v>
      </c>
      <c r="C47" s="14" t="str">
        <f t="shared" si="3"/>
        <v>irn</v>
      </c>
      <c r="D47" s="22" t="s">
        <v>101</v>
      </c>
      <c r="E47" s="23">
        <f>INDEX(Data_Elast!$D:$G,MATCH("el_inc_"&amp;INDEX(Data_Elast!$J:$J,MATCH($B47,Data_Elast!$I:$I,0)),Data_Elast!$A:$A,0),MATCH(Settings!$B$5,Data_Elast!$D$1:$G$1,0))</f>
        <v>0.5</v>
      </c>
      <c r="F47" s="23">
        <f>INDEX(Data_Elast!$D:$G,MATCH("el_dem_"&amp;INDEX(Data_Elast!$J:$J,MATCH($B47,Data_Elast!$I:$I,0)),Data_Elast!$A:$A,0),MATCH(Settings!$B$5,Data_Elast!$D$1:$G$1,0))</f>
        <v>-0.7</v>
      </c>
      <c r="G47" s="23">
        <f>INDEX(Data_Elast!$D:$G,MATCH("el_eff_"&amp;INDEX(Data_Elast!$J:$J,MATCH($B47,Data_Elast!$I:$I,0)),Data_Elast!$A:$A,0),MATCH(Settings!$B$5,Data_Elast!$D$1:$G$1,0))</f>
        <v>-1.2</v>
      </c>
      <c r="H47" s="23">
        <f>INDEX(Data_Elast!$D:$G,MATCH("eff_imp_"&amp;INDEX(Data_Elast!$K:$K,MATCH($B47,Data_Elast!$I:$I,0)),Data_Elast!$A:$A,0),MATCH(Settings!$B$5,Data_Elast!$D$1:$G$1,0))</f>
        <v>5.0000000000000001E-3</v>
      </c>
      <c r="I47" s="23">
        <f>Settings!$B$7</f>
        <v>0</v>
      </c>
      <c r="J47" s="16" t="str">
        <f>INDEX(Data_Elast!$J:$J,MATCH($B47,Data_Elast!$I:$I,0))</f>
        <v>die</v>
      </c>
    </row>
    <row r="48" spans="2:31" x14ac:dyDescent="0.45">
      <c r="B48" s="14" t="s">
        <v>60</v>
      </c>
      <c r="C48" s="14" t="str">
        <f t="shared" si="3"/>
        <v>irn</v>
      </c>
      <c r="D48" s="22" t="s">
        <v>102</v>
      </c>
      <c r="E48" s="23">
        <f>INDEX(Data_Elast!$D:$G,MATCH("el_inc_"&amp;INDEX(Data_Elast!$J:$J,MATCH($B48,Data_Elast!$I:$I,0)),Data_Elast!$A:$A,0),MATCH(Settings!$B$5,Data_Elast!$D$1:$G$1,0))</f>
        <v>0.8</v>
      </c>
      <c r="F48" s="23">
        <f>INDEX(Data_Elast!$D:$G,MATCH("el_dem_"&amp;INDEX(Data_Elast!$J:$J,MATCH($B48,Data_Elast!$I:$I,0)),Data_Elast!$A:$A,0),MATCH(Settings!$B$5,Data_Elast!$D$1:$G$1,0))</f>
        <v>-0.4</v>
      </c>
      <c r="G48" s="23">
        <f>INDEX(Data_Elast!$D:$G,MATCH("el_eff_"&amp;INDEX(Data_Elast!$J:$J,MATCH($B48,Data_Elast!$I:$I,0)),Data_Elast!$A:$A,0),MATCH(Settings!$B$5,Data_Elast!$D$1:$G$1,0))</f>
        <v>-0.4</v>
      </c>
      <c r="H48" s="23">
        <f>INDEX(Data_Elast!$D:$G,MATCH("eff_imp_"&amp;INDEX(Data_Elast!$K:$K,MATCH($B48,Data_Elast!$I:$I,0)),Data_Elast!$A:$A,0),MATCH(Settings!$B$5,Data_Elast!$D$1:$G$1,0))</f>
        <v>5.0000000000000001E-3</v>
      </c>
      <c r="I48" s="23">
        <f>Settings!$B$7</f>
        <v>0</v>
      </c>
      <c r="J48" s="16" t="str">
        <f>INDEX(Data_Elast!$J:$J,MATCH($B48,Data_Elast!$I:$I,0))</f>
        <v>oil</v>
      </c>
    </row>
    <row r="49" spans="2:31" x14ac:dyDescent="0.45">
      <c r="B49" s="14" t="s">
        <v>62</v>
      </c>
      <c r="C49" s="14" t="str">
        <f t="shared" si="3"/>
        <v>irn</v>
      </c>
      <c r="D49" s="22" t="s">
        <v>103</v>
      </c>
      <c r="E49" s="23">
        <f>INDEX(Data_Elast!$D:$G,MATCH("el_inc_"&amp;INDEX(Data_Elast!$J:$J,MATCH($B49,Data_Elast!$I:$I,0)),Data_Elast!$A:$A,0),MATCH(Settings!$B$5,Data_Elast!$D$1:$G$1,0))</f>
        <v>0.8</v>
      </c>
      <c r="F49" s="23">
        <f>INDEX(Data_Elast!$D:$G,MATCH("el_dem_"&amp;INDEX(Data_Elast!$J:$J,MATCH($B49,Data_Elast!$I:$I,0)),Data_Elast!$A:$A,0),MATCH(Settings!$B$5,Data_Elast!$D$1:$G$1,0))</f>
        <v>-0.4</v>
      </c>
      <c r="G49" s="23">
        <f>INDEX(Data_Elast!$D:$G,MATCH("el_eff_"&amp;INDEX(Data_Elast!$J:$J,MATCH($B49,Data_Elast!$I:$I,0)),Data_Elast!$A:$A,0),MATCH(Settings!$B$5,Data_Elast!$D$1:$G$1,0))</f>
        <v>-0.4</v>
      </c>
      <c r="H49" s="23">
        <f>INDEX(Data_Elast!$D:$G,MATCH("eff_imp_"&amp;INDEX(Data_Elast!$K:$K,MATCH($B49,Data_Elast!$I:$I,0)),Data_Elast!$A:$A,0),MATCH(Settings!$B$5,Data_Elast!$D$1:$G$1,0))</f>
        <v>5.0000000000000001E-3</v>
      </c>
      <c r="I49" s="23">
        <f>Settings!$B$7</f>
        <v>0</v>
      </c>
      <c r="J49" s="16" t="str">
        <f>INDEX(Data_Elast!$J:$J,MATCH($B49,Data_Elast!$I:$I,0))</f>
        <v>oil</v>
      </c>
    </row>
    <row r="50" spans="2:31" x14ac:dyDescent="0.45">
      <c r="B50" s="14" t="s">
        <v>64</v>
      </c>
      <c r="C50" s="14" t="str">
        <f t="shared" si="3"/>
        <v>irn</v>
      </c>
      <c r="D50" s="22" t="s">
        <v>104</v>
      </c>
      <c r="E50" s="23">
        <f>INDEX(Data_Elast!$D:$G,MATCH("el_inc_"&amp;INDEX(Data_Elast!$J:$J,MATCH($B50,Data_Elast!$I:$I,0)),Data_Elast!$A:$A,0),MATCH(Settings!$B$5,Data_Elast!$D$1:$G$1,0))</f>
        <v>0.8</v>
      </c>
      <c r="F50" s="23">
        <f>INDEX(Data_Elast!$D:$G,MATCH("el_dem_"&amp;INDEX(Data_Elast!$J:$J,MATCH($B50,Data_Elast!$I:$I,0)),Data_Elast!$A:$A,0),MATCH(Settings!$B$5,Data_Elast!$D$1:$G$1,0))</f>
        <v>-0.4</v>
      </c>
      <c r="G50" s="23">
        <f>INDEX(Data_Elast!$D:$G,MATCH("el_eff_"&amp;INDEX(Data_Elast!$J:$J,MATCH($B50,Data_Elast!$I:$I,0)),Data_Elast!$A:$A,0),MATCH(Settings!$B$5,Data_Elast!$D$1:$G$1,0))</f>
        <v>-0.4</v>
      </c>
      <c r="H50" s="23">
        <f>INDEX(Data_Elast!$D:$G,MATCH("eff_imp_"&amp;INDEX(Data_Elast!$K:$K,MATCH($B50,Data_Elast!$I:$I,0)),Data_Elast!$A:$A,0),MATCH(Settings!$B$5,Data_Elast!$D$1:$G$1,0))</f>
        <v>5.0000000000000001E-3</v>
      </c>
      <c r="I50" s="23">
        <f>Settings!$B$7</f>
        <v>0</v>
      </c>
      <c r="J50" s="16" t="str">
        <f>INDEX(Data_Elast!$J:$J,MATCH($B50,Data_Elast!$I:$I,0))</f>
        <v>oil</v>
      </c>
    </row>
    <row r="51" spans="2:31" x14ac:dyDescent="0.45">
      <c r="B51" s="14" t="s">
        <v>67</v>
      </c>
      <c r="C51" s="14" t="str">
        <f t="shared" si="3"/>
        <v>irn</v>
      </c>
      <c r="D51" s="22" t="s">
        <v>105</v>
      </c>
      <c r="E51" s="23">
        <f>INDEX(Data_Elast!$D:$G,MATCH("el_inc_"&amp;INDEX(Data_Elast!$J:$J,MATCH($B51,Data_Elast!$I:$I,0)),Data_Elast!$A:$A,0),MATCH(Settings!$B$5,Data_Elast!$D$1:$G$1,0))</f>
        <v>0.1</v>
      </c>
      <c r="F51" s="23">
        <f>INDEX(Data_Elast!$D:$G,MATCH("el_dem_"&amp;INDEX(Data_Elast!$J:$J,MATCH($B51,Data_Elast!$I:$I,0)),Data_Elast!$A:$A,0),MATCH(Settings!$B$5,Data_Elast!$D$1:$G$1,0))</f>
        <v>-0.3</v>
      </c>
      <c r="G51" s="23">
        <f>INDEX(Data_Elast!$D:$G,MATCH("el_eff_"&amp;INDEX(Data_Elast!$J:$J,MATCH($B51,Data_Elast!$I:$I,0)),Data_Elast!$A:$A,0),MATCH(Settings!$B$5,Data_Elast!$D$1:$G$1,0))</f>
        <v>-0.2</v>
      </c>
      <c r="H51" s="23">
        <f>INDEX(Data_Elast!$D:$G,MATCH("eff_imp_"&amp;INDEX(Data_Elast!$K:$K,MATCH($B51,Data_Elast!$I:$I,0)),Data_Elast!$A:$A,0),MATCH(Settings!$B$5,Data_Elast!$D$1:$G$1,0))</f>
        <v>5.0000000000000001E-3</v>
      </c>
      <c r="I51" s="23">
        <f>Settings!$B$7</f>
        <v>0</v>
      </c>
      <c r="J51" s="16" t="str">
        <f>INDEX(Data_Elast!$J:$J,MATCH($B51,Data_Elast!$I:$I,0))</f>
        <v>bio</v>
      </c>
    </row>
    <row r="52" spans="2:31" x14ac:dyDescent="0.45">
      <c r="B52" s="14" t="s">
        <v>69</v>
      </c>
      <c r="C52" s="14" t="str">
        <f t="shared" si="3"/>
        <v>irn</v>
      </c>
      <c r="D52" s="22" t="s">
        <v>106</v>
      </c>
      <c r="E52" s="23">
        <f>INDEX(Data_Elast!$D:$G,MATCH("el_inc_"&amp;INDEX(Data_Elast!$J:$J,MATCH($B52,Data_Elast!$I:$I,0)),Data_Elast!$A:$A,0),MATCH(Settings!$B$5,Data_Elast!$D$1:$G$1,0))</f>
        <v>0.8</v>
      </c>
      <c r="F52" s="23">
        <f>INDEX(Data_Elast!$D:$G,MATCH("el_dem_"&amp;INDEX(Data_Elast!$J:$J,MATCH($B52,Data_Elast!$I:$I,0)),Data_Elast!$A:$A,0),MATCH(Settings!$B$5,Data_Elast!$D$1:$G$1,0))</f>
        <v>-0.5</v>
      </c>
      <c r="G52" s="23">
        <f>INDEX(Data_Elast!$D:$G,MATCH("el_eff_"&amp;INDEX(Data_Elast!$J:$J,MATCH($B52,Data_Elast!$I:$I,0)),Data_Elast!$A:$A,0),MATCH(Settings!$B$5,Data_Elast!$D$1:$G$1,0))</f>
        <v>-0.4</v>
      </c>
      <c r="H52" s="23">
        <f>INDEX(Data_Elast!$D:$G,MATCH("eff_imp_"&amp;INDEX(Data_Elast!$K:$K,MATCH($B52,Data_Elast!$I:$I,0)),Data_Elast!$A:$A,0),MATCH(Settings!$B$5,Data_Elast!$D$1:$G$1,0))</f>
        <v>5.0000000000000001E-3</v>
      </c>
      <c r="I52" s="23">
        <f>Settings!$B$7</f>
        <v>0</v>
      </c>
      <c r="J52" s="16" t="str">
        <f>INDEX(Data_Elast!$J:$J,MATCH($B52,Data_Elast!$I:$I,0))</f>
        <v>ren</v>
      </c>
    </row>
    <row r="53" spans="2:31" x14ac:dyDescent="0.45">
      <c r="B53" s="13" t="s">
        <v>107</v>
      </c>
    </row>
    <row r="54" spans="2:31" x14ac:dyDescent="0.45">
      <c r="B54" s="14" t="s">
        <v>49</v>
      </c>
      <c r="C54" s="14" t="str">
        <f t="shared" ref="C54:C63" si="4">$C$5</f>
        <v>irn</v>
      </c>
      <c r="D54" s="15" t="s">
        <v>50</v>
      </c>
      <c r="E54" s="16" t="s">
        <v>108</v>
      </c>
      <c r="F54" s="14" t="s">
        <v>109</v>
      </c>
      <c r="G54" s="17" t="str">
        <f>Settings!$B$3&amp;".mit.enc."&amp;$B54</f>
        <v>egy.mit.enc.coa</v>
      </c>
      <c r="H54" s="45" t="str">
        <f>Settings!$B$3&amp;".mit.ener."&amp;$C$5&amp;"."&amp;$B54&amp;".e."&amp;$J$5</f>
        <v>egy.mit.ener.irn.coa.e.1</v>
      </c>
      <c r="I54" t="s">
        <v>2256</v>
      </c>
      <c r="L54" s="47">
        <f>INDEX(Data_Energy!$D$3:$U$22,MATCH($B54,Data_Energy!$C$3:$C$22,0),MATCH($C54,Data_Energy!$D$2:$U$2,0))</f>
        <v>232.65735477013101</v>
      </c>
      <c r="M54" s="24">
        <f>L54*(1+M$39)^($E44*M$40)*(1+M$41)*IF(Rebate_Industry!L$84&lt;=0,1,Rebate_Industry!M$84/Rebate_Industry!L$84)^$F44*(IF(L27&lt;=0,1,M27/L27)^$G44/(1+$H44+$I44))^(1+$F44)</f>
        <v>189.45265610688699</v>
      </c>
      <c r="N54" s="24">
        <f>M54*(1+N$39)^($E44*N$40)*(1+N$41)*IF(Rebate_Industry!M$84&lt;=0,1,Rebate_Industry!N$84/Rebate_Industry!M$84)^$F44*(IF(M27&lt;=0,1,N27/M27)^$G44/(1+$H44+$I44))^(1+$F44)</f>
        <v>217.72883870914094</v>
      </c>
      <c r="O54" s="24">
        <f>N54*(1+O$39)^($E44*O$40)*(1+O$41)*IF(Rebate_Industry!N$84&lt;=0,1,Rebate_Industry!O$84/Rebate_Industry!N$84)^$F44*(IF(N27&lt;=0,1,O27/N27)^$G44/(1+$H44+$I44))^(1+$F44)</f>
        <v>237.89793015048883</v>
      </c>
      <c r="P54" s="24">
        <f>O54*(1+P$39)^($E44*P$40)*(1+P$41)*IF(Rebate_Industry!O$84&lt;=0,1,Rebate_Industry!P$84/Rebate_Industry!O$84)^$F44*(IF(O27&lt;=0,1,P27/O27)^$G44/(1+$H44+$I44))^(1+$F44)</f>
        <v>232.65006903124424</v>
      </c>
      <c r="Q54" s="24">
        <f>P54*(1+Q$39)^($E44*Q$40)*(1+Q$41)*IF(Rebate_Industry!P$84&lt;=0,1,Rebate_Industry!Q$84/Rebate_Industry!P$84)^$F44*(IF(P27&lt;=0,1,Q27/P27)^$G44/(1+$H44+$I44))^(1+$F44)</f>
        <v>235.34294021003569</v>
      </c>
      <c r="R54" s="24">
        <f>Q54*(1+R$39)^($E44*R$40)*(1+R$41)*IF(Rebate_Industry!Q$84&lt;=0,1,Rebate_Industry!R$84/Rebate_Industry!Q$84)^$F44*(IF(Q27&lt;=0,1,R27/Q27)^$G44/(1+$H44+$I44))^(1+$F44)</f>
        <v>241.85374047418856</v>
      </c>
      <c r="S54" s="24">
        <f>R54*(1+S$39)^($E44*S$40)*(1+S$41)*IF(Rebate_Industry!R$84&lt;=0,1,Rebate_Industry!S$84/Rebate_Industry!R$84)^$F44*(IF(R27&lt;=0,1,S27/R27)^$G44/(1+$H44+$I44))^(1+$F44)</f>
        <v>248.19368529175608</v>
      </c>
      <c r="T54" s="24">
        <f>S54*(1+T$39)^($E44*T$40)*(1+T$41)*IF(Rebate_Industry!S$84&lt;=0,1,Rebate_Industry!T$84/Rebate_Industry!S$84)^$F44*(IF(S27&lt;=0,1,T27/S27)^$G44/(1+$H44+$I44))^(1+$F44)</f>
        <v>254.26779674013815</v>
      </c>
      <c r="U54" s="24">
        <f>T54*(1+U$39)^($E44*U$40)*(1+U$41)*IF(Rebate_Industry!T$84&lt;=0,1,Rebate_Industry!U$84/Rebate_Industry!T$84)^$F44*(IF(T27&lt;=0,1,U27/T27)^$G44/(1+$H44+$I44))^(1+$F44)</f>
        <v>260.35638985714291</v>
      </c>
      <c r="V54" s="24">
        <f>U54*(1+V$39)^($E44*V$40)*(1+V$41)*IF(Rebate_Industry!U$84&lt;=0,1,Rebate_Industry!V$84/Rebate_Industry!U$84)^$F44*(IF(U27&lt;=0,1,V27/U27)^$G44/(1+$H44+$I44))^(1+$F44)</f>
        <v>265.28547286301517</v>
      </c>
      <c r="W54" s="24">
        <f>V54*(1+W$39)^($E44*W$40)*(1+W$41)*IF(Rebate_Industry!V$84&lt;=0,1,Rebate_Industry!W$84/Rebate_Industry!V$84)^$F44*(IF(V27&lt;=0,1,W27/V27)^$G44/(1+$H44+$I44))^(1+$F44)</f>
        <v>270.22699380634242</v>
      </c>
      <c r="X54" s="24">
        <f>W54*(1+X$39)^($E44*X$40)*(1+X$41)*IF(Rebate_Industry!W$84&lt;=0,1,Rebate_Industry!X$84/Rebate_Industry!W$84)^$F44*(IF(W27&lt;=0,1,X27/W27)^$G44/(1+$H44+$I44))^(1+$F44)</f>
        <v>275.17954419785963</v>
      </c>
      <c r="Y54" s="24">
        <f>X54*(1+Y$39)^($E44*Y$40)*(1+Y$41)*IF(Rebate_Industry!X$84&lt;=0,1,Rebate_Industry!Y$84/Rebate_Industry!X$84)^$F44*(IF(X27&lt;=0,1,Y27/X27)^$G44/(1+$H44+$I44))^(1+$F44)</f>
        <v>280.1417279609912</v>
      </c>
      <c r="Z54" s="24">
        <f>Y54*(1+Z$39)^($E44*Z$40)*(1+Z$41)*IF(Rebate_Industry!Y$84&lt;=0,1,Rebate_Industry!Z$84/Rebate_Industry!Y$84)^$F44*(IF(Y27&lt;=0,1,Z27/Y27)^$G44/(1+$H44+$I44))^(1+$F44)</f>
        <v>285.11216024955354</v>
      </c>
      <c r="AA54" s="24">
        <f>Z54*(1+AA$39)^($E44*AA$40)*(1+AA$41)*IF(Rebate_Industry!Z$84&lt;=0,1,Rebate_Industry!AA$84/Rebate_Industry!Z$84)^$F44*(IF(Z27&lt;=0,1,AA27/Z27)^$G44/(1+$H44+$I44))^(1+$F44)</f>
        <v>290.08946613853749</v>
      </c>
      <c r="AB54" s="24">
        <f>AA54*(1+AB$39)^($E44*AB$40)*(1+AB$41)*IF(Rebate_Industry!AA$84&lt;=0,1,Rebate_Industry!AB$84/Rebate_Industry!AA$84)^$F44*(IF(AA27&lt;=0,1,AB27/AA27)^$G44/(1+$H44+$I44))^(1+$F44)</f>
        <v>295.07227919448746</v>
      </c>
      <c r="AC54" s="24">
        <f>AB54*(1+AC$39)^($E44*AC$40)*(1+AC$41)*IF(Rebate_Industry!AB$84&lt;=0,1,Rebate_Industry!AC$84/Rebate_Industry!AB$84)^$F44*(IF(AB27&lt;=0,1,AC27/AB27)^$G44/(1+$H44+$I44))^(1+$F44)</f>
        <v>300.0592399315745</v>
      </c>
      <c r="AD54" s="24">
        <f>AC54*(1+AD$39)^($E44*AD$40)*(1+AD$41)*IF(Rebate_Industry!AC$84&lt;=0,1,Rebate_Industry!AD$84/Rebate_Industry!AC$84)^$F44*(IF(AC27&lt;=0,1,AD27/AC27)^$G44/(1+$H44+$I44))^(1+$F44)</f>
        <v>305.04899415904566</v>
      </c>
      <c r="AE54" s="24">
        <f>AD54*(1+AE$39)^($E44*AE$40)*(1+AE$41)*IF(Rebate_Industry!AD$84&lt;=0,1,Rebate_Industry!AE$84/Rebate_Industry!AD$84)^$F44*(IF(AD27&lt;=0,1,AE27/AD27)^$G44/(1+$H44+$I44))^(1+$F44)</f>
        <v>310.04019122530246</v>
      </c>
    </row>
    <row r="55" spans="2:31" x14ac:dyDescent="0.45">
      <c r="B55" s="14" t="s">
        <v>53</v>
      </c>
      <c r="C55" s="14" t="str">
        <f t="shared" si="4"/>
        <v>irn</v>
      </c>
      <c r="D55" s="15" t="s">
        <v>54</v>
      </c>
      <c r="E55" s="16" t="s">
        <v>108</v>
      </c>
      <c r="F55" s="14" t="s">
        <v>109</v>
      </c>
      <c r="G55" s="17" t="str">
        <f>Settings!$B$3&amp;".mit.enc."&amp;$B55</f>
        <v>egy.mit.enc.nga</v>
      </c>
      <c r="H55" s="45" t="str">
        <f>Settings!$B$3&amp;".mit.ener."&amp;$C$5&amp;"."&amp;$B55&amp;".e."&amp;$J$5</f>
        <v>egy.mit.ener.irn.nga.e.1</v>
      </c>
      <c r="I55" t="s">
        <v>2257</v>
      </c>
      <c r="L55" s="47">
        <f>INDEX(Data_Energy!$D$3:$U$22,MATCH($B55,Data_Energy!$C$3:$C$22,0),MATCH($C55,Data_Energy!$D$2:$U$2,0))</f>
        <v>1669.05671904213</v>
      </c>
      <c r="M55" s="24">
        <f>L55*(1+M$39)^($E45*M$40)*(1+M$41)*IF(Rebate_Industry!L$85&lt;=0,1,Rebate_Industry!M$85/Rebate_Industry!L$85)^$F45*(IF(L28&lt;=0,1,M28/L28)^$G45/(1+$H45+$I45))^(1+$F45)</f>
        <v>1431.7775208824874</v>
      </c>
      <c r="N55" s="24">
        <f>M55*(1+N$39)^($E45*N$40)*(1+N$41)*IF(Rebate_Industry!M$85&lt;=0,1,Rebate_Industry!N$85/Rebate_Industry!M$85)^$F45*(IF(M28&lt;=0,1,N28/M28)^$G45/(1+$H45+$I45))^(1+$F45)</f>
        <v>1603.1180815212331</v>
      </c>
      <c r="O55" s="24">
        <f>N55*(1+O$39)^($E45*O$40)*(1+O$41)*IF(Rebate_Industry!N$85&lt;=0,1,Rebate_Industry!O$85/Rebate_Industry!N$85)^$F45*(IF(N28&lt;=0,1,O28/N28)^$G45/(1+$H45+$I45))^(1+$F45)</f>
        <v>1666.4691074748598</v>
      </c>
      <c r="P55" s="24">
        <f>O55*(1+P$39)^($E45*P$40)*(1+P$41)*IF(Rebate_Industry!O$85&lt;=0,1,Rebate_Industry!P$85/Rebate_Industry!O$85)^$F45*(IF(O28&lt;=0,1,P28/O28)^$G45/(1+$H45+$I45))^(1+$F45)</f>
        <v>1729.0519522219979</v>
      </c>
      <c r="Q55" s="24">
        <f>P55*(1+Q$39)^($E45*Q$40)*(1+Q$41)*IF(Rebate_Industry!P$85&lt;=0,1,Rebate_Industry!Q$85/Rebate_Industry!P$85)^$F45*(IF(P28&lt;=0,1,Q28/P28)^$G45/(1+$H45+$I45))^(1+$F45)</f>
        <v>1803.6196014388593</v>
      </c>
      <c r="R55" s="24">
        <f>Q55*(1+R$39)^($E45*R$40)*(1+R$41)*IF(Rebate_Industry!Q$85&lt;=0,1,Rebate_Industry!R$85/Rebate_Industry!Q$85)^$F45*(IF(Q28&lt;=0,1,R28/Q28)^$G45/(1+$H45+$I45))^(1+$F45)</f>
        <v>1893.1814307796642</v>
      </c>
      <c r="S55" s="24">
        <f>R55*(1+S$39)^($E45*S$40)*(1+S$41)*IF(Rebate_Industry!R$85&lt;=0,1,Rebate_Industry!S$85/Rebate_Industry!R$85)^$F45*(IF(R28&lt;=0,1,S28/R28)^$G45/(1+$H45+$I45))^(1+$F45)</f>
        <v>1980.291402052703</v>
      </c>
      <c r="T55" s="24">
        <f>S55*(1+T$39)^($E45*T$40)*(1+T$41)*IF(Rebate_Industry!S$85&lt;=0,1,Rebate_Industry!T$85/Rebate_Industry!S$85)^$F45*(IF(S28&lt;=0,1,T28/S28)^$G45/(1+$H45+$I45))^(1+$F45)</f>
        <v>2062.9630959218939</v>
      </c>
      <c r="U55" s="24">
        <f>T55*(1+U$39)^($E45*U$40)*(1+U$41)*IF(Rebate_Industry!T$85&lt;=0,1,Rebate_Industry!U$85/Rebate_Industry!T$85)^$F45*(IF(T28&lt;=0,1,U28/T28)^$G45/(1+$H45+$I45))^(1+$F45)</f>
        <v>2147.4247884614956</v>
      </c>
      <c r="V55" s="24">
        <f>U55*(1+V$39)^($E45*V$40)*(1+V$41)*IF(Rebate_Industry!U$85&lt;=0,1,Rebate_Industry!V$85/Rebate_Industry!U$85)^$F45*(IF(U28&lt;=0,1,V28/U28)^$G45/(1+$H45+$I45))^(1+$F45)</f>
        <v>2233.9848148462875</v>
      </c>
      <c r="W55" s="24">
        <f>V55*(1+W$39)^($E45*W$40)*(1+W$41)*IF(Rebate_Industry!V$85&lt;=0,1,Rebate_Industry!W$85/Rebate_Industry!V$85)^$F45*(IF(V28&lt;=0,1,W28/V28)^$G45/(1+$H45+$I45))^(1+$F45)</f>
        <v>2322.6434118442621</v>
      </c>
      <c r="X55" s="24">
        <f>W55*(1+X$39)^($E45*X$40)*(1+X$41)*IF(Rebate_Industry!W$85&lt;=0,1,Rebate_Industry!X$85/Rebate_Industry!W$85)^$F45*(IF(W28&lt;=0,1,X28/W28)^$G45/(1+$H45+$I45))^(1+$F45)</f>
        <v>2413.3992465193619</v>
      </c>
      <c r="Y55" s="24">
        <f>X55*(1+Y$39)^($E45*Y$40)*(1+Y$41)*IF(Rebate_Industry!X$85&lt;=0,1,Rebate_Industry!Y$85/Rebate_Industry!X$85)^$F45*(IF(X28&lt;=0,1,Y28/X28)^$G45/(1+$H45+$I45))^(1+$F45)</f>
        <v>2506.2493925354538</v>
      </c>
      <c r="Z55" s="24">
        <f>Y55*(1+Z$39)^($E45*Z$40)*(1+Z$41)*IF(Rebate_Industry!Y$85&lt;=0,1,Rebate_Industry!Z$85/Rebate_Industry!Y$85)^$F45*(IF(Y28&lt;=0,1,Z28/Y28)^$G45/(1+$H45+$I45))^(1+$F45)</f>
        <v>2601.1893032264006</v>
      </c>
      <c r="AA55" s="24">
        <f>Z55*(1+AA$39)^($E45*AA$40)*(1+AA$41)*IF(Rebate_Industry!Z$85&lt;=0,1,Rebate_Industry!AA$85/Rebate_Industry!Z$85)^$F45*(IF(Z28&lt;=0,1,AA28/Z28)^$G45/(1+$H45+$I45))^(1+$F45)</f>
        <v>2698.2127811658702</v>
      </c>
      <c r="AB55" s="24">
        <f>AA55*(1+AB$39)^($E45*AB$40)*(1+AB$41)*IF(Rebate_Industry!AA$85&lt;=0,1,Rebate_Industry!AB$85/Rebate_Industry!AA$85)^$F45*(IF(AA28&lt;=0,1,AB28/AA28)^$G45/(1+$H45+$I45))^(1+$F45)</f>
        <v>2797.3119439811508</v>
      </c>
      <c r="AC55" s="24">
        <f>AB55*(1+AC$39)^($E45*AC$40)*(1+AC$41)*IF(Rebate_Industry!AB$85&lt;=0,1,Rebate_Industry!AC$85/Rebate_Industry!AB$85)^$F45*(IF(AB28&lt;=0,1,AC28/AB28)^$G45/(1+$H45+$I45))^(1+$F45)</f>
        <v>2898.4771861653253</v>
      </c>
      <c r="AD55" s="24">
        <f>AC55*(1+AD$39)^($E45*AD$40)*(1+AD$41)*IF(Rebate_Industry!AC$85&lt;=0,1,Rebate_Industry!AD$85/Rebate_Industry!AC$85)^$F45*(IF(AC28&lt;=0,1,AD28/AC28)^$G45/(1+$H45+$I45))^(1+$F45)</f>
        <v>3001.6971366522166</v>
      </c>
      <c r="AE55" s="24">
        <f>AD55*(1+AE$39)^($E45*AE$40)*(1+AE$41)*IF(Rebate_Industry!AD$85&lt;=0,1,Rebate_Industry!AE$85/Rebate_Industry!AD$85)^$F45*(IF(AD28&lt;=0,1,AE28/AD28)^$G45/(1+$H45+$I45))^(1+$F45)</f>
        <v>3106.9586119280443</v>
      </c>
    </row>
    <row r="56" spans="2:31" x14ac:dyDescent="0.45">
      <c r="B56" s="14" t="s">
        <v>55</v>
      </c>
      <c r="C56" s="14" t="str">
        <f t="shared" si="4"/>
        <v>irn</v>
      </c>
      <c r="D56" s="15" t="s">
        <v>56</v>
      </c>
      <c r="E56" s="16" t="s">
        <v>108</v>
      </c>
      <c r="F56" s="14" t="s">
        <v>109</v>
      </c>
      <c r="G56" s="17" t="str">
        <f>Settings!$B$3&amp;".mit.enc."&amp;$B56</f>
        <v>egy.mit.enc.gso</v>
      </c>
      <c r="H56" s="45" t="str">
        <f>Settings!$B$3&amp;".mit.ener."&amp;$C$5&amp;"."&amp;$B56&amp;".e."&amp;$J$5</f>
        <v>egy.mit.ener.irn.gso.e.1</v>
      </c>
      <c r="I56" t="s">
        <v>2258</v>
      </c>
      <c r="L56" s="47">
        <f>INDEX(Data_Energy!$D$3:$U$22,MATCH($B56,Data_Energy!$C$3:$C$22,0),MATCH($C56,Data_Energy!$D$2:$U$2,0))</f>
        <v>0</v>
      </c>
      <c r="M56" s="24">
        <f>L56*(1+M$39)^($E46*M$40)*(1+M$41)*IF(Rebate_Industry!L$86&lt;=0,1,Rebate_Industry!M$86/Rebate_Industry!L$86)^$F46*(IF(L29&lt;=0,1,M29/L29)^$G46/(1+$H46+$I46))^(1+$F46)</f>
        <v>0</v>
      </c>
      <c r="N56" s="24">
        <f>M56*(1+N$39)^($E46*N$40)*(1+N$41)*IF(Rebate_Industry!M$86&lt;=0,1,Rebate_Industry!N$86/Rebate_Industry!M$86)^$F46*(IF(M29&lt;=0,1,N29/M29)^$G46/(1+$H46+$I46))^(1+$F46)</f>
        <v>0</v>
      </c>
      <c r="O56" s="24">
        <f>N56*(1+O$39)^($E46*O$40)*(1+O$41)*IF(Rebate_Industry!N$86&lt;=0,1,Rebate_Industry!O$86/Rebate_Industry!N$86)^$F46*(IF(N29&lt;=0,1,O29/N29)^$G46/(1+$H46+$I46))^(1+$F46)</f>
        <v>0</v>
      </c>
      <c r="P56" s="24">
        <f>O56*(1+P$39)^($E46*P$40)*(1+P$41)*IF(Rebate_Industry!O$86&lt;=0,1,Rebate_Industry!P$86/Rebate_Industry!O$86)^$F46*(IF(O29&lt;=0,1,P29/O29)^$G46/(1+$H46+$I46))^(1+$F46)</f>
        <v>0</v>
      </c>
      <c r="Q56" s="24">
        <f>P56*(1+Q$39)^($E46*Q$40)*(1+Q$41)*IF(Rebate_Industry!P$86&lt;=0,1,Rebate_Industry!Q$86/Rebate_Industry!P$86)^$F46*(IF(P29&lt;=0,1,Q29/P29)^$G46/(1+$H46+$I46))^(1+$F46)</f>
        <v>0</v>
      </c>
      <c r="R56" s="24">
        <f>Q56*(1+R$39)^($E46*R$40)*(1+R$41)*IF(Rebate_Industry!Q$86&lt;=0,1,Rebate_Industry!R$86/Rebate_Industry!Q$86)^$F46*(IF(Q29&lt;=0,1,R29/Q29)^$G46/(1+$H46+$I46))^(1+$F46)</f>
        <v>0</v>
      </c>
      <c r="S56" s="24">
        <f>R56*(1+S$39)^($E46*S$40)*(1+S$41)*IF(Rebate_Industry!R$86&lt;=0,1,Rebate_Industry!S$86/Rebate_Industry!R$86)^$F46*(IF(R29&lt;=0,1,S29/R29)^$G46/(1+$H46+$I46))^(1+$F46)</f>
        <v>0</v>
      </c>
      <c r="T56" s="24">
        <f>S56*(1+T$39)^($E46*T$40)*(1+T$41)*IF(Rebate_Industry!S$86&lt;=0,1,Rebate_Industry!T$86/Rebate_Industry!S$86)^$F46*(IF(S29&lt;=0,1,T29/S29)^$G46/(1+$H46+$I46))^(1+$F46)</f>
        <v>0</v>
      </c>
      <c r="U56" s="24">
        <f>T56*(1+U$39)^($E46*U$40)*(1+U$41)*IF(Rebate_Industry!T$86&lt;=0,1,Rebate_Industry!U$86/Rebate_Industry!T$86)^$F46*(IF(T29&lt;=0,1,U29/T29)^$G46/(1+$H46+$I46))^(1+$F46)</f>
        <v>0</v>
      </c>
      <c r="V56" s="24">
        <f>U56*(1+V$39)^($E46*V$40)*(1+V$41)*IF(Rebate_Industry!U$86&lt;=0,1,Rebate_Industry!V$86/Rebate_Industry!U$86)^$F46*(IF(U29&lt;=0,1,V29/U29)^$G46/(1+$H46+$I46))^(1+$F46)</f>
        <v>0</v>
      </c>
      <c r="W56" s="24">
        <f>V56*(1+W$39)^($E46*W$40)*(1+W$41)*IF(Rebate_Industry!V$86&lt;=0,1,Rebate_Industry!W$86/Rebate_Industry!V$86)^$F46*(IF(V29&lt;=0,1,W29/V29)^$G46/(1+$H46+$I46))^(1+$F46)</f>
        <v>0</v>
      </c>
      <c r="X56" s="24">
        <f>W56*(1+X$39)^($E46*X$40)*(1+X$41)*IF(Rebate_Industry!W$86&lt;=0,1,Rebate_Industry!X$86/Rebate_Industry!W$86)^$F46*(IF(W29&lt;=0,1,X29/W29)^$G46/(1+$H46+$I46))^(1+$F46)</f>
        <v>0</v>
      </c>
      <c r="Y56" s="24">
        <f>X56*(1+Y$39)^($E46*Y$40)*(1+Y$41)*IF(Rebate_Industry!X$86&lt;=0,1,Rebate_Industry!Y$86/Rebate_Industry!X$86)^$F46*(IF(X29&lt;=0,1,Y29/X29)^$G46/(1+$H46+$I46))^(1+$F46)</f>
        <v>0</v>
      </c>
      <c r="Z56" s="24">
        <f>Y56*(1+Z$39)^($E46*Z$40)*(1+Z$41)*IF(Rebate_Industry!Y$86&lt;=0,1,Rebate_Industry!Z$86/Rebate_Industry!Y$86)^$F46*(IF(Y29&lt;=0,1,Z29/Y29)^$G46/(1+$H46+$I46))^(1+$F46)</f>
        <v>0</v>
      </c>
      <c r="AA56" s="24">
        <f>Z56*(1+AA$39)^($E46*AA$40)*(1+AA$41)*IF(Rebate_Industry!Z$86&lt;=0,1,Rebate_Industry!AA$86/Rebate_Industry!Z$86)^$F46*(IF(Z29&lt;=0,1,AA29/Z29)^$G46/(1+$H46+$I46))^(1+$F46)</f>
        <v>0</v>
      </c>
      <c r="AB56" s="24">
        <f>AA56*(1+AB$39)^($E46*AB$40)*(1+AB$41)*IF(Rebate_Industry!AA$86&lt;=0,1,Rebate_Industry!AB$86/Rebate_Industry!AA$86)^$F46*(IF(AA29&lt;=0,1,AB29/AA29)^$G46/(1+$H46+$I46))^(1+$F46)</f>
        <v>0</v>
      </c>
      <c r="AC56" s="24">
        <f>AB56*(1+AC$39)^($E46*AC$40)*(1+AC$41)*IF(Rebate_Industry!AB$86&lt;=0,1,Rebate_Industry!AC$86/Rebate_Industry!AB$86)^$F46*(IF(AB29&lt;=0,1,AC29/AB29)^$G46/(1+$H46+$I46))^(1+$F46)</f>
        <v>0</v>
      </c>
      <c r="AD56" s="24">
        <f>AC56*(1+AD$39)^($E46*AD$40)*(1+AD$41)*IF(Rebate_Industry!AC$86&lt;=0,1,Rebate_Industry!AD$86/Rebate_Industry!AC$86)^$F46*(IF(AC29&lt;=0,1,AD29/AC29)^$G46/(1+$H46+$I46))^(1+$F46)</f>
        <v>0</v>
      </c>
      <c r="AE56" s="24">
        <f>AD56*(1+AE$39)^($E46*AE$40)*(1+AE$41)*IF(Rebate_Industry!AD$86&lt;=0,1,Rebate_Industry!AE$86/Rebate_Industry!AD$86)^$F46*(IF(AD29&lt;=0,1,AE29/AD29)^$G46/(1+$H46+$I46))^(1+$F46)</f>
        <v>0</v>
      </c>
    </row>
    <row r="57" spans="2:31" x14ac:dyDescent="0.45">
      <c r="B57" s="14" t="s">
        <v>58</v>
      </c>
      <c r="C57" s="14" t="str">
        <f t="shared" si="4"/>
        <v>irn</v>
      </c>
      <c r="D57" s="15" t="s">
        <v>59</v>
      </c>
      <c r="E57" s="16" t="s">
        <v>108</v>
      </c>
      <c r="F57" s="14" t="s">
        <v>109</v>
      </c>
      <c r="G57" s="17" t="str">
        <f>Settings!$B$3&amp;".mit.enc."&amp;$B57</f>
        <v>egy.mit.enc.die</v>
      </c>
      <c r="H57" s="45" t="str">
        <f>Settings!$B$3&amp;".mit.ener."&amp;$C$5&amp;"."&amp;$B57&amp;".e."&amp;$J$5</f>
        <v>egy.mit.ener.irn.die.e.1</v>
      </c>
      <c r="I57" t="s">
        <v>2259</v>
      </c>
      <c r="L57" s="47">
        <f>INDEX(Data_Energy!$D$3:$U$22,MATCH($B57,Data_Energy!$C$3:$C$22,0),MATCH($C57,Data_Energy!$D$2:$U$2,0))</f>
        <v>0</v>
      </c>
      <c r="M57" s="24">
        <f>L57*(1+M$39)^($E47*M$40)*(1+M$41)*IF(Rebate_Industry!L$87&lt;=0,1,Rebate_Industry!M$87/Rebate_Industry!L$87)^$F47*(IF(L30&lt;=0,1,M30/L30)^$G47/(1+$H47+$I47))^(1+$F47)</f>
        <v>0</v>
      </c>
      <c r="N57" s="24">
        <f>M57*(1+N$39)^($E47*N$40)*(1+N$41)*IF(Rebate_Industry!M$87&lt;=0,1,Rebate_Industry!N$87/Rebate_Industry!M$87)^$F47*(IF(M30&lt;=0,1,N30/M30)^$G47/(1+$H47+$I47))^(1+$F47)</f>
        <v>0</v>
      </c>
      <c r="O57" s="24">
        <f>N57*(1+O$39)^($E47*O$40)*(1+O$41)*IF(Rebate_Industry!N$87&lt;=0,1,Rebate_Industry!O$87/Rebate_Industry!N$87)^$F47*(IF(N30&lt;=0,1,O30/N30)^$G47/(1+$H47+$I47))^(1+$F47)</f>
        <v>0</v>
      </c>
      <c r="P57" s="24">
        <f>O57*(1+P$39)^($E47*P$40)*(1+P$41)*IF(Rebate_Industry!O$87&lt;=0,1,Rebate_Industry!P$87/Rebate_Industry!O$87)^$F47*(IF(O30&lt;=0,1,P30/O30)^$G47/(1+$H47+$I47))^(1+$F47)</f>
        <v>0</v>
      </c>
      <c r="Q57" s="24">
        <f>P57*(1+Q$39)^($E47*Q$40)*(1+Q$41)*IF(Rebate_Industry!P$87&lt;=0,1,Rebate_Industry!Q$87/Rebate_Industry!P$87)^$F47*(IF(P30&lt;=0,1,Q30/P30)^$G47/(1+$H47+$I47))^(1+$F47)</f>
        <v>0</v>
      </c>
      <c r="R57" s="24">
        <f>Q57*(1+R$39)^($E47*R$40)*(1+R$41)*IF(Rebate_Industry!Q$87&lt;=0,1,Rebate_Industry!R$87/Rebate_Industry!Q$87)^$F47*(IF(Q30&lt;=0,1,R30/Q30)^$G47/(1+$H47+$I47))^(1+$F47)</f>
        <v>0</v>
      </c>
      <c r="S57" s="24">
        <f>R57*(1+S$39)^($E47*S$40)*(1+S$41)*IF(Rebate_Industry!R$87&lt;=0,1,Rebate_Industry!S$87/Rebate_Industry!R$87)^$F47*(IF(R30&lt;=0,1,S30/R30)^$G47/(1+$H47+$I47))^(1+$F47)</f>
        <v>0</v>
      </c>
      <c r="T57" s="24">
        <f>S57*(1+T$39)^($E47*T$40)*(1+T$41)*IF(Rebate_Industry!S$87&lt;=0,1,Rebate_Industry!T$87/Rebate_Industry!S$87)^$F47*(IF(S30&lt;=0,1,T30/S30)^$G47/(1+$H47+$I47))^(1+$F47)</f>
        <v>0</v>
      </c>
      <c r="U57" s="24">
        <f>T57*(1+U$39)^($E47*U$40)*(1+U$41)*IF(Rebate_Industry!T$87&lt;=0,1,Rebate_Industry!U$87/Rebate_Industry!T$87)^$F47*(IF(T30&lt;=0,1,U30/T30)^$G47/(1+$H47+$I47))^(1+$F47)</f>
        <v>0</v>
      </c>
      <c r="V57" s="24">
        <f>U57*(1+V$39)^($E47*V$40)*(1+V$41)*IF(Rebate_Industry!U$87&lt;=0,1,Rebate_Industry!V$87/Rebate_Industry!U$87)^$F47*(IF(U30&lt;=0,1,V30/U30)^$G47/(1+$H47+$I47))^(1+$F47)</f>
        <v>0</v>
      </c>
      <c r="W57" s="24">
        <f>V57*(1+W$39)^($E47*W$40)*(1+W$41)*IF(Rebate_Industry!V$87&lt;=0,1,Rebate_Industry!W$87/Rebate_Industry!V$87)^$F47*(IF(V30&lt;=0,1,W30/V30)^$G47/(1+$H47+$I47))^(1+$F47)</f>
        <v>0</v>
      </c>
      <c r="X57" s="24">
        <f>W57*(1+X$39)^($E47*X$40)*(1+X$41)*IF(Rebate_Industry!W$87&lt;=0,1,Rebate_Industry!X$87/Rebate_Industry!W$87)^$F47*(IF(W30&lt;=0,1,X30/W30)^$G47/(1+$H47+$I47))^(1+$F47)</f>
        <v>0</v>
      </c>
      <c r="Y57" s="24">
        <f>X57*(1+Y$39)^($E47*Y$40)*(1+Y$41)*IF(Rebate_Industry!X$87&lt;=0,1,Rebate_Industry!Y$87/Rebate_Industry!X$87)^$F47*(IF(X30&lt;=0,1,Y30/X30)^$G47/(1+$H47+$I47))^(1+$F47)</f>
        <v>0</v>
      </c>
      <c r="Z57" s="24">
        <f>Y57*(1+Z$39)^($E47*Z$40)*(1+Z$41)*IF(Rebate_Industry!Y$87&lt;=0,1,Rebate_Industry!Z$87/Rebate_Industry!Y$87)^$F47*(IF(Y30&lt;=0,1,Z30/Y30)^$G47/(1+$H47+$I47))^(1+$F47)</f>
        <v>0</v>
      </c>
      <c r="AA57" s="24">
        <f>Z57*(1+AA$39)^($E47*AA$40)*(1+AA$41)*IF(Rebate_Industry!Z$87&lt;=0,1,Rebate_Industry!AA$87/Rebate_Industry!Z$87)^$F47*(IF(Z30&lt;=0,1,AA30/Z30)^$G47/(1+$H47+$I47))^(1+$F47)</f>
        <v>0</v>
      </c>
      <c r="AB57" s="24">
        <f>AA57*(1+AB$39)^($E47*AB$40)*(1+AB$41)*IF(Rebate_Industry!AA$87&lt;=0,1,Rebate_Industry!AB$87/Rebate_Industry!AA$87)^$F47*(IF(AA30&lt;=0,1,AB30/AA30)^$G47/(1+$H47+$I47))^(1+$F47)</f>
        <v>0</v>
      </c>
      <c r="AC57" s="24">
        <f>AB57*(1+AC$39)^($E47*AC$40)*(1+AC$41)*IF(Rebate_Industry!AB$87&lt;=0,1,Rebate_Industry!AC$87/Rebate_Industry!AB$87)^$F47*(IF(AB30&lt;=0,1,AC30/AB30)^$G47/(1+$H47+$I47))^(1+$F47)</f>
        <v>0</v>
      </c>
      <c r="AD57" s="24">
        <f>AC57*(1+AD$39)^($E47*AD$40)*(1+AD$41)*IF(Rebate_Industry!AC$87&lt;=0,1,Rebate_Industry!AD$87/Rebate_Industry!AC$87)^$F47*(IF(AC30&lt;=0,1,AD30/AC30)^$G47/(1+$H47+$I47))^(1+$F47)</f>
        <v>0</v>
      </c>
      <c r="AE57" s="24">
        <f>AD57*(1+AE$39)^($E47*AE$40)*(1+AE$41)*IF(Rebate_Industry!AD$87&lt;=0,1,Rebate_Industry!AE$87/Rebate_Industry!AD$87)^$F47*(IF(AD30&lt;=0,1,AE30/AD30)^$G47/(1+$H47+$I47))^(1+$F47)</f>
        <v>0</v>
      </c>
    </row>
    <row r="58" spans="2:31" x14ac:dyDescent="0.45">
      <c r="B58" s="14" t="s">
        <v>60</v>
      </c>
      <c r="C58" s="14" t="str">
        <f t="shared" si="4"/>
        <v>irn</v>
      </c>
      <c r="D58" s="15" t="s">
        <v>61</v>
      </c>
      <c r="E58" s="16" t="s">
        <v>108</v>
      </c>
      <c r="F58" s="14" t="s">
        <v>109</v>
      </c>
      <c r="G58" s="17" t="str">
        <f>Settings!$B$3&amp;".mit.enc."&amp;$B58</f>
        <v>egy.mit.enc.lpg</v>
      </c>
      <c r="H58" s="45" t="str">
        <f>Settings!$B$3&amp;".mit.ener."&amp;$C$5&amp;"."&amp;$B58&amp;".e."&amp;$J$5</f>
        <v>egy.mit.ener.irn.lpg.e.1</v>
      </c>
      <c r="I58" t="s">
        <v>2260</v>
      </c>
      <c r="L58" s="47">
        <f>INDEX(Data_Energy!$D$3:$U$22,MATCH($B58,Data_Energy!$C$3:$C$22,0),MATCH($C58,Data_Energy!$D$2:$U$2,0))</f>
        <v>0</v>
      </c>
      <c r="M58" s="24">
        <f>L58*(1+M$39)^($E48*M$40)*(1+M$41)*IF(Rebate_Industry!L$88&lt;=0,1,Rebate_Industry!M$88/Rebate_Industry!L$88)^$F48*(IF(L31&lt;=0,1,M31/L31)^$G48/(1+$H48+$I48))^(1+$F48)</f>
        <v>0</v>
      </c>
      <c r="N58" s="24">
        <f>M58*(1+N$39)^($E48*N$40)*(1+N$41)*IF(Rebate_Industry!M$88&lt;=0,1,Rebate_Industry!N$88/Rebate_Industry!M$88)^$F48*(IF(M31&lt;=0,1,N31/M31)^$G48/(1+$H48+$I48))^(1+$F48)</f>
        <v>0</v>
      </c>
      <c r="O58" s="24">
        <f>N58*(1+O$39)^($E48*O$40)*(1+O$41)*IF(Rebate_Industry!N$88&lt;=0,1,Rebate_Industry!O$88/Rebate_Industry!N$88)^$F48*(IF(N31&lt;=0,1,O31/N31)^$G48/(1+$H48+$I48))^(1+$F48)</f>
        <v>0</v>
      </c>
      <c r="P58" s="24">
        <f>O58*(1+P$39)^($E48*P$40)*(1+P$41)*IF(Rebate_Industry!O$88&lt;=0,1,Rebate_Industry!P$88/Rebate_Industry!O$88)^$F48*(IF(O31&lt;=0,1,P31/O31)^$G48/(1+$H48+$I48))^(1+$F48)</f>
        <v>0</v>
      </c>
      <c r="Q58" s="24">
        <f>P58*(1+Q$39)^($E48*Q$40)*(1+Q$41)*IF(Rebate_Industry!P$88&lt;=0,1,Rebate_Industry!Q$88/Rebate_Industry!P$88)^$F48*(IF(P31&lt;=0,1,Q31/P31)^$G48/(1+$H48+$I48))^(1+$F48)</f>
        <v>0</v>
      </c>
      <c r="R58" s="24">
        <f>Q58*(1+R$39)^($E48*R$40)*(1+R$41)*IF(Rebate_Industry!Q$88&lt;=0,1,Rebate_Industry!R$88/Rebate_Industry!Q$88)^$F48*(IF(Q31&lt;=0,1,R31/Q31)^$G48/(1+$H48+$I48))^(1+$F48)</f>
        <v>0</v>
      </c>
      <c r="S58" s="24">
        <f>R58*(1+S$39)^($E48*S$40)*(1+S$41)*IF(Rebate_Industry!R$88&lt;=0,1,Rebate_Industry!S$88/Rebate_Industry!R$88)^$F48*(IF(R31&lt;=0,1,S31/R31)^$G48/(1+$H48+$I48))^(1+$F48)</f>
        <v>0</v>
      </c>
      <c r="T58" s="24">
        <f>S58*(1+T$39)^($E48*T$40)*(1+T$41)*IF(Rebate_Industry!S$88&lt;=0,1,Rebate_Industry!T$88/Rebate_Industry!S$88)^$F48*(IF(S31&lt;=0,1,T31/S31)^$G48/(1+$H48+$I48))^(1+$F48)</f>
        <v>0</v>
      </c>
      <c r="U58" s="24">
        <f>T58*(1+U$39)^($E48*U$40)*(1+U$41)*IF(Rebate_Industry!T$88&lt;=0,1,Rebate_Industry!U$88/Rebate_Industry!T$88)^$F48*(IF(T31&lt;=0,1,U31/T31)^$G48/(1+$H48+$I48))^(1+$F48)</f>
        <v>0</v>
      </c>
      <c r="V58" s="24">
        <f>U58*(1+V$39)^($E48*V$40)*(1+V$41)*IF(Rebate_Industry!U$88&lt;=0,1,Rebate_Industry!V$88/Rebate_Industry!U$88)^$F48*(IF(U31&lt;=0,1,V31/U31)^$G48/(1+$H48+$I48))^(1+$F48)</f>
        <v>0</v>
      </c>
      <c r="W58" s="24">
        <f>V58*(1+W$39)^($E48*W$40)*(1+W$41)*IF(Rebate_Industry!V$88&lt;=0,1,Rebate_Industry!W$88/Rebate_Industry!V$88)^$F48*(IF(V31&lt;=0,1,W31/V31)^$G48/(1+$H48+$I48))^(1+$F48)</f>
        <v>0</v>
      </c>
      <c r="X58" s="24">
        <f>W58*(1+X$39)^($E48*X$40)*(1+X$41)*IF(Rebate_Industry!W$88&lt;=0,1,Rebate_Industry!X$88/Rebate_Industry!W$88)^$F48*(IF(W31&lt;=0,1,X31/W31)^$G48/(1+$H48+$I48))^(1+$F48)</f>
        <v>0</v>
      </c>
      <c r="Y58" s="24">
        <f>X58*(1+Y$39)^($E48*Y$40)*(1+Y$41)*IF(Rebate_Industry!X$88&lt;=0,1,Rebate_Industry!Y$88/Rebate_Industry!X$88)^$F48*(IF(X31&lt;=0,1,Y31/X31)^$G48/(1+$H48+$I48))^(1+$F48)</f>
        <v>0</v>
      </c>
      <c r="Z58" s="24">
        <f>Y58*(1+Z$39)^($E48*Z$40)*(1+Z$41)*IF(Rebate_Industry!Y$88&lt;=0,1,Rebate_Industry!Z$88/Rebate_Industry!Y$88)^$F48*(IF(Y31&lt;=0,1,Z31/Y31)^$G48/(1+$H48+$I48))^(1+$F48)</f>
        <v>0</v>
      </c>
      <c r="AA58" s="24">
        <f>Z58*(1+AA$39)^($E48*AA$40)*(1+AA$41)*IF(Rebate_Industry!Z$88&lt;=0,1,Rebate_Industry!AA$88/Rebate_Industry!Z$88)^$F48*(IF(Z31&lt;=0,1,AA31/Z31)^$G48/(1+$H48+$I48))^(1+$F48)</f>
        <v>0</v>
      </c>
      <c r="AB58" s="24">
        <f>AA58*(1+AB$39)^($E48*AB$40)*(1+AB$41)*IF(Rebate_Industry!AA$88&lt;=0,1,Rebate_Industry!AB$88/Rebate_Industry!AA$88)^$F48*(IF(AA31&lt;=0,1,AB31/AA31)^$G48/(1+$H48+$I48))^(1+$F48)</f>
        <v>0</v>
      </c>
      <c r="AC58" s="24">
        <f>AB58*(1+AC$39)^($E48*AC$40)*(1+AC$41)*IF(Rebate_Industry!AB$88&lt;=0,1,Rebate_Industry!AC$88/Rebate_Industry!AB$88)^$F48*(IF(AB31&lt;=0,1,AC31/AB31)^$G48/(1+$H48+$I48))^(1+$F48)</f>
        <v>0</v>
      </c>
      <c r="AD58" s="24">
        <f>AC58*(1+AD$39)^($E48*AD$40)*(1+AD$41)*IF(Rebate_Industry!AC$88&lt;=0,1,Rebate_Industry!AD$88/Rebate_Industry!AC$88)^$F48*(IF(AC31&lt;=0,1,AD31/AC31)^$G48/(1+$H48+$I48))^(1+$F48)</f>
        <v>0</v>
      </c>
      <c r="AE58" s="24">
        <f>AD58*(1+AE$39)^($E48*AE$40)*(1+AE$41)*IF(Rebate_Industry!AD$88&lt;=0,1,Rebate_Industry!AE$88/Rebate_Industry!AD$88)^$F48*(IF(AD31&lt;=0,1,AE31/AD31)^$G48/(1+$H48+$I48))^(1+$F48)</f>
        <v>0</v>
      </c>
    </row>
    <row r="59" spans="2:31" x14ac:dyDescent="0.45">
      <c r="B59" s="14" t="s">
        <v>62</v>
      </c>
      <c r="C59" s="14" t="str">
        <f t="shared" si="4"/>
        <v>irn</v>
      </c>
      <c r="D59" s="15" t="s">
        <v>63</v>
      </c>
      <c r="E59" s="16" t="s">
        <v>108</v>
      </c>
      <c r="F59" s="14" t="s">
        <v>109</v>
      </c>
      <c r="G59" s="17" t="str">
        <f>Settings!$B$3&amp;".mit.enc."&amp;$B59</f>
        <v>egy.mit.enc.ker</v>
      </c>
      <c r="H59" s="45" t="str">
        <f>Settings!$B$3&amp;".mit.ener."&amp;$C$5&amp;"."&amp;$B59&amp;".e."&amp;$J$5</f>
        <v>egy.mit.ener.irn.ker.e.1</v>
      </c>
      <c r="I59" t="s">
        <v>2261</v>
      </c>
      <c r="L59" s="47">
        <f>INDEX(Data_Energy!$D$3:$U$22,MATCH($B59,Data_Energy!$C$3:$C$22,0),MATCH($C59,Data_Energy!$D$2:$U$2,0))</f>
        <v>0</v>
      </c>
      <c r="M59" s="24">
        <f>L59*(1+M$39)^($E49*M$40)*(1+M$41)*IF(Rebate_Industry!L$89&lt;=0,1,Rebate_Industry!M$89/Rebate_Industry!L$89)^$F49*(IF(L32&lt;=0,1,M32/L32)^$G49/(1+$H49+$I49))^(1+$F49)</f>
        <v>0</v>
      </c>
      <c r="N59" s="24">
        <f>M59*(1+N$39)^($E49*N$40)*(1+N$41)*IF(Rebate_Industry!M$89&lt;=0,1,Rebate_Industry!N$89/Rebate_Industry!M$89)^$F49*(IF(M32&lt;=0,1,N32/M32)^$G49/(1+$H49+$I49))^(1+$F49)</f>
        <v>0</v>
      </c>
      <c r="O59" s="24">
        <f>N59*(1+O$39)^($E49*O$40)*(1+O$41)*IF(Rebate_Industry!N$89&lt;=0,1,Rebate_Industry!O$89/Rebate_Industry!N$89)^$F49*(IF(N32&lt;=0,1,O32/N32)^$G49/(1+$H49+$I49))^(1+$F49)</f>
        <v>0</v>
      </c>
      <c r="P59" s="24">
        <f>O59*(1+P$39)^($E49*P$40)*(1+P$41)*IF(Rebate_Industry!O$89&lt;=0,1,Rebate_Industry!P$89/Rebate_Industry!O$89)^$F49*(IF(O32&lt;=0,1,P32/O32)^$G49/(1+$H49+$I49))^(1+$F49)</f>
        <v>0</v>
      </c>
      <c r="Q59" s="24">
        <f>P59*(1+Q$39)^($E49*Q$40)*(1+Q$41)*IF(Rebate_Industry!P$89&lt;=0,1,Rebate_Industry!Q$89/Rebate_Industry!P$89)^$F49*(IF(P32&lt;=0,1,Q32/P32)^$G49/(1+$H49+$I49))^(1+$F49)</f>
        <v>0</v>
      </c>
      <c r="R59" s="24">
        <f>Q59*(1+R$39)^($E49*R$40)*(1+R$41)*IF(Rebate_Industry!Q$89&lt;=0,1,Rebate_Industry!R$89/Rebate_Industry!Q$89)^$F49*(IF(Q32&lt;=0,1,R32/Q32)^$G49/(1+$H49+$I49))^(1+$F49)</f>
        <v>0</v>
      </c>
      <c r="S59" s="24">
        <f>R59*(1+S$39)^($E49*S$40)*(1+S$41)*IF(Rebate_Industry!R$89&lt;=0,1,Rebate_Industry!S$89/Rebate_Industry!R$89)^$F49*(IF(R32&lt;=0,1,S32/R32)^$G49/(1+$H49+$I49))^(1+$F49)</f>
        <v>0</v>
      </c>
      <c r="T59" s="24">
        <f>S59*(1+T$39)^($E49*T$40)*(1+T$41)*IF(Rebate_Industry!S$89&lt;=0,1,Rebate_Industry!T$89/Rebate_Industry!S$89)^$F49*(IF(S32&lt;=0,1,T32/S32)^$G49/(1+$H49+$I49))^(1+$F49)</f>
        <v>0</v>
      </c>
      <c r="U59" s="24">
        <f>T59*(1+U$39)^($E49*U$40)*(1+U$41)*IF(Rebate_Industry!T$89&lt;=0,1,Rebate_Industry!U$89/Rebate_Industry!T$89)^$F49*(IF(T32&lt;=0,1,U32/T32)^$G49/(1+$H49+$I49))^(1+$F49)</f>
        <v>0</v>
      </c>
      <c r="V59" s="24">
        <f>U59*(1+V$39)^($E49*V$40)*(1+V$41)*IF(Rebate_Industry!U$89&lt;=0,1,Rebate_Industry!V$89/Rebate_Industry!U$89)^$F49*(IF(U32&lt;=0,1,V32/U32)^$G49/(1+$H49+$I49))^(1+$F49)</f>
        <v>0</v>
      </c>
      <c r="W59" s="24">
        <f>V59*(1+W$39)^($E49*W$40)*(1+W$41)*IF(Rebate_Industry!V$89&lt;=0,1,Rebate_Industry!W$89/Rebate_Industry!V$89)^$F49*(IF(V32&lt;=0,1,W32/V32)^$G49/(1+$H49+$I49))^(1+$F49)</f>
        <v>0</v>
      </c>
      <c r="X59" s="24">
        <f>W59*(1+X$39)^($E49*X$40)*(1+X$41)*IF(Rebate_Industry!W$89&lt;=0,1,Rebate_Industry!X$89/Rebate_Industry!W$89)^$F49*(IF(W32&lt;=0,1,X32/W32)^$G49/(1+$H49+$I49))^(1+$F49)</f>
        <v>0</v>
      </c>
      <c r="Y59" s="24">
        <f>X59*(1+Y$39)^($E49*Y$40)*(1+Y$41)*IF(Rebate_Industry!X$89&lt;=0,1,Rebate_Industry!Y$89/Rebate_Industry!X$89)^$F49*(IF(X32&lt;=0,1,Y32/X32)^$G49/(1+$H49+$I49))^(1+$F49)</f>
        <v>0</v>
      </c>
      <c r="Z59" s="24">
        <f>Y59*(1+Z$39)^($E49*Z$40)*(1+Z$41)*IF(Rebate_Industry!Y$89&lt;=0,1,Rebate_Industry!Z$89/Rebate_Industry!Y$89)^$F49*(IF(Y32&lt;=0,1,Z32/Y32)^$G49/(1+$H49+$I49))^(1+$F49)</f>
        <v>0</v>
      </c>
      <c r="AA59" s="24">
        <f>Z59*(1+AA$39)^($E49*AA$40)*(1+AA$41)*IF(Rebate_Industry!Z$89&lt;=0,1,Rebate_Industry!AA$89/Rebate_Industry!Z$89)^$F49*(IF(Z32&lt;=0,1,AA32/Z32)^$G49/(1+$H49+$I49))^(1+$F49)</f>
        <v>0</v>
      </c>
      <c r="AB59" s="24">
        <f>AA59*(1+AB$39)^($E49*AB$40)*(1+AB$41)*IF(Rebate_Industry!AA$89&lt;=0,1,Rebate_Industry!AB$89/Rebate_Industry!AA$89)^$F49*(IF(AA32&lt;=0,1,AB32/AA32)^$G49/(1+$H49+$I49))^(1+$F49)</f>
        <v>0</v>
      </c>
      <c r="AC59" s="24">
        <f>AB59*(1+AC$39)^($E49*AC$40)*(1+AC$41)*IF(Rebate_Industry!AB$89&lt;=0,1,Rebate_Industry!AC$89/Rebate_Industry!AB$89)^$F49*(IF(AB32&lt;=0,1,AC32/AB32)^$G49/(1+$H49+$I49))^(1+$F49)</f>
        <v>0</v>
      </c>
      <c r="AD59" s="24">
        <f>AC59*(1+AD$39)^($E49*AD$40)*(1+AD$41)*IF(Rebate_Industry!AC$89&lt;=0,1,Rebate_Industry!AD$89/Rebate_Industry!AC$89)^$F49*(IF(AC32&lt;=0,1,AD32/AC32)^$G49/(1+$H49+$I49))^(1+$F49)</f>
        <v>0</v>
      </c>
      <c r="AE59" s="24">
        <f>AD59*(1+AE$39)^($E49*AE$40)*(1+AE$41)*IF(Rebate_Industry!AD$89&lt;=0,1,Rebate_Industry!AE$89/Rebate_Industry!AD$89)^$F49*(IF(AD32&lt;=0,1,AE32/AD32)^$G49/(1+$H49+$I49))^(1+$F49)</f>
        <v>0</v>
      </c>
    </row>
    <row r="60" spans="2:31" x14ac:dyDescent="0.45">
      <c r="B60" s="14" t="s">
        <v>64</v>
      </c>
      <c r="C60" s="14" t="str">
        <f t="shared" si="4"/>
        <v>irn</v>
      </c>
      <c r="D60" s="15" t="s">
        <v>65</v>
      </c>
      <c r="E60" s="16" t="s">
        <v>108</v>
      </c>
      <c r="F60" s="14" t="s">
        <v>109</v>
      </c>
      <c r="G60" s="17" t="str">
        <f>Settings!$B$3&amp;".mit.enc."&amp;$B60</f>
        <v>egy.mit.enc.oop</v>
      </c>
      <c r="H60" s="45" t="str">
        <f>Settings!$B$3&amp;".mit.ener."&amp;$C$5&amp;"."&amp;$B60&amp;".e."&amp;$J$5</f>
        <v>egy.mit.ener.irn.oop.e.1</v>
      </c>
      <c r="I60" t="s">
        <v>2262</v>
      </c>
      <c r="L60" s="47">
        <f>INDEX(Data_Energy!$D$3:$U$22,MATCH($B60,Data_Energy!$C$3:$C$22,0),MATCH($C60,Data_Energy!$D$2:$U$2,0))</f>
        <v>0</v>
      </c>
      <c r="M60" s="24">
        <f>L60*(1+M$39)^($E50*M$40)*(1+M$41)*IF(Rebate_Industry!L$90&lt;=0,1,Rebate_Industry!M$90/Rebate_Industry!L$90)^$F50*(IF(L33&lt;=0,1,M33/L33)^$G50/(1+$H50+$I50))^(1+$F50)</f>
        <v>0</v>
      </c>
      <c r="N60" s="24">
        <f>M60*(1+N$39)^($E50*N$40)*(1+N$41)*IF(Rebate_Industry!M$90&lt;=0,1,Rebate_Industry!N$90/Rebate_Industry!M$90)^$F50*(IF(M33&lt;=0,1,N33/M33)^$G50/(1+$H50+$I50))^(1+$F50)</f>
        <v>0</v>
      </c>
      <c r="O60" s="24">
        <f>N60*(1+O$39)^($E50*O$40)*(1+O$41)*IF(Rebate_Industry!N$90&lt;=0,1,Rebate_Industry!O$90/Rebate_Industry!N$90)^$F50*(IF(N33&lt;=0,1,O33/N33)^$G50/(1+$H50+$I50))^(1+$F50)</f>
        <v>0</v>
      </c>
      <c r="P60" s="24">
        <f>O60*(1+P$39)^($E50*P$40)*(1+P$41)*IF(Rebate_Industry!O$90&lt;=0,1,Rebate_Industry!P$90/Rebate_Industry!O$90)^$F50*(IF(O33&lt;=0,1,P33/O33)^$G50/(1+$H50+$I50))^(1+$F50)</f>
        <v>0</v>
      </c>
      <c r="Q60" s="24">
        <f>P60*(1+Q$39)^($E50*Q$40)*(1+Q$41)*IF(Rebate_Industry!P$90&lt;=0,1,Rebate_Industry!Q$90/Rebate_Industry!P$90)^$F50*(IF(P33&lt;=0,1,Q33/P33)^$G50/(1+$H50+$I50))^(1+$F50)</f>
        <v>0</v>
      </c>
      <c r="R60" s="24">
        <f>Q60*(1+R$39)^($E50*R$40)*(1+R$41)*IF(Rebate_Industry!Q$90&lt;=0,1,Rebate_Industry!R$90/Rebate_Industry!Q$90)^$F50*(IF(Q33&lt;=0,1,R33/Q33)^$G50/(1+$H50+$I50))^(1+$F50)</f>
        <v>0</v>
      </c>
      <c r="S60" s="24">
        <f>R60*(1+S$39)^($E50*S$40)*(1+S$41)*IF(Rebate_Industry!R$90&lt;=0,1,Rebate_Industry!S$90/Rebate_Industry!R$90)^$F50*(IF(R33&lt;=0,1,S33/R33)^$G50/(1+$H50+$I50))^(1+$F50)</f>
        <v>0</v>
      </c>
      <c r="T60" s="24">
        <f>S60*(1+T$39)^($E50*T$40)*(1+T$41)*IF(Rebate_Industry!S$90&lt;=0,1,Rebate_Industry!T$90/Rebate_Industry!S$90)^$F50*(IF(S33&lt;=0,1,T33/S33)^$G50/(1+$H50+$I50))^(1+$F50)</f>
        <v>0</v>
      </c>
      <c r="U60" s="24">
        <f>T60*(1+U$39)^($E50*U$40)*(1+U$41)*IF(Rebate_Industry!T$90&lt;=0,1,Rebate_Industry!U$90/Rebate_Industry!T$90)^$F50*(IF(T33&lt;=0,1,U33/T33)^$G50/(1+$H50+$I50))^(1+$F50)</f>
        <v>0</v>
      </c>
      <c r="V60" s="24">
        <f>U60*(1+V$39)^($E50*V$40)*(1+V$41)*IF(Rebate_Industry!U$90&lt;=0,1,Rebate_Industry!V$90/Rebate_Industry!U$90)^$F50*(IF(U33&lt;=0,1,V33/U33)^$G50/(1+$H50+$I50))^(1+$F50)</f>
        <v>0</v>
      </c>
      <c r="W60" s="24">
        <f>V60*(1+W$39)^($E50*W$40)*(1+W$41)*IF(Rebate_Industry!V$90&lt;=0,1,Rebate_Industry!W$90/Rebate_Industry!V$90)^$F50*(IF(V33&lt;=0,1,W33/V33)^$G50/(1+$H50+$I50))^(1+$F50)</f>
        <v>0</v>
      </c>
      <c r="X60" s="24">
        <f>W60*(1+X$39)^($E50*X$40)*(1+X$41)*IF(Rebate_Industry!W$90&lt;=0,1,Rebate_Industry!X$90/Rebate_Industry!W$90)^$F50*(IF(W33&lt;=0,1,X33/W33)^$G50/(1+$H50+$I50))^(1+$F50)</f>
        <v>0</v>
      </c>
      <c r="Y60" s="24">
        <f>X60*(1+Y$39)^($E50*Y$40)*(1+Y$41)*IF(Rebate_Industry!X$90&lt;=0,1,Rebate_Industry!Y$90/Rebate_Industry!X$90)^$F50*(IF(X33&lt;=0,1,Y33/X33)^$G50/(1+$H50+$I50))^(1+$F50)</f>
        <v>0</v>
      </c>
      <c r="Z60" s="24">
        <f>Y60*(1+Z$39)^($E50*Z$40)*(1+Z$41)*IF(Rebate_Industry!Y$90&lt;=0,1,Rebate_Industry!Z$90/Rebate_Industry!Y$90)^$F50*(IF(Y33&lt;=0,1,Z33/Y33)^$G50/(1+$H50+$I50))^(1+$F50)</f>
        <v>0</v>
      </c>
      <c r="AA60" s="24">
        <f>Z60*(1+AA$39)^($E50*AA$40)*(1+AA$41)*IF(Rebate_Industry!Z$90&lt;=0,1,Rebate_Industry!AA$90/Rebate_Industry!Z$90)^$F50*(IF(Z33&lt;=0,1,AA33/Z33)^$G50/(1+$H50+$I50))^(1+$F50)</f>
        <v>0</v>
      </c>
      <c r="AB60" s="24">
        <f>AA60*(1+AB$39)^($E50*AB$40)*(1+AB$41)*IF(Rebate_Industry!AA$90&lt;=0,1,Rebate_Industry!AB$90/Rebate_Industry!AA$90)^$F50*(IF(AA33&lt;=0,1,AB33/AA33)^$G50/(1+$H50+$I50))^(1+$F50)</f>
        <v>0</v>
      </c>
      <c r="AC60" s="24">
        <f>AB60*(1+AC$39)^($E50*AC$40)*(1+AC$41)*IF(Rebate_Industry!AB$90&lt;=0,1,Rebate_Industry!AC$90/Rebate_Industry!AB$90)^$F50*(IF(AB33&lt;=0,1,AC33/AB33)^$G50/(1+$H50+$I50))^(1+$F50)</f>
        <v>0</v>
      </c>
      <c r="AD60" s="24">
        <f>AC60*(1+AD$39)^($E50*AD$40)*(1+AD$41)*IF(Rebate_Industry!AC$90&lt;=0,1,Rebate_Industry!AD$90/Rebate_Industry!AC$90)^$F50*(IF(AC33&lt;=0,1,AD33/AC33)^$G50/(1+$H50+$I50))^(1+$F50)</f>
        <v>0</v>
      </c>
      <c r="AE60" s="24">
        <f>AD60*(1+AE$39)^($E50*AE$40)*(1+AE$41)*IF(Rebate_Industry!AD$90&lt;=0,1,Rebate_Industry!AE$90/Rebate_Industry!AD$90)^$F50*(IF(AD33&lt;=0,1,AE33/AD33)^$G50/(1+$H50+$I50))^(1+$F50)</f>
        <v>0</v>
      </c>
    </row>
    <row r="61" spans="2:31" x14ac:dyDescent="0.45">
      <c r="B61" s="14" t="s">
        <v>67</v>
      </c>
      <c r="C61" s="14" t="str">
        <f t="shared" si="4"/>
        <v>irn</v>
      </c>
      <c r="D61" s="15" t="s">
        <v>68</v>
      </c>
      <c r="E61" s="16" t="s">
        <v>108</v>
      </c>
      <c r="F61" s="14" t="s">
        <v>109</v>
      </c>
      <c r="G61" s="17" t="str">
        <f>Settings!$B$3&amp;".mit.enc."&amp;$B61</f>
        <v>egy.mit.enc.bio</v>
      </c>
      <c r="H61" s="45" t="str">
        <f>Settings!$B$3&amp;".mit.ener."&amp;$C$5&amp;"."&amp;$B61&amp;".e."&amp;$J$5</f>
        <v>egy.mit.ener.irn.bio.e.1</v>
      </c>
      <c r="I61" t="s">
        <v>2263</v>
      </c>
      <c r="L61" s="47">
        <f>INDEX(Data_Energy!$D$3:$U$22,MATCH($B61,Data_Energy!$C$3:$C$22,0),MATCH($C61,Data_Energy!$D$2:$U$2,0))</f>
        <v>0</v>
      </c>
      <c r="M61" s="24">
        <f>L61*(1+M$39)^($E51*M$40)*(1+M$41)*IF(Rebate_Industry!L$91&lt;=0,1,Rebate_Industry!M$91/Rebate_Industry!L$91)^$F51*(IF(L34&lt;=0,1,M34/L34)^$G51/(1+$H51+$I51))^(1+$F51)</f>
        <v>0</v>
      </c>
      <c r="N61" s="24">
        <f>M61*(1+N$39)^($E51*N$40)*(1+N$41)*IF(Rebate_Industry!M$91&lt;=0,1,Rebate_Industry!N$91/Rebate_Industry!M$91)^$F51*(IF(M34&lt;=0,1,N34/M34)^$G51/(1+$H51+$I51))^(1+$F51)</f>
        <v>0</v>
      </c>
      <c r="O61" s="24">
        <f>N61*(1+O$39)^($E51*O$40)*(1+O$41)*IF(Rebate_Industry!N$91&lt;=0,1,Rebate_Industry!O$91/Rebate_Industry!N$91)^$F51*(IF(N34&lt;=0,1,O34/N34)^$G51/(1+$H51+$I51))^(1+$F51)</f>
        <v>0</v>
      </c>
      <c r="P61" s="24">
        <f>O61*(1+P$39)^($E51*P$40)*(1+P$41)*IF(Rebate_Industry!O$91&lt;=0,1,Rebate_Industry!P$91/Rebate_Industry!O$91)^$F51*(IF(O34&lt;=0,1,P34/O34)^$G51/(1+$H51+$I51))^(1+$F51)</f>
        <v>0</v>
      </c>
      <c r="Q61" s="24">
        <f>P61*(1+Q$39)^($E51*Q$40)*(1+Q$41)*IF(Rebate_Industry!P$91&lt;=0,1,Rebate_Industry!Q$91/Rebate_Industry!P$91)^$F51*(IF(P34&lt;=0,1,Q34/P34)^$G51/(1+$H51+$I51))^(1+$F51)</f>
        <v>0</v>
      </c>
      <c r="R61" s="24">
        <f>Q61*(1+R$39)^($E51*R$40)*(1+R$41)*IF(Rebate_Industry!Q$91&lt;=0,1,Rebate_Industry!R$91/Rebate_Industry!Q$91)^$F51*(IF(Q34&lt;=0,1,R34/Q34)^$G51/(1+$H51+$I51))^(1+$F51)</f>
        <v>0</v>
      </c>
      <c r="S61" s="24">
        <f>R61*(1+S$39)^($E51*S$40)*(1+S$41)*IF(Rebate_Industry!R$91&lt;=0,1,Rebate_Industry!S$91/Rebate_Industry!R$91)^$F51*(IF(R34&lt;=0,1,S34/R34)^$G51/(1+$H51+$I51))^(1+$F51)</f>
        <v>0</v>
      </c>
      <c r="T61" s="24">
        <f>S61*(1+T$39)^($E51*T$40)*(1+T$41)*IF(Rebate_Industry!S$91&lt;=0,1,Rebate_Industry!T$91/Rebate_Industry!S$91)^$F51*(IF(S34&lt;=0,1,T34/S34)^$G51/(1+$H51+$I51))^(1+$F51)</f>
        <v>0</v>
      </c>
      <c r="U61" s="24">
        <f>T61*(1+U$39)^($E51*U$40)*(1+U$41)*IF(Rebate_Industry!T$91&lt;=0,1,Rebate_Industry!U$91/Rebate_Industry!T$91)^$F51*(IF(T34&lt;=0,1,U34/T34)^$G51/(1+$H51+$I51))^(1+$F51)</f>
        <v>0</v>
      </c>
      <c r="V61" s="24">
        <f>U61*(1+V$39)^($E51*V$40)*(1+V$41)*IF(Rebate_Industry!U$91&lt;=0,1,Rebate_Industry!V$91/Rebate_Industry!U$91)^$F51*(IF(U34&lt;=0,1,V34/U34)^$G51/(1+$H51+$I51))^(1+$F51)</f>
        <v>0</v>
      </c>
      <c r="W61" s="24">
        <f>V61*(1+W$39)^($E51*W$40)*(1+W$41)*IF(Rebate_Industry!V$91&lt;=0,1,Rebate_Industry!W$91/Rebate_Industry!V$91)^$F51*(IF(V34&lt;=0,1,W34/V34)^$G51/(1+$H51+$I51))^(1+$F51)</f>
        <v>0</v>
      </c>
      <c r="X61" s="24">
        <f>W61*(1+X$39)^($E51*X$40)*(1+X$41)*IF(Rebate_Industry!W$91&lt;=0,1,Rebate_Industry!X$91/Rebate_Industry!W$91)^$F51*(IF(W34&lt;=0,1,X34/W34)^$G51/(1+$H51+$I51))^(1+$F51)</f>
        <v>0</v>
      </c>
      <c r="Y61" s="24">
        <f>X61*(1+Y$39)^($E51*Y$40)*(1+Y$41)*IF(Rebate_Industry!X$91&lt;=0,1,Rebate_Industry!Y$91/Rebate_Industry!X$91)^$F51*(IF(X34&lt;=0,1,Y34/X34)^$G51/(1+$H51+$I51))^(1+$F51)</f>
        <v>0</v>
      </c>
      <c r="Z61" s="24">
        <f>Y61*(1+Z$39)^($E51*Z$40)*(1+Z$41)*IF(Rebate_Industry!Y$91&lt;=0,1,Rebate_Industry!Z$91/Rebate_Industry!Y$91)^$F51*(IF(Y34&lt;=0,1,Z34/Y34)^$G51/(1+$H51+$I51))^(1+$F51)</f>
        <v>0</v>
      </c>
      <c r="AA61" s="24">
        <f>Z61*(1+AA$39)^($E51*AA$40)*(1+AA$41)*IF(Rebate_Industry!Z$91&lt;=0,1,Rebate_Industry!AA$91/Rebate_Industry!Z$91)^$F51*(IF(Z34&lt;=0,1,AA34/Z34)^$G51/(1+$H51+$I51))^(1+$F51)</f>
        <v>0</v>
      </c>
      <c r="AB61" s="24">
        <f>AA61*(1+AB$39)^($E51*AB$40)*(1+AB$41)*IF(Rebate_Industry!AA$91&lt;=0,1,Rebate_Industry!AB$91/Rebate_Industry!AA$91)^$F51*(IF(AA34&lt;=0,1,AB34/AA34)^$G51/(1+$H51+$I51))^(1+$F51)</f>
        <v>0</v>
      </c>
      <c r="AC61" s="24">
        <f>AB61*(1+AC$39)^($E51*AC$40)*(1+AC$41)*IF(Rebate_Industry!AB$91&lt;=0,1,Rebate_Industry!AC$91/Rebate_Industry!AB$91)^$F51*(IF(AB34&lt;=0,1,AC34/AB34)^$G51/(1+$H51+$I51))^(1+$F51)</f>
        <v>0</v>
      </c>
      <c r="AD61" s="24">
        <f>AC61*(1+AD$39)^($E51*AD$40)*(1+AD$41)*IF(Rebate_Industry!AC$91&lt;=0,1,Rebate_Industry!AD$91/Rebate_Industry!AC$91)^$F51*(IF(AC34&lt;=0,1,AD34/AC34)^$G51/(1+$H51+$I51))^(1+$F51)</f>
        <v>0</v>
      </c>
      <c r="AE61" s="24">
        <f>AD61*(1+AE$39)^($E51*AE$40)*(1+AE$41)*IF(Rebate_Industry!AD$91&lt;=0,1,Rebate_Industry!AE$91/Rebate_Industry!AD$91)^$F51*(IF(AD34&lt;=0,1,AE34/AD34)^$G51/(1+$H51+$I51))^(1+$F51)</f>
        <v>0</v>
      </c>
    </row>
    <row r="62" spans="2:31" x14ac:dyDescent="0.45">
      <c r="B62" s="14" t="s">
        <v>69</v>
      </c>
      <c r="C62" s="14" t="str">
        <f t="shared" si="4"/>
        <v>irn</v>
      </c>
      <c r="D62" s="15" t="s">
        <v>70</v>
      </c>
      <c r="E62" s="16" t="s">
        <v>108</v>
      </c>
      <c r="F62" s="14" t="s">
        <v>109</v>
      </c>
      <c r="G62" s="17" t="str">
        <f>Settings!$B$3&amp;".mit.enc."&amp;$B62</f>
        <v>egy.mit.enc.ren</v>
      </c>
      <c r="H62" s="45" t="str">
        <f>Settings!$B$3&amp;".mit.ener."&amp;$C$5&amp;"."&amp;$B62&amp;".e."&amp;$J$5</f>
        <v>egy.mit.ener.irn.ren.e.1</v>
      </c>
      <c r="I62" t="s">
        <v>2264</v>
      </c>
      <c r="L62" s="47">
        <f>INDEX(Data_Energy!$D$3:$U$22,MATCH($B62,Data_Energy!$C$3:$C$22,0),MATCH($C62,Data_Energy!$D$2:$U$2,0))</f>
        <v>0</v>
      </c>
      <c r="M62" s="24">
        <f>L62*(1+M$39)^($E52*M$40)*(1+M$41)*IF(Rebate_Industry!L$92&lt;=0,1,Rebate_Industry!M$92/Rebate_Industry!L$92)^$F52*(IF(L35&lt;=0,1,M35/L35)^$G52/(1+$H52+$I52))^(1+$F52)</f>
        <v>0</v>
      </c>
      <c r="N62" s="24">
        <f>M62*(1+N$39)^($E52*N$40)*(1+N$41)*IF(Rebate_Industry!M$92&lt;=0,1,Rebate_Industry!N$92/Rebate_Industry!M$92)^$F52*(IF(M35&lt;=0,1,N35/M35)^$G52/(1+$H52+$I52))^(1+$F52)</f>
        <v>0</v>
      </c>
      <c r="O62" s="24">
        <f>N62*(1+O$39)^($E52*O$40)*(1+O$41)*IF(Rebate_Industry!N$92&lt;=0,1,Rebate_Industry!O$92/Rebate_Industry!N$92)^$F52*(IF(N35&lt;=0,1,O35/N35)^$G52/(1+$H52+$I52))^(1+$F52)</f>
        <v>0</v>
      </c>
      <c r="P62" s="24">
        <f>O62*(1+P$39)^($E52*P$40)*(1+P$41)*IF(Rebate_Industry!O$92&lt;=0,1,Rebate_Industry!P$92/Rebate_Industry!O$92)^$F52*(IF(O35&lt;=0,1,P35/O35)^$G52/(1+$H52+$I52))^(1+$F52)</f>
        <v>0</v>
      </c>
      <c r="Q62" s="24">
        <f>P62*(1+Q$39)^($E52*Q$40)*(1+Q$41)*IF(Rebate_Industry!P$92&lt;=0,1,Rebate_Industry!Q$92/Rebate_Industry!P$92)^$F52*(IF(P35&lt;=0,1,Q35/P35)^$G52/(1+$H52+$I52))^(1+$F52)</f>
        <v>0</v>
      </c>
      <c r="R62" s="24">
        <f>Q62*(1+R$39)^($E52*R$40)*(1+R$41)*IF(Rebate_Industry!Q$92&lt;=0,1,Rebate_Industry!R$92/Rebate_Industry!Q$92)^$F52*(IF(Q35&lt;=0,1,R35/Q35)^$G52/(1+$H52+$I52))^(1+$F52)</f>
        <v>0</v>
      </c>
      <c r="S62" s="24">
        <f>R62*(1+S$39)^($E52*S$40)*(1+S$41)*IF(Rebate_Industry!R$92&lt;=0,1,Rebate_Industry!S$92/Rebate_Industry!R$92)^$F52*(IF(R35&lt;=0,1,S35/R35)^$G52/(1+$H52+$I52))^(1+$F52)</f>
        <v>0</v>
      </c>
      <c r="T62" s="24">
        <f>S62*(1+T$39)^($E52*T$40)*(1+T$41)*IF(Rebate_Industry!S$92&lt;=0,1,Rebate_Industry!T$92/Rebate_Industry!S$92)^$F52*(IF(S35&lt;=0,1,T35/S35)^$G52/(1+$H52+$I52))^(1+$F52)</f>
        <v>0</v>
      </c>
      <c r="U62" s="24">
        <f>T62*(1+U$39)^($E52*U$40)*(1+U$41)*IF(Rebate_Industry!T$92&lt;=0,1,Rebate_Industry!U$92/Rebate_Industry!T$92)^$F52*(IF(T35&lt;=0,1,U35/T35)^$G52/(1+$H52+$I52))^(1+$F52)</f>
        <v>0</v>
      </c>
      <c r="V62" s="24">
        <f>U62*(1+V$39)^($E52*V$40)*(1+V$41)*IF(Rebate_Industry!U$92&lt;=0,1,Rebate_Industry!V$92/Rebate_Industry!U$92)^$F52*(IF(U35&lt;=0,1,V35/U35)^$G52/(1+$H52+$I52))^(1+$F52)</f>
        <v>0</v>
      </c>
      <c r="W62" s="24">
        <f>V62*(1+W$39)^($E52*W$40)*(1+W$41)*IF(Rebate_Industry!V$92&lt;=0,1,Rebate_Industry!W$92/Rebate_Industry!V$92)^$F52*(IF(V35&lt;=0,1,W35/V35)^$G52/(1+$H52+$I52))^(1+$F52)</f>
        <v>0</v>
      </c>
      <c r="X62" s="24">
        <f>W62*(1+X$39)^($E52*X$40)*(1+X$41)*IF(Rebate_Industry!W$92&lt;=0,1,Rebate_Industry!X$92/Rebate_Industry!W$92)^$F52*(IF(W35&lt;=0,1,X35/W35)^$G52/(1+$H52+$I52))^(1+$F52)</f>
        <v>0</v>
      </c>
      <c r="Y62" s="24">
        <f>X62*(1+Y$39)^($E52*Y$40)*(1+Y$41)*IF(Rebate_Industry!X$92&lt;=0,1,Rebate_Industry!Y$92/Rebate_Industry!X$92)^$F52*(IF(X35&lt;=0,1,Y35/X35)^$G52/(1+$H52+$I52))^(1+$F52)</f>
        <v>0</v>
      </c>
      <c r="Z62" s="24">
        <f>Y62*(1+Z$39)^($E52*Z$40)*(1+Z$41)*IF(Rebate_Industry!Y$92&lt;=0,1,Rebate_Industry!Z$92/Rebate_Industry!Y$92)^$F52*(IF(Y35&lt;=0,1,Z35/Y35)^$G52/(1+$H52+$I52))^(1+$F52)</f>
        <v>0</v>
      </c>
      <c r="AA62" s="24">
        <f>Z62*(1+AA$39)^($E52*AA$40)*(1+AA$41)*IF(Rebate_Industry!Z$92&lt;=0,1,Rebate_Industry!AA$92/Rebate_Industry!Z$92)^$F52*(IF(Z35&lt;=0,1,AA35/Z35)^$G52/(1+$H52+$I52))^(1+$F52)</f>
        <v>0</v>
      </c>
      <c r="AB62" s="24">
        <f>AA62*(1+AB$39)^($E52*AB$40)*(1+AB$41)*IF(Rebate_Industry!AA$92&lt;=0,1,Rebate_Industry!AB$92/Rebate_Industry!AA$92)^$F52*(IF(AA35&lt;=0,1,AB35/AA35)^$G52/(1+$H52+$I52))^(1+$F52)</f>
        <v>0</v>
      </c>
      <c r="AC62" s="24">
        <f>AB62*(1+AC$39)^($E52*AC$40)*(1+AC$41)*IF(Rebate_Industry!AB$92&lt;=0,1,Rebate_Industry!AC$92/Rebate_Industry!AB$92)^$F52*(IF(AB35&lt;=0,1,AC35/AB35)^$G52/(1+$H52+$I52))^(1+$F52)</f>
        <v>0</v>
      </c>
      <c r="AD62" s="24">
        <f>AC62*(1+AD$39)^($E52*AD$40)*(1+AD$41)*IF(Rebate_Industry!AC$92&lt;=0,1,Rebate_Industry!AD$92/Rebate_Industry!AC$92)^$F52*(IF(AC35&lt;=0,1,AD35/AC35)^$G52/(1+$H52+$I52))^(1+$F52)</f>
        <v>0</v>
      </c>
      <c r="AE62" s="24">
        <f>AD62*(1+AE$39)^($E52*AE$40)*(1+AE$41)*IF(Rebate_Industry!AD$92&lt;=0,1,Rebate_Industry!AE$92/Rebate_Industry!AD$92)^$F52*(IF(AD35&lt;=0,1,AE35/AD35)^$G52/(1+$H52+$I52))^(1+$F52)</f>
        <v>0</v>
      </c>
    </row>
    <row r="63" spans="2:31" x14ac:dyDescent="0.45">
      <c r="B63" s="14" t="s">
        <v>110</v>
      </c>
      <c r="C63" s="14" t="str">
        <f t="shared" si="4"/>
        <v>irn</v>
      </c>
      <c r="D63" s="25" t="s">
        <v>111</v>
      </c>
      <c r="E63" s="16" t="s">
        <v>108</v>
      </c>
      <c r="F63" s="14" t="s">
        <v>109</v>
      </c>
      <c r="H63" s="45" t="str">
        <f>Settings!$B$3&amp;".mit.ener."&amp;$C$5&amp;".tot.e."&amp;$J$5</f>
        <v>egy.mit.ener.irn.tot.e.1</v>
      </c>
      <c r="L63" s="26">
        <f t="shared" ref="L63:AE63" si="5">SUM(L54:L62)</f>
        <v>1901.7140738122609</v>
      </c>
      <c r="M63" s="26">
        <f t="shared" si="5"/>
        <v>1621.2301769893743</v>
      </c>
      <c r="N63" s="26">
        <f t="shared" si="5"/>
        <v>1820.8469202303741</v>
      </c>
      <c r="O63" s="26">
        <f t="shared" si="5"/>
        <v>1904.3670376253485</v>
      </c>
      <c r="P63" s="26">
        <f t="shared" si="5"/>
        <v>1961.702021253242</v>
      </c>
      <c r="Q63" s="26">
        <f t="shared" si="5"/>
        <v>2038.962541648895</v>
      </c>
      <c r="R63" s="26">
        <f t="shared" si="5"/>
        <v>2135.0351712538527</v>
      </c>
      <c r="S63" s="26">
        <f t="shared" si="5"/>
        <v>2228.4850873444593</v>
      </c>
      <c r="T63" s="26">
        <f t="shared" si="5"/>
        <v>2317.2308926620321</v>
      </c>
      <c r="U63" s="26">
        <f t="shared" si="5"/>
        <v>2407.7811783186385</v>
      </c>
      <c r="V63" s="26">
        <f t="shared" si="5"/>
        <v>2499.2702877093025</v>
      </c>
      <c r="W63" s="26">
        <f t="shared" si="5"/>
        <v>2592.8704056506044</v>
      </c>
      <c r="X63" s="26">
        <f t="shared" si="5"/>
        <v>2688.5787907172216</v>
      </c>
      <c r="Y63" s="26">
        <f t="shared" si="5"/>
        <v>2786.3911204964452</v>
      </c>
      <c r="Z63" s="26">
        <f t="shared" si="5"/>
        <v>2886.3014634759543</v>
      </c>
      <c r="AA63" s="26">
        <f t="shared" si="5"/>
        <v>2988.3022473044075</v>
      </c>
      <c r="AB63" s="26">
        <f t="shared" si="5"/>
        <v>3092.384223175638</v>
      </c>
      <c r="AC63" s="26">
        <f t="shared" si="5"/>
        <v>3198.5364260969</v>
      </c>
      <c r="AD63" s="26">
        <f t="shared" si="5"/>
        <v>3306.7461308112624</v>
      </c>
      <c r="AE63" s="26">
        <f t="shared" si="5"/>
        <v>3416.9988031533467</v>
      </c>
    </row>
    <row r="65" spans="1:35" x14ac:dyDescent="0.45">
      <c r="A65" s="11"/>
      <c r="B65" s="6" t="s">
        <v>112</v>
      </c>
      <c r="C65" s="7" t="s">
        <v>113</v>
      </c>
      <c r="D65" s="6" t="s">
        <v>44</v>
      </c>
      <c r="E65" s="7" t="s">
        <v>35</v>
      </c>
      <c r="F65" s="7" t="s">
        <v>45</v>
      </c>
      <c r="G65" s="7" t="s">
        <v>46</v>
      </c>
      <c r="H65" s="12" t="s">
        <v>38</v>
      </c>
      <c r="I65" s="6" t="s">
        <v>47</v>
      </c>
      <c r="J65" s="48">
        <v>1</v>
      </c>
      <c r="K65" s="6">
        <v>2021</v>
      </c>
      <c r="L65" s="46">
        <v>2022</v>
      </c>
      <c r="M65" s="6">
        <v>2023</v>
      </c>
      <c r="N65" s="6">
        <v>2024</v>
      </c>
      <c r="O65" s="6">
        <v>2025</v>
      </c>
      <c r="P65" s="6">
        <v>2026</v>
      </c>
      <c r="Q65" s="6">
        <v>2027</v>
      </c>
      <c r="R65" s="6">
        <v>2028</v>
      </c>
      <c r="S65" s="6">
        <v>2029</v>
      </c>
      <c r="T65" s="6">
        <v>2030</v>
      </c>
      <c r="U65" s="6">
        <v>2031</v>
      </c>
      <c r="V65" s="6">
        <v>2032</v>
      </c>
      <c r="W65" s="6">
        <v>2033</v>
      </c>
      <c r="X65" s="6">
        <v>2034</v>
      </c>
      <c r="Y65" s="6">
        <v>2035</v>
      </c>
      <c r="Z65" s="6">
        <v>2036</v>
      </c>
      <c r="AA65" s="6">
        <v>2037</v>
      </c>
      <c r="AB65" s="6">
        <v>2038</v>
      </c>
      <c r="AC65" s="6">
        <v>2039</v>
      </c>
      <c r="AD65" s="6">
        <v>2040</v>
      </c>
      <c r="AE65" s="6">
        <v>2041</v>
      </c>
      <c r="AF65" s="6">
        <v>2042</v>
      </c>
      <c r="AG65" s="6">
        <v>2043</v>
      </c>
      <c r="AH65" s="6">
        <v>2044</v>
      </c>
      <c r="AI65" s="6">
        <v>2045</v>
      </c>
    </row>
    <row r="66" spans="1:35" x14ac:dyDescent="0.45">
      <c r="B66" s="13" t="s">
        <v>48</v>
      </c>
    </row>
    <row r="67" spans="1:35" x14ac:dyDescent="0.45">
      <c r="B67" s="14" t="s">
        <v>49</v>
      </c>
      <c r="C67" s="14" t="str">
        <f t="shared" ref="C67:C75" si="6">$C$65</f>
        <v>cem</v>
      </c>
      <c r="D67" s="15" t="s">
        <v>50</v>
      </c>
      <c r="E67" s="16" t="s">
        <v>51</v>
      </c>
      <c r="F67" s="14" t="s">
        <v>52</v>
      </c>
      <c r="G67" s="17" t="str">
        <f>Settings!$B$3&amp;".mit.pbc."&amp;Settings!$B$4&amp;"."&amp;$B67&amp;".a."&amp;$J$65</f>
        <v>egy.mit.pbc.ind.coa.a.1</v>
      </c>
      <c r="H67" s="45" t="str">
        <f>Settings!$B$3&amp;".mit.ptp."&amp;$C$65&amp;"."&amp;$B67&amp;".e."&amp;$J$65</f>
        <v>egy.mit.ptp.cem.coa.e.1</v>
      </c>
      <c r="K67" s="18">
        <f>INDEX(Data_Prices!K:K,MATCH($G67,Data_Prices!$A:$A,0))</f>
        <v>11.182901589243899</v>
      </c>
      <c r="L67" s="18">
        <f>INDEX(Data_Prices!L:L,MATCH($G67,Data_Prices!$A:$A,0))</f>
        <v>10.5233613454312</v>
      </c>
      <c r="M67" s="18">
        <f>INDEX(Data_Prices!M:M,MATCH($G67,Data_Prices!$A:$A,0))</f>
        <v>10.2995608274442</v>
      </c>
      <c r="N67" s="18">
        <f>INDEX(Data_Prices!N:N,MATCH($G67,Data_Prices!$A:$A,0))</f>
        <v>9.5775283595382597</v>
      </c>
      <c r="O67" s="18">
        <f>INDEX(Data_Prices!O:O,MATCH($G67,Data_Prices!$A:$A,0))</f>
        <v>8.4854782869580507</v>
      </c>
      <c r="P67" s="18">
        <f>INDEX(Data_Prices!P:P,MATCH($G67,Data_Prices!$A:$A,0))</f>
        <v>9.0871922352498604</v>
      </c>
      <c r="Q67" s="18">
        <f>INDEX(Data_Prices!Q:Q,MATCH($G67,Data_Prices!$A:$A,0))</f>
        <v>9.2229237289326793</v>
      </c>
      <c r="R67" s="18">
        <f>INDEX(Data_Prices!R:R,MATCH($G67,Data_Prices!$A:$A,0))</f>
        <v>9.1585649555096893</v>
      </c>
      <c r="S67" s="18">
        <f>INDEX(Data_Prices!S:S,MATCH($G67,Data_Prices!$A:$A,0))</f>
        <v>9.0895478773973792</v>
      </c>
      <c r="T67" s="18">
        <f>INDEX(Data_Prices!T:T,MATCH($G67,Data_Prices!$A:$A,0))</f>
        <v>9.0156816660228305</v>
      </c>
      <c r="U67" s="18">
        <f>INDEX(Data_Prices!U:U,MATCH($G67,Data_Prices!$A:$A,0))</f>
        <v>8.9443977655571096</v>
      </c>
      <c r="V67" s="18">
        <f>INDEX(Data_Prices!V:V,MATCH($G67,Data_Prices!$A:$A,0))</f>
        <v>8.9443977655571096</v>
      </c>
      <c r="W67" s="18">
        <f>INDEX(Data_Prices!W:W,MATCH($G67,Data_Prices!$A:$A,0))</f>
        <v>8.9443977655571096</v>
      </c>
      <c r="X67" s="18">
        <f>INDEX(Data_Prices!X:X,MATCH($G67,Data_Prices!$A:$A,0))</f>
        <v>8.9443977655571096</v>
      </c>
      <c r="Y67" s="18">
        <f>INDEX(Data_Prices!Y:Y,MATCH($G67,Data_Prices!$A:$A,0))</f>
        <v>8.9443977655571096</v>
      </c>
      <c r="Z67" s="18">
        <f>INDEX(Data_Prices!Z:Z,MATCH($G67,Data_Prices!$A:$A,0))</f>
        <v>8.9443977655571096</v>
      </c>
      <c r="AA67" s="18">
        <f>INDEX(Data_Prices!AA:AA,MATCH($G67,Data_Prices!$A:$A,0))</f>
        <v>8.9443977655571096</v>
      </c>
      <c r="AB67" s="18">
        <f>INDEX(Data_Prices!AB:AB,MATCH($G67,Data_Prices!$A:$A,0))</f>
        <v>8.9443977655571096</v>
      </c>
      <c r="AC67" s="18">
        <f>INDEX(Data_Prices!AC:AC,MATCH($G67,Data_Prices!$A:$A,0))</f>
        <v>8.9443977655571096</v>
      </c>
      <c r="AD67" s="18">
        <f>INDEX(Data_Prices!AD:AD,MATCH($G67,Data_Prices!$A:$A,0))</f>
        <v>8.9443977655571096</v>
      </c>
      <c r="AE67" s="18">
        <f>INDEX(Data_Prices!AE:AE,MATCH($G67,Data_Prices!$A:$A,0))</f>
        <v>8.9443977655571096</v>
      </c>
    </row>
    <row r="68" spans="1:35" x14ac:dyDescent="0.45">
      <c r="B68" s="14" t="s">
        <v>53</v>
      </c>
      <c r="C68" s="14" t="str">
        <f t="shared" si="6"/>
        <v>cem</v>
      </c>
      <c r="D68" s="15" t="s">
        <v>54</v>
      </c>
      <c r="E68" s="16" t="s">
        <v>51</v>
      </c>
      <c r="F68" s="14" t="s">
        <v>52</v>
      </c>
      <c r="G68" s="17" t="str">
        <f>Settings!$B$3&amp;".mit.pbc."&amp;Settings!$B$4&amp;"."&amp;$B68&amp;".a."&amp;$J$65</f>
        <v>egy.mit.pbc.ind.nga.a.1</v>
      </c>
      <c r="H68" s="45" t="str">
        <f>Settings!$B$3&amp;".mit.ptp."&amp;$C$65&amp;"."&amp;$B68&amp;".e."&amp;$J$65</f>
        <v>egy.mit.ptp.cem.nga.e.1</v>
      </c>
      <c r="K68" s="18">
        <f>INDEX(Data_Prices!K:K,MATCH($G68,Data_Prices!$A:$A,0))</f>
        <v>6.0634636156729096</v>
      </c>
      <c r="L68" s="18">
        <f>INDEX(Data_Prices!L:L,MATCH($G68,Data_Prices!$A:$A,0))</f>
        <v>5.4510150816191896</v>
      </c>
      <c r="M68" s="18">
        <f>INDEX(Data_Prices!M:M,MATCH($G68,Data_Prices!$A:$A,0))</f>
        <v>5.1193563062624801</v>
      </c>
      <c r="N68" s="18">
        <f>INDEX(Data_Prices!N:N,MATCH($G68,Data_Prices!$A:$A,0))</f>
        <v>5.08218458640407</v>
      </c>
      <c r="O68" s="18">
        <f>INDEX(Data_Prices!O:O,MATCH($G68,Data_Prices!$A:$A,0))</f>
        <v>5.08218458640407</v>
      </c>
      <c r="P68" s="18">
        <f>INDEX(Data_Prices!P:P,MATCH($G68,Data_Prices!$A:$A,0))</f>
        <v>5.08218458640407</v>
      </c>
      <c r="Q68" s="18">
        <f>INDEX(Data_Prices!Q:Q,MATCH($G68,Data_Prices!$A:$A,0))</f>
        <v>5.08218458640407</v>
      </c>
      <c r="R68" s="18">
        <f>INDEX(Data_Prices!R:R,MATCH($G68,Data_Prices!$A:$A,0))</f>
        <v>5.08218458640407</v>
      </c>
      <c r="S68" s="18">
        <f>INDEX(Data_Prices!S:S,MATCH($G68,Data_Prices!$A:$A,0))</f>
        <v>5.08218458640407</v>
      </c>
      <c r="T68" s="18">
        <f>INDEX(Data_Prices!T:T,MATCH($G68,Data_Prices!$A:$A,0))</f>
        <v>5.08218458640407</v>
      </c>
      <c r="U68" s="18">
        <f>INDEX(Data_Prices!U:U,MATCH($G68,Data_Prices!$A:$A,0))</f>
        <v>5.08218458640407</v>
      </c>
      <c r="V68" s="18">
        <f>INDEX(Data_Prices!V:V,MATCH($G68,Data_Prices!$A:$A,0))</f>
        <v>5.08218458640407</v>
      </c>
      <c r="W68" s="18">
        <f>INDEX(Data_Prices!W:W,MATCH($G68,Data_Prices!$A:$A,0))</f>
        <v>5.08218458640407</v>
      </c>
      <c r="X68" s="18">
        <f>INDEX(Data_Prices!X:X,MATCH($G68,Data_Prices!$A:$A,0))</f>
        <v>5.08218458640407</v>
      </c>
      <c r="Y68" s="18">
        <f>INDEX(Data_Prices!Y:Y,MATCH($G68,Data_Prices!$A:$A,0))</f>
        <v>5.08218458640407</v>
      </c>
      <c r="Z68" s="18">
        <f>INDEX(Data_Prices!Z:Z,MATCH($G68,Data_Prices!$A:$A,0))</f>
        <v>5.08218458640407</v>
      </c>
      <c r="AA68" s="18">
        <f>INDEX(Data_Prices!AA:AA,MATCH($G68,Data_Prices!$A:$A,0))</f>
        <v>5.08218458640407</v>
      </c>
      <c r="AB68" s="18">
        <f>INDEX(Data_Prices!AB:AB,MATCH($G68,Data_Prices!$A:$A,0))</f>
        <v>5.08218458640407</v>
      </c>
      <c r="AC68" s="18">
        <f>INDEX(Data_Prices!AC:AC,MATCH($G68,Data_Prices!$A:$A,0))</f>
        <v>5.08218458640407</v>
      </c>
      <c r="AD68" s="18">
        <f>INDEX(Data_Prices!AD:AD,MATCH($G68,Data_Prices!$A:$A,0))</f>
        <v>5.08218458640407</v>
      </c>
      <c r="AE68" s="18">
        <f>INDEX(Data_Prices!AE:AE,MATCH($G68,Data_Prices!$A:$A,0))</f>
        <v>5.08218458640407</v>
      </c>
    </row>
    <row r="69" spans="1:35" x14ac:dyDescent="0.45">
      <c r="B69" s="14" t="s">
        <v>55</v>
      </c>
      <c r="C69" s="14" t="str">
        <f t="shared" si="6"/>
        <v>cem</v>
      </c>
      <c r="D69" s="15" t="s">
        <v>56</v>
      </c>
      <c r="E69" s="16" t="s">
        <v>57</v>
      </c>
      <c r="F69" s="14" t="s">
        <v>52</v>
      </c>
      <c r="G69" s="17" t="str">
        <f>Settings!$B$3&amp;".mit.pbc."&amp;Settings!$B$4&amp;"."&amp;$B69&amp;".a."&amp;$J$65</f>
        <v>egy.mit.pbc.ind.gso.a.1</v>
      </c>
      <c r="H69" s="45" t="str">
        <f>Settings!$B$3&amp;".mit.ptp."&amp;$C$65&amp;"."&amp;$B69&amp;".e."&amp;$J$65</f>
        <v>egy.mit.ptp.cem.gso.e.1</v>
      </c>
      <c r="K69" s="18">
        <f>INDEX(Data_Prices!K:K,MATCH($G69,Data_Prices!$A:$A,0))</f>
        <v>0.67114653332181595</v>
      </c>
      <c r="L69" s="18">
        <f>INDEX(Data_Prices!L:L,MATCH($G69,Data_Prices!$A:$A,0))</f>
        <v>0.61197797679140598</v>
      </c>
      <c r="M69" s="18">
        <f>INDEX(Data_Prices!M:M,MATCH($G69,Data_Prices!$A:$A,0))</f>
        <v>0.61180974964187596</v>
      </c>
      <c r="N69" s="18">
        <f>INDEX(Data_Prices!N:N,MATCH($G69,Data_Prices!$A:$A,0))</f>
        <v>0.60358310017790595</v>
      </c>
      <c r="O69" s="18">
        <f>INDEX(Data_Prices!O:O,MATCH($G69,Data_Prices!$A:$A,0))</f>
        <v>0.60358310017790595</v>
      </c>
      <c r="P69" s="18">
        <f>INDEX(Data_Prices!P:P,MATCH($G69,Data_Prices!$A:$A,0))</f>
        <v>0.60358310017790595</v>
      </c>
      <c r="Q69" s="18">
        <f>INDEX(Data_Prices!Q:Q,MATCH($G69,Data_Prices!$A:$A,0))</f>
        <v>0.60358310017790595</v>
      </c>
      <c r="R69" s="18">
        <f>INDEX(Data_Prices!R:R,MATCH($G69,Data_Prices!$A:$A,0))</f>
        <v>0.60358310017790595</v>
      </c>
      <c r="S69" s="18">
        <f>INDEX(Data_Prices!S:S,MATCH($G69,Data_Prices!$A:$A,0))</f>
        <v>0.60358310017790595</v>
      </c>
      <c r="T69" s="18">
        <f>INDEX(Data_Prices!T:T,MATCH($G69,Data_Prices!$A:$A,0))</f>
        <v>0.60358310017790595</v>
      </c>
      <c r="U69" s="18">
        <f>INDEX(Data_Prices!U:U,MATCH($G69,Data_Prices!$A:$A,0))</f>
        <v>0.60358310017790595</v>
      </c>
      <c r="V69" s="18">
        <f>INDEX(Data_Prices!V:V,MATCH($G69,Data_Prices!$A:$A,0))</f>
        <v>0.60358310017790595</v>
      </c>
      <c r="W69" s="18">
        <f>INDEX(Data_Prices!W:W,MATCH($G69,Data_Prices!$A:$A,0))</f>
        <v>0.60358310017790595</v>
      </c>
      <c r="X69" s="18">
        <f>INDEX(Data_Prices!X:X,MATCH($G69,Data_Prices!$A:$A,0))</f>
        <v>0.60358310017790595</v>
      </c>
      <c r="Y69" s="18">
        <f>INDEX(Data_Prices!Y:Y,MATCH($G69,Data_Prices!$A:$A,0))</f>
        <v>0.60358310017790595</v>
      </c>
      <c r="Z69" s="18">
        <f>INDEX(Data_Prices!Z:Z,MATCH($G69,Data_Prices!$A:$A,0))</f>
        <v>0.60358310017790595</v>
      </c>
      <c r="AA69" s="18">
        <f>INDEX(Data_Prices!AA:AA,MATCH($G69,Data_Prices!$A:$A,0))</f>
        <v>0.60358310017790595</v>
      </c>
      <c r="AB69" s="18">
        <f>INDEX(Data_Prices!AB:AB,MATCH($G69,Data_Prices!$A:$A,0))</f>
        <v>0.60358310017790595</v>
      </c>
      <c r="AC69" s="18">
        <f>INDEX(Data_Prices!AC:AC,MATCH($G69,Data_Prices!$A:$A,0))</f>
        <v>0.60358310017790595</v>
      </c>
      <c r="AD69" s="18">
        <f>INDEX(Data_Prices!AD:AD,MATCH($G69,Data_Prices!$A:$A,0))</f>
        <v>0.60358310017790595</v>
      </c>
      <c r="AE69" s="18">
        <f>INDEX(Data_Prices!AE:AE,MATCH($G69,Data_Prices!$A:$A,0))</f>
        <v>0.60358310017790595</v>
      </c>
    </row>
    <row r="70" spans="1:35" x14ac:dyDescent="0.45">
      <c r="B70" s="14" t="s">
        <v>58</v>
      </c>
      <c r="C70" s="14" t="str">
        <f t="shared" si="6"/>
        <v>cem</v>
      </c>
      <c r="D70" s="15" t="s">
        <v>59</v>
      </c>
      <c r="E70" s="16" t="s">
        <v>57</v>
      </c>
      <c r="F70" s="14" t="s">
        <v>52</v>
      </c>
      <c r="G70" s="17" t="str">
        <f>Settings!$B$3&amp;".mit.pbc."&amp;Settings!$B$4&amp;"."&amp;$B70&amp;".a."&amp;$J$65</f>
        <v>egy.mit.pbc.ind.die.a.1</v>
      </c>
      <c r="H70" s="45" t="str">
        <f>Settings!$B$3&amp;".mit.ptp."&amp;$C$65&amp;"."&amp;$B70&amp;".e."&amp;$J$65</f>
        <v>egy.mit.ptp.cem.die.e.1</v>
      </c>
      <c r="K70" s="18">
        <f>INDEX(Data_Prices!K:K,MATCH($G70,Data_Prices!$A:$A,0))</f>
        <v>0.55971121315568795</v>
      </c>
      <c r="L70" s="18">
        <f>INDEX(Data_Prices!L:L,MATCH($G70,Data_Prices!$A:$A,0))</f>
        <v>0.49458873084106802</v>
      </c>
      <c r="M70" s="18">
        <f>INDEX(Data_Prices!M:M,MATCH($G70,Data_Prices!$A:$A,0))</f>
        <v>0.50778654720250105</v>
      </c>
      <c r="N70" s="18">
        <f>INDEX(Data_Prices!N:N,MATCH($G70,Data_Prices!$A:$A,0))</f>
        <v>0.47043642679561698</v>
      </c>
      <c r="O70" s="18">
        <f>INDEX(Data_Prices!O:O,MATCH($G70,Data_Prices!$A:$A,0))</f>
        <v>0.47043642679561698</v>
      </c>
      <c r="P70" s="18">
        <f>INDEX(Data_Prices!P:P,MATCH($G70,Data_Prices!$A:$A,0))</f>
        <v>0.47043642679561698</v>
      </c>
      <c r="Q70" s="18">
        <f>INDEX(Data_Prices!Q:Q,MATCH($G70,Data_Prices!$A:$A,0))</f>
        <v>0.47043642679561698</v>
      </c>
      <c r="R70" s="18">
        <f>INDEX(Data_Prices!R:R,MATCH($G70,Data_Prices!$A:$A,0))</f>
        <v>0.47043642679561698</v>
      </c>
      <c r="S70" s="18">
        <f>INDEX(Data_Prices!S:S,MATCH($G70,Data_Prices!$A:$A,0))</f>
        <v>0.47043642679561698</v>
      </c>
      <c r="T70" s="18">
        <f>INDEX(Data_Prices!T:T,MATCH($G70,Data_Prices!$A:$A,0))</f>
        <v>0.47043642679561698</v>
      </c>
      <c r="U70" s="18">
        <f>INDEX(Data_Prices!U:U,MATCH($G70,Data_Prices!$A:$A,0))</f>
        <v>0.47043642679561698</v>
      </c>
      <c r="V70" s="18">
        <f>INDEX(Data_Prices!V:V,MATCH($G70,Data_Prices!$A:$A,0))</f>
        <v>0.47043642679561698</v>
      </c>
      <c r="W70" s="18">
        <f>INDEX(Data_Prices!W:W,MATCH($G70,Data_Prices!$A:$A,0))</f>
        <v>0.47043642679561698</v>
      </c>
      <c r="X70" s="18">
        <f>INDEX(Data_Prices!X:X,MATCH($G70,Data_Prices!$A:$A,0))</f>
        <v>0.47043642679561698</v>
      </c>
      <c r="Y70" s="18">
        <f>INDEX(Data_Prices!Y:Y,MATCH($G70,Data_Prices!$A:$A,0))</f>
        <v>0.47043642679561698</v>
      </c>
      <c r="Z70" s="18">
        <f>INDEX(Data_Prices!Z:Z,MATCH($G70,Data_Prices!$A:$A,0))</f>
        <v>0.47043642679561698</v>
      </c>
      <c r="AA70" s="18">
        <f>INDEX(Data_Prices!AA:AA,MATCH($G70,Data_Prices!$A:$A,0))</f>
        <v>0.47043642679561698</v>
      </c>
      <c r="AB70" s="18">
        <f>INDEX(Data_Prices!AB:AB,MATCH($G70,Data_Prices!$A:$A,0))</f>
        <v>0.47043642679561698</v>
      </c>
      <c r="AC70" s="18">
        <f>INDEX(Data_Prices!AC:AC,MATCH($G70,Data_Prices!$A:$A,0))</f>
        <v>0.47043642679561698</v>
      </c>
      <c r="AD70" s="18">
        <f>INDEX(Data_Prices!AD:AD,MATCH($G70,Data_Prices!$A:$A,0))</f>
        <v>0.47043642679561698</v>
      </c>
      <c r="AE70" s="18">
        <f>INDEX(Data_Prices!AE:AE,MATCH($G70,Data_Prices!$A:$A,0))</f>
        <v>0.47043642679561698</v>
      </c>
    </row>
    <row r="71" spans="1:35" x14ac:dyDescent="0.45">
      <c r="B71" s="14" t="s">
        <v>60</v>
      </c>
      <c r="C71" s="14" t="str">
        <f t="shared" si="6"/>
        <v>cem</v>
      </c>
      <c r="D71" s="15" t="s">
        <v>61</v>
      </c>
      <c r="E71" s="16" t="s">
        <v>57</v>
      </c>
      <c r="F71" s="14" t="s">
        <v>52</v>
      </c>
      <c r="G71" s="17" t="str">
        <f>Settings!$B$3&amp;".mit.pbc."&amp;Settings!$B$4&amp;"."&amp;$B71&amp;".a."&amp;$J$65</f>
        <v>egy.mit.pbc.ind.lpg.a.1</v>
      </c>
      <c r="H71" s="45" t="str">
        <f>Settings!$B$3&amp;".mit.ptp."&amp;$C$65&amp;"."&amp;$B71&amp;".e."&amp;$J$65</f>
        <v>egy.mit.ptp.cem.lpg.e.1</v>
      </c>
      <c r="K71" s="18">
        <f>INDEX(Data_Prices!K:K,MATCH($G71,Data_Prices!$A:$A,0))</f>
        <v>0.20036669112673799</v>
      </c>
      <c r="L71" s="18">
        <f>INDEX(Data_Prices!L:L,MATCH($G71,Data_Prices!$A:$A,0))</f>
        <v>0.15734473625227399</v>
      </c>
      <c r="M71" s="18">
        <f>INDEX(Data_Prices!M:M,MATCH($G71,Data_Prices!$A:$A,0))</f>
        <v>0.164484037759277</v>
      </c>
      <c r="N71" s="18">
        <f>INDEX(Data_Prices!N:N,MATCH($G71,Data_Prices!$A:$A,0))</f>
        <v>0.15070907780704901</v>
      </c>
      <c r="O71" s="18">
        <f>INDEX(Data_Prices!O:O,MATCH($G71,Data_Prices!$A:$A,0))</f>
        <v>0.15070907780704901</v>
      </c>
      <c r="P71" s="18">
        <f>INDEX(Data_Prices!P:P,MATCH($G71,Data_Prices!$A:$A,0))</f>
        <v>0.15070907780704901</v>
      </c>
      <c r="Q71" s="18">
        <f>INDEX(Data_Prices!Q:Q,MATCH($G71,Data_Prices!$A:$A,0))</f>
        <v>0.15070907780704901</v>
      </c>
      <c r="R71" s="18">
        <f>INDEX(Data_Prices!R:R,MATCH($G71,Data_Prices!$A:$A,0))</f>
        <v>0.15070907780704901</v>
      </c>
      <c r="S71" s="18">
        <f>INDEX(Data_Prices!S:S,MATCH($G71,Data_Prices!$A:$A,0))</f>
        <v>0.15070907780704901</v>
      </c>
      <c r="T71" s="18">
        <f>INDEX(Data_Prices!T:T,MATCH($G71,Data_Prices!$A:$A,0))</f>
        <v>0.15070907780704901</v>
      </c>
      <c r="U71" s="18">
        <f>INDEX(Data_Prices!U:U,MATCH($G71,Data_Prices!$A:$A,0))</f>
        <v>0.15070907780704901</v>
      </c>
      <c r="V71" s="18">
        <f>INDEX(Data_Prices!V:V,MATCH($G71,Data_Prices!$A:$A,0))</f>
        <v>0.15070907780704901</v>
      </c>
      <c r="W71" s="18">
        <f>INDEX(Data_Prices!W:W,MATCH($G71,Data_Prices!$A:$A,0))</f>
        <v>0.15070907780704901</v>
      </c>
      <c r="X71" s="18">
        <f>INDEX(Data_Prices!X:X,MATCH($G71,Data_Prices!$A:$A,0))</f>
        <v>0.15070907780704901</v>
      </c>
      <c r="Y71" s="18">
        <f>INDEX(Data_Prices!Y:Y,MATCH($G71,Data_Prices!$A:$A,0))</f>
        <v>0.15070907780704901</v>
      </c>
      <c r="Z71" s="18">
        <f>INDEX(Data_Prices!Z:Z,MATCH($G71,Data_Prices!$A:$A,0))</f>
        <v>0.15070907780704901</v>
      </c>
      <c r="AA71" s="18">
        <f>INDEX(Data_Prices!AA:AA,MATCH($G71,Data_Prices!$A:$A,0))</f>
        <v>0.15070907780704901</v>
      </c>
      <c r="AB71" s="18">
        <f>INDEX(Data_Prices!AB:AB,MATCH($G71,Data_Prices!$A:$A,0))</f>
        <v>0.15070907780704901</v>
      </c>
      <c r="AC71" s="18">
        <f>INDEX(Data_Prices!AC:AC,MATCH($G71,Data_Prices!$A:$A,0))</f>
        <v>0.15070907780704901</v>
      </c>
      <c r="AD71" s="18">
        <f>INDEX(Data_Prices!AD:AD,MATCH($G71,Data_Prices!$A:$A,0))</f>
        <v>0.15070907780704901</v>
      </c>
      <c r="AE71" s="18">
        <f>INDEX(Data_Prices!AE:AE,MATCH($G71,Data_Prices!$A:$A,0))</f>
        <v>0.15070907780704901</v>
      </c>
    </row>
    <row r="72" spans="1:35" x14ac:dyDescent="0.45">
      <c r="B72" s="14" t="s">
        <v>62</v>
      </c>
      <c r="C72" s="14" t="str">
        <f t="shared" si="6"/>
        <v>cem</v>
      </c>
      <c r="D72" s="15" t="s">
        <v>63</v>
      </c>
      <c r="E72" s="16" t="s">
        <v>57</v>
      </c>
      <c r="F72" s="14" t="s">
        <v>52</v>
      </c>
      <c r="G72" s="17" t="str">
        <f>Settings!$B$3&amp;".mit.pbc."&amp;Settings!$B$4&amp;"."&amp;$B72&amp;".a."&amp;$J$65</f>
        <v>egy.mit.pbc.ind.ker.a.1</v>
      </c>
      <c r="H72" s="45" t="str">
        <f>Settings!$B$3&amp;".mit.ptp."&amp;$C$65&amp;"."&amp;$B72&amp;".e."&amp;$J$65</f>
        <v>egy.mit.ptp.cem.ker.e.1</v>
      </c>
      <c r="K72" s="18">
        <f>INDEX(Data_Prices!K:K,MATCH($G72,Data_Prices!$A:$A,0))</f>
        <v>0.48429424097343499</v>
      </c>
      <c r="L72" s="18">
        <f>INDEX(Data_Prices!L:L,MATCH($G72,Data_Prices!$A:$A,0))</f>
        <v>0.45642817050012802</v>
      </c>
      <c r="M72" s="18">
        <f>INDEX(Data_Prices!M:M,MATCH($G72,Data_Prices!$A:$A,0))</f>
        <v>0.43168920195599497</v>
      </c>
      <c r="N72" s="18">
        <f>INDEX(Data_Prices!N:N,MATCH($G72,Data_Prices!$A:$A,0))</f>
        <v>0.42507558395597</v>
      </c>
      <c r="O72" s="18">
        <f>INDEX(Data_Prices!O:O,MATCH($G72,Data_Prices!$A:$A,0))</f>
        <v>0.42507558395597</v>
      </c>
      <c r="P72" s="18">
        <f>INDEX(Data_Prices!P:P,MATCH($G72,Data_Prices!$A:$A,0))</f>
        <v>0.42507558395597</v>
      </c>
      <c r="Q72" s="18">
        <f>INDEX(Data_Prices!Q:Q,MATCH($G72,Data_Prices!$A:$A,0))</f>
        <v>0.42507558395597</v>
      </c>
      <c r="R72" s="18">
        <f>INDEX(Data_Prices!R:R,MATCH($G72,Data_Prices!$A:$A,0))</f>
        <v>0.42507558395597</v>
      </c>
      <c r="S72" s="18">
        <f>INDEX(Data_Prices!S:S,MATCH($G72,Data_Prices!$A:$A,0))</f>
        <v>0.42507558395597</v>
      </c>
      <c r="T72" s="18">
        <f>INDEX(Data_Prices!T:T,MATCH($G72,Data_Prices!$A:$A,0))</f>
        <v>0.42507558395597</v>
      </c>
      <c r="U72" s="18">
        <f>INDEX(Data_Prices!U:U,MATCH($G72,Data_Prices!$A:$A,0))</f>
        <v>0.42507558395597</v>
      </c>
      <c r="V72" s="18">
        <f>INDEX(Data_Prices!V:V,MATCH($G72,Data_Prices!$A:$A,0))</f>
        <v>0.42507558395597</v>
      </c>
      <c r="W72" s="18">
        <f>INDEX(Data_Prices!W:W,MATCH($G72,Data_Prices!$A:$A,0))</f>
        <v>0.42507558395597</v>
      </c>
      <c r="X72" s="18">
        <f>INDEX(Data_Prices!X:X,MATCH($G72,Data_Prices!$A:$A,0))</f>
        <v>0.42507558395597</v>
      </c>
      <c r="Y72" s="18">
        <f>INDEX(Data_Prices!Y:Y,MATCH($G72,Data_Prices!$A:$A,0))</f>
        <v>0.42507558395597</v>
      </c>
      <c r="Z72" s="18">
        <f>INDEX(Data_Prices!Z:Z,MATCH($G72,Data_Prices!$A:$A,0))</f>
        <v>0.42507558395597</v>
      </c>
      <c r="AA72" s="18">
        <f>INDEX(Data_Prices!AA:AA,MATCH($G72,Data_Prices!$A:$A,0))</f>
        <v>0.42507558395597</v>
      </c>
      <c r="AB72" s="18">
        <f>INDEX(Data_Prices!AB:AB,MATCH($G72,Data_Prices!$A:$A,0))</f>
        <v>0.42507558395597</v>
      </c>
      <c r="AC72" s="18">
        <f>INDEX(Data_Prices!AC:AC,MATCH($G72,Data_Prices!$A:$A,0))</f>
        <v>0.42507558395597</v>
      </c>
      <c r="AD72" s="18">
        <f>INDEX(Data_Prices!AD:AD,MATCH($G72,Data_Prices!$A:$A,0))</f>
        <v>0.42507558395597</v>
      </c>
      <c r="AE72" s="18">
        <f>INDEX(Data_Prices!AE:AE,MATCH($G72,Data_Prices!$A:$A,0))</f>
        <v>0.42507558395597</v>
      </c>
    </row>
    <row r="73" spans="1:35" x14ac:dyDescent="0.45">
      <c r="B73" s="14" t="s">
        <v>64</v>
      </c>
      <c r="C73" s="14" t="str">
        <f t="shared" si="6"/>
        <v>cem</v>
      </c>
      <c r="D73" s="15" t="s">
        <v>65</v>
      </c>
      <c r="E73" s="16" t="s">
        <v>66</v>
      </c>
      <c r="F73" s="14" t="s">
        <v>52</v>
      </c>
      <c r="G73" s="17" t="str">
        <f>Settings!$B$3&amp;".mit.pbc."&amp;Settings!$B$4&amp;"."&amp;$B73&amp;".a."&amp;$J$65</f>
        <v>egy.mit.pbc.ind.oop.a.1</v>
      </c>
      <c r="H73" s="45" t="str">
        <f>Settings!$B$3&amp;".mit.ptp."&amp;$C$65&amp;"."&amp;$B73&amp;".e."&amp;$J$65</f>
        <v>egy.mit.ptp.cem.oop.e.1</v>
      </c>
      <c r="K73" s="18">
        <f>INDEX(Data_Prices!K:K,MATCH($G73,Data_Prices!$A:$A,0))</f>
        <v>41.500338498868402</v>
      </c>
      <c r="L73" s="18">
        <f>INDEX(Data_Prices!L:L,MATCH($G73,Data_Prices!$A:$A,0))</f>
        <v>34.4153703043132</v>
      </c>
      <c r="M73" s="18">
        <f>INDEX(Data_Prices!M:M,MATCH($G73,Data_Prices!$A:$A,0))</f>
        <v>37.368960690431997</v>
      </c>
      <c r="N73" s="18">
        <f>INDEX(Data_Prices!N:N,MATCH($G73,Data_Prices!$A:$A,0))</f>
        <v>28.982761101477301</v>
      </c>
      <c r="O73" s="18">
        <f>INDEX(Data_Prices!O:O,MATCH($G73,Data_Prices!$A:$A,0))</f>
        <v>15</v>
      </c>
      <c r="P73" s="18">
        <f>INDEX(Data_Prices!P:P,MATCH($G73,Data_Prices!$A:$A,0))</f>
        <v>24.2586300842555</v>
      </c>
      <c r="Q73" s="18">
        <f>INDEX(Data_Prices!Q:Q,MATCH($G73,Data_Prices!$A:$A,0))</f>
        <v>15</v>
      </c>
      <c r="R73" s="18">
        <f>INDEX(Data_Prices!R:R,MATCH($G73,Data_Prices!$A:$A,0))</f>
        <v>15</v>
      </c>
      <c r="S73" s="18">
        <f>INDEX(Data_Prices!S:S,MATCH($G73,Data_Prices!$A:$A,0))</f>
        <v>15</v>
      </c>
      <c r="T73" s="18">
        <f>INDEX(Data_Prices!T:T,MATCH($G73,Data_Prices!$A:$A,0))</f>
        <v>15</v>
      </c>
      <c r="U73" s="18">
        <f>INDEX(Data_Prices!U:U,MATCH($G73,Data_Prices!$A:$A,0))</f>
        <v>15</v>
      </c>
      <c r="V73" s="18">
        <f>INDEX(Data_Prices!V:V,MATCH($G73,Data_Prices!$A:$A,0))</f>
        <v>15</v>
      </c>
      <c r="W73" s="18">
        <f>INDEX(Data_Prices!W:W,MATCH($G73,Data_Prices!$A:$A,0))</f>
        <v>15</v>
      </c>
      <c r="X73" s="18">
        <f>INDEX(Data_Prices!X:X,MATCH($G73,Data_Prices!$A:$A,0))</f>
        <v>15</v>
      </c>
      <c r="Y73" s="18">
        <f>INDEX(Data_Prices!Y:Y,MATCH($G73,Data_Prices!$A:$A,0))</f>
        <v>15</v>
      </c>
      <c r="Z73" s="18">
        <f>INDEX(Data_Prices!Z:Z,MATCH($G73,Data_Prices!$A:$A,0))</f>
        <v>15</v>
      </c>
      <c r="AA73" s="18">
        <f>INDEX(Data_Prices!AA:AA,MATCH($G73,Data_Prices!$A:$A,0))</f>
        <v>15</v>
      </c>
      <c r="AB73" s="18">
        <f>INDEX(Data_Prices!AB:AB,MATCH($G73,Data_Prices!$A:$A,0))</f>
        <v>15</v>
      </c>
      <c r="AC73" s="18">
        <f>INDEX(Data_Prices!AC:AC,MATCH($G73,Data_Prices!$A:$A,0))</f>
        <v>15</v>
      </c>
      <c r="AD73" s="18">
        <f>INDEX(Data_Prices!AD:AD,MATCH($G73,Data_Prices!$A:$A,0))</f>
        <v>15</v>
      </c>
      <c r="AE73" s="18">
        <f>INDEX(Data_Prices!AE:AE,MATCH($G73,Data_Prices!$A:$A,0))</f>
        <v>15</v>
      </c>
    </row>
    <row r="74" spans="1:35" x14ac:dyDescent="0.45">
      <c r="B74" s="14" t="s">
        <v>67</v>
      </c>
      <c r="C74" s="14" t="str">
        <f t="shared" si="6"/>
        <v>cem</v>
      </c>
      <c r="D74" s="15" t="s">
        <v>68</v>
      </c>
      <c r="E74" s="16" t="s">
        <v>51</v>
      </c>
      <c r="F74" s="14" t="s">
        <v>52</v>
      </c>
      <c r="G74" s="17" t="str">
        <f>Settings!$B$3&amp;".mit.pbc."&amp;Settings!$B$4&amp;"."&amp;$B74&amp;".a."&amp;$J$65</f>
        <v>egy.mit.pbc.ind.bio.a.1</v>
      </c>
      <c r="H74" s="45" t="str">
        <f>Settings!$B$3&amp;".mit.ptp."&amp;$C$65&amp;"."&amp;$B74&amp;".e."&amp;$J$65</f>
        <v>egy.mit.ptp.cem.bio.e.1</v>
      </c>
      <c r="K74" s="18">
        <f>INDEX(Data_Prices!K:K,MATCH($G74,Data_Prices!$A:$A,0))</f>
        <v>15.3345505293169</v>
      </c>
      <c r="L74" s="18">
        <f>INDEX(Data_Prices!L:L,MATCH($G74,Data_Prices!$A:$A,0))</f>
        <v>14.199528390634899</v>
      </c>
      <c r="M74" s="18">
        <f>INDEX(Data_Prices!M:M,MATCH($G74,Data_Prices!$A:$A,0))</f>
        <v>13.8404416133152</v>
      </c>
      <c r="N74" s="18">
        <f>INDEX(Data_Prices!N:N,MATCH($G74,Data_Prices!$A:$A,0))</f>
        <v>13.5677269404465</v>
      </c>
      <c r="O74" s="18">
        <f>INDEX(Data_Prices!O:O,MATCH($G74,Data_Prices!$A:$A,0))</f>
        <v>13.5677269404465</v>
      </c>
      <c r="P74" s="18">
        <f>INDEX(Data_Prices!P:P,MATCH($G74,Data_Prices!$A:$A,0))</f>
        <v>13.5677269404465</v>
      </c>
      <c r="Q74" s="18">
        <f>INDEX(Data_Prices!Q:Q,MATCH($G74,Data_Prices!$A:$A,0))</f>
        <v>13.5677269404465</v>
      </c>
      <c r="R74" s="18">
        <f>INDEX(Data_Prices!R:R,MATCH($G74,Data_Prices!$A:$A,0))</f>
        <v>13.5677269404465</v>
      </c>
      <c r="S74" s="18">
        <f>INDEX(Data_Prices!S:S,MATCH($G74,Data_Prices!$A:$A,0))</f>
        <v>13.5677269404465</v>
      </c>
      <c r="T74" s="18">
        <f>INDEX(Data_Prices!T:T,MATCH($G74,Data_Prices!$A:$A,0))</f>
        <v>13.5677269404465</v>
      </c>
      <c r="U74" s="18">
        <f>INDEX(Data_Prices!U:U,MATCH($G74,Data_Prices!$A:$A,0))</f>
        <v>13.5677269404465</v>
      </c>
      <c r="V74" s="18">
        <f>INDEX(Data_Prices!V:V,MATCH($G74,Data_Prices!$A:$A,0))</f>
        <v>13.5677269404465</v>
      </c>
      <c r="W74" s="18">
        <f>INDEX(Data_Prices!W:W,MATCH($G74,Data_Prices!$A:$A,0))</f>
        <v>13.5677269404465</v>
      </c>
      <c r="X74" s="18">
        <f>INDEX(Data_Prices!X:X,MATCH($G74,Data_Prices!$A:$A,0))</f>
        <v>13.5677269404465</v>
      </c>
      <c r="Y74" s="18">
        <f>INDEX(Data_Prices!Y:Y,MATCH($G74,Data_Prices!$A:$A,0))</f>
        <v>13.5677269404465</v>
      </c>
      <c r="Z74" s="18">
        <f>INDEX(Data_Prices!Z:Z,MATCH($G74,Data_Prices!$A:$A,0))</f>
        <v>13.5677269404465</v>
      </c>
      <c r="AA74" s="18">
        <f>INDEX(Data_Prices!AA:AA,MATCH($G74,Data_Prices!$A:$A,0))</f>
        <v>13.5677269404465</v>
      </c>
      <c r="AB74" s="18">
        <f>INDEX(Data_Prices!AB:AB,MATCH($G74,Data_Prices!$A:$A,0))</f>
        <v>13.5677269404465</v>
      </c>
      <c r="AC74" s="18">
        <f>INDEX(Data_Prices!AC:AC,MATCH($G74,Data_Prices!$A:$A,0))</f>
        <v>13.5677269404465</v>
      </c>
      <c r="AD74" s="18">
        <f>INDEX(Data_Prices!AD:AD,MATCH($G74,Data_Prices!$A:$A,0))</f>
        <v>13.5677269404465</v>
      </c>
      <c r="AE74" s="18">
        <f>INDEX(Data_Prices!AE:AE,MATCH($G74,Data_Prices!$A:$A,0))</f>
        <v>13.5677269404465</v>
      </c>
    </row>
    <row r="75" spans="1:35" x14ac:dyDescent="0.45">
      <c r="B75" s="14" t="s">
        <v>69</v>
      </c>
      <c r="C75" s="14" t="str">
        <f t="shared" si="6"/>
        <v>cem</v>
      </c>
      <c r="D75" s="15" t="s">
        <v>70</v>
      </c>
      <c r="E75" s="16" t="s">
        <v>71</v>
      </c>
      <c r="F75" s="14" t="s">
        <v>52</v>
      </c>
      <c r="G75" s="17" t="str">
        <f>Settings!$B$3&amp;".mit.pbc."&amp;Settings!$B$4&amp;"."&amp;$B75&amp;".a."&amp;$J$65</f>
        <v>egy.mit.pbc.ind.ren.a.1</v>
      </c>
      <c r="H75" s="45" t="str">
        <f>Settings!$B$3&amp;".mit.ptp."&amp;$C$65&amp;"."&amp;$B75&amp;".e."&amp;$J$65</f>
        <v>egy.mit.ptp.cem.ren.e.1</v>
      </c>
      <c r="K75" s="18">
        <f>INDEX(Data_Prices!K:K,MATCH($G75,Data_Prices!$A:$A,0))</f>
        <v>0</v>
      </c>
      <c r="L75" s="18">
        <f>INDEX(Data_Prices!L:L,MATCH($G75,Data_Prices!$A:$A,0))</f>
        <v>0.14404498679319799</v>
      </c>
      <c r="M75" s="18">
        <f>INDEX(Data_Prices!M:M,MATCH($G75,Data_Prices!$A:$A,0))</f>
        <v>0.14102040965700399</v>
      </c>
      <c r="N75" s="18">
        <f>INDEX(Data_Prices!N:N,MATCH($G75,Data_Prices!$A:$A,0))</f>
        <v>0.13511635959447599</v>
      </c>
      <c r="O75" s="18">
        <f>INDEX(Data_Prices!O:O,MATCH($G75,Data_Prices!$A:$A,0))</f>
        <v>0.13098825698585601</v>
      </c>
      <c r="P75" s="18">
        <f>INDEX(Data_Prices!P:P,MATCH($G75,Data_Prices!$A:$A,0))</f>
        <v>0.12790841608631801</v>
      </c>
      <c r="Q75" s="18">
        <f>INDEX(Data_Prices!Q:Q,MATCH($G75,Data_Prices!$A:$A,0))</f>
        <v>0.124814310557813</v>
      </c>
      <c r="R75" s="18">
        <f>INDEX(Data_Prices!R:R,MATCH($G75,Data_Prices!$A:$A,0))</f>
        <v>0.121460257122878</v>
      </c>
      <c r="S75" s="18">
        <f>INDEX(Data_Prices!S:S,MATCH($G75,Data_Prices!$A:$A,0))</f>
        <v>0.117950744135786</v>
      </c>
      <c r="T75" s="18">
        <f>INDEX(Data_Prices!T:T,MATCH($G75,Data_Prices!$A:$A,0))</f>
        <v>0.114199161044597</v>
      </c>
      <c r="U75" s="18">
        <f>INDEX(Data_Prices!U:U,MATCH($G75,Data_Prices!$A:$A,0))</f>
        <v>0.113665100059665</v>
      </c>
      <c r="V75" s="18">
        <f>INDEX(Data_Prices!V:V,MATCH($G75,Data_Prices!$A:$A,0))</f>
        <v>0.113016929625957</v>
      </c>
      <c r="W75" s="18">
        <f>INDEX(Data_Prices!W:W,MATCH($G75,Data_Prices!$A:$A,0))</f>
        <v>0.112314070507636</v>
      </c>
      <c r="X75" s="18">
        <f>INDEX(Data_Prices!X:X,MATCH($G75,Data_Prices!$A:$A,0))</f>
        <v>0.11142204273284299</v>
      </c>
      <c r="Y75" s="18">
        <f>INDEX(Data_Prices!Y:Y,MATCH($G75,Data_Prices!$A:$A,0))</f>
        <v>0.110434123675809</v>
      </c>
      <c r="Z75" s="18">
        <f>INDEX(Data_Prices!Z:Z,MATCH($G75,Data_Prices!$A:$A,0))</f>
        <v>0.109483973304471</v>
      </c>
      <c r="AA75" s="18">
        <f>INDEX(Data_Prices!AA:AA,MATCH($G75,Data_Prices!$A:$A,0))</f>
        <v>0.10839192105294</v>
      </c>
      <c r="AB75" s="18">
        <f>INDEX(Data_Prices!AB:AB,MATCH($G75,Data_Prices!$A:$A,0))</f>
        <v>0.10735443362670399</v>
      </c>
      <c r="AC75" s="18">
        <f>INDEX(Data_Prices!AC:AC,MATCH($G75,Data_Prices!$A:$A,0))</f>
        <v>0.105168675441661</v>
      </c>
      <c r="AD75" s="18">
        <f>INDEX(Data_Prices!AD:AD,MATCH($G75,Data_Prices!$A:$A,0))</f>
        <v>0.103057983256008</v>
      </c>
      <c r="AE75" s="18">
        <f>INDEX(Data_Prices!AE:AE,MATCH($G75,Data_Prices!$A:$A,0))</f>
        <v>0.100931838990114</v>
      </c>
    </row>
    <row r="76" spans="1:35" x14ac:dyDescent="0.45">
      <c r="B76" s="13" t="s">
        <v>72</v>
      </c>
    </row>
    <row r="77" spans="1:35" x14ac:dyDescent="0.45">
      <c r="B77" s="14" t="s">
        <v>49</v>
      </c>
      <c r="C77" s="14" t="str">
        <f t="shared" ref="C77:C85" si="7">$C$65</f>
        <v>cem</v>
      </c>
      <c r="D77" s="15" t="s">
        <v>50</v>
      </c>
      <c r="E77" s="16" t="s">
        <v>51</v>
      </c>
      <c r="F77" s="14" t="s">
        <v>73</v>
      </c>
      <c r="G77" s="17" t="str">
        <f>Settings!$B$3&amp;".mit.nce."&amp;Settings!$B$4&amp;"."&amp;$B77&amp;".a."&amp;$J$65</f>
        <v>egy.mit.nce.ind.coa.a.1</v>
      </c>
      <c r="H77" s="45" t="str">
        <f>Settings!$B$3&amp;".mit.atp."&amp;$C$65&amp;"."&amp;$B77&amp;".e."&amp;$J$65</f>
        <v>egy.mit.atp.cem.coa.e.1</v>
      </c>
      <c r="K77" s="18">
        <f>K67+INDEX(Data_Prices!K:K,MATCH($G77,Data_Prices!$A:$A,0))*K$97</f>
        <v>11.182901589243899</v>
      </c>
      <c r="L77" s="18">
        <f>L67+INDEX(Data_Prices!L:L,MATCH($G77,Data_Prices!$A:$A,0))*L$97</f>
        <v>10.5233613454312</v>
      </c>
      <c r="M77" s="18">
        <f>M67+INDEX(Data_Prices!M:M,MATCH($G77,Data_Prices!$A:$A,0))*M$97</f>
        <v>10.2995608274442</v>
      </c>
      <c r="N77" s="18">
        <f>N67+INDEX(Data_Prices!N:N,MATCH($G77,Data_Prices!$A:$A,0))*N$97</f>
        <v>9.5775283595382597</v>
      </c>
      <c r="O77" s="18">
        <f>O67+INDEX(Data_Prices!O:O,MATCH($G77,Data_Prices!$A:$A,0))*O$97</f>
        <v>8.4854782869580507</v>
      </c>
      <c r="P77" s="18">
        <f>P67+INDEX(Data_Prices!P:P,MATCH($G77,Data_Prices!$A:$A,0))*P$97</f>
        <v>9.0871922352498604</v>
      </c>
      <c r="Q77" s="18">
        <f>Q67+INDEX(Data_Prices!Q:Q,MATCH($G77,Data_Prices!$A:$A,0))*Q$97</f>
        <v>9.2229237289326793</v>
      </c>
      <c r="R77" s="18">
        <f>R67+INDEX(Data_Prices!R:R,MATCH($G77,Data_Prices!$A:$A,0))*R$97</f>
        <v>9.1585649555096893</v>
      </c>
      <c r="S77" s="18">
        <f>S67+INDEX(Data_Prices!S:S,MATCH($G77,Data_Prices!$A:$A,0))*S$97</f>
        <v>9.0895478773973792</v>
      </c>
      <c r="T77" s="18">
        <f>T67+INDEX(Data_Prices!T:T,MATCH($G77,Data_Prices!$A:$A,0))*T$97</f>
        <v>9.0156816660228305</v>
      </c>
      <c r="U77" s="18">
        <f>U67+INDEX(Data_Prices!U:U,MATCH($G77,Data_Prices!$A:$A,0))*U$97</f>
        <v>8.9443977655571096</v>
      </c>
      <c r="V77" s="18">
        <f>V67+INDEX(Data_Prices!V:V,MATCH($G77,Data_Prices!$A:$A,0))*V$97</f>
        <v>8.9443977655571096</v>
      </c>
      <c r="W77" s="18">
        <f>W67+INDEX(Data_Prices!W:W,MATCH($G77,Data_Prices!$A:$A,0))*W$97</f>
        <v>8.9443977655571096</v>
      </c>
      <c r="X77" s="18">
        <f>X67+INDEX(Data_Prices!X:X,MATCH($G77,Data_Prices!$A:$A,0))*X$97</f>
        <v>8.9443977655571096</v>
      </c>
      <c r="Y77" s="18">
        <f>Y67+INDEX(Data_Prices!Y:Y,MATCH($G77,Data_Prices!$A:$A,0))*Y$97</f>
        <v>8.9443977655571096</v>
      </c>
      <c r="Z77" s="18">
        <f>Z67+INDEX(Data_Prices!Z:Z,MATCH($G77,Data_Prices!$A:$A,0))*Z$97</f>
        <v>8.9443977655571096</v>
      </c>
      <c r="AA77" s="18">
        <f>AA67+INDEX(Data_Prices!AA:AA,MATCH($G77,Data_Prices!$A:$A,0))*AA$97</f>
        <v>8.9443977655571096</v>
      </c>
      <c r="AB77" s="18">
        <f>AB67+INDEX(Data_Prices!AB:AB,MATCH($G77,Data_Prices!$A:$A,0))*AB$97</f>
        <v>8.9443977655571096</v>
      </c>
      <c r="AC77" s="18">
        <f>AC67+INDEX(Data_Prices!AC:AC,MATCH($G77,Data_Prices!$A:$A,0))*AC$97</f>
        <v>8.9443977655571096</v>
      </c>
      <c r="AD77" s="18">
        <f>AD67+INDEX(Data_Prices!AD:AD,MATCH($G77,Data_Prices!$A:$A,0))*AD$97</f>
        <v>8.9443977655571096</v>
      </c>
      <c r="AE77" s="18">
        <f>AE67+INDEX(Data_Prices!AE:AE,MATCH($G77,Data_Prices!$A:$A,0))*AE$97</f>
        <v>8.9443977655571096</v>
      </c>
    </row>
    <row r="78" spans="1:35" x14ac:dyDescent="0.45">
      <c r="B78" s="14" t="s">
        <v>53</v>
      </c>
      <c r="C78" s="14" t="str">
        <f t="shared" si="7"/>
        <v>cem</v>
      </c>
      <c r="D78" s="15" t="s">
        <v>54</v>
      </c>
      <c r="E78" s="16" t="s">
        <v>51</v>
      </c>
      <c r="F78" s="14" t="s">
        <v>73</v>
      </c>
      <c r="G78" s="17" t="str">
        <f>Settings!$B$3&amp;".mit.nce."&amp;Settings!$B$4&amp;"."&amp;$B78&amp;".a."&amp;$J$65</f>
        <v>egy.mit.nce.ind.nga.a.1</v>
      </c>
      <c r="H78" s="45" t="str">
        <f>Settings!$B$3&amp;".mit.atp."&amp;$C$65&amp;"."&amp;$B78&amp;".e."&amp;$J$65</f>
        <v>egy.mit.atp.cem.nga.e.1</v>
      </c>
      <c r="K78" s="18">
        <f>K68+INDEX(Data_Prices!K:K,MATCH($G78,Data_Prices!$A:$A,0))*K$97</f>
        <v>6.0634636156729096</v>
      </c>
      <c r="L78" s="18">
        <f>L68+INDEX(Data_Prices!L:L,MATCH($G78,Data_Prices!$A:$A,0))*L$97</f>
        <v>5.4510150816191896</v>
      </c>
      <c r="M78" s="18">
        <f>M68+INDEX(Data_Prices!M:M,MATCH($G78,Data_Prices!$A:$A,0))*M$97</f>
        <v>5.1193563062624801</v>
      </c>
      <c r="N78" s="18">
        <f>N68+INDEX(Data_Prices!N:N,MATCH($G78,Data_Prices!$A:$A,0))*N$97</f>
        <v>5.08218458640407</v>
      </c>
      <c r="O78" s="18">
        <f>O68+INDEX(Data_Prices!O:O,MATCH($G78,Data_Prices!$A:$A,0))*O$97</f>
        <v>5.08218458640407</v>
      </c>
      <c r="P78" s="18">
        <f>P68+INDEX(Data_Prices!P:P,MATCH($G78,Data_Prices!$A:$A,0))*P$97</f>
        <v>5.08218458640407</v>
      </c>
      <c r="Q78" s="18">
        <f>Q68+INDEX(Data_Prices!Q:Q,MATCH($G78,Data_Prices!$A:$A,0))*Q$97</f>
        <v>5.08218458640407</v>
      </c>
      <c r="R78" s="18">
        <f>R68+INDEX(Data_Prices!R:R,MATCH($G78,Data_Prices!$A:$A,0))*R$97</f>
        <v>5.08218458640407</v>
      </c>
      <c r="S78" s="18">
        <f>S68+INDEX(Data_Prices!S:S,MATCH($G78,Data_Prices!$A:$A,0))*S$97</f>
        <v>5.08218458640407</v>
      </c>
      <c r="T78" s="18">
        <f>T68+INDEX(Data_Prices!T:T,MATCH($G78,Data_Prices!$A:$A,0))*T$97</f>
        <v>5.08218458640407</v>
      </c>
      <c r="U78" s="18">
        <f>U68+INDEX(Data_Prices!U:U,MATCH($G78,Data_Prices!$A:$A,0))*U$97</f>
        <v>5.08218458640407</v>
      </c>
      <c r="V78" s="18">
        <f>V68+INDEX(Data_Prices!V:V,MATCH($G78,Data_Prices!$A:$A,0))*V$97</f>
        <v>5.08218458640407</v>
      </c>
      <c r="W78" s="18">
        <f>W68+INDEX(Data_Prices!W:W,MATCH($G78,Data_Prices!$A:$A,0))*W$97</f>
        <v>5.08218458640407</v>
      </c>
      <c r="X78" s="18">
        <f>X68+INDEX(Data_Prices!X:X,MATCH($G78,Data_Prices!$A:$A,0))*X$97</f>
        <v>5.08218458640407</v>
      </c>
      <c r="Y78" s="18">
        <f>Y68+INDEX(Data_Prices!Y:Y,MATCH($G78,Data_Prices!$A:$A,0))*Y$97</f>
        <v>5.08218458640407</v>
      </c>
      <c r="Z78" s="18">
        <f>Z68+INDEX(Data_Prices!Z:Z,MATCH($G78,Data_Prices!$A:$A,0))*Z$97</f>
        <v>5.08218458640407</v>
      </c>
      <c r="AA78" s="18">
        <f>AA68+INDEX(Data_Prices!AA:AA,MATCH($G78,Data_Prices!$A:$A,0))*AA$97</f>
        <v>5.08218458640407</v>
      </c>
      <c r="AB78" s="18">
        <f>AB68+INDEX(Data_Prices!AB:AB,MATCH($G78,Data_Prices!$A:$A,0))*AB$97</f>
        <v>5.08218458640407</v>
      </c>
      <c r="AC78" s="18">
        <f>AC68+INDEX(Data_Prices!AC:AC,MATCH($G78,Data_Prices!$A:$A,0))*AC$97</f>
        <v>5.08218458640407</v>
      </c>
      <c r="AD78" s="18">
        <f>AD68+INDEX(Data_Prices!AD:AD,MATCH($G78,Data_Prices!$A:$A,0))*AD$97</f>
        <v>5.08218458640407</v>
      </c>
      <c r="AE78" s="18">
        <f>AE68+INDEX(Data_Prices!AE:AE,MATCH($G78,Data_Prices!$A:$A,0))*AE$97</f>
        <v>5.08218458640407</v>
      </c>
    </row>
    <row r="79" spans="1:35" x14ac:dyDescent="0.45">
      <c r="B79" s="14" t="s">
        <v>55</v>
      </c>
      <c r="C79" s="14" t="str">
        <f t="shared" si="7"/>
        <v>cem</v>
      </c>
      <c r="D79" s="15" t="s">
        <v>56</v>
      </c>
      <c r="E79" s="16" t="s">
        <v>57</v>
      </c>
      <c r="F79" s="14" t="s">
        <v>73</v>
      </c>
      <c r="G79" s="17" t="str">
        <f>Settings!$B$3&amp;".mit.nce."&amp;Settings!$B$4&amp;"."&amp;$B79&amp;".a."&amp;$J$65</f>
        <v>egy.mit.nce.ind.gso.a.1</v>
      </c>
      <c r="H79" s="45" t="str">
        <f>Settings!$B$3&amp;".mit.atp."&amp;$C$65&amp;"."&amp;$B79&amp;".e."&amp;$J$65</f>
        <v>egy.mit.atp.cem.gso.e.1</v>
      </c>
      <c r="K79" s="18">
        <f>K69+INDEX(Data_Prices!K:K,MATCH($G79,Data_Prices!$A:$A,0))*K$97</f>
        <v>0.67114653332181595</v>
      </c>
      <c r="L79" s="18">
        <f>L69+INDEX(Data_Prices!L:L,MATCH($G79,Data_Prices!$A:$A,0))*L$97</f>
        <v>0.61197797679140598</v>
      </c>
      <c r="M79" s="18">
        <f>M69+INDEX(Data_Prices!M:M,MATCH($G79,Data_Prices!$A:$A,0))*M$97</f>
        <v>0.61180974964187596</v>
      </c>
      <c r="N79" s="18">
        <f>N69+INDEX(Data_Prices!N:N,MATCH($G79,Data_Prices!$A:$A,0))*N$97</f>
        <v>0.60358310017790595</v>
      </c>
      <c r="O79" s="18">
        <f>O69+INDEX(Data_Prices!O:O,MATCH($G79,Data_Prices!$A:$A,0))*O$97</f>
        <v>0.60358310017790595</v>
      </c>
      <c r="P79" s="18">
        <f>P69+INDEX(Data_Prices!P:P,MATCH($G79,Data_Prices!$A:$A,0))*P$97</f>
        <v>0.60358310017790595</v>
      </c>
      <c r="Q79" s="18">
        <f>Q69+INDEX(Data_Prices!Q:Q,MATCH($G79,Data_Prices!$A:$A,0))*Q$97</f>
        <v>0.60358310017790595</v>
      </c>
      <c r="R79" s="18">
        <f>R69+INDEX(Data_Prices!R:R,MATCH($G79,Data_Prices!$A:$A,0))*R$97</f>
        <v>0.60358310017790595</v>
      </c>
      <c r="S79" s="18">
        <f>S69+INDEX(Data_Prices!S:S,MATCH($G79,Data_Prices!$A:$A,0))*S$97</f>
        <v>0.60358310017790595</v>
      </c>
      <c r="T79" s="18">
        <f>T69+INDEX(Data_Prices!T:T,MATCH($G79,Data_Prices!$A:$A,0))*T$97</f>
        <v>0.60358310017790595</v>
      </c>
      <c r="U79" s="18">
        <f>U69+INDEX(Data_Prices!U:U,MATCH($G79,Data_Prices!$A:$A,0))*U$97</f>
        <v>0.60358310017790595</v>
      </c>
      <c r="V79" s="18">
        <f>V69+INDEX(Data_Prices!V:V,MATCH($G79,Data_Prices!$A:$A,0))*V$97</f>
        <v>0.60358310017790595</v>
      </c>
      <c r="W79" s="18">
        <f>W69+INDEX(Data_Prices!W:W,MATCH($G79,Data_Prices!$A:$A,0))*W$97</f>
        <v>0.60358310017790595</v>
      </c>
      <c r="X79" s="18">
        <f>X69+INDEX(Data_Prices!X:X,MATCH($G79,Data_Prices!$A:$A,0))*X$97</f>
        <v>0.60358310017790595</v>
      </c>
      <c r="Y79" s="18">
        <f>Y69+INDEX(Data_Prices!Y:Y,MATCH($G79,Data_Prices!$A:$A,0))*Y$97</f>
        <v>0.60358310017790595</v>
      </c>
      <c r="Z79" s="18">
        <f>Z69+INDEX(Data_Prices!Z:Z,MATCH($G79,Data_Prices!$A:$A,0))*Z$97</f>
        <v>0.60358310017790595</v>
      </c>
      <c r="AA79" s="18">
        <f>AA69+INDEX(Data_Prices!AA:AA,MATCH($G79,Data_Prices!$A:$A,0))*AA$97</f>
        <v>0.60358310017790595</v>
      </c>
      <c r="AB79" s="18">
        <f>AB69+INDEX(Data_Prices!AB:AB,MATCH($G79,Data_Prices!$A:$A,0))*AB$97</f>
        <v>0.60358310017790595</v>
      </c>
      <c r="AC79" s="18">
        <f>AC69+INDEX(Data_Prices!AC:AC,MATCH($G79,Data_Prices!$A:$A,0))*AC$97</f>
        <v>0.60358310017790595</v>
      </c>
      <c r="AD79" s="18">
        <f>AD69+INDEX(Data_Prices!AD:AD,MATCH($G79,Data_Prices!$A:$A,0))*AD$97</f>
        <v>0.60358310017790595</v>
      </c>
      <c r="AE79" s="18">
        <f>AE69+INDEX(Data_Prices!AE:AE,MATCH($G79,Data_Prices!$A:$A,0))*AE$97</f>
        <v>0.60358310017790595</v>
      </c>
    </row>
    <row r="80" spans="1:35" x14ac:dyDescent="0.45">
      <c r="B80" s="14" t="s">
        <v>58</v>
      </c>
      <c r="C80" s="14" t="str">
        <f t="shared" si="7"/>
        <v>cem</v>
      </c>
      <c r="D80" s="15" t="s">
        <v>59</v>
      </c>
      <c r="E80" s="16" t="s">
        <v>57</v>
      </c>
      <c r="F80" s="14" t="s">
        <v>73</v>
      </c>
      <c r="G80" s="17" t="str">
        <f>Settings!$B$3&amp;".mit.nce."&amp;Settings!$B$4&amp;"."&amp;$B80&amp;".a."&amp;$J$65</f>
        <v>egy.mit.nce.ind.die.a.1</v>
      </c>
      <c r="H80" s="45" t="str">
        <f>Settings!$B$3&amp;".mit.atp."&amp;$C$65&amp;"."&amp;$B80&amp;".e."&amp;$J$65</f>
        <v>egy.mit.atp.cem.die.e.1</v>
      </c>
      <c r="K80" s="18">
        <f>K70+INDEX(Data_Prices!K:K,MATCH($G80,Data_Prices!$A:$A,0))*K$97</f>
        <v>0.55971121315568795</v>
      </c>
      <c r="L80" s="18">
        <f>L70+INDEX(Data_Prices!L:L,MATCH($G80,Data_Prices!$A:$A,0))*L$97</f>
        <v>0.49458873084106802</v>
      </c>
      <c r="M80" s="18">
        <f>M70+INDEX(Data_Prices!M:M,MATCH($G80,Data_Prices!$A:$A,0))*M$97</f>
        <v>0.50778654720250105</v>
      </c>
      <c r="N80" s="18">
        <f>N70+INDEX(Data_Prices!N:N,MATCH($G80,Data_Prices!$A:$A,0))*N$97</f>
        <v>0.47043642679561698</v>
      </c>
      <c r="O80" s="18">
        <f>O70+INDEX(Data_Prices!O:O,MATCH($G80,Data_Prices!$A:$A,0))*O$97</f>
        <v>0.47043642679561698</v>
      </c>
      <c r="P80" s="18">
        <f>P70+INDEX(Data_Prices!P:P,MATCH($G80,Data_Prices!$A:$A,0))*P$97</f>
        <v>0.47043642679561698</v>
      </c>
      <c r="Q80" s="18">
        <f>Q70+INDEX(Data_Prices!Q:Q,MATCH($G80,Data_Prices!$A:$A,0))*Q$97</f>
        <v>0.47043642679561698</v>
      </c>
      <c r="R80" s="18">
        <f>R70+INDEX(Data_Prices!R:R,MATCH($G80,Data_Prices!$A:$A,0))*R$97</f>
        <v>0.47043642679561698</v>
      </c>
      <c r="S80" s="18">
        <f>S70+INDEX(Data_Prices!S:S,MATCH($G80,Data_Prices!$A:$A,0))*S$97</f>
        <v>0.47043642679561698</v>
      </c>
      <c r="T80" s="18">
        <f>T70+INDEX(Data_Prices!T:T,MATCH($G80,Data_Prices!$A:$A,0))*T$97</f>
        <v>0.47043642679561698</v>
      </c>
      <c r="U80" s="18">
        <f>U70+INDEX(Data_Prices!U:U,MATCH($G80,Data_Prices!$A:$A,0))*U$97</f>
        <v>0.47043642679561698</v>
      </c>
      <c r="V80" s="18">
        <f>V70+INDEX(Data_Prices!V:V,MATCH($G80,Data_Prices!$A:$A,0))*V$97</f>
        <v>0.47043642679561698</v>
      </c>
      <c r="W80" s="18">
        <f>W70+INDEX(Data_Prices!W:W,MATCH($G80,Data_Prices!$A:$A,0))*W$97</f>
        <v>0.47043642679561698</v>
      </c>
      <c r="X80" s="18">
        <f>X70+INDEX(Data_Prices!X:X,MATCH($G80,Data_Prices!$A:$A,0))*X$97</f>
        <v>0.47043642679561698</v>
      </c>
      <c r="Y80" s="18">
        <f>Y70+INDEX(Data_Prices!Y:Y,MATCH($G80,Data_Prices!$A:$A,0))*Y$97</f>
        <v>0.47043642679561698</v>
      </c>
      <c r="Z80" s="18">
        <f>Z70+INDEX(Data_Prices!Z:Z,MATCH($G80,Data_Prices!$A:$A,0))*Z$97</f>
        <v>0.47043642679561698</v>
      </c>
      <c r="AA80" s="18">
        <f>AA70+INDEX(Data_Prices!AA:AA,MATCH($G80,Data_Prices!$A:$A,0))*AA$97</f>
        <v>0.47043642679561698</v>
      </c>
      <c r="AB80" s="18">
        <f>AB70+INDEX(Data_Prices!AB:AB,MATCH($G80,Data_Prices!$A:$A,0))*AB$97</f>
        <v>0.47043642679561698</v>
      </c>
      <c r="AC80" s="18">
        <f>AC70+INDEX(Data_Prices!AC:AC,MATCH($G80,Data_Prices!$A:$A,0))*AC$97</f>
        <v>0.47043642679561698</v>
      </c>
      <c r="AD80" s="18">
        <f>AD70+INDEX(Data_Prices!AD:AD,MATCH($G80,Data_Prices!$A:$A,0))*AD$97</f>
        <v>0.47043642679561698</v>
      </c>
      <c r="AE80" s="18">
        <f>AE70+INDEX(Data_Prices!AE:AE,MATCH($G80,Data_Prices!$A:$A,0))*AE$97</f>
        <v>0.47043642679561698</v>
      </c>
    </row>
    <row r="81" spans="2:31" x14ac:dyDescent="0.45">
      <c r="B81" s="14" t="s">
        <v>60</v>
      </c>
      <c r="C81" s="14" t="str">
        <f t="shared" si="7"/>
        <v>cem</v>
      </c>
      <c r="D81" s="15" t="s">
        <v>61</v>
      </c>
      <c r="E81" s="16" t="s">
        <v>57</v>
      </c>
      <c r="F81" s="14" t="s">
        <v>73</v>
      </c>
      <c r="G81" s="17" t="str">
        <f>Settings!$B$3&amp;".mit.nce."&amp;Settings!$B$4&amp;"."&amp;$B81&amp;".a."&amp;$J$65</f>
        <v>egy.mit.nce.ind.lpg.a.1</v>
      </c>
      <c r="H81" s="45" t="str">
        <f>Settings!$B$3&amp;".mit.atp."&amp;$C$65&amp;"."&amp;$B81&amp;".e."&amp;$J$65</f>
        <v>egy.mit.atp.cem.lpg.e.1</v>
      </c>
      <c r="K81" s="18">
        <f>K71+INDEX(Data_Prices!K:K,MATCH($G81,Data_Prices!$A:$A,0))*K$97</f>
        <v>0.20036669112673799</v>
      </c>
      <c r="L81" s="18">
        <f>L71+INDEX(Data_Prices!L:L,MATCH($G81,Data_Prices!$A:$A,0))*L$97</f>
        <v>0.15734473625227399</v>
      </c>
      <c r="M81" s="18">
        <f>M71+INDEX(Data_Prices!M:M,MATCH($G81,Data_Prices!$A:$A,0))*M$97</f>
        <v>0.164484037759277</v>
      </c>
      <c r="N81" s="18">
        <f>N71+INDEX(Data_Prices!N:N,MATCH($G81,Data_Prices!$A:$A,0))*N$97</f>
        <v>0.15070907780704901</v>
      </c>
      <c r="O81" s="18">
        <f>O71+INDEX(Data_Prices!O:O,MATCH($G81,Data_Prices!$A:$A,0))*O$97</f>
        <v>0.15070907780704901</v>
      </c>
      <c r="P81" s="18">
        <f>P71+INDEX(Data_Prices!P:P,MATCH($G81,Data_Prices!$A:$A,0))*P$97</f>
        <v>0.15070907780704901</v>
      </c>
      <c r="Q81" s="18">
        <f>Q71+INDEX(Data_Prices!Q:Q,MATCH($G81,Data_Prices!$A:$A,0))*Q$97</f>
        <v>0.15070907780704901</v>
      </c>
      <c r="R81" s="18">
        <f>R71+INDEX(Data_Prices!R:R,MATCH($G81,Data_Prices!$A:$A,0))*R$97</f>
        <v>0.15070907780704901</v>
      </c>
      <c r="S81" s="18">
        <f>S71+INDEX(Data_Prices!S:S,MATCH($G81,Data_Prices!$A:$A,0))*S$97</f>
        <v>0.15070907780704901</v>
      </c>
      <c r="T81" s="18">
        <f>T71+INDEX(Data_Prices!T:T,MATCH($G81,Data_Prices!$A:$A,0))*T$97</f>
        <v>0.15070907780704901</v>
      </c>
      <c r="U81" s="18">
        <f>U71+INDEX(Data_Prices!U:U,MATCH($G81,Data_Prices!$A:$A,0))*U$97</f>
        <v>0.15070907780704901</v>
      </c>
      <c r="V81" s="18">
        <f>V71+INDEX(Data_Prices!V:V,MATCH($G81,Data_Prices!$A:$A,0))*V$97</f>
        <v>0.15070907780704901</v>
      </c>
      <c r="W81" s="18">
        <f>W71+INDEX(Data_Prices!W:W,MATCH($G81,Data_Prices!$A:$A,0))*W$97</f>
        <v>0.15070907780704901</v>
      </c>
      <c r="X81" s="18">
        <f>X71+INDEX(Data_Prices!X:X,MATCH($G81,Data_Prices!$A:$A,0))*X$97</f>
        <v>0.15070907780704901</v>
      </c>
      <c r="Y81" s="18">
        <f>Y71+INDEX(Data_Prices!Y:Y,MATCH($G81,Data_Prices!$A:$A,0))*Y$97</f>
        <v>0.15070907780704901</v>
      </c>
      <c r="Z81" s="18">
        <f>Z71+INDEX(Data_Prices!Z:Z,MATCH($G81,Data_Prices!$A:$A,0))*Z$97</f>
        <v>0.15070907780704901</v>
      </c>
      <c r="AA81" s="18">
        <f>AA71+INDEX(Data_Prices!AA:AA,MATCH($G81,Data_Prices!$A:$A,0))*AA$97</f>
        <v>0.15070907780704901</v>
      </c>
      <c r="AB81" s="18">
        <f>AB71+INDEX(Data_Prices!AB:AB,MATCH($G81,Data_Prices!$A:$A,0))*AB$97</f>
        <v>0.15070907780704901</v>
      </c>
      <c r="AC81" s="18">
        <f>AC71+INDEX(Data_Prices!AC:AC,MATCH($G81,Data_Prices!$A:$A,0))*AC$97</f>
        <v>0.15070907780704901</v>
      </c>
      <c r="AD81" s="18">
        <f>AD71+INDEX(Data_Prices!AD:AD,MATCH($G81,Data_Prices!$A:$A,0))*AD$97</f>
        <v>0.15070907780704901</v>
      </c>
      <c r="AE81" s="18">
        <f>AE71+INDEX(Data_Prices!AE:AE,MATCH($G81,Data_Prices!$A:$A,0))*AE$97</f>
        <v>0.15070907780704901</v>
      </c>
    </row>
    <row r="82" spans="2:31" x14ac:dyDescent="0.45">
      <c r="B82" s="14" t="s">
        <v>62</v>
      </c>
      <c r="C82" s="14" t="str">
        <f t="shared" si="7"/>
        <v>cem</v>
      </c>
      <c r="D82" s="15" t="s">
        <v>63</v>
      </c>
      <c r="E82" s="16" t="s">
        <v>57</v>
      </c>
      <c r="F82" s="14" t="s">
        <v>73</v>
      </c>
      <c r="G82" s="17" t="str">
        <f>Settings!$B$3&amp;".mit.nce."&amp;Settings!$B$4&amp;"."&amp;$B82&amp;".a."&amp;$J$65</f>
        <v>egy.mit.nce.ind.ker.a.1</v>
      </c>
      <c r="H82" s="45" t="str">
        <f>Settings!$B$3&amp;".mit.atp."&amp;$C$65&amp;"."&amp;$B82&amp;".e."&amp;$J$65</f>
        <v>egy.mit.atp.cem.ker.e.1</v>
      </c>
      <c r="K82" s="18">
        <f>K72+INDEX(Data_Prices!K:K,MATCH($G82,Data_Prices!$A:$A,0))*K$97</f>
        <v>0.48429424097343499</v>
      </c>
      <c r="L82" s="18">
        <f>L72+INDEX(Data_Prices!L:L,MATCH($G82,Data_Prices!$A:$A,0))*L$97</f>
        <v>0.45642817050012802</v>
      </c>
      <c r="M82" s="18">
        <f>M72+INDEX(Data_Prices!M:M,MATCH($G82,Data_Prices!$A:$A,0))*M$97</f>
        <v>0.43168920195599497</v>
      </c>
      <c r="N82" s="18">
        <f>N72+INDEX(Data_Prices!N:N,MATCH($G82,Data_Prices!$A:$A,0))*N$97</f>
        <v>0.42507558395597</v>
      </c>
      <c r="O82" s="18">
        <f>O72+INDEX(Data_Prices!O:O,MATCH($G82,Data_Prices!$A:$A,0))*O$97</f>
        <v>0.42507558395597</v>
      </c>
      <c r="P82" s="18">
        <f>P72+INDEX(Data_Prices!P:P,MATCH($G82,Data_Prices!$A:$A,0))*P$97</f>
        <v>0.42507558395597</v>
      </c>
      <c r="Q82" s="18">
        <f>Q72+INDEX(Data_Prices!Q:Q,MATCH($G82,Data_Prices!$A:$A,0))*Q$97</f>
        <v>0.42507558395597</v>
      </c>
      <c r="R82" s="18">
        <f>R72+INDEX(Data_Prices!R:R,MATCH($G82,Data_Prices!$A:$A,0))*R$97</f>
        <v>0.42507558395597</v>
      </c>
      <c r="S82" s="18">
        <f>S72+INDEX(Data_Prices!S:S,MATCH($G82,Data_Prices!$A:$A,0))*S$97</f>
        <v>0.42507558395597</v>
      </c>
      <c r="T82" s="18">
        <f>T72+INDEX(Data_Prices!T:T,MATCH($G82,Data_Prices!$A:$A,0))*T$97</f>
        <v>0.42507558395597</v>
      </c>
      <c r="U82" s="18">
        <f>U72+INDEX(Data_Prices!U:U,MATCH($G82,Data_Prices!$A:$A,0))*U$97</f>
        <v>0.42507558395597</v>
      </c>
      <c r="V82" s="18">
        <f>V72+INDEX(Data_Prices!V:V,MATCH($G82,Data_Prices!$A:$A,0))*V$97</f>
        <v>0.42507558395597</v>
      </c>
      <c r="W82" s="18">
        <f>W72+INDEX(Data_Prices!W:W,MATCH($G82,Data_Prices!$A:$A,0))*W$97</f>
        <v>0.42507558395597</v>
      </c>
      <c r="X82" s="18">
        <f>X72+INDEX(Data_Prices!X:X,MATCH($G82,Data_Prices!$A:$A,0))*X$97</f>
        <v>0.42507558395597</v>
      </c>
      <c r="Y82" s="18">
        <f>Y72+INDEX(Data_Prices!Y:Y,MATCH($G82,Data_Prices!$A:$A,0))*Y$97</f>
        <v>0.42507558395597</v>
      </c>
      <c r="Z82" s="18">
        <f>Z72+INDEX(Data_Prices!Z:Z,MATCH($G82,Data_Prices!$A:$A,0))*Z$97</f>
        <v>0.42507558395597</v>
      </c>
      <c r="AA82" s="18">
        <f>AA72+INDEX(Data_Prices!AA:AA,MATCH($G82,Data_Prices!$A:$A,0))*AA$97</f>
        <v>0.42507558395597</v>
      </c>
      <c r="AB82" s="18">
        <f>AB72+INDEX(Data_Prices!AB:AB,MATCH($G82,Data_Prices!$A:$A,0))*AB$97</f>
        <v>0.42507558395597</v>
      </c>
      <c r="AC82" s="18">
        <f>AC72+INDEX(Data_Prices!AC:AC,MATCH($G82,Data_Prices!$A:$A,0))*AC$97</f>
        <v>0.42507558395597</v>
      </c>
      <c r="AD82" s="18">
        <f>AD72+INDEX(Data_Prices!AD:AD,MATCH($G82,Data_Prices!$A:$A,0))*AD$97</f>
        <v>0.42507558395597</v>
      </c>
      <c r="AE82" s="18">
        <f>AE72+INDEX(Data_Prices!AE:AE,MATCH($G82,Data_Prices!$A:$A,0))*AE$97</f>
        <v>0.42507558395597</v>
      </c>
    </row>
    <row r="83" spans="2:31" x14ac:dyDescent="0.45">
      <c r="B83" s="14" t="s">
        <v>64</v>
      </c>
      <c r="C83" s="14" t="str">
        <f t="shared" si="7"/>
        <v>cem</v>
      </c>
      <c r="D83" s="15" t="s">
        <v>65</v>
      </c>
      <c r="E83" s="16" t="s">
        <v>66</v>
      </c>
      <c r="F83" s="14" t="s">
        <v>73</v>
      </c>
      <c r="G83" s="17" t="str">
        <f>Settings!$B$3&amp;".mit.nce."&amp;Settings!$B$4&amp;"."&amp;$B83&amp;".a."&amp;$J$65</f>
        <v>egy.mit.nce.ind.oop.a.1</v>
      </c>
      <c r="H83" s="45" t="str">
        <f>Settings!$B$3&amp;".mit.atp."&amp;$C$65&amp;"."&amp;$B83&amp;".e."&amp;$J$65</f>
        <v>egy.mit.atp.cem.oop.e.1</v>
      </c>
      <c r="K83" s="18">
        <f>K73+INDEX(Data_Prices!K:K,MATCH($G83,Data_Prices!$A:$A,0))*K$97</f>
        <v>41.500338498868402</v>
      </c>
      <c r="L83" s="18">
        <f>L73+INDEX(Data_Prices!L:L,MATCH($G83,Data_Prices!$A:$A,0))*L$97</f>
        <v>34.4153703043132</v>
      </c>
      <c r="M83" s="18">
        <f>M73+INDEX(Data_Prices!M:M,MATCH($G83,Data_Prices!$A:$A,0))*M$97</f>
        <v>37.368960690431997</v>
      </c>
      <c r="N83" s="18">
        <f>N73+INDEX(Data_Prices!N:N,MATCH($G83,Data_Prices!$A:$A,0))*N$97</f>
        <v>28.982761101477301</v>
      </c>
      <c r="O83" s="18">
        <f>O73+INDEX(Data_Prices!O:O,MATCH($G83,Data_Prices!$A:$A,0))*O$97</f>
        <v>15</v>
      </c>
      <c r="P83" s="18">
        <f>P73+INDEX(Data_Prices!P:P,MATCH($G83,Data_Prices!$A:$A,0))*P$97</f>
        <v>24.2586300842555</v>
      </c>
      <c r="Q83" s="18">
        <f>Q73+INDEX(Data_Prices!Q:Q,MATCH($G83,Data_Prices!$A:$A,0))*Q$97</f>
        <v>15</v>
      </c>
      <c r="R83" s="18">
        <f>R73+INDEX(Data_Prices!R:R,MATCH($G83,Data_Prices!$A:$A,0))*R$97</f>
        <v>15</v>
      </c>
      <c r="S83" s="18">
        <f>S73+INDEX(Data_Prices!S:S,MATCH($G83,Data_Prices!$A:$A,0))*S$97</f>
        <v>15</v>
      </c>
      <c r="T83" s="18">
        <f>T73+INDEX(Data_Prices!T:T,MATCH($G83,Data_Prices!$A:$A,0))*T$97</f>
        <v>15</v>
      </c>
      <c r="U83" s="18">
        <f>U73+INDEX(Data_Prices!U:U,MATCH($G83,Data_Prices!$A:$A,0))*U$97</f>
        <v>15</v>
      </c>
      <c r="V83" s="18">
        <f>V73+INDEX(Data_Prices!V:V,MATCH($G83,Data_Prices!$A:$A,0))*V$97</f>
        <v>15</v>
      </c>
      <c r="W83" s="18">
        <f>W73+INDEX(Data_Prices!W:W,MATCH($G83,Data_Prices!$A:$A,0))*W$97</f>
        <v>15</v>
      </c>
      <c r="X83" s="18">
        <f>X73+INDEX(Data_Prices!X:X,MATCH($G83,Data_Prices!$A:$A,0))*X$97</f>
        <v>15</v>
      </c>
      <c r="Y83" s="18">
        <f>Y73+INDEX(Data_Prices!Y:Y,MATCH($G83,Data_Prices!$A:$A,0))*Y$97</f>
        <v>15</v>
      </c>
      <c r="Z83" s="18">
        <f>Z73+INDEX(Data_Prices!Z:Z,MATCH($G83,Data_Prices!$A:$A,0))*Z$97</f>
        <v>15</v>
      </c>
      <c r="AA83" s="18">
        <f>AA73+INDEX(Data_Prices!AA:AA,MATCH($G83,Data_Prices!$A:$A,0))*AA$97</f>
        <v>15</v>
      </c>
      <c r="AB83" s="18">
        <f>AB73+INDEX(Data_Prices!AB:AB,MATCH($G83,Data_Prices!$A:$A,0))*AB$97</f>
        <v>15</v>
      </c>
      <c r="AC83" s="18">
        <f>AC73+INDEX(Data_Prices!AC:AC,MATCH($G83,Data_Prices!$A:$A,0))*AC$97</f>
        <v>15</v>
      </c>
      <c r="AD83" s="18">
        <f>AD73+INDEX(Data_Prices!AD:AD,MATCH($G83,Data_Prices!$A:$A,0))*AD$97</f>
        <v>15</v>
      </c>
      <c r="AE83" s="18">
        <f>AE73+INDEX(Data_Prices!AE:AE,MATCH($G83,Data_Prices!$A:$A,0))*AE$97</f>
        <v>15</v>
      </c>
    </row>
    <row r="84" spans="2:31" x14ac:dyDescent="0.45">
      <c r="B84" s="14" t="s">
        <v>67</v>
      </c>
      <c r="C84" s="14" t="str">
        <f t="shared" si="7"/>
        <v>cem</v>
      </c>
      <c r="D84" s="15" t="s">
        <v>68</v>
      </c>
      <c r="E84" s="16" t="s">
        <v>51</v>
      </c>
      <c r="F84" s="14" t="s">
        <v>73</v>
      </c>
      <c r="G84" s="17" t="str">
        <f>Settings!$B$3&amp;".mit.nce."&amp;Settings!$B$4&amp;"."&amp;$B84&amp;".a."&amp;$J$65</f>
        <v>egy.mit.nce.ind.bio.a.1</v>
      </c>
      <c r="H84" s="45" t="str">
        <f>Settings!$B$3&amp;".mit.atp."&amp;$C$65&amp;"."&amp;$B84&amp;".e."&amp;$J$65</f>
        <v>egy.mit.atp.cem.bio.e.1</v>
      </c>
      <c r="K84" s="18">
        <f>K74+INDEX(Data_Prices!K:K,MATCH($G84,Data_Prices!$A:$A,0))*K$97</f>
        <v>15.3345505293169</v>
      </c>
      <c r="L84" s="18">
        <f>L74+INDEX(Data_Prices!L:L,MATCH($G84,Data_Prices!$A:$A,0))*L$97</f>
        <v>14.199528390634899</v>
      </c>
      <c r="M84" s="18">
        <f>M74+INDEX(Data_Prices!M:M,MATCH($G84,Data_Prices!$A:$A,0))*M$97</f>
        <v>13.8404416133152</v>
      </c>
      <c r="N84" s="18">
        <f>N74+INDEX(Data_Prices!N:N,MATCH($G84,Data_Prices!$A:$A,0))*N$97</f>
        <v>13.5677269404465</v>
      </c>
      <c r="O84" s="18">
        <f>O74+INDEX(Data_Prices!O:O,MATCH($G84,Data_Prices!$A:$A,0))*O$97</f>
        <v>13.5677269404465</v>
      </c>
      <c r="P84" s="18">
        <f>P74+INDEX(Data_Prices!P:P,MATCH($G84,Data_Prices!$A:$A,0))*P$97</f>
        <v>13.5677269404465</v>
      </c>
      <c r="Q84" s="18">
        <f>Q74+INDEX(Data_Prices!Q:Q,MATCH($G84,Data_Prices!$A:$A,0))*Q$97</f>
        <v>13.5677269404465</v>
      </c>
      <c r="R84" s="18">
        <f>R74+INDEX(Data_Prices!R:R,MATCH($G84,Data_Prices!$A:$A,0))*R$97</f>
        <v>13.5677269404465</v>
      </c>
      <c r="S84" s="18">
        <f>S74+INDEX(Data_Prices!S:S,MATCH($G84,Data_Prices!$A:$A,0))*S$97</f>
        <v>13.5677269404465</v>
      </c>
      <c r="T84" s="18">
        <f>T74+INDEX(Data_Prices!T:T,MATCH($G84,Data_Prices!$A:$A,0))*T$97</f>
        <v>13.5677269404465</v>
      </c>
      <c r="U84" s="18">
        <f>U74+INDEX(Data_Prices!U:U,MATCH($G84,Data_Prices!$A:$A,0))*U$97</f>
        <v>13.5677269404465</v>
      </c>
      <c r="V84" s="18">
        <f>V74+INDEX(Data_Prices!V:V,MATCH($G84,Data_Prices!$A:$A,0))*V$97</f>
        <v>13.5677269404465</v>
      </c>
      <c r="W84" s="18">
        <f>W74+INDEX(Data_Prices!W:W,MATCH($G84,Data_Prices!$A:$A,0))*W$97</f>
        <v>13.5677269404465</v>
      </c>
      <c r="X84" s="18">
        <f>X74+INDEX(Data_Prices!X:X,MATCH($G84,Data_Prices!$A:$A,0))*X$97</f>
        <v>13.5677269404465</v>
      </c>
      <c r="Y84" s="18">
        <f>Y74+INDEX(Data_Prices!Y:Y,MATCH($G84,Data_Prices!$A:$A,0))*Y$97</f>
        <v>13.5677269404465</v>
      </c>
      <c r="Z84" s="18">
        <f>Z74+INDEX(Data_Prices!Z:Z,MATCH($G84,Data_Prices!$A:$A,0))*Z$97</f>
        <v>13.5677269404465</v>
      </c>
      <c r="AA84" s="18">
        <f>AA74+INDEX(Data_Prices!AA:AA,MATCH($G84,Data_Prices!$A:$A,0))*AA$97</f>
        <v>13.5677269404465</v>
      </c>
      <c r="AB84" s="18">
        <f>AB74+INDEX(Data_Prices!AB:AB,MATCH($G84,Data_Prices!$A:$A,0))*AB$97</f>
        <v>13.5677269404465</v>
      </c>
      <c r="AC84" s="18">
        <f>AC74+INDEX(Data_Prices!AC:AC,MATCH($G84,Data_Prices!$A:$A,0))*AC$97</f>
        <v>13.5677269404465</v>
      </c>
      <c r="AD84" s="18">
        <f>AD74+INDEX(Data_Prices!AD:AD,MATCH($G84,Data_Prices!$A:$A,0))*AD$97</f>
        <v>13.5677269404465</v>
      </c>
      <c r="AE84" s="18">
        <f>AE74+INDEX(Data_Prices!AE:AE,MATCH($G84,Data_Prices!$A:$A,0))*AE$97</f>
        <v>13.5677269404465</v>
      </c>
    </row>
    <row r="85" spans="2:31" x14ac:dyDescent="0.45">
      <c r="B85" s="14" t="s">
        <v>69</v>
      </c>
      <c r="C85" s="14" t="str">
        <f t="shared" si="7"/>
        <v>cem</v>
      </c>
      <c r="D85" s="15" t="s">
        <v>70</v>
      </c>
      <c r="E85" s="16" t="s">
        <v>71</v>
      </c>
      <c r="F85" s="14" t="s">
        <v>73</v>
      </c>
      <c r="G85" s="17" t="str">
        <f>Settings!$B$3&amp;".mit.nce."&amp;Settings!$B$4&amp;"."&amp;$B85&amp;".a."&amp;$J$65</f>
        <v>egy.mit.nce.ind.ren.a.1</v>
      </c>
      <c r="H85" s="45" t="str">
        <f>Settings!$B$3&amp;".mit.atp."&amp;$C$65&amp;"."&amp;$B85&amp;".e."&amp;$J$65</f>
        <v>egy.mit.atp.cem.ren.e.1</v>
      </c>
      <c r="K85" s="18">
        <f>K75+INDEX(Data_Prices!K:K,MATCH($G85,Data_Prices!$A:$A,0))*K$97</f>
        <v>0</v>
      </c>
      <c r="L85" s="18">
        <f>L75+INDEX(Data_Prices!L:L,MATCH($G85,Data_Prices!$A:$A,0))*L$97</f>
        <v>0.14404498679319799</v>
      </c>
      <c r="M85" s="18">
        <f>M75+INDEX(Data_Prices!M:M,MATCH($G85,Data_Prices!$A:$A,0))*M$97</f>
        <v>0.14102040965700399</v>
      </c>
      <c r="N85" s="18">
        <f>N75+INDEX(Data_Prices!N:N,MATCH($G85,Data_Prices!$A:$A,0))*N$97</f>
        <v>0.13511635959447599</v>
      </c>
      <c r="O85" s="18">
        <f>O75+INDEX(Data_Prices!O:O,MATCH($G85,Data_Prices!$A:$A,0))*O$97</f>
        <v>0.13098825698585601</v>
      </c>
      <c r="P85" s="18">
        <f>P75+INDEX(Data_Prices!P:P,MATCH($G85,Data_Prices!$A:$A,0))*P$97</f>
        <v>0.12790841608631801</v>
      </c>
      <c r="Q85" s="18">
        <f>Q75+INDEX(Data_Prices!Q:Q,MATCH($G85,Data_Prices!$A:$A,0))*Q$97</f>
        <v>0.124814310557813</v>
      </c>
      <c r="R85" s="18">
        <f>R75+INDEX(Data_Prices!R:R,MATCH($G85,Data_Prices!$A:$A,0))*R$97</f>
        <v>0.121460257122878</v>
      </c>
      <c r="S85" s="18">
        <f>S75+INDEX(Data_Prices!S:S,MATCH($G85,Data_Prices!$A:$A,0))*S$97</f>
        <v>0.117950744135786</v>
      </c>
      <c r="T85" s="18">
        <f>T75+INDEX(Data_Prices!T:T,MATCH($G85,Data_Prices!$A:$A,0))*T$97</f>
        <v>0.114199161044597</v>
      </c>
      <c r="U85" s="18">
        <f>U75+INDEX(Data_Prices!U:U,MATCH($G85,Data_Prices!$A:$A,0))*U$97</f>
        <v>0.113665100059665</v>
      </c>
      <c r="V85" s="18">
        <f>V75+INDEX(Data_Prices!V:V,MATCH($G85,Data_Prices!$A:$A,0))*V$97</f>
        <v>0.113016929625957</v>
      </c>
      <c r="W85" s="18">
        <f>W75+INDEX(Data_Prices!W:W,MATCH($G85,Data_Prices!$A:$A,0))*W$97</f>
        <v>0.112314070507636</v>
      </c>
      <c r="X85" s="18">
        <f>X75+INDEX(Data_Prices!X:X,MATCH($G85,Data_Prices!$A:$A,0))*X$97</f>
        <v>0.11142204273284299</v>
      </c>
      <c r="Y85" s="18">
        <f>Y75+INDEX(Data_Prices!Y:Y,MATCH($G85,Data_Prices!$A:$A,0))*Y$97</f>
        <v>0.110434123675809</v>
      </c>
      <c r="Z85" s="18">
        <f>Z75+INDEX(Data_Prices!Z:Z,MATCH($G85,Data_Prices!$A:$A,0))*Z$97</f>
        <v>0.109483973304471</v>
      </c>
      <c r="AA85" s="18">
        <f>AA75+INDEX(Data_Prices!AA:AA,MATCH($G85,Data_Prices!$A:$A,0))*AA$97</f>
        <v>0.10839192105294</v>
      </c>
      <c r="AB85" s="18">
        <f>AB75+INDEX(Data_Prices!AB:AB,MATCH($G85,Data_Prices!$A:$A,0))*AB$97</f>
        <v>0.10735443362670399</v>
      </c>
      <c r="AC85" s="18">
        <f>AC75+INDEX(Data_Prices!AC:AC,MATCH($G85,Data_Prices!$A:$A,0))*AC$97</f>
        <v>0.105168675441661</v>
      </c>
      <c r="AD85" s="18">
        <f>AD75+INDEX(Data_Prices!AD:AD,MATCH($G85,Data_Prices!$A:$A,0))*AD$97</f>
        <v>0.103057983256008</v>
      </c>
      <c r="AE85" s="18">
        <f>AE75+INDEX(Data_Prices!AE:AE,MATCH($G85,Data_Prices!$A:$A,0))*AE$97</f>
        <v>0.100931838990114</v>
      </c>
    </row>
    <row r="86" spans="2:31" x14ac:dyDescent="0.45">
      <c r="B86" s="13" t="s">
        <v>74</v>
      </c>
    </row>
    <row r="87" spans="2:31" x14ac:dyDescent="0.45">
      <c r="B87" s="14" t="s">
        <v>49</v>
      </c>
      <c r="C87" s="14" t="str">
        <f t="shared" ref="C87:C95" si="8">$C$65</f>
        <v>cem</v>
      </c>
      <c r="D87" s="15" t="s">
        <v>50</v>
      </c>
      <c r="E87" s="16" t="s">
        <v>51</v>
      </c>
      <c r="F87" s="14" t="s">
        <v>75</v>
      </c>
      <c r="G87" s="17" t="str">
        <f>Settings!$B$3&amp;".mit.shp."&amp;$B87&amp;"."&amp;Settings!$B$4&amp;"."&amp;$J$65</f>
        <v>egy.mit.shp.coa.ind.1</v>
      </c>
      <c r="H87" s="45" t="str">
        <f>Settings!$B$3&amp;".mit.shp."&amp;$C$65&amp;"."&amp;$B87&amp;".e."&amp;$J$65</f>
        <v>egy.mit.shp.cem.coa.e.1</v>
      </c>
      <c r="K87" s="19">
        <f>K77+INDEX(Data_Prices!K:K,MATCH($G87,Data_Prices!$A:$A,0))*K$98</f>
        <v>11.182901589243899</v>
      </c>
      <c r="L87" s="19">
        <f>L77+INDEX(Data_Prices!L:L,MATCH($G87,Data_Prices!$A:$A,0))*L$98</f>
        <v>10.5233613454312</v>
      </c>
      <c r="M87" s="19">
        <f>M77+INDEX(Data_Prices!M:M,MATCH($G87,Data_Prices!$A:$A,0))*M$98</f>
        <v>10.2995608274442</v>
      </c>
      <c r="N87" s="19">
        <f>N77+INDEX(Data_Prices!N:N,MATCH($G87,Data_Prices!$A:$A,0))*N$98</f>
        <v>9.5775283595382597</v>
      </c>
      <c r="O87" s="19">
        <f>O77+INDEX(Data_Prices!O:O,MATCH($G87,Data_Prices!$A:$A,0))*O$98</f>
        <v>8.4854782869580507</v>
      </c>
      <c r="P87" s="19">
        <f>P77+INDEX(Data_Prices!P:P,MATCH($G87,Data_Prices!$A:$A,0))*P$98</f>
        <v>9.0871922352498604</v>
      </c>
      <c r="Q87" s="19">
        <f>Q77+INDEX(Data_Prices!Q:Q,MATCH($G87,Data_Prices!$A:$A,0))*Q$98</f>
        <v>9.2229237289326793</v>
      </c>
      <c r="R87" s="19">
        <f>R77+INDEX(Data_Prices!R:R,MATCH($G87,Data_Prices!$A:$A,0))*R$98</f>
        <v>9.1585649555096893</v>
      </c>
      <c r="S87" s="19">
        <f>S77+INDEX(Data_Prices!S:S,MATCH($G87,Data_Prices!$A:$A,0))*S$98</f>
        <v>9.0895478773973792</v>
      </c>
      <c r="T87" s="19">
        <f>T77+INDEX(Data_Prices!T:T,MATCH($G87,Data_Prices!$A:$A,0))*T$98</f>
        <v>9.0156816660228305</v>
      </c>
      <c r="U87" s="19">
        <f>U77+INDEX(Data_Prices!U:U,MATCH($G87,Data_Prices!$A:$A,0))*U$98</f>
        <v>8.9443977655571096</v>
      </c>
      <c r="V87" s="19">
        <f>V77+INDEX(Data_Prices!V:V,MATCH($G87,Data_Prices!$A:$A,0))*V$98</f>
        <v>8.9443977655571096</v>
      </c>
      <c r="W87" s="19">
        <f>W77+INDEX(Data_Prices!W:W,MATCH($G87,Data_Prices!$A:$A,0))*W$98</f>
        <v>8.9443977655571096</v>
      </c>
      <c r="X87" s="19">
        <f>X77+INDEX(Data_Prices!X:X,MATCH($G87,Data_Prices!$A:$A,0))*X$98</f>
        <v>8.9443977655571096</v>
      </c>
      <c r="Y87" s="19">
        <f>Y77+INDEX(Data_Prices!Y:Y,MATCH($G87,Data_Prices!$A:$A,0))*Y$98</f>
        <v>8.9443977655571096</v>
      </c>
      <c r="Z87" s="19">
        <f>Z77+INDEX(Data_Prices!Z:Z,MATCH($G87,Data_Prices!$A:$A,0))*Z$98</f>
        <v>8.9443977655571096</v>
      </c>
      <c r="AA87" s="19">
        <f>AA77+INDEX(Data_Prices!AA:AA,MATCH($G87,Data_Prices!$A:$A,0))*AA$98</f>
        <v>8.9443977655571096</v>
      </c>
      <c r="AB87" s="19">
        <f>AB77+INDEX(Data_Prices!AB:AB,MATCH($G87,Data_Prices!$A:$A,0))*AB$98</f>
        <v>8.9443977655571096</v>
      </c>
      <c r="AC87" s="19">
        <f>AC77+INDEX(Data_Prices!AC:AC,MATCH($G87,Data_Prices!$A:$A,0))*AC$98</f>
        <v>8.9443977655571096</v>
      </c>
      <c r="AD87" s="19">
        <f>AD77+INDEX(Data_Prices!AD:AD,MATCH($G87,Data_Prices!$A:$A,0))*AD$98</f>
        <v>8.9443977655571096</v>
      </c>
      <c r="AE87" s="19">
        <f>AE77+INDEX(Data_Prices!AE:AE,MATCH($G87,Data_Prices!$A:$A,0))*AE$98</f>
        <v>8.9443977655571096</v>
      </c>
    </row>
    <row r="88" spans="2:31" x14ac:dyDescent="0.45">
      <c r="B88" s="14" t="s">
        <v>53</v>
      </c>
      <c r="C88" s="14" t="str">
        <f t="shared" si="8"/>
        <v>cem</v>
      </c>
      <c r="D88" s="15" t="s">
        <v>54</v>
      </c>
      <c r="E88" s="16" t="s">
        <v>51</v>
      </c>
      <c r="F88" s="14" t="s">
        <v>75</v>
      </c>
      <c r="G88" s="17" t="str">
        <f>Settings!$B$3&amp;".mit.shp."&amp;$B88&amp;"."&amp;Settings!$B$4&amp;"."&amp;$J$65</f>
        <v>egy.mit.shp.nga.ind.1</v>
      </c>
      <c r="H88" s="45" t="str">
        <f>Settings!$B$3&amp;".mit.shp."&amp;$C$65&amp;"."&amp;$B88&amp;".e."&amp;$J$65</f>
        <v>egy.mit.shp.cem.nga.e.1</v>
      </c>
      <c r="K88" s="19">
        <f>K78+INDEX(Data_Prices!K:K,MATCH($G88,Data_Prices!$A:$A,0))*K$98</f>
        <v>6.0634636156729096</v>
      </c>
      <c r="L88" s="19">
        <f>L78+INDEX(Data_Prices!L:L,MATCH($G88,Data_Prices!$A:$A,0))*L$98</f>
        <v>5.4510150816191896</v>
      </c>
      <c r="M88" s="19">
        <f>M78+INDEX(Data_Prices!M:M,MATCH($G88,Data_Prices!$A:$A,0))*M$98</f>
        <v>5.1193563062624801</v>
      </c>
      <c r="N88" s="19">
        <f>N78+INDEX(Data_Prices!N:N,MATCH($G88,Data_Prices!$A:$A,0))*N$98</f>
        <v>5.08218458640407</v>
      </c>
      <c r="O88" s="19">
        <f>O78+INDEX(Data_Prices!O:O,MATCH($G88,Data_Prices!$A:$A,0))*O$98</f>
        <v>5.08218458640407</v>
      </c>
      <c r="P88" s="19">
        <f>P78+INDEX(Data_Prices!P:P,MATCH($G88,Data_Prices!$A:$A,0))*P$98</f>
        <v>5.08218458640407</v>
      </c>
      <c r="Q88" s="19">
        <f>Q78+INDEX(Data_Prices!Q:Q,MATCH($G88,Data_Prices!$A:$A,0))*Q$98</f>
        <v>5.08218458640407</v>
      </c>
      <c r="R88" s="19">
        <f>R78+INDEX(Data_Prices!R:R,MATCH($G88,Data_Prices!$A:$A,0))*R$98</f>
        <v>5.08218458640407</v>
      </c>
      <c r="S88" s="19">
        <f>S78+INDEX(Data_Prices!S:S,MATCH($G88,Data_Prices!$A:$A,0))*S$98</f>
        <v>5.08218458640407</v>
      </c>
      <c r="T88" s="19">
        <f>T78+INDEX(Data_Prices!T:T,MATCH($G88,Data_Prices!$A:$A,0))*T$98</f>
        <v>5.08218458640407</v>
      </c>
      <c r="U88" s="19">
        <f>U78+INDEX(Data_Prices!U:U,MATCH($G88,Data_Prices!$A:$A,0))*U$98</f>
        <v>5.08218458640407</v>
      </c>
      <c r="V88" s="19">
        <f>V78+INDEX(Data_Prices!V:V,MATCH($G88,Data_Prices!$A:$A,0))*V$98</f>
        <v>5.08218458640407</v>
      </c>
      <c r="W88" s="19">
        <f>W78+INDEX(Data_Prices!W:W,MATCH($G88,Data_Prices!$A:$A,0))*W$98</f>
        <v>5.08218458640407</v>
      </c>
      <c r="X88" s="19">
        <f>X78+INDEX(Data_Prices!X:X,MATCH($G88,Data_Prices!$A:$A,0))*X$98</f>
        <v>5.08218458640407</v>
      </c>
      <c r="Y88" s="19">
        <f>Y78+INDEX(Data_Prices!Y:Y,MATCH($G88,Data_Prices!$A:$A,0))*Y$98</f>
        <v>5.08218458640407</v>
      </c>
      <c r="Z88" s="19">
        <f>Z78+INDEX(Data_Prices!Z:Z,MATCH($G88,Data_Prices!$A:$A,0))*Z$98</f>
        <v>5.08218458640407</v>
      </c>
      <c r="AA88" s="19">
        <f>AA78+INDEX(Data_Prices!AA:AA,MATCH($G88,Data_Prices!$A:$A,0))*AA$98</f>
        <v>5.08218458640407</v>
      </c>
      <c r="AB88" s="19">
        <f>AB78+INDEX(Data_Prices!AB:AB,MATCH($G88,Data_Prices!$A:$A,0))*AB$98</f>
        <v>5.08218458640407</v>
      </c>
      <c r="AC88" s="19">
        <f>AC78+INDEX(Data_Prices!AC:AC,MATCH($G88,Data_Prices!$A:$A,0))*AC$98</f>
        <v>5.08218458640407</v>
      </c>
      <c r="AD88" s="19">
        <f>AD78+INDEX(Data_Prices!AD:AD,MATCH($G88,Data_Prices!$A:$A,0))*AD$98</f>
        <v>5.08218458640407</v>
      </c>
      <c r="AE88" s="19">
        <f>AE78+INDEX(Data_Prices!AE:AE,MATCH($G88,Data_Prices!$A:$A,0))*AE$98</f>
        <v>5.08218458640407</v>
      </c>
    </row>
    <row r="89" spans="2:31" x14ac:dyDescent="0.45">
      <c r="B89" s="14" t="s">
        <v>55</v>
      </c>
      <c r="C89" s="14" t="str">
        <f t="shared" si="8"/>
        <v>cem</v>
      </c>
      <c r="D89" s="15" t="s">
        <v>56</v>
      </c>
      <c r="E89" s="16" t="s">
        <v>57</v>
      </c>
      <c r="F89" s="14" t="s">
        <v>75</v>
      </c>
      <c r="G89" s="17" t="str">
        <f>Settings!$B$3&amp;".mit.shp."&amp;$B89&amp;"."&amp;Settings!$B$4&amp;"."&amp;$J$65</f>
        <v>egy.mit.shp.gso.ind.1</v>
      </c>
      <c r="H89" s="45" t="str">
        <f>Settings!$B$3&amp;".mit.shp."&amp;$C$65&amp;"."&amp;$B89&amp;".e."&amp;$J$65</f>
        <v>egy.mit.shp.cem.gso.e.1</v>
      </c>
      <c r="K89" s="19">
        <f>K79+INDEX(Data_Prices!K:K,MATCH($G89,Data_Prices!$A:$A,0))*K$98</f>
        <v>0.67114653332181595</v>
      </c>
      <c r="L89" s="19">
        <f>L79+INDEX(Data_Prices!L:L,MATCH($G89,Data_Prices!$A:$A,0))*L$98</f>
        <v>0.61197797679140598</v>
      </c>
      <c r="M89" s="19">
        <f>M79+INDEX(Data_Prices!M:M,MATCH($G89,Data_Prices!$A:$A,0))*M$98</f>
        <v>0.61180974964187596</v>
      </c>
      <c r="N89" s="19">
        <f>N79+INDEX(Data_Prices!N:N,MATCH($G89,Data_Prices!$A:$A,0))*N$98</f>
        <v>0.60358310017790595</v>
      </c>
      <c r="O89" s="19">
        <f>O79+INDEX(Data_Prices!O:O,MATCH($G89,Data_Prices!$A:$A,0))*O$98</f>
        <v>0.60358310017790595</v>
      </c>
      <c r="P89" s="19">
        <f>P79+INDEX(Data_Prices!P:P,MATCH($G89,Data_Prices!$A:$A,0))*P$98</f>
        <v>0.60358310017790595</v>
      </c>
      <c r="Q89" s="19">
        <f>Q79+INDEX(Data_Prices!Q:Q,MATCH($G89,Data_Prices!$A:$A,0))*Q$98</f>
        <v>0.60358310017790595</v>
      </c>
      <c r="R89" s="19">
        <f>R79+INDEX(Data_Prices!R:R,MATCH($G89,Data_Prices!$A:$A,0))*R$98</f>
        <v>0.60358310017790595</v>
      </c>
      <c r="S89" s="19">
        <f>S79+INDEX(Data_Prices!S:S,MATCH($G89,Data_Prices!$A:$A,0))*S$98</f>
        <v>0.60358310017790595</v>
      </c>
      <c r="T89" s="19">
        <f>T79+INDEX(Data_Prices!T:T,MATCH($G89,Data_Prices!$A:$A,0))*T$98</f>
        <v>0.60358310017790595</v>
      </c>
      <c r="U89" s="19">
        <f>U79+INDEX(Data_Prices!U:U,MATCH($G89,Data_Prices!$A:$A,0))*U$98</f>
        <v>0.60358310017790595</v>
      </c>
      <c r="V89" s="19">
        <f>V79+INDEX(Data_Prices!V:V,MATCH($G89,Data_Prices!$A:$A,0))*V$98</f>
        <v>0.60358310017790595</v>
      </c>
      <c r="W89" s="19">
        <f>W79+INDEX(Data_Prices!W:W,MATCH($G89,Data_Prices!$A:$A,0))*W$98</f>
        <v>0.60358310017790595</v>
      </c>
      <c r="X89" s="19">
        <f>X79+INDEX(Data_Prices!X:X,MATCH($G89,Data_Prices!$A:$A,0))*X$98</f>
        <v>0.60358310017790595</v>
      </c>
      <c r="Y89" s="19">
        <f>Y79+INDEX(Data_Prices!Y:Y,MATCH($G89,Data_Prices!$A:$A,0))*Y$98</f>
        <v>0.60358310017790595</v>
      </c>
      <c r="Z89" s="19">
        <f>Z79+INDEX(Data_Prices!Z:Z,MATCH($G89,Data_Prices!$A:$A,0))*Z$98</f>
        <v>0.60358310017790595</v>
      </c>
      <c r="AA89" s="19">
        <f>AA79+INDEX(Data_Prices!AA:AA,MATCH($G89,Data_Prices!$A:$A,0))*AA$98</f>
        <v>0.60358310017790595</v>
      </c>
      <c r="AB89" s="19">
        <f>AB79+INDEX(Data_Prices!AB:AB,MATCH($G89,Data_Prices!$A:$A,0))*AB$98</f>
        <v>0.60358310017790595</v>
      </c>
      <c r="AC89" s="19">
        <f>AC79+INDEX(Data_Prices!AC:AC,MATCH($G89,Data_Prices!$A:$A,0))*AC$98</f>
        <v>0.60358310017790595</v>
      </c>
      <c r="AD89" s="19">
        <f>AD79+INDEX(Data_Prices!AD:AD,MATCH($G89,Data_Prices!$A:$A,0))*AD$98</f>
        <v>0.60358310017790595</v>
      </c>
      <c r="AE89" s="19">
        <f>AE79+INDEX(Data_Prices!AE:AE,MATCH($G89,Data_Prices!$A:$A,0))*AE$98</f>
        <v>0.60358310017790595</v>
      </c>
    </row>
    <row r="90" spans="2:31" x14ac:dyDescent="0.45">
      <c r="B90" s="14" t="s">
        <v>58</v>
      </c>
      <c r="C90" s="14" t="str">
        <f t="shared" si="8"/>
        <v>cem</v>
      </c>
      <c r="D90" s="15" t="s">
        <v>59</v>
      </c>
      <c r="E90" s="16" t="s">
        <v>57</v>
      </c>
      <c r="F90" s="14" t="s">
        <v>75</v>
      </c>
      <c r="G90" s="17" t="str">
        <f>Settings!$B$3&amp;".mit.shp."&amp;$B90&amp;"."&amp;Settings!$B$4&amp;"."&amp;$J$65</f>
        <v>egy.mit.shp.die.ind.1</v>
      </c>
      <c r="H90" s="45" t="str">
        <f>Settings!$B$3&amp;".mit.shp."&amp;$C$65&amp;"."&amp;$B90&amp;".e."&amp;$J$65</f>
        <v>egy.mit.shp.cem.die.e.1</v>
      </c>
      <c r="K90" s="19">
        <f>K80+INDEX(Data_Prices!K:K,MATCH($G90,Data_Prices!$A:$A,0))*K$98</f>
        <v>0.55971121315568795</v>
      </c>
      <c r="L90" s="19">
        <f>L80+INDEX(Data_Prices!L:L,MATCH($G90,Data_Prices!$A:$A,0))*L$98</f>
        <v>0.49458873084106802</v>
      </c>
      <c r="M90" s="19">
        <f>M80+INDEX(Data_Prices!M:M,MATCH($G90,Data_Prices!$A:$A,0))*M$98</f>
        <v>0.50778654720250105</v>
      </c>
      <c r="N90" s="19">
        <f>N80+INDEX(Data_Prices!N:N,MATCH($G90,Data_Prices!$A:$A,0))*N$98</f>
        <v>0.47043642679561698</v>
      </c>
      <c r="O90" s="19">
        <f>O80+INDEX(Data_Prices!O:O,MATCH($G90,Data_Prices!$A:$A,0))*O$98</f>
        <v>0.47043642679561698</v>
      </c>
      <c r="P90" s="19">
        <f>P80+INDEX(Data_Prices!P:P,MATCH($G90,Data_Prices!$A:$A,0))*P$98</f>
        <v>0.47043642679561698</v>
      </c>
      <c r="Q90" s="19">
        <f>Q80+INDEX(Data_Prices!Q:Q,MATCH($G90,Data_Prices!$A:$A,0))*Q$98</f>
        <v>0.47043642679561698</v>
      </c>
      <c r="R90" s="19">
        <f>R80+INDEX(Data_Prices!R:R,MATCH($G90,Data_Prices!$A:$A,0))*R$98</f>
        <v>0.47043642679561698</v>
      </c>
      <c r="S90" s="19">
        <f>S80+INDEX(Data_Prices!S:S,MATCH($G90,Data_Prices!$A:$A,0))*S$98</f>
        <v>0.47043642679561698</v>
      </c>
      <c r="T90" s="19">
        <f>T80+INDEX(Data_Prices!T:T,MATCH($G90,Data_Prices!$A:$A,0))*T$98</f>
        <v>0.47043642679561698</v>
      </c>
      <c r="U90" s="19">
        <f>U80+INDEX(Data_Prices!U:U,MATCH($G90,Data_Prices!$A:$A,0))*U$98</f>
        <v>0.47043642679561698</v>
      </c>
      <c r="V90" s="19">
        <f>V80+INDEX(Data_Prices!V:V,MATCH($G90,Data_Prices!$A:$A,0))*V$98</f>
        <v>0.47043642679561698</v>
      </c>
      <c r="W90" s="19">
        <f>W80+INDEX(Data_Prices!W:W,MATCH($G90,Data_Prices!$A:$A,0))*W$98</f>
        <v>0.47043642679561698</v>
      </c>
      <c r="X90" s="19">
        <f>X80+INDEX(Data_Prices!X:X,MATCH($G90,Data_Prices!$A:$A,0))*X$98</f>
        <v>0.47043642679561698</v>
      </c>
      <c r="Y90" s="19">
        <f>Y80+INDEX(Data_Prices!Y:Y,MATCH($G90,Data_Prices!$A:$A,0))*Y$98</f>
        <v>0.47043642679561698</v>
      </c>
      <c r="Z90" s="19">
        <f>Z80+INDEX(Data_Prices!Z:Z,MATCH($G90,Data_Prices!$A:$A,0))*Z$98</f>
        <v>0.47043642679561698</v>
      </c>
      <c r="AA90" s="19">
        <f>AA80+INDEX(Data_Prices!AA:AA,MATCH($G90,Data_Prices!$A:$A,0))*AA$98</f>
        <v>0.47043642679561698</v>
      </c>
      <c r="AB90" s="19">
        <f>AB80+INDEX(Data_Prices!AB:AB,MATCH($G90,Data_Prices!$A:$A,0))*AB$98</f>
        <v>0.47043642679561698</v>
      </c>
      <c r="AC90" s="19">
        <f>AC80+INDEX(Data_Prices!AC:AC,MATCH($G90,Data_Prices!$A:$A,0))*AC$98</f>
        <v>0.47043642679561698</v>
      </c>
      <c r="AD90" s="19">
        <f>AD80+INDEX(Data_Prices!AD:AD,MATCH($G90,Data_Prices!$A:$A,0))*AD$98</f>
        <v>0.47043642679561698</v>
      </c>
      <c r="AE90" s="19">
        <f>AE80+INDEX(Data_Prices!AE:AE,MATCH($G90,Data_Prices!$A:$A,0))*AE$98</f>
        <v>0.47043642679561698</v>
      </c>
    </row>
    <row r="91" spans="2:31" x14ac:dyDescent="0.45">
      <c r="B91" s="14" t="s">
        <v>60</v>
      </c>
      <c r="C91" s="14" t="str">
        <f t="shared" si="8"/>
        <v>cem</v>
      </c>
      <c r="D91" s="15" t="s">
        <v>61</v>
      </c>
      <c r="E91" s="16" t="s">
        <v>57</v>
      </c>
      <c r="F91" s="14" t="s">
        <v>75</v>
      </c>
      <c r="G91" s="17" t="str">
        <f>Settings!$B$3&amp;".mit.shp."&amp;$B91&amp;"."&amp;Settings!$B$4&amp;"."&amp;$J$65</f>
        <v>egy.mit.shp.lpg.ind.1</v>
      </c>
      <c r="H91" s="45" t="str">
        <f>Settings!$B$3&amp;".mit.shp."&amp;$C$65&amp;"."&amp;$B91&amp;".e."&amp;$J$65</f>
        <v>egy.mit.shp.cem.lpg.e.1</v>
      </c>
      <c r="K91" s="19">
        <f>K81+INDEX(Data_Prices!K:K,MATCH($G91,Data_Prices!$A:$A,0))*K$98</f>
        <v>0.20036669112673799</v>
      </c>
      <c r="L91" s="19">
        <f>L81+INDEX(Data_Prices!L:L,MATCH($G91,Data_Prices!$A:$A,0))*L$98</f>
        <v>0.15734473625227399</v>
      </c>
      <c r="M91" s="19">
        <f>M81+INDEX(Data_Prices!M:M,MATCH($G91,Data_Prices!$A:$A,0))*M$98</f>
        <v>0.164484037759277</v>
      </c>
      <c r="N91" s="19">
        <f>N81+INDEX(Data_Prices!N:N,MATCH($G91,Data_Prices!$A:$A,0))*N$98</f>
        <v>0.15070907780704901</v>
      </c>
      <c r="O91" s="19">
        <f>O81+INDEX(Data_Prices!O:O,MATCH($G91,Data_Prices!$A:$A,0))*O$98</f>
        <v>0.15070907780704901</v>
      </c>
      <c r="P91" s="19">
        <f>P81+INDEX(Data_Prices!P:P,MATCH($G91,Data_Prices!$A:$A,0))*P$98</f>
        <v>0.15070907780704901</v>
      </c>
      <c r="Q91" s="19">
        <f>Q81+INDEX(Data_Prices!Q:Q,MATCH($G91,Data_Prices!$A:$A,0))*Q$98</f>
        <v>0.15070907780704901</v>
      </c>
      <c r="R91" s="19">
        <f>R81+INDEX(Data_Prices!R:R,MATCH($G91,Data_Prices!$A:$A,0))*R$98</f>
        <v>0.15070907780704901</v>
      </c>
      <c r="S91" s="19">
        <f>S81+INDEX(Data_Prices!S:S,MATCH($G91,Data_Prices!$A:$A,0))*S$98</f>
        <v>0.15070907780704901</v>
      </c>
      <c r="T91" s="19">
        <f>T81+INDEX(Data_Prices!T:T,MATCH($G91,Data_Prices!$A:$A,0))*T$98</f>
        <v>0.15070907780704901</v>
      </c>
      <c r="U91" s="19">
        <f>U81+INDEX(Data_Prices!U:U,MATCH($G91,Data_Prices!$A:$A,0))*U$98</f>
        <v>0.15070907780704901</v>
      </c>
      <c r="V91" s="19">
        <f>V81+INDEX(Data_Prices!V:V,MATCH($G91,Data_Prices!$A:$A,0))*V$98</f>
        <v>0.15070907780704901</v>
      </c>
      <c r="W91" s="19">
        <f>W81+INDEX(Data_Prices!W:W,MATCH($G91,Data_Prices!$A:$A,0))*W$98</f>
        <v>0.15070907780704901</v>
      </c>
      <c r="X91" s="19">
        <f>X81+INDEX(Data_Prices!X:X,MATCH($G91,Data_Prices!$A:$A,0))*X$98</f>
        <v>0.15070907780704901</v>
      </c>
      <c r="Y91" s="19">
        <f>Y81+INDEX(Data_Prices!Y:Y,MATCH($G91,Data_Prices!$A:$A,0))*Y$98</f>
        <v>0.15070907780704901</v>
      </c>
      <c r="Z91" s="19">
        <f>Z81+INDEX(Data_Prices!Z:Z,MATCH($G91,Data_Prices!$A:$A,0))*Z$98</f>
        <v>0.15070907780704901</v>
      </c>
      <c r="AA91" s="19">
        <f>AA81+INDEX(Data_Prices!AA:AA,MATCH($G91,Data_Prices!$A:$A,0))*AA$98</f>
        <v>0.15070907780704901</v>
      </c>
      <c r="AB91" s="19">
        <f>AB81+INDEX(Data_Prices!AB:AB,MATCH($G91,Data_Prices!$A:$A,0))*AB$98</f>
        <v>0.15070907780704901</v>
      </c>
      <c r="AC91" s="19">
        <f>AC81+INDEX(Data_Prices!AC:AC,MATCH($G91,Data_Prices!$A:$A,0))*AC$98</f>
        <v>0.15070907780704901</v>
      </c>
      <c r="AD91" s="19">
        <f>AD81+INDEX(Data_Prices!AD:AD,MATCH($G91,Data_Prices!$A:$A,0))*AD$98</f>
        <v>0.15070907780704901</v>
      </c>
      <c r="AE91" s="19">
        <f>AE81+INDEX(Data_Prices!AE:AE,MATCH($G91,Data_Prices!$A:$A,0))*AE$98</f>
        <v>0.15070907780704901</v>
      </c>
    </row>
    <row r="92" spans="2:31" x14ac:dyDescent="0.45">
      <c r="B92" s="14" t="s">
        <v>62</v>
      </c>
      <c r="C92" s="14" t="str">
        <f t="shared" si="8"/>
        <v>cem</v>
      </c>
      <c r="D92" s="15" t="s">
        <v>63</v>
      </c>
      <c r="E92" s="16" t="s">
        <v>57</v>
      </c>
      <c r="F92" s="14" t="s">
        <v>75</v>
      </c>
      <c r="G92" s="17" t="str">
        <f>Settings!$B$3&amp;".mit.shp."&amp;$B92&amp;"."&amp;Settings!$B$4&amp;"."&amp;$J$65</f>
        <v>egy.mit.shp.ker.ind.1</v>
      </c>
      <c r="H92" s="45" t="str">
        <f>Settings!$B$3&amp;".mit.shp."&amp;$C$65&amp;"."&amp;$B92&amp;".e."&amp;$J$65</f>
        <v>egy.mit.shp.cem.ker.e.1</v>
      </c>
      <c r="K92" s="19">
        <f>K82+INDEX(Data_Prices!K:K,MATCH($G92,Data_Prices!$A:$A,0))*K$98</f>
        <v>0.48429424097343499</v>
      </c>
      <c r="L92" s="19">
        <f>L82+INDEX(Data_Prices!L:L,MATCH($G92,Data_Prices!$A:$A,0))*L$98</f>
        <v>0.45642817050012802</v>
      </c>
      <c r="M92" s="19">
        <f>M82+INDEX(Data_Prices!M:M,MATCH($G92,Data_Prices!$A:$A,0))*M$98</f>
        <v>0.43168920195599497</v>
      </c>
      <c r="N92" s="19">
        <f>N82+INDEX(Data_Prices!N:N,MATCH($G92,Data_Prices!$A:$A,0))*N$98</f>
        <v>0.42507558395597</v>
      </c>
      <c r="O92" s="19">
        <f>O82+INDEX(Data_Prices!O:O,MATCH($G92,Data_Prices!$A:$A,0))*O$98</f>
        <v>0.42507558395597</v>
      </c>
      <c r="P92" s="19">
        <f>P82+INDEX(Data_Prices!P:P,MATCH($G92,Data_Prices!$A:$A,0))*P$98</f>
        <v>0.42507558395597</v>
      </c>
      <c r="Q92" s="19">
        <f>Q82+INDEX(Data_Prices!Q:Q,MATCH($G92,Data_Prices!$A:$A,0))*Q$98</f>
        <v>0.42507558395597</v>
      </c>
      <c r="R92" s="19">
        <f>R82+INDEX(Data_Prices!R:R,MATCH($G92,Data_Prices!$A:$A,0))*R$98</f>
        <v>0.42507558395597</v>
      </c>
      <c r="S92" s="19">
        <f>S82+INDEX(Data_Prices!S:S,MATCH($G92,Data_Prices!$A:$A,0))*S$98</f>
        <v>0.42507558395597</v>
      </c>
      <c r="T92" s="19">
        <f>T82+INDEX(Data_Prices!T:T,MATCH($G92,Data_Prices!$A:$A,0))*T$98</f>
        <v>0.42507558395597</v>
      </c>
      <c r="U92" s="19">
        <f>U82+INDEX(Data_Prices!U:U,MATCH($G92,Data_Prices!$A:$A,0))*U$98</f>
        <v>0.42507558395597</v>
      </c>
      <c r="V92" s="19">
        <f>V82+INDEX(Data_Prices!V:V,MATCH($G92,Data_Prices!$A:$A,0))*V$98</f>
        <v>0.42507558395597</v>
      </c>
      <c r="W92" s="19">
        <f>W82+INDEX(Data_Prices!W:W,MATCH($G92,Data_Prices!$A:$A,0))*W$98</f>
        <v>0.42507558395597</v>
      </c>
      <c r="X92" s="19">
        <f>X82+INDEX(Data_Prices!X:X,MATCH($G92,Data_Prices!$A:$A,0))*X$98</f>
        <v>0.42507558395597</v>
      </c>
      <c r="Y92" s="19">
        <f>Y82+INDEX(Data_Prices!Y:Y,MATCH($G92,Data_Prices!$A:$A,0))*Y$98</f>
        <v>0.42507558395597</v>
      </c>
      <c r="Z92" s="19">
        <f>Z82+INDEX(Data_Prices!Z:Z,MATCH($G92,Data_Prices!$A:$A,0))*Z$98</f>
        <v>0.42507558395597</v>
      </c>
      <c r="AA92" s="19">
        <f>AA82+INDEX(Data_Prices!AA:AA,MATCH($G92,Data_Prices!$A:$A,0))*AA$98</f>
        <v>0.42507558395597</v>
      </c>
      <c r="AB92" s="19">
        <f>AB82+INDEX(Data_Prices!AB:AB,MATCH($G92,Data_Prices!$A:$A,0))*AB$98</f>
        <v>0.42507558395597</v>
      </c>
      <c r="AC92" s="19">
        <f>AC82+INDEX(Data_Prices!AC:AC,MATCH($G92,Data_Prices!$A:$A,0))*AC$98</f>
        <v>0.42507558395597</v>
      </c>
      <c r="AD92" s="19">
        <f>AD82+INDEX(Data_Prices!AD:AD,MATCH($G92,Data_Prices!$A:$A,0))*AD$98</f>
        <v>0.42507558395597</v>
      </c>
      <c r="AE92" s="19">
        <f>AE82+INDEX(Data_Prices!AE:AE,MATCH($G92,Data_Prices!$A:$A,0))*AE$98</f>
        <v>0.42507558395597</v>
      </c>
    </row>
    <row r="93" spans="2:31" x14ac:dyDescent="0.45">
      <c r="B93" s="14" t="s">
        <v>64</v>
      </c>
      <c r="C93" s="14" t="str">
        <f t="shared" si="8"/>
        <v>cem</v>
      </c>
      <c r="D93" s="15" t="s">
        <v>65</v>
      </c>
      <c r="E93" s="16" t="s">
        <v>66</v>
      </c>
      <c r="F93" s="14" t="s">
        <v>75</v>
      </c>
      <c r="G93" s="17" t="str">
        <f>Settings!$B$3&amp;".mit.shp."&amp;$B93&amp;"."&amp;Settings!$B$4&amp;"."&amp;$J$65</f>
        <v>egy.mit.shp.oop.ind.1</v>
      </c>
      <c r="H93" s="45" t="str">
        <f>Settings!$B$3&amp;".mit.shp."&amp;$C$65&amp;"."&amp;$B93&amp;".e."&amp;$J$65</f>
        <v>egy.mit.shp.cem.oop.e.1</v>
      </c>
      <c r="K93" s="19">
        <f>K83+INDEX(Data_Prices!K:K,MATCH($G93,Data_Prices!$A:$A,0))*K$98</f>
        <v>41.500338498868402</v>
      </c>
      <c r="L93" s="19">
        <f>L83+INDEX(Data_Prices!L:L,MATCH($G93,Data_Prices!$A:$A,0))*L$98</f>
        <v>34.4153703043132</v>
      </c>
      <c r="M93" s="19">
        <f>M83+INDEX(Data_Prices!M:M,MATCH($G93,Data_Prices!$A:$A,0))*M$98</f>
        <v>37.368960690431997</v>
      </c>
      <c r="N93" s="19">
        <f>N83+INDEX(Data_Prices!N:N,MATCH($G93,Data_Prices!$A:$A,0))*N$98</f>
        <v>28.982761101477301</v>
      </c>
      <c r="O93" s="19">
        <f>O83+INDEX(Data_Prices!O:O,MATCH($G93,Data_Prices!$A:$A,0))*O$98</f>
        <v>15</v>
      </c>
      <c r="P93" s="19">
        <f>P83+INDEX(Data_Prices!P:P,MATCH($G93,Data_Prices!$A:$A,0))*P$98</f>
        <v>24.2586300842555</v>
      </c>
      <c r="Q93" s="19">
        <f>Q83+INDEX(Data_Prices!Q:Q,MATCH($G93,Data_Prices!$A:$A,0))*Q$98</f>
        <v>15</v>
      </c>
      <c r="R93" s="19">
        <f>R83+INDEX(Data_Prices!R:R,MATCH($G93,Data_Prices!$A:$A,0))*R$98</f>
        <v>15</v>
      </c>
      <c r="S93" s="19">
        <f>S83+INDEX(Data_Prices!S:S,MATCH($G93,Data_Prices!$A:$A,0))*S$98</f>
        <v>15</v>
      </c>
      <c r="T93" s="19">
        <f>T83+INDEX(Data_Prices!T:T,MATCH($G93,Data_Prices!$A:$A,0))*T$98</f>
        <v>15</v>
      </c>
      <c r="U93" s="19">
        <f>U83+INDEX(Data_Prices!U:U,MATCH($G93,Data_Prices!$A:$A,0))*U$98</f>
        <v>15</v>
      </c>
      <c r="V93" s="19">
        <f>V83+INDEX(Data_Prices!V:V,MATCH($G93,Data_Prices!$A:$A,0))*V$98</f>
        <v>15</v>
      </c>
      <c r="W93" s="19">
        <f>W83+INDEX(Data_Prices!W:W,MATCH($G93,Data_Prices!$A:$A,0))*W$98</f>
        <v>15</v>
      </c>
      <c r="X93" s="19">
        <f>X83+INDEX(Data_Prices!X:X,MATCH($G93,Data_Prices!$A:$A,0))*X$98</f>
        <v>15</v>
      </c>
      <c r="Y93" s="19">
        <f>Y83+INDEX(Data_Prices!Y:Y,MATCH($G93,Data_Prices!$A:$A,0))*Y$98</f>
        <v>15</v>
      </c>
      <c r="Z93" s="19">
        <f>Z83+INDEX(Data_Prices!Z:Z,MATCH($G93,Data_Prices!$A:$A,0))*Z$98</f>
        <v>15</v>
      </c>
      <c r="AA93" s="19">
        <f>AA83+INDEX(Data_Prices!AA:AA,MATCH($G93,Data_Prices!$A:$A,0))*AA$98</f>
        <v>15</v>
      </c>
      <c r="AB93" s="19">
        <f>AB83+INDEX(Data_Prices!AB:AB,MATCH($G93,Data_Prices!$A:$A,0))*AB$98</f>
        <v>15</v>
      </c>
      <c r="AC93" s="19">
        <f>AC83+INDEX(Data_Prices!AC:AC,MATCH($G93,Data_Prices!$A:$A,0))*AC$98</f>
        <v>15</v>
      </c>
      <c r="AD93" s="19">
        <f>AD83+INDEX(Data_Prices!AD:AD,MATCH($G93,Data_Prices!$A:$A,0))*AD$98</f>
        <v>15</v>
      </c>
      <c r="AE93" s="19">
        <f>AE83+INDEX(Data_Prices!AE:AE,MATCH($G93,Data_Prices!$A:$A,0))*AE$98</f>
        <v>15</v>
      </c>
    </row>
    <row r="94" spans="2:31" x14ac:dyDescent="0.45">
      <c r="B94" s="14" t="s">
        <v>67</v>
      </c>
      <c r="C94" s="14" t="str">
        <f t="shared" si="8"/>
        <v>cem</v>
      </c>
      <c r="D94" s="15" t="s">
        <v>68</v>
      </c>
      <c r="E94" s="16" t="s">
        <v>51</v>
      </c>
      <c r="F94" s="14" t="s">
        <v>75</v>
      </c>
      <c r="G94" s="17" t="str">
        <f>Settings!$B$3&amp;".mit.shp."&amp;$B94&amp;"."&amp;Settings!$B$4&amp;"."&amp;$J$65</f>
        <v>egy.mit.shp.bio.ind.1</v>
      </c>
      <c r="H94" s="45" t="str">
        <f>Settings!$B$3&amp;".mit.shp."&amp;$C$65&amp;"."&amp;$B94&amp;".e."&amp;$J$65</f>
        <v>egy.mit.shp.cem.bio.e.1</v>
      </c>
      <c r="K94" s="19">
        <f>K84+INDEX(Data_Prices!K:K,MATCH($G94,Data_Prices!$A:$A,0))*K$98</f>
        <v>15.3345505293169</v>
      </c>
      <c r="L94" s="19">
        <f>L84+INDEX(Data_Prices!L:L,MATCH($G94,Data_Prices!$A:$A,0))*L$98</f>
        <v>14.199528390634899</v>
      </c>
      <c r="M94" s="19">
        <f>M84+INDEX(Data_Prices!M:M,MATCH($G94,Data_Prices!$A:$A,0))*M$98</f>
        <v>13.8404416133152</v>
      </c>
      <c r="N94" s="19">
        <f>N84+INDEX(Data_Prices!N:N,MATCH($G94,Data_Prices!$A:$A,0))*N$98</f>
        <v>13.5677269404465</v>
      </c>
      <c r="O94" s="19">
        <f>O84+INDEX(Data_Prices!O:O,MATCH($G94,Data_Prices!$A:$A,0))*O$98</f>
        <v>13.5677269404465</v>
      </c>
      <c r="P94" s="19">
        <f>P84+INDEX(Data_Prices!P:P,MATCH($G94,Data_Prices!$A:$A,0))*P$98</f>
        <v>13.5677269404465</v>
      </c>
      <c r="Q94" s="19">
        <f>Q84+INDEX(Data_Prices!Q:Q,MATCH($G94,Data_Prices!$A:$A,0))*Q$98</f>
        <v>13.5677269404465</v>
      </c>
      <c r="R94" s="19">
        <f>R84+INDEX(Data_Prices!R:R,MATCH($G94,Data_Prices!$A:$A,0))*R$98</f>
        <v>13.5677269404465</v>
      </c>
      <c r="S94" s="19">
        <f>S84+INDEX(Data_Prices!S:S,MATCH($G94,Data_Prices!$A:$A,0))*S$98</f>
        <v>13.5677269404465</v>
      </c>
      <c r="T94" s="19">
        <f>T84+INDEX(Data_Prices!T:T,MATCH($G94,Data_Prices!$A:$A,0))*T$98</f>
        <v>13.5677269404465</v>
      </c>
      <c r="U94" s="19">
        <f>U84+INDEX(Data_Prices!U:U,MATCH($G94,Data_Prices!$A:$A,0))*U$98</f>
        <v>13.5677269404465</v>
      </c>
      <c r="V94" s="19">
        <f>V84+INDEX(Data_Prices!V:V,MATCH($G94,Data_Prices!$A:$A,0))*V$98</f>
        <v>13.5677269404465</v>
      </c>
      <c r="W94" s="19">
        <f>W84+INDEX(Data_Prices!W:W,MATCH($G94,Data_Prices!$A:$A,0))*W$98</f>
        <v>13.5677269404465</v>
      </c>
      <c r="X94" s="19">
        <f>X84+INDEX(Data_Prices!X:X,MATCH($G94,Data_Prices!$A:$A,0))*X$98</f>
        <v>13.5677269404465</v>
      </c>
      <c r="Y94" s="19">
        <f>Y84+INDEX(Data_Prices!Y:Y,MATCH($G94,Data_Prices!$A:$A,0))*Y$98</f>
        <v>13.5677269404465</v>
      </c>
      <c r="Z94" s="19">
        <f>Z84+INDEX(Data_Prices!Z:Z,MATCH($G94,Data_Prices!$A:$A,0))*Z$98</f>
        <v>13.5677269404465</v>
      </c>
      <c r="AA94" s="19">
        <f>AA84+INDEX(Data_Prices!AA:AA,MATCH($G94,Data_Prices!$A:$A,0))*AA$98</f>
        <v>13.5677269404465</v>
      </c>
      <c r="AB94" s="19">
        <f>AB84+INDEX(Data_Prices!AB:AB,MATCH($G94,Data_Prices!$A:$A,0))*AB$98</f>
        <v>13.5677269404465</v>
      </c>
      <c r="AC94" s="19">
        <f>AC84+INDEX(Data_Prices!AC:AC,MATCH($G94,Data_Prices!$A:$A,0))*AC$98</f>
        <v>13.5677269404465</v>
      </c>
      <c r="AD94" s="19">
        <f>AD84+INDEX(Data_Prices!AD:AD,MATCH($G94,Data_Prices!$A:$A,0))*AD$98</f>
        <v>13.5677269404465</v>
      </c>
      <c r="AE94" s="19">
        <f>AE84+INDEX(Data_Prices!AE:AE,MATCH($G94,Data_Prices!$A:$A,0))*AE$98</f>
        <v>13.5677269404465</v>
      </c>
    </row>
    <row r="95" spans="2:31" x14ac:dyDescent="0.45">
      <c r="B95" s="14" t="s">
        <v>69</v>
      </c>
      <c r="C95" s="14" t="str">
        <f t="shared" si="8"/>
        <v>cem</v>
      </c>
      <c r="D95" s="15" t="s">
        <v>70</v>
      </c>
      <c r="E95" s="16" t="s">
        <v>71</v>
      </c>
      <c r="F95" s="14" t="s">
        <v>75</v>
      </c>
      <c r="G95" s="17" t="str">
        <f>Settings!$B$3&amp;".mit.shp."&amp;$B95&amp;"."&amp;Settings!$B$4&amp;"."&amp;$J$65</f>
        <v>egy.mit.shp.ren.ind.1</v>
      </c>
      <c r="H95" s="45" t="str">
        <f>Settings!$B$3&amp;".mit.shp."&amp;$C$65&amp;"."&amp;$B95&amp;".e."&amp;$J$65</f>
        <v>egy.mit.shp.cem.ren.e.1</v>
      </c>
      <c r="K95" s="19">
        <f>K85+INDEX(Data_Prices!K:K,MATCH($G95,Data_Prices!$A:$A,0))*K$98</f>
        <v>0</v>
      </c>
      <c r="L95" s="19">
        <f>L85+INDEX(Data_Prices!L:L,MATCH($G95,Data_Prices!$A:$A,0))*L$98</f>
        <v>0.14404498679319799</v>
      </c>
      <c r="M95" s="19">
        <f>M85+INDEX(Data_Prices!M:M,MATCH($G95,Data_Prices!$A:$A,0))*M$98</f>
        <v>0.14102040965700399</v>
      </c>
      <c r="N95" s="19">
        <f>N85+INDEX(Data_Prices!N:N,MATCH($G95,Data_Prices!$A:$A,0))*N$98</f>
        <v>0.13511635959447599</v>
      </c>
      <c r="O95" s="19">
        <f>O85+INDEX(Data_Prices!O:O,MATCH($G95,Data_Prices!$A:$A,0))*O$98</f>
        <v>0.13098825698585601</v>
      </c>
      <c r="P95" s="19">
        <f>P85+INDEX(Data_Prices!P:P,MATCH($G95,Data_Prices!$A:$A,0))*P$98</f>
        <v>0.12790841608631801</v>
      </c>
      <c r="Q95" s="19">
        <f>Q85+INDEX(Data_Prices!Q:Q,MATCH($G95,Data_Prices!$A:$A,0))*Q$98</f>
        <v>0.124814310557813</v>
      </c>
      <c r="R95" s="19">
        <f>R85+INDEX(Data_Prices!R:R,MATCH($G95,Data_Prices!$A:$A,0))*R$98</f>
        <v>0.121460257122878</v>
      </c>
      <c r="S95" s="19">
        <f>S85+INDEX(Data_Prices!S:S,MATCH($G95,Data_Prices!$A:$A,0))*S$98</f>
        <v>0.117950744135786</v>
      </c>
      <c r="T95" s="19">
        <f>T85+INDEX(Data_Prices!T:T,MATCH($G95,Data_Prices!$A:$A,0))*T$98</f>
        <v>0.114199161044597</v>
      </c>
      <c r="U95" s="19">
        <f>U85+INDEX(Data_Prices!U:U,MATCH($G95,Data_Prices!$A:$A,0))*U$98</f>
        <v>0.113665100059665</v>
      </c>
      <c r="V95" s="19">
        <f>V85+INDEX(Data_Prices!V:V,MATCH($G95,Data_Prices!$A:$A,0))*V$98</f>
        <v>0.113016929625957</v>
      </c>
      <c r="W95" s="19">
        <f>W85+INDEX(Data_Prices!W:W,MATCH($G95,Data_Prices!$A:$A,0))*W$98</f>
        <v>0.112314070507636</v>
      </c>
      <c r="X95" s="19">
        <f>X85+INDEX(Data_Prices!X:X,MATCH($G95,Data_Prices!$A:$A,0))*X$98</f>
        <v>0.11142204273284299</v>
      </c>
      <c r="Y95" s="19">
        <f>Y85+INDEX(Data_Prices!Y:Y,MATCH($G95,Data_Prices!$A:$A,0))*Y$98</f>
        <v>0.110434123675809</v>
      </c>
      <c r="Z95" s="19">
        <f>Z85+INDEX(Data_Prices!Z:Z,MATCH($G95,Data_Prices!$A:$A,0))*Z$98</f>
        <v>0.109483973304471</v>
      </c>
      <c r="AA95" s="19">
        <f>AA85+INDEX(Data_Prices!AA:AA,MATCH($G95,Data_Prices!$A:$A,0))*AA$98</f>
        <v>0.10839192105294</v>
      </c>
      <c r="AB95" s="19">
        <f>AB85+INDEX(Data_Prices!AB:AB,MATCH($G95,Data_Prices!$A:$A,0))*AB$98</f>
        <v>0.10735443362670399</v>
      </c>
      <c r="AC95" s="19">
        <f>AC85+INDEX(Data_Prices!AC:AC,MATCH($G95,Data_Prices!$A:$A,0))*AC$98</f>
        <v>0.105168675441661</v>
      </c>
      <c r="AD95" s="19">
        <f>AD85+INDEX(Data_Prices!AD:AD,MATCH($G95,Data_Prices!$A:$A,0))*AD$98</f>
        <v>0.103057983256008</v>
      </c>
      <c r="AE95" s="19">
        <f>AE85+INDEX(Data_Prices!AE:AE,MATCH($G95,Data_Prices!$A:$A,0))*AE$98</f>
        <v>0.100931838990114</v>
      </c>
    </row>
    <row r="96" spans="2:31" x14ac:dyDescent="0.45">
      <c r="B96" s="13" t="s">
        <v>76</v>
      </c>
    </row>
    <row r="97" spans="2:31" x14ac:dyDescent="0.45">
      <c r="B97" s="14" t="s">
        <v>77</v>
      </c>
      <c r="C97" s="14" t="str">
        <f>$C$65</f>
        <v>cem</v>
      </c>
      <c r="D97" s="15" t="s">
        <v>78</v>
      </c>
      <c r="E97" s="16" t="s">
        <v>79</v>
      </c>
      <c r="F97" s="14" t="s">
        <v>80</v>
      </c>
      <c r="G97" s="17" t="str">
        <f>Settings!$B$3&amp;".mit.tcf."&amp;$C$65&amp;"."&amp;$J$65</f>
        <v>egy.mit.tcf.cem.1</v>
      </c>
      <c r="K97" s="19">
        <f>INDEX(Data_Prices!K:K,MATCH($G97,Data_Prices!$A:$A,0))</f>
        <v>0</v>
      </c>
      <c r="L97" s="19">
        <f>INDEX(Data_Prices!L:L,MATCH($G97,Data_Prices!$A:$A,0))</f>
        <v>0</v>
      </c>
      <c r="M97" s="19">
        <f>INDEX(Data_Prices!M:M,MATCH($G97,Data_Prices!$A:$A,0))</f>
        <v>0</v>
      </c>
      <c r="N97" s="19">
        <f>INDEX(Data_Prices!N:N,MATCH($G97,Data_Prices!$A:$A,0))</f>
        <v>0</v>
      </c>
      <c r="O97" s="19">
        <f>INDEX(Data_Prices!O:O,MATCH($G97,Data_Prices!$A:$A,0))</f>
        <v>0</v>
      </c>
      <c r="P97" s="19">
        <f>INDEX(Data_Prices!P:P,MATCH($G97,Data_Prices!$A:$A,0))</f>
        <v>0</v>
      </c>
      <c r="Q97" s="19">
        <f>INDEX(Data_Prices!Q:Q,MATCH($G97,Data_Prices!$A:$A,0))</f>
        <v>0</v>
      </c>
      <c r="R97" s="19">
        <f>INDEX(Data_Prices!R:R,MATCH($G97,Data_Prices!$A:$A,0))</f>
        <v>0</v>
      </c>
      <c r="S97" s="19">
        <f>INDEX(Data_Prices!S:S,MATCH($G97,Data_Prices!$A:$A,0))</f>
        <v>0</v>
      </c>
      <c r="T97" s="19">
        <f>INDEX(Data_Prices!T:T,MATCH($G97,Data_Prices!$A:$A,0))</f>
        <v>0</v>
      </c>
      <c r="U97" s="19">
        <f>INDEX(Data_Prices!U:U,MATCH($G97,Data_Prices!$A:$A,0))</f>
        <v>0</v>
      </c>
      <c r="V97" s="19">
        <f>INDEX(Data_Prices!V:V,MATCH($G97,Data_Prices!$A:$A,0))</f>
        <v>0</v>
      </c>
      <c r="W97" s="19">
        <f>INDEX(Data_Prices!W:W,MATCH($G97,Data_Prices!$A:$A,0))</f>
        <v>0</v>
      </c>
      <c r="X97" s="19">
        <f>INDEX(Data_Prices!X:X,MATCH($G97,Data_Prices!$A:$A,0))</f>
        <v>0</v>
      </c>
      <c r="Y97" s="19">
        <f>INDEX(Data_Prices!Y:Y,MATCH($G97,Data_Prices!$A:$A,0))</f>
        <v>0</v>
      </c>
      <c r="Z97" s="19">
        <f>INDEX(Data_Prices!Z:Z,MATCH($G97,Data_Prices!$A:$A,0))</f>
        <v>0</v>
      </c>
      <c r="AA97" s="19">
        <f>INDEX(Data_Prices!AA:AA,MATCH($G97,Data_Prices!$A:$A,0))</f>
        <v>0</v>
      </c>
      <c r="AB97" s="19">
        <f>INDEX(Data_Prices!AB:AB,MATCH($G97,Data_Prices!$A:$A,0))</f>
        <v>0</v>
      </c>
      <c r="AC97" s="19">
        <f>INDEX(Data_Prices!AC:AC,MATCH($G97,Data_Prices!$A:$A,0))</f>
        <v>0</v>
      </c>
      <c r="AD97" s="19">
        <f>INDEX(Data_Prices!AD:AD,MATCH($G97,Data_Prices!$A:$A,0))</f>
        <v>0</v>
      </c>
      <c r="AE97" s="19">
        <f>INDEX(Data_Prices!AE:AE,MATCH($G97,Data_Prices!$A:$A,0))</f>
        <v>0</v>
      </c>
    </row>
    <row r="98" spans="2:31" x14ac:dyDescent="0.45">
      <c r="B98" s="14" t="s">
        <v>77</v>
      </c>
      <c r="C98" s="14" t="str">
        <f>$C$65</f>
        <v>cem</v>
      </c>
      <c r="D98" s="15" t="s">
        <v>81</v>
      </c>
      <c r="E98" s="16" t="s">
        <v>79</v>
      </c>
      <c r="F98" s="14" t="s">
        <v>82</v>
      </c>
      <c r="G98" s="17" t="str">
        <f>Settings!$B$3&amp;".mit.ssc."&amp;$C$65&amp;"."&amp;$J$65</f>
        <v>egy.mit.ssc.cem.1</v>
      </c>
      <c r="K98" s="19">
        <f>INDEX(Data_Prices!K:K,MATCH($G98,Data_Prices!$A:$A,0))</f>
        <v>0</v>
      </c>
      <c r="L98" s="19">
        <f>INDEX(Data_Prices!L:L,MATCH($G98,Data_Prices!$A:$A,0))</f>
        <v>0</v>
      </c>
      <c r="M98" s="19">
        <f>INDEX(Data_Prices!M:M,MATCH($G98,Data_Prices!$A:$A,0))</f>
        <v>0</v>
      </c>
      <c r="N98" s="19">
        <f>INDEX(Data_Prices!N:N,MATCH($G98,Data_Prices!$A:$A,0))</f>
        <v>0</v>
      </c>
      <c r="O98" s="19">
        <f>INDEX(Data_Prices!O:O,MATCH($G98,Data_Prices!$A:$A,0))</f>
        <v>0</v>
      </c>
      <c r="P98" s="19">
        <f>INDEX(Data_Prices!P:P,MATCH($G98,Data_Prices!$A:$A,0))</f>
        <v>0</v>
      </c>
      <c r="Q98" s="19">
        <f>INDEX(Data_Prices!Q:Q,MATCH($G98,Data_Prices!$A:$A,0))</f>
        <v>0</v>
      </c>
      <c r="R98" s="19">
        <f>INDEX(Data_Prices!R:R,MATCH($G98,Data_Prices!$A:$A,0))</f>
        <v>0</v>
      </c>
      <c r="S98" s="19">
        <f>INDEX(Data_Prices!S:S,MATCH($G98,Data_Prices!$A:$A,0))</f>
        <v>0</v>
      </c>
      <c r="T98" s="19">
        <f>INDEX(Data_Prices!T:T,MATCH($G98,Data_Prices!$A:$A,0))</f>
        <v>0</v>
      </c>
      <c r="U98" s="19">
        <f>INDEX(Data_Prices!U:U,MATCH($G98,Data_Prices!$A:$A,0))</f>
        <v>0</v>
      </c>
      <c r="V98" s="19">
        <f>INDEX(Data_Prices!V:V,MATCH($G98,Data_Prices!$A:$A,0))</f>
        <v>0</v>
      </c>
      <c r="W98" s="19">
        <f>INDEX(Data_Prices!W:W,MATCH($G98,Data_Prices!$A:$A,0))</f>
        <v>0</v>
      </c>
      <c r="X98" s="19">
        <f>INDEX(Data_Prices!X:X,MATCH($G98,Data_Prices!$A:$A,0))</f>
        <v>0</v>
      </c>
      <c r="Y98" s="19">
        <f>INDEX(Data_Prices!Y:Y,MATCH($G98,Data_Prices!$A:$A,0))</f>
        <v>0</v>
      </c>
      <c r="Z98" s="19">
        <f>INDEX(Data_Prices!Z:Z,MATCH($G98,Data_Prices!$A:$A,0))</f>
        <v>0</v>
      </c>
      <c r="AA98" s="19">
        <f>INDEX(Data_Prices!AA:AA,MATCH($G98,Data_Prices!$A:$A,0))</f>
        <v>0</v>
      </c>
      <c r="AB98" s="19">
        <f>INDEX(Data_Prices!AB:AB,MATCH($G98,Data_Prices!$A:$A,0))</f>
        <v>0</v>
      </c>
      <c r="AC98" s="19">
        <f>INDEX(Data_Prices!AC:AC,MATCH($G98,Data_Prices!$A:$A,0))</f>
        <v>0</v>
      </c>
      <c r="AD98" s="19">
        <f>INDEX(Data_Prices!AD:AD,MATCH($G98,Data_Prices!$A:$A,0))</f>
        <v>0</v>
      </c>
      <c r="AE98" s="19">
        <f>INDEX(Data_Prices!AE:AE,MATCH($G98,Data_Prices!$A:$A,0))</f>
        <v>0</v>
      </c>
    </row>
    <row r="99" spans="2:31" x14ac:dyDescent="0.45">
      <c r="B99" s="14" t="s">
        <v>77</v>
      </c>
      <c r="C99" s="14" t="str">
        <f>$C$65</f>
        <v>cem</v>
      </c>
      <c r="D99" s="15" t="s">
        <v>83</v>
      </c>
      <c r="E99" s="16" t="s">
        <v>84</v>
      </c>
      <c r="F99" s="14" t="s">
        <v>85</v>
      </c>
      <c r="G99" s="17" t="str">
        <f>Settings!$B$3&amp;".mit.gdp.pos.pct."&amp;$J$65</f>
        <v>egy.mit.gdp.pos.pct.1</v>
      </c>
      <c r="K99" s="20">
        <f>INDEX(Data_Macro!K:K,MATCH($G99,Data_Macro!$A:$A,0))</f>
        <v>0</v>
      </c>
      <c r="L99" s="20">
        <f>INDEX(Data_Macro!L:L,MATCH($G99,Data_Macro!$A:$A,0))</f>
        <v>6.6513450000000002E-2</v>
      </c>
      <c r="M99" s="20">
        <f>INDEX(Data_Macro!M:M,MATCH($G99,Data_Macro!$A:$A,0))</f>
        <v>3.760281E-2</v>
      </c>
      <c r="N99" s="20">
        <f>INDEX(Data_Macro!N:N,MATCH($G99,Data_Macro!$A:$A,0))</f>
        <v>2.3988010000000001E-2</v>
      </c>
      <c r="O99" s="20">
        <f>INDEX(Data_Macro!O:O,MATCH($G99,Data_Macro!$A:$A,0))</f>
        <v>4.3923869999999997E-2</v>
      </c>
      <c r="P99" s="20">
        <f>INDEX(Data_Macro!P:P,MATCH($G99,Data_Macro!$A:$A,0))</f>
        <v>4.239706E-2</v>
      </c>
      <c r="Q99" s="20">
        <f>INDEX(Data_Macro!Q:Q,MATCH($G99,Data_Macro!$A:$A,0))</f>
        <v>4.8292179999999997E-2</v>
      </c>
      <c r="R99" s="20">
        <f>INDEX(Data_Macro!R:R,MATCH($G99,Data_Macro!$A:$A,0))</f>
        <v>5.5353159999999998E-2</v>
      </c>
      <c r="S99" s="20">
        <f>INDEX(Data_Macro!S:S,MATCH($G99,Data_Macro!$A:$A,0))</f>
        <v>5.2266060000000003E-2</v>
      </c>
      <c r="T99" s="20">
        <f>INDEX(Data_Macro!T:T,MATCH($G99,Data_Macro!$A:$A,0))</f>
        <v>4.841877E-2</v>
      </c>
      <c r="U99" s="20">
        <f>INDEX(Data_Macro!U:U,MATCH($G99,Data_Macro!$A:$A,0))</f>
        <v>4.7887359999999997E-2</v>
      </c>
      <c r="V99" s="20">
        <f>INDEX(Data_Macro!V:V,MATCH($G99,Data_Macro!$A:$A,0))</f>
        <v>4.7355950000000001E-2</v>
      </c>
      <c r="W99" s="20">
        <f>INDEX(Data_Macro!W:W,MATCH($G99,Data_Macro!$A:$A,0))</f>
        <v>4.6824539999999998E-2</v>
      </c>
      <c r="X99" s="20">
        <f>INDEX(Data_Macro!X:X,MATCH($G99,Data_Macro!$A:$A,0))</f>
        <v>4.6293130000000002E-2</v>
      </c>
      <c r="Y99" s="20">
        <f>INDEX(Data_Macro!Y:Y,MATCH($G99,Data_Macro!$A:$A,0))</f>
        <v>4.5761719999999999E-2</v>
      </c>
      <c r="Z99" s="20">
        <f>INDEX(Data_Macro!Z:Z,MATCH($G99,Data_Macro!$A:$A,0))</f>
        <v>4.5230310000000003E-2</v>
      </c>
      <c r="AA99" s="20">
        <f>INDEX(Data_Macro!AA:AA,MATCH($G99,Data_Macro!$A:$A,0))</f>
        <v>4.46989E-2</v>
      </c>
      <c r="AB99" s="20">
        <f>INDEX(Data_Macro!AB:AB,MATCH($G99,Data_Macro!$A:$A,0))</f>
        <v>4.4167489999999997E-2</v>
      </c>
      <c r="AC99" s="20">
        <f>INDEX(Data_Macro!AC:AC,MATCH($G99,Data_Macro!$A:$A,0))</f>
        <v>4.3636080000000001E-2</v>
      </c>
      <c r="AD99" s="20">
        <f>INDEX(Data_Macro!AD:AD,MATCH($G99,Data_Macro!$A:$A,0))</f>
        <v>4.3104669999999998E-2</v>
      </c>
      <c r="AE99" s="20">
        <f>INDEX(Data_Macro!AE:AE,MATCH($G99,Data_Macro!$A:$A,0))</f>
        <v>4.2573260000000002E-2</v>
      </c>
    </row>
    <row r="100" spans="2:31" x14ac:dyDescent="0.45">
      <c r="B100" s="14" t="s">
        <v>77</v>
      </c>
      <c r="C100" s="14" t="str">
        <f>$C$65</f>
        <v>cem</v>
      </c>
      <c r="D100" s="15" t="s">
        <v>86</v>
      </c>
      <c r="E100" s="16" t="s">
        <v>87</v>
      </c>
      <c r="F100" s="14" t="s">
        <v>88</v>
      </c>
      <c r="G100" s="17" t="str">
        <f>Settings!$B$3&amp;".mit.inc.ela.adj."&amp;$J$65</f>
        <v>egy.mit.inc.ela.adj.1</v>
      </c>
      <c r="K100" s="19">
        <f>INDEX(Data_Macro!K:K,MATCH($G100,Data_Macro!$A:$A,0))</f>
        <v>0</v>
      </c>
      <c r="L100" s="19">
        <f>INDEX(Data_Macro!L:L,MATCH($G100,Data_Macro!$A:$A,0))</f>
        <v>1.02715172471961</v>
      </c>
      <c r="M100" s="19">
        <f>INDEX(Data_Macro!M:M,MATCH($G100,Data_Macro!$A:$A,0))</f>
        <v>1.02715172471961</v>
      </c>
      <c r="N100" s="19">
        <f>INDEX(Data_Macro!N:N,MATCH($G100,Data_Macro!$A:$A,0))</f>
        <v>1.0205698358851201</v>
      </c>
      <c r="O100" s="19">
        <f>INDEX(Data_Macro!O:O,MATCH($G100,Data_Macro!$A:$A,0))</f>
        <v>1.01733442885234</v>
      </c>
      <c r="P100" s="19">
        <f>INDEX(Data_Macro!P:P,MATCH($G100,Data_Macro!$A:$A,0))</f>
        <v>1.00766833225382</v>
      </c>
      <c r="Q100" s="19">
        <f>INDEX(Data_Macro!Q:Q,MATCH($G100,Data_Macro!$A:$A,0))</f>
        <v>1.0007442871755301</v>
      </c>
      <c r="R100" s="19">
        <f>INDEX(Data_Macro!R:R,MATCH($G100,Data_Macro!$A:$A,0))</f>
        <v>0.99188648901185805</v>
      </c>
      <c r="S100" s="19">
        <f>INDEX(Data_Macro!S:S,MATCH($G100,Data_Macro!$A:$A,0))</f>
        <v>0.98065540330043</v>
      </c>
      <c r="T100" s="19">
        <f>INDEX(Data_Macro!T:T,MATCH($G100,Data_Macro!$A:$A,0))</f>
        <v>0.97020940399244304</v>
      </c>
      <c r="U100" s="19">
        <f>INDEX(Data_Macro!U:U,MATCH($G100,Data_Macro!$A:$A,0))</f>
        <v>0.96419265907710505</v>
      </c>
      <c r="V100" s="19">
        <f>INDEX(Data_Macro!V:V,MATCH($G100,Data_Macro!$A:$A,0))</f>
        <v>0.961612871227152</v>
      </c>
      <c r="W100" s="19">
        <f>INDEX(Data_Macro!W:W,MATCH($G100,Data_Macro!$A:$A,0))</f>
        <v>0.95919844785404995</v>
      </c>
      <c r="X100" s="19">
        <f>INDEX(Data_Macro!X:X,MATCH($G100,Data_Macro!$A:$A,0))</f>
        <v>0.95695125444519602</v>
      </c>
      <c r="Y100" s="19">
        <f>INDEX(Data_Macro!Y:Y,MATCH($G100,Data_Macro!$A:$A,0))</f>
        <v>0.95487297859577702</v>
      </c>
      <c r="Z100" s="19">
        <f>INDEX(Data_Macro!Z:Z,MATCH($G100,Data_Macro!$A:$A,0))</f>
        <v>0.95296514086144901</v>
      </c>
      <c r="AA100" s="19">
        <f>INDEX(Data_Macro!AA:AA,MATCH($G100,Data_Macro!$A:$A,0))</f>
        <v>0.95122910490338497</v>
      </c>
      <c r="AB100" s="19">
        <f>INDEX(Data_Macro!AB:AB,MATCH($G100,Data_Macro!$A:$A,0))</f>
        <v>0.94966608689229304</v>
      </c>
      <c r="AC100" s="19">
        <f>INDEX(Data_Macro!AC:AC,MATCH($G100,Data_Macro!$A:$A,0))</f>
        <v>0.94827716413797603</v>
      </c>
      <c r="AD100" s="19">
        <f>INDEX(Data_Macro!AD:AD,MATCH($G100,Data_Macro!$A:$A,0))</f>
        <v>0.94706328291559205</v>
      </c>
      <c r="AE100" s="19">
        <f>INDEX(Data_Macro!AE:AE,MATCH($G100,Data_Macro!$A:$A,0))</f>
        <v>0.94602526545851295</v>
      </c>
    </row>
    <row r="101" spans="2:31" x14ac:dyDescent="0.45">
      <c r="B101" s="14" t="s">
        <v>77</v>
      </c>
      <c r="C101" s="14" t="str">
        <f>$C$65</f>
        <v>cem</v>
      </c>
      <c r="D101" s="15" t="s">
        <v>89</v>
      </c>
      <c r="E101" s="16" t="s">
        <v>87</v>
      </c>
      <c r="F101" s="14" t="s">
        <v>90</v>
      </c>
      <c r="G101" s="17" t="str">
        <f>Settings!$B$3&amp;".mit.shock."&amp;$J$65</f>
        <v>egy.mit.shock.1</v>
      </c>
      <c r="K101" s="19">
        <f>INDEX(Data_Macro!K:K,MATCH($G101,Data_Macro!$A:$A,0))</f>
        <v>0</v>
      </c>
      <c r="L101" s="19">
        <f>INDEX(Data_Macro!L:L,MATCH($G101,Data_Macro!$A:$A,0))</f>
        <v>0</v>
      </c>
      <c r="M101" s="19">
        <f>INDEX(Data_Macro!M:M,MATCH($G101,Data_Macro!$A:$A,0))</f>
        <v>-0.20813308302044201</v>
      </c>
      <c r="N101" s="19">
        <f>INDEX(Data_Macro!N:N,MATCH($G101,Data_Macro!$A:$A,0))</f>
        <v>9.2371428571428604E-2</v>
      </c>
      <c r="O101" s="19">
        <f>INDEX(Data_Macro!O:O,MATCH($G101,Data_Macro!$A:$A,0))</f>
        <v>0</v>
      </c>
      <c r="P101" s="19">
        <f>INDEX(Data_Macro!P:P,MATCH($G101,Data_Macro!$A:$A,0))</f>
        <v>0</v>
      </c>
      <c r="Q101" s="19">
        <f>INDEX(Data_Macro!Q:Q,MATCH($G101,Data_Macro!$A:$A,0))</f>
        <v>0</v>
      </c>
      <c r="R101" s="19">
        <f>INDEX(Data_Macro!R:R,MATCH($G101,Data_Macro!$A:$A,0))</f>
        <v>0</v>
      </c>
      <c r="S101" s="19">
        <f>INDEX(Data_Macro!S:S,MATCH($G101,Data_Macro!$A:$A,0))</f>
        <v>0</v>
      </c>
      <c r="T101" s="19">
        <f>INDEX(Data_Macro!T:T,MATCH($G101,Data_Macro!$A:$A,0))</f>
        <v>0</v>
      </c>
      <c r="U101" s="19">
        <f>INDEX(Data_Macro!U:U,MATCH($G101,Data_Macro!$A:$A,0))</f>
        <v>0</v>
      </c>
      <c r="V101" s="19">
        <f>INDEX(Data_Macro!V:V,MATCH($G101,Data_Macro!$A:$A,0))</f>
        <v>0</v>
      </c>
      <c r="W101" s="19">
        <f>INDEX(Data_Macro!W:W,MATCH($G101,Data_Macro!$A:$A,0))</f>
        <v>0</v>
      </c>
      <c r="X101" s="19">
        <f>INDEX(Data_Macro!X:X,MATCH($G101,Data_Macro!$A:$A,0))</f>
        <v>0</v>
      </c>
      <c r="Y101" s="19">
        <f>INDEX(Data_Macro!Y:Y,MATCH($G101,Data_Macro!$A:$A,0))</f>
        <v>0</v>
      </c>
      <c r="Z101" s="19">
        <f>INDEX(Data_Macro!Z:Z,MATCH($G101,Data_Macro!$A:$A,0))</f>
        <v>0</v>
      </c>
      <c r="AA101" s="19">
        <f>INDEX(Data_Macro!AA:AA,MATCH($G101,Data_Macro!$A:$A,0))</f>
        <v>0</v>
      </c>
      <c r="AB101" s="19">
        <f>INDEX(Data_Macro!AB:AB,MATCH($G101,Data_Macro!$A:$A,0))</f>
        <v>0</v>
      </c>
      <c r="AC101" s="19">
        <f>INDEX(Data_Macro!AC:AC,MATCH($G101,Data_Macro!$A:$A,0))</f>
        <v>0</v>
      </c>
      <c r="AD101" s="19">
        <f>INDEX(Data_Macro!AD:AD,MATCH($G101,Data_Macro!$A:$A,0))</f>
        <v>0</v>
      </c>
      <c r="AE101" s="19">
        <f>INDEX(Data_Macro!AE:AE,MATCH($G101,Data_Macro!$A:$A,0))</f>
        <v>0</v>
      </c>
    </row>
    <row r="102" spans="2:31" x14ac:dyDescent="0.45">
      <c r="B102" s="13" t="s">
        <v>91</v>
      </c>
    </row>
    <row r="103" spans="2:31" x14ac:dyDescent="0.45">
      <c r="B103" s="7" t="s">
        <v>32</v>
      </c>
      <c r="C103" s="7" t="s">
        <v>33</v>
      </c>
      <c r="D103" s="21" t="s">
        <v>34</v>
      </c>
      <c r="E103" s="7" t="s">
        <v>92</v>
      </c>
      <c r="F103" s="7" t="s">
        <v>93</v>
      </c>
      <c r="G103" s="7" t="s">
        <v>94</v>
      </c>
      <c r="H103" s="7" t="s">
        <v>95</v>
      </c>
      <c r="I103" s="7" t="s">
        <v>96</v>
      </c>
      <c r="J103" s="7" t="s">
        <v>97</v>
      </c>
    </row>
    <row r="104" spans="2:31" x14ac:dyDescent="0.45">
      <c r="B104" s="14" t="s">
        <v>49</v>
      </c>
      <c r="C104" s="14" t="str">
        <f t="shared" ref="C104:C112" si="9">$C$65</f>
        <v>cem</v>
      </c>
      <c r="D104" s="22" t="s">
        <v>98</v>
      </c>
      <c r="E104" s="23">
        <f>INDEX(Data_Elast!$D:$G,MATCH("el_inc_"&amp;INDEX(Data_Elast!$J:$J,MATCH($B104,Data_Elast!$I:$I,0)),Data_Elast!$A:$A,0),MATCH(Settings!$B$5,Data_Elast!$D$1:$G$1,0))</f>
        <v>0.5</v>
      </c>
      <c r="F104" s="23">
        <f>INDEX(Data_Elast!$D:$G,MATCH("el_dem_"&amp;INDEX(Data_Elast!$J:$J,MATCH($B104,Data_Elast!$I:$I,0)),Data_Elast!$A:$A,0),MATCH(Settings!$B$5,Data_Elast!$D$1:$G$1,0))</f>
        <v>-0.3</v>
      </c>
      <c r="G104" s="23">
        <f>INDEX(Data_Elast!$D:$G,MATCH("el_eff_"&amp;INDEX(Data_Elast!$J:$J,MATCH($B104,Data_Elast!$I:$I,0)),Data_Elast!$A:$A,0),MATCH(Settings!$B$5,Data_Elast!$D$1:$G$1,0))</f>
        <v>-0.4</v>
      </c>
      <c r="H104" s="23">
        <f>INDEX(Data_Elast!$D:$G,MATCH("eff_imp_"&amp;INDEX(Data_Elast!$K:$K,MATCH($B104,Data_Elast!$I:$I,0)),Data_Elast!$A:$A,0),MATCH(Settings!$B$5,Data_Elast!$D$1:$G$1,0))</f>
        <v>5.0000000000000001E-3</v>
      </c>
      <c r="I104" s="23">
        <f>Settings!$B$7</f>
        <v>0</v>
      </c>
      <c r="J104" s="16" t="str">
        <f>INDEX(Data_Elast!$J:$J,MATCH($B104,Data_Elast!$I:$I,0))</f>
        <v>coa</v>
      </c>
    </row>
    <row r="105" spans="2:31" x14ac:dyDescent="0.45">
      <c r="B105" s="14" t="s">
        <v>53</v>
      </c>
      <c r="C105" s="14" t="str">
        <f t="shared" si="9"/>
        <v>cem</v>
      </c>
      <c r="D105" s="22" t="s">
        <v>99</v>
      </c>
      <c r="E105" s="23">
        <f>INDEX(Data_Elast!$D:$G,MATCH("el_inc_"&amp;INDEX(Data_Elast!$J:$J,MATCH($B105,Data_Elast!$I:$I,0)),Data_Elast!$A:$A,0),MATCH(Settings!$B$5,Data_Elast!$D$1:$G$1,0))</f>
        <v>1</v>
      </c>
      <c r="F105" s="23">
        <f>INDEX(Data_Elast!$D:$G,MATCH("el_dem_"&amp;INDEX(Data_Elast!$J:$J,MATCH($B105,Data_Elast!$I:$I,0)),Data_Elast!$A:$A,0),MATCH(Settings!$B$5,Data_Elast!$D$1:$G$1,0))</f>
        <v>-0.5</v>
      </c>
      <c r="G105" s="23">
        <f>INDEX(Data_Elast!$D:$G,MATCH("el_eff_"&amp;INDEX(Data_Elast!$J:$J,MATCH($B105,Data_Elast!$I:$I,0)),Data_Elast!$A:$A,0),MATCH(Settings!$B$5,Data_Elast!$D$1:$G$1,0))</f>
        <v>-0.5</v>
      </c>
      <c r="H105" s="23">
        <f>INDEX(Data_Elast!$D:$G,MATCH("eff_imp_"&amp;INDEX(Data_Elast!$K:$K,MATCH($B105,Data_Elast!$I:$I,0)),Data_Elast!$A:$A,0),MATCH(Settings!$B$5,Data_Elast!$D$1:$G$1,0))</f>
        <v>0.01</v>
      </c>
      <c r="I105" s="23">
        <f>Settings!$B$7</f>
        <v>0</v>
      </c>
      <c r="J105" s="16" t="str">
        <f>INDEX(Data_Elast!$J:$J,MATCH($B105,Data_Elast!$I:$I,0))</f>
        <v>nga</v>
      </c>
    </row>
    <row r="106" spans="2:31" x14ac:dyDescent="0.45">
      <c r="B106" s="14" t="s">
        <v>55</v>
      </c>
      <c r="C106" s="14" t="str">
        <f t="shared" si="9"/>
        <v>cem</v>
      </c>
      <c r="D106" s="22" t="s">
        <v>100</v>
      </c>
      <c r="E106" s="23">
        <f>INDEX(Data_Elast!$D:$G,MATCH("el_inc_"&amp;INDEX(Data_Elast!$J:$J,MATCH($B106,Data_Elast!$I:$I,0)),Data_Elast!$A:$A,0),MATCH(Settings!$B$5,Data_Elast!$D$1:$G$1,0))</f>
        <v>0.5</v>
      </c>
      <c r="F106" s="23">
        <f>INDEX(Data_Elast!$D:$G,MATCH("el_dem_"&amp;INDEX(Data_Elast!$J:$J,MATCH($B106,Data_Elast!$I:$I,0)),Data_Elast!$A:$A,0),MATCH(Settings!$B$5,Data_Elast!$D$1:$G$1,0))</f>
        <v>-0.4</v>
      </c>
      <c r="G106" s="23">
        <f>INDEX(Data_Elast!$D:$G,MATCH("el_eff_"&amp;INDEX(Data_Elast!$J:$J,MATCH($B106,Data_Elast!$I:$I,0)),Data_Elast!$A:$A,0),MATCH(Settings!$B$5,Data_Elast!$D$1:$G$1,0))</f>
        <v>-0.7</v>
      </c>
      <c r="H106" s="23">
        <f>INDEX(Data_Elast!$D:$G,MATCH("eff_imp_"&amp;INDEX(Data_Elast!$K:$K,MATCH($B106,Data_Elast!$I:$I,0)),Data_Elast!$A:$A,0),MATCH(Settings!$B$5,Data_Elast!$D$1:$G$1,0))</f>
        <v>5.0000000000000001E-3</v>
      </c>
      <c r="I106" s="23">
        <f>Settings!$B$7</f>
        <v>0</v>
      </c>
      <c r="J106" s="16" t="str">
        <f>INDEX(Data_Elast!$J:$J,MATCH($B106,Data_Elast!$I:$I,0))</f>
        <v>gso</v>
      </c>
    </row>
    <row r="107" spans="2:31" x14ac:dyDescent="0.45">
      <c r="B107" s="14" t="s">
        <v>58</v>
      </c>
      <c r="C107" s="14" t="str">
        <f t="shared" si="9"/>
        <v>cem</v>
      </c>
      <c r="D107" s="22" t="s">
        <v>101</v>
      </c>
      <c r="E107" s="23">
        <f>INDEX(Data_Elast!$D:$G,MATCH("el_inc_"&amp;INDEX(Data_Elast!$J:$J,MATCH($B107,Data_Elast!$I:$I,0)),Data_Elast!$A:$A,0),MATCH(Settings!$B$5,Data_Elast!$D$1:$G$1,0))</f>
        <v>0.5</v>
      </c>
      <c r="F107" s="23">
        <f>INDEX(Data_Elast!$D:$G,MATCH("el_dem_"&amp;INDEX(Data_Elast!$J:$J,MATCH($B107,Data_Elast!$I:$I,0)),Data_Elast!$A:$A,0),MATCH(Settings!$B$5,Data_Elast!$D$1:$G$1,0))</f>
        <v>-0.7</v>
      </c>
      <c r="G107" s="23">
        <f>INDEX(Data_Elast!$D:$G,MATCH("el_eff_"&amp;INDEX(Data_Elast!$J:$J,MATCH($B107,Data_Elast!$I:$I,0)),Data_Elast!$A:$A,0),MATCH(Settings!$B$5,Data_Elast!$D$1:$G$1,0))</f>
        <v>-1.2</v>
      </c>
      <c r="H107" s="23">
        <f>INDEX(Data_Elast!$D:$G,MATCH("eff_imp_"&amp;INDEX(Data_Elast!$K:$K,MATCH($B107,Data_Elast!$I:$I,0)),Data_Elast!$A:$A,0),MATCH(Settings!$B$5,Data_Elast!$D$1:$G$1,0))</f>
        <v>5.0000000000000001E-3</v>
      </c>
      <c r="I107" s="23">
        <f>Settings!$B$7</f>
        <v>0</v>
      </c>
      <c r="J107" s="16" t="str">
        <f>INDEX(Data_Elast!$J:$J,MATCH($B107,Data_Elast!$I:$I,0))</f>
        <v>die</v>
      </c>
    </row>
    <row r="108" spans="2:31" x14ac:dyDescent="0.45">
      <c r="B108" s="14" t="s">
        <v>60</v>
      </c>
      <c r="C108" s="14" t="str">
        <f t="shared" si="9"/>
        <v>cem</v>
      </c>
      <c r="D108" s="22" t="s">
        <v>102</v>
      </c>
      <c r="E108" s="23">
        <f>INDEX(Data_Elast!$D:$G,MATCH("el_inc_"&amp;INDEX(Data_Elast!$J:$J,MATCH($B108,Data_Elast!$I:$I,0)),Data_Elast!$A:$A,0),MATCH(Settings!$B$5,Data_Elast!$D$1:$G$1,0))</f>
        <v>0.8</v>
      </c>
      <c r="F108" s="23">
        <f>INDEX(Data_Elast!$D:$G,MATCH("el_dem_"&amp;INDEX(Data_Elast!$J:$J,MATCH($B108,Data_Elast!$I:$I,0)),Data_Elast!$A:$A,0),MATCH(Settings!$B$5,Data_Elast!$D$1:$G$1,0))</f>
        <v>-0.4</v>
      </c>
      <c r="G108" s="23">
        <f>INDEX(Data_Elast!$D:$G,MATCH("el_eff_"&amp;INDEX(Data_Elast!$J:$J,MATCH($B108,Data_Elast!$I:$I,0)),Data_Elast!$A:$A,0),MATCH(Settings!$B$5,Data_Elast!$D$1:$G$1,0))</f>
        <v>-0.4</v>
      </c>
      <c r="H108" s="23">
        <f>INDEX(Data_Elast!$D:$G,MATCH("eff_imp_"&amp;INDEX(Data_Elast!$K:$K,MATCH($B108,Data_Elast!$I:$I,0)),Data_Elast!$A:$A,0),MATCH(Settings!$B$5,Data_Elast!$D$1:$G$1,0))</f>
        <v>5.0000000000000001E-3</v>
      </c>
      <c r="I108" s="23">
        <f>Settings!$B$7</f>
        <v>0</v>
      </c>
      <c r="J108" s="16" t="str">
        <f>INDEX(Data_Elast!$J:$J,MATCH($B108,Data_Elast!$I:$I,0))</f>
        <v>oil</v>
      </c>
    </row>
    <row r="109" spans="2:31" x14ac:dyDescent="0.45">
      <c r="B109" s="14" t="s">
        <v>62</v>
      </c>
      <c r="C109" s="14" t="str">
        <f t="shared" si="9"/>
        <v>cem</v>
      </c>
      <c r="D109" s="22" t="s">
        <v>103</v>
      </c>
      <c r="E109" s="23">
        <f>INDEX(Data_Elast!$D:$G,MATCH("el_inc_"&amp;INDEX(Data_Elast!$J:$J,MATCH($B109,Data_Elast!$I:$I,0)),Data_Elast!$A:$A,0),MATCH(Settings!$B$5,Data_Elast!$D$1:$G$1,0))</f>
        <v>0.8</v>
      </c>
      <c r="F109" s="23">
        <f>INDEX(Data_Elast!$D:$G,MATCH("el_dem_"&amp;INDEX(Data_Elast!$J:$J,MATCH($B109,Data_Elast!$I:$I,0)),Data_Elast!$A:$A,0),MATCH(Settings!$B$5,Data_Elast!$D$1:$G$1,0))</f>
        <v>-0.4</v>
      </c>
      <c r="G109" s="23">
        <f>INDEX(Data_Elast!$D:$G,MATCH("el_eff_"&amp;INDEX(Data_Elast!$J:$J,MATCH($B109,Data_Elast!$I:$I,0)),Data_Elast!$A:$A,0),MATCH(Settings!$B$5,Data_Elast!$D$1:$G$1,0))</f>
        <v>-0.4</v>
      </c>
      <c r="H109" s="23">
        <f>INDEX(Data_Elast!$D:$G,MATCH("eff_imp_"&amp;INDEX(Data_Elast!$K:$K,MATCH($B109,Data_Elast!$I:$I,0)),Data_Elast!$A:$A,0),MATCH(Settings!$B$5,Data_Elast!$D$1:$G$1,0))</f>
        <v>5.0000000000000001E-3</v>
      </c>
      <c r="I109" s="23">
        <f>Settings!$B$7</f>
        <v>0</v>
      </c>
      <c r="J109" s="16" t="str">
        <f>INDEX(Data_Elast!$J:$J,MATCH($B109,Data_Elast!$I:$I,0))</f>
        <v>oil</v>
      </c>
    </row>
    <row r="110" spans="2:31" x14ac:dyDescent="0.45">
      <c r="B110" s="14" t="s">
        <v>64</v>
      </c>
      <c r="C110" s="14" t="str">
        <f t="shared" si="9"/>
        <v>cem</v>
      </c>
      <c r="D110" s="22" t="s">
        <v>104</v>
      </c>
      <c r="E110" s="23">
        <f>INDEX(Data_Elast!$D:$G,MATCH("el_inc_"&amp;INDEX(Data_Elast!$J:$J,MATCH($B110,Data_Elast!$I:$I,0)),Data_Elast!$A:$A,0),MATCH(Settings!$B$5,Data_Elast!$D$1:$G$1,0))</f>
        <v>0.8</v>
      </c>
      <c r="F110" s="23">
        <f>INDEX(Data_Elast!$D:$G,MATCH("el_dem_"&amp;INDEX(Data_Elast!$J:$J,MATCH($B110,Data_Elast!$I:$I,0)),Data_Elast!$A:$A,0),MATCH(Settings!$B$5,Data_Elast!$D$1:$G$1,0))</f>
        <v>-0.4</v>
      </c>
      <c r="G110" s="23">
        <f>INDEX(Data_Elast!$D:$G,MATCH("el_eff_"&amp;INDEX(Data_Elast!$J:$J,MATCH($B110,Data_Elast!$I:$I,0)),Data_Elast!$A:$A,0),MATCH(Settings!$B$5,Data_Elast!$D$1:$G$1,0))</f>
        <v>-0.4</v>
      </c>
      <c r="H110" s="23">
        <f>INDEX(Data_Elast!$D:$G,MATCH("eff_imp_"&amp;INDEX(Data_Elast!$K:$K,MATCH($B110,Data_Elast!$I:$I,0)),Data_Elast!$A:$A,0),MATCH(Settings!$B$5,Data_Elast!$D$1:$G$1,0))</f>
        <v>5.0000000000000001E-3</v>
      </c>
      <c r="I110" s="23">
        <f>Settings!$B$7</f>
        <v>0</v>
      </c>
      <c r="J110" s="16" t="str">
        <f>INDEX(Data_Elast!$J:$J,MATCH($B110,Data_Elast!$I:$I,0))</f>
        <v>oil</v>
      </c>
    </row>
    <row r="111" spans="2:31" x14ac:dyDescent="0.45">
      <c r="B111" s="14" t="s">
        <v>67</v>
      </c>
      <c r="C111" s="14" t="str">
        <f t="shared" si="9"/>
        <v>cem</v>
      </c>
      <c r="D111" s="22" t="s">
        <v>105</v>
      </c>
      <c r="E111" s="23">
        <f>INDEX(Data_Elast!$D:$G,MATCH("el_inc_"&amp;INDEX(Data_Elast!$J:$J,MATCH($B111,Data_Elast!$I:$I,0)),Data_Elast!$A:$A,0),MATCH(Settings!$B$5,Data_Elast!$D$1:$G$1,0))</f>
        <v>0.1</v>
      </c>
      <c r="F111" s="23">
        <f>INDEX(Data_Elast!$D:$G,MATCH("el_dem_"&amp;INDEX(Data_Elast!$J:$J,MATCH($B111,Data_Elast!$I:$I,0)),Data_Elast!$A:$A,0),MATCH(Settings!$B$5,Data_Elast!$D$1:$G$1,0))</f>
        <v>-0.3</v>
      </c>
      <c r="G111" s="23">
        <f>INDEX(Data_Elast!$D:$G,MATCH("el_eff_"&amp;INDEX(Data_Elast!$J:$J,MATCH($B111,Data_Elast!$I:$I,0)),Data_Elast!$A:$A,0),MATCH(Settings!$B$5,Data_Elast!$D$1:$G$1,0))</f>
        <v>-0.2</v>
      </c>
      <c r="H111" s="23">
        <f>INDEX(Data_Elast!$D:$G,MATCH("eff_imp_"&amp;INDEX(Data_Elast!$K:$K,MATCH($B111,Data_Elast!$I:$I,0)),Data_Elast!$A:$A,0),MATCH(Settings!$B$5,Data_Elast!$D$1:$G$1,0))</f>
        <v>5.0000000000000001E-3</v>
      </c>
      <c r="I111" s="23">
        <f>Settings!$B$7</f>
        <v>0</v>
      </c>
      <c r="J111" s="16" t="str">
        <f>INDEX(Data_Elast!$J:$J,MATCH($B111,Data_Elast!$I:$I,0))</f>
        <v>bio</v>
      </c>
    </row>
    <row r="112" spans="2:31" x14ac:dyDescent="0.45">
      <c r="B112" s="14" t="s">
        <v>69</v>
      </c>
      <c r="C112" s="14" t="str">
        <f t="shared" si="9"/>
        <v>cem</v>
      </c>
      <c r="D112" s="22" t="s">
        <v>106</v>
      </c>
      <c r="E112" s="23">
        <f>INDEX(Data_Elast!$D:$G,MATCH("el_inc_"&amp;INDEX(Data_Elast!$J:$J,MATCH($B112,Data_Elast!$I:$I,0)),Data_Elast!$A:$A,0),MATCH(Settings!$B$5,Data_Elast!$D$1:$G$1,0))</f>
        <v>0.8</v>
      </c>
      <c r="F112" s="23">
        <f>INDEX(Data_Elast!$D:$G,MATCH("el_dem_"&amp;INDEX(Data_Elast!$J:$J,MATCH($B112,Data_Elast!$I:$I,0)),Data_Elast!$A:$A,0),MATCH(Settings!$B$5,Data_Elast!$D$1:$G$1,0))</f>
        <v>-0.5</v>
      </c>
      <c r="G112" s="23">
        <f>INDEX(Data_Elast!$D:$G,MATCH("el_eff_"&amp;INDEX(Data_Elast!$J:$J,MATCH($B112,Data_Elast!$I:$I,0)),Data_Elast!$A:$A,0),MATCH(Settings!$B$5,Data_Elast!$D$1:$G$1,0))</f>
        <v>-0.4</v>
      </c>
      <c r="H112" s="23">
        <f>INDEX(Data_Elast!$D:$G,MATCH("eff_imp_"&amp;INDEX(Data_Elast!$K:$K,MATCH($B112,Data_Elast!$I:$I,0)),Data_Elast!$A:$A,0),MATCH(Settings!$B$5,Data_Elast!$D$1:$G$1,0))</f>
        <v>5.0000000000000001E-3</v>
      </c>
      <c r="I112" s="23">
        <f>Settings!$B$7</f>
        <v>0</v>
      </c>
      <c r="J112" s="16" t="str">
        <f>INDEX(Data_Elast!$J:$J,MATCH($B112,Data_Elast!$I:$I,0))</f>
        <v>ren</v>
      </c>
    </row>
    <row r="113" spans="1:35" x14ac:dyDescent="0.45">
      <c r="B113" s="13" t="s">
        <v>107</v>
      </c>
    </row>
    <row r="114" spans="1:35" x14ac:dyDescent="0.45">
      <c r="B114" s="14" t="s">
        <v>49</v>
      </c>
      <c r="C114" s="14" t="str">
        <f t="shared" ref="C114:C123" si="10">$C$65</f>
        <v>cem</v>
      </c>
      <c r="D114" s="15" t="s">
        <v>50</v>
      </c>
      <c r="E114" s="16" t="s">
        <v>108</v>
      </c>
      <c r="F114" s="14" t="s">
        <v>109</v>
      </c>
      <c r="G114" s="17" t="str">
        <f>Settings!$B$3&amp;".mit.enc."&amp;$B114</f>
        <v>egy.mit.enc.coa</v>
      </c>
      <c r="H114" s="45" t="str">
        <f>Settings!$B$3&amp;".mit.ener."&amp;$C$65&amp;"."&amp;$B114&amp;".e."&amp;$J$65</f>
        <v>egy.mit.ener.cem.coa.e.1</v>
      </c>
      <c r="I114" t="s">
        <v>2265</v>
      </c>
      <c r="L114" s="47">
        <f>INDEX(Data_Energy!$D$3:$U$22,MATCH($B114,Data_Energy!$C$3:$C$22,0),MATCH($C114,Data_Energy!$D$2:$U$2,0))</f>
        <v>1463.05522446279</v>
      </c>
      <c r="M114" s="24">
        <f>L114*(1+M$99)^($E104*M$100)*(1+M$101)*IF(Rebate_Industry!L$98&lt;=0,1,Rebate_Industry!M$98/Rebate_Industry!L$98)^$F104*(IF(L87&lt;=0,1,M87/L87)^$G104/(1+$H104+$I104))^(1+$F104)</f>
        <v>1191.3644362517186</v>
      </c>
      <c r="N114" s="24">
        <f>M114*(1+N$99)^($E104*N$100)*(1+N$101)*IF(Rebate_Industry!M$98&lt;=0,1,Rebate_Industry!N$98/Rebate_Industry!M$98)^$F104*(IF(M87&lt;=0,1,N87/M87)^$G104/(1+$H104+$I104))^(1+$F104)</f>
        <v>1369.1779282213379</v>
      </c>
      <c r="O114" s="24">
        <f>N114*(1+O$99)^($E104*O$100)*(1+O$101)*IF(Rebate_Industry!N$98&lt;=0,1,Rebate_Industry!O$98/Rebate_Industry!N$98)^$F104*(IF(N87&lt;=0,1,O87/N87)^$G104/(1+$H104+$I104))^(1+$F104)</f>
        <v>1496.0103450821184</v>
      </c>
      <c r="P114" s="24">
        <f>O114*(1+P$99)^($E104*P$100)*(1+P$101)*IF(Rebate_Industry!O$98&lt;=0,1,Rebate_Industry!P$98/Rebate_Industry!O$98)^$F104*(IF(O87&lt;=0,1,P87/O87)^$G104/(1+$H104+$I104))^(1+$F104)</f>
        <v>1463.0094084242087</v>
      </c>
      <c r="Q114" s="24">
        <f>P114*(1+Q$99)^($E104*Q$100)*(1+Q$101)*IF(Rebate_Industry!P$98&lt;=0,1,Rebate_Industry!Q$98/Rebate_Industry!P$98)^$F104*(IF(P87&lt;=0,1,Q87/P87)^$G104/(1+$H104+$I104))^(1+$F104)</f>
        <v>1479.9434067103523</v>
      </c>
      <c r="R114" s="24">
        <f>Q114*(1+R$99)^($E104*R$100)*(1+R$101)*IF(Rebate_Industry!Q$98&lt;=0,1,Rebate_Industry!R$98/Rebate_Industry!Q$98)^$F104*(IF(Q87&lt;=0,1,R87/Q87)^$G104/(1+$H104+$I104))^(1+$F104)</f>
        <v>1520.8862789067375</v>
      </c>
      <c r="S114" s="24">
        <f>R114*(1+S$99)^($E104*S$100)*(1+S$101)*IF(Rebate_Industry!R$98&lt;=0,1,Rebate_Industry!S$98/Rebate_Industry!R$98)^$F104*(IF(R87&lt;=0,1,S87/R87)^$G104/(1+$H104+$I104))^(1+$F104)</f>
        <v>1560.7547343755641</v>
      </c>
      <c r="T114" s="24">
        <f>S114*(1+T$99)^($E104*T$100)*(1+T$101)*IF(Rebate_Industry!S$98&lt;=0,1,Rebate_Industry!T$98/Rebate_Industry!S$98)^$F104*(IF(S87&lt;=0,1,T87/S87)^$G104/(1+$H104+$I104))^(1+$F104)</f>
        <v>1598.9515087578091</v>
      </c>
      <c r="U114" s="24">
        <f>T114*(1+U$99)^($E104*U$100)*(1+U$101)*IF(Rebate_Industry!T$98&lt;=0,1,Rebate_Industry!U$98/Rebate_Industry!T$98)^$F104*(IF(T87&lt;=0,1,U87/T87)^$G104/(1+$H104+$I104))^(1+$F104)</f>
        <v>1637.2393504564443</v>
      </c>
      <c r="V114" s="24">
        <f>U114*(1+V$99)^($E104*V$100)*(1+V$101)*IF(Rebate_Industry!U$98&lt;=0,1,Rebate_Industry!V$98/Rebate_Industry!U$98)^$F104*(IF(U87&lt;=0,1,V87/U87)^$G104/(1+$H104+$I104))^(1+$F104)</f>
        <v>1668.235665404997</v>
      </c>
      <c r="W114" s="24">
        <f>V114*(1+W$99)^($E104*W$100)*(1+W$101)*IF(Rebate_Industry!V$98&lt;=0,1,Rebate_Industry!W$98/Rebate_Industry!V$98)^$F104*(IF(V87&lt;=0,1,W87/V87)^$G104/(1+$H104+$I104))^(1+$F104)</f>
        <v>1699.3101957591753</v>
      </c>
      <c r="X114" s="24">
        <f>W114*(1+X$99)^($E104*X$100)*(1+X$101)*IF(Rebate_Industry!W$98&lt;=0,1,Rebate_Industry!X$98/Rebate_Industry!W$98)^$F104*(IF(W87&lt;=0,1,X87/W87)^$G104/(1+$H104+$I104))^(1+$F104)</f>
        <v>1730.4540842981107</v>
      </c>
      <c r="Y114" s="24">
        <f>X114*(1+Y$99)^($E104*Y$100)*(1+Y$101)*IF(Rebate_Industry!X$98&lt;=0,1,Rebate_Industry!Y$98/Rebate_Industry!X$98)^$F104*(IF(X87&lt;=0,1,Y87/X87)^$G104/(1+$H104+$I104))^(1+$F104)</f>
        <v>1761.6585518575694</v>
      </c>
      <c r="Z114" s="24">
        <f>Y114*(1+Z$99)^($E104*Z$100)*(1+Z$101)*IF(Rebate_Industry!Y$98&lt;=0,1,Rebate_Industry!Z$98/Rebate_Industry!Y$98)^$F104*(IF(Y87&lt;=0,1,Z87/Y87)^$G104/(1+$H104+$I104))^(1+$F104)</f>
        <v>1792.9148898951291</v>
      </c>
      <c r="AA114" s="24">
        <f>Z114*(1+AA$99)^($E104*AA$100)*(1+AA$101)*IF(Rebate_Industry!Z$98&lt;=0,1,Rebate_Industry!AA$98/Rebate_Industry!Z$98)^$F104*(IF(Z87&lt;=0,1,AA87/Z87)^$G104/(1+$H104+$I104))^(1+$F104)</f>
        <v>1824.2144522572223</v>
      </c>
      <c r="AB114" s="24">
        <f>AA114*(1+AB$99)^($E104*AB$100)*(1+AB$101)*IF(Rebate_Industry!AA$98&lt;=0,1,Rebate_Industry!AB$98/Rebate_Industry!AA$98)^$F104*(IF(AA87&lt;=0,1,AB87/AA87)^$G104/(1+$H104+$I104))^(1+$F104)</f>
        <v>1855.5486461890316</v>
      </c>
      <c r="AC114" s="24">
        <f>AB114*(1+AC$99)^($E104*AC$100)*(1+AC$101)*IF(Rebate_Industry!AB$98&lt;=0,1,Rebate_Industry!AC$98/Rebate_Industry!AB$98)^$F104*(IF(AB87&lt;=0,1,AC87/AB87)^$G104/(1+$H104+$I104))^(1+$F104)</f>
        <v>1886.9089226255737</v>
      </c>
      <c r="AD114" s="24">
        <f>AC114*(1+AD$99)^($E104*AD$100)*(1+AD$101)*IF(Rebate_Industry!AC$98&lt;=0,1,Rebate_Industry!AD$98/Rebate_Industry!AC$98)^$F104*(IF(AC87&lt;=0,1,AD87/AC87)^$G104/(1+$H104+$I104))^(1+$F104)</f>
        <v>1918.2867657997119</v>
      </c>
      <c r="AE114" s="24">
        <f>AD114*(1+AE$99)^($E104*AE$100)*(1+AE$101)*IF(Rebate_Industry!AD$98&lt;=0,1,Rebate_Industry!AE$98/Rebate_Industry!AD$98)^$F104*(IF(AD87&lt;=0,1,AE87/AD87)^$G104/(1+$H104+$I104))^(1+$F104)</f>
        <v>1949.6736822001205</v>
      </c>
    </row>
    <row r="115" spans="1:35" x14ac:dyDescent="0.45">
      <c r="B115" s="14" t="s">
        <v>53</v>
      </c>
      <c r="C115" s="14" t="str">
        <f t="shared" si="10"/>
        <v>cem</v>
      </c>
      <c r="D115" s="15" t="s">
        <v>54</v>
      </c>
      <c r="E115" s="16" t="s">
        <v>108</v>
      </c>
      <c r="F115" s="14" t="s">
        <v>109</v>
      </c>
      <c r="G115" s="17" t="str">
        <f>Settings!$B$3&amp;".mit.enc."&amp;$B115</f>
        <v>egy.mit.enc.nga</v>
      </c>
      <c r="H115" s="45" t="str">
        <f>Settings!$B$3&amp;".mit.ener."&amp;$C$65&amp;"."&amp;$B115&amp;".e."&amp;$J$65</f>
        <v>egy.mit.ener.cem.nga.e.1</v>
      </c>
      <c r="I115" t="s">
        <v>2266</v>
      </c>
      <c r="L115" s="47">
        <f>INDEX(Data_Energy!$D$3:$U$22,MATCH($B115,Data_Energy!$C$3:$C$22,0),MATCH($C115,Data_Energy!$D$2:$U$2,0))</f>
        <v>1747.39153476208</v>
      </c>
      <c r="M115" s="24">
        <f>L115*(1+M$99)^($E105*M$100)*(1+M$101)*IF(Rebate_Industry!L$99&lt;=0,1,Rebate_Industry!M$99/Rebate_Industry!L$99)^$F105*(IF(L88&lt;=0,1,M88/L88)^$G105/(1+$H105+$I105))^(1+$F105)</f>
        <v>1498.9759731403976</v>
      </c>
      <c r="N115" s="24">
        <f>M115*(1+N$99)^($E105*N$100)*(1+N$101)*IF(Rebate_Industry!M$99&lt;=0,1,Rebate_Industry!N$99/Rebate_Industry!M$99)^$F105*(IF(M88&lt;=0,1,N88/M88)^$G105/(1+$H105+$I105))^(1+$F105)</f>
        <v>1678.358160579395</v>
      </c>
      <c r="O115" s="24">
        <f>N115*(1+O$99)^($E105*O$100)*(1+O$101)*IF(Rebate_Industry!N$99&lt;=0,1,Rebate_Industry!O$99/Rebate_Industry!N$99)^$F105*(IF(N88&lt;=0,1,O88/N88)^$G105/(1+$H105+$I105))^(1+$F105)</f>
        <v>1744.6824773068638</v>
      </c>
      <c r="P115" s="24">
        <f>O115*(1+P$99)^($E105*P$100)*(1+P$101)*IF(Rebate_Industry!O$99&lt;=0,1,Rebate_Industry!P$99/Rebate_Industry!O$99)^$F105*(IF(O88&lt;=0,1,P88/O88)^$G105/(1+$H105+$I105))^(1+$F105)</f>
        <v>1810.2025593297435</v>
      </c>
      <c r="Q115" s="24">
        <f>P115*(1+Q$99)^($E105*Q$100)*(1+Q$101)*IF(Rebate_Industry!P$99&lt;=0,1,Rebate_Industry!Q$99/Rebate_Industry!P$99)^$F105*(IF(P88&lt;=0,1,Q88/P88)^$G105/(1+$H105+$I105))^(1+$F105)</f>
        <v>1888.2699356639823</v>
      </c>
      <c r="R115" s="24">
        <f>Q115*(1+R$99)^($E105*R$100)*(1+R$101)*IF(Rebate_Industry!Q$99&lt;=0,1,Rebate_Industry!R$99/Rebate_Industry!Q$99)^$F105*(IF(Q88&lt;=0,1,R88/Q88)^$G105/(1+$H105+$I105))^(1+$F105)</f>
        <v>1982.0352227524543</v>
      </c>
      <c r="S115" s="24">
        <f>R115*(1+S$99)^($E105*S$100)*(1+S$101)*IF(Rebate_Industry!R$99&lt;=0,1,Rebate_Industry!S$99/Rebate_Industry!R$99)^$F105*(IF(R88&lt;=0,1,S88/R88)^$G105/(1+$H105+$I105))^(1+$F105)</f>
        <v>2073.2335772836482</v>
      </c>
      <c r="T115" s="24">
        <f>S115*(1+T$99)^($E105*T$100)*(1+T$101)*IF(Rebate_Industry!S$99&lt;=0,1,Rebate_Industry!T$99/Rebate_Industry!S$99)^$F105*(IF(S88&lt;=0,1,T88/S88)^$G105/(1+$H105+$I105))^(1+$F105)</f>
        <v>2159.7853501403379</v>
      </c>
      <c r="U115" s="24">
        <f>T115*(1+U$99)^($E105*U$100)*(1+U$101)*IF(Rebate_Industry!T$99&lt;=0,1,Rebate_Industry!U$99/Rebate_Industry!T$99)^$F105*(IF(T88&lt;=0,1,U88/T88)^$G105/(1+$H105+$I105))^(1+$F105)</f>
        <v>2248.2111327225371</v>
      </c>
      <c r="V115" s="24">
        <f>U115*(1+V$99)^($E105*V$100)*(1+V$101)*IF(Rebate_Industry!U$99&lt;=0,1,Rebate_Industry!V$99/Rebate_Industry!U$99)^$F105*(IF(U88&lt;=0,1,V88/U88)^$G105/(1+$H105+$I105))^(1+$F105)</f>
        <v>2338.8337314802193</v>
      </c>
      <c r="W115" s="24">
        <f>V115*(1+W$99)^($E105*W$100)*(1+W$101)*IF(Rebate_Industry!V$99&lt;=0,1,Rebate_Industry!W$99/Rebate_Industry!V$99)^$F105*(IF(V88&lt;=0,1,W88/V88)^$G105/(1+$H105+$I105))^(1+$F105)</f>
        <v>2431.6533942937472</v>
      </c>
      <c r="X115" s="24">
        <f>W115*(1+X$99)^($E105*X$100)*(1+X$101)*IF(Rebate_Industry!W$99&lt;=0,1,Rebate_Industry!X$99/Rebate_Industry!W$99)^$F105*(IF(W88&lt;=0,1,X88/W88)^$G105/(1+$H105+$I105))^(1+$F105)</f>
        <v>2526.6687256675955</v>
      </c>
      <c r="Y115" s="24">
        <f>X115*(1+Y$99)^($E105*Y$100)*(1+Y$101)*IF(Rebate_Industry!X$99&lt;=0,1,Rebate_Industry!Y$99/Rebate_Industry!X$99)^$F105*(IF(X88&lt;=0,1,Y88/X88)^$G105/(1+$H105+$I105))^(1+$F105)</f>
        <v>2623.8766619221847</v>
      </c>
      <c r="Z115" s="24">
        <f>Y115*(1+Z$99)^($E105*Z$100)*(1+Z$101)*IF(Rebate_Industry!Y$99&lt;=0,1,Rebate_Industry!Z$99/Rebate_Industry!Y$99)^$F105*(IF(Y88&lt;=0,1,Z88/Y88)^$G105/(1+$H105+$I105))^(1+$F105)</f>
        <v>2723.2724430000362</v>
      </c>
      <c r="AA115" s="24">
        <f>Z115*(1+AA$99)^($E105*AA$100)*(1+AA$101)*IF(Rebate_Industry!Z$99&lt;=0,1,Rebate_Industry!AA$99/Rebate_Industry!Z$99)^$F105*(IF(Z88&lt;=0,1,AA88/Z88)^$G105/(1+$H105+$I105))^(1+$F105)</f>
        <v>2824.8495806073797</v>
      </c>
      <c r="AB115" s="24">
        <f>AA115*(1+AB$99)^($E105*AB$100)*(1+AB$101)*IF(Rebate_Industry!AA$99&lt;=0,1,Rebate_Industry!AB$99/Rebate_Industry!AA$99)^$F105*(IF(AA88&lt;=0,1,AB88/AA88)^$G105/(1+$H105+$I105))^(1+$F105)</f>
        <v>2928.5998224234936</v>
      </c>
      <c r="AC115" s="24">
        <f>AB115*(1+AC$99)^($E105*AC$100)*(1+AC$101)*IF(Rebate_Industry!AB$99&lt;=0,1,Rebate_Industry!AC$99/Rebate_Industry!AB$99)^$F105*(IF(AB88&lt;=0,1,AC88/AB88)^$G105/(1+$H105+$I105))^(1+$F105)</f>
        <v>3034.5131121205823</v>
      </c>
      <c r="AD115" s="24">
        <f>AC115*(1+AD$99)^($E105*AD$100)*(1+AD$101)*IF(Rebate_Industry!AC$99&lt;=0,1,Rebate_Industry!AD$99/Rebate_Industry!AC$99)^$F105*(IF(AC88&lt;=0,1,AD88/AC88)^$G105/(1+$H105+$I105))^(1+$F105)</f>
        <v>3142.5775449475668</v>
      </c>
      <c r="AE115" s="24">
        <f>AD115*(1+AE$99)^($E105*AE$100)*(1+AE$101)*IF(Rebate_Industry!AD$99&lt;=0,1,Rebate_Industry!AE$99/Rebate_Industry!AD$99)^$F105*(IF(AD88&lt;=0,1,AE88/AD88)^$G105/(1+$H105+$I105))^(1+$F105)</f>
        <v>3252.7793186410991</v>
      </c>
    </row>
    <row r="116" spans="1:35" x14ac:dyDescent="0.45">
      <c r="B116" s="14" t="s">
        <v>55</v>
      </c>
      <c r="C116" s="14" t="str">
        <f t="shared" si="10"/>
        <v>cem</v>
      </c>
      <c r="D116" s="15" t="s">
        <v>56</v>
      </c>
      <c r="E116" s="16" t="s">
        <v>108</v>
      </c>
      <c r="F116" s="14" t="s">
        <v>109</v>
      </c>
      <c r="G116" s="17" t="str">
        <f>Settings!$B$3&amp;".mit.enc."&amp;$B116</f>
        <v>egy.mit.enc.gso</v>
      </c>
      <c r="H116" s="45" t="str">
        <f>Settings!$B$3&amp;".mit.ener."&amp;$C$65&amp;"."&amp;$B116&amp;".e."&amp;$J$65</f>
        <v>egy.mit.ener.cem.gso.e.1</v>
      </c>
      <c r="I116" t="s">
        <v>2267</v>
      </c>
      <c r="L116" s="47">
        <f>INDEX(Data_Energy!$D$3:$U$22,MATCH($B116,Data_Energy!$C$3:$C$22,0),MATCH($C116,Data_Energy!$D$2:$U$2,0))</f>
        <v>0</v>
      </c>
      <c r="M116" s="24">
        <f>L116*(1+M$99)^($E106*M$100)*(1+M$101)*IF(Rebate_Industry!L$100&lt;=0,1,Rebate_Industry!M$100/Rebate_Industry!L$100)^$F106*(IF(L89&lt;=0,1,M89/L89)^$G106/(1+$H106+$I106))^(1+$F106)</f>
        <v>0</v>
      </c>
      <c r="N116" s="24">
        <f>M116*(1+N$99)^($E106*N$100)*(1+N$101)*IF(Rebate_Industry!M$100&lt;=0,1,Rebate_Industry!N$100/Rebate_Industry!M$100)^$F106*(IF(M89&lt;=0,1,N89/M89)^$G106/(1+$H106+$I106))^(1+$F106)</f>
        <v>0</v>
      </c>
      <c r="O116" s="24">
        <f>N116*(1+O$99)^($E106*O$100)*(1+O$101)*IF(Rebate_Industry!N$100&lt;=0,1,Rebate_Industry!O$100/Rebate_Industry!N$100)^$F106*(IF(N89&lt;=0,1,O89/N89)^$G106/(1+$H106+$I106))^(1+$F106)</f>
        <v>0</v>
      </c>
      <c r="P116" s="24">
        <f>O116*(1+P$99)^($E106*P$100)*(1+P$101)*IF(Rebate_Industry!O$100&lt;=0,1,Rebate_Industry!P$100/Rebate_Industry!O$100)^$F106*(IF(O89&lt;=0,1,P89/O89)^$G106/(1+$H106+$I106))^(1+$F106)</f>
        <v>0</v>
      </c>
      <c r="Q116" s="24">
        <f>P116*(1+Q$99)^($E106*Q$100)*(1+Q$101)*IF(Rebate_Industry!P$100&lt;=0,1,Rebate_Industry!Q$100/Rebate_Industry!P$100)^$F106*(IF(P89&lt;=0,1,Q89/P89)^$G106/(1+$H106+$I106))^(1+$F106)</f>
        <v>0</v>
      </c>
      <c r="R116" s="24">
        <f>Q116*(1+R$99)^($E106*R$100)*(1+R$101)*IF(Rebate_Industry!Q$100&lt;=0,1,Rebate_Industry!R$100/Rebate_Industry!Q$100)^$F106*(IF(Q89&lt;=0,1,R89/Q89)^$G106/(1+$H106+$I106))^(1+$F106)</f>
        <v>0</v>
      </c>
      <c r="S116" s="24">
        <f>R116*(1+S$99)^($E106*S$100)*(1+S$101)*IF(Rebate_Industry!R$100&lt;=0,1,Rebate_Industry!S$100/Rebate_Industry!R$100)^$F106*(IF(R89&lt;=0,1,S89/R89)^$G106/(1+$H106+$I106))^(1+$F106)</f>
        <v>0</v>
      </c>
      <c r="T116" s="24">
        <f>S116*(1+T$99)^($E106*T$100)*(1+T$101)*IF(Rebate_Industry!S$100&lt;=0,1,Rebate_Industry!T$100/Rebate_Industry!S$100)^$F106*(IF(S89&lt;=0,1,T89/S89)^$G106/(1+$H106+$I106))^(1+$F106)</f>
        <v>0</v>
      </c>
      <c r="U116" s="24">
        <f>T116*(1+U$99)^($E106*U$100)*(1+U$101)*IF(Rebate_Industry!T$100&lt;=0,1,Rebate_Industry!U$100/Rebate_Industry!T$100)^$F106*(IF(T89&lt;=0,1,U89/T89)^$G106/(1+$H106+$I106))^(1+$F106)</f>
        <v>0</v>
      </c>
      <c r="V116" s="24">
        <f>U116*(1+V$99)^($E106*V$100)*(1+V$101)*IF(Rebate_Industry!U$100&lt;=0,1,Rebate_Industry!V$100/Rebate_Industry!U$100)^$F106*(IF(U89&lt;=0,1,V89/U89)^$G106/(1+$H106+$I106))^(1+$F106)</f>
        <v>0</v>
      </c>
      <c r="W116" s="24">
        <f>V116*(1+W$99)^($E106*W$100)*(1+W$101)*IF(Rebate_Industry!V$100&lt;=0,1,Rebate_Industry!W$100/Rebate_Industry!V$100)^$F106*(IF(V89&lt;=0,1,W89/V89)^$G106/(1+$H106+$I106))^(1+$F106)</f>
        <v>0</v>
      </c>
      <c r="X116" s="24">
        <f>W116*(1+X$99)^($E106*X$100)*(1+X$101)*IF(Rebate_Industry!W$100&lt;=0,1,Rebate_Industry!X$100/Rebate_Industry!W$100)^$F106*(IF(W89&lt;=0,1,X89/W89)^$G106/(1+$H106+$I106))^(1+$F106)</f>
        <v>0</v>
      </c>
      <c r="Y116" s="24">
        <f>X116*(1+Y$99)^($E106*Y$100)*(1+Y$101)*IF(Rebate_Industry!X$100&lt;=0,1,Rebate_Industry!Y$100/Rebate_Industry!X$100)^$F106*(IF(X89&lt;=0,1,Y89/X89)^$G106/(1+$H106+$I106))^(1+$F106)</f>
        <v>0</v>
      </c>
      <c r="Z116" s="24">
        <f>Y116*(1+Z$99)^($E106*Z$100)*(1+Z$101)*IF(Rebate_Industry!Y$100&lt;=0,1,Rebate_Industry!Z$100/Rebate_Industry!Y$100)^$F106*(IF(Y89&lt;=0,1,Z89/Y89)^$G106/(1+$H106+$I106))^(1+$F106)</f>
        <v>0</v>
      </c>
      <c r="AA116" s="24">
        <f>Z116*(1+AA$99)^($E106*AA$100)*(1+AA$101)*IF(Rebate_Industry!Z$100&lt;=0,1,Rebate_Industry!AA$100/Rebate_Industry!Z$100)^$F106*(IF(Z89&lt;=0,1,AA89/Z89)^$G106/(1+$H106+$I106))^(1+$F106)</f>
        <v>0</v>
      </c>
      <c r="AB116" s="24">
        <f>AA116*(1+AB$99)^($E106*AB$100)*(1+AB$101)*IF(Rebate_Industry!AA$100&lt;=0,1,Rebate_Industry!AB$100/Rebate_Industry!AA$100)^$F106*(IF(AA89&lt;=0,1,AB89/AA89)^$G106/(1+$H106+$I106))^(1+$F106)</f>
        <v>0</v>
      </c>
      <c r="AC116" s="24">
        <f>AB116*(1+AC$99)^($E106*AC$100)*(1+AC$101)*IF(Rebate_Industry!AB$100&lt;=0,1,Rebate_Industry!AC$100/Rebate_Industry!AB$100)^$F106*(IF(AB89&lt;=0,1,AC89/AB89)^$G106/(1+$H106+$I106))^(1+$F106)</f>
        <v>0</v>
      </c>
      <c r="AD116" s="24">
        <f>AC116*(1+AD$99)^($E106*AD$100)*(1+AD$101)*IF(Rebate_Industry!AC$100&lt;=0,1,Rebate_Industry!AD$100/Rebate_Industry!AC$100)^$F106*(IF(AC89&lt;=0,1,AD89/AC89)^$G106/(1+$H106+$I106))^(1+$F106)</f>
        <v>0</v>
      </c>
      <c r="AE116" s="24">
        <f>AD116*(1+AE$99)^($E106*AE$100)*(1+AE$101)*IF(Rebate_Industry!AD$100&lt;=0,1,Rebate_Industry!AE$100/Rebate_Industry!AD$100)^$F106*(IF(AD89&lt;=0,1,AE89/AD89)^$G106/(1+$H106+$I106))^(1+$F106)</f>
        <v>0</v>
      </c>
    </row>
    <row r="117" spans="1:35" x14ac:dyDescent="0.45">
      <c r="B117" s="14" t="s">
        <v>58</v>
      </c>
      <c r="C117" s="14" t="str">
        <f t="shared" si="10"/>
        <v>cem</v>
      </c>
      <c r="D117" s="15" t="s">
        <v>59</v>
      </c>
      <c r="E117" s="16" t="s">
        <v>108</v>
      </c>
      <c r="F117" s="14" t="s">
        <v>109</v>
      </c>
      <c r="G117" s="17" t="str">
        <f>Settings!$B$3&amp;".mit.enc."&amp;$B117</f>
        <v>egy.mit.enc.die</v>
      </c>
      <c r="H117" s="45" t="str">
        <f>Settings!$B$3&amp;".mit.ener."&amp;$C$65&amp;"."&amp;$B117&amp;".e."&amp;$J$65</f>
        <v>egy.mit.ener.cem.die.e.1</v>
      </c>
      <c r="I117" t="s">
        <v>2268</v>
      </c>
      <c r="L117" s="47">
        <f>INDEX(Data_Energy!$D$3:$U$22,MATCH($B117,Data_Energy!$C$3:$C$22,0),MATCH($C117,Data_Energy!$D$2:$U$2,0))</f>
        <v>0</v>
      </c>
      <c r="M117" s="24">
        <f>L117*(1+M$99)^($E107*M$100)*(1+M$101)*IF(Rebate_Industry!L$101&lt;=0,1,Rebate_Industry!M$101/Rebate_Industry!L$101)^$F107*(IF(L90&lt;=0,1,M90/L90)^$G107/(1+$H107+$I107))^(1+$F107)</f>
        <v>0</v>
      </c>
      <c r="N117" s="24">
        <f>M117*(1+N$99)^($E107*N$100)*(1+N$101)*IF(Rebate_Industry!M$101&lt;=0,1,Rebate_Industry!N$101/Rebate_Industry!M$101)^$F107*(IF(M90&lt;=0,1,N90/M90)^$G107/(1+$H107+$I107))^(1+$F107)</f>
        <v>0</v>
      </c>
      <c r="O117" s="24">
        <f>N117*(1+O$99)^($E107*O$100)*(1+O$101)*IF(Rebate_Industry!N$101&lt;=0,1,Rebate_Industry!O$101/Rebate_Industry!N$101)^$F107*(IF(N90&lt;=0,1,O90/N90)^$G107/(1+$H107+$I107))^(1+$F107)</f>
        <v>0</v>
      </c>
      <c r="P117" s="24">
        <f>O117*(1+P$99)^($E107*P$100)*(1+P$101)*IF(Rebate_Industry!O$101&lt;=0,1,Rebate_Industry!P$101/Rebate_Industry!O$101)^$F107*(IF(O90&lt;=0,1,P90/O90)^$G107/(1+$H107+$I107))^(1+$F107)</f>
        <v>0</v>
      </c>
      <c r="Q117" s="24">
        <f>P117*(1+Q$99)^($E107*Q$100)*(1+Q$101)*IF(Rebate_Industry!P$101&lt;=0,1,Rebate_Industry!Q$101/Rebate_Industry!P$101)^$F107*(IF(P90&lt;=0,1,Q90/P90)^$G107/(1+$H107+$I107))^(1+$F107)</f>
        <v>0</v>
      </c>
      <c r="R117" s="24">
        <f>Q117*(1+R$99)^($E107*R$100)*(1+R$101)*IF(Rebate_Industry!Q$101&lt;=0,1,Rebate_Industry!R$101/Rebate_Industry!Q$101)^$F107*(IF(Q90&lt;=0,1,R90/Q90)^$G107/(1+$H107+$I107))^(1+$F107)</f>
        <v>0</v>
      </c>
      <c r="S117" s="24">
        <f>R117*(1+S$99)^($E107*S$100)*(1+S$101)*IF(Rebate_Industry!R$101&lt;=0,1,Rebate_Industry!S$101/Rebate_Industry!R$101)^$F107*(IF(R90&lt;=0,1,S90/R90)^$G107/(1+$H107+$I107))^(1+$F107)</f>
        <v>0</v>
      </c>
      <c r="T117" s="24">
        <f>S117*(1+T$99)^($E107*T$100)*(1+T$101)*IF(Rebate_Industry!S$101&lt;=0,1,Rebate_Industry!T$101/Rebate_Industry!S$101)^$F107*(IF(S90&lt;=0,1,T90/S90)^$G107/(1+$H107+$I107))^(1+$F107)</f>
        <v>0</v>
      </c>
      <c r="U117" s="24">
        <f>T117*(1+U$99)^($E107*U$100)*(1+U$101)*IF(Rebate_Industry!T$101&lt;=0,1,Rebate_Industry!U$101/Rebate_Industry!T$101)^$F107*(IF(T90&lt;=0,1,U90/T90)^$G107/(1+$H107+$I107))^(1+$F107)</f>
        <v>0</v>
      </c>
      <c r="V117" s="24">
        <f>U117*(1+V$99)^($E107*V$100)*(1+V$101)*IF(Rebate_Industry!U$101&lt;=0,1,Rebate_Industry!V$101/Rebate_Industry!U$101)^$F107*(IF(U90&lt;=0,1,V90/U90)^$G107/(1+$H107+$I107))^(1+$F107)</f>
        <v>0</v>
      </c>
      <c r="W117" s="24">
        <f>V117*(1+W$99)^($E107*W$100)*(1+W$101)*IF(Rebate_Industry!V$101&lt;=0,1,Rebate_Industry!W$101/Rebate_Industry!V$101)^$F107*(IF(V90&lt;=0,1,W90/V90)^$G107/(1+$H107+$I107))^(1+$F107)</f>
        <v>0</v>
      </c>
      <c r="X117" s="24">
        <f>W117*(1+X$99)^($E107*X$100)*(1+X$101)*IF(Rebate_Industry!W$101&lt;=0,1,Rebate_Industry!X$101/Rebate_Industry!W$101)^$F107*(IF(W90&lt;=0,1,X90/W90)^$G107/(1+$H107+$I107))^(1+$F107)</f>
        <v>0</v>
      </c>
      <c r="Y117" s="24">
        <f>X117*(1+Y$99)^($E107*Y$100)*(1+Y$101)*IF(Rebate_Industry!X$101&lt;=0,1,Rebate_Industry!Y$101/Rebate_Industry!X$101)^$F107*(IF(X90&lt;=0,1,Y90/X90)^$G107/(1+$H107+$I107))^(1+$F107)</f>
        <v>0</v>
      </c>
      <c r="Z117" s="24">
        <f>Y117*(1+Z$99)^($E107*Z$100)*(1+Z$101)*IF(Rebate_Industry!Y$101&lt;=0,1,Rebate_Industry!Z$101/Rebate_Industry!Y$101)^$F107*(IF(Y90&lt;=0,1,Z90/Y90)^$G107/(1+$H107+$I107))^(1+$F107)</f>
        <v>0</v>
      </c>
      <c r="AA117" s="24">
        <f>Z117*(1+AA$99)^($E107*AA$100)*(1+AA$101)*IF(Rebate_Industry!Z$101&lt;=0,1,Rebate_Industry!AA$101/Rebate_Industry!Z$101)^$F107*(IF(Z90&lt;=0,1,AA90/Z90)^$G107/(1+$H107+$I107))^(1+$F107)</f>
        <v>0</v>
      </c>
      <c r="AB117" s="24">
        <f>AA117*(1+AB$99)^($E107*AB$100)*(1+AB$101)*IF(Rebate_Industry!AA$101&lt;=0,1,Rebate_Industry!AB$101/Rebate_Industry!AA$101)^$F107*(IF(AA90&lt;=0,1,AB90/AA90)^$G107/(1+$H107+$I107))^(1+$F107)</f>
        <v>0</v>
      </c>
      <c r="AC117" s="24">
        <f>AB117*(1+AC$99)^($E107*AC$100)*(1+AC$101)*IF(Rebate_Industry!AB$101&lt;=0,1,Rebate_Industry!AC$101/Rebate_Industry!AB$101)^$F107*(IF(AB90&lt;=0,1,AC90/AB90)^$G107/(1+$H107+$I107))^(1+$F107)</f>
        <v>0</v>
      </c>
      <c r="AD117" s="24">
        <f>AC117*(1+AD$99)^($E107*AD$100)*(1+AD$101)*IF(Rebate_Industry!AC$101&lt;=0,1,Rebate_Industry!AD$101/Rebate_Industry!AC$101)^$F107*(IF(AC90&lt;=0,1,AD90/AC90)^$G107/(1+$H107+$I107))^(1+$F107)</f>
        <v>0</v>
      </c>
      <c r="AE117" s="24">
        <f>AD117*(1+AE$99)^($E107*AE$100)*(1+AE$101)*IF(Rebate_Industry!AD$101&lt;=0,1,Rebate_Industry!AE$101/Rebate_Industry!AD$101)^$F107*(IF(AD90&lt;=0,1,AE90/AD90)^$G107/(1+$H107+$I107))^(1+$F107)</f>
        <v>0</v>
      </c>
    </row>
    <row r="118" spans="1:35" x14ac:dyDescent="0.45">
      <c r="B118" s="14" t="s">
        <v>60</v>
      </c>
      <c r="C118" s="14" t="str">
        <f t="shared" si="10"/>
        <v>cem</v>
      </c>
      <c r="D118" s="15" t="s">
        <v>61</v>
      </c>
      <c r="E118" s="16" t="s">
        <v>108</v>
      </c>
      <c r="F118" s="14" t="s">
        <v>109</v>
      </c>
      <c r="G118" s="17" t="str">
        <f>Settings!$B$3&amp;".mit.enc."&amp;$B118</f>
        <v>egy.mit.enc.lpg</v>
      </c>
      <c r="H118" s="45" t="str">
        <f>Settings!$B$3&amp;".mit.ener."&amp;$C$65&amp;"."&amp;$B118&amp;".e."&amp;$J$65</f>
        <v>egy.mit.ener.cem.lpg.e.1</v>
      </c>
      <c r="I118" t="s">
        <v>2269</v>
      </c>
      <c r="L118" s="47">
        <f>INDEX(Data_Energy!$D$3:$U$22,MATCH($B118,Data_Energy!$C$3:$C$22,0),MATCH($C118,Data_Energy!$D$2:$U$2,0))</f>
        <v>0</v>
      </c>
      <c r="M118" s="24">
        <f>L118*(1+M$99)^($E108*M$100)*(1+M$101)*IF(Rebate_Industry!L$102&lt;=0,1,Rebate_Industry!M$102/Rebate_Industry!L$102)^$F108*(IF(L91&lt;=0,1,M91/L91)^$G108/(1+$H108+$I108))^(1+$F108)</f>
        <v>0</v>
      </c>
      <c r="N118" s="24">
        <f>M118*(1+N$99)^($E108*N$100)*(1+N$101)*IF(Rebate_Industry!M$102&lt;=0,1,Rebate_Industry!N$102/Rebate_Industry!M$102)^$F108*(IF(M91&lt;=0,1,N91/M91)^$G108/(1+$H108+$I108))^(1+$F108)</f>
        <v>0</v>
      </c>
      <c r="O118" s="24">
        <f>N118*(1+O$99)^($E108*O$100)*(1+O$101)*IF(Rebate_Industry!N$102&lt;=0,1,Rebate_Industry!O$102/Rebate_Industry!N$102)^$F108*(IF(N91&lt;=0,1,O91/N91)^$G108/(1+$H108+$I108))^(1+$F108)</f>
        <v>0</v>
      </c>
      <c r="P118" s="24">
        <f>O118*(1+P$99)^($E108*P$100)*(1+P$101)*IF(Rebate_Industry!O$102&lt;=0,1,Rebate_Industry!P$102/Rebate_Industry!O$102)^$F108*(IF(O91&lt;=0,1,P91/O91)^$G108/(1+$H108+$I108))^(1+$F108)</f>
        <v>0</v>
      </c>
      <c r="Q118" s="24">
        <f>P118*(1+Q$99)^($E108*Q$100)*(1+Q$101)*IF(Rebate_Industry!P$102&lt;=0,1,Rebate_Industry!Q$102/Rebate_Industry!P$102)^$F108*(IF(P91&lt;=0,1,Q91/P91)^$G108/(1+$H108+$I108))^(1+$F108)</f>
        <v>0</v>
      </c>
      <c r="R118" s="24">
        <f>Q118*(1+R$99)^($E108*R$100)*(1+R$101)*IF(Rebate_Industry!Q$102&lt;=0,1,Rebate_Industry!R$102/Rebate_Industry!Q$102)^$F108*(IF(Q91&lt;=0,1,R91/Q91)^$G108/(1+$H108+$I108))^(1+$F108)</f>
        <v>0</v>
      </c>
      <c r="S118" s="24">
        <f>R118*(1+S$99)^($E108*S$100)*(1+S$101)*IF(Rebate_Industry!R$102&lt;=0,1,Rebate_Industry!S$102/Rebate_Industry!R$102)^$F108*(IF(R91&lt;=0,1,S91/R91)^$G108/(1+$H108+$I108))^(1+$F108)</f>
        <v>0</v>
      </c>
      <c r="T118" s="24">
        <f>S118*(1+T$99)^($E108*T$100)*(1+T$101)*IF(Rebate_Industry!S$102&lt;=0,1,Rebate_Industry!T$102/Rebate_Industry!S$102)^$F108*(IF(S91&lt;=0,1,T91/S91)^$G108/(1+$H108+$I108))^(1+$F108)</f>
        <v>0</v>
      </c>
      <c r="U118" s="24">
        <f>T118*(1+U$99)^($E108*U$100)*(1+U$101)*IF(Rebate_Industry!T$102&lt;=0,1,Rebate_Industry!U$102/Rebate_Industry!T$102)^$F108*(IF(T91&lt;=0,1,U91/T91)^$G108/(1+$H108+$I108))^(1+$F108)</f>
        <v>0</v>
      </c>
      <c r="V118" s="24">
        <f>U118*(1+V$99)^($E108*V$100)*(1+V$101)*IF(Rebate_Industry!U$102&lt;=0,1,Rebate_Industry!V$102/Rebate_Industry!U$102)^$F108*(IF(U91&lt;=0,1,V91/U91)^$G108/(1+$H108+$I108))^(1+$F108)</f>
        <v>0</v>
      </c>
      <c r="W118" s="24">
        <f>V118*(1+W$99)^($E108*W$100)*(1+W$101)*IF(Rebate_Industry!V$102&lt;=0,1,Rebate_Industry!W$102/Rebate_Industry!V$102)^$F108*(IF(V91&lt;=0,1,W91/V91)^$G108/(1+$H108+$I108))^(1+$F108)</f>
        <v>0</v>
      </c>
      <c r="X118" s="24">
        <f>W118*(1+X$99)^($E108*X$100)*(1+X$101)*IF(Rebate_Industry!W$102&lt;=0,1,Rebate_Industry!X$102/Rebate_Industry!W$102)^$F108*(IF(W91&lt;=0,1,X91/W91)^$G108/(1+$H108+$I108))^(1+$F108)</f>
        <v>0</v>
      </c>
      <c r="Y118" s="24">
        <f>X118*(1+Y$99)^($E108*Y$100)*(1+Y$101)*IF(Rebate_Industry!X$102&lt;=0,1,Rebate_Industry!Y$102/Rebate_Industry!X$102)^$F108*(IF(X91&lt;=0,1,Y91/X91)^$G108/(1+$H108+$I108))^(1+$F108)</f>
        <v>0</v>
      </c>
      <c r="Z118" s="24">
        <f>Y118*(1+Z$99)^($E108*Z$100)*(1+Z$101)*IF(Rebate_Industry!Y$102&lt;=0,1,Rebate_Industry!Z$102/Rebate_Industry!Y$102)^$F108*(IF(Y91&lt;=0,1,Z91/Y91)^$G108/(1+$H108+$I108))^(1+$F108)</f>
        <v>0</v>
      </c>
      <c r="AA118" s="24">
        <f>Z118*(1+AA$99)^($E108*AA$100)*(1+AA$101)*IF(Rebate_Industry!Z$102&lt;=0,1,Rebate_Industry!AA$102/Rebate_Industry!Z$102)^$F108*(IF(Z91&lt;=0,1,AA91/Z91)^$G108/(1+$H108+$I108))^(1+$F108)</f>
        <v>0</v>
      </c>
      <c r="AB118" s="24">
        <f>AA118*(1+AB$99)^($E108*AB$100)*(1+AB$101)*IF(Rebate_Industry!AA$102&lt;=0,1,Rebate_Industry!AB$102/Rebate_Industry!AA$102)^$F108*(IF(AA91&lt;=0,1,AB91/AA91)^$G108/(1+$H108+$I108))^(1+$F108)</f>
        <v>0</v>
      </c>
      <c r="AC118" s="24">
        <f>AB118*(1+AC$99)^($E108*AC$100)*(1+AC$101)*IF(Rebate_Industry!AB$102&lt;=0,1,Rebate_Industry!AC$102/Rebate_Industry!AB$102)^$F108*(IF(AB91&lt;=0,1,AC91/AB91)^$G108/(1+$H108+$I108))^(1+$F108)</f>
        <v>0</v>
      </c>
      <c r="AD118" s="24">
        <f>AC118*(1+AD$99)^($E108*AD$100)*(1+AD$101)*IF(Rebate_Industry!AC$102&lt;=0,1,Rebate_Industry!AD$102/Rebate_Industry!AC$102)^$F108*(IF(AC91&lt;=0,1,AD91/AC91)^$G108/(1+$H108+$I108))^(1+$F108)</f>
        <v>0</v>
      </c>
      <c r="AE118" s="24">
        <f>AD118*(1+AE$99)^($E108*AE$100)*(1+AE$101)*IF(Rebate_Industry!AD$102&lt;=0,1,Rebate_Industry!AE$102/Rebate_Industry!AD$102)^$F108*(IF(AD91&lt;=0,1,AE91/AD91)^$G108/(1+$H108+$I108))^(1+$F108)</f>
        <v>0</v>
      </c>
    </row>
    <row r="119" spans="1:35" x14ac:dyDescent="0.45">
      <c r="B119" s="14" t="s">
        <v>62</v>
      </c>
      <c r="C119" s="14" t="str">
        <f t="shared" si="10"/>
        <v>cem</v>
      </c>
      <c r="D119" s="15" t="s">
        <v>63</v>
      </c>
      <c r="E119" s="16" t="s">
        <v>108</v>
      </c>
      <c r="F119" s="14" t="s">
        <v>109</v>
      </c>
      <c r="G119" s="17" t="str">
        <f>Settings!$B$3&amp;".mit.enc."&amp;$B119</f>
        <v>egy.mit.enc.ker</v>
      </c>
      <c r="H119" s="45" t="str">
        <f>Settings!$B$3&amp;".mit.ener."&amp;$C$65&amp;"."&amp;$B119&amp;".e."&amp;$J$65</f>
        <v>egy.mit.ener.cem.ker.e.1</v>
      </c>
      <c r="I119" t="s">
        <v>2270</v>
      </c>
      <c r="L119" s="47">
        <f>INDEX(Data_Energy!$D$3:$U$22,MATCH($B119,Data_Energy!$C$3:$C$22,0),MATCH($C119,Data_Energy!$D$2:$U$2,0))</f>
        <v>0</v>
      </c>
      <c r="M119" s="24">
        <f>L119*(1+M$99)^($E109*M$100)*(1+M$101)*IF(Rebate_Industry!L$103&lt;=0,1,Rebate_Industry!M$103/Rebate_Industry!L$103)^$F109*(IF(L92&lt;=0,1,M92/L92)^$G109/(1+$H109+$I109))^(1+$F109)</f>
        <v>0</v>
      </c>
      <c r="N119" s="24">
        <f>M119*(1+N$99)^($E109*N$100)*(1+N$101)*IF(Rebate_Industry!M$103&lt;=0,1,Rebate_Industry!N$103/Rebate_Industry!M$103)^$F109*(IF(M92&lt;=0,1,N92/M92)^$G109/(1+$H109+$I109))^(1+$F109)</f>
        <v>0</v>
      </c>
      <c r="O119" s="24">
        <f>N119*(1+O$99)^($E109*O$100)*(1+O$101)*IF(Rebate_Industry!N$103&lt;=0,1,Rebate_Industry!O$103/Rebate_Industry!N$103)^$F109*(IF(N92&lt;=0,1,O92/N92)^$G109/(1+$H109+$I109))^(1+$F109)</f>
        <v>0</v>
      </c>
      <c r="P119" s="24">
        <f>O119*(1+P$99)^($E109*P$100)*(1+P$101)*IF(Rebate_Industry!O$103&lt;=0,1,Rebate_Industry!P$103/Rebate_Industry!O$103)^$F109*(IF(O92&lt;=0,1,P92/O92)^$G109/(1+$H109+$I109))^(1+$F109)</f>
        <v>0</v>
      </c>
      <c r="Q119" s="24">
        <f>P119*(1+Q$99)^($E109*Q$100)*(1+Q$101)*IF(Rebate_Industry!P$103&lt;=0,1,Rebate_Industry!Q$103/Rebate_Industry!P$103)^$F109*(IF(P92&lt;=0,1,Q92/P92)^$G109/(1+$H109+$I109))^(1+$F109)</f>
        <v>0</v>
      </c>
      <c r="R119" s="24">
        <f>Q119*(1+R$99)^($E109*R$100)*(1+R$101)*IF(Rebate_Industry!Q$103&lt;=0,1,Rebate_Industry!R$103/Rebate_Industry!Q$103)^$F109*(IF(Q92&lt;=0,1,R92/Q92)^$G109/(1+$H109+$I109))^(1+$F109)</f>
        <v>0</v>
      </c>
      <c r="S119" s="24">
        <f>R119*(1+S$99)^($E109*S$100)*(1+S$101)*IF(Rebate_Industry!R$103&lt;=0,1,Rebate_Industry!S$103/Rebate_Industry!R$103)^$F109*(IF(R92&lt;=0,1,S92/R92)^$G109/(1+$H109+$I109))^(1+$F109)</f>
        <v>0</v>
      </c>
      <c r="T119" s="24">
        <f>S119*(1+T$99)^($E109*T$100)*(1+T$101)*IF(Rebate_Industry!S$103&lt;=0,1,Rebate_Industry!T$103/Rebate_Industry!S$103)^$F109*(IF(S92&lt;=0,1,T92/S92)^$G109/(1+$H109+$I109))^(1+$F109)</f>
        <v>0</v>
      </c>
      <c r="U119" s="24">
        <f>T119*(1+U$99)^($E109*U$100)*(1+U$101)*IF(Rebate_Industry!T$103&lt;=0,1,Rebate_Industry!U$103/Rebate_Industry!T$103)^$F109*(IF(T92&lt;=0,1,U92/T92)^$G109/(1+$H109+$I109))^(1+$F109)</f>
        <v>0</v>
      </c>
      <c r="V119" s="24">
        <f>U119*(1+V$99)^($E109*V$100)*(1+V$101)*IF(Rebate_Industry!U$103&lt;=0,1,Rebate_Industry!V$103/Rebate_Industry!U$103)^$F109*(IF(U92&lt;=0,1,V92/U92)^$G109/(1+$H109+$I109))^(1+$F109)</f>
        <v>0</v>
      </c>
      <c r="W119" s="24">
        <f>V119*(1+W$99)^($E109*W$100)*(1+W$101)*IF(Rebate_Industry!V$103&lt;=0,1,Rebate_Industry!W$103/Rebate_Industry!V$103)^$F109*(IF(V92&lt;=0,1,W92/V92)^$G109/(1+$H109+$I109))^(1+$F109)</f>
        <v>0</v>
      </c>
      <c r="X119" s="24">
        <f>W119*(1+X$99)^($E109*X$100)*(1+X$101)*IF(Rebate_Industry!W$103&lt;=0,1,Rebate_Industry!X$103/Rebate_Industry!W$103)^$F109*(IF(W92&lt;=0,1,X92/W92)^$G109/(1+$H109+$I109))^(1+$F109)</f>
        <v>0</v>
      </c>
      <c r="Y119" s="24">
        <f>X119*(1+Y$99)^($E109*Y$100)*(1+Y$101)*IF(Rebate_Industry!X$103&lt;=0,1,Rebate_Industry!Y$103/Rebate_Industry!X$103)^$F109*(IF(X92&lt;=0,1,Y92/X92)^$G109/(1+$H109+$I109))^(1+$F109)</f>
        <v>0</v>
      </c>
      <c r="Z119" s="24">
        <f>Y119*(1+Z$99)^($E109*Z$100)*(1+Z$101)*IF(Rebate_Industry!Y$103&lt;=0,1,Rebate_Industry!Z$103/Rebate_Industry!Y$103)^$F109*(IF(Y92&lt;=0,1,Z92/Y92)^$G109/(1+$H109+$I109))^(1+$F109)</f>
        <v>0</v>
      </c>
      <c r="AA119" s="24">
        <f>Z119*(1+AA$99)^($E109*AA$100)*(1+AA$101)*IF(Rebate_Industry!Z$103&lt;=0,1,Rebate_Industry!AA$103/Rebate_Industry!Z$103)^$F109*(IF(Z92&lt;=0,1,AA92/Z92)^$G109/(1+$H109+$I109))^(1+$F109)</f>
        <v>0</v>
      </c>
      <c r="AB119" s="24">
        <f>AA119*(1+AB$99)^($E109*AB$100)*(1+AB$101)*IF(Rebate_Industry!AA$103&lt;=0,1,Rebate_Industry!AB$103/Rebate_Industry!AA$103)^$F109*(IF(AA92&lt;=0,1,AB92/AA92)^$G109/(1+$H109+$I109))^(1+$F109)</f>
        <v>0</v>
      </c>
      <c r="AC119" s="24">
        <f>AB119*(1+AC$99)^($E109*AC$100)*(1+AC$101)*IF(Rebate_Industry!AB$103&lt;=0,1,Rebate_Industry!AC$103/Rebate_Industry!AB$103)^$F109*(IF(AB92&lt;=0,1,AC92/AB92)^$G109/(1+$H109+$I109))^(1+$F109)</f>
        <v>0</v>
      </c>
      <c r="AD119" s="24">
        <f>AC119*(1+AD$99)^($E109*AD$100)*(1+AD$101)*IF(Rebate_Industry!AC$103&lt;=0,1,Rebate_Industry!AD$103/Rebate_Industry!AC$103)^$F109*(IF(AC92&lt;=0,1,AD92/AC92)^$G109/(1+$H109+$I109))^(1+$F109)</f>
        <v>0</v>
      </c>
      <c r="AE119" s="24">
        <f>AD119*(1+AE$99)^($E109*AE$100)*(1+AE$101)*IF(Rebate_Industry!AD$103&lt;=0,1,Rebate_Industry!AE$103/Rebate_Industry!AD$103)^$F109*(IF(AD92&lt;=0,1,AE92/AD92)^$G109/(1+$H109+$I109))^(1+$F109)</f>
        <v>0</v>
      </c>
    </row>
    <row r="120" spans="1:35" x14ac:dyDescent="0.45">
      <c r="B120" s="14" t="s">
        <v>64</v>
      </c>
      <c r="C120" s="14" t="str">
        <f t="shared" si="10"/>
        <v>cem</v>
      </c>
      <c r="D120" s="15" t="s">
        <v>65</v>
      </c>
      <c r="E120" s="16" t="s">
        <v>108</v>
      </c>
      <c r="F120" s="14" t="s">
        <v>109</v>
      </c>
      <c r="G120" s="17" t="str">
        <f>Settings!$B$3&amp;".mit.enc."&amp;$B120</f>
        <v>egy.mit.enc.oop</v>
      </c>
      <c r="H120" s="45" t="str">
        <f>Settings!$B$3&amp;".mit.ener."&amp;$C$65&amp;"."&amp;$B120&amp;".e."&amp;$J$65</f>
        <v>egy.mit.ener.cem.oop.e.1</v>
      </c>
      <c r="I120" t="s">
        <v>2271</v>
      </c>
      <c r="L120" s="47">
        <f>INDEX(Data_Energy!$D$3:$U$22,MATCH($B120,Data_Energy!$C$3:$C$22,0),MATCH($C120,Data_Energy!$D$2:$U$2,0))</f>
        <v>0</v>
      </c>
      <c r="M120" s="24">
        <f>L120*(1+M$99)^($E110*M$100)*(1+M$101)*IF(Rebate_Industry!L$104&lt;=0,1,Rebate_Industry!M$104/Rebate_Industry!L$104)^$F110*(IF(L93&lt;=0,1,M93/L93)^$G110/(1+$H110+$I110))^(1+$F110)</f>
        <v>0</v>
      </c>
      <c r="N120" s="24">
        <f>M120*(1+N$99)^($E110*N$100)*(1+N$101)*IF(Rebate_Industry!M$104&lt;=0,1,Rebate_Industry!N$104/Rebate_Industry!M$104)^$F110*(IF(M93&lt;=0,1,N93/M93)^$G110/(1+$H110+$I110))^(1+$F110)</f>
        <v>0</v>
      </c>
      <c r="O120" s="24">
        <f>N120*(1+O$99)^($E110*O$100)*(1+O$101)*IF(Rebate_Industry!N$104&lt;=0,1,Rebate_Industry!O$104/Rebate_Industry!N$104)^$F110*(IF(N93&lt;=0,1,O93/N93)^$G110/(1+$H110+$I110))^(1+$F110)</f>
        <v>0</v>
      </c>
      <c r="P120" s="24">
        <f>O120*(1+P$99)^($E110*P$100)*(1+P$101)*IF(Rebate_Industry!O$104&lt;=0,1,Rebate_Industry!P$104/Rebate_Industry!O$104)^$F110*(IF(O93&lt;=0,1,P93/O93)^$G110/(1+$H110+$I110))^(1+$F110)</f>
        <v>0</v>
      </c>
      <c r="Q120" s="24">
        <f>P120*(1+Q$99)^($E110*Q$100)*(1+Q$101)*IF(Rebate_Industry!P$104&lt;=0,1,Rebate_Industry!Q$104/Rebate_Industry!P$104)^$F110*(IF(P93&lt;=0,1,Q93/P93)^$G110/(1+$H110+$I110))^(1+$F110)</f>
        <v>0</v>
      </c>
      <c r="R120" s="24">
        <f>Q120*(1+R$99)^($E110*R$100)*(1+R$101)*IF(Rebate_Industry!Q$104&lt;=0,1,Rebate_Industry!R$104/Rebate_Industry!Q$104)^$F110*(IF(Q93&lt;=0,1,R93/Q93)^$G110/(1+$H110+$I110))^(1+$F110)</f>
        <v>0</v>
      </c>
      <c r="S120" s="24">
        <f>R120*(1+S$99)^($E110*S$100)*(1+S$101)*IF(Rebate_Industry!R$104&lt;=0,1,Rebate_Industry!S$104/Rebate_Industry!R$104)^$F110*(IF(R93&lt;=0,1,S93/R93)^$G110/(1+$H110+$I110))^(1+$F110)</f>
        <v>0</v>
      </c>
      <c r="T120" s="24">
        <f>S120*(1+T$99)^($E110*T$100)*(1+T$101)*IF(Rebate_Industry!S$104&lt;=0,1,Rebate_Industry!T$104/Rebate_Industry!S$104)^$F110*(IF(S93&lt;=0,1,T93/S93)^$G110/(1+$H110+$I110))^(1+$F110)</f>
        <v>0</v>
      </c>
      <c r="U120" s="24">
        <f>T120*(1+U$99)^($E110*U$100)*(1+U$101)*IF(Rebate_Industry!T$104&lt;=0,1,Rebate_Industry!U$104/Rebate_Industry!T$104)^$F110*(IF(T93&lt;=0,1,U93/T93)^$G110/(1+$H110+$I110))^(1+$F110)</f>
        <v>0</v>
      </c>
      <c r="V120" s="24">
        <f>U120*(1+V$99)^($E110*V$100)*(1+V$101)*IF(Rebate_Industry!U$104&lt;=0,1,Rebate_Industry!V$104/Rebate_Industry!U$104)^$F110*(IF(U93&lt;=0,1,V93/U93)^$G110/(1+$H110+$I110))^(1+$F110)</f>
        <v>0</v>
      </c>
      <c r="W120" s="24">
        <f>V120*(1+W$99)^($E110*W$100)*(1+W$101)*IF(Rebate_Industry!V$104&lt;=0,1,Rebate_Industry!W$104/Rebate_Industry!V$104)^$F110*(IF(V93&lt;=0,1,W93/V93)^$G110/(1+$H110+$I110))^(1+$F110)</f>
        <v>0</v>
      </c>
      <c r="X120" s="24">
        <f>W120*(1+X$99)^($E110*X$100)*(1+X$101)*IF(Rebate_Industry!W$104&lt;=0,1,Rebate_Industry!X$104/Rebate_Industry!W$104)^$F110*(IF(W93&lt;=0,1,X93/W93)^$G110/(1+$H110+$I110))^(1+$F110)</f>
        <v>0</v>
      </c>
      <c r="Y120" s="24">
        <f>X120*(1+Y$99)^($E110*Y$100)*(1+Y$101)*IF(Rebate_Industry!X$104&lt;=0,1,Rebate_Industry!Y$104/Rebate_Industry!X$104)^$F110*(IF(X93&lt;=0,1,Y93/X93)^$G110/(1+$H110+$I110))^(1+$F110)</f>
        <v>0</v>
      </c>
      <c r="Z120" s="24">
        <f>Y120*(1+Z$99)^($E110*Z$100)*(1+Z$101)*IF(Rebate_Industry!Y$104&lt;=0,1,Rebate_Industry!Z$104/Rebate_Industry!Y$104)^$F110*(IF(Y93&lt;=0,1,Z93/Y93)^$G110/(1+$H110+$I110))^(1+$F110)</f>
        <v>0</v>
      </c>
      <c r="AA120" s="24">
        <f>Z120*(1+AA$99)^($E110*AA$100)*(1+AA$101)*IF(Rebate_Industry!Z$104&lt;=0,1,Rebate_Industry!AA$104/Rebate_Industry!Z$104)^$F110*(IF(Z93&lt;=0,1,AA93/Z93)^$G110/(1+$H110+$I110))^(1+$F110)</f>
        <v>0</v>
      </c>
      <c r="AB120" s="24">
        <f>AA120*(1+AB$99)^($E110*AB$100)*(1+AB$101)*IF(Rebate_Industry!AA$104&lt;=0,1,Rebate_Industry!AB$104/Rebate_Industry!AA$104)^$F110*(IF(AA93&lt;=0,1,AB93/AA93)^$G110/(1+$H110+$I110))^(1+$F110)</f>
        <v>0</v>
      </c>
      <c r="AC120" s="24">
        <f>AB120*(1+AC$99)^($E110*AC$100)*(1+AC$101)*IF(Rebate_Industry!AB$104&lt;=0,1,Rebate_Industry!AC$104/Rebate_Industry!AB$104)^$F110*(IF(AB93&lt;=0,1,AC93/AB93)^$G110/(1+$H110+$I110))^(1+$F110)</f>
        <v>0</v>
      </c>
      <c r="AD120" s="24">
        <f>AC120*(1+AD$99)^($E110*AD$100)*(1+AD$101)*IF(Rebate_Industry!AC$104&lt;=0,1,Rebate_Industry!AD$104/Rebate_Industry!AC$104)^$F110*(IF(AC93&lt;=0,1,AD93/AC93)^$G110/(1+$H110+$I110))^(1+$F110)</f>
        <v>0</v>
      </c>
      <c r="AE120" s="24">
        <f>AD120*(1+AE$99)^($E110*AE$100)*(1+AE$101)*IF(Rebate_Industry!AD$104&lt;=0,1,Rebate_Industry!AE$104/Rebate_Industry!AD$104)^$F110*(IF(AD93&lt;=0,1,AE93/AD93)^$G110/(1+$H110+$I110))^(1+$F110)</f>
        <v>0</v>
      </c>
    </row>
    <row r="121" spans="1:35" x14ac:dyDescent="0.45">
      <c r="B121" s="14" t="s">
        <v>67</v>
      </c>
      <c r="C121" s="14" t="str">
        <f t="shared" si="10"/>
        <v>cem</v>
      </c>
      <c r="D121" s="15" t="s">
        <v>68</v>
      </c>
      <c r="E121" s="16" t="s">
        <v>108</v>
      </c>
      <c r="F121" s="14" t="s">
        <v>109</v>
      </c>
      <c r="G121" s="17" t="str">
        <f>Settings!$B$3&amp;".mit.enc."&amp;$B121</f>
        <v>egy.mit.enc.bio</v>
      </c>
      <c r="H121" s="45" t="str">
        <f>Settings!$B$3&amp;".mit.ener."&amp;$C$65&amp;"."&amp;$B121&amp;".e."&amp;$J$65</f>
        <v>egy.mit.ener.cem.bio.e.1</v>
      </c>
      <c r="I121" t="s">
        <v>2272</v>
      </c>
      <c r="L121" s="47">
        <f>INDEX(Data_Energy!$D$3:$U$22,MATCH($B121,Data_Energy!$C$3:$C$22,0),MATCH($C121,Data_Energy!$D$2:$U$2,0))</f>
        <v>0</v>
      </c>
      <c r="M121" s="24">
        <f>L121*(1+M$99)^($E111*M$100)*(1+M$101)*IF(Rebate_Industry!L$105&lt;=0,1,Rebate_Industry!M$105/Rebate_Industry!L$105)^$F111*(IF(L94&lt;=0,1,M94/L94)^$G111/(1+$H111+$I111))^(1+$F111)</f>
        <v>0</v>
      </c>
      <c r="N121" s="24">
        <f>M121*(1+N$99)^($E111*N$100)*(1+N$101)*IF(Rebate_Industry!M$105&lt;=0,1,Rebate_Industry!N$105/Rebate_Industry!M$105)^$F111*(IF(M94&lt;=0,1,N94/M94)^$G111/(1+$H111+$I111))^(1+$F111)</f>
        <v>0</v>
      </c>
      <c r="O121" s="24">
        <f>N121*(1+O$99)^($E111*O$100)*(1+O$101)*IF(Rebate_Industry!N$105&lt;=0,1,Rebate_Industry!O$105/Rebate_Industry!N$105)^$F111*(IF(N94&lt;=0,1,O94/N94)^$G111/(1+$H111+$I111))^(1+$F111)</f>
        <v>0</v>
      </c>
      <c r="P121" s="24">
        <f>O121*(1+P$99)^($E111*P$100)*(1+P$101)*IF(Rebate_Industry!O$105&lt;=0,1,Rebate_Industry!P$105/Rebate_Industry!O$105)^$F111*(IF(O94&lt;=0,1,P94/O94)^$G111/(1+$H111+$I111))^(1+$F111)</f>
        <v>0</v>
      </c>
      <c r="Q121" s="24">
        <f>P121*(1+Q$99)^($E111*Q$100)*(1+Q$101)*IF(Rebate_Industry!P$105&lt;=0,1,Rebate_Industry!Q$105/Rebate_Industry!P$105)^$F111*(IF(P94&lt;=0,1,Q94/P94)^$G111/(1+$H111+$I111))^(1+$F111)</f>
        <v>0</v>
      </c>
      <c r="R121" s="24">
        <f>Q121*(1+R$99)^($E111*R$100)*(1+R$101)*IF(Rebate_Industry!Q$105&lt;=0,1,Rebate_Industry!R$105/Rebate_Industry!Q$105)^$F111*(IF(Q94&lt;=0,1,R94/Q94)^$G111/(1+$H111+$I111))^(1+$F111)</f>
        <v>0</v>
      </c>
      <c r="S121" s="24">
        <f>R121*(1+S$99)^($E111*S$100)*(1+S$101)*IF(Rebate_Industry!R$105&lt;=0,1,Rebate_Industry!S$105/Rebate_Industry!R$105)^$F111*(IF(R94&lt;=0,1,S94/R94)^$G111/(1+$H111+$I111))^(1+$F111)</f>
        <v>0</v>
      </c>
      <c r="T121" s="24">
        <f>S121*(1+T$99)^($E111*T$100)*(1+T$101)*IF(Rebate_Industry!S$105&lt;=0,1,Rebate_Industry!T$105/Rebate_Industry!S$105)^$F111*(IF(S94&lt;=0,1,T94/S94)^$G111/(1+$H111+$I111))^(1+$F111)</f>
        <v>0</v>
      </c>
      <c r="U121" s="24">
        <f>T121*(1+U$99)^($E111*U$100)*(1+U$101)*IF(Rebate_Industry!T$105&lt;=0,1,Rebate_Industry!U$105/Rebate_Industry!T$105)^$F111*(IF(T94&lt;=0,1,U94/T94)^$G111/(1+$H111+$I111))^(1+$F111)</f>
        <v>0</v>
      </c>
      <c r="V121" s="24">
        <f>U121*(1+V$99)^($E111*V$100)*(1+V$101)*IF(Rebate_Industry!U$105&lt;=0,1,Rebate_Industry!V$105/Rebate_Industry!U$105)^$F111*(IF(U94&lt;=0,1,V94/U94)^$G111/(1+$H111+$I111))^(1+$F111)</f>
        <v>0</v>
      </c>
      <c r="W121" s="24">
        <f>V121*(1+W$99)^($E111*W$100)*(1+W$101)*IF(Rebate_Industry!V$105&lt;=0,1,Rebate_Industry!W$105/Rebate_Industry!V$105)^$F111*(IF(V94&lt;=0,1,W94/V94)^$G111/(1+$H111+$I111))^(1+$F111)</f>
        <v>0</v>
      </c>
      <c r="X121" s="24">
        <f>W121*(1+X$99)^($E111*X$100)*(1+X$101)*IF(Rebate_Industry!W$105&lt;=0,1,Rebate_Industry!X$105/Rebate_Industry!W$105)^$F111*(IF(W94&lt;=0,1,X94/W94)^$G111/(1+$H111+$I111))^(1+$F111)</f>
        <v>0</v>
      </c>
      <c r="Y121" s="24">
        <f>X121*(1+Y$99)^($E111*Y$100)*(1+Y$101)*IF(Rebate_Industry!X$105&lt;=0,1,Rebate_Industry!Y$105/Rebate_Industry!X$105)^$F111*(IF(X94&lt;=0,1,Y94/X94)^$G111/(1+$H111+$I111))^(1+$F111)</f>
        <v>0</v>
      </c>
      <c r="Z121" s="24">
        <f>Y121*(1+Z$99)^($E111*Z$100)*(1+Z$101)*IF(Rebate_Industry!Y$105&lt;=0,1,Rebate_Industry!Z$105/Rebate_Industry!Y$105)^$F111*(IF(Y94&lt;=0,1,Z94/Y94)^$G111/(1+$H111+$I111))^(1+$F111)</f>
        <v>0</v>
      </c>
      <c r="AA121" s="24">
        <f>Z121*(1+AA$99)^($E111*AA$100)*(1+AA$101)*IF(Rebate_Industry!Z$105&lt;=0,1,Rebate_Industry!AA$105/Rebate_Industry!Z$105)^$F111*(IF(Z94&lt;=0,1,AA94/Z94)^$G111/(1+$H111+$I111))^(1+$F111)</f>
        <v>0</v>
      </c>
      <c r="AB121" s="24">
        <f>AA121*(1+AB$99)^($E111*AB$100)*(1+AB$101)*IF(Rebate_Industry!AA$105&lt;=0,1,Rebate_Industry!AB$105/Rebate_Industry!AA$105)^$F111*(IF(AA94&lt;=0,1,AB94/AA94)^$G111/(1+$H111+$I111))^(1+$F111)</f>
        <v>0</v>
      </c>
      <c r="AC121" s="24">
        <f>AB121*(1+AC$99)^($E111*AC$100)*(1+AC$101)*IF(Rebate_Industry!AB$105&lt;=0,1,Rebate_Industry!AC$105/Rebate_Industry!AB$105)^$F111*(IF(AB94&lt;=0,1,AC94/AB94)^$G111/(1+$H111+$I111))^(1+$F111)</f>
        <v>0</v>
      </c>
      <c r="AD121" s="24">
        <f>AC121*(1+AD$99)^($E111*AD$100)*(1+AD$101)*IF(Rebate_Industry!AC$105&lt;=0,1,Rebate_Industry!AD$105/Rebate_Industry!AC$105)^$F111*(IF(AC94&lt;=0,1,AD94/AC94)^$G111/(1+$H111+$I111))^(1+$F111)</f>
        <v>0</v>
      </c>
      <c r="AE121" s="24">
        <f>AD121*(1+AE$99)^($E111*AE$100)*(1+AE$101)*IF(Rebate_Industry!AD$105&lt;=0,1,Rebate_Industry!AE$105/Rebate_Industry!AD$105)^$F111*(IF(AD94&lt;=0,1,AE94/AD94)^$G111/(1+$H111+$I111))^(1+$F111)</f>
        <v>0</v>
      </c>
    </row>
    <row r="122" spans="1:35" x14ac:dyDescent="0.45">
      <c r="B122" s="14" t="s">
        <v>69</v>
      </c>
      <c r="C122" s="14" t="str">
        <f t="shared" si="10"/>
        <v>cem</v>
      </c>
      <c r="D122" s="15" t="s">
        <v>70</v>
      </c>
      <c r="E122" s="16" t="s">
        <v>108</v>
      </c>
      <c r="F122" s="14" t="s">
        <v>109</v>
      </c>
      <c r="G122" s="17" t="str">
        <f>Settings!$B$3&amp;".mit.enc."&amp;$B122</f>
        <v>egy.mit.enc.ren</v>
      </c>
      <c r="H122" s="45" t="str">
        <f>Settings!$B$3&amp;".mit.ener."&amp;$C$65&amp;"."&amp;$B122&amp;".e."&amp;$J$65</f>
        <v>egy.mit.ener.cem.ren.e.1</v>
      </c>
      <c r="I122" t="s">
        <v>2273</v>
      </c>
      <c r="L122" s="47">
        <f>INDEX(Data_Energy!$D$3:$U$22,MATCH($B122,Data_Energy!$C$3:$C$22,0),MATCH($C122,Data_Energy!$D$2:$U$2,0))</f>
        <v>0</v>
      </c>
      <c r="M122" s="24">
        <f>L122*(1+M$99)^($E112*M$100)*(1+M$101)*IF(Rebate_Industry!L$106&lt;=0,1,Rebate_Industry!M$106/Rebate_Industry!L$106)^$F112*(IF(L95&lt;=0,1,M95/L95)^$G112/(1+$H112+$I112))^(1+$F112)</f>
        <v>0</v>
      </c>
      <c r="N122" s="24">
        <f>M122*(1+N$99)^($E112*N$100)*(1+N$101)*IF(Rebate_Industry!M$106&lt;=0,1,Rebate_Industry!N$106/Rebate_Industry!M$106)^$F112*(IF(M95&lt;=0,1,N95/M95)^$G112/(1+$H112+$I112))^(1+$F112)</f>
        <v>0</v>
      </c>
      <c r="O122" s="24">
        <f>N122*(1+O$99)^($E112*O$100)*(1+O$101)*IF(Rebate_Industry!N$106&lt;=0,1,Rebate_Industry!O$106/Rebate_Industry!N$106)^$F112*(IF(N95&lt;=0,1,O95/N95)^$G112/(1+$H112+$I112))^(1+$F112)</f>
        <v>0</v>
      </c>
      <c r="P122" s="24">
        <f>O122*(1+P$99)^($E112*P$100)*(1+P$101)*IF(Rebate_Industry!O$106&lt;=0,1,Rebate_Industry!P$106/Rebate_Industry!O$106)^$F112*(IF(O95&lt;=0,1,P95/O95)^$G112/(1+$H112+$I112))^(1+$F112)</f>
        <v>0</v>
      </c>
      <c r="Q122" s="24">
        <f>P122*(1+Q$99)^($E112*Q$100)*(1+Q$101)*IF(Rebate_Industry!P$106&lt;=0,1,Rebate_Industry!Q$106/Rebate_Industry!P$106)^$F112*(IF(P95&lt;=0,1,Q95/P95)^$G112/(1+$H112+$I112))^(1+$F112)</f>
        <v>0</v>
      </c>
      <c r="R122" s="24">
        <f>Q122*(1+R$99)^($E112*R$100)*(1+R$101)*IF(Rebate_Industry!Q$106&lt;=0,1,Rebate_Industry!R$106/Rebate_Industry!Q$106)^$F112*(IF(Q95&lt;=0,1,R95/Q95)^$G112/(1+$H112+$I112))^(1+$F112)</f>
        <v>0</v>
      </c>
      <c r="S122" s="24">
        <f>R122*(1+S$99)^($E112*S$100)*(1+S$101)*IF(Rebate_Industry!R$106&lt;=0,1,Rebate_Industry!S$106/Rebate_Industry!R$106)^$F112*(IF(R95&lt;=0,1,S95/R95)^$G112/(1+$H112+$I112))^(1+$F112)</f>
        <v>0</v>
      </c>
      <c r="T122" s="24">
        <f>S122*(1+T$99)^($E112*T$100)*(1+T$101)*IF(Rebate_Industry!S$106&lt;=0,1,Rebate_Industry!T$106/Rebate_Industry!S$106)^$F112*(IF(S95&lt;=0,1,T95/S95)^$G112/(1+$H112+$I112))^(1+$F112)</f>
        <v>0</v>
      </c>
      <c r="U122" s="24">
        <f>T122*(1+U$99)^($E112*U$100)*(1+U$101)*IF(Rebate_Industry!T$106&lt;=0,1,Rebate_Industry!U$106/Rebate_Industry!T$106)^$F112*(IF(T95&lt;=0,1,U95/T95)^$G112/(1+$H112+$I112))^(1+$F112)</f>
        <v>0</v>
      </c>
      <c r="V122" s="24">
        <f>U122*(1+V$99)^($E112*V$100)*(1+V$101)*IF(Rebate_Industry!U$106&lt;=0,1,Rebate_Industry!V$106/Rebate_Industry!U$106)^$F112*(IF(U95&lt;=0,1,V95/U95)^$G112/(1+$H112+$I112))^(1+$F112)</f>
        <v>0</v>
      </c>
      <c r="W122" s="24">
        <f>V122*(1+W$99)^($E112*W$100)*(1+W$101)*IF(Rebate_Industry!V$106&lt;=0,1,Rebate_Industry!W$106/Rebate_Industry!V$106)^$F112*(IF(V95&lt;=0,1,W95/V95)^$G112/(1+$H112+$I112))^(1+$F112)</f>
        <v>0</v>
      </c>
      <c r="X122" s="24">
        <f>W122*(1+X$99)^($E112*X$100)*(1+X$101)*IF(Rebate_Industry!W$106&lt;=0,1,Rebate_Industry!X$106/Rebate_Industry!W$106)^$F112*(IF(W95&lt;=0,1,X95/W95)^$G112/(1+$H112+$I112))^(1+$F112)</f>
        <v>0</v>
      </c>
      <c r="Y122" s="24">
        <f>X122*(1+Y$99)^($E112*Y$100)*(1+Y$101)*IF(Rebate_Industry!X$106&lt;=0,1,Rebate_Industry!Y$106/Rebate_Industry!X$106)^$F112*(IF(X95&lt;=0,1,Y95/X95)^$G112/(1+$H112+$I112))^(1+$F112)</f>
        <v>0</v>
      </c>
      <c r="Z122" s="24">
        <f>Y122*(1+Z$99)^($E112*Z$100)*(1+Z$101)*IF(Rebate_Industry!Y$106&lt;=0,1,Rebate_Industry!Z$106/Rebate_Industry!Y$106)^$F112*(IF(Y95&lt;=0,1,Z95/Y95)^$G112/(1+$H112+$I112))^(1+$F112)</f>
        <v>0</v>
      </c>
      <c r="AA122" s="24">
        <f>Z122*(1+AA$99)^($E112*AA$100)*(1+AA$101)*IF(Rebate_Industry!Z$106&lt;=0,1,Rebate_Industry!AA$106/Rebate_Industry!Z$106)^$F112*(IF(Z95&lt;=0,1,AA95/Z95)^$G112/(1+$H112+$I112))^(1+$F112)</f>
        <v>0</v>
      </c>
      <c r="AB122" s="24">
        <f>AA122*(1+AB$99)^($E112*AB$100)*(1+AB$101)*IF(Rebate_Industry!AA$106&lt;=0,1,Rebate_Industry!AB$106/Rebate_Industry!AA$106)^$F112*(IF(AA95&lt;=0,1,AB95/AA95)^$G112/(1+$H112+$I112))^(1+$F112)</f>
        <v>0</v>
      </c>
      <c r="AC122" s="24">
        <f>AB122*(1+AC$99)^($E112*AC$100)*(1+AC$101)*IF(Rebate_Industry!AB$106&lt;=0,1,Rebate_Industry!AC$106/Rebate_Industry!AB$106)^$F112*(IF(AB95&lt;=0,1,AC95/AB95)^$G112/(1+$H112+$I112))^(1+$F112)</f>
        <v>0</v>
      </c>
      <c r="AD122" s="24">
        <f>AC122*(1+AD$99)^($E112*AD$100)*(1+AD$101)*IF(Rebate_Industry!AC$106&lt;=0,1,Rebate_Industry!AD$106/Rebate_Industry!AC$106)^$F112*(IF(AC95&lt;=0,1,AD95/AC95)^$G112/(1+$H112+$I112))^(1+$F112)</f>
        <v>0</v>
      </c>
      <c r="AE122" s="24">
        <f>AD122*(1+AE$99)^($E112*AE$100)*(1+AE$101)*IF(Rebate_Industry!AD$106&lt;=0,1,Rebate_Industry!AE$106/Rebate_Industry!AD$106)^$F112*(IF(AD95&lt;=0,1,AE95/AD95)^$G112/(1+$H112+$I112))^(1+$F112)</f>
        <v>0</v>
      </c>
    </row>
    <row r="123" spans="1:35" x14ac:dyDescent="0.45">
      <c r="B123" s="14" t="s">
        <v>110</v>
      </c>
      <c r="C123" s="14" t="str">
        <f t="shared" si="10"/>
        <v>cem</v>
      </c>
      <c r="D123" s="25" t="s">
        <v>111</v>
      </c>
      <c r="E123" s="16" t="s">
        <v>108</v>
      </c>
      <c r="F123" s="14" t="s">
        <v>109</v>
      </c>
      <c r="H123" s="45" t="str">
        <f>Settings!$B$3&amp;".mit.ener."&amp;$C$65&amp;".tot.e."&amp;$J$65</f>
        <v>egy.mit.ener.cem.tot.e.1</v>
      </c>
      <c r="L123" s="26">
        <f t="shared" ref="L123:AE123" si="11">SUM(L114:L122)</f>
        <v>3210.4467592248702</v>
      </c>
      <c r="M123" s="26">
        <f t="shared" si="11"/>
        <v>2690.3404093921163</v>
      </c>
      <c r="N123" s="26">
        <f t="shared" si="11"/>
        <v>3047.5360888007326</v>
      </c>
      <c r="O123" s="26">
        <f t="shared" si="11"/>
        <v>3240.6928223889822</v>
      </c>
      <c r="P123" s="26">
        <f t="shared" si="11"/>
        <v>3273.2119677539522</v>
      </c>
      <c r="Q123" s="26">
        <f t="shared" si="11"/>
        <v>3368.2133423743344</v>
      </c>
      <c r="R123" s="26">
        <f t="shared" si="11"/>
        <v>3502.9215016591916</v>
      </c>
      <c r="S123" s="26">
        <f t="shared" si="11"/>
        <v>3633.9883116592123</v>
      </c>
      <c r="T123" s="26">
        <f t="shared" si="11"/>
        <v>3758.7368588981471</v>
      </c>
      <c r="U123" s="26">
        <f t="shared" si="11"/>
        <v>3885.4504831789814</v>
      </c>
      <c r="V123" s="26">
        <f t="shared" si="11"/>
        <v>4007.0693968852165</v>
      </c>
      <c r="W123" s="26">
        <f t="shared" si="11"/>
        <v>4130.9635900529229</v>
      </c>
      <c r="X123" s="26">
        <f t="shared" si="11"/>
        <v>4257.1228099657064</v>
      </c>
      <c r="Y123" s="26">
        <f t="shared" si="11"/>
        <v>4385.5352137797545</v>
      </c>
      <c r="Z123" s="26">
        <f t="shared" si="11"/>
        <v>4516.1873328951651</v>
      </c>
      <c r="AA123" s="26">
        <f t="shared" si="11"/>
        <v>4649.0640328646023</v>
      </c>
      <c r="AB123" s="26">
        <f t="shared" si="11"/>
        <v>4784.148468612525</v>
      </c>
      <c r="AC123" s="26">
        <f t="shared" si="11"/>
        <v>4921.422034746156</v>
      </c>
      <c r="AD123" s="26">
        <f t="shared" si="11"/>
        <v>5060.864310747279</v>
      </c>
      <c r="AE123" s="26">
        <f t="shared" si="11"/>
        <v>5202.4530008412194</v>
      </c>
    </row>
    <row r="125" spans="1:35" x14ac:dyDescent="0.45">
      <c r="A125" s="11"/>
      <c r="B125" s="6" t="s">
        <v>114</v>
      </c>
      <c r="C125" s="7" t="s">
        <v>115</v>
      </c>
      <c r="D125" s="6" t="s">
        <v>44</v>
      </c>
      <c r="E125" s="7" t="s">
        <v>35</v>
      </c>
      <c r="F125" s="7" t="s">
        <v>45</v>
      </c>
      <c r="G125" s="7" t="s">
        <v>46</v>
      </c>
      <c r="H125" s="12" t="s">
        <v>38</v>
      </c>
      <c r="I125" s="6" t="s">
        <v>47</v>
      </c>
      <c r="J125" s="48">
        <v>1</v>
      </c>
      <c r="K125" s="6">
        <v>2021</v>
      </c>
      <c r="L125" s="46">
        <v>2022</v>
      </c>
      <c r="M125" s="6">
        <v>2023</v>
      </c>
      <c r="N125" s="6">
        <v>2024</v>
      </c>
      <c r="O125" s="6">
        <v>2025</v>
      </c>
      <c r="P125" s="6">
        <v>2026</v>
      </c>
      <c r="Q125" s="6">
        <v>2027</v>
      </c>
      <c r="R125" s="6">
        <v>2028</v>
      </c>
      <c r="S125" s="6">
        <v>2029</v>
      </c>
      <c r="T125" s="6">
        <v>2030</v>
      </c>
      <c r="U125" s="6">
        <v>2031</v>
      </c>
      <c r="V125" s="6">
        <v>2032</v>
      </c>
      <c r="W125" s="6">
        <v>2033</v>
      </c>
      <c r="X125" s="6">
        <v>2034</v>
      </c>
      <c r="Y125" s="6">
        <v>2035</v>
      </c>
      <c r="Z125" s="6">
        <v>2036</v>
      </c>
      <c r="AA125" s="6">
        <v>2037</v>
      </c>
      <c r="AB125" s="6">
        <v>2038</v>
      </c>
      <c r="AC125" s="6">
        <v>2039</v>
      </c>
      <c r="AD125" s="6">
        <v>2040</v>
      </c>
      <c r="AE125" s="6">
        <v>2041</v>
      </c>
      <c r="AF125" s="6">
        <v>2042</v>
      </c>
      <c r="AG125" s="6">
        <v>2043</v>
      </c>
      <c r="AH125" s="6">
        <v>2044</v>
      </c>
      <c r="AI125" s="6">
        <v>2045</v>
      </c>
    </row>
    <row r="126" spans="1:35" x14ac:dyDescent="0.45">
      <c r="B126" s="13" t="s">
        <v>48</v>
      </c>
    </row>
    <row r="127" spans="1:35" x14ac:dyDescent="0.45">
      <c r="B127" s="14" t="s">
        <v>49</v>
      </c>
      <c r="C127" s="14" t="str">
        <f t="shared" ref="C127:C135" si="12">$C$125</f>
        <v>nfm</v>
      </c>
      <c r="D127" s="15" t="s">
        <v>50</v>
      </c>
      <c r="E127" s="16" t="s">
        <v>51</v>
      </c>
      <c r="F127" s="14" t="s">
        <v>52</v>
      </c>
      <c r="G127" s="17" t="str">
        <f>Settings!$B$3&amp;".mit.pbc."&amp;Settings!$B$4&amp;"."&amp;$B127&amp;".a."&amp;$J$125</f>
        <v>egy.mit.pbc.ind.coa.a.1</v>
      </c>
      <c r="H127" s="45" t="str">
        <f>Settings!$B$3&amp;".mit.ptp."&amp;$C$125&amp;"."&amp;$B127&amp;".e."&amp;$J$125</f>
        <v>egy.mit.ptp.nfm.coa.e.1</v>
      </c>
      <c r="K127" s="18">
        <f>INDEX(Data_Prices!K:K,MATCH($G127,Data_Prices!$A:$A,0))</f>
        <v>11.182901589243899</v>
      </c>
      <c r="L127" s="18">
        <f>INDEX(Data_Prices!L:L,MATCH($G127,Data_Prices!$A:$A,0))</f>
        <v>10.5233613454312</v>
      </c>
      <c r="M127" s="18">
        <f>INDEX(Data_Prices!M:M,MATCH($G127,Data_Prices!$A:$A,0))</f>
        <v>10.2995608274442</v>
      </c>
      <c r="N127" s="18">
        <f>INDEX(Data_Prices!N:N,MATCH($G127,Data_Prices!$A:$A,0))</f>
        <v>9.5775283595382597</v>
      </c>
      <c r="O127" s="18">
        <f>INDEX(Data_Prices!O:O,MATCH($G127,Data_Prices!$A:$A,0))</f>
        <v>8.4854782869580507</v>
      </c>
      <c r="P127" s="18">
        <f>INDEX(Data_Prices!P:P,MATCH($G127,Data_Prices!$A:$A,0))</f>
        <v>9.0871922352498604</v>
      </c>
      <c r="Q127" s="18">
        <f>INDEX(Data_Prices!Q:Q,MATCH($G127,Data_Prices!$A:$A,0))</f>
        <v>9.2229237289326793</v>
      </c>
      <c r="R127" s="18">
        <f>INDEX(Data_Prices!R:R,MATCH($G127,Data_Prices!$A:$A,0))</f>
        <v>9.1585649555096893</v>
      </c>
      <c r="S127" s="18">
        <f>INDEX(Data_Prices!S:S,MATCH($G127,Data_Prices!$A:$A,0))</f>
        <v>9.0895478773973792</v>
      </c>
      <c r="T127" s="18">
        <f>INDEX(Data_Prices!T:T,MATCH($G127,Data_Prices!$A:$A,0))</f>
        <v>9.0156816660228305</v>
      </c>
      <c r="U127" s="18">
        <f>INDEX(Data_Prices!U:U,MATCH($G127,Data_Prices!$A:$A,0))</f>
        <v>8.9443977655571096</v>
      </c>
      <c r="V127" s="18">
        <f>INDEX(Data_Prices!V:V,MATCH($G127,Data_Prices!$A:$A,0))</f>
        <v>8.9443977655571096</v>
      </c>
      <c r="W127" s="18">
        <f>INDEX(Data_Prices!W:W,MATCH($G127,Data_Prices!$A:$A,0))</f>
        <v>8.9443977655571096</v>
      </c>
      <c r="X127" s="18">
        <f>INDEX(Data_Prices!X:X,MATCH($G127,Data_Prices!$A:$A,0))</f>
        <v>8.9443977655571096</v>
      </c>
      <c r="Y127" s="18">
        <f>INDEX(Data_Prices!Y:Y,MATCH($G127,Data_Prices!$A:$A,0))</f>
        <v>8.9443977655571096</v>
      </c>
      <c r="Z127" s="18">
        <f>INDEX(Data_Prices!Z:Z,MATCH($G127,Data_Prices!$A:$A,0))</f>
        <v>8.9443977655571096</v>
      </c>
      <c r="AA127" s="18">
        <f>INDEX(Data_Prices!AA:AA,MATCH($G127,Data_Prices!$A:$A,0))</f>
        <v>8.9443977655571096</v>
      </c>
      <c r="AB127" s="18">
        <f>INDEX(Data_Prices!AB:AB,MATCH($G127,Data_Prices!$A:$A,0))</f>
        <v>8.9443977655571096</v>
      </c>
      <c r="AC127" s="18">
        <f>INDEX(Data_Prices!AC:AC,MATCH($G127,Data_Prices!$A:$A,0))</f>
        <v>8.9443977655571096</v>
      </c>
      <c r="AD127" s="18">
        <f>INDEX(Data_Prices!AD:AD,MATCH($G127,Data_Prices!$A:$A,0))</f>
        <v>8.9443977655571096</v>
      </c>
      <c r="AE127" s="18">
        <f>INDEX(Data_Prices!AE:AE,MATCH($G127,Data_Prices!$A:$A,0))</f>
        <v>8.9443977655571096</v>
      </c>
    </row>
    <row r="128" spans="1:35" x14ac:dyDescent="0.45">
      <c r="B128" s="14" t="s">
        <v>53</v>
      </c>
      <c r="C128" s="14" t="str">
        <f t="shared" si="12"/>
        <v>nfm</v>
      </c>
      <c r="D128" s="15" t="s">
        <v>54</v>
      </c>
      <c r="E128" s="16" t="s">
        <v>51</v>
      </c>
      <c r="F128" s="14" t="s">
        <v>52</v>
      </c>
      <c r="G128" s="17" t="str">
        <f>Settings!$B$3&amp;".mit.pbc."&amp;Settings!$B$4&amp;"."&amp;$B128&amp;".a."&amp;$J$125</f>
        <v>egy.mit.pbc.ind.nga.a.1</v>
      </c>
      <c r="H128" s="45" t="str">
        <f>Settings!$B$3&amp;".mit.ptp."&amp;$C$125&amp;"."&amp;$B128&amp;".e."&amp;$J$125</f>
        <v>egy.mit.ptp.nfm.nga.e.1</v>
      </c>
      <c r="K128" s="18">
        <f>INDEX(Data_Prices!K:K,MATCH($G128,Data_Prices!$A:$A,0))</f>
        <v>6.0634636156729096</v>
      </c>
      <c r="L128" s="18">
        <f>INDEX(Data_Prices!L:L,MATCH($G128,Data_Prices!$A:$A,0))</f>
        <v>5.4510150816191896</v>
      </c>
      <c r="M128" s="18">
        <f>INDEX(Data_Prices!M:M,MATCH($G128,Data_Prices!$A:$A,0))</f>
        <v>5.1193563062624801</v>
      </c>
      <c r="N128" s="18">
        <f>INDEX(Data_Prices!N:N,MATCH($G128,Data_Prices!$A:$A,0))</f>
        <v>5.08218458640407</v>
      </c>
      <c r="O128" s="18">
        <f>INDEX(Data_Prices!O:O,MATCH($G128,Data_Prices!$A:$A,0))</f>
        <v>5.08218458640407</v>
      </c>
      <c r="P128" s="18">
        <f>INDEX(Data_Prices!P:P,MATCH($G128,Data_Prices!$A:$A,0))</f>
        <v>5.08218458640407</v>
      </c>
      <c r="Q128" s="18">
        <f>INDEX(Data_Prices!Q:Q,MATCH($G128,Data_Prices!$A:$A,0))</f>
        <v>5.08218458640407</v>
      </c>
      <c r="R128" s="18">
        <f>INDEX(Data_Prices!R:R,MATCH($G128,Data_Prices!$A:$A,0))</f>
        <v>5.08218458640407</v>
      </c>
      <c r="S128" s="18">
        <f>INDEX(Data_Prices!S:S,MATCH($G128,Data_Prices!$A:$A,0))</f>
        <v>5.08218458640407</v>
      </c>
      <c r="T128" s="18">
        <f>INDEX(Data_Prices!T:T,MATCH($G128,Data_Prices!$A:$A,0))</f>
        <v>5.08218458640407</v>
      </c>
      <c r="U128" s="18">
        <f>INDEX(Data_Prices!U:U,MATCH($G128,Data_Prices!$A:$A,0))</f>
        <v>5.08218458640407</v>
      </c>
      <c r="V128" s="18">
        <f>INDEX(Data_Prices!V:V,MATCH($G128,Data_Prices!$A:$A,0))</f>
        <v>5.08218458640407</v>
      </c>
      <c r="W128" s="18">
        <f>INDEX(Data_Prices!W:W,MATCH($G128,Data_Prices!$A:$A,0))</f>
        <v>5.08218458640407</v>
      </c>
      <c r="X128" s="18">
        <f>INDEX(Data_Prices!X:X,MATCH($G128,Data_Prices!$A:$A,0))</f>
        <v>5.08218458640407</v>
      </c>
      <c r="Y128" s="18">
        <f>INDEX(Data_Prices!Y:Y,MATCH($G128,Data_Prices!$A:$A,0))</f>
        <v>5.08218458640407</v>
      </c>
      <c r="Z128" s="18">
        <f>INDEX(Data_Prices!Z:Z,MATCH($G128,Data_Prices!$A:$A,0))</f>
        <v>5.08218458640407</v>
      </c>
      <c r="AA128" s="18">
        <f>INDEX(Data_Prices!AA:AA,MATCH($G128,Data_Prices!$A:$A,0))</f>
        <v>5.08218458640407</v>
      </c>
      <c r="AB128" s="18">
        <f>INDEX(Data_Prices!AB:AB,MATCH($G128,Data_Prices!$A:$A,0))</f>
        <v>5.08218458640407</v>
      </c>
      <c r="AC128" s="18">
        <f>INDEX(Data_Prices!AC:AC,MATCH($G128,Data_Prices!$A:$A,0))</f>
        <v>5.08218458640407</v>
      </c>
      <c r="AD128" s="18">
        <f>INDEX(Data_Prices!AD:AD,MATCH($G128,Data_Prices!$A:$A,0))</f>
        <v>5.08218458640407</v>
      </c>
      <c r="AE128" s="18">
        <f>INDEX(Data_Prices!AE:AE,MATCH($G128,Data_Prices!$A:$A,0))</f>
        <v>5.08218458640407</v>
      </c>
    </row>
    <row r="129" spans="2:31" x14ac:dyDescent="0.45">
      <c r="B129" s="14" t="s">
        <v>55</v>
      </c>
      <c r="C129" s="14" t="str">
        <f t="shared" si="12"/>
        <v>nfm</v>
      </c>
      <c r="D129" s="15" t="s">
        <v>56</v>
      </c>
      <c r="E129" s="16" t="s">
        <v>57</v>
      </c>
      <c r="F129" s="14" t="s">
        <v>52</v>
      </c>
      <c r="G129" s="17" t="str">
        <f>Settings!$B$3&amp;".mit.pbc."&amp;Settings!$B$4&amp;"."&amp;$B129&amp;".a."&amp;$J$125</f>
        <v>egy.mit.pbc.ind.gso.a.1</v>
      </c>
      <c r="H129" s="45" t="str">
        <f>Settings!$B$3&amp;".mit.ptp."&amp;$C$125&amp;"."&amp;$B129&amp;".e."&amp;$J$125</f>
        <v>egy.mit.ptp.nfm.gso.e.1</v>
      </c>
      <c r="K129" s="18">
        <f>INDEX(Data_Prices!K:K,MATCH($G129,Data_Prices!$A:$A,0))</f>
        <v>0.67114653332181595</v>
      </c>
      <c r="L129" s="18">
        <f>INDEX(Data_Prices!L:L,MATCH($G129,Data_Prices!$A:$A,0))</f>
        <v>0.61197797679140598</v>
      </c>
      <c r="M129" s="18">
        <f>INDEX(Data_Prices!M:M,MATCH($G129,Data_Prices!$A:$A,0))</f>
        <v>0.61180974964187596</v>
      </c>
      <c r="N129" s="18">
        <f>INDEX(Data_Prices!N:N,MATCH($G129,Data_Prices!$A:$A,0))</f>
        <v>0.60358310017790595</v>
      </c>
      <c r="O129" s="18">
        <f>INDEX(Data_Prices!O:O,MATCH($G129,Data_Prices!$A:$A,0))</f>
        <v>0.60358310017790595</v>
      </c>
      <c r="P129" s="18">
        <f>INDEX(Data_Prices!P:P,MATCH($G129,Data_Prices!$A:$A,0))</f>
        <v>0.60358310017790595</v>
      </c>
      <c r="Q129" s="18">
        <f>INDEX(Data_Prices!Q:Q,MATCH($G129,Data_Prices!$A:$A,0))</f>
        <v>0.60358310017790595</v>
      </c>
      <c r="R129" s="18">
        <f>INDEX(Data_Prices!R:R,MATCH($G129,Data_Prices!$A:$A,0))</f>
        <v>0.60358310017790595</v>
      </c>
      <c r="S129" s="18">
        <f>INDEX(Data_Prices!S:S,MATCH($G129,Data_Prices!$A:$A,0))</f>
        <v>0.60358310017790595</v>
      </c>
      <c r="T129" s="18">
        <f>INDEX(Data_Prices!T:T,MATCH($G129,Data_Prices!$A:$A,0))</f>
        <v>0.60358310017790595</v>
      </c>
      <c r="U129" s="18">
        <f>INDEX(Data_Prices!U:U,MATCH($G129,Data_Prices!$A:$A,0))</f>
        <v>0.60358310017790595</v>
      </c>
      <c r="V129" s="18">
        <f>INDEX(Data_Prices!V:V,MATCH($G129,Data_Prices!$A:$A,0))</f>
        <v>0.60358310017790595</v>
      </c>
      <c r="W129" s="18">
        <f>INDEX(Data_Prices!W:W,MATCH($G129,Data_Prices!$A:$A,0))</f>
        <v>0.60358310017790595</v>
      </c>
      <c r="X129" s="18">
        <f>INDEX(Data_Prices!X:X,MATCH($G129,Data_Prices!$A:$A,0))</f>
        <v>0.60358310017790595</v>
      </c>
      <c r="Y129" s="18">
        <f>INDEX(Data_Prices!Y:Y,MATCH($G129,Data_Prices!$A:$A,0))</f>
        <v>0.60358310017790595</v>
      </c>
      <c r="Z129" s="18">
        <f>INDEX(Data_Prices!Z:Z,MATCH($G129,Data_Prices!$A:$A,0))</f>
        <v>0.60358310017790595</v>
      </c>
      <c r="AA129" s="18">
        <f>INDEX(Data_Prices!AA:AA,MATCH($G129,Data_Prices!$A:$A,0))</f>
        <v>0.60358310017790595</v>
      </c>
      <c r="AB129" s="18">
        <f>INDEX(Data_Prices!AB:AB,MATCH($G129,Data_Prices!$A:$A,0))</f>
        <v>0.60358310017790595</v>
      </c>
      <c r="AC129" s="18">
        <f>INDEX(Data_Prices!AC:AC,MATCH($G129,Data_Prices!$A:$A,0))</f>
        <v>0.60358310017790595</v>
      </c>
      <c r="AD129" s="18">
        <f>INDEX(Data_Prices!AD:AD,MATCH($G129,Data_Prices!$A:$A,0))</f>
        <v>0.60358310017790595</v>
      </c>
      <c r="AE129" s="18">
        <f>INDEX(Data_Prices!AE:AE,MATCH($G129,Data_Prices!$A:$A,0))</f>
        <v>0.60358310017790595</v>
      </c>
    </row>
    <row r="130" spans="2:31" x14ac:dyDescent="0.45">
      <c r="B130" s="14" t="s">
        <v>58</v>
      </c>
      <c r="C130" s="14" t="str">
        <f t="shared" si="12"/>
        <v>nfm</v>
      </c>
      <c r="D130" s="15" t="s">
        <v>59</v>
      </c>
      <c r="E130" s="16" t="s">
        <v>57</v>
      </c>
      <c r="F130" s="14" t="s">
        <v>52</v>
      </c>
      <c r="G130" s="17" t="str">
        <f>Settings!$B$3&amp;".mit.pbc."&amp;Settings!$B$4&amp;"."&amp;$B130&amp;".a."&amp;$J$125</f>
        <v>egy.mit.pbc.ind.die.a.1</v>
      </c>
      <c r="H130" s="45" t="str">
        <f>Settings!$B$3&amp;".mit.ptp."&amp;$C$125&amp;"."&amp;$B130&amp;".e."&amp;$J$125</f>
        <v>egy.mit.ptp.nfm.die.e.1</v>
      </c>
      <c r="K130" s="18">
        <f>INDEX(Data_Prices!K:K,MATCH($G130,Data_Prices!$A:$A,0))</f>
        <v>0.55971121315568795</v>
      </c>
      <c r="L130" s="18">
        <f>INDEX(Data_Prices!L:L,MATCH($G130,Data_Prices!$A:$A,0))</f>
        <v>0.49458873084106802</v>
      </c>
      <c r="M130" s="18">
        <f>INDEX(Data_Prices!M:M,MATCH($G130,Data_Prices!$A:$A,0))</f>
        <v>0.50778654720250105</v>
      </c>
      <c r="N130" s="18">
        <f>INDEX(Data_Prices!N:N,MATCH($G130,Data_Prices!$A:$A,0))</f>
        <v>0.47043642679561698</v>
      </c>
      <c r="O130" s="18">
        <f>INDEX(Data_Prices!O:O,MATCH($G130,Data_Prices!$A:$A,0))</f>
        <v>0.47043642679561698</v>
      </c>
      <c r="P130" s="18">
        <f>INDEX(Data_Prices!P:P,MATCH($G130,Data_Prices!$A:$A,0))</f>
        <v>0.47043642679561698</v>
      </c>
      <c r="Q130" s="18">
        <f>INDEX(Data_Prices!Q:Q,MATCH($G130,Data_Prices!$A:$A,0))</f>
        <v>0.47043642679561698</v>
      </c>
      <c r="R130" s="18">
        <f>INDEX(Data_Prices!R:R,MATCH($G130,Data_Prices!$A:$A,0))</f>
        <v>0.47043642679561698</v>
      </c>
      <c r="S130" s="18">
        <f>INDEX(Data_Prices!S:S,MATCH($G130,Data_Prices!$A:$A,0))</f>
        <v>0.47043642679561698</v>
      </c>
      <c r="T130" s="18">
        <f>INDEX(Data_Prices!T:T,MATCH($G130,Data_Prices!$A:$A,0))</f>
        <v>0.47043642679561698</v>
      </c>
      <c r="U130" s="18">
        <f>INDEX(Data_Prices!U:U,MATCH($G130,Data_Prices!$A:$A,0))</f>
        <v>0.47043642679561698</v>
      </c>
      <c r="V130" s="18">
        <f>INDEX(Data_Prices!V:V,MATCH($G130,Data_Prices!$A:$A,0))</f>
        <v>0.47043642679561698</v>
      </c>
      <c r="W130" s="18">
        <f>INDEX(Data_Prices!W:W,MATCH($G130,Data_Prices!$A:$A,0))</f>
        <v>0.47043642679561698</v>
      </c>
      <c r="X130" s="18">
        <f>INDEX(Data_Prices!X:X,MATCH($G130,Data_Prices!$A:$A,0))</f>
        <v>0.47043642679561698</v>
      </c>
      <c r="Y130" s="18">
        <f>INDEX(Data_Prices!Y:Y,MATCH($G130,Data_Prices!$A:$A,0))</f>
        <v>0.47043642679561698</v>
      </c>
      <c r="Z130" s="18">
        <f>INDEX(Data_Prices!Z:Z,MATCH($G130,Data_Prices!$A:$A,0))</f>
        <v>0.47043642679561698</v>
      </c>
      <c r="AA130" s="18">
        <f>INDEX(Data_Prices!AA:AA,MATCH($G130,Data_Prices!$A:$A,0))</f>
        <v>0.47043642679561698</v>
      </c>
      <c r="AB130" s="18">
        <f>INDEX(Data_Prices!AB:AB,MATCH($G130,Data_Prices!$A:$A,0))</f>
        <v>0.47043642679561698</v>
      </c>
      <c r="AC130" s="18">
        <f>INDEX(Data_Prices!AC:AC,MATCH($G130,Data_Prices!$A:$A,0))</f>
        <v>0.47043642679561698</v>
      </c>
      <c r="AD130" s="18">
        <f>INDEX(Data_Prices!AD:AD,MATCH($G130,Data_Prices!$A:$A,0))</f>
        <v>0.47043642679561698</v>
      </c>
      <c r="AE130" s="18">
        <f>INDEX(Data_Prices!AE:AE,MATCH($G130,Data_Prices!$A:$A,0))</f>
        <v>0.47043642679561698</v>
      </c>
    </row>
    <row r="131" spans="2:31" x14ac:dyDescent="0.45">
      <c r="B131" s="14" t="s">
        <v>60</v>
      </c>
      <c r="C131" s="14" t="str">
        <f t="shared" si="12"/>
        <v>nfm</v>
      </c>
      <c r="D131" s="15" t="s">
        <v>61</v>
      </c>
      <c r="E131" s="16" t="s">
        <v>57</v>
      </c>
      <c r="F131" s="14" t="s">
        <v>52</v>
      </c>
      <c r="G131" s="17" t="str">
        <f>Settings!$B$3&amp;".mit.pbc."&amp;Settings!$B$4&amp;"."&amp;$B131&amp;".a."&amp;$J$125</f>
        <v>egy.mit.pbc.ind.lpg.a.1</v>
      </c>
      <c r="H131" s="45" t="str">
        <f>Settings!$B$3&amp;".mit.ptp."&amp;$C$125&amp;"."&amp;$B131&amp;".e."&amp;$J$125</f>
        <v>egy.mit.ptp.nfm.lpg.e.1</v>
      </c>
      <c r="K131" s="18">
        <f>INDEX(Data_Prices!K:K,MATCH($G131,Data_Prices!$A:$A,0))</f>
        <v>0.20036669112673799</v>
      </c>
      <c r="L131" s="18">
        <f>INDEX(Data_Prices!L:L,MATCH($G131,Data_Prices!$A:$A,0))</f>
        <v>0.15734473625227399</v>
      </c>
      <c r="M131" s="18">
        <f>INDEX(Data_Prices!M:M,MATCH($G131,Data_Prices!$A:$A,0))</f>
        <v>0.164484037759277</v>
      </c>
      <c r="N131" s="18">
        <f>INDEX(Data_Prices!N:N,MATCH($G131,Data_Prices!$A:$A,0))</f>
        <v>0.15070907780704901</v>
      </c>
      <c r="O131" s="18">
        <f>INDEX(Data_Prices!O:O,MATCH($G131,Data_Prices!$A:$A,0))</f>
        <v>0.15070907780704901</v>
      </c>
      <c r="P131" s="18">
        <f>INDEX(Data_Prices!P:P,MATCH($G131,Data_Prices!$A:$A,0))</f>
        <v>0.15070907780704901</v>
      </c>
      <c r="Q131" s="18">
        <f>INDEX(Data_Prices!Q:Q,MATCH($G131,Data_Prices!$A:$A,0))</f>
        <v>0.15070907780704901</v>
      </c>
      <c r="R131" s="18">
        <f>INDEX(Data_Prices!R:R,MATCH($G131,Data_Prices!$A:$A,0))</f>
        <v>0.15070907780704901</v>
      </c>
      <c r="S131" s="18">
        <f>INDEX(Data_Prices!S:S,MATCH($G131,Data_Prices!$A:$A,0))</f>
        <v>0.15070907780704901</v>
      </c>
      <c r="T131" s="18">
        <f>INDEX(Data_Prices!T:T,MATCH($G131,Data_Prices!$A:$A,0))</f>
        <v>0.15070907780704901</v>
      </c>
      <c r="U131" s="18">
        <f>INDEX(Data_Prices!U:U,MATCH($G131,Data_Prices!$A:$A,0))</f>
        <v>0.15070907780704901</v>
      </c>
      <c r="V131" s="18">
        <f>INDEX(Data_Prices!V:V,MATCH($G131,Data_Prices!$A:$A,0))</f>
        <v>0.15070907780704901</v>
      </c>
      <c r="W131" s="18">
        <f>INDEX(Data_Prices!W:W,MATCH($G131,Data_Prices!$A:$A,0))</f>
        <v>0.15070907780704901</v>
      </c>
      <c r="X131" s="18">
        <f>INDEX(Data_Prices!X:X,MATCH($G131,Data_Prices!$A:$A,0))</f>
        <v>0.15070907780704901</v>
      </c>
      <c r="Y131" s="18">
        <f>INDEX(Data_Prices!Y:Y,MATCH($G131,Data_Prices!$A:$A,0))</f>
        <v>0.15070907780704901</v>
      </c>
      <c r="Z131" s="18">
        <f>INDEX(Data_Prices!Z:Z,MATCH($G131,Data_Prices!$A:$A,0))</f>
        <v>0.15070907780704901</v>
      </c>
      <c r="AA131" s="18">
        <f>INDEX(Data_Prices!AA:AA,MATCH($G131,Data_Prices!$A:$A,0))</f>
        <v>0.15070907780704901</v>
      </c>
      <c r="AB131" s="18">
        <f>INDEX(Data_Prices!AB:AB,MATCH($G131,Data_Prices!$A:$A,0))</f>
        <v>0.15070907780704901</v>
      </c>
      <c r="AC131" s="18">
        <f>INDEX(Data_Prices!AC:AC,MATCH($G131,Data_Prices!$A:$A,0))</f>
        <v>0.15070907780704901</v>
      </c>
      <c r="AD131" s="18">
        <f>INDEX(Data_Prices!AD:AD,MATCH($G131,Data_Prices!$A:$A,0))</f>
        <v>0.15070907780704901</v>
      </c>
      <c r="AE131" s="18">
        <f>INDEX(Data_Prices!AE:AE,MATCH($G131,Data_Prices!$A:$A,0))</f>
        <v>0.15070907780704901</v>
      </c>
    </row>
    <row r="132" spans="2:31" x14ac:dyDescent="0.45">
      <c r="B132" s="14" t="s">
        <v>62</v>
      </c>
      <c r="C132" s="14" t="str">
        <f t="shared" si="12"/>
        <v>nfm</v>
      </c>
      <c r="D132" s="15" t="s">
        <v>63</v>
      </c>
      <c r="E132" s="16" t="s">
        <v>57</v>
      </c>
      <c r="F132" s="14" t="s">
        <v>52</v>
      </c>
      <c r="G132" s="17" t="str">
        <f>Settings!$B$3&amp;".mit.pbc."&amp;Settings!$B$4&amp;"."&amp;$B132&amp;".a."&amp;$J$125</f>
        <v>egy.mit.pbc.ind.ker.a.1</v>
      </c>
      <c r="H132" s="45" t="str">
        <f>Settings!$B$3&amp;".mit.ptp."&amp;$C$125&amp;"."&amp;$B132&amp;".e."&amp;$J$125</f>
        <v>egy.mit.ptp.nfm.ker.e.1</v>
      </c>
      <c r="K132" s="18">
        <f>INDEX(Data_Prices!K:K,MATCH($G132,Data_Prices!$A:$A,0))</f>
        <v>0.48429424097343499</v>
      </c>
      <c r="L132" s="18">
        <f>INDEX(Data_Prices!L:L,MATCH($G132,Data_Prices!$A:$A,0))</f>
        <v>0.45642817050012802</v>
      </c>
      <c r="M132" s="18">
        <f>INDEX(Data_Prices!M:M,MATCH($G132,Data_Prices!$A:$A,0))</f>
        <v>0.43168920195599497</v>
      </c>
      <c r="N132" s="18">
        <f>INDEX(Data_Prices!N:N,MATCH($G132,Data_Prices!$A:$A,0))</f>
        <v>0.42507558395597</v>
      </c>
      <c r="O132" s="18">
        <f>INDEX(Data_Prices!O:O,MATCH($G132,Data_Prices!$A:$A,0))</f>
        <v>0.42507558395597</v>
      </c>
      <c r="P132" s="18">
        <f>INDEX(Data_Prices!P:P,MATCH($G132,Data_Prices!$A:$A,0))</f>
        <v>0.42507558395597</v>
      </c>
      <c r="Q132" s="18">
        <f>INDEX(Data_Prices!Q:Q,MATCH($G132,Data_Prices!$A:$A,0))</f>
        <v>0.42507558395597</v>
      </c>
      <c r="R132" s="18">
        <f>INDEX(Data_Prices!R:R,MATCH($G132,Data_Prices!$A:$A,0))</f>
        <v>0.42507558395597</v>
      </c>
      <c r="S132" s="18">
        <f>INDEX(Data_Prices!S:S,MATCH($G132,Data_Prices!$A:$A,0))</f>
        <v>0.42507558395597</v>
      </c>
      <c r="T132" s="18">
        <f>INDEX(Data_Prices!T:T,MATCH($G132,Data_Prices!$A:$A,0))</f>
        <v>0.42507558395597</v>
      </c>
      <c r="U132" s="18">
        <f>INDEX(Data_Prices!U:U,MATCH($G132,Data_Prices!$A:$A,0))</f>
        <v>0.42507558395597</v>
      </c>
      <c r="V132" s="18">
        <f>INDEX(Data_Prices!V:V,MATCH($G132,Data_Prices!$A:$A,0))</f>
        <v>0.42507558395597</v>
      </c>
      <c r="W132" s="18">
        <f>INDEX(Data_Prices!W:W,MATCH($G132,Data_Prices!$A:$A,0))</f>
        <v>0.42507558395597</v>
      </c>
      <c r="X132" s="18">
        <f>INDEX(Data_Prices!X:X,MATCH($G132,Data_Prices!$A:$A,0))</f>
        <v>0.42507558395597</v>
      </c>
      <c r="Y132" s="18">
        <f>INDEX(Data_Prices!Y:Y,MATCH($G132,Data_Prices!$A:$A,0))</f>
        <v>0.42507558395597</v>
      </c>
      <c r="Z132" s="18">
        <f>INDEX(Data_Prices!Z:Z,MATCH($G132,Data_Prices!$A:$A,0))</f>
        <v>0.42507558395597</v>
      </c>
      <c r="AA132" s="18">
        <f>INDEX(Data_Prices!AA:AA,MATCH($G132,Data_Prices!$A:$A,0))</f>
        <v>0.42507558395597</v>
      </c>
      <c r="AB132" s="18">
        <f>INDEX(Data_Prices!AB:AB,MATCH($G132,Data_Prices!$A:$A,0))</f>
        <v>0.42507558395597</v>
      </c>
      <c r="AC132" s="18">
        <f>INDEX(Data_Prices!AC:AC,MATCH($G132,Data_Prices!$A:$A,0))</f>
        <v>0.42507558395597</v>
      </c>
      <c r="AD132" s="18">
        <f>INDEX(Data_Prices!AD:AD,MATCH($G132,Data_Prices!$A:$A,0))</f>
        <v>0.42507558395597</v>
      </c>
      <c r="AE132" s="18">
        <f>INDEX(Data_Prices!AE:AE,MATCH($G132,Data_Prices!$A:$A,0))</f>
        <v>0.42507558395597</v>
      </c>
    </row>
    <row r="133" spans="2:31" x14ac:dyDescent="0.45">
      <c r="B133" s="14" t="s">
        <v>64</v>
      </c>
      <c r="C133" s="14" t="str">
        <f t="shared" si="12"/>
        <v>nfm</v>
      </c>
      <c r="D133" s="15" t="s">
        <v>65</v>
      </c>
      <c r="E133" s="16" t="s">
        <v>66</v>
      </c>
      <c r="F133" s="14" t="s">
        <v>52</v>
      </c>
      <c r="G133" s="17" t="str">
        <f>Settings!$B$3&amp;".mit.pbc."&amp;Settings!$B$4&amp;"."&amp;$B133&amp;".a."&amp;$J$125</f>
        <v>egy.mit.pbc.ind.oop.a.1</v>
      </c>
      <c r="H133" s="45" t="str">
        <f>Settings!$B$3&amp;".mit.ptp."&amp;$C$125&amp;"."&amp;$B133&amp;".e."&amp;$J$125</f>
        <v>egy.mit.ptp.nfm.oop.e.1</v>
      </c>
      <c r="K133" s="18">
        <f>INDEX(Data_Prices!K:K,MATCH($G133,Data_Prices!$A:$A,0))</f>
        <v>41.500338498868402</v>
      </c>
      <c r="L133" s="18">
        <f>INDEX(Data_Prices!L:L,MATCH($G133,Data_Prices!$A:$A,0))</f>
        <v>34.4153703043132</v>
      </c>
      <c r="M133" s="18">
        <f>INDEX(Data_Prices!M:M,MATCH($G133,Data_Prices!$A:$A,0))</f>
        <v>37.368960690431997</v>
      </c>
      <c r="N133" s="18">
        <f>INDEX(Data_Prices!N:N,MATCH($G133,Data_Prices!$A:$A,0))</f>
        <v>28.982761101477301</v>
      </c>
      <c r="O133" s="18">
        <f>INDEX(Data_Prices!O:O,MATCH($G133,Data_Prices!$A:$A,0))</f>
        <v>15</v>
      </c>
      <c r="P133" s="18">
        <f>INDEX(Data_Prices!P:P,MATCH($G133,Data_Prices!$A:$A,0))</f>
        <v>24.2586300842555</v>
      </c>
      <c r="Q133" s="18">
        <f>INDEX(Data_Prices!Q:Q,MATCH($G133,Data_Prices!$A:$A,0))</f>
        <v>15</v>
      </c>
      <c r="R133" s="18">
        <f>INDEX(Data_Prices!R:R,MATCH($G133,Data_Prices!$A:$A,0))</f>
        <v>15</v>
      </c>
      <c r="S133" s="18">
        <f>INDEX(Data_Prices!S:S,MATCH($G133,Data_Prices!$A:$A,0))</f>
        <v>15</v>
      </c>
      <c r="T133" s="18">
        <f>INDEX(Data_Prices!T:T,MATCH($G133,Data_Prices!$A:$A,0))</f>
        <v>15</v>
      </c>
      <c r="U133" s="18">
        <f>INDEX(Data_Prices!U:U,MATCH($G133,Data_Prices!$A:$A,0))</f>
        <v>15</v>
      </c>
      <c r="V133" s="18">
        <f>INDEX(Data_Prices!V:V,MATCH($G133,Data_Prices!$A:$A,0))</f>
        <v>15</v>
      </c>
      <c r="W133" s="18">
        <f>INDEX(Data_Prices!W:W,MATCH($G133,Data_Prices!$A:$A,0))</f>
        <v>15</v>
      </c>
      <c r="X133" s="18">
        <f>INDEX(Data_Prices!X:X,MATCH($G133,Data_Prices!$A:$A,0))</f>
        <v>15</v>
      </c>
      <c r="Y133" s="18">
        <f>INDEX(Data_Prices!Y:Y,MATCH($G133,Data_Prices!$A:$A,0))</f>
        <v>15</v>
      </c>
      <c r="Z133" s="18">
        <f>INDEX(Data_Prices!Z:Z,MATCH($G133,Data_Prices!$A:$A,0))</f>
        <v>15</v>
      </c>
      <c r="AA133" s="18">
        <f>INDEX(Data_Prices!AA:AA,MATCH($G133,Data_Prices!$A:$A,0))</f>
        <v>15</v>
      </c>
      <c r="AB133" s="18">
        <f>INDEX(Data_Prices!AB:AB,MATCH($G133,Data_Prices!$A:$A,0))</f>
        <v>15</v>
      </c>
      <c r="AC133" s="18">
        <f>INDEX(Data_Prices!AC:AC,MATCH($G133,Data_Prices!$A:$A,0))</f>
        <v>15</v>
      </c>
      <c r="AD133" s="18">
        <f>INDEX(Data_Prices!AD:AD,MATCH($G133,Data_Prices!$A:$A,0))</f>
        <v>15</v>
      </c>
      <c r="AE133" s="18">
        <f>INDEX(Data_Prices!AE:AE,MATCH($G133,Data_Prices!$A:$A,0))</f>
        <v>15</v>
      </c>
    </row>
    <row r="134" spans="2:31" x14ac:dyDescent="0.45">
      <c r="B134" s="14" t="s">
        <v>67</v>
      </c>
      <c r="C134" s="14" t="str">
        <f t="shared" si="12"/>
        <v>nfm</v>
      </c>
      <c r="D134" s="15" t="s">
        <v>68</v>
      </c>
      <c r="E134" s="16" t="s">
        <v>51</v>
      </c>
      <c r="F134" s="14" t="s">
        <v>52</v>
      </c>
      <c r="G134" s="17" t="str">
        <f>Settings!$B$3&amp;".mit.pbc."&amp;Settings!$B$4&amp;"."&amp;$B134&amp;".a."&amp;$J$125</f>
        <v>egy.mit.pbc.ind.bio.a.1</v>
      </c>
      <c r="H134" s="45" t="str">
        <f>Settings!$B$3&amp;".mit.ptp."&amp;$C$125&amp;"."&amp;$B134&amp;".e."&amp;$J$125</f>
        <v>egy.mit.ptp.nfm.bio.e.1</v>
      </c>
      <c r="K134" s="18">
        <f>INDEX(Data_Prices!K:K,MATCH($G134,Data_Prices!$A:$A,0))</f>
        <v>15.3345505293169</v>
      </c>
      <c r="L134" s="18">
        <f>INDEX(Data_Prices!L:L,MATCH($G134,Data_Prices!$A:$A,0))</f>
        <v>14.199528390634899</v>
      </c>
      <c r="M134" s="18">
        <f>INDEX(Data_Prices!M:M,MATCH($G134,Data_Prices!$A:$A,0))</f>
        <v>13.8404416133152</v>
      </c>
      <c r="N134" s="18">
        <f>INDEX(Data_Prices!N:N,MATCH($G134,Data_Prices!$A:$A,0))</f>
        <v>13.5677269404465</v>
      </c>
      <c r="O134" s="18">
        <f>INDEX(Data_Prices!O:O,MATCH($G134,Data_Prices!$A:$A,0))</f>
        <v>13.5677269404465</v>
      </c>
      <c r="P134" s="18">
        <f>INDEX(Data_Prices!P:P,MATCH($G134,Data_Prices!$A:$A,0))</f>
        <v>13.5677269404465</v>
      </c>
      <c r="Q134" s="18">
        <f>INDEX(Data_Prices!Q:Q,MATCH($G134,Data_Prices!$A:$A,0))</f>
        <v>13.5677269404465</v>
      </c>
      <c r="R134" s="18">
        <f>INDEX(Data_Prices!R:R,MATCH($G134,Data_Prices!$A:$A,0))</f>
        <v>13.5677269404465</v>
      </c>
      <c r="S134" s="18">
        <f>INDEX(Data_Prices!S:S,MATCH($G134,Data_Prices!$A:$A,0))</f>
        <v>13.5677269404465</v>
      </c>
      <c r="T134" s="18">
        <f>INDEX(Data_Prices!T:T,MATCH($G134,Data_Prices!$A:$A,0))</f>
        <v>13.5677269404465</v>
      </c>
      <c r="U134" s="18">
        <f>INDEX(Data_Prices!U:U,MATCH($G134,Data_Prices!$A:$A,0))</f>
        <v>13.5677269404465</v>
      </c>
      <c r="V134" s="18">
        <f>INDEX(Data_Prices!V:V,MATCH($G134,Data_Prices!$A:$A,0))</f>
        <v>13.5677269404465</v>
      </c>
      <c r="W134" s="18">
        <f>INDEX(Data_Prices!W:W,MATCH($G134,Data_Prices!$A:$A,0))</f>
        <v>13.5677269404465</v>
      </c>
      <c r="X134" s="18">
        <f>INDEX(Data_Prices!X:X,MATCH($G134,Data_Prices!$A:$A,0))</f>
        <v>13.5677269404465</v>
      </c>
      <c r="Y134" s="18">
        <f>INDEX(Data_Prices!Y:Y,MATCH($G134,Data_Prices!$A:$A,0))</f>
        <v>13.5677269404465</v>
      </c>
      <c r="Z134" s="18">
        <f>INDEX(Data_Prices!Z:Z,MATCH($G134,Data_Prices!$A:$A,0))</f>
        <v>13.5677269404465</v>
      </c>
      <c r="AA134" s="18">
        <f>INDEX(Data_Prices!AA:AA,MATCH($G134,Data_Prices!$A:$A,0))</f>
        <v>13.5677269404465</v>
      </c>
      <c r="AB134" s="18">
        <f>INDEX(Data_Prices!AB:AB,MATCH($G134,Data_Prices!$A:$A,0))</f>
        <v>13.5677269404465</v>
      </c>
      <c r="AC134" s="18">
        <f>INDEX(Data_Prices!AC:AC,MATCH($G134,Data_Prices!$A:$A,0))</f>
        <v>13.5677269404465</v>
      </c>
      <c r="AD134" s="18">
        <f>INDEX(Data_Prices!AD:AD,MATCH($G134,Data_Prices!$A:$A,0))</f>
        <v>13.5677269404465</v>
      </c>
      <c r="AE134" s="18">
        <f>INDEX(Data_Prices!AE:AE,MATCH($G134,Data_Prices!$A:$A,0))</f>
        <v>13.5677269404465</v>
      </c>
    </row>
    <row r="135" spans="2:31" x14ac:dyDescent="0.45">
      <c r="B135" s="14" t="s">
        <v>69</v>
      </c>
      <c r="C135" s="14" t="str">
        <f t="shared" si="12"/>
        <v>nfm</v>
      </c>
      <c r="D135" s="15" t="s">
        <v>70</v>
      </c>
      <c r="E135" s="16" t="s">
        <v>71</v>
      </c>
      <c r="F135" s="14" t="s">
        <v>52</v>
      </c>
      <c r="G135" s="17" t="str">
        <f>Settings!$B$3&amp;".mit.pbc."&amp;Settings!$B$4&amp;"."&amp;$B135&amp;".a."&amp;$J$125</f>
        <v>egy.mit.pbc.ind.ren.a.1</v>
      </c>
      <c r="H135" s="45" t="str">
        <f>Settings!$B$3&amp;".mit.ptp."&amp;$C$125&amp;"."&amp;$B135&amp;".e."&amp;$J$125</f>
        <v>egy.mit.ptp.nfm.ren.e.1</v>
      </c>
      <c r="K135" s="18">
        <f>INDEX(Data_Prices!K:K,MATCH($G135,Data_Prices!$A:$A,0))</f>
        <v>0</v>
      </c>
      <c r="L135" s="18">
        <f>INDEX(Data_Prices!L:L,MATCH($G135,Data_Prices!$A:$A,0))</f>
        <v>0.14404498679319799</v>
      </c>
      <c r="M135" s="18">
        <f>INDEX(Data_Prices!M:M,MATCH($G135,Data_Prices!$A:$A,0))</f>
        <v>0.14102040965700399</v>
      </c>
      <c r="N135" s="18">
        <f>INDEX(Data_Prices!N:N,MATCH($G135,Data_Prices!$A:$A,0))</f>
        <v>0.13511635959447599</v>
      </c>
      <c r="O135" s="18">
        <f>INDEX(Data_Prices!O:O,MATCH($G135,Data_Prices!$A:$A,0))</f>
        <v>0.13098825698585601</v>
      </c>
      <c r="P135" s="18">
        <f>INDEX(Data_Prices!P:P,MATCH($G135,Data_Prices!$A:$A,0))</f>
        <v>0.12790841608631801</v>
      </c>
      <c r="Q135" s="18">
        <f>INDEX(Data_Prices!Q:Q,MATCH($G135,Data_Prices!$A:$A,0))</f>
        <v>0.124814310557813</v>
      </c>
      <c r="R135" s="18">
        <f>INDEX(Data_Prices!R:R,MATCH($G135,Data_Prices!$A:$A,0))</f>
        <v>0.121460257122878</v>
      </c>
      <c r="S135" s="18">
        <f>INDEX(Data_Prices!S:S,MATCH($G135,Data_Prices!$A:$A,0))</f>
        <v>0.117950744135786</v>
      </c>
      <c r="T135" s="18">
        <f>INDEX(Data_Prices!T:T,MATCH($G135,Data_Prices!$A:$A,0))</f>
        <v>0.114199161044597</v>
      </c>
      <c r="U135" s="18">
        <f>INDEX(Data_Prices!U:U,MATCH($G135,Data_Prices!$A:$A,0))</f>
        <v>0.113665100059665</v>
      </c>
      <c r="V135" s="18">
        <f>INDEX(Data_Prices!V:V,MATCH($G135,Data_Prices!$A:$A,0))</f>
        <v>0.113016929625957</v>
      </c>
      <c r="W135" s="18">
        <f>INDEX(Data_Prices!W:W,MATCH($G135,Data_Prices!$A:$A,0))</f>
        <v>0.112314070507636</v>
      </c>
      <c r="X135" s="18">
        <f>INDEX(Data_Prices!X:X,MATCH($G135,Data_Prices!$A:$A,0))</f>
        <v>0.11142204273284299</v>
      </c>
      <c r="Y135" s="18">
        <f>INDEX(Data_Prices!Y:Y,MATCH($G135,Data_Prices!$A:$A,0))</f>
        <v>0.110434123675809</v>
      </c>
      <c r="Z135" s="18">
        <f>INDEX(Data_Prices!Z:Z,MATCH($G135,Data_Prices!$A:$A,0))</f>
        <v>0.109483973304471</v>
      </c>
      <c r="AA135" s="18">
        <f>INDEX(Data_Prices!AA:AA,MATCH($G135,Data_Prices!$A:$A,0))</f>
        <v>0.10839192105294</v>
      </c>
      <c r="AB135" s="18">
        <f>INDEX(Data_Prices!AB:AB,MATCH($G135,Data_Prices!$A:$A,0))</f>
        <v>0.10735443362670399</v>
      </c>
      <c r="AC135" s="18">
        <f>INDEX(Data_Prices!AC:AC,MATCH($G135,Data_Prices!$A:$A,0))</f>
        <v>0.105168675441661</v>
      </c>
      <c r="AD135" s="18">
        <f>INDEX(Data_Prices!AD:AD,MATCH($G135,Data_Prices!$A:$A,0))</f>
        <v>0.103057983256008</v>
      </c>
      <c r="AE135" s="18">
        <f>INDEX(Data_Prices!AE:AE,MATCH($G135,Data_Prices!$A:$A,0))</f>
        <v>0.100931838990114</v>
      </c>
    </row>
    <row r="136" spans="2:31" x14ac:dyDescent="0.45">
      <c r="B136" s="13" t="s">
        <v>72</v>
      </c>
    </row>
    <row r="137" spans="2:31" x14ac:dyDescent="0.45">
      <c r="B137" s="14" t="s">
        <v>49</v>
      </c>
      <c r="C137" s="14" t="str">
        <f t="shared" ref="C137:C145" si="13">$C$125</f>
        <v>nfm</v>
      </c>
      <c r="D137" s="15" t="s">
        <v>50</v>
      </c>
      <c r="E137" s="16" t="s">
        <v>51</v>
      </c>
      <c r="F137" s="14" t="s">
        <v>73</v>
      </c>
      <c r="G137" s="17" t="str">
        <f>Settings!$B$3&amp;".mit.nce."&amp;Settings!$B$4&amp;"."&amp;$B137&amp;".a."&amp;$J$125</f>
        <v>egy.mit.nce.ind.coa.a.1</v>
      </c>
      <c r="H137" s="45" t="str">
        <f>Settings!$B$3&amp;".mit.atp."&amp;$C$125&amp;"."&amp;$B137&amp;".e."&amp;$J$125</f>
        <v>egy.mit.atp.nfm.coa.e.1</v>
      </c>
      <c r="K137" s="18">
        <f>K127+INDEX(Data_Prices!K:K,MATCH($G137,Data_Prices!$A:$A,0))*K$157</f>
        <v>11.182901589243899</v>
      </c>
      <c r="L137" s="18">
        <f>L127+INDEX(Data_Prices!L:L,MATCH($G137,Data_Prices!$A:$A,0))*L$157</f>
        <v>10.5233613454312</v>
      </c>
      <c r="M137" s="18">
        <f>M127+INDEX(Data_Prices!M:M,MATCH($G137,Data_Prices!$A:$A,0))*M$157</f>
        <v>10.2995608274442</v>
      </c>
      <c r="N137" s="18">
        <f>N127+INDEX(Data_Prices!N:N,MATCH($G137,Data_Prices!$A:$A,0))*N$157</f>
        <v>9.5775283595382597</v>
      </c>
      <c r="O137" s="18">
        <f>O127+INDEX(Data_Prices!O:O,MATCH($G137,Data_Prices!$A:$A,0))*O$157</f>
        <v>8.4854782869580507</v>
      </c>
      <c r="P137" s="18">
        <f>P127+INDEX(Data_Prices!P:P,MATCH($G137,Data_Prices!$A:$A,0))*P$157</f>
        <v>9.0871922352498604</v>
      </c>
      <c r="Q137" s="18">
        <f>Q127+INDEX(Data_Prices!Q:Q,MATCH($G137,Data_Prices!$A:$A,0))*Q$157</f>
        <v>9.2229237289326793</v>
      </c>
      <c r="R137" s="18">
        <f>R127+INDEX(Data_Prices!R:R,MATCH($G137,Data_Prices!$A:$A,0))*R$157</f>
        <v>9.1585649555096893</v>
      </c>
      <c r="S137" s="18">
        <f>S127+INDEX(Data_Prices!S:S,MATCH($G137,Data_Prices!$A:$A,0))*S$157</f>
        <v>9.0895478773973792</v>
      </c>
      <c r="T137" s="18">
        <f>T127+INDEX(Data_Prices!T:T,MATCH($G137,Data_Prices!$A:$A,0))*T$157</f>
        <v>9.0156816660228305</v>
      </c>
      <c r="U137" s="18">
        <f>U127+INDEX(Data_Prices!U:U,MATCH($G137,Data_Prices!$A:$A,0))*U$157</f>
        <v>8.9443977655571096</v>
      </c>
      <c r="V137" s="18">
        <f>V127+INDEX(Data_Prices!V:V,MATCH($G137,Data_Prices!$A:$A,0))*V$157</f>
        <v>8.9443977655571096</v>
      </c>
      <c r="W137" s="18">
        <f>W127+INDEX(Data_Prices!W:W,MATCH($G137,Data_Prices!$A:$A,0))*W$157</f>
        <v>8.9443977655571096</v>
      </c>
      <c r="X137" s="18">
        <f>X127+INDEX(Data_Prices!X:X,MATCH($G137,Data_Prices!$A:$A,0))*X$157</f>
        <v>8.9443977655571096</v>
      </c>
      <c r="Y137" s="18">
        <f>Y127+INDEX(Data_Prices!Y:Y,MATCH($G137,Data_Prices!$A:$A,0))*Y$157</f>
        <v>8.9443977655571096</v>
      </c>
      <c r="Z137" s="18">
        <f>Z127+INDEX(Data_Prices!Z:Z,MATCH($G137,Data_Prices!$A:$A,0))*Z$157</f>
        <v>8.9443977655571096</v>
      </c>
      <c r="AA137" s="18">
        <f>AA127+INDEX(Data_Prices!AA:AA,MATCH($G137,Data_Prices!$A:$A,0))*AA$157</f>
        <v>8.9443977655571096</v>
      </c>
      <c r="AB137" s="18">
        <f>AB127+INDEX(Data_Prices!AB:AB,MATCH($G137,Data_Prices!$A:$A,0))*AB$157</f>
        <v>8.9443977655571096</v>
      </c>
      <c r="AC137" s="18">
        <f>AC127+INDEX(Data_Prices!AC:AC,MATCH($G137,Data_Prices!$A:$A,0))*AC$157</f>
        <v>8.9443977655571096</v>
      </c>
      <c r="AD137" s="18">
        <f>AD127+INDEX(Data_Prices!AD:AD,MATCH($G137,Data_Prices!$A:$A,0))*AD$157</f>
        <v>8.9443977655571096</v>
      </c>
      <c r="AE137" s="18">
        <f>AE127+INDEX(Data_Prices!AE:AE,MATCH($G137,Data_Prices!$A:$A,0))*AE$157</f>
        <v>8.9443977655571096</v>
      </c>
    </row>
    <row r="138" spans="2:31" x14ac:dyDescent="0.45">
      <c r="B138" s="14" t="s">
        <v>53</v>
      </c>
      <c r="C138" s="14" t="str">
        <f t="shared" si="13"/>
        <v>nfm</v>
      </c>
      <c r="D138" s="15" t="s">
        <v>54</v>
      </c>
      <c r="E138" s="16" t="s">
        <v>51</v>
      </c>
      <c r="F138" s="14" t="s">
        <v>73</v>
      </c>
      <c r="G138" s="17" t="str">
        <f>Settings!$B$3&amp;".mit.nce."&amp;Settings!$B$4&amp;"."&amp;$B138&amp;".a."&amp;$J$125</f>
        <v>egy.mit.nce.ind.nga.a.1</v>
      </c>
      <c r="H138" s="45" t="str">
        <f>Settings!$B$3&amp;".mit.atp."&amp;$C$125&amp;"."&amp;$B138&amp;".e."&amp;$J$125</f>
        <v>egy.mit.atp.nfm.nga.e.1</v>
      </c>
      <c r="K138" s="18">
        <f>K128+INDEX(Data_Prices!K:K,MATCH($G138,Data_Prices!$A:$A,0))*K$157</f>
        <v>6.0634636156729096</v>
      </c>
      <c r="L138" s="18">
        <f>L128+INDEX(Data_Prices!L:L,MATCH($G138,Data_Prices!$A:$A,0))*L$157</f>
        <v>5.4510150816191896</v>
      </c>
      <c r="M138" s="18">
        <f>M128+INDEX(Data_Prices!M:M,MATCH($G138,Data_Prices!$A:$A,0))*M$157</f>
        <v>5.1193563062624801</v>
      </c>
      <c r="N138" s="18">
        <f>N128+INDEX(Data_Prices!N:N,MATCH($G138,Data_Prices!$A:$A,0))*N$157</f>
        <v>5.08218458640407</v>
      </c>
      <c r="O138" s="18">
        <f>O128+INDEX(Data_Prices!O:O,MATCH($G138,Data_Prices!$A:$A,0))*O$157</f>
        <v>5.08218458640407</v>
      </c>
      <c r="P138" s="18">
        <f>P128+INDEX(Data_Prices!P:P,MATCH($G138,Data_Prices!$A:$A,0))*P$157</f>
        <v>5.08218458640407</v>
      </c>
      <c r="Q138" s="18">
        <f>Q128+INDEX(Data_Prices!Q:Q,MATCH($G138,Data_Prices!$A:$A,0))*Q$157</f>
        <v>5.08218458640407</v>
      </c>
      <c r="R138" s="18">
        <f>R128+INDEX(Data_Prices!R:R,MATCH($G138,Data_Prices!$A:$A,0))*R$157</f>
        <v>5.08218458640407</v>
      </c>
      <c r="S138" s="18">
        <f>S128+INDEX(Data_Prices!S:S,MATCH($G138,Data_Prices!$A:$A,0))*S$157</f>
        <v>5.08218458640407</v>
      </c>
      <c r="T138" s="18">
        <f>T128+INDEX(Data_Prices!T:T,MATCH($G138,Data_Prices!$A:$A,0))*T$157</f>
        <v>5.08218458640407</v>
      </c>
      <c r="U138" s="18">
        <f>U128+INDEX(Data_Prices!U:U,MATCH($G138,Data_Prices!$A:$A,0))*U$157</f>
        <v>5.08218458640407</v>
      </c>
      <c r="V138" s="18">
        <f>V128+INDEX(Data_Prices!V:V,MATCH($G138,Data_Prices!$A:$A,0))*V$157</f>
        <v>5.08218458640407</v>
      </c>
      <c r="W138" s="18">
        <f>W128+INDEX(Data_Prices!W:W,MATCH($G138,Data_Prices!$A:$A,0))*W$157</f>
        <v>5.08218458640407</v>
      </c>
      <c r="X138" s="18">
        <f>X128+INDEX(Data_Prices!X:X,MATCH($G138,Data_Prices!$A:$A,0))*X$157</f>
        <v>5.08218458640407</v>
      </c>
      <c r="Y138" s="18">
        <f>Y128+INDEX(Data_Prices!Y:Y,MATCH($G138,Data_Prices!$A:$A,0))*Y$157</f>
        <v>5.08218458640407</v>
      </c>
      <c r="Z138" s="18">
        <f>Z128+INDEX(Data_Prices!Z:Z,MATCH($G138,Data_Prices!$A:$A,0))*Z$157</f>
        <v>5.08218458640407</v>
      </c>
      <c r="AA138" s="18">
        <f>AA128+INDEX(Data_Prices!AA:AA,MATCH($G138,Data_Prices!$A:$A,0))*AA$157</f>
        <v>5.08218458640407</v>
      </c>
      <c r="AB138" s="18">
        <f>AB128+INDEX(Data_Prices!AB:AB,MATCH($G138,Data_Prices!$A:$A,0))*AB$157</f>
        <v>5.08218458640407</v>
      </c>
      <c r="AC138" s="18">
        <f>AC128+INDEX(Data_Prices!AC:AC,MATCH($G138,Data_Prices!$A:$A,0))*AC$157</f>
        <v>5.08218458640407</v>
      </c>
      <c r="AD138" s="18">
        <f>AD128+INDEX(Data_Prices!AD:AD,MATCH($G138,Data_Prices!$A:$A,0))*AD$157</f>
        <v>5.08218458640407</v>
      </c>
      <c r="AE138" s="18">
        <f>AE128+INDEX(Data_Prices!AE:AE,MATCH($G138,Data_Prices!$A:$A,0))*AE$157</f>
        <v>5.08218458640407</v>
      </c>
    </row>
    <row r="139" spans="2:31" x14ac:dyDescent="0.45">
      <c r="B139" s="14" t="s">
        <v>55</v>
      </c>
      <c r="C139" s="14" t="str">
        <f t="shared" si="13"/>
        <v>nfm</v>
      </c>
      <c r="D139" s="15" t="s">
        <v>56</v>
      </c>
      <c r="E139" s="16" t="s">
        <v>57</v>
      </c>
      <c r="F139" s="14" t="s">
        <v>73</v>
      </c>
      <c r="G139" s="17" t="str">
        <f>Settings!$B$3&amp;".mit.nce."&amp;Settings!$B$4&amp;"."&amp;$B139&amp;".a."&amp;$J$125</f>
        <v>egy.mit.nce.ind.gso.a.1</v>
      </c>
      <c r="H139" s="45" t="str">
        <f>Settings!$B$3&amp;".mit.atp."&amp;$C$125&amp;"."&amp;$B139&amp;".e."&amp;$J$125</f>
        <v>egy.mit.atp.nfm.gso.e.1</v>
      </c>
      <c r="K139" s="18">
        <f>K129+INDEX(Data_Prices!K:K,MATCH($G139,Data_Prices!$A:$A,0))*K$157</f>
        <v>0.67114653332181595</v>
      </c>
      <c r="L139" s="18">
        <f>L129+INDEX(Data_Prices!L:L,MATCH($G139,Data_Prices!$A:$A,0))*L$157</f>
        <v>0.61197797679140598</v>
      </c>
      <c r="M139" s="18">
        <f>M129+INDEX(Data_Prices!M:M,MATCH($G139,Data_Prices!$A:$A,0))*M$157</f>
        <v>0.61180974964187596</v>
      </c>
      <c r="N139" s="18">
        <f>N129+INDEX(Data_Prices!N:N,MATCH($G139,Data_Prices!$A:$A,0))*N$157</f>
        <v>0.60358310017790595</v>
      </c>
      <c r="O139" s="18">
        <f>O129+INDEX(Data_Prices!O:O,MATCH($G139,Data_Prices!$A:$A,0))*O$157</f>
        <v>0.60358310017790595</v>
      </c>
      <c r="P139" s="18">
        <f>P129+INDEX(Data_Prices!P:P,MATCH($G139,Data_Prices!$A:$A,0))*P$157</f>
        <v>0.60358310017790595</v>
      </c>
      <c r="Q139" s="18">
        <f>Q129+INDEX(Data_Prices!Q:Q,MATCH($G139,Data_Prices!$A:$A,0))*Q$157</f>
        <v>0.60358310017790595</v>
      </c>
      <c r="R139" s="18">
        <f>R129+INDEX(Data_Prices!R:R,MATCH($G139,Data_Prices!$A:$A,0))*R$157</f>
        <v>0.60358310017790595</v>
      </c>
      <c r="S139" s="18">
        <f>S129+INDEX(Data_Prices!S:S,MATCH($G139,Data_Prices!$A:$A,0))*S$157</f>
        <v>0.60358310017790595</v>
      </c>
      <c r="T139" s="18">
        <f>T129+INDEX(Data_Prices!T:T,MATCH($G139,Data_Prices!$A:$A,0))*T$157</f>
        <v>0.60358310017790595</v>
      </c>
      <c r="U139" s="18">
        <f>U129+INDEX(Data_Prices!U:U,MATCH($G139,Data_Prices!$A:$A,0))*U$157</f>
        <v>0.60358310017790595</v>
      </c>
      <c r="V139" s="18">
        <f>V129+INDEX(Data_Prices!V:V,MATCH($G139,Data_Prices!$A:$A,0))*V$157</f>
        <v>0.60358310017790595</v>
      </c>
      <c r="W139" s="18">
        <f>W129+INDEX(Data_Prices!W:W,MATCH($G139,Data_Prices!$A:$A,0))*W$157</f>
        <v>0.60358310017790595</v>
      </c>
      <c r="X139" s="18">
        <f>X129+INDEX(Data_Prices!X:X,MATCH($G139,Data_Prices!$A:$A,0))*X$157</f>
        <v>0.60358310017790595</v>
      </c>
      <c r="Y139" s="18">
        <f>Y129+INDEX(Data_Prices!Y:Y,MATCH($G139,Data_Prices!$A:$A,0))*Y$157</f>
        <v>0.60358310017790595</v>
      </c>
      <c r="Z139" s="18">
        <f>Z129+INDEX(Data_Prices!Z:Z,MATCH($G139,Data_Prices!$A:$A,0))*Z$157</f>
        <v>0.60358310017790595</v>
      </c>
      <c r="AA139" s="18">
        <f>AA129+INDEX(Data_Prices!AA:AA,MATCH($G139,Data_Prices!$A:$A,0))*AA$157</f>
        <v>0.60358310017790595</v>
      </c>
      <c r="AB139" s="18">
        <f>AB129+INDEX(Data_Prices!AB:AB,MATCH($G139,Data_Prices!$A:$A,0))*AB$157</f>
        <v>0.60358310017790595</v>
      </c>
      <c r="AC139" s="18">
        <f>AC129+INDEX(Data_Prices!AC:AC,MATCH($G139,Data_Prices!$A:$A,0))*AC$157</f>
        <v>0.60358310017790595</v>
      </c>
      <c r="AD139" s="18">
        <f>AD129+INDEX(Data_Prices!AD:AD,MATCH($G139,Data_Prices!$A:$A,0))*AD$157</f>
        <v>0.60358310017790595</v>
      </c>
      <c r="AE139" s="18">
        <f>AE129+INDEX(Data_Prices!AE:AE,MATCH($G139,Data_Prices!$A:$A,0))*AE$157</f>
        <v>0.60358310017790595</v>
      </c>
    </row>
    <row r="140" spans="2:31" x14ac:dyDescent="0.45">
      <c r="B140" s="14" t="s">
        <v>58</v>
      </c>
      <c r="C140" s="14" t="str">
        <f t="shared" si="13"/>
        <v>nfm</v>
      </c>
      <c r="D140" s="15" t="s">
        <v>59</v>
      </c>
      <c r="E140" s="16" t="s">
        <v>57</v>
      </c>
      <c r="F140" s="14" t="s">
        <v>73</v>
      </c>
      <c r="G140" s="17" t="str">
        <f>Settings!$B$3&amp;".mit.nce."&amp;Settings!$B$4&amp;"."&amp;$B140&amp;".a."&amp;$J$125</f>
        <v>egy.mit.nce.ind.die.a.1</v>
      </c>
      <c r="H140" s="45" t="str">
        <f>Settings!$B$3&amp;".mit.atp."&amp;$C$125&amp;"."&amp;$B140&amp;".e."&amp;$J$125</f>
        <v>egy.mit.atp.nfm.die.e.1</v>
      </c>
      <c r="K140" s="18">
        <f>K130+INDEX(Data_Prices!K:K,MATCH($G140,Data_Prices!$A:$A,0))*K$157</f>
        <v>0.55971121315568795</v>
      </c>
      <c r="L140" s="18">
        <f>L130+INDEX(Data_Prices!L:L,MATCH($G140,Data_Prices!$A:$A,0))*L$157</f>
        <v>0.49458873084106802</v>
      </c>
      <c r="M140" s="18">
        <f>M130+INDEX(Data_Prices!M:M,MATCH($G140,Data_Prices!$A:$A,0))*M$157</f>
        <v>0.50778654720250105</v>
      </c>
      <c r="N140" s="18">
        <f>N130+INDEX(Data_Prices!N:N,MATCH($G140,Data_Prices!$A:$A,0))*N$157</f>
        <v>0.47043642679561698</v>
      </c>
      <c r="O140" s="18">
        <f>O130+INDEX(Data_Prices!O:O,MATCH($G140,Data_Prices!$A:$A,0))*O$157</f>
        <v>0.47043642679561698</v>
      </c>
      <c r="P140" s="18">
        <f>P130+INDEX(Data_Prices!P:P,MATCH($G140,Data_Prices!$A:$A,0))*P$157</f>
        <v>0.47043642679561698</v>
      </c>
      <c r="Q140" s="18">
        <f>Q130+INDEX(Data_Prices!Q:Q,MATCH($G140,Data_Prices!$A:$A,0))*Q$157</f>
        <v>0.47043642679561698</v>
      </c>
      <c r="R140" s="18">
        <f>R130+INDEX(Data_Prices!R:R,MATCH($G140,Data_Prices!$A:$A,0))*R$157</f>
        <v>0.47043642679561698</v>
      </c>
      <c r="S140" s="18">
        <f>S130+INDEX(Data_Prices!S:S,MATCH($G140,Data_Prices!$A:$A,0))*S$157</f>
        <v>0.47043642679561698</v>
      </c>
      <c r="T140" s="18">
        <f>T130+INDEX(Data_Prices!T:T,MATCH($G140,Data_Prices!$A:$A,0))*T$157</f>
        <v>0.47043642679561698</v>
      </c>
      <c r="U140" s="18">
        <f>U130+INDEX(Data_Prices!U:U,MATCH($G140,Data_Prices!$A:$A,0))*U$157</f>
        <v>0.47043642679561698</v>
      </c>
      <c r="V140" s="18">
        <f>V130+INDEX(Data_Prices!V:V,MATCH($G140,Data_Prices!$A:$A,0))*V$157</f>
        <v>0.47043642679561698</v>
      </c>
      <c r="W140" s="18">
        <f>W130+INDEX(Data_Prices!W:W,MATCH($G140,Data_Prices!$A:$A,0))*W$157</f>
        <v>0.47043642679561698</v>
      </c>
      <c r="X140" s="18">
        <f>X130+INDEX(Data_Prices!X:X,MATCH($G140,Data_Prices!$A:$A,0))*X$157</f>
        <v>0.47043642679561698</v>
      </c>
      <c r="Y140" s="18">
        <f>Y130+INDEX(Data_Prices!Y:Y,MATCH($G140,Data_Prices!$A:$A,0))*Y$157</f>
        <v>0.47043642679561698</v>
      </c>
      <c r="Z140" s="18">
        <f>Z130+INDEX(Data_Prices!Z:Z,MATCH($G140,Data_Prices!$A:$A,0))*Z$157</f>
        <v>0.47043642679561698</v>
      </c>
      <c r="AA140" s="18">
        <f>AA130+INDEX(Data_Prices!AA:AA,MATCH($G140,Data_Prices!$A:$A,0))*AA$157</f>
        <v>0.47043642679561698</v>
      </c>
      <c r="AB140" s="18">
        <f>AB130+INDEX(Data_Prices!AB:AB,MATCH($G140,Data_Prices!$A:$A,0))*AB$157</f>
        <v>0.47043642679561698</v>
      </c>
      <c r="AC140" s="18">
        <f>AC130+INDEX(Data_Prices!AC:AC,MATCH($G140,Data_Prices!$A:$A,0))*AC$157</f>
        <v>0.47043642679561698</v>
      </c>
      <c r="AD140" s="18">
        <f>AD130+INDEX(Data_Prices!AD:AD,MATCH($G140,Data_Prices!$A:$A,0))*AD$157</f>
        <v>0.47043642679561698</v>
      </c>
      <c r="AE140" s="18">
        <f>AE130+INDEX(Data_Prices!AE:AE,MATCH($G140,Data_Prices!$A:$A,0))*AE$157</f>
        <v>0.47043642679561698</v>
      </c>
    </row>
    <row r="141" spans="2:31" x14ac:dyDescent="0.45">
      <c r="B141" s="14" t="s">
        <v>60</v>
      </c>
      <c r="C141" s="14" t="str">
        <f t="shared" si="13"/>
        <v>nfm</v>
      </c>
      <c r="D141" s="15" t="s">
        <v>61</v>
      </c>
      <c r="E141" s="16" t="s">
        <v>57</v>
      </c>
      <c r="F141" s="14" t="s">
        <v>73</v>
      </c>
      <c r="G141" s="17" t="str">
        <f>Settings!$B$3&amp;".mit.nce."&amp;Settings!$B$4&amp;"."&amp;$B141&amp;".a."&amp;$J$125</f>
        <v>egy.mit.nce.ind.lpg.a.1</v>
      </c>
      <c r="H141" s="45" t="str">
        <f>Settings!$B$3&amp;".mit.atp."&amp;$C$125&amp;"."&amp;$B141&amp;".e."&amp;$J$125</f>
        <v>egy.mit.atp.nfm.lpg.e.1</v>
      </c>
      <c r="K141" s="18">
        <f>K131+INDEX(Data_Prices!K:K,MATCH($G141,Data_Prices!$A:$A,0))*K$157</f>
        <v>0.20036669112673799</v>
      </c>
      <c r="L141" s="18">
        <f>L131+INDEX(Data_Prices!L:L,MATCH($G141,Data_Prices!$A:$A,0))*L$157</f>
        <v>0.15734473625227399</v>
      </c>
      <c r="M141" s="18">
        <f>M131+INDEX(Data_Prices!M:M,MATCH($G141,Data_Prices!$A:$A,0))*M$157</f>
        <v>0.164484037759277</v>
      </c>
      <c r="N141" s="18">
        <f>N131+INDEX(Data_Prices!N:N,MATCH($G141,Data_Prices!$A:$A,0))*N$157</f>
        <v>0.15070907780704901</v>
      </c>
      <c r="O141" s="18">
        <f>O131+INDEX(Data_Prices!O:O,MATCH($G141,Data_Prices!$A:$A,0))*O$157</f>
        <v>0.15070907780704901</v>
      </c>
      <c r="P141" s="18">
        <f>P131+INDEX(Data_Prices!P:P,MATCH($G141,Data_Prices!$A:$A,0))*P$157</f>
        <v>0.15070907780704901</v>
      </c>
      <c r="Q141" s="18">
        <f>Q131+INDEX(Data_Prices!Q:Q,MATCH($G141,Data_Prices!$A:$A,0))*Q$157</f>
        <v>0.15070907780704901</v>
      </c>
      <c r="R141" s="18">
        <f>R131+INDEX(Data_Prices!R:R,MATCH($G141,Data_Prices!$A:$A,0))*R$157</f>
        <v>0.15070907780704901</v>
      </c>
      <c r="S141" s="18">
        <f>S131+INDEX(Data_Prices!S:S,MATCH($G141,Data_Prices!$A:$A,0))*S$157</f>
        <v>0.15070907780704901</v>
      </c>
      <c r="T141" s="18">
        <f>T131+INDEX(Data_Prices!T:T,MATCH($G141,Data_Prices!$A:$A,0))*T$157</f>
        <v>0.15070907780704901</v>
      </c>
      <c r="U141" s="18">
        <f>U131+INDEX(Data_Prices!U:U,MATCH($G141,Data_Prices!$A:$A,0))*U$157</f>
        <v>0.15070907780704901</v>
      </c>
      <c r="V141" s="18">
        <f>V131+INDEX(Data_Prices!V:V,MATCH($G141,Data_Prices!$A:$A,0))*V$157</f>
        <v>0.15070907780704901</v>
      </c>
      <c r="W141" s="18">
        <f>W131+INDEX(Data_Prices!W:W,MATCH($G141,Data_Prices!$A:$A,0))*W$157</f>
        <v>0.15070907780704901</v>
      </c>
      <c r="X141" s="18">
        <f>X131+INDEX(Data_Prices!X:X,MATCH($G141,Data_Prices!$A:$A,0))*X$157</f>
        <v>0.15070907780704901</v>
      </c>
      <c r="Y141" s="18">
        <f>Y131+INDEX(Data_Prices!Y:Y,MATCH($G141,Data_Prices!$A:$A,0))*Y$157</f>
        <v>0.15070907780704901</v>
      </c>
      <c r="Z141" s="18">
        <f>Z131+INDEX(Data_Prices!Z:Z,MATCH($G141,Data_Prices!$A:$A,0))*Z$157</f>
        <v>0.15070907780704901</v>
      </c>
      <c r="AA141" s="18">
        <f>AA131+INDEX(Data_Prices!AA:AA,MATCH($G141,Data_Prices!$A:$A,0))*AA$157</f>
        <v>0.15070907780704901</v>
      </c>
      <c r="AB141" s="18">
        <f>AB131+INDEX(Data_Prices!AB:AB,MATCH($G141,Data_Prices!$A:$A,0))*AB$157</f>
        <v>0.15070907780704901</v>
      </c>
      <c r="AC141" s="18">
        <f>AC131+INDEX(Data_Prices!AC:AC,MATCH($G141,Data_Prices!$A:$A,0))*AC$157</f>
        <v>0.15070907780704901</v>
      </c>
      <c r="AD141" s="18">
        <f>AD131+INDEX(Data_Prices!AD:AD,MATCH($G141,Data_Prices!$A:$A,0))*AD$157</f>
        <v>0.15070907780704901</v>
      </c>
      <c r="AE141" s="18">
        <f>AE131+INDEX(Data_Prices!AE:AE,MATCH($G141,Data_Prices!$A:$A,0))*AE$157</f>
        <v>0.15070907780704901</v>
      </c>
    </row>
    <row r="142" spans="2:31" x14ac:dyDescent="0.45">
      <c r="B142" s="14" t="s">
        <v>62</v>
      </c>
      <c r="C142" s="14" t="str">
        <f t="shared" si="13"/>
        <v>nfm</v>
      </c>
      <c r="D142" s="15" t="s">
        <v>63</v>
      </c>
      <c r="E142" s="16" t="s">
        <v>57</v>
      </c>
      <c r="F142" s="14" t="s">
        <v>73</v>
      </c>
      <c r="G142" s="17" t="str">
        <f>Settings!$B$3&amp;".mit.nce."&amp;Settings!$B$4&amp;"."&amp;$B142&amp;".a."&amp;$J$125</f>
        <v>egy.mit.nce.ind.ker.a.1</v>
      </c>
      <c r="H142" s="45" t="str">
        <f>Settings!$B$3&amp;".mit.atp."&amp;$C$125&amp;"."&amp;$B142&amp;".e."&amp;$J$125</f>
        <v>egy.mit.atp.nfm.ker.e.1</v>
      </c>
      <c r="K142" s="18">
        <f>K132+INDEX(Data_Prices!K:K,MATCH($G142,Data_Prices!$A:$A,0))*K$157</f>
        <v>0.48429424097343499</v>
      </c>
      <c r="L142" s="18">
        <f>L132+INDEX(Data_Prices!L:L,MATCH($G142,Data_Prices!$A:$A,0))*L$157</f>
        <v>0.45642817050012802</v>
      </c>
      <c r="M142" s="18">
        <f>M132+INDEX(Data_Prices!M:M,MATCH($G142,Data_Prices!$A:$A,0))*M$157</f>
        <v>0.43168920195599497</v>
      </c>
      <c r="N142" s="18">
        <f>N132+INDEX(Data_Prices!N:N,MATCH($G142,Data_Prices!$A:$A,0))*N$157</f>
        <v>0.42507558395597</v>
      </c>
      <c r="O142" s="18">
        <f>O132+INDEX(Data_Prices!O:O,MATCH($G142,Data_Prices!$A:$A,0))*O$157</f>
        <v>0.42507558395597</v>
      </c>
      <c r="P142" s="18">
        <f>P132+INDEX(Data_Prices!P:P,MATCH($G142,Data_Prices!$A:$A,0))*P$157</f>
        <v>0.42507558395597</v>
      </c>
      <c r="Q142" s="18">
        <f>Q132+INDEX(Data_Prices!Q:Q,MATCH($G142,Data_Prices!$A:$A,0))*Q$157</f>
        <v>0.42507558395597</v>
      </c>
      <c r="R142" s="18">
        <f>R132+INDEX(Data_Prices!R:R,MATCH($G142,Data_Prices!$A:$A,0))*R$157</f>
        <v>0.42507558395597</v>
      </c>
      <c r="S142" s="18">
        <f>S132+INDEX(Data_Prices!S:S,MATCH($G142,Data_Prices!$A:$A,0))*S$157</f>
        <v>0.42507558395597</v>
      </c>
      <c r="T142" s="18">
        <f>T132+INDEX(Data_Prices!T:T,MATCH($G142,Data_Prices!$A:$A,0))*T$157</f>
        <v>0.42507558395597</v>
      </c>
      <c r="U142" s="18">
        <f>U132+INDEX(Data_Prices!U:U,MATCH($G142,Data_Prices!$A:$A,0))*U$157</f>
        <v>0.42507558395597</v>
      </c>
      <c r="V142" s="18">
        <f>V132+INDEX(Data_Prices!V:V,MATCH($G142,Data_Prices!$A:$A,0))*V$157</f>
        <v>0.42507558395597</v>
      </c>
      <c r="W142" s="18">
        <f>W132+INDEX(Data_Prices!W:W,MATCH($G142,Data_Prices!$A:$A,0))*W$157</f>
        <v>0.42507558395597</v>
      </c>
      <c r="X142" s="18">
        <f>X132+INDEX(Data_Prices!X:X,MATCH($G142,Data_Prices!$A:$A,0))*X$157</f>
        <v>0.42507558395597</v>
      </c>
      <c r="Y142" s="18">
        <f>Y132+INDEX(Data_Prices!Y:Y,MATCH($G142,Data_Prices!$A:$A,0))*Y$157</f>
        <v>0.42507558395597</v>
      </c>
      <c r="Z142" s="18">
        <f>Z132+INDEX(Data_Prices!Z:Z,MATCH($G142,Data_Prices!$A:$A,0))*Z$157</f>
        <v>0.42507558395597</v>
      </c>
      <c r="AA142" s="18">
        <f>AA132+INDEX(Data_Prices!AA:AA,MATCH($G142,Data_Prices!$A:$A,0))*AA$157</f>
        <v>0.42507558395597</v>
      </c>
      <c r="AB142" s="18">
        <f>AB132+INDEX(Data_Prices!AB:AB,MATCH($G142,Data_Prices!$A:$A,0))*AB$157</f>
        <v>0.42507558395597</v>
      </c>
      <c r="AC142" s="18">
        <f>AC132+INDEX(Data_Prices!AC:AC,MATCH($G142,Data_Prices!$A:$A,0))*AC$157</f>
        <v>0.42507558395597</v>
      </c>
      <c r="AD142" s="18">
        <f>AD132+INDEX(Data_Prices!AD:AD,MATCH($G142,Data_Prices!$A:$A,0))*AD$157</f>
        <v>0.42507558395597</v>
      </c>
      <c r="AE142" s="18">
        <f>AE132+INDEX(Data_Prices!AE:AE,MATCH($G142,Data_Prices!$A:$A,0))*AE$157</f>
        <v>0.42507558395597</v>
      </c>
    </row>
    <row r="143" spans="2:31" x14ac:dyDescent="0.45">
      <c r="B143" s="14" t="s">
        <v>64</v>
      </c>
      <c r="C143" s="14" t="str">
        <f t="shared" si="13"/>
        <v>nfm</v>
      </c>
      <c r="D143" s="15" t="s">
        <v>65</v>
      </c>
      <c r="E143" s="16" t="s">
        <v>66</v>
      </c>
      <c r="F143" s="14" t="s">
        <v>73</v>
      </c>
      <c r="G143" s="17" t="str">
        <f>Settings!$B$3&amp;".mit.nce."&amp;Settings!$B$4&amp;"."&amp;$B143&amp;".a."&amp;$J$125</f>
        <v>egy.mit.nce.ind.oop.a.1</v>
      </c>
      <c r="H143" s="45" t="str">
        <f>Settings!$B$3&amp;".mit.atp."&amp;$C$125&amp;"."&amp;$B143&amp;".e."&amp;$J$125</f>
        <v>egy.mit.atp.nfm.oop.e.1</v>
      </c>
      <c r="K143" s="18">
        <f>K133+INDEX(Data_Prices!K:K,MATCH($G143,Data_Prices!$A:$A,0))*K$157</f>
        <v>41.500338498868402</v>
      </c>
      <c r="L143" s="18">
        <f>L133+INDEX(Data_Prices!L:L,MATCH($G143,Data_Prices!$A:$A,0))*L$157</f>
        <v>34.4153703043132</v>
      </c>
      <c r="M143" s="18">
        <f>M133+INDEX(Data_Prices!M:M,MATCH($G143,Data_Prices!$A:$A,0))*M$157</f>
        <v>37.368960690431997</v>
      </c>
      <c r="N143" s="18">
        <f>N133+INDEX(Data_Prices!N:N,MATCH($G143,Data_Prices!$A:$A,0))*N$157</f>
        <v>28.982761101477301</v>
      </c>
      <c r="O143" s="18">
        <f>O133+INDEX(Data_Prices!O:O,MATCH($G143,Data_Prices!$A:$A,0))*O$157</f>
        <v>15</v>
      </c>
      <c r="P143" s="18">
        <f>P133+INDEX(Data_Prices!P:P,MATCH($G143,Data_Prices!$A:$A,0))*P$157</f>
        <v>24.2586300842555</v>
      </c>
      <c r="Q143" s="18">
        <f>Q133+INDEX(Data_Prices!Q:Q,MATCH($G143,Data_Prices!$A:$A,0))*Q$157</f>
        <v>15</v>
      </c>
      <c r="R143" s="18">
        <f>R133+INDEX(Data_Prices!R:R,MATCH($G143,Data_Prices!$A:$A,0))*R$157</f>
        <v>15</v>
      </c>
      <c r="S143" s="18">
        <f>S133+INDEX(Data_Prices!S:S,MATCH($G143,Data_Prices!$A:$A,0))*S$157</f>
        <v>15</v>
      </c>
      <c r="T143" s="18">
        <f>T133+INDEX(Data_Prices!T:T,MATCH($G143,Data_Prices!$A:$A,0))*T$157</f>
        <v>15</v>
      </c>
      <c r="U143" s="18">
        <f>U133+INDEX(Data_Prices!U:U,MATCH($G143,Data_Prices!$A:$A,0))*U$157</f>
        <v>15</v>
      </c>
      <c r="V143" s="18">
        <f>V133+INDEX(Data_Prices!V:V,MATCH($G143,Data_Prices!$A:$A,0))*V$157</f>
        <v>15</v>
      </c>
      <c r="W143" s="18">
        <f>W133+INDEX(Data_Prices!W:W,MATCH($G143,Data_Prices!$A:$A,0))*W$157</f>
        <v>15</v>
      </c>
      <c r="X143" s="18">
        <f>X133+INDEX(Data_Prices!X:X,MATCH($G143,Data_Prices!$A:$A,0))*X$157</f>
        <v>15</v>
      </c>
      <c r="Y143" s="18">
        <f>Y133+INDEX(Data_Prices!Y:Y,MATCH($G143,Data_Prices!$A:$A,0))*Y$157</f>
        <v>15</v>
      </c>
      <c r="Z143" s="18">
        <f>Z133+INDEX(Data_Prices!Z:Z,MATCH($G143,Data_Prices!$A:$A,0))*Z$157</f>
        <v>15</v>
      </c>
      <c r="AA143" s="18">
        <f>AA133+INDEX(Data_Prices!AA:AA,MATCH($G143,Data_Prices!$A:$A,0))*AA$157</f>
        <v>15</v>
      </c>
      <c r="AB143" s="18">
        <f>AB133+INDEX(Data_Prices!AB:AB,MATCH($G143,Data_Prices!$A:$A,0))*AB$157</f>
        <v>15</v>
      </c>
      <c r="AC143" s="18">
        <f>AC133+INDEX(Data_Prices!AC:AC,MATCH($G143,Data_Prices!$A:$A,0))*AC$157</f>
        <v>15</v>
      </c>
      <c r="AD143" s="18">
        <f>AD133+INDEX(Data_Prices!AD:AD,MATCH($G143,Data_Prices!$A:$A,0))*AD$157</f>
        <v>15</v>
      </c>
      <c r="AE143" s="18">
        <f>AE133+INDEX(Data_Prices!AE:AE,MATCH($G143,Data_Prices!$A:$A,0))*AE$157</f>
        <v>15</v>
      </c>
    </row>
    <row r="144" spans="2:31" x14ac:dyDescent="0.45">
      <c r="B144" s="14" t="s">
        <v>67</v>
      </c>
      <c r="C144" s="14" t="str">
        <f t="shared" si="13"/>
        <v>nfm</v>
      </c>
      <c r="D144" s="15" t="s">
        <v>68</v>
      </c>
      <c r="E144" s="16" t="s">
        <v>51</v>
      </c>
      <c r="F144" s="14" t="s">
        <v>73</v>
      </c>
      <c r="G144" s="17" t="str">
        <f>Settings!$B$3&amp;".mit.nce."&amp;Settings!$B$4&amp;"."&amp;$B144&amp;".a."&amp;$J$125</f>
        <v>egy.mit.nce.ind.bio.a.1</v>
      </c>
      <c r="H144" s="45" t="str">
        <f>Settings!$B$3&amp;".mit.atp."&amp;$C$125&amp;"."&amp;$B144&amp;".e."&amp;$J$125</f>
        <v>egy.mit.atp.nfm.bio.e.1</v>
      </c>
      <c r="K144" s="18">
        <f>K134+INDEX(Data_Prices!K:K,MATCH($G144,Data_Prices!$A:$A,0))*K$157</f>
        <v>15.3345505293169</v>
      </c>
      <c r="L144" s="18">
        <f>L134+INDEX(Data_Prices!L:L,MATCH($G144,Data_Prices!$A:$A,0))*L$157</f>
        <v>14.199528390634899</v>
      </c>
      <c r="M144" s="18">
        <f>M134+INDEX(Data_Prices!M:M,MATCH($G144,Data_Prices!$A:$A,0))*M$157</f>
        <v>13.8404416133152</v>
      </c>
      <c r="N144" s="18">
        <f>N134+INDEX(Data_Prices!N:N,MATCH($G144,Data_Prices!$A:$A,0))*N$157</f>
        <v>13.5677269404465</v>
      </c>
      <c r="O144" s="18">
        <f>O134+INDEX(Data_Prices!O:O,MATCH($G144,Data_Prices!$A:$A,0))*O$157</f>
        <v>13.5677269404465</v>
      </c>
      <c r="P144" s="18">
        <f>P134+INDEX(Data_Prices!P:P,MATCH($G144,Data_Prices!$A:$A,0))*P$157</f>
        <v>13.5677269404465</v>
      </c>
      <c r="Q144" s="18">
        <f>Q134+INDEX(Data_Prices!Q:Q,MATCH($G144,Data_Prices!$A:$A,0))*Q$157</f>
        <v>13.5677269404465</v>
      </c>
      <c r="R144" s="18">
        <f>R134+INDEX(Data_Prices!R:R,MATCH($G144,Data_Prices!$A:$A,0))*R$157</f>
        <v>13.5677269404465</v>
      </c>
      <c r="S144" s="18">
        <f>S134+INDEX(Data_Prices!S:S,MATCH($G144,Data_Prices!$A:$A,0))*S$157</f>
        <v>13.5677269404465</v>
      </c>
      <c r="T144" s="18">
        <f>T134+INDEX(Data_Prices!T:T,MATCH($G144,Data_Prices!$A:$A,0))*T$157</f>
        <v>13.5677269404465</v>
      </c>
      <c r="U144" s="18">
        <f>U134+INDEX(Data_Prices!U:U,MATCH($G144,Data_Prices!$A:$A,0))*U$157</f>
        <v>13.5677269404465</v>
      </c>
      <c r="V144" s="18">
        <f>V134+INDEX(Data_Prices!V:V,MATCH($G144,Data_Prices!$A:$A,0))*V$157</f>
        <v>13.5677269404465</v>
      </c>
      <c r="W144" s="18">
        <f>W134+INDEX(Data_Prices!W:W,MATCH($G144,Data_Prices!$A:$A,0))*W$157</f>
        <v>13.5677269404465</v>
      </c>
      <c r="X144" s="18">
        <f>X134+INDEX(Data_Prices!X:X,MATCH($G144,Data_Prices!$A:$A,0))*X$157</f>
        <v>13.5677269404465</v>
      </c>
      <c r="Y144" s="18">
        <f>Y134+INDEX(Data_Prices!Y:Y,MATCH($G144,Data_Prices!$A:$A,0))*Y$157</f>
        <v>13.5677269404465</v>
      </c>
      <c r="Z144" s="18">
        <f>Z134+INDEX(Data_Prices!Z:Z,MATCH($G144,Data_Prices!$A:$A,0))*Z$157</f>
        <v>13.5677269404465</v>
      </c>
      <c r="AA144" s="18">
        <f>AA134+INDEX(Data_Prices!AA:AA,MATCH($G144,Data_Prices!$A:$A,0))*AA$157</f>
        <v>13.5677269404465</v>
      </c>
      <c r="AB144" s="18">
        <f>AB134+INDEX(Data_Prices!AB:AB,MATCH($G144,Data_Prices!$A:$A,0))*AB$157</f>
        <v>13.5677269404465</v>
      </c>
      <c r="AC144" s="18">
        <f>AC134+INDEX(Data_Prices!AC:AC,MATCH($G144,Data_Prices!$A:$A,0))*AC$157</f>
        <v>13.5677269404465</v>
      </c>
      <c r="AD144" s="18">
        <f>AD134+INDEX(Data_Prices!AD:AD,MATCH($G144,Data_Prices!$A:$A,0))*AD$157</f>
        <v>13.5677269404465</v>
      </c>
      <c r="AE144" s="18">
        <f>AE134+INDEX(Data_Prices!AE:AE,MATCH($G144,Data_Prices!$A:$A,0))*AE$157</f>
        <v>13.5677269404465</v>
      </c>
    </row>
    <row r="145" spans="2:31" x14ac:dyDescent="0.45">
      <c r="B145" s="14" t="s">
        <v>69</v>
      </c>
      <c r="C145" s="14" t="str">
        <f t="shared" si="13"/>
        <v>nfm</v>
      </c>
      <c r="D145" s="15" t="s">
        <v>70</v>
      </c>
      <c r="E145" s="16" t="s">
        <v>71</v>
      </c>
      <c r="F145" s="14" t="s">
        <v>73</v>
      </c>
      <c r="G145" s="17" t="str">
        <f>Settings!$B$3&amp;".mit.nce."&amp;Settings!$B$4&amp;"."&amp;$B145&amp;".a."&amp;$J$125</f>
        <v>egy.mit.nce.ind.ren.a.1</v>
      </c>
      <c r="H145" s="45" t="str">
        <f>Settings!$B$3&amp;".mit.atp."&amp;$C$125&amp;"."&amp;$B145&amp;".e."&amp;$J$125</f>
        <v>egy.mit.atp.nfm.ren.e.1</v>
      </c>
      <c r="K145" s="18">
        <f>K135+INDEX(Data_Prices!K:K,MATCH($G145,Data_Prices!$A:$A,0))*K$157</f>
        <v>0</v>
      </c>
      <c r="L145" s="18">
        <f>L135+INDEX(Data_Prices!L:L,MATCH($G145,Data_Prices!$A:$A,0))*L$157</f>
        <v>0.14404498679319799</v>
      </c>
      <c r="M145" s="18">
        <f>M135+INDEX(Data_Prices!M:M,MATCH($G145,Data_Prices!$A:$A,0))*M$157</f>
        <v>0.14102040965700399</v>
      </c>
      <c r="N145" s="18">
        <f>N135+INDEX(Data_Prices!N:N,MATCH($G145,Data_Prices!$A:$A,0))*N$157</f>
        <v>0.13511635959447599</v>
      </c>
      <c r="O145" s="18">
        <f>O135+INDEX(Data_Prices!O:O,MATCH($G145,Data_Prices!$A:$A,0))*O$157</f>
        <v>0.13098825698585601</v>
      </c>
      <c r="P145" s="18">
        <f>P135+INDEX(Data_Prices!P:P,MATCH($G145,Data_Prices!$A:$A,0))*P$157</f>
        <v>0.12790841608631801</v>
      </c>
      <c r="Q145" s="18">
        <f>Q135+INDEX(Data_Prices!Q:Q,MATCH($G145,Data_Prices!$A:$A,0))*Q$157</f>
        <v>0.124814310557813</v>
      </c>
      <c r="R145" s="18">
        <f>R135+INDEX(Data_Prices!R:R,MATCH($G145,Data_Prices!$A:$A,0))*R$157</f>
        <v>0.121460257122878</v>
      </c>
      <c r="S145" s="18">
        <f>S135+INDEX(Data_Prices!S:S,MATCH($G145,Data_Prices!$A:$A,0))*S$157</f>
        <v>0.117950744135786</v>
      </c>
      <c r="T145" s="18">
        <f>T135+INDEX(Data_Prices!T:T,MATCH($G145,Data_Prices!$A:$A,0))*T$157</f>
        <v>0.114199161044597</v>
      </c>
      <c r="U145" s="18">
        <f>U135+INDEX(Data_Prices!U:U,MATCH($G145,Data_Prices!$A:$A,0))*U$157</f>
        <v>0.113665100059665</v>
      </c>
      <c r="V145" s="18">
        <f>V135+INDEX(Data_Prices!V:V,MATCH($G145,Data_Prices!$A:$A,0))*V$157</f>
        <v>0.113016929625957</v>
      </c>
      <c r="W145" s="18">
        <f>W135+INDEX(Data_Prices!W:W,MATCH($G145,Data_Prices!$A:$A,0))*W$157</f>
        <v>0.112314070507636</v>
      </c>
      <c r="X145" s="18">
        <f>X135+INDEX(Data_Prices!X:X,MATCH($G145,Data_Prices!$A:$A,0))*X$157</f>
        <v>0.11142204273284299</v>
      </c>
      <c r="Y145" s="18">
        <f>Y135+INDEX(Data_Prices!Y:Y,MATCH($G145,Data_Prices!$A:$A,0))*Y$157</f>
        <v>0.110434123675809</v>
      </c>
      <c r="Z145" s="18">
        <f>Z135+INDEX(Data_Prices!Z:Z,MATCH($G145,Data_Prices!$A:$A,0))*Z$157</f>
        <v>0.109483973304471</v>
      </c>
      <c r="AA145" s="18">
        <f>AA135+INDEX(Data_Prices!AA:AA,MATCH($G145,Data_Prices!$A:$A,0))*AA$157</f>
        <v>0.10839192105294</v>
      </c>
      <c r="AB145" s="18">
        <f>AB135+INDEX(Data_Prices!AB:AB,MATCH($G145,Data_Prices!$A:$A,0))*AB$157</f>
        <v>0.10735443362670399</v>
      </c>
      <c r="AC145" s="18">
        <f>AC135+INDEX(Data_Prices!AC:AC,MATCH($G145,Data_Prices!$A:$A,0))*AC$157</f>
        <v>0.105168675441661</v>
      </c>
      <c r="AD145" s="18">
        <f>AD135+INDEX(Data_Prices!AD:AD,MATCH($G145,Data_Prices!$A:$A,0))*AD$157</f>
        <v>0.103057983256008</v>
      </c>
      <c r="AE145" s="18">
        <f>AE135+INDEX(Data_Prices!AE:AE,MATCH($G145,Data_Prices!$A:$A,0))*AE$157</f>
        <v>0.100931838990114</v>
      </c>
    </row>
    <row r="146" spans="2:31" x14ac:dyDescent="0.45">
      <c r="B146" s="13" t="s">
        <v>74</v>
      </c>
    </row>
    <row r="147" spans="2:31" x14ac:dyDescent="0.45">
      <c r="B147" s="14" t="s">
        <v>49</v>
      </c>
      <c r="C147" s="14" t="str">
        <f t="shared" ref="C147:C155" si="14">$C$125</f>
        <v>nfm</v>
      </c>
      <c r="D147" s="15" t="s">
        <v>50</v>
      </c>
      <c r="E147" s="16" t="s">
        <v>51</v>
      </c>
      <c r="F147" s="14" t="s">
        <v>75</v>
      </c>
      <c r="G147" s="17" t="str">
        <f>Settings!$B$3&amp;".mit.shp."&amp;$B147&amp;"."&amp;Settings!$B$4&amp;"."&amp;$J$125</f>
        <v>egy.mit.shp.coa.ind.1</v>
      </c>
      <c r="H147" s="45" t="str">
        <f>Settings!$B$3&amp;".mit.shp."&amp;$C$125&amp;"."&amp;$B147&amp;".e."&amp;$J$125</f>
        <v>egy.mit.shp.nfm.coa.e.1</v>
      </c>
      <c r="K147" s="19">
        <f>K137+INDEX(Data_Prices!K:K,MATCH($G147,Data_Prices!$A:$A,0))*K$158</f>
        <v>11.182901589243899</v>
      </c>
      <c r="L147" s="19">
        <f>L137+INDEX(Data_Prices!L:L,MATCH($G147,Data_Prices!$A:$A,0))*L$158</f>
        <v>10.5233613454312</v>
      </c>
      <c r="M147" s="19">
        <f>M137+INDEX(Data_Prices!M:M,MATCH($G147,Data_Prices!$A:$A,0))*M$158</f>
        <v>10.2995608274442</v>
      </c>
      <c r="N147" s="19">
        <f>N137+INDEX(Data_Prices!N:N,MATCH($G147,Data_Prices!$A:$A,0))*N$158</f>
        <v>9.5775283595382597</v>
      </c>
      <c r="O147" s="19">
        <f>O137+INDEX(Data_Prices!O:O,MATCH($G147,Data_Prices!$A:$A,0))*O$158</f>
        <v>8.4854782869580507</v>
      </c>
      <c r="P147" s="19">
        <f>P137+INDEX(Data_Prices!P:P,MATCH($G147,Data_Prices!$A:$A,0))*P$158</f>
        <v>9.0871922352498604</v>
      </c>
      <c r="Q147" s="19">
        <f>Q137+INDEX(Data_Prices!Q:Q,MATCH($G147,Data_Prices!$A:$A,0))*Q$158</f>
        <v>9.2229237289326793</v>
      </c>
      <c r="R147" s="19">
        <f>R137+INDEX(Data_Prices!R:R,MATCH($G147,Data_Prices!$A:$A,0))*R$158</f>
        <v>9.1585649555096893</v>
      </c>
      <c r="S147" s="19">
        <f>S137+INDEX(Data_Prices!S:S,MATCH($G147,Data_Prices!$A:$A,0))*S$158</f>
        <v>9.0895478773973792</v>
      </c>
      <c r="T147" s="19">
        <f>T137+INDEX(Data_Prices!T:T,MATCH($G147,Data_Prices!$A:$A,0))*T$158</f>
        <v>9.0156816660228305</v>
      </c>
      <c r="U147" s="19">
        <f>U137+INDEX(Data_Prices!U:U,MATCH($G147,Data_Prices!$A:$A,0))*U$158</f>
        <v>8.9443977655571096</v>
      </c>
      <c r="V147" s="19">
        <f>V137+INDEX(Data_Prices!V:V,MATCH($G147,Data_Prices!$A:$A,0))*V$158</f>
        <v>8.9443977655571096</v>
      </c>
      <c r="W147" s="19">
        <f>W137+INDEX(Data_Prices!W:W,MATCH($G147,Data_Prices!$A:$A,0))*W$158</f>
        <v>8.9443977655571096</v>
      </c>
      <c r="X147" s="19">
        <f>X137+INDEX(Data_Prices!X:X,MATCH($G147,Data_Prices!$A:$A,0))*X$158</f>
        <v>8.9443977655571096</v>
      </c>
      <c r="Y147" s="19">
        <f>Y137+INDEX(Data_Prices!Y:Y,MATCH($G147,Data_Prices!$A:$A,0))*Y$158</f>
        <v>8.9443977655571096</v>
      </c>
      <c r="Z147" s="19">
        <f>Z137+INDEX(Data_Prices!Z:Z,MATCH($G147,Data_Prices!$A:$A,0))*Z$158</f>
        <v>8.9443977655571096</v>
      </c>
      <c r="AA147" s="19">
        <f>AA137+INDEX(Data_Prices!AA:AA,MATCH($G147,Data_Prices!$A:$A,0))*AA$158</f>
        <v>8.9443977655571096</v>
      </c>
      <c r="AB147" s="19">
        <f>AB137+INDEX(Data_Prices!AB:AB,MATCH($G147,Data_Prices!$A:$A,0))*AB$158</f>
        <v>8.9443977655571096</v>
      </c>
      <c r="AC147" s="19">
        <f>AC137+INDEX(Data_Prices!AC:AC,MATCH($G147,Data_Prices!$A:$A,0))*AC$158</f>
        <v>8.9443977655571096</v>
      </c>
      <c r="AD147" s="19">
        <f>AD137+INDEX(Data_Prices!AD:AD,MATCH($G147,Data_Prices!$A:$A,0))*AD$158</f>
        <v>8.9443977655571096</v>
      </c>
      <c r="AE147" s="19">
        <f>AE137+INDEX(Data_Prices!AE:AE,MATCH($G147,Data_Prices!$A:$A,0))*AE$158</f>
        <v>8.9443977655571096</v>
      </c>
    </row>
    <row r="148" spans="2:31" x14ac:dyDescent="0.45">
      <c r="B148" s="14" t="s">
        <v>53</v>
      </c>
      <c r="C148" s="14" t="str">
        <f t="shared" si="14"/>
        <v>nfm</v>
      </c>
      <c r="D148" s="15" t="s">
        <v>54</v>
      </c>
      <c r="E148" s="16" t="s">
        <v>51</v>
      </c>
      <c r="F148" s="14" t="s">
        <v>75</v>
      </c>
      <c r="G148" s="17" t="str">
        <f>Settings!$B$3&amp;".mit.shp."&amp;$B148&amp;"."&amp;Settings!$B$4&amp;"."&amp;$J$125</f>
        <v>egy.mit.shp.nga.ind.1</v>
      </c>
      <c r="H148" s="45" t="str">
        <f>Settings!$B$3&amp;".mit.shp."&amp;$C$125&amp;"."&amp;$B148&amp;".e."&amp;$J$125</f>
        <v>egy.mit.shp.nfm.nga.e.1</v>
      </c>
      <c r="K148" s="19">
        <f>K138+INDEX(Data_Prices!K:K,MATCH($G148,Data_Prices!$A:$A,0))*K$158</f>
        <v>6.0634636156729096</v>
      </c>
      <c r="L148" s="19">
        <f>L138+INDEX(Data_Prices!L:L,MATCH($G148,Data_Prices!$A:$A,0))*L$158</f>
        <v>5.4510150816191896</v>
      </c>
      <c r="M148" s="19">
        <f>M138+INDEX(Data_Prices!M:M,MATCH($G148,Data_Prices!$A:$A,0))*M$158</f>
        <v>5.1193563062624801</v>
      </c>
      <c r="N148" s="19">
        <f>N138+INDEX(Data_Prices!N:N,MATCH($G148,Data_Prices!$A:$A,0))*N$158</f>
        <v>5.08218458640407</v>
      </c>
      <c r="O148" s="19">
        <f>O138+INDEX(Data_Prices!O:O,MATCH($G148,Data_Prices!$A:$A,0))*O$158</f>
        <v>5.08218458640407</v>
      </c>
      <c r="P148" s="19">
        <f>P138+INDEX(Data_Prices!P:P,MATCH($G148,Data_Prices!$A:$A,0))*P$158</f>
        <v>5.08218458640407</v>
      </c>
      <c r="Q148" s="19">
        <f>Q138+INDEX(Data_Prices!Q:Q,MATCH($G148,Data_Prices!$A:$A,0))*Q$158</f>
        <v>5.08218458640407</v>
      </c>
      <c r="R148" s="19">
        <f>R138+INDEX(Data_Prices!R:R,MATCH($G148,Data_Prices!$A:$A,0))*R$158</f>
        <v>5.08218458640407</v>
      </c>
      <c r="S148" s="19">
        <f>S138+INDEX(Data_Prices!S:S,MATCH($G148,Data_Prices!$A:$A,0))*S$158</f>
        <v>5.08218458640407</v>
      </c>
      <c r="T148" s="19">
        <f>T138+INDEX(Data_Prices!T:T,MATCH($G148,Data_Prices!$A:$A,0))*T$158</f>
        <v>5.08218458640407</v>
      </c>
      <c r="U148" s="19">
        <f>U138+INDEX(Data_Prices!U:U,MATCH($G148,Data_Prices!$A:$A,0))*U$158</f>
        <v>5.08218458640407</v>
      </c>
      <c r="V148" s="19">
        <f>V138+INDEX(Data_Prices!V:V,MATCH($G148,Data_Prices!$A:$A,0))*V$158</f>
        <v>5.08218458640407</v>
      </c>
      <c r="W148" s="19">
        <f>W138+INDEX(Data_Prices!W:W,MATCH($G148,Data_Prices!$A:$A,0))*W$158</f>
        <v>5.08218458640407</v>
      </c>
      <c r="X148" s="19">
        <f>X138+INDEX(Data_Prices!X:X,MATCH($G148,Data_Prices!$A:$A,0))*X$158</f>
        <v>5.08218458640407</v>
      </c>
      <c r="Y148" s="19">
        <f>Y138+INDEX(Data_Prices!Y:Y,MATCH($G148,Data_Prices!$A:$A,0))*Y$158</f>
        <v>5.08218458640407</v>
      </c>
      <c r="Z148" s="19">
        <f>Z138+INDEX(Data_Prices!Z:Z,MATCH($G148,Data_Prices!$A:$A,0))*Z$158</f>
        <v>5.08218458640407</v>
      </c>
      <c r="AA148" s="19">
        <f>AA138+INDEX(Data_Prices!AA:AA,MATCH($G148,Data_Prices!$A:$A,0))*AA$158</f>
        <v>5.08218458640407</v>
      </c>
      <c r="AB148" s="19">
        <f>AB138+INDEX(Data_Prices!AB:AB,MATCH($G148,Data_Prices!$A:$A,0))*AB$158</f>
        <v>5.08218458640407</v>
      </c>
      <c r="AC148" s="19">
        <f>AC138+INDEX(Data_Prices!AC:AC,MATCH($G148,Data_Prices!$A:$A,0))*AC$158</f>
        <v>5.08218458640407</v>
      </c>
      <c r="AD148" s="19">
        <f>AD138+INDEX(Data_Prices!AD:AD,MATCH($G148,Data_Prices!$A:$A,0))*AD$158</f>
        <v>5.08218458640407</v>
      </c>
      <c r="AE148" s="19">
        <f>AE138+INDEX(Data_Prices!AE:AE,MATCH($G148,Data_Prices!$A:$A,0))*AE$158</f>
        <v>5.08218458640407</v>
      </c>
    </row>
    <row r="149" spans="2:31" x14ac:dyDescent="0.45">
      <c r="B149" s="14" t="s">
        <v>55</v>
      </c>
      <c r="C149" s="14" t="str">
        <f t="shared" si="14"/>
        <v>nfm</v>
      </c>
      <c r="D149" s="15" t="s">
        <v>56</v>
      </c>
      <c r="E149" s="16" t="s">
        <v>57</v>
      </c>
      <c r="F149" s="14" t="s">
        <v>75</v>
      </c>
      <c r="G149" s="17" t="str">
        <f>Settings!$B$3&amp;".mit.shp."&amp;$B149&amp;"."&amp;Settings!$B$4&amp;"."&amp;$J$125</f>
        <v>egy.mit.shp.gso.ind.1</v>
      </c>
      <c r="H149" s="45" t="str">
        <f>Settings!$B$3&amp;".mit.shp."&amp;$C$125&amp;"."&amp;$B149&amp;".e."&amp;$J$125</f>
        <v>egy.mit.shp.nfm.gso.e.1</v>
      </c>
      <c r="K149" s="19">
        <f>K139+INDEX(Data_Prices!K:K,MATCH($G149,Data_Prices!$A:$A,0))*K$158</f>
        <v>0.67114653332181595</v>
      </c>
      <c r="L149" s="19">
        <f>L139+INDEX(Data_Prices!L:L,MATCH($G149,Data_Prices!$A:$A,0))*L$158</f>
        <v>0.61197797679140598</v>
      </c>
      <c r="M149" s="19">
        <f>M139+INDEX(Data_Prices!M:M,MATCH($G149,Data_Prices!$A:$A,0))*M$158</f>
        <v>0.61180974964187596</v>
      </c>
      <c r="N149" s="19">
        <f>N139+INDEX(Data_Prices!N:N,MATCH($G149,Data_Prices!$A:$A,0))*N$158</f>
        <v>0.60358310017790595</v>
      </c>
      <c r="O149" s="19">
        <f>O139+INDEX(Data_Prices!O:O,MATCH($G149,Data_Prices!$A:$A,0))*O$158</f>
        <v>0.60358310017790595</v>
      </c>
      <c r="P149" s="19">
        <f>P139+INDEX(Data_Prices!P:P,MATCH($G149,Data_Prices!$A:$A,0))*P$158</f>
        <v>0.60358310017790595</v>
      </c>
      <c r="Q149" s="19">
        <f>Q139+INDEX(Data_Prices!Q:Q,MATCH($G149,Data_Prices!$A:$A,0))*Q$158</f>
        <v>0.60358310017790595</v>
      </c>
      <c r="R149" s="19">
        <f>R139+INDEX(Data_Prices!R:R,MATCH($G149,Data_Prices!$A:$A,0))*R$158</f>
        <v>0.60358310017790595</v>
      </c>
      <c r="S149" s="19">
        <f>S139+INDEX(Data_Prices!S:S,MATCH($G149,Data_Prices!$A:$A,0))*S$158</f>
        <v>0.60358310017790595</v>
      </c>
      <c r="T149" s="19">
        <f>T139+INDEX(Data_Prices!T:T,MATCH($G149,Data_Prices!$A:$A,0))*T$158</f>
        <v>0.60358310017790595</v>
      </c>
      <c r="U149" s="19">
        <f>U139+INDEX(Data_Prices!U:U,MATCH($G149,Data_Prices!$A:$A,0))*U$158</f>
        <v>0.60358310017790595</v>
      </c>
      <c r="V149" s="19">
        <f>V139+INDEX(Data_Prices!V:V,MATCH($G149,Data_Prices!$A:$A,0))*V$158</f>
        <v>0.60358310017790595</v>
      </c>
      <c r="W149" s="19">
        <f>W139+INDEX(Data_Prices!W:W,MATCH($G149,Data_Prices!$A:$A,0))*W$158</f>
        <v>0.60358310017790595</v>
      </c>
      <c r="X149" s="19">
        <f>X139+INDEX(Data_Prices!X:X,MATCH($G149,Data_Prices!$A:$A,0))*X$158</f>
        <v>0.60358310017790595</v>
      </c>
      <c r="Y149" s="19">
        <f>Y139+INDEX(Data_Prices!Y:Y,MATCH($G149,Data_Prices!$A:$A,0))*Y$158</f>
        <v>0.60358310017790595</v>
      </c>
      <c r="Z149" s="19">
        <f>Z139+INDEX(Data_Prices!Z:Z,MATCH($G149,Data_Prices!$A:$A,0))*Z$158</f>
        <v>0.60358310017790595</v>
      </c>
      <c r="AA149" s="19">
        <f>AA139+INDEX(Data_Prices!AA:AA,MATCH($G149,Data_Prices!$A:$A,0))*AA$158</f>
        <v>0.60358310017790595</v>
      </c>
      <c r="AB149" s="19">
        <f>AB139+INDEX(Data_Prices!AB:AB,MATCH($G149,Data_Prices!$A:$A,0))*AB$158</f>
        <v>0.60358310017790595</v>
      </c>
      <c r="AC149" s="19">
        <f>AC139+INDEX(Data_Prices!AC:AC,MATCH($G149,Data_Prices!$A:$A,0))*AC$158</f>
        <v>0.60358310017790595</v>
      </c>
      <c r="AD149" s="19">
        <f>AD139+INDEX(Data_Prices!AD:AD,MATCH($G149,Data_Prices!$A:$A,0))*AD$158</f>
        <v>0.60358310017790595</v>
      </c>
      <c r="AE149" s="19">
        <f>AE139+INDEX(Data_Prices!AE:AE,MATCH($G149,Data_Prices!$A:$A,0))*AE$158</f>
        <v>0.60358310017790595</v>
      </c>
    </row>
    <row r="150" spans="2:31" x14ac:dyDescent="0.45">
      <c r="B150" s="14" t="s">
        <v>58</v>
      </c>
      <c r="C150" s="14" t="str">
        <f t="shared" si="14"/>
        <v>nfm</v>
      </c>
      <c r="D150" s="15" t="s">
        <v>59</v>
      </c>
      <c r="E150" s="16" t="s">
        <v>57</v>
      </c>
      <c r="F150" s="14" t="s">
        <v>75</v>
      </c>
      <c r="G150" s="17" t="str">
        <f>Settings!$B$3&amp;".mit.shp."&amp;$B150&amp;"."&amp;Settings!$B$4&amp;"."&amp;$J$125</f>
        <v>egy.mit.shp.die.ind.1</v>
      </c>
      <c r="H150" s="45" t="str">
        <f>Settings!$B$3&amp;".mit.shp."&amp;$C$125&amp;"."&amp;$B150&amp;".e."&amp;$J$125</f>
        <v>egy.mit.shp.nfm.die.e.1</v>
      </c>
      <c r="K150" s="19">
        <f>K140+INDEX(Data_Prices!K:K,MATCH($G150,Data_Prices!$A:$A,0))*K$158</f>
        <v>0.55971121315568795</v>
      </c>
      <c r="L150" s="19">
        <f>L140+INDEX(Data_Prices!L:L,MATCH($G150,Data_Prices!$A:$A,0))*L$158</f>
        <v>0.49458873084106802</v>
      </c>
      <c r="M150" s="19">
        <f>M140+INDEX(Data_Prices!M:M,MATCH($G150,Data_Prices!$A:$A,0))*M$158</f>
        <v>0.50778654720250105</v>
      </c>
      <c r="N150" s="19">
        <f>N140+INDEX(Data_Prices!N:N,MATCH($G150,Data_Prices!$A:$A,0))*N$158</f>
        <v>0.47043642679561698</v>
      </c>
      <c r="O150" s="19">
        <f>O140+INDEX(Data_Prices!O:O,MATCH($G150,Data_Prices!$A:$A,0))*O$158</f>
        <v>0.47043642679561698</v>
      </c>
      <c r="P150" s="19">
        <f>P140+INDEX(Data_Prices!P:P,MATCH($G150,Data_Prices!$A:$A,0))*P$158</f>
        <v>0.47043642679561698</v>
      </c>
      <c r="Q150" s="19">
        <f>Q140+INDEX(Data_Prices!Q:Q,MATCH($G150,Data_Prices!$A:$A,0))*Q$158</f>
        <v>0.47043642679561698</v>
      </c>
      <c r="R150" s="19">
        <f>R140+INDEX(Data_Prices!R:R,MATCH($G150,Data_Prices!$A:$A,0))*R$158</f>
        <v>0.47043642679561698</v>
      </c>
      <c r="S150" s="19">
        <f>S140+INDEX(Data_Prices!S:S,MATCH($G150,Data_Prices!$A:$A,0))*S$158</f>
        <v>0.47043642679561698</v>
      </c>
      <c r="T150" s="19">
        <f>T140+INDEX(Data_Prices!T:T,MATCH($G150,Data_Prices!$A:$A,0))*T$158</f>
        <v>0.47043642679561698</v>
      </c>
      <c r="U150" s="19">
        <f>U140+INDEX(Data_Prices!U:U,MATCH($G150,Data_Prices!$A:$A,0))*U$158</f>
        <v>0.47043642679561698</v>
      </c>
      <c r="V150" s="19">
        <f>V140+INDEX(Data_Prices!V:V,MATCH($G150,Data_Prices!$A:$A,0))*V$158</f>
        <v>0.47043642679561698</v>
      </c>
      <c r="W150" s="19">
        <f>W140+INDEX(Data_Prices!W:W,MATCH($G150,Data_Prices!$A:$A,0))*W$158</f>
        <v>0.47043642679561698</v>
      </c>
      <c r="X150" s="19">
        <f>X140+INDEX(Data_Prices!X:X,MATCH($G150,Data_Prices!$A:$A,0))*X$158</f>
        <v>0.47043642679561698</v>
      </c>
      <c r="Y150" s="19">
        <f>Y140+INDEX(Data_Prices!Y:Y,MATCH($G150,Data_Prices!$A:$A,0))*Y$158</f>
        <v>0.47043642679561698</v>
      </c>
      <c r="Z150" s="19">
        <f>Z140+INDEX(Data_Prices!Z:Z,MATCH($G150,Data_Prices!$A:$A,0))*Z$158</f>
        <v>0.47043642679561698</v>
      </c>
      <c r="AA150" s="19">
        <f>AA140+INDEX(Data_Prices!AA:AA,MATCH($G150,Data_Prices!$A:$A,0))*AA$158</f>
        <v>0.47043642679561698</v>
      </c>
      <c r="AB150" s="19">
        <f>AB140+INDEX(Data_Prices!AB:AB,MATCH($G150,Data_Prices!$A:$A,0))*AB$158</f>
        <v>0.47043642679561698</v>
      </c>
      <c r="AC150" s="19">
        <f>AC140+INDEX(Data_Prices!AC:AC,MATCH($G150,Data_Prices!$A:$A,0))*AC$158</f>
        <v>0.47043642679561698</v>
      </c>
      <c r="AD150" s="19">
        <f>AD140+INDEX(Data_Prices!AD:AD,MATCH($G150,Data_Prices!$A:$A,0))*AD$158</f>
        <v>0.47043642679561698</v>
      </c>
      <c r="AE150" s="19">
        <f>AE140+INDEX(Data_Prices!AE:AE,MATCH($G150,Data_Prices!$A:$A,0))*AE$158</f>
        <v>0.47043642679561698</v>
      </c>
    </row>
    <row r="151" spans="2:31" x14ac:dyDescent="0.45">
      <c r="B151" s="14" t="s">
        <v>60</v>
      </c>
      <c r="C151" s="14" t="str">
        <f t="shared" si="14"/>
        <v>nfm</v>
      </c>
      <c r="D151" s="15" t="s">
        <v>61</v>
      </c>
      <c r="E151" s="16" t="s">
        <v>57</v>
      </c>
      <c r="F151" s="14" t="s">
        <v>75</v>
      </c>
      <c r="G151" s="17" t="str">
        <f>Settings!$B$3&amp;".mit.shp."&amp;$B151&amp;"."&amp;Settings!$B$4&amp;"."&amp;$J$125</f>
        <v>egy.mit.shp.lpg.ind.1</v>
      </c>
      <c r="H151" s="45" t="str">
        <f>Settings!$B$3&amp;".mit.shp."&amp;$C$125&amp;"."&amp;$B151&amp;".e."&amp;$J$125</f>
        <v>egy.mit.shp.nfm.lpg.e.1</v>
      </c>
      <c r="K151" s="19">
        <f>K141+INDEX(Data_Prices!K:K,MATCH($G151,Data_Prices!$A:$A,0))*K$158</f>
        <v>0.20036669112673799</v>
      </c>
      <c r="L151" s="19">
        <f>L141+INDEX(Data_Prices!L:L,MATCH($G151,Data_Prices!$A:$A,0))*L$158</f>
        <v>0.15734473625227399</v>
      </c>
      <c r="M151" s="19">
        <f>M141+INDEX(Data_Prices!M:M,MATCH($G151,Data_Prices!$A:$A,0))*M$158</f>
        <v>0.164484037759277</v>
      </c>
      <c r="N151" s="19">
        <f>N141+INDEX(Data_Prices!N:N,MATCH($G151,Data_Prices!$A:$A,0))*N$158</f>
        <v>0.15070907780704901</v>
      </c>
      <c r="O151" s="19">
        <f>O141+INDEX(Data_Prices!O:O,MATCH($G151,Data_Prices!$A:$A,0))*O$158</f>
        <v>0.15070907780704901</v>
      </c>
      <c r="P151" s="19">
        <f>P141+INDEX(Data_Prices!P:P,MATCH($G151,Data_Prices!$A:$A,0))*P$158</f>
        <v>0.15070907780704901</v>
      </c>
      <c r="Q151" s="19">
        <f>Q141+INDEX(Data_Prices!Q:Q,MATCH($G151,Data_Prices!$A:$A,0))*Q$158</f>
        <v>0.15070907780704901</v>
      </c>
      <c r="R151" s="19">
        <f>R141+INDEX(Data_Prices!R:R,MATCH($G151,Data_Prices!$A:$A,0))*R$158</f>
        <v>0.15070907780704901</v>
      </c>
      <c r="S151" s="19">
        <f>S141+INDEX(Data_Prices!S:S,MATCH($G151,Data_Prices!$A:$A,0))*S$158</f>
        <v>0.15070907780704901</v>
      </c>
      <c r="T151" s="19">
        <f>T141+INDEX(Data_Prices!T:T,MATCH($G151,Data_Prices!$A:$A,0))*T$158</f>
        <v>0.15070907780704901</v>
      </c>
      <c r="U151" s="19">
        <f>U141+INDEX(Data_Prices!U:U,MATCH($G151,Data_Prices!$A:$A,0))*U$158</f>
        <v>0.15070907780704901</v>
      </c>
      <c r="V151" s="19">
        <f>V141+INDEX(Data_Prices!V:V,MATCH($G151,Data_Prices!$A:$A,0))*V$158</f>
        <v>0.15070907780704901</v>
      </c>
      <c r="W151" s="19">
        <f>W141+INDEX(Data_Prices!W:W,MATCH($G151,Data_Prices!$A:$A,0))*W$158</f>
        <v>0.15070907780704901</v>
      </c>
      <c r="X151" s="19">
        <f>X141+INDEX(Data_Prices!X:X,MATCH($G151,Data_Prices!$A:$A,0))*X$158</f>
        <v>0.15070907780704901</v>
      </c>
      <c r="Y151" s="19">
        <f>Y141+INDEX(Data_Prices!Y:Y,MATCH($G151,Data_Prices!$A:$A,0))*Y$158</f>
        <v>0.15070907780704901</v>
      </c>
      <c r="Z151" s="19">
        <f>Z141+INDEX(Data_Prices!Z:Z,MATCH($G151,Data_Prices!$A:$A,0))*Z$158</f>
        <v>0.15070907780704901</v>
      </c>
      <c r="AA151" s="19">
        <f>AA141+INDEX(Data_Prices!AA:AA,MATCH($G151,Data_Prices!$A:$A,0))*AA$158</f>
        <v>0.15070907780704901</v>
      </c>
      <c r="AB151" s="19">
        <f>AB141+INDEX(Data_Prices!AB:AB,MATCH($G151,Data_Prices!$A:$A,0))*AB$158</f>
        <v>0.15070907780704901</v>
      </c>
      <c r="AC151" s="19">
        <f>AC141+INDEX(Data_Prices!AC:AC,MATCH($G151,Data_Prices!$A:$A,0))*AC$158</f>
        <v>0.15070907780704901</v>
      </c>
      <c r="AD151" s="19">
        <f>AD141+INDEX(Data_Prices!AD:AD,MATCH($G151,Data_Prices!$A:$A,0))*AD$158</f>
        <v>0.15070907780704901</v>
      </c>
      <c r="AE151" s="19">
        <f>AE141+INDEX(Data_Prices!AE:AE,MATCH($G151,Data_Prices!$A:$A,0))*AE$158</f>
        <v>0.15070907780704901</v>
      </c>
    </row>
    <row r="152" spans="2:31" x14ac:dyDescent="0.45">
      <c r="B152" s="14" t="s">
        <v>62</v>
      </c>
      <c r="C152" s="14" t="str">
        <f t="shared" si="14"/>
        <v>nfm</v>
      </c>
      <c r="D152" s="15" t="s">
        <v>63</v>
      </c>
      <c r="E152" s="16" t="s">
        <v>57</v>
      </c>
      <c r="F152" s="14" t="s">
        <v>75</v>
      </c>
      <c r="G152" s="17" t="str">
        <f>Settings!$B$3&amp;".mit.shp."&amp;$B152&amp;"."&amp;Settings!$B$4&amp;"."&amp;$J$125</f>
        <v>egy.mit.shp.ker.ind.1</v>
      </c>
      <c r="H152" s="45" t="str">
        <f>Settings!$B$3&amp;".mit.shp."&amp;$C$125&amp;"."&amp;$B152&amp;".e."&amp;$J$125</f>
        <v>egy.mit.shp.nfm.ker.e.1</v>
      </c>
      <c r="K152" s="19">
        <f>K142+INDEX(Data_Prices!K:K,MATCH($G152,Data_Prices!$A:$A,0))*K$158</f>
        <v>0.48429424097343499</v>
      </c>
      <c r="L152" s="19">
        <f>L142+INDEX(Data_Prices!L:L,MATCH($G152,Data_Prices!$A:$A,0))*L$158</f>
        <v>0.45642817050012802</v>
      </c>
      <c r="M152" s="19">
        <f>M142+INDEX(Data_Prices!M:M,MATCH($G152,Data_Prices!$A:$A,0))*M$158</f>
        <v>0.43168920195599497</v>
      </c>
      <c r="N152" s="19">
        <f>N142+INDEX(Data_Prices!N:N,MATCH($G152,Data_Prices!$A:$A,0))*N$158</f>
        <v>0.42507558395597</v>
      </c>
      <c r="O152" s="19">
        <f>O142+INDEX(Data_Prices!O:O,MATCH($G152,Data_Prices!$A:$A,0))*O$158</f>
        <v>0.42507558395597</v>
      </c>
      <c r="P152" s="19">
        <f>P142+INDEX(Data_Prices!P:P,MATCH($G152,Data_Prices!$A:$A,0))*P$158</f>
        <v>0.42507558395597</v>
      </c>
      <c r="Q152" s="19">
        <f>Q142+INDEX(Data_Prices!Q:Q,MATCH($G152,Data_Prices!$A:$A,0))*Q$158</f>
        <v>0.42507558395597</v>
      </c>
      <c r="R152" s="19">
        <f>R142+INDEX(Data_Prices!R:R,MATCH($G152,Data_Prices!$A:$A,0))*R$158</f>
        <v>0.42507558395597</v>
      </c>
      <c r="S152" s="19">
        <f>S142+INDEX(Data_Prices!S:S,MATCH($G152,Data_Prices!$A:$A,0))*S$158</f>
        <v>0.42507558395597</v>
      </c>
      <c r="T152" s="19">
        <f>T142+INDEX(Data_Prices!T:T,MATCH($G152,Data_Prices!$A:$A,0))*T$158</f>
        <v>0.42507558395597</v>
      </c>
      <c r="U152" s="19">
        <f>U142+INDEX(Data_Prices!U:U,MATCH($G152,Data_Prices!$A:$A,0))*U$158</f>
        <v>0.42507558395597</v>
      </c>
      <c r="V152" s="19">
        <f>V142+INDEX(Data_Prices!V:V,MATCH($G152,Data_Prices!$A:$A,0))*V$158</f>
        <v>0.42507558395597</v>
      </c>
      <c r="W152" s="19">
        <f>W142+INDEX(Data_Prices!W:W,MATCH($G152,Data_Prices!$A:$A,0))*W$158</f>
        <v>0.42507558395597</v>
      </c>
      <c r="X152" s="19">
        <f>X142+INDEX(Data_Prices!X:X,MATCH($G152,Data_Prices!$A:$A,0))*X$158</f>
        <v>0.42507558395597</v>
      </c>
      <c r="Y152" s="19">
        <f>Y142+INDEX(Data_Prices!Y:Y,MATCH($G152,Data_Prices!$A:$A,0))*Y$158</f>
        <v>0.42507558395597</v>
      </c>
      <c r="Z152" s="19">
        <f>Z142+INDEX(Data_Prices!Z:Z,MATCH($G152,Data_Prices!$A:$A,0))*Z$158</f>
        <v>0.42507558395597</v>
      </c>
      <c r="AA152" s="19">
        <f>AA142+INDEX(Data_Prices!AA:AA,MATCH($G152,Data_Prices!$A:$A,0))*AA$158</f>
        <v>0.42507558395597</v>
      </c>
      <c r="AB152" s="19">
        <f>AB142+INDEX(Data_Prices!AB:AB,MATCH($G152,Data_Prices!$A:$A,0))*AB$158</f>
        <v>0.42507558395597</v>
      </c>
      <c r="AC152" s="19">
        <f>AC142+INDEX(Data_Prices!AC:AC,MATCH($G152,Data_Prices!$A:$A,0))*AC$158</f>
        <v>0.42507558395597</v>
      </c>
      <c r="AD152" s="19">
        <f>AD142+INDEX(Data_Prices!AD:AD,MATCH($G152,Data_Prices!$A:$A,0))*AD$158</f>
        <v>0.42507558395597</v>
      </c>
      <c r="AE152" s="19">
        <f>AE142+INDEX(Data_Prices!AE:AE,MATCH($G152,Data_Prices!$A:$A,0))*AE$158</f>
        <v>0.42507558395597</v>
      </c>
    </row>
    <row r="153" spans="2:31" x14ac:dyDescent="0.45">
      <c r="B153" s="14" t="s">
        <v>64</v>
      </c>
      <c r="C153" s="14" t="str">
        <f t="shared" si="14"/>
        <v>nfm</v>
      </c>
      <c r="D153" s="15" t="s">
        <v>65</v>
      </c>
      <c r="E153" s="16" t="s">
        <v>66</v>
      </c>
      <c r="F153" s="14" t="s">
        <v>75</v>
      </c>
      <c r="G153" s="17" t="str">
        <f>Settings!$B$3&amp;".mit.shp."&amp;$B153&amp;"."&amp;Settings!$B$4&amp;"."&amp;$J$125</f>
        <v>egy.mit.shp.oop.ind.1</v>
      </c>
      <c r="H153" s="45" t="str">
        <f>Settings!$B$3&amp;".mit.shp."&amp;$C$125&amp;"."&amp;$B153&amp;".e."&amp;$J$125</f>
        <v>egy.mit.shp.nfm.oop.e.1</v>
      </c>
      <c r="K153" s="19">
        <f>K143+INDEX(Data_Prices!K:K,MATCH($G153,Data_Prices!$A:$A,0))*K$158</f>
        <v>41.500338498868402</v>
      </c>
      <c r="L153" s="19">
        <f>L143+INDEX(Data_Prices!L:L,MATCH($G153,Data_Prices!$A:$A,0))*L$158</f>
        <v>34.4153703043132</v>
      </c>
      <c r="M153" s="19">
        <f>M143+INDEX(Data_Prices!M:M,MATCH($G153,Data_Prices!$A:$A,0))*M$158</f>
        <v>37.368960690431997</v>
      </c>
      <c r="N153" s="19">
        <f>N143+INDEX(Data_Prices!N:N,MATCH($G153,Data_Prices!$A:$A,0))*N$158</f>
        <v>28.982761101477301</v>
      </c>
      <c r="O153" s="19">
        <f>O143+INDEX(Data_Prices!O:O,MATCH($G153,Data_Prices!$A:$A,0))*O$158</f>
        <v>15</v>
      </c>
      <c r="P153" s="19">
        <f>P143+INDEX(Data_Prices!P:P,MATCH($G153,Data_Prices!$A:$A,0))*P$158</f>
        <v>24.2586300842555</v>
      </c>
      <c r="Q153" s="19">
        <f>Q143+INDEX(Data_Prices!Q:Q,MATCH($G153,Data_Prices!$A:$A,0))*Q$158</f>
        <v>15</v>
      </c>
      <c r="R153" s="19">
        <f>R143+INDEX(Data_Prices!R:R,MATCH($G153,Data_Prices!$A:$A,0))*R$158</f>
        <v>15</v>
      </c>
      <c r="S153" s="19">
        <f>S143+INDEX(Data_Prices!S:S,MATCH($G153,Data_Prices!$A:$A,0))*S$158</f>
        <v>15</v>
      </c>
      <c r="T153" s="19">
        <f>T143+INDEX(Data_Prices!T:T,MATCH($G153,Data_Prices!$A:$A,0))*T$158</f>
        <v>15</v>
      </c>
      <c r="U153" s="19">
        <f>U143+INDEX(Data_Prices!U:U,MATCH($G153,Data_Prices!$A:$A,0))*U$158</f>
        <v>15</v>
      </c>
      <c r="V153" s="19">
        <f>V143+INDEX(Data_Prices!V:V,MATCH($G153,Data_Prices!$A:$A,0))*V$158</f>
        <v>15</v>
      </c>
      <c r="W153" s="19">
        <f>W143+INDEX(Data_Prices!W:W,MATCH($G153,Data_Prices!$A:$A,0))*W$158</f>
        <v>15</v>
      </c>
      <c r="X153" s="19">
        <f>X143+INDEX(Data_Prices!X:X,MATCH($G153,Data_Prices!$A:$A,0))*X$158</f>
        <v>15</v>
      </c>
      <c r="Y153" s="19">
        <f>Y143+INDEX(Data_Prices!Y:Y,MATCH($G153,Data_Prices!$A:$A,0))*Y$158</f>
        <v>15</v>
      </c>
      <c r="Z153" s="19">
        <f>Z143+INDEX(Data_Prices!Z:Z,MATCH($G153,Data_Prices!$A:$A,0))*Z$158</f>
        <v>15</v>
      </c>
      <c r="AA153" s="19">
        <f>AA143+INDEX(Data_Prices!AA:AA,MATCH($G153,Data_Prices!$A:$A,0))*AA$158</f>
        <v>15</v>
      </c>
      <c r="AB153" s="19">
        <f>AB143+INDEX(Data_Prices!AB:AB,MATCH($G153,Data_Prices!$A:$A,0))*AB$158</f>
        <v>15</v>
      </c>
      <c r="AC153" s="19">
        <f>AC143+INDEX(Data_Prices!AC:AC,MATCH($G153,Data_Prices!$A:$A,0))*AC$158</f>
        <v>15</v>
      </c>
      <c r="AD153" s="19">
        <f>AD143+INDEX(Data_Prices!AD:AD,MATCH($G153,Data_Prices!$A:$A,0))*AD$158</f>
        <v>15</v>
      </c>
      <c r="AE153" s="19">
        <f>AE143+INDEX(Data_Prices!AE:AE,MATCH($G153,Data_Prices!$A:$A,0))*AE$158</f>
        <v>15</v>
      </c>
    </row>
    <row r="154" spans="2:31" x14ac:dyDescent="0.45">
      <c r="B154" s="14" t="s">
        <v>67</v>
      </c>
      <c r="C154" s="14" t="str">
        <f t="shared" si="14"/>
        <v>nfm</v>
      </c>
      <c r="D154" s="15" t="s">
        <v>68</v>
      </c>
      <c r="E154" s="16" t="s">
        <v>51</v>
      </c>
      <c r="F154" s="14" t="s">
        <v>75</v>
      </c>
      <c r="G154" s="17" t="str">
        <f>Settings!$B$3&amp;".mit.shp."&amp;$B154&amp;"."&amp;Settings!$B$4&amp;"."&amp;$J$125</f>
        <v>egy.mit.shp.bio.ind.1</v>
      </c>
      <c r="H154" s="45" t="str">
        <f>Settings!$B$3&amp;".mit.shp."&amp;$C$125&amp;"."&amp;$B154&amp;".e."&amp;$J$125</f>
        <v>egy.mit.shp.nfm.bio.e.1</v>
      </c>
      <c r="K154" s="19">
        <f>K144+INDEX(Data_Prices!K:K,MATCH($G154,Data_Prices!$A:$A,0))*K$158</f>
        <v>15.3345505293169</v>
      </c>
      <c r="L154" s="19">
        <f>L144+INDEX(Data_Prices!L:L,MATCH($G154,Data_Prices!$A:$A,0))*L$158</f>
        <v>14.199528390634899</v>
      </c>
      <c r="M154" s="19">
        <f>M144+INDEX(Data_Prices!M:M,MATCH($G154,Data_Prices!$A:$A,0))*M$158</f>
        <v>13.8404416133152</v>
      </c>
      <c r="N154" s="19">
        <f>N144+INDEX(Data_Prices!N:N,MATCH($G154,Data_Prices!$A:$A,0))*N$158</f>
        <v>13.5677269404465</v>
      </c>
      <c r="O154" s="19">
        <f>O144+INDEX(Data_Prices!O:O,MATCH($G154,Data_Prices!$A:$A,0))*O$158</f>
        <v>13.5677269404465</v>
      </c>
      <c r="P154" s="19">
        <f>P144+INDEX(Data_Prices!P:P,MATCH($G154,Data_Prices!$A:$A,0))*P$158</f>
        <v>13.5677269404465</v>
      </c>
      <c r="Q154" s="19">
        <f>Q144+INDEX(Data_Prices!Q:Q,MATCH($G154,Data_Prices!$A:$A,0))*Q$158</f>
        <v>13.5677269404465</v>
      </c>
      <c r="R154" s="19">
        <f>R144+INDEX(Data_Prices!R:R,MATCH($G154,Data_Prices!$A:$A,0))*R$158</f>
        <v>13.5677269404465</v>
      </c>
      <c r="S154" s="19">
        <f>S144+INDEX(Data_Prices!S:S,MATCH($G154,Data_Prices!$A:$A,0))*S$158</f>
        <v>13.5677269404465</v>
      </c>
      <c r="T154" s="19">
        <f>T144+INDEX(Data_Prices!T:T,MATCH($G154,Data_Prices!$A:$A,0))*T$158</f>
        <v>13.5677269404465</v>
      </c>
      <c r="U154" s="19">
        <f>U144+INDEX(Data_Prices!U:U,MATCH($G154,Data_Prices!$A:$A,0))*U$158</f>
        <v>13.5677269404465</v>
      </c>
      <c r="V154" s="19">
        <f>V144+INDEX(Data_Prices!V:V,MATCH($G154,Data_Prices!$A:$A,0))*V$158</f>
        <v>13.5677269404465</v>
      </c>
      <c r="W154" s="19">
        <f>W144+INDEX(Data_Prices!W:W,MATCH($G154,Data_Prices!$A:$A,0))*W$158</f>
        <v>13.5677269404465</v>
      </c>
      <c r="X154" s="19">
        <f>X144+INDEX(Data_Prices!X:X,MATCH($G154,Data_Prices!$A:$A,0))*X$158</f>
        <v>13.5677269404465</v>
      </c>
      <c r="Y154" s="19">
        <f>Y144+INDEX(Data_Prices!Y:Y,MATCH($G154,Data_Prices!$A:$A,0))*Y$158</f>
        <v>13.5677269404465</v>
      </c>
      <c r="Z154" s="19">
        <f>Z144+INDEX(Data_Prices!Z:Z,MATCH($G154,Data_Prices!$A:$A,0))*Z$158</f>
        <v>13.5677269404465</v>
      </c>
      <c r="AA154" s="19">
        <f>AA144+INDEX(Data_Prices!AA:AA,MATCH($G154,Data_Prices!$A:$A,0))*AA$158</f>
        <v>13.5677269404465</v>
      </c>
      <c r="AB154" s="19">
        <f>AB144+INDEX(Data_Prices!AB:AB,MATCH($G154,Data_Prices!$A:$A,0))*AB$158</f>
        <v>13.5677269404465</v>
      </c>
      <c r="AC154" s="19">
        <f>AC144+INDEX(Data_Prices!AC:AC,MATCH($G154,Data_Prices!$A:$A,0))*AC$158</f>
        <v>13.5677269404465</v>
      </c>
      <c r="AD154" s="19">
        <f>AD144+INDEX(Data_Prices!AD:AD,MATCH($G154,Data_Prices!$A:$A,0))*AD$158</f>
        <v>13.5677269404465</v>
      </c>
      <c r="AE154" s="19">
        <f>AE144+INDEX(Data_Prices!AE:AE,MATCH($G154,Data_Prices!$A:$A,0))*AE$158</f>
        <v>13.5677269404465</v>
      </c>
    </row>
    <row r="155" spans="2:31" x14ac:dyDescent="0.45">
      <c r="B155" s="14" t="s">
        <v>69</v>
      </c>
      <c r="C155" s="14" t="str">
        <f t="shared" si="14"/>
        <v>nfm</v>
      </c>
      <c r="D155" s="15" t="s">
        <v>70</v>
      </c>
      <c r="E155" s="16" t="s">
        <v>71</v>
      </c>
      <c r="F155" s="14" t="s">
        <v>75</v>
      </c>
      <c r="G155" s="17" t="str">
        <f>Settings!$B$3&amp;".mit.shp."&amp;$B155&amp;"."&amp;Settings!$B$4&amp;"."&amp;$J$125</f>
        <v>egy.mit.shp.ren.ind.1</v>
      </c>
      <c r="H155" s="45" t="str">
        <f>Settings!$B$3&amp;".mit.shp."&amp;$C$125&amp;"."&amp;$B155&amp;".e."&amp;$J$125</f>
        <v>egy.mit.shp.nfm.ren.e.1</v>
      </c>
      <c r="K155" s="19">
        <f>K145+INDEX(Data_Prices!K:K,MATCH($G155,Data_Prices!$A:$A,0))*K$158</f>
        <v>0</v>
      </c>
      <c r="L155" s="19">
        <f>L145+INDEX(Data_Prices!L:L,MATCH($G155,Data_Prices!$A:$A,0))*L$158</f>
        <v>0.14404498679319799</v>
      </c>
      <c r="M155" s="19">
        <f>M145+INDEX(Data_Prices!M:M,MATCH($G155,Data_Prices!$A:$A,0))*M$158</f>
        <v>0.14102040965700399</v>
      </c>
      <c r="N155" s="19">
        <f>N145+INDEX(Data_Prices!N:N,MATCH($G155,Data_Prices!$A:$A,0))*N$158</f>
        <v>0.13511635959447599</v>
      </c>
      <c r="O155" s="19">
        <f>O145+INDEX(Data_Prices!O:O,MATCH($G155,Data_Prices!$A:$A,0))*O$158</f>
        <v>0.13098825698585601</v>
      </c>
      <c r="P155" s="19">
        <f>P145+INDEX(Data_Prices!P:P,MATCH($G155,Data_Prices!$A:$A,0))*P$158</f>
        <v>0.12790841608631801</v>
      </c>
      <c r="Q155" s="19">
        <f>Q145+INDEX(Data_Prices!Q:Q,MATCH($G155,Data_Prices!$A:$A,0))*Q$158</f>
        <v>0.124814310557813</v>
      </c>
      <c r="R155" s="19">
        <f>R145+INDEX(Data_Prices!R:R,MATCH($G155,Data_Prices!$A:$A,0))*R$158</f>
        <v>0.121460257122878</v>
      </c>
      <c r="S155" s="19">
        <f>S145+INDEX(Data_Prices!S:S,MATCH($G155,Data_Prices!$A:$A,0))*S$158</f>
        <v>0.117950744135786</v>
      </c>
      <c r="T155" s="19">
        <f>T145+INDEX(Data_Prices!T:T,MATCH($G155,Data_Prices!$A:$A,0))*T$158</f>
        <v>0.114199161044597</v>
      </c>
      <c r="U155" s="19">
        <f>U145+INDEX(Data_Prices!U:U,MATCH($G155,Data_Prices!$A:$A,0))*U$158</f>
        <v>0.113665100059665</v>
      </c>
      <c r="V155" s="19">
        <f>V145+INDEX(Data_Prices!V:V,MATCH($G155,Data_Prices!$A:$A,0))*V$158</f>
        <v>0.113016929625957</v>
      </c>
      <c r="W155" s="19">
        <f>W145+INDEX(Data_Prices!W:W,MATCH($G155,Data_Prices!$A:$A,0))*W$158</f>
        <v>0.112314070507636</v>
      </c>
      <c r="X155" s="19">
        <f>X145+INDEX(Data_Prices!X:X,MATCH($G155,Data_Prices!$A:$A,0))*X$158</f>
        <v>0.11142204273284299</v>
      </c>
      <c r="Y155" s="19">
        <f>Y145+INDEX(Data_Prices!Y:Y,MATCH($G155,Data_Prices!$A:$A,0))*Y$158</f>
        <v>0.110434123675809</v>
      </c>
      <c r="Z155" s="19">
        <f>Z145+INDEX(Data_Prices!Z:Z,MATCH($G155,Data_Prices!$A:$A,0))*Z$158</f>
        <v>0.109483973304471</v>
      </c>
      <c r="AA155" s="19">
        <f>AA145+INDEX(Data_Prices!AA:AA,MATCH($G155,Data_Prices!$A:$A,0))*AA$158</f>
        <v>0.10839192105294</v>
      </c>
      <c r="AB155" s="19">
        <f>AB145+INDEX(Data_Prices!AB:AB,MATCH($G155,Data_Prices!$A:$A,0))*AB$158</f>
        <v>0.10735443362670399</v>
      </c>
      <c r="AC155" s="19">
        <f>AC145+INDEX(Data_Prices!AC:AC,MATCH($G155,Data_Prices!$A:$A,0))*AC$158</f>
        <v>0.105168675441661</v>
      </c>
      <c r="AD155" s="19">
        <f>AD145+INDEX(Data_Prices!AD:AD,MATCH($G155,Data_Prices!$A:$A,0))*AD$158</f>
        <v>0.103057983256008</v>
      </c>
      <c r="AE155" s="19">
        <f>AE145+INDEX(Data_Prices!AE:AE,MATCH($G155,Data_Prices!$A:$A,0))*AE$158</f>
        <v>0.100931838990114</v>
      </c>
    </row>
    <row r="156" spans="2:31" x14ac:dyDescent="0.45">
      <c r="B156" s="13" t="s">
        <v>76</v>
      </c>
    </row>
    <row r="157" spans="2:31" x14ac:dyDescent="0.45">
      <c r="B157" s="14" t="s">
        <v>77</v>
      </c>
      <c r="C157" s="14" t="str">
        <f>$C$125</f>
        <v>nfm</v>
      </c>
      <c r="D157" s="15" t="s">
        <v>78</v>
      </c>
      <c r="E157" s="16" t="s">
        <v>79</v>
      </c>
      <c r="F157" s="14" t="s">
        <v>80</v>
      </c>
      <c r="G157" s="17" t="str">
        <f>Settings!$B$3&amp;".mit.tcf."&amp;$C$125&amp;"."&amp;$J$125</f>
        <v>egy.mit.tcf.nfm.1</v>
      </c>
      <c r="K157" s="19">
        <f>INDEX(Data_Prices!K:K,MATCH($G157,Data_Prices!$A:$A,0))</f>
        <v>0</v>
      </c>
      <c r="L157" s="19">
        <f>INDEX(Data_Prices!L:L,MATCH($G157,Data_Prices!$A:$A,0))</f>
        <v>0</v>
      </c>
      <c r="M157" s="19">
        <f>INDEX(Data_Prices!M:M,MATCH($G157,Data_Prices!$A:$A,0))</f>
        <v>0</v>
      </c>
      <c r="N157" s="19">
        <f>INDEX(Data_Prices!N:N,MATCH($G157,Data_Prices!$A:$A,0))</f>
        <v>0</v>
      </c>
      <c r="O157" s="19">
        <f>INDEX(Data_Prices!O:O,MATCH($G157,Data_Prices!$A:$A,0))</f>
        <v>0</v>
      </c>
      <c r="P157" s="19">
        <f>INDEX(Data_Prices!P:P,MATCH($G157,Data_Prices!$A:$A,0))</f>
        <v>0</v>
      </c>
      <c r="Q157" s="19">
        <f>INDEX(Data_Prices!Q:Q,MATCH($G157,Data_Prices!$A:$A,0))</f>
        <v>0</v>
      </c>
      <c r="R157" s="19">
        <f>INDEX(Data_Prices!R:R,MATCH($G157,Data_Prices!$A:$A,0))</f>
        <v>0</v>
      </c>
      <c r="S157" s="19">
        <f>INDEX(Data_Prices!S:S,MATCH($G157,Data_Prices!$A:$A,0))</f>
        <v>0</v>
      </c>
      <c r="T157" s="19">
        <f>INDEX(Data_Prices!T:T,MATCH($G157,Data_Prices!$A:$A,0))</f>
        <v>0</v>
      </c>
      <c r="U157" s="19">
        <f>INDEX(Data_Prices!U:U,MATCH($G157,Data_Prices!$A:$A,0))</f>
        <v>0</v>
      </c>
      <c r="V157" s="19">
        <f>INDEX(Data_Prices!V:V,MATCH($G157,Data_Prices!$A:$A,0))</f>
        <v>0</v>
      </c>
      <c r="W157" s="19">
        <f>INDEX(Data_Prices!W:W,MATCH($G157,Data_Prices!$A:$A,0))</f>
        <v>0</v>
      </c>
      <c r="X157" s="19">
        <f>INDEX(Data_Prices!X:X,MATCH($G157,Data_Prices!$A:$A,0))</f>
        <v>0</v>
      </c>
      <c r="Y157" s="19">
        <f>INDEX(Data_Prices!Y:Y,MATCH($G157,Data_Prices!$A:$A,0))</f>
        <v>0</v>
      </c>
      <c r="Z157" s="19">
        <f>INDEX(Data_Prices!Z:Z,MATCH($G157,Data_Prices!$A:$A,0))</f>
        <v>0</v>
      </c>
      <c r="AA157" s="19">
        <f>INDEX(Data_Prices!AA:AA,MATCH($G157,Data_Prices!$A:$A,0))</f>
        <v>0</v>
      </c>
      <c r="AB157" s="19">
        <f>INDEX(Data_Prices!AB:AB,MATCH($G157,Data_Prices!$A:$A,0))</f>
        <v>0</v>
      </c>
      <c r="AC157" s="19">
        <f>INDEX(Data_Prices!AC:AC,MATCH($G157,Data_Prices!$A:$A,0))</f>
        <v>0</v>
      </c>
      <c r="AD157" s="19">
        <f>INDEX(Data_Prices!AD:AD,MATCH($G157,Data_Prices!$A:$A,0))</f>
        <v>0</v>
      </c>
      <c r="AE157" s="19">
        <f>INDEX(Data_Prices!AE:AE,MATCH($G157,Data_Prices!$A:$A,0))</f>
        <v>0</v>
      </c>
    </row>
    <row r="158" spans="2:31" x14ac:dyDescent="0.45">
      <c r="B158" s="14" t="s">
        <v>77</v>
      </c>
      <c r="C158" s="14" t="str">
        <f>$C$125</f>
        <v>nfm</v>
      </c>
      <c r="D158" s="15" t="s">
        <v>81</v>
      </c>
      <c r="E158" s="16" t="s">
        <v>79</v>
      </c>
      <c r="F158" s="14" t="s">
        <v>82</v>
      </c>
      <c r="G158" s="17" t="str">
        <f>Settings!$B$3&amp;".mit.ssc."&amp;$C$125&amp;"."&amp;$J$125</f>
        <v>egy.mit.ssc.nfm.1</v>
      </c>
      <c r="K158" s="19">
        <f>INDEX(Data_Prices!K:K,MATCH($G158,Data_Prices!$A:$A,0))</f>
        <v>0</v>
      </c>
      <c r="L158" s="19">
        <f>INDEX(Data_Prices!L:L,MATCH($G158,Data_Prices!$A:$A,0))</f>
        <v>0</v>
      </c>
      <c r="M158" s="19">
        <f>INDEX(Data_Prices!M:M,MATCH($G158,Data_Prices!$A:$A,0))</f>
        <v>0</v>
      </c>
      <c r="N158" s="19">
        <f>INDEX(Data_Prices!N:N,MATCH($G158,Data_Prices!$A:$A,0))</f>
        <v>0</v>
      </c>
      <c r="O158" s="19">
        <f>INDEX(Data_Prices!O:O,MATCH($G158,Data_Prices!$A:$A,0))</f>
        <v>0</v>
      </c>
      <c r="P158" s="19">
        <f>INDEX(Data_Prices!P:P,MATCH($G158,Data_Prices!$A:$A,0))</f>
        <v>0</v>
      </c>
      <c r="Q158" s="19">
        <f>INDEX(Data_Prices!Q:Q,MATCH($G158,Data_Prices!$A:$A,0))</f>
        <v>0</v>
      </c>
      <c r="R158" s="19">
        <f>INDEX(Data_Prices!R:R,MATCH($G158,Data_Prices!$A:$A,0))</f>
        <v>0</v>
      </c>
      <c r="S158" s="19">
        <f>INDEX(Data_Prices!S:S,MATCH($G158,Data_Prices!$A:$A,0))</f>
        <v>0</v>
      </c>
      <c r="T158" s="19">
        <f>INDEX(Data_Prices!T:T,MATCH($G158,Data_Prices!$A:$A,0))</f>
        <v>0</v>
      </c>
      <c r="U158" s="19">
        <f>INDEX(Data_Prices!U:U,MATCH($G158,Data_Prices!$A:$A,0))</f>
        <v>0</v>
      </c>
      <c r="V158" s="19">
        <f>INDEX(Data_Prices!V:V,MATCH($G158,Data_Prices!$A:$A,0))</f>
        <v>0</v>
      </c>
      <c r="W158" s="19">
        <f>INDEX(Data_Prices!W:W,MATCH($G158,Data_Prices!$A:$A,0))</f>
        <v>0</v>
      </c>
      <c r="X158" s="19">
        <f>INDEX(Data_Prices!X:X,MATCH($G158,Data_Prices!$A:$A,0))</f>
        <v>0</v>
      </c>
      <c r="Y158" s="19">
        <f>INDEX(Data_Prices!Y:Y,MATCH($G158,Data_Prices!$A:$A,0))</f>
        <v>0</v>
      </c>
      <c r="Z158" s="19">
        <f>INDEX(Data_Prices!Z:Z,MATCH($G158,Data_Prices!$A:$A,0))</f>
        <v>0</v>
      </c>
      <c r="AA158" s="19">
        <f>INDEX(Data_Prices!AA:AA,MATCH($G158,Data_Prices!$A:$A,0))</f>
        <v>0</v>
      </c>
      <c r="AB158" s="19">
        <f>INDEX(Data_Prices!AB:AB,MATCH($G158,Data_Prices!$A:$A,0))</f>
        <v>0</v>
      </c>
      <c r="AC158" s="19">
        <f>INDEX(Data_Prices!AC:AC,MATCH($G158,Data_Prices!$A:$A,0))</f>
        <v>0</v>
      </c>
      <c r="AD158" s="19">
        <f>INDEX(Data_Prices!AD:AD,MATCH($G158,Data_Prices!$A:$A,0))</f>
        <v>0</v>
      </c>
      <c r="AE158" s="19">
        <f>INDEX(Data_Prices!AE:AE,MATCH($G158,Data_Prices!$A:$A,0))</f>
        <v>0</v>
      </c>
    </row>
    <row r="159" spans="2:31" x14ac:dyDescent="0.45">
      <c r="B159" s="14" t="s">
        <v>77</v>
      </c>
      <c r="C159" s="14" t="str">
        <f>$C$125</f>
        <v>nfm</v>
      </c>
      <c r="D159" s="15" t="s">
        <v>83</v>
      </c>
      <c r="E159" s="16" t="s">
        <v>84</v>
      </c>
      <c r="F159" s="14" t="s">
        <v>85</v>
      </c>
      <c r="G159" s="17" t="str">
        <f>Settings!$B$3&amp;".mit.gdp.pos.pct."&amp;$J$125</f>
        <v>egy.mit.gdp.pos.pct.1</v>
      </c>
      <c r="K159" s="20">
        <f>INDEX(Data_Macro!K:K,MATCH($G159,Data_Macro!$A:$A,0))</f>
        <v>0</v>
      </c>
      <c r="L159" s="20">
        <f>INDEX(Data_Macro!L:L,MATCH($G159,Data_Macro!$A:$A,0))</f>
        <v>6.6513450000000002E-2</v>
      </c>
      <c r="M159" s="20">
        <f>INDEX(Data_Macro!M:M,MATCH($G159,Data_Macro!$A:$A,0))</f>
        <v>3.760281E-2</v>
      </c>
      <c r="N159" s="20">
        <f>INDEX(Data_Macro!N:N,MATCH($G159,Data_Macro!$A:$A,0))</f>
        <v>2.3988010000000001E-2</v>
      </c>
      <c r="O159" s="20">
        <f>INDEX(Data_Macro!O:O,MATCH($G159,Data_Macro!$A:$A,0))</f>
        <v>4.3923869999999997E-2</v>
      </c>
      <c r="P159" s="20">
        <f>INDEX(Data_Macro!P:P,MATCH($G159,Data_Macro!$A:$A,0))</f>
        <v>4.239706E-2</v>
      </c>
      <c r="Q159" s="20">
        <f>INDEX(Data_Macro!Q:Q,MATCH($G159,Data_Macro!$A:$A,0))</f>
        <v>4.8292179999999997E-2</v>
      </c>
      <c r="R159" s="20">
        <f>INDEX(Data_Macro!R:R,MATCH($G159,Data_Macro!$A:$A,0))</f>
        <v>5.5353159999999998E-2</v>
      </c>
      <c r="S159" s="20">
        <f>INDEX(Data_Macro!S:S,MATCH($G159,Data_Macro!$A:$A,0))</f>
        <v>5.2266060000000003E-2</v>
      </c>
      <c r="T159" s="20">
        <f>INDEX(Data_Macro!T:T,MATCH($G159,Data_Macro!$A:$A,0))</f>
        <v>4.841877E-2</v>
      </c>
      <c r="U159" s="20">
        <f>INDEX(Data_Macro!U:U,MATCH($G159,Data_Macro!$A:$A,0))</f>
        <v>4.7887359999999997E-2</v>
      </c>
      <c r="V159" s="20">
        <f>INDEX(Data_Macro!V:V,MATCH($G159,Data_Macro!$A:$A,0))</f>
        <v>4.7355950000000001E-2</v>
      </c>
      <c r="W159" s="20">
        <f>INDEX(Data_Macro!W:W,MATCH($G159,Data_Macro!$A:$A,0))</f>
        <v>4.6824539999999998E-2</v>
      </c>
      <c r="X159" s="20">
        <f>INDEX(Data_Macro!X:X,MATCH($G159,Data_Macro!$A:$A,0))</f>
        <v>4.6293130000000002E-2</v>
      </c>
      <c r="Y159" s="20">
        <f>INDEX(Data_Macro!Y:Y,MATCH($G159,Data_Macro!$A:$A,0))</f>
        <v>4.5761719999999999E-2</v>
      </c>
      <c r="Z159" s="20">
        <f>INDEX(Data_Macro!Z:Z,MATCH($G159,Data_Macro!$A:$A,0))</f>
        <v>4.5230310000000003E-2</v>
      </c>
      <c r="AA159" s="20">
        <f>INDEX(Data_Macro!AA:AA,MATCH($G159,Data_Macro!$A:$A,0))</f>
        <v>4.46989E-2</v>
      </c>
      <c r="AB159" s="20">
        <f>INDEX(Data_Macro!AB:AB,MATCH($G159,Data_Macro!$A:$A,0))</f>
        <v>4.4167489999999997E-2</v>
      </c>
      <c r="AC159" s="20">
        <f>INDEX(Data_Macro!AC:AC,MATCH($G159,Data_Macro!$A:$A,0))</f>
        <v>4.3636080000000001E-2</v>
      </c>
      <c r="AD159" s="20">
        <f>INDEX(Data_Macro!AD:AD,MATCH($G159,Data_Macro!$A:$A,0))</f>
        <v>4.3104669999999998E-2</v>
      </c>
      <c r="AE159" s="20">
        <f>INDEX(Data_Macro!AE:AE,MATCH($G159,Data_Macro!$A:$A,0))</f>
        <v>4.2573260000000002E-2</v>
      </c>
    </row>
    <row r="160" spans="2:31" x14ac:dyDescent="0.45">
      <c r="B160" s="14" t="s">
        <v>77</v>
      </c>
      <c r="C160" s="14" t="str">
        <f>$C$125</f>
        <v>nfm</v>
      </c>
      <c r="D160" s="15" t="s">
        <v>86</v>
      </c>
      <c r="E160" s="16" t="s">
        <v>87</v>
      </c>
      <c r="F160" s="14" t="s">
        <v>88</v>
      </c>
      <c r="G160" s="17" t="str">
        <f>Settings!$B$3&amp;".mit.inc.ela.adj."&amp;$J$125</f>
        <v>egy.mit.inc.ela.adj.1</v>
      </c>
      <c r="K160" s="19">
        <f>INDEX(Data_Macro!K:K,MATCH($G160,Data_Macro!$A:$A,0))</f>
        <v>0</v>
      </c>
      <c r="L160" s="19">
        <f>INDEX(Data_Macro!L:L,MATCH($G160,Data_Macro!$A:$A,0))</f>
        <v>1.02715172471961</v>
      </c>
      <c r="M160" s="19">
        <f>INDEX(Data_Macro!M:M,MATCH($G160,Data_Macro!$A:$A,0))</f>
        <v>1.02715172471961</v>
      </c>
      <c r="N160" s="19">
        <f>INDEX(Data_Macro!N:N,MATCH($G160,Data_Macro!$A:$A,0))</f>
        <v>1.0205698358851201</v>
      </c>
      <c r="O160" s="19">
        <f>INDEX(Data_Macro!O:O,MATCH($G160,Data_Macro!$A:$A,0))</f>
        <v>1.01733442885234</v>
      </c>
      <c r="P160" s="19">
        <f>INDEX(Data_Macro!P:P,MATCH($G160,Data_Macro!$A:$A,0))</f>
        <v>1.00766833225382</v>
      </c>
      <c r="Q160" s="19">
        <f>INDEX(Data_Macro!Q:Q,MATCH($G160,Data_Macro!$A:$A,0))</f>
        <v>1.0007442871755301</v>
      </c>
      <c r="R160" s="19">
        <f>INDEX(Data_Macro!R:R,MATCH($G160,Data_Macro!$A:$A,0))</f>
        <v>0.99188648901185805</v>
      </c>
      <c r="S160" s="19">
        <f>INDEX(Data_Macro!S:S,MATCH($G160,Data_Macro!$A:$A,0))</f>
        <v>0.98065540330043</v>
      </c>
      <c r="T160" s="19">
        <f>INDEX(Data_Macro!T:T,MATCH($G160,Data_Macro!$A:$A,0))</f>
        <v>0.97020940399244304</v>
      </c>
      <c r="U160" s="19">
        <f>INDEX(Data_Macro!U:U,MATCH($G160,Data_Macro!$A:$A,0))</f>
        <v>0.96419265907710505</v>
      </c>
      <c r="V160" s="19">
        <f>INDEX(Data_Macro!V:V,MATCH($G160,Data_Macro!$A:$A,0))</f>
        <v>0.961612871227152</v>
      </c>
      <c r="W160" s="19">
        <f>INDEX(Data_Macro!W:W,MATCH($G160,Data_Macro!$A:$A,0))</f>
        <v>0.95919844785404995</v>
      </c>
      <c r="X160" s="19">
        <f>INDEX(Data_Macro!X:X,MATCH($G160,Data_Macro!$A:$A,0))</f>
        <v>0.95695125444519602</v>
      </c>
      <c r="Y160" s="19">
        <f>INDEX(Data_Macro!Y:Y,MATCH($G160,Data_Macro!$A:$A,0))</f>
        <v>0.95487297859577702</v>
      </c>
      <c r="Z160" s="19">
        <f>INDEX(Data_Macro!Z:Z,MATCH($G160,Data_Macro!$A:$A,0))</f>
        <v>0.95296514086144901</v>
      </c>
      <c r="AA160" s="19">
        <f>INDEX(Data_Macro!AA:AA,MATCH($G160,Data_Macro!$A:$A,0))</f>
        <v>0.95122910490338497</v>
      </c>
      <c r="AB160" s="19">
        <f>INDEX(Data_Macro!AB:AB,MATCH($G160,Data_Macro!$A:$A,0))</f>
        <v>0.94966608689229304</v>
      </c>
      <c r="AC160" s="19">
        <f>INDEX(Data_Macro!AC:AC,MATCH($G160,Data_Macro!$A:$A,0))</f>
        <v>0.94827716413797603</v>
      </c>
      <c r="AD160" s="19">
        <f>INDEX(Data_Macro!AD:AD,MATCH($G160,Data_Macro!$A:$A,0))</f>
        <v>0.94706328291559205</v>
      </c>
      <c r="AE160" s="19">
        <f>INDEX(Data_Macro!AE:AE,MATCH($G160,Data_Macro!$A:$A,0))</f>
        <v>0.94602526545851295</v>
      </c>
    </row>
    <row r="161" spans="2:31" x14ac:dyDescent="0.45">
      <c r="B161" s="14" t="s">
        <v>77</v>
      </c>
      <c r="C161" s="14" t="str">
        <f>$C$125</f>
        <v>nfm</v>
      </c>
      <c r="D161" s="15" t="s">
        <v>89</v>
      </c>
      <c r="E161" s="16" t="s">
        <v>87</v>
      </c>
      <c r="F161" s="14" t="s">
        <v>90</v>
      </c>
      <c r="G161" s="17" t="str">
        <f>Settings!$B$3&amp;".mit.shock."&amp;$J$125</f>
        <v>egy.mit.shock.1</v>
      </c>
      <c r="K161" s="19">
        <f>INDEX(Data_Macro!K:K,MATCH($G161,Data_Macro!$A:$A,0))</f>
        <v>0</v>
      </c>
      <c r="L161" s="19">
        <f>INDEX(Data_Macro!L:L,MATCH($G161,Data_Macro!$A:$A,0))</f>
        <v>0</v>
      </c>
      <c r="M161" s="19">
        <f>INDEX(Data_Macro!M:M,MATCH($G161,Data_Macro!$A:$A,0))</f>
        <v>-0.20813308302044201</v>
      </c>
      <c r="N161" s="19">
        <f>INDEX(Data_Macro!N:N,MATCH($G161,Data_Macro!$A:$A,0))</f>
        <v>9.2371428571428604E-2</v>
      </c>
      <c r="O161" s="19">
        <f>INDEX(Data_Macro!O:O,MATCH($G161,Data_Macro!$A:$A,0))</f>
        <v>0</v>
      </c>
      <c r="P161" s="19">
        <f>INDEX(Data_Macro!P:P,MATCH($G161,Data_Macro!$A:$A,0))</f>
        <v>0</v>
      </c>
      <c r="Q161" s="19">
        <f>INDEX(Data_Macro!Q:Q,MATCH($G161,Data_Macro!$A:$A,0))</f>
        <v>0</v>
      </c>
      <c r="R161" s="19">
        <f>INDEX(Data_Macro!R:R,MATCH($G161,Data_Macro!$A:$A,0))</f>
        <v>0</v>
      </c>
      <c r="S161" s="19">
        <f>INDEX(Data_Macro!S:S,MATCH($G161,Data_Macro!$A:$A,0))</f>
        <v>0</v>
      </c>
      <c r="T161" s="19">
        <f>INDEX(Data_Macro!T:T,MATCH($G161,Data_Macro!$A:$A,0))</f>
        <v>0</v>
      </c>
      <c r="U161" s="19">
        <f>INDEX(Data_Macro!U:U,MATCH($G161,Data_Macro!$A:$A,0))</f>
        <v>0</v>
      </c>
      <c r="V161" s="19">
        <f>INDEX(Data_Macro!V:V,MATCH($G161,Data_Macro!$A:$A,0))</f>
        <v>0</v>
      </c>
      <c r="W161" s="19">
        <f>INDEX(Data_Macro!W:W,MATCH($G161,Data_Macro!$A:$A,0))</f>
        <v>0</v>
      </c>
      <c r="X161" s="19">
        <f>INDEX(Data_Macro!X:X,MATCH($G161,Data_Macro!$A:$A,0))</f>
        <v>0</v>
      </c>
      <c r="Y161" s="19">
        <f>INDEX(Data_Macro!Y:Y,MATCH($G161,Data_Macro!$A:$A,0))</f>
        <v>0</v>
      </c>
      <c r="Z161" s="19">
        <f>INDEX(Data_Macro!Z:Z,MATCH($G161,Data_Macro!$A:$A,0))</f>
        <v>0</v>
      </c>
      <c r="AA161" s="19">
        <f>INDEX(Data_Macro!AA:AA,MATCH($G161,Data_Macro!$A:$A,0))</f>
        <v>0</v>
      </c>
      <c r="AB161" s="19">
        <f>INDEX(Data_Macro!AB:AB,MATCH($G161,Data_Macro!$A:$A,0))</f>
        <v>0</v>
      </c>
      <c r="AC161" s="19">
        <f>INDEX(Data_Macro!AC:AC,MATCH($G161,Data_Macro!$A:$A,0))</f>
        <v>0</v>
      </c>
      <c r="AD161" s="19">
        <f>INDEX(Data_Macro!AD:AD,MATCH($G161,Data_Macro!$A:$A,0))</f>
        <v>0</v>
      </c>
      <c r="AE161" s="19">
        <f>INDEX(Data_Macro!AE:AE,MATCH($G161,Data_Macro!$A:$A,0))</f>
        <v>0</v>
      </c>
    </row>
    <row r="162" spans="2:31" x14ac:dyDescent="0.45">
      <c r="B162" s="13" t="s">
        <v>91</v>
      </c>
    </row>
    <row r="163" spans="2:31" x14ac:dyDescent="0.45">
      <c r="B163" s="7" t="s">
        <v>32</v>
      </c>
      <c r="C163" s="7" t="s">
        <v>33</v>
      </c>
      <c r="D163" s="21" t="s">
        <v>34</v>
      </c>
      <c r="E163" s="7" t="s">
        <v>92</v>
      </c>
      <c r="F163" s="7" t="s">
        <v>93</v>
      </c>
      <c r="G163" s="7" t="s">
        <v>94</v>
      </c>
      <c r="H163" s="7" t="s">
        <v>95</v>
      </c>
      <c r="I163" s="7" t="s">
        <v>96</v>
      </c>
      <c r="J163" s="7" t="s">
        <v>97</v>
      </c>
    </row>
    <row r="164" spans="2:31" x14ac:dyDescent="0.45">
      <c r="B164" s="14" t="s">
        <v>49</v>
      </c>
      <c r="C164" s="14" t="str">
        <f t="shared" ref="C164:C172" si="15">$C$125</f>
        <v>nfm</v>
      </c>
      <c r="D164" s="22" t="s">
        <v>98</v>
      </c>
      <c r="E164" s="23">
        <f>INDEX(Data_Elast!$D:$G,MATCH("el_inc_"&amp;INDEX(Data_Elast!$J:$J,MATCH($B164,Data_Elast!$I:$I,0)),Data_Elast!$A:$A,0),MATCH(Settings!$B$5,Data_Elast!$D$1:$G$1,0))</f>
        <v>0.5</v>
      </c>
      <c r="F164" s="23">
        <f>INDEX(Data_Elast!$D:$G,MATCH("el_dem_"&amp;INDEX(Data_Elast!$J:$J,MATCH($B164,Data_Elast!$I:$I,0)),Data_Elast!$A:$A,0),MATCH(Settings!$B$5,Data_Elast!$D$1:$G$1,0))</f>
        <v>-0.3</v>
      </c>
      <c r="G164" s="23">
        <f>INDEX(Data_Elast!$D:$G,MATCH("el_eff_"&amp;INDEX(Data_Elast!$J:$J,MATCH($B164,Data_Elast!$I:$I,0)),Data_Elast!$A:$A,0),MATCH(Settings!$B$5,Data_Elast!$D$1:$G$1,0))</f>
        <v>-0.4</v>
      </c>
      <c r="H164" s="23">
        <f>INDEX(Data_Elast!$D:$G,MATCH("eff_imp_"&amp;INDEX(Data_Elast!$K:$K,MATCH($B164,Data_Elast!$I:$I,0)),Data_Elast!$A:$A,0),MATCH(Settings!$B$5,Data_Elast!$D$1:$G$1,0))</f>
        <v>5.0000000000000001E-3</v>
      </c>
      <c r="I164" s="23">
        <f>Settings!$B$7</f>
        <v>0</v>
      </c>
      <c r="J164" s="16" t="str">
        <f>INDEX(Data_Elast!$J:$J,MATCH($B164,Data_Elast!$I:$I,0))</f>
        <v>coa</v>
      </c>
    </row>
    <row r="165" spans="2:31" x14ac:dyDescent="0.45">
      <c r="B165" s="14" t="s">
        <v>53</v>
      </c>
      <c r="C165" s="14" t="str">
        <f t="shared" si="15"/>
        <v>nfm</v>
      </c>
      <c r="D165" s="22" t="s">
        <v>99</v>
      </c>
      <c r="E165" s="23">
        <f>INDEX(Data_Elast!$D:$G,MATCH("el_inc_"&amp;INDEX(Data_Elast!$J:$J,MATCH($B165,Data_Elast!$I:$I,0)),Data_Elast!$A:$A,0),MATCH(Settings!$B$5,Data_Elast!$D$1:$G$1,0))</f>
        <v>1</v>
      </c>
      <c r="F165" s="23">
        <f>INDEX(Data_Elast!$D:$G,MATCH("el_dem_"&amp;INDEX(Data_Elast!$J:$J,MATCH($B165,Data_Elast!$I:$I,0)),Data_Elast!$A:$A,0),MATCH(Settings!$B$5,Data_Elast!$D$1:$G$1,0))</f>
        <v>-0.5</v>
      </c>
      <c r="G165" s="23">
        <f>INDEX(Data_Elast!$D:$G,MATCH("el_eff_"&amp;INDEX(Data_Elast!$J:$J,MATCH($B165,Data_Elast!$I:$I,0)),Data_Elast!$A:$A,0),MATCH(Settings!$B$5,Data_Elast!$D$1:$G$1,0))</f>
        <v>-0.5</v>
      </c>
      <c r="H165" s="23">
        <f>INDEX(Data_Elast!$D:$G,MATCH("eff_imp_"&amp;INDEX(Data_Elast!$K:$K,MATCH($B165,Data_Elast!$I:$I,0)),Data_Elast!$A:$A,0),MATCH(Settings!$B$5,Data_Elast!$D$1:$G$1,0))</f>
        <v>0.01</v>
      </c>
      <c r="I165" s="23">
        <f>Settings!$B$7</f>
        <v>0</v>
      </c>
      <c r="J165" s="16" t="str">
        <f>INDEX(Data_Elast!$J:$J,MATCH($B165,Data_Elast!$I:$I,0))</f>
        <v>nga</v>
      </c>
    </row>
    <row r="166" spans="2:31" x14ac:dyDescent="0.45">
      <c r="B166" s="14" t="s">
        <v>55</v>
      </c>
      <c r="C166" s="14" t="str">
        <f t="shared" si="15"/>
        <v>nfm</v>
      </c>
      <c r="D166" s="22" t="s">
        <v>100</v>
      </c>
      <c r="E166" s="23">
        <f>INDEX(Data_Elast!$D:$G,MATCH("el_inc_"&amp;INDEX(Data_Elast!$J:$J,MATCH($B166,Data_Elast!$I:$I,0)),Data_Elast!$A:$A,0),MATCH(Settings!$B$5,Data_Elast!$D$1:$G$1,0))</f>
        <v>0.5</v>
      </c>
      <c r="F166" s="23">
        <f>INDEX(Data_Elast!$D:$G,MATCH("el_dem_"&amp;INDEX(Data_Elast!$J:$J,MATCH($B166,Data_Elast!$I:$I,0)),Data_Elast!$A:$A,0),MATCH(Settings!$B$5,Data_Elast!$D$1:$G$1,0))</f>
        <v>-0.4</v>
      </c>
      <c r="G166" s="23">
        <f>INDEX(Data_Elast!$D:$G,MATCH("el_eff_"&amp;INDEX(Data_Elast!$J:$J,MATCH($B166,Data_Elast!$I:$I,0)),Data_Elast!$A:$A,0),MATCH(Settings!$B$5,Data_Elast!$D$1:$G$1,0))</f>
        <v>-0.7</v>
      </c>
      <c r="H166" s="23">
        <f>INDEX(Data_Elast!$D:$G,MATCH("eff_imp_"&amp;INDEX(Data_Elast!$K:$K,MATCH($B166,Data_Elast!$I:$I,0)),Data_Elast!$A:$A,0),MATCH(Settings!$B$5,Data_Elast!$D$1:$G$1,0))</f>
        <v>5.0000000000000001E-3</v>
      </c>
      <c r="I166" s="23">
        <f>Settings!$B$7</f>
        <v>0</v>
      </c>
      <c r="J166" s="16" t="str">
        <f>INDEX(Data_Elast!$J:$J,MATCH($B166,Data_Elast!$I:$I,0))</f>
        <v>gso</v>
      </c>
    </row>
    <row r="167" spans="2:31" x14ac:dyDescent="0.45">
      <c r="B167" s="14" t="s">
        <v>58</v>
      </c>
      <c r="C167" s="14" t="str">
        <f t="shared" si="15"/>
        <v>nfm</v>
      </c>
      <c r="D167" s="22" t="s">
        <v>101</v>
      </c>
      <c r="E167" s="23">
        <f>INDEX(Data_Elast!$D:$G,MATCH("el_inc_"&amp;INDEX(Data_Elast!$J:$J,MATCH($B167,Data_Elast!$I:$I,0)),Data_Elast!$A:$A,0),MATCH(Settings!$B$5,Data_Elast!$D$1:$G$1,0))</f>
        <v>0.5</v>
      </c>
      <c r="F167" s="23">
        <f>INDEX(Data_Elast!$D:$G,MATCH("el_dem_"&amp;INDEX(Data_Elast!$J:$J,MATCH($B167,Data_Elast!$I:$I,0)),Data_Elast!$A:$A,0),MATCH(Settings!$B$5,Data_Elast!$D$1:$G$1,0))</f>
        <v>-0.7</v>
      </c>
      <c r="G167" s="23">
        <f>INDEX(Data_Elast!$D:$G,MATCH("el_eff_"&amp;INDEX(Data_Elast!$J:$J,MATCH($B167,Data_Elast!$I:$I,0)),Data_Elast!$A:$A,0),MATCH(Settings!$B$5,Data_Elast!$D$1:$G$1,0))</f>
        <v>-1.2</v>
      </c>
      <c r="H167" s="23">
        <f>INDEX(Data_Elast!$D:$G,MATCH("eff_imp_"&amp;INDEX(Data_Elast!$K:$K,MATCH($B167,Data_Elast!$I:$I,0)),Data_Elast!$A:$A,0),MATCH(Settings!$B$5,Data_Elast!$D$1:$G$1,0))</f>
        <v>5.0000000000000001E-3</v>
      </c>
      <c r="I167" s="23">
        <f>Settings!$B$7</f>
        <v>0</v>
      </c>
      <c r="J167" s="16" t="str">
        <f>INDEX(Data_Elast!$J:$J,MATCH($B167,Data_Elast!$I:$I,0))</f>
        <v>die</v>
      </c>
    </row>
    <row r="168" spans="2:31" x14ac:dyDescent="0.45">
      <c r="B168" s="14" t="s">
        <v>60</v>
      </c>
      <c r="C168" s="14" t="str">
        <f t="shared" si="15"/>
        <v>nfm</v>
      </c>
      <c r="D168" s="22" t="s">
        <v>102</v>
      </c>
      <c r="E168" s="23">
        <f>INDEX(Data_Elast!$D:$G,MATCH("el_inc_"&amp;INDEX(Data_Elast!$J:$J,MATCH($B168,Data_Elast!$I:$I,0)),Data_Elast!$A:$A,0),MATCH(Settings!$B$5,Data_Elast!$D$1:$G$1,0))</f>
        <v>0.8</v>
      </c>
      <c r="F168" s="23">
        <f>INDEX(Data_Elast!$D:$G,MATCH("el_dem_"&amp;INDEX(Data_Elast!$J:$J,MATCH($B168,Data_Elast!$I:$I,0)),Data_Elast!$A:$A,0),MATCH(Settings!$B$5,Data_Elast!$D$1:$G$1,0))</f>
        <v>-0.4</v>
      </c>
      <c r="G168" s="23">
        <f>INDEX(Data_Elast!$D:$G,MATCH("el_eff_"&amp;INDEX(Data_Elast!$J:$J,MATCH($B168,Data_Elast!$I:$I,0)),Data_Elast!$A:$A,0),MATCH(Settings!$B$5,Data_Elast!$D$1:$G$1,0))</f>
        <v>-0.4</v>
      </c>
      <c r="H168" s="23">
        <f>INDEX(Data_Elast!$D:$G,MATCH("eff_imp_"&amp;INDEX(Data_Elast!$K:$K,MATCH($B168,Data_Elast!$I:$I,0)),Data_Elast!$A:$A,0),MATCH(Settings!$B$5,Data_Elast!$D$1:$G$1,0))</f>
        <v>5.0000000000000001E-3</v>
      </c>
      <c r="I168" s="23">
        <f>Settings!$B$7</f>
        <v>0</v>
      </c>
      <c r="J168" s="16" t="str">
        <f>INDEX(Data_Elast!$J:$J,MATCH($B168,Data_Elast!$I:$I,0))</f>
        <v>oil</v>
      </c>
    </row>
    <row r="169" spans="2:31" x14ac:dyDescent="0.45">
      <c r="B169" s="14" t="s">
        <v>62</v>
      </c>
      <c r="C169" s="14" t="str">
        <f t="shared" si="15"/>
        <v>nfm</v>
      </c>
      <c r="D169" s="22" t="s">
        <v>103</v>
      </c>
      <c r="E169" s="23">
        <f>INDEX(Data_Elast!$D:$G,MATCH("el_inc_"&amp;INDEX(Data_Elast!$J:$J,MATCH($B169,Data_Elast!$I:$I,0)),Data_Elast!$A:$A,0),MATCH(Settings!$B$5,Data_Elast!$D$1:$G$1,0))</f>
        <v>0.8</v>
      </c>
      <c r="F169" s="23">
        <f>INDEX(Data_Elast!$D:$G,MATCH("el_dem_"&amp;INDEX(Data_Elast!$J:$J,MATCH($B169,Data_Elast!$I:$I,0)),Data_Elast!$A:$A,0),MATCH(Settings!$B$5,Data_Elast!$D$1:$G$1,0))</f>
        <v>-0.4</v>
      </c>
      <c r="G169" s="23">
        <f>INDEX(Data_Elast!$D:$G,MATCH("el_eff_"&amp;INDEX(Data_Elast!$J:$J,MATCH($B169,Data_Elast!$I:$I,0)),Data_Elast!$A:$A,0),MATCH(Settings!$B$5,Data_Elast!$D$1:$G$1,0))</f>
        <v>-0.4</v>
      </c>
      <c r="H169" s="23">
        <f>INDEX(Data_Elast!$D:$G,MATCH("eff_imp_"&amp;INDEX(Data_Elast!$K:$K,MATCH($B169,Data_Elast!$I:$I,0)),Data_Elast!$A:$A,0),MATCH(Settings!$B$5,Data_Elast!$D$1:$G$1,0))</f>
        <v>5.0000000000000001E-3</v>
      </c>
      <c r="I169" s="23">
        <f>Settings!$B$7</f>
        <v>0</v>
      </c>
      <c r="J169" s="16" t="str">
        <f>INDEX(Data_Elast!$J:$J,MATCH($B169,Data_Elast!$I:$I,0))</f>
        <v>oil</v>
      </c>
    </row>
    <row r="170" spans="2:31" x14ac:dyDescent="0.45">
      <c r="B170" s="14" t="s">
        <v>64</v>
      </c>
      <c r="C170" s="14" t="str">
        <f t="shared" si="15"/>
        <v>nfm</v>
      </c>
      <c r="D170" s="22" t="s">
        <v>104</v>
      </c>
      <c r="E170" s="23">
        <f>INDEX(Data_Elast!$D:$G,MATCH("el_inc_"&amp;INDEX(Data_Elast!$J:$J,MATCH($B170,Data_Elast!$I:$I,0)),Data_Elast!$A:$A,0),MATCH(Settings!$B$5,Data_Elast!$D$1:$G$1,0))</f>
        <v>0.8</v>
      </c>
      <c r="F170" s="23">
        <f>INDEX(Data_Elast!$D:$G,MATCH("el_dem_"&amp;INDEX(Data_Elast!$J:$J,MATCH($B170,Data_Elast!$I:$I,0)),Data_Elast!$A:$A,0),MATCH(Settings!$B$5,Data_Elast!$D$1:$G$1,0))</f>
        <v>-0.4</v>
      </c>
      <c r="G170" s="23">
        <f>INDEX(Data_Elast!$D:$G,MATCH("el_eff_"&amp;INDEX(Data_Elast!$J:$J,MATCH($B170,Data_Elast!$I:$I,0)),Data_Elast!$A:$A,0),MATCH(Settings!$B$5,Data_Elast!$D$1:$G$1,0))</f>
        <v>-0.4</v>
      </c>
      <c r="H170" s="23">
        <f>INDEX(Data_Elast!$D:$G,MATCH("eff_imp_"&amp;INDEX(Data_Elast!$K:$K,MATCH($B170,Data_Elast!$I:$I,0)),Data_Elast!$A:$A,0),MATCH(Settings!$B$5,Data_Elast!$D$1:$G$1,0))</f>
        <v>5.0000000000000001E-3</v>
      </c>
      <c r="I170" s="23">
        <f>Settings!$B$7</f>
        <v>0</v>
      </c>
      <c r="J170" s="16" t="str">
        <f>INDEX(Data_Elast!$J:$J,MATCH($B170,Data_Elast!$I:$I,0))</f>
        <v>oil</v>
      </c>
    </row>
    <row r="171" spans="2:31" x14ac:dyDescent="0.45">
      <c r="B171" s="14" t="s">
        <v>67</v>
      </c>
      <c r="C171" s="14" t="str">
        <f t="shared" si="15"/>
        <v>nfm</v>
      </c>
      <c r="D171" s="22" t="s">
        <v>105</v>
      </c>
      <c r="E171" s="23">
        <f>INDEX(Data_Elast!$D:$G,MATCH("el_inc_"&amp;INDEX(Data_Elast!$J:$J,MATCH($B171,Data_Elast!$I:$I,0)),Data_Elast!$A:$A,0),MATCH(Settings!$B$5,Data_Elast!$D$1:$G$1,0))</f>
        <v>0.1</v>
      </c>
      <c r="F171" s="23">
        <f>INDEX(Data_Elast!$D:$G,MATCH("el_dem_"&amp;INDEX(Data_Elast!$J:$J,MATCH($B171,Data_Elast!$I:$I,0)),Data_Elast!$A:$A,0),MATCH(Settings!$B$5,Data_Elast!$D$1:$G$1,0))</f>
        <v>-0.3</v>
      </c>
      <c r="G171" s="23">
        <f>INDEX(Data_Elast!$D:$G,MATCH("el_eff_"&amp;INDEX(Data_Elast!$J:$J,MATCH($B171,Data_Elast!$I:$I,0)),Data_Elast!$A:$A,0),MATCH(Settings!$B$5,Data_Elast!$D$1:$G$1,0))</f>
        <v>-0.2</v>
      </c>
      <c r="H171" s="23">
        <f>INDEX(Data_Elast!$D:$G,MATCH("eff_imp_"&amp;INDEX(Data_Elast!$K:$K,MATCH($B171,Data_Elast!$I:$I,0)),Data_Elast!$A:$A,0),MATCH(Settings!$B$5,Data_Elast!$D$1:$G$1,0))</f>
        <v>5.0000000000000001E-3</v>
      </c>
      <c r="I171" s="23">
        <f>Settings!$B$7</f>
        <v>0</v>
      </c>
      <c r="J171" s="16" t="str">
        <f>INDEX(Data_Elast!$J:$J,MATCH($B171,Data_Elast!$I:$I,0))</f>
        <v>bio</v>
      </c>
    </row>
    <row r="172" spans="2:31" x14ac:dyDescent="0.45">
      <c r="B172" s="14" t="s">
        <v>69</v>
      </c>
      <c r="C172" s="14" t="str">
        <f t="shared" si="15"/>
        <v>nfm</v>
      </c>
      <c r="D172" s="22" t="s">
        <v>106</v>
      </c>
      <c r="E172" s="23">
        <f>INDEX(Data_Elast!$D:$G,MATCH("el_inc_"&amp;INDEX(Data_Elast!$J:$J,MATCH($B172,Data_Elast!$I:$I,0)),Data_Elast!$A:$A,0),MATCH(Settings!$B$5,Data_Elast!$D$1:$G$1,0))</f>
        <v>0.8</v>
      </c>
      <c r="F172" s="23">
        <f>INDEX(Data_Elast!$D:$G,MATCH("el_dem_"&amp;INDEX(Data_Elast!$J:$J,MATCH($B172,Data_Elast!$I:$I,0)),Data_Elast!$A:$A,0),MATCH(Settings!$B$5,Data_Elast!$D$1:$G$1,0))</f>
        <v>-0.5</v>
      </c>
      <c r="G172" s="23">
        <f>INDEX(Data_Elast!$D:$G,MATCH("el_eff_"&amp;INDEX(Data_Elast!$J:$J,MATCH($B172,Data_Elast!$I:$I,0)),Data_Elast!$A:$A,0),MATCH(Settings!$B$5,Data_Elast!$D$1:$G$1,0))</f>
        <v>-0.4</v>
      </c>
      <c r="H172" s="23">
        <f>INDEX(Data_Elast!$D:$G,MATCH("eff_imp_"&amp;INDEX(Data_Elast!$K:$K,MATCH($B172,Data_Elast!$I:$I,0)),Data_Elast!$A:$A,0),MATCH(Settings!$B$5,Data_Elast!$D$1:$G$1,0))</f>
        <v>5.0000000000000001E-3</v>
      </c>
      <c r="I172" s="23">
        <f>Settings!$B$7</f>
        <v>0</v>
      </c>
      <c r="J172" s="16" t="str">
        <f>INDEX(Data_Elast!$J:$J,MATCH($B172,Data_Elast!$I:$I,0))</f>
        <v>ren</v>
      </c>
    </row>
    <row r="173" spans="2:31" x14ac:dyDescent="0.45">
      <c r="B173" s="13" t="s">
        <v>107</v>
      </c>
    </row>
    <row r="174" spans="2:31" x14ac:dyDescent="0.45">
      <c r="B174" s="14" t="s">
        <v>49</v>
      </c>
      <c r="C174" s="14" t="str">
        <f t="shared" ref="C174:C183" si="16">$C$125</f>
        <v>nfm</v>
      </c>
      <c r="D174" s="15" t="s">
        <v>50</v>
      </c>
      <c r="E174" s="16" t="s">
        <v>108</v>
      </c>
      <c r="F174" s="14" t="s">
        <v>109</v>
      </c>
      <c r="G174" s="17" t="str">
        <f>Settings!$B$3&amp;".mit.enc."&amp;$B174</f>
        <v>egy.mit.enc.coa</v>
      </c>
      <c r="H174" s="45" t="str">
        <f>Settings!$B$3&amp;".mit.ener."&amp;$C$125&amp;"."&amp;$B174&amp;".e."&amp;$J$125</f>
        <v>egy.mit.ener.nfm.coa.e.1</v>
      </c>
      <c r="I174" t="s">
        <v>2274</v>
      </c>
      <c r="L174" s="47">
        <f>INDEX(Data_Energy!$D$3:$U$22,MATCH($B174,Data_Energy!$C$3:$C$22,0),MATCH($C174,Data_Energy!$D$2:$U$2,0))</f>
        <v>0</v>
      </c>
      <c r="M174" s="24">
        <f>L174*(1+M$159)^($E164*M$160)*(1+M$161)*IF(Rebate_Industry!L$112&lt;=0,1,Rebate_Industry!M$112/Rebate_Industry!L$112)^$F164*(IF(L147&lt;=0,1,M147/L147)^$G164/(1+$H164+$I164))^(1+$F164)</f>
        <v>0</v>
      </c>
      <c r="N174" s="24">
        <f>M174*(1+N$159)^($E164*N$160)*(1+N$161)*IF(Rebate_Industry!M$112&lt;=0,1,Rebate_Industry!N$112/Rebate_Industry!M$112)^$F164*(IF(M147&lt;=0,1,N147/M147)^$G164/(1+$H164+$I164))^(1+$F164)</f>
        <v>0</v>
      </c>
      <c r="O174" s="24">
        <f>N174*(1+O$159)^($E164*O$160)*(1+O$161)*IF(Rebate_Industry!N$112&lt;=0,1,Rebate_Industry!O$112/Rebate_Industry!N$112)^$F164*(IF(N147&lt;=0,1,O147/N147)^$G164/(1+$H164+$I164))^(1+$F164)</f>
        <v>0</v>
      </c>
      <c r="P174" s="24">
        <f>O174*(1+P$159)^($E164*P$160)*(1+P$161)*IF(Rebate_Industry!O$112&lt;=0,1,Rebate_Industry!P$112/Rebate_Industry!O$112)^$F164*(IF(O147&lt;=0,1,P147/O147)^$G164/(1+$H164+$I164))^(1+$F164)</f>
        <v>0</v>
      </c>
      <c r="Q174" s="24">
        <f>P174*(1+Q$159)^($E164*Q$160)*(1+Q$161)*IF(Rebate_Industry!P$112&lt;=0,1,Rebate_Industry!Q$112/Rebate_Industry!P$112)^$F164*(IF(P147&lt;=0,1,Q147/P147)^$G164/(1+$H164+$I164))^(1+$F164)</f>
        <v>0</v>
      </c>
      <c r="R174" s="24">
        <f>Q174*(1+R$159)^($E164*R$160)*(1+R$161)*IF(Rebate_Industry!Q$112&lt;=0,1,Rebate_Industry!R$112/Rebate_Industry!Q$112)^$F164*(IF(Q147&lt;=0,1,R147/Q147)^$G164/(1+$H164+$I164))^(1+$F164)</f>
        <v>0</v>
      </c>
      <c r="S174" s="24">
        <f>R174*(1+S$159)^($E164*S$160)*(1+S$161)*IF(Rebate_Industry!R$112&lt;=0,1,Rebate_Industry!S$112/Rebate_Industry!R$112)^$F164*(IF(R147&lt;=0,1,S147/R147)^$G164/(1+$H164+$I164))^(1+$F164)</f>
        <v>0</v>
      </c>
      <c r="T174" s="24">
        <f>S174*(1+T$159)^($E164*T$160)*(1+T$161)*IF(Rebate_Industry!S$112&lt;=0,1,Rebate_Industry!T$112/Rebate_Industry!S$112)^$F164*(IF(S147&lt;=0,1,T147/S147)^$G164/(1+$H164+$I164))^(1+$F164)</f>
        <v>0</v>
      </c>
      <c r="U174" s="24">
        <f>T174*(1+U$159)^($E164*U$160)*(1+U$161)*IF(Rebate_Industry!T$112&lt;=0,1,Rebate_Industry!U$112/Rebate_Industry!T$112)^$F164*(IF(T147&lt;=0,1,U147/T147)^$G164/(1+$H164+$I164))^(1+$F164)</f>
        <v>0</v>
      </c>
      <c r="V174" s="24">
        <f>U174*(1+V$159)^($E164*V$160)*(1+V$161)*IF(Rebate_Industry!U$112&lt;=0,1,Rebate_Industry!V$112/Rebate_Industry!U$112)^$F164*(IF(U147&lt;=0,1,V147/U147)^$G164/(1+$H164+$I164))^(1+$F164)</f>
        <v>0</v>
      </c>
      <c r="W174" s="24">
        <f>V174*(1+W$159)^($E164*W$160)*(1+W$161)*IF(Rebate_Industry!V$112&lt;=0,1,Rebate_Industry!W$112/Rebate_Industry!V$112)^$F164*(IF(V147&lt;=0,1,W147/V147)^$G164/(1+$H164+$I164))^(1+$F164)</f>
        <v>0</v>
      </c>
      <c r="X174" s="24">
        <f>W174*(1+X$159)^($E164*X$160)*(1+X$161)*IF(Rebate_Industry!W$112&lt;=0,1,Rebate_Industry!X$112/Rebate_Industry!W$112)^$F164*(IF(W147&lt;=0,1,X147/W147)^$G164/(1+$H164+$I164))^(1+$F164)</f>
        <v>0</v>
      </c>
      <c r="Y174" s="24">
        <f>X174*(1+Y$159)^($E164*Y$160)*(1+Y$161)*IF(Rebate_Industry!X$112&lt;=0,1,Rebate_Industry!Y$112/Rebate_Industry!X$112)^$F164*(IF(X147&lt;=0,1,Y147/X147)^$G164/(1+$H164+$I164))^(1+$F164)</f>
        <v>0</v>
      </c>
      <c r="Z174" s="24">
        <f>Y174*(1+Z$159)^($E164*Z$160)*(1+Z$161)*IF(Rebate_Industry!Y$112&lt;=0,1,Rebate_Industry!Z$112/Rebate_Industry!Y$112)^$F164*(IF(Y147&lt;=0,1,Z147/Y147)^$G164/(1+$H164+$I164))^(1+$F164)</f>
        <v>0</v>
      </c>
      <c r="AA174" s="24">
        <f>Z174*(1+AA$159)^($E164*AA$160)*(1+AA$161)*IF(Rebate_Industry!Z$112&lt;=0,1,Rebate_Industry!AA$112/Rebate_Industry!Z$112)^$F164*(IF(Z147&lt;=0,1,AA147/Z147)^$G164/(1+$H164+$I164))^(1+$F164)</f>
        <v>0</v>
      </c>
      <c r="AB174" s="24">
        <f>AA174*(1+AB$159)^($E164*AB$160)*(1+AB$161)*IF(Rebate_Industry!AA$112&lt;=0,1,Rebate_Industry!AB$112/Rebate_Industry!AA$112)^$F164*(IF(AA147&lt;=0,1,AB147/AA147)^$G164/(1+$H164+$I164))^(1+$F164)</f>
        <v>0</v>
      </c>
      <c r="AC174" s="24">
        <f>AB174*(1+AC$159)^($E164*AC$160)*(1+AC$161)*IF(Rebate_Industry!AB$112&lt;=0,1,Rebate_Industry!AC$112/Rebate_Industry!AB$112)^$F164*(IF(AB147&lt;=0,1,AC147/AB147)^$G164/(1+$H164+$I164))^(1+$F164)</f>
        <v>0</v>
      </c>
      <c r="AD174" s="24">
        <f>AC174*(1+AD$159)^($E164*AD$160)*(1+AD$161)*IF(Rebate_Industry!AC$112&lt;=0,1,Rebate_Industry!AD$112/Rebate_Industry!AC$112)^$F164*(IF(AC147&lt;=0,1,AD147/AC147)^$G164/(1+$H164+$I164))^(1+$F164)</f>
        <v>0</v>
      </c>
      <c r="AE174" s="24">
        <f>AD174*(1+AE$159)^($E164*AE$160)*(1+AE$161)*IF(Rebate_Industry!AD$112&lt;=0,1,Rebate_Industry!AE$112/Rebate_Industry!AD$112)^$F164*(IF(AD147&lt;=0,1,AE147/AD147)^$G164/(1+$H164+$I164))^(1+$F164)</f>
        <v>0</v>
      </c>
    </row>
    <row r="175" spans="2:31" x14ac:dyDescent="0.45">
      <c r="B175" s="14" t="s">
        <v>53</v>
      </c>
      <c r="C175" s="14" t="str">
        <f t="shared" si="16"/>
        <v>nfm</v>
      </c>
      <c r="D175" s="15" t="s">
        <v>54</v>
      </c>
      <c r="E175" s="16" t="s">
        <v>108</v>
      </c>
      <c r="F175" s="14" t="s">
        <v>109</v>
      </c>
      <c r="G175" s="17" t="str">
        <f>Settings!$B$3&amp;".mit.enc."&amp;$B175</f>
        <v>egy.mit.enc.nga</v>
      </c>
      <c r="H175" s="45" t="str">
        <f>Settings!$B$3&amp;".mit.ener."&amp;$C$125&amp;"."&amp;$B175&amp;".e."&amp;$J$125</f>
        <v>egy.mit.ener.nfm.nga.e.1</v>
      </c>
      <c r="I175" t="s">
        <v>2275</v>
      </c>
      <c r="L175" s="47">
        <f>INDEX(Data_Energy!$D$3:$U$22,MATCH($B175,Data_Energy!$C$3:$C$22,0),MATCH($C175,Data_Energy!$D$2:$U$2,0))</f>
        <v>0</v>
      </c>
      <c r="M175" s="24">
        <f>L175*(1+M$159)^($E165*M$160)*(1+M$161)*IF(Rebate_Industry!L$113&lt;=0,1,Rebate_Industry!M$113/Rebate_Industry!L$113)^$F165*(IF(L148&lt;=0,1,M148/L148)^$G165/(1+$H165+$I165))^(1+$F165)</f>
        <v>0</v>
      </c>
      <c r="N175" s="24">
        <f>M175*(1+N$159)^($E165*N$160)*(1+N$161)*IF(Rebate_Industry!M$113&lt;=0,1,Rebate_Industry!N$113/Rebate_Industry!M$113)^$F165*(IF(M148&lt;=0,1,N148/M148)^$G165/(1+$H165+$I165))^(1+$F165)</f>
        <v>0</v>
      </c>
      <c r="O175" s="24">
        <f>N175*(1+O$159)^($E165*O$160)*(1+O$161)*IF(Rebate_Industry!N$113&lt;=0,1,Rebate_Industry!O$113/Rebate_Industry!N$113)^$F165*(IF(N148&lt;=0,1,O148/N148)^$G165/(1+$H165+$I165))^(1+$F165)</f>
        <v>0</v>
      </c>
      <c r="P175" s="24">
        <f>O175*(1+P$159)^($E165*P$160)*(1+P$161)*IF(Rebate_Industry!O$113&lt;=0,1,Rebate_Industry!P$113/Rebate_Industry!O$113)^$F165*(IF(O148&lt;=0,1,P148/O148)^$G165/(1+$H165+$I165))^(1+$F165)</f>
        <v>0</v>
      </c>
      <c r="Q175" s="24">
        <f>P175*(1+Q$159)^($E165*Q$160)*(1+Q$161)*IF(Rebate_Industry!P$113&lt;=0,1,Rebate_Industry!Q$113/Rebate_Industry!P$113)^$F165*(IF(P148&lt;=0,1,Q148/P148)^$G165/(1+$H165+$I165))^(1+$F165)</f>
        <v>0</v>
      </c>
      <c r="R175" s="24">
        <f>Q175*(1+R$159)^($E165*R$160)*(1+R$161)*IF(Rebate_Industry!Q$113&lt;=0,1,Rebate_Industry!R$113/Rebate_Industry!Q$113)^$F165*(IF(Q148&lt;=0,1,R148/Q148)^$G165/(1+$H165+$I165))^(1+$F165)</f>
        <v>0</v>
      </c>
      <c r="S175" s="24">
        <f>R175*(1+S$159)^($E165*S$160)*(1+S$161)*IF(Rebate_Industry!R$113&lt;=0,1,Rebate_Industry!S$113/Rebate_Industry!R$113)^$F165*(IF(R148&lt;=0,1,S148/R148)^$G165/(1+$H165+$I165))^(1+$F165)</f>
        <v>0</v>
      </c>
      <c r="T175" s="24">
        <f>S175*(1+T$159)^($E165*T$160)*(1+T$161)*IF(Rebate_Industry!S$113&lt;=0,1,Rebate_Industry!T$113/Rebate_Industry!S$113)^$F165*(IF(S148&lt;=0,1,T148/S148)^$G165/(1+$H165+$I165))^(1+$F165)</f>
        <v>0</v>
      </c>
      <c r="U175" s="24">
        <f>T175*(1+U$159)^($E165*U$160)*(1+U$161)*IF(Rebate_Industry!T$113&lt;=0,1,Rebate_Industry!U$113/Rebate_Industry!T$113)^$F165*(IF(T148&lt;=0,1,U148/T148)^$G165/(1+$H165+$I165))^(1+$F165)</f>
        <v>0</v>
      </c>
      <c r="V175" s="24">
        <f>U175*(1+V$159)^($E165*V$160)*(1+V$161)*IF(Rebate_Industry!U$113&lt;=0,1,Rebate_Industry!V$113/Rebate_Industry!U$113)^$F165*(IF(U148&lt;=0,1,V148/U148)^$G165/(1+$H165+$I165))^(1+$F165)</f>
        <v>0</v>
      </c>
      <c r="W175" s="24">
        <f>V175*(1+W$159)^($E165*W$160)*(1+W$161)*IF(Rebate_Industry!V$113&lt;=0,1,Rebate_Industry!W$113/Rebate_Industry!V$113)^$F165*(IF(V148&lt;=0,1,W148/V148)^$G165/(1+$H165+$I165))^(1+$F165)</f>
        <v>0</v>
      </c>
      <c r="X175" s="24">
        <f>W175*(1+X$159)^($E165*X$160)*(1+X$161)*IF(Rebate_Industry!W$113&lt;=0,1,Rebate_Industry!X$113/Rebate_Industry!W$113)^$F165*(IF(W148&lt;=0,1,X148/W148)^$G165/(1+$H165+$I165))^(1+$F165)</f>
        <v>0</v>
      </c>
      <c r="Y175" s="24">
        <f>X175*(1+Y$159)^($E165*Y$160)*(1+Y$161)*IF(Rebate_Industry!X$113&lt;=0,1,Rebate_Industry!Y$113/Rebate_Industry!X$113)^$F165*(IF(X148&lt;=0,1,Y148/X148)^$G165/(1+$H165+$I165))^(1+$F165)</f>
        <v>0</v>
      </c>
      <c r="Z175" s="24">
        <f>Y175*(1+Z$159)^($E165*Z$160)*(1+Z$161)*IF(Rebate_Industry!Y$113&lt;=0,1,Rebate_Industry!Z$113/Rebate_Industry!Y$113)^$F165*(IF(Y148&lt;=0,1,Z148/Y148)^$G165/(1+$H165+$I165))^(1+$F165)</f>
        <v>0</v>
      </c>
      <c r="AA175" s="24">
        <f>Z175*(1+AA$159)^($E165*AA$160)*(1+AA$161)*IF(Rebate_Industry!Z$113&lt;=0,1,Rebate_Industry!AA$113/Rebate_Industry!Z$113)^$F165*(IF(Z148&lt;=0,1,AA148/Z148)^$G165/(1+$H165+$I165))^(1+$F165)</f>
        <v>0</v>
      </c>
      <c r="AB175" s="24">
        <f>AA175*(1+AB$159)^($E165*AB$160)*(1+AB$161)*IF(Rebate_Industry!AA$113&lt;=0,1,Rebate_Industry!AB$113/Rebate_Industry!AA$113)^$F165*(IF(AA148&lt;=0,1,AB148/AA148)^$G165/(1+$H165+$I165))^(1+$F165)</f>
        <v>0</v>
      </c>
      <c r="AC175" s="24">
        <f>AB175*(1+AC$159)^($E165*AC$160)*(1+AC$161)*IF(Rebate_Industry!AB$113&lt;=0,1,Rebate_Industry!AC$113/Rebate_Industry!AB$113)^$F165*(IF(AB148&lt;=0,1,AC148/AB148)^$G165/(1+$H165+$I165))^(1+$F165)</f>
        <v>0</v>
      </c>
      <c r="AD175" s="24">
        <f>AC175*(1+AD$159)^($E165*AD$160)*(1+AD$161)*IF(Rebate_Industry!AC$113&lt;=0,1,Rebate_Industry!AD$113/Rebate_Industry!AC$113)^$F165*(IF(AC148&lt;=0,1,AD148/AC148)^$G165/(1+$H165+$I165))^(1+$F165)</f>
        <v>0</v>
      </c>
      <c r="AE175" s="24">
        <f>AD175*(1+AE$159)^($E165*AE$160)*(1+AE$161)*IF(Rebate_Industry!AD$113&lt;=0,1,Rebate_Industry!AE$113/Rebate_Industry!AD$113)^$F165*(IF(AD148&lt;=0,1,AE148/AD148)^$G165/(1+$H165+$I165))^(1+$F165)</f>
        <v>0</v>
      </c>
    </row>
    <row r="176" spans="2:31" x14ac:dyDescent="0.45">
      <c r="B176" s="14" t="s">
        <v>55</v>
      </c>
      <c r="C176" s="14" t="str">
        <f t="shared" si="16"/>
        <v>nfm</v>
      </c>
      <c r="D176" s="15" t="s">
        <v>56</v>
      </c>
      <c r="E176" s="16" t="s">
        <v>108</v>
      </c>
      <c r="F176" s="14" t="s">
        <v>109</v>
      </c>
      <c r="G176" s="17" t="str">
        <f>Settings!$B$3&amp;".mit.enc."&amp;$B176</f>
        <v>egy.mit.enc.gso</v>
      </c>
      <c r="H176" s="45" t="str">
        <f>Settings!$B$3&amp;".mit.ener."&amp;$C$125&amp;"."&amp;$B176&amp;".e."&amp;$J$125</f>
        <v>egy.mit.ener.nfm.gso.e.1</v>
      </c>
      <c r="I176" t="s">
        <v>2276</v>
      </c>
      <c r="L176" s="47">
        <f>INDEX(Data_Energy!$D$3:$U$22,MATCH($B176,Data_Energy!$C$3:$C$22,0),MATCH($C176,Data_Energy!$D$2:$U$2,0))</f>
        <v>0</v>
      </c>
      <c r="M176" s="24">
        <f>L176*(1+M$159)^($E166*M$160)*(1+M$161)*IF(Rebate_Industry!L$114&lt;=0,1,Rebate_Industry!M$114/Rebate_Industry!L$114)^$F166*(IF(L149&lt;=0,1,M149/L149)^$G166/(1+$H166+$I166))^(1+$F166)</f>
        <v>0</v>
      </c>
      <c r="N176" s="24">
        <f>M176*(1+N$159)^($E166*N$160)*(1+N$161)*IF(Rebate_Industry!M$114&lt;=0,1,Rebate_Industry!N$114/Rebate_Industry!M$114)^$F166*(IF(M149&lt;=0,1,N149/M149)^$G166/(1+$H166+$I166))^(1+$F166)</f>
        <v>0</v>
      </c>
      <c r="O176" s="24">
        <f>N176*(1+O$159)^($E166*O$160)*(1+O$161)*IF(Rebate_Industry!N$114&lt;=0,1,Rebate_Industry!O$114/Rebate_Industry!N$114)^$F166*(IF(N149&lt;=0,1,O149/N149)^$G166/(1+$H166+$I166))^(1+$F166)</f>
        <v>0</v>
      </c>
      <c r="P176" s="24">
        <f>O176*(1+P$159)^($E166*P$160)*(1+P$161)*IF(Rebate_Industry!O$114&lt;=0,1,Rebate_Industry!P$114/Rebate_Industry!O$114)^$F166*(IF(O149&lt;=0,1,P149/O149)^$G166/(1+$H166+$I166))^(1+$F166)</f>
        <v>0</v>
      </c>
      <c r="Q176" s="24">
        <f>P176*(1+Q$159)^($E166*Q$160)*(1+Q$161)*IF(Rebate_Industry!P$114&lt;=0,1,Rebate_Industry!Q$114/Rebate_Industry!P$114)^$F166*(IF(P149&lt;=0,1,Q149/P149)^$G166/(1+$H166+$I166))^(1+$F166)</f>
        <v>0</v>
      </c>
      <c r="R176" s="24">
        <f>Q176*(1+R$159)^($E166*R$160)*(1+R$161)*IF(Rebate_Industry!Q$114&lt;=0,1,Rebate_Industry!R$114/Rebate_Industry!Q$114)^$F166*(IF(Q149&lt;=0,1,R149/Q149)^$G166/(1+$H166+$I166))^(1+$F166)</f>
        <v>0</v>
      </c>
      <c r="S176" s="24">
        <f>R176*(1+S$159)^($E166*S$160)*(1+S$161)*IF(Rebate_Industry!R$114&lt;=0,1,Rebate_Industry!S$114/Rebate_Industry!R$114)^$F166*(IF(R149&lt;=0,1,S149/R149)^$G166/(1+$H166+$I166))^(1+$F166)</f>
        <v>0</v>
      </c>
      <c r="T176" s="24">
        <f>S176*(1+T$159)^($E166*T$160)*(1+T$161)*IF(Rebate_Industry!S$114&lt;=0,1,Rebate_Industry!T$114/Rebate_Industry!S$114)^$F166*(IF(S149&lt;=0,1,T149/S149)^$G166/(1+$H166+$I166))^(1+$F166)</f>
        <v>0</v>
      </c>
      <c r="U176" s="24">
        <f>T176*(1+U$159)^($E166*U$160)*(1+U$161)*IF(Rebate_Industry!T$114&lt;=0,1,Rebate_Industry!U$114/Rebate_Industry!T$114)^$F166*(IF(T149&lt;=0,1,U149/T149)^$G166/(1+$H166+$I166))^(1+$F166)</f>
        <v>0</v>
      </c>
      <c r="V176" s="24">
        <f>U176*(1+V$159)^($E166*V$160)*(1+V$161)*IF(Rebate_Industry!U$114&lt;=0,1,Rebate_Industry!V$114/Rebate_Industry!U$114)^$F166*(IF(U149&lt;=0,1,V149/U149)^$G166/(1+$H166+$I166))^(1+$F166)</f>
        <v>0</v>
      </c>
      <c r="W176" s="24">
        <f>V176*(1+W$159)^($E166*W$160)*(1+W$161)*IF(Rebate_Industry!V$114&lt;=0,1,Rebate_Industry!W$114/Rebate_Industry!V$114)^$F166*(IF(V149&lt;=0,1,W149/V149)^$G166/(1+$H166+$I166))^(1+$F166)</f>
        <v>0</v>
      </c>
      <c r="X176" s="24">
        <f>W176*(1+X$159)^($E166*X$160)*(1+X$161)*IF(Rebate_Industry!W$114&lt;=0,1,Rebate_Industry!X$114/Rebate_Industry!W$114)^$F166*(IF(W149&lt;=0,1,X149/W149)^$G166/(1+$H166+$I166))^(1+$F166)</f>
        <v>0</v>
      </c>
      <c r="Y176" s="24">
        <f>X176*(1+Y$159)^($E166*Y$160)*(1+Y$161)*IF(Rebate_Industry!X$114&lt;=0,1,Rebate_Industry!Y$114/Rebate_Industry!X$114)^$F166*(IF(X149&lt;=0,1,Y149/X149)^$G166/(1+$H166+$I166))^(1+$F166)</f>
        <v>0</v>
      </c>
      <c r="Z176" s="24">
        <f>Y176*(1+Z$159)^($E166*Z$160)*(1+Z$161)*IF(Rebate_Industry!Y$114&lt;=0,1,Rebate_Industry!Z$114/Rebate_Industry!Y$114)^$F166*(IF(Y149&lt;=0,1,Z149/Y149)^$G166/(1+$H166+$I166))^(1+$F166)</f>
        <v>0</v>
      </c>
      <c r="AA176" s="24">
        <f>Z176*(1+AA$159)^($E166*AA$160)*(1+AA$161)*IF(Rebate_Industry!Z$114&lt;=0,1,Rebate_Industry!AA$114/Rebate_Industry!Z$114)^$F166*(IF(Z149&lt;=0,1,AA149/Z149)^$G166/(1+$H166+$I166))^(1+$F166)</f>
        <v>0</v>
      </c>
      <c r="AB176" s="24">
        <f>AA176*(1+AB$159)^($E166*AB$160)*(1+AB$161)*IF(Rebate_Industry!AA$114&lt;=0,1,Rebate_Industry!AB$114/Rebate_Industry!AA$114)^$F166*(IF(AA149&lt;=0,1,AB149/AA149)^$G166/(1+$H166+$I166))^(1+$F166)</f>
        <v>0</v>
      </c>
      <c r="AC176" s="24">
        <f>AB176*(1+AC$159)^($E166*AC$160)*(1+AC$161)*IF(Rebate_Industry!AB$114&lt;=0,1,Rebate_Industry!AC$114/Rebate_Industry!AB$114)^$F166*(IF(AB149&lt;=0,1,AC149/AB149)^$G166/(1+$H166+$I166))^(1+$F166)</f>
        <v>0</v>
      </c>
      <c r="AD176" s="24">
        <f>AC176*(1+AD$159)^($E166*AD$160)*(1+AD$161)*IF(Rebate_Industry!AC$114&lt;=0,1,Rebate_Industry!AD$114/Rebate_Industry!AC$114)^$F166*(IF(AC149&lt;=0,1,AD149/AC149)^$G166/(1+$H166+$I166))^(1+$F166)</f>
        <v>0</v>
      </c>
      <c r="AE176" s="24">
        <f>AD176*(1+AE$159)^($E166*AE$160)*(1+AE$161)*IF(Rebate_Industry!AD$114&lt;=0,1,Rebate_Industry!AE$114/Rebate_Industry!AD$114)^$F166*(IF(AD149&lt;=0,1,AE149/AD149)^$G166/(1+$H166+$I166))^(1+$F166)</f>
        <v>0</v>
      </c>
    </row>
    <row r="177" spans="1:35" x14ac:dyDescent="0.45">
      <c r="B177" s="14" t="s">
        <v>58</v>
      </c>
      <c r="C177" s="14" t="str">
        <f t="shared" si="16"/>
        <v>nfm</v>
      </c>
      <c r="D177" s="15" t="s">
        <v>59</v>
      </c>
      <c r="E177" s="16" t="s">
        <v>108</v>
      </c>
      <c r="F177" s="14" t="s">
        <v>109</v>
      </c>
      <c r="G177" s="17" t="str">
        <f>Settings!$B$3&amp;".mit.enc."&amp;$B177</f>
        <v>egy.mit.enc.die</v>
      </c>
      <c r="H177" s="45" t="str">
        <f>Settings!$B$3&amp;".mit.ener."&amp;$C$125&amp;"."&amp;$B177&amp;".e."&amp;$J$125</f>
        <v>egy.mit.ener.nfm.die.e.1</v>
      </c>
      <c r="I177" t="s">
        <v>2277</v>
      </c>
      <c r="L177" s="47">
        <f>INDEX(Data_Energy!$D$3:$U$22,MATCH($B177,Data_Energy!$C$3:$C$22,0),MATCH($C177,Data_Energy!$D$2:$U$2,0))</f>
        <v>0</v>
      </c>
      <c r="M177" s="24">
        <f>L177*(1+M$159)^($E167*M$160)*(1+M$161)*IF(Rebate_Industry!L$115&lt;=0,1,Rebate_Industry!M$115/Rebate_Industry!L$115)^$F167*(IF(L150&lt;=0,1,M150/L150)^$G167/(1+$H167+$I167))^(1+$F167)</f>
        <v>0</v>
      </c>
      <c r="N177" s="24">
        <f>M177*(1+N$159)^($E167*N$160)*(1+N$161)*IF(Rebate_Industry!M$115&lt;=0,1,Rebate_Industry!N$115/Rebate_Industry!M$115)^$F167*(IF(M150&lt;=0,1,N150/M150)^$G167/(1+$H167+$I167))^(1+$F167)</f>
        <v>0</v>
      </c>
      <c r="O177" s="24">
        <f>N177*(1+O$159)^($E167*O$160)*(1+O$161)*IF(Rebate_Industry!N$115&lt;=0,1,Rebate_Industry!O$115/Rebate_Industry!N$115)^$F167*(IF(N150&lt;=0,1,O150/N150)^$G167/(1+$H167+$I167))^(1+$F167)</f>
        <v>0</v>
      </c>
      <c r="P177" s="24">
        <f>O177*(1+P$159)^($E167*P$160)*(1+P$161)*IF(Rebate_Industry!O$115&lt;=0,1,Rebate_Industry!P$115/Rebate_Industry!O$115)^$F167*(IF(O150&lt;=0,1,P150/O150)^$G167/(1+$H167+$I167))^(1+$F167)</f>
        <v>0</v>
      </c>
      <c r="Q177" s="24">
        <f>P177*(1+Q$159)^($E167*Q$160)*(1+Q$161)*IF(Rebate_Industry!P$115&lt;=0,1,Rebate_Industry!Q$115/Rebate_Industry!P$115)^$F167*(IF(P150&lt;=0,1,Q150/P150)^$G167/(1+$H167+$I167))^(1+$F167)</f>
        <v>0</v>
      </c>
      <c r="R177" s="24">
        <f>Q177*(1+R$159)^($E167*R$160)*(1+R$161)*IF(Rebate_Industry!Q$115&lt;=0,1,Rebate_Industry!R$115/Rebate_Industry!Q$115)^$F167*(IF(Q150&lt;=0,1,R150/Q150)^$G167/(1+$H167+$I167))^(1+$F167)</f>
        <v>0</v>
      </c>
      <c r="S177" s="24">
        <f>R177*(1+S$159)^($E167*S$160)*(1+S$161)*IF(Rebate_Industry!R$115&lt;=0,1,Rebate_Industry!S$115/Rebate_Industry!R$115)^$F167*(IF(R150&lt;=0,1,S150/R150)^$G167/(1+$H167+$I167))^(1+$F167)</f>
        <v>0</v>
      </c>
      <c r="T177" s="24">
        <f>S177*(1+T$159)^($E167*T$160)*(1+T$161)*IF(Rebate_Industry!S$115&lt;=0,1,Rebate_Industry!T$115/Rebate_Industry!S$115)^$F167*(IF(S150&lt;=0,1,T150/S150)^$G167/(1+$H167+$I167))^(1+$F167)</f>
        <v>0</v>
      </c>
      <c r="U177" s="24">
        <f>T177*(1+U$159)^($E167*U$160)*(1+U$161)*IF(Rebate_Industry!T$115&lt;=0,1,Rebate_Industry!U$115/Rebate_Industry!T$115)^$F167*(IF(T150&lt;=0,1,U150/T150)^$G167/(1+$H167+$I167))^(1+$F167)</f>
        <v>0</v>
      </c>
      <c r="V177" s="24">
        <f>U177*(1+V$159)^($E167*V$160)*(1+V$161)*IF(Rebate_Industry!U$115&lt;=0,1,Rebate_Industry!V$115/Rebate_Industry!U$115)^$F167*(IF(U150&lt;=0,1,V150/U150)^$G167/(1+$H167+$I167))^(1+$F167)</f>
        <v>0</v>
      </c>
      <c r="W177" s="24">
        <f>V177*(1+W$159)^($E167*W$160)*(1+W$161)*IF(Rebate_Industry!V$115&lt;=0,1,Rebate_Industry!W$115/Rebate_Industry!V$115)^$F167*(IF(V150&lt;=0,1,W150/V150)^$G167/(1+$H167+$I167))^(1+$F167)</f>
        <v>0</v>
      </c>
      <c r="X177" s="24">
        <f>W177*(1+X$159)^($E167*X$160)*(1+X$161)*IF(Rebate_Industry!W$115&lt;=0,1,Rebate_Industry!X$115/Rebate_Industry!W$115)^$F167*(IF(W150&lt;=0,1,X150/W150)^$G167/(1+$H167+$I167))^(1+$F167)</f>
        <v>0</v>
      </c>
      <c r="Y177" s="24">
        <f>X177*(1+Y$159)^($E167*Y$160)*(1+Y$161)*IF(Rebate_Industry!X$115&lt;=0,1,Rebate_Industry!Y$115/Rebate_Industry!X$115)^$F167*(IF(X150&lt;=0,1,Y150/X150)^$G167/(1+$H167+$I167))^(1+$F167)</f>
        <v>0</v>
      </c>
      <c r="Z177" s="24">
        <f>Y177*(1+Z$159)^($E167*Z$160)*(1+Z$161)*IF(Rebate_Industry!Y$115&lt;=0,1,Rebate_Industry!Z$115/Rebate_Industry!Y$115)^$F167*(IF(Y150&lt;=0,1,Z150/Y150)^$G167/(1+$H167+$I167))^(1+$F167)</f>
        <v>0</v>
      </c>
      <c r="AA177" s="24">
        <f>Z177*(1+AA$159)^($E167*AA$160)*(1+AA$161)*IF(Rebate_Industry!Z$115&lt;=0,1,Rebate_Industry!AA$115/Rebate_Industry!Z$115)^$F167*(IF(Z150&lt;=0,1,AA150/Z150)^$G167/(1+$H167+$I167))^(1+$F167)</f>
        <v>0</v>
      </c>
      <c r="AB177" s="24">
        <f>AA177*(1+AB$159)^($E167*AB$160)*(1+AB$161)*IF(Rebate_Industry!AA$115&lt;=0,1,Rebate_Industry!AB$115/Rebate_Industry!AA$115)^$F167*(IF(AA150&lt;=0,1,AB150/AA150)^$G167/(1+$H167+$I167))^(1+$F167)</f>
        <v>0</v>
      </c>
      <c r="AC177" s="24">
        <f>AB177*(1+AC$159)^($E167*AC$160)*(1+AC$161)*IF(Rebate_Industry!AB$115&lt;=0,1,Rebate_Industry!AC$115/Rebate_Industry!AB$115)^$F167*(IF(AB150&lt;=0,1,AC150/AB150)^$G167/(1+$H167+$I167))^(1+$F167)</f>
        <v>0</v>
      </c>
      <c r="AD177" s="24">
        <f>AC177*(1+AD$159)^($E167*AD$160)*(1+AD$161)*IF(Rebate_Industry!AC$115&lt;=0,1,Rebate_Industry!AD$115/Rebate_Industry!AC$115)^$F167*(IF(AC150&lt;=0,1,AD150/AC150)^$G167/(1+$H167+$I167))^(1+$F167)</f>
        <v>0</v>
      </c>
      <c r="AE177" s="24">
        <f>AD177*(1+AE$159)^($E167*AE$160)*(1+AE$161)*IF(Rebate_Industry!AD$115&lt;=0,1,Rebate_Industry!AE$115/Rebate_Industry!AD$115)^$F167*(IF(AD150&lt;=0,1,AE150/AD150)^$G167/(1+$H167+$I167))^(1+$F167)</f>
        <v>0</v>
      </c>
    </row>
    <row r="178" spans="1:35" x14ac:dyDescent="0.45">
      <c r="B178" s="14" t="s">
        <v>60</v>
      </c>
      <c r="C178" s="14" t="str">
        <f t="shared" si="16"/>
        <v>nfm</v>
      </c>
      <c r="D178" s="15" t="s">
        <v>61</v>
      </c>
      <c r="E178" s="16" t="s">
        <v>108</v>
      </c>
      <c r="F178" s="14" t="s">
        <v>109</v>
      </c>
      <c r="G178" s="17" t="str">
        <f>Settings!$B$3&amp;".mit.enc."&amp;$B178</f>
        <v>egy.mit.enc.lpg</v>
      </c>
      <c r="H178" s="45" t="str">
        <f>Settings!$B$3&amp;".mit.ener."&amp;$C$125&amp;"."&amp;$B178&amp;".e."&amp;$J$125</f>
        <v>egy.mit.ener.nfm.lpg.e.1</v>
      </c>
      <c r="I178" t="s">
        <v>2278</v>
      </c>
      <c r="L178" s="47">
        <f>INDEX(Data_Energy!$D$3:$U$22,MATCH($B178,Data_Energy!$C$3:$C$22,0),MATCH($C178,Data_Energy!$D$2:$U$2,0))</f>
        <v>0</v>
      </c>
      <c r="M178" s="24">
        <f>L178*(1+M$159)^($E168*M$160)*(1+M$161)*IF(Rebate_Industry!L$116&lt;=0,1,Rebate_Industry!M$116/Rebate_Industry!L$116)^$F168*(IF(L151&lt;=0,1,M151/L151)^$G168/(1+$H168+$I168))^(1+$F168)</f>
        <v>0</v>
      </c>
      <c r="N178" s="24">
        <f>M178*(1+N$159)^($E168*N$160)*(1+N$161)*IF(Rebate_Industry!M$116&lt;=0,1,Rebate_Industry!N$116/Rebate_Industry!M$116)^$F168*(IF(M151&lt;=0,1,N151/M151)^$G168/(1+$H168+$I168))^(1+$F168)</f>
        <v>0</v>
      </c>
      <c r="O178" s="24">
        <f>N178*(1+O$159)^($E168*O$160)*(1+O$161)*IF(Rebate_Industry!N$116&lt;=0,1,Rebate_Industry!O$116/Rebate_Industry!N$116)^$F168*(IF(N151&lt;=0,1,O151/N151)^$G168/(1+$H168+$I168))^(1+$F168)</f>
        <v>0</v>
      </c>
      <c r="P178" s="24">
        <f>O178*(1+P$159)^($E168*P$160)*(1+P$161)*IF(Rebate_Industry!O$116&lt;=0,1,Rebate_Industry!P$116/Rebate_Industry!O$116)^$F168*(IF(O151&lt;=0,1,P151/O151)^$G168/(1+$H168+$I168))^(1+$F168)</f>
        <v>0</v>
      </c>
      <c r="Q178" s="24">
        <f>P178*(1+Q$159)^($E168*Q$160)*(1+Q$161)*IF(Rebate_Industry!P$116&lt;=0,1,Rebate_Industry!Q$116/Rebate_Industry!P$116)^$F168*(IF(P151&lt;=0,1,Q151/P151)^$G168/(1+$H168+$I168))^(1+$F168)</f>
        <v>0</v>
      </c>
      <c r="R178" s="24">
        <f>Q178*(1+R$159)^($E168*R$160)*(1+R$161)*IF(Rebate_Industry!Q$116&lt;=0,1,Rebate_Industry!R$116/Rebate_Industry!Q$116)^$F168*(IF(Q151&lt;=0,1,R151/Q151)^$G168/(1+$H168+$I168))^(1+$F168)</f>
        <v>0</v>
      </c>
      <c r="S178" s="24">
        <f>R178*(1+S$159)^($E168*S$160)*(1+S$161)*IF(Rebate_Industry!R$116&lt;=0,1,Rebate_Industry!S$116/Rebate_Industry!R$116)^$F168*(IF(R151&lt;=0,1,S151/R151)^$G168/(1+$H168+$I168))^(1+$F168)</f>
        <v>0</v>
      </c>
      <c r="T178" s="24">
        <f>S178*(1+T$159)^($E168*T$160)*(1+T$161)*IF(Rebate_Industry!S$116&lt;=0,1,Rebate_Industry!T$116/Rebate_Industry!S$116)^$F168*(IF(S151&lt;=0,1,T151/S151)^$G168/(1+$H168+$I168))^(1+$F168)</f>
        <v>0</v>
      </c>
      <c r="U178" s="24">
        <f>T178*(1+U$159)^($E168*U$160)*(1+U$161)*IF(Rebate_Industry!T$116&lt;=0,1,Rebate_Industry!U$116/Rebate_Industry!T$116)^$F168*(IF(T151&lt;=0,1,U151/T151)^$G168/(1+$H168+$I168))^(1+$F168)</f>
        <v>0</v>
      </c>
      <c r="V178" s="24">
        <f>U178*(1+V$159)^($E168*V$160)*(1+V$161)*IF(Rebate_Industry!U$116&lt;=0,1,Rebate_Industry!V$116/Rebate_Industry!U$116)^$F168*(IF(U151&lt;=0,1,V151/U151)^$G168/(1+$H168+$I168))^(1+$F168)</f>
        <v>0</v>
      </c>
      <c r="W178" s="24">
        <f>V178*(1+W$159)^($E168*W$160)*(1+W$161)*IF(Rebate_Industry!V$116&lt;=0,1,Rebate_Industry!W$116/Rebate_Industry!V$116)^$F168*(IF(V151&lt;=0,1,W151/V151)^$G168/(1+$H168+$I168))^(1+$F168)</f>
        <v>0</v>
      </c>
      <c r="X178" s="24">
        <f>W178*(1+X$159)^($E168*X$160)*(1+X$161)*IF(Rebate_Industry!W$116&lt;=0,1,Rebate_Industry!X$116/Rebate_Industry!W$116)^$F168*(IF(W151&lt;=0,1,X151/W151)^$G168/(1+$H168+$I168))^(1+$F168)</f>
        <v>0</v>
      </c>
      <c r="Y178" s="24">
        <f>X178*(1+Y$159)^($E168*Y$160)*(1+Y$161)*IF(Rebate_Industry!X$116&lt;=0,1,Rebate_Industry!Y$116/Rebate_Industry!X$116)^$F168*(IF(X151&lt;=0,1,Y151/X151)^$G168/(1+$H168+$I168))^(1+$F168)</f>
        <v>0</v>
      </c>
      <c r="Z178" s="24">
        <f>Y178*(1+Z$159)^($E168*Z$160)*(1+Z$161)*IF(Rebate_Industry!Y$116&lt;=0,1,Rebate_Industry!Z$116/Rebate_Industry!Y$116)^$F168*(IF(Y151&lt;=0,1,Z151/Y151)^$G168/(1+$H168+$I168))^(1+$F168)</f>
        <v>0</v>
      </c>
      <c r="AA178" s="24">
        <f>Z178*(1+AA$159)^($E168*AA$160)*(1+AA$161)*IF(Rebate_Industry!Z$116&lt;=0,1,Rebate_Industry!AA$116/Rebate_Industry!Z$116)^$F168*(IF(Z151&lt;=0,1,AA151/Z151)^$G168/(1+$H168+$I168))^(1+$F168)</f>
        <v>0</v>
      </c>
      <c r="AB178" s="24">
        <f>AA178*(1+AB$159)^($E168*AB$160)*(1+AB$161)*IF(Rebate_Industry!AA$116&lt;=0,1,Rebate_Industry!AB$116/Rebate_Industry!AA$116)^$F168*(IF(AA151&lt;=0,1,AB151/AA151)^$G168/(1+$H168+$I168))^(1+$F168)</f>
        <v>0</v>
      </c>
      <c r="AC178" s="24">
        <f>AB178*(1+AC$159)^($E168*AC$160)*(1+AC$161)*IF(Rebate_Industry!AB$116&lt;=0,1,Rebate_Industry!AC$116/Rebate_Industry!AB$116)^$F168*(IF(AB151&lt;=0,1,AC151/AB151)^$G168/(1+$H168+$I168))^(1+$F168)</f>
        <v>0</v>
      </c>
      <c r="AD178" s="24">
        <f>AC178*(1+AD$159)^($E168*AD$160)*(1+AD$161)*IF(Rebate_Industry!AC$116&lt;=0,1,Rebate_Industry!AD$116/Rebate_Industry!AC$116)^$F168*(IF(AC151&lt;=0,1,AD151/AC151)^$G168/(1+$H168+$I168))^(1+$F168)</f>
        <v>0</v>
      </c>
      <c r="AE178" s="24">
        <f>AD178*(1+AE$159)^($E168*AE$160)*(1+AE$161)*IF(Rebate_Industry!AD$116&lt;=0,1,Rebate_Industry!AE$116/Rebate_Industry!AD$116)^$F168*(IF(AD151&lt;=0,1,AE151/AD151)^$G168/(1+$H168+$I168))^(1+$F168)</f>
        <v>0</v>
      </c>
    </row>
    <row r="179" spans="1:35" x14ac:dyDescent="0.45">
      <c r="B179" s="14" t="s">
        <v>62</v>
      </c>
      <c r="C179" s="14" t="str">
        <f t="shared" si="16"/>
        <v>nfm</v>
      </c>
      <c r="D179" s="15" t="s">
        <v>63</v>
      </c>
      <c r="E179" s="16" t="s">
        <v>108</v>
      </c>
      <c r="F179" s="14" t="s">
        <v>109</v>
      </c>
      <c r="G179" s="17" t="str">
        <f>Settings!$B$3&amp;".mit.enc."&amp;$B179</f>
        <v>egy.mit.enc.ker</v>
      </c>
      <c r="H179" s="45" t="str">
        <f>Settings!$B$3&amp;".mit.ener."&amp;$C$125&amp;"."&amp;$B179&amp;".e."&amp;$J$125</f>
        <v>egy.mit.ener.nfm.ker.e.1</v>
      </c>
      <c r="I179" t="s">
        <v>2279</v>
      </c>
      <c r="L179" s="47">
        <f>INDEX(Data_Energy!$D$3:$U$22,MATCH($B179,Data_Energy!$C$3:$C$22,0),MATCH($C179,Data_Energy!$D$2:$U$2,0))</f>
        <v>0</v>
      </c>
      <c r="M179" s="24">
        <f>L179*(1+M$159)^($E169*M$160)*(1+M$161)*IF(Rebate_Industry!L$117&lt;=0,1,Rebate_Industry!M$117/Rebate_Industry!L$117)^$F169*(IF(L152&lt;=0,1,M152/L152)^$G169/(1+$H169+$I169))^(1+$F169)</f>
        <v>0</v>
      </c>
      <c r="N179" s="24">
        <f>M179*(1+N$159)^($E169*N$160)*(1+N$161)*IF(Rebate_Industry!M$117&lt;=0,1,Rebate_Industry!N$117/Rebate_Industry!M$117)^$F169*(IF(M152&lt;=0,1,N152/M152)^$G169/(1+$H169+$I169))^(1+$F169)</f>
        <v>0</v>
      </c>
      <c r="O179" s="24">
        <f>N179*(1+O$159)^($E169*O$160)*(1+O$161)*IF(Rebate_Industry!N$117&lt;=0,1,Rebate_Industry!O$117/Rebate_Industry!N$117)^$F169*(IF(N152&lt;=0,1,O152/N152)^$G169/(1+$H169+$I169))^(1+$F169)</f>
        <v>0</v>
      </c>
      <c r="P179" s="24">
        <f>O179*(1+P$159)^($E169*P$160)*(1+P$161)*IF(Rebate_Industry!O$117&lt;=0,1,Rebate_Industry!P$117/Rebate_Industry!O$117)^$F169*(IF(O152&lt;=0,1,P152/O152)^$G169/(1+$H169+$I169))^(1+$F169)</f>
        <v>0</v>
      </c>
      <c r="Q179" s="24">
        <f>P179*(1+Q$159)^($E169*Q$160)*(1+Q$161)*IF(Rebate_Industry!P$117&lt;=0,1,Rebate_Industry!Q$117/Rebate_Industry!P$117)^$F169*(IF(P152&lt;=0,1,Q152/P152)^$G169/(1+$H169+$I169))^(1+$F169)</f>
        <v>0</v>
      </c>
      <c r="R179" s="24">
        <f>Q179*(1+R$159)^($E169*R$160)*(1+R$161)*IF(Rebate_Industry!Q$117&lt;=0,1,Rebate_Industry!R$117/Rebate_Industry!Q$117)^$F169*(IF(Q152&lt;=0,1,R152/Q152)^$G169/(1+$H169+$I169))^(1+$F169)</f>
        <v>0</v>
      </c>
      <c r="S179" s="24">
        <f>R179*(1+S$159)^($E169*S$160)*(1+S$161)*IF(Rebate_Industry!R$117&lt;=0,1,Rebate_Industry!S$117/Rebate_Industry!R$117)^$F169*(IF(R152&lt;=0,1,S152/R152)^$G169/(1+$H169+$I169))^(1+$F169)</f>
        <v>0</v>
      </c>
      <c r="T179" s="24">
        <f>S179*(1+T$159)^($E169*T$160)*(1+T$161)*IF(Rebate_Industry!S$117&lt;=0,1,Rebate_Industry!T$117/Rebate_Industry!S$117)^$F169*(IF(S152&lt;=0,1,T152/S152)^$G169/(1+$H169+$I169))^(1+$F169)</f>
        <v>0</v>
      </c>
      <c r="U179" s="24">
        <f>T179*(1+U$159)^($E169*U$160)*(1+U$161)*IF(Rebate_Industry!T$117&lt;=0,1,Rebate_Industry!U$117/Rebate_Industry!T$117)^$F169*(IF(T152&lt;=0,1,U152/T152)^$G169/(1+$H169+$I169))^(1+$F169)</f>
        <v>0</v>
      </c>
      <c r="V179" s="24">
        <f>U179*(1+V$159)^($E169*V$160)*(1+V$161)*IF(Rebate_Industry!U$117&lt;=0,1,Rebate_Industry!V$117/Rebate_Industry!U$117)^$F169*(IF(U152&lt;=0,1,V152/U152)^$G169/(1+$H169+$I169))^(1+$F169)</f>
        <v>0</v>
      </c>
      <c r="W179" s="24">
        <f>V179*(1+W$159)^($E169*W$160)*(1+W$161)*IF(Rebate_Industry!V$117&lt;=0,1,Rebate_Industry!W$117/Rebate_Industry!V$117)^$F169*(IF(V152&lt;=0,1,W152/V152)^$G169/(1+$H169+$I169))^(1+$F169)</f>
        <v>0</v>
      </c>
      <c r="X179" s="24">
        <f>W179*(1+X$159)^($E169*X$160)*(1+X$161)*IF(Rebate_Industry!W$117&lt;=0,1,Rebate_Industry!X$117/Rebate_Industry!W$117)^$F169*(IF(W152&lt;=0,1,X152/W152)^$G169/(1+$H169+$I169))^(1+$F169)</f>
        <v>0</v>
      </c>
      <c r="Y179" s="24">
        <f>X179*(1+Y$159)^($E169*Y$160)*(1+Y$161)*IF(Rebate_Industry!X$117&lt;=0,1,Rebate_Industry!Y$117/Rebate_Industry!X$117)^$F169*(IF(X152&lt;=0,1,Y152/X152)^$G169/(1+$H169+$I169))^(1+$F169)</f>
        <v>0</v>
      </c>
      <c r="Z179" s="24">
        <f>Y179*(1+Z$159)^($E169*Z$160)*(1+Z$161)*IF(Rebate_Industry!Y$117&lt;=0,1,Rebate_Industry!Z$117/Rebate_Industry!Y$117)^$F169*(IF(Y152&lt;=0,1,Z152/Y152)^$G169/(1+$H169+$I169))^(1+$F169)</f>
        <v>0</v>
      </c>
      <c r="AA179" s="24">
        <f>Z179*(1+AA$159)^($E169*AA$160)*(1+AA$161)*IF(Rebate_Industry!Z$117&lt;=0,1,Rebate_Industry!AA$117/Rebate_Industry!Z$117)^$F169*(IF(Z152&lt;=0,1,AA152/Z152)^$G169/(1+$H169+$I169))^(1+$F169)</f>
        <v>0</v>
      </c>
      <c r="AB179" s="24">
        <f>AA179*(1+AB$159)^($E169*AB$160)*(1+AB$161)*IF(Rebate_Industry!AA$117&lt;=0,1,Rebate_Industry!AB$117/Rebate_Industry!AA$117)^$F169*(IF(AA152&lt;=0,1,AB152/AA152)^$G169/(1+$H169+$I169))^(1+$F169)</f>
        <v>0</v>
      </c>
      <c r="AC179" s="24">
        <f>AB179*(1+AC$159)^($E169*AC$160)*(1+AC$161)*IF(Rebate_Industry!AB$117&lt;=0,1,Rebate_Industry!AC$117/Rebate_Industry!AB$117)^$F169*(IF(AB152&lt;=0,1,AC152/AB152)^$G169/(1+$H169+$I169))^(1+$F169)</f>
        <v>0</v>
      </c>
      <c r="AD179" s="24">
        <f>AC179*(1+AD$159)^($E169*AD$160)*(1+AD$161)*IF(Rebate_Industry!AC$117&lt;=0,1,Rebate_Industry!AD$117/Rebate_Industry!AC$117)^$F169*(IF(AC152&lt;=0,1,AD152/AC152)^$G169/(1+$H169+$I169))^(1+$F169)</f>
        <v>0</v>
      </c>
      <c r="AE179" s="24">
        <f>AD179*(1+AE$159)^($E169*AE$160)*(1+AE$161)*IF(Rebate_Industry!AD$117&lt;=0,1,Rebate_Industry!AE$117/Rebate_Industry!AD$117)^$F169*(IF(AD152&lt;=0,1,AE152/AD152)^$G169/(1+$H169+$I169))^(1+$F169)</f>
        <v>0</v>
      </c>
    </row>
    <row r="180" spans="1:35" x14ac:dyDescent="0.45">
      <c r="B180" s="14" t="s">
        <v>64</v>
      </c>
      <c r="C180" s="14" t="str">
        <f t="shared" si="16"/>
        <v>nfm</v>
      </c>
      <c r="D180" s="15" t="s">
        <v>65</v>
      </c>
      <c r="E180" s="16" t="s">
        <v>108</v>
      </c>
      <c r="F180" s="14" t="s">
        <v>109</v>
      </c>
      <c r="G180" s="17" t="str">
        <f>Settings!$B$3&amp;".mit.enc."&amp;$B180</f>
        <v>egy.mit.enc.oop</v>
      </c>
      <c r="H180" s="45" t="str">
        <f>Settings!$B$3&amp;".mit.ener."&amp;$C$125&amp;"."&amp;$B180&amp;".e."&amp;$J$125</f>
        <v>egy.mit.ener.nfm.oop.e.1</v>
      </c>
      <c r="I180" t="s">
        <v>2280</v>
      </c>
      <c r="L180" s="47">
        <f>INDEX(Data_Energy!$D$3:$U$22,MATCH($B180,Data_Energy!$C$3:$C$22,0),MATCH($C180,Data_Energy!$D$2:$U$2,0))</f>
        <v>0</v>
      </c>
      <c r="M180" s="24">
        <f>L180*(1+M$159)^($E170*M$160)*(1+M$161)*IF(Rebate_Industry!L$118&lt;=0,1,Rebate_Industry!M$118/Rebate_Industry!L$118)^$F170*(IF(L153&lt;=0,1,M153/L153)^$G170/(1+$H170+$I170))^(1+$F170)</f>
        <v>0</v>
      </c>
      <c r="N180" s="24">
        <f>M180*(1+N$159)^($E170*N$160)*(1+N$161)*IF(Rebate_Industry!M$118&lt;=0,1,Rebate_Industry!N$118/Rebate_Industry!M$118)^$F170*(IF(M153&lt;=0,1,N153/M153)^$G170/(1+$H170+$I170))^(1+$F170)</f>
        <v>0</v>
      </c>
      <c r="O180" s="24">
        <f>N180*(1+O$159)^($E170*O$160)*(1+O$161)*IF(Rebate_Industry!N$118&lt;=0,1,Rebate_Industry!O$118/Rebate_Industry!N$118)^$F170*(IF(N153&lt;=0,1,O153/N153)^$G170/(1+$H170+$I170))^(1+$F170)</f>
        <v>0</v>
      </c>
      <c r="P180" s="24">
        <f>O180*(1+P$159)^($E170*P$160)*(1+P$161)*IF(Rebate_Industry!O$118&lt;=0,1,Rebate_Industry!P$118/Rebate_Industry!O$118)^$F170*(IF(O153&lt;=0,1,P153/O153)^$G170/(1+$H170+$I170))^(1+$F170)</f>
        <v>0</v>
      </c>
      <c r="Q180" s="24">
        <f>P180*(1+Q$159)^($E170*Q$160)*(1+Q$161)*IF(Rebate_Industry!P$118&lt;=0,1,Rebate_Industry!Q$118/Rebate_Industry!P$118)^$F170*(IF(P153&lt;=0,1,Q153/P153)^$G170/(1+$H170+$I170))^(1+$F170)</f>
        <v>0</v>
      </c>
      <c r="R180" s="24">
        <f>Q180*(1+R$159)^($E170*R$160)*(1+R$161)*IF(Rebate_Industry!Q$118&lt;=0,1,Rebate_Industry!R$118/Rebate_Industry!Q$118)^$F170*(IF(Q153&lt;=0,1,R153/Q153)^$G170/(1+$H170+$I170))^(1+$F170)</f>
        <v>0</v>
      </c>
      <c r="S180" s="24">
        <f>R180*(1+S$159)^($E170*S$160)*(1+S$161)*IF(Rebate_Industry!R$118&lt;=0,1,Rebate_Industry!S$118/Rebate_Industry!R$118)^$F170*(IF(R153&lt;=0,1,S153/R153)^$G170/(1+$H170+$I170))^(1+$F170)</f>
        <v>0</v>
      </c>
      <c r="T180" s="24">
        <f>S180*(1+T$159)^($E170*T$160)*(1+T$161)*IF(Rebate_Industry!S$118&lt;=0,1,Rebate_Industry!T$118/Rebate_Industry!S$118)^$F170*(IF(S153&lt;=0,1,T153/S153)^$G170/(1+$H170+$I170))^(1+$F170)</f>
        <v>0</v>
      </c>
      <c r="U180" s="24">
        <f>T180*(1+U$159)^($E170*U$160)*(1+U$161)*IF(Rebate_Industry!T$118&lt;=0,1,Rebate_Industry!U$118/Rebate_Industry!T$118)^$F170*(IF(T153&lt;=0,1,U153/T153)^$G170/(1+$H170+$I170))^(1+$F170)</f>
        <v>0</v>
      </c>
      <c r="V180" s="24">
        <f>U180*(1+V$159)^($E170*V$160)*(1+V$161)*IF(Rebate_Industry!U$118&lt;=0,1,Rebate_Industry!V$118/Rebate_Industry!U$118)^$F170*(IF(U153&lt;=0,1,V153/U153)^$G170/(1+$H170+$I170))^(1+$F170)</f>
        <v>0</v>
      </c>
      <c r="W180" s="24">
        <f>V180*(1+W$159)^($E170*W$160)*(1+W$161)*IF(Rebate_Industry!V$118&lt;=0,1,Rebate_Industry!W$118/Rebate_Industry!V$118)^$F170*(IF(V153&lt;=0,1,W153/V153)^$G170/(1+$H170+$I170))^(1+$F170)</f>
        <v>0</v>
      </c>
      <c r="X180" s="24">
        <f>W180*(1+X$159)^($E170*X$160)*(1+X$161)*IF(Rebate_Industry!W$118&lt;=0,1,Rebate_Industry!X$118/Rebate_Industry!W$118)^$F170*(IF(W153&lt;=0,1,X153/W153)^$G170/(1+$H170+$I170))^(1+$F170)</f>
        <v>0</v>
      </c>
      <c r="Y180" s="24">
        <f>X180*(1+Y$159)^($E170*Y$160)*(1+Y$161)*IF(Rebate_Industry!X$118&lt;=0,1,Rebate_Industry!Y$118/Rebate_Industry!X$118)^$F170*(IF(X153&lt;=0,1,Y153/X153)^$G170/(1+$H170+$I170))^(1+$F170)</f>
        <v>0</v>
      </c>
      <c r="Z180" s="24">
        <f>Y180*(1+Z$159)^($E170*Z$160)*(1+Z$161)*IF(Rebate_Industry!Y$118&lt;=0,1,Rebate_Industry!Z$118/Rebate_Industry!Y$118)^$F170*(IF(Y153&lt;=0,1,Z153/Y153)^$G170/(1+$H170+$I170))^(1+$F170)</f>
        <v>0</v>
      </c>
      <c r="AA180" s="24">
        <f>Z180*(1+AA$159)^($E170*AA$160)*(1+AA$161)*IF(Rebate_Industry!Z$118&lt;=0,1,Rebate_Industry!AA$118/Rebate_Industry!Z$118)^$F170*(IF(Z153&lt;=0,1,AA153/Z153)^$G170/(1+$H170+$I170))^(1+$F170)</f>
        <v>0</v>
      </c>
      <c r="AB180" s="24">
        <f>AA180*(1+AB$159)^($E170*AB$160)*(1+AB$161)*IF(Rebate_Industry!AA$118&lt;=0,1,Rebate_Industry!AB$118/Rebate_Industry!AA$118)^$F170*(IF(AA153&lt;=0,1,AB153/AA153)^$G170/(1+$H170+$I170))^(1+$F170)</f>
        <v>0</v>
      </c>
      <c r="AC180" s="24">
        <f>AB180*(1+AC$159)^($E170*AC$160)*(1+AC$161)*IF(Rebate_Industry!AB$118&lt;=0,1,Rebate_Industry!AC$118/Rebate_Industry!AB$118)^$F170*(IF(AB153&lt;=0,1,AC153/AB153)^$G170/(1+$H170+$I170))^(1+$F170)</f>
        <v>0</v>
      </c>
      <c r="AD180" s="24">
        <f>AC180*(1+AD$159)^($E170*AD$160)*(1+AD$161)*IF(Rebate_Industry!AC$118&lt;=0,1,Rebate_Industry!AD$118/Rebate_Industry!AC$118)^$F170*(IF(AC153&lt;=0,1,AD153/AC153)^$G170/(1+$H170+$I170))^(1+$F170)</f>
        <v>0</v>
      </c>
      <c r="AE180" s="24">
        <f>AD180*(1+AE$159)^($E170*AE$160)*(1+AE$161)*IF(Rebate_Industry!AD$118&lt;=0,1,Rebate_Industry!AE$118/Rebate_Industry!AD$118)^$F170*(IF(AD153&lt;=0,1,AE153/AD153)^$G170/(1+$H170+$I170))^(1+$F170)</f>
        <v>0</v>
      </c>
    </row>
    <row r="181" spans="1:35" x14ac:dyDescent="0.45">
      <c r="B181" s="14" t="s">
        <v>67</v>
      </c>
      <c r="C181" s="14" t="str">
        <f t="shared" si="16"/>
        <v>nfm</v>
      </c>
      <c r="D181" s="15" t="s">
        <v>68</v>
      </c>
      <c r="E181" s="16" t="s">
        <v>108</v>
      </c>
      <c r="F181" s="14" t="s">
        <v>109</v>
      </c>
      <c r="G181" s="17" t="str">
        <f>Settings!$B$3&amp;".mit.enc."&amp;$B181</f>
        <v>egy.mit.enc.bio</v>
      </c>
      <c r="H181" s="45" t="str">
        <f>Settings!$B$3&amp;".mit.ener."&amp;$C$125&amp;"."&amp;$B181&amp;".e."&amp;$J$125</f>
        <v>egy.mit.ener.nfm.bio.e.1</v>
      </c>
      <c r="I181" t="s">
        <v>2281</v>
      </c>
      <c r="L181" s="47">
        <f>INDEX(Data_Energy!$D$3:$U$22,MATCH($B181,Data_Energy!$C$3:$C$22,0),MATCH($C181,Data_Energy!$D$2:$U$2,0))</f>
        <v>0</v>
      </c>
      <c r="M181" s="24">
        <f>L181*(1+M$159)^($E171*M$160)*(1+M$161)*IF(Rebate_Industry!L$119&lt;=0,1,Rebate_Industry!M$119/Rebate_Industry!L$119)^$F171*(IF(L154&lt;=0,1,M154/L154)^$G171/(1+$H171+$I171))^(1+$F171)</f>
        <v>0</v>
      </c>
      <c r="N181" s="24">
        <f>M181*(1+N$159)^($E171*N$160)*(1+N$161)*IF(Rebate_Industry!M$119&lt;=0,1,Rebate_Industry!N$119/Rebate_Industry!M$119)^$F171*(IF(M154&lt;=0,1,N154/M154)^$G171/(1+$H171+$I171))^(1+$F171)</f>
        <v>0</v>
      </c>
      <c r="O181" s="24">
        <f>N181*(1+O$159)^($E171*O$160)*(1+O$161)*IF(Rebate_Industry!N$119&lt;=0,1,Rebate_Industry!O$119/Rebate_Industry!N$119)^$F171*(IF(N154&lt;=0,1,O154/N154)^$G171/(1+$H171+$I171))^(1+$F171)</f>
        <v>0</v>
      </c>
      <c r="P181" s="24">
        <f>O181*(1+P$159)^($E171*P$160)*(1+P$161)*IF(Rebate_Industry!O$119&lt;=0,1,Rebate_Industry!P$119/Rebate_Industry!O$119)^$F171*(IF(O154&lt;=0,1,P154/O154)^$G171/(1+$H171+$I171))^(1+$F171)</f>
        <v>0</v>
      </c>
      <c r="Q181" s="24">
        <f>P181*(1+Q$159)^($E171*Q$160)*(1+Q$161)*IF(Rebate_Industry!P$119&lt;=0,1,Rebate_Industry!Q$119/Rebate_Industry!P$119)^$F171*(IF(P154&lt;=0,1,Q154/P154)^$G171/(1+$H171+$I171))^(1+$F171)</f>
        <v>0</v>
      </c>
      <c r="R181" s="24">
        <f>Q181*(1+R$159)^($E171*R$160)*(1+R$161)*IF(Rebate_Industry!Q$119&lt;=0,1,Rebate_Industry!R$119/Rebate_Industry!Q$119)^$F171*(IF(Q154&lt;=0,1,R154/Q154)^$G171/(1+$H171+$I171))^(1+$F171)</f>
        <v>0</v>
      </c>
      <c r="S181" s="24">
        <f>R181*(1+S$159)^($E171*S$160)*(1+S$161)*IF(Rebate_Industry!R$119&lt;=0,1,Rebate_Industry!S$119/Rebate_Industry!R$119)^$F171*(IF(R154&lt;=0,1,S154/R154)^$G171/(1+$H171+$I171))^(1+$F171)</f>
        <v>0</v>
      </c>
      <c r="T181" s="24">
        <f>S181*(1+T$159)^($E171*T$160)*(1+T$161)*IF(Rebate_Industry!S$119&lt;=0,1,Rebate_Industry!T$119/Rebate_Industry!S$119)^$F171*(IF(S154&lt;=0,1,T154/S154)^$G171/(1+$H171+$I171))^(1+$F171)</f>
        <v>0</v>
      </c>
      <c r="U181" s="24">
        <f>T181*(1+U$159)^($E171*U$160)*(1+U$161)*IF(Rebate_Industry!T$119&lt;=0,1,Rebate_Industry!U$119/Rebate_Industry!T$119)^$F171*(IF(T154&lt;=0,1,U154/T154)^$G171/(1+$H171+$I171))^(1+$F171)</f>
        <v>0</v>
      </c>
      <c r="V181" s="24">
        <f>U181*(1+V$159)^($E171*V$160)*(1+V$161)*IF(Rebate_Industry!U$119&lt;=0,1,Rebate_Industry!V$119/Rebate_Industry!U$119)^$F171*(IF(U154&lt;=0,1,V154/U154)^$G171/(1+$H171+$I171))^(1+$F171)</f>
        <v>0</v>
      </c>
      <c r="W181" s="24">
        <f>V181*(1+W$159)^($E171*W$160)*(1+W$161)*IF(Rebate_Industry!V$119&lt;=0,1,Rebate_Industry!W$119/Rebate_Industry!V$119)^$F171*(IF(V154&lt;=0,1,W154/V154)^$G171/(1+$H171+$I171))^(1+$F171)</f>
        <v>0</v>
      </c>
      <c r="X181" s="24">
        <f>W181*(1+X$159)^($E171*X$160)*(1+X$161)*IF(Rebate_Industry!W$119&lt;=0,1,Rebate_Industry!X$119/Rebate_Industry!W$119)^$F171*(IF(W154&lt;=0,1,X154/W154)^$G171/(1+$H171+$I171))^(1+$F171)</f>
        <v>0</v>
      </c>
      <c r="Y181" s="24">
        <f>X181*(1+Y$159)^($E171*Y$160)*(1+Y$161)*IF(Rebate_Industry!X$119&lt;=0,1,Rebate_Industry!Y$119/Rebate_Industry!X$119)^$F171*(IF(X154&lt;=0,1,Y154/X154)^$G171/(1+$H171+$I171))^(1+$F171)</f>
        <v>0</v>
      </c>
      <c r="Z181" s="24">
        <f>Y181*(1+Z$159)^($E171*Z$160)*(1+Z$161)*IF(Rebate_Industry!Y$119&lt;=0,1,Rebate_Industry!Z$119/Rebate_Industry!Y$119)^$F171*(IF(Y154&lt;=0,1,Z154/Y154)^$G171/(1+$H171+$I171))^(1+$F171)</f>
        <v>0</v>
      </c>
      <c r="AA181" s="24">
        <f>Z181*(1+AA$159)^($E171*AA$160)*(1+AA$161)*IF(Rebate_Industry!Z$119&lt;=0,1,Rebate_Industry!AA$119/Rebate_Industry!Z$119)^$F171*(IF(Z154&lt;=0,1,AA154/Z154)^$G171/(1+$H171+$I171))^(1+$F171)</f>
        <v>0</v>
      </c>
      <c r="AB181" s="24">
        <f>AA181*(1+AB$159)^($E171*AB$160)*(1+AB$161)*IF(Rebate_Industry!AA$119&lt;=0,1,Rebate_Industry!AB$119/Rebate_Industry!AA$119)^$F171*(IF(AA154&lt;=0,1,AB154/AA154)^$G171/(1+$H171+$I171))^(1+$F171)</f>
        <v>0</v>
      </c>
      <c r="AC181" s="24">
        <f>AB181*(1+AC$159)^($E171*AC$160)*(1+AC$161)*IF(Rebate_Industry!AB$119&lt;=0,1,Rebate_Industry!AC$119/Rebate_Industry!AB$119)^$F171*(IF(AB154&lt;=0,1,AC154/AB154)^$G171/(1+$H171+$I171))^(1+$F171)</f>
        <v>0</v>
      </c>
      <c r="AD181" s="24">
        <f>AC181*(1+AD$159)^($E171*AD$160)*(1+AD$161)*IF(Rebate_Industry!AC$119&lt;=0,1,Rebate_Industry!AD$119/Rebate_Industry!AC$119)^$F171*(IF(AC154&lt;=0,1,AD154/AC154)^$G171/(1+$H171+$I171))^(1+$F171)</f>
        <v>0</v>
      </c>
      <c r="AE181" s="24">
        <f>AD181*(1+AE$159)^($E171*AE$160)*(1+AE$161)*IF(Rebate_Industry!AD$119&lt;=0,1,Rebate_Industry!AE$119/Rebate_Industry!AD$119)^$F171*(IF(AD154&lt;=0,1,AE154/AD154)^$G171/(1+$H171+$I171))^(1+$F171)</f>
        <v>0</v>
      </c>
    </row>
    <row r="182" spans="1:35" x14ac:dyDescent="0.45">
      <c r="B182" s="14" t="s">
        <v>69</v>
      </c>
      <c r="C182" s="14" t="str">
        <f t="shared" si="16"/>
        <v>nfm</v>
      </c>
      <c r="D182" s="15" t="s">
        <v>70</v>
      </c>
      <c r="E182" s="16" t="s">
        <v>108</v>
      </c>
      <c r="F182" s="14" t="s">
        <v>109</v>
      </c>
      <c r="G182" s="17" t="str">
        <f>Settings!$B$3&amp;".mit.enc."&amp;$B182</f>
        <v>egy.mit.enc.ren</v>
      </c>
      <c r="H182" s="45" t="str">
        <f>Settings!$B$3&amp;".mit.ener."&amp;$C$125&amp;"."&amp;$B182&amp;".e."&amp;$J$125</f>
        <v>egy.mit.ener.nfm.ren.e.1</v>
      </c>
      <c r="I182" t="s">
        <v>2282</v>
      </c>
      <c r="L182" s="47">
        <f>INDEX(Data_Energy!$D$3:$U$22,MATCH($B182,Data_Energy!$C$3:$C$22,0),MATCH($C182,Data_Energy!$D$2:$U$2,0))</f>
        <v>0</v>
      </c>
      <c r="M182" s="24">
        <f>L182*(1+M$159)^($E172*M$160)*(1+M$161)*IF(Rebate_Industry!L$120&lt;=0,1,Rebate_Industry!M$120/Rebate_Industry!L$120)^$F172*(IF(L155&lt;=0,1,M155/L155)^$G172/(1+$H172+$I172))^(1+$F172)</f>
        <v>0</v>
      </c>
      <c r="N182" s="24">
        <f>M182*(1+N$159)^($E172*N$160)*(1+N$161)*IF(Rebate_Industry!M$120&lt;=0,1,Rebate_Industry!N$120/Rebate_Industry!M$120)^$F172*(IF(M155&lt;=0,1,N155/M155)^$G172/(1+$H172+$I172))^(1+$F172)</f>
        <v>0</v>
      </c>
      <c r="O182" s="24">
        <f>N182*(1+O$159)^($E172*O$160)*(1+O$161)*IF(Rebate_Industry!N$120&lt;=0,1,Rebate_Industry!O$120/Rebate_Industry!N$120)^$F172*(IF(N155&lt;=0,1,O155/N155)^$G172/(1+$H172+$I172))^(1+$F172)</f>
        <v>0</v>
      </c>
      <c r="P182" s="24">
        <f>O182*(1+P$159)^($E172*P$160)*(1+P$161)*IF(Rebate_Industry!O$120&lt;=0,1,Rebate_Industry!P$120/Rebate_Industry!O$120)^$F172*(IF(O155&lt;=0,1,P155/O155)^$G172/(1+$H172+$I172))^(1+$F172)</f>
        <v>0</v>
      </c>
      <c r="Q182" s="24">
        <f>P182*(1+Q$159)^($E172*Q$160)*(1+Q$161)*IF(Rebate_Industry!P$120&lt;=0,1,Rebate_Industry!Q$120/Rebate_Industry!P$120)^$F172*(IF(P155&lt;=0,1,Q155/P155)^$G172/(1+$H172+$I172))^(1+$F172)</f>
        <v>0</v>
      </c>
      <c r="R182" s="24">
        <f>Q182*(1+R$159)^($E172*R$160)*(1+R$161)*IF(Rebate_Industry!Q$120&lt;=0,1,Rebate_Industry!R$120/Rebate_Industry!Q$120)^$F172*(IF(Q155&lt;=0,1,R155/Q155)^$G172/(1+$H172+$I172))^(1+$F172)</f>
        <v>0</v>
      </c>
      <c r="S182" s="24">
        <f>R182*(1+S$159)^($E172*S$160)*(1+S$161)*IF(Rebate_Industry!R$120&lt;=0,1,Rebate_Industry!S$120/Rebate_Industry!R$120)^$F172*(IF(R155&lt;=0,1,S155/R155)^$G172/(1+$H172+$I172))^(1+$F172)</f>
        <v>0</v>
      </c>
      <c r="T182" s="24">
        <f>S182*(1+T$159)^($E172*T$160)*(1+T$161)*IF(Rebate_Industry!S$120&lt;=0,1,Rebate_Industry!T$120/Rebate_Industry!S$120)^$F172*(IF(S155&lt;=0,1,T155/S155)^$G172/(1+$H172+$I172))^(1+$F172)</f>
        <v>0</v>
      </c>
      <c r="U182" s="24">
        <f>T182*(1+U$159)^($E172*U$160)*(1+U$161)*IF(Rebate_Industry!T$120&lt;=0,1,Rebate_Industry!U$120/Rebate_Industry!T$120)^$F172*(IF(T155&lt;=0,1,U155/T155)^$G172/(1+$H172+$I172))^(1+$F172)</f>
        <v>0</v>
      </c>
      <c r="V182" s="24">
        <f>U182*(1+V$159)^($E172*V$160)*(1+V$161)*IF(Rebate_Industry!U$120&lt;=0,1,Rebate_Industry!V$120/Rebate_Industry!U$120)^$F172*(IF(U155&lt;=0,1,V155/U155)^$G172/(1+$H172+$I172))^(1+$F172)</f>
        <v>0</v>
      </c>
      <c r="W182" s="24">
        <f>V182*(1+W$159)^($E172*W$160)*(1+W$161)*IF(Rebate_Industry!V$120&lt;=0,1,Rebate_Industry!W$120/Rebate_Industry!V$120)^$F172*(IF(V155&lt;=0,1,W155/V155)^$G172/(1+$H172+$I172))^(1+$F172)</f>
        <v>0</v>
      </c>
      <c r="X182" s="24">
        <f>W182*(1+X$159)^($E172*X$160)*(1+X$161)*IF(Rebate_Industry!W$120&lt;=0,1,Rebate_Industry!X$120/Rebate_Industry!W$120)^$F172*(IF(W155&lt;=0,1,X155/W155)^$G172/(1+$H172+$I172))^(1+$F172)</f>
        <v>0</v>
      </c>
      <c r="Y182" s="24">
        <f>X182*(1+Y$159)^($E172*Y$160)*(1+Y$161)*IF(Rebate_Industry!X$120&lt;=0,1,Rebate_Industry!Y$120/Rebate_Industry!X$120)^$F172*(IF(X155&lt;=0,1,Y155/X155)^$G172/(1+$H172+$I172))^(1+$F172)</f>
        <v>0</v>
      </c>
      <c r="Z182" s="24">
        <f>Y182*(1+Z$159)^($E172*Z$160)*(1+Z$161)*IF(Rebate_Industry!Y$120&lt;=0,1,Rebate_Industry!Z$120/Rebate_Industry!Y$120)^$F172*(IF(Y155&lt;=0,1,Z155/Y155)^$G172/(1+$H172+$I172))^(1+$F172)</f>
        <v>0</v>
      </c>
      <c r="AA182" s="24">
        <f>Z182*(1+AA$159)^($E172*AA$160)*(1+AA$161)*IF(Rebate_Industry!Z$120&lt;=0,1,Rebate_Industry!AA$120/Rebate_Industry!Z$120)^$F172*(IF(Z155&lt;=0,1,AA155/Z155)^$G172/(1+$H172+$I172))^(1+$F172)</f>
        <v>0</v>
      </c>
      <c r="AB182" s="24">
        <f>AA182*(1+AB$159)^($E172*AB$160)*(1+AB$161)*IF(Rebate_Industry!AA$120&lt;=0,1,Rebate_Industry!AB$120/Rebate_Industry!AA$120)^$F172*(IF(AA155&lt;=0,1,AB155/AA155)^$G172/(1+$H172+$I172))^(1+$F172)</f>
        <v>0</v>
      </c>
      <c r="AC182" s="24">
        <f>AB182*(1+AC$159)^($E172*AC$160)*(1+AC$161)*IF(Rebate_Industry!AB$120&lt;=0,1,Rebate_Industry!AC$120/Rebate_Industry!AB$120)^$F172*(IF(AB155&lt;=0,1,AC155/AB155)^$G172/(1+$H172+$I172))^(1+$F172)</f>
        <v>0</v>
      </c>
      <c r="AD182" s="24">
        <f>AC182*(1+AD$159)^($E172*AD$160)*(1+AD$161)*IF(Rebate_Industry!AC$120&lt;=0,1,Rebate_Industry!AD$120/Rebate_Industry!AC$120)^$F172*(IF(AC155&lt;=0,1,AD155/AC155)^$G172/(1+$H172+$I172))^(1+$F172)</f>
        <v>0</v>
      </c>
      <c r="AE182" s="24">
        <f>AD182*(1+AE$159)^($E172*AE$160)*(1+AE$161)*IF(Rebate_Industry!AD$120&lt;=0,1,Rebate_Industry!AE$120/Rebate_Industry!AD$120)^$F172*(IF(AD155&lt;=0,1,AE155/AD155)^$G172/(1+$H172+$I172))^(1+$F172)</f>
        <v>0</v>
      </c>
    </row>
    <row r="183" spans="1:35" x14ac:dyDescent="0.45">
      <c r="B183" s="14" t="s">
        <v>110</v>
      </c>
      <c r="C183" s="14" t="str">
        <f t="shared" si="16"/>
        <v>nfm</v>
      </c>
      <c r="D183" s="25" t="s">
        <v>111</v>
      </c>
      <c r="E183" s="16" t="s">
        <v>108</v>
      </c>
      <c r="F183" s="14" t="s">
        <v>109</v>
      </c>
      <c r="H183" s="45" t="str">
        <f>Settings!$B$3&amp;".mit.ener."&amp;$C$125&amp;".tot.e."&amp;$J$125</f>
        <v>egy.mit.ener.nfm.tot.e.1</v>
      </c>
      <c r="L183" s="26">
        <f t="shared" ref="L183:AE183" si="17">SUM(L174:L182)</f>
        <v>0</v>
      </c>
      <c r="M183" s="26">
        <f t="shared" si="17"/>
        <v>0</v>
      </c>
      <c r="N183" s="26">
        <f t="shared" si="17"/>
        <v>0</v>
      </c>
      <c r="O183" s="26">
        <f t="shared" si="17"/>
        <v>0</v>
      </c>
      <c r="P183" s="26">
        <f t="shared" si="17"/>
        <v>0</v>
      </c>
      <c r="Q183" s="26">
        <f t="shared" si="17"/>
        <v>0</v>
      </c>
      <c r="R183" s="26">
        <f t="shared" si="17"/>
        <v>0</v>
      </c>
      <c r="S183" s="26">
        <f t="shared" si="17"/>
        <v>0</v>
      </c>
      <c r="T183" s="26">
        <f t="shared" si="17"/>
        <v>0</v>
      </c>
      <c r="U183" s="26">
        <f t="shared" si="17"/>
        <v>0</v>
      </c>
      <c r="V183" s="26">
        <f t="shared" si="17"/>
        <v>0</v>
      </c>
      <c r="W183" s="26">
        <f t="shared" si="17"/>
        <v>0</v>
      </c>
      <c r="X183" s="26">
        <f t="shared" si="17"/>
        <v>0</v>
      </c>
      <c r="Y183" s="26">
        <f t="shared" si="17"/>
        <v>0</v>
      </c>
      <c r="Z183" s="26">
        <f t="shared" si="17"/>
        <v>0</v>
      </c>
      <c r="AA183" s="26">
        <f t="shared" si="17"/>
        <v>0</v>
      </c>
      <c r="AB183" s="26">
        <f t="shared" si="17"/>
        <v>0</v>
      </c>
      <c r="AC183" s="26">
        <f t="shared" si="17"/>
        <v>0</v>
      </c>
      <c r="AD183" s="26">
        <f t="shared" si="17"/>
        <v>0</v>
      </c>
      <c r="AE183" s="26">
        <f t="shared" si="17"/>
        <v>0</v>
      </c>
    </row>
    <row r="185" spans="1:35" x14ac:dyDescent="0.45">
      <c r="A185" s="11"/>
      <c r="B185" s="6" t="s">
        <v>116</v>
      </c>
      <c r="C185" s="7" t="s">
        <v>117</v>
      </c>
      <c r="D185" s="6" t="s">
        <v>44</v>
      </c>
      <c r="E185" s="7" t="s">
        <v>35</v>
      </c>
      <c r="F185" s="7" t="s">
        <v>45</v>
      </c>
      <c r="G185" s="7" t="s">
        <v>46</v>
      </c>
      <c r="H185" s="12" t="s">
        <v>38</v>
      </c>
      <c r="I185" s="6" t="s">
        <v>47</v>
      </c>
      <c r="J185" s="48">
        <v>1</v>
      </c>
      <c r="K185" s="6">
        <v>2021</v>
      </c>
      <c r="L185" s="46">
        <v>2022</v>
      </c>
      <c r="M185" s="6">
        <v>2023</v>
      </c>
      <c r="N185" s="6">
        <v>2024</v>
      </c>
      <c r="O185" s="6">
        <v>2025</v>
      </c>
      <c r="P185" s="6">
        <v>2026</v>
      </c>
      <c r="Q185" s="6">
        <v>2027</v>
      </c>
      <c r="R185" s="6">
        <v>2028</v>
      </c>
      <c r="S185" s="6">
        <v>2029</v>
      </c>
      <c r="T185" s="6">
        <v>2030</v>
      </c>
      <c r="U185" s="6">
        <v>2031</v>
      </c>
      <c r="V185" s="6">
        <v>2032</v>
      </c>
      <c r="W185" s="6">
        <v>2033</v>
      </c>
      <c r="X185" s="6">
        <v>2034</v>
      </c>
      <c r="Y185" s="6">
        <v>2035</v>
      </c>
      <c r="Z185" s="6">
        <v>2036</v>
      </c>
      <c r="AA185" s="6">
        <v>2037</v>
      </c>
      <c r="AB185" s="6">
        <v>2038</v>
      </c>
      <c r="AC185" s="6">
        <v>2039</v>
      </c>
      <c r="AD185" s="6">
        <v>2040</v>
      </c>
      <c r="AE185" s="6">
        <v>2041</v>
      </c>
      <c r="AF185" s="6">
        <v>2042</v>
      </c>
      <c r="AG185" s="6">
        <v>2043</v>
      </c>
      <c r="AH185" s="6">
        <v>2044</v>
      </c>
      <c r="AI185" s="6">
        <v>2045</v>
      </c>
    </row>
    <row r="186" spans="1:35" x14ac:dyDescent="0.45">
      <c r="B186" s="13" t="s">
        <v>48</v>
      </c>
    </row>
    <row r="187" spans="1:35" x14ac:dyDescent="0.45">
      <c r="B187" s="14" t="s">
        <v>49</v>
      </c>
      <c r="C187" s="14" t="str">
        <f t="shared" ref="C187:C195" si="18">$C$185</f>
        <v>mch</v>
      </c>
      <c r="D187" s="15" t="s">
        <v>50</v>
      </c>
      <c r="E187" s="16" t="s">
        <v>51</v>
      </c>
      <c r="F187" s="14" t="s">
        <v>52</v>
      </c>
      <c r="G187" s="17" t="str">
        <f>Settings!$B$3&amp;".mit.pbc."&amp;Settings!$B$4&amp;"."&amp;$B187&amp;".a."&amp;$J$185</f>
        <v>egy.mit.pbc.ind.coa.a.1</v>
      </c>
      <c r="H187" s="45" t="str">
        <f>Settings!$B$3&amp;".mit.ptp."&amp;$C$185&amp;"."&amp;$B187&amp;".e."&amp;$J$185</f>
        <v>egy.mit.ptp.mch.coa.e.1</v>
      </c>
      <c r="K187" s="18">
        <f>INDEX(Data_Prices!K:K,MATCH($G187,Data_Prices!$A:$A,0))</f>
        <v>11.182901589243899</v>
      </c>
      <c r="L187" s="18">
        <f>INDEX(Data_Prices!L:L,MATCH($G187,Data_Prices!$A:$A,0))</f>
        <v>10.5233613454312</v>
      </c>
      <c r="M187" s="18">
        <f>INDEX(Data_Prices!M:M,MATCH($G187,Data_Prices!$A:$A,0))</f>
        <v>10.2995608274442</v>
      </c>
      <c r="N187" s="18">
        <f>INDEX(Data_Prices!N:N,MATCH($G187,Data_Prices!$A:$A,0))</f>
        <v>9.5775283595382597</v>
      </c>
      <c r="O187" s="18">
        <f>INDEX(Data_Prices!O:O,MATCH($G187,Data_Prices!$A:$A,0))</f>
        <v>8.4854782869580507</v>
      </c>
      <c r="P187" s="18">
        <f>INDEX(Data_Prices!P:P,MATCH($G187,Data_Prices!$A:$A,0))</f>
        <v>9.0871922352498604</v>
      </c>
      <c r="Q187" s="18">
        <f>INDEX(Data_Prices!Q:Q,MATCH($G187,Data_Prices!$A:$A,0))</f>
        <v>9.2229237289326793</v>
      </c>
      <c r="R187" s="18">
        <f>INDEX(Data_Prices!R:R,MATCH($G187,Data_Prices!$A:$A,0))</f>
        <v>9.1585649555096893</v>
      </c>
      <c r="S187" s="18">
        <f>INDEX(Data_Prices!S:S,MATCH($G187,Data_Prices!$A:$A,0))</f>
        <v>9.0895478773973792</v>
      </c>
      <c r="T187" s="18">
        <f>INDEX(Data_Prices!T:T,MATCH($G187,Data_Prices!$A:$A,0))</f>
        <v>9.0156816660228305</v>
      </c>
      <c r="U187" s="18">
        <f>INDEX(Data_Prices!U:U,MATCH($G187,Data_Prices!$A:$A,0))</f>
        <v>8.9443977655571096</v>
      </c>
      <c r="V187" s="18">
        <f>INDEX(Data_Prices!V:V,MATCH($G187,Data_Prices!$A:$A,0))</f>
        <v>8.9443977655571096</v>
      </c>
      <c r="W187" s="18">
        <f>INDEX(Data_Prices!W:W,MATCH($G187,Data_Prices!$A:$A,0))</f>
        <v>8.9443977655571096</v>
      </c>
      <c r="X187" s="18">
        <f>INDEX(Data_Prices!X:X,MATCH($G187,Data_Prices!$A:$A,0))</f>
        <v>8.9443977655571096</v>
      </c>
      <c r="Y187" s="18">
        <f>INDEX(Data_Prices!Y:Y,MATCH($G187,Data_Prices!$A:$A,0))</f>
        <v>8.9443977655571096</v>
      </c>
      <c r="Z187" s="18">
        <f>INDEX(Data_Prices!Z:Z,MATCH($G187,Data_Prices!$A:$A,0))</f>
        <v>8.9443977655571096</v>
      </c>
      <c r="AA187" s="18">
        <f>INDEX(Data_Prices!AA:AA,MATCH($G187,Data_Prices!$A:$A,0))</f>
        <v>8.9443977655571096</v>
      </c>
      <c r="AB187" s="18">
        <f>INDEX(Data_Prices!AB:AB,MATCH($G187,Data_Prices!$A:$A,0))</f>
        <v>8.9443977655571096</v>
      </c>
      <c r="AC187" s="18">
        <f>INDEX(Data_Prices!AC:AC,MATCH($G187,Data_Prices!$A:$A,0))</f>
        <v>8.9443977655571096</v>
      </c>
      <c r="AD187" s="18">
        <f>INDEX(Data_Prices!AD:AD,MATCH($G187,Data_Prices!$A:$A,0))</f>
        <v>8.9443977655571096</v>
      </c>
      <c r="AE187" s="18">
        <f>INDEX(Data_Prices!AE:AE,MATCH($G187,Data_Prices!$A:$A,0))</f>
        <v>8.9443977655571096</v>
      </c>
    </row>
    <row r="188" spans="1:35" x14ac:dyDescent="0.45">
      <c r="B188" s="14" t="s">
        <v>53</v>
      </c>
      <c r="C188" s="14" t="str">
        <f t="shared" si="18"/>
        <v>mch</v>
      </c>
      <c r="D188" s="15" t="s">
        <v>54</v>
      </c>
      <c r="E188" s="16" t="s">
        <v>51</v>
      </c>
      <c r="F188" s="14" t="s">
        <v>52</v>
      </c>
      <c r="G188" s="17" t="str">
        <f>Settings!$B$3&amp;".mit.pbc."&amp;Settings!$B$4&amp;"."&amp;$B188&amp;".a."&amp;$J$185</f>
        <v>egy.mit.pbc.ind.nga.a.1</v>
      </c>
      <c r="H188" s="45" t="str">
        <f>Settings!$B$3&amp;".mit.ptp."&amp;$C$185&amp;"."&amp;$B188&amp;".e."&amp;$J$185</f>
        <v>egy.mit.ptp.mch.nga.e.1</v>
      </c>
      <c r="K188" s="18">
        <f>INDEX(Data_Prices!K:K,MATCH($G188,Data_Prices!$A:$A,0))</f>
        <v>6.0634636156729096</v>
      </c>
      <c r="L188" s="18">
        <f>INDEX(Data_Prices!L:L,MATCH($G188,Data_Prices!$A:$A,0))</f>
        <v>5.4510150816191896</v>
      </c>
      <c r="M188" s="18">
        <f>INDEX(Data_Prices!M:M,MATCH($G188,Data_Prices!$A:$A,0))</f>
        <v>5.1193563062624801</v>
      </c>
      <c r="N188" s="18">
        <f>INDEX(Data_Prices!N:N,MATCH($G188,Data_Prices!$A:$A,0))</f>
        <v>5.08218458640407</v>
      </c>
      <c r="O188" s="18">
        <f>INDEX(Data_Prices!O:O,MATCH($G188,Data_Prices!$A:$A,0))</f>
        <v>5.08218458640407</v>
      </c>
      <c r="P188" s="18">
        <f>INDEX(Data_Prices!P:P,MATCH($G188,Data_Prices!$A:$A,0))</f>
        <v>5.08218458640407</v>
      </c>
      <c r="Q188" s="18">
        <f>INDEX(Data_Prices!Q:Q,MATCH($G188,Data_Prices!$A:$A,0))</f>
        <v>5.08218458640407</v>
      </c>
      <c r="R188" s="18">
        <f>INDEX(Data_Prices!R:R,MATCH($G188,Data_Prices!$A:$A,0))</f>
        <v>5.08218458640407</v>
      </c>
      <c r="S188" s="18">
        <f>INDEX(Data_Prices!S:S,MATCH($G188,Data_Prices!$A:$A,0))</f>
        <v>5.08218458640407</v>
      </c>
      <c r="T188" s="18">
        <f>INDEX(Data_Prices!T:T,MATCH($G188,Data_Prices!$A:$A,0))</f>
        <v>5.08218458640407</v>
      </c>
      <c r="U188" s="18">
        <f>INDEX(Data_Prices!U:U,MATCH($G188,Data_Prices!$A:$A,0))</f>
        <v>5.08218458640407</v>
      </c>
      <c r="V188" s="18">
        <f>INDEX(Data_Prices!V:V,MATCH($G188,Data_Prices!$A:$A,0))</f>
        <v>5.08218458640407</v>
      </c>
      <c r="W188" s="18">
        <f>INDEX(Data_Prices!W:W,MATCH($G188,Data_Prices!$A:$A,0))</f>
        <v>5.08218458640407</v>
      </c>
      <c r="X188" s="18">
        <f>INDEX(Data_Prices!X:X,MATCH($G188,Data_Prices!$A:$A,0))</f>
        <v>5.08218458640407</v>
      </c>
      <c r="Y188" s="18">
        <f>INDEX(Data_Prices!Y:Y,MATCH($G188,Data_Prices!$A:$A,0))</f>
        <v>5.08218458640407</v>
      </c>
      <c r="Z188" s="18">
        <f>INDEX(Data_Prices!Z:Z,MATCH($G188,Data_Prices!$A:$A,0))</f>
        <v>5.08218458640407</v>
      </c>
      <c r="AA188" s="18">
        <f>INDEX(Data_Prices!AA:AA,MATCH($G188,Data_Prices!$A:$A,0))</f>
        <v>5.08218458640407</v>
      </c>
      <c r="AB188" s="18">
        <f>INDEX(Data_Prices!AB:AB,MATCH($G188,Data_Prices!$A:$A,0))</f>
        <v>5.08218458640407</v>
      </c>
      <c r="AC188" s="18">
        <f>INDEX(Data_Prices!AC:AC,MATCH($G188,Data_Prices!$A:$A,0))</f>
        <v>5.08218458640407</v>
      </c>
      <c r="AD188" s="18">
        <f>INDEX(Data_Prices!AD:AD,MATCH($G188,Data_Prices!$A:$A,0))</f>
        <v>5.08218458640407</v>
      </c>
      <c r="AE188" s="18">
        <f>INDEX(Data_Prices!AE:AE,MATCH($G188,Data_Prices!$A:$A,0))</f>
        <v>5.08218458640407</v>
      </c>
    </row>
    <row r="189" spans="1:35" x14ac:dyDescent="0.45">
      <c r="B189" s="14" t="s">
        <v>55</v>
      </c>
      <c r="C189" s="14" t="str">
        <f t="shared" si="18"/>
        <v>mch</v>
      </c>
      <c r="D189" s="15" t="s">
        <v>56</v>
      </c>
      <c r="E189" s="16" t="s">
        <v>57</v>
      </c>
      <c r="F189" s="14" t="s">
        <v>52</v>
      </c>
      <c r="G189" s="17" t="str">
        <f>Settings!$B$3&amp;".mit.pbc."&amp;Settings!$B$4&amp;"."&amp;$B189&amp;".a."&amp;$J$185</f>
        <v>egy.mit.pbc.ind.gso.a.1</v>
      </c>
      <c r="H189" s="45" t="str">
        <f>Settings!$B$3&amp;".mit.ptp."&amp;$C$185&amp;"."&amp;$B189&amp;".e."&amp;$J$185</f>
        <v>egy.mit.ptp.mch.gso.e.1</v>
      </c>
      <c r="K189" s="18">
        <f>INDEX(Data_Prices!K:K,MATCH($G189,Data_Prices!$A:$A,0))</f>
        <v>0.67114653332181595</v>
      </c>
      <c r="L189" s="18">
        <f>INDEX(Data_Prices!L:L,MATCH($G189,Data_Prices!$A:$A,0))</f>
        <v>0.61197797679140598</v>
      </c>
      <c r="M189" s="18">
        <f>INDEX(Data_Prices!M:M,MATCH($G189,Data_Prices!$A:$A,0))</f>
        <v>0.61180974964187596</v>
      </c>
      <c r="N189" s="18">
        <f>INDEX(Data_Prices!N:N,MATCH($G189,Data_Prices!$A:$A,0))</f>
        <v>0.60358310017790595</v>
      </c>
      <c r="O189" s="18">
        <f>INDEX(Data_Prices!O:O,MATCH($G189,Data_Prices!$A:$A,0))</f>
        <v>0.60358310017790595</v>
      </c>
      <c r="P189" s="18">
        <f>INDEX(Data_Prices!P:P,MATCH($G189,Data_Prices!$A:$A,0))</f>
        <v>0.60358310017790595</v>
      </c>
      <c r="Q189" s="18">
        <f>INDEX(Data_Prices!Q:Q,MATCH($G189,Data_Prices!$A:$A,0))</f>
        <v>0.60358310017790595</v>
      </c>
      <c r="R189" s="18">
        <f>INDEX(Data_Prices!R:R,MATCH($G189,Data_Prices!$A:$A,0))</f>
        <v>0.60358310017790595</v>
      </c>
      <c r="S189" s="18">
        <f>INDEX(Data_Prices!S:S,MATCH($G189,Data_Prices!$A:$A,0))</f>
        <v>0.60358310017790595</v>
      </c>
      <c r="T189" s="18">
        <f>INDEX(Data_Prices!T:T,MATCH($G189,Data_Prices!$A:$A,0))</f>
        <v>0.60358310017790595</v>
      </c>
      <c r="U189" s="18">
        <f>INDEX(Data_Prices!U:U,MATCH($G189,Data_Prices!$A:$A,0))</f>
        <v>0.60358310017790595</v>
      </c>
      <c r="V189" s="18">
        <f>INDEX(Data_Prices!V:V,MATCH($G189,Data_Prices!$A:$A,0))</f>
        <v>0.60358310017790595</v>
      </c>
      <c r="W189" s="18">
        <f>INDEX(Data_Prices!W:W,MATCH($G189,Data_Prices!$A:$A,0))</f>
        <v>0.60358310017790595</v>
      </c>
      <c r="X189" s="18">
        <f>INDEX(Data_Prices!X:X,MATCH($G189,Data_Prices!$A:$A,0))</f>
        <v>0.60358310017790595</v>
      </c>
      <c r="Y189" s="18">
        <f>INDEX(Data_Prices!Y:Y,MATCH($G189,Data_Prices!$A:$A,0))</f>
        <v>0.60358310017790595</v>
      </c>
      <c r="Z189" s="18">
        <f>INDEX(Data_Prices!Z:Z,MATCH($G189,Data_Prices!$A:$A,0))</f>
        <v>0.60358310017790595</v>
      </c>
      <c r="AA189" s="18">
        <f>INDEX(Data_Prices!AA:AA,MATCH($G189,Data_Prices!$A:$A,0))</f>
        <v>0.60358310017790595</v>
      </c>
      <c r="AB189" s="18">
        <f>INDEX(Data_Prices!AB:AB,MATCH($G189,Data_Prices!$A:$A,0))</f>
        <v>0.60358310017790595</v>
      </c>
      <c r="AC189" s="18">
        <f>INDEX(Data_Prices!AC:AC,MATCH($G189,Data_Prices!$A:$A,0))</f>
        <v>0.60358310017790595</v>
      </c>
      <c r="AD189" s="18">
        <f>INDEX(Data_Prices!AD:AD,MATCH($G189,Data_Prices!$A:$A,0))</f>
        <v>0.60358310017790595</v>
      </c>
      <c r="AE189" s="18">
        <f>INDEX(Data_Prices!AE:AE,MATCH($G189,Data_Prices!$A:$A,0))</f>
        <v>0.60358310017790595</v>
      </c>
    </row>
    <row r="190" spans="1:35" x14ac:dyDescent="0.45">
      <c r="B190" s="14" t="s">
        <v>58</v>
      </c>
      <c r="C190" s="14" t="str">
        <f t="shared" si="18"/>
        <v>mch</v>
      </c>
      <c r="D190" s="15" t="s">
        <v>59</v>
      </c>
      <c r="E190" s="16" t="s">
        <v>57</v>
      </c>
      <c r="F190" s="14" t="s">
        <v>52</v>
      </c>
      <c r="G190" s="17" t="str">
        <f>Settings!$B$3&amp;".mit.pbc."&amp;Settings!$B$4&amp;"."&amp;$B190&amp;".a."&amp;$J$185</f>
        <v>egy.mit.pbc.ind.die.a.1</v>
      </c>
      <c r="H190" s="45" t="str">
        <f>Settings!$B$3&amp;".mit.ptp."&amp;$C$185&amp;"."&amp;$B190&amp;".e."&amp;$J$185</f>
        <v>egy.mit.ptp.mch.die.e.1</v>
      </c>
      <c r="K190" s="18">
        <f>INDEX(Data_Prices!K:K,MATCH($G190,Data_Prices!$A:$A,0))</f>
        <v>0.55971121315568795</v>
      </c>
      <c r="L190" s="18">
        <f>INDEX(Data_Prices!L:L,MATCH($G190,Data_Prices!$A:$A,0))</f>
        <v>0.49458873084106802</v>
      </c>
      <c r="M190" s="18">
        <f>INDEX(Data_Prices!M:M,MATCH($G190,Data_Prices!$A:$A,0))</f>
        <v>0.50778654720250105</v>
      </c>
      <c r="N190" s="18">
        <f>INDEX(Data_Prices!N:N,MATCH($G190,Data_Prices!$A:$A,0))</f>
        <v>0.47043642679561698</v>
      </c>
      <c r="O190" s="18">
        <f>INDEX(Data_Prices!O:O,MATCH($G190,Data_Prices!$A:$A,0))</f>
        <v>0.47043642679561698</v>
      </c>
      <c r="P190" s="18">
        <f>INDEX(Data_Prices!P:P,MATCH($G190,Data_Prices!$A:$A,0))</f>
        <v>0.47043642679561698</v>
      </c>
      <c r="Q190" s="18">
        <f>INDEX(Data_Prices!Q:Q,MATCH($G190,Data_Prices!$A:$A,0))</f>
        <v>0.47043642679561698</v>
      </c>
      <c r="R190" s="18">
        <f>INDEX(Data_Prices!R:R,MATCH($G190,Data_Prices!$A:$A,0))</f>
        <v>0.47043642679561698</v>
      </c>
      <c r="S190" s="18">
        <f>INDEX(Data_Prices!S:S,MATCH($G190,Data_Prices!$A:$A,0))</f>
        <v>0.47043642679561698</v>
      </c>
      <c r="T190" s="18">
        <f>INDEX(Data_Prices!T:T,MATCH($G190,Data_Prices!$A:$A,0))</f>
        <v>0.47043642679561698</v>
      </c>
      <c r="U190" s="18">
        <f>INDEX(Data_Prices!U:U,MATCH($G190,Data_Prices!$A:$A,0))</f>
        <v>0.47043642679561698</v>
      </c>
      <c r="V190" s="18">
        <f>INDEX(Data_Prices!V:V,MATCH($G190,Data_Prices!$A:$A,0))</f>
        <v>0.47043642679561698</v>
      </c>
      <c r="W190" s="18">
        <f>INDEX(Data_Prices!W:W,MATCH($G190,Data_Prices!$A:$A,0))</f>
        <v>0.47043642679561698</v>
      </c>
      <c r="X190" s="18">
        <f>INDEX(Data_Prices!X:X,MATCH($G190,Data_Prices!$A:$A,0))</f>
        <v>0.47043642679561698</v>
      </c>
      <c r="Y190" s="18">
        <f>INDEX(Data_Prices!Y:Y,MATCH($G190,Data_Prices!$A:$A,0))</f>
        <v>0.47043642679561698</v>
      </c>
      <c r="Z190" s="18">
        <f>INDEX(Data_Prices!Z:Z,MATCH($G190,Data_Prices!$A:$A,0))</f>
        <v>0.47043642679561698</v>
      </c>
      <c r="AA190" s="18">
        <f>INDEX(Data_Prices!AA:AA,MATCH($G190,Data_Prices!$A:$A,0))</f>
        <v>0.47043642679561698</v>
      </c>
      <c r="AB190" s="18">
        <f>INDEX(Data_Prices!AB:AB,MATCH($G190,Data_Prices!$A:$A,0))</f>
        <v>0.47043642679561698</v>
      </c>
      <c r="AC190" s="18">
        <f>INDEX(Data_Prices!AC:AC,MATCH($G190,Data_Prices!$A:$A,0))</f>
        <v>0.47043642679561698</v>
      </c>
      <c r="AD190" s="18">
        <f>INDEX(Data_Prices!AD:AD,MATCH($G190,Data_Prices!$A:$A,0))</f>
        <v>0.47043642679561698</v>
      </c>
      <c r="AE190" s="18">
        <f>INDEX(Data_Prices!AE:AE,MATCH($G190,Data_Prices!$A:$A,0))</f>
        <v>0.47043642679561698</v>
      </c>
    </row>
    <row r="191" spans="1:35" x14ac:dyDescent="0.45">
      <c r="B191" s="14" t="s">
        <v>60</v>
      </c>
      <c r="C191" s="14" t="str">
        <f t="shared" si="18"/>
        <v>mch</v>
      </c>
      <c r="D191" s="15" t="s">
        <v>61</v>
      </c>
      <c r="E191" s="16" t="s">
        <v>57</v>
      </c>
      <c r="F191" s="14" t="s">
        <v>52</v>
      </c>
      <c r="G191" s="17" t="str">
        <f>Settings!$B$3&amp;".mit.pbc."&amp;Settings!$B$4&amp;"."&amp;$B191&amp;".a."&amp;$J$185</f>
        <v>egy.mit.pbc.ind.lpg.a.1</v>
      </c>
      <c r="H191" s="45" t="str">
        <f>Settings!$B$3&amp;".mit.ptp."&amp;$C$185&amp;"."&amp;$B191&amp;".e."&amp;$J$185</f>
        <v>egy.mit.ptp.mch.lpg.e.1</v>
      </c>
      <c r="K191" s="18">
        <f>INDEX(Data_Prices!K:K,MATCH($G191,Data_Prices!$A:$A,0))</f>
        <v>0.20036669112673799</v>
      </c>
      <c r="L191" s="18">
        <f>INDEX(Data_Prices!L:L,MATCH($G191,Data_Prices!$A:$A,0))</f>
        <v>0.15734473625227399</v>
      </c>
      <c r="M191" s="18">
        <f>INDEX(Data_Prices!M:M,MATCH($G191,Data_Prices!$A:$A,0))</f>
        <v>0.164484037759277</v>
      </c>
      <c r="N191" s="18">
        <f>INDEX(Data_Prices!N:N,MATCH($G191,Data_Prices!$A:$A,0))</f>
        <v>0.15070907780704901</v>
      </c>
      <c r="O191" s="18">
        <f>INDEX(Data_Prices!O:O,MATCH($G191,Data_Prices!$A:$A,0))</f>
        <v>0.15070907780704901</v>
      </c>
      <c r="P191" s="18">
        <f>INDEX(Data_Prices!P:P,MATCH($G191,Data_Prices!$A:$A,0))</f>
        <v>0.15070907780704901</v>
      </c>
      <c r="Q191" s="18">
        <f>INDEX(Data_Prices!Q:Q,MATCH($G191,Data_Prices!$A:$A,0))</f>
        <v>0.15070907780704901</v>
      </c>
      <c r="R191" s="18">
        <f>INDEX(Data_Prices!R:R,MATCH($G191,Data_Prices!$A:$A,0))</f>
        <v>0.15070907780704901</v>
      </c>
      <c r="S191" s="18">
        <f>INDEX(Data_Prices!S:S,MATCH($G191,Data_Prices!$A:$A,0))</f>
        <v>0.15070907780704901</v>
      </c>
      <c r="T191" s="18">
        <f>INDEX(Data_Prices!T:T,MATCH($G191,Data_Prices!$A:$A,0))</f>
        <v>0.15070907780704901</v>
      </c>
      <c r="U191" s="18">
        <f>INDEX(Data_Prices!U:U,MATCH($G191,Data_Prices!$A:$A,0))</f>
        <v>0.15070907780704901</v>
      </c>
      <c r="V191" s="18">
        <f>INDEX(Data_Prices!V:V,MATCH($G191,Data_Prices!$A:$A,0))</f>
        <v>0.15070907780704901</v>
      </c>
      <c r="W191" s="18">
        <f>INDEX(Data_Prices!W:W,MATCH($G191,Data_Prices!$A:$A,0))</f>
        <v>0.15070907780704901</v>
      </c>
      <c r="X191" s="18">
        <f>INDEX(Data_Prices!X:X,MATCH($G191,Data_Prices!$A:$A,0))</f>
        <v>0.15070907780704901</v>
      </c>
      <c r="Y191" s="18">
        <f>INDEX(Data_Prices!Y:Y,MATCH($G191,Data_Prices!$A:$A,0))</f>
        <v>0.15070907780704901</v>
      </c>
      <c r="Z191" s="18">
        <f>INDEX(Data_Prices!Z:Z,MATCH($G191,Data_Prices!$A:$A,0))</f>
        <v>0.15070907780704901</v>
      </c>
      <c r="AA191" s="18">
        <f>INDEX(Data_Prices!AA:AA,MATCH($G191,Data_Prices!$A:$A,0))</f>
        <v>0.15070907780704901</v>
      </c>
      <c r="AB191" s="18">
        <f>INDEX(Data_Prices!AB:AB,MATCH($G191,Data_Prices!$A:$A,0))</f>
        <v>0.15070907780704901</v>
      </c>
      <c r="AC191" s="18">
        <f>INDEX(Data_Prices!AC:AC,MATCH($G191,Data_Prices!$A:$A,0))</f>
        <v>0.15070907780704901</v>
      </c>
      <c r="AD191" s="18">
        <f>INDEX(Data_Prices!AD:AD,MATCH($G191,Data_Prices!$A:$A,0))</f>
        <v>0.15070907780704901</v>
      </c>
      <c r="AE191" s="18">
        <f>INDEX(Data_Prices!AE:AE,MATCH($G191,Data_Prices!$A:$A,0))</f>
        <v>0.15070907780704901</v>
      </c>
    </row>
    <row r="192" spans="1:35" x14ac:dyDescent="0.45">
      <c r="B192" s="14" t="s">
        <v>62</v>
      </c>
      <c r="C192" s="14" t="str">
        <f t="shared" si="18"/>
        <v>mch</v>
      </c>
      <c r="D192" s="15" t="s">
        <v>63</v>
      </c>
      <c r="E192" s="16" t="s">
        <v>57</v>
      </c>
      <c r="F192" s="14" t="s">
        <v>52</v>
      </c>
      <c r="G192" s="17" t="str">
        <f>Settings!$B$3&amp;".mit.pbc."&amp;Settings!$B$4&amp;"."&amp;$B192&amp;".a."&amp;$J$185</f>
        <v>egy.mit.pbc.ind.ker.a.1</v>
      </c>
      <c r="H192" s="45" t="str">
        <f>Settings!$B$3&amp;".mit.ptp."&amp;$C$185&amp;"."&amp;$B192&amp;".e."&amp;$J$185</f>
        <v>egy.mit.ptp.mch.ker.e.1</v>
      </c>
      <c r="K192" s="18">
        <f>INDEX(Data_Prices!K:K,MATCH($G192,Data_Prices!$A:$A,0))</f>
        <v>0.48429424097343499</v>
      </c>
      <c r="L192" s="18">
        <f>INDEX(Data_Prices!L:L,MATCH($G192,Data_Prices!$A:$A,0))</f>
        <v>0.45642817050012802</v>
      </c>
      <c r="M192" s="18">
        <f>INDEX(Data_Prices!M:M,MATCH($G192,Data_Prices!$A:$A,0))</f>
        <v>0.43168920195599497</v>
      </c>
      <c r="N192" s="18">
        <f>INDEX(Data_Prices!N:N,MATCH($G192,Data_Prices!$A:$A,0))</f>
        <v>0.42507558395597</v>
      </c>
      <c r="O192" s="18">
        <f>INDEX(Data_Prices!O:O,MATCH($G192,Data_Prices!$A:$A,0))</f>
        <v>0.42507558395597</v>
      </c>
      <c r="P192" s="18">
        <f>INDEX(Data_Prices!P:P,MATCH($G192,Data_Prices!$A:$A,0))</f>
        <v>0.42507558395597</v>
      </c>
      <c r="Q192" s="18">
        <f>INDEX(Data_Prices!Q:Q,MATCH($G192,Data_Prices!$A:$A,0))</f>
        <v>0.42507558395597</v>
      </c>
      <c r="R192" s="18">
        <f>INDEX(Data_Prices!R:R,MATCH($G192,Data_Prices!$A:$A,0))</f>
        <v>0.42507558395597</v>
      </c>
      <c r="S192" s="18">
        <f>INDEX(Data_Prices!S:S,MATCH($G192,Data_Prices!$A:$A,0))</f>
        <v>0.42507558395597</v>
      </c>
      <c r="T192" s="18">
        <f>INDEX(Data_Prices!T:T,MATCH($G192,Data_Prices!$A:$A,0))</f>
        <v>0.42507558395597</v>
      </c>
      <c r="U192" s="18">
        <f>INDEX(Data_Prices!U:U,MATCH($G192,Data_Prices!$A:$A,0))</f>
        <v>0.42507558395597</v>
      </c>
      <c r="V192" s="18">
        <f>INDEX(Data_Prices!V:V,MATCH($G192,Data_Prices!$A:$A,0))</f>
        <v>0.42507558395597</v>
      </c>
      <c r="W192" s="18">
        <f>INDEX(Data_Prices!W:W,MATCH($G192,Data_Prices!$A:$A,0))</f>
        <v>0.42507558395597</v>
      </c>
      <c r="X192" s="18">
        <f>INDEX(Data_Prices!X:X,MATCH($G192,Data_Prices!$A:$A,0))</f>
        <v>0.42507558395597</v>
      </c>
      <c r="Y192" s="18">
        <f>INDEX(Data_Prices!Y:Y,MATCH($G192,Data_Prices!$A:$A,0))</f>
        <v>0.42507558395597</v>
      </c>
      <c r="Z192" s="18">
        <f>INDEX(Data_Prices!Z:Z,MATCH($G192,Data_Prices!$A:$A,0))</f>
        <v>0.42507558395597</v>
      </c>
      <c r="AA192" s="18">
        <f>INDEX(Data_Prices!AA:AA,MATCH($G192,Data_Prices!$A:$A,0))</f>
        <v>0.42507558395597</v>
      </c>
      <c r="AB192" s="18">
        <f>INDEX(Data_Prices!AB:AB,MATCH($G192,Data_Prices!$A:$A,0))</f>
        <v>0.42507558395597</v>
      </c>
      <c r="AC192" s="18">
        <f>INDEX(Data_Prices!AC:AC,MATCH($G192,Data_Prices!$A:$A,0))</f>
        <v>0.42507558395597</v>
      </c>
      <c r="AD192" s="18">
        <f>INDEX(Data_Prices!AD:AD,MATCH($G192,Data_Prices!$A:$A,0))</f>
        <v>0.42507558395597</v>
      </c>
      <c r="AE192" s="18">
        <f>INDEX(Data_Prices!AE:AE,MATCH($G192,Data_Prices!$A:$A,0))</f>
        <v>0.42507558395597</v>
      </c>
    </row>
    <row r="193" spans="2:31" x14ac:dyDescent="0.45">
      <c r="B193" s="14" t="s">
        <v>64</v>
      </c>
      <c r="C193" s="14" t="str">
        <f t="shared" si="18"/>
        <v>mch</v>
      </c>
      <c r="D193" s="15" t="s">
        <v>65</v>
      </c>
      <c r="E193" s="16" t="s">
        <v>66</v>
      </c>
      <c r="F193" s="14" t="s">
        <v>52</v>
      </c>
      <c r="G193" s="17" t="str">
        <f>Settings!$B$3&amp;".mit.pbc."&amp;Settings!$B$4&amp;"."&amp;$B193&amp;".a."&amp;$J$185</f>
        <v>egy.mit.pbc.ind.oop.a.1</v>
      </c>
      <c r="H193" s="45" t="str">
        <f>Settings!$B$3&amp;".mit.ptp."&amp;$C$185&amp;"."&amp;$B193&amp;".e."&amp;$J$185</f>
        <v>egy.mit.ptp.mch.oop.e.1</v>
      </c>
      <c r="K193" s="18">
        <f>INDEX(Data_Prices!K:K,MATCH($G193,Data_Prices!$A:$A,0))</f>
        <v>41.500338498868402</v>
      </c>
      <c r="L193" s="18">
        <f>INDEX(Data_Prices!L:L,MATCH($G193,Data_Prices!$A:$A,0))</f>
        <v>34.4153703043132</v>
      </c>
      <c r="M193" s="18">
        <f>INDEX(Data_Prices!M:M,MATCH($G193,Data_Prices!$A:$A,0))</f>
        <v>37.368960690431997</v>
      </c>
      <c r="N193" s="18">
        <f>INDEX(Data_Prices!N:N,MATCH($G193,Data_Prices!$A:$A,0))</f>
        <v>28.982761101477301</v>
      </c>
      <c r="O193" s="18">
        <f>INDEX(Data_Prices!O:O,MATCH($G193,Data_Prices!$A:$A,0))</f>
        <v>15</v>
      </c>
      <c r="P193" s="18">
        <f>INDEX(Data_Prices!P:P,MATCH($G193,Data_Prices!$A:$A,0))</f>
        <v>24.2586300842555</v>
      </c>
      <c r="Q193" s="18">
        <f>INDEX(Data_Prices!Q:Q,MATCH($G193,Data_Prices!$A:$A,0))</f>
        <v>15</v>
      </c>
      <c r="R193" s="18">
        <f>INDEX(Data_Prices!R:R,MATCH($G193,Data_Prices!$A:$A,0))</f>
        <v>15</v>
      </c>
      <c r="S193" s="18">
        <f>INDEX(Data_Prices!S:S,MATCH($G193,Data_Prices!$A:$A,0))</f>
        <v>15</v>
      </c>
      <c r="T193" s="18">
        <f>INDEX(Data_Prices!T:T,MATCH($G193,Data_Prices!$A:$A,0))</f>
        <v>15</v>
      </c>
      <c r="U193" s="18">
        <f>INDEX(Data_Prices!U:U,MATCH($G193,Data_Prices!$A:$A,0))</f>
        <v>15</v>
      </c>
      <c r="V193" s="18">
        <f>INDEX(Data_Prices!V:V,MATCH($G193,Data_Prices!$A:$A,0))</f>
        <v>15</v>
      </c>
      <c r="W193" s="18">
        <f>INDEX(Data_Prices!W:W,MATCH($G193,Data_Prices!$A:$A,0))</f>
        <v>15</v>
      </c>
      <c r="X193" s="18">
        <f>INDEX(Data_Prices!X:X,MATCH($G193,Data_Prices!$A:$A,0))</f>
        <v>15</v>
      </c>
      <c r="Y193" s="18">
        <f>INDEX(Data_Prices!Y:Y,MATCH($G193,Data_Prices!$A:$A,0))</f>
        <v>15</v>
      </c>
      <c r="Z193" s="18">
        <f>INDEX(Data_Prices!Z:Z,MATCH($G193,Data_Prices!$A:$A,0))</f>
        <v>15</v>
      </c>
      <c r="AA193" s="18">
        <f>INDEX(Data_Prices!AA:AA,MATCH($G193,Data_Prices!$A:$A,0))</f>
        <v>15</v>
      </c>
      <c r="AB193" s="18">
        <f>INDEX(Data_Prices!AB:AB,MATCH($G193,Data_Prices!$A:$A,0))</f>
        <v>15</v>
      </c>
      <c r="AC193" s="18">
        <f>INDEX(Data_Prices!AC:AC,MATCH($G193,Data_Prices!$A:$A,0))</f>
        <v>15</v>
      </c>
      <c r="AD193" s="18">
        <f>INDEX(Data_Prices!AD:AD,MATCH($G193,Data_Prices!$A:$A,0))</f>
        <v>15</v>
      </c>
      <c r="AE193" s="18">
        <f>INDEX(Data_Prices!AE:AE,MATCH($G193,Data_Prices!$A:$A,0))</f>
        <v>15</v>
      </c>
    </row>
    <row r="194" spans="2:31" x14ac:dyDescent="0.45">
      <c r="B194" s="14" t="s">
        <v>67</v>
      </c>
      <c r="C194" s="14" t="str">
        <f t="shared" si="18"/>
        <v>mch</v>
      </c>
      <c r="D194" s="15" t="s">
        <v>68</v>
      </c>
      <c r="E194" s="16" t="s">
        <v>51</v>
      </c>
      <c r="F194" s="14" t="s">
        <v>52</v>
      </c>
      <c r="G194" s="17" t="str">
        <f>Settings!$B$3&amp;".mit.pbc."&amp;Settings!$B$4&amp;"."&amp;$B194&amp;".a."&amp;$J$185</f>
        <v>egy.mit.pbc.ind.bio.a.1</v>
      </c>
      <c r="H194" s="45" t="str">
        <f>Settings!$B$3&amp;".mit.ptp."&amp;$C$185&amp;"."&amp;$B194&amp;".e."&amp;$J$185</f>
        <v>egy.mit.ptp.mch.bio.e.1</v>
      </c>
      <c r="K194" s="18">
        <f>INDEX(Data_Prices!K:K,MATCH($G194,Data_Prices!$A:$A,0))</f>
        <v>15.3345505293169</v>
      </c>
      <c r="L194" s="18">
        <f>INDEX(Data_Prices!L:L,MATCH($G194,Data_Prices!$A:$A,0))</f>
        <v>14.199528390634899</v>
      </c>
      <c r="M194" s="18">
        <f>INDEX(Data_Prices!M:M,MATCH($G194,Data_Prices!$A:$A,0))</f>
        <v>13.8404416133152</v>
      </c>
      <c r="N194" s="18">
        <f>INDEX(Data_Prices!N:N,MATCH($G194,Data_Prices!$A:$A,0))</f>
        <v>13.5677269404465</v>
      </c>
      <c r="O194" s="18">
        <f>INDEX(Data_Prices!O:O,MATCH($G194,Data_Prices!$A:$A,0))</f>
        <v>13.5677269404465</v>
      </c>
      <c r="P194" s="18">
        <f>INDEX(Data_Prices!P:P,MATCH($G194,Data_Prices!$A:$A,0))</f>
        <v>13.5677269404465</v>
      </c>
      <c r="Q194" s="18">
        <f>INDEX(Data_Prices!Q:Q,MATCH($G194,Data_Prices!$A:$A,0))</f>
        <v>13.5677269404465</v>
      </c>
      <c r="R194" s="18">
        <f>INDEX(Data_Prices!R:R,MATCH($G194,Data_Prices!$A:$A,0))</f>
        <v>13.5677269404465</v>
      </c>
      <c r="S194" s="18">
        <f>INDEX(Data_Prices!S:S,MATCH($G194,Data_Prices!$A:$A,0))</f>
        <v>13.5677269404465</v>
      </c>
      <c r="T194" s="18">
        <f>INDEX(Data_Prices!T:T,MATCH($G194,Data_Prices!$A:$A,0))</f>
        <v>13.5677269404465</v>
      </c>
      <c r="U194" s="18">
        <f>INDEX(Data_Prices!U:U,MATCH($G194,Data_Prices!$A:$A,0))</f>
        <v>13.5677269404465</v>
      </c>
      <c r="V194" s="18">
        <f>INDEX(Data_Prices!V:V,MATCH($G194,Data_Prices!$A:$A,0))</f>
        <v>13.5677269404465</v>
      </c>
      <c r="W194" s="18">
        <f>INDEX(Data_Prices!W:W,MATCH($G194,Data_Prices!$A:$A,0))</f>
        <v>13.5677269404465</v>
      </c>
      <c r="X194" s="18">
        <f>INDEX(Data_Prices!X:X,MATCH($G194,Data_Prices!$A:$A,0))</f>
        <v>13.5677269404465</v>
      </c>
      <c r="Y194" s="18">
        <f>INDEX(Data_Prices!Y:Y,MATCH($G194,Data_Prices!$A:$A,0))</f>
        <v>13.5677269404465</v>
      </c>
      <c r="Z194" s="18">
        <f>INDEX(Data_Prices!Z:Z,MATCH($G194,Data_Prices!$A:$A,0))</f>
        <v>13.5677269404465</v>
      </c>
      <c r="AA194" s="18">
        <f>INDEX(Data_Prices!AA:AA,MATCH($G194,Data_Prices!$A:$A,0))</f>
        <v>13.5677269404465</v>
      </c>
      <c r="AB194" s="18">
        <f>INDEX(Data_Prices!AB:AB,MATCH($G194,Data_Prices!$A:$A,0))</f>
        <v>13.5677269404465</v>
      </c>
      <c r="AC194" s="18">
        <f>INDEX(Data_Prices!AC:AC,MATCH($G194,Data_Prices!$A:$A,0))</f>
        <v>13.5677269404465</v>
      </c>
      <c r="AD194" s="18">
        <f>INDEX(Data_Prices!AD:AD,MATCH($G194,Data_Prices!$A:$A,0))</f>
        <v>13.5677269404465</v>
      </c>
      <c r="AE194" s="18">
        <f>INDEX(Data_Prices!AE:AE,MATCH($G194,Data_Prices!$A:$A,0))</f>
        <v>13.5677269404465</v>
      </c>
    </row>
    <row r="195" spans="2:31" x14ac:dyDescent="0.45">
      <c r="B195" s="14" t="s">
        <v>69</v>
      </c>
      <c r="C195" s="14" t="str">
        <f t="shared" si="18"/>
        <v>mch</v>
      </c>
      <c r="D195" s="15" t="s">
        <v>70</v>
      </c>
      <c r="E195" s="16" t="s">
        <v>71</v>
      </c>
      <c r="F195" s="14" t="s">
        <v>52</v>
      </c>
      <c r="G195" s="17" t="str">
        <f>Settings!$B$3&amp;".mit.pbc."&amp;Settings!$B$4&amp;"."&amp;$B195&amp;".a."&amp;$J$185</f>
        <v>egy.mit.pbc.ind.ren.a.1</v>
      </c>
      <c r="H195" s="45" t="str">
        <f>Settings!$B$3&amp;".mit.ptp."&amp;$C$185&amp;"."&amp;$B195&amp;".e."&amp;$J$185</f>
        <v>egy.mit.ptp.mch.ren.e.1</v>
      </c>
      <c r="K195" s="18">
        <f>INDEX(Data_Prices!K:K,MATCH($G195,Data_Prices!$A:$A,0))</f>
        <v>0</v>
      </c>
      <c r="L195" s="18">
        <f>INDEX(Data_Prices!L:L,MATCH($G195,Data_Prices!$A:$A,0))</f>
        <v>0.14404498679319799</v>
      </c>
      <c r="M195" s="18">
        <f>INDEX(Data_Prices!M:M,MATCH($G195,Data_Prices!$A:$A,0))</f>
        <v>0.14102040965700399</v>
      </c>
      <c r="N195" s="18">
        <f>INDEX(Data_Prices!N:N,MATCH($G195,Data_Prices!$A:$A,0))</f>
        <v>0.13511635959447599</v>
      </c>
      <c r="O195" s="18">
        <f>INDEX(Data_Prices!O:O,MATCH($G195,Data_Prices!$A:$A,0))</f>
        <v>0.13098825698585601</v>
      </c>
      <c r="P195" s="18">
        <f>INDEX(Data_Prices!P:P,MATCH($G195,Data_Prices!$A:$A,0))</f>
        <v>0.12790841608631801</v>
      </c>
      <c r="Q195" s="18">
        <f>INDEX(Data_Prices!Q:Q,MATCH($G195,Data_Prices!$A:$A,0))</f>
        <v>0.124814310557813</v>
      </c>
      <c r="R195" s="18">
        <f>INDEX(Data_Prices!R:R,MATCH($G195,Data_Prices!$A:$A,0))</f>
        <v>0.121460257122878</v>
      </c>
      <c r="S195" s="18">
        <f>INDEX(Data_Prices!S:S,MATCH($G195,Data_Prices!$A:$A,0))</f>
        <v>0.117950744135786</v>
      </c>
      <c r="T195" s="18">
        <f>INDEX(Data_Prices!T:T,MATCH($G195,Data_Prices!$A:$A,0))</f>
        <v>0.114199161044597</v>
      </c>
      <c r="U195" s="18">
        <f>INDEX(Data_Prices!U:U,MATCH($G195,Data_Prices!$A:$A,0))</f>
        <v>0.113665100059665</v>
      </c>
      <c r="V195" s="18">
        <f>INDEX(Data_Prices!V:V,MATCH($G195,Data_Prices!$A:$A,0))</f>
        <v>0.113016929625957</v>
      </c>
      <c r="W195" s="18">
        <f>INDEX(Data_Prices!W:W,MATCH($G195,Data_Prices!$A:$A,0))</f>
        <v>0.112314070507636</v>
      </c>
      <c r="X195" s="18">
        <f>INDEX(Data_Prices!X:X,MATCH($G195,Data_Prices!$A:$A,0))</f>
        <v>0.11142204273284299</v>
      </c>
      <c r="Y195" s="18">
        <f>INDEX(Data_Prices!Y:Y,MATCH($G195,Data_Prices!$A:$A,0))</f>
        <v>0.110434123675809</v>
      </c>
      <c r="Z195" s="18">
        <f>INDEX(Data_Prices!Z:Z,MATCH($G195,Data_Prices!$A:$A,0))</f>
        <v>0.109483973304471</v>
      </c>
      <c r="AA195" s="18">
        <f>INDEX(Data_Prices!AA:AA,MATCH($G195,Data_Prices!$A:$A,0))</f>
        <v>0.10839192105294</v>
      </c>
      <c r="AB195" s="18">
        <f>INDEX(Data_Prices!AB:AB,MATCH($G195,Data_Prices!$A:$A,0))</f>
        <v>0.10735443362670399</v>
      </c>
      <c r="AC195" s="18">
        <f>INDEX(Data_Prices!AC:AC,MATCH($G195,Data_Prices!$A:$A,0))</f>
        <v>0.105168675441661</v>
      </c>
      <c r="AD195" s="18">
        <f>INDEX(Data_Prices!AD:AD,MATCH($G195,Data_Prices!$A:$A,0))</f>
        <v>0.103057983256008</v>
      </c>
      <c r="AE195" s="18">
        <f>INDEX(Data_Prices!AE:AE,MATCH($G195,Data_Prices!$A:$A,0))</f>
        <v>0.100931838990114</v>
      </c>
    </row>
    <row r="196" spans="2:31" x14ac:dyDescent="0.45">
      <c r="B196" s="13" t="s">
        <v>72</v>
      </c>
    </row>
    <row r="197" spans="2:31" x14ac:dyDescent="0.45">
      <c r="B197" s="14" t="s">
        <v>49</v>
      </c>
      <c r="C197" s="14" t="str">
        <f t="shared" ref="C197:C205" si="19">$C$185</f>
        <v>mch</v>
      </c>
      <c r="D197" s="15" t="s">
        <v>50</v>
      </c>
      <c r="E197" s="16" t="s">
        <v>51</v>
      </c>
      <c r="F197" s="14" t="s">
        <v>73</v>
      </c>
      <c r="G197" s="17" t="str">
        <f>Settings!$B$3&amp;".mit.nce."&amp;Settings!$B$4&amp;"."&amp;$B197&amp;".a."&amp;$J$185</f>
        <v>egy.mit.nce.ind.coa.a.1</v>
      </c>
      <c r="H197" s="45" t="str">
        <f>Settings!$B$3&amp;".mit.atp."&amp;$C$185&amp;"."&amp;$B197&amp;".e."&amp;$J$185</f>
        <v>egy.mit.atp.mch.coa.e.1</v>
      </c>
      <c r="K197" s="18">
        <f>K187+INDEX(Data_Prices!K:K,MATCH($G197,Data_Prices!$A:$A,0))*K$217</f>
        <v>11.182901589243899</v>
      </c>
      <c r="L197" s="18">
        <f>L187+INDEX(Data_Prices!L:L,MATCH($G197,Data_Prices!$A:$A,0))*L$217</f>
        <v>10.5233613454312</v>
      </c>
      <c r="M197" s="18">
        <f>M187+INDEX(Data_Prices!M:M,MATCH($G197,Data_Prices!$A:$A,0))*M$217</f>
        <v>10.2995608274442</v>
      </c>
      <c r="N197" s="18">
        <f>N187+INDEX(Data_Prices!N:N,MATCH($G197,Data_Prices!$A:$A,0))*N$217</f>
        <v>9.5775283595382597</v>
      </c>
      <c r="O197" s="18">
        <f>O187+INDEX(Data_Prices!O:O,MATCH($G197,Data_Prices!$A:$A,0))*O$217</f>
        <v>8.4854782869580507</v>
      </c>
      <c r="P197" s="18">
        <f>P187+INDEX(Data_Prices!P:P,MATCH($G197,Data_Prices!$A:$A,0))*P$217</f>
        <v>9.0871922352498604</v>
      </c>
      <c r="Q197" s="18">
        <f>Q187+INDEX(Data_Prices!Q:Q,MATCH($G197,Data_Prices!$A:$A,0))*Q$217</f>
        <v>9.2229237289326793</v>
      </c>
      <c r="R197" s="18">
        <f>R187+INDEX(Data_Prices!R:R,MATCH($G197,Data_Prices!$A:$A,0))*R$217</f>
        <v>9.1585649555096893</v>
      </c>
      <c r="S197" s="18">
        <f>S187+INDEX(Data_Prices!S:S,MATCH($G197,Data_Prices!$A:$A,0))*S$217</f>
        <v>9.0895478773973792</v>
      </c>
      <c r="T197" s="18">
        <f>T187+INDEX(Data_Prices!T:T,MATCH($G197,Data_Prices!$A:$A,0))*T$217</f>
        <v>9.0156816660228305</v>
      </c>
      <c r="U197" s="18">
        <f>U187+INDEX(Data_Prices!U:U,MATCH($G197,Data_Prices!$A:$A,0))*U$217</f>
        <v>8.9443977655571096</v>
      </c>
      <c r="V197" s="18">
        <f>V187+INDEX(Data_Prices!V:V,MATCH($G197,Data_Prices!$A:$A,0))*V$217</f>
        <v>8.9443977655571096</v>
      </c>
      <c r="W197" s="18">
        <f>W187+INDEX(Data_Prices!W:W,MATCH($G197,Data_Prices!$A:$A,0))*W$217</f>
        <v>8.9443977655571096</v>
      </c>
      <c r="X197" s="18">
        <f>X187+INDEX(Data_Prices!X:X,MATCH($G197,Data_Prices!$A:$A,0))*X$217</f>
        <v>8.9443977655571096</v>
      </c>
      <c r="Y197" s="18">
        <f>Y187+INDEX(Data_Prices!Y:Y,MATCH($G197,Data_Prices!$A:$A,0))*Y$217</f>
        <v>8.9443977655571096</v>
      </c>
      <c r="Z197" s="18">
        <f>Z187+INDEX(Data_Prices!Z:Z,MATCH($G197,Data_Prices!$A:$A,0))*Z$217</f>
        <v>8.9443977655571096</v>
      </c>
      <c r="AA197" s="18">
        <f>AA187+INDEX(Data_Prices!AA:AA,MATCH($G197,Data_Prices!$A:$A,0))*AA$217</f>
        <v>8.9443977655571096</v>
      </c>
      <c r="AB197" s="18">
        <f>AB187+INDEX(Data_Prices!AB:AB,MATCH($G197,Data_Prices!$A:$A,0))*AB$217</f>
        <v>8.9443977655571096</v>
      </c>
      <c r="AC197" s="18">
        <f>AC187+INDEX(Data_Prices!AC:AC,MATCH($G197,Data_Prices!$A:$A,0))*AC$217</f>
        <v>8.9443977655571096</v>
      </c>
      <c r="AD197" s="18">
        <f>AD187+INDEX(Data_Prices!AD:AD,MATCH($G197,Data_Prices!$A:$A,0))*AD$217</f>
        <v>8.9443977655571096</v>
      </c>
      <c r="AE197" s="18">
        <f>AE187+INDEX(Data_Prices!AE:AE,MATCH($G197,Data_Prices!$A:$A,0))*AE$217</f>
        <v>8.9443977655571096</v>
      </c>
    </row>
    <row r="198" spans="2:31" x14ac:dyDescent="0.45">
      <c r="B198" s="14" t="s">
        <v>53</v>
      </c>
      <c r="C198" s="14" t="str">
        <f t="shared" si="19"/>
        <v>mch</v>
      </c>
      <c r="D198" s="15" t="s">
        <v>54</v>
      </c>
      <c r="E198" s="16" t="s">
        <v>51</v>
      </c>
      <c r="F198" s="14" t="s">
        <v>73</v>
      </c>
      <c r="G198" s="17" t="str">
        <f>Settings!$B$3&amp;".mit.nce."&amp;Settings!$B$4&amp;"."&amp;$B198&amp;".a."&amp;$J$185</f>
        <v>egy.mit.nce.ind.nga.a.1</v>
      </c>
      <c r="H198" s="45" t="str">
        <f>Settings!$B$3&amp;".mit.atp."&amp;$C$185&amp;"."&amp;$B198&amp;".e."&amp;$J$185</f>
        <v>egy.mit.atp.mch.nga.e.1</v>
      </c>
      <c r="K198" s="18">
        <f>K188+INDEX(Data_Prices!K:K,MATCH($G198,Data_Prices!$A:$A,0))*K$217</f>
        <v>6.0634636156729096</v>
      </c>
      <c r="L198" s="18">
        <f>L188+INDEX(Data_Prices!L:L,MATCH($G198,Data_Prices!$A:$A,0))*L$217</f>
        <v>5.4510150816191896</v>
      </c>
      <c r="M198" s="18">
        <f>M188+INDEX(Data_Prices!M:M,MATCH($G198,Data_Prices!$A:$A,0))*M$217</f>
        <v>5.1193563062624801</v>
      </c>
      <c r="N198" s="18">
        <f>N188+INDEX(Data_Prices!N:N,MATCH($G198,Data_Prices!$A:$A,0))*N$217</f>
        <v>5.08218458640407</v>
      </c>
      <c r="O198" s="18">
        <f>O188+INDEX(Data_Prices!O:O,MATCH($G198,Data_Prices!$A:$A,0))*O$217</f>
        <v>5.08218458640407</v>
      </c>
      <c r="P198" s="18">
        <f>P188+INDEX(Data_Prices!P:P,MATCH($G198,Data_Prices!$A:$A,0))*P$217</f>
        <v>5.08218458640407</v>
      </c>
      <c r="Q198" s="18">
        <f>Q188+INDEX(Data_Prices!Q:Q,MATCH($G198,Data_Prices!$A:$A,0))*Q$217</f>
        <v>5.08218458640407</v>
      </c>
      <c r="R198" s="18">
        <f>R188+INDEX(Data_Prices!R:R,MATCH($G198,Data_Prices!$A:$A,0))*R$217</f>
        <v>5.08218458640407</v>
      </c>
      <c r="S198" s="18">
        <f>S188+INDEX(Data_Prices!S:S,MATCH($G198,Data_Prices!$A:$A,0))*S$217</f>
        <v>5.08218458640407</v>
      </c>
      <c r="T198" s="18">
        <f>T188+INDEX(Data_Prices!T:T,MATCH($G198,Data_Prices!$A:$A,0))*T$217</f>
        <v>5.08218458640407</v>
      </c>
      <c r="U198" s="18">
        <f>U188+INDEX(Data_Prices!U:U,MATCH($G198,Data_Prices!$A:$A,0))*U$217</f>
        <v>5.08218458640407</v>
      </c>
      <c r="V198" s="18">
        <f>V188+INDEX(Data_Prices!V:V,MATCH($G198,Data_Prices!$A:$A,0))*V$217</f>
        <v>5.08218458640407</v>
      </c>
      <c r="W198" s="18">
        <f>W188+INDEX(Data_Prices!W:W,MATCH($G198,Data_Prices!$A:$A,0))*W$217</f>
        <v>5.08218458640407</v>
      </c>
      <c r="X198" s="18">
        <f>X188+INDEX(Data_Prices!X:X,MATCH($G198,Data_Prices!$A:$A,0))*X$217</f>
        <v>5.08218458640407</v>
      </c>
      <c r="Y198" s="18">
        <f>Y188+INDEX(Data_Prices!Y:Y,MATCH($G198,Data_Prices!$A:$A,0))*Y$217</f>
        <v>5.08218458640407</v>
      </c>
      <c r="Z198" s="18">
        <f>Z188+INDEX(Data_Prices!Z:Z,MATCH($G198,Data_Prices!$A:$A,0))*Z$217</f>
        <v>5.08218458640407</v>
      </c>
      <c r="AA198" s="18">
        <f>AA188+INDEX(Data_Prices!AA:AA,MATCH($G198,Data_Prices!$A:$A,0))*AA$217</f>
        <v>5.08218458640407</v>
      </c>
      <c r="AB198" s="18">
        <f>AB188+INDEX(Data_Prices!AB:AB,MATCH($G198,Data_Prices!$A:$A,0))*AB$217</f>
        <v>5.08218458640407</v>
      </c>
      <c r="AC198" s="18">
        <f>AC188+INDEX(Data_Prices!AC:AC,MATCH($G198,Data_Prices!$A:$A,0))*AC$217</f>
        <v>5.08218458640407</v>
      </c>
      <c r="AD198" s="18">
        <f>AD188+INDEX(Data_Prices!AD:AD,MATCH($G198,Data_Prices!$A:$A,0))*AD$217</f>
        <v>5.08218458640407</v>
      </c>
      <c r="AE198" s="18">
        <f>AE188+INDEX(Data_Prices!AE:AE,MATCH($G198,Data_Prices!$A:$A,0))*AE$217</f>
        <v>5.08218458640407</v>
      </c>
    </row>
    <row r="199" spans="2:31" x14ac:dyDescent="0.45">
      <c r="B199" s="14" t="s">
        <v>55</v>
      </c>
      <c r="C199" s="14" t="str">
        <f t="shared" si="19"/>
        <v>mch</v>
      </c>
      <c r="D199" s="15" t="s">
        <v>56</v>
      </c>
      <c r="E199" s="16" t="s">
        <v>57</v>
      </c>
      <c r="F199" s="14" t="s">
        <v>73</v>
      </c>
      <c r="G199" s="17" t="str">
        <f>Settings!$B$3&amp;".mit.nce."&amp;Settings!$B$4&amp;"."&amp;$B199&amp;".a."&amp;$J$185</f>
        <v>egy.mit.nce.ind.gso.a.1</v>
      </c>
      <c r="H199" s="45" t="str">
        <f>Settings!$B$3&amp;".mit.atp."&amp;$C$185&amp;"."&amp;$B199&amp;".e."&amp;$J$185</f>
        <v>egy.mit.atp.mch.gso.e.1</v>
      </c>
      <c r="K199" s="18">
        <f>K189+INDEX(Data_Prices!K:K,MATCH($G199,Data_Prices!$A:$A,0))*K$217</f>
        <v>0.67114653332181595</v>
      </c>
      <c r="L199" s="18">
        <f>L189+INDEX(Data_Prices!L:L,MATCH($G199,Data_Prices!$A:$A,0))*L$217</f>
        <v>0.61197797679140598</v>
      </c>
      <c r="M199" s="18">
        <f>M189+INDEX(Data_Prices!M:M,MATCH($G199,Data_Prices!$A:$A,0))*M$217</f>
        <v>0.61180974964187596</v>
      </c>
      <c r="N199" s="18">
        <f>N189+INDEX(Data_Prices!N:N,MATCH($G199,Data_Prices!$A:$A,0))*N$217</f>
        <v>0.60358310017790595</v>
      </c>
      <c r="O199" s="18">
        <f>O189+INDEX(Data_Prices!O:O,MATCH($G199,Data_Prices!$A:$A,0))*O$217</f>
        <v>0.60358310017790595</v>
      </c>
      <c r="P199" s="18">
        <f>P189+INDEX(Data_Prices!P:P,MATCH($G199,Data_Prices!$A:$A,0))*P$217</f>
        <v>0.60358310017790595</v>
      </c>
      <c r="Q199" s="18">
        <f>Q189+INDEX(Data_Prices!Q:Q,MATCH($G199,Data_Prices!$A:$A,0))*Q$217</f>
        <v>0.60358310017790595</v>
      </c>
      <c r="R199" s="18">
        <f>R189+INDEX(Data_Prices!R:R,MATCH($G199,Data_Prices!$A:$A,0))*R$217</f>
        <v>0.60358310017790595</v>
      </c>
      <c r="S199" s="18">
        <f>S189+INDEX(Data_Prices!S:S,MATCH($G199,Data_Prices!$A:$A,0))*S$217</f>
        <v>0.60358310017790595</v>
      </c>
      <c r="T199" s="18">
        <f>T189+INDEX(Data_Prices!T:T,MATCH($G199,Data_Prices!$A:$A,0))*T$217</f>
        <v>0.60358310017790595</v>
      </c>
      <c r="U199" s="18">
        <f>U189+INDEX(Data_Prices!U:U,MATCH($G199,Data_Prices!$A:$A,0))*U$217</f>
        <v>0.60358310017790595</v>
      </c>
      <c r="V199" s="18">
        <f>V189+INDEX(Data_Prices!V:V,MATCH($G199,Data_Prices!$A:$A,0))*V$217</f>
        <v>0.60358310017790595</v>
      </c>
      <c r="W199" s="18">
        <f>W189+INDEX(Data_Prices!W:W,MATCH($G199,Data_Prices!$A:$A,0))*W$217</f>
        <v>0.60358310017790595</v>
      </c>
      <c r="X199" s="18">
        <f>X189+INDEX(Data_Prices!X:X,MATCH($G199,Data_Prices!$A:$A,0))*X$217</f>
        <v>0.60358310017790595</v>
      </c>
      <c r="Y199" s="18">
        <f>Y189+INDEX(Data_Prices!Y:Y,MATCH($G199,Data_Prices!$A:$A,0))*Y$217</f>
        <v>0.60358310017790595</v>
      </c>
      <c r="Z199" s="18">
        <f>Z189+INDEX(Data_Prices!Z:Z,MATCH($G199,Data_Prices!$A:$A,0))*Z$217</f>
        <v>0.60358310017790595</v>
      </c>
      <c r="AA199" s="18">
        <f>AA189+INDEX(Data_Prices!AA:AA,MATCH($G199,Data_Prices!$A:$A,0))*AA$217</f>
        <v>0.60358310017790595</v>
      </c>
      <c r="AB199" s="18">
        <f>AB189+INDEX(Data_Prices!AB:AB,MATCH($G199,Data_Prices!$A:$A,0))*AB$217</f>
        <v>0.60358310017790595</v>
      </c>
      <c r="AC199" s="18">
        <f>AC189+INDEX(Data_Prices!AC:AC,MATCH($G199,Data_Prices!$A:$A,0))*AC$217</f>
        <v>0.60358310017790595</v>
      </c>
      <c r="AD199" s="18">
        <f>AD189+INDEX(Data_Prices!AD:AD,MATCH($G199,Data_Prices!$A:$A,0))*AD$217</f>
        <v>0.60358310017790595</v>
      </c>
      <c r="AE199" s="18">
        <f>AE189+INDEX(Data_Prices!AE:AE,MATCH($G199,Data_Prices!$A:$A,0))*AE$217</f>
        <v>0.60358310017790595</v>
      </c>
    </row>
    <row r="200" spans="2:31" x14ac:dyDescent="0.45">
      <c r="B200" s="14" t="s">
        <v>58</v>
      </c>
      <c r="C200" s="14" t="str">
        <f t="shared" si="19"/>
        <v>mch</v>
      </c>
      <c r="D200" s="15" t="s">
        <v>59</v>
      </c>
      <c r="E200" s="16" t="s">
        <v>57</v>
      </c>
      <c r="F200" s="14" t="s">
        <v>73</v>
      </c>
      <c r="G200" s="17" t="str">
        <f>Settings!$B$3&amp;".mit.nce."&amp;Settings!$B$4&amp;"."&amp;$B200&amp;".a."&amp;$J$185</f>
        <v>egy.mit.nce.ind.die.a.1</v>
      </c>
      <c r="H200" s="45" t="str">
        <f>Settings!$B$3&amp;".mit.atp."&amp;$C$185&amp;"."&amp;$B200&amp;".e."&amp;$J$185</f>
        <v>egy.mit.atp.mch.die.e.1</v>
      </c>
      <c r="K200" s="18">
        <f>K190+INDEX(Data_Prices!K:K,MATCH($G200,Data_Prices!$A:$A,0))*K$217</f>
        <v>0.55971121315568795</v>
      </c>
      <c r="L200" s="18">
        <f>L190+INDEX(Data_Prices!L:L,MATCH($G200,Data_Prices!$A:$A,0))*L$217</f>
        <v>0.49458873084106802</v>
      </c>
      <c r="M200" s="18">
        <f>M190+INDEX(Data_Prices!M:M,MATCH($G200,Data_Prices!$A:$A,0))*M$217</f>
        <v>0.50778654720250105</v>
      </c>
      <c r="N200" s="18">
        <f>N190+INDEX(Data_Prices!N:N,MATCH($G200,Data_Prices!$A:$A,0))*N$217</f>
        <v>0.47043642679561698</v>
      </c>
      <c r="O200" s="18">
        <f>O190+INDEX(Data_Prices!O:O,MATCH($G200,Data_Prices!$A:$A,0))*O$217</f>
        <v>0.47043642679561698</v>
      </c>
      <c r="P200" s="18">
        <f>P190+INDEX(Data_Prices!P:P,MATCH($G200,Data_Prices!$A:$A,0))*P$217</f>
        <v>0.47043642679561698</v>
      </c>
      <c r="Q200" s="18">
        <f>Q190+INDEX(Data_Prices!Q:Q,MATCH($G200,Data_Prices!$A:$A,0))*Q$217</f>
        <v>0.47043642679561698</v>
      </c>
      <c r="R200" s="18">
        <f>R190+INDEX(Data_Prices!R:R,MATCH($G200,Data_Prices!$A:$A,0))*R$217</f>
        <v>0.47043642679561698</v>
      </c>
      <c r="S200" s="18">
        <f>S190+INDEX(Data_Prices!S:S,MATCH($G200,Data_Prices!$A:$A,0))*S$217</f>
        <v>0.47043642679561698</v>
      </c>
      <c r="T200" s="18">
        <f>T190+INDEX(Data_Prices!T:T,MATCH($G200,Data_Prices!$A:$A,0))*T$217</f>
        <v>0.47043642679561698</v>
      </c>
      <c r="U200" s="18">
        <f>U190+INDEX(Data_Prices!U:U,MATCH($G200,Data_Prices!$A:$A,0))*U$217</f>
        <v>0.47043642679561698</v>
      </c>
      <c r="V200" s="18">
        <f>V190+INDEX(Data_Prices!V:V,MATCH($G200,Data_Prices!$A:$A,0))*V$217</f>
        <v>0.47043642679561698</v>
      </c>
      <c r="W200" s="18">
        <f>W190+INDEX(Data_Prices!W:W,MATCH($G200,Data_Prices!$A:$A,0))*W$217</f>
        <v>0.47043642679561698</v>
      </c>
      <c r="X200" s="18">
        <f>X190+INDEX(Data_Prices!X:X,MATCH($G200,Data_Prices!$A:$A,0))*X$217</f>
        <v>0.47043642679561698</v>
      </c>
      <c r="Y200" s="18">
        <f>Y190+INDEX(Data_Prices!Y:Y,MATCH($G200,Data_Prices!$A:$A,0))*Y$217</f>
        <v>0.47043642679561698</v>
      </c>
      <c r="Z200" s="18">
        <f>Z190+INDEX(Data_Prices!Z:Z,MATCH($G200,Data_Prices!$A:$A,0))*Z$217</f>
        <v>0.47043642679561698</v>
      </c>
      <c r="AA200" s="18">
        <f>AA190+INDEX(Data_Prices!AA:AA,MATCH($G200,Data_Prices!$A:$A,0))*AA$217</f>
        <v>0.47043642679561698</v>
      </c>
      <c r="AB200" s="18">
        <f>AB190+INDEX(Data_Prices!AB:AB,MATCH($G200,Data_Prices!$A:$A,0))*AB$217</f>
        <v>0.47043642679561698</v>
      </c>
      <c r="AC200" s="18">
        <f>AC190+INDEX(Data_Prices!AC:AC,MATCH($G200,Data_Prices!$A:$A,0))*AC$217</f>
        <v>0.47043642679561698</v>
      </c>
      <c r="AD200" s="18">
        <f>AD190+INDEX(Data_Prices!AD:AD,MATCH($G200,Data_Prices!$A:$A,0))*AD$217</f>
        <v>0.47043642679561698</v>
      </c>
      <c r="AE200" s="18">
        <f>AE190+INDEX(Data_Prices!AE:AE,MATCH($G200,Data_Prices!$A:$A,0))*AE$217</f>
        <v>0.47043642679561698</v>
      </c>
    </row>
    <row r="201" spans="2:31" x14ac:dyDescent="0.45">
      <c r="B201" s="14" t="s">
        <v>60</v>
      </c>
      <c r="C201" s="14" t="str">
        <f t="shared" si="19"/>
        <v>mch</v>
      </c>
      <c r="D201" s="15" t="s">
        <v>61</v>
      </c>
      <c r="E201" s="16" t="s">
        <v>57</v>
      </c>
      <c r="F201" s="14" t="s">
        <v>73</v>
      </c>
      <c r="G201" s="17" t="str">
        <f>Settings!$B$3&amp;".mit.nce."&amp;Settings!$B$4&amp;"."&amp;$B201&amp;".a."&amp;$J$185</f>
        <v>egy.mit.nce.ind.lpg.a.1</v>
      </c>
      <c r="H201" s="45" t="str">
        <f>Settings!$B$3&amp;".mit.atp."&amp;$C$185&amp;"."&amp;$B201&amp;".e."&amp;$J$185</f>
        <v>egy.mit.atp.mch.lpg.e.1</v>
      </c>
      <c r="K201" s="18">
        <f>K191+INDEX(Data_Prices!K:K,MATCH($G201,Data_Prices!$A:$A,0))*K$217</f>
        <v>0.20036669112673799</v>
      </c>
      <c r="L201" s="18">
        <f>L191+INDEX(Data_Prices!L:L,MATCH($G201,Data_Prices!$A:$A,0))*L$217</f>
        <v>0.15734473625227399</v>
      </c>
      <c r="M201" s="18">
        <f>M191+INDEX(Data_Prices!M:M,MATCH($G201,Data_Prices!$A:$A,0))*M$217</f>
        <v>0.164484037759277</v>
      </c>
      <c r="N201" s="18">
        <f>N191+INDEX(Data_Prices!N:N,MATCH($G201,Data_Prices!$A:$A,0))*N$217</f>
        <v>0.15070907780704901</v>
      </c>
      <c r="O201" s="18">
        <f>O191+INDEX(Data_Prices!O:O,MATCH($G201,Data_Prices!$A:$A,0))*O$217</f>
        <v>0.15070907780704901</v>
      </c>
      <c r="P201" s="18">
        <f>P191+INDEX(Data_Prices!P:P,MATCH($G201,Data_Prices!$A:$A,0))*P$217</f>
        <v>0.15070907780704901</v>
      </c>
      <c r="Q201" s="18">
        <f>Q191+INDEX(Data_Prices!Q:Q,MATCH($G201,Data_Prices!$A:$A,0))*Q$217</f>
        <v>0.15070907780704901</v>
      </c>
      <c r="R201" s="18">
        <f>R191+INDEX(Data_Prices!R:R,MATCH($G201,Data_Prices!$A:$A,0))*R$217</f>
        <v>0.15070907780704901</v>
      </c>
      <c r="S201" s="18">
        <f>S191+INDEX(Data_Prices!S:S,MATCH($G201,Data_Prices!$A:$A,0))*S$217</f>
        <v>0.15070907780704901</v>
      </c>
      <c r="T201" s="18">
        <f>T191+INDEX(Data_Prices!T:T,MATCH($G201,Data_Prices!$A:$A,0))*T$217</f>
        <v>0.15070907780704901</v>
      </c>
      <c r="U201" s="18">
        <f>U191+INDEX(Data_Prices!U:U,MATCH($G201,Data_Prices!$A:$A,0))*U$217</f>
        <v>0.15070907780704901</v>
      </c>
      <c r="V201" s="18">
        <f>V191+INDEX(Data_Prices!V:V,MATCH($G201,Data_Prices!$A:$A,0))*V$217</f>
        <v>0.15070907780704901</v>
      </c>
      <c r="W201" s="18">
        <f>W191+INDEX(Data_Prices!W:W,MATCH($G201,Data_Prices!$A:$A,0))*W$217</f>
        <v>0.15070907780704901</v>
      </c>
      <c r="X201" s="18">
        <f>X191+INDEX(Data_Prices!X:X,MATCH($G201,Data_Prices!$A:$A,0))*X$217</f>
        <v>0.15070907780704901</v>
      </c>
      <c r="Y201" s="18">
        <f>Y191+INDEX(Data_Prices!Y:Y,MATCH($G201,Data_Prices!$A:$A,0))*Y$217</f>
        <v>0.15070907780704901</v>
      </c>
      <c r="Z201" s="18">
        <f>Z191+INDEX(Data_Prices!Z:Z,MATCH($G201,Data_Prices!$A:$A,0))*Z$217</f>
        <v>0.15070907780704901</v>
      </c>
      <c r="AA201" s="18">
        <f>AA191+INDEX(Data_Prices!AA:AA,MATCH($G201,Data_Prices!$A:$A,0))*AA$217</f>
        <v>0.15070907780704901</v>
      </c>
      <c r="AB201" s="18">
        <f>AB191+INDEX(Data_Prices!AB:AB,MATCH($G201,Data_Prices!$A:$A,0))*AB$217</f>
        <v>0.15070907780704901</v>
      </c>
      <c r="AC201" s="18">
        <f>AC191+INDEX(Data_Prices!AC:AC,MATCH($G201,Data_Prices!$A:$A,0))*AC$217</f>
        <v>0.15070907780704901</v>
      </c>
      <c r="AD201" s="18">
        <f>AD191+INDEX(Data_Prices!AD:AD,MATCH($G201,Data_Prices!$A:$A,0))*AD$217</f>
        <v>0.15070907780704901</v>
      </c>
      <c r="AE201" s="18">
        <f>AE191+INDEX(Data_Prices!AE:AE,MATCH($G201,Data_Prices!$A:$A,0))*AE$217</f>
        <v>0.15070907780704901</v>
      </c>
    </row>
    <row r="202" spans="2:31" x14ac:dyDescent="0.45">
      <c r="B202" s="14" t="s">
        <v>62</v>
      </c>
      <c r="C202" s="14" t="str">
        <f t="shared" si="19"/>
        <v>mch</v>
      </c>
      <c r="D202" s="15" t="s">
        <v>63</v>
      </c>
      <c r="E202" s="16" t="s">
        <v>57</v>
      </c>
      <c r="F202" s="14" t="s">
        <v>73</v>
      </c>
      <c r="G202" s="17" t="str">
        <f>Settings!$B$3&amp;".mit.nce."&amp;Settings!$B$4&amp;"."&amp;$B202&amp;".a."&amp;$J$185</f>
        <v>egy.mit.nce.ind.ker.a.1</v>
      </c>
      <c r="H202" s="45" t="str">
        <f>Settings!$B$3&amp;".mit.atp."&amp;$C$185&amp;"."&amp;$B202&amp;".e."&amp;$J$185</f>
        <v>egy.mit.atp.mch.ker.e.1</v>
      </c>
      <c r="K202" s="18">
        <f>K192+INDEX(Data_Prices!K:K,MATCH($G202,Data_Prices!$A:$A,0))*K$217</f>
        <v>0.48429424097343499</v>
      </c>
      <c r="L202" s="18">
        <f>L192+INDEX(Data_Prices!L:L,MATCH($G202,Data_Prices!$A:$A,0))*L$217</f>
        <v>0.45642817050012802</v>
      </c>
      <c r="M202" s="18">
        <f>M192+INDEX(Data_Prices!M:M,MATCH($G202,Data_Prices!$A:$A,0))*M$217</f>
        <v>0.43168920195599497</v>
      </c>
      <c r="N202" s="18">
        <f>N192+INDEX(Data_Prices!N:N,MATCH($G202,Data_Prices!$A:$A,0))*N$217</f>
        <v>0.42507558395597</v>
      </c>
      <c r="O202" s="18">
        <f>O192+INDEX(Data_Prices!O:O,MATCH($G202,Data_Prices!$A:$A,0))*O$217</f>
        <v>0.42507558395597</v>
      </c>
      <c r="P202" s="18">
        <f>P192+INDEX(Data_Prices!P:P,MATCH($G202,Data_Prices!$A:$A,0))*P$217</f>
        <v>0.42507558395597</v>
      </c>
      <c r="Q202" s="18">
        <f>Q192+INDEX(Data_Prices!Q:Q,MATCH($G202,Data_Prices!$A:$A,0))*Q$217</f>
        <v>0.42507558395597</v>
      </c>
      <c r="R202" s="18">
        <f>R192+INDEX(Data_Prices!R:R,MATCH($G202,Data_Prices!$A:$A,0))*R$217</f>
        <v>0.42507558395597</v>
      </c>
      <c r="S202" s="18">
        <f>S192+INDEX(Data_Prices!S:S,MATCH($G202,Data_Prices!$A:$A,0))*S$217</f>
        <v>0.42507558395597</v>
      </c>
      <c r="T202" s="18">
        <f>T192+INDEX(Data_Prices!T:T,MATCH($G202,Data_Prices!$A:$A,0))*T$217</f>
        <v>0.42507558395597</v>
      </c>
      <c r="U202" s="18">
        <f>U192+INDEX(Data_Prices!U:U,MATCH($G202,Data_Prices!$A:$A,0))*U$217</f>
        <v>0.42507558395597</v>
      </c>
      <c r="V202" s="18">
        <f>V192+INDEX(Data_Prices!V:V,MATCH($G202,Data_Prices!$A:$A,0))*V$217</f>
        <v>0.42507558395597</v>
      </c>
      <c r="W202" s="18">
        <f>W192+INDEX(Data_Prices!W:W,MATCH($G202,Data_Prices!$A:$A,0))*W$217</f>
        <v>0.42507558395597</v>
      </c>
      <c r="X202" s="18">
        <f>X192+INDEX(Data_Prices!X:X,MATCH($G202,Data_Prices!$A:$A,0))*X$217</f>
        <v>0.42507558395597</v>
      </c>
      <c r="Y202" s="18">
        <f>Y192+INDEX(Data_Prices!Y:Y,MATCH($G202,Data_Prices!$A:$A,0))*Y$217</f>
        <v>0.42507558395597</v>
      </c>
      <c r="Z202" s="18">
        <f>Z192+INDEX(Data_Prices!Z:Z,MATCH($G202,Data_Prices!$A:$A,0))*Z$217</f>
        <v>0.42507558395597</v>
      </c>
      <c r="AA202" s="18">
        <f>AA192+INDEX(Data_Prices!AA:AA,MATCH($G202,Data_Prices!$A:$A,0))*AA$217</f>
        <v>0.42507558395597</v>
      </c>
      <c r="AB202" s="18">
        <f>AB192+INDEX(Data_Prices!AB:AB,MATCH($G202,Data_Prices!$A:$A,0))*AB$217</f>
        <v>0.42507558395597</v>
      </c>
      <c r="AC202" s="18">
        <f>AC192+INDEX(Data_Prices!AC:AC,MATCH($G202,Data_Prices!$A:$A,0))*AC$217</f>
        <v>0.42507558395597</v>
      </c>
      <c r="AD202" s="18">
        <f>AD192+INDEX(Data_Prices!AD:AD,MATCH($G202,Data_Prices!$A:$A,0))*AD$217</f>
        <v>0.42507558395597</v>
      </c>
      <c r="AE202" s="18">
        <f>AE192+INDEX(Data_Prices!AE:AE,MATCH($G202,Data_Prices!$A:$A,0))*AE$217</f>
        <v>0.42507558395597</v>
      </c>
    </row>
    <row r="203" spans="2:31" x14ac:dyDescent="0.45">
      <c r="B203" s="14" t="s">
        <v>64</v>
      </c>
      <c r="C203" s="14" t="str">
        <f t="shared" si="19"/>
        <v>mch</v>
      </c>
      <c r="D203" s="15" t="s">
        <v>65</v>
      </c>
      <c r="E203" s="16" t="s">
        <v>66</v>
      </c>
      <c r="F203" s="14" t="s">
        <v>73</v>
      </c>
      <c r="G203" s="17" t="str">
        <f>Settings!$B$3&amp;".mit.nce."&amp;Settings!$B$4&amp;"."&amp;$B203&amp;".a."&amp;$J$185</f>
        <v>egy.mit.nce.ind.oop.a.1</v>
      </c>
      <c r="H203" s="45" t="str">
        <f>Settings!$B$3&amp;".mit.atp."&amp;$C$185&amp;"."&amp;$B203&amp;".e."&amp;$J$185</f>
        <v>egy.mit.atp.mch.oop.e.1</v>
      </c>
      <c r="K203" s="18">
        <f>K193+INDEX(Data_Prices!K:K,MATCH($G203,Data_Prices!$A:$A,0))*K$217</f>
        <v>41.500338498868402</v>
      </c>
      <c r="L203" s="18">
        <f>L193+INDEX(Data_Prices!L:L,MATCH($G203,Data_Prices!$A:$A,0))*L$217</f>
        <v>34.4153703043132</v>
      </c>
      <c r="M203" s="18">
        <f>M193+INDEX(Data_Prices!M:M,MATCH($G203,Data_Prices!$A:$A,0))*M$217</f>
        <v>37.368960690431997</v>
      </c>
      <c r="N203" s="18">
        <f>N193+INDEX(Data_Prices!N:N,MATCH($G203,Data_Prices!$A:$A,0))*N$217</f>
        <v>28.982761101477301</v>
      </c>
      <c r="O203" s="18">
        <f>O193+INDEX(Data_Prices!O:O,MATCH($G203,Data_Prices!$A:$A,0))*O$217</f>
        <v>15</v>
      </c>
      <c r="P203" s="18">
        <f>P193+INDEX(Data_Prices!P:P,MATCH($G203,Data_Prices!$A:$A,0))*P$217</f>
        <v>24.2586300842555</v>
      </c>
      <c r="Q203" s="18">
        <f>Q193+INDEX(Data_Prices!Q:Q,MATCH($G203,Data_Prices!$A:$A,0))*Q$217</f>
        <v>15</v>
      </c>
      <c r="R203" s="18">
        <f>R193+INDEX(Data_Prices!R:R,MATCH($G203,Data_Prices!$A:$A,0))*R$217</f>
        <v>15</v>
      </c>
      <c r="S203" s="18">
        <f>S193+INDEX(Data_Prices!S:S,MATCH($G203,Data_Prices!$A:$A,0))*S$217</f>
        <v>15</v>
      </c>
      <c r="T203" s="18">
        <f>T193+INDEX(Data_Prices!T:T,MATCH($G203,Data_Prices!$A:$A,0))*T$217</f>
        <v>15</v>
      </c>
      <c r="U203" s="18">
        <f>U193+INDEX(Data_Prices!U:U,MATCH($G203,Data_Prices!$A:$A,0))*U$217</f>
        <v>15</v>
      </c>
      <c r="V203" s="18">
        <f>V193+INDEX(Data_Prices!V:V,MATCH($G203,Data_Prices!$A:$A,0))*V$217</f>
        <v>15</v>
      </c>
      <c r="W203" s="18">
        <f>W193+INDEX(Data_Prices!W:W,MATCH($G203,Data_Prices!$A:$A,0))*W$217</f>
        <v>15</v>
      </c>
      <c r="X203" s="18">
        <f>X193+INDEX(Data_Prices!X:X,MATCH($G203,Data_Prices!$A:$A,0))*X$217</f>
        <v>15</v>
      </c>
      <c r="Y203" s="18">
        <f>Y193+INDEX(Data_Prices!Y:Y,MATCH($G203,Data_Prices!$A:$A,0))*Y$217</f>
        <v>15</v>
      </c>
      <c r="Z203" s="18">
        <f>Z193+INDEX(Data_Prices!Z:Z,MATCH($G203,Data_Prices!$A:$A,0))*Z$217</f>
        <v>15</v>
      </c>
      <c r="AA203" s="18">
        <f>AA193+INDEX(Data_Prices!AA:AA,MATCH($G203,Data_Prices!$A:$A,0))*AA$217</f>
        <v>15</v>
      </c>
      <c r="AB203" s="18">
        <f>AB193+INDEX(Data_Prices!AB:AB,MATCH($G203,Data_Prices!$A:$A,0))*AB$217</f>
        <v>15</v>
      </c>
      <c r="AC203" s="18">
        <f>AC193+INDEX(Data_Prices!AC:AC,MATCH($G203,Data_Prices!$A:$A,0))*AC$217</f>
        <v>15</v>
      </c>
      <c r="AD203" s="18">
        <f>AD193+INDEX(Data_Prices!AD:AD,MATCH($G203,Data_Prices!$A:$A,0))*AD$217</f>
        <v>15</v>
      </c>
      <c r="AE203" s="18">
        <f>AE193+INDEX(Data_Prices!AE:AE,MATCH($G203,Data_Prices!$A:$A,0))*AE$217</f>
        <v>15</v>
      </c>
    </row>
    <row r="204" spans="2:31" x14ac:dyDescent="0.45">
      <c r="B204" s="14" t="s">
        <v>67</v>
      </c>
      <c r="C204" s="14" t="str">
        <f t="shared" si="19"/>
        <v>mch</v>
      </c>
      <c r="D204" s="15" t="s">
        <v>68</v>
      </c>
      <c r="E204" s="16" t="s">
        <v>51</v>
      </c>
      <c r="F204" s="14" t="s">
        <v>73</v>
      </c>
      <c r="G204" s="17" t="str">
        <f>Settings!$B$3&amp;".mit.nce."&amp;Settings!$B$4&amp;"."&amp;$B204&amp;".a."&amp;$J$185</f>
        <v>egy.mit.nce.ind.bio.a.1</v>
      </c>
      <c r="H204" s="45" t="str">
        <f>Settings!$B$3&amp;".mit.atp."&amp;$C$185&amp;"."&amp;$B204&amp;".e."&amp;$J$185</f>
        <v>egy.mit.atp.mch.bio.e.1</v>
      </c>
      <c r="K204" s="18">
        <f>K194+INDEX(Data_Prices!K:K,MATCH($G204,Data_Prices!$A:$A,0))*K$217</f>
        <v>15.3345505293169</v>
      </c>
      <c r="L204" s="18">
        <f>L194+INDEX(Data_Prices!L:L,MATCH($G204,Data_Prices!$A:$A,0))*L$217</f>
        <v>14.199528390634899</v>
      </c>
      <c r="M204" s="18">
        <f>M194+INDEX(Data_Prices!M:M,MATCH($G204,Data_Prices!$A:$A,0))*M$217</f>
        <v>13.8404416133152</v>
      </c>
      <c r="N204" s="18">
        <f>N194+INDEX(Data_Prices!N:N,MATCH($G204,Data_Prices!$A:$A,0))*N$217</f>
        <v>13.5677269404465</v>
      </c>
      <c r="O204" s="18">
        <f>O194+INDEX(Data_Prices!O:O,MATCH($G204,Data_Prices!$A:$A,0))*O$217</f>
        <v>13.5677269404465</v>
      </c>
      <c r="P204" s="18">
        <f>P194+INDEX(Data_Prices!P:P,MATCH($G204,Data_Prices!$A:$A,0))*P$217</f>
        <v>13.5677269404465</v>
      </c>
      <c r="Q204" s="18">
        <f>Q194+INDEX(Data_Prices!Q:Q,MATCH($G204,Data_Prices!$A:$A,0))*Q$217</f>
        <v>13.5677269404465</v>
      </c>
      <c r="R204" s="18">
        <f>R194+INDEX(Data_Prices!R:R,MATCH($G204,Data_Prices!$A:$A,0))*R$217</f>
        <v>13.5677269404465</v>
      </c>
      <c r="S204" s="18">
        <f>S194+INDEX(Data_Prices!S:S,MATCH($G204,Data_Prices!$A:$A,0))*S$217</f>
        <v>13.5677269404465</v>
      </c>
      <c r="T204" s="18">
        <f>T194+INDEX(Data_Prices!T:T,MATCH($G204,Data_Prices!$A:$A,0))*T$217</f>
        <v>13.5677269404465</v>
      </c>
      <c r="U204" s="18">
        <f>U194+INDEX(Data_Prices!U:U,MATCH($G204,Data_Prices!$A:$A,0))*U$217</f>
        <v>13.5677269404465</v>
      </c>
      <c r="V204" s="18">
        <f>V194+INDEX(Data_Prices!V:V,MATCH($G204,Data_Prices!$A:$A,0))*V$217</f>
        <v>13.5677269404465</v>
      </c>
      <c r="W204" s="18">
        <f>W194+INDEX(Data_Prices!W:W,MATCH($G204,Data_Prices!$A:$A,0))*W$217</f>
        <v>13.5677269404465</v>
      </c>
      <c r="X204" s="18">
        <f>X194+INDEX(Data_Prices!X:X,MATCH($G204,Data_Prices!$A:$A,0))*X$217</f>
        <v>13.5677269404465</v>
      </c>
      <c r="Y204" s="18">
        <f>Y194+INDEX(Data_Prices!Y:Y,MATCH($G204,Data_Prices!$A:$A,0))*Y$217</f>
        <v>13.5677269404465</v>
      </c>
      <c r="Z204" s="18">
        <f>Z194+INDEX(Data_Prices!Z:Z,MATCH($G204,Data_Prices!$A:$A,0))*Z$217</f>
        <v>13.5677269404465</v>
      </c>
      <c r="AA204" s="18">
        <f>AA194+INDEX(Data_Prices!AA:AA,MATCH($G204,Data_Prices!$A:$A,0))*AA$217</f>
        <v>13.5677269404465</v>
      </c>
      <c r="AB204" s="18">
        <f>AB194+INDEX(Data_Prices!AB:AB,MATCH($G204,Data_Prices!$A:$A,0))*AB$217</f>
        <v>13.5677269404465</v>
      </c>
      <c r="AC204" s="18">
        <f>AC194+INDEX(Data_Prices!AC:AC,MATCH($G204,Data_Prices!$A:$A,0))*AC$217</f>
        <v>13.5677269404465</v>
      </c>
      <c r="AD204" s="18">
        <f>AD194+INDEX(Data_Prices!AD:AD,MATCH($G204,Data_Prices!$A:$A,0))*AD$217</f>
        <v>13.5677269404465</v>
      </c>
      <c r="AE204" s="18">
        <f>AE194+INDEX(Data_Prices!AE:AE,MATCH($G204,Data_Prices!$A:$A,0))*AE$217</f>
        <v>13.5677269404465</v>
      </c>
    </row>
    <row r="205" spans="2:31" x14ac:dyDescent="0.45">
      <c r="B205" s="14" t="s">
        <v>69</v>
      </c>
      <c r="C205" s="14" t="str">
        <f t="shared" si="19"/>
        <v>mch</v>
      </c>
      <c r="D205" s="15" t="s">
        <v>70</v>
      </c>
      <c r="E205" s="16" t="s">
        <v>71</v>
      </c>
      <c r="F205" s="14" t="s">
        <v>73</v>
      </c>
      <c r="G205" s="17" t="str">
        <f>Settings!$B$3&amp;".mit.nce."&amp;Settings!$B$4&amp;"."&amp;$B205&amp;".a."&amp;$J$185</f>
        <v>egy.mit.nce.ind.ren.a.1</v>
      </c>
      <c r="H205" s="45" t="str">
        <f>Settings!$B$3&amp;".mit.atp."&amp;$C$185&amp;"."&amp;$B205&amp;".e."&amp;$J$185</f>
        <v>egy.mit.atp.mch.ren.e.1</v>
      </c>
      <c r="K205" s="18">
        <f>K195+INDEX(Data_Prices!K:K,MATCH($G205,Data_Prices!$A:$A,0))*K$217</f>
        <v>0</v>
      </c>
      <c r="L205" s="18">
        <f>L195+INDEX(Data_Prices!L:L,MATCH($G205,Data_Prices!$A:$A,0))*L$217</f>
        <v>0.14404498679319799</v>
      </c>
      <c r="M205" s="18">
        <f>M195+INDEX(Data_Prices!M:M,MATCH($G205,Data_Prices!$A:$A,0))*M$217</f>
        <v>0.14102040965700399</v>
      </c>
      <c r="N205" s="18">
        <f>N195+INDEX(Data_Prices!N:N,MATCH($G205,Data_Prices!$A:$A,0))*N$217</f>
        <v>0.13511635959447599</v>
      </c>
      <c r="O205" s="18">
        <f>O195+INDEX(Data_Prices!O:O,MATCH($G205,Data_Prices!$A:$A,0))*O$217</f>
        <v>0.13098825698585601</v>
      </c>
      <c r="P205" s="18">
        <f>P195+INDEX(Data_Prices!P:P,MATCH($G205,Data_Prices!$A:$A,0))*P$217</f>
        <v>0.12790841608631801</v>
      </c>
      <c r="Q205" s="18">
        <f>Q195+INDEX(Data_Prices!Q:Q,MATCH($G205,Data_Prices!$A:$A,0))*Q$217</f>
        <v>0.124814310557813</v>
      </c>
      <c r="R205" s="18">
        <f>R195+INDEX(Data_Prices!R:R,MATCH($G205,Data_Prices!$A:$A,0))*R$217</f>
        <v>0.121460257122878</v>
      </c>
      <c r="S205" s="18">
        <f>S195+INDEX(Data_Prices!S:S,MATCH($G205,Data_Prices!$A:$A,0))*S$217</f>
        <v>0.117950744135786</v>
      </c>
      <c r="T205" s="18">
        <f>T195+INDEX(Data_Prices!T:T,MATCH($G205,Data_Prices!$A:$A,0))*T$217</f>
        <v>0.114199161044597</v>
      </c>
      <c r="U205" s="18">
        <f>U195+INDEX(Data_Prices!U:U,MATCH($G205,Data_Prices!$A:$A,0))*U$217</f>
        <v>0.113665100059665</v>
      </c>
      <c r="V205" s="18">
        <f>V195+INDEX(Data_Prices!V:V,MATCH($G205,Data_Prices!$A:$A,0))*V$217</f>
        <v>0.113016929625957</v>
      </c>
      <c r="W205" s="18">
        <f>W195+INDEX(Data_Prices!W:W,MATCH($G205,Data_Prices!$A:$A,0))*W$217</f>
        <v>0.112314070507636</v>
      </c>
      <c r="X205" s="18">
        <f>X195+INDEX(Data_Prices!X:X,MATCH($G205,Data_Prices!$A:$A,0))*X$217</f>
        <v>0.11142204273284299</v>
      </c>
      <c r="Y205" s="18">
        <f>Y195+INDEX(Data_Prices!Y:Y,MATCH($G205,Data_Prices!$A:$A,0))*Y$217</f>
        <v>0.110434123675809</v>
      </c>
      <c r="Z205" s="18">
        <f>Z195+INDEX(Data_Prices!Z:Z,MATCH($G205,Data_Prices!$A:$A,0))*Z$217</f>
        <v>0.109483973304471</v>
      </c>
      <c r="AA205" s="18">
        <f>AA195+INDEX(Data_Prices!AA:AA,MATCH($G205,Data_Prices!$A:$A,0))*AA$217</f>
        <v>0.10839192105294</v>
      </c>
      <c r="AB205" s="18">
        <f>AB195+INDEX(Data_Prices!AB:AB,MATCH($G205,Data_Prices!$A:$A,0))*AB$217</f>
        <v>0.10735443362670399</v>
      </c>
      <c r="AC205" s="18">
        <f>AC195+INDEX(Data_Prices!AC:AC,MATCH($G205,Data_Prices!$A:$A,0))*AC$217</f>
        <v>0.105168675441661</v>
      </c>
      <c r="AD205" s="18">
        <f>AD195+INDEX(Data_Prices!AD:AD,MATCH($G205,Data_Prices!$A:$A,0))*AD$217</f>
        <v>0.103057983256008</v>
      </c>
      <c r="AE205" s="18">
        <f>AE195+INDEX(Data_Prices!AE:AE,MATCH($G205,Data_Prices!$A:$A,0))*AE$217</f>
        <v>0.100931838990114</v>
      </c>
    </row>
    <row r="206" spans="2:31" x14ac:dyDescent="0.45">
      <c r="B206" s="13" t="s">
        <v>74</v>
      </c>
    </row>
    <row r="207" spans="2:31" x14ac:dyDescent="0.45">
      <c r="B207" s="14" t="s">
        <v>49</v>
      </c>
      <c r="C207" s="14" t="str">
        <f t="shared" ref="C207:C215" si="20">$C$185</f>
        <v>mch</v>
      </c>
      <c r="D207" s="15" t="s">
        <v>50</v>
      </c>
      <c r="E207" s="16" t="s">
        <v>51</v>
      </c>
      <c r="F207" s="14" t="s">
        <v>75</v>
      </c>
      <c r="G207" s="17" t="str">
        <f>Settings!$B$3&amp;".mit.shp."&amp;$B207&amp;"."&amp;Settings!$B$4&amp;"."&amp;$J$185</f>
        <v>egy.mit.shp.coa.ind.1</v>
      </c>
      <c r="H207" s="45" t="str">
        <f>Settings!$B$3&amp;".mit.shp."&amp;$C$185&amp;"."&amp;$B207&amp;".e."&amp;$J$185</f>
        <v>egy.mit.shp.mch.coa.e.1</v>
      </c>
      <c r="K207" s="19">
        <f>K197+INDEX(Data_Prices!K:K,MATCH($G207,Data_Prices!$A:$A,0))*K$218</f>
        <v>11.182901589243899</v>
      </c>
      <c r="L207" s="19">
        <f>L197+INDEX(Data_Prices!L:L,MATCH($G207,Data_Prices!$A:$A,0))*L$218</f>
        <v>10.5233613454312</v>
      </c>
      <c r="M207" s="19">
        <f>M197+INDEX(Data_Prices!M:M,MATCH($G207,Data_Prices!$A:$A,0))*M$218</f>
        <v>10.2995608274442</v>
      </c>
      <c r="N207" s="19">
        <f>N197+INDEX(Data_Prices!N:N,MATCH($G207,Data_Prices!$A:$A,0))*N$218</f>
        <v>9.5775283595382597</v>
      </c>
      <c r="O207" s="19">
        <f>O197+INDEX(Data_Prices!O:O,MATCH($G207,Data_Prices!$A:$A,0))*O$218</f>
        <v>8.4854782869580507</v>
      </c>
      <c r="P207" s="19">
        <f>P197+INDEX(Data_Prices!P:P,MATCH($G207,Data_Prices!$A:$A,0))*P$218</f>
        <v>9.0871922352498604</v>
      </c>
      <c r="Q207" s="19">
        <f>Q197+INDEX(Data_Prices!Q:Q,MATCH($G207,Data_Prices!$A:$A,0))*Q$218</f>
        <v>9.2229237289326793</v>
      </c>
      <c r="R207" s="19">
        <f>R197+INDEX(Data_Prices!R:R,MATCH($G207,Data_Prices!$A:$A,0))*R$218</f>
        <v>9.1585649555096893</v>
      </c>
      <c r="S207" s="19">
        <f>S197+INDEX(Data_Prices!S:S,MATCH($G207,Data_Prices!$A:$A,0))*S$218</f>
        <v>9.0895478773973792</v>
      </c>
      <c r="T207" s="19">
        <f>T197+INDEX(Data_Prices!T:T,MATCH($G207,Data_Prices!$A:$A,0))*T$218</f>
        <v>9.0156816660228305</v>
      </c>
      <c r="U207" s="19">
        <f>U197+INDEX(Data_Prices!U:U,MATCH($G207,Data_Prices!$A:$A,0))*U$218</f>
        <v>8.9443977655571096</v>
      </c>
      <c r="V207" s="19">
        <f>V197+INDEX(Data_Prices!V:V,MATCH($G207,Data_Prices!$A:$A,0))*V$218</f>
        <v>8.9443977655571096</v>
      </c>
      <c r="W207" s="19">
        <f>W197+INDEX(Data_Prices!W:W,MATCH($G207,Data_Prices!$A:$A,0))*W$218</f>
        <v>8.9443977655571096</v>
      </c>
      <c r="X207" s="19">
        <f>X197+INDEX(Data_Prices!X:X,MATCH($G207,Data_Prices!$A:$A,0))*X$218</f>
        <v>8.9443977655571096</v>
      </c>
      <c r="Y207" s="19">
        <f>Y197+INDEX(Data_Prices!Y:Y,MATCH($G207,Data_Prices!$A:$A,0))*Y$218</f>
        <v>8.9443977655571096</v>
      </c>
      <c r="Z207" s="19">
        <f>Z197+INDEX(Data_Prices!Z:Z,MATCH($G207,Data_Prices!$A:$A,0))*Z$218</f>
        <v>8.9443977655571096</v>
      </c>
      <c r="AA207" s="19">
        <f>AA197+INDEX(Data_Prices!AA:AA,MATCH($G207,Data_Prices!$A:$A,0))*AA$218</f>
        <v>8.9443977655571096</v>
      </c>
      <c r="AB207" s="19">
        <f>AB197+INDEX(Data_Prices!AB:AB,MATCH($G207,Data_Prices!$A:$A,0))*AB$218</f>
        <v>8.9443977655571096</v>
      </c>
      <c r="AC207" s="19">
        <f>AC197+INDEX(Data_Prices!AC:AC,MATCH($G207,Data_Prices!$A:$A,0))*AC$218</f>
        <v>8.9443977655571096</v>
      </c>
      <c r="AD207" s="19">
        <f>AD197+INDEX(Data_Prices!AD:AD,MATCH($G207,Data_Prices!$A:$A,0))*AD$218</f>
        <v>8.9443977655571096</v>
      </c>
      <c r="AE207" s="19">
        <f>AE197+INDEX(Data_Prices!AE:AE,MATCH($G207,Data_Prices!$A:$A,0))*AE$218</f>
        <v>8.9443977655571096</v>
      </c>
    </row>
    <row r="208" spans="2:31" x14ac:dyDescent="0.45">
      <c r="B208" s="14" t="s">
        <v>53</v>
      </c>
      <c r="C208" s="14" t="str">
        <f t="shared" si="20"/>
        <v>mch</v>
      </c>
      <c r="D208" s="15" t="s">
        <v>54</v>
      </c>
      <c r="E208" s="16" t="s">
        <v>51</v>
      </c>
      <c r="F208" s="14" t="s">
        <v>75</v>
      </c>
      <c r="G208" s="17" t="str">
        <f>Settings!$B$3&amp;".mit.shp."&amp;$B208&amp;"."&amp;Settings!$B$4&amp;"."&amp;$J$185</f>
        <v>egy.mit.shp.nga.ind.1</v>
      </c>
      <c r="H208" s="45" t="str">
        <f>Settings!$B$3&amp;".mit.shp."&amp;$C$185&amp;"."&amp;$B208&amp;".e."&amp;$J$185</f>
        <v>egy.mit.shp.mch.nga.e.1</v>
      </c>
      <c r="K208" s="19">
        <f>K198+INDEX(Data_Prices!K:K,MATCH($G208,Data_Prices!$A:$A,0))*K$218</f>
        <v>6.0634636156729096</v>
      </c>
      <c r="L208" s="19">
        <f>L198+INDEX(Data_Prices!L:L,MATCH($G208,Data_Prices!$A:$A,0))*L$218</f>
        <v>5.4510150816191896</v>
      </c>
      <c r="M208" s="19">
        <f>M198+INDEX(Data_Prices!M:M,MATCH($G208,Data_Prices!$A:$A,0))*M$218</f>
        <v>5.1193563062624801</v>
      </c>
      <c r="N208" s="19">
        <f>N198+INDEX(Data_Prices!N:N,MATCH($G208,Data_Prices!$A:$A,0))*N$218</f>
        <v>5.08218458640407</v>
      </c>
      <c r="O208" s="19">
        <f>O198+INDEX(Data_Prices!O:O,MATCH($G208,Data_Prices!$A:$A,0))*O$218</f>
        <v>5.08218458640407</v>
      </c>
      <c r="P208" s="19">
        <f>P198+INDEX(Data_Prices!P:P,MATCH($G208,Data_Prices!$A:$A,0))*P$218</f>
        <v>5.08218458640407</v>
      </c>
      <c r="Q208" s="19">
        <f>Q198+INDEX(Data_Prices!Q:Q,MATCH($G208,Data_Prices!$A:$A,0))*Q$218</f>
        <v>5.08218458640407</v>
      </c>
      <c r="R208" s="19">
        <f>R198+INDEX(Data_Prices!R:R,MATCH($G208,Data_Prices!$A:$A,0))*R$218</f>
        <v>5.08218458640407</v>
      </c>
      <c r="S208" s="19">
        <f>S198+INDEX(Data_Prices!S:S,MATCH($G208,Data_Prices!$A:$A,0))*S$218</f>
        <v>5.08218458640407</v>
      </c>
      <c r="T208" s="19">
        <f>T198+INDEX(Data_Prices!T:T,MATCH($G208,Data_Prices!$A:$A,0))*T$218</f>
        <v>5.08218458640407</v>
      </c>
      <c r="U208" s="19">
        <f>U198+INDEX(Data_Prices!U:U,MATCH($G208,Data_Prices!$A:$A,0))*U$218</f>
        <v>5.08218458640407</v>
      </c>
      <c r="V208" s="19">
        <f>V198+INDEX(Data_Prices!V:V,MATCH($G208,Data_Prices!$A:$A,0))*V$218</f>
        <v>5.08218458640407</v>
      </c>
      <c r="W208" s="19">
        <f>W198+INDEX(Data_Prices!W:W,MATCH($G208,Data_Prices!$A:$A,0))*W$218</f>
        <v>5.08218458640407</v>
      </c>
      <c r="X208" s="19">
        <f>X198+INDEX(Data_Prices!X:X,MATCH($G208,Data_Prices!$A:$A,0))*X$218</f>
        <v>5.08218458640407</v>
      </c>
      <c r="Y208" s="19">
        <f>Y198+INDEX(Data_Prices!Y:Y,MATCH($G208,Data_Prices!$A:$A,0))*Y$218</f>
        <v>5.08218458640407</v>
      </c>
      <c r="Z208" s="19">
        <f>Z198+INDEX(Data_Prices!Z:Z,MATCH($G208,Data_Prices!$A:$A,0))*Z$218</f>
        <v>5.08218458640407</v>
      </c>
      <c r="AA208" s="19">
        <f>AA198+INDEX(Data_Prices!AA:AA,MATCH($G208,Data_Prices!$A:$A,0))*AA$218</f>
        <v>5.08218458640407</v>
      </c>
      <c r="AB208" s="19">
        <f>AB198+INDEX(Data_Prices!AB:AB,MATCH($G208,Data_Prices!$A:$A,0))*AB$218</f>
        <v>5.08218458640407</v>
      </c>
      <c r="AC208" s="19">
        <f>AC198+INDEX(Data_Prices!AC:AC,MATCH($G208,Data_Prices!$A:$A,0))*AC$218</f>
        <v>5.08218458640407</v>
      </c>
      <c r="AD208" s="19">
        <f>AD198+INDEX(Data_Prices!AD:AD,MATCH($G208,Data_Prices!$A:$A,0))*AD$218</f>
        <v>5.08218458640407</v>
      </c>
      <c r="AE208" s="19">
        <f>AE198+INDEX(Data_Prices!AE:AE,MATCH($G208,Data_Prices!$A:$A,0))*AE$218</f>
        <v>5.08218458640407</v>
      </c>
    </row>
    <row r="209" spans="2:31" x14ac:dyDescent="0.45">
      <c r="B209" s="14" t="s">
        <v>55</v>
      </c>
      <c r="C209" s="14" t="str">
        <f t="shared" si="20"/>
        <v>mch</v>
      </c>
      <c r="D209" s="15" t="s">
        <v>56</v>
      </c>
      <c r="E209" s="16" t="s">
        <v>57</v>
      </c>
      <c r="F209" s="14" t="s">
        <v>75</v>
      </c>
      <c r="G209" s="17" t="str">
        <f>Settings!$B$3&amp;".mit.shp."&amp;$B209&amp;"."&amp;Settings!$B$4&amp;"."&amp;$J$185</f>
        <v>egy.mit.shp.gso.ind.1</v>
      </c>
      <c r="H209" s="45" t="str">
        <f>Settings!$B$3&amp;".mit.shp."&amp;$C$185&amp;"."&amp;$B209&amp;".e."&amp;$J$185</f>
        <v>egy.mit.shp.mch.gso.e.1</v>
      </c>
      <c r="K209" s="19">
        <f>K199+INDEX(Data_Prices!K:K,MATCH($G209,Data_Prices!$A:$A,0))*K$218</f>
        <v>0.67114653332181595</v>
      </c>
      <c r="L209" s="19">
        <f>L199+INDEX(Data_Prices!L:L,MATCH($G209,Data_Prices!$A:$A,0))*L$218</f>
        <v>0.61197797679140598</v>
      </c>
      <c r="M209" s="19">
        <f>M199+INDEX(Data_Prices!M:M,MATCH($G209,Data_Prices!$A:$A,0))*M$218</f>
        <v>0.61180974964187596</v>
      </c>
      <c r="N209" s="19">
        <f>N199+INDEX(Data_Prices!N:N,MATCH($G209,Data_Prices!$A:$A,0))*N$218</f>
        <v>0.60358310017790595</v>
      </c>
      <c r="O209" s="19">
        <f>O199+INDEX(Data_Prices!O:O,MATCH($G209,Data_Prices!$A:$A,0))*O$218</f>
        <v>0.60358310017790595</v>
      </c>
      <c r="P209" s="19">
        <f>P199+INDEX(Data_Prices!P:P,MATCH($G209,Data_Prices!$A:$A,0))*P$218</f>
        <v>0.60358310017790595</v>
      </c>
      <c r="Q209" s="19">
        <f>Q199+INDEX(Data_Prices!Q:Q,MATCH($G209,Data_Prices!$A:$A,0))*Q$218</f>
        <v>0.60358310017790595</v>
      </c>
      <c r="R209" s="19">
        <f>R199+INDEX(Data_Prices!R:R,MATCH($G209,Data_Prices!$A:$A,0))*R$218</f>
        <v>0.60358310017790595</v>
      </c>
      <c r="S209" s="19">
        <f>S199+INDEX(Data_Prices!S:S,MATCH($G209,Data_Prices!$A:$A,0))*S$218</f>
        <v>0.60358310017790595</v>
      </c>
      <c r="T209" s="19">
        <f>T199+INDEX(Data_Prices!T:T,MATCH($G209,Data_Prices!$A:$A,0))*T$218</f>
        <v>0.60358310017790595</v>
      </c>
      <c r="U209" s="19">
        <f>U199+INDEX(Data_Prices!U:U,MATCH($G209,Data_Prices!$A:$A,0))*U$218</f>
        <v>0.60358310017790595</v>
      </c>
      <c r="V209" s="19">
        <f>V199+INDEX(Data_Prices!V:V,MATCH($G209,Data_Prices!$A:$A,0))*V$218</f>
        <v>0.60358310017790595</v>
      </c>
      <c r="W209" s="19">
        <f>W199+INDEX(Data_Prices!W:W,MATCH($G209,Data_Prices!$A:$A,0))*W$218</f>
        <v>0.60358310017790595</v>
      </c>
      <c r="X209" s="19">
        <f>X199+INDEX(Data_Prices!X:X,MATCH($G209,Data_Prices!$A:$A,0))*X$218</f>
        <v>0.60358310017790595</v>
      </c>
      <c r="Y209" s="19">
        <f>Y199+INDEX(Data_Prices!Y:Y,MATCH($G209,Data_Prices!$A:$A,0))*Y$218</f>
        <v>0.60358310017790595</v>
      </c>
      <c r="Z209" s="19">
        <f>Z199+INDEX(Data_Prices!Z:Z,MATCH($G209,Data_Prices!$A:$A,0))*Z$218</f>
        <v>0.60358310017790595</v>
      </c>
      <c r="AA209" s="19">
        <f>AA199+INDEX(Data_Prices!AA:AA,MATCH($G209,Data_Prices!$A:$A,0))*AA$218</f>
        <v>0.60358310017790595</v>
      </c>
      <c r="AB209" s="19">
        <f>AB199+INDEX(Data_Prices!AB:AB,MATCH($G209,Data_Prices!$A:$A,0))*AB$218</f>
        <v>0.60358310017790595</v>
      </c>
      <c r="AC209" s="19">
        <f>AC199+INDEX(Data_Prices!AC:AC,MATCH($G209,Data_Prices!$A:$A,0))*AC$218</f>
        <v>0.60358310017790595</v>
      </c>
      <c r="AD209" s="19">
        <f>AD199+INDEX(Data_Prices!AD:AD,MATCH($G209,Data_Prices!$A:$A,0))*AD$218</f>
        <v>0.60358310017790595</v>
      </c>
      <c r="AE209" s="19">
        <f>AE199+INDEX(Data_Prices!AE:AE,MATCH($G209,Data_Prices!$A:$A,0))*AE$218</f>
        <v>0.60358310017790595</v>
      </c>
    </row>
    <row r="210" spans="2:31" x14ac:dyDescent="0.45">
      <c r="B210" s="14" t="s">
        <v>58</v>
      </c>
      <c r="C210" s="14" t="str">
        <f t="shared" si="20"/>
        <v>mch</v>
      </c>
      <c r="D210" s="15" t="s">
        <v>59</v>
      </c>
      <c r="E210" s="16" t="s">
        <v>57</v>
      </c>
      <c r="F210" s="14" t="s">
        <v>75</v>
      </c>
      <c r="G210" s="17" t="str">
        <f>Settings!$B$3&amp;".mit.shp."&amp;$B210&amp;"."&amp;Settings!$B$4&amp;"."&amp;$J$185</f>
        <v>egy.mit.shp.die.ind.1</v>
      </c>
      <c r="H210" s="45" t="str">
        <f>Settings!$B$3&amp;".mit.shp."&amp;$C$185&amp;"."&amp;$B210&amp;".e."&amp;$J$185</f>
        <v>egy.mit.shp.mch.die.e.1</v>
      </c>
      <c r="K210" s="19">
        <f>K200+INDEX(Data_Prices!K:K,MATCH($G210,Data_Prices!$A:$A,0))*K$218</f>
        <v>0.55971121315568795</v>
      </c>
      <c r="L210" s="19">
        <f>L200+INDEX(Data_Prices!L:L,MATCH($G210,Data_Prices!$A:$A,0))*L$218</f>
        <v>0.49458873084106802</v>
      </c>
      <c r="M210" s="19">
        <f>M200+INDEX(Data_Prices!M:M,MATCH($G210,Data_Prices!$A:$A,0))*M$218</f>
        <v>0.50778654720250105</v>
      </c>
      <c r="N210" s="19">
        <f>N200+INDEX(Data_Prices!N:N,MATCH($G210,Data_Prices!$A:$A,0))*N$218</f>
        <v>0.47043642679561698</v>
      </c>
      <c r="O210" s="19">
        <f>O200+INDEX(Data_Prices!O:O,MATCH($G210,Data_Prices!$A:$A,0))*O$218</f>
        <v>0.47043642679561698</v>
      </c>
      <c r="P210" s="19">
        <f>P200+INDEX(Data_Prices!P:P,MATCH($G210,Data_Prices!$A:$A,0))*P$218</f>
        <v>0.47043642679561698</v>
      </c>
      <c r="Q210" s="19">
        <f>Q200+INDEX(Data_Prices!Q:Q,MATCH($G210,Data_Prices!$A:$A,0))*Q$218</f>
        <v>0.47043642679561698</v>
      </c>
      <c r="R210" s="19">
        <f>R200+INDEX(Data_Prices!R:R,MATCH($G210,Data_Prices!$A:$A,0))*R$218</f>
        <v>0.47043642679561698</v>
      </c>
      <c r="S210" s="19">
        <f>S200+INDEX(Data_Prices!S:S,MATCH($G210,Data_Prices!$A:$A,0))*S$218</f>
        <v>0.47043642679561698</v>
      </c>
      <c r="T210" s="19">
        <f>T200+INDEX(Data_Prices!T:T,MATCH($G210,Data_Prices!$A:$A,0))*T$218</f>
        <v>0.47043642679561698</v>
      </c>
      <c r="U210" s="19">
        <f>U200+INDEX(Data_Prices!U:U,MATCH($G210,Data_Prices!$A:$A,0))*U$218</f>
        <v>0.47043642679561698</v>
      </c>
      <c r="V210" s="19">
        <f>V200+INDEX(Data_Prices!V:V,MATCH($G210,Data_Prices!$A:$A,0))*V$218</f>
        <v>0.47043642679561698</v>
      </c>
      <c r="W210" s="19">
        <f>W200+INDEX(Data_Prices!W:W,MATCH($G210,Data_Prices!$A:$A,0))*W$218</f>
        <v>0.47043642679561698</v>
      </c>
      <c r="X210" s="19">
        <f>X200+INDEX(Data_Prices!X:X,MATCH($G210,Data_Prices!$A:$A,0))*X$218</f>
        <v>0.47043642679561698</v>
      </c>
      <c r="Y210" s="19">
        <f>Y200+INDEX(Data_Prices!Y:Y,MATCH($G210,Data_Prices!$A:$A,0))*Y$218</f>
        <v>0.47043642679561698</v>
      </c>
      <c r="Z210" s="19">
        <f>Z200+INDEX(Data_Prices!Z:Z,MATCH($G210,Data_Prices!$A:$A,0))*Z$218</f>
        <v>0.47043642679561698</v>
      </c>
      <c r="AA210" s="19">
        <f>AA200+INDEX(Data_Prices!AA:AA,MATCH($G210,Data_Prices!$A:$A,0))*AA$218</f>
        <v>0.47043642679561698</v>
      </c>
      <c r="AB210" s="19">
        <f>AB200+INDEX(Data_Prices!AB:AB,MATCH($G210,Data_Prices!$A:$A,0))*AB$218</f>
        <v>0.47043642679561698</v>
      </c>
      <c r="AC210" s="19">
        <f>AC200+INDEX(Data_Prices!AC:AC,MATCH($G210,Data_Prices!$A:$A,0))*AC$218</f>
        <v>0.47043642679561698</v>
      </c>
      <c r="AD210" s="19">
        <f>AD200+INDEX(Data_Prices!AD:AD,MATCH($G210,Data_Prices!$A:$A,0))*AD$218</f>
        <v>0.47043642679561698</v>
      </c>
      <c r="AE210" s="19">
        <f>AE200+INDEX(Data_Prices!AE:AE,MATCH($G210,Data_Prices!$A:$A,0))*AE$218</f>
        <v>0.47043642679561698</v>
      </c>
    </row>
    <row r="211" spans="2:31" x14ac:dyDescent="0.45">
      <c r="B211" s="14" t="s">
        <v>60</v>
      </c>
      <c r="C211" s="14" t="str">
        <f t="shared" si="20"/>
        <v>mch</v>
      </c>
      <c r="D211" s="15" t="s">
        <v>61</v>
      </c>
      <c r="E211" s="16" t="s">
        <v>57</v>
      </c>
      <c r="F211" s="14" t="s">
        <v>75</v>
      </c>
      <c r="G211" s="17" t="str">
        <f>Settings!$B$3&amp;".mit.shp."&amp;$B211&amp;"."&amp;Settings!$B$4&amp;"."&amp;$J$185</f>
        <v>egy.mit.shp.lpg.ind.1</v>
      </c>
      <c r="H211" s="45" t="str">
        <f>Settings!$B$3&amp;".mit.shp."&amp;$C$185&amp;"."&amp;$B211&amp;".e."&amp;$J$185</f>
        <v>egy.mit.shp.mch.lpg.e.1</v>
      </c>
      <c r="K211" s="19">
        <f>K201+INDEX(Data_Prices!K:K,MATCH($G211,Data_Prices!$A:$A,0))*K$218</f>
        <v>0.20036669112673799</v>
      </c>
      <c r="L211" s="19">
        <f>L201+INDEX(Data_Prices!L:L,MATCH($G211,Data_Prices!$A:$A,0))*L$218</f>
        <v>0.15734473625227399</v>
      </c>
      <c r="M211" s="19">
        <f>M201+INDEX(Data_Prices!M:M,MATCH($G211,Data_Prices!$A:$A,0))*M$218</f>
        <v>0.164484037759277</v>
      </c>
      <c r="N211" s="19">
        <f>N201+INDEX(Data_Prices!N:N,MATCH($G211,Data_Prices!$A:$A,0))*N$218</f>
        <v>0.15070907780704901</v>
      </c>
      <c r="O211" s="19">
        <f>O201+INDEX(Data_Prices!O:O,MATCH($G211,Data_Prices!$A:$A,0))*O$218</f>
        <v>0.15070907780704901</v>
      </c>
      <c r="P211" s="19">
        <f>P201+INDEX(Data_Prices!P:P,MATCH($G211,Data_Prices!$A:$A,0))*P$218</f>
        <v>0.15070907780704901</v>
      </c>
      <c r="Q211" s="19">
        <f>Q201+INDEX(Data_Prices!Q:Q,MATCH($G211,Data_Prices!$A:$A,0))*Q$218</f>
        <v>0.15070907780704901</v>
      </c>
      <c r="R211" s="19">
        <f>R201+INDEX(Data_Prices!R:R,MATCH($G211,Data_Prices!$A:$A,0))*R$218</f>
        <v>0.15070907780704901</v>
      </c>
      <c r="S211" s="19">
        <f>S201+INDEX(Data_Prices!S:S,MATCH($G211,Data_Prices!$A:$A,0))*S$218</f>
        <v>0.15070907780704901</v>
      </c>
      <c r="T211" s="19">
        <f>T201+INDEX(Data_Prices!T:T,MATCH($G211,Data_Prices!$A:$A,0))*T$218</f>
        <v>0.15070907780704901</v>
      </c>
      <c r="U211" s="19">
        <f>U201+INDEX(Data_Prices!U:U,MATCH($G211,Data_Prices!$A:$A,0))*U$218</f>
        <v>0.15070907780704901</v>
      </c>
      <c r="V211" s="19">
        <f>V201+INDEX(Data_Prices!V:V,MATCH($G211,Data_Prices!$A:$A,0))*V$218</f>
        <v>0.15070907780704901</v>
      </c>
      <c r="W211" s="19">
        <f>W201+INDEX(Data_Prices!W:W,MATCH($G211,Data_Prices!$A:$A,0))*W$218</f>
        <v>0.15070907780704901</v>
      </c>
      <c r="X211" s="19">
        <f>X201+INDEX(Data_Prices!X:X,MATCH($G211,Data_Prices!$A:$A,0))*X$218</f>
        <v>0.15070907780704901</v>
      </c>
      <c r="Y211" s="19">
        <f>Y201+INDEX(Data_Prices!Y:Y,MATCH($G211,Data_Prices!$A:$A,0))*Y$218</f>
        <v>0.15070907780704901</v>
      </c>
      <c r="Z211" s="19">
        <f>Z201+INDEX(Data_Prices!Z:Z,MATCH($G211,Data_Prices!$A:$A,0))*Z$218</f>
        <v>0.15070907780704901</v>
      </c>
      <c r="AA211" s="19">
        <f>AA201+INDEX(Data_Prices!AA:AA,MATCH($G211,Data_Prices!$A:$A,0))*AA$218</f>
        <v>0.15070907780704901</v>
      </c>
      <c r="AB211" s="19">
        <f>AB201+INDEX(Data_Prices!AB:AB,MATCH($G211,Data_Prices!$A:$A,0))*AB$218</f>
        <v>0.15070907780704901</v>
      </c>
      <c r="AC211" s="19">
        <f>AC201+INDEX(Data_Prices!AC:AC,MATCH($G211,Data_Prices!$A:$A,0))*AC$218</f>
        <v>0.15070907780704901</v>
      </c>
      <c r="AD211" s="19">
        <f>AD201+INDEX(Data_Prices!AD:AD,MATCH($G211,Data_Prices!$A:$A,0))*AD$218</f>
        <v>0.15070907780704901</v>
      </c>
      <c r="AE211" s="19">
        <f>AE201+INDEX(Data_Prices!AE:AE,MATCH($G211,Data_Prices!$A:$A,0))*AE$218</f>
        <v>0.15070907780704901</v>
      </c>
    </row>
    <row r="212" spans="2:31" x14ac:dyDescent="0.45">
      <c r="B212" s="14" t="s">
        <v>62</v>
      </c>
      <c r="C212" s="14" t="str">
        <f t="shared" si="20"/>
        <v>mch</v>
      </c>
      <c r="D212" s="15" t="s">
        <v>63</v>
      </c>
      <c r="E212" s="16" t="s">
        <v>57</v>
      </c>
      <c r="F212" s="14" t="s">
        <v>75</v>
      </c>
      <c r="G212" s="17" t="str">
        <f>Settings!$B$3&amp;".mit.shp."&amp;$B212&amp;"."&amp;Settings!$B$4&amp;"."&amp;$J$185</f>
        <v>egy.mit.shp.ker.ind.1</v>
      </c>
      <c r="H212" s="45" t="str">
        <f>Settings!$B$3&amp;".mit.shp."&amp;$C$185&amp;"."&amp;$B212&amp;".e."&amp;$J$185</f>
        <v>egy.mit.shp.mch.ker.e.1</v>
      </c>
      <c r="K212" s="19">
        <f>K202+INDEX(Data_Prices!K:K,MATCH($G212,Data_Prices!$A:$A,0))*K$218</f>
        <v>0.48429424097343499</v>
      </c>
      <c r="L212" s="19">
        <f>L202+INDEX(Data_Prices!L:L,MATCH($G212,Data_Prices!$A:$A,0))*L$218</f>
        <v>0.45642817050012802</v>
      </c>
      <c r="M212" s="19">
        <f>M202+INDEX(Data_Prices!M:M,MATCH($G212,Data_Prices!$A:$A,0))*M$218</f>
        <v>0.43168920195599497</v>
      </c>
      <c r="N212" s="19">
        <f>N202+INDEX(Data_Prices!N:N,MATCH($G212,Data_Prices!$A:$A,0))*N$218</f>
        <v>0.42507558395597</v>
      </c>
      <c r="O212" s="19">
        <f>O202+INDEX(Data_Prices!O:O,MATCH($G212,Data_Prices!$A:$A,0))*O$218</f>
        <v>0.42507558395597</v>
      </c>
      <c r="P212" s="19">
        <f>P202+INDEX(Data_Prices!P:P,MATCH($G212,Data_Prices!$A:$A,0))*P$218</f>
        <v>0.42507558395597</v>
      </c>
      <c r="Q212" s="19">
        <f>Q202+INDEX(Data_Prices!Q:Q,MATCH($G212,Data_Prices!$A:$A,0))*Q$218</f>
        <v>0.42507558395597</v>
      </c>
      <c r="R212" s="19">
        <f>R202+INDEX(Data_Prices!R:R,MATCH($G212,Data_Prices!$A:$A,0))*R$218</f>
        <v>0.42507558395597</v>
      </c>
      <c r="S212" s="19">
        <f>S202+INDEX(Data_Prices!S:S,MATCH($G212,Data_Prices!$A:$A,0))*S$218</f>
        <v>0.42507558395597</v>
      </c>
      <c r="T212" s="19">
        <f>T202+INDEX(Data_Prices!T:T,MATCH($G212,Data_Prices!$A:$A,0))*T$218</f>
        <v>0.42507558395597</v>
      </c>
      <c r="U212" s="19">
        <f>U202+INDEX(Data_Prices!U:U,MATCH($G212,Data_Prices!$A:$A,0))*U$218</f>
        <v>0.42507558395597</v>
      </c>
      <c r="V212" s="19">
        <f>V202+INDEX(Data_Prices!V:V,MATCH($G212,Data_Prices!$A:$A,0))*V$218</f>
        <v>0.42507558395597</v>
      </c>
      <c r="W212" s="19">
        <f>W202+INDEX(Data_Prices!W:W,MATCH($G212,Data_Prices!$A:$A,0))*W$218</f>
        <v>0.42507558395597</v>
      </c>
      <c r="X212" s="19">
        <f>X202+INDEX(Data_Prices!X:X,MATCH($G212,Data_Prices!$A:$A,0))*X$218</f>
        <v>0.42507558395597</v>
      </c>
      <c r="Y212" s="19">
        <f>Y202+INDEX(Data_Prices!Y:Y,MATCH($G212,Data_Prices!$A:$A,0))*Y$218</f>
        <v>0.42507558395597</v>
      </c>
      <c r="Z212" s="19">
        <f>Z202+INDEX(Data_Prices!Z:Z,MATCH($G212,Data_Prices!$A:$A,0))*Z$218</f>
        <v>0.42507558395597</v>
      </c>
      <c r="AA212" s="19">
        <f>AA202+INDEX(Data_Prices!AA:AA,MATCH($G212,Data_Prices!$A:$A,0))*AA$218</f>
        <v>0.42507558395597</v>
      </c>
      <c r="AB212" s="19">
        <f>AB202+INDEX(Data_Prices!AB:AB,MATCH($G212,Data_Prices!$A:$A,0))*AB$218</f>
        <v>0.42507558395597</v>
      </c>
      <c r="AC212" s="19">
        <f>AC202+INDEX(Data_Prices!AC:AC,MATCH($G212,Data_Prices!$A:$A,0))*AC$218</f>
        <v>0.42507558395597</v>
      </c>
      <c r="AD212" s="19">
        <f>AD202+INDEX(Data_Prices!AD:AD,MATCH($G212,Data_Prices!$A:$A,0))*AD$218</f>
        <v>0.42507558395597</v>
      </c>
      <c r="AE212" s="19">
        <f>AE202+INDEX(Data_Prices!AE:AE,MATCH($G212,Data_Prices!$A:$A,0))*AE$218</f>
        <v>0.42507558395597</v>
      </c>
    </row>
    <row r="213" spans="2:31" x14ac:dyDescent="0.45">
      <c r="B213" s="14" t="s">
        <v>64</v>
      </c>
      <c r="C213" s="14" t="str">
        <f t="shared" si="20"/>
        <v>mch</v>
      </c>
      <c r="D213" s="15" t="s">
        <v>65</v>
      </c>
      <c r="E213" s="16" t="s">
        <v>66</v>
      </c>
      <c r="F213" s="14" t="s">
        <v>75</v>
      </c>
      <c r="G213" s="17" t="str">
        <f>Settings!$B$3&amp;".mit.shp."&amp;$B213&amp;"."&amp;Settings!$B$4&amp;"."&amp;$J$185</f>
        <v>egy.mit.shp.oop.ind.1</v>
      </c>
      <c r="H213" s="45" t="str">
        <f>Settings!$B$3&amp;".mit.shp."&amp;$C$185&amp;"."&amp;$B213&amp;".e."&amp;$J$185</f>
        <v>egy.mit.shp.mch.oop.e.1</v>
      </c>
      <c r="K213" s="19">
        <f>K203+INDEX(Data_Prices!K:K,MATCH($G213,Data_Prices!$A:$A,0))*K$218</f>
        <v>41.500338498868402</v>
      </c>
      <c r="L213" s="19">
        <f>L203+INDEX(Data_Prices!L:L,MATCH($G213,Data_Prices!$A:$A,0))*L$218</f>
        <v>34.4153703043132</v>
      </c>
      <c r="M213" s="19">
        <f>M203+INDEX(Data_Prices!M:M,MATCH($G213,Data_Prices!$A:$A,0))*M$218</f>
        <v>37.368960690431997</v>
      </c>
      <c r="N213" s="19">
        <f>N203+INDEX(Data_Prices!N:N,MATCH($G213,Data_Prices!$A:$A,0))*N$218</f>
        <v>28.982761101477301</v>
      </c>
      <c r="O213" s="19">
        <f>O203+INDEX(Data_Prices!O:O,MATCH($G213,Data_Prices!$A:$A,0))*O$218</f>
        <v>15</v>
      </c>
      <c r="P213" s="19">
        <f>P203+INDEX(Data_Prices!P:P,MATCH($G213,Data_Prices!$A:$A,0))*P$218</f>
        <v>24.2586300842555</v>
      </c>
      <c r="Q213" s="19">
        <f>Q203+INDEX(Data_Prices!Q:Q,MATCH($G213,Data_Prices!$A:$A,0))*Q$218</f>
        <v>15</v>
      </c>
      <c r="R213" s="19">
        <f>R203+INDEX(Data_Prices!R:R,MATCH($G213,Data_Prices!$A:$A,0))*R$218</f>
        <v>15</v>
      </c>
      <c r="S213" s="19">
        <f>S203+INDEX(Data_Prices!S:S,MATCH($G213,Data_Prices!$A:$A,0))*S$218</f>
        <v>15</v>
      </c>
      <c r="T213" s="19">
        <f>T203+INDEX(Data_Prices!T:T,MATCH($G213,Data_Prices!$A:$A,0))*T$218</f>
        <v>15</v>
      </c>
      <c r="U213" s="19">
        <f>U203+INDEX(Data_Prices!U:U,MATCH($G213,Data_Prices!$A:$A,0))*U$218</f>
        <v>15</v>
      </c>
      <c r="V213" s="19">
        <f>V203+INDEX(Data_Prices!V:V,MATCH($G213,Data_Prices!$A:$A,0))*V$218</f>
        <v>15</v>
      </c>
      <c r="W213" s="19">
        <f>W203+INDEX(Data_Prices!W:W,MATCH($G213,Data_Prices!$A:$A,0))*W$218</f>
        <v>15</v>
      </c>
      <c r="X213" s="19">
        <f>X203+INDEX(Data_Prices!X:X,MATCH($G213,Data_Prices!$A:$A,0))*X$218</f>
        <v>15</v>
      </c>
      <c r="Y213" s="19">
        <f>Y203+INDEX(Data_Prices!Y:Y,MATCH($G213,Data_Prices!$A:$A,0))*Y$218</f>
        <v>15</v>
      </c>
      <c r="Z213" s="19">
        <f>Z203+INDEX(Data_Prices!Z:Z,MATCH($G213,Data_Prices!$A:$A,0))*Z$218</f>
        <v>15</v>
      </c>
      <c r="AA213" s="19">
        <f>AA203+INDEX(Data_Prices!AA:AA,MATCH($G213,Data_Prices!$A:$A,0))*AA$218</f>
        <v>15</v>
      </c>
      <c r="AB213" s="19">
        <f>AB203+INDEX(Data_Prices!AB:AB,MATCH($G213,Data_Prices!$A:$A,0))*AB$218</f>
        <v>15</v>
      </c>
      <c r="AC213" s="19">
        <f>AC203+INDEX(Data_Prices!AC:AC,MATCH($G213,Data_Prices!$A:$A,0))*AC$218</f>
        <v>15</v>
      </c>
      <c r="AD213" s="19">
        <f>AD203+INDEX(Data_Prices!AD:AD,MATCH($G213,Data_Prices!$A:$A,0))*AD$218</f>
        <v>15</v>
      </c>
      <c r="AE213" s="19">
        <f>AE203+INDEX(Data_Prices!AE:AE,MATCH($G213,Data_Prices!$A:$A,0))*AE$218</f>
        <v>15</v>
      </c>
    </row>
    <row r="214" spans="2:31" x14ac:dyDescent="0.45">
      <c r="B214" s="14" t="s">
        <v>67</v>
      </c>
      <c r="C214" s="14" t="str">
        <f t="shared" si="20"/>
        <v>mch</v>
      </c>
      <c r="D214" s="15" t="s">
        <v>68</v>
      </c>
      <c r="E214" s="16" t="s">
        <v>51</v>
      </c>
      <c r="F214" s="14" t="s">
        <v>75</v>
      </c>
      <c r="G214" s="17" t="str">
        <f>Settings!$B$3&amp;".mit.shp."&amp;$B214&amp;"."&amp;Settings!$B$4&amp;"."&amp;$J$185</f>
        <v>egy.mit.shp.bio.ind.1</v>
      </c>
      <c r="H214" s="45" t="str">
        <f>Settings!$B$3&amp;".mit.shp."&amp;$C$185&amp;"."&amp;$B214&amp;".e."&amp;$J$185</f>
        <v>egy.mit.shp.mch.bio.e.1</v>
      </c>
      <c r="K214" s="19">
        <f>K204+INDEX(Data_Prices!K:K,MATCH($G214,Data_Prices!$A:$A,0))*K$218</f>
        <v>15.3345505293169</v>
      </c>
      <c r="L214" s="19">
        <f>L204+INDEX(Data_Prices!L:L,MATCH($G214,Data_Prices!$A:$A,0))*L$218</f>
        <v>14.199528390634899</v>
      </c>
      <c r="M214" s="19">
        <f>M204+INDEX(Data_Prices!M:M,MATCH($G214,Data_Prices!$A:$A,0))*M$218</f>
        <v>13.8404416133152</v>
      </c>
      <c r="N214" s="19">
        <f>N204+INDEX(Data_Prices!N:N,MATCH($G214,Data_Prices!$A:$A,0))*N$218</f>
        <v>13.5677269404465</v>
      </c>
      <c r="O214" s="19">
        <f>O204+INDEX(Data_Prices!O:O,MATCH($G214,Data_Prices!$A:$A,0))*O$218</f>
        <v>13.5677269404465</v>
      </c>
      <c r="P214" s="19">
        <f>P204+INDEX(Data_Prices!P:P,MATCH($G214,Data_Prices!$A:$A,0))*P$218</f>
        <v>13.5677269404465</v>
      </c>
      <c r="Q214" s="19">
        <f>Q204+INDEX(Data_Prices!Q:Q,MATCH($G214,Data_Prices!$A:$A,0))*Q$218</f>
        <v>13.5677269404465</v>
      </c>
      <c r="R214" s="19">
        <f>R204+INDEX(Data_Prices!R:R,MATCH($G214,Data_Prices!$A:$A,0))*R$218</f>
        <v>13.5677269404465</v>
      </c>
      <c r="S214" s="19">
        <f>S204+INDEX(Data_Prices!S:S,MATCH($G214,Data_Prices!$A:$A,0))*S$218</f>
        <v>13.5677269404465</v>
      </c>
      <c r="T214" s="19">
        <f>T204+INDEX(Data_Prices!T:T,MATCH($G214,Data_Prices!$A:$A,0))*T$218</f>
        <v>13.5677269404465</v>
      </c>
      <c r="U214" s="19">
        <f>U204+INDEX(Data_Prices!U:U,MATCH($G214,Data_Prices!$A:$A,0))*U$218</f>
        <v>13.5677269404465</v>
      </c>
      <c r="V214" s="19">
        <f>V204+INDEX(Data_Prices!V:V,MATCH($G214,Data_Prices!$A:$A,0))*V$218</f>
        <v>13.5677269404465</v>
      </c>
      <c r="W214" s="19">
        <f>W204+INDEX(Data_Prices!W:W,MATCH($G214,Data_Prices!$A:$A,0))*W$218</f>
        <v>13.5677269404465</v>
      </c>
      <c r="X214" s="19">
        <f>X204+INDEX(Data_Prices!X:X,MATCH($G214,Data_Prices!$A:$A,0))*X$218</f>
        <v>13.5677269404465</v>
      </c>
      <c r="Y214" s="19">
        <f>Y204+INDEX(Data_Prices!Y:Y,MATCH($G214,Data_Prices!$A:$A,0))*Y$218</f>
        <v>13.5677269404465</v>
      </c>
      <c r="Z214" s="19">
        <f>Z204+INDEX(Data_Prices!Z:Z,MATCH($G214,Data_Prices!$A:$A,0))*Z$218</f>
        <v>13.5677269404465</v>
      </c>
      <c r="AA214" s="19">
        <f>AA204+INDEX(Data_Prices!AA:AA,MATCH($G214,Data_Prices!$A:$A,0))*AA$218</f>
        <v>13.5677269404465</v>
      </c>
      <c r="AB214" s="19">
        <f>AB204+INDEX(Data_Prices!AB:AB,MATCH($G214,Data_Prices!$A:$A,0))*AB$218</f>
        <v>13.5677269404465</v>
      </c>
      <c r="AC214" s="19">
        <f>AC204+INDEX(Data_Prices!AC:AC,MATCH($G214,Data_Prices!$A:$A,0))*AC$218</f>
        <v>13.5677269404465</v>
      </c>
      <c r="AD214" s="19">
        <f>AD204+INDEX(Data_Prices!AD:AD,MATCH($G214,Data_Prices!$A:$A,0))*AD$218</f>
        <v>13.5677269404465</v>
      </c>
      <c r="AE214" s="19">
        <f>AE204+INDEX(Data_Prices!AE:AE,MATCH($G214,Data_Prices!$A:$A,0))*AE$218</f>
        <v>13.5677269404465</v>
      </c>
    </row>
    <row r="215" spans="2:31" x14ac:dyDescent="0.45">
      <c r="B215" s="14" t="s">
        <v>69</v>
      </c>
      <c r="C215" s="14" t="str">
        <f t="shared" si="20"/>
        <v>mch</v>
      </c>
      <c r="D215" s="15" t="s">
        <v>70</v>
      </c>
      <c r="E215" s="16" t="s">
        <v>71</v>
      </c>
      <c r="F215" s="14" t="s">
        <v>75</v>
      </c>
      <c r="G215" s="17" t="str">
        <f>Settings!$B$3&amp;".mit.shp."&amp;$B215&amp;"."&amp;Settings!$B$4&amp;"."&amp;$J$185</f>
        <v>egy.mit.shp.ren.ind.1</v>
      </c>
      <c r="H215" s="45" t="str">
        <f>Settings!$B$3&amp;".mit.shp."&amp;$C$185&amp;"."&amp;$B215&amp;".e."&amp;$J$185</f>
        <v>egy.mit.shp.mch.ren.e.1</v>
      </c>
      <c r="K215" s="19">
        <f>K205+INDEX(Data_Prices!K:K,MATCH($G215,Data_Prices!$A:$A,0))*K$218</f>
        <v>0</v>
      </c>
      <c r="L215" s="19">
        <f>L205+INDEX(Data_Prices!L:L,MATCH($G215,Data_Prices!$A:$A,0))*L$218</f>
        <v>0.14404498679319799</v>
      </c>
      <c r="M215" s="19">
        <f>M205+INDEX(Data_Prices!M:M,MATCH($G215,Data_Prices!$A:$A,0))*M$218</f>
        <v>0.14102040965700399</v>
      </c>
      <c r="N215" s="19">
        <f>N205+INDEX(Data_Prices!N:N,MATCH($G215,Data_Prices!$A:$A,0))*N$218</f>
        <v>0.13511635959447599</v>
      </c>
      <c r="O215" s="19">
        <f>O205+INDEX(Data_Prices!O:O,MATCH($G215,Data_Prices!$A:$A,0))*O$218</f>
        <v>0.13098825698585601</v>
      </c>
      <c r="P215" s="19">
        <f>P205+INDEX(Data_Prices!P:P,MATCH($G215,Data_Prices!$A:$A,0))*P$218</f>
        <v>0.12790841608631801</v>
      </c>
      <c r="Q215" s="19">
        <f>Q205+INDEX(Data_Prices!Q:Q,MATCH($G215,Data_Prices!$A:$A,0))*Q$218</f>
        <v>0.124814310557813</v>
      </c>
      <c r="R215" s="19">
        <f>R205+INDEX(Data_Prices!R:R,MATCH($G215,Data_Prices!$A:$A,0))*R$218</f>
        <v>0.121460257122878</v>
      </c>
      <c r="S215" s="19">
        <f>S205+INDEX(Data_Prices!S:S,MATCH($G215,Data_Prices!$A:$A,0))*S$218</f>
        <v>0.117950744135786</v>
      </c>
      <c r="T215" s="19">
        <f>T205+INDEX(Data_Prices!T:T,MATCH($G215,Data_Prices!$A:$A,0))*T$218</f>
        <v>0.114199161044597</v>
      </c>
      <c r="U215" s="19">
        <f>U205+INDEX(Data_Prices!U:U,MATCH($G215,Data_Prices!$A:$A,0))*U$218</f>
        <v>0.113665100059665</v>
      </c>
      <c r="V215" s="19">
        <f>V205+INDEX(Data_Prices!V:V,MATCH($G215,Data_Prices!$A:$A,0))*V$218</f>
        <v>0.113016929625957</v>
      </c>
      <c r="W215" s="19">
        <f>W205+INDEX(Data_Prices!W:W,MATCH($G215,Data_Prices!$A:$A,0))*W$218</f>
        <v>0.112314070507636</v>
      </c>
      <c r="X215" s="19">
        <f>X205+INDEX(Data_Prices!X:X,MATCH($G215,Data_Prices!$A:$A,0))*X$218</f>
        <v>0.11142204273284299</v>
      </c>
      <c r="Y215" s="19">
        <f>Y205+INDEX(Data_Prices!Y:Y,MATCH($G215,Data_Prices!$A:$A,0))*Y$218</f>
        <v>0.110434123675809</v>
      </c>
      <c r="Z215" s="19">
        <f>Z205+INDEX(Data_Prices!Z:Z,MATCH($G215,Data_Prices!$A:$A,0))*Z$218</f>
        <v>0.109483973304471</v>
      </c>
      <c r="AA215" s="19">
        <f>AA205+INDEX(Data_Prices!AA:AA,MATCH($G215,Data_Prices!$A:$A,0))*AA$218</f>
        <v>0.10839192105294</v>
      </c>
      <c r="AB215" s="19">
        <f>AB205+INDEX(Data_Prices!AB:AB,MATCH($G215,Data_Prices!$A:$A,0))*AB$218</f>
        <v>0.10735443362670399</v>
      </c>
      <c r="AC215" s="19">
        <f>AC205+INDEX(Data_Prices!AC:AC,MATCH($G215,Data_Prices!$A:$A,0))*AC$218</f>
        <v>0.105168675441661</v>
      </c>
      <c r="AD215" s="19">
        <f>AD205+INDEX(Data_Prices!AD:AD,MATCH($G215,Data_Prices!$A:$A,0))*AD$218</f>
        <v>0.103057983256008</v>
      </c>
      <c r="AE215" s="19">
        <f>AE205+INDEX(Data_Prices!AE:AE,MATCH($G215,Data_Prices!$A:$A,0))*AE$218</f>
        <v>0.100931838990114</v>
      </c>
    </row>
    <row r="216" spans="2:31" x14ac:dyDescent="0.45">
      <c r="B216" s="13" t="s">
        <v>76</v>
      </c>
    </row>
    <row r="217" spans="2:31" x14ac:dyDescent="0.45">
      <c r="B217" s="14" t="s">
        <v>77</v>
      </c>
      <c r="C217" s="14" t="str">
        <f>$C$185</f>
        <v>mch</v>
      </c>
      <c r="D217" s="15" t="s">
        <v>78</v>
      </c>
      <c r="E217" s="16" t="s">
        <v>79</v>
      </c>
      <c r="F217" s="14" t="s">
        <v>80</v>
      </c>
      <c r="G217" s="17" t="str">
        <f>Settings!$B$3&amp;".mit.tcf."&amp;$C$185&amp;"."&amp;$J$185</f>
        <v>egy.mit.tcf.mch.1</v>
      </c>
      <c r="K217" s="19">
        <f>INDEX(Data_Prices!K:K,MATCH($G217,Data_Prices!$A:$A,0))</f>
        <v>0</v>
      </c>
      <c r="L217" s="19">
        <f>INDEX(Data_Prices!L:L,MATCH($G217,Data_Prices!$A:$A,0))</f>
        <v>0</v>
      </c>
      <c r="M217" s="19">
        <f>INDEX(Data_Prices!M:M,MATCH($G217,Data_Prices!$A:$A,0))</f>
        <v>0</v>
      </c>
      <c r="N217" s="19">
        <f>INDEX(Data_Prices!N:N,MATCH($G217,Data_Prices!$A:$A,0))</f>
        <v>0</v>
      </c>
      <c r="O217" s="19">
        <f>INDEX(Data_Prices!O:O,MATCH($G217,Data_Prices!$A:$A,0))</f>
        <v>0</v>
      </c>
      <c r="P217" s="19">
        <f>INDEX(Data_Prices!P:P,MATCH($G217,Data_Prices!$A:$A,0))</f>
        <v>0</v>
      </c>
      <c r="Q217" s="19">
        <f>INDEX(Data_Prices!Q:Q,MATCH($G217,Data_Prices!$A:$A,0))</f>
        <v>0</v>
      </c>
      <c r="R217" s="19">
        <f>INDEX(Data_Prices!R:R,MATCH($G217,Data_Prices!$A:$A,0))</f>
        <v>0</v>
      </c>
      <c r="S217" s="19">
        <f>INDEX(Data_Prices!S:S,MATCH($G217,Data_Prices!$A:$A,0))</f>
        <v>0</v>
      </c>
      <c r="T217" s="19">
        <f>INDEX(Data_Prices!T:T,MATCH($G217,Data_Prices!$A:$A,0))</f>
        <v>0</v>
      </c>
      <c r="U217" s="19">
        <f>INDEX(Data_Prices!U:U,MATCH($G217,Data_Prices!$A:$A,0))</f>
        <v>0</v>
      </c>
      <c r="V217" s="19">
        <f>INDEX(Data_Prices!V:V,MATCH($G217,Data_Prices!$A:$A,0))</f>
        <v>0</v>
      </c>
      <c r="W217" s="19">
        <f>INDEX(Data_Prices!W:W,MATCH($G217,Data_Prices!$A:$A,0))</f>
        <v>0</v>
      </c>
      <c r="X217" s="19">
        <f>INDEX(Data_Prices!X:X,MATCH($G217,Data_Prices!$A:$A,0))</f>
        <v>0</v>
      </c>
      <c r="Y217" s="19">
        <f>INDEX(Data_Prices!Y:Y,MATCH($G217,Data_Prices!$A:$A,0))</f>
        <v>0</v>
      </c>
      <c r="Z217" s="19">
        <f>INDEX(Data_Prices!Z:Z,MATCH($G217,Data_Prices!$A:$A,0))</f>
        <v>0</v>
      </c>
      <c r="AA217" s="19">
        <f>INDEX(Data_Prices!AA:AA,MATCH($G217,Data_Prices!$A:$A,0))</f>
        <v>0</v>
      </c>
      <c r="AB217" s="19">
        <f>INDEX(Data_Prices!AB:AB,MATCH($G217,Data_Prices!$A:$A,0))</f>
        <v>0</v>
      </c>
      <c r="AC217" s="19">
        <f>INDEX(Data_Prices!AC:AC,MATCH($G217,Data_Prices!$A:$A,0))</f>
        <v>0</v>
      </c>
      <c r="AD217" s="19">
        <f>INDEX(Data_Prices!AD:AD,MATCH($G217,Data_Prices!$A:$A,0))</f>
        <v>0</v>
      </c>
      <c r="AE217" s="19">
        <f>INDEX(Data_Prices!AE:AE,MATCH($G217,Data_Prices!$A:$A,0))</f>
        <v>0</v>
      </c>
    </row>
    <row r="218" spans="2:31" x14ac:dyDescent="0.45">
      <c r="B218" s="14" t="s">
        <v>77</v>
      </c>
      <c r="C218" s="14" t="str">
        <f>$C$185</f>
        <v>mch</v>
      </c>
      <c r="D218" s="15" t="s">
        <v>81</v>
      </c>
      <c r="E218" s="16" t="s">
        <v>79</v>
      </c>
      <c r="F218" s="14" t="s">
        <v>82</v>
      </c>
      <c r="G218" s="17" t="str">
        <f>Settings!$B$3&amp;".mit.ssc."&amp;$C$185&amp;"."&amp;$J$185</f>
        <v>egy.mit.ssc.mch.1</v>
      </c>
      <c r="K218" s="19">
        <f>INDEX(Data_Prices!K:K,MATCH($G218,Data_Prices!$A:$A,0))</f>
        <v>0</v>
      </c>
      <c r="L218" s="19">
        <f>INDEX(Data_Prices!L:L,MATCH($G218,Data_Prices!$A:$A,0))</f>
        <v>0</v>
      </c>
      <c r="M218" s="19">
        <f>INDEX(Data_Prices!M:M,MATCH($G218,Data_Prices!$A:$A,0))</f>
        <v>0</v>
      </c>
      <c r="N218" s="19">
        <f>INDEX(Data_Prices!N:N,MATCH($G218,Data_Prices!$A:$A,0))</f>
        <v>0</v>
      </c>
      <c r="O218" s="19">
        <f>INDEX(Data_Prices!O:O,MATCH($G218,Data_Prices!$A:$A,0))</f>
        <v>0</v>
      </c>
      <c r="P218" s="19">
        <f>INDEX(Data_Prices!P:P,MATCH($G218,Data_Prices!$A:$A,0))</f>
        <v>0</v>
      </c>
      <c r="Q218" s="19">
        <f>INDEX(Data_Prices!Q:Q,MATCH($G218,Data_Prices!$A:$A,0))</f>
        <v>0</v>
      </c>
      <c r="R218" s="19">
        <f>INDEX(Data_Prices!R:R,MATCH($G218,Data_Prices!$A:$A,0))</f>
        <v>0</v>
      </c>
      <c r="S218" s="19">
        <f>INDEX(Data_Prices!S:S,MATCH($G218,Data_Prices!$A:$A,0))</f>
        <v>0</v>
      </c>
      <c r="T218" s="19">
        <f>INDEX(Data_Prices!T:T,MATCH($G218,Data_Prices!$A:$A,0))</f>
        <v>0</v>
      </c>
      <c r="U218" s="19">
        <f>INDEX(Data_Prices!U:U,MATCH($G218,Data_Prices!$A:$A,0))</f>
        <v>0</v>
      </c>
      <c r="V218" s="19">
        <f>INDEX(Data_Prices!V:V,MATCH($G218,Data_Prices!$A:$A,0))</f>
        <v>0</v>
      </c>
      <c r="W218" s="19">
        <f>INDEX(Data_Prices!W:W,MATCH($G218,Data_Prices!$A:$A,0))</f>
        <v>0</v>
      </c>
      <c r="X218" s="19">
        <f>INDEX(Data_Prices!X:X,MATCH($G218,Data_Prices!$A:$A,0))</f>
        <v>0</v>
      </c>
      <c r="Y218" s="19">
        <f>INDEX(Data_Prices!Y:Y,MATCH($G218,Data_Prices!$A:$A,0))</f>
        <v>0</v>
      </c>
      <c r="Z218" s="19">
        <f>INDEX(Data_Prices!Z:Z,MATCH($G218,Data_Prices!$A:$A,0))</f>
        <v>0</v>
      </c>
      <c r="AA218" s="19">
        <f>INDEX(Data_Prices!AA:AA,MATCH($G218,Data_Prices!$A:$A,0))</f>
        <v>0</v>
      </c>
      <c r="AB218" s="19">
        <f>INDEX(Data_Prices!AB:AB,MATCH($G218,Data_Prices!$A:$A,0))</f>
        <v>0</v>
      </c>
      <c r="AC218" s="19">
        <f>INDEX(Data_Prices!AC:AC,MATCH($G218,Data_Prices!$A:$A,0))</f>
        <v>0</v>
      </c>
      <c r="AD218" s="19">
        <f>INDEX(Data_Prices!AD:AD,MATCH($G218,Data_Prices!$A:$A,0))</f>
        <v>0</v>
      </c>
      <c r="AE218" s="19">
        <f>INDEX(Data_Prices!AE:AE,MATCH($G218,Data_Prices!$A:$A,0))</f>
        <v>0</v>
      </c>
    </row>
    <row r="219" spans="2:31" x14ac:dyDescent="0.45">
      <c r="B219" s="14" t="s">
        <v>77</v>
      </c>
      <c r="C219" s="14" t="str">
        <f>$C$185</f>
        <v>mch</v>
      </c>
      <c r="D219" s="15" t="s">
        <v>83</v>
      </c>
      <c r="E219" s="16" t="s">
        <v>84</v>
      </c>
      <c r="F219" s="14" t="s">
        <v>85</v>
      </c>
      <c r="G219" s="17" t="str">
        <f>Settings!$B$3&amp;".mit.gdp.pos.pct."&amp;$J$185</f>
        <v>egy.mit.gdp.pos.pct.1</v>
      </c>
      <c r="K219" s="20">
        <f>INDEX(Data_Macro!K:K,MATCH($G219,Data_Macro!$A:$A,0))</f>
        <v>0</v>
      </c>
      <c r="L219" s="20">
        <f>INDEX(Data_Macro!L:L,MATCH($G219,Data_Macro!$A:$A,0))</f>
        <v>6.6513450000000002E-2</v>
      </c>
      <c r="M219" s="20">
        <f>INDEX(Data_Macro!M:M,MATCH($G219,Data_Macro!$A:$A,0))</f>
        <v>3.760281E-2</v>
      </c>
      <c r="N219" s="20">
        <f>INDEX(Data_Macro!N:N,MATCH($G219,Data_Macro!$A:$A,0))</f>
        <v>2.3988010000000001E-2</v>
      </c>
      <c r="O219" s="20">
        <f>INDEX(Data_Macro!O:O,MATCH($G219,Data_Macro!$A:$A,0))</f>
        <v>4.3923869999999997E-2</v>
      </c>
      <c r="P219" s="20">
        <f>INDEX(Data_Macro!P:P,MATCH($G219,Data_Macro!$A:$A,0))</f>
        <v>4.239706E-2</v>
      </c>
      <c r="Q219" s="20">
        <f>INDEX(Data_Macro!Q:Q,MATCH($G219,Data_Macro!$A:$A,0))</f>
        <v>4.8292179999999997E-2</v>
      </c>
      <c r="R219" s="20">
        <f>INDEX(Data_Macro!R:R,MATCH($G219,Data_Macro!$A:$A,0))</f>
        <v>5.5353159999999998E-2</v>
      </c>
      <c r="S219" s="20">
        <f>INDEX(Data_Macro!S:S,MATCH($G219,Data_Macro!$A:$A,0))</f>
        <v>5.2266060000000003E-2</v>
      </c>
      <c r="T219" s="20">
        <f>INDEX(Data_Macro!T:T,MATCH($G219,Data_Macro!$A:$A,0))</f>
        <v>4.841877E-2</v>
      </c>
      <c r="U219" s="20">
        <f>INDEX(Data_Macro!U:U,MATCH($G219,Data_Macro!$A:$A,0))</f>
        <v>4.7887359999999997E-2</v>
      </c>
      <c r="V219" s="20">
        <f>INDEX(Data_Macro!V:V,MATCH($G219,Data_Macro!$A:$A,0))</f>
        <v>4.7355950000000001E-2</v>
      </c>
      <c r="W219" s="20">
        <f>INDEX(Data_Macro!W:W,MATCH($G219,Data_Macro!$A:$A,0))</f>
        <v>4.6824539999999998E-2</v>
      </c>
      <c r="X219" s="20">
        <f>INDEX(Data_Macro!X:X,MATCH($G219,Data_Macro!$A:$A,0))</f>
        <v>4.6293130000000002E-2</v>
      </c>
      <c r="Y219" s="20">
        <f>INDEX(Data_Macro!Y:Y,MATCH($G219,Data_Macro!$A:$A,0))</f>
        <v>4.5761719999999999E-2</v>
      </c>
      <c r="Z219" s="20">
        <f>INDEX(Data_Macro!Z:Z,MATCH($G219,Data_Macro!$A:$A,0))</f>
        <v>4.5230310000000003E-2</v>
      </c>
      <c r="AA219" s="20">
        <f>INDEX(Data_Macro!AA:AA,MATCH($G219,Data_Macro!$A:$A,0))</f>
        <v>4.46989E-2</v>
      </c>
      <c r="AB219" s="20">
        <f>INDEX(Data_Macro!AB:AB,MATCH($G219,Data_Macro!$A:$A,0))</f>
        <v>4.4167489999999997E-2</v>
      </c>
      <c r="AC219" s="20">
        <f>INDEX(Data_Macro!AC:AC,MATCH($G219,Data_Macro!$A:$A,0))</f>
        <v>4.3636080000000001E-2</v>
      </c>
      <c r="AD219" s="20">
        <f>INDEX(Data_Macro!AD:AD,MATCH($G219,Data_Macro!$A:$A,0))</f>
        <v>4.3104669999999998E-2</v>
      </c>
      <c r="AE219" s="20">
        <f>INDEX(Data_Macro!AE:AE,MATCH($G219,Data_Macro!$A:$A,0))</f>
        <v>4.2573260000000002E-2</v>
      </c>
    </row>
    <row r="220" spans="2:31" x14ac:dyDescent="0.45">
      <c r="B220" s="14" t="s">
        <v>77</v>
      </c>
      <c r="C220" s="14" t="str">
        <f>$C$185</f>
        <v>mch</v>
      </c>
      <c r="D220" s="15" t="s">
        <v>86</v>
      </c>
      <c r="E220" s="16" t="s">
        <v>87</v>
      </c>
      <c r="F220" s="14" t="s">
        <v>88</v>
      </c>
      <c r="G220" s="17" t="str">
        <f>Settings!$B$3&amp;".mit.inc.ela.adj."&amp;$J$185</f>
        <v>egy.mit.inc.ela.adj.1</v>
      </c>
      <c r="K220" s="19">
        <f>INDEX(Data_Macro!K:K,MATCH($G220,Data_Macro!$A:$A,0))</f>
        <v>0</v>
      </c>
      <c r="L220" s="19">
        <f>INDEX(Data_Macro!L:L,MATCH($G220,Data_Macro!$A:$A,0))</f>
        <v>1.02715172471961</v>
      </c>
      <c r="M220" s="19">
        <f>INDEX(Data_Macro!M:M,MATCH($G220,Data_Macro!$A:$A,0))</f>
        <v>1.02715172471961</v>
      </c>
      <c r="N220" s="19">
        <f>INDEX(Data_Macro!N:N,MATCH($G220,Data_Macro!$A:$A,0))</f>
        <v>1.0205698358851201</v>
      </c>
      <c r="O220" s="19">
        <f>INDEX(Data_Macro!O:O,MATCH($G220,Data_Macro!$A:$A,0))</f>
        <v>1.01733442885234</v>
      </c>
      <c r="P220" s="19">
        <f>INDEX(Data_Macro!P:P,MATCH($G220,Data_Macro!$A:$A,0))</f>
        <v>1.00766833225382</v>
      </c>
      <c r="Q220" s="19">
        <f>INDEX(Data_Macro!Q:Q,MATCH($G220,Data_Macro!$A:$A,0))</f>
        <v>1.0007442871755301</v>
      </c>
      <c r="R220" s="19">
        <f>INDEX(Data_Macro!R:R,MATCH($G220,Data_Macro!$A:$A,0))</f>
        <v>0.99188648901185805</v>
      </c>
      <c r="S220" s="19">
        <f>INDEX(Data_Macro!S:S,MATCH($G220,Data_Macro!$A:$A,0))</f>
        <v>0.98065540330043</v>
      </c>
      <c r="T220" s="19">
        <f>INDEX(Data_Macro!T:T,MATCH($G220,Data_Macro!$A:$A,0))</f>
        <v>0.97020940399244304</v>
      </c>
      <c r="U220" s="19">
        <f>INDEX(Data_Macro!U:U,MATCH($G220,Data_Macro!$A:$A,0))</f>
        <v>0.96419265907710505</v>
      </c>
      <c r="V220" s="19">
        <f>INDEX(Data_Macro!V:V,MATCH($G220,Data_Macro!$A:$A,0))</f>
        <v>0.961612871227152</v>
      </c>
      <c r="W220" s="19">
        <f>INDEX(Data_Macro!W:W,MATCH($G220,Data_Macro!$A:$A,0))</f>
        <v>0.95919844785404995</v>
      </c>
      <c r="X220" s="19">
        <f>INDEX(Data_Macro!X:X,MATCH($G220,Data_Macro!$A:$A,0))</f>
        <v>0.95695125444519602</v>
      </c>
      <c r="Y220" s="19">
        <f>INDEX(Data_Macro!Y:Y,MATCH($G220,Data_Macro!$A:$A,0))</f>
        <v>0.95487297859577702</v>
      </c>
      <c r="Z220" s="19">
        <f>INDEX(Data_Macro!Z:Z,MATCH($G220,Data_Macro!$A:$A,0))</f>
        <v>0.95296514086144901</v>
      </c>
      <c r="AA220" s="19">
        <f>INDEX(Data_Macro!AA:AA,MATCH($G220,Data_Macro!$A:$A,0))</f>
        <v>0.95122910490338497</v>
      </c>
      <c r="AB220" s="19">
        <f>INDEX(Data_Macro!AB:AB,MATCH($G220,Data_Macro!$A:$A,0))</f>
        <v>0.94966608689229304</v>
      </c>
      <c r="AC220" s="19">
        <f>INDEX(Data_Macro!AC:AC,MATCH($G220,Data_Macro!$A:$A,0))</f>
        <v>0.94827716413797603</v>
      </c>
      <c r="AD220" s="19">
        <f>INDEX(Data_Macro!AD:AD,MATCH($G220,Data_Macro!$A:$A,0))</f>
        <v>0.94706328291559205</v>
      </c>
      <c r="AE220" s="19">
        <f>INDEX(Data_Macro!AE:AE,MATCH($G220,Data_Macro!$A:$A,0))</f>
        <v>0.94602526545851295</v>
      </c>
    </row>
    <row r="221" spans="2:31" x14ac:dyDescent="0.45">
      <c r="B221" s="14" t="s">
        <v>77</v>
      </c>
      <c r="C221" s="14" t="str">
        <f>$C$185</f>
        <v>mch</v>
      </c>
      <c r="D221" s="15" t="s">
        <v>89</v>
      </c>
      <c r="E221" s="16" t="s">
        <v>87</v>
      </c>
      <c r="F221" s="14" t="s">
        <v>90</v>
      </c>
      <c r="G221" s="17" t="str">
        <f>Settings!$B$3&amp;".mit.shock."&amp;$J$185</f>
        <v>egy.mit.shock.1</v>
      </c>
      <c r="K221" s="19">
        <f>INDEX(Data_Macro!K:K,MATCH($G221,Data_Macro!$A:$A,0))</f>
        <v>0</v>
      </c>
      <c r="L221" s="19">
        <f>INDEX(Data_Macro!L:L,MATCH($G221,Data_Macro!$A:$A,0))</f>
        <v>0</v>
      </c>
      <c r="M221" s="19">
        <f>INDEX(Data_Macro!M:M,MATCH($G221,Data_Macro!$A:$A,0))</f>
        <v>-0.20813308302044201</v>
      </c>
      <c r="N221" s="19">
        <f>INDEX(Data_Macro!N:N,MATCH($G221,Data_Macro!$A:$A,0))</f>
        <v>9.2371428571428604E-2</v>
      </c>
      <c r="O221" s="19">
        <f>INDEX(Data_Macro!O:O,MATCH($G221,Data_Macro!$A:$A,0))</f>
        <v>0</v>
      </c>
      <c r="P221" s="19">
        <f>INDEX(Data_Macro!P:P,MATCH($G221,Data_Macro!$A:$A,0))</f>
        <v>0</v>
      </c>
      <c r="Q221" s="19">
        <f>INDEX(Data_Macro!Q:Q,MATCH($G221,Data_Macro!$A:$A,0))</f>
        <v>0</v>
      </c>
      <c r="R221" s="19">
        <f>INDEX(Data_Macro!R:R,MATCH($G221,Data_Macro!$A:$A,0))</f>
        <v>0</v>
      </c>
      <c r="S221" s="19">
        <f>INDEX(Data_Macro!S:S,MATCH($G221,Data_Macro!$A:$A,0))</f>
        <v>0</v>
      </c>
      <c r="T221" s="19">
        <f>INDEX(Data_Macro!T:T,MATCH($G221,Data_Macro!$A:$A,0))</f>
        <v>0</v>
      </c>
      <c r="U221" s="19">
        <f>INDEX(Data_Macro!U:U,MATCH($G221,Data_Macro!$A:$A,0))</f>
        <v>0</v>
      </c>
      <c r="V221" s="19">
        <f>INDEX(Data_Macro!V:V,MATCH($G221,Data_Macro!$A:$A,0))</f>
        <v>0</v>
      </c>
      <c r="W221" s="19">
        <f>INDEX(Data_Macro!W:W,MATCH($G221,Data_Macro!$A:$A,0))</f>
        <v>0</v>
      </c>
      <c r="X221" s="19">
        <f>INDEX(Data_Macro!X:X,MATCH($G221,Data_Macro!$A:$A,0))</f>
        <v>0</v>
      </c>
      <c r="Y221" s="19">
        <f>INDEX(Data_Macro!Y:Y,MATCH($G221,Data_Macro!$A:$A,0))</f>
        <v>0</v>
      </c>
      <c r="Z221" s="19">
        <f>INDEX(Data_Macro!Z:Z,MATCH($G221,Data_Macro!$A:$A,0))</f>
        <v>0</v>
      </c>
      <c r="AA221" s="19">
        <f>INDEX(Data_Macro!AA:AA,MATCH($G221,Data_Macro!$A:$A,0))</f>
        <v>0</v>
      </c>
      <c r="AB221" s="19">
        <f>INDEX(Data_Macro!AB:AB,MATCH($G221,Data_Macro!$A:$A,0))</f>
        <v>0</v>
      </c>
      <c r="AC221" s="19">
        <f>INDEX(Data_Macro!AC:AC,MATCH($G221,Data_Macro!$A:$A,0))</f>
        <v>0</v>
      </c>
      <c r="AD221" s="19">
        <f>INDEX(Data_Macro!AD:AD,MATCH($G221,Data_Macro!$A:$A,0))</f>
        <v>0</v>
      </c>
      <c r="AE221" s="19">
        <f>INDEX(Data_Macro!AE:AE,MATCH($G221,Data_Macro!$A:$A,0))</f>
        <v>0</v>
      </c>
    </row>
    <row r="222" spans="2:31" x14ac:dyDescent="0.45">
      <c r="B222" s="13" t="s">
        <v>91</v>
      </c>
    </row>
    <row r="223" spans="2:31" x14ac:dyDescent="0.45">
      <c r="B223" s="7" t="s">
        <v>32</v>
      </c>
      <c r="C223" s="7" t="s">
        <v>33</v>
      </c>
      <c r="D223" s="21" t="s">
        <v>34</v>
      </c>
      <c r="E223" s="7" t="s">
        <v>92</v>
      </c>
      <c r="F223" s="7" t="s">
        <v>93</v>
      </c>
      <c r="G223" s="7" t="s">
        <v>94</v>
      </c>
      <c r="H223" s="7" t="s">
        <v>95</v>
      </c>
      <c r="I223" s="7" t="s">
        <v>96</v>
      </c>
      <c r="J223" s="7" t="s">
        <v>97</v>
      </c>
    </row>
    <row r="224" spans="2:31" x14ac:dyDescent="0.45">
      <c r="B224" s="14" t="s">
        <v>49</v>
      </c>
      <c r="C224" s="14" t="str">
        <f t="shared" ref="C224:C232" si="21">$C$185</f>
        <v>mch</v>
      </c>
      <c r="D224" s="22" t="s">
        <v>98</v>
      </c>
      <c r="E224" s="23">
        <f>INDEX(Data_Elast!$D:$G,MATCH("el_inc_"&amp;INDEX(Data_Elast!$J:$J,MATCH($B224,Data_Elast!$I:$I,0)),Data_Elast!$A:$A,0),MATCH(Settings!$B$5,Data_Elast!$D$1:$G$1,0))</f>
        <v>0.5</v>
      </c>
      <c r="F224" s="23">
        <f>INDEX(Data_Elast!$D:$G,MATCH("el_dem_"&amp;INDEX(Data_Elast!$J:$J,MATCH($B224,Data_Elast!$I:$I,0)),Data_Elast!$A:$A,0),MATCH(Settings!$B$5,Data_Elast!$D$1:$G$1,0))</f>
        <v>-0.3</v>
      </c>
      <c r="G224" s="23">
        <f>INDEX(Data_Elast!$D:$G,MATCH("el_eff_"&amp;INDEX(Data_Elast!$J:$J,MATCH($B224,Data_Elast!$I:$I,0)),Data_Elast!$A:$A,0),MATCH(Settings!$B$5,Data_Elast!$D$1:$G$1,0))</f>
        <v>-0.4</v>
      </c>
      <c r="H224" s="23">
        <f>INDEX(Data_Elast!$D:$G,MATCH("eff_imp_"&amp;INDEX(Data_Elast!$K:$K,MATCH($B224,Data_Elast!$I:$I,0)),Data_Elast!$A:$A,0),MATCH(Settings!$B$5,Data_Elast!$D$1:$G$1,0))</f>
        <v>5.0000000000000001E-3</v>
      </c>
      <c r="I224" s="23">
        <f>Settings!$B$7</f>
        <v>0</v>
      </c>
      <c r="J224" s="16" t="str">
        <f>INDEX(Data_Elast!$J:$J,MATCH($B224,Data_Elast!$I:$I,0))</f>
        <v>coa</v>
      </c>
    </row>
    <row r="225" spans="2:31" x14ac:dyDescent="0.45">
      <c r="B225" s="14" t="s">
        <v>53</v>
      </c>
      <c r="C225" s="14" t="str">
        <f t="shared" si="21"/>
        <v>mch</v>
      </c>
      <c r="D225" s="22" t="s">
        <v>99</v>
      </c>
      <c r="E225" s="23">
        <f>INDEX(Data_Elast!$D:$G,MATCH("el_inc_"&amp;INDEX(Data_Elast!$J:$J,MATCH($B225,Data_Elast!$I:$I,0)),Data_Elast!$A:$A,0),MATCH(Settings!$B$5,Data_Elast!$D$1:$G$1,0))</f>
        <v>1</v>
      </c>
      <c r="F225" s="23">
        <f>INDEX(Data_Elast!$D:$G,MATCH("el_dem_"&amp;INDEX(Data_Elast!$J:$J,MATCH($B225,Data_Elast!$I:$I,0)),Data_Elast!$A:$A,0),MATCH(Settings!$B$5,Data_Elast!$D$1:$G$1,0))</f>
        <v>-0.5</v>
      </c>
      <c r="G225" s="23">
        <f>INDEX(Data_Elast!$D:$G,MATCH("el_eff_"&amp;INDEX(Data_Elast!$J:$J,MATCH($B225,Data_Elast!$I:$I,0)),Data_Elast!$A:$A,0),MATCH(Settings!$B$5,Data_Elast!$D$1:$G$1,0))</f>
        <v>-0.5</v>
      </c>
      <c r="H225" s="23">
        <f>INDEX(Data_Elast!$D:$G,MATCH("eff_imp_"&amp;INDEX(Data_Elast!$K:$K,MATCH($B225,Data_Elast!$I:$I,0)),Data_Elast!$A:$A,0),MATCH(Settings!$B$5,Data_Elast!$D$1:$G$1,0))</f>
        <v>0.01</v>
      </c>
      <c r="I225" s="23">
        <f>Settings!$B$7</f>
        <v>0</v>
      </c>
      <c r="J225" s="16" t="str">
        <f>INDEX(Data_Elast!$J:$J,MATCH($B225,Data_Elast!$I:$I,0))</f>
        <v>nga</v>
      </c>
    </row>
    <row r="226" spans="2:31" x14ac:dyDescent="0.45">
      <c r="B226" s="14" t="s">
        <v>55</v>
      </c>
      <c r="C226" s="14" t="str">
        <f t="shared" si="21"/>
        <v>mch</v>
      </c>
      <c r="D226" s="22" t="s">
        <v>100</v>
      </c>
      <c r="E226" s="23">
        <f>INDEX(Data_Elast!$D:$G,MATCH("el_inc_"&amp;INDEX(Data_Elast!$J:$J,MATCH($B226,Data_Elast!$I:$I,0)),Data_Elast!$A:$A,0),MATCH(Settings!$B$5,Data_Elast!$D$1:$G$1,0))</f>
        <v>0.5</v>
      </c>
      <c r="F226" s="23">
        <f>INDEX(Data_Elast!$D:$G,MATCH("el_dem_"&amp;INDEX(Data_Elast!$J:$J,MATCH($B226,Data_Elast!$I:$I,0)),Data_Elast!$A:$A,0),MATCH(Settings!$B$5,Data_Elast!$D$1:$G$1,0))</f>
        <v>-0.4</v>
      </c>
      <c r="G226" s="23">
        <f>INDEX(Data_Elast!$D:$G,MATCH("el_eff_"&amp;INDEX(Data_Elast!$J:$J,MATCH($B226,Data_Elast!$I:$I,0)),Data_Elast!$A:$A,0),MATCH(Settings!$B$5,Data_Elast!$D$1:$G$1,0))</f>
        <v>-0.7</v>
      </c>
      <c r="H226" s="23">
        <f>INDEX(Data_Elast!$D:$G,MATCH("eff_imp_"&amp;INDEX(Data_Elast!$K:$K,MATCH($B226,Data_Elast!$I:$I,0)),Data_Elast!$A:$A,0),MATCH(Settings!$B$5,Data_Elast!$D$1:$G$1,0))</f>
        <v>5.0000000000000001E-3</v>
      </c>
      <c r="I226" s="23">
        <f>Settings!$B$7</f>
        <v>0</v>
      </c>
      <c r="J226" s="16" t="str">
        <f>INDEX(Data_Elast!$J:$J,MATCH($B226,Data_Elast!$I:$I,0))</f>
        <v>gso</v>
      </c>
    </row>
    <row r="227" spans="2:31" x14ac:dyDescent="0.45">
      <c r="B227" s="14" t="s">
        <v>58</v>
      </c>
      <c r="C227" s="14" t="str">
        <f t="shared" si="21"/>
        <v>mch</v>
      </c>
      <c r="D227" s="22" t="s">
        <v>101</v>
      </c>
      <c r="E227" s="23">
        <f>INDEX(Data_Elast!$D:$G,MATCH("el_inc_"&amp;INDEX(Data_Elast!$J:$J,MATCH($B227,Data_Elast!$I:$I,0)),Data_Elast!$A:$A,0),MATCH(Settings!$B$5,Data_Elast!$D$1:$G$1,0))</f>
        <v>0.5</v>
      </c>
      <c r="F227" s="23">
        <f>INDEX(Data_Elast!$D:$G,MATCH("el_dem_"&amp;INDEX(Data_Elast!$J:$J,MATCH($B227,Data_Elast!$I:$I,0)),Data_Elast!$A:$A,0),MATCH(Settings!$B$5,Data_Elast!$D$1:$G$1,0))</f>
        <v>-0.7</v>
      </c>
      <c r="G227" s="23">
        <f>INDEX(Data_Elast!$D:$G,MATCH("el_eff_"&amp;INDEX(Data_Elast!$J:$J,MATCH($B227,Data_Elast!$I:$I,0)),Data_Elast!$A:$A,0),MATCH(Settings!$B$5,Data_Elast!$D$1:$G$1,0))</f>
        <v>-1.2</v>
      </c>
      <c r="H227" s="23">
        <f>INDEX(Data_Elast!$D:$G,MATCH("eff_imp_"&amp;INDEX(Data_Elast!$K:$K,MATCH($B227,Data_Elast!$I:$I,0)),Data_Elast!$A:$A,0),MATCH(Settings!$B$5,Data_Elast!$D$1:$G$1,0))</f>
        <v>5.0000000000000001E-3</v>
      </c>
      <c r="I227" s="23">
        <f>Settings!$B$7</f>
        <v>0</v>
      </c>
      <c r="J227" s="16" t="str">
        <f>INDEX(Data_Elast!$J:$J,MATCH($B227,Data_Elast!$I:$I,0))</f>
        <v>die</v>
      </c>
    </row>
    <row r="228" spans="2:31" x14ac:dyDescent="0.45">
      <c r="B228" s="14" t="s">
        <v>60</v>
      </c>
      <c r="C228" s="14" t="str">
        <f t="shared" si="21"/>
        <v>mch</v>
      </c>
      <c r="D228" s="22" t="s">
        <v>102</v>
      </c>
      <c r="E228" s="23">
        <f>INDEX(Data_Elast!$D:$G,MATCH("el_inc_"&amp;INDEX(Data_Elast!$J:$J,MATCH($B228,Data_Elast!$I:$I,0)),Data_Elast!$A:$A,0),MATCH(Settings!$B$5,Data_Elast!$D$1:$G$1,0))</f>
        <v>0.8</v>
      </c>
      <c r="F228" s="23">
        <f>INDEX(Data_Elast!$D:$G,MATCH("el_dem_"&amp;INDEX(Data_Elast!$J:$J,MATCH($B228,Data_Elast!$I:$I,0)),Data_Elast!$A:$A,0),MATCH(Settings!$B$5,Data_Elast!$D$1:$G$1,0))</f>
        <v>-0.4</v>
      </c>
      <c r="G228" s="23">
        <f>INDEX(Data_Elast!$D:$G,MATCH("el_eff_"&amp;INDEX(Data_Elast!$J:$J,MATCH($B228,Data_Elast!$I:$I,0)),Data_Elast!$A:$A,0),MATCH(Settings!$B$5,Data_Elast!$D$1:$G$1,0))</f>
        <v>-0.4</v>
      </c>
      <c r="H228" s="23">
        <f>INDEX(Data_Elast!$D:$G,MATCH("eff_imp_"&amp;INDEX(Data_Elast!$K:$K,MATCH($B228,Data_Elast!$I:$I,0)),Data_Elast!$A:$A,0),MATCH(Settings!$B$5,Data_Elast!$D$1:$G$1,0))</f>
        <v>5.0000000000000001E-3</v>
      </c>
      <c r="I228" s="23">
        <f>Settings!$B$7</f>
        <v>0</v>
      </c>
      <c r="J228" s="16" t="str">
        <f>INDEX(Data_Elast!$J:$J,MATCH($B228,Data_Elast!$I:$I,0))</f>
        <v>oil</v>
      </c>
    </row>
    <row r="229" spans="2:31" x14ac:dyDescent="0.45">
      <c r="B229" s="14" t="s">
        <v>62</v>
      </c>
      <c r="C229" s="14" t="str">
        <f t="shared" si="21"/>
        <v>mch</v>
      </c>
      <c r="D229" s="22" t="s">
        <v>103</v>
      </c>
      <c r="E229" s="23">
        <f>INDEX(Data_Elast!$D:$G,MATCH("el_inc_"&amp;INDEX(Data_Elast!$J:$J,MATCH($B229,Data_Elast!$I:$I,0)),Data_Elast!$A:$A,0),MATCH(Settings!$B$5,Data_Elast!$D$1:$G$1,0))</f>
        <v>0.8</v>
      </c>
      <c r="F229" s="23">
        <f>INDEX(Data_Elast!$D:$G,MATCH("el_dem_"&amp;INDEX(Data_Elast!$J:$J,MATCH($B229,Data_Elast!$I:$I,0)),Data_Elast!$A:$A,0),MATCH(Settings!$B$5,Data_Elast!$D$1:$G$1,0))</f>
        <v>-0.4</v>
      </c>
      <c r="G229" s="23">
        <f>INDEX(Data_Elast!$D:$G,MATCH("el_eff_"&amp;INDEX(Data_Elast!$J:$J,MATCH($B229,Data_Elast!$I:$I,0)),Data_Elast!$A:$A,0),MATCH(Settings!$B$5,Data_Elast!$D$1:$G$1,0))</f>
        <v>-0.4</v>
      </c>
      <c r="H229" s="23">
        <f>INDEX(Data_Elast!$D:$G,MATCH("eff_imp_"&amp;INDEX(Data_Elast!$K:$K,MATCH($B229,Data_Elast!$I:$I,0)),Data_Elast!$A:$A,0),MATCH(Settings!$B$5,Data_Elast!$D$1:$G$1,0))</f>
        <v>5.0000000000000001E-3</v>
      </c>
      <c r="I229" s="23">
        <f>Settings!$B$7</f>
        <v>0</v>
      </c>
      <c r="J229" s="16" t="str">
        <f>INDEX(Data_Elast!$J:$J,MATCH($B229,Data_Elast!$I:$I,0))</f>
        <v>oil</v>
      </c>
    </row>
    <row r="230" spans="2:31" x14ac:dyDescent="0.45">
      <c r="B230" s="14" t="s">
        <v>64</v>
      </c>
      <c r="C230" s="14" t="str">
        <f t="shared" si="21"/>
        <v>mch</v>
      </c>
      <c r="D230" s="22" t="s">
        <v>104</v>
      </c>
      <c r="E230" s="23">
        <f>INDEX(Data_Elast!$D:$G,MATCH("el_inc_"&amp;INDEX(Data_Elast!$J:$J,MATCH($B230,Data_Elast!$I:$I,0)),Data_Elast!$A:$A,0),MATCH(Settings!$B$5,Data_Elast!$D$1:$G$1,0))</f>
        <v>0.8</v>
      </c>
      <c r="F230" s="23">
        <f>INDEX(Data_Elast!$D:$G,MATCH("el_dem_"&amp;INDEX(Data_Elast!$J:$J,MATCH($B230,Data_Elast!$I:$I,0)),Data_Elast!$A:$A,0),MATCH(Settings!$B$5,Data_Elast!$D$1:$G$1,0))</f>
        <v>-0.4</v>
      </c>
      <c r="G230" s="23">
        <f>INDEX(Data_Elast!$D:$G,MATCH("el_eff_"&amp;INDEX(Data_Elast!$J:$J,MATCH($B230,Data_Elast!$I:$I,0)),Data_Elast!$A:$A,0),MATCH(Settings!$B$5,Data_Elast!$D$1:$G$1,0))</f>
        <v>-0.4</v>
      </c>
      <c r="H230" s="23">
        <f>INDEX(Data_Elast!$D:$G,MATCH("eff_imp_"&amp;INDEX(Data_Elast!$K:$K,MATCH($B230,Data_Elast!$I:$I,0)),Data_Elast!$A:$A,0),MATCH(Settings!$B$5,Data_Elast!$D$1:$G$1,0))</f>
        <v>5.0000000000000001E-3</v>
      </c>
      <c r="I230" s="23">
        <f>Settings!$B$7</f>
        <v>0</v>
      </c>
      <c r="J230" s="16" t="str">
        <f>INDEX(Data_Elast!$J:$J,MATCH($B230,Data_Elast!$I:$I,0))</f>
        <v>oil</v>
      </c>
    </row>
    <row r="231" spans="2:31" x14ac:dyDescent="0.45">
      <c r="B231" s="14" t="s">
        <v>67</v>
      </c>
      <c r="C231" s="14" t="str">
        <f t="shared" si="21"/>
        <v>mch</v>
      </c>
      <c r="D231" s="22" t="s">
        <v>105</v>
      </c>
      <c r="E231" s="23">
        <f>INDEX(Data_Elast!$D:$G,MATCH("el_inc_"&amp;INDEX(Data_Elast!$J:$J,MATCH($B231,Data_Elast!$I:$I,0)),Data_Elast!$A:$A,0),MATCH(Settings!$B$5,Data_Elast!$D$1:$G$1,0))</f>
        <v>0.1</v>
      </c>
      <c r="F231" s="23">
        <f>INDEX(Data_Elast!$D:$G,MATCH("el_dem_"&amp;INDEX(Data_Elast!$J:$J,MATCH($B231,Data_Elast!$I:$I,0)),Data_Elast!$A:$A,0),MATCH(Settings!$B$5,Data_Elast!$D$1:$G$1,0))</f>
        <v>-0.3</v>
      </c>
      <c r="G231" s="23">
        <f>INDEX(Data_Elast!$D:$G,MATCH("el_eff_"&amp;INDEX(Data_Elast!$J:$J,MATCH($B231,Data_Elast!$I:$I,0)),Data_Elast!$A:$A,0),MATCH(Settings!$B$5,Data_Elast!$D$1:$G$1,0))</f>
        <v>-0.2</v>
      </c>
      <c r="H231" s="23">
        <f>INDEX(Data_Elast!$D:$G,MATCH("eff_imp_"&amp;INDEX(Data_Elast!$K:$K,MATCH($B231,Data_Elast!$I:$I,0)),Data_Elast!$A:$A,0),MATCH(Settings!$B$5,Data_Elast!$D$1:$G$1,0))</f>
        <v>5.0000000000000001E-3</v>
      </c>
      <c r="I231" s="23">
        <f>Settings!$B$7</f>
        <v>0</v>
      </c>
      <c r="J231" s="16" t="str">
        <f>INDEX(Data_Elast!$J:$J,MATCH($B231,Data_Elast!$I:$I,0))</f>
        <v>bio</v>
      </c>
    </row>
    <row r="232" spans="2:31" x14ac:dyDescent="0.45">
      <c r="B232" s="14" t="s">
        <v>69</v>
      </c>
      <c r="C232" s="14" t="str">
        <f t="shared" si="21"/>
        <v>mch</v>
      </c>
      <c r="D232" s="22" t="s">
        <v>106</v>
      </c>
      <c r="E232" s="23">
        <f>INDEX(Data_Elast!$D:$G,MATCH("el_inc_"&amp;INDEX(Data_Elast!$J:$J,MATCH($B232,Data_Elast!$I:$I,0)),Data_Elast!$A:$A,0),MATCH(Settings!$B$5,Data_Elast!$D$1:$G$1,0))</f>
        <v>0.8</v>
      </c>
      <c r="F232" s="23">
        <f>INDEX(Data_Elast!$D:$G,MATCH("el_dem_"&amp;INDEX(Data_Elast!$J:$J,MATCH($B232,Data_Elast!$I:$I,0)),Data_Elast!$A:$A,0),MATCH(Settings!$B$5,Data_Elast!$D$1:$G$1,0))</f>
        <v>-0.5</v>
      </c>
      <c r="G232" s="23">
        <f>INDEX(Data_Elast!$D:$G,MATCH("el_eff_"&amp;INDEX(Data_Elast!$J:$J,MATCH($B232,Data_Elast!$I:$I,0)),Data_Elast!$A:$A,0),MATCH(Settings!$B$5,Data_Elast!$D$1:$G$1,0))</f>
        <v>-0.4</v>
      </c>
      <c r="H232" s="23">
        <f>INDEX(Data_Elast!$D:$G,MATCH("eff_imp_"&amp;INDEX(Data_Elast!$K:$K,MATCH($B232,Data_Elast!$I:$I,0)),Data_Elast!$A:$A,0),MATCH(Settings!$B$5,Data_Elast!$D$1:$G$1,0))</f>
        <v>5.0000000000000001E-3</v>
      </c>
      <c r="I232" s="23">
        <f>Settings!$B$7</f>
        <v>0</v>
      </c>
      <c r="J232" s="16" t="str">
        <f>INDEX(Data_Elast!$J:$J,MATCH($B232,Data_Elast!$I:$I,0))</f>
        <v>ren</v>
      </c>
    </row>
    <row r="233" spans="2:31" x14ac:dyDescent="0.45">
      <c r="B233" s="13" t="s">
        <v>107</v>
      </c>
    </row>
    <row r="234" spans="2:31" x14ac:dyDescent="0.45">
      <c r="B234" s="14" t="s">
        <v>49</v>
      </c>
      <c r="C234" s="14" t="str">
        <f t="shared" ref="C234:C243" si="22">$C$185</f>
        <v>mch</v>
      </c>
      <c r="D234" s="15" t="s">
        <v>50</v>
      </c>
      <c r="E234" s="16" t="s">
        <v>108</v>
      </c>
      <c r="F234" s="14" t="s">
        <v>109</v>
      </c>
      <c r="G234" s="17" t="str">
        <f>Settings!$B$3&amp;".mit.enc."&amp;$B234</f>
        <v>egy.mit.enc.coa</v>
      </c>
      <c r="H234" s="45" t="str">
        <f>Settings!$B$3&amp;".mit.ener."&amp;$C$185&amp;"."&amp;$B234&amp;".e."&amp;$J$185</f>
        <v>egy.mit.ener.mch.coa.e.1</v>
      </c>
      <c r="I234" t="s">
        <v>2283</v>
      </c>
      <c r="L234" s="47">
        <f>INDEX(Data_Energy!$D$3:$U$22,MATCH($B234,Data_Energy!$C$3:$C$22,0),MATCH($C234,Data_Energy!$D$2:$U$2,0))</f>
        <v>0</v>
      </c>
      <c r="M234" s="24">
        <f>L234*(1+M$219)^($E224*M$220)*(1+M$221)*IF(Rebate_Industry!L$126&lt;=0,1,Rebate_Industry!M$126/Rebate_Industry!L$126)^$F224*(IF(L207&lt;=0,1,M207/L207)^$G224/(1+$H224+$I224))^(1+$F224)</f>
        <v>0</v>
      </c>
      <c r="N234" s="24">
        <f>M234*(1+N$219)^($E224*N$220)*(1+N$221)*IF(Rebate_Industry!M$126&lt;=0,1,Rebate_Industry!N$126/Rebate_Industry!M$126)^$F224*(IF(M207&lt;=0,1,N207/M207)^$G224/(1+$H224+$I224))^(1+$F224)</f>
        <v>0</v>
      </c>
      <c r="O234" s="24">
        <f>N234*(1+O$219)^($E224*O$220)*(1+O$221)*IF(Rebate_Industry!N$126&lt;=0,1,Rebate_Industry!O$126/Rebate_Industry!N$126)^$F224*(IF(N207&lt;=0,1,O207/N207)^$G224/(1+$H224+$I224))^(1+$F224)</f>
        <v>0</v>
      </c>
      <c r="P234" s="24">
        <f>O234*(1+P$219)^($E224*P$220)*(1+P$221)*IF(Rebate_Industry!O$126&lt;=0,1,Rebate_Industry!P$126/Rebate_Industry!O$126)^$F224*(IF(O207&lt;=0,1,P207/O207)^$G224/(1+$H224+$I224))^(1+$F224)</f>
        <v>0</v>
      </c>
      <c r="Q234" s="24">
        <f>P234*(1+Q$219)^($E224*Q$220)*(1+Q$221)*IF(Rebate_Industry!P$126&lt;=0,1,Rebate_Industry!Q$126/Rebate_Industry!P$126)^$F224*(IF(P207&lt;=0,1,Q207/P207)^$G224/(1+$H224+$I224))^(1+$F224)</f>
        <v>0</v>
      </c>
      <c r="R234" s="24">
        <f>Q234*(1+R$219)^($E224*R$220)*(1+R$221)*IF(Rebate_Industry!Q$126&lt;=0,1,Rebate_Industry!R$126/Rebate_Industry!Q$126)^$F224*(IF(Q207&lt;=0,1,R207/Q207)^$G224/(1+$H224+$I224))^(1+$F224)</f>
        <v>0</v>
      </c>
      <c r="S234" s="24">
        <f>R234*(1+S$219)^($E224*S$220)*(1+S$221)*IF(Rebate_Industry!R$126&lt;=0,1,Rebate_Industry!S$126/Rebate_Industry!R$126)^$F224*(IF(R207&lt;=0,1,S207/R207)^$G224/(1+$H224+$I224))^(1+$F224)</f>
        <v>0</v>
      </c>
      <c r="T234" s="24">
        <f>S234*(1+T$219)^($E224*T$220)*(1+T$221)*IF(Rebate_Industry!S$126&lt;=0,1,Rebate_Industry!T$126/Rebate_Industry!S$126)^$F224*(IF(S207&lt;=0,1,T207/S207)^$G224/(1+$H224+$I224))^(1+$F224)</f>
        <v>0</v>
      </c>
      <c r="U234" s="24">
        <f>T234*(1+U$219)^($E224*U$220)*(1+U$221)*IF(Rebate_Industry!T$126&lt;=0,1,Rebate_Industry!U$126/Rebate_Industry!T$126)^$F224*(IF(T207&lt;=0,1,U207/T207)^$G224/(1+$H224+$I224))^(1+$F224)</f>
        <v>0</v>
      </c>
      <c r="V234" s="24">
        <f>U234*(1+V$219)^($E224*V$220)*(1+V$221)*IF(Rebate_Industry!U$126&lt;=0,1,Rebate_Industry!V$126/Rebate_Industry!U$126)^$F224*(IF(U207&lt;=0,1,V207/U207)^$G224/(1+$H224+$I224))^(1+$F224)</f>
        <v>0</v>
      </c>
      <c r="W234" s="24">
        <f>V234*(1+W$219)^($E224*W$220)*(1+W$221)*IF(Rebate_Industry!V$126&lt;=0,1,Rebate_Industry!W$126/Rebate_Industry!V$126)^$F224*(IF(V207&lt;=0,1,W207/V207)^$G224/(1+$H224+$I224))^(1+$F224)</f>
        <v>0</v>
      </c>
      <c r="X234" s="24">
        <f>W234*(1+X$219)^($E224*X$220)*(1+X$221)*IF(Rebate_Industry!W$126&lt;=0,1,Rebate_Industry!X$126/Rebate_Industry!W$126)^$F224*(IF(W207&lt;=0,1,X207/W207)^$G224/(1+$H224+$I224))^(1+$F224)</f>
        <v>0</v>
      </c>
      <c r="Y234" s="24">
        <f>X234*(1+Y$219)^($E224*Y$220)*(1+Y$221)*IF(Rebate_Industry!X$126&lt;=0,1,Rebate_Industry!Y$126/Rebate_Industry!X$126)^$F224*(IF(X207&lt;=0,1,Y207/X207)^$G224/(1+$H224+$I224))^(1+$F224)</f>
        <v>0</v>
      </c>
      <c r="Z234" s="24">
        <f>Y234*(1+Z$219)^($E224*Z$220)*(1+Z$221)*IF(Rebate_Industry!Y$126&lt;=0,1,Rebate_Industry!Z$126/Rebate_Industry!Y$126)^$F224*(IF(Y207&lt;=0,1,Z207/Y207)^$G224/(1+$H224+$I224))^(1+$F224)</f>
        <v>0</v>
      </c>
      <c r="AA234" s="24">
        <f>Z234*(1+AA$219)^($E224*AA$220)*(1+AA$221)*IF(Rebate_Industry!Z$126&lt;=0,1,Rebate_Industry!AA$126/Rebate_Industry!Z$126)^$F224*(IF(Z207&lt;=0,1,AA207/Z207)^$G224/(1+$H224+$I224))^(1+$F224)</f>
        <v>0</v>
      </c>
      <c r="AB234" s="24">
        <f>AA234*(1+AB$219)^($E224*AB$220)*(1+AB$221)*IF(Rebate_Industry!AA$126&lt;=0,1,Rebate_Industry!AB$126/Rebate_Industry!AA$126)^$F224*(IF(AA207&lt;=0,1,AB207/AA207)^$G224/(1+$H224+$I224))^(1+$F224)</f>
        <v>0</v>
      </c>
      <c r="AC234" s="24">
        <f>AB234*(1+AC$219)^($E224*AC$220)*(1+AC$221)*IF(Rebate_Industry!AB$126&lt;=0,1,Rebate_Industry!AC$126/Rebate_Industry!AB$126)^$F224*(IF(AB207&lt;=0,1,AC207/AB207)^$G224/(1+$H224+$I224))^(1+$F224)</f>
        <v>0</v>
      </c>
      <c r="AD234" s="24">
        <f>AC234*(1+AD$219)^($E224*AD$220)*(1+AD$221)*IF(Rebate_Industry!AC$126&lt;=0,1,Rebate_Industry!AD$126/Rebate_Industry!AC$126)^$F224*(IF(AC207&lt;=0,1,AD207/AC207)^$G224/(1+$H224+$I224))^(1+$F224)</f>
        <v>0</v>
      </c>
      <c r="AE234" s="24">
        <f>AD234*(1+AE$219)^($E224*AE$220)*(1+AE$221)*IF(Rebate_Industry!AD$126&lt;=0,1,Rebate_Industry!AE$126/Rebate_Industry!AD$126)^$F224*(IF(AD207&lt;=0,1,AE207/AD207)^$G224/(1+$H224+$I224))^(1+$F224)</f>
        <v>0</v>
      </c>
    </row>
    <row r="235" spans="2:31" x14ac:dyDescent="0.45">
      <c r="B235" s="14" t="s">
        <v>53</v>
      </c>
      <c r="C235" s="14" t="str">
        <f t="shared" si="22"/>
        <v>mch</v>
      </c>
      <c r="D235" s="15" t="s">
        <v>54</v>
      </c>
      <c r="E235" s="16" t="s">
        <v>108</v>
      </c>
      <c r="F235" s="14" t="s">
        <v>109</v>
      </c>
      <c r="G235" s="17" t="str">
        <f>Settings!$B$3&amp;".mit.enc."&amp;$B235</f>
        <v>egy.mit.enc.nga</v>
      </c>
      <c r="H235" s="45" t="str">
        <f>Settings!$B$3&amp;".mit.ener."&amp;$C$185&amp;"."&amp;$B235&amp;".e."&amp;$J$185</f>
        <v>egy.mit.ener.mch.nga.e.1</v>
      </c>
      <c r="I235" t="s">
        <v>2284</v>
      </c>
      <c r="L235" s="47">
        <f>INDEX(Data_Energy!$D$3:$U$22,MATCH($B235,Data_Energy!$C$3:$C$22,0),MATCH($C235,Data_Energy!$D$2:$U$2,0))</f>
        <v>0</v>
      </c>
      <c r="M235" s="24">
        <f>L235*(1+M$219)^($E225*M$220)*(1+M$221)*IF(Rebate_Industry!L$127&lt;=0,1,Rebate_Industry!M$127/Rebate_Industry!L$127)^$F225*(IF(L208&lt;=0,1,M208/L208)^$G225/(1+$H225+$I225))^(1+$F225)</f>
        <v>0</v>
      </c>
      <c r="N235" s="24">
        <f>M235*(1+N$219)^($E225*N$220)*(1+N$221)*IF(Rebate_Industry!M$127&lt;=0,1,Rebate_Industry!N$127/Rebate_Industry!M$127)^$F225*(IF(M208&lt;=0,1,N208/M208)^$G225/(1+$H225+$I225))^(1+$F225)</f>
        <v>0</v>
      </c>
      <c r="O235" s="24">
        <f>N235*(1+O$219)^($E225*O$220)*(1+O$221)*IF(Rebate_Industry!N$127&lt;=0,1,Rebate_Industry!O$127/Rebate_Industry!N$127)^$F225*(IF(N208&lt;=0,1,O208/N208)^$G225/(1+$H225+$I225))^(1+$F225)</f>
        <v>0</v>
      </c>
      <c r="P235" s="24">
        <f>O235*(1+P$219)^($E225*P$220)*(1+P$221)*IF(Rebate_Industry!O$127&lt;=0,1,Rebate_Industry!P$127/Rebate_Industry!O$127)^$F225*(IF(O208&lt;=0,1,P208/O208)^$G225/(1+$H225+$I225))^(1+$F225)</f>
        <v>0</v>
      </c>
      <c r="Q235" s="24">
        <f>P235*(1+Q$219)^($E225*Q$220)*(1+Q$221)*IF(Rebate_Industry!P$127&lt;=0,1,Rebate_Industry!Q$127/Rebate_Industry!P$127)^$F225*(IF(P208&lt;=0,1,Q208/P208)^$G225/(1+$H225+$I225))^(1+$F225)</f>
        <v>0</v>
      </c>
      <c r="R235" s="24">
        <f>Q235*(1+R$219)^($E225*R$220)*(1+R$221)*IF(Rebate_Industry!Q$127&lt;=0,1,Rebate_Industry!R$127/Rebate_Industry!Q$127)^$F225*(IF(Q208&lt;=0,1,R208/Q208)^$G225/(1+$H225+$I225))^(1+$F225)</f>
        <v>0</v>
      </c>
      <c r="S235" s="24">
        <f>R235*(1+S$219)^($E225*S$220)*(1+S$221)*IF(Rebate_Industry!R$127&lt;=0,1,Rebate_Industry!S$127/Rebate_Industry!R$127)^$F225*(IF(R208&lt;=0,1,S208/R208)^$G225/(1+$H225+$I225))^(1+$F225)</f>
        <v>0</v>
      </c>
      <c r="T235" s="24">
        <f>S235*(1+T$219)^($E225*T$220)*(1+T$221)*IF(Rebate_Industry!S$127&lt;=0,1,Rebate_Industry!T$127/Rebate_Industry!S$127)^$F225*(IF(S208&lt;=0,1,T208/S208)^$G225/(1+$H225+$I225))^(1+$F225)</f>
        <v>0</v>
      </c>
      <c r="U235" s="24">
        <f>T235*(1+U$219)^($E225*U$220)*(1+U$221)*IF(Rebate_Industry!T$127&lt;=0,1,Rebate_Industry!U$127/Rebate_Industry!T$127)^$F225*(IF(T208&lt;=0,1,U208/T208)^$G225/(1+$H225+$I225))^(1+$F225)</f>
        <v>0</v>
      </c>
      <c r="V235" s="24">
        <f>U235*(1+V$219)^($E225*V$220)*(1+V$221)*IF(Rebate_Industry!U$127&lt;=0,1,Rebate_Industry!V$127/Rebate_Industry!U$127)^$F225*(IF(U208&lt;=0,1,V208/U208)^$G225/(1+$H225+$I225))^(1+$F225)</f>
        <v>0</v>
      </c>
      <c r="W235" s="24">
        <f>V235*(1+W$219)^($E225*W$220)*(1+W$221)*IF(Rebate_Industry!V$127&lt;=0,1,Rebate_Industry!W$127/Rebate_Industry!V$127)^$F225*(IF(V208&lt;=0,1,W208/V208)^$G225/(1+$H225+$I225))^(1+$F225)</f>
        <v>0</v>
      </c>
      <c r="X235" s="24">
        <f>W235*(1+X$219)^($E225*X$220)*(1+X$221)*IF(Rebate_Industry!W$127&lt;=0,1,Rebate_Industry!X$127/Rebate_Industry!W$127)^$F225*(IF(W208&lt;=0,1,X208/W208)^$G225/(1+$H225+$I225))^(1+$F225)</f>
        <v>0</v>
      </c>
      <c r="Y235" s="24">
        <f>X235*(1+Y$219)^($E225*Y$220)*(1+Y$221)*IF(Rebate_Industry!X$127&lt;=0,1,Rebate_Industry!Y$127/Rebate_Industry!X$127)^$F225*(IF(X208&lt;=0,1,Y208/X208)^$G225/(1+$H225+$I225))^(1+$F225)</f>
        <v>0</v>
      </c>
      <c r="Z235" s="24">
        <f>Y235*(1+Z$219)^($E225*Z$220)*(1+Z$221)*IF(Rebate_Industry!Y$127&lt;=0,1,Rebate_Industry!Z$127/Rebate_Industry!Y$127)^$F225*(IF(Y208&lt;=0,1,Z208/Y208)^$G225/(1+$H225+$I225))^(1+$F225)</f>
        <v>0</v>
      </c>
      <c r="AA235" s="24">
        <f>Z235*(1+AA$219)^($E225*AA$220)*(1+AA$221)*IF(Rebate_Industry!Z$127&lt;=0,1,Rebate_Industry!AA$127/Rebate_Industry!Z$127)^$F225*(IF(Z208&lt;=0,1,AA208/Z208)^$G225/(1+$H225+$I225))^(1+$F225)</f>
        <v>0</v>
      </c>
      <c r="AB235" s="24">
        <f>AA235*(1+AB$219)^($E225*AB$220)*(1+AB$221)*IF(Rebate_Industry!AA$127&lt;=0,1,Rebate_Industry!AB$127/Rebate_Industry!AA$127)^$F225*(IF(AA208&lt;=0,1,AB208/AA208)^$G225/(1+$H225+$I225))^(1+$F225)</f>
        <v>0</v>
      </c>
      <c r="AC235" s="24">
        <f>AB235*(1+AC$219)^($E225*AC$220)*(1+AC$221)*IF(Rebate_Industry!AB$127&lt;=0,1,Rebate_Industry!AC$127/Rebate_Industry!AB$127)^$F225*(IF(AB208&lt;=0,1,AC208/AB208)^$G225/(1+$H225+$I225))^(1+$F225)</f>
        <v>0</v>
      </c>
      <c r="AD235" s="24">
        <f>AC235*(1+AD$219)^($E225*AD$220)*(1+AD$221)*IF(Rebate_Industry!AC$127&lt;=0,1,Rebate_Industry!AD$127/Rebate_Industry!AC$127)^$F225*(IF(AC208&lt;=0,1,AD208/AC208)^$G225/(1+$H225+$I225))^(1+$F225)</f>
        <v>0</v>
      </c>
      <c r="AE235" s="24">
        <f>AD235*(1+AE$219)^($E225*AE$220)*(1+AE$221)*IF(Rebate_Industry!AD$127&lt;=0,1,Rebate_Industry!AE$127/Rebate_Industry!AD$127)^$F225*(IF(AD208&lt;=0,1,AE208/AD208)^$G225/(1+$H225+$I225))^(1+$F225)</f>
        <v>0</v>
      </c>
    </row>
    <row r="236" spans="2:31" x14ac:dyDescent="0.45">
      <c r="B236" s="14" t="s">
        <v>55</v>
      </c>
      <c r="C236" s="14" t="str">
        <f t="shared" si="22"/>
        <v>mch</v>
      </c>
      <c r="D236" s="15" t="s">
        <v>56</v>
      </c>
      <c r="E236" s="16" t="s">
        <v>108</v>
      </c>
      <c r="F236" s="14" t="s">
        <v>109</v>
      </c>
      <c r="G236" s="17" t="str">
        <f>Settings!$B$3&amp;".mit.enc."&amp;$B236</f>
        <v>egy.mit.enc.gso</v>
      </c>
      <c r="H236" s="45" t="str">
        <f>Settings!$B$3&amp;".mit.ener."&amp;$C$185&amp;"."&amp;$B236&amp;".e."&amp;$J$185</f>
        <v>egy.mit.ener.mch.gso.e.1</v>
      </c>
      <c r="I236" t="s">
        <v>2285</v>
      </c>
      <c r="L236" s="47">
        <f>INDEX(Data_Energy!$D$3:$U$22,MATCH($B236,Data_Energy!$C$3:$C$22,0),MATCH($C236,Data_Energy!$D$2:$U$2,0))</f>
        <v>0</v>
      </c>
      <c r="M236" s="24">
        <f>L236*(1+M$219)^($E226*M$220)*(1+M$221)*IF(Rebate_Industry!L$128&lt;=0,1,Rebate_Industry!M$128/Rebate_Industry!L$128)^$F226*(IF(L209&lt;=0,1,M209/L209)^$G226/(1+$H226+$I226))^(1+$F226)</f>
        <v>0</v>
      </c>
      <c r="N236" s="24">
        <f>M236*(1+N$219)^($E226*N$220)*(1+N$221)*IF(Rebate_Industry!M$128&lt;=0,1,Rebate_Industry!N$128/Rebate_Industry!M$128)^$F226*(IF(M209&lt;=0,1,N209/M209)^$G226/(1+$H226+$I226))^(1+$F226)</f>
        <v>0</v>
      </c>
      <c r="O236" s="24">
        <f>N236*(1+O$219)^($E226*O$220)*(1+O$221)*IF(Rebate_Industry!N$128&lt;=0,1,Rebate_Industry!O$128/Rebate_Industry!N$128)^$F226*(IF(N209&lt;=0,1,O209/N209)^$G226/(1+$H226+$I226))^(1+$F226)</f>
        <v>0</v>
      </c>
      <c r="P236" s="24">
        <f>O236*(1+P$219)^($E226*P$220)*(1+P$221)*IF(Rebate_Industry!O$128&lt;=0,1,Rebate_Industry!P$128/Rebate_Industry!O$128)^$F226*(IF(O209&lt;=0,1,P209/O209)^$G226/(1+$H226+$I226))^(1+$F226)</f>
        <v>0</v>
      </c>
      <c r="Q236" s="24">
        <f>P236*(1+Q$219)^($E226*Q$220)*(1+Q$221)*IF(Rebate_Industry!P$128&lt;=0,1,Rebate_Industry!Q$128/Rebate_Industry!P$128)^$F226*(IF(P209&lt;=0,1,Q209/P209)^$G226/(1+$H226+$I226))^(1+$F226)</f>
        <v>0</v>
      </c>
      <c r="R236" s="24">
        <f>Q236*(1+R$219)^($E226*R$220)*(1+R$221)*IF(Rebate_Industry!Q$128&lt;=0,1,Rebate_Industry!R$128/Rebate_Industry!Q$128)^$F226*(IF(Q209&lt;=0,1,R209/Q209)^$G226/(1+$H226+$I226))^(1+$F226)</f>
        <v>0</v>
      </c>
      <c r="S236" s="24">
        <f>R236*(1+S$219)^($E226*S$220)*(1+S$221)*IF(Rebate_Industry!R$128&lt;=0,1,Rebate_Industry!S$128/Rebate_Industry!R$128)^$F226*(IF(R209&lt;=0,1,S209/R209)^$G226/(1+$H226+$I226))^(1+$F226)</f>
        <v>0</v>
      </c>
      <c r="T236" s="24">
        <f>S236*(1+T$219)^($E226*T$220)*(1+T$221)*IF(Rebate_Industry!S$128&lt;=0,1,Rebate_Industry!T$128/Rebate_Industry!S$128)^$F226*(IF(S209&lt;=0,1,T209/S209)^$G226/(1+$H226+$I226))^(1+$F226)</f>
        <v>0</v>
      </c>
      <c r="U236" s="24">
        <f>T236*(1+U$219)^($E226*U$220)*(1+U$221)*IF(Rebate_Industry!T$128&lt;=0,1,Rebate_Industry!U$128/Rebate_Industry!T$128)^$F226*(IF(T209&lt;=0,1,U209/T209)^$G226/(1+$H226+$I226))^(1+$F226)</f>
        <v>0</v>
      </c>
      <c r="V236" s="24">
        <f>U236*(1+V$219)^($E226*V$220)*(1+V$221)*IF(Rebate_Industry!U$128&lt;=0,1,Rebate_Industry!V$128/Rebate_Industry!U$128)^$F226*(IF(U209&lt;=0,1,V209/U209)^$G226/(1+$H226+$I226))^(1+$F226)</f>
        <v>0</v>
      </c>
      <c r="W236" s="24">
        <f>V236*(1+W$219)^($E226*W$220)*(1+W$221)*IF(Rebate_Industry!V$128&lt;=0,1,Rebate_Industry!W$128/Rebate_Industry!V$128)^$F226*(IF(V209&lt;=0,1,W209/V209)^$G226/(1+$H226+$I226))^(1+$F226)</f>
        <v>0</v>
      </c>
      <c r="X236" s="24">
        <f>W236*(1+X$219)^($E226*X$220)*(1+X$221)*IF(Rebate_Industry!W$128&lt;=0,1,Rebate_Industry!X$128/Rebate_Industry!W$128)^$F226*(IF(W209&lt;=0,1,X209/W209)^$G226/(1+$H226+$I226))^(1+$F226)</f>
        <v>0</v>
      </c>
      <c r="Y236" s="24">
        <f>X236*(1+Y$219)^($E226*Y$220)*(1+Y$221)*IF(Rebate_Industry!X$128&lt;=0,1,Rebate_Industry!Y$128/Rebate_Industry!X$128)^$F226*(IF(X209&lt;=0,1,Y209/X209)^$G226/(1+$H226+$I226))^(1+$F226)</f>
        <v>0</v>
      </c>
      <c r="Z236" s="24">
        <f>Y236*(1+Z$219)^($E226*Z$220)*(1+Z$221)*IF(Rebate_Industry!Y$128&lt;=0,1,Rebate_Industry!Z$128/Rebate_Industry!Y$128)^$F226*(IF(Y209&lt;=0,1,Z209/Y209)^$G226/(1+$H226+$I226))^(1+$F226)</f>
        <v>0</v>
      </c>
      <c r="AA236" s="24">
        <f>Z236*(1+AA$219)^($E226*AA$220)*(1+AA$221)*IF(Rebate_Industry!Z$128&lt;=0,1,Rebate_Industry!AA$128/Rebate_Industry!Z$128)^$F226*(IF(Z209&lt;=0,1,AA209/Z209)^$G226/(1+$H226+$I226))^(1+$F226)</f>
        <v>0</v>
      </c>
      <c r="AB236" s="24">
        <f>AA236*(1+AB$219)^($E226*AB$220)*(1+AB$221)*IF(Rebate_Industry!AA$128&lt;=0,1,Rebate_Industry!AB$128/Rebate_Industry!AA$128)^$F226*(IF(AA209&lt;=0,1,AB209/AA209)^$G226/(1+$H226+$I226))^(1+$F226)</f>
        <v>0</v>
      </c>
      <c r="AC236" s="24">
        <f>AB236*(1+AC$219)^($E226*AC$220)*(1+AC$221)*IF(Rebate_Industry!AB$128&lt;=0,1,Rebate_Industry!AC$128/Rebate_Industry!AB$128)^$F226*(IF(AB209&lt;=0,1,AC209/AB209)^$G226/(1+$H226+$I226))^(1+$F226)</f>
        <v>0</v>
      </c>
      <c r="AD236" s="24">
        <f>AC236*(1+AD$219)^($E226*AD$220)*(1+AD$221)*IF(Rebate_Industry!AC$128&lt;=0,1,Rebate_Industry!AD$128/Rebate_Industry!AC$128)^$F226*(IF(AC209&lt;=0,1,AD209/AC209)^$G226/(1+$H226+$I226))^(1+$F226)</f>
        <v>0</v>
      </c>
      <c r="AE236" s="24">
        <f>AD236*(1+AE$219)^($E226*AE$220)*(1+AE$221)*IF(Rebate_Industry!AD$128&lt;=0,1,Rebate_Industry!AE$128/Rebate_Industry!AD$128)^$F226*(IF(AD209&lt;=0,1,AE209/AD209)^$G226/(1+$H226+$I226))^(1+$F226)</f>
        <v>0</v>
      </c>
    </row>
    <row r="237" spans="2:31" x14ac:dyDescent="0.45">
      <c r="B237" s="14" t="s">
        <v>58</v>
      </c>
      <c r="C237" s="14" t="str">
        <f t="shared" si="22"/>
        <v>mch</v>
      </c>
      <c r="D237" s="15" t="s">
        <v>59</v>
      </c>
      <c r="E237" s="16" t="s">
        <v>108</v>
      </c>
      <c r="F237" s="14" t="s">
        <v>109</v>
      </c>
      <c r="G237" s="17" t="str">
        <f>Settings!$B$3&amp;".mit.enc."&amp;$B237</f>
        <v>egy.mit.enc.die</v>
      </c>
      <c r="H237" s="45" t="str">
        <f>Settings!$B$3&amp;".mit.ener."&amp;$C$185&amp;"."&amp;$B237&amp;".e."&amp;$J$185</f>
        <v>egy.mit.ener.mch.die.e.1</v>
      </c>
      <c r="I237" t="s">
        <v>2286</v>
      </c>
      <c r="L237" s="47">
        <f>INDEX(Data_Energy!$D$3:$U$22,MATCH($B237,Data_Energy!$C$3:$C$22,0),MATCH($C237,Data_Energy!$D$2:$U$2,0))</f>
        <v>0</v>
      </c>
      <c r="M237" s="24">
        <f>L237*(1+M$219)^($E227*M$220)*(1+M$221)*IF(Rebate_Industry!L$129&lt;=0,1,Rebate_Industry!M$129/Rebate_Industry!L$129)^$F227*(IF(L210&lt;=0,1,M210/L210)^$G227/(1+$H227+$I227))^(1+$F227)</f>
        <v>0</v>
      </c>
      <c r="N237" s="24">
        <f>M237*(1+N$219)^($E227*N$220)*(1+N$221)*IF(Rebate_Industry!M$129&lt;=0,1,Rebate_Industry!N$129/Rebate_Industry!M$129)^$F227*(IF(M210&lt;=0,1,N210/M210)^$G227/(1+$H227+$I227))^(1+$F227)</f>
        <v>0</v>
      </c>
      <c r="O237" s="24">
        <f>N237*(1+O$219)^($E227*O$220)*(1+O$221)*IF(Rebate_Industry!N$129&lt;=0,1,Rebate_Industry!O$129/Rebate_Industry!N$129)^$F227*(IF(N210&lt;=0,1,O210/N210)^$G227/(1+$H227+$I227))^(1+$F227)</f>
        <v>0</v>
      </c>
      <c r="P237" s="24">
        <f>O237*(1+P$219)^($E227*P$220)*(1+P$221)*IF(Rebate_Industry!O$129&lt;=0,1,Rebate_Industry!P$129/Rebate_Industry!O$129)^$F227*(IF(O210&lt;=0,1,P210/O210)^$G227/(1+$H227+$I227))^(1+$F227)</f>
        <v>0</v>
      </c>
      <c r="Q237" s="24">
        <f>P237*(1+Q$219)^($E227*Q$220)*(1+Q$221)*IF(Rebate_Industry!P$129&lt;=0,1,Rebate_Industry!Q$129/Rebate_Industry!P$129)^$F227*(IF(P210&lt;=0,1,Q210/P210)^$G227/(1+$H227+$I227))^(1+$F227)</f>
        <v>0</v>
      </c>
      <c r="R237" s="24">
        <f>Q237*(1+R$219)^($E227*R$220)*(1+R$221)*IF(Rebate_Industry!Q$129&lt;=0,1,Rebate_Industry!R$129/Rebate_Industry!Q$129)^$F227*(IF(Q210&lt;=0,1,R210/Q210)^$G227/(1+$H227+$I227))^(1+$F227)</f>
        <v>0</v>
      </c>
      <c r="S237" s="24">
        <f>R237*(1+S$219)^($E227*S$220)*(1+S$221)*IF(Rebate_Industry!R$129&lt;=0,1,Rebate_Industry!S$129/Rebate_Industry!R$129)^$F227*(IF(R210&lt;=0,1,S210/R210)^$G227/(1+$H227+$I227))^(1+$F227)</f>
        <v>0</v>
      </c>
      <c r="T237" s="24">
        <f>S237*(1+T$219)^($E227*T$220)*(1+T$221)*IF(Rebate_Industry!S$129&lt;=0,1,Rebate_Industry!T$129/Rebate_Industry!S$129)^$F227*(IF(S210&lt;=0,1,T210/S210)^$G227/(1+$H227+$I227))^(1+$F227)</f>
        <v>0</v>
      </c>
      <c r="U237" s="24">
        <f>T237*(1+U$219)^($E227*U$220)*(1+U$221)*IF(Rebate_Industry!T$129&lt;=0,1,Rebate_Industry!U$129/Rebate_Industry!T$129)^$F227*(IF(T210&lt;=0,1,U210/T210)^$G227/(1+$H227+$I227))^(1+$F227)</f>
        <v>0</v>
      </c>
      <c r="V237" s="24">
        <f>U237*(1+V$219)^($E227*V$220)*(1+V$221)*IF(Rebate_Industry!U$129&lt;=0,1,Rebate_Industry!V$129/Rebate_Industry!U$129)^$F227*(IF(U210&lt;=0,1,V210/U210)^$G227/(1+$H227+$I227))^(1+$F227)</f>
        <v>0</v>
      </c>
      <c r="W237" s="24">
        <f>V237*(1+W$219)^($E227*W$220)*(1+W$221)*IF(Rebate_Industry!V$129&lt;=0,1,Rebate_Industry!W$129/Rebate_Industry!V$129)^$F227*(IF(V210&lt;=0,1,W210/V210)^$G227/(1+$H227+$I227))^(1+$F227)</f>
        <v>0</v>
      </c>
      <c r="X237" s="24">
        <f>W237*(1+X$219)^($E227*X$220)*(1+X$221)*IF(Rebate_Industry!W$129&lt;=0,1,Rebate_Industry!X$129/Rebate_Industry!W$129)^$F227*(IF(W210&lt;=0,1,X210/W210)^$G227/(1+$H227+$I227))^(1+$F227)</f>
        <v>0</v>
      </c>
      <c r="Y237" s="24">
        <f>X237*(1+Y$219)^($E227*Y$220)*(1+Y$221)*IF(Rebate_Industry!X$129&lt;=0,1,Rebate_Industry!Y$129/Rebate_Industry!X$129)^$F227*(IF(X210&lt;=0,1,Y210/X210)^$G227/(1+$H227+$I227))^(1+$F227)</f>
        <v>0</v>
      </c>
      <c r="Z237" s="24">
        <f>Y237*(1+Z$219)^($E227*Z$220)*(1+Z$221)*IF(Rebate_Industry!Y$129&lt;=0,1,Rebate_Industry!Z$129/Rebate_Industry!Y$129)^$F227*(IF(Y210&lt;=0,1,Z210/Y210)^$G227/(1+$H227+$I227))^(1+$F227)</f>
        <v>0</v>
      </c>
      <c r="AA237" s="24">
        <f>Z237*(1+AA$219)^($E227*AA$220)*(1+AA$221)*IF(Rebate_Industry!Z$129&lt;=0,1,Rebate_Industry!AA$129/Rebate_Industry!Z$129)^$F227*(IF(Z210&lt;=0,1,AA210/Z210)^$G227/(1+$H227+$I227))^(1+$F227)</f>
        <v>0</v>
      </c>
      <c r="AB237" s="24">
        <f>AA237*(1+AB$219)^($E227*AB$220)*(1+AB$221)*IF(Rebate_Industry!AA$129&lt;=0,1,Rebate_Industry!AB$129/Rebate_Industry!AA$129)^$F227*(IF(AA210&lt;=0,1,AB210/AA210)^$G227/(1+$H227+$I227))^(1+$F227)</f>
        <v>0</v>
      </c>
      <c r="AC237" s="24">
        <f>AB237*(1+AC$219)^($E227*AC$220)*(1+AC$221)*IF(Rebate_Industry!AB$129&lt;=0,1,Rebate_Industry!AC$129/Rebate_Industry!AB$129)^$F227*(IF(AB210&lt;=0,1,AC210/AB210)^$G227/(1+$H227+$I227))^(1+$F227)</f>
        <v>0</v>
      </c>
      <c r="AD237" s="24">
        <f>AC237*(1+AD$219)^($E227*AD$220)*(1+AD$221)*IF(Rebate_Industry!AC$129&lt;=0,1,Rebate_Industry!AD$129/Rebate_Industry!AC$129)^$F227*(IF(AC210&lt;=0,1,AD210/AC210)^$G227/(1+$H227+$I227))^(1+$F227)</f>
        <v>0</v>
      </c>
      <c r="AE237" s="24">
        <f>AD237*(1+AE$219)^($E227*AE$220)*(1+AE$221)*IF(Rebate_Industry!AD$129&lt;=0,1,Rebate_Industry!AE$129/Rebate_Industry!AD$129)^$F227*(IF(AD210&lt;=0,1,AE210/AD210)^$G227/(1+$H227+$I227))^(1+$F227)</f>
        <v>0</v>
      </c>
    </row>
    <row r="238" spans="2:31" x14ac:dyDescent="0.45">
      <c r="B238" s="14" t="s">
        <v>60</v>
      </c>
      <c r="C238" s="14" t="str">
        <f t="shared" si="22"/>
        <v>mch</v>
      </c>
      <c r="D238" s="15" t="s">
        <v>61</v>
      </c>
      <c r="E238" s="16" t="s">
        <v>108</v>
      </c>
      <c r="F238" s="14" t="s">
        <v>109</v>
      </c>
      <c r="G238" s="17" t="str">
        <f>Settings!$B$3&amp;".mit.enc."&amp;$B238</f>
        <v>egy.mit.enc.lpg</v>
      </c>
      <c r="H238" s="45" t="str">
        <f>Settings!$B$3&amp;".mit.ener."&amp;$C$185&amp;"."&amp;$B238&amp;".e."&amp;$J$185</f>
        <v>egy.mit.ener.mch.lpg.e.1</v>
      </c>
      <c r="I238" t="s">
        <v>2287</v>
      </c>
      <c r="L238" s="47">
        <f>INDEX(Data_Energy!$D$3:$U$22,MATCH($B238,Data_Energy!$C$3:$C$22,0),MATCH($C238,Data_Energy!$D$2:$U$2,0))</f>
        <v>0</v>
      </c>
      <c r="M238" s="24">
        <f>L238*(1+M$219)^($E228*M$220)*(1+M$221)*IF(Rebate_Industry!L$130&lt;=0,1,Rebate_Industry!M$130/Rebate_Industry!L$130)^$F228*(IF(L211&lt;=0,1,M211/L211)^$G228/(1+$H228+$I228))^(1+$F228)</f>
        <v>0</v>
      </c>
      <c r="N238" s="24">
        <f>M238*(1+N$219)^($E228*N$220)*(1+N$221)*IF(Rebate_Industry!M$130&lt;=0,1,Rebate_Industry!N$130/Rebate_Industry!M$130)^$F228*(IF(M211&lt;=0,1,N211/M211)^$G228/(1+$H228+$I228))^(1+$F228)</f>
        <v>0</v>
      </c>
      <c r="O238" s="24">
        <f>N238*(1+O$219)^($E228*O$220)*(1+O$221)*IF(Rebate_Industry!N$130&lt;=0,1,Rebate_Industry!O$130/Rebate_Industry!N$130)^$F228*(IF(N211&lt;=0,1,O211/N211)^$G228/(1+$H228+$I228))^(1+$F228)</f>
        <v>0</v>
      </c>
      <c r="P238" s="24">
        <f>O238*(1+P$219)^($E228*P$220)*(1+P$221)*IF(Rebate_Industry!O$130&lt;=0,1,Rebate_Industry!P$130/Rebate_Industry!O$130)^$F228*(IF(O211&lt;=0,1,P211/O211)^$G228/(1+$H228+$I228))^(1+$F228)</f>
        <v>0</v>
      </c>
      <c r="Q238" s="24">
        <f>P238*(1+Q$219)^($E228*Q$220)*(1+Q$221)*IF(Rebate_Industry!P$130&lt;=0,1,Rebate_Industry!Q$130/Rebate_Industry!P$130)^$F228*(IF(P211&lt;=0,1,Q211/P211)^$G228/(1+$H228+$I228))^(1+$F228)</f>
        <v>0</v>
      </c>
      <c r="R238" s="24">
        <f>Q238*(1+R$219)^($E228*R$220)*(1+R$221)*IF(Rebate_Industry!Q$130&lt;=0,1,Rebate_Industry!R$130/Rebate_Industry!Q$130)^$F228*(IF(Q211&lt;=0,1,R211/Q211)^$G228/(1+$H228+$I228))^(1+$F228)</f>
        <v>0</v>
      </c>
      <c r="S238" s="24">
        <f>R238*(1+S$219)^($E228*S$220)*(1+S$221)*IF(Rebate_Industry!R$130&lt;=0,1,Rebate_Industry!S$130/Rebate_Industry!R$130)^$F228*(IF(R211&lt;=0,1,S211/R211)^$G228/(1+$H228+$I228))^(1+$F228)</f>
        <v>0</v>
      </c>
      <c r="T238" s="24">
        <f>S238*(1+T$219)^($E228*T$220)*(1+T$221)*IF(Rebate_Industry!S$130&lt;=0,1,Rebate_Industry!T$130/Rebate_Industry!S$130)^$F228*(IF(S211&lt;=0,1,T211/S211)^$G228/(1+$H228+$I228))^(1+$F228)</f>
        <v>0</v>
      </c>
      <c r="U238" s="24">
        <f>T238*(1+U$219)^($E228*U$220)*(1+U$221)*IF(Rebate_Industry!T$130&lt;=0,1,Rebate_Industry!U$130/Rebate_Industry!T$130)^$F228*(IF(T211&lt;=0,1,U211/T211)^$G228/(1+$H228+$I228))^(1+$F228)</f>
        <v>0</v>
      </c>
      <c r="V238" s="24">
        <f>U238*(1+V$219)^($E228*V$220)*(1+V$221)*IF(Rebate_Industry!U$130&lt;=0,1,Rebate_Industry!V$130/Rebate_Industry!U$130)^$F228*(IF(U211&lt;=0,1,V211/U211)^$G228/(1+$H228+$I228))^(1+$F228)</f>
        <v>0</v>
      </c>
      <c r="W238" s="24">
        <f>V238*(1+W$219)^($E228*W$220)*(1+W$221)*IF(Rebate_Industry!V$130&lt;=0,1,Rebate_Industry!W$130/Rebate_Industry!V$130)^$F228*(IF(V211&lt;=0,1,W211/V211)^$G228/(1+$H228+$I228))^(1+$F228)</f>
        <v>0</v>
      </c>
      <c r="X238" s="24">
        <f>W238*(1+X$219)^($E228*X$220)*(1+X$221)*IF(Rebate_Industry!W$130&lt;=0,1,Rebate_Industry!X$130/Rebate_Industry!W$130)^$F228*(IF(W211&lt;=0,1,X211/W211)^$G228/(1+$H228+$I228))^(1+$F228)</f>
        <v>0</v>
      </c>
      <c r="Y238" s="24">
        <f>X238*(1+Y$219)^($E228*Y$220)*(1+Y$221)*IF(Rebate_Industry!X$130&lt;=0,1,Rebate_Industry!Y$130/Rebate_Industry!X$130)^$F228*(IF(X211&lt;=0,1,Y211/X211)^$G228/(1+$H228+$I228))^(1+$F228)</f>
        <v>0</v>
      </c>
      <c r="Z238" s="24">
        <f>Y238*(1+Z$219)^($E228*Z$220)*(1+Z$221)*IF(Rebate_Industry!Y$130&lt;=0,1,Rebate_Industry!Z$130/Rebate_Industry!Y$130)^$F228*(IF(Y211&lt;=0,1,Z211/Y211)^$G228/(1+$H228+$I228))^(1+$F228)</f>
        <v>0</v>
      </c>
      <c r="AA238" s="24">
        <f>Z238*(1+AA$219)^($E228*AA$220)*(1+AA$221)*IF(Rebate_Industry!Z$130&lt;=0,1,Rebate_Industry!AA$130/Rebate_Industry!Z$130)^$F228*(IF(Z211&lt;=0,1,AA211/Z211)^$G228/(1+$H228+$I228))^(1+$F228)</f>
        <v>0</v>
      </c>
      <c r="AB238" s="24">
        <f>AA238*(1+AB$219)^($E228*AB$220)*(1+AB$221)*IF(Rebate_Industry!AA$130&lt;=0,1,Rebate_Industry!AB$130/Rebate_Industry!AA$130)^$F228*(IF(AA211&lt;=0,1,AB211/AA211)^$G228/(1+$H228+$I228))^(1+$F228)</f>
        <v>0</v>
      </c>
      <c r="AC238" s="24">
        <f>AB238*(1+AC$219)^($E228*AC$220)*(1+AC$221)*IF(Rebate_Industry!AB$130&lt;=0,1,Rebate_Industry!AC$130/Rebate_Industry!AB$130)^$F228*(IF(AB211&lt;=0,1,AC211/AB211)^$G228/(1+$H228+$I228))^(1+$F228)</f>
        <v>0</v>
      </c>
      <c r="AD238" s="24">
        <f>AC238*(1+AD$219)^($E228*AD$220)*(1+AD$221)*IF(Rebate_Industry!AC$130&lt;=0,1,Rebate_Industry!AD$130/Rebate_Industry!AC$130)^$F228*(IF(AC211&lt;=0,1,AD211/AC211)^$G228/(1+$H228+$I228))^(1+$F228)</f>
        <v>0</v>
      </c>
      <c r="AE238" s="24">
        <f>AD238*(1+AE$219)^($E228*AE$220)*(1+AE$221)*IF(Rebate_Industry!AD$130&lt;=0,1,Rebate_Industry!AE$130/Rebate_Industry!AD$130)^$F228*(IF(AD211&lt;=0,1,AE211/AD211)^$G228/(1+$H228+$I228))^(1+$F228)</f>
        <v>0</v>
      </c>
    </row>
    <row r="239" spans="2:31" x14ac:dyDescent="0.45">
      <c r="B239" s="14" t="s">
        <v>62</v>
      </c>
      <c r="C239" s="14" t="str">
        <f t="shared" si="22"/>
        <v>mch</v>
      </c>
      <c r="D239" s="15" t="s">
        <v>63</v>
      </c>
      <c r="E239" s="16" t="s">
        <v>108</v>
      </c>
      <c r="F239" s="14" t="s">
        <v>109</v>
      </c>
      <c r="G239" s="17" t="str">
        <f>Settings!$B$3&amp;".mit.enc."&amp;$B239</f>
        <v>egy.mit.enc.ker</v>
      </c>
      <c r="H239" s="45" t="str">
        <f>Settings!$B$3&amp;".mit.ener."&amp;$C$185&amp;"."&amp;$B239&amp;".e."&amp;$J$185</f>
        <v>egy.mit.ener.mch.ker.e.1</v>
      </c>
      <c r="I239" t="s">
        <v>2288</v>
      </c>
      <c r="L239" s="47">
        <f>INDEX(Data_Energy!$D$3:$U$22,MATCH($B239,Data_Energy!$C$3:$C$22,0),MATCH($C239,Data_Energy!$D$2:$U$2,0))</f>
        <v>0</v>
      </c>
      <c r="M239" s="24">
        <f>L239*(1+M$219)^($E229*M$220)*(1+M$221)*IF(Rebate_Industry!L$131&lt;=0,1,Rebate_Industry!M$131/Rebate_Industry!L$131)^$F229*(IF(L212&lt;=0,1,M212/L212)^$G229/(1+$H229+$I229))^(1+$F229)</f>
        <v>0</v>
      </c>
      <c r="N239" s="24">
        <f>M239*(1+N$219)^($E229*N$220)*(1+N$221)*IF(Rebate_Industry!M$131&lt;=0,1,Rebate_Industry!N$131/Rebate_Industry!M$131)^$F229*(IF(M212&lt;=0,1,N212/M212)^$G229/(1+$H229+$I229))^(1+$F229)</f>
        <v>0</v>
      </c>
      <c r="O239" s="24">
        <f>N239*(1+O$219)^($E229*O$220)*(1+O$221)*IF(Rebate_Industry!N$131&lt;=0,1,Rebate_Industry!O$131/Rebate_Industry!N$131)^$F229*(IF(N212&lt;=0,1,O212/N212)^$G229/(1+$H229+$I229))^(1+$F229)</f>
        <v>0</v>
      </c>
      <c r="P239" s="24">
        <f>O239*(1+P$219)^($E229*P$220)*(1+P$221)*IF(Rebate_Industry!O$131&lt;=0,1,Rebate_Industry!P$131/Rebate_Industry!O$131)^$F229*(IF(O212&lt;=0,1,P212/O212)^$G229/(1+$H229+$I229))^(1+$F229)</f>
        <v>0</v>
      </c>
      <c r="Q239" s="24">
        <f>P239*(1+Q$219)^($E229*Q$220)*(1+Q$221)*IF(Rebate_Industry!P$131&lt;=0,1,Rebate_Industry!Q$131/Rebate_Industry!P$131)^$F229*(IF(P212&lt;=0,1,Q212/P212)^$G229/(1+$H229+$I229))^(1+$F229)</f>
        <v>0</v>
      </c>
      <c r="R239" s="24">
        <f>Q239*(1+R$219)^($E229*R$220)*(1+R$221)*IF(Rebate_Industry!Q$131&lt;=0,1,Rebate_Industry!R$131/Rebate_Industry!Q$131)^$F229*(IF(Q212&lt;=0,1,R212/Q212)^$G229/(1+$H229+$I229))^(1+$F229)</f>
        <v>0</v>
      </c>
      <c r="S239" s="24">
        <f>R239*(1+S$219)^($E229*S$220)*(1+S$221)*IF(Rebate_Industry!R$131&lt;=0,1,Rebate_Industry!S$131/Rebate_Industry!R$131)^$F229*(IF(R212&lt;=0,1,S212/R212)^$G229/(1+$H229+$I229))^(1+$F229)</f>
        <v>0</v>
      </c>
      <c r="T239" s="24">
        <f>S239*(1+T$219)^($E229*T$220)*(1+T$221)*IF(Rebate_Industry!S$131&lt;=0,1,Rebate_Industry!T$131/Rebate_Industry!S$131)^$F229*(IF(S212&lt;=0,1,T212/S212)^$G229/(1+$H229+$I229))^(1+$F229)</f>
        <v>0</v>
      </c>
      <c r="U239" s="24">
        <f>T239*(1+U$219)^($E229*U$220)*(1+U$221)*IF(Rebate_Industry!T$131&lt;=0,1,Rebate_Industry!U$131/Rebate_Industry!T$131)^$F229*(IF(T212&lt;=0,1,U212/T212)^$G229/(1+$H229+$I229))^(1+$F229)</f>
        <v>0</v>
      </c>
      <c r="V239" s="24">
        <f>U239*(1+V$219)^($E229*V$220)*(1+V$221)*IF(Rebate_Industry!U$131&lt;=0,1,Rebate_Industry!V$131/Rebate_Industry!U$131)^$F229*(IF(U212&lt;=0,1,V212/U212)^$G229/(1+$H229+$I229))^(1+$F229)</f>
        <v>0</v>
      </c>
      <c r="W239" s="24">
        <f>V239*(1+W$219)^($E229*W$220)*(1+W$221)*IF(Rebate_Industry!V$131&lt;=0,1,Rebate_Industry!W$131/Rebate_Industry!V$131)^$F229*(IF(V212&lt;=0,1,W212/V212)^$G229/(1+$H229+$I229))^(1+$F229)</f>
        <v>0</v>
      </c>
      <c r="X239" s="24">
        <f>W239*(1+X$219)^($E229*X$220)*(1+X$221)*IF(Rebate_Industry!W$131&lt;=0,1,Rebate_Industry!X$131/Rebate_Industry!W$131)^$F229*(IF(W212&lt;=0,1,X212/W212)^$G229/(1+$H229+$I229))^(1+$F229)</f>
        <v>0</v>
      </c>
      <c r="Y239" s="24">
        <f>X239*(1+Y$219)^($E229*Y$220)*(1+Y$221)*IF(Rebate_Industry!X$131&lt;=0,1,Rebate_Industry!Y$131/Rebate_Industry!X$131)^$F229*(IF(X212&lt;=0,1,Y212/X212)^$G229/(1+$H229+$I229))^(1+$F229)</f>
        <v>0</v>
      </c>
      <c r="Z239" s="24">
        <f>Y239*(1+Z$219)^($E229*Z$220)*(1+Z$221)*IF(Rebate_Industry!Y$131&lt;=0,1,Rebate_Industry!Z$131/Rebate_Industry!Y$131)^$F229*(IF(Y212&lt;=0,1,Z212/Y212)^$G229/(1+$H229+$I229))^(1+$F229)</f>
        <v>0</v>
      </c>
      <c r="AA239" s="24">
        <f>Z239*(1+AA$219)^($E229*AA$220)*(1+AA$221)*IF(Rebate_Industry!Z$131&lt;=0,1,Rebate_Industry!AA$131/Rebate_Industry!Z$131)^$F229*(IF(Z212&lt;=0,1,AA212/Z212)^$G229/(1+$H229+$I229))^(1+$F229)</f>
        <v>0</v>
      </c>
      <c r="AB239" s="24">
        <f>AA239*(1+AB$219)^($E229*AB$220)*(1+AB$221)*IF(Rebate_Industry!AA$131&lt;=0,1,Rebate_Industry!AB$131/Rebate_Industry!AA$131)^$F229*(IF(AA212&lt;=0,1,AB212/AA212)^$G229/(1+$H229+$I229))^(1+$F229)</f>
        <v>0</v>
      </c>
      <c r="AC239" s="24">
        <f>AB239*(1+AC$219)^($E229*AC$220)*(1+AC$221)*IF(Rebate_Industry!AB$131&lt;=0,1,Rebate_Industry!AC$131/Rebate_Industry!AB$131)^$F229*(IF(AB212&lt;=0,1,AC212/AB212)^$G229/(1+$H229+$I229))^(1+$F229)</f>
        <v>0</v>
      </c>
      <c r="AD239" s="24">
        <f>AC239*(1+AD$219)^($E229*AD$220)*(1+AD$221)*IF(Rebate_Industry!AC$131&lt;=0,1,Rebate_Industry!AD$131/Rebate_Industry!AC$131)^$F229*(IF(AC212&lt;=0,1,AD212/AC212)^$G229/(1+$H229+$I229))^(1+$F229)</f>
        <v>0</v>
      </c>
      <c r="AE239" s="24">
        <f>AD239*(1+AE$219)^($E229*AE$220)*(1+AE$221)*IF(Rebate_Industry!AD$131&lt;=0,1,Rebate_Industry!AE$131/Rebate_Industry!AD$131)^$F229*(IF(AD212&lt;=0,1,AE212/AD212)^$G229/(1+$H229+$I229))^(1+$F229)</f>
        <v>0</v>
      </c>
    </row>
    <row r="240" spans="2:31" x14ac:dyDescent="0.45">
      <c r="B240" s="14" t="s">
        <v>64</v>
      </c>
      <c r="C240" s="14" t="str">
        <f t="shared" si="22"/>
        <v>mch</v>
      </c>
      <c r="D240" s="15" t="s">
        <v>65</v>
      </c>
      <c r="E240" s="16" t="s">
        <v>108</v>
      </c>
      <c r="F240" s="14" t="s">
        <v>109</v>
      </c>
      <c r="G240" s="17" t="str">
        <f>Settings!$B$3&amp;".mit.enc."&amp;$B240</f>
        <v>egy.mit.enc.oop</v>
      </c>
      <c r="H240" s="45" t="str">
        <f>Settings!$B$3&amp;".mit.ener."&amp;$C$185&amp;"."&amp;$B240&amp;".e."&amp;$J$185</f>
        <v>egy.mit.ener.mch.oop.e.1</v>
      </c>
      <c r="I240" t="s">
        <v>2289</v>
      </c>
      <c r="L240" s="47">
        <f>INDEX(Data_Energy!$D$3:$U$22,MATCH($B240,Data_Energy!$C$3:$C$22,0),MATCH($C240,Data_Energy!$D$2:$U$2,0))</f>
        <v>0</v>
      </c>
      <c r="M240" s="24">
        <f>L240*(1+M$219)^($E230*M$220)*(1+M$221)*IF(Rebate_Industry!L$132&lt;=0,1,Rebate_Industry!M$132/Rebate_Industry!L$132)^$F230*(IF(L213&lt;=0,1,M213/L213)^$G230/(1+$H230+$I230))^(1+$F230)</f>
        <v>0</v>
      </c>
      <c r="N240" s="24">
        <f>M240*(1+N$219)^($E230*N$220)*(1+N$221)*IF(Rebate_Industry!M$132&lt;=0,1,Rebate_Industry!N$132/Rebate_Industry!M$132)^$F230*(IF(M213&lt;=0,1,N213/M213)^$G230/(1+$H230+$I230))^(1+$F230)</f>
        <v>0</v>
      </c>
      <c r="O240" s="24">
        <f>N240*(1+O$219)^($E230*O$220)*(1+O$221)*IF(Rebate_Industry!N$132&lt;=0,1,Rebate_Industry!O$132/Rebate_Industry!N$132)^$F230*(IF(N213&lt;=0,1,O213/N213)^$G230/(1+$H230+$I230))^(1+$F230)</f>
        <v>0</v>
      </c>
      <c r="P240" s="24">
        <f>O240*(1+P$219)^($E230*P$220)*(1+P$221)*IF(Rebate_Industry!O$132&lt;=0,1,Rebate_Industry!P$132/Rebate_Industry!O$132)^$F230*(IF(O213&lt;=0,1,P213/O213)^$G230/(1+$H230+$I230))^(1+$F230)</f>
        <v>0</v>
      </c>
      <c r="Q240" s="24">
        <f>P240*(1+Q$219)^($E230*Q$220)*(1+Q$221)*IF(Rebate_Industry!P$132&lt;=0,1,Rebate_Industry!Q$132/Rebate_Industry!P$132)^$F230*(IF(P213&lt;=0,1,Q213/P213)^$G230/(1+$H230+$I230))^(1+$F230)</f>
        <v>0</v>
      </c>
      <c r="R240" s="24">
        <f>Q240*(1+R$219)^($E230*R$220)*(1+R$221)*IF(Rebate_Industry!Q$132&lt;=0,1,Rebate_Industry!R$132/Rebate_Industry!Q$132)^$F230*(IF(Q213&lt;=0,1,R213/Q213)^$G230/(1+$H230+$I230))^(1+$F230)</f>
        <v>0</v>
      </c>
      <c r="S240" s="24">
        <f>R240*(1+S$219)^($E230*S$220)*(1+S$221)*IF(Rebate_Industry!R$132&lt;=0,1,Rebate_Industry!S$132/Rebate_Industry!R$132)^$F230*(IF(R213&lt;=0,1,S213/R213)^$G230/(1+$H230+$I230))^(1+$F230)</f>
        <v>0</v>
      </c>
      <c r="T240" s="24">
        <f>S240*(1+T$219)^($E230*T$220)*(1+T$221)*IF(Rebate_Industry!S$132&lt;=0,1,Rebate_Industry!T$132/Rebate_Industry!S$132)^$F230*(IF(S213&lt;=0,1,T213/S213)^$G230/(1+$H230+$I230))^(1+$F230)</f>
        <v>0</v>
      </c>
      <c r="U240" s="24">
        <f>T240*(1+U$219)^($E230*U$220)*(1+U$221)*IF(Rebate_Industry!T$132&lt;=0,1,Rebate_Industry!U$132/Rebate_Industry!T$132)^$F230*(IF(T213&lt;=0,1,U213/T213)^$G230/(1+$H230+$I230))^(1+$F230)</f>
        <v>0</v>
      </c>
      <c r="V240" s="24">
        <f>U240*(1+V$219)^($E230*V$220)*(1+V$221)*IF(Rebate_Industry!U$132&lt;=0,1,Rebate_Industry!V$132/Rebate_Industry!U$132)^$F230*(IF(U213&lt;=0,1,V213/U213)^$G230/(1+$H230+$I230))^(1+$F230)</f>
        <v>0</v>
      </c>
      <c r="W240" s="24">
        <f>V240*(1+W$219)^($E230*W$220)*(1+W$221)*IF(Rebate_Industry!V$132&lt;=0,1,Rebate_Industry!W$132/Rebate_Industry!V$132)^$F230*(IF(V213&lt;=0,1,W213/V213)^$G230/(1+$H230+$I230))^(1+$F230)</f>
        <v>0</v>
      </c>
      <c r="X240" s="24">
        <f>W240*(1+X$219)^($E230*X$220)*(1+X$221)*IF(Rebate_Industry!W$132&lt;=0,1,Rebate_Industry!X$132/Rebate_Industry!W$132)^$F230*(IF(W213&lt;=0,1,X213/W213)^$G230/(1+$H230+$I230))^(1+$F230)</f>
        <v>0</v>
      </c>
      <c r="Y240" s="24">
        <f>X240*(1+Y$219)^($E230*Y$220)*(1+Y$221)*IF(Rebate_Industry!X$132&lt;=0,1,Rebate_Industry!Y$132/Rebate_Industry!X$132)^$F230*(IF(X213&lt;=0,1,Y213/X213)^$G230/(1+$H230+$I230))^(1+$F230)</f>
        <v>0</v>
      </c>
      <c r="Z240" s="24">
        <f>Y240*(1+Z$219)^($E230*Z$220)*(1+Z$221)*IF(Rebate_Industry!Y$132&lt;=0,1,Rebate_Industry!Z$132/Rebate_Industry!Y$132)^$F230*(IF(Y213&lt;=0,1,Z213/Y213)^$G230/(1+$H230+$I230))^(1+$F230)</f>
        <v>0</v>
      </c>
      <c r="AA240" s="24">
        <f>Z240*(1+AA$219)^($E230*AA$220)*(1+AA$221)*IF(Rebate_Industry!Z$132&lt;=0,1,Rebate_Industry!AA$132/Rebate_Industry!Z$132)^$F230*(IF(Z213&lt;=0,1,AA213/Z213)^$G230/(1+$H230+$I230))^(1+$F230)</f>
        <v>0</v>
      </c>
      <c r="AB240" s="24">
        <f>AA240*(1+AB$219)^($E230*AB$220)*(1+AB$221)*IF(Rebate_Industry!AA$132&lt;=0,1,Rebate_Industry!AB$132/Rebate_Industry!AA$132)^$F230*(IF(AA213&lt;=0,1,AB213/AA213)^$G230/(1+$H230+$I230))^(1+$F230)</f>
        <v>0</v>
      </c>
      <c r="AC240" s="24">
        <f>AB240*(1+AC$219)^($E230*AC$220)*(1+AC$221)*IF(Rebate_Industry!AB$132&lt;=0,1,Rebate_Industry!AC$132/Rebate_Industry!AB$132)^$F230*(IF(AB213&lt;=0,1,AC213/AB213)^$G230/(1+$H230+$I230))^(1+$F230)</f>
        <v>0</v>
      </c>
      <c r="AD240" s="24">
        <f>AC240*(1+AD$219)^($E230*AD$220)*(1+AD$221)*IF(Rebate_Industry!AC$132&lt;=0,1,Rebate_Industry!AD$132/Rebate_Industry!AC$132)^$F230*(IF(AC213&lt;=0,1,AD213/AC213)^$G230/(1+$H230+$I230))^(1+$F230)</f>
        <v>0</v>
      </c>
      <c r="AE240" s="24">
        <f>AD240*(1+AE$219)^($E230*AE$220)*(1+AE$221)*IF(Rebate_Industry!AD$132&lt;=0,1,Rebate_Industry!AE$132/Rebate_Industry!AD$132)^$F230*(IF(AD213&lt;=0,1,AE213/AD213)^$G230/(1+$H230+$I230))^(1+$F230)</f>
        <v>0</v>
      </c>
    </row>
    <row r="241" spans="1:35" x14ac:dyDescent="0.45">
      <c r="B241" s="14" t="s">
        <v>67</v>
      </c>
      <c r="C241" s="14" t="str">
        <f t="shared" si="22"/>
        <v>mch</v>
      </c>
      <c r="D241" s="15" t="s">
        <v>68</v>
      </c>
      <c r="E241" s="16" t="s">
        <v>108</v>
      </c>
      <c r="F241" s="14" t="s">
        <v>109</v>
      </c>
      <c r="G241" s="17" t="str">
        <f>Settings!$B$3&amp;".mit.enc."&amp;$B241</f>
        <v>egy.mit.enc.bio</v>
      </c>
      <c r="H241" s="45" t="str">
        <f>Settings!$B$3&amp;".mit.ener."&amp;$C$185&amp;"."&amp;$B241&amp;".e."&amp;$J$185</f>
        <v>egy.mit.ener.mch.bio.e.1</v>
      </c>
      <c r="I241" t="s">
        <v>2290</v>
      </c>
      <c r="L241" s="47">
        <f>INDEX(Data_Energy!$D$3:$U$22,MATCH($B241,Data_Energy!$C$3:$C$22,0),MATCH($C241,Data_Energy!$D$2:$U$2,0))</f>
        <v>0</v>
      </c>
      <c r="M241" s="24">
        <f>L241*(1+M$219)^($E231*M$220)*(1+M$221)*IF(Rebate_Industry!L$133&lt;=0,1,Rebate_Industry!M$133/Rebate_Industry!L$133)^$F231*(IF(L214&lt;=0,1,M214/L214)^$G231/(1+$H231+$I231))^(1+$F231)</f>
        <v>0</v>
      </c>
      <c r="N241" s="24">
        <f>M241*(1+N$219)^($E231*N$220)*(1+N$221)*IF(Rebate_Industry!M$133&lt;=0,1,Rebate_Industry!N$133/Rebate_Industry!M$133)^$F231*(IF(M214&lt;=0,1,N214/M214)^$G231/(1+$H231+$I231))^(1+$F231)</f>
        <v>0</v>
      </c>
      <c r="O241" s="24">
        <f>N241*(1+O$219)^($E231*O$220)*(1+O$221)*IF(Rebate_Industry!N$133&lt;=0,1,Rebate_Industry!O$133/Rebate_Industry!N$133)^$F231*(IF(N214&lt;=0,1,O214/N214)^$G231/(1+$H231+$I231))^(1+$F231)</f>
        <v>0</v>
      </c>
      <c r="P241" s="24">
        <f>O241*(1+P$219)^($E231*P$220)*(1+P$221)*IF(Rebate_Industry!O$133&lt;=0,1,Rebate_Industry!P$133/Rebate_Industry!O$133)^$F231*(IF(O214&lt;=0,1,P214/O214)^$G231/(1+$H231+$I231))^(1+$F231)</f>
        <v>0</v>
      </c>
      <c r="Q241" s="24">
        <f>P241*(1+Q$219)^($E231*Q$220)*(1+Q$221)*IF(Rebate_Industry!P$133&lt;=0,1,Rebate_Industry!Q$133/Rebate_Industry!P$133)^$F231*(IF(P214&lt;=0,1,Q214/P214)^$G231/(1+$H231+$I231))^(1+$F231)</f>
        <v>0</v>
      </c>
      <c r="R241" s="24">
        <f>Q241*(1+R$219)^($E231*R$220)*(1+R$221)*IF(Rebate_Industry!Q$133&lt;=0,1,Rebate_Industry!R$133/Rebate_Industry!Q$133)^$F231*(IF(Q214&lt;=0,1,R214/Q214)^$G231/(1+$H231+$I231))^(1+$F231)</f>
        <v>0</v>
      </c>
      <c r="S241" s="24">
        <f>R241*(1+S$219)^($E231*S$220)*(1+S$221)*IF(Rebate_Industry!R$133&lt;=0,1,Rebate_Industry!S$133/Rebate_Industry!R$133)^$F231*(IF(R214&lt;=0,1,S214/R214)^$G231/(1+$H231+$I231))^(1+$F231)</f>
        <v>0</v>
      </c>
      <c r="T241" s="24">
        <f>S241*(1+T$219)^($E231*T$220)*(1+T$221)*IF(Rebate_Industry!S$133&lt;=0,1,Rebate_Industry!T$133/Rebate_Industry!S$133)^$F231*(IF(S214&lt;=0,1,T214/S214)^$G231/(1+$H231+$I231))^(1+$F231)</f>
        <v>0</v>
      </c>
      <c r="U241" s="24">
        <f>T241*(1+U$219)^($E231*U$220)*(1+U$221)*IF(Rebate_Industry!T$133&lt;=0,1,Rebate_Industry!U$133/Rebate_Industry!T$133)^$F231*(IF(T214&lt;=0,1,U214/T214)^$G231/(1+$H231+$I231))^(1+$F231)</f>
        <v>0</v>
      </c>
      <c r="V241" s="24">
        <f>U241*(1+V$219)^($E231*V$220)*(1+V$221)*IF(Rebate_Industry!U$133&lt;=0,1,Rebate_Industry!V$133/Rebate_Industry!U$133)^$F231*(IF(U214&lt;=0,1,V214/U214)^$G231/(1+$H231+$I231))^(1+$F231)</f>
        <v>0</v>
      </c>
      <c r="W241" s="24">
        <f>V241*(1+W$219)^($E231*W$220)*(1+W$221)*IF(Rebate_Industry!V$133&lt;=0,1,Rebate_Industry!W$133/Rebate_Industry!V$133)^$F231*(IF(V214&lt;=0,1,W214/V214)^$G231/(1+$H231+$I231))^(1+$F231)</f>
        <v>0</v>
      </c>
      <c r="X241" s="24">
        <f>W241*(1+X$219)^($E231*X$220)*(1+X$221)*IF(Rebate_Industry!W$133&lt;=0,1,Rebate_Industry!X$133/Rebate_Industry!W$133)^$F231*(IF(W214&lt;=0,1,X214/W214)^$G231/(1+$H231+$I231))^(1+$F231)</f>
        <v>0</v>
      </c>
      <c r="Y241" s="24">
        <f>X241*(1+Y$219)^($E231*Y$220)*(1+Y$221)*IF(Rebate_Industry!X$133&lt;=0,1,Rebate_Industry!Y$133/Rebate_Industry!X$133)^$F231*(IF(X214&lt;=0,1,Y214/X214)^$G231/(1+$H231+$I231))^(1+$F231)</f>
        <v>0</v>
      </c>
      <c r="Z241" s="24">
        <f>Y241*(1+Z$219)^($E231*Z$220)*(1+Z$221)*IF(Rebate_Industry!Y$133&lt;=0,1,Rebate_Industry!Z$133/Rebate_Industry!Y$133)^$F231*(IF(Y214&lt;=0,1,Z214/Y214)^$G231/(1+$H231+$I231))^(1+$F231)</f>
        <v>0</v>
      </c>
      <c r="AA241" s="24">
        <f>Z241*(1+AA$219)^($E231*AA$220)*(1+AA$221)*IF(Rebate_Industry!Z$133&lt;=0,1,Rebate_Industry!AA$133/Rebate_Industry!Z$133)^$F231*(IF(Z214&lt;=0,1,AA214/Z214)^$G231/(1+$H231+$I231))^(1+$F231)</f>
        <v>0</v>
      </c>
      <c r="AB241" s="24">
        <f>AA241*(1+AB$219)^($E231*AB$220)*(1+AB$221)*IF(Rebate_Industry!AA$133&lt;=0,1,Rebate_Industry!AB$133/Rebate_Industry!AA$133)^$F231*(IF(AA214&lt;=0,1,AB214/AA214)^$G231/(1+$H231+$I231))^(1+$F231)</f>
        <v>0</v>
      </c>
      <c r="AC241" s="24">
        <f>AB241*(1+AC$219)^($E231*AC$220)*(1+AC$221)*IF(Rebate_Industry!AB$133&lt;=0,1,Rebate_Industry!AC$133/Rebate_Industry!AB$133)^$F231*(IF(AB214&lt;=0,1,AC214/AB214)^$G231/(1+$H231+$I231))^(1+$F231)</f>
        <v>0</v>
      </c>
      <c r="AD241" s="24">
        <f>AC241*(1+AD$219)^($E231*AD$220)*(1+AD$221)*IF(Rebate_Industry!AC$133&lt;=0,1,Rebate_Industry!AD$133/Rebate_Industry!AC$133)^$F231*(IF(AC214&lt;=0,1,AD214/AC214)^$G231/(1+$H231+$I231))^(1+$F231)</f>
        <v>0</v>
      </c>
      <c r="AE241" s="24">
        <f>AD241*(1+AE$219)^($E231*AE$220)*(1+AE$221)*IF(Rebate_Industry!AD$133&lt;=0,1,Rebate_Industry!AE$133/Rebate_Industry!AD$133)^$F231*(IF(AD214&lt;=0,1,AE214/AD214)^$G231/(1+$H231+$I231))^(1+$F231)</f>
        <v>0</v>
      </c>
    </row>
    <row r="242" spans="1:35" x14ac:dyDescent="0.45">
      <c r="B242" s="14" t="s">
        <v>69</v>
      </c>
      <c r="C242" s="14" t="str">
        <f t="shared" si="22"/>
        <v>mch</v>
      </c>
      <c r="D242" s="15" t="s">
        <v>70</v>
      </c>
      <c r="E242" s="16" t="s">
        <v>108</v>
      </c>
      <c r="F242" s="14" t="s">
        <v>109</v>
      </c>
      <c r="G242" s="17" t="str">
        <f>Settings!$B$3&amp;".mit.enc."&amp;$B242</f>
        <v>egy.mit.enc.ren</v>
      </c>
      <c r="H242" s="45" t="str">
        <f>Settings!$B$3&amp;".mit.ener."&amp;$C$185&amp;"."&amp;$B242&amp;".e."&amp;$J$185</f>
        <v>egy.mit.ener.mch.ren.e.1</v>
      </c>
      <c r="I242" t="s">
        <v>2291</v>
      </c>
      <c r="L242" s="47">
        <f>INDEX(Data_Energy!$D$3:$U$22,MATCH($B242,Data_Energy!$C$3:$C$22,0),MATCH($C242,Data_Energy!$D$2:$U$2,0))</f>
        <v>0</v>
      </c>
      <c r="M242" s="24">
        <f>L242*(1+M$219)^($E232*M$220)*(1+M$221)*IF(Rebate_Industry!L$134&lt;=0,1,Rebate_Industry!M$134/Rebate_Industry!L$134)^$F232*(IF(L215&lt;=0,1,M215/L215)^$G232/(1+$H232+$I232))^(1+$F232)</f>
        <v>0</v>
      </c>
      <c r="N242" s="24">
        <f>M242*(1+N$219)^($E232*N$220)*(1+N$221)*IF(Rebate_Industry!M$134&lt;=0,1,Rebate_Industry!N$134/Rebate_Industry!M$134)^$F232*(IF(M215&lt;=0,1,N215/M215)^$G232/(1+$H232+$I232))^(1+$F232)</f>
        <v>0</v>
      </c>
      <c r="O242" s="24">
        <f>N242*(1+O$219)^($E232*O$220)*(1+O$221)*IF(Rebate_Industry!N$134&lt;=0,1,Rebate_Industry!O$134/Rebate_Industry!N$134)^$F232*(IF(N215&lt;=0,1,O215/N215)^$G232/(1+$H232+$I232))^(1+$F232)</f>
        <v>0</v>
      </c>
      <c r="P242" s="24">
        <f>O242*(1+P$219)^($E232*P$220)*(1+P$221)*IF(Rebate_Industry!O$134&lt;=0,1,Rebate_Industry!P$134/Rebate_Industry!O$134)^$F232*(IF(O215&lt;=0,1,P215/O215)^$G232/(1+$H232+$I232))^(1+$F232)</f>
        <v>0</v>
      </c>
      <c r="Q242" s="24">
        <f>P242*(1+Q$219)^($E232*Q$220)*(1+Q$221)*IF(Rebate_Industry!P$134&lt;=0,1,Rebate_Industry!Q$134/Rebate_Industry!P$134)^$F232*(IF(P215&lt;=0,1,Q215/P215)^$G232/(1+$H232+$I232))^(1+$F232)</f>
        <v>0</v>
      </c>
      <c r="R242" s="24">
        <f>Q242*(1+R$219)^($E232*R$220)*(1+R$221)*IF(Rebate_Industry!Q$134&lt;=0,1,Rebate_Industry!R$134/Rebate_Industry!Q$134)^$F232*(IF(Q215&lt;=0,1,R215/Q215)^$G232/(1+$H232+$I232))^(1+$F232)</f>
        <v>0</v>
      </c>
      <c r="S242" s="24">
        <f>R242*(1+S$219)^($E232*S$220)*(1+S$221)*IF(Rebate_Industry!R$134&lt;=0,1,Rebate_Industry!S$134/Rebate_Industry!R$134)^$F232*(IF(R215&lt;=0,1,S215/R215)^$G232/(1+$H232+$I232))^(1+$F232)</f>
        <v>0</v>
      </c>
      <c r="T242" s="24">
        <f>S242*(1+T$219)^($E232*T$220)*(1+T$221)*IF(Rebate_Industry!S$134&lt;=0,1,Rebate_Industry!T$134/Rebate_Industry!S$134)^$F232*(IF(S215&lt;=0,1,T215/S215)^$G232/(1+$H232+$I232))^(1+$F232)</f>
        <v>0</v>
      </c>
      <c r="U242" s="24">
        <f>T242*(1+U$219)^($E232*U$220)*(1+U$221)*IF(Rebate_Industry!T$134&lt;=0,1,Rebate_Industry!U$134/Rebate_Industry!T$134)^$F232*(IF(T215&lt;=0,1,U215/T215)^$G232/(1+$H232+$I232))^(1+$F232)</f>
        <v>0</v>
      </c>
      <c r="V242" s="24">
        <f>U242*(1+V$219)^($E232*V$220)*(1+V$221)*IF(Rebate_Industry!U$134&lt;=0,1,Rebate_Industry!V$134/Rebate_Industry!U$134)^$F232*(IF(U215&lt;=0,1,V215/U215)^$G232/(1+$H232+$I232))^(1+$F232)</f>
        <v>0</v>
      </c>
      <c r="W242" s="24">
        <f>V242*(1+W$219)^($E232*W$220)*(1+W$221)*IF(Rebate_Industry!V$134&lt;=0,1,Rebate_Industry!W$134/Rebate_Industry!V$134)^$F232*(IF(V215&lt;=0,1,W215/V215)^$G232/(1+$H232+$I232))^(1+$F232)</f>
        <v>0</v>
      </c>
      <c r="X242" s="24">
        <f>W242*(1+X$219)^($E232*X$220)*(1+X$221)*IF(Rebate_Industry!W$134&lt;=0,1,Rebate_Industry!X$134/Rebate_Industry!W$134)^$F232*(IF(W215&lt;=0,1,X215/W215)^$G232/(1+$H232+$I232))^(1+$F232)</f>
        <v>0</v>
      </c>
      <c r="Y242" s="24">
        <f>X242*(1+Y$219)^($E232*Y$220)*(1+Y$221)*IF(Rebate_Industry!X$134&lt;=0,1,Rebate_Industry!Y$134/Rebate_Industry!X$134)^$F232*(IF(X215&lt;=0,1,Y215/X215)^$G232/(1+$H232+$I232))^(1+$F232)</f>
        <v>0</v>
      </c>
      <c r="Z242" s="24">
        <f>Y242*(1+Z$219)^($E232*Z$220)*(1+Z$221)*IF(Rebate_Industry!Y$134&lt;=0,1,Rebate_Industry!Z$134/Rebate_Industry!Y$134)^$F232*(IF(Y215&lt;=0,1,Z215/Y215)^$G232/(1+$H232+$I232))^(1+$F232)</f>
        <v>0</v>
      </c>
      <c r="AA242" s="24">
        <f>Z242*(1+AA$219)^($E232*AA$220)*(1+AA$221)*IF(Rebate_Industry!Z$134&lt;=0,1,Rebate_Industry!AA$134/Rebate_Industry!Z$134)^$F232*(IF(Z215&lt;=0,1,AA215/Z215)^$G232/(1+$H232+$I232))^(1+$F232)</f>
        <v>0</v>
      </c>
      <c r="AB242" s="24">
        <f>AA242*(1+AB$219)^($E232*AB$220)*(1+AB$221)*IF(Rebate_Industry!AA$134&lt;=0,1,Rebate_Industry!AB$134/Rebate_Industry!AA$134)^$F232*(IF(AA215&lt;=0,1,AB215/AA215)^$G232/(1+$H232+$I232))^(1+$F232)</f>
        <v>0</v>
      </c>
      <c r="AC242" s="24">
        <f>AB242*(1+AC$219)^($E232*AC$220)*(1+AC$221)*IF(Rebate_Industry!AB$134&lt;=0,1,Rebate_Industry!AC$134/Rebate_Industry!AB$134)^$F232*(IF(AB215&lt;=0,1,AC215/AB215)^$G232/(1+$H232+$I232))^(1+$F232)</f>
        <v>0</v>
      </c>
      <c r="AD242" s="24">
        <f>AC242*(1+AD$219)^($E232*AD$220)*(1+AD$221)*IF(Rebate_Industry!AC$134&lt;=0,1,Rebate_Industry!AD$134/Rebate_Industry!AC$134)^$F232*(IF(AC215&lt;=0,1,AD215/AC215)^$G232/(1+$H232+$I232))^(1+$F232)</f>
        <v>0</v>
      </c>
      <c r="AE242" s="24">
        <f>AD242*(1+AE$219)^($E232*AE$220)*(1+AE$221)*IF(Rebate_Industry!AD$134&lt;=0,1,Rebate_Industry!AE$134/Rebate_Industry!AD$134)^$F232*(IF(AD215&lt;=0,1,AE215/AD215)^$G232/(1+$H232+$I232))^(1+$F232)</f>
        <v>0</v>
      </c>
    </row>
    <row r="243" spans="1:35" x14ac:dyDescent="0.45">
      <c r="B243" s="14" t="s">
        <v>110</v>
      </c>
      <c r="C243" s="14" t="str">
        <f t="shared" si="22"/>
        <v>mch</v>
      </c>
      <c r="D243" s="25" t="s">
        <v>111</v>
      </c>
      <c r="E243" s="16" t="s">
        <v>108</v>
      </c>
      <c r="F243" s="14" t="s">
        <v>109</v>
      </c>
      <c r="H243" s="45" t="str">
        <f>Settings!$B$3&amp;".mit.ener."&amp;$C$185&amp;".tot.e."&amp;$J$185</f>
        <v>egy.mit.ener.mch.tot.e.1</v>
      </c>
      <c r="L243" s="26">
        <f t="shared" ref="L243:AE243" si="23">SUM(L234:L242)</f>
        <v>0</v>
      </c>
      <c r="M243" s="26">
        <f t="shared" si="23"/>
        <v>0</v>
      </c>
      <c r="N243" s="26">
        <f t="shared" si="23"/>
        <v>0</v>
      </c>
      <c r="O243" s="26">
        <f t="shared" si="23"/>
        <v>0</v>
      </c>
      <c r="P243" s="26">
        <f t="shared" si="23"/>
        <v>0</v>
      </c>
      <c r="Q243" s="26">
        <f t="shared" si="23"/>
        <v>0</v>
      </c>
      <c r="R243" s="26">
        <f t="shared" si="23"/>
        <v>0</v>
      </c>
      <c r="S243" s="26">
        <f t="shared" si="23"/>
        <v>0</v>
      </c>
      <c r="T243" s="26">
        <f t="shared" si="23"/>
        <v>0</v>
      </c>
      <c r="U243" s="26">
        <f t="shared" si="23"/>
        <v>0</v>
      </c>
      <c r="V243" s="26">
        <f t="shared" si="23"/>
        <v>0</v>
      </c>
      <c r="W243" s="26">
        <f t="shared" si="23"/>
        <v>0</v>
      </c>
      <c r="X243" s="26">
        <f t="shared" si="23"/>
        <v>0</v>
      </c>
      <c r="Y243" s="26">
        <f t="shared" si="23"/>
        <v>0</v>
      </c>
      <c r="Z243" s="26">
        <f t="shared" si="23"/>
        <v>0</v>
      </c>
      <c r="AA243" s="26">
        <f t="shared" si="23"/>
        <v>0</v>
      </c>
      <c r="AB243" s="26">
        <f t="shared" si="23"/>
        <v>0</v>
      </c>
      <c r="AC243" s="26">
        <f t="shared" si="23"/>
        <v>0</v>
      </c>
      <c r="AD243" s="26">
        <f t="shared" si="23"/>
        <v>0</v>
      </c>
      <c r="AE243" s="26">
        <f t="shared" si="23"/>
        <v>0</v>
      </c>
    </row>
    <row r="245" spans="1:35" x14ac:dyDescent="0.45">
      <c r="A245" s="11"/>
      <c r="B245" s="6" t="s">
        <v>1422</v>
      </c>
      <c r="C245" s="7"/>
      <c r="D245" s="6"/>
      <c r="E245" s="7"/>
      <c r="F245" s="7"/>
      <c r="G245" s="7"/>
      <c r="H245" s="12"/>
      <c r="I245" s="6" t="s">
        <v>47</v>
      </c>
      <c r="J245" s="48">
        <f>$J$5</f>
        <v>1</v>
      </c>
      <c r="K245" s="6"/>
      <c r="L245" s="4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x14ac:dyDescent="0.45">
      <c r="A246" s="71"/>
      <c r="B246" s="52"/>
      <c r="C246" s="73" t="s">
        <v>1423</v>
      </c>
      <c r="D246" s="73"/>
      <c r="E246" s="70"/>
      <c r="F246" s="70"/>
      <c r="G246" s="70"/>
      <c r="H246" s="70"/>
      <c r="I246" s="71"/>
      <c r="J246" s="71"/>
      <c r="K246" s="72"/>
      <c r="L246" s="74">
        <f t="shared" ref="L246:AE246" si="24">L340</f>
        <v>2022</v>
      </c>
      <c r="M246" s="74">
        <f t="shared" si="24"/>
        <v>2023</v>
      </c>
      <c r="N246" s="74">
        <f t="shared" si="24"/>
        <v>2024</v>
      </c>
      <c r="O246" s="74">
        <f t="shared" si="24"/>
        <v>2025</v>
      </c>
      <c r="P246" s="74">
        <f t="shared" si="24"/>
        <v>2026</v>
      </c>
      <c r="Q246" s="74">
        <f t="shared" si="24"/>
        <v>2027</v>
      </c>
      <c r="R246" s="74">
        <f t="shared" si="24"/>
        <v>2028</v>
      </c>
      <c r="S246" s="74">
        <f t="shared" si="24"/>
        <v>2029</v>
      </c>
      <c r="T246" s="74">
        <f t="shared" si="24"/>
        <v>2030</v>
      </c>
      <c r="U246" s="74">
        <f t="shared" si="24"/>
        <v>2031</v>
      </c>
      <c r="V246" s="74">
        <f t="shared" si="24"/>
        <v>2032</v>
      </c>
      <c r="W246" s="74">
        <f t="shared" si="24"/>
        <v>2033</v>
      </c>
      <c r="X246" s="74">
        <f t="shared" si="24"/>
        <v>2034</v>
      </c>
      <c r="Y246" s="74">
        <f t="shared" si="24"/>
        <v>2035</v>
      </c>
      <c r="Z246" s="74">
        <f t="shared" si="24"/>
        <v>2036</v>
      </c>
      <c r="AA246" s="74">
        <f t="shared" si="24"/>
        <v>2037</v>
      </c>
      <c r="AB246" s="74">
        <f t="shared" si="24"/>
        <v>2038</v>
      </c>
      <c r="AC246" s="74">
        <f t="shared" si="24"/>
        <v>2039</v>
      </c>
      <c r="AD246" s="74">
        <f t="shared" si="24"/>
        <v>2040</v>
      </c>
      <c r="AE246" s="74">
        <f t="shared" si="24"/>
        <v>2041</v>
      </c>
      <c r="AF246" s="74"/>
      <c r="AG246" s="70"/>
      <c r="AH246" s="70"/>
      <c r="AI246" s="70"/>
    </row>
    <row r="247" spans="1:35" x14ac:dyDescent="0.45">
      <c r="A247" s="71"/>
      <c r="B247" s="52"/>
      <c r="C247" s="70"/>
      <c r="D247" s="73" t="s">
        <v>1424</v>
      </c>
      <c r="E247" s="71" t="s">
        <v>1415</v>
      </c>
      <c r="F247" s="71" t="s">
        <v>26</v>
      </c>
      <c r="G247" s="86" t="str">
        <f>Settings!$B$3&amp;".mit.cptraj."&amp;$J$5</f>
        <v>egy.mit.cptraj.1</v>
      </c>
      <c r="H247" s="71"/>
      <c r="I247" s="71"/>
      <c r="J247" s="71"/>
      <c r="K247" s="72"/>
      <c r="L247" s="71">
        <f>INDEX(Data_Prices!L:L,MATCH($G247,Data_Prices!$A:$A,0))</f>
        <v>0</v>
      </c>
      <c r="M247" s="71">
        <f>INDEX(Data_Prices!M:M,MATCH($G247,Data_Prices!$A:$A,0))</f>
        <v>0</v>
      </c>
      <c r="N247" s="71">
        <f>INDEX(Data_Prices!N:N,MATCH($G247,Data_Prices!$A:$A,0))</f>
        <v>0</v>
      </c>
      <c r="O247" s="71">
        <f>INDEX(Data_Prices!O:O,MATCH($G247,Data_Prices!$A:$A,0))</f>
        <v>0</v>
      </c>
      <c r="P247" s="71">
        <f>INDEX(Data_Prices!P:P,MATCH($G247,Data_Prices!$A:$A,0))</f>
        <v>0</v>
      </c>
      <c r="Q247" s="71">
        <f>INDEX(Data_Prices!Q:Q,MATCH($G247,Data_Prices!$A:$A,0))</f>
        <v>0</v>
      </c>
      <c r="R247" s="71">
        <f>INDEX(Data_Prices!R:R,MATCH($G247,Data_Prices!$A:$A,0))</f>
        <v>0</v>
      </c>
      <c r="S247" s="71">
        <f>INDEX(Data_Prices!S:S,MATCH($G247,Data_Prices!$A:$A,0))</f>
        <v>0</v>
      </c>
      <c r="T247" s="71">
        <f>INDEX(Data_Prices!T:T,MATCH($G247,Data_Prices!$A:$A,0))</f>
        <v>0</v>
      </c>
      <c r="U247" s="71">
        <f>INDEX(Data_Prices!U:U,MATCH($G247,Data_Prices!$A:$A,0))</f>
        <v>0</v>
      </c>
      <c r="V247" s="71">
        <f>INDEX(Data_Prices!V:V,MATCH($G247,Data_Prices!$A:$A,0))</f>
        <v>0</v>
      </c>
      <c r="W247" s="71">
        <f>INDEX(Data_Prices!W:W,MATCH($G247,Data_Prices!$A:$A,0))</f>
        <v>0</v>
      </c>
      <c r="X247" s="71">
        <f>INDEX(Data_Prices!X:X,MATCH($G247,Data_Prices!$A:$A,0))</f>
        <v>0</v>
      </c>
      <c r="Y247" s="71">
        <f>INDEX(Data_Prices!Y:Y,MATCH($G247,Data_Prices!$A:$A,0))</f>
        <v>0</v>
      </c>
      <c r="Z247" s="71">
        <f>INDEX(Data_Prices!Z:Z,MATCH($G247,Data_Prices!$A:$A,0))</f>
        <v>0</v>
      </c>
      <c r="AA247" s="71">
        <f>INDEX(Data_Prices!AA:AA,MATCH($G247,Data_Prices!$A:$A,0))</f>
        <v>0</v>
      </c>
      <c r="AB247" s="71">
        <f>INDEX(Data_Prices!AB:AB,MATCH($G247,Data_Prices!$A:$A,0))</f>
        <v>0</v>
      </c>
      <c r="AC247" s="71">
        <f>INDEX(Data_Prices!AC:AC,MATCH($G247,Data_Prices!$A:$A,0))</f>
        <v>0</v>
      </c>
      <c r="AD247" s="71">
        <f>INDEX(Data_Prices!AD:AD,MATCH($G247,Data_Prices!$A:$A,0))</f>
        <v>0</v>
      </c>
      <c r="AE247" s="71">
        <f>INDEX(Data_Prices!AE:AE,MATCH($G247,Data_Prices!$A:$A,0))</f>
        <v>0</v>
      </c>
      <c r="AF247" s="71"/>
      <c r="AG247" s="70"/>
      <c r="AH247" s="70"/>
      <c r="AI247" s="70"/>
    </row>
    <row r="248" spans="1:35" x14ac:dyDescent="0.45">
      <c r="A248" s="70"/>
      <c r="B248" s="52"/>
      <c r="C248" s="70"/>
      <c r="D248" s="73" t="s">
        <v>1425</v>
      </c>
      <c r="E248" s="70" t="s">
        <v>1415</v>
      </c>
      <c r="F248" s="70" t="s">
        <v>26</v>
      </c>
      <c r="G248" s="87" t="str">
        <f>Settings!$B$3&amp;".mit.etstraj."&amp;$J$5</f>
        <v>egy.mit.etstraj.1</v>
      </c>
      <c r="H248" s="70"/>
      <c r="I248" s="70"/>
      <c r="J248" s="70"/>
      <c r="K248" s="72"/>
      <c r="L248" s="71">
        <f>INDEX(Data_Prices!L:L,MATCH($G248,Data_Prices!$A:$A,0))</f>
        <v>0</v>
      </c>
      <c r="M248" s="71">
        <f>INDEX(Data_Prices!M:M,MATCH($G248,Data_Prices!$A:$A,0))</f>
        <v>0</v>
      </c>
      <c r="N248" s="71">
        <f>INDEX(Data_Prices!N:N,MATCH($G248,Data_Prices!$A:$A,0))</f>
        <v>0</v>
      </c>
      <c r="O248" s="71">
        <f>INDEX(Data_Prices!O:O,MATCH($G248,Data_Prices!$A:$A,0))</f>
        <v>0</v>
      </c>
      <c r="P248" s="71">
        <f>INDEX(Data_Prices!P:P,MATCH($G248,Data_Prices!$A:$A,0))</f>
        <v>0</v>
      </c>
      <c r="Q248" s="71">
        <f>INDEX(Data_Prices!Q:Q,MATCH($G248,Data_Prices!$A:$A,0))</f>
        <v>0</v>
      </c>
      <c r="R248" s="71">
        <f>INDEX(Data_Prices!R:R,MATCH($G248,Data_Prices!$A:$A,0))</f>
        <v>0</v>
      </c>
      <c r="S248" s="71">
        <f>INDEX(Data_Prices!S:S,MATCH($G248,Data_Prices!$A:$A,0))</f>
        <v>0</v>
      </c>
      <c r="T248" s="71">
        <f>INDEX(Data_Prices!T:T,MATCH($G248,Data_Prices!$A:$A,0))</f>
        <v>0</v>
      </c>
      <c r="U248" s="71">
        <f>INDEX(Data_Prices!U:U,MATCH($G248,Data_Prices!$A:$A,0))</f>
        <v>0</v>
      </c>
      <c r="V248" s="71">
        <f>INDEX(Data_Prices!V:V,MATCH($G248,Data_Prices!$A:$A,0))</f>
        <v>0</v>
      </c>
      <c r="W248" s="71">
        <f>INDEX(Data_Prices!W:W,MATCH($G248,Data_Prices!$A:$A,0))</f>
        <v>0</v>
      </c>
      <c r="X248" s="71">
        <f>INDEX(Data_Prices!X:X,MATCH($G248,Data_Prices!$A:$A,0))</f>
        <v>0</v>
      </c>
      <c r="Y248" s="71">
        <f>INDEX(Data_Prices!Y:Y,MATCH($G248,Data_Prices!$A:$A,0))</f>
        <v>0</v>
      </c>
      <c r="Z248" s="71">
        <f>INDEX(Data_Prices!Z:Z,MATCH($G248,Data_Prices!$A:$A,0))</f>
        <v>0</v>
      </c>
      <c r="AA248" s="71">
        <f>INDEX(Data_Prices!AA:AA,MATCH($G248,Data_Prices!$A:$A,0))</f>
        <v>0</v>
      </c>
      <c r="AB248" s="71">
        <f>INDEX(Data_Prices!AB:AB,MATCH($G248,Data_Prices!$A:$A,0))</f>
        <v>0</v>
      </c>
      <c r="AC248" s="71">
        <f>INDEX(Data_Prices!AC:AC,MATCH($G248,Data_Prices!$A:$A,0))</f>
        <v>0</v>
      </c>
      <c r="AD248" s="71">
        <f>INDEX(Data_Prices!AD:AD,MATCH($G248,Data_Prices!$A:$A,0))</f>
        <v>0</v>
      </c>
      <c r="AE248" s="71">
        <f>INDEX(Data_Prices!AE:AE,MATCH($G248,Data_Prices!$A:$A,0))</f>
        <v>0</v>
      </c>
      <c r="AF248" s="70"/>
      <c r="AG248" s="70"/>
      <c r="AH248" s="70"/>
      <c r="AI248" s="70"/>
    </row>
    <row r="249" spans="1:35" x14ac:dyDescent="0.45">
      <c r="A249" s="70"/>
      <c r="B249" s="52"/>
      <c r="C249" s="70"/>
      <c r="D249" s="73" t="s">
        <v>1426</v>
      </c>
      <c r="E249" s="70" t="s">
        <v>1427</v>
      </c>
      <c r="F249" s="70" t="s">
        <v>26</v>
      </c>
      <c r="G249" s="87" t="str">
        <f>Settings!$B$3&amp;".mit.fundsp."&amp;$J$5</f>
        <v>egy.mit.fundsp.1</v>
      </c>
      <c r="H249" s="70"/>
      <c r="I249" s="70" t="s">
        <v>2731</v>
      </c>
      <c r="J249" s="70"/>
      <c r="K249" s="70"/>
      <c r="L249" s="96">
        <f>INDEX(Data_Prices!L:L,MATCH($G249,Data_Prices!$A:$A,0))</f>
        <v>0</v>
      </c>
      <c r="M249" s="96">
        <f>INDEX(Data_Prices!M:M,MATCH($G249,Data_Prices!$A:$A,0))</f>
        <v>0</v>
      </c>
      <c r="N249" s="96">
        <f>INDEX(Data_Prices!N:N,MATCH($G249,Data_Prices!$A:$A,0))</f>
        <v>0</v>
      </c>
      <c r="O249" s="96">
        <f>INDEX(Data_Prices!O:O,MATCH($G249,Data_Prices!$A:$A,0))</f>
        <v>0</v>
      </c>
      <c r="P249" s="96">
        <f>INDEX(Data_Prices!P:P,MATCH($G249,Data_Prices!$A:$A,0))</f>
        <v>0</v>
      </c>
      <c r="Q249" s="96">
        <f>INDEX(Data_Prices!Q:Q,MATCH($G249,Data_Prices!$A:$A,0))</f>
        <v>0</v>
      </c>
      <c r="R249" s="96">
        <f>INDEX(Data_Prices!R:R,MATCH($G249,Data_Prices!$A:$A,0))</f>
        <v>0</v>
      </c>
      <c r="S249" s="96">
        <f>INDEX(Data_Prices!S:S,MATCH($G249,Data_Prices!$A:$A,0))</f>
        <v>0</v>
      </c>
      <c r="T249" s="96">
        <f>INDEX(Data_Prices!T:T,MATCH($G249,Data_Prices!$A:$A,0))</f>
        <v>0</v>
      </c>
      <c r="U249" s="96">
        <f>INDEX(Data_Prices!U:U,MATCH($G249,Data_Prices!$A:$A,0))</f>
        <v>0</v>
      </c>
      <c r="V249" s="96">
        <f>INDEX(Data_Prices!V:V,MATCH($G249,Data_Prices!$A:$A,0))</f>
        <v>0</v>
      </c>
      <c r="W249" s="96">
        <f>INDEX(Data_Prices!W:W,MATCH($G249,Data_Prices!$A:$A,0))</f>
        <v>0</v>
      </c>
      <c r="X249" s="96">
        <f>INDEX(Data_Prices!X:X,MATCH($G249,Data_Prices!$A:$A,0))</f>
        <v>0</v>
      </c>
      <c r="Y249" s="96">
        <f>INDEX(Data_Prices!Y:Y,MATCH($G249,Data_Prices!$A:$A,0))</f>
        <v>0</v>
      </c>
      <c r="Z249" s="96">
        <f>INDEX(Data_Prices!Z:Z,MATCH($G249,Data_Prices!$A:$A,0))</f>
        <v>0</v>
      </c>
      <c r="AA249" s="96">
        <f>INDEX(Data_Prices!AA:AA,MATCH($G249,Data_Prices!$A:$A,0))</f>
        <v>0</v>
      </c>
      <c r="AB249" s="96">
        <f>INDEX(Data_Prices!AB:AB,MATCH($G249,Data_Prices!$A:$A,0))</f>
        <v>0</v>
      </c>
      <c r="AC249" s="96">
        <f>INDEX(Data_Prices!AC:AC,MATCH($G249,Data_Prices!$A:$A,0))</f>
        <v>0</v>
      </c>
      <c r="AD249" s="96">
        <f>INDEX(Data_Prices!AD:AD,MATCH($G249,Data_Prices!$A:$A,0))</f>
        <v>0</v>
      </c>
      <c r="AE249" s="96">
        <f>INDEX(Data_Prices!AE:AE,MATCH($G249,Data_Prices!$A:$A,0))</f>
        <v>0</v>
      </c>
      <c r="AF249" s="70"/>
      <c r="AG249" s="70"/>
      <c r="AH249" s="70"/>
      <c r="AI249" s="70"/>
    </row>
    <row r="250" spans="1:35" x14ac:dyDescent="0.45">
      <c r="A250" s="70"/>
      <c r="B250" s="52"/>
      <c r="C250" s="70"/>
      <c r="D250" s="73" t="s">
        <v>1428</v>
      </c>
      <c r="E250" s="70" t="s">
        <v>1861</v>
      </c>
      <c r="F250" s="70" t="s">
        <v>26</v>
      </c>
      <c r="G250" s="87" t="str">
        <f>Settings!$B$3&amp;".mit.fundsh."&amp;$J$5</f>
        <v>egy.mit.fundsh.1</v>
      </c>
      <c r="H250" s="70"/>
      <c r="I250" s="70" t="s">
        <v>2730</v>
      </c>
      <c r="J250" s="70"/>
      <c r="K250" s="70"/>
      <c r="L250" s="133">
        <f>Fund_Industry!L$80</f>
        <v>0</v>
      </c>
      <c r="M250" s="133">
        <f>Fund_Industry!M$80</f>
        <v>0</v>
      </c>
      <c r="N250" s="133">
        <f>Fund_Industry!N$80</f>
        <v>0</v>
      </c>
      <c r="O250" s="133">
        <f>Fund_Industry!O$80</f>
        <v>0</v>
      </c>
      <c r="P250" s="133">
        <f>Fund_Industry!P$80</f>
        <v>0</v>
      </c>
      <c r="Q250" s="133">
        <f>Fund_Industry!Q$80</f>
        <v>0</v>
      </c>
      <c r="R250" s="133">
        <f>Fund_Industry!R$80</f>
        <v>0</v>
      </c>
      <c r="S250" s="133">
        <f>Fund_Industry!S$80</f>
        <v>0</v>
      </c>
      <c r="T250" s="133">
        <f>Fund_Industry!T$80</f>
        <v>0</v>
      </c>
      <c r="U250" s="133">
        <f>Fund_Industry!U$80</f>
        <v>0</v>
      </c>
      <c r="V250" s="133">
        <f>Fund_Industry!V$80</f>
        <v>0</v>
      </c>
      <c r="W250" s="133">
        <f>Fund_Industry!W$80</f>
        <v>0</v>
      </c>
      <c r="X250" s="133">
        <f>Fund_Industry!X$80</f>
        <v>0</v>
      </c>
      <c r="Y250" s="133">
        <f>Fund_Industry!Y$80</f>
        <v>0</v>
      </c>
      <c r="Z250" s="133">
        <f>Fund_Industry!Z$80</f>
        <v>0</v>
      </c>
      <c r="AA250" s="133">
        <f>Fund_Industry!AA$80</f>
        <v>0</v>
      </c>
      <c r="AB250" s="133">
        <f>Fund_Industry!AB$80</f>
        <v>0</v>
      </c>
      <c r="AC250" s="133">
        <f>Fund_Industry!AC$80</f>
        <v>0</v>
      </c>
      <c r="AD250" s="133">
        <f>Fund_Industry!AD$80</f>
        <v>0</v>
      </c>
      <c r="AE250" s="133">
        <f>Fund_Industry!AE$80</f>
        <v>0</v>
      </c>
      <c r="AF250" s="70"/>
      <c r="AG250" s="70"/>
      <c r="AH250" s="70"/>
      <c r="AI250" s="70"/>
    </row>
    <row r="251" spans="1:35" x14ac:dyDescent="0.45">
      <c r="A251" s="70"/>
      <c r="B251" s="52"/>
      <c r="C251" s="70"/>
      <c r="D251" s="73" t="s">
        <v>1862</v>
      </c>
      <c r="E251" s="70" t="s">
        <v>1415</v>
      </c>
      <c r="F251" s="70" t="s">
        <v>26</v>
      </c>
      <c r="G251" s="87" t="str">
        <f>Settings!$B$3&amp;".mit.obrrb."&amp;$J$5</f>
        <v>egy.mit.obrrb.1</v>
      </c>
      <c r="H251" s="70"/>
      <c r="I251" s="70" t="s">
        <v>1863</v>
      </c>
      <c r="J251" s="70"/>
      <c r="K251" s="70"/>
      <c r="L251" s="70">
        <f>INDEX(Data_Prices!L:L,MATCH($G251,Data_Prices!$A:$A,0))</f>
        <v>0</v>
      </c>
      <c r="M251" s="70">
        <f>INDEX(Data_Prices!M:M,MATCH($G251,Data_Prices!$A:$A,0))</f>
        <v>0</v>
      </c>
      <c r="N251" s="70">
        <f>INDEX(Data_Prices!N:N,MATCH($G251,Data_Prices!$A:$A,0))</f>
        <v>0</v>
      </c>
      <c r="O251" s="70">
        <f>INDEX(Data_Prices!O:O,MATCH($G251,Data_Prices!$A:$A,0))</f>
        <v>0</v>
      </c>
      <c r="P251" s="70">
        <f>INDEX(Data_Prices!P:P,MATCH($G251,Data_Prices!$A:$A,0))</f>
        <v>0</v>
      </c>
      <c r="Q251" s="70">
        <f>INDEX(Data_Prices!Q:Q,MATCH($G251,Data_Prices!$A:$A,0))</f>
        <v>0</v>
      </c>
      <c r="R251" s="70">
        <f>INDEX(Data_Prices!R:R,MATCH($G251,Data_Prices!$A:$A,0))</f>
        <v>0</v>
      </c>
      <c r="S251" s="70">
        <f>INDEX(Data_Prices!S:S,MATCH($G251,Data_Prices!$A:$A,0))</f>
        <v>0</v>
      </c>
      <c r="T251" s="70">
        <f>INDEX(Data_Prices!T:T,MATCH($G251,Data_Prices!$A:$A,0))</f>
        <v>0</v>
      </c>
      <c r="U251" s="70">
        <f>INDEX(Data_Prices!U:U,MATCH($G251,Data_Prices!$A:$A,0))</f>
        <v>0</v>
      </c>
      <c r="V251" s="70">
        <f>INDEX(Data_Prices!V:V,MATCH($G251,Data_Prices!$A:$A,0))</f>
        <v>0</v>
      </c>
      <c r="W251" s="70">
        <f>INDEX(Data_Prices!W:W,MATCH($G251,Data_Prices!$A:$A,0))</f>
        <v>0</v>
      </c>
      <c r="X251" s="70">
        <f>INDEX(Data_Prices!X:X,MATCH($G251,Data_Prices!$A:$A,0))</f>
        <v>0</v>
      </c>
      <c r="Y251" s="70">
        <f>INDEX(Data_Prices!Y:Y,MATCH($G251,Data_Prices!$A:$A,0))</f>
        <v>0</v>
      </c>
      <c r="Z251" s="70">
        <f>INDEX(Data_Prices!Z:Z,MATCH($G251,Data_Prices!$A:$A,0))</f>
        <v>0</v>
      </c>
      <c r="AA251" s="70">
        <f>INDEX(Data_Prices!AA:AA,MATCH($G251,Data_Prices!$A:$A,0))</f>
        <v>0</v>
      </c>
      <c r="AB251" s="70">
        <f>INDEX(Data_Prices!AB:AB,MATCH($G251,Data_Prices!$A:$A,0))</f>
        <v>0</v>
      </c>
      <c r="AC251" s="70">
        <f>INDEX(Data_Prices!AC:AC,MATCH($G251,Data_Prices!$A:$A,0))</f>
        <v>0</v>
      </c>
      <c r="AD251" s="70">
        <f>INDEX(Data_Prices!AD:AD,MATCH($G251,Data_Prices!$A:$A,0))</f>
        <v>0</v>
      </c>
      <c r="AE251" s="70">
        <f>INDEX(Data_Prices!AE:AE,MATCH($G251,Data_Prices!$A:$A,0))</f>
        <v>0</v>
      </c>
      <c r="AF251" s="70"/>
      <c r="AG251" s="70"/>
      <c r="AH251" s="70"/>
      <c r="AI251" s="70"/>
    </row>
    <row r="252" spans="1:35" x14ac:dyDescent="0.45">
      <c r="A252" s="70"/>
      <c r="B252" s="70"/>
      <c r="C252" s="73" t="s">
        <v>1429</v>
      </c>
      <c r="D252" s="73"/>
      <c r="E252" s="71" t="s">
        <v>1430</v>
      </c>
      <c r="F252" s="71" t="s">
        <v>1431</v>
      </c>
      <c r="G252" s="71" t="s">
        <v>1405</v>
      </c>
      <c r="H252" s="71" t="s">
        <v>1432</v>
      </c>
      <c r="I252" s="71" t="s">
        <v>1433</v>
      </c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0"/>
      <c r="AH252" s="70"/>
      <c r="AI252" s="70"/>
    </row>
    <row r="253" spans="1:35" x14ac:dyDescent="0.45">
      <c r="A253" s="70"/>
      <c r="B253" s="73"/>
      <c r="C253" s="70"/>
      <c r="D253" s="73" t="s">
        <v>116</v>
      </c>
      <c r="E253" s="75">
        <f>IF(AND($J$5&gt;1,INDEX(MTInputs!$F$8:$F$415,MATCH("MCovMch",MTInputs!$H$8:$H$415,0))),1,0)</f>
        <v>0</v>
      </c>
      <c r="F253" s="75">
        <f>IF(AND($J$5&gt;1,INDEX(MTInputs!$F$8:$F$415,MATCH("D_NewETS",MTInputs!$H$8:$H$415,0))="Yes"),IF(MTInputs!$F$107,1,0),0)</f>
        <v>0</v>
      </c>
      <c r="G253" s="75">
        <f>IF(MTInputs!$F$117,1,0)</f>
        <v>0</v>
      </c>
      <c r="H253" s="75">
        <f>G253*E253</f>
        <v>0</v>
      </c>
      <c r="I253" s="75">
        <f>G253*F253</f>
        <v>0</v>
      </c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0"/>
      <c r="AH253" s="70"/>
      <c r="AI253" s="70"/>
    </row>
    <row r="254" spans="1:35" x14ac:dyDescent="0.45">
      <c r="A254" s="70"/>
      <c r="B254" s="73"/>
      <c r="C254" s="70"/>
      <c r="D254" s="73" t="s">
        <v>42</v>
      </c>
      <c r="E254" s="75">
        <f>IF(AND($J$5&gt;1,INDEX(MTInputs!$F$8:$F$415,MATCH("MCovIrn",MTInputs!$H$8:$H$415,0))),1,0)</f>
        <v>0</v>
      </c>
      <c r="F254" s="75">
        <f>IF(AND($J$5&gt;1,INDEX(MTInputs!$F$8:$F$415,MATCH("D_NewETS",MTInputs!$H$8:$H$415,0))="Yes"),IF(MTInputs!$F$108,1,0),0)</f>
        <v>0</v>
      </c>
      <c r="G254" s="75">
        <f>IF(MTInputs!$F$118,1,0)</f>
        <v>0</v>
      </c>
      <c r="H254" s="75">
        <f>G254*E254</f>
        <v>0</v>
      </c>
      <c r="I254" s="75">
        <f>G254*F254</f>
        <v>0</v>
      </c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0"/>
      <c r="AH254" s="70"/>
      <c r="AI254" s="70"/>
    </row>
    <row r="255" spans="1:35" x14ac:dyDescent="0.45">
      <c r="A255" s="70"/>
      <c r="B255" s="73"/>
      <c r="C255" s="70"/>
      <c r="D255" s="73" t="s">
        <v>870</v>
      </c>
      <c r="E255" s="75">
        <f>IF(AND($J$5&gt;1,INDEX(MTInputs!$F$8:$F$415,MATCH("MCovNfm",MTInputs!$H$8:$H$415,0))),1,0)</f>
        <v>0</v>
      </c>
      <c r="F255" s="75">
        <f>IF(AND($J$5&gt;1,INDEX(MTInputs!$F$8:$F$415,MATCH("D_NewETS",MTInputs!$H$8:$H$415,0))="Yes"),IF(MTInputs!$F$109,1,0),0)</f>
        <v>0</v>
      </c>
      <c r="G255" s="75">
        <f>IF(MTInputs!$F$119,1,0)</f>
        <v>0</v>
      </c>
      <c r="H255" s="75">
        <f>G255*E255</f>
        <v>0</v>
      </c>
      <c r="I255" s="75">
        <f>G255*F255</f>
        <v>0</v>
      </c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0"/>
      <c r="AH255" s="70"/>
      <c r="AI255" s="70"/>
    </row>
    <row r="256" spans="1:35" x14ac:dyDescent="0.45">
      <c r="A256" s="70"/>
      <c r="B256" s="73"/>
      <c r="C256" s="70"/>
      <c r="D256" s="73" t="s">
        <v>871</v>
      </c>
      <c r="E256" s="75">
        <f>IF(AND($J$5&gt;1,INDEX(MTInputs!$F$8:$F$415,MATCH("MCovMac",MTInputs!$H$8:$H$415,0))),1,0)</f>
        <v>0</v>
      </c>
      <c r="F256" s="75">
        <f>IF(AND($J$5&gt;1,INDEX(MTInputs!$F$8:$F$415,MATCH("D_NewETS",MTInputs!$H$8:$H$415,0))="Yes"),IF(MTInputs!$F$110,1,0),0)</f>
        <v>0</v>
      </c>
      <c r="G256" s="75">
        <f>IF(MTInputs!$F$120,1,0)</f>
        <v>0</v>
      </c>
      <c r="H256" s="75">
        <f>G256*E256</f>
        <v>0</v>
      </c>
      <c r="I256" s="75">
        <f>G256*F256</f>
        <v>0</v>
      </c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0"/>
      <c r="AH256" s="70"/>
      <c r="AI256" s="70"/>
    </row>
    <row r="257" spans="1:35" x14ac:dyDescent="0.45">
      <c r="A257" s="70"/>
      <c r="B257" s="73"/>
      <c r="C257" s="70"/>
      <c r="D257" s="73" t="s">
        <v>112</v>
      </c>
      <c r="E257" s="75">
        <f>IF(AND($J$5&gt;1,INDEX(MTInputs!$F$8:$F$415,MATCH("MCovCem",MTInputs!$H$8:$H$415,0))),1,0)</f>
        <v>0</v>
      </c>
      <c r="F257" s="75">
        <f>IF(AND($J$5&gt;1,INDEX(MTInputs!$F$8:$F$415,MATCH("D_NewETS",MTInputs!$H$8:$H$415,0))="Yes"),IF(MTInputs!$F$111,1,0),0)</f>
        <v>0</v>
      </c>
      <c r="G257" s="75">
        <f>IF(MTInputs!$F$121,1,0)</f>
        <v>0</v>
      </c>
      <c r="H257" s="75">
        <f>G257*E257</f>
        <v>0</v>
      </c>
      <c r="I257" s="75">
        <f>G257*F257</f>
        <v>0</v>
      </c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0"/>
      <c r="AH257" s="70"/>
      <c r="AI257" s="70"/>
    </row>
    <row r="258" spans="1:35" x14ac:dyDescent="0.45">
      <c r="A258" s="70"/>
      <c r="B258" s="52"/>
      <c r="C258" s="52" t="s">
        <v>1901</v>
      </c>
      <c r="D258" s="72" t="s">
        <v>1902</v>
      </c>
      <c r="E258" s="72" t="s">
        <v>1869</v>
      </c>
      <c r="F258" s="72"/>
      <c r="G258" s="70" t="s">
        <v>1492</v>
      </c>
      <c r="H258" s="87" t="str">
        <f>Settings!$B$3&amp;".mit.emisfc."&amp;$G258&amp;"."&amp;$J$5</f>
        <v>egy.mit.emisfc.cbam.tot.1</v>
      </c>
      <c r="I258" s="72"/>
      <c r="J258" s="72"/>
      <c r="K258" s="72"/>
      <c r="L258" s="72">
        <f t="shared" ref="L258:AE258" si="25">SUMPRODUCT(L$276:L$283*$H$264:$H$271*EXP(-$E$352:$E$359*L$249))/1000</f>
        <v>15.80851477988204</v>
      </c>
      <c r="M258" s="72">
        <f t="shared" si="25"/>
        <v>16.333156432126469</v>
      </c>
      <c r="N258" s="72">
        <f t="shared" si="25"/>
        <v>16.8755025</v>
      </c>
      <c r="O258" s="72">
        <f t="shared" si="25"/>
        <v>17.436160520999998</v>
      </c>
      <c r="P258" s="72">
        <f t="shared" si="25"/>
        <v>18.015759258365996</v>
      </c>
      <c r="Q258" s="72">
        <f t="shared" si="25"/>
        <v>18.614949457680826</v>
      </c>
      <c r="R258" s="72">
        <f t="shared" si="25"/>
        <v>19.234404631062102</v>
      </c>
      <c r="S258" s="72">
        <f t="shared" si="25"/>
        <v>19.874821869976433</v>
      </c>
      <c r="T258" s="72">
        <f t="shared" si="25"/>
        <v>20.536922687748202</v>
      </c>
      <c r="U258" s="72">
        <f t="shared" si="25"/>
        <v>21.221453892876493</v>
      </c>
      <c r="V258" s="72">
        <f t="shared" si="25"/>
        <v>21.929188494316183</v>
      </c>
      <c r="W258" s="72">
        <f t="shared" si="25"/>
        <v>22.660926639924462</v>
      </c>
      <c r="X258" s="72">
        <f t="shared" si="25"/>
        <v>23.417496589319807</v>
      </c>
      <c r="Y258" s="72">
        <f t="shared" si="25"/>
        <v>24.199755722449424</v>
      </c>
      <c r="Z258" s="72">
        <f t="shared" si="25"/>
        <v>25.008591585210855</v>
      </c>
      <c r="AA258" s="72">
        <f t="shared" si="25"/>
        <v>25.844922973525978</v>
      </c>
      <c r="AB258" s="72">
        <f t="shared" si="25"/>
        <v>26.70970105731983</v>
      </c>
      <c r="AC258" s="72">
        <f t="shared" si="25"/>
        <v>27.603910545913184</v>
      </c>
      <c r="AD258" s="72">
        <f t="shared" si="25"/>
        <v>28.528570896396591</v>
      </c>
      <c r="AE258" s="72">
        <f t="shared" si="25"/>
        <v>29.484737566614811</v>
      </c>
      <c r="AF258" s="70"/>
      <c r="AG258" s="70"/>
      <c r="AH258" s="70"/>
      <c r="AI258" s="70"/>
    </row>
    <row r="259" spans="1:35" x14ac:dyDescent="0.45">
      <c r="A259" s="70"/>
      <c r="B259" s="52"/>
      <c r="C259" s="52"/>
      <c r="D259" s="72" t="s">
        <v>1903</v>
      </c>
      <c r="E259" s="72" t="s">
        <v>1869</v>
      </c>
      <c r="F259" s="72"/>
      <c r="G259" s="70" t="s">
        <v>1492</v>
      </c>
      <c r="H259" s="87" t="str">
        <f>Settings!$B$3&amp;".mit.emisfp."&amp;$G259&amp;"."&amp;$J$5</f>
        <v>egy.mit.emisfp.cbam.tot.1</v>
      </c>
      <c r="I259" s="72"/>
      <c r="J259" s="72"/>
      <c r="K259" s="72"/>
      <c r="L259" s="72">
        <f t="shared" ref="L259:AE259" si="26">SUMPRODUCT(L$276:L$283*$I$264:$I$271*EXP(-$E$352:$E$359*L$249))/1000</f>
        <v>5.1177315778627914</v>
      </c>
      <c r="M259" s="72">
        <f t="shared" si="26"/>
        <v>5.2880720358998579</v>
      </c>
      <c r="N259" s="72">
        <f t="shared" si="26"/>
        <v>5.4647009999999998</v>
      </c>
      <c r="O259" s="72">
        <f t="shared" si="26"/>
        <v>5.6478686219999998</v>
      </c>
      <c r="P259" s="72">
        <f t="shared" si="26"/>
        <v>5.8378354764840008</v>
      </c>
      <c r="Q259" s="72">
        <f t="shared" si="26"/>
        <v>6.0348730065378478</v>
      </c>
      <c r="R259" s="72">
        <f t="shared" si="26"/>
        <v>6.2392639888340149</v>
      </c>
      <c r="S259" s="72">
        <f t="shared" si="26"/>
        <v>6.451303018891398</v>
      </c>
      <c r="T259" s="72">
        <f t="shared" si="26"/>
        <v>6.6712970173913781</v>
      </c>
      <c r="U259" s="72">
        <f t="shared" si="26"/>
        <v>6.8995657584700698</v>
      </c>
      <c r="V259" s="72">
        <f t="shared" si="26"/>
        <v>7.1364424209471196</v>
      </c>
      <c r="W259" s="72">
        <f t="shared" si="26"/>
        <v>7.3822741634934586</v>
      </c>
      <c r="X259" s="72">
        <f t="shared" si="26"/>
        <v>7.6374227247843764</v>
      </c>
      <c r="Y259" s="72">
        <f t="shared" si="26"/>
        <v>7.9022650497302331</v>
      </c>
      <c r="Z259" s="72">
        <f t="shared" si="26"/>
        <v>8.1771939429249265</v>
      </c>
      <c r="AA259" s="72">
        <f t="shared" si="26"/>
        <v>8.4626187505023296</v>
      </c>
      <c r="AB259" s="72">
        <f t="shared" si="26"/>
        <v>8.7589660716430906</v>
      </c>
      <c r="AC259" s="72">
        <f t="shared" si="26"/>
        <v>9.0666805010286549</v>
      </c>
      <c r="AD259" s="72">
        <f t="shared" si="26"/>
        <v>9.3862254035963169</v>
      </c>
      <c r="AE259" s="72">
        <f t="shared" si="26"/>
        <v>9.718083723008446</v>
      </c>
      <c r="AF259" s="70"/>
      <c r="AG259" s="70"/>
      <c r="AH259" s="70"/>
      <c r="AI259" s="70"/>
    </row>
    <row r="260" spans="1:35" x14ac:dyDescent="0.45">
      <c r="A260" s="70"/>
      <c r="B260" s="52"/>
      <c r="C260" s="52"/>
      <c r="D260" s="72" t="s">
        <v>1904</v>
      </c>
      <c r="E260" s="72" t="s">
        <v>1869</v>
      </c>
      <c r="F260" s="72"/>
      <c r="G260" s="70" t="s">
        <v>1492</v>
      </c>
      <c r="H260" s="87" t="str">
        <f>Settings!$B$3&amp;".mit.emisnp."&amp;$G260&amp;"."&amp;$J$5</f>
        <v>egy.mit.emisnp.cbam.tot.1</v>
      </c>
      <c r="I260" s="72" t="s">
        <v>2733</v>
      </c>
      <c r="J260" s="72"/>
      <c r="K260" s="72"/>
      <c r="L260" s="72">
        <f>SUMPRODUCT(L$276:L$283*($J$264:$J$271&gt;0)*$J$264:$J$271*(1+$J$273*(EXP(-$E$363:$E$370*($F$310:$F$317*L$308+$G$310:$G$317*L$248+L$249))-1)))/1000</f>
        <v>25.304020994313927</v>
      </c>
      <c r="M260" s="72">
        <f>SUMPRODUCT(M$276:M$283*($J$264:$J$271&gt;0)*$J$264:$J$271*(1+$J$273*(EXP(-$E$363:$E$370*($F$310:$F$317*M$308+$G$310:$G$317*M$248+M$249))-1)))/1000</f>
        <v>26.150733850694163</v>
      </c>
      <c r="N260" s="72">
        <f>SUMPRODUCT(N$276:N$283*($J$264:$J$271&gt;0)*$J$264:$J$271*(1+$J$273*(EXP(-$E$363:$E$370*($F$310:$F$317*N$308+$G$310:$G$317*N$248+N$249))-1)))/1000</f>
        <v>27.026</v>
      </c>
      <c r="O260" s="72">
        <f>SUMPRODUCT(O$276:O$283*($J$264:$J$271&gt;0)*$J$264:$J$271*(1+$J$273*(EXP(-$E$363:$E$370*($F$310:$F$317*O$308+$G$310:$G$317*O$248+O$249))-1)))/1000</f>
        <v>27.930793999999999</v>
      </c>
      <c r="P260" s="72">
        <f>SUMPRODUCT(P$276:P$283*($J$264:$J$271&gt;0)*$J$264:$J$271*(1+$J$273*(EXP(-$E$363:$E$370*($F$310:$F$317*P$308+$G$310:$G$317*P$248+P$249))-1)))/1000</f>
        <v>28.866124285999998</v>
      </c>
      <c r="Q260" s="72">
        <f>SUMPRODUCT(Q$276:Q$283*($J$264:$J$271&gt;0)*$J$264:$J$271*(1+$J$273*(EXP(-$E$363:$E$370*($F$310:$F$317*Q$308+$G$310:$G$317*Q$248+Q$249))-1)))/1000</f>
        <v>29.833034380633993</v>
      </c>
      <c r="R260" s="72">
        <f>SUMPRODUCT(R$276:R$283*($J$264:$J$271&gt;0)*$J$264:$J$271*(1+$J$273*(EXP(-$E$363:$E$370*($F$310:$F$317*R$308+$G$310:$G$317*R$248+R$249))-1)))/1000</f>
        <v>30.832604148514033</v>
      </c>
      <c r="S260" s="72">
        <f>SUMPRODUCT(S$276:S$283*($J$264:$J$271&gt;0)*$J$264:$J$271*(1+$J$273*(EXP(-$E$363:$E$370*($F$310:$F$317*S$308+$G$310:$G$317*S$248+S$249))-1)))/1000</f>
        <v>31.865951097485905</v>
      </c>
      <c r="T260" s="72">
        <f>SUMPRODUCT(T$276:T$283*($J$264:$J$271&gt;0)*$J$264:$J$271*(1+$J$273*(EXP(-$E$363:$E$370*($F$310:$F$317*T$308+$G$310:$G$317*T$248+T$249))-1)))/1000</f>
        <v>32.934231728309406</v>
      </c>
      <c r="U260" s="72">
        <f>SUMPRODUCT(U$276:U$283*($J$264:$J$271&gt;0)*$J$264:$J$271*(1+$J$273*(EXP(-$E$363:$E$370*($F$310:$F$317*U$308+$G$310:$G$317*U$248+U$249))-1)))/1000</f>
        <v>34.038642934657474</v>
      </c>
      <c r="V260" s="72">
        <f>SUMPRODUCT(V$276:V$283*($J$264:$J$271&gt;0)*$J$264:$J$271*(1+$J$273*(EXP(-$E$363:$E$370*($F$310:$F$317*V$308+$G$310:$G$317*V$248+V$249))-1)))/1000</f>
        <v>35.180423455406491</v>
      </c>
      <c r="W260" s="72">
        <f>SUMPRODUCT(W$276:W$283*($J$264:$J$271&gt;0)*$J$264:$J$271*(1+$J$273*(EXP(-$E$363:$E$370*($F$310:$F$317*W$308+$G$310:$G$317*W$248+W$249))-1)))/1000</f>
        <v>36.360855381272714</v>
      </c>
      <c r="X260" s="72">
        <f>SUMPRODUCT(X$276:X$283*($J$264:$J$271&gt;0)*$J$264:$J$271*(1+$J$273*(EXP(-$E$363:$E$370*($F$310:$F$317*X$308+$G$310:$G$317*X$248+X$249))-1)))/1000</f>
        <v>37.581265717934862</v>
      </c>
      <c r="Y260" s="72">
        <f>SUMPRODUCT(Y$276:Y$283*($J$264:$J$271&gt;0)*$J$264:$J$271*(1+$J$273*(EXP(-$E$363:$E$370*($F$310:$F$317*Y$308+$G$310:$G$317*Y$248+Y$249))-1)))/1000</f>
        <v>38.843028007872753</v>
      </c>
      <c r="Z260" s="72">
        <f>SUMPRODUCT(Z$276:Z$283*($J$264:$J$271&gt;0)*$J$264:$J$271*(1+$J$273*(EXP(-$E$363:$E$370*($F$310:$F$317*Z$308+$G$310:$G$317*Z$248+Z$249))-1)))/1000</f>
        <v>40.147564013244939</v>
      </c>
      <c r="AA260" s="72">
        <f>SUMPRODUCT(AA$276:AA$283*($J$264:$J$271&gt;0)*$J$264:$J$271*(1+$J$273*(EXP(-$E$363:$E$370*($F$310:$F$317*AA$308+$G$310:$G$317*AA$248+AA$249))-1)))/1000</f>
        <v>41.496345462226095</v>
      </c>
      <c r="AB260" s="72">
        <f>SUMPRODUCT(AB$276:AB$283*($J$264:$J$271&gt;0)*$J$264:$J$271*(1+$J$273*(EXP(-$E$363:$E$370*($F$310:$F$317*AB$308+$G$310:$G$317*AB$248+AB$249))-1)))/1000</f>
        <v>42.890895861326769</v>
      </c>
      <c r="AC260" s="72">
        <f>SUMPRODUCT(AC$276:AC$283*($J$264:$J$271&gt;0)*$J$264:$J$271*(1+$J$273*(EXP(-$E$363:$E$370*($F$310:$F$317*AC$308+$G$310:$G$317*AC$248+AC$249))-1)))/1000</f>
        <v>44.332792376324477</v>
      </c>
      <c r="AD260" s="72">
        <f>SUMPRODUCT(AD$276:AD$283*($J$264:$J$271&gt;0)*$J$264:$J$271*(1+$J$273*(EXP(-$E$363:$E$370*($F$310:$F$317*AD$308+$G$310:$G$317*AD$248+AD$249))-1)))/1000</f>
        <v>45.823667784546558</v>
      </c>
      <c r="AE260" s="72">
        <f>SUMPRODUCT(AE$276:AE$283*($J$264:$J$271&gt;0)*$J$264:$J$271*(1+$J$273*(EXP(-$E$363:$E$370*($F$310:$F$317*AE$308+$G$310:$G$317*AE$248+AE$249))-1)))/1000</f>
        <v>47.36521250136132</v>
      </c>
      <c r="AF260" s="70"/>
      <c r="AG260" s="70"/>
      <c r="AH260" s="70"/>
      <c r="AI260" s="70"/>
    </row>
    <row r="261" spans="1:35" x14ac:dyDescent="0.45">
      <c r="A261" s="70"/>
      <c r="B261" s="52"/>
      <c r="C261" s="52"/>
      <c r="D261" s="72" t="s">
        <v>1905</v>
      </c>
      <c r="E261" s="72" t="s">
        <v>1869</v>
      </c>
      <c r="F261" s="72"/>
      <c r="G261" s="70" t="s">
        <v>1492</v>
      </c>
      <c r="H261" s="87" t="str">
        <f>Settings!$B$3&amp;".mit.emisno."&amp;$G261&amp;"."&amp;$J$5</f>
        <v>egy.mit.emisno.cbam.tot.1</v>
      </c>
      <c r="I261" s="72"/>
      <c r="J261" s="72"/>
      <c r="K261" s="72"/>
      <c r="L261" s="72">
        <f>SUMPRODUCT(L$276:L$283*($K$264:$K$271&gt;0)*$K$264:$K$271*(1+$K$273*(EXP(-$E$363:$E$370*($F$310:$F$317*L$308+$G$310:$G$317*L$248+L$249))-1)))/1000</f>
        <v>0.78631830560210647</v>
      </c>
      <c r="M261" s="72">
        <f>SUMPRODUCT(M$276:M$283*($K$264:$K$271&gt;0)*$K$264:$K$271*(1+$K$273*(EXP(-$E$363:$E$370*($F$310:$F$317*M$308+$G$310:$G$317*M$248+M$249))-1)))/1000</f>
        <v>0.81117778540358554</v>
      </c>
      <c r="N261" s="72">
        <f>SUMPRODUCT(N$276:N$283*($K$264:$K$271&gt;0)*$K$264:$K$271*(1+$K$273*(EXP(-$E$363:$E$370*($F$310:$F$317*N$308+$G$310:$G$317*N$248+N$249))-1)))/1000</f>
        <v>0.83699999999999997</v>
      </c>
      <c r="O261" s="72">
        <f>SUMPRODUCT(O$276:O$283*($K$264:$K$271&gt;0)*$K$264:$K$271*(1+$K$273*(EXP(-$E$363:$E$370*($F$310:$F$317*O$308+$G$310:$G$317*O$248+O$249))-1)))/1000</f>
        <v>0.86382899999999996</v>
      </c>
      <c r="P261" s="72">
        <f>SUMPRODUCT(P$276:P$283*($K$264:$K$271&gt;0)*$K$264:$K$271*(1+$K$273*(EXP(-$E$363:$E$370*($F$310:$F$317*P$308+$G$310:$G$317*P$248+P$249))-1)))/1000</f>
        <v>0.89171106300000003</v>
      </c>
      <c r="Q261" s="72">
        <f>SUMPRODUCT(Q$276:Q$283*($K$264:$K$271&gt;0)*$K$264:$K$271*(1+$K$273*(EXP(-$E$363:$E$370*($F$310:$F$317*Q$308+$G$310:$G$317*Q$248+Q$249))-1)))/1000</f>
        <v>0.92069481176099999</v>
      </c>
      <c r="R261" s="72">
        <f>SUMPRODUCT(R$276:R$283*($K$264:$K$271&gt;0)*$K$264:$K$271*(1+$K$273*(EXP(-$E$363:$E$370*($F$310:$F$317*R$308+$G$310:$G$317*R$248+R$249))-1)))/1000</f>
        <v>0.95083133879036696</v>
      </c>
      <c r="S261" s="72">
        <f>SUMPRODUCT(S$276:S$283*($K$264:$K$271&gt;0)*$K$264:$K$271*(1+$K$273*(EXP(-$E$363:$E$370*($F$310:$F$317*S$308+$G$310:$G$317*S$248+S$249))-1)))/1000</f>
        <v>0.9821743376787645</v>
      </c>
      <c r="T261" s="72">
        <f>SUMPRODUCT(T$276:T$283*($K$264:$K$271&gt;0)*$K$264:$K$271*(1+$K$273*(EXP(-$E$363:$E$370*($F$310:$F$317*T$308+$G$310:$G$317*T$248+T$249))-1)))/1000</f>
        <v>1.0147802415616323</v>
      </c>
      <c r="U261" s="72">
        <f>SUMPRODUCT(U$276:U$283*($K$264:$K$271&gt;0)*$K$264:$K$271*(1+$K$273*(EXP(-$E$363:$E$370*($F$310:$F$317*U$308+$G$310:$G$317*U$248+U$249))-1)))/1000</f>
        <v>1.0487083690948893</v>
      </c>
      <c r="V261" s="72">
        <f>SUMPRODUCT(V$276:V$283*($K$264:$K$271&gt;0)*$K$264:$K$271*(1+$K$273*(EXP(-$E$363:$E$370*($F$310:$F$317*V$308+$G$310:$G$317*V$248+V$249))-1)))/1000</f>
        <v>1.0840210783559179</v>
      </c>
      <c r="W261" s="72">
        <f>SUMPRODUCT(W$276:W$283*($K$264:$K$271&gt;0)*$K$264:$K$271*(1+$K$273*(EXP(-$E$363:$E$370*($F$310:$F$317*W$308+$G$310:$G$317*W$248+W$249))-1)))/1000</f>
        <v>1.1207839291034407</v>
      </c>
      <c r="X261" s="72">
        <f>SUMPRODUCT(X$276:X$283*($K$264:$K$271&gt;0)*$K$264:$K$271*(1+$K$273*(EXP(-$E$363:$E$370*($F$310:$F$317*X$308+$G$310:$G$317*X$248+X$249))-1)))/1000</f>
        <v>1.1590658538537117</v>
      </c>
      <c r="Y261" s="72">
        <f>SUMPRODUCT(Y$276:Y$283*($K$264:$K$271&gt;0)*$K$264:$K$271*(1+$K$273*(EXP(-$E$363:$E$370*($F$310:$F$317*Y$308+$G$310:$G$317*Y$248+Y$249))-1)))/1000</f>
        <v>1.1989393382555391</v>
      </c>
      <c r="Z261" s="72">
        <f>SUMPRODUCT(Z$276:Z$283*($K$264:$K$271&gt;0)*$K$264:$K$271*(1+$K$273*(EXP(-$E$363:$E$370*($F$310:$F$317*Z$308+$G$310:$G$317*Z$248+Z$249))-1)))/1000</f>
        <v>1.2404806112731439</v>
      </c>
      <c r="AA261" s="72">
        <f>SUMPRODUCT(AA$276:AA$283*($K$264:$K$271&gt;0)*$K$264:$K$271*(1+$K$273*(EXP(-$E$363:$E$370*($F$310:$F$317*AA$308+$G$310:$G$317*AA$248+AA$249))-1)))/1000</f>
        <v>1.2837698457138154</v>
      </c>
      <c r="AB261" s="72">
        <f>SUMPRODUCT(AB$276:AB$283*($K$264:$K$271&gt;0)*$K$264:$K$271*(1+$K$273*(EXP(-$E$363:$E$370*($F$310:$F$317*AB$308+$G$310:$G$317*AB$248+AB$249))-1)))/1000</f>
        <v>1.3288913696667775</v>
      </c>
      <c r="AC261" s="72">
        <f>SUMPRODUCT(AC$276:AC$283*($K$264:$K$271&gt;0)*$K$264:$K$271*(1+$K$273*(EXP(-$E$363:$E$370*($F$310:$F$317*AC$308+$G$310:$G$317*AC$248+AC$249))-1)))/1000</f>
        <v>1.3759338894508044</v>
      </c>
      <c r="AD261" s="72">
        <f>SUMPRODUCT(AD$276:AD$283*($K$264:$K$271&gt;0)*$K$264:$K$271*(1+$K$273*(EXP(-$E$363:$E$370*($F$310:$F$317*AD$308+$G$310:$G$317*AD$248+AD$249))-1)))/1000</f>
        <v>1.4249907247009044</v>
      </c>
      <c r="AE261" s="72">
        <f>SUMPRODUCT(AE$276:AE$283*($K$264:$K$271&gt;0)*$K$264:$K$271*(1+$K$273*(EXP(-$E$363:$E$370*($F$310:$F$317*AE$308+$G$310:$G$317*AE$248+AE$249))-1)))/1000</f>
        <v>1.4761600562590265</v>
      </c>
      <c r="AF261" s="70"/>
      <c r="AG261" s="70"/>
      <c r="AH261" s="70"/>
      <c r="AI261" s="70"/>
    </row>
    <row r="262" spans="1:35" x14ac:dyDescent="0.45">
      <c r="A262" s="70"/>
      <c r="B262" s="73"/>
      <c r="C262" s="73" t="s">
        <v>1317</v>
      </c>
      <c r="D262" s="52"/>
      <c r="E262" s="70"/>
      <c r="F262" s="70"/>
      <c r="G262" s="70"/>
      <c r="H262" s="70" t="s">
        <v>1318</v>
      </c>
      <c r="I262" s="70"/>
      <c r="J262" s="70"/>
      <c r="K262" s="70"/>
      <c r="L262" s="70"/>
      <c r="M262" s="70"/>
      <c r="N262" s="70"/>
      <c r="O262" s="70" t="s">
        <v>1319</v>
      </c>
      <c r="P262" s="70"/>
      <c r="Q262" s="70"/>
      <c r="R262" s="70"/>
      <c r="S262" s="70" t="s">
        <v>1320</v>
      </c>
      <c r="T262" s="70"/>
      <c r="U262" s="70"/>
      <c r="V262" s="70"/>
      <c r="W262" s="70" t="s">
        <v>1321</v>
      </c>
      <c r="X262" s="70"/>
      <c r="Y262" s="70"/>
      <c r="Z262" s="70"/>
      <c r="AA262" s="70"/>
      <c r="AB262" s="70"/>
      <c r="AC262" s="70"/>
      <c r="AD262" s="70" t="s">
        <v>1322</v>
      </c>
      <c r="AE262" s="70"/>
      <c r="AF262" s="70"/>
      <c r="AG262" s="70"/>
      <c r="AH262" s="70"/>
      <c r="AI262" s="70"/>
    </row>
    <row r="263" spans="1:35" ht="28.5" x14ac:dyDescent="0.45">
      <c r="A263" s="70"/>
      <c r="B263" s="52"/>
      <c r="C263" s="52"/>
      <c r="D263" s="52" t="s">
        <v>1323</v>
      </c>
      <c r="E263" s="70" t="s">
        <v>35</v>
      </c>
      <c r="F263" s="70" t="s">
        <v>1324</v>
      </c>
      <c r="G263" s="70" t="s">
        <v>1325</v>
      </c>
      <c r="H263" s="70" t="s">
        <v>1326</v>
      </c>
      <c r="I263" s="70" t="s">
        <v>1327</v>
      </c>
      <c r="J263" s="70" t="s">
        <v>1328</v>
      </c>
      <c r="K263" s="70" t="s">
        <v>1329</v>
      </c>
      <c r="L263" s="70" t="s">
        <v>1330</v>
      </c>
      <c r="M263" s="91" t="s">
        <v>1331</v>
      </c>
      <c r="N263" s="91" t="s">
        <v>1332</v>
      </c>
      <c r="O263" s="70" t="s">
        <v>1333</v>
      </c>
      <c r="P263" s="91" t="s">
        <v>1334</v>
      </c>
      <c r="Q263" s="91" t="s">
        <v>1335</v>
      </c>
      <c r="R263" s="91" t="s">
        <v>1336</v>
      </c>
      <c r="S263" s="91" t="s">
        <v>1337</v>
      </c>
      <c r="T263" s="91" t="s">
        <v>1338</v>
      </c>
      <c r="U263" s="91" t="s">
        <v>1339</v>
      </c>
      <c r="V263" s="91" t="s">
        <v>1340</v>
      </c>
      <c r="W263" s="91" t="s">
        <v>1341</v>
      </c>
      <c r="X263" s="91" t="s">
        <v>1342</v>
      </c>
      <c r="Y263" s="91" t="s">
        <v>1343</v>
      </c>
      <c r="Z263" s="91" t="s">
        <v>1344</v>
      </c>
      <c r="AA263" s="91" t="s">
        <v>1345</v>
      </c>
      <c r="AB263" s="91" t="s">
        <v>1346</v>
      </c>
      <c r="AC263" s="70" t="s">
        <v>1347</v>
      </c>
      <c r="AD263" s="70" t="s">
        <v>1348</v>
      </c>
      <c r="AE263" s="70" t="s">
        <v>1349</v>
      </c>
      <c r="AF263" s="70"/>
      <c r="AG263" s="70"/>
      <c r="AH263" s="70"/>
      <c r="AI263" s="70"/>
    </row>
    <row r="264" spans="1:35" x14ac:dyDescent="0.45">
      <c r="A264" s="70"/>
      <c r="B264" s="52"/>
      <c r="C264" s="52"/>
      <c r="D264" s="52" t="s">
        <v>1350</v>
      </c>
      <c r="E264" s="70" t="s">
        <v>1351</v>
      </c>
      <c r="F264" s="70" t="s">
        <v>1352</v>
      </c>
      <c r="G264" s="70" t="s">
        <v>1353</v>
      </c>
      <c r="H264" s="76">
        <f>'Manual inputs'!H$30</f>
        <v>0.12903000000000001</v>
      </c>
      <c r="I264" s="76">
        <f>'Manual inputs'!I$30</f>
        <v>0.56100000000000005</v>
      </c>
      <c r="J264" s="76">
        <f>'Manual inputs'!J$30</f>
        <v>0.04</v>
      </c>
      <c r="K264" s="76">
        <f>'Manual inputs'!K$30</f>
        <v>0</v>
      </c>
      <c r="L264" s="76">
        <f t="shared" ref="L264:L271" si="27">SUM(H264:K264)</f>
        <v>0.73003000000000007</v>
      </c>
      <c r="M264" s="76">
        <f>'Manual inputs'!M$30</f>
        <v>0</v>
      </c>
      <c r="N264" s="76">
        <f>'Manual inputs'!N$30</f>
        <v>0.73003000000000007</v>
      </c>
      <c r="O264" s="76">
        <f>'Manual inputs'!O$30</f>
        <v>0.25</v>
      </c>
      <c r="P264" s="70">
        <f>'Manual inputs'!P$30</f>
        <v>0</v>
      </c>
      <c r="Q264" s="76">
        <f t="shared" ref="Q264:Q271" si="28">N264+O264</f>
        <v>0.98003000000000007</v>
      </c>
      <c r="R264" s="76">
        <f t="shared" ref="R264:R271" si="29">N264+O264*P264</f>
        <v>0.73003000000000007</v>
      </c>
      <c r="S264" s="77">
        <f>'Manual inputs'!S$30</f>
        <v>5</v>
      </c>
      <c r="T264" s="77">
        <f>'Manual inputs'!T$30</f>
        <v>56.1</v>
      </c>
      <c r="U264" s="77">
        <f>'Manual inputs'!U$30</f>
        <v>24</v>
      </c>
      <c r="V264" s="77">
        <f>'Manual inputs'!V$30</f>
        <v>56.1</v>
      </c>
      <c r="W264" s="76">
        <f>'Manual inputs'!W$30</f>
        <v>1.82</v>
      </c>
      <c r="X264" s="78">
        <f>'Manual inputs'!X$30</f>
        <v>0.1</v>
      </c>
      <c r="Y264" s="76">
        <f>'Manual inputs'!Y$30</f>
        <v>2.0020000000000002</v>
      </c>
      <c r="Z264" s="76">
        <f>'Manual inputs'!Z$30</f>
        <v>0.48099999999999998</v>
      </c>
      <c r="AA264" s="79">
        <f>'Manual inputs'!AA$30</f>
        <v>-1.27197</v>
      </c>
      <c r="AB264" s="79">
        <f>'Manual inputs'!AB$30</f>
        <v>0.24903000000000008</v>
      </c>
      <c r="AC264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264" s="70" t="str">
        <f>'Manual inputs'!AD$30</f>
        <v xml:space="preserve">S1.fc: Est: Midrex heat:reductant ratio 5:24 GJ/t NG. Total EF Auth (WSA 2023 / S1.fp: Est: Midrex standard ratio; IPCC 2006 Vol2 2C1; WSA 2023. Total Auth; </v>
      </c>
      <c r="AE264" s="70" t="str">
        <f>'Manual inputs'!AE$30</f>
        <v>S1.np: Auth: IPCC 2006 2C1 — DRI process CO2 = 0 / S1.no: Auth: IPCC 2006 2C1</v>
      </c>
      <c r="AF264" s="70"/>
      <c r="AG264" s="70"/>
      <c r="AH264" s="70"/>
      <c r="AI264" s="70"/>
    </row>
    <row r="265" spans="1:35" x14ac:dyDescent="0.45">
      <c r="A265" s="70"/>
      <c r="B265" s="52"/>
      <c r="C265" s="52"/>
      <c r="D265" s="52" t="s">
        <v>1357</v>
      </c>
      <c r="E265" s="70" t="s">
        <v>1351</v>
      </c>
      <c r="F265" s="70" t="s">
        <v>1358</v>
      </c>
      <c r="G265" s="70" t="s">
        <v>1359</v>
      </c>
      <c r="H265" s="76">
        <f>'Manual inputs'!H$31</f>
        <v>0.14025000000000001</v>
      </c>
      <c r="I265" s="76">
        <f>'Manual inputs'!I$31</f>
        <v>0</v>
      </c>
      <c r="J265" s="76">
        <f>'Manual inputs'!J$31</f>
        <v>1.4999999999999999E-2</v>
      </c>
      <c r="K265" s="76">
        <f>'Manual inputs'!K$31</f>
        <v>0</v>
      </c>
      <c r="L265" s="76">
        <f t="shared" si="27"/>
        <v>0.15525</v>
      </c>
      <c r="M265" s="76">
        <f>'Manual inputs'!M$31</f>
        <v>0</v>
      </c>
      <c r="N265" s="76">
        <f>'Manual inputs'!N$31</f>
        <v>0.15525</v>
      </c>
      <c r="O265" s="76">
        <f>'Manual inputs'!O$31</f>
        <v>0.25</v>
      </c>
      <c r="P265" s="70">
        <f>'Manual inputs'!P$31</f>
        <v>0</v>
      </c>
      <c r="Q265" s="76">
        <f t="shared" si="28"/>
        <v>0.40525</v>
      </c>
      <c r="R265" s="76">
        <f t="shared" si="29"/>
        <v>0.15525</v>
      </c>
      <c r="S265" s="77">
        <f>'Manual inputs'!S$31</f>
        <v>2.5</v>
      </c>
      <c r="T265" s="77">
        <f>'Manual inputs'!T$31</f>
        <v>56.1</v>
      </c>
      <c r="U265" s="77">
        <f>'Manual inputs'!U$31</f>
        <v>0</v>
      </c>
      <c r="V265" s="77">
        <f>'Manual inputs'!V$31</f>
        <v>0</v>
      </c>
      <c r="W265" s="76">
        <f>'Manual inputs'!W$31</f>
        <v>0.72</v>
      </c>
      <c r="X265" s="78">
        <f>'Manual inputs'!X$31</f>
        <v>0.1</v>
      </c>
      <c r="Y265" s="76">
        <f>'Manual inputs'!Y$31</f>
        <v>0.79200000000000004</v>
      </c>
      <c r="Z265" s="76">
        <f>'Manual inputs'!Z$31</f>
        <v>7.1999999999999995E-2</v>
      </c>
      <c r="AA265" s="79">
        <f>'Manual inputs'!AA$31</f>
        <v>-0.63675000000000004</v>
      </c>
      <c r="AB265" s="79">
        <f>'Manual inputs'!AB$31</f>
        <v>8.3250000000000005E-2</v>
      </c>
      <c r="AC265" s="70" t="str">
        <f>'Manual inputs'!AC$31</f>
        <v>Scrap-EAF. Default base 0.720 ×1.10 = 0.792 (2026). Benchmark 0.072 (final, scrap route).</v>
      </c>
      <c r="AD265" s="70" t="str">
        <f>'Manual inputs'!AD$31</f>
        <v>S1.fc: Est: IEA Egypt sector average; WSA 2023 scrap-EAF range 2-3 GJ/t. Tota / S1.fp: Auth: no reductant in scrap melting process</v>
      </c>
      <c r="AE265" s="70" t="str">
        <f>'Manual inputs'!AE$31</f>
        <v>S1.np: Est: IPCC 2006 Vol2 2C1 default 0.01-0.02 tCO2/t for scrap-EAF / S1.no: Auth: IPCC 2006 2C1</v>
      </c>
      <c r="AF265" s="70"/>
      <c r="AG265" s="70"/>
      <c r="AH265" s="70"/>
      <c r="AI265" s="70"/>
    </row>
    <row r="266" spans="1:35" x14ac:dyDescent="0.45">
      <c r="A266" s="70"/>
      <c r="B266" s="52"/>
      <c r="C266" s="52"/>
      <c r="D266" s="52" t="s">
        <v>1363</v>
      </c>
      <c r="E266" s="70" t="s">
        <v>1351</v>
      </c>
      <c r="F266" s="70" t="s">
        <v>1364</v>
      </c>
      <c r="G266" s="70" t="s">
        <v>1365</v>
      </c>
      <c r="H266" s="76">
        <f>'Manual inputs'!H$32</f>
        <v>0.38440000000000002</v>
      </c>
      <c r="I266" s="76">
        <f>'Manual inputs'!I$32</f>
        <v>1.5376000000000001</v>
      </c>
      <c r="J266" s="76">
        <f>'Manual inputs'!J$32</f>
        <v>0.25</v>
      </c>
      <c r="K266" s="76">
        <f>'Manual inputs'!K$32</f>
        <v>0</v>
      </c>
      <c r="L266" s="76">
        <f t="shared" si="27"/>
        <v>2.1720000000000002</v>
      </c>
      <c r="M266" s="76">
        <f>'Manual inputs'!M$32</f>
        <v>0</v>
      </c>
      <c r="N266" s="76">
        <f>'Manual inputs'!N$32</f>
        <v>2.1720000000000002</v>
      </c>
      <c r="O266" s="76">
        <f>'Manual inputs'!O$32</f>
        <v>0.1875</v>
      </c>
      <c r="P266" s="70">
        <f>'Manual inputs'!P$32</f>
        <v>0</v>
      </c>
      <c r="Q266" s="76">
        <f t="shared" si="28"/>
        <v>2.3595000000000002</v>
      </c>
      <c r="R266" s="76">
        <f t="shared" si="29"/>
        <v>2.1720000000000002</v>
      </c>
      <c r="S266" s="77">
        <f>'Manual inputs'!S$32</f>
        <v>4</v>
      </c>
      <c r="T266" s="77">
        <f>'Manual inputs'!T$32</f>
        <v>96.1</v>
      </c>
      <c r="U266" s="77">
        <f>'Manual inputs'!U$32</f>
        <v>16</v>
      </c>
      <c r="V266" s="77">
        <f>'Manual inputs'!V$32</f>
        <v>96.1</v>
      </c>
      <c r="W266" s="76">
        <f>'Manual inputs'!W$32</f>
        <v>2.8</v>
      </c>
      <c r="X266" s="78">
        <f>'Manual inputs'!X$32</f>
        <v>0.1</v>
      </c>
      <c r="Y266" s="76">
        <f>'Manual inputs'!Y$32</f>
        <v>3.08</v>
      </c>
      <c r="Z266" s="76">
        <f>'Manual inputs'!Z$32</f>
        <v>1.37</v>
      </c>
      <c r="AA266" s="79">
        <f>'Manual inputs'!AA$32</f>
        <v>-0.90799999999999992</v>
      </c>
      <c r="AB266" s="79">
        <f>'Manual inputs'!AB$32</f>
        <v>0.80200000000000005</v>
      </c>
      <c r="AC266" s="70" t="str">
        <f>'Manual inputs'!AC$32</f>
        <v>BF-BOF reference. Default base 2.800 ×1.10 = 3.080 (2026). Benchmark 1.370 (final IR 2025/2620).</v>
      </c>
      <c r="AD266" s="70" t="str">
        <f>'Manual inputs'!AD$32</f>
        <v>S1.fc: Prox: WSA 2023 global BF-BOF average. No Egypt-specific data (no produ / S1.fp: Prox: WSA 2023 BF standard; IPCC 2006 Vol2 2C1. Split Est within proxy</v>
      </c>
      <c r="AE266" s="70" t="str">
        <f>'Manual inputs'!AE$32</f>
        <v>S1.np: Auth: IPCC 2006 Vol2 2C1 default 0.22-0.28 tCO2/t crude steel / S1.no: Auth: IPCC 2006 2C1</v>
      </c>
      <c r="AF266" s="70"/>
      <c r="AG266" s="70"/>
      <c r="AH266" s="70"/>
      <c r="AI266" s="70"/>
    </row>
    <row r="267" spans="1:35" x14ac:dyDescent="0.45">
      <c r="A267" s="70"/>
      <c r="B267" s="52"/>
      <c r="C267" s="52"/>
      <c r="D267" s="52" t="s">
        <v>1369</v>
      </c>
      <c r="E267" s="70" t="s">
        <v>1370</v>
      </c>
      <c r="F267" s="70" t="s">
        <v>1371</v>
      </c>
      <c r="G267" s="70" t="s">
        <v>1372</v>
      </c>
      <c r="H267" s="76">
        <f>'Manual inputs'!H$33</f>
        <v>0.2883</v>
      </c>
      <c r="I267" s="76">
        <f>'Manual inputs'!I$33</f>
        <v>0</v>
      </c>
      <c r="J267" s="76">
        <f>'Manual inputs'!J$33</f>
        <v>0.52600000000000002</v>
      </c>
      <c r="K267" s="76">
        <f>'Manual inputs'!K$33</f>
        <v>0</v>
      </c>
      <c r="L267" s="76">
        <f t="shared" si="27"/>
        <v>0.81430000000000002</v>
      </c>
      <c r="M267" s="76">
        <f>'Manual inputs'!M$33</f>
        <v>0</v>
      </c>
      <c r="N267" s="76">
        <f>'Manual inputs'!N$33</f>
        <v>0.81430000000000002</v>
      </c>
      <c r="O267" s="76">
        <f>'Manual inputs'!O$33</f>
        <v>5.6250000000000001E-2</v>
      </c>
      <c r="P267" s="70">
        <f>'Manual inputs'!P$33</f>
        <v>1</v>
      </c>
      <c r="Q267" s="76">
        <f t="shared" si="28"/>
        <v>0.87055000000000005</v>
      </c>
      <c r="R267" s="76">
        <f t="shared" si="29"/>
        <v>0.87055000000000005</v>
      </c>
      <c r="S267" s="77">
        <f>'Manual inputs'!S$33</f>
        <v>3</v>
      </c>
      <c r="T267" s="77">
        <f>'Manual inputs'!T$33</f>
        <v>96.1</v>
      </c>
      <c r="U267" s="77">
        <f>'Manual inputs'!U$33</f>
        <v>0</v>
      </c>
      <c r="V267" s="77">
        <f>'Manual inputs'!V$33</f>
        <v>0</v>
      </c>
      <c r="W267" s="76">
        <f>'Manual inputs'!W$33</f>
        <v>1.58</v>
      </c>
      <c r="X267" s="78">
        <f>'Manual inputs'!X$33</f>
        <v>0.1</v>
      </c>
      <c r="Y267" s="76">
        <f>'Manual inputs'!Y$33</f>
        <v>1.7380000000000002</v>
      </c>
      <c r="Z267" s="76">
        <f>'Manual inputs'!Z$33</f>
        <v>0.66600000000000004</v>
      </c>
      <c r="AA267" s="79">
        <f>'Manual inputs'!AA$33</f>
        <v>-0.86745000000000017</v>
      </c>
      <c r="AB267" s="79">
        <f>'Manual inputs'!AB$33</f>
        <v>0.20455000000000001</v>
      </c>
      <c r="AC267" s="70" t="str">
        <f>'Manual inputs'!AC$33</f>
        <v>Cement clinker. Default base 1.580 ×1.10 = 1.738 (2026). Benchmark 0.666 (col B). S2 IN CBAM scope.</v>
      </c>
      <c r="AD267" s="70" t="str">
        <f>'Manual inputs'!AD$33</f>
        <v>S1.fc: Est: IEA Egypt cement sector; CSI/GCCA GNR Egypt 2022. Total AukCoa / S1.fp: Auth: cement production has no chemical reductant fuel</v>
      </c>
      <c r="AE267" s="70" t="str">
        <f>'Manual inputs'!AE$33</f>
        <v>S1.np: Auth: IPCC 2006 2A1 stoichiometric constant (44/100 × fraction CaCO3 i / S1.no: Auth</v>
      </c>
      <c r="AF267" s="70"/>
      <c r="AG267" s="70"/>
      <c r="AH267" s="70"/>
      <c r="AI267" s="70"/>
    </row>
    <row r="268" spans="1:35" x14ac:dyDescent="0.45">
      <c r="A268" s="70"/>
      <c r="B268" s="52"/>
      <c r="C268" s="52"/>
      <c r="D268" s="52" t="s">
        <v>1376</v>
      </c>
      <c r="E268" s="70" t="s">
        <v>1377</v>
      </c>
      <c r="F268" s="70" t="s">
        <v>1378</v>
      </c>
      <c r="G268" s="70" t="s">
        <v>1379</v>
      </c>
      <c r="H268" s="76">
        <f>'Manual inputs'!H$34</f>
        <v>0.39269999999999999</v>
      </c>
      <c r="I268" s="76">
        <f>'Manual inputs'!I$34</f>
        <v>1.4585999999999999</v>
      </c>
      <c r="J268" s="76">
        <f>'Manual inputs'!J$34</f>
        <v>0</v>
      </c>
      <c r="K268" s="76">
        <f>'Manual inputs'!K$34</f>
        <v>0</v>
      </c>
      <c r="L268" s="76">
        <f t="shared" si="27"/>
        <v>1.8512999999999999</v>
      </c>
      <c r="M268" s="76">
        <f>'Manual inputs'!M$34</f>
        <v>0</v>
      </c>
      <c r="N268" s="76">
        <f>'Manual inputs'!N$34</f>
        <v>1.8512999999999999</v>
      </c>
      <c r="O268" s="76">
        <f>'Manual inputs'!O$34</f>
        <v>3.7499999999999999E-2</v>
      </c>
      <c r="P268" s="70">
        <f>'Manual inputs'!P$34</f>
        <v>1</v>
      </c>
      <c r="Q268" s="76">
        <f t="shared" si="28"/>
        <v>1.8888</v>
      </c>
      <c r="R268" s="76">
        <f t="shared" si="29"/>
        <v>1.8888</v>
      </c>
      <c r="S268" s="77">
        <f>'Manual inputs'!S$34</f>
        <v>7</v>
      </c>
      <c r="T268" s="77">
        <f>'Manual inputs'!T$34</f>
        <v>56.1</v>
      </c>
      <c r="U268" s="77">
        <f>'Manual inputs'!U$34</f>
        <v>26</v>
      </c>
      <c r="V268" s="77">
        <f>'Manual inputs'!V$34</f>
        <v>56.1</v>
      </c>
      <c r="W268" s="76">
        <f>'Manual inputs'!W$34</f>
        <v>2.0499999999999998</v>
      </c>
      <c r="X268" s="78">
        <f>'Manual inputs'!X$34</f>
        <v>0.01</v>
      </c>
      <c r="Y268" s="76">
        <f>'Manual inputs'!Y$34</f>
        <v>2.0705</v>
      </c>
      <c r="Z268" s="76">
        <f>'Manual inputs'!Z$34</f>
        <v>1.484</v>
      </c>
      <c r="AA268" s="79">
        <f>'Manual inputs'!AA$34</f>
        <v>-0.18169999999999997</v>
      </c>
      <c r="AB268" s="79">
        <f>'Manual inputs'!AB$34</f>
        <v>0.40480000000000005</v>
      </c>
      <c r="AC268" s="70" t="str">
        <f>'Manual inputs'!AC$34</f>
        <v>Egypt ammonia 2026 default = 2.07 tCO2e/t (incl 1% fertiliser markup; Argus 17 Dec 2025). Benchmark 1.522 → 1.484 after 2.5% reduction in 2026. S2 IN CBAM scope.</v>
      </c>
      <c r="AD268" s="70" t="str">
        <f>'Manual inputs'!AD$34</f>
        <v>S1.fc: Est: IFA/EFMA BAT Vol.1; combustion ~6-8 GJ/t NH3. Total Auth (IFA sta / S1.fp: Est: IFA/EFMA BAT Vol.1 standard SMR ~24-28 GJ/t NH3. Total Auth; comb</v>
      </c>
      <c r="AE268" s="70" t="str">
        <f>'Manual inputs'!AE$34</f>
        <v>S1.np: Auth: NH3 synthesis has no carbon process emissions / S1.no: Auth</v>
      </c>
      <c r="AF268" s="70"/>
      <c r="AG268" s="70"/>
      <c r="AH268" s="70"/>
      <c r="AI268" s="70"/>
    </row>
    <row r="269" spans="1:35" x14ac:dyDescent="0.45">
      <c r="A269" s="70"/>
      <c r="B269" s="52"/>
      <c r="C269" s="52"/>
      <c r="D269" s="52" t="s">
        <v>1383</v>
      </c>
      <c r="E269" s="70" t="s">
        <v>1384</v>
      </c>
      <c r="F269" s="70" t="s">
        <v>1385</v>
      </c>
      <c r="G269" s="70" t="s">
        <v>1386</v>
      </c>
      <c r="H269" s="76">
        <f>'Manual inputs'!H$35</f>
        <v>0.11219999999999999</v>
      </c>
      <c r="I269" s="76">
        <f>'Manual inputs'!I$35</f>
        <v>0</v>
      </c>
      <c r="J269" s="76">
        <f>'Manual inputs'!J$35</f>
        <v>-0.73299999999999998</v>
      </c>
      <c r="K269" s="76">
        <f>'Manual inputs'!K$35</f>
        <v>0</v>
      </c>
      <c r="L269" s="76">
        <f t="shared" si="27"/>
        <v>-0.62080000000000002</v>
      </c>
      <c r="M269" s="76">
        <f>'Manual inputs'!M$35</f>
        <v>1.0709496000000001</v>
      </c>
      <c r="N269" s="76">
        <f>'Manual inputs'!N$35</f>
        <v>0.45014960000000004</v>
      </c>
      <c r="O269" s="76">
        <f>'Manual inputs'!O$35</f>
        <v>3.7499999999999999E-2</v>
      </c>
      <c r="P269" s="70">
        <f>'Manual inputs'!P$35</f>
        <v>1</v>
      </c>
      <c r="Q269" s="76">
        <f t="shared" si="28"/>
        <v>0.48764960000000002</v>
      </c>
      <c r="R269" s="76">
        <f t="shared" si="29"/>
        <v>0.48764960000000002</v>
      </c>
      <c r="S269" s="77">
        <f>'Manual inputs'!S$35</f>
        <v>2</v>
      </c>
      <c r="T269" s="77">
        <f>'Manual inputs'!T$35</f>
        <v>56.1</v>
      </c>
      <c r="U269" s="77">
        <f>'Manual inputs'!U$35</f>
        <v>0</v>
      </c>
      <c r="V269" s="77">
        <f>'Manual inputs'!V$35</f>
        <v>0</v>
      </c>
      <c r="W269" s="76">
        <f>'Manual inputs'!W$35</f>
        <v>1.39</v>
      </c>
      <c r="X269" s="78">
        <f>'Manual inputs'!X$35</f>
        <v>0.01</v>
      </c>
      <c r="Y269" s="76">
        <f>'Manual inputs'!Y$35</f>
        <v>1.4038999999999999</v>
      </c>
      <c r="Z269" s="76">
        <f>'Manual inputs'!Z$35</f>
        <v>0.90200000000000002</v>
      </c>
      <c r="AA269" s="79">
        <f>'Manual inputs'!AA$35</f>
        <v>-0.91625039999999991</v>
      </c>
      <c r="AB269" s="79">
        <f>'Manual inputs'!AB$35</f>
        <v>-0.41435040000000001</v>
      </c>
      <c r="AC269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269" s="70" t="str">
        <f>'Manual inputs'!AD$35</f>
        <v>S1.fc: Est: IFA/EFMA; small relative to NH3 chain. ~1.5-2.5 GJ/t urea typical / S1.fp: Auth: no additional reductant/feedstock in urea synthesis itself</v>
      </c>
      <c r="AE269" s="70" t="str">
        <f>'Manual inputs'!AE$35</f>
        <v>S1.np: Auth: IPCC 2006 Vol2 3G stoichiometric constant. 44/60 = 0.733 tCO2 ab / S1.no: Auth</v>
      </c>
      <c r="AF269" s="70"/>
      <c r="AG269" s="70"/>
      <c r="AH269" s="70"/>
      <c r="AI269" s="70"/>
    </row>
    <row r="270" spans="1:35" x14ac:dyDescent="0.45">
      <c r="A270" s="70"/>
      <c r="B270" s="52"/>
      <c r="C270" s="52"/>
      <c r="D270" s="52" t="s">
        <v>1390</v>
      </c>
      <c r="E270" s="70" t="s">
        <v>1391</v>
      </c>
      <c r="F270" s="70" t="s">
        <v>1392</v>
      </c>
      <c r="G270" s="70" t="s">
        <v>1393</v>
      </c>
      <c r="H270" s="76">
        <f>'Manual inputs'!H$36</f>
        <v>0.11219999999999999</v>
      </c>
      <c r="I270" s="76">
        <f>'Manual inputs'!I$36</f>
        <v>0</v>
      </c>
      <c r="J270" s="76">
        <f>'Manual inputs'!J$36</f>
        <v>0</v>
      </c>
      <c r="K270" s="76">
        <f>'Manual inputs'!K$36</f>
        <v>0.97</v>
      </c>
      <c r="L270" s="76">
        <f t="shared" si="27"/>
        <v>1.0822000000000001</v>
      </c>
      <c r="M270" s="76">
        <f>'Manual inputs'!M$36</f>
        <v>0.40137</v>
      </c>
      <c r="N270" s="76">
        <f>'Manual inputs'!N$36</f>
        <v>1.4835700000000001</v>
      </c>
      <c r="O270" s="76">
        <f>'Manual inputs'!O$36</f>
        <v>4.3749999999999997E-2</v>
      </c>
      <c r="P270" s="70">
        <f>'Manual inputs'!P$36</f>
        <v>1</v>
      </c>
      <c r="Q270" s="76">
        <f t="shared" si="28"/>
        <v>1.52732</v>
      </c>
      <c r="R270" s="76">
        <f t="shared" si="29"/>
        <v>1.52732</v>
      </c>
      <c r="S270" s="77">
        <f>'Manual inputs'!S$36</f>
        <v>2</v>
      </c>
      <c r="T270" s="77">
        <f>'Manual inputs'!T$36</f>
        <v>56.1</v>
      </c>
      <c r="U270" s="77">
        <f>'Manual inputs'!U$36</f>
        <v>0</v>
      </c>
      <c r="V270" s="77">
        <f>'Manual inputs'!V$36</f>
        <v>0</v>
      </c>
      <c r="W270" s="76">
        <f>'Manual inputs'!W$36</f>
        <v>2.64</v>
      </c>
      <c r="X270" s="78">
        <f>'Manual inputs'!X$36</f>
        <v>0.01</v>
      </c>
      <c r="Y270" s="76">
        <f>'Manual inputs'!Y$36</f>
        <v>2.6664000000000003</v>
      </c>
      <c r="Z270" s="76">
        <f>'Manual inputs'!Z$36</f>
        <v>0.30199999999999999</v>
      </c>
      <c r="AA270" s="79">
        <f>'Manual inputs'!AA$36</f>
        <v>-1.1390800000000003</v>
      </c>
      <c r="AB270" s="79">
        <f>'Manual inputs'!AB$36</f>
        <v>1.22532</v>
      </c>
      <c r="AC270" s="70" t="str">
        <f>'Manual inputs'!AC$36</f>
        <v>NH₃ INTEGRATED in headline. AN/CAN. Default base ~2.64 ×1.01 = 2.666 (2026, N2O-driven). Benchmark 0.302. S2 IN CBAM scope. Default value highly sensitive to assumed N2O abatement.</v>
      </c>
      <c r="AD270" s="70" t="str">
        <f>'Manual inputs'!AD$36</f>
        <v>S1.fc: Est: IFA/EFMA BAT Vol.3; 1.5-2.5 GJ/t AN typical. Total direct EF less / S1.fp: Auth: HNO3 and neutralisation have no reductant</v>
      </c>
      <c r="AE270" s="70" t="str">
        <f>'Manual inputs'!AE$36</f>
        <v>S1.np: Auth: AN chemistry (NH4NO3) contains no carbon / S1.no: Est: IPCC 2006 2B2; GWP AR6 AII.1.2. CRITICAL: range 0.21 (with high-e</v>
      </c>
      <c r="AF270" s="70"/>
      <c r="AG270" s="70"/>
      <c r="AH270" s="70"/>
      <c r="AI270" s="70"/>
    </row>
    <row r="271" spans="1:35" x14ac:dyDescent="0.45">
      <c r="A271" s="70"/>
      <c r="B271" s="52"/>
      <c r="C271" s="52"/>
      <c r="D271" s="52" t="s">
        <v>1397</v>
      </c>
      <c r="E271" s="70" t="s">
        <v>1398</v>
      </c>
      <c r="F271" s="70" t="s">
        <v>1399</v>
      </c>
      <c r="G271" s="70" t="s">
        <v>1400</v>
      </c>
      <c r="H271" s="76">
        <f>'Manual inputs'!H$37</f>
        <v>0.156</v>
      </c>
      <c r="I271" s="76">
        <f>'Manual inputs'!I$37</f>
        <v>0</v>
      </c>
      <c r="J271" s="76">
        <f>'Manual inputs'!J$37</f>
        <v>1.5</v>
      </c>
      <c r="K271" s="76">
        <f>'Manual inputs'!K$37</f>
        <v>0.85</v>
      </c>
      <c r="L271" s="76">
        <f t="shared" si="27"/>
        <v>2.5059999999999998</v>
      </c>
      <c r="M271" s="76">
        <f>'Manual inputs'!M$37</f>
        <v>0</v>
      </c>
      <c r="N271" s="76">
        <f>'Manual inputs'!N$37</f>
        <v>2.5059999999999998</v>
      </c>
      <c r="O271" s="76">
        <f>'Manual inputs'!O$37</f>
        <v>6.75</v>
      </c>
      <c r="P271" s="70">
        <f>'Manual inputs'!P$37</f>
        <v>0</v>
      </c>
      <c r="Q271" s="76">
        <f t="shared" si="28"/>
        <v>9.2560000000000002</v>
      </c>
      <c r="R271" s="76">
        <f t="shared" si="29"/>
        <v>2.5059999999999998</v>
      </c>
      <c r="S271" s="77">
        <f>'Manual inputs'!S$37</f>
        <v>2</v>
      </c>
      <c r="T271" s="77">
        <f>'Manual inputs'!T$37</f>
        <v>78</v>
      </c>
      <c r="U271" s="77">
        <f>'Manual inputs'!U$37</f>
        <v>0</v>
      </c>
      <c r="V271" s="77">
        <f>'Manual inputs'!V$37</f>
        <v>0</v>
      </c>
      <c r="W271" s="76">
        <f>'Manual inputs'!W$37</f>
        <v>2.06</v>
      </c>
      <c r="X271" s="78">
        <f>'Manual inputs'!X$37</f>
        <v>0.1</v>
      </c>
      <c r="Y271" s="76">
        <f>'Manual inputs'!Y$37</f>
        <v>2.2660000000000005</v>
      </c>
      <c r="Z271" s="76">
        <f>'Manual inputs'!Z$37</f>
        <v>1.423</v>
      </c>
      <c r="AA271" s="79">
        <f>'Manual inputs'!AA$37</f>
        <v>0.23999999999999932</v>
      </c>
      <c r="AB271" s="79">
        <f>'Manual inputs'!AB$37</f>
        <v>1.0829999999999997</v>
      </c>
      <c r="AC271" s="70" t="str">
        <f>'Manual inputs'!AC$37</f>
        <v>Primary aluminium. Default base 2.060 ×1.10 = 2.266 (2026). Benchmark 1.423. S2 NOT in CBAM scope (direct emissions only).</v>
      </c>
      <c r="AD271" s="70" t="str">
        <f>'Manual inputs'!AD$37</f>
        <v>S1.fc: Est: IAI 2023 smelter profile; 1.5-2.5 GJ/t range. Weighted EF 78 kgCO / S1.fp: Auth: Hall-Héroult is electrolytic; reduction is electrical not fuel-d</v>
      </c>
      <c r="AE271" s="70" t="str">
        <f>'Manual inputs'!AE$37</f>
        <v>S1.np: Auth: IPCC 2006 Vol2 2C3 default 1.5 tCO2/t Al for prebaked anodes. Ra / S1.no: Est: IAI 2023 Egypt country profile. Global prebaked average 0.38 tCO2</v>
      </c>
      <c r="AF271" s="70"/>
      <c r="AG271" s="70"/>
      <c r="AH271" s="70"/>
      <c r="AI271" s="70"/>
    </row>
    <row r="272" spans="1:35" x14ac:dyDescent="0.45">
      <c r="A272" s="70"/>
      <c r="B272" s="70"/>
      <c r="C272" s="73" t="s">
        <v>1890</v>
      </c>
      <c r="D272" s="73"/>
      <c r="E272" s="71"/>
      <c r="F272" s="71"/>
      <c r="G272" s="71"/>
      <c r="H272" s="71" t="s">
        <v>1892</v>
      </c>
      <c r="I272" s="71" t="s">
        <v>1893</v>
      </c>
      <c r="J272" s="71" t="s">
        <v>1894</v>
      </c>
      <c r="K272" s="71" t="s">
        <v>1895</v>
      </c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0"/>
      <c r="AH272" s="70"/>
      <c r="AI272" s="70"/>
    </row>
    <row r="273" spans="1:35" x14ac:dyDescent="0.45">
      <c r="A273" s="70"/>
      <c r="B273" s="52"/>
      <c r="C273" s="52"/>
      <c r="D273" s="70" t="s">
        <v>1891</v>
      </c>
      <c r="E273" s="70"/>
      <c r="F273" s="70"/>
      <c r="G273" s="70"/>
      <c r="H273" s="99">
        <f>IF($J$5&gt;1,INDEX(Scenarios!$B$27:$Z$27,MATCH("fc covered (0/1)",Scenarios!$B$26:$Z$26,0)),1)</f>
        <v>1</v>
      </c>
      <c r="I273" s="99">
        <f>IF($J$5&gt;1,INDEX(Scenarios!$B$27:$Z$27,MATCH("fp covered (0/1)",Scenarios!$B$26:$Z$26,0)),1)</f>
        <v>1</v>
      </c>
      <c r="J273" s="99">
        <f>IF($J$5&gt;1,INDEX(Scenarios!$B$27:$Z$27,MATCH("np covered (0/1)",Scenarios!$B$26:$Z$26,0)),1)</f>
        <v>1</v>
      </c>
      <c r="K273" s="90">
        <f>IF($J$5&gt;1,INDEX(Scenarios!$B$27:$Z$27,MATCH("no covered (0/1)",Scenarios!$B$26:$Z$26,0)),1)</f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</row>
    <row r="274" spans="1:35" x14ac:dyDescent="0.45">
      <c r="A274" s="71"/>
      <c r="B274" s="52"/>
      <c r="C274" s="73" t="s">
        <v>1434</v>
      </c>
      <c r="D274" s="73"/>
      <c r="E274" s="70"/>
      <c r="F274" s="70" t="s">
        <v>1435</v>
      </c>
      <c r="G274" s="70"/>
      <c r="H274" s="70"/>
      <c r="I274" s="70"/>
      <c r="J274" s="71"/>
      <c r="K274" s="72"/>
      <c r="L274" s="74">
        <v>2022</v>
      </c>
      <c r="M274" s="74">
        <v>2023</v>
      </c>
      <c r="N274" s="74">
        <v>2024</v>
      </c>
      <c r="O274" s="74">
        <v>2025</v>
      </c>
      <c r="P274" s="74">
        <v>2026</v>
      </c>
      <c r="Q274" s="74">
        <v>2027</v>
      </c>
      <c r="R274" s="74">
        <v>2028</v>
      </c>
      <c r="S274" s="74">
        <v>2029</v>
      </c>
      <c r="T274" s="74">
        <v>2030</v>
      </c>
      <c r="U274" s="74">
        <v>2031</v>
      </c>
      <c r="V274" s="74">
        <v>2032</v>
      </c>
      <c r="W274" s="74">
        <v>2033</v>
      </c>
      <c r="X274" s="74">
        <v>2034</v>
      </c>
      <c r="Y274" s="74">
        <v>2035</v>
      </c>
      <c r="Z274" s="74">
        <v>2036</v>
      </c>
      <c r="AA274" s="74">
        <v>2037</v>
      </c>
      <c r="AB274" s="74">
        <v>2038</v>
      </c>
      <c r="AC274" s="74">
        <v>2039</v>
      </c>
      <c r="AD274" s="74">
        <v>2040</v>
      </c>
      <c r="AE274" s="74">
        <v>2041</v>
      </c>
      <c r="AF274" s="74"/>
      <c r="AG274" s="70"/>
      <c r="AH274" s="70"/>
      <c r="AI274" s="70"/>
    </row>
    <row r="275" spans="1:35" x14ac:dyDescent="0.45">
      <c r="A275" s="71"/>
      <c r="B275" s="52"/>
      <c r="C275" s="71"/>
      <c r="D275" s="73"/>
      <c r="E275" s="71"/>
      <c r="F275" s="70" t="s">
        <v>1436</v>
      </c>
      <c r="G275" s="70" t="s">
        <v>1437</v>
      </c>
      <c r="H275" s="70" t="s">
        <v>1438</v>
      </c>
      <c r="I275" s="70" t="s">
        <v>1439</v>
      </c>
      <c r="J275" s="71"/>
      <c r="K275" s="72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0"/>
      <c r="AH275" s="70"/>
      <c r="AI275" s="70"/>
    </row>
    <row r="276" spans="1:35" x14ac:dyDescent="0.45">
      <c r="A276" s="71"/>
      <c r="B276" s="52"/>
      <c r="C276" s="71"/>
      <c r="D276" s="52" t="s">
        <v>1350</v>
      </c>
      <c r="E276" s="70" t="s">
        <v>1440</v>
      </c>
      <c r="F276" s="88">
        <v>5100</v>
      </c>
      <c r="G276" s="89">
        <v>4.3999999999999997E-2</v>
      </c>
      <c r="H276" s="80"/>
      <c r="I276" s="88">
        <v>580</v>
      </c>
      <c r="J276" s="71"/>
      <c r="K276" s="72"/>
      <c r="L276" s="72">
        <f t="shared" ref="L276:L283" si="30">M276/(1+G276)</f>
        <v>4679.1738230501605</v>
      </c>
      <c r="M276" s="72">
        <f t="shared" ref="M276:M283" si="31">N276/(1+G276)</f>
        <v>4885.0574712643675</v>
      </c>
      <c r="N276" s="90">
        <f>IF(UPPER(Settings!$B$3)="EGY",F276,0)</f>
        <v>5100</v>
      </c>
      <c r="O276" s="72">
        <f t="shared" ref="O276:O283" si="32">N276*(1+G276)</f>
        <v>5324.4000000000005</v>
      </c>
      <c r="P276" s="72">
        <f t="shared" ref="P276:P283" si="33">O276*(1+G276)</f>
        <v>5558.673600000001</v>
      </c>
      <c r="Q276" s="72">
        <f t="shared" ref="Q276:Q283" si="34">P276*(1+G276)</f>
        <v>5803.255238400001</v>
      </c>
      <c r="R276" s="72">
        <f t="shared" ref="R276:R283" si="35">Q276*(1+G276)</f>
        <v>6058.5984688896015</v>
      </c>
      <c r="S276" s="72">
        <f t="shared" ref="S276:S283" si="36">R276*(1+G276)</f>
        <v>6325.1768015207444</v>
      </c>
      <c r="T276" s="72">
        <f t="shared" ref="T276:T283" si="37">S276*(1+G276)</f>
        <v>6603.4845807876573</v>
      </c>
      <c r="U276" s="72">
        <f t="shared" ref="U276:U283" si="38">T276*(1+G276)</f>
        <v>6894.0379023423147</v>
      </c>
      <c r="V276" s="72">
        <f t="shared" ref="V276:V283" si="39">U276*(1+G276)</f>
        <v>7197.3755700453767</v>
      </c>
      <c r="W276" s="72">
        <f t="shared" ref="W276:W283" si="40">V276*(1+G276)</f>
        <v>7514.0600951273736</v>
      </c>
      <c r="X276" s="72">
        <f t="shared" ref="X276:X283" si="41">W276*(1+G276)</f>
        <v>7844.678739312978</v>
      </c>
      <c r="Y276" s="72">
        <f t="shared" ref="Y276:Y283" si="42">X276*(1+G276)</f>
        <v>8189.8446038427492</v>
      </c>
      <c r="Z276" s="72">
        <f t="shared" ref="Z276:Z283" si="43">Y276*(1+G276)</f>
        <v>8550.1977664118313</v>
      </c>
      <c r="AA276" s="72">
        <f t="shared" ref="AA276:AA283" si="44">Z276*(1+G276)</f>
        <v>8926.4064681339514</v>
      </c>
      <c r="AB276" s="72">
        <f t="shared" ref="AB276:AB283" si="45">AA276*(1+G276)</f>
        <v>9319.1683527318455</v>
      </c>
      <c r="AC276" s="72">
        <f t="shared" ref="AC276:AC283" si="46">AB276*(1+G276)</f>
        <v>9729.2117602520466</v>
      </c>
      <c r="AD276" s="72">
        <f t="shared" ref="AD276:AD283" si="47">AC276*(1+G276)</f>
        <v>10157.297077703137</v>
      </c>
      <c r="AE276" s="72">
        <f t="shared" ref="AE276:AE283" si="48">AD276*(1+G276)</f>
        <v>10604.218149122074</v>
      </c>
      <c r="AF276" s="72"/>
      <c r="AG276" s="70"/>
      <c r="AH276" s="70"/>
      <c r="AI276" s="70"/>
    </row>
    <row r="277" spans="1:35" x14ac:dyDescent="0.45">
      <c r="A277" s="71"/>
      <c r="B277" s="52"/>
      <c r="C277" s="71"/>
      <c r="D277" s="52" t="s">
        <v>1357</v>
      </c>
      <c r="E277" s="70" t="s">
        <v>1440</v>
      </c>
      <c r="F277" s="88">
        <v>4800</v>
      </c>
      <c r="G277" s="89">
        <v>4.3999999999999997E-2</v>
      </c>
      <c r="H277" s="80"/>
      <c r="I277" s="88">
        <v>300</v>
      </c>
      <c r="J277" s="71"/>
      <c r="K277" s="72"/>
      <c r="L277" s="72">
        <f t="shared" si="30"/>
        <v>4403.9283040472101</v>
      </c>
      <c r="M277" s="72">
        <f t="shared" si="31"/>
        <v>4597.7011494252874</v>
      </c>
      <c r="N277" s="90">
        <f>IF(UPPER(Settings!$B$3)="EGY",F277,0)</f>
        <v>4800</v>
      </c>
      <c r="O277" s="72">
        <f t="shared" si="32"/>
        <v>5011.2</v>
      </c>
      <c r="P277" s="72">
        <f t="shared" si="33"/>
        <v>5231.6927999999998</v>
      </c>
      <c r="Q277" s="72">
        <f t="shared" si="34"/>
        <v>5461.8872831999997</v>
      </c>
      <c r="R277" s="72">
        <f t="shared" si="35"/>
        <v>5702.2103236608</v>
      </c>
      <c r="S277" s="72">
        <f t="shared" si="36"/>
        <v>5953.1075779018756</v>
      </c>
      <c r="T277" s="72">
        <f t="shared" si="37"/>
        <v>6215.0443113295587</v>
      </c>
      <c r="U277" s="72">
        <f t="shared" si="38"/>
        <v>6488.5062610280593</v>
      </c>
      <c r="V277" s="72">
        <f t="shared" si="39"/>
        <v>6774.0005365132938</v>
      </c>
      <c r="W277" s="72">
        <f t="shared" si="40"/>
        <v>7072.0565601198787</v>
      </c>
      <c r="X277" s="72">
        <f t="shared" si="41"/>
        <v>7383.227048765154</v>
      </c>
      <c r="Y277" s="72">
        <f t="shared" si="42"/>
        <v>7708.0890389108208</v>
      </c>
      <c r="Z277" s="72">
        <f t="shared" si="43"/>
        <v>8047.244956622897</v>
      </c>
      <c r="AA277" s="72">
        <f t="shared" si="44"/>
        <v>8401.323734714304</v>
      </c>
      <c r="AB277" s="72">
        <f t="shared" si="45"/>
        <v>8770.9819790417332</v>
      </c>
      <c r="AC277" s="72">
        <f t="shared" si="46"/>
        <v>9156.9051861195694</v>
      </c>
      <c r="AD277" s="72">
        <f t="shared" si="47"/>
        <v>9559.8090143088302</v>
      </c>
      <c r="AE277" s="72">
        <f t="shared" si="48"/>
        <v>9980.4406109384199</v>
      </c>
      <c r="AF277" s="72"/>
      <c r="AG277" s="70"/>
      <c r="AH277" s="70"/>
      <c r="AI277" s="70"/>
    </row>
    <row r="278" spans="1:35" x14ac:dyDescent="0.45">
      <c r="A278" s="71"/>
      <c r="B278" s="71"/>
      <c r="C278" s="71"/>
      <c r="D278" s="52" t="s">
        <v>1363</v>
      </c>
      <c r="E278" s="70" t="s">
        <v>1440</v>
      </c>
      <c r="F278" s="88">
        <v>0</v>
      </c>
      <c r="G278" s="89">
        <v>0</v>
      </c>
      <c r="H278" s="80"/>
      <c r="I278" s="88">
        <v>0</v>
      </c>
      <c r="J278" s="71"/>
      <c r="K278" s="72"/>
      <c r="L278" s="72">
        <f t="shared" si="30"/>
        <v>0</v>
      </c>
      <c r="M278" s="72">
        <f t="shared" si="31"/>
        <v>0</v>
      </c>
      <c r="N278" s="90">
        <f>IF(UPPER(Settings!$B$3)="EGY",F278,0)</f>
        <v>0</v>
      </c>
      <c r="O278" s="72">
        <f t="shared" si="32"/>
        <v>0</v>
      </c>
      <c r="P278" s="72">
        <f t="shared" si="33"/>
        <v>0</v>
      </c>
      <c r="Q278" s="72">
        <f t="shared" si="34"/>
        <v>0</v>
      </c>
      <c r="R278" s="72">
        <f t="shared" si="35"/>
        <v>0</v>
      </c>
      <c r="S278" s="72">
        <f t="shared" si="36"/>
        <v>0</v>
      </c>
      <c r="T278" s="72">
        <f t="shared" si="37"/>
        <v>0</v>
      </c>
      <c r="U278" s="72">
        <f t="shared" si="38"/>
        <v>0</v>
      </c>
      <c r="V278" s="72">
        <f t="shared" si="39"/>
        <v>0</v>
      </c>
      <c r="W278" s="72">
        <f t="shared" si="40"/>
        <v>0</v>
      </c>
      <c r="X278" s="72">
        <f t="shared" si="41"/>
        <v>0</v>
      </c>
      <c r="Y278" s="72">
        <f t="shared" si="42"/>
        <v>0</v>
      </c>
      <c r="Z278" s="72">
        <f t="shared" si="43"/>
        <v>0</v>
      </c>
      <c r="AA278" s="72">
        <f t="shared" si="44"/>
        <v>0</v>
      </c>
      <c r="AB278" s="72">
        <f t="shared" si="45"/>
        <v>0</v>
      </c>
      <c r="AC278" s="72">
        <f t="shared" si="46"/>
        <v>0</v>
      </c>
      <c r="AD278" s="72">
        <f t="shared" si="47"/>
        <v>0</v>
      </c>
      <c r="AE278" s="72">
        <f t="shared" si="48"/>
        <v>0</v>
      </c>
      <c r="AF278" s="72"/>
      <c r="AG278" s="70"/>
      <c r="AH278" s="70"/>
      <c r="AI278" s="70"/>
    </row>
    <row r="279" spans="1:35" x14ac:dyDescent="0.45">
      <c r="A279" s="71"/>
      <c r="B279" s="71"/>
      <c r="C279" s="71"/>
      <c r="D279" s="52" t="s">
        <v>1369</v>
      </c>
      <c r="E279" s="70" t="s">
        <v>1441</v>
      </c>
      <c r="F279" s="88">
        <v>50000</v>
      </c>
      <c r="G279" s="89">
        <v>3.3000000000000002E-2</v>
      </c>
      <c r="H279" s="80"/>
      <c r="I279" s="88">
        <v>800</v>
      </c>
      <c r="J279" s="71"/>
      <c r="K279" s="72"/>
      <c r="L279" s="72">
        <f t="shared" si="30"/>
        <v>46856.447775209017</v>
      </c>
      <c r="M279" s="72">
        <f t="shared" si="31"/>
        <v>48402.710551790908</v>
      </c>
      <c r="N279" s="90">
        <f>IF(UPPER(Settings!$B$3)="EGY",F279,0)</f>
        <v>50000</v>
      </c>
      <c r="O279" s="72">
        <f t="shared" si="32"/>
        <v>51649.999999999993</v>
      </c>
      <c r="P279" s="72">
        <f t="shared" si="33"/>
        <v>53354.44999999999</v>
      </c>
      <c r="Q279" s="72">
        <f t="shared" si="34"/>
        <v>55115.146849999983</v>
      </c>
      <c r="R279" s="72">
        <f t="shared" si="35"/>
        <v>56933.946696049978</v>
      </c>
      <c r="S279" s="72">
        <f t="shared" si="36"/>
        <v>58812.766937019624</v>
      </c>
      <c r="T279" s="72">
        <f t="shared" si="37"/>
        <v>60753.588245941268</v>
      </c>
      <c r="U279" s="72">
        <f t="shared" si="38"/>
        <v>62758.456658057323</v>
      </c>
      <c r="V279" s="72">
        <f t="shared" si="39"/>
        <v>64829.485727773208</v>
      </c>
      <c r="W279" s="72">
        <f t="shared" si="40"/>
        <v>66968.858756789719</v>
      </c>
      <c r="X279" s="72">
        <f t="shared" si="41"/>
        <v>69178.831095763773</v>
      </c>
      <c r="Y279" s="72">
        <f t="shared" si="42"/>
        <v>71461.732521923972</v>
      </c>
      <c r="Z279" s="72">
        <f t="shared" si="43"/>
        <v>73819.969695147462</v>
      </c>
      <c r="AA279" s="72">
        <f t="shared" si="44"/>
        <v>76256.028695087327</v>
      </c>
      <c r="AB279" s="72">
        <f t="shared" si="45"/>
        <v>78772.477642025202</v>
      </c>
      <c r="AC279" s="72">
        <f t="shared" si="46"/>
        <v>81371.969404212025</v>
      </c>
      <c r="AD279" s="72">
        <f t="shared" si="47"/>
        <v>84057.244394551017</v>
      </c>
      <c r="AE279" s="72">
        <f t="shared" si="48"/>
        <v>86831.133459571196</v>
      </c>
      <c r="AF279" s="72"/>
      <c r="AG279" s="70"/>
      <c r="AH279" s="70"/>
      <c r="AI279" s="70"/>
    </row>
    <row r="280" spans="1:35" x14ac:dyDescent="0.45">
      <c r="A280" s="71"/>
      <c r="B280" s="71"/>
      <c r="C280" s="71"/>
      <c r="D280" s="52" t="s">
        <v>1442</v>
      </c>
      <c r="E280" s="70" t="s">
        <v>1443</v>
      </c>
      <c r="F280" s="88">
        <v>1785</v>
      </c>
      <c r="G280" s="89">
        <v>2.1999999999999999E-2</v>
      </c>
      <c r="H280" s="80"/>
      <c r="I280" s="88">
        <v>120</v>
      </c>
      <c r="J280" s="71"/>
      <c r="K280" s="72"/>
      <c r="L280" s="72">
        <f t="shared" si="30"/>
        <v>1708.9778302013242</v>
      </c>
      <c r="M280" s="72">
        <f t="shared" si="31"/>
        <v>1746.5753424657535</v>
      </c>
      <c r="N280" s="90">
        <f>IF(UPPER(Settings!$B$3)="EGY",F280,0)</f>
        <v>1785</v>
      </c>
      <c r="O280" s="72">
        <f t="shared" si="32"/>
        <v>1824.27</v>
      </c>
      <c r="P280" s="72">
        <f t="shared" si="33"/>
        <v>1864.4039399999999</v>
      </c>
      <c r="Q280" s="72">
        <f t="shared" si="34"/>
        <v>1905.4208266799999</v>
      </c>
      <c r="R280" s="72">
        <f t="shared" si="35"/>
        <v>1947.3400848669598</v>
      </c>
      <c r="S280" s="72">
        <f t="shared" si="36"/>
        <v>1990.1815667340329</v>
      </c>
      <c r="T280" s="72">
        <f t="shared" si="37"/>
        <v>2033.9655612021818</v>
      </c>
      <c r="U280" s="72">
        <f t="shared" si="38"/>
        <v>2078.7128035486298</v>
      </c>
      <c r="V280" s="72">
        <f t="shared" si="39"/>
        <v>2124.4444852266997</v>
      </c>
      <c r="W280" s="72">
        <f t="shared" si="40"/>
        <v>2171.1822639016873</v>
      </c>
      <c r="X280" s="72">
        <f t="shared" si="41"/>
        <v>2218.9482737075245</v>
      </c>
      <c r="Y280" s="72">
        <f t="shared" si="42"/>
        <v>2267.7651357290902</v>
      </c>
      <c r="Z280" s="72">
        <f t="shared" si="43"/>
        <v>2317.6559687151303</v>
      </c>
      <c r="AA280" s="72">
        <f t="shared" si="44"/>
        <v>2368.644400026863</v>
      </c>
      <c r="AB280" s="72">
        <f t="shared" si="45"/>
        <v>2420.754576827454</v>
      </c>
      <c r="AC280" s="72">
        <f t="shared" si="46"/>
        <v>2474.0111775176579</v>
      </c>
      <c r="AD280" s="72">
        <f t="shared" si="47"/>
        <v>2528.4394234230463</v>
      </c>
      <c r="AE280" s="72">
        <f t="shared" si="48"/>
        <v>2584.0650907383533</v>
      </c>
      <c r="AF280" s="72"/>
      <c r="AG280" s="70"/>
      <c r="AH280" s="70"/>
      <c r="AI280" s="70"/>
    </row>
    <row r="281" spans="1:35" x14ac:dyDescent="0.45">
      <c r="A281" s="71"/>
      <c r="B281" s="71"/>
      <c r="C281" s="71"/>
      <c r="D281" s="52" t="s">
        <v>1383</v>
      </c>
      <c r="E281" s="70" t="s">
        <v>1444</v>
      </c>
      <c r="F281" s="88">
        <v>2800</v>
      </c>
      <c r="G281" s="89">
        <v>2.1999999999999999E-2</v>
      </c>
      <c r="H281" s="80"/>
      <c r="I281" s="88">
        <v>1600</v>
      </c>
      <c r="J281" s="71"/>
      <c r="K281" s="72"/>
      <c r="L281" s="72">
        <f t="shared" si="30"/>
        <v>2680.7495375707044</v>
      </c>
      <c r="M281" s="72">
        <f t="shared" si="31"/>
        <v>2739.7260273972602</v>
      </c>
      <c r="N281" s="90">
        <f>IF(UPPER(Settings!$B$3)="EGY",F281,0)</f>
        <v>2800</v>
      </c>
      <c r="O281" s="72">
        <f t="shared" si="32"/>
        <v>2861.6</v>
      </c>
      <c r="P281" s="72">
        <f t="shared" si="33"/>
        <v>2924.5551999999998</v>
      </c>
      <c r="Q281" s="72">
        <f t="shared" si="34"/>
        <v>2988.8954143999999</v>
      </c>
      <c r="R281" s="72">
        <f t="shared" si="35"/>
        <v>3054.6511135167998</v>
      </c>
      <c r="S281" s="72">
        <f t="shared" si="36"/>
        <v>3121.8534380141696</v>
      </c>
      <c r="T281" s="72">
        <f t="shared" si="37"/>
        <v>3190.5342136504814</v>
      </c>
      <c r="U281" s="72">
        <f t="shared" si="38"/>
        <v>3260.7259663507921</v>
      </c>
      <c r="V281" s="72">
        <f t="shared" si="39"/>
        <v>3332.4619376105097</v>
      </c>
      <c r="W281" s="72">
        <f t="shared" si="40"/>
        <v>3405.7761002379411</v>
      </c>
      <c r="X281" s="72">
        <f t="shared" si="41"/>
        <v>3480.7031744431761</v>
      </c>
      <c r="Y281" s="72">
        <f t="shared" si="42"/>
        <v>3557.2786442809261</v>
      </c>
      <c r="Z281" s="72">
        <f t="shared" si="43"/>
        <v>3635.5387744551067</v>
      </c>
      <c r="AA281" s="72">
        <f t="shared" si="44"/>
        <v>3715.5206274931193</v>
      </c>
      <c r="AB281" s="72">
        <f t="shared" si="45"/>
        <v>3797.2620812979681</v>
      </c>
      <c r="AC281" s="72">
        <f t="shared" si="46"/>
        <v>3880.8018470865236</v>
      </c>
      <c r="AD281" s="72">
        <f t="shared" si="47"/>
        <v>3966.179487722427</v>
      </c>
      <c r="AE281" s="72">
        <f t="shared" si="48"/>
        <v>4053.4354364523206</v>
      </c>
      <c r="AF281" s="72"/>
      <c r="AG281" s="70"/>
      <c r="AH281" s="70"/>
      <c r="AI281" s="70"/>
    </row>
    <row r="282" spans="1:35" x14ac:dyDescent="0.45">
      <c r="A282" s="71"/>
      <c r="B282" s="71"/>
      <c r="C282" s="71"/>
      <c r="D282" s="52" t="s">
        <v>1390</v>
      </c>
      <c r="E282" s="70" t="s">
        <v>1445</v>
      </c>
      <c r="F282" s="88">
        <v>600</v>
      </c>
      <c r="G282" s="89">
        <v>2.1999999999999999E-2</v>
      </c>
      <c r="H282" s="80"/>
      <c r="I282" s="88">
        <v>80</v>
      </c>
      <c r="J282" s="71"/>
      <c r="K282" s="72"/>
      <c r="L282" s="72">
        <f t="shared" si="30"/>
        <v>574.44632947943671</v>
      </c>
      <c r="M282" s="72">
        <f t="shared" si="31"/>
        <v>587.08414872798437</v>
      </c>
      <c r="N282" s="90">
        <f>IF(UPPER(Settings!$B$3)="EGY",F282,0)</f>
        <v>600</v>
      </c>
      <c r="O282" s="72">
        <f t="shared" si="32"/>
        <v>613.20000000000005</v>
      </c>
      <c r="P282" s="72">
        <f t="shared" si="33"/>
        <v>626.69040000000007</v>
      </c>
      <c r="Q282" s="72">
        <f t="shared" si="34"/>
        <v>640.47758880000004</v>
      </c>
      <c r="R282" s="72">
        <f t="shared" si="35"/>
        <v>654.56809575360001</v>
      </c>
      <c r="S282" s="72">
        <f t="shared" si="36"/>
        <v>668.96859386017923</v>
      </c>
      <c r="T282" s="72">
        <f t="shared" si="37"/>
        <v>683.68590292510316</v>
      </c>
      <c r="U282" s="72">
        <f t="shared" si="38"/>
        <v>698.72699278945549</v>
      </c>
      <c r="V282" s="72">
        <f t="shared" si="39"/>
        <v>714.09898663082356</v>
      </c>
      <c r="W282" s="72">
        <f t="shared" si="40"/>
        <v>729.80916433670166</v>
      </c>
      <c r="X282" s="72">
        <f t="shared" si="41"/>
        <v>745.86496595210906</v>
      </c>
      <c r="Y282" s="72">
        <f t="shared" si="42"/>
        <v>762.27399520305551</v>
      </c>
      <c r="Z282" s="72">
        <f t="shared" si="43"/>
        <v>779.04402309752277</v>
      </c>
      <c r="AA282" s="72">
        <f t="shared" si="44"/>
        <v>796.18299160566824</v>
      </c>
      <c r="AB282" s="72">
        <f t="shared" si="45"/>
        <v>813.69901742099296</v>
      </c>
      <c r="AC282" s="72">
        <f t="shared" si="46"/>
        <v>831.60039580425484</v>
      </c>
      <c r="AD282" s="72">
        <f t="shared" si="47"/>
        <v>849.89560451194848</v>
      </c>
      <c r="AE282" s="72">
        <f t="shared" si="48"/>
        <v>868.59330781121139</v>
      </c>
      <c r="AF282" s="72"/>
      <c r="AG282" s="70"/>
      <c r="AH282" s="70"/>
      <c r="AI282" s="70"/>
    </row>
    <row r="283" spans="1:35" x14ac:dyDescent="0.45">
      <c r="A283" s="71"/>
      <c r="B283" s="71"/>
      <c r="C283" s="71"/>
      <c r="D283" s="52" t="s">
        <v>1397</v>
      </c>
      <c r="E283" s="70" t="s">
        <v>1446</v>
      </c>
      <c r="F283" s="88">
        <v>300</v>
      </c>
      <c r="G283" s="89">
        <v>5.5E-2</v>
      </c>
      <c r="H283" s="80"/>
      <c r="I283" s="88">
        <v>167</v>
      </c>
      <c r="J283" s="71"/>
      <c r="K283" s="72"/>
      <c r="L283" s="72">
        <f t="shared" si="30"/>
        <v>269.53572471417982</v>
      </c>
      <c r="M283" s="72">
        <f t="shared" si="31"/>
        <v>284.36018957345971</v>
      </c>
      <c r="N283" s="90">
        <f>IF(UPPER(Settings!$B$3)="EGY",F283,0)</f>
        <v>300</v>
      </c>
      <c r="O283" s="72">
        <f t="shared" si="32"/>
        <v>316.5</v>
      </c>
      <c r="P283" s="72">
        <f t="shared" si="33"/>
        <v>333.90749999999997</v>
      </c>
      <c r="Q283" s="72">
        <f t="shared" si="34"/>
        <v>352.27241249999997</v>
      </c>
      <c r="R283" s="72">
        <f t="shared" si="35"/>
        <v>371.64739518749997</v>
      </c>
      <c r="S283" s="72">
        <f t="shared" si="36"/>
        <v>392.08800192281245</v>
      </c>
      <c r="T283" s="72">
        <f t="shared" si="37"/>
        <v>413.65284202856714</v>
      </c>
      <c r="U283" s="72">
        <f t="shared" si="38"/>
        <v>436.40374834013829</v>
      </c>
      <c r="V283" s="72">
        <f t="shared" si="39"/>
        <v>460.40595449884586</v>
      </c>
      <c r="W283" s="72">
        <f t="shared" si="40"/>
        <v>485.72828199628236</v>
      </c>
      <c r="X283" s="72">
        <f t="shared" si="41"/>
        <v>512.44333750607791</v>
      </c>
      <c r="Y283" s="72">
        <f t="shared" si="42"/>
        <v>540.62772106891214</v>
      </c>
      <c r="Z283" s="72">
        <f t="shared" si="43"/>
        <v>570.36224572770232</v>
      </c>
      <c r="AA283" s="72">
        <f t="shared" si="44"/>
        <v>601.73216924272594</v>
      </c>
      <c r="AB283" s="72">
        <f t="shared" si="45"/>
        <v>634.82743855107583</v>
      </c>
      <c r="AC283" s="72">
        <f t="shared" si="46"/>
        <v>669.74294767138497</v>
      </c>
      <c r="AD283" s="72">
        <f t="shared" si="47"/>
        <v>706.57880979331105</v>
      </c>
      <c r="AE283" s="72">
        <f t="shared" si="48"/>
        <v>745.44064433194308</v>
      </c>
      <c r="AF283" s="72"/>
      <c r="AG283" s="70"/>
      <c r="AH283" s="70"/>
      <c r="AI283" s="70"/>
    </row>
    <row r="284" spans="1:35" x14ac:dyDescent="0.45">
      <c r="A284" s="70"/>
      <c r="B284" s="52"/>
      <c r="C284" s="52"/>
      <c r="D284" s="70"/>
      <c r="E284" s="70"/>
      <c r="F284" s="70"/>
      <c r="G284" s="70"/>
      <c r="H284" s="70"/>
      <c r="I284" s="70"/>
      <c r="J284" s="70"/>
      <c r="K284" s="72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</row>
    <row r="285" spans="1:35" x14ac:dyDescent="0.45">
      <c r="A285" s="70"/>
      <c r="B285" s="52"/>
      <c r="C285" s="52"/>
      <c r="D285" s="70"/>
      <c r="E285" s="70"/>
      <c r="F285" s="70"/>
      <c r="G285" s="70"/>
      <c r="H285" s="70"/>
      <c r="I285" s="70"/>
      <c r="J285" s="70"/>
      <c r="K285" s="72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</row>
    <row r="286" spans="1:35" x14ac:dyDescent="0.45">
      <c r="A286" s="70"/>
      <c r="B286" s="52"/>
      <c r="C286" s="52"/>
      <c r="D286" s="70"/>
      <c r="E286" s="70"/>
      <c r="F286" s="70"/>
      <c r="G286" s="70"/>
      <c r="H286" s="70"/>
      <c r="I286" s="70"/>
      <c r="J286" s="70"/>
      <c r="K286" s="72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</row>
    <row r="287" spans="1:35" x14ac:dyDescent="0.45">
      <c r="A287" s="70"/>
      <c r="B287" s="52"/>
      <c r="C287" s="73" t="s">
        <v>1447</v>
      </c>
      <c r="D287" s="73" t="s">
        <v>1323</v>
      </c>
      <c r="E287" s="70" t="s">
        <v>1448</v>
      </c>
      <c r="F287" s="70" t="s">
        <v>1323</v>
      </c>
      <c r="G287" s="70" t="s">
        <v>1449</v>
      </c>
      <c r="H287" s="70"/>
      <c r="I287" s="71"/>
      <c r="J287" s="71"/>
      <c r="K287" s="72"/>
      <c r="L287" s="74">
        <f t="shared" ref="L287:AE287" si="49">L274</f>
        <v>2022</v>
      </c>
      <c r="M287" s="74">
        <f t="shared" si="49"/>
        <v>2023</v>
      </c>
      <c r="N287" s="74">
        <f t="shared" si="49"/>
        <v>2024</v>
      </c>
      <c r="O287" s="74">
        <f t="shared" si="49"/>
        <v>2025</v>
      </c>
      <c r="P287" s="74">
        <f t="shared" si="49"/>
        <v>2026</v>
      </c>
      <c r="Q287" s="74">
        <f t="shared" si="49"/>
        <v>2027</v>
      </c>
      <c r="R287" s="74">
        <f t="shared" si="49"/>
        <v>2028</v>
      </c>
      <c r="S287" s="74">
        <f t="shared" si="49"/>
        <v>2029</v>
      </c>
      <c r="T287" s="74">
        <f t="shared" si="49"/>
        <v>2030</v>
      </c>
      <c r="U287" s="74">
        <f t="shared" si="49"/>
        <v>2031</v>
      </c>
      <c r="V287" s="74">
        <f t="shared" si="49"/>
        <v>2032</v>
      </c>
      <c r="W287" s="74">
        <f t="shared" si="49"/>
        <v>2033</v>
      </c>
      <c r="X287" s="74">
        <f t="shared" si="49"/>
        <v>2034</v>
      </c>
      <c r="Y287" s="74">
        <f t="shared" si="49"/>
        <v>2035</v>
      </c>
      <c r="Z287" s="74">
        <f t="shared" si="49"/>
        <v>2036</v>
      </c>
      <c r="AA287" s="74">
        <f t="shared" si="49"/>
        <v>2037</v>
      </c>
      <c r="AB287" s="74">
        <f t="shared" si="49"/>
        <v>2038</v>
      </c>
      <c r="AC287" s="74">
        <f t="shared" si="49"/>
        <v>2039</v>
      </c>
      <c r="AD287" s="74">
        <f t="shared" si="49"/>
        <v>2040</v>
      </c>
      <c r="AE287" s="74">
        <f t="shared" si="49"/>
        <v>2041</v>
      </c>
      <c r="AF287" s="74"/>
      <c r="AG287" s="70"/>
      <c r="AH287" s="70"/>
      <c r="AI287" s="70"/>
    </row>
    <row r="288" spans="1:35" x14ac:dyDescent="0.45">
      <c r="A288" s="70"/>
      <c r="B288" s="52"/>
      <c r="C288" s="52"/>
      <c r="D288" s="52" t="s">
        <v>1450</v>
      </c>
      <c r="E288" s="87" t="s">
        <v>1451</v>
      </c>
      <c r="F288" s="70" t="s">
        <v>1452</v>
      </c>
      <c r="G288" s="85">
        <v>750</v>
      </c>
      <c r="H288" s="72"/>
      <c r="I288" s="70"/>
      <c r="J288" s="70"/>
      <c r="K288" s="72"/>
      <c r="L288" s="72">
        <f t="shared" ref="L288:L295" si="50">G288</f>
        <v>750</v>
      </c>
      <c r="M288" s="72">
        <f t="shared" ref="M288:M295" si="51">G288</f>
        <v>750</v>
      </c>
      <c r="N288" s="72">
        <f t="shared" ref="N288:N295" si="52">G288</f>
        <v>750</v>
      </c>
      <c r="O288" s="72">
        <f t="shared" ref="O288:O295" si="53">G288</f>
        <v>750</v>
      </c>
      <c r="P288" s="72">
        <f t="shared" ref="P288:P295" si="54">G288</f>
        <v>750</v>
      </c>
      <c r="Q288" s="72">
        <f t="shared" ref="Q288:Q295" si="55">G288</f>
        <v>750</v>
      </c>
      <c r="R288" s="72">
        <f t="shared" ref="R288:R295" si="56">G288</f>
        <v>750</v>
      </c>
      <c r="S288" s="72">
        <f t="shared" ref="S288:S295" si="57">G288</f>
        <v>750</v>
      </c>
      <c r="T288" s="72">
        <f t="shared" ref="T288:T295" si="58">G288</f>
        <v>750</v>
      </c>
      <c r="U288" s="72">
        <f t="shared" ref="U288:U295" si="59">G288</f>
        <v>750</v>
      </c>
      <c r="V288" s="72">
        <f t="shared" ref="V288:V295" si="60">G288</f>
        <v>750</v>
      </c>
      <c r="W288" s="72">
        <f t="shared" ref="W288:W295" si="61">G288</f>
        <v>750</v>
      </c>
      <c r="X288" s="72">
        <f t="shared" ref="X288:X295" si="62">G288</f>
        <v>750</v>
      </c>
      <c r="Y288" s="72">
        <f t="shared" ref="Y288:Y295" si="63">G288</f>
        <v>750</v>
      </c>
      <c r="Z288" s="72">
        <f t="shared" ref="Z288:Z295" si="64">G288</f>
        <v>750</v>
      </c>
      <c r="AA288" s="72">
        <f t="shared" ref="AA288:AA295" si="65">G288</f>
        <v>750</v>
      </c>
      <c r="AB288" s="72">
        <f t="shared" ref="AB288:AB295" si="66">G288</f>
        <v>750</v>
      </c>
      <c r="AC288" s="72">
        <f t="shared" ref="AC288:AC295" si="67">G288</f>
        <v>750</v>
      </c>
      <c r="AD288" s="72">
        <f t="shared" ref="AD288:AD295" si="68">G288</f>
        <v>750</v>
      </c>
      <c r="AE288" s="72">
        <f t="shared" ref="AE288:AE295" si="69">G288</f>
        <v>750</v>
      </c>
      <c r="AF288" s="70"/>
      <c r="AG288" s="70"/>
      <c r="AH288" s="70"/>
      <c r="AI288" s="70"/>
    </row>
    <row r="289" spans="1:35" x14ac:dyDescent="0.45">
      <c r="A289" s="70"/>
      <c r="B289" s="52"/>
      <c r="C289" s="52"/>
      <c r="D289" s="52" t="s">
        <v>1453</v>
      </c>
      <c r="E289" s="87" t="s">
        <v>1454</v>
      </c>
      <c r="F289" s="70" t="s">
        <v>1455</v>
      </c>
      <c r="G289" s="85">
        <v>680</v>
      </c>
      <c r="H289" s="70"/>
      <c r="I289" s="70"/>
      <c r="J289" s="70"/>
      <c r="K289" s="72"/>
      <c r="L289" s="72">
        <f t="shared" si="50"/>
        <v>680</v>
      </c>
      <c r="M289" s="72">
        <f t="shared" si="51"/>
        <v>680</v>
      </c>
      <c r="N289" s="72">
        <f t="shared" si="52"/>
        <v>680</v>
      </c>
      <c r="O289" s="72">
        <f t="shared" si="53"/>
        <v>680</v>
      </c>
      <c r="P289" s="72">
        <f t="shared" si="54"/>
        <v>680</v>
      </c>
      <c r="Q289" s="72">
        <f t="shared" si="55"/>
        <v>680</v>
      </c>
      <c r="R289" s="72">
        <f t="shared" si="56"/>
        <v>680</v>
      </c>
      <c r="S289" s="72">
        <f t="shared" si="57"/>
        <v>680</v>
      </c>
      <c r="T289" s="72">
        <f t="shared" si="58"/>
        <v>680</v>
      </c>
      <c r="U289" s="72">
        <f t="shared" si="59"/>
        <v>680</v>
      </c>
      <c r="V289" s="72">
        <f t="shared" si="60"/>
        <v>680</v>
      </c>
      <c r="W289" s="72">
        <f t="shared" si="61"/>
        <v>680</v>
      </c>
      <c r="X289" s="72">
        <f t="shared" si="62"/>
        <v>680</v>
      </c>
      <c r="Y289" s="72">
        <f t="shared" si="63"/>
        <v>680</v>
      </c>
      <c r="Z289" s="72">
        <f t="shared" si="64"/>
        <v>680</v>
      </c>
      <c r="AA289" s="72">
        <f t="shared" si="65"/>
        <v>680</v>
      </c>
      <c r="AB289" s="72">
        <f t="shared" si="66"/>
        <v>680</v>
      </c>
      <c r="AC289" s="72">
        <f t="shared" si="67"/>
        <v>680</v>
      </c>
      <c r="AD289" s="72">
        <f t="shared" si="68"/>
        <v>680</v>
      </c>
      <c r="AE289" s="72">
        <f t="shared" si="69"/>
        <v>680</v>
      </c>
      <c r="AF289" s="70"/>
      <c r="AG289" s="70"/>
      <c r="AH289" s="70"/>
      <c r="AI289" s="70"/>
    </row>
    <row r="290" spans="1:35" x14ac:dyDescent="0.45">
      <c r="A290" s="70"/>
      <c r="B290" s="52"/>
      <c r="C290" s="52"/>
      <c r="D290" s="52" t="s">
        <v>1456</v>
      </c>
      <c r="E290" s="87" t="s">
        <v>1457</v>
      </c>
      <c r="F290" s="70" t="s">
        <v>1458</v>
      </c>
      <c r="G290" s="85">
        <v>620</v>
      </c>
      <c r="H290" s="70"/>
      <c r="I290" s="70"/>
      <c r="J290" s="70"/>
      <c r="K290" s="72"/>
      <c r="L290" s="72">
        <f t="shared" si="50"/>
        <v>620</v>
      </c>
      <c r="M290" s="72">
        <f t="shared" si="51"/>
        <v>620</v>
      </c>
      <c r="N290" s="72">
        <f t="shared" si="52"/>
        <v>620</v>
      </c>
      <c r="O290" s="72">
        <f t="shared" si="53"/>
        <v>620</v>
      </c>
      <c r="P290" s="72">
        <f t="shared" si="54"/>
        <v>620</v>
      </c>
      <c r="Q290" s="72">
        <f t="shared" si="55"/>
        <v>620</v>
      </c>
      <c r="R290" s="72">
        <f t="shared" si="56"/>
        <v>620</v>
      </c>
      <c r="S290" s="72">
        <f t="shared" si="57"/>
        <v>620</v>
      </c>
      <c r="T290" s="72">
        <f t="shared" si="58"/>
        <v>620</v>
      </c>
      <c r="U290" s="72">
        <f t="shared" si="59"/>
        <v>620</v>
      </c>
      <c r="V290" s="72">
        <f t="shared" si="60"/>
        <v>620</v>
      </c>
      <c r="W290" s="72">
        <f t="shared" si="61"/>
        <v>620</v>
      </c>
      <c r="X290" s="72">
        <f t="shared" si="62"/>
        <v>620</v>
      </c>
      <c r="Y290" s="72">
        <f t="shared" si="63"/>
        <v>620</v>
      </c>
      <c r="Z290" s="72">
        <f t="shared" si="64"/>
        <v>620</v>
      </c>
      <c r="AA290" s="72">
        <f t="shared" si="65"/>
        <v>620</v>
      </c>
      <c r="AB290" s="72">
        <f t="shared" si="66"/>
        <v>620</v>
      </c>
      <c r="AC290" s="72">
        <f t="shared" si="67"/>
        <v>620</v>
      </c>
      <c r="AD290" s="72">
        <f t="shared" si="68"/>
        <v>620</v>
      </c>
      <c r="AE290" s="72">
        <f t="shared" si="69"/>
        <v>620</v>
      </c>
      <c r="AF290" s="70"/>
      <c r="AG290" s="70"/>
      <c r="AH290" s="70"/>
      <c r="AI290" s="70"/>
    </row>
    <row r="291" spans="1:35" x14ac:dyDescent="0.45">
      <c r="A291" s="70"/>
      <c r="B291" s="52"/>
      <c r="C291" s="52"/>
      <c r="D291" s="52" t="s">
        <v>1459</v>
      </c>
      <c r="E291" s="87" t="s">
        <v>1460</v>
      </c>
      <c r="F291" s="70" t="s">
        <v>1461</v>
      </c>
      <c r="G291" s="85">
        <v>110</v>
      </c>
      <c r="H291" s="70"/>
      <c r="I291" s="70"/>
      <c r="J291" s="70"/>
      <c r="K291" s="72"/>
      <c r="L291" s="72">
        <f t="shared" si="50"/>
        <v>110</v>
      </c>
      <c r="M291" s="72">
        <f t="shared" si="51"/>
        <v>110</v>
      </c>
      <c r="N291" s="72">
        <f t="shared" si="52"/>
        <v>110</v>
      </c>
      <c r="O291" s="72">
        <f t="shared" si="53"/>
        <v>110</v>
      </c>
      <c r="P291" s="72">
        <f t="shared" si="54"/>
        <v>110</v>
      </c>
      <c r="Q291" s="72">
        <f t="shared" si="55"/>
        <v>110</v>
      </c>
      <c r="R291" s="72">
        <f t="shared" si="56"/>
        <v>110</v>
      </c>
      <c r="S291" s="72">
        <f t="shared" si="57"/>
        <v>110</v>
      </c>
      <c r="T291" s="72">
        <f t="shared" si="58"/>
        <v>110</v>
      </c>
      <c r="U291" s="72">
        <f t="shared" si="59"/>
        <v>110</v>
      </c>
      <c r="V291" s="72">
        <f t="shared" si="60"/>
        <v>110</v>
      </c>
      <c r="W291" s="72">
        <f t="shared" si="61"/>
        <v>110</v>
      </c>
      <c r="X291" s="72">
        <f t="shared" si="62"/>
        <v>110</v>
      </c>
      <c r="Y291" s="72">
        <f t="shared" si="63"/>
        <v>110</v>
      </c>
      <c r="Z291" s="72">
        <f t="shared" si="64"/>
        <v>110</v>
      </c>
      <c r="AA291" s="72">
        <f t="shared" si="65"/>
        <v>110</v>
      </c>
      <c r="AB291" s="72">
        <f t="shared" si="66"/>
        <v>110</v>
      </c>
      <c r="AC291" s="72">
        <f t="shared" si="67"/>
        <v>110</v>
      </c>
      <c r="AD291" s="72">
        <f t="shared" si="68"/>
        <v>110</v>
      </c>
      <c r="AE291" s="72">
        <f t="shared" si="69"/>
        <v>110</v>
      </c>
      <c r="AF291" s="70"/>
      <c r="AG291" s="70"/>
      <c r="AH291" s="70"/>
      <c r="AI291" s="70"/>
    </row>
    <row r="292" spans="1:35" x14ac:dyDescent="0.45">
      <c r="A292" s="70"/>
      <c r="B292" s="52"/>
      <c r="C292" s="52"/>
      <c r="D292" s="52" t="s">
        <v>1462</v>
      </c>
      <c r="E292" s="87" t="s">
        <v>1463</v>
      </c>
      <c r="F292" s="70" t="s">
        <v>1464</v>
      </c>
      <c r="G292" s="85">
        <v>450</v>
      </c>
      <c r="H292" s="70"/>
      <c r="I292" s="70"/>
      <c r="J292" s="70"/>
      <c r="K292" s="72"/>
      <c r="L292" s="72">
        <f t="shared" si="50"/>
        <v>450</v>
      </c>
      <c r="M292" s="72">
        <f t="shared" si="51"/>
        <v>450</v>
      </c>
      <c r="N292" s="72">
        <f t="shared" si="52"/>
        <v>450</v>
      </c>
      <c r="O292" s="72">
        <f t="shared" si="53"/>
        <v>450</v>
      </c>
      <c r="P292" s="72">
        <f t="shared" si="54"/>
        <v>450</v>
      </c>
      <c r="Q292" s="72">
        <f t="shared" si="55"/>
        <v>450</v>
      </c>
      <c r="R292" s="72">
        <f t="shared" si="56"/>
        <v>450</v>
      </c>
      <c r="S292" s="72">
        <f t="shared" si="57"/>
        <v>450</v>
      </c>
      <c r="T292" s="72">
        <f t="shared" si="58"/>
        <v>450</v>
      </c>
      <c r="U292" s="72">
        <f t="shared" si="59"/>
        <v>450</v>
      </c>
      <c r="V292" s="72">
        <f t="shared" si="60"/>
        <v>450</v>
      </c>
      <c r="W292" s="72">
        <f t="shared" si="61"/>
        <v>450</v>
      </c>
      <c r="X292" s="72">
        <f t="shared" si="62"/>
        <v>450</v>
      </c>
      <c r="Y292" s="72">
        <f t="shared" si="63"/>
        <v>450</v>
      </c>
      <c r="Z292" s="72">
        <f t="shared" si="64"/>
        <v>450</v>
      </c>
      <c r="AA292" s="72">
        <f t="shared" si="65"/>
        <v>450</v>
      </c>
      <c r="AB292" s="72">
        <f t="shared" si="66"/>
        <v>450</v>
      </c>
      <c r="AC292" s="72">
        <f t="shared" si="67"/>
        <v>450</v>
      </c>
      <c r="AD292" s="72">
        <f t="shared" si="68"/>
        <v>450</v>
      </c>
      <c r="AE292" s="72">
        <f t="shared" si="69"/>
        <v>450</v>
      </c>
      <c r="AF292" s="70"/>
      <c r="AG292" s="70"/>
      <c r="AH292" s="70"/>
      <c r="AI292" s="70"/>
    </row>
    <row r="293" spans="1:35" x14ac:dyDescent="0.45">
      <c r="A293" s="70"/>
      <c r="B293" s="52"/>
      <c r="C293" s="52"/>
      <c r="D293" s="52" t="s">
        <v>1465</v>
      </c>
      <c r="E293" s="87" t="s">
        <v>1466</v>
      </c>
      <c r="F293" s="70" t="s">
        <v>1467</v>
      </c>
      <c r="G293" s="85">
        <v>380</v>
      </c>
      <c r="H293" s="70"/>
      <c r="I293" s="70"/>
      <c r="J293" s="70"/>
      <c r="K293" s="72"/>
      <c r="L293" s="72">
        <f t="shared" si="50"/>
        <v>380</v>
      </c>
      <c r="M293" s="72">
        <f t="shared" si="51"/>
        <v>380</v>
      </c>
      <c r="N293" s="72">
        <f t="shared" si="52"/>
        <v>380</v>
      </c>
      <c r="O293" s="72">
        <f t="shared" si="53"/>
        <v>380</v>
      </c>
      <c r="P293" s="72">
        <f t="shared" si="54"/>
        <v>380</v>
      </c>
      <c r="Q293" s="72">
        <f t="shared" si="55"/>
        <v>380</v>
      </c>
      <c r="R293" s="72">
        <f t="shared" si="56"/>
        <v>380</v>
      </c>
      <c r="S293" s="72">
        <f t="shared" si="57"/>
        <v>380</v>
      </c>
      <c r="T293" s="72">
        <f t="shared" si="58"/>
        <v>380</v>
      </c>
      <c r="U293" s="72">
        <f t="shared" si="59"/>
        <v>380</v>
      </c>
      <c r="V293" s="72">
        <f t="shared" si="60"/>
        <v>380</v>
      </c>
      <c r="W293" s="72">
        <f t="shared" si="61"/>
        <v>380</v>
      </c>
      <c r="X293" s="72">
        <f t="shared" si="62"/>
        <v>380</v>
      </c>
      <c r="Y293" s="72">
        <f t="shared" si="63"/>
        <v>380</v>
      </c>
      <c r="Z293" s="72">
        <f t="shared" si="64"/>
        <v>380</v>
      </c>
      <c r="AA293" s="72">
        <f t="shared" si="65"/>
        <v>380</v>
      </c>
      <c r="AB293" s="72">
        <f t="shared" si="66"/>
        <v>380</v>
      </c>
      <c r="AC293" s="72">
        <f t="shared" si="67"/>
        <v>380</v>
      </c>
      <c r="AD293" s="72">
        <f t="shared" si="68"/>
        <v>380</v>
      </c>
      <c r="AE293" s="72">
        <f t="shared" si="69"/>
        <v>380</v>
      </c>
      <c r="AF293" s="70"/>
      <c r="AG293" s="70"/>
      <c r="AH293" s="70"/>
      <c r="AI293" s="70"/>
    </row>
    <row r="294" spans="1:35" x14ac:dyDescent="0.45">
      <c r="A294" s="70"/>
      <c r="B294" s="52"/>
      <c r="C294" s="52"/>
      <c r="D294" s="52" t="s">
        <v>1468</v>
      </c>
      <c r="E294" s="87" t="s">
        <v>1469</v>
      </c>
      <c r="F294" s="70" t="s">
        <v>1470</v>
      </c>
      <c r="G294" s="85">
        <v>320</v>
      </c>
      <c r="H294" s="70"/>
      <c r="I294" s="70"/>
      <c r="J294" s="70"/>
      <c r="K294" s="72"/>
      <c r="L294" s="72">
        <f t="shared" si="50"/>
        <v>320</v>
      </c>
      <c r="M294" s="72">
        <f t="shared" si="51"/>
        <v>320</v>
      </c>
      <c r="N294" s="72">
        <f t="shared" si="52"/>
        <v>320</v>
      </c>
      <c r="O294" s="72">
        <f t="shared" si="53"/>
        <v>320</v>
      </c>
      <c r="P294" s="72">
        <f t="shared" si="54"/>
        <v>320</v>
      </c>
      <c r="Q294" s="72">
        <f t="shared" si="55"/>
        <v>320</v>
      </c>
      <c r="R294" s="72">
        <f t="shared" si="56"/>
        <v>320</v>
      </c>
      <c r="S294" s="72">
        <f t="shared" si="57"/>
        <v>320</v>
      </c>
      <c r="T294" s="72">
        <f t="shared" si="58"/>
        <v>320</v>
      </c>
      <c r="U294" s="72">
        <f t="shared" si="59"/>
        <v>320</v>
      </c>
      <c r="V294" s="72">
        <f t="shared" si="60"/>
        <v>320</v>
      </c>
      <c r="W294" s="72">
        <f t="shared" si="61"/>
        <v>320</v>
      </c>
      <c r="X294" s="72">
        <f t="shared" si="62"/>
        <v>320</v>
      </c>
      <c r="Y294" s="72">
        <f t="shared" si="63"/>
        <v>320</v>
      </c>
      <c r="Z294" s="72">
        <f t="shared" si="64"/>
        <v>320</v>
      </c>
      <c r="AA294" s="72">
        <f t="shared" si="65"/>
        <v>320</v>
      </c>
      <c r="AB294" s="72">
        <f t="shared" si="66"/>
        <v>320</v>
      </c>
      <c r="AC294" s="72">
        <f t="shared" si="67"/>
        <v>320</v>
      </c>
      <c r="AD294" s="72">
        <f t="shared" si="68"/>
        <v>320</v>
      </c>
      <c r="AE294" s="72">
        <f t="shared" si="69"/>
        <v>320</v>
      </c>
      <c r="AF294" s="70"/>
      <c r="AG294" s="70"/>
      <c r="AH294" s="70"/>
      <c r="AI294" s="70"/>
    </row>
    <row r="295" spans="1:35" x14ac:dyDescent="0.45">
      <c r="A295" s="70"/>
      <c r="B295" s="52"/>
      <c r="C295" s="52"/>
      <c r="D295" s="52" t="s">
        <v>1471</v>
      </c>
      <c r="E295" s="87" t="s">
        <v>1472</v>
      </c>
      <c r="F295" s="70" t="s">
        <v>1473</v>
      </c>
      <c r="G295" s="85">
        <v>2400</v>
      </c>
      <c r="H295" s="70"/>
      <c r="I295" s="70"/>
      <c r="J295" s="70"/>
      <c r="K295" s="72"/>
      <c r="L295" s="72">
        <f t="shared" si="50"/>
        <v>2400</v>
      </c>
      <c r="M295" s="72">
        <f t="shared" si="51"/>
        <v>2400</v>
      </c>
      <c r="N295" s="72">
        <f t="shared" si="52"/>
        <v>2400</v>
      </c>
      <c r="O295" s="72">
        <f t="shared" si="53"/>
        <v>2400</v>
      </c>
      <c r="P295" s="72">
        <f t="shared" si="54"/>
        <v>2400</v>
      </c>
      <c r="Q295" s="72">
        <f t="shared" si="55"/>
        <v>2400</v>
      </c>
      <c r="R295" s="72">
        <f t="shared" si="56"/>
        <v>2400</v>
      </c>
      <c r="S295" s="72">
        <f t="shared" si="57"/>
        <v>2400</v>
      </c>
      <c r="T295" s="72">
        <f t="shared" si="58"/>
        <v>2400</v>
      </c>
      <c r="U295" s="72">
        <f t="shared" si="59"/>
        <v>2400</v>
      </c>
      <c r="V295" s="72">
        <f t="shared" si="60"/>
        <v>2400</v>
      </c>
      <c r="W295" s="72">
        <f t="shared" si="61"/>
        <v>2400</v>
      </c>
      <c r="X295" s="72">
        <f t="shared" si="62"/>
        <v>2400</v>
      </c>
      <c r="Y295" s="72">
        <f t="shared" si="63"/>
        <v>2400</v>
      </c>
      <c r="Z295" s="72">
        <f t="shared" si="64"/>
        <v>2400</v>
      </c>
      <c r="AA295" s="72">
        <f t="shared" si="65"/>
        <v>2400</v>
      </c>
      <c r="AB295" s="72">
        <f t="shared" si="66"/>
        <v>2400</v>
      </c>
      <c r="AC295" s="72">
        <f t="shared" si="67"/>
        <v>2400</v>
      </c>
      <c r="AD295" s="72">
        <f t="shared" si="68"/>
        <v>2400</v>
      </c>
      <c r="AE295" s="72">
        <f t="shared" si="69"/>
        <v>2400</v>
      </c>
      <c r="AF295" s="70"/>
      <c r="AG295" s="70"/>
      <c r="AH295" s="70"/>
      <c r="AI295" s="70"/>
    </row>
    <row r="296" spans="1:35" x14ac:dyDescent="0.45">
      <c r="A296" s="70"/>
      <c r="B296" s="52"/>
      <c r="C296" s="52"/>
      <c r="D296" s="52"/>
      <c r="E296" s="70"/>
      <c r="F296" s="70"/>
      <c r="G296" s="70"/>
      <c r="H296" s="70"/>
      <c r="I296" s="70"/>
      <c r="J296" s="70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0"/>
      <c r="AG296" s="70"/>
      <c r="AH296" s="70"/>
      <c r="AI296" s="70"/>
    </row>
    <row r="297" spans="1:35" x14ac:dyDescent="0.45">
      <c r="A297" s="70"/>
      <c r="B297" s="52"/>
      <c r="C297" s="52"/>
      <c r="D297" s="52"/>
      <c r="E297" s="70"/>
      <c r="F297" s="70"/>
      <c r="G297" s="70"/>
      <c r="H297" s="70"/>
      <c r="I297" s="70"/>
      <c r="J297" s="70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0"/>
      <c r="AG297" s="70"/>
      <c r="AH297" s="70"/>
      <c r="AI297" s="70"/>
    </row>
    <row r="298" spans="1:35" x14ac:dyDescent="0.45">
      <c r="A298" s="70"/>
      <c r="B298" s="52"/>
      <c r="C298" s="73" t="s">
        <v>1474</v>
      </c>
      <c r="D298" s="73"/>
      <c r="E298" s="72" t="s">
        <v>1896</v>
      </c>
      <c r="F298" s="70" t="s">
        <v>1475</v>
      </c>
      <c r="G298" s="70" t="s">
        <v>1476</v>
      </c>
      <c r="H298" s="71"/>
      <c r="I298" s="71"/>
      <c r="J298" s="71"/>
      <c r="K298" s="72"/>
      <c r="L298" s="74">
        <f t="shared" ref="L298:AE298" si="70">L246</f>
        <v>2022</v>
      </c>
      <c r="M298" s="74">
        <f t="shared" si="70"/>
        <v>2023</v>
      </c>
      <c r="N298" s="74">
        <f t="shared" si="70"/>
        <v>2024</v>
      </c>
      <c r="O298" s="74">
        <f t="shared" si="70"/>
        <v>2025</v>
      </c>
      <c r="P298" s="74">
        <f t="shared" si="70"/>
        <v>2026</v>
      </c>
      <c r="Q298" s="74">
        <f t="shared" si="70"/>
        <v>2027</v>
      </c>
      <c r="R298" s="74">
        <f t="shared" si="70"/>
        <v>2028</v>
      </c>
      <c r="S298" s="74">
        <f t="shared" si="70"/>
        <v>2029</v>
      </c>
      <c r="T298" s="74">
        <f t="shared" si="70"/>
        <v>2030</v>
      </c>
      <c r="U298" s="74">
        <f t="shared" si="70"/>
        <v>2031</v>
      </c>
      <c r="V298" s="74">
        <f t="shared" si="70"/>
        <v>2032</v>
      </c>
      <c r="W298" s="74">
        <f t="shared" si="70"/>
        <v>2033</v>
      </c>
      <c r="X298" s="74">
        <f t="shared" si="70"/>
        <v>2034</v>
      </c>
      <c r="Y298" s="74">
        <f t="shared" si="70"/>
        <v>2035</v>
      </c>
      <c r="Z298" s="74">
        <f t="shared" si="70"/>
        <v>2036</v>
      </c>
      <c r="AA298" s="74">
        <f t="shared" si="70"/>
        <v>2037</v>
      </c>
      <c r="AB298" s="74">
        <f t="shared" si="70"/>
        <v>2038</v>
      </c>
      <c r="AC298" s="74">
        <f t="shared" si="70"/>
        <v>2039</v>
      </c>
      <c r="AD298" s="74">
        <f t="shared" si="70"/>
        <v>2040</v>
      </c>
      <c r="AE298" s="74">
        <f t="shared" si="70"/>
        <v>2041</v>
      </c>
      <c r="AF298" s="74"/>
      <c r="AG298" s="70"/>
      <c r="AH298" s="70"/>
      <c r="AI298" s="70"/>
    </row>
    <row r="299" spans="1:35" x14ac:dyDescent="0.45">
      <c r="A299" s="70"/>
      <c r="B299" s="52"/>
      <c r="C299" s="52"/>
      <c r="D299" s="52" t="s">
        <v>1450</v>
      </c>
      <c r="E299" s="72">
        <f t="shared" ref="E299:E306" si="71">$H264*$H$273+$I264*$I$273</f>
        <v>0.69003000000000003</v>
      </c>
      <c r="F299" s="71">
        <f>E254</f>
        <v>0</v>
      </c>
      <c r="G299" s="71">
        <f>F254</f>
        <v>0</v>
      </c>
      <c r="H299" s="70"/>
      <c r="I299" s="70"/>
      <c r="J299" s="70"/>
      <c r="K299" s="72"/>
      <c r="L299" s="70">
        <f>(F299*L247+G299*L248)*E299</f>
        <v>0</v>
      </c>
      <c r="M299" s="70">
        <f>(F299*M247+G299*M248)*E299</f>
        <v>0</v>
      </c>
      <c r="N299" s="70">
        <f>(F299*N247+G299*N248)*E299</f>
        <v>0</v>
      </c>
      <c r="O299" s="70">
        <f>(F299*O247+G299*O248)*E299</f>
        <v>0</v>
      </c>
      <c r="P299" s="70">
        <f>(F299*P247+G299*P248)*E299</f>
        <v>0</v>
      </c>
      <c r="Q299" s="70">
        <f>(F299*Q247+G299*Q248)*E299</f>
        <v>0</v>
      </c>
      <c r="R299" s="70">
        <f>(F299*R247+G299*R248)*E299</f>
        <v>0</v>
      </c>
      <c r="S299" s="70">
        <f>(F299*S247+G299*S248)*E299</f>
        <v>0</v>
      </c>
      <c r="T299" s="70">
        <f>(F299*T247+G299*T248)*E299</f>
        <v>0</v>
      </c>
      <c r="U299" s="70">
        <f>(F299*U247+G299*U248)*E299</f>
        <v>0</v>
      </c>
      <c r="V299" s="70">
        <f>(F299*V247+G299*V248)*E299</f>
        <v>0</v>
      </c>
      <c r="W299" s="70">
        <f>(F299*W247+G299*W248)*E299</f>
        <v>0</v>
      </c>
      <c r="X299" s="70">
        <f>(F299*X247+G299*X248)*E299</f>
        <v>0</v>
      </c>
      <c r="Y299" s="70">
        <f>(F299*Y247+G299*Y248)*E299</f>
        <v>0</v>
      </c>
      <c r="Z299" s="70">
        <f>(F299*Z247+G299*Z248)*E299</f>
        <v>0</v>
      </c>
      <c r="AA299" s="70">
        <f>(F299*AA247+G299*AA248)*E299</f>
        <v>0</v>
      </c>
      <c r="AB299" s="70">
        <f>(F299*AB247+G299*AB248)*E299</f>
        <v>0</v>
      </c>
      <c r="AC299" s="70">
        <f>(F299*AC247+G299*AC248)*E299</f>
        <v>0</v>
      </c>
      <c r="AD299" s="70">
        <f>(F299*AD247+G299*AD248)*E299</f>
        <v>0</v>
      </c>
      <c r="AE299" s="70">
        <f>(F299*AE247+G299*AE248)*E299</f>
        <v>0</v>
      </c>
      <c r="AF299" s="70"/>
      <c r="AG299" s="70"/>
      <c r="AH299" s="70"/>
      <c r="AI299" s="70"/>
    </row>
    <row r="300" spans="1:35" x14ac:dyDescent="0.45">
      <c r="A300" s="70"/>
      <c r="B300" s="52"/>
      <c r="C300" s="52"/>
      <c r="D300" s="52" t="s">
        <v>1453</v>
      </c>
      <c r="E300" s="72">
        <f t="shared" si="71"/>
        <v>0.14025000000000001</v>
      </c>
      <c r="F300" s="71">
        <f>E254</f>
        <v>0</v>
      </c>
      <c r="G300" s="71">
        <f>F254</f>
        <v>0</v>
      </c>
      <c r="H300" s="70"/>
      <c r="I300" s="70"/>
      <c r="J300" s="70"/>
      <c r="K300" s="72"/>
      <c r="L300" s="70">
        <f>(F300*L247+G300*L248)*E300</f>
        <v>0</v>
      </c>
      <c r="M300" s="70">
        <f>(F300*M247+G300*M248)*E300</f>
        <v>0</v>
      </c>
      <c r="N300" s="70">
        <f>(F300*N247+G300*N248)*E300</f>
        <v>0</v>
      </c>
      <c r="O300" s="70">
        <f>(F300*O247+G300*O248)*E300</f>
        <v>0</v>
      </c>
      <c r="P300" s="70">
        <f>(F300*P247+G300*P248)*E300</f>
        <v>0</v>
      </c>
      <c r="Q300" s="70">
        <f>(F300*Q247+G300*Q248)*E300</f>
        <v>0</v>
      </c>
      <c r="R300" s="70">
        <f>(F300*R247+G300*R248)*E300</f>
        <v>0</v>
      </c>
      <c r="S300" s="70">
        <f>(F300*S247+G300*S248)*E300</f>
        <v>0</v>
      </c>
      <c r="T300" s="70">
        <f>(F300*T247+G300*T248)*E300</f>
        <v>0</v>
      </c>
      <c r="U300" s="70">
        <f>(F300*U247+G300*U248)*E300</f>
        <v>0</v>
      </c>
      <c r="V300" s="70">
        <f>(F300*V247+G300*V248)*E300</f>
        <v>0</v>
      </c>
      <c r="W300" s="70">
        <f>(F300*W247+G300*W248)*E300</f>
        <v>0</v>
      </c>
      <c r="X300" s="70">
        <f>(F300*X247+G300*X248)*E300</f>
        <v>0</v>
      </c>
      <c r="Y300" s="70">
        <f>(F300*Y247+G300*Y248)*E300</f>
        <v>0</v>
      </c>
      <c r="Z300" s="70">
        <f>(F300*Z247+G300*Z248)*E300</f>
        <v>0</v>
      </c>
      <c r="AA300" s="70">
        <f>(F300*AA247+G300*AA248)*E300</f>
        <v>0</v>
      </c>
      <c r="AB300" s="70">
        <f>(F300*AB247+G300*AB248)*E300</f>
        <v>0</v>
      </c>
      <c r="AC300" s="70">
        <f>(F300*AC247+G300*AC248)*E300</f>
        <v>0</v>
      </c>
      <c r="AD300" s="70">
        <f>(F300*AD247+G300*AD248)*E300</f>
        <v>0</v>
      </c>
      <c r="AE300" s="70">
        <f>(F300*AE247+G300*AE248)*E300</f>
        <v>0</v>
      </c>
      <c r="AF300" s="70"/>
      <c r="AG300" s="70"/>
      <c r="AH300" s="70"/>
      <c r="AI300" s="70"/>
    </row>
    <row r="301" spans="1:35" x14ac:dyDescent="0.45">
      <c r="A301" s="70"/>
      <c r="B301" s="52"/>
      <c r="C301" s="52"/>
      <c r="D301" s="52" t="s">
        <v>1456</v>
      </c>
      <c r="E301" s="72">
        <f t="shared" si="71"/>
        <v>1.9220000000000002</v>
      </c>
      <c r="F301" s="71">
        <f>E254</f>
        <v>0</v>
      </c>
      <c r="G301" s="71">
        <f>F254</f>
        <v>0</v>
      </c>
      <c r="H301" s="70"/>
      <c r="I301" s="70"/>
      <c r="J301" s="70"/>
      <c r="K301" s="72"/>
      <c r="L301" s="70">
        <f>(F301*L247+G301*L248)*E301</f>
        <v>0</v>
      </c>
      <c r="M301" s="70">
        <f>(F301*M247+G301*M248)*E301</f>
        <v>0</v>
      </c>
      <c r="N301" s="70">
        <f>(F301*N247+G301*N248)*E301</f>
        <v>0</v>
      </c>
      <c r="O301" s="70">
        <f>(F301*O247+G301*O248)*E301</f>
        <v>0</v>
      </c>
      <c r="P301" s="70">
        <f>(F301*P247+G301*P248)*E301</f>
        <v>0</v>
      </c>
      <c r="Q301" s="70">
        <f>(F301*Q247+G301*Q248)*E301</f>
        <v>0</v>
      </c>
      <c r="R301" s="70">
        <f>(F301*R247+G301*R248)*E301</f>
        <v>0</v>
      </c>
      <c r="S301" s="70">
        <f>(F301*S247+G301*S248)*E301</f>
        <v>0</v>
      </c>
      <c r="T301" s="70">
        <f>(F301*T247+G301*T248)*E301</f>
        <v>0</v>
      </c>
      <c r="U301" s="70">
        <f>(F301*U247+G301*U248)*E301</f>
        <v>0</v>
      </c>
      <c r="V301" s="70">
        <f>(F301*V247+G301*V248)*E301</f>
        <v>0</v>
      </c>
      <c r="W301" s="70">
        <f>(F301*W247+G301*W248)*E301</f>
        <v>0</v>
      </c>
      <c r="X301" s="70">
        <f>(F301*X247+G301*X248)*E301</f>
        <v>0</v>
      </c>
      <c r="Y301" s="70">
        <f>(F301*Y247+G301*Y248)*E301</f>
        <v>0</v>
      </c>
      <c r="Z301" s="70">
        <f>(F301*Z247+G301*Z248)*E301</f>
        <v>0</v>
      </c>
      <c r="AA301" s="70">
        <f>(F301*AA247+G301*AA248)*E301</f>
        <v>0</v>
      </c>
      <c r="AB301" s="70">
        <f>(F301*AB247+G301*AB248)*E301</f>
        <v>0</v>
      </c>
      <c r="AC301" s="70">
        <f>(F301*AC247+G301*AC248)*E301</f>
        <v>0</v>
      </c>
      <c r="AD301" s="70">
        <f>(F301*AD247+G301*AD248)*E301</f>
        <v>0</v>
      </c>
      <c r="AE301" s="70">
        <f>(F301*AE247+G301*AE248)*E301</f>
        <v>0</v>
      </c>
      <c r="AF301" s="70"/>
      <c r="AG301" s="70"/>
      <c r="AH301" s="70"/>
      <c r="AI301" s="70"/>
    </row>
    <row r="302" spans="1:35" x14ac:dyDescent="0.45">
      <c r="A302" s="70"/>
      <c r="B302" s="52"/>
      <c r="C302" s="52"/>
      <c r="D302" s="52" t="s">
        <v>1459</v>
      </c>
      <c r="E302" s="72">
        <f t="shared" si="71"/>
        <v>0.2883</v>
      </c>
      <c r="F302" s="71">
        <f>E257</f>
        <v>0</v>
      </c>
      <c r="G302" s="71">
        <f>F257</f>
        <v>0</v>
      </c>
      <c r="H302" s="70"/>
      <c r="I302" s="70"/>
      <c r="J302" s="70"/>
      <c r="K302" s="72"/>
      <c r="L302" s="70">
        <f>(F302*L247+G302*L248)*E302</f>
        <v>0</v>
      </c>
      <c r="M302" s="70">
        <f>(F302*M247+G302*M248)*E302</f>
        <v>0</v>
      </c>
      <c r="N302" s="70">
        <f>(F302*N247+G302*N248)*E302</f>
        <v>0</v>
      </c>
      <c r="O302" s="70">
        <f>(F302*O247+G302*O248)*E302</f>
        <v>0</v>
      </c>
      <c r="P302" s="70">
        <f>(F302*P247+G302*P248)*E302</f>
        <v>0</v>
      </c>
      <c r="Q302" s="70">
        <f>(F302*Q247+G302*Q248)*E302</f>
        <v>0</v>
      </c>
      <c r="R302" s="70">
        <f>(F302*R247+G302*R248)*E302</f>
        <v>0</v>
      </c>
      <c r="S302" s="70">
        <f>(F302*S247+G302*S248)*E302</f>
        <v>0</v>
      </c>
      <c r="T302" s="70">
        <f>(F302*T247+G302*T248)*E302</f>
        <v>0</v>
      </c>
      <c r="U302" s="70">
        <f>(F302*U247+G302*U248)*E302</f>
        <v>0</v>
      </c>
      <c r="V302" s="70">
        <f>(F302*V247+G302*V248)*E302</f>
        <v>0</v>
      </c>
      <c r="W302" s="70">
        <f>(F302*W247+G302*W248)*E302</f>
        <v>0</v>
      </c>
      <c r="X302" s="70">
        <f>(F302*X247+G302*X248)*E302</f>
        <v>0</v>
      </c>
      <c r="Y302" s="70">
        <f>(F302*Y247+G302*Y248)*E302</f>
        <v>0</v>
      </c>
      <c r="Z302" s="70">
        <f>(F302*Z247+G302*Z248)*E302</f>
        <v>0</v>
      </c>
      <c r="AA302" s="70">
        <f>(F302*AA247+G302*AA248)*E302</f>
        <v>0</v>
      </c>
      <c r="AB302" s="70">
        <f>(F302*AB247+G302*AB248)*E302</f>
        <v>0</v>
      </c>
      <c r="AC302" s="70">
        <f>(F302*AC247+G302*AC248)*E302</f>
        <v>0</v>
      </c>
      <c r="AD302" s="70">
        <f>(F302*AD247+G302*AD248)*E302</f>
        <v>0</v>
      </c>
      <c r="AE302" s="70">
        <f>(F302*AE247+G302*AE248)*E302</f>
        <v>0</v>
      </c>
      <c r="AF302" s="70"/>
      <c r="AG302" s="70"/>
      <c r="AH302" s="70"/>
      <c r="AI302" s="70"/>
    </row>
    <row r="303" spans="1:35" x14ac:dyDescent="0.45">
      <c r="A303" s="70"/>
      <c r="B303" s="52"/>
      <c r="C303" s="52"/>
      <c r="D303" s="52" t="s">
        <v>1462</v>
      </c>
      <c r="E303" s="72">
        <f t="shared" si="71"/>
        <v>1.8512999999999999</v>
      </c>
      <c r="F303" s="71">
        <f>E253</f>
        <v>0</v>
      </c>
      <c r="G303" s="71">
        <f>F253</f>
        <v>0</v>
      </c>
      <c r="H303" s="70"/>
      <c r="I303" s="70"/>
      <c r="J303" s="70"/>
      <c r="K303" s="72"/>
      <c r="L303" s="70">
        <f>(F303*L247+G303*L248)*E303</f>
        <v>0</v>
      </c>
      <c r="M303" s="70">
        <f>(F303*M247+G303*M248)*E303</f>
        <v>0</v>
      </c>
      <c r="N303" s="70">
        <f>(F303*N247+G303*N248)*E303</f>
        <v>0</v>
      </c>
      <c r="O303" s="70">
        <f>(F303*O247+G303*O248)*E303</f>
        <v>0</v>
      </c>
      <c r="P303" s="70">
        <f>(F303*P247+G303*P248)*E303</f>
        <v>0</v>
      </c>
      <c r="Q303" s="70">
        <f>(F303*Q247+G303*Q248)*E303</f>
        <v>0</v>
      </c>
      <c r="R303" s="70">
        <f>(F303*R247+G303*R248)*E303</f>
        <v>0</v>
      </c>
      <c r="S303" s="70">
        <f>(F303*S247+G303*S248)*E303</f>
        <v>0</v>
      </c>
      <c r="T303" s="70">
        <f>(F303*T247+G303*T248)*E303</f>
        <v>0</v>
      </c>
      <c r="U303" s="70">
        <f>(F303*U247+G303*U248)*E303</f>
        <v>0</v>
      </c>
      <c r="V303" s="70">
        <f>(F303*V247+G303*V248)*E303</f>
        <v>0</v>
      </c>
      <c r="W303" s="70">
        <f>(F303*W247+G303*W248)*E303</f>
        <v>0</v>
      </c>
      <c r="X303" s="70">
        <f>(F303*X247+G303*X248)*E303</f>
        <v>0</v>
      </c>
      <c r="Y303" s="70">
        <f>(F303*Y247+G303*Y248)*E303</f>
        <v>0</v>
      </c>
      <c r="Z303" s="70">
        <f>(F303*Z247+G303*Z248)*E303</f>
        <v>0</v>
      </c>
      <c r="AA303" s="70">
        <f>(F303*AA247+G303*AA248)*E303</f>
        <v>0</v>
      </c>
      <c r="AB303" s="70">
        <f>(F303*AB247+G303*AB248)*E303</f>
        <v>0</v>
      </c>
      <c r="AC303" s="70">
        <f>(F303*AC247+G303*AC248)*E303</f>
        <v>0</v>
      </c>
      <c r="AD303" s="70">
        <f>(F303*AD247+G303*AD248)*E303</f>
        <v>0</v>
      </c>
      <c r="AE303" s="70">
        <f>(F303*AE247+G303*AE248)*E303</f>
        <v>0</v>
      </c>
      <c r="AF303" s="70"/>
      <c r="AG303" s="70"/>
      <c r="AH303" s="70"/>
      <c r="AI303" s="70"/>
    </row>
    <row r="304" spans="1:35" x14ac:dyDescent="0.45">
      <c r="A304" s="70"/>
      <c r="B304" s="52"/>
      <c r="C304" s="52"/>
      <c r="D304" s="52" t="s">
        <v>1465</v>
      </c>
      <c r="E304" s="72">
        <f t="shared" si="71"/>
        <v>0.11219999999999999</v>
      </c>
      <c r="F304" s="71">
        <f>E253</f>
        <v>0</v>
      </c>
      <c r="G304" s="71">
        <f>F253</f>
        <v>0</v>
      </c>
      <c r="H304" s="70"/>
      <c r="I304" s="70"/>
      <c r="J304" s="70"/>
      <c r="K304" s="72"/>
      <c r="L304" s="70">
        <f>(F304*L247+G304*L248)*E304</f>
        <v>0</v>
      </c>
      <c r="M304" s="70">
        <f>(F304*M247+G304*M248)*E304</f>
        <v>0</v>
      </c>
      <c r="N304" s="70">
        <f>(F304*N247+G304*N248)*E304</f>
        <v>0</v>
      </c>
      <c r="O304" s="70">
        <f>(F304*O247+G304*O248)*E304</f>
        <v>0</v>
      </c>
      <c r="P304" s="70">
        <f>(F304*P247+G304*P248)*E304</f>
        <v>0</v>
      </c>
      <c r="Q304" s="70">
        <f>(F304*Q247+G304*Q248)*E304</f>
        <v>0</v>
      </c>
      <c r="R304" s="70">
        <f>(F304*R247+G304*R248)*E304</f>
        <v>0</v>
      </c>
      <c r="S304" s="70">
        <f>(F304*S247+G304*S248)*E304</f>
        <v>0</v>
      </c>
      <c r="T304" s="70">
        <f>(F304*T247+G304*T248)*E304</f>
        <v>0</v>
      </c>
      <c r="U304" s="70">
        <f>(F304*U247+G304*U248)*E304</f>
        <v>0</v>
      </c>
      <c r="V304" s="70">
        <f>(F304*V247+G304*V248)*E304</f>
        <v>0</v>
      </c>
      <c r="W304" s="70">
        <f>(F304*W247+G304*W248)*E304</f>
        <v>0</v>
      </c>
      <c r="X304" s="70">
        <f>(F304*X247+G304*X248)*E304</f>
        <v>0</v>
      </c>
      <c r="Y304" s="70">
        <f>(F304*Y247+G304*Y248)*E304</f>
        <v>0</v>
      </c>
      <c r="Z304" s="70">
        <f>(F304*Z247+G304*Z248)*E304</f>
        <v>0</v>
      </c>
      <c r="AA304" s="70">
        <f>(F304*AA247+G304*AA248)*E304</f>
        <v>0</v>
      </c>
      <c r="AB304" s="70">
        <f>(F304*AB247+G304*AB248)*E304</f>
        <v>0</v>
      </c>
      <c r="AC304" s="70">
        <f>(F304*AC247+G304*AC248)*E304</f>
        <v>0</v>
      </c>
      <c r="AD304" s="70">
        <f>(F304*AD247+G304*AD248)*E304</f>
        <v>0</v>
      </c>
      <c r="AE304" s="70">
        <f>(F304*AE247+G304*AE248)*E304</f>
        <v>0</v>
      </c>
      <c r="AF304" s="70"/>
      <c r="AG304" s="70"/>
      <c r="AH304" s="70"/>
      <c r="AI304" s="70"/>
    </row>
    <row r="305" spans="1:35" x14ac:dyDescent="0.45">
      <c r="A305" s="70"/>
      <c r="B305" s="52"/>
      <c r="C305" s="52"/>
      <c r="D305" s="52" t="s">
        <v>1468</v>
      </c>
      <c r="E305" s="72">
        <f t="shared" si="71"/>
        <v>0.11219999999999999</v>
      </c>
      <c r="F305" s="71">
        <f>E253</f>
        <v>0</v>
      </c>
      <c r="G305" s="71">
        <f>F253</f>
        <v>0</v>
      </c>
      <c r="H305" s="70"/>
      <c r="I305" s="70"/>
      <c r="J305" s="70"/>
      <c r="K305" s="72"/>
      <c r="L305" s="70">
        <f>(F305*L247+G305*L248)*E305</f>
        <v>0</v>
      </c>
      <c r="M305" s="70">
        <f>(F305*M247+G305*M248)*E305</f>
        <v>0</v>
      </c>
      <c r="N305" s="70">
        <f>(F305*N247+G305*N248)*E305</f>
        <v>0</v>
      </c>
      <c r="O305" s="70">
        <f>(F305*O247+G305*O248)*E305</f>
        <v>0</v>
      </c>
      <c r="P305" s="70">
        <f>(F305*P247+G305*P248)*E305</f>
        <v>0</v>
      </c>
      <c r="Q305" s="70">
        <f>(F305*Q247+G305*Q248)*E305</f>
        <v>0</v>
      </c>
      <c r="R305" s="70">
        <f>(F305*R247+G305*R248)*E305</f>
        <v>0</v>
      </c>
      <c r="S305" s="70">
        <f>(F305*S247+G305*S248)*E305</f>
        <v>0</v>
      </c>
      <c r="T305" s="70">
        <f>(F305*T247+G305*T248)*E305</f>
        <v>0</v>
      </c>
      <c r="U305" s="70">
        <f>(F305*U247+G305*U248)*E305</f>
        <v>0</v>
      </c>
      <c r="V305" s="70">
        <f>(F305*V247+G305*V248)*E305</f>
        <v>0</v>
      </c>
      <c r="W305" s="70">
        <f>(F305*W247+G305*W248)*E305</f>
        <v>0</v>
      </c>
      <c r="X305" s="70">
        <f>(F305*X247+G305*X248)*E305</f>
        <v>0</v>
      </c>
      <c r="Y305" s="70">
        <f>(F305*Y247+G305*Y248)*E305</f>
        <v>0</v>
      </c>
      <c r="Z305" s="70">
        <f>(F305*Z247+G305*Z248)*E305</f>
        <v>0</v>
      </c>
      <c r="AA305" s="70">
        <f>(F305*AA247+G305*AA248)*E305</f>
        <v>0</v>
      </c>
      <c r="AB305" s="70">
        <f>(F305*AB247+G305*AB248)*E305</f>
        <v>0</v>
      </c>
      <c r="AC305" s="70">
        <f>(F305*AC247+G305*AC248)*E305</f>
        <v>0</v>
      </c>
      <c r="AD305" s="70">
        <f>(F305*AD247+G305*AD248)*E305</f>
        <v>0</v>
      </c>
      <c r="AE305" s="70">
        <f>(F305*AE247+G305*AE248)*E305</f>
        <v>0</v>
      </c>
      <c r="AF305" s="70"/>
      <c r="AG305" s="70"/>
      <c r="AH305" s="70"/>
      <c r="AI305" s="70"/>
    </row>
    <row r="306" spans="1:35" x14ac:dyDescent="0.45">
      <c r="A306" s="70"/>
      <c r="B306" s="52"/>
      <c r="C306" s="52"/>
      <c r="D306" s="52" t="s">
        <v>1471</v>
      </c>
      <c r="E306" s="72">
        <f t="shared" si="71"/>
        <v>0.156</v>
      </c>
      <c r="F306" s="71">
        <f>E255</f>
        <v>0</v>
      </c>
      <c r="G306" s="71">
        <f>F255</f>
        <v>0</v>
      </c>
      <c r="H306" s="70"/>
      <c r="I306" s="70"/>
      <c r="J306" s="70"/>
      <c r="K306" s="72"/>
      <c r="L306" s="70">
        <f>(F306*L247+G306*L248)*E306</f>
        <v>0</v>
      </c>
      <c r="M306" s="70">
        <f>(F306*M247+G306*M248)*E306</f>
        <v>0</v>
      </c>
      <c r="N306" s="70">
        <f>(F306*N247+G306*N248)*E306</f>
        <v>0</v>
      </c>
      <c r="O306" s="70">
        <f>(F306*O247+G306*O248)*E306</f>
        <v>0</v>
      </c>
      <c r="P306" s="70">
        <f>(F306*P247+G306*P248)*E306</f>
        <v>0</v>
      </c>
      <c r="Q306" s="70">
        <f>(F306*Q247+G306*Q248)*E306</f>
        <v>0</v>
      </c>
      <c r="R306" s="70">
        <f>(F306*R247+G306*R248)*E306</f>
        <v>0</v>
      </c>
      <c r="S306" s="70">
        <f>(F306*S247+G306*S248)*E306</f>
        <v>0</v>
      </c>
      <c r="T306" s="70">
        <f>(F306*T247+G306*T248)*E306</f>
        <v>0</v>
      </c>
      <c r="U306" s="70">
        <f>(F306*U247+G306*U248)*E306</f>
        <v>0</v>
      </c>
      <c r="V306" s="70">
        <f>(F306*V247+G306*V248)*E306</f>
        <v>0</v>
      </c>
      <c r="W306" s="70">
        <f>(F306*W247+G306*W248)*E306</f>
        <v>0</v>
      </c>
      <c r="X306" s="70">
        <f>(F306*X247+G306*X248)*E306</f>
        <v>0</v>
      </c>
      <c r="Y306" s="70">
        <f>(F306*Y247+G306*Y248)*E306</f>
        <v>0</v>
      </c>
      <c r="Z306" s="70">
        <f>(F306*Z247+G306*Z248)*E306</f>
        <v>0</v>
      </c>
      <c r="AA306" s="70">
        <f>(F306*AA247+G306*AA248)*E306</f>
        <v>0</v>
      </c>
      <c r="AB306" s="70">
        <f>(F306*AB247+G306*AB248)*E306</f>
        <v>0</v>
      </c>
      <c r="AC306" s="70">
        <f>(F306*AC247+G306*AC248)*E306</f>
        <v>0</v>
      </c>
      <c r="AD306" s="70">
        <f>(F306*AD247+G306*AD248)*E306</f>
        <v>0</v>
      </c>
      <c r="AE306" s="70">
        <f>(F306*AE247+G306*AE248)*E306</f>
        <v>0</v>
      </c>
      <c r="AF306" s="70"/>
      <c r="AG306" s="70"/>
      <c r="AH306" s="70"/>
      <c r="AI306" s="70"/>
    </row>
    <row r="307" spans="1:35" x14ac:dyDescent="0.45">
      <c r="A307" s="70"/>
      <c r="B307" s="52"/>
      <c r="C307" s="52"/>
      <c r="D307" s="70"/>
      <c r="E307" s="70"/>
      <c r="F307" s="70"/>
      <c r="G307" s="70"/>
      <c r="H307" s="70"/>
      <c r="I307" s="70"/>
      <c r="J307" s="70"/>
      <c r="K307" s="72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</row>
    <row r="308" spans="1:35" x14ac:dyDescent="0.45">
      <c r="A308" s="71"/>
      <c r="B308" s="52"/>
      <c r="C308" s="70"/>
      <c r="D308" s="73" t="s">
        <v>1917</v>
      </c>
      <c r="E308" s="71" t="s">
        <v>1415</v>
      </c>
      <c r="F308" s="71" t="s">
        <v>26</v>
      </c>
      <c r="G308" s="86" t="str">
        <f>Settings!$B$3&amp;".mit.pptraj."&amp;$J$5</f>
        <v>egy.mit.pptraj.1</v>
      </c>
      <c r="H308" s="71"/>
      <c r="I308" s="71" t="s">
        <v>1918</v>
      </c>
      <c r="J308" s="71"/>
      <c r="K308" s="72"/>
      <c r="L308" s="71">
        <f>INDEX(Data_Prices!L:L,MATCH($G308,Data_Prices!$A:$A,0))</f>
        <v>0</v>
      </c>
      <c r="M308" s="71">
        <f>INDEX(Data_Prices!M:M,MATCH($G308,Data_Prices!$A:$A,0))</f>
        <v>0</v>
      </c>
      <c r="N308" s="71">
        <f>INDEX(Data_Prices!N:N,MATCH($G308,Data_Prices!$A:$A,0))</f>
        <v>0</v>
      </c>
      <c r="O308" s="71">
        <f>INDEX(Data_Prices!O:O,MATCH($G308,Data_Prices!$A:$A,0))</f>
        <v>0</v>
      </c>
      <c r="P308" s="71">
        <f>INDEX(Data_Prices!P:P,MATCH($G308,Data_Prices!$A:$A,0))</f>
        <v>0</v>
      </c>
      <c r="Q308" s="71">
        <f>INDEX(Data_Prices!Q:Q,MATCH($G308,Data_Prices!$A:$A,0))</f>
        <v>0</v>
      </c>
      <c r="R308" s="71">
        <f>INDEX(Data_Prices!R:R,MATCH($G308,Data_Prices!$A:$A,0))</f>
        <v>0</v>
      </c>
      <c r="S308" s="71">
        <f>INDEX(Data_Prices!S:S,MATCH($G308,Data_Prices!$A:$A,0))</f>
        <v>0</v>
      </c>
      <c r="T308" s="71">
        <f>INDEX(Data_Prices!T:T,MATCH($G308,Data_Prices!$A:$A,0))</f>
        <v>0</v>
      </c>
      <c r="U308" s="71">
        <f>INDEX(Data_Prices!U:U,MATCH($G308,Data_Prices!$A:$A,0))</f>
        <v>0</v>
      </c>
      <c r="V308" s="71">
        <f>INDEX(Data_Prices!V:V,MATCH($G308,Data_Prices!$A:$A,0))</f>
        <v>0</v>
      </c>
      <c r="W308" s="71">
        <f>INDEX(Data_Prices!W:W,MATCH($G308,Data_Prices!$A:$A,0))</f>
        <v>0</v>
      </c>
      <c r="X308" s="71">
        <f>INDEX(Data_Prices!X:X,MATCH($G308,Data_Prices!$A:$A,0))</f>
        <v>0</v>
      </c>
      <c r="Y308" s="71">
        <f>INDEX(Data_Prices!Y:Y,MATCH($G308,Data_Prices!$A:$A,0))</f>
        <v>0</v>
      </c>
      <c r="Z308" s="71">
        <f>INDEX(Data_Prices!Z:Z,MATCH($G308,Data_Prices!$A:$A,0))</f>
        <v>0</v>
      </c>
      <c r="AA308" s="71">
        <f>INDEX(Data_Prices!AA:AA,MATCH($G308,Data_Prices!$A:$A,0))</f>
        <v>0</v>
      </c>
      <c r="AB308" s="71">
        <f>INDEX(Data_Prices!AB:AB,MATCH($G308,Data_Prices!$A:$A,0))</f>
        <v>0</v>
      </c>
      <c r="AC308" s="71">
        <f>INDEX(Data_Prices!AC:AC,MATCH($G308,Data_Prices!$A:$A,0))</f>
        <v>0</v>
      </c>
      <c r="AD308" s="71">
        <f>INDEX(Data_Prices!AD:AD,MATCH($G308,Data_Prices!$A:$A,0))</f>
        <v>0</v>
      </c>
      <c r="AE308" s="71">
        <f>INDEX(Data_Prices!AE:AE,MATCH($G308,Data_Prices!$A:$A,0))</f>
        <v>0</v>
      </c>
      <c r="AF308" s="71"/>
      <c r="AG308" s="70"/>
      <c r="AH308" s="70"/>
      <c r="AI308" s="70"/>
    </row>
    <row r="309" spans="1:35" x14ac:dyDescent="0.45">
      <c r="A309" s="70"/>
      <c r="B309" s="52"/>
      <c r="C309" s="73" t="s">
        <v>1477</v>
      </c>
      <c r="D309" s="73"/>
      <c r="E309" s="72" t="s">
        <v>1897</v>
      </c>
      <c r="F309" s="70" t="s">
        <v>1478</v>
      </c>
      <c r="G309" s="70" t="s">
        <v>1479</v>
      </c>
      <c r="H309" s="71"/>
      <c r="I309" s="71"/>
      <c r="J309" s="71"/>
      <c r="K309" s="72"/>
      <c r="L309" s="74">
        <f t="shared" ref="L309:AE309" si="72">L298</f>
        <v>2022</v>
      </c>
      <c r="M309" s="74">
        <f t="shared" si="72"/>
        <v>2023</v>
      </c>
      <c r="N309" s="74">
        <f t="shared" si="72"/>
        <v>2024</v>
      </c>
      <c r="O309" s="74">
        <f t="shared" si="72"/>
        <v>2025</v>
      </c>
      <c r="P309" s="74">
        <f t="shared" si="72"/>
        <v>2026</v>
      </c>
      <c r="Q309" s="74">
        <f t="shared" si="72"/>
        <v>2027</v>
      </c>
      <c r="R309" s="74">
        <f t="shared" si="72"/>
        <v>2028</v>
      </c>
      <c r="S309" s="74">
        <f t="shared" si="72"/>
        <v>2029</v>
      </c>
      <c r="T309" s="74">
        <f t="shared" si="72"/>
        <v>2030</v>
      </c>
      <c r="U309" s="74">
        <f t="shared" si="72"/>
        <v>2031</v>
      </c>
      <c r="V309" s="74">
        <f t="shared" si="72"/>
        <v>2032</v>
      </c>
      <c r="W309" s="74">
        <f t="shared" si="72"/>
        <v>2033</v>
      </c>
      <c r="X309" s="74">
        <f t="shared" si="72"/>
        <v>2034</v>
      </c>
      <c r="Y309" s="74">
        <f t="shared" si="72"/>
        <v>2035</v>
      </c>
      <c r="Z309" s="74">
        <f t="shared" si="72"/>
        <v>2036</v>
      </c>
      <c r="AA309" s="74">
        <f t="shared" si="72"/>
        <v>2037</v>
      </c>
      <c r="AB309" s="74">
        <f t="shared" si="72"/>
        <v>2038</v>
      </c>
      <c r="AC309" s="74">
        <f t="shared" si="72"/>
        <v>2039</v>
      </c>
      <c r="AD309" s="74">
        <f t="shared" si="72"/>
        <v>2040</v>
      </c>
      <c r="AE309" s="74">
        <f t="shared" si="72"/>
        <v>2041</v>
      </c>
      <c r="AF309" s="74"/>
      <c r="AG309" s="70"/>
      <c r="AH309" s="70"/>
      <c r="AI309" s="70"/>
    </row>
    <row r="310" spans="1:35" x14ac:dyDescent="0.45">
      <c r="A310" s="70"/>
      <c r="B310" s="52"/>
      <c r="C310" s="52"/>
      <c r="D310" s="52" t="s">
        <v>1450</v>
      </c>
      <c r="E310" s="72">
        <f t="shared" ref="E310:E317" si="73">MAX($J264,0)*$J$273+MAX($K264,0)*$K$273</f>
        <v>0.04</v>
      </c>
      <c r="F310" s="71">
        <f>H254</f>
        <v>0</v>
      </c>
      <c r="G310" s="71">
        <f>I254</f>
        <v>0</v>
      </c>
      <c r="H310" s="70"/>
      <c r="I310" s="70"/>
      <c r="J310" s="70"/>
      <c r="K310" s="72"/>
      <c r="L310" s="81">
        <f t="shared" ref="L310:U317" si="74">($F310*L$308+$G310*L$248)*$E310</f>
        <v>0</v>
      </c>
      <c r="M310" s="81">
        <f t="shared" si="74"/>
        <v>0</v>
      </c>
      <c r="N310" s="81">
        <f t="shared" si="74"/>
        <v>0</v>
      </c>
      <c r="O310" s="81">
        <f t="shared" si="74"/>
        <v>0</v>
      </c>
      <c r="P310" s="81">
        <f t="shared" si="74"/>
        <v>0</v>
      </c>
      <c r="Q310" s="81">
        <f t="shared" si="74"/>
        <v>0</v>
      </c>
      <c r="R310" s="81">
        <f t="shared" si="74"/>
        <v>0</v>
      </c>
      <c r="S310" s="81">
        <f t="shared" si="74"/>
        <v>0</v>
      </c>
      <c r="T310" s="81">
        <f t="shared" si="74"/>
        <v>0</v>
      </c>
      <c r="U310" s="81">
        <f t="shared" si="74"/>
        <v>0</v>
      </c>
      <c r="V310" s="81">
        <f t="shared" ref="V310:AE317" si="75">($F310*V$308+$G310*V$248)*$E310</f>
        <v>0</v>
      </c>
      <c r="W310" s="81">
        <f t="shared" si="75"/>
        <v>0</v>
      </c>
      <c r="X310" s="81">
        <f t="shared" si="75"/>
        <v>0</v>
      </c>
      <c r="Y310" s="81">
        <f t="shared" si="75"/>
        <v>0</v>
      </c>
      <c r="Z310" s="81">
        <f t="shared" si="75"/>
        <v>0</v>
      </c>
      <c r="AA310" s="81">
        <f t="shared" si="75"/>
        <v>0</v>
      </c>
      <c r="AB310" s="81">
        <f t="shared" si="75"/>
        <v>0</v>
      </c>
      <c r="AC310" s="81">
        <f t="shared" si="75"/>
        <v>0</v>
      </c>
      <c r="AD310" s="81">
        <f t="shared" si="75"/>
        <v>0</v>
      </c>
      <c r="AE310" s="81">
        <f t="shared" si="75"/>
        <v>0</v>
      </c>
      <c r="AF310" s="70"/>
      <c r="AG310" s="70"/>
      <c r="AH310" s="70"/>
      <c r="AI310" s="70"/>
    </row>
    <row r="311" spans="1:35" x14ac:dyDescent="0.45">
      <c r="A311" s="70"/>
      <c r="B311" s="52"/>
      <c r="C311" s="52"/>
      <c r="D311" s="52" t="s">
        <v>1453</v>
      </c>
      <c r="E311" s="72">
        <f t="shared" si="73"/>
        <v>1.4999999999999999E-2</v>
      </c>
      <c r="F311" s="71">
        <f>H254</f>
        <v>0</v>
      </c>
      <c r="G311" s="71">
        <f>I254</f>
        <v>0</v>
      </c>
      <c r="H311" s="70"/>
      <c r="I311" s="70"/>
      <c r="J311" s="70"/>
      <c r="K311" s="72"/>
      <c r="L311" s="81">
        <f t="shared" si="74"/>
        <v>0</v>
      </c>
      <c r="M311" s="81">
        <f t="shared" si="74"/>
        <v>0</v>
      </c>
      <c r="N311" s="81">
        <f t="shared" si="74"/>
        <v>0</v>
      </c>
      <c r="O311" s="81">
        <f t="shared" si="74"/>
        <v>0</v>
      </c>
      <c r="P311" s="81">
        <f t="shared" si="74"/>
        <v>0</v>
      </c>
      <c r="Q311" s="81">
        <f t="shared" si="74"/>
        <v>0</v>
      </c>
      <c r="R311" s="81">
        <f t="shared" si="74"/>
        <v>0</v>
      </c>
      <c r="S311" s="81">
        <f t="shared" si="74"/>
        <v>0</v>
      </c>
      <c r="T311" s="81">
        <f t="shared" si="74"/>
        <v>0</v>
      </c>
      <c r="U311" s="81">
        <f t="shared" si="74"/>
        <v>0</v>
      </c>
      <c r="V311" s="81">
        <f t="shared" si="75"/>
        <v>0</v>
      </c>
      <c r="W311" s="81">
        <f t="shared" si="75"/>
        <v>0</v>
      </c>
      <c r="X311" s="81">
        <f t="shared" si="75"/>
        <v>0</v>
      </c>
      <c r="Y311" s="81">
        <f t="shared" si="75"/>
        <v>0</v>
      </c>
      <c r="Z311" s="81">
        <f t="shared" si="75"/>
        <v>0</v>
      </c>
      <c r="AA311" s="81">
        <f t="shared" si="75"/>
        <v>0</v>
      </c>
      <c r="AB311" s="81">
        <f t="shared" si="75"/>
        <v>0</v>
      </c>
      <c r="AC311" s="81">
        <f t="shared" si="75"/>
        <v>0</v>
      </c>
      <c r="AD311" s="81">
        <f t="shared" si="75"/>
        <v>0</v>
      </c>
      <c r="AE311" s="81">
        <f t="shared" si="75"/>
        <v>0</v>
      </c>
      <c r="AF311" s="70"/>
      <c r="AG311" s="70"/>
      <c r="AH311" s="70"/>
      <c r="AI311" s="70"/>
    </row>
    <row r="312" spans="1:35" x14ac:dyDescent="0.45">
      <c r="A312" s="70"/>
      <c r="B312" s="52"/>
      <c r="C312" s="52"/>
      <c r="D312" s="52" t="s">
        <v>1456</v>
      </c>
      <c r="E312" s="72">
        <f t="shared" si="73"/>
        <v>0.25</v>
      </c>
      <c r="F312" s="71">
        <f>H254</f>
        <v>0</v>
      </c>
      <c r="G312" s="71">
        <f>I254</f>
        <v>0</v>
      </c>
      <c r="H312" s="70"/>
      <c r="I312" s="70"/>
      <c r="J312" s="70"/>
      <c r="K312" s="72"/>
      <c r="L312" s="81">
        <f t="shared" si="74"/>
        <v>0</v>
      </c>
      <c r="M312" s="81">
        <f t="shared" si="74"/>
        <v>0</v>
      </c>
      <c r="N312" s="81">
        <f t="shared" si="74"/>
        <v>0</v>
      </c>
      <c r="O312" s="81">
        <f t="shared" si="74"/>
        <v>0</v>
      </c>
      <c r="P312" s="81">
        <f t="shared" si="74"/>
        <v>0</v>
      </c>
      <c r="Q312" s="81">
        <f t="shared" si="74"/>
        <v>0</v>
      </c>
      <c r="R312" s="81">
        <f t="shared" si="74"/>
        <v>0</v>
      </c>
      <c r="S312" s="81">
        <f t="shared" si="74"/>
        <v>0</v>
      </c>
      <c r="T312" s="81">
        <f t="shared" si="74"/>
        <v>0</v>
      </c>
      <c r="U312" s="81">
        <f t="shared" si="74"/>
        <v>0</v>
      </c>
      <c r="V312" s="81">
        <f t="shared" si="75"/>
        <v>0</v>
      </c>
      <c r="W312" s="81">
        <f t="shared" si="75"/>
        <v>0</v>
      </c>
      <c r="X312" s="81">
        <f t="shared" si="75"/>
        <v>0</v>
      </c>
      <c r="Y312" s="81">
        <f t="shared" si="75"/>
        <v>0</v>
      </c>
      <c r="Z312" s="81">
        <f t="shared" si="75"/>
        <v>0</v>
      </c>
      <c r="AA312" s="81">
        <f t="shared" si="75"/>
        <v>0</v>
      </c>
      <c r="AB312" s="81">
        <f t="shared" si="75"/>
        <v>0</v>
      </c>
      <c r="AC312" s="81">
        <f t="shared" si="75"/>
        <v>0</v>
      </c>
      <c r="AD312" s="81">
        <f t="shared" si="75"/>
        <v>0</v>
      </c>
      <c r="AE312" s="81">
        <f t="shared" si="75"/>
        <v>0</v>
      </c>
      <c r="AF312" s="70"/>
      <c r="AG312" s="70"/>
      <c r="AH312" s="70"/>
      <c r="AI312" s="70"/>
    </row>
    <row r="313" spans="1:35" x14ac:dyDescent="0.45">
      <c r="A313" s="70"/>
      <c r="B313" s="52"/>
      <c r="C313" s="52"/>
      <c r="D313" s="52" t="s">
        <v>1459</v>
      </c>
      <c r="E313" s="72">
        <f t="shared" si="73"/>
        <v>0.52600000000000002</v>
      </c>
      <c r="F313" s="71">
        <f>H257</f>
        <v>0</v>
      </c>
      <c r="G313" s="71">
        <f>I257</f>
        <v>0</v>
      </c>
      <c r="H313" s="70"/>
      <c r="I313" s="70"/>
      <c r="J313" s="70"/>
      <c r="K313" s="72"/>
      <c r="L313" s="81">
        <f t="shared" si="74"/>
        <v>0</v>
      </c>
      <c r="M313" s="81">
        <f t="shared" si="74"/>
        <v>0</v>
      </c>
      <c r="N313" s="81">
        <f t="shared" si="74"/>
        <v>0</v>
      </c>
      <c r="O313" s="81">
        <f t="shared" si="74"/>
        <v>0</v>
      </c>
      <c r="P313" s="81">
        <f t="shared" si="74"/>
        <v>0</v>
      </c>
      <c r="Q313" s="81">
        <f t="shared" si="74"/>
        <v>0</v>
      </c>
      <c r="R313" s="81">
        <f t="shared" si="74"/>
        <v>0</v>
      </c>
      <c r="S313" s="81">
        <f t="shared" si="74"/>
        <v>0</v>
      </c>
      <c r="T313" s="81">
        <f t="shared" si="74"/>
        <v>0</v>
      </c>
      <c r="U313" s="81">
        <f t="shared" si="74"/>
        <v>0</v>
      </c>
      <c r="V313" s="81">
        <f t="shared" si="75"/>
        <v>0</v>
      </c>
      <c r="W313" s="81">
        <f t="shared" si="75"/>
        <v>0</v>
      </c>
      <c r="X313" s="81">
        <f t="shared" si="75"/>
        <v>0</v>
      </c>
      <c r="Y313" s="81">
        <f t="shared" si="75"/>
        <v>0</v>
      </c>
      <c r="Z313" s="81">
        <f t="shared" si="75"/>
        <v>0</v>
      </c>
      <c r="AA313" s="81">
        <f t="shared" si="75"/>
        <v>0</v>
      </c>
      <c r="AB313" s="81">
        <f t="shared" si="75"/>
        <v>0</v>
      </c>
      <c r="AC313" s="81">
        <f t="shared" si="75"/>
        <v>0</v>
      </c>
      <c r="AD313" s="81">
        <f t="shared" si="75"/>
        <v>0</v>
      </c>
      <c r="AE313" s="81">
        <f t="shared" si="75"/>
        <v>0</v>
      </c>
      <c r="AF313" s="70"/>
      <c r="AG313" s="70"/>
      <c r="AH313" s="70"/>
      <c r="AI313" s="70"/>
    </row>
    <row r="314" spans="1:35" x14ac:dyDescent="0.45">
      <c r="A314" s="70"/>
      <c r="B314" s="52"/>
      <c r="C314" s="52"/>
      <c r="D314" s="52" t="s">
        <v>1462</v>
      </c>
      <c r="E314" s="72">
        <f t="shared" si="73"/>
        <v>0</v>
      </c>
      <c r="F314" s="71">
        <f>H253</f>
        <v>0</v>
      </c>
      <c r="G314" s="71">
        <f>I253</f>
        <v>0</v>
      </c>
      <c r="H314" s="70"/>
      <c r="I314" s="70"/>
      <c r="J314" s="70"/>
      <c r="K314" s="72"/>
      <c r="L314" s="81">
        <f t="shared" si="74"/>
        <v>0</v>
      </c>
      <c r="M314" s="81">
        <f t="shared" si="74"/>
        <v>0</v>
      </c>
      <c r="N314" s="81">
        <f t="shared" si="74"/>
        <v>0</v>
      </c>
      <c r="O314" s="81">
        <f t="shared" si="74"/>
        <v>0</v>
      </c>
      <c r="P314" s="81">
        <f t="shared" si="74"/>
        <v>0</v>
      </c>
      <c r="Q314" s="81">
        <f t="shared" si="74"/>
        <v>0</v>
      </c>
      <c r="R314" s="81">
        <f t="shared" si="74"/>
        <v>0</v>
      </c>
      <c r="S314" s="81">
        <f t="shared" si="74"/>
        <v>0</v>
      </c>
      <c r="T314" s="81">
        <f t="shared" si="74"/>
        <v>0</v>
      </c>
      <c r="U314" s="81">
        <f t="shared" si="74"/>
        <v>0</v>
      </c>
      <c r="V314" s="81">
        <f t="shared" si="75"/>
        <v>0</v>
      </c>
      <c r="W314" s="81">
        <f t="shared" si="75"/>
        <v>0</v>
      </c>
      <c r="X314" s="81">
        <f t="shared" si="75"/>
        <v>0</v>
      </c>
      <c r="Y314" s="81">
        <f t="shared" si="75"/>
        <v>0</v>
      </c>
      <c r="Z314" s="81">
        <f t="shared" si="75"/>
        <v>0</v>
      </c>
      <c r="AA314" s="81">
        <f t="shared" si="75"/>
        <v>0</v>
      </c>
      <c r="AB314" s="81">
        <f t="shared" si="75"/>
        <v>0</v>
      </c>
      <c r="AC314" s="81">
        <f t="shared" si="75"/>
        <v>0</v>
      </c>
      <c r="AD314" s="81">
        <f t="shared" si="75"/>
        <v>0</v>
      </c>
      <c r="AE314" s="81">
        <f t="shared" si="75"/>
        <v>0</v>
      </c>
      <c r="AF314" s="70"/>
      <c r="AG314" s="70"/>
      <c r="AH314" s="70"/>
      <c r="AI314" s="70"/>
    </row>
    <row r="315" spans="1:35" x14ac:dyDescent="0.45">
      <c r="A315" s="70"/>
      <c r="B315" s="52"/>
      <c r="C315" s="52"/>
      <c r="D315" s="52" t="s">
        <v>1465</v>
      </c>
      <c r="E315" s="72">
        <f t="shared" si="73"/>
        <v>0</v>
      </c>
      <c r="F315" s="71">
        <f>H253</f>
        <v>0</v>
      </c>
      <c r="G315" s="71">
        <f>I253</f>
        <v>0</v>
      </c>
      <c r="H315" s="70"/>
      <c r="I315" s="70"/>
      <c r="J315" s="70"/>
      <c r="K315" s="72"/>
      <c r="L315" s="81">
        <f t="shared" si="74"/>
        <v>0</v>
      </c>
      <c r="M315" s="81">
        <f t="shared" si="74"/>
        <v>0</v>
      </c>
      <c r="N315" s="81">
        <f t="shared" si="74"/>
        <v>0</v>
      </c>
      <c r="O315" s="81">
        <f t="shared" si="74"/>
        <v>0</v>
      </c>
      <c r="P315" s="81">
        <f t="shared" si="74"/>
        <v>0</v>
      </c>
      <c r="Q315" s="81">
        <f t="shared" si="74"/>
        <v>0</v>
      </c>
      <c r="R315" s="81">
        <f t="shared" si="74"/>
        <v>0</v>
      </c>
      <c r="S315" s="81">
        <f t="shared" si="74"/>
        <v>0</v>
      </c>
      <c r="T315" s="81">
        <f t="shared" si="74"/>
        <v>0</v>
      </c>
      <c r="U315" s="81">
        <f t="shared" si="74"/>
        <v>0</v>
      </c>
      <c r="V315" s="81">
        <f t="shared" si="75"/>
        <v>0</v>
      </c>
      <c r="W315" s="81">
        <f t="shared" si="75"/>
        <v>0</v>
      </c>
      <c r="X315" s="81">
        <f t="shared" si="75"/>
        <v>0</v>
      </c>
      <c r="Y315" s="81">
        <f t="shared" si="75"/>
        <v>0</v>
      </c>
      <c r="Z315" s="81">
        <f t="shared" si="75"/>
        <v>0</v>
      </c>
      <c r="AA315" s="81">
        <f t="shared" si="75"/>
        <v>0</v>
      </c>
      <c r="AB315" s="81">
        <f t="shared" si="75"/>
        <v>0</v>
      </c>
      <c r="AC315" s="81">
        <f t="shared" si="75"/>
        <v>0</v>
      </c>
      <c r="AD315" s="81">
        <f t="shared" si="75"/>
        <v>0</v>
      </c>
      <c r="AE315" s="81">
        <f t="shared" si="75"/>
        <v>0</v>
      </c>
      <c r="AF315" s="70"/>
      <c r="AG315" s="70"/>
      <c r="AH315" s="70"/>
      <c r="AI315" s="70"/>
    </row>
    <row r="316" spans="1:35" x14ac:dyDescent="0.45">
      <c r="A316" s="70"/>
      <c r="B316" s="52"/>
      <c r="C316" s="52"/>
      <c r="D316" s="52" t="s">
        <v>1468</v>
      </c>
      <c r="E316" s="72">
        <f t="shared" si="73"/>
        <v>0.97</v>
      </c>
      <c r="F316" s="71">
        <f>H253</f>
        <v>0</v>
      </c>
      <c r="G316" s="71">
        <f>I253</f>
        <v>0</v>
      </c>
      <c r="H316" s="70"/>
      <c r="I316" s="70"/>
      <c r="J316" s="70"/>
      <c r="K316" s="72"/>
      <c r="L316" s="81">
        <f t="shared" si="74"/>
        <v>0</v>
      </c>
      <c r="M316" s="81">
        <f t="shared" si="74"/>
        <v>0</v>
      </c>
      <c r="N316" s="81">
        <f t="shared" si="74"/>
        <v>0</v>
      </c>
      <c r="O316" s="81">
        <f t="shared" si="74"/>
        <v>0</v>
      </c>
      <c r="P316" s="81">
        <f t="shared" si="74"/>
        <v>0</v>
      </c>
      <c r="Q316" s="81">
        <f t="shared" si="74"/>
        <v>0</v>
      </c>
      <c r="R316" s="81">
        <f t="shared" si="74"/>
        <v>0</v>
      </c>
      <c r="S316" s="81">
        <f t="shared" si="74"/>
        <v>0</v>
      </c>
      <c r="T316" s="81">
        <f t="shared" si="74"/>
        <v>0</v>
      </c>
      <c r="U316" s="81">
        <f t="shared" si="74"/>
        <v>0</v>
      </c>
      <c r="V316" s="81">
        <f t="shared" si="75"/>
        <v>0</v>
      </c>
      <c r="W316" s="81">
        <f t="shared" si="75"/>
        <v>0</v>
      </c>
      <c r="X316" s="81">
        <f t="shared" si="75"/>
        <v>0</v>
      </c>
      <c r="Y316" s="81">
        <f t="shared" si="75"/>
        <v>0</v>
      </c>
      <c r="Z316" s="81">
        <f t="shared" si="75"/>
        <v>0</v>
      </c>
      <c r="AA316" s="81">
        <f t="shared" si="75"/>
        <v>0</v>
      </c>
      <c r="AB316" s="81">
        <f t="shared" si="75"/>
        <v>0</v>
      </c>
      <c r="AC316" s="81">
        <f t="shared" si="75"/>
        <v>0</v>
      </c>
      <c r="AD316" s="81">
        <f t="shared" si="75"/>
        <v>0</v>
      </c>
      <c r="AE316" s="81">
        <f t="shared" si="75"/>
        <v>0</v>
      </c>
      <c r="AF316" s="70"/>
      <c r="AG316" s="70"/>
      <c r="AH316" s="70"/>
      <c r="AI316" s="70"/>
    </row>
    <row r="317" spans="1:35" x14ac:dyDescent="0.45">
      <c r="A317" s="70"/>
      <c r="B317" s="52"/>
      <c r="C317" s="52"/>
      <c r="D317" s="52" t="s">
        <v>1471</v>
      </c>
      <c r="E317" s="72">
        <f t="shared" si="73"/>
        <v>2.35</v>
      </c>
      <c r="F317" s="71">
        <f>H255</f>
        <v>0</v>
      </c>
      <c r="G317" s="71">
        <f>I255</f>
        <v>0</v>
      </c>
      <c r="H317" s="70"/>
      <c r="I317" s="70"/>
      <c r="J317" s="70"/>
      <c r="K317" s="72"/>
      <c r="L317" s="81">
        <f t="shared" si="74"/>
        <v>0</v>
      </c>
      <c r="M317" s="81">
        <f t="shared" si="74"/>
        <v>0</v>
      </c>
      <c r="N317" s="81">
        <f t="shared" si="74"/>
        <v>0</v>
      </c>
      <c r="O317" s="81">
        <f t="shared" si="74"/>
        <v>0</v>
      </c>
      <c r="P317" s="81">
        <f t="shared" si="74"/>
        <v>0</v>
      </c>
      <c r="Q317" s="81">
        <f t="shared" si="74"/>
        <v>0</v>
      </c>
      <c r="R317" s="81">
        <f t="shared" si="74"/>
        <v>0</v>
      </c>
      <c r="S317" s="81">
        <f t="shared" si="74"/>
        <v>0</v>
      </c>
      <c r="T317" s="81">
        <f t="shared" si="74"/>
        <v>0</v>
      </c>
      <c r="U317" s="81">
        <f t="shared" si="74"/>
        <v>0</v>
      </c>
      <c r="V317" s="81">
        <f t="shared" si="75"/>
        <v>0</v>
      </c>
      <c r="W317" s="81">
        <f t="shared" si="75"/>
        <v>0</v>
      </c>
      <c r="X317" s="81">
        <f t="shared" si="75"/>
        <v>0</v>
      </c>
      <c r="Y317" s="81">
        <f t="shared" si="75"/>
        <v>0</v>
      </c>
      <c r="Z317" s="81">
        <f t="shared" si="75"/>
        <v>0</v>
      </c>
      <c r="AA317" s="81">
        <f t="shared" si="75"/>
        <v>0</v>
      </c>
      <c r="AB317" s="81">
        <f t="shared" si="75"/>
        <v>0</v>
      </c>
      <c r="AC317" s="81">
        <f t="shared" si="75"/>
        <v>0</v>
      </c>
      <c r="AD317" s="81">
        <f t="shared" si="75"/>
        <v>0</v>
      </c>
      <c r="AE317" s="81">
        <f t="shared" si="75"/>
        <v>0</v>
      </c>
      <c r="AF317" s="70"/>
      <c r="AG317" s="70"/>
      <c r="AH317" s="70"/>
      <c r="AI317" s="70"/>
    </row>
    <row r="318" spans="1:35" x14ac:dyDescent="0.45">
      <c r="A318" s="70"/>
      <c r="B318" s="52"/>
      <c r="C318" s="52"/>
      <c r="D318" s="52"/>
      <c r="E318" s="70"/>
      <c r="F318" s="70"/>
      <c r="G318" s="70"/>
      <c r="H318" s="70"/>
      <c r="I318" s="70"/>
      <c r="J318" s="70"/>
      <c r="K318" s="72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</row>
    <row r="319" spans="1:35" x14ac:dyDescent="0.45">
      <c r="A319" s="70"/>
      <c r="B319" s="52"/>
      <c r="C319" s="73" t="s">
        <v>1480</v>
      </c>
      <c r="D319" s="73"/>
      <c r="E319" s="71"/>
      <c r="F319" s="71"/>
      <c r="G319" s="71"/>
      <c r="H319" s="71"/>
      <c r="I319" s="71"/>
      <c r="J319" s="71"/>
      <c r="K319" s="72"/>
      <c r="L319" s="74">
        <f t="shared" ref="L319:AE319" si="76">L309</f>
        <v>2022</v>
      </c>
      <c r="M319" s="74">
        <f t="shared" si="76"/>
        <v>2023</v>
      </c>
      <c r="N319" s="74">
        <f t="shared" si="76"/>
        <v>2024</v>
      </c>
      <c r="O319" s="74">
        <f t="shared" si="76"/>
        <v>2025</v>
      </c>
      <c r="P319" s="74">
        <f t="shared" si="76"/>
        <v>2026</v>
      </c>
      <c r="Q319" s="74">
        <f t="shared" si="76"/>
        <v>2027</v>
      </c>
      <c r="R319" s="74">
        <f t="shared" si="76"/>
        <v>2028</v>
      </c>
      <c r="S319" s="74">
        <f t="shared" si="76"/>
        <v>2029</v>
      </c>
      <c r="T319" s="74">
        <f t="shared" si="76"/>
        <v>2030</v>
      </c>
      <c r="U319" s="74">
        <f t="shared" si="76"/>
        <v>2031</v>
      </c>
      <c r="V319" s="74">
        <f t="shared" si="76"/>
        <v>2032</v>
      </c>
      <c r="W319" s="74">
        <f t="shared" si="76"/>
        <v>2033</v>
      </c>
      <c r="X319" s="74">
        <f t="shared" si="76"/>
        <v>2034</v>
      </c>
      <c r="Y319" s="74">
        <f t="shared" si="76"/>
        <v>2035</v>
      </c>
      <c r="Z319" s="74">
        <f t="shared" si="76"/>
        <v>2036</v>
      </c>
      <c r="AA319" s="74">
        <f t="shared" si="76"/>
        <v>2037</v>
      </c>
      <c r="AB319" s="74">
        <f t="shared" si="76"/>
        <v>2038</v>
      </c>
      <c r="AC319" s="74">
        <f t="shared" si="76"/>
        <v>2039</v>
      </c>
      <c r="AD319" s="74">
        <f t="shared" si="76"/>
        <v>2040</v>
      </c>
      <c r="AE319" s="74">
        <f t="shared" si="76"/>
        <v>2041</v>
      </c>
      <c r="AF319" s="74"/>
      <c r="AG319" s="70"/>
      <c r="AH319" s="70"/>
      <c r="AI319" s="70"/>
    </row>
    <row r="320" spans="1:35" x14ac:dyDescent="0.45">
      <c r="A320" s="70"/>
      <c r="B320" s="52"/>
      <c r="C320" s="52"/>
      <c r="D320" s="52" t="s">
        <v>1450</v>
      </c>
      <c r="E320" s="70"/>
      <c r="F320" s="70"/>
      <c r="G320" s="70"/>
      <c r="H320" s="70"/>
      <c r="I320" s="70"/>
      <c r="J320" s="70"/>
      <c r="K320" s="72"/>
      <c r="L320" s="78">
        <f t="shared" ref="L320:AE320" si="77">(L310+L299)/L288</f>
        <v>0</v>
      </c>
      <c r="M320" s="78">
        <f t="shared" si="77"/>
        <v>0</v>
      </c>
      <c r="N320" s="78">
        <f t="shared" si="77"/>
        <v>0</v>
      </c>
      <c r="O320" s="78">
        <f t="shared" si="77"/>
        <v>0</v>
      </c>
      <c r="P320" s="78">
        <f t="shared" si="77"/>
        <v>0</v>
      </c>
      <c r="Q320" s="78">
        <f t="shared" si="77"/>
        <v>0</v>
      </c>
      <c r="R320" s="78">
        <f t="shared" si="77"/>
        <v>0</v>
      </c>
      <c r="S320" s="78">
        <f t="shared" si="77"/>
        <v>0</v>
      </c>
      <c r="T320" s="78">
        <f t="shared" si="77"/>
        <v>0</v>
      </c>
      <c r="U320" s="78">
        <f t="shared" si="77"/>
        <v>0</v>
      </c>
      <c r="V320" s="78">
        <f t="shared" si="77"/>
        <v>0</v>
      </c>
      <c r="W320" s="78">
        <f t="shared" si="77"/>
        <v>0</v>
      </c>
      <c r="X320" s="78">
        <f t="shared" si="77"/>
        <v>0</v>
      </c>
      <c r="Y320" s="78">
        <f t="shared" si="77"/>
        <v>0</v>
      </c>
      <c r="Z320" s="78">
        <f t="shared" si="77"/>
        <v>0</v>
      </c>
      <c r="AA320" s="78">
        <f t="shared" si="77"/>
        <v>0</v>
      </c>
      <c r="AB320" s="78">
        <f t="shared" si="77"/>
        <v>0</v>
      </c>
      <c r="AC320" s="78">
        <f t="shared" si="77"/>
        <v>0</v>
      </c>
      <c r="AD320" s="78">
        <f t="shared" si="77"/>
        <v>0</v>
      </c>
      <c r="AE320" s="78">
        <f t="shared" si="77"/>
        <v>0</v>
      </c>
      <c r="AF320" s="70"/>
      <c r="AG320" s="70"/>
      <c r="AH320" s="70"/>
      <c r="AI320" s="70"/>
    </row>
    <row r="321" spans="1:35" x14ac:dyDescent="0.45">
      <c r="A321" s="70"/>
      <c r="B321" s="52"/>
      <c r="C321" s="52"/>
      <c r="D321" s="52" t="s">
        <v>1453</v>
      </c>
      <c r="E321" s="70"/>
      <c r="F321" s="70"/>
      <c r="G321" s="70"/>
      <c r="H321" s="70"/>
      <c r="I321" s="70"/>
      <c r="J321" s="70"/>
      <c r="K321" s="72"/>
      <c r="L321" s="78">
        <f t="shared" ref="L321:AE321" si="78">(L311+L300)/L289</f>
        <v>0</v>
      </c>
      <c r="M321" s="78">
        <f t="shared" si="78"/>
        <v>0</v>
      </c>
      <c r="N321" s="78">
        <f t="shared" si="78"/>
        <v>0</v>
      </c>
      <c r="O321" s="78">
        <f t="shared" si="78"/>
        <v>0</v>
      </c>
      <c r="P321" s="78">
        <f t="shared" si="78"/>
        <v>0</v>
      </c>
      <c r="Q321" s="78">
        <f t="shared" si="78"/>
        <v>0</v>
      </c>
      <c r="R321" s="78">
        <f t="shared" si="78"/>
        <v>0</v>
      </c>
      <c r="S321" s="78">
        <f t="shared" si="78"/>
        <v>0</v>
      </c>
      <c r="T321" s="78">
        <f t="shared" si="78"/>
        <v>0</v>
      </c>
      <c r="U321" s="78">
        <f t="shared" si="78"/>
        <v>0</v>
      </c>
      <c r="V321" s="78">
        <f t="shared" si="78"/>
        <v>0</v>
      </c>
      <c r="W321" s="78">
        <f t="shared" si="78"/>
        <v>0</v>
      </c>
      <c r="X321" s="78">
        <f t="shared" si="78"/>
        <v>0</v>
      </c>
      <c r="Y321" s="78">
        <f t="shared" si="78"/>
        <v>0</v>
      </c>
      <c r="Z321" s="78">
        <f t="shared" si="78"/>
        <v>0</v>
      </c>
      <c r="AA321" s="78">
        <f t="shared" si="78"/>
        <v>0</v>
      </c>
      <c r="AB321" s="78">
        <f t="shared" si="78"/>
        <v>0</v>
      </c>
      <c r="AC321" s="78">
        <f t="shared" si="78"/>
        <v>0</v>
      </c>
      <c r="AD321" s="78">
        <f t="shared" si="78"/>
        <v>0</v>
      </c>
      <c r="AE321" s="78">
        <f t="shared" si="78"/>
        <v>0</v>
      </c>
      <c r="AF321" s="70"/>
      <c r="AG321" s="70"/>
      <c r="AH321" s="70"/>
      <c r="AI321" s="70"/>
    </row>
    <row r="322" spans="1:35" x14ac:dyDescent="0.45">
      <c r="A322" s="70"/>
      <c r="B322" s="52"/>
      <c r="C322" s="52"/>
      <c r="D322" s="52" t="s">
        <v>1456</v>
      </c>
      <c r="E322" s="70"/>
      <c r="F322" s="70"/>
      <c r="G322" s="70"/>
      <c r="H322" s="70"/>
      <c r="I322" s="70"/>
      <c r="J322" s="70"/>
      <c r="K322" s="72"/>
      <c r="L322" s="78">
        <f t="shared" ref="L322:AE322" si="79">(L312+L301)/L290</f>
        <v>0</v>
      </c>
      <c r="M322" s="78">
        <f t="shared" si="79"/>
        <v>0</v>
      </c>
      <c r="N322" s="78">
        <f t="shared" si="79"/>
        <v>0</v>
      </c>
      <c r="O322" s="78">
        <f t="shared" si="79"/>
        <v>0</v>
      </c>
      <c r="P322" s="78">
        <f t="shared" si="79"/>
        <v>0</v>
      </c>
      <c r="Q322" s="78">
        <f t="shared" si="79"/>
        <v>0</v>
      </c>
      <c r="R322" s="78">
        <f t="shared" si="79"/>
        <v>0</v>
      </c>
      <c r="S322" s="78">
        <f t="shared" si="79"/>
        <v>0</v>
      </c>
      <c r="T322" s="78">
        <f t="shared" si="79"/>
        <v>0</v>
      </c>
      <c r="U322" s="78">
        <f t="shared" si="79"/>
        <v>0</v>
      </c>
      <c r="V322" s="78">
        <f t="shared" si="79"/>
        <v>0</v>
      </c>
      <c r="W322" s="78">
        <f t="shared" si="79"/>
        <v>0</v>
      </c>
      <c r="X322" s="78">
        <f t="shared" si="79"/>
        <v>0</v>
      </c>
      <c r="Y322" s="78">
        <f t="shared" si="79"/>
        <v>0</v>
      </c>
      <c r="Z322" s="78">
        <f t="shared" si="79"/>
        <v>0</v>
      </c>
      <c r="AA322" s="78">
        <f t="shared" si="79"/>
        <v>0</v>
      </c>
      <c r="AB322" s="78">
        <f t="shared" si="79"/>
        <v>0</v>
      </c>
      <c r="AC322" s="78">
        <f t="shared" si="79"/>
        <v>0</v>
      </c>
      <c r="AD322" s="78">
        <f t="shared" si="79"/>
        <v>0</v>
      </c>
      <c r="AE322" s="78">
        <f t="shared" si="79"/>
        <v>0</v>
      </c>
      <c r="AF322" s="70"/>
      <c r="AG322" s="70"/>
      <c r="AH322" s="70"/>
      <c r="AI322" s="70"/>
    </row>
    <row r="323" spans="1:35" x14ac:dyDescent="0.45">
      <c r="A323" s="70"/>
      <c r="B323" s="52"/>
      <c r="C323" s="52"/>
      <c r="D323" s="52" t="s">
        <v>1459</v>
      </c>
      <c r="E323" s="70"/>
      <c r="F323" s="70"/>
      <c r="G323" s="70"/>
      <c r="H323" s="70"/>
      <c r="I323" s="70"/>
      <c r="J323" s="70"/>
      <c r="K323" s="72"/>
      <c r="L323" s="78">
        <f t="shared" ref="L323:AE323" si="80">(L313+L302)/L291</f>
        <v>0</v>
      </c>
      <c r="M323" s="78">
        <f t="shared" si="80"/>
        <v>0</v>
      </c>
      <c r="N323" s="78">
        <f t="shared" si="80"/>
        <v>0</v>
      </c>
      <c r="O323" s="78">
        <f t="shared" si="80"/>
        <v>0</v>
      </c>
      <c r="P323" s="78">
        <f t="shared" si="80"/>
        <v>0</v>
      </c>
      <c r="Q323" s="78">
        <f t="shared" si="80"/>
        <v>0</v>
      </c>
      <c r="R323" s="78">
        <f t="shared" si="80"/>
        <v>0</v>
      </c>
      <c r="S323" s="78">
        <f t="shared" si="80"/>
        <v>0</v>
      </c>
      <c r="T323" s="78">
        <f t="shared" si="80"/>
        <v>0</v>
      </c>
      <c r="U323" s="78">
        <f t="shared" si="80"/>
        <v>0</v>
      </c>
      <c r="V323" s="78">
        <f t="shared" si="80"/>
        <v>0</v>
      </c>
      <c r="W323" s="78">
        <f t="shared" si="80"/>
        <v>0</v>
      </c>
      <c r="X323" s="78">
        <f t="shared" si="80"/>
        <v>0</v>
      </c>
      <c r="Y323" s="78">
        <f t="shared" si="80"/>
        <v>0</v>
      </c>
      <c r="Z323" s="78">
        <f t="shared" si="80"/>
        <v>0</v>
      </c>
      <c r="AA323" s="78">
        <f t="shared" si="80"/>
        <v>0</v>
      </c>
      <c r="AB323" s="78">
        <f t="shared" si="80"/>
        <v>0</v>
      </c>
      <c r="AC323" s="78">
        <f t="shared" si="80"/>
        <v>0</v>
      </c>
      <c r="AD323" s="78">
        <f t="shared" si="80"/>
        <v>0</v>
      </c>
      <c r="AE323" s="78">
        <f t="shared" si="80"/>
        <v>0</v>
      </c>
      <c r="AF323" s="70"/>
      <c r="AG323" s="70"/>
      <c r="AH323" s="70"/>
      <c r="AI323" s="70"/>
    </row>
    <row r="324" spans="1:35" x14ac:dyDescent="0.45">
      <c r="A324" s="70"/>
      <c r="B324" s="52"/>
      <c r="C324" s="52"/>
      <c r="D324" s="52" t="s">
        <v>1462</v>
      </c>
      <c r="E324" s="70"/>
      <c r="F324" s="70"/>
      <c r="G324" s="70"/>
      <c r="H324" s="70"/>
      <c r="I324" s="70"/>
      <c r="J324" s="70"/>
      <c r="K324" s="72"/>
      <c r="L324" s="78">
        <f t="shared" ref="L324:AE324" si="81">(L314+L303)/L292</f>
        <v>0</v>
      </c>
      <c r="M324" s="78">
        <f t="shared" si="81"/>
        <v>0</v>
      </c>
      <c r="N324" s="78">
        <f t="shared" si="81"/>
        <v>0</v>
      </c>
      <c r="O324" s="78">
        <f t="shared" si="81"/>
        <v>0</v>
      </c>
      <c r="P324" s="78">
        <f t="shared" si="81"/>
        <v>0</v>
      </c>
      <c r="Q324" s="78">
        <f t="shared" si="81"/>
        <v>0</v>
      </c>
      <c r="R324" s="78">
        <f t="shared" si="81"/>
        <v>0</v>
      </c>
      <c r="S324" s="78">
        <f t="shared" si="81"/>
        <v>0</v>
      </c>
      <c r="T324" s="78">
        <f t="shared" si="81"/>
        <v>0</v>
      </c>
      <c r="U324" s="78">
        <f t="shared" si="81"/>
        <v>0</v>
      </c>
      <c r="V324" s="78">
        <f t="shared" si="81"/>
        <v>0</v>
      </c>
      <c r="W324" s="78">
        <f t="shared" si="81"/>
        <v>0</v>
      </c>
      <c r="X324" s="78">
        <f t="shared" si="81"/>
        <v>0</v>
      </c>
      <c r="Y324" s="78">
        <f t="shared" si="81"/>
        <v>0</v>
      </c>
      <c r="Z324" s="78">
        <f t="shared" si="81"/>
        <v>0</v>
      </c>
      <c r="AA324" s="78">
        <f t="shared" si="81"/>
        <v>0</v>
      </c>
      <c r="AB324" s="78">
        <f t="shared" si="81"/>
        <v>0</v>
      </c>
      <c r="AC324" s="78">
        <f t="shared" si="81"/>
        <v>0</v>
      </c>
      <c r="AD324" s="78">
        <f t="shared" si="81"/>
        <v>0</v>
      </c>
      <c r="AE324" s="78">
        <f t="shared" si="81"/>
        <v>0</v>
      </c>
      <c r="AF324" s="70"/>
      <c r="AG324" s="70"/>
      <c r="AH324" s="70"/>
      <c r="AI324" s="70"/>
    </row>
    <row r="325" spans="1:35" x14ac:dyDescent="0.45">
      <c r="A325" s="70"/>
      <c r="B325" s="52"/>
      <c r="C325" s="52"/>
      <c r="D325" s="52" t="s">
        <v>1465</v>
      </c>
      <c r="E325" s="70"/>
      <c r="F325" s="70"/>
      <c r="G325" s="70"/>
      <c r="H325" s="70"/>
      <c r="I325" s="70"/>
      <c r="J325" s="70"/>
      <c r="K325" s="72"/>
      <c r="L325" s="78">
        <f t="shared" ref="L325:AE325" si="82">(L315+L304)/L293</f>
        <v>0</v>
      </c>
      <c r="M325" s="78">
        <f t="shared" si="82"/>
        <v>0</v>
      </c>
      <c r="N325" s="78">
        <f t="shared" si="82"/>
        <v>0</v>
      </c>
      <c r="O325" s="78">
        <f t="shared" si="82"/>
        <v>0</v>
      </c>
      <c r="P325" s="78">
        <f t="shared" si="82"/>
        <v>0</v>
      </c>
      <c r="Q325" s="78">
        <f t="shared" si="82"/>
        <v>0</v>
      </c>
      <c r="R325" s="78">
        <f t="shared" si="82"/>
        <v>0</v>
      </c>
      <c r="S325" s="78">
        <f t="shared" si="82"/>
        <v>0</v>
      </c>
      <c r="T325" s="78">
        <f t="shared" si="82"/>
        <v>0</v>
      </c>
      <c r="U325" s="78">
        <f t="shared" si="82"/>
        <v>0</v>
      </c>
      <c r="V325" s="78">
        <f t="shared" si="82"/>
        <v>0</v>
      </c>
      <c r="W325" s="78">
        <f t="shared" si="82"/>
        <v>0</v>
      </c>
      <c r="X325" s="78">
        <f t="shared" si="82"/>
        <v>0</v>
      </c>
      <c r="Y325" s="78">
        <f t="shared" si="82"/>
        <v>0</v>
      </c>
      <c r="Z325" s="78">
        <f t="shared" si="82"/>
        <v>0</v>
      </c>
      <c r="AA325" s="78">
        <f t="shared" si="82"/>
        <v>0</v>
      </c>
      <c r="AB325" s="78">
        <f t="shared" si="82"/>
        <v>0</v>
      </c>
      <c r="AC325" s="78">
        <f t="shared" si="82"/>
        <v>0</v>
      </c>
      <c r="AD325" s="78">
        <f t="shared" si="82"/>
        <v>0</v>
      </c>
      <c r="AE325" s="78">
        <f t="shared" si="82"/>
        <v>0</v>
      </c>
      <c r="AF325" s="70"/>
      <c r="AG325" s="70"/>
      <c r="AH325" s="70"/>
      <c r="AI325" s="70"/>
    </row>
    <row r="326" spans="1:35" x14ac:dyDescent="0.45">
      <c r="A326" s="70"/>
      <c r="B326" s="52"/>
      <c r="C326" s="52"/>
      <c r="D326" s="52" t="s">
        <v>1468</v>
      </c>
      <c r="E326" s="70"/>
      <c r="F326" s="70"/>
      <c r="G326" s="70"/>
      <c r="H326" s="70"/>
      <c r="I326" s="70"/>
      <c r="J326" s="70"/>
      <c r="K326" s="72"/>
      <c r="L326" s="78">
        <f t="shared" ref="L326:AE326" si="83">(L316+L305)/L294</f>
        <v>0</v>
      </c>
      <c r="M326" s="78">
        <f t="shared" si="83"/>
        <v>0</v>
      </c>
      <c r="N326" s="78">
        <f t="shared" si="83"/>
        <v>0</v>
      </c>
      <c r="O326" s="78">
        <f t="shared" si="83"/>
        <v>0</v>
      </c>
      <c r="P326" s="78">
        <f t="shared" si="83"/>
        <v>0</v>
      </c>
      <c r="Q326" s="78">
        <f t="shared" si="83"/>
        <v>0</v>
      </c>
      <c r="R326" s="78">
        <f t="shared" si="83"/>
        <v>0</v>
      </c>
      <c r="S326" s="78">
        <f t="shared" si="83"/>
        <v>0</v>
      </c>
      <c r="T326" s="78">
        <f t="shared" si="83"/>
        <v>0</v>
      </c>
      <c r="U326" s="78">
        <f t="shared" si="83"/>
        <v>0</v>
      </c>
      <c r="V326" s="78">
        <f t="shared" si="83"/>
        <v>0</v>
      </c>
      <c r="W326" s="78">
        <f t="shared" si="83"/>
        <v>0</v>
      </c>
      <c r="X326" s="78">
        <f t="shared" si="83"/>
        <v>0</v>
      </c>
      <c r="Y326" s="78">
        <f t="shared" si="83"/>
        <v>0</v>
      </c>
      <c r="Z326" s="78">
        <f t="shared" si="83"/>
        <v>0</v>
      </c>
      <c r="AA326" s="78">
        <f t="shared" si="83"/>
        <v>0</v>
      </c>
      <c r="AB326" s="78">
        <f t="shared" si="83"/>
        <v>0</v>
      </c>
      <c r="AC326" s="78">
        <f t="shared" si="83"/>
        <v>0</v>
      </c>
      <c r="AD326" s="78">
        <f t="shared" si="83"/>
        <v>0</v>
      </c>
      <c r="AE326" s="78">
        <f t="shared" si="83"/>
        <v>0</v>
      </c>
      <c r="AF326" s="70"/>
      <c r="AG326" s="70"/>
      <c r="AH326" s="70"/>
      <c r="AI326" s="70"/>
    </row>
    <row r="327" spans="1:35" x14ac:dyDescent="0.45">
      <c r="A327" s="70"/>
      <c r="B327" s="52"/>
      <c r="C327" s="52"/>
      <c r="D327" s="52" t="s">
        <v>1471</v>
      </c>
      <c r="E327" s="70"/>
      <c r="F327" s="70"/>
      <c r="G327" s="70"/>
      <c r="H327" s="70"/>
      <c r="I327" s="70"/>
      <c r="J327" s="70"/>
      <c r="K327" s="72"/>
      <c r="L327" s="78">
        <f t="shared" ref="L327:AE327" si="84">(L317+L306)/L295</f>
        <v>0</v>
      </c>
      <c r="M327" s="78">
        <f t="shared" si="84"/>
        <v>0</v>
      </c>
      <c r="N327" s="78">
        <f t="shared" si="84"/>
        <v>0</v>
      </c>
      <c r="O327" s="78">
        <f t="shared" si="84"/>
        <v>0</v>
      </c>
      <c r="P327" s="78">
        <f t="shared" si="84"/>
        <v>0</v>
      </c>
      <c r="Q327" s="78">
        <f t="shared" si="84"/>
        <v>0</v>
      </c>
      <c r="R327" s="78">
        <f t="shared" si="84"/>
        <v>0</v>
      </c>
      <c r="S327" s="78">
        <f t="shared" si="84"/>
        <v>0</v>
      </c>
      <c r="T327" s="78">
        <f t="shared" si="84"/>
        <v>0</v>
      </c>
      <c r="U327" s="78">
        <f t="shared" si="84"/>
        <v>0</v>
      </c>
      <c r="V327" s="78">
        <f t="shared" si="84"/>
        <v>0</v>
      </c>
      <c r="W327" s="78">
        <f t="shared" si="84"/>
        <v>0</v>
      </c>
      <c r="X327" s="78">
        <f t="shared" si="84"/>
        <v>0</v>
      </c>
      <c r="Y327" s="78">
        <f t="shared" si="84"/>
        <v>0</v>
      </c>
      <c r="Z327" s="78">
        <f t="shared" si="84"/>
        <v>0</v>
      </c>
      <c r="AA327" s="78">
        <f t="shared" si="84"/>
        <v>0</v>
      </c>
      <c r="AB327" s="78">
        <f t="shared" si="84"/>
        <v>0</v>
      </c>
      <c r="AC327" s="78">
        <f t="shared" si="84"/>
        <v>0</v>
      </c>
      <c r="AD327" s="78">
        <f t="shared" si="84"/>
        <v>0</v>
      </c>
      <c r="AE327" s="78">
        <f t="shared" si="84"/>
        <v>0</v>
      </c>
      <c r="AF327" s="70"/>
      <c r="AG327" s="70"/>
      <c r="AH327" s="70"/>
      <c r="AI327" s="70"/>
    </row>
    <row r="328" spans="1:35" x14ac:dyDescent="0.45">
      <c r="A328" s="70"/>
      <c r="B328" s="52"/>
      <c r="C328" s="52"/>
      <c r="D328" s="52"/>
      <c r="E328" s="70"/>
      <c r="F328" s="70"/>
      <c r="G328" s="70"/>
      <c r="H328" s="70"/>
      <c r="I328" s="70"/>
      <c r="J328" s="70"/>
      <c r="K328" s="72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</row>
    <row r="329" spans="1:35" x14ac:dyDescent="0.45">
      <c r="A329" s="71"/>
      <c r="B329" s="52"/>
      <c r="C329" s="73" t="s">
        <v>1481</v>
      </c>
      <c r="D329" s="73"/>
      <c r="E329" s="70"/>
      <c r="F329" s="72" t="s">
        <v>1482</v>
      </c>
      <c r="G329" s="72" t="s">
        <v>1483</v>
      </c>
      <c r="H329" s="72" t="s">
        <v>1484</v>
      </c>
      <c r="I329" s="72" t="s">
        <v>1898</v>
      </c>
      <c r="J329" s="72" t="s">
        <v>1899</v>
      </c>
      <c r="K329" s="72"/>
      <c r="L329" s="74">
        <f t="shared" ref="L329:AE329" si="85">L340</f>
        <v>2022</v>
      </c>
      <c r="M329" s="74">
        <f t="shared" si="85"/>
        <v>2023</v>
      </c>
      <c r="N329" s="74">
        <f t="shared" si="85"/>
        <v>2024</v>
      </c>
      <c r="O329" s="74">
        <f t="shared" si="85"/>
        <v>2025</v>
      </c>
      <c r="P329" s="74">
        <f t="shared" si="85"/>
        <v>2026</v>
      </c>
      <c r="Q329" s="74">
        <f t="shared" si="85"/>
        <v>2027</v>
      </c>
      <c r="R329" s="74">
        <f t="shared" si="85"/>
        <v>2028</v>
      </c>
      <c r="S329" s="74">
        <f t="shared" si="85"/>
        <v>2029</v>
      </c>
      <c r="T329" s="74">
        <f t="shared" si="85"/>
        <v>2030</v>
      </c>
      <c r="U329" s="74">
        <f t="shared" si="85"/>
        <v>2031</v>
      </c>
      <c r="V329" s="74">
        <f t="shared" si="85"/>
        <v>2032</v>
      </c>
      <c r="W329" s="74">
        <f t="shared" si="85"/>
        <v>2033</v>
      </c>
      <c r="X329" s="74">
        <f t="shared" si="85"/>
        <v>2034</v>
      </c>
      <c r="Y329" s="74">
        <f t="shared" si="85"/>
        <v>2035</v>
      </c>
      <c r="Z329" s="74">
        <f t="shared" si="85"/>
        <v>2036</v>
      </c>
      <c r="AA329" s="74">
        <f t="shared" si="85"/>
        <v>2037</v>
      </c>
      <c r="AB329" s="74">
        <f t="shared" si="85"/>
        <v>2038</v>
      </c>
      <c r="AC329" s="74">
        <f t="shared" si="85"/>
        <v>2039</v>
      </c>
      <c r="AD329" s="74">
        <f t="shared" si="85"/>
        <v>2040</v>
      </c>
      <c r="AE329" s="74">
        <f t="shared" si="85"/>
        <v>2041</v>
      </c>
      <c r="AF329" s="74"/>
      <c r="AG329" s="70"/>
      <c r="AH329" s="70"/>
      <c r="AI329" s="70"/>
    </row>
    <row r="330" spans="1:35" x14ac:dyDescent="0.45">
      <c r="A330" s="71"/>
      <c r="B330" s="52"/>
      <c r="C330" s="71"/>
      <c r="D330" s="52" t="s">
        <v>1350</v>
      </c>
      <c r="E330" s="71" t="s">
        <v>1485</v>
      </c>
      <c r="F330" s="72">
        <f t="shared" ref="F330:F337" si="86">H264+I264</f>
        <v>0.69003000000000003</v>
      </c>
      <c r="G330" s="72">
        <f t="shared" ref="G330:G337" si="87">MAX($J264,0)+MAX($K264,0)</f>
        <v>0.04</v>
      </c>
      <c r="H330" s="72">
        <f t="shared" ref="H330:H337" si="88">G330/F330</f>
        <v>5.7968494123443903E-2</v>
      </c>
      <c r="I330" s="100">
        <f t="shared" ref="I330:I337" si="89">IF($F330=0,0,$E299/$F330)</f>
        <v>1</v>
      </c>
      <c r="J330" s="100">
        <f t="shared" ref="J330:J337" si="90">IF($G330=0,0,$E310/$G330)</f>
        <v>1</v>
      </c>
      <c r="K330" s="72"/>
      <c r="L330" s="72">
        <f t="shared" ref="L330:AE330" si="91">L276*$F330/1000</f>
        <v>3.2287703131193024</v>
      </c>
      <c r="M330" s="72">
        <f t="shared" si="91"/>
        <v>3.3708362068965516</v>
      </c>
      <c r="N330" s="72">
        <f t="shared" si="91"/>
        <v>3.5191530000000002</v>
      </c>
      <c r="O330" s="72">
        <f t="shared" si="91"/>
        <v>3.6739957320000007</v>
      </c>
      <c r="P330" s="72">
        <f t="shared" si="91"/>
        <v>3.8356515442080008</v>
      </c>
      <c r="Q330" s="72">
        <f t="shared" si="91"/>
        <v>4.0044202121531534</v>
      </c>
      <c r="R330" s="72">
        <f t="shared" si="91"/>
        <v>4.1806147014878912</v>
      </c>
      <c r="S330" s="72">
        <f t="shared" si="91"/>
        <v>4.3645617483533599</v>
      </c>
      <c r="T330" s="72">
        <f t="shared" si="91"/>
        <v>4.556602465280907</v>
      </c>
      <c r="U330" s="72">
        <f t="shared" si="91"/>
        <v>4.7570929737532675</v>
      </c>
      <c r="V330" s="72">
        <f t="shared" si="91"/>
        <v>4.9664050645984119</v>
      </c>
      <c r="W330" s="72">
        <f t="shared" si="91"/>
        <v>5.1849268874407413</v>
      </c>
      <c r="X330" s="72">
        <f t="shared" si="91"/>
        <v>5.4130636704881345</v>
      </c>
      <c r="Y330" s="72">
        <f t="shared" si="91"/>
        <v>5.6512384719896129</v>
      </c>
      <c r="Z330" s="72">
        <f t="shared" si="91"/>
        <v>5.8998929647571554</v>
      </c>
      <c r="AA330" s="72">
        <f t="shared" si="91"/>
        <v>6.1594882552064707</v>
      </c>
      <c r="AB330" s="72">
        <f t="shared" si="91"/>
        <v>6.4305057384355555</v>
      </c>
      <c r="AC330" s="72">
        <f t="shared" si="91"/>
        <v>6.7134479909267206</v>
      </c>
      <c r="AD330" s="72">
        <f t="shared" si="91"/>
        <v>7.0088397025274967</v>
      </c>
      <c r="AE330" s="72">
        <f t="shared" si="91"/>
        <v>7.3172286494387055</v>
      </c>
      <c r="AF330" s="72"/>
      <c r="AG330" s="70"/>
      <c r="AH330" s="70"/>
      <c r="AI330" s="70"/>
    </row>
    <row r="331" spans="1:35" x14ac:dyDescent="0.45">
      <c r="A331" s="71"/>
      <c r="B331" s="52"/>
      <c r="C331" s="71"/>
      <c r="D331" s="52" t="s">
        <v>1357</v>
      </c>
      <c r="E331" s="71" t="s">
        <v>1485</v>
      </c>
      <c r="F331" s="72">
        <f t="shared" si="86"/>
        <v>0.14025000000000001</v>
      </c>
      <c r="G331" s="72">
        <f t="shared" si="87"/>
        <v>1.4999999999999999E-2</v>
      </c>
      <c r="H331" s="72">
        <f t="shared" si="88"/>
        <v>0.10695187165775399</v>
      </c>
      <c r="I331" s="100">
        <f t="shared" si="89"/>
        <v>1</v>
      </c>
      <c r="J331" s="100">
        <f t="shared" si="90"/>
        <v>1</v>
      </c>
      <c r="K331" s="72"/>
      <c r="L331" s="72">
        <f t="shared" ref="L331:AE331" si="92">L277*$F331/1000</f>
        <v>0.61765094464262127</v>
      </c>
      <c r="M331" s="72">
        <f t="shared" si="92"/>
        <v>0.64482758620689662</v>
      </c>
      <c r="N331" s="72">
        <f t="shared" si="92"/>
        <v>0.67320000000000002</v>
      </c>
      <c r="O331" s="72">
        <f t="shared" si="92"/>
        <v>0.70282080000000002</v>
      </c>
      <c r="P331" s="72">
        <f t="shared" si="92"/>
        <v>0.73374491520000007</v>
      </c>
      <c r="Q331" s="72">
        <f t="shared" si="92"/>
        <v>0.76602969146880007</v>
      </c>
      <c r="R331" s="72">
        <f t="shared" si="92"/>
        <v>0.79973499789342728</v>
      </c>
      <c r="S331" s="72">
        <f t="shared" si="92"/>
        <v>0.83492333780073813</v>
      </c>
      <c r="T331" s="72">
        <f t="shared" si="92"/>
        <v>0.87165996466397067</v>
      </c>
      <c r="U331" s="72">
        <f t="shared" si="92"/>
        <v>0.91001300310918543</v>
      </c>
      <c r="V331" s="72">
        <f t="shared" si="92"/>
        <v>0.95005357524598955</v>
      </c>
      <c r="W331" s="72">
        <f t="shared" si="92"/>
        <v>0.99185593255681304</v>
      </c>
      <c r="X331" s="72">
        <f t="shared" si="92"/>
        <v>1.0354975935893131</v>
      </c>
      <c r="Y331" s="72">
        <f t="shared" si="92"/>
        <v>1.0810594877072426</v>
      </c>
      <c r="Z331" s="72">
        <f t="shared" si="92"/>
        <v>1.1286261051663613</v>
      </c>
      <c r="AA331" s="72">
        <f t="shared" si="92"/>
        <v>1.1782856537936812</v>
      </c>
      <c r="AB331" s="72">
        <f t="shared" si="92"/>
        <v>1.2301302225606032</v>
      </c>
      <c r="AC331" s="72">
        <f t="shared" si="92"/>
        <v>1.2842559523532697</v>
      </c>
      <c r="AD331" s="72">
        <f t="shared" si="92"/>
        <v>1.3407632142568136</v>
      </c>
      <c r="AE331" s="72">
        <f t="shared" si="92"/>
        <v>1.3997567956841135</v>
      </c>
      <c r="AF331" s="72"/>
      <c r="AG331" s="70"/>
      <c r="AH331" s="70"/>
      <c r="AI331" s="70"/>
    </row>
    <row r="332" spans="1:35" x14ac:dyDescent="0.45">
      <c r="A332" s="71"/>
      <c r="B332" s="52"/>
      <c r="C332" s="71"/>
      <c r="D332" s="52" t="s">
        <v>1363</v>
      </c>
      <c r="E332" s="71" t="s">
        <v>1485</v>
      </c>
      <c r="F332" s="72">
        <f t="shared" si="86"/>
        <v>1.9220000000000002</v>
      </c>
      <c r="G332" s="72">
        <f t="shared" si="87"/>
        <v>0.25</v>
      </c>
      <c r="H332" s="72">
        <f t="shared" si="88"/>
        <v>0.13007284079084286</v>
      </c>
      <c r="I332" s="100">
        <f t="shared" si="89"/>
        <v>1</v>
      </c>
      <c r="J332" s="100">
        <f t="shared" si="90"/>
        <v>1</v>
      </c>
      <c r="K332" s="72"/>
      <c r="L332" s="72">
        <f t="shared" ref="L332:AE332" si="93">L278*$F332/1000</f>
        <v>0</v>
      </c>
      <c r="M332" s="72">
        <f t="shared" si="93"/>
        <v>0</v>
      </c>
      <c r="N332" s="72">
        <f t="shared" si="93"/>
        <v>0</v>
      </c>
      <c r="O332" s="72">
        <f t="shared" si="93"/>
        <v>0</v>
      </c>
      <c r="P332" s="72">
        <f t="shared" si="93"/>
        <v>0</v>
      </c>
      <c r="Q332" s="72">
        <f t="shared" si="93"/>
        <v>0</v>
      </c>
      <c r="R332" s="72">
        <f t="shared" si="93"/>
        <v>0</v>
      </c>
      <c r="S332" s="72">
        <f t="shared" si="93"/>
        <v>0</v>
      </c>
      <c r="T332" s="72">
        <f t="shared" si="93"/>
        <v>0</v>
      </c>
      <c r="U332" s="72">
        <f t="shared" si="93"/>
        <v>0</v>
      </c>
      <c r="V332" s="72">
        <f t="shared" si="93"/>
        <v>0</v>
      </c>
      <c r="W332" s="72">
        <f t="shared" si="93"/>
        <v>0</v>
      </c>
      <c r="X332" s="72">
        <f t="shared" si="93"/>
        <v>0</v>
      </c>
      <c r="Y332" s="72">
        <f t="shared" si="93"/>
        <v>0</v>
      </c>
      <c r="Z332" s="72">
        <f t="shared" si="93"/>
        <v>0</v>
      </c>
      <c r="AA332" s="72">
        <f t="shared" si="93"/>
        <v>0</v>
      </c>
      <c r="AB332" s="72">
        <f t="shared" si="93"/>
        <v>0</v>
      </c>
      <c r="AC332" s="72">
        <f t="shared" si="93"/>
        <v>0</v>
      </c>
      <c r="AD332" s="72">
        <f t="shared" si="93"/>
        <v>0</v>
      </c>
      <c r="AE332" s="72">
        <f t="shared" si="93"/>
        <v>0</v>
      </c>
      <c r="AF332" s="72"/>
      <c r="AG332" s="70"/>
      <c r="AH332" s="70"/>
      <c r="AI332" s="70"/>
    </row>
    <row r="333" spans="1:35" x14ac:dyDescent="0.45">
      <c r="A333" s="71"/>
      <c r="B333" s="52"/>
      <c r="C333" s="71"/>
      <c r="D333" s="52" t="s">
        <v>1369</v>
      </c>
      <c r="E333" s="71" t="s">
        <v>1485</v>
      </c>
      <c r="F333" s="72">
        <f t="shared" si="86"/>
        <v>0.2883</v>
      </c>
      <c r="G333" s="72">
        <f t="shared" si="87"/>
        <v>0.52600000000000002</v>
      </c>
      <c r="H333" s="72">
        <f t="shared" si="88"/>
        <v>1.8244883801595562</v>
      </c>
      <c r="I333" s="100">
        <f t="shared" si="89"/>
        <v>1</v>
      </c>
      <c r="J333" s="100">
        <f t="shared" si="90"/>
        <v>1</v>
      </c>
      <c r="K333" s="72"/>
      <c r="L333" s="72">
        <f t="shared" ref="L333:AE333" si="94">L279*$F333/1000</f>
        <v>13.508713893592759</v>
      </c>
      <c r="M333" s="72">
        <f t="shared" si="94"/>
        <v>13.954501452081319</v>
      </c>
      <c r="N333" s="72">
        <f t="shared" si="94"/>
        <v>14.414999999999999</v>
      </c>
      <c r="O333" s="72">
        <f t="shared" si="94"/>
        <v>14.890694999999997</v>
      </c>
      <c r="P333" s="72">
        <f t="shared" si="94"/>
        <v>15.382087934999998</v>
      </c>
      <c r="Q333" s="72">
        <f t="shared" si="94"/>
        <v>15.889696836854995</v>
      </c>
      <c r="R333" s="72">
        <f t="shared" si="94"/>
        <v>16.414056832471207</v>
      </c>
      <c r="S333" s="72">
        <f t="shared" si="94"/>
        <v>16.955720707942756</v>
      </c>
      <c r="T333" s="72">
        <f t="shared" si="94"/>
        <v>17.515259491304867</v>
      </c>
      <c r="U333" s="72">
        <f t="shared" si="94"/>
        <v>18.093263054517926</v>
      </c>
      <c r="V333" s="72">
        <f t="shared" si="94"/>
        <v>18.690340735317015</v>
      </c>
      <c r="W333" s="72">
        <f t="shared" si="94"/>
        <v>19.307121979582476</v>
      </c>
      <c r="X333" s="72">
        <f t="shared" si="94"/>
        <v>19.944257004908696</v>
      </c>
      <c r="Y333" s="72">
        <f t="shared" si="94"/>
        <v>20.602417486070681</v>
      </c>
      <c r="Z333" s="72">
        <f t="shared" si="94"/>
        <v>21.282297263111012</v>
      </c>
      <c r="AA333" s="72">
        <f t="shared" si="94"/>
        <v>21.984613072793675</v>
      </c>
      <c r="AB333" s="72">
        <f t="shared" si="94"/>
        <v>22.710105304195867</v>
      </c>
      <c r="AC333" s="72">
        <f t="shared" si="94"/>
        <v>23.459538779234329</v>
      </c>
      <c r="AD333" s="72">
        <f t="shared" si="94"/>
        <v>24.23370355894906</v>
      </c>
      <c r="AE333" s="72">
        <f t="shared" si="94"/>
        <v>25.033415776394378</v>
      </c>
      <c r="AF333" s="72"/>
      <c r="AG333" s="70"/>
      <c r="AH333" s="70"/>
      <c r="AI333" s="70"/>
    </row>
    <row r="334" spans="1:35" x14ac:dyDescent="0.45">
      <c r="A334" s="71"/>
      <c r="B334" s="52"/>
      <c r="C334" s="71"/>
      <c r="D334" s="52" t="s">
        <v>1442</v>
      </c>
      <c r="E334" s="71" t="s">
        <v>1485</v>
      </c>
      <c r="F334" s="72">
        <f t="shared" si="86"/>
        <v>1.8512999999999999</v>
      </c>
      <c r="G334" s="72">
        <f t="shared" si="87"/>
        <v>0</v>
      </c>
      <c r="H334" s="72">
        <f t="shared" si="88"/>
        <v>0</v>
      </c>
      <c r="I334" s="100">
        <f t="shared" si="89"/>
        <v>1</v>
      </c>
      <c r="J334" s="100">
        <f t="shared" si="90"/>
        <v>0</v>
      </c>
      <c r="K334" s="72"/>
      <c r="L334" s="72">
        <f t="shared" ref="L334:AE334" si="95">L280*$F334/1000</f>
        <v>3.1638306570517116</v>
      </c>
      <c r="M334" s="72">
        <f t="shared" si="95"/>
        <v>3.2334349315068494</v>
      </c>
      <c r="N334" s="72">
        <f t="shared" si="95"/>
        <v>3.3045704999999996</v>
      </c>
      <c r="O334" s="72">
        <f t="shared" si="95"/>
        <v>3.3772710509999997</v>
      </c>
      <c r="P334" s="72">
        <f t="shared" si="95"/>
        <v>3.4515710141219995</v>
      </c>
      <c r="Q334" s="72">
        <f t="shared" si="95"/>
        <v>3.5275055764326835</v>
      </c>
      <c r="R334" s="72">
        <f t="shared" si="95"/>
        <v>3.6051106991142028</v>
      </c>
      <c r="S334" s="72">
        <f t="shared" si="95"/>
        <v>3.6844231344947151</v>
      </c>
      <c r="T334" s="72">
        <f t="shared" si="95"/>
        <v>3.7654804434535989</v>
      </c>
      <c r="U334" s="72">
        <f t="shared" si="95"/>
        <v>3.8483210132095782</v>
      </c>
      <c r="V334" s="72">
        <f t="shared" si="95"/>
        <v>3.932984075500189</v>
      </c>
      <c r="W334" s="72">
        <f t="shared" si="95"/>
        <v>4.0195097251611935</v>
      </c>
      <c r="X334" s="72">
        <f t="shared" si="95"/>
        <v>4.1079389391147396</v>
      </c>
      <c r="Y334" s="72">
        <f t="shared" si="95"/>
        <v>4.1983135957752644</v>
      </c>
      <c r="Z334" s="72">
        <f t="shared" si="95"/>
        <v>4.2906764948823204</v>
      </c>
      <c r="AA334" s="72">
        <f t="shared" si="95"/>
        <v>4.385071377769731</v>
      </c>
      <c r="AB334" s="72">
        <f t="shared" si="95"/>
        <v>4.4815429480806648</v>
      </c>
      <c r="AC334" s="72">
        <f t="shared" si="95"/>
        <v>4.5801368929384401</v>
      </c>
      <c r="AD334" s="72">
        <f t="shared" si="95"/>
        <v>4.680899904583085</v>
      </c>
      <c r="AE334" s="72">
        <f t="shared" si="95"/>
        <v>4.7838797024839135</v>
      </c>
      <c r="AF334" s="72"/>
      <c r="AG334" s="70"/>
      <c r="AH334" s="70"/>
      <c r="AI334" s="70"/>
    </row>
    <row r="335" spans="1:35" x14ac:dyDescent="0.45">
      <c r="A335" s="71"/>
      <c r="B335" s="52"/>
      <c r="C335" s="71"/>
      <c r="D335" s="52" t="s">
        <v>1383</v>
      </c>
      <c r="E335" s="71" t="s">
        <v>1485</v>
      </c>
      <c r="F335" s="72">
        <f t="shared" si="86"/>
        <v>0.11219999999999999</v>
      </c>
      <c r="G335" s="72">
        <f t="shared" si="87"/>
        <v>0</v>
      </c>
      <c r="H335" s="72">
        <f t="shared" si="88"/>
        <v>0</v>
      </c>
      <c r="I335" s="100">
        <f t="shared" si="89"/>
        <v>1</v>
      </c>
      <c r="J335" s="100">
        <f t="shared" si="90"/>
        <v>0</v>
      </c>
      <c r="K335" s="72"/>
      <c r="L335" s="72">
        <f t="shared" ref="L335:AE335" si="96">L281*$F335/1000</f>
        <v>0.30078009811543305</v>
      </c>
      <c r="M335" s="72">
        <f t="shared" si="96"/>
        <v>0.30739726027397257</v>
      </c>
      <c r="N335" s="72">
        <f t="shared" si="96"/>
        <v>0.31415999999999999</v>
      </c>
      <c r="O335" s="72">
        <f t="shared" si="96"/>
        <v>0.32107151999999994</v>
      </c>
      <c r="P335" s="72">
        <f t="shared" si="96"/>
        <v>0.32813509343999991</v>
      </c>
      <c r="Q335" s="72">
        <f t="shared" si="96"/>
        <v>0.33535406549567992</v>
      </c>
      <c r="R335" s="72">
        <f t="shared" si="96"/>
        <v>0.34273185493658492</v>
      </c>
      <c r="S335" s="72">
        <f t="shared" si="96"/>
        <v>0.35027195574518982</v>
      </c>
      <c r="T335" s="72">
        <f t="shared" si="96"/>
        <v>0.35797793877158396</v>
      </c>
      <c r="U335" s="72">
        <f t="shared" si="96"/>
        <v>0.36585345342455883</v>
      </c>
      <c r="V335" s="72">
        <f t="shared" si="96"/>
        <v>0.37390222939989914</v>
      </c>
      <c r="W335" s="72">
        <f t="shared" si="96"/>
        <v>0.38212807844669699</v>
      </c>
      <c r="X335" s="72">
        <f t="shared" si="96"/>
        <v>0.39053489617252435</v>
      </c>
      <c r="Y335" s="72">
        <f t="shared" si="96"/>
        <v>0.39912666388831991</v>
      </c>
      <c r="Z335" s="72">
        <f t="shared" si="96"/>
        <v>0.40790745049386296</v>
      </c>
      <c r="AA335" s="72">
        <f t="shared" si="96"/>
        <v>0.41688141440472792</v>
      </c>
      <c r="AB335" s="72">
        <f t="shared" si="96"/>
        <v>0.42605280552163199</v>
      </c>
      <c r="AC335" s="72">
        <f t="shared" si="96"/>
        <v>0.43542596724310795</v>
      </c>
      <c r="AD335" s="72">
        <f t="shared" si="96"/>
        <v>0.44500533852245627</v>
      </c>
      <c r="AE335" s="72">
        <f t="shared" si="96"/>
        <v>0.45479545596995036</v>
      </c>
      <c r="AF335" s="72"/>
      <c r="AG335" s="70"/>
      <c r="AH335" s="70"/>
      <c r="AI335" s="70"/>
    </row>
    <row r="336" spans="1:35" x14ac:dyDescent="0.45">
      <c r="A336" s="71"/>
      <c r="B336" s="52"/>
      <c r="C336" s="71"/>
      <c r="D336" s="52" t="s">
        <v>1390</v>
      </c>
      <c r="E336" s="71" t="s">
        <v>1485</v>
      </c>
      <c r="F336" s="72">
        <f t="shared" si="86"/>
        <v>0.11219999999999999</v>
      </c>
      <c r="G336" s="72">
        <f t="shared" si="87"/>
        <v>0.97</v>
      </c>
      <c r="H336" s="72">
        <f t="shared" si="88"/>
        <v>8.6452762923351152</v>
      </c>
      <c r="I336" s="100">
        <f t="shared" si="89"/>
        <v>1</v>
      </c>
      <c r="J336" s="100">
        <f t="shared" si="90"/>
        <v>1</v>
      </c>
      <c r="K336" s="72"/>
      <c r="L336" s="72">
        <f t="shared" ref="L336:AE336" si="97">L282*$F336/1000</f>
        <v>6.4452878167592806E-2</v>
      </c>
      <c r="M336" s="72">
        <f t="shared" si="97"/>
        <v>6.5870841487279841E-2</v>
      </c>
      <c r="N336" s="72">
        <f t="shared" si="97"/>
        <v>6.7319999999999991E-2</v>
      </c>
      <c r="O336" s="72">
        <f t="shared" si="97"/>
        <v>6.8801039999999994E-2</v>
      </c>
      <c r="P336" s="72">
        <f t="shared" si="97"/>
        <v>7.0314662880000003E-2</v>
      </c>
      <c r="Q336" s="72">
        <f t="shared" si="97"/>
        <v>7.1861585463359995E-2</v>
      </c>
      <c r="R336" s="72">
        <f t="shared" si="97"/>
        <v>7.3442540343553922E-2</v>
      </c>
      <c r="S336" s="72">
        <f t="shared" si="97"/>
        <v>7.5058276231112109E-2</v>
      </c>
      <c r="T336" s="72">
        <f t="shared" si="97"/>
        <v>7.6709558308196577E-2</v>
      </c>
      <c r="U336" s="72">
        <f t="shared" si="97"/>
        <v>7.8397168590976909E-2</v>
      </c>
      <c r="V336" s="72">
        <f t="shared" si="97"/>
        <v>8.012190629997841E-2</v>
      </c>
      <c r="W336" s="72">
        <f t="shared" si="97"/>
        <v>8.1884588238577916E-2</v>
      </c>
      <c r="X336" s="72">
        <f t="shared" si="97"/>
        <v>8.3686049179826624E-2</v>
      </c>
      <c r="Y336" s="72">
        <f t="shared" si="97"/>
        <v>8.5527142261782832E-2</v>
      </c>
      <c r="Z336" s="72">
        <f t="shared" si="97"/>
        <v>8.7408739391542062E-2</v>
      </c>
      <c r="AA336" s="72">
        <f t="shared" si="97"/>
        <v>8.9331731658155972E-2</v>
      </c>
      <c r="AB336" s="72">
        <f t="shared" si="97"/>
        <v>9.1297029754635398E-2</v>
      </c>
      <c r="AC336" s="72">
        <f t="shared" si="97"/>
        <v>9.3305564409237388E-2</v>
      </c>
      <c r="AD336" s="72">
        <f t="shared" si="97"/>
        <v>9.5358286826240618E-2</v>
      </c>
      <c r="AE336" s="72">
        <f t="shared" si="97"/>
        <v>9.7456169136417914E-2</v>
      </c>
      <c r="AF336" s="72"/>
      <c r="AG336" s="70"/>
      <c r="AH336" s="70"/>
      <c r="AI336" s="70"/>
    </row>
    <row r="337" spans="1:35" x14ac:dyDescent="0.45">
      <c r="A337" s="71"/>
      <c r="B337" s="52"/>
      <c r="C337" s="71"/>
      <c r="D337" s="52" t="s">
        <v>1397</v>
      </c>
      <c r="E337" s="71" t="s">
        <v>1485</v>
      </c>
      <c r="F337" s="72">
        <f t="shared" si="86"/>
        <v>0.156</v>
      </c>
      <c r="G337" s="72">
        <f t="shared" si="87"/>
        <v>2.35</v>
      </c>
      <c r="H337" s="72">
        <f t="shared" si="88"/>
        <v>15.064102564102564</v>
      </c>
      <c r="I337" s="100">
        <f t="shared" si="89"/>
        <v>1</v>
      </c>
      <c r="J337" s="100">
        <f t="shared" si="90"/>
        <v>1</v>
      </c>
      <c r="K337" s="72"/>
      <c r="L337" s="72">
        <f t="shared" ref="L337:AE337" si="98">L283*$F337/1000</f>
        <v>4.2047573055412055E-2</v>
      </c>
      <c r="M337" s="72">
        <f t="shared" si="98"/>
        <v>4.4360189573459712E-2</v>
      </c>
      <c r="N337" s="72">
        <f t="shared" si="98"/>
        <v>4.6799999999999994E-2</v>
      </c>
      <c r="O337" s="72">
        <f t="shared" si="98"/>
        <v>4.9374000000000001E-2</v>
      </c>
      <c r="P337" s="72">
        <f t="shared" si="98"/>
        <v>5.2089569999999995E-2</v>
      </c>
      <c r="Q337" s="72">
        <f t="shared" si="98"/>
        <v>5.4954496349999993E-2</v>
      </c>
      <c r="R337" s="72">
        <f t="shared" si="98"/>
        <v>5.7976993649249998E-2</v>
      </c>
      <c r="S337" s="72">
        <f t="shared" si="98"/>
        <v>6.1165728299958741E-2</v>
      </c>
      <c r="T337" s="72">
        <f t="shared" si="98"/>
        <v>6.4529843356456465E-2</v>
      </c>
      <c r="U337" s="72">
        <f t="shared" si="98"/>
        <v>6.8078984741061568E-2</v>
      </c>
      <c r="V337" s="72">
        <f t="shared" si="98"/>
        <v>7.1823328901819944E-2</v>
      </c>
      <c r="W337" s="72">
        <f t="shared" si="98"/>
        <v>7.5773611991420048E-2</v>
      </c>
      <c r="X337" s="72">
        <f t="shared" si="98"/>
        <v>7.9941160650948154E-2</v>
      </c>
      <c r="Y337" s="72">
        <f t="shared" si="98"/>
        <v>8.4337924486750301E-2</v>
      </c>
      <c r="Z337" s="72">
        <f t="shared" si="98"/>
        <v>8.8976510333521566E-2</v>
      </c>
      <c r="AA337" s="72">
        <f t="shared" si="98"/>
        <v>9.3870218401865241E-2</v>
      </c>
      <c r="AB337" s="72">
        <f t="shared" si="98"/>
        <v>9.9033080413967828E-2</v>
      </c>
      <c r="AC337" s="72">
        <f t="shared" si="98"/>
        <v>0.10447989983673606</v>
      </c>
      <c r="AD337" s="72">
        <f t="shared" si="98"/>
        <v>0.11022629432775652</v>
      </c>
      <c r="AE337" s="72">
        <f t="shared" si="98"/>
        <v>0.11628874051578311</v>
      </c>
      <c r="AF337" s="72"/>
      <c r="AG337" s="70"/>
      <c r="AH337" s="70"/>
      <c r="AI337" s="70"/>
    </row>
    <row r="338" spans="1:35" x14ac:dyDescent="0.45">
      <c r="A338" s="70"/>
      <c r="B338" s="52"/>
      <c r="C338" s="52"/>
      <c r="D338" s="52" t="s">
        <v>1486</v>
      </c>
      <c r="E338" s="70"/>
      <c r="F338" s="70"/>
      <c r="G338" s="70"/>
      <c r="H338" s="70"/>
      <c r="I338" s="70"/>
      <c r="J338" s="70"/>
      <c r="K338" s="72"/>
      <c r="L338" s="72">
        <f t="shared" ref="L338:AE338" si="99">SUM(L330:L337)</f>
        <v>20.926246357744834</v>
      </c>
      <c r="M338" s="72">
        <f t="shared" si="99"/>
        <v>21.621228468026327</v>
      </c>
      <c r="N338" s="72">
        <f t="shared" si="99"/>
        <v>22.340203500000001</v>
      </c>
      <c r="O338" s="72">
        <f t="shared" si="99"/>
        <v>23.084029143000002</v>
      </c>
      <c r="P338" s="72">
        <f t="shared" si="99"/>
        <v>23.853594734849999</v>
      </c>
      <c r="Q338" s="72">
        <f t="shared" si="99"/>
        <v>24.649822464218669</v>
      </c>
      <c r="R338" s="72">
        <f t="shared" si="99"/>
        <v>25.473668619896113</v>
      </c>
      <c r="S338" s="72">
        <f t="shared" si="99"/>
        <v>26.326124888867827</v>
      </c>
      <c r="T338" s="72">
        <f t="shared" si="99"/>
        <v>27.20821970513958</v>
      </c>
      <c r="U338" s="72">
        <f t="shared" si="99"/>
        <v>28.121019651346554</v>
      </c>
      <c r="V338" s="72">
        <f t="shared" si="99"/>
        <v>29.065630915263306</v>
      </c>
      <c r="W338" s="72">
        <f t="shared" si="99"/>
        <v>30.043200803417918</v>
      </c>
      <c r="X338" s="72">
        <f t="shared" si="99"/>
        <v>31.054919314104183</v>
      </c>
      <c r="Y338" s="72">
        <f t="shared" si="99"/>
        <v>32.102020772179657</v>
      </c>
      <c r="Z338" s="72">
        <f t="shared" si="99"/>
        <v>33.185785528135781</v>
      </c>
      <c r="AA338" s="72">
        <f t="shared" si="99"/>
        <v>34.307541724028312</v>
      </c>
      <c r="AB338" s="72">
        <f t="shared" si="99"/>
        <v>35.468667128962927</v>
      </c>
      <c r="AC338" s="72">
        <f t="shared" si="99"/>
        <v>36.67059104694183</v>
      </c>
      <c r="AD338" s="72">
        <f t="shared" si="99"/>
        <v>37.914796299992908</v>
      </c>
      <c r="AE338" s="72">
        <f t="shared" si="99"/>
        <v>39.202821289623259</v>
      </c>
      <c r="AF338" s="70"/>
      <c r="AG338" s="70"/>
      <c r="AH338" s="70"/>
      <c r="AI338" s="70"/>
    </row>
    <row r="339" spans="1:35" x14ac:dyDescent="0.45">
      <c r="A339" s="70"/>
      <c r="B339" s="52"/>
      <c r="C339" s="52"/>
      <c r="D339" s="70"/>
      <c r="E339" s="70"/>
      <c r="F339" s="70"/>
      <c r="G339" s="70"/>
      <c r="H339" s="70"/>
      <c r="I339" s="70"/>
      <c r="J339" s="70"/>
      <c r="K339" s="72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</row>
    <row r="340" spans="1:35" x14ac:dyDescent="0.45">
      <c r="A340" s="71"/>
      <c r="B340" s="52"/>
      <c r="C340" s="73" t="s">
        <v>1487</v>
      </c>
      <c r="D340" s="73"/>
      <c r="E340" s="70"/>
      <c r="F340" s="70"/>
      <c r="G340" s="70"/>
      <c r="H340" s="70"/>
      <c r="I340" s="72"/>
      <c r="J340" s="72"/>
      <c r="K340" s="72"/>
      <c r="L340" s="74">
        <f t="shared" ref="L340:AE340" si="100">L274</f>
        <v>2022</v>
      </c>
      <c r="M340" s="74">
        <f t="shared" si="100"/>
        <v>2023</v>
      </c>
      <c r="N340" s="74">
        <f t="shared" si="100"/>
        <v>2024</v>
      </c>
      <c r="O340" s="74">
        <f t="shared" si="100"/>
        <v>2025</v>
      </c>
      <c r="P340" s="74">
        <f t="shared" si="100"/>
        <v>2026</v>
      </c>
      <c r="Q340" s="74">
        <f t="shared" si="100"/>
        <v>2027</v>
      </c>
      <c r="R340" s="74">
        <f t="shared" si="100"/>
        <v>2028</v>
      </c>
      <c r="S340" s="74">
        <f t="shared" si="100"/>
        <v>2029</v>
      </c>
      <c r="T340" s="74">
        <f t="shared" si="100"/>
        <v>2030</v>
      </c>
      <c r="U340" s="74">
        <f t="shared" si="100"/>
        <v>2031</v>
      </c>
      <c r="V340" s="74">
        <f t="shared" si="100"/>
        <v>2032</v>
      </c>
      <c r="W340" s="74">
        <f t="shared" si="100"/>
        <v>2033</v>
      </c>
      <c r="X340" s="74">
        <f t="shared" si="100"/>
        <v>2034</v>
      </c>
      <c r="Y340" s="74">
        <f t="shared" si="100"/>
        <v>2035</v>
      </c>
      <c r="Z340" s="74">
        <f t="shared" si="100"/>
        <v>2036</v>
      </c>
      <c r="AA340" s="74">
        <f t="shared" si="100"/>
        <v>2037</v>
      </c>
      <c r="AB340" s="74">
        <f t="shared" si="100"/>
        <v>2038</v>
      </c>
      <c r="AC340" s="74">
        <f t="shared" si="100"/>
        <v>2039</v>
      </c>
      <c r="AD340" s="74">
        <f t="shared" si="100"/>
        <v>2040</v>
      </c>
      <c r="AE340" s="74">
        <f t="shared" si="100"/>
        <v>2041</v>
      </c>
      <c r="AF340" s="74"/>
      <c r="AG340" s="70"/>
      <c r="AH340" s="70"/>
      <c r="AI340" s="70"/>
    </row>
    <row r="341" spans="1:35" x14ac:dyDescent="0.45">
      <c r="A341" s="71"/>
      <c r="B341" s="52"/>
      <c r="C341" s="71"/>
      <c r="D341" s="52" t="s">
        <v>1350</v>
      </c>
      <c r="E341" s="71" t="s">
        <v>1485</v>
      </c>
      <c r="F341" s="70"/>
      <c r="G341" s="70"/>
      <c r="H341" s="70"/>
      <c r="I341" s="70"/>
      <c r="J341" s="70"/>
      <c r="K341" s="72"/>
      <c r="L341" s="72">
        <f t="shared" ref="L341:L348" si="101">L276*G330/1000</f>
        <v>0.18716695292200644</v>
      </c>
      <c r="M341" s="72">
        <f t="shared" ref="M341:M348" si="102">M276*G330/1000</f>
        <v>0.1954022988505747</v>
      </c>
      <c r="N341" s="72">
        <f t="shared" ref="N341:N348" si="103">N276*G330/1000</f>
        <v>0.20399999999999999</v>
      </c>
      <c r="O341" s="72">
        <f t="shared" ref="O341:O348" si="104">O276*G330/1000</f>
        <v>0.21297600000000003</v>
      </c>
      <c r="P341" s="72">
        <f t="shared" ref="P341:P348" si="105">P276*G330/1000</f>
        <v>0.22234694400000005</v>
      </c>
      <c r="Q341" s="72">
        <f t="shared" ref="Q341:Q348" si="106">Q276*G330/1000</f>
        <v>0.23213020953600005</v>
      </c>
      <c r="R341" s="72">
        <f t="shared" ref="R341:R348" si="107">R276*G330/1000</f>
        <v>0.24234393875558408</v>
      </c>
      <c r="S341" s="72">
        <f t="shared" ref="S341:S348" si="108">S276*G330/1000</f>
        <v>0.25300707206082979</v>
      </c>
      <c r="T341" s="72">
        <f t="shared" ref="T341:T348" si="109">T276*G330/1000</f>
        <v>0.26413938323150632</v>
      </c>
      <c r="U341" s="72">
        <f t="shared" ref="U341:U348" si="110">U276*G330/1000</f>
        <v>0.27576151609369259</v>
      </c>
      <c r="V341" s="72">
        <f t="shared" ref="V341:V348" si="111">V276*G330/1000</f>
        <v>0.28789502280181506</v>
      </c>
      <c r="W341" s="72">
        <f t="shared" ref="W341:W348" si="112">W276*G330/1000</f>
        <v>0.30056240380509497</v>
      </c>
      <c r="X341" s="72">
        <f t="shared" ref="X341:X348" si="113">X276*G330/1000</f>
        <v>0.31378714957251913</v>
      </c>
      <c r="Y341" s="72">
        <f t="shared" ref="Y341:Y348" si="114">Y276*G330/1000</f>
        <v>0.32759378415370999</v>
      </c>
      <c r="Z341" s="72">
        <f t="shared" ref="Z341:Z348" si="115">Z276*G330/1000</f>
        <v>0.34200791065647324</v>
      </c>
      <c r="AA341" s="72">
        <f t="shared" ref="AA341:AA348" si="116">AA276*G330/1000</f>
        <v>0.35705625872535807</v>
      </c>
      <c r="AB341" s="72">
        <f t="shared" ref="AB341:AB348" si="117">AB276*G330/1000</f>
        <v>0.37276673410927386</v>
      </c>
      <c r="AC341" s="72">
        <f t="shared" ref="AC341:AC348" si="118">AC276*G330/1000</f>
        <v>0.38916847041008185</v>
      </c>
      <c r="AD341" s="72">
        <f t="shared" ref="AD341:AD348" si="119">AD276*G330/1000</f>
        <v>0.40629188310812547</v>
      </c>
      <c r="AE341" s="72">
        <f t="shared" ref="AE341:AE348" si="120">AE276*G330/1000</f>
        <v>0.42416872596488298</v>
      </c>
      <c r="AF341" s="72"/>
      <c r="AG341" s="70"/>
      <c r="AH341" s="70"/>
      <c r="AI341" s="70"/>
    </row>
    <row r="342" spans="1:35" x14ac:dyDescent="0.45">
      <c r="A342" s="71"/>
      <c r="B342" s="52"/>
      <c r="C342" s="71"/>
      <c r="D342" s="52" t="s">
        <v>1357</v>
      </c>
      <c r="E342" s="71" t="s">
        <v>1485</v>
      </c>
      <c r="F342" s="70"/>
      <c r="G342" s="70"/>
      <c r="H342" s="70"/>
      <c r="I342" s="70"/>
      <c r="J342" s="70"/>
      <c r="K342" s="72"/>
      <c r="L342" s="72">
        <f t="shared" si="101"/>
        <v>6.6058924560708152E-2</v>
      </c>
      <c r="M342" s="72">
        <f t="shared" si="102"/>
        <v>6.8965517241379309E-2</v>
      </c>
      <c r="N342" s="72">
        <f t="shared" si="103"/>
        <v>7.1999999999999995E-2</v>
      </c>
      <c r="O342" s="72">
        <f t="shared" si="104"/>
        <v>7.5167999999999999E-2</v>
      </c>
      <c r="P342" s="72">
        <f t="shared" si="105"/>
        <v>7.8475392000000005E-2</v>
      </c>
      <c r="Q342" s="72">
        <f t="shared" si="106"/>
        <v>8.1928309247999986E-2</v>
      </c>
      <c r="R342" s="72">
        <f t="shared" si="107"/>
        <v>8.5533154854912002E-2</v>
      </c>
      <c r="S342" s="72">
        <f t="shared" si="108"/>
        <v>8.9296613668528119E-2</v>
      </c>
      <c r="T342" s="72">
        <f t="shared" si="109"/>
        <v>9.3225664669943364E-2</v>
      </c>
      <c r="U342" s="72">
        <f t="shared" si="110"/>
        <v>9.7327593915420896E-2</v>
      </c>
      <c r="V342" s="72">
        <f t="shared" si="111"/>
        <v>0.10161000804769942</v>
      </c>
      <c r="W342" s="72">
        <f t="shared" si="112"/>
        <v>0.10608084840179818</v>
      </c>
      <c r="X342" s="72">
        <f t="shared" si="113"/>
        <v>0.1107484057314773</v>
      </c>
      <c r="Y342" s="72">
        <f t="shared" si="114"/>
        <v>0.1156213355836623</v>
      </c>
      <c r="Z342" s="72">
        <f t="shared" si="115"/>
        <v>0.12070867434934346</v>
      </c>
      <c r="AA342" s="72">
        <f t="shared" si="116"/>
        <v>0.12601985602071455</v>
      </c>
      <c r="AB342" s="72">
        <f t="shared" si="117"/>
        <v>0.13156472968562599</v>
      </c>
      <c r="AC342" s="72">
        <f t="shared" si="118"/>
        <v>0.13735357779179352</v>
      </c>
      <c r="AD342" s="72">
        <f t="shared" si="119"/>
        <v>0.14339713521463243</v>
      </c>
      <c r="AE342" s="72">
        <f t="shared" si="120"/>
        <v>0.1497066091640763</v>
      </c>
      <c r="AF342" s="72"/>
      <c r="AG342" s="70"/>
      <c r="AH342" s="70"/>
      <c r="AI342" s="70"/>
    </row>
    <row r="343" spans="1:35" x14ac:dyDescent="0.45">
      <c r="A343" s="71"/>
      <c r="B343" s="52"/>
      <c r="C343" s="71"/>
      <c r="D343" s="52" t="s">
        <v>1363</v>
      </c>
      <c r="E343" s="71" t="s">
        <v>1485</v>
      </c>
      <c r="F343" s="70"/>
      <c r="G343" s="70"/>
      <c r="H343" s="70"/>
      <c r="I343" s="70"/>
      <c r="J343" s="70"/>
      <c r="K343" s="72"/>
      <c r="L343" s="72">
        <f t="shared" si="101"/>
        <v>0</v>
      </c>
      <c r="M343" s="72">
        <f t="shared" si="102"/>
        <v>0</v>
      </c>
      <c r="N343" s="72">
        <f t="shared" si="103"/>
        <v>0</v>
      </c>
      <c r="O343" s="72">
        <f t="shared" si="104"/>
        <v>0</v>
      </c>
      <c r="P343" s="72">
        <f t="shared" si="105"/>
        <v>0</v>
      </c>
      <c r="Q343" s="72">
        <f t="shared" si="106"/>
        <v>0</v>
      </c>
      <c r="R343" s="72">
        <f t="shared" si="107"/>
        <v>0</v>
      </c>
      <c r="S343" s="72">
        <f t="shared" si="108"/>
        <v>0</v>
      </c>
      <c r="T343" s="72">
        <f t="shared" si="109"/>
        <v>0</v>
      </c>
      <c r="U343" s="72">
        <f t="shared" si="110"/>
        <v>0</v>
      </c>
      <c r="V343" s="72">
        <f t="shared" si="111"/>
        <v>0</v>
      </c>
      <c r="W343" s="72">
        <f t="shared" si="112"/>
        <v>0</v>
      </c>
      <c r="X343" s="72">
        <f t="shared" si="113"/>
        <v>0</v>
      </c>
      <c r="Y343" s="72">
        <f t="shared" si="114"/>
        <v>0</v>
      </c>
      <c r="Z343" s="72">
        <f t="shared" si="115"/>
        <v>0</v>
      </c>
      <c r="AA343" s="72">
        <f t="shared" si="116"/>
        <v>0</v>
      </c>
      <c r="AB343" s="72">
        <f t="shared" si="117"/>
        <v>0</v>
      </c>
      <c r="AC343" s="72">
        <f t="shared" si="118"/>
        <v>0</v>
      </c>
      <c r="AD343" s="72">
        <f t="shared" si="119"/>
        <v>0</v>
      </c>
      <c r="AE343" s="72">
        <f t="shared" si="120"/>
        <v>0</v>
      </c>
      <c r="AF343" s="72"/>
      <c r="AG343" s="70"/>
      <c r="AH343" s="70"/>
      <c r="AI343" s="70"/>
    </row>
    <row r="344" spans="1:35" x14ac:dyDescent="0.45">
      <c r="A344" s="71"/>
      <c r="B344" s="52"/>
      <c r="C344" s="71"/>
      <c r="D344" s="52" t="s">
        <v>1369</v>
      </c>
      <c r="E344" s="71" t="s">
        <v>1485</v>
      </c>
      <c r="F344" s="70"/>
      <c r="G344" s="70"/>
      <c r="H344" s="70"/>
      <c r="I344" s="70"/>
      <c r="J344" s="70"/>
      <c r="K344" s="72"/>
      <c r="L344" s="72">
        <f t="shared" si="101"/>
        <v>24.646491529759945</v>
      </c>
      <c r="M344" s="72">
        <f t="shared" si="102"/>
        <v>25.459825750242022</v>
      </c>
      <c r="N344" s="72">
        <f t="shared" si="103"/>
        <v>26.3</v>
      </c>
      <c r="O344" s="72">
        <f t="shared" si="104"/>
        <v>27.167899999999999</v>
      </c>
      <c r="P344" s="72">
        <f t="shared" si="105"/>
        <v>28.064440699999995</v>
      </c>
      <c r="Q344" s="72">
        <f t="shared" si="106"/>
        <v>28.990567243099992</v>
      </c>
      <c r="R344" s="72">
        <f t="shared" si="107"/>
        <v>29.947255962122291</v>
      </c>
      <c r="S344" s="72">
        <f t="shared" si="108"/>
        <v>30.935515408872323</v>
      </c>
      <c r="T344" s="72">
        <f t="shared" si="109"/>
        <v>31.956387417365111</v>
      </c>
      <c r="U344" s="72">
        <f t="shared" si="110"/>
        <v>33.010948202138152</v>
      </c>
      <c r="V344" s="72">
        <f t="shared" si="111"/>
        <v>34.100309492808705</v>
      </c>
      <c r="W344" s="72">
        <f t="shared" si="112"/>
        <v>35.225619706071399</v>
      </c>
      <c r="X344" s="72">
        <f t="shared" si="113"/>
        <v>36.388065156371745</v>
      </c>
      <c r="Y344" s="72">
        <f t="shared" si="114"/>
        <v>37.588871306532013</v>
      </c>
      <c r="Z344" s="72">
        <f t="shared" si="115"/>
        <v>38.829304059647569</v>
      </c>
      <c r="AA344" s="72">
        <f t="shared" si="116"/>
        <v>40.110671093615935</v>
      </c>
      <c r="AB344" s="72">
        <f t="shared" si="117"/>
        <v>41.434323239705257</v>
      </c>
      <c r="AC344" s="72">
        <f t="shared" si="118"/>
        <v>42.801655906615522</v>
      </c>
      <c r="AD344" s="72">
        <f t="shared" si="119"/>
        <v>44.214110551533835</v>
      </c>
      <c r="AE344" s="72">
        <f t="shared" si="120"/>
        <v>45.673176199734449</v>
      </c>
      <c r="AF344" s="72"/>
      <c r="AG344" s="70"/>
      <c r="AH344" s="70"/>
      <c r="AI344" s="70"/>
    </row>
    <row r="345" spans="1:35" x14ac:dyDescent="0.45">
      <c r="A345" s="71"/>
      <c r="B345" s="52"/>
      <c r="C345" s="71"/>
      <c r="D345" s="52" t="s">
        <v>1442</v>
      </c>
      <c r="E345" s="71" t="s">
        <v>1485</v>
      </c>
      <c r="F345" s="70"/>
      <c r="G345" s="70"/>
      <c r="H345" s="70"/>
      <c r="I345" s="70"/>
      <c r="J345" s="70"/>
      <c r="K345" s="72"/>
      <c r="L345" s="72">
        <f t="shared" si="101"/>
        <v>0</v>
      </c>
      <c r="M345" s="72">
        <f t="shared" si="102"/>
        <v>0</v>
      </c>
      <c r="N345" s="72">
        <f t="shared" si="103"/>
        <v>0</v>
      </c>
      <c r="O345" s="72">
        <f t="shared" si="104"/>
        <v>0</v>
      </c>
      <c r="P345" s="72">
        <f t="shared" si="105"/>
        <v>0</v>
      </c>
      <c r="Q345" s="72">
        <f t="shared" si="106"/>
        <v>0</v>
      </c>
      <c r="R345" s="72">
        <f t="shared" si="107"/>
        <v>0</v>
      </c>
      <c r="S345" s="72">
        <f t="shared" si="108"/>
        <v>0</v>
      </c>
      <c r="T345" s="72">
        <f t="shared" si="109"/>
        <v>0</v>
      </c>
      <c r="U345" s="72">
        <f t="shared" si="110"/>
        <v>0</v>
      </c>
      <c r="V345" s="72">
        <f t="shared" si="111"/>
        <v>0</v>
      </c>
      <c r="W345" s="72">
        <f t="shared" si="112"/>
        <v>0</v>
      </c>
      <c r="X345" s="72">
        <f t="shared" si="113"/>
        <v>0</v>
      </c>
      <c r="Y345" s="72">
        <f t="shared" si="114"/>
        <v>0</v>
      </c>
      <c r="Z345" s="72">
        <f t="shared" si="115"/>
        <v>0</v>
      </c>
      <c r="AA345" s="72">
        <f t="shared" si="116"/>
        <v>0</v>
      </c>
      <c r="AB345" s="72">
        <f t="shared" si="117"/>
        <v>0</v>
      </c>
      <c r="AC345" s="72">
        <f t="shared" si="118"/>
        <v>0</v>
      </c>
      <c r="AD345" s="72">
        <f t="shared" si="119"/>
        <v>0</v>
      </c>
      <c r="AE345" s="72">
        <f t="shared" si="120"/>
        <v>0</v>
      </c>
      <c r="AF345" s="72"/>
      <c r="AG345" s="70"/>
      <c r="AH345" s="70"/>
      <c r="AI345" s="70"/>
    </row>
    <row r="346" spans="1:35" x14ac:dyDescent="0.45">
      <c r="A346" s="71"/>
      <c r="B346" s="52"/>
      <c r="C346" s="71"/>
      <c r="D346" s="52" t="s">
        <v>1383</v>
      </c>
      <c r="E346" s="71" t="s">
        <v>1485</v>
      </c>
      <c r="F346" s="70"/>
      <c r="G346" s="70"/>
      <c r="H346" s="70"/>
      <c r="I346" s="70"/>
      <c r="J346" s="70"/>
      <c r="K346" s="72"/>
      <c r="L346" s="72">
        <f t="shared" si="101"/>
        <v>0</v>
      </c>
      <c r="M346" s="72">
        <f t="shared" si="102"/>
        <v>0</v>
      </c>
      <c r="N346" s="72">
        <f t="shared" si="103"/>
        <v>0</v>
      </c>
      <c r="O346" s="72">
        <f t="shared" si="104"/>
        <v>0</v>
      </c>
      <c r="P346" s="72">
        <f t="shared" si="105"/>
        <v>0</v>
      </c>
      <c r="Q346" s="72">
        <f t="shared" si="106"/>
        <v>0</v>
      </c>
      <c r="R346" s="72">
        <f t="shared" si="107"/>
        <v>0</v>
      </c>
      <c r="S346" s="72">
        <f t="shared" si="108"/>
        <v>0</v>
      </c>
      <c r="T346" s="72">
        <f t="shared" si="109"/>
        <v>0</v>
      </c>
      <c r="U346" s="72">
        <f t="shared" si="110"/>
        <v>0</v>
      </c>
      <c r="V346" s="72">
        <f t="shared" si="111"/>
        <v>0</v>
      </c>
      <c r="W346" s="72">
        <f t="shared" si="112"/>
        <v>0</v>
      </c>
      <c r="X346" s="72">
        <f t="shared" si="113"/>
        <v>0</v>
      </c>
      <c r="Y346" s="72">
        <f t="shared" si="114"/>
        <v>0</v>
      </c>
      <c r="Z346" s="72">
        <f t="shared" si="115"/>
        <v>0</v>
      </c>
      <c r="AA346" s="72">
        <f t="shared" si="116"/>
        <v>0</v>
      </c>
      <c r="AB346" s="72">
        <f t="shared" si="117"/>
        <v>0</v>
      </c>
      <c r="AC346" s="72">
        <f t="shared" si="118"/>
        <v>0</v>
      </c>
      <c r="AD346" s="72">
        <f t="shared" si="119"/>
        <v>0</v>
      </c>
      <c r="AE346" s="72">
        <f t="shared" si="120"/>
        <v>0</v>
      </c>
      <c r="AF346" s="72"/>
      <c r="AG346" s="70"/>
      <c r="AH346" s="70"/>
      <c r="AI346" s="70"/>
    </row>
    <row r="347" spans="1:35" x14ac:dyDescent="0.45">
      <c r="A347" s="71"/>
      <c r="B347" s="52"/>
      <c r="C347" s="71"/>
      <c r="D347" s="52" t="s">
        <v>1390</v>
      </c>
      <c r="E347" s="71" t="s">
        <v>1485</v>
      </c>
      <c r="F347" s="70"/>
      <c r="G347" s="70"/>
      <c r="H347" s="70"/>
      <c r="I347" s="70"/>
      <c r="J347" s="70"/>
      <c r="K347" s="72"/>
      <c r="L347" s="72">
        <f t="shared" si="101"/>
        <v>0.55721293959505358</v>
      </c>
      <c r="M347" s="72">
        <f t="shared" si="102"/>
        <v>0.56947162426614473</v>
      </c>
      <c r="N347" s="72">
        <f t="shared" si="103"/>
        <v>0.58199999999999996</v>
      </c>
      <c r="O347" s="72">
        <f t="shared" si="104"/>
        <v>0.594804</v>
      </c>
      <c r="P347" s="72">
        <f t="shared" si="105"/>
        <v>0.60788968800000009</v>
      </c>
      <c r="Q347" s="72">
        <f t="shared" si="106"/>
        <v>0.62126326113599994</v>
      </c>
      <c r="R347" s="72">
        <f t="shared" si="107"/>
        <v>0.63493105288099194</v>
      </c>
      <c r="S347" s="72">
        <f t="shared" si="108"/>
        <v>0.64889953604437378</v>
      </c>
      <c r="T347" s="72">
        <f t="shared" si="109"/>
        <v>0.66317532583735006</v>
      </c>
      <c r="U347" s="72">
        <f t="shared" si="110"/>
        <v>0.67776518300577182</v>
      </c>
      <c r="V347" s="72">
        <f t="shared" si="111"/>
        <v>0.69267601703189885</v>
      </c>
      <c r="W347" s="72">
        <f t="shared" si="112"/>
        <v>0.70791488940660052</v>
      </c>
      <c r="X347" s="72">
        <f t="shared" si="113"/>
        <v>0.72348901697354573</v>
      </c>
      <c r="Y347" s="72">
        <f t="shared" si="114"/>
        <v>0.73940577534696372</v>
      </c>
      <c r="Z347" s="72">
        <f t="shared" si="115"/>
        <v>0.75567270240459705</v>
      </c>
      <c r="AA347" s="72">
        <f t="shared" si="116"/>
        <v>0.77229750185749824</v>
      </c>
      <c r="AB347" s="72">
        <f t="shared" si="117"/>
        <v>0.78928804689836318</v>
      </c>
      <c r="AC347" s="72">
        <f t="shared" si="118"/>
        <v>0.80665238393012717</v>
      </c>
      <c r="AD347" s="72">
        <f t="shared" si="119"/>
        <v>0.82439873637659</v>
      </c>
      <c r="AE347" s="72">
        <f t="shared" si="120"/>
        <v>0.84253550857687498</v>
      </c>
      <c r="AF347" s="72"/>
      <c r="AG347" s="70"/>
      <c r="AH347" s="70"/>
      <c r="AI347" s="70"/>
    </row>
    <row r="348" spans="1:35" x14ac:dyDescent="0.45">
      <c r="A348" s="71"/>
      <c r="B348" s="52"/>
      <c r="C348" s="71"/>
      <c r="D348" s="52" t="s">
        <v>1397</v>
      </c>
      <c r="E348" s="71" t="s">
        <v>1485</v>
      </c>
      <c r="F348" s="70"/>
      <c r="G348" s="70"/>
      <c r="H348" s="70"/>
      <c r="I348" s="70"/>
      <c r="J348" s="70"/>
      <c r="K348" s="72"/>
      <c r="L348" s="72">
        <f t="shared" si="101"/>
        <v>0.63340895307832257</v>
      </c>
      <c r="M348" s="72">
        <f t="shared" si="102"/>
        <v>0.66824644549763035</v>
      </c>
      <c r="N348" s="72">
        <f t="shared" si="103"/>
        <v>0.70499999999999996</v>
      </c>
      <c r="O348" s="72">
        <f t="shared" si="104"/>
        <v>0.74377499999999996</v>
      </c>
      <c r="P348" s="72">
        <f t="shared" si="105"/>
        <v>0.78468262499999997</v>
      </c>
      <c r="Q348" s="72">
        <f t="shared" si="106"/>
        <v>0.82784016937499993</v>
      </c>
      <c r="R348" s="72">
        <f t="shared" si="107"/>
        <v>0.87337137869062498</v>
      </c>
      <c r="S348" s="72">
        <f t="shared" si="108"/>
        <v>0.92140680451860935</v>
      </c>
      <c r="T348" s="72">
        <f t="shared" si="109"/>
        <v>0.97208417876713282</v>
      </c>
      <c r="U348" s="72">
        <f t="shared" si="110"/>
        <v>1.025548808599325</v>
      </c>
      <c r="V348" s="72">
        <f t="shared" si="111"/>
        <v>1.0819539930722879</v>
      </c>
      <c r="W348" s="72">
        <f t="shared" si="112"/>
        <v>1.1414614626912638</v>
      </c>
      <c r="X348" s="72">
        <f t="shared" si="113"/>
        <v>1.2042418431392832</v>
      </c>
      <c r="Y348" s="72">
        <f t="shared" si="114"/>
        <v>1.2704751445119435</v>
      </c>
      <c r="Z348" s="72">
        <f t="shared" si="115"/>
        <v>1.3403512774601003</v>
      </c>
      <c r="AA348" s="72">
        <f t="shared" si="116"/>
        <v>1.4140705977204062</v>
      </c>
      <c r="AB348" s="72">
        <f t="shared" si="117"/>
        <v>1.4918444805950282</v>
      </c>
      <c r="AC348" s="72">
        <f t="shared" si="118"/>
        <v>1.5738959270277546</v>
      </c>
      <c r="AD348" s="72">
        <f t="shared" si="119"/>
        <v>1.660460203014281</v>
      </c>
      <c r="AE348" s="72">
        <f t="shared" si="120"/>
        <v>1.7517855141800662</v>
      </c>
      <c r="AF348" s="72"/>
      <c r="AG348" s="70"/>
      <c r="AH348" s="70"/>
      <c r="AI348" s="70"/>
    </row>
    <row r="349" spans="1:35" x14ac:dyDescent="0.45">
      <c r="A349" s="70"/>
      <c r="B349" s="52"/>
      <c r="C349" s="52"/>
      <c r="D349" s="52" t="s">
        <v>1486</v>
      </c>
      <c r="E349" s="70"/>
      <c r="F349" s="70"/>
      <c r="G349" s="70"/>
      <c r="H349" s="70"/>
      <c r="I349" s="70"/>
      <c r="J349" s="70"/>
      <c r="K349" s="72"/>
      <c r="L349" s="72">
        <f t="shared" ref="L349:AE349" si="121">SUM(L341:L348)</f>
        <v>26.090339299916039</v>
      </c>
      <c r="M349" s="72">
        <f t="shared" si="121"/>
        <v>26.961911636097753</v>
      </c>
      <c r="N349" s="72">
        <f t="shared" si="121"/>
        <v>27.863</v>
      </c>
      <c r="O349" s="72">
        <f t="shared" si="121"/>
        <v>28.794622999999998</v>
      </c>
      <c r="P349" s="72">
        <f t="shared" si="121"/>
        <v>29.757835348999993</v>
      </c>
      <c r="Q349" s="72">
        <f t="shared" si="121"/>
        <v>30.753729192394996</v>
      </c>
      <c r="R349" s="72">
        <f t="shared" si="121"/>
        <v>31.783435487304406</v>
      </c>
      <c r="S349" s="72">
        <f t="shared" si="121"/>
        <v>32.848125435164668</v>
      </c>
      <c r="T349" s="72">
        <f t="shared" si="121"/>
        <v>33.949011969871044</v>
      </c>
      <c r="U349" s="72">
        <f t="shared" si="121"/>
        <v>35.087351303752364</v>
      </c>
      <c r="V349" s="72">
        <f t="shared" si="121"/>
        <v>36.264444533762408</v>
      </c>
      <c r="W349" s="72">
        <f t="shared" si="121"/>
        <v>37.481639310376153</v>
      </c>
      <c r="X349" s="72">
        <f t="shared" si="121"/>
        <v>38.740331571788573</v>
      </c>
      <c r="Y349" s="72">
        <f t="shared" si="121"/>
        <v>40.041967346128295</v>
      </c>
      <c r="Z349" s="72">
        <f t="shared" si="121"/>
        <v>41.388044624518081</v>
      </c>
      <c r="AA349" s="72">
        <f t="shared" si="121"/>
        <v>42.780115307939909</v>
      </c>
      <c r="AB349" s="72">
        <f t="shared" si="121"/>
        <v>44.219787230993546</v>
      </c>
      <c r="AC349" s="72">
        <f t="shared" si="121"/>
        <v>45.708726265775283</v>
      </c>
      <c r="AD349" s="72">
        <f t="shared" si="121"/>
        <v>47.248658509247463</v>
      </c>
      <c r="AE349" s="72">
        <f t="shared" si="121"/>
        <v>48.841372557620346</v>
      </c>
      <c r="AF349" s="70"/>
      <c r="AG349" s="70"/>
      <c r="AH349" s="70"/>
      <c r="AI349" s="70"/>
    </row>
    <row r="350" spans="1:35" x14ac:dyDescent="0.45">
      <c r="A350" s="70"/>
      <c r="B350" s="52"/>
      <c r="C350" s="52"/>
      <c r="D350" s="52"/>
      <c r="E350" s="70"/>
      <c r="F350" s="70"/>
      <c r="G350" s="70"/>
      <c r="H350" s="70"/>
      <c r="I350" s="70"/>
      <c r="J350" s="70"/>
      <c r="K350" s="72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</row>
    <row r="351" spans="1:35" x14ac:dyDescent="0.45">
      <c r="A351" s="70"/>
      <c r="B351" s="52"/>
      <c r="C351" s="73" t="s">
        <v>1488</v>
      </c>
      <c r="D351" s="73"/>
      <c r="E351" s="72" t="s">
        <v>1489</v>
      </c>
      <c r="F351" s="72" t="s">
        <v>1407</v>
      </c>
      <c r="G351" s="72" t="s">
        <v>1490</v>
      </c>
      <c r="H351" s="74"/>
      <c r="I351" s="74"/>
      <c r="J351" s="74"/>
      <c r="K351" s="74"/>
      <c r="L351" s="74">
        <f t="shared" ref="L351:AE351" si="122">L298</f>
        <v>2022</v>
      </c>
      <c r="M351" s="74">
        <f t="shared" si="122"/>
        <v>2023</v>
      </c>
      <c r="N351" s="74">
        <f t="shared" si="122"/>
        <v>2024</v>
      </c>
      <c r="O351" s="74">
        <f t="shared" si="122"/>
        <v>2025</v>
      </c>
      <c r="P351" s="74">
        <f t="shared" si="122"/>
        <v>2026</v>
      </c>
      <c r="Q351" s="74">
        <f t="shared" si="122"/>
        <v>2027</v>
      </c>
      <c r="R351" s="74">
        <f t="shared" si="122"/>
        <v>2028</v>
      </c>
      <c r="S351" s="74">
        <f t="shared" si="122"/>
        <v>2029</v>
      </c>
      <c r="T351" s="74">
        <f t="shared" si="122"/>
        <v>2030</v>
      </c>
      <c r="U351" s="74">
        <f t="shared" si="122"/>
        <v>2031</v>
      </c>
      <c r="V351" s="74">
        <f t="shared" si="122"/>
        <v>2032</v>
      </c>
      <c r="W351" s="74">
        <f t="shared" si="122"/>
        <v>2033</v>
      </c>
      <c r="X351" s="74">
        <f t="shared" si="122"/>
        <v>2034</v>
      </c>
      <c r="Y351" s="74">
        <f t="shared" si="122"/>
        <v>2035</v>
      </c>
      <c r="Z351" s="74">
        <f t="shared" si="122"/>
        <v>2036</v>
      </c>
      <c r="AA351" s="74">
        <f t="shared" si="122"/>
        <v>2037</v>
      </c>
      <c r="AB351" s="74">
        <f t="shared" si="122"/>
        <v>2038</v>
      </c>
      <c r="AC351" s="74">
        <f t="shared" si="122"/>
        <v>2039</v>
      </c>
      <c r="AD351" s="74">
        <f t="shared" si="122"/>
        <v>2040</v>
      </c>
      <c r="AE351" s="74">
        <f t="shared" si="122"/>
        <v>2041</v>
      </c>
      <c r="AF351" s="70"/>
      <c r="AG351" s="70"/>
      <c r="AH351" s="70"/>
      <c r="AI351" s="70"/>
    </row>
    <row r="352" spans="1:35" x14ac:dyDescent="0.45">
      <c r="A352" s="70"/>
      <c r="B352" s="52"/>
      <c r="C352" s="52"/>
      <c r="D352" s="52" t="s">
        <v>1350</v>
      </c>
      <c r="E352" s="82">
        <f>'Manual inputs'!E$40</f>
        <v>1.0536051565782599E-3</v>
      </c>
      <c r="F352" s="78">
        <f>'Manual inputs'!F$40</f>
        <v>0.1</v>
      </c>
      <c r="G352" s="72"/>
      <c r="H352" s="70"/>
      <c r="I352" s="70"/>
      <c r="J352" s="70"/>
      <c r="K352" s="70"/>
      <c r="L352" s="72">
        <f t="shared" ref="L352:AE352" si="123">L330*(EXP(-($E352)*(L249))-1)</f>
        <v>0</v>
      </c>
      <c r="M352" s="72">
        <f t="shared" si="123"/>
        <v>0</v>
      </c>
      <c r="N352" s="72">
        <f t="shared" si="123"/>
        <v>0</v>
      </c>
      <c r="O352" s="72">
        <f t="shared" si="123"/>
        <v>0</v>
      </c>
      <c r="P352" s="72">
        <f t="shared" si="123"/>
        <v>0</v>
      </c>
      <c r="Q352" s="72">
        <f t="shared" si="123"/>
        <v>0</v>
      </c>
      <c r="R352" s="72">
        <f t="shared" si="123"/>
        <v>0</v>
      </c>
      <c r="S352" s="72">
        <f t="shared" si="123"/>
        <v>0</v>
      </c>
      <c r="T352" s="72">
        <f t="shared" si="123"/>
        <v>0</v>
      </c>
      <c r="U352" s="72">
        <f t="shared" si="123"/>
        <v>0</v>
      </c>
      <c r="V352" s="72">
        <f t="shared" si="123"/>
        <v>0</v>
      </c>
      <c r="W352" s="72">
        <f t="shared" si="123"/>
        <v>0</v>
      </c>
      <c r="X352" s="72">
        <f t="shared" si="123"/>
        <v>0</v>
      </c>
      <c r="Y352" s="72">
        <f t="shared" si="123"/>
        <v>0</v>
      </c>
      <c r="Z352" s="72">
        <f t="shared" si="123"/>
        <v>0</v>
      </c>
      <c r="AA352" s="72">
        <f t="shared" si="123"/>
        <v>0</v>
      </c>
      <c r="AB352" s="72">
        <f t="shared" si="123"/>
        <v>0</v>
      </c>
      <c r="AC352" s="72">
        <f t="shared" si="123"/>
        <v>0</v>
      </c>
      <c r="AD352" s="72">
        <f t="shared" si="123"/>
        <v>0</v>
      </c>
      <c r="AE352" s="72">
        <f t="shared" si="123"/>
        <v>0</v>
      </c>
      <c r="AF352" s="70"/>
      <c r="AG352" s="70"/>
      <c r="AH352" s="70"/>
      <c r="AI352" s="70"/>
    </row>
    <row r="353" spans="1:35" x14ac:dyDescent="0.45">
      <c r="A353" s="70"/>
      <c r="B353" s="52"/>
      <c r="C353" s="52"/>
      <c r="D353" s="52" t="s">
        <v>1357</v>
      </c>
      <c r="E353" s="82">
        <f>'Manual inputs'!E$41</f>
        <v>2.0202707317519501E-4</v>
      </c>
      <c r="F353" s="78">
        <f>'Manual inputs'!F$41</f>
        <v>0.02</v>
      </c>
      <c r="G353" s="72"/>
      <c r="H353" s="70"/>
      <c r="I353" s="70"/>
      <c r="J353" s="70"/>
      <c r="K353" s="70"/>
      <c r="L353" s="72">
        <f t="shared" ref="L353:AE353" si="124">L331*(EXP(-($E353)*(L249))-1)</f>
        <v>0</v>
      </c>
      <c r="M353" s="72">
        <f t="shared" si="124"/>
        <v>0</v>
      </c>
      <c r="N353" s="72">
        <f t="shared" si="124"/>
        <v>0</v>
      </c>
      <c r="O353" s="72">
        <f t="shared" si="124"/>
        <v>0</v>
      </c>
      <c r="P353" s="72">
        <f t="shared" si="124"/>
        <v>0</v>
      </c>
      <c r="Q353" s="72">
        <f t="shared" si="124"/>
        <v>0</v>
      </c>
      <c r="R353" s="72">
        <f t="shared" si="124"/>
        <v>0</v>
      </c>
      <c r="S353" s="72">
        <f t="shared" si="124"/>
        <v>0</v>
      </c>
      <c r="T353" s="72">
        <f t="shared" si="124"/>
        <v>0</v>
      </c>
      <c r="U353" s="72">
        <f t="shared" si="124"/>
        <v>0</v>
      </c>
      <c r="V353" s="72">
        <f t="shared" si="124"/>
        <v>0</v>
      </c>
      <c r="W353" s="72">
        <f t="shared" si="124"/>
        <v>0</v>
      </c>
      <c r="X353" s="72">
        <f t="shared" si="124"/>
        <v>0</v>
      </c>
      <c r="Y353" s="72">
        <f t="shared" si="124"/>
        <v>0</v>
      </c>
      <c r="Z353" s="72">
        <f t="shared" si="124"/>
        <v>0</v>
      </c>
      <c r="AA353" s="72">
        <f t="shared" si="124"/>
        <v>0</v>
      </c>
      <c r="AB353" s="72">
        <f t="shared" si="124"/>
        <v>0</v>
      </c>
      <c r="AC353" s="72">
        <f t="shared" si="124"/>
        <v>0</v>
      </c>
      <c r="AD353" s="72">
        <f t="shared" si="124"/>
        <v>0</v>
      </c>
      <c r="AE353" s="72">
        <f t="shared" si="124"/>
        <v>0</v>
      </c>
      <c r="AF353" s="70"/>
      <c r="AG353" s="70"/>
      <c r="AH353" s="70"/>
      <c r="AI353" s="70"/>
    </row>
    <row r="354" spans="1:35" x14ac:dyDescent="0.45">
      <c r="A354" s="70"/>
      <c r="B354" s="52"/>
      <c r="C354" s="52"/>
      <c r="D354" s="52" t="s">
        <v>1408</v>
      </c>
      <c r="E354" s="82">
        <f>'Manual inputs'!E$42</f>
        <v>5.1293294387550598E-4</v>
      </c>
      <c r="F354" s="78">
        <f>'Manual inputs'!F$42</f>
        <v>0.05</v>
      </c>
      <c r="G354" s="72"/>
      <c r="H354" s="70"/>
      <c r="I354" s="70"/>
      <c r="J354" s="70"/>
      <c r="K354" s="70"/>
      <c r="L354" s="72">
        <f t="shared" ref="L354:AE354" si="125">L332*(EXP(-($E354)*(L249))-1)</f>
        <v>0</v>
      </c>
      <c r="M354" s="72">
        <f t="shared" si="125"/>
        <v>0</v>
      </c>
      <c r="N354" s="72">
        <f t="shared" si="125"/>
        <v>0</v>
      </c>
      <c r="O354" s="72">
        <f t="shared" si="125"/>
        <v>0</v>
      </c>
      <c r="P354" s="72">
        <f t="shared" si="125"/>
        <v>0</v>
      </c>
      <c r="Q354" s="72">
        <f t="shared" si="125"/>
        <v>0</v>
      </c>
      <c r="R354" s="72">
        <f t="shared" si="125"/>
        <v>0</v>
      </c>
      <c r="S354" s="72">
        <f t="shared" si="125"/>
        <v>0</v>
      </c>
      <c r="T354" s="72">
        <f t="shared" si="125"/>
        <v>0</v>
      </c>
      <c r="U354" s="72">
        <f t="shared" si="125"/>
        <v>0</v>
      </c>
      <c r="V354" s="72">
        <f t="shared" si="125"/>
        <v>0</v>
      </c>
      <c r="W354" s="72">
        <f t="shared" si="125"/>
        <v>0</v>
      </c>
      <c r="X354" s="72">
        <f t="shared" si="125"/>
        <v>0</v>
      </c>
      <c r="Y354" s="72">
        <f t="shared" si="125"/>
        <v>0</v>
      </c>
      <c r="Z354" s="72">
        <f t="shared" si="125"/>
        <v>0</v>
      </c>
      <c r="AA354" s="72">
        <f t="shared" si="125"/>
        <v>0</v>
      </c>
      <c r="AB354" s="72">
        <f t="shared" si="125"/>
        <v>0</v>
      </c>
      <c r="AC354" s="72">
        <f t="shared" si="125"/>
        <v>0</v>
      </c>
      <c r="AD354" s="72">
        <f t="shared" si="125"/>
        <v>0</v>
      </c>
      <c r="AE354" s="72">
        <f t="shared" si="125"/>
        <v>0</v>
      </c>
      <c r="AF354" s="70"/>
      <c r="AG354" s="70"/>
      <c r="AH354" s="70"/>
      <c r="AI354" s="70"/>
    </row>
    <row r="355" spans="1:35" x14ac:dyDescent="0.45">
      <c r="A355" s="70"/>
      <c r="B355" s="52"/>
      <c r="C355" s="52"/>
      <c r="D355" s="52" t="s">
        <v>1409</v>
      </c>
      <c r="E355" s="82">
        <f>'Manual inputs'!E$43</f>
        <v>8.3381608939051E-4</v>
      </c>
      <c r="F355" s="78">
        <f>'Manual inputs'!F$43</f>
        <v>0.08</v>
      </c>
      <c r="G355" s="72"/>
      <c r="H355" s="70"/>
      <c r="I355" s="70"/>
      <c r="J355" s="70"/>
      <c r="K355" s="70"/>
      <c r="L355" s="72">
        <f t="shared" ref="L355:AE355" si="126">L333*(EXP(-($E355)*(L249))-1)</f>
        <v>0</v>
      </c>
      <c r="M355" s="72">
        <f t="shared" si="126"/>
        <v>0</v>
      </c>
      <c r="N355" s="72">
        <f t="shared" si="126"/>
        <v>0</v>
      </c>
      <c r="O355" s="72">
        <f t="shared" si="126"/>
        <v>0</v>
      </c>
      <c r="P355" s="72">
        <f t="shared" si="126"/>
        <v>0</v>
      </c>
      <c r="Q355" s="72">
        <f t="shared" si="126"/>
        <v>0</v>
      </c>
      <c r="R355" s="72">
        <f t="shared" si="126"/>
        <v>0</v>
      </c>
      <c r="S355" s="72">
        <f t="shared" si="126"/>
        <v>0</v>
      </c>
      <c r="T355" s="72">
        <f t="shared" si="126"/>
        <v>0</v>
      </c>
      <c r="U355" s="72">
        <f t="shared" si="126"/>
        <v>0</v>
      </c>
      <c r="V355" s="72">
        <f t="shared" si="126"/>
        <v>0</v>
      </c>
      <c r="W355" s="72">
        <f t="shared" si="126"/>
        <v>0</v>
      </c>
      <c r="X355" s="72">
        <f t="shared" si="126"/>
        <v>0</v>
      </c>
      <c r="Y355" s="72">
        <f t="shared" si="126"/>
        <v>0</v>
      </c>
      <c r="Z355" s="72">
        <f t="shared" si="126"/>
        <v>0</v>
      </c>
      <c r="AA355" s="72">
        <f t="shared" si="126"/>
        <v>0</v>
      </c>
      <c r="AB355" s="72">
        <f t="shared" si="126"/>
        <v>0</v>
      </c>
      <c r="AC355" s="72">
        <f t="shared" si="126"/>
        <v>0</v>
      </c>
      <c r="AD355" s="72">
        <f t="shared" si="126"/>
        <v>0</v>
      </c>
      <c r="AE355" s="72">
        <f t="shared" si="126"/>
        <v>0</v>
      </c>
      <c r="AF355" s="70"/>
      <c r="AG355" s="70"/>
      <c r="AH355" s="70"/>
      <c r="AI355" s="70"/>
    </row>
    <row r="356" spans="1:35" x14ac:dyDescent="0.45">
      <c r="A356" s="70"/>
      <c r="B356" s="52"/>
      <c r="C356" s="52"/>
      <c r="D356" s="52" t="s">
        <v>1410</v>
      </c>
      <c r="E356" s="82">
        <f>'Manual inputs'!E$44</f>
        <v>1.98450938723838E-3</v>
      </c>
      <c r="F356" s="78">
        <f>'Manual inputs'!F$44</f>
        <v>0.18</v>
      </c>
      <c r="G356" s="72"/>
      <c r="H356" s="70"/>
      <c r="I356" s="70"/>
      <c r="J356" s="70"/>
      <c r="K356" s="70"/>
      <c r="L356" s="72">
        <f t="shared" ref="L356:AE356" si="127">L334*(EXP(-($E356)*(L249))-1)</f>
        <v>0</v>
      </c>
      <c r="M356" s="72">
        <f t="shared" si="127"/>
        <v>0</v>
      </c>
      <c r="N356" s="72">
        <f t="shared" si="127"/>
        <v>0</v>
      </c>
      <c r="O356" s="72">
        <f t="shared" si="127"/>
        <v>0</v>
      </c>
      <c r="P356" s="72">
        <f t="shared" si="127"/>
        <v>0</v>
      </c>
      <c r="Q356" s="72">
        <f t="shared" si="127"/>
        <v>0</v>
      </c>
      <c r="R356" s="72">
        <f t="shared" si="127"/>
        <v>0</v>
      </c>
      <c r="S356" s="72">
        <f t="shared" si="127"/>
        <v>0</v>
      </c>
      <c r="T356" s="72">
        <f t="shared" si="127"/>
        <v>0</v>
      </c>
      <c r="U356" s="72">
        <f t="shared" si="127"/>
        <v>0</v>
      </c>
      <c r="V356" s="72">
        <f t="shared" si="127"/>
        <v>0</v>
      </c>
      <c r="W356" s="72">
        <f t="shared" si="127"/>
        <v>0</v>
      </c>
      <c r="X356" s="72">
        <f t="shared" si="127"/>
        <v>0</v>
      </c>
      <c r="Y356" s="72">
        <f t="shared" si="127"/>
        <v>0</v>
      </c>
      <c r="Z356" s="72">
        <f t="shared" si="127"/>
        <v>0</v>
      </c>
      <c r="AA356" s="72">
        <f t="shared" si="127"/>
        <v>0</v>
      </c>
      <c r="AB356" s="72">
        <f t="shared" si="127"/>
        <v>0</v>
      </c>
      <c r="AC356" s="72">
        <f t="shared" si="127"/>
        <v>0</v>
      </c>
      <c r="AD356" s="72">
        <f t="shared" si="127"/>
        <v>0</v>
      </c>
      <c r="AE356" s="72">
        <f t="shared" si="127"/>
        <v>0</v>
      </c>
      <c r="AF356" s="70"/>
      <c r="AG356" s="70"/>
      <c r="AH356" s="70"/>
      <c r="AI356" s="70"/>
    </row>
    <row r="357" spans="1:35" x14ac:dyDescent="0.45">
      <c r="A357" s="70"/>
      <c r="B357" s="52"/>
      <c r="C357" s="52"/>
      <c r="D357" s="52" t="s">
        <v>1383</v>
      </c>
      <c r="E357" s="82">
        <f>'Manual inputs'!E$45</f>
        <v>0</v>
      </c>
      <c r="F357" s="78">
        <f>'Manual inputs'!F$45</f>
        <v>0</v>
      </c>
      <c r="G357" s="72"/>
      <c r="H357" s="70"/>
      <c r="I357" s="70"/>
      <c r="J357" s="70"/>
      <c r="K357" s="70"/>
      <c r="L357" s="72">
        <f t="shared" ref="L357:AE357" si="128">L335*(EXP(-($E357)*(L249))-1)</f>
        <v>0</v>
      </c>
      <c r="M357" s="72">
        <f t="shared" si="128"/>
        <v>0</v>
      </c>
      <c r="N357" s="72">
        <f t="shared" si="128"/>
        <v>0</v>
      </c>
      <c r="O357" s="72">
        <f t="shared" si="128"/>
        <v>0</v>
      </c>
      <c r="P357" s="72">
        <f t="shared" si="128"/>
        <v>0</v>
      </c>
      <c r="Q357" s="72">
        <f t="shared" si="128"/>
        <v>0</v>
      </c>
      <c r="R357" s="72">
        <f t="shared" si="128"/>
        <v>0</v>
      </c>
      <c r="S357" s="72">
        <f t="shared" si="128"/>
        <v>0</v>
      </c>
      <c r="T357" s="72">
        <f t="shared" si="128"/>
        <v>0</v>
      </c>
      <c r="U357" s="72">
        <f t="shared" si="128"/>
        <v>0</v>
      </c>
      <c r="V357" s="72">
        <f t="shared" si="128"/>
        <v>0</v>
      </c>
      <c r="W357" s="72">
        <f t="shared" si="128"/>
        <v>0</v>
      </c>
      <c r="X357" s="72">
        <f t="shared" si="128"/>
        <v>0</v>
      </c>
      <c r="Y357" s="72">
        <f t="shared" si="128"/>
        <v>0</v>
      </c>
      <c r="Z357" s="72">
        <f t="shared" si="128"/>
        <v>0</v>
      </c>
      <c r="AA357" s="72">
        <f t="shared" si="128"/>
        <v>0</v>
      </c>
      <c r="AB357" s="72">
        <f t="shared" si="128"/>
        <v>0</v>
      </c>
      <c r="AC357" s="72">
        <f t="shared" si="128"/>
        <v>0</v>
      </c>
      <c r="AD357" s="72">
        <f t="shared" si="128"/>
        <v>0</v>
      </c>
      <c r="AE357" s="72">
        <f t="shared" si="128"/>
        <v>0</v>
      </c>
      <c r="AF357" s="70"/>
      <c r="AG357" s="70"/>
      <c r="AH357" s="70"/>
      <c r="AI357" s="70"/>
    </row>
    <row r="358" spans="1:35" x14ac:dyDescent="0.45">
      <c r="A358" s="70"/>
      <c r="B358" s="52"/>
      <c r="C358" s="52"/>
      <c r="D358" s="52" t="s">
        <v>1411</v>
      </c>
      <c r="E358" s="82">
        <f>'Manual inputs'!E$46</f>
        <v>1.04982212449868E-2</v>
      </c>
      <c r="F358" s="78">
        <f>'Manual inputs'!F$46</f>
        <v>0.65</v>
      </c>
      <c r="G358" s="72"/>
      <c r="H358" s="70"/>
      <c r="I358" s="70"/>
      <c r="J358" s="70"/>
      <c r="K358" s="70"/>
      <c r="L358" s="72">
        <f t="shared" ref="L358:AE358" si="129">L336*(EXP(-($E358)*(L249))-1)</f>
        <v>0</v>
      </c>
      <c r="M358" s="72">
        <f t="shared" si="129"/>
        <v>0</v>
      </c>
      <c r="N358" s="72">
        <f t="shared" si="129"/>
        <v>0</v>
      </c>
      <c r="O358" s="72">
        <f t="shared" si="129"/>
        <v>0</v>
      </c>
      <c r="P358" s="72">
        <f t="shared" si="129"/>
        <v>0</v>
      </c>
      <c r="Q358" s="72">
        <f t="shared" si="129"/>
        <v>0</v>
      </c>
      <c r="R358" s="72">
        <f t="shared" si="129"/>
        <v>0</v>
      </c>
      <c r="S358" s="72">
        <f t="shared" si="129"/>
        <v>0</v>
      </c>
      <c r="T358" s="72">
        <f t="shared" si="129"/>
        <v>0</v>
      </c>
      <c r="U358" s="72">
        <f t="shared" si="129"/>
        <v>0</v>
      </c>
      <c r="V358" s="72">
        <f t="shared" si="129"/>
        <v>0</v>
      </c>
      <c r="W358" s="72">
        <f t="shared" si="129"/>
        <v>0</v>
      </c>
      <c r="X358" s="72">
        <f t="shared" si="129"/>
        <v>0</v>
      </c>
      <c r="Y358" s="72">
        <f t="shared" si="129"/>
        <v>0</v>
      </c>
      <c r="Z358" s="72">
        <f t="shared" si="129"/>
        <v>0</v>
      </c>
      <c r="AA358" s="72">
        <f t="shared" si="129"/>
        <v>0</v>
      </c>
      <c r="AB358" s="72">
        <f t="shared" si="129"/>
        <v>0</v>
      </c>
      <c r="AC358" s="72">
        <f t="shared" si="129"/>
        <v>0</v>
      </c>
      <c r="AD358" s="72">
        <f t="shared" si="129"/>
        <v>0</v>
      </c>
      <c r="AE358" s="72">
        <f t="shared" si="129"/>
        <v>0</v>
      </c>
      <c r="AF358" s="70"/>
      <c r="AG358" s="70"/>
      <c r="AH358" s="70"/>
      <c r="AI358" s="70"/>
    </row>
    <row r="359" spans="1:35" x14ac:dyDescent="0.45">
      <c r="A359" s="70"/>
      <c r="B359" s="52"/>
      <c r="C359" s="52"/>
      <c r="D359" s="52" t="s">
        <v>1397</v>
      </c>
      <c r="E359" s="82">
        <f>'Manual inputs'!E$47</f>
        <v>8.3381608939051E-4</v>
      </c>
      <c r="F359" s="78">
        <f>'Manual inputs'!F$47</f>
        <v>0.08</v>
      </c>
      <c r="G359" s="72"/>
      <c r="H359" s="72"/>
      <c r="I359" s="72"/>
      <c r="J359" s="72"/>
      <c r="K359" s="72"/>
      <c r="L359" s="72">
        <f t="shared" ref="L359:AE359" si="130">L337*(EXP(-($E359)*(L249))-1)</f>
        <v>0</v>
      </c>
      <c r="M359" s="72">
        <f t="shared" si="130"/>
        <v>0</v>
      </c>
      <c r="N359" s="72">
        <f t="shared" si="130"/>
        <v>0</v>
      </c>
      <c r="O359" s="72">
        <f t="shared" si="130"/>
        <v>0</v>
      </c>
      <c r="P359" s="72">
        <f t="shared" si="130"/>
        <v>0</v>
      </c>
      <c r="Q359" s="72">
        <f t="shared" si="130"/>
        <v>0</v>
      </c>
      <c r="R359" s="72">
        <f t="shared" si="130"/>
        <v>0</v>
      </c>
      <c r="S359" s="72">
        <f t="shared" si="130"/>
        <v>0</v>
      </c>
      <c r="T359" s="72">
        <f t="shared" si="130"/>
        <v>0</v>
      </c>
      <c r="U359" s="72">
        <f t="shared" si="130"/>
        <v>0</v>
      </c>
      <c r="V359" s="72">
        <f t="shared" si="130"/>
        <v>0</v>
      </c>
      <c r="W359" s="72">
        <f t="shared" si="130"/>
        <v>0</v>
      </c>
      <c r="X359" s="72">
        <f t="shared" si="130"/>
        <v>0</v>
      </c>
      <c r="Y359" s="72">
        <f t="shared" si="130"/>
        <v>0</v>
      </c>
      <c r="Z359" s="72">
        <f t="shared" si="130"/>
        <v>0</v>
      </c>
      <c r="AA359" s="72">
        <f t="shared" si="130"/>
        <v>0</v>
      </c>
      <c r="AB359" s="72">
        <f t="shared" si="130"/>
        <v>0</v>
      </c>
      <c r="AC359" s="72">
        <f t="shared" si="130"/>
        <v>0</v>
      </c>
      <c r="AD359" s="72">
        <f t="shared" si="130"/>
        <v>0</v>
      </c>
      <c r="AE359" s="72">
        <f t="shared" si="130"/>
        <v>0</v>
      </c>
      <c r="AF359" s="70"/>
      <c r="AG359" s="70"/>
      <c r="AH359" s="70"/>
      <c r="AI359" s="70"/>
    </row>
    <row r="360" spans="1:35" x14ac:dyDescent="0.45">
      <c r="A360" s="70"/>
      <c r="B360" s="52"/>
      <c r="C360" s="52"/>
      <c r="D360" s="72" t="s">
        <v>111</v>
      </c>
      <c r="E360" s="72"/>
      <c r="F360" s="72"/>
      <c r="G360" s="70" t="s">
        <v>1492</v>
      </c>
      <c r="H360" s="87" t="str">
        <f>Settings!$B$3&amp;".mit.emrf."&amp;$G360&amp;"."&amp;$J$5</f>
        <v>egy.mit.emrf.cbam.tot.1</v>
      </c>
      <c r="I360" s="72"/>
      <c r="J360" s="72"/>
      <c r="K360" s="72"/>
      <c r="L360" s="72">
        <f t="shared" ref="L360:AE360" si="131">SUM(L352:L359)</f>
        <v>0</v>
      </c>
      <c r="M360" s="72">
        <f t="shared" si="131"/>
        <v>0</v>
      </c>
      <c r="N360" s="72">
        <f t="shared" si="131"/>
        <v>0</v>
      </c>
      <c r="O360" s="72">
        <f t="shared" si="131"/>
        <v>0</v>
      </c>
      <c r="P360" s="72">
        <f t="shared" si="131"/>
        <v>0</v>
      </c>
      <c r="Q360" s="72">
        <f t="shared" si="131"/>
        <v>0</v>
      </c>
      <c r="R360" s="72">
        <f t="shared" si="131"/>
        <v>0</v>
      </c>
      <c r="S360" s="72">
        <f t="shared" si="131"/>
        <v>0</v>
      </c>
      <c r="T360" s="72">
        <f t="shared" si="131"/>
        <v>0</v>
      </c>
      <c r="U360" s="72">
        <f t="shared" si="131"/>
        <v>0</v>
      </c>
      <c r="V360" s="72">
        <f t="shared" si="131"/>
        <v>0</v>
      </c>
      <c r="W360" s="72">
        <f t="shared" si="131"/>
        <v>0</v>
      </c>
      <c r="X360" s="72">
        <f t="shared" si="131"/>
        <v>0</v>
      </c>
      <c r="Y360" s="72">
        <f t="shared" si="131"/>
        <v>0</v>
      </c>
      <c r="Z360" s="72">
        <f t="shared" si="131"/>
        <v>0</v>
      </c>
      <c r="AA360" s="72">
        <f t="shared" si="131"/>
        <v>0</v>
      </c>
      <c r="AB360" s="72">
        <f t="shared" si="131"/>
        <v>0</v>
      </c>
      <c r="AC360" s="72">
        <f t="shared" si="131"/>
        <v>0</v>
      </c>
      <c r="AD360" s="72">
        <f t="shared" si="131"/>
        <v>0</v>
      </c>
      <c r="AE360" s="72">
        <f t="shared" si="131"/>
        <v>0</v>
      </c>
      <c r="AF360" s="70"/>
      <c r="AG360" s="70"/>
      <c r="AH360" s="70"/>
      <c r="AI360" s="70"/>
    </row>
    <row r="361" spans="1:35" x14ac:dyDescent="0.45">
      <c r="A361" s="70"/>
      <c r="B361" s="52"/>
      <c r="C361" s="52"/>
      <c r="D361" s="52"/>
      <c r="E361" s="70"/>
      <c r="F361" s="70"/>
      <c r="G361" s="70"/>
      <c r="H361" s="70"/>
      <c r="I361" s="70"/>
      <c r="J361" s="70"/>
      <c r="K361" s="72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</row>
    <row r="362" spans="1:35" x14ac:dyDescent="0.45">
      <c r="A362" s="70"/>
      <c r="B362" s="52"/>
      <c r="C362" s="73" t="s">
        <v>1491</v>
      </c>
      <c r="D362" s="73"/>
      <c r="E362" s="72" t="s">
        <v>1489</v>
      </c>
      <c r="F362" s="72" t="s">
        <v>1407</v>
      </c>
      <c r="G362" s="72" t="s">
        <v>1490</v>
      </c>
      <c r="H362" s="74"/>
      <c r="I362" s="74"/>
      <c r="J362" s="74"/>
      <c r="K362" s="74"/>
      <c r="L362" s="74">
        <f t="shared" ref="L362:AE362" si="132">L309</f>
        <v>2022</v>
      </c>
      <c r="M362" s="74">
        <f t="shared" si="132"/>
        <v>2023</v>
      </c>
      <c r="N362" s="74">
        <f t="shared" si="132"/>
        <v>2024</v>
      </c>
      <c r="O362" s="74">
        <f t="shared" si="132"/>
        <v>2025</v>
      </c>
      <c r="P362" s="74">
        <f t="shared" si="132"/>
        <v>2026</v>
      </c>
      <c r="Q362" s="74">
        <f t="shared" si="132"/>
        <v>2027</v>
      </c>
      <c r="R362" s="74">
        <f t="shared" si="132"/>
        <v>2028</v>
      </c>
      <c r="S362" s="74">
        <f t="shared" si="132"/>
        <v>2029</v>
      </c>
      <c r="T362" s="74">
        <f t="shared" si="132"/>
        <v>2030</v>
      </c>
      <c r="U362" s="74">
        <f t="shared" si="132"/>
        <v>2031</v>
      </c>
      <c r="V362" s="74">
        <f t="shared" si="132"/>
        <v>2032</v>
      </c>
      <c r="W362" s="74">
        <f t="shared" si="132"/>
        <v>2033</v>
      </c>
      <c r="X362" s="74">
        <f t="shared" si="132"/>
        <v>2034</v>
      </c>
      <c r="Y362" s="74">
        <f t="shared" si="132"/>
        <v>2035</v>
      </c>
      <c r="Z362" s="74">
        <f t="shared" si="132"/>
        <v>2036</v>
      </c>
      <c r="AA362" s="74">
        <f t="shared" si="132"/>
        <v>2037</v>
      </c>
      <c r="AB362" s="74">
        <f t="shared" si="132"/>
        <v>2038</v>
      </c>
      <c r="AC362" s="74">
        <f t="shared" si="132"/>
        <v>2039</v>
      </c>
      <c r="AD362" s="74">
        <f t="shared" si="132"/>
        <v>2040</v>
      </c>
      <c r="AE362" s="74">
        <f t="shared" si="132"/>
        <v>2041</v>
      </c>
      <c r="AF362" s="70"/>
      <c r="AG362" s="70"/>
      <c r="AH362" s="70"/>
      <c r="AI362" s="70"/>
    </row>
    <row r="363" spans="1:35" x14ac:dyDescent="0.45">
      <c r="A363" s="70"/>
      <c r="B363" s="52"/>
      <c r="C363" s="52"/>
      <c r="D363" s="52" t="s">
        <v>1350</v>
      </c>
      <c r="E363" s="82">
        <f>'Manual inputs'!E$40</f>
        <v>1.0536051565782599E-3</v>
      </c>
      <c r="F363" s="78">
        <f>'Manual inputs'!F$40</f>
        <v>0.1</v>
      </c>
      <c r="G363" s="72"/>
      <c r="H363" s="70"/>
      <c r="I363" s="70" t="s">
        <v>2732</v>
      </c>
      <c r="J363" s="70"/>
      <c r="K363" s="70"/>
      <c r="L363" s="72">
        <f>L341*$J330*(EXP(-($E363)*($F310*L$308+$G310*L$248+L$249))-1)</f>
        <v>0</v>
      </c>
      <c r="M363" s="72">
        <f>M341*$J330*(EXP(-($E363)*($F310*M$308+$G310*M$248+M$249))-1)</f>
        <v>0</v>
      </c>
      <c r="N363" s="72">
        <f>N341*$J330*(EXP(-($E363)*($F310*N$308+$G310*N$248+N$249))-1)</f>
        <v>0</v>
      </c>
      <c r="O363" s="72">
        <f>O341*$J330*(EXP(-($E363)*($F310*O$308+$G310*O$248+O$249))-1)</f>
        <v>0</v>
      </c>
      <c r="P363" s="72">
        <f>P341*$J330*(EXP(-($E363)*($F310*P$308+$G310*P$248+P$249))-1)</f>
        <v>0</v>
      </c>
      <c r="Q363" s="72">
        <f>Q341*$J330*(EXP(-($E363)*($F310*Q$308+$G310*Q$248+Q$249))-1)</f>
        <v>0</v>
      </c>
      <c r="R363" s="72">
        <f>R341*$J330*(EXP(-($E363)*($F310*R$308+$G310*R$248+R$249))-1)</f>
        <v>0</v>
      </c>
      <c r="S363" s="72">
        <f>S341*$J330*(EXP(-($E363)*($F310*S$308+$G310*S$248+S$249))-1)</f>
        <v>0</v>
      </c>
      <c r="T363" s="72">
        <f>T341*$J330*(EXP(-($E363)*($F310*T$308+$G310*T$248+T$249))-1)</f>
        <v>0</v>
      </c>
      <c r="U363" s="72">
        <f>U341*$J330*(EXP(-($E363)*($F310*U$308+$G310*U$248+U$249))-1)</f>
        <v>0</v>
      </c>
      <c r="V363" s="72">
        <f>V341*$J330*(EXP(-($E363)*($F310*V$308+$G310*V$248+V$249))-1)</f>
        <v>0</v>
      </c>
      <c r="W363" s="72">
        <f>W341*$J330*(EXP(-($E363)*($F310*W$308+$G310*W$248+W$249))-1)</f>
        <v>0</v>
      </c>
      <c r="X363" s="72">
        <f>X341*$J330*(EXP(-($E363)*($F310*X$308+$G310*X$248+X$249))-1)</f>
        <v>0</v>
      </c>
      <c r="Y363" s="72">
        <f>Y341*$J330*(EXP(-($E363)*($F310*Y$308+$G310*Y$248+Y$249))-1)</f>
        <v>0</v>
      </c>
      <c r="Z363" s="72">
        <f>Z341*$J330*(EXP(-($E363)*($F310*Z$308+$G310*Z$248+Z$249))-1)</f>
        <v>0</v>
      </c>
      <c r="AA363" s="72">
        <f>AA341*$J330*(EXP(-($E363)*($F310*AA$308+$G310*AA$248+AA$249))-1)</f>
        <v>0</v>
      </c>
      <c r="AB363" s="72">
        <f>AB341*$J330*(EXP(-($E363)*($F310*AB$308+$G310*AB$248+AB$249))-1)</f>
        <v>0</v>
      </c>
      <c r="AC363" s="72">
        <f>AC341*$J330*(EXP(-($E363)*($F310*AC$308+$G310*AC$248+AC$249))-1)</f>
        <v>0</v>
      </c>
      <c r="AD363" s="72">
        <f>AD341*$J330*(EXP(-($E363)*($F310*AD$308+$G310*AD$248+AD$249))-1)</f>
        <v>0</v>
      </c>
      <c r="AE363" s="72">
        <f>AE341*$J330*(EXP(-($E363)*($F310*AE$308+$G310*AE$248+AE$249))-1)</f>
        <v>0</v>
      </c>
      <c r="AF363" s="70"/>
      <c r="AG363" s="70"/>
      <c r="AH363" s="70"/>
      <c r="AI363" s="70"/>
    </row>
    <row r="364" spans="1:35" x14ac:dyDescent="0.45">
      <c r="A364" s="70"/>
      <c r="B364" s="52"/>
      <c r="C364" s="52"/>
      <c r="D364" s="52" t="s">
        <v>1357</v>
      </c>
      <c r="E364" s="82">
        <f>'Manual inputs'!E$41</f>
        <v>2.0202707317519501E-4</v>
      </c>
      <c r="F364" s="78">
        <f>'Manual inputs'!F$41</f>
        <v>0.02</v>
      </c>
      <c r="G364" s="72"/>
      <c r="H364" s="70"/>
      <c r="I364" s="70"/>
      <c r="J364" s="70"/>
      <c r="K364" s="70"/>
      <c r="L364" s="72">
        <f>L342*$J331*(EXP(-($E364)*($F311*L$308+$G311*L$248+L$249))-1)</f>
        <v>0</v>
      </c>
      <c r="M364" s="72">
        <f>M342*$J331*(EXP(-($E364)*($F311*M$308+$G311*M$248+M$249))-1)</f>
        <v>0</v>
      </c>
      <c r="N364" s="72">
        <f>N342*$J331*(EXP(-($E364)*($F311*N$308+$G311*N$248+N$249))-1)</f>
        <v>0</v>
      </c>
      <c r="O364" s="72">
        <f>O342*$J331*(EXP(-($E364)*($F311*O$308+$G311*O$248+O$249))-1)</f>
        <v>0</v>
      </c>
      <c r="P364" s="72">
        <f>P342*$J331*(EXP(-($E364)*($F311*P$308+$G311*P$248+P$249))-1)</f>
        <v>0</v>
      </c>
      <c r="Q364" s="72">
        <f>Q342*$J331*(EXP(-($E364)*($F311*Q$308+$G311*Q$248+Q$249))-1)</f>
        <v>0</v>
      </c>
      <c r="R364" s="72">
        <f>R342*$J331*(EXP(-($E364)*($F311*R$308+$G311*R$248+R$249))-1)</f>
        <v>0</v>
      </c>
      <c r="S364" s="72">
        <f>S342*$J331*(EXP(-($E364)*($F311*S$308+$G311*S$248+S$249))-1)</f>
        <v>0</v>
      </c>
      <c r="T364" s="72">
        <f>T342*$J331*(EXP(-($E364)*($F311*T$308+$G311*T$248+T$249))-1)</f>
        <v>0</v>
      </c>
      <c r="U364" s="72">
        <f>U342*$J331*(EXP(-($E364)*($F311*U$308+$G311*U$248+U$249))-1)</f>
        <v>0</v>
      </c>
      <c r="V364" s="72">
        <f>V342*$J331*(EXP(-($E364)*($F311*V$308+$G311*V$248+V$249))-1)</f>
        <v>0</v>
      </c>
      <c r="W364" s="72">
        <f>W342*$J331*(EXP(-($E364)*($F311*W$308+$G311*W$248+W$249))-1)</f>
        <v>0</v>
      </c>
      <c r="X364" s="72">
        <f>X342*$J331*(EXP(-($E364)*($F311*X$308+$G311*X$248+X$249))-1)</f>
        <v>0</v>
      </c>
      <c r="Y364" s="72">
        <f>Y342*$J331*(EXP(-($E364)*($F311*Y$308+$G311*Y$248+Y$249))-1)</f>
        <v>0</v>
      </c>
      <c r="Z364" s="72">
        <f>Z342*$J331*(EXP(-($E364)*($F311*Z$308+$G311*Z$248+Z$249))-1)</f>
        <v>0</v>
      </c>
      <c r="AA364" s="72">
        <f>AA342*$J331*(EXP(-($E364)*($F311*AA$308+$G311*AA$248+AA$249))-1)</f>
        <v>0</v>
      </c>
      <c r="AB364" s="72">
        <f>AB342*$J331*(EXP(-($E364)*($F311*AB$308+$G311*AB$248+AB$249))-1)</f>
        <v>0</v>
      </c>
      <c r="AC364" s="72">
        <f>AC342*$J331*(EXP(-($E364)*($F311*AC$308+$G311*AC$248+AC$249))-1)</f>
        <v>0</v>
      </c>
      <c r="AD364" s="72">
        <f>AD342*$J331*(EXP(-($E364)*($F311*AD$308+$G311*AD$248+AD$249))-1)</f>
        <v>0</v>
      </c>
      <c r="AE364" s="72">
        <f>AE342*$J331*(EXP(-($E364)*($F311*AE$308+$G311*AE$248+AE$249))-1)</f>
        <v>0</v>
      </c>
      <c r="AF364" s="70"/>
      <c r="AG364" s="70"/>
      <c r="AH364" s="70"/>
      <c r="AI364" s="70"/>
    </row>
    <row r="365" spans="1:35" x14ac:dyDescent="0.45">
      <c r="A365" s="70"/>
      <c r="B365" s="52"/>
      <c r="C365" s="52"/>
      <c r="D365" s="52" t="s">
        <v>1408</v>
      </c>
      <c r="E365" s="82">
        <f>'Manual inputs'!E$42</f>
        <v>5.1293294387550598E-4</v>
      </c>
      <c r="F365" s="78">
        <f>'Manual inputs'!F$42</f>
        <v>0.05</v>
      </c>
      <c r="G365" s="72"/>
      <c r="H365" s="70"/>
      <c r="I365" s="70"/>
      <c r="J365" s="70"/>
      <c r="K365" s="70"/>
      <c r="L365" s="72">
        <f>L343*$J332*(EXP(-($E365)*($F312*L$308+$G312*L$248+L$249))-1)</f>
        <v>0</v>
      </c>
      <c r="M365" s="72">
        <f>M343*$J332*(EXP(-($E365)*($F312*M$308+$G312*M$248+M$249))-1)</f>
        <v>0</v>
      </c>
      <c r="N365" s="72">
        <f>N343*$J332*(EXP(-($E365)*($F312*N$308+$G312*N$248+N$249))-1)</f>
        <v>0</v>
      </c>
      <c r="O365" s="72">
        <f>O343*$J332*(EXP(-($E365)*($F312*O$308+$G312*O$248+O$249))-1)</f>
        <v>0</v>
      </c>
      <c r="P365" s="72">
        <f>P343*$J332*(EXP(-($E365)*($F312*P$308+$G312*P$248+P$249))-1)</f>
        <v>0</v>
      </c>
      <c r="Q365" s="72">
        <f>Q343*$J332*(EXP(-($E365)*($F312*Q$308+$G312*Q$248+Q$249))-1)</f>
        <v>0</v>
      </c>
      <c r="R365" s="72">
        <f>R343*$J332*(EXP(-($E365)*($F312*R$308+$G312*R$248+R$249))-1)</f>
        <v>0</v>
      </c>
      <c r="S365" s="72">
        <f>S343*$J332*(EXP(-($E365)*($F312*S$308+$G312*S$248+S$249))-1)</f>
        <v>0</v>
      </c>
      <c r="T365" s="72">
        <f>T343*$J332*(EXP(-($E365)*($F312*T$308+$G312*T$248+T$249))-1)</f>
        <v>0</v>
      </c>
      <c r="U365" s="72">
        <f>U343*$J332*(EXP(-($E365)*($F312*U$308+$G312*U$248+U$249))-1)</f>
        <v>0</v>
      </c>
      <c r="V365" s="72">
        <f>V343*$J332*(EXP(-($E365)*($F312*V$308+$G312*V$248+V$249))-1)</f>
        <v>0</v>
      </c>
      <c r="W365" s="72">
        <f>W343*$J332*(EXP(-($E365)*($F312*W$308+$G312*W$248+W$249))-1)</f>
        <v>0</v>
      </c>
      <c r="X365" s="72">
        <f>X343*$J332*(EXP(-($E365)*($F312*X$308+$G312*X$248+X$249))-1)</f>
        <v>0</v>
      </c>
      <c r="Y365" s="72">
        <f>Y343*$J332*(EXP(-($E365)*($F312*Y$308+$G312*Y$248+Y$249))-1)</f>
        <v>0</v>
      </c>
      <c r="Z365" s="72">
        <f>Z343*$J332*(EXP(-($E365)*($F312*Z$308+$G312*Z$248+Z$249))-1)</f>
        <v>0</v>
      </c>
      <c r="AA365" s="72">
        <f>AA343*$J332*(EXP(-($E365)*($F312*AA$308+$G312*AA$248+AA$249))-1)</f>
        <v>0</v>
      </c>
      <c r="AB365" s="72">
        <f>AB343*$J332*(EXP(-($E365)*($F312*AB$308+$G312*AB$248+AB$249))-1)</f>
        <v>0</v>
      </c>
      <c r="AC365" s="72">
        <f>AC343*$J332*(EXP(-($E365)*($F312*AC$308+$G312*AC$248+AC$249))-1)</f>
        <v>0</v>
      </c>
      <c r="AD365" s="72">
        <f>AD343*$J332*(EXP(-($E365)*($F312*AD$308+$G312*AD$248+AD$249))-1)</f>
        <v>0</v>
      </c>
      <c r="AE365" s="72">
        <f>AE343*$J332*(EXP(-($E365)*($F312*AE$308+$G312*AE$248+AE$249))-1)</f>
        <v>0</v>
      </c>
      <c r="AF365" s="70"/>
      <c r="AG365" s="70"/>
      <c r="AH365" s="70"/>
      <c r="AI365" s="70"/>
    </row>
    <row r="366" spans="1:35" x14ac:dyDescent="0.45">
      <c r="A366" s="70"/>
      <c r="B366" s="52"/>
      <c r="C366" s="52"/>
      <c r="D366" s="52" t="s">
        <v>1409</v>
      </c>
      <c r="E366" s="82">
        <f>'Manual inputs'!E$43</f>
        <v>8.3381608939051E-4</v>
      </c>
      <c r="F366" s="78">
        <f>'Manual inputs'!F$43</f>
        <v>0.08</v>
      </c>
      <c r="G366" s="72"/>
      <c r="H366" s="70"/>
      <c r="I366" s="70"/>
      <c r="J366" s="70"/>
      <c r="K366" s="70"/>
      <c r="L366" s="72">
        <f>L344*$J333*(EXP(-($E366)*($F313*L$308+$G313*L$248+L$249))-1)</f>
        <v>0</v>
      </c>
      <c r="M366" s="72">
        <f>M344*$J333*(EXP(-($E366)*($F313*M$308+$G313*M$248+M$249))-1)</f>
        <v>0</v>
      </c>
      <c r="N366" s="72">
        <f>N344*$J333*(EXP(-($E366)*($F313*N$308+$G313*N$248+N$249))-1)</f>
        <v>0</v>
      </c>
      <c r="O366" s="72">
        <f>O344*$J333*(EXP(-($E366)*($F313*O$308+$G313*O$248+O$249))-1)</f>
        <v>0</v>
      </c>
      <c r="P366" s="72">
        <f>P344*$J333*(EXP(-($E366)*($F313*P$308+$G313*P$248+P$249))-1)</f>
        <v>0</v>
      </c>
      <c r="Q366" s="72">
        <f>Q344*$J333*(EXP(-($E366)*($F313*Q$308+$G313*Q$248+Q$249))-1)</f>
        <v>0</v>
      </c>
      <c r="R366" s="72">
        <f>R344*$J333*(EXP(-($E366)*($F313*R$308+$G313*R$248+R$249))-1)</f>
        <v>0</v>
      </c>
      <c r="S366" s="72">
        <f>S344*$J333*(EXP(-($E366)*($F313*S$308+$G313*S$248+S$249))-1)</f>
        <v>0</v>
      </c>
      <c r="T366" s="72">
        <f>T344*$J333*(EXP(-($E366)*($F313*T$308+$G313*T$248+T$249))-1)</f>
        <v>0</v>
      </c>
      <c r="U366" s="72">
        <f>U344*$J333*(EXP(-($E366)*($F313*U$308+$G313*U$248+U$249))-1)</f>
        <v>0</v>
      </c>
      <c r="V366" s="72">
        <f>V344*$J333*(EXP(-($E366)*($F313*V$308+$G313*V$248+V$249))-1)</f>
        <v>0</v>
      </c>
      <c r="W366" s="72">
        <f>W344*$J333*(EXP(-($E366)*($F313*W$308+$G313*W$248+W$249))-1)</f>
        <v>0</v>
      </c>
      <c r="X366" s="72">
        <f>X344*$J333*(EXP(-($E366)*($F313*X$308+$G313*X$248+X$249))-1)</f>
        <v>0</v>
      </c>
      <c r="Y366" s="72">
        <f>Y344*$J333*(EXP(-($E366)*($F313*Y$308+$G313*Y$248+Y$249))-1)</f>
        <v>0</v>
      </c>
      <c r="Z366" s="72">
        <f>Z344*$J333*(EXP(-($E366)*($F313*Z$308+$G313*Z$248+Z$249))-1)</f>
        <v>0</v>
      </c>
      <c r="AA366" s="72">
        <f>AA344*$J333*(EXP(-($E366)*($F313*AA$308+$G313*AA$248+AA$249))-1)</f>
        <v>0</v>
      </c>
      <c r="AB366" s="72">
        <f>AB344*$J333*(EXP(-($E366)*($F313*AB$308+$G313*AB$248+AB$249))-1)</f>
        <v>0</v>
      </c>
      <c r="AC366" s="72">
        <f>AC344*$J333*(EXP(-($E366)*($F313*AC$308+$G313*AC$248+AC$249))-1)</f>
        <v>0</v>
      </c>
      <c r="AD366" s="72">
        <f>AD344*$J333*(EXP(-($E366)*($F313*AD$308+$G313*AD$248+AD$249))-1)</f>
        <v>0</v>
      </c>
      <c r="AE366" s="72">
        <f>AE344*$J333*(EXP(-($E366)*($F313*AE$308+$G313*AE$248+AE$249))-1)</f>
        <v>0</v>
      </c>
      <c r="AF366" s="70"/>
      <c r="AG366" s="70"/>
      <c r="AH366" s="70"/>
      <c r="AI366" s="70"/>
    </row>
    <row r="367" spans="1:35" x14ac:dyDescent="0.45">
      <c r="A367" s="70"/>
      <c r="B367" s="52"/>
      <c r="C367" s="52"/>
      <c r="D367" s="52" t="s">
        <v>1410</v>
      </c>
      <c r="E367" s="82">
        <f>'Manual inputs'!E$44</f>
        <v>1.98450938723838E-3</v>
      </c>
      <c r="F367" s="78">
        <f>'Manual inputs'!F$44</f>
        <v>0.18</v>
      </c>
      <c r="G367" s="72"/>
      <c r="H367" s="70"/>
      <c r="I367" s="70"/>
      <c r="J367" s="70"/>
      <c r="K367" s="70"/>
      <c r="L367" s="72">
        <f>L345*$J334*(EXP(-($E367)*($F314*L$308+$G314*L$248+L$249))-1)</f>
        <v>0</v>
      </c>
      <c r="M367" s="72">
        <f>M345*$J334*(EXP(-($E367)*($F314*M$308+$G314*M$248+M$249))-1)</f>
        <v>0</v>
      </c>
      <c r="N367" s="72">
        <f>N345*$J334*(EXP(-($E367)*($F314*N$308+$G314*N$248+N$249))-1)</f>
        <v>0</v>
      </c>
      <c r="O367" s="72">
        <f>O345*$J334*(EXP(-($E367)*($F314*O$308+$G314*O$248+O$249))-1)</f>
        <v>0</v>
      </c>
      <c r="P367" s="72">
        <f>P345*$J334*(EXP(-($E367)*($F314*P$308+$G314*P$248+P$249))-1)</f>
        <v>0</v>
      </c>
      <c r="Q367" s="72">
        <f>Q345*$J334*(EXP(-($E367)*($F314*Q$308+$G314*Q$248+Q$249))-1)</f>
        <v>0</v>
      </c>
      <c r="R367" s="72">
        <f>R345*$J334*(EXP(-($E367)*($F314*R$308+$G314*R$248+R$249))-1)</f>
        <v>0</v>
      </c>
      <c r="S367" s="72">
        <f>S345*$J334*(EXP(-($E367)*($F314*S$308+$G314*S$248+S$249))-1)</f>
        <v>0</v>
      </c>
      <c r="T367" s="72">
        <f>T345*$J334*(EXP(-($E367)*($F314*T$308+$G314*T$248+T$249))-1)</f>
        <v>0</v>
      </c>
      <c r="U367" s="72">
        <f>U345*$J334*(EXP(-($E367)*($F314*U$308+$G314*U$248+U$249))-1)</f>
        <v>0</v>
      </c>
      <c r="V367" s="72">
        <f>V345*$J334*(EXP(-($E367)*($F314*V$308+$G314*V$248+V$249))-1)</f>
        <v>0</v>
      </c>
      <c r="W367" s="72">
        <f>W345*$J334*(EXP(-($E367)*($F314*W$308+$G314*W$248+W$249))-1)</f>
        <v>0</v>
      </c>
      <c r="X367" s="72">
        <f>X345*$J334*(EXP(-($E367)*($F314*X$308+$G314*X$248+X$249))-1)</f>
        <v>0</v>
      </c>
      <c r="Y367" s="72">
        <f>Y345*$J334*(EXP(-($E367)*($F314*Y$308+$G314*Y$248+Y$249))-1)</f>
        <v>0</v>
      </c>
      <c r="Z367" s="72">
        <f>Z345*$J334*(EXP(-($E367)*($F314*Z$308+$G314*Z$248+Z$249))-1)</f>
        <v>0</v>
      </c>
      <c r="AA367" s="72">
        <f>AA345*$J334*(EXP(-($E367)*($F314*AA$308+$G314*AA$248+AA$249))-1)</f>
        <v>0</v>
      </c>
      <c r="AB367" s="72">
        <f>AB345*$J334*(EXP(-($E367)*($F314*AB$308+$G314*AB$248+AB$249))-1)</f>
        <v>0</v>
      </c>
      <c r="AC367" s="72">
        <f>AC345*$J334*(EXP(-($E367)*($F314*AC$308+$G314*AC$248+AC$249))-1)</f>
        <v>0</v>
      </c>
      <c r="AD367" s="72">
        <f>AD345*$J334*(EXP(-($E367)*($F314*AD$308+$G314*AD$248+AD$249))-1)</f>
        <v>0</v>
      </c>
      <c r="AE367" s="72">
        <f>AE345*$J334*(EXP(-($E367)*($F314*AE$308+$G314*AE$248+AE$249))-1)</f>
        <v>0</v>
      </c>
      <c r="AF367" s="70"/>
      <c r="AG367" s="70"/>
      <c r="AH367" s="70"/>
      <c r="AI367" s="70"/>
    </row>
    <row r="368" spans="1:35" x14ac:dyDescent="0.45">
      <c r="A368" s="70"/>
      <c r="B368" s="52"/>
      <c r="C368" s="52"/>
      <c r="D368" s="52" t="s">
        <v>1383</v>
      </c>
      <c r="E368" s="82">
        <f>'Manual inputs'!E$45</f>
        <v>0</v>
      </c>
      <c r="F368" s="78">
        <f>'Manual inputs'!F$45</f>
        <v>0</v>
      </c>
      <c r="G368" s="72"/>
      <c r="H368" s="70"/>
      <c r="I368" s="70"/>
      <c r="J368" s="70"/>
      <c r="K368" s="70"/>
      <c r="L368" s="72">
        <f>L346*$J335*(EXP(-($E368)*($F315*L$308+$G315*L$248+L$249))-1)</f>
        <v>0</v>
      </c>
      <c r="M368" s="72">
        <f>M346*$J335*(EXP(-($E368)*($F315*M$308+$G315*M$248+M$249))-1)</f>
        <v>0</v>
      </c>
      <c r="N368" s="72">
        <f>N346*$J335*(EXP(-($E368)*($F315*N$308+$G315*N$248+N$249))-1)</f>
        <v>0</v>
      </c>
      <c r="O368" s="72">
        <f>O346*$J335*(EXP(-($E368)*($F315*O$308+$G315*O$248+O$249))-1)</f>
        <v>0</v>
      </c>
      <c r="P368" s="72">
        <f>P346*$J335*(EXP(-($E368)*($F315*P$308+$G315*P$248+P$249))-1)</f>
        <v>0</v>
      </c>
      <c r="Q368" s="72">
        <f>Q346*$J335*(EXP(-($E368)*($F315*Q$308+$G315*Q$248+Q$249))-1)</f>
        <v>0</v>
      </c>
      <c r="R368" s="72">
        <f>R346*$J335*(EXP(-($E368)*($F315*R$308+$G315*R$248+R$249))-1)</f>
        <v>0</v>
      </c>
      <c r="S368" s="72">
        <f>S346*$J335*(EXP(-($E368)*($F315*S$308+$G315*S$248+S$249))-1)</f>
        <v>0</v>
      </c>
      <c r="T368" s="72">
        <f>T346*$J335*(EXP(-($E368)*($F315*T$308+$G315*T$248+T$249))-1)</f>
        <v>0</v>
      </c>
      <c r="U368" s="72">
        <f>U346*$J335*(EXP(-($E368)*($F315*U$308+$G315*U$248+U$249))-1)</f>
        <v>0</v>
      </c>
      <c r="V368" s="72">
        <f>V346*$J335*(EXP(-($E368)*($F315*V$308+$G315*V$248+V$249))-1)</f>
        <v>0</v>
      </c>
      <c r="W368" s="72">
        <f>W346*$J335*(EXP(-($E368)*($F315*W$308+$G315*W$248+W$249))-1)</f>
        <v>0</v>
      </c>
      <c r="X368" s="72">
        <f>X346*$J335*(EXP(-($E368)*($F315*X$308+$G315*X$248+X$249))-1)</f>
        <v>0</v>
      </c>
      <c r="Y368" s="72">
        <f>Y346*$J335*(EXP(-($E368)*($F315*Y$308+$G315*Y$248+Y$249))-1)</f>
        <v>0</v>
      </c>
      <c r="Z368" s="72">
        <f>Z346*$J335*(EXP(-($E368)*($F315*Z$308+$G315*Z$248+Z$249))-1)</f>
        <v>0</v>
      </c>
      <c r="AA368" s="72">
        <f>AA346*$J335*(EXP(-($E368)*($F315*AA$308+$G315*AA$248+AA$249))-1)</f>
        <v>0</v>
      </c>
      <c r="AB368" s="72">
        <f>AB346*$J335*(EXP(-($E368)*($F315*AB$308+$G315*AB$248+AB$249))-1)</f>
        <v>0</v>
      </c>
      <c r="AC368" s="72">
        <f>AC346*$J335*(EXP(-($E368)*($F315*AC$308+$G315*AC$248+AC$249))-1)</f>
        <v>0</v>
      </c>
      <c r="AD368" s="72">
        <f>AD346*$J335*(EXP(-($E368)*($F315*AD$308+$G315*AD$248+AD$249))-1)</f>
        <v>0</v>
      </c>
      <c r="AE368" s="72">
        <f>AE346*$J335*(EXP(-($E368)*($F315*AE$308+$G315*AE$248+AE$249))-1)</f>
        <v>0</v>
      </c>
      <c r="AF368" s="70"/>
      <c r="AG368" s="70"/>
      <c r="AH368" s="70"/>
      <c r="AI368" s="70"/>
    </row>
    <row r="369" spans="1:35" x14ac:dyDescent="0.45">
      <c r="A369" s="70"/>
      <c r="B369" s="52"/>
      <c r="C369" s="52"/>
      <c r="D369" s="52" t="s">
        <v>1411</v>
      </c>
      <c r="E369" s="82">
        <f>'Manual inputs'!E$46</f>
        <v>1.04982212449868E-2</v>
      </c>
      <c r="F369" s="78">
        <f>'Manual inputs'!F$46</f>
        <v>0.65</v>
      </c>
      <c r="G369" s="72"/>
      <c r="H369" s="70"/>
      <c r="I369" s="70"/>
      <c r="J369" s="70"/>
      <c r="K369" s="70"/>
      <c r="L369" s="72">
        <f>L347*$J336*(EXP(-($E369)*($F316*L$308+$G316*L$248+L$249))-1)</f>
        <v>0</v>
      </c>
      <c r="M369" s="72">
        <f>M347*$J336*(EXP(-($E369)*($F316*M$308+$G316*M$248+M$249))-1)</f>
        <v>0</v>
      </c>
      <c r="N369" s="72">
        <f>N347*$J336*(EXP(-($E369)*($F316*N$308+$G316*N$248+N$249))-1)</f>
        <v>0</v>
      </c>
      <c r="O369" s="72">
        <f>O347*$J336*(EXP(-($E369)*($F316*O$308+$G316*O$248+O$249))-1)</f>
        <v>0</v>
      </c>
      <c r="P369" s="72">
        <f>P347*$J336*(EXP(-($E369)*($F316*P$308+$G316*P$248+P$249))-1)</f>
        <v>0</v>
      </c>
      <c r="Q369" s="72">
        <f>Q347*$J336*(EXP(-($E369)*($F316*Q$308+$G316*Q$248+Q$249))-1)</f>
        <v>0</v>
      </c>
      <c r="R369" s="72">
        <f>R347*$J336*(EXP(-($E369)*($F316*R$308+$G316*R$248+R$249))-1)</f>
        <v>0</v>
      </c>
      <c r="S369" s="72">
        <f>S347*$J336*(EXP(-($E369)*($F316*S$308+$G316*S$248+S$249))-1)</f>
        <v>0</v>
      </c>
      <c r="T369" s="72">
        <f>T347*$J336*(EXP(-($E369)*($F316*T$308+$G316*T$248+T$249))-1)</f>
        <v>0</v>
      </c>
      <c r="U369" s="72">
        <f>U347*$J336*(EXP(-($E369)*($F316*U$308+$G316*U$248+U$249))-1)</f>
        <v>0</v>
      </c>
      <c r="V369" s="72">
        <f>V347*$J336*(EXP(-($E369)*($F316*V$308+$G316*V$248+V$249))-1)</f>
        <v>0</v>
      </c>
      <c r="W369" s="72">
        <f>W347*$J336*(EXP(-($E369)*($F316*W$308+$G316*W$248+W$249))-1)</f>
        <v>0</v>
      </c>
      <c r="X369" s="72">
        <f>X347*$J336*(EXP(-($E369)*($F316*X$308+$G316*X$248+X$249))-1)</f>
        <v>0</v>
      </c>
      <c r="Y369" s="72">
        <f>Y347*$J336*(EXP(-($E369)*($F316*Y$308+$G316*Y$248+Y$249))-1)</f>
        <v>0</v>
      </c>
      <c r="Z369" s="72">
        <f>Z347*$J336*(EXP(-($E369)*($F316*Z$308+$G316*Z$248+Z$249))-1)</f>
        <v>0</v>
      </c>
      <c r="AA369" s="72">
        <f>AA347*$J336*(EXP(-($E369)*($F316*AA$308+$G316*AA$248+AA$249))-1)</f>
        <v>0</v>
      </c>
      <c r="AB369" s="72">
        <f>AB347*$J336*(EXP(-($E369)*($F316*AB$308+$G316*AB$248+AB$249))-1)</f>
        <v>0</v>
      </c>
      <c r="AC369" s="72">
        <f>AC347*$J336*(EXP(-($E369)*($F316*AC$308+$G316*AC$248+AC$249))-1)</f>
        <v>0</v>
      </c>
      <c r="AD369" s="72">
        <f>AD347*$J336*(EXP(-($E369)*($F316*AD$308+$G316*AD$248+AD$249))-1)</f>
        <v>0</v>
      </c>
      <c r="AE369" s="72">
        <f>AE347*$J336*(EXP(-($E369)*($F316*AE$308+$G316*AE$248+AE$249))-1)</f>
        <v>0</v>
      </c>
      <c r="AF369" s="70"/>
      <c r="AG369" s="70"/>
      <c r="AH369" s="70"/>
      <c r="AI369" s="70"/>
    </row>
    <row r="370" spans="1:35" x14ac:dyDescent="0.45">
      <c r="A370" s="70"/>
      <c r="B370" s="52"/>
      <c r="C370" s="52"/>
      <c r="D370" s="52" t="s">
        <v>1397</v>
      </c>
      <c r="E370" s="82">
        <f>'Manual inputs'!E$47</f>
        <v>8.3381608939051E-4</v>
      </c>
      <c r="F370" s="78">
        <f>'Manual inputs'!F$47</f>
        <v>0.08</v>
      </c>
      <c r="G370" s="72"/>
      <c r="H370" s="72"/>
      <c r="I370" s="72"/>
      <c r="J370" s="72"/>
      <c r="K370" s="72"/>
      <c r="L370" s="72">
        <f>L348*$J337*(EXP(-($E370)*($F317*L$308+$G317*L$248+L$249))-1)</f>
        <v>0</v>
      </c>
      <c r="M370" s="72">
        <f>M348*$J337*(EXP(-($E370)*($F317*M$308+$G317*M$248+M$249))-1)</f>
        <v>0</v>
      </c>
      <c r="N370" s="72">
        <f>N348*$J337*(EXP(-($E370)*($F317*N$308+$G317*N$248+N$249))-1)</f>
        <v>0</v>
      </c>
      <c r="O370" s="72">
        <f>O348*$J337*(EXP(-($E370)*($F317*O$308+$G317*O$248+O$249))-1)</f>
        <v>0</v>
      </c>
      <c r="P370" s="72">
        <f>P348*$J337*(EXP(-($E370)*($F317*P$308+$G317*P$248+P$249))-1)</f>
        <v>0</v>
      </c>
      <c r="Q370" s="72">
        <f>Q348*$J337*(EXP(-($E370)*($F317*Q$308+$G317*Q$248+Q$249))-1)</f>
        <v>0</v>
      </c>
      <c r="R370" s="72">
        <f>R348*$J337*(EXP(-($E370)*($F317*R$308+$G317*R$248+R$249))-1)</f>
        <v>0</v>
      </c>
      <c r="S370" s="72">
        <f>S348*$J337*(EXP(-($E370)*($F317*S$308+$G317*S$248+S$249))-1)</f>
        <v>0</v>
      </c>
      <c r="T370" s="72">
        <f>T348*$J337*(EXP(-($E370)*($F317*T$308+$G317*T$248+T$249))-1)</f>
        <v>0</v>
      </c>
      <c r="U370" s="72">
        <f>U348*$J337*(EXP(-($E370)*($F317*U$308+$G317*U$248+U$249))-1)</f>
        <v>0</v>
      </c>
      <c r="V370" s="72">
        <f>V348*$J337*(EXP(-($E370)*($F317*V$308+$G317*V$248+V$249))-1)</f>
        <v>0</v>
      </c>
      <c r="W370" s="72">
        <f>W348*$J337*(EXP(-($E370)*($F317*W$308+$G317*W$248+W$249))-1)</f>
        <v>0</v>
      </c>
      <c r="X370" s="72">
        <f>X348*$J337*(EXP(-($E370)*($F317*X$308+$G317*X$248+X$249))-1)</f>
        <v>0</v>
      </c>
      <c r="Y370" s="72">
        <f>Y348*$J337*(EXP(-($E370)*($F317*Y$308+$G317*Y$248+Y$249))-1)</f>
        <v>0</v>
      </c>
      <c r="Z370" s="72">
        <f>Z348*$J337*(EXP(-($E370)*($F317*Z$308+$G317*Z$248+Z$249))-1)</f>
        <v>0</v>
      </c>
      <c r="AA370" s="72">
        <f>AA348*$J337*(EXP(-($E370)*($F317*AA$308+$G317*AA$248+AA$249))-1)</f>
        <v>0</v>
      </c>
      <c r="AB370" s="72">
        <f>AB348*$J337*(EXP(-($E370)*($F317*AB$308+$G317*AB$248+AB$249))-1)</f>
        <v>0</v>
      </c>
      <c r="AC370" s="72">
        <f>AC348*$J337*(EXP(-($E370)*($F317*AC$308+$G317*AC$248+AC$249))-1)</f>
        <v>0</v>
      </c>
      <c r="AD370" s="72">
        <f>AD348*$J337*(EXP(-($E370)*($F317*AD$308+$G317*AD$248+AD$249))-1)</f>
        <v>0</v>
      </c>
      <c r="AE370" s="72">
        <f>AE348*$J337*(EXP(-($E370)*($F317*AE$308+$G317*AE$248+AE$249))-1)</f>
        <v>0</v>
      </c>
      <c r="AF370" s="70"/>
      <c r="AG370" s="70"/>
      <c r="AH370" s="70"/>
      <c r="AI370" s="70"/>
    </row>
    <row r="371" spans="1:35" x14ac:dyDescent="0.45">
      <c r="A371" s="70"/>
      <c r="B371" s="52"/>
      <c r="C371" s="52"/>
      <c r="D371" s="72"/>
      <c r="E371" s="72"/>
      <c r="F371" s="72"/>
      <c r="G371" s="70" t="s">
        <v>1492</v>
      </c>
      <c r="H371" s="87" t="str">
        <f>Settings!$B$3&amp;".mit.emrp."&amp;$G371&amp;"."&amp;$J$5</f>
        <v>egy.mit.emrp.cbam.tot.1</v>
      </c>
      <c r="I371" s="72"/>
      <c r="J371" s="72"/>
      <c r="K371" s="72"/>
      <c r="L371" s="72">
        <f t="shared" ref="L371:AE371" si="133">SUM(L363:L370)</f>
        <v>0</v>
      </c>
      <c r="M371" s="72">
        <f t="shared" si="133"/>
        <v>0</v>
      </c>
      <c r="N371" s="72">
        <f t="shared" si="133"/>
        <v>0</v>
      </c>
      <c r="O371" s="72">
        <f t="shared" si="133"/>
        <v>0</v>
      </c>
      <c r="P371" s="72">
        <f t="shared" si="133"/>
        <v>0</v>
      </c>
      <c r="Q371" s="72">
        <f t="shared" si="133"/>
        <v>0</v>
      </c>
      <c r="R371" s="72">
        <f t="shared" si="133"/>
        <v>0</v>
      </c>
      <c r="S371" s="72">
        <f t="shared" si="133"/>
        <v>0</v>
      </c>
      <c r="T371" s="72">
        <f t="shared" si="133"/>
        <v>0</v>
      </c>
      <c r="U371" s="72">
        <f t="shared" si="133"/>
        <v>0</v>
      </c>
      <c r="V371" s="72">
        <f t="shared" si="133"/>
        <v>0</v>
      </c>
      <c r="W371" s="72">
        <f t="shared" si="133"/>
        <v>0</v>
      </c>
      <c r="X371" s="72">
        <f t="shared" si="133"/>
        <v>0</v>
      </c>
      <c r="Y371" s="72">
        <f t="shared" si="133"/>
        <v>0</v>
      </c>
      <c r="Z371" s="72">
        <f t="shared" si="133"/>
        <v>0</v>
      </c>
      <c r="AA371" s="72">
        <f t="shared" si="133"/>
        <v>0</v>
      </c>
      <c r="AB371" s="72">
        <f t="shared" si="133"/>
        <v>0</v>
      </c>
      <c r="AC371" s="72">
        <f t="shared" si="133"/>
        <v>0</v>
      </c>
      <c r="AD371" s="72">
        <f t="shared" si="133"/>
        <v>0</v>
      </c>
      <c r="AE371" s="72">
        <f t="shared" si="133"/>
        <v>0</v>
      </c>
      <c r="AF371" s="70"/>
      <c r="AG371" s="70"/>
      <c r="AH371" s="70"/>
      <c r="AI371" s="70"/>
    </row>
    <row r="372" spans="1:35" x14ac:dyDescent="0.45">
      <c r="A372" s="70"/>
      <c r="B372" s="52"/>
      <c r="C372" s="52"/>
      <c r="D372" s="70"/>
      <c r="E372" s="70"/>
      <c r="F372" s="70"/>
      <c r="G372" s="70"/>
      <c r="H372" s="70"/>
      <c r="I372" s="70"/>
      <c r="J372" s="70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0"/>
      <c r="AG372" s="70"/>
      <c r="AH372" s="70"/>
      <c r="AI372" s="70"/>
    </row>
    <row r="373" spans="1:35" x14ac:dyDescent="0.45">
      <c r="A373" s="70"/>
      <c r="B373" s="52"/>
      <c r="C373" s="73" t="s">
        <v>1493</v>
      </c>
      <c r="D373" s="73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0"/>
      <c r="AG373" s="70"/>
      <c r="AH373" s="70"/>
      <c r="AI373" s="70"/>
    </row>
    <row r="374" spans="1:35" x14ac:dyDescent="0.45">
      <c r="A374" s="70"/>
      <c r="B374" s="52"/>
      <c r="C374" s="70"/>
      <c r="D374" s="52" t="s">
        <v>283</v>
      </c>
      <c r="E374" s="70"/>
      <c r="F374" s="70"/>
      <c r="G374" s="70" t="s">
        <v>1494</v>
      </c>
      <c r="H374" s="87" t="str">
        <f>Settings!$B$3&amp;".mit.cpef."&amp;$G374&amp;"."&amp;$J$5</f>
        <v>egy.mit.cpef.ind.mch.1</v>
      </c>
      <c r="I374" s="70"/>
      <c r="J374" s="70"/>
      <c r="K374" s="72"/>
      <c r="L374" s="72">
        <f t="shared" ref="L374:AE374" si="134">SUM(L334:L336)+SUM(L356:L358)</f>
        <v>3.5290636333347374</v>
      </c>
      <c r="M374" s="72">
        <f t="shared" si="134"/>
        <v>3.6067030332681016</v>
      </c>
      <c r="N374" s="72">
        <f t="shared" si="134"/>
        <v>3.6860504999999999</v>
      </c>
      <c r="O374" s="72">
        <f t="shared" si="134"/>
        <v>3.7671436109999994</v>
      </c>
      <c r="P374" s="72">
        <f t="shared" si="134"/>
        <v>3.8500207704419993</v>
      </c>
      <c r="Q374" s="72">
        <f t="shared" si="134"/>
        <v>3.9347212273917234</v>
      </c>
      <c r="R374" s="72">
        <f t="shared" si="134"/>
        <v>4.0212850943943419</v>
      </c>
      <c r="S374" s="72">
        <f t="shared" si="134"/>
        <v>4.1097533664710166</v>
      </c>
      <c r="T374" s="72">
        <f t="shared" si="134"/>
        <v>4.2001679405333787</v>
      </c>
      <c r="U374" s="72">
        <f t="shared" si="134"/>
        <v>4.292571635225114</v>
      </c>
      <c r="V374" s="72">
        <f t="shared" si="134"/>
        <v>4.3870082112000661</v>
      </c>
      <c r="W374" s="72">
        <f t="shared" si="134"/>
        <v>4.4835223918464688</v>
      </c>
      <c r="X374" s="72">
        <f t="shared" si="134"/>
        <v>4.5821598844670905</v>
      </c>
      <c r="Y374" s="72">
        <f t="shared" si="134"/>
        <v>4.6829674019253673</v>
      </c>
      <c r="Z374" s="72">
        <f t="shared" si="134"/>
        <v>4.7859926847677254</v>
      </c>
      <c r="AA374" s="72">
        <f t="shared" si="134"/>
        <v>4.8912845238326152</v>
      </c>
      <c r="AB374" s="72">
        <f t="shared" si="134"/>
        <v>4.9988927833569319</v>
      </c>
      <c r="AC374" s="72">
        <f t="shared" si="134"/>
        <v>5.1088684245907858</v>
      </c>
      <c r="AD374" s="72">
        <f t="shared" si="134"/>
        <v>5.2212635299317824</v>
      </c>
      <c r="AE374" s="72">
        <f t="shared" si="134"/>
        <v>5.336131327590282</v>
      </c>
      <c r="AF374" s="70"/>
      <c r="AG374" s="70"/>
      <c r="AH374" s="70"/>
      <c r="AI374" s="70"/>
    </row>
    <row r="375" spans="1:35" x14ac:dyDescent="0.45">
      <c r="A375" s="70"/>
      <c r="B375" s="52"/>
      <c r="C375" s="70"/>
      <c r="D375" s="52" t="s">
        <v>284</v>
      </c>
      <c r="E375" s="70"/>
      <c r="F375" s="70"/>
      <c r="G375" s="70" t="s">
        <v>1495</v>
      </c>
      <c r="H375" s="87" t="str">
        <f>Settings!$B$3&amp;".mit.cpef."&amp;$G375&amp;"."&amp;$J$5</f>
        <v>egy.mit.cpef.ind.irn.1</v>
      </c>
      <c r="I375" s="70"/>
      <c r="J375" s="70"/>
      <c r="K375" s="72"/>
      <c r="L375" s="72">
        <f t="shared" ref="L375:AE375" si="135">SUM(L330:L332)+SUM(L352:L354)</f>
        <v>3.8464212577619237</v>
      </c>
      <c r="M375" s="72">
        <f t="shared" si="135"/>
        <v>4.0156637931034478</v>
      </c>
      <c r="N375" s="72">
        <f t="shared" si="135"/>
        <v>4.1923530000000007</v>
      </c>
      <c r="O375" s="72">
        <f t="shared" si="135"/>
        <v>4.3768165320000012</v>
      </c>
      <c r="P375" s="72">
        <f t="shared" si="135"/>
        <v>4.5693964594080008</v>
      </c>
      <c r="Q375" s="72">
        <f t="shared" si="135"/>
        <v>4.7704499036219534</v>
      </c>
      <c r="R375" s="72">
        <f t="shared" si="135"/>
        <v>4.9803496993813186</v>
      </c>
      <c r="S375" s="72">
        <f t="shared" si="135"/>
        <v>5.1994850861540982</v>
      </c>
      <c r="T375" s="72">
        <f t="shared" si="135"/>
        <v>5.4282624299448781</v>
      </c>
      <c r="U375" s="72">
        <f t="shared" si="135"/>
        <v>5.6671059768624525</v>
      </c>
      <c r="V375" s="72">
        <f t="shared" si="135"/>
        <v>5.9164586398444019</v>
      </c>
      <c r="W375" s="72">
        <f t="shared" si="135"/>
        <v>6.1767828199975545</v>
      </c>
      <c r="X375" s="72">
        <f t="shared" si="135"/>
        <v>6.4485612640774477</v>
      </c>
      <c r="Y375" s="72">
        <f t="shared" si="135"/>
        <v>6.7322979596968553</v>
      </c>
      <c r="Z375" s="72">
        <f t="shared" si="135"/>
        <v>7.0285190699235169</v>
      </c>
      <c r="AA375" s="72">
        <f t="shared" si="135"/>
        <v>7.3377739090001519</v>
      </c>
      <c r="AB375" s="72">
        <f t="shared" si="135"/>
        <v>7.6606359609961583</v>
      </c>
      <c r="AC375" s="72">
        <f t="shared" si="135"/>
        <v>7.9977039432799906</v>
      </c>
      <c r="AD375" s="72">
        <f t="shared" si="135"/>
        <v>8.3496029167843098</v>
      </c>
      <c r="AE375" s="72">
        <f t="shared" si="135"/>
        <v>8.7169854451228197</v>
      </c>
      <c r="AF375" s="70"/>
      <c r="AG375" s="70"/>
      <c r="AH375" s="70"/>
      <c r="AI375" s="70"/>
    </row>
    <row r="376" spans="1:35" x14ac:dyDescent="0.45">
      <c r="A376" s="70"/>
      <c r="B376" s="52"/>
      <c r="C376" s="70"/>
      <c r="D376" s="52" t="s">
        <v>285</v>
      </c>
      <c r="E376" s="70"/>
      <c r="F376" s="70"/>
      <c r="G376" s="70" t="s">
        <v>1496</v>
      </c>
      <c r="H376" s="87" t="str">
        <f>Settings!$B$3&amp;".mit.cpef."&amp;$G376&amp;"."&amp;$J$5</f>
        <v>egy.mit.cpef.ind.nfm.1</v>
      </c>
      <c r="I376" s="70"/>
      <c r="J376" s="70"/>
      <c r="K376" s="72"/>
      <c r="L376" s="72">
        <f t="shared" ref="L376:AE376" si="136">L337+L359</f>
        <v>4.2047573055412055E-2</v>
      </c>
      <c r="M376" s="72">
        <f t="shared" si="136"/>
        <v>4.4360189573459712E-2</v>
      </c>
      <c r="N376" s="72">
        <f t="shared" si="136"/>
        <v>4.6799999999999994E-2</v>
      </c>
      <c r="O376" s="72">
        <f t="shared" si="136"/>
        <v>4.9374000000000001E-2</v>
      </c>
      <c r="P376" s="72">
        <f t="shared" si="136"/>
        <v>5.2089569999999995E-2</v>
      </c>
      <c r="Q376" s="72">
        <f t="shared" si="136"/>
        <v>5.4954496349999993E-2</v>
      </c>
      <c r="R376" s="72">
        <f t="shared" si="136"/>
        <v>5.7976993649249998E-2</v>
      </c>
      <c r="S376" s="72">
        <f t="shared" si="136"/>
        <v>6.1165728299958741E-2</v>
      </c>
      <c r="T376" s="72">
        <f t="shared" si="136"/>
        <v>6.4529843356456465E-2</v>
      </c>
      <c r="U376" s="72">
        <f t="shared" si="136"/>
        <v>6.8078984741061568E-2</v>
      </c>
      <c r="V376" s="72">
        <f t="shared" si="136"/>
        <v>7.1823328901819944E-2</v>
      </c>
      <c r="W376" s="72">
        <f t="shared" si="136"/>
        <v>7.5773611991420048E-2</v>
      </c>
      <c r="X376" s="72">
        <f t="shared" si="136"/>
        <v>7.9941160650948154E-2</v>
      </c>
      <c r="Y376" s="72">
        <f t="shared" si="136"/>
        <v>8.4337924486750301E-2</v>
      </c>
      <c r="Z376" s="72">
        <f t="shared" si="136"/>
        <v>8.8976510333521566E-2</v>
      </c>
      <c r="AA376" s="72">
        <f t="shared" si="136"/>
        <v>9.3870218401865241E-2</v>
      </c>
      <c r="AB376" s="72">
        <f t="shared" si="136"/>
        <v>9.9033080413967828E-2</v>
      </c>
      <c r="AC376" s="72">
        <f t="shared" si="136"/>
        <v>0.10447989983673606</v>
      </c>
      <c r="AD376" s="72">
        <f t="shared" si="136"/>
        <v>0.11022629432775652</v>
      </c>
      <c r="AE376" s="72">
        <f t="shared" si="136"/>
        <v>0.11628874051578311</v>
      </c>
      <c r="AF376" s="70"/>
      <c r="AG376" s="70"/>
      <c r="AH376" s="70"/>
      <c r="AI376" s="70"/>
    </row>
    <row r="377" spans="1:35" x14ac:dyDescent="0.45">
      <c r="A377" s="70"/>
      <c r="B377" s="52"/>
      <c r="C377" s="70"/>
      <c r="D377" s="52" t="s">
        <v>286</v>
      </c>
      <c r="E377" s="70"/>
      <c r="F377" s="70"/>
      <c r="G377" s="70" t="s">
        <v>1497</v>
      </c>
      <c r="H377" s="87" t="str">
        <f>Settings!$B$3&amp;".mit.cpef."&amp;$G377&amp;"."&amp;$J$5</f>
        <v>egy.mit.cpef.ind.mac.1</v>
      </c>
      <c r="I377" s="70"/>
      <c r="J377" s="70"/>
      <c r="K377" s="72"/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0</v>
      </c>
      <c r="AE377" s="72">
        <v>0</v>
      </c>
      <c r="AF377" s="70"/>
      <c r="AG377" s="70"/>
      <c r="AH377" s="70"/>
      <c r="AI377" s="70"/>
    </row>
    <row r="378" spans="1:35" x14ac:dyDescent="0.45">
      <c r="A378" s="70"/>
      <c r="B378" s="52"/>
      <c r="C378" s="70"/>
      <c r="D378" s="52" t="s">
        <v>287</v>
      </c>
      <c r="E378" s="70"/>
      <c r="F378" s="70"/>
      <c r="G378" s="70" t="s">
        <v>1498</v>
      </c>
      <c r="H378" s="87" t="str">
        <f>Settings!$B$3&amp;".mit.cpef."&amp;$G378&amp;"."&amp;$J$5</f>
        <v>egy.mit.cpef.ind.cem.1</v>
      </c>
      <c r="I378" s="70"/>
      <c r="J378" s="70"/>
      <c r="K378" s="72"/>
      <c r="L378" s="72">
        <f t="shared" ref="L378:AE378" si="137">L333+L355</f>
        <v>13.508713893592759</v>
      </c>
      <c r="M378" s="72">
        <f t="shared" si="137"/>
        <v>13.954501452081319</v>
      </c>
      <c r="N378" s="72">
        <f t="shared" si="137"/>
        <v>14.414999999999999</v>
      </c>
      <c r="O378" s="72">
        <f t="shared" si="137"/>
        <v>14.890694999999997</v>
      </c>
      <c r="P378" s="72">
        <f t="shared" si="137"/>
        <v>15.382087934999998</v>
      </c>
      <c r="Q378" s="72">
        <f t="shared" si="137"/>
        <v>15.889696836854995</v>
      </c>
      <c r="R378" s="72">
        <f t="shared" si="137"/>
        <v>16.414056832471207</v>
      </c>
      <c r="S378" s="72">
        <f t="shared" si="137"/>
        <v>16.955720707942756</v>
      </c>
      <c r="T378" s="72">
        <f t="shared" si="137"/>
        <v>17.515259491304867</v>
      </c>
      <c r="U378" s="72">
        <f t="shared" si="137"/>
        <v>18.093263054517926</v>
      </c>
      <c r="V378" s="72">
        <f t="shared" si="137"/>
        <v>18.690340735317015</v>
      </c>
      <c r="W378" s="72">
        <f t="shared" si="137"/>
        <v>19.307121979582476</v>
      </c>
      <c r="X378" s="72">
        <f t="shared" si="137"/>
        <v>19.944257004908696</v>
      </c>
      <c r="Y378" s="72">
        <f t="shared" si="137"/>
        <v>20.602417486070681</v>
      </c>
      <c r="Z378" s="72">
        <f t="shared" si="137"/>
        <v>21.282297263111012</v>
      </c>
      <c r="AA378" s="72">
        <f t="shared" si="137"/>
        <v>21.984613072793675</v>
      </c>
      <c r="AB378" s="72">
        <f t="shared" si="137"/>
        <v>22.710105304195867</v>
      </c>
      <c r="AC378" s="72">
        <f t="shared" si="137"/>
        <v>23.459538779234329</v>
      </c>
      <c r="AD378" s="72">
        <f t="shared" si="137"/>
        <v>24.23370355894906</v>
      </c>
      <c r="AE378" s="72">
        <f t="shared" si="137"/>
        <v>25.033415776394378</v>
      </c>
      <c r="AF378" s="70"/>
      <c r="AG378" s="70"/>
      <c r="AH378" s="70"/>
      <c r="AI378" s="70"/>
    </row>
    <row r="379" spans="1:35" x14ac:dyDescent="0.45">
      <c r="A379" s="70"/>
      <c r="B379" s="52"/>
      <c r="C379" s="52"/>
      <c r="D379" s="72" t="s">
        <v>111</v>
      </c>
      <c r="E379" s="72"/>
      <c r="F379" s="72"/>
      <c r="G379" s="70" t="s">
        <v>1492</v>
      </c>
      <c r="H379" s="87" t="str">
        <f>Settings!$B$3&amp;".mit.emisf."&amp;$G379&amp;"."&amp;$J$5</f>
        <v>egy.mit.emisf.cbam.tot.1</v>
      </c>
      <c r="I379" s="72"/>
      <c r="J379" s="72"/>
      <c r="K379" s="72"/>
      <c r="L379" s="72">
        <f t="shared" ref="L379:AE379" si="138">SUM(L374:L378)</f>
        <v>20.926246357744834</v>
      </c>
      <c r="M379" s="72">
        <f t="shared" si="138"/>
        <v>21.621228468026327</v>
      </c>
      <c r="N379" s="72">
        <f t="shared" si="138"/>
        <v>22.340203500000001</v>
      </c>
      <c r="O379" s="72">
        <f t="shared" si="138"/>
        <v>23.084029142999999</v>
      </c>
      <c r="P379" s="72">
        <f t="shared" si="138"/>
        <v>23.853594734849999</v>
      </c>
      <c r="Q379" s="72">
        <f t="shared" si="138"/>
        <v>24.649822464218673</v>
      </c>
      <c r="R379" s="72">
        <f t="shared" si="138"/>
        <v>25.473668619896117</v>
      </c>
      <c r="S379" s="72">
        <f t="shared" si="138"/>
        <v>26.326124888867831</v>
      </c>
      <c r="T379" s="72">
        <f t="shared" si="138"/>
        <v>27.20821970513958</v>
      </c>
      <c r="U379" s="72">
        <f t="shared" si="138"/>
        <v>28.121019651346558</v>
      </c>
      <c r="V379" s="72">
        <f t="shared" si="138"/>
        <v>29.065630915263306</v>
      </c>
      <c r="W379" s="72">
        <f t="shared" si="138"/>
        <v>30.043200803417918</v>
      </c>
      <c r="X379" s="72">
        <f t="shared" si="138"/>
        <v>31.054919314104183</v>
      </c>
      <c r="Y379" s="72">
        <f t="shared" si="138"/>
        <v>32.102020772179657</v>
      </c>
      <c r="Z379" s="72">
        <f t="shared" si="138"/>
        <v>33.185785528135774</v>
      </c>
      <c r="AA379" s="72">
        <f t="shared" si="138"/>
        <v>34.307541724028304</v>
      </c>
      <c r="AB379" s="72">
        <f t="shared" si="138"/>
        <v>35.46866712896292</v>
      </c>
      <c r="AC379" s="72">
        <f t="shared" si="138"/>
        <v>36.670591046941837</v>
      </c>
      <c r="AD379" s="72">
        <f t="shared" si="138"/>
        <v>37.914796299992908</v>
      </c>
      <c r="AE379" s="72">
        <f t="shared" si="138"/>
        <v>39.202821289623259</v>
      </c>
      <c r="AF379" s="70"/>
      <c r="AG379" s="70"/>
      <c r="AH379" s="70"/>
      <c r="AI379" s="70"/>
    </row>
    <row r="380" spans="1:35" x14ac:dyDescent="0.45">
      <c r="A380" s="70"/>
      <c r="B380" s="52"/>
      <c r="C380" s="52"/>
      <c r="D380" s="72" t="s">
        <v>1868</v>
      </c>
      <c r="E380" s="72" t="s">
        <v>1869</v>
      </c>
      <c r="F380" s="72"/>
      <c r="G380" s="70" t="s">
        <v>1492</v>
      </c>
      <c r="H380" s="87" t="str">
        <f>Settings!$B$3&amp;".mit.emis."&amp;$G380&amp;"."&amp;$J$5</f>
        <v>egy.mit.emis.cbam.tot.1</v>
      </c>
      <c r="I380" s="72"/>
      <c r="J380" s="72"/>
      <c r="K380" s="72"/>
      <c r="L380" s="72">
        <f t="shared" ref="L380:AE380" si="139">L$379+L$390</f>
        <v>47.016585657660869</v>
      </c>
      <c r="M380" s="72">
        <f t="shared" si="139"/>
        <v>48.583140104124077</v>
      </c>
      <c r="N380" s="72">
        <f t="shared" si="139"/>
        <v>50.203203500000001</v>
      </c>
      <c r="O380" s="72">
        <f t="shared" si="139"/>
        <v>51.878652142999996</v>
      </c>
      <c r="P380" s="72">
        <f t="shared" si="139"/>
        <v>53.611430083849996</v>
      </c>
      <c r="Q380" s="72">
        <f t="shared" si="139"/>
        <v>55.403551656613665</v>
      </c>
      <c r="R380" s="72">
        <f t="shared" si="139"/>
        <v>57.257104107200519</v>
      </c>
      <c r="S380" s="72">
        <f t="shared" si="139"/>
        <v>59.174250324032492</v>
      </c>
      <c r="T380" s="72">
        <f t="shared" si="139"/>
        <v>61.157231675010621</v>
      </c>
      <c r="U380" s="72">
        <f t="shared" si="139"/>
        <v>63.208370955098921</v>
      </c>
      <c r="V380" s="72">
        <f t="shared" si="139"/>
        <v>65.330075449025713</v>
      </c>
      <c r="W380" s="72">
        <f t="shared" si="139"/>
        <v>67.52484011379407</v>
      </c>
      <c r="X380" s="72">
        <f t="shared" si="139"/>
        <v>69.795250885892756</v>
      </c>
      <c r="Y380" s="72">
        <f t="shared" si="139"/>
        <v>72.143988118307959</v>
      </c>
      <c r="Z380" s="72">
        <f t="shared" si="139"/>
        <v>74.573830152653855</v>
      </c>
      <c r="AA380" s="72">
        <f t="shared" si="139"/>
        <v>77.087657031968206</v>
      </c>
      <c r="AB380" s="72">
        <f t="shared" si="139"/>
        <v>79.688454359956467</v>
      </c>
      <c r="AC380" s="72">
        <f t="shared" si="139"/>
        <v>82.37931731271712</v>
      </c>
      <c r="AD380" s="72">
        <f t="shared" si="139"/>
        <v>85.163454809240363</v>
      </c>
      <c r="AE380" s="72">
        <f t="shared" si="139"/>
        <v>88.044193847243605</v>
      </c>
      <c r="AF380" s="70"/>
      <c r="AG380" s="70"/>
      <c r="AH380" s="70"/>
      <c r="AI380" s="70"/>
    </row>
    <row r="381" spans="1:35" x14ac:dyDescent="0.45">
      <c r="A381" s="70"/>
      <c r="B381" s="52"/>
      <c r="C381" s="52"/>
      <c r="D381" s="72" t="s">
        <v>1870</v>
      </c>
      <c r="E381" s="72" t="s">
        <v>1869</v>
      </c>
      <c r="F381" s="72"/>
      <c r="G381" s="70" t="s">
        <v>1492</v>
      </c>
      <c r="H381" s="87" t="str">
        <f>Settings!$B$3&amp;".mit.emr."&amp;$G381&amp;"."&amp;$J$5</f>
        <v>egy.mit.emr.cbam.tot.1</v>
      </c>
      <c r="I381" s="72"/>
      <c r="J381" s="72"/>
      <c r="K381" s="72"/>
      <c r="L381" s="72">
        <f t="shared" ref="L381:AE381" si="140">L$360+L$371</f>
        <v>0</v>
      </c>
      <c r="M381" s="72">
        <f t="shared" si="140"/>
        <v>0</v>
      </c>
      <c r="N381" s="72">
        <f t="shared" si="140"/>
        <v>0</v>
      </c>
      <c r="O381" s="72">
        <f t="shared" si="140"/>
        <v>0</v>
      </c>
      <c r="P381" s="72">
        <f t="shared" si="140"/>
        <v>0</v>
      </c>
      <c r="Q381" s="72">
        <f t="shared" si="140"/>
        <v>0</v>
      </c>
      <c r="R381" s="72">
        <f t="shared" si="140"/>
        <v>0</v>
      </c>
      <c r="S381" s="72">
        <f t="shared" si="140"/>
        <v>0</v>
      </c>
      <c r="T381" s="72">
        <f t="shared" si="140"/>
        <v>0</v>
      </c>
      <c r="U381" s="72">
        <f t="shared" si="140"/>
        <v>0</v>
      </c>
      <c r="V381" s="72">
        <f t="shared" si="140"/>
        <v>0</v>
      </c>
      <c r="W381" s="72">
        <f t="shared" si="140"/>
        <v>0</v>
      </c>
      <c r="X381" s="72">
        <f t="shared" si="140"/>
        <v>0</v>
      </c>
      <c r="Y381" s="72">
        <f t="shared" si="140"/>
        <v>0</v>
      </c>
      <c r="Z381" s="72">
        <f t="shared" si="140"/>
        <v>0</v>
      </c>
      <c r="AA381" s="72">
        <f t="shared" si="140"/>
        <v>0</v>
      </c>
      <c r="AB381" s="72">
        <f t="shared" si="140"/>
        <v>0</v>
      </c>
      <c r="AC381" s="72">
        <f t="shared" si="140"/>
        <v>0</v>
      </c>
      <c r="AD381" s="72">
        <f t="shared" si="140"/>
        <v>0</v>
      </c>
      <c r="AE381" s="72">
        <f t="shared" si="140"/>
        <v>0</v>
      </c>
      <c r="AF381" s="70"/>
      <c r="AG381" s="70"/>
      <c r="AH381" s="70"/>
      <c r="AI381" s="70"/>
    </row>
    <row r="382" spans="1:35" x14ac:dyDescent="0.45">
      <c r="A382" s="70"/>
      <c r="B382" s="52"/>
      <c r="C382" s="52"/>
      <c r="D382" s="72" t="s">
        <v>1900</v>
      </c>
      <c r="E382" s="72" t="s">
        <v>1871</v>
      </c>
      <c r="F382" s="72"/>
      <c r="G382" s="70" t="s">
        <v>1492</v>
      </c>
      <c r="H382" s="87" t="str">
        <f>Settings!$B$3&amp;".mit.revf."&amp;$G382&amp;"."&amp;$J$5</f>
        <v>egy.mit.revf.cbam.tot.1</v>
      </c>
      <c r="I382" s="72"/>
      <c r="J382" s="72"/>
      <c r="K382" s="72"/>
      <c r="L382" s="72">
        <f t="shared" ref="L382:AE382" si="141">SUMPRODUCT((L$330:L$337+L$352:L$359)*$I$330:$I$337*($F$299:$F$306*L$247+$G$299:$G$306*L$248))</f>
        <v>0</v>
      </c>
      <c r="M382" s="72">
        <f t="shared" si="141"/>
        <v>0</v>
      </c>
      <c r="N382" s="72">
        <f t="shared" si="141"/>
        <v>0</v>
      </c>
      <c r="O382" s="72">
        <f t="shared" si="141"/>
        <v>0</v>
      </c>
      <c r="P382" s="72">
        <f t="shared" si="141"/>
        <v>0</v>
      </c>
      <c r="Q382" s="72">
        <f t="shared" si="141"/>
        <v>0</v>
      </c>
      <c r="R382" s="72">
        <f t="shared" si="141"/>
        <v>0</v>
      </c>
      <c r="S382" s="72">
        <f t="shared" si="141"/>
        <v>0</v>
      </c>
      <c r="T382" s="72">
        <f t="shared" si="141"/>
        <v>0</v>
      </c>
      <c r="U382" s="72">
        <f t="shared" si="141"/>
        <v>0</v>
      </c>
      <c r="V382" s="72">
        <f t="shared" si="141"/>
        <v>0</v>
      </c>
      <c r="W382" s="72">
        <f t="shared" si="141"/>
        <v>0</v>
      </c>
      <c r="X382" s="72">
        <f t="shared" si="141"/>
        <v>0</v>
      </c>
      <c r="Y382" s="72">
        <f t="shared" si="141"/>
        <v>0</v>
      </c>
      <c r="Z382" s="72">
        <f t="shared" si="141"/>
        <v>0</v>
      </c>
      <c r="AA382" s="72">
        <f t="shared" si="141"/>
        <v>0</v>
      </c>
      <c r="AB382" s="72">
        <f t="shared" si="141"/>
        <v>0</v>
      </c>
      <c r="AC382" s="72">
        <f t="shared" si="141"/>
        <v>0</v>
      </c>
      <c r="AD382" s="72">
        <f t="shared" si="141"/>
        <v>0</v>
      </c>
      <c r="AE382" s="72">
        <f t="shared" si="141"/>
        <v>0</v>
      </c>
      <c r="AF382" s="70"/>
      <c r="AG382" s="70"/>
      <c r="AH382" s="70"/>
      <c r="AI382" s="70"/>
    </row>
    <row r="383" spans="1:35" x14ac:dyDescent="0.45">
      <c r="A383" s="70"/>
      <c r="B383" s="52"/>
      <c r="C383" s="52"/>
      <c r="D383" s="72" t="s">
        <v>1919</v>
      </c>
      <c r="E383" s="72" t="s">
        <v>1871</v>
      </c>
      <c r="F383" s="72"/>
      <c r="G383" s="70" t="s">
        <v>1492</v>
      </c>
      <c r="H383" s="87" t="str">
        <f>Settings!$B$3&amp;".mit.revp."&amp;$G383&amp;"."&amp;$J$5</f>
        <v>egy.mit.revp.cbam.tot.1</v>
      </c>
      <c r="I383" s="72"/>
      <c r="J383" s="72"/>
      <c r="K383" s="72"/>
      <c r="L383" s="72">
        <f t="shared" ref="L383:AE383" si="142">SUMPRODUCT((L$341:L$348*$J$330:$J$337+L$363:L$370)*($F$310:$F$317*L$308+$G$310:$G$317*L$248))</f>
        <v>0</v>
      </c>
      <c r="M383" s="72">
        <f t="shared" si="142"/>
        <v>0</v>
      </c>
      <c r="N383" s="72">
        <f t="shared" si="142"/>
        <v>0</v>
      </c>
      <c r="O383" s="72">
        <f t="shared" si="142"/>
        <v>0</v>
      </c>
      <c r="P383" s="72">
        <f t="shared" si="142"/>
        <v>0</v>
      </c>
      <c r="Q383" s="72">
        <f t="shared" si="142"/>
        <v>0</v>
      </c>
      <c r="R383" s="72">
        <f t="shared" si="142"/>
        <v>0</v>
      </c>
      <c r="S383" s="72">
        <f t="shared" si="142"/>
        <v>0</v>
      </c>
      <c r="T383" s="72">
        <f t="shared" si="142"/>
        <v>0</v>
      </c>
      <c r="U383" s="72">
        <f t="shared" si="142"/>
        <v>0</v>
      </c>
      <c r="V383" s="72">
        <f t="shared" si="142"/>
        <v>0</v>
      </c>
      <c r="W383" s="72">
        <f t="shared" si="142"/>
        <v>0</v>
      </c>
      <c r="X383" s="72">
        <f t="shared" si="142"/>
        <v>0</v>
      </c>
      <c r="Y383" s="72">
        <f t="shared" si="142"/>
        <v>0</v>
      </c>
      <c r="Z383" s="72">
        <f t="shared" si="142"/>
        <v>0</v>
      </c>
      <c r="AA383" s="72">
        <f t="shared" si="142"/>
        <v>0</v>
      </c>
      <c r="AB383" s="72">
        <f t="shared" si="142"/>
        <v>0</v>
      </c>
      <c r="AC383" s="72">
        <f t="shared" si="142"/>
        <v>0</v>
      </c>
      <c r="AD383" s="72">
        <f t="shared" si="142"/>
        <v>0</v>
      </c>
      <c r="AE383" s="72">
        <f t="shared" si="142"/>
        <v>0</v>
      </c>
      <c r="AF383" s="70"/>
      <c r="AG383" s="70"/>
      <c r="AH383" s="70"/>
      <c r="AI383" s="70"/>
    </row>
    <row r="384" spans="1:35" x14ac:dyDescent="0.45">
      <c r="A384" s="70"/>
      <c r="B384" s="52"/>
      <c r="C384" s="73" t="s">
        <v>1499</v>
      </c>
      <c r="D384" s="73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0"/>
      <c r="AG384" s="70"/>
      <c r="AH384" s="70"/>
      <c r="AI384" s="70"/>
    </row>
    <row r="385" spans="1:35" x14ac:dyDescent="0.45">
      <c r="A385" s="70"/>
      <c r="B385" s="52"/>
      <c r="C385" s="70"/>
      <c r="D385" s="52" t="s">
        <v>283</v>
      </c>
      <c r="E385" s="70"/>
      <c r="F385" s="70"/>
      <c r="G385" s="70" t="s">
        <v>1494</v>
      </c>
      <c r="H385" s="87" t="str">
        <f>Settings!$B$3&amp;".mit.cpep."&amp;$G385&amp;"."&amp;$J$5</f>
        <v>egy.mit.cpep.ind.mch.1</v>
      </c>
      <c r="I385" s="70"/>
      <c r="J385" s="70"/>
      <c r="K385" s="72"/>
      <c r="L385" s="72">
        <f t="shared" ref="L385:AE385" si="143">SUM(L345:L347)+SUM(L367:L369)</f>
        <v>0.55721293959505358</v>
      </c>
      <c r="M385" s="72">
        <f t="shared" si="143"/>
        <v>0.56947162426614473</v>
      </c>
      <c r="N385" s="72">
        <f t="shared" si="143"/>
        <v>0.58199999999999996</v>
      </c>
      <c r="O385" s="72">
        <f t="shared" si="143"/>
        <v>0.594804</v>
      </c>
      <c r="P385" s="72">
        <f t="shared" si="143"/>
        <v>0.60788968800000009</v>
      </c>
      <c r="Q385" s="72">
        <f t="shared" si="143"/>
        <v>0.62126326113599994</v>
      </c>
      <c r="R385" s="72">
        <f t="shared" si="143"/>
        <v>0.63493105288099194</v>
      </c>
      <c r="S385" s="72">
        <f t="shared" si="143"/>
        <v>0.64889953604437378</v>
      </c>
      <c r="T385" s="72">
        <f t="shared" si="143"/>
        <v>0.66317532583735006</v>
      </c>
      <c r="U385" s="72">
        <f t="shared" si="143"/>
        <v>0.67776518300577182</v>
      </c>
      <c r="V385" s="72">
        <f t="shared" si="143"/>
        <v>0.69267601703189885</v>
      </c>
      <c r="W385" s="72">
        <f t="shared" si="143"/>
        <v>0.70791488940660052</v>
      </c>
      <c r="X385" s="72">
        <f t="shared" si="143"/>
        <v>0.72348901697354573</v>
      </c>
      <c r="Y385" s="72">
        <f t="shared" si="143"/>
        <v>0.73940577534696372</v>
      </c>
      <c r="Z385" s="72">
        <f t="shared" si="143"/>
        <v>0.75567270240459705</v>
      </c>
      <c r="AA385" s="72">
        <f t="shared" si="143"/>
        <v>0.77229750185749824</v>
      </c>
      <c r="AB385" s="72">
        <f t="shared" si="143"/>
        <v>0.78928804689836318</v>
      </c>
      <c r="AC385" s="72">
        <f t="shared" si="143"/>
        <v>0.80665238393012717</v>
      </c>
      <c r="AD385" s="72">
        <f t="shared" si="143"/>
        <v>0.82439873637659</v>
      </c>
      <c r="AE385" s="72">
        <f t="shared" si="143"/>
        <v>0.84253550857687498</v>
      </c>
      <c r="AF385" s="70"/>
      <c r="AG385" s="70"/>
      <c r="AH385" s="70"/>
      <c r="AI385" s="70"/>
    </row>
    <row r="386" spans="1:35" x14ac:dyDescent="0.45">
      <c r="A386" s="70"/>
      <c r="B386" s="52"/>
      <c r="C386" s="70"/>
      <c r="D386" s="52" t="s">
        <v>284</v>
      </c>
      <c r="E386" s="70"/>
      <c r="F386" s="70"/>
      <c r="G386" s="70" t="s">
        <v>1495</v>
      </c>
      <c r="H386" s="87" t="str">
        <f>Settings!$B$3&amp;".mit.cpep."&amp;$G386&amp;"."&amp;$J$5</f>
        <v>egy.mit.cpep.ind.irn.1</v>
      </c>
      <c r="I386" s="70"/>
      <c r="J386" s="70"/>
      <c r="K386" s="72"/>
      <c r="L386" s="72">
        <f t="shared" ref="L386:AE386" si="144">SUM(L341:L343)+SUM(L363:L365)</f>
        <v>0.25322587748271458</v>
      </c>
      <c r="M386" s="72">
        <f t="shared" si="144"/>
        <v>0.26436781609195403</v>
      </c>
      <c r="N386" s="72">
        <f t="shared" si="144"/>
        <v>0.27599999999999997</v>
      </c>
      <c r="O386" s="72">
        <f t="shared" si="144"/>
        <v>0.28814400000000001</v>
      </c>
      <c r="P386" s="72">
        <f t="shared" si="144"/>
        <v>0.30082233600000008</v>
      </c>
      <c r="Q386" s="72">
        <f t="shared" si="144"/>
        <v>0.31405851878400004</v>
      </c>
      <c r="R386" s="72">
        <f t="shared" si="144"/>
        <v>0.32787709361049611</v>
      </c>
      <c r="S386" s="72">
        <f t="shared" si="144"/>
        <v>0.34230368572935788</v>
      </c>
      <c r="T386" s="72">
        <f t="shared" si="144"/>
        <v>0.35736504790144968</v>
      </c>
      <c r="U386" s="72">
        <f t="shared" si="144"/>
        <v>0.37308911000911349</v>
      </c>
      <c r="V386" s="72">
        <f t="shared" si="144"/>
        <v>0.38950503084951449</v>
      </c>
      <c r="W386" s="72">
        <f t="shared" si="144"/>
        <v>0.40664325220689312</v>
      </c>
      <c r="X386" s="72">
        <f t="shared" si="144"/>
        <v>0.42453555530399645</v>
      </c>
      <c r="Y386" s="72">
        <f t="shared" si="144"/>
        <v>0.44321511973737227</v>
      </c>
      <c r="Z386" s="72">
        <f t="shared" si="144"/>
        <v>0.46271658500581669</v>
      </c>
      <c r="AA386" s="72">
        <f t="shared" si="144"/>
        <v>0.48307611474607259</v>
      </c>
      <c r="AB386" s="72">
        <f t="shared" si="144"/>
        <v>0.5043314637948999</v>
      </c>
      <c r="AC386" s="72">
        <f t="shared" si="144"/>
        <v>0.52652204820187531</v>
      </c>
      <c r="AD386" s="72">
        <f t="shared" si="144"/>
        <v>0.54968901832275785</v>
      </c>
      <c r="AE386" s="72">
        <f t="shared" si="144"/>
        <v>0.57387533512895927</v>
      </c>
      <c r="AF386" s="70"/>
      <c r="AG386" s="70"/>
      <c r="AH386" s="70"/>
      <c r="AI386" s="70"/>
    </row>
    <row r="387" spans="1:35" x14ac:dyDescent="0.45">
      <c r="A387" s="70"/>
      <c r="B387" s="52"/>
      <c r="C387" s="70"/>
      <c r="D387" s="52" t="s">
        <v>285</v>
      </c>
      <c r="E387" s="70"/>
      <c r="F387" s="70"/>
      <c r="G387" s="70" t="s">
        <v>1496</v>
      </c>
      <c r="H387" s="87" t="str">
        <f>Settings!$B$3&amp;".mit.cpep."&amp;$G387&amp;"."&amp;$J$5</f>
        <v>egy.mit.cpep.ind.nfm.1</v>
      </c>
      <c r="I387" s="70"/>
      <c r="J387" s="70"/>
      <c r="K387" s="72"/>
      <c r="L387" s="72">
        <f t="shared" ref="L387:AE387" si="145">L348+L370</f>
        <v>0.63340895307832257</v>
      </c>
      <c r="M387" s="72">
        <f t="shared" si="145"/>
        <v>0.66824644549763035</v>
      </c>
      <c r="N387" s="72">
        <f t="shared" si="145"/>
        <v>0.70499999999999996</v>
      </c>
      <c r="O387" s="72">
        <f t="shared" si="145"/>
        <v>0.74377499999999996</v>
      </c>
      <c r="P387" s="72">
        <f t="shared" si="145"/>
        <v>0.78468262499999997</v>
      </c>
      <c r="Q387" s="72">
        <f t="shared" si="145"/>
        <v>0.82784016937499993</v>
      </c>
      <c r="R387" s="72">
        <f t="shared" si="145"/>
        <v>0.87337137869062498</v>
      </c>
      <c r="S387" s="72">
        <f t="shared" si="145"/>
        <v>0.92140680451860935</v>
      </c>
      <c r="T387" s="72">
        <f t="shared" si="145"/>
        <v>0.97208417876713282</v>
      </c>
      <c r="U387" s="72">
        <f t="shared" si="145"/>
        <v>1.025548808599325</v>
      </c>
      <c r="V387" s="72">
        <f t="shared" si="145"/>
        <v>1.0819539930722879</v>
      </c>
      <c r="W387" s="72">
        <f t="shared" si="145"/>
        <v>1.1414614626912638</v>
      </c>
      <c r="X387" s="72">
        <f t="shared" si="145"/>
        <v>1.2042418431392832</v>
      </c>
      <c r="Y387" s="72">
        <f t="shared" si="145"/>
        <v>1.2704751445119435</v>
      </c>
      <c r="Z387" s="72">
        <f t="shared" si="145"/>
        <v>1.3403512774601003</v>
      </c>
      <c r="AA387" s="72">
        <f t="shared" si="145"/>
        <v>1.4140705977204062</v>
      </c>
      <c r="AB387" s="72">
        <f t="shared" si="145"/>
        <v>1.4918444805950282</v>
      </c>
      <c r="AC387" s="72">
        <f t="shared" si="145"/>
        <v>1.5738959270277546</v>
      </c>
      <c r="AD387" s="72">
        <f t="shared" si="145"/>
        <v>1.660460203014281</v>
      </c>
      <c r="AE387" s="72">
        <f t="shared" si="145"/>
        <v>1.7517855141800662</v>
      </c>
      <c r="AF387" s="70"/>
      <c r="AG387" s="70"/>
      <c r="AH387" s="70"/>
      <c r="AI387" s="70"/>
    </row>
    <row r="388" spans="1:35" x14ac:dyDescent="0.45">
      <c r="A388" s="70"/>
      <c r="B388" s="52"/>
      <c r="C388" s="70"/>
      <c r="D388" s="52" t="s">
        <v>286</v>
      </c>
      <c r="E388" s="70"/>
      <c r="F388" s="70"/>
      <c r="G388" s="70" t="s">
        <v>1497</v>
      </c>
      <c r="H388" s="87" t="str">
        <f>Settings!$B$3&amp;".mit.cpep."&amp;$G388&amp;"."&amp;$J$5</f>
        <v>egy.mit.cpep.ind.mac.1</v>
      </c>
      <c r="I388" s="70"/>
      <c r="J388" s="70"/>
      <c r="K388" s="72"/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</v>
      </c>
      <c r="AF388" s="70"/>
      <c r="AG388" s="70"/>
      <c r="AH388" s="70"/>
      <c r="AI388" s="70"/>
    </row>
    <row r="389" spans="1:35" x14ac:dyDescent="0.45">
      <c r="A389" s="70"/>
      <c r="B389" s="52"/>
      <c r="C389" s="70"/>
      <c r="D389" s="52" t="s">
        <v>287</v>
      </c>
      <c r="E389" s="70"/>
      <c r="F389" s="70"/>
      <c r="G389" s="70" t="s">
        <v>1498</v>
      </c>
      <c r="H389" s="87" t="str">
        <f>Settings!$B$3&amp;".mit.cpep."&amp;$G389&amp;"."&amp;$J$5</f>
        <v>egy.mit.cpep.ind.cem.1</v>
      </c>
      <c r="I389" s="70"/>
      <c r="J389" s="70"/>
      <c r="K389" s="72"/>
      <c r="L389" s="72">
        <f t="shared" ref="L389:AE389" si="146">L344+L366</f>
        <v>24.646491529759945</v>
      </c>
      <c r="M389" s="72">
        <f t="shared" si="146"/>
        <v>25.459825750242022</v>
      </c>
      <c r="N389" s="72">
        <f t="shared" si="146"/>
        <v>26.3</v>
      </c>
      <c r="O389" s="72">
        <f t="shared" si="146"/>
        <v>27.167899999999999</v>
      </c>
      <c r="P389" s="72">
        <f t="shared" si="146"/>
        <v>28.064440699999995</v>
      </c>
      <c r="Q389" s="72">
        <f t="shared" si="146"/>
        <v>28.990567243099992</v>
      </c>
      <c r="R389" s="72">
        <f t="shared" si="146"/>
        <v>29.947255962122291</v>
      </c>
      <c r="S389" s="72">
        <f t="shared" si="146"/>
        <v>30.935515408872323</v>
      </c>
      <c r="T389" s="72">
        <f t="shared" si="146"/>
        <v>31.956387417365111</v>
      </c>
      <c r="U389" s="72">
        <f t="shared" si="146"/>
        <v>33.010948202138152</v>
      </c>
      <c r="V389" s="72">
        <f t="shared" si="146"/>
        <v>34.100309492808705</v>
      </c>
      <c r="W389" s="72">
        <f t="shared" si="146"/>
        <v>35.225619706071399</v>
      </c>
      <c r="X389" s="72">
        <f t="shared" si="146"/>
        <v>36.388065156371745</v>
      </c>
      <c r="Y389" s="72">
        <f t="shared" si="146"/>
        <v>37.588871306532013</v>
      </c>
      <c r="Z389" s="72">
        <f t="shared" si="146"/>
        <v>38.829304059647569</v>
      </c>
      <c r="AA389" s="72">
        <f t="shared" si="146"/>
        <v>40.110671093615935</v>
      </c>
      <c r="AB389" s="72">
        <f t="shared" si="146"/>
        <v>41.434323239705257</v>
      </c>
      <c r="AC389" s="72">
        <f t="shared" si="146"/>
        <v>42.801655906615522</v>
      </c>
      <c r="AD389" s="72">
        <f t="shared" si="146"/>
        <v>44.214110551533835</v>
      </c>
      <c r="AE389" s="72">
        <f t="shared" si="146"/>
        <v>45.673176199734449</v>
      </c>
      <c r="AF389" s="70"/>
      <c r="AG389" s="70"/>
      <c r="AH389" s="70"/>
      <c r="AI389" s="70"/>
    </row>
    <row r="390" spans="1:35" x14ac:dyDescent="0.45">
      <c r="A390" s="70"/>
      <c r="B390" s="52"/>
      <c r="C390" s="52"/>
      <c r="D390" s="72" t="s">
        <v>111</v>
      </c>
      <c r="E390" s="72"/>
      <c r="F390" s="72"/>
      <c r="G390" s="70" t="s">
        <v>1492</v>
      </c>
      <c r="H390" s="87" t="str">
        <f>Settings!$B$3&amp;".mit.emisp."&amp;$G390&amp;"."&amp;$J$5</f>
        <v>egy.mit.emisp.cbam.tot.1</v>
      </c>
      <c r="I390" s="72"/>
      <c r="J390" s="72"/>
      <c r="K390" s="72"/>
      <c r="L390" s="72">
        <f t="shared" ref="L390:AE390" si="147">SUM(L385:L389)</f>
        <v>26.090339299916035</v>
      </c>
      <c r="M390" s="72">
        <f t="shared" si="147"/>
        <v>26.961911636097749</v>
      </c>
      <c r="N390" s="72">
        <f t="shared" si="147"/>
        <v>27.863</v>
      </c>
      <c r="O390" s="72">
        <f t="shared" si="147"/>
        <v>28.794623000000001</v>
      </c>
      <c r="P390" s="72">
        <f t="shared" si="147"/>
        <v>29.757835348999997</v>
      </c>
      <c r="Q390" s="72">
        <f t="shared" si="147"/>
        <v>30.753729192394992</v>
      </c>
      <c r="R390" s="72">
        <f t="shared" si="147"/>
        <v>31.783435487304406</v>
      </c>
      <c r="S390" s="72">
        <f t="shared" si="147"/>
        <v>32.848125435164661</v>
      </c>
      <c r="T390" s="72">
        <f t="shared" si="147"/>
        <v>33.949011969871044</v>
      </c>
      <c r="U390" s="72">
        <f t="shared" si="147"/>
        <v>35.087351303752364</v>
      </c>
      <c r="V390" s="72">
        <f t="shared" si="147"/>
        <v>36.264444533762408</v>
      </c>
      <c r="W390" s="72">
        <f t="shared" si="147"/>
        <v>37.481639310376153</v>
      </c>
      <c r="X390" s="72">
        <f t="shared" si="147"/>
        <v>38.740331571788573</v>
      </c>
      <c r="Y390" s="72">
        <f t="shared" si="147"/>
        <v>40.041967346128295</v>
      </c>
      <c r="Z390" s="72">
        <f t="shared" si="147"/>
        <v>41.388044624518081</v>
      </c>
      <c r="AA390" s="72">
        <f t="shared" si="147"/>
        <v>42.780115307939909</v>
      </c>
      <c r="AB390" s="72">
        <f t="shared" si="147"/>
        <v>44.219787230993546</v>
      </c>
      <c r="AC390" s="72">
        <f t="shared" si="147"/>
        <v>45.708726265775283</v>
      </c>
      <c r="AD390" s="72">
        <f t="shared" si="147"/>
        <v>47.248658509247463</v>
      </c>
      <c r="AE390" s="72">
        <f t="shared" si="147"/>
        <v>48.841372557620346</v>
      </c>
      <c r="AF390" s="70"/>
      <c r="AG390" s="70"/>
      <c r="AH390" s="70"/>
      <c r="AI390" s="70"/>
    </row>
    <row r="391" spans="1:35" x14ac:dyDescent="0.45">
      <c r="A391" s="70"/>
      <c r="B391" s="52" t="s">
        <v>1872</v>
      </c>
      <c r="C391" s="73" t="s">
        <v>1500</v>
      </c>
      <c r="D391" s="73"/>
      <c r="E391" s="70"/>
      <c r="F391" s="70"/>
      <c r="G391" s="70"/>
      <c r="H391" s="70"/>
      <c r="I391" s="70"/>
      <c r="J391" s="71"/>
      <c r="K391" s="72"/>
      <c r="L391" s="74">
        <f t="shared" ref="L391:AE391" si="148">L362</f>
        <v>2022</v>
      </c>
      <c r="M391" s="74">
        <f t="shared" si="148"/>
        <v>2023</v>
      </c>
      <c r="N391" s="74">
        <f t="shared" si="148"/>
        <v>2024</v>
      </c>
      <c r="O391" s="74">
        <f t="shared" si="148"/>
        <v>2025</v>
      </c>
      <c r="P391" s="74">
        <f t="shared" si="148"/>
        <v>2026</v>
      </c>
      <c r="Q391" s="74">
        <f t="shared" si="148"/>
        <v>2027</v>
      </c>
      <c r="R391" s="74">
        <f t="shared" si="148"/>
        <v>2028</v>
      </c>
      <c r="S391" s="74">
        <f t="shared" si="148"/>
        <v>2029</v>
      </c>
      <c r="T391" s="74">
        <f t="shared" si="148"/>
        <v>2030</v>
      </c>
      <c r="U391" s="74">
        <f t="shared" si="148"/>
        <v>2031</v>
      </c>
      <c r="V391" s="74">
        <f t="shared" si="148"/>
        <v>2032</v>
      </c>
      <c r="W391" s="74">
        <f t="shared" si="148"/>
        <v>2033</v>
      </c>
      <c r="X391" s="74">
        <f t="shared" si="148"/>
        <v>2034</v>
      </c>
      <c r="Y391" s="74">
        <f t="shared" si="148"/>
        <v>2035</v>
      </c>
      <c r="Z391" s="74">
        <f t="shared" si="148"/>
        <v>2036</v>
      </c>
      <c r="AA391" s="74">
        <f t="shared" si="148"/>
        <v>2037</v>
      </c>
      <c r="AB391" s="74">
        <f t="shared" si="148"/>
        <v>2038</v>
      </c>
      <c r="AC391" s="74">
        <f t="shared" si="148"/>
        <v>2039</v>
      </c>
      <c r="AD391" s="74">
        <f t="shared" si="148"/>
        <v>2040</v>
      </c>
      <c r="AE391" s="74">
        <f t="shared" si="148"/>
        <v>2041</v>
      </c>
      <c r="AF391" s="74"/>
      <c r="AG391" s="70"/>
      <c r="AH391" s="70"/>
      <c r="AI391" s="70"/>
    </row>
    <row r="392" spans="1:35" x14ac:dyDescent="0.45">
      <c r="A392" s="70"/>
      <c r="B392" s="52"/>
      <c r="C392" s="52"/>
      <c r="D392" s="52" t="s">
        <v>1350</v>
      </c>
      <c r="E392" s="70"/>
      <c r="F392" s="70"/>
      <c r="G392" s="70"/>
      <c r="H392" s="70"/>
      <c r="I392" s="70"/>
      <c r="J392" s="70"/>
      <c r="K392" s="72"/>
      <c r="L392" s="72">
        <f t="shared" ref="L392:AE392" si="149">(L330+L352)*$I330*($F299*L$247+$G299*L$248)+(L341*$J330+L363)*($F310*L$308+$G310*L$248)</f>
        <v>0</v>
      </c>
      <c r="M392" s="72">
        <f t="shared" si="149"/>
        <v>0</v>
      </c>
      <c r="N392" s="72">
        <f t="shared" si="149"/>
        <v>0</v>
      </c>
      <c r="O392" s="72">
        <f t="shared" si="149"/>
        <v>0</v>
      </c>
      <c r="P392" s="72">
        <f t="shared" si="149"/>
        <v>0</v>
      </c>
      <c r="Q392" s="72">
        <f t="shared" si="149"/>
        <v>0</v>
      </c>
      <c r="R392" s="72">
        <f t="shared" si="149"/>
        <v>0</v>
      </c>
      <c r="S392" s="72">
        <f t="shared" si="149"/>
        <v>0</v>
      </c>
      <c r="T392" s="72">
        <f t="shared" si="149"/>
        <v>0</v>
      </c>
      <c r="U392" s="72">
        <f t="shared" si="149"/>
        <v>0</v>
      </c>
      <c r="V392" s="72">
        <f t="shared" si="149"/>
        <v>0</v>
      </c>
      <c r="W392" s="72">
        <f t="shared" si="149"/>
        <v>0</v>
      </c>
      <c r="X392" s="72">
        <f t="shared" si="149"/>
        <v>0</v>
      </c>
      <c r="Y392" s="72">
        <f t="shared" si="149"/>
        <v>0</v>
      </c>
      <c r="Z392" s="72">
        <f t="shared" si="149"/>
        <v>0</v>
      </c>
      <c r="AA392" s="72">
        <f t="shared" si="149"/>
        <v>0</v>
      </c>
      <c r="AB392" s="72">
        <f t="shared" si="149"/>
        <v>0</v>
      </c>
      <c r="AC392" s="72">
        <f t="shared" si="149"/>
        <v>0</v>
      </c>
      <c r="AD392" s="72">
        <f t="shared" si="149"/>
        <v>0</v>
      </c>
      <c r="AE392" s="72">
        <f t="shared" si="149"/>
        <v>0</v>
      </c>
      <c r="AF392" s="70"/>
      <c r="AG392" s="70"/>
      <c r="AH392" s="70"/>
      <c r="AI392" s="70"/>
    </row>
    <row r="393" spans="1:35" x14ac:dyDescent="0.45">
      <c r="A393" s="70"/>
      <c r="B393" s="52"/>
      <c r="C393" s="52"/>
      <c r="D393" s="52" t="s">
        <v>1357</v>
      </c>
      <c r="E393" s="70"/>
      <c r="F393" s="70"/>
      <c r="G393" s="70"/>
      <c r="H393" s="70"/>
      <c r="I393" s="70"/>
      <c r="J393" s="70"/>
      <c r="K393" s="72"/>
      <c r="L393" s="72">
        <f t="shared" ref="L393:AE393" si="150">(L331+L353)*$I331*($F300*L$247+$G300*L$248)+(L342*$J331+L364)*($F311*L$308+$G311*L$248)</f>
        <v>0</v>
      </c>
      <c r="M393" s="72">
        <f t="shared" si="150"/>
        <v>0</v>
      </c>
      <c r="N393" s="72">
        <f t="shared" si="150"/>
        <v>0</v>
      </c>
      <c r="O393" s="72">
        <f t="shared" si="150"/>
        <v>0</v>
      </c>
      <c r="P393" s="72">
        <f t="shared" si="150"/>
        <v>0</v>
      </c>
      <c r="Q393" s="72">
        <f t="shared" si="150"/>
        <v>0</v>
      </c>
      <c r="R393" s="72">
        <f t="shared" si="150"/>
        <v>0</v>
      </c>
      <c r="S393" s="72">
        <f t="shared" si="150"/>
        <v>0</v>
      </c>
      <c r="T393" s="72">
        <f t="shared" si="150"/>
        <v>0</v>
      </c>
      <c r="U393" s="72">
        <f t="shared" si="150"/>
        <v>0</v>
      </c>
      <c r="V393" s="72">
        <f t="shared" si="150"/>
        <v>0</v>
      </c>
      <c r="W393" s="72">
        <f t="shared" si="150"/>
        <v>0</v>
      </c>
      <c r="X393" s="72">
        <f t="shared" si="150"/>
        <v>0</v>
      </c>
      <c r="Y393" s="72">
        <f t="shared" si="150"/>
        <v>0</v>
      </c>
      <c r="Z393" s="72">
        <f t="shared" si="150"/>
        <v>0</v>
      </c>
      <c r="AA393" s="72">
        <f t="shared" si="150"/>
        <v>0</v>
      </c>
      <c r="AB393" s="72">
        <f t="shared" si="150"/>
        <v>0</v>
      </c>
      <c r="AC393" s="72">
        <f t="shared" si="150"/>
        <v>0</v>
      </c>
      <c r="AD393" s="72">
        <f t="shared" si="150"/>
        <v>0</v>
      </c>
      <c r="AE393" s="72">
        <f t="shared" si="150"/>
        <v>0</v>
      </c>
      <c r="AF393" s="70"/>
      <c r="AG393" s="70"/>
      <c r="AH393" s="70"/>
      <c r="AI393" s="70"/>
    </row>
    <row r="394" spans="1:35" x14ac:dyDescent="0.45">
      <c r="A394" s="70"/>
      <c r="B394" s="52"/>
      <c r="C394" s="52"/>
      <c r="D394" s="52" t="s">
        <v>1363</v>
      </c>
      <c r="E394" s="70"/>
      <c r="F394" s="70"/>
      <c r="G394" s="70"/>
      <c r="H394" s="70"/>
      <c r="I394" s="70"/>
      <c r="J394" s="70"/>
      <c r="K394" s="72"/>
      <c r="L394" s="72">
        <f t="shared" ref="L394:AE394" si="151">(L332+L354)*$I332*($F301*L$247+$G301*L$248)+(L343*$J332+L365)*($F312*L$308+$G312*L$248)</f>
        <v>0</v>
      </c>
      <c r="M394" s="72">
        <f t="shared" si="151"/>
        <v>0</v>
      </c>
      <c r="N394" s="72">
        <f t="shared" si="151"/>
        <v>0</v>
      </c>
      <c r="O394" s="72">
        <f t="shared" si="151"/>
        <v>0</v>
      </c>
      <c r="P394" s="72">
        <f t="shared" si="151"/>
        <v>0</v>
      </c>
      <c r="Q394" s="72">
        <f t="shared" si="151"/>
        <v>0</v>
      </c>
      <c r="R394" s="72">
        <f t="shared" si="151"/>
        <v>0</v>
      </c>
      <c r="S394" s="72">
        <f t="shared" si="151"/>
        <v>0</v>
      </c>
      <c r="T394" s="72">
        <f t="shared" si="151"/>
        <v>0</v>
      </c>
      <c r="U394" s="72">
        <f t="shared" si="151"/>
        <v>0</v>
      </c>
      <c r="V394" s="72">
        <f t="shared" si="151"/>
        <v>0</v>
      </c>
      <c r="W394" s="72">
        <f t="shared" si="151"/>
        <v>0</v>
      </c>
      <c r="X394" s="72">
        <f t="shared" si="151"/>
        <v>0</v>
      </c>
      <c r="Y394" s="72">
        <f t="shared" si="151"/>
        <v>0</v>
      </c>
      <c r="Z394" s="72">
        <f t="shared" si="151"/>
        <v>0</v>
      </c>
      <c r="AA394" s="72">
        <f t="shared" si="151"/>
        <v>0</v>
      </c>
      <c r="AB394" s="72">
        <f t="shared" si="151"/>
        <v>0</v>
      </c>
      <c r="AC394" s="72">
        <f t="shared" si="151"/>
        <v>0</v>
      </c>
      <c r="AD394" s="72">
        <f t="shared" si="151"/>
        <v>0</v>
      </c>
      <c r="AE394" s="72">
        <f t="shared" si="151"/>
        <v>0</v>
      </c>
      <c r="AF394" s="70"/>
      <c r="AG394" s="70"/>
      <c r="AH394" s="70"/>
      <c r="AI394" s="70"/>
    </row>
    <row r="395" spans="1:35" x14ac:dyDescent="0.45">
      <c r="A395" s="70"/>
      <c r="B395" s="52"/>
      <c r="C395" s="52"/>
      <c r="D395" s="52" t="s">
        <v>1369</v>
      </c>
      <c r="E395" s="70"/>
      <c r="F395" s="70"/>
      <c r="G395" s="70"/>
      <c r="H395" s="70"/>
      <c r="I395" s="70"/>
      <c r="J395" s="70"/>
      <c r="K395" s="72"/>
      <c r="L395" s="72">
        <f t="shared" ref="L395:AE395" si="152">(L333+L355)*$I333*($F302*L$247+$G302*L$248)+(L344*$J333+L366)*($F313*L$308+$G313*L$248)</f>
        <v>0</v>
      </c>
      <c r="M395" s="72">
        <f t="shared" si="152"/>
        <v>0</v>
      </c>
      <c r="N395" s="72">
        <f t="shared" si="152"/>
        <v>0</v>
      </c>
      <c r="O395" s="72">
        <f t="shared" si="152"/>
        <v>0</v>
      </c>
      <c r="P395" s="72">
        <f t="shared" si="152"/>
        <v>0</v>
      </c>
      <c r="Q395" s="72">
        <f t="shared" si="152"/>
        <v>0</v>
      </c>
      <c r="R395" s="72">
        <f t="shared" si="152"/>
        <v>0</v>
      </c>
      <c r="S395" s="72">
        <f t="shared" si="152"/>
        <v>0</v>
      </c>
      <c r="T395" s="72">
        <f t="shared" si="152"/>
        <v>0</v>
      </c>
      <c r="U395" s="72">
        <f t="shared" si="152"/>
        <v>0</v>
      </c>
      <c r="V395" s="72">
        <f t="shared" si="152"/>
        <v>0</v>
      </c>
      <c r="W395" s="72">
        <f t="shared" si="152"/>
        <v>0</v>
      </c>
      <c r="X395" s="72">
        <f t="shared" si="152"/>
        <v>0</v>
      </c>
      <c r="Y395" s="72">
        <f t="shared" si="152"/>
        <v>0</v>
      </c>
      <c r="Z395" s="72">
        <f t="shared" si="152"/>
        <v>0</v>
      </c>
      <c r="AA395" s="72">
        <f t="shared" si="152"/>
        <v>0</v>
      </c>
      <c r="AB395" s="72">
        <f t="shared" si="152"/>
        <v>0</v>
      </c>
      <c r="AC395" s="72">
        <f t="shared" si="152"/>
        <v>0</v>
      </c>
      <c r="AD395" s="72">
        <f t="shared" si="152"/>
        <v>0</v>
      </c>
      <c r="AE395" s="72">
        <f t="shared" si="152"/>
        <v>0</v>
      </c>
      <c r="AF395" s="70"/>
      <c r="AG395" s="70"/>
      <c r="AH395" s="70"/>
      <c r="AI395" s="70"/>
    </row>
    <row r="396" spans="1:35" x14ac:dyDescent="0.45">
      <c r="A396" s="70"/>
      <c r="B396" s="52"/>
      <c r="C396" s="52"/>
      <c r="D396" s="52" t="s">
        <v>1442</v>
      </c>
      <c r="E396" s="70"/>
      <c r="F396" s="70"/>
      <c r="G396" s="70"/>
      <c r="H396" s="70"/>
      <c r="I396" s="70"/>
      <c r="J396" s="70"/>
      <c r="K396" s="72"/>
      <c r="L396" s="72">
        <f t="shared" ref="L396:AE396" si="153">(L334+L356)*$I334*($F303*L$247+$G303*L$248)+(L345*$J334+L367)*($F314*L$308+$G314*L$248)</f>
        <v>0</v>
      </c>
      <c r="M396" s="72">
        <f t="shared" si="153"/>
        <v>0</v>
      </c>
      <c r="N396" s="72">
        <f t="shared" si="153"/>
        <v>0</v>
      </c>
      <c r="O396" s="72">
        <f t="shared" si="153"/>
        <v>0</v>
      </c>
      <c r="P396" s="72">
        <f t="shared" si="153"/>
        <v>0</v>
      </c>
      <c r="Q396" s="72">
        <f t="shared" si="153"/>
        <v>0</v>
      </c>
      <c r="R396" s="72">
        <f t="shared" si="153"/>
        <v>0</v>
      </c>
      <c r="S396" s="72">
        <f t="shared" si="153"/>
        <v>0</v>
      </c>
      <c r="T396" s="72">
        <f t="shared" si="153"/>
        <v>0</v>
      </c>
      <c r="U396" s="72">
        <f t="shared" si="153"/>
        <v>0</v>
      </c>
      <c r="V396" s="72">
        <f t="shared" si="153"/>
        <v>0</v>
      </c>
      <c r="W396" s="72">
        <f t="shared" si="153"/>
        <v>0</v>
      </c>
      <c r="X396" s="72">
        <f t="shared" si="153"/>
        <v>0</v>
      </c>
      <c r="Y396" s="72">
        <f t="shared" si="153"/>
        <v>0</v>
      </c>
      <c r="Z396" s="72">
        <f t="shared" si="153"/>
        <v>0</v>
      </c>
      <c r="AA396" s="72">
        <f t="shared" si="153"/>
        <v>0</v>
      </c>
      <c r="AB396" s="72">
        <f t="shared" si="153"/>
        <v>0</v>
      </c>
      <c r="AC396" s="72">
        <f t="shared" si="153"/>
        <v>0</v>
      </c>
      <c r="AD396" s="72">
        <f t="shared" si="153"/>
        <v>0</v>
      </c>
      <c r="AE396" s="72">
        <f t="shared" si="153"/>
        <v>0</v>
      </c>
      <c r="AF396" s="70"/>
      <c r="AG396" s="70"/>
      <c r="AH396" s="70"/>
      <c r="AI396" s="70"/>
    </row>
    <row r="397" spans="1:35" x14ac:dyDescent="0.45">
      <c r="A397" s="70"/>
      <c r="B397" s="52"/>
      <c r="C397" s="52"/>
      <c r="D397" s="52" t="s">
        <v>1383</v>
      </c>
      <c r="E397" s="70"/>
      <c r="F397" s="70"/>
      <c r="G397" s="70"/>
      <c r="H397" s="70"/>
      <c r="I397" s="70"/>
      <c r="J397" s="70"/>
      <c r="K397" s="72"/>
      <c r="L397" s="72">
        <f t="shared" ref="L397:AE397" si="154">(L335+L357)*$I335*($F304*L$247+$G304*L$248)+(L346*$J335+L368)*($F315*L$308+$G315*L$248)</f>
        <v>0</v>
      </c>
      <c r="M397" s="72">
        <f t="shared" si="154"/>
        <v>0</v>
      </c>
      <c r="N397" s="72">
        <f t="shared" si="154"/>
        <v>0</v>
      </c>
      <c r="O397" s="72">
        <f t="shared" si="154"/>
        <v>0</v>
      </c>
      <c r="P397" s="72">
        <f t="shared" si="154"/>
        <v>0</v>
      </c>
      <c r="Q397" s="72">
        <f t="shared" si="154"/>
        <v>0</v>
      </c>
      <c r="R397" s="72">
        <f t="shared" si="154"/>
        <v>0</v>
      </c>
      <c r="S397" s="72">
        <f t="shared" si="154"/>
        <v>0</v>
      </c>
      <c r="T397" s="72">
        <f t="shared" si="154"/>
        <v>0</v>
      </c>
      <c r="U397" s="72">
        <f t="shared" si="154"/>
        <v>0</v>
      </c>
      <c r="V397" s="72">
        <f t="shared" si="154"/>
        <v>0</v>
      </c>
      <c r="W397" s="72">
        <f t="shared" si="154"/>
        <v>0</v>
      </c>
      <c r="X397" s="72">
        <f t="shared" si="154"/>
        <v>0</v>
      </c>
      <c r="Y397" s="72">
        <f t="shared" si="154"/>
        <v>0</v>
      </c>
      <c r="Z397" s="72">
        <f t="shared" si="154"/>
        <v>0</v>
      </c>
      <c r="AA397" s="72">
        <f t="shared" si="154"/>
        <v>0</v>
      </c>
      <c r="AB397" s="72">
        <f t="shared" si="154"/>
        <v>0</v>
      </c>
      <c r="AC397" s="72">
        <f t="shared" si="154"/>
        <v>0</v>
      </c>
      <c r="AD397" s="72">
        <f t="shared" si="154"/>
        <v>0</v>
      </c>
      <c r="AE397" s="72">
        <f t="shared" si="154"/>
        <v>0</v>
      </c>
      <c r="AF397" s="70"/>
      <c r="AG397" s="70"/>
      <c r="AH397" s="70"/>
      <c r="AI397" s="70"/>
    </row>
    <row r="398" spans="1:35" x14ac:dyDescent="0.45">
      <c r="A398" s="70"/>
      <c r="B398" s="52"/>
      <c r="C398" s="52"/>
      <c r="D398" s="52" t="s">
        <v>1390</v>
      </c>
      <c r="E398" s="70"/>
      <c r="F398" s="70"/>
      <c r="G398" s="70"/>
      <c r="H398" s="70"/>
      <c r="I398" s="70"/>
      <c r="J398" s="70"/>
      <c r="K398" s="72"/>
      <c r="L398" s="72">
        <f t="shared" ref="L398:AE398" si="155">(L336+L358)*$I336*($F305*L$247+$G305*L$248)+(L347*$J336+L369)*($F316*L$308+$G316*L$248)</f>
        <v>0</v>
      </c>
      <c r="M398" s="72">
        <f t="shared" si="155"/>
        <v>0</v>
      </c>
      <c r="N398" s="72">
        <f t="shared" si="155"/>
        <v>0</v>
      </c>
      <c r="O398" s="72">
        <f t="shared" si="155"/>
        <v>0</v>
      </c>
      <c r="P398" s="72">
        <f t="shared" si="155"/>
        <v>0</v>
      </c>
      <c r="Q398" s="72">
        <f t="shared" si="155"/>
        <v>0</v>
      </c>
      <c r="R398" s="72">
        <f t="shared" si="155"/>
        <v>0</v>
      </c>
      <c r="S398" s="72">
        <f t="shared" si="155"/>
        <v>0</v>
      </c>
      <c r="T398" s="72">
        <f t="shared" si="155"/>
        <v>0</v>
      </c>
      <c r="U398" s="72">
        <f t="shared" si="155"/>
        <v>0</v>
      </c>
      <c r="V398" s="72">
        <f t="shared" si="155"/>
        <v>0</v>
      </c>
      <c r="W398" s="72">
        <f t="shared" si="155"/>
        <v>0</v>
      </c>
      <c r="X398" s="72">
        <f t="shared" si="155"/>
        <v>0</v>
      </c>
      <c r="Y398" s="72">
        <f t="shared" si="155"/>
        <v>0</v>
      </c>
      <c r="Z398" s="72">
        <f t="shared" si="155"/>
        <v>0</v>
      </c>
      <c r="AA398" s="72">
        <f t="shared" si="155"/>
        <v>0</v>
      </c>
      <c r="AB398" s="72">
        <f t="shared" si="155"/>
        <v>0</v>
      </c>
      <c r="AC398" s="72">
        <f t="shared" si="155"/>
        <v>0</v>
      </c>
      <c r="AD398" s="72">
        <f t="shared" si="155"/>
        <v>0</v>
      </c>
      <c r="AE398" s="72">
        <f t="shared" si="155"/>
        <v>0</v>
      </c>
      <c r="AF398" s="70"/>
      <c r="AG398" s="70"/>
      <c r="AH398" s="70"/>
      <c r="AI398" s="70"/>
    </row>
    <row r="399" spans="1:35" x14ac:dyDescent="0.45">
      <c r="A399" s="70"/>
      <c r="B399" s="52"/>
      <c r="C399" s="52"/>
      <c r="D399" s="52" t="s">
        <v>1397</v>
      </c>
      <c r="E399" s="83"/>
      <c r="F399" s="84"/>
      <c r="G399" s="70"/>
      <c r="H399" s="70"/>
      <c r="I399" s="70"/>
      <c r="J399" s="70"/>
      <c r="K399" s="72"/>
      <c r="L399" s="72">
        <f t="shared" ref="L399:AE399" si="156">(L337+L359)*$I337*($F306*L$247+$G306*L$248)+(L348*$J337+L370)*($F317*L$308+$G317*L$248)</f>
        <v>0</v>
      </c>
      <c r="M399" s="72">
        <f t="shared" si="156"/>
        <v>0</v>
      </c>
      <c r="N399" s="72">
        <f t="shared" si="156"/>
        <v>0</v>
      </c>
      <c r="O399" s="72">
        <f t="shared" si="156"/>
        <v>0</v>
      </c>
      <c r="P399" s="72">
        <f t="shared" si="156"/>
        <v>0</v>
      </c>
      <c r="Q399" s="72">
        <f t="shared" si="156"/>
        <v>0</v>
      </c>
      <c r="R399" s="72">
        <f t="shared" si="156"/>
        <v>0</v>
      </c>
      <c r="S399" s="72">
        <f t="shared" si="156"/>
        <v>0</v>
      </c>
      <c r="T399" s="72">
        <f t="shared" si="156"/>
        <v>0</v>
      </c>
      <c r="U399" s="72">
        <f t="shared" si="156"/>
        <v>0</v>
      </c>
      <c r="V399" s="72">
        <f t="shared" si="156"/>
        <v>0</v>
      </c>
      <c r="W399" s="72">
        <f t="shared" si="156"/>
        <v>0</v>
      </c>
      <c r="X399" s="72">
        <f t="shared" si="156"/>
        <v>0</v>
      </c>
      <c r="Y399" s="72">
        <f t="shared" si="156"/>
        <v>0</v>
      </c>
      <c r="Z399" s="72">
        <f t="shared" si="156"/>
        <v>0</v>
      </c>
      <c r="AA399" s="72">
        <f t="shared" si="156"/>
        <v>0</v>
      </c>
      <c r="AB399" s="72">
        <f t="shared" si="156"/>
        <v>0</v>
      </c>
      <c r="AC399" s="72">
        <f t="shared" si="156"/>
        <v>0</v>
      </c>
      <c r="AD399" s="72">
        <f t="shared" si="156"/>
        <v>0</v>
      </c>
      <c r="AE399" s="72">
        <f t="shared" si="156"/>
        <v>0</v>
      </c>
      <c r="AF399" s="70"/>
      <c r="AG399" s="70"/>
      <c r="AH399" s="70"/>
      <c r="AI399" s="70"/>
    </row>
    <row r="400" spans="1:35" x14ac:dyDescent="0.45">
      <c r="A400" s="70"/>
      <c r="B400" s="52"/>
      <c r="C400" s="52"/>
      <c r="D400" s="52" t="s">
        <v>1501</v>
      </c>
      <c r="E400" s="70" t="s">
        <v>1871</v>
      </c>
      <c r="F400" s="70"/>
      <c r="G400" s="70" t="s">
        <v>110</v>
      </c>
      <c r="H400" s="87" t="str">
        <f>Settings!$B$3&amp;".mit.rev.cbam."&amp;G400&amp;"."&amp;$J$5</f>
        <v>egy.mit.rev.cbam.tot.1</v>
      </c>
      <c r="I400" s="70" t="s">
        <v>1873</v>
      </c>
      <c r="J400" s="70"/>
      <c r="K400" s="72"/>
      <c r="L400" s="72">
        <f t="shared" ref="L400:AE400" si="157">SUM(L392:L399)</f>
        <v>0</v>
      </c>
      <c r="M400" s="72">
        <f t="shared" si="157"/>
        <v>0</v>
      </c>
      <c r="N400" s="72">
        <f t="shared" si="157"/>
        <v>0</v>
      </c>
      <c r="O400" s="72">
        <f t="shared" si="157"/>
        <v>0</v>
      </c>
      <c r="P400" s="72">
        <f t="shared" si="157"/>
        <v>0</v>
      </c>
      <c r="Q400" s="72">
        <f t="shared" si="157"/>
        <v>0</v>
      </c>
      <c r="R400" s="72">
        <f t="shared" si="157"/>
        <v>0</v>
      </c>
      <c r="S400" s="72">
        <f t="shared" si="157"/>
        <v>0</v>
      </c>
      <c r="T400" s="72">
        <f t="shared" si="157"/>
        <v>0</v>
      </c>
      <c r="U400" s="72">
        <f t="shared" si="157"/>
        <v>0</v>
      </c>
      <c r="V400" s="72">
        <f t="shared" si="157"/>
        <v>0</v>
      </c>
      <c r="W400" s="72">
        <f t="shared" si="157"/>
        <v>0</v>
      </c>
      <c r="X400" s="72">
        <f t="shared" si="157"/>
        <v>0</v>
      </c>
      <c r="Y400" s="72">
        <f t="shared" si="157"/>
        <v>0</v>
      </c>
      <c r="Z400" s="72">
        <f t="shared" si="157"/>
        <v>0</v>
      </c>
      <c r="AA400" s="72">
        <f t="shared" si="157"/>
        <v>0</v>
      </c>
      <c r="AB400" s="72">
        <f t="shared" si="157"/>
        <v>0</v>
      </c>
      <c r="AC400" s="72">
        <f t="shared" si="157"/>
        <v>0</v>
      </c>
      <c r="AD400" s="72">
        <f t="shared" si="157"/>
        <v>0</v>
      </c>
      <c r="AE400" s="72">
        <f t="shared" si="157"/>
        <v>0</v>
      </c>
      <c r="AF400" s="70"/>
      <c r="AG400" s="70"/>
      <c r="AH400" s="70"/>
      <c r="AI400" s="70"/>
    </row>
    <row r="402" spans="1:35" ht="18" customHeight="1" x14ac:dyDescent="0.45">
      <c r="A402" s="8">
        <v>7</v>
      </c>
      <c r="B402" s="9" t="s">
        <v>118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4" spans="1:35" x14ac:dyDescent="0.45">
      <c r="A404" s="11"/>
      <c r="B404" s="6" t="s">
        <v>42</v>
      </c>
      <c r="C404" s="7" t="s">
        <v>43</v>
      </c>
      <c r="D404" s="6" t="s">
        <v>44</v>
      </c>
      <c r="E404" s="7" t="s">
        <v>35</v>
      </c>
      <c r="F404" s="7" t="s">
        <v>45</v>
      </c>
      <c r="G404" s="7" t="s">
        <v>46</v>
      </c>
      <c r="H404" s="12" t="s">
        <v>38</v>
      </c>
      <c r="I404" s="6" t="s">
        <v>47</v>
      </c>
      <c r="J404" s="48">
        <v>2</v>
      </c>
      <c r="K404" s="6">
        <v>2021</v>
      </c>
      <c r="L404" s="46">
        <v>2022</v>
      </c>
      <c r="M404" s="6">
        <v>2023</v>
      </c>
      <c r="N404" s="6">
        <v>2024</v>
      </c>
      <c r="O404" s="6">
        <v>2025</v>
      </c>
      <c r="P404" s="6">
        <v>2026</v>
      </c>
      <c r="Q404" s="6">
        <v>2027</v>
      </c>
      <c r="R404" s="6">
        <v>2028</v>
      </c>
      <c r="S404" s="6">
        <v>2029</v>
      </c>
      <c r="T404" s="6">
        <v>2030</v>
      </c>
      <c r="U404" s="6">
        <v>2031</v>
      </c>
      <c r="V404" s="6">
        <v>2032</v>
      </c>
      <c r="W404" s="6">
        <v>2033</v>
      </c>
      <c r="X404" s="6">
        <v>2034</v>
      </c>
      <c r="Y404" s="6">
        <v>2035</v>
      </c>
      <c r="Z404" s="6">
        <v>2036</v>
      </c>
      <c r="AA404" s="6">
        <v>2037</v>
      </c>
      <c r="AB404" s="6">
        <v>2038</v>
      </c>
      <c r="AC404" s="6">
        <v>2039</v>
      </c>
      <c r="AD404" s="6">
        <v>2040</v>
      </c>
      <c r="AE404" s="6">
        <v>2041</v>
      </c>
      <c r="AF404" s="6">
        <v>2042</v>
      </c>
      <c r="AG404" s="6">
        <v>2043</v>
      </c>
      <c r="AH404" s="6">
        <v>2044</v>
      </c>
      <c r="AI404" s="6">
        <v>2045</v>
      </c>
    </row>
    <row r="405" spans="1:35" x14ac:dyDescent="0.45">
      <c r="B405" s="13" t="s">
        <v>48</v>
      </c>
    </row>
    <row r="406" spans="1:35" x14ac:dyDescent="0.45">
      <c r="B406" s="14" t="s">
        <v>49</v>
      </c>
      <c r="C406" s="14" t="str">
        <f t="shared" ref="C406:C414" si="158">$C$404</f>
        <v>irn</v>
      </c>
      <c r="D406" s="15" t="s">
        <v>50</v>
      </c>
      <c r="E406" s="16" t="s">
        <v>51</v>
      </c>
      <c r="F406" s="14" t="s">
        <v>52</v>
      </c>
      <c r="G406" s="17" t="str">
        <f>Settings!$B$3&amp;".mit.pbc."&amp;Settings!$B$4&amp;"."&amp;$B406&amp;".a."&amp;$J$404</f>
        <v>egy.mit.pbc.ind.coa.a.2</v>
      </c>
      <c r="H406" s="45" t="str">
        <f>Settings!$B$3&amp;".mit.ptp."&amp;$C$404&amp;"."&amp;$B406&amp;".e."&amp;$J$404</f>
        <v>egy.mit.ptp.irn.coa.e.2</v>
      </c>
      <c r="K406" s="18">
        <f>INDEX(Data_Prices!K:K,MATCH($G406,Data_Prices!$A:$A,0))</f>
        <v>11.182901589243899</v>
      </c>
      <c r="L406" s="18">
        <f>INDEX(Data_Prices!L:L,MATCH($G406,Data_Prices!$A:$A,0))</f>
        <v>10.5233613454312</v>
      </c>
      <c r="M406" s="18">
        <f>INDEX(Data_Prices!M:M,MATCH($G406,Data_Prices!$A:$A,0))</f>
        <v>10.2995608274442</v>
      </c>
      <c r="N406" s="18">
        <f>INDEX(Data_Prices!N:N,MATCH($G406,Data_Prices!$A:$A,0))</f>
        <v>9.5775283595382597</v>
      </c>
      <c r="O406" s="18">
        <f>INDEX(Data_Prices!O:O,MATCH($G406,Data_Prices!$A:$A,0))</f>
        <v>8.4854782869580507</v>
      </c>
      <c r="P406" s="18">
        <f>INDEX(Data_Prices!P:P,MATCH($G406,Data_Prices!$A:$A,0))</f>
        <v>9.0871922352498604</v>
      </c>
      <c r="Q406" s="18">
        <f>INDEX(Data_Prices!Q:Q,MATCH($G406,Data_Prices!$A:$A,0))</f>
        <v>9.2229237289326793</v>
      </c>
      <c r="R406" s="18">
        <f>INDEX(Data_Prices!R:R,MATCH($G406,Data_Prices!$A:$A,0))</f>
        <v>9.1585649555096893</v>
      </c>
      <c r="S406" s="18">
        <f>INDEX(Data_Prices!S:S,MATCH($G406,Data_Prices!$A:$A,0))</f>
        <v>9.0895478773973792</v>
      </c>
      <c r="T406" s="18">
        <f>INDEX(Data_Prices!T:T,MATCH($G406,Data_Prices!$A:$A,0))</f>
        <v>9.0156816660228305</v>
      </c>
      <c r="U406" s="18">
        <f>INDEX(Data_Prices!U:U,MATCH($G406,Data_Prices!$A:$A,0))</f>
        <v>8.9443977655571096</v>
      </c>
      <c r="V406" s="18">
        <f>INDEX(Data_Prices!V:V,MATCH($G406,Data_Prices!$A:$A,0))</f>
        <v>8.9443977655571096</v>
      </c>
      <c r="W406" s="18">
        <f>INDEX(Data_Prices!W:W,MATCH($G406,Data_Prices!$A:$A,0))</f>
        <v>8.9443977655571096</v>
      </c>
      <c r="X406" s="18">
        <f>INDEX(Data_Prices!X:X,MATCH($G406,Data_Prices!$A:$A,0))</f>
        <v>8.9443977655571096</v>
      </c>
      <c r="Y406" s="18">
        <f>INDEX(Data_Prices!Y:Y,MATCH($G406,Data_Prices!$A:$A,0))</f>
        <v>8.9443977655571096</v>
      </c>
      <c r="Z406" s="18">
        <f>INDEX(Data_Prices!Z:Z,MATCH($G406,Data_Prices!$A:$A,0))</f>
        <v>8.9443977655571096</v>
      </c>
      <c r="AA406" s="18">
        <f>INDEX(Data_Prices!AA:AA,MATCH($G406,Data_Prices!$A:$A,0))</f>
        <v>8.9443977655571096</v>
      </c>
      <c r="AB406" s="18">
        <f>INDEX(Data_Prices!AB:AB,MATCH($G406,Data_Prices!$A:$A,0))</f>
        <v>8.9443977655571096</v>
      </c>
      <c r="AC406" s="18">
        <f>INDEX(Data_Prices!AC:AC,MATCH($G406,Data_Prices!$A:$A,0))</f>
        <v>8.9443977655571096</v>
      </c>
      <c r="AD406" s="18">
        <f>INDEX(Data_Prices!AD:AD,MATCH($G406,Data_Prices!$A:$A,0))</f>
        <v>8.9443977655571096</v>
      </c>
      <c r="AE406" s="18">
        <f>INDEX(Data_Prices!AE:AE,MATCH($G406,Data_Prices!$A:$A,0))</f>
        <v>8.9443977655571096</v>
      </c>
    </row>
    <row r="407" spans="1:35" x14ac:dyDescent="0.45">
      <c r="B407" s="14" t="s">
        <v>53</v>
      </c>
      <c r="C407" s="14" t="str">
        <f t="shared" si="158"/>
        <v>irn</v>
      </c>
      <c r="D407" s="15" t="s">
        <v>54</v>
      </c>
      <c r="E407" s="16" t="s">
        <v>51</v>
      </c>
      <c r="F407" s="14" t="s">
        <v>52</v>
      </c>
      <c r="G407" s="17" t="str">
        <f>Settings!$B$3&amp;".mit.pbc."&amp;Settings!$B$4&amp;"."&amp;$B407&amp;".a."&amp;$J$404</f>
        <v>egy.mit.pbc.ind.nga.a.2</v>
      </c>
      <c r="H407" s="45" t="str">
        <f>Settings!$B$3&amp;".mit.ptp."&amp;$C$404&amp;"."&amp;$B407&amp;".e."&amp;$J$404</f>
        <v>egy.mit.ptp.irn.nga.e.2</v>
      </c>
      <c r="K407" s="18">
        <f>INDEX(Data_Prices!K:K,MATCH($G407,Data_Prices!$A:$A,0))</f>
        <v>6.0634636156729096</v>
      </c>
      <c r="L407" s="18">
        <f>INDEX(Data_Prices!L:L,MATCH($G407,Data_Prices!$A:$A,0))</f>
        <v>5.4510150816191896</v>
      </c>
      <c r="M407" s="18">
        <f>INDEX(Data_Prices!M:M,MATCH($G407,Data_Prices!$A:$A,0))</f>
        <v>5.1193563062624801</v>
      </c>
      <c r="N407" s="18">
        <f>INDEX(Data_Prices!N:N,MATCH($G407,Data_Prices!$A:$A,0))</f>
        <v>5.08218458640407</v>
      </c>
      <c r="O407" s="18">
        <f>INDEX(Data_Prices!O:O,MATCH($G407,Data_Prices!$A:$A,0))</f>
        <v>5.08218458640407</v>
      </c>
      <c r="P407" s="18">
        <f>INDEX(Data_Prices!P:P,MATCH($G407,Data_Prices!$A:$A,0))</f>
        <v>5.08218458640407</v>
      </c>
      <c r="Q407" s="18">
        <f>INDEX(Data_Prices!Q:Q,MATCH($G407,Data_Prices!$A:$A,0))</f>
        <v>5.08218458640407</v>
      </c>
      <c r="R407" s="18">
        <f>INDEX(Data_Prices!R:R,MATCH($G407,Data_Prices!$A:$A,0))</f>
        <v>5.08218458640407</v>
      </c>
      <c r="S407" s="18">
        <f>INDEX(Data_Prices!S:S,MATCH($G407,Data_Prices!$A:$A,0))</f>
        <v>5.08218458640407</v>
      </c>
      <c r="T407" s="18">
        <f>INDEX(Data_Prices!T:T,MATCH($G407,Data_Prices!$A:$A,0))</f>
        <v>5.08218458640407</v>
      </c>
      <c r="U407" s="18">
        <f>INDEX(Data_Prices!U:U,MATCH($G407,Data_Prices!$A:$A,0))</f>
        <v>5.08218458640407</v>
      </c>
      <c r="V407" s="18">
        <f>INDEX(Data_Prices!V:V,MATCH($G407,Data_Prices!$A:$A,0))</f>
        <v>5.08218458640407</v>
      </c>
      <c r="W407" s="18">
        <f>INDEX(Data_Prices!W:W,MATCH($G407,Data_Prices!$A:$A,0))</f>
        <v>5.08218458640407</v>
      </c>
      <c r="X407" s="18">
        <f>INDEX(Data_Prices!X:X,MATCH($G407,Data_Prices!$A:$A,0))</f>
        <v>5.08218458640407</v>
      </c>
      <c r="Y407" s="18">
        <f>INDEX(Data_Prices!Y:Y,MATCH($G407,Data_Prices!$A:$A,0))</f>
        <v>5.08218458640407</v>
      </c>
      <c r="Z407" s="18">
        <f>INDEX(Data_Prices!Z:Z,MATCH($G407,Data_Prices!$A:$A,0))</f>
        <v>5.08218458640407</v>
      </c>
      <c r="AA407" s="18">
        <f>INDEX(Data_Prices!AA:AA,MATCH($G407,Data_Prices!$A:$A,0))</f>
        <v>5.08218458640407</v>
      </c>
      <c r="AB407" s="18">
        <f>INDEX(Data_Prices!AB:AB,MATCH($G407,Data_Prices!$A:$A,0))</f>
        <v>5.08218458640407</v>
      </c>
      <c r="AC407" s="18">
        <f>INDEX(Data_Prices!AC:AC,MATCH($G407,Data_Prices!$A:$A,0))</f>
        <v>5.08218458640407</v>
      </c>
      <c r="AD407" s="18">
        <f>INDEX(Data_Prices!AD:AD,MATCH($G407,Data_Prices!$A:$A,0))</f>
        <v>5.08218458640407</v>
      </c>
      <c r="AE407" s="18">
        <f>INDEX(Data_Prices!AE:AE,MATCH($G407,Data_Prices!$A:$A,0))</f>
        <v>5.08218458640407</v>
      </c>
    </row>
    <row r="408" spans="1:35" x14ac:dyDescent="0.45">
      <c r="B408" s="14" t="s">
        <v>55</v>
      </c>
      <c r="C408" s="14" t="str">
        <f t="shared" si="158"/>
        <v>irn</v>
      </c>
      <c r="D408" s="15" t="s">
        <v>56</v>
      </c>
      <c r="E408" s="16" t="s">
        <v>57</v>
      </c>
      <c r="F408" s="14" t="s">
        <v>52</v>
      </c>
      <c r="G408" s="17" t="str">
        <f>Settings!$B$3&amp;".mit.pbc."&amp;Settings!$B$4&amp;"."&amp;$B408&amp;".a."&amp;$J$404</f>
        <v>egy.mit.pbc.ind.gso.a.2</v>
      </c>
      <c r="H408" s="45" t="str">
        <f>Settings!$B$3&amp;".mit.ptp."&amp;$C$404&amp;"."&amp;$B408&amp;".e."&amp;$J$404</f>
        <v>egy.mit.ptp.irn.gso.e.2</v>
      </c>
      <c r="K408" s="18">
        <f>INDEX(Data_Prices!K:K,MATCH($G408,Data_Prices!$A:$A,0))</f>
        <v>0.67114653332181595</v>
      </c>
      <c r="L408" s="18">
        <f>INDEX(Data_Prices!L:L,MATCH($G408,Data_Prices!$A:$A,0))</f>
        <v>0.61197797679140598</v>
      </c>
      <c r="M408" s="18">
        <f>INDEX(Data_Prices!M:M,MATCH($G408,Data_Prices!$A:$A,0))</f>
        <v>0.61180974964187596</v>
      </c>
      <c r="N408" s="18">
        <f>INDEX(Data_Prices!N:N,MATCH($G408,Data_Prices!$A:$A,0))</f>
        <v>0.60358310017790595</v>
      </c>
      <c r="O408" s="18">
        <f>INDEX(Data_Prices!O:O,MATCH($G408,Data_Prices!$A:$A,0))</f>
        <v>0.60358310017790595</v>
      </c>
      <c r="P408" s="18">
        <f>INDEX(Data_Prices!P:P,MATCH($G408,Data_Prices!$A:$A,0))</f>
        <v>0.60358310017790595</v>
      </c>
      <c r="Q408" s="18">
        <f>INDEX(Data_Prices!Q:Q,MATCH($G408,Data_Prices!$A:$A,0))</f>
        <v>0.60358310017790595</v>
      </c>
      <c r="R408" s="18">
        <f>INDEX(Data_Prices!R:R,MATCH($G408,Data_Prices!$A:$A,0))</f>
        <v>0.60358310017790595</v>
      </c>
      <c r="S408" s="18">
        <f>INDEX(Data_Prices!S:S,MATCH($G408,Data_Prices!$A:$A,0))</f>
        <v>0.60358310017790595</v>
      </c>
      <c r="T408" s="18">
        <f>INDEX(Data_Prices!T:T,MATCH($G408,Data_Prices!$A:$A,0))</f>
        <v>0.60358310017790595</v>
      </c>
      <c r="U408" s="18">
        <f>INDEX(Data_Prices!U:U,MATCH($G408,Data_Prices!$A:$A,0))</f>
        <v>0.60358310017790595</v>
      </c>
      <c r="V408" s="18">
        <f>INDEX(Data_Prices!V:V,MATCH($G408,Data_Prices!$A:$A,0))</f>
        <v>0.60358310017790595</v>
      </c>
      <c r="W408" s="18">
        <f>INDEX(Data_Prices!W:W,MATCH($G408,Data_Prices!$A:$A,0))</f>
        <v>0.60358310017790595</v>
      </c>
      <c r="X408" s="18">
        <f>INDEX(Data_Prices!X:X,MATCH($G408,Data_Prices!$A:$A,0))</f>
        <v>0.60358310017790595</v>
      </c>
      <c r="Y408" s="18">
        <f>INDEX(Data_Prices!Y:Y,MATCH($G408,Data_Prices!$A:$A,0))</f>
        <v>0.60358310017790595</v>
      </c>
      <c r="Z408" s="18">
        <f>INDEX(Data_Prices!Z:Z,MATCH($G408,Data_Prices!$A:$A,0))</f>
        <v>0.60358310017790595</v>
      </c>
      <c r="AA408" s="18">
        <f>INDEX(Data_Prices!AA:AA,MATCH($G408,Data_Prices!$A:$A,0))</f>
        <v>0.60358310017790595</v>
      </c>
      <c r="AB408" s="18">
        <f>INDEX(Data_Prices!AB:AB,MATCH($G408,Data_Prices!$A:$A,0))</f>
        <v>0.60358310017790595</v>
      </c>
      <c r="AC408" s="18">
        <f>INDEX(Data_Prices!AC:AC,MATCH($G408,Data_Prices!$A:$A,0))</f>
        <v>0.60358310017790595</v>
      </c>
      <c r="AD408" s="18">
        <f>INDEX(Data_Prices!AD:AD,MATCH($G408,Data_Prices!$A:$A,0))</f>
        <v>0.60358310017790595</v>
      </c>
      <c r="AE408" s="18">
        <f>INDEX(Data_Prices!AE:AE,MATCH($G408,Data_Prices!$A:$A,0))</f>
        <v>0.60358310017790595</v>
      </c>
    </row>
    <row r="409" spans="1:35" x14ac:dyDescent="0.45">
      <c r="B409" s="14" t="s">
        <v>58</v>
      </c>
      <c r="C409" s="14" t="str">
        <f t="shared" si="158"/>
        <v>irn</v>
      </c>
      <c r="D409" s="15" t="s">
        <v>59</v>
      </c>
      <c r="E409" s="16" t="s">
        <v>57</v>
      </c>
      <c r="F409" s="14" t="s">
        <v>52</v>
      </c>
      <c r="G409" s="17" t="str">
        <f>Settings!$B$3&amp;".mit.pbc."&amp;Settings!$B$4&amp;"."&amp;$B409&amp;".a."&amp;$J$404</f>
        <v>egy.mit.pbc.ind.die.a.2</v>
      </c>
      <c r="H409" s="45" t="str">
        <f>Settings!$B$3&amp;".mit.ptp."&amp;$C$404&amp;"."&amp;$B409&amp;".e."&amp;$J$404</f>
        <v>egy.mit.ptp.irn.die.e.2</v>
      </c>
      <c r="K409" s="18">
        <f>INDEX(Data_Prices!K:K,MATCH($G409,Data_Prices!$A:$A,0))</f>
        <v>0.55971121315568795</v>
      </c>
      <c r="L409" s="18">
        <f>INDEX(Data_Prices!L:L,MATCH($G409,Data_Prices!$A:$A,0))</f>
        <v>0.49458873084106802</v>
      </c>
      <c r="M409" s="18">
        <f>INDEX(Data_Prices!M:M,MATCH($G409,Data_Prices!$A:$A,0))</f>
        <v>0.50778654720250105</v>
      </c>
      <c r="N409" s="18">
        <f>INDEX(Data_Prices!N:N,MATCH($G409,Data_Prices!$A:$A,0))</f>
        <v>0.47043642679561698</v>
      </c>
      <c r="O409" s="18">
        <f>INDEX(Data_Prices!O:O,MATCH($G409,Data_Prices!$A:$A,0))</f>
        <v>0.47043642679561698</v>
      </c>
      <c r="P409" s="18">
        <f>INDEX(Data_Prices!P:P,MATCH($G409,Data_Prices!$A:$A,0))</f>
        <v>0.47043642679561698</v>
      </c>
      <c r="Q409" s="18">
        <f>INDEX(Data_Prices!Q:Q,MATCH($G409,Data_Prices!$A:$A,0))</f>
        <v>0.47043642679561698</v>
      </c>
      <c r="R409" s="18">
        <f>INDEX(Data_Prices!R:R,MATCH($G409,Data_Prices!$A:$A,0))</f>
        <v>0.47043642679561698</v>
      </c>
      <c r="S409" s="18">
        <f>INDEX(Data_Prices!S:S,MATCH($G409,Data_Prices!$A:$A,0))</f>
        <v>0.47043642679561698</v>
      </c>
      <c r="T409" s="18">
        <f>INDEX(Data_Prices!T:T,MATCH($G409,Data_Prices!$A:$A,0))</f>
        <v>0.47043642679561698</v>
      </c>
      <c r="U409" s="18">
        <f>INDEX(Data_Prices!U:U,MATCH($G409,Data_Prices!$A:$A,0))</f>
        <v>0.47043642679561698</v>
      </c>
      <c r="V409" s="18">
        <f>INDEX(Data_Prices!V:V,MATCH($G409,Data_Prices!$A:$A,0))</f>
        <v>0.47043642679561698</v>
      </c>
      <c r="W409" s="18">
        <f>INDEX(Data_Prices!W:W,MATCH($G409,Data_Prices!$A:$A,0))</f>
        <v>0.47043642679561698</v>
      </c>
      <c r="X409" s="18">
        <f>INDEX(Data_Prices!X:X,MATCH($G409,Data_Prices!$A:$A,0))</f>
        <v>0.47043642679561698</v>
      </c>
      <c r="Y409" s="18">
        <f>INDEX(Data_Prices!Y:Y,MATCH($G409,Data_Prices!$A:$A,0))</f>
        <v>0.47043642679561698</v>
      </c>
      <c r="Z409" s="18">
        <f>INDEX(Data_Prices!Z:Z,MATCH($G409,Data_Prices!$A:$A,0))</f>
        <v>0.47043642679561698</v>
      </c>
      <c r="AA409" s="18">
        <f>INDEX(Data_Prices!AA:AA,MATCH($G409,Data_Prices!$A:$A,0))</f>
        <v>0.47043642679561698</v>
      </c>
      <c r="AB409" s="18">
        <f>INDEX(Data_Prices!AB:AB,MATCH($G409,Data_Prices!$A:$A,0))</f>
        <v>0.47043642679561698</v>
      </c>
      <c r="AC409" s="18">
        <f>INDEX(Data_Prices!AC:AC,MATCH($G409,Data_Prices!$A:$A,0))</f>
        <v>0.47043642679561698</v>
      </c>
      <c r="AD409" s="18">
        <f>INDEX(Data_Prices!AD:AD,MATCH($G409,Data_Prices!$A:$A,0))</f>
        <v>0.47043642679561698</v>
      </c>
      <c r="AE409" s="18">
        <f>INDEX(Data_Prices!AE:AE,MATCH($G409,Data_Prices!$A:$A,0))</f>
        <v>0.47043642679561698</v>
      </c>
    </row>
    <row r="410" spans="1:35" x14ac:dyDescent="0.45">
      <c r="B410" s="14" t="s">
        <v>60</v>
      </c>
      <c r="C410" s="14" t="str">
        <f t="shared" si="158"/>
        <v>irn</v>
      </c>
      <c r="D410" s="15" t="s">
        <v>61</v>
      </c>
      <c r="E410" s="16" t="s">
        <v>57</v>
      </c>
      <c r="F410" s="14" t="s">
        <v>52</v>
      </c>
      <c r="G410" s="17" t="str">
        <f>Settings!$B$3&amp;".mit.pbc."&amp;Settings!$B$4&amp;"."&amp;$B410&amp;".a."&amp;$J$404</f>
        <v>egy.mit.pbc.ind.lpg.a.2</v>
      </c>
      <c r="H410" s="45" t="str">
        <f>Settings!$B$3&amp;".mit.ptp."&amp;$C$404&amp;"."&amp;$B410&amp;".e."&amp;$J$404</f>
        <v>egy.mit.ptp.irn.lpg.e.2</v>
      </c>
      <c r="K410" s="18">
        <f>INDEX(Data_Prices!K:K,MATCH($G410,Data_Prices!$A:$A,0))</f>
        <v>0.20036669112673799</v>
      </c>
      <c r="L410" s="18">
        <f>INDEX(Data_Prices!L:L,MATCH($G410,Data_Prices!$A:$A,0))</f>
        <v>0.15734473625227399</v>
      </c>
      <c r="M410" s="18">
        <f>INDEX(Data_Prices!M:M,MATCH($G410,Data_Prices!$A:$A,0))</f>
        <v>0.164484037759277</v>
      </c>
      <c r="N410" s="18">
        <f>INDEX(Data_Prices!N:N,MATCH($G410,Data_Prices!$A:$A,0))</f>
        <v>0.15070907780704901</v>
      </c>
      <c r="O410" s="18">
        <f>INDEX(Data_Prices!O:O,MATCH($G410,Data_Prices!$A:$A,0))</f>
        <v>0.15070907780704901</v>
      </c>
      <c r="P410" s="18">
        <f>INDEX(Data_Prices!P:P,MATCH($G410,Data_Prices!$A:$A,0))</f>
        <v>0.15070907780704901</v>
      </c>
      <c r="Q410" s="18">
        <f>INDEX(Data_Prices!Q:Q,MATCH($G410,Data_Prices!$A:$A,0))</f>
        <v>0.15070907780704901</v>
      </c>
      <c r="R410" s="18">
        <f>INDEX(Data_Prices!R:R,MATCH($G410,Data_Prices!$A:$A,0))</f>
        <v>0.15070907780704901</v>
      </c>
      <c r="S410" s="18">
        <f>INDEX(Data_Prices!S:S,MATCH($G410,Data_Prices!$A:$A,0))</f>
        <v>0.15070907780704901</v>
      </c>
      <c r="T410" s="18">
        <f>INDEX(Data_Prices!T:T,MATCH($G410,Data_Prices!$A:$A,0))</f>
        <v>0.15070907780704901</v>
      </c>
      <c r="U410" s="18">
        <f>INDEX(Data_Prices!U:U,MATCH($G410,Data_Prices!$A:$A,0))</f>
        <v>0.15070907780704901</v>
      </c>
      <c r="V410" s="18">
        <f>INDEX(Data_Prices!V:V,MATCH($G410,Data_Prices!$A:$A,0))</f>
        <v>0.15070907780704901</v>
      </c>
      <c r="W410" s="18">
        <f>INDEX(Data_Prices!W:W,MATCH($G410,Data_Prices!$A:$A,0))</f>
        <v>0.15070907780704901</v>
      </c>
      <c r="X410" s="18">
        <f>INDEX(Data_Prices!X:X,MATCH($G410,Data_Prices!$A:$A,0))</f>
        <v>0.15070907780704901</v>
      </c>
      <c r="Y410" s="18">
        <f>INDEX(Data_Prices!Y:Y,MATCH($G410,Data_Prices!$A:$A,0))</f>
        <v>0.15070907780704901</v>
      </c>
      <c r="Z410" s="18">
        <f>INDEX(Data_Prices!Z:Z,MATCH($G410,Data_Prices!$A:$A,0))</f>
        <v>0.15070907780704901</v>
      </c>
      <c r="AA410" s="18">
        <f>INDEX(Data_Prices!AA:AA,MATCH($G410,Data_Prices!$A:$A,0))</f>
        <v>0.15070907780704901</v>
      </c>
      <c r="AB410" s="18">
        <f>INDEX(Data_Prices!AB:AB,MATCH($G410,Data_Prices!$A:$A,0))</f>
        <v>0.15070907780704901</v>
      </c>
      <c r="AC410" s="18">
        <f>INDEX(Data_Prices!AC:AC,MATCH($G410,Data_Prices!$A:$A,0))</f>
        <v>0.15070907780704901</v>
      </c>
      <c r="AD410" s="18">
        <f>INDEX(Data_Prices!AD:AD,MATCH($G410,Data_Prices!$A:$A,0))</f>
        <v>0.15070907780704901</v>
      </c>
      <c r="AE410" s="18">
        <f>INDEX(Data_Prices!AE:AE,MATCH($G410,Data_Prices!$A:$A,0))</f>
        <v>0.15070907780704901</v>
      </c>
    </row>
    <row r="411" spans="1:35" x14ac:dyDescent="0.45">
      <c r="B411" s="14" t="s">
        <v>62</v>
      </c>
      <c r="C411" s="14" t="str">
        <f t="shared" si="158"/>
        <v>irn</v>
      </c>
      <c r="D411" s="15" t="s">
        <v>63</v>
      </c>
      <c r="E411" s="16" t="s">
        <v>57</v>
      </c>
      <c r="F411" s="14" t="s">
        <v>52</v>
      </c>
      <c r="G411" s="17" t="str">
        <f>Settings!$B$3&amp;".mit.pbc."&amp;Settings!$B$4&amp;"."&amp;$B411&amp;".a."&amp;$J$404</f>
        <v>egy.mit.pbc.ind.ker.a.2</v>
      </c>
      <c r="H411" s="45" t="str">
        <f>Settings!$B$3&amp;".mit.ptp."&amp;$C$404&amp;"."&amp;$B411&amp;".e."&amp;$J$404</f>
        <v>egy.mit.ptp.irn.ker.e.2</v>
      </c>
      <c r="K411" s="18">
        <f>INDEX(Data_Prices!K:K,MATCH($G411,Data_Prices!$A:$A,0))</f>
        <v>0.48429424097343499</v>
      </c>
      <c r="L411" s="18">
        <f>INDEX(Data_Prices!L:L,MATCH($G411,Data_Prices!$A:$A,0))</f>
        <v>0.45642817050012802</v>
      </c>
      <c r="M411" s="18">
        <f>INDEX(Data_Prices!M:M,MATCH($G411,Data_Prices!$A:$A,0))</f>
        <v>0.43168920195599497</v>
      </c>
      <c r="N411" s="18">
        <f>INDEX(Data_Prices!N:N,MATCH($G411,Data_Prices!$A:$A,0))</f>
        <v>0.42507558395597</v>
      </c>
      <c r="O411" s="18">
        <f>INDEX(Data_Prices!O:O,MATCH($G411,Data_Prices!$A:$A,0))</f>
        <v>0.42507558395597</v>
      </c>
      <c r="P411" s="18">
        <f>INDEX(Data_Prices!P:P,MATCH($G411,Data_Prices!$A:$A,0))</f>
        <v>0.42507558395597</v>
      </c>
      <c r="Q411" s="18">
        <f>INDEX(Data_Prices!Q:Q,MATCH($G411,Data_Prices!$A:$A,0))</f>
        <v>0.42507558395597</v>
      </c>
      <c r="R411" s="18">
        <f>INDEX(Data_Prices!R:R,MATCH($G411,Data_Prices!$A:$A,0))</f>
        <v>0.42507558395597</v>
      </c>
      <c r="S411" s="18">
        <f>INDEX(Data_Prices!S:S,MATCH($G411,Data_Prices!$A:$A,0))</f>
        <v>0.42507558395597</v>
      </c>
      <c r="T411" s="18">
        <f>INDEX(Data_Prices!T:T,MATCH($G411,Data_Prices!$A:$A,0))</f>
        <v>0.42507558395597</v>
      </c>
      <c r="U411" s="18">
        <f>INDEX(Data_Prices!U:U,MATCH($G411,Data_Prices!$A:$A,0))</f>
        <v>0.42507558395597</v>
      </c>
      <c r="V411" s="18">
        <f>INDEX(Data_Prices!V:V,MATCH($G411,Data_Prices!$A:$A,0))</f>
        <v>0.42507558395597</v>
      </c>
      <c r="W411" s="18">
        <f>INDEX(Data_Prices!W:W,MATCH($G411,Data_Prices!$A:$A,0))</f>
        <v>0.42507558395597</v>
      </c>
      <c r="X411" s="18">
        <f>INDEX(Data_Prices!X:X,MATCH($G411,Data_Prices!$A:$A,0))</f>
        <v>0.42507558395597</v>
      </c>
      <c r="Y411" s="18">
        <f>INDEX(Data_Prices!Y:Y,MATCH($G411,Data_Prices!$A:$A,0))</f>
        <v>0.42507558395597</v>
      </c>
      <c r="Z411" s="18">
        <f>INDEX(Data_Prices!Z:Z,MATCH($G411,Data_Prices!$A:$A,0))</f>
        <v>0.42507558395597</v>
      </c>
      <c r="AA411" s="18">
        <f>INDEX(Data_Prices!AA:AA,MATCH($G411,Data_Prices!$A:$A,0))</f>
        <v>0.42507558395597</v>
      </c>
      <c r="AB411" s="18">
        <f>INDEX(Data_Prices!AB:AB,MATCH($G411,Data_Prices!$A:$A,0))</f>
        <v>0.42507558395597</v>
      </c>
      <c r="AC411" s="18">
        <f>INDEX(Data_Prices!AC:AC,MATCH($G411,Data_Prices!$A:$A,0))</f>
        <v>0.42507558395597</v>
      </c>
      <c r="AD411" s="18">
        <f>INDEX(Data_Prices!AD:AD,MATCH($G411,Data_Prices!$A:$A,0))</f>
        <v>0.42507558395597</v>
      </c>
      <c r="AE411" s="18">
        <f>INDEX(Data_Prices!AE:AE,MATCH($G411,Data_Prices!$A:$A,0))</f>
        <v>0.42507558395597</v>
      </c>
    </row>
    <row r="412" spans="1:35" x14ac:dyDescent="0.45">
      <c r="B412" s="14" t="s">
        <v>64</v>
      </c>
      <c r="C412" s="14" t="str">
        <f t="shared" si="158"/>
        <v>irn</v>
      </c>
      <c r="D412" s="15" t="s">
        <v>65</v>
      </c>
      <c r="E412" s="16" t="s">
        <v>66</v>
      </c>
      <c r="F412" s="14" t="s">
        <v>52</v>
      </c>
      <c r="G412" s="17" t="str">
        <f>Settings!$B$3&amp;".mit.pbc."&amp;Settings!$B$4&amp;"."&amp;$B412&amp;".a."&amp;$J$404</f>
        <v>egy.mit.pbc.ind.oop.a.2</v>
      </c>
      <c r="H412" s="45" t="str">
        <f>Settings!$B$3&amp;".mit.ptp."&amp;$C$404&amp;"."&amp;$B412&amp;".e."&amp;$J$404</f>
        <v>egy.mit.ptp.irn.oop.e.2</v>
      </c>
      <c r="K412" s="18">
        <f>INDEX(Data_Prices!K:K,MATCH($G412,Data_Prices!$A:$A,0))</f>
        <v>41.500338498868402</v>
      </c>
      <c r="L412" s="18">
        <f>INDEX(Data_Prices!L:L,MATCH($G412,Data_Prices!$A:$A,0))</f>
        <v>34.4153703043132</v>
      </c>
      <c r="M412" s="18">
        <f>INDEX(Data_Prices!M:M,MATCH($G412,Data_Prices!$A:$A,0))</f>
        <v>37.368960690431997</v>
      </c>
      <c r="N412" s="18">
        <f>INDEX(Data_Prices!N:N,MATCH($G412,Data_Prices!$A:$A,0))</f>
        <v>28.982761101477301</v>
      </c>
      <c r="O412" s="18">
        <f>INDEX(Data_Prices!O:O,MATCH($G412,Data_Prices!$A:$A,0))</f>
        <v>15</v>
      </c>
      <c r="P412" s="18">
        <f>INDEX(Data_Prices!P:P,MATCH($G412,Data_Prices!$A:$A,0))</f>
        <v>24.2586300842555</v>
      </c>
      <c r="Q412" s="18">
        <f>INDEX(Data_Prices!Q:Q,MATCH($G412,Data_Prices!$A:$A,0))</f>
        <v>13.096208196132499</v>
      </c>
      <c r="R412" s="18">
        <f>INDEX(Data_Prices!R:R,MATCH($G412,Data_Prices!$A:$A,0))</f>
        <v>10.0252451140106</v>
      </c>
      <c r="S412" s="18">
        <f>INDEX(Data_Prices!S:S,MATCH($G412,Data_Prices!$A:$A,0))</f>
        <v>8.4772306913736202</v>
      </c>
      <c r="T412" s="18">
        <f>INDEX(Data_Prices!T:T,MATCH($G412,Data_Prices!$A:$A,0))</f>
        <v>7.1234824452092198</v>
      </c>
      <c r="U412" s="18">
        <f>INDEX(Data_Prices!U:U,MATCH($G412,Data_Prices!$A:$A,0))</f>
        <v>5.6527597394100599</v>
      </c>
      <c r="V412" s="18">
        <f>INDEX(Data_Prices!V:V,MATCH($G412,Data_Prices!$A:$A,0))</f>
        <v>5.6527597394100599</v>
      </c>
      <c r="W412" s="18">
        <f>INDEX(Data_Prices!W:W,MATCH($G412,Data_Prices!$A:$A,0))</f>
        <v>5.6527597394100599</v>
      </c>
      <c r="X412" s="18">
        <f>INDEX(Data_Prices!X:X,MATCH($G412,Data_Prices!$A:$A,0))</f>
        <v>5.6527597394100599</v>
      </c>
      <c r="Y412" s="18">
        <f>INDEX(Data_Prices!Y:Y,MATCH($G412,Data_Prices!$A:$A,0))</f>
        <v>5.6527597394100599</v>
      </c>
      <c r="Z412" s="18">
        <f>INDEX(Data_Prices!Z:Z,MATCH($G412,Data_Prices!$A:$A,0))</f>
        <v>5.6527597394100697</v>
      </c>
      <c r="AA412" s="18">
        <f>INDEX(Data_Prices!AA:AA,MATCH($G412,Data_Prices!$A:$A,0))</f>
        <v>5.6527597394100599</v>
      </c>
      <c r="AB412" s="18">
        <f>INDEX(Data_Prices!AB:AB,MATCH($G412,Data_Prices!$A:$A,0))</f>
        <v>5.6527597394100599</v>
      </c>
      <c r="AC412" s="18">
        <f>INDEX(Data_Prices!AC:AC,MATCH($G412,Data_Prices!$A:$A,0))</f>
        <v>5.6527597394100404</v>
      </c>
      <c r="AD412" s="18">
        <f>INDEX(Data_Prices!AD:AD,MATCH($G412,Data_Prices!$A:$A,0))</f>
        <v>5.6527597394100599</v>
      </c>
      <c r="AE412" s="18">
        <f>INDEX(Data_Prices!AE:AE,MATCH($G412,Data_Prices!$A:$A,0))</f>
        <v>5.6527597394100404</v>
      </c>
    </row>
    <row r="413" spans="1:35" x14ac:dyDescent="0.45">
      <c r="B413" s="14" t="s">
        <v>67</v>
      </c>
      <c r="C413" s="14" t="str">
        <f t="shared" si="158"/>
        <v>irn</v>
      </c>
      <c r="D413" s="15" t="s">
        <v>68</v>
      </c>
      <c r="E413" s="16" t="s">
        <v>51</v>
      </c>
      <c r="F413" s="14" t="s">
        <v>52</v>
      </c>
      <c r="G413" s="17" t="str">
        <f>Settings!$B$3&amp;".mit.pbc."&amp;Settings!$B$4&amp;"."&amp;$B413&amp;".a."&amp;$J$404</f>
        <v>egy.mit.pbc.ind.bio.a.2</v>
      </c>
      <c r="H413" s="45" t="str">
        <f>Settings!$B$3&amp;".mit.ptp."&amp;$C$404&amp;"."&amp;$B413&amp;".e."&amp;$J$404</f>
        <v>egy.mit.ptp.irn.bio.e.2</v>
      </c>
      <c r="K413" s="18">
        <f>INDEX(Data_Prices!K:K,MATCH($G413,Data_Prices!$A:$A,0))</f>
        <v>15.3345505293169</v>
      </c>
      <c r="L413" s="18">
        <f>INDEX(Data_Prices!L:L,MATCH($G413,Data_Prices!$A:$A,0))</f>
        <v>14.199528390634899</v>
      </c>
      <c r="M413" s="18">
        <f>INDEX(Data_Prices!M:M,MATCH($G413,Data_Prices!$A:$A,0))</f>
        <v>13.8404416133152</v>
      </c>
      <c r="N413" s="18">
        <f>INDEX(Data_Prices!N:N,MATCH($G413,Data_Prices!$A:$A,0))</f>
        <v>13.5677269404465</v>
      </c>
      <c r="O413" s="18">
        <f>INDEX(Data_Prices!O:O,MATCH($G413,Data_Prices!$A:$A,0))</f>
        <v>13.5677269404465</v>
      </c>
      <c r="P413" s="18">
        <f>INDEX(Data_Prices!P:P,MATCH($G413,Data_Prices!$A:$A,0))</f>
        <v>13.5677269404465</v>
      </c>
      <c r="Q413" s="18">
        <f>INDEX(Data_Prices!Q:Q,MATCH($G413,Data_Prices!$A:$A,0))</f>
        <v>13.5677269404465</v>
      </c>
      <c r="R413" s="18">
        <f>INDEX(Data_Prices!R:R,MATCH($G413,Data_Prices!$A:$A,0))</f>
        <v>13.5677269404465</v>
      </c>
      <c r="S413" s="18">
        <f>INDEX(Data_Prices!S:S,MATCH($G413,Data_Prices!$A:$A,0))</f>
        <v>13.5677269404465</v>
      </c>
      <c r="T413" s="18">
        <f>INDEX(Data_Prices!T:T,MATCH($G413,Data_Prices!$A:$A,0))</f>
        <v>13.5677269404465</v>
      </c>
      <c r="U413" s="18">
        <f>INDEX(Data_Prices!U:U,MATCH($G413,Data_Prices!$A:$A,0))</f>
        <v>13.5677269404465</v>
      </c>
      <c r="V413" s="18">
        <f>INDEX(Data_Prices!V:V,MATCH($G413,Data_Prices!$A:$A,0))</f>
        <v>13.5677269404465</v>
      </c>
      <c r="W413" s="18">
        <f>INDEX(Data_Prices!W:W,MATCH($G413,Data_Prices!$A:$A,0))</f>
        <v>13.5677269404465</v>
      </c>
      <c r="X413" s="18">
        <f>INDEX(Data_Prices!X:X,MATCH($G413,Data_Prices!$A:$A,0))</f>
        <v>13.5677269404465</v>
      </c>
      <c r="Y413" s="18">
        <f>INDEX(Data_Prices!Y:Y,MATCH($G413,Data_Prices!$A:$A,0))</f>
        <v>13.5677269404465</v>
      </c>
      <c r="Z413" s="18">
        <f>INDEX(Data_Prices!Z:Z,MATCH($G413,Data_Prices!$A:$A,0))</f>
        <v>13.5677269404465</v>
      </c>
      <c r="AA413" s="18">
        <f>INDEX(Data_Prices!AA:AA,MATCH($G413,Data_Prices!$A:$A,0))</f>
        <v>13.5677269404465</v>
      </c>
      <c r="AB413" s="18">
        <f>INDEX(Data_Prices!AB:AB,MATCH($G413,Data_Prices!$A:$A,0))</f>
        <v>13.5677269404465</v>
      </c>
      <c r="AC413" s="18">
        <f>INDEX(Data_Prices!AC:AC,MATCH($G413,Data_Prices!$A:$A,0))</f>
        <v>13.5677269404465</v>
      </c>
      <c r="AD413" s="18">
        <f>INDEX(Data_Prices!AD:AD,MATCH($G413,Data_Prices!$A:$A,0))</f>
        <v>13.5677269404465</v>
      </c>
      <c r="AE413" s="18">
        <f>INDEX(Data_Prices!AE:AE,MATCH($G413,Data_Prices!$A:$A,0))</f>
        <v>13.5677269404465</v>
      </c>
    </row>
    <row r="414" spans="1:35" x14ac:dyDescent="0.45">
      <c r="B414" s="14" t="s">
        <v>69</v>
      </c>
      <c r="C414" s="14" t="str">
        <f t="shared" si="158"/>
        <v>irn</v>
      </c>
      <c r="D414" s="15" t="s">
        <v>70</v>
      </c>
      <c r="E414" s="16" t="s">
        <v>71</v>
      </c>
      <c r="F414" s="14" t="s">
        <v>52</v>
      </c>
      <c r="G414" s="17" t="str">
        <f>Settings!$B$3&amp;".mit.pbc."&amp;Settings!$B$4&amp;"."&amp;$B414&amp;".a."&amp;$J$404</f>
        <v>egy.mit.pbc.ind.ren.a.2</v>
      </c>
      <c r="H414" s="45" t="str">
        <f>Settings!$B$3&amp;".mit.ptp."&amp;$C$404&amp;"."&amp;$B414&amp;".e."&amp;$J$404</f>
        <v>egy.mit.ptp.irn.ren.e.2</v>
      </c>
      <c r="K414" s="18">
        <f>INDEX(Data_Prices!K:K,MATCH($G414,Data_Prices!$A:$A,0))</f>
        <v>0</v>
      </c>
      <c r="L414" s="18">
        <f>INDEX(Data_Prices!L:L,MATCH($G414,Data_Prices!$A:$A,0))</f>
        <v>0.14404498679319799</v>
      </c>
      <c r="M414" s="18">
        <f>INDEX(Data_Prices!M:M,MATCH($G414,Data_Prices!$A:$A,0))</f>
        <v>0.141386241751359</v>
      </c>
      <c r="N414" s="18">
        <f>INDEX(Data_Prices!N:N,MATCH($G414,Data_Prices!$A:$A,0))</f>
        <v>0.13539756544373099</v>
      </c>
      <c r="O414" s="18">
        <f>INDEX(Data_Prices!O:O,MATCH($G414,Data_Prices!$A:$A,0))</f>
        <v>0.13152288542065099</v>
      </c>
      <c r="P414" s="18">
        <f>INDEX(Data_Prices!P:P,MATCH($G414,Data_Prices!$A:$A,0))</f>
        <v>0.12882610848523099</v>
      </c>
      <c r="Q414" s="18">
        <f>INDEX(Data_Prices!Q:Q,MATCH($G414,Data_Prices!$A:$A,0))</f>
        <v>0.12594200976473999</v>
      </c>
      <c r="R414" s="18">
        <f>INDEX(Data_Prices!R:R,MATCH($G414,Data_Prices!$A:$A,0))</f>
        <v>0.123113265701861</v>
      </c>
      <c r="S414" s="18">
        <f>INDEX(Data_Prices!S:S,MATCH($G414,Data_Prices!$A:$A,0))</f>
        <v>0.119391738089068</v>
      </c>
      <c r="T414" s="18">
        <f>INDEX(Data_Prices!T:T,MATCH($G414,Data_Prices!$A:$A,0))</f>
        <v>0.11554419046792</v>
      </c>
      <c r="U414" s="18">
        <f>INDEX(Data_Prices!U:U,MATCH($G414,Data_Prices!$A:$A,0))</f>
        <v>0.11492423065415899</v>
      </c>
      <c r="V414" s="18">
        <f>INDEX(Data_Prices!V:V,MATCH($G414,Data_Prices!$A:$A,0))</f>
        <v>0.114346912116736</v>
      </c>
      <c r="W414" s="18">
        <f>INDEX(Data_Prices!W:W,MATCH($G414,Data_Prices!$A:$A,0))</f>
        <v>0.113738711172664</v>
      </c>
      <c r="X414" s="18">
        <f>INDEX(Data_Prices!X:X,MATCH($G414,Data_Prices!$A:$A,0))</f>
        <v>0.112999900487521</v>
      </c>
      <c r="Y414" s="18">
        <f>INDEX(Data_Prices!Y:Y,MATCH($G414,Data_Prices!$A:$A,0))</f>
        <v>0.112177685835534</v>
      </c>
      <c r="Z414" s="18">
        <f>INDEX(Data_Prices!Z:Z,MATCH($G414,Data_Prices!$A:$A,0))</f>
        <v>0.111417903250404</v>
      </c>
      <c r="AA414" s="18">
        <f>INDEX(Data_Prices!AA:AA,MATCH($G414,Data_Prices!$A:$A,0))</f>
        <v>0.11052581998545399</v>
      </c>
      <c r="AB414" s="18">
        <f>INDEX(Data_Prices!AB:AB,MATCH($G414,Data_Prices!$A:$A,0))</f>
        <v>0.109699565234896</v>
      </c>
      <c r="AC414" s="18">
        <f>INDEX(Data_Prices!AC:AC,MATCH($G414,Data_Prices!$A:$A,0))</f>
        <v>0.10772678896394899</v>
      </c>
      <c r="AD414" s="18">
        <f>INDEX(Data_Prices!AD:AD,MATCH($G414,Data_Prices!$A:$A,0))</f>
        <v>0.10582092445093499</v>
      </c>
      <c r="AE414" s="18">
        <f>INDEX(Data_Prices!AE:AE,MATCH($G414,Data_Prices!$A:$A,0))</f>
        <v>0.103855595705721</v>
      </c>
    </row>
    <row r="415" spans="1:35" x14ac:dyDescent="0.45">
      <c r="B415" s="13" t="s">
        <v>72</v>
      </c>
    </row>
    <row r="416" spans="1:35" x14ac:dyDescent="0.45">
      <c r="B416" s="14" t="s">
        <v>49</v>
      </c>
      <c r="C416" s="14" t="str">
        <f t="shared" ref="C416:C424" si="159">$C$404</f>
        <v>irn</v>
      </c>
      <c r="D416" s="15" t="s">
        <v>50</v>
      </c>
      <c r="E416" s="16" t="s">
        <v>51</v>
      </c>
      <c r="F416" s="14" t="s">
        <v>73</v>
      </c>
      <c r="G416" s="17" t="str">
        <f>Settings!$B$3&amp;".mit.nce."&amp;Settings!$B$4&amp;"."&amp;$B416&amp;".a."&amp;$J$404</f>
        <v>egy.mit.nce.ind.coa.a.2</v>
      </c>
      <c r="H416" s="45" t="str">
        <f>Settings!$B$3&amp;".mit.atp."&amp;$C$404&amp;"."&amp;$B416&amp;".e."&amp;$J$404</f>
        <v>egy.mit.atp.irn.coa.e.2</v>
      </c>
      <c r="K416" s="18">
        <f>K406+INDEX(Data_Prices!K:K,MATCH($G416,Data_Prices!$A:$A,0))*K$436</f>
        <v>11.182901589243899</v>
      </c>
      <c r="L416" s="18">
        <f>L406+INDEX(Data_Prices!L:L,MATCH($G416,Data_Prices!$A:$A,0))*L$436</f>
        <v>10.5233613454312</v>
      </c>
      <c r="M416" s="18">
        <f>M406+INDEX(Data_Prices!M:M,MATCH($G416,Data_Prices!$A:$A,0))*M$436</f>
        <v>10.2995608274442</v>
      </c>
      <c r="N416" s="18">
        <f>N406+INDEX(Data_Prices!N:N,MATCH($G416,Data_Prices!$A:$A,0))*N$436</f>
        <v>9.5775283595382597</v>
      </c>
      <c r="O416" s="18">
        <f>O406+INDEX(Data_Prices!O:O,MATCH($G416,Data_Prices!$A:$A,0))*O$436</f>
        <v>8.4854782869580507</v>
      </c>
      <c r="P416" s="18">
        <f>P406+INDEX(Data_Prices!P:P,MATCH($G416,Data_Prices!$A:$A,0))*P$436</f>
        <v>9.0871922352498604</v>
      </c>
      <c r="Q416" s="18">
        <f>Q406+INDEX(Data_Prices!Q:Q,MATCH($G416,Data_Prices!$A:$A,0))*Q$436</f>
        <v>10.472923728932679</v>
      </c>
      <c r="R416" s="18">
        <f>R406+INDEX(Data_Prices!R:R,MATCH($G416,Data_Prices!$A:$A,0))*R$436</f>
        <v>11.658564955509689</v>
      </c>
      <c r="S416" s="18">
        <f>S406+INDEX(Data_Prices!S:S,MATCH($G416,Data_Prices!$A:$A,0))*S$436</f>
        <v>12.839547877397379</v>
      </c>
      <c r="T416" s="18">
        <f>T406+INDEX(Data_Prices!T:T,MATCH($G416,Data_Prices!$A:$A,0))*T$436</f>
        <v>14.01568166602283</v>
      </c>
      <c r="U416" s="18">
        <f>U406+INDEX(Data_Prices!U:U,MATCH($G416,Data_Prices!$A:$A,0))*U$436</f>
        <v>15.19439776555711</v>
      </c>
      <c r="V416" s="18">
        <f>V406+INDEX(Data_Prices!V:V,MATCH($G416,Data_Prices!$A:$A,0))*V$436</f>
        <v>16.44439776555711</v>
      </c>
      <c r="W416" s="18">
        <f>W406+INDEX(Data_Prices!W:W,MATCH($G416,Data_Prices!$A:$A,0))*W$436</f>
        <v>17.69439776555711</v>
      </c>
      <c r="X416" s="18">
        <f>X406+INDEX(Data_Prices!X:X,MATCH($G416,Data_Prices!$A:$A,0))*X$436</f>
        <v>18.94439776555711</v>
      </c>
      <c r="Y416" s="18">
        <f>Y406+INDEX(Data_Prices!Y:Y,MATCH($G416,Data_Prices!$A:$A,0))*Y$436</f>
        <v>20.19439776555711</v>
      </c>
      <c r="Z416" s="18">
        <f>Z406+INDEX(Data_Prices!Z:Z,MATCH($G416,Data_Prices!$A:$A,0))*Z$436</f>
        <v>21.44439776555711</v>
      </c>
      <c r="AA416" s="18">
        <f>AA406+INDEX(Data_Prices!AA:AA,MATCH($G416,Data_Prices!$A:$A,0))*AA$436</f>
        <v>22.69439776555711</v>
      </c>
      <c r="AB416" s="18">
        <f>AB406+INDEX(Data_Prices!AB:AB,MATCH($G416,Data_Prices!$A:$A,0))*AB$436</f>
        <v>23.94439776555711</v>
      </c>
      <c r="AC416" s="18">
        <f>AC406+INDEX(Data_Prices!AC:AC,MATCH($G416,Data_Prices!$A:$A,0))*AC$436</f>
        <v>25.19439776555711</v>
      </c>
      <c r="AD416" s="18">
        <f>AD406+INDEX(Data_Prices!AD:AD,MATCH($G416,Data_Prices!$A:$A,0))*AD$436</f>
        <v>26.44439776555711</v>
      </c>
      <c r="AE416" s="18">
        <f>AE406+INDEX(Data_Prices!AE:AE,MATCH($G416,Data_Prices!$A:$A,0))*AE$436</f>
        <v>27.69439776555711</v>
      </c>
    </row>
    <row r="417" spans="2:31" x14ac:dyDescent="0.45">
      <c r="B417" s="14" t="s">
        <v>53</v>
      </c>
      <c r="C417" s="14" t="str">
        <f t="shared" si="159"/>
        <v>irn</v>
      </c>
      <c r="D417" s="15" t="s">
        <v>54</v>
      </c>
      <c r="E417" s="16" t="s">
        <v>51</v>
      </c>
      <c r="F417" s="14" t="s">
        <v>73</v>
      </c>
      <c r="G417" s="17" t="str">
        <f>Settings!$B$3&amp;".mit.nce."&amp;Settings!$B$4&amp;"."&amp;$B417&amp;".a."&amp;$J$404</f>
        <v>egy.mit.nce.ind.nga.a.2</v>
      </c>
      <c r="H417" s="45" t="str">
        <f>Settings!$B$3&amp;".mit.atp."&amp;$C$404&amp;"."&amp;$B417&amp;".e."&amp;$J$404</f>
        <v>egy.mit.atp.irn.nga.e.2</v>
      </c>
      <c r="K417" s="18">
        <f>K407+INDEX(Data_Prices!K:K,MATCH($G417,Data_Prices!$A:$A,0))*K$436</f>
        <v>6.0634636156729096</v>
      </c>
      <c r="L417" s="18">
        <f>L407+INDEX(Data_Prices!L:L,MATCH($G417,Data_Prices!$A:$A,0))*L$436</f>
        <v>5.4510150816191896</v>
      </c>
      <c r="M417" s="18">
        <f>M407+INDEX(Data_Prices!M:M,MATCH($G417,Data_Prices!$A:$A,0))*M$436</f>
        <v>5.1193563062624801</v>
      </c>
      <c r="N417" s="18">
        <f>N407+INDEX(Data_Prices!N:N,MATCH($G417,Data_Prices!$A:$A,0))*N$436</f>
        <v>5.08218458640407</v>
      </c>
      <c r="O417" s="18">
        <f>O407+INDEX(Data_Prices!O:O,MATCH($G417,Data_Prices!$A:$A,0))*O$436</f>
        <v>5.08218458640407</v>
      </c>
      <c r="P417" s="18">
        <f>P407+INDEX(Data_Prices!P:P,MATCH($G417,Data_Prices!$A:$A,0))*P$436</f>
        <v>5.08218458640407</v>
      </c>
      <c r="Q417" s="18">
        <f>Q407+INDEX(Data_Prices!Q:Q,MATCH($G417,Data_Prices!$A:$A,0))*Q$436</f>
        <v>5.7796845864040698</v>
      </c>
      <c r="R417" s="18">
        <f>R407+INDEX(Data_Prices!R:R,MATCH($G417,Data_Prices!$A:$A,0))*R$436</f>
        <v>6.4771845864040696</v>
      </c>
      <c r="S417" s="18">
        <f>S407+INDEX(Data_Prices!S:S,MATCH($G417,Data_Prices!$A:$A,0))*S$436</f>
        <v>7.1746845864040703</v>
      </c>
      <c r="T417" s="18">
        <f>T407+INDEX(Data_Prices!T:T,MATCH($G417,Data_Prices!$A:$A,0))*T$436</f>
        <v>7.87218458640407</v>
      </c>
      <c r="U417" s="18">
        <f>U407+INDEX(Data_Prices!U:U,MATCH($G417,Data_Prices!$A:$A,0))*U$436</f>
        <v>8.5696845864040707</v>
      </c>
      <c r="V417" s="18">
        <f>V407+INDEX(Data_Prices!V:V,MATCH($G417,Data_Prices!$A:$A,0))*V$436</f>
        <v>9.2671845864040705</v>
      </c>
      <c r="W417" s="18">
        <f>W407+INDEX(Data_Prices!W:W,MATCH($G417,Data_Prices!$A:$A,0))*W$436</f>
        <v>9.9646845864040703</v>
      </c>
      <c r="X417" s="18">
        <f>X407+INDEX(Data_Prices!X:X,MATCH($G417,Data_Prices!$A:$A,0))*X$436</f>
        <v>10.66218458640407</v>
      </c>
      <c r="Y417" s="18">
        <f>Y407+INDEX(Data_Prices!Y:Y,MATCH($G417,Data_Prices!$A:$A,0))*Y$436</f>
        <v>11.35968458640407</v>
      </c>
      <c r="Z417" s="18">
        <f>Z407+INDEX(Data_Prices!Z:Z,MATCH($G417,Data_Prices!$A:$A,0))*Z$436</f>
        <v>12.05718458640407</v>
      </c>
      <c r="AA417" s="18">
        <f>AA407+INDEX(Data_Prices!AA:AA,MATCH($G417,Data_Prices!$A:$A,0))*AA$436</f>
        <v>12.754684586404071</v>
      </c>
      <c r="AB417" s="18">
        <f>AB407+INDEX(Data_Prices!AB:AB,MATCH($G417,Data_Prices!$A:$A,0))*AB$436</f>
        <v>13.452184586404071</v>
      </c>
      <c r="AC417" s="18">
        <f>AC407+INDEX(Data_Prices!AC:AC,MATCH($G417,Data_Prices!$A:$A,0))*AC$436</f>
        <v>14.149684586404071</v>
      </c>
      <c r="AD417" s="18">
        <f>AD407+INDEX(Data_Prices!AD:AD,MATCH($G417,Data_Prices!$A:$A,0))*AD$436</f>
        <v>14.847184586404071</v>
      </c>
      <c r="AE417" s="18">
        <f>AE407+INDEX(Data_Prices!AE:AE,MATCH($G417,Data_Prices!$A:$A,0))*AE$436</f>
        <v>15.54468458640407</v>
      </c>
    </row>
    <row r="418" spans="2:31" x14ac:dyDescent="0.45">
      <c r="B418" s="14" t="s">
        <v>55</v>
      </c>
      <c r="C418" s="14" t="str">
        <f t="shared" si="159"/>
        <v>irn</v>
      </c>
      <c r="D418" s="15" t="s">
        <v>56</v>
      </c>
      <c r="E418" s="16" t="s">
        <v>57</v>
      </c>
      <c r="F418" s="14" t="s">
        <v>73</v>
      </c>
      <c r="G418" s="17" t="str">
        <f>Settings!$B$3&amp;".mit.nce."&amp;Settings!$B$4&amp;"."&amp;$B418&amp;".a."&amp;$J$404</f>
        <v>egy.mit.nce.ind.gso.a.2</v>
      </c>
      <c r="H418" s="45" t="str">
        <f>Settings!$B$3&amp;".mit.atp."&amp;$C$404&amp;"."&amp;$B418&amp;".e."&amp;$J$404</f>
        <v>egy.mit.atp.irn.gso.e.2</v>
      </c>
      <c r="K418" s="18">
        <f>K408+INDEX(Data_Prices!K:K,MATCH($G418,Data_Prices!$A:$A,0))*K$436</f>
        <v>0.67114653332181595</v>
      </c>
      <c r="L418" s="18">
        <f>L408+INDEX(Data_Prices!L:L,MATCH($G418,Data_Prices!$A:$A,0))*L$436</f>
        <v>0.61197797679140598</v>
      </c>
      <c r="M418" s="18">
        <f>M408+INDEX(Data_Prices!M:M,MATCH($G418,Data_Prices!$A:$A,0))*M$436</f>
        <v>0.61180974964187596</v>
      </c>
      <c r="N418" s="18">
        <f>N408+INDEX(Data_Prices!N:N,MATCH($G418,Data_Prices!$A:$A,0))*N$436</f>
        <v>0.60358310017790595</v>
      </c>
      <c r="O418" s="18">
        <f>O408+INDEX(Data_Prices!O:O,MATCH($G418,Data_Prices!$A:$A,0))*O$436</f>
        <v>0.60358310017790595</v>
      </c>
      <c r="P418" s="18">
        <f>P408+INDEX(Data_Prices!P:P,MATCH($G418,Data_Prices!$A:$A,0))*P$436</f>
        <v>0.60358310017790595</v>
      </c>
      <c r="Q418" s="18">
        <f>Q408+INDEX(Data_Prices!Q:Q,MATCH($G418,Data_Prices!$A:$A,0))*Q$436</f>
        <v>0.63251094334940594</v>
      </c>
      <c r="R418" s="18">
        <f>R408+INDEX(Data_Prices!R:R,MATCH($G418,Data_Prices!$A:$A,0))*R$436</f>
        <v>0.66143878652090593</v>
      </c>
      <c r="S418" s="18">
        <f>S408+INDEX(Data_Prices!S:S,MATCH($G418,Data_Prices!$A:$A,0))*S$436</f>
        <v>0.69036662969240592</v>
      </c>
      <c r="T418" s="18">
        <f>T408+INDEX(Data_Prices!T:T,MATCH($G418,Data_Prices!$A:$A,0))*T$436</f>
        <v>0.71929447286390591</v>
      </c>
      <c r="U418" s="18">
        <f>U408+INDEX(Data_Prices!U:U,MATCH($G418,Data_Prices!$A:$A,0))*U$436</f>
        <v>0.74822231603540601</v>
      </c>
      <c r="V418" s="18">
        <f>V408+INDEX(Data_Prices!V:V,MATCH($G418,Data_Prices!$A:$A,0))*V$436</f>
        <v>0.777150159206906</v>
      </c>
      <c r="W418" s="18">
        <f>W408+INDEX(Data_Prices!W:W,MATCH($G418,Data_Prices!$A:$A,0))*W$436</f>
        <v>0.80607800237840599</v>
      </c>
      <c r="X418" s="18">
        <f>X408+INDEX(Data_Prices!X:X,MATCH($G418,Data_Prices!$A:$A,0))*X$436</f>
        <v>0.83500584554990598</v>
      </c>
      <c r="Y418" s="18">
        <f>Y408+INDEX(Data_Prices!Y:Y,MATCH($G418,Data_Prices!$A:$A,0))*Y$436</f>
        <v>0.86393368872140597</v>
      </c>
      <c r="Z418" s="18">
        <f>Z408+INDEX(Data_Prices!Z:Z,MATCH($G418,Data_Prices!$A:$A,0))*Z$436</f>
        <v>0.89286153189290596</v>
      </c>
      <c r="AA418" s="18">
        <f>AA408+INDEX(Data_Prices!AA:AA,MATCH($G418,Data_Prices!$A:$A,0))*AA$436</f>
        <v>0.92178937506440595</v>
      </c>
      <c r="AB418" s="18">
        <f>AB408+INDEX(Data_Prices!AB:AB,MATCH($G418,Data_Prices!$A:$A,0))*AB$436</f>
        <v>0.95071721823590605</v>
      </c>
      <c r="AC418" s="18">
        <f>AC408+INDEX(Data_Prices!AC:AC,MATCH($G418,Data_Prices!$A:$A,0))*AC$436</f>
        <v>0.97964506140740593</v>
      </c>
      <c r="AD418" s="18">
        <f>AD408+INDEX(Data_Prices!AD:AD,MATCH($G418,Data_Prices!$A:$A,0))*AD$436</f>
        <v>1.008572904578906</v>
      </c>
      <c r="AE418" s="18">
        <f>AE408+INDEX(Data_Prices!AE:AE,MATCH($G418,Data_Prices!$A:$A,0))*AE$436</f>
        <v>1.0375007477504061</v>
      </c>
    </row>
    <row r="419" spans="2:31" x14ac:dyDescent="0.45">
      <c r="B419" s="14" t="s">
        <v>58</v>
      </c>
      <c r="C419" s="14" t="str">
        <f t="shared" si="159"/>
        <v>irn</v>
      </c>
      <c r="D419" s="15" t="s">
        <v>59</v>
      </c>
      <c r="E419" s="16" t="s">
        <v>57</v>
      </c>
      <c r="F419" s="14" t="s">
        <v>73</v>
      </c>
      <c r="G419" s="17" t="str">
        <f>Settings!$B$3&amp;".mit.nce."&amp;Settings!$B$4&amp;"."&amp;$B419&amp;".a."&amp;$J$404</f>
        <v>egy.mit.nce.ind.die.a.2</v>
      </c>
      <c r="H419" s="45" t="str">
        <f>Settings!$B$3&amp;".mit.atp."&amp;$C$404&amp;"."&amp;$B419&amp;".e."&amp;$J$404</f>
        <v>egy.mit.atp.irn.die.e.2</v>
      </c>
      <c r="K419" s="18">
        <f>K409+INDEX(Data_Prices!K:K,MATCH($G419,Data_Prices!$A:$A,0))*K$436</f>
        <v>0.55971121315568795</v>
      </c>
      <c r="L419" s="18">
        <f>L409+INDEX(Data_Prices!L:L,MATCH($G419,Data_Prices!$A:$A,0))*L$436</f>
        <v>0.49458873084106802</v>
      </c>
      <c r="M419" s="18">
        <f>M409+INDEX(Data_Prices!M:M,MATCH($G419,Data_Prices!$A:$A,0))*M$436</f>
        <v>0.50778654720250105</v>
      </c>
      <c r="N419" s="18">
        <f>N409+INDEX(Data_Prices!N:N,MATCH($G419,Data_Prices!$A:$A,0))*N$436</f>
        <v>0.47043642679561698</v>
      </c>
      <c r="O419" s="18">
        <f>O409+INDEX(Data_Prices!O:O,MATCH($G419,Data_Prices!$A:$A,0))*O$436</f>
        <v>0.47043642679561698</v>
      </c>
      <c r="P419" s="18">
        <f>P409+INDEX(Data_Prices!P:P,MATCH($G419,Data_Prices!$A:$A,0))*P$436</f>
        <v>0.47043642679561698</v>
      </c>
      <c r="Q419" s="18">
        <f>Q409+INDEX(Data_Prices!Q:Q,MATCH($G419,Data_Prices!$A:$A,0))*Q$436</f>
        <v>0.50344686565449193</v>
      </c>
      <c r="R419" s="18">
        <f>R409+INDEX(Data_Prices!R:R,MATCH($G419,Data_Prices!$A:$A,0))*R$436</f>
        <v>0.53645730451336693</v>
      </c>
      <c r="S419" s="18">
        <f>S409+INDEX(Data_Prices!S:S,MATCH($G419,Data_Prices!$A:$A,0))*S$436</f>
        <v>0.56946774337224193</v>
      </c>
      <c r="T419" s="18">
        <f>T409+INDEX(Data_Prices!T:T,MATCH($G419,Data_Prices!$A:$A,0))*T$436</f>
        <v>0.60247818223111693</v>
      </c>
      <c r="U419" s="18">
        <f>U409+INDEX(Data_Prices!U:U,MATCH($G419,Data_Prices!$A:$A,0))*U$436</f>
        <v>0.63548862108999193</v>
      </c>
      <c r="V419" s="18">
        <f>V409+INDEX(Data_Prices!V:V,MATCH($G419,Data_Prices!$A:$A,0))*V$436</f>
        <v>0.66849905994886694</v>
      </c>
      <c r="W419" s="18">
        <f>W409+INDEX(Data_Prices!W:W,MATCH($G419,Data_Prices!$A:$A,0))*W$436</f>
        <v>0.70150949880774194</v>
      </c>
      <c r="X419" s="18">
        <f>X409+INDEX(Data_Prices!X:X,MATCH($G419,Data_Prices!$A:$A,0))*X$436</f>
        <v>0.73451993766661694</v>
      </c>
      <c r="Y419" s="18">
        <f>Y409+INDEX(Data_Prices!Y:Y,MATCH($G419,Data_Prices!$A:$A,0))*Y$436</f>
        <v>0.76753037652549194</v>
      </c>
      <c r="Z419" s="18">
        <f>Z409+INDEX(Data_Prices!Z:Z,MATCH($G419,Data_Prices!$A:$A,0))*Z$436</f>
        <v>0.80054081538436694</v>
      </c>
      <c r="AA419" s="18">
        <f>AA409+INDEX(Data_Prices!AA:AA,MATCH($G419,Data_Prices!$A:$A,0))*AA$436</f>
        <v>0.83355125424324195</v>
      </c>
      <c r="AB419" s="18">
        <f>AB409+INDEX(Data_Prices!AB:AB,MATCH($G419,Data_Prices!$A:$A,0))*AB$436</f>
        <v>0.86656169310211695</v>
      </c>
      <c r="AC419" s="18">
        <f>AC409+INDEX(Data_Prices!AC:AC,MATCH($G419,Data_Prices!$A:$A,0))*AC$436</f>
        <v>0.89957213196099195</v>
      </c>
      <c r="AD419" s="18">
        <f>AD409+INDEX(Data_Prices!AD:AD,MATCH($G419,Data_Prices!$A:$A,0))*AD$436</f>
        <v>0.93258257081986695</v>
      </c>
      <c r="AE419" s="18">
        <f>AE409+INDEX(Data_Prices!AE:AE,MATCH($G419,Data_Prices!$A:$A,0))*AE$436</f>
        <v>0.96559300967874195</v>
      </c>
    </row>
    <row r="420" spans="2:31" x14ac:dyDescent="0.45">
      <c r="B420" s="14" t="s">
        <v>60</v>
      </c>
      <c r="C420" s="14" t="str">
        <f t="shared" si="159"/>
        <v>irn</v>
      </c>
      <c r="D420" s="15" t="s">
        <v>61</v>
      </c>
      <c r="E420" s="16" t="s">
        <v>57</v>
      </c>
      <c r="F420" s="14" t="s">
        <v>73</v>
      </c>
      <c r="G420" s="17" t="str">
        <f>Settings!$B$3&amp;".mit.nce."&amp;Settings!$B$4&amp;"."&amp;$B420&amp;".a."&amp;$J$404</f>
        <v>egy.mit.nce.ind.lpg.a.2</v>
      </c>
      <c r="H420" s="45" t="str">
        <f>Settings!$B$3&amp;".mit.atp."&amp;$C$404&amp;"."&amp;$B420&amp;".e."&amp;$J$404</f>
        <v>egy.mit.atp.irn.lpg.e.2</v>
      </c>
      <c r="K420" s="18">
        <f>K410+INDEX(Data_Prices!K:K,MATCH($G420,Data_Prices!$A:$A,0))*K$436</f>
        <v>0.20036669112673799</v>
      </c>
      <c r="L420" s="18">
        <f>L410+INDEX(Data_Prices!L:L,MATCH($G420,Data_Prices!$A:$A,0))*L$436</f>
        <v>0.15734473625227399</v>
      </c>
      <c r="M420" s="18">
        <f>M410+INDEX(Data_Prices!M:M,MATCH($G420,Data_Prices!$A:$A,0))*M$436</f>
        <v>0.164484037759277</v>
      </c>
      <c r="N420" s="18">
        <f>N410+INDEX(Data_Prices!N:N,MATCH($G420,Data_Prices!$A:$A,0))*N$436</f>
        <v>0.15070907780704901</v>
      </c>
      <c r="O420" s="18">
        <f>O410+INDEX(Data_Prices!O:O,MATCH($G420,Data_Prices!$A:$A,0))*O$436</f>
        <v>0.15070907780704901</v>
      </c>
      <c r="P420" s="18">
        <f>P410+INDEX(Data_Prices!P:P,MATCH($G420,Data_Prices!$A:$A,0))*P$436</f>
        <v>0.15070907780704901</v>
      </c>
      <c r="Q420" s="18">
        <f>Q410+INDEX(Data_Prices!Q:Q,MATCH($G420,Data_Prices!$A:$A,0))*Q$436</f>
        <v>0.17281516073434466</v>
      </c>
      <c r="R420" s="18">
        <f>R410+INDEX(Data_Prices!R:R,MATCH($G420,Data_Prices!$A:$A,0))*R$436</f>
        <v>0.19492124366164035</v>
      </c>
      <c r="S420" s="18">
        <f>S410+INDEX(Data_Prices!S:S,MATCH($G420,Data_Prices!$A:$A,0))*S$436</f>
        <v>0.217027326588936</v>
      </c>
      <c r="T420" s="18">
        <f>T410+INDEX(Data_Prices!T:T,MATCH($G420,Data_Prices!$A:$A,0))*T$436</f>
        <v>0.23913340951623169</v>
      </c>
      <c r="U420" s="18">
        <f>U410+INDEX(Data_Prices!U:U,MATCH($G420,Data_Prices!$A:$A,0))*U$436</f>
        <v>0.26123949244352734</v>
      </c>
      <c r="V420" s="18">
        <f>V410+INDEX(Data_Prices!V:V,MATCH($G420,Data_Prices!$A:$A,0))*V$436</f>
        <v>0.283345575370823</v>
      </c>
      <c r="W420" s="18">
        <f>W410+INDEX(Data_Prices!W:W,MATCH($G420,Data_Prices!$A:$A,0))*W$436</f>
        <v>0.30545165829811871</v>
      </c>
      <c r="X420" s="18">
        <f>X410+INDEX(Data_Prices!X:X,MATCH($G420,Data_Prices!$A:$A,0))*X$436</f>
        <v>0.32755774122541437</v>
      </c>
      <c r="Y420" s="18">
        <f>Y410+INDEX(Data_Prices!Y:Y,MATCH($G420,Data_Prices!$A:$A,0))*Y$436</f>
        <v>0.34966382415271002</v>
      </c>
      <c r="Z420" s="18">
        <f>Z410+INDEX(Data_Prices!Z:Z,MATCH($G420,Data_Prices!$A:$A,0))*Z$436</f>
        <v>0.37176990708000568</v>
      </c>
      <c r="AA420" s="18">
        <f>AA410+INDEX(Data_Prices!AA:AA,MATCH($G420,Data_Prices!$A:$A,0))*AA$436</f>
        <v>0.39387599000730134</v>
      </c>
      <c r="AB420" s="18">
        <f>AB410+INDEX(Data_Prices!AB:AB,MATCH($G420,Data_Prices!$A:$A,0))*AB$436</f>
        <v>0.41598207293459699</v>
      </c>
      <c r="AC420" s="18">
        <f>AC410+INDEX(Data_Prices!AC:AC,MATCH($G420,Data_Prices!$A:$A,0))*AC$436</f>
        <v>0.4380881558618927</v>
      </c>
      <c r="AD420" s="18">
        <f>AD410+INDEX(Data_Prices!AD:AD,MATCH($G420,Data_Prices!$A:$A,0))*AD$436</f>
        <v>0.46019423878918836</v>
      </c>
      <c r="AE420" s="18">
        <f>AE410+INDEX(Data_Prices!AE:AE,MATCH($G420,Data_Prices!$A:$A,0))*AE$436</f>
        <v>0.48230032171648402</v>
      </c>
    </row>
    <row r="421" spans="2:31" x14ac:dyDescent="0.45">
      <c r="B421" s="14" t="s">
        <v>62</v>
      </c>
      <c r="C421" s="14" t="str">
        <f t="shared" si="159"/>
        <v>irn</v>
      </c>
      <c r="D421" s="15" t="s">
        <v>63</v>
      </c>
      <c r="E421" s="16" t="s">
        <v>57</v>
      </c>
      <c r="F421" s="14" t="s">
        <v>73</v>
      </c>
      <c r="G421" s="17" t="str">
        <f>Settings!$B$3&amp;".mit.nce."&amp;Settings!$B$4&amp;"."&amp;$B421&amp;".a."&amp;$J$404</f>
        <v>egy.mit.nce.ind.ker.a.2</v>
      </c>
      <c r="H421" s="45" t="str">
        <f>Settings!$B$3&amp;".mit.atp."&amp;$C$404&amp;"."&amp;$B421&amp;".e."&amp;$J$404</f>
        <v>egy.mit.atp.irn.ker.e.2</v>
      </c>
      <c r="K421" s="18">
        <f>K411+INDEX(Data_Prices!K:K,MATCH($G421,Data_Prices!$A:$A,0))*K$436</f>
        <v>0.48429424097343499</v>
      </c>
      <c r="L421" s="18">
        <f>L411+INDEX(Data_Prices!L:L,MATCH($G421,Data_Prices!$A:$A,0))*L$436</f>
        <v>0.45642817050012802</v>
      </c>
      <c r="M421" s="18">
        <f>M411+INDEX(Data_Prices!M:M,MATCH($G421,Data_Prices!$A:$A,0))*M$436</f>
        <v>0.43168920195599497</v>
      </c>
      <c r="N421" s="18">
        <f>N411+INDEX(Data_Prices!N:N,MATCH($G421,Data_Prices!$A:$A,0))*N$436</f>
        <v>0.42507558395597</v>
      </c>
      <c r="O421" s="18">
        <f>O411+INDEX(Data_Prices!O:O,MATCH($G421,Data_Prices!$A:$A,0))*O$436</f>
        <v>0.42507558395597</v>
      </c>
      <c r="P421" s="18">
        <f>P411+INDEX(Data_Prices!P:P,MATCH($G421,Data_Prices!$A:$A,0))*P$436</f>
        <v>0.42507558395597</v>
      </c>
      <c r="Q421" s="18">
        <f>Q411+INDEX(Data_Prices!Q:Q,MATCH($G421,Data_Prices!$A:$A,0))*Q$436</f>
        <v>0.45706441406607845</v>
      </c>
      <c r="R421" s="18">
        <f>R411+INDEX(Data_Prices!R:R,MATCH($G421,Data_Prices!$A:$A,0))*R$436</f>
        <v>0.48905324417618695</v>
      </c>
      <c r="S421" s="18">
        <f>S411+INDEX(Data_Prices!S:S,MATCH($G421,Data_Prices!$A:$A,0))*S$436</f>
        <v>0.52104207428629534</v>
      </c>
      <c r="T421" s="18">
        <f>T411+INDEX(Data_Prices!T:T,MATCH($G421,Data_Prices!$A:$A,0))*T$436</f>
        <v>0.5530309043964039</v>
      </c>
      <c r="U421" s="18">
        <f>U411+INDEX(Data_Prices!U:U,MATCH($G421,Data_Prices!$A:$A,0))*U$436</f>
        <v>0.58501973450651235</v>
      </c>
      <c r="V421" s="18">
        <f>V411+INDEX(Data_Prices!V:V,MATCH($G421,Data_Prices!$A:$A,0))*V$436</f>
        <v>0.61700856461662079</v>
      </c>
      <c r="W421" s="18">
        <f>W411+INDEX(Data_Prices!W:W,MATCH($G421,Data_Prices!$A:$A,0))*W$436</f>
        <v>0.64899739472672924</v>
      </c>
      <c r="X421" s="18">
        <f>X411+INDEX(Data_Prices!X:X,MATCH($G421,Data_Prices!$A:$A,0))*X$436</f>
        <v>0.68098622483683768</v>
      </c>
      <c r="Y421" s="18">
        <f>Y411+INDEX(Data_Prices!Y:Y,MATCH($G421,Data_Prices!$A:$A,0))*Y$436</f>
        <v>0.71297505494694624</v>
      </c>
      <c r="Z421" s="18">
        <f>Z411+INDEX(Data_Prices!Z:Z,MATCH($G421,Data_Prices!$A:$A,0))*Z$436</f>
        <v>0.74496388505705469</v>
      </c>
      <c r="AA421" s="18">
        <f>AA411+INDEX(Data_Prices!AA:AA,MATCH($G421,Data_Prices!$A:$A,0))*AA$436</f>
        <v>0.77695271516716313</v>
      </c>
      <c r="AB421" s="18">
        <f>AB411+INDEX(Data_Prices!AB:AB,MATCH($G421,Data_Prices!$A:$A,0))*AB$436</f>
        <v>0.80894154527727158</v>
      </c>
      <c r="AC421" s="18">
        <f>AC411+INDEX(Data_Prices!AC:AC,MATCH($G421,Data_Prices!$A:$A,0))*AC$436</f>
        <v>0.84093037538738002</v>
      </c>
      <c r="AD421" s="18">
        <f>AD411+INDEX(Data_Prices!AD:AD,MATCH($G421,Data_Prices!$A:$A,0))*AD$436</f>
        <v>0.87291920549748858</v>
      </c>
      <c r="AE421" s="18">
        <f>AE411+INDEX(Data_Prices!AE:AE,MATCH($G421,Data_Prices!$A:$A,0))*AE$436</f>
        <v>0.90490803560759692</v>
      </c>
    </row>
    <row r="422" spans="2:31" x14ac:dyDescent="0.45">
      <c r="B422" s="14" t="s">
        <v>64</v>
      </c>
      <c r="C422" s="14" t="str">
        <f t="shared" si="159"/>
        <v>irn</v>
      </c>
      <c r="D422" s="15" t="s">
        <v>65</v>
      </c>
      <c r="E422" s="16" t="s">
        <v>66</v>
      </c>
      <c r="F422" s="14" t="s">
        <v>73</v>
      </c>
      <c r="G422" s="17" t="str">
        <f>Settings!$B$3&amp;".mit.nce."&amp;Settings!$B$4&amp;"."&amp;$B422&amp;".a."&amp;$J$404</f>
        <v>egy.mit.nce.ind.oop.a.2</v>
      </c>
      <c r="H422" s="45" t="str">
        <f>Settings!$B$3&amp;".mit.atp."&amp;$C$404&amp;"."&amp;$B422&amp;".e."&amp;$J$404</f>
        <v>egy.mit.atp.irn.oop.e.2</v>
      </c>
      <c r="K422" s="18">
        <f>K412+INDEX(Data_Prices!K:K,MATCH($G422,Data_Prices!$A:$A,0))*K$436</f>
        <v>41.500338498868402</v>
      </c>
      <c r="L422" s="18">
        <f>L412+INDEX(Data_Prices!L:L,MATCH($G422,Data_Prices!$A:$A,0))*L$436</f>
        <v>34.4153703043132</v>
      </c>
      <c r="M422" s="18">
        <f>M412+INDEX(Data_Prices!M:M,MATCH($G422,Data_Prices!$A:$A,0))*M$436</f>
        <v>37.368960690431997</v>
      </c>
      <c r="N422" s="18">
        <f>N412+INDEX(Data_Prices!N:N,MATCH($G422,Data_Prices!$A:$A,0))*N$436</f>
        <v>28.982761101477301</v>
      </c>
      <c r="O422" s="18">
        <f>O412+INDEX(Data_Prices!O:O,MATCH($G422,Data_Prices!$A:$A,0))*O$436</f>
        <v>15</v>
      </c>
      <c r="P422" s="18">
        <f>P412+INDEX(Data_Prices!P:P,MATCH($G422,Data_Prices!$A:$A,0))*P$436</f>
        <v>24.2586300842555</v>
      </c>
      <c r="Q422" s="18">
        <f>Q412+INDEX(Data_Prices!Q:Q,MATCH($G422,Data_Prices!$A:$A,0))*Q$436</f>
        <v>18.963758196132499</v>
      </c>
      <c r="R422" s="18">
        <f>R412+INDEX(Data_Prices!R:R,MATCH($G422,Data_Prices!$A:$A,0))*R$436</f>
        <v>21.760345114010597</v>
      </c>
      <c r="S422" s="18">
        <f>S412+INDEX(Data_Prices!S:S,MATCH($G422,Data_Prices!$A:$A,0))*S$436</f>
        <v>26.079880691373621</v>
      </c>
      <c r="T422" s="18">
        <f>T412+INDEX(Data_Prices!T:T,MATCH($G422,Data_Prices!$A:$A,0))*T$436</f>
        <v>30.593682445209218</v>
      </c>
      <c r="U422" s="18">
        <f>U412+INDEX(Data_Prices!U:U,MATCH($G422,Data_Prices!$A:$A,0))*U$436</f>
        <v>34.990509739410058</v>
      </c>
      <c r="V422" s="18">
        <f>V412+INDEX(Data_Prices!V:V,MATCH($G422,Data_Prices!$A:$A,0))*V$436</f>
        <v>40.858059739410059</v>
      </c>
      <c r="W422" s="18">
        <f>W412+INDEX(Data_Prices!W:W,MATCH($G422,Data_Prices!$A:$A,0))*W$436</f>
        <v>46.725609739410054</v>
      </c>
      <c r="X422" s="18">
        <f>X412+INDEX(Data_Prices!X:X,MATCH($G422,Data_Prices!$A:$A,0))*X$436</f>
        <v>52.593159739410055</v>
      </c>
      <c r="Y422" s="18">
        <f>Y412+INDEX(Data_Prices!Y:Y,MATCH($G422,Data_Prices!$A:$A,0))*Y$436</f>
        <v>58.460709739410056</v>
      </c>
      <c r="Z422" s="18">
        <f>Z412+INDEX(Data_Prices!Z:Z,MATCH($G422,Data_Prices!$A:$A,0))*Z$436</f>
        <v>64.328259739410072</v>
      </c>
      <c r="AA422" s="18">
        <f>AA412+INDEX(Data_Prices!AA:AA,MATCH($G422,Data_Prices!$A:$A,0))*AA$436</f>
        <v>70.195809739410052</v>
      </c>
      <c r="AB422" s="18">
        <f>AB412+INDEX(Data_Prices!AB:AB,MATCH($G422,Data_Prices!$A:$A,0))*AB$436</f>
        <v>76.06335973941006</v>
      </c>
      <c r="AC422" s="18">
        <f>AC412+INDEX(Data_Prices!AC:AC,MATCH($G422,Data_Prices!$A:$A,0))*AC$436</f>
        <v>81.930909739410041</v>
      </c>
      <c r="AD422" s="18">
        <f>AD412+INDEX(Data_Prices!AD:AD,MATCH($G422,Data_Prices!$A:$A,0))*AD$436</f>
        <v>87.798459739410049</v>
      </c>
      <c r="AE422" s="18">
        <f>AE412+INDEX(Data_Prices!AE:AE,MATCH($G422,Data_Prices!$A:$A,0))*AE$436</f>
        <v>93.666009739410043</v>
      </c>
    </row>
    <row r="423" spans="2:31" x14ac:dyDescent="0.45">
      <c r="B423" s="14" t="s">
        <v>67</v>
      </c>
      <c r="C423" s="14" t="str">
        <f t="shared" si="159"/>
        <v>irn</v>
      </c>
      <c r="D423" s="15" t="s">
        <v>68</v>
      </c>
      <c r="E423" s="16" t="s">
        <v>51</v>
      </c>
      <c r="F423" s="14" t="s">
        <v>73</v>
      </c>
      <c r="G423" s="17" t="str">
        <f>Settings!$B$3&amp;".mit.nce."&amp;Settings!$B$4&amp;"."&amp;$B423&amp;".a."&amp;$J$404</f>
        <v>egy.mit.nce.ind.bio.a.2</v>
      </c>
      <c r="H423" s="45" t="str">
        <f>Settings!$B$3&amp;".mit.atp."&amp;$C$404&amp;"."&amp;$B423&amp;".e."&amp;$J$404</f>
        <v>egy.mit.atp.irn.bio.e.2</v>
      </c>
      <c r="K423" s="18">
        <f>K413+INDEX(Data_Prices!K:K,MATCH($G423,Data_Prices!$A:$A,0))*K$436</f>
        <v>15.3345505293169</v>
      </c>
      <c r="L423" s="18">
        <f>L413+INDEX(Data_Prices!L:L,MATCH($G423,Data_Prices!$A:$A,0))*L$436</f>
        <v>14.199528390634899</v>
      </c>
      <c r="M423" s="18">
        <f>M413+INDEX(Data_Prices!M:M,MATCH($G423,Data_Prices!$A:$A,0))*M$436</f>
        <v>13.8404416133152</v>
      </c>
      <c r="N423" s="18">
        <f>N413+INDEX(Data_Prices!N:N,MATCH($G423,Data_Prices!$A:$A,0))*N$436</f>
        <v>13.5677269404465</v>
      </c>
      <c r="O423" s="18">
        <f>O413+INDEX(Data_Prices!O:O,MATCH($G423,Data_Prices!$A:$A,0))*O$436</f>
        <v>13.5677269404465</v>
      </c>
      <c r="P423" s="18">
        <f>P413+INDEX(Data_Prices!P:P,MATCH($G423,Data_Prices!$A:$A,0))*P$436</f>
        <v>13.5677269404465</v>
      </c>
      <c r="Q423" s="18">
        <f>Q413+INDEX(Data_Prices!Q:Q,MATCH($G423,Data_Prices!$A:$A,0))*Q$436</f>
        <v>13.5677269404465</v>
      </c>
      <c r="R423" s="18">
        <f>R413+INDEX(Data_Prices!R:R,MATCH($G423,Data_Prices!$A:$A,0))*R$436</f>
        <v>13.5677269404465</v>
      </c>
      <c r="S423" s="18">
        <f>S413+INDEX(Data_Prices!S:S,MATCH($G423,Data_Prices!$A:$A,0))*S$436</f>
        <v>13.5677269404465</v>
      </c>
      <c r="T423" s="18">
        <f>T413+INDEX(Data_Prices!T:T,MATCH($G423,Data_Prices!$A:$A,0))*T$436</f>
        <v>13.5677269404465</v>
      </c>
      <c r="U423" s="18">
        <f>U413+INDEX(Data_Prices!U:U,MATCH($G423,Data_Prices!$A:$A,0))*U$436</f>
        <v>13.5677269404465</v>
      </c>
      <c r="V423" s="18">
        <f>V413+INDEX(Data_Prices!V:V,MATCH($G423,Data_Prices!$A:$A,0))*V$436</f>
        <v>13.5677269404465</v>
      </c>
      <c r="W423" s="18">
        <f>W413+INDEX(Data_Prices!W:W,MATCH($G423,Data_Prices!$A:$A,0))*W$436</f>
        <v>13.5677269404465</v>
      </c>
      <c r="X423" s="18">
        <f>X413+INDEX(Data_Prices!X:X,MATCH($G423,Data_Prices!$A:$A,0))*X$436</f>
        <v>13.5677269404465</v>
      </c>
      <c r="Y423" s="18">
        <f>Y413+INDEX(Data_Prices!Y:Y,MATCH($G423,Data_Prices!$A:$A,0))*Y$436</f>
        <v>13.5677269404465</v>
      </c>
      <c r="Z423" s="18">
        <f>Z413+INDEX(Data_Prices!Z:Z,MATCH($G423,Data_Prices!$A:$A,0))*Z$436</f>
        <v>13.5677269404465</v>
      </c>
      <c r="AA423" s="18">
        <f>AA413+INDEX(Data_Prices!AA:AA,MATCH($G423,Data_Prices!$A:$A,0))*AA$436</f>
        <v>13.5677269404465</v>
      </c>
      <c r="AB423" s="18">
        <f>AB413+INDEX(Data_Prices!AB:AB,MATCH($G423,Data_Prices!$A:$A,0))*AB$436</f>
        <v>13.5677269404465</v>
      </c>
      <c r="AC423" s="18">
        <f>AC413+INDEX(Data_Prices!AC:AC,MATCH($G423,Data_Prices!$A:$A,0))*AC$436</f>
        <v>13.5677269404465</v>
      </c>
      <c r="AD423" s="18">
        <f>AD413+INDEX(Data_Prices!AD:AD,MATCH($G423,Data_Prices!$A:$A,0))*AD$436</f>
        <v>13.5677269404465</v>
      </c>
      <c r="AE423" s="18">
        <f>AE413+INDEX(Data_Prices!AE:AE,MATCH($G423,Data_Prices!$A:$A,0))*AE$436</f>
        <v>13.5677269404465</v>
      </c>
    </row>
    <row r="424" spans="2:31" x14ac:dyDescent="0.45">
      <c r="B424" s="14" t="s">
        <v>69</v>
      </c>
      <c r="C424" s="14" t="str">
        <f t="shared" si="159"/>
        <v>irn</v>
      </c>
      <c r="D424" s="15" t="s">
        <v>70</v>
      </c>
      <c r="E424" s="16" t="s">
        <v>71</v>
      </c>
      <c r="F424" s="14" t="s">
        <v>73</v>
      </c>
      <c r="G424" s="17" t="str">
        <f>Settings!$B$3&amp;".mit.nce."&amp;Settings!$B$4&amp;"."&amp;$B424&amp;".a."&amp;$J$404</f>
        <v>egy.mit.nce.ind.ren.a.2</v>
      </c>
      <c r="H424" s="45" t="str">
        <f>Settings!$B$3&amp;".mit.atp."&amp;$C$404&amp;"."&amp;$B424&amp;".e."&amp;$J$404</f>
        <v>egy.mit.atp.irn.ren.e.2</v>
      </c>
      <c r="K424" s="18">
        <f>K414+INDEX(Data_Prices!K:K,MATCH($G424,Data_Prices!$A:$A,0))*K$436</f>
        <v>0</v>
      </c>
      <c r="L424" s="18">
        <f>L414+INDEX(Data_Prices!L:L,MATCH($G424,Data_Prices!$A:$A,0))*L$436</f>
        <v>0.14404498679319799</v>
      </c>
      <c r="M424" s="18">
        <f>M414+INDEX(Data_Prices!M:M,MATCH($G424,Data_Prices!$A:$A,0))*M$436</f>
        <v>0.141386241751359</v>
      </c>
      <c r="N424" s="18">
        <f>N414+INDEX(Data_Prices!N:N,MATCH($G424,Data_Prices!$A:$A,0))*N$436</f>
        <v>0.13539756544373099</v>
      </c>
      <c r="O424" s="18">
        <f>O414+INDEX(Data_Prices!O:O,MATCH($G424,Data_Prices!$A:$A,0))*O$436</f>
        <v>0.13152288542065099</v>
      </c>
      <c r="P424" s="18">
        <f>P414+INDEX(Data_Prices!P:P,MATCH($G424,Data_Prices!$A:$A,0))*P$436</f>
        <v>0.12882610848523099</v>
      </c>
      <c r="Q424" s="18">
        <f>Q414+INDEX(Data_Prices!Q:Q,MATCH($G424,Data_Prices!$A:$A,0))*Q$436</f>
        <v>0.12594200976473999</v>
      </c>
      <c r="R424" s="18">
        <f>R414+INDEX(Data_Prices!R:R,MATCH($G424,Data_Prices!$A:$A,0))*R$436</f>
        <v>0.123113265701861</v>
      </c>
      <c r="S424" s="18">
        <f>S414+INDEX(Data_Prices!S:S,MATCH($G424,Data_Prices!$A:$A,0))*S$436</f>
        <v>0.119391738089068</v>
      </c>
      <c r="T424" s="18">
        <f>T414+INDEX(Data_Prices!T:T,MATCH($G424,Data_Prices!$A:$A,0))*T$436</f>
        <v>0.11554419046792</v>
      </c>
      <c r="U424" s="18">
        <f>U414+INDEX(Data_Prices!U:U,MATCH($G424,Data_Prices!$A:$A,0))*U$436</f>
        <v>0.11492423065415899</v>
      </c>
      <c r="V424" s="18">
        <f>V414+INDEX(Data_Prices!V:V,MATCH($G424,Data_Prices!$A:$A,0))*V$436</f>
        <v>0.114346912116736</v>
      </c>
      <c r="W424" s="18">
        <f>W414+INDEX(Data_Prices!W:W,MATCH($G424,Data_Prices!$A:$A,0))*W$436</f>
        <v>0.113738711172664</v>
      </c>
      <c r="X424" s="18">
        <f>X414+INDEX(Data_Prices!X:X,MATCH($G424,Data_Prices!$A:$A,0))*X$436</f>
        <v>0.112999900487521</v>
      </c>
      <c r="Y424" s="18">
        <f>Y414+INDEX(Data_Prices!Y:Y,MATCH($G424,Data_Prices!$A:$A,0))*Y$436</f>
        <v>0.112177685835534</v>
      </c>
      <c r="Z424" s="18">
        <f>Z414+INDEX(Data_Prices!Z:Z,MATCH($G424,Data_Prices!$A:$A,0))*Z$436</f>
        <v>0.111417903250404</v>
      </c>
      <c r="AA424" s="18">
        <f>AA414+INDEX(Data_Prices!AA:AA,MATCH($G424,Data_Prices!$A:$A,0))*AA$436</f>
        <v>0.11052581998545399</v>
      </c>
      <c r="AB424" s="18">
        <f>AB414+INDEX(Data_Prices!AB:AB,MATCH($G424,Data_Prices!$A:$A,0))*AB$436</f>
        <v>0.109699565234896</v>
      </c>
      <c r="AC424" s="18">
        <f>AC414+INDEX(Data_Prices!AC:AC,MATCH($G424,Data_Prices!$A:$A,0))*AC$436</f>
        <v>0.10772678896394899</v>
      </c>
      <c r="AD424" s="18">
        <f>AD414+INDEX(Data_Prices!AD:AD,MATCH($G424,Data_Prices!$A:$A,0))*AD$436</f>
        <v>0.10582092445093499</v>
      </c>
      <c r="AE424" s="18">
        <f>AE414+INDEX(Data_Prices!AE:AE,MATCH($G424,Data_Prices!$A:$A,0))*AE$436</f>
        <v>0.103855595705721</v>
      </c>
    </row>
    <row r="425" spans="2:31" x14ac:dyDescent="0.45">
      <c r="B425" s="13" t="s">
        <v>74</v>
      </c>
    </row>
    <row r="426" spans="2:31" x14ac:dyDescent="0.45">
      <c r="B426" s="14" t="s">
        <v>49</v>
      </c>
      <c r="C426" s="14" t="str">
        <f t="shared" ref="C426:C434" si="160">$C$404</f>
        <v>irn</v>
      </c>
      <c r="D426" s="15" t="s">
        <v>50</v>
      </c>
      <c r="E426" s="16" t="s">
        <v>51</v>
      </c>
      <c r="F426" s="14" t="s">
        <v>75</v>
      </c>
      <c r="G426" s="17" t="str">
        <f>Settings!$B$3&amp;".mit.shp."&amp;$B426&amp;"."&amp;Settings!$B$4&amp;"."&amp;$J$404</f>
        <v>egy.mit.shp.coa.ind.2</v>
      </c>
      <c r="H426" s="45" t="str">
        <f>Settings!$B$3&amp;".mit.shp."&amp;$C$404&amp;"."&amp;$B426&amp;".e."&amp;$J$404</f>
        <v>egy.mit.shp.irn.coa.e.2</v>
      </c>
      <c r="K426" s="19">
        <f>K416+INDEX(Data_Prices!K:K,MATCH($G426,Data_Prices!$A:$A,0))*K$437</f>
        <v>11.182901589243899</v>
      </c>
      <c r="L426" s="19">
        <f>L416+INDEX(Data_Prices!L:L,MATCH($G426,Data_Prices!$A:$A,0))*L$437</f>
        <v>10.5233613454312</v>
      </c>
      <c r="M426" s="19">
        <f>M416+INDEX(Data_Prices!M:M,MATCH($G426,Data_Prices!$A:$A,0))*M$437</f>
        <v>10.2995608274442</v>
      </c>
      <c r="N426" s="19">
        <f>N416+INDEX(Data_Prices!N:N,MATCH($G426,Data_Prices!$A:$A,0))*N$437</f>
        <v>9.5775283595382597</v>
      </c>
      <c r="O426" s="19">
        <f>O416+INDEX(Data_Prices!O:O,MATCH($G426,Data_Prices!$A:$A,0))*O$437</f>
        <v>8.4854782869580507</v>
      </c>
      <c r="P426" s="19">
        <f>P416+INDEX(Data_Prices!P:P,MATCH($G426,Data_Prices!$A:$A,0))*P$437</f>
        <v>9.0871922352498604</v>
      </c>
      <c r="Q426" s="19">
        <f>Q416+INDEX(Data_Prices!Q:Q,MATCH($G426,Data_Prices!$A:$A,0))*Q$437</f>
        <v>10.472923728932679</v>
      </c>
      <c r="R426" s="19">
        <f>R416+INDEX(Data_Prices!R:R,MATCH($G426,Data_Prices!$A:$A,0))*R$437</f>
        <v>11.658564955509689</v>
      </c>
      <c r="S426" s="19">
        <f>S416+INDEX(Data_Prices!S:S,MATCH($G426,Data_Prices!$A:$A,0))*S$437</f>
        <v>12.839547877397379</v>
      </c>
      <c r="T426" s="19">
        <f>T416+INDEX(Data_Prices!T:T,MATCH($G426,Data_Prices!$A:$A,0))*T$437</f>
        <v>14.01568166602283</v>
      </c>
      <c r="U426" s="19">
        <f>U416+INDEX(Data_Prices!U:U,MATCH($G426,Data_Prices!$A:$A,0))*U$437</f>
        <v>15.19439776555711</v>
      </c>
      <c r="V426" s="19">
        <f>V416+INDEX(Data_Prices!V:V,MATCH($G426,Data_Prices!$A:$A,0))*V$437</f>
        <v>16.44439776555711</v>
      </c>
      <c r="W426" s="19">
        <f>W416+INDEX(Data_Prices!W:W,MATCH($G426,Data_Prices!$A:$A,0))*W$437</f>
        <v>17.69439776555711</v>
      </c>
      <c r="X426" s="19">
        <f>X416+INDEX(Data_Prices!X:X,MATCH($G426,Data_Prices!$A:$A,0))*X$437</f>
        <v>18.94439776555711</v>
      </c>
      <c r="Y426" s="19">
        <f>Y416+INDEX(Data_Prices!Y:Y,MATCH($G426,Data_Prices!$A:$A,0))*Y$437</f>
        <v>20.19439776555711</v>
      </c>
      <c r="Z426" s="19">
        <f>Z416+INDEX(Data_Prices!Z:Z,MATCH($G426,Data_Prices!$A:$A,0))*Z$437</f>
        <v>21.44439776555711</v>
      </c>
      <c r="AA426" s="19">
        <f>AA416+INDEX(Data_Prices!AA:AA,MATCH($G426,Data_Prices!$A:$A,0))*AA$437</f>
        <v>22.69439776555711</v>
      </c>
      <c r="AB426" s="19">
        <f>AB416+INDEX(Data_Prices!AB:AB,MATCH($G426,Data_Prices!$A:$A,0))*AB$437</f>
        <v>23.94439776555711</v>
      </c>
      <c r="AC426" s="19">
        <f>AC416+INDEX(Data_Prices!AC:AC,MATCH($G426,Data_Prices!$A:$A,0))*AC$437</f>
        <v>25.19439776555711</v>
      </c>
      <c r="AD426" s="19">
        <f>AD416+INDEX(Data_Prices!AD:AD,MATCH($G426,Data_Prices!$A:$A,0))*AD$437</f>
        <v>26.44439776555711</v>
      </c>
      <c r="AE426" s="19">
        <f>AE416+INDEX(Data_Prices!AE:AE,MATCH($G426,Data_Prices!$A:$A,0))*AE$437</f>
        <v>27.69439776555711</v>
      </c>
    </row>
    <row r="427" spans="2:31" x14ac:dyDescent="0.45">
      <c r="B427" s="14" t="s">
        <v>53</v>
      </c>
      <c r="C427" s="14" t="str">
        <f t="shared" si="160"/>
        <v>irn</v>
      </c>
      <c r="D427" s="15" t="s">
        <v>54</v>
      </c>
      <c r="E427" s="16" t="s">
        <v>51</v>
      </c>
      <c r="F427" s="14" t="s">
        <v>75</v>
      </c>
      <c r="G427" s="17" t="str">
        <f>Settings!$B$3&amp;".mit.shp."&amp;$B427&amp;"."&amp;Settings!$B$4&amp;"."&amp;$J$404</f>
        <v>egy.mit.shp.nga.ind.2</v>
      </c>
      <c r="H427" s="45" t="str">
        <f>Settings!$B$3&amp;".mit.shp."&amp;$C$404&amp;"."&amp;$B427&amp;".e."&amp;$J$404</f>
        <v>egy.mit.shp.irn.nga.e.2</v>
      </c>
      <c r="K427" s="19">
        <f>K417+INDEX(Data_Prices!K:K,MATCH($G427,Data_Prices!$A:$A,0))*K$437</f>
        <v>6.0634636156729096</v>
      </c>
      <c r="L427" s="19">
        <f>L417+INDEX(Data_Prices!L:L,MATCH($G427,Data_Prices!$A:$A,0))*L$437</f>
        <v>5.4510150816191896</v>
      </c>
      <c r="M427" s="19">
        <f>M417+INDEX(Data_Prices!M:M,MATCH($G427,Data_Prices!$A:$A,0))*M$437</f>
        <v>5.1193563062624801</v>
      </c>
      <c r="N427" s="19">
        <f>N417+INDEX(Data_Prices!N:N,MATCH($G427,Data_Prices!$A:$A,0))*N$437</f>
        <v>5.08218458640407</v>
      </c>
      <c r="O427" s="19">
        <f>O417+INDEX(Data_Prices!O:O,MATCH($G427,Data_Prices!$A:$A,0))*O$437</f>
        <v>5.08218458640407</v>
      </c>
      <c r="P427" s="19">
        <f>P417+INDEX(Data_Prices!P:P,MATCH($G427,Data_Prices!$A:$A,0))*P$437</f>
        <v>5.08218458640407</v>
      </c>
      <c r="Q427" s="19">
        <f>Q417+INDEX(Data_Prices!Q:Q,MATCH($G427,Data_Prices!$A:$A,0))*Q$437</f>
        <v>5.7796845864040698</v>
      </c>
      <c r="R427" s="19">
        <f>R417+INDEX(Data_Prices!R:R,MATCH($G427,Data_Prices!$A:$A,0))*R$437</f>
        <v>6.4771845864040696</v>
      </c>
      <c r="S427" s="19">
        <f>S417+INDEX(Data_Prices!S:S,MATCH($G427,Data_Prices!$A:$A,0))*S$437</f>
        <v>7.1746845864040703</v>
      </c>
      <c r="T427" s="19">
        <f>T417+INDEX(Data_Prices!T:T,MATCH($G427,Data_Prices!$A:$A,0))*T$437</f>
        <v>7.87218458640407</v>
      </c>
      <c r="U427" s="19">
        <f>U417+INDEX(Data_Prices!U:U,MATCH($G427,Data_Prices!$A:$A,0))*U$437</f>
        <v>8.5696845864040707</v>
      </c>
      <c r="V427" s="19">
        <f>V417+INDEX(Data_Prices!V:V,MATCH($G427,Data_Prices!$A:$A,0))*V$437</f>
        <v>9.2671845864040705</v>
      </c>
      <c r="W427" s="19">
        <f>W417+INDEX(Data_Prices!W:W,MATCH($G427,Data_Prices!$A:$A,0))*W$437</f>
        <v>9.9646845864040703</v>
      </c>
      <c r="X427" s="19">
        <f>X417+INDEX(Data_Prices!X:X,MATCH($G427,Data_Prices!$A:$A,0))*X$437</f>
        <v>10.66218458640407</v>
      </c>
      <c r="Y427" s="19">
        <f>Y417+INDEX(Data_Prices!Y:Y,MATCH($G427,Data_Prices!$A:$A,0))*Y$437</f>
        <v>11.35968458640407</v>
      </c>
      <c r="Z427" s="19">
        <f>Z417+INDEX(Data_Prices!Z:Z,MATCH($G427,Data_Prices!$A:$A,0))*Z$437</f>
        <v>12.05718458640407</v>
      </c>
      <c r="AA427" s="19">
        <f>AA417+INDEX(Data_Prices!AA:AA,MATCH($G427,Data_Prices!$A:$A,0))*AA$437</f>
        <v>12.754684586404071</v>
      </c>
      <c r="AB427" s="19">
        <f>AB417+INDEX(Data_Prices!AB:AB,MATCH($G427,Data_Prices!$A:$A,0))*AB$437</f>
        <v>13.452184586404071</v>
      </c>
      <c r="AC427" s="19">
        <f>AC417+INDEX(Data_Prices!AC:AC,MATCH($G427,Data_Prices!$A:$A,0))*AC$437</f>
        <v>14.149684586404071</v>
      </c>
      <c r="AD427" s="19">
        <f>AD417+INDEX(Data_Prices!AD:AD,MATCH($G427,Data_Prices!$A:$A,0))*AD$437</f>
        <v>14.847184586404071</v>
      </c>
      <c r="AE427" s="19">
        <f>AE417+INDEX(Data_Prices!AE:AE,MATCH($G427,Data_Prices!$A:$A,0))*AE$437</f>
        <v>15.54468458640407</v>
      </c>
    </row>
    <row r="428" spans="2:31" x14ac:dyDescent="0.45">
      <c r="B428" s="14" t="s">
        <v>55</v>
      </c>
      <c r="C428" s="14" t="str">
        <f t="shared" si="160"/>
        <v>irn</v>
      </c>
      <c r="D428" s="15" t="s">
        <v>56</v>
      </c>
      <c r="E428" s="16" t="s">
        <v>57</v>
      </c>
      <c r="F428" s="14" t="s">
        <v>75</v>
      </c>
      <c r="G428" s="17" t="str">
        <f>Settings!$B$3&amp;".mit.shp."&amp;$B428&amp;"."&amp;Settings!$B$4&amp;"."&amp;$J$404</f>
        <v>egy.mit.shp.gso.ind.2</v>
      </c>
      <c r="H428" s="45" t="str">
        <f>Settings!$B$3&amp;".mit.shp."&amp;$C$404&amp;"."&amp;$B428&amp;".e."&amp;$J$404</f>
        <v>egy.mit.shp.irn.gso.e.2</v>
      </c>
      <c r="K428" s="19">
        <f>K418+INDEX(Data_Prices!K:K,MATCH($G428,Data_Prices!$A:$A,0))*K$437</f>
        <v>0.67114653332181595</v>
      </c>
      <c r="L428" s="19">
        <f>L418+INDEX(Data_Prices!L:L,MATCH($G428,Data_Prices!$A:$A,0))*L$437</f>
        <v>0.61197797679140598</v>
      </c>
      <c r="M428" s="19">
        <f>M418+INDEX(Data_Prices!M:M,MATCH($G428,Data_Prices!$A:$A,0))*M$437</f>
        <v>0.61180974964187596</v>
      </c>
      <c r="N428" s="19">
        <f>N418+INDEX(Data_Prices!N:N,MATCH($G428,Data_Prices!$A:$A,0))*N$437</f>
        <v>0.60358310017790595</v>
      </c>
      <c r="O428" s="19">
        <f>O418+INDEX(Data_Prices!O:O,MATCH($G428,Data_Prices!$A:$A,0))*O$437</f>
        <v>0.60358310017790595</v>
      </c>
      <c r="P428" s="19">
        <f>P418+INDEX(Data_Prices!P:P,MATCH($G428,Data_Prices!$A:$A,0))*P$437</f>
        <v>0.60358310017790595</v>
      </c>
      <c r="Q428" s="19">
        <f>Q418+INDEX(Data_Prices!Q:Q,MATCH($G428,Data_Prices!$A:$A,0))*Q$437</f>
        <v>0.63251094334940594</v>
      </c>
      <c r="R428" s="19">
        <f>R418+INDEX(Data_Prices!R:R,MATCH($G428,Data_Prices!$A:$A,0))*R$437</f>
        <v>0.66143878652090593</v>
      </c>
      <c r="S428" s="19">
        <f>S418+INDEX(Data_Prices!S:S,MATCH($G428,Data_Prices!$A:$A,0))*S$437</f>
        <v>0.69036662969240592</v>
      </c>
      <c r="T428" s="19">
        <f>T418+INDEX(Data_Prices!T:T,MATCH($G428,Data_Prices!$A:$A,0))*T$437</f>
        <v>0.71929447286390591</v>
      </c>
      <c r="U428" s="19">
        <f>U418+INDEX(Data_Prices!U:U,MATCH($G428,Data_Prices!$A:$A,0))*U$437</f>
        <v>0.74822231603540601</v>
      </c>
      <c r="V428" s="19">
        <f>V418+INDEX(Data_Prices!V:V,MATCH($G428,Data_Prices!$A:$A,0))*V$437</f>
        <v>0.777150159206906</v>
      </c>
      <c r="W428" s="19">
        <f>W418+INDEX(Data_Prices!W:W,MATCH($G428,Data_Prices!$A:$A,0))*W$437</f>
        <v>0.80607800237840599</v>
      </c>
      <c r="X428" s="19">
        <f>X418+INDEX(Data_Prices!X:X,MATCH($G428,Data_Prices!$A:$A,0))*X$437</f>
        <v>0.83500584554990598</v>
      </c>
      <c r="Y428" s="19">
        <f>Y418+INDEX(Data_Prices!Y:Y,MATCH($G428,Data_Prices!$A:$A,0))*Y$437</f>
        <v>0.86393368872140597</v>
      </c>
      <c r="Z428" s="19">
        <f>Z418+INDEX(Data_Prices!Z:Z,MATCH($G428,Data_Prices!$A:$A,0))*Z$437</f>
        <v>0.89286153189290596</v>
      </c>
      <c r="AA428" s="19">
        <f>AA418+INDEX(Data_Prices!AA:AA,MATCH($G428,Data_Prices!$A:$A,0))*AA$437</f>
        <v>0.92178937506440595</v>
      </c>
      <c r="AB428" s="19">
        <f>AB418+INDEX(Data_Prices!AB:AB,MATCH($G428,Data_Prices!$A:$A,0))*AB$437</f>
        <v>0.95071721823590605</v>
      </c>
      <c r="AC428" s="19">
        <f>AC418+INDEX(Data_Prices!AC:AC,MATCH($G428,Data_Prices!$A:$A,0))*AC$437</f>
        <v>0.97964506140740593</v>
      </c>
      <c r="AD428" s="19">
        <f>AD418+INDEX(Data_Prices!AD:AD,MATCH($G428,Data_Prices!$A:$A,0))*AD$437</f>
        <v>1.008572904578906</v>
      </c>
      <c r="AE428" s="19">
        <f>AE418+INDEX(Data_Prices!AE:AE,MATCH($G428,Data_Prices!$A:$A,0))*AE$437</f>
        <v>1.0375007477504061</v>
      </c>
    </row>
    <row r="429" spans="2:31" x14ac:dyDescent="0.45">
      <c r="B429" s="14" t="s">
        <v>58</v>
      </c>
      <c r="C429" s="14" t="str">
        <f t="shared" si="160"/>
        <v>irn</v>
      </c>
      <c r="D429" s="15" t="s">
        <v>59</v>
      </c>
      <c r="E429" s="16" t="s">
        <v>57</v>
      </c>
      <c r="F429" s="14" t="s">
        <v>75</v>
      </c>
      <c r="G429" s="17" t="str">
        <f>Settings!$B$3&amp;".mit.shp."&amp;$B429&amp;"."&amp;Settings!$B$4&amp;"."&amp;$J$404</f>
        <v>egy.mit.shp.die.ind.2</v>
      </c>
      <c r="H429" s="45" t="str">
        <f>Settings!$B$3&amp;".mit.shp."&amp;$C$404&amp;"."&amp;$B429&amp;".e."&amp;$J$404</f>
        <v>egy.mit.shp.irn.die.e.2</v>
      </c>
      <c r="K429" s="19">
        <f>K419+INDEX(Data_Prices!K:K,MATCH($G429,Data_Prices!$A:$A,0))*K$437</f>
        <v>0.55971121315568795</v>
      </c>
      <c r="L429" s="19">
        <f>L419+INDEX(Data_Prices!L:L,MATCH($G429,Data_Prices!$A:$A,0))*L$437</f>
        <v>0.49458873084106802</v>
      </c>
      <c r="M429" s="19">
        <f>M419+INDEX(Data_Prices!M:M,MATCH($G429,Data_Prices!$A:$A,0))*M$437</f>
        <v>0.50778654720250105</v>
      </c>
      <c r="N429" s="19">
        <f>N419+INDEX(Data_Prices!N:N,MATCH($G429,Data_Prices!$A:$A,0))*N$437</f>
        <v>0.47043642679561698</v>
      </c>
      <c r="O429" s="19">
        <f>O419+INDEX(Data_Prices!O:O,MATCH($G429,Data_Prices!$A:$A,0))*O$437</f>
        <v>0.47043642679561698</v>
      </c>
      <c r="P429" s="19">
        <f>P419+INDEX(Data_Prices!P:P,MATCH($G429,Data_Prices!$A:$A,0))*P$437</f>
        <v>0.47043642679561698</v>
      </c>
      <c r="Q429" s="19">
        <f>Q419+INDEX(Data_Prices!Q:Q,MATCH($G429,Data_Prices!$A:$A,0))*Q$437</f>
        <v>0.50344686565449193</v>
      </c>
      <c r="R429" s="19">
        <f>R419+INDEX(Data_Prices!R:R,MATCH($G429,Data_Prices!$A:$A,0))*R$437</f>
        <v>0.53645730451336693</v>
      </c>
      <c r="S429" s="19">
        <f>S419+INDEX(Data_Prices!S:S,MATCH($G429,Data_Prices!$A:$A,0))*S$437</f>
        <v>0.56946774337224193</v>
      </c>
      <c r="T429" s="19">
        <f>T419+INDEX(Data_Prices!T:T,MATCH($G429,Data_Prices!$A:$A,0))*T$437</f>
        <v>0.60247818223111693</v>
      </c>
      <c r="U429" s="19">
        <f>U419+INDEX(Data_Prices!U:U,MATCH($G429,Data_Prices!$A:$A,0))*U$437</f>
        <v>0.63548862108999193</v>
      </c>
      <c r="V429" s="19">
        <f>V419+INDEX(Data_Prices!V:V,MATCH($G429,Data_Prices!$A:$A,0))*V$437</f>
        <v>0.66849905994886694</v>
      </c>
      <c r="W429" s="19">
        <f>W419+INDEX(Data_Prices!W:W,MATCH($G429,Data_Prices!$A:$A,0))*W$437</f>
        <v>0.70150949880774194</v>
      </c>
      <c r="X429" s="19">
        <f>X419+INDEX(Data_Prices!X:X,MATCH($G429,Data_Prices!$A:$A,0))*X$437</f>
        <v>0.73451993766661694</v>
      </c>
      <c r="Y429" s="19">
        <f>Y419+INDEX(Data_Prices!Y:Y,MATCH($G429,Data_Prices!$A:$A,0))*Y$437</f>
        <v>0.76753037652549194</v>
      </c>
      <c r="Z429" s="19">
        <f>Z419+INDEX(Data_Prices!Z:Z,MATCH($G429,Data_Prices!$A:$A,0))*Z$437</f>
        <v>0.80054081538436694</v>
      </c>
      <c r="AA429" s="19">
        <f>AA419+INDEX(Data_Prices!AA:AA,MATCH($G429,Data_Prices!$A:$A,0))*AA$437</f>
        <v>0.83355125424324195</v>
      </c>
      <c r="AB429" s="19">
        <f>AB419+INDEX(Data_Prices!AB:AB,MATCH($G429,Data_Prices!$A:$A,0))*AB$437</f>
        <v>0.86656169310211695</v>
      </c>
      <c r="AC429" s="19">
        <f>AC419+INDEX(Data_Prices!AC:AC,MATCH($G429,Data_Prices!$A:$A,0))*AC$437</f>
        <v>0.89957213196099195</v>
      </c>
      <c r="AD429" s="19">
        <f>AD419+INDEX(Data_Prices!AD:AD,MATCH($G429,Data_Prices!$A:$A,0))*AD$437</f>
        <v>0.93258257081986695</v>
      </c>
      <c r="AE429" s="19">
        <f>AE419+INDEX(Data_Prices!AE:AE,MATCH($G429,Data_Prices!$A:$A,0))*AE$437</f>
        <v>0.96559300967874195</v>
      </c>
    </row>
    <row r="430" spans="2:31" x14ac:dyDescent="0.45">
      <c r="B430" s="14" t="s">
        <v>60</v>
      </c>
      <c r="C430" s="14" t="str">
        <f t="shared" si="160"/>
        <v>irn</v>
      </c>
      <c r="D430" s="15" t="s">
        <v>61</v>
      </c>
      <c r="E430" s="16" t="s">
        <v>57</v>
      </c>
      <c r="F430" s="14" t="s">
        <v>75</v>
      </c>
      <c r="G430" s="17" t="str">
        <f>Settings!$B$3&amp;".mit.shp."&amp;$B430&amp;"."&amp;Settings!$B$4&amp;"."&amp;$J$404</f>
        <v>egy.mit.shp.lpg.ind.2</v>
      </c>
      <c r="H430" s="45" t="str">
        <f>Settings!$B$3&amp;".mit.shp."&amp;$C$404&amp;"."&amp;$B430&amp;".e."&amp;$J$404</f>
        <v>egy.mit.shp.irn.lpg.e.2</v>
      </c>
      <c r="K430" s="19">
        <f>K420+INDEX(Data_Prices!K:K,MATCH($G430,Data_Prices!$A:$A,0))*K$437</f>
        <v>0.20036669112673799</v>
      </c>
      <c r="L430" s="19">
        <f>L420+INDEX(Data_Prices!L:L,MATCH($G430,Data_Prices!$A:$A,0))*L$437</f>
        <v>0.15734473625227399</v>
      </c>
      <c r="M430" s="19">
        <f>M420+INDEX(Data_Prices!M:M,MATCH($G430,Data_Prices!$A:$A,0))*M$437</f>
        <v>0.164484037759277</v>
      </c>
      <c r="N430" s="19">
        <f>N420+INDEX(Data_Prices!N:N,MATCH($G430,Data_Prices!$A:$A,0))*N$437</f>
        <v>0.15070907780704901</v>
      </c>
      <c r="O430" s="19">
        <f>O420+INDEX(Data_Prices!O:O,MATCH($G430,Data_Prices!$A:$A,0))*O$437</f>
        <v>0.15070907780704901</v>
      </c>
      <c r="P430" s="19">
        <f>P420+INDEX(Data_Prices!P:P,MATCH($G430,Data_Prices!$A:$A,0))*P$437</f>
        <v>0.15070907780704901</v>
      </c>
      <c r="Q430" s="19">
        <f>Q420+INDEX(Data_Prices!Q:Q,MATCH($G430,Data_Prices!$A:$A,0))*Q$437</f>
        <v>0.17281516073434466</v>
      </c>
      <c r="R430" s="19">
        <f>R420+INDEX(Data_Prices!R:R,MATCH($G430,Data_Prices!$A:$A,0))*R$437</f>
        <v>0.19492124366164035</v>
      </c>
      <c r="S430" s="19">
        <f>S420+INDEX(Data_Prices!S:S,MATCH($G430,Data_Prices!$A:$A,0))*S$437</f>
        <v>0.217027326588936</v>
      </c>
      <c r="T430" s="19">
        <f>T420+INDEX(Data_Prices!T:T,MATCH($G430,Data_Prices!$A:$A,0))*T$437</f>
        <v>0.23913340951623169</v>
      </c>
      <c r="U430" s="19">
        <f>U420+INDEX(Data_Prices!U:U,MATCH($G430,Data_Prices!$A:$A,0))*U$437</f>
        <v>0.26123949244352734</v>
      </c>
      <c r="V430" s="19">
        <f>V420+INDEX(Data_Prices!V:V,MATCH($G430,Data_Prices!$A:$A,0))*V$437</f>
        <v>0.283345575370823</v>
      </c>
      <c r="W430" s="19">
        <f>W420+INDEX(Data_Prices!W:W,MATCH($G430,Data_Prices!$A:$A,0))*W$437</f>
        <v>0.30545165829811871</v>
      </c>
      <c r="X430" s="19">
        <f>X420+INDEX(Data_Prices!X:X,MATCH($G430,Data_Prices!$A:$A,0))*X$437</f>
        <v>0.32755774122541437</v>
      </c>
      <c r="Y430" s="19">
        <f>Y420+INDEX(Data_Prices!Y:Y,MATCH($G430,Data_Prices!$A:$A,0))*Y$437</f>
        <v>0.34966382415271002</v>
      </c>
      <c r="Z430" s="19">
        <f>Z420+INDEX(Data_Prices!Z:Z,MATCH($G430,Data_Prices!$A:$A,0))*Z$437</f>
        <v>0.37176990708000568</v>
      </c>
      <c r="AA430" s="19">
        <f>AA420+INDEX(Data_Prices!AA:AA,MATCH($G430,Data_Prices!$A:$A,0))*AA$437</f>
        <v>0.39387599000730134</v>
      </c>
      <c r="AB430" s="19">
        <f>AB420+INDEX(Data_Prices!AB:AB,MATCH($G430,Data_Prices!$A:$A,0))*AB$437</f>
        <v>0.41598207293459699</v>
      </c>
      <c r="AC430" s="19">
        <f>AC420+INDEX(Data_Prices!AC:AC,MATCH($G430,Data_Prices!$A:$A,0))*AC$437</f>
        <v>0.4380881558618927</v>
      </c>
      <c r="AD430" s="19">
        <f>AD420+INDEX(Data_Prices!AD:AD,MATCH($G430,Data_Prices!$A:$A,0))*AD$437</f>
        <v>0.46019423878918836</v>
      </c>
      <c r="AE430" s="19">
        <f>AE420+INDEX(Data_Prices!AE:AE,MATCH($G430,Data_Prices!$A:$A,0))*AE$437</f>
        <v>0.48230032171648402</v>
      </c>
    </row>
    <row r="431" spans="2:31" x14ac:dyDescent="0.45">
      <c r="B431" s="14" t="s">
        <v>62</v>
      </c>
      <c r="C431" s="14" t="str">
        <f t="shared" si="160"/>
        <v>irn</v>
      </c>
      <c r="D431" s="15" t="s">
        <v>63</v>
      </c>
      <c r="E431" s="16" t="s">
        <v>57</v>
      </c>
      <c r="F431" s="14" t="s">
        <v>75</v>
      </c>
      <c r="G431" s="17" t="str">
        <f>Settings!$B$3&amp;".mit.shp."&amp;$B431&amp;"."&amp;Settings!$B$4&amp;"."&amp;$J$404</f>
        <v>egy.mit.shp.ker.ind.2</v>
      </c>
      <c r="H431" s="45" t="str">
        <f>Settings!$B$3&amp;".mit.shp."&amp;$C$404&amp;"."&amp;$B431&amp;".e."&amp;$J$404</f>
        <v>egy.mit.shp.irn.ker.e.2</v>
      </c>
      <c r="K431" s="19">
        <f>K421+INDEX(Data_Prices!K:K,MATCH($G431,Data_Prices!$A:$A,0))*K$437</f>
        <v>0.48429424097343499</v>
      </c>
      <c r="L431" s="19">
        <f>L421+INDEX(Data_Prices!L:L,MATCH($G431,Data_Prices!$A:$A,0))*L$437</f>
        <v>0.45642817050012802</v>
      </c>
      <c r="M431" s="19">
        <f>M421+INDEX(Data_Prices!M:M,MATCH($G431,Data_Prices!$A:$A,0))*M$437</f>
        <v>0.43168920195599497</v>
      </c>
      <c r="N431" s="19">
        <f>N421+INDEX(Data_Prices!N:N,MATCH($G431,Data_Prices!$A:$A,0))*N$437</f>
        <v>0.42507558395597</v>
      </c>
      <c r="O431" s="19">
        <f>O421+INDEX(Data_Prices!O:O,MATCH($G431,Data_Prices!$A:$A,0))*O$437</f>
        <v>0.42507558395597</v>
      </c>
      <c r="P431" s="19">
        <f>P421+INDEX(Data_Prices!P:P,MATCH($G431,Data_Prices!$A:$A,0))*P$437</f>
        <v>0.42507558395597</v>
      </c>
      <c r="Q431" s="19">
        <f>Q421+INDEX(Data_Prices!Q:Q,MATCH($G431,Data_Prices!$A:$A,0))*Q$437</f>
        <v>0.45706441406607845</v>
      </c>
      <c r="R431" s="19">
        <f>R421+INDEX(Data_Prices!R:R,MATCH($G431,Data_Prices!$A:$A,0))*R$437</f>
        <v>0.48905324417618695</v>
      </c>
      <c r="S431" s="19">
        <f>S421+INDEX(Data_Prices!S:S,MATCH($G431,Data_Prices!$A:$A,0))*S$437</f>
        <v>0.52104207428629534</v>
      </c>
      <c r="T431" s="19">
        <f>T421+INDEX(Data_Prices!T:T,MATCH($G431,Data_Prices!$A:$A,0))*T$437</f>
        <v>0.5530309043964039</v>
      </c>
      <c r="U431" s="19">
        <f>U421+INDEX(Data_Prices!U:U,MATCH($G431,Data_Prices!$A:$A,0))*U$437</f>
        <v>0.58501973450651235</v>
      </c>
      <c r="V431" s="19">
        <f>V421+INDEX(Data_Prices!V:V,MATCH($G431,Data_Prices!$A:$A,0))*V$437</f>
        <v>0.61700856461662079</v>
      </c>
      <c r="W431" s="19">
        <f>W421+INDEX(Data_Prices!W:W,MATCH($G431,Data_Prices!$A:$A,0))*W$437</f>
        <v>0.64899739472672924</v>
      </c>
      <c r="X431" s="19">
        <f>X421+INDEX(Data_Prices!X:X,MATCH($G431,Data_Prices!$A:$A,0))*X$437</f>
        <v>0.68098622483683768</v>
      </c>
      <c r="Y431" s="19">
        <f>Y421+INDEX(Data_Prices!Y:Y,MATCH($G431,Data_Prices!$A:$A,0))*Y$437</f>
        <v>0.71297505494694624</v>
      </c>
      <c r="Z431" s="19">
        <f>Z421+INDEX(Data_Prices!Z:Z,MATCH($G431,Data_Prices!$A:$A,0))*Z$437</f>
        <v>0.74496388505705469</v>
      </c>
      <c r="AA431" s="19">
        <f>AA421+INDEX(Data_Prices!AA:AA,MATCH($G431,Data_Prices!$A:$A,0))*AA$437</f>
        <v>0.77695271516716313</v>
      </c>
      <c r="AB431" s="19">
        <f>AB421+INDEX(Data_Prices!AB:AB,MATCH($G431,Data_Prices!$A:$A,0))*AB$437</f>
        <v>0.80894154527727158</v>
      </c>
      <c r="AC431" s="19">
        <f>AC421+INDEX(Data_Prices!AC:AC,MATCH($G431,Data_Prices!$A:$A,0))*AC$437</f>
        <v>0.84093037538738002</v>
      </c>
      <c r="AD431" s="19">
        <f>AD421+INDEX(Data_Prices!AD:AD,MATCH($G431,Data_Prices!$A:$A,0))*AD$437</f>
        <v>0.87291920549748858</v>
      </c>
      <c r="AE431" s="19">
        <f>AE421+INDEX(Data_Prices!AE:AE,MATCH($G431,Data_Prices!$A:$A,0))*AE$437</f>
        <v>0.90490803560759692</v>
      </c>
    </row>
    <row r="432" spans="2:31" x14ac:dyDescent="0.45">
      <c r="B432" s="14" t="s">
        <v>64</v>
      </c>
      <c r="C432" s="14" t="str">
        <f t="shared" si="160"/>
        <v>irn</v>
      </c>
      <c r="D432" s="15" t="s">
        <v>65</v>
      </c>
      <c r="E432" s="16" t="s">
        <v>66</v>
      </c>
      <c r="F432" s="14" t="s">
        <v>75</v>
      </c>
      <c r="G432" s="17" t="str">
        <f>Settings!$B$3&amp;".mit.shp."&amp;$B432&amp;"."&amp;Settings!$B$4&amp;"."&amp;$J$404</f>
        <v>egy.mit.shp.oop.ind.2</v>
      </c>
      <c r="H432" s="45" t="str">
        <f>Settings!$B$3&amp;".mit.shp."&amp;$C$404&amp;"."&amp;$B432&amp;".e."&amp;$J$404</f>
        <v>egy.mit.shp.irn.oop.e.2</v>
      </c>
      <c r="K432" s="19">
        <f>K422+INDEX(Data_Prices!K:K,MATCH($G432,Data_Prices!$A:$A,0))*K$437</f>
        <v>41.500338498868402</v>
      </c>
      <c r="L432" s="19">
        <f>L422+INDEX(Data_Prices!L:L,MATCH($G432,Data_Prices!$A:$A,0))*L$437</f>
        <v>34.4153703043132</v>
      </c>
      <c r="M432" s="19">
        <f>M422+INDEX(Data_Prices!M:M,MATCH($G432,Data_Prices!$A:$A,0))*M$437</f>
        <v>37.368960690431997</v>
      </c>
      <c r="N432" s="19">
        <f>N422+INDEX(Data_Prices!N:N,MATCH($G432,Data_Prices!$A:$A,0))*N$437</f>
        <v>28.982761101477301</v>
      </c>
      <c r="O432" s="19">
        <f>O422+INDEX(Data_Prices!O:O,MATCH($G432,Data_Prices!$A:$A,0))*O$437</f>
        <v>15</v>
      </c>
      <c r="P432" s="19">
        <f>P422+INDEX(Data_Prices!P:P,MATCH($G432,Data_Prices!$A:$A,0))*P$437</f>
        <v>24.2586300842555</v>
      </c>
      <c r="Q432" s="19">
        <f>Q422+INDEX(Data_Prices!Q:Q,MATCH($G432,Data_Prices!$A:$A,0))*Q$437</f>
        <v>18.963758196132499</v>
      </c>
      <c r="R432" s="19">
        <f>R422+INDEX(Data_Prices!R:R,MATCH($G432,Data_Prices!$A:$A,0))*R$437</f>
        <v>21.760345114010597</v>
      </c>
      <c r="S432" s="19">
        <f>S422+INDEX(Data_Prices!S:S,MATCH($G432,Data_Prices!$A:$A,0))*S$437</f>
        <v>26.079880691373621</v>
      </c>
      <c r="T432" s="19">
        <f>T422+INDEX(Data_Prices!T:T,MATCH($G432,Data_Prices!$A:$A,0))*T$437</f>
        <v>30.593682445209218</v>
      </c>
      <c r="U432" s="19">
        <f>U422+INDEX(Data_Prices!U:U,MATCH($G432,Data_Prices!$A:$A,0))*U$437</f>
        <v>34.990509739410058</v>
      </c>
      <c r="V432" s="19">
        <f>V422+INDEX(Data_Prices!V:V,MATCH($G432,Data_Prices!$A:$A,0))*V$437</f>
        <v>40.858059739410059</v>
      </c>
      <c r="W432" s="19">
        <f>W422+INDEX(Data_Prices!W:W,MATCH($G432,Data_Prices!$A:$A,0))*W$437</f>
        <v>46.725609739410054</v>
      </c>
      <c r="X432" s="19">
        <f>X422+INDEX(Data_Prices!X:X,MATCH($G432,Data_Prices!$A:$A,0))*X$437</f>
        <v>52.593159739410055</v>
      </c>
      <c r="Y432" s="19">
        <f>Y422+INDEX(Data_Prices!Y:Y,MATCH($G432,Data_Prices!$A:$A,0))*Y$437</f>
        <v>58.460709739410056</v>
      </c>
      <c r="Z432" s="19">
        <f>Z422+INDEX(Data_Prices!Z:Z,MATCH($G432,Data_Prices!$A:$A,0))*Z$437</f>
        <v>64.328259739410072</v>
      </c>
      <c r="AA432" s="19">
        <f>AA422+INDEX(Data_Prices!AA:AA,MATCH($G432,Data_Prices!$A:$A,0))*AA$437</f>
        <v>70.195809739410052</v>
      </c>
      <c r="AB432" s="19">
        <f>AB422+INDEX(Data_Prices!AB:AB,MATCH($G432,Data_Prices!$A:$A,0))*AB$437</f>
        <v>76.06335973941006</v>
      </c>
      <c r="AC432" s="19">
        <f>AC422+INDEX(Data_Prices!AC:AC,MATCH($G432,Data_Prices!$A:$A,0))*AC$437</f>
        <v>81.930909739410041</v>
      </c>
      <c r="AD432" s="19">
        <f>AD422+INDEX(Data_Prices!AD:AD,MATCH($G432,Data_Prices!$A:$A,0))*AD$437</f>
        <v>87.798459739410049</v>
      </c>
      <c r="AE432" s="19">
        <f>AE422+INDEX(Data_Prices!AE:AE,MATCH($G432,Data_Prices!$A:$A,0))*AE$437</f>
        <v>93.666009739410043</v>
      </c>
    </row>
    <row r="433" spans="2:31" x14ac:dyDescent="0.45">
      <c r="B433" s="14" t="s">
        <v>67</v>
      </c>
      <c r="C433" s="14" t="str">
        <f t="shared" si="160"/>
        <v>irn</v>
      </c>
      <c r="D433" s="15" t="s">
        <v>68</v>
      </c>
      <c r="E433" s="16" t="s">
        <v>51</v>
      </c>
      <c r="F433" s="14" t="s">
        <v>75</v>
      </c>
      <c r="G433" s="17" t="str">
        <f>Settings!$B$3&amp;".mit.shp."&amp;$B433&amp;"."&amp;Settings!$B$4&amp;"."&amp;$J$404</f>
        <v>egy.mit.shp.bio.ind.2</v>
      </c>
      <c r="H433" s="45" t="str">
        <f>Settings!$B$3&amp;".mit.shp."&amp;$C$404&amp;"."&amp;$B433&amp;".e."&amp;$J$404</f>
        <v>egy.mit.shp.irn.bio.e.2</v>
      </c>
      <c r="K433" s="19">
        <f>K423+INDEX(Data_Prices!K:K,MATCH($G433,Data_Prices!$A:$A,0))*K$437</f>
        <v>15.3345505293169</v>
      </c>
      <c r="L433" s="19">
        <f>L423+INDEX(Data_Prices!L:L,MATCH($G433,Data_Prices!$A:$A,0))*L$437</f>
        <v>14.199528390634899</v>
      </c>
      <c r="M433" s="19">
        <f>M423+INDEX(Data_Prices!M:M,MATCH($G433,Data_Prices!$A:$A,0))*M$437</f>
        <v>13.8404416133152</v>
      </c>
      <c r="N433" s="19">
        <f>N423+INDEX(Data_Prices!N:N,MATCH($G433,Data_Prices!$A:$A,0))*N$437</f>
        <v>13.5677269404465</v>
      </c>
      <c r="O433" s="19">
        <f>O423+INDEX(Data_Prices!O:O,MATCH($G433,Data_Prices!$A:$A,0))*O$437</f>
        <v>13.5677269404465</v>
      </c>
      <c r="P433" s="19">
        <f>P423+INDEX(Data_Prices!P:P,MATCH($G433,Data_Prices!$A:$A,0))*P$437</f>
        <v>13.5677269404465</v>
      </c>
      <c r="Q433" s="19">
        <f>Q423+INDEX(Data_Prices!Q:Q,MATCH($G433,Data_Prices!$A:$A,0))*Q$437</f>
        <v>13.5677269404465</v>
      </c>
      <c r="R433" s="19">
        <f>R423+INDEX(Data_Prices!R:R,MATCH($G433,Data_Prices!$A:$A,0))*R$437</f>
        <v>13.5677269404465</v>
      </c>
      <c r="S433" s="19">
        <f>S423+INDEX(Data_Prices!S:S,MATCH($G433,Data_Prices!$A:$A,0))*S$437</f>
        <v>13.5677269404465</v>
      </c>
      <c r="T433" s="19">
        <f>T423+INDEX(Data_Prices!T:T,MATCH($G433,Data_Prices!$A:$A,0))*T$437</f>
        <v>13.5677269404465</v>
      </c>
      <c r="U433" s="19">
        <f>U423+INDEX(Data_Prices!U:U,MATCH($G433,Data_Prices!$A:$A,0))*U$437</f>
        <v>13.5677269404465</v>
      </c>
      <c r="V433" s="19">
        <f>V423+INDEX(Data_Prices!V:V,MATCH($G433,Data_Prices!$A:$A,0))*V$437</f>
        <v>13.5677269404465</v>
      </c>
      <c r="W433" s="19">
        <f>W423+INDEX(Data_Prices!W:W,MATCH($G433,Data_Prices!$A:$A,0))*W$437</f>
        <v>13.5677269404465</v>
      </c>
      <c r="X433" s="19">
        <f>X423+INDEX(Data_Prices!X:X,MATCH($G433,Data_Prices!$A:$A,0))*X$437</f>
        <v>13.5677269404465</v>
      </c>
      <c r="Y433" s="19">
        <f>Y423+INDEX(Data_Prices!Y:Y,MATCH($G433,Data_Prices!$A:$A,0))*Y$437</f>
        <v>13.5677269404465</v>
      </c>
      <c r="Z433" s="19">
        <f>Z423+INDEX(Data_Prices!Z:Z,MATCH($G433,Data_Prices!$A:$A,0))*Z$437</f>
        <v>13.5677269404465</v>
      </c>
      <c r="AA433" s="19">
        <f>AA423+INDEX(Data_Prices!AA:AA,MATCH($G433,Data_Prices!$A:$A,0))*AA$437</f>
        <v>13.5677269404465</v>
      </c>
      <c r="AB433" s="19">
        <f>AB423+INDEX(Data_Prices!AB:AB,MATCH($G433,Data_Prices!$A:$A,0))*AB$437</f>
        <v>13.5677269404465</v>
      </c>
      <c r="AC433" s="19">
        <f>AC423+INDEX(Data_Prices!AC:AC,MATCH($G433,Data_Prices!$A:$A,0))*AC$437</f>
        <v>13.5677269404465</v>
      </c>
      <c r="AD433" s="19">
        <f>AD423+INDEX(Data_Prices!AD:AD,MATCH($G433,Data_Prices!$A:$A,0))*AD$437</f>
        <v>13.5677269404465</v>
      </c>
      <c r="AE433" s="19">
        <f>AE423+INDEX(Data_Prices!AE:AE,MATCH($G433,Data_Prices!$A:$A,0))*AE$437</f>
        <v>13.5677269404465</v>
      </c>
    </row>
    <row r="434" spans="2:31" x14ac:dyDescent="0.45">
      <c r="B434" s="14" t="s">
        <v>69</v>
      </c>
      <c r="C434" s="14" t="str">
        <f t="shared" si="160"/>
        <v>irn</v>
      </c>
      <c r="D434" s="15" t="s">
        <v>70</v>
      </c>
      <c r="E434" s="16" t="s">
        <v>71</v>
      </c>
      <c r="F434" s="14" t="s">
        <v>75</v>
      </c>
      <c r="G434" s="17" t="str">
        <f>Settings!$B$3&amp;".mit.shp."&amp;$B434&amp;"."&amp;Settings!$B$4&amp;"."&amp;$J$404</f>
        <v>egy.mit.shp.ren.ind.2</v>
      </c>
      <c r="H434" s="45" t="str">
        <f>Settings!$B$3&amp;".mit.shp."&amp;$C$404&amp;"."&amp;$B434&amp;".e."&amp;$J$404</f>
        <v>egy.mit.shp.irn.ren.e.2</v>
      </c>
      <c r="K434" s="19">
        <f>K424+INDEX(Data_Prices!K:K,MATCH($G434,Data_Prices!$A:$A,0))*K$437</f>
        <v>0</v>
      </c>
      <c r="L434" s="19">
        <f>L424+INDEX(Data_Prices!L:L,MATCH($G434,Data_Prices!$A:$A,0))*L$437</f>
        <v>0.14404498679319799</v>
      </c>
      <c r="M434" s="19">
        <f>M424+INDEX(Data_Prices!M:M,MATCH($G434,Data_Prices!$A:$A,0))*M$437</f>
        <v>0.141386241751359</v>
      </c>
      <c r="N434" s="19">
        <f>N424+INDEX(Data_Prices!N:N,MATCH($G434,Data_Prices!$A:$A,0))*N$437</f>
        <v>0.13539756544373099</v>
      </c>
      <c r="O434" s="19">
        <f>O424+INDEX(Data_Prices!O:O,MATCH($G434,Data_Prices!$A:$A,0))*O$437</f>
        <v>0.13152288542065099</v>
      </c>
      <c r="P434" s="19">
        <f>P424+INDEX(Data_Prices!P:P,MATCH($G434,Data_Prices!$A:$A,0))*P$437</f>
        <v>0.12882610848523099</v>
      </c>
      <c r="Q434" s="19">
        <f>Q424+INDEX(Data_Prices!Q:Q,MATCH($G434,Data_Prices!$A:$A,0))*Q$437</f>
        <v>0.12594200976473999</v>
      </c>
      <c r="R434" s="19">
        <f>R424+INDEX(Data_Prices!R:R,MATCH($G434,Data_Prices!$A:$A,0))*R$437</f>
        <v>0.123113265701861</v>
      </c>
      <c r="S434" s="19">
        <f>S424+INDEX(Data_Prices!S:S,MATCH($G434,Data_Prices!$A:$A,0))*S$437</f>
        <v>0.119391738089068</v>
      </c>
      <c r="T434" s="19">
        <f>T424+INDEX(Data_Prices!T:T,MATCH($G434,Data_Prices!$A:$A,0))*T$437</f>
        <v>0.11554419046792</v>
      </c>
      <c r="U434" s="19">
        <f>U424+INDEX(Data_Prices!U:U,MATCH($G434,Data_Prices!$A:$A,0))*U$437</f>
        <v>0.11492423065415899</v>
      </c>
      <c r="V434" s="19">
        <f>V424+INDEX(Data_Prices!V:V,MATCH($G434,Data_Prices!$A:$A,0))*V$437</f>
        <v>0.114346912116736</v>
      </c>
      <c r="W434" s="19">
        <f>W424+INDEX(Data_Prices!W:W,MATCH($G434,Data_Prices!$A:$A,0))*W$437</f>
        <v>0.113738711172664</v>
      </c>
      <c r="X434" s="19">
        <f>X424+INDEX(Data_Prices!X:X,MATCH($G434,Data_Prices!$A:$A,0))*X$437</f>
        <v>0.112999900487521</v>
      </c>
      <c r="Y434" s="19">
        <f>Y424+INDEX(Data_Prices!Y:Y,MATCH($G434,Data_Prices!$A:$A,0))*Y$437</f>
        <v>0.112177685835534</v>
      </c>
      <c r="Z434" s="19">
        <f>Z424+INDEX(Data_Prices!Z:Z,MATCH($G434,Data_Prices!$A:$A,0))*Z$437</f>
        <v>0.111417903250404</v>
      </c>
      <c r="AA434" s="19">
        <f>AA424+INDEX(Data_Prices!AA:AA,MATCH($G434,Data_Prices!$A:$A,0))*AA$437</f>
        <v>0.11052581998545399</v>
      </c>
      <c r="AB434" s="19">
        <f>AB424+INDEX(Data_Prices!AB:AB,MATCH($G434,Data_Prices!$A:$A,0))*AB$437</f>
        <v>0.109699565234896</v>
      </c>
      <c r="AC434" s="19">
        <f>AC424+INDEX(Data_Prices!AC:AC,MATCH($G434,Data_Prices!$A:$A,0))*AC$437</f>
        <v>0.10772678896394899</v>
      </c>
      <c r="AD434" s="19">
        <f>AD424+INDEX(Data_Prices!AD:AD,MATCH($G434,Data_Prices!$A:$A,0))*AD$437</f>
        <v>0.10582092445093499</v>
      </c>
      <c r="AE434" s="19">
        <f>AE424+INDEX(Data_Prices!AE:AE,MATCH($G434,Data_Prices!$A:$A,0))*AE$437</f>
        <v>0.103855595705721</v>
      </c>
    </row>
    <row r="435" spans="2:31" x14ac:dyDescent="0.45">
      <c r="B435" s="13" t="s">
        <v>76</v>
      </c>
    </row>
    <row r="436" spans="2:31" x14ac:dyDescent="0.45">
      <c r="B436" s="14" t="s">
        <v>77</v>
      </c>
      <c r="C436" s="14" t="str">
        <f>$C$404</f>
        <v>irn</v>
      </c>
      <c r="D436" s="15" t="s">
        <v>78</v>
      </c>
      <c r="E436" s="16" t="s">
        <v>79</v>
      </c>
      <c r="F436" s="14" t="s">
        <v>80</v>
      </c>
      <c r="G436" s="17" t="str">
        <f>Settings!$B$3&amp;".mit.tcf."&amp;$C$404&amp;"."&amp;$J$404</f>
        <v>egy.mit.tcf.irn.2</v>
      </c>
      <c r="K436" s="19">
        <f>INDEX(Data_Prices!K:K,MATCH($G436,Data_Prices!$A:$A,0))</f>
        <v>0</v>
      </c>
      <c r="L436" s="19">
        <f>INDEX(Data_Prices!L:L,MATCH($G436,Data_Prices!$A:$A,0))</f>
        <v>0</v>
      </c>
      <c r="M436" s="19">
        <f>INDEX(Data_Prices!M:M,MATCH($G436,Data_Prices!$A:$A,0))</f>
        <v>0</v>
      </c>
      <c r="N436" s="19">
        <f>INDEX(Data_Prices!N:N,MATCH($G436,Data_Prices!$A:$A,0))</f>
        <v>0</v>
      </c>
      <c r="O436" s="19">
        <f>INDEX(Data_Prices!O:O,MATCH($G436,Data_Prices!$A:$A,0))</f>
        <v>0</v>
      </c>
      <c r="P436" s="19">
        <f>INDEX(Data_Prices!P:P,MATCH($G436,Data_Prices!$A:$A,0))</f>
        <v>1</v>
      </c>
      <c r="Q436" s="19">
        <f>INDEX(Data_Prices!Q:Q,MATCH($G436,Data_Prices!$A:$A,0))</f>
        <v>1</v>
      </c>
      <c r="R436" s="19">
        <f>INDEX(Data_Prices!R:R,MATCH($G436,Data_Prices!$A:$A,0))</f>
        <v>1</v>
      </c>
      <c r="S436" s="19">
        <f>INDEX(Data_Prices!S:S,MATCH($G436,Data_Prices!$A:$A,0))</f>
        <v>1</v>
      </c>
      <c r="T436" s="19">
        <f>INDEX(Data_Prices!T:T,MATCH($G436,Data_Prices!$A:$A,0))</f>
        <v>1</v>
      </c>
      <c r="U436" s="19">
        <f>INDEX(Data_Prices!U:U,MATCH($G436,Data_Prices!$A:$A,0))</f>
        <v>1</v>
      </c>
      <c r="V436" s="19">
        <f>INDEX(Data_Prices!V:V,MATCH($G436,Data_Prices!$A:$A,0))</f>
        <v>1</v>
      </c>
      <c r="W436" s="19">
        <f>INDEX(Data_Prices!W:W,MATCH($G436,Data_Prices!$A:$A,0))</f>
        <v>1</v>
      </c>
      <c r="X436" s="19">
        <f>INDEX(Data_Prices!X:X,MATCH($G436,Data_Prices!$A:$A,0))</f>
        <v>1</v>
      </c>
      <c r="Y436" s="19">
        <f>INDEX(Data_Prices!Y:Y,MATCH($G436,Data_Prices!$A:$A,0))</f>
        <v>1</v>
      </c>
      <c r="Z436" s="19">
        <f>INDEX(Data_Prices!Z:Z,MATCH($G436,Data_Prices!$A:$A,0))</f>
        <v>1</v>
      </c>
      <c r="AA436" s="19">
        <f>INDEX(Data_Prices!AA:AA,MATCH($G436,Data_Prices!$A:$A,0))</f>
        <v>1</v>
      </c>
      <c r="AB436" s="19">
        <f>INDEX(Data_Prices!AB:AB,MATCH($G436,Data_Prices!$A:$A,0))</f>
        <v>1</v>
      </c>
      <c r="AC436" s="19">
        <f>INDEX(Data_Prices!AC:AC,MATCH($G436,Data_Prices!$A:$A,0))</f>
        <v>1</v>
      </c>
      <c r="AD436" s="19">
        <f>INDEX(Data_Prices!AD:AD,MATCH($G436,Data_Prices!$A:$A,0))</f>
        <v>1</v>
      </c>
      <c r="AE436" s="19">
        <f>INDEX(Data_Prices!AE:AE,MATCH($G436,Data_Prices!$A:$A,0))</f>
        <v>1</v>
      </c>
    </row>
    <row r="437" spans="2:31" x14ac:dyDescent="0.45">
      <c r="B437" s="14" t="s">
        <v>77</v>
      </c>
      <c r="C437" s="14" t="str">
        <f>$C$404</f>
        <v>irn</v>
      </c>
      <c r="D437" s="15" t="s">
        <v>81</v>
      </c>
      <c r="E437" s="16" t="s">
        <v>79</v>
      </c>
      <c r="F437" s="14" t="s">
        <v>82</v>
      </c>
      <c r="G437" s="17" t="str">
        <f>Settings!$B$3&amp;".mit.ssc."&amp;$C$404&amp;"."&amp;$J$404</f>
        <v>egy.mit.ssc.irn.2</v>
      </c>
      <c r="K437" s="19">
        <f>INDEX(Data_Prices!K:K,MATCH($G437,Data_Prices!$A:$A,0))</f>
        <v>0</v>
      </c>
      <c r="L437" s="19">
        <f>INDEX(Data_Prices!L:L,MATCH($G437,Data_Prices!$A:$A,0))</f>
        <v>1</v>
      </c>
      <c r="M437" s="19">
        <f>INDEX(Data_Prices!M:M,MATCH($G437,Data_Prices!$A:$A,0))</f>
        <v>1</v>
      </c>
      <c r="N437" s="19">
        <f>INDEX(Data_Prices!N:N,MATCH($G437,Data_Prices!$A:$A,0))</f>
        <v>1</v>
      </c>
      <c r="O437" s="19">
        <f>INDEX(Data_Prices!O:O,MATCH($G437,Data_Prices!$A:$A,0))</f>
        <v>1</v>
      </c>
      <c r="P437" s="19">
        <f>INDEX(Data_Prices!P:P,MATCH($G437,Data_Prices!$A:$A,0))</f>
        <v>1</v>
      </c>
      <c r="Q437" s="19">
        <f>INDEX(Data_Prices!Q:Q,MATCH($G437,Data_Prices!$A:$A,0))</f>
        <v>1</v>
      </c>
      <c r="R437" s="19">
        <f>INDEX(Data_Prices!R:R,MATCH($G437,Data_Prices!$A:$A,0))</f>
        <v>1</v>
      </c>
      <c r="S437" s="19">
        <f>INDEX(Data_Prices!S:S,MATCH($G437,Data_Prices!$A:$A,0))</f>
        <v>1</v>
      </c>
      <c r="T437" s="19">
        <f>INDEX(Data_Prices!T:T,MATCH($G437,Data_Prices!$A:$A,0))</f>
        <v>1</v>
      </c>
      <c r="U437" s="19">
        <f>INDEX(Data_Prices!U:U,MATCH($G437,Data_Prices!$A:$A,0))</f>
        <v>1</v>
      </c>
      <c r="V437" s="19">
        <f>INDEX(Data_Prices!V:V,MATCH($G437,Data_Prices!$A:$A,0))</f>
        <v>1</v>
      </c>
      <c r="W437" s="19">
        <f>INDEX(Data_Prices!W:W,MATCH($G437,Data_Prices!$A:$A,0))</f>
        <v>1</v>
      </c>
      <c r="X437" s="19">
        <f>INDEX(Data_Prices!X:X,MATCH($G437,Data_Prices!$A:$A,0))</f>
        <v>1</v>
      </c>
      <c r="Y437" s="19">
        <f>INDEX(Data_Prices!Y:Y,MATCH($G437,Data_Prices!$A:$A,0))</f>
        <v>1</v>
      </c>
      <c r="Z437" s="19">
        <f>INDEX(Data_Prices!Z:Z,MATCH($G437,Data_Prices!$A:$A,0))</f>
        <v>1</v>
      </c>
      <c r="AA437" s="19">
        <f>INDEX(Data_Prices!AA:AA,MATCH($G437,Data_Prices!$A:$A,0))</f>
        <v>1</v>
      </c>
      <c r="AB437" s="19">
        <f>INDEX(Data_Prices!AB:AB,MATCH($G437,Data_Prices!$A:$A,0))</f>
        <v>1</v>
      </c>
      <c r="AC437" s="19">
        <f>INDEX(Data_Prices!AC:AC,MATCH($G437,Data_Prices!$A:$A,0))</f>
        <v>1</v>
      </c>
      <c r="AD437" s="19">
        <f>INDEX(Data_Prices!AD:AD,MATCH($G437,Data_Prices!$A:$A,0))</f>
        <v>1</v>
      </c>
      <c r="AE437" s="19">
        <f>INDEX(Data_Prices!AE:AE,MATCH($G437,Data_Prices!$A:$A,0))</f>
        <v>1</v>
      </c>
    </row>
    <row r="438" spans="2:31" x14ac:dyDescent="0.45">
      <c r="B438" s="14" t="s">
        <v>77</v>
      </c>
      <c r="C438" s="14" t="str">
        <f>$C$404</f>
        <v>irn</v>
      </c>
      <c r="D438" s="15" t="s">
        <v>83</v>
      </c>
      <c r="E438" s="16" t="s">
        <v>84</v>
      </c>
      <c r="F438" s="14" t="s">
        <v>85</v>
      </c>
      <c r="G438" s="17" t="str">
        <f>Settings!$B$3&amp;".mit.gdp.pos.pct."&amp;$J$404</f>
        <v>egy.mit.gdp.pos.pct.2</v>
      </c>
      <c r="K438" s="20">
        <f>INDEX(Data_Macro!K:K,MATCH($G438,Data_Macro!$A:$A,0))</f>
        <v>0</v>
      </c>
      <c r="L438" s="20">
        <f>INDEX(Data_Macro!L:L,MATCH($G438,Data_Macro!$A:$A,0))</f>
        <v>6.6513450000000002E-2</v>
      </c>
      <c r="M438" s="20">
        <f>INDEX(Data_Macro!M:M,MATCH($G438,Data_Macro!$A:$A,0))</f>
        <v>3.760281E-2</v>
      </c>
      <c r="N438" s="20">
        <f>INDEX(Data_Macro!N:N,MATCH($G438,Data_Macro!$A:$A,0))</f>
        <v>2.3988010000000001E-2</v>
      </c>
      <c r="O438" s="20">
        <f>INDEX(Data_Macro!O:O,MATCH($G438,Data_Macro!$A:$A,0))</f>
        <v>4.3923869999999997E-2</v>
      </c>
      <c r="P438" s="20">
        <f>INDEX(Data_Macro!P:P,MATCH($G438,Data_Macro!$A:$A,0))</f>
        <v>4.239706E-2</v>
      </c>
      <c r="Q438" s="20">
        <f>INDEX(Data_Macro!Q:Q,MATCH($G438,Data_Macro!$A:$A,0))</f>
        <v>4.8298383783007597E-2</v>
      </c>
      <c r="R438" s="20">
        <f>INDEX(Data_Macro!R:R,MATCH($G438,Data_Macro!$A:$A,0))</f>
        <v>5.55905477124225E-2</v>
      </c>
      <c r="S438" s="20">
        <f>INDEX(Data_Macro!S:S,MATCH($G438,Data_Macro!$A:$A,0))</f>
        <v>5.2137235389631401E-2</v>
      </c>
      <c r="T438" s="20">
        <f>INDEX(Data_Macro!T:T,MATCH($G438,Data_Macro!$A:$A,0))</f>
        <v>4.8124907491929901E-2</v>
      </c>
      <c r="U438" s="20">
        <f>INDEX(Data_Macro!U:U,MATCH($G438,Data_Macro!$A:$A,0))</f>
        <v>4.7208796526521303E-2</v>
      </c>
      <c r="V438" s="20">
        <f>INDEX(Data_Macro!V:V,MATCH($G438,Data_Macro!$A:$A,0))</f>
        <v>4.66890433006764E-2</v>
      </c>
      <c r="W438" s="20">
        <f>INDEX(Data_Macro!W:W,MATCH($G438,Data_Macro!$A:$A,0))</f>
        <v>4.6632750147029202E-2</v>
      </c>
      <c r="X438" s="20">
        <f>INDEX(Data_Macro!X:X,MATCH($G438,Data_Macro!$A:$A,0))</f>
        <v>4.6872723264421497E-2</v>
      </c>
      <c r="Y438" s="20">
        <f>INDEX(Data_Macro!Y:Y,MATCH($G438,Data_Macro!$A:$A,0))</f>
        <v>4.7469921753048698E-2</v>
      </c>
      <c r="Z438" s="20">
        <f>INDEX(Data_Macro!Z:Z,MATCH($G438,Data_Macro!$A:$A,0))</f>
        <v>4.8590713024029002E-2</v>
      </c>
      <c r="AA438" s="20">
        <f>INDEX(Data_Macro!AA:AA,MATCH($G438,Data_Macro!$A:$A,0))</f>
        <v>4.9941182078066401E-2</v>
      </c>
      <c r="AB438" s="20">
        <f>INDEX(Data_Macro!AB:AB,MATCH($G438,Data_Macro!$A:$A,0))</f>
        <v>5.13941835424786E-2</v>
      </c>
      <c r="AC438" s="20">
        <f>INDEX(Data_Macro!AC:AC,MATCH($G438,Data_Macro!$A:$A,0))</f>
        <v>5.2681763019776701E-2</v>
      </c>
      <c r="AD438" s="20">
        <f>INDEX(Data_Macro!AD:AD,MATCH($G438,Data_Macro!$A:$A,0))</f>
        <v>5.3800711336350303E-2</v>
      </c>
      <c r="AE438" s="20">
        <f>INDEX(Data_Macro!AE:AE,MATCH($G438,Data_Macro!$A:$A,0))</f>
        <v>5.4789398044337599E-2</v>
      </c>
    </row>
    <row r="439" spans="2:31" x14ac:dyDescent="0.45">
      <c r="B439" s="14" t="s">
        <v>77</v>
      </c>
      <c r="C439" s="14" t="str">
        <f>$C$404</f>
        <v>irn</v>
      </c>
      <c r="D439" s="15" t="s">
        <v>86</v>
      </c>
      <c r="E439" s="16" t="s">
        <v>87</v>
      </c>
      <c r="F439" s="14" t="s">
        <v>88</v>
      </c>
      <c r="G439" s="17" t="str">
        <f>Settings!$B$3&amp;".mit.inc.ela.adj."&amp;$J$404</f>
        <v>egy.mit.inc.ela.adj.2</v>
      </c>
      <c r="K439" s="19">
        <f>INDEX(Data_Macro!K:K,MATCH($G439,Data_Macro!$A:$A,0))</f>
        <v>0</v>
      </c>
      <c r="L439" s="19">
        <f>INDEX(Data_Macro!L:L,MATCH($G439,Data_Macro!$A:$A,0))</f>
        <v>1.02715172471961</v>
      </c>
      <c r="M439" s="19">
        <f>INDEX(Data_Macro!M:M,MATCH($G439,Data_Macro!$A:$A,0))</f>
        <v>1.02715172471961</v>
      </c>
      <c r="N439" s="19">
        <f>INDEX(Data_Macro!N:N,MATCH($G439,Data_Macro!$A:$A,0))</f>
        <v>1.0205698358851201</v>
      </c>
      <c r="O439" s="19">
        <f>INDEX(Data_Macro!O:O,MATCH($G439,Data_Macro!$A:$A,0))</f>
        <v>1.01733442885234</v>
      </c>
      <c r="P439" s="19">
        <f>INDEX(Data_Macro!P:P,MATCH($G439,Data_Macro!$A:$A,0))</f>
        <v>1.00766833225382</v>
      </c>
      <c r="Q439" s="19">
        <f>INDEX(Data_Macro!Q:Q,MATCH($G439,Data_Macro!$A:$A,0))</f>
        <v>1.0007442871755301</v>
      </c>
      <c r="R439" s="19">
        <f>INDEX(Data_Macro!R:R,MATCH($G439,Data_Macro!$A:$A,0))</f>
        <v>0.99188455719464297</v>
      </c>
      <c r="S439" s="19">
        <f>INDEX(Data_Macro!S:S,MATCH($G439,Data_Macro!$A:$A,0))</f>
        <v>0.98058056507860303</v>
      </c>
      <c r="T439" s="19">
        <f>INDEX(Data_Macro!T:T,MATCH($G439,Data_Macro!$A:$A,0))</f>
        <v>0.970250789717781</v>
      </c>
      <c r="U439" s="19">
        <f>INDEX(Data_Macro!U:U,MATCH($G439,Data_Macro!$A:$A,0))</f>
        <v>0.964288208159648</v>
      </c>
      <c r="V439" s="19">
        <f>INDEX(Data_Macro!V:V,MATCH($G439,Data_Macro!$A:$A,0))</f>
        <v>0.96183439341951105</v>
      </c>
      <c r="W439" s="19">
        <f>INDEX(Data_Macro!W:W,MATCH($G439,Data_Macro!$A:$A,0))</f>
        <v>0.95941695116164405</v>
      </c>
      <c r="X439" s="19">
        <f>INDEX(Data_Macro!X:X,MATCH($G439,Data_Macro!$A:$A,0))</f>
        <v>0.95701429252188397</v>
      </c>
      <c r="Y439" s="19">
        <f>INDEX(Data_Macro!Y:Y,MATCH($G439,Data_Macro!$A:$A,0))</f>
        <v>0.95468193722552197</v>
      </c>
      <c r="Z439" s="19">
        <f>INDEX(Data_Macro!Z:Z,MATCH($G439,Data_Macro!$A:$A,0))</f>
        <v>0.95240071158774597</v>
      </c>
      <c r="AA439" s="19">
        <f>INDEX(Data_Macro!AA:AA,MATCH($G439,Data_Macro!$A:$A,0))</f>
        <v>0.95011647499405505</v>
      </c>
      <c r="AB439" s="19">
        <f>INDEX(Data_Macro!AB:AB,MATCH($G439,Data_Macro!$A:$A,0))</f>
        <v>0.947927358499145</v>
      </c>
      <c r="AC439" s="19">
        <f>INDEX(Data_Macro!AC:AC,MATCH($G439,Data_Macro!$A:$A,0))</f>
        <v>0.94587674776299702</v>
      </c>
      <c r="AD439" s="19">
        <f>INDEX(Data_Macro!AD:AD,MATCH($G439,Data_Macro!$A:$A,0))</f>
        <v>0.94405480582839296</v>
      </c>
      <c r="AE439" s="19">
        <f>INDEX(Data_Macro!AE:AE,MATCH($G439,Data_Macro!$A:$A,0))</f>
        <v>0.94246391225206505</v>
      </c>
    </row>
    <row r="440" spans="2:31" x14ac:dyDescent="0.45">
      <c r="B440" s="14" t="s">
        <v>77</v>
      </c>
      <c r="C440" s="14" t="str">
        <f>$C$404</f>
        <v>irn</v>
      </c>
      <c r="D440" s="15" t="s">
        <v>89</v>
      </c>
      <c r="E440" s="16" t="s">
        <v>87</v>
      </c>
      <c r="F440" s="14" t="s">
        <v>90</v>
      </c>
      <c r="G440" s="17" t="str">
        <f>Settings!$B$3&amp;".mit.shock."&amp;$J$404</f>
        <v>egy.mit.shock.2</v>
      </c>
      <c r="K440" s="19">
        <f>INDEX(Data_Macro!K:K,MATCH($G440,Data_Macro!$A:$A,0))</f>
        <v>0</v>
      </c>
      <c r="L440" s="19">
        <f>INDEX(Data_Macro!L:L,MATCH($G440,Data_Macro!$A:$A,0))</f>
        <v>0</v>
      </c>
      <c r="M440" s="19">
        <f>INDEX(Data_Macro!M:M,MATCH($G440,Data_Macro!$A:$A,0))</f>
        <v>-0.20813308302044201</v>
      </c>
      <c r="N440" s="19">
        <f>INDEX(Data_Macro!N:N,MATCH($G440,Data_Macro!$A:$A,0))</f>
        <v>9.2371428571428604E-2</v>
      </c>
      <c r="O440" s="19">
        <f>INDEX(Data_Macro!O:O,MATCH($G440,Data_Macro!$A:$A,0))</f>
        <v>0</v>
      </c>
      <c r="P440" s="19">
        <f>INDEX(Data_Macro!P:P,MATCH($G440,Data_Macro!$A:$A,0))</f>
        <v>0</v>
      </c>
      <c r="Q440" s="19">
        <f>INDEX(Data_Macro!Q:Q,MATCH($G440,Data_Macro!$A:$A,0))</f>
        <v>0</v>
      </c>
      <c r="R440" s="19">
        <f>INDEX(Data_Macro!R:R,MATCH($G440,Data_Macro!$A:$A,0))</f>
        <v>0</v>
      </c>
      <c r="S440" s="19">
        <f>INDEX(Data_Macro!S:S,MATCH($G440,Data_Macro!$A:$A,0))</f>
        <v>0</v>
      </c>
      <c r="T440" s="19">
        <f>INDEX(Data_Macro!T:T,MATCH($G440,Data_Macro!$A:$A,0))</f>
        <v>0</v>
      </c>
      <c r="U440" s="19">
        <f>INDEX(Data_Macro!U:U,MATCH($G440,Data_Macro!$A:$A,0))</f>
        <v>0</v>
      </c>
      <c r="V440" s="19">
        <f>INDEX(Data_Macro!V:V,MATCH($G440,Data_Macro!$A:$A,0))</f>
        <v>0</v>
      </c>
      <c r="W440" s="19">
        <f>INDEX(Data_Macro!W:W,MATCH($G440,Data_Macro!$A:$A,0))</f>
        <v>0</v>
      </c>
      <c r="X440" s="19">
        <f>INDEX(Data_Macro!X:X,MATCH($G440,Data_Macro!$A:$A,0))</f>
        <v>0</v>
      </c>
      <c r="Y440" s="19">
        <f>INDEX(Data_Macro!Y:Y,MATCH($G440,Data_Macro!$A:$A,0))</f>
        <v>0</v>
      </c>
      <c r="Z440" s="19">
        <f>INDEX(Data_Macro!Z:Z,MATCH($G440,Data_Macro!$A:$A,0))</f>
        <v>0</v>
      </c>
      <c r="AA440" s="19">
        <f>INDEX(Data_Macro!AA:AA,MATCH($G440,Data_Macro!$A:$A,0))</f>
        <v>0</v>
      </c>
      <c r="AB440" s="19">
        <f>INDEX(Data_Macro!AB:AB,MATCH($G440,Data_Macro!$A:$A,0))</f>
        <v>0</v>
      </c>
      <c r="AC440" s="19">
        <f>INDEX(Data_Macro!AC:AC,MATCH($G440,Data_Macro!$A:$A,0))</f>
        <v>0</v>
      </c>
      <c r="AD440" s="19">
        <f>INDEX(Data_Macro!AD:AD,MATCH($G440,Data_Macro!$A:$A,0))</f>
        <v>0</v>
      </c>
      <c r="AE440" s="19">
        <f>INDEX(Data_Macro!AE:AE,MATCH($G440,Data_Macro!$A:$A,0))</f>
        <v>0</v>
      </c>
    </row>
    <row r="441" spans="2:31" x14ac:dyDescent="0.45">
      <c r="B441" s="13" t="s">
        <v>91</v>
      </c>
    </row>
    <row r="442" spans="2:31" x14ac:dyDescent="0.45">
      <c r="B442" s="7" t="s">
        <v>32</v>
      </c>
      <c r="C442" s="7" t="s">
        <v>33</v>
      </c>
      <c r="D442" s="21" t="s">
        <v>34</v>
      </c>
      <c r="E442" s="7" t="s">
        <v>92</v>
      </c>
      <c r="F442" s="7" t="s">
        <v>93</v>
      </c>
      <c r="G442" s="7" t="s">
        <v>94</v>
      </c>
      <c r="H442" s="7" t="s">
        <v>95</v>
      </c>
      <c r="I442" s="7" t="s">
        <v>96</v>
      </c>
      <c r="J442" s="7" t="s">
        <v>97</v>
      </c>
    </row>
    <row r="443" spans="2:31" x14ac:dyDescent="0.45">
      <c r="B443" s="14" t="s">
        <v>49</v>
      </c>
      <c r="C443" s="14" t="str">
        <f t="shared" ref="C443:C451" si="161">$C$404</f>
        <v>irn</v>
      </c>
      <c r="D443" s="22" t="s">
        <v>98</v>
      </c>
      <c r="E443" s="23">
        <f>INDEX(Data_Elast!$D:$G,MATCH("el_inc_"&amp;INDEX(Data_Elast!$J:$J,MATCH($B443,Data_Elast!$I:$I,0)),Data_Elast!$A:$A,0),MATCH(Settings!$B$5,Data_Elast!$D$1:$G$1,0))</f>
        <v>0.5</v>
      </c>
      <c r="F443" s="23">
        <f>INDEX(Data_Elast!$D:$G,MATCH("el_dem_"&amp;INDEX(Data_Elast!$J:$J,MATCH($B443,Data_Elast!$I:$I,0)),Data_Elast!$A:$A,0),MATCH(Settings!$B$5,Data_Elast!$D$1:$G$1,0))</f>
        <v>-0.3</v>
      </c>
      <c r="G443" s="23">
        <f>INDEX(Data_Elast!$D:$G,MATCH("el_eff_"&amp;INDEX(Data_Elast!$J:$J,MATCH($B443,Data_Elast!$I:$I,0)),Data_Elast!$A:$A,0),MATCH(Settings!$B$5,Data_Elast!$D$1:$G$1,0))</f>
        <v>-0.4</v>
      </c>
      <c r="H443" s="23">
        <f>INDEX(Data_Elast!$D:$G,MATCH("eff_imp_"&amp;INDEX(Data_Elast!$K:$K,MATCH($B443,Data_Elast!$I:$I,0)),Data_Elast!$A:$A,0),MATCH(Settings!$B$5,Data_Elast!$D$1:$G$1,0))</f>
        <v>5.0000000000000001E-3</v>
      </c>
      <c r="I443" s="23">
        <f>Settings!$B$7</f>
        <v>0</v>
      </c>
      <c r="J443" s="16" t="str">
        <f>INDEX(Data_Elast!$J:$J,MATCH($B443,Data_Elast!$I:$I,0))</f>
        <v>coa</v>
      </c>
    </row>
    <row r="444" spans="2:31" x14ac:dyDescent="0.45">
      <c r="B444" s="14" t="s">
        <v>53</v>
      </c>
      <c r="C444" s="14" t="str">
        <f t="shared" si="161"/>
        <v>irn</v>
      </c>
      <c r="D444" s="22" t="s">
        <v>99</v>
      </c>
      <c r="E444" s="23">
        <f>INDEX(Data_Elast!$D:$G,MATCH("el_inc_"&amp;INDEX(Data_Elast!$J:$J,MATCH($B444,Data_Elast!$I:$I,0)),Data_Elast!$A:$A,0),MATCH(Settings!$B$5,Data_Elast!$D$1:$G$1,0))</f>
        <v>1</v>
      </c>
      <c r="F444" s="23">
        <f>INDEX(Data_Elast!$D:$G,MATCH("el_dem_"&amp;INDEX(Data_Elast!$J:$J,MATCH($B444,Data_Elast!$I:$I,0)),Data_Elast!$A:$A,0),MATCH(Settings!$B$5,Data_Elast!$D$1:$G$1,0))</f>
        <v>-0.5</v>
      </c>
      <c r="G444" s="23">
        <f>INDEX(Data_Elast!$D:$G,MATCH("el_eff_"&amp;INDEX(Data_Elast!$J:$J,MATCH($B444,Data_Elast!$I:$I,0)),Data_Elast!$A:$A,0),MATCH(Settings!$B$5,Data_Elast!$D$1:$G$1,0))</f>
        <v>-0.5</v>
      </c>
      <c r="H444" s="23">
        <f>INDEX(Data_Elast!$D:$G,MATCH("eff_imp_"&amp;INDEX(Data_Elast!$K:$K,MATCH($B444,Data_Elast!$I:$I,0)),Data_Elast!$A:$A,0),MATCH(Settings!$B$5,Data_Elast!$D$1:$G$1,0))</f>
        <v>0.01</v>
      </c>
      <c r="I444" s="23">
        <f>Settings!$B$7</f>
        <v>0</v>
      </c>
      <c r="J444" s="16" t="str">
        <f>INDEX(Data_Elast!$J:$J,MATCH($B444,Data_Elast!$I:$I,0))</f>
        <v>nga</v>
      </c>
    </row>
    <row r="445" spans="2:31" x14ac:dyDescent="0.45">
      <c r="B445" s="14" t="s">
        <v>55</v>
      </c>
      <c r="C445" s="14" t="str">
        <f t="shared" si="161"/>
        <v>irn</v>
      </c>
      <c r="D445" s="22" t="s">
        <v>100</v>
      </c>
      <c r="E445" s="23">
        <f>INDEX(Data_Elast!$D:$G,MATCH("el_inc_"&amp;INDEX(Data_Elast!$J:$J,MATCH($B445,Data_Elast!$I:$I,0)),Data_Elast!$A:$A,0),MATCH(Settings!$B$5,Data_Elast!$D$1:$G$1,0))</f>
        <v>0.5</v>
      </c>
      <c r="F445" s="23">
        <f>INDEX(Data_Elast!$D:$G,MATCH("el_dem_"&amp;INDEX(Data_Elast!$J:$J,MATCH($B445,Data_Elast!$I:$I,0)),Data_Elast!$A:$A,0),MATCH(Settings!$B$5,Data_Elast!$D$1:$G$1,0))</f>
        <v>-0.4</v>
      </c>
      <c r="G445" s="23">
        <f>INDEX(Data_Elast!$D:$G,MATCH("el_eff_"&amp;INDEX(Data_Elast!$J:$J,MATCH($B445,Data_Elast!$I:$I,0)),Data_Elast!$A:$A,0),MATCH(Settings!$B$5,Data_Elast!$D$1:$G$1,0))</f>
        <v>-0.7</v>
      </c>
      <c r="H445" s="23">
        <f>INDEX(Data_Elast!$D:$G,MATCH("eff_imp_"&amp;INDEX(Data_Elast!$K:$K,MATCH($B445,Data_Elast!$I:$I,0)),Data_Elast!$A:$A,0),MATCH(Settings!$B$5,Data_Elast!$D$1:$G$1,0))</f>
        <v>5.0000000000000001E-3</v>
      </c>
      <c r="I445" s="23">
        <f>Settings!$B$7</f>
        <v>0</v>
      </c>
      <c r="J445" s="16" t="str">
        <f>INDEX(Data_Elast!$J:$J,MATCH($B445,Data_Elast!$I:$I,0))</f>
        <v>gso</v>
      </c>
    </row>
    <row r="446" spans="2:31" x14ac:dyDescent="0.45">
      <c r="B446" s="14" t="s">
        <v>58</v>
      </c>
      <c r="C446" s="14" t="str">
        <f t="shared" si="161"/>
        <v>irn</v>
      </c>
      <c r="D446" s="22" t="s">
        <v>101</v>
      </c>
      <c r="E446" s="23">
        <f>INDEX(Data_Elast!$D:$G,MATCH("el_inc_"&amp;INDEX(Data_Elast!$J:$J,MATCH($B446,Data_Elast!$I:$I,0)),Data_Elast!$A:$A,0),MATCH(Settings!$B$5,Data_Elast!$D$1:$G$1,0))</f>
        <v>0.5</v>
      </c>
      <c r="F446" s="23">
        <f>INDEX(Data_Elast!$D:$G,MATCH("el_dem_"&amp;INDEX(Data_Elast!$J:$J,MATCH($B446,Data_Elast!$I:$I,0)),Data_Elast!$A:$A,0),MATCH(Settings!$B$5,Data_Elast!$D$1:$G$1,0))</f>
        <v>-0.7</v>
      </c>
      <c r="G446" s="23">
        <f>INDEX(Data_Elast!$D:$G,MATCH("el_eff_"&amp;INDEX(Data_Elast!$J:$J,MATCH($B446,Data_Elast!$I:$I,0)),Data_Elast!$A:$A,0),MATCH(Settings!$B$5,Data_Elast!$D$1:$G$1,0))</f>
        <v>-1.2</v>
      </c>
      <c r="H446" s="23">
        <f>INDEX(Data_Elast!$D:$G,MATCH("eff_imp_"&amp;INDEX(Data_Elast!$K:$K,MATCH($B446,Data_Elast!$I:$I,0)),Data_Elast!$A:$A,0),MATCH(Settings!$B$5,Data_Elast!$D$1:$G$1,0))</f>
        <v>5.0000000000000001E-3</v>
      </c>
      <c r="I446" s="23">
        <f>Settings!$B$7</f>
        <v>0</v>
      </c>
      <c r="J446" s="16" t="str">
        <f>INDEX(Data_Elast!$J:$J,MATCH($B446,Data_Elast!$I:$I,0))</f>
        <v>die</v>
      </c>
    </row>
    <row r="447" spans="2:31" x14ac:dyDescent="0.45">
      <c r="B447" s="14" t="s">
        <v>60</v>
      </c>
      <c r="C447" s="14" t="str">
        <f t="shared" si="161"/>
        <v>irn</v>
      </c>
      <c r="D447" s="22" t="s">
        <v>102</v>
      </c>
      <c r="E447" s="23">
        <f>INDEX(Data_Elast!$D:$G,MATCH("el_inc_"&amp;INDEX(Data_Elast!$J:$J,MATCH($B447,Data_Elast!$I:$I,0)),Data_Elast!$A:$A,0),MATCH(Settings!$B$5,Data_Elast!$D$1:$G$1,0))</f>
        <v>0.8</v>
      </c>
      <c r="F447" s="23">
        <f>INDEX(Data_Elast!$D:$G,MATCH("el_dem_"&amp;INDEX(Data_Elast!$J:$J,MATCH($B447,Data_Elast!$I:$I,0)),Data_Elast!$A:$A,0),MATCH(Settings!$B$5,Data_Elast!$D$1:$G$1,0))</f>
        <v>-0.4</v>
      </c>
      <c r="G447" s="23">
        <f>INDEX(Data_Elast!$D:$G,MATCH("el_eff_"&amp;INDEX(Data_Elast!$J:$J,MATCH($B447,Data_Elast!$I:$I,0)),Data_Elast!$A:$A,0),MATCH(Settings!$B$5,Data_Elast!$D$1:$G$1,0))</f>
        <v>-0.4</v>
      </c>
      <c r="H447" s="23">
        <f>INDEX(Data_Elast!$D:$G,MATCH("eff_imp_"&amp;INDEX(Data_Elast!$K:$K,MATCH($B447,Data_Elast!$I:$I,0)),Data_Elast!$A:$A,0),MATCH(Settings!$B$5,Data_Elast!$D$1:$G$1,0))</f>
        <v>5.0000000000000001E-3</v>
      </c>
      <c r="I447" s="23">
        <f>Settings!$B$7</f>
        <v>0</v>
      </c>
      <c r="J447" s="16" t="str">
        <f>INDEX(Data_Elast!$J:$J,MATCH($B447,Data_Elast!$I:$I,0))</f>
        <v>oil</v>
      </c>
    </row>
    <row r="448" spans="2:31" x14ac:dyDescent="0.45">
      <c r="B448" s="14" t="s">
        <v>62</v>
      </c>
      <c r="C448" s="14" t="str">
        <f t="shared" si="161"/>
        <v>irn</v>
      </c>
      <c r="D448" s="22" t="s">
        <v>103</v>
      </c>
      <c r="E448" s="23">
        <f>INDEX(Data_Elast!$D:$G,MATCH("el_inc_"&amp;INDEX(Data_Elast!$J:$J,MATCH($B448,Data_Elast!$I:$I,0)),Data_Elast!$A:$A,0),MATCH(Settings!$B$5,Data_Elast!$D$1:$G$1,0))</f>
        <v>0.8</v>
      </c>
      <c r="F448" s="23">
        <f>INDEX(Data_Elast!$D:$G,MATCH("el_dem_"&amp;INDEX(Data_Elast!$J:$J,MATCH($B448,Data_Elast!$I:$I,0)),Data_Elast!$A:$A,0),MATCH(Settings!$B$5,Data_Elast!$D$1:$G$1,0))</f>
        <v>-0.4</v>
      </c>
      <c r="G448" s="23">
        <f>INDEX(Data_Elast!$D:$G,MATCH("el_eff_"&amp;INDEX(Data_Elast!$J:$J,MATCH($B448,Data_Elast!$I:$I,0)),Data_Elast!$A:$A,0),MATCH(Settings!$B$5,Data_Elast!$D$1:$G$1,0))</f>
        <v>-0.4</v>
      </c>
      <c r="H448" s="23">
        <f>INDEX(Data_Elast!$D:$G,MATCH("eff_imp_"&amp;INDEX(Data_Elast!$K:$K,MATCH($B448,Data_Elast!$I:$I,0)),Data_Elast!$A:$A,0),MATCH(Settings!$B$5,Data_Elast!$D$1:$G$1,0))</f>
        <v>5.0000000000000001E-3</v>
      </c>
      <c r="I448" s="23">
        <f>Settings!$B$7</f>
        <v>0</v>
      </c>
      <c r="J448" s="16" t="str">
        <f>INDEX(Data_Elast!$J:$J,MATCH($B448,Data_Elast!$I:$I,0))</f>
        <v>oil</v>
      </c>
    </row>
    <row r="449" spans="1:35" x14ac:dyDescent="0.45">
      <c r="B449" s="14" t="s">
        <v>64</v>
      </c>
      <c r="C449" s="14" t="str">
        <f t="shared" si="161"/>
        <v>irn</v>
      </c>
      <c r="D449" s="22" t="s">
        <v>104</v>
      </c>
      <c r="E449" s="23">
        <f>INDEX(Data_Elast!$D:$G,MATCH("el_inc_"&amp;INDEX(Data_Elast!$J:$J,MATCH($B449,Data_Elast!$I:$I,0)),Data_Elast!$A:$A,0),MATCH(Settings!$B$5,Data_Elast!$D$1:$G$1,0))</f>
        <v>0.8</v>
      </c>
      <c r="F449" s="23">
        <f>INDEX(Data_Elast!$D:$G,MATCH("el_dem_"&amp;INDEX(Data_Elast!$J:$J,MATCH($B449,Data_Elast!$I:$I,0)),Data_Elast!$A:$A,0),MATCH(Settings!$B$5,Data_Elast!$D$1:$G$1,0))</f>
        <v>-0.4</v>
      </c>
      <c r="G449" s="23">
        <f>INDEX(Data_Elast!$D:$G,MATCH("el_eff_"&amp;INDEX(Data_Elast!$J:$J,MATCH($B449,Data_Elast!$I:$I,0)),Data_Elast!$A:$A,0),MATCH(Settings!$B$5,Data_Elast!$D$1:$G$1,0))</f>
        <v>-0.4</v>
      </c>
      <c r="H449" s="23">
        <f>INDEX(Data_Elast!$D:$G,MATCH("eff_imp_"&amp;INDEX(Data_Elast!$K:$K,MATCH($B449,Data_Elast!$I:$I,0)),Data_Elast!$A:$A,0),MATCH(Settings!$B$5,Data_Elast!$D$1:$G$1,0))</f>
        <v>5.0000000000000001E-3</v>
      </c>
      <c r="I449" s="23">
        <f>Settings!$B$7</f>
        <v>0</v>
      </c>
      <c r="J449" s="16" t="str">
        <f>INDEX(Data_Elast!$J:$J,MATCH($B449,Data_Elast!$I:$I,0))</f>
        <v>oil</v>
      </c>
    </row>
    <row r="450" spans="1:35" x14ac:dyDescent="0.45">
      <c r="B450" s="14" t="s">
        <v>67</v>
      </c>
      <c r="C450" s="14" t="str">
        <f t="shared" si="161"/>
        <v>irn</v>
      </c>
      <c r="D450" s="22" t="s">
        <v>105</v>
      </c>
      <c r="E450" s="23">
        <f>INDEX(Data_Elast!$D:$G,MATCH("el_inc_"&amp;INDEX(Data_Elast!$J:$J,MATCH($B450,Data_Elast!$I:$I,0)),Data_Elast!$A:$A,0),MATCH(Settings!$B$5,Data_Elast!$D$1:$G$1,0))</f>
        <v>0.1</v>
      </c>
      <c r="F450" s="23">
        <f>INDEX(Data_Elast!$D:$G,MATCH("el_dem_"&amp;INDEX(Data_Elast!$J:$J,MATCH($B450,Data_Elast!$I:$I,0)),Data_Elast!$A:$A,0),MATCH(Settings!$B$5,Data_Elast!$D$1:$G$1,0))</f>
        <v>-0.3</v>
      </c>
      <c r="G450" s="23">
        <f>INDEX(Data_Elast!$D:$G,MATCH("el_eff_"&amp;INDEX(Data_Elast!$J:$J,MATCH($B450,Data_Elast!$I:$I,0)),Data_Elast!$A:$A,0),MATCH(Settings!$B$5,Data_Elast!$D$1:$G$1,0))</f>
        <v>-0.2</v>
      </c>
      <c r="H450" s="23">
        <f>INDEX(Data_Elast!$D:$G,MATCH("eff_imp_"&amp;INDEX(Data_Elast!$K:$K,MATCH($B450,Data_Elast!$I:$I,0)),Data_Elast!$A:$A,0),MATCH(Settings!$B$5,Data_Elast!$D$1:$G$1,0))</f>
        <v>5.0000000000000001E-3</v>
      </c>
      <c r="I450" s="23">
        <f>Settings!$B$7</f>
        <v>0</v>
      </c>
      <c r="J450" s="16" t="str">
        <f>INDEX(Data_Elast!$J:$J,MATCH($B450,Data_Elast!$I:$I,0))</f>
        <v>bio</v>
      </c>
    </row>
    <row r="451" spans="1:35" x14ac:dyDescent="0.45">
      <c r="B451" s="14" t="s">
        <v>69</v>
      </c>
      <c r="C451" s="14" t="str">
        <f t="shared" si="161"/>
        <v>irn</v>
      </c>
      <c r="D451" s="22" t="s">
        <v>106</v>
      </c>
      <c r="E451" s="23">
        <f>INDEX(Data_Elast!$D:$G,MATCH("el_inc_"&amp;INDEX(Data_Elast!$J:$J,MATCH($B451,Data_Elast!$I:$I,0)),Data_Elast!$A:$A,0),MATCH(Settings!$B$5,Data_Elast!$D$1:$G$1,0))</f>
        <v>0.8</v>
      </c>
      <c r="F451" s="23">
        <f>INDEX(Data_Elast!$D:$G,MATCH("el_dem_"&amp;INDEX(Data_Elast!$J:$J,MATCH($B451,Data_Elast!$I:$I,0)),Data_Elast!$A:$A,0),MATCH(Settings!$B$5,Data_Elast!$D$1:$G$1,0))</f>
        <v>-0.5</v>
      </c>
      <c r="G451" s="23">
        <f>INDEX(Data_Elast!$D:$G,MATCH("el_eff_"&amp;INDEX(Data_Elast!$J:$J,MATCH($B451,Data_Elast!$I:$I,0)),Data_Elast!$A:$A,0),MATCH(Settings!$B$5,Data_Elast!$D$1:$G$1,0))</f>
        <v>-0.4</v>
      </c>
      <c r="H451" s="23">
        <f>INDEX(Data_Elast!$D:$G,MATCH("eff_imp_"&amp;INDEX(Data_Elast!$K:$K,MATCH($B451,Data_Elast!$I:$I,0)),Data_Elast!$A:$A,0),MATCH(Settings!$B$5,Data_Elast!$D$1:$G$1,0))</f>
        <v>5.0000000000000001E-3</v>
      </c>
      <c r="I451" s="23">
        <f>Settings!$B$7</f>
        <v>0</v>
      </c>
      <c r="J451" s="16" t="str">
        <f>INDEX(Data_Elast!$J:$J,MATCH($B451,Data_Elast!$I:$I,0))</f>
        <v>ren</v>
      </c>
    </row>
    <row r="452" spans="1:35" x14ac:dyDescent="0.45">
      <c r="B452" s="13" t="s">
        <v>107</v>
      </c>
    </row>
    <row r="453" spans="1:35" x14ac:dyDescent="0.45">
      <c r="B453" s="14" t="s">
        <v>49</v>
      </c>
      <c r="C453" s="14" t="str">
        <f t="shared" ref="C453:C462" si="162">$C$404</f>
        <v>irn</v>
      </c>
      <c r="D453" s="15" t="s">
        <v>50</v>
      </c>
      <c r="E453" s="16" t="s">
        <v>108</v>
      </c>
      <c r="F453" s="14" t="s">
        <v>109</v>
      </c>
      <c r="G453" s="17" t="str">
        <f>Settings!$B$3&amp;".mit.enc."&amp;$B453</f>
        <v>egy.mit.enc.coa</v>
      </c>
      <c r="H453" s="45" t="str">
        <f>Settings!$B$3&amp;".mit.ener."&amp;$C$404&amp;"."&amp;$B453&amp;".e."&amp;$J$404</f>
        <v>egy.mit.ener.irn.coa.e.2</v>
      </c>
      <c r="I453" t="s">
        <v>2292</v>
      </c>
      <c r="L453" s="47">
        <f>INDEX(Data_Energy!$D$3:$U$22,MATCH($B453,Data_Energy!$C$3:$C$22,0),MATCH($C453,Data_Energy!$D$2:$U$2,0))</f>
        <v>232.65735477013101</v>
      </c>
      <c r="M453" s="24">
        <f>L453*(1+M$438)^($E443*M$439)*(1+M$440)*IF(Rebate_Industry!L$223&lt;=0,1,Rebate_Industry!M$223/Rebate_Industry!L$223)^$F443*(IF(L426&lt;=0,1,M426/L426)^$G443/(1+$H443+$I443))^(1+$F443)</f>
        <v>189.45265610688699</v>
      </c>
      <c r="N453" s="24">
        <f>M453*(1+N$438)^($E443*N$439)*(1+N$440)*IF(Rebate_Industry!M$223&lt;=0,1,Rebate_Industry!N$223/Rebate_Industry!M$223)^$F443*(IF(M426&lt;=0,1,N426/M426)^$G443/(1+$H443+$I443))^(1+$F443)</f>
        <v>217.72883870914094</v>
      </c>
      <c r="O453" s="24">
        <f>N453*(1+O$438)^($E443*O$439)*(1+O$440)*IF(Rebate_Industry!N$223&lt;=0,1,Rebate_Industry!O$223/Rebate_Industry!N$223)^$F443*(IF(N426&lt;=0,1,O426/N426)^$G443/(1+$H443+$I443))^(1+$F443)</f>
        <v>237.89793015048883</v>
      </c>
      <c r="P453" s="24">
        <f>O453*(1+P$438)^($E443*P$439)*(1+P$440)*IF(Rebate_Industry!O$223&lt;=0,1,Rebate_Industry!P$223/Rebate_Industry!O$223)^$F443*(IF(O426&lt;=0,1,P426/O426)^$G443/(1+$H443+$I443))^(1+$F443)</f>
        <v>232.65006903124424</v>
      </c>
      <c r="Q453" s="24">
        <f>P453*(1+Q$438)^($E443*Q$439)*(1+Q$440)*IF(Rebate_Industry!P$223&lt;=0,1,Rebate_Industry!Q$223/Rebate_Industry!P$223)^$F443*(IF(P426&lt;=0,1,Q426/P426)^$G443/(1+$H443+$I443))^(1+$F443)</f>
        <v>218.61847136811463</v>
      </c>
      <c r="R453" s="24">
        <f>Q453*(1+R$438)^($E443*R$439)*(1+R$440)*IF(Rebate_Industry!Q$223&lt;=0,1,Rebate_Industry!R$223/Rebate_Industry!Q$223)^$F443*(IF(Q426&lt;=0,1,R426/Q426)^$G443/(1+$H443+$I443))^(1+$F443)</f>
        <v>210.28498690349488</v>
      </c>
      <c r="S453" s="24">
        <f>R453*(1+S$438)^($E443*S$439)*(1+S$440)*IF(Rebate_Industry!R$223&lt;=0,1,Rebate_Industry!S$223/Rebate_Industry!R$223)^$F443*(IF(R426&lt;=0,1,S426/R426)^$G443/(1+$H443+$I443))^(1+$F443)</f>
        <v>203.14643963897521</v>
      </c>
      <c r="T453" s="24">
        <f>S453*(1+T$438)^($E443*T$439)*(1+T$440)*IF(Rebate_Industry!S$223&lt;=0,1,Rebate_Industry!T$223/Rebate_Industry!S$223)^$F443*(IF(S426&lt;=0,1,T426/S426)^$G443/(1+$H443+$I443))^(1+$F443)</f>
        <v>196.84230886321788</v>
      </c>
      <c r="U453" s="24">
        <f>T453*(1+U$438)^($E443*U$439)*(1+U$440)*IF(Rebate_Industry!T$223&lt;=0,1,Rebate_Industry!U$223/Rebate_Industry!T$223)^$F443*(IF(T426&lt;=0,1,U426/T426)^$G443/(1+$H443+$I443))^(1+$F443)</f>
        <v>191.39075749537983</v>
      </c>
      <c r="V453" s="24">
        <f>U453*(1+V$438)^($E443*V$439)*(1+V$440)*IF(Rebate_Industry!U$223&lt;=0,1,Rebate_Industry!V$223/Rebate_Industry!U$223)^$F443*(IF(U426&lt;=0,1,V426/U426)^$G443/(1+$H443+$I443))^(1+$F443)</f>
        <v>186.2178811492559</v>
      </c>
      <c r="W453" s="24">
        <f>V453*(1+W$438)^($E443*W$439)*(1+W$440)*IF(Rebate_Industry!V$223&lt;=0,1,Rebate_Industry!W$223/Rebate_Industry!V$223)^$F443*(IF(V426&lt;=0,1,W426/V426)^$G443/(1+$H443+$I443))^(1+$F443)</f>
        <v>181.78008799508211</v>
      </c>
      <c r="X453" s="24">
        <f>W453*(1+X$438)^($E443*X$439)*(1+X$440)*IF(Rebate_Industry!W$223&lt;=0,1,Rebate_Industry!X$223/Rebate_Industry!W$223)^$F443*(IF(W426&lt;=0,1,X426/W426)^$G443/(1+$H443+$I443))^(1+$F443)</f>
        <v>177.97349187208462</v>
      </c>
      <c r="Y453" s="24">
        <f>X453*(1+Y$438)^($E443*Y$439)*(1+Y$440)*IF(Rebate_Industry!X$223&lt;=0,1,Rebate_Industry!Y$223/Rebate_Industry!X$223)^$F443*(IF(X426&lt;=0,1,Y426/X426)^$G443/(1+$H443+$I443))^(1+$F443)</f>
        <v>174.72635256308322</v>
      </c>
      <c r="Z453" s="24">
        <f>Y453*(1+Z$438)^($E443*Z$439)*(1+Z$440)*IF(Rebate_Industry!Y$223&lt;=0,1,Rebate_Industry!Z$223/Rebate_Industry!Y$223)^$F443*(IF(Y426&lt;=0,1,Z426/Y426)^$G443/(1+$H443+$I443))^(1+$F443)</f>
        <v>171.99928670368777</v>
      </c>
      <c r="AA453" s="24">
        <f>Z453*(1+AA$438)^($E443*AA$439)*(1+AA$440)*IF(Rebate_Industry!Z$223&lt;=0,1,Rebate_Industry!AA$223/Rebate_Industry!Z$223)^$F443*(IF(Z426&lt;=0,1,AA426/Z426)^$G443/(1+$H443+$I443))^(1+$F443)</f>
        <v>169.74391219112042</v>
      </c>
      <c r="AB453" s="24">
        <f>AA453*(1+AB$438)^($E443*AB$439)*(1+AB$440)*IF(Rebate_Industry!AA$223&lt;=0,1,Rebate_Industry!AB$223/Rebate_Industry!AA$223)^$F443*(IF(AA426&lt;=0,1,AB426/AA426)^$G443/(1+$H443+$I443))^(1+$F443)</f>
        <v>167.91465652501745</v>
      </c>
      <c r="AC453" s="24">
        <f>AB453*(1+AC$438)^($E443*AC$439)*(1+AC$440)*IF(Rebate_Industry!AB$223&lt;=0,1,Rebate_Industry!AC$223/Rebate_Industry!AB$223)^$F443*(IF(AB426&lt;=0,1,AC426/AB426)^$G443/(1+$H443+$I443))^(1+$F443)</f>
        <v>166.45600964782685</v>
      </c>
      <c r="AD453" s="24">
        <f>AC453*(1+AD$438)^($E443*AD$439)*(1+AD$440)*IF(Rebate_Industry!AC$223&lt;=0,1,Rebate_Industry!AD$223/Rebate_Industry!AC$223)^$F443*(IF(AC426&lt;=0,1,AD426/AC426)^$G443/(1+$H443+$I443))^(1+$F443)</f>
        <v>165.32123471166477</v>
      </c>
      <c r="AE453" s="24">
        <f>AD453*(1+AE$438)^($E443*AE$439)*(1+AE$440)*IF(Rebate_Industry!AD$223&lt;=0,1,Rebate_Industry!AE$223/Rebate_Industry!AD$223)^$F443*(IF(AD426&lt;=0,1,AE426/AD426)^$G443/(1+$H443+$I443))^(1+$F443)</f>
        <v>164.47316873515103</v>
      </c>
    </row>
    <row r="454" spans="1:35" x14ac:dyDescent="0.45">
      <c r="B454" s="14" t="s">
        <v>53</v>
      </c>
      <c r="C454" s="14" t="str">
        <f t="shared" si="162"/>
        <v>irn</v>
      </c>
      <c r="D454" s="15" t="s">
        <v>54</v>
      </c>
      <c r="E454" s="16" t="s">
        <v>108</v>
      </c>
      <c r="F454" s="14" t="s">
        <v>109</v>
      </c>
      <c r="G454" s="17" t="str">
        <f>Settings!$B$3&amp;".mit.enc."&amp;$B454</f>
        <v>egy.mit.enc.nga</v>
      </c>
      <c r="H454" s="45" t="str">
        <f>Settings!$B$3&amp;".mit.ener."&amp;$C$404&amp;"."&amp;$B454&amp;".e."&amp;$J$404</f>
        <v>egy.mit.ener.irn.nga.e.2</v>
      </c>
      <c r="I454" t="s">
        <v>2293</v>
      </c>
      <c r="L454" s="47">
        <f>INDEX(Data_Energy!$D$3:$U$22,MATCH($B454,Data_Energy!$C$3:$C$22,0),MATCH($C454,Data_Energy!$D$2:$U$2,0))</f>
        <v>1669.05671904213</v>
      </c>
      <c r="M454" s="24">
        <f>L454*(1+M$438)^($E444*M$439)*(1+M$440)*IF(Rebate_Industry!L$224&lt;=0,1,Rebate_Industry!M$224/Rebate_Industry!L$224)^$F444*(IF(L427&lt;=0,1,M427/L427)^$G444/(1+$H444+$I444))^(1+$F444)</f>
        <v>1431.7775208824874</v>
      </c>
      <c r="N454" s="24">
        <f>M454*(1+N$438)^($E444*N$439)*(1+N$440)*IF(Rebate_Industry!M$224&lt;=0,1,Rebate_Industry!N$224/Rebate_Industry!M$224)^$F444*(IF(M427&lt;=0,1,N427/M427)^$G444/(1+$H444+$I444))^(1+$F444)</f>
        <v>1603.1180815212331</v>
      </c>
      <c r="O454" s="24">
        <f>N454*(1+O$438)^($E444*O$439)*(1+O$440)*IF(Rebate_Industry!N$224&lt;=0,1,Rebate_Industry!O$224/Rebate_Industry!N$224)^$F444*(IF(N427&lt;=0,1,O427/N427)^$G444/(1+$H444+$I444))^(1+$F444)</f>
        <v>1666.4691074748598</v>
      </c>
      <c r="P454" s="24">
        <f>O454*(1+P$438)^($E444*P$439)*(1+P$440)*IF(Rebate_Industry!O$224&lt;=0,1,Rebate_Industry!P$224/Rebate_Industry!O$224)^$F444*(IF(O427&lt;=0,1,P427/O427)^$G444/(1+$H444+$I444))^(1+$F444)</f>
        <v>1729.0519522219979</v>
      </c>
      <c r="Q454" s="24">
        <f>P454*(1+Q$438)^($E444*Q$439)*(1+Q$440)*IF(Rebate_Industry!P$224&lt;=0,1,Rebate_Industry!Q$224/Rebate_Industry!P$224)^$F444*(IF(P427&lt;=0,1,Q427/P427)^$G444/(1+$H444+$I444))^(1+$F444)</f>
        <v>1637.7863258003924</v>
      </c>
      <c r="R454" s="24">
        <f>Q454*(1+R$438)^($E444*R$439)*(1+R$440)*IF(Rebate_Industry!Q$224&lt;=0,1,Rebate_Industry!R$224/Rebate_Industry!Q$224)^$F444*(IF(Q427&lt;=0,1,R427/Q427)^$G444/(1+$H444+$I444))^(1+$F444)</f>
        <v>1578.6642302926864</v>
      </c>
      <c r="S454" s="24">
        <f>R454*(1+S$438)^($E444*S$439)*(1+S$440)*IF(Rebate_Industry!R$224&lt;=0,1,Rebate_Industry!S$224/Rebate_Industry!R$224)^$F444*(IF(R427&lt;=0,1,S427/R427)^$G444/(1+$H444+$I444))^(1+$F444)</f>
        <v>1529.186426457856</v>
      </c>
      <c r="T454" s="24">
        <f>S454*(1+T$438)^($E444*T$439)*(1+T$440)*IF(Rebate_Industry!S$224&lt;=0,1,Rebate_Industry!T$224/Rebate_Industry!S$224)^$F444*(IF(S427&lt;=0,1,T427/S427)^$G444/(1+$H444+$I444))^(1+$F444)</f>
        <v>1485.5462441642121</v>
      </c>
      <c r="U454" s="24">
        <f>T454*(1+U$438)^($E444*U$439)*(1+U$440)*IF(Rebate_Industry!T$224&lt;=0,1,Rebate_Industry!U$224/Rebate_Industry!T$224)^$F444*(IF(T427&lt;=0,1,U427/T427)^$G444/(1+$H444+$I444))^(1+$F444)</f>
        <v>1450.0773513762758</v>
      </c>
      <c r="V454" s="24">
        <f>U454*(1+V$438)^($E444*V$439)*(1+V$440)*IF(Rebate_Industry!U$224&lt;=0,1,Rebate_Industry!V$224/Rebate_Industry!U$224)^$F444*(IF(U427&lt;=0,1,V427/U427)^$G444/(1+$H444+$I444))^(1+$F444)</f>
        <v>1421.68890759584</v>
      </c>
      <c r="W454" s="24">
        <f>V454*(1+W$438)^($E444*W$439)*(1+W$440)*IF(Rebate_Industry!V$224&lt;=0,1,Rebate_Industry!W$224/Rebate_Industry!V$224)^$F444*(IF(V427&lt;=0,1,W427/V427)^$G444/(1+$H444+$I444))^(1+$F444)</f>
        <v>1399.5811578972732</v>
      </c>
      <c r="X454" s="24">
        <f>W454*(1+X$438)^($E444*X$439)*(1+X$440)*IF(Rebate_Industry!W$224&lt;=0,1,Rebate_Industry!X$224/Rebate_Industry!W$224)^$F444*(IF(W427&lt;=0,1,X427/W427)^$G444/(1+$H444+$I444))^(1+$F444)</f>
        <v>1383.0540457815339</v>
      </c>
      <c r="Y454" s="24">
        <f>X454*(1+Y$438)^($E444*Y$439)*(1+Y$440)*IF(Rebate_Industry!X$224&lt;=0,1,Rebate_Industry!Y$224/Rebate_Industry!X$224)^$F444*(IF(X427&lt;=0,1,Y427/X427)^$G444/(1+$H444+$I444))^(1+$F444)</f>
        <v>1371.7254363432983</v>
      </c>
      <c r="Z454" s="24">
        <f>Y454*(1+Z$438)^($E444*Z$439)*(1+Z$440)*IF(Rebate_Industry!Y$224&lt;=0,1,Rebate_Industry!Z$224/Rebate_Industry!Y$224)^$F444*(IF(Y427&lt;=0,1,Z427/Y427)^$G444/(1+$H444+$I444))^(1+$F444)</f>
        <v>1365.5951108489835</v>
      </c>
      <c r="AA454" s="24">
        <f>Z454*(1+AA$438)^($E444*AA$439)*(1+AA$440)*IF(Rebate_Industry!Z$224&lt;=0,1,Rebate_Industry!AA$224/Rebate_Industry!Z$224)^$F444*(IF(Z427&lt;=0,1,AA427/Z427)^$G444/(1+$H444+$I444))^(1+$F444)</f>
        <v>1364.4341895239882</v>
      </c>
      <c r="AB454" s="24">
        <f>AA454*(1+AB$438)^($E444*AB$439)*(1+AB$440)*IF(Rebate_Industry!AA$224&lt;=0,1,Rebate_Industry!AB$224/Rebate_Industry!AA$224)^$F444*(IF(AA427&lt;=0,1,AB427/AA427)^$G444/(1+$H444+$I444))^(1+$F444)</f>
        <v>1367.9863527047892</v>
      </c>
      <c r="AC454" s="24">
        <f>AB454*(1+AC$438)^($E444*AC$439)*(1+AC$440)*IF(Rebate_Industry!AB$224&lt;=0,1,Rebate_Industry!AC$224/Rebate_Industry!AB$224)^$F444*(IF(AB427&lt;=0,1,AC427/AB427)^$G444/(1+$H444+$I444))^(1+$F444)</f>
        <v>1375.7703000424308</v>
      </c>
      <c r="AD454" s="24">
        <f>AC454*(1+AD$438)^($E444*AD$439)*(1+AD$440)*IF(Rebate_Industry!AC$224&lt;=0,1,Rebate_Industry!AD$224/Rebate_Industry!AC$224)^$F444*(IF(AC427&lt;=0,1,AD427/AC427)^$G444/(1+$H444+$I444))^(1+$F444)</f>
        <v>1387.3865840128042</v>
      </c>
      <c r="AE454" s="24">
        <f>AD454*(1+AE$438)^($E444*AE$439)*(1+AE$440)*IF(Rebate_Industry!AD$224&lt;=0,1,Rebate_Industry!AE$224/Rebate_Industry!AD$224)^$F444*(IF(AD427&lt;=0,1,AE427/AD427)^$G444/(1+$H444+$I444))^(1+$F444)</f>
        <v>1402.5434936424028</v>
      </c>
    </row>
    <row r="455" spans="1:35" x14ac:dyDescent="0.45">
      <c r="B455" s="14" t="s">
        <v>55</v>
      </c>
      <c r="C455" s="14" t="str">
        <f t="shared" si="162"/>
        <v>irn</v>
      </c>
      <c r="D455" s="15" t="s">
        <v>56</v>
      </c>
      <c r="E455" s="16" t="s">
        <v>108</v>
      </c>
      <c r="F455" s="14" t="s">
        <v>109</v>
      </c>
      <c r="G455" s="17" t="str">
        <f>Settings!$B$3&amp;".mit.enc."&amp;$B455</f>
        <v>egy.mit.enc.gso</v>
      </c>
      <c r="H455" s="45" t="str">
        <f>Settings!$B$3&amp;".mit.ener."&amp;$C$404&amp;"."&amp;$B455&amp;".e."&amp;$J$404</f>
        <v>egy.mit.ener.irn.gso.e.2</v>
      </c>
      <c r="I455" t="s">
        <v>2294</v>
      </c>
      <c r="L455" s="47">
        <f>INDEX(Data_Energy!$D$3:$U$22,MATCH($B455,Data_Energy!$C$3:$C$22,0),MATCH($C455,Data_Energy!$D$2:$U$2,0))</f>
        <v>0</v>
      </c>
      <c r="M455" s="24">
        <f>L455*(1+M$438)^($E445*M$439)*(1+M$440)*IF(Rebate_Industry!L$225&lt;=0,1,Rebate_Industry!M$225/Rebate_Industry!L$225)^$F445*(IF(L428&lt;=0,1,M428/L428)^$G445/(1+$H445+$I445))^(1+$F445)</f>
        <v>0</v>
      </c>
      <c r="N455" s="24">
        <f>M455*(1+N$438)^($E445*N$439)*(1+N$440)*IF(Rebate_Industry!M$225&lt;=0,1,Rebate_Industry!N$225/Rebate_Industry!M$225)^$F445*(IF(M428&lt;=0,1,N428/M428)^$G445/(1+$H445+$I445))^(1+$F445)</f>
        <v>0</v>
      </c>
      <c r="O455" s="24">
        <f>N455*(1+O$438)^($E445*O$439)*(1+O$440)*IF(Rebate_Industry!N$225&lt;=0,1,Rebate_Industry!O$225/Rebate_Industry!N$225)^$F445*(IF(N428&lt;=0,1,O428/N428)^$G445/(1+$H445+$I445))^(1+$F445)</f>
        <v>0</v>
      </c>
      <c r="P455" s="24">
        <f>O455*(1+P$438)^($E445*P$439)*(1+P$440)*IF(Rebate_Industry!O$225&lt;=0,1,Rebate_Industry!P$225/Rebate_Industry!O$225)^$F445*(IF(O428&lt;=0,1,P428/O428)^$G445/(1+$H445+$I445))^(1+$F445)</f>
        <v>0</v>
      </c>
      <c r="Q455" s="24">
        <f>P455*(1+Q$438)^($E445*Q$439)*(1+Q$440)*IF(Rebate_Industry!P$225&lt;=0,1,Rebate_Industry!Q$225/Rebate_Industry!P$225)^$F445*(IF(P428&lt;=0,1,Q428/P428)^$G445/(1+$H445+$I445))^(1+$F445)</f>
        <v>0</v>
      </c>
      <c r="R455" s="24">
        <f>Q455*(1+R$438)^($E445*R$439)*(1+R$440)*IF(Rebate_Industry!Q$225&lt;=0,1,Rebate_Industry!R$225/Rebate_Industry!Q$225)^$F445*(IF(Q428&lt;=0,1,R428/Q428)^$G445/(1+$H445+$I445))^(1+$F445)</f>
        <v>0</v>
      </c>
      <c r="S455" s="24">
        <f>R455*(1+S$438)^($E445*S$439)*(1+S$440)*IF(Rebate_Industry!R$225&lt;=0,1,Rebate_Industry!S$225/Rebate_Industry!R$225)^$F445*(IF(R428&lt;=0,1,S428/R428)^$G445/(1+$H445+$I445))^(1+$F445)</f>
        <v>0</v>
      </c>
      <c r="T455" s="24">
        <f>S455*(1+T$438)^($E445*T$439)*(1+T$440)*IF(Rebate_Industry!S$225&lt;=0,1,Rebate_Industry!T$225/Rebate_Industry!S$225)^$F445*(IF(S428&lt;=0,1,T428/S428)^$G445/(1+$H445+$I445))^(1+$F445)</f>
        <v>0</v>
      </c>
      <c r="U455" s="24">
        <f>T455*(1+U$438)^($E445*U$439)*(1+U$440)*IF(Rebate_Industry!T$225&lt;=0,1,Rebate_Industry!U$225/Rebate_Industry!T$225)^$F445*(IF(T428&lt;=0,1,U428/T428)^$G445/(1+$H445+$I445))^(1+$F445)</f>
        <v>0</v>
      </c>
      <c r="V455" s="24">
        <f>U455*(1+V$438)^($E445*V$439)*(1+V$440)*IF(Rebate_Industry!U$225&lt;=0,1,Rebate_Industry!V$225/Rebate_Industry!U$225)^$F445*(IF(U428&lt;=0,1,V428/U428)^$G445/(1+$H445+$I445))^(1+$F445)</f>
        <v>0</v>
      </c>
      <c r="W455" s="24">
        <f>V455*(1+W$438)^($E445*W$439)*(1+W$440)*IF(Rebate_Industry!V$225&lt;=0,1,Rebate_Industry!W$225/Rebate_Industry!V$225)^$F445*(IF(V428&lt;=0,1,W428/V428)^$G445/(1+$H445+$I445))^(1+$F445)</f>
        <v>0</v>
      </c>
      <c r="X455" s="24">
        <f>W455*(1+X$438)^($E445*X$439)*(1+X$440)*IF(Rebate_Industry!W$225&lt;=0,1,Rebate_Industry!X$225/Rebate_Industry!W$225)^$F445*(IF(W428&lt;=0,1,X428/W428)^$G445/(1+$H445+$I445))^(1+$F445)</f>
        <v>0</v>
      </c>
      <c r="Y455" s="24">
        <f>X455*(1+Y$438)^($E445*Y$439)*(1+Y$440)*IF(Rebate_Industry!X$225&lt;=0,1,Rebate_Industry!Y$225/Rebate_Industry!X$225)^$F445*(IF(X428&lt;=0,1,Y428/X428)^$G445/(1+$H445+$I445))^(1+$F445)</f>
        <v>0</v>
      </c>
      <c r="Z455" s="24">
        <f>Y455*(1+Z$438)^($E445*Z$439)*(1+Z$440)*IF(Rebate_Industry!Y$225&lt;=0,1,Rebate_Industry!Z$225/Rebate_Industry!Y$225)^$F445*(IF(Y428&lt;=0,1,Z428/Y428)^$G445/(1+$H445+$I445))^(1+$F445)</f>
        <v>0</v>
      </c>
      <c r="AA455" s="24">
        <f>Z455*(1+AA$438)^($E445*AA$439)*(1+AA$440)*IF(Rebate_Industry!Z$225&lt;=0,1,Rebate_Industry!AA$225/Rebate_Industry!Z$225)^$F445*(IF(Z428&lt;=0,1,AA428/Z428)^$G445/(1+$H445+$I445))^(1+$F445)</f>
        <v>0</v>
      </c>
      <c r="AB455" s="24">
        <f>AA455*(1+AB$438)^($E445*AB$439)*(1+AB$440)*IF(Rebate_Industry!AA$225&lt;=0,1,Rebate_Industry!AB$225/Rebate_Industry!AA$225)^$F445*(IF(AA428&lt;=0,1,AB428/AA428)^$G445/(1+$H445+$I445))^(1+$F445)</f>
        <v>0</v>
      </c>
      <c r="AC455" s="24">
        <f>AB455*(1+AC$438)^($E445*AC$439)*(1+AC$440)*IF(Rebate_Industry!AB$225&lt;=0,1,Rebate_Industry!AC$225/Rebate_Industry!AB$225)^$F445*(IF(AB428&lt;=0,1,AC428/AB428)^$G445/(1+$H445+$I445))^(1+$F445)</f>
        <v>0</v>
      </c>
      <c r="AD455" s="24">
        <f>AC455*(1+AD$438)^($E445*AD$439)*(1+AD$440)*IF(Rebate_Industry!AC$225&lt;=0,1,Rebate_Industry!AD$225/Rebate_Industry!AC$225)^$F445*(IF(AC428&lt;=0,1,AD428/AC428)^$G445/(1+$H445+$I445))^(1+$F445)</f>
        <v>0</v>
      </c>
      <c r="AE455" s="24">
        <f>AD455*(1+AE$438)^($E445*AE$439)*(1+AE$440)*IF(Rebate_Industry!AD$225&lt;=0,1,Rebate_Industry!AE$225/Rebate_Industry!AD$225)^$F445*(IF(AD428&lt;=0,1,AE428/AD428)^$G445/(1+$H445+$I445))^(1+$F445)</f>
        <v>0</v>
      </c>
    </row>
    <row r="456" spans="1:35" x14ac:dyDescent="0.45">
      <c r="B456" s="14" t="s">
        <v>58</v>
      </c>
      <c r="C456" s="14" t="str">
        <f t="shared" si="162"/>
        <v>irn</v>
      </c>
      <c r="D456" s="15" t="s">
        <v>59</v>
      </c>
      <c r="E456" s="16" t="s">
        <v>108</v>
      </c>
      <c r="F456" s="14" t="s">
        <v>109</v>
      </c>
      <c r="G456" s="17" t="str">
        <f>Settings!$B$3&amp;".mit.enc."&amp;$B456</f>
        <v>egy.mit.enc.die</v>
      </c>
      <c r="H456" s="45" t="str">
        <f>Settings!$B$3&amp;".mit.ener."&amp;$C$404&amp;"."&amp;$B456&amp;".e."&amp;$J$404</f>
        <v>egy.mit.ener.irn.die.e.2</v>
      </c>
      <c r="I456" t="s">
        <v>2295</v>
      </c>
      <c r="L456" s="47">
        <f>INDEX(Data_Energy!$D$3:$U$22,MATCH($B456,Data_Energy!$C$3:$C$22,0),MATCH($C456,Data_Energy!$D$2:$U$2,0))</f>
        <v>0</v>
      </c>
      <c r="M456" s="24">
        <f>L456*(1+M$438)^($E446*M$439)*(1+M$440)*IF(Rebate_Industry!L$226&lt;=0,1,Rebate_Industry!M$226/Rebate_Industry!L$226)^$F446*(IF(L429&lt;=0,1,M429/L429)^$G446/(1+$H446+$I446))^(1+$F446)</f>
        <v>0</v>
      </c>
      <c r="N456" s="24">
        <f>M456*(1+N$438)^($E446*N$439)*(1+N$440)*IF(Rebate_Industry!M$226&lt;=0,1,Rebate_Industry!N$226/Rebate_Industry!M$226)^$F446*(IF(M429&lt;=0,1,N429/M429)^$G446/(1+$H446+$I446))^(1+$F446)</f>
        <v>0</v>
      </c>
      <c r="O456" s="24">
        <f>N456*(1+O$438)^($E446*O$439)*(1+O$440)*IF(Rebate_Industry!N$226&lt;=0,1,Rebate_Industry!O$226/Rebate_Industry!N$226)^$F446*(IF(N429&lt;=0,1,O429/N429)^$G446/(1+$H446+$I446))^(1+$F446)</f>
        <v>0</v>
      </c>
      <c r="P456" s="24">
        <f>O456*(1+P$438)^($E446*P$439)*(1+P$440)*IF(Rebate_Industry!O$226&lt;=0,1,Rebate_Industry!P$226/Rebate_Industry!O$226)^$F446*(IF(O429&lt;=0,1,P429/O429)^$G446/(1+$H446+$I446))^(1+$F446)</f>
        <v>0</v>
      </c>
      <c r="Q456" s="24">
        <f>P456*(1+Q$438)^($E446*Q$439)*(1+Q$440)*IF(Rebate_Industry!P$226&lt;=0,1,Rebate_Industry!Q$226/Rebate_Industry!P$226)^$F446*(IF(P429&lt;=0,1,Q429/P429)^$G446/(1+$H446+$I446))^(1+$F446)</f>
        <v>0</v>
      </c>
      <c r="R456" s="24">
        <f>Q456*(1+R$438)^($E446*R$439)*(1+R$440)*IF(Rebate_Industry!Q$226&lt;=0,1,Rebate_Industry!R$226/Rebate_Industry!Q$226)^$F446*(IF(Q429&lt;=0,1,R429/Q429)^$G446/(1+$H446+$I446))^(1+$F446)</f>
        <v>0</v>
      </c>
      <c r="S456" s="24">
        <f>R456*(1+S$438)^($E446*S$439)*(1+S$440)*IF(Rebate_Industry!R$226&lt;=0,1,Rebate_Industry!S$226/Rebate_Industry!R$226)^$F446*(IF(R429&lt;=0,1,S429/R429)^$G446/(1+$H446+$I446))^(1+$F446)</f>
        <v>0</v>
      </c>
      <c r="T456" s="24">
        <f>S456*(1+T$438)^($E446*T$439)*(1+T$440)*IF(Rebate_Industry!S$226&lt;=0,1,Rebate_Industry!T$226/Rebate_Industry!S$226)^$F446*(IF(S429&lt;=0,1,T429/S429)^$G446/(1+$H446+$I446))^(1+$F446)</f>
        <v>0</v>
      </c>
      <c r="U456" s="24">
        <f>T456*(1+U$438)^($E446*U$439)*(1+U$440)*IF(Rebate_Industry!T$226&lt;=0,1,Rebate_Industry!U$226/Rebate_Industry!T$226)^$F446*(IF(T429&lt;=0,1,U429/T429)^$G446/(1+$H446+$I446))^(1+$F446)</f>
        <v>0</v>
      </c>
      <c r="V456" s="24">
        <f>U456*(1+V$438)^($E446*V$439)*(1+V$440)*IF(Rebate_Industry!U$226&lt;=0,1,Rebate_Industry!V$226/Rebate_Industry!U$226)^$F446*(IF(U429&lt;=0,1,V429/U429)^$G446/(1+$H446+$I446))^(1+$F446)</f>
        <v>0</v>
      </c>
      <c r="W456" s="24">
        <f>V456*(1+W$438)^($E446*W$439)*(1+W$440)*IF(Rebate_Industry!V$226&lt;=0,1,Rebate_Industry!W$226/Rebate_Industry!V$226)^$F446*(IF(V429&lt;=0,1,W429/V429)^$G446/(1+$H446+$I446))^(1+$F446)</f>
        <v>0</v>
      </c>
      <c r="X456" s="24">
        <f>W456*(1+X$438)^($E446*X$439)*(1+X$440)*IF(Rebate_Industry!W$226&lt;=0,1,Rebate_Industry!X$226/Rebate_Industry!W$226)^$F446*(IF(W429&lt;=0,1,X429/W429)^$G446/(1+$H446+$I446))^(1+$F446)</f>
        <v>0</v>
      </c>
      <c r="Y456" s="24">
        <f>X456*(1+Y$438)^($E446*Y$439)*(1+Y$440)*IF(Rebate_Industry!X$226&lt;=0,1,Rebate_Industry!Y$226/Rebate_Industry!X$226)^$F446*(IF(X429&lt;=0,1,Y429/X429)^$G446/(1+$H446+$I446))^(1+$F446)</f>
        <v>0</v>
      </c>
      <c r="Z456" s="24">
        <f>Y456*(1+Z$438)^($E446*Z$439)*(1+Z$440)*IF(Rebate_Industry!Y$226&lt;=0,1,Rebate_Industry!Z$226/Rebate_Industry!Y$226)^$F446*(IF(Y429&lt;=0,1,Z429/Y429)^$G446/(1+$H446+$I446))^(1+$F446)</f>
        <v>0</v>
      </c>
      <c r="AA456" s="24">
        <f>Z456*(1+AA$438)^($E446*AA$439)*(1+AA$440)*IF(Rebate_Industry!Z$226&lt;=0,1,Rebate_Industry!AA$226/Rebate_Industry!Z$226)^$F446*(IF(Z429&lt;=0,1,AA429/Z429)^$G446/(1+$H446+$I446))^(1+$F446)</f>
        <v>0</v>
      </c>
      <c r="AB456" s="24">
        <f>AA456*(1+AB$438)^($E446*AB$439)*(1+AB$440)*IF(Rebate_Industry!AA$226&lt;=0,1,Rebate_Industry!AB$226/Rebate_Industry!AA$226)^$F446*(IF(AA429&lt;=0,1,AB429/AA429)^$G446/(1+$H446+$I446))^(1+$F446)</f>
        <v>0</v>
      </c>
      <c r="AC456" s="24">
        <f>AB456*(1+AC$438)^($E446*AC$439)*(1+AC$440)*IF(Rebate_Industry!AB$226&lt;=0,1,Rebate_Industry!AC$226/Rebate_Industry!AB$226)^$F446*(IF(AB429&lt;=0,1,AC429/AB429)^$G446/(1+$H446+$I446))^(1+$F446)</f>
        <v>0</v>
      </c>
      <c r="AD456" s="24">
        <f>AC456*(1+AD$438)^($E446*AD$439)*(1+AD$440)*IF(Rebate_Industry!AC$226&lt;=0,1,Rebate_Industry!AD$226/Rebate_Industry!AC$226)^$F446*(IF(AC429&lt;=0,1,AD429/AC429)^$G446/(1+$H446+$I446))^(1+$F446)</f>
        <v>0</v>
      </c>
      <c r="AE456" s="24">
        <f>AD456*(1+AE$438)^($E446*AE$439)*(1+AE$440)*IF(Rebate_Industry!AD$226&lt;=0,1,Rebate_Industry!AE$226/Rebate_Industry!AD$226)^$F446*(IF(AD429&lt;=0,1,AE429/AD429)^$G446/(1+$H446+$I446))^(1+$F446)</f>
        <v>0</v>
      </c>
    </row>
    <row r="457" spans="1:35" x14ac:dyDescent="0.45">
      <c r="B457" s="14" t="s">
        <v>60</v>
      </c>
      <c r="C457" s="14" t="str">
        <f t="shared" si="162"/>
        <v>irn</v>
      </c>
      <c r="D457" s="15" t="s">
        <v>61</v>
      </c>
      <c r="E457" s="16" t="s">
        <v>108</v>
      </c>
      <c r="F457" s="14" t="s">
        <v>109</v>
      </c>
      <c r="G457" s="17" t="str">
        <f>Settings!$B$3&amp;".mit.enc."&amp;$B457</f>
        <v>egy.mit.enc.lpg</v>
      </c>
      <c r="H457" s="45" t="str">
        <f>Settings!$B$3&amp;".mit.ener."&amp;$C$404&amp;"."&amp;$B457&amp;".e."&amp;$J$404</f>
        <v>egy.mit.ener.irn.lpg.e.2</v>
      </c>
      <c r="I457" t="s">
        <v>2296</v>
      </c>
      <c r="L457" s="47">
        <f>INDEX(Data_Energy!$D$3:$U$22,MATCH($B457,Data_Energy!$C$3:$C$22,0),MATCH($C457,Data_Energy!$D$2:$U$2,0))</f>
        <v>0</v>
      </c>
      <c r="M457" s="24">
        <f>L457*(1+M$438)^($E447*M$439)*(1+M$440)*IF(Rebate_Industry!L$227&lt;=0,1,Rebate_Industry!M$227/Rebate_Industry!L$227)^$F447*(IF(L430&lt;=0,1,M430/L430)^$G447/(1+$H447+$I447))^(1+$F447)</f>
        <v>0</v>
      </c>
      <c r="N457" s="24">
        <f>M457*(1+N$438)^($E447*N$439)*(1+N$440)*IF(Rebate_Industry!M$227&lt;=0,1,Rebate_Industry!N$227/Rebate_Industry!M$227)^$F447*(IF(M430&lt;=0,1,N430/M430)^$G447/(1+$H447+$I447))^(1+$F447)</f>
        <v>0</v>
      </c>
      <c r="O457" s="24">
        <f>N457*(1+O$438)^($E447*O$439)*(1+O$440)*IF(Rebate_Industry!N$227&lt;=0,1,Rebate_Industry!O$227/Rebate_Industry!N$227)^$F447*(IF(N430&lt;=0,1,O430/N430)^$G447/(1+$H447+$I447))^(1+$F447)</f>
        <v>0</v>
      </c>
      <c r="P457" s="24">
        <f>O457*(1+P$438)^($E447*P$439)*(1+P$440)*IF(Rebate_Industry!O$227&lt;=0,1,Rebate_Industry!P$227/Rebate_Industry!O$227)^$F447*(IF(O430&lt;=0,1,P430/O430)^$G447/(1+$H447+$I447))^(1+$F447)</f>
        <v>0</v>
      </c>
      <c r="Q457" s="24">
        <f>P457*(1+Q$438)^($E447*Q$439)*(1+Q$440)*IF(Rebate_Industry!P$227&lt;=0,1,Rebate_Industry!Q$227/Rebate_Industry!P$227)^$F447*(IF(P430&lt;=0,1,Q430/P430)^$G447/(1+$H447+$I447))^(1+$F447)</f>
        <v>0</v>
      </c>
      <c r="R457" s="24">
        <f>Q457*(1+R$438)^($E447*R$439)*(1+R$440)*IF(Rebate_Industry!Q$227&lt;=0,1,Rebate_Industry!R$227/Rebate_Industry!Q$227)^$F447*(IF(Q430&lt;=0,1,R430/Q430)^$G447/(1+$H447+$I447))^(1+$F447)</f>
        <v>0</v>
      </c>
      <c r="S457" s="24">
        <f>R457*(1+S$438)^($E447*S$439)*(1+S$440)*IF(Rebate_Industry!R$227&lt;=0,1,Rebate_Industry!S$227/Rebate_Industry!R$227)^$F447*(IF(R430&lt;=0,1,S430/R430)^$G447/(1+$H447+$I447))^(1+$F447)</f>
        <v>0</v>
      </c>
      <c r="T457" s="24">
        <f>S457*(1+T$438)^($E447*T$439)*(1+T$440)*IF(Rebate_Industry!S$227&lt;=0,1,Rebate_Industry!T$227/Rebate_Industry!S$227)^$F447*(IF(S430&lt;=0,1,T430/S430)^$G447/(1+$H447+$I447))^(1+$F447)</f>
        <v>0</v>
      </c>
      <c r="U457" s="24">
        <f>T457*(1+U$438)^($E447*U$439)*(1+U$440)*IF(Rebate_Industry!T$227&lt;=0,1,Rebate_Industry!U$227/Rebate_Industry!T$227)^$F447*(IF(T430&lt;=0,1,U430/T430)^$G447/(1+$H447+$I447))^(1+$F447)</f>
        <v>0</v>
      </c>
      <c r="V457" s="24">
        <f>U457*(1+V$438)^($E447*V$439)*(1+V$440)*IF(Rebate_Industry!U$227&lt;=0,1,Rebate_Industry!V$227/Rebate_Industry!U$227)^$F447*(IF(U430&lt;=0,1,V430/U430)^$G447/(1+$H447+$I447))^(1+$F447)</f>
        <v>0</v>
      </c>
      <c r="W457" s="24">
        <f>V457*(1+W$438)^($E447*W$439)*(1+W$440)*IF(Rebate_Industry!V$227&lt;=0,1,Rebate_Industry!W$227/Rebate_Industry!V$227)^$F447*(IF(V430&lt;=0,1,W430/V430)^$G447/(1+$H447+$I447))^(1+$F447)</f>
        <v>0</v>
      </c>
      <c r="X457" s="24">
        <f>W457*(1+X$438)^($E447*X$439)*(1+X$440)*IF(Rebate_Industry!W$227&lt;=0,1,Rebate_Industry!X$227/Rebate_Industry!W$227)^$F447*(IF(W430&lt;=0,1,X430/W430)^$G447/(1+$H447+$I447))^(1+$F447)</f>
        <v>0</v>
      </c>
      <c r="Y457" s="24">
        <f>X457*(1+Y$438)^($E447*Y$439)*(1+Y$440)*IF(Rebate_Industry!X$227&lt;=0,1,Rebate_Industry!Y$227/Rebate_Industry!X$227)^$F447*(IF(X430&lt;=0,1,Y430/X430)^$G447/(1+$H447+$I447))^(1+$F447)</f>
        <v>0</v>
      </c>
      <c r="Z457" s="24">
        <f>Y457*(1+Z$438)^($E447*Z$439)*(1+Z$440)*IF(Rebate_Industry!Y$227&lt;=0,1,Rebate_Industry!Z$227/Rebate_Industry!Y$227)^$F447*(IF(Y430&lt;=0,1,Z430/Y430)^$G447/(1+$H447+$I447))^(1+$F447)</f>
        <v>0</v>
      </c>
      <c r="AA457" s="24">
        <f>Z457*(1+AA$438)^($E447*AA$439)*(1+AA$440)*IF(Rebate_Industry!Z$227&lt;=0,1,Rebate_Industry!AA$227/Rebate_Industry!Z$227)^$F447*(IF(Z430&lt;=0,1,AA430/Z430)^$G447/(1+$H447+$I447))^(1+$F447)</f>
        <v>0</v>
      </c>
      <c r="AB457" s="24">
        <f>AA457*(1+AB$438)^($E447*AB$439)*(1+AB$440)*IF(Rebate_Industry!AA$227&lt;=0,1,Rebate_Industry!AB$227/Rebate_Industry!AA$227)^$F447*(IF(AA430&lt;=0,1,AB430/AA430)^$G447/(1+$H447+$I447))^(1+$F447)</f>
        <v>0</v>
      </c>
      <c r="AC457" s="24">
        <f>AB457*(1+AC$438)^($E447*AC$439)*(1+AC$440)*IF(Rebate_Industry!AB$227&lt;=0,1,Rebate_Industry!AC$227/Rebate_Industry!AB$227)^$F447*(IF(AB430&lt;=0,1,AC430/AB430)^$G447/(1+$H447+$I447))^(1+$F447)</f>
        <v>0</v>
      </c>
      <c r="AD457" s="24">
        <f>AC457*(1+AD$438)^($E447*AD$439)*(1+AD$440)*IF(Rebate_Industry!AC$227&lt;=0,1,Rebate_Industry!AD$227/Rebate_Industry!AC$227)^$F447*(IF(AC430&lt;=0,1,AD430/AC430)^$G447/(1+$H447+$I447))^(1+$F447)</f>
        <v>0</v>
      </c>
      <c r="AE457" s="24">
        <f>AD457*(1+AE$438)^($E447*AE$439)*(1+AE$440)*IF(Rebate_Industry!AD$227&lt;=0,1,Rebate_Industry!AE$227/Rebate_Industry!AD$227)^$F447*(IF(AD430&lt;=0,1,AE430/AD430)^$G447/(1+$H447+$I447))^(1+$F447)</f>
        <v>0</v>
      </c>
    </row>
    <row r="458" spans="1:35" x14ac:dyDescent="0.45">
      <c r="B458" s="14" t="s">
        <v>62</v>
      </c>
      <c r="C458" s="14" t="str">
        <f t="shared" si="162"/>
        <v>irn</v>
      </c>
      <c r="D458" s="15" t="s">
        <v>63</v>
      </c>
      <c r="E458" s="16" t="s">
        <v>108</v>
      </c>
      <c r="F458" s="14" t="s">
        <v>109</v>
      </c>
      <c r="G458" s="17" t="str">
        <f>Settings!$B$3&amp;".mit.enc."&amp;$B458</f>
        <v>egy.mit.enc.ker</v>
      </c>
      <c r="H458" s="45" t="str">
        <f>Settings!$B$3&amp;".mit.ener."&amp;$C$404&amp;"."&amp;$B458&amp;".e."&amp;$J$404</f>
        <v>egy.mit.ener.irn.ker.e.2</v>
      </c>
      <c r="I458" t="s">
        <v>2297</v>
      </c>
      <c r="L458" s="47">
        <f>INDEX(Data_Energy!$D$3:$U$22,MATCH($B458,Data_Energy!$C$3:$C$22,0),MATCH($C458,Data_Energy!$D$2:$U$2,0))</f>
        <v>0</v>
      </c>
      <c r="M458" s="24">
        <f>L458*(1+M$438)^($E448*M$439)*(1+M$440)*IF(Rebate_Industry!L$228&lt;=0,1,Rebate_Industry!M$228/Rebate_Industry!L$228)^$F448*(IF(L431&lt;=0,1,M431/L431)^$G448/(1+$H448+$I448))^(1+$F448)</f>
        <v>0</v>
      </c>
      <c r="N458" s="24">
        <f>M458*(1+N$438)^($E448*N$439)*(1+N$440)*IF(Rebate_Industry!M$228&lt;=0,1,Rebate_Industry!N$228/Rebate_Industry!M$228)^$F448*(IF(M431&lt;=0,1,N431/M431)^$G448/(1+$H448+$I448))^(1+$F448)</f>
        <v>0</v>
      </c>
      <c r="O458" s="24">
        <f>N458*(1+O$438)^($E448*O$439)*(1+O$440)*IF(Rebate_Industry!N$228&lt;=0,1,Rebate_Industry!O$228/Rebate_Industry!N$228)^$F448*(IF(N431&lt;=0,1,O431/N431)^$G448/(1+$H448+$I448))^(1+$F448)</f>
        <v>0</v>
      </c>
      <c r="P458" s="24">
        <f>O458*(1+P$438)^($E448*P$439)*(1+P$440)*IF(Rebate_Industry!O$228&lt;=0,1,Rebate_Industry!P$228/Rebate_Industry!O$228)^$F448*(IF(O431&lt;=0,1,P431/O431)^$G448/(1+$H448+$I448))^(1+$F448)</f>
        <v>0</v>
      </c>
      <c r="Q458" s="24">
        <f>P458*(1+Q$438)^($E448*Q$439)*(1+Q$440)*IF(Rebate_Industry!P$228&lt;=0,1,Rebate_Industry!Q$228/Rebate_Industry!P$228)^$F448*(IF(P431&lt;=0,1,Q431/P431)^$G448/(1+$H448+$I448))^(1+$F448)</f>
        <v>0</v>
      </c>
      <c r="R458" s="24">
        <f>Q458*(1+R$438)^($E448*R$439)*(1+R$440)*IF(Rebate_Industry!Q$228&lt;=0,1,Rebate_Industry!R$228/Rebate_Industry!Q$228)^$F448*(IF(Q431&lt;=0,1,R431/Q431)^$G448/(1+$H448+$I448))^(1+$F448)</f>
        <v>0</v>
      </c>
      <c r="S458" s="24">
        <f>R458*(1+S$438)^($E448*S$439)*(1+S$440)*IF(Rebate_Industry!R$228&lt;=0,1,Rebate_Industry!S$228/Rebate_Industry!R$228)^$F448*(IF(R431&lt;=0,1,S431/R431)^$G448/(1+$H448+$I448))^(1+$F448)</f>
        <v>0</v>
      </c>
      <c r="T458" s="24">
        <f>S458*(1+T$438)^($E448*T$439)*(1+T$440)*IF(Rebate_Industry!S$228&lt;=0,1,Rebate_Industry!T$228/Rebate_Industry!S$228)^$F448*(IF(S431&lt;=0,1,T431/S431)^$G448/(1+$H448+$I448))^(1+$F448)</f>
        <v>0</v>
      </c>
      <c r="U458" s="24">
        <f>T458*(1+U$438)^($E448*U$439)*(1+U$440)*IF(Rebate_Industry!T$228&lt;=0,1,Rebate_Industry!U$228/Rebate_Industry!T$228)^$F448*(IF(T431&lt;=0,1,U431/T431)^$G448/(1+$H448+$I448))^(1+$F448)</f>
        <v>0</v>
      </c>
      <c r="V458" s="24">
        <f>U458*(1+V$438)^($E448*V$439)*(1+V$440)*IF(Rebate_Industry!U$228&lt;=0,1,Rebate_Industry!V$228/Rebate_Industry!U$228)^$F448*(IF(U431&lt;=0,1,V431/U431)^$G448/(1+$H448+$I448))^(1+$F448)</f>
        <v>0</v>
      </c>
      <c r="W458" s="24">
        <f>V458*(1+W$438)^($E448*W$439)*(1+W$440)*IF(Rebate_Industry!V$228&lt;=0,1,Rebate_Industry!W$228/Rebate_Industry!V$228)^$F448*(IF(V431&lt;=0,1,W431/V431)^$G448/(1+$H448+$I448))^(1+$F448)</f>
        <v>0</v>
      </c>
      <c r="X458" s="24">
        <f>W458*(1+X$438)^($E448*X$439)*(1+X$440)*IF(Rebate_Industry!W$228&lt;=0,1,Rebate_Industry!X$228/Rebate_Industry!W$228)^$F448*(IF(W431&lt;=0,1,X431/W431)^$G448/(1+$H448+$I448))^(1+$F448)</f>
        <v>0</v>
      </c>
      <c r="Y458" s="24">
        <f>X458*(1+Y$438)^($E448*Y$439)*(1+Y$440)*IF(Rebate_Industry!X$228&lt;=0,1,Rebate_Industry!Y$228/Rebate_Industry!X$228)^$F448*(IF(X431&lt;=0,1,Y431/X431)^$G448/(1+$H448+$I448))^(1+$F448)</f>
        <v>0</v>
      </c>
      <c r="Z458" s="24">
        <f>Y458*(1+Z$438)^($E448*Z$439)*(1+Z$440)*IF(Rebate_Industry!Y$228&lt;=0,1,Rebate_Industry!Z$228/Rebate_Industry!Y$228)^$F448*(IF(Y431&lt;=0,1,Z431/Y431)^$G448/(1+$H448+$I448))^(1+$F448)</f>
        <v>0</v>
      </c>
      <c r="AA458" s="24">
        <f>Z458*(1+AA$438)^($E448*AA$439)*(1+AA$440)*IF(Rebate_Industry!Z$228&lt;=0,1,Rebate_Industry!AA$228/Rebate_Industry!Z$228)^$F448*(IF(Z431&lt;=0,1,AA431/Z431)^$G448/(1+$H448+$I448))^(1+$F448)</f>
        <v>0</v>
      </c>
      <c r="AB458" s="24">
        <f>AA458*(1+AB$438)^($E448*AB$439)*(1+AB$440)*IF(Rebate_Industry!AA$228&lt;=0,1,Rebate_Industry!AB$228/Rebate_Industry!AA$228)^$F448*(IF(AA431&lt;=0,1,AB431/AA431)^$G448/(1+$H448+$I448))^(1+$F448)</f>
        <v>0</v>
      </c>
      <c r="AC458" s="24">
        <f>AB458*(1+AC$438)^($E448*AC$439)*(1+AC$440)*IF(Rebate_Industry!AB$228&lt;=0,1,Rebate_Industry!AC$228/Rebate_Industry!AB$228)^$F448*(IF(AB431&lt;=0,1,AC431/AB431)^$G448/(1+$H448+$I448))^(1+$F448)</f>
        <v>0</v>
      </c>
      <c r="AD458" s="24">
        <f>AC458*(1+AD$438)^($E448*AD$439)*(1+AD$440)*IF(Rebate_Industry!AC$228&lt;=0,1,Rebate_Industry!AD$228/Rebate_Industry!AC$228)^$F448*(IF(AC431&lt;=0,1,AD431/AC431)^$G448/(1+$H448+$I448))^(1+$F448)</f>
        <v>0</v>
      </c>
      <c r="AE458" s="24">
        <f>AD458*(1+AE$438)^($E448*AE$439)*(1+AE$440)*IF(Rebate_Industry!AD$228&lt;=0,1,Rebate_Industry!AE$228/Rebate_Industry!AD$228)^$F448*(IF(AD431&lt;=0,1,AE431/AD431)^$G448/(1+$H448+$I448))^(1+$F448)</f>
        <v>0</v>
      </c>
    </row>
    <row r="459" spans="1:35" x14ac:dyDescent="0.45">
      <c r="B459" s="14" t="s">
        <v>64</v>
      </c>
      <c r="C459" s="14" t="str">
        <f t="shared" si="162"/>
        <v>irn</v>
      </c>
      <c r="D459" s="15" t="s">
        <v>65</v>
      </c>
      <c r="E459" s="16" t="s">
        <v>108</v>
      </c>
      <c r="F459" s="14" t="s">
        <v>109</v>
      </c>
      <c r="G459" s="17" t="str">
        <f>Settings!$B$3&amp;".mit.enc."&amp;$B459</f>
        <v>egy.mit.enc.oop</v>
      </c>
      <c r="H459" s="45" t="str">
        <f>Settings!$B$3&amp;".mit.ener."&amp;$C$404&amp;"."&amp;$B459&amp;".e."&amp;$J$404</f>
        <v>egy.mit.ener.irn.oop.e.2</v>
      </c>
      <c r="I459" t="s">
        <v>2298</v>
      </c>
      <c r="L459" s="47">
        <f>INDEX(Data_Energy!$D$3:$U$22,MATCH($B459,Data_Energy!$C$3:$C$22,0),MATCH($C459,Data_Energy!$D$2:$U$2,0))</f>
        <v>0</v>
      </c>
      <c r="M459" s="24">
        <f>L459*(1+M$438)^($E449*M$439)*(1+M$440)*IF(Rebate_Industry!L$229&lt;=0,1,Rebate_Industry!M$229/Rebate_Industry!L$229)^$F449*(IF(L432&lt;=0,1,M432/L432)^$G449/(1+$H449+$I449))^(1+$F449)</f>
        <v>0</v>
      </c>
      <c r="N459" s="24">
        <f>M459*(1+N$438)^($E449*N$439)*(1+N$440)*IF(Rebate_Industry!M$229&lt;=0,1,Rebate_Industry!N$229/Rebate_Industry!M$229)^$F449*(IF(M432&lt;=0,1,N432/M432)^$G449/(1+$H449+$I449))^(1+$F449)</f>
        <v>0</v>
      </c>
      <c r="O459" s="24">
        <f>N459*(1+O$438)^($E449*O$439)*(1+O$440)*IF(Rebate_Industry!N$229&lt;=0,1,Rebate_Industry!O$229/Rebate_Industry!N$229)^$F449*(IF(N432&lt;=0,1,O432/N432)^$G449/(1+$H449+$I449))^(1+$F449)</f>
        <v>0</v>
      </c>
      <c r="P459" s="24">
        <f>O459*(1+P$438)^($E449*P$439)*(1+P$440)*IF(Rebate_Industry!O$229&lt;=0,1,Rebate_Industry!P$229/Rebate_Industry!O$229)^$F449*(IF(O432&lt;=0,1,P432/O432)^$G449/(1+$H449+$I449))^(1+$F449)</f>
        <v>0</v>
      </c>
      <c r="Q459" s="24">
        <f>P459*(1+Q$438)^($E449*Q$439)*(1+Q$440)*IF(Rebate_Industry!P$229&lt;=0,1,Rebate_Industry!Q$229/Rebate_Industry!P$229)^$F449*(IF(P432&lt;=0,1,Q432/P432)^$G449/(1+$H449+$I449))^(1+$F449)</f>
        <v>0</v>
      </c>
      <c r="R459" s="24">
        <f>Q459*(1+R$438)^($E449*R$439)*(1+R$440)*IF(Rebate_Industry!Q$229&lt;=0,1,Rebate_Industry!R$229/Rebate_Industry!Q$229)^$F449*(IF(Q432&lt;=0,1,R432/Q432)^$G449/(1+$H449+$I449))^(1+$F449)</f>
        <v>0</v>
      </c>
      <c r="S459" s="24">
        <f>R459*(1+S$438)^($E449*S$439)*(1+S$440)*IF(Rebate_Industry!R$229&lt;=0,1,Rebate_Industry!S$229/Rebate_Industry!R$229)^$F449*(IF(R432&lt;=0,1,S432/R432)^$G449/(1+$H449+$I449))^(1+$F449)</f>
        <v>0</v>
      </c>
      <c r="T459" s="24">
        <f>S459*(1+T$438)^($E449*T$439)*(1+T$440)*IF(Rebate_Industry!S$229&lt;=0,1,Rebate_Industry!T$229/Rebate_Industry!S$229)^$F449*(IF(S432&lt;=0,1,T432/S432)^$G449/(1+$H449+$I449))^(1+$F449)</f>
        <v>0</v>
      </c>
      <c r="U459" s="24">
        <f>T459*(1+U$438)^($E449*U$439)*(1+U$440)*IF(Rebate_Industry!T$229&lt;=0,1,Rebate_Industry!U$229/Rebate_Industry!T$229)^$F449*(IF(T432&lt;=0,1,U432/T432)^$G449/(1+$H449+$I449))^(1+$F449)</f>
        <v>0</v>
      </c>
      <c r="V459" s="24">
        <f>U459*(1+V$438)^($E449*V$439)*(1+V$440)*IF(Rebate_Industry!U$229&lt;=0,1,Rebate_Industry!V$229/Rebate_Industry!U$229)^$F449*(IF(U432&lt;=0,1,V432/U432)^$G449/(1+$H449+$I449))^(1+$F449)</f>
        <v>0</v>
      </c>
      <c r="W459" s="24">
        <f>V459*(1+W$438)^($E449*W$439)*(1+W$440)*IF(Rebate_Industry!V$229&lt;=0,1,Rebate_Industry!W$229/Rebate_Industry!V$229)^$F449*(IF(V432&lt;=0,1,W432/V432)^$G449/(1+$H449+$I449))^(1+$F449)</f>
        <v>0</v>
      </c>
      <c r="X459" s="24">
        <f>W459*(1+X$438)^($E449*X$439)*(1+X$440)*IF(Rebate_Industry!W$229&lt;=0,1,Rebate_Industry!X$229/Rebate_Industry!W$229)^$F449*(IF(W432&lt;=0,1,X432/W432)^$G449/(1+$H449+$I449))^(1+$F449)</f>
        <v>0</v>
      </c>
      <c r="Y459" s="24">
        <f>X459*(1+Y$438)^($E449*Y$439)*(1+Y$440)*IF(Rebate_Industry!X$229&lt;=0,1,Rebate_Industry!Y$229/Rebate_Industry!X$229)^$F449*(IF(X432&lt;=0,1,Y432/X432)^$G449/(1+$H449+$I449))^(1+$F449)</f>
        <v>0</v>
      </c>
      <c r="Z459" s="24">
        <f>Y459*(1+Z$438)^($E449*Z$439)*(1+Z$440)*IF(Rebate_Industry!Y$229&lt;=0,1,Rebate_Industry!Z$229/Rebate_Industry!Y$229)^$F449*(IF(Y432&lt;=0,1,Z432/Y432)^$G449/(1+$H449+$I449))^(1+$F449)</f>
        <v>0</v>
      </c>
      <c r="AA459" s="24">
        <f>Z459*(1+AA$438)^($E449*AA$439)*(1+AA$440)*IF(Rebate_Industry!Z$229&lt;=0,1,Rebate_Industry!AA$229/Rebate_Industry!Z$229)^$F449*(IF(Z432&lt;=0,1,AA432/Z432)^$G449/(1+$H449+$I449))^(1+$F449)</f>
        <v>0</v>
      </c>
      <c r="AB459" s="24">
        <f>AA459*(1+AB$438)^($E449*AB$439)*(1+AB$440)*IF(Rebate_Industry!AA$229&lt;=0,1,Rebate_Industry!AB$229/Rebate_Industry!AA$229)^$F449*(IF(AA432&lt;=0,1,AB432/AA432)^$G449/(1+$H449+$I449))^(1+$F449)</f>
        <v>0</v>
      </c>
      <c r="AC459" s="24">
        <f>AB459*(1+AC$438)^($E449*AC$439)*(1+AC$440)*IF(Rebate_Industry!AB$229&lt;=0,1,Rebate_Industry!AC$229/Rebate_Industry!AB$229)^$F449*(IF(AB432&lt;=0,1,AC432/AB432)^$G449/(1+$H449+$I449))^(1+$F449)</f>
        <v>0</v>
      </c>
      <c r="AD459" s="24">
        <f>AC459*(1+AD$438)^($E449*AD$439)*(1+AD$440)*IF(Rebate_Industry!AC$229&lt;=0,1,Rebate_Industry!AD$229/Rebate_Industry!AC$229)^$F449*(IF(AC432&lt;=0,1,AD432/AC432)^$G449/(1+$H449+$I449))^(1+$F449)</f>
        <v>0</v>
      </c>
      <c r="AE459" s="24">
        <f>AD459*(1+AE$438)^($E449*AE$439)*(1+AE$440)*IF(Rebate_Industry!AD$229&lt;=0,1,Rebate_Industry!AE$229/Rebate_Industry!AD$229)^$F449*(IF(AD432&lt;=0,1,AE432/AD432)^$G449/(1+$H449+$I449))^(1+$F449)</f>
        <v>0</v>
      </c>
    </row>
    <row r="460" spans="1:35" x14ac:dyDescent="0.45">
      <c r="B460" s="14" t="s">
        <v>67</v>
      </c>
      <c r="C460" s="14" t="str">
        <f t="shared" si="162"/>
        <v>irn</v>
      </c>
      <c r="D460" s="15" t="s">
        <v>68</v>
      </c>
      <c r="E460" s="16" t="s">
        <v>108</v>
      </c>
      <c r="F460" s="14" t="s">
        <v>109</v>
      </c>
      <c r="G460" s="17" t="str">
        <f>Settings!$B$3&amp;".mit.enc."&amp;$B460</f>
        <v>egy.mit.enc.bio</v>
      </c>
      <c r="H460" s="45" t="str">
        <f>Settings!$B$3&amp;".mit.ener."&amp;$C$404&amp;"."&amp;$B460&amp;".e."&amp;$J$404</f>
        <v>egy.mit.ener.irn.bio.e.2</v>
      </c>
      <c r="I460" t="s">
        <v>2299</v>
      </c>
      <c r="L460" s="47">
        <f>INDEX(Data_Energy!$D$3:$U$22,MATCH($B460,Data_Energy!$C$3:$C$22,0),MATCH($C460,Data_Energy!$D$2:$U$2,0))</f>
        <v>0</v>
      </c>
      <c r="M460" s="24">
        <f>L460*(1+M$438)^($E450*M$439)*(1+M$440)*IF(Rebate_Industry!L$230&lt;=0,1,Rebate_Industry!M$230/Rebate_Industry!L$230)^$F450*(IF(L433&lt;=0,1,M433/L433)^$G450/(1+$H450+$I450))^(1+$F450)</f>
        <v>0</v>
      </c>
      <c r="N460" s="24">
        <f>M460*(1+N$438)^($E450*N$439)*(1+N$440)*IF(Rebate_Industry!M$230&lt;=0,1,Rebate_Industry!N$230/Rebate_Industry!M$230)^$F450*(IF(M433&lt;=0,1,N433/M433)^$G450/(1+$H450+$I450))^(1+$F450)</f>
        <v>0</v>
      </c>
      <c r="O460" s="24">
        <f>N460*(1+O$438)^($E450*O$439)*(1+O$440)*IF(Rebate_Industry!N$230&lt;=0,1,Rebate_Industry!O$230/Rebate_Industry!N$230)^$F450*(IF(N433&lt;=0,1,O433/N433)^$G450/(1+$H450+$I450))^(1+$F450)</f>
        <v>0</v>
      </c>
      <c r="P460" s="24">
        <f>O460*(1+P$438)^($E450*P$439)*(1+P$440)*IF(Rebate_Industry!O$230&lt;=0,1,Rebate_Industry!P$230/Rebate_Industry!O$230)^$F450*(IF(O433&lt;=0,1,P433/O433)^$G450/(1+$H450+$I450))^(1+$F450)</f>
        <v>0</v>
      </c>
      <c r="Q460" s="24">
        <f>P460*(1+Q$438)^($E450*Q$439)*(1+Q$440)*IF(Rebate_Industry!P$230&lt;=0,1,Rebate_Industry!Q$230/Rebate_Industry!P$230)^$F450*(IF(P433&lt;=0,1,Q433/P433)^$G450/(1+$H450+$I450))^(1+$F450)</f>
        <v>0</v>
      </c>
      <c r="R460" s="24">
        <f>Q460*(1+R$438)^($E450*R$439)*(1+R$440)*IF(Rebate_Industry!Q$230&lt;=0,1,Rebate_Industry!R$230/Rebate_Industry!Q$230)^$F450*(IF(Q433&lt;=0,1,R433/Q433)^$G450/(1+$H450+$I450))^(1+$F450)</f>
        <v>0</v>
      </c>
      <c r="S460" s="24">
        <f>R460*(1+S$438)^($E450*S$439)*(1+S$440)*IF(Rebate_Industry!R$230&lt;=0,1,Rebate_Industry!S$230/Rebate_Industry!R$230)^$F450*(IF(R433&lt;=0,1,S433/R433)^$G450/(1+$H450+$I450))^(1+$F450)</f>
        <v>0</v>
      </c>
      <c r="T460" s="24">
        <f>S460*(1+T$438)^($E450*T$439)*(1+T$440)*IF(Rebate_Industry!S$230&lt;=0,1,Rebate_Industry!T$230/Rebate_Industry!S$230)^$F450*(IF(S433&lt;=0,1,T433/S433)^$G450/(1+$H450+$I450))^(1+$F450)</f>
        <v>0</v>
      </c>
      <c r="U460" s="24">
        <f>T460*(1+U$438)^($E450*U$439)*(1+U$440)*IF(Rebate_Industry!T$230&lt;=0,1,Rebate_Industry!U$230/Rebate_Industry!T$230)^$F450*(IF(T433&lt;=0,1,U433/T433)^$G450/(1+$H450+$I450))^(1+$F450)</f>
        <v>0</v>
      </c>
      <c r="V460" s="24">
        <f>U460*(1+V$438)^($E450*V$439)*(1+V$440)*IF(Rebate_Industry!U$230&lt;=0,1,Rebate_Industry!V$230/Rebate_Industry!U$230)^$F450*(IF(U433&lt;=0,1,V433/U433)^$G450/(1+$H450+$I450))^(1+$F450)</f>
        <v>0</v>
      </c>
      <c r="W460" s="24">
        <f>V460*(1+W$438)^($E450*W$439)*(1+W$440)*IF(Rebate_Industry!V$230&lt;=0,1,Rebate_Industry!W$230/Rebate_Industry!V$230)^$F450*(IF(V433&lt;=0,1,W433/V433)^$G450/(1+$H450+$I450))^(1+$F450)</f>
        <v>0</v>
      </c>
      <c r="X460" s="24">
        <f>W460*(1+X$438)^($E450*X$439)*(1+X$440)*IF(Rebate_Industry!W$230&lt;=0,1,Rebate_Industry!X$230/Rebate_Industry!W$230)^$F450*(IF(W433&lt;=0,1,X433/W433)^$G450/(1+$H450+$I450))^(1+$F450)</f>
        <v>0</v>
      </c>
      <c r="Y460" s="24">
        <f>X460*(1+Y$438)^($E450*Y$439)*(1+Y$440)*IF(Rebate_Industry!X$230&lt;=0,1,Rebate_Industry!Y$230/Rebate_Industry!X$230)^$F450*(IF(X433&lt;=0,1,Y433/X433)^$G450/(1+$H450+$I450))^(1+$F450)</f>
        <v>0</v>
      </c>
      <c r="Z460" s="24">
        <f>Y460*(1+Z$438)^($E450*Z$439)*(1+Z$440)*IF(Rebate_Industry!Y$230&lt;=0,1,Rebate_Industry!Z$230/Rebate_Industry!Y$230)^$F450*(IF(Y433&lt;=0,1,Z433/Y433)^$G450/(1+$H450+$I450))^(1+$F450)</f>
        <v>0</v>
      </c>
      <c r="AA460" s="24">
        <f>Z460*(1+AA$438)^($E450*AA$439)*(1+AA$440)*IF(Rebate_Industry!Z$230&lt;=0,1,Rebate_Industry!AA$230/Rebate_Industry!Z$230)^$F450*(IF(Z433&lt;=0,1,AA433/Z433)^$G450/(1+$H450+$I450))^(1+$F450)</f>
        <v>0</v>
      </c>
      <c r="AB460" s="24">
        <f>AA460*(1+AB$438)^($E450*AB$439)*(1+AB$440)*IF(Rebate_Industry!AA$230&lt;=0,1,Rebate_Industry!AB$230/Rebate_Industry!AA$230)^$F450*(IF(AA433&lt;=0,1,AB433/AA433)^$G450/(1+$H450+$I450))^(1+$F450)</f>
        <v>0</v>
      </c>
      <c r="AC460" s="24">
        <f>AB460*(1+AC$438)^($E450*AC$439)*(1+AC$440)*IF(Rebate_Industry!AB$230&lt;=0,1,Rebate_Industry!AC$230/Rebate_Industry!AB$230)^$F450*(IF(AB433&lt;=0,1,AC433/AB433)^$G450/(1+$H450+$I450))^(1+$F450)</f>
        <v>0</v>
      </c>
      <c r="AD460" s="24">
        <f>AC460*(1+AD$438)^($E450*AD$439)*(1+AD$440)*IF(Rebate_Industry!AC$230&lt;=0,1,Rebate_Industry!AD$230/Rebate_Industry!AC$230)^$F450*(IF(AC433&lt;=0,1,AD433/AC433)^$G450/(1+$H450+$I450))^(1+$F450)</f>
        <v>0</v>
      </c>
      <c r="AE460" s="24">
        <f>AD460*(1+AE$438)^($E450*AE$439)*(1+AE$440)*IF(Rebate_Industry!AD$230&lt;=0,1,Rebate_Industry!AE$230/Rebate_Industry!AD$230)^$F450*(IF(AD433&lt;=0,1,AE433/AD433)^$G450/(1+$H450+$I450))^(1+$F450)</f>
        <v>0</v>
      </c>
    </row>
    <row r="461" spans="1:35" x14ac:dyDescent="0.45">
      <c r="B461" s="14" t="s">
        <v>69</v>
      </c>
      <c r="C461" s="14" t="str">
        <f t="shared" si="162"/>
        <v>irn</v>
      </c>
      <c r="D461" s="15" t="s">
        <v>70</v>
      </c>
      <c r="E461" s="16" t="s">
        <v>108</v>
      </c>
      <c r="F461" s="14" t="s">
        <v>109</v>
      </c>
      <c r="G461" s="17" t="str">
        <f>Settings!$B$3&amp;".mit.enc."&amp;$B461</f>
        <v>egy.mit.enc.ren</v>
      </c>
      <c r="H461" s="45" t="str">
        <f>Settings!$B$3&amp;".mit.ener."&amp;$C$404&amp;"."&amp;$B461&amp;".e."&amp;$J$404</f>
        <v>egy.mit.ener.irn.ren.e.2</v>
      </c>
      <c r="I461" t="s">
        <v>2300</v>
      </c>
      <c r="L461" s="47">
        <f>INDEX(Data_Energy!$D$3:$U$22,MATCH($B461,Data_Energy!$C$3:$C$22,0),MATCH($C461,Data_Energy!$D$2:$U$2,0))</f>
        <v>0</v>
      </c>
      <c r="M461" s="24">
        <f>L461*(1+M$438)^($E451*M$439)*(1+M$440)*IF(Rebate_Industry!L$231&lt;=0,1,Rebate_Industry!M$231/Rebate_Industry!L$231)^$F451*(IF(L434&lt;=0,1,M434/L434)^$G451/(1+$H451+$I451))^(1+$F451)</f>
        <v>0</v>
      </c>
      <c r="N461" s="24">
        <f>M461*(1+N$438)^($E451*N$439)*(1+N$440)*IF(Rebate_Industry!M$231&lt;=0,1,Rebate_Industry!N$231/Rebate_Industry!M$231)^$F451*(IF(M434&lt;=0,1,N434/M434)^$G451/(1+$H451+$I451))^(1+$F451)</f>
        <v>0</v>
      </c>
      <c r="O461" s="24">
        <f>N461*(1+O$438)^($E451*O$439)*(1+O$440)*IF(Rebate_Industry!N$231&lt;=0,1,Rebate_Industry!O$231/Rebate_Industry!N$231)^$F451*(IF(N434&lt;=0,1,O434/N434)^$G451/(1+$H451+$I451))^(1+$F451)</f>
        <v>0</v>
      </c>
      <c r="P461" s="24">
        <f>O461*(1+P$438)^($E451*P$439)*(1+P$440)*IF(Rebate_Industry!O$231&lt;=0,1,Rebate_Industry!P$231/Rebate_Industry!O$231)^$F451*(IF(O434&lt;=0,1,P434/O434)^$G451/(1+$H451+$I451))^(1+$F451)</f>
        <v>0</v>
      </c>
      <c r="Q461" s="24">
        <f>P461*(1+Q$438)^($E451*Q$439)*(1+Q$440)*IF(Rebate_Industry!P$231&lt;=0,1,Rebate_Industry!Q$231/Rebate_Industry!P$231)^$F451*(IF(P434&lt;=0,1,Q434/P434)^$G451/(1+$H451+$I451))^(1+$F451)</f>
        <v>0</v>
      </c>
      <c r="R461" s="24">
        <f>Q461*(1+R$438)^($E451*R$439)*(1+R$440)*IF(Rebate_Industry!Q$231&lt;=0,1,Rebate_Industry!R$231/Rebate_Industry!Q$231)^$F451*(IF(Q434&lt;=0,1,R434/Q434)^$G451/(1+$H451+$I451))^(1+$F451)</f>
        <v>0</v>
      </c>
      <c r="S461" s="24">
        <f>R461*(1+S$438)^($E451*S$439)*(1+S$440)*IF(Rebate_Industry!R$231&lt;=0,1,Rebate_Industry!S$231/Rebate_Industry!R$231)^$F451*(IF(R434&lt;=0,1,S434/R434)^$G451/(1+$H451+$I451))^(1+$F451)</f>
        <v>0</v>
      </c>
      <c r="T461" s="24">
        <f>S461*(1+T$438)^($E451*T$439)*(1+T$440)*IF(Rebate_Industry!S$231&lt;=0,1,Rebate_Industry!T$231/Rebate_Industry!S$231)^$F451*(IF(S434&lt;=0,1,T434/S434)^$G451/(1+$H451+$I451))^(1+$F451)</f>
        <v>0</v>
      </c>
      <c r="U461" s="24">
        <f>T461*(1+U$438)^($E451*U$439)*(1+U$440)*IF(Rebate_Industry!T$231&lt;=0,1,Rebate_Industry!U$231/Rebate_Industry!T$231)^$F451*(IF(T434&lt;=0,1,U434/T434)^$G451/(1+$H451+$I451))^(1+$F451)</f>
        <v>0</v>
      </c>
      <c r="V461" s="24">
        <f>U461*(1+V$438)^($E451*V$439)*(1+V$440)*IF(Rebate_Industry!U$231&lt;=0,1,Rebate_Industry!V$231/Rebate_Industry!U$231)^$F451*(IF(U434&lt;=0,1,V434/U434)^$G451/(1+$H451+$I451))^(1+$F451)</f>
        <v>0</v>
      </c>
      <c r="W461" s="24">
        <f>V461*(1+W$438)^($E451*W$439)*(1+W$440)*IF(Rebate_Industry!V$231&lt;=0,1,Rebate_Industry!W$231/Rebate_Industry!V$231)^$F451*(IF(V434&lt;=0,1,W434/V434)^$G451/(1+$H451+$I451))^(1+$F451)</f>
        <v>0</v>
      </c>
      <c r="X461" s="24">
        <f>W461*(1+X$438)^($E451*X$439)*(1+X$440)*IF(Rebate_Industry!W$231&lt;=0,1,Rebate_Industry!X$231/Rebate_Industry!W$231)^$F451*(IF(W434&lt;=0,1,X434/W434)^$G451/(1+$H451+$I451))^(1+$F451)</f>
        <v>0</v>
      </c>
      <c r="Y461" s="24">
        <f>X461*(1+Y$438)^($E451*Y$439)*(1+Y$440)*IF(Rebate_Industry!X$231&lt;=0,1,Rebate_Industry!Y$231/Rebate_Industry!X$231)^$F451*(IF(X434&lt;=0,1,Y434/X434)^$G451/(1+$H451+$I451))^(1+$F451)</f>
        <v>0</v>
      </c>
      <c r="Z461" s="24">
        <f>Y461*(1+Z$438)^($E451*Z$439)*(1+Z$440)*IF(Rebate_Industry!Y$231&lt;=0,1,Rebate_Industry!Z$231/Rebate_Industry!Y$231)^$F451*(IF(Y434&lt;=0,1,Z434/Y434)^$G451/(1+$H451+$I451))^(1+$F451)</f>
        <v>0</v>
      </c>
      <c r="AA461" s="24">
        <f>Z461*(1+AA$438)^($E451*AA$439)*(1+AA$440)*IF(Rebate_Industry!Z$231&lt;=0,1,Rebate_Industry!AA$231/Rebate_Industry!Z$231)^$F451*(IF(Z434&lt;=0,1,AA434/Z434)^$G451/(1+$H451+$I451))^(1+$F451)</f>
        <v>0</v>
      </c>
      <c r="AB461" s="24">
        <f>AA461*(1+AB$438)^($E451*AB$439)*(1+AB$440)*IF(Rebate_Industry!AA$231&lt;=0,1,Rebate_Industry!AB$231/Rebate_Industry!AA$231)^$F451*(IF(AA434&lt;=0,1,AB434/AA434)^$G451/(1+$H451+$I451))^(1+$F451)</f>
        <v>0</v>
      </c>
      <c r="AC461" s="24">
        <f>AB461*(1+AC$438)^($E451*AC$439)*(1+AC$440)*IF(Rebate_Industry!AB$231&lt;=0,1,Rebate_Industry!AC$231/Rebate_Industry!AB$231)^$F451*(IF(AB434&lt;=0,1,AC434/AB434)^$G451/(1+$H451+$I451))^(1+$F451)</f>
        <v>0</v>
      </c>
      <c r="AD461" s="24">
        <f>AC461*(1+AD$438)^($E451*AD$439)*(1+AD$440)*IF(Rebate_Industry!AC$231&lt;=0,1,Rebate_Industry!AD$231/Rebate_Industry!AC$231)^$F451*(IF(AC434&lt;=0,1,AD434/AC434)^$G451/(1+$H451+$I451))^(1+$F451)</f>
        <v>0</v>
      </c>
      <c r="AE461" s="24">
        <f>AD461*(1+AE$438)^($E451*AE$439)*(1+AE$440)*IF(Rebate_Industry!AD$231&lt;=0,1,Rebate_Industry!AE$231/Rebate_Industry!AD$231)^$F451*(IF(AD434&lt;=0,1,AE434/AD434)^$G451/(1+$H451+$I451))^(1+$F451)</f>
        <v>0</v>
      </c>
    </row>
    <row r="462" spans="1:35" x14ac:dyDescent="0.45">
      <c r="B462" s="14" t="s">
        <v>110</v>
      </c>
      <c r="C462" s="14" t="str">
        <f t="shared" si="162"/>
        <v>irn</v>
      </c>
      <c r="D462" s="25" t="s">
        <v>111</v>
      </c>
      <c r="E462" s="16" t="s">
        <v>108</v>
      </c>
      <c r="F462" s="14" t="s">
        <v>109</v>
      </c>
      <c r="H462" s="45" t="str">
        <f>Settings!$B$3&amp;".mit.ener."&amp;$C$404&amp;".tot.e."&amp;$J$404</f>
        <v>egy.mit.ener.irn.tot.e.2</v>
      </c>
      <c r="L462" s="26">
        <f t="shared" ref="L462:AE462" si="163">SUM(L453:L461)</f>
        <v>1901.7140738122609</v>
      </c>
      <c r="M462" s="26">
        <f t="shared" si="163"/>
        <v>1621.2301769893743</v>
      </c>
      <c r="N462" s="26">
        <f t="shared" si="163"/>
        <v>1820.8469202303741</v>
      </c>
      <c r="O462" s="26">
        <f t="shared" si="163"/>
        <v>1904.3670376253485</v>
      </c>
      <c r="P462" s="26">
        <f t="shared" si="163"/>
        <v>1961.702021253242</v>
      </c>
      <c r="Q462" s="26">
        <f t="shared" si="163"/>
        <v>1856.404797168507</v>
      </c>
      <c r="R462" s="26">
        <f t="shared" si="163"/>
        <v>1788.9492171961813</v>
      </c>
      <c r="S462" s="26">
        <f t="shared" si="163"/>
        <v>1732.3328660968311</v>
      </c>
      <c r="T462" s="26">
        <f t="shared" si="163"/>
        <v>1682.3885530274299</v>
      </c>
      <c r="U462" s="26">
        <f t="shared" si="163"/>
        <v>1641.4681088716557</v>
      </c>
      <c r="V462" s="26">
        <f t="shared" si="163"/>
        <v>1607.9067887450958</v>
      </c>
      <c r="W462" s="26">
        <f t="shared" si="163"/>
        <v>1581.3612458923553</v>
      </c>
      <c r="X462" s="26">
        <f t="shared" si="163"/>
        <v>1561.0275376536185</v>
      </c>
      <c r="Y462" s="26">
        <f t="shared" si="163"/>
        <v>1546.4517889063816</v>
      </c>
      <c r="Z462" s="26">
        <f t="shared" si="163"/>
        <v>1537.5943975526714</v>
      </c>
      <c r="AA462" s="26">
        <f t="shared" si="163"/>
        <v>1534.1781017151086</v>
      </c>
      <c r="AB462" s="26">
        <f t="shared" si="163"/>
        <v>1535.9010092298067</v>
      </c>
      <c r="AC462" s="26">
        <f t="shared" si="163"/>
        <v>1542.2263096902577</v>
      </c>
      <c r="AD462" s="26">
        <f t="shared" si="163"/>
        <v>1552.707818724469</v>
      </c>
      <c r="AE462" s="26">
        <f t="shared" si="163"/>
        <v>1567.016662377554</v>
      </c>
    </row>
    <row r="464" spans="1:35" x14ac:dyDescent="0.45">
      <c r="A464" s="11"/>
      <c r="B464" s="6" t="s">
        <v>112</v>
      </c>
      <c r="C464" s="7" t="s">
        <v>113</v>
      </c>
      <c r="D464" s="6" t="s">
        <v>44</v>
      </c>
      <c r="E464" s="7" t="s">
        <v>35</v>
      </c>
      <c r="F464" s="7" t="s">
        <v>45</v>
      </c>
      <c r="G464" s="7" t="s">
        <v>46</v>
      </c>
      <c r="H464" s="12" t="s">
        <v>38</v>
      </c>
      <c r="I464" s="6" t="s">
        <v>47</v>
      </c>
      <c r="J464" s="48">
        <v>2</v>
      </c>
      <c r="K464" s="6">
        <v>2021</v>
      </c>
      <c r="L464" s="46">
        <v>2022</v>
      </c>
      <c r="M464" s="6">
        <v>2023</v>
      </c>
      <c r="N464" s="6">
        <v>2024</v>
      </c>
      <c r="O464" s="6">
        <v>2025</v>
      </c>
      <c r="P464" s="6">
        <v>2026</v>
      </c>
      <c r="Q464" s="6">
        <v>2027</v>
      </c>
      <c r="R464" s="6">
        <v>2028</v>
      </c>
      <c r="S464" s="6">
        <v>2029</v>
      </c>
      <c r="T464" s="6">
        <v>2030</v>
      </c>
      <c r="U464" s="6">
        <v>2031</v>
      </c>
      <c r="V464" s="6">
        <v>2032</v>
      </c>
      <c r="W464" s="6">
        <v>2033</v>
      </c>
      <c r="X464" s="6">
        <v>2034</v>
      </c>
      <c r="Y464" s="6">
        <v>2035</v>
      </c>
      <c r="Z464" s="6">
        <v>2036</v>
      </c>
      <c r="AA464" s="6">
        <v>2037</v>
      </c>
      <c r="AB464" s="6">
        <v>2038</v>
      </c>
      <c r="AC464" s="6">
        <v>2039</v>
      </c>
      <c r="AD464" s="6">
        <v>2040</v>
      </c>
      <c r="AE464" s="6">
        <v>2041</v>
      </c>
      <c r="AF464" s="6">
        <v>2042</v>
      </c>
      <c r="AG464" s="6">
        <v>2043</v>
      </c>
      <c r="AH464" s="6">
        <v>2044</v>
      </c>
      <c r="AI464" s="6">
        <v>2045</v>
      </c>
    </row>
    <row r="465" spans="2:31" x14ac:dyDescent="0.45">
      <c r="B465" s="13" t="s">
        <v>48</v>
      </c>
    </row>
    <row r="466" spans="2:31" x14ac:dyDescent="0.45">
      <c r="B466" s="14" t="s">
        <v>49</v>
      </c>
      <c r="C466" s="14" t="str">
        <f t="shared" ref="C466:C474" si="164">$C$464</f>
        <v>cem</v>
      </c>
      <c r="D466" s="15" t="s">
        <v>50</v>
      </c>
      <c r="E466" s="16" t="s">
        <v>51</v>
      </c>
      <c r="F466" s="14" t="s">
        <v>52</v>
      </c>
      <c r="G466" s="17" t="str">
        <f>Settings!$B$3&amp;".mit.pbc."&amp;Settings!$B$4&amp;"."&amp;$B466&amp;".a."&amp;$J$464</f>
        <v>egy.mit.pbc.ind.coa.a.2</v>
      </c>
      <c r="H466" s="45" t="str">
        <f>Settings!$B$3&amp;".mit.ptp."&amp;$C$464&amp;"."&amp;$B466&amp;".e."&amp;$J$464</f>
        <v>egy.mit.ptp.cem.coa.e.2</v>
      </c>
      <c r="K466" s="18">
        <f>INDEX(Data_Prices!K:K,MATCH($G466,Data_Prices!$A:$A,0))</f>
        <v>11.182901589243899</v>
      </c>
      <c r="L466" s="18">
        <f>INDEX(Data_Prices!L:L,MATCH($G466,Data_Prices!$A:$A,0))</f>
        <v>10.5233613454312</v>
      </c>
      <c r="M466" s="18">
        <f>INDEX(Data_Prices!M:M,MATCH($G466,Data_Prices!$A:$A,0))</f>
        <v>10.2995608274442</v>
      </c>
      <c r="N466" s="18">
        <f>INDEX(Data_Prices!N:N,MATCH($G466,Data_Prices!$A:$A,0))</f>
        <v>9.5775283595382597</v>
      </c>
      <c r="O466" s="18">
        <f>INDEX(Data_Prices!O:O,MATCH($G466,Data_Prices!$A:$A,0))</f>
        <v>8.4854782869580507</v>
      </c>
      <c r="P466" s="18">
        <f>INDEX(Data_Prices!P:P,MATCH($G466,Data_Prices!$A:$A,0))</f>
        <v>9.0871922352498604</v>
      </c>
      <c r="Q466" s="18">
        <f>INDEX(Data_Prices!Q:Q,MATCH($G466,Data_Prices!$A:$A,0))</f>
        <v>9.2229237289326793</v>
      </c>
      <c r="R466" s="18">
        <f>INDEX(Data_Prices!R:R,MATCH($G466,Data_Prices!$A:$A,0))</f>
        <v>9.1585649555096893</v>
      </c>
      <c r="S466" s="18">
        <f>INDEX(Data_Prices!S:S,MATCH($G466,Data_Prices!$A:$A,0))</f>
        <v>9.0895478773973792</v>
      </c>
      <c r="T466" s="18">
        <f>INDEX(Data_Prices!T:T,MATCH($G466,Data_Prices!$A:$A,0))</f>
        <v>9.0156816660228305</v>
      </c>
      <c r="U466" s="18">
        <f>INDEX(Data_Prices!U:U,MATCH($G466,Data_Prices!$A:$A,0))</f>
        <v>8.9443977655571096</v>
      </c>
      <c r="V466" s="18">
        <f>INDEX(Data_Prices!V:V,MATCH($G466,Data_Prices!$A:$A,0))</f>
        <v>8.9443977655571096</v>
      </c>
      <c r="W466" s="18">
        <f>INDEX(Data_Prices!W:W,MATCH($G466,Data_Prices!$A:$A,0))</f>
        <v>8.9443977655571096</v>
      </c>
      <c r="X466" s="18">
        <f>INDEX(Data_Prices!X:X,MATCH($G466,Data_Prices!$A:$A,0))</f>
        <v>8.9443977655571096</v>
      </c>
      <c r="Y466" s="18">
        <f>INDEX(Data_Prices!Y:Y,MATCH($G466,Data_Prices!$A:$A,0))</f>
        <v>8.9443977655571096</v>
      </c>
      <c r="Z466" s="18">
        <f>INDEX(Data_Prices!Z:Z,MATCH($G466,Data_Prices!$A:$A,0))</f>
        <v>8.9443977655571096</v>
      </c>
      <c r="AA466" s="18">
        <f>INDEX(Data_Prices!AA:AA,MATCH($G466,Data_Prices!$A:$A,0))</f>
        <v>8.9443977655571096</v>
      </c>
      <c r="AB466" s="18">
        <f>INDEX(Data_Prices!AB:AB,MATCH($G466,Data_Prices!$A:$A,0))</f>
        <v>8.9443977655571096</v>
      </c>
      <c r="AC466" s="18">
        <f>INDEX(Data_Prices!AC:AC,MATCH($G466,Data_Prices!$A:$A,0))</f>
        <v>8.9443977655571096</v>
      </c>
      <c r="AD466" s="18">
        <f>INDEX(Data_Prices!AD:AD,MATCH($G466,Data_Prices!$A:$A,0))</f>
        <v>8.9443977655571096</v>
      </c>
      <c r="AE466" s="18">
        <f>INDEX(Data_Prices!AE:AE,MATCH($G466,Data_Prices!$A:$A,0))</f>
        <v>8.9443977655571096</v>
      </c>
    </row>
    <row r="467" spans="2:31" x14ac:dyDescent="0.45">
      <c r="B467" s="14" t="s">
        <v>53</v>
      </c>
      <c r="C467" s="14" t="str">
        <f t="shared" si="164"/>
        <v>cem</v>
      </c>
      <c r="D467" s="15" t="s">
        <v>54</v>
      </c>
      <c r="E467" s="16" t="s">
        <v>51</v>
      </c>
      <c r="F467" s="14" t="s">
        <v>52</v>
      </c>
      <c r="G467" s="17" t="str">
        <f>Settings!$B$3&amp;".mit.pbc."&amp;Settings!$B$4&amp;"."&amp;$B467&amp;".a."&amp;$J$464</f>
        <v>egy.mit.pbc.ind.nga.a.2</v>
      </c>
      <c r="H467" s="45" t="str">
        <f>Settings!$B$3&amp;".mit.ptp."&amp;$C$464&amp;"."&amp;$B467&amp;".e."&amp;$J$464</f>
        <v>egy.mit.ptp.cem.nga.e.2</v>
      </c>
      <c r="K467" s="18">
        <f>INDEX(Data_Prices!K:K,MATCH($G467,Data_Prices!$A:$A,0))</f>
        <v>6.0634636156729096</v>
      </c>
      <c r="L467" s="18">
        <f>INDEX(Data_Prices!L:L,MATCH($G467,Data_Prices!$A:$A,0))</f>
        <v>5.4510150816191896</v>
      </c>
      <c r="M467" s="18">
        <f>INDEX(Data_Prices!M:M,MATCH($G467,Data_Prices!$A:$A,0))</f>
        <v>5.1193563062624801</v>
      </c>
      <c r="N467" s="18">
        <f>INDEX(Data_Prices!N:N,MATCH($G467,Data_Prices!$A:$A,0))</f>
        <v>5.08218458640407</v>
      </c>
      <c r="O467" s="18">
        <f>INDEX(Data_Prices!O:O,MATCH($G467,Data_Prices!$A:$A,0))</f>
        <v>5.08218458640407</v>
      </c>
      <c r="P467" s="18">
        <f>INDEX(Data_Prices!P:P,MATCH($G467,Data_Prices!$A:$A,0))</f>
        <v>5.08218458640407</v>
      </c>
      <c r="Q467" s="18">
        <f>INDEX(Data_Prices!Q:Q,MATCH($G467,Data_Prices!$A:$A,0))</f>
        <v>5.08218458640407</v>
      </c>
      <c r="R467" s="18">
        <f>INDEX(Data_Prices!R:R,MATCH($G467,Data_Prices!$A:$A,0))</f>
        <v>5.08218458640407</v>
      </c>
      <c r="S467" s="18">
        <f>INDEX(Data_Prices!S:S,MATCH($G467,Data_Prices!$A:$A,0))</f>
        <v>5.08218458640407</v>
      </c>
      <c r="T467" s="18">
        <f>INDEX(Data_Prices!T:T,MATCH($G467,Data_Prices!$A:$A,0))</f>
        <v>5.08218458640407</v>
      </c>
      <c r="U467" s="18">
        <f>INDEX(Data_Prices!U:U,MATCH($G467,Data_Prices!$A:$A,0))</f>
        <v>5.08218458640407</v>
      </c>
      <c r="V467" s="18">
        <f>INDEX(Data_Prices!V:V,MATCH($G467,Data_Prices!$A:$A,0))</f>
        <v>5.08218458640407</v>
      </c>
      <c r="W467" s="18">
        <f>INDEX(Data_Prices!W:W,MATCH($G467,Data_Prices!$A:$A,0))</f>
        <v>5.08218458640407</v>
      </c>
      <c r="X467" s="18">
        <f>INDEX(Data_Prices!X:X,MATCH($G467,Data_Prices!$A:$A,0))</f>
        <v>5.08218458640407</v>
      </c>
      <c r="Y467" s="18">
        <f>INDEX(Data_Prices!Y:Y,MATCH($G467,Data_Prices!$A:$A,0))</f>
        <v>5.08218458640407</v>
      </c>
      <c r="Z467" s="18">
        <f>INDEX(Data_Prices!Z:Z,MATCH($G467,Data_Prices!$A:$A,0))</f>
        <v>5.08218458640407</v>
      </c>
      <c r="AA467" s="18">
        <f>INDEX(Data_Prices!AA:AA,MATCH($G467,Data_Prices!$A:$A,0))</f>
        <v>5.08218458640407</v>
      </c>
      <c r="AB467" s="18">
        <f>INDEX(Data_Prices!AB:AB,MATCH($G467,Data_Prices!$A:$A,0))</f>
        <v>5.08218458640407</v>
      </c>
      <c r="AC467" s="18">
        <f>INDEX(Data_Prices!AC:AC,MATCH($G467,Data_Prices!$A:$A,0))</f>
        <v>5.08218458640407</v>
      </c>
      <c r="AD467" s="18">
        <f>INDEX(Data_Prices!AD:AD,MATCH($G467,Data_Prices!$A:$A,0))</f>
        <v>5.08218458640407</v>
      </c>
      <c r="AE467" s="18">
        <f>INDEX(Data_Prices!AE:AE,MATCH($G467,Data_Prices!$A:$A,0))</f>
        <v>5.08218458640407</v>
      </c>
    </row>
    <row r="468" spans="2:31" x14ac:dyDescent="0.45">
      <c r="B468" s="14" t="s">
        <v>55</v>
      </c>
      <c r="C468" s="14" t="str">
        <f t="shared" si="164"/>
        <v>cem</v>
      </c>
      <c r="D468" s="15" t="s">
        <v>56</v>
      </c>
      <c r="E468" s="16" t="s">
        <v>57</v>
      </c>
      <c r="F468" s="14" t="s">
        <v>52</v>
      </c>
      <c r="G468" s="17" t="str">
        <f>Settings!$B$3&amp;".mit.pbc."&amp;Settings!$B$4&amp;"."&amp;$B468&amp;".a."&amp;$J$464</f>
        <v>egy.mit.pbc.ind.gso.a.2</v>
      </c>
      <c r="H468" s="45" t="str">
        <f>Settings!$B$3&amp;".mit.ptp."&amp;$C$464&amp;"."&amp;$B468&amp;".e."&amp;$J$464</f>
        <v>egy.mit.ptp.cem.gso.e.2</v>
      </c>
      <c r="K468" s="18">
        <f>INDEX(Data_Prices!K:K,MATCH($G468,Data_Prices!$A:$A,0))</f>
        <v>0.67114653332181595</v>
      </c>
      <c r="L468" s="18">
        <f>INDEX(Data_Prices!L:L,MATCH($G468,Data_Prices!$A:$A,0))</f>
        <v>0.61197797679140598</v>
      </c>
      <c r="M468" s="18">
        <f>INDEX(Data_Prices!M:M,MATCH($G468,Data_Prices!$A:$A,0))</f>
        <v>0.61180974964187596</v>
      </c>
      <c r="N468" s="18">
        <f>INDEX(Data_Prices!N:N,MATCH($G468,Data_Prices!$A:$A,0))</f>
        <v>0.60358310017790595</v>
      </c>
      <c r="O468" s="18">
        <f>INDEX(Data_Prices!O:O,MATCH($G468,Data_Prices!$A:$A,0))</f>
        <v>0.60358310017790595</v>
      </c>
      <c r="P468" s="18">
        <f>INDEX(Data_Prices!P:P,MATCH($G468,Data_Prices!$A:$A,0))</f>
        <v>0.60358310017790595</v>
      </c>
      <c r="Q468" s="18">
        <f>INDEX(Data_Prices!Q:Q,MATCH($G468,Data_Prices!$A:$A,0))</f>
        <v>0.60358310017790595</v>
      </c>
      <c r="R468" s="18">
        <f>INDEX(Data_Prices!R:R,MATCH($G468,Data_Prices!$A:$A,0))</f>
        <v>0.60358310017790595</v>
      </c>
      <c r="S468" s="18">
        <f>INDEX(Data_Prices!S:S,MATCH($G468,Data_Prices!$A:$A,0))</f>
        <v>0.60358310017790595</v>
      </c>
      <c r="T468" s="18">
        <f>INDEX(Data_Prices!T:T,MATCH($G468,Data_Prices!$A:$A,0))</f>
        <v>0.60358310017790595</v>
      </c>
      <c r="U468" s="18">
        <f>INDEX(Data_Prices!U:U,MATCH($G468,Data_Prices!$A:$A,0))</f>
        <v>0.60358310017790595</v>
      </c>
      <c r="V468" s="18">
        <f>INDEX(Data_Prices!V:V,MATCH($G468,Data_Prices!$A:$A,0))</f>
        <v>0.60358310017790595</v>
      </c>
      <c r="W468" s="18">
        <f>INDEX(Data_Prices!W:W,MATCH($G468,Data_Prices!$A:$A,0))</f>
        <v>0.60358310017790595</v>
      </c>
      <c r="X468" s="18">
        <f>INDEX(Data_Prices!X:X,MATCH($G468,Data_Prices!$A:$A,0))</f>
        <v>0.60358310017790595</v>
      </c>
      <c r="Y468" s="18">
        <f>INDEX(Data_Prices!Y:Y,MATCH($G468,Data_Prices!$A:$A,0))</f>
        <v>0.60358310017790595</v>
      </c>
      <c r="Z468" s="18">
        <f>INDEX(Data_Prices!Z:Z,MATCH($G468,Data_Prices!$A:$A,0))</f>
        <v>0.60358310017790595</v>
      </c>
      <c r="AA468" s="18">
        <f>INDEX(Data_Prices!AA:AA,MATCH($G468,Data_Prices!$A:$A,0))</f>
        <v>0.60358310017790595</v>
      </c>
      <c r="AB468" s="18">
        <f>INDEX(Data_Prices!AB:AB,MATCH($G468,Data_Prices!$A:$A,0))</f>
        <v>0.60358310017790595</v>
      </c>
      <c r="AC468" s="18">
        <f>INDEX(Data_Prices!AC:AC,MATCH($G468,Data_Prices!$A:$A,0))</f>
        <v>0.60358310017790595</v>
      </c>
      <c r="AD468" s="18">
        <f>INDEX(Data_Prices!AD:AD,MATCH($G468,Data_Prices!$A:$A,0))</f>
        <v>0.60358310017790595</v>
      </c>
      <c r="AE468" s="18">
        <f>INDEX(Data_Prices!AE:AE,MATCH($G468,Data_Prices!$A:$A,0))</f>
        <v>0.60358310017790595</v>
      </c>
    </row>
    <row r="469" spans="2:31" x14ac:dyDescent="0.45">
      <c r="B469" s="14" t="s">
        <v>58</v>
      </c>
      <c r="C469" s="14" t="str">
        <f t="shared" si="164"/>
        <v>cem</v>
      </c>
      <c r="D469" s="15" t="s">
        <v>59</v>
      </c>
      <c r="E469" s="16" t="s">
        <v>57</v>
      </c>
      <c r="F469" s="14" t="s">
        <v>52</v>
      </c>
      <c r="G469" s="17" t="str">
        <f>Settings!$B$3&amp;".mit.pbc."&amp;Settings!$B$4&amp;"."&amp;$B469&amp;".a."&amp;$J$464</f>
        <v>egy.mit.pbc.ind.die.a.2</v>
      </c>
      <c r="H469" s="45" t="str">
        <f>Settings!$B$3&amp;".mit.ptp."&amp;$C$464&amp;"."&amp;$B469&amp;".e."&amp;$J$464</f>
        <v>egy.mit.ptp.cem.die.e.2</v>
      </c>
      <c r="K469" s="18">
        <f>INDEX(Data_Prices!K:K,MATCH($G469,Data_Prices!$A:$A,0))</f>
        <v>0.55971121315568795</v>
      </c>
      <c r="L469" s="18">
        <f>INDEX(Data_Prices!L:L,MATCH($G469,Data_Prices!$A:$A,0))</f>
        <v>0.49458873084106802</v>
      </c>
      <c r="M469" s="18">
        <f>INDEX(Data_Prices!M:M,MATCH($G469,Data_Prices!$A:$A,0))</f>
        <v>0.50778654720250105</v>
      </c>
      <c r="N469" s="18">
        <f>INDEX(Data_Prices!N:N,MATCH($G469,Data_Prices!$A:$A,0))</f>
        <v>0.47043642679561698</v>
      </c>
      <c r="O469" s="18">
        <f>INDEX(Data_Prices!O:O,MATCH($G469,Data_Prices!$A:$A,0))</f>
        <v>0.47043642679561698</v>
      </c>
      <c r="P469" s="18">
        <f>INDEX(Data_Prices!P:P,MATCH($G469,Data_Prices!$A:$A,0))</f>
        <v>0.47043642679561698</v>
      </c>
      <c r="Q469" s="18">
        <f>INDEX(Data_Prices!Q:Q,MATCH($G469,Data_Prices!$A:$A,0))</f>
        <v>0.47043642679561698</v>
      </c>
      <c r="R469" s="18">
        <f>INDEX(Data_Prices!R:R,MATCH($G469,Data_Prices!$A:$A,0))</f>
        <v>0.47043642679561698</v>
      </c>
      <c r="S469" s="18">
        <f>INDEX(Data_Prices!S:S,MATCH($G469,Data_Prices!$A:$A,0))</f>
        <v>0.47043642679561698</v>
      </c>
      <c r="T469" s="18">
        <f>INDEX(Data_Prices!T:T,MATCH($G469,Data_Prices!$A:$A,0))</f>
        <v>0.47043642679561698</v>
      </c>
      <c r="U469" s="18">
        <f>INDEX(Data_Prices!U:U,MATCH($G469,Data_Prices!$A:$A,0))</f>
        <v>0.47043642679561698</v>
      </c>
      <c r="V469" s="18">
        <f>INDEX(Data_Prices!V:V,MATCH($G469,Data_Prices!$A:$A,0))</f>
        <v>0.47043642679561698</v>
      </c>
      <c r="W469" s="18">
        <f>INDEX(Data_Prices!W:W,MATCH($G469,Data_Prices!$A:$A,0))</f>
        <v>0.47043642679561698</v>
      </c>
      <c r="X469" s="18">
        <f>INDEX(Data_Prices!X:X,MATCH($G469,Data_Prices!$A:$A,0))</f>
        <v>0.47043642679561698</v>
      </c>
      <c r="Y469" s="18">
        <f>INDEX(Data_Prices!Y:Y,MATCH($G469,Data_Prices!$A:$A,0))</f>
        <v>0.47043642679561698</v>
      </c>
      <c r="Z469" s="18">
        <f>INDEX(Data_Prices!Z:Z,MATCH($G469,Data_Prices!$A:$A,0))</f>
        <v>0.47043642679561698</v>
      </c>
      <c r="AA469" s="18">
        <f>INDEX(Data_Prices!AA:AA,MATCH($G469,Data_Prices!$A:$A,0))</f>
        <v>0.47043642679561698</v>
      </c>
      <c r="AB469" s="18">
        <f>INDEX(Data_Prices!AB:AB,MATCH($G469,Data_Prices!$A:$A,0))</f>
        <v>0.47043642679561698</v>
      </c>
      <c r="AC469" s="18">
        <f>INDEX(Data_Prices!AC:AC,MATCH($G469,Data_Prices!$A:$A,0))</f>
        <v>0.47043642679561698</v>
      </c>
      <c r="AD469" s="18">
        <f>INDEX(Data_Prices!AD:AD,MATCH($G469,Data_Prices!$A:$A,0))</f>
        <v>0.47043642679561698</v>
      </c>
      <c r="AE469" s="18">
        <f>INDEX(Data_Prices!AE:AE,MATCH($G469,Data_Prices!$A:$A,0))</f>
        <v>0.47043642679561698</v>
      </c>
    </row>
    <row r="470" spans="2:31" x14ac:dyDescent="0.45">
      <c r="B470" s="14" t="s">
        <v>60</v>
      </c>
      <c r="C470" s="14" t="str">
        <f t="shared" si="164"/>
        <v>cem</v>
      </c>
      <c r="D470" s="15" t="s">
        <v>61</v>
      </c>
      <c r="E470" s="16" t="s">
        <v>57</v>
      </c>
      <c r="F470" s="14" t="s">
        <v>52</v>
      </c>
      <c r="G470" s="17" t="str">
        <f>Settings!$B$3&amp;".mit.pbc."&amp;Settings!$B$4&amp;"."&amp;$B470&amp;".a."&amp;$J$464</f>
        <v>egy.mit.pbc.ind.lpg.a.2</v>
      </c>
      <c r="H470" s="45" t="str">
        <f>Settings!$B$3&amp;".mit.ptp."&amp;$C$464&amp;"."&amp;$B470&amp;".e."&amp;$J$464</f>
        <v>egy.mit.ptp.cem.lpg.e.2</v>
      </c>
      <c r="K470" s="18">
        <f>INDEX(Data_Prices!K:K,MATCH($G470,Data_Prices!$A:$A,0))</f>
        <v>0.20036669112673799</v>
      </c>
      <c r="L470" s="18">
        <f>INDEX(Data_Prices!L:L,MATCH($G470,Data_Prices!$A:$A,0))</f>
        <v>0.15734473625227399</v>
      </c>
      <c r="M470" s="18">
        <f>INDEX(Data_Prices!M:M,MATCH($G470,Data_Prices!$A:$A,0))</f>
        <v>0.164484037759277</v>
      </c>
      <c r="N470" s="18">
        <f>INDEX(Data_Prices!N:N,MATCH($G470,Data_Prices!$A:$A,0))</f>
        <v>0.15070907780704901</v>
      </c>
      <c r="O470" s="18">
        <f>INDEX(Data_Prices!O:O,MATCH($G470,Data_Prices!$A:$A,0))</f>
        <v>0.15070907780704901</v>
      </c>
      <c r="P470" s="18">
        <f>INDEX(Data_Prices!P:P,MATCH($G470,Data_Prices!$A:$A,0))</f>
        <v>0.15070907780704901</v>
      </c>
      <c r="Q470" s="18">
        <f>INDEX(Data_Prices!Q:Q,MATCH($G470,Data_Prices!$A:$A,0))</f>
        <v>0.15070907780704901</v>
      </c>
      <c r="R470" s="18">
        <f>INDEX(Data_Prices!R:R,MATCH($G470,Data_Prices!$A:$A,0))</f>
        <v>0.15070907780704901</v>
      </c>
      <c r="S470" s="18">
        <f>INDEX(Data_Prices!S:S,MATCH($G470,Data_Prices!$A:$A,0))</f>
        <v>0.15070907780704901</v>
      </c>
      <c r="T470" s="18">
        <f>INDEX(Data_Prices!T:T,MATCH($G470,Data_Prices!$A:$A,0))</f>
        <v>0.15070907780704901</v>
      </c>
      <c r="U470" s="18">
        <f>INDEX(Data_Prices!U:U,MATCH($G470,Data_Prices!$A:$A,0))</f>
        <v>0.15070907780704901</v>
      </c>
      <c r="V470" s="18">
        <f>INDEX(Data_Prices!V:V,MATCH($G470,Data_Prices!$A:$A,0))</f>
        <v>0.15070907780704901</v>
      </c>
      <c r="W470" s="18">
        <f>INDEX(Data_Prices!W:W,MATCH($G470,Data_Prices!$A:$A,0))</f>
        <v>0.15070907780704901</v>
      </c>
      <c r="X470" s="18">
        <f>INDEX(Data_Prices!X:X,MATCH($G470,Data_Prices!$A:$A,0))</f>
        <v>0.15070907780704901</v>
      </c>
      <c r="Y470" s="18">
        <f>INDEX(Data_Prices!Y:Y,MATCH($G470,Data_Prices!$A:$A,0))</f>
        <v>0.15070907780704901</v>
      </c>
      <c r="Z470" s="18">
        <f>INDEX(Data_Prices!Z:Z,MATCH($G470,Data_Prices!$A:$A,0))</f>
        <v>0.15070907780704901</v>
      </c>
      <c r="AA470" s="18">
        <f>INDEX(Data_Prices!AA:AA,MATCH($G470,Data_Prices!$A:$A,0))</f>
        <v>0.15070907780704901</v>
      </c>
      <c r="AB470" s="18">
        <f>INDEX(Data_Prices!AB:AB,MATCH($G470,Data_Prices!$A:$A,0))</f>
        <v>0.15070907780704901</v>
      </c>
      <c r="AC470" s="18">
        <f>INDEX(Data_Prices!AC:AC,MATCH($G470,Data_Prices!$A:$A,0))</f>
        <v>0.15070907780704901</v>
      </c>
      <c r="AD470" s="18">
        <f>INDEX(Data_Prices!AD:AD,MATCH($G470,Data_Prices!$A:$A,0))</f>
        <v>0.15070907780704901</v>
      </c>
      <c r="AE470" s="18">
        <f>INDEX(Data_Prices!AE:AE,MATCH($G470,Data_Prices!$A:$A,0))</f>
        <v>0.15070907780704901</v>
      </c>
    </row>
    <row r="471" spans="2:31" x14ac:dyDescent="0.45">
      <c r="B471" s="14" t="s">
        <v>62</v>
      </c>
      <c r="C471" s="14" t="str">
        <f t="shared" si="164"/>
        <v>cem</v>
      </c>
      <c r="D471" s="15" t="s">
        <v>63</v>
      </c>
      <c r="E471" s="16" t="s">
        <v>57</v>
      </c>
      <c r="F471" s="14" t="s">
        <v>52</v>
      </c>
      <c r="G471" s="17" t="str">
        <f>Settings!$B$3&amp;".mit.pbc."&amp;Settings!$B$4&amp;"."&amp;$B471&amp;".a."&amp;$J$464</f>
        <v>egy.mit.pbc.ind.ker.a.2</v>
      </c>
      <c r="H471" s="45" t="str">
        <f>Settings!$B$3&amp;".mit.ptp."&amp;$C$464&amp;"."&amp;$B471&amp;".e."&amp;$J$464</f>
        <v>egy.mit.ptp.cem.ker.e.2</v>
      </c>
      <c r="K471" s="18">
        <f>INDEX(Data_Prices!K:K,MATCH($G471,Data_Prices!$A:$A,0))</f>
        <v>0.48429424097343499</v>
      </c>
      <c r="L471" s="18">
        <f>INDEX(Data_Prices!L:L,MATCH($G471,Data_Prices!$A:$A,0))</f>
        <v>0.45642817050012802</v>
      </c>
      <c r="M471" s="18">
        <f>INDEX(Data_Prices!M:M,MATCH($G471,Data_Prices!$A:$A,0))</f>
        <v>0.43168920195599497</v>
      </c>
      <c r="N471" s="18">
        <f>INDEX(Data_Prices!N:N,MATCH($G471,Data_Prices!$A:$A,0))</f>
        <v>0.42507558395597</v>
      </c>
      <c r="O471" s="18">
        <f>INDEX(Data_Prices!O:O,MATCH($G471,Data_Prices!$A:$A,0))</f>
        <v>0.42507558395597</v>
      </c>
      <c r="P471" s="18">
        <f>INDEX(Data_Prices!P:P,MATCH($G471,Data_Prices!$A:$A,0))</f>
        <v>0.42507558395597</v>
      </c>
      <c r="Q471" s="18">
        <f>INDEX(Data_Prices!Q:Q,MATCH($G471,Data_Prices!$A:$A,0))</f>
        <v>0.42507558395597</v>
      </c>
      <c r="R471" s="18">
        <f>INDEX(Data_Prices!R:R,MATCH($G471,Data_Prices!$A:$A,0))</f>
        <v>0.42507558395597</v>
      </c>
      <c r="S471" s="18">
        <f>INDEX(Data_Prices!S:S,MATCH($G471,Data_Prices!$A:$A,0))</f>
        <v>0.42507558395597</v>
      </c>
      <c r="T471" s="18">
        <f>INDEX(Data_Prices!T:T,MATCH($G471,Data_Prices!$A:$A,0))</f>
        <v>0.42507558395597</v>
      </c>
      <c r="U471" s="18">
        <f>INDEX(Data_Prices!U:U,MATCH($G471,Data_Prices!$A:$A,0))</f>
        <v>0.42507558395597</v>
      </c>
      <c r="V471" s="18">
        <f>INDEX(Data_Prices!V:V,MATCH($G471,Data_Prices!$A:$A,0))</f>
        <v>0.42507558395597</v>
      </c>
      <c r="W471" s="18">
        <f>INDEX(Data_Prices!W:W,MATCH($G471,Data_Prices!$A:$A,0))</f>
        <v>0.42507558395597</v>
      </c>
      <c r="X471" s="18">
        <f>INDEX(Data_Prices!X:X,MATCH($G471,Data_Prices!$A:$A,0))</f>
        <v>0.42507558395597</v>
      </c>
      <c r="Y471" s="18">
        <f>INDEX(Data_Prices!Y:Y,MATCH($G471,Data_Prices!$A:$A,0))</f>
        <v>0.42507558395597</v>
      </c>
      <c r="Z471" s="18">
        <f>INDEX(Data_Prices!Z:Z,MATCH($G471,Data_Prices!$A:$A,0))</f>
        <v>0.42507558395597</v>
      </c>
      <c r="AA471" s="18">
        <f>INDEX(Data_Prices!AA:AA,MATCH($G471,Data_Prices!$A:$A,0))</f>
        <v>0.42507558395597</v>
      </c>
      <c r="AB471" s="18">
        <f>INDEX(Data_Prices!AB:AB,MATCH($G471,Data_Prices!$A:$A,0))</f>
        <v>0.42507558395597</v>
      </c>
      <c r="AC471" s="18">
        <f>INDEX(Data_Prices!AC:AC,MATCH($G471,Data_Prices!$A:$A,0))</f>
        <v>0.42507558395597</v>
      </c>
      <c r="AD471" s="18">
        <f>INDEX(Data_Prices!AD:AD,MATCH($G471,Data_Prices!$A:$A,0))</f>
        <v>0.42507558395597</v>
      </c>
      <c r="AE471" s="18">
        <f>INDEX(Data_Prices!AE:AE,MATCH($G471,Data_Prices!$A:$A,0))</f>
        <v>0.42507558395597</v>
      </c>
    </row>
    <row r="472" spans="2:31" x14ac:dyDescent="0.45">
      <c r="B472" s="14" t="s">
        <v>64</v>
      </c>
      <c r="C472" s="14" t="str">
        <f t="shared" si="164"/>
        <v>cem</v>
      </c>
      <c r="D472" s="15" t="s">
        <v>65</v>
      </c>
      <c r="E472" s="16" t="s">
        <v>66</v>
      </c>
      <c r="F472" s="14" t="s">
        <v>52</v>
      </c>
      <c r="G472" s="17" t="str">
        <f>Settings!$B$3&amp;".mit.pbc."&amp;Settings!$B$4&amp;"."&amp;$B472&amp;".a."&amp;$J$464</f>
        <v>egy.mit.pbc.ind.oop.a.2</v>
      </c>
      <c r="H472" s="45" t="str">
        <f>Settings!$B$3&amp;".mit.ptp."&amp;$C$464&amp;"."&amp;$B472&amp;".e."&amp;$J$464</f>
        <v>egy.mit.ptp.cem.oop.e.2</v>
      </c>
      <c r="K472" s="18">
        <f>INDEX(Data_Prices!K:K,MATCH($G472,Data_Prices!$A:$A,0))</f>
        <v>41.500338498868402</v>
      </c>
      <c r="L472" s="18">
        <f>INDEX(Data_Prices!L:L,MATCH($G472,Data_Prices!$A:$A,0))</f>
        <v>34.4153703043132</v>
      </c>
      <c r="M472" s="18">
        <f>INDEX(Data_Prices!M:M,MATCH($G472,Data_Prices!$A:$A,0))</f>
        <v>37.368960690431997</v>
      </c>
      <c r="N472" s="18">
        <f>INDEX(Data_Prices!N:N,MATCH($G472,Data_Prices!$A:$A,0))</f>
        <v>28.982761101477301</v>
      </c>
      <c r="O472" s="18">
        <f>INDEX(Data_Prices!O:O,MATCH($G472,Data_Prices!$A:$A,0))</f>
        <v>15</v>
      </c>
      <c r="P472" s="18">
        <f>INDEX(Data_Prices!P:P,MATCH($G472,Data_Prices!$A:$A,0))</f>
        <v>24.2586300842555</v>
      </c>
      <c r="Q472" s="18">
        <f>INDEX(Data_Prices!Q:Q,MATCH($G472,Data_Prices!$A:$A,0))</f>
        <v>13.096208196132499</v>
      </c>
      <c r="R472" s="18">
        <f>INDEX(Data_Prices!R:R,MATCH($G472,Data_Prices!$A:$A,0))</f>
        <v>10.0252451140106</v>
      </c>
      <c r="S472" s="18">
        <f>INDEX(Data_Prices!S:S,MATCH($G472,Data_Prices!$A:$A,0))</f>
        <v>8.4772306913736202</v>
      </c>
      <c r="T472" s="18">
        <f>INDEX(Data_Prices!T:T,MATCH($G472,Data_Prices!$A:$A,0))</f>
        <v>7.1234824452092198</v>
      </c>
      <c r="U472" s="18">
        <f>INDEX(Data_Prices!U:U,MATCH($G472,Data_Prices!$A:$A,0))</f>
        <v>5.6527597394100599</v>
      </c>
      <c r="V472" s="18">
        <f>INDEX(Data_Prices!V:V,MATCH($G472,Data_Prices!$A:$A,0))</f>
        <v>5.6527597394100599</v>
      </c>
      <c r="W472" s="18">
        <f>INDEX(Data_Prices!W:W,MATCH($G472,Data_Prices!$A:$A,0))</f>
        <v>5.6527597394100599</v>
      </c>
      <c r="X472" s="18">
        <f>INDEX(Data_Prices!X:X,MATCH($G472,Data_Prices!$A:$A,0))</f>
        <v>5.6527597394100599</v>
      </c>
      <c r="Y472" s="18">
        <f>INDEX(Data_Prices!Y:Y,MATCH($G472,Data_Prices!$A:$A,0))</f>
        <v>5.6527597394100599</v>
      </c>
      <c r="Z472" s="18">
        <f>INDEX(Data_Prices!Z:Z,MATCH($G472,Data_Prices!$A:$A,0))</f>
        <v>5.6527597394100697</v>
      </c>
      <c r="AA472" s="18">
        <f>INDEX(Data_Prices!AA:AA,MATCH($G472,Data_Prices!$A:$A,0))</f>
        <v>5.6527597394100599</v>
      </c>
      <c r="AB472" s="18">
        <f>INDEX(Data_Prices!AB:AB,MATCH($G472,Data_Prices!$A:$A,0))</f>
        <v>5.6527597394100599</v>
      </c>
      <c r="AC472" s="18">
        <f>INDEX(Data_Prices!AC:AC,MATCH($G472,Data_Prices!$A:$A,0))</f>
        <v>5.6527597394100404</v>
      </c>
      <c r="AD472" s="18">
        <f>INDEX(Data_Prices!AD:AD,MATCH($G472,Data_Prices!$A:$A,0))</f>
        <v>5.6527597394100599</v>
      </c>
      <c r="AE472" s="18">
        <f>INDEX(Data_Prices!AE:AE,MATCH($G472,Data_Prices!$A:$A,0))</f>
        <v>5.6527597394100404</v>
      </c>
    </row>
    <row r="473" spans="2:31" x14ac:dyDescent="0.45">
      <c r="B473" s="14" t="s">
        <v>67</v>
      </c>
      <c r="C473" s="14" t="str">
        <f t="shared" si="164"/>
        <v>cem</v>
      </c>
      <c r="D473" s="15" t="s">
        <v>68</v>
      </c>
      <c r="E473" s="16" t="s">
        <v>51</v>
      </c>
      <c r="F473" s="14" t="s">
        <v>52</v>
      </c>
      <c r="G473" s="17" t="str">
        <f>Settings!$B$3&amp;".mit.pbc."&amp;Settings!$B$4&amp;"."&amp;$B473&amp;".a."&amp;$J$464</f>
        <v>egy.mit.pbc.ind.bio.a.2</v>
      </c>
      <c r="H473" s="45" t="str">
        <f>Settings!$B$3&amp;".mit.ptp."&amp;$C$464&amp;"."&amp;$B473&amp;".e."&amp;$J$464</f>
        <v>egy.mit.ptp.cem.bio.e.2</v>
      </c>
      <c r="K473" s="18">
        <f>INDEX(Data_Prices!K:K,MATCH($G473,Data_Prices!$A:$A,0))</f>
        <v>15.3345505293169</v>
      </c>
      <c r="L473" s="18">
        <f>INDEX(Data_Prices!L:L,MATCH($G473,Data_Prices!$A:$A,0))</f>
        <v>14.199528390634899</v>
      </c>
      <c r="M473" s="18">
        <f>INDEX(Data_Prices!M:M,MATCH($G473,Data_Prices!$A:$A,0))</f>
        <v>13.8404416133152</v>
      </c>
      <c r="N473" s="18">
        <f>INDEX(Data_Prices!N:N,MATCH($G473,Data_Prices!$A:$A,0))</f>
        <v>13.5677269404465</v>
      </c>
      <c r="O473" s="18">
        <f>INDEX(Data_Prices!O:O,MATCH($G473,Data_Prices!$A:$A,0))</f>
        <v>13.5677269404465</v>
      </c>
      <c r="P473" s="18">
        <f>INDEX(Data_Prices!P:P,MATCH($G473,Data_Prices!$A:$A,0))</f>
        <v>13.5677269404465</v>
      </c>
      <c r="Q473" s="18">
        <f>INDEX(Data_Prices!Q:Q,MATCH($G473,Data_Prices!$A:$A,0))</f>
        <v>13.5677269404465</v>
      </c>
      <c r="R473" s="18">
        <f>INDEX(Data_Prices!R:R,MATCH($G473,Data_Prices!$A:$A,0))</f>
        <v>13.5677269404465</v>
      </c>
      <c r="S473" s="18">
        <f>INDEX(Data_Prices!S:S,MATCH($G473,Data_Prices!$A:$A,0))</f>
        <v>13.5677269404465</v>
      </c>
      <c r="T473" s="18">
        <f>INDEX(Data_Prices!T:T,MATCH($G473,Data_Prices!$A:$A,0))</f>
        <v>13.5677269404465</v>
      </c>
      <c r="U473" s="18">
        <f>INDEX(Data_Prices!U:U,MATCH($G473,Data_Prices!$A:$A,0))</f>
        <v>13.5677269404465</v>
      </c>
      <c r="V473" s="18">
        <f>INDEX(Data_Prices!V:V,MATCH($G473,Data_Prices!$A:$A,0))</f>
        <v>13.5677269404465</v>
      </c>
      <c r="W473" s="18">
        <f>INDEX(Data_Prices!W:W,MATCH($G473,Data_Prices!$A:$A,0))</f>
        <v>13.5677269404465</v>
      </c>
      <c r="X473" s="18">
        <f>INDEX(Data_Prices!X:X,MATCH($G473,Data_Prices!$A:$A,0))</f>
        <v>13.5677269404465</v>
      </c>
      <c r="Y473" s="18">
        <f>INDEX(Data_Prices!Y:Y,MATCH($G473,Data_Prices!$A:$A,0))</f>
        <v>13.5677269404465</v>
      </c>
      <c r="Z473" s="18">
        <f>INDEX(Data_Prices!Z:Z,MATCH($G473,Data_Prices!$A:$A,0))</f>
        <v>13.5677269404465</v>
      </c>
      <c r="AA473" s="18">
        <f>INDEX(Data_Prices!AA:AA,MATCH($G473,Data_Prices!$A:$A,0))</f>
        <v>13.5677269404465</v>
      </c>
      <c r="AB473" s="18">
        <f>INDEX(Data_Prices!AB:AB,MATCH($G473,Data_Prices!$A:$A,0))</f>
        <v>13.5677269404465</v>
      </c>
      <c r="AC473" s="18">
        <f>INDEX(Data_Prices!AC:AC,MATCH($G473,Data_Prices!$A:$A,0))</f>
        <v>13.5677269404465</v>
      </c>
      <c r="AD473" s="18">
        <f>INDEX(Data_Prices!AD:AD,MATCH($G473,Data_Prices!$A:$A,0))</f>
        <v>13.5677269404465</v>
      </c>
      <c r="AE473" s="18">
        <f>INDEX(Data_Prices!AE:AE,MATCH($G473,Data_Prices!$A:$A,0))</f>
        <v>13.5677269404465</v>
      </c>
    </row>
    <row r="474" spans="2:31" x14ac:dyDescent="0.45">
      <c r="B474" s="14" t="s">
        <v>69</v>
      </c>
      <c r="C474" s="14" t="str">
        <f t="shared" si="164"/>
        <v>cem</v>
      </c>
      <c r="D474" s="15" t="s">
        <v>70</v>
      </c>
      <c r="E474" s="16" t="s">
        <v>71</v>
      </c>
      <c r="F474" s="14" t="s">
        <v>52</v>
      </c>
      <c r="G474" s="17" t="str">
        <f>Settings!$B$3&amp;".mit.pbc."&amp;Settings!$B$4&amp;"."&amp;$B474&amp;".a."&amp;$J$464</f>
        <v>egy.mit.pbc.ind.ren.a.2</v>
      </c>
      <c r="H474" s="45" t="str">
        <f>Settings!$B$3&amp;".mit.ptp."&amp;$C$464&amp;"."&amp;$B474&amp;".e."&amp;$J$464</f>
        <v>egy.mit.ptp.cem.ren.e.2</v>
      </c>
      <c r="K474" s="18">
        <f>INDEX(Data_Prices!K:K,MATCH($G474,Data_Prices!$A:$A,0))</f>
        <v>0</v>
      </c>
      <c r="L474" s="18">
        <f>INDEX(Data_Prices!L:L,MATCH($G474,Data_Prices!$A:$A,0))</f>
        <v>0.14404498679319799</v>
      </c>
      <c r="M474" s="18">
        <f>INDEX(Data_Prices!M:M,MATCH($G474,Data_Prices!$A:$A,0))</f>
        <v>0.141386241751359</v>
      </c>
      <c r="N474" s="18">
        <f>INDEX(Data_Prices!N:N,MATCH($G474,Data_Prices!$A:$A,0))</f>
        <v>0.13539756544373099</v>
      </c>
      <c r="O474" s="18">
        <f>INDEX(Data_Prices!O:O,MATCH($G474,Data_Prices!$A:$A,0))</f>
        <v>0.13152288542065099</v>
      </c>
      <c r="P474" s="18">
        <f>INDEX(Data_Prices!P:P,MATCH($G474,Data_Prices!$A:$A,0))</f>
        <v>0.12882610848523099</v>
      </c>
      <c r="Q474" s="18">
        <f>INDEX(Data_Prices!Q:Q,MATCH($G474,Data_Prices!$A:$A,0))</f>
        <v>0.12594200976473999</v>
      </c>
      <c r="R474" s="18">
        <f>INDEX(Data_Prices!R:R,MATCH($G474,Data_Prices!$A:$A,0))</f>
        <v>0.123113265701861</v>
      </c>
      <c r="S474" s="18">
        <f>INDEX(Data_Prices!S:S,MATCH($G474,Data_Prices!$A:$A,0))</f>
        <v>0.119391738089068</v>
      </c>
      <c r="T474" s="18">
        <f>INDEX(Data_Prices!T:T,MATCH($G474,Data_Prices!$A:$A,0))</f>
        <v>0.11554419046792</v>
      </c>
      <c r="U474" s="18">
        <f>INDEX(Data_Prices!U:U,MATCH($G474,Data_Prices!$A:$A,0))</f>
        <v>0.11492423065415899</v>
      </c>
      <c r="V474" s="18">
        <f>INDEX(Data_Prices!V:V,MATCH($G474,Data_Prices!$A:$A,0))</f>
        <v>0.114346912116736</v>
      </c>
      <c r="W474" s="18">
        <f>INDEX(Data_Prices!W:W,MATCH($G474,Data_Prices!$A:$A,0))</f>
        <v>0.113738711172664</v>
      </c>
      <c r="X474" s="18">
        <f>INDEX(Data_Prices!X:X,MATCH($G474,Data_Prices!$A:$A,0))</f>
        <v>0.112999900487521</v>
      </c>
      <c r="Y474" s="18">
        <f>INDEX(Data_Prices!Y:Y,MATCH($G474,Data_Prices!$A:$A,0))</f>
        <v>0.112177685835534</v>
      </c>
      <c r="Z474" s="18">
        <f>INDEX(Data_Prices!Z:Z,MATCH($G474,Data_Prices!$A:$A,0))</f>
        <v>0.111417903250404</v>
      </c>
      <c r="AA474" s="18">
        <f>INDEX(Data_Prices!AA:AA,MATCH($G474,Data_Prices!$A:$A,0))</f>
        <v>0.11052581998545399</v>
      </c>
      <c r="AB474" s="18">
        <f>INDEX(Data_Prices!AB:AB,MATCH($G474,Data_Prices!$A:$A,0))</f>
        <v>0.109699565234896</v>
      </c>
      <c r="AC474" s="18">
        <f>INDEX(Data_Prices!AC:AC,MATCH($G474,Data_Prices!$A:$A,0))</f>
        <v>0.10772678896394899</v>
      </c>
      <c r="AD474" s="18">
        <f>INDEX(Data_Prices!AD:AD,MATCH($G474,Data_Prices!$A:$A,0))</f>
        <v>0.10582092445093499</v>
      </c>
      <c r="AE474" s="18">
        <f>INDEX(Data_Prices!AE:AE,MATCH($G474,Data_Prices!$A:$A,0))</f>
        <v>0.103855595705721</v>
      </c>
    </row>
    <row r="475" spans="2:31" x14ac:dyDescent="0.45">
      <c r="B475" s="13" t="s">
        <v>72</v>
      </c>
    </row>
    <row r="476" spans="2:31" x14ac:dyDescent="0.45">
      <c r="B476" s="14" t="s">
        <v>49</v>
      </c>
      <c r="C476" s="14" t="str">
        <f t="shared" ref="C476:C484" si="165">$C$464</f>
        <v>cem</v>
      </c>
      <c r="D476" s="15" t="s">
        <v>50</v>
      </c>
      <c r="E476" s="16" t="s">
        <v>51</v>
      </c>
      <c r="F476" s="14" t="s">
        <v>73</v>
      </c>
      <c r="G476" s="17" t="str">
        <f>Settings!$B$3&amp;".mit.nce."&amp;Settings!$B$4&amp;"."&amp;$B476&amp;".a."&amp;$J$464</f>
        <v>egy.mit.nce.ind.coa.a.2</v>
      </c>
      <c r="H476" s="45" t="str">
        <f>Settings!$B$3&amp;".mit.atp."&amp;$C$464&amp;"."&amp;$B476&amp;".e."&amp;$J$464</f>
        <v>egy.mit.atp.cem.coa.e.2</v>
      </c>
      <c r="K476" s="18">
        <f>K466+INDEX(Data_Prices!K:K,MATCH($G476,Data_Prices!$A:$A,0))*K$496</f>
        <v>11.182901589243899</v>
      </c>
      <c r="L476" s="18">
        <f>L466+INDEX(Data_Prices!L:L,MATCH($G476,Data_Prices!$A:$A,0))*L$496</f>
        <v>10.5233613454312</v>
      </c>
      <c r="M476" s="18">
        <f>M466+INDEX(Data_Prices!M:M,MATCH($G476,Data_Prices!$A:$A,0))*M$496</f>
        <v>10.2995608274442</v>
      </c>
      <c r="N476" s="18">
        <f>N466+INDEX(Data_Prices!N:N,MATCH($G476,Data_Prices!$A:$A,0))*N$496</f>
        <v>9.5775283595382597</v>
      </c>
      <c r="O476" s="18">
        <f>O466+INDEX(Data_Prices!O:O,MATCH($G476,Data_Prices!$A:$A,0))*O$496</f>
        <v>8.4854782869580507</v>
      </c>
      <c r="P476" s="18">
        <f>P466+INDEX(Data_Prices!P:P,MATCH($G476,Data_Prices!$A:$A,0))*P$496</f>
        <v>9.0871922352498604</v>
      </c>
      <c r="Q476" s="18">
        <f>Q466+INDEX(Data_Prices!Q:Q,MATCH($G476,Data_Prices!$A:$A,0))*Q$496</f>
        <v>10.472923728932679</v>
      </c>
      <c r="R476" s="18">
        <f>R466+INDEX(Data_Prices!R:R,MATCH($G476,Data_Prices!$A:$A,0))*R$496</f>
        <v>11.658564955509689</v>
      </c>
      <c r="S476" s="18">
        <f>S466+INDEX(Data_Prices!S:S,MATCH($G476,Data_Prices!$A:$A,0))*S$496</f>
        <v>12.839547877397379</v>
      </c>
      <c r="T476" s="18">
        <f>T466+INDEX(Data_Prices!T:T,MATCH($G476,Data_Prices!$A:$A,0))*T$496</f>
        <v>14.01568166602283</v>
      </c>
      <c r="U476" s="18">
        <f>U466+INDEX(Data_Prices!U:U,MATCH($G476,Data_Prices!$A:$A,0))*U$496</f>
        <v>15.19439776555711</v>
      </c>
      <c r="V476" s="18">
        <f>V466+INDEX(Data_Prices!V:V,MATCH($G476,Data_Prices!$A:$A,0))*V$496</f>
        <v>16.44439776555711</v>
      </c>
      <c r="W476" s="18">
        <f>W466+INDEX(Data_Prices!W:W,MATCH($G476,Data_Prices!$A:$A,0))*W$496</f>
        <v>17.69439776555711</v>
      </c>
      <c r="X476" s="18">
        <f>X466+INDEX(Data_Prices!X:X,MATCH($G476,Data_Prices!$A:$A,0))*X$496</f>
        <v>18.94439776555711</v>
      </c>
      <c r="Y476" s="18">
        <f>Y466+INDEX(Data_Prices!Y:Y,MATCH($G476,Data_Prices!$A:$A,0))*Y$496</f>
        <v>20.19439776555711</v>
      </c>
      <c r="Z476" s="18">
        <f>Z466+INDEX(Data_Prices!Z:Z,MATCH($G476,Data_Prices!$A:$A,0))*Z$496</f>
        <v>21.44439776555711</v>
      </c>
      <c r="AA476" s="18">
        <f>AA466+INDEX(Data_Prices!AA:AA,MATCH($G476,Data_Prices!$A:$A,0))*AA$496</f>
        <v>22.69439776555711</v>
      </c>
      <c r="AB476" s="18">
        <f>AB466+INDEX(Data_Prices!AB:AB,MATCH($G476,Data_Prices!$A:$A,0))*AB$496</f>
        <v>23.94439776555711</v>
      </c>
      <c r="AC476" s="18">
        <f>AC466+INDEX(Data_Prices!AC:AC,MATCH($G476,Data_Prices!$A:$A,0))*AC$496</f>
        <v>25.19439776555711</v>
      </c>
      <c r="AD476" s="18">
        <f>AD466+INDEX(Data_Prices!AD:AD,MATCH($G476,Data_Prices!$A:$A,0))*AD$496</f>
        <v>26.44439776555711</v>
      </c>
      <c r="AE476" s="18">
        <f>AE466+INDEX(Data_Prices!AE:AE,MATCH($G476,Data_Prices!$A:$A,0))*AE$496</f>
        <v>27.69439776555711</v>
      </c>
    </row>
    <row r="477" spans="2:31" x14ac:dyDescent="0.45">
      <c r="B477" s="14" t="s">
        <v>53</v>
      </c>
      <c r="C477" s="14" t="str">
        <f t="shared" si="165"/>
        <v>cem</v>
      </c>
      <c r="D477" s="15" t="s">
        <v>54</v>
      </c>
      <c r="E477" s="16" t="s">
        <v>51</v>
      </c>
      <c r="F477" s="14" t="s">
        <v>73</v>
      </c>
      <c r="G477" s="17" t="str">
        <f>Settings!$B$3&amp;".mit.nce."&amp;Settings!$B$4&amp;"."&amp;$B477&amp;".a."&amp;$J$464</f>
        <v>egy.mit.nce.ind.nga.a.2</v>
      </c>
      <c r="H477" s="45" t="str">
        <f>Settings!$B$3&amp;".mit.atp."&amp;$C$464&amp;"."&amp;$B477&amp;".e."&amp;$J$464</f>
        <v>egy.mit.atp.cem.nga.e.2</v>
      </c>
      <c r="K477" s="18">
        <f>K467+INDEX(Data_Prices!K:K,MATCH($G477,Data_Prices!$A:$A,0))*K$496</f>
        <v>6.0634636156729096</v>
      </c>
      <c r="L477" s="18">
        <f>L467+INDEX(Data_Prices!L:L,MATCH($G477,Data_Prices!$A:$A,0))*L$496</f>
        <v>5.4510150816191896</v>
      </c>
      <c r="M477" s="18">
        <f>M467+INDEX(Data_Prices!M:M,MATCH($G477,Data_Prices!$A:$A,0))*M$496</f>
        <v>5.1193563062624801</v>
      </c>
      <c r="N477" s="18">
        <f>N467+INDEX(Data_Prices!N:N,MATCH($G477,Data_Prices!$A:$A,0))*N$496</f>
        <v>5.08218458640407</v>
      </c>
      <c r="O477" s="18">
        <f>O467+INDEX(Data_Prices!O:O,MATCH($G477,Data_Prices!$A:$A,0))*O$496</f>
        <v>5.08218458640407</v>
      </c>
      <c r="P477" s="18">
        <f>P467+INDEX(Data_Prices!P:P,MATCH($G477,Data_Prices!$A:$A,0))*P$496</f>
        <v>5.08218458640407</v>
      </c>
      <c r="Q477" s="18">
        <f>Q467+INDEX(Data_Prices!Q:Q,MATCH($G477,Data_Prices!$A:$A,0))*Q$496</f>
        <v>5.7796845864040698</v>
      </c>
      <c r="R477" s="18">
        <f>R467+INDEX(Data_Prices!R:R,MATCH($G477,Data_Prices!$A:$A,0))*R$496</f>
        <v>6.4771845864040696</v>
      </c>
      <c r="S477" s="18">
        <f>S467+INDEX(Data_Prices!S:S,MATCH($G477,Data_Prices!$A:$A,0))*S$496</f>
        <v>7.1746845864040703</v>
      </c>
      <c r="T477" s="18">
        <f>T467+INDEX(Data_Prices!T:T,MATCH($G477,Data_Prices!$A:$A,0))*T$496</f>
        <v>7.87218458640407</v>
      </c>
      <c r="U477" s="18">
        <f>U467+INDEX(Data_Prices!U:U,MATCH($G477,Data_Prices!$A:$A,0))*U$496</f>
        <v>8.5696845864040707</v>
      </c>
      <c r="V477" s="18">
        <f>V467+INDEX(Data_Prices!V:V,MATCH($G477,Data_Prices!$A:$A,0))*V$496</f>
        <v>9.2671845864040705</v>
      </c>
      <c r="W477" s="18">
        <f>W467+INDEX(Data_Prices!W:W,MATCH($G477,Data_Prices!$A:$A,0))*W$496</f>
        <v>9.9646845864040703</v>
      </c>
      <c r="X477" s="18">
        <f>X467+INDEX(Data_Prices!X:X,MATCH($G477,Data_Prices!$A:$A,0))*X$496</f>
        <v>10.66218458640407</v>
      </c>
      <c r="Y477" s="18">
        <f>Y467+INDEX(Data_Prices!Y:Y,MATCH($G477,Data_Prices!$A:$A,0))*Y$496</f>
        <v>11.35968458640407</v>
      </c>
      <c r="Z477" s="18">
        <f>Z467+INDEX(Data_Prices!Z:Z,MATCH($G477,Data_Prices!$A:$A,0))*Z$496</f>
        <v>12.05718458640407</v>
      </c>
      <c r="AA477" s="18">
        <f>AA467+INDEX(Data_Prices!AA:AA,MATCH($G477,Data_Prices!$A:$A,0))*AA$496</f>
        <v>12.754684586404071</v>
      </c>
      <c r="AB477" s="18">
        <f>AB467+INDEX(Data_Prices!AB:AB,MATCH($G477,Data_Prices!$A:$A,0))*AB$496</f>
        <v>13.452184586404071</v>
      </c>
      <c r="AC477" s="18">
        <f>AC467+INDEX(Data_Prices!AC:AC,MATCH($G477,Data_Prices!$A:$A,0))*AC$496</f>
        <v>14.149684586404071</v>
      </c>
      <c r="AD477" s="18">
        <f>AD467+INDEX(Data_Prices!AD:AD,MATCH($G477,Data_Prices!$A:$A,0))*AD$496</f>
        <v>14.847184586404071</v>
      </c>
      <c r="AE477" s="18">
        <f>AE467+INDEX(Data_Prices!AE:AE,MATCH($G477,Data_Prices!$A:$A,0))*AE$496</f>
        <v>15.54468458640407</v>
      </c>
    </row>
    <row r="478" spans="2:31" x14ac:dyDescent="0.45">
      <c r="B478" s="14" t="s">
        <v>55</v>
      </c>
      <c r="C478" s="14" t="str">
        <f t="shared" si="165"/>
        <v>cem</v>
      </c>
      <c r="D478" s="15" t="s">
        <v>56</v>
      </c>
      <c r="E478" s="16" t="s">
        <v>57</v>
      </c>
      <c r="F478" s="14" t="s">
        <v>73</v>
      </c>
      <c r="G478" s="17" t="str">
        <f>Settings!$B$3&amp;".mit.nce."&amp;Settings!$B$4&amp;"."&amp;$B478&amp;".a."&amp;$J$464</f>
        <v>egy.mit.nce.ind.gso.a.2</v>
      </c>
      <c r="H478" s="45" t="str">
        <f>Settings!$B$3&amp;".mit.atp."&amp;$C$464&amp;"."&amp;$B478&amp;".e."&amp;$J$464</f>
        <v>egy.mit.atp.cem.gso.e.2</v>
      </c>
      <c r="K478" s="18">
        <f>K468+INDEX(Data_Prices!K:K,MATCH($G478,Data_Prices!$A:$A,0))*K$496</f>
        <v>0.67114653332181595</v>
      </c>
      <c r="L478" s="18">
        <f>L468+INDEX(Data_Prices!L:L,MATCH($G478,Data_Prices!$A:$A,0))*L$496</f>
        <v>0.61197797679140598</v>
      </c>
      <c r="M478" s="18">
        <f>M468+INDEX(Data_Prices!M:M,MATCH($G478,Data_Prices!$A:$A,0))*M$496</f>
        <v>0.61180974964187596</v>
      </c>
      <c r="N478" s="18">
        <f>N468+INDEX(Data_Prices!N:N,MATCH($G478,Data_Prices!$A:$A,0))*N$496</f>
        <v>0.60358310017790595</v>
      </c>
      <c r="O478" s="18">
        <f>O468+INDEX(Data_Prices!O:O,MATCH($G478,Data_Prices!$A:$A,0))*O$496</f>
        <v>0.60358310017790595</v>
      </c>
      <c r="P478" s="18">
        <f>P468+INDEX(Data_Prices!P:P,MATCH($G478,Data_Prices!$A:$A,0))*P$496</f>
        <v>0.60358310017790595</v>
      </c>
      <c r="Q478" s="18">
        <f>Q468+INDEX(Data_Prices!Q:Q,MATCH($G478,Data_Prices!$A:$A,0))*Q$496</f>
        <v>0.63251094334940594</v>
      </c>
      <c r="R478" s="18">
        <f>R468+INDEX(Data_Prices!R:R,MATCH($G478,Data_Prices!$A:$A,0))*R$496</f>
        <v>0.66143878652090593</v>
      </c>
      <c r="S478" s="18">
        <f>S468+INDEX(Data_Prices!S:S,MATCH($G478,Data_Prices!$A:$A,0))*S$496</f>
        <v>0.69036662969240592</v>
      </c>
      <c r="T478" s="18">
        <f>T468+INDEX(Data_Prices!T:T,MATCH($G478,Data_Prices!$A:$A,0))*T$496</f>
        <v>0.71929447286390591</v>
      </c>
      <c r="U478" s="18">
        <f>U468+INDEX(Data_Prices!U:U,MATCH($G478,Data_Prices!$A:$A,0))*U$496</f>
        <v>0.74822231603540601</v>
      </c>
      <c r="V478" s="18">
        <f>V468+INDEX(Data_Prices!V:V,MATCH($G478,Data_Prices!$A:$A,0))*V$496</f>
        <v>0.777150159206906</v>
      </c>
      <c r="W478" s="18">
        <f>W468+INDEX(Data_Prices!W:W,MATCH($G478,Data_Prices!$A:$A,0))*W$496</f>
        <v>0.80607800237840599</v>
      </c>
      <c r="X478" s="18">
        <f>X468+INDEX(Data_Prices!X:X,MATCH($G478,Data_Prices!$A:$A,0))*X$496</f>
        <v>0.83500584554990598</v>
      </c>
      <c r="Y478" s="18">
        <f>Y468+INDEX(Data_Prices!Y:Y,MATCH($G478,Data_Prices!$A:$A,0))*Y$496</f>
        <v>0.86393368872140597</v>
      </c>
      <c r="Z478" s="18">
        <f>Z468+INDEX(Data_Prices!Z:Z,MATCH($G478,Data_Prices!$A:$A,0))*Z$496</f>
        <v>0.89286153189290596</v>
      </c>
      <c r="AA478" s="18">
        <f>AA468+INDEX(Data_Prices!AA:AA,MATCH($G478,Data_Prices!$A:$A,0))*AA$496</f>
        <v>0.92178937506440595</v>
      </c>
      <c r="AB478" s="18">
        <f>AB468+INDEX(Data_Prices!AB:AB,MATCH($G478,Data_Prices!$A:$A,0))*AB$496</f>
        <v>0.95071721823590605</v>
      </c>
      <c r="AC478" s="18">
        <f>AC468+INDEX(Data_Prices!AC:AC,MATCH($G478,Data_Prices!$A:$A,0))*AC$496</f>
        <v>0.97964506140740593</v>
      </c>
      <c r="AD478" s="18">
        <f>AD468+INDEX(Data_Prices!AD:AD,MATCH($G478,Data_Prices!$A:$A,0))*AD$496</f>
        <v>1.008572904578906</v>
      </c>
      <c r="AE478" s="18">
        <f>AE468+INDEX(Data_Prices!AE:AE,MATCH($G478,Data_Prices!$A:$A,0))*AE$496</f>
        <v>1.0375007477504061</v>
      </c>
    </row>
    <row r="479" spans="2:31" x14ac:dyDescent="0.45">
      <c r="B479" s="14" t="s">
        <v>58</v>
      </c>
      <c r="C479" s="14" t="str">
        <f t="shared" si="165"/>
        <v>cem</v>
      </c>
      <c r="D479" s="15" t="s">
        <v>59</v>
      </c>
      <c r="E479" s="16" t="s">
        <v>57</v>
      </c>
      <c r="F479" s="14" t="s">
        <v>73</v>
      </c>
      <c r="G479" s="17" t="str">
        <f>Settings!$B$3&amp;".mit.nce."&amp;Settings!$B$4&amp;"."&amp;$B479&amp;".a."&amp;$J$464</f>
        <v>egy.mit.nce.ind.die.a.2</v>
      </c>
      <c r="H479" s="45" t="str">
        <f>Settings!$B$3&amp;".mit.atp."&amp;$C$464&amp;"."&amp;$B479&amp;".e."&amp;$J$464</f>
        <v>egy.mit.atp.cem.die.e.2</v>
      </c>
      <c r="K479" s="18">
        <f>K469+INDEX(Data_Prices!K:K,MATCH($G479,Data_Prices!$A:$A,0))*K$496</f>
        <v>0.55971121315568795</v>
      </c>
      <c r="L479" s="18">
        <f>L469+INDEX(Data_Prices!L:L,MATCH($G479,Data_Prices!$A:$A,0))*L$496</f>
        <v>0.49458873084106802</v>
      </c>
      <c r="M479" s="18">
        <f>M469+INDEX(Data_Prices!M:M,MATCH($G479,Data_Prices!$A:$A,0))*M$496</f>
        <v>0.50778654720250105</v>
      </c>
      <c r="N479" s="18">
        <f>N469+INDEX(Data_Prices!N:N,MATCH($G479,Data_Prices!$A:$A,0))*N$496</f>
        <v>0.47043642679561698</v>
      </c>
      <c r="O479" s="18">
        <f>O469+INDEX(Data_Prices!O:O,MATCH($G479,Data_Prices!$A:$A,0))*O$496</f>
        <v>0.47043642679561698</v>
      </c>
      <c r="P479" s="18">
        <f>P469+INDEX(Data_Prices!P:P,MATCH($G479,Data_Prices!$A:$A,0))*P$496</f>
        <v>0.47043642679561698</v>
      </c>
      <c r="Q479" s="18">
        <f>Q469+INDEX(Data_Prices!Q:Q,MATCH($G479,Data_Prices!$A:$A,0))*Q$496</f>
        <v>0.50344686565449193</v>
      </c>
      <c r="R479" s="18">
        <f>R469+INDEX(Data_Prices!R:R,MATCH($G479,Data_Prices!$A:$A,0))*R$496</f>
        <v>0.53645730451336693</v>
      </c>
      <c r="S479" s="18">
        <f>S469+INDEX(Data_Prices!S:S,MATCH($G479,Data_Prices!$A:$A,0))*S$496</f>
        <v>0.56946774337224193</v>
      </c>
      <c r="T479" s="18">
        <f>T469+INDEX(Data_Prices!T:T,MATCH($G479,Data_Prices!$A:$A,0))*T$496</f>
        <v>0.60247818223111693</v>
      </c>
      <c r="U479" s="18">
        <f>U469+INDEX(Data_Prices!U:U,MATCH($G479,Data_Prices!$A:$A,0))*U$496</f>
        <v>0.63548862108999193</v>
      </c>
      <c r="V479" s="18">
        <f>V469+INDEX(Data_Prices!V:V,MATCH($G479,Data_Prices!$A:$A,0))*V$496</f>
        <v>0.66849905994886694</v>
      </c>
      <c r="W479" s="18">
        <f>W469+INDEX(Data_Prices!W:W,MATCH($G479,Data_Prices!$A:$A,0))*W$496</f>
        <v>0.70150949880774194</v>
      </c>
      <c r="X479" s="18">
        <f>X469+INDEX(Data_Prices!X:X,MATCH($G479,Data_Prices!$A:$A,0))*X$496</f>
        <v>0.73451993766661694</v>
      </c>
      <c r="Y479" s="18">
        <f>Y469+INDEX(Data_Prices!Y:Y,MATCH($G479,Data_Prices!$A:$A,0))*Y$496</f>
        <v>0.76753037652549194</v>
      </c>
      <c r="Z479" s="18">
        <f>Z469+INDEX(Data_Prices!Z:Z,MATCH($G479,Data_Prices!$A:$A,0))*Z$496</f>
        <v>0.80054081538436694</v>
      </c>
      <c r="AA479" s="18">
        <f>AA469+INDEX(Data_Prices!AA:AA,MATCH($G479,Data_Prices!$A:$A,0))*AA$496</f>
        <v>0.83355125424324195</v>
      </c>
      <c r="AB479" s="18">
        <f>AB469+INDEX(Data_Prices!AB:AB,MATCH($G479,Data_Prices!$A:$A,0))*AB$496</f>
        <v>0.86656169310211695</v>
      </c>
      <c r="AC479" s="18">
        <f>AC469+INDEX(Data_Prices!AC:AC,MATCH($G479,Data_Prices!$A:$A,0))*AC$496</f>
        <v>0.89957213196099195</v>
      </c>
      <c r="AD479" s="18">
        <f>AD469+INDEX(Data_Prices!AD:AD,MATCH($G479,Data_Prices!$A:$A,0))*AD$496</f>
        <v>0.93258257081986695</v>
      </c>
      <c r="AE479" s="18">
        <f>AE469+INDEX(Data_Prices!AE:AE,MATCH($G479,Data_Prices!$A:$A,0))*AE$496</f>
        <v>0.96559300967874195</v>
      </c>
    </row>
    <row r="480" spans="2:31" x14ac:dyDescent="0.45">
      <c r="B480" s="14" t="s">
        <v>60</v>
      </c>
      <c r="C480" s="14" t="str">
        <f t="shared" si="165"/>
        <v>cem</v>
      </c>
      <c r="D480" s="15" t="s">
        <v>61</v>
      </c>
      <c r="E480" s="16" t="s">
        <v>57</v>
      </c>
      <c r="F480" s="14" t="s">
        <v>73</v>
      </c>
      <c r="G480" s="17" t="str">
        <f>Settings!$B$3&amp;".mit.nce."&amp;Settings!$B$4&amp;"."&amp;$B480&amp;".a."&amp;$J$464</f>
        <v>egy.mit.nce.ind.lpg.a.2</v>
      </c>
      <c r="H480" s="45" t="str">
        <f>Settings!$B$3&amp;".mit.atp."&amp;$C$464&amp;"."&amp;$B480&amp;".e."&amp;$J$464</f>
        <v>egy.mit.atp.cem.lpg.e.2</v>
      </c>
      <c r="K480" s="18">
        <f>K470+INDEX(Data_Prices!K:K,MATCH($G480,Data_Prices!$A:$A,0))*K$496</f>
        <v>0.20036669112673799</v>
      </c>
      <c r="L480" s="18">
        <f>L470+INDEX(Data_Prices!L:L,MATCH($G480,Data_Prices!$A:$A,0))*L$496</f>
        <v>0.15734473625227399</v>
      </c>
      <c r="M480" s="18">
        <f>M470+INDEX(Data_Prices!M:M,MATCH($G480,Data_Prices!$A:$A,0))*M$496</f>
        <v>0.164484037759277</v>
      </c>
      <c r="N480" s="18">
        <f>N470+INDEX(Data_Prices!N:N,MATCH($G480,Data_Prices!$A:$A,0))*N$496</f>
        <v>0.15070907780704901</v>
      </c>
      <c r="O480" s="18">
        <f>O470+INDEX(Data_Prices!O:O,MATCH($G480,Data_Prices!$A:$A,0))*O$496</f>
        <v>0.15070907780704901</v>
      </c>
      <c r="P480" s="18">
        <f>P470+INDEX(Data_Prices!P:P,MATCH($G480,Data_Prices!$A:$A,0))*P$496</f>
        <v>0.15070907780704901</v>
      </c>
      <c r="Q480" s="18">
        <f>Q470+INDEX(Data_Prices!Q:Q,MATCH($G480,Data_Prices!$A:$A,0))*Q$496</f>
        <v>0.17281516073434466</v>
      </c>
      <c r="R480" s="18">
        <f>R470+INDEX(Data_Prices!R:R,MATCH($G480,Data_Prices!$A:$A,0))*R$496</f>
        <v>0.19492124366164035</v>
      </c>
      <c r="S480" s="18">
        <f>S470+INDEX(Data_Prices!S:S,MATCH($G480,Data_Prices!$A:$A,0))*S$496</f>
        <v>0.217027326588936</v>
      </c>
      <c r="T480" s="18">
        <f>T470+INDEX(Data_Prices!T:T,MATCH($G480,Data_Prices!$A:$A,0))*T$496</f>
        <v>0.23913340951623169</v>
      </c>
      <c r="U480" s="18">
        <f>U470+INDEX(Data_Prices!U:U,MATCH($G480,Data_Prices!$A:$A,0))*U$496</f>
        <v>0.26123949244352734</v>
      </c>
      <c r="V480" s="18">
        <f>V470+INDEX(Data_Prices!V:V,MATCH($G480,Data_Prices!$A:$A,0))*V$496</f>
        <v>0.283345575370823</v>
      </c>
      <c r="W480" s="18">
        <f>W470+INDEX(Data_Prices!W:W,MATCH($G480,Data_Prices!$A:$A,0))*W$496</f>
        <v>0.30545165829811871</v>
      </c>
      <c r="X480" s="18">
        <f>X470+INDEX(Data_Prices!X:X,MATCH($G480,Data_Prices!$A:$A,0))*X$496</f>
        <v>0.32755774122541437</v>
      </c>
      <c r="Y480" s="18">
        <f>Y470+INDEX(Data_Prices!Y:Y,MATCH($G480,Data_Prices!$A:$A,0))*Y$496</f>
        <v>0.34966382415271002</v>
      </c>
      <c r="Z480" s="18">
        <f>Z470+INDEX(Data_Prices!Z:Z,MATCH($G480,Data_Prices!$A:$A,0))*Z$496</f>
        <v>0.37176990708000568</v>
      </c>
      <c r="AA480" s="18">
        <f>AA470+INDEX(Data_Prices!AA:AA,MATCH($G480,Data_Prices!$A:$A,0))*AA$496</f>
        <v>0.39387599000730134</v>
      </c>
      <c r="AB480" s="18">
        <f>AB470+INDEX(Data_Prices!AB:AB,MATCH($G480,Data_Prices!$A:$A,0))*AB$496</f>
        <v>0.41598207293459699</v>
      </c>
      <c r="AC480" s="18">
        <f>AC470+INDEX(Data_Prices!AC:AC,MATCH($G480,Data_Prices!$A:$A,0))*AC$496</f>
        <v>0.4380881558618927</v>
      </c>
      <c r="AD480" s="18">
        <f>AD470+INDEX(Data_Prices!AD:AD,MATCH($G480,Data_Prices!$A:$A,0))*AD$496</f>
        <v>0.46019423878918836</v>
      </c>
      <c r="AE480" s="18">
        <f>AE470+INDEX(Data_Prices!AE:AE,MATCH($G480,Data_Prices!$A:$A,0))*AE$496</f>
        <v>0.48230032171648402</v>
      </c>
    </row>
    <row r="481" spans="2:31" x14ac:dyDescent="0.45">
      <c r="B481" s="14" t="s">
        <v>62</v>
      </c>
      <c r="C481" s="14" t="str">
        <f t="shared" si="165"/>
        <v>cem</v>
      </c>
      <c r="D481" s="15" t="s">
        <v>63</v>
      </c>
      <c r="E481" s="16" t="s">
        <v>57</v>
      </c>
      <c r="F481" s="14" t="s">
        <v>73</v>
      </c>
      <c r="G481" s="17" t="str">
        <f>Settings!$B$3&amp;".mit.nce."&amp;Settings!$B$4&amp;"."&amp;$B481&amp;".a."&amp;$J$464</f>
        <v>egy.mit.nce.ind.ker.a.2</v>
      </c>
      <c r="H481" s="45" t="str">
        <f>Settings!$B$3&amp;".mit.atp."&amp;$C$464&amp;"."&amp;$B481&amp;".e."&amp;$J$464</f>
        <v>egy.mit.atp.cem.ker.e.2</v>
      </c>
      <c r="K481" s="18">
        <f>K471+INDEX(Data_Prices!K:K,MATCH($G481,Data_Prices!$A:$A,0))*K$496</f>
        <v>0.48429424097343499</v>
      </c>
      <c r="L481" s="18">
        <f>L471+INDEX(Data_Prices!L:L,MATCH($G481,Data_Prices!$A:$A,0))*L$496</f>
        <v>0.45642817050012802</v>
      </c>
      <c r="M481" s="18">
        <f>M471+INDEX(Data_Prices!M:M,MATCH($G481,Data_Prices!$A:$A,0))*M$496</f>
        <v>0.43168920195599497</v>
      </c>
      <c r="N481" s="18">
        <f>N471+INDEX(Data_Prices!N:N,MATCH($G481,Data_Prices!$A:$A,0))*N$496</f>
        <v>0.42507558395597</v>
      </c>
      <c r="O481" s="18">
        <f>O471+INDEX(Data_Prices!O:O,MATCH($G481,Data_Prices!$A:$A,0))*O$496</f>
        <v>0.42507558395597</v>
      </c>
      <c r="P481" s="18">
        <f>P471+INDEX(Data_Prices!P:P,MATCH($G481,Data_Prices!$A:$A,0))*P$496</f>
        <v>0.42507558395597</v>
      </c>
      <c r="Q481" s="18">
        <f>Q471+INDEX(Data_Prices!Q:Q,MATCH($G481,Data_Prices!$A:$A,0))*Q$496</f>
        <v>0.45706441406607845</v>
      </c>
      <c r="R481" s="18">
        <f>R471+INDEX(Data_Prices!R:R,MATCH($G481,Data_Prices!$A:$A,0))*R$496</f>
        <v>0.48905324417618695</v>
      </c>
      <c r="S481" s="18">
        <f>S471+INDEX(Data_Prices!S:S,MATCH($G481,Data_Prices!$A:$A,0))*S$496</f>
        <v>0.52104207428629534</v>
      </c>
      <c r="T481" s="18">
        <f>T471+INDEX(Data_Prices!T:T,MATCH($G481,Data_Prices!$A:$A,0))*T$496</f>
        <v>0.5530309043964039</v>
      </c>
      <c r="U481" s="18">
        <f>U471+INDEX(Data_Prices!U:U,MATCH($G481,Data_Prices!$A:$A,0))*U$496</f>
        <v>0.58501973450651235</v>
      </c>
      <c r="V481" s="18">
        <f>V471+INDEX(Data_Prices!V:V,MATCH($G481,Data_Prices!$A:$A,0))*V$496</f>
        <v>0.61700856461662079</v>
      </c>
      <c r="W481" s="18">
        <f>W471+INDEX(Data_Prices!W:W,MATCH($G481,Data_Prices!$A:$A,0))*W$496</f>
        <v>0.64899739472672924</v>
      </c>
      <c r="X481" s="18">
        <f>X471+INDEX(Data_Prices!X:X,MATCH($G481,Data_Prices!$A:$A,0))*X$496</f>
        <v>0.68098622483683768</v>
      </c>
      <c r="Y481" s="18">
        <f>Y471+INDEX(Data_Prices!Y:Y,MATCH($G481,Data_Prices!$A:$A,0))*Y$496</f>
        <v>0.71297505494694624</v>
      </c>
      <c r="Z481" s="18">
        <f>Z471+INDEX(Data_Prices!Z:Z,MATCH($G481,Data_Prices!$A:$A,0))*Z$496</f>
        <v>0.74496388505705469</v>
      </c>
      <c r="AA481" s="18">
        <f>AA471+INDEX(Data_Prices!AA:AA,MATCH($G481,Data_Prices!$A:$A,0))*AA$496</f>
        <v>0.77695271516716313</v>
      </c>
      <c r="AB481" s="18">
        <f>AB471+INDEX(Data_Prices!AB:AB,MATCH($G481,Data_Prices!$A:$A,0))*AB$496</f>
        <v>0.80894154527727158</v>
      </c>
      <c r="AC481" s="18">
        <f>AC471+INDEX(Data_Prices!AC:AC,MATCH($G481,Data_Prices!$A:$A,0))*AC$496</f>
        <v>0.84093037538738002</v>
      </c>
      <c r="AD481" s="18">
        <f>AD471+INDEX(Data_Prices!AD:AD,MATCH($G481,Data_Prices!$A:$A,0))*AD$496</f>
        <v>0.87291920549748858</v>
      </c>
      <c r="AE481" s="18">
        <f>AE471+INDEX(Data_Prices!AE:AE,MATCH($G481,Data_Prices!$A:$A,0))*AE$496</f>
        <v>0.90490803560759692</v>
      </c>
    </row>
    <row r="482" spans="2:31" x14ac:dyDescent="0.45">
      <c r="B482" s="14" t="s">
        <v>64</v>
      </c>
      <c r="C482" s="14" t="str">
        <f t="shared" si="165"/>
        <v>cem</v>
      </c>
      <c r="D482" s="15" t="s">
        <v>65</v>
      </c>
      <c r="E482" s="16" t="s">
        <v>66</v>
      </c>
      <c r="F482" s="14" t="s">
        <v>73</v>
      </c>
      <c r="G482" s="17" t="str">
        <f>Settings!$B$3&amp;".mit.nce."&amp;Settings!$B$4&amp;"."&amp;$B482&amp;".a."&amp;$J$464</f>
        <v>egy.mit.nce.ind.oop.a.2</v>
      </c>
      <c r="H482" s="45" t="str">
        <f>Settings!$B$3&amp;".mit.atp."&amp;$C$464&amp;"."&amp;$B482&amp;".e."&amp;$J$464</f>
        <v>egy.mit.atp.cem.oop.e.2</v>
      </c>
      <c r="K482" s="18">
        <f>K472+INDEX(Data_Prices!K:K,MATCH($G482,Data_Prices!$A:$A,0))*K$496</f>
        <v>41.500338498868402</v>
      </c>
      <c r="L482" s="18">
        <f>L472+INDEX(Data_Prices!L:L,MATCH($G482,Data_Prices!$A:$A,0))*L$496</f>
        <v>34.4153703043132</v>
      </c>
      <c r="M482" s="18">
        <f>M472+INDEX(Data_Prices!M:M,MATCH($G482,Data_Prices!$A:$A,0))*M$496</f>
        <v>37.368960690431997</v>
      </c>
      <c r="N482" s="18">
        <f>N472+INDEX(Data_Prices!N:N,MATCH($G482,Data_Prices!$A:$A,0))*N$496</f>
        <v>28.982761101477301</v>
      </c>
      <c r="O482" s="18">
        <f>O472+INDEX(Data_Prices!O:O,MATCH($G482,Data_Prices!$A:$A,0))*O$496</f>
        <v>15</v>
      </c>
      <c r="P482" s="18">
        <f>P472+INDEX(Data_Prices!P:P,MATCH($G482,Data_Prices!$A:$A,0))*P$496</f>
        <v>24.2586300842555</v>
      </c>
      <c r="Q482" s="18">
        <f>Q472+INDEX(Data_Prices!Q:Q,MATCH($G482,Data_Prices!$A:$A,0))*Q$496</f>
        <v>18.963758196132499</v>
      </c>
      <c r="R482" s="18">
        <f>R472+INDEX(Data_Prices!R:R,MATCH($G482,Data_Prices!$A:$A,0))*R$496</f>
        <v>21.760345114010597</v>
      </c>
      <c r="S482" s="18">
        <f>S472+INDEX(Data_Prices!S:S,MATCH($G482,Data_Prices!$A:$A,0))*S$496</f>
        <v>26.079880691373621</v>
      </c>
      <c r="T482" s="18">
        <f>T472+INDEX(Data_Prices!T:T,MATCH($G482,Data_Prices!$A:$A,0))*T$496</f>
        <v>30.593682445209218</v>
      </c>
      <c r="U482" s="18">
        <f>U472+INDEX(Data_Prices!U:U,MATCH($G482,Data_Prices!$A:$A,0))*U$496</f>
        <v>34.990509739410058</v>
      </c>
      <c r="V482" s="18">
        <f>V472+INDEX(Data_Prices!V:V,MATCH($G482,Data_Prices!$A:$A,0))*V$496</f>
        <v>40.858059739410059</v>
      </c>
      <c r="W482" s="18">
        <f>W472+INDEX(Data_Prices!W:W,MATCH($G482,Data_Prices!$A:$A,0))*W$496</f>
        <v>46.725609739410054</v>
      </c>
      <c r="X482" s="18">
        <f>X472+INDEX(Data_Prices!X:X,MATCH($G482,Data_Prices!$A:$A,0))*X$496</f>
        <v>52.593159739410055</v>
      </c>
      <c r="Y482" s="18">
        <f>Y472+INDEX(Data_Prices!Y:Y,MATCH($G482,Data_Prices!$A:$A,0))*Y$496</f>
        <v>58.460709739410056</v>
      </c>
      <c r="Z482" s="18">
        <f>Z472+INDEX(Data_Prices!Z:Z,MATCH($G482,Data_Prices!$A:$A,0))*Z$496</f>
        <v>64.328259739410072</v>
      </c>
      <c r="AA482" s="18">
        <f>AA472+INDEX(Data_Prices!AA:AA,MATCH($G482,Data_Prices!$A:$A,0))*AA$496</f>
        <v>70.195809739410052</v>
      </c>
      <c r="AB482" s="18">
        <f>AB472+INDEX(Data_Prices!AB:AB,MATCH($G482,Data_Prices!$A:$A,0))*AB$496</f>
        <v>76.06335973941006</v>
      </c>
      <c r="AC482" s="18">
        <f>AC472+INDEX(Data_Prices!AC:AC,MATCH($G482,Data_Prices!$A:$A,0))*AC$496</f>
        <v>81.930909739410041</v>
      </c>
      <c r="AD482" s="18">
        <f>AD472+INDEX(Data_Prices!AD:AD,MATCH($G482,Data_Prices!$A:$A,0))*AD$496</f>
        <v>87.798459739410049</v>
      </c>
      <c r="AE482" s="18">
        <f>AE472+INDEX(Data_Prices!AE:AE,MATCH($G482,Data_Prices!$A:$A,0))*AE$496</f>
        <v>93.666009739410043</v>
      </c>
    </row>
    <row r="483" spans="2:31" x14ac:dyDescent="0.45">
      <c r="B483" s="14" t="s">
        <v>67</v>
      </c>
      <c r="C483" s="14" t="str">
        <f t="shared" si="165"/>
        <v>cem</v>
      </c>
      <c r="D483" s="15" t="s">
        <v>68</v>
      </c>
      <c r="E483" s="16" t="s">
        <v>51</v>
      </c>
      <c r="F483" s="14" t="s">
        <v>73</v>
      </c>
      <c r="G483" s="17" t="str">
        <f>Settings!$B$3&amp;".mit.nce."&amp;Settings!$B$4&amp;"."&amp;$B483&amp;".a."&amp;$J$464</f>
        <v>egy.mit.nce.ind.bio.a.2</v>
      </c>
      <c r="H483" s="45" t="str">
        <f>Settings!$B$3&amp;".mit.atp."&amp;$C$464&amp;"."&amp;$B483&amp;".e."&amp;$J$464</f>
        <v>egy.mit.atp.cem.bio.e.2</v>
      </c>
      <c r="K483" s="18">
        <f>K473+INDEX(Data_Prices!K:K,MATCH($G483,Data_Prices!$A:$A,0))*K$496</f>
        <v>15.3345505293169</v>
      </c>
      <c r="L483" s="18">
        <f>L473+INDEX(Data_Prices!L:L,MATCH($G483,Data_Prices!$A:$A,0))*L$496</f>
        <v>14.199528390634899</v>
      </c>
      <c r="M483" s="18">
        <f>M473+INDEX(Data_Prices!M:M,MATCH($G483,Data_Prices!$A:$A,0))*M$496</f>
        <v>13.8404416133152</v>
      </c>
      <c r="N483" s="18">
        <f>N473+INDEX(Data_Prices!N:N,MATCH($G483,Data_Prices!$A:$A,0))*N$496</f>
        <v>13.5677269404465</v>
      </c>
      <c r="O483" s="18">
        <f>O473+INDEX(Data_Prices!O:O,MATCH($G483,Data_Prices!$A:$A,0))*O$496</f>
        <v>13.5677269404465</v>
      </c>
      <c r="P483" s="18">
        <f>P473+INDEX(Data_Prices!P:P,MATCH($G483,Data_Prices!$A:$A,0))*P$496</f>
        <v>13.5677269404465</v>
      </c>
      <c r="Q483" s="18">
        <f>Q473+INDEX(Data_Prices!Q:Q,MATCH($G483,Data_Prices!$A:$A,0))*Q$496</f>
        <v>13.5677269404465</v>
      </c>
      <c r="R483" s="18">
        <f>R473+INDEX(Data_Prices!R:R,MATCH($G483,Data_Prices!$A:$A,0))*R$496</f>
        <v>13.5677269404465</v>
      </c>
      <c r="S483" s="18">
        <f>S473+INDEX(Data_Prices!S:S,MATCH($G483,Data_Prices!$A:$A,0))*S$496</f>
        <v>13.5677269404465</v>
      </c>
      <c r="T483" s="18">
        <f>T473+INDEX(Data_Prices!T:T,MATCH($G483,Data_Prices!$A:$A,0))*T$496</f>
        <v>13.5677269404465</v>
      </c>
      <c r="U483" s="18">
        <f>U473+INDEX(Data_Prices!U:U,MATCH($G483,Data_Prices!$A:$A,0))*U$496</f>
        <v>13.5677269404465</v>
      </c>
      <c r="V483" s="18">
        <f>V473+INDEX(Data_Prices!V:V,MATCH($G483,Data_Prices!$A:$A,0))*V$496</f>
        <v>13.5677269404465</v>
      </c>
      <c r="W483" s="18">
        <f>W473+INDEX(Data_Prices!W:W,MATCH($G483,Data_Prices!$A:$A,0))*W$496</f>
        <v>13.5677269404465</v>
      </c>
      <c r="X483" s="18">
        <f>X473+INDEX(Data_Prices!X:X,MATCH($G483,Data_Prices!$A:$A,0))*X$496</f>
        <v>13.5677269404465</v>
      </c>
      <c r="Y483" s="18">
        <f>Y473+INDEX(Data_Prices!Y:Y,MATCH($G483,Data_Prices!$A:$A,0))*Y$496</f>
        <v>13.5677269404465</v>
      </c>
      <c r="Z483" s="18">
        <f>Z473+INDEX(Data_Prices!Z:Z,MATCH($G483,Data_Prices!$A:$A,0))*Z$496</f>
        <v>13.5677269404465</v>
      </c>
      <c r="AA483" s="18">
        <f>AA473+INDEX(Data_Prices!AA:AA,MATCH($G483,Data_Prices!$A:$A,0))*AA$496</f>
        <v>13.5677269404465</v>
      </c>
      <c r="AB483" s="18">
        <f>AB473+INDEX(Data_Prices!AB:AB,MATCH($G483,Data_Prices!$A:$A,0))*AB$496</f>
        <v>13.5677269404465</v>
      </c>
      <c r="AC483" s="18">
        <f>AC473+INDEX(Data_Prices!AC:AC,MATCH($G483,Data_Prices!$A:$A,0))*AC$496</f>
        <v>13.5677269404465</v>
      </c>
      <c r="AD483" s="18">
        <f>AD473+INDEX(Data_Prices!AD:AD,MATCH($G483,Data_Prices!$A:$A,0))*AD$496</f>
        <v>13.5677269404465</v>
      </c>
      <c r="AE483" s="18">
        <f>AE473+INDEX(Data_Prices!AE:AE,MATCH($G483,Data_Prices!$A:$A,0))*AE$496</f>
        <v>13.5677269404465</v>
      </c>
    </row>
    <row r="484" spans="2:31" x14ac:dyDescent="0.45">
      <c r="B484" s="14" t="s">
        <v>69</v>
      </c>
      <c r="C484" s="14" t="str">
        <f t="shared" si="165"/>
        <v>cem</v>
      </c>
      <c r="D484" s="15" t="s">
        <v>70</v>
      </c>
      <c r="E484" s="16" t="s">
        <v>71</v>
      </c>
      <c r="F484" s="14" t="s">
        <v>73</v>
      </c>
      <c r="G484" s="17" t="str">
        <f>Settings!$B$3&amp;".mit.nce."&amp;Settings!$B$4&amp;"."&amp;$B484&amp;".a."&amp;$J$464</f>
        <v>egy.mit.nce.ind.ren.a.2</v>
      </c>
      <c r="H484" s="45" t="str">
        <f>Settings!$B$3&amp;".mit.atp."&amp;$C$464&amp;"."&amp;$B484&amp;".e."&amp;$J$464</f>
        <v>egy.mit.atp.cem.ren.e.2</v>
      </c>
      <c r="K484" s="18">
        <f>K474+INDEX(Data_Prices!K:K,MATCH($G484,Data_Prices!$A:$A,0))*K$496</f>
        <v>0</v>
      </c>
      <c r="L484" s="18">
        <f>L474+INDEX(Data_Prices!L:L,MATCH($G484,Data_Prices!$A:$A,0))*L$496</f>
        <v>0.14404498679319799</v>
      </c>
      <c r="M484" s="18">
        <f>M474+INDEX(Data_Prices!M:M,MATCH($G484,Data_Prices!$A:$A,0))*M$496</f>
        <v>0.141386241751359</v>
      </c>
      <c r="N484" s="18">
        <f>N474+INDEX(Data_Prices!N:N,MATCH($G484,Data_Prices!$A:$A,0))*N$496</f>
        <v>0.13539756544373099</v>
      </c>
      <c r="O484" s="18">
        <f>O474+INDEX(Data_Prices!O:O,MATCH($G484,Data_Prices!$A:$A,0))*O$496</f>
        <v>0.13152288542065099</v>
      </c>
      <c r="P484" s="18">
        <f>P474+INDEX(Data_Prices!P:P,MATCH($G484,Data_Prices!$A:$A,0))*P$496</f>
        <v>0.12882610848523099</v>
      </c>
      <c r="Q484" s="18">
        <f>Q474+INDEX(Data_Prices!Q:Q,MATCH($G484,Data_Prices!$A:$A,0))*Q$496</f>
        <v>0.12594200976473999</v>
      </c>
      <c r="R484" s="18">
        <f>R474+INDEX(Data_Prices!R:R,MATCH($G484,Data_Prices!$A:$A,0))*R$496</f>
        <v>0.123113265701861</v>
      </c>
      <c r="S484" s="18">
        <f>S474+INDEX(Data_Prices!S:S,MATCH($G484,Data_Prices!$A:$A,0))*S$496</f>
        <v>0.119391738089068</v>
      </c>
      <c r="T484" s="18">
        <f>T474+INDEX(Data_Prices!T:T,MATCH($G484,Data_Prices!$A:$A,0))*T$496</f>
        <v>0.11554419046792</v>
      </c>
      <c r="U484" s="18">
        <f>U474+INDEX(Data_Prices!U:U,MATCH($G484,Data_Prices!$A:$A,0))*U$496</f>
        <v>0.11492423065415899</v>
      </c>
      <c r="V484" s="18">
        <f>V474+INDEX(Data_Prices!V:V,MATCH($G484,Data_Prices!$A:$A,0))*V$496</f>
        <v>0.114346912116736</v>
      </c>
      <c r="W484" s="18">
        <f>W474+INDEX(Data_Prices!W:W,MATCH($G484,Data_Prices!$A:$A,0))*W$496</f>
        <v>0.113738711172664</v>
      </c>
      <c r="X484" s="18">
        <f>X474+INDEX(Data_Prices!X:X,MATCH($G484,Data_Prices!$A:$A,0))*X$496</f>
        <v>0.112999900487521</v>
      </c>
      <c r="Y484" s="18">
        <f>Y474+INDEX(Data_Prices!Y:Y,MATCH($G484,Data_Prices!$A:$A,0))*Y$496</f>
        <v>0.112177685835534</v>
      </c>
      <c r="Z484" s="18">
        <f>Z474+INDEX(Data_Prices!Z:Z,MATCH($G484,Data_Prices!$A:$A,0))*Z$496</f>
        <v>0.111417903250404</v>
      </c>
      <c r="AA484" s="18">
        <f>AA474+INDEX(Data_Prices!AA:AA,MATCH($G484,Data_Prices!$A:$A,0))*AA$496</f>
        <v>0.11052581998545399</v>
      </c>
      <c r="AB484" s="18">
        <f>AB474+INDEX(Data_Prices!AB:AB,MATCH($G484,Data_Prices!$A:$A,0))*AB$496</f>
        <v>0.109699565234896</v>
      </c>
      <c r="AC484" s="18">
        <f>AC474+INDEX(Data_Prices!AC:AC,MATCH($G484,Data_Prices!$A:$A,0))*AC$496</f>
        <v>0.10772678896394899</v>
      </c>
      <c r="AD484" s="18">
        <f>AD474+INDEX(Data_Prices!AD:AD,MATCH($G484,Data_Prices!$A:$A,0))*AD$496</f>
        <v>0.10582092445093499</v>
      </c>
      <c r="AE484" s="18">
        <f>AE474+INDEX(Data_Prices!AE:AE,MATCH($G484,Data_Prices!$A:$A,0))*AE$496</f>
        <v>0.103855595705721</v>
      </c>
    </row>
    <row r="485" spans="2:31" x14ac:dyDescent="0.45">
      <c r="B485" s="13" t="s">
        <v>74</v>
      </c>
    </row>
    <row r="486" spans="2:31" x14ac:dyDescent="0.45">
      <c r="B486" s="14" t="s">
        <v>49</v>
      </c>
      <c r="C486" s="14" t="str">
        <f t="shared" ref="C486:C494" si="166">$C$464</f>
        <v>cem</v>
      </c>
      <c r="D486" s="15" t="s">
        <v>50</v>
      </c>
      <c r="E486" s="16" t="s">
        <v>51</v>
      </c>
      <c r="F486" s="14" t="s">
        <v>75</v>
      </c>
      <c r="G486" s="17" t="str">
        <f>Settings!$B$3&amp;".mit.shp."&amp;$B486&amp;"."&amp;Settings!$B$4&amp;"."&amp;$J$464</f>
        <v>egy.mit.shp.coa.ind.2</v>
      </c>
      <c r="H486" s="45" t="str">
        <f>Settings!$B$3&amp;".mit.shp."&amp;$C$464&amp;"."&amp;$B486&amp;".e."&amp;$J$464</f>
        <v>egy.mit.shp.cem.coa.e.2</v>
      </c>
      <c r="K486" s="19">
        <f>K476+INDEX(Data_Prices!K:K,MATCH($G486,Data_Prices!$A:$A,0))*K$497</f>
        <v>11.182901589243899</v>
      </c>
      <c r="L486" s="19">
        <f>L476+INDEX(Data_Prices!L:L,MATCH($G486,Data_Prices!$A:$A,0))*L$497</f>
        <v>10.5233613454312</v>
      </c>
      <c r="M486" s="19">
        <f>M476+INDEX(Data_Prices!M:M,MATCH($G486,Data_Prices!$A:$A,0))*M$497</f>
        <v>10.2995608274442</v>
      </c>
      <c r="N486" s="19">
        <f>N476+INDEX(Data_Prices!N:N,MATCH($G486,Data_Prices!$A:$A,0))*N$497</f>
        <v>9.5775283595382597</v>
      </c>
      <c r="O486" s="19">
        <f>O476+INDEX(Data_Prices!O:O,MATCH($G486,Data_Prices!$A:$A,0))*O$497</f>
        <v>8.4854782869580507</v>
      </c>
      <c r="P486" s="19">
        <f>P476+INDEX(Data_Prices!P:P,MATCH($G486,Data_Prices!$A:$A,0))*P$497</f>
        <v>9.0871922352498604</v>
      </c>
      <c r="Q486" s="19">
        <f>Q476+INDEX(Data_Prices!Q:Q,MATCH($G486,Data_Prices!$A:$A,0))*Q$497</f>
        <v>10.472923728932679</v>
      </c>
      <c r="R486" s="19">
        <f>R476+INDEX(Data_Prices!R:R,MATCH($G486,Data_Prices!$A:$A,0))*R$497</f>
        <v>11.658564955509689</v>
      </c>
      <c r="S486" s="19">
        <f>S476+INDEX(Data_Prices!S:S,MATCH($G486,Data_Prices!$A:$A,0))*S$497</f>
        <v>12.839547877397379</v>
      </c>
      <c r="T486" s="19">
        <f>T476+INDEX(Data_Prices!T:T,MATCH($G486,Data_Prices!$A:$A,0))*T$497</f>
        <v>14.01568166602283</v>
      </c>
      <c r="U486" s="19">
        <f>U476+INDEX(Data_Prices!U:U,MATCH($G486,Data_Prices!$A:$A,0))*U$497</f>
        <v>15.19439776555711</v>
      </c>
      <c r="V486" s="19">
        <f>V476+INDEX(Data_Prices!V:V,MATCH($G486,Data_Prices!$A:$A,0))*V$497</f>
        <v>16.44439776555711</v>
      </c>
      <c r="W486" s="19">
        <f>W476+INDEX(Data_Prices!W:W,MATCH($G486,Data_Prices!$A:$A,0))*W$497</f>
        <v>17.69439776555711</v>
      </c>
      <c r="X486" s="19">
        <f>X476+INDEX(Data_Prices!X:X,MATCH($G486,Data_Prices!$A:$A,0))*X$497</f>
        <v>18.94439776555711</v>
      </c>
      <c r="Y486" s="19">
        <f>Y476+INDEX(Data_Prices!Y:Y,MATCH($G486,Data_Prices!$A:$A,0))*Y$497</f>
        <v>20.19439776555711</v>
      </c>
      <c r="Z486" s="19">
        <f>Z476+INDEX(Data_Prices!Z:Z,MATCH($G486,Data_Prices!$A:$A,0))*Z$497</f>
        <v>21.44439776555711</v>
      </c>
      <c r="AA486" s="19">
        <f>AA476+INDEX(Data_Prices!AA:AA,MATCH($G486,Data_Prices!$A:$A,0))*AA$497</f>
        <v>22.69439776555711</v>
      </c>
      <c r="AB486" s="19">
        <f>AB476+INDEX(Data_Prices!AB:AB,MATCH($G486,Data_Prices!$A:$A,0))*AB$497</f>
        <v>23.94439776555711</v>
      </c>
      <c r="AC486" s="19">
        <f>AC476+INDEX(Data_Prices!AC:AC,MATCH($G486,Data_Prices!$A:$A,0))*AC$497</f>
        <v>25.19439776555711</v>
      </c>
      <c r="AD486" s="19">
        <f>AD476+INDEX(Data_Prices!AD:AD,MATCH($G486,Data_Prices!$A:$A,0))*AD$497</f>
        <v>26.44439776555711</v>
      </c>
      <c r="AE486" s="19">
        <f>AE476+INDEX(Data_Prices!AE:AE,MATCH($G486,Data_Prices!$A:$A,0))*AE$497</f>
        <v>27.69439776555711</v>
      </c>
    </row>
    <row r="487" spans="2:31" x14ac:dyDescent="0.45">
      <c r="B487" s="14" t="s">
        <v>53</v>
      </c>
      <c r="C487" s="14" t="str">
        <f t="shared" si="166"/>
        <v>cem</v>
      </c>
      <c r="D487" s="15" t="s">
        <v>54</v>
      </c>
      <c r="E487" s="16" t="s">
        <v>51</v>
      </c>
      <c r="F487" s="14" t="s">
        <v>75</v>
      </c>
      <c r="G487" s="17" t="str">
        <f>Settings!$B$3&amp;".mit.shp."&amp;$B487&amp;"."&amp;Settings!$B$4&amp;"."&amp;$J$464</f>
        <v>egy.mit.shp.nga.ind.2</v>
      </c>
      <c r="H487" s="45" t="str">
        <f>Settings!$B$3&amp;".mit.shp."&amp;$C$464&amp;"."&amp;$B487&amp;".e."&amp;$J$464</f>
        <v>egy.mit.shp.cem.nga.e.2</v>
      </c>
      <c r="K487" s="19">
        <f>K477+INDEX(Data_Prices!K:K,MATCH($G487,Data_Prices!$A:$A,0))*K$497</f>
        <v>6.0634636156729096</v>
      </c>
      <c r="L487" s="19">
        <f>L477+INDEX(Data_Prices!L:L,MATCH($G487,Data_Prices!$A:$A,0))*L$497</f>
        <v>5.4510150816191896</v>
      </c>
      <c r="M487" s="19">
        <f>M477+INDEX(Data_Prices!M:M,MATCH($G487,Data_Prices!$A:$A,0))*M$497</f>
        <v>5.1193563062624801</v>
      </c>
      <c r="N487" s="19">
        <f>N477+INDEX(Data_Prices!N:N,MATCH($G487,Data_Prices!$A:$A,0))*N$497</f>
        <v>5.08218458640407</v>
      </c>
      <c r="O487" s="19">
        <f>O477+INDEX(Data_Prices!O:O,MATCH($G487,Data_Prices!$A:$A,0))*O$497</f>
        <v>5.08218458640407</v>
      </c>
      <c r="P487" s="19">
        <f>P477+INDEX(Data_Prices!P:P,MATCH($G487,Data_Prices!$A:$A,0))*P$497</f>
        <v>5.08218458640407</v>
      </c>
      <c r="Q487" s="19">
        <f>Q477+INDEX(Data_Prices!Q:Q,MATCH($G487,Data_Prices!$A:$A,0))*Q$497</f>
        <v>5.7796845864040698</v>
      </c>
      <c r="R487" s="19">
        <f>R477+INDEX(Data_Prices!R:R,MATCH($G487,Data_Prices!$A:$A,0))*R$497</f>
        <v>6.4771845864040696</v>
      </c>
      <c r="S487" s="19">
        <f>S477+INDEX(Data_Prices!S:S,MATCH($G487,Data_Prices!$A:$A,0))*S$497</f>
        <v>7.1746845864040703</v>
      </c>
      <c r="T487" s="19">
        <f>T477+INDEX(Data_Prices!T:T,MATCH($G487,Data_Prices!$A:$A,0))*T$497</f>
        <v>7.87218458640407</v>
      </c>
      <c r="U487" s="19">
        <f>U477+INDEX(Data_Prices!U:U,MATCH($G487,Data_Prices!$A:$A,0))*U$497</f>
        <v>8.5696845864040707</v>
      </c>
      <c r="V487" s="19">
        <f>V477+INDEX(Data_Prices!V:V,MATCH($G487,Data_Prices!$A:$A,0))*V$497</f>
        <v>9.2671845864040705</v>
      </c>
      <c r="W487" s="19">
        <f>W477+INDEX(Data_Prices!W:W,MATCH($G487,Data_Prices!$A:$A,0))*W$497</f>
        <v>9.9646845864040703</v>
      </c>
      <c r="X487" s="19">
        <f>X477+INDEX(Data_Prices!X:X,MATCH($G487,Data_Prices!$A:$A,0))*X$497</f>
        <v>10.66218458640407</v>
      </c>
      <c r="Y487" s="19">
        <f>Y477+INDEX(Data_Prices!Y:Y,MATCH($G487,Data_Prices!$A:$A,0))*Y$497</f>
        <v>11.35968458640407</v>
      </c>
      <c r="Z487" s="19">
        <f>Z477+INDEX(Data_Prices!Z:Z,MATCH($G487,Data_Prices!$A:$A,0))*Z$497</f>
        <v>12.05718458640407</v>
      </c>
      <c r="AA487" s="19">
        <f>AA477+INDEX(Data_Prices!AA:AA,MATCH($G487,Data_Prices!$A:$A,0))*AA$497</f>
        <v>12.754684586404071</v>
      </c>
      <c r="AB487" s="19">
        <f>AB477+INDEX(Data_Prices!AB:AB,MATCH($G487,Data_Prices!$A:$A,0))*AB$497</f>
        <v>13.452184586404071</v>
      </c>
      <c r="AC487" s="19">
        <f>AC477+INDEX(Data_Prices!AC:AC,MATCH($G487,Data_Prices!$A:$A,0))*AC$497</f>
        <v>14.149684586404071</v>
      </c>
      <c r="AD487" s="19">
        <f>AD477+INDEX(Data_Prices!AD:AD,MATCH($G487,Data_Prices!$A:$A,0))*AD$497</f>
        <v>14.847184586404071</v>
      </c>
      <c r="AE487" s="19">
        <f>AE477+INDEX(Data_Prices!AE:AE,MATCH($G487,Data_Prices!$A:$A,0))*AE$497</f>
        <v>15.54468458640407</v>
      </c>
    </row>
    <row r="488" spans="2:31" x14ac:dyDescent="0.45">
      <c r="B488" s="14" t="s">
        <v>55</v>
      </c>
      <c r="C488" s="14" t="str">
        <f t="shared" si="166"/>
        <v>cem</v>
      </c>
      <c r="D488" s="15" t="s">
        <v>56</v>
      </c>
      <c r="E488" s="16" t="s">
        <v>57</v>
      </c>
      <c r="F488" s="14" t="s">
        <v>75</v>
      </c>
      <c r="G488" s="17" t="str">
        <f>Settings!$B$3&amp;".mit.shp."&amp;$B488&amp;"."&amp;Settings!$B$4&amp;"."&amp;$J$464</f>
        <v>egy.mit.shp.gso.ind.2</v>
      </c>
      <c r="H488" s="45" t="str">
        <f>Settings!$B$3&amp;".mit.shp."&amp;$C$464&amp;"."&amp;$B488&amp;".e."&amp;$J$464</f>
        <v>egy.mit.shp.cem.gso.e.2</v>
      </c>
      <c r="K488" s="19">
        <f>K478+INDEX(Data_Prices!K:K,MATCH($G488,Data_Prices!$A:$A,0))*K$497</f>
        <v>0.67114653332181595</v>
      </c>
      <c r="L488" s="19">
        <f>L478+INDEX(Data_Prices!L:L,MATCH($G488,Data_Prices!$A:$A,0))*L$497</f>
        <v>0.61197797679140598</v>
      </c>
      <c r="M488" s="19">
        <f>M478+INDEX(Data_Prices!M:M,MATCH($G488,Data_Prices!$A:$A,0))*M$497</f>
        <v>0.61180974964187596</v>
      </c>
      <c r="N488" s="19">
        <f>N478+INDEX(Data_Prices!N:N,MATCH($G488,Data_Prices!$A:$A,0))*N$497</f>
        <v>0.60358310017790595</v>
      </c>
      <c r="O488" s="19">
        <f>O478+INDEX(Data_Prices!O:O,MATCH($G488,Data_Prices!$A:$A,0))*O$497</f>
        <v>0.60358310017790595</v>
      </c>
      <c r="P488" s="19">
        <f>P478+INDEX(Data_Prices!P:P,MATCH($G488,Data_Prices!$A:$A,0))*P$497</f>
        <v>0.60358310017790595</v>
      </c>
      <c r="Q488" s="19">
        <f>Q478+INDEX(Data_Prices!Q:Q,MATCH($G488,Data_Prices!$A:$A,0))*Q$497</f>
        <v>0.63251094334940594</v>
      </c>
      <c r="R488" s="19">
        <f>R478+INDEX(Data_Prices!R:R,MATCH($G488,Data_Prices!$A:$A,0))*R$497</f>
        <v>0.66143878652090593</v>
      </c>
      <c r="S488" s="19">
        <f>S478+INDEX(Data_Prices!S:S,MATCH($G488,Data_Prices!$A:$A,0))*S$497</f>
        <v>0.69036662969240592</v>
      </c>
      <c r="T488" s="19">
        <f>T478+INDEX(Data_Prices!T:T,MATCH($G488,Data_Prices!$A:$A,0))*T$497</f>
        <v>0.71929447286390591</v>
      </c>
      <c r="U488" s="19">
        <f>U478+INDEX(Data_Prices!U:U,MATCH($G488,Data_Prices!$A:$A,0))*U$497</f>
        <v>0.74822231603540601</v>
      </c>
      <c r="V488" s="19">
        <f>V478+INDEX(Data_Prices!V:V,MATCH($G488,Data_Prices!$A:$A,0))*V$497</f>
        <v>0.777150159206906</v>
      </c>
      <c r="W488" s="19">
        <f>W478+INDEX(Data_Prices!W:W,MATCH($G488,Data_Prices!$A:$A,0))*W$497</f>
        <v>0.80607800237840599</v>
      </c>
      <c r="X488" s="19">
        <f>X478+INDEX(Data_Prices!X:X,MATCH($G488,Data_Prices!$A:$A,0))*X$497</f>
        <v>0.83500584554990598</v>
      </c>
      <c r="Y488" s="19">
        <f>Y478+INDEX(Data_Prices!Y:Y,MATCH($G488,Data_Prices!$A:$A,0))*Y$497</f>
        <v>0.86393368872140597</v>
      </c>
      <c r="Z488" s="19">
        <f>Z478+INDEX(Data_Prices!Z:Z,MATCH($G488,Data_Prices!$A:$A,0))*Z$497</f>
        <v>0.89286153189290596</v>
      </c>
      <c r="AA488" s="19">
        <f>AA478+INDEX(Data_Prices!AA:AA,MATCH($G488,Data_Prices!$A:$A,0))*AA$497</f>
        <v>0.92178937506440595</v>
      </c>
      <c r="AB488" s="19">
        <f>AB478+INDEX(Data_Prices!AB:AB,MATCH($G488,Data_Prices!$A:$A,0))*AB$497</f>
        <v>0.95071721823590605</v>
      </c>
      <c r="AC488" s="19">
        <f>AC478+INDEX(Data_Prices!AC:AC,MATCH($G488,Data_Prices!$A:$A,0))*AC$497</f>
        <v>0.97964506140740593</v>
      </c>
      <c r="AD488" s="19">
        <f>AD478+INDEX(Data_Prices!AD:AD,MATCH($G488,Data_Prices!$A:$A,0))*AD$497</f>
        <v>1.008572904578906</v>
      </c>
      <c r="AE488" s="19">
        <f>AE478+INDEX(Data_Prices!AE:AE,MATCH($G488,Data_Prices!$A:$A,0))*AE$497</f>
        <v>1.0375007477504061</v>
      </c>
    </row>
    <row r="489" spans="2:31" x14ac:dyDescent="0.45">
      <c r="B489" s="14" t="s">
        <v>58</v>
      </c>
      <c r="C489" s="14" t="str">
        <f t="shared" si="166"/>
        <v>cem</v>
      </c>
      <c r="D489" s="15" t="s">
        <v>59</v>
      </c>
      <c r="E489" s="16" t="s">
        <v>57</v>
      </c>
      <c r="F489" s="14" t="s">
        <v>75</v>
      </c>
      <c r="G489" s="17" t="str">
        <f>Settings!$B$3&amp;".mit.shp."&amp;$B489&amp;"."&amp;Settings!$B$4&amp;"."&amp;$J$464</f>
        <v>egy.mit.shp.die.ind.2</v>
      </c>
      <c r="H489" s="45" t="str">
        <f>Settings!$B$3&amp;".mit.shp."&amp;$C$464&amp;"."&amp;$B489&amp;".e."&amp;$J$464</f>
        <v>egy.mit.shp.cem.die.e.2</v>
      </c>
      <c r="K489" s="19">
        <f>K479+INDEX(Data_Prices!K:K,MATCH($G489,Data_Prices!$A:$A,0))*K$497</f>
        <v>0.55971121315568795</v>
      </c>
      <c r="L489" s="19">
        <f>L479+INDEX(Data_Prices!L:L,MATCH($G489,Data_Prices!$A:$A,0))*L$497</f>
        <v>0.49458873084106802</v>
      </c>
      <c r="M489" s="19">
        <f>M479+INDEX(Data_Prices!M:M,MATCH($G489,Data_Prices!$A:$A,0))*M$497</f>
        <v>0.50778654720250105</v>
      </c>
      <c r="N489" s="19">
        <f>N479+INDEX(Data_Prices!N:N,MATCH($G489,Data_Prices!$A:$A,0))*N$497</f>
        <v>0.47043642679561698</v>
      </c>
      <c r="O489" s="19">
        <f>O479+INDEX(Data_Prices!O:O,MATCH($G489,Data_Prices!$A:$A,0))*O$497</f>
        <v>0.47043642679561698</v>
      </c>
      <c r="P489" s="19">
        <f>P479+INDEX(Data_Prices!P:P,MATCH($G489,Data_Prices!$A:$A,0))*P$497</f>
        <v>0.47043642679561698</v>
      </c>
      <c r="Q489" s="19">
        <f>Q479+INDEX(Data_Prices!Q:Q,MATCH($G489,Data_Prices!$A:$A,0))*Q$497</f>
        <v>0.50344686565449193</v>
      </c>
      <c r="R489" s="19">
        <f>R479+INDEX(Data_Prices!R:R,MATCH($G489,Data_Prices!$A:$A,0))*R$497</f>
        <v>0.53645730451336693</v>
      </c>
      <c r="S489" s="19">
        <f>S479+INDEX(Data_Prices!S:S,MATCH($G489,Data_Prices!$A:$A,0))*S$497</f>
        <v>0.56946774337224193</v>
      </c>
      <c r="T489" s="19">
        <f>T479+INDEX(Data_Prices!T:T,MATCH($G489,Data_Prices!$A:$A,0))*T$497</f>
        <v>0.60247818223111693</v>
      </c>
      <c r="U489" s="19">
        <f>U479+INDEX(Data_Prices!U:U,MATCH($G489,Data_Prices!$A:$A,0))*U$497</f>
        <v>0.63548862108999193</v>
      </c>
      <c r="V489" s="19">
        <f>V479+INDEX(Data_Prices!V:V,MATCH($G489,Data_Prices!$A:$A,0))*V$497</f>
        <v>0.66849905994886694</v>
      </c>
      <c r="W489" s="19">
        <f>W479+INDEX(Data_Prices!W:W,MATCH($G489,Data_Prices!$A:$A,0))*W$497</f>
        <v>0.70150949880774194</v>
      </c>
      <c r="X489" s="19">
        <f>X479+INDEX(Data_Prices!X:X,MATCH($G489,Data_Prices!$A:$A,0))*X$497</f>
        <v>0.73451993766661694</v>
      </c>
      <c r="Y489" s="19">
        <f>Y479+INDEX(Data_Prices!Y:Y,MATCH($G489,Data_Prices!$A:$A,0))*Y$497</f>
        <v>0.76753037652549194</v>
      </c>
      <c r="Z489" s="19">
        <f>Z479+INDEX(Data_Prices!Z:Z,MATCH($G489,Data_Prices!$A:$A,0))*Z$497</f>
        <v>0.80054081538436694</v>
      </c>
      <c r="AA489" s="19">
        <f>AA479+INDEX(Data_Prices!AA:AA,MATCH($G489,Data_Prices!$A:$A,0))*AA$497</f>
        <v>0.83355125424324195</v>
      </c>
      <c r="AB489" s="19">
        <f>AB479+INDEX(Data_Prices!AB:AB,MATCH($G489,Data_Prices!$A:$A,0))*AB$497</f>
        <v>0.86656169310211695</v>
      </c>
      <c r="AC489" s="19">
        <f>AC479+INDEX(Data_Prices!AC:AC,MATCH($G489,Data_Prices!$A:$A,0))*AC$497</f>
        <v>0.89957213196099195</v>
      </c>
      <c r="AD489" s="19">
        <f>AD479+INDEX(Data_Prices!AD:AD,MATCH($G489,Data_Prices!$A:$A,0))*AD$497</f>
        <v>0.93258257081986695</v>
      </c>
      <c r="AE489" s="19">
        <f>AE479+INDEX(Data_Prices!AE:AE,MATCH($G489,Data_Prices!$A:$A,0))*AE$497</f>
        <v>0.96559300967874195</v>
      </c>
    </row>
    <row r="490" spans="2:31" x14ac:dyDescent="0.45">
      <c r="B490" s="14" t="s">
        <v>60</v>
      </c>
      <c r="C490" s="14" t="str">
        <f t="shared" si="166"/>
        <v>cem</v>
      </c>
      <c r="D490" s="15" t="s">
        <v>61</v>
      </c>
      <c r="E490" s="16" t="s">
        <v>57</v>
      </c>
      <c r="F490" s="14" t="s">
        <v>75</v>
      </c>
      <c r="G490" s="17" t="str">
        <f>Settings!$B$3&amp;".mit.shp."&amp;$B490&amp;"."&amp;Settings!$B$4&amp;"."&amp;$J$464</f>
        <v>egy.mit.shp.lpg.ind.2</v>
      </c>
      <c r="H490" s="45" t="str">
        <f>Settings!$B$3&amp;".mit.shp."&amp;$C$464&amp;"."&amp;$B490&amp;".e."&amp;$J$464</f>
        <v>egy.mit.shp.cem.lpg.e.2</v>
      </c>
      <c r="K490" s="19">
        <f>K480+INDEX(Data_Prices!K:K,MATCH($G490,Data_Prices!$A:$A,0))*K$497</f>
        <v>0.20036669112673799</v>
      </c>
      <c r="L490" s="19">
        <f>L480+INDEX(Data_Prices!L:L,MATCH($G490,Data_Prices!$A:$A,0))*L$497</f>
        <v>0.15734473625227399</v>
      </c>
      <c r="M490" s="19">
        <f>M480+INDEX(Data_Prices!M:M,MATCH($G490,Data_Prices!$A:$A,0))*M$497</f>
        <v>0.164484037759277</v>
      </c>
      <c r="N490" s="19">
        <f>N480+INDEX(Data_Prices!N:N,MATCH($G490,Data_Prices!$A:$A,0))*N$497</f>
        <v>0.15070907780704901</v>
      </c>
      <c r="O490" s="19">
        <f>O480+INDEX(Data_Prices!O:O,MATCH($G490,Data_Prices!$A:$A,0))*O$497</f>
        <v>0.15070907780704901</v>
      </c>
      <c r="P490" s="19">
        <f>P480+INDEX(Data_Prices!P:P,MATCH($G490,Data_Prices!$A:$A,0))*P$497</f>
        <v>0.15070907780704901</v>
      </c>
      <c r="Q490" s="19">
        <f>Q480+INDEX(Data_Prices!Q:Q,MATCH($G490,Data_Prices!$A:$A,0))*Q$497</f>
        <v>0.17281516073434466</v>
      </c>
      <c r="R490" s="19">
        <f>R480+INDEX(Data_Prices!R:R,MATCH($G490,Data_Prices!$A:$A,0))*R$497</f>
        <v>0.19492124366164035</v>
      </c>
      <c r="S490" s="19">
        <f>S480+INDEX(Data_Prices!S:S,MATCH($G490,Data_Prices!$A:$A,0))*S$497</f>
        <v>0.217027326588936</v>
      </c>
      <c r="T490" s="19">
        <f>T480+INDEX(Data_Prices!T:T,MATCH($G490,Data_Prices!$A:$A,0))*T$497</f>
        <v>0.23913340951623169</v>
      </c>
      <c r="U490" s="19">
        <f>U480+INDEX(Data_Prices!U:U,MATCH($G490,Data_Prices!$A:$A,0))*U$497</f>
        <v>0.26123949244352734</v>
      </c>
      <c r="V490" s="19">
        <f>V480+INDEX(Data_Prices!V:V,MATCH($G490,Data_Prices!$A:$A,0))*V$497</f>
        <v>0.283345575370823</v>
      </c>
      <c r="W490" s="19">
        <f>W480+INDEX(Data_Prices!W:W,MATCH($G490,Data_Prices!$A:$A,0))*W$497</f>
        <v>0.30545165829811871</v>
      </c>
      <c r="X490" s="19">
        <f>X480+INDEX(Data_Prices!X:X,MATCH($G490,Data_Prices!$A:$A,0))*X$497</f>
        <v>0.32755774122541437</v>
      </c>
      <c r="Y490" s="19">
        <f>Y480+INDEX(Data_Prices!Y:Y,MATCH($G490,Data_Prices!$A:$A,0))*Y$497</f>
        <v>0.34966382415271002</v>
      </c>
      <c r="Z490" s="19">
        <f>Z480+INDEX(Data_Prices!Z:Z,MATCH($G490,Data_Prices!$A:$A,0))*Z$497</f>
        <v>0.37176990708000568</v>
      </c>
      <c r="AA490" s="19">
        <f>AA480+INDEX(Data_Prices!AA:AA,MATCH($G490,Data_Prices!$A:$A,0))*AA$497</f>
        <v>0.39387599000730134</v>
      </c>
      <c r="AB490" s="19">
        <f>AB480+INDEX(Data_Prices!AB:AB,MATCH($G490,Data_Prices!$A:$A,0))*AB$497</f>
        <v>0.41598207293459699</v>
      </c>
      <c r="AC490" s="19">
        <f>AC480+INDEX(Data_Prices!AC:AC,MATCH($G490,Data_Prices!$A:$A,0))*AC$497</f>
        <v>0.4380881558618927</v>
      </c>
      <c r="AD490" s="19">
        <f>AD480+INDEX(Data_Prices!AD:AD,MATCH($G490,Data_Prices!$A:$A,0))*AD$497</f>
        <v>0.46019423878918836</v>
      </c>
      <c r="AE490" s="19">
        <f>AE480+INDEX(Data_Prices!AE:AE,MATCH($G490,Data_Prices!$A:$A,0))*AE$497</f>
        <v>0.48230032171648402</v>
      </c>
    </row>
    <row r="491" spans="2:31" x14ac:dyDescent="0.45">
      <c r="B491" s="14" t="s">
        <v>62</v>
      </c>
      <c r="C491" s="14" t="str">
        <f t="shared" si="166"/>
        <v>cem</v>
      </c>
      <c r="D491" s="15" t="s">
        <v>63</v>
      </c>
      <c r="E491" s="16" t="s">
        <v>57</v>
      </c>
      <c r="F491" s="14" t="s">
        <v>75</v>
      </c>
      <c r="G491" s="17" t="str">
        <f>Settings!$B$3&amp;".mit.shp."&amp;$B491&amp;"."&amp;Settings!$B$4&amp;"."&amp;$J$464</f>
        <v>egy.mit.shp.ker.ind.2</v>
      </c>
      <c r="H491" s="45" t="str">
        <f>Settings!$B$3&amp;".mit.shp."&amp;$C$464&amp;"."&amp;$B491&amp;".e."&amp;$J$464</f>
        <v>egy.mit.shp.cem.ker.e.2</v>
      </c>
      <c r="K491" s="19">
        <f>K481+INDEX(Data_Prices!K:K,MATCH($G491,Data_Prices!$A:$A,0))*K$497</f>
        <v>0.48429424097343499</v>
      </c>
      <c r="L491" s="19">
        <f>L481+INDEX(Data_Prices!L:L,MATCH($G491,Data_Prices!$A:$A,0))*L$497</f>
        <v>0.45642817050012802</v>
      </c>
      <c r="M491" s="19">
        <f>M481+INDEX(Data_Prices!M:M,MATCH($G491,Data_Prices!$A:$A,0))*M$497</f>
        <v>0.43168920195599497</v>
      </c>
      <c r="N491" s="19">
        <f>N481+INDEX(Data_Prices!N:N,MATCH($G491,Data_Prices!$A:$A,0))*N$497</f>
        <v>0.42507558395597</v>
      </c>
      <c r="O491" s="19">
        <f>O481+INDEX(Data_Prices!O:O,MATCH($G491,Data_Prices!$A:$A,0))*O$497</f>
        <v>0.42507558395597</v>
      </c>
      <c r="P491" s="19">
        <f>P481+INDEX(Data_Prices!P:P,MATCH($G491,Data_Prices!$A:$A,0))*P$497</f>
        <v>0.42507558395597</v>
      </c>
      <c r="Q491" s="19">
        <f>Q481+INDEX(Data_Prices!Q:Q,MATCH($G491,Data_Prices!$A:$A,0))*Q$497</f>
        <v>0.45706441406607845</v>
      </c>
      <c r="R491" s="19">
        <f>R481+INDEX(Data_Prices!R:R,MATCH($G491,Data_Prices!$A:$A,0))*R$497</f>
        <v>0.48905324417618695</v>
      </c>
      <c r="S491" s="19">
        <f>S481+INDEX(Data_Prices!S:S,MATCH($G491,Data_Prices!$A:$A,0))*S$497</f>
        <v>0.52104207428629534</v>
      </c>
      <c r="T491" s="19">
        <f>T481+INDEX(Data_Prices!T:T,MATCH($G491,Data_Prices!$A:$A,0))*T$497</f>
        <v>0.5530309043964039</v>
      </c>
      <c r="U491" s="19">
        <f>U481+INDEX(Data_Prices!U:U,MATCH($G491,Data_Prices!$A:$A,0))*U$497</f>
        <v>0.58501973450651235</v>
      </c>
      <c r="V491" s="19">
        <f>V481+INDEX(Data_Prices!V:V,MATCH($G491,Data_Prices!$A:$A,0))*V$497</f>
        <v>0.61700856461662079</v>
      </c>
      <c r="W491" s="19">
        <f>W481+INDEX(Data_Prices!W:W,MATCH($G491,Data_Prices!$A:$A,0))*W$497</f>
        <v>0.64899739472672924</v>
      </c>
      <c r="X491" s="19">
        <f>X481+INDEX(Data_Prices!X:X,MATCH($G491,Data_Prices!$A:$A,0))*X$497</f>
        <v>0.68098622483683768</v>
      </c>
      <c r="Y491" s="19">
        <f>Y481+INDEX(Data_Prices!Y:Y,MATCH($G491,Data_Prices!$A:$A,0))*Y$497</f>
        <v>0.71297505494694624</v>
      </c>
      <c r="Z491" s="19">
        <f>Z481+INDEX(Data_Prices!Z:Z,MATCH($G491,Data_Prices!$A:$A,0))*Z$497</f>
        <v>0.74496388505705469</v>
      </c>
      <c r="AA491" s="19">
        <f>AA481+INDEX(Data_Prices!AA:AA,MATCH($G491,Data_Prices!$A:$A,0))*AA$497</f>
        <v>0.77695271516716313</v>
      </c>
      <c r="AB491" s="19">
        <f>AB481+INDEX(Data_Prices!AB:AB,MATCH($G491,Data_Prices!$A:$A,0))*AB$497</f>
        <v>0.80894154527727158</v>
      </c>
      <c r="AC491" s="19">
        <f>AC481+INDEX(Data_Prices!AC:AC,MATCH($G491,Data_Prices!$A:$A,0))*AC$497</f>
        <v>0.84093037538738002</v>
      </c>
      <c r="AD491" s="19">
        <f>AD481+INDEX(Data_Prices!AD:AD,MATCH($G491,Data_Prices!$A:$A,0))*AD$497</f>
        <v>0.87291920549748858</v>
      </c>
      <c r="AE491" s="19">
        <f>AE481+INDEX(Data_Prices!AE:AE,MATCH($G491,Data_Prices!$A:$A,0))*AE$497</f>
        <v>0.90490803560759692</v>
      </c>
    </row>
    <row r="492" spans="2:31" x14ac:dyDescent="0.45">
      <c r="B492" s="14" t="s">
        <v>64</v>
      </c>
      <c r="C492" s="14" t="str">
        <f t="shared" si="166"/>
        <v>cem</v>
      </c>
      <c r="D492" s="15" t="s">
        <v>65</v>
      </c>
      <c r="E492" s="16" t="s">
        <v>66</v>
      </c>
      <c r="F492" s="14" t="s">
        <v>75</v>
      </c>
      <c r="G492" s="17" t="str">
        <f>Settings!$B$3&amp;".mit.shp."&amp;$B492&amp;"."&amp;Settings!$B$4&amp;"."&amp;$J$464</f>
        <v>egy.mit.shp.oop.ind.2</v>
      </c>
      <c r="H492" s="45" t="str">
        <f>Settings!$B$3&amp;".mit.shp."&amp;$C$464&amp;"."&amp;$B492&amp;".e."&amp;$J$464</f>
        <v>egy.mit.shp.cem.oop.e.2</v>
      </c>
      <c r="K492" s="19">
        <f>K482+INDEX(Data_Prices!K:K,MATCH($G492,Data_Prices!$A:$A,0))*K$497</f>
        <v>41.500338498868402</v>
      </c>
      <c r="L492" s="19">
        <f>L482+INDEX(Data_Prices!L:L,MATCH($G492,Data_Prices!$A:$A,0))*L$497</f>
        <v>34.4153703043132</v>
      </c>
      <c r="M492" s="19">
        <f>M482+INDEX(Data_Prices!M:M,MATCH($G492,Data_Prices!$A:$A,0))*M$497</f>
        <v>37.368960690431997</v>
      </c>
      <c r="N492" s="19">
        <f>N482+INDEX(Data_Prices!N:N,MATCH($G492,Data_Prices!$A:$A,0))*N$497</f>
        <v>28.982761101477301</v>
      </c>
      <c r="O492" s="19">
        <f>O482+INDEX(Data_Prices!O:O,MATCH($G492,Data_Prices!$A:$A,0))*O$497</f>
        <v>15</v>
      </c>
      <c r="P492" s="19">
        <f>P482+INDEX(Data_Prices!P:P,MATCH($G492,Data_Prices!$A:$A,0))*P$497</f>
        <v>24.2586300842555</v>
      </c>
      <c r="Q492" s="19">
        <f>Q482+INDEX(Data_Prices!Q:Q,MATCH($G492,Data_Prices!$A:$A,0))*Q$497</f>
        <v>18.963758196132499</v>
      </c>
      <c r="R492" s="19">
        <f>R482+INDEX(Data_Prices!R:R,MATCH($G492,Data_Prices!$A:$A,0))*R$497</f>
        <v>21.760345114010597</v>
      </c>
      <c r="S492" s="19">
        <f>S482+INDEX(Data_Prices!S:S,MATCH($G492,Data_Prices!$A:$A,0))*S$497</f>
        <v>26.079880691373621</v>
      </c>
      <c r="T492" s="19">
        <f>T482+INDEX(Data_Prices!T:T,MATCH($G492,Data_Prices!$A:$A,0))*T$497</f>
        <v>30.593682445209218</v>
      </c>
      <c r="U492" s="19">
        <f>U482+INDEX(Data_Prices!U:U,MATCH($G492,Data_Prices!$A:$A,0))*U$497</f>
        <v>34.990509739410058</v>
      </c>
      <c r="V492" s="19">
        <f>V482+INDEX(Data_Prices!V:V,MATCH($G492,Data_Prices!$A:$A,0))*V$497</f>
        <v>40.858059739410059</v>
      </c>
      <c r="W492" s="19">
        <f>W482+INDEX(Data_Prices!W:W,MATCH($G492,Data_Prices!$A:$A,0))*W$497</f>
        <v>46.725609739410054</v>
      </c>
      <c r="X492" s="19">
        <f>X482+INDEX(Data_Prices!X:X,MATCH($G492,Data_Prices!$A:$A,0))*X$497</f>
        <v>52.593159739410055</v>
      </c>
      <c r="Y492" s="19">
        <f>Y482+INDEX(Data_Prices!Y:Y,MATCH($G492,Data_Prices!$A:$A,0))*Y$497</f>
        <v>58.460709739410056</v>
      </c>
      <c r="Z492" s="19">
        <f>Z482+INDEX(Data_Prices!Z:Z,MATCH($G492,Data_Prices!$A:$A,0))*Z$497</f>
        <v>64.328259739410072</v>
      </c>
      <c r="AA492" s="19">
        <f>AA482+INDEX(Data_Prices!AA:AA,MATCH($G492,Data_Prices!$A:$A,0))*AA$497</f>
        <v>70.195809739410052</v>
      </c>
      <c r="AB492" s="19">
        <f>AB482+INDEX(Data_Prices!AB:AB,MATCH($G492,Data_Prices!$A:$A,0))*AB$497</f>
        <v>76.06335973941006</v>
      </c>
      <c r="AC492" s="19">
        <f>AC482+INDEX(Data_Prices!AC:AC,MATCH($G492,Data_Prices!$A:$A,0))*AC$497</f>
        <v>81.930909739410041</v>
      </c>
      <c r="AD492" s="19">
        <f>AD482+INDEX(Data_Prices!AD:AD,MATCH($G492,Data_Prices!$A:$A,0))*AD$497</f>
        <v>87.798459739410049</v>
      </c>
      <c r="AE492" s="19">
        <f>AE482+INDEX(Data_Prices!AE:AE,MATCH($G492,Data_Prices!$A:$A,0))*AE$497</f>
        <v>93.666009739410043</v>
      </c>
    </row>
    <row r="493" spans="2:31" x14ac:dyDescent="0.45">
      <c r="B493" s="14" t="s">
        <v>67</v>
      </c>
      <c r="C493" s="14" t="str">
        <f t="shared" si="166"/>
        <v>cem</v>
      </c>
      <c r="D493" s="15" t="s">
        <v>68</v>
      </c>
      <c r="E493" s="16" t="s">
        <v>51</v>
      </c>
      <c r="F493" s="14" t="s">
        <v>75</v>
      </c>
      <c r="G493" s="17" t="str">
        <f>Settings!$B$3&amp;".mit.shp."&amp;$B493&amp;"."&amp;Settings!$B$4&amp;"."&amp;$J$464</f>
        <v>egy.mit.shp.bio.ind.2</v>
      </c>
      <c r="H493" s="45" t="str">
        <f>Settings!$B$3&amp;".mit.shp."&amp;$C$464&amp;"."&amp;$B493&amp;".e."&amp;$J$464</f>
        <v>egy.mit.shp.cem.bio.e.2</v>
      </c>
      <c r="K493" s="19">
        <f>K483+INDEX(Data_Prices!K:K,MATCH($G493,Data_Prices!$A:$A,0))*K$497</f>
        <v>15.3345505293169</v>
      </c>
      <c r="L493" s="19">
        <f>L483+INDEX(Data_Prices!L:L,MATCH($G493,Data_Prices!$A:$A,0))*L$497</f>
        <v>14.199528390634899</v>
      </c>
      <c r="M493" s="19">
        <f>M483+INDEX(Data_Prices!M:M,MATCH($G493,Data_Prices!$A:$A,0))*M$497</f>
        <v>13.8404416133152</v>
      </c>
      <c r="N493" s="19">
        <f>N483+INDEX(Data_Prices!N:N,MATCH($G493,Data_Prices!$A:$A,0))*N$497</f>
        <v>13.5677269404465</v>
      </c>
      <c r="O493" s="19">
        <f>O483+INDEX(Data_Prices!O:O,MATCH($G493,Data_Prices!$A:$A,0))*O$497</f>
        <v>13.5677269404465</v>
      </c>
      <c r="P493" s="19">
        <f>P483+INDEX(Data_Prices!P:P,MATCH($G493,Data_Prices!$A:$A,0))*P$497</f>
        <v>13.5677269404465</v>
      </c>
      <c r="Q493" s="19">
        <f>Q483+INDEX(Data_Prices!Q:Q,MATCH($G493,Data_Prices!$A:$A,0))*Q$497</f>
        <v>13.5677269404465</v>
      </c>
      <c r="R493" s="19">
        <f>R483+INDEX(Data_Prices!R:R,MATCH($G493,Data_Prices!$A:$A,0))*R$497</f>
        <v>13.5677269404465</v>
      </c>
      <c r="S493" s="19">
        <f>S483+INDEX(Data_Prices!S:S,MATCH($G493,Data_Prices!$A:$A,0))*S$497</f>
        <v>13.5677269404465</v>
      </c>
      <c r="T493" s="19">
        <f>T483+INDEX(Data_Prices!T:T,MATCH($G493,Data_Prices!$A:$A,0))*T$497</f>
        <v>13.5677269404465</v>
      </c>
      <c r="U493" s="19">
        <f>U483+INDEX(Data_Prices!U:U,MATCH($G493,Data_Prices!$A:$A,0))*U$497</f>
        <v>13.5677269404465</v>
      </c>
      <c r="V493" s="19">
        <f>V483+INDEX(Data_Prices!V:V,MATCH($G493,Data_Prices!$A:$A,0))*V$497</f>
        <v>13.5677269404465</v>
      </c>
      <c r="W493" s="19">
        <f>W483+INDEX(Data_Prices!W:W,MATCH($G493,Data_Prices!$A:$A,0))*W$497</f>
        <v>13.5677269404465</v>
      </c>
      <c r="X493" s="19">
        <f>X483+INDEX(Data_Prices!X:X,MATCH($G493,Data_Prices!$A:$A,0))*X$497</f>
        <v>13.5677269404465</v>
      </c>
      <c r="Y493" s="19">
        <f>Y483+INDEX(Data_Prices!Y:Y,MATCH($G493,Data_Prices!$A:$A,0))*Y$497</f>
        <v>13.5677269404465</v>
      </c>
      <c r="Z493" s="19">
        <f>Z483+INDEX(Data_Prices!Z:Z,MATCH($G493,Data_Prices!$A:$A,0))*Z$497</f>
        <v>13.5677269404465</v>
      </c>
      <c r="AA493" s="19">
        <f>AA483+INDEX(Data_Prices!AA:AA,MATCH($G493,Data_Prices!$A:$A,0))*AA$497</f>
        <v>13.5677269404465</v>
      </c>
      <c r="AB493" s="19">
        <f>AB483+INDEX(Data_Prices!AB:AB,MATCH($G493,Data_Prices!$A:$A,0))*AB$497</f>
        <v>13.5677269404465</v>
      </c>
      <c r="AC493" s="19">
        <f>AC483+INDEX(Data_Prices!AC:AC,MATCH($G493,Data_Prices!$A:$A,0))*AC$497</f>
        <v>13.5677269404465</v>
      </c>
      <c r="AD493" s="19">
        <f>AD483+INDEX(Data_Prices!AD:AD,MATCH($G493,Data_Prices!$A:$A,0))*AD$497</f>
        <v>13.5677269404465</v>
      </c>
      <c r="AE493" s="19">
        <f>AE483+INDEX(Data_Prices!AE:AE,MATCH($G493,Data_Prices!$A:$A,0))*AE$497</f>
        <v>13.5677269404465</v>
      </c>
    </row>
    <row r="494" spans="2:31" x14ac:dyDescent="0.45">
      <c r="B494" s="14" t="s">
        <v>69</v>
      </c>
      <c r="C494" s="14" t="str">
        <f t="shared" si="166"/>
        <v>cem</v>
      </c>
      <c r="D494" s="15" t="s">
        <v>70</v>
      </c>
      <c r="E494" s="16" t="s">
        <v>71</v>
      </c>
      <c r="F494" s="14" t="s">
        <v>75</v>
      </c>
      <c r="G494" s="17" t="str">
        <f>Settings!$B$3&amp;".mit.shp."&amp;$B494&amp;"."&amp;Settings!$B$4&amp;"."&amp;$J$464</f>
        <v>egy.mit.shp.ren.ind.2</v>
      </c>
      <c r="H494" s="45" t="str">
        <f>Settings!$B$3&amp;".mit.shp."&amp;$C$464&amp;"."&amp;$B494&amp;".e."&amp;$J$464</f>
        <v>egy.mit.shp.cem.ren.e.2</v>
      </c>
      <c r="K494" s="19">
        <f>K484+INDEX(Data_Prices!K:K,MATCH($G494,Data_Prices!$A:$A,0))*K$497</f>
        <v>0</v>
      </c>
      <c r="L494" s="19">
        <f>L484+INDEX(Data_Prices!L:L,MATCH($G494,Data_Prices!$A:$A,0))*L$497</f>
        <v>0.14404498679319799</v>
      </c>
      <c r="M494" s="19">
        <f>M484+INDEX(Data_Prices!M:M,MATCH($G494,Data_Prices!$A:$A,0))*M$497</f>
        <v>0.141386241751359</v>
      </c>
      <c r="N494" s="19">
        <f>N484+INDEX(Data_Prices!N:N,MATCH($G494,Data_Prices!$A:$A,0))*N$497</f>
        <v>0.13539756544373099</v>
      </c>
      <c r="O494" s="19">
        <f>O484+INDEX(Data_Prices!O:O,MATCH($G494,Data_Prices!$A:$A,0))*O$497</f>
        <v>0.13152288542065099</v>
      </c>
      <c r="P494" s="19">
        <f>P484+INDEX(Data_Prices!P:P,MATCH($G494,Data_Prices!$A:$A,0))*P$497</f>
        <v>0.12882610848523099</v>
      </c>
      <c r="Q494" s="19">
        <f>Q484+INDEX(Data_Prices!Q:Q,MATCH($G494,Data_Prices!$A:$A,0))*Q$497</f>
        <v>0.12594200976473999</v>
      </c>
      <c r="R494" s="19">
        <f>R484+INDEX(Data_Prices!R:R,MATCH($G494,Data_Prices!$A:$A,0))*R$497</f>
        <v>0.123113265701861</v>
      </c>
      <c r="S494" s="19">
        <f>S484+INDEX(Data_Prices!S:S,MATCH($G494,Data_Prices!$A:$A,0))*S$497</f>
        <v>0.119391738089068</v>
      </c>
      <c r="T494" s="19">
        <f>T484+INDEX(Data_Prices!T:T,MATCH($G494,Data_Prices!$A:$A,0))*T$497</f>
        <v>0.11554419046792</v>
      </c>
      <c r="U494" s="19">
        <f>U484+INDEX(Data_Prices!U:U,MATCH($G494,Data_Prices!$A:$A,0))*U$497</f>
        <v>0.11492423065415899</v>
      </c>
      <c r="V494" s="19">
        <f>V484+INDEX(Data_Prices!V:V,MATCH($G494,Data_Prices!$A:$A,0))*V$497</f>
        <v>0.114346912116736</v>
      </c>
      <c r="W494" s="19">
        <f>W484+INDEX(Data_Prices!W:W,MATCH($G494,Data_Prices!$A:$A,0))*W$497</f>
        <v>0.113738711172664</v>
      </c>
      <c r="X494" s="19">
        <f>X484+INDEX(Data_Prices!X:X,MATCH($G494,Data_Prices!$A:$A,0))*X$497</f>
        <v>0.112999900487521</v>
      </c>
      <c r="Y494" s="19">
        <f>Y484+INDEX(Data_Prices!Y:Y,MATCH($G494,Data_Prices!$A:$A,0))*Y$497</f>
        <v>0.112177685835534</v>
      </c>
      <c r="Z494" s="19">
        <f>Z484+INDEX(Data_Prices!Z:Z,MATCH($G494,Data_Prices!$A:$A,0))*Z$497</f>
        <v>0.111417903250404</v>
      </c>
      <c r="AA494" s="19">
        <f>AA484+INDEX(Data_Prices!AA:AA,MATCH($G494,Data_Prices!$A:$A,0))*AA$497</f>
        <v>0.11052581998545399</v>
      </c>
      <c r="AB494" s="19">
        <f>AB484+INDEX(Data_Prices!AB:AB,MATCH($G494,Data_Prices!$A:$A,0))*AB$497</f>
        <v>0.109699565234896</v>
      </c>
      <c r="AC494" s="19">
        <f>AC484+INDEX(Data_Prices!AC:AC,MATCH($G494,Data_Prices!$A:$A,0))*AC$497</f>
        <v>0.10772678896394899</v>
      </c>
      <c r="AD494" s="19">
        <f>AD484+INDEX(Data_Prices!AD:AD,MATCH($G494,Data_Prices!$A:$A,0))*AD$497</f>
        <v>0.10582092445093499</v>
      </c>
      <c r="AE494" s="19">
        <f>AE484+INDEX(Data_Prices!AE:AE,MATCH($G494,Data_Prices!$A:$A,0))*AE$497</f>
        <v>0.103855595705721</v>
      </c>
    </row>
    <row r="495" spans="2:31" x14ac:dyDescent="0.45">
      <c r="B495" s="13" t="s">
        <v>76</v>
      </c>
    </row>
    <row r="496" spans="2:31" x14ac:dyDescent="0.45">
      <c r="B496" s="14" t="s">
        <v>77</v>
      </c>
      <c r="C496" s="14" t="str">
        <f>$C$464</f>
        <v>cem</v>
      </c>
      <c r="D496" s="15" t="s">
        <v>78</v>
      </c>
      <c r="E496" s="16" t="s">
        <v>79</v>
      </c>
      <c r="F496" s="14" t="s">
        <v>80</v>
      </c>
      <c r="G496" s="17" t="str">
        <f>Settings!$B$3&amp;".mit.tcf."&amp;$C$464&amp;"."&amp;$J$464</f>
        <v>egy.mit.tcf.cem.2</v>
      </c>
      <c r="K496" s="19">
        <f>INDEX(Data_Prices!K:K,MATCH($G496,Data_Prices!$A:$A,0))</f>
        <v>0</v>
      </c>
      <c r="L496" s="19">
        <f>INDEX(Data_Prices!L:L,MATCH($G496,Data_Prices!$A:$A,0))</f>
        <v>0</v>
      </c>
      <c r="M496" s="19">
        <f>INDEX(Data_Prices!M:M,MATCH($G496,Data_Prices!$A:$A,0))</f>
        <v>0</v>
      </c>
      <c r="N496" s="19">
        <f>INDEX(Data_Prices!N:N,MATCH($G496,Data_Prices!$A:$A,0))</f>
        <v>0</v>
      </c>
      <c r="O496" s="19">
        <f>INDEX(Data_Prices!O:O,MATCH($G496,Data_Prices!$A:$A,0))</f>
        <v>0</v>
      </c>
      <c r="P496" s="19">
        <f>INDEX(Data_Prices!P:P,MATCH($G496,Data_Prices!$A:$A,0))</f>
        <v>1</v>
      </c>
      <c r="Q496" s="19">
        <f>INDEX(Data_Prices!Q:Q,MATCH($G496,Data_Prices!$A:$A,0))</f>
        <v>1</v>
      </c>
      <c r="R496" s="19">
        <f>INDEX(Data_Prices!R:R,MATCH($G496,Data_Prices!$A:$A,0))</f>
        <v>1</v>
      </c>
      <c r="S496" s="19">
        <f>INDEX(Data_Prices!S:S,MATCH($G496,Data_Prices!$A:$A,0))</f>
        <v>1</v>
      </c>
      <c r="T496" s="19">
        <f>INDEX(Data_Prices!T:T,MATCH($G496,Data_Prices!$A:$A,0))</f>
        <v>1</v>
      </c>
      <c r="U496" s="19">
        <f>INDEX(Data_Prices!U:U,MATCH($G496,Data_Prices!$A:$A,0))</f>
        <v>1</v>
      </c>
      <c r="V496" s="19">
        <f>INDEX(Data_Prices!V:V,MATCH($G496,Data_Prices!$A:$A,0))</f>
        <v>1</v>
      </c>
      <c r="W496" s="19">
        <f>INDEX(Data_Prices!W:W,MATCH($G496,Data_Prices!$A:$A,0))</f>
        <v>1</v>
      </c>
      <c r="X496" s="19">
        <f>INDEX(Data_Prices!X:X,MATCH($G496,Data_Prices!$A:$A,0))</f>
        <v>1</v>
      </c>
      <c r="Y496" s="19">
        <f>INDEX(Data_Prices!Y:Y,MATCH($G496,Data_Prices!$A:$A,0))</f>
        <v>1</v>
      </c>
      <c r="Z496" s="19">
        <f>INDEX(Data_Prices!Z:Z,MATCH($G496,Data_Prices!$A:$A,0))</f>
        <v>1</v>
      </c>
      <c r="AA496" s="19">
        <f>INDEX(Data_Prices!AA:AA,MATCH($G496,Data_Prices!$A:$A,0))</f>
        <v>1</v>
      </c>
      <c r="AB496" s="19">
        <f>INDEX(Data_Prices!AB:AB,MATCH($G496,Data_Prices!$A:$A,0))</f>
        <v>1</v>
      </c>
      <c r="AC496" s="19">
        <f>INDEX(Data_Prices!AC:AC,MATCH($G496,Data_Prices!$A:$A,0))</f>
        <v>1</v>
      </c>
      <c r="AD496" s="19">
        <f>INDEX(Data_Prices!AD:AD,MATCH($G496,Data_Prices!$A:$A,0))</f>
        <v>1</v>
      </c>
      <c r="AE496" s="19">
        <f>INDEX(Data_Prices!AE:AE,MATCH($G496,Data_Prices!$A:$A,0))</f>
        <v>1</v>
      </c>
    </row>
    <row r="497" spans="2:31" x14ac:dyDescent="0.45">
      <c r="B497" s="14" t="s">
        <v>77</v>
      </c>
      <c r="C497" s="14" t="str">
        <f>$C$464</f>
        <v>cem</v>
      </c>
      <c r="D497" s="15" t="s">
        <v>81</v>
      </c>
      <c r="E497" s="16" t="s">
        <v>79</v>
      </c>
      <c r="F497" s="14" t="s">
        <v>82</v>
      </c>
      <c r="G497" s="17" t="str">
        <f>Settings!$B$3&amp;".mit.ssc."&amp;$C$464&amp;"."&amp;$J$464</f>
        <v>egy.mit.ssc.cem.2</v>
      </c>
      <c r="K497" s="19">
        <f>INDEX(Data_Prices!K:K,MATCH($G497,Data_Prices!$A:$A,0))</f>
        <v>0</v>
      </c>
      <c r="L497" s="19">
        <f>INDEX(Data_Prices!L:L,MATCH($G497,Data_Prices!$A:$A,0))</f>
        <v>1</v>
      </c>
      <c r="M497" s="19">
        <f>INDEX(Data_Prices!M:M,MATCH($G497,Data_Prices!$A:$A,0))</f>
        <v>1</v>
      </c>
      <c r="N497" s="19">
        <f>INDEX(Data_Prices!N:N,MATCH($G497,Data_Prices!$A:$A,0))</f>
        <v>1</v>
      </c>
      <c r="O497" s="19">
        <f>INDEX(Data_Prices!O:O,MATCH($G497,Data_Prices!$A:$A,0))</f>
        <v>1</v>
      </c>
      <c r="P497" s="19">
        <f>INDEX(Data_Prices!P:P,MATCH($G497,Data_Prices!$A:$A,0))</f>
        <v>1</v>
      </c>
      <c r="Q497" s="19">
        <f>INDEX(Data_Prices!Q:Q,MATCH($G497,Data_Prices!$A:$A,0))</f>
        <v>1</v>
      </c>
      <c r="R497" s="19">
        <f>INDEX(Data_Prices!R:R,MATCH($G497,Data_Prices!$A:$A,0))</f>
        <v>1</v>
      </c>
      <c r="S497" s="19">
        <f>INDEX(Data_Prices!S:S,MATCH($G497,Data_Prices!$A:$A,0))</f>
        <v>1</v>
      </c>
      <c r="T497" s="19">
        <f>INDEX(Data_Prices!T:T,MATCH($G497,Data_Prices!$A:$A,0))</f>
        <v>1</v>
      </c>
      <c r="U497" s="19">
        <f>INDEX(Data_Prices!U:U,MATCH($G497,Data_Prices!$A:$A,0))</f>
        <v>1</v>
      </c>
      <c r="V497" s="19">
        <f>INDEX(Data_Prices!V:V,MATCH($G497,Data_Prices!$A:$A,0))</f>
        <v>1</v>
      </c>
      <c r="W497" s="19">
        <f>INDEX(Data_Prices!W:W,MATCH($G497,Data_Prices!$A:$A,0))</f>
        <v>1</v>
      </c>
      <c r="X497" s="19">
        <f>INDEX(Data_Prices!X:X,MATCH($G497,Data_Prices!$A:$A,0))</f>
        <v>1</v>
      </c>
      <c r="Y497" s="19">
        <f>INDEX(Data_Prices!Y:Y,MATCH($G497,Data_Prices!$A:$A,0))</f>
        <v>1</v>
      </c>
      <c r="Z497" s="19">
        <f>INDEX(Data_Prices!Z:Z,MATCH($G497,Data_Prices!$A:$A,0))</f>
        <v>1</v>
      </c>
      <c r="AA497" s="19">
        <f>INDEX(Data_Prices!AA:AA,MATCH($G497,Data_Prices!$A:$A,0))</f>
        <v>1</v>
      </c>
      <c r="AB497" s="19">
        <f>INDEX(Data_Prices!AB:AB,MATCH($G497,Data_Prices!$A:$A,0))</f>
        <v>1</v>
      </c>
      <c r="AC497" s="19">
        <f>INDEX(Data_Prices!AC:AC,MATCH($G497,Data_Prices!$A:$A,0))</f>
        <v>1</v>
      </c>
      <c r="AD497" s="19">
        <f>INDEX(Data_Prices!AD:AD,MATCH($G497,Data_Prices!$A:$A,0))</f>
        <v>1</v>
      </c>
      <c r="AE497" s="19">
        <f>INDEX(Data_Prices!AE:AE,MATCH($G497,Data_Prices!$A:$A,0))</f>
        <v>1</v>
      </c>
    </row>
    <row r="498" spans="2:31" x14ac:dyDescent="0.45">
      <c r="B498" s="14" t="s">
        <v>77</v>
      </c>
      <c r="C498" s="14" t="str">
        <f>$C$464</f>
        <v>cem</v>
      </c>
      <c r="D498" s="15" t="s">
        <v>83</v>
      </c>
      <c r="E498" s="16" t="s">
        <v>84</v>
      </c>
      <c r="F498" s="14" t="s">
        <v>85</v>
      </c>
      <c r="G498" s="17" t="str">
        <f>Settings!$B$3&amp;".mit.gdp.pos.pct."&amp;$J$464</f>
        <v>egy.mit.gdp.pos.pct.2</v>
      </c>
      <c r="K498" s="20">
        <f>INDEX(Data_Macro!K:K,MATCH($G498,Data_Macro!$A:$A,0))</f>
        <v>0</v>
      </c>
      <c r="L498" s="20">
        <f>INDEX(Data_Macro!L:L,MATCH($G498,Data_Macro!$A:$A,0))</f>
        <v>6.6513450000000002E-2</v>
      </c>
      <c r="M498" s="20">
        <f>INDEX(Data_Macro!M:M,MATCH($G498,Data_Macro!$A:$A,0))</f>
        <v>3.760281E-2</v>
      </c>
      <c r="N498" s="20">
        <f>INDEX(Data_Macro!N:N,MATCH($G498,Data_Macro!$A:$A,0))</f>
        <v>2.3988010000000001E-2</v>
      </c>
      <c r="O498" s="20">
        <f>INDEX(Data_Macro!O:O,MATCH($G498,Data_Macro!$A:$A,0))</f>
        <v>4.3923869999999997E-2</v>
      </c>
      <c r="P498" s="20">
        <f>INDEX(Data_Macro!P:P,MATCH($G498,Data_Macro!$A:$A,0))</f>
        <v>4.239706E-2</v>
      </c>
      <c r="Q498" s="20">
        <f>INDEX(Data_Macro!Q:Q,MATCH($G498,Data_Macro!$A:$A,0))</f>
        <v>4.8298383783007597E-2</v>
      </c>
      <c r="R498" s="20">
        <f>INDEX(Data_Macro!R:R,MATCH($G498,Data_Macro!$A:$A,0))</f>
        <v>5.55905477124225E-2</v>
      </c>
      <c r="S498" s="20">
        <f>INDEX(Data_Macro!S:S,MATCH($G498,Data_Macro!$A:$A,0))</f>
        <v>5.2137235389631401E-2</v>
      </c>
      <c r="T498" s="20">
        <f>INDEX(Data_Macro!T:T,MATCH($G498,Data_Macro!$A:$A,0))</f>
        <v>4.8124907491929901E-2</v>
      </c>
      <c r="U498" s="20">
        <f>INDEX(Data_Macro!U:U,MATCH($G498,Data_Macro!$A:$A,0))</f>
        <v>4.7208796526521303E-2</v>
      </c>
      <c r="V498" s="20">
        <f>INDEX(Data_Macro!V:V,MATCH($G498,Data_Macro!$A:$A,0))</f>
        <v>4.66890433006764E-2</v>
      </c>
      <c r="W498" s="20">
        <f>INDEX(Data_Macro!W:W,MATCH($G498,Data_Macro!$A:$A,0))</f>
        <v>4.6632750147029202E-2</v>
      </c>
      <c r="X498" s="20">
        <f>INDEX(Data_Macro!X:X,MATCH($G498,Data_Macro!$A:$A,0))</f>
        <v>4.6872723264421497E-2</v>
      </c>
      <c r="Y498" s="20">
        <f>INDEX(Data_Macro!Y:Y,MATCH($G498,Data_Macro!$A:$A,0))</f>
        <v>4.7469921753048698E-2</v>
      </c>
      <c r="Z498" s="20">
        <f>INDEX(Data_Macro!Z:Z,MATCH($G498,Data_Macro!$A:$A,0))</f>
        <v>4.8590713024029002E-2</v>
      </c>
      <c r="AA498" s="20">
        <f>INDEX(Data_Macro!AA:AA,MATCH($G498,Data_Macro!$A:$A,0))</f>
        <v>4.9941182078066401E-2</v>
      </c>
      <c r="AB498" s="20">
        <f>INDEX(Data_Macro!AB:AB,MATCH($G498,Data_Macro!$A:$A,0))</f>
        <v>5.13941835424786E-2</v>
      </c>
      <c r="AC498" s="20">
        <f>INDEX(Data_Macro!AC:AC,MATCH($G498,Data_Macro!$A:$A,0))</f>
        <v>5.2681763019776701E-2</v>
      </c>
      <c r="AD498" s="20">
        <f>INDEX(Data_Macro!AD:AD,MATCH($G498,Data_Macro!$A:$A,0))</f>
        <v>5.3800711336350303E-2</v>
      </c>
      <c r="AE498" s="20">
        <f>INDEX(Data_Macro!AE:AE,MATCH($G498,Data_Macro!$A:$A,0))</f>
        <v>5.4789398044337599E-2</v>
      </c>
    </row>
    <row r="499" spans="2:31" x14ac:dyDescent="0.45">
      <c r="B499" s="14" t="s">
        <v>77</v>
      </c>
      <c r="C499" s="14" t="str">
        <f>$C$464</f>
        <v>cem</v>
      </c>
      <c r="D499" s="15" t="s">
        <v>86</v>
      </c>
      <c r="E499" s="16" t="s">
        <v>87</v>
      </c>
      <c r="F499" s="14" t="s">
        <v>88</v>
      </c>
      <c r="G499" s="17" t="str">
        <f>Settings!$B$3&amp;".mit.inc.ela.adj."&amp;$J$464</f>
        <v>egy.mit.inc.ela.adj.2</v>
      </c>
      <c r="K499" s="19">
        <f>INDEX(Data_Macro!K:K,MATCH($G499,Data_Macro!$A:$A,0))</f>
        <v>0</v>
      </c>
      <c r="L499" s="19">
        <f>INDEX(Data_Macro!L:L,MATCH($G499,Data_Macro!$A:$A,0))</f>
        <v>1.02715172471961</v>
      </c>
      <c r="M499" s="19">
        <f>INDEX(Data_Macro!M:M,MATCH($G499,Data_Macro!$A:$A,0))</f>
        <v>1.02715172471961</v>
      </c>
      <c r="N499" s="19">
        <f>INDEX(Data_Macro!N:N,MATCH($G499,Data_Macro!$A:$A,0))</f>
        <v>1.0205698358851201</v>
      </c>
      <c r="O499" s="19">
        <f>INDEX(Data_Macro!O:O,MATCH($G499,Data_Macro!$A:$A,0))</f>
        <v>1.01733442885234</v>
      </c>
      <c r="P499" s="19">
        <f>INDEX(Data_Macro!P:P,MATCH($G499,Data_Macro!$A:$A,0))</f>
        <v>1.00766833225382</v>
      </c>
      <c r="Q499" s="19">
        <f>INDEX(Data_Macro!Q:Q,MATCH($G499,Data_Macro!$A:$A,0))</f>
        <v>1.0007442871755301</v>
      </c>
      <c r="R499" s="19">
        <f>INDEX(Data_Macro!R:R,MATCH($G499,Data_Macro!$A:$A,0))</f>
        <v>0.99188455719464297</v>
      </c>
      <c r="S499" s="19">
        <f>INDEX(Data_Macro!S:S,MATCH($G499,Data_Macro!$A:$A,0))</f>
        <v>0.98058056507860303</v>
      </c>
      <c r="T499" s="19">
        <f>INDEX(Data_Macro!T:T,MATCH($G499,Data_Macro!$A:$A,0))</f>
        <v>0.970250789717781</v>
      </c>
      <c r="U499" s="19">
        <f>INDEX(Data_Macro!U:U,MATCH($G499,Data_Macro!$A:$A,0))</f>
        <v>0.964288208159648</v>
      </c>
      <c r="V499" s="19">
        <f>INDEX(Data_Macro!V:V,MATCH($G499,Data_Macro!$A:$A,0))</f>
        <v>0.96183439341951105</v>
      </c>
      <c r="W499" s="19">
        <f>INDEX(Data_Macro!W:W,MATCH($G499,Data_Macro!$A:$A,0))</f>
        <v>0.95941695116164405</v>
      </c>
      <c r="X499" s="19">
        <f>INDEX(Data_Macro!X:X,MATCH($G499,Data_Macro!$A:$A,0))</f>
        <v>0.95701429252188397</v>
      </c>
      <c r="Y499" s="19">
        <f>INDEX(Data_Macro!Y:Y,MATCH($G499,Data_Macro!$A:$A,0))</f>
        <v>0.95468193722552197</v>
      </c>
      <c r="Z499" s="19">
        <f>INDEX(Data_Macro!Z:Z,MATCH($G499,Data_Macro!$A:$A,0))</f>
        <v>0.95240071158774597</v>
      </c>
      <c r="AA499" s="19">
        <f>INDEX(Data_Macro!AA:AA,MATCH($G499,Data_Macro!$A:$A,0))</f>
        <v>0.95011647499405505</v>
      </c>
      <c r="AB499" s="19">
        <f>INDEX(Data_Macro!AB:AB,MATCH($G499,Data_Macro!$A:$A,0))</f>
        <v>0.947927358499145</v>
      </c>
      <c r="AC499" s="19">
        <f>INDEX(Data_Macro!AC:AC,MATCH($G499,Data_Macro!$A:$A,0))</f>
        <v>0.94587674776299702</v>
      </c>
      <c r="AD499" s="19">
        <f>INDEX(Data_Macro!AD:AD,MATCH($G499,Data_Macro!$A:$A,0))</f>
        <v>0.94405480582839296</v>
      </c>
      <c r="AE499" s="19">
        <f>INDEX(Data_Macro!AE:AE,MATCH($G499,Data_Macro!$A:$A,0))</f>
        <v>0.94246391225206505</v>
      </c>
    </row>
    <row r="500" spans="2:31" x14ac:dyDescent="0.45">
      <c r="B500" s="14" t="s">
        <v>77</v>
      </c>
      <c r="C500" s="14" t="str">
        <f>$C$464</f>
        <v>cem</v>
      </c>
      <c r="D500" s="15" t="s">
        <v>89</v>
      </c>
      <c r="E500" s="16" t="s">
        <v>87</v>
      </c>
      <c r="F500" s="14" t="s">
        <v>90</v>
      </c>
      <c r="G500" s="17" t="str">
        <f>Settings!$B$3&amp;".mit.shock."&amp;$J$464</f>
        <v>egy.mit.shock.2</v>
      </c>
      <c r="K500" s="19">
        <f>INDEX(Data_Macro!K:K,MATCH($G500,Data_Macro!$A:$A,0))</f>
        <v>0</v>
      </c>
      <c r="L500" s="19">
        <f>INDEX(Data_Macro!L:L,MATCH($G500,Data_Macro!$A:$A,0))</f>
        <v>0</v>
      </c>
      <c r="M500" s="19">
        <f>INDEX(Data_Macro!M:M,MATCH($G500,Data_Macro!$A:$A,0))</f>
        <v>-0.20813308302044201</v>
      </c>
      <c r="N500" s="19">
        <f>INDEX(Data_Macro!N:N,MATCH($G500,Data_Macro!$A:$A,0))</f>
        <v>9.2371428571428604E-2</v>
      </c>
      <c r="O500" s="19">
        <f>INDEX(Data_Macro!O:O,MATCH($G500,Data_Macro!$A:$A,0))</f>
        <v>0</v>
      </c>
      <c r="P500" s="19">
        <f>INDEX(Data_Macro!P:P,MATCH($G500,Data_Macro!$A:$A,0))</f>
        <v>0</v>
      </c>
      <c r="Q500" s="19">
        <f>INDEX(Data_Macro!Q:Q,MATCH($G500,Data_Macro!$A:$A,0))</f>
        <v>0</v>
      </c>
      <c r="R500" s="19">
        <f>INDEX(Data_Macro!R:R,MATCH($G500,Data_Macro!$A:$A,0))</f>
        <v>0</v>
      </c>
      <c r="S500" s="19">
        <f>INDEX(Data_Macro!S:S,MATCH($G500,Data_Macro!$A:$A,0))</f>
        <v>0</v>
      </c>
      <c r="T500" s="19">
        <f>INDEX(Data_Macro!T:T,MATCH($G500,Data_Macro!$A:$A,0))</f>
        <v>0</v>
      </c>
      <c r="U500" s="19">
        <f>INDEX(Data_Macro!U:U,MATCH($G500,Data_Macro!$A:$A,0))</f>
        <v>0</v>
      </c>
      <c r="V500" s="19">
        <f>INDEX(Data_Macro!V:V,MATCH($G500,Data_Macro!$A:$A,0))</f>
        <v>0</v>
      </c>
      <c r="W500" s="19">
        <f>INDEX(Data_Macro!W:W,MATCH($G500,Data_Macro!$A:$A,0))</f>
        <v>0</v>
      </c>
      <c r="X500" s="19">
        <f>INDEX(Data_Macro!X:X,MATCH($G500,Data_Macro!$A:$A,0))</f>
        <v>0</v>
      </c>
      <c r="Y500" s="19">
        <f>INDEX(Data_Macro!Y:Y,MATCH($G500,Data_Macro!$A:$A,0))</f>
        <v>0</v>
      </c>
      <c r="Z500" s="19">
        <f>INDEX(Data_Macro!Z:Z,MATCH($G500,Data_Macro!$A:$A,0))</f>
        <v>0</v>
      </c>
      <c r="AA500" s="19">
        <f>INDEX(Data_Macro!AA:AA,MATCH($G500,Data_Macro!$A:$A,0))</f>
        <v>0</v>
      </c>
      <c r="AB500" s="19">
        <f>INDEX(Data_Macro!AB:AB,MATCH($G500,Data_Macro!$A:$A,0))</f>
        <v>0</v>
      </c>
      <c r="AC500" s="19">
        <f>INDEX(Data_Macro!AC:AC,MATCH($G500,Data_Macro!$A:$A,0))</f>
        <v>0</v>
      </c>
      <c r="AD500" s="19">
        <f>INDEX(Data_Macro!AD:AD,MATCH($G500,Data_Macro!$A:$A,0))</f>
        <v>0</v>
      </c>
      <c r="AE500" s="19">
        <f>INDEX(Data_Macro!AE:AE,MATCH($G500,Data_Macro!$A:$A,0))</f>
        <v>0</v>
      </c>
    </row>
    <row r="501" spans="2:31" x14ac:dyDescent="0.45">
      <c r="B501" s="13" t="s">
        <v>91</v>
      </c>
    </row>
    <row r="502" spans="2:31" x14ac:dyDescent="0.45">
      <c r="B502" s="7" t="s">
        <v>32</v>
      </c>
      <c r="C502" s="7" t="s">
        <v>33</v>
      </c>
      <c r="D502" s="21" t="s">
        <v>34</v>
      </c>
      <c r="E502" s="7" t="s">
        <v>92</v>
      </c>
      <c r="F502" s="7" t="s">
        <v>93</v>
      </c>
      <c r="G502" s="7" t="s">
        <v>94</v>
      </c>
      <c r="H502" s="7" t="s">
        <v>95</v>
      </c>
      <c r="I502" s="7" t="s">
        <v>96</v>
      </c>
      <c r="J502" s="7" t="s">
        <v>97</v>
      </c>
    </row>
    <row r="503" spans="2:31" x14ac:dyDescent="0.45">
      <c r="B503" s="14" t="s">
        <v>49</v>
      </c>
      <c r="C503" s="14" t="str">
        <f t="shared" ref="C503:C511" si="167">$C$464</f>
        <v>cem</v>
      </c>
      <c r="D503" s="22" t="s">
        <v>98</v>
      </c>
      <c r="E503" s="23">
        <f>INDEX(Data_Elast!$D:$G,MATCH("el_inc_"&amp;INDEX(Data_Elast!$J:$J,MATCH($B503,Data_Elast!$I:$I,0)),Data_Elast!$A:$A,0),MATCH(Settings!$B$5,Data_Elast!$D$1:$G$1,0))</f>
        <v>0.5</v>
      </c>
      <c r="F503" s="23">
        <f>INDEX(Data_Elast!$D:$G,MATCH("el_dem_"&amp;INDEX(Data_Elast!$J:$J,MATCH($B503,Data_Elast!$I:$I,0)),Data_Elast!$A:$A,0),MATCH(Settings!$B$5,Data_Elast!$D$1:$G$1,0))</f>
        <v>-0.3</v>
      </c>
      <c r="G503" s="23">
        <f>INDEX(Data_Elast!$D:$G,MATCH("el_eff_"&amp;INDEX(Data_Elast!$J:$J,MATCH($B503,Data_Elast!$I:$I,0)),Data_Elast!$A:$A,0),MATCH(Settings!$B$5,Data_Elast!$D$1:$G$1,0))</f>
        <v>-0.4</v>
      </c>
      <c r="H503" s="23">
        <f>INDEX(Data_Elast!$D:$G,MATCH("eff_imp_"&amp;INDEX(Data_Elast!$K:$K,MATCH($B503,Data_Elast!$I:$I,0)),Data_Elast!$A:$A,0),MATCH(Settings!$B$5,Data_Elast!$D$1:$G$1,0))</f>
        <v>5.0000000000000001E-3</v>
      </c>
      <c r="I503" s="23">
        <f>Settings!$B$7</f>
        <v>0</v>
      </c>
      <c r="J503" s="16" t="str">
        <f>INDEX(Data_Elast!$J:$J,MATCH($B503,Data_Elast!$I:$I,0))</f>
        <v>coa</v>
      </c>
    </row>
    <row r="504" spans="2:31" x14ac:dyDescent="0.45">
      <c r="B504" s="14" t="s">
        <v>53</v>
      </c>
      <c r="C504" s="14" t="str">
        <f t="shared" si="167"/>
        <v>cem</v>
      </c>
      <c r="D504" s="22" t="s">
        <v>99</v>
      </c>
      <c r="E504" s="23">
        <f>INDEX(Data_Elast!$D:$G,MATCH("el_inc_"&amp;INDEX(Data_Elast!$J:$J,MATCH($B504,Data_Elast!$I:$I,0)),Data_Elast!$A:$A,0),MATCH(Settings!$B$5,Data_Elast!$D$1:$G$1,0))</f>
        <v>1</v>
      </c>
      <c r="F504" s="23">
        <f>INDEX(Data_Elast!$D:$G,MATCH("el_dem_"&amp;INDEX(Data_Elast!$J:$J,MATCH($B504,Data_Elast!$I:$I,0)),Data_Elast!$A:$A,0),MATCH(Settings!$B$5,Data_Elast!$D$1:$G$1,0))</f>
        <v>-0.5</v>
      </c>
      <c r="G504" s="23">
        <f>INDEX(Data_Elast!$D:$G,MATCH("el_eff_"&amp;INDEX(Data_Elast!$J:$J,MATCH($B504,Data_Elast!$I:$I,0)),Data_Elast!$A:$A,0),MATCH(Settings!$B$5,Data_Elast!$D$1:$G$1,0))</f>
        <v>-0.5</v>
      </c>
      <c r="H504" s="23">
        <f>INDEX(Data_Elast!$D:$G,MATCH("eff_imp_"&amp;INDEX(Data_Elast!$K:$K,MATCH($B504,Data_Elast!$I:$I,0)),Data_Elast!$A:$A,0),MATCH(Settings!$B$5,Data_Elast!$D$1:$G$1,0))</f>
        <v>0.01</v>
      </c>
      <c r="I504" s="23">
        <f>Settings!$B$7</f>
        <v>0</v>
      </c>
      <c r="J504" s="16" t="str">
        <f>INDEX(Data_Elast!$J:$J,MATCH($B504,Data_Elast!$I:$I,0))</f>
        <v>nga</v>
      </c>
    </row>
    <row r="505" spans="2:31" x14ac:dyDescent="0.45">
      <c r="B505" s="14" t="s">
        <v>55</v>
      </c>
      <c r="C505" s="14" t="str">
        <f t="shared" si="167"/>
        <v>cem</v>
      </c>
      <c r="D505" s="22" t="s">
        <v>100</v>
      </c>
      <c r="E505" s="23">
        <f>INDEX(Data_Elast!$D:$G,MATCH("el_inc_"&amp;INDEX(Data_Elast!$J:$J,MATCH($B505,Data_Elast!$I:$I,0)),Data_Elast!$A:$A,0),MATCH(Settings!$B$5,Data_Elast!$D$1:$G$1,0))</f>
        <v>0.5</v>
      </c>
      <c r="F505" s="23">
        <f>INDEX(Data_Elast!$D:$G,MATCH("el_dem_"&amp;INDEX(Data_Elast!$J:$J,MATCH($B505,Data_Elast!$I:$I,0)),Data_Elast!$A:$A,0),MATCH(Settings!$B$5,Data_Elast!$D$1:$G$1,0))</f>
        <v>-0.4</v>
      </c>
      <c r="G505" s="23">
        <f>INDEX(Data_Elast!$D:$G,MATCH("el_eff_"&amp;INDEX(Data_Elast!$J:$J,MATCH($B505,Data_Elast!$I:$I,0)),Data_Elast!$A:$A,0),MATCH(Settings!$B$5,Data_Elast!$D$1:$G$1,0))</f>
        <v>-0.7</v>
      </c>
      <c r="H505" s="23">
        <f>INDEX(Data_Elast!$D:$G,MATCH("eff_imp_"&amp;INDEX(Data_Elast!$K:$K,MATCH($B505,Data_Elast!$I:$I,0)),Data_Elast!$A:$A,0),MATCH(Settings!$B$5,Data_Elast!$D$1:$G$1,0))</f>
        <v>5.0000000000000001E-3</v>
      </c>
      <c r="I505" s="23">
        <f>Settings!$B$7</f>
        <v>0</v>
      </c>
      <c r="J505" s="16" t="str">
        <f>INDEX(Data_Elast!$J:$J,MATCH($B505,Data_Elast!$I:$I,0))</f>
        <v>gso</v>
      </c>
    </row>
    <row r="506" spans="2:31" x14ac:dyDescent="0.45">
      <c r="B506" s="14" t="s">
        <v>58</v>
      </c>
      <c r="C506" s="14" t="str">
        <f t="shared" si="167"/>
        <v>cem</v>
      </c>
      <c r="D506" s="22" t="s">
        <v>101</v>
      </c>
      <c r="E506" s="23">
        <f>INDEX(Data_Elast!$D:$G,MATCH("el_inc_"&amp;INDEX(Data_Elast!$J:$J,MATCH($B506,Data_Elast!$I:$I,0)),Data_Elast!$A:$A,0),MATCH(Settings!$B$5,Data_Elast!$D$1:$G$1,0))</f>
        <v>0.5</v>
      </c>
      <c r="F506" s="23">
        <f>INDEX(Data_Elast!$D:$G,MATCH("el_dem_"&amp;INDEX(Data_Elast!$J:$J,MATCH($B506,Data_Elast!$I:$I,0)),Data_Elast!$A:$A,0),MATCH(Settings!$B$5,Data_Elast!$D$1:$G$1,0))</f>
        <v>-0.7</v>
      </c>
      <c r="G506" s="23">
        <f>INDEX(Data_Elast!$D:$G,MATCH("el_eff_"&amp;INDEX(Data_Elast!$J:$J,MATCH($B506,Data_Elast!$I:$I,0)),Data_Elast!$A:$A,0),MATCH(Settings!$B$5,Data_Elast!$D$1:$G$1,0))</f>
        <v>-1.2</v>
      </c>
      <c r="H506" s="23">
        <f>INDEX(Data_Elast!$D:$G,MATCH("eff_imp_"&amp;INDEX(Data_Elast!$K:$K,MATCH($B506,Data_Elast!$I:$I,0)),Data_Elast!$A:$A,0),MATCH(Settings!$B$5,Data_Elast!$D$1:$G$1,0))</f>
        <v>5.0000000000000001E-3</v>
      </c>
      <c r="I506" s="23">
        <f>Settings!$B$7</f>
        <v>0</v>
      </c>
      <c r="J506" s="16" t="str">
        <f>INDEX(Data_Elast!$J:$J,MATCH($B506,Data_Elast!$I:$I,0))</f>
        <v>die</v>
      </c>
    </row>
    <row r="507" spans="2:31" x14ac:dyDescent="0.45">
      <c r="B507" s="14" t="s">
        <v>60</v>
      </c>
      <c r="C507" s="14" t="str">
        <f t="shared" si="167"/>
        <v>cem</v>
      </c>
      <c r="D507" s="22" t="s">
        <v>102</v>
      </c>
      <c r="E507" s="23">
        <f>INDEX(Data_Elast!$D:$G,MATCH("el_inc_"&amp;INDEX(Data_Elast!$J:$J,MATCH($B507,Data_Elast!$I:$I,0)),Data_Elast!$A:$A,0),MATCH(Settings!$B$5,Data_Elast!$D$1:$G$1,0))</f>
        <v>0.8</v>
      </c>
      <c r="F507" s="23">
        <f>INDEX(Data_Elast!$D:$G,MATCH("el_dem_"&amp;INDEX(Data_Elast!$J:$J,MATCH($B507,Data_Elast!$I:$I,0)),Data_Elast!$A:$A,0),MATCH(Settings!$B$5,Data_Elast!$D$1:$G$1,0))</f>
        <v>-0.4</v>
      </c>
      <c r="G507" s="23">
        <f>INDEX(Data_Elast!$D:$G,MATCH("el_eff_"&amp;INDEX(Data_Elast!$J:$J,MATCH($B507,Data_Elast!$I:$I,0)),Data_Elast!$A:$A,0),MATCH(Settings!$B$5,Data_Elast!$D$1:$G$1,0))</f>
        <v>-0.4</v>
      </c>
      <c r="H507" s="23">
        <f>INDEX(Data_Elast!$D:$G,MATCH("eff_imp_"&amp;INDEX(Data_Elast!$K:$K,MATCH($B507,Data_Elast!$I:$I,0)),Data_Elast!$A:$A,0),MATCH(Settings!$B$5,Data_Elast!$D$1:$G$1,0))</f>
        <v>5.0000000000000001E-3</v>
      </c>
      <c r="I507" s="23">
        <f>Settings!$B$7</f>
        <v>0</v>
      </c>
      <c r="J507" s="16" t="str">
        <f>INDEX(Data_Elast!$J:$J,MATCH($B507,Data_Elast!$I:$I,0))</f>
        <v>oil</v>
      </c>
    </row>
    <row r="508" spans="2:31" x14ac:dyDescent="0.45">
      <c r="B508" s="14" t="s">
        <v>62</v>
      </c>
      <c r="C508" s="14" t="str">
        <f t="shared" si="167"/>
        <v>cem</v>
      </c>
      <c r="D508" s="22" t="s">
        <v>103</v>
      </c>
      <c r="E508" s="23">
        <f>INDEX(Data_Elast!$D:$G,MATCH("el_inc_"&amp;INDEX(Data_Elast!$J:$J,MATCH($B508,Data_Elast!$I:$I,0)),Data_Elast!$A:$A,0),MATCH(Settings!$B$5,Data_Elast!$D$1:$G$1,0))</f>
        <v>0.8</v>
      </c>
      <c r="F508" s="23">
        <f>INDEX(Data_Elast!$D:$G,MATCH("el_dem_"&amp;INDEX(Data_Elast!$J:$J,MATCH($B508,Data_Elast!$I:$I,0)),Data_Elast!$A:$A,0),MATCH(Settings!$B$5,Data_Elast!$D$1:$G$1,0))</f>
        <v>-0.4</v>
      </c>
      <c r="G508" s="23">
        <f>INDEX(Data_Elast!$D:$G,MATCH("el_eff_"&amp;INDEX(Data_Elast!$J:$J,MATCH($B508,Data_Elast!$I:$I,0)),Data_Elast!$A:$A,0),MATCH(Settings!$B$5,Data_Elast!$D$1:$G$1,0))</f>
        <v>-0.4</v>
      </c>
      <c r="H508" s="23">
        <f>INDEX(Data_Elast!$D:$G,MATCH("eff_imp_"&amp;INDEX(Data_Elast!$K:$K,MATCH($B508,Data_Elast!$I:$I,0)),Data_Elast!$A:$A,0),MATCH(Settings!$B$5,Data_Elast!$D$1:$G$1,0))</f>
        <v>5.0000000000000001E-3</v>
      </c>
      <c r="I508" s="23">
        <f>Settings!$B$7</f>
        <v>0</v>
      </c>
      <c r="J508" s="16" t="str">
        <f>INDEX(Data_Elast!$J:$J,MATCH($B508,Data_Elast!$I:$I,0))</f>
        <v>oil</v>
      </c>
    </row>
    <row r="509" spans="2:31" x14ac:dyDescent="0.45">
      <c r="B509" s="14" t="s">
        <v>64</v>
      </c>
      <c r="C509" s="14" t="str">
        <f t="shared" si="167"/>
        <v>cem</v>
      </c>
      <c r="D509" s="22" t="s">
        <v>104</v>
      </c>
      <c r="E509" s="23">
        <f>INDEX(Data_Elast!$D:$G,MATCH("el_inc_"&amp;INDEX(Data_Elast!$J:$J,MATCH($B509,Data_Elast!$I:$I,0)),Data_Elast!$A:$A,0),MATCH(Settings!$B$5,Data_Elast!$D$1:$G$1,0))</f>
        <v>0.8</v>
      </c>
      <c r="F509" s="23">
        <f>INDEX(Data_Elast!$D:$G,MATCH("el_dem_"&amp;INDEX(Data_Elast!$J:$J,MATCH($B509,Data_Elast!$I:$I,0)),Data_Elast!$A:$A,0),MATCH(Settings!$B$5,Data_Elast!$D$1:$G$1,0))</f>
        <v>-0.4</v>
      </c>
      <c r="G509" s="23">
        <f>INDEX(Data_Elast!$D:$G,MATCH("el_eff_"&amp;INDEX(Data_Elast!$J:$J,MATCH($B509,Data_Elast!$I:$I,0)),Data_Elast!$A:$A,0),MATCH(Settings!$B$5,Data_Elast!$D$1:$G$1,0))</f>
        <v>-0.4</v>
      </c>
      <c r="H509" s="23">
        <f>INDEX(Data_Elast!$D:$G,MATCH("eff_imp_"&amp;INDEX(Data_Elast!$K:$K,MATCH($B509,Data_Elast!$I:$I,0)),Data_Elast!$A:$A,0),MATCH(Settings!$B$5,Data_Elast!$D$1:$G$1,0))</f>
        <v>5.0000000000000001E-3</v>
      </c>
      <c r="I509" s="23">
        <f>Settings!$B$7</f>
        <v>0</v>
      </c>
      <c r="J509" s="16" t="str">
        <f>INDEX(Data_Elast!$J:$J,MATCH($B509,Data_Elast!$I:$I,0))</f>
        <v>oil</v>
      </c>
    </row>
    <row r="510" spans="2:31" x14ac:dyDescent="0.45">
      <c r="B510" s="14" t="s">
        <v>67</v>
      </c>
      <c r="C510" s="14" t="str">
        <f t="shared" si="167"/>
        <v>cem</v>
      </c>
      <c r="D510" s="22" t="s">
        <v>105</v>
      </c>
      <c r="E510" s="23">
        <f>INDEX(Data_Elast!$D:$G,MATCH("el_inc_"&amp;INDEX(Data_Elast!$J:$J,MATCH($B510,Data_Elast!$I:$I,0)),Data_Elast!$A:$A,0),MATCH(Settings!$B$5,Data_Elast!$D$1:$G$1,0))</f>
        <v>0.1</v>
      </c>
      <c r="F510" s="23">
        <f>INDEX(Data_Elast!$D:$G,MATCH("el_dem_"&amp;INDEX(Data_Elast!$J:$J,MATCH($B510,Data_Elast!$I:$I,0)),Data_Elast!$A:$A,0),MATCH(Settings!$B$5,Data_Elast!$D$1:$G$1,0))</f>
        <v>-0.3</v>
      </c>
      <c r="G510" s="23">
        <f>INDEX(Data_Elast!$D:$G,MATCH("el_eff_"&amp;INDEX(Data_Elast!$J:$J,MATCH($B510,Data_Elast!$I:$I,0)),Data_Elast!$A:$A,0),MATCH(Settings!$B$5,Data_Elast!$D$1:$G$1,0))</f>
        <v>-0.2</v>
      </c>
      <c r="H510" s="23">
        <f>INDEX(Data_Elast!$D:$G,MATCH("eff_imp_"&amp;INDEX(Data_Elast!$K:$K,MATCH($B510,Data_Elast!$I:$I,0)),Data_Elast!$A:$A,0),MATCH(Settings!$B$5,Data_Elast!$D$1:$G$1,0))</f>
        <v>5.0000000000000001E-3</v>
      </c>
      <c r="I510" s="23">
        <f>Settings!$B$7</f>
        <v>0</v>
      </c>
      <c r="J510" s="16" t="str">
        <f>INDEX(Data_Elast!$J:$J,MATCH($B510,Data_Elast!$I:$I,0))</f>
        <v>bio</v>
      </c>
    </row>
    <row r="511" spans="2:31" x14ac:dyDescent="0.45">
      <c r="B511" s="14" t="s">
        <v>69</v>
      </c>
      <c r="C511" s="14" t="str">
        <f t="shared" si="167"/>
        <v>cem</v>
      </c>
      <c r="D511" s="22" t="s">
        <v>106</v>
      </c>
      <c r="E511" s="23">
        <f>INDEX(Data_Elast!$D:$G,MATCH("el_inc_"&amp;INDEX(Data_Elast!$J:$J,MATCH($B511,Data_Elast!$I:$I,0)),Data_Elast!$A:$A,0),MATCH(Settings!$B$5,Data_Elast!$D$1:$G$1,0))</f>
        <v>0.8</v>
      </c>
      <c r="F511" s="23">
        <f>INDEX(Data_Elast!$D:$G,MATCH("el_dem_"&amp;INDEX(Data_Elast!$J:$J,MATCH($B511,Data_Elast!$I:$I,0)),Data_Elast!$A:$A,0),MATCH(Settings!$B$5,Data_Elast!$D$1:$G$1,0))</f>
        <v>-0.5</v>
      </c>
      <c r="G511" s="23">
        <f>INDEX(Data_Elast!$D:$G,MATCH("el_eff_"&amp;INDEX(Data_Elast!$J:$J,MATCH($B511,Data_Elast!$I:$I,0)),Data_Elast!$A:$A,0),MATCH(Settings!$B$5,Data_Elast!$D$1:$G$1,0))</f>
        <v>-0.4</v>
      </c>
      <c r="H511" s="23">
        <f>INDEX(Data_Elast!$D:$G,MATCH("eff_imp_"&amp;INDEX(Data_Elast!$K:$K,MATCH($B511,Data_Elast!$I:$I,0)),Data_Elast!$A:$A,0),MATCH(Settings!$B$5,Data_Elast!$D$1:$G$1,0))</f>
        <v>5.0000000000000001E-3</v>
      </c>
      <c r="I511" s="23">
        <f>Settings!$B$7</f>
        <v>0</v>
      </c>
      <c r="J511" s="16" t="str">
        <f>INDEX(Data_Elast!$J:$J,MATCH($B511,Data_Elast!$I:$I,0))</f>
        <v>ren</v>
      </c>
    </row>
    <row r="512" spans="2:31" x14ac:dyDescent="0.45">
      <c r="B512" s="13" t="s">
        <v>107</v>
      </c>
    </row>
    <row r="513" spans="1:35" x14ac:dyDescent="0.45">
      <c r="B513" s="14" t="s">
        <v>49</v>
      </c>
      <c r="C513" s="14" t="str">
        <f t="shared" ref="C513:C522" si="168">$C$464</f>
        <v>cem</v>
      </c>
      <c r="D513" s="15" t="s">
        <v>50</v>
      </c>
      <c r="E513" s="16" t="s">
        <v>108</v>
      </c>
      <c r="F513" s="14" t="s">
        <v>109</v>
      </c>
      <c r="G513" s="17" t="str">
        <f>Settings!$B$3&amp;".mit.enc."&amp;$B513</f>
        <v>egy.mit.enc.coa</v>
      </c>
      <c r="H513" s="45" t="str">
        <f>Settings!$B$3&amp;".mit.ener."&amp;$C$464&amp;"."&amp;$B513&amp;".e."&amp;$J$464</f>
        <v>egy.mit.ener.cem.coa.e.2</v>
      </c>
      <c r="I513" t="s">
        <v>2301</v>
      </c>
      <c r="L513" s="47">
        <f>INDEX(Data_Energy!$D$3:$U$22,MATCH($B513,Data_Energy!$C$3:$C$22,0),MATCH($C513,Data_Energy!$D$2:$U$2,0))</f>
        <v>1463.05522446279</v>
      </c>
      <c r="M513" s="24">
        <f>L513*(1+M$498)^($E503*M$499)*(1+M$500)*IF(Rebate_Industry!L$237&lt;=0,1,Rebate_Industry!M$237/Rebate_Industry!L$237)^$F503*(IF(L486&lt;=0,1,M486/L486)^$G503/(1+$H503+$I503))^(1+$F503)</f>
        <v>1191.3644362517186</v>
      </c>
      <c r="N513" s="24">
        <f>M513*(1+N$498)^($E503*N$499)*(1+N$500)*IF(Rebate_Industry!M$237&lt;=0,1,Rebate_Industry!N$237/Rebate_Industry!M$237)^$F503*(IF(M486&lt;=0,1,N486/M486)^$G503/(1+$H503+$I503))^(1+$F503)</f>
        <v>1369.1779282213379</v>
      </c>
      <c r="O513" s="24">
        <f>N513*(1+O$498)^($E503*O$499)*(1+O$500)*IF(Rebate_Industry!N$237&lt;=0,1,Rebate_Industry!O$237/Rebate_Industry!N$237)^$F503*(IF(N486&lt;=0,1,O486/N486)^$G503/(1+$H503+$I503))^(1+$F503)</f>
        <v>1496.0103450821184</v>
      </c>
      <c r="P513" s="24">
        <f>O513*(1+P$498)^($E503*P$499)*(1+P$500)*IF(Rebate_Industry!O$237&lt;=0,1,Rebate_Industry!P$237/Rebate_Industry!O$237)^$F503*(IF(O486&lt;=0,1,P486/O486)^$G503/(1+$H503+$I503))^(1+$F503)</f>
        <v>1463.0094084242087</v>
      </c>
      <c r="Q513" s="24">
        <f>P513*(1+Q$498)^($E503*Q$499)*(1+Q$500)*IF(Rebate_Industry!P$237&lt;=0,1,Rebate_Industry!Q$237/Rebate_Industry!P$237)^$F503*(IF(P486&lt;=0,1,Q486/P486)^$G503/(1+$H503+$I503))^(1+$F503)</f>
        <v>1374.7723428524598</v>
      </c>
      <c r="R513" s="24">
        <f>Q513*(1+R$498)^($E503*R$499)*(1+R$500)*IF(Rebate_Industry!Q$237&lt;=0,1,Rebate_Industry!R$237/Rebate_Industry!Q$237)^$F503*(IF(Q486&lt;=0,1,R486/Q486)^$G503/(1+$H503+$I503))^(1+$F503)</f>
        <v>1322.3676037201524</v>
      </c>
      <c r="S513" s="24">
        <f>R513*(1+S$498)^($E503*S$499)*(1+S$500)*IF(Rebate_Industry!R$237&lt;=0,1,Rebate_Industry!S$237/Rebate_Industry!R$237)^$F503*(IF(R486&lt;=0,1,S486/R486)^$G503/(1+$H503+$I503))^(1+$F503)</f>
        <v>1277.4771729802817</v>
      </c>
      <c r="T513" s="24">
        <f>S513*(1+T$498)^($E503*T$499)*(1+T$500)*IF(Rebate_Industry!S$237&lt;=0,1,Rebate_Industry!T$237/Rebate_Industry!S$237)^$F503*(IF(S486&lt;=0,1,T486/S486)^$G503/(1+$H503+$I503))^(1+$F503)</f>
        <v>1237.8339324892117</v>
      </c>
      <c r="U513" s="24">
        <f>T513*(1+U$498)^($E503*U$499)*(1+U$500)*IF(Rebate_Industry!T$237&lt;=0,1,Rebate_Industry!U$237/Rebate_Industry!T$237)^$F503*(IF(T486&lt;=0,1,U486/T486)^$G503/(1+$H503+$I503))^(1+$F503)</f>
        <v>1203.5520989403735</v>
      </c>
      <c r="V513" s="24">
        <f>U513*(1+V$498)^($E503*V$499)*(1+V$500)*IF(Rebate_Industry!U$237&lt;=0,1,Rebate_Industry!V$237/Rebate_Industry!U$237)^$F503*(IF(U486&lt;=0,1,V486/U486)^$G503/(1+$H503+$I503))^(1+$F503)</f>
        <v>1171.0227006276741</v>
      </c>
      <c r="W513" s="24">
        <f>V513*(1+W$498)^($E503*W$499)*(1+W$500)*IF(Rebate_Industry!V$237&lt;=0,1,Rebate_Industry!W$237/Rebate_Industry!V$237)^$F503*(IF(V486&lt;=0,1,W486/V486)^$G503/(1+$H503+$I503))^(1+$F503)</f>
        <v>1143.1158396315363</v>
      </c>
      <c r="X513" s="24">
        <f>W513*(1+X$498)^($E503*X$499)*(1+X$500)*IF(Rebate_Industry!W$237&lt;=0,1,Rebate_Industry!X$237/Rebate_Industry!W$237)^$F503*(IF(W486&lt;=0,1,X486/W486)^$G503/(1+$H503+$I503))^(1+$F503)</f>
        <v>1119.1782325411702</v>
      </c>
      <c r="Y513" s="24">
        <f>X513*(1+Y$498)^($E503*Y$499)*(1+Y$500)*IF(Rebate_Industry!X$237&lt;=0,1,Rebate_Industry!Y$237/Rebate_Industry!X$237)^$F503*(IF(X486&lt;=0,1,Y486/X486)^$G503/(1+$H503+$I503))^(1+$F503)</f>
        <v>1098.7587442542565</v>
      </c>
      <c r="Z513" s="24">
        <f>Y513*(1+Z$498)^($E503*Z$499)*(1+Z$500)*IF(Rebate_Industry!Y$237&lt;=0,1,Rebate_Industry!Z$237/Rebate_Industry!Y$237)^$F503*(IF(Y486&lt;=0,1,Z486/Y486)^$G503/(1+$H503+$I503))^(1+$F503)</f>
        <v>1081.6097142698629</v>
      </c>
      <c r="AA513" s="24">
        <f>Z513*(1+AA$498)^($E503*AA$499)*(1+AA$500)*IF(Rebate_Industry!Z$237&lt;=0,1,Rebate_Industry!AA$237/Rebate_Industry!Z$237)^$F503*(IF(Z486&lt;=0,1,AA486/Z486)^$G503/(1+$H503+$I503))^(1+$F503)</f>
        <v>1067.4268939287992</v>
      </c>
      <c r="AB513" s="24">
        <f>AA513*(1+AB$498)^($E503*AB$499)*(1+AB$500)*IF(Rebate_Industry!AA$237&lt;=0,1,Rebate_Industry!AB$237/Rebate_Industry!AA$237)^$F503*(IF(AA486&lt;=0,1,AB486/AA486)^$G503/(1+$H503+$I503))^(1+$F503)</f>
        <v>1055.9237026292408</v>
      </c>
      <c r="AC513" s="24">
        <f>AB513*(1+AC$498)^($E503*AC$499)*(1+AC$500)*IF(Rebate_Industry!AB$237&lt;=0,1,Rebate_Industry!AC$237/Rebate_Industry!AB$237)^$F503*(IF(AB486&lt;=0,1,AC486/AB486)^$G503/(1+$H503+$I503))^(1+$F503)</f>
        <v>1046.7510678916517</v>
      </c>
      <c r="AD513" s="24">
        <f>AC513*(1+AD$498)^($E503*AD$499)*(1+AD$500)*IF(Rebate_Industry!AC$237&lt;=0,1,Rebate_Industry!AD$237/Rebate_Industry!AC$237)^$F503*(IF(AC486&lt;=0,1,AD486/AC486)^$G503/(1+$H503+$I503))^(1+$F503)</f>
        <v>1039.6150871676307</v>
      </c>
      <c r="AE513" s="24">
        <f>AD513*(1+AE$498)^($E503*AE$499)*(1+AE$500)*IF(Rebate_Industry!AD$237&lt;=0,1,Rebate_Industry!AE$237/Rebate_Industry!AD$237)^$F503*(IF(AD486&lt;=0,1,AE486/AD486)^$G503/(1+$H503+$I503))^(1+$F503)</f>
        <v>1034.2820627341093</v>
      </c>
    </row>
    <row r="514" spans="1:35" x14ac:dyDescent="0.45">
      <c r="B514" s="14" t="s">
        <v>53</v>
      </c>
      <c r="C514" s="14" t="str">
        <f t="shared" si="168"/>
        <v>cem</v>
      </c>
      <c r="D514" s="15" t="s">
        <v>54</v>
      </c>
      <c r="E514" s="16" t="s">
        <v>108</v>
      </c>
      <c r="F514" s="14" t="s">
        <v>109</v>
      </c>
      <c r="G514" s="17" t="str">
        <f>Settings!$B$3&amp;".mit.enc."&amp;$B514</f>
        <v>egy.mit.enc.nga</v>
      </c>
      <c r="H514" s="45" t="str">
        <f>Settings!$B$3&amp;".mit.ener."&amp;$C$464&amp;"."&amp;$B514&amp;".e."&amp;$J$464</f>
        <v>egy.mit.ener.cem.nga.e.2</v>
      </c>
      <c r="I514" t="s">
        <v>2302</v>
      </c>
      <c r="L514" s="47">
        <f>INDEX(Data_Energy!$D$3:$U$22,MATCH($B514,Data_Energy!$C$3:$C$22,0),MATCH($C514,Data_Energy!$D$2:$U$2,0))</f>
        <v>1747.39153476208</v>
      </c>
      <c r="M514" s="24">
        <f>L514*(1+M$498)^($E504*M$499)*(1+M$500)*IF(Rebate_Industry!L$238&lt;=0,1,Rebate_Industry!M$238/Rebate_Industry!L$238)^$F504*(IF(L487&lt;=0,1,M487/L487)^$G504/(1+$H504+$I504))^(1+$F504)</f>
        <v>1498.9759731403976</v>
      </c>
      <c r="N514" s="24">
        <f>M514*(1+N$498)^($E504*N$499)*(1+N$500)*IF(Rebate_Industry!M$238&lt;=0,1,Rebate_Industry!N$238/Rebate_Industry!M$238)^$F504*(IF(M487&lt;=0,1,N487/M487)^$G504/(1+$H504+$I504))^(1+$F504)</f>
        <v>1678.358160579395</v>
      </c>
      <c r="O514" s="24">
        <f>N514*(1+O$498)^($E504*O$499)*(1+O$500)*IF(Rebate_Industry!N$238&lt;=0,1,Rebate_Industry!O$238/Rebate_Industry!N$238)^$F504*(IF(N487&lt;=0,1,O487/N487)^$G504/(1+$H504+$I504))^(1+$F504)</f>
        <v>1744.6824773068638</v>
      </c>
      <c r="P514" s="24">
        <f>O514*(1+P$498)^($E504*P$499)*(1+P$500)*IF(Rebate_Industry!O$238&lt;=0,1,Rebate_Industry!P$238/Rebate_Industry!O$238)^$F504*(IF(O487&lt;=0,1,P487/O487)^$G504/(1+$H504+$I504))^(1+$F504)</f>
        <v>1810.2025593297435</v>
      </c>
      <c r="Q514" s="24">
        <f>P514*(1+Q$498)^($E504*Q$499)*(1+Q$500)*IF(Rebate_Industry!P$238&lt;=0,1,Rebate_Industry!Q$238/Rebate_Industry!P$238)^$F504*(IF(P487&lt;=0,1,Q487/P487)^$G504/(1+$H504+$I504))^(1+$F504)</f>
        <v>1714.6535098550225</v>
      </c>
      <c r="R514" s="24">
        <f>Q514*(1+R$498)^($E504*R$499)*(1+R$500)*IF(Rebate_Industry!Q$238&lt;=0,1,Rebate_Industry!R$238/Rebate_Industry!Q$238)^$F504*(IF(Q487&lt;=0,1,R487/Q487)^$G504/(1+$H504+$I504))^(1+$F504)</f>
        <v>1652.7566024408457</v>
      </c>
      <c r="S514" s="24">
        <f>R514*(1+S$498)^($E504*S$499)*(1+S$500)*IF(Rebate_Industry!R$238&lt;=0,1,Rebate_Industry!S$238/Rebate_Industry!R$238)^$F504*(IF(R487&lt;=0,1,S487/R487)^$G504/(1+$H504+$I504))^(1+$F504)</f>
        <v>1600.9566278844272</v>
      </c>
      <c r="T514" s="24">
        <f>S514*(1+T$498)^($E504*T$499)*(1+T$500)*IF(Rebate_Industry!S$238&lt;=0,1,Rebate_Industry!T$238/Rebate_Industry!S$238)^$F504*(IF(S487&lt;=0,1,T487/S487)^$G504/(1+$H504+$I504))^(1+$F504)</f>
        <v>1555.2682553771401</v>
      </c>
      <c r="U514" s="24">
        <f>T514*(1+U$498)^($E504*U$499)*(1+U$500)*IF(Rebate_Industry!T$238&lt;=0,1,Rebate_Industry!U$238/Rebate_Industry!T$238)^$F504*(IF(T487&lt;=0,1,U487/T487)^$G504/(1+$H504+$I504))^(1+$F504)</f>
        <v>1518.134680287737</v>
      </c>
      <c r="V514" s="24">
        <f>U514*(1+V$498)^($E504*V$499)*(1+V$500)*IF(Rebate_Industry!U$238&lt;=0,1,Rebate_Industry!V$238/Rebate_Industry!U$238)^$F504*(IF(U487&lt;=0,1,V487/U487)^$G504/(1+$H504+$I504))^(1+$F504)</f>
        <v>1488.4138650625532</v>
      </c>
      <c r="W514" s="24">
        <f>V514*(1+W$498)^($E504*W$499)*(1+W$500)*IF(Rebate_Industry!V$238&lt;=0,1,Rebate_Industry!W$238/Rebate_Industry!V$238)^$F504*(IF(V487&lt;=0,1,W487/V487)^$G504/(1+$H504+$I504))^(1+$F504)</f>
        <v>1465.2685194100193</v>
      </c>
      <c r="X514" s="24">
        <f>W514*(1+X$498)^($E504*X$499)*(1+X$500)*IF(Rebate_Industry!W$238&lt;=0,1,Rebate_Industry!X$238/Rebate_Industry!W$238)^$F504*(IF(W487&lt;=0,1,X487/W487)^$G504/(1+$H504+$I504))^(1+$F504)</f>
        <v>1447.9657306697538</v>
      </c>
      <c r="Y514" s="24">
        <f>X514*(1+Y$498)^($E504*Y$499)*(1+Y$500)*IF(Rebate_Industry!X$238&lt;=0,1,Rebate_Industry!Y$238/Rebate_Industry!X$238)^$F504*(IF(X487&lt;=0,1,Y487/X487)^$G504/(1+$H504+$I504))^(1+$F504)</f>
        <v>1436.1054289752974</v>
      </c>
      <c r="Z514" s="24">
        <f>Y514*(1+Z$498)^($E504*Z$499)*(1+Z$500)*IF(Rebate_Industry!Y$238&lt;=0,1,Rebate_Industry!Z$238/Rebate_Industry!Y$238)^$F504*(IF(Y487&lt;=0,1,Z487/Y487)^$G504/(1+$H504+$I504))^(1+$F504)</f>
        <v>1429.6873853271168</v>
      </c>
      <c r="AA514" s="24">
        <f>Z514*(1+AA$498)^($E504*AA$499)*(1+AA$500)*IF(Rebate_Industry!Z$238&lt;=0,1,Rebate_Industry!AA$238/Rebate_Industry!Z$238)^$F504*(IF(Z487&lt;=0,1,AA487/Z487)^$G504/(1+$H504+$I504))^(1+$F504)</f>
        <v>1428.4719778022093</v>
      </c>
      <c r="AB514" s="24">
        <f>AA514*(1+AB$498)^($E504*AB$499)*(1+AB$500)*IF(Rebate_Industry!AA$238&lt;=0,1,Rebate_Industry!AB$238/Rebate_Industry!AA$238)^$F504*(IF(AA487&lt;=0,1,AB487/AA487)^$G504/(1+$H504+$I504))^(1+$F504)</f>
        <v>1432.1908567362859</v>
      </c>
      <c r="AC514" s="24">
        <f>AB514*(1+AC$498)^($E504*AC$499)*(1+AC$500)*IF(Rebate_Industry!AB$238&lt;=0,1,Rebate_Industry!AC$238/Rebate_Industry!AB$238)^$F504*(IF(AB487&lt;=0,1,AC487/AB487)^$G504/(1+$H504+$I504))^(1+$F504)</f>
        <v>1440.340132629459</v>
      </c>
      <c r="AD514" s="24">
        <f>AC514*(1+AD$498)^($E504*AD$499)*(1+AD$500)*IF(Rebate_Industry!AC$238&lt;=0,1,Rebate_Industry!AD$238/Rebate_Industry!AC$238)^$F504*(IF(AC487&lt;=0,1,AD487/AC487)^$G504/(1+$H504+$I504))^(1+$F504)</f>
        <v>1452.5016104532156</v>
      </c>
      <c r="AE514" s="24">
        <f>AD514*(1+AE$498)^($E504*AE$499)*(1+AE$500)*IF(Rebate_Industry!AD$238&lt;=0,1,Rebate_Industry!AE$238/Rebate_Industry!AD$238)^$F504*(IF(AD487&lt;=0,1,AE487/AD487)^$G504/(1+$H504+$I504))^(1+$F504)</f>
        <v>1468.3698881922217</v>
      </c>
    </row>
    <row r="515" spans="1:35" x14ac:dyDescent="0.45">
      <c r="B515" s="14" t="s">
        <v>55</v>
      </c>
      <c r="C515" s="14" t="str">
        <f t="shared" si="168"/>
        <v>cem</v>
      </c>
      <c r="D515" s="15" t="s">
        <v>56</v>
      </c>
      <c r="E515" s="16" t="s">
        <v>108</v>
      </c>
      <c r="F515" s="14" t="s">
        <v>109</v>
      </c>
      <c r="G515" s="17" t="str">
        <f>Settings!$B$3&amp;".mit.enc."&amp;$B515</f>
        <v>egy.mit.enc.gso</v>
      </c>
      <c r="H515" s="45" t="str">
        <f>Settings!$B$3&amp;".mit.ener."&amp;$C$464&amp;"."&amp;$B515&amp;".e."&amp;$J$464</f>
        <v>egy.mit.ener.cem.gso.e.2</v>
      </c>
      <c r="I515" t="s">
        <v>2303</v>
      </c>
      <c r="L515" s="47">
        <f>INDEX(Data_Energy!$D$3:$U$22,MATCH($B515,Data_Energy!$C$3:$C$22,0),MATCH($C515,Data_Energy!$D$2:$U$2,0))</f>
        <v>0</v>
      </c>
      <c r="M515" s="24">
        <f>L515*(1+M$498)^($E505*M$499)*(1+M$500)*IF(Rebate_Industry!L$239&lt;=0,1,Rebate_Industry!M$239/Rebate_Industry!L$239)^$F505*(IF(L488&lt;=0,1,M488/L488)^$G505/(1+$H505+$I505))^(1+$F505)</f>
        <v>0</v>
      </c>
      <c r="N515" s="24">
        <f>M515*(1+N$498)^($E505*N$499)*(1+N$500)*IF(Rebate_Industry!M$239&lt;=0,1,Rebate_Industry!N$239/Rebate_Industry!M$239)^$F505*(IF(M488&lt;=0,1,N488/M488)^$G505/(1+$H505+$I505))^(1+$F505)</f>
        <v>0</v>
      </c>
      <c r="O515" s="24">
        <f>N515*(1+O$498)^($E505*O$499)*(1+O$500)*IF(Rebate_Industry!N$239&lt;=0,1,Rebate_Industry!O$239/Rebate_Industry!N$239)^$F505*(IF(N488&lt;=0,1,O488/N488)^$G505/(1+$H505+$I505))^(1+$F505)</f>
        <v>0</v>
      </c>
      <c r="P515" s="24">
        <f>O515*(1+P$498)^($E505*P$499)*(1+P$500)*IF(Rebate_Industry!O$239&lt;=0,1,Rebate_Industry!P$239/Rebate_Industry!O$239)^$F505*(IF(O488&lt;=0,1,P488/O488)^$G505/(1+$H505+$I505))^(1+$F505)</f>
        <v>0</v>
      </c>
      <c r="Q515" s="24">
        <f>P515*(1+Q$498)^($E505*Q$499)*(1+Q$500)*IF(Rebate_Industry!P$239&lt;=0,1,Rebate_Industry!Q$239/Rebate_Industry!P$239)^$F505*(IF(P488&lt;=0,1,Q488/P488)^$G505/(1+$H505+$I505))^(1+$F505)</f>
        <v>0</v>
      </c>
      <c r="R515" s="24">
        <f>Q515*(1+R$498)^($E505*R$499)*(1+R$500)*IF(Rebate_Industry!Q$239&lt;=0,1,Rebate_Industry!R$239/Rebate_Industry!Q$239)^$F505*(IF(Q488&lt;=0,1,R488/Q488)^$G505/(1+$H505+$I505))^(1+$F505)</f>
        <v>0</v>
      </c>
      <c r="S515" s="24">
        <f>R515*(1+S$498)^($E505*S$499)*(1+S$500)*IF(Rebate_Industry!R$239&lt;=0,1,Rebate_Industry!S$239/Rebate_Industry!R$239)^$F505*(IF(R488&lt;=0,1,S488/R488)^$G505/(1+$H505+$I505))^(1+$F505)</f>
        <v>0</v>
      </c>
      <c r="T515" s="24">
        <f>S515*(1+T$498)^($E505*T$499)*(1+T$500)*IF(Rebate_Industry!S$239&lt;=0,1,Rebate_Industry!T$239/Rebate_Industry!S$239)^$F505*(IF(S488&lt;=0,1,T488/S488)^$G505/(1+$H505+$I505))^(1+$F505)</f>
        <v>0</v>
      </c>
      <c r="U515" s="24">
        <f>T515*(1+U$498)^($E505*U$499)*(1+U$500)*IF(Rebate_Industry!T$239&lt;=0,1,Rebate_Industry!U$239/Rebate_Industry!T$239)^$F505*(IF(T488&lt;=0,1,U488/T488)^$G505/(1+$H505+$I505))^(1+$F505)</f>
        <v>0</v>
      </c>
      <c r="V515" s="24">
        <f>U515*(1+V$498)^($E505*V$499)*(1+V$500)*IF(Rebate_Industry!U$239&lt;=0,1,Rebate_Industry!V$239/Rebate_Industry!U$239)^$F505*(IF(U488&lt;=0,1,V488/U488)^$G505/(1+$H505+$I505))^(1+$F505)</f>
        <v>0</v>
      </c>
      <c r="W515" s="24">
        <f>V515*(1+W$498)^($E505*W$499)*(1+W$500)*IF(Rebate_Industry!V$239&lt;=0,1,Rebate_Industry!W$239/Rebate_Industry!V$239)^$F505*(IF(V488&lt;=0,1,W488/V488)^$G505/(1+$H505+$I505))^(1+$F505)</f>
        <v>0</v>
      </c>
      <c r="X515" s="24">
        <f>W515*(1+X$498)^($E505*X$499)*(1+X$500)*IF(Rebate_Industry!W$239&lt;=0,1,Rebate_Industry!X$239/Rebate_Industry!W$239)^$F505*(IF(W488&lt;=0,1,X488/W488)^$G505/(1+$H505+$I505))^(1+$F505)</f>
        <v>0</v>
      </c>
      <c r="Y515" s="24">
        <f>X515*(1+Y$498)^($E505*Y$499)*(1+Y$500)*IF(Rebate_Industry!X$239&lt;=0,1,Rebate_Industry!Y$239/Rebate_Industry!X$239)^$F505*(IF(X488&lt;=0,1,Y488/X488)^$G505/(1+$H505+$I505))^(1+$F505)</f>
        <v>0</v>
      </c>
      <c r="Z515" s="24">
        <f>Y515*(1+Z$498)^($E505*Z$499)*(1+Z$500)*IF(Rebate_Industry!Y$239&lt;=0,1,Rebate_Industry!Z$239/Rebate_Industry!Y$239)^$F505*(IF(Y488&lt;=0,1,Z488/Y488)^$G505/(1+$H505+$I505))^(1+$F505)</f>
        <v>0</v>
      </c>
      <c r="AA515" s="24">
        <f>Z515*(1+AA$498)^($E505*AA$499)*(1+AA$500)*IF(Rebate_Industry!Z$239&lt;=0,1,Rebate_Industry!AA$239/Rebate_Industry!Z$239)^$F505*(IF(Z488&lt;=0,1,AA488/Z488)^$G505/(1+$H505+$I505))^(1+$F505)</f>
        <v>0</v>
      </c>
      <c r="AB515" s="24">
        <f>AA515*(1+AB$498)^($E505*AB$499)*(1+AB$500)*IF(Rebate_Industry!AA$239&lt;=0,1,Rebate_Industry!AB$239/Rebate_Industry!AA$239)^$F505*(IF(AA488&lt;=0,1,AB488/AA488)^$G505/(1+$H505+$I505))^(1+$F505)</f>
        <v>0</v>
      </c>
      <c r="AC515" s="24">
        <f>AB515*(1+AC$498)^($E505*AC$499)*(1+AC$500)*IF(Rebate_Industry!AB$239&lt;=0,1,Rebate_Industry!AC$239/Rebate_Industry!AB$239)^$F505*(IF(AB488&lt;=0,1,AC488/AB488)^$G505/(1+$H505+$I505))^(1+$F505)</f>
        <v>0</v>
      </c>
      <c r="AD515" s="24">
        <f>AC515*(1+AD$498)^($E505*AD$499)*(1+AD$500)*IF(Rebate_Industry!AC$239&lt;=0,1,Rebate_Industry!AD$239/Rebate_Industry!AC$239)^$F505*(IF(AC488&lt;=0,1,AD488/AC488)^$G505/(1+$H505+$I505))^(1+$F505)</f>
        <v>0</v>
      </c>
      <c r="AE515" s="24">
        <f>AD515*(1+AE$498)^($E505*AE$499)*(1+AE$500)*IF(Rebate_Industry!AD$239&lt;=0,1,Rebate_Industry!AE$239/Rebate_Industry!AD$239)^$F505*(IF(AD488&lt;=0,1,AE488/AD488)^$G505/(1+$H505+$I505))^(1+$F505)</f>
        <v>0</v>
      </c>
    </row>
    <row r="516" spans="1:35" x14ac:dyDescent="0.45">
      <c r="B516" s="14" t="s">
        <v>58</v>
      </c>
      <c r="C516" s="14" t="str">
        <f t="shared" si="168"/>
        <v>cem</v>
      </c>
      <c r="D516" s="15" t="s">
        <v>59</v>
      </c>
      <c r="E516" s="16" t="s">
        <v>108</v>
      </c>
      <c r="F516" s="14" t="s">
        <v>109</v>
      </c>
      <c r="G516" s="17" t="str">
        <f>Settings!$B$3&amp;".mit.enc."&amp;$B516</f>
        <v>egy.mit.enc.die</v>
      </c>
      <c r="H516" s="45" t="str">
        <f>Settings!$B$3&amp;".mit.ener."&amp;$C$464&amp;"."&amp;$B516&amp;".e."&amp;$J$464</f>
        <v>egy.mit.ener.cem.die.e.2</v>
      </c>
      <c r="I516" t="s">
        <v>2304</v>
      </c>
      <c r="L516" s="47">
        <f>INDEX(Data_Energy!$D$3:$U$22,MATCH($B516,Data_Energy!$C$3:$C$22,0),MATCH($C516,Data_Energy!$D$2:$U$2,0))</f>
        <v>0</v>
      </c>
      <c r="M516" s="24">
        <f>L516*(1+M$498)^($E506*M$499)*(1+M$500)*IF(Rebate_Industry!L$240&lt;=0,1,Rebate_Industry!M$240/Rebate_Industry!L$240)^$F506*(IF(L489&lt;=0,1,M489/L489)^$G506/(1+$H506+$I506))^(1+$F506)</f>
        <v>0</v>
      </c>
      <c r="N516" s="24">
        <f>M516*(1+N$498)^($E506*N$499)*(1+N$500)*IF(Rebate_Industry!M$240&lt;=0,1,Rebate_Industry!N$240/Rebate_Industry!M$240)^$F506*(IF(M489&lt;=0,1,N489/M489)^$G506/(1+$H506+$I506))^(1+$F506)</f>
        <v>0</v>
      </c>
      <c r="O516" s="24">
        <f>N516*(1+O$498)^($E506*O$499)*(1+O$500)*IF(Rebate_Industry!N$240&lt;=0,1,Rebate_Industry!O$240/Rebate_Industry!N$240)^$F506*(IF(N489&lt;=0,1,O489/N489)^$G506/(1+$H506+$I506))^(1+$F506)</f>
        <v>0</v>
      </c>
      <c r="P516" s="24">
        <f>O516*(1+P$498)^($E506*P$499)*(1+P$500)*IF(Rebate_Industry!O$240&lt;=0,1,Rebate_Industry!P$240/Rebate_Industry!O$240)^$F506*(IF(O489&lt;=0,1,P489/O489)^$G506/(1+$H506+$I506))^(1+$F506)</f>
        <v>0</v>
      </c>
      <c r="Q516" s="24">
        <f>P516*(1+Q$498)^($E506*Q$499)*(1+Q$500)*IF(Rebate_Industry!P$240&lt;=0,1,Rebate_Industry!Q$240/Rebate_Industry!P$240)^$F506*(IF(P489&lt;=0,1,Q489/P489)^$G506/(1+$H506+$I506))^(1+$F506)</f>
        <v>0</v>
      </c>
      <c r="R516" s="24">
        <f>Q516*(1+R$498)^($E506*R$499)*(1+R$500)*IF(Rebate_Industry!Q$240&lt;=0,1,Rebate_Industry!R$240/Rebate_Industry!Q$240)^$F506*(IF(Q489&lt;=0,1,R489/Q489)^$G506/(1+$H506+$I506))^(1+$F506)</f>
        <v>0</v>
      </c>
      <c r="S516" s="24">
        <f>R516*(1+S$498)^($E506*S$499)*(1+S$500)*IF(Rebate_Industry!R$240&lt;=0,1,Rebate_Industry!S$240/Rebate_Industry!R$240)^$F506*(IF(R489&lt;=0,1,S489/R489)^$G506/(1+$H506+$I506))^(1+$F506)</f>
        <v>0</v>
      </c>
      <c r="T516" s="24">
        <f>S516*(1+T$498)^($E506*T$499)*(1+T$500)*IF(Rebate_Industry!S$240&lt;=0,1,Rebate_Industry!T$240/Rebate_Industry!S$240)^$F506*(IF(S489&lt;=0,1,T489/S489)^$G506/(1+$H506+$I506))^(1+$F506)</f>
        <v>0</v>
      </c>
      <c r="U516" s="24">
        <f>T516*(1+U$498)^($E506*U$499)*(1+U$500)*IF(Rebate_Industry!T$240&lt;=0,1,Rebate_Industry!U$240/Rebate_Industry!T$240)^$F506*(IF(T489&lt;=0,1,U489/T489)^$G506/(1+$H506+$I506))^(1+$F506)</f>
        <v>0</v>
      </c>
      <c r="V516" s="24">
        <f>U516*(1+V$498)^($E506*V$499)*(1+V$500)*IF(Rebate_Industry!U$240&lt;=0,1,Rebate_Industry!V$240/Rebate_Industry!U$240)^$F506*(IF(U489&lt;=0,1,V489/U489)^$G506/(1+$H506+$I506))^(1+$F506)</f>
        <v>0</v>
      </c>
      <c r="W516" s="24">
        <f>V516*(1+W$498)^($E506*W$499)*(1+W$500)*IF(Rebate_Industry!V$240&lt;=0,1,Rebate_Industry!W$240/Rebate_Industry!V$240)^$F506*(IF(V489&lt;=0,1,W489/V489)^$G506/(1+$H506+$I506))^(1+$F506)</f>
        <v>0</v>
      </c>
      <c r="X516" s="24">
        <f>W516*(1+X$498)^($E506*X$499)*(1+X$500)*IF(Rebate_Industry!W$240&lt;=0,1,Rebate_Industry!X$240/Rebate_Industry!W$240)^$F506*(IF(W489&lt;=0,1,X489/W489)^$G506/(1+$H506+$I506))^(1+$F506)</f>
        <v>0</v>
      </c>
      <c r="Y516" s="24">
        <f>X516*(1+Y$498)^($E506*Y$499)*(1+Y$500)*IF(Rebate_Industry!X$240&lt;=0,1,Rebate_Industry!Y$240/Rebate_Industry!X$240)^$F506*(IF(X489&lt;=0,1,Y489/X489)^$G506/(1+$H506+$I506))^(1+$F506)</f>
        <v>0</v>
      </c>
      <c r="Z516" s="24">
        <f>Y516*(1+Z$498)^($E506*Z$499)*(1+Z$500)*IF(Rebate_Industry!Y$240&lt;=0,1,Rebate_Industry!Z$240/Rebate_Industry!Y$240)^$F506*(IF(Y489&lt;=0,1,Z489/Y489)^$G506/(1+$H506+$I506))^(1+$F506)</f>
        <v>0</v>
      </c>
      <c r="AA516" s="24">
        <f>Z516*(1+AA$498)^($E506*AA$499)*(1+AA$500)*IF(Rebate_Industry!Z$240&lt;=0,1,Rebate_Industry!AA$240/Rebate_Industry!Z$240)^$F506*(IF(Z489&lt;=0,1,AA489/Z489)^$G506/(1+$H506+$I506))^(1+$F506)</f>
        <v>0</v>
      </c>
      <c r="AB516" s="24">
        <f>AA516*(1+AB$498)^($E506*AB$499)*(1+AB$500)*IF(Rebate_Industry!AA$240&lt;=0,1,Rebate_Industry!AB$240/Rebate_Industry!AA$240)^$F506*(IF(AA489&lt;=0,1,AB489/AA489)^$G506/(1+$H506+$I506))^(1+$F506)</f>
        <v>0</v>
      </c>
      <c r="AC516" s="24">
        <f>AB516*(1+AC$498)^($E506*AC$499)*(1+AC$500)*IF(Rebate_Industry!AB$240&lt;=0,1,Rebate_Industry!AC$240/Rebate_Industry!AB$240)^$F506*(IF(AB489&lt;=0,1,AC489/AB489)^$G506/(1+$H506+$I506))^(1+$F506)</f>
        <v>0</v>
      </c>
      <c r="AD516" s="24">
        <f>AC516*(1+AD$498)^($E506*AD$499)*(1+AD$500)*IF(Rebate_Industry!AC$240&lt;=0,1,Rebate_Industry!AD$240/Rebate_Industry!AC$240)^$F506*(IF(AC489&lt;=0,1,AD489/AC489)^$G506/(1+$H506+$I506))^(1+$F506)</f>
        <v>0</v>
      </c>
      <c r="AE516" s="24">
        <f>AD516*(1+AE$498)^($E506*AE$499)*(1+AE$500)*IF(Rebate_Industry!AD$240&lt;=0,1,Rebate_Industry!AE$240/Rebate_Industry!AD$240)^$F506*(IF(AD489&lt;=0,1,AE489/AD489)^$G506/(1+$H506+$I506))^(1+$F506)</f>
        <v>0</v>
      </c>
    </row>
    <row r="517" spans="1:35" x14ac:dyDescent="0.45">
      <c r="B517" s="14" t="s">
        <v>60</v>
      </c>
      <c r="C517" s="14" t="str">
        <f t="shared" si="168"/>
        <v>cem</v>
      </c>
      <c r="D517" s="15" t="s">
        <v>61</v>
      </c>
      <c r="E517" s="16" t="s">
        <v>108</v>
      </c>
      <c r="F517" s="14" t="s">
        <v>109</v>
      </c>
      <c r="G517" s="17" t="str">
        <f>Settings!$B$3&amp;".mit.enc."&amp;$B517</f>
        <v>egy.mit.enc.lpg</v>
      </c>
      <c r="H517" s="45" t="str">
        <f>Settings!$B$3&amp;".mit.ener."&amp;$C$464&amp;"."&amp;$B517&amp;".e."&amp;$J$464</f>
        <v>egy.mit.ener.cem.lpg.e.2</v>
      </c>
      <c r="I517" t="s">
        <v>2305</v>
      </c>
      <c r="L517" s="47">
        <f>INDEX(Data_Energy!$D$3:$U$22,MATCH($B517,Data_Energy!$C$3:$C$22,0),MATCH($C517,Data_Energy!$D$2:$U$2,0))</f>
        <v>0</v>
      </c>
      <c r="M517" s="24">
        <f>L517*(1+M$498)^($E507*M$499)*(1+M$500)*IF(Rebate_Industry!L$241&lt;=0,1,Rebate_Industry!M$241/Rebate_Industry!L$241)^$F507*(IF(L490&lt;=0,1,M490/L490)^$G507/(1+$H507+$I507))^(1+$F507)</f>
        <v>0</v>
      </c>
      <c r="N517" s="24">
        <f>M517*(1+N$498)^($E507*N$499)*(1+N$500)*IF(Rebate_Industry!M$241&lt;=0,1,Rebate_Industry!N$241/Rebate_Industry!M$241)^$F507*(IF(M490&lt;=0,1,N490/M490)^$G507/(1+$H507+$I507))^(1+$F507)</f>
        <v>0</v>
      </c>
      <c r="O517" s="24">
        <f>N517*(1+O$498)^($E507*O$499)*(1+O$500)*IF(Rebate_Industry!N$241&lt;=0,1,Rebate_Industry!O$241/Rebate_Industry!N$241)^$F507*(IF(N490&lt;=0,1,O490/N490)^$G507/(1+$H507+$I507))^(1+$F507)</f>
        <v>0</v>
      </c>
      <c r="P517" s="24">
        <f>O517*(1+P$498)^($E507*P$499)*(1+P$500)*IF(Rebate_Industry!O$241&lt;=0,1,Rebate_Industry!P$241/Rebate_Industry!O$241)^$F507*(IF(O490&lt;=0,1,P490/O490)^$G507/(1+$H507+$I507))^(1+$F507)</f>
        <v>0</v>
      </c>
      <c r="Q517" s="24">
        <f>P517*(1+Q$498)^($E507*Q$499)*(1+Q$500)*IF(Rebate_Industry!P$241&lt;=0,1,Rebate_Industry!Q$241/Rebate_Industry!P$241)^$F507*(IF(P490&lt;=0,1,Q490/P490)^$G507/(1+$H507+$I507))^(1+$F507)</f>
        <v>0</v>
      </c>
      <c r="R517" s="24">
        <f>Q517*(1+R$498)^($E507*R$499)*(1+R$500)*IF(Rebate_Industry!Q$241&lt;=0,1,Rebate_Industry!R$241/Rebate_Industry!Q$241)^$F507*(IF(Q490&lt;=0,1,R490/Q490)^$G507/(1+$H507+$I507))^(1+$F507)</f>
        <v>0</v>
      </c>
      <c r="S517" s="24">
        <f>R517*(1+S$498)^($E507*S$499)*(1+S$500)*IF(Rebate_Industry!R$241&lt;=0,1,Rebate_Industry!S$241/Rebate_Industry!R$241)^$F507*(IF(R490&lt;=0,1,S490/R490)^$G507/(1+$H507+$I507))^(1+$F507)</f>
        <v>0</v>
      </c>
      <c r="T517" s="24">
        <f>S517*(1+T$498)^($E507*T$499)*(1+T$500)*IF(Rebate_Industry!S$241&lt;=0,1,Rebate_Industry!T$241/Rebate_Industry!S$241)^$F507*(IF(S490&lt;=0,1,T490/S490)^$G507/(1+$H507+$I507))^(1+$F507)</f>
        <v>0</v>
      </c>
      <c r="U517" s="24">
        <f>T517*(1+U$498)^($E507*U$499)*(1+U$500)*IF(Rebate_Industry!T$241&lt;=0,1,Rebate_Industry!U$241/Rebate_Industry!T$241)^$F507*(IF(T490&lt;=0,1,U490/T490)^$G507/(1+$H507+$I507))^(1+$F507)</f>
        <v>0</v>
      </c>
      <c r="V517" s="24">
        <f>U517*(1+V$498)^($E507*V$499)*(1+V$500)*IF(Rebate_Industry!U$241&lt;=0,1,Rebate_Industry!V$241/Rebate_Industry!U$241)^$F507*(IF(U490&lt;=0,1,V490/U490)^$G507/(1+$H507+$I507))^(1+$F507)</f>
        <v>0</v>
      </c>
      <c r="W517" s="24">
        <f>V517*(1+W$498)^($E507*W$499)*(1+W$500)*IF(Rebate_Industry!V$241&lt;=0,1,Rebate_Industry!W$241/Rebate_Industry!V$241)^$F507*(IF(V490&lt;=0,1,W490/V490)^$G507/(1+$H507+$I507))^(1+$F507)</f>
        <v>0</v>
      </c>
      <c r="X517" s="24">
        <f>W517*(1+X$498)^($E507*X$499)*(1+X$500)*IF(Rebate_Industry!W$241&lt;=0,1,Rebate_Industry!X$241/Rebate_Industry!W$241)^$F507*(IF(W490&lt;=0,1,X490/W490)^$G507/(1+$H507+$I507))^(1+$F507)</f>
        <v>0</v>
      </c>
      <c r="Y517" s="24">
        <f>X517*(1+Y$498)^($E507*Y$499)*(1+Y$500)*IF(Rebate_Industry!X$241&lt;=0,1,Rebate_Industry!Y$241/Rebate_Industry!X$241)^$F507*(IF(X490&lt;=0,1,Y490/X490)^$G507/(1+$H507+$I507))^(1+$F507)</f>
        <v>0</v>
      </c>
      <c r="Z517" s="24">
        <f>Y517*(1+Z$498)^($E507*Z$499)*(1+Z$500)*IF(Rebate_Industry!Y$241&lt;=0,1,Rebate_Industry!Z$241/Rebate_Industry!Y$241)^$F507*(IF(Y490&lt;=0,1,Z490/Y490)^$G507/(1+$H507+$I507))^(1+$F507)</f>
        <v>0</v>
      </c>
      <c r="AA517" s="24">
        <f>Z517*(1+AA$498)^($E507*AA$499)*(1+AA$500)*IF(Rebate_Industry!Z$241&lt;=0,1,Rebate_Industry!AA$241/Rebate_Industry!Z$241)^$F507*(IF(Z490&lt;=0,1,AA490/Z490)^$G507/(1+$H507+$I507))^(1+$F507)</f>
        <v>0</v>
      </c>
      <c r="AB517" s="24">
        <f>AA517*(1+AB$498)^($E507*AB$499)*(1+AB$500)*IF(Rebate_Industry!AA$241&lt;=0,1,Rebate_Industry!AB$241/Rebate_Industry!AA$241)^$F507*(IF(AA490&lt;=0,1,AB490/AA490)^$G507/(1+$H507+$I507))^(1+$F507)</f>
        <v>0</v>
      </c>
      <c r="AC517" s="24">
        <f>AB517*(1+AC$498)^($E507*AC$499)*(1+AC$500)*IF(Rebate_Industry!AB$241&lt;=0,1,Rebate_Industry!AC$241/Rebate_Industry!AB$241)^$F507*(IF(AB490&lt;=0,1,AC490/AB490)^$G507/(1+$H507+$I507))^(1+$F507)</f>
        <v>0</v>
      </c>
      <c r="AD517" s="24">
        <f>AC517*(1+AD$498)^($E507*AD$499)*(1+AD$500)*IF(Rebate_Industry!AC$241&lt;=0,1,Rebate_Industry!AD$241/Rebate_Industry!AC$241)^$F507*(IF(AC490&lt;=0,1,AD490/AC490)^$G507/(1+$H507+$I507))^(1+$F507)</f>
        <v>0</v>
      </c>
      <c r="AE517" s="24">
        <f>AD517*(1+AE$498)^($E507*AE$499)*(1+AE$500)*IF(Rebate_Industry!AD$241&lt;=0,1,Rebate_Industry!AE$241/Rebate_Industry!AD$241)^$F507*(IF(AD490&lt;=0,1,AE490/AD490)^$G507/(1+$H507+$I507))^(1+$F507)</f>
        <v>0</v>
      </c>
    </row>
    <row r="518" spans="1:35" x14ac:dyDescent="0.45">
      <c r="B518" s="14" t="s">
        <v>62</v>
      </c>
      <c r="C518" s="14" t="str">
        <f t="shared" si="168"/>
        <v>cem</v>
      </c>
      <c r="D518" s="15" t="s">
        <v>63</v>
      </c>
      <c r="E518" s="16" t="s">
        <v>108</v>
      </c>
      <c r="F518" s="14" t="s">
        <v>109</v>
      </c>
      <c r="G518" s="17" t="str">
        <f>Settings!$B$3&amp;".mit.enc."&amp;$B518</f>
        <v>egy.mit.enc.ker</v>
      </c>
      <c r="H518" s="45" t="str">
        <f>Settings!$B$3&amp;".mit.ener."&amp;$C$464&amp;"."&amp;$B518&amp;".e."&amp;$J$464</f>
        <v>egy.mit.ener.cem.ker.e.2</v>
      </c>
      <c r="I518" t="s">
        <v>2306</v>
      </c>
      <c r="L518" s="47">
        <f>INDEX(Data_Energy!$D$3:$U$22,MATCH($B518,Data_Energy!$C$3:$C$22,0),MATCH($C518,Data_Energy!$D$2:$U$2,0))</f>
        <v>0</v>
      </c>
      <c r="M518" s="24">
        <f>L518*(1+M$498)^($E508*M$499)*(1+M$500)*IF(Rebate_Industry!L$242&lt;=0,1,Rebate_Industry!M$242/Rebate_Industry!L$242)^$F508*(IF(L491&lt;=0,1,M491/L491)^$G508/(1+$H508+$I508))^(1+$F508)</f>
        <v>0</v>
      </c>
      <c r="N518" s="24">
        <f>M518*(1+N$498)^($E508*N$499)*(1+N$500)*IF(Rebate_Industry!M$242&lt;=0,1,Rebate_Industry!N$242/Rebate_Industry!M$242)^$F508*(IF(M491&lt;=0,1,N491/M491)^$G508/(1+$H508+$I508))^(1+$F508)</f>
        <v>0</v>
      </c>
      <c r="O518" s="24">
        <f>N518*(1+O$498)^($E508*O$499)*(1+O$500)*IF(Rebate_Industry!N$242&lt;=0,1,Rebate_Industry!O$242/Rebate_Industry!N$242)^$F508*(IF(N491&lt;=0,1,O491/N491)^$G508/(1+$H508+$I508))^(1+$F508)</f>
        <v>0</v>
      </c>
      <c r="P518" s="24">
        <f>O518*(1+P$498)^($E508*P$499)*(1+P$500)*IF(Rebate_Industry!O$242&lt;=0,1,Rebate_Industry!P$242/Rebate_Industry!O$242)^$F508*(IF(O491&lt;=0,1,P491/O491)^$G508/(1+$H508+$I508))^(1+$F508)</f>
        <v>0</v>
      </c>
      <c r="Q518" s="24">
        <f>P518*(1+Q$498)^($E508*Q$499)*(1+Q$500)*IF(Rebate_Industry!P$242&lt;=0,1,Rebate_Industry!Q$242/Rebate_Industry!P$242)^$F508*(IF(P491&lt;=0,1,Q491/P491)^$G508/(1+$H508+$I508))^(1+$F508)</f>
        <v>0</v>
      </c>
      <c r="R518" s="24">
        <f>Q518*(1+R$498)^($E508*R$499)*(1+R$500)*IF(Rebate_Industry!Q$242&lt;=0,1,Rebate_Industry!R$242/Rebate_Industry!Q$242)^$F508*(IF(Q491&lt;=0,1,R491/Q491)^$G508/(1+$H508+$I508))^(1+$F508)</f>
        <v>0</v>
      </c>
      <c r="S518" s="24">
        <f>R518*(1+S$498)^($E508*S$499)*(1+S$500)*IF(Rebate_Industry!R$242&lt;=0,1,Rebate_Industry!S$242/Rebate_Industry!R$242)^$F508*(IF(R491&lt;=0,1,S491/R491)^$G508/(1+$H508+$I508))^(1+$F508)</f>
        <v>0</v>
      </c>
      <c r="T518" s="24">
        <f>S518*(1+T$498)^($E508*T$499)*(1+T$500)*IF(Rebate_Industry!S$242&lt;=0,1,Rebate_Industry!T$242/Rebate_Industry!S$242)^$F508*(IF(S491&lt;=0,1,T491/S491)^$G508/(1+$H508+$I508))^(1+$F508)</f>
        <v>0</v>
      </c>
      <c r="U518" s="24">
        <f>T518*(1+U$498)^($E508*U$499)*(1+U$500)*IF(Rebate_Industry!T$242&lt;=0,1,Rebate_Industry!U$242/Rebate_Industry!T$242)^$F508*(IF(T491&lt;=0,1,U491/T491)^$G508/(1+$H508+$I508))^(1+$F508)</f>
        <v>0</v>
      </c>
      <c r="V518" s="24">
        <f>U518*(1+V$498)^($E508*V$499)*(1+V$500)*IF(Rebate_Industry!U$242&lt;=0,1,Rebate_Industry!V$242/Rebate_Industry!U$242)^$F508*(IF(U491&lt;=0,1,V491/U491)^$G508/(1+$H508+$I508))^(1+$F508)</f>
        <v>0</v>
      </c>
      <c r="W518" s="24">
        <f>V518*(1+W$498)^($E508*W$499)*(1+W$500)*IF(Rebate_Industry!V$242&lt;=0,1,Rebate_Industry!W$242/Rebate_Industry!V$242)^$F508*(IF(V491&lt;=0,1,W491/V491)^$G508/(1+$H508+$I508))^(1+$F508)</f>
        <v>0</v>
      </c>
      <c r="X518" s="24">
        <f>W518*(1+X$498)^($E508*X$499)*(1+X$500)*IF(Rebate_Industry!W$242&lt;=0,1,Rebate_Industry!X$242/Rebate_Industry!W$242)^$F508*(IF(W491&lt;=0,1,X491/W491)^$G508/(1+$H508+$I508))^(1+$F508)</f>
        <v>0</v>
      </c>
      <c r="Y518" s="24">
        <f>X518*(1+Y$498)^($E508*Y$499)*(1+Y$500)*IF(Rebate_Industry!X$242&lt;=0,1,Rebate_Industry!Y$242/Rebate_Industry!X$242)^$F508*(IF(X491&lt;=0,1,Y491/X491)^$G508/(1+$H508+$I508))^(1+$F508)</f>
        <v>0</v>
      </c>
      <c r="Z518" s="24">
        <f>Y518*(1+Z$498)^($E508*Z$499)*(1+Z$500)*IF(Rebate_Industry!Y$242&lt;=0,1,Rebate_Industry!Z$242/Rebate_Industry!Y$242)^$F508*(IF(Y491&lt;=0,1,Z491/Y491)^$G508/(1+$H508+$I508))^(1+$F508)</f>
        <v>0</v>
      </c>
      <c r="AA518" s="24">
        <f>Z518*(1+AA$498)^($E508*AA$499)*(1+AA$500)*IF(Rebate_Industry!Z$242&lt;=0,1,Rebate_Industry!AA$242/Rebate_Industry!Z$242)^$F508*(IF(Z491&lt;=0,1,AA491/Z491)^$G508/(1+$H508+$I508))^(1+$F508)</f>
        <v>0</v>
      </c>
      <c r="AB518" s="24">
        <f>AA518*(1+AB$498)^($E508*AB$499)*(1+AB$500)*IF(Rebate_Industry!AA$242&lt;=0,1,Rebate_Industry!AB$242/Rebate_Industry!AA$242)^$F508*(IF(AA491&lt;=0,1,AB491/AA491)^$G508/(1+$H508+$I508))^(1+$F508)</f>
        <v>0</v>
      </c>
      <c r="AC518" s="24">
        <f>AB518*(1+AC$498)^($E508*AC$499)*(1+AC$500)*IF(Rebate_Industry!AB$242&lt;=0,1,Rebate_Industry!AC$242/Rebate_Industry!AB$242)^$F508*(IF(AB491&lt;=0,1,AC491/AB491)^$G508/(1+$H508+$I508))^(1+$F508)</f>
        <v>0</v>
      </c>
      <c r="AD518" s="24">
        <f>AC518*(1+AD$498)^($E508*AD$499)*(1+AD$500)*IF(Rebate_Industry!AC$242&lt;=0,1,Rebate_Industry!AD$242/Rebate_Industry!AC$242)^$F508*(IF(AC491&lt;=0,1,AD491/AC491)^$G508/(1+$H508+$I508))^(1+$F508)</f>
        <v>0</v>
      </c>
      <c r="AE518" s="24">
        <f>AD518*(1+AE$498)^($E508*AE$499)*(1+AE$500)*IF(Rebate_Industry!AD$242&lt;=0,1,Rebate_Industry!AE$242/Rebate_Industry!AD$242)^$F508*(IF(AD491&lt;=0,1,AE491/AD491)^$G508/(1+$H508+$I508))^(1+$F508)</f>
        <v>0</v>
      </c>
    </row>
    <row r="519" spans="1:35" x14ac:dyDescent="0.45">
      <c r="B519" s="14" t="s">
        <v>64</v>
      </c>
      <c r="C519" s="14" t="str">
        <f t="shared" si="168"/>
        <v>cem</v>
      </c>
      <c r="D519" s="15" t="s">
        <v>65</v>
      </c>
      <c r="E519" s="16" t="s">
        <v>108</v>
      </c>
      <c r="F519" s="14" t="s">
        <v>109</v>
      </c>
      <c r="G519" s="17" t="str">
        <f>Settings!$B$3&amp;".mit.enc."&amp;$B519</f>
        <v>egy.mit.enc.oop</v>
      </c>
      <c r="H519" s="45" t="str">
        <f>Settings!$B$3&amp;".mit.ener."&amp;$C$464&amp;"."&amp;$B519&amp;".e."&amp;$J$464</f>
        <v>egy.mit.ener.cem.oop.e.2</v>
      </c>
      <c r="I519" t="s">
        <v>2307</v>
      </c>
      <c r="L519" s="47">
        <f>INDEX(Data_Energy!$D$3:$U$22,MATCH($B519,Data_Energy!$C$3:$C$22,0),MATCH($C519,Data_Energy!$D$2:$U$2,0))</f>
        <v>0</v>
      </c>
      <c r="M519" s="24">
        <f>L519*(1+M$498)^($E509*M$499)*(1+M$500)*IF(Rebate_Industry!L$243&lt;=0,1,Rebate_Industry!M$243/Rebate_Industry!L$243)^$F509*(IF(L492&lt;=0,1,M492/L492)^$G509/(1+$H509+$I509))^(1+$F509)</f>
        <v>0</v>
      </c>
      <c r="N519" s="24">
        <f>M519*(1+N$498)^($E509*N$499)*(1+N$500)*IF(Rebate_Industry!M$243&lt;=0,1,Rebate_Industry!N$243/Rebate_Industry!M$243)^$F509*(IF(M492&lt;=0,1,N492/M492)^$G509/(1+$H509+$I509))^(1+$F509)</f>
        <v>0</v>
      </c>
      <c r="O519" s="24">
        <f>N519*(1+O$498)^($E509*O$499)*(1+O$500)*IF(Rebate_Industry!N$243&lt;=0,1,Rebate_Industry!O$243/Rebate_Industry!N$243)^$F509*(IF(N492&lt;=0,1,O492/N492)^$G509/(1+$H509+$I509))^(1+$F509)</f>
        <v>0</v>
      </c>
      <c r="P519" s="24">
        <f>O519*(1+P$498)^($E509*P$499)*(1+P$500)*IF(Rebate_Industry!O$243&lt;=0,1,Rebate_Industry!P$243/Rebate_Industry!O$243)^$F509*(IF(O492&lt;=0,1,P492/O492)^$G509/(1+$H509+$I509))^(1+$F509)</f>
        <v>0</v>
      </c>
      <c r="Q519" s="24">
        <f>P519*(1+Q$498)^($E509*Q$499)*(1+Q$500)*IF(Rebate_Industry!P$243&lt;=0,1,Rebate_Industry!Q$243/Rebate_Industry!P$243)^$F509*(IF(P492&lt;=0,1,Q492/P492)^$G509/(1+$H509+$I509))^(1+$F509)</f>
        <v>0</v>
      </c>
      <c r="R519" s="24">
        <f>Q519*(1+R$498)^($E509*R$499)*(1+R$500)*IF(Rebate_Industry!Q$243&lt;=0,1,Rebate_Industry!R$243/Rebate_Industry!Q$243)^$F509*(IF(Q492&lt;=0,1,R492/Q492)^$G509/(1+$H509+$I509))^(1+$F509)</f>
        <v>0</v>
      </c>
      <c r="S519" s="24">
        <f>R519*(1+S$498)^($E509*S$499)*(1+S$500)*IF(Rebate_Industry!R$243&lt;=0,1,Rebate_Industry!S$243/Rebate_Industry!R$243)^$F509*(IF(R492&lt;=0,1,S492/R492)^$G509/(1+$H509+$I509))^(1+$F509)</f>
        <v>0</v>
      </c>
      <c r="T519" s="24">
        <f>S519*(1+T$498)^($E509*T$499)*(1+T$500)*IF(Rebate_Industry!S$243&lt;=0,1,Rebate_Industry!T$243/Rebate_Industry!S$243)^$F509*(IF(S492&lt;=0,1,T492/S492)^$G509/(1+$H509+$I509))^(1+$F509)</f>
        <v>0</v>
      </c>
      <c r="U519" s="24">
        <f>T519*(1+U$498)^($E509*U$499)*(1+U$500)*IF(Rebate_Industry!T$243&lt;=0,1,Rebate_Industry!U$243/Rebate_Industry!T$243)^$F509*(IF(T492&lt;=0,1,U492/T492)^$G509/(1+$H509+$I509))^(1+$F509)</f>
        <v>0</v>
      </c>
      <c r="V519" s="24">
        <f>U519*(1+V$498)^($E509*V$499)*(1+V$500)*IF(Rebate_Industry!U$243&lt;=0,1,Rebate_Industry!V$243/Rebate_Industry!U$243)^$F509*(IF(U492&lt;=0,1,V492/U492)^$G509/(1+$H509+$I509))^(1+$F509)</f>
        <v>0</v>
      </c>
      <c r="W519" s="24">
        <f>V519*(1+W$498)^($E509*W$499)*(1+W$500)*IF(Rebate_Industry!V$243&lt;=0,1,Rebate_Industry!W$243/Rebate_Industry!V$243)^$F509*(IF(V492&lt;=0,1,W492/V492)^$G509/(1+$H509+$I509))^(1+$F509)</f>
        <v>0</v>
      </c>
      <c r="X519" s="24">
        <f>W519*(1+X$498)^($E509*X$499)*(1+X$500)*IF(Rebate_Industry!W$243&lt;=0,1,Rebate_Industry!X$243/Rebate_Industry!W$243)^$F509*(IF(W492&lt;=0,1,X492/W492)^$G509/(1+$H509+$I509))^(1+$F509)</f>
        <v>0</v>
      </c>
      <c r="Y519" s="24">
        <f>X519*(1+Y$498)^($E509*Y$499)*(1+Y$500)*IF(Rebate_Industry!X$243&lt;=0,1,Rebate_Industry!Y$243/Rebate_Industry!X$243)^$F509*(IF(X492&lt;=0,1,Y492/X492)^$G509/(1+$H509+$I509))^(1+$F509)</f>
        <v>0</v>
      </c>
      <c r="Z519" s="24">
        <f>Y519*(1+Z$498)^($E509*Z$499)*(1+Z$500)*IF(Rebate_Industry!Y$243&lt;=0,1,Rebate_Industry!Z$243/Rebate_Industry!Y$243)^$F509*(IF(Y492&lt;=0,1,Z492/Y492)^$G509/(1+$H509+$I509))^(1+$F509)</f>
        <v>0</v>
      </c>
      <c r="AA519" s="24">
        <f>Z519*(1+AA$498)^($E509*AA$499)*(1+AA$500)*IF(Rebate_Industry!Z$243&lt;=0,1,Rebate_Industry!AA$243/Rebate_Industry!Z$243)^$F509*(IF(Z492&lt;=0,1,AA492/Z492)^$G509/(1+$H509+$I509))^(1+$F509)</f>
        <v>0</v>
      </c>
      <c r="AB519" s="24">
        <f>AA519*(1+AB$498)^($E509*AB$499)*(1+AB$500)*IF(Rebate_Industry!AA$243&lt;=0,1,Rebate_Industry!AB$243/Rebate_Industry!AA$243)^$F509*(IF(AA492&lt;=0,1,AB492/AA492)^$G509/(1+$H509+$I509))^(1+$F509)</f>
        <v>0</v>
      </c>
      <c r="AC519" s="24">
        <f>AB519*(1+AC$498)^($E509*AC$499)*(1+AC$500)*IF(Rebate_Industry!AB$243&lt;=0,1,Rebate_Industry!AC$243/Rebate_Industry!AB$243)^$F509*(IF(AB492&lt;=0,1,AC492/AB492)^$G509/(1+$H509+$I509))^(1+$F509)</f>
        <v>0</v>
      </c>
      <c r="AD519" s="24">
        <f>AC519*(1+AD$498)^($E509*AD$499)*(1+AD$500)*IF(Rebate_Industry!AC$243&lt;=0,1,Rebate_Industry!AD$243/Rebate_Industry!AC$243)^$F509*(IF(AC492&lt;=0,1,AD492/AC492)^$G509/(1+$H509+$I509))^(1+$F509)</f>
        <v>0</v>
      </c>
      <c r="AE519" s="24">
        <f>AD519*(1+AE$498)^($E509*AE$499)*(1+AE$500)*IF(Rebate_Industry!AD$243&lt;=0,1,Rebate_Industry!AE$243/Rebate_Industry!AD$243)^$F509*(IF(AD492&lt;=0,1,AE492/AD492)^$G509/(1+$H509+$I509))^(1+$F509)</f>
        <v>0</v>
      </c>
    </row>
    <row r="520" spans="1:35" x14ac:dyDescent="0.45">
      <c r="B520" s="14" t="s">
        <v>67</v>
      </c>
      <c r="C520" s="14" t="str">
        <f t="shared" si="168"/>
        <v>cem</v>
      </c>
      <c r="D520" s="15" t="s">
        <v>68</v>
      </c>
      <c r="E520" s="16" t="s">
        <v>108</v>
      </c>
      <c r="F520" s="14" t="s">
        <v>109</v>
      </c>
      <c r="G520" s="17" t="str">
        <f>Settings!$B$3&amp;".mit.enc."&amp;$B520</f>
        <v>egy.mit.enc.bio</v>
      </c>
      <c r="H520" s="45" t="str">
        <f>Settings!$B$3&amp;".mit.ener."&amp;$C$464&amp;"."&amp;$B520&amp;".e."&amp;$J$464</f>
        <v>egy.mit.ener.cem.bio.e.2</v>
      </c>
      <c r="I520" t="s">
        <v>2308</v>
      </c>
      <c r="L520" s="47">
        <f>INDEX(Data_Energy!$D$3:$U$22,MATCH($B520,Data_Energy!$C$3:$C$22,0),MATCH($C520,Data_Energy!$D$2:$U$2,0))</f>
        <v>0</v>
      </c>
      <c r="M520" s="24">
        <f>L520*(1+M$498)^($E510*M$499)*(1+M$500)*IF(Rebate_Industry!L$244&lt;=0,1,Rebate_Industry!M$244/Rebate_Industry!L$244)^$F510*(IF(L493&lt;=0,1,M493/L493)^$G510/(1+$H510+$I510))^(1+$F510)</f>
        <v>0</v>
      </c>
      <c r="N520" s="24">
        <f>M520*(1+N$498)^($E510*N$499)*(1+N$500)*IF(Rebate_Industry!M$244&lt;=0,1,Rebate_Industry!N$244/Rebate_Industry!M$244)^$F510*(IF(M493&lt;=0,1,N493/M493)^$G510/(1+$H510+$I510))^(1+$F510)</f>
        <v>0</v>
      </c>
      <c r="O520" s="24">
        <f>N520*(1+O$498)^($E510*O$499)*(1+O$500)*IF(Rebate_Industry!N$244&lt;=0,1,Rebate_Industry!O$244/Rebate_Industry!N$244)^$F510*(IF(N493&lt;=0,1,O493/N493)^$G510/(1+$H510+$I510))^(1+$F510)</f>
        <v>0</v>
      </c>
      <c r="P520" s="24">
        <f>O520*(1+P$498)^($E510*P$499)*(1+P$500)*IF(Rebate_Industry!O$244&lt;=0,1,Rebate_Industry!P$244/Rebate_Industry!O$244)^$F510*(IF(O493&lt;=0,1,P493/O493)^$G510/(1+$H510+$I510))^(1+$F510)</f>
        <v>0</v>
      </c>
      <c r="Q520" s="24">
        <f>P520*(1+Q$498)^($E510*Q$499)*(1+Q$500)*IF(Rebate_Industry!P$244&lt;=0,1,Rebate_Industry!Q$244/Rebate_Industry!P$244)^$F510*(IF(P493&lt;=0,1,Q493/P493)^$G510/(1+$H510+$I510))^(1+$F510)</f>
        <v>0</v>
      </c>
      <c r="R520" s="24">
        <f>Q520*(1+R$498)^($E510*R$499)*(1+R$500)*IF(Rebate_Industry!Q$244&lt;=0,1,Rebate_Industry!R$244/Rebate_Industry!Q$244)^$F510*(IF(Q493&lt;=0,1,R493/Q493)^$G510/(1+$H510+$I510))^(1+$F510)</f>
        <v>0</v>
      </c>
      <c r="S520" s="24">
        <f>R520*(1+S$498)^($E510*S$499)*(1+S$500)*IF(Rebate_Industry!R$244&lt;=0,1,Rebate_Industry!S$244/Rebate_Industry!R$244)^$F510*(IF(R493&lt;=0,1,S493/R493)^$G510/(1+$H510+$I510))^(1+$F510)</f>
        <v>0</v>
      </c>
      <c r="T520" s="24">
        <f>S520*(1+T$498)^($E510*T$499)*(1+T$500)*IF(Rebate_Industry!S$244&lt;=0,1,Rebate_Industry!T$244/Rebate_Industry!S$244)^$F510*(IF(S493&lt;=0,1,T493/S493)^$G510/(1+$H510+$I510))^(1+$F510)</f>
        <v>0</v>
      </c>
      <c r="U520" s="24">
        <f>T520*(1+U$498)^($E510*U$499)*(1+U$500)*IF(Rebate_Industry!T$244&lt;=0,1,Rebate_Industry!U$244/Rebate_Industry!T$244)^$F510*(IF(T493&lt;=0,1,U493/T493)^$G510/(1+$H510+$I510))^(1+$F510)</f>
        <v>0</v>
      </c>
      <c r="V520" s="24">
        <f>U520*(1+V$498)^($E510*V$499)*(1+V$500)*IF(Rebate_Industry!U$244&lt;=0,1,Rebate_Industry!V$244/Rebate_Industry!U$244)^$F510*(IF(U493&lt;=0,1,V493/U493)^$G510/(1+$H510+$I510))^(1+$F510)</f>
        <v>0</v>
      </c>
      <c r="W520" s="24">
        <f>V520*(1+W$498)^($E510*W$499)*(1+W$500)*IF(Rebate_Industry!V$244&lt;=0,1,Rebate_Industry!W$244/Rebate_Industry!V$244)^$F510*(IF(V493&lt;=0,1,W493/V493)^$G510/(1+$H510+$I510))^(1+$F510)</f>
        <v>0</v>
      </c>
      <c r="X520" s="24">
        <f>W520*(1+X$498)^($E510*X$499)*(1+X$500)*IF(Rebate_Industry!W$244&lt;=0,1,Rebate_Industry!X$244/Rebate_Industry!W$244)^$F510*(IF(W493&lt;=0,1,X493/W493)^$G510/(1+$H510+$I510))^(1+$F510)</f>
        <v>0</v>
      </c>
      <c r="Y520" s="24">
        <f>X520*(1+Y$498)^($E510*Y$499)*(1+Y$500)*IF(Rebate_Industry!X$244&lt;=0,1,Rebate_Industry!Y$244/Rebate_Industry!X$244)^$F510*(IF(X493&lt;=0,1,Y493/X493)^$G510/(1+$H510+$I510))^(1+$F510)</f>
        <v>0</v>
      </c>
      <c r="Z520" s="24">
        <f>Y520*(1+Z$498)^($E510*Z$499)*(1+Z$500)*IF(Rebate_Industry!Y$244&lt;=0,1,Rebate_Industry!Z$244/Rebate_Industry!Y$244)^$F510*(IF(Y493&lt;=0,1,Z493/Y493)^$G510/(1+$H510+$I510))^(1+$F510)</f>
        <v>0</v>
      </c>
      <c r="AA520" s="24">
        <f>Z520*(1+AA$498)^($E510*AA$499)*(1+AA$500)*IF(Rebate_Industry!Z$244&lt;=0,1,Rebate_Industry!AA$244/Rebate_Industry!Z$244)^$F510*(IF(Z493&lt;=0,1,AA493/Z493)^$G510/(1+$H510+$I510))^(1+$F510)</f>
        <v>0</v>
      </c>
      <c r="AB520" s="24">
        <f>AA520*(1+AB$498)^($E510*AB$499)*(1+AB$500)*IF(Rebate_Industry!AA$244&lt;=0,1,Rebate_Industry!AB$244/Rebate_Industry!AA$244)^$F510*(IF(AA493&lt;=0,1,AB493/AA493)^$G510/(1+$H510+$I510))^(1+$F510)</f>
        <v>0</v>
      </c>
      <c r="AC520" s="24">
        <f>AB520*(1+AC$498)^($E510*AC$499)*(1+AC$500)*IF(Rebate_Industry!AB$244&lt;=0,1,Rebate_Industry!AC$244/Rebate_Industry!AB$244)^$F510*(IF(AB493&lt;=0,1,AC493/AB493)^$G510/(1+$H510+$I510))^(1+$F510)</f>
        <v>0</v>
      </c>
      <c r="AD520" s="24">
        <f>AC520*(1+AD$498)^($E510*AD$499)*(1+AD$500)*IF(Rebate_Industry!AC$244&lt;=0,1,Rebate_Industry!AD$244/Rebate_Industry!AC$244)^$F510*(IF(AC493&lt;=0,1,AD493/AC493)^$G510/(1+$H510+$I510))^(1+$F510)</f>
        <v>0</v>
      </c>
      <c r="AE520" s="24">
        <f>AD520*(1+AE$498)^($E510*AE$499)*(1+AE$500)*IF(Rebate_Industry!AD$244&lt;=0,1,Rebate_Industry!AE$244/Rebate_Industry!AD$244)^$F510*(IF(AD493&lt;=0,1,AE493/AD493)^$G510/(1+$H510+$I510))^(1+$F510)</f>
        <v>0</v>
      </c>
    </row>
    <row r="521" spans="1:35" x14ac:dyDescent="0.45">
      <c r="B521" s="14" t="s">
        <v>69</v>
      </c>
      <c r="C521" s="14" t="str">
        <f t="shared" si="168"/>
        <v>cem</v>
      </c>
      <c r="D521" s="15" t="s">
        <v>70</v>
      </c>
      <c r="E521" s="16" t="s">
        <v>108</v>
      </c>
      <c r="F521" s="14" t="s">
        <v>109</v>
      </c>
      <c r="G521" s="17" t="str">
        <f>Settings!$B$3&amp;".mit.enc."&amp;$B521</f>
        <v>egy.mit.enc.ren</v>
      </c>
      <c r="H521" s="45" t="str">
        <f>Settings!$B$3&amp;".mit.ener."&amp;$C$464&amp;"."&amp;$B521&amp;".e."&amp;$J$464</f>
        <v>egy.mit.ener.cem.ren.e.2</v>
      </c>
      <c r="I521" t="s">
        <v>2309</v>
      </c>
      <c r="L521" s="47">
        <f>INDEX(Data_Energy!$D$3:$U$22,MATCH($B521,Data_Energy!$C$3:$C$22,0),MATCH($C521,Data_Energy!$D$2:$U$2,0))</f>
        <v>0</v>
      </c>
      <c r="M521" s="24">
        <f>L521*(1+M$498)^($E511*M$499)*(1+M$500)*IF(Rebate_Industry!L$245&lt;=0,1,Rebate_Industry!M$245/Rebate_Industry!L$245)^$F511*(IF(L494&lt;=0,1,M494/L494)^$G511/(1+$H511+$I511))^(1+$F511)</f>
        <v>0</v>
      </c>
      <c r="N521" s="24">
        <f>M521*(1+N$498)^($E511*N$499)*(1+N$500)*IF(Rebate_Industry!M$245&lt;=0,1,Rebate_Industry!N$245/Rebate_Industry!M$245)^$F511*(IF(M494&lt;=0,1,N494/M494)^$G511/(1+$H511+$I511))^(1+$F511)</f>
        <v>0</v>
      </c>
      <c r="O521" s="24">
        <f>N521*(1+O$498)^($E511*O$499)*(1+O$500)*IF(Rebate_Industry!N$245&lt;=0,1,Rebate_Industry!O$245/Rebate_Industry!N$245)^$F511*(IF(N494&lt;=0,1,O494/N494)^$G511/(1+$H511+$I511))^(1+$F511)</f>
        <v>0</v>
      </c>
      <c r="P521" s="24">
        <f>O521*(1+P$498)^($E511*P$499)*(1+P$500)*IF(Rebate_Industry!O$245&lt;=0,1,Rebate_Industry!P$245/Rebate_Industry!O$245)^$F511*(IF(O494&lt;=0,1,P494/O494)^$G511/(1+$H511+$I511))^(1+$F511)</f>
        <v>0</v>
      </c>
      <c r="Q521" s="24">
        <f>P521*(1+Q$498)^($E511*Q$499)*(1+Q$500)*IF(Rebate_Industry!P$245&lt;=0,1,Rebate_Industry!Q$245/Rebate_Industry!P$245)^$F511*(IF(P494&lt;=0,1,Q494/P494)^$G511/(1+$H511+$I511))^(1+$F511)</f>
        <v>0</v>
      </c>
      <c r="R521" s="24">
        <f>Q521*(1+R$498)^($E511*R$499)*(1+R$500)*IF(Rebate_Industry!Q$245&lt;=0,1,Rebate_Industry!R$245/Rebate_Industry!Q$245)^$F511*(IF(Q494&lt;=0,1,R494/Q494)^$G511/(1+$H511+$I511))^(1+$F511)</f>
        <v>0</v>
      </c>
      <c r="S521" s="24">
        <f>R521*(1+S$498)^($E511*S$499)*(1+S$500)*IF(Rebate_Industry!R$245&lt;=0,1,Rebate_Industry!S$245/Rebate_Industry!R$245)^$F511*(IF(R494&lt;=0,1,S494/R494)^$G511/(1+$H511+$I511))^(1+$F511)</f>
        <v>0</v>
      </c>
      <c r="T521" s="24">
        <f>S521*(1+T$498)^($E511*T$499)*(1+T$500)*IF(Rebate_Industry!S$245&lt;=0,1,Rebate_Industry!T$245/Rebate_Industry!S$245)^$F511*(IF(S494&lt;=0,1,T494/S494)^$G511/(1+$H511+$I511))^(1+$F511)</f>
        <v>0</v>
      </c>
      <c r="U521" s="24">
        <f>T521*(1+U$498)^($E511*U$499)*(1+U$500)*IF(Rebate_Industry!T$245&lt;=0,1,Rebate_Industry!U$245/Rebate_Industry!T$245)^$F511*(IF(T494&lt;=0,1,U494/T494)^$G511/(1+$H511+$I511))^(1+$F511)</f>
        <v>0</v>
      </c>
      <c r="V521" s="24">
        <f>U521*(1+V$498)^($E511*V$499)*(1+V$500)*IF(Rebate_Industry!U$245&lt;=0,1,Rebate_Industry!V$245/Rebate_Industry!U$245)^$F511*(IF(U494&lt;=0,1,V494/U494)^$G511/(1+$H511+$I511))^(1+$F511)</f>
        <v>0</v>
      </c>
      <c r="W521" s="24">
        <f>V521*(1+W$498)^($E511*W$499)*(1+W$500)*IF(Rebate_Industry!V$245&lt;=0,1,Rebate_Industry!W$245/Rebate_Industry!V$245)^$F511*(IF(V494&lt;=0,1,W494/V494)^$G511/(1+$H511+$I511))^(1+$F511)</f>
        <v>0</v>
      </c>
      <c r="X521" s="24">
        <f>W521*(1+X$498)^($E511*X$499)*(1+X$500)*IF(Rebate_Industry!W$245&lt;=0,1,Rebate_Industry!X$245/Rebate_Industry!W$245)^$F511*(IF(W494&lt;=0,1,X494/W494)^$G511/(1+$H511+$I511))^(1+$F511)</f>
        <v>0</v>
      </c>
      <c r="Y521" s="24">
        <f>X521*(1+Y$498)^($E511*Y$499)*(1+Y$500)*IF(Rebate_Industry!X$245&lt;=0,1,Rebate_Industry!Y$245/Rebate_Industry!X$245)^$F511*(IF(X494&lt;=0,1,Y494/X494)^$G511/(1+$H511+$I511))^(1+$F511)</f>
        <v>0</v>
      </c>
      <c r="Z521" s="24">
        <f>Y521*(1+Z$498)^($E511*Z$499)*(1+Z$500)*IF(Rebate_Industry!Y$245&lt;=0,1,Rebate_Industry!Z$245/Rebate_Industry!Y$245)^$F511*(IF(Y494&lt;=0,1,Z494/Y494)^$G511/(1+$H511+$I511))^(1+$F511)</f>
        <v>0</v>
      </c>
      <c r="AA521" s="24">
        <f>Z521*(1+AA$498)^($E511*AA$499)*(1+AA$500)*IF(Rebate_Industry!Z$245&lt;=0,1,Rebate_Industry!AA$245/Rebate_Industry!Z$245)^$F511*(IF(Z494&lt;=0,1,AA494/Z494)^$G511/(1+$H511+$I511))^(1+$F511)</f>
        <v>0</v>
      </c>
      <c r="AB521" s="24">
        <f>AA521*(1+AB$498)^($E511*AB$499)*(1+AB$500)*IF(Rebate_Industry!AA$245&lt;=0,1,Rebate_Industry!AB$245/Rebate_Industry!AA$245)^$F511*(IF(AA494&lt;=0,1,AB494/AA494)^$G511/(1+$H511+$I511))^(1+$F511)</f>
        <v>0</v>
      </c>
      <c r="AC521" s="24">
        <f>AB521*(1+AC$498)^($E511*AC$499)*(1+AC$500)*IF(Rebate_Industry!AB$245&lt;=0,1,Rebate_Industry!AC$245/Rebate_Industry!AB$245)^$F511*(IF(AB494&lt;=0,1,AC494/AB494)^$G511/(1+$H511+$I511))^(1+$F511)</f>
        <v>0</v>
      </c>
      <c r="AD521" s="24">
        <f>AC521*(1+AD$498)^($E511*AD$499)*(1+AD$500)*IF(Rebate_Industry!AC$245&lt;=0,1,Rebate_Industry!AD$245/Rebate_Industry!AC$245)^$F511*(IF(AC494&lt;=0,1,AD494/AC494)^$G511/(1+$H511+$I511))^(1+$F511)</f>
        <v>0</v>
      </c>
      <c r="AE521" s="24">
        <f>AD521*(1+AE$498)^($E511*AE$499)*(1+AE$500)*IF(Rebate_Industry!AD$245&lt;=0,1,Rebate_Industry!AE$245/Rebate_Industry!AD$245)^$F511*(IF(AD494&lt;=0,1,AE494/AD494)^$G511/(1+$H511+$I511))^(1+$F511)</f>
        <v>0</v>
      </c>
    </row>
    <row r="522" spans="1:35" x14ac:dyDescent="0.45">
      <c r="B522" s="14" t="s">
        <v>110</v>
      </c>
      <c r="C522" s="14" t="str">
        <f t="shared" si="168"/>
        <v>cem</v>
      </c>
      <c r="D522" s="25" t="s">
        <v>111</v>
      </c>
      <c r="E522" s="16" t="s">
        <v>108</v>
      </c>
      <c r="F522" s="14" t="s">
        <v>109</v>
      </c>
      <c r="H522" s="45" t="str">
        <f>Settings!$B$3&amp;".mit.ener."&amp;$C$464&amp;".tot.e."&amp;$J$464</f>
        <v>egy.mit.ener.cem.tot.e.2</v>
      </c>
      <c r="L522" s="26">
        <f t="shared" ref="L522:AE522" si="169">SUM(L513:L521)</f>
        <v>3210.4467592248702</v>
      </c>
      <c r="M522" s="26">
        <f t="shared" si="169"/>
        <v>2690.3404093921163</v>
      </c>
      <c r="N522" s="26">
        <f t="shared" si="169"/>
        <v>3047.5360888007326</v>
      </c>
      <c r="O522" s="26">
        <f t="shared" si="169"/>
        <v>3240.6928223889822</v>
      </c>
      <c r="P522" s="26">
        <f t="shared" si="169"/>
        <v>3273.2119677539522</v>
      </c>
      <c r="Q522" s="26">
        <f t="shared" si="169"/>
        <v>3089.4258527074826</v>
      </c>
      <c r="R522" s="26">
        <f t="shared" si="169"/>
        <v>2975.1242061609983</v>
      </c>
      <c r="S522" s="26">
        <f t="shared" si="169"/>
        <v>2878.4338008647092</v>
      </c>
      <c r="T522" s="26">
        <f t="shared" si="169"/>
        <v>2793.1021878663519</v>
      </c>
      <c r="U522" s="26">
        <f t="shared" si="169"/>
        <v>2721.6867792281105</v>
      </c>
      <c r="V522" s="26">
        <f t="shared" si="169"/>
        <v>2659.4365656902273</v>
      </c>
      <c r="W522" s="26">
        <f t="shared" si="169"/>
        <v>2608.3843590415554</v>
      </c>
      <c r="X522" s="26">
        <f t="shared" si="169"/>
        <v>2567.1439632109241</v>
      </c>
      <c r="Y522" s="26">
        <f t="shared" si="169"/>
        <v>2534.8641732295537</v>
      </c>
      <c r="Z522" s="26">
        <f t="shared" si="169"/>
        <v>2511.2970995969799</v>
      </c>
      <c r="AA522" s="26">
        <f t="shared" si="169"/>
        <v>2495.8988717310085</v>
      </c>
      <c r="AB522" s="26">
        <f t="shared" si="169"/>
        <v>2488.1145593655265</v>
      </c>
      <c r="AC522" s="26">
        <f t="shared" si="169"/>
        <v>2487.0912005211107</v>
      </c>
      <c r="AD522" s="26">
        <f t="shared" si="169"/>
        <v>2492.116697620846</v>
      </c>
      <c r="AE522" s="26">
        <f t="shared" si="169"/>
        <v>2502.6519509263308</v>
      </c>
    </row>
    <row r="524" spans="1:35" x14ac:dyDescent="0.45">
      <c r="A524" s="11"/>
      <c r="B524" s="6" t="s">
        <v>114</v>
      </c>
      <c r="C524" s="7" t="s">
        <v>115</v>
      </c>
      <c r="D524" s="6" t="s">
        <v>44</v>
      </c>
      <c r="E524" s="7" t="s">
        <v>35</v>
      </c>
      <c r="F524" s="7" t="s">
        <v>45</v>
      </c>
      <c r="G524" s="7" t="s">
        <v>46</v>
      </c>
      <c r="H524" s="12" t="s">
        <v>38</v>
      </c>
      <c r="I524" s="6" t="s">
        <v>47</v>
      </c>
      <c r="J524" s="48">
        <v>2</v>
      </c>
      <c r="K524" s="6">
        <v>2021</v>
      </c>
      <c r="L524" s="46">
        <v>2022</v>
      </c>
      <c r="M524" s="6">
        <v>2023</v>
      </c>
      <c r="N524" s="6">
        <v>2024</v>
      </c>
      <c r="O524" s="6">
        <v>2025</v>
      </c>
      <c r="P524" s="6">
        <v>2026</v>
      </c>
      <c r="Q524" s="6">
        <v>2027</v>
      </c>
      <c r="R524" s="6">
        <v>2028</v>
      </c>
      <c r="S524" s="6">
        <v>2029</v>
      </c>
      <c r="T524" s="6">
        <v>2030</v>
      </c>
      <c r="U524" s="6">
        <v>2031</v>
      </c>
      <c r="V524" s="6">
        <v>2032</v>
      </c>
      <c r="W524" s="6">
        <v>2033</v>
      </c>
      <c r="X524" s="6">
        <v>2034</v>
      </c>
      <c r="Y524" s="6">
        <v>2035</v>
      </c>
      <c r="Z524" s="6">
        <v>2036</v>
      </c>
      <c r="AA524" s="6">
        <v>2037</v>
      </c>
      <c r="AB524" s="6">
        <v>2038</v>
      </c>
      <c r="AC524" s="6">
        <v>2039</v>
      </c>
      <c r="AD524" s="6">
        <v>2040</v>
      </c>
      <c r="AE524" s="6">
        <v>2041</v>
      </c>
      <c r="AF524" s="6">
        <v>2042</v>
      </c>
      <c r="AG524" s="6">
        <v>2043</v>
      </c>
      <c r="AH524" s="6">
        <v>2044</v>
      </c>
      <c r="AI524" s="6">
        <v>2045</v>
      </c>
    </row>
    <row r="525" spans="1:35" x14ac:dyDescent="0.45">
      <c r="B525" s="13" t="s">
        <v>48</v>
      </c>
    </row>
    <row r="526" spans="1:35" x14ac:dyDescent="0.45">
      <c r="B526" s="14" t="s">
        <v>49</v>
      </c>
      <c r="C526" s="14" t="str">
        <f t="shared" ref="C526:C534" si="170">$C$524</f>
        <v>nfm</v>
      </c>
      <c r="D526" s="15" t="s">
        <v>50</v>
      </c>
      <c r="E526" s="16" t="s">
        <v>51</v>
      </c>
      <c r="F526" s="14" t="s">
        <v>52</v>
      </c>
      <c r="G526" s="17" t="str">
        <f>Settings!$B$3&amp;".mit.pbc."&amp;Settings!$B$4&amp;"."&amp;$B526&amp;".a."&amp;$J$524</f>
        <v>egy.mit.pbc.ind.coa.a.2</v>
      </c>
      <c r="H526" s="45" t="str">
        <f>Settings!$B$3&amp;".mit.ptp."&amp;$C$524&amp;"."&amp;$B526&amp;".e."&amp;$J$524</f>
        <v>egy.mit.ptp.nfm.coa.e.2</v>
      </c>
      <c r="K526" s="18">
        <f>INDEX(Data_Prices!K:K,MATCH($G526,Data_Prices!$A:$A,0))</f>
        <v>11.182901589243899</v>
      </c>
      <c r="L526" s="18">
        <f>INDEX(Data_Prices!L:L,MATCH($G526,Data_Prices!$A:$A,0))</f>
        <v>10.5233613454312</v>
      </c>
      <c r="M526" s="18">
        <f>INDEX(Data_Prices!M:M,MATCH($G526,Data_Prices!$A:$A,0))</f>
        <v>10.2995608274442</v>
      </c>
      <c r="N526" s="18">
        <f>INDEX(Data_Prices!N:N,MATCH($G526,Data_Prices!$A:$A,0))</f>
        <v>9.5775283595382597</v>
      </c>
      <c r="O526" s="18">
        <f>INDEX(Data_Prices!O:O,MATCH($G526,Data_Prices!$A:$A,0))</f>
        <v>8.4854782869580507</v>
      </c>
      <c r="P526" s="18">
        <f>INDEX(Data_Prices!P:P,MATCH($G526,Data_Prices!$A:$A,0))</f>
        <v>9.0871922352498604</v>
      </c>
      <c r="Q526" s="18">
        <f>INDEX(Data_Prices!Q:Q,MATCH($G526,Data_Prices!$A:$A,0))</f>
        <v>9.2229237289326793</v>
      </c>
      <c r="R526" s="18">
        <f>INDEX(Data_Prices!R:R,MATCH($G526,Data_Prices!$A:$A,0))</f>
        <v>9.1585649555096893</v>
      </c>
      <c r="S526" s="18">
        <f>INDEX(Data_Prices!S:S,MATCH($G526,Data_Prices!$A:$A,0))</f>
        <v>9.0895478773973792</v>
      </c>
      <c r="T526" s="18">
        <f>INDEX(Data_Prices!T:T,MATCH($G526,Data_Prices!$A:$A,0))</f>
        <v>9.0156816660228305</v>
      </c>
      <c r="U526" s="18">
        <f>INDEX(Data_Prices!U:U,MATCH($G526,Data_Prices!$A:$A,0))</f>
        <v>8.9443977655571096</v>
      </c>
      <c r="V526" s="18">
        <f>INDEX(Data_Prices!V:V,MATCH($G526,Data_Prices!$A:$A,0))</f>
        <v>8.9443977655571096</v>
      </c>
      <c r="W526" s="18">
        <f>INDEX(Data_Prices!W:W,MATCH($G526,Data_Prices!$A:$A,0))</f>
        <v>8.9443977655571096</v>
      </c>
      <c r="X526" s="18">
        <f>INDEX(Data_Prices!X:X,MATCH($G526,Data_Prices!$A:$A,0))</f>
        <v>8.9443977655571096</v>
      </c>
      <c r="Y526" s="18">
        <f>INDEX(Data_Prices!Y:Y,MATCH($G526,Data_Prices!$A:$A,0))</f>
        <v>8.9443977655571096</v>
      </c>
      <c r="Z526" s="18">
        <f>INDEX(Data_Prices!Z:Z,MATCH($G526,Data_Prices!$A:$A,0))</f>
        <v>8.9443977655571096</v>
      </c>
      <c r="AA526" s="18">
        <f>INDEX(Data_Prices!AA:AA,MATCH($G526,Data_Prices!$A:$A,0))</f>
        <v>8.9443977655571096</v>
      </c>
      <c r="AB526" s="18">
        <f>INDEX(Data_Prices!AB:AB,MATCH($G526,Data_Prices!$A:$A,0))</f>
        <v>8.9443977655571096</v>
      </c>
      <c r="AC526" s="18">
        <f>INDEX(Data_Prices!AC:AC,MATCH($G526,Data_Prices!$A:$A,0))</f>
        <v>8.9443977655571096</v>
      </c>
      <c r="AD526" s="18">
        <f>INDEX(Data_Prices!AD:AD,MATCH($G526,Data_Prices!$A:$A,0))</f>
        <v>8.9443977655571096</v>
      </c>
      <c r="AE526" s="18">
        <f>INDEX(Data_Prices!AE:AE,MATCH($G526,Data_Prices!$A:$A,0))</f>
        <v>8.9443977655571096</v>
      </c>
    </row>
    <row r="527" spans="1:35" x14ac:dyDescent="0.45">
      <c r="B527" s="14" t="s">
        <v>53</v>
      </c>
      <c r="C527" s="14" t="str">
        <f t="shared" si="170"/>
        <v>nfm</v>
      </c>
      <c r="D527" s="15" t="s">
        <v>54</v>
      </c>
      <c r="E527" s="16" t="s">
        <v>51</v>
      </c>
      <c r="F527" s="14" t="s">
        <v>52</v>
      </c>
      <c r="G527" s="17" t="str">
        <f>Settings!$B$3&amp;".mit.pbc."&amp;Settings!$B$4&amp;"."&amp;$B527&amp;".a."&amp;$J$524</f>
        <v>egy.mit.pbc.ind.nga.a.2</v>
      </c>
      <c r="H527" s="45" t="str">
        <f>Settings!$B$3&amp;".mit.ptp."&amp;$C$524&amp;"."&amp;$B527&amp;".e."&amp;$J$524</f>
        <v>egy.mit.ptp.nfm.nga.e.2</v>
      </c>
      <c r="K527" s="18">
        <f>INDEX(Data_Prices!K:K,MATCH($G527,Data_Prices!$A:$A,0))</f>
        <v>6.0634636156729096</v>
      </c>
      <c r="L527" s="18">
        <f>INDEX(Data_Prices!L:L,MATCH($G527,Data_Prices!$A:$A,0))</f>
        <v>5.4510150816191896</v>
      </c>
      <c r="M527" s="18">
        <f>INDEX(Data_Prices!M:M,MATCH($G527,Data_Prices!$A:$A,0))</f>
        <v>5.1193563062624801</v>
      </c>
      <c r="N527" s="18">
        <f>INDEX(Data_Prices!N:N,MATCH($G527,Data_Prices!$A:$A,0))</f>
        <v>5.08218458640407</v>
      </c>
      <c r="O527" s="18">
        <f>INDEX(Data_Prices!O:O,MATCH($G527,Data_Prices!$A:$A,0))</f>
        <v>5.08218458640407</v>
      </c>
      <c r="P527" s="18">
        <f>INDEX(Data_Prices!P:P,MATCH($G527,Data_Prices!$A:$A,0))</f>
        <v>5.08218458640407</v>
      </c>
      <c r="Q527" s="18">
        <f>INDEX(Data_Prices!Q:Q,MATCH($G527,Data_Prices!$A:$A,0))</f>
        <v>5.08218458640407</v>
      </c>
      <c r="R527" s="18">
        <f>INDEX(Data_Prices!R:R,MATCH($G527,Data_Prices!$A:$A,0))</f>
        <v>5.08218458640407</v>
      </c>
      <c r="S527" s="18">
        <f>INDEX(Data_Prices!S:S,MATCH($G527,Data_Prices!$A:$A,0))</f>
        <v>5.08218458640407</v>
      </c>
      <c r="T527" s="18">
        <f>INDEX(Data_Prices!T:T,MATCH($G527,Data_Prices!$A:$A,0))</f>
        <v>5.08218458640407</v>
      </c>
      <c r="U527" s="18">
        <f>INDEX(Data_Prices!U:U,MATCH($G527,Data_Prices!$A:$A,0))</f>
        <v>5.08218458640407</v>
      </c>
      <c r="V527" s="18">
        <f>INDEX(Data_Prices!V:V,MATCH($G527,Data_Prices!$A:$A,0))</f>
        <v>5.08218458640407</v>
      </c>
      <c r="W527" s="18">
        <f>INDEX(Data_Prices!W:W,MATCH($G527,Data_Prices!$A:$A,0))</f>
        <v>5.08218458640407</v>
      </c>
      <c r="X527" s="18">
        <f>INDEX(Data_Prices!X:X,MATCH($G527,Data_Prices!$A:$A,0))</f>
        <v>5.08218458640407</v>
      </c>
      <c r="Y527" s="18">
        <f>INDEX(Data_Prices!Y:Y,MATCH($G527,Data_Prices!$A:$A,0))</f>
        <v>5.08218458640407</v>
      </c>
      <c r="Z527" s="18">
        <f>INDEX(Data_Prices!Z:Z,MATCH($G527,Data_Prices!$A:$A,0))</f>
        <v>5.08218458640407</v>
      </c>
      <c r="AA527" s="18">
        <f>INDEX(Data_Prices!AA:AA,MATCH($G527,Data_Prices!$A:$A,0))</f>
        <v>5.08218458640407</v>
      </c>
      <c r="AB527" s="18">
        <f>INDEX(Data_Prices!AB:AB,MATCH($G527,Data_Prices!$A:$A,0))</f>
        <v>5.08218458640407</v>
      </c>
      <c r="AC527" s="18">
        <f>INDEX(Data_Prices!AC:AC,MATCH($G527,Data_Prices!$A:$A,0))</f>
        <v>5.08218458640407</v>
      </c>
      <c r="AD527" s="18">
        <f>INDEX(Data_Prices!AD:AD,MATCH($G527,Data_Prices!$A:$A,0))</f>
        <v>5.08218458640407</v>
      </c>
      <c r="AE527" s="18">
        <f>INDEX(Data_Prices!AE:AE,MATCH($G527,Data_Prices!$A:$A,0))</f>
        <v>5.08218458640407</v>
      </c>
    </row>
    <row r="528" spans="1:35" x14ac:dyDescent="0.45">
      <c r="B528" s="14" t="s">
        <v>55</v>
      </c>
      <c r="C528" s="14" t="str">
        <f t="shared" si="170"/>
        <v>nfm</v>
      </c>
      <c r="D528" s="15" t="s">
        <v>56</v>
      </c>
      <c r="E528" s="16" t="s">
        <v>57</v>
      </c>
      <c r="F528" s="14" t="s">
        <v>52</v>
      </c>
      <c r="G528" s="17" t="str">
        <f>Settings!$B$3&amp;".mit.pbc."&amp;Settings!$B$4&amp;"."&amp;$B528&amp;".a."&amp;$J$524</f>
        <v>egy.mit.pbc.ind.gso.a.2</v>
      </c>
      <c r="H528" s="45" t="str">
        <f>Settings!$B$3&amp;".mit.ptp."&amp;$C$524&amp;"."&amp;$B528&amp;".e."&amp;$J$524</f>
        <v>egy.mit.ptp.nfm.gso.e.2</v>
      </c>
      <c r="K528" s="18">
        <f>INDEX(Data_Prices!K:K,MATCH($G528,Data_Prices!$A:$A,0))</f>
        <v>0.67114653332181595</v>
      </c>
      <c r="L528" s="18">
        <f>INDEX(Data_Prices!L:L,MATCH($G528,Data_Prices!$A:$A,0))</f>
        <v>0.61197797679140598</v>
      </c>
      <c r="M528" s="18">
        <f>INDEX(Data_Prices!M:M,MATCH($G528,Data_Prices!$A:$A,0))</f>
        <v>0.61180974964187596</v>
      </c>
      <c r="N528" s="18">
        <f>INDEX(Data_Prices!N:N,MATCH($G528,Data_Prices!$A:$A,0))</f>
        <v>0.60358310017790595</v>
      </c>
      <c r="O528" s="18">
        <f>INDEX(Data_Prices!O:O,MATCH($G528,Data_Prices!$A:$A,0))</f>
        <v>0.60358310017790595</v>
      </c>
      <c r="P528" s="18">
        <f>INDEX(Data_Prices!P:P,MATCH($G528,Data_Prices!$A:$A,0))</f>
        <v>0.60358310017790595</v>
      </c>
      <c r="Q528" s="18">
        <f>INDEX(Data_Prices!Q:Q,MATCH($G528,Data_Prices!$A:$A,0))</f>
        <v>0.60358310017790595</v>
      </c>
      <c r="R528" s="18">
        <f>INDEX(Data_Prices!R:R,MATCH($G528,Data_Prices!$A:$A,0))</f>
        <v>0.60358310017790595</v>
      </c>
      <c r="S528" s="18">
        <f>INDEX(Data_Prices!S:S,MATCH($G528,Data_Prices!$A:$A,0))</f>
        <v>0.60358310017790595</v>
      </c>
      <c r="T528" s="18">
        <f>INDEX(Data_Prices!T:T,MATCH($G528,Data_Prices!$A:$A,0))</f>
        <v>0.60358310017790595</v>
      </c>
      <c r="U528" s="18">
        <f>INDEX(Data_Prices!U:U,MATCH($G528,Data_Prices!$A:$A,0))</f>
        <v>0.60358310017790595</v>
      </c>
      <c r="V528" s="18">
        <f>INDEX(Data_Prices!V:V,MATCH($G528,Data_Prices!$A:$A,0))</f>
        <v>0.60358310017790595</v>
      </c>
      <c r="W528" s="18">
        <f>INDEX(Data_Prices!W:W,MATCH($G528,Data_Prices!$A:$A,0))</f>
        <v>0.60358310017790595</v>
      </c>
      <c r="X528" s="18">
        <f>INDEX(Data_Prices!X:X,MATCH($G528,Data_Prices!$A:$A,0))</f>
        <v>0.60358310017790595</v>
      </c>
      <c r="Y528" s="18">
        <f>INDEX(Data_Prices!Y:Y,MATCH($G528,Data_Prices!$A:$A,0))</f>
        <v>0.60358310017790595</v>
      </c>
      <c r="Z528" s="18">
        <f>INDEX(Data_Prices!Z:Z,MATCH($G528,Data_Prices!$A:$A,0))</f>
        <v>0.60358310017790595</v>
      </c>
      <c r="AA528" s="18">
        <f>INDEX(Data_Prices!AA:AA,MATCH($G528,Data_Prices!$A:$A,0))</f>
        <v>0.60358310017790595</v>
      </c>
      <c r="AB528" s="18">
        <f>INDEX(Data_Prices!AB:AB,MATCH($G528,Data_Prices!$A:$A,0))</f>
        <v>0.60358310017790595</v>
      </c>
      <c r="AC528" s="18">
        <f>INDEX(Data_Prices!AC:AC,MATCH($G528,Data_Prices!$A:$A,0))</f>
        <v>0.60358310017790595</v>
      </c>
      <c r="AD528" s="18">
        <f>INDEX(Data_Prices!AD:AD,MATCH($G528,Data_Prices!$A:$A,0))</f>
        <v>0.60358310017790595</v>
      </c>
      <c r="AE528" s="18">
        <f>INDEX(Data_Prices!AE:AE,MATCH($G528,Data_Prices!$A:$A,0))</f>
        <v>0.60358310017790595</v>
      </c>
    </row>
    <row r="529" spans="2:31" x14ac:dyDescent="0.45">
      <c r="B529" s="14" t="s">
        <v>58</v>
      </c>
      <c r="C529" s="14" t="str">
        <f t="shared" si="170"/>
        <v>nfm</v>
      </c>
      <c r="D529" s="15" t="s">
        <v>59</v>
      </c>
      <c r="E529" s="16" t="s">
        <v>57</v>
      </c>
      <c r="F529" s="14" t="s">
        <v>52</v>
      </c>
      <c r="G529" s="17" t="str">
        <f>Settings!$B$3&amp;".mit.pbc."&amp;Settings!$B$4&amp;"."&amp;$B529&amp;".a."&amp;$J$524</f>
        <v>egy.mit.pbc.ind.die.a.2</v>
      </c>
      <c r="H529" s="45" t="str">
        <f>Settings!$B$3&amp;".mit.ptp."&amp;$C$524&amp;"."&amp;$B529&amp;".e."&amp;$J$524</f>
        <v>egy.mit.ptp.nfm.die.e.2</v>
      </c>
      <c r="K529" s="18">
        <f>INDEX(Data_Prices!K:K,MATCH($G529,Data_Prices!$A:$A,0))</f>
        <v>0.55971121315568795</v>
      </c>
      <c r="L529" s="18">
        <f>INDEX(Data_Prices!L:L,MATCH($G529,Data_Prices!$A:$A,0))</f>
        <v>0.49458873084106802</v>
      </c>
      <c r="M529" s="18">
        <f>INDEX(Data_Prices!M:M,MATCH($G529,Data_Prices!$A:$A,0))</f>
        <v>0.50778654720250105</v>
      </c>
      <c r="N529" s="18">
        <f>INDEX(Data_Prices!N:N,MATCH($G529,Data_Prices!$A:$A,0))</f>
        <v>0.47043642679561698</v>
      </c>
      <c r="O529" s="18">
        <f>INDEX(Data_Prices!O:O,MATCH($G529,Data_Prices!$A:$A,0))</f>
        <v>0.47043642679561698</v>
      </c>
      <c r="P529" s="18">
        <f>INDEX(Data_Prices!P:P,MATCH($G529,Data_Prices!$A:$A,0))</f>
        <v>0.47043642679561698</v>
      </c>
      <c r="Q529" s="18">
        <f>INDEX(Data_Prices!Q:Q,MATCH($G529,Data_Prices!$A:$A,0))</f>
        <v>0.47043642679561698</v>
      </c>
      <c r="R529" s="18">
        <f>INDEX(Data_Prices!R:R,MATCH($G529,Data_Prices!$A:$A,0))</f>
        <v>0.47043642679561698</v>
      </c>
      <c r="S529" s="18">
        <f>INDEX(Data_Prices!S:S,MATCH($G529,Data_Prices!$A:$A,0))</f>
        <v>0.47043642679561698</v>
      </c>
      <c r="T529" s="18">
        <f>INDEX(Data_Prices!T:T,MATCH($G529,Data_Prices!$A:$A,0))</f>
        <v>0.47043642679561698</v>
      </c>
      <c r="U529" s="18">
        <f>INDEX(Data_Prices!U:U,MATCH($G529,Data_Prices!$A:$A,0))</f>
        <v>0.47043642679561698</v>
      </c>
      <c r="V529" s="18">
        <f>INDEX(Data_Prices!V:V,MATCH($G529,Data_Prices!$A:$A,0))</f>
        <v>0.47043642679561698</v>
      </c>
      <c r="W529" s="18">
        <f>INDEX(Data_Prices!W:W,MATCH($G529,Data_Prices!$A:$A,0))</f>
        <v>0.47043642679561698</v>
      </c>
      <c r="X529" s="18">
        <f>INDEX(Data_Prices!X:X,MATCH($G529,Data_Prices!$A:$A,0))</f>
        <v>0.47043642679561698</v>
      </c>
      <c r="Y529" s="18">
        <f>INDEX(Data_Prices!Y:Y,MATCH($G529,Data_Prices!$A:$A,0))</f>
        <v>0.47043642679561698</v>
      </c>
      <c r="Z529" s="18">
        <f>INDEX(Data_Prices!Z:Z,MATCH($G529,Data_Prices!$A:$A,0))</f>
        <v>0.47043642679561698</v>
      </c>
      <c r="AA529" s="18">
        <f>INDEX(Data_Prices!AA:AA,MATCH($G529,Data_Prices!$A:$A,0))</f>
        <v>0.47043642679561698</v>
      </c>
      <c r="AB529" s="18">
        <f>INDEX(Data_Prices!AB:AB,MATCH($G529,Data_Prices!$A:$A,0))</f>
        <v>0.47043642679561698</v>
      </c>
      <c r="AC529" s="18">
        <f>INDEX(Data_Prices!AC:AC,MATCH($G529,Data_Prices!$A:$A,0))</f>
        <v>0.47043642679561698</v>
      </c>
      <c r="AD529" s="18">
        <f>INDEX(Data_Prices!AD:AD,MATCH($G529,Data_Prices!$A:$A,0))</f>
        <v>0.47043642679561698</v>
      </c>
      <c r="AE529" s="18">
        <f>INDEX(Data_Prices!AE:AE,MATCH($G529,Data_Prices!$A:$A,0))</f>
        <v>0.47043642679561698</v>
      </c>
    </row>
    <row r="530" spans="2:31" x14ac:dyDescent="0.45">
      <c r="B530" s="14" t="s">
        <v>60</v>
      </c>
      <c r="C530" s="14" t="str">
        <f t="shared" si="170"/>
        <v>nfm</v>
      </c>
      <c r="D530" s="15" t="s">
        <v>61</v>
      </c>
      <c r="E530" s="16" t="s">
        <v>57</v>
      </c>
      <c r="F530" s="14" t="s">
        <v>52</v>
      </c>
      <c r="G530" s="17" t="str">
        <f>Settings!$B$3&amp;".mit.pbc."&amp;Settings!$B$4&amp;"."&amp;$B530&amp;".a."&amp;$J$524</f>
        <v>egy.mit.pbc.ind.lpg.a.2</v>
      </c>
      <c r="H530" s="45" t="str">
        <f>Settings!$B$3&amp;".mit.ptp."&amp;$C$524&amp;"."&amp;$B530&amp;".e."&amp;$J$524</f>
        <v>egy.mit.ptp.nfm.lpg.e.2</v>
      </c>
      <c r="K530" s="18">
        <f>INDEX(Data_Prices!K:K,MATCH($G530,Data_Prices!$A:$A,0))</f>
        <v>0.20036669112673799</v>
      </c>
      <c r="L530" s="18">
        <f>INDEX(Data_Prices!L:L,MATCH($G530,Data_Prices!$A:$A,0))</f>
        <v>0.15734473625227399</v>
      </c>
      <c r="M530" s="18">
        <f>INDEX(Data_Prices!M:M,MATCH($G530,Data_Prices!$A:$A,0))</f>
        <v>0.164484037759277</v>
      </c>
      <c r="N530" s="18">
        <f>INDEX(Data_Prices!N:N,MATCH($G530,Data_Prices!$A:$A,0))</f>
        <v>0.15070907780704901</v>
      </c>
      <c r="O530" s="18">
        <f>INDEX(Data_Prices!O:O,MATCH($G530,Data_Prices!$A:$A,0))</f>
        <v>0.15070907780704901</v>
      </c>
      <c r="P530" s="18">
        <f>INDEX(Data_Prices!P:P,MATCH($G530,Data_Prices!$A:$A,0))</f>
        <v>0.15070907780704901</v>
      </c>
      <c r="Q530" s="18">
        <f>INDEX(Data_Prices!Q:Q,MATCH($G530,Data_Prices!$A:$A,0))</f>
        <v>0.15070907780704901</v>
      </c>
      <c r="R530" s="18">
        <f>INDEX(Data_Prices!R:R,MATCH($G530,Data_Prices!$A:$A,0))</f>
        <v>0.15070907780704901</v>
      </c>
      <c r="S530" s="18">
        <f>INDEX(Data_Prices!S:S,MATCH($G530,Data_Prices!$A:$A,0))</f>
        <v>0.15070907780704901</v>
      </c>
      <c r="T530" s="18">
        <f>INDEX(Data_Prices!T:T,MATCH($G530,Data_Prices!$A:$A,0))</f>
        <v>0.15070907780704901</v>
      </c>
      <c r="U530" s="18">
        <f>INDEX(Data_Prices!U:U,MATCH($G530,Data_Prices!$A:$A,0))</f>
        <v>0.15070907780704901</v>
      </c>
      <c r="V530" s="18">
        <f>INDEX(Data_Prices!V:V,MATCH($G530,Data_Prices!$A:$A,0))</f>
        <v>0.15070907780704901</v>
      </c>
      <c r="W530" s="18">
        <f>INDEX(Data_Prices!W:W,MATCH($G530,Data_Prices!$A:$A,0))</f>
        <v>0.15070907780704901</v>
      </c>
      <c r="X530" s="18">
        <f>INDEX(Data_Prices!X:X,MATCH($G530,Data_Prices!$A:$A,0))</f>
        <v>0.15070907780704901</v>
      </c>
      <c r="Y530" s="18">
        <f>INDEX(Data_Prices!Y:Y,MATCH($G530,Data_Prices!$A:$A,0))</f>
        <v>0.15070907780704901</v>
      </c>
      <c r="Z530" s="18">
        <f>INDEX(Data_Prices!Z:Z,MATCH($G530,Data_Prices!$A:$A,0))</f>
        <v>0.15070907780704901</v>
      </c>
      <c r="AA530" s="18">
        <f>INDEX(Data_Prices!AA:AA,MATCH($G530,Data_Prices!$A:$A,0))</f>
        <v>0.15070907780704901</v>
      </c>
      <c r="AB530" s="18">
        <f>INDEX(Data_Prices!AB:AB,MATCH($G530,Data_Prices!$A:$A,0))</f>
        <v>0.15070907780704901</v>
      </c>
      <c r="AC530" s="18">
        <f>INDEX(Data_Prices!AC:AC,MATCH($G530,Data_Prices!$A:$A,0))</f>
        <v>0.15070907780704901</v>
      </c>
      <c r="AD530" s="18">
        <f>INDEX(Data_Prices!AD:AD,MATCH($G530,Data_Prices!$A:$A,0))</f>
        <v>0.15070907780704901</v>
      </c>
      <c r="AE530" s="18">
        <f>INDEX(Data_Prices!AE:AE,MATCH($G530,Data_Prices!$A:$A,0))</f>
        <v>0.15070907780704901</v>
      </c>
    </row>
    <row r="531" spans="2:31" x14ac:dyDescent="0.45">
      <c r="B531" s="14" t="s">
        <v>62</v>
      </c>
      <c r="C531" s="14" t="str">
        <f t="shared" si="170"/>
        <v>nfm</v>
      </c>
      <c r="D531" s="15" t="s">
        <v>63</v>
      </c>
      <c r="E531" s="16" t="s">
        <v>57</v>
      </c>
      <c r="F531" s="14" t="s">
        <v>52</v>
      </c>
      <c r="G531" s="17" t="str">
        <f>Settings!$B$3&amp;".mit.pbc."&amp;Settings!$B$4&amp;"."&amp;$B531&amp;".a."&amp;$J$524</f>
        <v>egy.mit.pbc.ind.ker.a.2</v>
      </c>
      <c r="H531" s="45" t="str">
        <f>Settings!$B$3&amp;".mit.ptp."&amp;$C$524&amp;"."&amp;$B531&amp;".e."&amp;$J$524</f>
        <v>egy.mit.ptp.nfm.ker.e.2</v>
      </c>
      <c r="K531" s="18">
        <f>INDEX(Data_Prices!K:K,MATCH($G531,Data_Prices!$A:$A,0))</f>
        <v>0.48429424097343499</v>
      </c>
      <c r="L531" s="18">
        <f>INDEX(Data_Prices!L:L,MATCH($G531,Data_Prices!$A:$A,0))</f>
        <v>0.45642817050012802</v>
      </c>
      <c r="M531" s="18">
        <f>INDEX(Data_Prices!M:M,MATCH($G531,Data_Prices!$A:$A,0))</f>
        <v>0.43168920195599497</v>
      </c>
      <c r="N531" s="18">
        <f>INDEX(Data_Prices!N:N,MATCH($G531,Data_Prices!$A:$A,0))</f>
        <v>0.42507558395597</v>
      </c>
      <c r="O531" s="18">
        <f>INDEX(Data_Prices!O:O,MATCH($G531,Data_Prices!$A:$A,0))</f>
        <v>0.42507558395597</v>
      </c>
      <c r="P531" s="18">
        <f>INDEX(Data_Prices!P:P,MATCH($G531,Data_Prices!$A:$A,0))</f>
        <v>0.42507558395597</v>
      </c>
      <c r="Q531" s="18">
        <f>INDEX(Data_Prices!Q:Q,MATCH($G531,Data_Prices!$A:$A,0))</f>
        <v>0.42507558395597</v>
      </c>
      <c r="R531" s="18">
        <f>INDEX(Data_Prices!R:R,MATCH($G531,Data_Prices!$A:$A,0))</f>
        <v>0.42507558395597</v>
      </c>
      <c r="S531" s="18">
        <f>INDEX(Data_Prices!S:S,MATCH($G531,Data_Prices!$A:$A,0))</f>
        <v>0.42507558395597</v>
      </c>
      <c r="T531" s="18">
        <f>INDEX(Data_Prices!T:T,MATCH($G531,Data_Prices!$A:$A,0))</f>
        <v>0.42507558395597</v>
      </c>
      <c r="U531" s="18">
        <f>INDEX(Data_Prices!U:U,MATCH($G531,Data_Prices!$A:$A,0))</f>
        <v>0.42507558395597</v>
      </c>
      <c r="V531" s="18">
        <f>INDEX(Data_Prices!V:V,MATCH($G531,Data_Prices!$A:$A,0))</f>
        <v>0.42507558395597</v>
      </c>
      <c r="W531" s="18">
        <f>INDEX(Data_Prices!W:W,MATCH($G531,Data_Prices!$A:$A,0))</f>
        <v>0.42507558395597</v>
      </c>
      <c r="X531" s="18">
        <f>INDEX(Data_Prices!X:X,MATCH($G531,Data_Prices!$A:$A,0))</f>
        <v>0.42507558395597</v>
      </c>
      <c r="Y531" s="18">
        <f>INDEX(Data_Prices!Y:Y,MATCH($G531,Data_Prices!$A:$A,0))</f>
        <v>0.42507558395597</v>
      </c>
      <c r="Z531" s="18">
        <f>INDEX(Data_Prices!Z:Z,MATCH($G531,Data_Prices!$A:$A,0))</f>
        <v>0.42507558395597</v>
      </c>
      <c r="AA531" s="18">
        <f>INDEX(Data_Prices!AA:AA,MATCH($G531,Data_Prices!$A:$A,0))</f>
        <v>0.42507558395597</v>
      </c>
      <c r="AB531" s="18">
        <f>INDEX(Data_Prices!AB:AB,MATCH($G531,Data_Prices!$A:$A,0))</f>
        <v>0.42507558395597</v>
      </c>
      <c r="AC531" s="18">
        <f>INDEX(Data_Prices!AC:AC,MATCH($G531,Data_Prices!$A:$A,0))</f>
        <v>0.42507558395597</v>
      </c>
      <c r="AD531" s="18">
        <f>INDEX(Data_Prices!AD:AD,MATCH($G531,Data_Prices!$A:$A,0))</f>
        <v>0.42507558395597</v>
      </c>
      <c r="AE531" s="18">
        <f>INDEX(Data_Prices!AE:AE,MATCH($G531,Data_Prices!$A:$A,0))</f>
        <v>0.42507558395597</v>
      </c>
    </row>
    <row r="532" spans="2:31" x14ac:dyDescent="0.45">
      <c r="B532" s="14" t="s">
        <v>64</v>
      </c>
      <c r="C532" s="14" t="str">
        <f t="shared" si="170"/>
        <v>nfm</v>
      </c>
      <c r="D532" s="15" t="s">
        <v>65</v>
      </c>
      <c r="E532" s="16" t="s">
        <v>66</v>
      </c>
      <c r="F532" s="14" t="s">
        <v>52</v>
      </c>
      <c r="G532" s="17" t="str">
        <f>Settings!$B$3&amp;".mit.pbc."&amp;Settings!$B$4&amp;"."&amp;$B532&amp;".a."&amp;$J$524</f>
        <v>egy.mit.pbc.ind.oop.a.2</v>
      </c>
      <c r="H532" s="45" t="str">
        <f>Settings!$B$3&amp;".mit.ptp."&amp;$C$524&amp;"."&amp;$B532&amp;".e."&amp;$J$524</f>
        <v>egy.mit.ptp.nfm.oop.e.2</v>
      </c>
      <c r="K532" s="18">
        <f>INDEX(Data_Prices!K:K,MATCH($G532,Data_Prices!$A:$A,0))</f>
        <v>41.500338498868402</v>
      </c>
      <c r="L532" s="18">
        <f>INDEX(Data_Prices!L:L,MATCH($G532,Data_Prices!$A:$A,0))</f>
        <v>34.4153703043132</v>
      </c>
      <c r="M532" s="18">
        <f>INDEX(Data_Prices!M:M,MATCH($G532,Data_Prices!$A:$A,0))</f>
        <v>37.368960690431997</v>
      </c>
      <c r="N532" s="18">
        <f>INDEX(Data_Prices!N:N,MATCH($G532,Data_Prices!$A:$A,0))</f>
        <v>28.982761101477301</v>
      </c>
      <c r="O532" s="18">
        <f>INDEX(Data_Prices!O:O,MATCH($G532,Data_Prices!$A:$A,0))</f>
        <v>15</v>
      </c>
      <c r="P532" s="18">
        <f>INDEX(Data_Prices!P:P,MATCH($G532,Data_Prices!$A:$A,0))</f>
        <v>24.2586300842555</v>
      </c>
      <c r="Q532" s="18">
        <f>INDEX(Data_Prices!Q:Q,MATCH($G532,Data_Prices!$A:$A,0))</f>
        <v>13.096208196132499</v>
      </c>
      <c r="R532" s="18">
        <f>INDEX(Data_Prices!R:R,MATCH($G532,Data_Prices!$A:$A,0))</f>
        <v>10.0252451140106</v>
      </c>
      <c r="S532" s="18">
        <f>INDEX(Data_Prices!S:S,MATCH($G532,Data_Prices!$A:$A,0))</f>
        <v>8.4772306913736202</v>
      </c>
      <c r="T532" s="18">
        <f>INDEX(Data_Prices!T:T,MATCH($G532,Data_Prices!$A:$A,0))</f>
        <v>7.1234824452092198</v>
      </c>
      <c r="U532" s="18">
        <f>INDEX(Data_Prices!U:U,MATCH($G532,Data_Prices!$A:$A,0))</f>
        <v>5.6527597394100599</v>
      </c>
      <c r="V532" s="18">
        <f>INDEX(Data_Prices!V:V,MATCH($G532,Data_Prices!$A:$A,0))</f>
        <v>5.6527597394100599</v>
      </c>
      <c r="W532" s="18">
        <f>INDEX(Data_Prices!W:W,MATCH($G532,Data_Prices!$A:$A,0))</f>
        <v>5.6527597394100599</v>
      </c>
      <c r="X532" s="18">
        <f>INDEX(Data_Prices!X:X,MATCH($G532,Data_Prices!$A:$A,0))</f>
        <v>5.6527597394100599</v>
      </c>
      <c r="Y532" s="18">
        <f>INDEX(Data_Prices!Y:Y,MATCH($G532,Data_Prices!$A:$A,0))</f>
        <v>5.6527597394100599</v>
      </c>
      <c r="Z532" s="18">
        <f>INDEX(Data_Prices!Z:Z,MATCH($G532,Data_Prices!$A:$A,0))</f>
        <v>5.6527597394100697</v>
      </c>
      <c r="AA532" s="18">
        <f>INDEX(Data_Prices!AA:AA,MATCH($G532,Data_Prices!$A:$A,0))</f>
        <v>5.6527597394100599</v>
      </c>
      <c r="AB532" s="18">
        <f>INDEX(Data_Prices!AB:AB,MATCH($G532,Data_Prices!$A:$A,0))</f>
        <v>5.6527597394100599</v>
      </c>
      <c r="AC532" s="18">
        <f>INDEX(Data_Prices!AC:AC,MATCH($G532,Data_Prices!$A:$A,0))</f>
        <v>5.6527597394100404</v>
      </c>
      <c r="AD532" s="18">
        <f>INDEX(Data_Prices!AD:AD,MATCH($G532,Data_Prices!$A:$A,0))</f>
        <v>5.6527597394100599</v>
      </c>
      <c r="AE532" s="18">
        <f>INDEX(Data_Prices!AE:AE,MATCH($G532,Data_Prices!$A:$A,0))</f>
        <v>5.6527597394100404</v>
      </c>
    </row>
    <row r="533" spans="2:31" x14ac:dyDescent="0.45">
      <c r="B533" s="14" t="s">
        <v>67</v>
      </c>
      <c r="C533" s="14" t="str">
        <f t="shared" si="170"/>
        <v>nfm</v>
      </c>
      <c r="D533" s="15" t="s">
        <v>68</v>
      </c>
      <c r="E533" s="16" t="s">
        <v>51</v>
      </c>
      <c r="F533" s="14" t="s">
        <v>52</v>
      </c>
      <c r="G533" s="17" t="str">
        <f>Settings!$B$3&amp;".mit.pbc."&amp;Settings!$B$4&amp;"."&amp;$B533&amp;".a."&amp;$J$524</f>
        <v>egy.mit.pbc.ind.bio.a.2</v>
      </c>
      <c r="H533" s="45" t="str">
        <f>Settings!$B$3&amp;".mit.ptp."&amp;$C$524&amp;"."&amp;$B533&amp;".e."&amp;$J$524</f>
        <v>egy.mit.ptp.nfm.bio.e.2</v>
      </c>
      <c r="K533" s="18">
        <f>INDEX(Data_Prices!K:K,MATCH($G533,Data_Prices!$A:$A,0))</f>
        <v>15.3345505293169</v>
      </c>
      <c r="L533" s="18">
        <f>INDEX(Data_Prices!L:L,MATCH($G533,Data_Prices!$A:$A,0))</f>
        <v>14.199528390634899</v>
      </c>
      <c r="M533" s="18">
        <f>INDEX(Data_Prices!M:M,MATCH($G533,Data_Prices!$A:$A,0))</f>
        <v>13.8404416133152</v>
      </c>
      <c r="N533" s="18">
        <f>INDEX(Data_Prices!N:N,MATCH($G533,Data_Prices!$A:$A,0))</f>
        <v>13.5677269404465</v>
      </c>
      <c r="O533" s="18">
        <f>INDEX(Data_Prices!O:O,MATCH($G533,Data_Prices!$A:$A,0))</f>
        <v>13.5677269404465</v>
      </c>
      <c r="P533" s="18">
        <f>INDEX(Data_Prices!P:P,MATCH($G533,Data_Prices!$A:$A,0))</f>
        <v>13.5677269404465</v>
      </c>
      <c r="Q533" s="18">
        <f>INDEX(Data_Prices!Q:Q,MATCH($G533,Data_Prices!$A:$A,0))</f>
        <v>13.5677269404465</v>
      </c>
      <c r="R533" s="18">
        <f>INDEX(Data_Prices!R:R,MATCH($G533,Data_Prices!$A:$A,0))</f>
        <v>13.5677269404465</v>
      </c>
      <c r="S533" s="18">
        <f>INDEX(Data_Prices!S:S,MATCH($G533,Data_Prices!$A:$A,0))</f>
        <v>13.5677269404465</v>
      </c>
      <c r="T533" s="18">
        <f>INDEX(Data_Prices!T:T,MATCH($G533,Data_Prices!$A:$A,0))</f>
        <v>13.5677269404465</v>
      </c>
      <c r="U533" s="18">
        <f>INDEX(Data_Prices!U:U,MATCH($G533,Data_Prices!$A:$A,0))</f>
        <v>13.5677269404465</v>
      </c>
      <c r="V533" s="18">
        <f>INDEX(Data_Prices!V:V,MATCH($G533,Data_Prices!$A:$A,0))</f>
        <v>13.5677269404465</v>
      </c>
      <c r="W533" s="18">
        <f>INDEX(Data_Prices!W:W,MATCH($G533,Data_Prices!$A:$A,0))</f>
        <v>13.5677269404465</v>
      </c>
      <c r="X533" s="18">
        <f>INDEX(Data_Prices!X:X,MATCH($G533,Data_Prices!$A:$A,0))</f>
        <v>13.5677269404465</v>
      </c>
      <c r="Y533" s="18">
        <f>INDEX(Data_Prices!Y:Y,MATCH($G533,Data_Prices!$A:$A,0))</f>
        <v>13.5677269404465</v>
      </c>
      <c r="Z533" s="18">
        <f>INDEX(Data_Prices!Z:Z,MATCH($G533,Data_Prices!$A:$A,0))</f>
        <v>13.5677269404465</v>
      </c>
      <c r="AA533" s="18">
        <f>INDEX(Data_Prices!AA:AA,MATCH($G533,Data_Prices!$A:$A,0))</f>
        <v>13.5677269404465</v>
      </c>
      <c r="AB533" s="18">
        <f>INDEX(Data_Prices!AB:AB,MATCH($G533,Data_Prices!$A:$A,0))</f>
        <v>13.5677269404465</v>
      </c>
      <c r="AC533" s="18">
        <f>INDEX(Data_Prices!AC:AC,MATCH($G533,Data_Prices!$A:$A,0))</f>
        <v>13.5677269404465</v>
      </c>
      <c r="AD533" s="18">
        <f>INDEX(Data_Prices!AD:AD,MATCH($G533,Data_Prices!$A:$A,0))</f>
        <v>13.5677269404465</v>
      </c>
      <c r="AE533" s="18">
        <f>INDEX(Data_Prices!AE:AE,MATCH($G533,Data_Prices!$A:$A,0))</f>
        <v>13.5677269404465</v>
      </c>
    </row>
    <row r="534" spans="2:31" x14ac:dyDescent="0.45">
      <c r="B534" s="14" t="s">
        <v>69</v>
      </c>
      <c r="C534" s="14" t="str">
        <f t="shared" si="170"/>
        <v>nfm</v>
      </c>
      <c r="D534" s="15" t="s">
        <v>70</v>
      </c>
      <c r="E534" s="16" t="s">
        <v>71</v>
      </c>
      <c r="F534" s="14" t="s">
        <v>52</v>
      </c>
      <c r="G534" s="17" t="str">
        <f>Settings!$B$3&amp;".mit.pbc."&amp;Settings!$B$4&amp;"."&amp;$B534&amp;".a."&amp;$J$524</f>
        <v>egy.mit.pbc.ind.ren.a.2</v>
      </c>
      <c r="H534" s="45" t="str">
        <f>Settings!$B$3&amp;".mit.ptp."&amp;$C$524&amp;"."&amp;$B534&amp;".e."&amp;$J$524</f>
        <v>egy.mit.ptp.nfm.ren.e.2</v>
      </c>
      <c r="K534" s="18">
        <f>INDEX(Data_Prices!K:K,MATCH($G534,Data_Prices!$A:$A,0))</f>
        <v>0</v>
      </c>
      <c r="L534" s="18">
        <f>INDEX(Data_Prices!L:L,MATCH($G534,Data_Prices!$A:$A,0))</f>
        <v>0.14404498679319799</v>
      </c>
      <c r="M534" s="18">
        <f>INDEX(Data_Prices!M:M,MATCH($G534,Data_Prices!$A:$A,0))</f>
        <v>0.141386241751359</v>
      </c>
      <c r="N534" s="18">
        <f>INDEX(Data_Prices!N:N,MATCH($G534,Data_Prices!$A:$A,0))</f>
        <v>0.13539756544373099</v>
      </c>
      <c r="O534" s="18">
        <f>INDEX(Data_Prices!O:O,MATCH($G534,Data_Prices!$A:$A,0))</f>
        <v>0.13152288542065099</v>
      </c>
      <c r="P534" s="18">
        <f>INDEX(Data_Prices!P:P,MATCH($G534,Data_Prices!$A:$A,0))</f>
        <v>0.12882610848523099</v>
      </c>
      <c r="Q534" s="18">
        <f>INDEX(Data_Prices!Q:Q,MATCH($G534,Data_Prices!$A:$A,0))</f>
        <v>0.12594200976473999</v>
      </c>
      <c r="R534" s="18">
        <f>INDEX(Data_Prices!R:R,MATCH($G534,Data_Prices!$A:$A,0))</f>
        <v>0.123113265701861</v>
      </c>
      <c r="S534" s="18">
        <f>INDEX(Data_Prices!S:S,MATCH($G534,Data_Prices!$A:$A,0))</f>
        <v>0.119391738089068</v>
      </c>
      <c r="T534" s="18">
        <f>INDEX(Data_Prices!T:T,MATCH($G534,Data_Prices!$A:$A,0))</f>
        <v>0.11554419046792</v>
      </c>
      <c r="U534" s="18">
        <f>INDEX(Data_Prices!U:U,MATCH($G534,Data_Prices!$A:$A,0))</f>
        <v>0.11492423065415899</v>
      </c>
      <c r="V534" s="18">
        <f>INDEX(Data_Prices!V:V,MATCH($G534,Data_Prices!$A:$A,0))</f>
        <v>0.114346912116736</v>
      </c>
      <c r="W534" s="18">
        <f>INDEX(Data_Prices!W:W,MATCH($G534,Data_Prices!$A:$A,0))</f>
        <v>0.113738711172664</v>
      </c>
      <c r="X534" s="18">
        <f>INDEX(Data_Prices!X:X,MATCH($G534,Data_Prices!$A:$A,0))</f>
        <v>0.112999900487521</v>
      </c>
      <c r="Y534" s="18">
        <f>INDEX(Data_Prices!Y:Y,MATCH($G534,Data_Prices!$A:$A,0))</f>
        <v>0.112177685835534</v>
      </c>
      <c r="Z534" s="18">
        <f>INDEX(Data_Prices!Z:Z,MATCH($G534,Data_Prices!$A:$A,0))</f>
        <v>0.111417903250404</v>
      </c>
      <c r="AA534" s="18">
        <f>INDEX(Data_Prices!AA:AA,MATCH($G534,Data_Prices!$A:$A,0))</f>
        <v>0.11052581998545399</v>
      </c>
      <c r="AB534" s="18">
        <f>INDEX(Data_Prices!AB:AB,MATCH($G534,Data_Prices!$A:$A,0))</f>
        <v>0.109699565234896</v>
      </c>
      <c r="AC534" s="18">
        <f>INDEX(Data_Prices!AC:AC,MATCH($G534,Data_Prices!$A:$A,0))</f>
        <v>0.10772678896394899</v>
      </c>
      <c r="AD534" s="18">
        <f>INDEX(Data_Prices!AD:AD,MATCH($G534,Data_Prices!$A:$A,0))</f>
        <v>0.10582092445093499</v>
      </c>
      <c r="AE534" s="18">
        <f>INDEX(Data_Prices!AE:AE,MATCH($G534,Data_Prices!$A:$A,0))</f>
        <v>0.103855595705721</v>
      </c>
    </row>
    <row r="535" spans="2:31" x14ac:dyDescent="0.45">
      <c r="B535" s="13" t="s">
        <v>72</v>
      </c>
    </row>
    <row r="536" spans="2:31" x14ac:dyDescent="0.45">
      <c r="B536" s="14" t="s">
        <v>49</v>
      </c>
      <c r="C536" s="14" t="str">
        <f t="shared" ref="C536:C544" si="171">$C$524</f>
        <v>nfm</v>
      </c>
      <c r="D536" s="15" t="s">
        <v>50</v>
      </c>
      <c r="E536" s="16" t="s">
        <v>51</v>
      </c>
      <c r="F536" s="14" t="s">
        <v>73</v>
      </c>
      <c r="G536" s="17" t="str">
        <f>Settings!$B$3&amp;".mit.nce."&amp;Settings!$B$4&amp;"."&amp;$B536&amp;".a."&amp;$J$524</f>
        <v>egy.mit.nce.ind.coa.a.2</v>
      </c>
      <c r="H536" s="45" t="str">
        <f>Settings!$B$3&amp;".mit.atp."&amp;$C$524&amp;"."&amp;$B536&amp;".e."&amp;$J$524</f>
        <v>egy.mit.atp.nfm.coa.e.2</v>
      </c>
      <c r="K536" s="18">
        <f>K526+INDEX(Data_Prices!K:K,MATCH($G536,Data_Prices!$A:$A,0))*K$556</f>
        <v>11.182901589243899</v>
      </c>
      <c r="L536" s="18">
        <f>L526+INDEX(Data_Prices!L:L,MATCH($G536,Data_Prices!$A:$A,0))*L$556</f>
        <v>10.5233613454312</v>
      </c>
      <c r="M536" s="18">
        <f>M526+INDEX(Data_Prices!M:M,MATCH($G536,Data_Prices!$A:$A,0))*M$556</f>
        <v>10.2995608274442</v>
      </c>
      <c r="N536" s="18">
        <f>N526+INDEX(Data_Prices!N:N,MATCH($G536,Data_Prices!$A:$A,0))*N$556</f>
        <v>9.5775283595382597</v>
      </c>
      <c r="O536" s="18">
        <f>O526+INDEX(Data_Prices!O:O,MATCH($G536,Data_Prices!$A:$A,0))*O$556</f>
        <v>8.4854782869580507</v>
      </c>
      <c r="P536" s="18">
        <f>P526+INDEX(Data_Prices!P:P,MATCH($G536,Data_Prices!$A:$A,0))*P$556</f>
        <v>9.0871922352498604</v>
      </c>
      <c r="Q536" s="18">
        <f>Q526+INDEX(Data_Prices!Q:Q,MATCH($G536,Data_Prices!$A:$A,0))*Q$556</f>
        <v>10.472923728932679</v>
      </c>
      <c r="R536" s="18">
        <f>R526+INDEX(Data_Prices!R:R,MATCH($G536,Data_Prices!$A:$A,0))*R$556</f>
        <v>11.658564955509689</v>
      </c>
      <c r="S536" s="18">
        <f>S526+INDEX(Data_Prices!S:S,MATCH($G536,Data_Prices!$A:$A,0))*S$556</f>
        <v>12.839547877397379</v>
      </c>
      <c r="T536" s="18">
        <f>T526+INDEX(Data_Prices!T:T,MATCH($G536,Data_Prices!$A:$A,0))*T$556</f>
        <v>14.01568166602283</v>
      </c>
      <c r="U536" s="18">
        <f>U526+INDEX(Data_Prices!U:U,MATCH($G536,Data_Prices!$A:$A,0))*U$556</f>
        <v>15.19439776555711</v>
      </c>
      <c r="V536" s="18">
        <f>V526+INDEX(Data_Prices!V:V,MATCH($G536,Data_Prices!$A:$A,0))*V$556</f>
        <v>16.44439776555711</v>
      </c>
      <c r="W536" s="18">
        <f>W526+INDEX(Data_Prices!W:W,MATCH($G536,Data_Prices!$A:$A,0))*W$556</f>
        <v>17.69439776555711</v>
      </c>
      <c r="X536" s="18">
        <f>X526+INDEX(Data_Prices!X:X,MATCH($G536,Data_Prices!$A:$A,0))*X$556</f>
        <v>18.94439776555711</v>
      </c>
      <c r="Y536" s="18">
        <f>Y526+INDEX(Data_Prices!Y:Y,MATCH($G536,Data_Prices!$A:$A,0))*Y$556</f>
        <v>20.19439776555711</v>
      </c>
      <c r="Z536" s="18">
        <f>Z526+INDEX(Data_Prices!Z:Z,MATCH($G536,Data_Prices!$A:$A,0))*Z$556</f>
        <v>21.44439776555711</v>
      </c>
      <c r="AA536" s="18">
        <f>AA526+INDEX(Data_Prices!AA:AA,MATCH($G536,Data_Prices!$A:$A,0))*AA$556</f>
        <v>22.69439776555711</v>
      </c>
      <c r="AB536" s="18">
        <f>AB526+INDEX(Data_Prices!AB:AB,MATCH($G536,Data_Prices!$A:$A,0))*AB$556</f>
        <v>23.94439776555711</v>
      </c>
      <c r="AC536" s="18">
        <f>AC526+INDEX(Data_Prices!AC:AC,MATCH($G536,Data_Prices!$A:$A,0))*AC$556</f>
        <v>25.19439776555711</v>
      </c>
      <c r="AD536" s="18">
        <f>AD526+INDEX(Data_Prices!AD:AD,MATCH($G536,Data_Prices!$A:$A,0))*AD$556</f>
        <v>26.44439776555711</v>
      </c>
      <c r="AE536" s="18">
        <f>AE526+INDEX(Data_Prices!AE:AE,MATCH($G536,Data_Prices!$A:$A,0))*AE$556</f>
        <v>27.69439776555711</v>
      </c>
    </row>
    <row r="537" spans="2:31" x14ac:dyDescent="0.45">
      <c r="B537" s="14" t="s">
        <v>53</v>
      </c>
      <c r="C537" s="14" t="str">
        <f t="shared" si="171"/>
        <v>nfm</v>
      </c>
      <c r="D537" s="15" t="s">
        <v>54</v>
      </c>
      <c r="E537" s="16" t="s">
        <v>51</v>
      </c>
      <c r="F537" s="14" t="s">
        <v>73</v>
      </c>
      <c r="G537" s="17" t="str">
        <f>Settings!$B$3&amp;".mit.nce."&amp;Settings!$B$4&amp;"."&amp;$B537&amp;".a."&amp;$J$524</f>
        <v>egy.mit.nce.ind.nga.a.2</v>
      </c>
      <c r="H537" s="45" t="str">
        <f>Settings!$B$3&amp;".mit.atp."&amp;$C$524&amp;"."&amp;$B537&amp;".e."&amp;$J$524</f>
        <v>egy.mit.atp.nfm.nga.e.2</v>
      </c>
      <c r="K537" s="18">
        <f>K527+INDEX(Data_Prices!K:K,MATCH($G537,Data_Prices!$A:$A,0))*K$556</f>
        <v>6.0634636156729096</v>
      </c>
      <c r="L537" s="18">
        <f>L527+INDEX(Data_Prices!L:L,MATCH($G537,Data_Prices!$A:$A,0))*L$556</f>
        <v>5.4510150816191896</v>
      </c>
      <c r="M537" s="18">
        <f>M527+INDEX(Data_Prices!M:M,MATCH($G537,Data_Prices!$A:$A,0))*M$556</f>
        <v>5.1193563062624801</v>
      </c>
      <c r="N537" s="18">
        <f>N527+INDEX(Data_Prices!N:N,MATCH($G537,Data_Prices!$A:$A,0))*N$556</f>
        <v>5.08218458640407</v>
      </c>
      <c r="O537" s="18">
        <f>O527+INDEX(Data_Prices!O:O,MATCH($G537,Data_Prices!$A:$A,0))*O$556</f>
        <v>5.08218458640407</v>
      </c>
      <c r="P537" s="18">
        <f>P527+INDEX(Data_Prices!P:P,MATCH($G537,Data_Prices!$A:$A,0))*P$556</f>
        <v>5.08218458640407</v>
      </c>
      <c r="Q537" s="18">
        <f>Q527+INDEX(Data_Prices!Q:Q,MATCH($G537,Data_Prices!$A:$A,0))*Q$556</f>
        <v>5.7796845864040698</v>
      </c>
      <c r="R537" s="18">
        <f>R527+INDEX(Data_Prices!R:R,MATCH($G537,Data_Prices!$A:$A,0))*R$556</f>
        <v>6.4771845864040696</v>
      </c>
      <c r="S537" s="18">
        <f>S527+INDEX(Data_Prices!S:S,MATCH($G537,Data_Prices!$A:$A,0))*S$556</f>
        <v>7.1746845864040703</v>
      </c>
      <c r="T537" s="18">
        <f>T527+INDEX(Data_Prices!T:T,MATCH($G537,Data_Prices!$A:$A,0))*T$556</f>
        <v>7.87218458640407</v>
      </c>
      <c r="U537" s="18">
        <f>U527+INDEX(Data_Prices!U:U,MATCH($G537,Data_Prices!$A:$A,0))*U$556</f>
        <v>8.5696845864040707</v>
      </c>
      <c r="V537" s="18">
        <f>V527+INDEX(Data_Prices!V:V,MATCH($G537,Data_Prices!$A:$A,0))*V$556</f>
        <v>9.2671845864040705</v>
      </c>
      <c r="W537" s="18">
        <f>W527+INDEX(Data_Prices!W:W,MATCH($G537,Data_Prices!$A:$A,0))*W$556</f>
        <v>9.9646845864040703</v>
      </c>
      <c r="X537" s="18">
        <f>X527+INDEX(Data_Prices!X:X,MATCH($G537,Data_Prices!$A:$A,0))*X$556</f>
        <v>10.66218458640407</v>
      </c>
      <c r="Y537" s="18">
        <f>Y527+INDEX(Data_Prices!Y:Y,MATCH($G537,Data_Prices!$A:$A,0))*Y$556</f>
        <v>11.35968458640407</v>
      </c>
      <c r="Z537" s="18">
        <f>Z527+INDEX(Data_Prices!Z:Z,MATCH($G537,Data_Prices!$A:$A,0))*Z$556</f>
        <v>12.05718458640407</v>
      </c>
      <c r="AA537" s="18">
        <f>AA527+INDEX(Data_Prices!AA:AA,MATCH($G537,Data_Prices!$A:$A,0))*AA$556</f>
        <v>12.754684586404071</v>
      </c>
      <c r="AB537" s="18">
        <f>AB527+INDEX(Data_Prices!AB:AB,MATCH($G537,Data_Prices!$A:$A,0))*AB$556</f>
        <v>13.452184586404071</v>
      </c>
      <c r="AC537" s="18">
        <f>AC527+INDEX(Data_Prices!AC:AC,MATCH($G537,Data_Prices!$A:$A,0))*AC$556</f>
        <v>14.149684586404071</v>
      </c>
      <c r="AD537" s="18">
        <f>AD527+INDEX(Data_Prices!AD:AD,MATCH($G537,Data_Prices!$A:$A,0))*AD$556</f>
        <v>14.847184586404071</v>
      </c>
      <c r="AE537" s="18">
        <f>AE527+INDEX(Data_Prices!AE:AE,MATCH($G537,Data_Prices!$A:$A,0))*AE$556</f>
        <v>15.54468458640407</v>
      </c>
    </row>
    <row r="538" spans="2:31" x14ac:dyDescent="0.45">
      <c r="B538" s="14" t="s">
        <v>55</v>
      </c>
      <c r="C538" s="14" t="str">
        <f t="shared" si="171"/>
        <v>nfm</v>
      </c>
      <c r="D538" s="15" t="s">
        <v>56</v>
      </c>
      <c r="E538" s="16" t="s">
        <v>57</v>
      </c>
      <c r="F538" s="14" t="s">
        <v>73</v>
      </c>
      <c r="G538" s="17" t="str">
        <f>Settings!$B$3&amp;".mit.nce."&amp;Settings!$B$4&amp;"."&amp;$B538&amp;".a."&amp;$J$524</f>
        <v>egy.mit.nce.ind.gso.a.2</v>
      </c>
      <c r="H538" s="45" t="str">
        <f>Settings!$B$3&amp;".mit.atp."&amp;$C$524&amp;"."&amp;$B538&amp;".e."&amp;$J$524</f>
        <v>egy.mit.atp.nfm.gso.e.2</v>
      </c>
      <c r="K538" s="18">
        <f>K528+INDEX(Data_Prices!K:K,MATCH($G538,Data_Prices!$A:$A,0))*K$556</f>
        <v>0.67114653332181595</v>
      </c>
      <c r="L538" s="18">
        <f>L528+INDEX(Data_Prices!L:L,MATCH($G538,Data_Prices!$A:$A,0))*L$556</f>
        <v>0.61197797679140598</v>
      </c>
      <c r="M538" s="18">
        <f>M528+INDEX(Data_Prices!M:M,MATCH($G538,Data_Prices!$A:$A,0))*M$556</f>
        <v>0.61180974964187596</v>
      </c>
      <c r="N538" s="18">
        <f>N528+INDEX(Data_Prices!N:N,MATCH($G538,Data_Prices!$A:$A,0))*N$556</f>
        <v>0.60358310017790595</v>
      </c>
      <c r="O538" s="18">
        <f>O528+INDEX(Data_Prices!O:O,MATCH($G538,Data_Prices!$A:$A,0))*O$556</f>
        <v>0.60358310017790595</v>
      </c>
      <c r="P538" s="18">
        <f>P528+INDEX(Data_Prices!P:P,MATCH($G538,Data_Prices!$A:$A,0))*P$556</f>
        <v>0.60358310017790595</v>
      </c>
      <c r="Q538" s="18">
        <f>Q528+INDEX(Data_Prices!Q:Q,MATCH($G538,Data_Prices!$A:$A,0))*Q$556</f>
        <v>0.63251094334940594</v>
      </c>
      <c r="R538" s="18">
        <f>R528+INDEX(Data_Prices!R:R,MATCH($G538,Data_Prices!$A:$A,0))*R$556</f>
        <v>0.66143878652090593</v>
      </c>
      <c r="S538" s="18">
        <f>S528+INDEX(Data_Prices!S:S,MATCH($G538,Data_Prices!$A:$A,0))*S$556</f>
        <v>0.69036662969240592</v>
      </c>
      <c r="T538" s="18">
        <f>T528+INDEX(Data_Prices!T:T,MATCH($G538,Data_Prices!$A:$A,0))*T$556</f>
        <v>0.71929447286390591</v>
      </c>
      <c r="U538" s="18">
        <f>U528+INDEX(Data_Prices!U:U,MATCH($G538,Data_Prices!$A:$A,0))*U$556</f>
        <v>0.74822231603540601</v>
      </c>
      <c r="V538" s="18">
        <f>V528+INDEX(Data_Prices!V:V,MATCH($G538,Data_Prices!$A:$A,0))*V$556</f>
        <v>0.777150159206906</v>
      </c>
      <c r="W538" s="18">
        <f>W528+INDEX(Data_Prices!W:W,MATCH($G538,Data_Prices!$A:$A,0))*W$556</f>
        <v>0.80607800237840599</v>
      </c>
      <c r="X538" s="18">
        <f>X528+INDEX(Data_Prices!X:X,MATCH($G538,Data_Prices!$A:$A,0))*X$556</f>
        <v>0.83500584554990598</v>
      </c>
      <c r="Y538" s="18">
        <f>Y528+INDEX(Data_Prices!Y:Y,MATCH($G538,Data_Prices!$A:$A,0))*Y$556</f>
        <v>0.86393368872140597</v>
      </c>
      <c r="Z538" s="18">
        <f>Z528+INDEX(Data_Prices!Z:Z,MATCH($G538,Data_Prices!$A:$A,0))*Z$556</f>
        <v>0.89286153189290596</v>
      </c>
      <c r="AA538" s="18">
        <f>AA528+INDEX(Data_Prices!AA:AA,MATCH($G538,Data_Prices!$A:$A,0))*AA$556</f>
        <v>0.92178937506440595</v>
      </c>
      <c r="AB538" s="18">
        <f>AB528+INDEX(Data_Prices!AB:AB,MATCH($G538,Data_Prices!$A:$A,0))*AB$556</f>
        <v>0.95071721823590605</v>
      </c>
      <c r="AC538" s="18">
        <f>AC528+INDEX(Data_Prices!AC:AC,MATCH($G538,Data_Prices!$A:$A,0))*AC$556</f>
        <v>0.97964506140740593</v>
      </c>
      <c r="AD538" s="18">
        <f>AD528+INDEX(Data_Prices!AD:AD,MATCH($G538,Data_Prices!$A:$A,0))*AD$556</f>
        <v>1.008572904578906</v>
      </c>
      <c r="AE538" s="18">
        <f>AE528+INDEX(Data_Prices!AE:AE,MATCH($G538,Data_Prices!$A:$A,0))*AE$556</f>
        <v>1.0375007477504061</v>
      </c>
    </row>
    <row r="539" spans="2:31" x14ac:dyDescent="0.45">
      <c r="B539" s="14" t="s">
        <v>58</v>
      </c>
      <c r="C539" s="14" t="str">
        <f t="shared" si="171"/>
        <v>nfm</v>
      </c>
      <c r="D539" s="15" t="s">
        <v>59</v>
      </c>
      <c r="E539" s="16" t="s">
        <v>57</v>
      </c>
      <c r="F539" s="14" t="s">
        <v>73</v>
      </c>
      <c r="G539" s="17" t="str">
        <f>Settings!$B$3&amp;".mit.nce."&amp;Settings!$B$4&amp;"."&amp;$B539&amp;".a."&amp;$J$524</f>
        <v>egy.mit.nce.ind.die.a.2</v>
      </c>
      <c r="H539" s="45" t="str">
        <f>Settings!$B$3&amp;".mit.atp."&amp;$C$524&amp;"."&amp;$B539&amp;".e."&amp;$J$524</f>
        <v>egy.mit.atp.nfm.die.e.2</v>
      </c>
      <c r="K539" s="18">
        <f>K529+INDEX(Data_Prices!K:K,MATCH($G539,Data_Prices!$A:$A,0))*K$556</f>
        <v>0.55971121315568795</v>
      </c>
      <c r="L539" s="18">
        <f>L529+INDEX(Data_Prices!L:L,MATCH($G539,Data_Prices!$A:$A,0))*L$556</f>
        <v>0.49458873084106802</v>
      </c>
      <c r="M539" s="18">
        <f>M529+INDEX(Data_Prices!M:M,MATCH($G539,Data_Prices!$A:$A,0))*M$556</f>
        <v>0.50778654720250105</v>
      </c>
      <c r="N539" s="18">
        <f>N529+INDEX(Data_Prices!N:N,MATCH($G539,Data_Prices!$A:$A,0))*N$556</f>
        <v>0.47043642679561698</v>
      </c>
      <c r="O539" s="18">
        <f>O529+INDEX(Data_Prices!O:O,MATCH($G539,Data_Prices!$A:$A,0))*O$556</f>
        <v>0.47043642679561698</v>
      </c>
      <c r="P539" s="18">
        <f>P529+INDEX(Data_Prices!P:P,MATCH($G539,Data_Prices!$A:$A,0))*P$556</f>
        <v>0.47043642679561698</v>
      </c>
      <c r="Q539" s="18">
        <f>Q529+INDEX(Data_Prices!Q:Q,MATCH($G539,Data_Prices!$A:$A,0))*Q$556</f>
        <v>0.50344686565449193</v>
      </c>
      <c r="R539" s="18">
        <f>R529+INDEX(Data_Prices!R:R,MATCH($G539,Data_Prices!$A:$A,0))*R$556</f>
        <v>0.53645730451336693</v>
      </c>
      <c r="S539" s="18">
        <f>S529+INDEX(Data_Prices!S:S,MATCH($G539,Data_Prices!$A:$A,0))*S$556</f>
        <v>0.56946774337224193</v>
      </c>
      <c r="T539" s="18">
        <f>T529+INDEX(Data_Prices!T:T,MATCH($G539,Data_Prices!$A:$A,0))*T$556</f>
        <v>0.60247818223111693</v>
      </c>
      <c r="U539" s="18">
        <f>U529+INDEX(Data_Prices!U:U,MATCH($G539,Data_Prices!$A:$A,0))*U$556</f>
        <v>0.63548862108999193</v>
      </c>
      <c r="V539" s="18">
        <f>V529+INDEX(Data_Prices!V:V,MATCH($G539,Data_Prices!$A:$A,0))*V$556</f>
        <v>0.66849905994886694</v>
      </c>
      <c r="W539" s="18">
        <f>W529+INDEX(Data_Prices!W:W,MATCH($G539,Data_Prices!$A:$A,0))*W$556</f>
        <v>0.70150949880774194</v>
      </c>
      <c r="X539" s="18">
        <f>X529+INDEX(Data_Prices!X:X,MATCH($G539,Data_Prices!$A:$A,0))*X$556</f>
        <v>0.73451993766661694</v>
      </c>
      <c r="Y539" s="18">
        <f>Y529+INDEX(Data_Prices!Y:Y,MATCH($G539,Data_Prices!$A:$A,0))*Y$556</f>
        <v>0.76753037652549194</v>
      </c>
      <c r="Z539" s="18">
        <f>Z529+INDEX(Data_Prices!Z:Z,MATCH($G539,Data_Prices!$A:$A,0))*Z$556</f>
        <v>0.80054081538436694</v>
      </c>
      <c r="AA539" s="18">
        <f>AA529+INDEX(Data_Prices!AA:AA,MATCH($G539,Data_Prices!$A:$A,0))*AA$556</f>
        <v>0.83355125424324195</v>
      </c>
      <c r="AB539" s="18">
        <f>AB529+INDEX(Data_Prices!AB:AB,MATCH($G539,Data_Prices!$A:$A,0))*AB$556</f>
        <v>0.86656169310211695</v>
      </c>
      <c r="AC539" s="18">
        <f>AC529+INDEX(Data_Prices!AC:AC,MATCH($G539,Data_Prices!$A:$A,0))*AC$556</f>
        <v>0.89957213196099195</v>
      </c>
      <c r="AD539" s="18">
        <f>AD529+INDEX(Data_Prices!AD:AD,MATCH($G539,Data_Prices!$A:$A,0))*AD$556</f>
        <v>0.93258257081986695</v>
      </c>
      <c r="AE539" s="18">
        <f>AE529+INDEX(Data_Prices!AE:AE,MATCH($G539,Data_Prices!$A:$A,0))*AE$556</f>
        <v>0.96559300967874195</v>
      </c>
    </row>
    <row r="540" spans="2:31" x14ac:dyDescent="0.45">
      <c r="B540" s="14" t="s">
        <v>60</v>
      </c>
      <c r="C540" s="14" t="str">
        <f t="shared" si="171"/>
        <v>nfm</v>
      </c>
      <c r="D540" s="15" t="s">
        <v>61</v>
      </c>
      <c r="E540" s="16" t="s">
        <v>57</v>
      </c>
      <c r="F540" s="14" t="s">
        <v>73</v>
      </c>
      <c r="G540" s="17" t="str">
        <f>Settings!$B$3&amp;".mit.nce."&amp;Settings!$B$4&amp;"."&amp;$B540&amp;".a."&amp;$J$524</f>
        <v>egy.mit.nce.ind.lpg.a.2</v>
      </c>
      <c r="H540" s="45" t="str">
        <f>Settings!$B$3&amp;".mit.atp."&amp;$C$524&amp;"."&amp;$B540&amp;".e."&amp;$J$524</f>
        <v>egy.mit.atp.nfm.lpg.e.2</v>
      </c>
      <c r="K540" s="18">
        <f>K530+INDEX(Data_Prices!K:K,MATCH($G540,Data_Prices!$A:$A,0))*K$556</f>
        <v>0.20036669112673799</v>
      </c>
      <c r="L540" s="18">
        <f>L530+INDEX(Data_Prices!L:L,MATCH($G540,Data_Prices!$A:$A,0))*L$556</f>
        <v>0.15734473625227399</v>
      </c>
      <c r="M540" s="18">
        <f>M530+INDEX(Data_Prices!M:M,MATCH($G540,Data_Prices!$A:$A,0))*M$556</f>
        <v>0.164484037759277</v>
      </c>
      <c r="N540" s="18">
        <f>N530+INDEX(Data_Prices!N:N,MATCH($G540,Data_Prices!$A:$A,0))*N$556</f>
        <v>0.15070907780704901</v>
      </c>
      <c r="O540" s="18">
        <f>O530+INDEX(Data_Prices!O:O,MATCH($G540,Data_Prices!$A:$A,0))*O$556</f>
        <v>0.15070907780704901</v>
      </c>
      <c r="P540" s="18">
        <f>P530+INDEX(Data_Prices!P:P,MATCH($G540,Data_Prices!$A:$A,0))*P$556</f>
        <v>0.15070907780704901</v>
      </c>
      <c r="Q540" s="18">
        <f>Q530+INDEX(Data_Prices!Q:Q,MATCH($G540,Data_Prices!$A:$A,0))*Q$556</f>
        <v>0.17281516073434466</v>
      </c>
      <c r="R540" s="18">
        <f>R530+INDEX(Data_Prices!R:R,MATCH($G540,Data_Prices!$A:$A,0))*R$556</f>
        <v>0.19492124366164035</v>
      </c>
      <c r="S540" s="18">
        <f>S530+INDEX(Data_Prices!S:S,MATCH($G540,Data_Prices!$A:$A,0))*S$556</f>
        <v>0.217027326588936</v>
      </c>
      <c r="T540" s="18">
        <f>T530+INDEX(Data_Prices!T:T,MATCH($G540,Data_Prices!$A:$A,0))*T$556</f>
        <v>0.23913340951623169</v>
      </c>
      <c r="U540" s="18">
        <f>U530+INDEX(Data_Prices!U:U,MATCH($G540,Data_Prices!$A:$A,0))*U$556</f>
        <v>0.26123949244352734</v>
      </c>
      <c r="V540" s="18">
        <f>V530+INDEX(Data_Prices!V:V,MATCH($G540,Data_Prices!$A:$A,0))*V$556</f>
        <v>0.283345575370823</v>
      </c>
      <c r="W540" s="18">
        <f>W530+INDEX(Data_Prices!W:W,MATCH($G540,Data_Prices!$A:$A,0))*W$556</f>
        <v>0.30545165829811871</v>
      </c>
      <c r="X540" s="18">
        <f>X530+INDEX(Data_Prices!X:X,MATCH($G540,Data_Prices!$A:$A,0))*X$556</f>
        <v>0.32755774122541437</v>
      </c>
      <c r="Y540" s="18">
        <f>Y530+INDEX(Data_Prices!Y:Y,MATCH($G540,Data_Prices!$A:$A,0))*Y$556</f>
        <v>0.34966382415271002</v>
      </c>
      <c r="Z540" s="18">
        <f>Z530+INDEX(Data_Prices!Z:Z,MATCH($G540,Data_Prices!$A:$A,0))*Z$556</f>
        <v>0.37176990708000568</v>
      </c>
      <c r="AA540" s="18">
        <f>AA530+INDEX(Data_Prices!AA:AA,MATCH($G540,Data_Prices!$A:$A,0))*AA$556</f>
        <v>0.39387599000730134</v>
      </c>
      <c r="AB540" s="18">
        <f>AB530+INDEX(Data_Prices!AB:AB,MATCH($G540,Data_Prices!$A:$A,0))*AB$556</f>
        <v>0.41598207293459699</v>
      </c>
      <c r="AC540" s="18">
        <f>AC530+INDEX(Data_Prices!AC:AC,MATCH($G540,Data_Prices!$A:$A,0))*AC$556</f>
        <v>0.4380881558618927</v>
      </c>
      <c r="AD540" s="18">
        <f>AD530+INDEX(Data_Prices!AD:AD,MATCH($G540,Data_Prices!$A:$A,0))*AD$556</f>
        <v>0.46019423878918836</v>
      </c>
      <c r="AE540" s="18">
        <f>AE530+INDEX(Data_Prices!AE:AE,MATCH($G540,Data_Prices!$A:$A,0))*AE$556</f>
        <v>0.48230032171648402</v>
      </c>
    </row>
    <row r="541" spans="2:31" x14ac:dyDescent="0.45">
      <c r="B541" s="14" t="s">
        <v>62</v>
      </c>
      <c r="C541" s="14" t="str">
        <f t="shared" si="171"/>
        <v>nfm</v>
      </c>
      <c r="D541" s="15" t="s">
        <v>63</v>
      </c>
      <c r="E541" s="16" t="s">
        <v>57</v>
      </c>
      <c r="F541" s="14" t="s">
        <v>73</v>
      </c>
      <c r="G541" s="17" t="str">
        <f>Settings!$B$3&amp;".mit.nce."&amp;Settings!$B$4&amp;"."&amp;$B541&amp;".a."&amp;$J$524</f>
        <v>egy.mit.nce.ind.ker.a.2</v>
      </c>
      <c r="H541" s="45" t="str">
        <f>Settings!$B$3&amp;".mit.atp."&amp;$C$524&amp;"."&amp;$B541&amp;".e."&amp;$J$524</f>
        <v>egy.mit.atp.nfm.ker.e.2</v>
      </c>
      <c r="K541" s="18">
        <f>K531+INDEX(Data_Prices!K:K,MATCH($G541,Data_Prices!$A:$A,0))*K$556</f>
        <v>0.48429424097343499</v>
      </c>
      <c r="L541" s="18">
        <f>L531+INDEX(Data_Prices!L:L,MATCH($G541,Data_Prices!$A:$A,0))*L$556</f>
        <v>0.45642817050012802</v>
      </c>
      <c r="M541" s="18">
        <f>M531+INDEX(Data_Prices!M:M,MATCH($G541,Data_Prices!$A:$A,0))*M$556</f>
        <v>0.43168920195599497</v>
      </c>
      <c r="N541" s="18">
        <f>N531+INDEX(Data_Prices!N:N,MATCH($G541,Data_Prices!$A:$A,0))*N$556</f>
        <v>0.42507558395597</v>
      </c>
      <c r="O541" s="18">
        <f>O531+INDEX(Data_Prices!O:O,MATCH($G541,Data_Prices!$A:$A,0))*O$556</f>
        <v>0.42507558395597</v>
      </c>
      <c r="P541" s="18">
        <f>P531+INDEX(Data_Prices!P:P,MATCH($G541,Data_Prices!$A:$A,0))*P$556</f>
        <v>0.42507558395597</v>
      </c>
      <c r="Q541" s="18">
        <f>Q531+INDEX(Data_Prices!Q:Q,MATCH($G541,Data_Prices!$A:$A,0))*Q$556</f>
        <v>0.45706441406607845</v>
      </c>
      <c r="R541" s="18">
        <f>R531+INDEX(Data_Prices!R:R,MATCH($G541,Data_Prices!$A:$A,0))*R$556</f>
        <v>0.48905324417618695</v>
      </c>
      <c r="S541" s="18">
        <f>S531+INDEX(Data_Prices!S:S,MATCH($G541,Data_Prices!$A:$A,0))*S$556</f>
        <v>0.52104207428629534</v>
      </c>
      <c r="T541" s="18">
        <f>T531+INDEX(Data_Prices!T:T,MATCH($G541,Data_Prices!$A:$A,0))*T$556</f>
        <v>0.5530309043964039</v>
      </c>
      <c r="U541" s="18">
        <f>U531+INDEX(Data_Prices!U:U,MATCH($G541,Data_Prices!$A:$A,0))*U$556</f>
        <v>0.58501973450651235</v>
      </c>
      <c r="V541" s="18">
        <f>V531+INDEX(Data_Prices!V:V,MATCH($G541,Data_Prices!$A:$A,0))*V$556</f>
        <v>0.61700856461662079</v>
      </c>
      <c r="W541" s="18">
        <f>W531+INDEX(Data_Prices!W:W,MATCH($G541,Data_Prices!$A:$A,0))*W$556</f>
        <v>0.64899739472672924</v>
      </c>
      <c r="X541" s="18">
        <f>X531+INDEX(Data_Prices!X:X,MATCH($G541,Data_Prices!$A:$A,0))*X$556</f>
        <v>0.68098622483683768</v>
      </c>
      <c r="Y541" s="18">
        <f>Y531+INDEX(Data_Prices!Y:Y,MATCH($G541,Data_Prices!$A:$A,0))*Y$556</f>
        <v>0.71297505494694624</v>
      </c>
      <c r="Z541" s="18">
        <f>Z531+INDEX(Data_Prices!Z:Z,MATCH($G541,Data_Prices!$A:$A,0))*Z$556</f>
        <v>0.74496388505705469</v>
      </c>
      <c r="AA541" s="18">
        <f>AA531+INDEX(Data_Prices!AA:AA,MATCH($G541,Data_Prices!$A:$A,0))*AA$556</f>
        <v>0.77695271516716313</v>
      </c>
      <c r="AB541" s="18">
        <f>AB531+INDEX(Data_Prices!AB:AB,MATCH($G541,Data_Prices!$A:$A,0))*AB$556</f>
        <v>0.80894154527727158</v>
      </c>
      <c r="AC541" s="18">
        <f>AC531+INDEX(Data_Prices!AC:AC,MATCH($G541,Data_Prices!$A:$A,0))*AC$556</f>
        <v>0.84093037538738002</v>
      </c>
      <c r="AD541" s="18">
        <f>AD531+INDEX(Data_Prices!AD:AD,MATCH($G541,Data_Prices!$A:$A,0))*AD$556</f>
        <v>0.87291920549748858</v>
      </c>
      <c r="AE541" s="18">
        <f>AE531+INDEX(Data_Prices!AE:AE,MATCH($G541,Data_Prices!$A:$A,0))*AE$556</f>
        <v>0.90490803560759692</v>
      </c>
    </row>
    <row r="542" spans="2:31" x14ac:dyDescent="0.45">
      <c r="B542" s="14" t="s">
        <v>64</v>
      </c>
      <c r="C542" s="14" t="str">
        <f t="shared" si="171"/>
        <v>nfm</v>
      </c>
      <c r="D542" s="15" t="s">
        <v>65</v>
      </c>
      <c r="E542" s="16" t="s">
        <v>66</v>
      </c>
      <c r="F542" s="14" t="s">
        <v>73</v>
      </c>
      <c r="G542" s="17" t="str">
        <f>Settings!$B$3&amp;".mit.nce."&amp;Settings!$B$4&amp;"."&amp;$B542&amp;".a."&amp;$J$524</f>
        <v>egy.mit.nce.ind.oop.a.2</v>
      </c>
      <c r="H542" s="45" t="str">
        <f>Settings!$B$3&amp;".mit.atp."&amp;$C$524&amp;"."&amp;$B542&amp;".e."&amp;$J$524</f>
        <v>egy.mit.atp.nfm.oop.e.2</v>
      </c>
      <c r="K542" s="18">
        <f>K532+INDEX(Data_Prices!K:K,MATCH($G542,Data_Prices!$A:$A,0))*K$556</f>
        <v>41.500338498868402</v>
      </c>
      <c r="L542" s="18">
        <f>L532+INDEX(Data_Prices!L:L,MATCH($G542,Data_Prices!$A:$A,0))*L$556</f>
        <v>34.4153703043132</v>
      </c>
      <c r="M542" s="18">
        <f>M532+INDEX(Data_Prices!M:M,MATCH($G542,Data_Prices!$A:$A,0))*M$556</f>
        <v>37.368960690431997</v>
      </c>
      <c r="N542" s="18">
        <f>N532+INDEX(Data_Prices!N:N,MATCH($G542,Data_Prices!$A:$A,0))*N$556</f>
        <v>28.982761101477301</v>
      </c>
      <c r="O542" s="18">
        <f>O532+INDEX(Data_Prices!O:O,MATCH($G542,Data_Prices!$A:$A,0))*O$556</f>
        <v>15</v>
      </c>
      <c r="P542" s="18">
        <f>P532+INDEX(Data_Prices!P:P,MATCH($G542,Data_Prices!$A:$A,0))*P$556</f>
        <v>24.2586300842555</v>
      </c>
      <c r="Q542" s="18">
        <f>Q532+INDEX(Data_Prices!Q:Q,MATCH($G542,Data_Prices!$A:$A,0))*Q$556</f>
        <v>18.963758196132499</v>
      </c>
      <c r="R542" s="18">
        <f>R532+INDEX(Data_Prices!R:R,MATCH($G542,Data_Prices!$A:$A,0))*R$556</f>
        <v>21.760345114010597</v>
      </c>
      <c r="S542" s="18">
        <f>S532+INDEX(Data_Prices!S:S,MATCH($G542,Data_Prices!$A:$A,0))*S$556</f>
        <v>26.079880691373621</v>
      </c>
      <c r="T542" s="18">
        <f>T532+INDEX(Data_Prices!T:T,MATCH($G542,Data_Prices!$A:$A,0))*T$556</f>
        <v>30.593682445209218</v>
      </c>
      <c r="U542" s="18">
        <f>U532+INDEX(Data_Prices!U:U,MATCH($G542,Data_Prices!$A:$A,0))*U$556</f>
        <v>34.990509739410058</v>
      </c>
      <c r="V542" s="18">
        <f>V532+INDEX(Data_Prices!V:V,MATCH($G542,Data_Prices!$A:$A,0))*V$556</f>
        <v>40.858059739410059</v>
      </c>
      <c r="W542" s="18">
        <f>W532+INDEX(Data_Prices!W:W,MATCH($G542,Data_Prices!$A:$A,0))*W$556</f>
        <v>46.725609739410054</v>
      </c>
      <c r="X542" s="18">
        <f>X532+INDEX(Data_Prices!X:X,MATCH($G542,Data_Prices!$A:$A,0))*X$556</f>
        <v>52.593159739410055</v>
      </c>
      <c r="Y542" s="18">
        <f>Y532+INDEX(Data_Prices!Y:Y,MATCH($G542,Data_Prices!$A:$A,0))*Y$556</f>
        <v>58.460709739410056</v>
      </c>
      <c r="Z542" s="18">
        <f>Z532+INDEX(Data_Prices!Z:Z,MATCH($G542,Data_Prices!$A:$A,0))*Z$556</f>
        <v>64.328259739410072</v>
      </c>
      <c r="AA542" s="18">
        <f>AA532+INDEX(Data_Prices!AA:AA,MATCH($G542,Data_Prices!$A:$A,0))*AA$556</f>
        <v>70.195809739410052</v>
      </c>
      <c r="AB542" s="18">
        <f>AB532+INDEX(Data_Prices!AB:AB,MATCH($G542,Data_Prices!$A:$A,0))*AB$556</f>
        <v>76.06335973941006</v>
      </c>
      <c r="AC542" s="18">
        <f>AC532+INDEX(Data_Prices!AC:AC,MATCH($G542,Data_Prices!$A:$A,0))*AC$556</f>
        <v>81.930909739410041</v>
      </c>
      <c r="AD542" s="18">
        <f>AD532+INDEX(Data_Prices!AD:AD,MATCH($G542,Data_Prices!$A:$A,0))*AD$556</f>
        <v>87.798459739410049</v>
      </c>
      <c r="AE542" s="18">
        <f>AE532+INDEX(Data_Prices!AE:AE,MATCH($G542,Data_Prices!$A:$A,0))*AE$556</f>
        <v>93.666009739410043</v>
      </c>
    </row>
    <row r="543" spans="2:31" x14ac:dyDescent="0.45">
      <c r="B543" s="14" t="s">
        <v>67</v>
      </c>
      <c r="C543" s="14" t="str">
        <f t="shared" si="171"/>
        <v>nfm</v>
      </c>
      <c r="D543" s="15" t="s">
        <v>68</v>
      </c>
      <c r="E543" s="16" t="s">
        <v>51</v>
      </c>
      <c r="F543" s="14" t="s">
        <v>73</v>
      </c>
      <c r="G543" s="17" t="str">
        <f>Settings!$B$3&amp;".mit.nce."&amp;Settings!$B$4&amp;"."&amp;$B543&amp;".a."&amp;$J$524</f>
        <v>egy.mit.nce.ind.bio.a.2</v>
      </c>
      <c r="H543" s="45" t="str">
        <f>Settings!$B$3&amp;".mit.atp."&amp;$C$524&amp;"."&amp;$B543&amp;".e."&amp;$J$524</f>
        <v>egy.mit.atp.nfm.bio.e.2</v>
      </c>
      <c r="K543" s="18">
        <f>K533+INDEX(Data_Prices!K:K,MATCH($G543,Data_Prices!$A:$A,0))*K$556</f>
        <v>15.3345505293169</v>
      </c>
      <c r="L543" s="18">
        <f>L533+INDEX(Data_Prices!L:L,MATCH($G543,Data_Prices!$A:$A,0))*L$556</f>
        <v>14.199528390634899</v>
      </c>
      <c r="M543" s="18">
        <f>M533+INDEX(Data_Prices!M:M,MATCH($G543,Data_Prices!$A:$A,0))*M$556</f>
        <v>13.8404416133152</v>
      </c>
      <c r="N543" s="18">
        <f>N533+INDEX(Data_Prices!N:N,MATCH($G543,Data_Prices!$A:$A,0))*N$556</f>
        <v>13.5677269404465</v>
      </c>
      <c r="O543" s="18">
        <f>O533+INDEX(Data_Prices!O:O,MATCH($G543,Data_Prices!$A:$A,0))*O$556</f>
        <v>13.5677269404465</v>
      </c>
      <c r="P543" s="18">
        <f>P533+INDEX(Data_Prices!P:P,MATCH($G543,Data_Prices!$A:$A,0))*P$556</f>
        <v>13.5677269404465</v>
      </c>
      <c r="Q543" s="18">
        <f>Q533+INDEX(Data_Prices!Q:Q,MATCH($G543,Data_Prices!$A:$A,0))*Q$556</f>
        <v>13.5677269404465</v>
      </c>
      <c r="R543" s="18">
        <f>R533+INDEX(Data_Prices!R:R,MATCH($G543,Data_Prices!$A:$A,0))*R$556</f>
        <v>13.5677269404465</v>
      </c>
      <c r="S543" s="18">
        <f>S533+INDEX(Data_Prices!S:S,MATCH($G543,Data_Prices!$A:$A,0))*S$556</f>
        <v>13.5677269404465</v>
      </c>
      <c r="T543" s="18">
        <f>T533+INDEX(Data_Prices!T:T,MATCH($G543,Data_Prices!$A:$A,0))*T$556</f>
        <v>13.5677269404465</v>
      </c>
      <c r="U543" s="18">
        <f>U533+INDEX(Data_Prices!U:U,MATCH($G543,Data_Prices!$A:$A,0))*U$556</f>
        <v>13.5677269404465</v>
      </c>
      <c r="V543" s="18">
        <f>V533+INDEX(Data_Prices!V:V,MATCH($G543,Data_Prices!$A:$A,0))*V$556</f>
        <v>13.5677269404465</v>
      </c>
      <c r="W543" s="18">
        <f>W533+INDEX(Data_Prices!W:W,MATCH($G543,Data_Prices!$A:$A,0))*W$556</f>
        <v>13.5677269404465</v>
      </c>
      <c r="X543" s="18">
        <f>X533+INDEX(Data_Prices!X:X,MATCH($G543,Data_Prices!$A:$A,0))*X$556</f>
        <v>13.5677269404465</v>
      </c>
      <c r="Y543" s="18">
        <f>Y533+INDEX(Data_Prices!Y:Y,MATCH($G543,Data_Prices!$A:$A,0))*Y$556</f>
        <v>13.5677269404465</v>
      </c>
      <c r="Z543" s="18">
        <f>Z533+INDEX(Data_Prices!Z:Z,MATCH($G543,Data_Prices!$A:$A,0))*Z$556</f>
        <v>13.5677269404465</v>
      </c>
      <c r="AA543" s="18">
        <f>AA533+INDEX(Data_Prices!AA:AA,MATCH($G543,Data_Prices!$A:$A,0))*AA$556</f>
        <v>13.5677269404465</v>
      </c>
      <c r="AB543" s="18">
        <f>AB533+INDEX(Data_Prices!AB:AB,MATCH($G543,Data_Prices!$A:$A,0))*AB$556</f>
        <v>13.5677269404465</v>
      </c>
      <c r="AC543" s="18">
        <f>AC533+INDEX(Data_Prices!AC:AC,MATCH($G543,Data_Prices!$A:$A,0))*AC$556</f>
        <v>13.5677269404465</v>
      </c>
      <c r="AD543" s="18">
        <f>AD533+INDEX(Data_Prices!AD:AD,MATCH($G543,Data_Prices!$A:$A,0))*AD$556</f>
        <v>13.5677269404465</v>
      </c>
      <c r="AE543" s="18">
        <f>AE533+INDEX(Data_Prices!AE:AE,MATCH($G543,Data_Prices!$A:$A,0))*AE$556</f>
        <v>13.5677269404465</v>
      </c>
    </row>
    <row r="544" spans="2:31" x14ac:dyDescent="0.45">
      <c r="B544" s="14" t="s">
        <v>69</v>
      </c>
      <c r="C544" s="14" t="str">
        <f t="shared" si="171"/>
        <v>nfm</v>
      </c>
      <c r="D544" s="15" t="s">
        <v>70</v>
      </c>
      <c r="E544" s="16" t="s">
        <v>71</v>
      </c>
      <c r="F544" s="14" t="s">
        <v>73</v>
      </c>
      <c r="G544" s="17" t="str">
        <f>Settings!$B$3&amp;".mit.nce."&amp;Settings!$B$4&amp;"."&amp;$B544&amp;".a."&amp;$J$524</f>
        <v>egy.mit.nce.ind.ren.a.2</v>
      </c>
      <c r="H544" s="45" t="str">
        <f>Settings!$B$3&amp;".mit.atp."&amp;$C$524&amp;"."&amp;$B544&amp;".e."&amp;$J$524</f>
        <v>egy.mit.atp.nfm.ren.e.2</v>
      </c>
      <c r="K544" s="18">
        <f>K534+INDEX(Data_Prices!K:K,MATCH($G544,Data_Prices!$A:$A,0))*K$556</f>
        <v>0</v>
      </c>
      <c r="L544" s="18">
        <f>L534+INDEX(Data_Prices!L:L,MATCH($G544,Data_Prices!$A:$A,0))*L$556</f>
        <v>0.14404498679319799</v>
      </c>
      <c r="M544" s="18">
        <f>M534+INDEX(Data_Prices!M:M,MATCH($G544,Data_Prices!$A:$A,0))*M$556</f>
        <v>0.141386241751359</v>
      </c>
      <c r="N544" s="18">
        <f>N534+INDEX(Data_Prices!N:N,MATCH($G544,Data_Prices!$A:$A,0))*N$556</f>
        <v>0.13539756544373099</v>
      </c>
      <c r="O544" s="18">
        <f>O534+INDEX(Data_Prices!O:O,MATCH($G544,Data_Prices!$A:$A,0))*O$556</f>
        <v>0.13152288542065099</v>
      </c>
      <c r="P544" s="18">
        <f>P534+INDEX(Data_Prices!P:P,MATCH($G544,Data_Prices!$A:$A,0))*P$556</f>
        <v>0.12882610848523099</v>
      </c>
      <c r="Q544" s="18">
        <f>Q534+INDEX(Data_Prices!Q:Q,MATCH($G544,Data_Prices!$A:$A,0))*Q$556</f>
        <v>0.12594200976473999</v>
      </c>
      <c r="R544" s="18">
        <f>R534+INDEX(Data_Prices!R:R,MATCH($G544,Data_Prices!$A:$A,0))*R$556</f>
        <v>0.123113265701861</v>
      </c>
      <c r="S544" s="18">
        <f>S534+INDEX(Data_Prices!S:S,MATCH($G544,Data_Prices!$A:$A,0))*S$556</f>
        <v>0.119391738089068</v>
      </c>
      <c r="T544" s="18">
        <f>T534+INDEX(Data_Prices!T:T,MATCH($G544,Data_Prices!$A:$A,0))*T$556</f>
        <v>0.11554419046792</v>
      </c>
      <c r="U544" s="18">
        <f>U534+INDEX(Data_Prices!U:U,MATCH($G544,Data_Prices!$A:$A,0))*U$556</f>
        <v>0.11492423065415899</v>
      </c>
      <c r="V544" s="18">
        <f>V534+INDEX(Data_Prices!V:V,MATCH($G544,Data_Prices!$A:$A,0))*V$556</f>
        <v>0.114346912116736</v>
      </c>
      <c r="W544" s="18">
        <f>W534+INDEX(Data_Prices!W:W,MATCH($G544,Data_Prices!$A:$A,0))*W$556</f>
        <v>0.113738711172664</v>
      </c>
      <c r="X544" s="18">
        <f>X534+INDEX(Data_Prices!X:X,MATCH($G544,Data_Prices!$A:$A,0))*X$556</f>
        <v>0.112999900487521</v>
      </c>
      <c r="Y544" s="18">
        <f>Y534+INDEX(Data_Prices!Y:Y,MATCH($G544,Data_Prices!$A:$A,0))*Y$556</f>
        <v>0.112177685835534</v>
      </c>
      <c r="Z544" s="18">
        <f>Z534+INDEX(Data_Prices!Z:Z,MATCH($G544,Data_Prices!$A:$A,0))*Z$556</f>
        <v>0.111417903250404</v>
      </c>
      <c r="AA544" s="18">
        <f>AA534+INDEX(Data_Prices!AA:AA,MATCH($G544,Data_Prices!$A:$A,0))*AA$556</f>
        <v>0.11052581998545399</v>
      </c>
      <c r="AB544" s="18">
        <f>AB534+INDEX(Data_Prices!AB:AB,MATCH($G544,Data_Prices!$A:$A,0))*AB$556</f>
        <v>0.109699565234896</v>
      </c>
      <c r="AC544" s="18">
        <f>AC534+INDEX(Data_Prices!AC:AC,MATCH($G544,Data_Prices!$A:$A,0))*AC$556</f>
        <v>0.10772678896394899</v>
      </c>
      <c r="AD544" s="18">
        <f>AD534+INDEX(Data_Prices!AD:AD,MATCH($G544,Data_Prices!$A:$A,0))*AD$556</f>
        <v>0.10582092445093499</v>
      </c>
      <c r="AE544" s="18">
        <f>AE534+INDEX(Data_Prices!AE:AE,MATCH($G544,Data_Prices!$A:$A,0))*AE$556</f>
        <v>0.103855595705721</v>
      </c>
    </row>
    <row r="545" spans="2:31" x14ac:dyDescent="0.45">
      <c r="B545" s="13" t="s">
        <v>74</v>
      </c>
    </row>
    <row r="546" spans="2:31" x14ac:dyDescent="0.45">
      <c r="B546" s="14" t="s">
        <v>49</v>
      </c>
      <c r="C546" s="14" t="str">
        <f t="shared" ref="C546:C554" si="172">$C$524</f>
        <v>nfm</v>
      </c>
      <c r="D546" s="15" t="s">
        <v>50</v>
      </c>
      <c r="E546" s="16" t="s">
        <v>51</v>
      </c>
      <c r="F546" s="14" t="s">
        <v>75</v>
      </c>
      <c r="G546" s="17" t="str">
        <f>Settings!$B$3&amp;".mit.shp."&amp;$B546&amp;"."&amp;Settings!$B$4&amp;"."&amp;$J$524</f>
        <v>egy.mit.shp.coa.ind.2</v>
      </c>
      <c r="H546" s="45" t="str">
        <f>Settings!$B$3&amp;".mit.shp."&amp;$C$524&amp;"."&amp;$B546&amp;".e."&amp;$J$524</f>
        <v>egy.mit.shp.nfm.coa.e.2</v>
      </c>
      <c r="K546" s="19">
        <f>K536+INDEX(Data_Prices!K:K,MATCH($G546,Data_Prices!$A:$A,0))*K$557</f>
        <v>11.182901589243899</v>
      </c>
      <c r="L546" s="19">
        <f>L536+INDEX(Data_Prices!L:L,MATCH($G546,Data_Prices!$A:$A,0))*L$557</f>
        <v>10.5233613454312</v>
      </c>
      <c r="M546" s="19">
        <f>M536+INDEX(Data_Prices!M:M,MATCH($G546,Data_Prices!$A:$A,0))*M$557</f>
        <v>10.2995608274442</v>
      </c>
      <c r="N546" s="19">
        <f>N536+INDEX(Data_Prices!N:N,MATCH($G546,Data_Prices!$A:$A,0))*N$557</f>
        <v>9.5775283595382597</v>
      </c>
      <c r="O546" s="19">
        <f>O536+INDEX(Data_Prices!O:O,MATCH($G546,Data_Prices!$A:$A,0))*O$557</f>
        <v>8.4854782869580507</v>
      </c>
      <c r="P546" s="19">
        <f>P536+INDEX(Data_Prices!P:P,MATCH($G546,Data_Prices!$A:$A,0))*P$557</f>
        <v>9.0871922352498604</v>
      </c>
      <c r="Q546" s="19">
        <f>Q536+INDEX(Data_Prices!Q:Q,MATCH($G546,Data_Prices!$A:$A,0))*Q$557</f>
        <v>10.472923728932679</v>
      </c>
      <c r="R546" s="19">
        <f>R536+INDEX(Data_Prices!R:R,MATCH($G546,Data_Prices!$A:$A,0))*R$557</f>
        <v>11.658564955509689</v>
      </c>
      <c r="S546" s="19">
        <f>S536+INDEX(Data_Prices!S:S,MATCH($G546,Data_Prices!$A:$A,0))*S$557</f>
        <v>12.839547877397379</v>
      </c>
      <c r="T546" s="19">
        <f>T536+INDEX(Data_Prices!T:T,MATCH($G546,Data_Prices!$A:$A,0))*T$557</f>
        <v>14.01568166602283</v>
      </c>
      <c r="U546" s="19">
        <f>U536+INDEX(Data_Prices!U:U,MATCH($G546,Data_Prices!$A:$A,0))*U$557</f>
        <v>15.19439776555711</v>
      </c>
      <c r="V546" s="19">
        <f>V536+INDEX(Data_Prices!V:V,MATCH($G546,Data_Prices!$A:$A,0))*V$557</f>
        <v>16.44439776555711</v>
      </c>
      <c r="W546" s="19">
        <f>W536+INDEX(Data_Prices!W:W,MATCH($G546,Data_Prices!$A:$A,0))*W$557</f>
        <v>17.69439776555711</v>
      </c>
      <c r="X546" s="19">
        <f>X536+INDEX(Data_Prices!X:X,MATCH($G546,Data_Prices!$A:$A,0))*X$557</f>
        <v>18.94439776555711</v>
      </c>
      <c r="Y546" s="19">
        <f>Y536+INDEX(Data_Prices!Y:Y,MATCH($G546,Data_Prices!$A:$A,0))*Y$557</f>
        <v>20.19439776555711</v>
      </c>
      <c r="Z546" s="19">
        <f>Z536+INDEX(Data_Prices!Z:Z,MATCH($G546,Data_Prices!$A:$A,0))*Z$557</f>
        <v>21.44439776555711</v>
      </c>
      <c r="AA546" s="19">
        <f>AA536+INDEX(Data_Prices!AA:AA,MATCH($G546,Data_Prices!$A:$A,0))*AA$557</f>
        <v>22.69439776555711</v>
      </c>
      <c r="AB546" s="19">
        <f>AB536+INDEX(Data_Prices!AB:AB,MATCH($G546,Data_Prices!$A:$A,0))*AB$557</f>
        <v>23.94439776555711</v>
      </c>
      <c r="AC546" s="19">
        <f>AC536+INDEX(Data_Prices!AC:AC,MATCH($G546,Data_Prices!$A:$A,0))*AC$557</f>
        <v>25.19439776555711</v>
      </c>
      <c r="AD546" s="19">
        <f>AD536+INDEX(Data_Prices!AD:AD,MATCH($G546,Data_Prices!$A:$A,0))*AD$557</f>
        <v>26.44439776555711</v>
      </c>
      <c r="AE546" s="19">
        <f>AE536+INDEX(Data_Prices!AE:AE,MATCH($G546,Data_Prices!$A:$A,0))*AE$557</f>
        <v>27.69439776555711</v>
      </c>
    </row>
    <row r="547" spans="2:31" x14ac:dyDescent="0.45">
      <c r="B547" s="14" t="s">
        <v>53</v>
      </c>
      <c r="C547" s="14" t="str">
        <f t="shared" si="172"/>
        <v>nfm</v>
      </c>
      <c r="D547" s="15" t="s">
        <v>54</v>
      </c>
      <c r="E547" s="16" t="s">
        <v>51</v>
      </c>
      <c r="F547" s="14" t="s">
        <v>75</v>
      </c>
      <c r="G547" s="17" t="str">
        <f>Settings!$B$3&amp;".mit.shp."&amp;$B547&amp;"."&amp;Settings!$B$4&amp;"."&amp;$J$524</f>
        <v>egy.mit.shp.nga.ind.2</v>
      </c>
      <c r="H547" s="45" t="str">
        <f>Settings!$B$3&amp;".mit.shp."&amp;$C$524&amp;"."&amp;$B547&amp;".e."&amp;$J$524</f>
        <v>egy.mit.shp.nfm.nga.e.2</v>
      </c>
      <c r="K547" s="19">
        <f>K537+INDEX(Data_Prices!K:K,MATCH($G547,Data_Prices!$A:$A,0))*K$557</f>
        <v>6.0634636156729096</v>
      </c>
      <c r="L547" s="19">
        <f>L537+INDEX(Data_Prices!L:L,MATCH($G547,Data_Prices!$A:$A,0))*L$557</f>
        <v>5.4510150816191896</v>
      </c>
      <c r="M547" s="19">
        <f>M537+INDEX(Data_Prices!M:M,MATCH($G547,Data_Prices!$A:$A,0))*M$557</f>
        <v>5.1193563062624801</v>
      </c>
      <c r="N547" s="19">
        <f>N537+INDEX(Data_Prices!N:N,MATCH($G547,Data_Prices!$A:$A,0))*N$557</f>
        <v>5.08218458640407</v>
      </c>
      <c r="O547" s="19">
        <f>O537+INDEX(Data_Prices!O:O,MATCH($G547,Data_Prices!$A:$A,0))*O$557</f>
        <v>5.08218458640407</v>
      </c>
      <c r="P547" s="19">
        <f>P537+INDEX(Data_Prices!P:P,MATCH($G547,Data_Prices!$A:$A,0))*P$557</f>
        <v>5.08218458640407</v>
      </c>
      <c r="Q547" s="19">
        <f>Q537+INDEX(Data_Prices!Q:Q,MATCH($G547,Data_Prices!$A:$A,0))*Q$557</f>
        <v>5.7796845864040698</v>
      </c>
      <c r="R547" s="19">
        <f>R537+INDEX(Data_Prices!R:R,MATCH($G547,Data_Prices!$A:$A,0))*R$557</f>
        <v>6.4771845864040696</v>
      </c>
      <c r="S547" s="19">
        <f>S537+INDEX(Data_Prices!S:S,MATCH($G547,Data_Prices!$A:$A,0))*S$557</f>
        <v>7.1746845864040703</v>
      </c>
      <c r="T547" s="19">
        <f>T537+INDEX(Data_Prices!T:T,MATCH($G547,Data_Prices!$A:$A,0))*T$557</f>
        <v>7.87218458640407</v>
      </c>
      <c r="U547" s="19">
        <f>U537+INDEX(Data_Prices!U:U,MATCH($G547,Data_Prices!$A:$A,0))*U$557</f>
        <v>8.5696845864040707</v>
      </c>
      <c r="V547" s="19">
        <f>V537+INDEX(Data_Prices!V:V,MATCH($G547,Data_Prices!$A:$A,0))*V$557</f>
        <v>9.2671845864040705</v>
      </c>
      <c r="W547" s="19">
        <f>W537+INDEX(Data_Prices!W:W,MATCH($G547,Data_Prices!$A:$A,0))*W$557</f>
        <v>9.9646845864040703</v>
      </c>
      <c r="X547" s="19">
        <f>X537+INDEX(Data_Prices!X:X,MATCH($G547,Data_Prices!$A:$A,0))*X$557</f>
        <v>10.66218458640407</v>
      </c>
      <c r="Y547" s="19">
        <f>Y537+INDEX(Data_Prices!Y:Y,MATCH($G547,Data_Prices!$A:$A,0))*Y$557</f>
        <v>11.35968458640407</v>
      </c>
      <c r="Z547" s="19">
        <f>Z537+INDEX(Data_Prices!Z:Z,MATCH($G547,Data_Prices!$A:$A,0))*Z$557</f>
        <v>12.05718458640407</v>
      </c>
      <c r="AA547" s="19">
        <f>AA537+INDEX(Data_Prices!AA:AA,MATCH($G547,Data_Prices!$A:$A,0))*AA$557</f>
        <v>12.754684586404071</v>
      </c>
      <c r="AB547" s="19">
        <f>AB537+INDEX(Data_Prices!AB:AB,MATCH($G547,Data_Prices!$A:$A,0))*AB$557</f>
        <v>13.452184586404071</v>
      </c>
      <c r="AC547" s="19">
        <f>AC537+INDEX(Data_Prices!AC:AC,MATCH($G547,Data_Prices!$A:$A,0))*AC$557</f>
        <v>14.149684586404071</v>
      </c>
      <c r="AD547" s="19">
        <f>AD537+INDEX(Data_Prices!AD:AD,MATCH($G547,Data_Prices!$A:$A,0))*AD$557</f>
        <v>14.847184586404071</v>
      </c>
      <c r="AE547" s="19">
        <f>AE537+INDEX(Data_Prices!AE:AE,MATCH($G547,Data_Prices!$A:$A,0))*AE$557</f>
        <v>15.54468458640407</v>
      </c>
    </row>
    <row r="548" spans="2:31" x14ac:dyDescent="0.45">
      <c r="B548" s="14" t="s">
        <v>55</v>
      </c>
      <c r="C548" s="14" t="str">
        <f t="shared" si="172"/>
        <v>nfm</v>
      </c>
      <c r="D548" s="15" t="s">
        <v>56</v>
      </c>
      <c r="E548" s="16" t="s">
        <v>57</v>
      </c>
      <c r="F548" s="14" t="s">
        <v>75</v>
      </c>
      <c r="G548" s="17" t="str">
        <f>Settings!$B$3&amp;".mit.shp."&amp;$B548&amp;"."&amp;Settings!$B$4&amp;"."&amp;$J$524</f>
        <v>egy.mit.shp.gso.ind.2</v>
      </c>
      <c r="H548" s="45" t="str">
        <f>Settings!$B$3&amp;".mit.shp."&amp;$C$524&amp;"."&amp;$B548&amp;".e."&amp;$J$524</f>
        <v>egy.mit.shp.nfm.gso.e.2</v>
      </c>
      <c r="K548" s="19">
        <f>K538+INDEX(Data_Prices!K:K,MATCH($G548,Data_Prices!$A:$A,0))*K$557</f>
        <v>0.67114653332181595</v>
      </c>
      <c r="L548" s="19">
        <f>L538+INDEX(Data_Prices!L:L,MATCH($G548,Data_Prices!$A:$A,0))*L$557</f>
        <v>0.61197797679140598</v>
      </c>
      <c r="M548" s="19">
        <f>M538+INDEX(Data_Prices!M:M,MATCH($G548,Data_Prices!$A:$A,0))*M$557</f>
        <v>0.61180974964187596</v>
      </c>
      <c r="N548" s="19">
        <f>N538+INDEX(Data_Prices!N:N,MATCH($G548,Data_Prices!$A:$A,0))*N$557</f>
        <v>0.60358310017790595</v>
      </c>
      <c r="O548" s="19">
        <f>O538+INDEX(Data_Prices!O:O,MATCH($G548,Data_Prices!$A:$A,0))*O$557</f>
        <v>0.60358310017790595</v>
      </c>
      <c r="P548" s="19">
        <f>P538+INDEX(Data_Prices!P:P,MATCH($G548,Data_Prices!$A:$A,0))*P$557</f>
        <v>0.60358310017790595</v>
      </c>
      <c r="Q548" s="19">
        <f>Q538+INDEX(Data_Prices!Q:Q,MATCH($G548,Data_Prices!$A:$A,0))*Q$557</f>
        <v>0.63251094334940594</v>
      </c>
      <c r="R548" s="19">
        <f>R538+INDEX(Data_Prices!R:R,MATCH($G548,Data_Prices!$A:$A,0))*R$557</f>
        <v>0.66143878652090593</v>
      </c>
      <c r="S548" s="19">
        <f>S538+INDEX(Data_Prices!S:S,MATCH($G548,Data_Prices!$A:$A,0))*S$557</f>
        <v>0.69036662969240592</v>
      </c>
      <c r="T548" s="19">
        <f>T538+INDEX(Data_Prices!T:T,MATCH($G548,Data_Prices!$A:$A,0))*T$557</f>
        <v>0.71929447286390591</v>
      </c>
      <c r="U548" s="19">
        <f>U538+INDEX(Data_Prices!U:U,MATCH($G548,Data_Prices!$A:$A,0))*U$557</f>
        <v>0.74822231603540601</v>
      </c>
      <c r="V548" s="19">
        <f>V538+INDEX(Data_Prices!V:V,MATCH($G548,Data_Prices!$A:$A,0))*V$557</f>
        <v>0.777150159206906</v>
      </c>
      <c r="W548" s="19">
        <f>W538+INDEX(Data_Prices!W:W,MATCH($G548,Data_Prices!$A:$A,0))*W$557</f>
        <v>0.80607800237840599</v>
      </c>
      <c r="X548" s="19">
        <f>X538+INDEX(Data_Prices!X:X,MATCH($G548,Data_Prices!$A:$A,0))*X$557</f>
        <v>0.83500584554990598</v>
      </c>
      <c r="Y548" s="19">
        <f>Y538+INDEX(Data_Prices!Y:Y,MATCH($G548,Data_Prices!$A:$A,0))*Y$557</f>
        <v>0.86393368872140597</v>
      </c>
      <c r="Z548" s="19">
        <f>Z538+INDEX(Data_Prices!Z:Z,MATCH($G548,Data_Prices!$A:$A,0))*Z$557</f>
        <v>0.89286153189290596</v>
      </c>
      <c r="AA548" s="19">
        <f>AA538+INDEX(Data_Prices!AA:AA,MATCH($G548,Data_Prices!$A:$A,0))*AA$557</f>
        <v>0.92178937506440595</v>
      </c>
      <c r="AB548" s="19">
        <f>AB538+INDEX(Data_Prices!AB:AB,MATCH($G548,Data_Prices!$A:$A,0))*AB$557</f>
        <v>0.95071721823590605</v>
      </c>
      <c r="AC548" s="19">
        <f>AC538+INDEX(Data_Prices!AC:AC,MATCH($G548,Data_Prices!$A:$A,0))*AC$557</f>
        <v>0.97964506140740593</v>
      </c>
      <c r="AD548" s="19">
        <f>AD538+INDEX(Data_Prices!AD:AD,MATCH($G548,Data_Prices!$A:$A,0))*AD$557</f>
        <v>1.008572904578906</v>
      </c>
      <c r="AE548" s="19">
        <f>AE538+INDEX(Data_Prices!AE:AE,MATCH($G548,Data_Prices!$A:$A,0))*AE$557</f>
        <v>1.0375007477504061</v>
      </c>
    </row>
    <row r="549" spans="2:31" x14ac:dyDescent="0.45">
      <c r="B549" s="14" t="s">
        <v>58</v>
      </c>
      <c r="C549" s="14" t="str">
        <f t="shared" si="172"/>
        <v>nfm</v>
      </c>
      <c r="D549" s="15" t="s">
        <v>59</v>
      </c>
      <c r="E549" s="16" t="s">
        <v>57</v>
      </c>
      <c r="F549" s="14" t="s">
        <v>75</v>
      </c>
      <c r="G549" s="17" t="str">
        <f>Settings!$B$3&amp;".mit.shp."&amp;$B549&amp;"."&amp;Settings!$B$4&amp;"."&amp;$J$524</f>
        <v>egy.mit.shp.die.ind.2</v>
      </c>
      <c r="H549" s="45" t="str">
        <f>Settings!$B$3&amp;".mit.shp."&amp;$C$524&amp;"."&amp;$B549&amp;".e."&amp;$J$524</f>
        <v>egy.mit.shp.nfm.die.e.2</v>
      </c>
      <c r="K549" s="19">
        <f>K539+INDEX(Data_Prices!K:K,MATCH($G549,Data_Prices!$A:$A,0))*K$557</f>
        <v>0.55971121315568795</v>
      </c>
      <c r="L549" s="19">
        <f>L539+INDEX(Data_Prices!L:L,MATCH($G549,Data_Prices!$A:$A,0))*L$557</f>
        <v>0.49458873084106802</v>
      </c>
      <c r="M549" s="19">
        <f>M539+INDEX(Data_Prices!M:M,MATCH($G549,Data_Prices!$A:$A,0))*M$557</f>
        <v>0.50778654720250105</v>
      </c>
      <c r="N549" s="19">
        <f>N539+INDEX(Data_Prices!N:N,MATCH($G549,Data_Prices!$A:$A,0))*N$557</f>
        <v>0.47043642679561698</v>
      </c>
      <c r="O549" s="19">
        <f>O539+INDEX(Data_Prices!O:O,MATCH($G549,Data_Prices!$A:$A,0))*O$557</f>
        <v>0.47043642679561698</v>
      </c>
      <c r="P549" s="19">
        <f>P539+INDEX(Data_Prices!P:P,MATCH($G549,Data_Prices!$A:$A,0))*P$557</f>
        <v>0.47043642679561698</v>
      </c>
      <c r="Q549" s="19">
        <f>Q539+INDEX(Data_Prices!Q:Q,MATCH($G549,Data_Prices!$A:$A,0))*Q$557</f>
        <v>0.50344686565449193</v>
      </c>
      <c r="R549" s="19">
        <f>R539+INDEX(Data_Prices!R:R,MATCH($G549,Data_Prices!$A:$A,0))*R$557</f>
        <v>0.53645730451336693</v>
      </c>
      <c r="S549" s="19">
        <f>S539+INDEX(Data_Prices!S:S,MATCH($G549,Data_Prices!$A:$A,0))*S$557</f>
        <v>0.56946774337224193</v>
      </c>
      <c r="T549" s="19">
        <f>T539+INDEX(Data_Prices!T:T,MATCH($G549,Data_Prices!$A:$A,0))*T$557</f>
        <v>0.60247818223111693</v>
      </c>
      <c r="U549" s="19">
        <f>U539+INDEX(Data_Prices!U:U,MATCH($G549,Data_Prices!$A:$A,0))*U$557</f>
        <v>0.63548862108999193</v>
      </c>
      <c r="V549" s="19">
        <f>V539+INDEX(Data_Prices!V:V,MATCH($G549,Data_Prices!$A:$A,0))*V$557</f>
        <v>0.66849905994886694</v>
      </c>
      <c r="W549" s="19">
        <f>W539+INDEX(Data_Prices!W:W,MATCH($G549,Data_Prices!$A:$A,0))*W$557</f>
        <v>0.70150949880774194</v>
      </c>
      <c r="X549" s="19">
        <f>X539+INDEX(Data_Prices!X:X,MATCH($G549,Data_Prices!$A:$A,0))*X$557</f>
        <v>0.73451993766661694</v>
      </c>
      <c r="Y549" s="19">
        <f>Y539+INDEX(Data_Prices!Y:Y,MATCH($G549,Data_Prices!$A:$A,0))*Y$557</f>
        <v>0.76753037652549194</v>
      </c>
      <c r="Z549" s="19">
        <f>Z539+INDEX(Data_Prices!Z:Z,MATCH($G549,Data_Prices!$A:$A,0))*Z$557</f>
        <v>0.80054081538436694</v>
      </c>
      <c r="AA549" s="19">
        <f>AA539+INDEX(Data_Prices!AA:AA,MATCH($G549,Data_Prices!$A:$A,0))*AA$557</f>
        <v>0.83355125424324195</v>
      </c>
      <c r="AB549" s="19">
        <f>AB539+INDEX(Data_Prices!AB:AB,MATCH($G549,Data_Prices!$A:$A,0))*AB$557</f>
        <v>0.86656169310211695</v>
      </c>
      <c r="AC549" s="19">
        <f>AC539+INDEX(Data_Prices!AC:AC,MATCH($G549,Data_Prices!$A:$A,0))*AC$557</f>
        <v>0.89957213196099195</v>
      </c>
      <c r="AD549" s="19">
        <f>AD539+INDEX(Data_Prices!AD:AD,MATCH($G549,Data_Prices!$A:$A,0))*AD$557</f>
        <v>0.93258257081986695</v>
      </c>
      <c r="AE549" s="19">
        <f>AE539+INDEX(Data_Prices!AE:AE,MATCH($G549,Data_Prices!$A:$A,0))*AE$557</f>
        <v>0.96559300967874195</v>
      </c>
    </row>
    <row r="550" spans="2:31" x14ac:dyDescent="0.45">
      <c r="B550" s="14" t="s">
        <v>60</v>
      </c>
      <c r="C550" s="14" t="str">
        <f t="shared" si="172"/>
        <v>nfm</v>
      </c>
      <c r="D550" s="15" t="s">
        <v>61</v>
      </c>
      <c r="E550" s="16" t="s">
        <v>57</v>
      </c>
      <c r="F550" s="14" t="s">
        <v>75</v>
      </c>
      <c r="G550" s="17" t="str">
        <f>Settings!$B$3&amp;".mit.shp."&amp;$B550&amp;"."&amp;Settings!$B$4&amp;"."&amp;$J$524</f>
        <v>egy.mit.shp.lpg.ind.2</v>
      </c>
      <c r="H550" s="45" t="str">
        <f>Settings!$B$3&amp;".mit.shp."&amp;$C$524&amp;"."&amp;$B550&amp;".e."&amp;$J$524</f>
        <v>egy.mit.shp.nfm.lpg.e.2</v>
      </c>
      <c r="K550" s="19">
        <f>K540+INDEX(Data_Prices!K:K,MATCH($G550,Data_Prices!$A:$A,0))*K$557</f>
        <v>0.20036669112673799</v>
      </c>
      <c r="L550" s="19">
        <f>L540+INDEX(Data_Prices!L:L,MATCH($G550,Data_Prices!$A:$A,0))*L$557</f>
        <v>0.15734473625227399</v>
      </c>
      <c r="M550" s="19">
        <f>M540+INDEX(Data_Prices!M:M,MATCH($G550,Data_Prices!$A:$A,0))*M$557</f>
        <v>0.164484037759277</v>
      </c>
      <c r="N550" s="19">
        <f>N540+INDEX(Data_Prices!N:N,MATCH($G550,Data_Prices!$A:$A,0))*N$557</f>
        <v>0.15070907780704901</v>
      </c>
      <c r="O550" s="19">
        <f>O540+INDEX(Data_Prices!O:O,MATCH($G550,Data_Prices!$A:$A,0))*O$557</f>
        <v>0.15070907780704901</v>
      </c>
      <c r="P550" s="19">
        <f>P540+INDEX(Data_Prices!P:P,MATCH($G550,Data_Prices!$A:$A,0))*P$557</f>
        <v>0.15070907780704901</v>
      </c>
      <c r="Q550" s="19">
        <f>Q540+INDEX(Data_Prices!Q:Q,MATCH($G550,Data_Prices!$A:$A,0))*Q$557</f>
        <v>0.17281516073434466</v>
      </c>
      <c r="R550" s="19">
        <f>R540+INDEX(Data_Prices!R:R,MATCH($G550,Data_Prices!$A:$A,0))*R$557</f>
        <v>0.19492124366164035</v>
      </c>
      <c r="S550" s="19">
        <f>S540+INDEX(Data_Prices!S:S,MATCH($G550,Data_Prices!$A:$A,0))*S$557</f>
        <v>0.217027326588936</v>
      </c>
      <c r="T550" s="19">
        <f>T540+INDEX(Data_Prices!T:T,MATCH($G550,Data_Prices!$A:$A,0))*T$557</f>
        <v>0.23913340951623169</v>
      </c>
      <c r="U550" s="19">
        <f>U540+INDEX(Data_Prices!U:U,MATCH($G550,Data_Prices!$A:$A,0))*U$557</f>
        <v>0.26123949244352734</v>
      </c>
      <c r="V550" s="19">
        <f>V540+INDEX(Data_Prices!V:V,MATCH($G550,Data_Prices!$A:$A,0))*V$557</f>
        <v>0.283345575370823</v>
      </c>
      <c r="W550" s="19">
        <f>W540+INDEX(Data_Prices!W:W,MATCH($G550,Data_Prices!$A:$A,0))*W$557</f>
        <v>0.30545165829811871</v>
      </c>
      <c r="X550" s="19">
        <f>X540+INDEX(Data_Prices!X:X,MATCH($G550,Data_Prices!$A:$A,0))*X$557</f>
        <v>0.32755774122541437</v>
      </c>
      <c r="Y550" s="19">
        <f>Y540+INDEX(Data_Prices!Y:Y,MATCH($G550,Data_Prices!$A:$A,0))*Y$557</f>
        <v>0.34966382415271002</v>
      </c>
      <c r="Z550" s="19">
        <f>Z540+INDEX(Data_Prices!Z:Z,MATCH($G550,Data_Prices!$A:$A,0))*Z$557</f>
        <v>0.37176990708000568</v>
      </c>
      <c r="AA550" s="19">
        <f>AA540+INDEX(Data_Prices!AA:AA,MATCH($G550,Data_Prices!$A:$A,0))*AA$557</f>
        <v>0.39387599000730134</v>
      </c>
      <c r="AB550" s="19">
        <f>AB540+INDEX(Data_Prices!AB:AB,MATCH($G550,Data_Prices!$A:$A,0))*AB$557</f>
        <v>0.41598207293459699</v>
      </c>
      <c r="AC550" s="19">
        <f>AC540+INDEX(Data_Prices!AC:AC,MATCH($G550,Data_Prices!$A:$A,0))*AC$557</f>
        <v>0.4380881558618927</v>
      </c>
      <c r="AD550" s="19">
        <f>AD540+INDEX(Data_Prices!AD:AD,MATCH($G550,Data_Prices!$A:$A,0))*AD$557</f>
        <v>0.46019423878918836</v>
      </c>
      <c r="AE550" s="19">
        <f>AE540+INDEX(Data_Prices!AE:AE,MATCH($G550,Data_Prices!$A:$A,0))*AE$557</f>
        <v>0.48230032171648402</v>
      </c>
    </row>
    <row r="551" spans="2:31" x14ac:dyDescent="0.45">
      <c r="B551" s="14" t="s">
        <v>62</v>
      </c>
      <c r="C551" s="14" t="str">
        <f t="shared" si="172"/>
        <v>nfm</v>
      </c>
      <c r="D551" s="15" t="s">
        <v>63</v>
      </c>
      <c r="E551" s="16" t="s">
        <v>57</v>
      </c>
      <c r="F551" s="14" t="s">
        <v>75</v>
      </c>
      <c r="G551" s="17" t="str">
        <f>Settings!$B$3&amp;".mit.shp."&amp;$B551&amp;"."&amp;Settings!$B$4&amp;"."&amp;$J$524</f>
        <v>egy.mit.shp.ker.ind.2</v>
      </c>
      <c r="H551" s="45" t="str">
        <f>Settings!$B$3&amp;".mit.shp."&amp;$C$524&amp;"."&amp;$B551&amp;".e."&amp;$J$524</f>
        <v>egy.mit.shp.nfm.ker.e.2</v>
      </c>
      <c r="K551" s="19">
        <f>K541+INDEX(Data_Prices!K:K,MATCH($G551,Data_Prices!$A:$A,0))*K$557</f>
        <v>0.48429424097343499</v>
      </c>
      <c r="L551" s="19">
        <f>L541+INDEX(Data_Prices!L:L,MATCH($G551,Data_Prices!$A:$A,0))*L$557</f>
        <v>0.45642817050012802</v>
      </c>
      <c r="M551" s="19">
        <f>M541+INDEX(Data_Prices!M:M,MATCH($G551,Data_Prices!$A:$A,0))*M$557</f>
        <v>0.43168920195599497</v>
      </c>
      <c r="N551" s="19">
        <f>N541+INDEX(Data_Prices!N:N,MATCH($G551,Data_Prices!$A:$A,0))*N$557</f>
        <v>0.42507558395597</v>
      </c>
      <c r="O551" s="19">
        <f>O541+INDEX(Data_Prices!O:O,MATCH($G551,Data_Prices!$A:$A,0))*O$557</f>
        <v>0.42507558395597</v>
      </c>
      <c r="P551" s="19">
        <f>P541+INDEX(Data_Prices!P:P,MATCH($G551,Data_Prices!$A:$A,0))*P$557</f>
        <v>0.42507558395597</v>
      </c>
      <c r="Q551" s="19">
        <f>Q541+INDEX(Data_Prices!Q:Q,MATCH($G551,Data_Prices!$A:$A,0))*Q$557</f>
        <v>0.45706441406607845</v>
      </c>
      <c r="R551" s="19">
        <f>R541+INDEX(Data_Prices!R:R,MATCH($G551,Data_Prices!$A:$A,0))*R$557</f>
        <v>0.48905324417618695</v>
      </c>
      <c r="S551" s="19">
        <f>S541+INDEX(Data_Prices!S:S,MATCH($G551,Data_Prices!$A:$A,0))*S$557</f>
        <v>0.52104207428629534</v>
      </c>
      <c r="T551" s="19">
        <f>T541+INDEX(Data_Prices!T:T,MATCH($G551,Data_Prices!$A:$A,0))*T$557</f>
        <v>0.5530309043964039</v>
      </c>
      <c r="U551" s="19">
        <f>U541+INDEX(Data_Prices!U:U,MATCH($G551,Data_Prices!$A:$A,0))*U$557</f>
        <v>0.58501973450651235</v>
      </c>
      <c r="V551" s="19">
        <f>V541+INDEX(Data_Prices!V:V,MATCH($G551,Data_Prices!$A:$A,0))*V$557</f>
        <v>0.61700856461662079</v>
      </c>
      <c r="W551" s="19">
        <f>W541+INDEX(Data_Prices!W:W,MATCH($G551,Data_Prices!$A:$A,0))*W$557</f>
        <v>0.64899739472672924</v>
      </c>
      <c r="X551" s="19">
        <f>X541+INDEX(Data_Prices!X:X,MATCH($G551,Data_Prices!$A:$A,0))*X$557</f>
        <v>0.68098622483683768</v>
      </c>
      <c r="Y551" s="19">
        <f>Y541+INDEX(Data_Prices!Y:Y,MATCH($G551,Data_Prices!$A:$A,0))*Y$557</f>
        <v>0.71297505494694624</v>
      </c>
      <c r="Z551" s="19">
        <f>Z541+INDEX(Data_Prices!Z:Z,MATCH($G551,Data_Prices!$A:$A,0))*Z$557</f>
        <v>0.74496388505705469</v>
      </c>
      <c r="AA551" s="19">
        <f>AA541+INDEX(Data_Prices!AA:AA,MATCH($G551,Data_Prices!$A:$A,0))*AA$557</f>
        <v>0.77695271516716313</v>
      </c>
      <c r="AB551" s="19">
        <f>AB541+INDEX(Data_Prices!AB:AB,MATCH($G551,Data_Prices!$A:$A,0))*AB$557</f>
        <v>0.80894154527727158</v>
      </c>
      <c r="AC551" s="19">
        <f>AC541+INDEX(Data_Prices!AC:AC,MATCH($G551,Data_Prices!$A:$A,0))*AC$557</f>
        <v>0.84093037538738002</v>
      </c>
      <c r="AD551" s="19">
        <f>AD541+INDEX(Data_Prices!AD:AD,MATCH($G551,Data_Prices!$A:$A,0))*AD$557</f>
        <v>0.87291920549748858</v>
      </c>
      <c r="AE551" s="19">
        <f>AE541+INDEX(Data_Prices!AE:AE,MATCH($G551,Data_Prices!$A:$A,0))*AE$557</f>
        <v>0.90490803560759692</v>
      </c>
    </row>
    <row r="552" spans="2:31" x14ac:dyDescent="0.45">
      <c r="B552" s="14" t="s">
        <v>64</v>
      </c>
      <c r="C552" s="14" t="str">
        <f t="shared" si="172"/>
        <v>nfm</v>
      </c>
      <c r="D552" s="15" t="s">
        <v>65</v>
      </c>
      <c r="E552" s="16" t="s">
        <v>66</v>
      </c>
      <c r="F552" s="14" t="s">
        <v>75</v>
      </c>
      <c r="G552" s="17" t="str">
        <f>Settings!$B$3&amp;".mit.shp."&amp;$B552&amp;"."&amp;Settings!$B$4&amp;"."&amp;$J$524</f>
        <v>egy.mit.shp.oop.ind.2</v>
      </c>
      <c r="H552" s="45" t="str">
        <f>Settings!$B$3&amp;".mit.shp."&amp;$C$524&amp;"."&amp;$B552&amp;".e."&amp;$J$524</f>
        <v>egy.mit.shp.nfm.oop.e.2</v>
      </c>
      <c r="K552" s="19">
        <f>K542+INDEX(Data_Prices!K:K,MATCH($G552,Data_Prices!$A:$A,0))*K$557</f>
        <v>41.500338498868402</v>
      </c>
      <c r="L552" s="19">
        <f>L542+INDEX(Data_Prices!L:L,MATCH($G552,Data_Prices!$A:$A,0))*L$557</f>
        <v>34.4153703043132</v>
      </c>
      <c r="M552" s="19">
        <f>M542+INDEX(Data_Prices!M:M,MATCH($G552,Data_Prices!$A:$A,0))*M$557</f>
        <v>37.368960690431997</v>
      </c>
      <c r="N552" s="19">
        <f>N542+INDEX(Data_Prices!N:N,MATCH($G552,Data_Prices!$A:$A,0))*N$557</f>
        <v>28.982761101477301</v>
      </c>
      <c r="O552" s="19">
        <f>O542+INDEX(Data_Prices!O:O,MATCH($G552,Data_Prices!$A:$A,0))*O$557</f>
        <v>15</v>
      </c>
      <c r="P552" s="19">
        <f>P542+INDEX(Data_Prices!P:P,MATCH($G552,Data_Prices!$A:$A,0))*P$557</f>
        <v>24.2586300842555</v>
      </c>
      <c r="Q552" s="19">
        <f>Q542+INDEX(Data_Prices!Q:Q,MATCH($G552,Data_Prices!$A:$A,0))*Q$557</f>
        <v>18.963758196132499</v>
      </c>
      <c r="R552" s="19">
        <f>R542+INDEX(Data_Prices!R:R,MATCH($G552,Data_Prices!$A:$A,0))*R$557</f>
        <v>21.760345114010597</v>
      </c>
      <c r="S552" s="19">
        <f>S542+INDEX(Data_Prices!S:S,MATCH($G552,Data_Prices!$A:$A,0))*S$557</f>
        <v>26.079880691373621</v>
      </c>
      <c r="T552" s="19">
        <f>T542+INDEX(Data_Prices!T:T,MATCH($G552,Data_Prices!$A:$A,0))*T$557</f>
        <v>30.593682445209218</v>
      </c>
      <c r="U552" s="19">
        <f>U542+INDEX(Data_Prices!U:U,MATCH($G552,Data_Prices!$A:$A,0))*U$557</f>
        <v>34.990509739410058</v>
      </c>
      <c r="V552" s="19">
        <f>V542+INDEX(Data_Prices!V:V,MATCH($G552,Data_Prices!$A:$A,0))*V$557</f>
        <v>40.858059739410059</v>
      </c>
      <c r="W552" s="19">
        <f>W542+INDEX(Data_Prices!W:W,MATCH($G552,Data_Prices!$A:$A,0))*W$557</f>
        <v>46.725609739410054</v>
      </c>
      <c r="X552" s="19">
        <f>X542+INDEX(Data_Prices!X:X,MATCH($G552,Data_Prices!$A:$A,0))*X$557</f>
        <v>52.593159739410055</v>
      </c>
      <c r="Y552" s="19">
        <f>Y542+INDEX(Data_Prices!Y:Y,MATCH($G552,Data_Prices!$A:$A,0))*Y$557</f>
        <v>58.460709739410056</v>
      </c>
      <c r="Z552" s="19">
        <f>Z542+INDEX(Data_Prices!Z:Z,MATCH($G552,Data_Prices!$A:$A,0))*Z$557</f>
        <v>64.328259739410072</v>
      </c>
      <c r="AA552" s="19">
        <f>AA542+INDEX(Data_Prices!AA:AA,MATCH($G552,Data_Prices!$A:$A,0))*AA$557</f>
        <v>70.195809739410052</v>
      </c>
      <c r="AB552" s="19">
        <f>AB542+INDEX(Data_Prices!AB:AB,MATCH($G552,Data_Prices!$A:$A,0))*AB$557</f>
        <v>76.06335973941006</v>
      </c>
      <c r="AC552" s="19">
        <f>AC542+INDEX(Data_Prices!AC:AC,MATCH($G552,Data_Prices!$A:$A,0))*AC$557</f>
        <v>81.930909739410041</v>
      </c>
      <c r="AD552" s="19">
        <f>AD542+INDEX(Data_Prices!AD:AD,MATCH($G552,Data_Prices!$A:$A,0))*AD$557</f>
        <v>87.798459739410049</v>
      </c>
      <c r="AE552" s="19">
        <f>AE542+INDEX(Data_Prices!AE:AE,MATCH($G552,Data_Prices!$A:$A,0))*AE$557</f>
        <v>93.666009739410043</v>
      </c>
    </row>
    <row r="553" spans="2:31" x14ac:dyDescent="0.45">
      <c r="B553" s="14" t="s">
        <v>67</v>
      </c>
      <c r="C553" s="14" t="str">
        <f t="shared" si="172"/>
        <v>nfm</v>
      </c>
      <c r="D553" s="15" t="s">
        <v>68</v>
      </c>
      <c r="E553" s="16" t="s">
        <v>51</v>
      </c>
      <c r="F553" s="14" t="s">
        <v>75</v>
      </c>
      <c r="G553" s="17" t="str">
        <f>Settings!$B$3&amp;".mit.shp."&amp;$B553&amp;"."&amp;Settings!$B$4&amp;"."&amp;$J$524</f>
        <v>egy.mit.shp.bio.ind.2</v>
      </c>
      <c r="H553" s="45" t="str">
        <f>Settings!$B$3&amp;".mit.shp."&amp;$C$524&amp;"."&amp;$B553&amp;".e."&amp;$J$524</f>
        <v>egy.mit.shp.nfm.bio.e.2</v>
      </c>
      <c r="K553" s="19">
        <f>K543+INDEX(Data_Prices!K:K,MATCH($G553,Data_Prices!$A:$A,0))*K$557</f>
        <v>15.3345505293169</v>
      </c>
      <c r="L553" s="19">
        <f>L543+INDEX(Data_Prices!L:L,MATCH($G553,Data_Prices!$A:$A,0))*L$557</f>
        <v>14.199528390634899</v>
      </c>
      <c r="M553" s="19">
        <f>M543+INDEX(Data_Prices!M:M,MATCH($G553,Data_Prices!$A:$A,0))*M$557</f>
        <v>13.8404416133152</v>
      </c>
      <c r="N553" s="19">
        <f>N543+INDEX(Data_Prices!N:N,MATCH($G553,Data_Prices!$A:$A,0))*N$557</f>
        <v>13.5677269404465</v>
      </c>
      <c r="O553" s="19">
        <f>O543+INDEX(Data_Prices!O:O,MATCH($G553,Data_Prices!$A:$A,0))*O$557</f>
        <v>13.5677269404465</v>
      </c>
      <c r="P553" s="19">
        <f>P543+INDEX(Data_Prices!P:P,MATCH($G553,Data_Prices!$A:$A,0))*P$557</f>
        <v>13.5677269404465</v>
      </c>
      <c r="Q553" s="19">
        <f>Q543+INDEX(Data_Prices!Q:Q,MATCH($G553,Data_Prices!$A:$A,0))*Q$557</f>
        <v>13.5677269404465</v>
      </c>
      <c r="R553" s="19">
        <f>R543+INDEX(Data_Prices!R:R,MATCH($G553,Data_Prices!$A:$A,0))*R$557</f>
        <v>13.5677269404465</v>
      </c>
      <c r="S553" s="19">
        <f>S543+INDEX(Data_Prices!S:S,MATCH($G553,Data_Prices!$A:$A,0))*S$557</f>
        <v>13.5677269404465</v>
      </c>
      <c r="T553" s="19">
        <f>T543+INDEX(Data_Prices!T:T,MATCH($G553,Data_Prices!$A:$A,0))*T$557</f>
        <v>13.5677269404465</v>
      </c>
      <c r="U553" s="19">
        <f>U543+INDEX(Data_Prices!U:U,MATCH($G553,Data_Prices!$A:$A,0))*U$557</f>
        <v>13.5677269404465</v>
      </c>
      <c r="V553" s="19">
        <f>V543+INDEX(Data_Prices!V:V,MATCH($G553,Data_Prices!$A:$A,0))*V$557</f>
        <v>13.5677269404465</v>
      </c>
      <c r="W553" s="19">
        <f>W543+INDEX(Data_Prices!W:W,MATCH($G553,Data_Prices!$A:$A,0))*W$557</f>
        <v>13.5677269404465</v>
      </c>
      <c r="X553" s="19">
        <f>X543+INDEX(Data_Prices!X:X,MATCH($G553,Data_Prices!$A:$A,0))*X$557</f>
        <v>13.5677269404465</v>
      </c>
      <c r="Y553" s="19">
        <f>Y543+INDEX(Data_Prices!Y:Y,MATCH($G553,Data_Prices!$A:$A,0))*Y$557</f>
        <v>13.5677269404465</v>
      </c>
      <c r="Z553" s="19">
        <f>Z543+INDEX(Data_Prices!Z:Z,MATCH($G553,Data_Prices!$A:$A,0))*Z$557</f>
        <v>13.5677269404465</v>
      </c>
      <c r="AA553" s="19">
        <f>AA543+INDEX(Data_Prices!AA:AA,MATCH($G553,Data_Prices!$A:$A,0))*AA$557</f>
        <v>13.5677269404465</v>
      </c>
      <c r="AB553" s="19">
        <f>AB543+INDEX(Data_Prices!AB:AB,MATCH($G553,Data_Prices!$A:$A,0))*AB$557</f>
        <v>13.5677269404465</v>
      </c>
      <c r="AC553" s="19">
        <f>AC543+INDEX(Data_Prices!AC:AC,MATCH($G553,Data_Prices!$A:$A,0))*AC$557</f>
        <v>13.5677269404465</v>
      </c>
      <c r="AD553" s="19">
        <f>AD543+INDEX(Data_Prices!AD:AD,MATCH($G553,Data_Prices!$A:$A,0))*AD$557</f>
        <v>13.5677269404465</v>
      </c>
      <c r="AE553" s="19">
        <f>AE543+INDEX(Data_Prices!AE:AE,MATCH($G553,Data_Prices!$A:$A,0))*AE$557</f>
        <v>13.5677269404465</v>
      </c>
    </row>
    <row r="554" spans="2:31" x14ac:dyDescent="0.45">
      <c r="B554" s="14" t="s">
        <v>69</v>
      </c>
      <c r="C554" s="14" t="str">
        <f t="shared" si="172"/>
        <v>nfm</v>
      </c>
      <c r="D554" s="15" t="s">
        <v>70</v>
      </c>
      <c r="E554" s="16" t="s">
        <v>71</v>
      </c>
      <c r="F554" s="14" t="s">
        <v>75</v>
      </c>
      <c r="G554" s="17" t="str">
        <f>Settings!$B$3&amp;".mit.shp."&amp;$B554&amp;"."&amp;Settings!$B$4&amp;"."&amp;$J$524</f>
        <v>egy.mit.shp.ren.ind.2</v>
      </c>
      <c r="H554" s="45" t="str">
        <f>Settings!$B$3&amp;".mit.shp."&amp;$C$524&amp;"."&amp;$B554&amp;".e."&amp;$J$524</f>
        <v>egy.mit.shp.nfm.ren.e.2</v>
      </c>
      <c r="K554" s="19">
        <f>K544+INDEX(Data_Prices!K:K,MATCH($G554,Data_Prices!$A:$A,0))*K$557</f>
        <v>0</v>
      </c>
      <c r="L554" s="19">
        <f>L544+INDEX(Data_Prices!L:L,MATCH($G554,Data_Prices!$A:$A,0))*L$557</f>
        <v>0.14404498679319799</v>
      </c>
      <c r="M554" s="19">
        <f>M544+INDEX(Data_Prices!M:M,MATCH($G554,Data_Prices!$A:$A,0))*M$557</f>
        <v>0.141386241751359</v>
      </c>
      <c r="N554" s="19">
        <f>N544+INDEX(Data_Prices!N:N,MATCH($G554,Data_Prices!$A:$A,0))*N$557</f>
        <v>0.13539756544373099</v>
      </c>
      <c r="O554" s="19">
        <f>O544+INDEX(Data_Prices!O:O,MATCH($G554,Data_Prices!$A:$A,0))*O$557</f>
        <v>0.13152288542065099</v>
      </c>
      <c r="P554" s="19">
        <f>P544+INDEX(Data_Prices!P:P,MATCH($G554,Data_Prices!$A:$A,0))*P$557</f>
        <v>0.12882610848523099</v>
      </c>
      <c r="Q554" s="19">
        <f>Q544+INDEX(Data_Prices!Q:Q,MATCH($G554,Data_Prices!$A:$A,0))*Q$557</f>
        <v>0.12594200976473999</v>
      </c>
      <c r="R554" s="19">
        <f>R544+INDEX(Data_Prices!R:R,MATCH($G554,Data_Prices!$A:$A,0))*R$557</f>
        <v>0.123113265701861</v>
      </c>
      <c r="S554" s="19">
        <f>S544+INDEX(Data_Prices!S:S,MATCH($G554,Data_Prices!$A:$A,0))*S$557</f>
        <v>0.119391738089068</v>
      </c>
      <c r="T554" s="19">
        <f>T544+INDEX(Data_Prices!T:T,MATCH($G554,Data_Prices!$A:$A,0))*T$557</f>
        <v>0.11554419046792</v>
      </c>
      <c r="U554" s="19">
        <f>U544+INDEX(Data_Prices!U:U,MATCH($G554,Data_Prices!$A:$A,0))*U$557</f>
        <v>0.11492423065415899</v>
      </c>
      <c r="V554" s="19">
        <f>V544+INDEX(Data_Prices!V:V,MATCH($G554,Data_Prices!$A:$A,0))*V$557</f>
        <v>0.114346912116736</v>
      </c>
      <c r="W554" s="19">
        <f>W544+INDEX(Data_Prices!W:W,MATCH($G554,Data_Prices!$A:$A,0))*W$557</f>
        <v>0.113738711172664</v>
      </c>
      <c r="X554" s="19">
        <f>X544+INDEX(Data_Prices!X:X,MATCH($G554,Data_Prices!$A:$A,0))*X$557</f>
        <v>0.112999900487521</v>
      </c>
      <c r="Y554" s="19">
        <f>Y544+INDEX(Data_Prices!Y:Y,MATCH($G554,Data_Prices!$A:$A,0))*Y$557</f>
        <v>0.112177685835534</v>
      </c>
      <c r="Z554" s="19">
        <f>Z544+INDEX(Data_Prices!Z:Z,MATCH($G554,Data_Prices!$A:$A,0))*Z$557</f>
        <v>0.111417903250404</v>
      </c>
      <c r="AA554" s="19">
        <f>AA544+INDEX(Data_Prices!AA:AA,MATCH($G554,Data_Prices!$A:$A,0))*AA$557</f>
        <v>0.11052581998545399</v>
      </c>
      <c r="AB554" s="19">
        <f>AB544+INDEX(Data_Prices!AB:AB,MATCH($G554,Data_Prices!$A:$A,0))*AB$557</f>
        <v>0.109699565234896</v>
      </c>
      <c r="AC554" s="19">
        <f>AC544+INDEX(Data_Prices!AC:AC,MATCH($G554,Data_Prices!$A:$A,0))*AC$557</f>
        <v>0.10772678896394899</v>
      </c>
      <c r="AD554" s="19">
        <f>AD544+INDEX(Data_Prices!AD:AD,MATCH($G554,Data_Prices!$A:$A,0))*AD$557</f>
        <v>0.10582092445093499</v>
      </c>
      <c r="AE554" s="19">
        <f>AE544+INDEX(Data_Prices!AE:AE,MATCH($G554,Data_Prices!$A:$A,0))*AE$557</f>
        <v>0.103855595705721</v>
      </c>
    </row>
    <row r="555" spans="2:31" x14ac:dyDescent="0.45">
      <c r="B555" s="13" t="s">
        <v>76</v>
      </c>
    </row>
    <row r="556" spans="2:31" x14ac:dyDescent="0.45">
      <c r="B556" s="14" t="s">
        <v>77</v>
      </c>
      <c r="C556" s="14" t="str">
        <f>$C$524</f>
        <v>nfm</v>
      </c>
      <c r="D556" s="15" t="s">
        <v>78</v>
      </c>
      <c r="E556" s="16" t="s">
        <v>79</v>
      </c>
      <c r="F556" s="14" t="s">
        <v>80</v>
      </c>
      <c r="G556" s="17" t="str">
        <f>Settings!$B$3&amp;".mit.tcf."&amp;$C$524&amp;"."&amp;$J$524</f>
        <v>egy.mit.tcf.nfm.2</v>
      </c>
      <c r="K556" s="19">
        <f>INDEX(Data_Prices!K:K,MATCH($G556,Data_Prices!$A:$A,0))</f>
        <v>0</v>
      </c>
      <c r="L556" s="19">
        <f>INDEX(Data_Prices!L:L,MATCH($G556,Data_Prices!$A:$A,0))</f>
        <v>0</v>
      </c>
      <c r="M556" s="19">
        <f>INDEX(Data_Prices!M:M,MATCH($G556,Data_Prices!$A:$A,0))</f>
        <v>0</v>
      </c>
      <c r="N556" s="19">
        <f>INDEX(Data_Prices!N:N,MATCH($G556,Data_Prices!$A:$A,0))</f>
        <v>0</v>
      </c>
      <c r="O556" s="19">
        <f>INDEX(Data_Prices!O:O,MATCH($G556,Data_Prices!$A:$A,0))</f>
        <v>0</v>
      </c>
      <c r="P556" s="19">
        <f>INDEX(Data_Prices!P:P,MATCH($G556,Data_Prices!$A:$A,0))</f>
        <v>1</v>
      </c>
      <c r="Q556" s="19">
        <f>INDEX(Data_Prices!Q:Q,MATCH($G556,Data_Prices!$A:$A,0))</f>
        <v>1</v>
      </c>
      <c r="R556" s="19">
        <f>INDEX(Data_Prices!R:R,MATCH($G556,Data_Prices!$A:$A,0))</f>
        <v>1</v>
      </c>
      <c r="S556" s="19">
        <f>INDEX(Data_Prices!S:S,MATCH($G556,Data_Prices!$A:$A,0))</f>
        <v>1</v>
      </c>
      <c r="T556" s="19">
        <f>INDEX(Data_Prices!T:T,MATCH($G556,Data_Prices!$A:$A,0))</f>
        <v>1</v>
      </c>
      <c r="U556" s="19">
        <f>INDEX(Data_Prices!U:U,MATCH($G556,Data_Prices!$A:$A,0))</f>
        <v>1</v>
      </c>
      <c r="V556" s="19">
        <f>INDEX(Data_Prices!V:V,MATCH($G556,Data_Prices!$A:$A,0))</f>
        <v>1</v>
      </c>
      <c r="W556" s="19">
        <f>INDEX(Data_Prices!W:W,MATCH($G556,Data_Prices!$A:$A,0))</f>
        <v>1</v>
      </c>
      <c r="X556" s="19">
        <f>INDEX(Data_Prices!X:X,MATCH($G556,Data_Prices!$A:$A,0))</f>
        <v>1</v>
      </c>
      <c r="Y556" s="19">
        <f>INDEX(Data_Prices!Y:Y,MATCH($G556,Data_Prices!$A:$A,0))</f>
        <v>1</v>
      </c>
      <c r="Z556" s="19">
        <f>INDEX(Data_Prices!Z:Z,MATCH($G556,Data_Prices!$A:$A,0))</f>
        <v>1</v>
      </c>
      <c r="AA556" s="19">
        <f>INDEX(Data_Prices!AA:AA,MATCH($G556,Data_Prices!$A:$A,0))</f>
        <v>1</v>
      </c>
      <c r="AB556" s="19">
        <f>INDEX(Data_Prices!AB:AB,MATCH($G556,Data_Prices!$A:$A,0))</f>
        <v>1</v>
      </c>
      <c r="AC556" s="19">
        <f>INDEX(Data_Prices!AC:AC,MATCH($G556,Data_Prices!$A:$A,0))</f>
        <v>1</v>
      </c>
      <c r="AD556" s="19">
        <f>INDEX(Data_Prices!AD:AD,MATCH($G556,Data_Prices!$A:$A,0))</f>
        <v>1</v>
      </c>
      <c r="AE556" s="19">
        <f>INDEX(Data_Prices!AE:AE,MATCH($G556,Data_Prices!$A:$A,0))</f>
        <v>1</v>
      </c>
    </row>
    <row r="557" spans="2:31" x14ac:dyDescent="0.45">
      <c r="B557" s="14" t="s">
        <v>77</v>
      </c>
      <c r="C557" s="14" t="str">
        <f>$C$524</f>
        <v>nfm</v>
      </c>
      <c r="D557" s="15" t="s">
        <v>81</v>
      </c>
      <c r="E557" s="16" t="s">
        <v>79</v>
      </c>
      <c r="F557" s="14" t="s">
        <v>82</v>
      </c>
      <c r="G557" s="17" t="str">
        <f>Settings!$B$3&amp;".mit.ssc."&amp;$C$524&amp;"."&amp;$J$524</f>
        <v>egy.mit.ssc.nfm.2</v>
      </c>
      <c r="K557" s="19">
        <f>INDEX(Data_Prices!K:K,MATCH($G557,Data_Prices!$A:$A,0))</f>
        <v>0</v>
      </c>
      <c r="L557" s="19">
        <f>INDEX(Data_Prices!L:L,MATCH($G557,Data_Prices!$A:$A,0))</f>
        <v>1</v>
      </c>
      <c r="M557" s="19">
        <f>INDEX(Data_Prices!M:M,MATCH($G557,Data_Prices!$A:$A,0))</f>
        <v>1</v>
      </c>
      <c r="N557" s="19">
        <f>INDEX(Data_Prices!N:N,MATCH($G557,Data_Prices!$A:$A,0))</f>
        <v>1</v>
      </c>
      <c r="O557" s="19">
        <f>INDEX(Data_Prices!O:O,MATCH($G557,Data_Prices!$A:$A,0))</f>
        <v>1</v>
      </c>
      <c r="P557" s="19">
        <f>INDEX(Data_Prices!P:P,MATCH($G557,Data_Prices!$A:$A,0))</f>
        <v>1</v>
      </c>
      <c r="Q557" s="19">
        <f>INDEX(Data_Prices!Q:Q,MATCH($G557,Data_Prices!$A:$A,0))</f>
        <v>1</v>
      </c>
      <c r="R557" s="19">
        <f>INDEX(Data_Prices!R:R,MATCH($G557,Data_Prices!$A:$A,0))</f>
        <v>1</v>
      </c>
      <c r="S557" s="19">
        <f>INDEX(Data_Prices!S:S,MATCH($G557,Data_Prices!$A:$A,0))</f>
        <v>1</v>
      </c>
      <c r="T557" s="19">
        <f>INDEX(Data_Prices!T:T,MATCH($G557,Data_Prices!$A:$A,0))</f>
        <v>1</v>
      </c>
      <c r="U557" s="19">
        <f>INDEX(Data_Prices!U:U,MATCH($G557,Data_Prices!$A:$A,0))</f>
        <v>1</v>
      </c>
      <c r="V557" s="19">
        <f>INDEX(Data_Prices!V:V,MATCH($G557,Data_Prices!$A:$A,0))</f>
        <v>1</v>
      </c>
      <c r="W557" s="19">
        <f>INDEX(Data_Prices!W:W,MATCH($G557,Data_Prices!$A:$A,0))</f>
        <v>1</v>
      </c>
      <c r="X557" s="19">
        <f>INDEX(Data_Prices!X:X,MATCH($G557,Data_Prices!$A:$A,0))</f>
        <v>1</v>
      </c>
      <c r="Y557" s="19">
        <f>INDEX(Data_Prices!Y:Y,MATCH($G557,Data_Prices!$A:$A,0))</f>
        <v>1</v>
      </c>
      <c r="Z557" s="19">
        <f>INDEX(Data_Prices!Z:Z,MATCH($G557,Data_Prices!$A:$A,0))</f>
        <v>1</v>
      </c>
      <c r="AA557" s="19">
        <f>INDEX(Data_Prices!AA:AA,MATCH($G557,Data_Prices!$A:$A,0))</f>
        <v>1</v>
      </c>
      <c r="AB557" s="19">
        <f>INDEX(Data_Prices!AB:AB,MATCH($G557,Data_Prices!$A:$A,0))</f>
        <v>1</v>
      </c>
      <c r="AC557" s="19">
        <f>INDEX(Data_Prices!AC:AC,MATCH($G557,Data_Prices!$A:$A,0))</f>
        <v>1</v>
      </c>
      <c r="AD557" s="19">
        <f>INDEX(Data_Prices!AD:AD,MATCH($G557,Data_Prices!$A:$A,0))</f>
        <v>1</v>
      </c>
      <c r="AE557" s="19">
        <f>INDEX(Data_Prices!AE:AE,MATCH($G557,Data_Prices!$A:$A,0))</f>
        <v>1</v>
      </c>
    </row>
    <row r="558" spans="2:31" x14ac:dyDescent="0.45">
      <c r="B558" s="14" t="s">
        <v>77</v>
      </c>
      <c r="C558" s="14" t="str">
        <f>$C$524</f>
        <v>nfm</v>
      </c>
      <c r="D558" s="15" t="s">
        <v>83</v>
      </c>
      <c r="E558" s="16" t="s">
        <v>84</v>
      </c>
      <c r="F558" s="14" t="s">
        <v>85</v>
      </c>
      <c r="G558" s="17" t="str">
        <f>Settings!$B$3&amp;".mit.gdp.pos.pct."&amp;$J$524</f>
        <v>egy.mit.gdp.pos.pct.2</v>
      </c>
      <c r="K558" s="20">
        <f>INDEX(Data_Macro!K:K,MATCH($G558,Data_Macro!$A:$A,0))</f>
        <v>0</v>
      </c>
      <c r="L558" s="20">
        <f>INDEX(Data_Macro!L:L,MATCH($G558,Data_Macro!$A:$A,0))</f>
        <v>6.6513450000000002E-2</v>
      </c>
      <c r="M558" s="20">
        <f>INDEX(Data_Macro!M:M,MATCH($G558,Data_Macro!$A:$A,0))</f>
        <v>3.760281E-2</v>
      </c>
      <c r="N558" s="20">
        <f>INDEX(Data_Macro!N:N,MATCH($G558,Data_Macro!$A:$A,0))</f>
        <v>2.3988010000000001E-2</v>
      </c>
      <c r="O558" s="20">
        <f>INDEX(Data_Macro!O:O,MATCH($G558,Data_Macro!$A:$A,0))</f>
        <v>4.3923869999999997E-2</v>
      </c>
      <c r="P558" s="20">
        <f>INDEX(Data_Macro!P:P,MATCH($G558,Data_Macro!$A:$A,0))</f>
        <v>4.239706E-2</v>
      </c>
      <c r="Q558" s="20">
        <f>INDEX(Data_Macro!Q:Q,MATCH($G558,Data_Macro!$A:$A,0))</f>
        <v>4.8298383783007597E-2</v>
      </c>
      <c r="R558" s="20">
        <f>INDEX(Data_Macro!R:R,MATCH($G558,Data_Macro!$A:$A,0))</f>
        <v>5.55905477124225E-2</v>
      </c>
      <c r="S558" s="20">
        <f>INDEX(Data_Macro!S:S,MATCH($G558,Data_Macro!$A:$A,0))</f>
        <v>5.2137235389631401E-2</v>
      </c>
      <c r="T558" s="20">
        <f>INDEX(Data_Macro!T:T,MATCH($G558,Data_Macro!$A:$A,0))</f>
        <v>4.8124907491929901E-2</v>
      </c>
      <c r="U558" s="20">
        <f>INDEX(Data_Macro!U:U,MATCH($G558,Data_Macro!$A:$A,0))</f>
        <v>4.7208796526521303E-2</v>
      </c>
      <c r="V558" s="20">
        <f>INDEX(Data_Macro!V:V,MATCH($G558,Data_Macro!$A:$A,0))</f>
        <v>4.66890433006764E-2</v>
      </c>
      <c r="W558" s="20">
        <f>INDEX(Data_Macro!W:W,MATCH($G558,Data_Macro!$A:$A,0))</f>
        <v>4.6632750147029202E-2</v>
      </c>
      <c r="X558" s="20">
        <f>INDEX(Data_Macro!X:X,MATCH($G558,Data_Macro!$A:$A,0))</f>
        <v>4.6872723264421497E-2</v>
      </c>
      <c r="Y558" s="20">
        <f>INDEX(Data_Macro!Y:Y,MATCH($G558,Data_Macro!$A:$A,0))</f>
        <v>4.7469921753048698E-2</v>
      </c>
      <c r="Z558" s="20">
        <f>INDEX(Data_Macro!Z:Z,MATCH($G558,Data_Macro!$A:$A,0))</f>
        <v>4.8590713024029002E-2</v>
      </c>
      <c r="AA558" s="20">
        <f>INDEX(Data_Macro!AA:AA,MATCH($G558,Data_Macro!$A:$A,0))</f>
        <v>4.9941182078066401E-2</v>
      </c>
      <c r="AB558" s="20">
        <f>INDEX(Data_Macro!AB:AB,MATCH($G558,Data_Macro!$A:$A,0))</f>
        <v>5.13941835424786E-2</v>
      </c>
      <c r="AC558" s="20">
        <f>INDEX(Data_Macro!AC:AC,MATCH($G558,Data_Macro!$A:$A,0))</f>
        <v>5.2681763019776701E-2</v>
      </c>
      <c r="AD558" s="20">
        <f>INDEX(Data_Macro!AD:AD,MATCH($G558,Data_Macro!$A:$A,0))</f>
        <v>5.3800711336350303E-2</v>
      </c>
      <c r="AE558" s="20">
        <f>INDEX(Data_Macro!AE:AE,MATCH($G558,Data_Macro!$A:$A,0))</f>
        <v>5.4789398044337599E-2</v>
      </c>
    </row>
    <row r="559" spans="2:31" x14ac:dyDescent="0.45">
      <c r="B559" s="14" t="s">
        <v>77</v>
      </c>
      <c r="C559" s="14" t="str">
        <f>$C$524</f>
        <v>nfm</v>
      </c>
      <c r="D559" s="15" t="s">
        <v>86</v>
      </c>
      <c r="E559" s="16" t="s">
        <v>87</v>
      </c>
      <c r="F559" s="14" t="s">
        <v>88</v>
      </c>
      <c r="G559" s="17" t="str">
        <f>Settings!$B$3&amp;".mit.inc.ela.adj."&amp;$J$524</f>
        <v>egy.mit.inc.ela.adj.2</v>
      </c>
      <c r="K559" s="19">
        <f>INDEX(Data_Macro!K:K,MATCH($G559,Data_Macro!$A:$A,0))</f>
        <v>0</v>
      </c>
      <c r="L559" s="19">
        <f>INDEX(Data_Macro!L:L,MATCH($G559,Data_Macro!$A:$A,0))</f>
        <v>1.02715172471961</v>
      </c>
      <c r="M559" s="19">
        <f>INDEX(Data_Macro!M:M,MATCH($G559,Data_Macro!$A:$A,0))</f>
        <v>1.02715172471961</v>
      </c>
      <c r="N559" s="19">
        <f>INDEX(Data_Macro!N:N,MATCH($G559,Data_Macro!$A:$A,0))</f>
        <v>1.0205698358851201</v>
      </c>
      <c r="O559" s="19">
        <f>INDEX(Data_Macro!O:O,MATCH($G559,Data_Macro!$A:$A,0))</f>
        <v>1.01733442885234</v>
      </c>
      <c r="P559" s="19">
        <f>INDEX(Data_Macro!P:P,MATCH($G559,Data_Macro!$A:$A,0))</f>
        <v>1.00766833225382</v>
      </c>
      <c r="Q559" s="19">
        <f>INDEX(Data_Macro!Q:Q,MATCH($G559,Data_Macro!$A:$A,0))</f>
        <v>1.0007442871755301</v>
      </c>
      <c r="R559" s="19">
        <f>INDEX(Data_Macro!R:R,MATCH($G559,Data_Macro!$A:$A,0))</f>
        <v>0.99188455719464297</v>
      </c>
      <c r="S559" s="19">
        <f>INDEX(Data_Macro!S:S,MATCH($G559,Data_Macro!$A:$A,0))</f>
        <v>0.98058056507860303</v>
      </c>
      <c r="T559" s="19">
        <f>INDEX(Data_Macro!T:T,MATCH($G559,Data_Macro!$A:$A,0))</f>
        <v>0.970250789717781</v>
      </c>
      <c r="U559" s="19">
        <f>INDEX(Data_Macro!U:U,MATCH($G559,Data_Macro!$A:$A,0))</f>
        <v>0.964288208159648</v>
      </c>
      <c r="V559" s="19">
        <f>INDEX(Data_Macro!V:V,MATCH($G559,Data_Macro!$A:$A,0))</f>
        <v>0.96183439341951105</v>
      </c>
      <c r="W559" s="19">
        <f>INDEX(Data_Macro!W:W,MATCH($G559,Data_Macro!$A:$A,0))</f>
        <v>0.95941695116164405</v>
      </c>
      <c r="X559" s="19">
        <f>INDEX(Data_Macro!X:X,MATCH($G559,Data_Macro!$A:$A,0))</f>
        <v>0.95701429252188397</v>
      </c>
      <c r="Y559" s="19">
        <f>INDEX(Data_Macro!Y:Y,MATCH($G559,Data_Macro!$A:$A,0))</f>
        <v>0.95468193722552197</v>
      </c>
      <c r="Z559" s="19">
        <f>INDEX(Data_Macro!Z:Z,MATCH($G559,Data_Macro!$A:$A,0))</f>
        <v>0.95240071158774597</v>
      </c>
      <c r="AA559" s="19">
        <f>INDEX(Data_Macro!AA:AA,MATCH($G559,Data_Macro!$A:$A,0))</f>
        <v>0.95011647499405505</v>
      </c>
      <c r="AB559" s="19">
        <f>INDEX(Data_Macro!AB:AB,MATCH($G559,Data_Macro!$A:$A,0))</f>
        <v>0.947927358499145</v>
      </c>
      <c r="AC559" s="19">
        <f>INDEX(Data_Macro!AC:AC,MATCH($G559,Data_Macro!$A:$A,0))</f>
        <v>0.94587674776299702</v>
      </c>
      <c r="AD559" s="19">
        <f>INDEX(Data_Macro!AD:AD,MATCH($G559,Data_Macro!$A:$A,0))</f>
        <v>0.94405480582839296</v>
      </c>
      <c r="AE559" s="19">
        <f>INDEX(Data_Macro!AE:AE,MATCH($G559,Data_Macro!$A:$A,0))</f>
        <v>0.94246391225206505</v>
      </c>
    </row>
    <row r="560" spans="2:31" x14ac:dyDescent="0.45">
      <c r="B560" s="14" t="s">
        <v>77</v>
      </c>
      <c r="C560" s="14" t="str">
        <f>$C$524</f>
        <v>nfm</v>
      </c>
      <c r="D560" s="15" t="s">
        <v>89</v>
      </c>
      <c r="E560" s="16" t="s">
        <v>87</v>
      </c>
      <c r="F560" s="14" t="s">
        <v>90</v>
      </c>
      <c r="G560" s="17" t="str">
        <f>Settings!$B$3&amp;".mit.shock."&amp;$J$524</f>
        <v>egy.mit.shock.2</v>
      </c>
      <c r="K560" s="19">
        <f>INDEX(Data_Macro!K:K,MATCH($G560,Data_Macro!$A:$A,0))</f>
        <v>0</v>
      </c>
      <c r="L560" s="19">
        <f>INDEX(Data_Macro!L:L,MATCH($G560,Data_Macro!$A:$A,0))</f>
        <v>0</v>
      </c>
      <c r="M560" s="19">
        <f>INDEX(Data_Macro!M:M,MATCH($G560,Data_Macro!$A:$A,0))</f>
        <v>-0.20813308302044201</v>
      </c>
      <c r="N560" s="19">
        <f>INDEX(Data_Macro!N:N,MATCH($G560,Data_Macro!$A:$A,0))</f>
        <v>9.2371428571428604E-2</v>
      </c>
      <c r="O560" s="19">
        <f>INDEX(Data_Macro!O:O,MATCH($G560,Data_Macro!$A:$A,0))</f>
        <v>0</v>
      </c>
      <c r="P560" s="19">
        <f>INDEX(Data_Macro!P:P,MATCH($G560,Data_Macro!$A:$A,0))</f>
        <v>0</v>
      </c>
      <c r="Q560" s="19">
        <f>INDEX(Data_Macro!Q:Q,MATCH($G560,Data_Macro!$A:$A,0))</f>
        <v>0</v>
      </c>
      <c r="R560" s="19">
        <f>INDEX(Data_Macro!R:R,MATCH($G560,Data_Macro!$A:$A,0))</f>
        <v>0</v>
      </c>
      <c r="S560" s="19">
        <f>INDEX(Data_Macro!S:S,MATCH($G560,Data_Macro!$A:$A,0))</f>
        <v>0</v>
      </c>
      <c r="T560" s="19">
        <f>INDEX(Data_Macro!T:T,MATCH($G560,Data_Macro!$A:$A,0))</f>
        <v>0</v>
      </c>
      <c r="U560" s="19">
        <f>INDEX(Data_Macro!U:U,MATCH($G560,Data_Macro!$A:$A,0))</f>
        <v>0</v>
      </c>
      <c r="V560" s="19">
        <f>INDEX(Data_Macro!V:V,MATCH($G560,Data_Macro!$A:$A,0))</f>
        <v>0</v>
      </c>
      <c r="W560" s="19">
        <f>INDEX(Data_Macro!W:W,MATCH($G560,Data_Macro!$A:$A,0))</f>
        <v>0</v>
      </c>
      <c r="X560" s="19">
        <f>INDEX(Data_Macro!X:X,MATCH($G560,Data_Macro!$A:$A,0))</f>
        <v>0</v>
      </c>
      <c r="Y560" s="19">
        <f>INDEX(Data_Macro!Y:Y,MATCH($G560,Data_Macro!$A:$A,0))</f>
        <v>0</v>
      </c>
      <c r="Z560" s="19">
        <f>INDEX(Data_Macro!Z:Z,MATCH($G560,Data_Macro!$A:$A,0))</f>
        <v>0</v>
      </c>
      <c r="AA560" s="19">
        <f>INDEX(Data_Macro!AA:AA,MATCH($G560,Data_Macro!$A:$A,0))</f>
        <v>0</v>
      </c>
      <c r="AB560" s="19">
        <f>INDEX(Data_Macro!AB:AB,MATCH($G560,Data_Macro!$A:$A,0))</f>
        <v>0</v>
      </c>
      <c r="AC560" s="19">
        <f>INDEX(Data_Macro!AC:AC,MATCH($G560,Data_Macro!$A:$A,0))</f>
        <v>0</v>
      </c>
      <c r="AD560" s="19">
        <f>INDEX(Data_Macro!AD:AD,MATCH($G560,Data_Macro!$A:$A,0))</f>
        <v>0</v>
      </c>
      <c r="AE560" s="19">
        <f>INDEX(Data_Macro!AE:AE,MATCH($G560,Data_Macro!$A:$A,0))</f>
        <v>0</v>
      </c>
    </row>
    <row r="561" spans="2:31" x14ac:dyDescent="0.45">
      <c r="B561" s="13" t="s">
        <v>91</v>
      </c>
    </row>
    <row r="562" spans="2:31" x14ac:dyDescent="0.45">
      <c r="B562" s="7" t="s">
        <v>32</v>
      </c>
      <c r="C562" s="7" t="s">
        <v>33</v>
      </c>
      <c r="D562" s="21" t="s">
        <v>34</v>
      </c>
      <c r="E562" s="7" t="s">
        <v>92</v>
      </c>
      <c r="F562" s="7" t="s">
        <v>93</v>
      </c>
      <c r="G562" s="7" t="s">
        <v>94</v>
      </c>
      <c r="H562" s="7" t="s">
        <v>95</v>
      </c>
      <c r="I562" s="7" t="s">
        <v>96</v>
      </c>
      <c r="J562" s="7" t="s">
        <v>97</v>
      </c>
    </row>
    <row r="563" spans="2:31" x14ac:dyDescent="0.45">
      <c r="B563" s="14" t="s">
        <v>49</v>
      </c>
      <c r="C563" s="14" t="str">
        <f t="shared" ref="C563:C571" si="173">$C$524</f>
        <v>nfm</v>
      </c>
      <c r="D563" s="22" t="s">
        <v>98</v>
      </c>
      <c r="E563" s="23">
        <f>INDEX(Data_Elast!$D:$G,MATCH("el_inc_"&amp;INDEX(Data_Elast!$J:$J,MATCH($B563,Data_Elast!$I:$I,0)),Data_Elast!$A:$A,0),MATCH(Settings!$B$5,Data_Elast!$D$1:$G$1,0))</f>
        <v>0.5</v>
      </c>
      <c r="F563" s="23">
        <f>INDEX(Data_Elast!$D:$G,MATCH("el_dem_"&amp;INDEX(Data_Elast!$J:$J,MATCH($B563,Data_Elast!$I:$I,0)),Data_Elast!$A:$A,0),MATCH(Settings!$B$5,Data_Elast!$D$1:$G$1,0))</f>
        <v>-0.3</v>
      </c>
      <c r="G563" s="23">
        <f>INDEX(Data_Elast!$D:$G,MATCH("el_eff_"&amp;INDEX(Data_Elast!$J:$J,MATCH($B563,Data_Elast!$I:$I,0)),Data_Elast!$A:$A,0),MATCH(Settings!$B$5,Data_Elast!$D$1:$G$1,0))</f>
        <v>-0.4</v>
      </c>
      <c r="H563" s="23">
        <f>INDEX(Data_Elast!$D:$G,MATCH("eff_imp_"&amp;INDEX(Data_Elast!$K:$K,MATCH($B563,Data_Elast!$I:$I,0)),Data_Elast!$A:$A,0),MATCH(Settings!$B$5,Data_Elast!$D$1:$G$1,0))</f>
        <v>5.0000000000000001E-3</v>
      </c>
      <c r="I563" s="23">
        <f>Settings!$B$7</f>
        <v>0</v>
      </c>
      <c r="J563" s="16" t="str">
        <f>INDEX(Data_Elast!$J:$J,MATCH($B563,Data_Elast!$I:$I,0))</f>
        <v>coa</v>
      </c>
    </row>
    <row r="564" spans="2:31" x14ac:dyDescent="0.45">
      <c r="B564" s="14" t="s">
        <v>53</v>
      </c>
      <c r="C564" s="14" t="str">
        <f t="shared" si="173"/>
        <v>nfm</v>
      </c>
      <c r="D564" s="22" t="s">
        <v>99</v>
      </c>
      <c r="E564" s="23">
        <f>INDEX(Data_Elast!$D:$G,MATCH("el_inc_"&amp;INDEX(Data_Elast!$J:$J,MATCH($B564,Data_Elast!$I:$I,0)),Data_Elast!$A:$A,0),MATCH(Settings!$B$5,Data_Elast!$D$1:$G$1,0))</f>
        <v>1</v>
      </c>
      <c r="F564" s="23">
        <f>INDEX(Data_Elast!$D:$G,MATCH("el_dem_"&amp;INDEX(Data_Elast!$J:$J,MATCH($B564,Data_Elast!$I:$I,0)),Data_Elast!$A:$A,0),MATCH(Settings!$B$5,Data_Elast!$D$1:$G$1,0))</f>
        <v>-0.5</v>
      </c>
      <c r="G564" s="23">
        <f>INDEX(Data_Elast!$D:$G,MATCH("el_eff_"&amp;INDEX(Data_Elast!$J:$J,MATCH($B564,Data_Elast!$I:$I,0)),Data_Elast!$A:$A,0),MATCH(Settings!$B$5,Data_Elast!$D$1:$G$1,0))</f>
        <v>-0.5</v>
      </c>
      <c r="H564" s="23">
        <f>INDEX(Data_Elast!$D:$G,MATCH("eff_imp_"&amp;INDEX(Data_Elast!$K:$K,MATCH($B564,Data_Elast!$I:$I,0)),Data_Elast!$A:$A,0),MATCH(Settings!$B$5,Data_Elast!$D$1:$G$1,0))</f>
        <v>0.01</v>
      </c>
      <c r="I564" s="23">
        <f>Settings!$B$7</f>
        <v>0</v>
      </c>
      <c r="J564" s="16" t="str">
        <f>INDEX(Data_Elast!$J:$J,MATCH($B564,Data_Elast!$I:$I,0))</f>
        <v>nga</v>
      </c>
    </row>
    <row r="565" spans="2:31" x14ac:dyDescent="0.45">
      <c r="B565" s="14" t="s">
        <v>55</v>
      </c>
      <c r="C565" s="14" t="str">
        <f t="shared" si="173"/>
        <v>nfm</v>
      </c>
      <c r="D565" s="22" t="s">
        <v>100</v>
      </c>
      <c r="E565" s="23">
        <f>INDEX(Data_Elast!$D:$G,MATCH("el_inc_"&amp;INDEX(Data_Elast!$J:$J,MATCH($B565,Data_Elast!$I:$I,0)),Data_Elast!$A:$A,0),MATCH(Settings!$B$5,Data_Elast!$D$1:$G$1,0))</f>
        <v>0.5</v>
      </c>
      <c r="F565" s="23">
        <f>INDEX(Data_Elast!$D:$G,MATCH("el_dem_"&amp;INDEX(Data_Elast!$J:$J,MATCH($B565,Data_Elast!$I:$I,0)),Data_Elast!$A:$A,0),MATCH(Settings!$B$5,Data_Elast!$D$1:$G$1,0))</f>
        <v>-0.4</v>
      </c>
      <c r="G565" s="23">
        <f>INDEX(Data_Elast!$D:$G,MATCH("el_eff_"&amp;INDEX(Data_Elast!$J:$J,MATCH($B565,Data_Elast!$I:$I,0)),Data_Elast!$A:$A,0),MATCH(Settings!$B$5,Data_Elast!$D$1:$G$1,0))</f>
        <v>-0.7</v>
      </c>
      <c r="H565" s="23">
        <f>INDEX(Data_Elast!$D:$G,MATCH("eff_imp_"&amp;INDEX(Data_Elast!$K:$K,MATCH($B565,Data_Elast!$I:$I,0)),Data_Elast!$A:$A,0),MATCH(Settings!$B$5,Data_Elast!$D$1:$G$1,0))</f>
        <v>5.0000000000000001E-3</v>
      </c>
      <c r="I565" s="23">
        <f>Settings!$B$7</f>
        <v>0</v>
      </c>
      <c r="J565" s="16" t="str">
        <f>INDEX(Data_Elast!$J:$J,MATCH($B565,Data_Elast!$I:$I,0))</f>
        <v>gso</v>
      </c>
    </row>
    <row r="566" spans="2:31" x14ac:dyDescent="0.45">
      <c r="B566" s="14" t="s">
        <v>58</v>
      </c>
      <c r="C566" s="14" t="str">
        <f t="shared" si="173"/>
        <v>nfm</v>
      </c>
      <c r="D566" s="22" t="s">
        <v>101</v>
      </c>
      <c r="E566" s="23">
        <f>INDEX(Data_Elast!$D:$G,MATCH("el_inc_"&amp;INDEX(Data_Elast!$J:$J,MATCH($B566,Data_Elast!$I:$I,0)),Data_Elast!$A:$A,0),MATCH(Settings!$B$5,Data_Elast!$D$1:$G$1,0))</f>
        <v>0.5</v>
      </c>
      <c r="F566" s="23">
        <f>INDEX(Data_Elast!$D:$G,MATCH("el_dem_"&amp;INDEX(Data_Elast!$J:$J,MATCH($B566,Data_Elast!$I:$I,0)),Data_Elast!$A:$A,0),MATCH(Settings!$B$5,Data_Elast!$D$1:$G$1,0))</f>
        <v>-0.7</v>
      </c>
      <c r="G566" s="23">
        <f>INDEX(Data_Elast!$D:$G,MATCH("el_eff_"&amp;INDEX(Data_Elast!$J:$J,MATCH($B566,Data_Elast!$I:$I,0)),Data_Elast!$A:$A,0),MATCH(Settings!$B$5,Data_Elast!$D$1:$G$1,0))</f>
        <v>-1.2</v>
      </c>
      <c r="H566" s="23">
        <f>INDEX(Data_Elast!$D:$G,MATCH("eff_imp_"&amp;INDEX(Data_Elast!$K:$K,MATCH($B566,Data_Elast!$I:$I,0)),Data_Elast!$A:$A,0),MATCH(Settings!$B$5,Data_Elast!$D$1:$G$1,0))</f>
        <v>5.0000000000000001E-3</v>
      </c>
      <c r="I566" s="23">
        <f>Settings!$B$7</f>
        <v>0</v>
      </c>
      <c r="J566" s="16" t="str">
        <f>INDEX(Data_Elast!$J:$J,MATCH($B566,Data_Elast!$I:$I,0))</f>
        <v>die</v>
      </c>
    </row>
    <row r="567" spans="2:31" x14ac:dyDescent="0.45">
      <c r="B567" s="14" t="s">
        <v>60</v>
      </c>
      <c r="C567" s="14" t="str">
        <f t="shared" si="173"/>
        <v>nfm</v>
      </c>
      <c r="D567" s="22" t="s">
        <v>102</v>
      </c>
      <c r="E567" s="23">
        <f>INDEX(Data_Elast!$D:$G,MATCH("el_inc_"&amp;INDEX(Data_Elast!$J:$J,MATCH($B567,Data_Elast!$I:$I,0)),Data_Elast!$A:$A,0),MATCH(Settings!$B$5,Data_Elast!$D$1:$G$1,0))</f>
        <v>0.8</v>
      </c>
      <c r="F567" s="23">
        <f>INDEX(Data_Elast!$D:$G,MATCH("el_dem_"&amp;INDEX(Data_Elast!$J:$J,MATCH($B567,Data_Elast!$I:$I,0)),Data_Elast!$A:$A,0),MATCH(Settings!$B$5,Data_Elast!$D$1:$G$1,0))</f>
        <v>-0.4</v>
      </c>
      <c r="G567" s="23">
        <f>INDEX(Data_Elast!$D:$G,MATCH("el_eff_"&amp;INDEX(Data_Elast!$J:$J,MATCH($B567,Data_Elast!$I:$I,0)),Data_Elast!$A:$A,0),MATCH(Settings!$B$5,Data_Elast!$D$1:$G$1,0))</f>
        <v>-0.4</v>
      </c>
      <c r="H567" s="23">
        <f>INDEX(Data_Elast!$D:$G,MATCH("eff_imp_"&amp;INDEX(Data_Elast!$K:$K,MATCH($B567,Data_Elast!$I:$I,0)),Data_Elast!$A:$A,0),MATCH(Settings!$B$5,Data_Elast!$D$1:$G$1,0))</f>
        <v>5.0000000000000001E-3</v>
      </c>
      <c r="I567" s="23">
        <f>Settings!$B$7</f>
        <v>0</v>
      </c>
      <c r="J567" s="16" t="str">
        <f>INDEX(Data_Elast!$J:$J,MATCH($B567,Data_Elast!$I:$I,0))</f>
        <v>oil</v>
      </c>
    </row>
    <row r="568" spans="2:31" x14ac:dyDescent="0.45">
      <c r="B568" s="14" t="s">
        <v>62</v>
      </c>
      <c r="C568" s="14" t="str">
        <f t="shared" si="173"/>
        <v>nfm</v>
      </c>
      <c r="D568" s="22" t="s">
        <v>103</v>
      </c>
      <c r="E568" s="23">
        <f>INDEX(Data_Elast!$D:$G,MATCH("el_inc_"&amp;INDEX(Data_Elast!$J:$J,MATCH($B568,Data_Elast!$I:$I,0)),Data_Elast!$A:$A,0),MATCH(Settings!$B$5,Data_Elast!$D$1:$G$1,0))</f>
        <v>0.8</v>
      </c>
      <c r="F568" s="23">
        <f>INDEX(Data_Elast!$D:$G,MATCH("el_dem_"&amp;INDEX(Data_Elast!$J:$J,MATCH($B568,Data_Elast!$I:$I,0)),Data_Elast!$A:$A,0),MATCH(Settings!$B$5,Data_Elast!$D$1:$G$1,0))</f>
        <v>-0.4</v>
      </c>
      <c r="G568" s="23">
        <f>INDEX(Data_Elast!$D:$G,MATCH("el_eff_"&amp;INDEX(Data_Elast!$J:$J,MATCH($B568,Data_Elast!$I:$I,0)),Data_Elast!$A:$A,0),MATCH(Settings!$B$5,Data_Elast!$D$1:$G$1,0))</f>
        <v>-0.4</v>
      </c>
      <c r="H568" s="23">
        <f>INDEX(Data_Elast!$D:$G,MATCH("eff_imp_"&amp;INDEX(Data_Elast!$K:$K,MATCH($B568,Data_Elast!$I:$I,0)),Data_Elast!$A:$A,0),MATCH(Settings!$B$5,Data_Elast!$D$1:$G$1,0))</f>
        <v>5.0000000000000001E-3</v>
      </c>
      <c r="I568" s="23">
        <f>Settings!$B$7</f>
        <v>0</v>
      </c>
      <c r="J568" s="16" t="str">
        <f>INDEX(Data_Elast!$J:$J,MATCH($B568,Data_Elast!$I:$I,0))</f>
        <v>oil</v>
      </c>
    </row>
    <row r="569" spans="2:31" x14ac:dyDescent="0.45">
      <c r="B569" s="14" t="s">
        <v>64</v>
      </c>
      <c r="C569" s="14" t="str">
        <f t="shared" si="173"/>
        <v>nfm</v>
      </c>
      <c r="D569" s="22" t="s">
        <v>104</v>
      </c>
      <c r="E569" s="23">
        <f>INDEX(Data_Elast!$D:$G,MATCH("el_inc_"&amp;INDEX(Data_Elast!$J:$J,MATCH($B569,Data_Elast!$I:$I,0)),Data_Elast!$A:$A,0),MATCH(Settings!$B$5,Data_Elast!$D$1:$G$1,0))</f>
        <v>0.8</v>
      </c>
      <c r="F569" s="23">
        <f>INDEX(Data_Elast!$D:$G,MATCH("el_dem_"&amp;INDEX(Data_Elast!$J:$J,MATCH($B569,Data_Elast!$I:$I,0)),Data_Elast!$A:$A,0),MATCH(Settings!$B$5,Data_Elast!$D$1:$G$1,0))</f>
        <v>-0.4</v>
      </c>
      <c r="G569" s="23">
        <f>INDEX(Data_Elast!$D:$G,MATCH("el_eff_"&amp;INDEX(Data_Elast!$J:$J,MATCH($B569,Data_Elast!$I:$I,0)),Data_Elast!$A:$A,0),MATCH(Settings!$B$5,Data_Elast!$D$1:$G$1,0))</f>
        <v>-0.4</v>
      </c>
      <c r="H569" s="23">
        <f>INDEX(Data_Elast!$D:$G,MATCH("eff_imp_"&amp;INDEX(Data_Elast!$K:$K,MATCH($B569,Data_Elast!$I:$I,0)),Data_Elast!$A:$A,0),MATCH(Settings!$B$5,Data_Elast!$D$1:$G$1,0))</f>
        <v>5.0000000000000001E-3</v>
      </c>
      <c r="I569" s="23">
        <f>Settings!$B$7</f>
        <v>0</v>
      </c>
      <c r="J569" s="16" t="str">
        <f>INDEX(Data_Elast!$J:$J,MATCH($B569,Data_Elast!$I:$I,0))</f>
        <v>oil</v>
      </c>
    </row>
    <row r="570" spans="2:31" x14ac:dyDescent="0.45">
      <c r="B570" s="14" t="s">
        <v>67</v>
      </c>
      <c r="C570" s="14" t="str">
        <f t="shared" si="173"/>
        <v>nfm</v>
      </c>
      <c r="D570" s="22" t="s">
        <v>105</v>
      </c>
      <c r="E570" s="23">
        <f>INDEX(Data_Elast!$D:$G,MATCH("el_inc_"&amp;INDEX(Data_Elast!$J:$J,MATCH($B570,Data_Elast!$I:$I,0)),Data_Elast!$A:$A,0),MATCH(Settings!$B$5,Data_Elast!$D$1:$G$1,0))</f>
        <v>0.1</v>
      </c>
      <c r="F570" s="23">
        <f>INDEX(Data_Elast!$D:$G,MATCH("el_dem_"&amp;INDEX(Data_Elast!$J:$J,MATCH($B570,Data_Elast!$I:$I,0)),Data_Elast!$A:$A,0),MATCH(Settings!$B$5,Data_Elast!$D$1:$G$1,0))</f>
        <v>-0.3</v>
      </c>
      <c r="G570" s="23">
        <f>INDEX(Data_Elast!$D:$G,MATCH("el_eff_"&amp;INDEX(Data_Elast!$J:$J,MATCH($B570,Data_Elast!$I:$I,0)),Data_Elast!$A:$A,0),MATCH(Settings!$B$5,Data_Elast!$D$1:$G$1,0))</f>
        <v>-0.2</v>
      </c>
      <c r="H570" s="23">
        <f>INDEX(Data_Elast!$D:$G,MATCH("eff_imp_"&amp;INDEX(Data_Elast!$K:$K,MATCH($B570,Data_Elast!$I:$I,0)),Data_Elast!$A:$A,0),MATCH(Settings!$B$5,Data_Elast!$D$1:$G$1,0))</f>
        <v>5.0000000000000001E-3</v>
      </c>
      <c r="I570" s="23">
        <f>Settings!$B$7</f>
        <v>0</v>
      </c>
      <c r="J570" s="16" t="str">
        <f>INDEX(Data_Elast!$J:$J,MATCH($B570,Data_Elast!$I:$I,0))</f>
        <v>bio</v>
      </c>
    </row>
    <row r="571" spans="2:31" x14ac:dyDescent="0.45">
      <c r="B571" s="14" t="s">
        <v>69</v>
      </c>
      <c r="C571" s="14" t="str">
        <f t="shared" si="173"/>
        <v>nfm</v>
      </c>
      <c r="D571" s="22" t="s">
        <v>106</v>
      </c>
      <c r="E571" s="23">
        <f>INDEX(Data_Elast!$D:$G,MATCH("el_inc_"&amp;INDEX(Data_Elast!$J:$J,MATCH($B571,Data_Elast!$I:$I,0)),Data_Elast!$A:$A,0),MATCH(Settings!$B$5,Data_Elast!$D$1:$G$1,0))</f>
        <v>0.8</v>
      </c>
      <c r="F571" s="23">
        <f>INDEX(Data_Elast!$D:$G,MATCH("el_dem_"&amp;INDEX(Data_Elast!$J:$J,MATCH($B571,Data_Elast!$I:$I,0)),Data_Elast!$A:$A,0),MATCH(Settings!$B$5,Data_Elast!$D$1:$G$1,0))</f>
        <v>-0.5</v>
      </c>
      <c r="G571" s="23">
        <f>INDEX(Data_Elast!$D:$G,MATCH("el_eff_"&amp;INDEX(Data_Elast!$J:$J,MATCH($B571,Data_Elast!$I:$I,0)),Data_Elast!$A:$A,0),MATCH(Settings!$B$5,Data_Elast!$D$1:$G$1,0))</f>
        <v>-0.4</v>
      </c>
      <c r="H571" s="23">
        <f>INDEX(Data_Elast!$D:$G,MATCH("eff_imp_"&amp;INDEX(Data_Elast!$K:$K,MATCH($B571,Data_Elast!$I:$I,0)),Data_Elast!$A:$A,0),MATCH(Settings!$B$5,Data_Elast!$D$1:$G$1,0))</f>
        <v>5.0000000000000001E-3</v>
      </c>
      <c r="I571" s="23">
        <f>Settings!$B$7</f>
        <v>0</v>
      </c>
      <c r="J571" s="16" t="str">
        <f>INDEX(Data_Elast!$J:$J,MATCH($B571,Data_Elast!$I:$I,0))</f>
        <v>ren</v>
      </c>
    </row>
    <row r="572" spans="2:31" x14ac:dyDescent="0.45">
      <c r="B572" s="13" t="s">
        <v>107</v>
      </c>
    </row>
    <row r="573" spans="2:31" x14ac:dyDescent="0.45">
      <c r="B573" s="14" t="s">
        <v>49</v>
      </c>
      <c r="C573" s="14" t="str">
        <f t="shared" ref="C573:C582" si="174">$C$524</f>
        <v>nfm</v>
      </c>
      <c r="D573" s="15" t="s">
        <v>50</v>
      </c>
      <c r="E573" s="16" t="s">
        <v>108</v>
      </c>
      <c r="F573" s="14" t="s">
        <v>109</v>
      </c>
      <c r="G573" s="17" t="str">
        <f>Settings!$B$3&amp;".mit.enc."&amp;$B573</f>
        <v>egy.mit.enc.coa</v>
      </c>
      <c r="H573" s="45" t="str">
        <f>Settings!$B$3&amp;".mit.ener."&amp;$C$524&amp;"."&amp;$B573&amp;".e."&amp;$J$524</f>
        <v>egy.mit.ener.nfm.coa.e.2</v>
      </c>
      <c r="I573" t="s">
        <v>2310</v>
      </c>
      <c r="L573" s="47">
        <f>INDEX(Data_Energy!$D$3:$U$22,MATCH($B573,Data_Energy!$C$3:$C$22,0),MATCH($C573,Data_Energy!$D$2:$U$2,0))</f>
        <v>0</v>
      </c>
      <c r="M573" s="24">
        <f>L573*(1+M$558)^($E563*M$559)*(1+M$560)*IF(Rebate_Industry!L$251&lt;=0,1,Rebate_Industry!M$251/Rebate_Industry!L$251)^$F563*(IF(L546&lt;=0,1,M546/L546)^$G563/(1+$H563+$I563))^(1+$F563)</f>
        <v>0</v>
      </c>
      <c r="N573" s="24">
        <f>M573*(1+N$558)^($E563*N$559)*(1+N$560)*IF(Rebate_Industry!M$251&lt;=0,1,Rebate_Industry!N$251/Rebate_Industry!M$251)^$F563*(IF(M546&lt;=0,1,N546/M546)^$G563/(1+$H563+$I563))^(1+$F563)</f>
        <v>0</v>
      </c>
      <c r="O573" s="24">
        <f>N573*(1+O$558)^($E563*O$559)*(1+O$560)*IF(Rebate_Industry!N$251&lt;=0,1,Rebate_Industry!O$251/Rebate_Industry!N$251)^$F563*(IF(N546&lt;=0,1,O546/N546)^$G563/(1+$H563+$I563))^(1+$F563)</f>
        <v>0</v>
      </c>
      <c r="P573" s="24">
        <f>O573*(1+P$558)^($E563*P$559)*(1+P$560)*IF(Rebate_Industry!O$251&lt;=0,1,Rebate_Industry!P$251/Rebate_Industry!O$251)^$F563*(IF(O546&lt;=0,1,P546/O546)^$G563/(1+$H563+$I563))^(1+$F563)</f>
        <v>0</v>
      </c>
      <c r="Q573" s="24">
        <f>P573*(1+Q$558)^($E563*Q$559)*(1+Q$560)*IF(Rebate_Industry!P$251&lt;=0,1,Rebate_Industry!Q$251/Rebate_Industry!P$251)^$F563*(IF(P546&lt;=0,1,Q546/P546)^$G563/(1+$H563+$I563))^(1+$F563)</f>
        <v>0</v>
      </c>
      <c r="R573" s="24">
        <f>Q573*(1+R$558)^($E563*R$559)*(1+R$560)*IF(Rebate_Industry!Q$251&lt;=0,1,Rebate_Industry!R$251/Rebate_Industry!Q$251)^$F563*(IF(Q546&lt;=0,1,R546/Q546)^$G563/(1+$H563+$I563))^(1+$F563)</f>
        <v>0</v>
      </c>
      <c r="S573" s="24">
        <f>R573*(1+S$558)^($E563*S$559)*(1+S$560)*IF(Rebate_Industry!R$251&lt;=0,1,Rebate_Industry!S$251/Rebate_Industry!R$251)^$F563*(IF(R546&lt;=0,1,S546/R546)^$G563/(1+$H563+$I563))^(1+$F563)</f>
        <v>0</v>
      </c>
      <c r="T573" s="24">
        <f>S573*(1+T$558)^($E563*T$559)*(1+T$560)*IF(Rebate_Industry!S$251&lt;=0,1,Rebate_Industry!T$251/Rebate_Industry!S$251)^$F563*(IF(S546&lt;=0,1,T546/S546)^$G563/(1+$H563+$I563))^(1+$F563)</f>
        <v>0</v>
      </c>
      <c r="U573" s="24">
        <f>T573*(1+U$558)^($E563*U$559)*(1+U$560)*IF(Rebate_Industry!T$251&lt;=0,1,Rebate_Industry!U$251/Rebate_Industry!T$251)^$F563*(IF(T546&lt;=0,1,U546/T546)^$G563/(1+$H563+$I563))^(1+$F563)</f>
        <v>0</v>
      </c>
      <c r="V573" s="24">
        <f>U573*(1+V$558)^($E563*V$559)*(1+V$560)*IF(Rebate_Industry!U$251&lt;=0,1,Rebate_Industry!V$251/Rebate_Industry!U$251)^$F563*(IF(U546&lt;=0,1,V546/U546)^$G563/(1+$H563+$I563))^(1+$F563)</f>
        <v>0</v>
      </c>
      <c r="W573" s="24">
        <f>V573*(1+W$558)^($E563*W$559)*(1+W$560)*IF(Rebate_Industry!V$251&lt;=0,1,Rebate_Industry!W$251/Rebate_Industry!V$251)^$F563*(IF(V546&lt;=0,1,W546/V546)^$G563/(1+$H563+$I563))^(1+$F563)</f>
        <v>0</v>
      </c>
      <c r="X573" s="24">
        <f>W573*(1+X$558)^($E563*X$559)*(1+X$560)*IF(Rebate_Industry!W$251&lt;=0,1,Rebate_Industry!X$251/Rebate_Industry!W$251)^$F563*(IF(W546&lt;=0,1,X546/W546)^$G563/(1+$H563+$I563))^(1+$F563)</f>
        <v>0</v>
      </c>
      <c r="Y573" s="24">
        <f>X573*(1+Y$558)^($E563*Y$559)*(1+Y$560)*IF(Rebate_Industry!X$251&lt;=0,1,Rebate_Industry!Y$251/Rebate_Industry!X$251)^$F563*(IF(X546&lt;=0,1,Y546/X546)^$G563/(1+$H563+$I563))^(1+$F563)</f>
        <v>0</v>
      </c>
      <c r="Z573" s="24">
        <f>Y573*(1+Z$558)^($E563*Z$559)*(1+Z$560)*IF(Rebate_Industry!Y$251&lt;=0,1,Rebate_Industry!Z$251/Rebate_Industry!Y$251)^$F563*(IF(Y546&lt;=0,1,Z546/Y546)^$G563/(1+$H563+$I563))^(1+$F563)</f>
        <v>0</v>
      </c>
      <c r="AA573" s="24">
        <f>Z573*(1+AA$558)^($E563*AA$559)*(1+AA$560)*IF(Rebate_Industry!Z$251&lt;=0,1,Rebate_Industry!AA$251/Rebate_Industry!Z$251)^$F563*(IF(Z546&lt;=0,1,AA546/Z546)^$G563/(1+$H563+$I563))^(1+$F563)</f>
        <v>0</v>
      </c>
      <c r="AB573" s="24">
        <f>AA573*(1+AB$558)^($E563*AB$559)*(1+AB$560)*IF(Rebate_Industry!AA$251&lt;=0,1,Rebate_Industry!AB$251/Rebate_Industry!AA$251)^$F563*(IF(AA546&lt;=0,1,AB546/AA546)^$G563/(1+$H563+$I563))^(1+$F563)</f>
        <v>0</v>
      </c>
      <c r="AC573" s="24">
        <f>AB573*(1+AC$558)^($E563*AC$559)*(1+AC$560)*IF(Rebate_Industry!AB$251&lt;=0,1,Rebate_Industry!AC$251/Rebate_Industry!AB$251)^$F563*(IF(AB546&lt;=0,1,AC546/AB546)^$G563/(1+$H563+$I563))^(1+$F563)</f>
        <v>0</v>
      </c>
      <c r="AD573" s="24">
        <f>AC573*(1+AD$558)^($E563*AD$559)*(1+AD$560)*IF(Rebate_Industry!AC$251&lt;=0,1,Rebate_Industry!AD$251/Rebate_Industry!AC$251)^$F563*(IF(AC546&lt;=0,1,AD546/AC546)^$G563/(1+$H563+$I563))^(1+$F563)</f>
        <v>0</v>
      </c>
      <c r="AE573" s="24">
        <f>AD573*(1+AE$558)^($E563*AE$559)*(1+AE$560)*IF(Rebate_Industry!AD$251&lt;=0,1,Rebate_Industry!AE$251/Rebate_Industry!AD$251)^$F563*(IF(AD546&lt;=0,1,AE546/AD546)^$G563/(1+$H563+$I563))^(1+$F563)</f>
        <v>0</v>
      </c>
    </row>
    <row r="574" spans="2:31" x14ac:dyDescent="0.45">
      <c r="B574" s="14" t="s">
        <v>53</v>
      </c>
      <c r="C574" s="14" t="str">
        <f t="shared" si="174"/>
        <v>nfm</v>
      </c>
      <c r="D574" s="15" t="s">
        <v>54</v>
      </c>
      <c r="E574" s="16" t="s">
        <v>108</v>
      </c>
      <c r="F574" s="14" t="s">
        <v>109</v>
      </c>
      <c r="G574" s="17" t="str">
        <f>Settings!$B$3&amp;".mit.enc."&amp;$B574</f>
        <v>egy.mit.enc.nga</v>
      </c>
      <c r="H574" s="45" t="str">
        <f>Settings!$B$3&amp;".mit.ener."&amp;$C$524&amp;"."&amp;$B574&amp;".e."&amp;$J$524</f>
        <v>egy.mit.ener.nfm.nga.e.2</v>
      </c>
      <c r="I574" t="s">
        <v>2311</v>
      </c>
      <c r="L574" s="47">
        <f>INDEX(Data_Energy!$D$3:$U$22,MATCH($B574,Data_Energy!$C$3:$C$22,0),MATCH($C574,Data_Energy!$D$2:$U$2,0))</f>
        <v>0</v>
      </c>
      <c r="M574" s="24">
        <f>L574*(1+M$558)^($E564*M$559)*(1+M$560)*IF(Rebate_Industry!L$252&lt;=0,1,Rebate_Industry!M$252/Rebate_Industry!L$252)^$F564*(IF(L547&lt;=0,1,M547/L547)^$G564/(1+$H564+$I564))^(1+$F564)</f>
        <v>0</v>
      </c>
      <c r="N574" s="24">
        <f>M574*(1+N$558)^($E564*N$559)*(1+N$560)*IF(Rebate_Industry!M$252&lt;=0,1,Rebate_Industry!N$252/Rebate_Industry!M$252)^$F564*(IF(M547&lt;=0,1,N547/M547)^$G564/(1+$H564+$I564))^(1+$F564)</f>
        <v>0</v>
      </c>
      <c r="O574" s="24">
        <f>N574*(1+O$558)^($E564*O$559)*(1+O$560)*IF(Rebate_Industry!N$252&lt;=0,1,Rebate_Industry!O$252/Rebate_Industry!N$252)^$F564*(IF(N547&lt;=0,1,O547/N547)^$G564/(1+$H564+$I564))^(1+$F564)</f>
        <v>0</v>
      </c>
      <c r="P574" s="24">
        <f>O574*(1+P$558)^($E564*P$559)*(1+P$560)*IF(Rebate_Industry!O$252&lt;=0,1,Rebate_Industry!P$252/Rebate_Industry!O$252)^$F564*(IF(O547&lt;=0,1,P547/O547)^$G564/(1+$H564+$I564))^(1+$F564)</f>
        <v>0</v>
      </c>
      <c r="Q574" s="24">
        <f>P574*(1+Q$558)^($E564*Q$559)*(1+Q$560)*IF(Rebate_Industry!P$252&lt;=0,1,Rebate_Industry!Q$252/Rebate_Industry!P$252)^$F564*(IF(P547&lt;=0,1,Q547/P547)^$G564/(1+$H564+$I564))^(1+$F564)</f>
        <v>0</v>
      </c>
      <c r="R574" s="24">
        <f>Q574*(1+R$558)^($E564*R$559)*(1+R$560)*IF(Rebate_Industry!Q$252&lt;=0,1,Rebate_Industry!R$252/Rebate_Industry!Q$252)^$F564*(IF(Q547&lt;=0,1,R547/Q547)^$G564/(1+$H564+$I564))^(1+$F564)</f>
        <v>0</v>
      </c>
      <c r="S574" s="24">
        <f>R574*(1+S$558)^($E564*S$559)*(1+S$560)*IF(Rebate_Industry!R$252&lt;=0,1,Rebate_Industry!S$252/Rebate_Industry!R$252)^$F564*(IF(R547&lt;=0,1,S547/R547)^$G564/(1+$H564+$I564))^(1+$F564)</f>
        <v>0</v>
      </c>
      <c r="T574" s="24">
        <f>S574*(1+T$558)^($E564*T$559)*(1+T$560)*IF(Rebate_Industry!S$252&lt;=0,1,Rebate_Industry!T$252/Rebate_Industry!S$252)^$F564*(IF(S547&lt;=0,1,T547/S547)^$G564/(1+$H564+$I564))^(1+$F564)</f>
        <v>0</v>
      </c>
      <c r="U574" s="24">
        <f>T574*(1+U$558)^($E564*U$559)*(1+U$560)*IF(Rebate_Industry!T$252&lt;=0,1,Rebate_Industry!U$252/Rebate_Industry!T$252)^$F564*(IF(T547&lt;=0,1,U547/T547)^$G564/(1+$H564+$I564))^(1+$F564)</f>
        <v>0</v>
      </c>
      <c r="V574" s="24">
        <f>U574*(1+V$558)^($E564*V$559)*(1+V$560)*IF(Rebate_Industry!U$252&lt;=0,1,Rebate_Industry!V$252/Rebate_Industry!U$252)^$F564*(IF(U547&lt;=0,1,V547/U547)^$G564/(1+$H564+$I564))^(1+$F564)</f>
        <v>0</v>
      </c>
      <c r="W574" s="24">
        <f>V574*(1+W$558)^($E564*W$559)*(1+W$560)*IF(Rebate_Industry!V$252&lt;=0,1,Rebate_Industry!W$252/Rebate_Industry!V$252)^$F564*(IF(V547&lt;=0,1,W547/V547)^$G564/(1+$H564+$I564))^(1+$F564)</f>
        <v>0</v>
      </c>
      <c r="X574" s="24">
        <f>W574*(1+X$558)^($E564*X$559)*(1+X$560)*IF(Rebate_Industry!W$252&lt;=0,1,Rebate_Industry!X$252/Rebate_Industry!W$252)^$F564*(IF(W547&lt;=0,1,X547/W547)^$G564/(1+$H564+$I564))^(1+$F564)</f>
        <v>0</v>
      </c>
      <c r="Y574" s="24">
        <f>X574*(1+Y$558)^($E564*Y$559)*(1+Y$560)*IF(Rebate_Industry!X$252&lt;=0,1,Rebate_Industry!Y$252/Rebate_Industry!X$252)^$F564*(IF(X547&lt;=0,1,Y547/X547)^$G564/(1+$H564+$I564))^(1+$F564)</f>
        <v>0</v>
      </c>
      <c r="Z574" s="24">
        <f>Y574*(1+Z$558)^($E564*Z$559)*(1+Z$560)*IF(Rebate_Industry!Y$252&lt;=0,1,Rebate_Industry!Z$252/Rebate_Industry!Y$252)^$F564*(IF(Y547&lt;=0,1,Z547/Y547)^$G564/(1+$H564+$I564))^(1+$F564)</f>
        <v>0</v>
      </c>
      <c r="AA574" s="24">
        <f>Z574*(1+AA$558)^($E564*AA$559)*(1+AA$560)*IF(Rebate_Industry!Z$252&lt;=0,1,Rebate_Industry!AA$252/Rebate_Industry!Z$252)^$F564*(IF(Z547&lt;=0,1,AA547/Z547)^$G564/(1+$H564+$I564))^(1+$F564)</f>
        <v>0</v>
      </c>
      <c r="AB574" s="24">
        <f>AA574*(1+AB$558)^($E564*AB$559)*(1+AB$560)*IF(Rebate_Industry!AA$252&lt;=0,1,Rebate_Industry!AB$252/Rebate_Industry!AA$252)^$F564*(IF(AA547&lt;=0,1,AB547/AA547)^$G564/(1+$H564+$I564))^(1+$F564)</f>
        <v>0</v>
      </c>
      <c r="AC574" s="24">
        <f>AB574*(1+AC$558)^($E564*AC$559)*(1+AC$560)*IF(Rebate_Industry!AB$252&lt;=0,1,Rebate_Industry!AC$252/Rebate_Industry!AB$252)^$F564*(IF(AB547&lt;=0,1,AC547/AB547)^$G564/(1+$H564+$I564))^(1+$F564)</f>
        <v>0</v>
      </c>
      <c r="AD574" s="24">
        <f>AC574*(1+AD$558)^($E564*AD$559)*(1+AD$560)*IF(Rebate_Industry!AC$252&lt;=0,1,Rebate_Industry!AD$252/Rebate_Industry!AC$252)^$F564*(IF(AC547&lt;=0,1,AD547/AC547)^$G564/(1+$H564+$I564))^(1+$F564)</f>
        <v>0</v>
      </c>
      <c r="AE574" s="24">
        <f>AD574*(1+AE$558)^($E564*AE$559)*(1+AE$560)*IF(Rebate_Industry!AD$252&lt;=0,1,Rebate_Industry!AE$252/Rebate_Industry!AD$252)^$F564*(IF(AD547&lt;=0,1,AE547/AD547)^$G564/(1+$H564+$I564))^(1+$F564)</f>
        <v>0</v>
      </c>
    </row>
    <row r="575" spans="2:31" x14ac:dyDescent="0.45">
      <c r="B575" s="14" t="s">
        <v>55</v>
      </c>
      <c r="C575" s="14" t="str">
        <f t="shared" si="174"/>
        <v>nfm</v>
      </c>
      <c r="D575" s="15" t="s">
        <v>56</v>
      </c>
      <c r="E575" s="16" t="s">
        <v>108</v>
      </c>
      <c r="F575" s="14" t="s">
        <v>109</v>
      </c>
      <c r="G575" s="17" t="str">
        <f>Settings!$B$3&amp;".mit.enc."&amp;$B575</f>
        <v>egy.mit.enc.gso</v>
      </c>
      <c r="H575" s="45" t="str">
        <f>Settings!$B$3&amp;".mit.ener."&amp;$C$524&amp;"."&amp;$B575&amp;".e."&amp;$J$524</f>
        <v>egy.mit.ener.nfm.gso.e.2</v>
      </c>
      <c r="I575" t="s">
        <v>2312</v>
      </c>
      <c r="L575" s="47">
        <f>INDEX(Data_Energy!$D$3:$U$22,MATCH($B575,Data_Energy!$C$3:$C$22,0),MATCH($C575,Data_Energy!$D$2:$U$2,0))</f>
        <v>0</v>
      </c>
      <c r="M575" s="24">
        <f>L575*(1+M$558)^($E565*M$559)*(1+M$560)*IF(Rebate_Industry!L$253&lt;=0,1,Rebate_Industry!M$253/Rebate_Industry!L$253)^$F565*(IF(L548&lt;=0,1,M548/L548)^$G565/(1+$H565+$I565))^(1+$F565)</f>
        <v>0</v>
      </c>
      <c r="N575" s="24">
        <f>M575*(1+N$558)^($E565*N$559)*(1+N$560)*IF(Rebate_Industry!M$253&lt;=0,1,Rebate_Industry!N$253/Rebate_Industry!M$253)^$F565*(IF(M548&lt;=0,1,N548/M548)^$G565/(1+$H565+$I565))^(1+$F565)</f>
        <v>0</v>
      </c>
      <c r="O575" s="24">
        <f>N575*(1+O$558)^($E565*O$559)*(1+O$560)*IF(Rebate_Industry!N$253&lt;=0,1,Rebate_Industry!O$253/Rebate_Industry!N$253)^$F565*(IF(N548&lt;=0,1,O548/N548)^$G565/(1+$H565+$I565))^(1+$F565)</f>
        <v>0</v>
      </c>
      <c r="P575" s="24">
        <f>O575*(1+P$558)^($E565*P$559)*(1+P$560)*IF(Rebate_Industry!O$253&lt;=0,1,Rebate_Industry!P$253/Rebate_Industry!O$253)^$F565*(IF(O548&lt;=0,1,P548/O548)^$G565/(1+$H565+$I565))^(1+$F565)</f>
        <v>0</v>
      </c>
      <c r="Q575" s="24">
        <f>P575*(1+Q$558)^($E565*Q$559)*(1+Q$560)*IF(Rebate_Industry!P$253&lt;=0,1,Rebate_Industry!Q$253/Rebate_Industry!P$253)^$F565*(IF(P548&lt;=0,1,Q548/P548)^$G565/(1+$H565+$I565))^(1+$F565)</f>
        <v>0</v>
      </c>
      <c r="R575" s="24">
        <f>Q575*(1+R$558)^($E565*R$559)*(1+R$560)*IF(Rebate_Industry!Q$253&lt;=0,1,Rebate_Industry!R$253/Rebate_Industry!Q$253)^$F565*(IF(Q548&lt;=0,1,R548/Q548)^$G565/(1+$H565+$I565))^(1+$F565)</f>
        <v>0</v>
      </c>
      <c r="S575" s="24">
        <f>R575*(1+S$558)^($E565*S$559)*(1+S$560)*IF(Rebate_Industry!R$253&lt;=0,1,Rebate_Industry!S$253/Rebate_Industry!R$253)^$F565*(IF(R548&lt;=0,1,S548/R548)^$G565/(1+$H565+$I565))^(1+$F565)</f>
        <v>0</v>
      </c>
      <c r="T575" s="24">
        <f>S575*(1+T$558)^($E565*T$559)*(1+T$560)*IF(Rebate_Industry!S$253&lt;=0,1,Rebate_Industry!T$253/Rebate_Industry!S$253)^$F565*(IF(S548&lt;=0,1,T548/S548)^$G565/(1+$H565+$I565))^(1+$F565)</f>
        <v>0</v>
      </c>
      <c r="U575" s="24">
        <f>T575*(1+U$558)^($E565*U$559)*(1+U$560)*IF(Rebate_Industry!T$253&lt;=0,1,Rebate_Industry!U$253/Rebate_Industry!T$253)^$F565*(IF(T548&lt;=0,1,U548/T548)^$G565/(1+$H565+$I565))^(1+$F565)</f>
        <v>0</v>
      </c>
      <c r="V575" s="24">
        <f>U575*(1+V$558)^($E565*V$559)*(1+V$560)*IF(Rebate_Industry!U$253&lt;=0,1,Rebate_Industry!V$253/Rebate_Industry!U$253)^$F565*(IF(U548&lt;=0,1,V548/U548)^$G565/(1+$H565+$I565))^(1+$F565)</f>
        <v>0</v>
      </c>
      <c r="W575" s="24">
        <f>V575*(1+W$558)^($E565*W$559)*(1+W$560)*IF(Rebate_Industry!V$253&lt;=0,1,Rebate_Industry!W$253/Rebate_Industry!V$253)^$F565*(IF(V548&lt;=0,1,W548/V548)^$G565/(1+$H565+$I565))^(1+$F565)</f>
        <v>0</v>
      </c>
      <c r="X575" s="24">
        <f>W575*(1+X$558)^($E565*X$559)*(1+X$560)*IF(Rebate_Industry!W$253&lt;=0,1,Rebate_Industry!X$253/Rebate_Industry!W$253)^$F565*(IF(W548&lt;=0,1,X548/W548)^$G565/(1+$H565+$I565))^(1+$F565)</f>
        <v>0</v>
      </c>
      <c r="Y575" s="24">
        <f>X575*(1+Y$558)^($E565*Y$559)*(1+Y$560)*IF(Rebate_Industry!X$253&lt;=0,1,Rebate_Industry!Y$253/Rebate_Industry!X$253)^$F565*(IF(X548&lt;=0,1,Y548/X548)^$G565/(1+$H565+$I565))^(1+$F565)</f>
        <v>0</v>
      </c>
      <c r="Z575" s="24">
        <f>Y575*(1+Z$558)^($E565*Z$559)*(1+Z$560)*IF(Rebate_Industry!Y$253&lt;=0,1,Rebate_Industry!Z$253/Rebate_Industry!Y$253)^$F565*(IF(Y548&lt;=0,1,Z548/Y548)^$G565/(1+$H565+$I565))^(1+$F565)</f>
        <v>0</v>
      </c>
      <c r="AA575" s="24">
        <f>Z575*(1+AA$558)^($E565*AA$559)*(1+AA$560)*IF(Rebate_Industry!Z$253&lt;=0,1,Rebate_Industry!AA$253/Rebate_Industry!Z$253)^$F565*(IF(Z548&lt;=0,1,AA548/Z548)^$G565/(1+$H565+$I565))^(1+$F565)</f>
        <v>0</v>
      </c>
      <c r="AB575" s="24">
        <f>AA575*(1+AB$558)^($E565*AB$559)*(1+AB$560)*IF(Rebate_Industry!AA$253&lt;=0,1,Rebate_Industry!AB$253/Rebate_Industry!AA$253)^$F565*(IF(AA548&lt;=0,1,AB548/AA548)^$G565/(1+$H565+$I565))^(1+$F565)</f>
        <v>0</v>
      </c>
      <c r="AC575" s="24">
        <f>AB575*(1+AC$558)^($E565*AC$559)*(1+AC$560)*IF(Rebate_Industry!AB$253&lt;=0,1,Rebate_Industry!AC$253/Rebate_Industry!AB$253)^$F565*(IF(AB548&lt;=0,1,AC548/AB548)^$G565/(1+$H565+$I565))^(1+$F565)</f>
        <v>0</v>
      </c>
      <c r="AD575" s="24">
        <f>AC575*(1+AD$558)^($E565*AD$559)*(1+AD$560)*IF(Rebate_Industry!AC$253&lt;=0,1,Rebate_Industry!AD$253/Rebate_Industry!AC$253)^$F565*(IF(AC548&lt;=0,1,AD548/AC548)^$G565/(1+$H565+$I565))^(1+$F565)</f>
        <v>0</v>
      </c>
      <c r="AE575" s="24">
        <f>AD575*(1+AE$558)^($E565*AE$559)*(1+AE$560)*IF(Rebate_Industry!AD$253&lt;=0,1,Rebate_Industry!AE$253/Rebate_Industry!AD$253)^$F565*(IF(AD548&lt;=0,1,AE548/AD548)^$G565/(1+$H565+$I565))^(1+$F565)</f>
        <v>0</v>
      </c>
    </row>
    <row r="576" spans="2:31" x14ac:dyDescent="0.45">
      <c r="B576" s="14" t="s">
        <v>58</v>
      </c>
      <c r="C576" s="14" t="str">
        <f t="shared" si="174"/>
        <v>nfm</v>
      </c>
      <c r="D576" s="15" t="s">
        <v>59</v>
      </c>
      <c r="E576" s="16" t="s">
        <v>108</v>
      </c>
      <c r="F576" s="14" t="s">
        <v>109</v>
      </c>
      <c r="G576" s="17" t="str">
        <f>Settings!$B$3&amp;".mit.enc."&amp;$B576</f>
        <v>egy.mit.enc.die</v>
      </c>
      <c r="H576" s="45" t="str">
        <f>Settings!$B$3&amp;".mit.ener."&amp;$C$524&amp;"."&amp;$B576&amp;".e."&amp;$J$524</f>
        <v>egy.mit.ener.nfm.die.e.2</v>
      </c>
      <c r="I576" t="s">
        <v>2313</v>
      </c>
      <c r="L576" s="47">
        <f>INDEX(Data_Energy!$D$3:$U$22,MATCH($B576,Data_Energy!$C$3:$C$22,0),MATCH($C576,Data_Energy!$D$2:$U$2,0))</f>
        <v>0</v>
      </c>
      <c r="M576" s="24">
        <f>L576*(1+M$558)^($E566*M$559)*(1+M$560)*IF(Rebate_Industry!L$254&lt;=0,1,Rebate_Industry!M$254/Rebate_Industry!L$254)^$F566*(IF(L549&lt;=0,1,M549/L549)^$G566/(1+$H566+$I566))^(1+$F566)</f>
        <v>0</v>
      </c>
      <c r="N576" s="24">
        <f>M576*(1+N$558)^($E566*N$559)*(1+N$560)*IF(Rebate_Industry!M$254&lt;=0,1,Rebate_Industry!N$254/Rebate_Industry!M$254)^$F566*(IF(M549&lt;=0,1,N549/M549)^$G566/(1+$H566+$I566))^(1+$F566)</f>
        <v>0</v>
      </c>
      <c r="O576" s="24">
        <f>N576*(1+O$558)^($E566*O$559)*(1+O$560)*IF(Rebate_Industry!N$254&lt;=0,1,Rebate_Industry!O$254/Rebate_Industry!N$254)^$F566*(IF(N549&lt;=0,1,O549/N549)^$G566/(1+$H566+$I566))^(1+$F566)</f>
        <v>0</v>
      </c>
      <c r="P576" s="24">
        <f>O576*(1+P$558)^($E566*P$559)*(1+P$560)*IF(Rebate_Industry!O$254&lt;=0,1,Rebate_Industry!P$254/Rebate_Industry!O$254)^$F566*(IF(O549&lt;=0,1,P549/O549)^$G566/(1+$H566+$I566))^(1+$F566)</f>
        <v>0</v>
      </c>
      <c r="Q576" s="24">
        <f>P576*(1+Q$558)^($E566*Q$559)*(1+Q$560)*IF(Rebate_Industry!P$254&lt;=0,1,Rebate_Industry!Q$254/Rebate_Industry!P$254)^$F566*(IF(P549&lt;=0,1,Q549/P549)^$G566/(1+$H566+$I566))^(1+$F566)</f>
        <v>0</v>
      </c>
      <c r="R576" s="24">
        <f>Q576*(1+R$558)^($E566*R$559)*(1+R$560)*IF(Rebate_Industry!Q$254&lt;=0,1,Rebate_Industry!R$254/Rebate_Industry!Q$254)^$F566*(IF(Q549&lt;=0,1,R549/Q549)^$G566/(1+$H566+$I566))^(1+$F566)</f>
        <v>0</v>
      </c>
      <c r="S576" s="24">
        <f>R576*(1+S$558)^($E566*S$559)*(1+S$560)*IF(Rebate_Industry!R$254&lt;=0,1,Rebate_Industry!S$254/Rebate_Industry!R$254)^$F566*(IF(R549&lt;=0,1,S549/R549)^$G566/(1+$H566+$I566))^(1+$F566)</f>
        <v>0</v>
      </c>
      <c r="T576" s="24">
        <f>S576*(1+T$558)^($E566*T$559)*(1+T$560)*IF(Rebate_Industry!S$254&lt;=0,1,Rebate_Industry!T$254/Rebate_Industry!S$254)^$F566*(IF(S549&lt;=0,1,T549/S549)^$G566/(1+$H566+$I566))^(1+$F566)</f>
        <v>0</v>
      </c>
      <c r="U576" s="24">
        <f>T576*(1+U$558)^($E566*U$559)*(1+U$560)*IF(Rebate_Industry!T$254&lt;=0,1,Rebate_Industry!U$254/Rebate_Industry!T$254)^$F566*(IF(T549&lt;=0,1,U549/T549)^$G566/(1+$H566+$I566))^(1+$F566)</f>
        <v>0</v>
      </c>
      <c r="V576" s="24">
        <f>U576*(1+V$558)^($E566*V$559)*(1+V$560)*IF(Rebate_Industry!U$254&lt;=0,1,Rebate_Industry!V$254/Rebate_Industry!U$254)^$F566*(IF(U549&lt;=0,1,V549/U549)^$G566/(1+$H566+$I566))^(1+$F566)</f>
        <v>0</v>
      </c>
      <c r="W576" s="24">
        <f>V576*(1+W$558)^($E566*W$559)*(1+W$560)*IF(Rebate_Industry!V$254&lt;=0,1,Rebate_Industry!W$254/Rebate_Industry!V$254)^$F566*(IF(V549&lt;=0,1,W549/V549)^$G566/(1+$H566+$I566))^(1+$F566)</f>
        <v>0</v>
      </c>
      <c r="X576" s="24">
        <f>W576*(1+X$558)^($E566*X$559)*(1+X$560)*IF(Rebate_Industry!W$254&lt;=0,1,Rebate_Industry!X$254/Rebate_Industry!W$254)^$F566*(IF(W549&lt;=0,1,X549/W549)^$G566/(1+$H566+$I566))^(1+$F566)</f>
        <v>0</v>
      </c>
      <c r="Y576" s="24">
        <f>X576*(1+Y$558)^($E566*Y$559)*(1+Y$560)*IF(Rebate_Industry!X$254&lt;=0,1,Rebate_Industry!Y$254/Rebate_Industry!X$254)^$F566*(IF(X549&lt;=0,1,Y549/X549)^$G566/(1+$H566+$I566))^(1+$F566)</f>
        <v>0</v>
      </c>
      <c r="Z576" s="24">
        <f>Y576*(1+Z$558)^($E566*Z$559)*(1+Z$560)*IF(Rebate_Industry!Y$254&lt;=0,1,Rebate_Industry!Z$254/Rebate_Industry!Y$254)^$F566*(IF(Y549&lt;=0,1,Z549/Y549)^$G566/(1+$H566+$I566))^(1+$F566)</f>
        <v>0</v>
      </c>
      <c r="AA576" s="24">
        <f>Z576*(1+AA$558)^($E566*AA$559)*(1+AA$560)*IF(Rebate_Industry!Z$254&lt;=0,1,Rebate_Industry!AA$254/Rebate_Industry!Z$254)^$F566*(IF(Z549&lt;=0,1,AA549/Z549)^$G566/(1+$H566+$I566))^(1+$F566)</f>
        <v>0</v>
      </c>
      <c r="AB576" s="24">
        <f>AA576*(1+AB$558)^($E566*AB$559)*(1+AB$560)*IF(Rebate_Industry!AA$254&lt;=0,1,Rebate_Industry!AB$254/Rebate_Industry!AA$254)^$F566*(IF(AA549&lt;=0,1,AB549/AA549)^$G566/(1+$H566+$I566))^(1+$F566)</f>
        <v>0</v>
      </c>
      <c r="AC576" s="24">
        <f>AB576*(1+AC$558)^($E566*AC$559)*(1+AC$560)*IF(Rebate_Industry!AB$254&lt;=0,1,Rebate_Industry!AC$254/Rebate_Industry!AB$254)^$F566*(IF(AB549&lt;=0,1,AC549/AB549)^$G566/(1+$H566+$I566))^(1+$F566)</f>
        <v>0</v>
      </c>
      <c r="AD576" s="24">
        <f>AC576*(1+AD$558)^($E566*AD$559)*(1+AD$560)*IF(Rebate_Industry!AC$254&lt;=0,1,Rebate_Industry!AD$254/Rebate_Industry!AC$254)^$F566*(IF(AC549&lt;=0,1,AD549/AC549)^$G566/(1+$H566+$I566))^(1+$F566)</f>
        <v>0</v>
      </c>
      <c r="AE576" s="24">
        <f>AD576*(1+AE$558)^($E566*AE$559)*(1+AE$560)*IF(Rebate_Industry!AD$254&lt;=0,1,Rebate_Industry!AE$254/Rebate_Industry!AD$254)^$F566*(IF(AD549&lt;=0,1,AE549/AD549)^$G566/(1+$H566+$I566))^(1+$F566)</f>
        <v>0</v>
      </c>
    </row>
    <row r="577" spans="1:35" x14ac:dyDescent="0.45">
      <c r="B577" s="14" t="s">
        <v>60</v>
      </c>
      <c r="C577" s="14" t="str">
        <f t="shared" si="174"/>
        <v>nfm</v>
      </c>
      <c r="D577" s="15" t="s">
        <v>61</v>
      </c>
      <c r="E577" s="16" t="s">
        <v>108</v>
      </c>
      <c r="F577" s="14" t="s">
        <v>109</v>
      </c>
      <c r="G577" s="17" t="str">
        <f>Settings!$B$3&amp;".mit.enc."&amp;$B577</f>
        <v>egy.mit.enc.lpg</v>
      </c>
      <c r="H577" s="45" t="str">
        <f>Settings!$B$3&amp;".mit.ener."&amp;$C$524&amp;"."&amp;$B577&amp;".e."&amp;$J$524</f>
        <v>egy.mit.ener.nfm.lpg.e.2</v>
      </c>
      <c r="I577" t="s">
        <v>2314</v>
      </c>
      <c r="L577" s="47">
        <f>INDEX(Data_Energy!$D$3:$U$22,MATCH($B577,Data_Energy!$C$3:$C$22,0),MATCH($C577,Data_Energy!$D$2:$U$2,0))</f>
        <v>0</v>
      </c>
      <c r="M577" s="24">
        <f>L577*(1+M$558)^($E567*M$559)*(1+M$560)*IF(Rebate_Industry!L$255&lt;=0,1,Rebate_Industry!M$255/Rebate_Industry!L$255)^$F567*(IF(L550&lt;=0,1,M550/L550)^$G567/(1+$H567+$I567))^(1+$F567)</f>
        <v>0</v>
      </c>
      <c r="N577" s="24">
        <f>M577*(1+N$558)^($E567*N$559)*(1+N$560)*IF(Rebate_Industry!M$255&lt;=0,1,Rebate_Industry!N$255/Rebate_Industry!M$255)^$F567*(IF(M550&lt;=0,1,N550/M550)^$G567/(1+$H567+$I567))^(1+$F567)</f>
        <v>0</v>
      </c>
      <c r="O577" s="24">
        <f>N577*(1+O$558)^($E567*O$559)*(1+O$560)*IF(Rebate_Industry!N$255&lt;=0,1,Rebate_Industry!O$255/Rebate_Industry!N$255)^$F567*(IF(N550&lt;=0,1,O550/N550)^$G567/(1+$H567+$I567))^(1+$F567)</f>
        <v>0</v>
      </c>
      <c r="P577" s="24">
        <f>O577*(1+P$558)^($E567*P$559)*(1+P$560)*IF(Rebate_Industry!O$255&lt;=0,1,Rebate_Industry!P$255/Rebate_Industry!O$255)^$F567*(IF(O550&lt;=0,1,P550/O550)^$G567/(1+$H567+$I567))^(1+$F567)</f>
        <v>0</v>
      </c>
      <c r="Q577" s="24">
        <f>P577*(1+Q$558)^($E567*Q$559)*(1+Q$560)*IF(Rebate_Industry!P$255&lt;=0,1,Rebate_Industry!Q$255/Rebate_Industry!P$255)^$F567*(IF(P550&lt;=0,1,Q550/P550)^$G567/(1+$H567+$I567))^(1+$F567)</f>
        <v>0</v>
      </c>
      <c r="R577" s="24">
        <f>Q577*(1+R$558)^($E567*R$559)*(1+R$560)*IF(Rebate_Industry!Q$255&lt;=0,1,Rebate_Industry!R$255/Rebate_Industry!Q$255)^$F567*(IF(Q550&lt;=0,1,R550/Q550)^$G567/(1+$H567+$I567))^(1+$F567)</f>
        <v>0</v>
      </c>
      <c r="S577" s="24">
        <f>R577*(1+S$558)^($E567*S$559)*(1+S$560)*IF(Rebate_Industry!R$255&lt;=0,1,Rebate_Industry!S$255/Rebate_Industry!R$255)^$F567*(IF(R550&lt;=0,1,S550/R550)^$G567/(1+$H567+$I567))^(1+$F567)</f>
        <v>0</v>
      </c>
      <c r="T577" s="24">
        <f>S577*(1+T$558)^($E567*T$559)*(1+T$560)*IF(Rebate_Industry!S$255&lt;=0,1,Rebate_Industry!T$255/Rebate_Industry!S$255)^$F567*(IF(S550&lt;=0,1,T550/S550)^$G567/(1+$H567+$I567))^(1+$F567)</f>
        <v>0</v>
      </c>
      <c r="U577" s="24">
        <f>T577*(1+U$558)^($E567*U$559)*(1+U$560)*IF(Rebate_Industry!T$255&lt;=0,1,Rebate_Industry!U$255/Rebate_Industry!T$255)^$F567*(IF(T550&lt;=0,1,U550/T550)^$G567/(1+$H567+$I567))^(1+$F567)</f>
        <v>0</v>
      </c>
      <c r="V577" s="24">
        <f>U577*(1+V$558)^($E567*V$559)*(1+V$560)*IF(Rebate_Industry!U$255&lt;=0,1,Rebate_Industry!V$255/Rebate_Industry!U$255)^$F567*(IF(U550&lt;=0,1,V550/U550)^$G567/(1+$H567+$I567))^(1+$F567)</f>
        <v>0</v>
      </c>
      <c r="W577" s="24">
        <f>V577*(1+W$558)^($E567*W$559)*(1+W$560)*IF(Rebate_Industry!V$255&lt;=0,1,Rebate_Industry!W$255/Rebate_Industry!V$255)^$F567*(IF(V550&lt;=0,1,W550/V550)^$G567/(1+$H567+$I567))^(1+$F567)</f>
        <v>0</v>
      </c>
      <c r="X577" s="24">
        <f>W577*(1+X$558)^($E567*X$559)*(1+X$560)*IF(Rebate_Industry!W$255&lt;=0,1,Rebate_Industry!X$255/Rebate_Industry!W$255)^$F567*(IF(W550&lt;=0,1,X550/W550)^$G567/(1+$H567+$I567))^(1+$F567)</f>
        <v>0</v>
      </c>
      <c r="Y577" s="24">
        <f>X577*(1+Y$558)^($E567*Y$559)*(1+Y$560)*IF(Rebate_Industry!X$255&lt;=0,1,Rebate_Industry!Y$255/Rebate_Industry!X$255)^$F567*(IF(X550&lt;=0,1,Y550/X550)^$G567/(1+$H567+$I567))^(1+$F567)</f>
        <v>0</v>
      </c>
      <c r="Z577" s="24">
        <f>Y577*(1+Z$558)^($E567*Z$559)*(1+Z$560)*IF(Rebate_Industry!Y$255&lt;=0,1,Rebate_Industry!Z$255/Rebate_Industry!Y$255)^$F567*(IF(Y550&lt;=0,1,Z550/Y550)^$G567/(1+$H567+$I567))^(1+$F567)</f>
        <v>0</v>
      </c>
      <c r="AA577" s="24">
        <f>Z577*(1+AA$558)^($E567*AA$559)*(1+AA$560)*IF(Rebate_Industry!Z$255&lt;=0,1,Rebate_Industry!AA$255/Rebate_Industry!Z$255)^$F567*(IF(Z550&lt;=0,1,AA550/Z550)^$G567/(1+$H567+$I567))^(1+$F567)</f>
        <v>0</v>
      </c>
      <c r="AB577" s="24">
        <f>AA577*(1+AB$558)^($E567*AB$559)*(1+AB$560)*IF(Rebate_Industry!AA$255&lt;=0,1,Rebate_Industry!AB$255/Rebate_Industry!AA$255)^$F567*(IF(AA550&lt;=0,1,AB550/AA550)^$G567/(1+$H567+$I567))^(1+$F567)</f>
        <v>0</v>
      </c>
      <c r="AC577" s="24">
        <f>AB577*(1+AC$558)^($E567*AC$559)*(1+AC$560)*IF(Rebate_Industry!AB$255&lt;=0,1,Rebate_Industry!AC$255/Rebate_Industry!AB$255)^$F567*(IF(AB550&lt;=0,1,AC550/AB550)^$G567/(1+$H567+$I567))^(1+$F567)</f>
        <v>0</v>
      </c>
      <c r="AD577" s="24">
        <f>AC577*(1+AD$558)^($E567*AD$559)*(1+AD$560)*IF(Rebate_Industry!AC$255&lt;=0,1,Rebate_Industry!AD$255/Rebate_Industry!AC$255)^$F567*(IF(AC550&lt;=0,1,AD550/AC550)^$G567/(1+$H567+$I567))^(1+$F567)</f>
        <v>0</v>
      </c>
      <c r="AE577" s="24">
        <f>AD577*(1+AE$558)^($E567*AE$559)*(1+AE$560)*IF(Rebate_Industry!AD$255&lt;=0,1,Rebate_Industry!AE$255/Rebate_Industry!AD$255)^$F567*(IF(AD550&lt;=0,1,AE550/AD550)^$G567/(1+$H567+$I567))^(1+$F567)</f>
        <v>0</v>
      </c>
    </row>
    <row r="578" spans="1:35" x14ac:dyDescent="0.45">
      <c r="B578" s="14" t="s">
        <v>62</v>
      </c>
      <c r="C578" s="14" t="str">
        <f t="shared" si="174"/>
        <v>nfm</v>
      </c>
      <c r="D578" s="15" t="s">
        <v>63</v>
      </c>
      <c r="E578" s="16" t="s">
        <v>108</v>
      </c>
      <c r="F578" s="14" t="s">
        <v>109</v>
      </c>
      <c r="G578" s="17" t="str">
        <f>Settings!$B$3&amp;".mit.enc."&amp;$B578</f>
        <v>egy.mit.enc.ker</v>
      </c>
      <c r="H578" s="45" t="str">
        <f>Settings!$B$3&amp;".mit.ener."&amp;$C$524&amp;"."&amp;$B578&amp;".e."&amp;$J$524</f>
        <v>egy.mit.ener.nfm.ker.e.2</v>
      </c>
      <c r="I578" t="s">
        <v>2315</v>
      </c>
      <c r="L578" s="47">
        <f>INDEX(Data_Energy!$D$3:$U$22,MATCH($B578,Data_Energy!$C$3:$C$22,0),MATCH($C578,Data_Energy!$D$2:$U$2,0))</f>
        <v>0</v>
      </c>
      <c r="M578" s="24">
        <f>L578*(1+M$558)^($E568*M$559)*(1+M$560)*IF(Rebate_Industry!L$256&lt;=0,1,Rebate_Industry!M$256/Rebate_Industry!L$256)^$F568*(IF(L551&lt;=0,1,M551/L551)^$G568/(1+$H568+$I568))^(1+$F568)</f>
        <v>0</v>
      </c>
      <c r="N578" s="24">
        <f>M578*(1+N$558)^($E568*N$559)*(1+N$560)*IF(Rebate_Industry!M$256&lt;=0,1,Rebate_Industry!N$256/Rebate_Industry!M$256)^$F568*(IF(M551&lt;=0,1,N551/M551)^$G568/(1+$H568+$I568))^(1+$F568)</f>
        <v>0</v>
      </c>
      <c r="O578" s="24">
        <f>N578*(1+O$558)^($E568*O$559)*(1+O$560)*IF(Rebate_Industry!N$256&lt;=0,1,Rebate_Industry!O$256/Rebate_Industry!N$256)^$F568*(IF(N551&lt;=0,1,O551/N551)^$G568/(1+$H568+$I568))^(1+$F568)</f>
        <v>0</v>
      </c>
      <c r="P578" s="24">
        <f>O578*(1+P$558)^($E568*P$559)*(1+P$560)*IF(Rebate_Industry!O$256&lt;=0,1,Rebate_Industry!P$256/Rebate_Industry!O$256)^$F568*(IF(O551&lt;=0,1,P551/O551)^$G568/(1+$H568+$I568))^(1+$F568)</f>
        <v>0</v>
      </c>
      <c r="Q578" s="24">
        <f>P578*(1+Q$558)^($E568*Q$559)*(1+Q$560)*IF(Rebate_Industry!P$256&lt;=0,1,Rebate_Industry!Q$256/Rebate_Industry!P$256)^$F568*(IF(P551&lt;=0,1,Q551/P551)^$G568/(1+$H568+$I568))^(1+$F568)</f>
        <v>0</v>
      </c>
      <c r="R578" s="24">
        <f>Q578*(1+R$558)^($E568*R$559)*(1+R$560)*IF(Rebate_Industry!Q$256&lt;=0,1,Rebate_Industry!R$256/Rebate_Industry!Q$256)^$F568*(IF(Q551&lt;=0,1,R551/Q551)^$G568/(1+$H568+$I568))^(1+$F568)</f>
        <v>0</v>
      </c>
      <c r="S578" s="24">
        <f>R578*(1+S$558)^($E568*S$559)*(1+S$560)*IF(Rebate_Industry!R$256&lt;=0,1,Rebate_Industry!S$256/Rebate_Industry!R$256)^$F568*(IF(R551&lt;=0,1,S551/R551)^$G568/(1+$H568+$I568))^(1+$F568)</f>
        <v>0</v>
      </c>
      <c r="T578" s="24">
        <f>S578*(1+T$558)^($E568*T$559)*(1+T$560)*IF(Rebate_Industry!S$256&lt;=0,1,Rebate_Industry!T$256/Rebate_Industry!S$256)^$F568*(IF(S551&lt;=0,1,T551/S551)^$G568/(1+$H568+$I568))^(1+$F568)</f>
        <v>0</v>
      </c>
      <c r="U578" s="24">
        <f>T578*(1+U$558)^($E568*U$559)*(1+U$560)*IF(Rebate_Industry!T$256&lt;=0,1,Rebate_Industry!U$256/Rebate_Industry!T$256)^$F568*(IF(T551&lt;=0,1,U551/T551)^$G568/(1+$H568+$I568))^(1+$F568)</f>
        <v>0</v>
      </c>
      <c r="V578" s="24">
        <f>U578*(1+V$558)^($E568*V$559)*(1+V$560)*IF(Rebate_Industry!U$256&lt;=0,1,Rebate_Industry!V$256/Rebate_Industry!U$256)^$F568*(IF(U551&lt;=0,1,V551/U551)^$G568/(1+$H568+$I568))^(1+$F568)</f>
        <v>0</v>
      </c>
      <c r="W578" s="24">
        <f>V578*(1+W$558)^($E568*W$559)*(1+W$560)*IF(Rebate_Industry!V$256&lt;=0,1,Rebate_Industry!W$256/Rebate_Industry!V$256)^$F568*(IF(V551&lt;=0,1,W551/V551)^$G568/(1+$H568+$I568))^(1+$F568)</f>
        <v>0</v>
      </c>
      <c r="X578" s="24">
        <f>W578*(1+X$558)^($E568*X$559)*(1+X$560)*IF(Rebate_Industry!W$256&lt;=0,1,Rebate_Industry!X$256/Rebate_Industry!W$256)^$F568*(IF(W551&lt;=0,1,X551/W551)^$G568/(1+$H568+$I568))^(1+$F568)</f>
        <v>0</v>
      </c>
      <c r="Y578" s="24">
        <f>X578*(1+Y$558)^($E568*Y$559)*(1+Y$560)*IF(Rebate_Industry!X$256&lt;=0,1,Rebate_Industry!Y$256/Rebate_Industry!X$256)^$F568*(IF(X551&lt;=0,1,Y551/X551)^$G568/(1+$H568+$I568))^(1+$F568)</f>
        <v>0</v>
      </c>
      <c r="Z578" s="24">
        <f>Y578*(1+Z$558)^($E568*Z$559)*(1+Z$560)*IF(Rebate_Industry!Y$256&lt;=0,1,Rebate_Industry!Z$256/Rebate_Industry!Y$256)^$F568*(IF(Y551&lt;=0,1,Z551/Y551)^$G568/(1+$H568+$I568))^(1+$F568)</f>
        <v>0</v>
      </c>
      <c r="AA578" s="24">
        <f>Z578*(1+AA$558)^($E568*AA$559)*(1+AA$560)*IF(Rebate_Industry!Z$256&lt;=0,1,Rebate_Industry!AA$256/Rebate_Industry!Z$256)^$F568*(IF(Z551&lt;=0,1,AA551/Z551)^$G568/(1+$H568+$I568))^(1+$F568)</f>
        <v>0</v>
      </c>
      <c r="AB578" s="24">
        <f>AA578*(1+AB$558)^($E568*AB$559)*(1+AB$560)*IF(Rebate_Industry!AA$256&lt;=0,1,Rebate_Industry!AB$256/Rebate_Industry!AA$256)^$F568*(IF(AA551&lt;=0,1,AB551/AA551)^$G568/(1+$H568+$I568))^(1+$F568)</f>
        <v>0</v>
      </c>
      <c r="AC578" s="24">
        <f>AB578*(1+AC$558)^($E568*AC$559)*(1+AC$560)*IF(Rebate_Industry!AB$256&lt;=0,1,Rebate_Industry!AC$256/Rebate_Industry!AB$256)^$F568*(IF(AB551&lt;=0,1,AC551/AB551)^$G568/(1+$H568+$I568))^(1+$F568)</f>
        <v>0</v>
      </c>
      <c r="AD578" s="24">
        <f>AC578*(1+AD$558)^($E568*AD$559)*(1+AD$560)*IF(Rebate_Industry!AC$256&lt;=0,1,Rebate_Industry!AD$256/Rebate_Industry!AC$256)^$F568*(IF(AC551&lt;=0,1,AD551/AC551)^$G568/(1+$H568+$I568))^(1+$F568)</f>
        <v>0</v>
      </c>
      <c r="AE578" s="24">
        <f>AD578*(1+AE$558)^($E568*AE$559)*(1+AE$560)*IF(Rebate_Industry!AD$256&lt;=0,1,Rebate_Industry!AE$256/Rebate_Industry!AD$256)^$F568*(IF(AD551&lt;=0,1,AE551/AD551)^$G568/(1+$H568+$I568))^(1+$F568)</f>
        <v>0</v>
      </c>
    </row>
    <row r="579" spans="1:35" x14ac:dyDescent="0.45">
      <c r="B579" s="14" t="s">
        <v>64</v>
      </c>
      <c r="C579" s="14" t="str">
        <f t="shared" si="174"/>
        <v>nfm</v>
      </c>
      <c r="D579" s="15" t="s">
        <v>65</v>
      </c>
      <c r="E579" s="16" t="s">
        <v>108</v>
      </c>
      <c r="F579" s="14" t="s">
        <v>109</v>
      </c>
      <c r="G579" s="17" t="str">
        <f>Settings!$B$3&amp;".mit.enc."&amp;$B579</f>
        <v>egy.mit.enc.oop</v>
      </c>
      <c r="H579" s="45" t="str">
        <f>Settings!$B$3&amp;".mit.ener."&amp;$C$524&amp;"."&amp;$B579&amp;".e."&amp;$J$524</f>
        <v>egy.mit.ener.nfm.oop.e.2</v>
      </c>
      <c r="I579" t="s">
        <v>2316</v>
      </c>
      <c r="L579" s="47">
        <f>INDEX(Data_Energy!$D$3:$U$22,MATCH($B579,Data_Energy!$C$3:$C$22,0),MATCH($C579,Data_Energy!$D$2:$U$2,0))</f>
        <v>0</v>
      </c>
      <c r="M579" s="24">
        <f>L579*(1+M$558)^($E569*M$559)*(1+M$560)*IF(Rebate_Industry!L$257&lt;=0,1,Rebate_Industry!M$257/Rebate_Industry!L$257)^$F569*(IF(L552&lt;=0,1,M552/L552)^$G569/(1+$H569+$I569))^(1+$F569)</f>
        <v>0</v>
      </c>
      <c r="N579" s="24">
        <f>M579*(1+N$558)^($E569*N$559)*(1+N$560)*IF(Rebate_Industry!M$257&lt;=0,1,Rebate_Industry!N$257/Rebate_Industry!M$257)^$F569*(IF(M552&lt;=0,1,N552/M552)^$G569/(1+$H569+$I569))^(1+$F569)</f>
        <v>0</v>
      </c>
      <c r="O579" s="24">
        <f>N579*(1+O$558)^($E569*O$559)*(1+O$560)*IF(Rebate_Industry!N$257&lt;=0,1,Rebate_Industry!O$257/Rebate_Industry!N$257)^$F569*(IF(N552&lt;=0,1,O552/N552)^$G569/(1+$H569+$I569))^(1+$F569)</f>
        <v>0</v>
      </c>
      <c r="P579" s="24">
        <f>O579*(1+P$558)^($E569*P$559)*(1+P$560)*IF(Rebate_Industry!O$257&lt;=0,1,Rebate_Industry!P$257/Rebate_Industry!O$257)^$F569*(IF(O552&lt;=0,1,P552/O552)^$G569/(1+$H569+$I569))^(1+$F569)</f>
        <v>0</v>
      </c>
      <c r="Q579" s="24">
        <f>P579*(1+Q$558)^($E569*Q$559)*(1+Q$560)*IF(Rebate_Industry!P$257&lt;=0,1,Rebate_Industry!Q$257/Rebate_Industry!P$257)^$F569*(IF(P552&lt;=0,1,Q552/P552)^$G569/(1+$H569+$I569))^(1+$F569)</f>
        <v>0</v>
      </c>
      <c r="R579" s="24">
        <f>Q579*(1+R$558)^($E569*R$559)*(1+R$560)*IF(Rebate_Industry!Q$257&lt;=0,1,Rebate_Industry!R$257/Rebate_Industry!Q$257)^$F569*(IF(Q552&lt;=0,1,R552/Q552)^$G569/(1+$H569+$I569))^(1+$F569)</f>
        <v>0</v>
      </c>
      <c r="S579" s="24">
        <f>R579*(1+S$558)^($E569*S$559)*(1+S$560)*IF(Rebate_Industry!R$257&lt;=0,1,Rebate_Industry!S$257/Rebate_Industry!R$257)^$F569*(IF(R552&lt;=0,1,S552/R552)^$G569/(1+$H569+$I569))^(1+$F569)</f>
        <v>0</v>
      </c>
      <c r="T579" s="24">
        <f>S579*(1+T$558)^($E569*T$559)*(1+T$560)*IF(Rebate_Industry!S$257&lt;=0,1,Rebate_Industry!T$257/Rebate_Industry!S$257)^$F569*(IF(S552&lt;=0,1,T552/S552)^$G569/(1+$H569+$I569))^(1+$F569)</f>
        <v>0</v>
      </c>
      <c r="U579" s="24">
        <f>T579*(1+U$558)^($E569*U$559)*(1+U$560)*IF(Rebate_Industry!T$257&lt;=0,1,Rebate_Industry!U$257/Rebate_Industry!T$257)^$F569*(IF(T552&lt;=0,1,U552/T552)^$G569/(1+$H569+$I569))^(1+$F569)</f>
        <v>0</v>
      </c>
      <c r="V579" s="24">
        <f>U579*(1+V$558)^($E569*V$559)*(1+V$560)*IF(Rebate_Industry!U$257&lt;=0,1,Rebate_Industry!V$257/Rebate_Industry!U$257)^$F569*(IF(U552&lt;=0,1,V552/U552)^$G569/(1+$H569+$I569))^(1+$F569)</f>
        <v>0</v>
      </c>
      <c r="W579" s="24">
        <f>V579*(1+W$558)^($E569*W$559)*(1+W$560)*IF(Rebate_Industry!V$257&lt;=0,1,Rebate_Industry!W$257/Rebate_Industry!V$257)^$F569*(IF(V552&lt;=0,1,W552/V552)^$G569/(1+$H569+$I569))^(1+$F569)</f>
        <v>0</v>
      </c>
      <c r="X579" s="24">
        <f>W579*(1+X$558)^($E569*X$559)*(1+X$560)*IF(Rebate_Industry!W$257&lt;=0,1,Rebate_Industry!X$257/Rebate_Industry!W$257)^$F569*(IF(W552&lt;=0,1,X552/W552)^$G569/(1+$H569+$I569))^(1+$F569)</f>
        <v>0</v>
      </c>
      <c r="Y579" s="24">
        <f>X579*(1+Y$558)^($E569*Y$559)*(1+Y$560)*IF(Rebate_Industry!X$257&lt;=0,1,Rebate_Industry!Y$257/Rebate_Industry!X$257)^$F569*(IF(X552&lt;=0,1,Y552/X552)^$G569/(1+$H569+$I569))^(1+$F569)</f>
        <v>0</v>
      </c>
      <c r="Z579" s="24">
        <f>Y579*(1+Z$558)^($E569*Z$559)*(1+Z$560)*IF(Rebate_Industry!Y$257&lt;=0,1,Rebate_Industry!Z$257/Rebate_Industry!Y$257)^$F569*(IF(Y552&lt;=0,1,Z552/Y552)^$G569/(1+$H569+$I569))^(1+$F569)</f>
        <v>0</v>
      </c>
      <c r="AA579" s="24">
        <f>Z579*(1+AA$558)^($E569*AA$559)*(1+AA$560)*IF(Rebate_Industry!Z$257&lt;=0,1,Rebate_Industry!AA$257/Rebate_Industry!Z$257)^$F569*(IF(Z552&lt;=0,1,AA552/Z552)^$G569/(1+$H569+$I569))^(1+$F569)</f>
        <v>0</v>
      </c>
      <c r="AB579" s="24">
        <f>AA579*(1+AB$558)^($E569*AB$559)*(1+AB$560)*IF(Rebate_Industry!AA$257&lt;=0,1,Rebate_Industry!AB$257/Rebate_Industry!AA$257)^$F569*(IF(AA552&lt;=0,1,AB552/AA552)^$G569/(1+$H569+$I569))^(1+$F569)</f>
        <v>0</v>
      </c>
      <c r="AC579" s="24">
        <f>AB579*(1+AC$558)^($E569*AC$559)*(1+AC$560)*IF(Rebate_Industry!AB$257&lt;=0,1,Rebate_Industry!AC$257/Rebate_Industry!AB$257)^$F569*(IF(AB552&lt;=0,1,AC552/AB552)^$G569/(1+$H569+$I569))^(1+$F569)</f>
        <v>0</v>
      </c>
      <c r="AD579" s="24">
        <f>AC579*(1+AD$558)^($E569*AD$559)*(1+AD$560)*IF(Rebate_Industry!AC$257&lt;=0,1,Rebate_Industry!AD$257/Rebate_Industry!AC$257)^$F569*(IF(AC552&lt;=0,1,AD552/AC552)^$G569/(1+$H569+$I569))^(1+$F569)</f>
        <v>0</v>
      </c>
      <c r="AE579" s="24">
        <f>AD579*(1+AE$558)^($E569*AE$559)*(1+AE$560)*IF(Rebate_Industry!AD$257&lt;=0,1,Rebate_Industry!AE$257/Rebate_Industry!AD$257)^$F569*(IF(AD552&lt;=0,1,AE552/AD552)^$G569/(1+$H569+$I569))^(1+$F569)</f>
        <v>0</v>
      </c>
    </row>
    <row r="580" spans="1:35" x14ac:dyDescent="0.45">
      <c r="B580" s="14" t="s">
        <v>67</v>
      </c>
      <c r="C580" s="14" t="str">
        <f t="shared" si="174"/>
        <v>nfm</v>
      </c>
      <c r="D580" s="15" t="s">
        <v>68</v>
      </c>
      <c r="E580" s="16" t="s">
        <v>108</v>
      </c>
      <c r="F580" s="14" t="s">
        <v>109</v>
      </c>
      <c r="G580" s="17" t="str">
        <f>Settings!$B$3&amp;".mit.enc."&amp;$B580</f>
        <v>egy.mit.enc.bio</v>
      </c>
      <c r="H580" s="45" t="str">
        <f>Settings!$B$3&amp;".mit.ener."&amp;$C$524&amp;"."&amp;$B580&amp;".e."&amp;$J$524</f>
        <v>egy.mit.ener.nfm.bio.e.2</v>
      </c>
      <c r="I580" t="s">
        <v>2317</v>
      </c>
      <c r="L580" s="47">
        <f>INDEX(Data_Energy!$D$3:$U$22,MATCH($B580,Data_Energy!$C$3:$C$22,0),MATCH($C580,Data_Energy!$D$2:$U$2,0))</f>
        <v>0</v>
      </c>
      <c r="M580" s="24">
        <f>L580*(1+M$558)^($E570*M$559)*(1+M$560)*IF(Rebate_Industry!L$258&lt;=0,1,Rebate_Industry!M$258/Rebate_Industry!L$258)^$F570*(IF(L553&lt;=0,1,M553/L553)^$G570/(1+$H570+$I570))^(1+$F570)</f>
        <v>0</v>
      </c>
      <c r="N580" s="24">
        <f>M580*(1+N$558)^($E570*N$559)*(1+N$560)*IF(Rebate_Industry!M$258&lt;=0,1,Rebate_Industry!N$258/Rebate_Industry!M$258)^$F570*(IF(M553&lt;=0,1,N553/M553)^$G570/(1+$H570+$I570))^(1+$F570)</f>
        <v>0</v>
      </c>
      <c r="O580" s="24">
        <f>N580*(1+O$558)^($E570*O$559)*(1+O$560)*IF(Rebate_Industry!N$258&lt;=0,1,Rebate_Industry!O$258/Rebate_Industry!N$258)^$F570*(IF(N553&lt;=0,1,O553/N553)^$G570/(1+$H570+$I570))^(1+$F570)</f>
        <v>0</v>
      </c>
      <c r="P580" s="24">
        <f>O580*(1+P$558)^($E570*P$559)*(1+P$560)*IF(Rebate_Industry!O$258&lt;=0,1,Rebate_Industry!P$258/Rebate_Industry!O$258)^$F570*(IF(O553&lt;=0,1,P553/O553)^$G570/(1+$H570+$I570))^(1+$F570)</f>
        <v>0</v>
      </c>
      <c r="Q580" s="24">
        <f>P580*(1+Q$558)^($E570*Q$559)*(1+Q$560)*IF(Rebate_Industry!P$258&lt;=0,1,Rebate_Industry!Q$258/Rebate_Industry!P$258)^$F570*(IF(P553&lt;=0,1,Q553/P553)^$G570/(1+$H570+$I570))^(1+$F570)</f>
        <v>0</v>
      </c>
      <c r="R580" s="24">
        <f>Q580*(1+R$558)^($E570*R$559)*(1+R$560)*IF(Rebate_Industry!Q$258&lt;=0,1,Rebate_Industry!R$258/Rebate_Industry!Q$258)^$F570*(IF(Q553&lt;=0,1,R553/Q553)^$G570/(1+$H570+$I570))^(1+$F570)</f>
        <v>0</v>
      </c>
      <c r="S580" s="24">
        <f>R580*(1+S$558)^($E570*S$559)*(1+S$560)*IF(Rebate_Industry!R$258&lt;=0,1,Rebate_Industry!S$258/Rebate_Industry!R$258)^$F570*(IF(R553&lt;=0,1,S553/R553)^$G570/(1+$H570+$I570))^(1+$F570)</f>
        <v>0</v>
      </c>
      <c r="T580" s="24">
        <f>S580*(1+T$558)^($E570*T$559)*(1+T$560)*IF(Rebate_Industry!S$258&lt;=0,1,Rebate_Industry!T$258/Rebate_Industry!S$258)^$F570*(IF(S553&lt;=0,1,T553/S553)^$G570/(1+$H570+$I570))^(1+$F570)</f>
        <v>0</v>
      </c>
      <c r="U580" s="24">
        <f>T580*(1+U$558)^($E570*U$559)*(1+U$560)*IF(Rebate_Industry!T$258&lt;=0,1,Rebate_Industry!U$258/Rebate_Industry!T$258)^$F570*(IF(T553&lt;=0,1,U553/T553)^$G570/(1+$H570+$I570))^(1+$F570)</f>
        <v>0</v>
      </c>
      <c r="V580" s="24">
        <f>U580*(1+V$558)^($E570*V$559)*(1+V$560)*IF(Rebate_Industry!U$258&lt;=0,1,Rebate_Industry!V$258/Rebate_Industry!U$258)^$F570*(IF(U553&lt;=0,1,V553/U553)^$G570/(1+$H570+$I570))^(1+$F570)</f>
        <v>0</v>
      </c>
      <c r="W580" s="24">
        <f>V580*(1+W$558)^($E570*W$559)*(1+W$560)*IF(Rebate_Industry!V$258&lt;=0,1,Rebate_Industry!W$258/Rebate_Industry!V$258)^$F570*(IF(V553&lt;=0,1,W553/V553)^$G570/(1+$H570+$I570))^(1+$F570)</f>
        <v>0</v>
      </c>
      <c r="X580" s="24">
        <f>W580*(1+X$558)^($E570*X$559)*(1+X$560)*IF(Rebate_Industry!W$258&lt;=0,1,Rebate_Industry!X$258/Rebate_Industry!W$258)^$F570*(IF(W553&lt;=0,1,X553/W553)^$G570/(1+$H570+$I570))^(1+$F570)</f>
        <v>0</v>
      </c>
      <c r="Y580" s="24">
        <f>X580*(1+Y$558)^($E570*Y$559)*(1+Y$560)*IF(Rebate_Industry!X$258&lt;=0,1,Rebate_Industry!Y$258/Rebate_Industry!X$258)^$F570*(IF(X553&lt;=0,1,Y553/X553)^$G570/(1+$H570+$I570))^(1+$F570)</f>
        <v>0</v>
      </c>
      <c r="Z580" s="24">
        <f>Y580*(1+Z$558)^($E570*Z$559)*(1+Z$560)*IF(Rebate_Industry!Y$258&lt;=0,1,Rebate_Industry!Z$258/Rebate_Industry!Y$258)^$F570*(IF(Y553&lt;=0,1,Z553/Y553)^$G570/(1+$H570+$I570))^(1+$F570)</f>
        <v>0</v>
      </c>
      <c r="AA580" s="24">
        <f>Z580*(1+AA$558)^($E570*AA$559)*(1+AA$560)*IF(Rebate_Industry!Z$258&lt;=0,1,Rebate_Industry!AA$258/Rebate_Industry!Z$258)^$F570*(IF(Z553&lt;=0,1,AA553/Z553)^$G570/(1+$H570+$I570))^(1+$F570)</f>
        <v>0</v>
      </c>
      <c r="AB580" s="24">
        <f>AA580*(1+AB$558)^($E570*AB$559)*(1+AB$560)*IF(Rebate_Industry!AA$258&lt;=0,1,Rebate_Industry!AB$258/Rebate_Industry!AA$258)^$F570*(IF(AA553&lt;=0,1,AB553/AA553)^$G570/(1+$H570+$I570))^(1+$F570)</f>
        <v>0</v>
      </c>
      <c r="AC580" s="24">
        <f>AB580*(1+AC$558)^($E570*AC$559)*(1+AC$560)*IF(Rebate_Industry!AB$258&lt;=0,1,Rebate_Industry!AC$258/Rebate_Industry!AB$258)^$F570*(IF(AB553&lt;=0,1,AC553/AB553)^$G570/(1+$H570+$I570))^(1+$F570)</f>
        <v>0</v>
      </c>
      <c r="AD580" s="24">
        <f>AC580*(1+AD$558)^($E570*AD$559)*(1+AD$560)*IF(Rebate_Industry!AC$258&lt;=0,1,Rebate_Industry!AD$258/Rebate_Industry!AC$258)^$F570*(IF(AC553&lt;=0,1,AD553/AC553)^$G570/(1+$H570+$I570))^(1+$F570)</f>
        <v>0</v>
      </c>
      <c r="AE580" s="24">
        <f>AD580*(1+AE$558)^($E570*AE$559)*(1+AE$560)*IF(Rebate_Industry!AD$258&lt;=0,1,Rebate_Industry!AE$258/Rebate_Industry!AD$258)^$F570*(IF(AD553&lt;=0,1,AE553/AD553)^$G570/(1+$H570+$I570))^(1+$F570)</f>
        <v>0</v>
      </c>
    </row>
    <row r="581" spans="1:35" x14ac:dyDescent="0.45">
      <c r="B581" s="14" t="s">
        <v>69</v>
      </c>
      <c r="C581" s="14" t="str">
        <f t="shared" si="174"/>
        <v>nfm</v>
      </c>
      <c r="D581" s="15" t="s">
        <v>70</v>
      </c>
      <c r="E581" s="16" t="s">
        <v>108</v>
      </c>
      <c r="F581" s="14" t="s">
        <v>109</v>
      </c>
      <c r="G581" s="17" t="str">
        <f>Settings!$B$3&amp;".mit.enc."&amp;$B581</f>
        <v>egy.mit.enc.ren</v>
      </c>
      <c r="H581" s="45" t="str">
        <f>Settings!$B$3&amp;".mit.ener."&amp;$C$524&amp;"."&amp;$B581&amp;".e."&amp;$J$524</f>
        <v>egy.mit.ener.nfm.ren.e.2</v>
      </c>
      <c r="I581" t="s">
        <v>2318</v>
      </c>
      <c r="L581" s="47">
        <f>INDEX(Data_Energy!$D$3:$U$22,MATCH($B581,Data_Energy!$C$3:$C$22,0),MATCH($C581,Data_Energy!$D$2:$U$2,0))</f>
        <v>0</v>
      </c>
      <c r="M581" s="24">
        <f>L581*(1+M$558)^($E571*M$559)*(1+M$560)*IF(Rebate_Industry!L$259&lt;=0,1,Rebate_Industry!M$259/Rebate_Industry!L$259)^$F571*(IF(L554&lt;=0,1,M554/L554)^$G571/(1+$H571+$I571))^(1+$F571)</f>
        <v>0</v>
      </c>
      <c r="N581" s="24">
        <f>M581*(1+N$558)^($E571*N$559)*(1+N$560)*IF(Rebate_Industry!M$259&lt;=0,1,Rebate_Industry!N$259/Rebate_Industry!M$259)^$F571*(IF(M554&lt;=0,1,N554/M554)^$G571/(1+$H571+$I571))^(1+$F571)</f>
        <v>0</v>
      </c>
      <c r="O581" s="24">
        <f>N581*(1+O$558)^($E571*O$559)*(1+O$560)*IF(Rebate_Industry!N$259&lt;=0,1,Rebate_Industry!O$259/Rebate_Industry!N$259)^$F571*(IF(N554&lt;=0,1,O554/N554)^$G571/(1+$H571+$I571))^(1+$F571)</f>
        <v>0</v>
      </c>
      <c r="P581" s="24">
        <f>O581*(1+P$558)^($E571*P$559)*(1+P$560)*IF(Rebate_Industry!O$259&lt;=0,1,Rebate_Industry!P$259/Rebate_Industry!O$259)^$F571*(IF(O554&lt;=0,1,P554/O554)^$G571/(1+$H571+$I571))^(1+$F571)</f>
        <v>0</v>
      </c>
      <c r="Q581" s="24">
        <f>P581*(1+Q$558)^($E571*Q$559)*(1+Q$560)*IF(Rebate_Industry!P$259&lt;=0,1,Rebate_Industry!Q$259/Rebate_Industry!P$259)^$F571*(IF(P554&lt;=0,1,Q554/P554)^$G571/(1+$H571+$I571))^(1+$F571)</f>
        <v>0</v>
      </c>
      <c r="R581" s="24">
        <f>Q581*(1+R$558)^($E571*R$559)*(1+R$560)*IF(Rebate_Industry!Q$259&lt;=0,1,Rebate_Industry!R$259/Rebate_Industry!Q$259)^$F571*(IF(Q554&lt;=0,1,R554/Q554)^$G571/(1+$H571+$I571))^(1+$F571)</f>
        <v>0</v>
      </c>
      <c r="S581" s="24">
        <f>R581*(1+S$558)^($E571*S$559)*(1+S$560)*IF(Rebate_Industry!R$259&lt;=0,1,Rebate_Industry!S$259/Rebate_Industry!R$259)^$F571*(IF(R554&lt;=0,1,S554/R554)^$G571/(1+$H571+$I571))^(1+$F571)</f>
        <v>0</v>
      </c>
      <c r="T581" s="24">
        <f>S581*(1+T$558)^($E571*T$559)*(1+T$560)*IF(Rebate_Industry!S$259&lt;=0,1,Rebate_Industry!T$259/Rebate_Industry!S$259)^$F571*(IF(S554&lt;=0,1,T554/S554)^$G571/(1+$H571+$I571))^(1+$F571)</f>
        <v>0</v>
      </c>
      <c r="U581" s="24">
        <f>T581*(1+U$558)^($E571*U$559)*(1+U$560)*IF(Rebate_Industry!T$259&lt;=0,1,Rebate_Industry!U$259/Rebate_Industry!T$259)^$F571*(IF(T554&lt;=0,1,U554/T554)^$G571/(1+$H571+$I571))^(1+$F571)</f>
        <v>0</v>
      </c>
      <c r="V581" s="24">
        <f>U581*(1+V$558)^($E571*V$559)*(1+V$560)*IF(Rebate_Industry!U$259&lt;=0,1,Rebate_Industry!V$259/Rebate_Industry!U$259)^$F571*(IF(U554&lt;=0,1,V554/U554)^$G571/(1+$H571+$I571))^(1+$F571)</f>
        <v>0</v>
      </c>
      <c r="W581" s="24">
        <f>V581*(1+W$558)^($E571*W$559)*(1+W$560)*IF(Rebate_Industry!V$259&lt;=0,1,Rebate_Industry!W$259/Rebate_Industry!V$259)^$F571*(IF(V554&lt;=0,1,W554/V554)^$G571/(1+$H571+$I571))^(1+$F571)</f>
        <v>0</v>
      </c>
      <c r="X581" s="24">
        <f>W581*(1+X$558)^($E571*X$559)*(1+X$560)*IF(Rebate_Industry!W$259&lt;=0,1,Rebate_Industry!X$259/Rebate_Industry!W$259)^$F571*(IF(W554&lt;=0,1,X554/W554)^$G571/(1+$H571+$I571))^(1+$F571)</f>
        <v>0</v>
      </c>
      <c r="Y581" s="24">
        <f>X581*(1+Y$558)^($E571*Y$559)*(1+Y$560)*IF(Rebate_Industry!X$259&lt;=0,1,Rebate_Industry!Y$259/Rebate_Industry!X$259)^$F571*(IF(X554&lt;=0,1,Y554/X554)^$G571/(1+$H571+$I571))^(1+$F571)</f>
        <v>0</v>
      </c>
      <c r="Z581" s="24">
        <f>Y581*(1+Z$558)^($E571*Z$559)*(1+Z$560)*IF(Rebate_Industry!Y$259&lt;=0,1,Rebate_Industry!Z$259/Rebate_Industry!Y$259)^$F571*(IF(Y554&lt;=0,1,Z554/Y554)^$G571/(1+$H571+$I571))^(1+$F571)</f>
        <v>0</v>
      </c>
      <c r="AA581" s="24">
        <f>Z581*(1+AA$558)^($E571*AA$559)*(1+AA$560)*IF(Rebate_Industry!Z$259&lt;=0,1,Rebate_Industry!AA$259/Rebate_Industry!Z$259)^$F571*(IF(Z554&lt;=0,1,AA554/Z554)^$G571/(1+$H571+$I571))^(1+$F571)</f>
        <v>0</v>
      </c>
      <c r="AB581" s="24">
        <f>AA581*(1+AB$558)^($E571*AB$559)*(1+AB$560)*IF(Rebate_Industry!AA$259&lt;=0,1,Rebate_Industry!AB$259/Rebate_Industry!AA$259)^$F571*(IF(AA554&lt;=0,1,AB554/AA554)^$G571/(1+$H571+$I571))^(1+$F571)</f>
        <v>0</v>
      </c>
      <c r="AC581" s="24">
        <f>AB581*(1+AC$558)^($E571*AC$559)*(1+AC$560)*IF(Rebate_Industry!AB$259&lt;=0,1,Rebate_Industry!AC$259/Rebate_Industry!AB$259)^$F571*(IF(AB554&lt;=0,1,AC554/AB554)^$G571/(1+$H571+$I571))^(1+$F571)</f>
        <v>0</v>
      </c>
      <c r="AD581" s="24">
        <f>AC581*(1+AD$558)^($E571*AD$559)*(1+AD$560)*IF(Rebate_Industry!AC$259&lt;=0,1,Rebate_Industry!AD$259/Rebate_Industry!AC$259)^$F571*(IF(AC554&lt;=0,1,AD554/AC554)^$G571/(1+$H571+$I571))^(1+$F571)</f>
        <v>0</v>
      </c>
      <c r="AE581" s="24">
        <f>AD581*(1+AE$558)^($E571*AE$559)*(1+AE$560)*IF(Rebate_Industry!AD$259&lt;=0,1,Rebate_Industry!AE$259/Rebate_Industry!AD$259)^$F571*(IF(AD554&lt;=0,1,AE554/AD554)^$G571/(1+$H571+$I571))^(1+$F571)</f>
        <v>0</v>
      </c>
    </row>
    <row r="582" spans="1:35" x14ac:dyDescent="0.45">
      <c r="B582" s="14" t="s">
        <v>110</v>
      </c>
      <c r="C582" s="14" t="str">
        <f t="shared" si="174"/>
        <v>nfm</v>
      </c>
      <c r="D582" s="25" t="s">
        <v>111</v>
      </c>
      <c r="E582" s="16" t="s">
        <v>108</v>
      </c>
      <c r="F582" s="14" t="s">
        <v>109</v>
      </c>
      <c r="H582" s="45" t="str">
        <f>Settings!$B$3&amp;".mit.ener."&amp;$C$524&amp;".tot.e."&amp;$J$524</f>
        <v>egy.mit.ener.nfm.tot.e.2</v>
      </c>
      <c r="L582" s="26">
        <f t="shared" ref="L582:AE582" si="175">SUM(L573:L581)</f>
        <v>0</v>
      </c>
      <c r="M582" s="26">
        <f t="shared" si="175"/>
        <v>0</v>
      </c>
      <c r="N582" s="26">
        <f t="shared" si="175"/>
        <v>0</v>
      </c>
      <c r="O582" s="26">
        <f t="shared" si="175"/>
        <v>0</v>
      </c>
      <c r="P582" s="26">
        <f t="shared" si="175"/>
        <v>0</v>
      </c>
      <c r="Q582" s="26">
        <f t="shared" si="175"/>
        <v>0</v>
      </c>
      <c r="R582" s="26">
        <f t="shared" si="175"/>
        <v>0</v>
      </c>
      <c r="S582" s="26">
        <f t="shared" si="175"/>
        <v>0</v>
      </c>
      <c r="T582" s="26">
        <f t="shared" si="175"/>
        <v>0</v>
      </c>
      <c r="U582" s="26">
        <f t="shared" si="175"/>
        <v>0</v>
      </c>
      <c r="V582" s="26">
        <f t="shared" si="175"/>
        <v>0</v>
      </c>
      <c r="W582" s="26">
        <f t="shared" si="175"/>
        <v>0</v>
      </c>
      <c r="X582" s="26">
        <f t="shared" si="175"/>
        <v>0</v>
      </c>
      <c r="Y582" s="26">
        <f t="shared" si="175"/>
        <v>0</v>
      </c>
      <c r="Z582" s="26">
        <f t="shared" si="175"/>
        <v>0</v>
      </c>
      <c r="AA582" s="26">
        <f t="shared" si="175"/>
        <v>0</v>
      </c>
      <c r="AB582" s="26">
        <f t="shared" si="175"/>
        <v>0</v>
      </c>
      <c r="AC582" s="26">
        <f t="shared" si="175"/>
        <v>0</v>
      </c>
      <c r="AD582" s="26">
        <f t="shared" si="175"/>
        <v>0</v>
      </c>
      <c r="AE582" s="26">
        <f t="shared" si="175"/>
        <v>0</v>
      </c>
    </row>
    <row r="584" spans="1:35" x14ac:dyDescent="0.45">
      <c r="A584" s="11"/>
      <c r="B584" s="6" t="s">
        <v>116</v>
      </c>
      <c r="C584" s="7" t="s">
        <v>117</v>
      </c>
      <c r="D584" s="6" t="s">
        <v>44</v>
      </c>
      <c r="E584" s="7" t="s">
        <v>35</v>
      </c>
      <c r="F584" s="7" t="s">
        <v>45</v>
      </c>
      <c r="G584" s="7" t="s">
        <v>46</v>
      </c>
      <c r="H584" s="12" t="s">
        <v>38</v>
      </c>
      <c r="I584" s="6" t="s">
        <v>47</v>
      </c>
      <c r="J584" s="48">
        <v>2</v>
      </c>
      <c r="K584" s="6">
        <v>2021</v>
      </c>
      <c r="L584" s="46">
        <v>2022</v>
      </c>
      <c r="M584" s="6">
        <v>2023</v>
      </c>
      <c r="N584" s="6">
        <v>2024</v>
      </c>
      <c r="O584" s="6">
        <v>2025</v>
      </c>
      <c r="P584" s="6">
        <v>2026</v>
      </c>
      <c r="Q584" s="6">
        <v>2027</v>
      </c>
      <c r="R584" s="6">
        <v>2028</v>
      </c>
      <c r="S584" s="6">
        <v>2029</v>
      </c>
      <c r="T584" s="6">
        <v>2030</v>
      </c>
      <c r="U584" s="6">
        <v>2031</v>
      </c>
      <c r="V584" s="6">
        <v>2032</v>
      </c>
      <c r="W584" s="6">
        <v>2033</v>
      </c>
      <c r="X584" s="6">
        <v>2034</v>
      </c>
      <c r="Y584" s="6">
        <v>2035</v>
      </c>
      <c r="Z584" s="6">
        <v>2036</v>
      </c>
      <c r="AA584" s="6">
        <v>2037</v>
      </c>
      <c r="AB584" s="6">
        <v>2038</v>
      </c>
      <c r="AC584" s="6">
        <v>2039</v>
      </c>
      <c r="AD584" s="6">
        <v>2040</v>
      </c>
      <c r="AE584" s="6">
        <v>2041</v>
      </c>
      <c r="AF584" s="6">
        <v>2042</v>
      </c>
      <c r="AG584" s="6">
        <v>2043</v>
      </c>
      <c r="AH584" s="6">
        <v>2044</v>
      </c>
      <c r="AI584" s="6">
        <v>2045</v>
      </c>
    </row>
    <row r="585" spans="1:35" x14ac:dyDescent="0.45">
      <c r="B585" s="13" t="s">
        <v>48</v>
      </c>
    </row>
    <row r="586" spans="1:35" x14ac:dyDescent="0.45">
      <c r="B586" s="14" t="s">
        <v>49</v>
      </c>
      <c r="C586" s="14" t="str">
        <f t="shared" ref="C586:C594" si="176">$C$584</f>
        <v>mch</v>
      </c>
      <c r="D586" s="15" t="s">
        <v>50</v>
      </c>
      <c r="E586" s="16" t="s">
        <v>51</v>
      </c>
      <c r="F586" s="14" t="s">
        <v>52</v>
      </c>
      <c r="G586" s="17" t="str">
        <f>Settings!$B$3&amp;".mit.pbc."&amp;Settings!$B$4&amp;"."&amp;$B586&amp;".a."&amp;$J$584</f>
        <v>egy.mit.pbc.ind.coa.a.2</v>
      </c>
      <c r="H586" s="45" t="str">
        <f>Settings!$B$3&amp;".mit.ptp."&amp;$C$584&amp;"."&amp;$B586&amp;".e."&amp;$J$584</f>
        <v>egy.mit.ptp.mch.coa.e.2</v>
      </c>
      <c r="K586" s="18">
        <f>INDEX(Data_Prices!K:K,MATCH($G586,Data_Prices!$A:$A,0))</f>
        <v>11.182901589243899</v>
      </c>
      <c r="L586" s="18">
        <f>INDEX(Data_Prices!L:L,MATCH($G586,Data_Prices!$A:$A,0))</f>
        <v>10.5233613454312</v>
      </c>
      <c r="M586" s="18">
        <f>INDEX(Data_Prices!M:M,MATCH($G586,Data_Prices!$A:$A,0))</f>
        <v>10.2995608274442</v>
      </c>
      <c r="N586" s="18">
        <f>INDEX(Data_Prices!N:N,MATCH($G586,Data_Prices!$A:$A,0))</f>
        <v>9.5775283595382597</v>
      </c>
      <c r="O586" s="18">
        <f>INDEX(Data_Prices!O:O,MATCH($G586,Data_Prices!$A:$A,0))</f>
        <v>8.4854782869580507</v>
      </c>
      <c r="P586" s="18">
        <f>INDEX(Data_Prices!P:P,MATCH($G586,Data_Prices!$A:$A,0))</f>
        <v>9.0871922352498604</v>
      </c>
      <c r="Q586" s="18">
        <f>INDEX(Data_Prices!Q:Q,MATCH($G586,Data_Prices!$A:$A,0))</f>
        <v>9.2229237289326793</v>
      </c>
      <c r="R586" s="18">
        <f>INDEX(Data_Prices!R:R,MATCH($G586,Data_Prices!$A:$A,0))</f>
        <v>9.1585649555096893</v>
      </c>
      <c r="S586" s="18">
        <f>INDEX(Data_Prices!S:S,MATCH($G586,Data_Prices!$A:$A,0))</f>
        <v>9.0895478773973792</v>
      </c>
      <c r="T586" s="18">
        <f>INDEX(Data_Prices!T:T,MATCH($G586,Data_Prices!$A:$A,0))</f>
        <v>9.0156816660228305</v>
      </c>
      <c r="U586" s="18">
        <f>INDEX(Data_Prices!U:U,MATCH($G586,Data_Prices!$A:$A,0))</f>
        <v>8.9443977655571096</v>
      </c>
      <c r="V586" s="18">
        <f>INDEX(Data_Prices!V:V,MATCH($G586,Data_Prices!$A:$A,0))</f>
        <v>8.9443977655571096</v>
      </c>
      <c r="W586" s="18">
        <f>INDEX(Data_Prices!W:W,MATCH($G586,Data_Prices!$A:$A,0))</f>
        <v>8.9443977655571096</v>
      </c>
      <c r="X586" s="18">
        <f>INDEX(Data_Prices!X:X,MATCH($G586,Data_Prices!$A:$A,0))</f>
        <v>8.9443977655571096</v>
      </c>
      <c r="Y586" s="18">
        <f>INDEX(Data_Prices!Y:Y,MATCH($G586,Data_Prices!$A:$A,0))</f>
        <v>8.9443977655571096</v>
      </c>
      <c r="Z586" s="18">
        <f>INDEX(Data_Prices!Z:Z,MATCH($G586,Data_Prices!$A:$A,0))</f>
        <v>8.9443977655571096</v>
      </c>
      <c r="AA586" s="18">
        <f>INDEX(Data_Prices!AA:AA,MATCH($G586,Data_Prices!$A:$A,0))</f>
        <v>8.9443977655571096</v>
      </c>
      <c r="AB586" s="18">
        <f>INDEX(Data_Prices!AB:AB,MATCH($G586,Data_Prices!$A:$A,0))</f>
        <v>8.9443977655571096</v>
      </c>
      <c r="AC586" s="18">
        <f>INDEX(Data_Prices!AC:AC,MATCH($G586,Data_Prices!$A:$A,0))</f>
        <v>8.9443977655571096</v>
      </c>
      <c r="AD586" s="18">
        <f>INDEX(Data_Prices!AD:AD,MATCH($G586,Data_Prices!$A:$A,0))</f>
        <v>8.9443977655571096</v>
      </c>
      <c r="AE586" s="18">
        <f>INDEX(Data_Prices!AE:AE,MATCH($G586,Data_Prices!$A:$A,0))</f>
        <v>8.9443977655571096</v>
      </c>
    </row>
    <row r="587" spans="1:35" x14ac:dyDescent="0.45">
      <c r="B587" s="14" t="s">
        <v>53</v>
      </c>
      <c r="C587" s="14" t="str">
        <f t="shared" si="176"/>
        <v>mch</v>
      </c>
      <c r="D587" s="15" t="s">
        <v>54</v>
      </c>
      <c r="E587" s="16" t="s">
        <v>51</v>
      </c>
      <c r="F587" s="14" t="s">
        <v>52</v>
      </c>
      <c r="G587" s="17" t="str">
        <f>Settings!$B$3&amp;".mit.pbc."&amp;Settings!$B$4&amp;"."&amp;$B587&amp;".a."&amp;$J$584</f>
        <v>egy.mit.pbc.ind.nga.a.2</v>
      </c>
      <c r="H587" s="45" t="str">
        <f>Settings!$B$3&amp;".mit.ptp."&amp;$C$584&amp;"."&amp;$B587&amp;".e."&amp;$J$584</f>
        <v>egy.mit.ptp.mch.nga.e.2</v>
      </c>
      <c r="K587" s="18">
        <f>INDEX(Data_Prices!K:K,MATCH($G587,Data_Prices!$A:$A,0))</f>
        <v>6.0634636156729096</v>
      </c>
      <c r="L587" s="18">
        <f>INDEX(Data_Prices!L:L,MATCH($G587,Data_Prices!$A:$A,0))</f>
        <v>5.4510150816191896</v>
      </c>
      <c r="M587" s="18">
        <f>INDEX(Data_Prices!M:M,MATCH($G587,Data_Prices!$A:$A,0))</f>
        <v>5.1193563062624801</v>
      </c>
      <c r="N587" s="18">
        <f>INDEX(Data_Prices!N:N,MATCH($G587,Data_Prices!$A:$A,0))</f>
        <v>5.08218458640407</v>
      </c>
      <c r="O587" s="18">
        <f>INDEX(Data_Prices!O:O,MATCH($G587,Data_Prices!$A:$A,0))</f>
        <v>5.08218458640407</v>
      </c>
      <c r="P587" s="18">
        <f>INDEX(Data_Prices!P:P,MATCH($G587,Data_Prices!$A:$A,0))</f>
        <v>5.08218458640407</v>
      </c>
      <c r="Q587" s="18">
        <f>INDEX(Data_Prices!Q:Q,MATCH($G587,Data_Prices!$A:$A,0))</f>
        <v>5.08218458640407</v>
      </c>
      <c r="R587" s="18">
        <f>INDEX(Data_Prices!R:R,MATCH($G587,Data_Prices!$A:$A,0))</f>
        <v>5.08218458640407</v>
      </c>
      <c r="S587" s="18">
        <f>INDEX(Data_Prices!S:S,MATCH($G587,Data_Prices!$A:$A,0))</f>
        <v>5.08218458640407</v>
      </c>
      <c r="T587" s="18">
        <f>INDEX(Data_Prices!T:T,MATCH($G587,Data_Prices!$A:$A,0))</f>
        <v>5.08218458640407</v>
      </c>
      <c r="U587" s="18">
        <f>INDEX(Data_Prices!U:U,MATCH($G587,Data_Prices!$A:$A,0))</f>
        <v>5.08218458640407</v>
      </c>
      <c r="V587" s="18">
        <f>INDEX(Data_Prices!V:V,MATCH($G587,Data_Prices!$A:$A,0))</f>
        <v>5.08218458640407</v>
      </c>
      <c r="W587" s="18">
        <f>INDEX(Data_Prices!W:W,MATCH($G587,Data_Prices!$A:$A,0))</f>
        <v>5.08218458640407</v>
      </c>
      <c r="X587" s="18">
        <f>INDEX(Data_Prices!X:X,MATCH($G587,Data_Prices!$A:$A,0))</f>
        <v>5.08218458640407</v>
      </c>
      <c r="Y587" s="18">
        <f>INDEX(Data_Prices!Y:Y,MATCH($G587,Data_Prices!$A:$A,0))</f>
        <v>5.08218458640407</v>
      </c>
      <c r="Z587" s="18">
        <f>INDEX(Data_Prices!Z:Z,MATCH($G587,Data_Prices!$A:$A,0))</f>
        <v>5.08218458640407</v>
      </c>
      <c r="AA587" s="18">
        <f>INDEX(Data_Prices!AA:AA,MATCH($G587,Data_Prices!$A:$A,0))</f>
        <v>5.08218458640407</v>
      </c>
      <c r="AB587" s="18">
        <f>INDEX(Data_Prices!AB:AB,MATCH($G587,Data_Prices!$A:$A,0))</f>
        <v>5.08218458640407</v>
      </c>
      <c r="AC587" s="18">
        <f>INDEX(Data_Prices!AC:AC,MATCH($G587,Data_Prices!$A:$A,0))</f>
        <v>5.08218458640407</v>
      </c>
      <c r="AD587" s="18">
        <f>INDEX(Data_Prices!AD:AD,MATCH($G587,Data_Prices!$A:$A,0))</f>
        <v>5.08218458640407</v>
      </c>
      <c r="AE587" s="18">
        <f>INDEX(Data_Prices!AE:AE,MATCH($G587,Data_Prices!$A:$A,0))</f>
        <v>5.08218458640407</v>
      </c>
    </row>
    <row r="588" spans="1:35" x14ac:dyDescent="0.45">
      <c r="B588" s="14" t="s">
        <v>55</v>
      </c>
      <c r="C588" s="14" t="str">
        <f t="shared" si="176"/>
        <v>mch</v>
      </c>
      <c r="D588" s="15" t="s">
        <v>56</v>
      </c>
      <c r="E588" s="16" t="s">
        <v>57</v>
      </c>
      <c r="F588" s="14" t="s">
        <v>52</v>
      </c>
      <c r="G588" s="17" t="str">
        <f>Settings!$B$3&amp;".mit.pbc."&amp;Settings!$B$4&amp;"."&amp;$B588&amp;".a."&amp;$J$584</f>
        <v>egy.mit.pbc.ind.gso.a.2</v>
      </c>
      <c r="H588" s="45" t="str">
        <f>Settings!$B$3&amp;".mit.ptp."&amp;$C$584&amp;"."&amp;$B588&amp;".e."&amp;$J$584</f>
        <v>egy.mit.ptp.mch.gso.e.2</v>
      </c>
      <c r="K588" s="18">
        <f>INDEX(Data_Prices!K:K,MATCH($G588,Data_Prices!$A:$A,0))</f>
        <v>0.67114653332181595</v>
      </c>
      <c r="L588" s="18">
        <f>INDEX(Data_Prices!L:L,MATCH($G588,Data_Prices!$A:$A,0))</f>
        <v>0.61197797679140598</v>
      </c>
      <c r="M588" s="18">
        <f>INDEX(Data_Prices!M:M,MATCH($G588,Data_Prices!$A:$A,0))</f>
        <v>0.61180974964187596</v>
      </c>
      <c r="N588" s="18">
        <f>INDEX(Data_Prices!N:N,MATCH($G588,Data_Prices!$A:$A,0))</f>
        <v>0.60358310017790595</v>
      </c>
      <c r="O588" s="18">
        <f>INDEX(Data_Prices!O:O,MATCH($G588,Data_Prices!$A:$A,0))</f>
        <v>0.60358310017790595</v>
      </c>
      <c r="P588" s="18">
        <f>INDEX(Data_Prices!P:P,MATCH($G588,Data_Prices!$A:$A,0))</f>
        <v>0.60358310017790595</v>
      </c>
      <c r="Q588" s="18">
        <f>INDEX(Data_Prices!Q:Q,MATCH($G588,Data_Prices!$A:$A,0))</f>
        <v>0.60358310017790595</v>
      </c>
      <c r="R588" s="18">
        <f>INDEX(Data_Prices!R:R,MATCH($G588,Data_Prices!$A:$A,0))</f>
        <v>0.60358310017790595</v>
      </c>
      <c r="S588" s="18">
        <f>INDEX(Data_Prices!S:S,MATCH($G588,Data_Prices!$A:$A,0))</f>
        <v>0.60358310017790595</v>
      </c>
      <c r="T588" s="18">
        <f>INDEX(Data_Prices!T:T,MATCH($G588,Data_Prices!$A:$A,0))</f>
        <v>0.60358310017790595</v>
      </c>
      <c r="U588" s="18">
        <f>INDEX(Data_Prices!U:U,MATCH($G588,Data_Prices!$A:$A,0))</f>
        <v>0.60358310017790595</v>
      </c>
      <c r="V588" s="18">
        <f>INDEX(Data_Prices!V:V,MATCH($G588,Data_Prices!$A:$A,0))</f>
        <v>0.60358310017790595</v>
      </c>
      <c r="W588" s="18">
        <f>INDEX(Data_Prices!W:W,MATCH($G588,Data_Prices!$A:$A,0))</f>
        <v>0.60358310017790595</v>
      </c>
      <c r="X588" s="18">
        <f>INDEX(Data_Prices!X:X,MATCH($G588,Data_Prices!$A:$A,0))</f>
        <v>0.60358310017790595</v>
      </c>
      <c r="Y588" s="18">
        <f>INDEX(Data_Prices!Y:Y,MATCH($G588,Data_Prices!$A:$A,0))</f>
        <v>0.60358310017790595</v>
      </c>
      <c r="Z588" s="18">
        <f>INDEX(Data_Prices!Z:Z,MATCH($G588,Data_Prices!$A:$A,0))</f>
        <v>0.60358310017790595</v>
      </c>
      <c r="AA588" s="18">
        <f>INDEX(Data_Prices!AA:AA,MATCH($G588,Data_Prices!$A:$A,0))</f>
        <v>0.60358310017790595</v>
      </c>
      <c r="AB588" s="18">
        <f>INDEX(Data_Prices!AB:AB,MATCH($G588,Data_Prices!$A:$A,0))</f>
        <v>0.60358310017790595</v>
      </c>
      <c r="AC588" s="18">
        <f>INDEX(Data_Prices!AC:AC,MATCH($G588,Data_Prices!$A:$A,0))</f>
        <v>0.60358310017790595</v>
      </c>
      <c r="AD588" s="18">
        <f>INDEX(Data_Prices!AD:AD,MATCH($G588,Data_Prices!$A:$A,0))</f>
        <v>0.60358310017790595</v>
      </c>
      <c r="AE588" s="18">
        <f>INDEX(Data_Prices!AE:AE,MATCH($G588,Data_Prices!$A:$A,0))</f>
        <v>0.60358310017790595</v>
      </c>
    </row>
    <row r="589" spans="1:35" x14ac:dyDescent="0.45">
      <c r="B589" s="14" t="s">
        <v>58</v>
      </c>
      <c r="C589" s="14" t="str">
        <f t="shared" si="176"/>
        <v>mch</v>
      </c>
      <c r="D589" s="15" t="s">
        <v>59</v>
      </c>
      <c r="E589" s="16" t="s">
        <v>57</v>
      </c>
      <c r="F589" s="14" t="s">
        <v>52</v>
      </c>
      <c r="G589" s="17" t="str">
        <f>Settings!$B$3&amp;".mit.pbc."&amp;Settings!$B$4&amp;"."&amp;$B589&amp;".a."&amp;$J$584</f>
        <v>egy.mit.pbc.ind.die.a.2</v>
      </c>
      <c r="H589" s="45" t="str">
        <f>Settings!$B$3&amp;".mit.ptp."&amp;$C$584&amp;"."&amp;$B589&amp;".e."&amp;$J$584</f>
        <v>egy.mit.ptp.mch.die.e.2</v>
      </c>
      <c r="K589" s="18">
        <f>INDEX(Data_Prices!K:K,MATCH($G589,Data_Prices!$A:$A,0))</f>
        <v>0.55971121315568795</v>
      </c>
      <c r="L589" s="18">
        <f>INDEX(Data_Prices!L:L,MATCH($G589,Data_Prices!$A:$A,0))</f>
        <v>0.49458873084106802</v>
      </c>
      <c r="M589" s="18">
        <f>INDEX(Data_Prices!M:M,MATCH($G589,Data_Prices!$A:$A,0))</f>
        <v>0.50778654720250105</v>
      </c>
      <c r="N589" s="18">
        <f>INDEX(Data_Prices!N:N,MATCH($G589,Data_Prices!$A:$A,0))</f>
        <v>0.47043642679561698</v>
      </c>
      <c r="O589" s="18">
        <f>INDEX(Data_Prices!O:O,MATCH($G589,Data_Prices!$A:$A,0))</f>
        <v>0.47043642679561698</v>
      </c>
      <c r="P589" s="18">
        <f>INDEX(Data_Prices!P:P,MATCH($G589,Data_Prices!$A:$A,0))</f>
        <v>0.47043642679561698</v>
      </c>
      <c r="Q589" s="18">
        <f>INDEX(Data_Prices!Q:Q,MATCH($G589,Data_Prices!$A:$A,0))</f>
        <v>0.47043642679561698</v>
      </c>
      <c r="R589" s="18">
        <f>INDEX(Data_Prices!R:R,MATCH($G589,Data_Prices!$A:$A,0))</f>
        <v>0.47043642679561698</v>
      </c>
      <c r="S589" s="18">
        <f>INDEX(Data_Prices!S:S,MATCH($G589,Data_Prices!$A:$A,0))</f>
        <v>0.47043642679561698</v>
      </c>
      <c r="T589" s="18">
        <f>INDEX(Data_Prices!T:T,MATCH($G589,Data_Prices!$A:$A,0))</f>
        <v>0.47043642679561698</v>
      </c>
      <c r="U589" s="18">
        <f>INDEX(Data_Prices!U:U,MATCH($G589,Data_Prices!$A:$A,0))</f>
        <v>0.47043642679561698</v>
      </c>
      <c r="V589" s="18">
        <f>INDEX(Data_Prices!V:V,MATCH($G589,Data_Prices!$A:$A,0))</f>
        <v>0.47043642679561698</v>
      </c>
      <c r="W589" s="18">
        <f>INDEX(Data_Prices!W:W,MATCH($G589,Data_Prices!$A:$A,0))</f>
        <v>0.47043642679561698</v>
      </c>
      <c r="X589" s="18">
        <f>INDEX(Data_Prices!X:X,MATCH($G589,Data_Prices!$A:$A,0))</f>
        <v>0.47043642679561698</v>
      </c>
      <c r="Y589" s="18">
        <f>INDEX(Data_Prices!Y:Y,MATCH($G589,Data_Prices!$A:$A,0))</f>
        <v>0.47043642679561698</v>
      </c>
      <c r="Z589" s="18">
        <f>INDEX(Data_Prices!Z:Z,MATCH($G589,Data_Prices!$A:$A,0))</f>
        <v>0.47043642679561698</v>
      </c>
      <c r="AA589" s="18">
        <f>INDEX(Data_Prices!AA:AA,MATCH($G589,Data_Prices!$A:$A,0))</f>
        <v>0.47043642679561698</v>
      </c>
      <c r="AB589" s="18">
        <f>INDEX(Data_Prices!AB:AB,MATCH($G589,Data_Prices!$A:$A,0))</f>
        <v>0.47043642679561698</v>
      </c>
      <c r="AC589" s="18">
        <f>INDEX(Data_Prices!AC:AC,MATCH($G589,Data_Prices!$A:$A,0))</f>
        <v>0.47043642679561698</v>
      </c>
      <c r="AD589" s="18">
        <f>INDEX(Data_Prices!AD:AD,MATCH($G589,Data_Prices!$A:$A,0))</f>
        <v>0.47043642679561698</v>
      </c>
      <c r="AE589" s="18">
        <f>INDEX(Data_Prices!AE:AE,MATCH($G589,Data_Prices!$A:$A,0))</f>
        <v>0.47043642679561698</v>
      </c>
    </row>
    <row r="590" spans="1:35" x14ac:dyDescent="0.45">
      <c r="B590" s="14" t="s">
        <v>60</v>
      </c>
      <c r="C590" s="14" t="str">
        <f t="shared" si="176"/>
        <v>mch</v>
      </c>
      <c r="D590" s="15" t="s">
        <v>61</v>
      </c>
      <c r="E590" s="16" t="s">
        <v>57</v>
      </c>
      <c r="F590" s="14" t="s">
        <v>52</v>
      </c>
      <c r="G590" s="17" t="str">
        <f>Settings!$B$3&amp;".mit.pbc."&amp;Settings!$B$4&amp;"."&amp;$B590&amp;".a."&amp;$J$584</f>
        <v>egy.mit.pbc.ind.lpg.a.2</v>
      </c>
      <c r="H590" s="45" t="str">
        <f>Settings!$B$3&amp;".mit.ptp."&amp;$C$584&amp;"."&amp;$B590&amp;".e."&amp;$J$584</f>
        <v>egy.mit.ptp.mch.lpg.e.2</v>
      </c>
      <c r="K590" s="18">
        <f>INDEX(Data_Prices!K:K,MATCH($G590,Data_Prices!$A:$A,0))</f>
        <v>0.20036669112673799</v>
      </c>
      <c r="L590" s="18">
        <f>INDEX(Data_Prices!L:L,MATCH($G590,Data_Prices!$A:$A,0))</f>
        <v>0.15734473625227399</v>
      </c>
      <c r="M590" s="18">
        <f>INDEX(Data_Prices!M:M,MATCH($G590,Data_Prices!$A:$A,0))</f>
        <v>0.164484037759277</v>
      </c>
      <c r="N590" s="18">
        <f>INDEX(Data_Prices!N:N,MATCH($G590,Data_Prices!$A:$A,0))</f>
        <v>0.15070907780704901</v>
      </c>
      <c r="O590" s="18">
        <f>INDEX(Data_Prices!O:O,MATCH($G590,Data_Prices!$A:$A,0))</f>
        <v>0.15070907780704901</v>
      </c>
      <c r="P590" s="18">
        <f>INDEX(Data_Prices!P:P,MATCH($G590,Data_Prices!$A:$A,0))</f>
        <v>0.15070907780704901</v>
      </c>
      <c r="Q590" s="18">
        <f>INDEX(Data_Prices!Q:Q,MATCH($G590,Data_Prices!$A:$A,0))</f>
        <v>0.15070907780704901</v>
      </c>
      <c r="R590" s="18">
        <f>INDEX(Data_Prices!R:R,MATCH($G590,Data_Prices!$A:$A,0))</f>
        <v>0.15070907780704901</v>
      </c>
      <c r="S590" s="18">
        <f>INDEX(Data_Prices!S:S,MATCH($G590,Data_Prices!$A:$A,0))</f>
        <v>0.15070907780704901</v>
      </c>
      <c r="T590" s="18">
        <f>INDEX(Data_Prices!T:T,MATCH($G590,Data_Prices!$A:$A,0))</f>
        <v>0.15070907780704901</v>
      </c>
      <c r="U590" s="18">
        <f>INDEX(Data_Prices!U:U,MATCH($G590,Data_Prices!$A:$A,0))</f>
        <v>0.15070907780704901</v>
      </c>
      <c r="V590" s="18">
        <f>INDEX(Data_Prices!V:V,MATCH($G590,Data_Prices!$A:$A,0))</f>
        <v>0.15070907780704901</v>
      </c>
      <c r="W590" s="18">
        <f>INDEX(Data_Prices!W:W,MATCH($G590,Data_Prices!$A:$A,0))</f>
        <v>0.15070907780704901</v>
      </c>
      <c r="X590" s="18">
        <f>INDEX(Data_Prices!X:X,MATCH($G590,Data_Prices!$A:$A,0))</f>
        <v>0.15070907780704901</v>
      </c>
      <c r="Y590" s="18">
        <f>INDEX(Data_Prices!Y:Y,MATCH($G590,Data_Prices!$A:$A,0))</f>
        <v>0.15070907780704901</v>
      </c>
      <c r="Z590" s="18">
        <f>INDEX(Data_Prices!Z:Z,MATCH($G590,Data_Prices!$A:$A,0))</f>
        <v>0.15070907780704901</v>
      </c>
      <c r="AA590" s="18">
        <f>INDEX(Data_Prices!AA:AA,MATCH($G590,Data_Prices!$A:$A,0))</f>
        <v>0.15070907780704901</v>
      </c>
      <c r="AB590" s="18">
        <f>INDEX(Data_Prices!AB:AB,MATCH($G590,Data_Prices!$A:$A,0))</f>
        <v>0.15070907780704901</v>
      </c>
      <c r="AC590" s="18">
        <f>INDEX(Data_Prices!AC:AC,MATCH($G590,Data_Prices!$A:$A,0))</f>
        <v>0.15070907780704901</v>
      </c>
      <c r="AD590" s="18">
        <f>INDEX(Data_Prices!AD:AD,MATCH($G590,Data_Prices!$A:$A,0))</f>
        <v>0.15070907780704901</v>
      </c>
      <c r="AE590" s="18">
        <f>INDEX(Data_Prices!AE:AE,MATCH($G590,Data_Prices!$A:$A,0))</f>
        <v>0.15070907780704901</v>
      </c>
    </row>
    <row r="591" spans="1:35" x14ac:dyDescent="0.45">
      <c r="B591" s="14" t="s">
        <v>62</v>
      </c>
      <c r="C591" s="14" t="str">
        <f t="shared" si="176"/>
        <v>mch</v>
      </c>
      <c r="D591" s="15" t="s">
        <v>63</v>
      </c>
      <c r="E591" s="16" t="s">
        <v>57</v>
      </c>
      <c r="F591" s="14" t="s">
        <v>52</v>
      </c>
      <c r="G591" s="17" t="str">
        <f>Settings!$B$3&amp;".mit.pbc."&amp;Settings!$B$4&amp;"."&amp;$B591&amp;".a."&amp;$J$584</f>
        <v>egy.mit.pbc.ind.ker.a.2</v>
      </c>
      <c r="H591" s="45" t="str">
        <f>Settings!$B$3&amp;".mit.ptp."&amp;$C$584&amp;"."&amp;$B591&amp;".e."&amp;$J$584</f>
        <v>egy.mit.ptp.mch.ker.e.2</v>
      </c>
      <c r="K591" s="18">
        <f>INDEX(Data_Prices!K:K,MATCH($G591,Data_Prices!$A:$A,0))</f>
        <v>0.48429424097343499</v>
      </c>
      <c r="L591" s="18">
        <f>INDEX(Data_Prices!L:L,MATCH($G591,Data_Prices!$A:$A,0))</f>
        <v>0.45642817050012802</v>
      </c>
      <c r="M591" s="18">
        <f>INDEX(Data_Prices!M:M,MATCH($G591,Data_Prices!$A:$A,0))</f>
        <v>0.43168920195599497</v>
      </c>
      <c r="N591" s="18">
        <f>INDEX(Data_Prices!N:N,MATCH($G591,Data_Prices!$A:$A,0))</f>
        <v>0.42507558395597</v>
      </c>
      <c r="O591" s="18">
        <f>INDEX(Data_Prices!O:O,MATCH($G591,Data_Prices!$A:$A,0))</f>
        <v>0.42507558395597</v>
      </c>
      <c r="P591" s="18">
        <f>INDEX(Data_Prices!P:P,MATCH($G591,Data_Prices!$A:$A,0))</f>
        <v>0.42507558395597</v>
      </c>
      <c r="Q591" s="18">
        <f>INDEX(Data_Prices!Q:Q,MATCH($G591,Data_Prices!$A:$A,0))</f>
        <v>0.42507558395597</v>
      </c>
      <c r="R591" s="18">
        <f>INDEX(Data_Prices!R:R,MATCH($G591,Data_Prices!$A:$A,0))</f>
        <v>0.42507558395597</v>
      </c>
      <c r="S591" s="18">
        <f>INDEX(Data_Prices!S:S,MATCH($G591,Data_Prices!$A:$A,0))</f>
        <v>0.42507558395597</v>
      </c>
      <c r="T591" s="18">
        <f>INDEX(Data_Prices!T:T,MATCH($G591,Data_Prices!$A:$A,0))</f>
        <v>0.42507558395597</v>
      </c>
      <c r="U591" s="18">
        <f>INDEX(Data_Prices!U:U,MATCH($G591,Data_Prices!$A:$A,0))</f>
        <v>0.42507558395597</v>
      </c>
      <c r="V591" s="18">
        <f>INDEX(Data_Prices!V:V,MATCH($G591,Data_Prices!$A:$A,0))</f>
        <v>0.42507558395597</v>
      </c>
      <c r="W591" s="18">
        <f>INDEX(Data_Prices!W:W,MATCH($G591,Data_Prices!$A:$A,0))</f>
        <v>0.42507558395597</v>
      </c>
      <c r="X591" s="18">
        <f>INDEX(Data_Prices!X:X,MATCH($G591,Data_Prices!$A:$A,0))</f>
        <v>0.42507558395597</v>
      </c>
      <c r="Y591" s="18">
        <f>INDEX(Data_Prices!Y:Y,MATCH($G591,Data_Prices!$A:$A,0))</f>
        <v>0.42507558395597</v>
      </c>
      <c r="Z591" s="18">
        <f>INDEX(Data_Prices!Z:Z,MATCH($G591,Data_Prices!$A:$A,0))</f>
        <v>0.42507558395597</v>
      </c>
      <c r="AA591" s="18">
        <f>INDEX(Data_Prices!AA:AA,MATCH($G591,Data_Prices!$A:$A,0))</f>
        <v>0.42507558395597</v>
      </c>
      <c r="AB591" s="18">
        <f>INDEX(Data_Prices!AB:AB,MATCH($G591,Data_Prices!$A:$A,0))</f>
        <v>0.42507558395597</v>
      </c>
      <c r="AC591" s="18">
        <f>INDEX(Data_Prices!AC:AC,MATCH($G591,Data_Prices!$A:$A,0))</f>
        <v>0.42507558395597</v>
      </c>
      <c r="AD591" s="18">
        <f>INDEX(Data_Prices!AD:AD,MATCH($G591,Data_Prices!$A:$A,0))</f>
        <v>0.42507558395597</v>
      </c>
      <c r="AE591" s="18">
        <f>INDEX(Data_Prices!AE:AE,MATCH($G591,Data_Prices!$A:$A,0))</f>
        <v>0.42507558395597</v>
      </c>
    </row>
    <row r="592" spans="1:35" x14ac:dyDescent="0.45">
      <c r="B592" s="14" t="s">
        <v>64</v>
      </c>
      <c r="C592" s="14" t="str">
        <f t="shared" si="176"/>
        <v>mch</v>
      </c>
      <c r="D592" s="15" t="s">
        <v>65</v>
      </c>
      <c r="E592" s="16" t="s">
        <v>66</v>
      </c>
      <c r="F592" s="14" t="s">
        <v>52</v>
      </c>
      <c r="G592" s="17" t="str">
        <f>Settings!$B$3&amp;".mit.pbc."&amp;Settings!$B$4&amp;"."&amp;$B592&amp;".a."&amp;$J$584</f>
        <v>egy.mit.pbc.ind.oop.a.2</v>
      </c>
      <c r="H592" s="45" t="str">
        <f>Settings!$B$3&amp;".mit.ptp."&amp;$C$584&amp;"."&amp;$B592&amp;".e."&amp;$J$584</f>
        <v>egy.mit.ptp.mch.oop.e.2</v>
      </c>
      <c r="K592" s="18">
        <f>INDEX(Data_Prices!K:K,MATCH($G592,Data_Prices!$A:$A,0))</f>
        <v>41.500338498868402</v>
      </c>
      <c r="L592" s="18">
        <f>INDEX(Data_Prices!L:L,MATCH($G592,Data_Prices!$A:$A,0))</f>
        <v>34.4153703043132</v>
      </c>
      <c r="M592" s="18">
        <f>INDEX(Data_Prices!M:M,MATCH($G592,Data_Prices!$A:$A,0))</f>
        <v>37.368960690431997</v>
      </c>
      <c r="N592" s="18">
        <f>INDEX(Data_Prices!N:N,MATCH($G592,Data_Prices!$A:$A,0))</f>
        <v>28.982761101477301</v>
      </c>
      <c r="O592" s="18">
        <f>INDEX(Data_Prices!O:O,MATCH($G592,Data_Prices!$A:$A,0))</f>
        <v>15</v>
      </c>
      <c r="P592" s="18">
        <f>INDEX(Data_Prices!P:P,MATCH($G592,Data_Prices!$A:$A,0))</f>
        <v>24.2586300842555</v>
      </c>
      <c r="Q592" s="18">
        <f>INDEX(Data_Prices!Q:Q,MATCH($G592,Data_Prices!$A:$A,0))</f>
        <v>13.096208196132499</v>
      </c>
      <c r="R592" s="18">
        <f>INDEX(Data_Prices!R:R,MATCH($G592,Data_Prices!$A:$A,0))</f>
        <v>10.0252451140106</v>
      </c>
      <c r="S592" s="18">
        <f>INDEX(Data_Prices!S:S,MATCH($G592,Data_Prices!$A:$A,0))</f>
        <v>8.4772306913736202</v>
      </c>
      <c r="T592" s="18">
        <f>INDEX(Data_Prices!T:T,MATCH($G592,Data_Prices!$A:$A,0))</f>
        <v>7.1234824452092198</v>
      </c>
      <c r="U592" s="18">
        <f>INDEX(Data_Prices!U:U,MATCH($G592,Data_Prices!$A:$A,0))</f>
        <v>5.6527597394100599</v>
      </c>
      <c r="V592" s="18">
        <f>INDEX(Data_Prices!V:V,MATCH($G592,Data_Prices!$A:$A,0))</f>
        <v>5.6527597394100599</v>
      </c>
      <c r="W592" s="18">
        <f>INDEX(Data_Prices!W:W,MATCH($G592,Data_Prices!$A:$A,0))</f>
        <v>5.6527597394100599</v>
      </c>
      <c r="X592" s="18">
        <f>INDEX(Data_Prices!X:X,MATCH($G592,Data_Prices!$A:$A,0))</f>
        <v>5.6527597394100599</v>
      </c>
      <c r="Y592" s="18">
        <f>INDEX(Data_Prices!Y:Y,MATCH($G592,Data_Prices!$A:$A,0))</f>
        <v>5.6527597394100599</v>
      </c>
      <c r="Z592" s="18">
        <f>INDEX(Data_Prices!Z:Z,MATCH($G592,Data_Prices!$A:$A,0))</f>
        <v>5.6527597394100697</v>
      </c>
      <c r="AA592" s="18">
        <f>INDEX(Data_Prices!AA:AA,MATCH($G592,Data_Prices!$A:$A,0))</f>
        <v>5.6527597394100599</v>
      </c>
      <c r="AB592" s="18">
        <f>INDEX(Data_Prices!AB:AB,MATCH($G592,Data_Prices!$A:$A,0))</f>
        <v>5.6527597394100599</v>
      </c>
      <c r="AC592" s="18">
        <f>INDEX(Data_Prices!AC:AC,MATCH($G592,Data_Prices!$A:$A,0))</f>
        <v>5.6527597394100404</v>
      </c>
      <c r="AD592" s="18">
        <f>INDEX(Data_Prices!AD:AD,MATCH($G592,Data_Prices!$A:$A,0))</f>
        <v>5.6527597394100599</v>
      </c>
      <c r="AE592" s="18">
        <f>INDEX(Data_Prices!AE:AE,MATCH($G592,Data_Prices!$A:$A,0))</f>
        <v>5.6527597394100404</v>
      </c>
    </row>
    <row r="593" spans="2:31" x14ac:dyDescent="0.45">
      <c r="B593" s="14" t="s">
        <v>67</v>
      </c>
      <c r="C593" s="14" t="str">
        <f t="shared" si="176"/>
        <v>mch</v>
      </c>
      <c r="D593" s="15" t="s">
        <v>68</v>
      </c>
      <c r="E593" s="16" t="s">
        <v>51</v>
      </c>
      <c r="F593" s="14" t="s">
        <v>52</v>
      </c>
      <c r="G593" s="17" t="str">
        <f>Settings!$B$3&amp;".mit.pbc."&amp;Settings!$B$4&amp;"."&amp;$B593&amp;".a."&amp;$J$584</f>
        <v>egy.mit.pbc.ind.bio.a.2</v>
      </c>
      <c r="H593" s="45" t="str">
        <f>Settings!$B$3&amp;".mit.ptp."&amp;$C$584&amp;"."&amp;$B593&amp;".e."&amp;$J$584</f>
        <v>egy.mit.ptp.mch.bio.e.2</v>
      </c>
      <c r="K593" s="18">
        <f>INDEX(Data_Prices!K:K,MATCH($G593,Data_Prices!$A:$A,0))</f>
        <v>15.3345505293169</v>
      </c>
      <c r="L593" s="18">
        <f>INDEX(Data_Prices!L:L,MATCH($G593,Data_Prices!$A:$A,0))</f>
        <v>14.199528390634899</v>
      </c>
      <c r="M593" s="18">
        <f>INDEX(Data_Prices!M:M,MATCH($G593,Data_Prices!$A:$A,0))</f>
        <v>13.8404416133152</v>
      </c>
      <c r="N593" s="18">
        <f>INDEX(Data_Prices!N:N,MATCH($G593,Data_Prices!$A:$A,0))</f>
        <v>13.5677269404465</v>
      </c>
      <c r="O593" s="18">
        <f>INDEX(Data_Prices!O:O,MATCH($G593,Data_Prices!$A:$A,0))</f>
        <v>13.5677269404465</v>
      </c>
      <c r="P593" s="18">
        <f>INDEX(Data_Prices!P:P,MATCH($G593,Data_Prices!$A:$A,0))</f>
        <v>13.5677269404465</v>
      </c>
      <c r="Q593" s="18">
        <f>INDEX(Data_Prices!Q:Q,MATCH($G593,Data_Prices!$A:$A,0))</f>
        <v>13.5677269404465</v>
      </c>
      <c r="R593" s="18">
        <f>INDEX(Data_Prices!R:R,MATCH($G593,Data_Prices!$A:$A,0))</f>
        <v>13.5677269404465</v>
      </c>
      <c r="S593" s="18">
        <f>INDEX(Data_Prices!S:S,MATCH($G593,Data_Prices!$A:$A,0))</f>
        <v>13.5677269404465</v>
      </c>
      <c r="T593" s="18">
        <f>INDEX(Data_Prices!T:T,MATCH($G593,Data_Prices!$A:$A,0))</f>
        <v>13.5677269404465</v>
      </c>
      <c r="U593" s="18">
        <f>INDEX(Data_Prices!U:U,MATCH($G593,Data_Prices!$A:$A,0))</f>
        <v>13.5677269404465</v>
      </c>
      <c r="V593" s="18">
        <f>INDEX(Data_Prices!V:V,MATCH($G593,Data_Prices!$A:$A,0))</f>
        <v>13.5677269404465</v>
      </c>
      <c r="W593" s="18">
        <f>INDEX(Data_Prices!W:W,MATCH($G593,Data_Prices!$A:$A,0))</f>
        <v>13.5677269404465</v>
      </c>
      <c r="X593" s="18">
        <f>INDEX(Data_Prices!X:X,MATCH($G593,Data_Prices!$A:$A,0))</f>
        <v>13.5677269404465</v>
      </c>
      <c r="Y593" s="18">
        <f>INDEX(Data_Prices!Y:Y,MATCH($G593,Data_Prices!$A:$A,0))</f>
        <v>13.5677269404465</v>
      </c>
      <c r="Z593" s="18">
        <f>INDEX(Data_Prices!Z:Z,MATCH($G593,Data_Prices!$A:$A,0))</f>
        <v>13.5677269404465</v>
      </c>
      <c r="AA593" s="18">
        <f>INDEX(Data_Prices!AA:AA,MATCH($G593,Data_Prices!$A:$A,0))</f>
        <v>13.5677269404465</v>
      </c>
      <c r="AB593" s="18">
        <f>INDEX(Data_Prices!AB:AB,MATCH($G593,Data_Prices!$A:$A,0))</f>
        <v>13.5677269404465</v>
      </c>
      <c r="AC593" s="18">
        <f>INDEX(Data_Prices!AC:AC,MATCH($G593,Data_Prices!$A:$A,0))</f>
        <v>13.5677269404465</v>
      </c>
      <c r="AD593" s="18">
        <f>INDEX(Data_Prices!AD:AD,MATCH($G593,Data_Prices!$A:$A,0))</f>
        <v>13.5677269404465</v>
      </c>
      <c r="AE593" s="18">
        <f>INDEX(Data_Prices!AE:AE,MATCH($G593,Data_Prices!$A:$A,0))</f>
        <v>13.5677269404465</v>
      </c>
    </row>
    <row r="594" spans="2:31" x14ac:dyDescent="0.45">
      <c r="B594" s="14" t="s">
        <v>69</v>
      </c>
      <c r="C594" s="14" t="str">
        <f t="shared" si="176"/>
        <v>mch</v>
      </c>
      <c r="D594" s="15" t="s">
        <v>70</v>
      </c>
      <c r="E594" s="16" t="s">
        <v>71</v>
      </c>
      <c r="F594" s="14" t="s">
        <v>52</v>
      </c>
      <c r="G594" s="17" t="str">
        <f>Settings!$B$3&amp;".mit.pbc."&amp;Settings!$B$4&amp;"."&amp;$B594&amp;".a."&amp;$J$584</f>
        <v>egy.mit.pbc.ind.ren.a.2</v>
      </c>
      <c r="H594" s="45" t="str">
        <f>Settings!$B$3&amp;".mit.ptp."&amp;$C$584&amp;"."&amp;$B594&amp;".e."&amp;$J$584</f>
        <v>egy.mit.ptp.mch.ren.e.2</v>
      </c>
      <c r="K594" s="18">
        <f>INDEX(Data_Prices!K:K,MATCH($G594,Data_Prices!$A:$A,0))</f>
        <v>0</v>
      </c>
      <c r="L594" s="18">
        <f>INDEX(Data_Prices!L:L,MATCH($G594,Data_Prices!$A:$A,0))</f>
        <v>0.14404498679319799</v>
      </c>
      <c r="M594" s="18">
        <f>INDEX(Data_Prices!M:M,MATCH($G594,Data_Prices!$A:$A,0))</f>
        <v>0.141386241751359</v>
      </c>
      <c r="N594" s="18">
        <f>INDEX(Data_Prices!N:N,MATCH($G594,Data_Prices!$A:$A,0))</f>
        <v>0.13539756544373099</v>
      </c>
      <c r="O594" s="18">
        <f>INDEX(Data_Prices!O:O,MATCH($G594,Data_Prices!$A:$A,0))</f>
        <v>0.13152288542065099</v>
      </c>
      <c r="P594" s="18">
        <f>INDEX(Data_Prices!P:P,MATCH($G594,Data_Prices!$A:$A,0))</f>
        <v>0.12882610848523099</v>
      </c>
      <c r="Q594" s="18">
        <f>INDEX(Data_Prices!Q:Q,MATCH($G594,Data_Prices!$A:$A,0))</f>
        <v>0.12594200976473999</v>
      </c>
      <c r="R594" s="18">
        <f>INDEX(Data_Prices!R:R,MATCH($G594,Data_Prices!$A:$A,0))</f>
        <v>0.123113265701861</v>
      </c>
      <c r="S594" s="18">
        <f>INDEX(Data_Prices!S:S,MATCH($G594,Data_Prices!$A:$A,0))</f>
        <v>0.119391738089068</v>
      </c>
      <c r="T594" s="18">
        <f>INDEX(Data_Prices!T:T,MATCH($G594,Data_Prices!$A:$A,0))</f>
        <v>0.11554419046792</v>
      </c>
      <c r="U594" s="18">
        <f>INDEX(Data_Prices!U:U,MATCH($G594,Data_Prices!$A:$A,0))</f>
        <v>0.11492423065415899</v>
      </c>
      <c r="V594" s="18">
        <f>INDEX(Data_Prices!V:V,MATCH($G594,Data_Prices!$A:$A,0))</f>
        <v>0.114346912116736</v>
      </c>
      <c r="W594" s="18">
        <f>INDEX(Data_Prices!W:W,MATCH($G594,Data_Prices!$A:$A,0))</f>
        <v>0.113738711172664</v>
      </c>
      <c r="X594" s="18">
        <f>INDEX(Data_Prices!X:X,MATCH($G594,Data_Prices!$A:$A,0))</f>
        <v>0.112999900487521</v>
      </c>
      <c r="Y594" s="18">
        <f>INDEX(Data_Prices!Y:Y,MATCH($G594,Data_Prices!$A:$A,0))</f>
        <v>0.112177685835534</v>
      </c>
      <c r="Z594" s="18">
        <f>INDEX(Data_Prices!Z:Z,MATCH($G594,Data_Prices!$A:$A,0))</f>
        <v>0.111417903250404</v>
      </c>
      <c r="AA594" s="18">
        <f>INDEX(Data_Prices!AA:AA,MATCH($G594,Data_Prices!$A:$A,0))</f>
        <v>0.11052581998545399</v>
      </c>
      <c r="AB594" s="18">
        <f>INDEX(Data_Prices!AB:AB,MATCH($G594,Data_Prices!$A:$A,0))</f>
        <v>0.109699565234896</v>
      </c>
      <c r="AC594" s="18">
        <f>INDEX(Data_Prices!AC:AC,MATCH($G594,Data_Prices!$A:$A,0))</f>
        <v>0.10772678896394899</v>
      </c>
      <c r="AD594" s="18">
        <f>INDEX(Data_Prices!AD:AD,MATCH($G594,Data_Prices!$A:$A,0))</f>
        <v>0.10582092445093499</v>
      </c>
      <c r="AE594" s="18">
        <f>INDEX(Data_Prices!AE:AE,MATCH($G594,Data_Prices!$A:$A,0))</f>
        <v>0.103855595705721</v>
      </c>
    </row>
    <row r="595" spans="2:31" x14ac:dyDescent="0.45">
      <c r="B595" s="13" t="s">
        <v>72</v>
      </c>
    </row>
    <row r="596" spans="2:31" x14ac:dyDescent="0.45">
      <c r="B596" s="14" t="s">
        <v>49</v>
      </c>
      <c r="C596" s="14" t="str">
        <f t="shared" ref="C596:C604" si="177">$C$584</f>
        <v>mch</v>
      </c>
      <c r="D596" s="15" t="s">
        <v>50</v>
      </c>
      <c r="E596" s="16" t="s">
        <v>51</v>
      </c>
      <c r="F596" s="14" t="s">
        <v>73</v>
      </c>
      <c r="G596" s="17" t="str">
        <f>Settings!$B$3&amp;".mit.nce."&amp;Settings!$B$4&amp;"."&amp;$B596&amp;".a."&amp;$J$584</f>
        <v>egy.mit.nce.ind.coa.a.2</v>
      </c>
      <c r="H596" s="45" t="str">
        <f>Settings!$B$3&amp;".mit.atp."&amp;$C$584&amp;"."&amp;$B596&amp;".e."&amp;$J$584</f>
        <v>egy.mit.atp.mch.coa.e.2</v>
      </c>
      <c r="K596" s="18">
        <f>K586+INDEX(Data_Prices!K:K,MATCH($G596,Data_Prices!$A:$A,0))*K$616</f>
        <v>11.182901589243899</v>
      </c>
      <c r="L596" s="18">
        <f>L586+INDEX(Data_Prices!L:L,MATCH($G596,Data_Prices!$A:$A,0))*L$616</f>
        <v>10.5233613454312</v>
      </c>
      <c r="M596" s="18">
        <f>M586+INDEX(Data_Prices!M:M,MATCH($G596,Data_Prices!$A:$A,0))*M$616</f>
        <v>10.2995608274442</v>
      </c>
      <c r="N596" s="18">
        <f>N586+INDEX(Data_Prices!N:N,MATCH($G596,Data_Prices!$A:$A,0))*N$616</f>
        <v>9.5775283595382597</v>
      </c>
      <c r="O596" s="18">
        <f>O586+INDEX(Data_Prices!O:O,MATCH($G596,Data_Prices!$A:$A,0))*O$616</f>
        <v>8.4854782869580507</v>
      </c>
      <c r="P596" s="18">
        <f>P586+INDEX(Data_Prices!P:P,MATCH($G596,Data_Prices!$A:$A,0))*P$616</f>
        <v>9.0871922352498604</v>
      </c>
      <c r="Q596" s="18">
        <f>Q586+INDEX(Data_Prices!Q:Q,MATCH($G596,Data_Prices!$A:$A,0))*Q$616</f>
        <v>10.472923728932679</v>
      </c>
      <c r="R596" s="18">
        <f>R586+INDEX(Data_Prices!R:R,MATCH($G596,Data_Prices!$A:$A,0))*R$616</f>
        <v>11.658564955509689</v>
      </c>
      <c r="S596" s="18">
        <f>S586+INDEX(Data_Prices!S:S,MATCH($G596,Data_Prices!$A:$A,0))*S$616</f>
        <v>12.839547877397379</v>
      </c>
      <c r="T596" s="18">
        <f>T586+INDEX(Data_Prices!T:T,MATCH($G596,Data_Prices!$A:$A,0))*T$616</f>
        <v>14.01568166602283</v>
      </c>
      <c r="U596" s="18">
        <f>U586+INDEX(Data_Prices!U:U,MATCH($G596,Data_Prices!$A:$A,0))*U$616</f>
        <v>15.19439776555711</v>
      </c>
      <c r="V596" s="18">
        <f>V586+INDEX(Data_Prices!V:V,MATCH($G596,Data_Prices!$A:$A,0))*V$616</f>
        <v>16.44439776555711</v>
      </c>
      <c r="W596" s="18">
        <f>W586+INDEX(Data_Prices!W:W,MATCH($G596,Data_Prices!$A:$A,0))*W$616</f>
        <v>17.69439776555711</v>
      </c>
      <c r="X596" s="18">
        <f>X586+INDEX(Data_Prices!X:X,MATCH($G596,Data_Prices!$A:$A,0))*X$616</f>
        <v>18.94439776555711</v>
      </c>
      <c r="Y596" s="18">
        <f>Y586+INDEX(Data_Prices!Y:Y,MATCH($G596,Data_Prices!$A:$A,0))*Y$616</f>
        <v>20.19439776555711</v>
      </c>
      <c r="Z596" s="18">
        <f>Z586+INDEX(Data_Prices!Z:Z,MATCH($G596,Data_Prices!$A:$A,0))*Z$616</f>
        <v>21.44439776555711</v>
      </c>
      <c r="AA596" s="18">
        <f>AA586+INDEX(Data_Prices!AA:AA,MATCH($G596,Data_Prices!$A:$A,0))*AA$616</f>
        <v>22.69439776555711</v>
      </c>
      <c r="AB596" s="18">
        <f>AB586+INDEX(Data_Prices!AB:AB,MATCH($G596,Data_Prices!$A:$A,0))*AB$616</f>
        <v>23.94439776555711</v>
      </c>
      <c r="AC596" s="18">
        <f>AC586+INDEX(Data_Prices!AC:AC,MATCH($G596,Data_Prices!$A:$A,0))*AC$616</f>
        <v>25.19439776555711</v>
      </c>
      <c r="AD596" s="18">
        <f>AD586+INDEX(Data_Prices!AD:AD,MATCH($G596,Data_Prices!$A:$A,0))*AD$616</f>
        <v>26.44439776555711</v>
      </c>
      <c r="AE596" s="18">
        <f>AE586+INDEX(Data_Prices!AE:AE,MATCH($G596,Data_Prices!$A:$A,0))*AE$616</f>
        <v>27.69439776555711</v>
      </c>
    </row>
    <row r="597" spans="2:31" x14ac:dyDescent="0.45">
      <c r="B597" s="14" t="s">
        <v>53</v>
      </c>
      <c r="C597" s="14" t="str">
        <f t="shared" si="177"/>
        <v>mch</v>
      </c>
      <c r="D597" s="15" t="s">
        <v>54</v>
      </c>
      <c r="E597" s="16" t="s">
        <v>51</v>
      </c>
      <c r="F597" s="14" t="s">
        <v>73</v>
      </c>
      <c r="G597" s="17" t="str">
        <f>Settings!$B$3&amp;".mit.nce."&amp;Settings!$B$4&amp;"."&amp;$B597&amp;".a."&amp;$J$584</f>
        <v>egy.mit.nce.ind.nga.a.2</v>
      </c>
      <c r="H597" s="45" t="str">
        <f>Settings!$B$3&amp;".mit.atp."&amp;$C$584&amp;"."&amp;$B597&amp;".e."&amp;$J$584</f>
        <v>egy.mit.atp.mch.nga.e.2</v>
      </c>
      <c r="K597" s="18">
        <f>K587+INDEX(Data_Prices!K:K,MATCH($G597,Data_Prices!$A:$A,0))*K$616</f>
        <v>6.0634636156729096</v>
      </c>
      <c r="L597" s="18">
        <f>L587+INDEX(Data_Prices!L:L,MATCH($G597,Data_Prices!$A:$A,0))*L$616</f>
        <v>5.4510150816191896</v>
      </c>
      <c r="M597" s="18">
        <f>M587+INDEX(Data_Prices!M:M,MATCH($G597,Data_Prices!$A:$A,0))*M$616</f>
        <v>5.1193563062624801</v>
      </c>
      <c r="N597" s="18">
        <f>N587+INDEX(Data_Prices!N:N,MATCH($G597,Data_Prices!$A:$A,0))*N$616</f>
        <v>5.08218458640407</v>
      </c>
      <c r="O597" s="18">
        <f>O587+INDEX(Data_Prices!O:O,MATCH($G597,Data_Prices!$A:$A,0))*O$616</f>
        <v>5.08218458640407</v>
      </c>
      <c r="P597" s="18">
        <f>P587+INDEX(Data_Prices!P:P,MATCH($G597,Data_Prices!$A:$A,0))*P$616</f>
        <v>5.08218458640407</v>
      </c>
      <c r="Q597" s="18">
        <f>Q587+INDEX(Data_Prices!Q:Q,MATCH($G597,Data_Prices!$A:$A,0))*Q$616</f>
        <v>5.7796845864040698</v>
      </c>
      <c r="R597" s="18">
        <f>R587+INDEX(Data_Prices!R:R,MATCH($G597,Data_Prices!$A:$A,0))*R$616</f>
        <v>6.4771845864040696</v>
      </c>
      <c r="S597" s="18">
        <f>S587+INDEX(Data_Prices!S:S,MATCH($G597,Data_Prices!$A:$A,0))*S$616</f>
        <v>7.1746845864040703</v>
      </c>
      <c r="T597" s="18">
        <f>T587+INDEX(Data_Prices!T:T,MATCH($G597,Data_Prices!$A:$A,0))*T$616</f>
        <v>7.87218458640407</v>
      </c>
      <c r="U597" s="18">
        <f>U587+INDEX(Data_Prices!U:U,MATCH($G597,Data_Prices!$A:$A,0))*U$616</f>
        <v>8.5696845864040707</v>
      </c>
      <c r="V597" s="18">
        <f>V587+INDEX(Data_Prices!V:V,MATCH($G597,Data_Prices!$A:$A,0))*V$616</f>
        <v>9.2671845864040705</v>
      </c>
      <c r="W597" s="18">
        <f>W587+INDEX(Data_Prices!W:W,MATCH($G597,Data_Prices!$A:$A,0))*W$616</f>
        <v>9.9646845864040703</v>
      </c>
      <c r="X597" s="18">
        <f>X587+INDEX(Data_Prices!X:X,MATCH($G597,Data_Prices!$A:$A,0))*X$616</f>
        <v>10.66218458640407</v>
      </c>
      <c r="Y597" s="18">
        <f>Y587+INDEX(Data_Prices!Y:Y,MATCH($G597,Data_Prices!$A:$A,0))*Y$616</f>
        <v>11.35968458640407</v>
      </c>
      <c r="Z597" s="18">
        <f>Z587+INDEX(Data_Prices!Z:Z,MATCH($G597,Data_Prices!$A:$A,0))*Z$616</f>
        <v>12.05718458640407</v>
      </c>
      <c r="AA597" s="18">
        <f>AA587+INDEX(Data_Prices!AA:AA,MATCH($G597,Data_Prices!$A:$A,0))*AA$616</f>
        <v>12.754684586404071</v>
      </c>
      <c r="AB597" s="18">
        <f>AB587+INDEX(Data_Prices!AB:AB,MATCH($G597,Data_Prices!$A:$A,0))*AB$616</f>
        <v>13.452184586404071</v>
      </c>
      <c r="AC597" s="18">
        <f>AC587+INDEX(Data_Prices!AC:AC,MATCH($G597,Data_Prices!$A:$A,0))*AC$616</f>
        <v>14.149684586404071</v>
      </c>
      <c r="AD597" s="18">
        <f>AD587+INDEX(Data_Prices!AD:AD,MATCH($G597,Data_Prices!$A:$A,0))*AD$616</f>
        <v>14.847184586404071</v>
      </c>
      <c r="AE597" s="18">
        <f>AE587+INDEX(Data_Prices!AE:AE,MATCH($G597,Data_Prices!$A:$A,0))*AE$616</f>
        <v>15.54468458640407</v>
      </c>
    </row>
    <row r="598" spans="2:31" x14ac:dyDescent="0.45">
      <c r="B598" s="14" t="s">
        <v>55</v>
      </c>
      <c r="C598" s="14" t="str">
        <f t="shared" si="177"/>
        <v>mch</v>
      </c>
      <c r="D598" s="15" t="s">
        <v>56</v>
      </c>
      <c r="E598" s="16" t="s">
        <v>57</v>
      </c>
      <c r="F598" s="14" t="s">
        <v>73</v>
      </c>
      <c r="G598" s="17" t="str">
        <f>Settings!$B$3&amp;".mit.nce."&amp;Settings!$B$4&amp;"."&amp;$B598&amp;".a."&amp;$J$584</f>
        <v>egy.mit.nce.ind.gso.a.2</v>
      </c>
      <c r="H598" s="45" t="str">
        <f>Settings!$B$3&amp;".mit.atp."&amp;$C$584&amp;"."&amp;$B598&amp;".e."&amp;$J$584</f>
        <v>egy.mit.atp.mch.gso.e.2</v>
      </c>
      <c r="K598" s="18">
        <f>K588+INDEX(Data_Prices!K:K,MATCH($G598,Data_Prices!$A:$A,0))*K$616</f>
        <v>0.67114653332181595</v>
      </c>
      <c r="L598" s="18">
        <f>L588+INDEX(Data_Prices!L:L,MATCH($G598,Data_Prices!$A:$A,0))*L$616</f>
        <v>0.61197797679140598</v>
      </c>
      <c r="M598" s="18">
        <f>M588+INDEX(Data_Prices!M:M,MATCH($G598,Data_Prices!$A:$A,0))*M$616</f>
        <v>0.61180974964187596</v>
      </c>
      <c r="N598" s="18">
        <f>N588+INDEX(Data_Prices!N:N,MATCH($G598,Data_Prices!$A:$A,0))*N$616</f>
        <v>0.60358310017790595</v>
      </c>
      <c r="O598" s="18">
        <f>O588+INDEX(Data_Prices!O:O,MATCH($G598,Data_Prices!$A:$A,0))*O$616</f>
        <v>0.60358310017790595</v>
      </c>
      <c r="P598" s="18">
        <f>P588+INDEX(Data_Prices!P:P,MATCH($G598,Data_Prices!$A:$A,0))*P$616</f>
        <v>0.60358310017790595</v>
      </c>
      <c r="Q598" s="18">
        <f>Q588+INDEX(Data_Prices!Q:Q,MATCH($G598,Data_Prices!$A:$A,0))*Q$616</f>
        <v>0.63251094334940594</v>
      </c>
      <c r="R598" s="18">
        <f>R588+INDEX(Data_Prices!R:R,MATCH($G598,Data_Prices!$A:$A,0))*R$616</f>
        <v>0.66143878652090593</v>
      </c>
      <c r="S598" s="18">
        <f>S588+INDEX(Data_Prices!S:S,MATCH($G598,Data_Prices!$A:$A,0))*S$616</f>
        <v>0.69036662969240592</v>
      </c>
      <c r="T598" s="18">
        <f>T588+INDEX(Data_Prices!T:T,MATCH($G598,Data_Prices!$A:$A,0))*T$616</f>
        <v>0.71929447286390591</v>
      </c>
      <c r="U598" s="18">
        <f>U588+INDEX(Data_Prices!U:U,MATCH($G598,Data_Prices!$A:$A,0))*U$616</f>
        <v>0.74822231603540601</v>
      </c>
      <c r="V598" s="18">
        <f>V588+INDEX(Data_Prices!V:V,MATCH($G598,Data_Prices!$A:$A,0))*V$616</f>
        <v>0.777150159206906</v>
      </c>
      <c r="W598" s="18">
        <f>W588+INDEX(Data_Prices!W:W,MATCH($G598,Data_Prices!$A:$A,0))*W$616</f>
        <v>0.80607800237840599</v>
      </c>
      <c r="X598" s="18">
        <f>X588+INDEX(Data_Prices!X:X,MATCH($G598,Data_Prices!$A:$A,0))*X$616</f>
        <v>0.83500584554990598</v>
      </c>
      <c r="Y598" s="18">
        <f>Y588+INDEX(Data_Prices!Y:Y,MATCH($G598,Data_Prices!$A:$A,0))*Y$616</f>
        <v>0.86393368872140597</v>
      </c>
      <c r="Z598" s="18">
        <f>Z588+INDEX(Data_Prices!Z:Z,MATCH($G598,Data_Prices!$A:$A,0))*Z$616</f>
        <v>0.89286153189290596</v>
      </c>
      <c r="AA598" s="18">
        <f>AA588+INDEX(Data_Prices!AA:AA,MATCH($G598,Data_Prices!$A:$A,0))*AA$616</f>
        <v>0.92178937506440595</v>
      </c>
      <c r="AB598" s="18">
        <f>AB588+INDEX(Data_Prices!AB:AB,MATCH($G598,Data_Prices!$A:$A,0))*AB$616</f>
        <v>0.95071721823590605</v>
      </c>
      <c r="AC598" s="18">
        <f>AC588+INDEX(Data_Prices!AC:AC,MATCH($G598,Data_Prices!$A:$A,0))*AC$616</f>
        <v>0.97964506140740593</v>
      </c>
      <c r="AD598" s="18">
        <f>AD588+INDEX(Data_Prices!AD:AD,MATCH($G598,Data_Prices!$A:$A,0))*AD$616</f>
        <v>1.008572904578906</v>
      </c>
      <c r="AE598" s="18">
        <f>AE588+INDEX(Data_Prices!AE:AE,MATCH($G598,Data_Prices!$A:$A,0))*AE$616</f>
        <v>1.0375007477504061</v>
      </c>
    </row>
    <row r="599" spans="2:31" x14ac:dyDescent="0.45">
      <c r="B599" s="14" t="s">
        <v>58</v>
      </c>
      <c r="C599" s="14" t="str">
        <f t="shared" si="177"/>
        <v>mch</v>
      </c>
      <c r="D599" s="15" t="s">
        <v>59</v>
      </c>
      <c r="E599" s="16" t="s">
        <v>57</v>
      </c>
      <c r="F599" s="14" t="s">
        <v>73</v>
      </c>
      <c r="G599" s="17" t="str">
        <f>Settings!$B$3&amp;".mit.nce."&amp;Settings!$B$4&amp;"."&amp;$B599&amp;".a."&amp;$J$584</f>
        <v>egy.mit.nce.ind.die.a.2</v>
      </c>
      <c r="H599" s="45" t="str">
        <f>Settings!$B$3&amp;".mit.atp."&amp;$C$584&amp;"."&amp;$B599&amp;".e."&amp;$J$584</f>
        <v>egy.mit.atp.mch.die.e.2</v>
      </c>
      <c r="K599" s="18">
        <f>K589+INDEX(Data_Prices!K:K,MATCH($G599,Data_Prices!$A:$A,0))*K$616</f>
        <v>0.55971121315568795</v>
      </c>
      <c r="L599" s="18">
        <f>L589+INDEX(Data_Prices!L:L,MATCH($G599,Data_Prices!$A:$A,0))*L$616</f>
        <v>0.49458873084106802</v>
      </c>
      <c r="M599" s="18">
        <f>M589+INDEX(Data_Prices!M:M,MATCH($G599,Data_Prices!$A:$A,0))*M$616</f>
        <v>0.50778654720250105</v>
      </c>
      <c r="N599" s="18">
        <f>N589+INDEX(Data_Prices!N:N,MATCH($G599,Data_Prices!$A:$A,0))*N$616</f>
        <v>0.47043642679561698</v>
      </c>
      <c r="O599" s="18">
        <f>O589+INDEX(Data_Prices!O:O,MATCH($G599,Data_Prices!$A:$A,0))*O$616</f>
        <v>0.47043642679561698</v>
      </c>
      <c r="P599" s="18">
        <f>P589+INDEX(Data_Prices!P:P,MATCH($G599,Data_Prices!$A:$A,0))*P$616</f>
        <v>0.47043642679561698</v>
      </c>
      <c r="Q599" s="18">
        <f>Q589+INDEX(Data_Prices!Q:Q,MATCH($G599,Data_Prices!$A:$A,0))*Q$616</f>
        <v>0.50344686565449193</v>
      </c>
      <c r="R599" s="18">
        <f>R589+INDEX(Data_Prices!R:R,MATCH($G599,Data_Prices!$A:$A,0))*R$616</f>
        <v>0.53645730451336693</v>
      </c>
      <c r="S599" s="18">
        <f>S589+INDEX(Data_Prices!S:S,MATCH($G599,Data_Prices!$A:$A,0))*S$616</f>
        <v>0.56946774337224193</v>
      </c>
      <c r="T599" s="18">
        <f>T589+INDEX(Data_Prices!T:T,MATCH($G599,Data_Prices!$A:$A,0))*T$616</f>
        <v>0.60247818223111693</v>
      </c>
      <c r="U599" s="18">
        <f>U589+INDEX(Data_Prices!U:U,MATCH($G599,Data_Prices!$A:$A,0))*U$616</f>
        <v>0.63548862108999193</v>
      </c>
      <c r="V599" s="18">
        <f>V589+INDEX(Data_Prices!V:V,MATCH($G599,Data_Prices!$A:$A,0))*V$616</f>
        <v>0.66849905994886694</v>
      </c>
      <c r="W599" s="18">
        <f>W589+INDEX(Data_Prices!W:W,MATCH($G599,Data_Prices!$A:$A,0))*W$616</f>
        <v>0.70150949880774194</v>
      </c>
      <c r="X599" s="18">
        <f>X589+INDEX(Data_Prices!X:X,MATCH($G599,Data_Prices!$A:$A,0))*X$616</f>
        <v>0.73451993766661694</v>
      </c>
      <c r="Y599" s="18">
        <f>Y589+INDEX(Data_Prices!Y:Y,MATCH($G599,Data_Prices!$A:$A,0))*Y$616</f>
        <v>0.76753037652549194</v>
      </c>
      <c r="Z599" s="18">
        <f>Z589+INDEX(Data_Prices!Z:Z,MATCH($G599,Data_Prices!$A:$A,0))*Z$616</f>
        <v>0.80054081538436694</v>
      </c>
      <c r="AA599" s="18">
        <f>AA589+INDEX(Data_Prices!AA:AA,MATCH($G599,Data_Prices!$A:$A,0))*AA$616</f>
        <v>0.83355125424324195</v>
      </c>
      <c r="AB599" s="18">
        <f>AB589+INDEX(Data_Prices!AB:AB,MATCH($G599,Data_Prices!$A:$A,0))*AB$616</f>
        <v>0.86656169310211695</v>
      </c>
      <c r="AC599" s="18">
        <f>AC589+INDEX(Data_Prices!AC:AC,MATCH($G599,Data_Prices!$A:$A,0))*AC$616</f>
        <v>0.89957213196099195</v>
      </c>
      <c r="AD599" s="18">
        <f>AD589+INDEX(Data_Prices!AD:AD,MATCH($G599,Data_Prices!$A:$A,0))*AD$616</f>
        <v>0.93258257081986695</v>
      </c>
      <c r="AE599" s="18">
        <f>AE589+INDEX(Data_Prices!AE:AE,MATCH($G599,Data_Prices!$A:$A,0))*AE$616</f>
        <v>0.96559300967874195</v>
      </c>
    </row>
    <row r="600" spans="2:31" x14ac:dyDescent="0.45">
      <c r="B600" s="14" t="s">
        <v>60</v>
      </c>
      <c r="C600" s="14" t="str">
        <f t="shared" si="177"/>
        <v>mch</v>
      </c>
      <c r="D600" s="15" t="s">
        <v>61</v>
      </c>
      <c r="E600" s="16" t="s">
        <v>57</v>
      </c>
      <c r="F600" s="14" t="s">
        <v>73</v>
      </c>
      <c r="G600" s="17" t="str">
        <f>Settings!$B$3&amp;".mit.nce."&amp;Settings!$B$4&amp;"."&amp;$B600&amp;".a."&amp;$J$584</f>
        <v>egy.mit.nce.ind.lpg.a.2</v>
      </c>
      <c r="H600" s="45" t="str">
        <f>Settings!$B$3&amp;".mit.atp."&amp;$C$584&amp;"."&amp;$B600&amp;".e."&amp;$J$584</f>
        <v>egy.mit.atp.mch.lpg.e.2</v>
      </c>
      <c r="K600" s="18">
        <f>K590+INDEX(Data_Prices!K:K,MATCH($G600,Data_Prices!$A:$A,0))*K$616</f>
        <v>0.20036669112673799</v>
      </c>
      <c r="L600" s="18">
        <f>L590+INDEX(Data_Prices!L:L,MATCH($G600,Data_Prices!$A:$A,0))*L$616</f>
        <v>0.15734473625227399</v>
      </c>
      <c r="M600" s="18">
        <f>M590+INDEX(Data_Prices!M:M,MATCH($G600,Data_Prices!$A:$A,0))*M$616</f>
        <v>0.164484037759277</v>
      </c>
      <c r="N600" s="18">
        <f>N590+INDEX(Data_Prices!N:N,MATCH($G600,Data_Prices!$A:$A,0))*N$616</f>
        <v>0.15070907780704901</v>
      </c>
      <c r="O600" s="18">
        <f>O590+INDEX(Data_Prices!O:O,MATCH($G600,Data_Prices!$A:$A,0))*O$616</f>
        <v>0.15070907780704901</v>
      </c>
      <c r="P600" s="18">
        <f>P590+INDEX(Data_Prices!P:P,MATCH($G600,Data_Prices!$A:$A,0))*P$616</f>
        <v>0.15070907780704901</v>
      </c>
      <c r="Q600" s="18">
        <f>Q590+INDEX(Data_Prices!Q:Q,MATCH($G600,Data_Prices!$A:$A,0))*Q$616</f>
        <v>0.17281516073434466</v>
      </c>
      <c r="R600" s="18">
        <f>R590+INDEX(Data_Prices!R:R,MATCH($G600,Data_Prices!$A:$A,0))*R$616</f>
        <v>0.19492124366164035</v>
      </c>
      <c r="S600" s="18">
        <f>S590+INDEX(Data_Prices!S:S,MATCH($G600,Data_Prices!$A:$A,0))*S$616</f>
        <v>0.217027326588936</v>
      </c>
      <c r="T600" s="18">
        <f>T590+INDEX(Data_Prices!T:T,MATCH($G600,Data_Prices!$A:$A,0))*T$616</f>
        <v>0.23913340951623169</v>
      </c>
      <c r="U600" s="18">
        <f>U590+INDEX(Data_Prices!U:U,MATCH($G600,Data_Prices!$A:$A,0))*U$616</f>
        <v>0.26123949244352734</v>
      </c>
      <c r="V600" s="18">
        <f>V590+INDEX(Data_Prices!V:V,MATCH($G600,Data_Prices!$A:$A,0))*V$616</f>
        <v>0.283345575370823</v>
      </c>
      <c r="W600" s="18">
        <f>W590+INDEX(Data_Prices!W:W,MATCH($G600,Data_Prices!$A:$A,0))*W$616</f>
        <v>0.30545165829811871</v>
      </c>
      <c r="X600" s="18">
        <f>X590+INDEX(Data_Prices!X:X,MATCH($G600,Data_Prices!$A:$A,0))*X$616</f>
        <v>0.32755774122541437</v>
      </c>
      <c r="Y600" s="18">
        <f>Y590+INDEX(Data_Prices!Y:Y,MATCH($G600,Data_Prices!$A:$A,0))*Y$616</f>
        <v>0.34966382415271002</v>
      </c>
      <c r="Z600" s="18">
        <f>Z590+INDEX(Data_Prices!Z:Z,MATCH($G600,Data_Prices!$A:$A,0))*Z$616</f>
        <v>0.37176990708000568</v>
      </c>
      <c r="AA600" s="18">
        <f>AA590+INDEX(Data_Prices!AA:AA,MATCH($G600,Data_Prices!$A:$A,0))*AA$616</f>
        <v>0.39387599000730134</v>
      </c>
      <c r="AB600" s="18">
        <f>AB590+INDEX(Data_Prices!AB:AB,MATCH($G600,Data_Prices!$A:$A,0))*AB$616</f>
        <v>0.41598207293459699</v>
      </c>
      <c r="AC600" s="18">
        <f>AC590+INDEX(Data_Prices!AC:AC,MATCH($G600,Data_Prices!$A:$A,0))*AC$616</f>
        <v>0.4380881558618927</v>
      </c>
      <c r="AD600" s="18">
        <f>AD590+INDEX(Data_Prices!AD:AD,MATCH($G600,Data_Prices!$A:$A,0))*AD$616</f>
        <v>0.46019423878918836</v>
      </c>
      <c r="AE600" s="18">
        <f>AE590+INDEX(Data_Prices!AE:AE,MATCH($G600,Data_Prices!$A:$A,0))*AE$616</f>
        <v>0.48230032171648402</v>
      </c>
    </row>
    <row r="601" spans="2:31" x14ac:dyDescent="0.45">
      <c r="B601" s="14" t="s">
        <v>62</v>
      </c>
      <c r="C601" s="14" t="str">
        <f t="shared" si="177"/>
        <v>mch</v>
      </c>
      <c r="D601" s="15" t="s">
        <v>63</v>
      </c>
      <c r="E601" s="16" t="s">
        <v>57</v>
      </c>
      <c r="F601" s="14" t="s">
        <v>73</v>
      </c>
      <c r="G601" s="17" t="str">
        <f>Settings!$B$3&amp;".mit.nce."&amp;Settings!$B$4&amp;"."&amp;$B601&amp;".a."&amp;$J$584</f>
        <v>egy.mit.nce.ind.ker.a.2</v>
      </c>
      <c r="H601" s="45" t="str">
        <f>Settings!$B$3&amp;".mit.atp."&amp;$C$584&amp;"."&amp;$B601&amp;".e."&amp;$J$584</f>
        <v>egy.mit.atp.mch.ker.e.2</v>
      </c>
      <c r="K601" s="18">
        <f>K591+INDEX(Data_Prices!K:K,MATCH($G601,Data_Prices!$A:$A,0))*K$616</f>
        <v>0.48429424097343499</v>
      </c>
      <c r="L601" s="18">
        <f>L591+INDEX(Data_Prices!L:L,MATCH($G601,Data_Prices!$A:$A,0))*L$616</f>
        <v>0.45642817050012802</v>
      </c>
      <c r="M601" s="18">
        <f>M591+INDEX(Data_Prices!M:M,MATCH($G601,Data_Prices!$A:$A,0))*M$616</f>
        <v>0.43168920195599497</v>
      </c>
      <c r="N601" s="18">
        <f>N591+INDEX(Data_Prices!N:N,MATCH($G601,Data_Prices!$A:$A,0))*N$616</f>
        <v>0.42507558395597</v>
      </c>
      <c r="O601" s="18">
        <f>O591+INDEX(Data_Prices!O:O,MATCH($G601,Data_Prices!$A:$A,0))*O$616</f>
        <v>0.42507558395597</v>
      </c>
      <c r="P601" s="18">
        <f>P591+INDEX(Data_Prices!P:P,MATCH($G601,Data_Prices!$A:$A,0))*P$616</f>
        <v>0.42507558395597</v>
      </c>
      <c r="Q601" s="18">
        <f>Q591+INDEX(Data_Prices!Q:Q,MATCH($G601,Data_Prices!$A:$A,0))*Q$616</f>
        <v>0.45706441406607845</v>
      </c>
      <c r="R601" s="18">
        <f>R591+INDEX(Data_Prices!R:R,MATCH($G601,Data_Prices!$A:$A,0))*R$616</f>
        <v>0.48905324417618695</v>
      </c>
      <c r="S601" s="18">
        <f>S591+INDEX(Data_Prices!S:S,MATCH($G601,Data_Prices!$A:$A,0))*S$616</f>
        <v>0.52104207428629534</v>
      </c>
      <c r="T601" s="18">
        <f>T591+INDEX(Data_Prices!T:T,MATCH($G601,Data_Prices!$A:$A,0))*T$616</f>
        <v>0.5530309043964039</v>
      </c>
      <c r="U601" s="18">
        <f>U591+INDEX(Data_Prices!U:U,MATCH($G601,Data_Prices!$A:$A,0))*U$616</f>
        <v>0.58501973450651235</v>
      </c>
      <c r="V601" s="18">
        <f>V591+INDEX(Data_Prices!V:V,MATCH($G601,Data_Prices!$A:$A,0))*V$616</f>
        <v>0.61700856461662079</v>
      </c>
      <c r="W601" s="18">
        <f>W591+INDEX(Data_Prices!W:W,MATCH($G601,Data_Prices!$A:$A,0))*W$616</f>
        <v>0.64899739472672924</v>
      </c>
      <c r="X601" s="18">
        <f>X591+INDEX(Data_Prices!X:X,MATCH($G601,Data_Prices!$A:$A,0))*X$616</f>
        <v>0.68098622483683768</v>
      </c>
      <c r="Y601" s="18">
        <f>Y591+INDEX(Data_Prices!Y:Y,MATCH($G601,Data_Prices!$A:$A,0))*Y$616</f>
        <v>0.71297505494694624</v>
      </c>
      <c r="Z601" s="18">
        <f>Z591+INDEX(Data_Prices!Z:Z,MATCH($G601,Data_Prices!$A:$A,0))*Z$616</f>
        <v>0.74496388505705469</v>
      </c>
      <c r="AA601" s="18">
        <f>AA591+INDEX(Data_Prices!AA:AA,MATCH($G601,Data_Prices!$A:$A,0))*AA$616</f>
        <v>0.77695271516716313</v>
      </c>
      <c r="AB601" s="18">
        <f>AB591+INDEX(Data_Prices!AB:AB,MATCH($G601,Data_Prices!$A:$A,0))*AB$616</f>
        <v>0.80894154527727158</v>
      </c>
      <c r="AC601" s="18">
        <f>AC591+INDEX(Data_Prices!AC:AC,MATCH($G601,Data_Prices!$A:$A,0))*AC$616</f>
        <v>0.84093037538738002</v>
      </c>
      <c r="AD601" s="18">
        <f>AD591+INDEX(Data_Prices!AD:AD,MATCH($G601,Data_Prices!$A:$A,0))*AD$616</f>
        <v>0.87291920549748858</v>
      </c>
      <c r="AE601" s="18">
        <f>AE591+INDEX(Data_Prices!AE:AE,MATCH($G601,Data_Prices!$A:$A,0))*AE$616</f>
        <v>0.90490803560759692</v>
      </c>
    </row>
    <row r="602" spans="2:31" x14ac:dyDescent="0.45">
      <c r="B602" s="14" t="s">
        <v>64</v>
      </c>
      <c r="C602" s="14" t="str">
        <f t="shared" si="177"/>
        <v>mch</v>
      </c>
      <c r="D602" s="15" t="s">
        <v>65</v>
      </c>
      <c r="E602" s="16" t="s">
        <v>66</v>
      </c>
      <c r="F602" s="14" t="s">
        <v>73</v>
      </c>
      <c r="G602" s="17" t="str">
        <f>Settings!$B$3&amp;".mit.nce."&amp;Settings!$B$4&amp;"."&amp;$B602&amp;".a."&amp;$J$584</f>
        <v>egy.mit.nce.ind.oop.a.2</v>
      </c>
      <c r="H602" s="45" t="str">
        <f>Settings!$B$3&amp;".mit.atp."&amp;$C$584&amp;"."&amp;$B602&amp;".e."&amp;$J$584</f>
        <v>egy.mit.atp.mch.oop.e.2</v>
      </c>
      <c r="K602" s="18">
        <f>K592+INDEX(Data_Prices!K:K,MATCH($G602,Data_Prices!$A:$A,0))*K$616</f>
        <v>41.500338498868402</v>
      </c>
      <c r="L602" s="18">
        <f>L592+INDEX(Data_Prices!L:L,MATCH($G602,Data_Prices!$A:$A,0))*L$616</f>
        <v>34.4153703043132</v>
      </c>
      <c r="M602" s="18">
        <f>M592+INDEX(Data_Prices!M:M,MATCH($G602,Data_Prices!$A:$A,0))*M$616</f>
        <v>37.368960690431997</v>
      </c>
      <c r="N602" s="18">
        <f>N592+INDEX(Data_Prices!N:N,MATCH($G602,Data_Prices!$A:$A,0))*N$616</f>
        <v>28.982761101477301</v>
      </c>
      <c r="O602" s="18">
        <f>O592+INDEX(Data_Prices!O:O,MATCH($G602,Data_Prices!$A:$A,0))*O$616</f>
        <v>15</v>
      </c>
      <c r="P602" s="18">
        <f>P592+INDEX(Data_Prices!P:P,MATCH($G602,Data_Prices!$A:$A,0))*P$616</f>
        <v>24.2586300842555</v>
      </c>
      <c r="Q602" s="18">
        <f>Q592+INDEX(Data_Prices!Q:Q,MATCH($G602,Data_Prices!$A:$A,0))*Q$616</f>
        <v>18.963758196132499</v>
      </c>
      <c r="R602" s="18">
        <f>R592+INDEX(Data_Prices!R:R,MATCH($G602,Data_Prices!$A:$A,0))*R$616</f>
        <v>21.760345114010597</v>
      </c>
      <c r="S602" s="18">
        <f>S592+INDEX(Data_Prices!S:S,MATCH($G602,Data_Prices!$A:$A,0))*S$616</f>
        <v>26.079880691373621</v>
      </c>
      <c r="T602" s="18">
        <f>T592+INDEX(Data_Prices!T:T,MATCH($G602,Data_Prices!$A:$A,0))*T$616</f>
        <v>30.593682445209218</v>
      </c>
      <c r="U602" s="18">
        <f>U592+INDEX(Data_Prices!U:U,MATCH($G602,Data_Prices!$A:$A,0))*U$616</f>
        <v>34.990509739410058</v>
      </c>
      <c r="V602" s="18">
        <f>V592+INDEX(Data_Prices!V:V,MATCH($G602,Data_Prices!$A:$A,0))*V$616</f>
        <v>40.858059739410059</v>
      </c>
      <c r="W602" s="18">
        <f>W592+INDEX(Data_Prices!W:W,MATCH($G602,Data_Prices!$A:$A,0))*W$616</f>
        <v>46.725609739410054</v>
      </c>
      <c r="X602" s="18">
        <f>X592+INDEX(Data_Prices!X:X,MATCH($G602,Data_Prices!$A:$A,0))*X$616</f>
        <v>52.593159739410055</v>
      </c>
      <c r="Y602" s="18">
        <f>Y592+INDEX(Data_Prices!Y:Y,MATCH($G602,Data_Prices!$A:$A,0))*Y$616</f>
        <v>58.460709739410056</v>
      </c>
      <c r="Z602" s="18">
        <f>Z592+INDEX(Data_Prices!Z:Z,MATCH($G602,Data_Prices!$A:$A,0))*Z$616</f>
        <v>64.328259739410072</v>
      </c>
      <c r="AA602" s="18">
        <f>AA592+INDEX(Data_Prices!AA:AA,MATCH($G602,Data_Prices!$A:$A,0))*AA$616</f>
        <v>70.195809739410052</v>
      </c>
      <c r="AB602" s="18">
        <f>AB592+INDEX(Data_Prices!AB:AB,MATCH($G602,Data_Prices!$A:$A,0))*AB$616</f>
        <v>76.06335973941006</v>
      </c>
      <c r="AC602" s="18">
        <f>AC592+INDEX(Data_Prices!AC:AC,MATCH($G602,Data_Prices!$A:$A,0))*AC$616</f>
        <v>81.930909739410041</v>
      </c>
      <c r="AD602" s="18">
        <f>AD592+INDEX(Data_Prices!AD:AD,MATCH($G602,Data_Prices!$A:$A,0))*AD$616</f>
        <v>87.798459739410049</v>
      </c>
      <c r="AE602" s="18">
        <f>AE592+INDEX(Data_Prices!AE:AE,MATCH($G602,Data_Prices!$A:$A,0))*AE$616</f>
        <v>93.666009739410043</v>
      </c>
    </row>
    <row r="603" spans="2:31" x14ac:dyDescent="0.45">
      <c r="B603" s="14" t="s">
        <v>67</v>
      </c>
      <c r="C603" s="14" t="str">
        <f t="shared" si="177"/>
        <v>mch</v>
      </c>
      <c r="D603" s="15" t="s">
        <v>68</v>
      </c>
      <c r="E603" s="16" t="s">
        <v>51</v>
      </c>
      <c r="F603" s="14" t="s">
        <v>73</v>
      </c>
      <c r="G603" s="17" t="str">
        <f>Settings!$B$3&amp;".mit.nce."&amp;Settings!$B$4&amp;"."&amp;$B603&amp;".a."&amp;$J$584</f>
        <v>egy.mit.nce.ind.bio.a.2</v>
      </c>
      <c r="H603" s="45" t="str">
        <f>Settings!$B$3&amp;".mit.atp."&amp;$C$584&amp;"."&amp;$B603&amp;".e."&amp;$J$584</f>
        <v>egy.mit.atp.mch.bio.e.2</v>
      </c>
      <c r="K603" s="18">
        <f>K593+INDEX(Data_Prices!K:K,MATCH($G603,Data_Prices!$A:$A,0))*K$616</f>
        <v>15.3345505293169</v>
      </c>
      <c r="L603" s="18">
        <f>L593+INDEX(Data_Prices!L:L,MATCH($G603,Data_Prices!$A:$A,0))*L$616</f>
        <v>14.199528390634899</v>
      </c>
      <c r="M603" s="18">
        <f>M593+INDEX(Data_Prices!M:M,MATCH($G603,Data_Prices!$A:$A,0))*M$616</f>
        <v>13.8404416133152</v>
      </c>
      <c r="N603" s="18">
        <f>N593+INDEX(Data_Prices!N:N,MATCH($G603,Data_Prices!$A:$A,0))*N$616</f>
        <v>13.5677269404465</v>
      </c>
      <c r="O603" s="18">
        <f>O593+INDEX(Data_Prices!O:O,MATCH($G603,Data_Prices!$A:$A,0))*O$616</f>
        <v>13.5677269404465</v>
      </c>
      <c r="P603" s="18">
        <f>P593+INDEX(Data_Prices!P:P,MATCH($G603,Data_Prices!$A:$A,0))*P$616</f>
        <v>13.5677269404465</v>
      </c>
      <c r="Q603" s="18">
        <f>Q593+INDEX(Data_Prices!Q:Q,MATCH($G603,Data_Prices!$A:$A,0))*Q$616</f>
        <v>13.5677269404465</v>
      </c>
      <c r="R603" s="18">
        <f>R593+INDEX(Data_Prices!R:R,MATCH($G603,Data_Prices!$A:$A,0))*R$616</f>
        <v>13.5677269404465</v>
      </c>
      <c r="S603" s="18">
        <f>S593+INDEX(Data_Prices!S:S,MATCH($G603,Data_Prices!$A:$A,0))*S$616</f>
        <v>13.5677269404465</v>
      </c>
      <c r="T603" s="18">
        <f>T593+INDEX(Data_Prices!T:T,MATCH($G603,Data_Prices!$A:$A,0))*T$616</f>
        <v>13.5677269404465</v>
      </c>
      <c r="U603" s="18">
        <f>U593+INDEX(Data_Prices!U:U,MATCH($G603,Data_Prices!$A:$A,0))*U$616</f>
        <v>13.5677269404465</v>
      </c>
      <c r="V603" s="18">
        <f>V593+INDEX(Data_Prices!V:V,MATCH($G603,Data_Prices!$A:$A,0))*V$616</f>
        <v>13.5677269404465</v>
      </c>
      <c r="W603" s="18">
        <f>W593+INDEX(Data_Prices!W:W,MATCH($G603,Data_Prices!$A:$A,0))*W$616</f>
        <v>13.5677269404465</v>
      </c>
      <c r="X603" s="18">
        <f>X593+INDEX(Data_Prices!X:X,MATCH($G603,Data_Prices!$A:$A,0))*X$616</f>
        <v>13.5677269404465</v>
      </c>
      <c r="Y603" s="18">
        <f>Y593+INDEX(Data_Prices!Y:Y,MATCH($G603,Data_Prices!$A:$A,0))*Y$616</f>
        <v>13.5677269404465</v>
      </c>
      <c r="Z603" s="18">
        <f>Z593+INDEX(Data_Prices!Z:Z,MATCH($G603,Data_Prices!$A:$A,0))*Z$616</f>
        <v>13.5677269404465</v>
      </c>
      <c r="AA603" s="18">
        <f>AA593+INDEX(Data_Prices!AA:AA,MATCH($G603,Data_Prices!$A:$A,0))*AA$616</f>
        <v>13.5677269404465</v>
      </c>
      <c r="AB603" s="18">
        <f>AB593+INDEX(Data_Prices!AB:AB,MATCH($G603,Data_Prices!$A:$A,0))*AB$616</f>
        <v>13.5677269404465</v>
      </c>
      <c r="AC603" s="18">
        <f>AC593+INDEX(Data_Prices!AC:AC,MATCH($G603,Data_Prices!$A:$A,0))*AC$616</f>
        <v>13.5677269404465</v>
      </c>
      <c r="AD603" s="18">
        <f>AD593+INDEX(Data_Prices!AD:AD,MATCH($G603,Data_Prices!$A:$A,0))*AD$616</f>
        <v>13.5677269404465</v>
      </c>
      <c r="AE603" s="18">
        <f>AE593+INDEX(Data_Prices!AE:AE,MATCH($G603,Data_Prices!$A:$A,0))*AE$616</f>
        <v>13.5677269404465</v>
      </c>
    </row>
    <row r="604" spans="2:31" x14ac:dyDescent="0.45">
      <c r="B604" s="14" t="s">
        <v>69</v>
      </c>
      <c r="C604" s="14" t="str">
        <f t="shared" si="177"/>
        <v>mch</v>
      </c>
      <c r="D604" s="15" t="s">
        <v>70</v>
      </c>
      <c r="E604" s="16" t="s">
        <v>71</v>
      </c>
      <c r="F604" s="14" t="s">
        <v>73</v>
      </c>
      <c r="G604" s="17" t="str">
        <f>Settings!$B$3&amp;".mit.nce."&amp;Settings!$B$4&amp;"."&amp;$B604&amp;".a."&amp;$J$584</f>
        <v>egy.mit.nce.ind.ren.a.2</v>
      </c>
      <c r="H604" s="45" t="str">
        <f>Settings!$B$3&amp;".mit.atp."&amp;$C$584&amp;"."&amp;$B604&amp;".e."&amp;$J$584</f>
        <v>egy.mit.atp.mch.ren.e.2</v>
      </c>
      <c r="K604" s="18">
        <f>K594+INDEX(Data_Prices!K:K,MATCH($G604,Data_Prices!$A:$A,0))*K$616</f>
        <v>0</v>
      </c>
      <c r="L604" s="18">
        <f>L594+INDEX(Data_Prices!L:L,MATCH($G604,Data_Prices!$A:$A,0))*L$616</f>
        <v>0.14404498679319799</v>
      </c>
      <c r="M604" s="18">
        <f>M594+INDEX(Data_Prices!M:M,MATCH($G604,Data_Prices!$A:$A,0))*M$616</f>
        <v>0.141386241751359</v>
      </c>
      <c r="N604" s="18">
        <f>N594+INDEX(Data_Prices!N:N,MATCH($G604,Data_Prices!$A:$A,0))*N$616</f>
        <v>0.13539756544373099</v>
      </c>
      <c r="O604" s="18">
        <f>O594+INDEX(Data_Prices!O:O,MATCH($G604,Data_Prices!$A:$A,0))*O$616</f>
        <v>0.13152288542065099</v>
      </c>
      <c r="P604" s="18">
        <f>P594+INDEX(Data_Prices!P:P,MATCH($G604,Data_Prices!$A:$A,0))*P$616</f>
        <v>0.12882610848523099</v>
      </c>
      <c r="Q604" s="18">
        <f>Q594+INDEX(Data_Prices!Q:Q,MATCH($G604,Data_Prices!$A:$A,0))*Q$616</f>
        <v>0.12594200976473999</v>
      </c>
      <c r="R604" s="18">
        <f>R594+INDEX(Data_Prices!R:R,MATCH($G604,Data_Prices!$A:$A,0))*R$616</f>
        <v>0.123113265701861</v>
      </c>
      <c r="S604" s="18">
        <f>S594+INDEX(Data_Prices!S:S,MATCH($G604,Data_Prices!$A:$A,0))*S$616</f>
        <v>0.119391738089068</v>
      </c>
      <c r="T604" s="18">
        <f>T594+INDEX(Data_Prices!T:T,MATCH($G604,Data_Prices!$A:$A,0))*T$616</f>
        <v>0.11554419046792</v>
      </c>
      <c r="U604" s="18">
        <f>U594+INDEX(Data_Prices!U:U,MATCH($G604,Data_Prices!$A:$A,0))*U$616</f>
        <v>0.11492423065415899</v>
      </c>
      <c r="V604" s="18">
        <f>V594+INDEX(Data_Prices!V:V,MATCH($G604,Data_Prices!$A:$A,0))*V$616</f>
        <v>0.114346912116736</v>
      </c>
      <c r="W604" s="18">
        <f>W594+INDEX(Data_Prices!W:W,MATCH($G604,Data_Prices!$A:$A,0))*W$616</f>
        <v>0.113738711172664</v>
      </c>
      <c r="X604" s="18">
        <f>X594+INDEX(Data_Prices!X:X,MATCH($G604,Data_Prices!$A:$A,0))*X$616</f>
        <v>0.112999900487521</v>
      </c>
      <c r="Y604" s="18">
        <f>Y594+INDEX(Data_Prices!Y:Y,MATCH($G604,Data_Prices!$A:$A,0))*Y$616</f>
        <v>0.112177685835534</v>
      </c>
      <c r="Z604" s="18">
        <f>Z594+INDEX(Data_Prices!Z:Z,MATCH($G604,Data_Prices!$A:$A,0))*Z$616</f>
        <v>0.111417903250404</v>
      </c>
      <c r="AA604" s="18">
        <f>AA594+INDEX(Data_Prices!AA:AA,MATCH($G604,Data_Prices!$A:$A,0))*AA$616</f>
        <v>0.11052581998545399</v>
      </c>
      <c r="AB604" s="18">
        <f>AB594+INDEX(Data_Prices!AB:AB,MATCH($G604,Data_Prices!$A:$A,0))*AB$616</f>
        <v>0.109699565234896</v>
      </c>
      <c r="AC604" s="18">
        <f>AC594+INDEX(Data_Prices!AC:AC,MATCH($G604,Data_Prices!$A:$A,0))*AC$616</f>
        <v>0.10772678896394899</v>
      </c>
      <c r="AD604" s="18">
        <f>AD594+INDEX(Data_Prices!AD:AD,MATCH($G604,Data_Prices!$A:$A,0))*AD$616</f>
        <v>0.10582092445093499</v>
      </c>
      <c r="AE604" s="18">
        <f>AE594+INDEX(Data_Prices!AE:AE,MATCH($G604,Data_Prices!$A:$A,0))*AE$616</f>
        <v>0.103855595705721</v>
      </c>
    </row>
    <row r="605" spans="2:31" x14ac:dyDescent="0.45">
      <c r="B605" s="13" t="s">
        <v>74</v>
      </c>
    </row>
    <row r="606" spans="2:31" x14ac:dyDescent="0.45">
      <c r="B606" s="14" t="s">
        <v>49</v>
      </c>
      <c r="C606" s="14" t="str">
        <f t="shared" ref="C606:C614" si="178">$C$584</f>
        <v>mch</v>
      </c>
      <c r="D606" s="15" t="s">
        <v>50</v>
      </c>
      <c r="E606" s="16" t="s">
        <v>51</v>
      </c>
      <c r="F606" s="14" t="s">
        <v>75</v>
      </c>
      <c r="G606" s="17" t="str">
        <f>Settings!$B$3&amp;".mit.shp."&amp;$B606&amp;"."&amp;Settings!$B$4&amp;"."&amp;$J$584</f>
        <v>egy.mit.shp.coa.ind.2</v>
      </c>
      <c r="H606" s="45" t="str">
        <f>Settings!$B$3&amp;".mit.shp."&amp;$C$584&amp;"."&amp;$B606&amp;".e."&amp;$J$584</f>
        <v>egy.mit.shp.mch.coa.e.2</v>
      </c>
      <c r="K606" s="19">
        <f>K596+INDEX(Data_Prices!K:K,MATCH($G606,Data_Prices!$A:$A,0))*K$617</f>
        <v>11.182901589243899</v>
      </c>
      <c r="L606" s="19">
        <f>L596+INDEX(Data_Prices!L:L,MATCH($G606,Data_Prices!$A:$A,0))*L$617</f>
        <v>10.5233613454312</v>
      </c>
      <c r="M606" s="19">
        <f>M596+INDEX(Data_Prices!M:M,MATCH($G606,Data_Prices!$A:$A,0))*M$617</f>
        <v>10.2995608274442</v>
      </c>
      <c r="N606" s="19">
        <f>N596+INDEX(Data_Prices!N:N,MATCH($G606,Data_Prices!$A:$A,0))*N$617</f>
        <v>9.5775283595382597</v>
      </c>
      <c r="O606" s="19">
        <f>O596+INDEX(Data_Prices!O:O,MATCH($G606,Data_Prices!$A:$A,0))*O$617</f>
        <v>8.4854782869580507</v>
      </c>
      <c r="P606" s="19">
        <f>P596+INDEX(Data_Prices!P:P,MATCH($G606,Data_Prices!$A:$A,0))*P$617</f>
        <v>9.0871922352498604</v>
      </c>
      <c r="Q606" s="19">
        <f>Q596+INDEX(Data_Prices!Q:Q,MATCH($G606,Data_Prices!$A:$A,0))*Q$617</f>
        <v>10.472923728932679</v>
      </c>
      <c r="R606" s="19">
        <f>R596+INDEX(Data_Prices!R:R,MATCH($G606,Data_Prices!$A:$A,0))*R$617</f>
        <v>11.658564955509689</v>
      </c>
      <c r="S606" s="19">
        <f>S596+INDEX(Data_Prices!S:S,MATCH($G606,Data_Prices!$A:$A,0))*S$617</f>
        <v>12.839547877397379</v>
      </c>
      <c r="T606" s="19">
        <f>T596+INDEX(Data_Prices!T:T,MATCH($G606,Data_Prices!$A:$A,0))*T$617</f>
        <v>14.01568166602283</v>
      </c>
      <c r="U606" s="19">
        <f>U596+INDEX(Data_Prices!U:U,MATCH($G606,Data_Prices!$A:$A,0))*U$617</f>
        <v>15.19439776555711</v>
      </c>
      <c r="V606" s="19">
        <f>V596+INDEX(Data_Prices!V:V,MATCH($G606,Data_Prices!$A:$A,0))*V$617</f>
        <v>16.44439776555711</v>
      </c>
      <c r="W606" s="19">
        <f>W596+INDEX(Data_Prices!W:W,MATCH($G606,Data_Prices!$A:$A,0))*W$617</f>
        <v>17.69439776555711</v>
      </c>
      <c r="X606" s="19">
        <f>X596+INDEX(Data_Prices!X:X,MATCH($G606,Data_Prices!$A:$A,0))*X$617</f>
        <v>18.94439776555711</v>
      </c>
      <c r="Y606" s="19">
        <f>Y596+INDEX(Data_Prices!Y:Y,MATCH($G606,Data_Prices!$A:$A,0))*Y$617</f>
        <v>20.19439776555711</v>
      </c>
      <c r="Z606" s="19">
        <f>Z596+INDEX(Data_Prices!Z:Z,MATCH($G606,Data_Prices!$A:$A,0))*Z$617</f>
        <v>21.44439776555711</v>
      </c>
      <c r="AA606" s="19">
        <f>AA596+INDEX(Data_Prices!AA:AA,MATCH($G606,Data_Prices!$A:$A,0))*AA$617</f>
        <v>22.69439776555711</v>
      </c>
      <c r="AB606" s="19">
        <f>AB596+INDEX(Data_Prices!AB:AB,MATCH($G606,Data_Prices!$A:$A,0))*AB$617</f>
        <v>23.94439776555711</v>
      </c>
      <c r="AC606" s="19">
        <f>AC596+INDEX(Data_Prices!AC:AC,MATCH($G606,Data_Prices!$A:$A,0))*AC$617</f>
        <v>25.19439776555711</v>
      </c>
      <c r="AD606" s="19">
        <f>AD596+INDEX(Data_Prices!AD:AD,MATCH($G606,Data_Prices!$A:$A,0))*AD$617</f>
        <v>26.44439776555711</v>
      </c>
      <c r="AE606" s="19">
        <f>AE596+INDEX(Data_Prices!AE:AE,MATCH($G606,Data_Prices!$A:$A,0))*AE$617</f>
        <v>27.69439776555711</v>
      </c>
    </row>
    <row r="607" spans="2:31" x14ac:dyDescent="0.45">
      <c r="B607" s="14" t="s">
        <v>53</v>
      </c>
      <c r="C607" s="14" t="str">
        <f t="shared" si="178"/>
        <v>mch</v>
      </c>
      <c r="D607" s="15" t="s">
        <v>54</v>
      </c>
      <c r="E607" s="16" t="s">
        <v>51</v>
      </c>
      <c r="F607" s="14" t="s">
        <v>75</v>
      </c>
      <c r="G607" s="17" t="str">
        <f>Settings!$B$3&amp;".mit.shp."&amp;$B607&amp;"."&amp;Settings!$B$4&amp;"."&amp;$J$584</f>
        <v>egy.mit.shp.nga.ind.2</v>
      </c>
      <c r="H607" s="45" t="str">
        <f>Settings!$B$3&amp;".mit.shp."&amp;$C$584&amp;"."&amp;$B607&amp;".e."&amp;$J$584</f>
        <v>egy.mit.shp.mch.nga.e.2</v>
      </c>
      <c r="K607" s="19">
        <f>K597+INDEX(Data_Prices!K:K,MATCH($G607,Data_Prices!$A:$A,0))*K$617</f>
        <v>6.0634636156729096</v>
      </c>
      <c r="L607" s="19">
        <f>L597+INDEX(Data_Prices!L:L,MATCH($G607,Data_Prices!$A:$A,0))*L$617</f>
        <v>5.4510150816191896</v>
      </c>
      <c r="M607" s="19">
        <f>M597+INDEX(Data_Prices!M:M,MATCH($G607,Data_Prices!$A:$A,0))*M$617</f>
        <v>5.1193563062624801</v>
      </c>
      <c r="N607" s="19">
        <f>N597+INDEX(Data_Prices!N:N,MATCH($G607,Data_Prices!$A:$A,0))*N$617</f>
        <v>5.08218458640407</v>
      </c>
      <c r="O607" s="19">
        <f>O597+INDEX(Data_Prices!O:O,MATCH($G607,Data_Prices!$A:$A,0))*O$617</f>
        <v>5.08218458640407</v>
      </c>
      <c r="P607" s="19">
        <f>P597+INDEX(Data_Prices!P:P,MATCH($G607,Data_Prices!$A:$A,0))*P$617</f>
        <v>5.08218458640407</v>
      </c>
      <c r="Q607" s="19">
        <f>Q597+INDEX(Data_Prices!Q:Q,MATCH($G607,Data_Prices!$A:$A,0))*Q$617</f>
        <v>5.7796845864040698</v>
      </c>
      <c r="R607" s="19">
        <f>R597+INDEX(Data_Prices!R:R,MATCH($G607,Data_Prices!$A:$A,0))*R$617</f>
        <v>6.4771845864040696</v>
      </c>
      <c r="S607" s="19">
        <f>S597+INDEX(Data_Prices!S:S,MATCH($G607,Data_Prices!$A:$A,0))*S$617</f>
        <v>7.1746845864040703</v>
      </c>
      <c r="T607" s="19">
        <f>T597+INDEX(Data_Prices!T:T,MATCH($G607,Data_Prices!$A:$A,0))*T$617</f>
        <v>7.87218458640407</v>
      </c>
      <c r="U607" s="19">
        <f>U597+INDEX(Data_Prices!U:U,MATCH($G607,Data_Prices!$A:$A,0))*U$617</f>
        <v>8.5696845864040707</v>
      </c>
      <c r="V607" s="19">
        <f>V597+INDEX(Data_Prices!V:V,MATCH($G607,Data_Prices!$A:$A,0))*V$617</f>
        <v>9.2671845864040705</v>
      </c>
      <c r="W607" s="19">
        <f>W597+INDEX(Data_Prices!W:W,MATCH($G607,Data_Prices!$A:$A,0))*W$617</f>
        <v>9.9646845864040703</v>
      </c>
      <c r="X607" s="19">
        <f>X597+INDEX(Data_Prices!X:X,MATCH($G607,Data_Prices!$A:$A,0))*X$617</f>
        <v>10.66218458640407</v>
      </c>
      <c r="Y607" s="19">
        <f>Y597+INDEX(Data_Prices!Y:Y,MATCH($G607,Data_Prices!$A:$A,0))*Y$617</f>
        <v>11.35968458640407</v>
      </c>
      <c r="Z607" s="19">
        <f>Z597+INDEX(Data_Prices!Z:Z,MATCH($G607,Data_Prices!$A:$A,0))*Z$617</f>
        <v>12.05718458640407</v>
      </c>
      <c r="AA607" s="19">
        <f>AA597+INDEX(Data_Prices!AA:AA,MATCH($G607,Data_Prices!$A:$A,0))*AA$617</f>
        <v>12.754684586404071</v>
      </c>
      <c r="AB607" s="19">
        <f>AB597+INDEX(Data_Prices!AB:AB,MATCH($G607,Data_Prices!$A:$A,0))*AB$617</f>
        <v>13.452184586404071</v>
      </c>
      <c r="AC607" s="19">
        <f>AC597+INDEX(Data_Prices!AC:AC,MATCH($G607,Data_Prices!$A:$A,0))*AC$617</f>
        <v>14.149684586404071</v>
      </c>
      <c r="AD607" s="19">
        <f>AD597+INDEX(Data_Prices!AD:AD,MATCH($G607,Data_Prices!$A:$A,0))*AD$617</f>
        <v>14.847184586404071</v>
      </c>
      <c r="AE607" s="19">
        <f>AE597+INDEX(Data_Prices!AE:AE,MATCH($G607,Data_Prices!$A:$A,0))*AE$617</f>
        <v>15.54468458640407</v>
      </c>
    </row>
    <row r="608" spans="2:31" x14ac:dyDescent="0.45">
      <c r="B608" s="14" t="s">
        <v>55</v>
      </c>
      <c r="C608" s="14" t="str">
        <f t="shared" si="178"/>
        <v>mch</v>
      </c>
      <c r="D608" s="15" t="s">
        <v>56</v>
      </c>
      <c r="E608" s="16" t="s">
        <v>57</v>
      </c>
      <c r="F608" s="14" t="s">
        <v>75</v>
      </c>
      <c r="G608" s="17" t="str">
        <f>Settings!$B$3&amp;".mit.shp."&amp;$B608&amp;"."&amp;Settings!$B$4&amp;"."&amp;$J$584</f>
        <v>egy.mit.shp.gso.ind.2</v>
      </c>
      <c r="H608" s="45" t="str">
        <f>Settings!$B$3&amp;".mit.shp."&amp;$C$584&amp;"."&amp;$B608&amp;".e."&amp;$J$584</f>
        <v>egy.mit.shp.mch.gso.e.2</v>
      </c>
      <c r="K608" s="19">
        <f>K598+INDEX(Data_Prices!K:K,MATCH($G608,Data_Prices!$A:$A,0))*K$617</f>
        <v>0.67114653332181595</v>
      </c>
      <c r="L608" s="19">
        <f>L598+INDEX(Data_Prices!L:L,MATCH($G608,Data_Prices!$A:$A,0))*L$617</f>
        <v>0.61197797679140598</v>
      </c>
      <c r="M608" s="19">
        <f>M598+INDEX(Data_Prices!M:M,MATCH($G608,Data_Prices!$A:$A,0))*M$617</f>
        <v>0.61180974964187596</v>
      </c>
      <c r="N608" s="19">
        <f>N598+INDEX(Data_Prices!N:N,MATCH($G608,Data_Prices!$A:$A,0))*N$617</f>
        <v>0.60358310017790595</v>
      </c>
      <c r="O608" s="19">
        <f>O598+INDEX(Data_Prices!O:O,MATCH($G608,Data_Prices!$A:$A,0))*O$617</f>
        <v>0.60358310017790595</v>
      </c>
      <c r="P608" s="19">
        <f>P598+INDEX(Data_Prices!P:P,MATCH($G608,Data_Prices!$A:$A,0))*P$617</f>
        <v>0.60358310017790595</v>
      </c>
      <c r="Q608" s="19">
        <f>Q598+INDEX(Data_Prices!Q:Q,MATCH($G608,Data_Prices!$A:$A,0))*Q$617</f>
        <v>0.63251094334940594</v>
      </c>
      <c r="R608" s="19">
        <f>R598+INDEX(Data_Prices!R:R,MATCH($G608,Data_Prices!$A:$A,0))*R$617</f>
        <v>0.66143878652090593</v>
      </c>
      <c r="S608" s="19">
        <f>S598+INDEX(Data_Prices!S:S,MATCH($G608,Data_Prices!$A:$A,0))*S$617</f>
        <v>0.69036662969240592</v>
      </c>
      <c r="T608" s="19">
        <f>T598+INDEX(Data_Prices!T:T,MATCH($G608,Data_Prices!$A:$A,0))*T$617</f>
        <v>0.71929447286390591</v>
      </c>
      <c r="U608" s="19">
        <f>U598+INDEX(Data_Prices!U:U,MATCH($G608,Data_Prices!$A:$A,0))*U$617</f>
        <v>0.74822231603540601</v>
      </c>
      <c r="V608" s="19">
        <f>V598+INDEX(Data_Prices!V:V,MATCH($G608,Data_Prices!$A:$A,0))*V$617</f>
        <v>0.777150159206906</v>
      </c>
      <c r="W608" s="19">
        <f>W598+INDEX(Data_Prices!W:W,MATCH($G608,Data_Prices!$A:$A,0))*W$617</f>
        <v>0.80607800237840599</v>
      </c>
      <c r="X608" s="19">
        <f>X598+INDEX(Data_Prices!X:X,MATCH($G608,Data_Prices!$A:$A,0))*X$617</f>
        <v>0.83500584554990598</v>
      </c>
      <c r="Y608" s="19">
        <f>Y598+INDEX(Data_Prices!Y:Y,MATCH($G608,Data_Prices!$A:$A,0))*Y$617</f>
        <v>0.86393368872140597</v>
      </c>
      <c r="Z608" s="19">
        <f>Z598+INDEX(Data_Prices!Z:Z,MATCH($G608,Data_Prices!$A:$A,0))*Z$617</f>
        <v>0.89286153189290596</v>
      </c>
      <c r="AA608" s="19">
        <f>AA598+INDEX(Data_Prices!AA:AA,MATCH($G608,Data_Prices!$A:$A,0))*AA$617</f>
        <v>0.92178937506440595</v>
      </c>
      <c r="AB608" s="19">
        <f>AB598+INDEX(Data_Prices!AB:AB,MATCH($G608,Data_Prices!$A:$A,0))*AB$617</f>
        <v>0.95071721823590605</v>
      </c>
      <c r="AC608" s="19">
        <f>AC598+INDEX(Data_Prices!AC:AC,MATCH($G608,Data_Prices!$A:$A,0))*AC$617</f>
        <v>0.97964506140740593</v>
      </c>
      <c r="AD608" s="19">
        <f>AD598+INDEX(Data_Prices!AD:AD,MATCH($G608,Data_Prices!$A:$A,0))*AD$617</f>
        <v>1.008572904578906</v>
      </c>
      <c r="AE608" s="19">
        <f>AE598+INDEX(Data_Prices!AE:AE,MATCH($G608,Data_Prices!$A:$A,0))*AE$617</f>
        <v>1.0375007477504061</v>
      </c>
    </row>
    <row r="609" spans="2:31" x14ac:dyDescent="0.45">
      <c r="B609" s="14" t="s">
        <v>58</v>
      </c>
      <c r="C609" s="14" t="str">
        <f t="shared" si="178"/>
        <v>mch</v>
      </c>
      <c r="D609" s="15" t="s">
        <v>59</v>
      </c>
      <c r="E609" s="16" t="s">
        <v>57</v>
      </c>
      <c r="F609" s="14" t="s">
        <v>75</v>
      </c>
      <c r="G609" s="17" t="str">
        <f>Settings!$B$3&amp;".mit.shp."&amp;$B609&amp;"."&amp;Settings!$B$4&amp;"."&amp;$J$584</f>
        <v>egy.mit.shp.die.ind.2</v>
      </c>
      <c r="H609" s="45" t="str">
        <f>Settings!$B$3&amp;".mit.shp."&amp;$C$584&amp;"."&amp;$B609&amp;".e."&amp;$J$584</f>
        <v>egy.mit.shp.mch.die.e.2</v>
      </c>
      <c r="K609" s="19">
        <f>K599+INDEX(Data_Prices!K:K,MATCH($G609,Data_Prices!$A:$A,0))*K$617</f>
        <v>0.55971121315568795</v>
      </c>
      <c r="L609" s="19">
        <f>L599+INDEX(Data_Prices!L:L,MATCH($G609,Data_Prices!$A:$A,0))*L$617</f>
        <v>0.49458873084106802</v>
      </c>
      <c r="M609" s="19">
        <f>M599+INDEX(Data_Prices!M:M,MATCH($G609,Data_Prices!$A:$A,0))*M$617</f>
        <v>0.50778654720250105</v>
      </c>
      <c r="N609" s="19">
        <f>N599+INDEX(Data_Prices!N:N,MATCH($G609,Data_Prices!$A:$A,0))*N$617</f>
        <v>0.47043642679561698</v>
      </c>
      <c r="O609" s="19">
        <f>O599+INDEX(Data_Prices!O:O,MATCH($G609,Data_Prices!$A:$A,0))*O$617</f>
        <v>0.47043642679561698</v>
      </c>
      <c r="P609" s="19">
        <f>P599+INDEX(Data_Prices!P:P,MATCH($G609,Data_Prices!$A:$A,0))*P$617</f>
        <v>0.47043642679561698</v>
      </c>
      <c r="Q609" s="19">
        <f>Q599+INDEX(Data_Prices!Q:Q,MATCH($G609,Data_Prices!$A:$A,0))*Q$617</f>
        <v>0.50344686565449193</v>
      </c>
      <c r="R609" s="19">
        <f>R599+INDEX(Data_Prices!R:R,MATCH($G609,Data_Prices!$A:$A,0))*R$617</f>
        <v>0.53645730451336693</v>
      </c>
      <c r="S609" s="19">
        <f>S599+INDEX(Data_Prices!S:S,MATCH($G609,Data_Prices!$A:$A,0))*S$617</f>
        <v>0.56946774337224193</v>
      </c>
      <c r="T609" s="19">
        <f>T599+INDEX(Data_Prices!T:T,MATCH($G609,Data_Prices!$A:$A,0))*T$617</f>
        <v>0.60247818223111693</v>
      </c>
      <c r="U609" s="19">
        <f>U599+INDEX(Data_Prices!U:U,MATCH($G609,Data_Prices!$A:$A,0))*U$617</f>
        <v>0.63548862108999193</v>
      </c>
      <c r="V609" s="19">
        <f>V599+INDEX(Data_Prices!V:V,MATCH($G609,Data_Prices!$A:$A,0))*V$617</f>
        <v>0.66849905994886694</v>
      </c>
      <c r="W609" s="19">
        <f>W599+INDEX(Data_Prices!W:W,MATCH($G609,Data_Prices!$A:$A,0))*W$617</f>
        <v>0.70150949880774194</v>
      </c>
      <c r="X609" s="19">
        <f>X599+INDEX(Data_Prices!X:X,MATCH($G609,Data_Prices!$A:$A,0))*X$617</f>
        <v>0.73451993766661694</v>
      </c>
      <c r="Y609" s="19">
        <f>Y599+INDEX(Data_Prices!Y:Y,MATCH($G609,Data_Prices!$A:$A,0))*Y$617</f>
        <v>0.76753037652549194</v>
      </c>
      <c r="Z609" s="19">
        <f>Z599+INDEX(Data_Prices!Z:Z,MATCH($G609,Data_Prices!$A:$A,0))*Z$617</f>
        <v>0.80054081538436694</v>
      </c>
      <c r="AA609" s="19">
        <f>AA599+INDEX(Data_Prices!AA:AA,MATCH($G609,Data_Prices!$A:$A,0))*AA$617</f>
        <v>0.83355125424324195</v>
      </c>
      <c r="AB609" s="19">
        <f>AB599+INDEX(Data_Prices!AB:AB,MATCH($G609,Data_Prices!$A:$A,0))*AB$617</f>
        <v>0.86656169310211695</v>
      </c>
      <c r="AC609" s="19">
        <f>AC599+INDEX(Data_Prices!AC:AC,MATCH($G609,Data_Prices!$A:$A,0))*AC$617</f>
        <v>0.89957213196099195</v>
      </c>
      <c r="AD609" s="19">
        <f>AD599+INDEX(Data_Prices!AD:AD,MATCH($G609,Data_Prices!$A:$A,0))*AD$617</f>
        <v>0.93258257081986695</v>
      </c>
      <c r="AE609" s="19">
        <f>AE599+INDEX(Data_Prices!AE:AE,MATCH($G609,Data_Prices!$A:$A,0))*AE$617</f>
        <v>0.96559300967874195</v>
      </c>
    </row>
    <row r="610" spans="2:31" x14ac:dyDescent="0.45">
      <c r="B610" s="14" t="s">
        <v>60</v>
      </c>
      <c r="C610" s="14" t="str">
        <f t="shared" si="178"/>
        <v>mch</v>
      </c>
      <c r="D610" s="15" t="s">
        <v>61</v>
      </c>
      <c r="E610" s="16" t="s">
        <v>57</v>
      </c>
      <c r="F610" s="14" t="s">
        <v>75</v>
      </c>
      <c r="G610" s="17" t="str">
        <f>Settings!$B$3&amp;".mit.shp."&amp;$B610&amp;"."&amp;Settings!$B$4&amp;"."&amp;$J$584</f>
        <v>egy.mit.shp.lpg.ind.2</v>
      </c>
      <c r="H610" s="45" t="str">
        <f>Settings!$B$3&amp;".mit.shp."&amp;$C$584&amp;"."&amp;$B610&amp;".e."&amp;$J$584</f>
        <v>egy.mit.shp.mch.lpg.e.2</v>
      </c>
      <c r="K610" s="19">
        <f>K600+INDEX(Data_Prices!K:K,MATCH($G610,Data_Prices!$A:$A,0))*K$617</f>
        <v>0.20036669112673799</v>
      </c>
      <c r="L610" s="19">
        <f>L600+INDEX(Data_Prices!L:L,MATCH($G610,Data_Prices!$A:$A,0))*L$617</f>
        <v>0.15734473625227399</v>
      </c>
      <c r="M610" s="19">
        <f>M600+INDEX(Data_Prices!M:M,MATCH($G610,Data_Prices!$A:$A,0))*M$617</f>
        <v>0.164484037759277</v>
      </c>
      <c r="N610" s="19">
        <f>N600+INDEX(Data_Prices!N:N,MATCH($G610,Data_Prices!$A:$A,0))*N$617</f>
        <v>0.15070907780704901</v>
      </c>
      <c r="O610" s="19">
        <f>O600+INDEX(Data_Prices!O:O,MATCH($G610,Data_Prices!$A:$A,0))*O$617</f>
        <v>0.15070907780704901</v>
      </c>
      <c r="P610" s="19">
        <f>P600+INDEX(Data_Prices!P:P,MATCH($G610,Data_Prices!$A:$A,0))*P$617</f>
        <v>0.15070907780704901</v>
      </c>
      <c r="Q610" s="19">
        <f>Q600+INDEX(Data_Prices!Q:Q,MATCH($G610,Data_Prices!$A:$A,0))*Q$617</f>
        <v>0.17281516073434466</v>
      </c>
      <c r="R610" s="19">
        <f>R600+INDEX(Data_Prices!R:R,MATCH($G610,Data_Prices!$A:$A,0))*R$617</f>
        <v>0.19492124366164035</v>
      </c>
      <c r="S610" s="19">
        <f>S600+INDEX(Data_Prices!S:S,MATCH($G610,Data_Prices!$A:$A,0))*S$617</f>
        <v>0.217027326588936</v>
      </c>
      <c r="T610" s="19">
        <f>T600+INDEX(Data_Prices!T:T,MATCH($G610,Data_Prices!$A:$A,0))*T$617</f>
        <v>0.23913340951623169</v>
      </c>
      <c r="U610" s="19">
        <f>U600+INDEX(Data_Prices!U:U,MATCH($G610,Data_Prices!$A:$A,0))*U$617</f>
        <v>0.26123949244352734</v>
      </c>
      <c r="V610" s="19">
        <f>V600+INDEX(Data_Prices!V:V,MATCH($G610,Data_Prices!$A:$A,0))*V$617</f>
        <v>0.283345575370823</v>
      </c>
      <c r="W610" s="19">
        <f>W600+INDEX(Data_Prices!W:W,MATCH($G610,Data_Prices!$A:$A,0))*W$617</f>
        <v>0.30545165829811871</v>
      </c>
      <c r="X610" s="19">
        <f>X600+INDEX(Data_Prices!X:X,MATCH($G610,Data_Prices!$A:$A,0))*X$617</f>
        <v>0.32755774122541437</v>
      </c>
      <c r="Y610" s="19">
        <f>Y600+INDEX(Data_Prices!Y:Y,MATCH($G610,Data_Prices!$A:$A,0))*Y$617</f>
        <v>0.34966382415271002</v>
      </c>
      <c r="Z610" s="19">
        <f>Z600+INDEX(Data_Prices!Z:Z,MATCH($G610,Data_Prices!$A:$A,0))*Z$617</f>
        <v>0.37176990708000568</v>
      </c>
      <c r="AA610" s="19">
        <f>AA600+INDEX(Data_Prices!AA:AA,MATCH($G610,Data_Prices!$A:$A,0))*AA$617</f>
        <v>0.39387599000730134</v>
      </c>
      <c r="AB610" s="19">
        <f>AB600+INDEX(Data_Prices!AB:AB,MATCH($G610,Data_Prices!$A:$A,0))*AB$617</f>
        <v>0.41598207293459699</v>
      </c>
      <c r="AC610" s="19">
        <f>AC600+INDEX(Data_Prices!AC:AC,MATCH($G610,Data_Prices!$A:$A,0))*AC$617</f>
        <v>0.4380881558618927</v>
      </c>
      <c r="AD610" s="19">
        <f>AD600+INDEX(Data_Prices!AD:AD,MATCH($G610,Data_Prices!$A:$A,0))*AD$617</f>
        <v>0.46019423878918836</v>
      </c>
      <c r="AE610" s="19">
        <f>AE600+INDEX(Data_Prices!AE:AE,MATCH($G610,Data_Prices!$A:$A,0))*AE$617</f>
        <v>0.48230032171648402</v>
      </c>
    </row>
    <row r="611" spans="2:31" x14ac:dyDescent="0.45">
      <c r="B611" s="14" t="s">
        <v>62</v>
      </c>
      <c r="C611" s="14" t="str">
        <f t="shared" si="178"/>
        <v>mch</v>
      </c>
      <c r="D611" s="15" t="s">
        <v>63</v>
      </c>
      <c r="E611" s="16" t="s">
        <v>57</v>
      </c>
      <c r="F611" s="14" t="s">
        <v>75</v>
      </c>
      <c r="G611" s="17" t="str">
        <f>Settings!$B$3&amp;".mit.shp."&amp;$B611&amp;"."&amp;Settings!$B$4&amp;"."&amp;$J$584</f>
        <v>egy.mit.shp.ker.ind.2</v>
      </c>
      <c r="H611" s="45" t="str">
        <f>Settings!$B$3&amp;".mit.shp."&amp;$C$584&amp;"."&amp;$B611&amp;".e."&amp;$J$584</f>
        <v>egy.mit.shp.mch.ker.e.2</v>
      </c>
      <c r="K611" s="19">
        <f>K601+INDEX(Data_Prices!K:K,MATCH($G611,Data_Prices!$A:$A,0))*K$617</f>
        <v>0.48429424097343499</v>
      </c>
      <c r="L611" s="19">
        <f>L601+INDEX(Data_Prices!L:L,MATCH($G611,Data_Prices!$A:$A,0))*L$617</f>
        <v>0.45642817050012802</v>
      </c>
      <c r="M611" s="19">
        <f>M601+INDEX(Data_Prices!M:M,MATCH($G611,Data_Prices!$A:$A,0))*M$617</f>
        <v>0.43168920195599497</v>
      </c>
      <c r="N611" s="19">
        <f>N601+INDEX(Data_Prices!N:N,MATCH($G611,Data_Prices!$A:$A,0))*N$617</f>
        <v>0.42507558395597</v>
      </c>
      <c r="O611" s="19">
        <f>O601+INDEX(Data_Prices!O:O,MATCH($G611,Data_Prices!$A:$A,0))*O$617</f>
        <v>0.42507558395597</v>
      </c>
      <c r="P611" s="19">
        <f>P601+INDEX(Data_Prices!P:P,MATCH($G611,Data_Prices!$A:$A,0))*P$617</f>
        <v>0.42507558395597</v>
      </c>
      <c r="Q611" s="19">
        <f>Q601+INDEX(Data_Prices!Q:Q,MATCH($G611,Data_Prices!$A:$A,0))*Q$617</f>
        <v>0.45706441406607845</v>
      </c>
      <c r="R611" s="19">
        <f>R601+INDEX(Data_Prices!R:R,MATCH($G611,Data_Prices!$A:$A,0))*R$617</f>
        <v>0.48905324417618695</v>
      </c>
      <c r="S611" s="19">
        <f>S601+INDEX(Data_Prices!S:S,MATCH($G611,Data_Prices!$A:$A,0))*S$617</f>
        <v>0.52104207428629534</v>
      </c>
      <c r="T611" s="19">
        <f>T601+INDEX(Data_Prices!T:T,MATCH($G611,Data_Prices!$A:$A,0))*T$617</f>
        <v>0.5530309043964039</v>
      </c>
      <c r="U611" s="19">
        <f>U601+INDEX(Data_Prices!U:U,MATCH($G611,Data_Prices!$A:$A,0))*U$617</f>
        <v>0.58501973450651235</v>
      </c>
      <c r="V611" s="19">
        <f>V601+INDEX(Data_Prices!V:V,MATCH($G611,Data_Prices!$A:$A,0))*V$617</f>
        <v>0.61700856461662079</v>
      </c>
      <c r="W611" s="19">
        <f>W601+INDEX(Data_Prices!W:W,MATCH($G611,Data_Prices!$A:$A,0))*W$617</f>
        <v>0.64899739472672924</v>
      </c>
      <c r="X611" s="19">
        <f>X601+INDEX(Data_Prices!X:X,MATCH($G611,Data_Prices!$A:$A,0))*X$617</f>
        <v>0.68098622483683768</v>
      </c>
      <c r="Y611" s="19">
        <f>Y601+INDEX(Data_Prices!Y:Y,MATCH($G611,Data_Prices!$A:$A,0))*Y$617</f>
        <v>0.71297505494694624</v>
      </c>
      <c r="Z611" s="19">
        <f>Z601+INDEX(Data_Prices!Z:Z,MATCH($G611,Data_Prices!$A:$A,0))*Z$617</f>
        <v>0.74496388505705469</v>
      </c>
      <c r="AA611" s="19">
        <f>AA601+INDEX(Data_Prices!AA:AA,MATCH($G611,Data_Prices!$A:$A,0))*AA$617</f>
        <v>0.77695271516716313</v>
      </c>
      <c r="AB611" s="19">
        <f>AB601+INDEX(Data_Prices!AB:AB,MATCH($G611,Data_Prices!$A:$A,0))*AB$617</f>
        <v>0.80894154527727158</v>
      </c>
      <c r="AC611" s="19">
        <f>AC601+INDEX(Data_Prices!AC:AC,MATCH($G611,Data_Prices!$A:$A,0))*AC$617</f>
        <v>0.84093037538738002</v>
      </c>
      <c r="AD611" s="19">
        <f>AD601+INDEX(Data_Prices!AD:AD,MATCH($G611,Data_Prices!$A:$A,0))*AD$617</f>
        <v>0.87291920549748858</v>
      </c>
      <c r="AE611" s="19">
        <f>AE601+INDEX(Data_Prices!AE:AE,MATCH($G611,Data_Prices!$A:$A,0))*AE$617</f>
        <v>0.90490803560759692</v>
      </c>
    </row>
    <row r="612" spans="2:31" x14ac:dyDescent="0.45">
      <c r="B612" s="14" t="s">
        <v>64</v>
      </c>
      <c r="C612" s="14" t="str">
        <f t="shared" si="178"/>
        <v>mch</v>
      </c>
      <c r="D612" s="15" t="s">
        <v>65</v>
      </c>
      <c r="E612" s="16" t="s">
        <v>66</v>
      </c>
      <c r="F612" s="14" t="s">
        <v>75</v>
      </c>
      <c r="G612" s="17" t="str">
        <f>Settings!$B$3&amp;".mit.shp."&amp;$B612&amp;"."&amp;Settings!$B$4&amp;"."&amp;$J$584</f>
        <v>egy.mit.shp.oop.ind.2</v>
      </c>
      <c r="H612" s="45" t="str">
        <f>Settings!$B$3&amp;".mit.shp."&amp;$C$584&amp;"."&amp;$B612&amp;".e."&amp;$J$584</f>
        <v>egy.mit.shp.mch.oop.e.2</v>
      </c>
      <c r="K612" s="19">
        <f>K602+INDEX(Data_Prices!K:K,MATCH($G612,Data_Prices!$A:$A,0))*K$617</f>
        <v>41.500338498868402</v>
      </c>
      <c r="L612" s="19">
        <f>L602+INDEX(Data_Prices!L:L,MATCH($G612,Data_Prices!$A:$A,0))*L$617</f>
        <v>34.4153703043132</v>
      </c>
      <c r="M612" s="19">
        <f>M602+INDEX(Data_Prices!M:M,MATCH($G612,Data_Prices!$A:$A,0))*M$617</f>
        <v>37.368960690431997</v>
      </c>
      <c r="N612" s="19">
        <f>N602+INDEX(Data_Prices!N:N,MATCH($G612,Data_Prices!$A:$A,0))*N$617</f>
        <v>28.982761101477301</v>
      </c>
      <c r="O612" s="19">
        <f>O602+INDEX(Data_Prices!O:O,MATCH($G612,Data_Prices!$A:$A,0))*O$617</f>
        <v>15</v>
      </c>
      <c r="P612" s="19">
        <f>P602+INDEX(Data_Prices!P:P,MATCH($G612,Data_Prices!$A:$A,0))*P$617</f>
        <v>24.2586300842555</v>
      </c>
      <c r="Q612" s="19">
        <f>Q602+INDEX(Data_Prices!Q:Q,MATCH($G612,Data_Prices!$A:$A,0))*Q$617</f>
        <v>18.963758196132499</v>
      </c>
      <c r="R612" s="19">
        <f>R602+INDEX(Data_Prices!R:R,MATCH($G612,Data_Prices!$A:$A,0))*R$617</f>
        <v>21.760345114010597</v>
      </c>
      <c r="S612" s="19">
        <f>S602+INDEX(Data_Prices!S:S,MATCH($G612,Data_Prices!$A:$A,0))*S$617</f>
        <v>26.079880691373621</v>
      </c>
      <c r="T612" s="19">
        <f>T602+INDEX(Data_Prices!T:T,MATCH($G612,Data_Prices!$A:$A,0))*T$617</f>
        <v>30.593682445209218</v>
      </c>
      <c r="U612" s="19">
        <f>U602+INDEX(Data_Prices!U:U,MATCH($G612,Data_Prices!$A:$A,0))*U$617</f>
        <v>34.990509739410058</v>
      </c>
      <c r="V612" s="19">
        <f>V602+INDEX(Data_Prices!V:V,MATCH($G612,Data_Prices!$A:$A,0))*V$617</f>
        <v>40.858059739410059</v>
      </c>
      <c r="W612" s="19">
        <f>W602+INDEX(Data_Prices!W:W,MATCH($G612,Data_Prices!$A:$A,0))*W$617</f>
        <v>46.725609739410054</v>
      </c>
      <c r="X612" s="19">
        <f>X602+INDEX(Data_Prices!X:X,MATCH($G612,Data_Prices!$A:$A,0))*X$617</f>
        <v>52.593159739410055</v>
      </c>
      <c r="Y612" s="19">
        <f>Y602+INDEX(Data_Prices!Y:Y,MATCH($G612,Data_Prices!$A:$A,0))*Y$617</f>
        <v>58.460709739410056</v>
      </c>
      <c r="Z612" s="19">
        <f>Z602+INDEX(Data_Prices!Z:Z,MATCH($G612,Data_Prices!$A:$A,0))*Z$617</f>
        <v>64.328259739410072</v>
      </c>
      <c r="AA612" s="19">
        <f>AA602+INDEX(Data_Prices!AA:AA,MATCH($G612,Data_Prices!$A:$A,0))*AA$617</f>
        <v>70.195809739410052</v>
      </c>
      <c r="AB612" s="19">
        <f>AB602+INDEX(Data_Prices!AB:AB,MATCH($G612,Data_Prices!$A:$A,0))*AB$617</f>
        <v>76.06335973941006</v>
      </c>
      <c r="AC612" s="19">
        <f>AC602+INDEX(Data_Prices!AC:AC,MATCH($G612,Data_Prices!$A:$A,0))*AC$617</f>
        <v>81.930909739410041</v>
      </c>
      <c r="AD612" s="19">
        <f>AD602+INDEX(Data_Prices!AD:AD,MATCH($G612,Data_Prices!$A:$A,0))*AD$617</f>
        <v>87.798459739410049</v>
      </c>
      <c r="AE612" s="19">
        <f>AE602+INDEX(Data_Prices!AE:AE,MATCH($G612,Data_Prices!$A:$A,0))*AE$617</f>
        <v>93.666009739410043</v>
      </c>
    </row>
    <row r="613" spans="2:31" x14ac:dyDescent="0.45">
      <c r="B613" s="14" t="s">
        <v>67</v>
      </c>
      <c r="C613" s="14" t="str">
        <f t="shared" si="178"/>
        <v>mch</v>
      </c>
      <c r="D613" s="15" t="s">
        <v>68</v>
      </c>
      <c r="E613" s="16" t="s">
        <v>51</v>
      </c>
      <c r="F613" s="14" t="s">
        <v>75</v>
      </c>
      <c r="G613" s="17" t="str">
        <f>Settings!$B$3&amp;".mit.shp."&amp;$B613&amp;"."&amp;Settings!$B$4&amp;"."&amp;$J$584</f>
        <v>egy.mit.shp.bio.ind.2</v>
      </c>
      <c r="H613" s="45" t="str">
        <f>Settings!$B$3&amp;".mit.shp."&amp;$C$584&amp;"."&amp;$B613&amp;".e."&amp;$J$584</f>
        <v>egy.mit.shp.mch.bio.e.2</v>
      </c>
      <c r="K613" s="19">
        <f>K603+INDEX(Data_Prices!K:K,MATCH($G613,Data_Prices!$A:$A,0))*K$617</f>
        <v>15.3345505293169</v>
      </c>
      <c r="L613" s="19">
        <f>L603+INDEX(Data_Prices!L:L,MATCH($G613,Data_Prices!$A:$A,0))*L$617</f>
        <v>14.199528390634899</v>
      </c>
      <c r="M613" s="19">
        <f>M603+INDEX(Data_Prices!M:M,MATCH($G613,Data_Prices!$A:$A,0))*M$617</f>
        <v>13.8404416133152</v>
      </c>
      <c r="N613" s="19">
        <f>N603+INDEX(Data_Prices!N:N,MATCH($G613,Data_Prices!$A:$A,0))*N$617</f>
        <v>13.5677269404465</v>
      </c>
      <c r="O613" s="19">
        <f>O603+INDEX(Data_Prices!O:O,MATCH($G613,Data_Prices!$A:$A,0))*O$617</f>
        <v>13.5677269404465</v>
      </c>
      <c r="P613" s="19">
        <f>P603+INDEX(Data_Prices!P:P,MATCH($G613,Data_Prices!$A:$A,0))*P$617</f>
        <v>13.5677269404465</v>
      </c>
      <c r="Q613" s="19">
        <f>Q603+INDEX(Data_Prices!Q:Q,MATCH($G613,Data_Prices!$A:$A,0))*Q$617</f>
        <v>13.5677269404465</v>
      </c>
      <c r="R613" s="19">
        <f>R603+INDEX(Data_Prices!R:R,MATCH($G613,Data_Prices!$A:$A,0))*R$617</f>
        <v>13.5677269404465</v>
      </c>
      <c r="S613" s="19">
        <f>S603+INDEX(Data_Prices!S:S,MATCH($G613,Data_Prices!$A:$A,0))*S$617</f>
        <v>13.5677269404465</v>
      </c>
      <c r="T613" s="19">
        <f>T603+INDEX(Data_Prices!T:T,MATCH($G613,Data_Prices!$A:$A,0))*T$617</f>
        <v>13.5677269404465</v>
      </c>
      <c r="U613" s="19">
        <f>U603+INDEX(Data_Prices!U:U,MATCH($G613,Data_Prices!$A:$A,0))*U$617</f>
        <v>13.5677269404465</v>
      </c>
      <c r="V613" s="19">
        <f>V603+INDEX(Data_Prices!V:V,MATCH($G613,Data_Prices!$A:$A,0))*V$617</f>
        <v>13.5677269404465</v>
      </c>
      <c r="W613" s="19">
        <f>W603+INDEX(Data_Prices!W:W,MATCH($G613,Data_Prices!$A:$A,0))*W$617</f>
        <v>13.5677269404465</v>
      </c>
      <c r="X613" s="19">
        <f>X603+INDEX(Data_Prices!X:X,MATCH($G613,Data_Prices!$A:$A,0))*X$617</f>
        <v>13.5677269404465</v>
      </c>
      <c r="Y613" s="19">
        <f>Y603+INDEX(Data_Prices!Y:Y,MATCH($G613,Data_Prices!$A:$A,0))*Y$617</f>
        <v>13.5677269404465</v>
      </c>
      <c r="Z613" s="19">
        <f>Z603+INDEX(Data_Prices!Z:Z,MATCH($G613,Data_Prices!$A:$A,0))*Z$617</f>
        <v>13.5677269404465</v>
      </c>
      <c r="AA613" s="19">
        <f>AA603+INDEX(Data_Prices!AA:AA,MATCH($G613,Data_Prices!$A:$A,0))*AA$617</f>
        <v>13.5677269404465</v>
      </c>
      <c r="AB613" s="19">
        <f>AB603+INDEX(Data_Prices!AB:AB,MATCH($G613,Data_Prices!$A:$A,0))*AB$617</f>
        <v>13.5677269404465</v>
      </c>
      <c r="AC613" s="19">
        <f>AC603+INDEX(Data_Prices!AC:AC,MATCH($G613,Data_Prices!$A:$A,0))*AC$617</f>
        <v>13.5677269404465</v>
      </c>
      <c r="AD613" s="19">
        <f>AD603+INDEX(Data_Prices!AD:AD,MATCH($G613,Data_Prices!$A:$A,0))*AD$617</f>
        <v>13.5677269404465</v>
      </c>
      <c r="AE613" s="19">
        <f>AE603+INDEX(Data_Prices!AE:AE,MATCH($G613,Data_Prices!$A:$A,0))*AE$617</f>
        <v>13.5677269404465</v>
      </c>
    </row>
    <row r="614" spans="2:31" x14ac:dyDescent="0.45">
      <c r="B614" s="14" t="s">
        <v>69</v>
      </c>
      <c r="C614" s="14" t="str">
        <f t="shared" si="178"/>
        <v>mch</v>
      </c>
      <c r="D614" s="15" t="s">
        <v>70</v>
      </c>
      <c r="E614" s="16" t="s">
        <v>71</v>
      </c>
      <c r="F614" s="14" t="s">
        <v>75</v>
      </c>
      <c r="G614" s="17" t="str">
        <f>Settings!$B$3&amp;".mit.shp."&amp;$B614&amp;"."&amp;Settings!$B$4&amp;"."&amp;$J$584</f>
        <v>egy.mit.shp.ren.ind.2</v>
      </c>
      <c r="H614" s="45" t="str">
        <f>Settings!$B$3&amp;".mit.shp."&amp;$C$584&amp;"."&amp;$B614&amp;".e."&amp;$J$584</f>
        <v>egy.mit.shp.mch.ren.e.2</v>
      </c>
      <c r="K614" s="19">
        <f>K604+INDEX(Data_Prices!K:K,MATCH($G614,Data_Prices!$A:$A,0))*K$617</f>
        <v>0</v>
      </c>
      <c r="L614" s="19">
        <f>L604+INDEX(Data_Prices!L:L,MATCH($G614,Data_Prices!$A:$A,0))*L$617</f>
        <v>0.14404498679319799</v>
      </c>
      <c r="M614" s="19">
        <f>M604+INDEX(Data_Prices!M:M,MATCH($G614,Data_Prices!$A:$A,0))*M$617</f>
        <v>0.141386241751359</v>
      </c>
      <c r="N614" s="19">
        <f>N604+INDEX(Data_Prices!N:N,MATCH($G614,Data_Prices!$A:$A,0))*N$617</f>
        <v>0.13539756544373099</v>
      </c>
      <c r="O614" s="19">
        <f>O604+INDEX(Data_Prices!O:O,MATCH($G614,Data_Prices!$A:$A,0))*O$617</f>
        <v>0.13152288542065099</v>
      </c>
      <c r="P614" s="19">
        <f>P604+INDEX(Data_Prices!P:P,MATCH($G614,Data_Prices!$A:$A,0))*P$617</f>
        <v>0.12882610848523099</v>
      </c>
      <c r="Q614" s="19">
        <f>Q604+INDEX(Data_Prices!Q:Q,MATCH($G614,Data_Prices!$A:$A,0))*Q$617</f>
        <v>0.12594200976473999</v>
      </c>
      <c r="R614" s="19">
        <f>R604+INDEX(Data_Prices!R:R,MATCH($G614,Data_Prices!$A:$A,0))*R$617</f>
        <v>0.123113265701861</v>
      </c>
      <c r="S614" s="19">
        <f>S604+INDEX(Data_Prices!S:S,MATCH($G614,Data_Prices!$A:$A,0))*S$617</f>
        <v>0.119391738089068</v>
      </c>
      <c r="T614" s="19">
        <f>T604+INDEX(Data_Prices!T:T,MATCH($G614,Data_Prices!$A:$A,0))*T$617</f>
        <v>0.11554419046792</v>
      </c>
      <c r="U614" s="19">
        <f>U604+INDEX(Data_Prices!U:U,MATCH($G614,Data_Prices!$A:$A,0))*U$617</f>
        <v>0.11492423065415899</v>
      </c>
      <c r="V614" s="19">
        <f>V604+INDEX(Data_Prices!V:V,MATCH($G614,Data_Prices!$A:$A,0))*V$617</f>
        <v>0.114346912116736</v>
      </c>
      <c r="W614" s="19">
        <f>W604+INDEX(Data_Prices!W:W,MATCH($G614,Data_Prices!$A:$A,0))*W$617</f>
        <v>0.113738711172664</v>
      </c>
      <c r="X614" s="19">
        <f>X604+INDEX(Data_Prices!X:X,MATCH($G614,Data_Prices!$A:$A,0))*X$617</f>
        <v>0.112999900487521</v>
      </c>
      <c r="Y614" s="19">
        <f>Y604+INDEX(Data_Prices!Y:Y,MATCH($G614,Data_Prices!$A:$A,0))*Y$617</f>
        <v>0.112177685835534</v>
      </c>
      <c r="Z614" s="19">
        <f>Z604+INDEX(Data_Prices!Z:Z,MATCH($G614,Data_Prices!$A:$A,0))*Z$617</f>
        <v>0.111417903250404</v>
      </c>
      <c r="AA614" s="19">
        <f>AA604+INDEX(Data_Prices!AA:AA,MATCH($G614,Data_Prices!$A:$A,0))*AA$617</f>
        <v>0.11052581998545399</v>
      </c>
      <c r="AB614" s="19">
        <f>AB604+INDEX(Data_Prices!AB:AB,MATCH($G614,Data_Prices!$A:$A,0))*AB$617</f>
        <v>0.109699565234896</v>
      </c>
      <c r="AC614" s="19">
        <f>AC604+INDEX(Data_Prices!AC:AC,MATCH($G614,Data_Prices!$A:$A,0))*AC$617</f>
        <v>0.10772678896394899</v>
      </c>
      <c r="AD614" s="19">
        <f>AD604+INDEX(Data_Prices!AD:AD,MATCH($G614,Data_Prices!$A:$A,0))*AD$617</f>
        <v>0.10582092445093499</v>
      </c>
      <c r="AE614" s="19">
        <f>AE604+INDEX(Data_Prices!AE:AE,MATCH($G614,Data_Prices!$A:$A,0))*AE$617</f>
        <v>0.103855595705721</v>
      </c>
    </row>
    <row r="615" spans="2:31" x14ac:dyDescent="0.45">
      <c r="B615" s="13" t="s">
        <v>76</v>
      </c>
    </row>
    <row r="616" spans="2:31" x14ac:dyDescent="0.45">
      <c r="B616" s="14" t="s">
        <v>77</v>
      </c>
      <c r="C616" s="14" t="str">
        <f>$C$584</f>
        <v>mch</v>
      </c>
      <c r="D616" s="15" t="s">
        <v>78</v>
      </c>
      <c r="E616" s="16" t="s">
        <v>79</v>
      </c>
      <c r="F616" s="14" t="s">
        <v>80</v>
      </c>
      <c r="G616" s="17" t="str">
        <f>Settings!$B$3&amp;".mit.tcf."&amp;$C$584&amp;"."&amp;$J$584</f>
        <v>egy.mit.tcf.mch.2</v>
      </c>
      <c r="K616" s="19">
        <f>INDEX(Data_Prices!K:K,MATCH($G616,Data_Prices!$A:$A,0))</f>
        <v>0</v>
      </c>
      <c r="L616" s="19">
        <f>INDEX(Data_Prices!L:L,MATCH($G616,Data_Prices!$A:$A,0))</f>
        <v>0</v>
      </c>
      <c r="M616" s="19">
        <f>INDEX(Data_Prices!M:M,MATCH($G616,Data_Prices!$A:$A,0))</f>
        <v>0</v>
      </c>
      <c r="N616" s="19">
        <f>INDEX(Data_Prices!N:N,MATCH($G616,Data_Prices!$A:$A,0))</f>
        <v>0</v>
      </c>
      <c r="O616" s="19">
        <f>INDEX(Data_Prices!O:O,MATCH($G616,Data_Prices!$A:$A,0))</f>
        <v>0</v>
      </c>
      <c r="P616" s="19">
        <f>INDEX(Data_Prices!P:P,MATCH($G616,Data_Prices!$A:$A,0))</f>
        <v>1</v>
      </c>
      <c r="Q616" s="19">
        <f>INDEX(Data_Prices!Q:Q,MATCH($G616,Data_Prices!$A:$A,0))</f>
        <v>1</v>
      </c>
      <c r="R616" s="19">
        <f>INDEX(Data_Prices!R:R,MATCH($G616,Data_Prices!$A:$A,0))</f>
        <v>1</v>
      </c>
      <c r="S616" s="19">
        <f>INDEX(Data_Prices!S:S,MATCH($G616,Data_Prices!$A:$A,0))</f>
        <v>1</v>
      </c>
      <c r="T616" s="19">
        <f>INDEX(Data_Prices!T:T,MATCH($G616,Data_Prices!$A:$A,0))</f>
        <v>1</v>
      </c>
      <c r="U616" s="19">
        <f>INDEX(Data_Prices!U:U,MATCH($G616,Data_Prices!$A:$A,0))</f>
        <v>1</v>
      </c>
      <c r="V616" s="19">
        <f>INDEX(Data_Prices!V:V,MATCH($G616,Data_Prices!$A:$A,0))</f>
        <v>1</v>
      </c>
      <c r="W616" s="19">
        <f>INDEX(Data_Prices!W:W,MATCH($G616,Data_Prices!$A:$A,0))</f>
        <v>1</v>
      </c>
      <c r="X616" s="19">
        <f>INDEX(Data_Prices!X:X,MATCH($G616,Data_Prices!$A:$A,0))</f>
        <v>1</v>
      </c>
      <c r="Y616" s="19">
        <f>INDEX(Data_Prices!Y:Y,MATCH($G616,Data_Prices!$A:$A,0))</f>
        <v>1</v>
      </c>
      <c r="Z616" s="19">
        <f>INDEX(Data_Prices!Z:Z,MATCH($G616,Data_Prices!$A:$A,0))</f>
        <v>1</v>
      </c>
      <c r="AA616" s="19">
        <f>INDEX(Data_Prices!AA:AA,MATCH($G616,Data_Prices!$A:$A,0))</f>
        <v>1</v>
      </c>
      <c r="AB616" s="19">
        <f>INDEX(Data_Prices!AB:AB,MATCH($G616,Data_Prices!$A:$A,0))</f>
        <v>1</v>
      </c>
      <c r="AC616" s="19">
        <f>INDEX(Data_Prices!AC:AC,MATCH($G616,Data_Prices!$A:$A,0))</f>
        <v>1</v>
      </c>
      <c r="AD616" s="19">
        <f>INDEX(Data_Prices!AD:AD,MATCH($G616,Data_Prices!$A:$A,0))</f>
        <v>1</v>
      </c>
      <c r="AE616" s="19">
        <f>INDEX(Data_Prices!AE:AE,MATCH($G616,Data_Prices!$A:$A,0))</f>
        <v>1</v>
      </c>
    </row>
    <row r="617" spans="2:31" x14ac:dyDescent="0.45">
      <c r="B617" s="14" t="s">
        <v>77</v>
      </c>
      <c r="C617" s="14" t="str">
        <f>$C$584</f>
        <v>mch</v>
      </c>
      <c r="D617" s="15" t="s">
        <v>81</v>
      </c>
      <c r="E617" s="16" t="s">
        <v>79</v>
      </c>
      <c r="F617" s="14" t="s">
        <v>82</v>
      </c>
      <c r="G617" s="17" t="str">
        <f>Settings!$B$3&amp;".mit.ssc."&amp;$C$584&amp;"."&amp;$J$584</f>
        <v>egy.mit.ssc.mch.2</v>
      </c>
      <c r="K617" s="19">
        <f>INDEX(Data_Prices!K:K,MATCH($G617,Data_Prices!$A:$A,0))</f>
        <v>0</v>
      </c>
      <c r="L617" s="19">
        <f>INDEX(Data_Prices!L:L,MATCH($G617,Data_Prices!$A:$A,0))</f>
        <v>1</v>
      </c>
      <c r="M617" s="19">
        <f>INDEX(Data_Prices!M:M,MATCH($G617,Data_Prices!$A:$A,0))</f>
        <v>1</v>
      </c>
      <c r="N617" s="19">
        <f>INDEX(Data_Prices!N:N,MATCH($G617,Data_Prices!$A:$A,0))</f>
        <v>1</v>
      </c>
      <c r="O617" s="19">
        <f>INDEX(Data_Prices!O:O,MATCH($G617,Data_Prices!$A:$A,0))</f>
        <v>1</v>
      </c>
      <c r="P617" s="19">
        <f>INDEX(Data_Prices!P:P,MATCH($G617,Data_Prices!$A:$A,0))</f>
        <v>1</v>
      </c>
      <c r="Q617" s="19">
        <f>INDEX(Data_Prices!Q:Q,MATCH($G617,Data_Prices!$A:$A,0))</f>
        <v>1</v>
      </c>
      <c r="R617" s="19">
        <f>INDEX(Data_Prices!R:R,MATCH($G617,Data_Prices!$A:$A,0))</f>
        <v>1</v>
      </c>
      <c r="S617" s="19">
        <f>INDEX(Data_Prices!S:S,MATCH($G617,Data_Prices!$A:$A,0))</f>
        <v>1</v>
      </c>
      <c r="T617" s="19">
        <f>INDEX(Data_Prices!T:T,MATCH($G617,Data_Prices!$A:$A,0))</f>
        <v>1</v>
      </c>
      <c r="U617" s="19">
        <f>INDEX(Data_Prices!U:U,MATCH($G617,Data_Prices!$A:$A,0))</f>
        <v>1</v>
      </c>
      <c r="V617" s="19">
        <f>INDEX(Data_Prices!V:V,MATCH($G617,Data_Prices!$A:$A,0))</f>
        <v>1</v>
      </c>
      <c r="W617" s="19">
        <f>INDEX(Data_Prices!W:W,MATCH($G617,Data_Prices!$A:$A,0))</f>
        <v>1</v>
      </c>
      <c r="X617" s="19">
        <f>INDEX(Data_Prices!X:X,MATCH($G617,Data_Prices!$A:$A,0))</f>
        <v>1</v>
      </c>
      <c r="Y617" s="19">
        <f>INDEX(Data_Prices!Y:Y,MATCH($G617,Data_Prices!$A:$A,0))</f>
        <v>1</v>
      </c>
      <c r="Z617" s="19">
        <f>INDEX(Data_Prices!Z:Z,MATCH($G617,Data_Prices!$A:$A,0))</f>
        <v>1</v>
      </c>
      <c r="AA617" s="19">
        <f>INDEX(Data_Prices!AA:AA,MATCH($G617,Data_Prices!$A:$A,0))</f>
        <v>1</v>
      </c>
      <c r="AB617" s="19">
        <f>INDEX(Data_Prices!AB:AB,MATCH($G617,Data_Prices!$A:$A,0))</f>
        <v>1</v>
      </c>
      <c r="AC617" s="19">
        <f>INDEX(Data_Prices!AC:AC,MATCH($G617,Data_Prices!$A:$A,0))</f>
        <v>1</v>
      </c>
      <c r="AD617" s="19">
        <f>INDEX(Data_Prices!AD:AD,MATCH($G617,Data_Prices!$A:$A,0))</f>
        <v>1</v>
      </c>
      <c r="AE617" s="19">
        <f>INDEX(Data_Prices!AE:AE,MATCH($G617,Data_Prices!$A:$A,0))</f>
        <v>1</v>
      </c>
    </row>
    <row r="618" spans="2:31" x14ac:dyDescent="0.45">
      <c r="B618" s="14" t="s">
        <v>77</v>
      </c>
      <c r="C618" s="14" t="str">
        <f>$C$584</f>
        <v>mch</v>
      </c>
      <c r="D618" s="15" t="s">
        <v>83</v>
      </c>
      <c r="E618" s="16" t="s">
        <v>84</v>
      </c>
      <c r="F618" s="14" t="s">
        <v>85</v>
      </c>
      <c r="G618" s="17" t="str">
        <f>Settings!$B$3&amp;".mit.gdp.pos.pct."&amp;$J$584</f>
        <v>egy.mit.gdp.pos.pct.2</v>
      </c>
      <c r="K618" s="20">
        <f>INDEX(Data_Macro!K:K,MATCH($G618,Data_Macro!$A:$A,0))</f>
        <v>0</v>
      </c>
      <c r="L618" s="20">
        <f>INDEX(Data_Macro!L:L,MATCH($G618,Data_Macro!$A:$A,0))</f>
        <v>6.6513450000000002E-2</v>
      </c>
      <c r="M618" s="20">
        <f>INDEX(Data_Macro!M:M,MATCH($G618,Data_Macro!$A:$A,0))</f>
        <v>3.760281E-2</v>
      </c>
      <c r="N618" s="20">
        <f>INDEX(Data_Macro!N:N,MATCH($G618,Data_Macro!$A:$A,0))</f>
        <v>2.3988010000000001E-2</v>
      </c>
      <c r="O618" s="20">
        <f>INDEX(Data_Macro!O:O,MATCH($G618,Data_Macro!$A:$A,0))</f>
        <v>4.3923869999999997E-2</v>
      </c>
      <c r="P618" s="20">
        <f>INDEX(Data_Macro!P:P,MATCH($G618,Data_Macro!$A:$A,0))</f>
        <v>4.239706E-2</v>
      </c>
      <c r="Q618" s="20">
        <f>INDEX(Data_Macro!Q:Q,MATCH($G618,Data_Macro!$A:$A,0))</f>
        <v>4.8298383783007597E-2</v>
      </c>
      <c r="R618" s="20">
        <f>INDEX(Data_Macro!R:R,MATCH($G618,Data_Macro!$A:$A,0))</f>
        <v>5.55905477124225E-2</v>
      </c>
      <c r="S618" s="20">
        <f>INDEX(Data_Macro!S:S,MATCH($G618,Data_Macro!$A:$A,0))</f>
        <v>5.2137235389631401E-2</v>
      </c>
      <c r="T618" s="20">
        <f>INDEX(Data_Macro!T:T,MATCH($G618,Data_Macro!$A:$A,0))</f>
        <v>4.8124907491929901E-2</v>
      </c>
      <c r="U618" s="20">
        <f>INDEX(Data_Macro!U:U,MATCH($G618,Data_Macro!$A:$A,0))</f>
        <v>4.7208796526521303E-2</v>
      </c>
      <c r="V618" s="20">
        <f>INDEX(Data_Macro!V:V,MATCH($G618,Data_Macro!$A:$A,0))</f>
        <v>4.66890433006764E-2</v>
      </c>
      <c r="W618" s="20">
        <f>INDEX(Data_Macro!W:W,MATCH($G618,Data_Macro!$A:$A,0))</f>
        <v>4.6632750147029202E-2</v>
      </c>
      <c r="X618" s="20">
        <f>INDEX(Data_Macro!X:X,MATCH($G618,Data_Macro!$A:$A,0))</f>
        <v>4.6872723264421497E-2</v>
      </c>
      <c r="Y618" s="20">
        <f>INDEX(Data_Macro!Y:Y,MATCH($G618,Data_Macro!$A:$A,0))</f>
        <v>4.7469921753048698E-2</v>
      </c>
      <c r="Z618" s="20">
        <f>INDEX(Data_Macro!Z:Z,MATCH($G618,Data_Macro!$A:$A,0))</f>
        <v>4.8590713024029002E-2</v>
      </c>
      <c r="AA618" s="20">
        <f>INDEX(Data_Macro!AA:AA,MATCH($G618,Data_Macro!$A:$A,0))</f>
        <v>4.9941182078066401E-2</v>
      </c>
      <c r="AB618" s="20">
        <f>INDEX(Data_Macro!AB:AB,MATCH($G618,Data_Macro!$A:$A,0))</f>
        <v>5.13941835424786E-2</v>
      </c>
      <c r="AC618" s="20">
        <f>INDEX(Data_Macro!AC:AC,MATCH($G618,Data_Macro!$A:$A,0))</f>
        <v>5.2681763019776701E-2</v>
      </c>
      <c r="AD618" s="20">
        <f>INDEX(Data_Macro!AD:AD,MATCH($G618,Data_Macro!$A:$A,0))</f>
        <v>5.3800711336350303E-2</v>
      </c>
      <c r="AE618" s="20">
        <f>INDEX(Data_Macro!AE:AE,MATCH($G618,Data_Macro!$A:$A,0))</f>
        <v>5.4789398044337599E-2</v>
      </c>
    </row>
    <row r="619" spans="2:31" x14ac:dyDescent="0.45">
      <c r="B619" s="14" t="s">
        <v>77</v>
      </c>
      <c r="C619" s="14" t="str">
        <f>$C$584</f>
        <v>mch</v>
      </c>
      <c r="D619" s="15" t="s">
        <v>86</v>
      </c>
      <c r="E619" s="16" t="s">
        <v>87</v>
      </c>
      <c r="F619" s="14" t="s">
        <v>88</v>
      </c>
      <c r="G619" s="17" t="str">
        <f>Settings!$B$3&amp;".mit.inc.ela.adj."&amp;$J$584</f>
        <v>egy.mit.inc.ela.adj.2</v>
      </c>
      <c r="K619" s="19">
        <f>INDEX(Data_Macro!K:K,MATCH($G619,Data_Macro!$A:$A,0))</f>
        <v>0</v>
      </c>
      <c r="L619" s="19">
        <f>INDEX(Data_Macro!L:L,MATCH($G619,Data_Macro!$A:$A,0))</f>
        <v>1.02715172471961</v>
      </c>
      <c r="M619" s="19">
        <f>INDEX(Data_Macro!M:M,MATCH($G619,Data_Macro!$A:$A,0))</f>
        <v>1.02715172471961</v>
      </c>
      <c r="N619" s="19">
        <f>INDEX(Data_Macro!N:N,MATCH($G619,Data_Macro!$A:$A,0))</f>
        <v>1.0205698358851201</v>
      </c>
      <c r="O619" s="19">
        <f>INDEX(Data_Macro!O:O,MATCH($G619,Data_Macro!$A:$A,0))</f>
        <v>1.01733442885234</v>
      </c>
      <c r="P619" s="19">
        <f>INDEX(Data_Macro!P:P,MATCH($G619,Data_Macro!$A:$A,0))</f>
        <v>1.00766833225382</v>
      </c>
      <c r="Q619" s="19">
        <f>INDEX(Data_Macro!Q:Q,MATCH($G619,Data_Macro!$A:$A,0))</f>
        <v>1.0007442871755301</v>
      </c>
      <c r="R619" s="19">
        <f>INDEX(Data_Macro!R:R,MATCH($G619,Data_Macro!$A:$A,0))</f>
        <v>0.99188455719464297</v>
      </c>
      <c r="S619" s="19">
        <f>INDEX(Data_Macro!S:S,MATCH($G619,Data_Macro!$A:$A,0))</f>
        <v>0.98058056507860303</v>
      </c>
      <c r="T619" s="19">
        <f>INDEX(Data_Macro!T:T,MATCH($G619,Data_Macro!$A:$A,0))</f>
        <v>0.970250789717781</v>
      </c>
      <c r="U619" s="19">
        <f>INDEX(Data_Macro!U:U,MATCH($G619,Data_Macro!$A:$A,0))</f>
        <v>0.964288208159648</v>
      </c>
      <c r="V619" s="19">
        <f>INDEX(Data_Macro!V:V,MATCH($G619,Data_Macro!$A:$A,0))</f>
        <v>0.96183439341951105</v>
      </c>
      <c r="W619" s="19">
        <f>INDEX(Data_Macro!W:W,MATCH($G619,Data_Macro!$A:$A,0))</f>
        <v>0.95941695116164405</v>
      </c>
      <c r="X619" s="19">
        <f>INDEX(Data_Macro!X:X,MATCH($G619,Data_Macro!$A:$A,0))</f>
        <v>0.95701429252188397</v>
      </c>
      <c r="Y619" s="19">
        <f>INDEX(Data_Macro!Y:Y,MATCH($G619,Data_Macro!$A:$A,0))</f>
        <v>0.95468193722552197</v>
      </c>
      <c r="Z619" s="19">
        <f>INDEX(Data_Macro!Z:Z,MATCH($G619,Data_Macro!$A:$A,0))</f>
        <v>0.95240071158774597</v>
      </c>
      <c r="AA619" s="19">
        <f>INDEX(Data_Macro!AA:AA,MATCH($G619,Data_Macro!$A:$A,0))</f>
        <v>0.95011647499405505</v>
      </c>
      <c r="AB619" s="19">
        <f>INDEX(Data_Macro!AB:AB,MATCH($G619,Data_Macro!$A:$A,0))</f>
        <v>0.947927358499145</v>
      </c>
      <c r="AC619" s="19">
        <f>INDEX(Data_Macro!AC:AC,MATCH($G619,Data_Macro!$A:$A,0))</f>
        <v>0.94587674776299702</v>
      </c>
      <c r="AD619" s="19">
        <f>INDEX(Data_Macro!AD:AD,MATCH($G619,Data_Macro!$A:$A,0))</f>
        <v>0.94405480582839296</v>
      </c>
      <c r="AE619" s="19">
        <f>INDEX(Data_Macro!AE:AE,MATCH($G619,Data_Macro!$A:$A,0))</f>
        <v>0.94246391225206505</v>
      </c>
    </row>
    <row r="620" spans="2:31" x14ac:dyDescent="0.45">
      <c r="B620" s="14" t="s">
        <v>77</v>
      </c>
      <c r="C620" s="14" t="str">
        <f>$C$584</f>
        <v>mch</v>
      </c>
      <c r="D620" s="15" t="s">
        <v>89</v>
      </c>
      <c r="E620" s="16" t="s">
        <v>87</v>
      </c>
      <c r="F620" s="14" t="s">
        <v>90</v>
      </c>
      <c r="G620" s="17" t="str">
        <f>Settings!$B$3&amp;".mit.shock."&amp;$J$584</f>
        <v>egy.mit.shock.2</v>
      </c>
      <c r="K620" s="19">
        <f>INDEX(Data_Macro!K:K,MATCH($G620,Data_Macro!$A:$A,0))</f>
        <v>0</v>
      </c>
      <c r="L620" s="19">
        <f>INDEX(Data_Macro!L:L,MATCH($G620,Data_Macro!$A:$A,0))</f>
        <v>0</v>
      </c>
      <c r="M620" s="19">
        <f>INDEX(Data_Macro!M:M,MATCH($G620,Data_Macro!$A:$A,0))</f>
        <v>-0.20813308302044201</v>
      </c>
      <c r="N620" s="19">
        <f>INDEX(Data_Macro!N:N,MATCH($G620,Data_Macro!$A:$A,0))</f>
        <v>9.2371428571428604E-2</v>
      </c>
      <c r="O620" s="19">
        <f>INDEX(Data_Macro!O:O,MATCH($G620,Data_Macro!$A:$A,0))</f>
        <v>0</v>
      </c>
      <c r="P620" s="19">
        <f>INDEX(Data_Macro!P:P,MATCH($G620,Data_Macro!$A:$A,0))</f>
        <v>0</v>
      </c>
      <c r="Q620" s="19">
        <f>INDEX(Data_Macro!Q:Q,MATCH($G620,Data_Macro!$A:$A,0))</f>
        <v>0</v>
      </c>
      <c r="R620" s="19">
        <f>INDEX(Data_Macro!R:R,MATCH($G620,Data_Macro!$A:$A,0))</f>
        <v>0</v>
      </c>
      <c r="S620" s="19">
        <f>INDEX(Data_Macro!S:S,MATCH($G620,Data_Macro!$A:$A,0))</f>
        <v>0</v>
      </c>
      <c r="T620" s="19">
        <f>INDEX(Data_Macro!T:T,MATCH($G620,Data_Macro!$A:$A,0))</f>
        <v>0</v>
      </c>
      <c r="U620" s="19">
        <f>INDEX(Data_Macro!U:U,MATCH($G620,Data_Macro!$A:$A,0))</f>
        <v>0</v>
      </c>
      <c r="V620" s="19">
        <f>INDEX(Data_Macro!V:V,MATCH($G620,Data_Macro!$A:$A,0))</f>
        <v>0</v>
      </c>
      <c r="W620" s="19">
        <f>INDEX(Data_Macro!W:W,MATCH($G620,Data_Macro!$A:$A,0))</f>
        <v>0</v>
      </c>
      <c r="X620" s="19">
        <f>INDEX(Data_Macro!X:X,MATCH($G620,Data_Macro!$A:$A,0))</f>
        <v>0</v>
      </c>
      <c r="Y620" s="19">
        <f>INDEX(Data_Macro!Y:Y,MATCH($G620,Data_Macro!$A:$A,0))</f>
        <v>0</v>
      </c>
      <c r="Z620" s="19">
        <f>INDEX(Data_Macro!Z:Z,MATCH($G620,Data_Macro!$A:$A,0))</f>
        <v>0</v>
      </c>
      <c r="AA620" s="19">
        <f>INDEX(Data_Macro!AA:AA,MATCH($G620,Data_Macro!$A:$A,0))</f>
        <v>0</v>
      </c>
      <c r="AB620" s="19">
        <f>INDEX(Data_Macro!AB:AB,MATCH($G620,Data_Macro!$A:$A,0))</f>
        <v>0</v>
      </c>
      <c r="AC620" s="19">
        <f>INDEX(Data_Macro!AC:AC,MATCH($G620,Data_Macro!$A:$A,0))</f>
        <v>0</v>
      </c>
      <c r="AD620" s="19">
        <f>INDEX(Data_Macro!AD:AD,MATCH($G620,Data_Macro!$A:$A,0))</f>
        <v>0</v>
      </c>
      <c r="AE620" s="19">
        <f>INDEX(Data_Macro!AE:AE,MATCH($G620,Data_Macro!$A:$A,0))</f>
        <v>0</v>
      </c>
    </row>
    <row r="621" spans="2:31" x14ac:dyDescent="0.45">
      <c r="B621" s="13" t="s">
        <v>91</v>
      </c>
    </row>
    <row r="622" spans="2:31" x14ac:dyDescent="0.45">
      <c r="B622" s="7" t="s">
        <v>32</v>
      </c>
      <c r="C622" s="7" t="s">
        <v>33</v>
      </c>
      <c r="D622" s="21" t="s">
        <v>34</v>
      </c>
      <c r="E622" s="7" t="s">
        <v>92</v>
      </c>
      <c r="F622" s="7" t="s">
        <v>93</v>
      </c>
      <c r="G622" s="7" t="s">
        <v>94</v>
      </c>
      <c r="H622" s="7" t="s">
        <v>95</v>
      </c>
      <c r="I622" s="7" t="s">
        <v>96</v>
      </c>
      <c r="J622" s="7" t="s">
        <v>97</v>
      </c>
    </row>
    <row r="623" spans="2:31" x14ac:dyDescent="0.45">
      <c r="B623" s="14" t="s">
        <v>49</v>
      </c>
      <c r="C623" s="14" t="str">
        <f t="shared" ref="C623:C631" si="179">$C$584</f>
        <v>mch</v>
      </c>
      <c r="D623" s="22" t="s">
        <v>98</v>
      </c>
      <c r="E623" s="23">
        <f>INDEX(Data_Elast!$D:$G,MATCH("el_inc_"&amp;INDEX(Data_Elast!$J:$J,MATCH($B623,Data_Elast!$I:$I,0)),Data_Elast!$A:$A,0),MATCH(Settings!$B$5,Data_Elast!$D$1:$G$1,0))</f>
        <v>0.5</v>
      </c>
      <c r="F623" s="23">
        <f>INDEX(Data_Elast!$D:$G,MATCH("el_dem_"&amp;INDEX(Data_Elast!$J:$J,MATCH($B623,Data_Elast!$I:$I,0)),Data_Elast!$A:$A,0),MATCH(Settings!$B$5,Data_Elast!$D$1:$G$1,0))</f>
        <v>-0.3</v>
      </c>
      <c r="G623" s="23">
        <f>INDEX(Data_Elast!$D:$G,MATCH("el_eff_"&amp;INDEX(Data_Elast!$J:$J,MATCH($B623,Data_Elast!$I:$I,0)),Data_Elast!$A:$A,0),MATCH(Settings!$B$5,Data_Elast!$D$1:$G$1,0))</f>
        <v>-0.4</v>
      </c>
      <c r="H623" s="23">
        <f>INDEX(Data_Elast!$D:$G,MATCH("eff_imp_"&amp;INDEX(Data_Elast!$K:$K,MATCH($B623,Data_Elast!$I:$I,0)),Data_Elast!$A:$A,0),MATCH(Settings!$B$5,Data_Elast!$D$1:$G$1,0))</f>
        <v>5.0000000000000001E-3</v>
      </c>
      <c r="I623" s="23">
        <f>Settings!$B$7</f>
        <v>0</v>
      </c>
      <c r="J623" s="16" t="str">
        <f>INDEX(Data_Elast!$J:$J,MATCH($B623,Data_Elast!$I:$I,0))</f>
        <v>coa</v>
      </c>
    </row>
    <row r="624" spans="2:31" x14ac:dyDescent="0.45">
      <c r="B624" s="14" t="s">
        <v>53</v>
      </c>
      <c r="C624" s="14" t="str">
        <f t="shared" si="179"/>
        <v>mch</v>
      </c>
      <c r="D624" s="22" t="s">
        <v>99</v>
      </c>
      <c r="E624" s="23">
        <f>INDEX(Data_Elast!$D:$G,MATCH("el_inc_"&amp;INDEX(Data_Elast!$J:$J,MATCH($B624,Data_Elast!$I:$I,0)),Data_Elast!$A:$A,0),MATCH(Settings!$B$5,Data_Elast!$D$1:$G$1,0))</f>
        <v>1</v>
      </c>
      <c r="F624" s="23">
        <f>INDEX(Data_Elast!$D:$G,MATCH("el_dem_"&amp;INDEX(Data_Elast!$J:$J,MATCH($B624,Data_Elast!$I:$I,0)),Data_Elast!$A:$A,0),MATCH(Settings!$B$5,Data_Elast!$D$1:$G$1,0))</f>
        <v>-0.5</v>
      </c>
      <c r="G624" s="23">
        <f>INDEX(Data_Elast!$D:$G,MATCH("el_eff_"&amp;INDEX(Data_Elast!$J:$J,MATCH($B624,Data_Elast!$I:$I,0)),Data_Elast!$A:$A,0),MATCH(Settings!$B$5,Data_Elast!$D$1:$G$1,0))</f>
        <v>-0.5</v>
      </c>
      <c r="H624" s="23">
        <f>INDEX(Data_Elast!$D:$G,MATCH("eff_imp_"&amp;INDEX(Data_Elast!$K:$K,MATCH($B624,Data_Elast!$I:$I,0)),Data_Elast!$A:$A,0),MATCH(Settings!$B$5,Data_Elast!$D$1:$G$1,0))</f>
        <v>0.01</v>
      </c>
      <c r="I624" s="23">
        <f>Settings!$B$7</f>
        <v>0</v>
      </c>
      <c r="J624" s="16" t="str">
        <f>INDEX(Data_Elast!$J:$J,MATCH($B624,Data_Elast!$I:$I,0))</f>
        <v>nga</v>
      </c>
    </row>
    <row r="625" spans="2:31" x14ac:dyDescent="0.45">
      <c r="B625" s="14" t="s">
        <v>55</v>
      </c>
      <c r="C625" s="14" t="str">
        <f t="shared" si="179"/>
        <v>mch</v>
      </c>
      <c r="D625" s="22" t="s">
        <v>100</v>
      </c>
      <c r="E625" s="23">
        <f>INDEX(Data_Elast!$D:$G,MATCH("el_inc_"&amp;INDEX(Data_Elast!$J:$J,MATCH($B625,Data_Elast!$I:$I,0)),Data_Elast!$A:$A,0),MATCH(Settings!$B$5,Data_Elast!$D$1:$G$1,0))</f>
        <v>0.5</v>
      </c>
      <c r="F625" s="23">
        <f>INDEX(Data_Elast!$D:$G,MATCH("el_dem_"&amp;INDEX(Data_Elast!$J:$J,MATCH($B625,Data_Elast!$I:$I,0)),Data_Elast!$A:$A,0),MATCH(Settings!$B$5,Data_Elast!$D$1:$G$1,0))</f>
        <v>-0.4</v>
      </c>
      <c r="G625" s="23">
        <f>INDEX(Data_Elast!$D:$G,MATCH("el_eff_"&amp;INDEX(Data_Elast!$J:$J,MATCH($B625,Data_Elast!$I:$I,0)),Data_Elast!$A:$A,0),MATCH(Settings!$B$5,Data_Elast!$D$1:$G$1,0))</f>
        <v>-0.7</v>
      </c>
      <c r="H625" s="23">
        <f>INDEX(Data_Elast!$D:$G,MATCH("eff_imp_"&amp;INDEX(Data_Elast!$K:$K,MATCH($B625,Data_Elast!$I:$I,0)),Data_Elast!$A:$A,0),MATCH(Settings!$B$5,Data_Elast!$D$1:$G$1,0))</f>
        <v>5.0000000000000001E-3</v>
      </c>
      <c r="I625" s="23">
        <f>Settings!$B$7</f>
        <v>0</v>
      </c>
      <c r="J625" s="16" t="str">
        <f>INDEX(Data_Elast!$J:$J,MATCH($B625,Data_Elast!$I:$I,0))</f>
        <v>gso</v>
      </c>
    </row>
    <row r="626" spans="2:31" x14ac:dyDescent="0.45">
      <c r="B626" s="14" t="s">
        <v>58</v>
      </c>
      <c r="C626" s="14" t="str">
        <f t="shared" si="179"/>
        <v>mch</v>
      </c>
      <c r="D626" s="22" t="s">
        <v>101</v>
      </c>
      <c r="E626" s="23">
        <f>INDEX(Data_Elast!$D:$G,MATCH("el_inc_"&amp;INDEX(Data_Elast!$J:$J,MATCH($B626,Data_Elast!$I:$I,0)),Data_Elast!$A:$A,0),MATCH(Settings!$B$5,Data_Elast!$D$1:$G$1,0))</f>
        <v>0.5</v>
      </c>
      <c r="F626" s="23">
        <f>INDEX(Data_Elast!$D:$G,MATCH("el_dem_"&amp;INDEX(Data_Elast!$J:$J,MATCH($B626,Data_Elast!$I:$I,0)),Data_Elast!$A:$A,0),MATCH(Settings!$B$5,Data_Elast!$D$1:$G$1,0))</f>
        <v>-0.7</v>
      </c>
      <c r="G626" s="23">
        <f>INDEX(Data_Elast!$D:$G,MATCH("el_eff_"&amp;INDEX(Data_Elast!$J:$J,MATCH($B626,Data_Elast!$I:$I,0)),Data_Elast!$A:$A,0),MATCH(Settings!$B$5,Data_Elast!$D$1:$G$1,0))</f>
        <v>-1.2</v>
      </c>
      <c r="H626" s="23">
        <f>INDEX(Data_Elast!$D:$G,MATCH("eff_imp_"&amp;INDEX(Data_Elast!$K:$K,MATCH($B626,Data_Elast!$I:$I,0)),Data_Elast!$A:$A,0),MATCH(Settings!$B$5,Data_Elast!$D$1:$G$1,0))</f>
        <v>5.0000000000000001E-3</v>
      </c>
      <c r="I626" s="23">
        <f>Settings!$B$7</f>
        <v>0</v>
      </c>
      <c r="J626" s="16" t="str">
        <f>INDEX(Data_Elast!$J:$J,MATCH($B626,Data_Elast!$I:$I,0))</f>
        <v>die</v>
      </c>
    </row>
    <row r="627" spans="2:31" x14ac:dyDescent="0.45">
      <c r="B627" s="14" t="s">
        <v>60</v>
      </c>
      <c r="C627" s="14" t="str">
        <f t="shared" si="179"/>
        <v>mch</v>
      </c>
      <c r="D627" s="22" t="s">
        <v>102</v>
      </c>
      <c r="E627" s="23">
        <f>INDEX(Data_Elast!$D:$G,MATCH("el_inc_"&amp;INDEX(Data_Elast!$J:$J,MATCH($B627,Data_Elast!$I:$I,0)),Data_Elast!$A:$A,0),MATCH(Settings!$B$5,Data_Elast!$D$1:$G$1,0))</f>
        <v>0.8</v>
      </c>
      <c r="F627" s="23">
        <f>INDEX(Data_Elast!$D:$G,MATCH("el_dem_"&amp;INDEX(Data_Elast!$J:$J,MATCH($B627,Data_Elast!$I:$I,0)),Data_Elast!$A:$A,0),MATCH(Settings!$B$5,Data_Elast!$D$1:$G$1,0))</f>
        <v>-0.4</v>
      </c>
      <c r="G627" s="23">
        <f>INDEX(Data_Elast!$D:$G,MATCH("el_eff_"&amp;INDEX(Data_Elast!$J:$J,MATCH($B627,Data_Elast!$I:$I,0)),Data_Elast!$A:$A,0),MATCH(Settings!$B$5,Data_Elast!$D$1:$G$1,0))</f>
        <v>-0.4</v>
      </c>
      <c r="H627" s="23">
        <f>INDEX(Data_Elast!$D:$G,MATCH("eff_imp_"&amp;INDEX(Data_Elast!$K:$K,MATCH($B627,Data_Elast!$I:$I,0)),Data_Elast!$A:$A,0),MATCH(Settings!$B$5,Data_Elast!$D$1:$G$1,0))</f>
        <v>5.0000000000000001E-3</v>
      </c>
      <c r="I627" s="23">
        <f>Settings!$B$7</f>
        <v>0</v>
      </c>
      <c r="J627" s="16" t="str">
        <f>INDEX(Data_Elast!$J:$J,MATCH($B627,Data_Elast!$I:$I,0))</f>
        <v>oil</v>
      </c>
    </row>
    <row r="628" spans="2:31" x14ac:dyDescent="0.45">
      <c r="B628" s="14" t="s">
        <v>62</v>
      </c>
      <c r="C628" s="14" t="str">
        <f t="shared" si="179"/>
        <v>mch</v>
      </c>
      <c r="D628" s="22" t="s">
        <v>103</v>
      </c>
      <c r="E628" s="23">
        <f>INDEX(Data_Elast!$D:$G,MATCH("el_inc_"&amp;INDEX(Data_Elast!$J:$J,MATCH($B628,Data_Elast!$I:$I,0)),Data_Elast!$A:$A,0),MATCH(Settings!$B$5,Data_Elast!$D$1:$G$1,0))</f>
        <v>0.8</v>
      </c>
      <c r="F628" s="23">
        <f>INDEX(Data_Elast!$D:$G,MATCH("el_dem_"&amp;INDEX(Data_Elast!$J:$J,MATCH($B628,Data_Elast!$I:$I,0)),Data_Elast!$A:$A,0),MATCH(Settings!$B$5,Data_Elast!$D$1:$G$1,0))</f>
        <v>-0.4</v>
      </c>
      <c r="G628" s="23">
        <f>INDEX(Data_Elast!$D:$G,MATCH("el_eff_"&amp;INDEX(Data_Elast!$J:$J,MATCH($B628,Data_Elast!$I:$I,0)),Data_Elast!$A:$A,0),MATCH(Settings!$B$5,Data_Elast!$D$1:$G$1,0))</f>
        <v>-0.4</v>
      </c>
      <c r="H628" s="23">
        <f>INDEX(Data_Elast!$D:$G,MATCH("eff_imp_"&amp;INDEX(Data_Elast!$K:$K,MATCH($B628,Data_Elast!$I:$I,0)),Data_Elast!$A:$A,0),MATCH(Settings!$B$5,Data_Elast!$D$1:$G$1,0))</f>
        <v>5.0000000000000001E-3</v>
      </c>
      <c r="I628" s="23">
        <f>Settings!$B$7</f>
        <v>0</v>
      </c>
      <c r="J628" s="16" t="str">
        <f>INDEX(Data_Elast!$J:$J,MATCH($B628,Data_Elast!$I:$I,0))</f>
        <v>oil</v>
      </c>
    </row>
    <row r="629" spans="2:31" x14ac:dyDescent="0.45">
      <c r="B629" s="14" t="s">
        <v>64</v>
      </c>
      <c r="C629" s="14" t="str">
        <f t="shared" si="179"/>
        <v>mch</v>
      </c>
      <c r="D629" s="22" t="s">
        <v>104</v>
      </c>
      <c r="E629" s="23">
        <f>INDEX(Data_Elast!$D:$G,MATCH("el_inc_"&amp;INDEX(Data_Elast!$J:$J,MATCH($B629,Data_Elast!$I:$I,0)),Data_Elast!$A:$A,0),MATCH(Settings!$B$5,Data_Elast!$D$1:$G$1,0))</f>
        <v>0.8</v>
      </c>
      <c r="F629" s="23">
        <f>INDEX(Data_Elast!$D:$G,MATCH("el_dem_"&amp;INDEX(Data_Elast!$J:$J,MATCH($B629,Data_Elast!$I:$I,0)),Data_Elast!$A:$A,0),MATCH(Settings!$B$5,Data_Elast!$D$1:$G$1,0))</f>
        <v>-0.4</v>
      </c>
      <c r="G629" s="23">
        <f>INDEX(Data_Elast!$D:$G,MATCH("el_eff_"&amp;INDEX(Data_Elast!$J:$J,MATCH($B629,Data_Elast!$I:$I,0)),Data_Elast!$A:$A,0),MATCH(Settings!$B$5,Data_Elast!$D$1:$G$1,0))</f>
        <v>-0.4</v>
      </c>
      <c r="H629" s="23">
        <f>INDEX(Data_Elast!$D:$G,MATCH("eff_imp_"&amp;INDEX(Data_Elast!$K:$K,MATCH($B629,Data_Elast!$I:$I,0)),Data_Elast!$A:$A,0),MATCH(Settings!$B$5,Data_Elast!$D$1:$G$1,0))</f>
        <v>5.0000000000000001E-3</v>
      </c>
      <c r="I629" s="23">
        <f>Settings!$B$7</f>
        <v>0</v>
      </c>
      <c r="J629" s="16" t="str">
        <f>INDEX(Data_Elast!$J:$J,MATCH($B629,Data_Elast!$I:$I,0))</f>
        <v>oil</v>
      </c>
    </row>
    <row r="630" spans="2:31" x14ac:dyDescent="0.45">
      <c r="B630" s="14" t="s">
        <v>67</v>
      </c>
      <c r="C630" s="14" t="str">
        <f t="shared" si="179"/>
        <v>mch</v>
      </c>
      <c r="D630" s="22" t="s">
        <v>105</v>
      </c>
      <c r="E630" s="23">
        <f>INDEX(Data_Elast!$D:$G,MATCH("el_inc_"&amp;INDEX(Data_Elast!$J:$J,MATCH($B630,Data_Elast!$I:$I,0)),Data_Elast!$A:$A,0),MATCH(Settings!$B$5,Data_Elast!$D$1:$G$1,0))</f>
        <v>0.1</v>
      </c>
      <c r="F630" s="23">
        <f>INDEX(Data_Elast!$D:$G,MATCH("el_dem_"&amp;INDEX(Data_Elast!$J:$J,MATCH($B630,Data_Elast!$I:$I,0)),Data_Elast!$A:$A,0),MATCH(Settings!$B$5,Data_Elast!$D$1:$G$1,0))</f>
        <v>-0.3</v>
      </c>
      <c r="G630" s="23">
        <f>INDEX(Data_Elast!$D:$G,MATCH("el_eff_"&amp;INDEX(Data_Elast!$J:$J,MATCH($B630,Data_Elast!$I:$I,0)),Data_Elast!$A:$A,0),MATCH(Settings!$B$5,Data_Elast!$D$1:$G$1,0))</f>
        <v>-0.2</v>
      </c>
      <c r="H630" s="23">
        <f>INDEX(Data_Elast!$D:$G,MATCH("eff_imp_"&amp;INDEX(Data_Elast!$K:$K,MATCH($B630,Data_Elast!$I:$I,0)),Data_Elast!$A:$A,0),MATCH(Settings!$B$5,Data_Elast!$D$1:$G$1,0))</f>
        <v>5.0000000000000001E-3</v>
      </c>
      <c r="I630" s="23">
        <f>Settings!$B$7</f>
        <v>0</v>
      </c>
      <c r="J630" s="16" t="str">
        <f>INDEX(Data_Elast!$J:$J,MATCH($B630,Data_Elast!$I:$I,0))</f>
        <v>bio</v>
      </c>
    </row>
    <row r="631" spans="2:31" x14ac:dyDescent="0.45">
      <c r="B631" s="14" t="s">
        <v>69</v>
      </c>
      <c r="C631" s="14" t="str">
        <f t="shared" si="179"/>
        <v>mch</v>
      </c>
      <c r="D631" s="22" t="s">
        <v>106</v>
      </c>
      <c r="E631" s="23">
        <f>INDEX(Data_Elast!$D:$G,MATCH("el_inc_"&amp;INDEX(Data_Elast!$J:$J,MATCH($B631,Data_Elast!$I:$I,0)),Data_Elast!$A:$A,0),MATCH(Settings!$B$5,Data_Elast!$D$1:$G$1,0))</f>
        <v>0.8</v>
      </c>
      <c r="F631" s="23">
        <f>INDEX(Data_Elast!$D:$G,MATCH("el_dem_"&amp;INDEX(Data_Elast!$J:$J,MATCH($B631,Data_Elast!$I:$I,0)),Data_Elast!$A:$A,0),MATCH(Settings!$B$5,Data_Elast!$D$1:$G$1,0))</f>
        <v>-0.5</v>
      </c>
      <c r="G631" s="23">
        <f>INDEX(Data_Elast!$D:$G,MATCH("el_eff_"&amp;INDEX(Data_Elast!$J:$J,MATCH($B631,Data_Elast!$I:$I,0)),Data_Elast!$A:$A,0),MATCH(Settings!$B$5,Data_Elast!$D$1:$G$1,0))</f>
        <v>-0.4</v>
      </c>
      <c r="H631" s="23">
        <f>INDEX(Data_Elast!$D:$G,MATCH("eff_imp_"&amp;INDEX(Data_Elast!$K:$K,MATCH($B631,Data_Elast!$I:$I,0)),Data_Elast!$A:$A,0),MATCH(Settings!$B$5,Data_Elast!$D$1:$G$1,0))</f>
        <v>5.0000000000000001E-3</v>
      </c>
      <c r="I631" s="23">
        <f>Settings!$B$7</f>
        <v>0</v>
      </c>
      <c r="J631" s="16" t="str">
        <f>INDEX(Data_Elast!$J:$J,MATCH($B631,Data_Elast!$I:$I,0))</f>
        <v>ren</v>
      </c>
    </row>
    <row r="632" spans="2:31" x14ac:dyDescent="0.45">
      <c r="B632" s="13" t="s">
        <v>107</v>
      </c>
    </row>
    <row r="633" spans="2:31" x14ac:dyDescent="0.45">
      <c r="B633" s="14" t="s">
        <v>49</v>
      </c>
      <c r="C633" s="14" t="str">
        <f t="shared" ref="C633:C642" si="180">$C$584</f>
        <v>mch</v>
      </c>
      <c r="D633" s="15" t="s">
        <v>50</v>
      </c>
      <c r="E633" s="16" t="s">
        <v>108</v>
      </c>
      <c r="F633" s="14" t="s">
        <v>109</v>
      </c>
      <c r="G633" s="17" t="str">
        <f>Settings!$B$3&amp;".mit.enc."&amp;$B633</f>
        <v>egy.mit.enc.coa</v>
      </c>
      <c r="H633" s="45" t="str">
        <f>Settings!$B$3&amp;".mit.ener."&amp;$C$584&amp;"."&amp;$B633&amp;".e."&amp;$J$584</f>
        <v>egy.mit.ener.mch.coa.e.2</v>
      </c>
      <c r="I633" t="s">
        <v>2319</v>
      </c>
      <c r="L633" s="47">
        <f>INDEX(Data_Energy!$D$3:$U$22,MATCH($B633,Data_Energy!$C$3:$C$22,0),MATCH($C633,Data_Energy!$D$2:$U$2,0))</f>
        <v>0</v>
      </c>
      <c r="M633" s="24">
        <f>L633*(1+M$618)^($E623*M$619)*(1+M$620)*IF(Rebate_Industry!L$265&lt;=0,1,Rebate_Industry!M$265/Rebate_Industry!L$265)^$F623*(IF(L606&lt;=0,1,M606/L606)^$G623/(1+$H623+$I623))^(1+$F623)</f>
        <v>0</v>
      </c>
      <c r="N633" s="24">
        <f>M633*(1+N$618)^($E623*N$619)*(1+N$620)*IF(Rebate_Industry!M$265&lt;=0,1,Rebate_Industry!N$265/Rebate_Industry!M$265)^$F623*(IF(M606&lt;=0,1,N606/M606)^$G623/(1+$H623+$I623))^(1+$F623)</f>
        <v>0</v>
      </c>
      <c r="O633" s="24">
        <f>N633*(1+O$618)^($E623*O$619)*(1+O$620)*IF(Rebate_Industry!N$265&lt;=0,1,Rebate_Industry!O$265/Rebate_Industry!N$265)^$F623*(IF(N606&lt;=0,1,O606/N606)^$G623/(1+$H623+$I623))^(1+$F623)</f>
        <v>0</v>
      </c>
      <c r="P633" s="24">
        <f>O633*(1+P$618)^($E623*P$619)*(1+P$620)*IF(Rebate_Industry!O$265&lt;=0,1,Rebate_Industry!P$265/Rebate_Industry!O$265)^$F623*(IF(O606&lt;=0,1,P606/O606)^$G623/(1+$H623+$I623))^(1+$F623)</f>
        <v>0</v>
      </c>
      <c r="Q633" s="24">
        <f>P633*(1+Q$618)^($E623*Q$619)*(1+Q$620)*IF(Rebate_Industry!P$265&lt;=0,1,Rebate_Industry!Q$265/Rebate_Industry!P$265)^$F623*(IF(P606&lt;=0,1,Q606/P606)^$G623/(1+$H623+$I623))^(1+$F623)</f>
        <v>0</v>
      </c>
      <c r="R633" s="24">
        <f>Q633*(1+R$618)^($E623*R$619)*(1+R$620)*IF(Rebate_Industry!Q$265&lt;=0,1,Rebate_Industry!R$265/Rebate_Industry!Q$265)^$F623*(IF(Q606&lt;=0,1,R606/Q606)^$G623/(1+$H623+$I623))^(1+$F623)</f>
        <v>0</v>
      </c>
      <c r="S633" s="24">
        <f>R633*(1+S$618)^($E623*S$619)*(1+S$620)*IF(Rebate_Industry!R$265&lt;=0,1,Rebate_Industry!S$265/Rebate_Industry!R$265)^$F623*(IF(R606&lt;=0,1,S606/R606)^$G623/(1+$H623+$I623))^(1+$F623)</f>
        <v>0</v>
      </c>
      <c r="T633" s="24">
        <f>S633*(1+T$618)^($E623*T$619)*(1+T$620)*IF(Rebate_Industry!S$265&lt;=0,1,Rebate_Industry!T$265/Rebate_Industry!S$265)^$F623*(IF(S606&lt;=0,1,T606/S606)^$G623/(1+$H623+$I623))^(1+$F623)</f>
        <v>0</v>
      </c>
      <c r="U633" s="24">
        <f>T633*(1+U$618)^($E623*U$619)*(1+U$620)*IF(Rebate_Industry!T$265&lt;=0,1,Rebate_Industry!U$265/Rebate_Industry!T$265)^$F623*(IF(T606&lt;=0,1,U606/T606)^$G623/(1+$H623+$I623))^(1+$F623)</f>
        <v>0</v>
      </c>
      <c r="V633" s="24">
        <f>U633*(1+V$618)^($E623*V$619)*(1+V$620)*IF(Rebate_Industry!U$265&lt;=0,1,Rebate_Industry!V$265/Rebate_Industry!U$265)^$F623*(IF(U606&lt;=0,1,V606/U606)^$G623/(1+$H623+$I623))^(1+$F623)</f>
        <v>0</v>
      </c>
      <c r="W633" s="24">
        <f>V633*(1+W$618)^($E623*W$619)*(1+W$620)*IF(Rebate_Industry!V$265&lt;=0,1,Rebate_Industry!W$265/Rebate_Industry!V$265)^$F623*(IF(V606&lt;=0,1,W606/V606)^$G623/(1+$H623+$I623))^(1+$F623)</f>
        <v>0</v>
      </c>
      <c r="X633" s="24">
        <f>W633*(1+X$618)^($E623*X$619)*(1+X$620)*IF(Rebate_Industry!W$265&lt;=0,1,Rebate_Industry!X$265/Rebate_Industry!W$265)^$F623*(IF(W606&lt;=0,1,X606/W606)^$G623/(1+$H623+$I623))^(1+$F623)</f>
        <v>0</v>
      </c>
      <c r="Y633" s="24">
        <f>X633*(1+Y$618)^($E623*Y$619)*(1+Y$620)*IF(Rebate_Industry!X$265&lt;=0,1,Rebate_Industry!Y$265/Rebate_Industry!X$265)^$F623*(IF(X606&lt;=0,1,Y606/X606)^$G623/(1+$H623+$I623))^(1+$F623)</f>
        <v>0</v>
      </c>
      <c r="Z633" s="24">
        <f>Y633*(1+Z$618)^($E623*Z$619)*(1+Z$620)*IF(Rebate_Industry!Y$265&lt;=0,1,Rebate_Industry!Z$265/Rebate_Industry!Y$265)^$F623*(IF(Y606&lt;=0,1,Z606/Y606)^$G623/(1+$H623+$I623))^(1+$F623)</f>
        <v>0</v>
      </c>
      <c r="AA633" s="24">
        <f>Z633*(1+AA$618)^($E623*AA$619)*(1+AA$620)*IF(Rebate_Industry!Z$265&lt;=0,1,Rebate_Industry!AA$265/Rebate_Industry!Z$265)^$F623*(IF(Z606&lt;=0,1,AA606/Z606)^$G623/(1+$H623+$I623))^(1+$F623)</f>
        <v>0</v>
      </c>
      <c r="AB633" s="24">
        <f>AA633*(1+AB$618)^($E623*AB$619)*(1+AB$620)*IF(Rebate_Industry!AA$265&lt;=0,1,Rebate_Industry!AB$265/Rebate_Industry!AA$265)^$F623*(IF(AA606&lt;=0,1,AB606/AA606)^$G623/(1+$H623+$I623))^(1+$F623)</f>
        <v>0</v>
      </c>
      <c r="AC633" s="24">
        <f>AB633*(1+AC$618)^($E623*AC$619)*(1+AC$620)*IF(Rebate_Industry!AB$265&lt;=0,1,Rebate_Industry!AC$265/Rebate_Industry!AB$265)^$F623*(IF(AB606&lt;=0,1,AC606/AB606)^$G623/(1+$H623+$I623))^(1+$F623)</f>
        <v>0</v>
      </c>
      <c r="AD633" s="24">
        <f>AC633*(1+AD$618)^($E623*AD$619)*(1+AD$620)*IF(Rebate_Industry!AC$265&lt;=0,1,Rebate_Industry!AD$265/Rebate_Industry!AC$265)^$F623*(IF(AC606&lt;=0,1,AD606/AC606)^$G623/(1+$H623+$I623))^(1+$F623)</f>
        <v>0</v>
      </c>
      <c r="AE633" s="24">
        <f>AD633*(1+AE$618)^($E623*AE$619)*(1+AE$620)*IF(Rebate_Industry!AD$265&lt;=0,1,Rebate_Industry!AE$265/Rebate_Industry!AD$265)^$F623*(IF(AD606&lt;=0,1,AE606/AD606)^$G623/(1+$H623+$I623))^(1+$F623)</f>
        <v>0</v>
      </c>
    </row>
    <row r="634" spans="2:31" x14ac:dyDescent="0.45">
      <c r="B634" s="14" t="s">
        <v>53</v>
      </c>
      <c r="C634" s="14" t="str">
        <f t="shared" si="180"/>
        <v>mch</v>
      </c>
      <c r="D634" s="15" t="s">
        <v>54</v>
      </c>
      <c r="E634" s="16" t="s">
        <v>108</v>
      </c>
      <c r="F634" s="14" t="s">
        <v>109</v>
      </c>
      <c r="G634" s="17" t="str">
        <f>Settings!$B$3&amp;".mit.enc."&amp;$B634</f>
        <v>egy.mit.enc.nga</v>
      </c>
      <c r="H634" s="45" t="str">
        <f>Settings!$B$3&amp;".mit.ener."&amp;$C$584&amp;"."&amp;$B634&amp;".e."&amp;$J$584</f>
        <v>egy.mit.ener.mch.nga.e.2</v>
      </c>
      <c r="I634" t="s">
        <v>2320</v>
      </c>
      <c r="L634" s="47">
        <f>INDEX(Data_Energy!$D$3:$U$22,MATCH($B634,Data_Energy!$C$3:$C$22,0),MATCH($C634,Data_Energy!$D$2:$U$2,0))</f>
        <v>0</v>
      </c>
      <c r="M634" s="24">
        <f>L634*(1+M$618)^($E624*M$619)*(1+M$620)*IF(Rebate_Industry!L$266&lt;=0,1,Rebate_Industry!M$266/Rebate_Industry!L$266)^$F624*(IF(L607&lt;=0,1,M607/L607)^$G624/(1+$H624+$I624))^(1+$F624)</f>
        <v>0</v>
      </c>
      <c r="N634" s="24">
        <f>M634*(1+N$618)^($E624*N$619)*(1+N$620)*IF(Rebate_Industry!M$266&lt;=0,1,Rebate_Industry!N$266/Rebate_Industry!M$266)^$F624*(IF(M607&lt;=0,1,N607/M607)^$G624/(1+$H624+$I624))^(1+$F624)</f>
        <v>0</v>
      </c>
      <c r="O634" s="24">
        <f>N634*(1+O$618)^($E624*O$619)*(1+O$620)*IF(Rebate_Industry!N$266&lt;=0,1,Rebate_Industry!O$266/Rebate_Industry!N$266)^$F624*(IF(N607&lt;=0,1,O607/N607)^$G624/(1+$H624+$I624))^(1+$F624)</f>
        <v>0</v>
      </c>
      <c r="P634" s="24">
        <f>O634*(1+P$618)^($E624*P$619)*(1+P$620)*IF(Rebate_Industry!O$266&lt;=0,1,Rebate_Industry!P$266/Rebate_Industry!O$266)^$F624*(IF(O607&lt;=0,1,P607/O607)^$G624/(1+$H624+$I624))^(1+$F624)</f>
        <v>0</v>
      </c>
      <c r="Q634" s="24">
        <f>P634*(1+Q$618)^($E624*Q$619)*(1+Q$620)*IF(Rebate_Industry!P$266&lt;=0,1,Rebate_Industry!Q$266/Rebate_Industry!P$266)^$F624*(IF(P607&lt;=0,1,Q607/P607)^$G624/(1+$H624+$I624))^(1+$F624)</f>
        <v>0</v>
      </c>
      <c r="R634" s="24">
        <f>Q634*(1+R$618)^($E624*R$619)*(1+R$620)*IF(Rebate_Industry!Q$266&lt;=0,1,Rebate_Industry!R$266/Rebate_Industry!Q$266)^$F624*(IF(Q607&lt;=0,1,R607/Q607)^$G624/(1+$H624+$I624))^(1+$F624)</f>
        <v>0</v>
      </c>
      <c r="S634" s="24">
        <f>R634*(1+S$618)^($E624*S$619)*(1+S$620)*IF(Rebate_Industry!R$266&lt;=0,1,Rebate_Industry!S$266/Rebate_Industry!R$266)^$F624*(IF(R607&lt;=0,1,S607/R607)^$G624/(1+$H624+$I624))^(1+$F624)</f>
        <v>0</v>
      </c>
      <c r="T634" s="24">
        <f>S634*(1+T$618)^($E624*T$619)*(1+T$620)*IF(Rebate_Industry!S$266&lt;=0,1,Rebate_Industry!T$266/Rebate_Industry!S$266)^$F624*(IF(S607&lt;=0,1,T607/S607)^$G624/(1+$H624+$I624))^(1+$F624)</f>
        <v>0</v>
      </c>
      <c r="U634" s="24">
        <f>T634*(1+U$618)^($E624*U$619)*(1+U$620)*IF(Rebate_Industry!T$266&lt;=0,1,Rebate_Industry!U$266/Rebate_Industry!T$266)^$F624*(IF(T607&lt;=0,1,U607/T607)^$G624/(1+$H624+$I624))^(1+$F624)</f>
        <v>0</v>
      </c>
      <c r="V634" s="24">
        <f>U634*(1+V$618)^($E624*V$619)*(1+V$620)*IF(Rebate_Industry!U$266&lt;=0,1,Rebate_Industry!V$266/Rebate_Industry!U$266)^$F624*(IF(U607&lt;=0,1,V607/U607)^$G624/(1+$H624+$I624))^(1+$F624)</f>
        <v>0</v>
      </c>
      <c r="W634" s="24">
        <f>V634*(1+W$618)^($E624*W$619)*(1+W$620)*IF(Rebate_Industry!V$266&lt;=0,1,Rebate_Industry!W$266/Rebate_Industry!V$266)^$F624*(IF(V607&lt;=0,1,W607/V607)^$G624/(1+$H624+$I624))^(1+$F624)</f>
        <v>0</v>
      </c>
      <c r="X634" s="24">
        <f>W634*(1+X$618)^($E624*X$619)*(1+X$620)*IF(Rebate_Industry!W$266&lt;=0,1,Rebate_Industry!X$266/Rebate_Industry!W$266)^$F624*(IF(W607&lt;=0,1,X607/W607)^$G624/(1+$H624+$I624))^(1+$F624)</f>
        <v>0</v>
      </c>
      <c r="Y634" s="24">
        <f>X634*(1+Y$618)^($E624*Y$619)*(1+Y$620)*IF(Rebate_Industry!X$266&lt;=0,1,Rebate_Industry!Y$266/Rebate_Industry!X$266)^$F624*(IF(X607&lt;=0,1,Y607/X607)^$G624/(1+$H624+$I624))^(1+$F624)</f>
        <v>0</v>
      </c>
      <c r="Z634" s="24">
        <f>Y634*(1+Z$618)^($E624*Z$619)*(1+Z$620)*IF(Rebate_Industry!Y$266&lt;=0,1,Rebate_Industry!Z$266/Rebate_Industry!Y$266)^$F624*(IF(Y607&lt;=0,1,Z607/Y607)^$G624/(1+$H624+$I624))^(1+$F624)</f>
        <v>0</v>
      </c>
      <c r="AA634" s="24">
        <f>Z634*(1+AA$618)^($E624*AA$619)*(1+AA$620)*IF(Rebate_Industry!Z$266&lt;=0,1,Rebate_Industry!AA$266/Rebate_Industry!Z$266)^$F624*(IF(Z607&lt;=0,1,AA607/Z607)^$G624/(1+$H624+$I624))^(1+$F624)</f>
        <v>0</v>
      </c>
      <c r="AB634" s="24">
        <f>AA634*(1+AB$618)^($E624*AB$619)*(1+AB$620)*IF(Rebate_Industry!AA$266&lt;=0,1,Rebate_Industry!AB$266/Rebate_Industry!AA$266)^$F624*(IF(AA607&lt;=0,1,AB607/AA607)^$G624/(1+$H624+$I624))^(1+$F624)</f>
        <v>0</v>
      </c>
      <c r="AC634" s="24">
        <f>AB634*(1+AC$618)^($E624*AC$619)*(1+AC$620)*IF(Rebate_Industry!AB$266&lt;=0,1,Rebate_Industry!AC$266/Rebate_Industry!AB$266)^$F624*(IF(AB607&lt;=0,1,AC607/AB607)^$G624/(1+$H624+$I624))^(1+$F624)</f>
        <v>0</v>
      </c>
      <c r="AD634" s="24">
        <f>AC634*(1+AD$618)^($E624*AD$619)*(1+AD$620)*IF(Rebate_Industry!AC$266&lt;=0,1,Rebate_Industry!AD$266/Rebate_Industry!AC$266)^$F624*(IF(AC607&lt;=0,1,AD607/AC607)^$G624/(1+$H624+$I624))^(1+$F624)</f>
        <v>0</v>
      </c>
      <c r="AE634" s="24">
        <f>AD634*(1+AE$618)^($E624*AE$619)*(1+AE$620)*IF(Rebate_Industry!AD$266&lt;=0,1,Rebate_Industry!AE$266/Rebate_Industry!AD$266)^$F624*(IF(AD607&lt;=0,1,AE607/AD607)^$G624/(1+$H624+$I624))^(1+$F624)</f>
        <v>0</v>
      </c>
    </row>
    <row r="635" spans="2:31" x14ac:dyDescent="0.45">
      <c r="B635" s="14" t="s">
        <v>55</v>
      </c>
      <c r="C635" s="14" t="str">
        <f t="shared" si="180"/>
        <v>mch</v>
      </c>
      <c r="D635" s="15" t="s">
        <v>56</v>
      </c>
      <c r="E635" s="16" t="s">
        <v>108</v>
      </c>
      <c r="F635" s="14" t="s">
        <v>109</v>
      </c>
      <c r="G635" s="17" t="str">
        <f>Settings!$B$3&amp;".mit.enc."&amp;$B635</f>
        <v>egy.mit.enc.gso</v>
      </c>
      <c r="H635" s="45" t="str">
        <f>Settings!$B$3&amp;".mit.ener."&amp;$C$584&amp;"."&amp;$B635&amp;".e."&amp;$J$584</f>
        <v>egy.mit.ener.mch.gso.e.2</v>
      </c>
      <c r="I635" t="s">
        <v>2321</v>
      </c>
      <c r="L635" s="47">
        <f>INDEX(Data_Energy!$D$3:$U$22,MATCH($B635,Data_Energy!$C$3:$C$22,0),MATCH($C635,Data_Energy!$D$2:$U$2,0))</f>
        <v>0</v>
      </c>
      <c r="M635" s="24">
        <f>L635*(1+M$618)^($E625*M$619)*(1+M$620)*IF(Rebate_Industry!L$267&lt;=0,1,Rebate_Industry!M$267/Rebate_Industry!L$267)^$F625*(IF(L608&lt;=0,1,M608/L608)^$G625/(1+$H625+$I625))^(1+$F625)</f>
        <v>0</v>
      </c>
      <c r="N635" s="24">
        <f>M635*(1+N$618)^($E625*N$619)*(1+N$620)*IF(Rebate_Industry!M$267&lt;=0,1,Rebate_Industry!N$267/Rebate_Industry!M$267)^$F625*(IF(M608&lt;=0,1,N608/M608)^$G625/(1+$H625+$I625))^(1+$F625)</f>
        <v>0</v>
      </c>
      <c r="O635" s="24">
        <f>N635*(1+O$618)^($E625*O$619)*(1+O$620)*IF(Rebate_Industry!N$267&lt;=0,1,Rebate_Industry!O$267/Rebate_Industry!N$267)^$F625*(IF(N608&lt;=0,1,O608/N608)^$G625/(1+$H625+$I625))^(1+$F625)</f>
        <v>0</v>
      </c>
      <c r="P635" s="24">
        <f>O635*(1+P$618)^($E625*P$619)*(1+P$620)*IF(Rebate_Industry!O$267&lt;=0,1,Rebate_Industry!P$267/Rebate_Industry!O$267)^$F625*(IF(O608&lt;=0,1,P608/O608)^$G625/(1+$H625+$I625))^(1+$F625)</f>
        <v>0</v>
      </c>
      <c r="Q635" s="24">
        <f>P635*(1+Q$618)^($E625*Q$619)*(1+Q$620)*IF(Rebate_Industry!P$267&lt;=0,1,Rebate_Industry!Q$267/Rebate_Industry!P$267)^$F625*(IF(P608&lt;=0,1,Q608/P608)^$G625/(1+$H625+$I625))^(1+$F625)</f>
        <v>0</v>
      </c>
      <c r="R635" s="24">
        <f>Q635*(1+R$618)^($E625*R$619)*(1+R$620)*IF(Rebate_Industry!Q$267&lt;=0,1,Rebate_Industry!R$267/Rebate_Industry!Q$267)^$F625*(IF(Q608&lt;=0,1,R608/Q608)^$G625/(1+$H625+$I625))^(1+$F625)</f>
        <v>0</v>
      </c>
      <c r="S635" s="24">
        <f>R635*(1+S$618)^($E625*S$619)*(1+S$620)*IF(Rebate_Industry!R$267&lt;=0,1,Rebate_Industry!S$267/Rebate_Industry!R$267)^$F625*(IF(R608&lt;=0,1,S608/R608)^$G625/(1+$H625+$I625))^(1+$F625)</f>
        <v>0</v>
      </c>
      <c r="T635" s="24">
        <f>S635*(1+T$618)^($E625*T$619)*(1+T$620)*IF(Rebate_Industry!S$267&lt;=0,1,Rebate_Industry!T$267/Rebate_Industry!S$267)^$F625*(IF(S608&lt;=0,1,T608/S608)^$G625/(1+$H625+$I625))^(1+$F625)</f>
        <v>0</v>
      </c>
      <c r="U635" s="24">
        <f>T635*(1+U$618)^($E625*U$619)*(1+U$620)*IF(Rebate_Industry!T$267&lt;=0,1,Rebate_Industry!U$267/Rebate_Industry!T$267)^$F625*(IF(T608&lt;=0,1,U608/T608)^$G625/(1+$H625+$I625))^(1+$F625)</f>
        <v>0</v>
      </c>
      <c r="V635" s="24">
        <f>U635*(1+V$618)^($E625*V$619)*(1+V$620)*IF(Rebate_Industry!U$267&lt;=0,1,Rebate_Industry!V$267/Rebate_Industry!U$267)^$F625*(IF(U608&lt;=0,1,V608/U608)^$G625/(1+$H625+$I625))^(1+$F625)</f>
        <v>0</v>
      </c>
      <c r="W635" s="24">
        <f>V635*(1+W$618)^($E625*W$619)*(1+W$620)*IF(Rebate_Industry!V$267&lt;=0,1,Rebate_Industry!W$267/Rebate_Industry!V$267)^$F625*(IF(V608&lt;=0,1,W608/V608)^$G625/(1+$H625+$I625))^(1+$F625)</f>
        <v>0</v>
      </c>
      <c r="X635" s="24">
        <f>W635*(1+X$618)^($E625*X$619)*(1+X$620)*IF(Rebate_Industry!W$267&lt;=0,1,Rebate_Industry!X$267/Rebate_Industry!W$267)^$F625*(IF(W608&lt;=0,1,X608/W608)^$G625/(1+$H625+$I625))^(1+$F625)</f>
        <v>0</v>
      </c>
      <c r="Y635" s="24">
        <f>X635*(1+Y$618)^($E625*Y$619)*(1+Y$620)*IF(Rebate_Industry!X$267&lt;=0,1,Rebate_Industry!Y$267/Rebate_Industry!X$267)^$F625*(IF(X608&lt;=0,1,Y608/X608)^$G625/(1+$H625+$I625))^(1+$F625)</f>
        <v>0</v>
      </c>
      <c r="Z635" s="24">
        <f>Y635*(1+Z$618)^($E625*Z$619)*(1+Z$620)*IF(Rebate_Industry!Y$267&lt;=0,1,Rebate_Industry!Z$267/Rebate_Industry!Y$267)^$F625*(IF(Y608&lt;=0,1,Z608/Y608)^$G625/(1+$H625+$I625))^(1+$F625)</f>
        <v>0</v>
      </c>
      <c r="AA635" s="24">
        <f>Z635*(1+AA$618)^($E625*AA$619)*(1+AA$620)*IF(Rebate_Industry!Z$267&lt;=0,1,Rebate_Industry!AA$267/Rebate_Industry!Z$267)^$F625*(IF(Z608&lt;=0,1,AA608/Z608)^$G625/(1+$H625+$I625))^(1+$F625)</f>
        <v>0</v>
      </c>
      <c r="AB635" s="24">
        <f>AA635*(1+AB$618)^($E625*AB$619)*(1+AB$620)*IF(Rebate_Industry!AA$267&lt;=0,1,Rebate_Industry!AB$267/Rebate_Industry!AA$267)^$F625*(IF(AA608&lt;=0,1,AB608/AA608)^$G625/(1+$H625+$I625))^(1+$F625)</f>
        <v>0</v>
      </c>
      <c r="AC635" s="24">
        <f>AB635*(1+AC$618)^($E625*AC$619)*(1+AC$620)*IF(Rebate_Industry!AB$267&lt;=0,1,Rebate_Industry!AC$267/Rebate_Industry!AB$267)^$F625*(IF(AB608&lt;=0,1,AC608/AB608)^$G625/(1+$H625+$I625))^(1+$F625)</f>
        <v>0</v>
      </c>
      <c r="AD635" s="24">
        <f>AC635*(1+AD$618)^($E625*AD$619)*(1+AD$620)*IF(Rebate_Industry!AC$267&lt;=0,1,Rebate_Industry!AD$267/Rebate_Industry!AC$267)^$F625*(IF(AC608&lt;=0,1,AD608/AC608)^$G625/(1+$H625+$I625))^(1+$F625)</f>
        <v>0</v>
      </c>
      <c r="AE635" s="24">
        <f>AD635*(1+AE$618)^($E625*AE$619)*(1+AE$620)*IF(Rebate_Industry!AD$267&lt;=0,1,Rebate_Industry!AE$267/Rebate_Industry!AD$267)^$F625*(IF(AD608&lt;=0,1,AE608/AD608)^$G625/(1+$H625+$I625))^(1+$F625)</f>
        <v>0</v>
      </c>
    </row>
    <row r="636" spans="2:31" x14ac:dyDescent="0.45">
      <c r="B636" s="14" t="s">
        <v>58</v>
      </c>
      <c r="C636" s="14" t="str">
        <f t="shared" si="180"/>
        <v>mch</v>
      </c>
      <c r="D636" s="15" t="s">
        <v>59</v>
      </c>
      <c r="E636" s="16" t="s">
        <v>108</v>
      </c>
      <c r="F636" s="14" t="s">
        <v>109</v>
      </c>
      <c r="G636" s="17" t="str">
        <f>Settings!$B$3&amp;".mit.enc."&amp;$B636</f>
        <v>egy.mit.enc.die</v>
      </c>
      <c r="H636" s="45" t="str">
        <f>Settings!$B$3&amp;".mit.ener."&amp;$C$584&amp;"."&amp;$B636&amp;".e."&amp;$J$584</f>
        <v>egy.mit.ener.mch.die.e.2</v>
      </c>
      <c r="I636" t="s">
        <v>2322</v>
      </c>
      <c r="L636" s="47">
        <f>INDEX(Data_Energy!$D$3:$U$22,MATCH($B636,Data_Energy!$C$3:$C$22,0),MATCH($C636,Data_Energy!$D$2:$U$2,0))</f>
        <v>0</v>
      </c>
      <c r="M636" s="24">
        <f>L636*(1+M$618)^($E626*M$619)*(1+M$620)*IF(Rebate_Industry!L$268&lt;=0,1,Rebate_Industry!M$268/Rebate_Industry!L$268)^$F626*(IF(L609&lt;=0,1,M609/L609)^$G626/(1+$H626+$I626))^(1+$F626)</f>
        <v>0</v>
      </c>
      <c r="N636" s="24">
        <f>M636*(1+N$618)^($E626*N$619)*(1+N$620)*IF(Rebate_Industry!M$268&lt;=0,1,Rebate_Industry!N$268/Rebate_Industry!M$268)^$F626*(IF(M609&lt;=0,1,N609/M609)^$G626/(1+$H626+$I626))^(1+$F626)</f>
        <v>0</v>
      </c>
      <c r="O636" s="24">
        <f>N636*(1+O$618)^($E626*O$619)*(1+O$620)*IF(Rebate_Industry!N$268&lt;=0,1,Rebate_Industry!O$268/Rebate_Industry!N$268)^$F626*(IF(N609&lt;=0,1,O609/N609)^$G626/(1+$H626+$I626))^(1+$F626)</f>
        <v>0</v>
      </c>
      <c r="P636" s="24">
        <f>O636*(1+P$618)^($E626*P$619)*(1+P$620)*IF(Rebate_Industry!O$268&lt;=0,1,Rebate_Industry!P$268/Rebate_Industry!O$268)^$F626*(IF(O609&lt;=0,1,P609/O609)^$G626/(1+$H626+$I626))^(1+$F626)</f>
        <v>0</v>
      </c>
      <c r="Q636" s="24">
        <f>P636*(1+Q$618)^($E626*Q$619)*(1+Q$620)*IF(Rebate_Industry!P$268&lt;=0,1,Rebate_Industry!Q$268/Rebate_Industry!P$268)^$F626*(IF(P609&lt;=0,1,Q609/P609)^$G626/(1+$H626+$I626))^(1+$F626)</f>
        <v>0</v>
      </c>
      <c r="R636" s="24">
        <f>Q636*(1+R$618)^($E626*R$619)*(1+R$620)*IF(Rebate_Industry!Q$268&lt;=0,1,Rebate_Industry!R$268/Rebate_Industry!Q$268)^$F626*(IF(Q609&lt;=0,1,R609/Q609)^$G626/(1+$H626+$I626))^(1+$F626)</f>
        <v>0</v>
      </c>
      <c r="S636" s="24">
        <f>R636*(1+S$618)^($E626*S$619)*(1+S$620)*IF(Rebate_Industry!R$268&lt;=0,1,Rebate_Industry!S$268/Rebate_Industry!R$268)^$F626*(IF(R609&lt;=0,1,S609/R609)^$G626/(1+$H626+$I626))^(1+$F626)</f>
        <v>0</v>
      </c>
      <c r="T636" s="24">
        <f>S636*(1+T$618)^($E626*T$619)*(1+T$620)*IF(Rebate_Industry!S$268&lt;=0,1,Rebate_Industry!T$268/Rebate_Industry!S$268)^$F626*(IF(S609&lt;=0,1,T609/S609)^$G626/(1+$H626+$I626))^(1+$F626)</f>
        <v>0</v>
      </c>
      <c r="U636" s="24">
        <f>T636*(1+U$618)^($E626*U$619)*(1+U$620)*IF(Rebate_Industry!T$268&lt;=0,1,Rebate_Industry!U$268/Rebate_Industry!T$268)^$F626*(IF(T609&lt;=0,1,U609/T609)^$G626/(1+$H626+$I626))^(1+$F626)</f>
        <v>0</v>
      </c>
      <c r="V636" s="24">
        <f>U636*(1+V$618)^($E626*V$619)*(1+V$620)*IF(Rebate_Industry!U$268&lt;=0,1,Rebate_Industry!V$268/Rebate_Industry!U$268)^$F626*(IF(U609&lt;=0,1,V609/U609)^$G626/(1+$H626+$I626))^(1+$F626)</f>
        <v>0</v>
      </c>
      <c r="W636" s="24">
        <f>V636*(1+W$618)^($E626*W$619)*(1+W$620)*IF(Rebate_Industry!V$268&lt;=0,1,Rebate_Industry!W$268/Rebate_Industry!V$268)^$F626*(IF(V609&lt;=0,1,W609/V609)^$G626/(1+$H626+$I626))^(1+$F626)</f>
        <v>0</v>
      </c>
      <c r="X636" s="24">
        <f>W636*(1+X$618)^($E626*X$619)*(1+X$620)*IF(Rebate_Industry!W$268&lt;=0,1,Rebate_Industry!X$268/Rebate_Industry!W$268)^$F626*(IF(W609&lt;=0,1,X609/W609)^$G626/(1+$H626+$I626))^(1+$F626)</f>
        <v>0</v>
      </c>
      <c r="Y636" s="24">
        <f>X636*(1+Y$618)^($E626*Y$619)*(1+Y$620)*IF(Rebate_Industry!X$268&lt;=0,1,Rebate_Industry!Y$268/Rebate_Industry!X$268)^$F626*(IF(X609&lt;=0,1,Y609/X609)^$G626/(1+$H626+$I626))^(1+$F626)</f>
        <v>0</v>
      </c>
      <c r="Z636" s="24">
        <f>Y636*(1+Z$618)^($E626*Z$619)*(1+Z$620)*IF(Rebate_Industry!Y$268&lt;=0,1,Rebate_Industry!Z$268/Rebate_Industry!Y$268)^$F626*(IF(Y609&lt;=0,1,Z609/Y609)^$G626/(1+$H626+$I626))^(1+$F626)</f>
        <v>0</v>
      </c>
      <c r="AA636" s="24">
        <f>Z636*(1+AA$618)^($E626*AA$619)*(1+AA$620)*IF(Rebate_Industry!Z$268&lt;=0,1,Rebate_Industry!AA$268/Rebate_Industry!Z$268)^$F626*(IF(Z609&lt;=0,1,AA609/Z609)^$G626/(1+$H626+$I626))^(1+$F626)</f>
        <v>0</v>
      </c>
      <c r="AB636" s="24">
        <f>AA636*(1+AB$618)^($E626*AB$619)*(1+AB$620)*IF(Rebate_Industry!AA$268&lt;=0,1,Rebate_Industry!AB$268/Rebate_Industry!AA$268)^$F626*(IF(AA609&lt;=0,1,AB609/AA609)^$G626/(1+$H626+$I626))^(1+$F626)</f>
        <v>0</v>
      </c>
      <c r="AC636" s="24">
        <f>AB636*(1+AC$618)^($E626*AC$619)*(1+AC$620)*IF(Rebate_Industry!AB$268&lt;=0,1,Rebate_Industry!AC$268/Rebate_Industry!AB$268)^$F626*(IF(AB609&lt;=0,1,AC609/AB609)^$G626/(1+$H626+$I626))^(1+$F626)</f>
        <v>0</v>
      </c>
      <c r="AD636" s="24">
        <f>AC636*(1+AD$618)^($E626*AD$619)*(1+AD$620)*IF(Rebate_Industry!AC$268&lt;=0,1,Rebate_Industry!AD$268/Rebate_Industry!AC$268)^$F626*(IF(AC609&lt;=0,1,AD609/AC609)^$G626/(1+$H626+$I626))^(1+$F626)</f>
        <v>0</v>
      </c>
      <c r="AE636" s="24">
        <f>AD636*(1+AE$618)^($E626*AE$619)*(1+AE$620)*IF(Rebate_Industry!AD$268&lt;=0,1,Rebate_Industry!AE$268/Rebate_Industry!AD$268)^$F626*(IF(AD609&lt;=0,1,AE609/AD609)^$G626/(1+$H626+$I626))^(1+$F626)</f>
        <v>0</v>
      </c>
    </row>
    <row r="637" spans="2:31" x14ac:dyDescent="0.45">
      <c r="B637" s="14" t="s">
        <v>60</v>
      </c>
      <c r="C637" s="14" t="str">
        <f t="shared" si="180"/>
        <v>mch</v>
      </c>
      <c r="D637" s="15" t="s">
        <v>61</v>
      </c>
      <c r="E637" s="16" t="s">
        <v>108</v>
      </c>
      <c r="F637" s="14" t="s">
        <v>109</v>
      </c>
      <c r="G637" s="17" t="str">
        <f>Settings!$B$3&amp;".mit.enc."&amp;$B637</f>
        <v>egy.mit.enc.lpg</v>
      </c>
      <c r="H637" s="45" t="str">
        <f>Settings!$B$3&amp;".mit.ener."&amp;$C$584&amp;"."&amp;$B637&amp;".e."&amp;$J$584</f>
        <v>egy.mit.ener.mch.lpg.e.2</v>
      </c>
      <c r="I637" t="s">
        <v>2323</v>
      </c>
      <c r="L637" s="47">
        <f>INDEX(Data_Energy!$D$3:$U$22,MATCH($B637,Data_Energy!$C$3:$C$22,0),MATCH($C637,Data_Energy!$D$2:$U$2,0))</f>
        <v>0</v>
      </c>
      <c r="M637" s="24">
        <f>L637*(1+M$618)^($E627*M$619)*(1+M$620)*IF(Rebate_Industry!L$269&lt;=0,1,Rebate_Industry!M$269/Rebate_Industry!L$269)^$F627*(IF(L610&lt;=0,1,M610/L610)^$G627/(1+$H627+$I627))^(1+$F627)</f>
        <v>0</v>
      </c>
      <c r="N637" s="24">
        <f>M637*(1+N$618)^($E627*N$619)*(1+N$620)*IF(Rebate_Industry!M$269&lt;=0,1,Rebate_Industry!N$269/Rebate_Industry!M$269)^$F627*(IF(M610&lt;=0,1,N610/M610)^$G627/(1+$H627+$I627))^(1+$F627)</f>
        <v>0</v>
      </c>
      <c r="O637" s="24">
        <f>N637*(1+O$618)^($E627*O$619)*(1+O$620)*IF(Rebate_Industry!N$269&lt;=0,1,Rebate_Industry!O$269/Rebate_Industry!N$269)^$F627*(IF(N610&lt;=0,1,O610/N610)^$G627/(1+$H627+$I627))^(1+$F627)</f>
        <v>0</v>
      </c>
      <c r="P637" s="24">
        <f>O637*(1+P$618)^($E627*P$619)*(1+P$620)*IF(Rebate_Industry!O$269&lt;=0,1,Rebate_Industry!P$269/Rebate_Industry!O$269)^$F627*(IF(O610&lt;=0,1,P610/O610)^$G627/(1+$H627+$I627))^(1+$F627)</f>
        <v>0</v>
      </c>
      <c r="Q637" s="24">
        <f>P637*(1+Q$618)^($E627*Q$619)*(1+Q$620)*IF(Rebate_Industry!P$269&lt;=0,1,Rebate_Industry!Q$269/Rebate_Industry!P$269)^$F627*(IF(P610&lt;=0,1,Q610/P610)^$G627/(1+$H627+$I627))^(1+$F627)</f>
        <v>0</v>
      </c>
      <c r="R637" s="24">
        <f>Q637*(1+R$618)^($E627*R$619)*(1+R$620)*IF(Rebate_Industry!Q$269&lt;=0,1,Rebate_Industry!R$269/Rebate_Industry!Q$269)^$F627*(IF(Q610&lt;=0,1,R610/Q610)^$G627/(1+$H627+$I627))^(1+$F627)</f>
        <v>0</v>
      </c>
      <c r="S637" s="24">
        <f>R637*(1+S$618)^($E627*S$619)*(1+S$620)*IF(Rebate_Industry!R$269&lt;=0,1,Rebate_Industry!S$269/Rebate_Industry!R$269)^$F627*(IF(R610&lt;=0,1,S610/R610)^$G627/(1+$H627+$I627))^(1+$F627)</f>
        <v>0</v>
      </c>
      <c r="T637" s="24">
        <f>S637*(1+T$618)^($E627*T$619)*(1+T$620)*IF(Rebate_Industry!S$269&lt;=0,1,Rebate_Industry!T$269/Rebate_Industry!S$269)^$F627*(IF(S610&lt;=0,1,T610/S610)^$G627/(1+$H627+$I627))^(1+$F627)</f>
        <v>0</v>
      </c>
      <c r="U637" s="24">
        <f>T637*(1+U$618)^($E627*U$619)*(1+U$620)*IF(Rebate_Industry!T$269&lt;=0,1,Rebate_Industry!U$269/Rebate_Industry!T$269)^$F627*(IF(T610&lt;=0,1,U610/T610)^$G627/(1+$H627+$I627))^(1+$F627)</f>
        <v>0</v>
      </c>
      <c r="V637" s="24">
        <f>U637*(1+V$618)^($E627*V$619)*(1+V$620)*IF(Rebate_Industry!U$269&lt;=0,1,Rebate_Industry!V$269/Rebate_Industry!U$269)^$F627*(IF(U610&lt;=0,1,V610/U610)^$G627/(1+$H627+$I627))^(1+$F627)</f>
        <v>0</v>
      </c>
      <c r="W637" s="24">
        <f>V637*(1+W$618)^($E627*W$619)*(1+W$620)*IF(Rebate_Industry!V$269&lt;=0,1,Rebate_Industry!W$269/Rebate_Industry!V$269)^$F627*(IF(V610&lt;=0,1,W610/V610)^$G627/(1+$H627+$I627))^(1+$F627)</f>
        <v>0</v>
      </c>
      <c r="X637" s="24">
        <f>W637*(1+X$618)^($E627*X$619)*(1+X$620)*IF(Rebate_Industry!W$269&lt;=0,1,Rebate_Industry!X$269/Rebate_Industry!W$269)^$F627*(IF(W610&lt;=0,1,X610/W610)^$G627/(1+$H627+$I627))^(1+$F627)</f>
        <v>0</v>
      </c>
      <c r="Y637" s="24">
        <f>X637*(1+Y$618)^($E627*Y$619)*(1+Y$620)*IF(Rebate_Industry!X$269&lt;=0,1,Rebate_Industry!Y$269/Rebate_Industry!X$269)^$F627*(IF(X610&lt;=0,1,Y610/X610)^$G627/(1+$H627+$I627))^(1+$F627)</f>
        <v>0</v>
      </c>
      <c r="Z637" s="24">
        <f>Y637*(1+Z$618)^($E627*Z$619)*(1+Z$620)*IF(Rebate_Industry!Y$269&lt;=0,1,Rebate_Industry!Z$269/Rebate_Industry!Y$269)^$F627*(IF(Y610&lt;=0,1,Z610/Y610)^$G627/(1+$H627+$I627))^(1+$F627)</f>
        <v>0</v>
      </c>
      <c r="AA637" s="24">
        <f>Z637*(1+AA$618)^($E627*AA$619)*(1+AA$620)*IF(Rebate_Industry!Z$269&lt;=0,1,Rebate_Industry!AA$269/Rebate_Industry!Z$269)^$F627*(IF(Z610&lt;=0,1,AA610/Z610)^$G627/(1+$H627+$I627))^(1+$F627)</f>
        <v>0</v>
      </c>
      <c r="AB637" s="24">
        <f>AA637*(1+AB$618)^($E627*AB$619)*(1+AB$620)*IF(Rebate_Industry!AA$269&lt;=0,1,Rebate_Industry!AB$269/Rebate_Industry!AA$269)^$F627*(IF(AA610&lt;=0,1,AB610/AA610)^$G627/(1+$H627+$I627))^(1+$F627)</f>
        <v>0</v>
      </c>
      <c r="AC637" s="24">
        <f>AB637*(1+AC$618)^($E627*AC$619)*(1+AC$620)*IF(Rebate_Industry!AB$269&lt;=0,1,Rebate_Industry!AC$269/Rebate_Industry!AB$269)^$F627*(IF(AB610&lt;=0,1,AC610/AB610)^$G627/(1+$H627+$I627))^(1+$F627)</f>
        <v>0</v>
      </c>
      <c r="AD637" s="24">
        <f>AC637*(1+AD$618)^($E627*AD$619)*(1+AD$620)*IF(Rebate_Industry!AC$269&lt;=0,1,Rebate_Industry!AD$269/Rebate_Industry!AC$269)^$F627*(IF(AC610&lt;=0,1,AD610/AC610)^$G627/(1+$H627+$I627))^(1+$F627)</f>
        <v>0</v>
      </c>
      <c r="AE637" s="24">
        <f>AD637*(1+AE$618)^($E627*AE$619)*(1+AE$620)*IF(Rebate_Industry!AD$269&lt;=0,1,Rebate_Industry!AE$269/Rebate_Industry!AD$269)^$F627*(IF(AD610&lt;=0,1,AE610/AD610)^$G627/(1+$H627+$I627))^(1+$F627)</f>
        <v>0</v>
      </c>
    </row>
    <row r="638" spans="2:31" x14ac:dyDescent="0.45">
      <c r="B638" s="14" t="s">
        <v>62</v>
      </c>
      <c r="C638" s="14" t="str">
        <f t="shared" si="180"/>
        <v>mch</v>
      </c>
      <c r="D638" s="15" t="s">
        <v>63</v>
      </c>
      <c r="E638" s="16" t="s">
        <v>108</v>
      </c>
      <c r="F638" s="14" t="s">
        <v>109</v>
      </c>
      <c r="G638" s="17" t="str">
        <f>Settings!$B$3&amp;".mit.enc."&amp;$B638</f>
        <v>egy.mit.enc.ker</v>
      </c>
      <c r="H638" s="45" t="str">
        <f>Settings!$B$3&amp;".mit.ener."&amp;$C$584&amp;"."&amp;$B638&amp;".e."&amp;$J$584</f>
        <v>egy.mit.ener.mch.ker.e.2</v>
      </c>
      <c r="I638" t="s">
        <v>2324</v>
      </c>
      <c r="L638" s="47">
        <f>INDEX(Data_Energy!$D$3:$U$22,MATCH($B638,Data_Energy!$C$3:$C$22,0),MATCH($C638,Data_Energy!$D$2:$U$2,0))</f>
        <v>0</v>
      </c>
      <c r="M638" s="24">
        <f>L638*(1+M$618)^($E628*M$619)*(1+M$620)*IF(Rebate_Industry!L$270&lt;=0,1,Rebate_Industry!M$270/Rebate_Industry!L$270)^$F628*(IF(L611&lt;=0,1,M611/L611)^$G628/(1+$H628+$I628))^(1+$F628)</f>
        <v>0</v>
      </c>
      <c r="N638" s="24">
        <f>M638*(1+N$618)^($E628*N$619)*(1+N$620)*IF(Rebate_Industry!M$270&lt;=0,1,Rebate_Industry!N$270/Rebate_Industry!M$270)^$F628*(IF(M611&lt;=0,1,N611/M611)^$G628/(1+$H628+$I628))^(1+$F628)</f>
        <v>0</v>
      </c>
      <c r="O638" s="24">
        <f>N638*(1+O$618)^($E628*O$619)*(1+O$620)*IF(Rebate_Industry!N$270&lt;=0,1,Rebate_Industry!O$270/Rebate_Industry!N$270)^$F628*(IF(N611&lt;=0,1,O611/N611)^$G628/(1+$H628+$I628))^(1+$F628)</f>
        <v>0</v>
      </c>
      <c r="P638" s="24">
        <f>O638*(1+P$618)^($E628*P$619)*(1+P$620)*IF(Rebate_Industry!O$270&lt;=0,1,Rebate_Industry!P$270/Rebate_Industry!O$270)^$F628*(IF(O611&lt;=0,1,P611/O611)^$G628/(1+$H628+$I628))^(1+$F628)</f>
        <v>0</v>
      </c>
      <c r="Q638" s="24">
        <f>P638*(1+Q$618)^($E628*Q$619)*(1+Q$620)*IF(Rebate_Industry!P$270&lt;=0,1,Rebate_Industry!Q$270/Rebate_Industry!P$270)^$F628*(IF(P611&lt;=0,1,Q611/P611)^$G628/(1+$H628+$I628))^(1+$F628)</f>
        <v>0</v>
      </c>
      <c r="R638" s="24">
        <f>Q638*(1+R$618)^($E628*R$619)*(1+R$620)*IF(Rebate_Industry!Q$270&lt;=0,1,Rebate_Industry!R$270/Rebate_Industry!Q$270)^$F628*(IF(Q611&lt;=0,1,R611/Q611)^$G628/(1+$H628+$I628))^(1+$F628)</f>
        <v>0</v>
      </c>
      <c r="S638" s="24">
        <f>R638*(1+S$618)^($E628*S$619)*(1+S$620)*IF(Rebate_Industry!R$270&lt;=0,1,Rebate_Industry!S$270/Rebate_Industry!R$270)^$F628*(IF(R611&lt;=0,1,S611/R611)^$G628/(1+$H628+$I628))^(1+$F628)</f>
        <v>0</v>
      </c>
      <c r="T638" s="24">
        <f>S638*(1+T$618)^($E628*T$619)*(1+T$620)*IF(Rebate_Industry!S$270&lt;=0,1,Rebate_Industry!T$270/Rebate_Industry!S$270)^$F628*(IF(S611&lt;=0,1,T611/S611)^$G628/(1+$H628+$I628))^(1+$F628)</f>
        <v>0</v>
      </c>
      <c r="U638" s="24">
        <f>T638*(1+U$618)^($E628*U$619)*(1+U$620)*IF(Rebate_Industry!T$270&lt;=0,1,Rebate_Industry!U$270/Rebate_Industry!T$270)^$F628*(IF(T611&lt;=0,1,U611/T611)^$G628/(1+$H628+$I628))^(1+$F628)</f>
        <v>0</v>
      </c>
      <c r="V638" s="24">
        <f>U638*(1+V$618)^($E628*V$619)*(1+V$620)*IF(Rebate_Industry!U$270&lt;=0,1,Rebate_Industry!V$270/Rebate_Industry!U$270)^$F628*(IF(U611&lt;=0,1,V611/U611)^$G628/(1+$H628+$I628))^(1+$F628)</f>
        <v>0</v>
      </c>
      <c r="W638" s="24">
        <f>V638*(1+W$618)^($E628*W$619)*(1+W$620)*IF(Rebate_Industry!V$270&lt;=0,1,Rebate_Industry!W$270/Rebate_Industry!V$270)^$F628*(IF(V611&lt;=0,1,W611/V611)^$G628/(1+$H628+$I628))^(1+$F628)</f>
        <v>0</v>
      </c>
      <c r="X638" s="24">
        <f>W638*(1+X$618)^($E628*X$619)*(1+X$620)*IF(Rebate_Industry!W$270&lt;=0,1,Rebate_Industry!X$270/Rebate_Industry!W$270)^$F628*(IF(W611&lt;=0,1,X611/W611)^$G628/(1+$H628+$I628))^(1+$F628)</f>
        <v>0</v>
      </c>
      <c r="Y638" s="24">
        <f>X638*(1+Y$618)^($E628*Y$619)*(1+Y$620)*IF(Rebate_Industry!X$270&lt;=0,1,Rebate_Industry!Y$270/Rebate_Industry!X$270)^$F628*(IF(X611&lt;=0,1,Y611/X611)^$G628/(1+$H628+$I628))^(1+$F628)</f>
        <v>0</v>
      </c>
      <c r="Z638" s="24">
        <f>Y638*(1+Z$618)^($E628*Z$619)*(1+Z$620)*IF(Rebate_Industry!Y$270&lt;=0,1,Rebate_Industry!Z$270/Rebate_Industry!Y$270)^$F628*(IF(Y611&lt;=0,1,Z611/Y611)^$G628/(1+$H628+$I628))^(1+$F628)</f>
        <v>0</v>
      </c>
      <c r="AA638" s="24">
        <f>Z638*(1+AA$618)^($E628*AA$619)*(1+AA$620)*IF(Rebate_Industry!Z$270&lt;=0,1,Rebate_Industry!AA$270/Rebate_Industry!Z$270)^$F628*(IF(Z611&lt;=0,1,AA611/Z611)^$G628/(1+$H628+$I628))^(1+$F628)</f>
        <v>0</v>
      </c>
      <c r="AB638" s="24">
        <f>AA638*(1+AB$618)^($E628*AB$619)*(1+AB$620)*IF(Rebate_Industry!AA$270&lt;=0,1,Rebate_Industry!AB$270/Rebate_Industry!AA$270)^$F628*(IF(AA611&lt;=0,1,AB611/AA611)^$G628/(1+$H628+$I628))^(1+$F628)</f>
        <v>0</v>
      </c>
      <c r="AC638" s="24">
        <f>AB638*(1+AC$618)^($E628*AC$619)*(1+AC$620)*IF(Rebate_Industry!AB$270&lt;=0,1,Rebate_Industry!AC$270/Rebate_Industry!AB$270)^$F628*(IF(AB611&lt;=0,1,AC611/AB611)^$G628/(1+$H628+$I628))^(1+$F628)</f>
        <v>0</v>
      </c>
      <c r="AD638" s="24">
        <f>AC638*(1+AD$618)^($E628*AD$619)*(1+AD$620)*IF(Rebate_Industry!AC$270&lt;=0,1,Rebate_Industry!AD$270/Rebate_Industry!AC$270)^$F628*(IF(AC611&lt;=0,1,AD611/AC611)^$G628/(1+$H628+$I628))^(1+$F628)</f>
        <v>0</v>
      </c>
      <c r="AE638" s="24">
        <f>AD638*(1+AE$618)^($E628*AE$619)*(1+AE$620)*IF(Rebate_Industry!AD$270&lt;=0,1,Rebate_Industry!AE$270/Rebate_Industry!AD$270)^$F628*(IF(AD611&lt;=0,1,AE611/AD611)^$G628/(1+$H628+$I628))^(1+$F628)</f>
        <v>0</v>
      </c>
    </row>
    <row r="639" spans="2:31" x14ac:dyDescent="0.45">
      <c r="B639" s="14" t="s">
        <v>64</v>
      </c>
      <c r="C639" s="14" t="str">
        <f t="shared" si="180"/>
        <v>mch</v>
      </c>
      <c r="D639" s="15" t="s">
        <v>65</v>
      </c>
      <c r="E639" s="16" t="s">
        <v>108</v>
      </c>
      <c r="F639" s="14" t="s">
        <v>109</v>
      </c>
      <c r="G639" s="17" t="str">
        <f>Settings!$B$3&amp;".mit.enc."&amp;$B639</f>
        <v>egy.mit.enc.oop</v>
      </c>
      <c r="H639" s="45" t="str">
        <f>Settings!$B$3&amp;".mit.ener."&amp;$C$584&amp;"."&amp;$B639&amp;".e."&amp;$J$584</f>
        <v>egy.mit.ener.mch.oop.e.2</v>
      </c>
      <c r="I639" t="s">
        <v>2325</v>
      </c>
      <c r="L639" s="47">
        <f>INDEX(Data_Energy!$D$3:$U$22,MATCH($B639,Data_Energy!$C$3:$C$22,0),MATCH($C639,Data_Energy!$D$2:$U$2,0))</f>
        <v>0</v>
      </c>
      <c r="M639" s="24">
        <f>L639*(1+M$618)^($E629*M$619)*(1+M$620)*IF(Rebate_Industry!L$271&lt;=0,1,Rebate_Industry!M$271/Rebate_Industry!L$271)^$F629*(IF(L612&lt;=0,1,M612/L612)^$G629/(1+$H629+$I629))^(1+$F629)</f>
        <v>0</v>
      </c>
      <c r="N639" s="24">
        <f>M639*(1+N$618)^($E629*N$619)*(1+N$620)*IF(Rebate_Industry!M$271&lt;=0,1,Rebate_Industry!N$271/Rebate_Industry!M$271)^$F629*(IF(M612&lt;=0,1,N612/M612)^$G629/(1+$H629+$I629))^(1+$F629)</f>
        <v>0</v>
      </c>
      <c r="O639" s="24">
        <f>N639*(1+O$618)^($E629*O$619)*(1+O$620)*IF(Rebate_Industry!N$271&lt;=0,1,Rebate_Industry!O$271/Rebate_Industry!N$271)^$F629*(IF(N612&lt;=0,1,O612/N612)^$G629/(1+$H629+$I629))^(1+$F629)</f>
        <v>0</v>
      </c>
      <c r="P639" s="24">
        <f>O639*(1+P$618)^($E629*P$619)*(1+P$620)*IF(Rebate_Industry!O$271&lt;=0,1,Rebate_Industry!P$271/Rebate_Industry!O$271)^$F629*(IF(O612&lt;=0,1,P612/O612)^$G629/(1+$H629+$I629))^(1+$F629)</f>
        <v>0</v>
      </c>
      <c r="Q639" s="24">
        <f>P639*(1+Q$618)^($E629*Q$619)*(1+Q$620)*IF(Rebate_Industry!P$271&lt;=0,1,Rebate_Industry!Q$271/Rebate_Industry!P$271)^$F629*(IF(P612&lt;=0,1,Q612/P612)^$G629/(1+$H629+$I629))^(1+$F629)</f>
        <v>0</v>
      </c>
      <c r="R639" s="24">
        <f>Q639*(1+R$618)^($E629*R$619)*(1+R$620)*IF(Rebate_Industry!Q$271&lt;=0,1,Rebate_Industry!R$271/Rebate_Industry!Q$271)^$F629*(IF(Q612&lt;=0,1,R612/Q612)^$G629/(1+$H629+$I629))^(1+$F629)</f>
        <v>0</v>
      </c>
      <c r="S639" s="24">
        <f>R639*(1+S$618)^($E629*S$619)*(1+S$620)*IF(Rebate_Industry!R$271&lt;=0,1,Rebate_Industry!S$271/Rebate_Industry!R$271)^$F629*(IF(R612&lt;=0,1,S612/R612)^$G629/(1+$H629+$I629))^(1+$F629)</f>
        <v>0</v>
      </c>
      <c r="T639" s="24">
        <f>S639*(1+T$618)^($E629*T$619)*(1+T$620)*IF(Rebate_Industry!S$271&lt;=0,1,Rebate_Industry!T$271/Rebate_Industry!S$271)^$F629*(IF(S612&lt;=0,1,T612/S612)^$G629/(1+$H629+$I629))^(1+$F629)</f>
        <v>0</v>
      </c>
      <c r="U639" s="24">
        <f>T639*(1+U$618)^($E629*U$619)*(1+U$620)*IF(Rebate_Industry!T$271&lt;=0,1,Rebate_Industry!U$271/Rebate_Industry!T$271)^$F629*(IF(T612&lt;=0,1,U612/T612)^$G629/(1+$H629+$I629))^(1+$F629)</f>
        <v>0</v>
      </c>
      <c r="V639" s="24">
        <f>U639*(1+V$618)^($E629*V$619)*(1+V$620)*IF(Rebate_Industry!U$271&lt;=0,1,Rebate_Industry!V$271/Rebate_Industry!U$271)^$F629*(IF(U612&lt;=0,1,V612/U612)^$G629/(1+$H629+$I629))^(1+$F629)</f>
        <v>0</v>
      </c>
      <c r="W639" s="24">
        <f>V639*(1+W$618)^($E629*W$619)*(1+W$620)*IF(Rebate_Industry!V$271&lt;=0,1,Rebate_Industry!W$271/Rebate_Industry!V$271)^$F629*(IF(V612&lt;=0,1,W612/V612)^$G629/(1+$H629+$I629))^(1+$F629)</f>
        <v>0</v>
      </c>
      <c r="X639" s="24">
        <f>W639*(1+X$618)^($E629*X$619)*(1+X$620)*IF(Rebate_Industry!W$271&lt;=0,1,Rebate_Industry!X$271/Rebate_Industry!W$271)^$F629*(IF(W612&lt;=0,1,X612/W612)^$G629/(1+$H629+$I629))^(1+$F629)</f>
        <v>0</v>
      </c>
      <c r="Y639" s="24">
        <f>X639*(1+Y$618)^($E629*Y$619)*(1+Y$620)*IF(Rebate_Industry!X$271&lt;=0,1,Rebate_Industry!Y$271/Rebate_Industry!X$271)^$F629*(IF(X612&lt;=0,1,Y612/X612)^$G629/(1+$H629+$I629))^(1+$F629)</f>
        <v>0</v>
      </c>
      <c r="Z639" s="24">
        <f>Y639*(1+Z$618)^($E629*Z$619)*(1+Z$620)*IF(Rebate_Industry!Y$271&lt;=0,1,Rebate_Industry!Z$271/Rebate_Industry!Y$271)^$F629*(IF(Y612&lt;=0,1,Z612/Y612)^$G629/(1+$H629+$I629))^(1+$F629)</f>
        <v>0</v>
      </c>
      <c r="AA639" s="24">
        <f>Z639*(1+AA$618)^($E629*AA$619)*(1+AA$620)*IF(Rebate_Industry!Z$271&lt;=0,1,Rebate_Industry!AA$271/Rebate_Industry!Z$271)^$F629*(IF(Z612&lt;=0,1,AA612/Z612)^$G629/(1+$H629+$I629))^(1+$F629)</f>
        <v>0</v>
      </c>
      <c r="AB639" s="24">
        <f>AA639*(1+AB$618)^($E629*AB$619)*(1+AB$620)*IF(Rebate_Industry!AA$271&lt;=0,1,Rebate_Industry!AB$271/Rebate_Industry!AA$271)^$F629*(IF(AA612&lt;=0,1,AB612/AA612)^$G629/(1+$H629+$I629))^(1+$F629)</f>
        <v>0</v>
      </c>
      <c r="AC639" s="24">
        <f>AB639*(1+AC$618)^($E629*AC$619)*(1+AC$620)*IF(Rebate_Industry!AB$271&lt;=0,1,Rebate_Industry!AC$271/Rebate_Industry!AB$271)^$F629*(IF(AB612&lt;=0,1,AC612/AB612)^$G629/(1+$H629+$I629))^(1+$F629)</f>
        <v>0</v>
      </c>
      <c r="AD639" s="24">
        <f>AC639*(1+AD$618)^($E629*AD$619)*(1+AD$620)*IF(Rebate_Industry!AC$271&lt;=0,1,Rebate_Industry!AD$271/Rebate_Industry!AC$271)^$F629*(IF(AC612&lt;=0,1,AD612/AC612)^$G629/(1+$H629+$I629))^(1+$F629)</f>
        <v>0</v>
      </c>
      <c r="AE639" s="24">
        <f>AD639*(1+AE$618)^($E629*AE$619)*(1+AE$620)*IF(Rebate_Industry!AD$271&lt;=0,1,Rebate_Industry!AE$271/Rebate_Industry!AD$271)^$F629*(IF(AD612&lt;=0,1,AE612/AD612)^$G629/(1+$H629+$I629))^(1+$F629)</f>
        <v>0</v>
      </c>
    </row>
    <row r="640" spans="2:31" x14ac:dyDescent="0.45">
      <c r="B640" s="14" t="s">
        <v>67</v>
      </c>
      <c r="C640" s="14" t="str">
        <f t="shared" si="180"/>
        <v>mch</v>
      </c>
      <c r="D640" s="15" t="s">
        <v>68</v>
      </c>
      <c r="E640" s="16" t="s">
        <v>108</v>
      </c>
      <c r="F640" s="14" t="s">
        <v>109</v>
      </c>
      <c r="G640" s="17" t="str">
        <f>Settings!$B$3&amp;".mit.enc."&amp;$B640</f>
        <v>egy.mit.enc.bio</v>
      </c>
      <c r="H640" s="45" t="str">
        <f>Settings!$B$3&amp;".mit.ener."&amp;$C$584&amp;"."&amp;$B640&amp;".e."&amp;$J$584</f>
        <v>egy.mit.ener.mch.bio.e.2</v>
      </c>
      <c r="I640" t="s">
        <v>2326</v>
      </c>
      <c r="L640" s="47">
        <f>INDEX(Data_Energy!$D$3:$U$22,MATCH($B640,Data_Energy!$C$3:$C$22,0),MATCH($C640,Data_Energy!$D$2:$U$2,0))</f>
        <v>0</v>
      </c>
      <c r="M640" s="24">
        <f>L640*(1+M$618)^($E630*M$619)*(1+M$620)*IF(Rebate_Industry!L$272&lt;=0,1,Rebate_Industry!M$272/Rebate_Industry!L$272)^$F630*(IF(L613&lt;=0,1,M613/L613)^$G630/(1+$H630+$I630))^(1+$F630)</f>
        <v>0</v>
      </c>
      <c r="N640" s="24">
        <f>M640*(1+N$618)^($E630*N$619)*(1+N$620)*IF(Rebate_Industry!M$272&lt;=0,1,Rebate_Industry!N$272/Rebate_Industry!M$272)^$F630*(IF(M613&lt;=0,1,N613/M613)^$G630/(1+$H630+$I630))^(1+$F630)</f>
        <v>0</v>
      </c>
      <c r="O640" s="24">
        <f>N640*(1+O$618)^($E630*O$619)*(1+O$620)*IF(Rebate_Industry!N$272&lt;=0,1,Rebate_Industry!O$272/Rebate_Industry!N$272)^$F630*(IF(N613&lt;=0,1,O613/N613)^$G630/(1+$H630+$I630))^(1+$F630)</f>
        <v>0</v>
      </c>
      <c r="P640" s="24">
        <f>O640*(1+P$618)^($E630*P$619)*(1+P$620)*IF(Rebate_Industry!O$272&lt;=0,1,Rebate_Industry!P$272/Rebate_Industry!O$272)^$F630*(IF(O613&lt;=0,1,P613/O613)^$G630/(1+$H630+$I630))^(1+$F630)</f>
        <v>0</v>
      </c>
      <c r="Q640" s="24">
        <f>P640*(1+Q$618)^($E630*Q$619)*(1+Q$620)*IF(Rebate_Industry!P$272&lt;=0,1,Rebate_Industry!Q$272/Rebate_Industry!P$272)^$F630*(IF(P613&lt;=0,1,Q613/P613)^$G630/(1+$H630+$I630))^(1+$F630)</f>
        <v>0</v>
      </c>
      <c r="R640" s="24">
        <f>Q640*(1+R$618)^($E630*R$619)*(1+R$620)*IF(Rebate_Industry!Q$272&lt;=0,1,Rebate_Industry!R$272/Rebate_Industry!Q$272)^$F630*(IF(Q613&lt;=0,1,R613/Q613)^$G630/(1+$H630+$I630))^(1+$F630)</f>
        <v>0</v>
      </c>
      <c r="S640" s="24">
        <f>R640*(1+S$618)^($E630*S$619)*(1+S$620)*IF(Rebate_Industry!R$272&lt;=0,1,Rebate_Industry!S$272/Rebate_Industry!R$272)^$F630*(IF(R613&lt;=0,1,S613/R613)^$G630/(1+$H630+$I630))^(1+$F630)</f>
        <v>0</v>
      </c>
      <c r="T640" s="24">
        <f>S640*(1+T$618)^($E630*T$619)*(1+T$620)*IF(Rebate_Industry!S$272&lt;=0,1,Rebate_Industry!T$272/Rebate_Industry!S$272)^$F630*(IF(S613&lt;=0,1,T613/S613)^$G630/(1+$H630+$I630))^(1+$F630)</f>
        <v>0</v>
      </c>
      <c r="U640" s="24">
        <f>T640*(1+U$618)^($E630*U$619)*(1+U$620)*IF(Rebate_Industry!T$272&lt;=0,1,Rebate_Industry!U$272/Rebate_Industry!T$272)^$F630*(IF(T613&lt;=0,1,U613/T613)^$G630/(1+$H630+$I630))^(1+$F630)</f>
        <v>0</v>
      </c>
      <c r="V640" s="24">
        <f>U640*(1+V$618)^($E630*V$619)*(1+V$620)*IF(Rebate_Industry!U$272&lt;=0,1,Rebate_Industry!V$272/Rebate_Industry!U$272)^$F630*(IF(U613&lt;=0,1,V613/U613)^$G630/(1+$H630+$I630))^(1+$F630)</f>
        <v>0</v>
      </c>
      <c r="W640" s="24">
        <f>V640*(1+W$618)^($E630*W$619)*(1+W$620)*IF(Rebate_Industry!V$272&lt;=0,1,Rebate_Industry!W$272/Rebate_Industry!V$272)^$F630*(IF(V613&lt;=0,1,W613/V613)^$G630/(1+$H630+$I630))^(1+$F630)</f>
        <v>0</v>
      </c>
      <c r="X640" s="24">
        <f>W640*(1+X$618)^($E630*X$619)*(1+X$620)*IF(Rebate_Industry!W$272&lt;=0,1,Rebate_Industry!X$272/Rebate_Industry!W$272)^$F630*(IF(W613&lt;=0,1,X613/W613)^$G630/(1+$H630+$I630))^(1+$F630)</f>
        <v>0</v>
      </c>
      <c r="Y640" s="24">
        <f>X640*(1+Y$618)^($E630*Y$619)*(1+Y$620)*IF(Rebate_Industry!X$272&lt;=0,1,Rebate_Industry!Y$272/Rebate_Industry!X$272)^$F630*(IF(X613&lt;=0,1,Y613/X613)^$G630/(1+$H630+$I630))^(1+$F630)</f>
        <v>0</v>
      </c>
      <c r="Z640" s="24">
        <f>Y640*(1+Z$618)^($E630*Z$619)*(1+Z$620)*IF(Rebate_Industry!Y$272&lt;=0,1,Rebate_Industry!Z$272/Rebate_Industry!Y$272)^$F630*(IF(Y613&lt;=0,1,Z613/Y613)^$G630/(1+$H630+$I630))^(1+$F630)</f>
        <v>0</v>
      </c>
      <c r="AA640" s="24">
        <f>Z640*(1+AA$618)^($E630*AA$619)*(1+AA$620)*IF(Rebate_Industry!Z$272&lt;=0,1,Rebate_Industry!AA$272/Rebate_Industry!Z$272)^$F630*(IF(Z613&lt;=0,1,AA613/Z613)^$G630/(1+$H630+$I630))^(1+$F630)</f>
        <v>0</v>
      </c>
      <c r="AB640" s="24">
        <f>AA640*(1+AB$618)^($E630*AB$619)*(1+AB$620)*IF(Rebate_Industry!AA$272&lt;=0,1,Rebate_Industry!AB$272/Rebate_Industry!AA$272)^$F630*(IF(AA613&lt;=0,1,AB613/AA613)^$G630/(1+$H630+$I630))^(1+$F630)</f>
        <v>0</v>
      </c>
      <c r="AC640" s="24">
        <f>AB640*(1+AC$618)^($E630*AC$619)*(1+AC$620)*IF(Rebate_Industry!AB$272&lt;=0,1,Rebate_Industry!AC$272/Rebate_Industry!AB$272)^$F630*(IF(AB613&lt;=0,1,AC613/AB613)^$G630/(1+$H630+$I630))^(1+$F630)</f>
        <v>0</v>
      </c>
      <c r="AD640" s="24">
        <f>AC640*(1+AD$618)^($E630*AD$619)*(1+AD$620)*IF(Rebate_Industry!AC$272&lt;=0,1,Rebate_Industry!AD$272/Rebate_Industry!AC$272)^$F630*(IF(AC613&lt;=0,1,AD613/AC613)^$G630/(1+$H630+$I630))^(1+$F630)</f>
        <v>0</v>
      </c>
      <c r="AE640" s="24">
        <f>AD640*(1+AE$618)^($E630*AE$619)*(1+AE$620)*IF(Rebate_Industry!AD$272&lt;=0,1,Rebate_Industry!AE$272/Rebate_Industry!AD$272)^$F630*(IF(AD613&lt;=0,1,AE613/AD613)^$G630/(1+$H630+$I630))^(1+$F630)</f>
        <v>0</v>
      </c>
    </row>
    <row r="641" spans="1:35" x14ac:dyDescent="0.45">
      <c r="B641" s="14" t="s">
        <v>69</v>
      </c>
      <c r="C641" s="14" t="str">
        <f t="shared" si="180"/>
        <v>mch</v>
      </c>
      <c r="D641" s="15" t="s">
        <v>70</v>
      </c>
      <c r="E641" s="16" t="s">
        <v>108</v>
      </c>
      <c r="F641" s="14" t="s">
        <v>109</v>
      </c>
      <c r="G641" s="17" t="str">
        <f>Settings!$B$3&amp;".mit.enc."&amp;$B641</f>
        <v>egy.mit.enc.ren</v>
      </c>
      <c r="H641" s="45" t="str">
        <f>Settings!$B$3&amp;".mit.ener."&amp;$C$584&amp;"."&amp;$B641&amp;".e."&amp;$J$584</f>
        <v>egy.mit.ener.mch.ren.e.2</v>
      </c>
      <c r="I641" t="s">
        <v>2327</v>
      </c>
      <c r="L641" s="47">
        <f>INDEX(Data_Energy!$D$3:$U$22,MATCH($B641,Data_Energy!$C$3:$C$22,0),MATCH($C641,Data_Energy!$D$2:$U$2,0))</f>
        <v>0</v>
      </c>
      <c r="M641" s="24">
        <f>L641*(1+M$618)^($E631*M$619)*(1+M$620)*IF(Rebate_Industry!L$273&lt;=0,1,Rebate_Industry!M$273/Rebate_Industry!L$273)^$F631*(IF(L614&lt;=0,1,M614/L614)^$G631/(1+$H631+$I631))^(1+$F631)</f>
        <v>0</v>
      </c>
      <c r="N641" s="24">
        <f>M641*(1+N$618)^($E631*N$619)*(1+N$620)*IF(Rebate_Industry!M$273&lt;=0,1,Rebate_Industry!N$273/Rebate_Industry!M$273)^$F631*(IF(M614&lt;=0,1,N614/M614)^$G631/(1+$H631+$I631))^(1+$F631)</f>
        <v>0</v>
      </c>
      <c r="O641" s="24">
        <f>N641*(1+O$618)^($E631*O$619)*(1+O$620)*IF(Rebate_Industry!N$273&lt;=0,1,Rebate_Industry!O$273/Rebate_Industry!N$273)^$F631*(IF(N614&lt;=0,1,O614/N614)^$G631/(1+$H631+$I631))^(1+$F631)</f>
        <v>0</v>
      </c>
      <c r="P641" s="24">
        <f>O641*(1+P$618)^($E631*P$619)*(1+P$620)*IF(Rebate_Industry!O$273&lt;=0,1,Rebate_Industry!P$273/Rebate_Industry!O$273)^$F631*(IF(O614&lt;=0,1,P614/O614)^$G631/(1+$H631+$I631))^(1+$F631)</f>
        <v>0</v>
      </c>
      <c r="Q641" s="24">
        <f>P641*(1+Q$618)^($E631*Q$619)*(1+Q$620)*IF(Rebate_Industry!P$273&lt;=0,1,Rebate_Industry!Q$273/Rebate_Industry!P$273)^$F631*(IF(P614&lt;=0,1,Q614/P614)^$G631/(1+$H631+$I631))^(1+$F631)</f>
        <v>0</v>
      </c>
      <c r="R641" s="24">
        <f>Q641*(1+R$618)^($E631*R$619)*(1+R$620)*IF(Rebate_Industry!Q$273&lt;=0,1,Rebate_Industry!R$273/Rebate_Industry!Q$273)^$F631*(IF(Q614&lt;=0,1,R614/Q614)^$G631/(1+$H631+$I631))^(1+$F631)</f>
        <v>0</v>
      </c>
      <c r="S641" s="24">
        <f>R641*(1+S$618)^($E631*S$619)*(1+S$620)*IF(Rebate_Industry!R$273&lt;=0,1,Rebate_Industry!S$273/Rebate_Industry!R$273)^$F631*(IF(R614&lt;=0,1,S614/R614)^$G631/(1+$H631+$I631))^(1+$F631)</f>
        <v>0</v>
      </c>
      <c r="T641" s="24">
        <f>S641*(1+T$618)^($E631*T$619)*(1+T$620)*IF(Rebate_Industry!S$273&lt;=0,1,Rebate_Industry!T$273/Rebate_Industry!S$273)^$F631*(IF(S614&lt;=0,1,T614/S614)^$G631/(1+$H631+$I631))^(1+$F631)</f>
        <v>0</v>
      </c>
      <c r="U641" s="24">
        <f>T641*(1+U$618)^($E631*U$619)*(1+U$620)*IF(Rebate_Industry!T$273&lt;=0,1,Rebate_Industry!U$273/Rebate_Industry!T$273)^$F631*(IF(T614&lt;=0,1,U614/T614)^$G631/(1+$H631+$I631))^(1+$F631)</f>
        <v>0</v>
      </c>
      <c r="V641" s="24">
        <f>U641*(1+V$618)^($E631*V$619)*(1+V$620)*IF(Rebate_Industry!U$273&lt;=0,1,Rebate_Industry!V$273/Rebate_Industry!U$273)^$F631*(IF(U614&lt;=0,1,V614/U614)^$G631/(1+$H631+$I631))^(1+$F631)</f>
        <v>0</v>
      </c>
      <c r="W641" s="24">
        <f>V641*(1+W$618)^($E631*W$619)*(1+W$620)*IF(Rebate_Industry!V$273&lt;=0,1,Rebate_Industry!W$273/Rebate_Industry!V$273)^$F631*(IF(V614&lt;=0,1,W614/V614)^$G631/(1+$H631+$I631))^(1+$F631)</f>
        <v>0</v>
      </c>
      <c r="X641" s="24">
        <f>W641*(1+X$618)^($E631*X$619)*(1+X$620)*IF(Rebate_Industry!W$273&lt;=0,1,Rebate_Industry!X$273/Rebate_Industry!W$273)^$F631*(IF(W614&lt;=0,1,X614/W614)^$G631/(1+$H631+$I631))^(1+$F631)</f>
        <v>0</v>
      </c>
      <c r="Y641" s="24">
        <f>X641*(1+Y$618)^($E631*Y$619)*(1+Y$620)*IF(Rebate_Industry!X$273&lt;=0,1,Rebate_Industry!Y$273/Rebate_Industry!X$273)^$F631*(IF(X614&lt;=0,1,Y614/X614)^$G631/(1+$H631+$I631))^(1+$F631)</f>
        <v>0</v>
      </c>
      <c r="Z641" s="24">
        <f>Y641*(1+Z$618)^($E631*Z$619)*(1+Z$620)*IF(Rebate_Industry!Y$273&lt;=0,1,Rebate_Industry!Z$273/Rebate_Industry!Y$273)^$F631*(IF(Y614&lt;=0,1,Z614/Y614)^$G631/(1+$H631+$I631))^(1+$F631)</f>
        <v>0</v>
      </c>
      <c r="AA641" s="24">
        <f>Z641*(1+AA$618)^($E631*AA$619)*(1+AA$620)*IF(Rebate_Industry!Z$273&lt;=0,1,Rebate_Industry!AA$273/Rebate_Industry!Z$273)^$F631*(IF(Z614&lt;=0,1,AA614/Z614)^$G631/(1+$H631+$I631))^(1+$F631)</f>
        <v>0</v>
      </c>
      <c r="AB641" s="24">
        <f>AA641*(1+AB$618)^($E631*AB$619)*(1+AB$620)*IF(Rebate_Industry!AA$273&lt;=0,1,Rebate_Industry!AB$273/Rebate_Industry!AA$273)^$F631*(IF(AA614&lt;=0,1,AB614/AA614)^$G631/(1+$H631+$I631))^(1+$F631)</f>
        <v>0</v>
      </c>
      <c r="AC641" s="24">
        <f>AB641*(1+AC$618)^($E631*AC$619)*(1+AC$620)*IF(Rebate_Industry!AB$273&lt;=0,1,Rebate_Industry!AC$273/Rebate_Industry!AB$273)^$F631*(IF(AB614&lt;=0,1,AC614/AB614)^$G631/(1+$H631+$I631))^(1+$F631)</f>
        <v>0</v>
      </c>
      <c r="AD641" s="24">
        <f>AC641*(1+AD$618)^($E631*AD$619)*(1+AD$620)*IF(Rebate_Industry!AC$273&lt;=0,1,Rebate_Industry!AD$273/Rebate_Industry!AC$273)^$F631*(IF(AC614&lt;=0,1,AD614/AC614)^$G631/(1+$H631+$I631))^(1+$F631)</f>
        <v>0</v>
      </c>
      <c r="AE641" s="24">
        <f>AD641*(1+AE$618)^($E631*AE$619)*(1+AE$620)*IF(Rebate_Industry!AD$273&lt;=0,1,Rebate_Industry!AE$273/Rebate_Industry!AD$273)^$F631*(IF(AD614&lt;=0,1,AE614/AD614)^$G631/(1+$H631+$I631))^(1+$F631)</f>
        <v>0</v>
      </c>
    </row>
    <row r="642" spans="1:35" x14ac:dyDescent="0.45">
      <c r="B642" s="14" t="s">
        <v>110</v>
      </c>
      <c r="C642" s="14" t="str">
        <f t="shared" si="180"/>
        <v>mch</v>
      </c>
      <c r="D642" s="25" t="s">
        <v>111</v>
      </c>
      <c r="E642" s="16" t="s">
        <v>108</v>
      </c>
      <c r="F642" s="14" t="s">
        <v>109</v>
      </c>
      <c r="H642" s="45" t="str">
        <f>Settings!$B$3&amp;".mit.ener."&amp;$C$584&amp;".tot.e."&amp;$J$584</f>
        <v>egy.mit.ener.mch.tot.e.2</v>
      </c>
      <c r="L642" s="26">
        <f t="shared" ref="L642:AE642" si="181">SUM(L633:L641)</f>
        <v>0</v>
      </c>
      <c r="M642" s="26">
        <f t="shared" si="181"/>
        <v>0</v>
      </c>
      <c r="N642" s="26">
        <f t="shared" si="181"/>
        <v>0</v>
      </c>
      <c r="O642" s="26">
        <f t="shared" si="181"/>
        <v>0</v>
      </c>
      <c r="P642" s="26">
        <f t="shared" si="181"/>
        <v>0</v>
      </c>
      <c r="Q642" s="26">
        <f t="shared" si="181"/>
        <v>0</v>
      </c>
      <c r="R642" s="26">
        <f t="shared" si="181"/>
        <v>0</v>
      </c>
      <c r="S642" s="26">
        <f t="shared" si="181"/>
        <v>0</v>
      </c>
      <c r="T642" s="26">
        <f t="shared" si="181"/>
        <v>0</v>
      </c>
      <c r="U642" s="26">
        <f t="shared" si="181"/>
        <v>0</v>
      </c>
      <c r="V642" s="26">
        <f t="shared" si="181"/>
        <v>0</v>
      </c>
      <c r="W642" s="26">
        <f t="shared" si="181"/>
        <v>0</v>
      </c>
      <c r="X642" s="26">
        <f t="shared" si="181"/>
        <v>0</v>
      </c>
      <c r="Y642" s="26">
        <f t="shared" si="181"/>
        <v>0</v>
      </c>
      <c r="Z642" s="26">
        <f t="shared" si="181"/>
        <v>0</v>
      </c>
      <c r="AA642" s="26">
        <f t="shared" si="181"/>
        <v>0</v>
      </c>
      <c r="AB642" s="26">
        <f t="shared" si="181"/>
        <v>0</v>
      </c>
      <c r="AC642" s="26">
        <f t="shared" si="181"/>
        <v>0</v>
      </c>
      <c r="AD642" s="26">
        <f t="shared" si="181"/>
        <v>0</v>
      </c>
      <c r="AE642" s="26">
        <f t="shared" si="181"/>
        <v>0</v>
      </c>
    </row>
    <row r="644" spans="1:35" x14ac:dyDescent="0.45">
      <c r="A644" s="11"/>
      <c r="B644" s="6" t="s">
        <v>1422</v>
      </c>
      <c r="C644" s="7"/>
      <c r="D644" s="6"/>
      <c r="E644" s="7"/>
      <c r="F644" s="7"/>
      <c r="G644" s="7"/>
      <c r="H644" s="12"/>
      <c r="I644" s="6" t="s">
        <v>47</v>
      </c>
      <c r="J644" s="48">
        <f>$J$404</f>
        <v>2</v>
      </c>
      <c r="K644" s="6"/>
      <c r="L644" s="4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x14ac:dyDescent="0.45">
      <c r="A645" s="71"/>
      <c r="B645" s="52"/>
      <c r="C645" s="73" t="s">
        <v>1423</v>
      </c>
      <c r="D645" s="73"/>
      <c r="E645" s="70"/>
      <c r="F645" s="70"/>
      <c r="G645" s="70"/>
      <c r="H645" s="70"/>
      <c r="I645" s="71"/>
      <c r="J645" s="71"/>
      <c r="K645" s="72"/>
      <c r="L645" s="74">
        <f t="shared" ref="L645:AE645" si="182">L739</f>
        <v>2022</v>
      </c>
      <c r="M645" s="74">
        <f t="shared" si="182"/>
        <v>2023</v>
      </c>
      <c r="N645" s="74">
        <f t="shared" si="182"/>
        <v>2024</v>
      </c>
      <c r="O645" s="74">
        <f t="shared" si="182"/>
        <v>2025</v>
      </c>
      <c r="P645" s="74">
        <f t="shared" si="182"/>
        <v>2026</v>
      </c>
      <c r="Q645" s="74">
        <f t="shared" si="182"/>
        <v>2027</v>
      </c>
      <c r="R645" s="74">
        <f t="shared" si="182"/>
        <v>2028</v>
      </c>
      <c r="S645" s="74">
        <f t="shared" si="182"/>
        <v>2029</v>
      </c>
      <c r="T645" s="74">
        <f t="shared" si="182"/>
        <v>2030</v>
      </c>
      <c r="U645" s="74">
        <f t="shared" si="182"/>
        <v>2031</v>
      </c>
      <c r="V645" s="74">
        <f t="shared" si="182"/>
        <v>2032</v>
      </c>
      <c r="W645" s="74">
        <f t="shared" si="182"/>
        <v>2033</v>
      </c>
      <c r="X645" s="74">
        <f t="shared" si="182"/>
        <v>2034</v>
      </c>
      <c r="Y645" s="74">
        <f t="shared" si="182"/>
        <v>2035</v>
      </c>
      <c r="Z645" s="74">
        <f t="shared" si="182"/>
        <v>2036</v>
      </c>
      <c r="AA645" s="74">
        <f t="shared" si="182"/>
        <v>2037</v>
      </c>
      <c r="AB645" s="74">
        <f t="shared" si="182"/>
        <v>2038</v>
      </c>
      <c r="AC645" s="74">
        <f t="shared" si="182"/>
        <v>2039</v>
      </c>
      <c r="AD645" s="74">
        <f t="shared" si="182"/>
        <v>2040</v>
      </c>
      <c r="AE645" s="74">
        <f t="shared" si="182"/>
        <v>2041</v>
      </c>
      <c r="AF645" s="74"/>
      <c r="AG645" s="70"/>
      <c r="AH645" s="70"/>
      <c r="AI645" s="70"/>
    </row>
    <row r="646" spans="1:35" x14ac:dyDescent="0.45">
      <c r="A646" s="71"/>
      <c r="B646" s="52"/>
      <c r="C646" s="70"/>
      <c r="D646" s="73" t="s">
        <v>1424</v>
      </c>
      <c r="E646" s="71" t="s">
        <v>1415</v>
      </c>
      <c r="F646" s="71" t="s">
        <v>26</v>
      </c>
      <c r="G646" s="86" t="str">
        <f>Settings!$B$3&amp;".mit.cptraj."&amp;$J$404</f>
        <v>egy.mit.cptraj.2</v>
      </c>
      <c r="H646" s="71"/>
      <c r="I646" s="71"/>
      <c r="J646" s="71"/>
      <c r="K646" s="72"/>
      <c r="L646" s="71">
        <f>INDEX(Data_Prices!L:L,MATCH($G646,Data_Prices!$A:$A,0))</f>
        <v>0</v>
      </c>
      <c r="M646" s="71">
        <f>INDEX(Data_Prices!M:M,MATCH($G646,Data_Prices!$A:$A,0))</f>
        <v>0</v>
      </c>
      <c r="N646" s="71">
        <f>INDEX(Data_Prices!N:N,MATCH($G646,Data_Prices!$A:$A,0))</f>
        <v>0</v>
      </c>
      <c r="O646" s="71">
        <f>INDEX(Data_Prices!O:O,MATCH($G646,Data_Prices!$A:$A,0))</f>
        <v>0</v>
      </c>
      <c r="P646" s="71">
        <f>INDEX(Data_Prices!P:P,MATCH($G646,Data_Prices!$A:$A,0))</f>
        <v>0</v>
      </c>
      <c r="Q646" s="71">
        <f>INDEX(Data_Prices!Q:Q,MATCH($G646,Data_Prices!$A:$A,0))</f>
        <v>12.5</v>
      </c>
      <c r="R646" s="71">
        <f>INDEX(Data_Prices!R:R,MATCH($G646,Data_Prices!$A:$A,0))</f>
        <v>25</v>
      </c>
      <c r="S646" s="71">
        <f>INDEX(Data_Prices!S:S,MATCH($G646,Data_Prices!$A:$A,0))</f>
        <v>37.5</v>
      </c>
      <c r="T646" s="71">
        <f>INDEX(Data_Prices!T:T,MATCH($G646,Data_Prices!$A:$A,0))</f>
        <v>50</v>
      </c>
      <c r="U646" s="71">
        <f>INDEX(Data_Prices!U:U,MATCH($G646,Data_Prices!$A:$A,0))</f>
        <v>62.5</v>
      </c>
      <c r="V646" s="71">
        <f>INDEX(Data_Prices!V:V,MATCH($G646,Data_Prices!$A:$A,0))</f>
        <v>75</v>
      </c>
      <c r="W646" s="71">
        <f>INDEX(Data_Prices!W:W,MATCH($G646,Data_Prices!$A:$A,0))</f>
        <v>87.5</v>
      </c>
      <c r="X646" s="71">
        <f>INDEX(Data_Prices!X:X,MATCH($G646,Data_Prices!$A:$A,0))</f>
        <v>100</v>
      </c>
      <c r="Y646" s="71">
        <f>INDEX(Data_Prices!Y:Y,MATCH($G646,Data_Prices!$A:$A,0))</f>
        <v>112.5</v>
      </c>
      <c r="Z646" s="71">
        <f>INDEX(Data_Prices!Z:Z,MATCH($G646,Data_Prices!$A:$A,0))</f>
        <v>125</v>
      </c>
      <c r="AA646" s="71">
        <f>INDEX(Data_Prices!AA:AA,MATCH($G646,Data_Prices!$A:$A,0))</f>
        <v>137.5</v>
      </c>
      <c r="AB646" s="71">
        <f>INDEX(Data_Prices!AB:AB,MATCH($G646,Data_Prices!$A:$A,0))</f>
        <v>150</v>
      </c>
      <c r="AC646" s="71">
        <f>INDEX(Data_Prices!AC:AC,MATCH($G646,Data_Prices!$A:$A,0))</f>
        <v>162.5</v>
      </c>
      <c r="AD646" s="71">
        <f>INDEX(Data_Prices!AD:AD,MATCH($G646,Data_Prices!$A:$A,0))</f>
        <v>175</v>
      </c>
      <c r="AE646" s="71">
        <f>INDEX(Data_Prices!AE:AE,MATCH($G646,Data_Prices!$A:$A,0))</f>
        <v>187.5</v>
      </c>
      <c r="AF646" s="71"/>
      <c r="AG646" s="70"/>
      <c r="AH646" s="70"/>
      <c r="AI646" s="70"/>
    </row>
    <row r="647" spans="1:35" x14ac:dyDescent="0.45">
      <c r="A647" s="70"/>
      <c r="B647" s="52"/>
      <c r="C647" s="70"/>
      <c r="D647" s="73" t="s">
        <v>1425</v>
      </c>
      <c r="E647" s="70" t="s">
        <v>1415</v>
      </c>
      <c r="F647" s="70" t="s">
        <v>26</v>
      </c>
      <c r="G647" s="87" t="str">
        <f>Settings!$B$3&amp;".mit.etstraj."&amp;$J$404</f>
        <v>egy.mit.etstraj.2</v>
      </c>
      <c r="H647" s="70"/>
      <c r="I647" s="70"/>
      <c r="J647" s="70"/>
      <c r="K647" s="72"/>
      <c r="L647" s="71">
        <f>INDEX(Data_Prices!L:L,MATCH($G647,Data_Prices!$A:$A,0))</f>
        <v>0</v>
      </c>
      <c r="M647" s="71">
        <f>INDEX(Data_Prices!M:M,MATCH($G647,Data_Prices!$A:$A,0))</f>
        <v>0</v>
      </c>
      <c r="N647" s="71">
        <f>INDEX(Data_Prices!N:N,MATCH($G647,Data_Prices!$A:$A,0))</f>
        <v>0</v>
      </c>
      <c r="O647" s="71">
        <f>INDEX(Data_Prices!O:O,MATCH($G647,Data_Prices!$A:$A,0))</f>
        <v>0</v>
      </c>
      <c r="P647" s="71">
        <f>INDEX(Data_Prices!P:P,MATCH($G647,Data_Prices!$A:$A,0))</f>
        <v>0</v>
      </c>
      <c r="Q647" s="71">
        <f>INDEX(Data_Prices!Q:Q,MATCH($G647,Data_Prices!$A:$A,0))</f>
        <v>0</v>
      </c>
      <c r="R647" s="71">
        <f>INDEX(Data_Prices!R:R,MATCH($G647,Data_Prices!$A:$A,0))</f>
        <v>0</v>
      </c>
      <c r="S647" s="71">
        <f>INDEX(Data_Prices!S:S,MATCH($G647,Data_Prices!$A:$A,0))</f>
        <v>0</v>
      </c>
      <c r="T647" s="71">
        <f>INDEX(Data_Prices!T:T,MATCH($G647,Data_Prices!$A:$A,0))</f>
        <v>0</v>
      </c>
      <c r="U647" s="71">
        <f>INDEX(Data_Prices!U:U,MATCH($G647,Data_Prices!$A:$A,0))</f>
        <v>0</v>
      </c>
      <c r="V647" s="71">
        <f>INDEX(Data_Prices!V:V,MATCH($G647,Data_Prices!$A:$A,0))</f>
        <v>0</v>
      </c>
      <c r="W647" s="71">
        <f>INDEX(Data_Prices!W:W,MATCH($G647,Data_Prices!$A:$A,0))</f>
        <v>0</v>
      </c>
      <c r="X647" s="71">
        <f>INDEX(Data_Prices!X:X,MATCH($G647,Data_Prices!$A:$A,0))</f>
        <v>0</v>
      </c>
      <c r="Y647" s="71">
        <f>INDEX(Data_Prices!Y:Y,MATCH($G647,Data_Prices!$A:$A,0))</f>
        <v>0</v>
      </c>
      <c r="Z647" s="71">
        <f>INDEX(Data_Prices!Z:Z,MATCH($G647,Data_Prices!$A:$A,0))</f>
        <v>0</v>
      </c>
      <c r="AA647" s="71">
        <f>INDEX(Data_Prices!AA:AA,MATCH($G647,Data_Prices!$A:$A,0))</f>
        <v>0</v>
      </c>
      <c r="AB647" s="71">
        <f>INDEX(Data_Prices!AB:AB,MATCH($G647,Data_Prices!$A:$A,0))</f>
        <v>0</v>
      </c>
      <c r="AC647" s="71">
        <f>INDEX(Data_Prices!AC:AC,MATCH($G647,Data_Prices!$A:$A,0))</f>
        <v>0</v>
      </c>
      <c r="AD647" s="71">
        <f>INDEX(Data_Prices!AD:AD,MATCH($G647,Data_Prices!$A:$A,0))</f>
        <v>0</v>
      </c>
      <c r="AE647" s="71">
        <f>INDEX(Data_Prices!AE:AE,MATCH($G647,Data_Prices!$A:$A,0))</f>
        <v>0</v>
      </c>
      <c r="AF647" s="70"/>
      <c r="AG647" s="70"/>
      <c r="AH647" s="70"/>
      <c r="AI647" s="70"/>
    </row>
    <row r="648" spans="1:35" x14ac:dyDescent="0.45">
      <c r="A648" s="70"/>
      <c r="B648" s="52"/>
      <c r="C648" s="70"/>
      <c r="D648" s="73" t="s">
        <v>1426</v>
      </c>
      <c r="E648" s="70" t="s">
        <v>1427</v>
      </c>
      <c r="F648" s="70" t="s">
        <v>26</v>
      </c>
      <c r="G648" s="87" t="str">
        <f>Settings!$B$3&amp;".mit.fundsp."&amp;$J$404</f>
        <v>egy.mit.fundsp.2</v>
      </c>
      <c r="H648" s="70"/>
      <c r="I648" s="70" t="s">
        <v>2735</v>
      </c>
      <c r="J648" s="70"/>
      <c r="K648" s="70"/>
      <c r="L648" s="96">
        <f>INDEX(Data_Prices!L:L,MATCH($G648,Data_Prices!$A:$A,0))</f>
        <v>0</v>
      </c>
      <c r="M648" s="96">
        <f>INDEX(Data_Prices!M:M,MATCH($G648,Data_Prices!$A:$A,0))</f>
        <v>0</v>
      </c>
      <c r="N648" s="96">
        <f>INDEX(Data_Prices!N:N,MATCH($G648,Data_Prices!$A:$A,0))</f>
        <v>0</v>
      </c>
      <c r="O648" s="96">
        <f>INDEX(Data_Prices!O:O,MATCH($G648,Data_Prices!$A:$A,0))</f>
        <v>0</v>
      </c>
      <c r="P648" s="96">
        <f>INDEX(Data_Prices!P:P,MATCH($G648,Data_Prices!$A:$A,0))</f>
        <v>0</v>
      </c>
      <c r="Q648" s="96">
        <f>INDEX(Data_Prices!Q:Q,MATCH($G648,Data_Prices!$A:$A,0))</f>
        <v>0</v>
      </c>
      <c r="R648" s="96">
        <f>INDEX(Data_Prices!R:R,MATCH($G648,Data_Prices!$A:$A,0))</f>
        <v>0</v>
      </c>
      <c r="S648" s="96">
        <f>INDEX(Data_Prices!S:S,MATCH($G648,Data_Prices!$A:$A,0))</f>
        <v>0</v>
      </c>
      <c r="T648" s="96">
        <f>INDEX(Data_Prices!T:T,MATCH($G648,Data_Prices!$A:$A,0))</f>
        <v>0</v>
      </c>
      <c r="U648" s="96">
        <f>INDEX(Data_Prices!U:U,MATCH($G648,Data_Prices!$A:$A,0))</f>
        <v>0</v>
      </c>
      <c r="V648" s="96">
        <f>INDEX(Data_Prices!V:V,MATCH($G648,Data_Prices!$A:$A,0))</f>
        <v>0</v>
      </c>
      <c r="W648" s="96">
        <f>INDEX(Data_Prices!W:W,MATCH($G648,Data_Prices!$A:$A,0))</f>
        <v>0</v>
      </c>
      <c r="X648" s="96">
        <f>INDEX(Data_Prices!X:X,MATCH($G648,Data_Prices!$A:$A,0))</f>
        <v>0</v>
      </c>
      <c r="Y648" s="96">
        <f>INDEX(Data_Prices!Y:Y,MATCH($G648,Data_Prices!$A:$A,0))</f>
        <v>0</v>
      </c>
      <c r="Z648" s="96">
        <f>INDEX(Data_Prices!Z:Z,MATCH($G648,Data_Prices!$A:$A,0))</f>
        <v>0</v>
      </c>
      <c r="AA648" s="96">
        <f>INDEX(Data_Prices!AA:AA,MATCH($G648,Data_Prices!$A:$A,0))</f>
        <v>0</v>
      </c>
      <c r="AB648" s="96">
        <f>INDEX(Data_Prices!AB:AB,MATCH($G648,Data_Prices!$A:$A,0))</f>
        <v>0</v>
      </c>
      <c r="AC648" s="96">
        <f>INDEX(Data_Prices!AC:AC,MATCH($G648,Data_Prices!$A:$A,0))</f>
        <v>0</v>
      </c>
      <c r="AD648" s="96">
        <f>INDEX(Data_Prices!AD:AD,MATCH($G648,Data_Prices!$A:$A,0))</f>
        <v>0</v>
      </c>
      <c r="AE648" s="96">
        <f>INDEX(Data_Prices!AE:AE,MATCH($G648,Data_Prices!$A:$A,0))</f>
        <v>0</v>
      </c>
      <c r="AF648" s="70"/>
      <c r="AG648" s="70"/>
      <c r="AH648" s="70"/>
      <c r="AI648" s="70"/>
    </row>
    <row r="649" spans="1:35" x14ac:dyDescent="0.45">
      <c r="A649" s="70"/>
      <c r="B649" s="52"/>
      <c r="C649" s="70"/>
      <c r="D649" s="73" t="s">
        <v>1428</v>
      </c>
      <c r="E649" s="70" t="s">
        <v>1861</v>
      </c>
      <c r="F649" s="70" t="s">
        <v>26</v>
      </c>
      <c r="G649" s="87" t="str">
        <f>Settings!$B$3&amp;".mit.fundsh."&amp;$J$404</f>
        <v>egy.mit.fundsh.2</v>
      </c>
      <c r="H649" s="70"/>
      <c r="I649" s="70" t="s">
        <v>2734</v>
      </c>
      <c r="J649" s="70"/>
      <c r="K649" s="70"/>
      <c r="L649" s="133">
        <f>Fund_Industry!L$245</f>
        <v>0</v>
      </c>
      <c r="M649" s="133">
        <f>Fund_Industry!M$245</f>
        <v>0</v>
      </c>
      <c r="N649" s="133">
        <f>Fund_Industry!N$245</f>
        <v>0</v>
      </c>
      <c r="O649" s="133">
        <f>Fund_Industry!O$245</f>
        <v>0</v>
      </c>
      <c r="P649" s="133">
        <f>Fund_Industry!P$245</f>
        <v>0</v>
      </c>
      <c r="Q649" s="133">
        <f>Fund_Industry!Q$245</f>
        <v>0</v>
      </c>
      <c r="R649" s="133">
        <f>Fund_Industry!R$245</f>
        <v>0</v>
      </c>
      <c r="S649" s="133">
        <f>Fund_Industry!S$245</f>
        <v>0</v>
      </c>
      <c r="T649" s="133">
        <f>Fund_Industry!T$245</f>
        <v>0</v>
      </c>
      <c r="U649" s="133">
        <f>Fund_Industry!U$245</f>
        <v>0</v>
      </c>
      <c r="V649" s="133">
        <f>Fund_Industry!V$245</f>
        <v>0</v>
      </c>
      <c r="W649" s="133">
        <f>Fund_Industry!W$245</f>
        <v>0</v>
      </c>
      <c r="X649" s="133">
        <f>Fund_Industry!X$245</f>
        <v>0</v>
      </c>
      <c r="Y649" s="133">
        <f>Fund_Industry!Y$245</f>
        <v>0</v>
      </c>
      <c r="Z649" s="133">
        <f>Fund_Industry!Z$245</f>
        <v>0</v>
      </c>
      <c r="AA649" s="133">
        <f>Fund_Industry!AA$245</f>
        <v>0</v>
      </c>
      <c r="AB649" s="133">
        <f>Fund_Industry!AB$245</f>
        <v>0</v>
      </c>
      <c r="AC649" s="133">
        <f>Fund_Industry!AC$245</f>
        <v>0</v>
      </c>
      <c r="AD649" s="133">
        <f>Fund_Industry!AD$245</f>
        <v>0</v>
      </c>
      <c r="AE649" s="133">
        <f>Fund_Industry!AE$245</f>
        <v>0</v>
      </c>
      <c r="AF649" s="70"/>
      <c r="AG649" s="70"/>
      <c r="AH649" s="70"/>
      <c r="AI649" s="70"/>
    </row>
    <row r="650" spans="1:35" x14ac:dyDescent="0.45">
      <c r="A650" s="70"/>
      <c r="B650" s="52"/>
      <c r="C650" s="70"/>
      <c r="D650" s="73" t="s">
        <v>1862</v>
      </c>
      <c r="E650" s="70" t="s">
        <v>1415</v>
      </c>
      <c r="F650" s="70" t="s">
        <v>26</v>
      </c>
      <c r="G650" s="87" t="str">
        <f>Settings!$B$3&amp;".mit.obrrb."&amp;$J$404</f>
        <v>egy.mit.obrrb.2</v>
      </c>
      <c r="H650" s="70"/>
      <c r="I650" s="70" t="s">
        <v>1863</v>
      </c>
      <c r="J650" s="70"/>
      <c r="K650" s="70"/>
      <c r="L650" s="70">
        <f>INDEX(Data_Prices!L:L,MATCH($G650,Data_Prices!$A:$A,0))</f>
        <v>0</v>
      </c>
      <c r="M650" s="70">
        <f>INDEX(Data_Prices!M:M,MATCH($G650,Data_Prices!$A:$A,0))</f>
        <v>0</v>
      </c>
      <c r="N650" s="70">
        <f>INDEX(Data_Prices!N:N,MATCH($G650,Data_Prices!$A:$A,0))</f>
        <v>0</v>
      </c>
      <c r="O650" s="70">
        <f>INDEX(Data_Prices!O:O,MATCH($G650,Data_Prices!$A:$A,0))</f>
        <v>0</v>
      </c>
      <c r="P650" s="70">
        <f>INDEX(Data_Prices!P:P,MATCH($G650,Data_Prices!$A:$A,0))</f>
        <v>0</v>
      </c>
      <c r="Q650" s="70">
        <f>INDEX(Data_Prices!Q:Q,MATCH($G650,Data_Prices!$A:$A,0))</f>
        <v>0</v>
      </c>
      <c r="R650" s="70">
        <f>INDEX(Data_Prices!R:R,MATCH($G650,Data_Prices!$A:$A,0))</f>
        <v>0</v>
      </c>
      <c r="S650" s="70">
        <f>INDEX(Data_Prices!S:S,MATCH($G650,Data_Prices!$A:$A,0))</f>
        <v>0</v>
      </c>
      <c r="T650" s="70">
        <f>INDEX(Data_Prices!T:T,MATCH($G650,Data_Prices!$A:$A,0))</f>
        <v>0</v>
      </c>
      <c r="U650" s="70">
        <f>INDEX(Data_Prices!U:U,MATCH($G650,Data_Prices!$A:$A,0))</f>
        <v>0</v>
      </c>
      <c r="V650" s="70">
        <f>INDEX(Data_Prices!V:V,MATCH($G650,Data_Prices!$A:$A,0))</f>
        <v>0</v>
      </c>
      <c r="W650" s="70">
        <f>INDEX(Data_Prices!W:W,MATCH($G650,Data_Prices!$A:$A,0))</f>
        <v>0</v>
      </c>
      <c r="X650" s="70">
        <f>INDEX(Data_Prices!X:X,MATCH($G650,Data_Prices!$A:$A,0))</f>
        <v>0</v>
      </c>
      <c r="Y650" s="70">
        <f>INDEX(Data_Prices!Y:Y,MATCH($G650,Data_Prices!$A:$A,0))</f>
        <v>0</v>
      </c>
      <c r="Z650" s="70">
        <f>INDEX(Data_Prices!Z:Z,MATCH($G650,Data_Prices!$A:$A,0))</f>
        <v>0</v>
      </c>
      <c r="AA650" s="70">
        <f>INDEX(Data_Prices!AA:AA,MATCH($G650,Data_Prices!$A:$A,0))</f>
        <v>0</v>
      </c>
      <c r="AB650" s="70">
        <f>INDEX(Data_Prices!AB:AB,MATCH($G650,Data_Prices!$A:$A,0))</f>
        <v>0</v>
      </c>
      <c r="AC650" s="70">
        <f>INDEX(Data_Prices!AC:AC,MATCH($G650,Data_Prices!$A:$A,0))</f>
        <v>0</v>
      </c>
      <c r="AD650" s="70">
        <f>INDEX(Data_Prices!AD:AD,MATCH($G650,Data_Prices!$A:$A,0))</f>
        <v>0</v>
      </c>
      <c r="AE650" s="70">
        <f>INDEX(Data_Prices!AE:AE,MATCH($G650,Data_Prices!$A:$A,0))</f>
        <v>0</v>
      </c>
      <c r="AF650" s="70"/>
      <c r="AG650" s="70"/>
      <c r="AH650" s="70"/>
      <c r="AI650" s="70"/>
    </row>
    <row r="651" spans="1:35" x14ac:dyDescent="0.45">
      <c r="A651" s="70"/>
      <c r="B651" s="70"/>
      <c r="C651" s="73" t="s">
        <v>1429</v>
      </c>
      <c r="D651" s="73"/>
      <c r="E651" s="71" t="s">
        <v>1430</v>
      </c>
      <c r="F651" s="71" t="s">
        <v>1431</v>
      </c>
      <c r="G651" s="71" t="s">
        <v>1405</v>
      </c>
      <c r="H651" s="71" t="s">
        <v>1432</v>
      </c>
      <c r="I651" s="71" t="s">
        <v>1433</v>
      </c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0"/>
      <c r="AH651" s="70"/>
      <c r="AI651" s="70"/>
    </row>
    <row r="652" spans="1:35" x14ac:dyDescent="0.45">
      <c r="A652" s="70"/>
      <c r="B652" s="73"/>
      <c r="C652" s="70"/>
      <c r="D652" s="73" t="s">
        <v>116</v>
      </c>
      <c r="E652" s="75">
        <f>IF(AND($J$404&gt;1,INDEX(MTInputs!$F$8:$F$415,MATCH("MCovMch",MTInputs!$H$8:$H$415,0))),1,0)</f>
        <v>1</v>
      </c>
      <c r="F652" s="75">
        <f>IF(AND($J$404&gt;1,INDEX(MTInputs!$F$8:$F$415,MATCH("D_NewETS",MTInputs!$H$8:$H$415,0))="Yes"),IF(MTInputs!$F$107,1,0),0)</f>
        <v>0</v>
      </c>
      <c r="G652" s="75">
        <f>IF(MTInputs!$F$117,1,0)</f>
        <v>0</v>
      </c>
      <c r="H652" s="75">
        <f>G652*E652</f>
        <v>0</v>
      </c>
      <c r="I652" s="75">
        <f>G652*F652</f>
        <v>0</v>
      </c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0"/>
      <c r="AH652" s="70"/>
      <c r="AI652" s="70"/>
    </row>
    <row r="653" spans="1:35" x14ac:dyDescent="0.45">
      <c r="A653" s="70"/>
      <c r="B653" s="73"/>
      <c r="C653" s="70"/>
      <c r="D653" s="73" t="s">
        <v>42</v>
      </c>
      <c r="E653" s="75">
        <f>IF(AND($J$404&gt;1,INDEX(MTInputs!$F$8:$F$415,MATCH("MCovIrn",MTInputs!$H$8:$H$415,0))),1,0)</f>
        <v>1</v>
      </c>
      <c r="F653" s="75">
        <f>IF(AND($J$404&gt;1,INDEX(MTInputs!$F$8:$F$415,MATCH("D_NewETS",MTInputs!$H$8:$H$415,0))="Yes"),IF(MTInputs!$F$108,1,0),0)</f>
        <v>0</v>
      </c>
      <c r="G653" s="75">
        <f>IF(MTInputs!$F$118,1,0)</f>
        <v>0</v>
      </c>
      <c r="H653" s="75">
        <f>G653*E653</f>
        <v>0</v>
      </c>
      <c r="I653" s="75">
        <f>G653*F653</f>
        <v>0</v>
      </c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0"/>
      <c r="AH653" s="70"/>
      <c r="AI653" s="70"/>
    </row>
    <row r="654" spans="1:35" x14ac:dyDescent="0.45">
      <c r="A654" s="70"/>
      <c r="B654" s="73"/>
      <c r="C654" s="70"/>
      <c r="D654" s="73" t="s">
        <v>870</v>
      </c>
      <c r="E654" s="75">
        <f>IF(AND($J$404&gt;1,INDEX(MTInputs!$F$8:$F$415,MATCH("MCovNfm",MTInputs!$H$8:$H$415,0))),1,0)</f>
        <v>1</v>
      </c>
      <c r="F654" s="75">
        <f>IF(AND($J$404&gt;1,INDEX(MTInputs!$F$8:$F$415,MATCH("D_NewETS",MTInputs!$H$8:$H$415,0))="Yes"),IF(MTInputs!$F$109,1,0),0)</f>
        <v>0</v>
      </c>
      <c r="G654" s="75">
        <f>IF(MTInputs!$F$119,1,0)</f>
        <v>0</v>
      </c>
      <c r="H654" s="75">
        <f>G654*E654</f>
        <v>0</v>
      </c>
      <c r="I654" s="75">
        <f>G654*F654</f>
        <v>0</v>
      </c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0"/>
      <c r="AH654" s="70"/>
      <c r="AI654" s="70"/>
    </row>
    <row r="655" spans="1:35" x14ac:dyDescent="0.45">
      <c r="A655" s="70"/>
      <c r="B655" s="73"/>
      <c r="C655" s="70"/>
      <c r="D655" s="73" t="s">
        <v>871</v>
      </c>
      <c r="E655" s="75">
        <f>IF(AND($J$404&gt;1,INDEX(MTInputs!$F$8:$F$415,MATCH("MCovMac",MTInputs!$H$8:$H$415,0))),1,0)</f>
        <v>1</v>
      </c>
      <c r="F655" s="75">
        <f>IF(AND($J$404&gt;1,INDEX(MTInputs!$F$8:$F$415,MATCH("D_NewETS",MTInputs!$H$8:$H$415,0))="Yes"),IF(MTInputs!$F$110,1,0),0)</f>
        <v>0</v>
      </c>
      <c r="G655" s="75">
        <f>IF(MTInputs!$F$120,1,0)</f>
        <v>0</v>
      </c>
      <c r="H655" s="75">
        <f>G655*E655</f>
        <v>0</v>
      </c>
      <c r="I655" s="75">
        <f>G655*F655</f>
        <v>0</v>
      </c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0"/>
      <c r="AH655" s="70"/>
      <c r="AI655" s="70"/>
    </row>
    <row r="656" spans="1:35" x14ac:dyDescent="0.45">
      <c r="A656" s="70"/>
      <c r="B656" s="73"/>
      <c r="C656" s="70"/>
      <c r="D656" s="73" t="s">
        <v>112</v>
      </c>
      <c r="E656" s="75">
        <f>IF(AND($J$404&gt;1,INDEX(MTInputs!$F$8:$F$415,MATCH("MCovCem",MTInputs!$H$8:$H$415,0))),1,0)</f>
        <v>1</v>
      </c>
      <c r="F656" s="75">
        <f>IF(AND($J$404&gt;1,INDEX(MTInputs!$F$8:$F$415,MATCH("D_NewETS",MTInputs!$H$8:$H$415,0))="Yes"),IF(MTInputs!$F$111,1,0),0)</f>
        <v>0</v>
      </c>
      <c r="G656" s="75">
        <f>IF(MTInputs!$F$121,1,0)</f>
        <v>0</v>
      </c>
      <c r="H656" s="75">
        <f>G656*E656</f>
        <v>0</v>
      </c>
      <c r="I656" s="75">
        <f>G656*F656</f>
        <v>0</v>
      </c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0"/>
      <c r="AH656" s="70"/>
      <c r="AI656" s="70"/>
    </row>
    <row r="657" spans="1:35" x14ac:dyDescent="0.45">
      <c r="A657" s="70"/>
      <c r="B657" s="52"/>
      <c r="C657" s="52" t="s">
        <v>1901</v>
      </c>
      <c r="D657" s="72" t="s">
        <v>1902</v>
      </c>
      <c r="E657" s="72" t="s">
        <v>1869</v>
      </c>
      <c r="F657" s="72"/>
      <c r="G657" s="70" t="s">
        <v>1492</v>
      </c>
      <c r="H657" s="87" t="str">
        <f>Settings!$B$3&amp;".mit.emisfc."&amp;$G657&amp;"."&amp;$J$404</f>
        <v>egy.mit.emisfc.cbam.tot.2</v>
      </c>
      <c r="I657" s="72"/>
      <c r="J657" s="72"/>
      <c r="K657" s="72"/>
      <c r="L657" s="72">
        <f t="shared" ref="L657:AE657" si="183">SUMPRODUCT(L$675:L$682*$H$663:$H$670*EXP(-$E$751:$E$758*L$648))/1000</f>
        <v>15.80851477988204</v>
      </c>
      <c r="M657" s="72">
        <f t="shared" si="183"/>
        <v>16.333156432126469</v>
      </c>
      <c r="N657" s="72">
        <f t="shared" si="183"/>
        <v>16.8755025</v>
      </c>
      <c r="O657" s="72">
        <f t="shared" si="183"/>
        <v>17.436160520999998</v>
      </c>
      <c r="P657" s="72">
        <f t="shared" si="183"/>
        <v>18.015759258365996</v>
      </c>
      <c r="Q657" s="72">
        <f t="shared" si="183"/>
        <v>18.614949457680826</v>
      </c>
      <c r="R657" s="72">
        <f t="shared" si="183"/>
        <v>19.234404631062102</v>
      </c>
      <c r="S657" s="72">
        <f t="shared" si="183"/>
        <v>19.874821869976433</v>
      </c>
      <c r="T657" s="72">
        <f t="shared" si="183"/>
        <v>20.536922687748202</v>
      </c>
      <c r="U657" s="72">
        <f t="shared" si="183"/>
        <v>21.221453892876493</v>
      </c>
      <c r="V657" s="72">
        <f t="shared" si="183"/>
        <v>21.929188494316183</v>
      </c>
      <c r="W657" s="72">
        <f t="shared" si="183"/>
        <v>22.660926639924462</v>
      </c>
      <c r="X657" s="72">
        <f t="shared" si="183"/>
        <v>23.417496589319807</v>
      </c>
      <c r="Y657" s="72">
        <f t="shared" si="183"/>
        <v>24.199755722449424</v>
      </c>
      <c r="Z657" s="72">
        <f t="shared" si="183"/>
        <v>25.008591585210855</v>
      </c>
      <c r="AA657" s="72">
        <f t="shared" si="183"/>
        <v>25.844922973525978</v>
      </c>
      <c r="AB657" s="72">
        <f t="shared" si="183"/>
        <v>26.70970105731983</v>
      </c>
      <c r="AC657" s="72">
        <f t="shared" si="183"/>
        <v>27.603910545913184</v>
      </c>
      <c r="AD657" s="72">
        <f t="shared" si="183"/>
        <v>28.528570896396591</v>
      </c>
      <c r="AE657" s="72">
        <f t="shared" si="183"/>
        <v>29.484737566614811</v>
      </c>
      <c r="AF657" s="70"/>
      <c r="AG657" s="70"/>
      <c r="AH657" s="70"/>
      <c r="AI657" s="70"/>
    </row>
    <row r="658" spans="1:35" x14ac:dyDescent="0.45">
      <c r="A658" s="70"/>
      <c r="B658" s="52"/>
      <c r="C658" s="52"/>
      <c r="D658" s="72" t="s">
        <v>1903</v>
      </c>
      <c r="E658" s="72" t="s">
        <v>1869</v>
      </c>
      <c r="F658" s="72"/>
      <c r="G658" s="70" t="s">
        <v>1492</v>
      </c>
      <c r="H658" s="87" t="str">
        <f>Settings!$B$3&amp;".mit.emisfp."&amp;$G658&amp;"."&amp;$J$404</f>
        <v>egy.mit.emisfp.cbam.tot.2</v>
      </c>
      <c r="I658" s="72"/>
      <c r="J658" s="72"/>
      <c r="K658" s="72"/>
      <c r="L658" s="72">
        <f t="shared" ref="L658:AE658" si="184">SUMPRODUCT(L$675:L$682*$I$663:$I$670*EXP(-$E$751:$E$758*L$648))/1000</f>
        <v>5.1177315778627914</v>
      </c>
      <c r="M658" s="72">
        <f t="shared" si="184"/>
        <v>5.2880720358998579</v>
      </c>
      <c r="N658" s="72">
        <f t="shared" si="184"/>
        <v>5.4647009999999998</v>
      </c>
      <c r="O658" s="72">
        <f t="shared" si="184"/>
        <v>5.6478686219999998</v>
      </c>
      <c r="P658" s="72">
        <f t="shared" si="184"/>
        <v>5.8378354764840008</v>
      </c>
      <c r="Q658" s="72">
        <f t="shared" si="184"/>
        <v>6.0348730065378478</v>
      </c>
      <c r="R658" s="72">
        <f t="shared" si="184"/>
        <v>6.2392639888340149</v>
      </c>
      <c r="S658" s="72">
        <f t="shared" si="184"/>
        <v>6.451303018891398</v>
      </c>
      <c r="T658" s="72">
        <f t="shared" si="184"/>
        <v>6.6712970173913781</v>
      </c>
      <c r="U658" s="72">
        <f t="shared" si="184"/>
        <v>6.8995657584700698</v>
      </c>
      <c r="V658" s="72">
        <f t="shared" si="184"/>
        <v>7.1364424209471196</v>
      </c>
      <c r="W658" s="72">
        <f t="shared" si="184"/>
        <v>7.3822741634934586</v>
      </c>
      <c r="X658" s="72">
        <f t="shared" si="184"/>
        <v>7.6374227247843764</v>
      </c>
      <c r="Y658" s="72">
        <f t="shared" si="184"/>
        <v>7.9022650497302331</v>
      </c>
      <c r="Z658" s="72">
        <f t="shared" si="184"/>
        <v>8.1771939429249265</v>
      </c>
      <c r="AA658" s="72">
        <f t="shared" si="184"/>
        <v>8.4626187505023296</v>
      </c>
      <c r="AB658" s="72">
        <f t="shared" si="184"/>
        <v>8.7589660716430906</v>
      </c>
      <c r="AC658" s="72">
        <f t="shared" si="184"/>
        <v>9.0666805010286549</v>
      </c>
      <c r="AD658" s="72">
        <f t="shared" si="184"/>
        <v>9.3862254035963169</v>
      </c>
      <c r="AE658" s="72">
        <f t="shared" si="184"/>
        <v>9.718083723008446</v>
      </c>
      <c r="AF658" s="70"/>
      <c r="AG658" s="70"/>
      <c r="AH658" s="70"/>
      <c r="AI658" s="70"/>
    </row>
    <row r="659" spans="1:35" x14ac:dyDescent="0.45">
      <c r="A659" s="70"/>
      <c r="B659" s="52"/>
      <c r="C659" s="52"/>
      <c r="D659" s="72" t="s">
        <v>1904</v>
      </c>
      <c r="E659" s="72" t="s">
        <v>1869</v>
      </c>
      <c r="F659" s="72"/>
      <c r="G659" s="70" t="s">
        <v>1492</v>
      </c>
      <c r="H659" s="87" t="str">
        <f>Settings!$B$3&amp;".mit.emisnp."&amp;$G659&amp;"."&amp;$J$404</f>
        <v>egy.mit.emisnp.cbam.tot.2</v>
      </c>
      <c r="I659" s="72" t="s">
        <v>2733</v>
      </c>
      <c r="J659" s="72"/>
      <c r="K659" s="72"/>
      <c r="L659" s="72">
        <f>SUMPRODUCT(L$675:L$682*($J$663:$J$670&gt;0)*$J$663:$J$670*(1+$J$672*(EXP(-$E$762:$E$769*($F$709:$F$716*L$707+$G$709:$G$716*L$647+L$648))-1)))/1000</f>
        <v>25.304020994313927</v>
      </c>
      <c r="M659" s="72">
        <f>SUMPRODUCT(M$675:M$682*($J$663:$J$670&gt;0)*$J$663:$J$670*(1+$J$672*(EXP(-$E$762:$E$769*($F$709:$F$716*M$707+$G$709:$G$716*M$647+M$648))-1)))/1000</f>
        <v>26.150733850694163</v>
      </c>
      <c r="N659" s="72">
        <f>SUMPRODUCT(N$675:N$682*($J$663:$J$670&gt;0)*$J$663:$J$670*(1+$J$672*(EXP(-$E$762:$E$769*($F$709:$F$716*N$707+$G$709:$G$716*N$647+N$648))-1)))/1000</f>
        <v>27.026</v>
      </c>
      <c r="O659" s="72">
        <f>SUMPRODUCT(O$675:O$682*($J$663:$J$670&gt;0)*$J$663:$J$670*(1+$J$672*(EXP(-$E$762:$E$769*($F$709:$F$716*O$707+$G$709:$G$716*O$647+O$648))-1)))/1000</f>
        <v>27.930793999999999</v>
      </c>
      <c r="P659" s="72">
        <f>SUMPRODUCT(P$675:P$682*($J$663:$J$670&gt;0)*$J$663:$J$670*(1+$J$672*(EXP(-$E$762:$E$769*($F$709:$F$716*P$707+$G$709:$G$716*P$647+P$648))-1)))/1000</f>
        <v>28.866124285999998</v>
      </c>
      <c r="Q659" s="72">
        <f>SUMPRODUCT(Q$675:Q$682*($J$663:$J$670&gt;0)*$J$663:$J$670*(1+$J$672*(EXP(-$E$762:$E$769*($F$709:$F$716*Q$707+$G$709:$G$716*Q$647+Q$648))-1)))/1000</f>
        <v>29.833034380633993</v>
      </c>
      <c r="R659" s="72">
        <f>SUMPRODUCT(R$675:R$682*($J$663:$J$670&gt;0)*$J$663:$J$670*(1+$J$672*(EXP(-$E$762:$E$769*($F$709:$F$716*R$707+$G$709:$G$716*R$647+R$648))-1)))/1000</f>
        <v>30.832604148514033</v>
      </c>
      <c r="S659" s="72">
        <f>SUMPRODUCT(S$675:S$682*($J$663:$J$670&gt;0)*$J$663:$J$670*(1+$J$672*(EXP(-$E$762:$E$769*($F$709:$F$716*S$707+$G$709:$G$716*S$647+S$648))-1)))/1000</f>
        <v>31.865951097485905</v>
      </c>
      <c r="T659" s="72">
        <f>SUMPRODUCT(T$675:T$682*($J$663:$J$670&gt;0)*$J$663:$J$670*(1+$J$672*(EXP(-$E$762:$E$769*($F$709:$F$716*T$707+$G$709:$G$716*T$647+T$648))-1)))/1000</f>
        <v>32.934231728309406</v>
      </c>
      <c r="U659" s="72">
        <f>SUMPRODUCT(U$675:U$682*($J$663:$J$670&gt;0)*$J$663:$J$670*(1+$J$672*(EXP(-$E$762:$E$769*($F$709:$F$716*U$707+$G$709:$G$716*U$647+U$648))-1)))/1000</f>
        <v>34.038642934657474</v>
      </c>
      <c r="V659" s="72">
        <f>SUMPRODUCT(V$675:V$682*($J$663:$J$670&gt;0)*$J$663:$J$670*(1+$J$672*(EXP(-$E$762:$E$769*($F$709:$F$716*V$707+$G$709:$G$716*V$647+V$648))-1)))/1000</f>
        <v>35.180423455406491</v>
      </c>
      <c r="W659" s="72">
        <f>SUMPRODUCT(W$675:W$682*($J$663:$J$670&gt;0)*$J$663:$J$670*(1+$J$672*(EXP(-$E$762:$E$769*($F$709:$F$716*W$707+$G$709:$G$716*W$647+W$648))-1)))/1000</f>
        <v>36.360855381272714</v>
      </c>
      <c r="X659" s="72">
        <f>SUMPRODUCT(X$675:X$682*($J$663:$J$670&gt;0)*$J$663:$J$670*(1+$J$672*(EXP(-$E$762:$E$769*($F$709:$F$716*X$707+$G$709:$G$716*X$647+X$648))-1)))/1000</f>
        <v>37.581265717934862</v>
      </c>
      <c r="Y659" s="72">
        <f>SUMPRODUCT(Y$675:Y$682*($J$663:$J$670&gt;0)*$J$663:$J$670*(1+$J$672*(EXP(-$E$762:$E$769*($F$709:$F$716*Y$707+$G$709:$G$716*Y$647+Y$648))-1)))/1000</f>
        <v>38.843028007872753</v>
      </c>
      <c r="Z659" s="72">
        <f>SUMPRODUCT(Z$675:Z$682*($J$663:$J$670&gt;0)*$J$663:$J$670*(1+$J$672*(EXP(-$E$762:$E$769*($F$709:$F$716*Z$707+$G$709:$G$716*Z$647+Z$648))-1)))/1000</f>
        <v>40.147564013244939</v>
      </c>
      <c r="AA659" s="72">
        <f>SUMPRODUCT(AA$675:AA$682*($J$663:$J$670&gt;0)*$J$663:$J$670*(1+$J$672*(EXP(-$E$762:$E$769*($F$709:$F$716*AA$707+$G$709:$G$716*AA$647+AA$648))-1)))/1000</f>
        <v>41.496345462226095</v>
      </c>
      <c r="AB659" s="72">
        <f>SUMPRODUCT(AB$675:AB$682*($J$663:$J$670&gt;0)*$J$663:$J$670*(1+$J$672*(EXP(-$E$762:$E$769*($F$709:$F$716*AB$707+$G$709:$G$716*AB$647+AB$648))-1)))/1000</f>
        <v>42.890895861326769</v>
      </c>
      <c r="AC659" s="72">
        <f>SUMPRODUCT(AC$675:AC$682*($J$663:$J$670&gt;0)*$J$663:$J$670*(1+$J$672*(EXP(-$E$762:$E$769*($F$709:$F$716*AC$707+$G$709:$G$716*AC$647+AC$648))-1)))/1000</f>
        <v>44.332792376324477</v>
      </c>
      <c r="AD659" s="72">
        <f>SUMPRODUCT(AD$675:AD$682*($J$663:$J$670&gt;0)*$J$663:$J$670*(1+$J$672*(EXP(-$E$762:$E$769*($F$709:$F$716*AD$707+$G$709:$G$716*AD$647+AD$648))-1)))/1000</f>
        <v>45.823667784546558</v>
      </c>
      <c r="AE659" s="72">
        <f>SUMPRODUCT(AE$675:AE$682*($J$663:$J$670&gt;0)*$J$663:$J$670*(1+$J$672*(EXP(-$E$762:$E$769*($F$709:$F$716*AE$707+$G$709:$G$716*AE$647+AE$648))-1)))/1000</f>
        <v>47.36521250136132</v>
      </c>
      <c r="AF659" s="70"/>
      <c r="AG659" s="70"/>
      <c r="AH659" s="70"/>
      <c r="AI659" s="70"/>
    </row>
    <row r="660" spans="1:35" x14ac:dyDescent="0.45">
      <c r="A660" s="70"/>
      <c r="B660" s="52"/>
      <c r="C660" s="52"/>
      <c r="D660" s="72" t="s">
        <v>1905</v>
      </c>
      <c r="E660" s="72" t="s">
        <v>1869</v>
      </c>
      <c r="F660" s="72"/>
      <c r="G660" s="70" t="s">
        <v>1492</v>
      </c>
      <c r="H660" s="87" t="str">
        <f>Settings!$B$3&amp;".mit.emisno."&amp;$G660&amp;"."&amp;$J$404</f>
        <v>egy.mit.emisno.cbam.tot.2</v>
      </c>
      <c r="I660" s="72"/>
      <c r="J660" s="72"/>
      <c r="K660" s="72"/>
      <c r="L660" s="72">
        <f>SUMPRODUCT(L$675:L$682*($K$663:$K$670&gt;0)*$K$663:$K$670*(1+$K$672*(EXP(-$E$762:$E$769*($F$709:$F$716*L$707+$G$709:$G$716*L$647+L$648))-1)))/1000</f>
        <v>0.78631830560210647</v>
      </c>
      <c r="M660" s="72">
        <f>SUMPRODUCT(M$675:M$682*($K$663:$K$670&gt;0)*$K$663:$K$670*(1+$K$672*(EXP(-$E$762:$E$769*($F$709:$F$716*M$707+$G$709:$G$716*M$647+M$648))-1)))/1000</f>
        <v>0.81117778540358554</v>
      </c>
      <c r="N660" s="72">
        <f>SUMPRODUCT(N$675:N$682*($K$663:$K$670&gt;0)*$K$663:$K$670*(1+$K$672*(EXP(-$E$762:$E$769*($F$709:$F$716*N$707+$G$709:$G$716*N$647+N$648))-1)))/1000</f>
        <v>0.83699999999999997</v>
      </c>
      <c r="O660" s="72">
        <f>SUMPRODUCT(O$675:O$682*($K$663:$K$670&gt;0)*$K$663:$K$670*(1+$K$672*(EXP(-$E$762:$E$769*($F$709:$F$716*O$707+$G$709:$G$716*O$647+O$648))-1)))/1000</f>
        <v>0.86382899999999996</v>
      </c>
      <c r="P660" s="72">
        <f>SUMPRODUCT(P$675:P$682*($K$663:$K$670&gt;0)*$K$663:$K$670*(1+$K$672*(EXP(-$E$762:$E$769*($F$709:$F$716*P$707+$G$709:$G$716*P$647+P$648))-1)))/1000</f>
        <v>0.89171106300000003</v>
      </c>
      <c r="Q660" s="72">
        <f>SUMPRODUCT(Q$675:Q$682*($K$663:$K$670&gt;0)*$K$663:$K$670*(1+$K$672*(EXP(-$E$762:$E$769*($F$709:$F$716*Q$707+$G$709:$G$716*Q$647+Q$648))-1)))/1000</f>
        <v>0.92069481176099999</v>
      </c>
      <c r="R660" s="72">
        <f>SUMPRODUCT(R$675:R$682*($K$663:$K$670&gt;0)*$K$663:$K$670*(1+$K$672*(EXP(-$E$762:$E$769*($F$709:$F$716*R$707+$G$709:$G$716*R$647+R$648))-1)))/1000</f>
        <v>0.95083133879036696</v>
      </c>
      <c r="S660" s="72">
        <f>SUMPRODUCT(S$675:S$682*($K$663:$K$670&gt;0)*$K$663:$K$670*(1+$K$672*(EXP(-$E$762:$E$769*($F$709:$F$716*S$707+$G$709:$G$716*S$647+S$648))-1)))/1000</f>
        <v>0.9821743376787645</v>
      </c>
      <c r="T660" s="72">
        <f>SUMPRODUCT(T$675:T$682*($K$663:$K$670&gt;0)*$K$663:$K$670*(1+$K$672*(EXP(-$E$762:$E$769*($F$709:$F$716*T$707+$G$709:$G$716*T$647+T$648))-1)))/1000</f>
        <v>1.0147802415616323</v>
      </c>
      <c r="U660" s="72">
        <f>SUMPRODUCT(U$675:U$682*($K$663:$K$670&gt;0)*$K$663:$K$670*(1+$K$672*(EXP(-$E$762:$E$769*($F$709:$F$716*U$707+$G$709:$G$716*U$647+U$648))-1)))/1000</f>
        <v>1.0487083690948893</v>
      </c>
      <c r="V660" s="72">
        <f>SUMPRODUCT(V$675:V$682*($K$663:$K$670&gt;0)*$K$663:$K$670*(1+$K$672*(EXP(-$E$762:$E$769*($F$709:$F$716*V$707+$G$709:$G$716*V$647+V$648))-1)))/1000</f>
        <v>1.0840210783559179</v>
      </c>
      <c r="W660" s="72">
        <f>SUMPRODUCT(W$675:W$682*($K$663:$K$670&gt;0)*$K$663:$K$670*(1+$K$672*(EXP(-$E$762:$E$769*($F$709:$F$716*W$707+$G$709:$G$716*W$647+W$648))-1)))/1000</f>
        <v>1.1207839291034407</v>
      </c>
      <c r="X660" s="72">
        <f>SUMPRODUCT(X$675:X$682*($K$663:$K$670&gt;0)*$K$663:$K$670*(1+$K$672*(EXP(-$E$762:$E$769*($F$709:$F$716*X$707+$G$709:$G$716*X$647+X$648))-1)))/1000</f>
        <v>1.1590658538537117</v>
      </c>
      <c r="Y660" s="72">
        <f>SUMPRODUCT(Y$675:Y$682*($K$663:$K$670&gt;0)*$K$663:$K$670*(1+$K$672*(EXP(-$E$762:$E$769*($F$709:$F$716*Y$707+$G$709:$G$716*Y$647+Y$648))-1)))/1000</f>
        <v>1.1989393382555391</v>
      </c>
      <c r="Z660" s="72">
        <f>SUMPRODUCT(Z$675:Z$682*($K$663:$K$670&gt;0)*$K$663:$K$670*(1+$K$672*(EXP(-$E$762:$E$769*($F$709:$F$716*Z$707+$G$709:$G$716*Z$647+Z$648))-1)))/1000</f>
        <v>1.2404806112731439</v>
      </c>
      <c r="AA660" s="72">
        <f>SUMPRODUCT(AA$675:AA$682*($K$663:$K$670&gt;0)*$K$663:$K$670*(1+$K$672*(EXP(-$E$762:$E$769*($F$709:$F$716*AA$707+$G$709:$G$716*AA$647+AA$648))-1)))/1000</f>
        <v>1.2837698457138154</v>
      </c>
      <c r="AB660" s="72">
        <f>SUMPRODUCT(AB$675:AB$682*($K$663:$K$670&gt;0)*$K$663:$K$670*(1+$K$672*(EXP(-$E$762:$E$769*($F$709:$F$716*AB$707+$G$709:$G$716*AB$647+AB$648))-1)))/1000</f>
        <v>1.3288913696667775</v>
      </c>
      <c r="AC660" s="72">
        <f>SUMPRODUCT(AC$675:AC$682*($K$663:$K$670&gt;0)*$K$663:$K$670*(1+$K$672*(EXP(-$E$762:$E$769*($F$709:$F$716*AC$707+$G$709:$G$716*AC$647+AC$648))-1)))/1000</f>
        <v>1.3759338894508044</v>
      </c>
      <c r="AD660" s="72">
        <f>SUMPRODUCT(AD$675:AD$682*($K$663:$K$670&gt;0)*$K$663:$K$670*(1+$K$672*(EXP(-$E$762:$E$769*($F$709:$F$716*AD$707+$G$709:$G$716*AD$647+AD$648))-1)))/1000</f>
        <v>1.4249907247009044</v>
      </c>
      <c r="AE660" s="72">
        <f>SUMPRODUCT(AE$675:AE$682*($K$663:$K$670&gt;0)*$K$663:$K$670*(1+$K$672*(EXP(-$E$762:$E$769*($F$709:$F$716*AE$707+$G$709:$G$716*AE$647+AE$648))-1)))/1000</f>
        <v>1.4761600562590265</v>
      </c>
      <c r="AF660" s="70"/>
      <c r="AG660" s="70"/>
      <c r="AH660" s="70"/>
      <c r="AI660" s="70"/>
    </row>
    <row r="661" spans="1:35" x14ac:dyDescent="0.45">
      <c r="A661" s="70"/>
      <c r="B661" s="73"/>
      <c r="C661" s="73" t="s">
        <v>1317</v>
      </c>
      <c r="D661" s="52"/>
      <c r="E661" s="70"/>
      <c r="F661" s="70"/>
      <c r="G661" s="70"/>
      <c r="H661" s="70" t="s">
        <v>1318</v>
      </c>
      <c r="I661" s="70"/>
      <c r="J661" s="70"/>
      <c r="K661" s="70"/>
      <c r="L661" s="70"/>
      <c r="M661" s="70"/>
      <c r="N661" s="70"/>
      <c r="O661" s="70" t="s">
        <v>1319</v>
      </c>
      <c r="P661" s="70"/>
      <c r="Q661" s="70"/>
      <c r="R661" s="70"/>
      <c r="S661" s="70" t="s">
        <v>1320</v>
      </c>
      <c r="T661" s="70"/>
      <c r="U661" s="70"/>
      <c r="V661" s="70"/>
      <c r="W661" s="70" t="s">
        <v>1321</v>
      </c>
      <c r="X661" s="70"/>
      <c r="Y661" s="70"/>
      <c r="Z661" s="70"/>
      <c r="AA661" s="70"/>
      <c r="AB661" s="70"/>
      <c r="AC661" s="70"/>
      <c r="AD661" s="70" t="s">
        <v>1322</v>
      </c>
      <c r="AE661" s="70"/>
      <c r="AF661" s="70"/>
      <c r="AG661" s="70"/>
      <c r="AH661" s="70"/>
      <c r="AI661" s="70"/>
    </row>
    <row r="662" spans="1:35" ht="28.5" x14ac:dyDescent="0.45">
      <c r="A662" s="70"/>
      <c r="B662" s="52"/>
      <c r="C662" s="52"/>
      <c r="D662" s="52" t="s">
        <v>1323</v>
      </c>
      <c r="E662" s="70" t="s">
        <v>35</v>
      </c>
      <c r="F662" s="70" t="s">
        <v>1324</v>
      </c>
      <c r="G662" s="70" t="s">
        <v>1325</v>
      </c>
      <c r="H662" s="70" t="s">
        <v>1326</v>
      </c>
      <c r="I662" s="70" t="s">
        <v>1327</v>
      </c>
      <c r="J662" s="70" t="s">
        <v>1328</v>
      </c>
      <c r="K662" s="70" t="s">
        <v>1329</v>
      </c>
      <c r="L662" s="70" t="s">
        <v>1330</v>
      </c>
      <c r="M662" s="91" t="s">
        <v>1331</v>
      </c>
      <c r="N662" s="91" t="s">
        <v>1332</v>
      </c>
      <c r="O662" s="70" t="s">
        <v>1333</v>
      </c>
      <c r="P662" s="91" t="s">
        <v>1334</v>
      </c>
      <c r="Q662" s="91" t="s">
        <v>1335</v>
      </c>
      <c r="R662" s="91" t="s">
        <v>1336</v>
      </c>
      <c r="S662" s="91" t="s">
        <v>1337</v>
      </c>
      <c r="T662" s="91" t="s">
        <v>1338</v>
      </c>
      <c r="U662" s="91" t="s">
        <v>1339</v>
      </c>
      <c r="V662" s="91" t="s">
        <v>1340</v>
      </c>
      <c r="W662" s="91" t="s">
        <v>1341</v>
      </c>
      <c r="X662" s="91" t="s">
        <v>1342</v>
      </c>
      <c r="Y662" s="91" t="s">
        <v>1343</v>
      </c>
      <c r="Z662" s="91" t="s">
        <v>1344</v>
      </c>
      <c r="AA662" s="91" t="s">
        <v>1345</v>
      </c>
      <c r="AB662" s="91" t="s">
        <v>1346</v>
      </c>
      <c r="AC662" s="70" t="s">
        <v>1347</v>
      </c>
      <c r="AD662" s="70" t="s">
        <v>1348</v>
      </c>
      <c r="AE662" s="70" t="s">
        <v>1349</v>
      </c>
      <c r="AF662" s="70"/>
      <c r="AG662" s="70"/>
      <c r="AH662" s="70"/>
      <c r="AI662" s="70"/>
    </row>
    <row r="663" spans="1:35" x14ac:dyDescent="0.45">
      <c r="A663" s="70"/>
      <c r="B663" s="52"/>
      <c r="C663" s="52"/>
      <c r="D663" s="52" t="s">
        <v>1350</v>
      </c>
      <c r="E663" s="70" t="s">
        <v>1351</v>
      </c>
      <c r="F663" s="70" t="s">
        <v>1352</v>
      </c>
      <c r="G663" s="70" t="s">
        <v>1353</v>
      </c>
      <c r="H663" s="76">
        <f>'Manual inputs'!H$30</f>
        <v>0.12903000000000001</v>
      </c>
      <c r="I663" s="76">
        <f>'Manual inputs'!I$30</f>
        <v>0.56100000000000005</v>
      </c>
      <c r="J663" s="76">
        <f>'Manual inputs'!J$30</f>
        <v>0.04</v>
      </c>
      <c r="K663" s="76">
        <f>'Manual inputs'!K$30</f>
        <v>0</v>
      </c>
      <c r="L663" s="76">
        <f t="shared" ref="L663:L670" si="185">SUM(H663:K663)</f>
        <v>0.73003000000000007</v>
      </c>
      <c r="M663" s="76">
        <f>'Manual inputs'!M$30</f>
        <v>0</v>
      </c>
      <c r="N663" s="76">
        <f>'Manual inputs'!N$30</f>
        <v>0.73003000000000007</v>
      </c>
      <c r="O663" s="76">
        <f>'Manual inputs'!O$30</f>
        <v>0.25</v>
      </c>
      <c r="P663" s="70">
        <f>'Manual inputs'!P$30</f>
        <v>0</v>
      </c>
      <c r="Q663" s="76">
        <f t="shared" ref="Q663:Q670" si="186">N663+O663</f>
        <v>0.98003000000000007</v>
      </c>
      <c r="R663" s="76">
        <f t="shared" ref="R663:R670" si="187">N663+O663*P663</f>
        <v>0.73003000000000007</v>
      </c>
      <c r="S663" s="77">
        <f>'Manual inputs'!S$30</f>
        <v>5</v>
      </c>
      <c r="T663" s="77">
        <f>'Manual inputs'!T$30</f>
        <v>56.1</v>
      </c>
      <c r="U663" s="77">
        <f>'Manual inputs'!U$30</f>
        <v>24</v>
      </c>
      <c r="V663" s="77">
        <f>'Manual inputs'!V$30</f>
        <v>56.1</v>
      </c>
      <c r="W663" s="76">
        <f>'Manual inputs'!W$30</f>
        <v>1.82</v>
      </c>
      <c r="X663" s="78">
        <f>'Manual inputs'!X$30</f>
        <v>0.1</v>
      </c>
      <c r="Y663" s="76">
        <f>'Manual inputs'!Y$30</f>
        <v>2.0020000000000002</v>
      </c>
      <c r="Z663" s="76">
        <f>'Manual inputs'!Z$30</f>
        <v>0.48099999999999998</v>
      </c>
      <c r="AA663" s="79">
        <f>'Manual inputs'!AA$30</f>
        <v>-1.27197</v>
      </c>
      <c r="AB663" s="79">
        <f>'Manual inputs'!AB$30</f>
        <v>0.24903000000000008</v>
      </c>
      <c r="AC663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663" s="70" t="str">
        <f>'Manual inputs'!AD$30</f>
        <v xml:space="preserve">S1.fc: Est: Midrex heat:reductant ratio 5:24 GJ/t NG. Total EF Auth (WSA 2023 / S1.fp: Est: Midrex standard ratio; IPCC 2006 Vol2 2C1; WSA 2023. Total Auth; </v>
      </c>
      <c r="AE663" s="70" t="str">
        <f>'Manual inputs'!AE$30</f>
        <v>S1.np: Auth: IPCC 2006 2C1 — DRI process CO2 = 0 / S1.no: Auth: IPCC 2006 2C1</v>
      </c>
      <c r="AF663" s="70"/>
      <c r="AG663" s="70"/>
      <c r="AH663" s="70"/>
      <c r="AI663" s="70"/>
    </row>
    <row r="664" spans="1:35" x14ac:dyDescent="0.45">
      <c r="A664" s="70"/>
      <c r="B664" s="52"/>
      <c r="C664" s="52"/>
      <c r="D664" s="52" t="s">
        <v>1357</v>
      </c>
      <c r="E664" s="70" t="s">
        <v>1351</v>
      </c>
      <c r="F664" s="70" t="s">
        <v>1358</v>
      </c>
      <c r="G664" s="70" t="s">
        <v>1359</v>
      </c>
      <c r="H664" s="76">
        <f>'Manual inputs'!H$31</f>
        <v>0.14025000000000001</v>
      </c>
      <c r="I664" s="76">
        <f>'Manual inputs'!I$31</f>
        <v>0</v>
      </c>
      <c r="J664" s="76">
        <f>'Manual inputs'!J$31</f>
        <v>1.4999999999999999E-2</v>
      </c>
      <c r="K664" s="76">
        <f>'Manual inputs'!K$31</f>
        <v>0</v>
      </c>
      <c r="L664" s="76">
        <f t="shared" si="185"/>
        <v>0.15525</v>
      </c>
      <c r="M664" s="76">
        <f>'Manual inputs'!M$31</f>
        <v>0</v>
      </c>
      <c r="N664" s="76">
        <f>'Manual inputs'!N$31</f>
        <v>0.15525</v>
      </c>
      <c r="O664" s="76">
        <f>'Manual inputs'!O$31</f>
        <v>0.25</v>
      </c>
      <c r="P664" s="70">
        <f>'Manual inputs'!P$31</f>
        <v>0</v>
      </c>
      <c r="Q664" s="76">
        <f t="shared" si="186"/>
        <v>0.40525</v>
      </c>
      <c r="R664" s="76">
        <f t="shared" si="187"/>
        <v>0.15525</v>
      </c>
      <c r="S664" s="77">
        <f>'Manual inputs'!S$31</f>
        <v>2.5</v>
      </c>
      <c r="T664" s="77">
        <f>'Manual inputs'!T$31</f>
        <v>56.1</v>
      </c>
      <c r="U664" s="77">
        <f>'Manual inputs'!U$31</f>
        <v>0</v>
      </c>
      <c r="V664" s="77">
        <f>'Manual inputs'!V$31</f>
        <v>0</v>
      </c>
      <c r="W664" s="76">
        <f>'Manual inputs'!W$31</f>
        <v>0.72</v>
      </c>
      <c r="X664" s="78">
        <f>'Manual inputs'!X$31</f>
        <v>0.1</v>
      </c>
      <c r="Y664" s="76">
        <f>'Manual inputs'!Y$31</f>
        <v>0.79200000000000004</v>
      </c>
      <c r="Z664" s="76">
        <f>'Manual inputs'!Z$31</f>
        <v>7.1999999999999995E-2</v>
      </c>
      <c r="AA664" s="79">
        <f>'Manual inputs'!AA$31</f>
        <v>-0.63675000000000004</v>
      </c>
      <c r="AB664" s="79">
        <f>'Manual inputs'!AB$31</f>
        <v>8.3250000000000005E-2</v>
      </c>
      <c r="AC664" s="70" t="str">
        <f>'Manual inputs'!AC$31</f>
        <v>Scrap-EAF. Default base 0.720 ×1.10 = 0.792 (2026). Benchmark 0.072 (final, scrap route).</v>
      </c>
      <c r="AD664" s="70" t="str">
        <f>'Manual inputs'!AD$31</f>
        <v>S1.fc: Est: IEA Egypt sector average; WSA 2023 scrap-EAF range 2-3 GJ/t. Tota / S1.fp: Auth: no reductant in scrap melting process</v>
      </c>
      <c r="AE664" s="70" t="str">
        <f>'Manual inputs'!AE$31</f>
        <v>S1.np: Est: IPCC 2006 Vol2 2C1 default 0.01-0.02 tCO2/t for scrap-EAF / S1.no: Auth: IPCC 2006 2C1</v>
      </c>
      <c r="AF664" s="70"/>
      <c r="AG664" s="70"/>
      <c r="AH664" s="70"/>
      <c r="AI664" s="70"/>
    </row>
    <row r="665" spans="1:35" x14ac:dyDescent="0.45">
      <c r="A665" s="70"/>
      <c r="B665" s="52"/>
      <c r="C665" s="52"/>
      <c r="D665" s="52" t="s">
        <v>1363</v>
      </c>
      <c r="E665" s="70" t="s">
        <v>1351</v>
      </c>
      <c r="F665" s="70" t="s">
        <v>1364</v>
      </c>
      <c r="G665" s="70" t="s">
        <v>1365</v>
      </c>
      <c r="H665" s="76">
        <f>'Manual inputs'!H$32</f>
        <v>0.38440000000000002</v>
      </c>
      <c r="I665" s="76">
        <f>'Manual inputs'!I$32</f>
        <v>1.5376000000000001</v>
      </c>
      <c r="J665" s="76">
        <f>'Manual inputs'!J$32</f>
        <v>0.25</v>
      </c>
      <c r="K665" s="76">
        <f>'Manual inputs'!K$32</f>
        <v>0</v>
      </c>
      <c r="L665" s="76">
        <f t="shared" si="185"/>
        <v>2.1720000000000002</v>
      </c>
      <c r="M665" s="76">
        <f>'Manual inputs'!M$32</f>
        <v>0</v>
      </c>
      <c r="N665" s="76">
        <f>'Manual inputs'!N$32</f>
        <v>2.1720000000000002</v>
      </c>
      <c r="O665" s="76">
        <f>'Manual inputs'!O$32</f>
        <v>0.1875</v>
      </c>
      <c r="P665" s="70">
        <f>'Manual inputs'!P$32</f>
        <v>0</v>
      </c>
      <c r="Q665" s="76">
        <f t="shared" si="186"/>
        <v>2.3595000000000002</v>
      </c>
      <c r="R665" s="76">
        <f t="shared" si="187"/>
        <v>2.1720000000000002</v>
      </c>
      <c r="S665" s="77">
        <f>'Manual inputs'!S$32</f>
        <v>4</v>
      </c>
      <c r="T665" s="77">
        <f>'Manual inputs'!T$32</f>
        <v>96.1</v>
      </c>
      <c r="U665" s="77">
        <f>'Manual inputs'!U$32</f>
        <v>16</v>
      </c>
      <c r="V665" s="77">
        <f>'Manual inputs'!V$32</f>
        <v>96.1</v>
      </c>
      <c r="W665" s="76">
        <f>'Manual inputs'!W$32</f>
        <v>2.8</v>
      </c>
      <c r="X665" s="78">
        <f>'Manual inputs'!X$32</f>
        <v>0.1</v>
      </c>
      <c r="Y665" s="76">
        <f>'Manual inputs'!Y$32</f>
        <v>3.08</v>
      </c>
      <c r="Z665" s="76">
        <f>'Manual inputs'!Z$32</f>
        <v>1.37</v>
      </c>
      <c r="AA665" s="79">
        <f>'Manual inputs'!AA$32</f>
        <v>-0.90799999999999992</v>
      </c>
      <c r="AB665" s="79">
        <f>'Manual inputs'!AB$32</f>
        <v>0.80200000000000005</v>
      </c>
      <c r="AC665" s="70" t="str">
        <f>'Manual inputs'!AC$32</f>
        <v>BF-BOF reference. Default base 2.800 ×1.10 = 3.080 (2026). Benchmark 1.370 (final IR 2025/2620).</v>
      </c>
      <c r="AD665" s="70" t="str">
        <f>'Manual inputs'!AD$32</f>
        <v>S1.fc: Prox: WSA 2023 global BF-BOF average. No Egypt-specific data (no produ / S1.fp: Prox: WSA 2023 BF standard; IPCC 2006 Vol2 2C1. Split Est within proxy</v>
      </c>
      <c r="AE665" s="70" t="str">
        <f>'Manual inputs'!AE$32</f>
        <v>S1.np: Auth: IPCC 2006 Vol2 2C1 default 0.22-0.28 tCO2/t crude steel / S1.no: Auth: IPCC 2006 2C1</v>
      </c>
      <c r="AF665" s="70"/>
      <c r="AG665" s="70"/>
      <c r="AH665" s="70"/>
      <c r="AI665" s="70"/>
    </row>
    <row r="666" spans="1:35" x14ac:dyDescent="0.45">
      <c r="A666" s="70"/>
      <c r="B666" s="52"/>
      <c r="C666" s="52"/>
      <c r="D666" s="52" t="s">
        <v>1369</v>
      </c>
      <c r="E666" s="70" t="s">
        <v>1370</v>
      </c>
      <c r="F666" s="70" t="s">
        <v>1371</v>
      </c>
      <c r="G666" s="70" t="s">
        <v>1372</v>
      </c>
      <c r="H666" s="76">
        <f>'Manual inputs'!H$33</f>
        <v>0.2883</v>
      </c>
      <c r="I666" s="76">
        <f>'Manual inputs'!I$33</f>
        <v>0</v>
      </c>
      <c r="J666" s="76">
        <f>'Manual inputs'!J$33</f>
        <v>0.52600000000000002</v>
      </c>
      <c r="K666" s="76">
        <f>'Manual inputs'!K$33</f>
        <v>0</v>
      </c>
      <c r="L666" s="76">
        <f t="shared" si="185"/>
        <v>0.81430000000000002</v>
      </c>
      <c r="M666" s="76">
        <f>'Manual inputs'!M$33</f>
        <v>0</v>
      </c>
      <c r="N666" s="76">
        <f>'Manual inputs'!N$33</f>
        <v>0.81430000000000002</v>
      </c>
      <c r="O666" s="76">
        <f>'Manual inputs'!O$33</f>
        <v>5.6250000000000001E-2</v>
      </c>
      <c r="P666" s="70">
        <f>'Manual inputs'!P$33</f>
        <v>1</v>
      </c>
      <c r="Q666" s="76">
        <f t="shared" si="186"/>
        <v>0.87055000000000005</v>
      </c>
      <c r="R666" s="76">
        <f t="shared" si="187"/>
        <v>0.87055000000000005</v>
      </c>
      <c r="S666" s="77">
        <f>'Manual inputs'!S$33</f>
        <v>3</v>
      </c>
      <c r="T666" s="77">
        <f>'Manual inputs'!T$33</f>
        <v>96.1</v>
      </c>
      <c r="U666" s="77">
        <f>'Manual inputs'!U$33</f>
        <v>0</v>
      </c>
      <c r="V666" s="77">
        <f>'Manual inputs'!V$33</f>
        <v>0</v>
      </c>
      <c r="W666" s="76">
        <f>'Manual inputs'!W$33</f>
        <v>1.58</v>
      </c>
      <c r="X666" s="78">
        <f>'Manual inputs'!X$33</f>
        <v>0.1</v>
      </c>
      <c r="Y666" s="76">
        <f>'Manual inputs'!Y$33</f>
        <v>1.7380000000000002</v>
      </c>
      <c r="Z666" s="76">
        <f>'Manual inputs'!Z$33</f>
        <v>0.66600000000000004</v>
      </c>
      <c r="AA666" s="79">
        <f>'Manual inputs'!AA$33</f>
        <v>-0.86745000000000017</v>
      </c>
      <c r="AB666" s="79">
        <f>'Manual inputs'!AB$33</f>
        <v>0.20455000000000001</v>
      </c>
      <c r="AC666" s="70" t="str">
        <f>'Manual inputs'!AC$33</f>
        <v>Cement clinker. Default base 1.580 ×1.10 = 1.738 (2026). Benchmark 0.666 (col B). S2 IN CBAM scope.</v>
      </c>
      <c r="AD666" s="70" t="str">
        <f>'Manual inputs'!AD$33</f>
        <v>S1.fc: Est: IEA Egypt cement sector; CSI/GCCA GNR Egypt 2022. Total AukCoa / S1.fp: Auth: cement production has no chemical reductant fuel</v>
      </c>
      <c r="AE666" s="70" t="str">
        <f>'Manual inputs'!AE$33</f>
        <v>S1.np: Auth: IPCC 2006 2A1 stoichiometric constant (44/100 × fraction CaCO3 i / S1.no: Auth</v>
      </c>
      <c r="AF666" s="70"/>
      <c r="AG666" s="70"/>
      <c r="AH666" s="70"/>
      <c r="AI666" s="70"/>
    </row>
    <row r="667" spans="1:35" x14ac:dyDescent="0.45">
      <c r="A667" s="70"/>
      <c r="B667" s="52"/>
      <c r="C667" s="52"/>
      <c r="D667" s="52" t="s">
        <v>1376</v>
      </c>
      <c r="E667" s="70" t="s">
        <v>1377</v>
      </c>
      <c r="F667" s="70" t="s">
        <v>1378</v>
      </c>
      <c r="G667" s="70" t="s">
        <v>1379</v>
      </c>
      <c r="H667" s="76">
        <f>'Manual inputs'!H$34</f>
        <v>0.39269999999999999</v>
      </c>
      <c r="I667" s="76">
        <f>'Manual inputs'!I$34</f>
        <v>1.4585999999999999</v>
      </c>
      <c r="J667" s="76">
        <f>'Manual inputs'!J$34</f>
        <v>0</v>
      </c>
      <c r="K667" s="76">
        <f>'Manual inputs'!K$34</f>
        <v>0</v>
      </c>
      <c r="L667" s="76">
        <f t="shared" si="185"/>
        <v>1.8512999999999999</v>
      </c>
      <c r="M667" s="76">
        <f>'Manual inputs'!M$34</f>
        <v>0</v>
      </c>
      <c r="N667" s="76">
        <f>'Manual inputs'!N$34</f>
        <v>1.8512999999999999</v>
      </c>
      <c r="O667" s="76">
        <f>'Manual inputs'!O$34</f>
        <v>3.7499999999999999E-2</v>
      </c>
      <c r="P667" s="70">
        <f>'Manual inputs'!P$34</f>
        <v>1</v>
      </c>
      <c r="Q667" s="76">
        <f t="shared" si="186"/>
        <v>1.8888</v>
      </c>
      <c r="R667" s="76">
        <f t="shared" si="187"/>
        <v>1.8888</v>
      </c>
      <c r="S667" s="77">
        <f>'Manual inputs'!S$34</f>
        <v>7</v>
      </c>
      <c r="T667" s="77">
        <f>'Manual inputs'!T$34</f>
        <v>56.1</v>
      </c>
      <c r="U667" s="77">
        <f>'Manual inputs'!U$34</f>
        <v>26</v>
      </c>
      <c r="V667" s="77">
        <f>'Manual inputs'!V$34</f>
        <v>56.1</v>
      </c>
      <c r="W667" s="76">
        <f>'Manual inputs'!W$34</f>
        <v>2.0499999999999998</v>
      </c>
      <c r="X667" s="78">
        <f>'Manual inputs'!X$34</f>
        <v>0.01</v>
      </c>
      <c r="Y667" s="76">
        <f>'Manual inputs'!Y$34</f>
        <v>2.0705</v>
      </c>
      <c r="Z667" s="76">
        <f>'Manual inputs'!Z$34</f>
        <v>1.484</v>
      </c>
      <c r="AA667" s="79">
        <f>'Manual inputs'!AA$34</f>
        <v>-0.18169999999999997</v>
      </c>
      <c r="AB667" s="79">
        <f>'Manual inputs'!AB$34</f>
        <v>0.40480000000000005</v>
      </c>
      <c r="AC667" s="70" t="str">
        <f>'Manual inputs'!AC$34</f>
        <v>Egypt ammonia 2026 default = 2.07 tCO2e/t (incl 1% fertiliser markup; Argus 17 Dec 2025). Benchmark 1.522 → 1.484 after 2.5% reduction in 2026. S2 IN CBAM scope.</v>
      </c>
      <c r="AD667" s="70" t="str">
        <f>'Manual inputs'!AD$34</f>
        <v>S1.fc: Est: IFA/EFMA BAT Vol.1; combustion ~6-8 GJ/t NH3. Total Auth (IFA sta / S1.fp: Est: IFA/EFMA BAT Vol.1 standard SMR ~24-28 GJ/t NH3. Total Auth; comb</v>
      </c>
      <c r="AE667" s="70" t="str">
        <f>'Manual inputs'!AE$34</f>
        <v>S1.np: Auth: NH3 synthesis has no carbon process emissions / S1.no: Auth</v>
      </c>
      <c r="AF667" s="70"/>
      <c r="AG667" s="70"/>
      <c r="AH667" s="70"/>
      <c r="AI667" s="70"/>
    </row>
    <row r="668" spans="1:35" x14ac:dyDescent="0.45">
      <c r="A668" s="70"/>
      <c r="B668" s="52"/>
      <c r="C668" s="52"/>
      <c r="D668" s="52" t="s">
        <v>1383</v>
      </c>
      <c r="E668" s="70" t="s">
        <v>1384</v>
      </c>
      <c r="F668" s="70" t="s">
        <v>1385</v>
      </c>
      <c r="G668" s="70" t="s">
        <v>1386</v>
      </c>
      <c r="H668" s="76">
        <f>'Manual inputs'!H$35</f>
        <v>0.11219999999999999</v>
      </c>
      <c r="I668" s="76">
        <f>'Manual inputs'!I$35</f>
        <v>0</v>
      </c>
      <c r="J668" s="76">
        <f>'Manual inputs'!J$35</f>
        <v>-0.73299999999999998</v>
      </c>
      <c r="K668" s="76">
        <f>'Manual inputs'!K$35</f>
        <v>0</v>
      </c>
      <c r="L668" s="76">
        <f t="shared" si="185"/>
        <v>-0.62080000000000002</v>
      </c>
      <c r="M668" s="76">
        <f>'Manual inputs'!M$35</f>
        <v>1.0709496000000001</v>
      </c>
      <c r="N668" s="76">
        <f>'Manual inputs'!N$35</f>
        <v>0.45014960000000004</v>
      </c>
      <c r="O668" s="76">
        <f>'Manual inputs'!O$35</f>
        <v>3.7499999999999999E-2</v>
      </c>
      <c r="P668" s="70">
        <f>'Manual inputs'!P$35</f>
        <v>1</v>
      </c>
      <c r="Q668" s="76">
        <f t="shared" si="186"/>
        <v>0.48764960000000002</v>
      </c>
      <c r="R668" s="76">
        <f t="shared" si="187"/>
        <v>0.48764960000000002</v>
      </c>
      <c r="S668" s="77">
        <f>'Manual inputs'!S$35</f>
        <v>2</v>
      </c>
      <c r="T668" s="77">
        <f>'Manual inputs'!T$35</f>
        <v>56.1</v>
      </c>
      <c r="U668" s="77">
        <f>'Manual inputs'!U$35</f>
        <v>0</v>
      </c>
      <c r="V668" s="77">
        <f>'Manual inputs'!V$35</f>
        <v>0</v>
      </c>
      <c r="W668" s="76">
        <f>'Manual inputs'!W$35</f>
        <v>1.39</v>
      </c>
      <c r="X668" s="78">
        <f>'Manual inputs'!X$35</f>
        <v>0.01</v>
      </c>
      <c r="Y668" s="76">
        <f>'Manual inputs'!Y$35</f>
        <v>1.4038999999999999</v>
      </c>
      <c r="Z668" s="76">
        <f>'Manual inputs'!Z$35</f>
        <v>0.90200000000000002</v>
      </c>
      <c r="AA668" s="79">
        <f>'Manual inputs'!AA$35</f>
        <v>-0.91625039999999991</v>
      </c>
      <c r="AB668" s="79">
        <f>'Manual inputs'!AB$35</f>
        <v>-0.41435040000000001</v>
      </c>
      <c r="AC668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668" s="70" t="str">
        <f>'Manual inputs'!AD$35</f>
        <v>S1.fc: Est: IFA/EFMA; small relative to NH3 chain. ~1.5-2.5 GJ/t urea typical / S1.fp: Auth: no additional reductant/feedstock in urea synthesis itself</v>
      </c>
      <c r="AE668" s="70" t="str">
        <f>'Manual inputs'!AE$35</f>
        <v>S1.np: Auth: IPCC 2006 Vol2 3G stoichiometric constant. 44/60 = 0.733 tCO2 ab / S1.no: Auth</v>
      </c>
      <c r="AF668" s="70"/>
      <c r="AG668" s="70"/>
      <c r="AH668" s="70"/>
      <c r="AI668" s="70"/>
    </row>
    <row r="669" spans="1:35" x14ac:dyDescent="0.45">
      <c r="A669" s="70"/>
      <c r="B669" s="52"/>
      <c r="C669" s="52"/>
      <c r="D669" s="52" t="s">
        <v>1390</v>
      </c>
      <c r="E669" s="70" t="s">
        <v>1391</v>
      </c>
      <c r="F669" s="70" t="s">
        <v>1392</v>
      </c>
      <c r="G669" s="70" t="s">
        <v>1393</v>
      </c>
      <c r="H669" s="76">
        <f>'Manual inputs'!H$36</f>
        <v>0.11219999999999999</v>
      </c>
      <c r="I669" s="76">
        <f>'Manual inputs'!I$36</f>
        <v>0</v>
      </c>
      <c r="J669" s="76">
        <f>'Manual inputs'!J$36</f>
        <v>0</v>
      </c>
      <c r="K669" s="76">
        <f>'Manual inputs'!K$36</f>
        <v>0.97</v>
      </c>
      <c r="L669" s="76">
        <f t="shared" si="185"/>
        <v>1.0822000000000001</v>
      </c>
      <c r="M669" s="76">
        <f>'Manual inputs'!M$36</f>
        <v>0.40137</v>
      </c>
      <c r="N669" s="76">
        <f>'Manual inputs'!N$36</f>
        <v>1.4835700000000001</v>
      </c>
      <c r="O669" s="76">
        <f>'Manual inputs'!O$36</f>
        <v>4.3749999999999997E-2</v>
      </c>
      <c r="P669" s="70">
        <f>'Manual inputs'!P$36</f>
        <v>1</v>
      </c>
      <c r="Q669" s="76">
        <f t="shared" si="186"/>
        <v>1.52732</v>
      </c>
      <c r="R669" s="76">
        <f t="shared" si="187"/>
        <v>1.52732</v>
      </c>
      <c r="S669" s="77">
        <f>'Manual inputs'!S$36</f>
        <v>2</v>
      </c>
      <c r="T669" s="77">
        <f>'Manual inputs'!T$36</f>
        <v>56.1</v>
      </c>
      <c r="U669" s="77">
        <f>'Manual inputs'!U$36</f>
        <v>0</v>
      </c>
      <c r="V669" s="77">
        <f>'Manual inputs'!V$36</f>
        <v>0</v>
      </c>
      <c r="W669" s="76">
        <f>'Manual inputs'!W$36</f>
        <v>2.64</v>
      </c>
      <c r="X669" s="78">
        <f>'Manual inputs'!X$36</f>
        <v>0.01</v>
      </c>
      <c r="Y669" s="76">
        <f>'Manual inputs'!Y$36</f>
        <v>2.6664000000000003</v>
      </c>
      <c r="Z669" s="76">
        <f>'Manual inputs'!Z$36</f>
        <v>0.30199999999999999</v>
      </c>
      <c r="AA669" s="79">
        <f>'Manual inputs'!AA$36</f>
        <v>-1.1390800000000003</v>
      </c>
      <c r="AB669" s="79">
        <f>'Manual inputs'!AB$36</f>
        <v>1.22532</v>
      </c>
      <c r="AC669" s="70" t="str">
        <f>'Manual inputs'!AC$36</f>
        <v>NH₃ INTEGRATED in headline. AN/CAN. Default base ~2.64 ×1.01 = 2.666 (2026, N2O-driven). Benchmark 0.302. S2 IN CBAM scope. Default value highly sensitive to assumed N2O abatement.</v>
      </c>
      <c r="AD669" s="70" t="str">
        <f>'Manual inputs'!AD$36</f>
        <v>S1.fc: Est: IFA/EFMA BAT Vol.3; 1.5-2.5 GJ/t AN typical. Total direct EF less / S1.fp: Auth: HNO3 and neutralisation have no reductant</v>
      </c>
      <c r="AE669" s="70" t="str">
        <f>'Manual inputs'!AE$36</f>
        <v>S1.np: Auth: AN chemistry (NH4NO3) contains no carbon / S1.no: Est: IPCC 2006 2B2; GWP AR6 AII.1.2. CRITICAL: range 0.21 (with high-e</v>
      </c>
      <c r="AF669" s="70"/>
      <c r="AG669" s="70"/>
      <c r="AH669" s="70"/>
      <c r="AI669" s="70"/>
    </row>
    <row r="670" spans="1:35" x14ac:dyDescent="0.45">
      <c r="A670" s="70"/>
      <c r="B670" s="52"/>
      <c r="C670" s="52"/>
      <c r="D670" s="52" t="s">
        <v>1397</v>
      </c>
      <c r="E670" s="70" t="s">
        <v>1398</v>
      </c>
      <c r="F670" s="70" t="s">
        <v>1399</v>
      </c>
      <c r="G670" s="70" t="s">
        <v>1400</v>
      </c>
      <c r="H670" s="76">
        <f>'Manual inputs'!H$37</f>
        <v>0.156</v>
      </c>
      <c r="I670" s="76">
        <f>'Manual inputs'!I$37</f>
        <v>0</v>
      </c>
      <c r="J670" s="76">
        <f>'Manual inputs'!J$37</f>
        <v>1.5</v>
      </c>
      <c r="K670" s="76">
        <f>'Manual inputs'!K$37</f>
        <v>0.85</v>
      </c>
      <c r="L670" s="76">
        <f t="shared" si="185"/>
        <v>2.5059999999999998</v>
      </c>
      <c r="M670" s="76">
        <f>'Manual inputs'!M$37</f>
        <v>0</v>
      </c>
      <c r="N670" s="76">
        <f>'Manual inputs'!N$37</f>
        <v>2.5059999999999998</v>
      </c>
      <c r="O670" s="76">
        <f>'Manual inputs'!O$37</f>
        <v>6.75</v>
      </c>
      <c r="P670" s="70">
        <f>'Manual inputs'!P$37</f>
        <v>0</v>
      </c>
      <c r="Q670" s="76">
        <f t="shared" si="186"/>
        <v>9.2560000000000002</v>
      </c>
      <c r="R670" s="76">
        <f t="shared" si="187"/>
        <v>2.5059999999999998</v>
      </c>
      <c r="S670" s="77">
        <f>'Manual inputs'!S$37</f>
        <v>2</v>
      </c>
      <c r="T670" s="77">
        <f>'Manual inputs'!T$37</f>
        <v>78</v>
      </c>
      <c r="U670" s="77">
        <f>'Manual inputs'!U$37</f>
        <v>0</v>
      </c>
      <c r="V670" s="77">
        <f>'Manual inputs'!V$37</f>
        <v>0</v>
      </c>
      <c r="W670" s="76">
        <f>'Manual inputs'!W$37</f>
        <v>2.06</v>
      </c>
      <c r="X670" s="78">
        <f>'Manual inputs'!X$37</f>
        <v>0.1</v>
      </c>
      <c r="Y670" s="76">
        <f>'Manual inputs'!Y$37</f>
        <v>2.2660000000000005</v>
      </c>
      <c r="Z670" s="76">
        <f>'Manual inputs'!Z$37</f>
        <v>1.423</v>
      </c>
      <c r="AA670" s="79">
        <f>'Manual inputs'!AA$37</f>
        <v>0.23999999999999932</v>
      </c>
      <c r="AB670" s="79">
        <f>'Manual inputs'!AB$37</f>
        <v>1.0829999999999997</v>
      </c>
      <c r="AC670" s="70" t="str">
        <f>'Manual inputs'!AC$37</f>
        <v>Primary aluminium. Default base 2.060 ×1.10 = 2.266 (2026). Benchmark 1.423. S2 NOT in CBAM scope (direct emissions only).</v>
      </c>
      <c r="AD670" s="70" t="str">
        <f>'Manual inputs'!AD$37</f>
        <v>S1.fc: Est: IAI 2023 smelter profile; 1.5-2.5 GJ/t range. Weighted EF 78 kgCO / S1.fp: Auth: Hall-Héroult is electrolytic; reduction is electrical not fuel-d</v>
      </c>
      <c r="AE670" s="70" t="str">
        <f>'Manual inputs'!AE$37</f>
        <v>S1.np: Auth: IPCC 2006 Vol2 2C3 default 1.5 tCO2/t Al for prebaked anodes. Ra / S1.no: Est: IAI 2023 Egypt country profile. Global prebaked average 0.38 tCO2</v>
      </c>
      <c r="AF670" s="70"/>
      <c r="AG670" s="70"/>
      <c r="AH670" s="70"/>
      <c r="AI670" s="70"/>
    </row>
    <row r="671" spans="1:35" x14ac:dyDescent="0.45">
      <c r="A671" s="70"/>
      <c r="B671" s="70"/>
      <c r="C671" s="73" t="s">
        <v>1890</v>
      </c>
      <c r="D671" s="73"/>
      <c r="E671" s="71"/>
      <c r="F671" s="71"/>
      <c r="G671" s="71"/>
      <c r="H671" s="71" t="s">
        <v>1892</v>
      </c>
      <c r="I671" s="71" t="s">
        <v>1893</v>
      </c>
      <c r="J671" s="71" t="s">
        <v>1894</v>
      </c>
      <c r="K671" s="71" t="s">
        <v>1895</v>
      </c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0"/>
      <c r="AH671" s="70"/>
      <c r="AI671" s="70"/>
    </row>
    <row r="672" spans="1:35" x14ac:dyDescent="0.45">
      <c r="A672" s="70"/>
      <c r="B672" s="52"/>
      <c r="C672" s="52"/>
      <c r="D672" s="70" t="s">
        <v>1891</v>
      </c>
      <c r="E672" s="70"/>
      <c r="F672" s="70"/>
      <c r="G672" s="70"/>
      <c r="H672" s="99">
        <f>IF($J$404&gt;1,INDEX(Scenarios!$B$27:$Z$27,MATCH("fc covered (0/1)",Scenarios!$B$26:$Z$26,0)),1)</f>
        <v>1</v>
      </c>
      <c r="I672" s="99">
        <f>IF($J$404&gt;1,INDEX(Scenarios!$B$27:$Z$27,MATCH("fp covered (0/1)",Scenarios!$B$26:$Z$26,0)),1)</f>
        <v>1</v>
      </c>
      <c r="J672" s="99">
        <f>IF($J$404&gt;1,INDEX(Scenarios!$B$27:$Z$27,MATCH("np covered (0/1)",Scenarios!$B$26:$Z$26,0)),1)</f>
        <v>1</v>
      </c>
      <c r="K672" s="90">
        <f>IF($J$404&gt;1,INDEX(Scenarios!$B$27:$Z$27,MATCH("no covered (0/1)",Scenarios!$B$26:$Z$26,0)),1)</f>
        <v>1</v>
      </c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</row>
    <row r="673" spans="1:35" x14ac:dyDescent="0.45">
      <c r="A673" s="71"/>
      <c r="B673" s="52"/>
      <c r="C673" s="73" t="s">
        <v>1434</v>
      </c>
      <c r="D673" s="73"/>
      <c r="E673" s="70"/>
      <c r="F673" s="70" t="s">
        <v>1435</v>
      </c>
      <c r="G673" s="70"/>
      <c r="H673" s="70"/>
      <c r="I673" s="70"/>
      <c r="J673" s="71"/>
      <c r="K673" s="72"/>
      <c r="L673" s="74">
        <v>2022</v>
      </c>
      <c r="M673" s="74">
        <v>2023</v>
      </c>
      <c r="N673" s="74">
        <v>2024</v>
      </c>
      <c r="O673" s="74">
        <v>2025</v>
      </c>
      <c r="P673" s="74">
        <v>2026</v>
      </c>
      <c r="Q673" s="74">
        <v>2027</v>
      </c>
      <c r="R673" s="74">
        <v>2028</v>
      </c>
      <c r="S673" s="74">
        <v>2029</v>
      </c>
      <c r="T673" s="74">
        <v>2030</v>
      </c>
      <c r="U673" s="74">
        <v>2031</v>
      </c>
      <c r="V673" s="74">
        <v>2032</v>
      </c>
      <c r="W673" s="74">
        <v>2033</v>
      </c>
      <c r="X673" s="74">
        <v>2034</v>
      </c>
      <c r="Y673" s="74">
        <v>2035</v>
      </c>
      <c r="Z673" s="74">
        <v>2036</v>
      </c>
      <c r="AA673" s="74">
        <v>2037</v>
      </c>
      <c r="AB673" s="74">
        <v>2038</v>
      </c>
      <c r="AC673" s="74">
        <v>2039</v>
      </c>
      <c r="AD673" s="74">
        <v>2040</v>
      </c>
      <c r="AE673" s="74">
        <v>2041</v>
      </c>
      <c r="AF673" s="74"/>
      <c r="AG673" s="70"/>
      <c r="AH673" s="70"/>
      <c r="AI673" s="70"/>
    </row>
    <row r="674" spans="1:35" x14ac:dyDescent="0.45">
      <c r="A674" s="71"/>
      <c r="B674" s="52"/>
      <c r="C674" s="71"/>
      <c r="D674" s="73"/>
      <c r="E674" s="71"/>
      <c r="F674" s="70" t="s">
        <v>1436</v>
      </c>
      <c r="G674" s="70" t="s">
        <v>1437</v>
      </c>
      <c r="H674" s="70" t="s">
        <v>1438</v>
      </c>
      <c r="I674" s="70" t="s">
        <v>1439</v>
      </c>
      <c r="J674" s="71"/>
      <c r="K674" s="72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0"/>
      <c r="AH674" s="70"/>
      <c r="AI674" s="70"/>
    </row>
    <row r="675" spans="1:35" x14ac:dyDescent="0.45">
      <c r="A675" s="71"/>
      <c r="B675" s="52"/>
      <c r="C675" s="71"/>
      <c r="D675" s="52" t="s">
        <v>1350</v>
      </c>
      <c r="E675" s="70" t="s">
        <v>1440</v>
      </c>
      <c r="F675" s="88">
        <v>5100</v>
      </c>
      <c r="G675" s="89">
        <v>4.3999999999999997E-2</v>
      </c>
      <c r="H675" s="80"/>
      <c r="I675" s="88">
        <v>580</v>
      </c>
      <c r="J675" s="71"/>
      <c r="K675" s="72"/>
      <c r="L675" s="72">
        <f t="shared" ref="L675:L682" si="188">M675/(1+G675)</f>
        <v>4679.1738230501605</v>
      </c>
      <c r="M675" s="72">
        <f t="shared" ref="M675:M682" si="189">N675/(1+G675)</f>
        <v>4885.0574712643675</v>
      </c>
      <c r="N675" s="90">
        <f>IF(UPPER(Settings!$B$3)="EGY",F675,0)</f>
        <v>5100</v>
      </c>
      <c r="O675" s="72">
        <f t="shared" ref="O675:O682" si="190">N675*(1+G675)</f>
        <v>5324.4000000000005</v>
      </c>
      <c r="P675" s="72">
        <f t="shared" ref="P675:P682" si="191">O675*(1+G675)</f>
        <v>5558.673600000001</v>
      </c>
      <c r="Q675" s="72">
        <f t="shared" ref="Q675:Q682" si="192">P675*(1+G675)</f>
        <v>5803.255238400001</v>
      </c>
      <c r="R675" s="72">
        <f t="shared" ref="R675:R682" si="193">Q675*(1+G675)</f>
        <v>6058.5984688896015</v>
      </c>
      <c r="S675" s="72">
        <f t="shared" ref="S675:S682" si="194">R675*(1+G675)</f>
        <v>6325.1768015207444</v>
      </c>
      <c r="T675" s="72">
        <f t="shared" ref="T675:T682" si="195">S675*(1+G675)</f>
        <v>6603.4845807876573</v>
      </c>
      <c r="U675" s="72">
        <f t="shared" ref="U675:U682" si="196">T675*(1+G675)</f>
        <v>6894.0379023423147</v>
      </c>
      <c r="V675" s="72">
        <f t="shared" ref="V675:V682" si="197">U675*(1+G675)</f>
        <v>7197.3755700453767</v>
      </c>
      <c r="W675" s="72">
        <f t="shared" ref="W675:W682" si="198">V675*(1+G675)</f>
        <v>7514.0600951273736</v>
      </c>
      <c r="X675" s="72">
        <f t="shared" ref="X675:X682" si="199">W675*(1+G675)</f>
        <v>7844.678739312978</v>
      </c>
      <c r="Y675" s="72">
        <f t="shared" ref="Y675:Y682" si="200">X675*(1+G675)</f>
        <v>8189.8446038427492</v>
      </c>
      <c r="Z675" s="72">
        <f t="shared" ref="Z675:Z682" si="201">Y675*(1+G675)</f>
        <v>8550.1977664118313</v>
      </c>
      <c r="AA675" s="72">
        <f t="shared" ref="AA675:AA682" si="202">Z675*(1+G675)</f>
        <v>8926.4064681339514</v>
      </c>
      <c r="AB675" s="72">
        <f t="shared" ref="AB675:AB682" si="203">AA675*(1+G675)</f>
        <v>9319.1683527318455</v>
      </c>
      <c r="AC675" s="72">
        <f t="shared" ref="AC675:AC682" si="204">AB675*(1+G675)</f>
        <v>9729.2117602520466</v>
      </c>
      <c r="AD675" s="72">
        <f t="shared" ref="AD675:AD682" si="205">AC675*(1+G675)</f>
        <v>10157.297077703137</v>
      </c>
      <c r="AE675" s="72">
        <f t="shared" ref="AE675:AE682" si="206">AD675*(1+G675)</f>
        <v>10604.218149122074</v>
      </c>
      <c r="AF675" s="72"/>
      <c r="AG675" s="70"/>
      <c r="AH675" s="70"/>
      <c r="AI675" s="70"/>
    </row>
    <row r="676" spans="1:35" x14ac:dyDescent="0.45">
      <c r="A676" s="71"/>
      <c r="B676" s="52"/>
      <c r="C676" s="71"/>
      <c r="D676" s="52" t="s">
        <v>1357</v>
      </c>
      <c r="E676" s="70" t="s">
        <v>1440</v>
      </c>
      <c r="F676" s="88">
        <v>4800</v>
      </c>
      <c r="G676" s="89">
        <v>4.3999999999999997E-2</v>
      </c>
      <c r="H676" s="80"/>
      <c r="I676" s="88">
        <v>300</v>
      </c>
      <c r="J676" s="71"/>
      <c r="K676" s="72"/>
      <c r="L676" s="72">
        <f t="shared" si="188"/>
        <v>4403.9283040472101</v>
      </c>
      <c r="M676" s="72">
        <f t="shared" si="189"/>
        <v>4597.7011494252874</v>
      </c>
      <c r="N676" s="90">
        <f>IF(UPPER(Settings!$B$3)="EGY",F676,0)</f>
        <v>4800</v>
      </c>
      <c r="O676" s="72">
        <f t="shared" si="190"/>
        <v>5011.2</v>
      </c>
      <c r="P676" s="72">
        <f t="shared" si="191"/>
        <v>5231.6927999999998</v>
      </c>
      <c r="Q676" s="72">
        <f t="shared" si="192"/>
        <v>5461.8872831999997</v>
      </c>
      <c r="R676" s="72">
        <f t="shared" si="193"/>
        <v>5702.2103236608</v>
      </c>
      <c r="S676" s="72">
        <f t="shared" si="194"/>
        <v>5953.1075779018756</v>
      </c>
      <c r="T676" s="72">
        <f t="shared" si="195"/>
        <v>6215.0443113295587</v>
      </c>
      <c r="U676" s="72">
        <f t="shared" si="196"/>
        <v>6488.5062610280593</v>
      </c>
      <c r="V676" s="72">
        <f t="shared" si="197"/>
        <v>6774.0005365132938</v>
      </c>
      <c r="W676" s="72">
        <f t="shared" si="198"/>
        <v>7072.0565601198787</v>
      </c>
      <c r="X676" s="72">
        <f t="shared" si="199"/>
        <v>7383.227048765154</v>
      </c>
      <c r="Y676" s="72">
        <f t="shared" si="200"/>
        <v>7708.0890389108208</v>
      </c>
      <c r="Z676" s="72">
        <f t="shared" si="201"/>
        <v>8047.244956622897</v>
      </c>
      <c r="AA676" s="72">
        <f t="shared" si="202"/>
        <v>8401.323734714304</v>
      </c>
      <c r="AB676" s="72">
        <f t="shared" si="203"/>
        <v>8770.9819790417332</v>
      </c>
      <c r="AC676" s="72">
        <f t="shared" si="204"/>
        <v>9156.9051861195694</v>
      </c>
      <c r="AD676" s="72">
        <f t="shared" si="205"/>
        <v>9559.8090143088302</v>
      </c>
      <c r="AE676" s="72">
        <f t="shared" si="206"/>
        <v>9980.4406109384199</v>
      </c>
      <c r="AF676" s="72"/>
      <c r="AG676" s="70"/>
      <c r="AH676" s="70"/>
      <c r="AI676" s="70"/>
    </row>
    <row r="677" spans="1:35" x14ac:dyDescent="0.45">
      <c r="A677" s="71"/>
      <c r="B677" s="71"/>
      <c r="C677" s="71"/>
      <c r="D677" s="52" t="s">
        <v>1363</v>
      </c>
      <c r="E677" s="70" t="s">
        <v>1440</v>
      </c>
      <c r="F677" s="88">
        <v>0</v>
      </c>
      <c r="G677" s="89">
        <v>0</v>
      </c>
      <c r="H677" s="80"/>
      <c r="I677" s="88">
        <v>0</v>
      </c>
      <c r="J677" s="71"/>
      <c r="K677" s="72"/>
      <c r="L677" s="72">
        <f t="shared" si="188"/>
        <v>0</v>
      </c>
      <c r="M677" s="72">
        <f t="shared" si="189"/>
        <v>0</v>
      </c>
      <c r="N677" s="90">
        <f>IF(UPPER(Settings!$B$3)="EGY",F677,0)</f>
        <v>0</v>
      </c>
      <c r="O677" s="72">
        <f t="shared" si="190"/>
        <v>0</v>
      </c>
      <c r="P677" s="72">
        <f t="shared" si="191"/>
        <v>0</v>
      </c>
      <c r="Q677" s="72">
        <f t="shared" si="192"/>
        <v>0</v>
      </c>
      <c r="R677" s="72">
        <f t="shared" si="193"/>
        <v>0</v>
      </c>
      <c r="S677" s="72">
        <f t="shared" si="194"/>
        <v>0</v>
      </c>
      <c r="T677" s="72">
        <f t="shared" si="195"/>
        <v>0</v>
      </c>
      <c r="U677" s="72">
        <f t="shared" si="196"/>
        <v>0</v>
      </c>
      <c r="V677" s="72">
        <f t="shared" si="197"/>
        <v>0</v>
      </c>
      <c r="W677" s="72">
        <f t="shared" si="198"/>
        <v>0</v>
      </c>
      <c r="X677" s="72">
        <f t="shared" si="199"/>
        <v>0</v>
      </c>
      <c r="Y677" s="72">
        <f t="shared" si="200"/>
        <v>0</v>
      </c>
      <c r="Z677" s="72">
        <f t="shared" si="201"/>
        <v>0</v>
      </c>
      <c r="AA677" s="72">
        <f t="shared" si="202"/>
        <v>0</v>
      </c>
      <c r="AB677" s="72">
        <f t="shared" si="203"/>
        <v>0</v>
      </c>
      <c r="AC677" s="72">
        <f t="shared" si="204"/>
        <v>0</v>
      </c>
      <c r="AD677" s="72">
        <f t="shared" si="205"/>
        <v>0</v>
      </c>
      <c r="AE677" s="72">
        <f t="shared" si="206"/>
        <v>0</v>
      </c>
      <c r="AF677" s="72"/>
      <c r="AG677" s="70"/>
      <c r="AH677" s="70"/>
      <c r="AI677" s="70"/>
    </row>
    <row r="678" spans="1:35" x14ac:dyDescent="0.45">
      <c r="A678" s="71"/>
      <c r="B678" s="71"/>
      <c r="C678" s="71"/>
      <c r="D678" s="52" t="s">
        <v>1369</v>
      </c>
      <c r="E678" s="70" t="s">
        <v>1441</v>
      </c>
      <c r="F678" s="88">
        <v>50000</v>
      </c>
      <c r="G678" s="89">
        <v>3.3000000000000002E-2</v>
      </c>
      <c r="H678" s="80"/>
      <c r="I678" s="88">
        <v>800</v>
      </c>
      <c r="J678" s="71"/>
      <c r="K678" s="72"/>
      <c r="L678" s="72">
        <f t="shared" si="188"/>
        <v>46856.447775209017</v>
      </c>
      <c r="M678" s="72">
        <f t="shared" si="189"/>
        <v>48402.710551790908</v>
      </c>
      <c r="N678" s="90">
        <f>IF(UPPER(Settings!$B$3)="EGY",F678,0)</f>
        <v>50000</v>
      </c>
      <c r="O678" s="72">
        <f t="shared" si="190"/>
        <v>51649.999999999993</v>
      </c>
      <c r="P678" s="72">
        <f t="shared" si="191"/>
        <v>53354.44999999999</v>
      </c>
      <c r="Q678" s="72">
        <f t="shared" si="192"/>
        <v>55115.146849999983</v>
      </c>
      <c r="R678" s="72">
        <f t="shared" si="193"/>
        <v>56933.946696049978</v>
      </c>
      <c r="S678" s="72">
        <f t="shared" si="194"/>
        <v>58812.766937019624</v>
      </c>
      <c r="T678" s="72">
        <f t="shared" si="195"/>
        <v>60753.588245941268</v>
      </c>
      <c r="U678" s="72">
        <f t="shared" si="196"/>
        <v>62758.456658057323</v>
      </c>
      <c r="V678" s="72">
        <f t="shared" si="197"/>
        <v>64829.485727773208</v>
      </c>
      <c r="W678" s="72">
        <f t="shared" si="198"/>
        <v>66968.858756789719</v>
      </c>
      <c r="X678" s="72">
        <f t="shared" si="199"/>
        <v>69178.831095763773</v>
      </c>
      <c r="Y678" s="72">
        <f t="shared" si="200"/>
        <v>71461.732521923972</v>
      </c>
      <c r="Z678" s="72">
        <f t="shared" si="201"/>
        <v>73819.969695147462</v>
      </c>
      <c r="AA678" s="72">
        <f t="shared" si="202"/>
        <v>76256.028695087327</v>
      </c>
      <c r="AB678" s="72">
        <f t="shared" si="203"/>
        <v>78772.477642025202</v>
      </c>
      <c r="AC678" s="72">
        <f t="shared" si="204"/>
        <v>81371.969404212025</v>
      </c>
      <c r="AD678" s="72">
        <f t="shared" si="205"/>
        <v>84057.244394551017</v>
      </c>
      <c r="AE678" s="72">
        <f t="shared" si="206"/>
        <v>86831.133459571196</v>
      </c>
      <c r="AF678" s="72"/>
      <c r="AG678" s="70"/>
      <c r="AH678" s="70"/>
      <c r="AI678" s="70"/>
    </row>
    <row r="679" spans="1:35" x14ac:dyDescent="0.45">
      <c r="A679" s="71"/>
      <c r="B679" s="71"/>
      <c r="C679" s="71"/>
      <c r="D679" s="52" t="s">
        <v>1442</v>
      </c>
      <c r="E679" s="70" t="s">
        <v>1443</v>
      </c>
      <c r="F679" s="88">
        <v>1785</v>
      </c>
      <c r="G679" s="89">
        <v>2.1999999999999999E-2</v>
      </c>
      <c r="H679" s="80"/>
      <c r="I679" s="88">
        <v>120</v>
      </c>
      <c r="J679" s="71"/>
      <c r="K679" s="72"/>
      <c r="L679" s="72">
        <f t="shared" si="188"/>
        <v>1708.9778302013242</v>
      </c>
      <c r="M679" s="72">
        <f t="shared" si="189"/>
        <v>1746.5753424657535</v>
      </c>
      <c r="N679" s="90">
        <f>IF(UPPER(Settings!$B$3)="EGY",F679,0)</f>
        <v>1785</v>
      </c>
      <c r="O679" s="72">
        <f t="shared" si="190"/>
        <v>1824.27</v>
      </c>
      <c r="P679" s="72">
        <f t="shared" si="191"/>
        <v>1864.4039399999999</v>
      </c>
      <c r="Q679" s="72">
        <f t="shared" si="192"/>
        <v>1905.4208266799999</v>
      </c>
      <c r="R679" s="72">
        <f t="shared" si="193"/>
        <v>1947.3400848669598</v>
      </c>
      <c r="S679" s="72">
        <f t="shared" si="194"/>
        <v>1990.1815667340329</v>
      </c>
      <c r="T679" s="72">
        <f t="shared" si="195"/>
        <v>2033.9655612021818</v>
      </c>
      <c r="U679" s="72">
        <f t="shared" si="196"/>
        <v>2078.7128035486298</v>
      </c>
      <c r="V679" s="72">
        <f t="shared" si="197"/>
        <v>2124.4444852266997</v>
      </c>
      <c r="W679" s="72">
        <f t="shared" si="198"/>
        <v>2171.1822639016873</v>
      </c>
      <c r="X679" s="72">
        <f t="shared" si="199"/>
        <v>2218.9482737075245</v>
      </c>
      <c r="Y679" s="72">
        <f t="shared" si="200"/>
        <v>2267.7651357290902</v>
      </c>
      <c r="Z679" s="72">
        <f t="shared" si="201"/>
        <v>2317.6559687151303</v>
      </c>
      <c r="AA679" s="72">
        <f t="shared" si="202"/>
        <v>2368.644400026863</v>
      </c>
      <c r="AB679" s="72">
        <f t="shared" si="203"/>
        <v>2420.754576827454</v>
      </c>
      <c r="AC679" s="72">
        <f t="shared" si="204"/>
        <v>2474.0111775176579</v>
      </c>
      <c r="AD679" s="72">
        <f t="shared" si="205"/>
        <v>2528.4394234230463</v>
      </c>
      <c r="AE679" s="72">
        <f t="shared" si="206"/>
        <v>2584.0650907383533</v>
      </c>
      <c r="AF679" s="72"/>
      <c r="AG679" s="70"/>
      <c r="AH679" s="70"/>
      <c r="AI679" s="70"/>
    </row>
    <row r="680" spans="1:35" x14ac:dyDescent="0.45">
      <c r="A680" s="71"/>
      <c r="B680" s="71"/>
      <c r="C680" s="71"/>
      <c r="D680" s="52" t="s">
        <v>1383</v>
      </c>
      <c r="E680" s="70" t="s">
        <v>1444</v>
      </c>
      <c r="F680" s="88">
        <v>2800</v>
      </c>
      <c r="G680" s="89">
        <v>2.1999999999999999E-2</v>
      </c>
      <c r="H680" s="80"/>
      <c r="I680" s="88">
        <v>1600</v>
      </c>
      <c r="J680" s="71"/>
      <c r="K680" s="72"/>
      <c r="L680" s="72">
        <f t="shared" si="188"/>
        <v>2680.7495375707044</v>
      </c>
      <c r="M680" s="72">
        <f t="shared" si="189"/>
        <v>2739.7260273972602</v>
      </c>
      <c r="N680" s="90">
        <f>IF(UPPER(Settings!$B$3)="EGY",F680,0)</f>
        <v>2800</v>
      </c>
      <c r="O680" s="72">
        <f t="shared" si="190"/>
        <v>2861.6</v>
      </c>
      <c r="P680" s="72">
        <f t="shared" si="191"/>
        <v>2924.5551999999998</v>
      </c>
      <c r="Q680" s="72">
        <f t="shared" si="192"/>
        <v>2988.8954143999999</v>
      </c>
      <c r="R680" s="72">
        <f t="shared" si="193"/>
        <v>3054.6511135167998</v>
      </c>
      <c r="S680" s="72">
        <f t="shared" si="194"/>
        <v>3121.8534380141696</v>
      </c>
      <c r="T680" s="72">
        <f t="shared" si="195"/>
        <v>3190.5342136504814</v>
      </c>
      <c r="U680" s="72">
        <f t="shared" si="196"/>
        <v>3260.7259663507921</v>
      </c>
      <c r="V680" s="72">
        <f t="shared" si="197"/>
        <v>3332.4619376105097</v>
      </c>
      <c r="W680" s="72">
        <f t="shared" si="198"/>
        <v>3405.7761002379411</v>
      </c>
      <c r="X680" s="72">
        <f t="shared" si="199"/>
        <v>3480.7031744431761</v>
      </c>
      <c r="Y680" s="72">
        <f t="shared" si="200"/>
        <v>3557.2786442809261</v>
      </c>
      <c r="Z680" s="72">
        <f t="shared" si="201"/>
        <v>3635.5387744551067</v>
      </c>
      <c r="AA680" s="72">
        <f t="shared" si="202"/>
        <v>3715.5206274931193</v>
      </c>
      <c r="AB680" s="72">
        <f t="shared" si="203"/>
        <v>3797.2620812979681</v>
      </c>
      <c r="AC680" s="72">
        <f t="shared" si="204"/>
        <v>3880.8018470865236</v>
      </c>
      <c r="AD680" s="72">
        <f t="shared" si="205"/>
        <v>3966.179487722427</v>
      </c>
      <c r="AE680" s="72">
        <f t="shared" si="206"/>
        <v>4053.4354364523206</v>
      </c>
      <c r="AF680" s="72"/>
      <c r="AG680" s="70"/>
      <c r="AH680" s="70"/>
      <c r="AI680" s="70"/>
    </row>
    <row r="681" spans="1:35" x14ac:dyDescent="0.45">
      <c r="A681" s="71"/>
      <c r="B681" s="71"/>
      <c r="C681" s="71"/>
      <c r="D681" s="52" t="s">
        <v>1390</v>
      </c>
      <c r="E681" s="70" t="s">
        <v>1445</v>
      </c>
      <c r="F681" s="88">
        <v>600</v>
      </c>
      <c r="G681" s="89">
        <v>2.1999999999999999E-2</v>
      </c>
      <c r="H681" s="80"/>
      <c r="I681" s="88">
        <v>80</v>
      </c>
      <c r="J681" s="71"/>
      <c r="K681" s="72"/>
      <c r="L681" s="72">
        <f t="shared" si="188"/>
        <v>574.44632947943671</v>
      </c>
      <c r="M681" s="72">
        <f t="shared" si="189"/>
        <v>587.08414872798437</v>
      </c>
      <c r="N681" s="90">
        <f>IF(UPPER(Settings!$B$3)="EGY",F681,0)</f>
        <v>600</v>
      </c>
      <c r="O681" s="72">
        <f t="shared" si="190"/>
        <v>613.20000000000005</v>
      </c>
      <c r="P681" s="72">
        <f t="shared" si="191"/>
        <v>626.69040000000007</v>
      </c>
      <c r="Q681" s="72">
        <f t="shared" si="192"/>
        <v>640.47758880000004</v>
      </c>
      <c r="R681" s="72">
        <f t="shared" si="193"/>
        <v>654.56809575360001</v>
      </c>
      <c r="S681" s="72">
        <f t="shared" si="194"/>
        <v>668.96859386017923</v>
      </c>
      <c r="T681" s="72">
        <f t="shared" si="195"/>
        <v>683.68590292510316</v>
      </c>
      <c r="U681" s="72">
        <f t="shared" si="196"/>
        <v>698.72699278945549</v>
      </c>
      <c r="V681" s="72">
        <f t="shared" si="197"/>
        <v>714.09898663082356</v>
      </c>
      <c r="W681" s="72">
        <f t="shared" si="198"/>
        <v>729.80916433670166</v>
      </c>
      <c r="X681" s="72">
        <f t="shared" si="199"/>
        <v>745.86496595210906</v>
      </c>
      <c r="Y681" s="72">
        <f t="shared" si="200"/>
        <v>762.27399520305551</v>
      </c>
      <c r="Z681" s="72">
        <f t="shared" si="201"/>
        <v>779.04402309752277</v>
      </c>
      <c r="AA681" s="72">
        <f t="shared" si="202"/>
        <v>796.18299160566824</v>
      </c>
      <c r="AB681" s="72">
        <f t="shared" si="203"/>
        <v>813.69901742099296</v>
      </c>
      <c r="AC681" s="72">
        <f t="shared" si="204"/>
        <v>831.60039580425484</v>
      </c>
      <c r="AD681" s="72">
        <f t="shared" si="205"/>
        <v>849.89560451194848</v>
      </c>
      <c r="AE681" s="72">
        <f t="shared" si="206"/>
        <v>868.59330781121139</v>
      </c>
      <c r="AF681" s="72"/>
      <c r="AG681" s="70"/>
      <c r="AH681" s="70"/>
      <c r="AI681" s="70"/>
    </row>
    <row r="682" spans="1:35" x14ac:dyDescent="0.45">
      <c r="A682" s="71"/>
      <c r="B682" s="71"/>
      <c r="C682" s="71"/>
      <c r="D682" s="52" t="s">
        <v>1397</v>
      </c>
      <c r="E682" s="70" t="s">
        <v>1446</v>
      </c>
      <c r="F682" s="88">
        <v>300</v>
      </c>
      <c r="G682" s="89">
        <v>5.5E-2</v>
      </c>
      <c r="H682" s="80"/>
      <c r="I682" s="88">
        <v>167</v>
      </c>
      <c r="J682" s="71"/>
      <c r="K682" s="72"/>
      <c r="L682" s="72">
        <f t="shared" si="188"/>
        <v>269.53572471417982</v>
      </c>
      <c r="M682" s="72">
        <f t="shared" si="189"/>
        <v>284.36018957345971</v>
      </c>
      <c r="N682" s="90">
        <f>IF(UPPER(Settings!$B$3)="EGY",F682,0)</f>
        <v>300</v>
      </c>
      <c r="O682" s="72">
        <f t="shared" si="190"/>
        <v>316.5</v>
      </c>
      <c r="P682" s="72">
        <f t="shared" si="191"/>
        <v>333.90749999999997</v>
      </c>
      <c r="Q682" s="72">
        <f t="shared" si="192"/>
        <v>352.27241249999997</v>
      </c>
      <c r="R682" s="72">
        <f t="shared" si="193"/>
        <v>371.64739518749997</v>
      </c>
      <c r="S682" s="72">
        <f t="shared" si="194"/>
        <v>392.08800192281245</v>
      </c>
      <c r="T682" s="72">
        <f t="shared" si="195"/>
        <v>413.65284202856714</v>
      </c>
      <c r="U682" s="72">
        <f t="shared" si="196"/>
        <v>436.40374834013829</v>
      </c>
      <c r="V682" s="72">
        <f t="shared" si="197"/>
        <v>460.40595449884586</v>
      </c>
      <c r="W682" s="72">
        <f t="shared" si="198"/>
        <v>485.72828199628236</v>
      </c>
      <c r="X682" s="72">
        <f t="shared" si="199"/>
        <v>512.44333750607791</v>
      </c>
      <c r="Y682" s="72">
        <f t="shared" si="200"/>
        <v>540.62772106891214</v>
      </c>
      <c r="Z682" s="72">
        <f t="shared" si="201"/>
        <v>570.36224572770232</v>
      </c>
      <c r="AA682" s="72">
        <f t="shared" si="202"/>
        <v>601.73216924272594</v>
      </c>
      <c r="AB682" s="72">
        <f t="shared" si="203"/>
        <v>634.82743855107583</v>
      </c>
      <c r="AC682" s="72">
        <f t="shared" si="204"/>
        <v>669.74294767138497</v>
      </c>
      <c r="AD682" s="72">
        <f t="shared" si="205"/>
        <v>706.57880979331105</v>
      </c>
      <c r="AE682" s="72">
        <f t="shared" si="206"/>
        <v>745.44064433194308</v>
      </c>
      <c r="AF682" s="72"/>
      <c r="AG682" s="70"/>
      <c r="AH682" s="70"/>
      <c r="AI682" s="70"/>
    </row>
    <row r="683" spans="1:35" x14ac:dyDescent="0.45">
      <c r="A683" s="70"/>
      <c r="B683" s="52"/>
      <c r="C683" s="52"/>
      <c r="D683" s="70"/>
      <c r="E683" s="70"/>
      <c r="F683" s="70"/>
      <c r="G683" s="70"/>
      <c r="H683" s="70"/>
      <c r="I683" s="70"/>
      <c r="J683" s="70"/>
      <c r="K683" s="72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  <c r="AI683" s="70"/>
    </row>
    <row r="684" spans="1:35" x14ac:dyDescent="0.45">
      <c r="A684" s="70"/>
      <c r="B684" s="52"/>
      <c r="C684" s="52"/>
      <c r="D684" s="70"/>
      <c r="E684" s="70"/>
      <c r="F684" s="70"/>
      <c r="G684" s="70"/>
      <c r="H684" s="70"/>
      <c r="I684" s="70"/>
      <c r="J684" s="70"/>
      <c r="K684" s="72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  <c r="AI684" s="70"/>
    </row>
    <row r="685" spans="1:35" x14ac:dyDescent="0.45">
      <c r="A685" s="70"/>
      <c r="B685" s="52"/>
      <c r="C685" s="52"/>
      <c r="D685" s="70"/>
      <c r="E685" s="70"/>
      <c r="F685" s="70"/>
      <c r="G685" s="70"/>
      <c r="H685" s="70"/>
      <c r="I685" s="70"/>
      <c r="J685" s="70"/>
      <c r="K685" s="72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  <c r="AI685" s="70"/>
    </row>
    <row r="686" spans="1:35" x14ac:dyDescent="0.45">
      <c r="A686" s="70"/>
      <c r="B686" s="52"/>
      <c r="C686" s="73" t="s">
        <v>1447</v>
      </c>
      <c r="D686" s="73" t="s">
        <v>1323</v>
      </c>
      <c r="E686" s="70" t="s">
        <v>1448</v>
      </c>
      <c r="F686" s="70" t="s">
        <v>1323</v>
      </c>
      <c r="G686" s="70" t="s">
        <v>1449</v>
      </c>
      <c r="H686" s="70"/>
      <c r="I686" s="71"/>
      <c r="J686" s="71"/>
      <c r="K686" s="72"/>
      <c r="L686" s="74">
        <f t="shared" ref="L686:AE686" si="207">L673</f>
        <v>2022</v>
      </c>
      <c r="M686" s="74">
        <f t="shared" si="207"/>
        <v>2023</v>
      </c>
      <c r="N686" s="74">
        <f t="shared" si="207"/>
        <v>2024</v>
      </c>
      <c r="O686" s="74">
        <f t="shared" si="207"/>
        <v>2025</v>
      </c>
      <c r="P686" s="74">
        <f t="shared" si="207"/>
        <v>2026</v>
      </c>
      <c r="Q686" s="74">
        <f t="shared" si="207"/>
        <v>2027</v>
      </c>
      <c r="R686" s="74">
        <f t="shared" si="207"/>
        <v>2028</v>
      </c>
      <c r="S686" s="74">
        <f t="shared" si="207"/>
        <v>2029</v>
      </c>
      <c r="T686" s="74">
        <f t="shared" si="207"/>
        <v>2030</v>
      </c>
      <c r="U686" s="74">
        <f t="shared" si="207"/>
        <v>2031</v>
      </c>
      <c r="V686" s="74">
        <f t="shared" si="207"/>
        <v>2032</v>
      </c>
      <c r="W686" s="74">
        <f t="shared" si="207"/>
        <v>2033</v>
      </c>
      <c r="X686" s="74">
        <f t="shared" si="207"/>
        <v>2034</v>
      </c>
      <c r="Y686" s="74">
        <f t="shared" si="207"/>
        <v>2035</v>
      </c>
      <c r="Z686" s="74">
        <f t="shared" si="207"/>
        <v>2036</v>
      </c>
      <c r="AA686" s="74">
        <f t="shared" si="207"/>
        <v>2037</v>
      </c>
      <c r="AB686" s="74">
        <f t="shared" si="207"/>
        <v>2038</v>
      </c>
      <c r="AC686" s="74">
        <f t="shared" si="207"/>
        <v>2039</v>
      </c>
      <c r="AD686" s="74">
        <f t="shared" si="207"/>
        <v>2040</v>
      </c>
      <c r="AE686" s="74">
        <f t="shared" si="207"/>
        <v>2041</v>
      </c>
      <c r="AF686" s="74"/>
      <c r="AG686" s="70"/>
      <c r="AH686" s="70"/>
      <c r="AI686" s="70"/>
    </row>
    <row r="687" spans="1:35" x14ac:dyDescent="0.45">
      <c r="A687" s="70"/>
      <c r="B687" s="52"/>
      <c r="C687" s="52"/>
      <c r="D687" s="52" t="s">
        <v>1450</v>
      </c>
      <c r="E687" s="87" t="s">
        <v>1451</v>
      </c>
      <c r="F687" s="70" t="s">
        <v>1452</v>
      </c>
      <c r="G687" s="85">
        <v>750</v>
      </c>
      <c r="H687" s="72"/>
      <c r="I687" s="70"/>
      <c r="J687" s="70"/>
      <c r="K687" s="72"/>
      <c r="L687" s="72">
        <f t="shared" ref="L687:L694" si="208">G687</f>
        <v>750</v>
      </c>
      <c r="M687" s="72">
        <f t="shared" ref="M687:M694" si="209">G687</f>
        <v>750</v>
      </c>
      <c r="N687" s="72">
        <f t="shared" ref="N687:N694" si="210">G687</f>
        <v>750</v>
      </c>
      <c r="O687" s="72">
        <f t="shared" ref="O687:O694" si="211">G687</f>
        <v>750</v>
      </c>
      <c r="P687" s="72">
        <f t="shared" ref="P687:P694" si="212">G687</f>
        <v>750</v>
      </c>
      <c r="Q687" s="72">
        <f t="shared" ref="Q687:Q694" si="213">G687</f>
        <v>750</v>
      </c>
      <c r="R687" s="72">
        <f t="shared" ref="R687:R694" si="214">G687</f>
        <v>750</v>
      </c>
      <c r="S687" s="72">
        <f t="shared" ref="S687:S694" si="215">G687</f>
        <v>750</v>
      </c>
      <c r="T687" s="72">
        <f t="shared" ref="T687:T694" si="216">G687</f>
        <v>750</v>
      </c>
      <c r="U687" s="72">
        <f t="shared" ref="U687:U694" si="217">G687</f>
        <v>750</v>
      </c>
      <c r="V687" s="72">
        <f t="shared" ref="V687:V694" si="218">G687</f>
        <v>750</v>
      </c>
      <c r="W687" s="72">
        <f t="shared" ref="W687:W694" si="219">G687</f>
        <v>750</v>
      </c>
      <c r="X687" s="72">
        <f t="shared" ref="X687:X694" si="220">G687</f>
        <v>750</v>
      </c>
      <c r="Y687" s="72">
        <f t="shared" ref="Y687:Y694" si="221">G687</f>
        <v>750</v>
      </c>
      <c r="Z687" s="72">
        <f t="shared" ref="Z687:Z694" si="222">G687</f>
        <v>750</v>
      </c>
      <c r="AA687" s="72">
        <f t="shared" ref="AA687:AA694" si="223">G687</f>
        <v>750</v>
      </c>
      <c r="AB687" s="72">
        <f t="shared" ref="AB687:AB694" si="224">G687</f>
        <v>750</v>
      </c>
      <c r="AC687" s="72">
        <f t="shared" ref="AC687:AC694" si="225">G687</f>
        <v>750</v>
      </c>
      <c r="AD687" s="72">
        <f t="shared" ref="AD687:AD694" si="226">G687</f>
        <v>750</v>
      </c>
      <c r="AE687" s="72">
        <f t="shared" ref="AE687:AE694" si="227">G687</f>
        <v>750</v>
      </c>
      <c r="AF687" s="70"/>
      <c r="AG687" s="70"/>
      <c r="AH687" s="70"/>
      <c r="AI687" s="70"/>
    </row>
    <row r="688" spans="1:35" x14ac:dyDescent="0.45">
      <c r="A688" s="70"/>
      <c r="B688" s="52"/>
      <c r="C688" s="52"/>
      <c r="D688" s="52" t="s">
        <v>1453</v>
      </c>
      <c r="E688" s="87" t="s">
        <v>1454</v>
      </c>
      <c r="F688" s="70" t="s">
        <v>1455</v>
      </c>
      <c r="G688" s="85">
        <v>680</v>
      </c>
      <c r="H688" s="70"/>
      <c r="I688" s="70"/>
      <c r="J688" s="70"/>
      <c r="K688" s="72"/>
      <c r="L688" s="72">
        <f t="shared" si="208"/>
        <v>680</v>
      </c>
      <c r="M688" s="72">
        <f t="shared" si="209"/>
        <v>680</v>
      </c>
      <c r="N688" s="72">
        <f t="shared" si="210"/>
        <v>680</v>
      </c>
      <c r="O688" s="72">
        <f t="shared" si="211"/>
        <v>680</v>
      </c>
      <c r="P688" s="72">
        <f t="shared" si="212"/>
        <v>680</v>
      </c>
      <c r="Q688" s="72">
        <f t="shared" si="213"/>
        <v>680</v>
      </c>
      <c r="R688" s="72">
        <f t="shared" si="214"/>
        <v>680</v>
      </c>
      <c r="S688" s="72">
        <f t="shared" si="215"/>
        <v>680</v>
      </c>
      <c r="T688" s="72">
        <f t="shared" si="216"/>
        <v>680</v>
      </c>
      <c r="U688" s="72">
        <f t="shared" si="217"/>
        <v>680</v>
      </c>
      <c r="V688" s="72">
        <f t="shared" si="218"/>
        <v>680</v>
      </c>
      <c r="W688" s="72">
        <f t="shared" si="219"/>
        <v>680</v>
      </c>
      <c r="X688" s="72">
        <f t="shared" si="220"/>
        <v>680</v>
      </c>
      <c r="Y688" s="72">
        <f t="shared" si="221"/>
        <v>680</v>
      </c>
      <c r="Z688" s="72">
        <f t="shared" si="222"/>
        <v>680</v>
      </c>
      <c r="AA688" s="72">
        <f t="shared" si="223"/>
        <v>680</v>
      </c>
      <c r="AB688" s="72">
        <f t="shared" si="224"/>
        <v>680</v>
      </c>
      <c r="AC688" s="72">
        <f t="shared" si="225"/>
        <v>680</v>
      </c>
      <c r="AD688" s="72">
        <f t="shared" si="226"/>
        <v>680</v>
      </c>
      <c r="AE688" s="72">
        <f t="shared" si="227"/>
        <v>680</v>
      </c>
      <c r="AF688" s="70"/>
      <c r="AG688" s="70"/>
      <c r="AH688" s="70"/>
      <c r="AI688" s="70"/>
    </row>
    <row r="689" spans="1:35" x14ac:dyDescent="0.45">
      <c r="A689" s="70"/>
      <c r="B689" s="52"/>
      <c r="C689" s="52"/>
      <c r="D689" s="52" t="s">
        <v>1456</v>
      </c>
      <c r="E689" s="87" t="s">
        <v>1457</v>
      </c>
      <c r="F689" s="70" t="s">
        <v>1458</v>
      </c>
      <c r="G689" s="85">
        <v>620</v>
      </c>
      <c r="H689" s="70"/>
      <c r="I689" s="70"/>
      <c r="J689" s="70"/>
      <c r="K689" s="72"/>
      <c r="L689" s="72">
        <f t="shared" si="208"/>
        <v>620</v>
      </c>
      <c r="M689" s="72">
        <f t="shared" si="209"/>
        <v>620</v>
      </c>
      <c r="N689" s="72">
        <f t="shared" si="210"/>
        <v>620</v>
      </c>
      <c r="O689" s="72">
        <f t="shared" si="211"/>
        <v>620</v>
      </c>
      <c r="P689" s="72">
        <f t="shared" si="212"/>
        <v>620</v>
      </c>
      <c r="Q689" s="72">
        <f t="shared" si="213"/>
        <v>620</v>
      </c>
      <c r="R689" s="72">
        <f t="shared" si="214"/>
        <v>620</v>
      </c>
      <c r="S689" s="72">
        <f t="shared" si="215"/>
        <v>620</v>
      </c>
      <c r="T689" s="72">
        <f t="shared" si="216"/>
        <v>620</v>
      </c>
      <c r="U689" s="72">
        <f t="shared" si="217"/>
        <v>620</v>
      </c>
      <c r="V689" s="72">
        <f t="shared" si="218"/>
        <v>620</v>
      </c>
      <c r="W689" s="72">
        <f t="shared" si="219"/>
        <v>620</v>
      </c>
      <c r="X689" s="72">
        <f t="shared" si="220"/>
        <v>620</v>
      </c>
      <c r="Y689" s="72">
        <f t="shared" si="221"/>
        <v>620</v>
      </c>
      <c r="Z689" s="72">
        <f t="shared" si="222"/>
        <v>620</v>
      </c>
      <c r="AA689" s="72">
        <f t="shared" si="223"/>
        <v>620</v>
      </c>
      <c r="AB689" s="72">
        <f t="shared" si="224"/>
        <v>620</v>
      </c>
      <c r="AC689" s="72">
        <f t="shared" si="225"/>
        <v>620</v>
      </c>
      <c r="AD689" s="72">
        <f t="shared" si="226"/>
        <v>620</v>
      </c>
      <c r="AE689" s="72">
        <f t="shared" si="227"/>
        <v>620</v>
      </c>
      <c r="AF689" s="70"/>
      <c r="AG689" s="70"/>
      <c r="AH689" s="70"/>
      <c r="AI689" s="70"/>
    </row>
    <row r="690" spans="1:35" x14ac:dyDescent="0.45">
      <c r="A690" s="70"/>
      <c r="B690" s="52"/>
      <c r="C690" s="52"/>
      <c r="D690" s="52" t="s">
        <v>1459</v>
      </c>
      <c r="E690" s="87" t="s">
        <v>1460</v>
      </c>
      <c r="F690" s="70" t="s">
        <v>1461</v>
      </c>
      <c r="G690" s="85">
        <v>110</v>
      </c>
      <c r="H690" s="70"/>
      <c r="I690" s="70"/>
      <c r="J690" s="70"/>
      <c r="K690" s="72"/>
      <c r="L690" s="72">
        <f t="shared" si="208"/>
        <v>110</v>
      </c>
      <c r="M690" s="72">
        <f t="shared" si="209"/>
        <v>110</v>
      </c>
      <c r="N690" s="72">
        <f t="shared" si="210"/>
        <v>110</v>
      </c>
      <c r="O690" s="72">
        <f t="shared" si="211"/>
        <v>110</v>
      </c>
      <c r="P690" s="72">
        <f t="shared" si="212"/>
        <v>110</v>
      </c>
      <c r="Q690" s="72">
        <f t="shared" si="213"/>
        <v>110</v>
      </c>
      <c r="R690" s="72">
        <f t="shared" si="214"/>
        <v>110</v>
      </c>
      <c r="S690" s="72">
        <f t="shared" si="215"/>
        <v>110</v>
      </c>
      <c r="T690" s="72">
        <f t="shared" si="216"/>
        <v>110</v>
      </c>
      <c r="U690" s="72">
        <f t="shared" si="217"/>
        <v>110</v>
      </c>
      <c r="V690" s="72">
        <f t="shared" si="218"/>
        <v>110</v>
      </c>
      <c r="W690" s="72">
        <f t="shared" si="219"/>
        <v>110</v>
      </c>
      <c r="X690" s="72">
        <f t="shared" si="220"/>
        <v>110</v>
      </c>
      <c r="Y690" s="72">
        <f t="shared" si="221"/>
        <v>110</v>
      </c>
      <c r="Z690" s="72">
        <f t="shared" si="222"/>
        <v>110</v>
      </c>
      <c r="AA690" s="72">
        <f t="shared" si="223"/>
        <v>110</v>
      </c>
      <c r="AB690" s="72">
        <f t="shared" si="224"/>
        <v>110</v>
      </c>
      <c r="AC690" s="72">
        <f t="shared" si="225"/>
        <v>110</v>
      </c>
      <c r="AD690" s="72">
        <f t="shared" si="226"/>
        <v>110</v>
      </c>
      <c r="AE690" s="72">
        <f t="shared" si="227"/>
        <v>110</v>
      </c>
      <c r="AF690" s="70"/>
      <c r="AG690" s="70"/>
      <c r="AH690" s="70"/>
      <c r="AI690" s="70"/>
    </row>
    <row r="691" spans="1:35" x14ac:dyDescent="0.45">
      <c r="A691" s="70"/>
      <c r="B691" s="52"/>
      <c r="C691" s="52"/>
      <c r="D691" s="52" t="s">
        <v>1462</v>
      </c>
      <c r="E691" s="87" t="s">
        <v>1463</v>
      </c>
      <c r="F691" s="70" t="s">
        <v>1464</v>
      </c>
      <c r="G691" s="85">
        <v>450</v>
      </c>
      <c r="H691" s="70"/>
      <c r="I691" s="70"/>
      <c r="J691" s="70"/>
      <c r="K691" s="72"/>
      <c r="L691" s="72">
        <f t="shared" si="208"/>
        <v>450</v>
      </c>
      <c r="M691" s="72">
        <f t="shared" si="209"/>
        <v>450</v>
      </c>
      <c r="N691" s="72">
        <f t="shared" si="210"/>
        <v>450</v>
      </c>
      <c r="O691" s="72">
        <f t="shared" si="211"/>
        <v>450</v>
      </c>
      <c r="P691" s="72">
        <f t="shared" si="212"/>
        <v>450</v>
      </c>
      <c r="Q691" s="72">
        <f t="shared" si="213"/>
        <v>450</v>
      </c>
      <c r="R691" s="72">
        <f t="shared" si="214"/>
        <v>450</v>
      </c>
      <c r="S691" s="72">
        <f t="shared" si="215"/>
        <v>450</v>
      </c>
      <c r="T691" s="72">
        <f t="shared" si="216"/>
        <v>450</v>
      </c>
      <c r="U691" s="72">
        <f t="shared" si="217"/>
        <v>450</v>
      </c>
      <c r="V691" s="72">
        <f t="shared" si="218"/>
        <v>450</v>
      </c>
      <c r="W691" s="72">
        <f t="shared" si="219"/>
        <v>450</v>
      </c>
      <c r="X691" s="72">
        <f t="shared" si="220"/>
        <v>450</v>
      </c>
      <c r="Y691" s="72">
        <f t="shared" si="221"/>
        <v>450</v>
      </c>
      <c r="Z691" s="72">
        <f t="shared" si="222"/>
        <v>450</v>
      </c>
      <c r="AA691" s="72">
        <f t="shared" si="223"/>
        <v>450</v>
      </c>
      <c r="AB691" s="72">
        <f t="shared" si="224"/>
        <v>450</v>
      </c>
      <c r="AC691" s="72">
        <f t="shared" si="225"/>
        <v>450</v>
      </c>
      <c r="AD691" s="72">
        <f t="shared" si="226"/>
        <v>450</v>
      </c>
      <c r="AE691" s="72">
        <f t="shared" si="227"/>
        <v>450</v>
      </c>
      <c r="AF691" s="70"/>
      <c r="AG691" s="70"/>
      <c r="AH691" s="70"/>
      <c r="AI691" s="70"/>
    </row>
    <row r="692" spans="1:35" x14ac:dyDescent="0.45">
      <c r="A692" s="70"/>
      <c r="B692" s="52"/>
      <c r="C692" s="52"/>
      <c r="D692" s="52" t="s">
        <v>1465</v>
      </c>
      <c r="E692" s="87" t="s">
        <v>1466</v>
      </c>
      <c r="F692" s="70" t="s">
        <v>1467</v>
      </c>
      <c r="G692" s="85">
        <v>380</v>
      </c>
      <c r="H692" s="70"/>
      <c r="I692" s="70"/>
      <c r="J692" s="70"/>
      <c r="K692" s="72"/>
      <c r="L692" s="72">
        <f t="shared" si="208"/>
        <v>380</v>
      </c>
      <c r="M692" s="72">
        <f t="shared" si="209"/>
        <v>380</v>
      </c>
      <c r="N692" s="72">
        <f t="shared" si="210"/>
        <v>380</v>
      </c>
      <c r="O692" s="72">
        <f t="shared" si="211"/>
        <v>380</v>
      </c>
      <c r="P692" s="72">
        <f t="shared" si="212"/>
        <v>380</v>
      </c>
      <c r="Q692" s="72">
        <f t="shared" si="213"/>
        <v>380</v>
      </c>
      <c r="R692" s="72">
        <f t="shared" si="214"/>
        <v>380</v>
      </c>
      <c r="S692" s="72">
        <f t="shared" si="215"/>
        <v>380</v>
      </c>
      <c r="T692" s="72">
        <f t="shared" si="216"/>
        <v>380</v>
      </c>
      <c r="U692" s="72">
        <f t="shared" si="217"/>
        <v>380</v>
      </c>
      <c r="V692" s="72">
        <f t="shared" si="218"/>
        <v>380</v>
      </c>
      <c r="W692" s="72">
        <f t="shared" si="219"/>
        <v>380</v>
      </c>
      <c r="X692" s="72">
        <f t="shared" si="220"/>
        <v>380</v>
      </c>
      <c r="Y692" s="72">
        <f t="shared" si="221"/>
        <v>380</v>
      </c>
      <c r="Z692" s="72">
        <f t="shared" si="222"/>
        <v>380</v>
      </c>
      <c r="AA692" s="72">
        <f t="shared" si="223"/>
        <v>380</v>
      </c>
      <c r="AB692" s="72">
        <f t="shared" si="224"/>
        <v>380</v>
      </c>
      <c r="AC692" s="72">
        <f t="shared" si="225"/>
        <v>380</v>
      </c>
      <c r="AD692" s="72">
        <f t="shared" si="226"/>
        <v>380</v>
      </c>
      <c r="AE692" s="72">
        <f t="shared" si="227"/>
        <v>380</v>
      </c>
      <c r="AF692" s="70"/>
      <c r="AG692" s="70"/>
      <c r="AH692" s="70"/>
      <c r="AI692" s="70"/>
    </row>
    <row r="693" spans="1:35" x14ac:dyDescent="0.45">
      <c r="A693" s="70"/>
      <c r="B693" s="52"/>
      <c r="C693" s="52"/>
      <c r="D693" s="52" t="s">
        <v>1468</v>
      </c>
      <c r="E693" s="87" t="s">
        <v>1469</v>
      </c>
      <c r="F693" s="70" t="s">
        <v>1470</v>
      </c>
      <c r="G693" s="85">
        <v>320</v>
      </c>
      <c r="H693" s="70"/>
      <c r="I693" s="70"/>
      <c r="J693" s="70"/>
      <c r="K693" s="72"/>
      <c r="L693" s="72">
        <f t="shared" si="208"/>
        <v>320</v>
      </c>
      <c r="M693" s="72">
        <f t="shared" si="209"/>
        <v>320</v>
      </c>
      <c r="N693" s="72">
        <f t="shared" si="210"/>
        <v>320</v>
      </c>
      <c r="O693" s="72">
        <f t="shared" si="211"/>
        <v>320</v>
      </c>
      <c r="P693" s="72">
        <f t="shared" si="212"/>
        <v>320</v>
      </c>
      <c r="Q693" s="72">
        <f t="shared" si="213"/>
        <v>320</v>
      </c>
      <c r="R693" s="72">
        <f t="shared" si="214"/>
        <v>320</v>
      </c>
      <c r="S693" s="72">
        <f t="shared" si="215"/>
        <v>320</v>
      </c>
      <c r="T693" s="72">
        <f t="shared" si="216"/>
        <v>320</v>
      </c>
      <c r="U693" s="72">
        <f t="shared" si="217"/>
        <v>320</v>
      </c>
      <c r="V693" s="72">
        <f t="shared" si="218"/>
        <v>320</v>
      </c>
      <c r="W693" s="72">
        <f t="shared" si="219"/>
        <v>320</v>
      </c>
      <c r="X693" s="72">
        <f t="shared" si="220"/>
        <v>320</v>
      </c>
      <c r="Y693" s="72">
        <f t="shared" si="221"/>
        <v>320</v>
      </c>
      <c r="Z693" s="72">
        <f t="shared" si="222"/>
        <v>320</v>
      </c>
      <c r="AA693" s="72">
        <f t="shared" si="223"/>
        <v>320</v>
      </c>
      <c r="AB693" s="72">
        <f t="shared" si="224"/>
        <v>320</v>
      </c>
      <c r="AC693" s="72">
        <f t="shared" si="225"/>
        <v>320</v>
      </c>
      <c r="AD693" s="72">
        <f t="shared" si="226"/>
        <v>320</v>
      </c>
      <c r="AE693" s="72">
        <f t="shared" si="227"/>
        <v>320</v>
      </c>
      <c r="AF693" s="70"/>
      <c r="AG693" s="70"/>
      <c r="AH693" s="70"/>
      <c r="AI693" s="70"/>
    </row>
    <row r="694" spans="1:35" x14ac:dyDescent="0.45">
      <c r="A694" s="70"/>
      <c r="B694" s="52"/>
      <c r="C694" s="52"/>
      <c r="D694" s="52" t="s">
        <v>1471</v>
      </c>
      <c r="E694" s="87" t="s">
        <v>1472</v>
      </c>
      <c r="F694" s="70" t="s">
        <v>1473</v>
      </c>
      <c r="G694" s="85">
        <v>2400</v>
      </c>
      <c r="H694" s="70"/>
      <c r="I694" s="70"/>
      <c r="J694" s="70"/>
      <c r="K694" s="72"/>
      <c r="L694" s="72">
        <f t="shared" si="208"/>
        <v>2400</v>
      </c>
      <c r="M694" s="72">
        <f t="shared" si="209"/>
        <v>2400</v>
      </c>
      <c r="N694" s="72">
        <f t="shared" si="210"/>
        <v>2400</v>
      </c>
      <c r="O694" s="72">
        <f t="shared" si="211"/>
        <v>2400</v>
      </c>
      <c r="P694" s="72">
        <f t="shared" si="212"/>
        <v>2400</v>
      </c>
      <c r="Q694" s="72">
        <f t="shared" si="213"/>
        <v>2400</v>
      </c>
      <c r="R694" s="72">
        <f t="shared" si="214"/>
        <v>2400</v>
      </c>
      <c r="S694" s="72">
        <f t="shared" si="215"/>
        <v>2400</v>
      </c>
      <c r="T694" s="72">
        <f t="shared" si="216"/>
        <v>2400</v>
      </c>
      <c r="U694" s="72">
        <f t="shared" si="217"/>
        <v>2400</v>
      </c>
      <c r="V694" s="72">
        <f t="shared" si="218"/>
        <v>2400</v>
      </c>
      <c r="W694" s="72">
        <f t="shared" si="219"/>
        <v>2400</v>
      </c>
      <c r="X694" s="72">
        <f t="shared" si="220"/>
        <v>2400</v>
      </c>
      <c r="Y694" s="72">
        <f t="shared" si="221"/>
        <v>2400</v>
      </c>
      <c r="Z694" s="72">
        <f t="shared" si="222"/>
        <v>2400</v>
      </c>
      <c r="AA694" s="72">
        <f t="shared" si="223"/>
        <v>2400</v>
      </c>
      <c r="AB694" s="72">
        <f t="shared" si="224"/>
        <v>2400</v>
      </c>
      <c r="AC694" s="72">
        <f t="shared" si="225"/>
        <v>2400</v>
      </c>
      <c r="AD694" s="72">
        <f t="shared" si="226"/>
        <v>2400</v>
      </c>
      <c r="AE694" s="72">
        <f t="shared" si="227"/>
        <v>2400</v>
      </c>
      <c r="AF694" s="70"/>
      <c r="AG694" s="70"/>
      <c r="AH694" s="70"/>
      <c r="AI694" s="70"/>
    </row>
    <row r="695" spans="1:35" x14ac:dyDescent="0.45">
      <c r="A695" s="70"/>
      <c r="B695" s="52"/>
      <c r="C695" s="52"/>
      <c r="D695" s="52"/>
      <c r="E695" s="70"/>
      <c r="F695" s="70"/>
      <c r="G695" s="70"/>
      <c r="H695" s="70"/>
      <c r="I695" s="70"/>
      <c r="J695" s="70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0"/>
      <c r="AG695" s="70"/>
      <c r="AH695" s="70"/>
      <c r="AI695" s="70"/>
    </row>
    <row r="696" spans="1:35" x14ac:dyDescent="0.45">
      <c r="A696" s="70"/>
      <c r="B696" s="52"/>
      <c r="C696" s="52"/>
      <c r="D696" s="52"/>
      <c r="E696" s="70"/>
      <c r="F696" s="70"/>
      <c r="G696" s="70"/>
      <c r="H696" s="70"/>
      <c r="I696" s="70"/>
      <c r="J696" s="70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0"/>
      <c r="AG696" s="70"/>
      <c r="AH696" s="70"/>
      <c r="AI696" s="70"/>
    </row>
    <row r="697" spans="1:35" x14ac:dyDescent="0.45">
      <c r="A697" s="70"/>
      <c r="B697" s="52"/>
      <c r="C697" s="73" t="s">
        <v>1474</v>
      </c>
      <c r="D697" s="73"/>
      <c r="E697" s="72" t="s">
        <v>1896</v>
      </c>
      <c r="F697" s="70" t="s">
        <v>1475</v>
      </c>
      <c r="G697" s="70" t="s">
        <v>1476</v>
      </c>
      <c r="H697" s="71"/>
      <c r="I697" s="71"/>
      <c r="J697" s="71"/>
      <c r="K697" s="72"/>
      <c r="L697" s="74">
        <f t="shared" ref="L697:AE697" si="228">L645</f>
        <v>2022</v>
      </c>
      <c r="M697" s="74">
        <f t="shared" si="228"/>
        <v>2023</v>
      </c>
      <c r="N697" s="74">
        <f t="shared" si="228"/>
        <v>2024</v>
      </c>
      <c r="O697" s="74">
        <f t="shared" si="228"/>
        <v>2025</v>
      </c>
      <c r="P697" s="74">
        <f t="shared" si="228"/>
        <v>2026</v>
      </c>
      <c r="Q697" s="74">
        <f t="shared" si="228"/>
        <v>2027</v>
      </c>
      <c r="R697" s="74">
        <f t="shared" si="228"/>
        <v>2028</v>
      </c>
      <c r="S697" s="74">
        <f t="shared" si="228"/>
        <v>2029</v>
      </c>
      <c r="T697" s="74">
        <f t="shared" si="228"/>
        <v>2030</v>
      </c>
      <c r="U697" s="74">
        <f t="shared" si="228"/>
        <v>2031</v>
      </c>
      <c r="V697" s="74">
        <f t="shared" si="228"/>
        <v>2032</v>
      </c>
      <c r="W697" s="74">
        <f t="shared" si="228"/>
        <v>2033</v>
      </c>
      <c r="X697" s="74">
        <f t="shared" si="228"/>
        <v>2034</v>
      </c>
      <c r="Y697" s="74">
        <f t="shared" si="228"/>
        <v>2035</v>
      </c>
      <c r="Z697" s="74">
        <f t="shared" si="228"/>
        <v>2036</v>
      </c>
      <c r="AA697" s="74">
        <f t="shared" si="228"/>
        <v>2037</v>
      </c>
      <c r="AB697" s="74">
        <f t="shared" si="228"/>
        <v>2038</v>
      </c>
      <c r="AC697" s="74">
        <f t="shared" si="228"/>
        <v>2039</v>
      </c>
      <c r="AD697" s="74">
        <f t="shared" si="228"/>
        <v>2040</v>
      </c>
      <c r="AE697" s="74">
        <f t="shared" si="228"/>
        <v>2041</v>
      </c>
      <c r="AF697" s="74"/>
      <c r="AG697" s="70"/>
      <c r="AH697" s="70"/>
      <c r="AI697" s="70"/>
    </row>
    <row r="698" spans="1:35" x14ac:dyDescent="0.45">
      <c r="A698" s="70"/>
      <c r="B698" s="52"/>
      <c r="C698" s="52"/>
      <c r="D698" s="52" t="s">
        <v>1450</v>
      </c>
      <c r="E698" s="72">
        <f t="shared" ref="E698:E705" si="229">$H663*$H$672+$I663*$I$672</f>
        <v>0.69003000000000003</v>
      </c>
      <c r="F698" s="71">
        <f>E653</f>
        <v>1</v>
      </c>
      <c r="G698" s="71">
        <f>F653</f>
        <v>0</v>
      </c>
      <c r="H698" s="70"/>
      <c r="I698" s="70"/>
      <c r="J698" s="70"/>
      <c r="K698" s="72"/>
      <c r="L698" s="70">
        <f>(F698*L646+G698*L647)*E698</f>
        <v>0</v>
      </c>
      <c r="M698" s="70">
        <f>(F698*M646+G698*M647)*E698</f>
        <v>0</v>
      </c>
      <c r="N698" s="70">
        <f>(F698*N646+G698*N647)*E698</f>
        <v>0</v>
      </c>
      <c r="O698" s="70">
        <f>(F698*O646+G698*O647)*E698</f>
        <v>0</v>
      </c>
      <c r="P698" s="70">
        <f>(F698*P646+G698*P647)*E698</f>
        <v>0</v>
      </c>
      <c r="Q698" s="70">
        <f>(F698*Q646+G698*Q647)*E698</f>
        <v>8.625375</v>
      </c>
      <c r="R698" s="70">
        <f>(F698*R646+G698*R647)*E698</f>
        <v>17.25075</v>
      </c>
      <c r="S698" s="70">
        <f>(F698*S646+G698*S647)*E698</f>
        <v>25.876125000000002</v>
      </c>
      <c r="T698" s="70">
        <f>(F698*T646+G698*T647)*E698</f>
        <v>34.5015</v>
      </c>
      <c r="U698" s="70">
        <f>(F698*U646+G698*U647)*E698</f>
        <v>43.126875000000005</v>
      </c>
      <c r="V698" s="70">
        <f>(F698*V646+G698*V647)*E698</f>
        <v>51.752250000000004</v>
      </c>
      <c r="W698" s="70">
        <f>(F698*W646+G698*W647)*E698</f>
        <v>60.377625000000002</v>
      </c>
      <c r="X698" s="70">
        <f>(F698*X646+G698*X647)*E698</f>
        <v>69.003</v>
      </c>
      <c r="Y698" s="70">
        <f>(F698*Y646+G698*Y647)*E698</f>
        <v>77.628375000000005</v>
      </c>
      <c r="Z698" s="70">
        <f>(F698*Z646+G698*Z647)*E698</f>
        <v>86.253750000000011</v>
      </c>
      <c r="AA698" s="70">
        <f>(F698*AA646+G698*AA647)*E698</f>
        <v>94.879125000000002</v>
      </c>
      <c r="AB698" s="70">
        <f>(F698*AB646+G698*AB647)*E698</f>
        <v>103.50450000000001</v>
      </c>
      <c r="AC698" s="70">
        <f>(F698*AC646+G698*AC647)*E698</f>
        <v>112.129875</v>
      </c>
      <c r="AD698" s="70">
        <f>(F698*AD646+G698*AD647)*E698</f>
        <v>120.75525</v>
      </c>
      <c r="AE698" s="70">
        <f>(F698*AE646+G698*AE647)*E698</f>
        <v>129.38062500000001</v>
      </c>
      <c r="AF698" s="70"/>
      <c r="AG698" s="70"/>
      <c r="AH698" s="70"/>
      <c r="AI698" s="70"/>
    </row>
    <row r="699" spans="1:35" x14ac:dyDescent="0.45">
      <c r="A699" s="70"/>
      <c r="B699" s="52"/>
      <c r="C699" s="52"/>
      <c r="D699" s="52" t="s">
        <v>1453</v>
      </c>
      <c r="E699" s="72">
        <f t="shared" si="229"/>
        <v>0.14025000000000001</v>
      </c>
      <c r="F699" s="71">
        <f>E653</f>
        <v>1</v>
      </c>
      <c r="G699" s="71">
        <f>F653</f>
        <v>0</v>
      </c>
      <c r="H699" s="70"/>
      <c r="I699" s="70"/>
      <c r="J699" s="70"/>
      <c r="K699" s="72"/>
      <c r="L699" s="70">
        <f>(F699*L646+G699*L647)*E699</f>
        <v>0</v>
      </c>
      <c r="M699" s="70">
        <f>(F699*M646+G699*M647)*E699</f>
        <v>0</v>
      </c>
      <c r="N699" s="70">
        <f>(F699*N646+G699*N647)*E699</f>
        <v>0</v>
      </c>
      <c r="O699" s="70">
        <f>(F699*O646+G699*O647)*E699</f>
        <v>0</v>
      </c>
      <c r="P699" s="70">
        <f>(F699*P646+G699*P647)*E699</f>
        <v>0</v>
      </c>
      <c r="Q699" s="70">
        <f>(F699*Q646+G699*Q647)*E699</f>
        <v>1.7531250000000003</v>
      </c>
      <c r="R699" s="70">
        <f>(F699*R646+G699*R647)*E699</f>
        <v>3.5062500000000005</v>
      </c>
      <c r="S699" s="70">
        <f>(F699*S646+G699*S647)*E699</f>
        <v>5.2593750000000004</v>
      </c>
      <c r="T699" s="70">
        <f>(F699*T646+G699*T647)*E699</f>
        <v>7.0125000000000011</v>
      </c>
      <c r="U699" s="70">
        <f>(F699*U646+G699*U647)*E699</f>
        <v>8.765625</v>
      </c>
      <c r="V699" s="70">
        <f>(F699*V646+G699*V647)*E699</f>
        <v>10.518750000000001</v>
      </c>
      <c r="W699" s="70">
        <f>(F699*W646+G699*W647)*E699</f>
        <v>12.271875000000001</v>
      </c>
      <c r="X699" s="70">
        <f>(F699*X646+G699*X647)*E699</f>
        <v>14.025000000000002</v>
      </c>
      <c r="Y699" s="70">
        <f>(F699*Y646+G699*Y647)*E699</f>
        <v>15.778125000000001</v>
      </c>
      <c r="Z699" s="70">
        <f>(F699*Z646+G699*Z647)*E699</f>
        <v>17.53125</v>
      </c>
      <c r="AA699" s="70">
        <f>(F699*AA646+G699*AA647)*E699</f>
        <v>19.284375000000001</v>
      </c>
      <c r="AB699" s="70">
        <f>(F699*AB646+G699*AB647)*E699</f>
        <v>21.037500000000001</v>
      </c>
      <c r="AC699" s="70">
        <f>(F699*AC646+G699*AC647)*E699</f>
        <v>22.790625000000002</v>
      </c>
      <c r="AD699" s="70">
        <f>(F699*AD646+G699*AD647)*E699</f>
        <v>24.543750000000003</v>
      </c>
      <c r="AE699" s="70">
        <f>(F699*AE646+G699*AE647)*E699</f>
        <v>26.296875000000004</v>
      </c>
      <c r="AF699" s="70"/>
      <c r="AG699" s="70"/>
      <c r="AH699" s="70"/>
      <c r="AI699" s="70"/>
    </row>
    <row r="700" spans="1:35" x14ac:dyDescent="0.45">
      <c r="A700" s="70"/>
      <c r="B700" s="52"/>
      <c r="C700" s="52"/>
      <c r="D700" s="52" t="s">
        <v>1456</v>
      </c>
      <c r="E700" s="72">
        <f t="shared" si="229"/>
        <v>1.9220000000000002</v>
      </c>
      <c r="F700" s="71">
        <f>E653</f>
        <v>1</v>
      </c>
      <c r="G700" s="71">
        <f>F653</f>
        <v>0</v>
      </c>
      <c r="H700" s="70"/>
      <c r="I700" s="70"/>
      <c r="J700" s="70"/>
      <c r="K700" s="72"/>
      <c r="L700" s="70">
        <f>(F700*L646+G700*L647)*E700</f>
        <v>0</v>
      </c>
      <c r="M700" s="70">
        <f>(F700*M646+G700*M647)*E700</f>
        <v>0</v>
      </c>
      <c r="N700" s="70">
        <f>(F700*N646+G700*N647)*E700</f>
        <v>0</v>
      </c>
      <c r="O700" s="70">
        <f>(F700*O646+G700*O647)*E700</f>
        <v>0</v>
      </c>
      <c r="P700" s="70">
        <f>(F700*P646+G700*P647)*E700</f>
        <v>0</v>
      </c>
      <c r="Q700" s="70">
        <f>(F700*Q646+G700*Q647)*E700</f>
        <v>24.025000000000002</v>
      </c>
      <c r="R700" s="70">
        <f>(F700*R646+G700*R647)*E700</f>
        <v>48.050000000000004</v>
      </c>
      <c r="S700" s="70">
        <f>(F700*S646+G700*S647)*E700</f>
        <v>72.075000000000003</v>
      </c>
      <c r="T700" s="70">
        <f>(F700*T646+G700*T647)*E700</f>
        <v>96.100000000000009</v>
      </c>
      <c r="U700" s="70">
        <f>(F700*U646+G700*U647)*E700</f>
        <v>120.12500000000001</v>
      </c>
      <c r="V700" s="70">
        <f>(F700*V646+G700*V647)*E700</f>
        <v>144.15</v>
      </c>
      <c r="W700" s="70">
        <f>(F700*W646+G700*W647)*E700</f>
        <v>168.17500000000001</v>
      </c>
      <c r="X700" s="70">
        <f>(F700*X646+G700*X647)*E700</f>
        <v>192.20000000000002</v>
      </c>
      <c r="Y700" s="70">
        <f>(F700*Y646+G700*Y647)*E700</f>
        <v>216.22500000000002</v>
      </c>
      <c r="Z700" s="70">
        <f>(F700*Z646+G700*Z647)*E700</f>
        <v>240.25000000000003</v>
      </c>
      <c r="AA700" s="70">
        <f>(F700*AA646+G700*AA647)*E700</f>
        <v>264.27500000000003</v>
      </c>
      <c r="AB700" s="70">
        <f>(F700*AB646+G700*AB647)*E700</f>
        <v>288.3</v>
      </c>
      <c r="AC700" s="70">
        <f>(F700*AC646+G700*AC647)*E700</f>
        <v>312.32500000000005</v>
      </c>
      <c r="AD700" s="70">
        <f>(F700*AD646+G700*AD647)*E700</f>
        <v>336.35</v>
      </c>
      <c r="AE700" s="70">
        <f>(F700*AE646+G700*AE647)*E700</f>
        <v>360.37500000000006</v>
      </c>
      <c r="AF700" s="70"/>
      <c r="AG700" s="70"/>
      <c r="AH700" s="70"/>
      <c r="AI700" s="70"/>
    </row>
    <row r="701" spans="1:35" x14ac:dyDescent="0.45">
      <c r="A701" s="70"/>
      <c r="B701" s="52"/>
      <c r="C701" s="52"/>
      <c r="D701" s="52" t="s">
        <v>1459</v>
      </c>
      <c r="E701" s="72">
        <f t="shared" si="229"/>
        <v>0.2883</v>
      </c>
      <c r="F701" s="71">
        <f>E656</f>
        <v>1</v>
      </c>
      <c r="G701" s="71">
        <f>F656</f>
        <v>0</v>
      </c>
      <c r="H701" s="70"/>
      <c r="I701" s="70"/>
      <c r="J701" s="70"/>
      <c r="K701" s="72"/>
      <c r="L701" s="70">
        <f>(F701*L646+G701*L647)*E701</f>
        <v>0</v>
      </c>
      <c r="M701" s="70">
        <f>(F701*M646+G701*M647)*E701</f>
        <v>0</v>
      </c>
      <c r="N701" s="70">
        <f>(F701*N646+G701*N647)*E701</f>
        <v>0</v>
      </c>
      <c r="O701" s="70">
        <f>(F701*O646+G701*O647)*E701</f>
        <v>0</v>
      </c>
      <c r="P701" s="70">
        <f>(F701*P646+G701*P647)*E701</f>
        <v>0</v>
      </c>
      <c r="Q701" s="70">
        <f>(F701*Q646+G701*Q647)*E701</f>
        <v>3.6037499999999998</v>
      </c>
      <c r="R701" s="70">
        <f>(F701*R646+G701*R647)*E701</f>
        <v>7.2074999999999996</v>
      </c>
      <c r="S701" s="70">
        <f>(F701*S646+G701*S647)*E701</f>
        <v>10.811249999999999</v>
      </c>
      <c r="T701" s="70">
        <f>(F701*T646+G701*T647)*E701</f>
        <v>14.414999999999999</v>
      </c>
      <c r="U701" s="70">
        <f>(F701*U646+G701*U647)*E701</f>
        <v>18.018750000000001</v>
      </c>
      <c r="V701" s="70">
        <f>(F701*V646+G701*V647)*E701</f>
        <v>21.622499999999999</v>
      </c>
      <c r="W701" s="70">
        <f>(F701*W646+G701*W647)*E701</f>
        <v>25.22625</v>
      </c>
      <c r="X701" s="70">
        <f>(F701*X646+G701*X647)*E701</f>
        <v>28.83</v>
      </c>
      <c r="Y701" s="70">
        <f>(F701*Y646+G701*Y647)*E701</f>
        <v>32.433750000000003</v>
      </c>
      <c r="Z701" s="70">
        <f>(F701*Z646+G701*Z647)*E701</f>
        <v>36.037500000000001</v>
      </c>
      <c r="AA701" s="70">
        <f>(F701*AA646+G701*AA647)*E701</f>
        <v>39.641249999999999</v>
      </c>
      <c r="AB701" s="70">
        <f>(F701*AB646+G701*AB647)*E701</f>
        <v>43.244999999999997</v>
      </c>
      <c r="AC701" s="70">
        <f>(F701*AC646+G701*AC647)*E701</f>
        <v>46.848750000000003</v>
      </c>
      <c r="AD701" s="70">
        <f>(F701*AD646+G701*AD647)*E701</f>
        <v>50.452500000000001</v>
      </c>
      <c r="AE701" s="70">
        <f>(F701*AE646+G701*AE647)*E701</f>
        <v>54.056249999999999</v>
      </c>
      <c r="AF701" s="70"/>
      <c r="AG701" s="70"/>
      <c r="AH701" s="70"/>
      <c r="AI701" s="70"/>
    </row>
    <row r="702" spans="1:35" x14ac:dyDescent="0.45">
      <c r="A702" s="70"/>
      <c r="B702" s="52"/>
      <c r="C702" s="52"/>
      <c r="D702" s="52" t="s">
        <v>1462</v>
      </c>
      <c r="E702" s="72">
        <f t="shared" si="229"/>
        <v>1.8512999999999999</v>
      </c>
      <c r="F702" s="71">
        <f>E652</f>
        <v>1</v>
      </c>
      <c r="G702" s="71">
        <f>F652</f>
        <v>0</v>
      </c>
      <c r="H702" s="70"/>
      <c r="I702" s="70"/>
      <c r="J702" s="70"/>
      <c r="K702" s="72"/>
      <c r="L702" s="70">
        <f>(F702*L646+G702*L647)*E702</f>
        <v>0</v>
      </c>
      <c r="M702" s="70">
        <f>(F702*M646+G702*M647)*E702</f>
        <v>0</v>
      </c>
      <c r="N702" s="70">
        <f>(F702*N646+G702*N647)*E702</f>
        <v>0</v>
      </c>
      <c r="O702" s="70">
        <f>(F702*O646+G702*O647)*E702</f>
        <v>0</v>
      </c>
      <c r="P702" s="70">
        <f>(F702*P646+G702*P647)*E702</f>
        <v>0</v>
      </c>
      <c r="Q702" s="70">
        <f>(F702*Q646+G702*Q647)*E702</f>
        <v>23.141249999999999</v>
      </c>
      <c r="R702" s="70">
        <f>(F702*R646+G702*R647)*E702</f>
        <v>46.282499999999999</v>
      </c>
      <c r="S702" s="70">
        <f>(F702*S646+G702*S647)*E702</f>
        <v>69.423749999999998</v>
      </c>
      <c r="T702" s="70">
        <f>(F702*T646+G702*T647)*E702</f>
        <v>92.564999999999998</v>
      </c>
      <c r="U702" s="70">
        <f>(F702*U646+G702*U647)*E702</f>
        <v>115.70625</v>
      </c>
      <c r="V702" s="70">
        <f>(F702*V646+G702*V647)*E702</f>
        <v>138.8475</v>
      </c>
      <c r="W702" s="70">
        <f>(F702*W646+G702*W647)*E702</f>
        <v>161.98874999999998</v>
      </c>
      <c r="X702" s="70">
        <f>(F702*X646+G702*X647)*E702</f>
        <v>185.13</v>
      </c>
      <c r="Y702" s="70">
        <f>(F702*Y646+G702*Y647)*E702</f>
        <v>208.27124999999998</v>
      </c>
      <c r="Z702" s="70">
        <f>(F702*Z646+G702*Z647)*E702</f>
        <v>231.41249999999999</v>
      </c>
      <c r="AA702" s="70">
        <f>(F702*AA646+G702*AA647)*E702</f>
        <v>254.55374999999998</v>
      </c>
      <c r="AB702" s="70">
        <f>(F702*AB646+G702*AB647)*E702</f>
        <v>277.69499999999999</v>
      </c>
      <c r="AC702" s="70">
        <f>(F702*AC646+G702*AC647)*E702</f>
        <v>300.83625000000001</v>
      </c>
      <c r="AD702" s="70">
        <f>(F702*AD646+G702*AD647)*E702</f>
        <v>323.97749999999996</v>
      </c>
      <c r="AE702" s="70">
        <f>(F702*AE646+G702*AE647)*E702</f>
        <v>347.11874999999998</v>
      </c>
      <c r="AF702" s="70"/>
      <c r="AG702" s="70"/>
      <c r="AH702" s="70"/>
      <c r="AI702" s="70"/>
    </row>
    <row r="703" spans="1:35" x14ac:dyDescent="0.45">
      <c r="A703" s="70"/>
      <c r="B703" s="52"/>
      <c r="C703" s="52"/>
      <c r="D703" s="52" t="s">
        <v>1465</v>
      </c>
      <c r="E703" s="72">
        <f t="shared" si="229"/>
        <v>0.11219999999999999</v>
      </c>
      <c r="F703" s="71">
        <f>E652</f>
        <v>1</v>
      </c>
      <c r="G703" s="71">
        <f>F652</f>
        <v>0</v>
      </c>
      <c r="H703" s="70"/>
      <c r="I703" s="70"/>
      <c r="J703" s="70"/>
      <c r="K703" s="72"/>
      <c r="L703" s="70">
        <f>(F703*L646+G703*L647)*E703</f>
        <v>0</v>
      </c>
      <c r="M703" s="70">
        <f>(F703*M646+G703*M647)*E703</f>
        <v>0</v>
      </c>
      <c r="N703" s="70">
        <f>(F703*N646+G703*N647)*E703</f>
        <v>0</v>
      </c>
      <c r="O703" s="70">
        <f>(F703*O646+G703*O647)*E703</f>
        <v>0</v>
      </c>
      <c r="P703" s="70">
        <f>(F703*P646+G703*P647)*E703</f>
        <v>0</v>
      </c>
      <c r="Q703" s="70">
        <f>(F703*Q646+G703*Q647)*E703</f>
        <v>1.4024999999999999</v>
      </c>
      <c r="R703" s="70">
        <f>(F703*R646+G703*R647)*E703</f>
        <v>2.8049999999999997</v>
      </c>
      <c r="S703" s="70">
        <f>(F703*S646+G703*S647)*E703</f>
        <v>4.2074999999999996</v>
      </c>
      <c r="T703" s="70">
        <f>(F703*T646+G703*T647)*E703</f>
        <v>5.6099999999999994</v>
      </c>
      <c r="U703" s="70">
        <f>(F703*U646+G703*U647)*E703</f>
        <v>7.0124999999999993</v>
      </c>
      <c r="V703" s="70">
        <f>(F703*V646+G703*V647)*E703</f>
        <v>8.4149999999999991</v>
      </c>
      <c r="W703" s="70">
        <f>(F703*W646+G703*W647)*E703</f>
        <v>9.817499999999999</v>
      </c>
      <c r="X703" s="70">
        <f>(F703*X646+G703*X647)*E703</f>
        <v>11.219999999999999</v>
      </c>
      <c r="Y703" s="70">
        <f>(F703*Y646+G703*Y647)*E703</f>
        <v>12.622499999999999</v>
      </c>
      <c r="Z703" s="70">
        <f>(F703*Z646+G703*Z647)*E703</f>
        <v>14.024999999999999</v>
      </c>
      <c r="AA703" s="70">
        <f>(F703*AA646+G703*AA647)*E703</f>
        <v>15.427499999999998</v>
      </c>
      <c r="AB703" s="70">
        <f>(F703*AB646+G703*AB647)*E703</f>
        <v>16.829999999999998</v>
      </c>
      <c r="AC703" s="70">
        <f>(F703*AC646+G703*AC647)*E703</f>
        <v>18.232499999999998</v>
      </c>
      <c r="AD703" s="70">
        <f>(F703*AD646+G703*AD647)*E703</f>
        <v>19.634999999999998</v>
      </c>
      <c r="AE703" s="70">
        <f>(F703*AE646+G703*AE647)*E703</f>
        <v>21.037499999999998</v>
      </c>
      <c r="AF703" s="70"/>
      <c r="AG703" s="70"/>
      <c r="AH703" s="70"/>
      <c r="AI703" s="70"/>
    </row>
    <row r="704" spans="1:35" x14ac:dyDescent="0.45">
      <c r="A704" s="70"/>
      <c r="B704" s="52"/>
      <c r="C704" s="52"/>
      <c r="D704" s="52" t="s">
        <v>1468</v>
      </c>
      <c r="E704" s="72">
        <f t="shared" si="229"/>
        <v>0.11219999999999999</v>
      </c>
      <c r="F704" s="71">
        <f>E652</f>
        <v>1</v>
      </c>
      <c r="G704" s="71">
        <f>F652</f>
        <v>0</v>
      </c>
      <c r="H704" s="70"/>
      <c r="I704" s="70"/>
      <c r="J704" s="70"/>
      <c r="K704" s="72"/>
      <c r="L704" s="70">
        <f>(F704*L646+G704*L647)*E704</f>
        <v>0</v>
      </c>
      <c r="M704" s="70">
        <f>(F704*M646+G704*M647)*E704</f>
        <v>0</v>
      </c>
      <c r="N704" s="70">
        <f>(F704*N646+G704*N647)*E704</f>
        <v>0</v>
      </c>
      <c r="O704" s="70">
        <f>(F704*O646+G704*O647)*E704</f>
        <v>0</v>
      </c>
      <c r="P704" s="70">
        <f>(F704*P646+G704*P647)*E704</f>
        <v>0</v>
      </c>
      <c r="Q704" s="70">
        <f>(F704*Q646+G704*Q647)*E704</f>
        <v>1.4024999999999999</v>
      </c>
      <c r="R704" s="70">
        <f>(F704*R646+G704*R647)*E704</f>
        <v>2.8049999999999997</v>
      </c>
      <c r="S704" s="70">
        <f>(F704*S646+G704*S647)*E704</f>
        <v>4.2074999999999996</v>
      </c>
      <c r="T704" s="70">
        <f>(F704*T646+G704*T647)*E704</f>
        <v>5.6099999999999994</v>
      </c>
      <c r="U704" s="70">
        <f>(F704*U646+G704*U647)*E704</f>
        <v>7.0124999999999993</v>
      </c>
      <c r="V704" s="70">
        <f>(F704*V646+G704*V647)*E704</f>
        <v>8.4149999999999991</v>
      </c>
      <c r="W704" s="70">
        <f>(F704*W646+G704*W647)*E704</f>
        <v>9.817499999999999</v>
      </c>
      <c r="X704" s="70">
        <f>(F704*X646+G704*X647)*E704</f>
        <v>11.219999999999999</v>
      </c>
      <c r="Y704" s="70">
        <f>(F704*Y646+G704*Y647)*E704</f>
        <v>12.622499999999999</v>
      </c>
      <c r="Z704" s="70">
        <f>(F704*Z646+G704*Z647)*E704</f>
        <v>14.024999999999999</v>
      </c>
      <c r="AA704" s="70">
        <f>(F704*AA646+G704*AA647)*E704</f>
        <v>15.427499999999998</v>
      </c>
      <c r="AB704" s="70">
        <f>(F704*AB646+G704*AB647)*E704</f>
        <v>16.829999999999998</v>
      </c>
      <c r="AC704" s="70">
        <f>(F704*AC646+G704*AC647)*E704</f>
        <v>18.232499999999998</v>
      </c>
      <c r="AD704" s="70">
        <f>(F704*AD646+G704*AD647)*E704</f>
        <v>19.634999999999998</v>
      </c>
      <c r="AE704" s="70">
        <f>(F704*AE646+G704*AE647)*E704</f>
        <v>21.037499999999998</v>
      </c>
      <c r="AF704" s="70"/>
      <c r="AG704" s="70"/>
      <c r="AH704" s="70"/>
      <c r="AI704" s="70"/>
    </row>
    <row r="705" spans="1:35" x14ac:dyDescent="0.45">
      <c r="A705" s="70"/>
      <c r="B705" s="52"/>
      <c r="C705" s="52"/>
      <c r="D705" s="52" t="s">
        <v>1471</v>
      </c>
      <c r="E705" s="72">
        <f t="shared" si="229"/>
        <v>0.156</v>
      </c>
      <c r="F705" s="71">
        <f>E654</f>
        <v>1</v>
      </c>
      <c r="G705" s="71">
        <f>F654</f>
        <v>0</v>
      </c>
      <c r="H705" s="70"/>
      <c r="I705" s="70"/>
      <c r="J705" s="70"/>
      <c r="K705" s="72"/>
      <c r="L705" s="70">
        <f>(F705*L646+G705*L647)*E705</f>
        <v>0</v>
      </c>
      <c r="M705" s="70">
        <f>(F705*M646+G705*M647)*E705</f>
        <v>0</v>
      </c>
      <c r="N705" s="70">
        <f>(F705*N646+G705*N647)*E705</f>
        <v>0</v>
      </c>
      <c r="O705" s="70">
        <f>(F705*O646+G705*O647)*E705</f>
        <v>0</v>
      </c>
      <c r="P705" s="70">
        <f>(F705*P646+G705*P647)*E705</f>
        <v>0</v>
      </c>
      <c r="Q705" s="70">
        <f>(F705*Q646+G705*Q647)*E705</f>
        <v>1.95</v>
      </c>
      <c r="R705" s="70">
        <f>(F705*R646+G705*R647)*E705</f>
        <v>3.9</v>
      </c>
      <c r="S705" s="70">
        <f>(F705*S646+G705*S647)*E705</f>
        <v>5.85</v>
      </c>
      <c r="T705" s="70">
        <f>(F705*T646+G705*T647)*E705</f>
        <v>7.8</v>
      </c>
      <c r="U705" s="70">
        <f>(F705*U646+G705*U647)*E705</f>
        <v>9.75</v>
      </c>
      <c r="V705" s="70">
        <f>(F705*V646+G705*V647)*E705</f>
        <v>11.7</v>
      </c>
      <c r="W705" s="70">
        <f>(F705*W646+G705*W647)*E705</f>
        <v>13.65</v>
      </c>
      <c r="X705" s="70">
        <f>(F705*X646+G705*X647)*E705</f>
        <v>15.6</v>
      </c>
      <c r="Y705" s="70">
        <f>(F705*Y646+G705*Y647)*E705</f>
        <v>17.55</v>
      </c>
      <c r="Z705" s="70">
        <f>(F705*Z646+G705*Z647)*E705</f>
        <v>19.5</v>
      </c>
      <c r="AA705" s="70">
        <f>(F705*AA646+G705*AA647)*E705</f>
        <v>21.45</v>
      </c>
      <c r="AB705" s="70">
        <f>(F705*AB646+G705*AB647)*E705</f>
        <v>23.4</v>
      </c>
      <c r="AC705" s="70">
        <f>(F705*AC646+G705*AC647)*E705</f>
        <v>25.35</v>
      </c>
      <c r="AD705" s="70">
        <f>(F705*AD646+G705*AD647)*E705</f>
        <v>27.3</v>
      </c>
      <c r="AE705" s="70">
        <f>(F705*AE646+G705*AE647)*E705</f>
        <v>29.25</v>
      </c>
      <c r="AF705" s="70"/>
      <c r="AG705" s="70"/>
      <c r="AH705" s="70"/>
      <c r="AI705" s="70"/>
    </row>
    <row r="706" spans="1:35" x14ac:dyDescent="0.45">
      <c r="A706" s="70"/>
      <c r="B706" s="52"/>
      <c r="C706" s="52"/>
      <c r="D706" s="70"/>
      <c r="E706" s="70"/>
      <c r="F706" s="70"/>
      <c r="G706" s="70"/>
      <c r="H706" s="70"/>
      <c r="I706" s="70"/>
      <c r="J706" s="70"/>
      <c r="K706" s="72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</row>
    <row r="707" spans="1:35" x14ac:dyDescent="0.45">
      <c r="A707" s="71"/>
      <c r="B707" s="52"/>
      <c r="C707" s="70"/>
      <c r="D707" s="73" t="s">
        <v>1917</v>
      </c>
      <c r="E707" s="71" t="s">
        <v>1415</v>
      </c>
      <c r="F707" s="71" t="s">
        <v>26</v>
      </c>
      <c r="G707" s="86" t="str">
        <f>Settings!$B$3&amp;".mit.pptraj."&amp;$J$404</f>
        <v>egy.mit.pptraj.2</v>
      </c>
      <c r="H707" s="71"/>
      <c r="I707" s="71" t="s">
        <v>1918</v>
      </c>
      <c r="J707" s="71"/>
      <c r="K707" s="72"/>
      <c r="L707" s="71">
        <f>INDEX(Data_Prices!L:L,MATCH($G707,Data_Prices!$A:$A,0))</f>
        <v>0</v>
      </c>
      <c r="M707" s="71">
        <f>INDEX(Data_Prices!M:M,MATCH($G707,Data_Prices!$A:$A,0))</f>
        <v>0</v>
      </c>
      <c r="N707" s="71">
        <f>INDEX(Data_Prices!N:N,MATCH($G707,Data_Prices!$A:$A,0))</f>
        <v>0</v>
      </c>
      <c r="O707" s="71">
        <f>INDEX(Data_Prices!O:O,MATCH($G707,Data_Prices!$A:$A,0))</f>
        <v>0</v>
      </c>
      <c r="P707" s="71">
        <f>INDEX(Data_Prices!P:P,MATCH($G707,Data_Prices!$A:$A,0))</f>
        <v>0</v>
      </c>
      <c r="Q707" s="71">
        <f>INDEX(Data_Prices!Q:Q,MATCH($G707,Data_Prices!$A:$A,0))</f>
        <v>0</v>
      </c>
      <c r="R707" s="71">
        <f>INDEX(Data_Prices!R:R,MATCH($G707,Data_Prices!$A:$A,0))</f>
        <v>0</v>
      </c>
      <c r="S707" s="71">
        <f>INDEX(Data_Prices!S:S,MATCH($G707,Data_Prices!$A:$A,0))</f>
        <v>0</v>
      </c>
      <c r="T707" s="71">
        <f>INDEX(Data_Prices!T:T,MATCH($G707,Data_Prices!$A:$A,0))</f>
        <v>0</v>
      </c>
      <c r="U707" s="71">
        <f>INDEX(Data_Prices!U:U,MATCH($G707,Data_Prices!$A:$A,0))</f>
        <v>0</v>
      </c>
      <c r="V707" s="71">
        <f>INDEX(Data_Prices!V:V,MATCH($G707,Data_Prices!$A:$A,0))</f>
        <v>0</v>
      </c>
      <c r="W707" s="71">
        <f>INDEX(Data_Prices!W:W,MATCH($G707,Data_Prices!$A:$A,0))</f>
        <v>0</v>
      </c>
      <c r="X707" s="71">
        <f>INDEX(Data_Prices!X:X,MATCH($G707,Data_Prices!$A:$A,0))</f>
        <v>0</v>
      </c>
      <c r="Y707" s="71">
        <f>INDEX(Data_Prices!Y:Y,MATCH($G707,Data_Prices!$A:$A,0))</f>
        <v>0</v>
      </c>
      <c r="Z707" s="71">
        <f>INDEX(Data_Prices!Z:Z,MATCH($G707,Data_Prices!$A:$A,0))</f>
        <v>0</v>
      </c>
      <c r="AA707" s="71">
        <f>INDEX(Data_Prices!AA:AA,MATCH($G707,Data_Prices!$A:$A,0))</f>
        <v>0</v>
      </c>
      <c r="AB707" s="71">
        <f>INDEX(Data_Prices!AB:AB,MATCH($G707,Data_Prices!$A:$A,0))</f>
        <v>0</v>
      </c>
      <c r="AC707" s="71">
        <f>INDEX(Data_Prices!AC:AC,MATCH($G707,Data_Prices!$A:$A,0))</f>
        <v>0</v>
      </c>
      <c r="AD707" s="71">
        <f>INDEX(Data_Prices!AD:AD,MATCH($G707,Data_Prices!$A:$A,0))</f>
        <v>0</v>
      </c>
      <c r="AE707" s="71">
        <f>INDEX(Data_Prices!AE:AE,MATCH($G707,Data_Prices!$A:$A,0))</f>
        <v>0</v>
      </c>
      <c r="AF707" s="71"/>
      <c r="AG707" s="70"/>
      <c r="AH707" s="70"/>
      <c r="AI707" s="70"/>
    </row>
    <row r="708" spans="1:35" x14ac:dyDescent="0.45">
      <c r="A708" s="70"/>
      <c r="B708" s="52"/>
      <c r="C708" s="73" t="s">
        <v>1477</v>
      </c>
      <c r="D708" s="73"/>
      <c r="E708" s="72" t="s">
        <v>1897</v>
      </c>
      <c r="F708" s="70" t="s">
        <v>1478</v>
      </c>
      <c r="G708" s="70" t="s">
        <v>1479</v>
      </c>
      <c r="H708" s="71"/>
      <c r="I708" s="71"/>
      <c r="J708" s="71"/>
      <c r="K708" s="72"/>
      <c r="L708" s="74">
        <f t="shared" ref="L708:AE708" si="230">L697</f>
        <v>2022</v>
      </c>
      <c r="M708" s="74">
        <f t="shared" si="230"/>
        <v>2023</v>
      </c>
      <c r="N708" s="74">
        <f t="shared" si="230"/>
        <v>2024</v>
      </c>
      <c r="O708" s="74">
        <f t="shared" si="230"/>
        <v>2025</v>
      </c>
      <c r="P708" s="74">
        <f t="shared" si="230"/>
        <v>2026</v>
      </c>
      <c r="Q708" s="74">
        <f t="shared" si="230"/>
        <v>2027</v>
      </c>
      <c r="R708" s="74">
        <f t="shared" si="230"/>
        <v>2028</v>
      </c>
      <c r="S708" s="74">
        <f t="shared" si="230"/>
        <v>2029</v>
      </c>
      <c r="T708" s="74">
        <f t="shared" si="230"/>
        <v>2030</v>
      </c>
      <c r="U708" s="74">
        <f t="shared" si="230"/>
        <v>2031</v>
      </c>
      <c r="V708" s="74">
        <f t="shared" si="230"/>
        <v>2032</v>
      </c>
      <c r="W708" s="74">
        <f t="shared" si="230"/>
        <v>2033</v>
      </c>
      <c r="X708" s="74">
        <f t="shared" si="230"/>
        <v>2034</v>
      </c>
      <c r="Y708" s="74">
        <f t="shared" si="230"/>
        <v>2035</v>
      </c>
      <c r="Z708" s="74">
        <f t="shared" si="230"/>
        <v>2036</v>
      </c>
      <c r="AA708" s="74">
        <f t="shared" si="230"/>
        <v>2037</v>
      </c>
      <c r="AB708" s="74">
        <f t="shared" si="230"/>
        <v>2038</v>
      </c>
      <c r="AC708" s="74">
        <f t="shared" si="230"/>
        <v>2039</v>
      </c>
      <c r="AD708" s="74">
        <f t="shared" si="230"/>
        <v>2040</v>
      </c>
      <c r="AE708" s="74">
        <f t="shared" si="230"/>
        <v>2041</v>
      </c>
      <c r="AF708" s="74"/>
      <c r="AG708" s="70"/>
      <c r="AH708" s="70"/>
      <c r="AI708" s="70"/>
    </row>
    <row r="709" spans="1:35" x14ac:dyDescent="0.45">
      <c r="A709" s="70"/>
      <c r="B709" s="52"/>
      <c r="C709" s="52"/>
      <c r="D709" s="52" t="s">
        <v>1450</v>
      </c>
      <c r="E709" s="72">
        <f t="shared" ref="E709:E716" si="231">MAX($J663,0)*$J$672+MAX($K663,0)*$K$672</f>
        <v>0.04</v>
      </c>
      <c r="F709" s="71">
        <f>H653</f>
        <v>0</v>
      </c>
      <c r="G709" s="71">
        <f>I653</f>
        <v>0</v>
      </c>
      <c r="H709" s="70"/>
      <c r="I709" s="70"/>
      <c r="J709" s="70"/>
      <c r="K709" s="72"/>
      <c r="L709" s="81">
        <f t="shared" ref="L709:U716" si="232">($F709*L$707+$G709*L$647)*$E709</f>
        <v>0</v>
      </c>
      <c r="M709" s="81">
        <f t="shared" si="232"/>
        <v>0</v>
      </c>
      <c r="N709" s="81">
        <f t="shared" si="232"/>
        <v>0</v>
      </c>
      <c r="O709" s="81">
        <f t="shared" si="232"/>
        <v>0</v>
      </c>
      <c r="P709" s="81">
        <f t="shared" si="232"/>
        <v>0</v>
      </c>
      <c r="Q709" s="81">
        <f t="shared" si="232"/>
        <v>0</v>
      </c>
      <c r="R709" s="81">
        <f t="shared" si="232"/>
        <v>0</v>
      </c>
      <c r="S709" s="81">
        <f t="shared" si="232"/>
        <v>0</v>
      </c>
      <c r="T709" s="81">
        <f t="shared" si="232"/>
        <v>0</v>
      </c>
      <c r="U709" s="81">
        <f t="shared" si="232"/>
        <v>0</v>
      </c>
      <c r="V709" s="81">
        <f t="shared" ref="V709:AE716" si="233">($F709*V$707+$G709*V$647)*$E709</f>
        <v>0</v>
      </c>
      <c r="W709" s="81">
        <f t="shared" si="233"/>
        <v>0</v>
      </c>
      <c r="X709" s="81">
        <f t="shared" si="233"/>
        <v>0</v>
      </c>
      <c r="Y709" s="81">
        <f t="shared" si="233"/>
        <v>0</v>
      </c>
      <c r="Z709" s="81">
        <f t="shared" si="233"/>
        <v>0</v>
      </c>
      <c r="AA709" s="81">
        <f t="shared" si="233"/>
        <v>0</v>
      </c>
      <c r="AB709" s="81">
        <f t="shared" si="233"/>
        <v>0</v>
      </c>
      <c r="AC709" s="81">
        <f t="shared" si="233"/>
        <v>0</v>
      </c>
      <c r="AD709" s="81">
        <f t="shared" si="233"/>
        <v>0</v>
      </c>
      <c r="AE709" s="81">
        <f t="shared" si="233"/>
        <v>0</v>
      </c>
      <c r="AF709" s="70"/>
      <c r="AG709" s="70"/>
      <c r="AH709" s="70"/>
      <c r="AI709" s="70"/>
    </row>
    <row r="710" spans="1:35" x14ac:dyDescent="0.45">
      <c r="A710" s="70"/>
      <c r="B710" s="52"/>
      <c r="C710" s="52"/>
      <c r="D710" s="52" t="s">
        <v>1453</v>
      </c>
      <c r="E710" s="72">
        <f t="shared" si="231"/>
        <v>1.4999999999999999E-2</v>
      </c>
      <c r="F710" s="71">
        <f>H653</f>
        <v>0</v>
      </c>
      <c r="G710" s="71">
        <f>I653</f>
        <v>0</v>
      </c>
      <c r="H710" s="70"/>
      <c r="I710" s="70"/>
      <c r="J710" s="70"/>
      <c r="K710" s="72"/>
      <c r="L710" s="81">
        <f t="shared" si="232"/>
        <v>0</v>
      </c>
      <c r="M710" s="81">
        <f t="shared" si="232"/>
        <v>0</v>
      </c>
      <c r="N710" s="81">
        <f t="shared" si="232"/>
        <v>0</v>
      </c>
      <c r="O710" s="81">
        <f t="shared" si="232"/>
        <v>0</v>
      </c>
      <c r="P710" s="81">
        <f t="shared" si="232"/>
        <v>0</v>
      </c>
      <c r="Q710" s="81">
        <f t="shared" si="232"/>
        <v>0</v>
      </c>
      <c r="R710" s="81">
        <f t="shared" si="232"/>
        <v>0</v>
      </c>
      <c r="S710" s="81">
        <f t="shared" si="232"/>
        <v>0</v>
      </c>
      <c r="T710" s="81">
        <f t="shared" si="232"/>
        <v>0</v>
      </c>
      <c r="U710" s="81">
        <f t="shared" si="232"/>
        <v>0</v>
      </c>
      <c r="V710" s="81">
        <f t="shared" si="233"/>
        <v>0</v>
      </c>
      <c r="W710" s="81">
        <f t="shared" si="233"/>
        <v>0</v>
      </c>
      <c r="X710" s="81">
        <f t="shared" si="233"/>
        <v>0</v>
      </c>
      <c r="Y710" s="81">
        <f t="shared" si="233"/>
        <v>0</v>
      </c>
      <c r="Z710" s="81">
        <f t="shared" si="233"/>
        <v>0</v>
      </c>
      <c r="AA710" s="81">
        <f t="shared" si="233"/>
        <v>0</v>
      </c>
      <c r="AB710" s="81">
        <f t="shared" si="233"/>
        <v>0</v>
      </c>
      <c r="AC710" s="81">
        <f t="shared" si="233"/>
        <v>0</v>
      </c>
      <c r="AD710" s="81">
        <f t="shared" si="233"/>
        <v>0</v>
      </c>
      <c r="AE710" s="81">
        <f t="shared" si="233"/>
        <v>0</v>
      </c>
      <c r="AF710" s="70"/>
      <c r="AG710" s="70"/>
      <c r="AH710" s="70"/>
      <c r="AI710" s="70"/>
    </row>
    <row r="711" spans="1:35" x14ac:dyDescent="0.45">
      <c r="A711" s="70"/>
      <c r="B711" s="52"/>
      <c r="C711" s="52"/>
      <c r="D711" s="52" t="s">
        <v>1456</v>
      </c>
      <c r="E711" s="72">
        <f t="shared" si="231"/>
        <v>0.25</v>
      </c>
      <c r="F711" s="71">
        <f>H653</f>
        <v>0</v>
      </c>
      <c r="G711" s="71">
        <f>I653</f>
        <v>0</v>
      </c>
      <c r="H711" s="70"/>
      <c r="I711" s="70"/>
      <c r="J711" s="70"/>
      <c r="K711" s="72"/>
      <c r="L711" s="81">
        <f t="shared" si="232"/>
        <v>0</v>
      </c>
      <c r="M711" s="81">
        <f t="shared" si="232"/>
        <v>0</v>
      </c>
      <c r="N711" s="81">
        <f t="shared" si="232"/>
        <v>0</v>
      </c>
      <c r="O711" s="81">
        <f t="shared" si="232"/>
        <v>0</v>
      </c>
      <c r="P711" s="81">
        <f t="shared" si="232"/>
        <v>0</v>
      </c>
      <c r="Q711" s="81">
        <f t="shared" si="232"/>
        <v>0</v>
      </c>
      <c r="R711" s="81">
        <f t="shared" si="232"/>
        <v>0</v>
      </c>
      <c r="S711" s="81">
        <f t="shared" si="232"/>
        <v>0</v>
      </c>
      <c r="T711" s="81">
        <f t="shared" si="232"/>
        <v>0</v>
      </c>
      <c r="U711" s="81">
        <f t="shared" si="232"/>
        <v>0</v>
      </c>
      <c r="V711" s="81">
        <f t="shared" si="233"/>
        <v>0</v>
      </c>
      <c r="W711" s="81">
        <f t="shared" si="233"/>
        <v>0</v>
      </c>
      <c r="X711" s="81">
        <f t="shared" si="233"/>
        <v>0</v>
      </c>
      <c r="Y711" s="81">
        <f t="shared" si="233"/>
        <v>0</v>
      </c>
      <c r="Z711" s="81">
        <f t="shared" si="233"/>
        <v>0</v>
      </c>
      <c r="AA711" s="81">
        <f t="shared" si="233"/>
        <v>0</v>
      </c>
      <c r="AB711" s="81">
        <f t="shared" si="233"/>
        <v>0</v>
      </c>
      <c r="AC711" s="81">
        <f t="shared" si="233"/>
        <v>0</v>
      </c>
      <c r="AD711" s="81">
        <f t="shared" si="233"/>
        <v>0</v>
      </c>
      <c r="AE711" s="81">
        <f t="shared" si="233"/>
        <v>0</v>
      </c>
      <c r="AF711" s="70"/>
      <c r="AG711" s="70"/>
      <c r="AH711" s="70"/>
      <c r="AI711" s="70"/>
    </row>
    <row r="712" spans="1:35" x14ac:dyDescent="0.45">
      <c r="A712" s="70"/>
      <c r="B712" s="52"/>
      <c r="C712" s="52"/>
      <c r="D712" s="52" t="s">
        <v>1459</v>
      </c>
      <c r="E712" s="72">
        <f t="shared" si="231"/>
        <v>0.52600000000000002</v>
      </c>
      <c r="F712" s="71">
        <f>H656</f>
        <v>0</v>
      </c>
      <c r="G712" s="71">
        <f>I656</f>
        <v>0</v>
      </c>
      <c r="H712" s="70"/>
      <c r="I712" s="70"/>
      <c r="J712" s="70"/>
      <c r="K712" s="72"/>
      <c r="L712" s="81">
        <f t="shared" si="232"/>
        <v>0</v>
      </c>
      <c r="M712" s="81">
        <f t="shared" si="232"/>
        <v>0</v>
      </c>
      <c r="N712" s="81">
        <f t="shared" si="232"/>
        <v>0</v>
      </c>
      <c r="O712" s="81">
        <f t="shared" si="232"/>
        <v>0</v>
      </c>
      <c r="P712" s="81">
        <f t="shared" si="232"/>
        <v>0</v>
      </c>
      <c r="Q712" s="81">
        <f t="shared" si="232"/>
        <v>0</v>
      </c>
      <c r="R712" s="81">
        <f t="shared" si="232"/>
        <v>0</v>
      </c>
      <c r="S712" s="81">
        <f t="shared" si="232"/>
        <v>0</v>
      </c>
      <c r="T712" s="81">
        <f t="shared" si="232"/>
        <v>0</v>
      </c>
      <c r="U712" s="81">
        <f t="shared" si="232"/>
        <v>0</v>
      </c>
      <c r="V712" s="81">
        <f t="shared" si="233"/>
        <v>0</v>
      </c>
      <c r="W712" s="81">
        <f t="shared" si="233"/>
        <v>0</v>
      </c>
      <c r="X712" s="81">
        <f t="shared" si="233"/>
        <v>0</v>
      </c>
      <c r="Y712" s="81">
        <f t="shared" si="233"/>
        <v>0</v>
      </c>
      <c r="Z712" s="81">
        <f t="shared" si="233"/>
        <v>0</v>
      </c>
      <c r="AA712" s="81">
        <f t="shared" si="233"/>
        <v>0</v>
      </c>
      <c r="AB712" s="81">
        <f t="shared" si="233"/>
        <v>0</v>
      </c>
      <c r="AC712" s="81">
        <f t="shared" si="233"/>
        <v>0</v>
      </c>
      <c r="AD712" s="81">
        <f t="shared" si="233"/>
        <v>0</v>
      </c>
      <c r="AE712" s="81">
        <f t="shared" si="233"/>
        <v>0</v>
      </c>
      <c r="AF712" s="70"/>
      <c r="AG712" s="70"/>
      <c r="AH712" s="70"/>
      <c r="AI712" s="70"/>
    </row>
    <row r="713" spans="1:35" x14ac:dyDescent="0.45">
      <c r="A713" s="70"/>
      <c r="B713" s="52"/>
      <c r="C713" s="52"/>
      <c r="D713" s="52" t="s">
        <v>1462</v>
      </c>
      <c r="E713" s="72">
        <f t="shared" si="231"/>
        <v>0</v>
      </c>
      <c r="F713" s="71">
        <f>H652</f>
        <v>0</v>
      </c>
      <c r="G713" s="71">
        <f>I652</f>
        <v>0</v>
      </c>
      <c r="H713" s="70"/>
      <c r="I713" s="70"/>
      <c r="J713" s="70"/>
      <c r="K713" s="72"/>
      <c r="L713" s="81">
        <f t="shared" si="232"/>
        <v>0</v>
      </c>
      <c r="M713" s="81">
        <f t="shared" si="232"/>
        <v>0</v>
      </c>
      <c r="N713" s="81">
        <f t="shared" si="232"/>
        <v>0</v>
      </c>
      <c r="O713" s="81">
        <f t="shared" si="232"/>
        <v>0</v>
      </c>
      <c r="P713" s="81">
        <f t="shared" si="232"/>
        <v>0</v>
      </c>
      <c r="Q713" s="81">
        <f t="shared" si="232"/>
        <v>0</v>
      </c>
      <c r="R713" s="81">
        <f t="shared" si="232"/>
        <v>0</v>
      </c>
      <c r="S713" s="81">
        <f t="shared" si="232"/>
        <v>0</v>
      </c>
      <c r="T713" s="81">
        <f t="shared" si="232"/>
        <v>0</v>
      </c>
      <c r="U713" s="81">
        <f t="shared" si="232"/>
        <v>0</v>
      </c>
      <c r="V713" s="81">
        <f t="shared" si="233"/>
        <v>0</v>
      </c>
      <c r="W713" s="81">
        <f t="shared" si="233"/>
        <v>0</v>
      </c>
      <c r="X713" s="81">
        <f t="shared" si="233"/>
        <v>0</v>
      </c>
      <c r="Y713" s="81">
        <f t="shared" si="233"/>
        <v>0</v>
      </c>
      <c r="Z713" s="81">
        <f t="shared" si="233"/>
        <v>0</v>
      </c>
      <c r="AA713" s="81">
        <f t="shared" si="233"/>
        <v>0</v>
      </c>
      <c r="AB713" s="81">
        <f t="shared" si="233"/>
        <v>0</v>
      </c>
      <c r="AC713" s="81">
        <f t="shared" si="233"/>
        <v>0</v>
      </c>
      <c r="AD713" s="81">
        <f t="shared" si="233"/>
        <v>0</v>
      </c>
      <c r="AE713" s="81">
        <f t="shared" si="233"/>
        <v>0</v>
      </c>
      <c r="AF713" s="70"/>
      <c r="AG713" s="70"/>
      <c r="AH713" s="70"/>
      <c r="AI713" s="70"/>
    </row>
    <row r="714" spans="1:35" x14ac:dyDescent="0.45">
      <c r="A714" s="70"/>
      <c r="B714" s="52"/>
      <c r="C714" s="52"/>
      <c r="D714" s="52" t="s">
        <v>1465</v>
      </c>
      <c r="E714" s="72">
        <f t="shared" si="231"/>
        <v>0</v>
      </c>
      <c r="F714" s="71">
        <f>H652</f>
        <v>0</v>
      </c>
      <c r="G714" s="71">
        <f>I652</f>
        <v>0</v>
      </c>
      <c r="H714" s="70"/>
      <c r="I714" s="70"/>
      <c r="J714" s="70"/>
      <c r="K714" s="72"/>
      <c r="L714" s="81">
        <f t="shared" si="232"/>
        <v>0</v>
      </c>
      <c r="M714" s="81">
        <f t="shared" si="232"/>
        <v>0</v>
      </c>
      <c r="N714" s="81">
        <f t="shared" si="232"/>
        <v>0</v>
      </c>
      <c r="O714" s="81">
        <f t="shared" si="232"/>
        <v>0</v>
      </c>
      <c r="P714" s="81">
        <f t="shared" si="232"/>
        <v>0</v>
      </c>
      <c r="Q714" s="81">
        <f t="shared" si="232"/>
        <v>0</v>
      </c>
      <c r="R714" s="81">
        <f t="shared" si="232"/>
        <v>0</v>
      </c>
      <c r="S714" s="81">
        <f t="shared" si="232"/>
        <v>0</v>
      </c>
      <c r="T714" s="81">
        <f t="shared" si="232"/>
        <v>0</v>
      </c>
      <c r="U714" s="81">
        <f t="shared" si="232"/>
        <v>0</v>
      </c>
      <c r="V714" s="81">
        <f t="shared" si="233"/>
        <v>0</v>
      </c>
      <c r="W714" s="81">
        <f t="shared" si="233"/>
        <v>0</v>
      </c>
      <c r="X714" s="81">
        <f t="shared" si="233"/>
        <v>0</v>
      </c>
      <c r="Y714" s="81">
        <f t="shared" si="233"/>
        <v>0</v>
      </c>
      <c r="Z714" s="81">
        <f t="shared" si="233"/>
        <v>0</v>
      </c>
      <c r="AA714" s="81">
        <f t="shared" si="233"/>
        <v>0</v>
      </c>
      <c r="AB714" s="81">
        <f t="shared" si="233"/>
        <v>0</v>
      </c>
      <c r="AC714" s="81">
        <f t="shared" si="233"/>
        <v>0</v>
      </c>
      <c r="AD714" s="81">
        <f t="shared" si="233"/>
        <v>0</v>
      </c>
      <c r="AE714" s="81">
        <f t="shared" si="233"/>
        <v>0</v>
      </c>
      <c r="AF714" s="70"/>
      <c r="AG714" s="70"/>
      <c r="AH714" s="70"/>
      <c r="AI714" s="70"/>
    </row>
    <row r="715" spans="1:35" x14ac:dyDescent="0.45">
      <c r="A715" s="70"/>
      <c r="B715" s="52"/>
      <c r="C715" s="52"/>
      <c r="D715" s="52" t="s">
        <v>1468</v>
      </c>
      <c r="E715" s="72">
        <f t="shared" si="231"/>
        <v>0.97</v>
      </c>
      <c r="F715" s="71">
        <f>H652</f>
        <v>0</v>
      </c>
      <c r="G715" s="71">
        <f>I652</f>
        <v>0</v>
      </c>
      <c r="H715" s="70"/>
      <c r="I715" s="70"/>
      <c r="J715" s="70"/>
      <c r="K715" s="72"/>
      <c r="L715" s="81">
        <f t="shared" si="232"/>
        <v>0</v>
      </c>
      <c r="M715" s="81">
        <f t="shared" si="232"/>
        <v>0</v>
      </c>
      <c r="N715" s="81">
        <f t="shared" si="232"/>
        <v>0</v>
      </c>
      <c r="O715" s="81">
        <f t="shared" si="232"/>
        <v>0</v>
      </c>
      <c r="P715" s="81">
        <f t="shared" si="232"/>
        <v>0</v>
      </c>
      <c r="Q715" s="81">
        <f t="shared" si="232"/>
        <v>0</v>
      </c>
      <c r="R715" s="81">
        <f t="shared" si="232"/>
        <v>0</v>
      </c>
      <c r="S715" s="81">
        <f t="shared" si="232"/>
        <v>0</v>
      </c>
      <c r="T715" s="81">
        <f t="shared" si="232"/>
        <v>0</v>
      </c>
      <c r="U715" s="81">
        <f t="shared" si="232"/>
        <v>0</v>
      </c>
      <c r="V715" s="81">
        <f t="shared" si="233"/>
        <v>0</v>
      </c>
      <c r="W715" s="81">
        <f t="shared" si="233"/>
        <v>0</v>
      </c>
      <c r="X715" s="81">
        <f t="shared" si="233"/>
        <v>0</v>
      </c>
      <c r="Y715" s="81">
        <f t="shared" si="233"/>
        <v>0</v>
      </c>
      <c r="Z715" s="81">
        <f t="shared" si="233"/>
        <v>0</v>
      </c>
      <c r="AA715" s="81">
        <f t="shared" si="233"/>
        <v>0</v>
      </c>
      <c r="AB715" s="81">
        <f t="shared" si="233"/>
        <v>0</v>
      </c>
      <c r="AC715" s="81">
        <f t="shared" si="233"/>
        <v>0</v>
      </c>
      <c r="AD715" s="81">
        <f t="shared" si="233"/>
        <v>0</v>
      </c>
      <c r="AE715" s="81">
        <f t="shared" si="233"/>
        <v>0</v>
      </c>
      <c r="AF715" s="70"/>
      <c r="AG715" s="70"/>
      <c r="AH715" s="70"/>
      <c r="AI715" s="70"/>
    </row>
    <row r="716" spans="1:35" x14ac:dyDescent="0.45">
      <c r="A716" s="70"/>
      <c r="B716" s="52"/>
      <c r="C716" s="52"/>
      <c r="D716" s="52" t="s">
        <v>1471</v>
      </c>
      <c r="E716" s="72">
        <f t="shared" si="231"/>
        <v>2.35</v>
      </c>
      <c r="F716" s="71">
        <f>H654</f>
        <v>0</v>
      </c>
      <c r="G716" s="71">
        <f>I654</f>
        <v>0</v>
      </c>
      <c r="H716" s="70"/>
      <c r="I716" s="70"/>
      <c r="J716" s="70"/>
      <c r="K716" s="72"/>
      <c r="L716" s="81">
        <f t="shared" si="232"/>
        <v>0</v>
      </c>
      <c r="M716" s="81">
        <f t="shared" si="232"/>
        <v>0</v>
      </c>
      <c r="N716" s="81">
        <f t="shared" si="232"/>
        <v>0</v>
      </c>
      <c r="O716" s="81">
        <f t="shared" si="232"/>
        <v>0</v>
      </c>
      <c r="P716" s="81">
        <f t="shared" si="232"/>
        <v>0</v>
      </c>
      <c r="Q716" s="81">
        <f t="shared" si="232"/>
        <v>0</v>
      </c>
      <c r="R716" s="81">
        <f t="shared" si="232"/>
        <v>0</v>
      </c>
      <c r="S716" s="81">
        <f t="shared" si="232"/>
        <v>0</v>
      </c>
      <c r="T716" s="81">
        <f t="shared" si="232"/>
        <v>0</v>
      </c>
      <c r="U716" s="81">
        <f t="shared" si="232"/>
        <v>0</v>
      </c>
      <c r="V716" s="81">
        <f t="shared" si="233"/>
        <v>0</v>
      </c>
      <c r="W716" s="81">
        <f t="shared" si="233"/>
        <v>0</v>
      </c>
      <c r="X716" s="81">
        <f t="shared" si="233"/>
        <v>0</v>
      </c>
      <c r="Y716" s="81">
        <f t="shared" si="233"/>
        <v>0</v>
      </c>
      <c r="Z716" s="81">
        <f t="shared" si="233"/>
        <v>0</v>
      </c>
      <c r="AA716" s="81">
        <f t="shared" si="233"/>
        <v>0</v>
      </c>
      <c r="AB716" s="81">
        <f t="shared" si="233"/>
        <v>0</v>
      </c>
      <c r="AC716" s="81">
        <f t="shared" si="233"/>
        <v>0</v>
      </c>
      <c r="AD716" s="81">
        <f t="shared" si="233"/>
        <v>0</v>
      </c>
      <c r="AE716" s="81">
        <f t="shared" si="233"/>
        <v>0</v>
      </c>
      <c r="AF716" s="70"/>
      <c r="AG716" s="70"/>
      <c r="AH716" s="70"/>
      <c r="AI716" s="70"/>
    </row>
    <row r="717" spans="1:35" x14ac:dyDescent="0.45">
      <c r="A717" s="70"/>
      <c r="B717" s="52"/>
      <c r="C717" s="52"/>
      <c r="D717" s="52"/>
      <c r="E717" s="70"/>
      <c r="F717" s="70"/>
      <c r="G717" s="70"/>
      <c r="H717" s="70"/>
      <c r="I717" s="70"/>
      <c r="J717" s="70"/>
      <c r="K717" s="72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  <c r="AI717" s="70"/>
    </row>
    <row r="718" spans="1:35" x14ac:dyDescent="0.45">
      <c r="A718" s="70"/>
      <c r="B718" s="52"/>
      <c r="C718" s="73" t="s">
        <v>1480</v>
      </c>
      <c r="D718" s="73"/>
      <c r="E718" s="71"/>
      <c r="F718" s="71"/>
      <c r="G718" s="71"/>
      <c r="H718" s="71"/>
      <c r="I718" s="71"/>
      <c r="J718" s="71"/>
      <c r="K718" s="72"/>
      <c r="L718" s="74">
        <f t="shared" ref="L718:AE718" si="234">L708</f>
        <v>2022</v>
      </c>
      <c r="M718" s="74">
        <f t="shared" si="234"/>
        <v>2023</v>
      </c>
      <c r="N718" s="74">
        <f t="shared" si="234"/>
        <v>2024</v>
      </c>
      <c r="O718" s="74">
        <f t="shared" si="234"/>
        <v>2025</v>
      </c>
      <c r="P718" s="74">
        <f t="shared" si="234"/>
        <v>2026</v>
      </c>
      <c r="Q718" s="74">
        <f t="shared" si="234"/>
        <v>2027</v>
      </c>
      <c r="R718" s="74">
        <f t="shared" si="234"/>
        <v>2028</v>
      </c>
      <c r="S718" s="74">
        <f t="shared" si="234"/>
        <v>2029</v>
      </c>
      <c r="T718" s="74">
        <f t="shared" si="234"/>
        <v>2030</v>
      </c>
      <c r="U718" s="74">
        <f t="shared" si="234"/>
        <v>2031</v>
      </c>
      <c r="V718" s="74">
        <f t="shared" si="234"/>
        <v>2032</v>
      </c>
      <c r="W718" s="74">
        <f t="shared" si="234"/>
        <v>2033</v>
      </c>
      <c r="X718" s="74">
        <f t="shared" si="234"/>
        <v>2034</v>
      </c>
      <c r="Y718" s="74">
        <f t="shared" si="234"/>
        <v>2035</v>
      </c>
      <c r="Z718" s="74">
        <f t="shared" si="234"/>
        <v>2036</v>
      </c>
      <c r="AA718" s="74">
        <f t="shared" si="234"/>
        <v>2037</v>
      </c>
      <c r="AB718" s="74">
        <f t="shared" si="234"/>
        <v>2038</v>
      </c>
      <c r="AC718" s="74">
        <f t="shared" si="234"/>
        <v>2039</v>
      </c>
      <c r="AD718" s="74">
        <f t="shared" si="234"/>
        <v>2040</v>
      </c>
      <c r="AE718" s="74">
        <f t="shared" si="234"/>
        <v>2041</v>
      </c>
      <c r="AF718" s="74"/>
      <c r="AG718" s="70"/>
      <c r="AH718" s="70"/>
      <c r="AI718" s="70"/>
    </row>
    <row r="719" spans="1:35" x14ac:dyDescent="0.45">
      <c r="A719" s="70"/>
      <c r="B719" s="52"/>
      <c r="C719" s="52"/>
      <c r="D719" s="52" t="s">
        <v>1450</v>
      </c>
      <c r="E719" s="70"/>
      <c r="F719" s="70"/>
      <c r="G719" s="70"/>
      <c r="H719" s="70"/>
      <c r="I719" s="70"/>
      <c r="J719" s="70"/>
      <c r="K719" s="72"/>
      <c r="L719" s="78">
        <f t="shared" ref="L719:AE719" si="235">(L709+L698)/L687</f>
        <v>0</v>
      </c>
      <c r="M719" s="78">
        <f t="shared" si="235"/>
        <v>0</v>
      </c>
      <c r="N719" s="78">
        <f t="shared" si="235"/>
        <v>0</v>
      </c>
      <c r="O719" s="78">
        <f t="shared" si="235"/>
        <v>0</v>
      </c>
      <c r="P719" s="78">
        <f t="shared" si="235"/>
        <v>0</v>
      </c>
      <c r="Q719" s="78">
        <f t="shared" si="235"/>
        <v>1.15005E-2</v>
      </c>
      <c r="R719" s="78">
        <f t="shared" si="235"/>
        <v>2.3001000000000001E-2</v>
      </c>
      <c r="S719" s="78">
        <f t="shared" si="235"/>
        <v>3.4501500000000004E-2</v>
      </c>
      <c r="T719" s="78">
        <f t="shared" si="235"/>
        <v>4.6002000000000001E-2</v>
      </c>
      <c r="U719" s="78">
        <f t="shared" si="235"/>
        <v>5.7502500000000005E-2</v>
      </c>
      <c r="V719" s="78">
        <f t="shared" si="235"/>
        <v>6.9003000000000009E-2</v>
      </c>
      <c r="W719" s="78">
        <f t="shared" si="235"/>
        <v>8.0503500000000006E-2</v>
      </c>
      <c r="X719" s="78">
        <f t="shared" si="235"/>
        <v>9.2004000000000002E-2</v>
      </c>
      <c r="Y719" s="78">
        <f t="shared" si="235"/>
        <v>0.10350450000000001</v>
      </c>
      <c r="Z719" s="78">
        <f t="shared" si="235"/>
        <v>0.11500500000000001</v>
      </c>
      <c r="AA719" s="78">
        <f t="shared" si="235"/>
        <v>0.12650549999999999</v>
      </c>
      <c r="AB719" s="78">
        <f t="shared" si="235"/>
        <v>0.13800600000000002</v>
      </c>
      <c r="AC719" s="78">
        <f t="shared" si="235"/>
        <v>0.14950649999999999</v>
      </c>
      <c r="AD719" s="78">
        <f t="shared" si="235"/>
        <v>0.16100700000000001</v>
      </c>
      <c r="AE719" s="78">
        <f t="shared" si="235"/>
        <v>0.17250750000000001</v>
      </c>
      <c r="AF719" s="70"/>
      <c r="AG719" s="70"/>
      <c r="AH719" s="70"/>
      <c r="AI719" s="70"/>
    </row>
    <row r="720" spans="1:35" x14ac:dyDescent="0.45">
      <c r="A720" s="70"/>
      <c r="B720" s="52"/>
      <c r="C720" s="52"/>
      <c r="D720" s="52" t="s">
        <v>1453</v>
      </c>
      <c r="E720" s="70"/>
      <c r="F720" s="70"/>
      <c r="G720" s="70"/>
      <c r="H720" s="70"/>
      <c r="I720" s="70"/>
      <c r="J720" s="70"/>
      <c r="K720" s="72"/>
      <c r="L720" s="78">
        <f t="shared" ref="L720:AE720" si="236">(L710+L699)/L688</f>
        <v>0</v>
      </c>
      <c r="M720" s="78">
        <f t="shared" si="236"/>
        <v>0</v>
      </c>
      <c r="N720" s="78">
        <f t="shared" si="236"/>
        <v>0</v>
      </c>
      <c r="O720" s="78">
        <f t="shared" si="236"/>
        <v>0</v>
      </c>
      <c r="P720" s="78">
        <f t="shared" si="236"/>
        <v>0</v>
      </c>
      <c r="Q720" s="78">
        <f t="shared" si="236"/>
        <v>2.5781250000000006E-3</v>
      </c>
      <c r="R720" s="78">
        <f t="shared" si="236"/>
        <v>5.1562500000000011E-3</v>
      </c>
      <c r="S720" s="78">
        <f t="shared" si="236"/>
        <v>7.7343750000000008E-3</v>
      </c>
      <c r="T720" s="78">
        <f t="shared" si="236"/>
        <v>1.0312500000000002E-2</v>
      </c>
      <c r="U720" s="78">
        <f t="shared" si="236"/>
        <v>1.2890624999999999E-2</v>
      </c>
      <c r="V720" s="78">
        <f t="shared" si="236"/>
        <v>1.5468750000000002E-2</v>
      </c>
      <c r="W720" s="78">
        <f t="shared" si="236"/>
        <v>1.8046875E-2</v>
      </c>
      <c r="X720" s="78">
        <f t="shared" si="236"/>
        <v>2.0625000000000004E-2</v>
      </c>
      <c r="Y720" s="78">
        <f t="shared" si="236"/>
        <v>2.3203125000000002E-2</v>
      </c>
      <c r="Z720" s="78">
        <f t="shared" si="236"/>
        <v>2.5781249999999999E-2</v>
      </c>
      <c r="AA720" s="78">
        <f t="shared" si="236"/>
        <v>2.8359375000000003E-2</v>
      </c>
      <c r="AB720" s="78">
        <f t="shared" si="236"/>
        <v>3.0937500000000003E-2</v>
      </c>
      <c r="AC720" s="78">
        <f t="shared" si="236"/>
        <v>3.3515625E-2</v>
      </c>
      <c r="AD720" s="78">
        <f t="shared" si="236"/>
        <v>3.6093750000000001E-2</v>
      </c>
      <c r="AE720" s="78">
        <f t="shared" si="236"/>
        <v>3.8671875000000008E-2</v>
      </c>
      <c r="AF720" s="70"/>
      <c r="AG720" s="70"/>
      <c r="AH720" s="70"/>
      <c r="AI720" s="70"/>
    </row>
    <row r="721" spans="1:35" x14ac:dyDescent="0.45">
      <c r="A721" s="70"/>
      <c r="B721" s="52"/>
      <c r="C721" s="52"/>
      <c r="D721" s="52" t="s">
        <v>1456</v>
      </c>
      <c r="E721" s="70"/>
      <c r="F721" s="70"/>
      <c r="G721" s="70"/>
      <c r="H721" s="70"/>
      <c r="I721" s="70"/>
      <c r="J721" s="70"/>
      <c r="K721" s="72"/>
      <c r="L721" s="78">
        <f t="shared" ref="L721:AE721" si="237">(L711+L700)/L689</f>
        <v>0</v>
      </c>
      <c r="M721" s="78">
        <f t="shared" si="237"/>
        <v>0</v>
      </c>
      <c r="N721" s="78">
        <f t="shared" si="237"/>
        <v>0</v>
      </c>
      <c r="O721" s="78">
        <f t="shared" si="237"/>
        <v>0</v>
      </c>
      <c r="P721" s="78">
        <f t="shared" si="237"/>
        <v>0</v>
      </c>
      <c r="Q721" s="78">
        <f t="shared" si="237"/>
        <v>3.8750000000000007E-2</v>
      </c>
      <c r="R721" s="78">
        <f t="shared" si="237"/>
        <v>7.7500000000000013E-2</v>
      </c>
      <c r="S721" s="78">
        <f t="shared" si="237"/>
        <v>0.11625000000000001</v>
      </c>
      <c r="T721" s="78">
        <f t="shared" si="237"/>
        <v>0.15500000000000003</v>
      </c>
      <c r="U721" s="78">
        <f t="shared" si="237"/>
        <v>0.19375000000000003</v>
      </c>
      <c r="V721" s="78">
        <f t="shared" si="237"/>
        <v>0.23250000000000001</v>
      </c>
      <c r="W721" s="78">
        <f t="shared" si="237"/>
        <v>0.27124999999999999</v>
      </c>
      <c r="X721" s="78">
        <f t="shared" si="237"/>
        <v>0.31000000000000005</v>
      </c>
      <c r="Y721" s="78">
        <f t="shared" si="237"/>
        <v>0.34875000000000006</v>
      </c>
      <c r="Z721" s="78">
        <f t="shared" si="237"/>
        <v>0.38750000000000007</v>
      </c>
      <c r="AA721" s="78">
        <f t="shared" si="237"/>
        <v>0.42625000000000007</v>
      </c>
      <c r="AB721" s="78">
        <f t="shared" si="237"/>
        <v>0.46500000000000002</v>
      </c>
      <c r="AC721" s="78">
        <f t="shared" si="237"/>
        <v>0.50375000000000003</v>
      </c>
      <c r="AD721" s="78">
        <f t="shared" si="237"/>
        <v>0.54249999999999998</v>
      </c>
      <c r="AE721" s="78">
        <f t="shared" si="237"/>
        <v>0.58125000000000004</v>
      </c>
      <c r="AF721" s="70"/>
      <c r="AG721" s="70"/>
      <c r="AH721" s="70"/>
      <c r="AI721" s="70"/>
    </row>
    <row r="722" spans="1:35" x14ac:dyDescent="0.45">
      <c r="A722" s="70"/>
      <c r="B722" s="52"/>
      <c r="C722" s="52"/>
      <c r="D722" s="52" t="s">
        <v>1459</v>
      </c>
      <c r="E722" s="70"/>
      <c r="F722" s="70"/>
      <c r="G722" s="70"/>
      <c r="H722" s="70"/>
      <c r="I722" s="70"/>
      <c r="J722" s="70"/>
      <c r="K722" s="72"/>
      <c r="L722" s="78">
        <f t="shared" ref="L722:AE722" si="238">(L712+L701)/L690</f>
        <v>0</v>
      </c>
      <c r="M722" s="78">
        <f t="shared" si="238"/>
        <v>0</v>
      </c>
      <c r="N722" s="78">
        <f t="shared" si="238"/>
        <v>0</v>
      </c>
      <c r="O722" s="78">
        <f t="shared" si="238"/>
        <v>0</v>
      </c>
      <c r="P722" s="78">
        <f t="shared" si="238"/>
        <v>0</v>
      </c>
      <c r="Q722" s="78">
        <f t="shared" si="238"/>
        <v>3.2761363636363637E-2</v>
      </c>
      <c r="R722" s="78">
        <f t="shared" si="238"/>
        <v>6.5522727272727274E-2</v>
      </c>
      <c r="S722" s="78">
        <f t="shared" si="238"/>
        <v>9.8284090909090904E-2</v>
      </c>
      <c r="T722" s="78">
        <f t="shared" si="238"/>
        <v>0.13104545454545455</v>
      </c>
      <c r="U722" s="78">
        <f t="shared" si="238"/>
        <v>0.16380681818181819</v>
      </c>
      <c r="V722" s="78">
        <f t="shared" si="238"/>
        <v>0.19656818181818181</v>
      </c>
      <c r="W722" s="78">
        <f t="shared" si="238"/>
        <v>0.22932954545454545</v>
      </c>
      <c r="X722" s="78">
        <f t="shared" si="238"/>
        <v>0.2620909090909091</v>
      </c>
      <c r="Y722" s="78">
        <f t="shared" si="238"/>
        <v>0.29485227272727277</v>
      </c>
      <c r="Z722" s="78">
        <f t="shared" si="238"/>
        <v>0.32761363636363638</v>
      </c>
      <c r="AA722" s="78">
        <f t="shared" si="238"/>
        <v>0.360375</v>
      </c>
      <c r="AB722" s="78">
        <f t="shared" si="238"/>
        <v>0.39313636363636362</v>
      </c>
      <c r="AC722" s="78">
        <f t="shared" si="238"/>
        <v>0.42589772727272729</v>
      </c>
      <c r="AD722" s="78">
        <f t="shared" si="238"/>
        <v>0.45865909090909091</v>
      </c>
      <c r="AE722" s="78">
        <f t="shared" si="238"/>
        <v>0.49142045454545452</v>
      </c>
      <c r="AF722" s="70"/>
      <c r="AG722" s="70"/>
      <c r="AH722" s="70"/>
      <c r="AI722" s="70"/>
    </row>
    <row r="723" spans="1:35" x14ac:dyDescent="0.45">
      <c r="A723" s="70"/>
      <c r="B723" s="52"/>
      <c r="C723" s="52"/>
      <c r="D723" s="52" t="s">
        <v>1462</v>
      </c>
      <c r="E723" s="70"/>
      <c r="F723" s="70"/>
      <c r="G723" s="70"/>
      <c r="H723" s="70"/>
      <c r="I723" s="70"/>
      <c r="J723" s="70"/>
      <c r="K723" s="72"/>
      <c r="L723" s="78">
        <f t="shared" ref="L723:AE723" si="239">(L713+L702)/L691</f>
        <v>0</v>
      </c>
      <c r="M723" s="78">
        <f t="shared" si="239"/>
        <v>0</v>
      </c>
      <c r="N723" s="78">
        <f t="shared" si="239"/>
        <v>0</v>
      </c>
      <c r="O723" s="78">
        <f t="shared" si="239"/>
        <v>0</v>
      </c>
      <c r="P723" s="78">
        <f t="shared" si="239"/>
        <v>0</v>
      </c>
      <c r="Q723" s="78">
        <f t="shared" si="239"/>
        <v>5.1424999999999998E-2</v>
      </c>
      <c r="R723" s="78">
        <f t="shared" si="239"/>
        <v>0.10285</v>
      </c>
      <c r="S723" s="78">
        <f t="shared" si="239"/>
        <v>0.154275</v>
      </c>
      <c r="T723" s="78">
        <f t="shared" si="239"/>
        <v>0.20569999999999999</v>
      </c>
      <c r="U723" s="78">
        <f t="shared" si="239"/>
        <v>0.25712499999999999</v>
      </c>
      <c r="V723" s="78">
        <f t="shared" si="239"/>
        <v>0.30854999999999999</v>
      </c>
      <c r="W723" s="78">
        <f t="shared" si="239"/>
        <v>0.35997499999999993</v>
      </c>
      <c r="X723" s="78">
        <f t="shared" si="239"/>
        <v>0.41139999999999999</v>
      </c>
      <c r="Y723" s="78">
        <f t="shared" si="239"/>
        <v>0.46282499999999993</v>
      </c>
      <c r="Z723" s="78">
        <f t="shared" si="239"/>
        <v>0.51424999999999998</v>
      </c>
      <c r="AA723" s="78">
        <f t="shared" si="239"/>
        <v>0.56567499999999993</v>
      </c>
      <c r="AB723" s="78">
        <f t="shared" si="239"/>
        <v>0.61709999999999998</v>
      </c>
      <c r="AC723" s="78">
        <f t="shared" si="239"/>
        <v>0.66852500000000004</v>
      </c>
      <c r="AD723" s="78">
        <f t="shared" si="239"/>
        <v>0.71994999999999987</v>
      </c>
      <c r="AE723" s="78">
        <f t="shared" si="239"/>
        <v>0.77137499999999992</v>
      </c>
      <c r="AF723" s="70"/>
      <c r="AG723" s="70"/>
      <c r="AH723" s="70"/>
      <c r="AI723" s="70"/>
    </row>
    <row r="724" spans="1:35" x14ac:dyDescent="0.45">
      <c r="A724" s="70"/>
      <c r="B724" s="52"/>
      <c r="C724" s="52"/>
      <c r="D724" s="52" t="s">
        <v>1465</v>
      </c>
      <c r="E724" s="70"/>
      <c r="F724" s="70"/>
      <c r="G724" s="70"/>
      <c r="H724" s="70"/>
      <c r="I724" s="70"/>
      <c r="J724" s="70"/>
      <c r="K724" s="72"/>
      <c r="L724" s="78">
        <f t="shared" ref="L724:AE724" si="240">(L714+L703)/L692</f>
        <v>0</v>
      </c>
      <c r="M724" s="78">
        <f t="shared" si="240"/>
        <v>0</v>
      </c>
      <c r="N724" s="78">
        <f t="shared" si="240"/>
        <v>0</v>
      </c>
      <c r="O724" s="78">
        <f t="shared" si="240"/>
        <v>0</v>
      </c>
      <c r="P724" s="78">
        <f t="shared" si="240"/>
        <v>0</v>
      </c>
      <c r="Q724" s="78">
        <f t="shared" si="240"/>
        <v>3.6907894736842102E-3</v>
      </c>
      <c r="R724" s="78">
        <f t="shared" si="240"/>
        <v>7.3815789473684204E-3</v>
      </c>
      <c r="S724" s="78">
        <f t="shared" si="240"/>
        <v>1.1072368421052631E-2</v>
      </c>
      <c r="T724" s="78">
        <f t="shared" si="240"/>
        <v>1.4763157894736841E-2</v>
      </c>
      <c r="U724" s="78">
        <f t="shared" si="240"/>
        <v>1.8453947368421052E-2</v>
      </c>
      <c r="V724" s="78">
        <f t="shared" si="240"/>
        <v>2.2144736842105262E-2</v>
      </c>
      <c r="W724" s="78">
        <f t="shared" si="240"/>
        <v>2.5835526315789472E-2</v>
      </c>
      <c r="X724" s="78">
        <f t="shared" si="240"/>
        <v>2.9526315789473682E-2</v>
      </c>
      <c r="Y724" s="78">
        <f t="shared" si="240"/>
        <v>3.3217105263157888E-2</v>
      </c>
      <c r="Z724" s="78">
        <f t="shared" si="240"/>
        <v>3.6907894736842105E-2</v>
      </c>
      <c r="AA724" s="78">
        <f t="shared" si="240"/>
        <v>4.0598684210526315E-2</v>
      </c>
      <c r="AB724" s="78">
        <f t="shared" si="240"/>
        <v>4.4289473684210524E-2</v>
      </c>
      <c r="AC724" s="78">
        <f t="shared" si="240"/>
        <v>4.7980263157894734E-2</v>
      </c>
      <c r="AD724" s="78">
        <f t="shared" si="240"/>
        <v>5.1671052631578944E-2</v>
      </c>
      <c r="AE724" s="78">
        <f t="shared" si="240"/>
        <v>5.5361842105263154E-2</v>
      </c>
      <c r="AF724" s="70"/>
      <c r="AG724" s="70"/>
      <c r="AH724" s="70"/>
      <c r="AI724" s="70"/>
    </row>
    <row r="725" spans="1:35" x14ac:dyDescent="0.45">
      <c r="A725" s="70"/>
      <c r="B725" s="52"/>
      <c r="C725" s="52"/>
      <c r="D725" s="52" t="s">
        <v>1468</v>
      </c>
      <c r="E725" s="70"/>
      <c r="F725" s="70"/>
      <c r="G725" s="70"/>
      <c r="H725" s="70"/>
      <c r="I725" s="70"/>
      <c r="J725" s="70"/>
      <c r="K725" s="72"/>
      <c r="L725" s="78">
        <f t="shared" ref="L725:AE725" si="241">(L715+L704)/L693</f>
        <v>0</v>
      </c>
      <c r="M725" s="78">
        <f t="shared" si="241"/>
        <v>0</v>
      </c>
      <c r="N725" s="78">
        <f t="shared" si="241"/>
        <v>0</v>
      </c>
      <c r="O725" s="78">
        <f t="shared" si="241"/>
        <v>0</v>
      </c>
      <c r="P725" s="78">
        <f t="shared" si="241"/>
        <v>0</v>
      </c>
      <c r="Q725" s="78">
        <f t="shared" si="241"/>
        <v>4.3828124999999996E-3</v>
      </c>
      <c r="R725" s="78">
        <f t="shared" si="241"/>
        <v>8.7656249999999991E-3</v>
      </c>
      <c r="S725" s="78">
        <f t="shared" si="241"/>
        <v>1.3148437499999999E-2</v>
      </c>
      <c r="T725" s="78">
        <f t="shared" si="241"/>
        <v>1.7531249999999998E-2</v>
      </c>
      <c r="U725" s="78">
        <f t="shared" si="241"/>
        <v>2.1914062499999998E-2</v>
      </c>
      <c r="V725" s="78">
        <f t="shared" si="241"/>
        <v>2.6296874999999997E-2</v>
      </c>
      <c r="W725" s="78">
        <f t="shared" si="241"/>
        <v>3.0679687499999997E-2</v>
      </c>
      <c r="X725" s="78">
        <f t="shared" si="241"/>
        <v>3.5062499999999996E-2</v>
      </c>
      <c r="Y725" s="78">
        <f t="shared" si="241"/>
        <v>3.9445312499999996E-2</v>
      </c>
      <c r="Z725" s="78">
        <f t="shared" si="241"/>
        <v>4.3828124999999996E-2</v>
      </c>
      <c r="AA725" s="78">
        <f t="shared" si="241"/>
        <v>4.8210937499999995E-2</v>
      </c>
      <c r="AB725" s="78">
        <f t="shared" si="241"/>
        <v>5.2593749999999995E-2</v>
      </c>
      <c r="AC725" s="78">
        <f t="shared" si="241"/>
        <v>5.6976562499999994E-2</v>
      </c>
      <c r="AD725" s="78">
        <f t="shared" si="241"/>
        <v>6.1359374999999994E-2</v>
      </c>
      <c r="AE725" s="78">
        <f t="shared" si="241"/>
        <v>6.5742187499999993E-2</v>
      </c>
      <c r="AF725" s="70"/>
      <c r="AG725" s="70"/>
      <c r="AH725" s="70"/>
      <c r="AI725" s="70"/>
    </row>
    <row r="726" spans="1:35" x14ac:dyDescent="0.45">
      <c r="A726" s="70"/>
      <c r="B726" s="52"/>
      <c r="C726" s="52"/>
      <c r="D726" s="52" t="s">
        <v>1471</v>
      </c>
      <c r="E726" s="70"/>
      <c r="F726" s="70"/>
      <c r="G726" s="70"/>
      <c r="H726" s="70"/>
      <c r="I726" s="70"/>
      <c r="J726" s="70"/>
      <c r="K726" s="72"/>
      <c r="L726" s="78">
        <f t="shared" ref="L726:AE726" si="242">(L716+L705)/L694</f>
        <v>0</v>
      </c>
      <c r="M726" s="78">
        <f t="shared" si="242"/>
        <v>0</v>
      </c>
      <c r="N726" s="78">
        <f t="shared" si="242"/>
        <v>0</v>
      </c>
      <c r="O726" s="78">
        <f t="shared" si="242"/>
        <v>0</v>
      </c>
      <c r="P726" s="78">
        <f t="shared" si="242"/>
        <v>0</v>
      </c>
      <c r="Q726" s="78">
        <f t="shared" si="242"/>
        <v>8.1249999999999996E-4</v>
      </c>
      <c r="R726" s="78">
        <f t="shared" si="242"/>
        <v>1.6249999999999999E-3</v>
      </c>
      <c r="S726" s="78">
        <f t="shared" si="242"/>
        <v>2.4375E-3</v>
      </c>
      <c r="T726" s="78">
        <f t="shared" si="242"/>
        <v>3.2499999999999999E-3</v>
      </c>
      <c r="U726" s="78">
        <f t="shared" si="242"/>
        <v>4.0625000000000001E-3</v>
      </c>
      <c r="V726" s="78">
        <f t="shared" si="242"/>
        <v>4.875E-3</v>
      </c>
      <c r="W726" s="78">
        <f t="shared" si="242"/>
        <v>5.6874999999999998E-3</v>
      </c>
      <c r="X726" s="78">
        <f t="shared" si="242"/>
        <v>6.4999999999999997E-3</v>
      </c>
      <c r="Y726" s="78">
        <f t="shared" si="242"/>
        <v>7.3125000000000004E-3</v>
      </c>
      <c r="Z726" s="78">
        <f t="shared" si="242"/>
        <v>8.1250000000000003E-3</v>
      </c>
      <c r="AA726" s="78">
        <f t="shared" si="242"/>
        <v>8.9374999999999993E-3</v>
      </c>
      <c r="AB726" s="78">
        <f t="shared" si="242"/>
        <v>9.75E-3</v>
      </c>
      <c r="AC726" s="78">
        <f t="shared" si="242"/>
        <v>1.0562500000000001E-2</v>
      </c>
      <c r="AD726" s="78">
        <f t="shared" si="242"/>
        <v>1.1375E-2</v>
      </c>
      <c r="AE726" s="78">
        <f t="shared" si="242"/>
        <v>1.21875E-2</v>
      </c>
      <c r="AF726" s="70"/>
      <c r="AG726" s="70"/>
      <c r="AH726" s="70"/>
      <c r="AI726" s="70"/>
    </row>
    <row r="727" spans="1:35" x14ac:dyDescent="0.45">
      <c r="A727" s="70"/>
      <c r="B727" s="52"/>
      <c r="C727" s="52"/>
      <c r="D727" s="52"/>
      <c r="E727" s="70"/>
      <c r="F727" s="70"/>
      <c r="G727" s="70"/>
      <c r="H727" s="70"/>
      <c r="I727" s="70"/>
      <c r="J727" s="70"/>
      <c r="K727" s="72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  <c r="AI727" s="70"/>
    </row>
    <row r="728" spans="1:35" x14ac:dyDescent="0.45">
      <c r="A728" s="71"/>
      <c r="B728" s="52"/>
      <c r="C728" s="73" t="s">
        <v>1481</v>
      </c>
      <c r="D728" s="73"/>
      <c r="E728" s="70"/>
      <c r="F728" s="72" t="s">
        <v>1482</v>
      </c>
      <c r="G728" s="72" t="s">
        <v>1483</v>
      </c>
      <c r="H728" s="72" t="s">
        <v>1484</v>
      </c>
      <c r="I728" s="72" t="s">
        <v>1898</v>
      </c>
      <c r="J728" s="72" t="s">
        <v>1899</v>
      </c>
      <c r="K728" s="72"/>
      <c r="L728" s="74">
        <f t="shared" ref="L728:AE728" si="243">L739</f>
        <v>2022</v>
      </c>
      <c r="M728" s="74">
        <f t="shared" si="243"/>
        <v>2023</v>
      </c>
      <c r="N728" s="74">
        <f t="shared" si="243"/>
        <v>2024</v>
      </c>
      <c r="O728" s="74">
        <f t="shared" si="243"/>
        <v>2025</v>
      </c>
      <c r="P728" s="74">
        <f t="shared" si="243"/>
        <v>2026</v>
      </c>
      <c r="Q728" s="74">
        <f t="shared" si="243"/>
        <v>2027</v>
      </c>
      <c r="R728" s="74">
        <f t="shared" si="243"/>
        <v>2028</v>
      </c>
      <c r="S728" s="74">
        <f t="shared" si="243"/>
        <v>2029</v>
      </c>
      <c r="T728" s="74">
        <f t="shared" si="243"/>
        <v>2030</v>
      </c>
      <c r="U728" s="74">
        <f t="shared" si="243"/>
        <v>2031</v>
      </c>
      <c r="V728" s="74">
        <f t="shared" si="243"/>
        <v>2032</v>
      </c>
      <c r="W728" s="74">
        <f t="shared" si="243"/>
        <v>2033</v>
      </c>
      <c r="X728" s="74">
        <f t="shared" si="243"/>
        <v>2034</v>
      </c>
      <c r="Y728" s="74">
        <f t="shared" si="243"/>
        <v>2035</v>
      </c>
      <c r="Z728" s="74">
        <f t="shared" si="243"/>
        <v>2036</v>
      </c>
      <c r="AA728" s="74">
        <f t="shared" si="243"/>
        <v>2037</v>
      </c>
      <c r="AB728" s="74">
        <f t="shared" si="243"/>
        <v>2038</v>
      </c>
      <c r="AC728" s="74">
        <f t="shared" si="243"/>
        <v>2039</v>
      </c>
      <c r="AD728" s="74">
        <f t="shared" si="243"/>
        <v>2040</v>
      </c>
      <c r="AE728" s="74">
        <f t="shared" si="243"/>
        <v>2041</v>
      </c>
      <c r="AF728" s="74"/>
      <c r="AG728" s="70"/>
      <c r="AH728" s="70"/>
      <c r="AI728" s="70"/>
    </row>
    <row r="729" spans="1:35" x14ac:dyDescent="0.45">
      <c r="A729" s="71"/>
      <c r="B729" s="52"/>
      <c r="C729" s="71"/>
      <c r="D729" s="52" t="s">
        <v>1350</v>
      </c>
      <c r="E729" s="71" t="s">
        <v>1485</v>
      </c>
      <c r="F729" s="72">
        <f t="shared" ref="F729:F736" si="244">H663+I663</f>
        <v>0.69003000000000003</v>
      </c>
      <c r="G729" s="72">
        <f t="shared" ref="G729:G736" si="245">MAX($J663,0)+MAX($K663,0)</f>
        <v>0.04</v>
      </c>
      <c r="H729" s="72">
        <f t="shared" ref="H729:H736" si="246">G729/F729</f>
        <v>5.7968494123443903E-2</v>
      </c>
      <c r="I729" s="100">
        <f t="shared" ref="I729:I736" si="247">IF($F729=0,0,$E698/$F729)</f>
        <v>1</v>
      </c>
      <c r="J729" s="100">
        <f t="shared" ref="J729:J736" si="248">IF($G729=0,0,$E709/$G729)</f>
        <v>1</v>
      </c>
      <c r="K729" s="72"/>
      <c r="L729" s="72">
        <f t="shared" ref="L729:AE729" si="249">L675*$F729/1000</f>
        <v>3.2287703131193024</v>
      </c>
      <c r="M729" s="72">
        <f t="shared" si="249"/>
        <v>3.3708362068965516</v>
      </c>
      <c r="N729" s="72">
        <f t="shared" si="249"/>
        <v>3.5191530000000002</v>
      </c>
      <c r="O729" s="72">
        <f t="shared" si="249"/>
        <v>3.6739957320000007</v>
      </c>
      <c r="P729" s="72">
        <f t="shared" si="249"/>
        <v>3.8356515442080008</v>
      </c>
      <c r="Q729" s="72">
        <f t="shared" si="249"/>
        <v>4.0044202121531534</v>
      </c>
      <c r="R729" s="72">
        <f t="shared" si="249"/>
        <v>4.1806147014878912</v>
      </c>
      <c r="S729" s="72">
        <f t="shared" si="249"/>
        <v>4.3645617483533599</v>
      </c>
      <c r="T729" s="72">
        <f t="shared" si="249"/>
        <v>4.556602465280907</v>
      </c>
      <c r="U729" s="72">
        <f t="shared" si="249"/>
        <v>4.7570929737532675</v>
      </c>
      <c r="V729" s="72">
        <f t="shared" si="249"/>
        <v>4.9664050645984119</v>
      </c>
      <c r="W729" s="72">
        <f t="shared" si="249"/>
        <v>5.1849268874407413</v>
      </c>
      <c r="X729" s="72">
        <f t="shared" si="249"/>
        <v>5.4130636704881345</v>
      </c>
      <c r="Y729" s="72">
        <f t="shared" si="249"/>
        <v>5.6512384719896129</v>
      </c>
      <c r="Z729" s="72">
        <f t="shared" si="249"/>
        <v>5.8998929647571554</v>
      </c>
      <c r="AA729" s="72">
        <f t="shared" si="249"/>
        <v>6.1594882552064707</v>
      </c>
      <c r="AB729" s="72">
        <f t="shared" si="249"/>
        <v>6.4305057384355555</v>
      </c>
      <c r="AC729" s="72">
        <f t="shared" si="249"/>
        <v>6.7134479909267206</v>
      </c>
      <c r="AD729" s="72">
        <f t="shared" si="249"/>
        <v>7.0088397025274967</v>
      </c>
      <c r="AE729" s="72">
        <f t="shared" si="249"/>
        <v>7.3172286494387055</v>
      </c>
      <c r="AF729" s="72"/>
      <c r="AG729" s="70"/>
      <c r="AH729" s="70"/>
      <c r="AI729" s="70"/>
    </row>
    <row r="730" spans="1:35" x14ac:dyDescent="0.45">
      <c r="A730" s="71"/>
      <c r="B730" s="52"/>
      <c r="C730" s="71"/>
      <c r="D730" s="52" t="s">
        <v>1357</v>
      </c>
      <c r="E730" s="71" t="s">
        <v>1485</v>
      </c>
      <c r="F730" s="72">
        <f t="shared" si="244"/>
        <v>0.14025000000000001</v>
      </c>
      <c r="G730" s="72">
        <f t="shared" si="245"/>
        <v>1.4999999999999999E-2</v>
      </c>
      <c r="H730" s="72">
        <f t="shared" si="246"/>
        <v>0.10695187165775399</v>
      </c>
      <c r="I730" s="100">
        <f t="shared" si="247"/>
        <v>1</v>
      </c>
      <c r="J730" s="100">
        <f t="shared" si="248"/>
        <v>1</v>
      </c>
      <c r="K730" s="72"/>
      <c r="L730" s="72">
        <f t="shared" ref="L730:AE730" si="250">L676*$F730/1000</f>
        <v>0.61765094464262127</v>
      </c>
      <c r="M730" s="72">
        <f t="shared" si="250"/>
        <v>0.64482758620689662</v>
      </c>
      <c r="N730" s="72">
        <f t="shared" si="250"/>
        <v>0.67320000000000002</v>
      </c>
      <c r="O730" s="72">
        <f t="shared" si="250"/>
        <v>0.70282080000000002</v>
      </c>
      <c r="P730" s="72">
        <f t="shared" si="250"/>
        <v>0.73374491520000007</v>
      </c>
      <c r="Q730" s="72">
        <f t="shared" si="250"/>
        <v>0.76602969146880007</v>
      </c>
      <c r="R730" s="72">
        <f t="shared" si="250"/>
        <v>0.79973499789342728</v>
      </c>
      <c r="S730" s="72">
        <f t="shared" si="250"/>
        <v>0.83492333780073813</v>
      </c>
      <c r="T730" s="72">
        <f t="shared" si="250"/>
        <v>0.87165996466397067</v>
      </c>
      <c r="U730" s="72">
        <f t="shared" si="250"/>
        <v>0.91001300310918543</v>
      </c>
      <c r="V730" s="72">
        <f t="shared" si="250"/>
        <v>0.95005357524598955</v>
      </c>
      <c r="W730" s="72">
        <f t="shared" si="250"/>
        <v>0.99185593255681304</v>
      </c>
      <c r="X730" s="72">
        <f t="shared" si="250"/>
        <v>1.0354975935893131</v>
      </c>
      <c r="Y730" s="72">
        <f t="shared" si="250"/>
        <v>1.0810594877072426</v>
      </c>
      <c r="Z730" s="72">
        <f t="shared" si="250"/>
        <v>1.1286261051663613</v>
      </c>
      <c r="AA730" s="72">
        <f t="shared" si="250"/>
        <v>1.1782856537936812</v>
      </c>
      <c r="AB730" s="72">
        <f t="shared" si="250"/>
        <v>1.2301302225606032</v>
      </c>
      <c r="AC730" s="72">
        <f t="shared" si="250"/>
        <v>1.2842559523532697</v>
      </c>
      <c r="AD730" s="72">
        <f t="shared" si="250"/>
        <v>1.3407632142568136</v>
      </c>
      <c r="AE730" s="72">
        <f t="shared" si="250"/>
        <v>1.3997567956841135</v>
      </c>
      <c r="AF730" s="72"/>
      <c r="AG730" s="70"/>
      <c r="AH730" s="70"/>
      <c r="AI730" s="70"/>
    </row>
    <row r="731" spans="1:35" x14ac:dyDescent="0.45">
      <c r="A731" s="71"/>
      <c r="B731" s="52"/>
      <c r="C731" s="71"/>
      <c r="D731" s="52" t="s">
        <v>1363</v>
      </c>
      <c r="E731" s="71" t="s">
        <v>1485</v>
      </c>
      <c r="F731" s="72">
        <f t="shared" si="244"/>
        <v>1.9220000000000002</v>
      </c>
      <c r="G731" s="72">
        <f t="shared" si="245"/>
        <v>0.25</v>
      </c>
      <c r="H731" s="72">
        <f t="shared" si="246"/>
        <v>0.13007284079084286</v>
      </c>
      <c r="I731" s="100">
        <f t="shared" si="247"/>
        <v>1</v>
      </c>
      <c r="J731" s="100">
        <f t="shared" si="248"/>
        <v>1</v>
      </c>
      <c r="K731" s="72"/>
      <c r="L731" s="72">
        <f t="shared" ref="L731:AE731" si="251">L677*$F731/1000</f>
        <v>0</v>
      </c>
      <c r="M731" s="72">
        <f t="shared" si="251"/>
        <v>0</v>
      </c>
      <c r="N731" s="72">
        <f t="shared" si="251"/>
        <v>0</v>
      </c>
      <c r="O731" s="72">
        <f t="shared" si="251"/>
        <v>0</v>
      </c>
      <c r="P731" s="72">
        <f t="shared" si="251"/>
        <v>0</v>
      </c>
      <c r="Q731" s="72">
        <f t="shared" si="251"/>
        <v>0</v>
      </c>
      <c r="R731" s="72">
        <f t="shared" si="251"/>
        <v>0</v>
      </c>
      <c r="S731" s="72">
        <f t="shared" si="251"/>
        <v>0</v>
      </c>
      <c r="T731" s="72">
        <f t="shared" si="251"/>
        <v>0</v>
      </c>
      <c r="U731" s="72">
        <f t="shared" si="251"/>
        <v>0</v>
      </c>
      <c r="V731" s="72">
        <f t="shared" si="251"/>
        <v>0</v>
      </c>
      <c r="W731" s="72">
        <f t="shared" si="251"/>
        <v>0</v>
      </c>
      <c r="X731" s="72">
        <f t="shared" si="251"/>
        <v>0</v>
      </c>
      <c r="Y731" s="72">
        <f t="shared" si="251"/>
        <v>0</v>
      </c>
      <c r="Z731" s="72">
        <f t="shared" si="251"/>
        <v>0</v>
      </c>
      <c r="AA731" s="72">
        <f t="shared" si="251"/>
        <v>0</v>
      </c>
      <c r="AB731" s="72">
        <f t="shared" si="251"/>
        <v>0</v>
      </c>
      <c r="AC731" s="72">
        <f t="shared" si="251"/>
        <v>0</v>
      </c>
      <c r="AD731" s="72">
        <f t="shared" si="251"/>
        <v>0</v>
      </c>
      <c r="AE731" s="72">
        <f t="shared" si="251"/>
        <v>0</v>
      </c>
      <c r="AF731" s="72"/>
      <c r="AG731" s="70"/>
      <c r="AH731" s="70"/>
      <c r="AI731" s="70"/>
    </row>
    <row r="732" spans="1:35" x14ac:dyDescent="0.45">
      <c r="A732" s="71"/>
      <c r="B732" s="52"/>
      <c r="C732" s="71"/>
      <c r="D732" s="52" t="s">
        <v>1369</v>
      </c>
      <c r="E732" s="71" t="s">
        <v>1485</v>
      </c>
      <c r="F732" s="72">
        <f t="shared" si="244"/>
        <v>0.2883</v>
      </c>
      <c r="G732" s="72">
        <f t="shared" si="245"/>
        <v>0.52600000000000002</v>
      </c>
      <c r="H732" s="72">
        <f t="shared" si="246"/>
        <v>1.8244883801595562</v>
      </c>
      <c r="I732" s="100">
        <f t="shared" si="247"/>
        <v>1</v>
      </c>
      <c r="J732" s="100">
        <f t="shared" si="248"/>
        <v>1</v>
      </c>
      <c r="K732" s="72"/>
      <c r="L732" s="72">
        <f t="shared" ref="L732:AE732" si="252">L678*$F732/1000</f>
        <v>13.508713893592759</v>
      </c>
      <c r="M732" s="72">
        <f t="shared" si="252"/>
        <v>13.954501452081319</v>
      </c>
      <c r="N732" s="72">
        <f t="shared" si="252"/>
        <v>14.414999999999999</v>
      </c>
      <c r="O732" s="72">
        <f t="shared" si="252"/>
        <v>14.890694999999997</v>
      </c>
      <c r="P732" s="72">
        <f t="shared" si="252"/>
        <v>15.382087934999998</v>
      </c>
      <c r="Q732" s="72">
        <f t="shared" si="252"/>
        <v>15.889696836854995</v>
      </c>
      <c r="R732" s="72">
        <f t="shared" si="252"/>
        <v>16.414056832471207</v>
      </c>
      <c r="S732" s="72">
        <f t="shared" si="252"/>
        <v>16.955720707942756</v>
      </c>
      <c r="T732" s="72">
        <f t="shared" si="252"/>
        <v>17.515259491304867</v>
      </c>
      <c r="U732" s="72">
        <f t="shared" si="252"/>
        <v>18.093263054517926</v>
      </c>
      <c r="V732" s="72">
        <f t="shared" si="252"/>
        <v>18.690340735317015</v>
      </c>
      <c r="W732" s="72">
        <f t="shared" si="252"/>
        <v>19.307121979582476</v>
      </c>
      <c r="X732" s="72">
        <f t="shared" si="252"/>
        <v>19.944257004908696</v>
      </c>
      <c r="Y732" s="72">
        <f t="shared" si="252"/>
        <v>20.602417486070681</v>
      </c>
      <c r="Z732" s="72">
        <f t="shared" si="252"/>
        <v>21.282297263111012</v>
      </c>
      <c r="AA732" s="72">
        <f t="shared" si="252"/>
        <v>21.984613072793675</v>
      </c>
      <c r="AB732" s="72">
        <f t="shared" si="252"/>
        <v>22.710105304195867</v>
      </c>
      <c r="AC732" s="72">
        <f t="shared" si="252"/>
        <v>23.459538779234329</v>
      </c>
      <c r="AD732" s="72">
        <f t="shared" si="252"/>
        <v>24.23370355894906</v>
      </c>
      <c r="AE732" s="72">
        <f t="shared" si="252"/>
        <v>25.033415776394378</v>
      </c>
      <c r="AF732" s="72"/>
      <c r="AG732" s="70"/>
      <c r="AH732" s="70"/>
      <c r="AI732" s="70"/>
    </row>
    <row r="733" spans="1:35" x14ac:dyDescent="0.45">
      <c r="A733" s="71"/>
      <c r="B733" s="52"/>
      <c r="C733" s="71"/>
      <c r="D733" s="52" t="s">
        <v>1442</v>
      </c>
      <c r="E733" s="71" t="s">
        <v>1485</v>
      </c>
      <c r="F733" s="72">
        <f t="shared" si="244"/>
        <v>1.8512999999999999</v>
      </c>
      <c r="G733" s="72">
        <f t="shared" si="245"/>
        <v>0</v>
      </c>
      <c r="H733" s="72">
        <f t="shared" si="246"/>
        <v>0</v>
      </c>
      <c r="I733" s="100">
        <f t="shared" si="247"/>
        <v>1</v>
      </c>
      <c r="J733" s="100">
        <f t="shared" si="248"/>
        <v>0</v>
      </c>
      <c r="K733" s="72"/>
      <c r="L733" s="72">
        <f t="shared" ref="L733:AE733" si="253">L679*$F733/1000</f>
        <v>3.1638306570517116</v>
      </c>
      <c r="M733" s="72">
        <f t="shared" si="253"/>
        <v>3.2334349315068494</v>
      </c>
      <c r="N733" s="72">
        <f t="shared" si="253"/>
        <v>3.3045704999999996</v>
      </c>
      <c r="O733" s="72">
        <f t="shared" si="253"/>
        <v>3.3772710509999997</v>
      </c>
      <c r="P733" s="72">
        <f t="shared" si="253"/>
        <v>3.4515710141219995</v>
      </c>
      <c r="Q733" s="72">
        <f t="shared" si="253"/>
        <v>3.5275055764326835</v>
      </c>
      <c r="R733" s="72">
        <f t="shared" si="253"/>
        <v>3.6051106991142028</v>
      </c>
      <c r="S733" s="72">
        <f t="shared" si="253"/>
        <v>3.6844231344947151</v>
      </c>
      <c r="T733" s="72">
        <f t="shared" si="253"/>
        <v>3.7654804434535989</v>
      </c>
      <c r="U733" s="72">
        <f t="shared" si="253"/>
        <v>3.8483210132095782</v>
      </c>
      <c r="V733" s="72">
        <f t="shared" si="253"/>
        <v>3.932984075500189</v>
      </c>
      <c r="W733" s="72">
        <f t="shared" si="253"/>
        <v>4.0195097251611935</v>
      </c>
      <c r="X733" s="72">
        <f t="shared" si="253"/>
        <v>4.1079389391147396</v>
      </c>
      <c r="Y733" s="72">
        <f t="shared" si="253"/>
        <v>4.1983135957752644</v>
      </c>
      <c r="Z733" s="72">
        <f t="shared" si="253"/>
        <v>4.2906764948823204</v>
      </c>
      <c r="AA733" s="72">
        <f t="shared" si="253"/>
        <v>4.385071377769731</v>
      </c>
      <c r="AB733" s="72">
        <f t="shared" si="253"/>
        <v>4.4815429480806648</v>
      </c>
      <c r="AC733" s="72">
        <f t="shared" si="253"/>
        <v>4.5801368929384401</v>
      </c>
      <c r="AD733" s="72">
        <f t="shared" si="253"/>
        <v>4.680899904583085</v>
      </c>
      <c r="AE733" s="72">
        <f t="shared" si="253"/>
        <v>4.7838797024839135</v>
      </c>
      <c r="AF733" s="72"/>
      <c r="AG733" s="70"/>
      <c r="AH733" s="70"/>
      <c r="AI733" s="70"/>
    </row>
    <row r="734" spans="1:35" x14ac:dyDescent="0.45">
      <c r="A734" s="71"/>
      <c r="B734" s="52"/>
      <c r="C734" s="71"/>
      <c r="D734" s="52" t="s">
        <v>1383</v>
      </c>
      <c r="E734" s="71" t="s">
        <v>1485</v>
      </c>
      <c r="F734" s="72">
        <f t="shared" si="244"/>
        <v>0.11219999999999999</v>
      </c>
      <c r="G734" s="72">
        <f t="shared" si="245"/>
        <v>0</v>
      </c>
      <c r="H734" s="72">
        <f t="shared" si="246"/>
        <v>0</v>
      </c>
      <c r="I734" s="100">
        <f t="shared" si="247"/>
        <v>1</v>
      </c>
      <c r="J734" s="100">
        <f t="shared" si="248"/>
        <v>0</v>
      </c>
      <c r="K734" s="72"/>
      <c r="L734" s="72">
        <f t="shared" ref="L734:AE734" si="254">L680*$F734/1000</f>
        <v>0.30078009811543305</v>
      </c>
      <c r="M734" s="72">
        <f t="shared" si="254"/>
        <v>0.30739726027397257</v>
      </c>
      <c r="N734" s="72">
        <f t="shared" si="254"/>
        <v>0.31415999999999999</v>
      </c>
      <c r="O734" s="72">
        <f t="shared" si="254"/>
        <v>0.32107151999999994</v>
      </c>
      <c r="P734" s="72">
        <f t="shared" si="254"/>
        <v>0.32813509343999991</v>
      </c>
      <c r="Q734" s="72">
        <f t="shared" si="254"/>
        <v>0.33535406549567992</v>
      </c>
      <c r="R734" s="72">
        <f t="shared" si="254"/>
        <v>0.34273185493658492</v>
      </c>
      <c r="S734" s="72">
        <f t="shared" si="254"/>
        <v>0.35027195574518982</v>
      </c>
      <c r="T734" s="72">
        <f t="shared" si="254"/>
        <v>0.35797793877158396</v>
      </c>
      <c r="U734" s="72">
        <f t="shared" si="254"/>
        <v>0.36585345342455883</v>
      </c>
      <c r="V734" s="72">
        <f t="shared" si="254"/>
        <v>0.37390222939989914</v>
      </c>
      <c r="W734" s="72">
        <f t="shared" si="254"/>
        <v>0.38212807844669699</v>
      </c>
      <c r="X734" s="72">
        <f t="shared" si="254"/>
        <v>0.39053489617252435</v>
      </c>
      <c r="Y734" s="72">
        <f t="shared" si="254"/>
        <v>0.39912666388831991</v>
      </c>
      <c r="Z734" s="72">
        <f t="shared" si="254"/>
        <v>0.40790745049386296</v>
      </c>
      <c r="AA734" s="72">
        <f t="shared" si="254"/>
        <v>0.41688141440472792</v>
      </c>
      <c r="AB734" s="72">
        <f t="shared" si="254"/>
        <v>0.42605280552163199</v>
      </c>
      <c r="AC734" s="72">
        <f t="shared" si="254"/>
        <v>0.43542596724310795</v>
      </c>
      <c r="AD734" s="72">
        <f t="shared" si="254"/>
        <v>0.44500533852245627</v>
      </c>
      <c r="AE734" s="72">
        <f t="shared" si="254"/>
        <v>0.45479545596995036</v>
      </c>
      <c r="AF734" s="72"/>
      <c r="AG734" s="70"/>
      <c r="AH734" s="70"/>
      <c r="AI734" s="70"/>
    </row>
    <row r="735" spans="1:35" x14ac:dyDescent="0.45">
      <c r="A735" s="71"/>
      <c r="B735" s="52"/>
      <c r="C735" s="71"/>
      <c r="D735" s="52" t="s">
        <v>1390</v>
      </c>
      <c r="E735" s="71" t="s">
        <v>1485</v>
      </c>
      <c r="F735" s="72">
        <f t="shared" si="244"/>
        <v>0.11219999999999999</v>
      </c>
      <c r="G735" s="72">
        <f t="shared" si="245"/>
        <v>0.97</v>
      </c>
      <c r="H735" s="72">
        <f t="shared" si="246"/>
        <v>8.6452762923351152</v>
      </c>
      <c r="I735" s="100">
        <f t="shared" si="247"/>
        <v>1</v>
      </c>
      <c r="J735" s="100">
        <f t="shared" si="248"/>
        <v>1</v>
      </c>
      <c r="K735" s="72"/>
      <c r="L735" s="72">
        <f t="shared" ref="L735:AE735" si="255">L681*$F735/1000</f>
        <v>6.4452878167592806E-2</v>
      </c>
      <c r="M735" s="72">
        <f t="shared" si="255"/>
        <v>6.5870841487279841E-2</v>
      </c>
      <c r="N735" s="72">
        <f t="shared" si="255"/>
        <v>6.7319999999999991E-2</v>
      </c>
      <c r="O735" s="72">
        <f t="shared" si="255"/>
        <v>6.8801039999999994E-2</v>
      </c>
      <c r="P735" s="72">
        <f t="shared" si="255"/>
        <v>7.0314662880000003E-2</v>
      </c>
      <c r="Q735" s="72">
        <f t="shared" si="255"/>
        <v>7.1861585463359995E-2</v>
      </c>
      <c r="R735" s="72">
        <f t="shared" si="255"/>
        <v>7.3442540343553922E-2</v>
      </c>
      <c r="S735" s="72">
        <f t="shared" si="255"/>
        <v>7.5058276231112109E-2</v>
      </c>
      <c r="T735" s="72">
        <f t="shared" si="255"/>
        <v>7.6709558308196577E-2</v>
      </c>
      <c r="U735" s="72">
        <f t="shared" si="255"/>
        <v>7.8397168590976909E-2</v>
      </c>
      <c r="V735" s="72">
        <f t="shared" si="255"/>
        <v>8.012190629997841E-2</v>
      </c>
      <c r="W735" s="72">
        <f t="shared" si="255"/>
        <v>8.1884588238577916E-2</v>
      </c>
      <c r="X735" s="72">
        <f t="shared" si="255"/>
        <v>8.3686049179826624E-2</v>
      </c>
      <c r="Y735" s="72">
        <f t="shared" si="255"/>
        <v>8.5527142261782832E-2</v>
      </c>
      <c r="Z735" s="72">
        <f t="shared" si="255"/>
        <v>8.7408739391542062E-2</v>
      </c>
      <c r="AA735" s="72">
        <f t="shared" si="255"/>
        <v>8.9331731658155972E-2</v>
      </c>
      <c r="AB735" s="72">
        <f t="shared" si="255"/>
        <v>9.1297029754635398E-2</v>
      </c>
      <c r="AC735" s="72">
        <f t="shared" si="255"/>
        <v>9.3305564409237388E-2</v>
      </c>
      <c r="AD735" s="72">
        <f t="shared" si="255"/>
        <v>9.5358286826240618E-2</v>
      </c>
      <c r="AE735" s="72">
        <f t="shared" si="255"/>
        <v>9.7456169136417914E-2</v>
      </c>
      <c r="AF735" s="72"/>
      <c r="AG735" s="70"/>
      <c r="AH735" s="70"/>
      <c r="AI735" s="70"/>
    </row>
    <row r="736" spans="1:35" x14ac:dyDescent="0.45">
      <c r="A736" s="71"/>
      <c r="B736" s="52"/>
      <c r="C736" s="71"/>
      <c r="D736" s="52" t="s">
        <v>1397</v>
      </c>
      <c r="E736" s="71" t="s">
        <v>1485</v>
      </c>
      <c r="F736" s="72">
        <f t="shared" si="244"/>
        <v>0.156</v>
      </c>
      <c r="G736" s="72">
        <f t="shared" si="245"/>
        <v>2.35</v>
      </c>
      <c r="H736" s="72">
        <f t="shared" si="246"/>
        <v>15.064102564102564</v>
      </c>
      <c r="I736" s="100">
        <f t="shared" si="247"/>
        <v>1</v>
      </c>
      <c r="J736" s="100">
        <f t="shared" si="248"/>
        <v>1</v>
      </c>
      <c r="K736" s="72"/>
      <c r="L736" s="72">
        <f t="shared" ref="L736:AE736" si="256">L682*$F736/1000</f>
        <v>4.2047573055412055E-2</v>
      </c>
      <c r="M736" s="72">
        <f t="shared" si="256"/>
        <v>4.4360189573459712E-2</v>
      </c>
      <c r="N736" s="72">
        <f t="shared" si="256"/>
        <v>4.6799999999999994E-2</v>
      </c>
      <c r="O736" s="72">
        <f t="shared" si="256"/>
        <v>4.9374000000000001E-2</v>
      </c>
      <c r="P736" s="72">
        <f t="shared" si="256"/>
        <v>5.2089569999999995E-2</v>
      </c>
      <c r="Q736" s="72">
        <f t="shared" si="256"/>
        <v>5.4954496349999993E-2</v>
      </c>
      <c r="R736" s="72">
        <f t="shared" si="256"/>
        <v>5.7976993649249998E-2</v>
      </c>
      <c r="S736" s="72">
        <f t="shared" si="256"/>
        <v>6.1165728299958741E-2</v>
      </c>
      <c r="T736" s="72">
        <f t="shared" si="256"/>
        <v>6.4529843356456465E-2</v>
      </c>
      <c r="U736" s="72">
        <f t="shared" si="256"/>
        <v>6.8078984741061568E-2</v>
      </c>
      <c r="V736" s="72">
        <f t="shared" si="256"/>
        <v>7.1823328901819944E-2</v>
      </c>
      <c r="W736" s="72">
        <f t="shared" si="256"/>
        <v>7.5773611991420048E-2</v>
      </c>
      <c r="X736" s="72">
        <f t="shared" si="256"/>
        <v>7.9941160650948154E-2</v>
      </c>
      <c r="Y736" s="72">
        <f t="shared" si="256"/>
        <v>8.4337924486750301E-2</v>
      </c>
      <c r="Z736" s="72">
        <f t="shared" si="256"/>
        <v>8.8976510333521566E-2</v>
      </c>
      <c r="AA736" s="72">
        <f t="shared" si="256"/>
        <v>9.3870218401865241E-2</v>
      </c>
      <c r="AB736" s="72">
        <f t="shared" si="256"/>
        <v>9.9033080413967828E-2</v>
      </c>
      <c r="AC736" s="72">
        <f t="shared" si="256"/>
        <v>0.10447989983673606</v>
      </c>
      <c r="AD736" s="72">
        <f t="shared" si="256"/>
        <v>0.11022629432775652</v>
      </c>
      <c r="AE736" s="72">
        <f t="shared" si="256"/>
        <v>0.11628874051578311</v>
      </c>
      <c r="AF736" s="72"/>
      <c r="AG736" s="70"/>
      <c r="AH736" s="70"/>
      <c r="AI736" s="70"/>
    </row>
    <row r="737" spans="1:35" x14ac:dyDescent="0.45">
      <c r="A737" s="70"/>
      <c r="B737" s="52"/>
      <c r="C737" s="52"/>
      <c r="D737" s="52" t="s">
        <v>1486</v>
      </c>
      <c r="E737" s="70"/>
      <c r="F737" s="70"/>
      <c r="G737" s="70"/>
      <c r="H737" s="70"/>
      <c r="I737" s="70"/>
      <c r="J737" s="70"/>
      <c r="K737" s="72"/>
      <c r="L737" s="72">
        <f t="shared" ref="L737:AE737" si="257">SUM(L729:L736)</f>
        <v>20.926246357744834</v>
      </c>
      <c r="M737" s="72">
        <f t="shared" si="257"/>
        <v>21.621228468026327</v>
      </c>
      <c r="N737" s="72">
        <f t="shared" si="257"/>
        <v>22.340203500000001</v>
      </c>
      <c r="O737" s="72">
        <f t="shared" si="257"/>
        <v>23.084029143000002</v>
      </c>
      <c r="P737" s="72">
        <f t="shared" si="257"/>
        <v>23.853594734849999</v>
      </c>
      <c r="Q737" s="72">
        <f t="shared" si="257"/>
        <v>24.649822464218669</v>
      </c>
      <c r="R737" s="72">
        <f t="shared" si="257"/>
        <v>25.473668619896113</v>
      </c>
      <c r="S737" s="72">
        <f t="shared" si="257"/>
        <v>26.326124888867827</v>
      </c>
      <c r="T737" s="72">
        <f t="shared" si="257"/>
        <v>27.20821970513958</v>
      </c>
      <c r="U737" s="72">
        <f t="shared" si="257"/>
        <v>28.121019651346554</v>
      </c>
      <c r="V737" s="72">
        <f t="shared" si="257"/>
        <v>29.065630915263306</v>
      </c>
      <c r="W737" s="72">
        <f t="shared" si="257"/>
        <v>30.043200803417918</v>
      </c>
      <c r="X737" s="72">
        <f t="shared" si="257"/>
        <v>31.054919314104183</v>
      </c>
      <c r="Y737" s="72">
        <f t="shared" si="257"/>
        <v>32.102020772179657</v>
      </c>
      <c r="Z737" s="72">
        <f t="shared" si="257"/>
        <v>33.185785528135781</v>
      </c>
      <c r="AA737" s="72">
        <f t="shared" si="257"/>
        <v>34.307541724028312</v>
      </c>
      <c r="AB737" s="72">
        <f t="shared" si="257"/>
        <v>35.468667128962927</v>
      </c>
      <c r="AC737" s="72">
        <f t="shared" si="257"/>
        <v>36.67059104694183</v>
      </c>
      <c r="AD737" s="72">
        <f t="shared" si="257"/>
        <v>37.914796299992908</v>
      </c>
      <c r="AE737" s="72">
        <f t="shared" si="257"/>
        <v>39.202821289623259</v>
      </c>
      <c r="AF737" s="70"/>
      <c r="AG737" s="70"/>
      <c r="AH737" s="70"/>
      <c r="AI737" s="70"/>
    </row>
    <row r="738" spans="1:35" x14ac:dyDescent="0.45">
      <c r="A738" s="70"/>
      <c r="B738" s="52"/>
      <c r="C738" s="52"/>
      <c r="D738" s="70"/>
      <c r="E738" s="70"/>
      <c r="F738" s="70"/>
      <c r="G738" s="70"/>
      <c r="H738" s="70"/>
      <c r="I738" s="70"/>
      <c r="J738" s="70"/>
      <c r="K738" s="72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  <c r="AH738" s="70"/>
      <c r="AI738" s="70"/>
    </row>
    <row r="739" spans="1:35" x14ac:dyDescent="0.45">
      <c r="A739" s="71"/>
      <c r="B739" s="52"/>
      <c r="C739" s="73" t="s">
        <v>1487</v>
      </c>
      <c r="D739" s="73"/>
      <c r="E739" s="70"/>
      <c r="F739" s="70"/>
      <c r="G739" s="70"/>
      <c r="H739" s="70"/>
      <c r="I739" s="72"/>
      <c r="J739" s="72"/>
      <c r="K739" s="72"/>
      <c r="L739" s="74">
        <f t="shared" ref="L739:AE739" si="258">L673</f>
        <v>2022</v>
      </c>
      <c r="M739" s="74">
        <f t="shared" si="258"/>
        <v>2023</v>
      </c>
      <c r="N739" s="74">
        <f t="shared" si="258"/>
        <v>2024</v>
      </c>
      <c r="O739" s="74">
        <f t="shared" si="258"/>
        <v>2025</v>
      </c>
      <c r="P739" s="74">
        <f t="shared" si="258"/>
        <v>2026</v>
      </c>
      <c r="Q739" s="74">
        <f t="shared" si="258"/>
        <v>2027</v>
      </c>
      <c r="R739" s="74">
        <f t="shared" si="258"/>
        <v>2028</v>
      </c>
      <c r="S739" s="74">
        <f t="shared" si="258"/>
        <v>2029</v>
      </c>
      <c r="T739" s="74">
        <f t="shared" si="258"/>
        <v>2030</v>
      </c>
      <c r="U739" s="74">
        <f t="shared" si="258"/>
        <v>2031</v>
      </c>
      <c r="V739" s="74">
        <f t="shared" si="258"/>
        <v>2032</v>
      </c>
      <c r="W739" s="74">
        <f t="shared" si="258"/>
        <v>2033</v>
      </c>
      <c r="X739" s="74">
        <f t="shared" si="258"/>
        <v>2034</v>
      </c>
      <c r="Y739" s="74">
        <f t="shared" si="258"/>
        <v>2035</v>
      </c>
      <c r="Z739" s="74">
        <f t="shared" si="258"/>
        <v>2036</v>
      </c>
      <c r="AA739" s="74">
        <f t="shared" si="258"/>
        <v>2037</v>
      </c>
      <c r="AB739" s="74">
        <f t="shared" si="258"/>
        <v>2038</v>
      </c>
      <c r="AC739" s="74">
        <f t="shared" si="258"/>
        <v>2039</v>
      </c>
      <c r="AD739" s="74">
        <f t="shared" si="258"/>
        <v>2040</v>
      </c>
      <c r="AE739" s="74">
        <f t="shared" si="258"/>
        <v>2041</v>
      </c>
      <c r="AF739" s="74"/>
      <c r="AG739" s="70"/>
      <c r="AH739" s="70"/>
      <c r="AI739" s="70"/>
    </row>
    <row r="740" spans="1:35" x14ac:dyDescent="0.45">
      <c r="A740" s="71"/>
      <c r="B740" s="52"/>
      <c r="C740" s="71"/>
      <c r="D740" s="52" t="s">
        <v>1350</v>
      </c>
      <c r="E740" s="71" t="s">
        <v>1485</v>
      </c>
      <c r="F740" s="70"/>
      <c r="G740" s="70"/>
      <c r="H740" s="70"/>
      <c r="I740" s="70"/>
      <c r="J740" s="70"/>
      <c r="K740" s="72"/>
      <c r="L740" s="72">
        <f t="shared" ref="L740:L747" si="259">L675*G729/1000</f>
        <v>0.18716695292200644</v>
      </c>
      <c r="M740" s="72">
        <f t="shared" ref="M740:M747" si="260">M675*G729/1000</f>
        <v>0.1954022988505747</v>
      </c>
      <c r="N740" s="72">
        <f t="shared" ref="N740:N747" si="261">N675*G729/1000</f>
        <v>0.20399999999999999</v>
      </c>
      <c r="O740" s="72">
        <f t="shared" ref="O740:O747" si="262">O675*G729/1000</f>
        <v>0.21297600000000003</v>
      </c>
      <c r="P740" s="72">
        <f t="shared" ref="P740:P747" si="263">P675*G729/1000</f>
        <v>0.22234694400000005</v>
      </c>
      <c r="Q740" s="72">
        <f t="shared" ref="Q740:Q747" si="264">Q675*G729/1000</f>
        <v>0.23213020953600005</v>
      </c>
      <c r="R740" s="72">
        <f t="shared" ref="R740:R747" si="265">R675*G729/1000</f>
        <v>0.24234393875558408</v>
      </c>
      <c r="S740" s="72">
        <f t="shared" ref="S740:S747" si="266">S675*G729/1000</f>
        <v>0.25300707206082979</v>
      </c>
      <c r="T740" s="72">
        <f t="shared" ref="T740:T747" si="267">T675*G729/1000</f>
        <v>0.26413938323150632</v>
      </c>
      <c r="U740" s="72">
        <f t="shared" ref="U740:U747" si="268">U675*G729/1000</f>
        <v>0.27576151609369259</v>
      </c>
      <c r="V740" s="72">
        <f t="shared" ref="V740:V747" si="269">V675*G729/1000</f>
        <v>0.28789502280181506</v>
      </c>
      <c r="W740" s="72">
        <f t="shared" ref="W740:W747" si="270">W675*G729/1000</f>
        <v>0.30056240380509497</v>
      </c>
      <c r="X740" s="72">
        <f t="shared" ref="X740:X747" si="271">X675*G729/1000</f>
        <v>0.31378714957251913</v>
      </c>
      <c r="Y740" s="72">
        <f t="shared" ref="Y740:Y747" si="272">Y675*G729/1000</f>
        <v>0.32759378415370999</v>
      </c>
      <c r="Z740" s="72">
        <f t="shared" ref="Z740:Z747" si="273">Z675*G729/1000</f>
        <v>0.34200791065647324</v>
      </c>
      <c r="AA740" s="72">
        <f t="shared" ref="AA740:AA747" si="274">AA675*G729/1000</f>
        <v>0.35705625872535807</v>
      </c>
      <c r="AB740" s="72">
        <f t="shared" ref="AB740:AB747" si="275">AB675*G729/1000</f>
        <v>0.37276673410927386</v>
      </c>
      <c r="AC740" s="72">
        <f t="shared" ref="AC740:AC747" si="276">AC675*G729/1000</f>
        <v>0.38916847041008185</v>
      </c>
      <c r="AD740" s="72">
        <f t="shared" ref="AD740:AD747" si="277">AD675*G729/1000</f>
        <v>0.40629188310812547</v>
      </c>
      <c r="AE740" s="72">
        <f t="shared" ref="AE740:AE747" si="278">AE675*G729/1000</f>
        <v>0.42416872596488298</v>
      </c>
      <c r="AF740" s="72"/>
      <c r="AG740" s="70"/>
      <c r="AH740" s="70"/>
      <c r="AI740" s="70"/>
    </row>
    <row r="741" spans="1:35" x14ac:dyDescent="0.45">
      <c r="A741" s="71"/>
      <c r="B741" s="52"/>
      <c r="C741" s="71"/>
      <c r="D741" s="52" t="s">
        <v>1357</v>
      </c>
      <c r="E741" s="71" t="s">
        <v>1485</v>
      </c>
      <c r="F741" s="70"/>
      <c r="G741" s="70"/>
      <c r="H741" s="70"/>
      <c r="I741" s="70"/>
      <c r="J741" s="70"/>
      <c r="K741" s="72"/>
      <c r="L741" s="72">
        <f t="shared" si="259"/>
        <v>6.6058924560708152E-2</v>
      </c>
      <c r="M741" s="72">
        <f t="shared" si="260"/>
        <v>6.8965517241379309E-2</v>
      </c>
      <c r="N741" s="72">
        <f t="shared" si="261"/>
        <v>7.1999999999999995E-2</v>
      </c>
      <c r="O741" s="72">
        <f t="shared" si="262"/>
        <v>7.5167999999999999E-2</v>
      </c>
      <c r="P741" s="72">
        <f t="shared" si="263"/>
        <v>7.8475392000000005E-2</v>
      </c>
      <c r="Q741" s="72">
        <f t="shared" si="264"/>
        <v>8.1928309247999986E-2</v>
      </c>
      <c r="R741" s="72">
        <f t="shared" si="265"/>
        <v>8.5533154854912002E-2</v>
      </c>
      <c r="S741" s="72">
        <f t="shared" si="266"/>
        <v>8.9296613668528119E-2</v>
      </c>
      <c r="T741" s="72">
        <f t="shared" si="267"/>
        <v>9.3225664669943364E-2</v>
      </c>
      <c r="U741" s="72">
        <f t="shared" si="268"/>
        <v>9.7327593915420896E-2</v>
      </c>
      <c r="V741" s="72">
        <f t="shared" si="269"/>
        <v>0.10161000804769942</v>
      </c>
      <c r="W741" s="72">
        <f t="shared" si="270"/>
        <v>0.10608084840179818</v>
      </c>
      <c r="X741" s="72">
        <f t="shared" si="271"/>
        <v>0.1107484057314773</v>
      </c>
      <c r="Y741" s="72">
        <f t="shared" si="272"/>
        <v>0.1156213355836623</v>
      </c>
      <c r="Z741" s="72">
        <f t="shared" si="273"/>
        <v>0.12070867434934346</v>
      </c>
      <c r="AA741" s="72">
        <f t="shared" si="274"/>
        <v>0.12601985602071455</v>
      </c>
      <c r="AB741" s="72">
        <f t="shared" si="275"/>
        <v>0.13156472968562599</v>
      </c>
      <c r="AC741" s="72">
        <f t="shared" si="276"/>
        <v>0.13735357779179352</v>
      </c>
      <c r="AD741" s="72">
        <f t="shared" si="277"/>
        <v>0.14339713521463243</v>
      </c>
      <c r="AE741" s="72">
        <f t="shared" si="278"/>
        <v>0.1497066091640763</v>
      </c>
      <c r="AF741" s="72"/>
      <c r="AG741" s="70"/>
      <c r="AH741" s="70"/>
      <c r="AI741" s="70"/>
    </row>
    <row r="742" spans="1:35" x14ac:dyDescent="0.45">
      <c r="A742" s="71"/>
      <c r="B742" s="52"/>
      <c r="C742" s="71"/>
      <c r="D742" s="52" t="s">
        <v>1363</v>
      </c>
      <c r="E742" s="71" t="s">
        <v>1485</v>
      </c>
      <c r="F742" s="70"/>
      <c r="G742" s="70"/>
      <c r="H742" s="70"/>
      <c r="I742" s="70"/>
      <c r="J742" s="70"/>
      <c r="K742" s="72"/>
      <c r="L742" s="72">
        <f t="shared" si="259"/>
        <v>0</v>
      </c>
      <c r="M742" s="72">
        <f t="shared" si="260"/>
        <v>0</v>
      </c>
      <c r="N742" s="72">
        <f t="shared" si="261"/>
        <v>0</v>
      </c>
      <c r="O742" s="72">
        <f t="shared" si="262"/>
        <v>0</v>
      </c>
      <c r="P742" s="72">
        <f t="shared" si="263"/>
        <v>0</v>
      </c>
      <c r="Q742" s="72">
        <f t="shared" si="264"/>
        <v>0</v>
      </c>
      <c r="R742" s="72">
        <f t="shared" si="265"/>
        <v>0</v>
      </c>
      <c r="S742" s="72">
        <f t="shared" si="266"/>
        <v>0</v>
      </c>
      <c r="T742" s="72">
        <f t="shared" si="267"/>
        <v>0</v>
      </c>
      <c r="U742" s="72">
        <f t="shared" si="268"/>
        <v>0</v>
      </c>
      <c r="V742" s="72">
        <f t="shared" si="269"/>
        <v>0</v>
      </c>
      <c r="W742" s="72">
        <f t="shared" si="270"/>
        <v>0</v>
      </c>
      <c r="X742" s="72">
        <f t="shared" si="271"/>
        <v>0</v>
      </c>
      <c r="Y742" s="72">
        <f t="shared" si="272"/>
        <v>0</v>
      </c>
      <c r="Z742" s="72">
        <f t="shared" si="273"/>
        <v>0</v>
      </c>
      <c r="AA742" s="72">
        <f t="shared" si="274"/>
        <v>0</v>
      </c>
      <c r="AB742" s="72">
        <f t="shared" si="275"/>
        <v>0</v>
      </c>
      <c r="AC742" s="72">
        <f t="shared" si="276"/>
        <v>0</v>
      </c>
      <c r="AD742" s="72">
        <f t="shared" si="277"/>
        <v>0</v>
      </c>
      <c r="AE742" s="72">
        <f t="shared" si="278"/>
        <v>0</v>
      </c>
      <c r="AF742" s="72"/>
      <c r="AG742" s="70"/>
      <c r="AH742" s="70"/>
      <c r="AI742" s="70"/>
    </row>
    <row r="743" spans="1:35" x14ac:dyDescent="0.45">
      <c r="A743" s="71"/>
      <c r="B743" s="52"/>
      <c r="C743" s="71"/>
      <c r="D743" s="52" t="s">
        <v>1369</v>
      </c>
      <c r="E743" s="71" t="s">
        <v>1485</v>
      </c>
      <c r="F743" s="70"/>
      <c r="G743" s="70"/>
      <c r="H743" s="70"/>
      <c r="I743" s="70"/>
      <c r="J743" s="70"/>
      <c r="K743" s="72"/>
      <c r="L743" s="72">
        <f t="shared" si="259"/>
        <v>24.646491529759945</v>
      </c>
      <c r="M743" s="72">
        <f t="shared" si="260"/>
        <v>25.459825750242022</v>
      </c>
      <c r="N743" s="72">
        <f t="shared" si="261"/>
        <v>26.3</v>
      </c>
      <c r="O743" s="72">
        <f t="shared" si="262"/>
        <v>27.167899999999999</v>
      </c>
      <c r="P743" s="72">
        <f t="shared" si="263"/>
        <v>28.064440699999995</v>
      </c>
      <c r="Q743" s="72">
        <f t="shared" si="264"/>
        <v>28.990567243099992</v>
      </c>
      <c r="R743" s="72">
        <f t="shared" si="265"/>
        <v>29.947255962122291</v>
      </c>
      <c r="S743" s="72">
        <f t="shared" si="266"/>
        <v>30.935515408872323</v>
      </c>
      <c r="T743" s="72">
        <f t="shared" si="267"/>
        <v>31.956387417365111</v>
      </c>
      <c r="U743" s="72">
        <f t="shared" si="268"/>
        <v>33.010948202138152</v>
      </c>
      <c r="V743" s="72">
        <f t="shared" si="269"/>
        <v>34.100309492808705</v>
      </c>
      <c r="W743" s="72">
        <f t="shared" si="270"/>
        <v>35.225619706071399</v>
      </c>
      <c r="X743" s="72">
        <f t="shared" si="271"/>
        <v>36.388065156371745</v>
      </c>
      <c r="Y743" s="72">
        <f t="shared" si="272"/>
        <v>37.588871306532013</v>
      </c>
      <c r="Z743" s="72">
        <f t="shared" si="273"/>
        <v>38.829304059647569</v>
      </c>
      <c r="AA743" s="72">
        <f t="shared" si="274"/>
        <v>40.110671093615935</v>
      </c>
      <c r="AB743" s="72">
        <f t="shared" si="275"/>
        <v>41.434323239705257</v>
      </c>
      <c r="AC743" s="72">
        <f t="shared" si="276"/>
        <v>42.801655906615522</v>
      </c>
      <c r="AD743" s="72">
        <f t="shared" si="277"/>
        <v>44.214110551533835</v>
      </c>
      <c r="AE743" s="72">
        <f t="shared" si="278"/>
        <v>45.673176199734449</v>
      </c>
      <c r="AF743" s="72"/>
      <c r="AG743" s="70"/>
      <c r="AH743" s="70"/>
      <c r="AI743" s="70"/>
    </row>
    <row r="744" spans="1:35" x14ac:dyDescent="0.45">
      <c r="A744" s="71"/>
      <c r="B744" s="52"/>
      <c r="C744" s="71"/>
      <c r="D744" s="52" t="s">
        <v>1442</v>
      </c>
      <c r="E744" s="71" t="s">
        <v>1485</v>
      </c>
      <c r="F744" s="70"/>
      <c r="G744" s="70"/>
      <c r="H744" s="70"/>
      <c r="I744" s="70"/>
      <c r="J744" s="70"/>
      <c r="K744" s="72"/>
      <c r="L744" s="72">
        <f t="shared" si="259"/>
        <v>0</v>
      </c>
      <c r="M744" s="72">
        <f t="shared" si="260"/>
        <v>0</v>
      </c>
      <c r="N744" s="72">
        <f t="shared" si="261"/>
        <v>0</v>
      </c>
      <c r="O744" s="72">
        <f t="shared" si="262"/>
        <v>0</v>
      </c>
      <c r="P744" s="72">
        <f t="shared" si="263"/>
        <v>0</v>
      </c>
      <c r="Q744" s="72">
        <f t="shared" si="264"/>
        <v>0</v>
      </c>
      <c r="R744" s="72">
        <f t="shared" si="265"/>
        <v>0</v>
      </c>
      <c r="S744" s="72">
        <f t="shared" si="266"/>
        <v>0</v>
      </c>
      <c r="T744" s="72">
        <f t="shared" si="267"/>
        <v>0</v>
      </c>
      <c r="U744" s="72">
        <f t="shared" si="268"/>
        <v>0</v>
      </c>
      <c r="V744" s="72">
        <f t="shared" si="269"/>
        <v>0</v>
      </c>
      <c r="W744" s="72">
        <f t="shared" si="270"/>
        <v>0</v>
      </c>
      <c r="X744" s="72">
        <f t="shared" si="271"/>
        <v>0</v>
      </c>
      <c r="Y744" s="72">
        <f t="shared" si="272"/>
        <v>0</v>
      </c>
      <c r="Z744" s="72">
        <f t="shared" si="273"/>
        <v>0</v>
      </c>
      <c r="AA744" s="72">
        <f t="shared" si="274"/>
        <v>0</v>
      </c>
      <c r="AB744" s="72">
        <f t="shared" si="275"/>
        <v>0</v>
      </c>
      <c r="AC744" s="72">
        <f t="shared" si="276"/>
        <v>0</v>
      </c>
      <c r="AD744" s="72">
        <f t="shared" si="277"/>
        <v>0</v>
      </c>
      <c r="AE744" s="72">
        <f t="shared" si="278"/>
        <v>0</v>
      </c>
      <c r="AF744" s="72"/>
      <c r="AG744" s="70"/>
      <c r="AH744" s="70"/>
      <c r="AI744" s="70"/>
    </row>
    <row r="745" spans="1:35" x14ac:dyDescent="0.45">
      <c r="A745" s="71"/>
      <c r="B745" s="52"/>
      <c r="C745" s="71"/>
      <c r="D745" s="52" t="s">
        <v>1383</v>
      </c>
      <c r="E745" s="71" t="s">
        <v>1485</v>
      </c>
      <c r="F745" s="70"/>
      <c r="G745" s="70"/>
      <c r="H745" s="70"/>
      <c r="I745" s="70"/>
      <c r="J745" s="70"/>
      <c r="K745" s="72"/>
      <c r="L745" s="72">
        <f t="shared" si="259"/>
        <v>0</v>
      </c>
      <c r="M745" s="72">
        <f t="shared" si="260"/>
        <v>0</v>
      </c>
      <c r="N745" s="72">
        <f t="shared" si="261"/>
        <v>0</v>
      </c>
      <c r="O745" s="72">
        <f t="shared" si="262"/>
        <v>0</v>
      </c>
      <c r="P745" s="72">
        <f t="shared" si="263"/>
        <v>0</v>
      </c>
      <c r="Q745" s="72">
        <f t="shared" si="264"/>
        <v>0</v>
      </c>
      <c r="R745" s="72">
        <f t="shared" si="265"/>
        <v>0</v>
      </c>
      <c r="S745" s="72">
        <f t="shared" si="266"/>
        <v>0</v>
      </c>
      <c r="T745" s="72">
        <f t="shared" si="267"/>
        <v>0</v>
      </c>
      <c r="U745" s="72">
        <f t="shared" si="268"/>
        <v>0</v>
      </c>
      <c r="V745" s="72">
        <f t="shared" si="269"/>
        <v>0</v>
      </c>
      <c r="W745" s="72">
        <f t="shared" si="270"/>
        <v>0</v>
      </c>
      <c r="X745" s="72">
        <f t="shared" si="271"/>
        <v>0</v>
      </c>
      <c r="Y745" s="72">
        <f t="shared" si="272"/>
        <v>0</v>
      </c>
      <c r="Z745" s="72">
        <f t="shared" si="273"/>
        <v>0</v>
      </c>
      <c r="AA745" s="72">
        <f t="shared" si="274"/>
        <v>0</v>
      </c>
      <c r="AB745" s="72">
        <f t="shared" si="275"/>
        <v>0</v>
      </c>
      <c r="AC745" s="72">
        <f t="shared" si="276"/>
        <v>0</v>
      </c>
      <c r="AD745" s="72">
        <f t="shared" si="277"/>
        <v>0</v>
      </c>
      <c r="AE745" s="72">
        <f t="shared" si="278"/>
        <v>0</v>
      </c>
      <c r="AF745" s="72"/>
      <c r="AG745" s="70"/>
      <c r="AH745" s="70"/>
      <c r="AI745" s="70"/>
    </row>
    <row r="746" spans="1:35" x14ac:dyDescent="0.45">
      <c r="A746" s="71"/>
      <c r="B746" s="52"/>
      <c r="C746" s="71"/>
      <c r="D746" s="52" t="s">
        <v>1390</v>
      </c>
      <c r="E746" s="71" t="s">
        <v>1485</v>
      </c>
      <c r="F746" s="70"/>
      <c r="G746" s="70"/>
      <c r="H746" s="70"/>
      <c r="I746" s="70"/>
      <c r="J746" s="70"/>
      <c r="K746" s="72"/>
      <c r="L746" s="72">
        <f t="shared" si="259"/>
        <v>0.55721293959505358</v>
      </c>
      <c r="M746" s="72">
        <f t="shared" si="260"/>
        <v>0.56947162426614473</v>
      </c>
      <c r="N746" s="72">
        <f t="shared" si="261"/>
        <v>0.58199999999999996</v>
      </c>
      <c r="O746" s="72">
        <f t="shared" si="262"/>
        <v>0.594804</v>
      </c>
      <c r="P746" s="72">
        <f t="shared" si="263"/>
        <v>0.60788968800000009</v>
      </c>
      <c r="Q746" s="72">
        <f t="shared" si="264"/>
        <v>0.62126326113599994</v>
      </c>
      <c r="R746" s="72">
        <f t="shared" si="265"/>
        <v>0.63493105288099194</v>
      </c>
      <c r="S746" s="72">
        <f t="shared" si="266"/>
        <v>0.64889953604437378</v>
      </c>
      <c r="T746" s="72">
        <f t="shared" si="267"/>
        <v>0.66317532583735006</v>
      </c>
      <c r="U746" s="72">
        <f t="shared" si="268"/>
        <v>0.67776518300577182</v>
      </c>
      <c r="V746" s="72">
        <f t="shared" si="269"/>
        <v>0.69267601703189885</v>
      </c>
      <c r="W746" s="72">
        <f t="shared" si="270"/>
        <v>0.70791488940660052</v>
      </c>
      <c r="X746" s="72">
        <f t="shared" si="271"/>
        <v>0.72348901697354573</v>
      </c>
      <c r="Y746" s="72">
        <f t="shared" si="272"/>
        <v>0.73940577534696372</v>
      </c>
      <c r="Z746" s="72">
        <f t="shared" si="273"/>
        <v>0.75567270240459705</v>
      </c>
      <c r="AA746" s="72">
        <f t="shared" si="274"/>
        <v>0.77229750185749824</v>
      </c>
      <c r="AB746" s="72">
        <f t="shared" si="275"/>
        <v>0.78928804689836318</v>
      </c>
      <c r="AC746" s="72">
        <f t="shared" si="276"/>
        <v>0.80665238393012717</v>
      </c>
      <c r="AD746" s="72">
        <f t="shared" si="277"/>
        <v>0.82439873637659</v>
      </c>
      <c r="AE746" s="72">
        <f t="shared" si="278"/>
        <v>0.84253550857687498</v>
      </c>
      <c r="AF746" s="72"/>
      <c r="AG746" s="70"/>
      <c r="AH746" s="70"/>
      <c r="AI746" s="70"/>
    </row>
    <row r="747" spans="1:35" x14ac:dyDescent="0.45">
      <c r="A747" s="71"/>
      <c r="B747" s="52"/>
      <c r="C747" s="71"/>
      <c r="D747" s="52" t="s">
        <v>1397</v>
      </c>
      <c r="E747" s="71" t="s">
        <v>1485</v>
      </c>
      <c r="F747" s="70"/>
      <c r="G747" s="70"/>
      <c r="H747" s="70"/>
      <c r="I747" s="70"/>
      <c r="J747" s="70"/>
      <c r="K747" s="72"/>
      <c r="L747" s="72">
        <f t="shared" si="259"/>
        <v>0.63340895307832257</v>
      </c>
      <c r="M747" s="72">
        <f t="shared" si="260"/>
        <v>0.66824644549763035</v>
      </c>
      <c r="N747" s="72">
        <f t="shared" si="261"/>
        <v>0.70499999999999996</v>
      </c>
      <c r="O747" s="72">
        <f t="shared" si="262"/>
        <v>0.74377499999999996</v>
      </c>
      <c r="P747" s="72">
        <f t="shared" si="263"/>
        <v>0.78468262499999997</v>
      </c>
      <c r="Q747" s="72">
        <f t="shared" si="264"/>
        <v>0.82784016937499993</v>
      </c>
      <c r="R747" s="72">
        <f t="shared" si="265"/>
        <v>0.87337137869062498</v>
      </c>
      <c r="S747" s="72">
        <f t="shared" si="266"/>
        <v>0.92140680451860935</v>
      </c>
      <c r="T747" s="72">
        <f t="shared" si="267"/>
        <v>0.97208417876713282</v>
      </c>
      <c r="U747" s="72">
        <f t="shared" si="268"/>
        <v>1.025548808599325</v>
      </c>
      <c r="V747" s="72">
        <f t="shared" si="269"/>
        <v>1.0819539930722879</v>
      </c>
      <c r="W747" s="72">
        <f t="shared" si="270"/>
        <v>1.1414614626912638</v>
      </c>
      <c r="X747" s="72">
        <f t="shared" si="271"/>
        <v>1.2042418431392832</v>
      </c>
      <c r="Y747" s="72">
        <f t="shared" si="272"/>
        <v>1.2704751445119435</v>
      </c>
      <c r="Z747" s="72">
        <f t="shared" si="273"/>
        <v>1.3403512774601003</v>
      </c>
      <c r="AA747" s="72">
        <f t="shared" si="274"/>
        <v>1.4140705977204062</v>
      </c>
      <c r="AB747" s="72">
        <f t="shared" si="275"/>
        <v>1.4918444805950282</v>
      </c>
      <c r="AC747" s="72">
        <f t="shared" si="276"/>
        <v>1.5738959270277546</v>
      </c>
      <c r="AD747" s="72">
        <f t="shared" si="277"/>
        <v>1.660460203014281</v>
      </c>
      <c r="AE747" s="72">
        <f t="shared" si="278"/>
        <v>1.7517855141800662</v>
      </c>
      <c r="AF747" s="72"/>
      <c r="AG747" s="70"/>
      <c r="AH747" s="70"/>
      <c r="AI747" s="70"/>
    </row>
    <row r="748" spans="1:35" x14ac:dyDescent="0.45">
      <c r="A748" s="70"/>
      <c r="B748" s="52"/>
      <c r="C748" s="52"/>
      <c r="D748" s="52" t="s">
        <v>1486</v>
      </c>
      <c r="E748" s="70"/>
      <c r="F748" s="70"/>
      <c r="G748" s="70"/>
      <c r="H748" s="70"/>
      <c r="I748" s="70"/>
      <c r="J748" s="70"/>
      <c r="K748" s="72"/>
      <c r="L748" s="72">
        <f t="shared" ref="L748:AE748" si="279">SUM(L740:L747)</f>
        <v>26.090339299916039</v>
      </c>
      <c r="M748" s="72">
        <f t="shared" si="279"/>
        <v>26.961911636097753</v>
      </c>
      <c r="N748" s="72">
        <f t="shared" si="279"/>
        <v>27.863</v>
      </c>
      <c r="O748" s="72">
        <f t="shared" si="279"/>
        <v>28.794622999999998</v>
      </c>
      <c r="P748" s="72">
        <f t="shared" si="279"/>
        <v>29.757835348999993</v>
      </c>
      <c r="Q748" s="72">
        <f t="shared" si="279"/>
        <v>30.753729192394996</v>
      </c>
      <c r="R748" s="72">
        <f t="shared" si="279"/>
        <v>31.783435487304406</v>
      </c>
      <c r="S748" s="72">
        <f t="shared" si="279"/>
        <v>32.848125435164668</v>
      </c>
      <c r="T748" s="72">
        <f t="shared" si="279"/>
        <v>33.949011969871044</v>
      </c>
      <c r="U748" s="72">
        <f t="shared" si="279"/>
        <v>35.087351303752364</v>
      </c>
      <c r="V748" s="72">
        <f t="shared" si="279"/>
        <v>36.264444533762408</v>
      </c>
      <c r="W748" s="72">
        <f t="shared" si="279"/>
        <v>37.481639310376153</v>
      </c>
      <c r="X748" s="72">
        <f t="shared" si="279"/>
        <v>38.740331571788573</v>
      </c>
      <c r="Y748" s="72">
        <f t="shared" si="279"/>
        <v>40.041967346128295</v>
      </c>
      <c r="Z748" s="72">
        <f t="shared" si="279"/>
        <v>41.388044624518081</v>
      </c>
      <c r="AA748" s="72">
        <f t="shared" si="279"/>
        <v>42.780115307939909</v>
      </c>
      <c r="AB748" s="72">
        <f t="shared" si="279"/>
        <v>44.219787230993546</v>
      </c>
      <c r="AC748" s="72">
        <f t="shared" si="279"/>
        <v>45.708726265775283</v>
      </c>
      <c r="AD748" s="72">
        <f t="shared" si="279"/>
        <v>47.248658509247463</v>
      </c>
      <c r="AE748" s="72">
        <f t="shared" si="279"/>
        <v>48.841372557620346</v>
      </c>
      <c r="AF748" s="70"/>
      <c r="AG748" s="70"/>
      <c r="AH748" s="70"/>
      <c r="AI748" s="70"/>
    </row>
    <row r="749" spans="1:35" x14ac:dyDescent="0.45">
      <c r="A749" s="70"/>
      <c r="B749" s="52"/>
      <c r="C749" s="52"/>
      <c r="D749" s="52"/>
      <c r="E749" s="70"/>
      <c r="F749" s="70"/>
      <c r="G749" s="70"/>
      <c r="H749" s="70"/>
      <c r="I749" s="70"/>
      <c r="J749" s="70"/>
      <c r="K749" s="72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  <c r="AH749" s="70"/>
      <c r="AI749" s="70"/>
    </row>
    <row r="750" spans="1:35" x14ac:dyDescent="0.45">
      <c r="A750" s="70"/>
      <c r="B750" s="52"/>
      <c r="C750" s="73" t="s">
        <v>1488</v>
      </c>
      <c r="D750" s="73"/>
      <c r="E750" s="72" t="s">
        <v>1489</v>
      </c>
      <c r="F750" s="72" t="s">
        <v>1407</v>
      </c>
      <c r="G750" s="72" t="s">
        <v>1490</v>
      </c>
      <c r="H750" s="74"/>
      <c r="I750" s="74"/>
      <c r="J750" s="74"/>
      <c r="K750" s="74"/>
      <c r="L750" s="74">
        <f t="shared" ref="L750:AE750" si="280">L697</f>
        <v>2022</v>
      </c>
      <c r="M750" s="74">
        <f t="shared" si="280"/>
        <v>2023</v>
      </c>
      <c r="N750" s="74">
        <f t="shared" si="280"/>
        <v>2024</v>
      </c>
      <c r="O750" s="74">
        <f t="shared" si="280"/>
        <v>2025</v>
      </c>
      <c r="P750" s="74">
        <f t="shared" si="280"/>
        <v>2026</v>
      </c>
      <c r="Q750" s="74">
        <f t="shared" si="280"/>
        <v>2027</v>
      </c>
      <c r="R750" s="74">
        <f t="shared" si="280"/>
        <v>2028</v>
      </c>
      <c r="S750" s="74">
        <f t="shared" si="280"/>
        <v>2029</v>
      </c>
      <c r="T750" s="74">
        <f t="shared" si="280"/>
        <v>2030</v>
      </c>
      <c r="U750" s="74">
        <f t="shared" si="280"/>
        <v>2031</v>
      </c>
      <c r="V750" s="74">
        <f t="shared" si="280"/>
        <v>2032</v>
      </c>
      <c r="W750" s="74">
        <f t="shared" si="280"/>
        <v>2033</v>
      </c>
      <c r="X750" s="74">
        <f t="shared" si="280"/>
        <v>2034</v>
      </c>
      <c r="Y750" s="74">
        <f t="shared" si="280"/>
        <v>2035</v>
      </c>
      <c r="Z750" s="74">
        <f t="shared" si="280"/>
        <v>2036</v>
      </c>
      <c r="AA750" s="74">
        <f t="shared" si="280"/>
        <v>2037</v>
      </c>
      <c r="AB750" s="74">
        <f t="shared" si="280"/>
        <v>2038</v>
      </c>
      <c r="AC750" s="74">
        <f t="shared" si="280"/>
        <v>2039</v>
      </c>
      <c r="AD750" s="74">
        <f t="shared" si="280"/>
        <v>2040</v>
      </c>
      <c r="AE750" s="74">
        <f t="shared" si="280"/>
        <v>2041</v>
      </c>
      <c r="AF750" s="70"/>
      <c r="AG750" s="70"/>
      <c r="AH750" s="70"/>
      <c r="AI750" s="70"/>
    </row>
    <row r="751" spans="1:35" x14ac:dyDescent="0.45">
      <c r="A751" s="70"/>
      <c r="B751" s="52"/>
      <c r="C751" s="52"/>
      <c r="D751" s="52" t="s">
        <v>1350</v>
      </c>
      <c r="E751" s="82">
        <f>'Manual inputs'!E$40</f>
        <v>1.0536051565782599E-3</v>
      </c>
      <c r="F751" s="78">
        <f>'Manual inputs'!F$40</f>
        <v>0.1</v>
      </c>
      <c r="G751" s="72"/>
      <c r="H751" s="70"/>
      <c r="I751" s="70"/>
      <c r="J751" s="70"/>
      <c r="K751" s="70"/>
      <c r="L751" s="72">
        <f t="shared" ref="L751:AE751" si="281">L729*(EXP(-($E751)*(L648))-1)</f>
        <v>0</v>
      </c>
      <c r="M751" s="72">
        <f t="shared" si="281"/>
        <v>0</v>
      </c>
      <c r="N751" s="72">
        <f t="shared" si="281"/>
        <v>0</v>
      </c>
      <c r="O751" s="72">
        <f t="shared" si="281"/>
        <v>0</v>
      </c>
      <c r="P751" s="72">
        <f t="shared" si="281"/>
        <v>0</v>
      </c>
      <c r="Q751" s="72">
        <f t="shared" si="281"/>
        <v>0</v>
      </c>
      <c r="R751" s="72">
        <f t="shared" si="281"/>
        <v>0</v>
      </c>
      <c r="S751" s="72">
        <f t="shared" si="281"/>
        <v>0</v>
      </c>
      <c r="T751" s="72">
        <f t="shared" si="281"/>
        <v>0</v>
      </c>
      <c r="U751" s="72">
        <f t="shared" si="281"/>
        <v>0</v>
      </c>
      <c r="V751" s="72">
        <f t="shared" si="281"/>
        <v>0</v>
      </c>
      <c r="W751" s="72">
        <f t="shared" si="281"/>
        <v>0</v>
      </c>
      <c r="X751" s="72">
        <f t="shared" si="281"/>
        <v>0</v>
      </c>
      <c r="Y751" s="72">
        <f t="shared" si="281"/>
        <v>0</v>
      </c>
      <c r="Z751" s="72">
        <f t="shared" si="281"/>
        <v>0</v>
      </c>
      <c r="AA751" s="72">
        <f t="shared" si="281"/>
        <v>0</v>
      </c>
      <c r="AB751" s="72">
        <f t="shared" si="281"/>
        <v>0</v>
      </c>
      <c r="AC751" s="72">
        <f t="shared" si="281"/>
        <v>0</v>
      </c>
      <c r="AD751" s="72">
        <f t="shared" si="281"/>
        <v>0</v>
      </c>
      <c r="AE751" s="72">
        <f t="shared" si="281"/>
        <v>0</v>
      </c>
      <c r="AF751" s="70"/>
      <c r="AG751" s="70"/>
      <c r="AH751" s="70"/>
      <c r="AI751" s="70"/>
    </row>
    <row r="752" spans="1:35" x14ac:dyDescent="0.45">
      <c r="A752" s="70"/>
      <c r="B752" s="52"/>
      <c r="C752" s="52"/>
      <c r="D752" s="52" t="s">
        <v>1357</v>
      </c>
      <c r="E752" s="82">
        <f>'Manual inputs'!E$41</f>
        <v>2.0202707317519501E-4</v>
      </c>
      <c r="F752" s="78">
        <f>'Manual inputs'!F$41</f>
        <v>0.02</v>
      </c>
      <c r="G752" s="72"/>
      <c r="H752" s="70"/>
      <c r="I752" s="70"/>
      <c r="J752" s="70"/>
      <c r="K752" s="70"/>
      <c r="L752" s="72">
        <f t="shared" ref="L752:AE752" si="282">L730*(EXP(-($E752)*(L648))-1)</f>
        <v>0</v>
      </c>
      <c r="M752" s="72">
        <f t="shared" si="282"/>
        <v>0</v>
      </c>
      <c r="N752" s="72">
        <f t="shared" si="282"/>
        <v>0</v>
      </c>
      <c r="O752" s="72">
        <f t="shared" si="282"/>
        <v>0</v>
      </c>
      <c r="P752" s="72">
        <f t="shared" si="282"/>
        <v>0</v>
      </c>
      <c r="Q752" s="72">
        <f t="shared" si="282"/>
        <v>0</v>
      </c>
      <c r="R752" s="72">
        <f t="shared" si="282"/>
        <v>0</v>
      </c>
      <c r="S752" s="72">
        <f t="shared" si="282"/>
        <v>0</v>
      </c>
      <c r="T752" s="72">
        <f t="shared" si="282"/>
        <v>0</v>
      </c>
      <c r="U752" s="72">
        <f t="shared" si="282"/>
        <v>0</v>
      </c>
      <c r="V752" s="72">
        <f t="shared" si="282"/>
        <v>0</v>
      </c>
      <c r="W752" s="72">
        <f t="shared" si="282"/>
        <v>0</v>
      </c>
      <c r="X752" s="72">
        <f t="shared" si="282"/>
        <v>0</v>
      </c>
      <c r="Y752" s="72">
        <f t="shared" si="282"/>
        <v>0</v>
      </c>
      <c r="Z752" s="72">
        <f t="shared" si="282"/>
        <v>0</v>
      </c>
      <c r="AA752" s="72">
        <f t="shared" si="282"/>
        <v>0</v>
      </c>
      <c r="AB752" s="72">
        <f t="shared" si="282"/>
        <v>0</v>
      </c>
      <c r="AC752" s="72">
        <f t="shared" si="282"/>
        <v>0</v>
      </c>
      <c r="AD752" s="72">
        <f t="shared" si="282"/>
        <v>0</v>
      </c>
      <c r="AE752" s="72">
        <f t="shared" si="282"/>
        <v>0</v>
      </c>
      <c r="AF752" s="70"/>
      <c r="AG752" s="70"/>
      <c r="AH752" s="70"/>
      <c r="AI752" s="70"/>
    </row>
    <row r="753" spans="1:35" x14ac:dyDescent="0.45">
      <c r="A753" s="70"/>
      <c r="B753" s="52"/>
      <c r="C753" s="52"/>
      <c r="D753" s="52" t="s">
        <v>1408</v>
      </c>
      <c r="E753" s="82">
        <f>'Manual inputs'!E$42</f>
        <v>5.1293294387550598E-4</v>
      </c>
      <c r="F753" s="78">
        <f>'Manual inputs'!F$42</f>
        <v>0.05</v>
      </c>
      <c r="G753" s="72"/>
      <c r="H753" s="70"/>
      <c r="I753" s="70"/>
      <c r="J753" s="70"/>
      <c r="K753" s="70"/>
      <c r="L753" s="72">
        <f t="shared" ref="L753:AE753" si="283">L731*(EXP(-($E753)*(L648))-1)</f>
        <v>0</v>
      </c>
      <c r="M753" s="72">
        <f t="shared" si="283"/>
        <v>0</v>
      </c>
      <c r="N753" s="72">
        <f t="shared" si="283"/>
        <v>0</v>
      </c>
      <c r="O753" s="72">
        <f t="shared" si="283"/>
        <v>0</v>
      </c>
      <c r="P753" s="72">
        <f t="shared" si="283"/>
        <v>0</v>
      </c>
      <c r="Q753" s="72">
        <f t="shared" si="283"/>
        <v>0</v>
      </c>
      <c r="R753" s="72">
        <f t="shared" si="283"/>
        <v>0</v>
      </c>
      <c r="S753" s="72">
        <f t="shared" si="283"/>
        <v>0</v>
      </c>
      <c r="T753" s="72">
        <f t="shared" si="283"/>
        <v>0</v>
      </c>
      <c r="U753" s="72">
        <f t="shared" si="283"/>
        <v>0</v>
      </c>
      <c r="V753" s="72">
        <f t="shared" si="283"/>
        <v>0</v>
      </c>
      <c r="W753" s="72">
        <f t="shared" si="283"/>
        <v>0</v>
      </c>
      <c r="X753" s="72">
        <f t="shared" si="283"/>
        <v>0</v>
      </c>
      <c r="Y753" s="72">
        <f t="shared" si="283"/>
        <v>0</v>
      </c>
      <c r="Z753" s="72">
        <f t="shared" si="283"/>
        <v>0</v>
      </c>
      <c r="AA753" s="72">
        <f t="shared" si="283"/>
        <v>0</v>
      </c>
      <c r="AB753" s="72">
        <f t="shared" si="283"/>
        <v>0</v>
      </c>
      <c r="AC753" s="72">
        <f t="shared" si="283"/>
        <v>0</v>
      </c>
      <c r="AD753" s="72">
        <f t="shared" si="283"/>
        <v>0</v>
      </c>
      <c r="AE753" s="72">
        <f t="shared" si="283"/>
        <v>0</v>
      </c>
      <c r="AF753" s="70"/>
      <c r="AG753" s="70"/>
      <c r="AH753" s="70"/>
      <c r="AI753" s="70"/>
    </row>
    <row r="754" spans="1:35" x14ac:dyDescent="0.45">
      <c r="A754" s="70"/>
      <c r="B754" s="52"/>
      <c r="C754" s="52"/>
      <c r="D754" s="52" t="s">
        <v>1409</v>
      </c>
      <c r="E754" s="82">
        <f>'Manual inputs'!E$43</f>
        <v>8.3381608939051E-4</v>
      </c>
      <c r="F754" s="78">
        <f>'Manual inputs'!F$43</f>
        <v>0.08</v>
      </c>
      <c r="G754" s="72"/>
      <c r="H754" s="70"/>
      <c r="I754" s="70"/>
      <c r="J754" s="70"/>
      <c r="K754" s="70"/>
      <c r="L754" s="72">
        <f t="shared" ref="L754:AE754" si="284">L732*(EXP(-($E754)*(L648))-1)</f>
        <v>0</v>
      </c>
      <c r="M754" s="72">
        <f t="shared" si="284"/>
        <v>0</v>
      </c>
      <c r="N754" s="72">
        <f t="shared" si="284"/>
        <v>0</v>
      </c>
      <c r="O754" s="72">
        <f t="shared" si="284"/>
        <v>0</v>
      </c>
      <c r="P754" s="72">
        <f t="shared" si="284"/>
        <v>0</v>
      </c>
      <c r="Q754" s="72">
        <f t="shared" si="284"/>
        <v>0</v>
      </c>
      <c r="R754" s="72">
        <f t="shared" si="284"/>
        <v>0</v>
      </c>
      <c r="S754" s="72">
        <f t="shared" si="284"/>
        <v>0</v>
      </c>
      <c r="T754" s="72">
        <f t="shared" si="284"/>
        <v>0</v>
      </c>
      <c r="U754" s="72">
        <f t="shared" si="284"/>
        <v>0</v>
      </c>
      <c r="V754" s="72">
        <f t="shared" si="284"/>
        <v>0</v>
      </c>
      <c r="W754" s="72">
        <f t="shared" si="284"/>
        <v>0</v>
      </c>
      <c r="X754" s="72">
        <f t="shared" si="284"/>
        <v>0</v>
      </c>
      <c r="Y754" s="72">
        <f t="shared" si="284"/>
        <v>0</v>
      </c>
      <c r="Z754" s="72">
        <f t="shared" si="284"/>
        <v>0</v>
      </c>
      <c r="AA754" s="72">
        <f t="shared" si="284"/>
        <v>0</v>
      </c>
      <c r="AB754" s="72">
        <f t="shared" si="284"/>
        <v>0</v>
      </c>
      <c r="AC754" s="72">
        <f t="shared" si="284"/>
        <v>0</v>
      </c>
      <c r="AD754" s="72">
        <f t="shared" si="284"/>
        <v>0</v>
      </c>
      <c r="AE754" s="72">
        <f t="shared" si="284"/>
        <v>0</v>
      </c>
      <c r="AF754" s="70"/>
      <c r="AG754" s="70"/>
      <c r="AH754" s="70"/>
      <c r="AI754" s="70"/>
    </row>
    <row r="755" spans="1:35" x14ac:dyDescent="0.45">
      <c r="A755" s="70"/>
      <c r="B755" s="52"/>
      <c r="C755" s="52"/>
      <c r="D755" s="52" t="s">
        <v>1410</v>
      </c>
      <c r="E755" s="82">
        <f>'Manual inputs'!E$44</f>
        <v>1.98450938723838E-3</v>
      </c>
      <c r="F755" s="78">
        <f>'Manual inputs'!F$44</f>
        <v>0.18</v>
      </c>
      <c r="G755" s="72"/>
      <c r="H755" s="70"/>
      <c r="I755" s="70"/>
      <c r="J755" s="70"/>
      <c r="K755" s="70"/>
      <c r="L755" s="72">
        <f t="shared" ref="L755:AE755" si="285">L733*(EXP(-($E755)*(L648))-1)</f>
        <v>0</v>
      </c>
      <c r="M755" s="72">
        <f t="shared" si="285"/>
        <v>0</v>
      </c>
      <c r="N755" s="72">
        <f t="shared" si="285"/>
        <v>0</v>
      </c>
      <c r="O755" s="72">
        <f t="shared" si="285"/>
        <v>0</v>
      </c>
      <c r="P755" s="72">
        <f t="shared" si="285"/>
        <v>0</v>
      </c>
      <c r="Q755" s="72">
        <f t="shared" si="285"/>
        <v>0</v>
      </c>
      <c r="R755" s="72">
        <f t="shared" si="285"/>
        <v>0</v>
      </c>
      <c r="S755" s="72">
        <f t="shared" si="285"/>
        <v>0</v>
      </c>
      <c r="T755" s="72">
        <f t="shared" si="285"/>
        <v>0</v>
      </c>
      <c r="U755" s="72">
        <f t="shared" si="285"/>
        <v>0</v>
      </c>
      <c r="V755" s="72">
        <f t="shared" si="285"/>
        <v>0</v>
      </c>
      <c r="W755" s="72">
        <f t="shared" si="285"/>
        <v>0</v>
      </c>
      <c r="X755" s="72">
        <f t="shared" si="285"/>
        <v>0</v>
      </c>
      <c r="Y755" s="72">
        <f t="shared" si="285"/>
        <v>0</v>
      </c>
      <c r="Z755" s="72">
        <f t="shared" si="285"/>
        <v>0</v>
      </c>
      <c r="AA755" s="72">
        <f t="shared" si="285"/>
        <v>0</v>
      </c>
      <c r="AB755" s="72">
        <f t="shared" si="285"/>
        <v>0</v>
      </c>
      <c r="AC755" s="72">
        <f t="shared" si="285"/>
        <v>0</v>
      </c>
      <c r="AD755" s="72">
        <f t="shared" si="285"/>
        <v>0</v>
      </c>
      <c r="AE755" s="72">
        <f t="shared" si="285"/>
        <v>0</v>
      </c>
      <c r="AF755" s="70"/>
      <c r="AG755" s="70"/>
      <c r="AH755" s="70"/>
      <c r="AI755" s="70"/>
    </row>
    <row r="756" spans="1:35" x14ac:dyDescent="0.45">
      <c r="A756" s="70"/>
      <c r="B756" s="52"/>
      <c r="C756" s="52"/>
      <c r="D756" s="52" t="s">
        <v>1383</v>
      </c>
      <c r="E756" s="82">
        <f>'Manual inputs'!E$45</f>
        <v>0</v>
      </c>
      <c r="F756" s="78">
        <f>'Manual inputs'!F$45</f>
        <v>0</v>
      </c>
      <c r="G756" s="72"/>
      <c r="H756" s="70"/>
      <c r="I756" s="70"/>
      <c r="J756" s="70"/>
      <c r="K756" s="70"/>
      <c r="L756" s="72">
        <f t="shared" ref="L756:AE756" si="286">L734*(EXP(-($E756)*(L648))-1)</f>
        <v>0</v>
      </c>
      <c r="M756" s="72">
        <f t="shared" si="286"/>
        <v>0</v>
      </c>
      <c r="N756" s="72">
        <f t="shared" si="286"/>
        <v>0</v>
      </c>
      <c r="O756" s="72">
        <f t="shared" si="286"/>
        <v>0</v>
      </c>
      <c r="P756" s="72">
        <f t="shared" si="286"/>
        <v>0</v>
      </c>
      <c r="Q756" s="72">
        <f t="shared" si="286"/>
        <v>0</v>
      </c>
      <c r="R756" s="72">
        <f t="shared" si="286"/>
        <v>0</v>
      </c>
      <c r="S756" s="72">
        <f t="shared" si="286"/>
        <v>0</v>
      </c>
      <c r="T756" s="72">
        <f t="shared" si="286"/>
        <v>0</v>
      </c>
      <c r="U756" s="72">
        <f t="shared" si="286"/>
        <v>0</v>
      </c>
      <c r="V756" s="72">
        <f t="shared" si="286"/>
        <v>0</v>
      </c>
      <c r="W756" s="72">
        <f t="shared" si="286"/>
        <v>0</v>
      </c>
      <c r="X756" s="72">
        <f t="shared" si="286"/>
        <v>0</v>
      </c>
      <c r="Y756" s="72">
        <f t="shared" si="286"/>
        <v>0</v>
      </c>
      <c r="Z756" s="72">
        <f t="shared" si="286"/>
        <v>0</v>
      </c>
      <c r="AA756" s="72">
        <f t="shared" si="286"/>
        <v>0</v>
      </c>
      <c r="AB756" s="72">
        <f t="shared" si="286"/>
        <v>0</v>
      </c>
      <c r="AC756" s="72">
        <f t="shared" si="286"/>
        <v>0</v>
      </c>
      <c r="AD756" s="72">
        <f t="shared" si="286"/>
        <v>0</v>
      </c>
      <c r="AE756" s="72">
        <f t="shared" si="286"/>
        <v>0</v>
      </c>
      <c r="AF756" s="70"/>
      <c r="AG756" s="70"/>
      <c r="AH756" s="70"/>
      <c r="AI756" s="70"/>
    </row>
    <row r="757" spans="1:35" x14ac:dyDescent="0.45">
      <c r="A757" s="70"/>
      <c r="B757" s="52"/>
      <c r="C757" s="52"/>
      <c r="D757" s="52" t="s">
        <v>1411</v>
      </c>
      <c r="E757" s="82">
        <f>'Manual inputs'!E$46</f>
        <v>1.04982212449868E-2</v>
      </c>
      <c r="F757" s="78">
        <f>'Manual inputs'!F$46</f>
        <v>0.65</v>
      </c>
      <c r="G757" s="72"/>
      <c r="H757" s="70"/>
      <c r="I757" s="70"/>
      <c r="J757" s="70"/>
      <c r="K757" s="70"/>
      <c r="L757" s="72">
        <f t="shared" ref="L757:AE757" si="287">L735*(EXP(-($E757)*(L648))-1)</f>
        <v>0</v>
      </c>
      <c r="M757" s="72">
        <f t="shared" si="287"/>
        <v>0</v>
      </c>
      <c r="N757" s="72">
        <f t="shared" si="287"/>
        <v>0</v>
      </c>
      <c r="O757" s="72">
        <f t="shared" si="287"/>
        <v>0</v>
      </c>
      <c r="P757" s="72">
        <f t="shared" si="287"/>
        <v>0</v>
      </c>
      <c r="Q757" s="72">
        <f t="shared" si="287"/>
        <v>0</v>
      </c>
      <c r="R757" s="72">
        <f t="shared" si="287"/>
        <v>0</v>
      </c>
      <c r="S757" s="72">
        <f t="shared" si="287"/>
        <v>0</v>
      </c>
      <c r="T757" s="72">
        <f t="shared" si="287"/>
        <v>0</v>
      </c>
      <c r="U757" s="72">
        <f t="shared" si="287"/>
        <v>0</v>
      </c>
      <c r="V757" s="72">
        <f t="shared" si="287"/>
        <v>0</v>
      </c>
      <c r="W757" s="72">
        <f t="shared" si="287"/>
        <v>0</v>
      </c>
      <c r="X757" s="72">
        <f t="shared" si="287"/>
        <v>0</v>
      </c>
      <c r="Y757" s="72">
        <f t="shared" si="287"/>
        <v>0</v>
      </c>
      <c r="Z757" s="72">
        <f t="shared" si="287"/>
        <v>0</v>
      </c>
      <c r="AA757" s="72">
        <f t="shared" si="287"/>
        <v>0</v>
      </c>
      <c r="AB757" s="72">
        <f t="shared" si="287"/>
        <v>0</v>
      </c>
      <c r="AC757" s="72">
        <f t="shared" si="287"/>
        <v>0</v>
      </c>
      <c r="AD757" s="72">
        <f t="shared" si="287"/>
        <v>0</v>
      </c>
      <c r="AE757" s="72">
        <f t="shared" si="287"/>
        <v>0</v>
      </c>
      <c r="AF757" s="70"/>
      <c r="AG757" s="70"/>
      <c r="AH757" s="70"/>
      <c r="AI757" s="70"/>
    </row>
    <row r="758" spans="1:35" x14ac:dyDescent="0.45">
      <c r="A758" s="70"/>
      <c r="B758" s="52"/>
      <c r="C758" s="52"/>
      <c r="D758" s="52" t="s">
        <v>1397</v>
      </c>
      <c r="E758" s="82">
        <f>'Manual inputs'!E$47</f>
        <v>8.3381608939051E-4</v>
      </c>
      <c r="F758" s="78">
        <f>'Manual inputs'!F$47</f>
        <v>0.08</v>
      </c>
      <c r="G758" s="72"/>
      <c r="H758" s="72"/>
      <c r="I758" s="72"/>
      <c r="J758" s="72"/>
      <c r="K758" s="72"/>
      <c r="L758" s="72">
        <f t="shared" ref="L758:AE758" si="288">L736*(EXP(-($E758)*(L648))-1)</f>
        <v>0</v>
      </c>
      <c r="M758" s="72">
        <f t="shared" si="288"/>
        <v>0</v>
      </c>
      <c r="N758" s="72">
        <f t="shared" si="288"/>
        <v>0</v>
      </c>
      <c r="O758" s="72">
        <f t="shared" si="288"/>
        <v>0</v>
      </c>
      <c r="P758" s="72">
        <f t="shared" si="288"/>
        <v>0</v>
      </c>
      <c r="Q758" s="72">
        <f t="shared" si="288"/>
        <v>0</v>
      </c>
      <c r="R758" s="72">
        <f t="shared" si="288"/>
        <v>0</v>
      </c>
      <c r="S758" s="72">
        <f t="shared" si="288"/>
        <v>0</v>
      </c>
      <c r="T758" s="72">
        <f t="shared" si="288"/>
        <v>0</v>
      </c>
      <c r="U758" s="72">
        <f t="shared" si="288"/>
        <v>0</v>
      </c>
      <c r="V758" s="72">
        <f t="shared" si="288"/>
        <v>0</v>
      </c>
      <c r="W758" s="72">
        <f t="shared" si="288"/>
        <v>0</v>
      </c>
      <c r="X758" s="72">
        <f t="shared" si="288"/>
        <v>0</v>
      </c>
      <c r="Y758" s="72">
        <f t="shared" si="288"/>
        <v>0</v>
      </c>
      <c r="Z758" s="72">
        <f t="shared" si="288"/>
        <v>0</v>
      </c>
      <c r="AA758" s="72">
        <f t="shared" si="288"/>
        <v>0</v>
      </c>
      <c r="AB758" s="72">
        <f t="shared" si="288"/>
        <v>0</v>
      </c>
      <c r="AC758" s="72">
        <f t="shared" si="288"/>
        <v>0</v>
      </c>
      <c r="AD758" s="72">
        <f t="shared" si="288"/>
        <v>0</v>
      </c>
      <c r="AE758" s="72">
        <f t="shared" si="288"/>
        <v>0</v>
      </c>
      <c r="AF758" s="70"/>
      <c r="AG758" s="70"/>
      <c r="AH758" s="70"/>
      <c r="AI758" s="70"/>
    </row>
    <row r="759" spans="1:35" x14ac:dyDescent="0.45">
      <c r="A759" s="70"/>
      <c r="B759" s="52"/>
      <c r="C759" s="52"/>
      <c r="D759" s="72" t="s">
        <v>111</v>
      </c>
      <c r="E759" s="72"/>
      <c r="F759" s="72"/>
      <c r="G759" s="70" t="s">
        <v>1492</v>
      </c>
      <c r="H759" s="87" t="str">
        <f>Settings!$B$3&amp;".mit.emrf."&amp;$G759&amp;"."&amp;$J$404</f>
        <v>egy.mit.emrf.cbam.tot.2</v>
      </c>
      <c r="I759" s="72"/>
      <c r="J759" s="72"/>
      <c r="K759" s="72"/>
      <c r="L759" s="72">
        <f t="shared" ref="L759:AE759" si="289">SUM(L751:L758)</f>
        <v>0</v>
      </c>
      <c r="M759" s="72">
        <f t="shared" si="289"/>
        <v>0</v>
      </c>
      <c r="N759" s="72">
        <f t="shared" si="289"/>
        <v>0</v>
      </c>
      <c r="O759" s="72">
        <f t="shared" si="289"/>
        <v>0</v>
      </c>
      <c r="P759" s="72">
        <f t="shared" si="289"/>
        <v>0</v>
      </c>
      <c r="Q759" s="72">
        <f t="shared" si="289"/>
        <v>0</v>
      </c>
      <c r="R759" s="72">
        <f t="shared" si="289"/>
        <v>0</v>
      </c>
      <c r="S759" s="72">
        <f t="shared" si="289"/>
        <v>0</v>
      </c>
      <c r="T759" s="72">
        <f t="shared" si="289"/>
        <v>0</v>
      </c>
      <c r="U759" s="72">
        <f t="shared" si="289"/>
        <v>0</v>
      </c>
      <c r="V759" s="72">
        <f t="shared" si="289"/>
        <v>0</v>
      </c>
      <c r="W759" s="72">
        <f t="shared" si="289"/>
        <v>0</v>
      </c>
      <c r="X759" s="72">
        <f t="shared" si="289"/>
        <v>0</v>
      </c>
      <c r="Y759" s="72">
        <f t="shared" si="289"/>
        <v>0</v>
      </c>
      <c r="Z759" s="72">
        <f t="shared" si="289"/>
        <v>0</v>
      </c>
      <c r="AA759" s="72">
        <f t="shared" si="289"/>
        <v>0</v>
      </c>
      <c r="AB759" s="72">
        <f t="shared" si="289"/>
        <v>0</v>
      </c>
      <c r="AC759" s="72">
        <f t="shared" si="289"/>
        <v>0</v>
      </c>
      <c r="AD759" s="72">
        <f t="shared" si="289"/>
        <v>0</v>
      </c>
      <c r="AE759" s="72">
        <f t="shared" si="289"/>
        <v>0</v>
      </c>
      <c r="AF759" s="70"/>
      <c r="AG759" s="70"/>
      <c r="AH759" s="70"/>
      <c r="AI759" s="70"/>
    </row>
    <row r="760" spans="1:35" x14ac:dyDescent="0.45">
      <c r="A760" s="70"/>
      <c r="B760" s="52"/>
      <c r="C760" s="52"/>
      <c r="D760" s="52"/>
      <c r="E760" s="70"/>
      <c r="F760" s="70"/>
      <c r="G760" s="70"/>
      <c r="H760" s="70"/>
      <c r="I760" s="70"/>
      <c r="J760" s="70"/>
      <c r="K760" s="72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  <c r="AH760" s="70"/>
      <c r="AI760" s="70"/>
    </row>
    <row r="761" spans="1:35" x14ac:dyDescent="0.45">
      <c r="A761" s="70"/>
      <c r="B761" s="52"/>
      <c r="C761" s="73" t="s">
        <v>1491</v>
      </c>
      <c r="D761" s="73"/>
      <c r="E761" s="72" t="s">
        <v>1489</v>
      </c>
      <c r="F761" s="72" t="s">
        <v>1407</v>
      </c>
      <c r="G761" s="72" t="s">
        <v>1490</v>
      </c>
      <c r="H761" s="74"/>
      <c r="I761" s="74"/>
      <c r="J761" s="74"/>
      <c r="K761" s="74"/>
      <c r="L761" s="74">
        <f t="shared" ref="L761:AE761" si="290">L708</f>
        <v>2022</v>
      </c>
      <c r="M761" s="74">
        <f t="shared" si="290"/>
        <v>2023</v>
      </c>
      <c r="N761" s="74">
        <f t="shared" si="290"/>
        <v>2024</v>
      </c>
      <c r="O761" s="74">
        <f t="shared" si="290"/>
        <v>2025</v>
      </c>
      <c r="P761" s="74">
        <f t="shared" si="290"/>
        <v>2026</v>
      </c>
      <c r="Q761" s="74">
        <f t="shared" si="290"/>
        <v>2027</v>
      </c>
      <c r="R761" s="74">
        <f t="shared" si="290"/>
        <v>2028</v>
      </c>
      <c r="S761" s="74">
        <f t="shared" si="290"/>
        <v>2029</v>
      </c>
      <c r="T761" s="74">
        <f t="shared" si="290"/>
        <v>2030</v>
      </c>
      <c r="U761" s="74">
        <f t="shared" si="290"/>
        <v>2031</v>
      </c>
      <c r="V761" s="74">
        <f t="shared" si="290"/>
        <v>2032</v>
      </c>
      <c r="W761" s="74">
        <f t="shared" si="290"/>
        <v>2033</v>
      </c>
      <c r="X761" s="74">
        <f t="shared" si="290"/>
        <v>2034</v>
      </c>
      <c r="Y761" s="74">
        <f t="shared" si="290"/>
        <v>2035</v>
      </c>
      <c r="Z761" s="74">
        <f t="shared" si="290"/>
        <v>2036</v>
      </c>
      <c r="AA761" s="74">
        <f t="shared" si="290"/>
        <v>2037</v>
      </c>
      <c r="AB761" s="74">
        <f t="shared" si="290"/>
        <v>2038</v>
      </c>
      <c r="AC761" s="74">
        <f t="shared" si="290"/>
        <v>2039</v>
      </c>
      <c r="AD761" s="74">
        <f t="shared" si="290"/>
        <v>2040</v>
      </c>
      <c r="AE761" s="74">
        <f t="shared" si="290"/>
        <v>2041</v>
      </c>
      <c r="AF761" s="70"/>
      <c r="AG761" s="70"/>
      <c r="AH761" s="70"/>
      <c r="AI761" s="70"/>
    </row>
    <row r="762" spans="1:35" x14ac:dyDescent="0.45">
      <c r="A762" s="70"/>
      <c r="B762" s="52"/>
      <c r="C762" s="52"/>
      <c r="D762" s="52" t="s">
        <v>1350</v>
      </c>
      <c r="E762" s="82">
        <f>'Manual inputs'!E$40</f>
        <v>1.0536051565782599E-3</v>
      </c>
      <c r="F762" s="78">
        <f>'Manual inputs'!F$40</f>
        <v>0.1</v>
      </c>
      <c r="G762" s="72"/>
      <c r="H762" s="70"/>
      <c r="I762" s="70" t="s">
        <v>2732</v>
      </c>
      <c r="J762" s="70"/>
      <c r="K762" s="70"/>
      <c r="L762" s="72">
        <f>L740*$J729*(EXP(-($E762)*($F709*L$707+$G709*L$647+L$648))-1)</f>
        <v>0</v>
      </c>
      <c r="M762" s="72">
        <f>M740*$J729*(EXP(-($E762)*($F709*M$707+$G709*M$647+M$648))-1)</f>
        <v>0</v>
      </c>
      <c r="N762" s="72">
        <f>N740*$J729*(EXP(-($E762)*($F709*N$707+$G709*N$647+N$648))-1)</f>
        <v>0</v>
      </c>
      <c r="O762" s="72">
        <f>O740*$J729*(EXP(-($E762)*($F709*O$707+$G709*O$647+O$648))-1)</f>
        <v>0</v>
      </c>
      <c r="P762" s="72">
        <f>P740*$J729*(EXP(-($E762)*($F709*P$707+$G709*P$647+P$648))-1)</f>
        <v>0</v>
      </c>
      <c r="Q762" s="72">
        <f>Q740*$J729*(EXP(-($E762)*($F709*Q$707+$G709*Q$647+Q$648))-1)</f>
        <v>0</v>
      </c>
      <c r="R762" s="72">
        <f>R740*$J729*(EXP(-($E762)*($F709*R$707+$G709*R$647+R$648))-1)</f>
        <v>0</v>
      </c>
      <c r="S762" s="72">
        <f>S740*$J729*(EXP(-($E762)*($F709*S$707+$G709*S$647+S$648))-1)</f>
        <v>0</v>
      </c>
      <c r="T762" s="72">
        <f>T740*$J729*(EXP(-($E762)*($F709*T$707+$G709*T$647+T$648))-1)</f>
        <v>0</v>
      </c>
      <c r="U762" s="72">
        <f>U740*$J729*(EXP(-($E762)*($F709*U$707+$G709*U$647+U$648))-1)</f>
        <v>0</v>
      </c>
      <c r="V762" s="72">
        <f>V740*$J729*(EXP(-($E762)*($F709*V$707+$G709*V$647+V$648))-1)</f>
        <v>0</v>
      </c>
      <c r="W762" s="72">
        <f>W740*$J729*(EXP(-($E762)*($F709*W$707+$G709*W$647+W$648))-1)</f>
        <v>0</v>
      </c>
      <c r="X762" s="72">
        <f>X740*$J729*(EXP(-($E762)*($F709*X$707+$G709*X$647+X$648))-1)</f>
        <v>0</v>
      </c>
      <c r="Y762" s="72">
        <f>Y740*$J729*(EXP(-($E762)*($F709*Y$707+$G709*Y$647+Y$648))-1)</f>
        <v>0</v>
      </c>
      <c r="Z762" s="72">
        <f>Z740*$J729*(EXP(-($E762)*($F709*Z$707+$G709*Z$647+Z$648))-1)</f>
        <v>0</v>
      </c>
      <c r="AA762" s="72">
        <f>AA740*$J729*(EXP(-($E762)*($F709*AA$707+$G709*AA$647+AA$648))-1)</f>
        <v>0</v>
      </c>
      <c r="AB762" s="72">
        <f>AB740*$J729*(EXP(-($E762)*($F709*AB$707+$G709*AB$647+AB$648))-1)</f>
        <v>0</v>
      </c>
      <c r="AC762" s="72">
        <f>AC740*$J729*(EXP(-($E762)*($F709*AC$707+$G709*AC$647+AC$648))-1)</f>
        <v>0</v>
      </c>
      <c r="AD762" s="72">
        <f>AD740*$J729*(EXP(-($E762)*($F709*AD$707+$G709*AD$647+AD$648))-1)</f>
        <v>0</v>
      </c>
      <c r="AE762" s="72">
        <f>AE740*$J729*(EXP(-($E762)*($F709*AE$707+$G709*AE$647+AE$648))-1)</f>
        <v>0</v>
      </c>
      <c r="AF762" s="70"/>
      <c r="AG762" s="70"/>
      <c r="AH762" s="70"/>
      <c r="AI762" s="70"/>
    </row>
    <row r="763" spans="1:35" x14ac:dyDescent="0.45">
      <c r="A763" s="70"/>
      <c r="B763" s="52"/>
      <c r="C763" s="52"/>
      <c r="D763" s="52" t="s">
        <v>1357</v>
      </c>
      <c r="E763" s="82">
        <f>'Manual inputs'!E$41</f>
        <v>2.0202707317519501E-4</v>
      </c>
      <c r="F763" s="78">
        <f>'Manual inputs'!F$41</f>
        <v>0.02</v>
      </c>
      <c r="G763" s="72"/>
      <c r="H763" s="70"/>
      <c r="I763" s="70"/>
      <c r="J763" s="70"/>
      <c r="K763" s="70"/>
      <c r="L763" s="72">
        <f>L741*$J730*(EXP(-($E763)*($F710*L$707+$G710*L$647+L$648))-1)</f>
        <v>0</v>
      </c>
      <c r="M763" s="72">
        <f>M741*$J730*(EXP(-($E763)*($F710*M$707+$G710*M$647+M$648))-1)</f>
        <v>0</v>
      </c>
      <c r="N763" s="72">
        <f>N741*$J730*(EXP(-($E763)*($F710*N$707+$G710*N$647+N$648))-1)</f>
        <v>0</v>
      </c>
      <c r="O763" s="72">
        <f>O741*$J730*(EXP(-($E763)*($F710*O$707+$G710*O$647+O$648))-1)</f>
        <v>0</v>
      </c>
      <c r="P763" s="72">
        <f>P741*$J730*(EXP(-($E763)*($F710*P$707+$G710*P$647+P$648))-1)</f>
        <v>0</v>
      </c>
      <c r="Q763" s="72">
        <f>Q741*$J730*(EXP(-($E763)*($F710*Q$707+$G710*Q$647+Q$648))-1)</f>
        <v>0</v>
      </c>
      <c r="R763" s="72">
        <f>R741*$J730*(EXP(-($E763)*($F710*R$707+$G710*R$647+R$648))-1)</f>
        <v>0</v>
      </c>
      <c r="S763" s="72">
        <f>S741*$J730*(EXP(-($E763)*($F710*S$707+$G710*S$647+S$648))-1)</f>
        <v>0</v>
      </c>
      <c r="T763" s="72">
        <f>T741*$J730*(EXP(-($E763)*($F710*T$707+$G710*T$647+T$648))-1)</f>
        <v>0</v>
      </c>
      <c r="U763" s="72">
        <f>U741*$J730*(EXP(-($E763)*($F710*U$707+$G710*U$647+U$648))-1)</f>
        <v>0</v>
      </c>
      <c r="V763" s="72">
        <f>V741*$J730*(EXP(-($E763)*($F710*V$707+$G710*V$647+V$648))-1)</f>
        <v>0</v>
      </c>
      <c r="W763" s="72">
        <f>W741*$J730*(EXP(-($E763)*($F710*W$707+$G710*W$647+W$648))-1)</f>
        <v>0</v>
      </c>
      <c r="X763" s="72">
        <f>X741*$J730*(EXP(-($E763)*($F710*X$707+$G710*X$647+X$648))-1)</f>
        <v>0</v>
      </c>
      <c r="Y763" s="72">
        <f>Y741*$J730*(EXP(-($E763)*($F710*Y$707+$G710*Y$647+Y$648))-1)</f>
        <v>0</v>
      </c>
      <c r="Z763" s="72">
        <f>Z741*$J730*(EXP(-($E763)*($F710*Z$707+$G710*Z$647+Z$648))-1)</f>
        <v>0</v>
      </c>
      <c r="AA763" s="72">
        <f>AA741*$J730*(EXP(-($E763)*($F710*AA$707+$G710*AA$647+AA$648))-1)</f>
        <v>0</v>
      </c>
      <c r="AB763" s="72">
        <f>AB741*$J730*(EXP(-($E763)*($F710*AB$707+$G710*AB$647+AB$648))-1)</f>
        <v>0</v>
      </c>
      <c r="AC763" s="72">
        <f>AC741*$J730*(EXP(-($E763)*($F710*AC$707+$G710*AC$647+AC$648))-1)</f>
        <v>0</v>
      </c>
      <c r="AD763" s="72">
        <f>AD741*$J730*(EXP(-($E763)*($F710*AD$707+$G710*AD$647+AD$648))-1)</f>
        <v>0</v>
      </c>
      <c r="AE763" s="72">
        <f>AE741*$J730*(EXP(-($E763)*($F710*AE$707+$G710*AE$647+AE$648))-1)</f>
        <v>0</v>
      </c>
      <c r="AF763" s="70"/>
      <c r="AG763" s="70"/>
      <c r="AH763" s="70"/>
      <c r="AI763" s="70"/>
    </row>
    <row r="764" spans="1:35" x14ac:dyDescent="0.45">
      <c r="A764" s="70"/>
      <c r="B764" s="52"/>
      <c r="C764" s="52"/>
      <c r="D764" s="52" t="s">
        <v>1408</v>
      </c>
      <c r="E764" s="82">
        <f>'Manual inputs'!E$42</f>
        <v>5.1293294387550598E-4</v>
      </c>
      <c r="F764" s="78">
        <f>'Manual inputs'!F$42</f>
        <v>0.05</v>
      </c>
      <c r="G764" s="72"/>
      <c r="H764" s="70"/>
      <c r="I764" s="70"/>
      <c r="J764" s="70"/>
      <c r="K764" s="70"/>
      <c r="L764" s="72">
        <f>L742*$J731*(EXP(-($E764)*($F711*L$707+$G711*L$647+L$648))-1)</f>
        <v>0</v>
      </c>
      <c r="M764" s="72">
        <f>M742*$J731*(EXP(-($E764)*($F711*M$707+$G711*M$647+M$648))-1)</f>
        <v>0</v>
      </c>
      <c r="N764" s="72">
        <f>N742*$J731*(EXP(-($E764)*($F711*N$707+$G711*N$647+N$648))-1)</f>
        <v>0</v>
      </c>
      <c r="O764" s="72">
        <f>O742*$J731*(EXP(-($E764)*($F711*O$707+$G711*O$647+O$648))-1)</f>
        <v>0</v>
      </c>
      <c r="P764" s="72">
        <f>P742*$J731*(EXP(-($E764)*($F711*P$707+$G711*P$647+P$648))-1)</f>
        <v>0</v>
      </c>
      <c r="Q764" s="72">
        <f>Q742*$J731*(EXP(-($E764)*($F711*Q$707+$G711*Q$647+Q$648))-1)</f>
        <v>0</v>
      </c>
      <c r="R764" s="72">
        <f>R742*$J731*(EXP(-($E764)*($F711*R$707+$G711*R$647+R$648))-1)</f>
        <v>0</v>
      </c>
      <c r="S764" s="72">
        <f>S742*$J731*(EXP(-($E764)*($F711*S$707+$G711*S$647+S$648))-1)</f>
        <v>0</v>
      </c>
      <c r="T764" s="72">
        <f>T742*$J731*(EXP(-($E764)*($F711*T$707+$G711*T$647+T$648))-1)</f>
        <v>0</v>
      </c>
      <c r="U764" s="72">
        <f>U742*$J731*(EXP(-($E764)*($F711*U$707+$G711*U$647+U$648))-1)</f>
        <v>0</v>
      </c>
      <c r="V764" s="72">
        <f>V742*$J731*(EXP(-($E764)*($F711*V$707+$G711*V$647+V$648))-1)</f>
        <v>0</v>
      </c>
      <c r="W764" s="72">
        <f>W742*$J731*(EXP(-($E764)*($F711*W$707+$G711*W$647+W$648))-1)</f>
        <v>0</v>
      </c>
      <c r="X764" s="72">
        <f>X742*$J731*(EXP(-($E764)*($F711*X$707+$G711*X$647+X$648))-1)</f>
        <v>0</v>
      </c>
      <c r="Y764" s="72">
        <f>Y742*$J731*(EXP(-($E764)*($F711*Y$707+$G711*Y$647+Y$648))-1)</f>
        <v>0</v>
      </c>
      <c r="Z764" s="72">
        <f>Z742*$J731*(EXP(-($E764)*($F711*Z$707+$G711*Z$647+Z$648))-1)</f>
        <v>0</v>
      </c>
      <c r="AA764" s="72">
        <f>AA742*$J731*(EXP(-($E764)*($F711*AA$707+$G711*AA$647+AA$648))-1)</f>
        <v>0</v>
      </c>
      <c r="AB764" s="72">
        <f>AB742*$J731*(EXP(-($E764)*($F711*AB$707+$G711*AB$647+AB$648))-1)</f>
        <v>0</v>
      </c>
      <c r="AC764" s="72">
        <f>AC742*$J731*(EXP(-($E764)*($F711*AC$707+$G711*AC$647+AC$648))-1)</f>
        <v>0</v>
      </c>
      <c r="AD764" s="72">
        <f>AD742*$J731*(EXP(-($E764)*($F711*AD$707+$G711*AD$647+AD$648))-1)</f>
        <v>0</v>
      </c>
      <c r="AE764" s="72">
        <f>AE742*$J731*(EXP(-($E764)*($F711*AE$707+$G711*AE$647+AE$648))-1)</f>
        <v>0</v>
      </c>
      <c r="AF764" s="70"/>
      <c r="AG764" s="70"/>
      <c r="AH764" s="70"/>
      <c r="AI764" s="70"/>
    </row>
    <row r="765" spans="1:35" x14ac:dyDescent="0.45">
      <c r="A765" s="70"/>
      <c r="B765" s="52"/>
      <c r="C765" s="52"/>
      <c r="D765" s="52" t="s">
        <v>1409</v>
      </c>
      <c r="E765" s="82">
        <f>'Manual inputs'!E$43</f>
        <v>8.3381608939051E-4</v>
      </c>
      <c r="F765" s="78">
        <f>'Manual inputs'!F$43</f>
        <v>0.08</v>
      </c>
      <c r="G765" s="72"/>
      <c r="H765" s="70"/>
      <c r="I765" s="70"/>
      <c r="J765" s="70"/>
      <c r="K765" s="70"/>
      <c r="L765" s="72">
        <f>L743*$J732*(EXP(-($E765)*($F712*L$707+$G712*L$647+L$648))-1)</f>
        <v>0</v>
      </c>
      <c r="M765" s="72">
        <f>M743*$J732*(EXP(-($E765)*($F712*M$707+$G712*M$647+M$648))-1)</f>
        <v>0</v>
      </c>
      <c r="N765" s="72">
        <f>N743*$J732*(EXP(-($E765)*($F712*N$707+$G712*N$647+N$648))-1)</f>
        <v>0</v>
      </c>
      <c r="O765" s="72">
        <f>O743*$J732*(EXP(-($E765)*($F712*O$707+$G712*O$647+O$648))-1)</f>
        <v>0</v>
      </c>
      <c r="P765" s="72">
        <f>P743*$J732*(EXP(-($E765)*($F712*P$707+$G712*P$647+P$648))-1)</f>
        <v>0</v>
      </c>
      <c r="Q765" s="72">
        <f>Q743*$J732*(EXP(-($E765)*($F712*Q$707+$G712*Q$647+Q$648))-1)</f>
        <v>0</v>
      </c>
      <c r="R765" s="72">
        <f>R743*$J732*(EXP(-($E765)*($F712*R$707+$G712*R$647+R$648))-1)</f>
        <v>0</v>
      </c>
      <c r="S765" s="72">
        <f>S743*$J732*(EXP(-($E765)*($F712*S$707+$G712*S$647+S$648))-1)</f>
        <v>0</v>
      </c>
      <c r="T765" s="72">
        <f>T743*$J732*(EXP(-($E765)*($F712*T$707+$G712*T$647+T$648))-1)</f>
        <v>0</v>
      </c>
      <c r="U765" s="72">
        <f>U743*$J732*(EXP(-($E765)*($F712*U$707+$G712*U$647+U$648))-1)</f>
        <v>0</v>
      </c>
      <c r="V765" s="72">
        <f>V743*$J732*(EXP(-($E765)*($F712*V$707+$G712*V$647+V$648))-1)</f>
        <v>0</v>
      </c>
      <c r="W765" s="72">
        <f>W743*$J732*(EXP(-($E765)*($F712*W$707+$G712*W$647+W$648))-1)</f>
        <v>0</v>
      </c>
      <c r="X765" s="72">
        <f>X743*$J732*(EXP(-($E765)*($F712*X$707+$G712*X$647+X$648))-1)</f>
        <v>0</v>
      </c>
      <c r="Y765" s="72">
        <f>Y743*$J732*(EXP(-($E765)*($F712*Y$707+$G712*Y$647+Y$648))-1)</f>
        <v>0</v>
      </c>
      <c r="Z765" s="72">
        <f>Z743*$J732*(EXP(-($E765)*($F712*Z$707+$G712*Z$647+Z$648))-1)</f>
        <v>0</v>
      </c>
      <c r="AA765" s="72">
        <f>AA743*$J732*(EXP(-($E765)*($F712*AA$707+$G712*AA$647+AA$648))-1)</f>
        <v>0</v>
      </c>
      <c r="AB765" s="72">
        <f>AB743*$J732*(EXP(-($E765)*($F712*AB$707+$G712*AB$647+AB$648))-1)</f>
        <v>0</v>
      </c>
      <c r="AC765" s="72">
        <f>AC743*$J732*(EXP(-($E765)*($F712*AC$707+$G712*AC$647+AC$648))-1)</f>
        <v>0</v>
      </c>
      <c r="AD765" s="72">
        <f>AD743*$J732*(EXP(-($E765)*($F712*AD$707+$G712*AD$647+AD$648))-1)</f>
        <v>0</v>
      </c>
      <c r="AE765" s="72">
        <f>AE743*$J732*(EXP(-($E765)*($F712*AE$707+$G712*AE$647+AE$648))-1)</f>
        <v>0</v>
      </c>
      <c r="AF765" s="70"/>
      <c r="AG765" s="70"/>
      <c r="AH765" s="70"/>
      <c r="AI765" s="70"/>
    </row>
    <row r="766" spans="1:35" x14ac:dyDescent="0.45">
      <c r="A766" s="70"/>
      <c r="B766" s="52"/>
      <c r="C766" s="52"/>
      <c r="D766" s="52" t="s">
        <v>1410</v>
      </c>
      <c r="E766" s="82">
        <f>'Manual inputs'!E$44</f>
        <v>1.98450938723838E-3</v>
      </c>
      <c r="F766" s="78">
        <f>'Manual inputs'!F$44</f>
        <v>0.18</v>
      </c>
      <c r="G766" s="72"/>
      <c r="H766" s="70"/>
      <c r="I766" s="70"/>
      <c r="J766" s="70"/>
      <c r="K766" s="70"/>
      <c r="L766" s="72">
        <f>L744*$J733*(EXP(-($E766)*($F713*L$707+$G713*L$647+L$648))-1)</f>
        <v>0</v>
      </c>
      <c r="M766" s="72">
        <f>M744*$J733*(EXP(-($E766)*($F713*M$707+$G713*M$647+M$648))-1)</f>
        <v>0</v>
      </c>
      <c r="N766" s="72">
        <f>N744*$J733*(EXP(-($E766)*($F713*N$707+$G713*N$647+N$648))-1)</f>
        <v>0</v>
      </c>
      <c r="O766" s="72">
        <f>O744*$J733*(EXP(-($E766)*($F713*O$707+$G713*O$647+O$648))-1)</f>
        <v>0</v>
      </c>
      <c r="P766" s="72">
        <f>P744*$J733*(EXP(-($E766)*($F713*P$707+$G713*P$647+P$648))-1)</f>
        <v>0</v>
      </c>
      <c r="Q766" s="72">
        <f>Q744*$J733*(EXP(-($E766)*($F713*Q$707+$G713*Q$647+Q$648))-1)</f>
        <v>0</v>
      </c>
      <c r="R766" s="72">
        <f>R744*$J733*(EXP(-($E766)*($F713*R$707+$G713*R$647+R$648))-1)</f>
        <v>0</v>
      </c>
      <c r="S766" s="72">
        <f>S744*$J733*(EXP(-($E766)*($F713*S$707+$G713*S$647+S$648))-1)</f>
        <v>0</v>
      </c>
      <c r="T766" s="72">
        <f>T744*$J733*(EXP(-($E766)*($F713*T$707+$G713*T$647+T$648))-1)</f>
        <v>0</v>
      </c>
      <c r="U766" s="72">
        <f>U744*$J733*(EXP(-($E766)*($F713*U$707+$G713*U$647+U$648))-1)</f>
        <v>0</v>
      </c>
      <c r="V766" s="72">
        <f>V744*$J733*(EXP(-($E766)*($F713*V$707+$G713*V$647+V$648))-1)</f>
        <v>0</v>
      </c>
      <c r="W766" s="72">
        <f>W744*$J733*(EXP(-($E766)*($F713*W$707+$G713*W$647+W$648))-1)</f>
        <v>0</v>
      </c>
      <c r="X766" s="72">
        <f>X744*$J733*(EXP(-($E766)*($F713*X$707+$G713*X$647+X$648))-1)</f>
        <v>0</v>
      </c>
      <c r="Y766" s="72">
        <f>Y744*$J733*(EXP(-($E766)*($F713*Y$707+$G713*Y$647+Y$648))-1)</f>
        <v>0</v>
      </c>
      <c r="Z766" s="72">
        <f>Z744*$J733*(EXP(-($E766)*($F713*Z$707+$G713*Z$647+Z$648))-1)</f>
        <v>0</v>
      </c>
      <c r="AA766" s="72">
        <f>AA744*$J733*(EXP(-($E766)*($F713*AA$707+$G713*AA$647+AA$648))-1)</f>
        <v>0</v>
      </c>
      <c r="AB766" s="72">
        <f>AB744*$J733*(EXP(-($E766)*($F713*AB$707+$G713*AB$647+AB$648))-1)</f>
        <v>0</v>
      </c>
      <c r="AC766" s="72">
        <f>AC744*$J733*(EXP(-($E766)*($F713*AC$707+$G713*AC$647+AC$648))-1)</f>
        <v>0</v>
      </c>
      <c r="AD766" s="72">
        <f>AD744*$J733*(EXP(-($E766)*($F713*AD$707+$G713*AD$647+AD$648))-1)</f>
        <v>0</v>
      </c>
      <c r="AE766" s="72">
        <f>AE744*$J733*(EXP(-($E766)*($F713*AE$707+$G713*AE$647+AE$648))-1)</f>
        <v>0</v>
      </c>
      <c r="AF766" s="70"/>
      <c r="AG766" s="70"/>
      <c r="AH766" s="70"/>
      <c r="AI766" s="70"/>
    </row>
    <row r="767" spans="1:35" x14ac:dyDescent="0.45">
      <c r="A767" s="70"/>
      <c r="B767" s="52"/>
      <c r="C767" s="52"/>
      <c r="D767" s="52" t="s">
        <v>1383</v>
      </c>
      <c r="E767" s="82">
        <f>'Manual inputs'!E$45</f>
        <v>0</v>
      </c>
      <c r="F767" s="78">
        <f>'Manual inputs'!F$45</f>
        <v>0</v>
      </c>
      <c r="G767" s="72"/>
      <c r="H767" s="70"/>
      <c r="I767" s="70"/>
      <c r="J767" s="70"/>
      <c r="K767" s="70"/>
      <c r="L767" s="72">
        <f>L745*$J734*(EXP(-($E767)*($F714*L$707+$G714*L$647+L$648))-1)</f>
        <v>0</v>
      </c>
      <c r="M767" s="72">
        <f>M745*$J734*(EXP(-($E767)*($F714*M$707+$G714*M$647+M$648))-1)</f>
        <v>0</v>
      </c>
      <c r="N767" s="72">
        <f>N745*$J734*(EXP(-($E767)*($F714*N$707+$G714*N$647+N$648))-1)</f>
        <v>0</v>
      </c>
      <c r="O767" s="72">
        <f>O745*$J734*(EXP(-($E767)*($F714*O$707+$G714*O$647+O$648))-1)</f>
        <v>0</v>
      </c>
      <c r="P767" s="72">
        <f>P745*$J734*(EXP(-($E767)*($F714*P$707+$G714*P$647+P$648))-1)</f>
        <v>0</v>
      </c>
      <c r="Q767" s="72">
        <f>Q745*$J734*(EXP(-($E767)*($F714*Q$707+$G714*Q$647+Q$648))-1)</f>
        <v>0</v>
      </c>
      <c r="R767" s="72">
        <f>R745*$J734*(EXP(-($E767)*($F714*R$707+$G714*R$647+R$648))-1)</f>
        <v>0</v>
      </c>
      <c r="S767" s="72">
        <f>S745*$J734*(EXP(-($E767)*($F714*S$707+$G714*S$647+S$648))-1)</f>
        <v>0</v>
      </c>
      <c r="T767" s="72">
        <f>T745*$J734*(EXP(-($E767)*($F714*T$707+$G714*T$647+T$648))-1)</f>
        <v>0</v>
      </c>
      <c r="U767" s="72">
        <f>U745*$J734*(EXP(-($E767)*($F714*U$707+$G714*U$647+U$648))-1)</f>
        <v>0</v>
      </c>
      <c r="V767" s="72">
        <f>V745*$J734*(EXP(-($E767)*($F714*V$707+$G714*V$647+V$648))-1)</f>
        <v>0</v>
      </c>
      <c r="W767" s="72">
        <f>W745*$J734*(EXP(-($E767)*($F714*W$707+$G714*W$647+W$648))-1)</f>
        <v>0</v>
      </c>
      <c r="X767" s="72">
        <f>X745*$J734*(EXP(-($E767)*($F714*X$707+$G714*X$647+X$648))-1)</f>
        <v>0</v>
      </c>
      <c r="Y767" s="72">
        <f>Y745*$J734*(EXP(-($E767)*($F714*Y$707+$G714*Y$647+Y$648))-1)</f>
        <v>0</v>
      </c>
      <c r="Z767" s="72">
        <f>Z745*$J734*(EXP(-($E767)*($F714*Z$707+$G714*Z$647+Z$648))-1)</f>
        <v>0</v>
      </c>
      <c r="AA767" s="72">
        <f>AA745*$J734*(EXP(-($E767)*($F714*AA$707+$G714*AA$647+AA$648))-1)</f>
        <v>0</v>
      </c>
      <c r="AB767" s="72">
        <f>AB745*$J734*(EXP(-($E767)*($F714*AB$707+$G714*AB$647+AB$648))-1)</f>
        <v>0</v>
      </c>
      <c r="AC767" s="72">
        <f>AC745*$J734*(EXP(-($E767)*($F714*AC$707+$G714*AC$647+AC$648))-1)</f>
        <v>0</v>
      </c>
      <c r="AD767" s="72">
        <f>AD745*$J734*(EXP(-($E767)*($F714*AD$707+$G714*AD$647+AD$648))-1)</f>
        <v>0</v>
      </c>
      <c r="AE767" s="72">
        <f>AE745*$J734*(EXP(-($E767)*($F714*AE$707+$G714*AE$647+AE$648))-1)</f>
        <v>0</v>
      </c>
      <c r="AF767" s="70"/>
      <c r="AG767" s="70"/>
      <c r="AH767" s="70"/>
      <c r="AI767" s="70"/>
    </row>
    <row r="768" spans="1:35" x14ac:dyDescent="0.45">
      <c r="A768" s="70"/>
      <c r="B768" s="52"/>
      <c r="C768" s="52"/>
      <c r="D768" s="52" t="s">
        <v>1411</v>
      </c>
      <c r="E768" s="82">
        <f>'Manual inputs'!E$46</f>
        <v>1.04982212449868E-2</v>
      </c>
      <c r="F768" s="78">
        <f>'Manual inputs'!F$46</f>
        <v>0.65</v>
      </c>
      <c r="G768" s="72"/>
      <c r="H768" s="70"/>
      <c r="I768" s="70"/>
      <c r="J768" s="70"/>
      <c r="K768" s="70"/>
      <c r="L768" s="72">
        <f>L746*$J735*(EXP(-($E768)*($F715*L$707+$G715*L$647+L$648))-1)</f>
        <v>0</v>
      </c>
      <c r="M768" s="72">
        <f>M746*$J735*(EXP(-($E768)*($F715*M$707+$G715*M$647+M$648))-1)</f>
        <v>0</v>
      </c>
      <c r="N768" s="72">
        <f>N746*$J735*(EXP(-($E768)*($F715*N$707+$G715*N$647+N$648))-1)</f>
        <v>0</v>
      </c>
      <c r="O768" s="72">
        <f>O746*$J735*(EXP(-($E768)*($F715*O$707+$G715*O$647+O$648))-1)</f>
        <v>0</v>
      </c>
      <c r="P768" s="72">
        <f>P746*$J735*(EXP(-($E768)*($F715*P$707+$G715*P$647+P$648))-1)</f>
        <v>0</v>
      </c>
      <c r="Q768" s="72">
        <f>Q746*$J735*(EXP(-($E768)*($F715*Q$707+$G715*Q$647+Q$648))-1)</f>
        <v>0</v>
      </c>
      <c r="R768" s="72">
        <f>R746*$J735*(EXP(-($E768)*($F715*R$707+$G715*R$647+R$648))-1)</f>
        <v>0</v>
      </c>
      <c r="S768" s="72">
        <f>S746*$J735*(EXP(-($E768)*($F715*S$707+$G715*S$647+S$648))-1)</f>
        <v>0</v>
      </c>
      <c r="T768" s="72">
        <f>T746*$J735*(EXP(-($E768)*($F715*T$707+$G715*T$647+T$648))-1)</f>
        <v>0</v>
      </c>
      <c r="U768" s="72">
        <f>U746*$J735*(EXP(-($E768)*($F715*U$707+$G715*U$647+U$648))-1)</f>
        <v>0</v>
      </c>
      <c r="V768" s="72">
        <f>V746*$J735*(EXP(-($E768)*($F715*V$707+$G715*V$647+V$648))-1)</f>
        <v>0</v>
      </c>
      <c r="W768" s="72">
        <f>W746*$J735*(EXP(-($E768)*($F715*W$707+$G715*W$647+W$648))-1)</f>
        <v>0</v>
      </c>
      <c r="X768" s="72">
        <f>X746*$J735*(EXP(-($E768)*($F715*X$707+$G715*X$647+X$648))-1)</f>
        <v>0</v>
      </c>
      <c r="Y768" s="72">
        <f>Y746*$J735*(EXP(-($E768)*($F715*Y$707+$G715*Y$647+Y$648))-1)</f>
        <v>0</v>
      </c>
      <c r="Z768" s="72">
        <f>Z746*$J735*(EXP(-($E768)*($F715*Z$707+$G715*Z$647+Z$648))-1)</f>
        <v>0</v>
      </c>
      <c r="AA768" s="72">
        <f>AA746*$J735*(EXP(-($E768)*($F715*AA$707+$G715*AA$647+AA$648))-1)</f>
        <v>0</v>
      </c>
      <c r="AB768" s="72">
        <f>AB746*$J735*(EXP(-($E768)*($F715*AB$707+$G715*AB$647+AB$648))-1)</f>
        <v>0</v>
      </c>
      <c r="AC768" s="72">
        <f>AC746*$J735*(EXP(-($E768)*($F715*AC$707+$G715*AC$647+AC$648))-1)</f>
        <v>0</v>
      </c>
      <c r="AD768" s="72">
        <f>AD746*$J735*(EXP(-($E768)*($F715*AD$707+$G715*AD$647+AD$648))-1)</f>
        <v>0</v>
      </c>
      <c r="AE768" s="72">
        <f>AE746*$J735*(EXP(-($E768)*($F715*AE$707+$G715*AE$647+AE$648))-1)</f>
        <v>0</v>
      </c>
      <c r="AF768" s="70"/>
      <c r="AG768" s="70"/>
      <c r="AH768" s="70"/>
      <c r="AI768" s="70"/>
    </row>
    <row r="769" spans="1:35" x14ac:dyDescent="0.45">
      <c r="A769" s="70"/>
      <c r="B769" s="52"/>
      <c r="C769" s="52"/>
      <c r="D769" s="52" t="s">
        <v>1397</v>
      </c>
      <c r="E769" s="82">
        <f>'Manual inputs'!E$47</f>
        <v>8.3381608939051E-4</v>
      </c>
      <c r="F769" s="78">
        <f>'Manual inputs'!F$47</f>
        <v>0.08</v>
      </c>
      <c r="G769" s="72"/>
      <c r="H769" s="72"/>
      <c r="I769" s="72"/>
      <c r="J769" s="72"/>
      <c r="K769" s="72"/>
      <c r="L769" s="72">
        <f>L747*$J736*(EXP(-($E769)*($F716*L$707+$G716*L$647+L$648))-1)</f>
        <v>0</v>
      </c>
      <c r="M769" s="72">
        <f>M747*$J736*(EXP(-($E769)*($F716*M$707+$G716*M$647+M$648))-1)</f>
        <v>0</v>
      </c>
      <c r="N769" s="72">
        <f>N747*$J736*(EXP(-($E769)*($F716*N$707+$G716*N$647+N$648))-1)</f>
        <v>0</v>
      </c>
      <c r="O769" s="72">
        <f>O747*$J736*(EXP(-($E769)*($F716*O$707+$G716*O$647+O$648))-1)</f>
        <v>0</v>
      </c>
      <c r="P769" s="72">
        <f>P747*$J736*(EXP(-($E769)*($F716*P$707+$G716*P$647+P$648))-1)</f>
        <v>0</v>
      </c>
      <c r="Q769" s="72">
        <f>Q747*$J736*(EXP(-($E769)*($F716*Q$707+$G716*Q$647+Q$648))-1)</f>
        <v>0</v>
      </c>
      <c r="R769" s="72">
        <f>R747*$J736*(EXP(-($E769)*($F716*R$707+$G716*R$647+R$648))-1)</f>
        <v>0</v>
      </c>
      <c r="S769" s="72">
        <f>S747*$J736*(EXP(-($E769)*($F716*S$707+$G716*S$647+S$648))-1)</f>
        <v>0</v>
      </c>
      <c r="T769" s="72">
        <f>T747*$J736*(EXP(-($E769)*($F716*T$707+$G716*T$647+T$648))-1)</f>
        <v>0</v>
      </c>
      <c r="U769" s="72">
        <f>U747*$J736*(EXP(-($E769)*($F716*U$707+$G716*U$647+U$648))-1)</f>
        <v>0</v>
      </c>
      <c r="V769" s="72">
        <f>V747*$J736*(EXP(-($E769)*($F716*V$707+$G716*V$647+V$648))-1)</f>
        <v>0</v>
      </c>
      <c r="W769" s="72">
        <f>W747*$J736*(EXP(-($E769)*($F716*W$707+$G716*W$647+W$648))-1)</f>
        <v>0</v>
      </c>
      <c r="X769" s="72">
        <f>X747*$J736*(EXP(-($E769)*($F716*X$707+$G716*X$647+X$648))-1)</f>
        <v>0</v>
      </c>
      <c r="Y769" s="72">
        <f>Y747*$J736*(EXP(-($E769)*($F716*Y$707+$G716*Y$647+Y$648))-1)</f>
        <v>0</v>
      </c>
      <c r="Z769" s="72">
        <f>Z747*$J736*(EXP(-($E769)*($F716*Z$707+$G716*Z$647+Z$648))-1)</f>
        <v>0</v>
      </c>
      <c r="AA769" s="72">
        <f>AA747*$J736*(EXP(-($E769)*($F716*AA$707+$G716*AA$647+AA$648))-1)</f>
        <v>0</v>
      </c>
      <c r="AB769" s="72">
        <f>AB747*$J736*(EXP(-($E769)*($F716*AB$707+$G716*AB$647+AB$648))-1)</f>
        <v>0</v>
      </c>
      <c r="AC769" s="72">
        <f>AC747*$J736*(EXP(-($E769)*($F716*AC$707+$G716*AC$647+AC$648))-1)</f>
        <v>0</v>
      </c>
      <c r="AD769" s="72">
        <f>AD747*$J736*(EXP(-($E769)*($F716*AD$707+$G716*AD$647+AD$648))-1)</f>
        <v>0</v>
      </c>
      <c r="AE769" s="72">
        <f>AE747*$J736*(EXP(-($E769)*($F716*AE$707+$G716*AE$647+AE$648))-1)</f>
        <v>0</v>
      </c>
      <c r="AF769" s="70"/>
      <c r="AG769" s="70"/>
      <c r="AH769" s="70"/>
      <c r="AI769" s="70"/>
    </row>
    <row r="770" spans="1:35" x14ac:dyDescent="0.45">
      <c r="A770" s="70"/>
      <c r="B770" s="52"/>
      <c r="C770" s="52"/>
      <c r="D770" s="72"/>
      <c r="E770" s="72"/>
      <c r="F770" s="72"/>
      <c r="G770" s="70" t="s">
        <v>1492</v>
      </c>
      <c r="H770" s="87" t="str">
        <f>Settings!$B$3&amp;".mit.emrp."&amp;$G770&amp;"."&amp;$J$404</f>
        <v>egy.mit.emrp.cbam.tot.2</v>
      </c>
      <c r="I770" s="72"/>
      <c r="J770" s="72"/>
      <c r="K770" s="72"/>
      <c r="L770" s="72">
        <f t="shared" ref="L770:AE770" si="291">SUM(L762:L769)</f>
        <v>0</v>
      </c>
      <c r="M770" s="72">
        <f t="shared" si="291"/>
        <v>0</v>
      </c>
      <c r="N770" s="72">
        <f t="shared" si="291"/>
        <v>0</v>
      </c>
      <c r="O770" s="72">
        <f t="shared" si="291"/>
        <v>0</v>
      </c>
      <c r="P770" s="72">
        <f t="shared" si="291"/>
        <v>0</v>
      </c>
      <c r="Q770" s="72">
        <f t="shared" si="291"/>
        <v>0</v>
      </c>
      <c r="R770" s="72">
        <f t="shared" si="291"/>
        <v>0</v>
      </c>
      <c r="S770" s="72">
        <f t="shared" si="291"/>
        <v>0</v>
      </c>
      <c r="T770" s="72">
        <f t="shared" si="291"/>
        <v>0</v>
      </c>
      <c r="U770" s="72">
        <f t="shared" si="291"/>
        <v>0</v>
      </c>
      <c r="V770" s="72">
        <f t="shared" si="291"/>
        <v>0</v>
      </c>
      <c r="W770" s="72">
        <f t="shared" si="291"/>
        <v>0</v>
      </c>
      <c r="X770" s="72">
        <f t="shared" si="291"/>
        <v>0</v>
      </c>
      <c r="Y770" s="72">
        <f t="shared" si="291"/>
        <v>0</v>
      </c>
      <c r="Z770" s="72">
        <f t="shared" si="291"/>
        <v>0</v>
      </c>
      <c r="AA770" s="72">
        <f t="shared" si="291"/>
        <v>0</v>
      </c>
      <c r="AB770" s="72">
        <f t="shared" si="291"/>
        <v>0</v>
      </c>
      <c r="AC770" s="72">
        <f t="shared" si="291"/>
        <v>0</v>
      </c>
      <c r="AD770" s="72">
        <f t="shared" si="291"/>
        <v>0</v>
      </c>
      <c r="AE770" s="72">
        <f t="shared" si="291"/>
        <v>0</v>
      </c>
      <c r="AF770" s="70"/>
      <c r="AG770" s="70"/>
      <c r="AH770" s="70"/>
      <c r="AI770" s="70"/>
    </row>
    <row r="771" spans="1:35" x14ac:dyDescent="0.45">
      <c r="A771" s="70"/>
      <c r="B771" s="52"/>
      <c r="C771" s="52"/>
      <c r="D771" s="70"/>
      <c r="E771" s="70"/>
      <c r="F771" s="70"/>
      <c r="G771" s="70"/>
      <c r="H771" s="70"/>
      <c r="I771" s="70"/>
      <c r="J771" s="70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0"/>
      <c r="AG771" s="70"/>
      <c r="AH771" s="70"/>
      <c r="AI771" s="70"/>
    </row>
    <row r="772" spans="1:35" x14ac:dyDescent="0.45">
      <c r="A772" s="70"/>
      <c r="B772" s="52"/>
      <c r="C772" s="73" t="s">
        <v>1493</v>
      </c>
      <c r="D772" s="73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0"/>
      <c r="AG772" s="70"/>
      <c r="AH772" s="70"/>
      <c r="AI772" s="70"/>
    </row>
    <row r="773" spans="1:35" x14ac:dyDescent="0.45">
      <c r="A773" s="70"/>
      <c r="B773" s="52"/>
      <c r="C773" s="70"/>
      <c r="D773" s="52" t="s">
        <v>283</v>
      </c>
      <c r="E773" s="70"/>
      <c r="F773" s="70"/>
      <c r="G773" s="70" t="s">
        <v>1494</v>
      </c>
      <c r="H773" s="87" t="str">
        <f>Settings!$B$3&amp;".mit.cpef."&amp;$G773&amp;"."&amp;$J$404</f>
        <v>egy.mit.cpef.ind.mch.2</v>
      </c>
      <c r="I773" s="70"/>
      <c r="J773" s="70"/>
      <c r="K773" s="72"/>
      <c r="L773" s="72">
        <f t="shared" ref="L773:AE773" si="292">SUM(L733:L735)+SUM(L755:L757)</f>
        <v>3.5290636333347374</v>
      </c>
      <c r="M773" s="72">
        <f t="shared" si="292"/>
        <v>3.6067030332681016</v>
      </c>
      <c r="N773" s="72">
        <f t="shared" si="292"/>
        <v>3.6860504999999999</v>
      </c>
      <c r="O773" s="72">
        <f t="shared" si="292"/>
        <v>3.7671436109999994</v>
      </c>
      <c r="P773" s="72">
        <f t="shared" si="292"/>
        <v>3.8500207704419993</v>
      </c>
      <c r="Q773" s="72">
        <f t="shared" si="292"/>
        <v>3.9347212273917234</v>
      </c>
      <c r="R773" s="72">
        <f t="shared" si="292"/>
        <v>4.0212850943943419</v>
      </c>
      <c r="S773" s="72">
        <f t="shared" si="292"/>
        <v>4.1097533664710166</v>
      </c>
      <c r="T773" s="72">
        <f t="shared" si="292"/>
        <v>4.2001679405333787</v>
      </c>
      <c r="U773" s="72">
        <f t="shared" si="292"/>
        <v>4.292571635225114</v>
      </c>
      <c r="V773" s="72">
        <f t="shared" si="292"/>
        <v>4.3870082112000661</v>
      </c>
      <c r="W773" s="72">
        <f t="shared" si="292"/>
        <v>4.4835223918464688</v>
      </c>
      <c r="X773" s="72">
        <f t="shared" si="292"/>
        <v>4.5821598844670905</v>
      </c>
      <c r="Y773" s="72">
        <f t="shared" si="292"/>
        <v>4.6829674019253673</v>
      </c>
      <c r="Z773" s="72">
        <f t="shared" si="292"/>
        <v>4.7859926847677254</v>
      </c>
      <c r="AA773" s="72">
        <f t="shared" si="292"/>
        <v>4.8912845238326152</v>
      </c>
      <c r="AB773" s="72">
        <f t="shared" si="292"/>
        <v>4.9988927833569319</v>
      </c>
      <c r="AC773" s="72">
        <f t="shared" si="292"/>
        <v>5.1088684245907858</v>
      </c>
      <c r="AD773" s="72">
        <f t="shared" si="292"/>
        <v>5.2212635299317824</v>
      </c>
      <c r="AE773" s="72">
        <f t="shared" si="292"/>
        <v>5.336131327590282</v>
      </c>
      <c r="AF773" s="70"/>
      <c r="AG773" s="70"/>
      <c r="AH773" s="70"/>
      <c r="AI773" s="70"/>
    </row>
    <row r="774" spans="1:35" x14ac:dyDescent="0.45">
      <c r="A774" s="70"/>
      <c r="B774" s="52"/>
      <c r="C774" s="70"/>
      <c r="D774" s="52" t="s">
        <v>284</v>
      </c>
      <c r="E774" s="70"/>
      <c r="F774" s="70"/>
      <c r="G774" s="70" t="s">
        <v>1495</v>
      </c>
      <c r="H774" s="87" t="str">
        <f>Settings!$B$3&amp;".mit.cpef."&amp;$G774&amp;"."&amp;$J$404</f>
        <v>egy.mit.cpef.ind.irn.2</v>
      </c>
      <c r="I774" s="70"/>
      <c r="J774" s="70"/>
      <c r="K774" s="72"/>
      <c r="L774" s="72">
        <f t="shared" ref="L774:AE774" si="293">SUM(L729:L731)+SUM(L751:L753)</f>
        <v>3.8464212577619237</v>
      </c>
      <c r="M774" s="72">
        <f t="shared" si="293"/>
        <v>4.0156637931034478</v>
      </c>
      <c r="N774" s="72">
        <f t="shared" si="293"/>
        <v>4.1923530000000007</v>
      </c>
      <c r="O774" s="72">
        <f t="shared" si="293"/>
        <v>4.3768165320000012</v>
      </c>
      <c r="P774" s="72">
        <f t="shared" si="293"/>
        <v>4.5693964594080008</v>
      </c>
      <c r="Q774" s="72">
        <f t="shared" si="293"/>
        <v>4.7704499036219534</v>
      </c>
      <c r="R774" s="72">
        <f t="shared" si="293"/>
        <v>4.9803496993813186</v>
      </c>
      <c r="S774" s="72">
        <f t="shared" si="293"/>
        <v>5.1994850861540982</v>
      </c>
      <c r="T774" s="72">
        <f t="shared" si="293"/>
        <v>5.4282624299448781</v>
      </c>
      <c r="U774" s="72">
        <f t="shared" si="293"/>
        <v>5.6671059768624525</v>
      </c>
      <c r="V774" s="72">
        <f t="shared" si="293"/>
        <v>5.9164586398444019</v>
      </c>
      <c r="W774" s="72">
        <f t="shared" si="293"/>
        <v>6.1767828199975545</v>
      </c>
      <c r="X774" s="72">
        <f t="shared" si="293"/>
        <v>6.4485612640774477</v>
      </c>
      <c r="Y774" s="72">
        <f t="shared" si="293"/>
        <v>6.7322979596968553</v>
      </c>
      <c r="Z774" s="72">
        <f t="shared" si="293"/>
        <v>7.0285190699235169</v>
      </c>
      <c r="AA774" s="72">
        <f t="shared" si="293"/>
        <v>7.3377739090001519</v>
      </c>
      <c r="AB774" s="72">
        <f t="shared" si="293"/>
        <v>7.6606359609961583</v>
      </c>
      <c r="AC774" s="72">
        <f t="shared" si="293"/>
        <v>7.9977039432799906</v>
      </c>
      <c r="AD774" s="72">
        <f t="shared" si="293"/>
        <v>8.3496029167843098</v>
      </c>
      <c r="AE774" s="72">
        <f t="shared" si="293"/>
        <v>8.7169854451228197</v>
      </c>
      <c r="AF774" s="70"/>
      <c r="AG774" s="70"/>
      <c r="AH774" s="70"/>
      <c r="AI774" s="70"/>
    </row>
    <row r="775" spans="1:35" x14ac:dyDescent="0.45">
      <c r="A775" s="70"/>
      <c r="B775" s="52"/>
      <c r="C775" s="70"/>
      <c r="D775" s="52" t="s">
        <v>285</v>
      </c>
      <c r="E775" s="70"/>
      <c r="F775" s="70"/>
      <c r="G775" s="70" t="s">
        <v>1496</v>
      </c>
      <c r="H775" s="87" t="str">
        <f>Settings!$B$3&amp;".mit.cpef."&amp;$G775&amp;"."&amp;$J$404</f>
        <v>egy.mit.cpef.ind.nfm.2</v>
      </c>
      <c r="I775" s="70"/>
      <c r="J775" s="70"/>
      <c r="K775" s="72"/>
      <c r="L775" s="72">
        <f t="shared" ref="L775:AE775" si="294">L736+L758</f>
        <v>4.2047573055412055E-2</v>
      </c>
      <c r="M775" s="72">
        <f t="shared" si="294"/>
        <v>4.4360189573459712E-2</v>
      </c>
      <c r="N775" s="72">
        <f t="shared" si="294"/>
        <v>4.6799999999999994E-2</v>
      </c>
      <c r="O775" s="72">
        <f t="shared" si="294"/>
        <v>4.9374000000000001E-2</v>
      </c>
      <c r="P775" s="72">
        <f t="shared" si="294"/>
        <v>5.2089569999999995E-2</v>
      </c>
      <c r="Q775" s="72">
        <f t="shared" si="294"/>
        <v>5.4954496349999993E-2</v>
      </c>
      <c r="R775" s="72">
        <f t="shared" si="294"/>
        <v>5.7976993649249998E-2</v>
      </c>
      <c r="S775" s="72">
        <f t="shared" si="294"/>
        <v>6.1165728299958741E-2</v>
      </c>
      <c r="T775" s="72">
        <f t="shared" si="294"/>
        <v>6.4529843356456465E-2</v>
      </c>
      <c r="U775" s="72">
        <f t="shared" si="294"/>
        <v>6.8078984741061568E-2</v>
      </c>
      <c r="V775" s="72">
        <f t="shared" si="294"/>
        <v>7.1823328901819944E-2</v>
      </c>
      <c r="W775" s="72">
        <f t="shared" si="294"/>
        <v>7.5773611991420048E-2</v>
      </c>
      <c r="X775" s="72">
        <f t="shared" si="294"/>
        <v>7.9941160650948154E-2</v>
      </c>
      <c r="Y775" s="72">
        <f t="shared" si="294"/>
        <v>8.4337924486750301E-2</v>
      </c>
      <c r="Z775" s="72">
        <f t="shared" si="294"/>
        <v>8.8976510333521566E-2</v>
      </c>
      <c r="AA775" s="72">
        <f t="shared" si="294"/>
        <v>9.3870218401865241E-2</v>
      </c>
      <c r="AB775" s="72">
        <f t="shared" si="294"/>
        <v>9.9033080413967828E-2</v>
      </c>
      <c r="AC775" s="72">
        <f t="shared" si="294"/>
        <v>0.10447989983673606</v>
      </c>
      <c r="AD775" s="72">
        <f t="shared" si="294"/>
        <v>0.11022629432775652</v>
      </c>
      <c r="AE775" s="72">
        <f t="shared" si="294"/>
        <v>0.11628874051578311</v>
      </c>
      <c r="AF775" s="70"/>
      <c r="AG775" s="70"/>
      <c r="AH775" s="70"/>
      <c r="AI775" s="70"/>
    </row>
    <row r="776" spans="1:35" x14ac:dyDescent="0.45">
      <c r="A776" s="70"/>
      <c r="B776" s="52"/>
      <c r="C776" s="70"/>
      <c r="D776" s="52" t="s">
        <v>286</v>
      </c>
      <c r="E776" s="70"/>
      <c r="F776" s="70"/>
      <c r="G776" s="70" t="s">
        <v>1497</v>
      </c>
      <c r="H776" s="87" t="str">
        <f>Settings!$B$3&amp;".mit.cpef."&amp;$G776&amp;"."&amp;$J$404</f>
        <v>egy.mit.cpef.ind.mac.2</v>
      </c>
      <c r="I776" s="70"/>
      <c r="J776" s="70"/>
      <c r="K776" s="72"/>
      <c r="L776" s="72">
        <v>0</v>
      </c>
      <c r="M776" s="72">
        <v>0</v>
      </c>
      <c r="N776" s="72">
        <v>0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72">
        <v>0</v>
      </c>
      <c r="Z776" s="72">
        <v>0</v>
      </c>
      <c r="AA776" s="72">
        <v>0</v>
      </c>
      <c r="AB776" s="72">
        <v>0</v>
      </c>
      <c r="AC776" s="72">
        <v>0</v>
      </c>
      <c r="AD776" s="72">
        <v>0</v>
      </c>
      <c r="AE776" s="72">
        <v>0</v>
      </c>
      <c r="AF776" s="70"/>
      <c r="AG776" s="70"/>
      <c r="AH776" s="70"/>
      <c r="AI776" s="70"/>
    </row>
    <row r="777" spans="1:35" x14ac:dyDescent="0.45">
      <c r="A777" s="70"/>
      <c r="B777" s="52"/>
      <c r="C777" s="70"/>
      <c r="D777" s="52" t="s">
        <v>287</v>
      </c>
      <c r="E777" s="70"/>
      <c r="F777" s="70"/>
      <c r="G777" s="70" t="s">
        <v>1498</v>
      </c>
      <c r="H777" s="87" t="str">
        <f>Settings!$B$3&amp;".mit.cpef."&amp;$G777&amp;"."&amp;$J$404</f>
        <v>egy.mit.cpef.ind.cem.2</v>
      </c>
      <c r="I777" s="70"/>
      <c r="J777" s="70"/>
      <c r="K777" s="72"/>
      <c r="L777" s="72">
        <f t="shared" ref="L777:AE777" si="295">L732+L754</f>
        <v>13.508713893592759</v>
      </c>
      <c r="M777" s="72">
        <f t="shared" si="295"/>
        <v>13.954501452081319</v>
      </c>
      <c r="N777" s="72">
        <f t="shared" si="295"/>
        <v>14.414999999999999</v>
      </c>
      <c r="O777" s="72">
        <f t="shared" si="295"/>
        <v>14.890694999999997</v>
      </c>
      <c r="P777" s="72">
        <f t="shared" si="295"/>
        <v>15.382087934999998</v>
      </c>
      <c r="Q777" s="72">
        <f t="shared" si="295"/>
        <v>15.889696836854995</v>
      </c>
      <c r="R777" s="72">
        <f t="shared" si="295"/>
        <v>16.414056832471207</v>
      </c>
      <c r="S777" s="72">
        <f t="shared" si="295"/>
        <v>16.955720707942756</v>
      </c>
      <c r="T777" s="72">
        <f t="shared" si="295"/>
        <v>17.515259491304867</v>
      </c>
      <c r="U777" s="72">
        <f t="shared" si="295"/>
        <v>18.093263054517926</v>
      </c>
      <c r="V777" s="72">
        <f t="shared" si="295"/>
        <v>18.690340735317015</v>
      </c>
      <c r="W777" s="72">
        <f t="shared" si="295"/>
        <v>19.307121979582476</v>
      </c>
      <c r="X777" s="72">
        <f t="shared" si="295"/>
        <v>19.944257004908696</v>
      </c>
      <c r="Y777" s="72">
        <f t="shared" si="295"/>
        <v>20.602417486070681</v>
      </c>
      <c r="Z777" s="72">
        <f t="shared" si="295"/>
        <v>21.282297263111012</v>
      </c>
      <c r="AA777" s="72">
        <f t="shared" si="295"/>
        <v>21.984613072793675</v>
      </c>
      <c r="AB777" s="72">
        <f t="shared" si="295"/>
        <v>22.710105304195867</v>
      </c>
      <c r="AC777" s="72">
        <f t="shared" si="295"/>
        <v>23.459538779234329</v>
      </c>
      <c r="AD777" s="72">
        <f t="shared" si="295"/>
        <v>24.23370355894906</v>
      </c>
      <c r="AE777" s="72">
        <f t="shared" si="295"/>
        <v>25.033415776394378</v>
      </c>
      <c r="AF777" s="70"/>
      <c r="AG777" s="70"/>
      <c r="AH777" s="70"/>
      <c r="AI777" s="70"/>
    </row>
    <row r="778" spans="1:35" x14ac:dyDescent="0.45">
      <c r="A778" s="70"/>
      <c r="B778" s="52"/>
      <c r="C778" s="52"/>
      <c r="D778" s="72" t="s">
        <v>111</v>
      </c>
      <c r="E778" s="72"/>
      <c r="F778" s="72"/>
      <c r="G778" s="70" t="s">
        <v>1492</v>
      </c>
      <c r="H778" s="87" t="str">
        <f>Settings!$B$3&amp;".mit.emisf."&amp;$G778&amp;"."&amp;$J$404</f>
        <v>egy.mit.emisf.cbam.tot.2</v>
      </c>
      <c r="I778" s="72"/>
      <c r="J778" s="72"/>
      <c r="K778" s="72"/>
      <c r="L778" s="72">
        <f t="shared" ref="L778:AE778" si="296">SUM(L773:L777)</f>
        <v>20.926246357744834</v>
      </c>
      <c r="M778" s="72">
        <f t="shared" si="296"/>
        <v>21.621228468026327</v>
      </c>
      <c r="N778" s="72">
        <f t="shared" si="296"/>
        <v>22.340203500000001</v>
      </c>
      <c r="O778" s="72">
        <f t="shared" si="296"/>
        <v>23.084029142999999</v>
      </c>
      <c r="P778" s="72">
        <f t="shared" si="296"/>
        <v>23.853594734849999</v>
      </c>
      <c r="Q778" s="72">
        <f t="shared" si="296"/>
        <v>24.649822464218673</v>
      </c>
      <c r="R778" s="72">
        <f t="shared" si="296"/>
        <v>25.473668619896117</v>
      </c>
      <c r="S778" s="72">
        <f t="shared" si="296"/>
        <v>26.326124888867831</v>
      </c>
      <c r="T778" s="72">
        <f t="shared" si="296"/>
        <v>27.20821970513958</v>
      </c>
      <c r="U778" s="72">
        <f t="shared" si="296"/>
        <v>28.121019651346558</v>
      </c>
      <c r="V778" s="72">
        <f t="shared" si="296"/>
        <v>29.065630915263306</v>
      </c>
      <c r="W778" s="72">
        <f t="shared" si="296"/>
        <v>30.043200803417918</v>
      </c>
      <c r="X778" s="72">
        <f t="shared" si="296"/>
        <v>31.054919314104183</v>
      </c>
      <c r="Y778" s="72">
        <f t="shared" si="296"/>
        <v>32.102020772179657</v>
      </c>
      <c r="Z778" s="72">
        <f t="shared" si="296"/>
        <v>33.185785528135774</v>
      </c>
      <c r="AA778" s="72">
        <f t="shared" si="296"/>
        <v>34.307541724028304</v>
      </c>
      <c r="AB778" s="72">
        <f t="shared" si="296"/>
        <v>35.46866712896292</v>
      </c>
      <c r="AC778" s="72">
        <f t="shared" si="296"/>
        <v>36.670591046941837</v>
      </c>
      <c r="AD778" s="72">
        <f t="shared" si="296"/>
        <v>37.914796299992908</v>
      </c>
      <c r="AE778" s="72">
        <f t="shared" si="296"/>
        <v>39.202821289623259</v>
      </c>
      <c r="AF778" s="70"/>
      <c r="AG778" s="70"/>
      <c r="AH778" s="70"/>
      <c r="AI778" s="70"/>
    </row>
    <row r="779" spans="1:35" x14ac:dyDescent="0.45">
      <c r="A779" s="70"/>
      <c r="B779" s="52"/>
      <c r="C779" s="52"/>
      <c r="D779" s="72" t="s">
        <v>1868</v>
      </c>
      <c r="E779" s="72" t="s">
        <v>1869</v>
      </c>
      <c r="F779" s="72"/>
      <c r="G779" s="70" t="s">
        <v>1492</v>
      </c>
      <c r="H779" s="87" t="str">
        <f>Settings!$B$3&amp;".mit.emis."&amp;$G779&amp;"."&amp;$J$404</f>
        <v>egy.mit.emis.cbam.tot.2</v>
      </c>
      <c r="I779" s="72"/>
      <c r="J779" s="72"/>
      <c r="K779" s="72"/>
      <c r="L779" s="72">
        <f t="shared" ref="L779:AE779" si="297">L$778+L$789</f>
        <v>47.016585657660869</v>
      </c>
      <c r="M779" s="72">
        <f t="shared" si="297"/>
        <v>48.583140104124077</v>
      </c>
      <c r="N779" s="72">
        <f t="shared" si="297"/>
        <v>50.203203500000001</v>
      </c>
      <c r="O779" s="72">
        <f t="shared" si="297"/>
        <v>51.878652142999996</v>
      </c>
      <c r="P779" s="72">
        <f t="shared" si="297"/>
        <v>53.611430083849996</v>
      </c>
      <c r="Q779" s="72">
        <f t="shared" si="297"/>
        <v>55.403551656613665</v>
      </c>
      <c r="R779" s="72">
        <f t="shared" si="297"/>
        <v>57.257104107200519</v>
      </c>
      <c r="S779" s="72">
        <f t="shared" si="297"/>
        <v>59.174250324032492</v>
      </c>
      <c r="T779" s="72">
        <f t="shared" si="297"/>
        <v>61.157231675010621</v>
      </c>
      <c r="U779" s="72">
        <f t="shared" si="297"/>
        <v>63.208370955098921</v>
      </c>
      <c r="V779" s="72">
        <f t="shared" si="297"/>
        <v>65.330075449025713</v>
      </c>
      <c r="W779" s="72">
        <f t="shared" si="297"/>
        <v>67.52484011379407</v>
      </c>
      <c r="X779" s="72">
        <f t="shared" si="297"/>
        <v>69.795250885892756</v>
      </c>
      <c r="Y779" s="72">
        <f t="shared" si="297"/>
        <v>72.143988118307959</v>
      </c>
      <c r="Z779" s="72">
        <f t="shared" si="297"/>
        <v>74.573830152653855</v>
      </c>
      <c r="AA779" s="72">
        <f t="shared" si="297"/>
        <v>77.087657031968206</v>
      </c>
      <c r="AB779" s="72">
        <f t="shared" si="297"/>
        <v>79.688454359956467</v>
      </c>
      <c r="AC779" s="72">
        <f t="shared" si="297"/>
        <v>82.37931731271712</v>
      </c>
      <c r="AD779" s="72">
        <f t="shared" si="297"/>
        <v>85.163454809240363</v>
      </c>
      <c r="AE779" s="72">
        <f t="shared" si="297"/>
        <v>88.044193847243605</v>
      </c>
      <c r="AF779" s="70"/>
      <c r="AG779" s="70"/>
      <c r="AH779" s="70"/>
      <c r="AI779" s="70"/>
    </row>
    <row r="780" spans="1:35" x14ac:dyDescent="0.45">
      <c r="A780" s="70"/>
      <c r="B780" s="52"/>
      <c r="C780" s="52"/>
      <c r="D780" s="72" t="s">
        <v>1870</v>
      </c>
      <c r="E780" s="72" t="s">
        <v>1869</v>
      </c>
      <c r="F780" s="72"/>
      <c r="G780" s="70" t="s">
        <v>1492</v>
      </c>
      <c r="H780" s="87" t="str">
        <f>Settings!$B$3&amp;".mit.emr."&amp;$G780&amp;"."&amp;$J$404</f>
        <v>egy.mit.emr.cbam.tot.2</v>
      </c>
      <c r="I780" s="72"/>
      <c r="J780" s="72"/>
      <c r="K780" s="72"/>
      <c r="L780" s="72">
        <f t="shared" ref="L780:AE780" si="298">L$759+L$770</f>
        <v>0</v>
      </c>
      <c r="M780" s="72">
        <f t="shared" si="298"/>
        <v>0</v>
      </c>
      <c r="N780" s="72">
        <f t="shared" si="298"/>
        <v>0</v>
      </c>
      <c r="O780" s="72">
        <f t="shared" si="298"/>
        <v>0</v>
      </c>
      <c r="P780" s="72">
        <f t="shared" si="298"/>
        <v>0</v>
      </c>
      <c r="Q780" s="72">
        <f t="shared" si="298"/>
        <v>0</v>
      </c>
      <c r="R780" s="72">
        <f t="shared" si="298"/>
        <v>0</v>
      </c>
      <c r="S780" s="72">
        <f t="shared" si="298"/>
        <v>0</v>
      </c>
      <c r="T780" s="72">
        <f t="shared" si="298"/>
        <v>0</v>
      </c>
      <c r="U780" s="72">
        <f t="shared" si="298"/>
        <v>0</v>
      </c>
      <c r="V780" s="72">
        <f t="shared" si="298"/>
        <v>0</v>
      </c>
      <c r="W780" s="72">
        <f t="shared" si="298"/>
        <v>0</v>
      </c>
      <c r="X780" s="72">
        <f t="shared" si="298"/>
        <v>0</v>
      </c>
      <c r="Y780" s="72">
        <f t="shared" si="298"/>
        <v>0</v>
      </c>
      <c r="Z780" s="72">
        <f t="shared" si="298"/>
        <v>0</v>
      </c>
      <c r="AA780" s="72">
        <f t="shared" si="298"/>
        <v>0</v>
      </c>
      <c r="AB780" s="72">
        <f t="shared" si="298"/>
        <v>0</v>
      </c>
      <c r="AC780" s="72">
        <f t="shared" si="298"/>
        <v>0</v>
      </c>
      <c r="AD780" s="72">
        <f t="shared" si="298"/>
        <v>0</v>
      </c>
      <c r="AE780" s="72">
        <f t="shared" si="298"/>
        <v>0</v>
      </c>
      <c r="AF780" s="70"/>
      <c r="AG780" s="70"/>
      <c r="AH780" s="70"/>
      <c r="AI780" s="70"/>
    </row>
    <row r="781" spans="1:35" x14ac:dyDescent="0.45">
      <c r="A781" s="70"/>
      <c r="B781" s="52"/>
      <c r="C781" s="52"/>
      <c r="D781" s="72" t="s">
        <v>1900</v>
      </c>
      <c r="E781" s="72" t="s">
        <v>1871</v>
      </c>
      <c r="F781" s="72"/>
      <c r="G781" s="70" t="s">
        <v>1492</v>
      </c>
      <c r="H781" s="87" t="str">
        <f>Settings!$B$3&amp;".mit.revf."&amp;$G781&amp;"."&amp;$J$404</f>
        <v>egy.mit.revf.cbam.tot.2</v>
      </c>
      <c r="I781" s="72"/>
      <c r="J781" s="72"/>
      <c r="K781" s="72"/>
      <c r="L781" s="72">
        <f t="shared" ref="L781:AE781" si="299">SUMPRODUCT((L$729:L$736+L$751:L$758)*$I$729:$I$736*($F$698:$F$705*L$646+$G$698:$G$705*L$647))</f>
        <v>0</v>
      </c>
      <c r="M781" s="72">
        <f t="shared" si="299"/>
        <v>0</v>
      </c>
      <c r="N781" s="72">
        <f t="shared" si="299"/>
        <v>0</v>
      </c>
      <c r="O781" s="72">
        <f t="shared" si="299"/>
        <v>0</v>
      </c>
      <c r="P781" s="72">
        <f t="shared" si="299"/>
        <v>0</v>
      </c>
      <c r="Q781" s="72">
        <f t="shared" si="299"/>
        <v>308.12278080273342</v>
      </c>
      <c r="R781" s="72">
        <f t="shared" si="299"/>
        <v>636.8417154974029</v>
      </c>
      <c r="S781" s="72">
        <f t="shared" si="299"/>
        <v>987.22968333254369</v>
      </c>
      <c r="T781" s="72">
        <f t="shared" si="299"/>
        <v>1360.4109852569791</v>
      </c>
      <c r="U781" s="72">
        <f t="shared" si="299"/>
        <v>1757.56372820916</v>
      </c>
      <c r="V781" s="72">
        <f t="shared" si="299"/>
        <v>2179.922318644748</v>
      </c>
      <c r="W781" s="72">
        <f t="shared" si="299"/>
        <v>2628.780070299068</v>
      </c>
      <c r="X781" s="72">
        <f t="shared" si="299"/>
        <v>3105.4919314104181</v>
      </c>
      <c r="Y781" s="72">
        <f t="shared" si="299"/>
        <v>3611.4773368702113</v>
      </c>
      <c r="Z781" s="72">
        <f t="shared" si="299"/>
        <v>4148.2231910169721</v>
      </c>
      <c r="AA781" s="72">
        <f t="shared" si="299"/>
        <v>4717.2869870538907</v>
      </c>
      <c r="AB781" s="72">
        <f t="shared" si="299"/>
        <v>5320.3000693444392</v>
      </c>
      <c r="AC781" s="72">
        <f t="shared" si="299"/>
        <v>5958.9710451280498</v>
      </c>
      <c r="AD781" s="72">
        <f t="shared" si="299"/>
        <v>6635.0893524987587</v>
      </c>
      <c r="AE781" s="72">
        <f t="shared" si="299"/>
        <v>7350.5289918043609</v>
      </c>
      <c r="AF781" s="70"/>
      <c r="AG781" s="70"/>
      <c r="AH781" s="70"/>
      <c r="AI781" s="70"/>
    </row>
    <row r="782" spans="1:35" x14ac:dyDescent="0.45">
      <c r="A782" s="70"/>
      <c r="B782" s="52"/>
      <c r="C782" s="52"/>
      <c r="D782" s="72" t="s">
        <v>1919</v>
      </c>
      <c r="E782" s="72" t="s">
        <v>1871</v>
      </c>
      <c r="F782" s="72"/>
      <c r="G782" s="70" t="s">
        <v>1492</v>
      </c>
      <c r="H782" s="87" t="str">
        <f>Settings!$B$3&amp;".mit.revp."&amp;$G782&amp;"."&amp;$J$404</f>
        <v>egy.mit.revp.cbam.tot.2</v>
      </c>
      <c r="I782" s="72"/>
      <c r="J782" s="72"/>
      <c r="K782" s="72"/>
      <c r="L782" s="72">
        <f t="shared" ref="L782:AE782" si="300">SUMPRODUCT((L$740:L$747*$J$729:$J$736+L$762:L$769)*($F$709:$F$716*L$707+$G$709:$G$716*L$647))</f>
        <v>0</v>
      </c>
      <c r="M782" s="72">
        <f t="shared" si="300"/>
        <v>0</v>
      </c>
      <c r="N782" s="72">
        <f t="shared" si="300"/>
        <v>0</v>
      </c>
      <c r="O782" s="72">
        <f t="shared" si="300"/>
        <v>0</v>
      </c>
      <c r="P782" s="72">
        <f t="shared" si="300"/>
        <v>0</v>
      </c>
      <c r="Q782" s="72">
        <f t="shared" si="300"/>
        <v>0</v>
      </c>
      <c r="R782" s="72">
        <f t="shared" si="300"/>
        <v>0</v>
      </c>
      <c r="S782" s="72">
        <f t="shared" si="300"/>
        <v>0</v>
      </c>
      <c r="T782" s="72">
        <f t="shared" si="300"/>
        <v>0</v>
      </c>
      <c r="U782" s="72">
        <f t="shared" si="300"/>
        <v>0</v>
      </c>
      <c r="V782" s="72">
        <f t="shared" si="300"/>
        <v>0</v>
      </c>
      <c r="W782" s="72">
        <f t="shared" si="300"/>
        <v>0</v>
      </c>
      <c r="X782" s="72">
        <f t="shared" si="300"/>
        <v>0</v>
      </c>
      <c r="Y782" s="72">
        <f t="shared" si="300"/>
        <v>0</v>
      </c>
      <c r="Z782" s="72">
        <f t="shared" si="300"/>
        <v>0</v>
      </c>
      <c r="AA782" s="72">
        <f t="shared" si="300"/>
        <v>0</v>
      </c>
      <c r="AB782" s="72">
        <f t="shared" si="300"/>
        <v>0</v>
      </c>
      <c r="AC782" s="72">
        <f t="shared" si="300"/>
        <v>0</v>
      </c>
      <c r="AD782" s="72">
        <f t="shared" si="300"/>
        <v>0</v>
      </c>
      <c r="AE782" s="72">
        <f t="shared" si="300"/>
        <v>0</v>
      </c>
      <c r="AF782" s="70"/>
      <c r="AG782" s="70"/>
      <c r="AH782" s="70"/>
      <c r="AI782" s="70"/>
    </row>
    <row r="783" spans="1:35" x14ac:dyDescent="0.45">
      <c r="A783" s="70"/>
      <c r="B783" s="52"/>
      <c r="C783" s="73" t="s">
        <v>1499</v>
      </c>
      <c r="D783" s="73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0"/>
      <c r="AG783" s="70"/>
      <c r="AH783" s="70"/>
      <c r="AI783" s="70"/>
    </row>
    <row r="784" spans="1:35" x14ac:dyDescent="0.45">
      <c r="A784" s="70"/>
      <c r="B784" s="52"/>
      <c r="C784" s="70"/>
      <c r="D784" s="52" t="s">
        <v>283</v>
      </c>
      <c r="E784" s="70"/>
      <c r="F784" s="70"/>
      <c r="G784" s="70" t="s">
        <v>1494</v>
      </c>
      <c r="H784" s="87" t="str">
        <f>Settings!$B$3&amp;".mit.cpep."&amp;$G784&amp;"."&amp;$J$404</f>
        <v>egy.mit.cpep.ind.mch.2</v>
      </c>
      <c r="I784" s="70"/>
      <c r="J784" s="70"/>
      <c r="K784" s="72"/>
      <c r="L784" s="72">
        <f t="shared" ref="L784:AE784" si="301">SUM(L744:L746)+SUM(L766:L768)</f>
        <v>0.55721293959505358</v>
      </c>
      <c r="M784" s="72">
        <f t="shared" si="301"/>
        <v>0.56947162426614473</v>
      </c>
      <c r="N784" s="72">
        <f t="shared" si="301"/>
        <v>0.58199999999999996</v>
      </c>
      <c r="O784" s="72">
        <f t="shared" si="301"/>
        <v>0.594804</v>
      </c>
      <c r="P784" s="72">
        <f t="shared" si="301"/>
        <v>0.60788968800000009</v>
      </c>
      <c r="Q784" s="72">
        <f t="shared" si="301"/>
        <v>0.62126326113599994</v>
      </c>
      <c r="R784" s="72">
        <f t="shared" si="301"/>
        <v>0.63493105288099194</v>
      </c>
      <c r="S784" s="72">
        <f t="shared" si="301"/>
        <v>0.64889953604437378</v>
      </c>
      <c r="T784" s="72">
        <f t="shared" si="301"/>
        <v>0.66317532583735006</v>
      </c>
      <c r="U784" s="72">
        <f t="shared" si="301"/>
        <v>0.67776518300577182</v>
      </c>
      <c r="V784" s="72">
        <f t="shared" si="301"/>
        <v>0.69267601703189885</v>
      </c>
      <c r="W784" s="72">
        <f t="shared" si="301"/>
        <v>0.70791488940660052</v>
      </c>
      <c r="X784" s="72">
        <f t="shared" si="301"/>
        <v>0.72348901697354573</v>
      </c>
      <c r="Y784" s="72">
        <f t="shared" si="301"/>
        <v>0.73940577534696372</v>
      </c>
      <c r="Z784" s="72">
        <f t="shared" si="301"/>
        <v>0.75567270240459705</v>
      </c>
      <c r="AA784" s="72">
        <f t="shared" si="301"/>
        <v>0.77229750185749824</v>
      </c>
      <c r="AB784" s="72">
        <f t="shared" si="301"/>
        <v>0.78928804689836318</v>
      </c>
      <c r="AC784" s="72">
        <f t="shared" si="301"/>
        <v>0.80665238393012717</v>
      </c>
      <c r="AD784" s="72">
        <f t="shared" si="301"/>
        <v>0.82439873637659</v>
      </c>
      <c r="AE784" s="72">
        <f t="shared" si="301"/>
        <v>0.84253550857687498</v>
      </c>
      <c r="AF784" s="70"/>
      <c r="AG784" s="70"/>
      <c r="AH784" s="70"/>
      <c r="AI784" s="70"/>
    </row>
    <row r="785" spans="1:35" x14ac:dyDescent="0.45">
      <c r="A785" s="70"/>
      <c r="B785" s="52"/>
      <c r="C785" s="70"/>
      <c r="D785" s="52" t="s">
        <v>284</v>
      </c>
      <c r="E785" s="70"/>
      <c r="F785" s="70"/>
      <c r="G785" s="70" t="s">
        <v>1495</v>
      </c>
      <c r="H785" s="87" t="str">
        <f>Settings!$B$3&amp;".mit.cpep."&amp;$G785&amp;"."&amp;$J$404</f>
        <v>egy.mit.cpep.ind.irn.2</v>
      </c>
      <c r="I785" s="70"/>
      <c r="J785" s="70"/>
      <c r="K785" s="72"/>
      <c r="L785" s="72">
        <f t="shared" ref="L785:AE785" si="302">SUM(L740:L742)+SUM(L762:L764)</f>
        <v>0.25322587748271458</v>
      </c>
      <c r="M785" s="72">
        <f t="shared" si="302"/>
        <v>0.26436781609195403</v>
      </c>
      <c r="N785" s="72">
        <f t="shared" si="302"/>
        <v>0.27599999999999997</v>
      </c>
      <c r="O785" s="72">
        <f t="shared" si="302"/>
        <v>0.28814400000000001</v>
      </c>
      <c r="P785" s="72">
        <f t="shared" si="302"/>
        <v>0.30082233600000008</v>
      </c>
      <c r="Q785" s="72">
        <f t="shared" si="302"/>
        <v>0.31405851878400004</v>
      </c>
      <c r="R785" s="72">
        <f t="shared" si="302"/>
        <v>0.32787709361049611</v>
      </c>
      <c r="S785" s="72">
        <f t="shared" si="302"/>
        <v>0.34230368572935788</v>
      </c>
      <c r="T785" s="72">
        <f t="shared" si="302"/>
        <v>0.35736504790144968</v>
      </c>
      <c r="U785" s="72">
        <f t="shared" si="302"/>
        <v>0.37308911000911349</v>
      </c>
      <c r="V785" s="72">
        <f t="shared" si="302"/>
        <v>0.38950503084951449</v>
      </c>
      <c r="W785" s="72">
        <f t="shared" si="302"/>
        <v>0.40664325220689312</v>
      </c>
      <c r="X785" s="72">
        <f t="shared" si="302"/>
        <v>0.42453555530399645</v>
      </c>
      <c r="Y785" s="72">
        <f t="shared" si="302"/>
        <v>0.44321511973737227</v>
      </c>
      <c r="Z785" s="72">
        <f t="shared" si="302"/>
        <v>0.46271658500581669</v>
      </c>
      <c r="AA785" s="72">
        <f t="shared" si="302"/>
        <v>0.48307611474607259</v>
      </c>
      <c r="AB785" s="72">
        <f t="shared" si="302"/>
        <v>0.5043314637948999</v>
      </c>
      <c r="AC785" s="72">
        <f t="shared" si="302"/>
        <v>0.52652204820187531</v>
      </c>
      <c r="AD785" s="72">
        <f t="shared" si="302"/>
        <v>0.54968901832275785</v>
      </c>
      <c r="AE785" s="72">
        <f t="shared" si="302"/>
        <v>0.57387533512895927</v>
      </c>
      <c r="AF785" s="70"/>
      <c r="AG785" s="70"/>
      <c r="AH785" s="70"/>
      <c r="AI785" s="70"/>
    </row>
    <row r="786" spans="1:35" x14ac:dyDescent="0.45">
      <c r="A786" s="70"/>
      <c r="B786" s="52"/>
      <c r="C786" s="70"/>
      <c r="D786" s="52" t="s">
        <v>285</v>
      </c>
      <c r="E786" s="70"/>
      <c r="F786" s="70"/>
      <c r="G786" s="70" t="s">
        <v>1496</v>
      </c>
      <c r="H786" s="87" t="str">
        <f>Settings!$B$3&amp;".mit.cpep."&amp;$G786&amp;"."&amp;$J$404</f>
        <v>egy.mit.cpep.ind.nfm.2</v>
      </c>
      <c r="I786" s="70"/>
      <c r="J786" s="70"/>
      <c r="K786" s="72"/>
      <c r="L786" s="72">
        <f t="shared" ref="L786:AE786" si="303">L747+L769</f>
        <v>0.63340895307832257</v>
      </c>
      <c r="M786" s="72">
        <f t="shared" si="303"/>
        <v>0.66824644549763035</v>
      </c>
      <c r="N786" s="72">
        <f t="shared" si="303"/>
        <v>0.70499999999999996</v>
      </c>
      <c r="O786" s="72">
        <f t="shared" si="303"/>
        <v>0.74377499999999996</v>
      </c>
      <c r="P786" s="72">
        <f t="shared" si="303"/>
        <v>0.78468262499999997</v>
      </c>
      <c r="Q786" s="72">
        <f t="shared" si="303"/>
        <v>0.82784016937499993</v>
      </c>
      <c r="R786" s="72">
        <f t="shared" si="303"/>
        <v>0.87337137869062498</v>
      </c>
      <c r="S786" s="72">
        <f t="shared" si="303"/>
        <v>0.92140680451860935</v>
      </c>
      <c r="T786" s="72">
        <f t="shared" si="303"/>
        <v>0.97208417876713282</v>
      </c>
      <c r="U786" s="72">
        <f t="shared" si="303"/>
        <v>1.025548808599325</v>
      </c>
      <c r="V786" s="72">
        <f t="shared" si="303"/>
        <v>1.0819539930722879</v>
      </c>
      <c r="W786" s="72">
        <f t="shared" si="303"/>
        <v>1.1414614626912638</v>
      </c>
      <c r="X786" s="72">
        <f t="shared" si="303"/>
        <v>1.2042418431392832</v>
      </c>
      <c r="Y786" s="72">
        <f t="shared" si="303"/>
        <v>1.2704751445119435</v>
      </c>
      <c r="Z786" s="72">
        <f t="shared" si="303"/>
        <v>1.3403512774601003</v>
      </c>
      <c r="AA786" s="72">
        <f t="shared" si="303"/>
        <v>1.4140705977204062</v>
      </c>
      <c r="AB786" s="72">
        <f t="shared" si="303"/>
        <v>1.4918444805950282</v>
      </c>
      <c r="AC786" s="72">
        <f t="shared" si="303"/>
        <v>1.5738959270277546</v>
      </c>
      <c r="AD786" s="72">
        <f t="shared" si="303"/>
        <v>1.660460203014281</v>
      </c>
      <c r="AE786" s="72">
        <f t="shared" si="303"/>
        <v>1.7517855141800662</v>
      </c>
      <c r="AF786" s="70"/>
      <c r="AG786" s="70"/>
      <c r="AH786" s="70"/>
      <c r="AI786" s="70"/>
    </row>
    <row r="787" spans="1:35" x14ac:dyDescent="0.45">
      <c r="A787" s="70"/>
      <c r="B787" s="52"/>
      <c r="C787" s="70"/>
      <c r="D787" s="52" t="s">
        <v>286</v>
      </c>
      <c r="E787" s="70"/>
      <c r="F787" s="70"/>
      <c r="G787" s="70" t="s">
        <v>1497</v>
      </c>
      <c r="H787" s="87" t="str">
        <f>Settings!$B$3&amp;".mit.cpep."&amp;$G787&amp;"."&amp;$J$404</f>
        <v>egy.mit.cpep.ind.mac.2</v>
      </c>
      <c r="I787" s="70"/>
      <c r="J787" s="70"/>
      <c r="K787" s="72"/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>
        <v>0</v>
      </c>
      <c r="AC787" s="72">
        <v>0</v>
      </c>
      <c r="AD787" s="72">
        <v>0</v>
      </c>
      <c r="AE787" s="72">
        <v>0</v>
      </c>
      <c r="AF787" s="70"/>
      <c r="AG787" s="70"/>
      <c r="AH787" s="70"/>
      <c r="AI787" s="70"/>
    </row>
    <row r="788" spans="1:35" x14ac:dyDescent="0.45">
      <c r="A788" s="70"/>
      <c r="B788" s="52"/>
      <c r="C788" s="70"/>
      <c r="D788" s="52" t="s">
        <v>287</v>
      </c>
      <c r="E788" s="70"/>
      <c r="F788" s="70"/>
      <c r="G788" s="70" t="s">
        <v>1498</v>
      </c>
      <c r="H788" s="87" t="str">
        <f>Settings!$B$3&amp;".mit.cpep."&amp;$G788&amp;"."&amp;$J$404</f>
        <v>egy.mit.cpep.ind.cem.2</v>
      </c>
      <c r="I788" s="70"/>
      <c r="J788" s="70"/>
      <c r="K788" s="72"/>
      <c r="L788" s="72">
        <f t="shared" ref="L788:AE788" si="304">L743+L765</f>
        <v>24.646491529759945</v>
      </c>
      <c r="M788" s="72">
        <f t="shared" si="304"/>
        <v>25.459825750242022</v>
      </c>
      <c r="N788" s="72">
        <f t="shared" si="304"/>
        <v>26.3</v>
      </c>
      <c r="O788" s="72">
        <f t="shared" si="304"/>
        <v>27.167899999999999</v>
      </c>
      <c r="P788" s="72">
        <f t="shared" si="304"/>
        <v>28.064440699999995</v>
      </c>
      <c r="Q788" s="72">
        <f t="shared" si="304"/>
        <v>28.990567243099992</v>
      </c>
      <c r="R788" s="72">
        <f t="shared" si="304"/>
        <v>29.947255962122291</v>
      </c>
      <c r="S788" s="72">
        <f t="shared" si="304"/>
        <v>30.935515408872323</v>
      </c>
      <c r="T788" s="72">
        <f t="shared" si="304"/>
        <v>31.956387417365111</v>
      </c>
      <c r="U788" s="72">
        <f t="shared" si="304"/>
        <v>33.010948202138152</v>
      </c>
      <c r="V788" s="72">
        <f t="shared" si="304"/>
        <v>34.100309492808705</v>
      </c>
      <c r="W788" s="72">
        <f t="shared" si="304"/>
        <v>35.225619706071399</v>
      </c>
      <c r="X788" s="72">
        <f t="shared" si="304"/>
        <v>36.388065156371745</v>
      </c>
      <c r="Y788" s="72">
        <f t="shared" si="304"/>
        <v>37.588871306532013</v>
      </c>
      <c r="Z788" s="72">
        <f t="shared" si="304"/>
        <v>38.829304059647569</v>
      </c>
      <c r="AA788" s="72">
        <f t="shared" si="304"/>
        <v>40.110671093615935</v>
      </c>
      <c r="AB788" s="72">
        <f t="shared" si="304"/>
        <v>41.434323239705257</v>
      </c>
      <c r="AC788" s="72">
        <f t="shared" si="304"/>
        <v>42.801655906615522</v>
      </c>
      <c r="AD788" s="72">
        <f t="shared" si="304"/>
        <v>44.214110551533835</v>
      </c>
      <c r="AE788" s="72">
        <f t="shared" si="304"/>
        <v>45.673176199734449</v>
      </c>
      <c r="AF788" s="70"/>
      <c r="AG788" s="70"/>
      <c r="AH788" s="70"/>
      <c r="AI788" s="70"/>
    </row>
    <row r="789" spans="1:35" x14ac:dyDescent="0.45">
      <c r="A789" s="70"/>
      <c r="B789" s="52"/>
      <c r="C789" s="52"/>
      <c r="D789" s="72" t="s">
        <v>111</v>
      </c>
      <c r="E789" s="72"/>
      <c r="F789" s="72"/>
      <c r="G789" s="70" t="s">
        <v>1492</v>
      </c>
      <c r="H789" s="87" t="str">
        <f>Settings!$B$3&amp;".mit.emisp."&amp;$G789&amp;"."&amp;$J$404</f>
        <v>egy.mit.emisp.cbam.tot.2</v>
      </c>
      <c r="I789" s="72"/>
      <c r="J789" s="72"/>
      <c r="K789" s="72"/>
      <c r="L789" s="72">
        <f t="shared" ref="L789:AE789" si="305">SUM(L784:L788)</f>
        <v>26.090339299916035</v>
      </c>
      <c r="M789" s="72">
        <f t="shared" si="305"/>
        <v>26.961911636097749</v>
      </c>
      <c r="N789" s="72">
        <f t="shared" si="305"/>
        <v>27.863</v>
      </c>
      <c r="O789" s="72">
        <f t="shared" si="305"/>
        <v>28.794623000000001</v>
      </c>
      <c r="P789" s="72">
        <f t="shared" si="305"/>
        <v>29.757835348999997</v>
      </c>
      <c r="Q789" s="72">
        <f t="shared" si="305"/>
        <v>30.753729192394992</v>
      </c>
      <c r="R789" s="72">
        <f t="shared" si="305"/>
        <v>31.783435487304406</v>
      </c>
      <c r="S789" s="72">
        <f t="shared" si="305"/>
        <v>32.848125435164661</v>
      </c>
      <c r="T789" s="72">
        <f t="shared" si="305"/>
        <v>33.949011969871044</v>
      </c>
      <c r="U789" s="72">
        <f t="shared" si="305"/>
        <v>35.087351303752364</v>
      </c>
      <c r="V789" s="72">
        <f t="shared" si="305"/>
        <v>36.264444533762408</v>
      </c>
      <c r="W789" s="72">
        <f t="shared" si="305"/>
        <v>37.481639310376153</v>
      </c>
      <c r="X789" s="72">
        <f t="shared" si="305"/>
        <v>38.740331571788573</v>
      </c>
      <c r="Y789" s="72">
        <f t="shared" si="305"/>
        <v>40.041967346128295</v>
      </c>
      <c r="Z789" s="72">
        <f t="shared" si="305"/>
        <v>41.388044624518081</v>
      </c>
      <c r="AA789" s="72">
        <f t="shared" si="305"/>
        <v>42.780115307939909</v>
      </c>
      <c r="AB789" s="72">
        <f t="shared" si="305"/>
        <v>44.219787230993546</v>
      </c>
      <c r="AC789" s="72">
        <f t="shared" si="305"/>
        <v>45.708726265775283</v>
      </c>
      <c r="AD789" s="72">
        <f t="shared" si="305"/>
        <v>47.248658509247463</v>
      </c>
      <c r="AE789" s="72">
        <f t="shared" si="305"/>
        <v>48.841372557620346</v>
      </c>
      <c r="AF789" s="70"/>
      <c r="AG789" s="70"/>
      <c r="AH789" s="70"/>
      <c r="AI789" s="70"/>
    </row>
    <row r="790" spans="1:35" x14ac:dyDescent="0.45">
      <c r="A790" s="70"/>
      <c r="B790" s="52" t="s">
        <v>1872</v>
      </c>
      <c r="C790" s="73" t="s">
        <v>1500</v>
      </c>
      <c r="D790" s="73"/>
      <c r="E790" s="70"/>
      <c r="F790" s="70"/>
      <c r="G790" s="70"/>
      <c r="H790" s="70"/>
      <c r="I790" s="70"/>
      <c r="J790" s="71"/>
      <c r="K790" s="72"/>
      <c r="L790" s="74">
        <f t="shared" ref="L790:AE790" si="306">L761</f>
        <v>2022</v>
      </c>
      <c r="M790" s="74">
        <f t="shared" si="306"/>
        <v>2023</v>
      </c>
      <c r="N790" s="74">
        <f t="shared" si="306"/>
        <v>2024</v>
      </c>
      <c r="O790" s="74">
        <f t="shared" si="306"/>
        <v>2025</v>
      </c>
      <c r="P790" s="74">
        <f t="shared" si="306"/>
        <v>2026</v>
      </c>
      <c r="Q790" s="74">
        <f t="shared" si="306"/>
        <v>2027</v>
      </c>
      <c r="R790" s="74">
        <f t="shared" si="306"/>
        <v>2028</v>
      </c>
      <c r="S790" s="74">
        <f t="shared" si="306"/>
        <v>2029</v>
      </c>
      <c r="T790" s="74">
        <f t="shared" si="306"/>
        <v>2030</v>
      </c>
      <c r="U790" s="74">
        <f t="shared" si="306"/>
        <v>2031</v>
      </c>
      <c r="V790" s="74">
        <f t="shared" si="306"/>
        <v>2032</v>
      </c>
      <c r="W790" s="74">
        <f t="shared" si="306"/>
        <v>2033</v>
      </c>
      <c r="X790" s="74">
        <f t="shared" si="306"/>
        <v>2034</v>
      </c>
      <c r="Y790" s="74">
        <f t="shared" si="306"/>
        <v>2035</v>
      </c>
      <c r="Z790" s="74">
        <f t="shared" si="306"/>
        <v>2036</v>
      </c>
      <c r="AA790" s="74">
        <f t="shared" si="306"/>
        <v>2037</v>
      </c>
      <c r="AB790" s="74">
        <f t="shared" si="306"/>
        <v>2038</v>
      </c>
      <c r="AC790" s="74">
        <f t="shared" si="306"/>
        <v>2039</v>
      </c>
      <c r="AD790" s="74">
        <f t="shared" si="306"/>
        <v>2040</v>
      </c>
      <c r="AE790" s="74">
        <f t="shared" si="306"/>
        <v>2041</v>
      </c>
      <c r="AF790" s="74"/>
      <c r="AG790" s="70"/>
      <c r="AH790" s="70"/>
      <c r="AI790" s="70"/>
    </row>
    <row r="791" spans="1:35" x14ac:dyDescent="0.45">
      <c r="A791" s="70"/>
      <c r="B791" s="52"/>
      <c r="C791" s="52"/>
      <c r="D791" s="52" t="s">
        <v>1350</v>
      </c>
      <c r="E791" s="70"/>
      <c r="F791" s="70"/>
      <c r="G791" s="70"/>
      <c r="H791" s="70"/>
      <c r="I791" s="70"/>
      <c r="J791" s="70"/>
      <c r="K791" s="72"/>
      <c r="L791" s="72">
        <f t="shared" ref="L791:AE791" si="307">(L729+L751)*$I729*($F698*L$646+$G698*L$647)+(L740*$J729+L762)*($F709*L$707+$G709*L$647)</f>
        <v>0</v>
      </c>
      <c r="M791" s="72">
        <f t="shared" si="307"/>
        <v>0</v>
      </c>
      <c r="N791" s="72">
        <f t="shared" si="307"/>
        <v>0</v>
      </c>
      <c r="O791" s="72">
        <f t="shared" si="307"/>
        <v>0</v>
      </c>
      <c r="P791" s="72">
        <f t="shared" si="307"/>
        <v>0</v>
      </c>
      <c r="Q791" s="72">
        <f t="shared" si="307"/>
        <v>50.055252651914415</v>
      </c>
      <c r="R791" s="72">
        <f t="shared" si="307"/>
        <v>104.51536753719728</v>
      </c>
      <c r="S791" s="72">
        <f t="shared" si="307"/>
        <v>163.67106556325101</v>
      </c>
      <c r="T791" s="72">
        <f t="shared" si="307"/>
        <v>227.83012326404534</v>
      </c>
      <c r="U791" s="72">
        <f t="shared" si="307"/>
        <v>297.31831085957924</v>
      </c>
      <c r="V791" s="72">
        <f t="shared" si="307"/>
        <v>372.48037984488087</v>
      </c>
      <c r="W791" s="72">
        <f t="shared" si="307"/>
        <v>453.68110265106486</v>
      </c>
      <c r="X791" s="72">
        <f t="shared" si="307"/>
        <v>541.3063670488134</v>
      </c>
      <c r="Y791" s="72">
        <f t="shared" si="307"/>
        <v>635.76432809883147</v>
      </c>
      <c r="Z791" s="72">
        <f t="shared" si="307"/>
        <v>737.48662059464448</v>
      </c>
      <c r="AA791" s="72">
        <f t="shared" si="307"/>
        <v>846.92963509088975</v>
      </c>
      <c r="AB791" s="72">
        <f t="shared" si="307"/>
        <v>964.57586076533335</v>
      </c>
      <c r="AC791" s="72">
        <f t="shared" si="307"/>
        <v>1090.9352985255921</v>
      </c>
      <c r="AD791" s="72">
        <f t="shared" si="307"/>
        <v>1226.5469479423118</v>
      </c>
      <c r="AE791" s="72">
        <f t="shared" si="307"/>
        <v>1371.9803717697573</v>
      </c>
      <c r="AF791" s="70"/>
      <c r="AG791" s="70"/>
      <c r="AH791" s="70"/>
      <c r="AI791" s="70"/>
    </row>
    <row r="792" spans="1:35" x14ac:dyDescent="0.45">
      <c r="A792" s="70"/>
      <c r="B792" s="52"/>
      <c r="C792" s="52"/>
      <c r="D792" s="52" t="s">
        <v>1357</v>
      </c>
      <c r="E792" s="70"/>
      <c r="F792" s="70"/>
      <c r="G792" s="70"/>
      <c r="H792" s="70"/>
      <c r="I792" s="70"/>
      <c r="J792" s="70"/>
      <c r="K792" s="72"/>
      <c r="L792" s="72">
        <f t="shared" ref="L792:AE792" si="308">(L730+L752)*$I730*($F699*L$646+$G699*L$647)+(L741*$J730+L763)*($F710*L$707+$G710*L$647)</f>
        <v>0</v>
      </c>
      <c r="M792" s="72">
        <f t="shared" si="308"/>
        <v>0</v>
      </c>
      <c r="N792" s="72">
        <f t="shared" si="308"/>
        <v>0</v>
      </c>
      <c r="O792" s="72">
        <f t="shared" si="308"/>
        <v>0</v>
      </c>
      <c r="P792" s="72">
        <f t="shared" si="308"/>
        <v>0</v>
      </c>
      <c r="Q792" s="72">
        <f t="shared" si="308"/>
        <v>9.5753711433600017</v>
      </c>
      <c r="R792" s="72">
        <f t="shared" si="308"/>
        <v>19.993374947335681</v>
      </c>
      <c r="S792" s="72">
        <f t="shared" si="308"/>
        <v>31.309625167527681</v>
      </c>
      <c r="T792" s="72">
        <f t="shared" si="308"/>
        <v>43.582998233198531</v>
      </c>
      <c r="U792" s="72">
        <f t="shared" si="308"/>
        <v>56.87581269432409</v>
      </c>
      <c r="V792" s="72">
        <f t="shared" si="308"/>
        <v>71.254018143449215</v>
      </c>
      <c r="W792" s="72">
        <f t="shared" si="308"/>
        <v>86.787394098721137</v>
      </c>
      <c r="X792" s="72">
        <f t="shared" si="308"/>
        <v>103.54975935893131</v>
      </c>
      <c r="Y792" s="72">
        <f t="shared" si="308"/>
        <v>121.61919236706478</v>
      </c>
      <c r="Z792" s="72">
        <f t="shared" si="308"/>
        <v>141.07826314579518</v>
      </c>
      <c r="AA792" s="72">
        <f t="shared" si="308"/>
        <v>162.01427739663117</v>
      </c>
      <c r="AB792" s="72">
        <f t="shared" si="308"/>
        <v>184.51953338409049</v>
      </c>
      <c r="AC792" s="72">
        <f t="shared" si="308"/>
        <v>208.69159225740634</v>
      </c>
      <c r="AD792" s="72">
        <f t="shared" si="308"/>
        <v>234.63356249494237</v>
      </c>
      <c r="AE792" s="72">
        <f t="shared" si="308"/>
        <v>262.45439919077126</v>
      </c>
      <c r="AF792" s="70"/>
      <c r="AG792" s="70"/>
      <c r="AH792" s="70"/>
      <c r="AI792" s="70"/>
    </row>
    <row r="793" spans="1:35" x14ac:dyDescent="0.45">
      <c r="A793" s="70"/>
      <c r="B793" s="52"/>
      <c r="C793" s="52"/>
      <c r="D793" s="52" t="s">
        <v>1363</v>
      </c>
      <c r="E793" s="70"/>
      <c r="F793" s="70"/>
      <c r="G793" s="70"/>
      <c r="H793" s="70"/>
      <c r="I793" s="70"/>
      <c r="J793" s="70"/>
      <c r="K793" s="72"/>
      <c r="L793" s="72">
        <f t="shared" ref="L793:AE793" si="309">(L731+L753)*$I731*($F700*L$646+$G700*L$647)+(L742*$J731+L764)*($F711*L$707+$G711*L$647)</f>
        <v>0</v>
      </c>
      <c r="M793" s="72">
        <f t="shared" si="309"/>
        <v>0</v>
      </c>
      <c r="N793" s="72">
        <f t="shared" si="309"/>
        <v>0</v>
      </c>
      <c r="O793" s="72">
        <f t="shared" si="309"/>
        <v>0</v>
      </c>
      <c r="P793" s="72">
        <f t="shared" si="309"/>
        <v>0</v>
      </c>
      <c r="Q793" s="72">
        <f t="shared" si="309"/>
        <v>0</v>
      </c>
      <c r="R793" s="72">
        <f t="shared" si="309"/>
        <v>0</v>
      </c>
      <c r="S793" s="72">
        <f t="shared" si="309"/>
        <v>0</v>
      </c>
      <c r="T793" s="72">
        <f t="shared" si="309"/>
        <v>0</v>
      </c>
      <c r="U793" s="72">
        <f t="shared" si="309"/>
        <v>0</v>
      </c>
      <c r="V793" s="72">
        <f t="shared" si="309"/>
        <v>0</v>
      </c>
      <c r="W793" s="72">
        <f t="shared" si="309"/>
        <v>0</v>
      </c>
      <c r="X793" s="72">
        <f t="shared" si="309"/>
        <v>0</v>
      </c>
      <c r="Y793" s="72">
        <f t="shared" si="309"/>
        <v>0</v>
      </c>
      <c r="Z793" s="72">
        <f t="shared" si="309"/>
        <v>0</v>
      </c>
      <c r="AA793" s="72">
        <f t="shared" si="309"/>
        <v>0</v>
      </c>
      <c r="AB793" s="72">
        <f t="shared" si="309"/>
        <v>0</v>
      </c>
      <c r="AC793" s="72">
        <f t="shared" si="309"/>
        <v>0</v>
      </c>
      <c r="AD793" s="72">
        <f t="shared" si="309"/>
        <v>0</v>
      </c>
      <c r="AE793" s="72">
        <f t="shared" si="309"/>
        <v>0</v>
      </c>
      <c r="AF793" s="70"/>
      <c r="AG793" s="70"/>
      <c r="AH793" s="70"/>
      <c r="AI793" s="70"/>
    </row>
    <row r="794" spans="1:35" x14ac:dyDescent="0.45">
      <c r="A794" s="70"/>
      <c r="B794" s="52"/>
      <c r="C794" s="52"/>
      <c r="D794" s="52" t="s">
        <v>1369</v>
      </c>
      <c r="E794" s="70"/>
      <c r="F794" s="70"/>
      <c r="G794" s="70"/>
      <c r="H794" s="70"/>
      <c r="I794" s="70"/>
      <c r="J794" s="70"/>
      <c r="K794" s="72"/>
      <c r="L794" s="72">
        <f t="shared" ref="L794:AE794" si="310">(L732+L754)*$I732*($F701*L$646+$G701*L$647)+(L743*$J732+L765)*($F712*L$707+$G712*L$647)</f>
        <v>0</v>
      </c>
      <c r="M794" s="72">
        <f t="shared" si="310"/>
        <v>0</v>
      </c>
      <c r="N794" s="72">
        <f t="shared" si="310"/>
        <v>0</v>
      </c>
      <c r="O794" s="72">
        <f t="shared" si="310"/>
        <v>0</v>
      </c>
      <c r="P794" s="72">
        <f t="shared" si="310"/>
        <v>0</v>
      </c>
      <c r="Q794" s="72">
        <f t="shared" si="310"/>
        <v>198.62121046068745</v>
      </c>
      <c r="R794" s="72">
        <f t="shared" si="310"/>
        <v>410.3514208117802</v>
      </c>
      <c r="S794" s="72">
        <f t="shared" si="310"/>
        <v>635.83952654785332</v>
      </c>
      <c r="T794" s="72">
        <f t="shared" si="310"/>
        <v>875.76297456524333</v>
      </c>
      <c r="U794" s="72">
        <f t="shared" si="310"/>
        <v>1130.8289409073705</v>
      </c>
      <c r="V794" s="72">
        <f t="shared" si="310"/>
        <v>1401.7755551487762</v>
      </c>
      <c r="W794" s="72">
        <f t="shared" si="310"/>
        <v>1689.3731732134665</v>
      </c>
      <c r="X794" s="72">
        <f t="shared" si="310"/>
        <v>1994.4257004908695</v>
      </c>
      <c r="Y794" s="72">
        <f t="shared" si="310"/>
        <v>2317.7719671829518</v>
      </c>
      <c r="Z794" s="72">
        <f t="shared" si="310"/>
        <v>2660.2871578888767</v>
      </c>
      <c r="AA794" s="72">
        <f t="shared" si="310"/>
        <v>3022.8842975091302</v>
      </c>
      <c r="AB794" s="72">
        <f t="shared" si="310"/>
        <v>3406.5157956293801</v>
      </c>
      <c r="AC794" s="72">
        <f t="shared" si="310"/>
        <v>3812.1750516255784</v>
      </c>
      <c r="AD794" s="72">
        <f t="shared" si="310"/>
        <v>4240.8981228160856</v>
      </c>
      <c r="AE794" s="72">
        <f t="shared" si="310"/>
        <v>4693.7654580739454</v>
      </c>
      <c r="AF794" s="70"/>
      <c r="AG794" s="70"/>
      <c r="AH794" s="70"/>
      <c r="AI794" s="70"/>
    </row>
    <row r="795" spans="1:35" x14ac:dyDescent="0.45">
      <c r="A795" s="70"/>
      <c r="B795" s="52"/>
      <c r="C795" s="52"/>
      <c r="D795" s="52" t="s">
        <v>1442</v>
      </c>
      <c r="E795" s="70"/>
      <c r="F795" s="70"/>
      <c r="G795" s="70"/>
      <c r="H795" s="70"/>
      <c r="I795" s="70"/>
      <c r="J795" s="70"/>
      <c r="K795" s="72"/>
      <c r="L795" s="72">
        <f t="shared" ref="L795:AE795" si="311">(L733+L755)*$I733*($F702*L$646+$G702*L$647)+(L744*$J733+L766)*($F713*L$707+$G713*L$647)</f>
        <v>0</v>
      </c>
      <c r="M795" s="72">
        <f t="shared" si="311"/>
        <v>0</v>
      </c>
      <c r="N795" s="72">
        <f t="shared" si="311"/>
        <v>0</v>
      </c>
      <c r="O795" s="72">
        <f t="shared" si="311"/>
        <v>0</v>
      </c>
      <c r="P795" s="72">
        <f t="shared" si="311"/>
        <v>0</v>
      </c>
      <c r="Q795" s="72">
        <f t="shared" si="311"/>
        <v>44.093819705408542</v>
      </c>
      <c r="R795" s="72">
        <f t="shared" si="311"/>
        <v>90.127767477855073</v>
      </c>
      <c r="S795" s="72">
        <f t="shared" si="311"/>
        <v>138.16586754355183</v>
      </c>
      <c r="T795" s="72">
        <f t="shared" si="311"/>
        <v>188.27402217267993</v>
      </c>
      <c r="U795" s="72">
        <f t="shared" si="311"/>
        <v>240.52006332559864</v>
      </c>
      <c r="V795" s="72">
        <f t="shared" si="311"/>
        <v>294.97380566251417</v>
      </c>
      <c r="W795" s="72">
        <f t="shared" si="311"/>
        <v>351.70710095160445</v>
      </c>
      <c r="X795" s="72">
        <f t="shared" si="311"/>
        <v>410.79389391147396</v>
      </c>
      <c r="Y795" s="72">
        <f t="shared" si="311"/>
        <v>472.31027952471726</v>
      </c>
      <c r="Z795" s="72">
        <f t="shared" si="311"/>
        <v>536.33456186029002</v>
      </c>
      <c r="AA795" s="72">
        <f t="shared" si="311"/>
        <v>602.94731444333797</v>
      </c>
      <c r="AB795" s="72">
        <f t="shared" si="311"/>
        <v>672.23144221209975</v>
      </c>
      <c r="AC795" s="72">
        <f t="shared" si="311"/>
        <v>744.27224510249653</v>
      </c>
      <c r="AD795" s="72">
        <f t="shared" si="311"/>
        <v>819.15748330203985</v>
      </c>
      <c r="AE795" s="72">
        <f t="shared" si="311"/>
        <v>896.97744421573373</v>
      </c>
      <c r="AF795" s="70"/>
      <c r="AG795" s="70"/>
      <c r="AH795" s="70"/>
      <c r="AI795" s="70"/>
    </row>
    <row r="796" spans="1:35" x14ac:dyDescent="0.45">
      <c r="A796" s="70"/>
      <c r="B796" s="52"/>
      <c r="C796" s="52"/>
      <c r="D796" s="52" t="s">
        <v>1383</v>
      </c>
      <c r="E796" s="70"/>
      <c r="F796" s="70"/>
      <c r="G796" s="70"/>
      <c r="H796" s="70"/>
      <c r="I796" s="70"/>
      <c r="J796" s="70"/>
      <c r="K796" s="72"/>
      <c r="L796" s="72">
        <f t="shared" ref="L796:AE796" si="312">(L734+L756)*$I734*($F703*L$646+$G703*L$647)+(L745*$J734+L767)*($F714*L$707+$G714*L$647)</f>
        <v>0</v>
      </c>
      <c r="M796" s="72">
        <f t="shared" si="312"/>
        <v>0</v>
      </c>
      <c r="N796" s="72">
        <f t="shared" si="312"/>
        <v>0</v>
      </c>
      <c r="O796" s="72">
        <f t="shared" si="312"/>
        <v>0</v>
      </c>
      <c r="P796" s="72">
        <f t="shared" si="312"/>
        <v>0</v>
      </c>
      <c r="Q796" s="72">
        <f t="shared" si="312"/>
        <v>4.1919258186959993</v>
      </c>
      <c r="R796" s="72">
        <f t="shared" si="312"/>
        <v>8.5682963734146238</v>
      </c>
      <c r="S796" s="72">
        <f t="shared" si="312"/>
        <v>13.135198340444619</v>
      </c>
      <c r="T796" s="72">
        <f t="shared" si="312"/>
        <v>17.898896938579199</v>
      </c>
      <c r="U796" s="72">
        <f t="shared" si="312"/>
        <v>22.865840839034927</v>
      </c>
      <c r="V796" s="72">
        <f t="shared" si="312"/>
        <v>28.042667204992437</v>
      </c>
      <c r="W796" s="72">
        <f t="shared" si="312"/>
        <v>33.436206864085989</v>
      </c>
      <c r="X796" s="72">
        <f t="shared" si="312"/>
        <v>39.053489617252438</v>
      </c>
      <c r="Y796" s="72">
        <f t="shared" si="312"/>
        <v>44.901749687435988</v>
      </c>
      <c r="Z796" s="72">
        <f t="shared" si="312"/>
        <v>50.988431311732867</v>
      </c>
      <c r="AA796" s="72">
        <f t="shared" si="312"/>
        <v>57.321194480650092</v>
      </c>
      <c r="AB796" s="72">
        <f t="shared" si="312"/>
        <v>63.907920828244798</v>
      </c>
      <c r="AC796" s="72">
        <f t="shared" si="312"/>
        <v>70.756719677005037</v>
      </c>
      <c r="AD796" s="72">
        <f t="shared" si="312"/>
        <v>77.875934241429846</v>
      </c>
      <c r="AE796" s="72">
        <f t="shared" si="312"/>
        <v>85.274147994365691</v>
      </c>
      <c r="AF796" s="70"/>
      <c r="AG796" s="70"/>
      <c r="AH796" s="70"/>
      <c r="AI796" s="70"/>
    </row>
    <row r="797" spans="1:35" x14ac:dyDescent="0.45">
      <c r="A797" s="70"/>
      <c r="B797" s="52"/>
      <c r="C797" s="52"/>
      <c r="D797" s="52" t="s">
        <v>1390</v>
      </c>
      <c r="E797" s="70"/>
      <c r="F797" s="70"/>
      <c r="G797" s="70"/>
      <c r="H797" s="70"/>
      <c r="I797" s="70"/>
      <c r="J797" s="70"/>
      <c r="K797" s="72"/>
      <c r="L797" s="72">
        <f t="shared" ref="L797:AE797" si="313">(L735+L757)*$I735*($F704*L$646+$G704*L$647)+(L746*$J735+L768)*($F715*L$707+$G715*L$647)</f>
        <v>0</v>
      </c>
      <c r="M797" s="72">
        <f t="shared" si="313"/>
        <v>0</v>
      </c>
      <c r="N797" s="72">
        <f t="shared" si="313"/>
        <v>0</v>
      </c>
      <c r="O797" s="72">
        <f t="shared" si="313"/>
        <v>0</v>
      </c>
      <c r="P797" s="72">
        <f t="shared" si="313"/>
        <v>0</v>
      </c>
      <c r="Q797" s="72">
        <f t="shared" si="313"/>
        <v>0.89826981829199992</v>
      </c>
      <c r="R797" s="72">
        <f t="shared" si="313"/>
        <v>1.8360635085888481</v>
      </c>
      <c r="S797" s="72">
        <f t="shared" si="313"/>
        <v>2.8146853586667042</v>
      </c>
      <c r="T797" s="72">
        <f t="shared" si="313"/>
        <v>3.8354779154098289</v>
      </c>
      <c r="U797" s="72">
        <f t="shared" si="313"/>
        <v>4.8998230369360565</v>
      </c>
      <c r="V797" s="72">
        <f t="shared" si="313"/>
        <v>6.0091429724983811</v>
      </c>
      <c r="W797" s="72">
        <f t="shared" si="313"/>
        <v>7.1649014708755674</v>
      </c>
      <c r="X797" s="72">
        <f t="shared" si="313"/>
        <v>8.3686049179826618</v>
      </c>
      <c r="Y797" s="72">
        <f t="shared" si="313"/>
        <v>9.6218035044505683</v>
      </c>
      <c r="Z797" s="72">
        <f t="shared" si="313"/>
        <v>10.926092423942757</v>
      </c>
      <c r="AA797" s="72">
        <f t="shared" si="313"/>
        <v>12.283113102996445</v>
      </c>
      <c r="AB797" s="72">
        <f t="shared" si="313"/>
        <v>13.69455446319531</v>
      </c>
      <c r="AC797" s="72">
        <f t="shared" si="313"/>
        <v>15.162154216501076</v>
      </c>
      <c r="AD797" s="72">
        <f t="shared" si="313"/>
        <v>16.687700194592107</v>
      </c>
      <c r="AE797" s="72">
        <f t="shared" si="313"/>
        <v>18.27303171307836</v>
      </c>
      <c r="AF797" s="70"/>
      <c r="AG797" s="70"/>
      <c r="AH797" s="70"/>
      <c r="AI797" s="70"/>
    </row>
    <row r="798" spans="1:35" x14ac:dyDescent="0.45">
      <c r="A798" s="70"/>
      <c r="B798" s="52"/>
      <c r="C798" s="52"/>
      <c r="D798" s="52" t="s">
        <v>1397</v>
      </c>
      <c r="E798" s="83"/>
      <c r="F798" s="84"/>
      <c r="G798" s="70"/>
      <c r="H798" s="70"/>
      <c r="I798" s="70"/>
      <c r="J798" s="70"/>
      <c r="K798" s="72"/>
      <c r="L798" s="72">
        <f t="shared" ref="L798:AE798" si="314">(L736+L758)*$I736*($F705*L$646+$G705*L$647)+(L747*$J736+L769)*($F716*L$707+$G716*L$647)</f>
        <v>0</v>
      </c>
      <c r="M798" s="72">
        <f t="shared" si="314"/>
        <v>0</v>
      </c>
      <c r="N798" s="72">
        <f t="shared" si="314"/>
        <v>0</v>
      </c>
      <c r="O798" s="72">
        <f t="shared" si="314"/>
        <v>0</v>
      </c>
      <c r="P798" s="72">
        <f t="shared" si="314"/>
        <v>0</v>
      </c>
      <c r="Q798" s="72">
        <f t="shared" si="314"/>
        <v>0.68693120437499988</v>
      </c>
      <c r="R798" s="72">
        <f t="shared" si="314"/>
        <v>1.44942484123125</v>
      </c>
      <c r="S798" s="72">
        <f t="shared" si="314"/>
        <v>2.2937148112484529</v>
      </c>
      <c r="T798" s="72">
        <f t="shared" si="314"/>
        <v>3.2264921678228231</v>
      </c>
      <c r="U798" s="72">
        <f t="shared" si="314"/>
        <v>4.2549365463163484</v>
      </c>
      <c r="V798" s="72">
        <f t="shared" si="314"/>
        <v>5.3867496676364954</v>
      </c>
      <c r="W798" s="72">
        <f t="shared" si="314"/>
        <v>6.6301910492492544</v>
      </c>
      <c r="X798" s="72">
        <f t="shared" si="314"/>
        <v>7.9941160650948158</v>
      </c>
      <c r="Y798" s="72">
        <f t="shared" si="314"/>
        <v>9.4880165047594094</v>
      </c>
      <c r="Z798" s="72">
        <f t="shared" si="314"/>
        <v>11.122063791690195</v>
      </c>
      <c r="AA798" s="72">
        <f t="shared" si="314"/>
        <v>12.907155030256471</v>
      </c>
      <c r="AB798" s="72">
        <f t="shared" si="314"/>
        <v>14.854962062095174</v>
      </c>
      <c r="AC798" s="72">
        <f t="shared" si="314"/>
        <v>16.97798372346961</v>
      </c>
      <c r="AD798" s="72">
        <f t="shared" si="314"/>
        <v>19.289601507357389</v>
      </c>
      <c r="AE798" s="72">
        <f t="shared" si="314"/>
        <v>21.804138846709332</v>
      </c>
      <c r="AF798" s="70"/>
      <c r="AG798" s="70"/>
      <c r="AH798" s="70"/>
      <c r="AI798" s="70"/>
    </row>
    <row r="799" spans="1:35" x14ac:dyDescent="0.45">
      <c r="A799" s="70"/>
      <c r="B799" s="52"/>
      <c r="C799" s="52"/>
      <c r="D799" s="52" t="s">
        <v>1501</v>
      </c>
      <c r="E799" s="70" t="s">
        <v>1871</v>
      </c>
      <c r="F799" s="70"/>
      <c r="G799" s="70" t="s">
        <v>110</v>
      </c>
      <c r="H799" s="87" t="str">
        <f>Settings!$B$3&amp;".mit.rev.cbam."&amp;G799&amp;"."&amp;$J$404</f>
        <v>egy.mit.rev.cbam.tot.2</v>
      </c>
      <c r="I799" s="70" t="s">
        <v>1873</v>
      </c>
      <c r="J799" s="70"/>
      <c r="K799" s="72"/>
      <c r="L799" s="72">
        <f t="shared" ref="L799:AE799" si="315">SUM(L791:L798)</f>
        <v>0</v>
      </c>
      <c r="M799" s="72">
        <f t="shared" si="315"/>
        <v>0</v>
      </c>
      <c r="N799" s="72">
        <f t="shared" si="315"/>
        <v>0</v>
      </c>
      <c r="O799" s="72">
        <f t="shared" si="315"/>
        <v>0</v>
      </c>
      <c r="P799" s="72">
        <f t="shared" si="315"/>
        <v>0</v>
      </c>
      <c r="Q799" s="72">
        <f t="shared" si="315"/>
        <v>308.12278080273342</v>
      </c>
      <c r="R799" s="72">
        <f t="shared" si="315"/>
        <v>636.8417154974029</v>
      </c>
      <c r="S799" s="72">
        <f t="shared" si="315"/>
        <v>987.22968333254369</v>
      </c>
      <c r="T799" s="72">
        <f t="shared" si="315"/>
        <v>1360.4109852569791</v>
      </c>
      <c r="U799" s="72">
        <f t="shared" si="315"/>
        <v>1757.56372820916</v>
      </c>
      <c r="V799" s="72">
        <f t="shared" si="315"/>
        <v>2179.922318644748</v>
      </c>
      <c r="W799" s="72">
        <f t="shared" si="315"/>
        <v>2628.780070299068</v>
      </c>
      <c r="X799" s="72">
        <f t="shared" si="315"/>
        <v>3105.4919314104181</v>
      </c>
      <c r="Y799" s="72">
        <f t="shared" si="315"/>
        <v>3611.4773368702113</v>
      </c>
      <c r="Z799" s="72">
        <f t="shared" si="315"/>
        <v>4148.2231910169721</v>
      </c>
      <c r="AA799" s="72">
        <f t="shared" si="315"/>
        <v>4717.2869870538907</v>
      </c>
      <c r="AB799" s="72">
        <f t="shared" si="315"/>
        <v>5320.3000693444392</v>
      </c>
      <c r="AC799" s="72">
        <f t="shared" si="315"/>
        <v>5958.9710451280498</v>
      </c>
      <c r="AD799" s="72">
        <f t="shared" si="315"/>
        <v>6635.0893524987587</v>
      </c>
      <c r="AE799" s="72">
        <f t="shared" si="315"/>
        <v>7350.5289918043609</v>
      </c>
      <c r="AF799" s="70"/>
      <c r="AG799" s="70"/>
      <c r="AH799" s="70"/>
      <c r="AI799" s="70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D10B3-E478-49B0-BEAE-AF2DF4909C23}">
  <dimension ref="A1:AI102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01" customWidth="1"/>
    <col min="2" max="2" width="12.46484375" style="101" customWidth="1"/>
    <col min="3" max="3" width="28" style="101" customWidth="1"/>
    <col min="4" max="4" width="33.73046875" style="101" customWidth="1"/>
    <col min="5" max="5" width="14.73046875" style="101" customWidth="1"/>
    <col min="6" max="6" width="17.73046875" style="101" customWidth="1"/>
    <col min="7" max="7" width="30.265625" style="101" customWidth="1"/>
    <col min="8" max="8" width="28.86328125" style="101" customWidth="1"/>
    <col min="9" max="9" width="31.265625" style="101" customWidth="1"/>
    <col min="10" max="10" width="30.265625" style="101" customWidth="1"/>
    <col min="11" max="11" width="10.53125" style="101" customWidth="1"/>
    <col min="12" max="35" width="12" style="101" customWidth="1"/>
    <col min="36" max="16384" width="9.06640625" style="101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1964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1965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1966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4.25" x14ac:dyDescent="0.45">
      <c r="B6" s="14" t="s">
        <v>49</v>
      </c>
      <c r="C6" s="14" t="str">
        <f t="shared" ref="C6:C15" si="0">$C$5</f>
        <v>irn</v>
      </c>
      <c r="D6" s="15" t="s">
        <v>50</v>
      </c>
      <c r="E6" s="16" t="s">
        <v>1967</v>
      </c>
      <c r="F6" s="14" t="s">
        <v>1968</v>
      </c>
      <c r="G6" s="114" t="str">
        <f>Settings!$B$3&amp;".mit.efc."&amp;$B6</f>
        <v>egy.mit.efc.coa</v>
      </c>
      <c r="H6" s="45" t="str">
        <f>Settings!$B$3&amp;".mit.eco2."&amp;$C$5&amp;"."&amp;$B6&amp;".e."&amp;$J$5</f>
        <v>egy.mit.eco2.irn.coa.e.1</v>
      </c>
      <c r="I6" t="s">
        <v>1969</v>
      </c>
      <c r="L6" s="115">
        <f>Mitigation_Industry!L$54*INDEX(Data_EF!$G:$G,MATCH($G6,Data_EF!$A:$A,0))/1000000</f>
        <v>0.90552851514095434</v>
      </c>
      <c r="M6" s="19">
        <f>Mitigation_Industry!M$54*INDEX(Data_EF!$G:$G,MATCH($G6,Data_EF!$A:$A,0))/1000000</f>
        <v>0.7373709829353039</v>
      </c>
      <c r="N6" s="19">
        <f>Mitigation_Industry!N$54*INDEX(Data_EF!$G:$G,MATCH($G6,Data_EF!$A:$A,0))/1000000</f>
        <v>0.84742505653625044</v>
      </c>
      <c r="O6" s="19">
        <f>Mitigation_Industry!O$54*INDEX(Data_EF!$G:$G,MATCH($G6,Data_EF!$A:$A,0))/1000000</f>
        <v>0.92592542220348095</v>
      </c>
      <c r="P6" s="19">
        <f>Mitigation_Industry!P$54*INDEX(Data_EF!$G:$G,MATCH($G6,Data_EF!$A:$A,0))/1000000</f>
        <v>0.90550015822817864</v>
      </c>
      <c r="Q6" s="19">
        <f>Mitigation_Industry!Q$54*INDEX(Data_EF!$G:$G,MATCH($G6,Data_EF!$A:$A,0))/1000000</f>
        <v>0.91598111483669054</v>
      </c>
      <c r="R6" s="19">
        <f>Mitigation_Industry!R$54*INDEX(Data_EF!$G:$G,MATCH($G6,Data_EF!$A:$A,0))/1000000</f>
        <v>0.94132187959094771</v>
      </c>
      <c r="S6" s="19">
        <f>Mitigation_Industry!S$54*INDEX(Data_EF!$G:$G,MATCH($G6,Data_EF!$A:$A,0))/1000000</f>
        <v>0.96599765578723318</v>
      </c>
      <c r="T6" s="19">
        <f>Mitigation_Industry!T$54*INDEX(Data_EF!$G:$G,MATCH($G6,Data_EF!$A:$A,0))/1000000</f>
        <v>0.98963877869988903</v>
      </c>
      <c r="U6" s="19">
        <f>Mitigation_Industry!U$54*INDEX(Data_EF!$G:$G,MATCH($G6,Data_EF!$A:$A,0))/1000000</f>
        <v>1.0133362658908103</v>
      </c>
      <c r="V6" s="19">
        <f>Mitigation_Industry!V$54*INDEX(Data_EF!$G:$G,MATCH($G6,Data_EF!$A:$A,0))/1000000</f>
        <v>1.0325208097008434</v>
      </c>
      <c r="W6" s="19">
        <f>Mitigation_Industry!W$54*INDEX(Data_EF!$G:$G,MATCH($G6,Data_EF!$A:$A,0))/1000000</f>
        <v>1.0517537633582514</v>
      </c>
      <c r="X6" s="19">
        <f>Mitigation_Industry!X$54*INDEX(Data_EF!$G:$G,MATCH($G6,Data_EF!$A:$A,0))/1000000</f>
        <v>1.0710296448648655</v>
      </c>
      <c r="Y6" s="19">
        <f>Mitigation_Industry!Y$54*INDEX(Data_EF!$G:$G,MATCH($G6,Data_EF!$A:$A,0))/1000000</f>
        <v>1.0903430205340965</v>
      </c>
      <c r="Z6" s="19">
        <f>Mitigation_Industry!Z$54*INDEX(Data_EF!$G:$G,MATCH($G6,Data_EF!$A:$A,0))/1000000</f>
        <v>1.1096885003893</v>
      </c>
      <c r="AA6" s="19">
        <f>Mitigation_Industry!AA$54*INDEX(Data_EF!$G:$G,MATCH($G6,Data_EF!$A:$A,0))/1000000</f>
        <v>1.1290607330681555</v>
      </c>
      <c r="AB6" s="19">
        <f>Mitigation_Industry!AB$54*INDEX(Data_EF!$G:$G,MATCH($G6,Data_EF!$A:$A,0))/1000000</f>
        <v>1.1484544002584203</v>
      </c>
      <c r="AC6" s="19">
        <f>Mitigation_Industry!AC$54*INDEX(Data_EF!$G:$G,MATCH($G6,Data_EF!$A:$A,0))/1000000</f>
        <v>1.1678642106887949</v>
      </c>
      <c r="AD6" s="19">
        <f>Mitigation_Industry!AD$54*INDEX(Data_EF!$G:$G,MATCH($G6,Data_EF!$A:$A,0))/1000000</f>
        <v>1.1872848936970086</v>
      </c>
      <c r="AE6" s="19">
        <f>Mitigation_Industry!AE$54*INDEX(Data_EF!$G:$G,MATCH($G6,Data_EF!$A:$A,0))/1000000</f>
        <v>1.2067111923955773</v>
      </c>
    </row>
    <row r="7" spans="1:35" customFormat="1" ht="14.25" x14ac:dyDescent="0.45">
      <c r="B7" s="14" t="s">
        <v>53</v>
      </c>
      <c r="C7" s="14" t="str">
        <f t="shared" si="0"/>
        <v>irn</v>
      </c>
      <c r="D7" s="15" t="s">
        <v>54</v>
      </c>
      <c r="E7" s="16" t="s">
        <v>1967</v>
      </c>
      <c r="F7" s="14" t="s">
        <v>1968</v>
      </c>
      <c r="G7" s="114" t="str">
        <f>Settings!$B$3&amp;".mit.efc."&amp;$B7</f>
        <v>egy.mit.efc.nga</v>
      </c>
      <c r="H7" s="45" t="str">
        <f>Settings!$B$3&amp;".mit.eco2."&amp;$C$5&amp;"."&amp;$B7&amp;".e."&amp;$J$5</f>
        <v>egy.mit.eco2.irn.nga.e.1</v>
      </c>
      <c r="I7" t="s">
        <v>1970</v>
      </c>
      <c r="L7" s="115">
        <f>Mitigation_Industry!L$55*INDEX(Data_EF!$G:$G,MATCH($G7,Data_EF!$A:$A,0))/1000000</f>
        <v>3.6248550032610098</v>
      </c>
      <c r="M7" s="19">
        <f>Mitigation_Industry!M$55*INDEX(Data_EF!$G:$G,MATCH($G7,Data_EF!$A:$A,0))/1000000</f>
        <v>3.1095323789272165</v>
      </c>
      <c r="N7" s="19">
        <f>Mitigation_Industry!N$55*INDEX(Data_EF!$G:$G,MATCH($G7,Data_EF!$A:$A,0))/1000000</f>
        <v>3.4816495642852692</v>
      </c>
      <c r="O7" s="19">
        <f>Mitigation_Industry!O$55*INDEX(Data_EF!$G:$G,MATCH($G7,Data_EF!$A:$A,0))/1000000</f>
        <v>3.6192352321477199</v>
      </c>
      <c r="P7" s="19">
        <f>Mitigation_Industry!P$55*INDEX(Data_EF!$G:$G,MATCH($G7,Data_EF!$A:$A,0))/1000000</f>
        <v>3.755152565160921</v>
      </c>
      <c r="Q7" s="19">
        <f>Mitigation_Industry!Q$55*INDEX(Data_EF!$G:$G,MATCH($G7,Data_EF!$A:$A,0))/1000000</f>
        <v>3.9170984794377439</v>
      </c>
      <c r="R7" s="19">
        <f>Mitigation_Industry!R$55*INDEX(Data_EF!$G:$G,MATCH($G7,Data_EF!$A:$A,0))/1000000</f>
        <v>4.1116087327343127</v>
      </c>
      <c r="S7" s="19">
        <f>Mitigation_Industry!S$55*INDEX(Data_EF!$G:$G,MATCH($G7,Data_EF!$A:$A,0))/1000000</f>
        <v>4.3007940441743049</v>
      </c>
      <c r="T7" s="19">
        <f>Mitigation_Industry!T$55*INDEX(Data_EF!$G:$G,MATCH($G7,Data_EF!$A:$A,0))/1000000</f>
        <v>4.4803403110751576</v>
      </c>
      <c r="U7" s="19">
        <f>Mitigation_Industry!U$55*INDEX(Data_EF!$G:$G,MATCH($G7,Data_EF!$A:$A,0))/1000000</f>
        <v>4.6637740945368567</v>
      </c>
      <c r="V7" s="19">
        <f>Mitigation_Industry!V$55*INDEX(Data_EF!$G:$G,MATCH($G7,Data_EF!$A:$A,0))/1000000</f>
        <v>4.8517650364524734</v>
      </c>
      <c r="W7" s="19">
        <f>Mitigation_Industry!W$55*INDEX(Data_EF!$G:$G,MATCH($G7,Data_EF!$A:$A,0))/1000000</f>
        <v>5.0443136510343951</v>
      </c>
      <c r="X7" s="19">
        <f>Mitigation_Industry!X$55*INDEX(Data_EF!$G:$G,MATCH($G7,Data_EF!$A:$A,0))/1000000</f>
        <v>5.2414170434139917</v>
      </c>
      <c r="Y7" s="19">
        <f>Mitigation_Industry!Y$55*INDEX(Data_EF!$G:$G,MATCH($G7,Data_EF!$A:$A,0))/1000000</f>
        <v>5.4430688581786226</v>
      </c>
      <c r="Z7" s="19">
        <f>Mitigation_Industry!Z$55*INDEX(Data_EF!$G:$G,MATCH($G7,Data_EF!$A:$A,0))/1000000</f>
        <v>5.6492592208852512</v>
      </c>
      <c r="AA7" s="19">
        <f>Mitigation_Industry!AA$55*INDEX(Data_EF!$G:$G,MATCH($G7,Data_EF!$A:$A,0))/1000000</f>
        <v>5.8599746719722035</v>
      </c>
      <c r="AB7" s="19">
        <f>Mitigation_Industry!AB$55*INDEX(Data_EF!$G:$G,MATCH($G7,Data_EF!$A:$A,0))/1000000</f>
        <v>6.0751980925136602</v>
      </c>
      <c r="AC7" s="19">
        <f>Mitigation_Industry!AC$55*INDEX(Data_EF!$G:$G,MATCH($G7,Data_EF!$A:$A,0))/1000000</f>
        <v>6.2949086212833896</v>
      </c>
      <c r="AD7" s="19">
        <f>Mitigation_Industry!AD$55*INDEX(Data_EF!$G:$G,MATCH($G7,Data_EF!$A:$A,0))/1000000</f>
        <v>6.5190815626160781</v>
      </c>
      <c r="AE7" s="19">
        <f>Mitigation_Industry!AE$55*INDEX(Data_EF!$G:$G,MATCH($G7,Data_EF!$A:$A,0))/1000000</f>
        <v>6.7476882845752897</v>
      </c>
    </row>
    <row r="8" spans="1:35" customFormat="1" ht="14.25" x14ac:dyDescent="0.45">
      <c r="B8" s="14" t="s">
        <v>55</v>
      </c>
      <c r="C8" s="14" t="str">
        <f t="shared" si="0"/>
        <v>irn</v>
      </c>
      <c r="D8" s="15" t="s">
        <v>56</v>
      </c>
      <c r="E8" s="16" t="s">
        <v>1967</v>
      </c>
      <c r="F8" s="14" t="s">
        <v>1968</v>
      </c>
      <c r="G8" s="114" t="str">
        <f>Settings!$B$3&amp;".mit.efc."&amp;$B8</f>
        <v>egy.mit.efc.gso</v>
      </c>
      <c r="H8" s="45" t="str">
        <f>Settings!$B$3&amp;".mit.eco2."&amp;$C$5&amp;"."&amp;$B8&amp;".e."&amp;$J$5</f>
        <v>egy.mit.eco2.irn.gso.e.1</v>
      </c>
      <c r="I8" t="s">
        <v>1971</v>
      </c>
      <c r="L8" s="115">
        <f>Mitigation_Industry!L$56*INDEX(Data_EF!$G:$G,MATCH($G8,Data_EF!$A:$A,0))/1000000</f>
        <v>0</v>
      </c>
      <c r="M8" s="19">
        <f>Mitigation_Industry!M$56*INDEX(Data_EF!$G:$G,MATCH($G8,Data_EF!$A:$A,0))/1000000</f>
        <v>0</v>
      </c>
      <c r="N8" s="19">
        <f>Mitigation_Industry!N$56*INDEX(Data_EF!$G:$G,MATCH($G8,Data_EF!$A:$A,0))/1000000</f>
        <v>0</v>
      </c>
      <c r="O8" s="19">
        <f>Mitigation_Industry!O$56*INDEX(Data_EF!$G:$G,MATCH($G8,Data_EF!$A:$A,0))/1000000</f>
        <v>0</v>
      </c>
      <c r="P8" s="19">
        <f>Mitigation_Industry!P$56*INDEX(Data_EF!$G:$G,MATCH($G8,Data_EF!$A:$A,0))/1000000</f>
        <v>0</v>
      </c>
      <c r="Q8" s="19">
        <f>Mitigation_Industry!Q$56*INDEX(Data_EF!$G:$G,MATCH($G8,Data_EF!$A:$A,0))/1000000</f>
        <v>0</v>
      </c>
      <c r="R8" s="19">
        <f>Mitigation_Industry!R$56*INDEX(Data_EF!$G:$G,MATCH($G8,Data_EF!$A:$A,0))/1000000</f>
        <v>0</v>
      </c>
      <c r="S8" s="19">
        <f>Mitigation_Industry!S$56*INDEX(Data_EF!$G:$G,MATCH($G8,Data_EF!$A:$A,0))/1000000</f>
        <v>0</v>
      </c>
      <c r="T8" s="19">
        <f>Mitigation_Industry!T$56*INDEX(Data_EF!$G:$G,MATCH($G8,Data_EF!$A:$A,0))/1000000</f>
        <v>0</v>
      </c>
      <c r="U8" s="19">
        <f>Mitigation_Industry!U$56*INDEX(Data_EF!$G:$G,MATCH($G8,Data_EF!$A:$A,0))/1000000</f>
        <v>0</v>
      </c>
      <c r="V8" s="19">
        <f>Mitigation_Industry!V$56*INDEX(Data_EF!$G:$G,MATCH($G8,Data_EF!$A:$A,0))/1000000</f>
        <v>0</v>
      </c>
      <c r="W8" s="19">
        <f>Mitigation_Industry!W$56*INDEX(Data_EF!$G:$G,MATCH($G8,Data_EF!$A:$A,0))/1000000</f>
        <v>0</v>
      </c>
      <c r="X8" s="19">
        <f>Mitigation_Industry!X$56*INDEX(Data_EF!$G:$G,MATCH($G8,Data_EF!$A:$A,0))/1000000</f>
        <v>0</v>
      </c>
      <c r="Y8" s="19">
        <f>Mitigation_Industry!Y$56*INDEX(Data_EF!$G:$G,MATCH($G8,Data_EF!$A:$A,0))/1000000</f>
        <v>0</v>
      </c>
      <c r="Z8" s="19">
        <f>Mitigation_Industry!Z$56*INDEX(Data_EF!$G:$G,MATCH($G8,Data_EF!$A:$A,0))/1000000</f>
        <v>0</v>
      </c>
      <c r="AA8" s="19">
        <f>Mitigation_Industry!AA$56*INDEX(Data_EF!$G:$G,MATCH($G8,Data_EF!$A:$A,0))/1000000</f>
        <v>0</v>
      </c>
      <c r="AB8" s="19">
        <f>Mitigation_Industry!AB$56*INDEX(Data_EF!$G:$G,MATCH($G8,Data_EF!$A:$A,0))/1000000</f>
        <v>0</v>
      </c>
      <c r="AC8" s="19">
        <f>Mitigation_Industry!AC$56*INDEX(Data_EF!$G:$G,MATCH($G8,Data_EF!$A:$A,0))/1000000</f>
        <v>0</v>
      </c>
      <c r="AD8" s="19">
        <f>Mitigation_Industry!AD$56*INDEX(Data_EF!$G:$G,MATCH($G8,Data_EF!$A:$A,0))/1000000</f>
        <v>0</v>
      </c>
      <c r="AE8" s="19">
        <f>Mitigation_Industry!AE$56*INDEX(Data_EF!$G:$G,MATCH($G8,Data_EF!$A:$A,0))/1000000</f>
        <v>0</v>
      </c>
    </row>
    <row r="9" spans="1:35" customFormat="1" ht="14.25" x14ac:dyDescent="0.45">
      <c r="B9" s="14" t="s">
        <v>58</v>
      </c>
      <c r="C9" s="14" t="str">
        <f t="shared" si="0"/>
        <v>irn</v>
      </c>
      <c r="D9" s="15" t="s">
        <v>59</v>
      </c>
      <c r="E9" s="16" t="s">
        <v>1967</v>
      </c>
      <c r="F9" s="14" t="s">
        <v>1968</v>
      </c>
      <c r="G9" s="114" t="str">
        <f>Settings!$B$3&amp;".mit.efc."&amp;$B9</f>
        <v>egy.mit.efc.die</v>
      </c>
      <c r="H9" s="45" t="str">
        <f>Settings!$B$3&amp;".mit.eco2."&amp;$C$5&amp;"."&amp;$B9&amp;".e."&amp;$J$5</f>
        <v>egy.mit.eco2.irn.die.e.1</v>
      </c>
      <c r="I9" t="s">
        <v>1972</v>
      </c>
      <c r="L9" s="115">
        <f>Mitigation_Industry!L$57*INDEX(Data_EF!$G:$G,MATCH($G9,Data_EF!$A:$A,0))/1000000</f>
        <v>0</v>
      </c>
      <c r="M9" s="19">
        <f>Mitigation_Industry!M$57*INDEX(Data_EF!$G:$G,MATCH($G9,Data_EF!$A:$A,0))/1000000</f>
        <v>0</v>
      </c>
      <c r="N9" s="19">
        <f>Mitigation_Industry!N$57*INDEX(Data_EF!$G:$G,MATCH($G9,Data_EF!$A:$A,0))/1000000</f>
        <v>0</v>
      </c>
      <c r="O9" s="19">
        <f>Mitigation_Industry!O$57*INDEX(Data_EF!$G:$G,MATCH($G9,Data_EF!$A:$A,0))/1000000</f>
        <v>0</v>
      </c>
      <c r="P9" s="19">
        <f>Mitigation_Industry!P$57*INDEX(Data_EF!$G:$G,MATCH($G9,Data_EF!$A:$A,0))/1000000</f>
        <v>0</v>
      </c>
      <c r="Q9" s="19">
        <f>Mitigation_Industry!Q$57*INDEX(Data_EF!$G:$G,MATCH($G9,Data_EF!$A:$A,0))/1000000</f>
        <v>0</v>
      </c>
      <c r="R9" s="19">
        <f>Mitigation_Industry!R$57*INDEX(Data_EF!$G:$G,MATCH($G9,Data_EF!$A:$A,0))/1000000</f>
        <v>0</v>
      </c>
      <c r="S9" s="19">
        <f>Mitigation_Industry!S$57*INDEX(Data_EF!$G:$G,MATCH($G9,Data_EF!$A:$A,0))/1000000</f>
        <v>0</v>
      </c>
      <c r="T9" s="19">
        <f>Mitigation_Industry!T$57*INDEX(Data_EF!$G:$G,MATCH($G9,Data_EF!$A:$A,0))/1000000</f>
        <v>0</v>
      </c>
      <c r="U9" s="19">
        <f>Mitigation_Industry!U$57*INDEX(Data_EF!$G:$G,MATCH($G9,Data_EF!$A:$A,0))/1000000</f>
        <v>0</v>
      </c>
      <c r="V9" s="19">
        <f>Mitigation_Industry!V$57*INDEX(Data_EF!$G:$G,MATCH($G9,Data_EF!$A:$A,0))/1000000</f>
        <v>0</v>
      </c>
      <c r="W9" s="19">
        <f>Mitigation_Industry!W$57*INDEX(Data_EF!$G:$G,MATCH($G9,Data_EF!$A:$A,0))/1000000</f>
        <v>0</v>
      </c>
      <c r="X9" s="19">
        <f>Mitigation_Industry!X$57*INDEX(Data_EF!$G:$G,MATCH($G9,Data_EF!$A:$A,0))/1000000</f>
        <v>0</v>
      </c>
      <c r="Y9" s="19">
        <f>Mitigation_Industry!Y$57*INDEX(Data_EF!$G:$G,MATCH($G9,Data_EF!$A:$A,0))/1000000</f>
        <v>0</v>
      </c>
      <c r="Z9" s="19">
        <f>Mitigation_Industry!Z$57*INDEX(Data_EF!$G:$G,MATCH($G9,Data_EF!$A:$A,0))/1000000</f>
        <v>0</v>
      </c>
      <c r="AA9" s="19">
        <f>Mitigation_Industry!AA$57*INDEX(Data_EF!$G:$G,MATCH($G9,Data_EF!$A:$A,0))/1000000</f>
        <v>0</v>
      </c>
      <c r="AB9" s="19">
        <f>Mitigation_Industry!AB$57*INDEX(Data_EF!$G:$G,MATCH($G9,Data_EF!$A:$A,0))/1000000</f>
        <v>0</v>
      </c>
      <c r="AC9" s="19">
        <f>Mitigation_Industry!AC$57*INDEX(Data_EF!$G:$G,MATCH($G9,Data_EF!$A:$A,0))/1000000</f>
        <v>0</v>
      </c>
      <c r="AD9" s="19">
        <f>Mitigation_Industry!AD$57*INDEX(Data_EF!$G:$G,MATCH($G9,Data_EF!$A:$A,0))/1000000</f>
        <v>0</v>
      </c>
      <c r="AE9" s="19">
        <f>Mitigation_Industry!AE$57*INDEX(Data_EF!$G:$G,MATCH($G9,Data_EF!$A:$A,0))/1000000</f>
        <v>0</v>
      </c>
    </row>
    <row r="10" spans="1:35" customFormat="1" ht="14.25" x14ac:dyDescent="0.45">
      <c r="B10" s="14" t="s">
        <v>60</v>
      </c>
      <c r="C10" s="14" t="str">
        <f t="shared" si="0"/>
        <v>irn</v>
      </c>
      <c r="D10" s="15" t="s">
        <v>61</v>
      </c>
      <c r="E10" s="16" t="s">
        <v>1967</v>
      </c>
      <c r="F10" s="14" t="s">
        <v>1968</v>
      </c>
      <c r="G10" s="114" t="str">
        <f>Settings!$B$3&amp;".mit.efc."&amp;$B10</f>
        <v>egy.mit.efc.lpg</v>
      </c>
      <c r="H10" s="45" t="str">
        <f>Settings!$B$3&amp;".mit.eco2."&amp;$C$5&amp;"."&amp;$B10&amp;".e."&amp;$J$5</f>
        <v>egy.mit.eco2.irn.lpg.e.1</v>
      </c>
      <c r="I10" t="s">
        <v>1973</v>
      </c>
      <c r="L10" s="115">
        <f>Mitigation_Industry!L$58*INDEX(Data_EF!$G:$G,MATCH($G10,Data_EF!$A:$A,0))/1000000</f>
        <v>0</v>
      </c>
      <c r="M10" s="19">
        <f>Mitigation_Industry!M$58*INDEX(Data_EF!$G:$G,MATCH($G10,Data_EF!$A:$A,0))/1000000</f>
        <v>0</v>
      </c>
      <c r="N10" s="19">
        <f>Mitigation_Industry!N$58*INDEX(Data_EF!$G:$G,MATCH($G10,Data_EF!$A:$A,0))/1000000</f>
        <v>0</v>
      </c>
      <c r="O10" s="19">
        <f>Mitigation_Industry!O$58*INDEX(Data_EF!$G:$G,MATCH($G10,Data_EF!$A:$A,0))/1000000</f>
        <v>0</v>
      </c>
      <c r="P10" s="19">
        <f>Mitigation_Industry!P$58*INDEX(Data_EF!$G:$G,MATCH($G10,Data_EF!$A:$A,0))/1000000</f>
        <v>0</v>
      </c>
      <c r="Q10" s="19">
        <f>Mitigation_Industry!Q$58*INDEX(Data_EF!$G:$G,MATCH($G10,Data_EF!$A:$A,0))/1000000</f>
        <v>0</v>
      </c>
      <c r="R10" s="19">
        <f>Mitigation_Industry!R$58*INDEX(Data_EF!$G:$G,MATCH($G10,Data_EF!$A:$A,0))/1000000</f>
        <v>0</v>
      </c>
      <c r="S10" s="19">
        <f>Mitigation_Industry!S$58*INDEX(Data_EF!$G:$G,MATCH($G10,Data_EF!$A:$A,0))/1000000</f>
        <v>0</v>
      </c>
      <c r="T10" s="19">
        <f>Mitigation_Industry!T$58*INDEX(Data_EF!$G:$G,MATCH($G10,Data_EF!$A:$A,0))/1000000</f>
        <v>0</v>
      </c>
      <c r="U10" s="19">
        <f>Mitigation_Industry!U$58*INDEX(Data_EF!$G:$G,MATCH($G10,Data_EF!$A:$A,0))/1000000</f>
        <v>0</v>
      </c>
      <c r="V10" s="19">
        <f>Mitigation_Industry!V$58*INDEX(Data_EF!$G:$G,MATCH($G10,Data_EF!$A:$A,0))/1000000</f>
        <v>0</v>
      </c>
      <c r="W10" s="19">
        <f>Mitigation_Industry!W$58*INDEX(Data_EF!$G:$G,MATCH($G10,Data_EF!$A:$A,0))/1000000</f>
        <v>0</v>
      </c>
      <c r="X10" s="19">
        <f>Mitigation_Industry!X$58*INDEX(Data_EF!$G:$G,MATCH($G10,Data_EF!$A:$A,0))/1000000</f>
        <v>0</v>
      </c>
      <c r="Y10" s="19">
        <f>Mitigation_Industry!Y$58*INDEX(Data_EF!$G:$G,MATCH($G10,Data_EF!$A:$A,0))/1000000</f>
        <v>0</v>
      </c>
      <c r="Z10" s="19">
        <f>Mitigation_Industry!Z$58*INDEX(Data_EF!$G:$G,MATCH($G10,Data_EF!$A:$A,0))/1000000</f>
        <v>0</v>
      </c>
      <c r="AA10" s="19">
        <f>Mitigation_Industry!AA$58*INDEX(Data_EF!$G:$G,MATCH($G10,Data_EF!$A:$A,0))/1000000</f>
        <v>0</v>
      </c>
      <c r="AB10" s="19">
        <f>Mitigation_Industry!AB$58*INDEX(Data_EF!$G:$G,MATCH($G10,Data_EF!$A:$A,0))/1000000</f>
        <v>0</v>
      </c>
      <c r="AC10" s="19">
        <f>Mitigation_Industry!AC$58*INDEX(Data_EF!$G:$G,MATCH($G10,Data_EF!$A:$A,0))/1000000</f>
        <v>0</v>
      </c>
      <c r="AD10" s="19">
        <f>Mitigation_Industry!AD$58*INDEX(Data_EF!$G:$G,MATCH($G10,Data_EF!$A:$A,0))/1000000</f>
        <v>0</v>
      </c>
      <c r="AE10" s="19">
        <f>Mitigation_Industry!AE$58*INDEX(Data_EF!$G:$G,MATCH($G10,Data_EF!$A:$A,0))/1000000</f>
        <v>0</v>
      </c>
    </row>
    <row r="11" spans="1:35" customFormat="1" ht="14.25" x14ac:dyDescent="0.45">
      <c r="B11" s="14" t="s">
        <v>62</v>
      </c>
      <c r="C11" s="14" t="str">
        <f t="shared" si="0"/>
        <v>irn</v>
      </c>
      <c r="D11" s="15" t="s">
        <v>63</v>
      </c>
      <c r="E11" s="16" t="s">
        <v>1967</v>
      </c>
      <c r="F11" s="14" t="s">
        <v>1968</v>
      </c>
      <c r="G11" s="114" t="str">
        <f>Settings!$B$3&amp;".mit.efc."&amp;$B11</f>
        <v>egy.mit.efc.ker</v>
      </c>
      <c r="H11" s="45" t="str">
        <f>Settings!$B$3&amp;".mit.eco2."&amp;$C$5&amp;"."&amp;$B11&amp;".e."&amp;$J$5</f>
        <v>egy.mit.eco2.irn.ker.e.1</v>
      </c>
      <c r="I11" t="s">
        <v>1974</v>
      </c>
      <c r="L11" s="115">
        <f>Mitigation_Industry!L$59*INDEX(Data_EF!$G:$G,MATCH($G11,Data_EF!$A:$A,0))/1000000</f>
        <v>0</v>
      </c>
      <c r="M11" s="19">
        <f>Mitigation_Industry!M$59*INDEX(Data_EF!$G:$G,MATCH($G11,Data_EF!$A:$A,0))/1000000</f>
        <v>0</v>
      </c>
      <c r="N11" s="19">
        <f>Mitigation_Industry!N$59*INDEX(Data_EF!$G:$G,MATCH($G11,Data_EF!$A:$A,0))/1000000</f>
        <v>0</v>
      </c>
      <c r="O11" s="19">
        <f>Mitigation_Industry!O$59*INDEX(Data_EF!$G:$G,MATCH($G11,Data_EF!$A:$A,0))/1000000</f>
        <v>0</v>
      </c>
      <c r="P11" s="19">
        <f>Mitigation_Industry!P$59*INDEX(Data_EF!$G:$G,MATCH($G11,Data_EF!$A:$A,0))/1000000</f>
        <v>0</v>
      </c>
      <c r="Q11" s="19">
        <f>Mitigation_Industry!Q$59*INDEX(Data_EF!$G:$G,MATCH($G11,Data_EF!$A:$A,0))/1000000</f>
        <v>0</v>
      </c>
      <c r="R11" s="19">
        <f>Mitigation_Industry!R$59*INDEX(Data_EF!$G:$G,MATCH($G11,Data_EF!$A:$A,0))/1000000</f>
        <v>0</v>
      </c>
      <c r="S11" s="19">
        <f>Mitigation_Industry!S$59*INDEX(Data_EF!$G:$G,MATCH($G11,Data_EF!$A:$A,0))/1000000</f>
        <v>0</v>
      </c>
      <c r="T11" s="19">
        <f>Mitigation_Industry!T$59*INDEX(Data_EF!$G:$G,MATCH($G11,Data_EF!$A:$A,0))/1000000</f>
        <v>0</v>
      </c>
      <c r="U11" s="19">
        <f>Mitigation_Industry!U$59*INDEX(Data_EF!$G:$G,MATCH($G11,Data_EF!$A:$A,0))/1000000</f>
        <v>0</v>
      </c>
      <c r="V11" s="19">
        <f>Mitigation_Industry!V$59*INDEX(Data_EF!$G:$G,MATCH($G11,Data_EF!$A:$A,0))/1000000</f>
        <v>0</v>
      </c>
      <c r="W11" s="19">
        <f>Mitigation_Industry!W$59*INDEX(Data_EF!$G:$G,MATCH($G11,Data_EF!$A:$A,0))/1000000</f>
        <v>0</v>
      </c>
      <c r="X11" s="19">
        <f>Mitigation_Industry!X$59*INDEX(Data_EF!$G:$G,MATCH($G11,Data_EF!$A:$A,0))/1000000</f>
        <v>0</v>
      </c>
      <c r="Y11" s="19">
        <f>Mitigation_Industry!Y$59*INDEX(Data_EF!$G:$G,MATCH($G11,Data_EF!$A:$A,0))/1000000</f>
        <v>0</v>
      </c>
      <c r="Z11" s="19">
        <f>Mitigation_Industry!Z$59*INDEX(Data_EF!$G:$G,MATCH($G11,Data_EF!$A:$A,0))/1000000</f>
        <v>0</v>
      </c>
      <c r="AA11" s="19">
        <f>Mitigation_Industry!AA$59*INDEX(Data_EF!$G:$G,MATCH($G11,Data_EF!$A:$A,0))/1000000</f>
        <v>0</v>
      </c>
      <c r="AB11" s="19">
        <f>Mitigation_Industry!AB$59*INDEX(Data_EF!$G:$G,MATCH($G11,Data_EF!$A:$A,0))/1000000</f>
        <v>0</v>
      </c>
      <c r="AC11" s="19">
        <f>Mitigation_Industry!AC$59*INDEX(Data_EF!$G:$G,MATCH($G11,Data_EF!$A:$A,0))/1000000</f>
        <v>0</v>
      </c>
      <c r="AD11" s="19">
        <f>Mitigation_Industry!AD$59*INDEX(Data_EF!$G:$G,MATCH($G11,Data_EF!$A:$A,0))/1000000</f>
        <v>0</v>
      </c>
      <c r="AE11" s="19">
        <f>Mitigation_Industry!AE$59*INDEX(Data_EF!$G:$G,MATCH($G11,Data_EF!$A:$A,0))/1000000</f>
        <v>0</v>
      </c>
    </row>
    <row r="12" spans="1:35" customFormat="1" ht="14.25" x14ac:dyDescent="0.45">
      <c r="B12" s="14" t="s">
        <v>64</v>
      </c>
      <c r="C12" s="14" t="str">
        <f t="shared" si="0"/>
        <v>irn</v>
      </c>
      <c r="D12" s="15" t="s">
        <v>65</v>
      </c>
      <c r="E12" s="16" t="s">
        <v>1967</v>
      </c>
      <c r="F12" s="14" t="s">
        <v>1968</v>
      </c>
      <c r="G12" s="114" t="str">
        <f>Settings!$B$3&amp;".mit.efc."&amp;$B12</f>
        <v>egy.mit.efc.oop</v>
      </c>
      <c r="H12" s="45" t="str">
        <f>Settings!$B$3&amp;".mit.eco2."&amp;$C$5&amp;"."&amp;$B12&amp;".e."&amp;$J$5</f>
        <v>egy.mit.eco2.irn.oop.e.1</v>
      </c>
      <c r="I12" t="s">
        <v>1975</v>
      </c>
      <c r="L12" s="115">
        <f>Mitigation_Industry!L$60*INDEX(Data_EF!$G:$G,MATCH($G12,Data_EF!$A:$A,0))/1000000</f>
        <v>0</v>
      </c>
      <c r="M12" s="19">
        <f>Mitigation_Industry!M$60*INDEX(Data_EF!$G:$G,MATCH($G12,Data_EF!$A:$A,0))/1000000</f>
        <v>0</v>
      </c>
      <c r="N12" s="19">
        <f>Mitigation_Industry!N$60*INDEX(Data_EF!$G:$G,MATCH($G12,Data_EF!$A:$A,0))/1000000</f>
        <v>0</v>
      </c>
      <c r="O12" s="19">
        <f>Mitigation_Industry!O$60*INDEX(Data_EF!$G:$G,MATCH($G12,Data_EF!$A:$A,0))/1000000</f>
        <v>0</v>
      </c>
      <c r="P12" s="19">
        <f>Mitigation_Industry!P$60*INDEX(Data_EF!$G:$G,MATCH($G12,Data_EF!$A:$A,0))/1000000</f>
        <v>0</v>
      </c>
      <c r="Q12" s="19">
        <f>Mitigation_Industry!Q$60*INDEX(Data_EF!$G:$G,MATCH($G12,Data_EF!$A:$A,0))/1000000</f>
        <v>0</v>
      </c>
      <c r="R12" s="19">
        <f>Mitigation_Industry!R$60*INDEX(Data_EF!$G:$G,MATCH($G12,Data_EF!$A:$A,0))/1000000</f>
        <v>0</v>
      </c>
      <c r="S12" s="19">
        <f>Mitigation_Industry!S$60*INDEX(Data_EF!$G:$G,MATCH($G12,Data_EF!$A:$A,0))/1000000</f>
        <v>0</v>
      </c>
      <c r="T12" s="19">
        <f>Mitigation_Industry!T$60*INDEX(Data_EF!$G:$G,MATCH($G12,Data_EF!$A:$A,0))/1000000</f>
        <v>0</v>
      </c>
      <c r="U12" s="19">
        <f>Mitigation_Industry!U$60*INDEX(Data_EF!$G:$G,MATCH($G12,Data_EF!$A:$A,0))/1000000</f>
        <v>0</v>
      </c>
      <c r="V12" s="19">
        <f>Mitigation_Industry!V$60*INDEX(Data_EF!$G:$G,MATCH($G12,Data_EF!$A:$A,0))/1000000</f>
        <v>0</v>
      </c>
      <c r="W12" s="19">
        <f>Mitigation_Industry!W$60*INDEX(Data_EF!$G:$G,MATCH($G12,Data_EF!$A:$A,0))/1000000</f>
        <v>0</v>
      </c>
      <c r="X12" s="19">
        <f>Mitigation_Industry!X$60*INDEX(Data_EF!$G:$G,MATCH($G12,Data_EF!$A:$A,0))/1000000</f>
        <v>0</v>
      </c>
      <c r="Y12" s="19">
        <f>Mitigation_Industry!Y$60*INDEX(Data_EF!$G:$G,MATCH($G12,Data_EF!$A:$A,0))/1000000</f>
        <v>0</v>
      </c>
      <c r="Z12" s="19">
        <f>Mitigation_Industry!Z$60*INDEX(Data_EF!$G:$G,MATCH($G12,Data_EF!$A:$A,0))/1000000</f>
        <v>0</v>
      </c>
      <c r="AA12" s="19">
        <f>Mitigation_Industry!AA$60*INDEX(Data_EF!$G:$G,MATCH($G12,Data_EF!$A:$A,0))/1000000</f>
        <v>0</v>
      </c>
      <c r="AB12" s="19">
        <f>Mitigation_Industry!AB$60*INDEX(Data_EF!$G:$G,MATCH($G12,Data_EF!$A:$A,0))/1000000</f>
        <v>0</v>
      </c>
      <c r="AC12" s="19">
        <f>Mitigation_Industry!AC$60*INDEX(Data_EF!$G:$G,MATCH($G12,Data_EF!$A:$A,0))/1000000</f>
        <v>0</v>
      </c>
      <c r="AD12" s="19">
        <f>Mitigation_Industry!AD$60*INDEX(Data_EF!$G:$G,MATCH($G12,Data_EF!$A:$A,0))/1000000</f>
        <v>0</v>
      </c>
      <c r="AE12" s="19">
        <f>Mitigation_Industry!AE$60*INDEX(Data_EF!$G:$G,MATCH($G12,Data_EF!$A:$A,0))/1000000</f>
        <v>0</v>
      </c>
    </row>
    <row r="13" spans="1:35" customFormat="1" ht="14.25" x14ac:dyDescent="0.45">
      <c r="B13" s="14" t="s">
        <v>67</v>
      </c>
      <c r="C13" s="14" t="str">
        <f t="shared" si="0"/>
        <v>irn</v>
      </c>
      <c r="D13" s="15" t="s">
        <v>68</v>
      </c>
      <c r="E13" s="16" t="s">
        <v>1967</v>
      </c>
      <c r="F13" s="14" t="s">
        <v>1968</v>
      </c>
      <c r="G13" s="114" t="str">
        <f>Settings!$B$3&amp;".mit.efc."&amp;$B13</f>
        <v>egy.mit.efc.bio</v>
      </c>
      <c r="H13" s="45" t="str">
        <f>Settings!$B$3&amp;".mit.eco2."&amp;$C$5&amp;"."&amp;$B13&amp;".e."&amp;$J$5</f>
        <v>egy.mit.eco2.irn.bio.e.1</v>
      </c>
      <c r="I13" t="s">
        <v>1976</v>
      </c>
      <c r="L13" s="115">
        <f>Mitigation_Industry!L$61*INDEX(Data_EF!$G:$G,MATCH($G13,Data_EF!$A:$A,0))/1000000</f>
        <v>0</v>
      </c>
      <c r="M13" s="19">
        <f>Mitigation_Industry!M$61*INDEX(Data_EF!$G:$G,MATCH($G13,Data_EF!$A:$A,0))/1000000</f>
        <v>0</v>
      </c>
      <c r="N13" s="19">
        <f>Mitigation_Industry!N$61*INDEX(Data_EF!$G:$G,MATCH($G13,Data_EF!$A:$A,0))/1000000</f>
        <v>0</v>
      </c>
      <c r="O13" s="19">
        <f>Mitigation_Industry!O$61*INDEX(Data_EF!$G:$G,MATCH($G13,Data_EF!$A:$A,0))/1000000</f>
        <v>0</v>
      </c>
      <c r="P13" s="19">
        <f>Mitigation_Industry!P$61*INDEX(Data_EF!$G:$G,MATCH($G13,Data_EF!$A:$A,0))/1000000</f>
        <v>0</v>
      </c>
      <c r="Q13" s="19">
        <f>Mitigation_Industry!Q$61*INDEX(Data_EF!$G:$G,MATCH($G13,Data_EF!$A:$A,0))/1000000</f>
        <v>0</v>
      </c>
      <c r="R13" s="19">
        <f>Mitigation_Industry!R$61*INDEX(Data_EF!$G:$G,MATCH($G13,Data_EF!$A:$A,0))/1000000</f>
        <v>0</v>
      </c>
      <c r="S13" s="19">
        <f>Mitigation_Industry!S$61*INDEX(Data_EF!$G:$G,MATCH($G13,Data_EF!$A:$A,0))/1000000</f>
        <v>0</v>
      </c>
      <c r="T13" s="19">
        <f>Mitigation_Industry!T$61*INDEX(Data_EF!$G:$G,MATCH($G13,Data_EF!$A:$A,0))/1000000</f>
        <v>0</v>
      </c>
      <c r="U13" s="19">
        <f>Mitigation_Industry!U$61*INDEX(Data_EF!$G:$G,MATCH($G13,Data_EF!$A:$A,0))/1000000</f>
        <v>0</v>
      </c>
      <c r="V13" s="19">
        <f>Mitigation_Industry!V$61*INDEX(Data_EF!$G:$G,MATCH($G13,Data_EF!$A:$A,0))/1000000</f>
        <v>0</v>
      </c>
      <c r="W13" s="19">
        <f>Mitigation_Industry!W$61*INDEX(Data_EF!$G:$G,MATCH($G13,Data_EF!$A:$A,0))/1000000</f>
        <v>0</v>
      </c>
      <c r="X13" s="19">
        <f>Mitigation_Industry!X$61*INDEX(Data_EF!$G:$G,MATCH($G13,Data_EF!$A:$A,0))/1000000</f>
        <v>0</v>
      </c>
      <c r="Y13" s="19">
        <f>Mitigation_Industry!Y$61*INDEX(Data_EF!$G:$G,MATCH($G13,Data_EF!$A:$A,0))/1000000</f>
        <v>0</v>
      </c>
      <c r="Z13" s="19">
        <f>Mitigation_Industry!Z$61*INDEX(Data_EF!$G:$G,MATCH($G13,Data_EF!$A:$A,0))/1000000</f>
        <v>0</v>
      </c>
      <c r="AA13" s="19">
        <f>Mitigation_Industry!AA$61*INDEX(Data_EF!$G:$G,MATCH($G13,Data_EF!$A:$A,0))/1000000</f>
        <v>0</v>
      </c>
      <c r="AB13" s="19">
        <f>Mitigation_Industry!AB$61*INDEX(Data_EF!$G:$G,MATCH($G13,Data_EF!$A:$A,0))/1000000</f>
        <v>0</v>
      </c>
      <c r="AC13" s="19">
        <f>Mitigation_Industry!AC$61*INDEX(Data_EF!$G:$G,MATCH($G13,Data_EF!$A:$A,0))/1000000</f>
        <v>0</v>
      </c>
      <c r="AD13" s="19">
        <f>Mitigation_Industry!AD$61*INDEX(Data_EF!$G:$G,MATCH($G13,Data_EF!$A:$A,0))/1000000</f>
        <v>0</v>
      </c>
      <c r="AE13" s="19">
        <f>Mitigation_Industry!AE$61*INDEX(Data_EF!$G:$G,MATCH($G13,Data_EF!$A:$A,0))/1000000</f>
        <v>0</v>
      </c>
    </row>
    <row r="14" spans="1:35" customFormat="1" ht="14.25" x14ac:dyDescent="0.45">
      <c r="B14" s="14" t="s">
        <v>69</v>
      </c>
      <c r="C14" s="14" t="str">
        <f t="shared" si="0"/>
        <v>irn</v>
      </c>
      <c r="D14" s="15" t="s">
        <v>70</v>
      </c>
      <c r="E14" s="16" t="s">
        <v>1967</v>
      </c>
      <c r="F14" s="14" t="s">
        <v>1968</v>
      </c>
      <c r="G14" s="114" t="str">
        <f>Settings!$B$3&amp;".mit.efc."&amp;$B14</f>
        <v>egy.mit.efc.ren</v>
      </c>
      <c r="H14" s="45" t="str">
        <f>Settings!$B$3&amp;".mit.eco2."&amp;$C$5&amp;"."&amp;$B14&amp;".e."&amp;$J$5</f>
        <v>egy.mit.eco2.irn.ren.e.1</v>
      </c>
      <c r="I14" t="s">
        <v>1977</v>
      </c>
      <c r="L14" s="115">
        <f>Mitigation_Industry!L$62*INDEX(Data_EF!$G:$G,MATCH($G14,Data_EF!$A:$A,0))/1000000</f>
        <v>0</v>
      </c>
      <c r="M14" s="19">
        <f>Mitigation_Industry!M$62*INDEX(Data_EF!$G:$G,MATCH($G14,Data_EF!$A:$A,0))/1000000</f>
        <v>0</v>
      </c>
      <c r="N14" s="19">
        <f>Mitigation_Industry!N$62*INDEX(Data_EF!$G:$G,MATCH($G14,Data_EF!$A:$A,0))/1000000</f>
        <v>0</v>
      </c>
      <c r="O14" s="19">
        <f>Mitigation_Industry!O$62*INDEX(Data_EF!$G:$G,MATCH($G14,Data_EF!$A:$A,0))/1000000</f>
        <v>0</v>
      </c>
      <c r="P14" s="19">
        <f>Mitigation_Industry!P$62*INDEX(Data_EF!$G:$G,MATCH($G14,Data_EF!$A:$A,0))/1000000</f>
        <v>0</v>
      </c>
      <c r="Q14" s="19">
        <f>Mitigation_Industry!Q$62*INDEX(Data_EF!$G:$G,MATCH($G14,Data_EF!$A:$A,0))/1000000</f>
        <v>0</v>
      </c>
      <c r="R14" s="19">
        <f>Mitigation_Industry!R$62*INDEX(Data_EF!$G:$G,MATCH($G14,Data_EF!$A:$A,0))/1000000</f>
        <v>0</v>
      </c>
      <c r="S14" s="19">
        <f>Mitigation_Industry!S$62*INDEX(Data_EF!$G:$G,MATCH($G14,Data_EF!$A:$A,0))/1000000</f>
        <v>0</v>
      </c>
      <c r="T14" s="19">
        <f>Mitigation_Industry!T$62*INDEX(Data_EF!$G:$G,MATCH($G14,Data_EF!$A:$A,0))/1000000</f>
        <v>0</v>
      </c>
      <c r="U14" s="19">
        <f>Mitigation_Industry!U$62*INDEX(Data_EF!$G:$G,MATCH($G14,Data_EF!$A:$A,0))/1000000</f>
        <v>0</v>
      </c>
      <c r="V14" s="19">
        <f>Mitigation_Industry!V$62*INDEX(Data_EF!$G:$G,MATCH($G14,Data_EF!$A:$A,0))/1000000</f>
        <v>0</v>
      </c>
      <c r="W14" s="19">
        <f>Mitigation_Industry!W$62*INDEX(Data_EF!$G:$G,MATCH($G14,Data_EF!$A:$A,0))/1000000</f>
        <v>0</v>
      </c>
      <c r="X14" s="19">
        <f>Mitigation_Industry!X$62*INDEX(Data_EF!$G:$G,MATCH($G14,Data_EF!$A:$A,0))/1000000</f>
        <v>0</v>
      </c>
      <c r="Y14" s="19">
        <f>Mitigation_Industry!Y$62*INDEX(Data_EF!$G:$G,MATCH($G14,Data_EF!$A:$A,0))/1000000</f>
        <v>0</v>
      </c>
      <c r="Z14" s="19">
        <f>Mitigation_Industry!Z$62*INDEX(Data_EF!$G:$G,MATCH($G14,Data_EF!$A:$A,0))/1000000</f>
        <v>0</v>
      </c>
      <c r="AA14" s="19">
        <f>Mitigation_Industry!AA$62*INDEX(Data_EF!$G:$G,MATCH($G14,Data_EF!$A:$A,0))/1000000</f>
        <v>0</v>
      </c>
      <c r="AB14" s="19">
        <f>Mitigation_Industry!AB$62*INDEX(Data_EF!$G:$G,MATCH($G14,Data_EF!$A:$A,0))/1000000</f>
        <v>0</v>
      </c>
      <c r="AC14" s="19">
        <f>Mitigation_Industry!AC$62*INDEX(Data_EF!$G:$G,MATCH($G14,Data_EF!$A:$A,0))/1000000</f>
        <v>0</v>
      </c>
      <c r="AD14" s="19">
        <f>Mitigation_Industry!AD$62*INDEX(Data_EF!$G:$G,MATCH($G14,Data_EF!$A:$A,0))/1000000</f>
        <v>0</v>
      </c>
      <c r="AE14" s="19">
        <f>Mitigation_Industry!AE$62*INDEX(Data_EF!$G:$G,MATCH($G14,Data_EF!$A:$A,0))/1000000</f>
        <v>0</v>
      </c>
    </row>
    <row r="15" spans="1:35" customFormat="1" ht="14.25" x14ac:dyDescent="0.45">
      <c r="B15" s="14" t="s">
        <v>110</v>
      </c>
      <c r="C15" s="14" t="str">
        <f t="shared" si="0"/>
        <v>irn</v>
      </c>
      <c r="D15" s="25" t="s">
        <v>111</v>
      </c>
      <c r="E15" s="16" t="s">
        <v>1967</v>
      </c>
      <c r="F15" s="14" t="s">
        <v>1968</v>
      </c>
      <c r="H15" s="45" t="str">
        <f>Settings!$B$3&amp;".mit.eco2."&amp;$C$5&amp;".tot.e."&amp;$J$5</f>
        <v>egy.mit.eco2.irn.tot.e.1</v>
      </c>
      <c r="L15" s="116">
        <f t="shared" ref="L15:AE15" si="1">SUM(L6:L14)</f>
        <v>4.5303835184019645</v>
      </c>
      <c r="M15" s="116">
        <f t="shared" si="1"/>
        <v>3.8469033618625206</v>
      </c>
      <c r="N15" s="116">
        <f t="shared" si="1"/>
        <v>4.3290746208215198</v>
      </c>
      <c r="O15" s="116">
        <f t="shared" si="1"/>
        <v>4.5451606543512009</v>
      </c>
      <c r="P15" s="116">
        <f t="shared" si="1"/>
        <v>4.6606527233890995</v>
      </c>
      <c r="Q15" s="116">
        <f t="shared" si="1"/>
        <v>4.8330795942744347</v>
      </c>
      <c r="R15" s="116">
        <f t="shared" si="1"/>
        <v>5.0529306123252606</v>
      </c>
      <c r="S15" s="116">
        <f t="shared" si="1"/>
        <v>5.2667916999615381</v>
      </c>
      <c r="T15" s="116">
        <f t="shared" si="1"/>
        <v>5.4699790897750464</v>
      </c>
      <c r="U15" s="116">
        <f t="shared" si="1"/>
        <v>5.6771103604276671</v>
      </c>
      <c r="V15" s="116">
        <f t="shared" si="1"/>
        <v>5.8842858461533165</v>
      </c>
      <c r="W15" s="116">
        <f t="shared" si="1"/>
        <v>6.0960674143926461</v>
      </c>
      <c r="X15" s="116">
        <f t="shared" si="1"/>
        <v>6.3124466882788575</v>
      </c>
      <c r="Y15" s="116">
        <f t="shared" si="1"/>
        <v>6.5334118787127196</v>
      </c>
      <c r="Z15" s="116">
        <f t="shared" si="1"/>
        <v>6.7589477212745512</v>
      </c>
      <c r="AA15" s="116">
        <f t="shared" si="1"/>
        <v>6.9890354050403589</v>
      </c>
      <c r="AB15" s="116">
        <f t="shared" si="1"/>
        <v>7.2236524927720804</v>
      </c>
      <c r="AC15" s="116">
        <f t="shared" si="1"/>
        <v>7.4627728319721847</v>
      </c>
      <c r="AD15" s="116">
        <f t="shared" si="1"/>
        <v>7.7063664563130869</v>
      </c>
      <c r="AE15" s="116">
        <f t="shared" si="1"/>
        <v>7.9543994769708668</v>
      </c>
    </row>
    <row r="17" spans="1:35" customFormat="1" ht="14.25" x14ac:dyDescent="0.45">
      <c r="A17" s="11"/>
      <c r="B17" s="6" t="s">
        <v>112</v>
      </c>
      <c r="C17" s="7" t="s">
        <v>113</v>
      </c>
      <c r="D17" s="6" t="s">
        <v>44</v>
      </c>
      <c r="E17" s="7" t="s">
        <v>35</v>
      </c>
      <c r="F17" s="7" t="s">
        <v>45</v>
      </c>
      <c r="G17" s="7" t="s">
        <v>1966</v>
      </c>
      <c r="H17" s="12" t="s">
        <v>38</v>
      </c>
      <c r="I17" s="6" t="s">
        <v>47</v>
      </c>
      <c r="J17" s="48">
        <v>1</v>
      </c>
      <c r="K17" s="6">
        <v>2021</v>
      </c>
      <c r="L17" s="46">
        <v>2022</v>
      </c>
      <c r="M17" s="6">
        <v>2023</v>
      </c>
      <c r="N17" s="6">
        <v>2024</v>
      </c>
      <c r="O17" s="6">
        <v>2025</v>
      </c>
      <c r="P17" s="6">
        <v>2026</v>
      </c>
      <c r="Q17" s="6">
        <v>2027</v>
      </c>
      <c r="R17" s="6">
        <v>2028</v>
      </c>
      <c r="S17" s="6">
        <v>2029</v>
      </c>
      <c r="T17" s="6">
        <v>2030</v>
      </c>
      <c r="U17" s="6">
        <v>2031</v>
      </c>
      <c r="V17" s="6">
        <v>2032</v>
      </c>
      <c r="W17" s="6">
        <v>2033</v>
      </c>
      <c r="X17" s="6">
        <v>2034</v>
      </c>
      <c r="Y17" s="6">
        <v>2035</v>
      </c>
      <c r="Z17" s="6">
        <v>2036</v>
      </c>
      <c r="AA17" s="6">
        <v>2037</v>
      </c>
      <c r="AB17" s="6">
        <v>2038</v>
      </c>
      <c r="AC17" s="6">
        <v>2039</v>
      </c>
      <c r="AD17" s="6">
        <v>2040</v>
      </c>
      <c r="AE17" s="6">
        <v>2041</v>
      </c>
      <c r="AF17" s="6">
        <v>2042</v>
      </c>
      <c r="AG17" s="6">
        <v>2043</v>
      </c>
      <c r="AH17" s="6">
        <v>2044</v>
      </c>
      <c r="AI17" s="6">
        <v>2045</v>
      </c>
    </row>
    <row r="18" spans="1:35" customFormat="1" ht="14.25" x14ac:dyDescent="0.45">
      <c r="B18" s="14" t="s">
        <v>49</v>
      </c>
      <c r="C18" s="14" t="str">
        <f t="shared" ref="C18:C27" si="2">$C$17</f>
        <v>cem</v>
      </c>
      <c r="D18" s="15" t="s">
        <v>50</v>
      </c>
      <c r="E18" s="16" t="s">
        <v>1967</v>
      </c>
      <c r="F18" s="14" t="s">
        <v>1968</v>
      </c>
      <c r="G18" s="114" t="str">
        <f>Settings!$B$3&amp;".mit.efc."&amp;$B18</f>
        <v>egy.mit.efc.coa</v>
      </c>
      <c r="H18" s="45" t="str">
        <f>Settings!$B$3&amp;".mit.eco2."&amp;$C$17&amp;"."&amp;$B18&amp;".e."&amp;$J$17</f>
        <v>egy.mit.eco2.cem.coa.e.1</v>
      </c>
      <c r="I18" t="s">
        <v>1978</v>
      </c>
      <c r="L18" s="115">
        <f>Mitigation_Industry!L$114*INDEX(Data_EF!$G:$G,MATCH($G18,Data_EF!$A:$A,0))/1000000</f>
        <v>5.6943750017529693</v>
      </c>
      <c r="M18" s="19">
        <f>Mitigation_Industry!M$114*INDEX(Data_EF!$G:$G,MATCH($G18,Data_EF!$A:$A,0))/1000000</f>
        <v>4.6369239864204763</v>
      </c>
      <c r="N18" s="19">
        <f>Mitigation_Industry!N$114*INDEX(Data_EF!$G:$G,MATCH($G18,Data_EF!$A:$A,0))/1000000</f>
        <v>5.3289940373086706</v>
      </c>
      <c r="O18" s="19">
        <f>Mitigation_Industry!O$114*INDEX(Data_EF!$G:$G,MATCH($G18,Data_EF!$A:$A,0))/1000000</f>
        <v>5.8226400268160949</v>
      </c>
      <c r="P18" s="19">
        <f>Mitigation_Industry!P$114*INDEX(Data_EF!$G:$G,MATCH($G18,Data_EF!$A:$A,0))/1000000</f>
        <v>5.694196680592964</v>
      </c>
      <c r="Q18" s="19">
        <f>Mitigation_Industry!Q$114*INDEX(Data_EF!$G:$G,MATCH($G18,Data_EF!$A:$A,0))/1000000</f>
        <v>5.7601057009142922</v>
      </c>
      <c r="R18" s="19">
        <f>Mitigation_Industry!R$114*INDEX(Data_EF!$G:$G,MATCH($G18,Data_EF!$A:$A,0))/1000000</f>
        <v>5.9194599508679602</v>
      </c>
      <c r="S18" s="19">
        <f>Mitigation_Industry!S$114*INDEX(Data_EF!$G:$G,MATCH($G18,Data_EF!$A:$A,0))/1000000</f>
        <v>6.0746324504320475</v>
      </c>
      <c r="T18" s="19">
        <f>Mitigation_Industry!T$114*INDEX(Data_EF!$G:$G,MATCH($G18,Data_EF!$A:$A,0))/1000000</f>
        <v>6.2232985797435489</v>
      </c>
      <c r="U18" s="19">
        <f>Mitigation_Industry!U$114*INDEX(Data_EF!$G:$G,MATCH($G18,Data_EF!$A:$A,0))/1000000</f>
        <v>6.3723191532628016</v>
      </c>
      <c r="V18" s="19">
        <f>Mitigation_Industry!V$114*INDEX(Data_EF!$G:$G,MATCH($G18,Data_EF!$A:$A,0))/1000000</f>
        <v>6.492960286993287</v>
      </c>
      <c r="W18" s="19">
        <f>Mitigation_Industry!W$114*INDEX(Data_EF!$G:$G,MATCH($G18,Data_EF!$A:$A,0))/1000000</f>
        <v>6.613905843853602</v>
      </c>
      <c r="X18" s="19">
        <f>Mitigation_Industry!X$114*INDEX(Data_EF!$G:$G,MATCH($G18,Data_EF!$A:$A,0))/1000000</f>
        <v>6.7351213505468737</v>
      </c>
      <c r="Y18" s="19">
        <f>Mitigation_Industry!Y$114*INDEX(Data_EF!$G:$G,MATCH($G18,Data_EF!$A:$A,0))/1000000</f>
        <v>6.8565726375814</v>
      </c>
      <c r="Z18" s="19">
        <f>Mitigation_Industry!Z$114*INDEX(Data_EF!$G:$G,MATCH($G18,Data_EF!$A:$A,0))/1000000</f>
        <v>6.9782258103334902</v>
      </c>
      <c r="AA18" s="19">
        <f>Mitigation_Industry!AA$114*INDEX(Data_EF!$G:$G,MATCH($G18,Data_EF!$A:$A,0))/1000000</f>
        <v>7.1000472170038744</v>
      </c>
      <c r="AB18" s="19">
        <f>Mitigation_Industry!AB$114*INDEX(Data_EF!$G:$G,MATCH($G18,Data_EF!$A:$A,0))/1000000</f>
        <v>7.2220034136272044</v>
      </c>
      <c r="AC18" s="19">
        <f>Mitigation_Industry!AC$114*INDEX(Data_EF!$G:$G,MATCH($G18,Data_EF!$A:$A,0))/1000000</f>
        <v>7.3440611262838669</v>
      </c>
      <c r="AD18" s="19">
        <f>Mitigation_Industry!AD$114*INDEX(Data_EF!$G:$G,MATCH($G18,Data_EF!$A:$A,0))/1000000</f>
        <v>7.4661872106532003</v>
      </c>
      <c r="AE18" s="19">
        <f>Mitigation_Industry!AE$114*INDEX(Data_EF!$G:$G,MATCH($G18,Data_EF!$A:$A,0))/1000000</f>
        <v>7.5883486090366583</v>
      </c>
    </row>
    <row r="19" spans="1:35" customFormat="1" ht="14.25" x14ac:dyDescent="0.45">
      <c r="B19" s="14" t="s">
        <v>53</v>
      </c>
      <c r="C19" s="14" t="str">
        <f t="shared" si="2"/>
        <v>cem</v>
      </c>
      <c r="D19" s="15" t="s">
        <v>54</v>
      </c>
      <c r="E19" s="16" t="s">
        <v>1967</v>
      </c>
      <c r="F19" s="14" t="s">
        <v>1968</v>
      </c>
      <c r="G19" s="114" t="str">
        <f>Settings!$B$3&amp;".mit.efc."&amp;$B19</f>
        <v>egy.mit.efc.nga</v>
      </c>
      <c r="H19" s="45" t="str">
        <f>Settings!$B$3&amp;".mit.eco2."&amp;$C$17&amp;"."&amp;$B19&amp;".e."&amp;$J$17</f>
        <v>egy.mit.eco2.cem.nga.e.1</v>
      </c>
      <c r="I19" t="s">
        <v>1979</v>
      </c>
      <c r="L19" s="115">
        <f>Mitigation_Industry!L$115*INDEX(Data_EF!$G:$G,MATCH($G19,Data_EF!$A:$A,0))/1000000</f>
        <v>3.7949824443793374</v>
      </c>
      <c r="M19" s="19">
        <f>Mitigation_Industry!M$115*INDEX(Data_EF!$G:$G,MATCH($G19,Data_EF!$A:$A,0))/1000000</f>
        <v>3.2554738817530007</v>
      </c>
      <c r="N19" s="19">
        <f>Mitigation_Industry!N$115*INDEX(Data_EF!$G:$G,MATCH($G19,Data_EF!$A:$A,0))/1000000</f>
        <v>3.645055860732914</v>
      </c>
      <c r="O19" s="19">
        <f>Mitigation_Industry!O$115*INDEX(Data_EF!$G:$G,MATCH($G19,Data_EF!$A:$A,0))/1000000</f>
        <v>3.7890989172597216</v>
      </c>
      <c r="P19" s="19">
        <f>Mitigation_Industry!P$115*INDEX(Data_EF!$G:$G,MATCH($G19,Data_EF!$A:$A,0))/1000000</f>
        <v>3.9313953380014977</v>
      </c>
      <c r="Q19" s="19">
        <f>Mitigation_Industry!Q$115*INDEX(Data_EF!$G:$G,MATCH($G19,Data_EF!$A:$A,0))/1000000</f>
        <v>4.1009419546431589</v>
      </c>
      <c r="R19" s="19">
        <f>Mitigation_Industry!R$115*INDEX(Data_EF!$G:$G,MATCH($G19,Data_EF!$A:$A,0))/1000000</f>
        <v>4.3045812714842988</v>
      </c>
      <c r="S19" s="19">
        <f>Mitigation_Industry!S$115*INDEX(Data_EF!$G:$G,MATCH($G19,Data_EF!$A:$A,0))/1000000</f>
        <v>4.5026457278565717</v>
      </c>
      <c r="T19" s="19">
        <f>Mitigation_Industry!T$115*INDEX(Data_EF!$G:$G,MATCH($G19,Data_EF!$A:$A,0))/1000000</f>
        <v>4.6906187447716201</v>
      </c>
      <c r="U19" s="19">
        <f>Mitigation_Industry!U$115*INDEX(Data_EF!$G:$G,MATCH($G19,Data_EF!$A:$A,0))/1000000</f>
        <v>4.8826617333372262</v>
      </c>
      <c r="V19" s="19">
        <f>Mitigation_Industry!V$115*INDEX(Data_EF!$G:$G,MATCH($G19,Data_EF!$A:$A,0))/1000000</f>
        <v>5.0794757641412973</v>
      </c>
      <c r="W19" s="19">
        <f>Mitigation_Industry!W$115*INDEX(Data_EF!$G:$G,MATCH($G19,Data_EF!$A:$A,0))/1000000</f>
        <v>5.2810613755300508</v>
      </c>
      <c r="X19" s="19">
        <f>Mitigation_Industry!X$115*INDEX(Data_EF!$G:$G,MATCH($G19,Data_EF!$A:$A,0))/1000000</f>
        <v>5.4874155367682969</v>
      </c>
      <c r="Y19" s="19">
        <f>Mitigation_Industry!Y$115*INDEX(Data_EF!$G:$G,MATCH($G19,Data_EF!$A:$A,0))/1000000</f>
        <v>5.6985315941610892</v>
      </c>
      <c r="Z19" s="19">
        <f>Mitigation_Industry!Z$115*INDEX(Data_EF!$G:$G,MATCH($G19,Data_EF!$A:$A,0))/1000000</f>
        <v>5.9143992098223839</v>
      </c>
      <c r="AA19" s="19">
        <f>Mitigation_Industry!AA$115*INDEX(Data_EF!$G:$G,MATCH($G19,Data_EF!$A:$A,0))/1000000</f>
        <v>6.1350042924850161</v>
      </c>
      <c r="AB19" s="19">
        <f>Mitigation_Industry!AB$115*INDEX(Data_EF!$G:$G,MATCH($G19,Data_EF!$A:$A,0))/1000000</f>
        <v>6.3603289197706081</v>
      </c>
      <c r="AC19" s="19">
        <f>Mitigation_Industry!AC$115*INDEX(Data_EF!$G:$G,MATCH($G19,Data_EF!$A:$A,0))/1000000</f>
        <v>6.5903512513607865</v>
      </c>
      <c r="AD19" s="19">
        <f>Mitigation_Industry!AD$115*INDEX(Data_EF!$G:$G,MATCH($G19,Data_EF!$A:$A,0))/1000000</f>
        <v>6.8250454325341288</v>
      </c>
      <c r="AE19" s="19">
        <f>Mitigation_Industry!AE$115*INDEX(Data_EF!$G:$G,MATCH($G19,Data_EF!$A:$A,0))/1000000</f>
        <v>7.0643814875547699</v>
      </c>
    </row>
    <row r="20" spans="1:35" customFormat="1" ht="14.25" x14ac:dyDescent="0.45">
      <c r="B20" s="14" t="s">
        <v>55</v>
      </c>
      <c r="C20" s="14" t="str">
        <f t="shared" si="2"/>
        <v>cem</v>
      </c>
      <c r="D20" s="15" t="s">
        <v>56</v>
      </c>
      <c r="E20" s="16" t="s">
        <v>1967</v>
      </c>
      <c r="F20" s="14" t="s">
        <v>1968</v>
      </c>
      <c r="G20" s="114" t="str">
        <f>Settings!$B$3&amp;".mit.efc."&amp;$B20</f>
        <v>egy.mit.efc.gso</v>
      </c>
      <c r="H20" s="45" t="str">
        <f>Settings!$B$3&amp;".mit.eco2."&amp;$C$17&amp;"."&amp;$B20&amp;".e."&amp;$J$17</f>
        <v>egy.mit.eco2.cem.gso.e.1</v>
      </c>
      <c r="I20" t="s">
        <v>1980</v>
      </c>
      <c r="L20" s="115">
        <f>Mitigation_Industry!L$116*INDEX(Data_EF!$G:$G,MATCH($G20,Data_EF!$A:$A,0))/1000000</f>
        <v>0</v>
      </c>
      <c r="M20" s="19">
        <f>Mitigation_Industry!M$116*INDEX(Data_EF!$G:$G,MATCH($G20,Data_EF!$A:$A,0))/1000000</f>
        <v>0</v>
      </c>
      <c r="N20" s="19">
        <f>Mitigation_Industry!N$116*INDEX(Data_EF!$G:$G,MATCH($G20,Data_EF!$A:$A,0))/1000000</f>
        <v>0</v>
      </c>
      <c r="O20" s="19">
        <f>Mitigation_Industry!O$116*INDEX(Data_EF!$G:$G,MATCH($G20,Data_EF!$A:$A,0))/1000000</f>
        <v>0</v>
      </c>
      <c r="P20" s="19">
        <f>Mitigation_Industry!P$116*INDEX(Data_EF!$G:$G,MATCH($G20,Data_EF!$A:$A,0))/1000000</f>
        <v>0</v>
      </c>
      <c r="Q20" s="19">
        <f>Mitigation_Industry!Q$116*INDEX(Data_EF!$G:$G,MATCH($G20,Data_EF!$A:$A,0))/1000000</f>
        <v>0</v>
      </c>
      <c r="R20" s="19">
        <f>Mitigation_Industry!R$116*INDEX(Data_EF!$G:$G,MATCH($G20,Data_EF!$A:$A,0))/1000000</f>
        <v>0</v>
      </c>
      <c r="S20" s="19">
        <f>Mitigation_Industry!S$116*INDEX(Data_EF!$G:$G,MATCH($G20,Data_EF!$A:$A,0))/1000000</f>
        <v>0</v>
      </c>
      <c r="T20" s="19">
        <f>Mitigation_Industry!T$116*INDEX(Data_EF!$G:$G,MATCH($G20,Data_EF!$A:$A,0))/1000000</f>
        <v>0</v>
      </c>
      <c r="U20" s="19">
        <f>Mitigation_Industry!U$116*INDEX(Data_EF!$G:$G,MATCH($G20,Data_EF!$A:$A,0))/1000000</f>
        <v>0</v>
      </c>
      <c r="V20" s="19">
        <f>Mitigation_Industry!V$116*INDEX(Data_EF!$G:$G,MATCH($G20,Data_EF!$A:$A,0))/1000000</f>
        <v>0</v>
      </c>
      <c r="W20" s="19">
        <f>Mitigation_Industry!W$116*INDEX(Data_EF!$G:$G,MATCH($G20,Data_EF!$A:$A,0))/1000000</f>
        <v>0</v>
      </c>
      <c r="X20" s="19">
        <f>Mitigation_Industry!X$116*INDEX(Data_EF!$G:$G,MATCH($G20,Data_EF!$A:$A,0))/1000000</f>
        <v>0</v>
      </c>
      <c r="Y20" s="19">
        <f>Mitigation_Industry!Y$116*INDEX(Data_EF!$G:$G,MATCH($G20,Data_EF!$A:$A,0))/1000000</f>
        <v>0</v>
      </c>
      <c r="Z20" s="19">
        <f>Mitigation_Industry!Z$116*INDEX(Data_EF!$G:$G,MATCH($G20,Data_EF!$A:$A,0))/1000000</f>
        <v>0</v>
      </c>
      <c r="AA20" s="19">
        <f>Mitigation_Industry!AA$116*INDEX(Data_EF!$G:$G,MATCH($G20,Data_EF!$A:$A,0))/1000000</f>
        <v>0</v>
      </c>
      <c r="AB20" s="19">
        <f>Mitigation_Industry!AB$116*INDEX(Data_EF!$G:$G,MATCH($G20,Data_EF!$A:$A,0))/1000000</f>
        <v>0</v>
      </c>
      <c r="AC20" s="19">
        <f>Mitigation_Industry!AC$116*INDEX(Data_EF!$G:$G,MATCH($G20,Data_EF!$A:$A,0))/1000000</f>
        <v>0</v>
      </c>
      <c r="AD20" s="19">
        <f>Mitigation_Industry!AD$116*INDEX(Data_EF!$G:$G,MATCH($G20,Data_EF!$A:$A,0))/1000000</f>
        <v>0</v>
      </c>
      <c r="AE20" s="19">
        <f>Mitigation_Industry!AE$116*INDEX(Data_EF!$G:$G,MATCH($G20,Data_EF!$A:$A,0))/1000000</f>
        <v>0</v>
      </c>
    </row>
    <row r="21" spans="1:35" customFormat="1" ht="14.25" x14ac:dyDescent="0.45">
      <c r="B21" s="14" t="s">
        <v>58</v>
      </c>
      <c r="C21" s="14" t="str">
        <f t="shared" si="2"/>
        <v>cem</v>
      </c>
      <c r="D21" s="15" t="s">
        <v>59</v>
      </c>
      <c r="E21" s="16" t="s">
        <v>1967</v>
      </c>
      <c r="F21" s="14" t="s">
        <v>1968</v>
      </c>
      <c r="G21" s="114" t="str">
        <f>Settings!$B$3&amp;".mit.efc."&amp;$B21</f>
        <v>egy.mit.efc.die</v>
      </c>
      <c r="H21" s="45" t="str">
        <f>Settings!$B$3&amp;".mit.eco2."&amp;$C$17&amp;"."&amp;$B21&amp;".e."&amp;$J$17</f>
        <v>egy.mit.eco2.cem.die.e.1</v>
      </c>
      <c r="I21" t="s">
        <v>1981</v>
      </c>
      <c r="L21" s="115">
        <f>Mitigation_Industry!L$117*INDEX(Data_EF!$G:$G,MATCH($G21,Data_EF!$A:$A,0))/1000000</f>
        <v>0</v>
      </c>
      <c r="M21" s="19">
        <f>Mitigation_Industry!M$117*INDEX(Data_EF!$G:$G,MATCH($G21,Data_EF!$A:$A,0))/1000000</f>
        <v>0</v>
      </c>
      <c r="N21" s="19">
        <f>Mitigation_Industry!N$117*INDEX(Data_EF!$G:$G,MATCH($G21,Data_EF!$A:$A,0))/1000000</f>
        <v>0</v>
      </c>
      <c r="O21" s="19">
        <f>Mitigation_Industry!O$117*INDEX(Data_EF!$G:$G,MATCH($G21,Data_EF!$A:$A,0))/1000000</f>
        <v>0</v>
      </c>
      <c r="P21" s="19">
        <f>Mitigation_Industry!P$117*INDEX(Data_EF!$G:$G,MATCH($G21,Data_EF!$A:$A,0))/1000000</f>
        <v>0</v>
      </c>
      <c r="Q21" s="19">
        <f>Mitigation_Industry!Q$117*INDEX(Data_EF!$G:$G,MATCH($G21,Data_EF!$A:$A,0))/1000000</f>
        <v>0</v>
      </c>
      <c r="R21" s="19">
        <f>Mitigation_Industry!R$117*INDEX(Data_EF!$G:$G,MATCH($G21,Data_EF!$A:$A,0))/1000000</f>
        <v>0</v>
      </c>
      <c r="S21" s="19">
        <f>Mitigation_Industry!S$117*INDEX(Data_EF!$G:$G,MATCH($G21,Data_EF!$A:$A,0))/1000000</f>
        <v>0</v>
      </c>
      <c r="T21" s="19">
        <f>Mitigation_Industry!T$117*INDEX(Data_EF!$G:$G,MATCH($G21,Data_EF!$A:$A,0))/1000000</f>
        <v>0</v>
      </c>
      <c r="U21" s="19">
        <f>Mitigation_Industry!U$117*INDEX(Data_EF!$G:$G,MATCH($G21,Data_EF!$A:$A,0))/1000000</f>
        <v>0</v>
      </c>
      <c r="V21" s="19">
        <f>Mitigation_Industry!V$117*INDEX(Data_EF!$G:$G,MATCH($G21,Data_EF!$A:$A,0))/1000000</f>
        <v>0</v>
      </c>
      <c r="W21" s="19">
        <f>Mitigation_Industry!W$117*INDEX(Data_EF!$G:$G,MATCH($G21,Data_EF!$A:$A,0))/1000000</f>
        <v>0</v>
      </c>
      <c r="X21" s="19">
        <f>Mitigation_Industry!X$117*INDEX(Data_EF!$G:$G,MATCH($G21,Data_EF!$A:$A,0))/1000000</f>
        <v>0</v>
      </c>
      <c r="Y21" s="19">
        <f>Mitigation_Industry!Y$117*INDEX(Data_EF!$G:$G,MATCH($G21,Data_EF!$A:$A,0))/1000000</f>
        <v>0</v>
      </c>
      <c r="Z21" s="19">
        <f>Mitigation_Industry!Z$117*INDEX(Data_EF!$G:$G,MATCH($G21,Data_EF!$A:$A,0))/1000000</f>
        <v>0</v>
      </c>
      <c r="AA21" s="19">
        <f>Mitigation_Industry!AA$117*INDEX(Data_EF!$G:$G,MATCH($G21,Data_EF!$A:$A,0))/1000000</f>
        <v>0</v>
      </c>
      <c r="AB21" s="19">
        <f>Mitigation_Industry!AB$117*INDEX(Data_EF!$G:$G,MATCH($G21,Data_EF!$A:$A,0))/1000000</f>
        <v>0</v>
      </c>
      <c r="AC21" s="19">
        <f>Mitigation_Industry!AC$117*INDEX(Data_EF!$G:$G,MATCH($G21,Data_EF!$A:$A,0))/1000000</f>
        <v>0</v>
      </c>
      <c r="AD21" s="19">
        <f>Mitigation_Industry!AD$117*INDEX(Data_EF!$G:$G,MATCH($G21,Data_EF!$A:$A,0))/1000000</f>
        <v>0</v>
      </c>
      <c r="AE21" s="19">
        <f>Mitigation_Industry!AE$117*INDEX(Data_EF!$G:$G,MATCH($G21,Data_EF!$A:$A,0))/1000000</f>
        <v>0</v>
      </c>
    </row>
    <row r="22" spans="1:35" customFormat="1" ht="14.25" x14ac:dyDescent="0.45">
      <c r="B22" s="14" t="s">
        <v>60</v>
      </c>
      <c r="C22" s="14" t="str">
        <f t="shared" si="2"/>
        <v>cem</v>
      </c>
      <c r="D22" s="15" t="s">
        <v>61</v>
      </c>
      <c r="E22" s="16" t="s">
        <v>1967</v>
      </c>
      <c r="F22" s="14" t="s">
        <v>1968</v>
      </c>
      <c r="G22" s="114" t="str">
        <f>Settings!$B$3&amp;".mit.efc."&amp;$B22</f>
        <v>egy.mit.efc.lpg</v>
      </c>
      <c r="H22" s="45" t="str">
        <f>Settings!$B$3&amp;".mit.eco2."&amp;$C$17&amp;"."&amp;$B22&amp;".e."&amp;$J$17</f>
        <v>egy.mit.eco2.cem.lpg.e.1</v>
      </c>
      <c r="I22" t="s">
        <v>1982</v>
      </c>
      <c r="L22" s="115">
        <f>Mitigation_Industry!L$118*INDEX(Data_EF!$G:$G,MATCH($G22,Data_EF!$A:$A,0))/1000000</f>
        <v>0</v>
      </c>
      <c r="M22" s="19">
        <f>Mitigation_Industry!M$118*INDEX(Data_EF!$G:$G,MATCH($G22,Data_EF!$A:$A,0))/1000000</f>
        <v>0</v>
      </c>
      <c r="N22" s="19">
        <f>Mitigation_Industry!N$118*INDEX(Data_EF!$G:$G,MATCH($G22,Data_EF!$A:$A,0))/1000000</f>
        <v>0</v>
      </c>
      <c r="O22" s="19">
        <f>Mitigation_Industry!O$118*INDEX(Data_EF!$G:$G,MATCH($G22,Data_EF!$A:$A,0))/1000000</f>
        <v>0</v>
      </c>
      <c r="P22" s="19">
        <f>Mitigation_Industry!P$118*INDEX(Data_EF!$G:$G,MATCH($G22,Data_EF!$A:$A,0))/1000000</f>
        <v>0</v>
      </c>
      <c r="Q22" s="19">
        <f>Mitigation_Industry!Q$118*INDEX(Data_EF!$G:$G,MATCH($G22,Data_EF!$A:$A,0))/1000000</f>
        <v>0</v>
      </c>
      <c r="R22" s="19">
        <f>Mitigation_Industry!R$118*INDEX(Data_EF!$G:$G,MATCH($G22,Data_EF!$A:$A,0))/1000000</f>
        <v>0</v>
      </c>
      <c r="S22" s="19">
        <f>Mitigation_Industry!S$118*INDEX(Data_EF!$G:$G,MATCH($G22,Data_EF!$A:$A,0))/1000000</f>
        <v>0</v>
      </c>
      <c r="T22" s="19">
        <f>Mitigation_Industry!T$118*INDEX(Data_EF!$G:$G,MATCH($G22,Data_EF!$A:$A,0))/1000000</f>
        <v>0</v>
      </c>
      <c r="U22" s="19">
        <f>Mitigation_Industry!U$118*INDEX(Data_EF!$G:$G,MATCH($G22,Data_EF!$A:$A,0))/1000000</f>
        <v>0</v>
      </c>
      <c r="V22" s="19">
        <f>Mitigation_Industry!V$118*INDEX(Data_EF!$G:$G,MATCH($G22,Data_EF!$A:$A,0))/1000000</f>
        <v>0</v>
      </c>
      <c r="W22" s="19">
        <f>Mitigation_Industry!W$118*INDEX(Data_EF!$G:$G,MATCH($G22,Data_EF!$A:$A,0))/1000000</f>
        <v>0</v>
      </c>
      <c r="X22" s="19">
        <f>Mitigation_Industry!X$118*INDEX(Data_EF!$G:$G,MATCH($G22,Data_EF!$A:$A,0))/1000000</f>
        <v>0</v>
      </c>
      <c r="Y22" s="19">
        <f>Mitigation_Industry!Y$118*INDEX(Data_EF!$G:$G,MATCH($G22,Data_EF!$A:$A,0))/1000000</f>
        <v>0</v>
      </c>
      <c r="Z22" s="19">
        <f>Mitigation_Industry!Z$118*INDEX(Data_EF!$G:$G,MATCH($G22,Data_EF!$A:$A,0))/1000000</f>
        <v>0</v>
      </c>
      <c r="AA22" s="19">
        <f>Mitigation_Industry!AA$118*INDEX(Data_EF!$G:$G,MATCH($G22,Data_EF!$A:$A,0))/1000000</f>
        <v>0</v>
      </c>
      <c r="AB22" s="19">
        <f>Mitigation_Industry!AB$118*INDEX(Data_EF!$G:$G,MATCH($G22,Data_EF!$A:$A,0))/1000000</f>
        <v>0</v>
      </c>
      <c r="AC22" s="19">
        <f>Mitigation_Industry!AC$118*INDEX(Data_EF!$G:$G,MATCH($G22,Data_EF!$A:$A,0))/1000000</f>
        <v>0</v>
      </c>
      <c r="AD22" s="19">
        <f>Mitigation_Industry!AD$118*INDEX(Data_EF!$G:$G,MATCH($G22,Data_EF!$A:$A,0))/1000000</f>
        <v>0</v>
      </c>
      <c r="AE22" s="19">
        <f>Mitigation_Industry!AE$118*INDEX(Data_EF!$G:$G,MATCH($G22,Data_EF!$A:$A,0))/1000000</f>
        <v>0</v>
      </c>
    </row>
    <row r="23" spans="1:35" customFormat="1" ht="14.25" x14ac:dyDescent="0.45">
      <c r="B23" s="14" t="s">
        <v>62</v>
      </c>
      <c r="C23" s="14" t="str">
        <f t="shared" si="2"/>
        <v>cem</v>
      </c>
      <c r="D23" s="15" t="s">
        <v>63</v>
      </c>
      <c r="E23" s="16" t="s">
        <v>1967</v>
      </c>
      <c r="F23" s="14" t="s">
        <v>1968</v>
      </c>
      <c r="G23" s="114" t="str">
        <f>Settings!$B$3&amp;".mit.efc."&amp;$B23</f>
        <v>egy.mit.efc.ker</v>
      </c>
      <c r="H23" s="45" t="str">
        <f>Settings!$B$3&amp;".mit.eco2."&amp;$C$17&amp;"."&amp;$B23&amp;".e."&amp;$J$17</f>
        <v>egy.mit.eco2.cem.ker.e.1</v>
      </c>
      <c r="I23" t="s">
        <v>1983</v>
      </c>
      <c r="L23" s="115">
        <f>Mitigation_Industry!L$119*INDEX(Data_EF!$G:$G,MATCH($G23,Data_EF!$A:$A,0))/1000000</f>
        <v>0</v>
      </c>
      <c r="M23" s="19">
        <f>Mitigation_Industry!M$119*INDEX(Data_EF!$G:$G,MATCH($G23,Data_EF!$A:$A,0))/1000000</f>
        <v>0</v>
      </c>
      <c r="N23" s="19">
        <f>Mitigation_Industry!N$119*INDEX(Data_EF!$G:$G,MATCH($G23,Data_EF!$A:$A,0))/1000000</f>
        <v>0</v>
      </c>
      <c r="O23" s="19">
        <f>Mitigation_Industry!O$119*INDEX(Data_EF!$G:$G,MATCH($G23,Data_EF!$A:$A,0))/1000000</f>
        <v>0</v>
      </c>
      <c r="P23" s="19">
        <f>Mitigation_Industry!P$119*INDEX(Data_EF!$G:$G,MATCH($G23,Data_EF!$A:$A,0))/1000000</f>
        <v>0</v>
      </c>
      <c r="Q23" s="19">
        <f>Mitigation_Industry!Q$119*INDEX(Data_EF!$G:$G,MATCH($G23,Data_EF!$A:$A,0))/1000000</f>
        <v>0</v>
      </c>
      <c r="R23" s="19">
        <f>Mitigation_Industry!R$119*INDEX(Data_EF!$G:$G,MATCH($G23,Data_EF!$A:$A,0))/1000000</f>
        <v>0</v>
      </c>
      <c r="S23" s="19">
        <f>Mitigation_Industry!S$119*INDEX(Data_EF!$G:$G,MATCH($G23,Data_EF!$A:$A,0))/1000000</f>
        <v>0</v>
      </c>
      <c r="T23" s="19">
        <f>Mitigation_Industry!T$119*INDEX(Data_EF!$G:$G,MATCH($G23,Data_EF!$A:$A,0))/1000000</f>
        <v>0</v>
      </c>
      <c r="U23" s="19">
        <f>Mitigation_Industry!U$119*INDEX(Data_EF!$G:$G,MATCH($G23,Data_EF!$A:$A,0))/1000000</f>
        <v>0</v>
      </c>
      <c r="V23" s="19">
        <f>Mitigation_Industry!V$119*INDEX(Data_EF!$G:$G,MATCH($G23,Data_EF!$A:$A,0))/1000000</f>
        <v>0</v>
      </c>
      <c r="W23" s="19">
        <f>Mitigation_Industry!W$119*INDEX(Data_EF!$G:$G,MATCH($G23,Data_EF!$A:$A,0))/1000000</f>
        <v>0</v>
      </c>
      <c r="X23" s="19">
        <f>Mitigation_Industry!X$119*INDEX(Data_EF!$G:$G,MATCH($G23,Data_EF!$A:$A,0))/1000000</f>
        <v>0</v>
      </c>
      <c r="Y23" s="19">
        <f>Mitigation_Industry!Y$119*INDEX(Data_EF!$G:$G,MATCH($G23,Data_EF!$A:$A,0))/1000000</f>
        <v>0</v>
      </c>
      <c r="Z23" s="19">
        <f>Mitigation_Industry!Z$119*INDEX(Data_EF!$G:$G,MATCH($G23,Data_EF!$A:$A,0))/1000000</f>
        <v>0</v>
      </c>
      <c r="AA23" s="19">
        <f>Mitigation_Industry!AA$119*INDEX(Data_EF!$G:$G,MATCH($G23,Data_EF!$A:$A,0))/1000000</f>
        <v>0</v>
      </c>
      <c r="AB23" s="19">
        <f>Mitigation_Industry!AB$119*INDEX(Data_EF!$G:$G,MATCH($G23,Data_EF!$A:$A,0))/1000000</f>
        <v>0</v>
      </c>
      <c r="AC23" s="19">
        <f>Mitigation_Industry!AC$119*INDEX(Data_EF!$G:$G,MATCH($G23,Data_EF!$A:$A,0))/1000000</f>
        <v>0</v>
      </c>
      <c r="AD23" s="19">
        <f>Mitigation_Industry!AD$119*INDEX(Data_EF!$G:$G,MATCH($G23,Data_EF!$A:$A,0))/1000000</f>
        <v>0</v>
      </c>
      <c r="AE23" s="19">
        <f>Mitigation_Industry!AE$119*INDEX(Data_EF!$G:$G,MATCH($G23,Data_EF!$A:$A,0))/1000000</f>
        <v>0</v>
      </c>
    </row>
    <row r="24" spans="1:35" customFormat="1" ht="14.25" x14ac:dyDescent="0.45">
      <c r="B24" s="14" t="s">
        <v>64</v>
      </c>
      <c r="C24" s="14" t="str">
        <f t="shared" si="2"/>
        <v>cem</v>
      </c>
      <c r="D24" s="15" t="s">
        <v>65</v>
      </c>
      <c r="E24" s="16" t="s">
        <v>1967</v>
      </c>
      <c r="F24" s="14" t="s">
        <v>1968</v>
      </c>
      <c r="G24" s="114" t="str">
        <f>Settings!$B$3&amp;".mit.efc."&amp;$B24</f>
        <v>egy.mit.efc.oop</v>
      </c>
      <c r="H24" s="45" t="str">
        <f>Settings!$B$3&amp;".mit.eco2."&amp;$C$17&amp;"."&amp;$B24&amp;".e."&amp;$J$17</f>
        <v>egy.mit.eco2.cem.oop.e.1</v>
      </c>
      <c r="I24" t="s">
        <v>1984</v>
      </c>
      <c r="L24" s="115">
        <f>Mitigation_Industry!L$120*INDEX(Data_EF!$G:$G,MATCH($G24,Data_EF!$A:$A,0))/1000000</f>
        <v>0</v>
      </c>
      <c r="M24" s="19">
        <f>Mitigation_Industry!M$120*INDEX(Data_EF!$G:$G,MATCH($G24,Data_EF!$A:$A,0))/1000000</f>
        <v>0</v>
      </c>
      <c r="N24" s="19">
        <f>Mitigation_Industry!N$120*INDEX(Data_EF!$G:$G,MATCH($G24,Data_EF!$A:$A,0))/1000000</f>
        <v>0</v>
      </c>
      <c r="O24" s="19">
        <f>Mitigation_Industry!O$120*INDEX(Data_EF!$G:$G,MATCH($G24,Data_EF!$A:$A,0))/1000000</f>
        <v>0</v>
      </c>
      <c r="P24" s="19">
        <f>Mitigation_Industry!P$120*INDEX(Data_EF!$G:$G,MATCH($G24,Data_EF!$A:$A,0))/1000000</f>
        <v>0</v>
      </c>
      <c r="Q24" s="19">
        <f>Mitigation_Industry!Q$120*INDEX(Data_EF!$G:$G,MATCH($G24,Data_EF!$A:$A,0))/1000000</f>
        <v>0</v>
      </c>
      <c r="R24" s="19">
        <f>Mitigation_Industry!R$120*INDEX(Data_EF!$G:$G,MATCH($G24,Data_EF!$A:$A,0))/1000000</f>
        <v>0</v>
      </c>
      <c r="S24" s="19">
        <f>Mitigation_Industry!S$120*INDEX(Data_EF!$G:$G,MATCH($G24,Data_EF!$A:$A,0))/1000000</f>
        <v>0</v>
      </c>
      <c r="T24" s="19">
        <f>Mitigation_Industry!T$120*INDEX(Data_EF!$G:$G,MATCH($G24,Data_EF!$A:$A,0))/1000000</f>
        <v>0</v>
      </c>
      <c r="U24" s="19">
        <f>Mitigation_Industry!U$120*INDEX(Data_EF!$G:$G,MATCH($G24,Data_EF!$A:$A,0))/1000000</f>
        <v>0</v>
      </c>
      <c r="V24" s="19">
        <f>Mitigation_Industry!V$120*INDEX(Data_EF!$G:$G,MATCH($G24,Data_EF!$A:$A,0))/1000000</f>
        <v>0</v>
      </c>
      <c r="W24" s="19">
        <f>Mitigation_Industry!W$120*INDEX(Data_EF!$G:$G,MATCH($G24,Data_EF!$A:$A,0))/1000000</f>
        <v>0</v>
      </c>
      <c r="X24" s="19">
        <f>Mitigation_Industry!X$120*INDEX(Data_EF!$G:$G,MATCH($G24,Data_EF!$A:$A,0))/1000000</f>
        <v>0</v>
      </c>
      <c r="Y24" s="19">
        <f>Mitigation_Industry!Y$120*INDEX(Data_EF!$G:$G,MATCH($G24,Data_EF!$A:$A,0))/1000000</f>
        <v>0</v>
      </c>
      <c r="Z24" s="19">
        <f>Mitigation_Industry!Z$120*INDEX(Data_EF!$G:$G,MATCH($G24,Data_EF!$A:$A,0))/1000000</f>
        <v>0</v>
      </c>
      <c r="AA24" s="19">
        <f>Mitigation_Industry!AA$120*INDEX(Data_EF!$G:$G,MATCH($G24,Data_EF!$A:$A,0))/1000000</f>
        <v>0</v>
      </c>
      <c r="AB24" s="19">
        <f>Mitigation_Industry!AB$120*INDEX(Data_EF!$G:$G,MATCH($G24,Data_EF!$A:$A,0))/1000000</f>
        <v>0</v>
      </c>
      <c r="AC24" s="19">
        <f>Mitigation_Industry!AC$120*INDEX(Data_EF!$G:$G,MATCH($G24,Data_EF!$A:$A,0))/1000000</f>
        <v>0</v>
      </c>
      <c r="AD24" s="19">
        <f>Mitigation_Industry!AD$120*INDEX(Data_EF!$G:$G,MATCH($G24,Data_EF!$A:$A,0))/1000000</f>
        <v>0</v>
      </c>
      <c r="AE24" s="19">
        <f>Mitigation_Industry!AE$120*INDEX(Data_EF!$G:$G,MATCH($G24,Data_EF!$A:$A,0))/1000000</f>
        <v>0</v>
      </c>
    </row>
    <row r="25" spans="1:35" customFormat="1" ht="14.25" x14ac:dyDescent="0.45">
      <c r="B25" s="14" t="s">
        <v>67</v>
      </c>
      <c r="C25" s="14" t="str">
        <f t="shared" si="2"/>
        <v>cem</v>
      </c>
      <c r="D25" s="15" t="s">
        <v>68</v>
      </c>
      <c r="E25" s="16" t="s">
        <v>1967</v>
      </c>
      <c r="F25" s="14" t="s">
        <v>1968</v>
      </c>
      <c r="G25" s="114" t="str">
        <f>Settings!$B$3&amp;".mit.efc."&amp;$B25</f>
        <v>egy.mit.efc.bio</v>
      </c>
      <c r="H25" s="45" t="str">
        <f>Settings!$B$3&amp;".mit.eco2."&amp;$C$17&amp;"."&amp;$B25&amp;".e."&amp;$J$17</f>
        <v>egy.mit.eco2.cem.bio.e.1</v>
      </c>
      <c r="I25" t="s">
        <v>1985</v>
      </c>
      <c r="L25" s="115">
        <f>Mitigation_Industry!L$121*INDEX(Data_EF!$G:$G,MATCH($G25,Data_EF!$A:$A,0))/1000000</f>
        <v>0</v>
      </c>
      <c r="M25" s="19">
        <f>Mitigation_Industry!M$121*INDEX(Data_EF!$G:$G,MATCH($G25,Data_EF!$A:$A,0))/1000000</f>
        <v>0</v>
      </c>
      <c r="N25" s="19">
        <f>Mitigation_Industry!N$121*INDEX(Data_EF!$G:$G,MATCH($G25,Data_EF!$A:$A,0))/1000000</f>
        <v>0</v>
      </c>
      <c r="O25" s="19">
        <f>Mitigation_Industry!O$121*INDEX(Data_EF!$G:$G,MATCH($G25,Data_EF!$A:$A,0))/1000000</f>
        <v>0</v>
      </c>
      <c r="P25" s="19">
        <f>Mitigation_Industry!P$121*INDEX(Data_EF!$G:$G,MATCH($G25,Data_EF!$A:$A,0))/1000000</f>
        <v>0</v>
      </c>
      <c r="Q25" s="19">
        <f>Mitigation_Industry!Q$121*INDEX(Data_EF!$G:$G,MATCH($G25,Data_EF!$A:$A,0))/1000000</f>
        <v>0</v>
      </c>
      <c r="R25" s="19">
        <f>Mitigation_Industry!R$121*INDEX(Data_EF!$G:$G,MATCH($G25,Data_EF!$A:$A,0))/1000000</f>
        <v>0</v>
      </c>
      <c r="S25" s="19">
        <f>Mitigation_Industry!S$121*INDEX(Data_EF!$G:$G,MATCH($G25,Data_EF!$A:$A,0))/1000000</f>
        <v>0</v>
      </c>
      <c r="T25" s="19">
        <f>Mitigation_Industry!T$121*INDEX(Data_EF!$G:$G,MATCH($G25,Data_EF!$A:$A,0))/1000000</f>
        <v>0</v>
      </c>
      <c r="U25" s="19">
        <f>Mitigation_Industry!U$121*INDEX(Data_EF!$G:$G,MATCH($G25,Data_EF!$A:$A,0))/1000000</f>
        <v>0</v>
      </c>
      <c r="V25" s="19">
        <f>Mitigation_Industry!V$121*INDEX(Data_EF!$G:$G,MATCH($G25,Data_EF!$A:$A,0))/1000000</f>
        <v>0</v>
      </c>
      <c r="W25" s="19">
        <f>Mitigation_Industry!W$121*INDEX(Data_EF!$G:$G,MATCH($G25,Data_EF!$A:$A,0))/1000000</f>
        <v>0</v>
      </c>
      <c r="X25" s="19">
        <f>Mitigation_Industry!X$121*INDEX(Data_EF!$G:$G,MATCH($G25,Data_EF!$A:$A,0))/1000000</f>
        <v>0</v>
      </c>
      <c r="Y25" s="19">
        <f>Mitigation_Industry!Y$121*INDEX(Data_EF!$G:$G,MATCH($G25,Data_EF!$A:$A,0))/1000000</f>
        <v>0</v>
      </c>
      <c r="Z25" s="19">
        <f>Mitigation_Industry!Z$121*INDEX(Data_EF!$G:$G,MATCH($G25,Data_EF!$A:$A,0))/1000000</f>
        <v>0</v>
      </c>
      <c r="AA25" s="19">
        <f>Mitigation_Industry!AA$121*INDEX(Data_EF!$G:$G,MATCH($G25,Data_EF!$A:$A,0))/1000000</f>
        <v>0</v>
      </c>
      <c r="AB25" s="19">
        <f>Mitigation_Industry!AB$121*INDEX(Data_EF!$G:$G,MATCH($G25,Data_EF!$A:$A,0))/1000000</f>
        <v>0</v>
      </c>
      <c r="AC25" s="19">
        <f>Mitigation_Industry!AC$121*INDEX(Data_EF!$G:$G,MATCH($G25,Data_EF!$A:$A,0))/1000000</f>
        <v>0</v>
      </c>
      <c r="AD25" s="19">
        <f>Mitigation_Industry!AD$121*INDEX(Data_EF!$G:$G,MATCH($G25,Data_EF!$A:$A,0))/1000000</f>
        <v>0</v>
      </c>
      <c r="AE25" s="19">
        <f>Mitigation_Industry!AE$121*INDEX(Data_EF!$G:$G,MATCH($G25,Data_EF!$A:$A,0))/1000000</f>
        <v>0</v>
      </c>
    </row>
    <row r="26" spans="1:35" customFormat="1" ht="14.25" x14ac:dyDescent="0.45">
      <c r="B26" s="14" t="s">
        <v>69</v>
      </c>
      <c r="C26" s="14" t="str">
        <f t="shared" si="2"/>
        <v>cem</v>
      </c>
      <c r="D26" s="15" t="s">
        <v>70</v>
      </c>
      <c r="E26" s="16" t="s">
        <v>1967</v>
      </c>
      <c r="F26" s="14" t="s">
        <v>1968</v>
      </c>
      <c r="G26" s="114" t="str">
        <f>Settings!$B$3&amp;".mit.efc."&amp;$B26</f>
        <v>egy.mit.efc.ren</v>
      </c>
      <c r="H26" s="45" t="str">
        <f>Settings!$B$3&amp;".mit.eco2."&amp;$C$17&amp;"."&amp;$B26&amp;".e."&amp;$J$17</f>
        <v>egy.mit.eco2.cem.ren.e.1</v>
      </c>
      <c r="I26" t="s">
        <v>1986</v>
      </c>
      <c r="L26" s="115">
        <f>Mitigation_Industry!L$122*INDEX(Data_EF!$G:$G,MATCH($G26,Data_EF!$A:$A,0))/1000000</f>
        <v>0</v>
      </c>
      <c r="M26" s="19">
        <f>Mitigation_Industry!M$122*INDEX(Data_EF!$G:$G,MATCH($G26,Data_EF!$A:$A,0))/1000000</f>
        <v>0</v>
      </c>
      <c r="N26" s="19">
        <f>Mitigation_Industry!N$122*INDEX(Data_EF!$G:$G,MATCH($G26,Data_EF!$A:$A,0))/1000000</f>
        <v>0</v>
      </c>
      <c r="O26" s="19">
        <f>Mitigation_Industry!O$122*INDEX(Data_EF!$G:$G,MATCH($G26,Data_EF!$A:$A,0))/1000000</f>
        <v>0</v>
      </c>
      <c r="P26" s="19">
        <f>Mitigation_Industry!P$122*INDEX(Data_EF!$G:$G,MATCH($G26,Data_EF!$A:$A,0))/1000000</f>
        <v>0</v>
      </c>
      <c r="Q26" s="19">
        <f>Mitigation_Industry!Q$122*INDEX(Data_EF!$G:$G,MATCH($G26,Data_EF!$A:$A,0))/1000000</f>
        <v>0</v>
      </c>
      <c r="R26" s="19">
        <f>Mitigation_Industry!R$122*INDEX(Data_EF!$G:$G,MATCH($G26,Data_EF!$A:$A,0))/1000000</f>
        <v>0</v>
      </c>
      <c r="S26" s="19">
        <f>Mitigation_Industry!S$122*INDEX(Data_EF!$G:$G,MATCH($G26,Data_EF!$A:$A,0))/1000000</f>
        <v>0</v>
      </c>
      <c r="T26" s="19">
        <f>Mitigation_Industry!T$122*INDEX(Data_EF!$G:$G,MATCH($G26,Data_EF!$A:$A,0))/1000000</f>
        <v>0</v>
      </c>
      <c r="U26" s="19">
        <f>Mitigation_Industry!U$122*INDEX(Data_EF!$G:$G,MATCH($G26,Data_EF!$A:$A,0))/1000000</f>
        <v>0</v>
      </c>
      <c r="V26" s="19">
        <f>Mitigation_Industry!V$122*INDEX(Data_EF!$G:$G,MATCH($G26,Data_EF!$A:$A,0))/1000000</f>
        <v>0</v>
      </c>
      <c r="W26" s="19">
        <f>Mitigation_Industry!W$122*INDEX(Data_EF!$G:$G,MATCH($G26,Data_EF!$A:$A,0))/1000000</f>
        <v>0</v>
      </c>
      <c r="X26" s="19">
        <f>Mitigation_Industry!X$122*INDEX(Data_EF!$G:$G,MATCH($G26,Data_EF!$A:$A,0))/1000000</f>
        <v>0</v>
      </c>
      <c r="Y26" s="19">
        <f>Mitigation_Industry!Y$122*INDEX(Data_EF!$G:$G,MATCH($G26,Data_EF!$A:$A,0))/1000000</f>
        <v>0</v>
      </c>
      <c r="Z26" s="19">
        <f>Mitigation_Industry!Z$122*INDEX(Data_EF!$G:$G,MATCH($G26,Data_EF!$A:$A,0))/1000000</f>
        <v>0</v>
      </c>
      <c r="AA26" s="19">
        <f>Mitigation_Industry!AA$122*INDEX(Data_EF!$G:$G,MATCH($G26,Data_EF!$A:$A,0))/1000000</f>
        <v>0</v>
      </c>
      <c r="AB26" s="19">
        <f>Mitigation_Industry!AB$122*INDEX(Data_EF!$G:$G,MATCH($G26,Data_EF!$A:$A,0))/1000000</f>
        <v>0</v>
      </c>
      <c r="AC26" s="19">
        <f>Mitigation_Industry!AC$122*INDEX(Data_EF!$G:$G,MATCH($G26,Data_EF!$A:$A,0))/1000000</f>
        <v>0</v>
      </c>
      <c r="AD26" s="19">
        <f>Mitigation_Industry!AD$122*INDEX(Data_EF!$G:$G,MATCH($G26,Data_EF!$A:$A,0))/1000000</f>
        <v>0</v>
      </c>
      <c r="AE26" s="19">
        <f>Mitigation_Industry!AE$122*INDEX(Data_EF!$G:$G,MATCH($G26,Data_EF!$A:$A,0))/1000000</f>
        <v>0</v>
      </c>
    </row>
    <row r="27" spans="1:35" customFormat="1" ht="14.25" x14ac:dyDescent="0.45">
      <c r="B27" s="14" t="s">
        <v>110</v>
      </c>
      <c r="C27" s="14" t="str">
        <f t="shared" si="2"/>
        <v>cem</v>
      </c>
      <c r="D27" s="25" t="s">
        <v>111</v>
      </c>
      <c r="E27" s="16" t="s">
        <v>1967</v>
      </c>
      <c r="F27" s="14" t="s">
        <v>1968</v>
      </c>
      <c r="H27" s="45" t="str">
        <f>Settings!$B$3&amp;".mit.eco2."&amp;$C$17&amp;".tot.e."&amp;$J$17</f>
        <v>egy.mit.eco2.cem.tot.e.1</v>
      </c>
      <c r="L27" s="116">
        <f t="shared" ref="L27:AE27" si="3">SUM(L18:L26)</f>
        <v>9.4893574461323063</v>
      </c>
      <c r="M27" s="116">
        <f t="shared" si="3"/>
        <v>7.892397868173477</v>
      </c>
      <c r="N27" s="116">
        <f t="shared" si="3"/>
        <v>8.974049898041585</v>
      </c>
      <c r="O27" s="116">
        <f t="shared" si="3"/>
        <v>9.6117389440758174</v>
      </c>
      <c r="P27" s="116">
        <f t="shared" si="3"/>
        <v>9.6255920185944621</v>
      </c>
      <c r="Q27" s="116">
        <f t="shared" si="3"/>
        <v>9.8610476555574511</v>
      </c>
      <c r="R27" s="116">
        <f t="shared" si="3"/>
        <v>10.224041222352259</v>
      </c>
      <c r="S27" s="116">
        <f t="shared" si="3"/>
        <v>10.577278178288619</v>
      </c>
      <c r="T27" s="116">
        <f t="shared" si="3"/>
        <v>10.913917324515168</v>
      </c>
      <c r="U27" s="116">
        <f t="shared" si="3"/>
        <v>11.254980886600027</v>
      </c>
      <c r="V27" s="116">
        <f t="shared" si="3"/>
        <v>11.572436051134584</v>
      </c>
      <c r="W27" s="116">
        <f t="shared" si="3"/>
        <v>11.894967219383652</v>
      </c>
      <c r="X27" s="116">
        <f t="shared" si="3"/>
        <v>12.222536887315171</v>
      </c>
      <c r="Y27" s="116">
        <f t="shared" si="3"/>
        <v>12.55510423174249</v>
      </c>
      <c r="Z27" s="116">
        <f t="shared" si="3"/>
        <v>12.892625020155874</v>
      </c>
      <c r="AA27" s="116">
        <f t="shared" si="3"/>
        <v>13.235051509488891</v>
      </c>
      <c r="AB27" s="116">
        <f t="shared" si="3"/>
        <v>13.582332333397812</v>
      </c>
      <c r="AC27" s="116">
        <f t="shared" si="3"/>
        <v>13.934412377644653</v>
      </c>
      <c r="AD27" s="116">
        <f t="shared" si="3"/>
        <v>14.291232643187328</v>
      </c>
      <c r="AE27" s="116">
        <f t="shared" si="3"/>
        <v>14.652730096591428</v>
      </c>
    </row>
    <row r="29" spans="1:35" customFormat="1" ht="14.25" x14ac:dyDescent="0.45">
      <c r="A29" s="11"/>
      <c r="B29" s="6" t="s">
        <v>114</v>
      </c>
      <c r="C29" s="7" t="s">
        <v>115</v>
      </c>
      <c r="D29" s="6" t="s">
        <v>44</v>
      </c>
      <c r="E29" s="7" t="s">
        <v>35</v>
      </c>
      <c r="F29" s="7" t="s">
        <v>45</v>
      </c>
      <c r="G29" s="7" t="s">
        <v>1966</v>
      </c>
      <c r="H29" s="12" t="s">
        <v>38</v>
      </c>
      <c r="I29" s="6" t="s">
        <v>47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4.25" x14ac:dyDescent="0.45">
      <c r="B30" s="14" t="s">
        <v>49</v>
      </c>
      <c r="C30" s="14" t="str">
        <f t="shared" ref="C30:C39" si="4">$C$29</f>
        <v>nfm</v>
      </c>
      <c r="D30" s="15" t="s">
        <v>50</v>
      </c>
      <c r="E30" s="16" t="s">
        <v>1967</v>
      </c>
      <c r="F30" s="14" t="s">
        <v>1968</v>
      </c>
      <c r="G30" s="114" t="str">
        <f>Settings!$B$3&amp;".mit.efc."&amp;$B30</f>
        <v>egy.mit.efc.coa</v>
      </c>
      <c r="H30" s="45" t="str">
        <f>Settings!$B$3&amp;".mit.eco2."&amp;$C$29&amp;"."&amp;$B30&amp;".e."&amp;$J$29</f>
        <v>egy.mit.eco2.nfm.coa.e.1</v>
      </c>
      <c r="I30" t="s">
        <v>1987</v>
      </c>
      <c r="L30" s="115">
        <f>Mitigation_Industry!L$174*INDEX(Data_EF!$G:$G,MATCH($G30,Data_EF!$A:$A,0))/1000000</f>
        <v>0</v>
      </c>
      <c r="M30" s="19">
        <f>Mitigation_Industry!M$174*INDEX(Data_EF!$G:$G,MATCH($G30,Data_EF!$A:$A,0))/1000000</f>
        <v>0</v>
      </c>
      <c r="N30" s="19">
        <f>Mitigation_Industry!N$174*INDEX(Data_EF!$G:$G,MATCH($G30,Data_EF!$A:$A,0))/1000000</f>
        <v>0</v>
      </c>
      <c r="O30" s="19">
        <f>Mitigation_Industry!O$174*INDEX(Data_EF!$G:$G,MATCH($G30,Data_EF!$A:$A,0))/1000000</f>
        <v>0</v>
      </c>
      <c r="P30" s="19">
        <f>Mitigation_Industry!P$174*INDEX(Data_EF!$G:$G,MATCH($G30,Data_EF!$A:$A,0))/1000000</f>
        <v>0</v>
      </c>
      <c r="Q30" s="19">
        <f>Mitigation_Industry!Q$174*INDEX(Data_EF!$G:$G,MATCH($G30,Data_EF!$A:$A,0))/1000000</f>
        <v>0</v>
      </c>
      <c r="R30" s="19">
        <f>Mitigation_Industry!R$174*INDEX(Data_EF!$G:$G,MATCH($G30,Data_EF!$A:$A,0))/1000000</f>
        <v>0</v>
      </c>
      <c r="S30" s="19">
        <f>Mitigation_Industry!S$174*INDEX(Data_EF!$G:$G,MATCH($G30,Data_EF!$A:$A,0))/1000000</f>
        <v>0</v>
      </c>
      <c r="T30" s="19">
        <f>Mitigation_Industry!T$174*INDEX(Data_EF!$G:$G,MATCH($G30,Data_EF!$A:$A,0))/1000000</f>
        <v>0</v>
      </c>
      <c r="U30" s="19">
        <f>Mitigation_Industry!U$174*INDEX(Data_EF!$G:$G,MATCH($G30,Data_EF!$A:$A,0))/1000000</f>
        <v>0</v>
      </c>
      <c r="V30" s="19">
        <f>Mitigation_Industry!V$174*INDEX(Data_EF!$G:$G,MATCH($G30,Data_EF!$A:$A,0))/1000000</f>
        <v>0</v>
      </c>
      <c r="W30" s="19">
        <f>Mitigation_Industry!W$174*INDEX(Data_EF!$G:$G,MATCH($G30,Data_EF!$A:$A,0))/1000000</f>
        <v>0</v>
      </c>
      <c r="X30" s="19">
        <f>Mitigation_Industry!X$174*INDEX(Data_EF!$G:$G,MATCH($G30,Data_EF!$A:$A,0))/1000000</f>
        <v>0</v>
      </c>
      <c r="Y30" s="19">
        <f>Mitigation_Industry!Y$174*INDEX(Data_EF!$G:$G,MATCH($G30,Data_EF!$A:$A,0))/1000000</f>
        <v>0</v>
      </c>
      <c r="Z30" s="19">
        <f>Mitigation_Industry!Z$174*INDEX(Data_EF!$G:$G,MATCH($G30,Data_EF!$A:$A,0))/1000000</f>
        <v>0</v>
      </c>
      <c r="AA30" s="19">
        <f>Mitigation_Industry!AA$174*INDEX(Data_EF!$G:$G,MATCH($G30,Data_EF!$A:$A,0))/1000000</f>
        <v>0</v>
      </c>
      <c r="AB30" s="19">
        <f>Mitigation_Industry!AB$174*INDEX(Data_EF!$G:$G,MATCH($G30,Data_EF!$A:$A,0))/1000000</f>
        <v>0</v>
      </c>
      <c r="AC30" s="19">
        <f>Mitigation_Industry!AC$174*INDEX(Data_EF!$G:$G,MATCH($G30,Data_EF!$A:$A,0))/1000000</f>
        <v>0</v>
      </c>
      <c r="AD30" s="19">
        <f>Mitigation_Industry!AD$174*INDEX(Data_EF!$G:$G,MATCH($G30,Data_EF!$A:$A,0))/1000000</f>
        <v>0</v>
      </c>
      <c r="AE30" s="19">
        <f>Mitigation_Industry!AE$174*INDEX(Data_EF!$G:$G,MATCH($G30,Data_EF!$A:$A,0))/1000000</f>
        <v>0</v>
      </c>
    </row>
    <row r="31" spans="1:35" customFormat="1" ht="14.25" x14ac:dyDescent="0.45">
      <c r="B31" s="14" t="s">
        <v>53</v>
      </c>
      <c r="C31" s="14" t="str">
        <f t="shared" si="4"/>
        <v>nfm</v>
      </c>
      <c r="D31" s="15" t="s">
        <v>54</v>
      </c>
      <c r="E31" s="16" t="s">
        <v>1967</v>
      </c>
      <c r="F31" s="14" t="s">
        <v>1968</v>
      </c>
      <c r="G31" s="114" t="str">
        <f>Settings!$B$3&amp;".mit.efc."&amp;$B31</f>
        <v>egy.mit.efc.nga</v>
      </c>
      <c r="H31" s="45" t="str">
        <f>Settings!$B$3&amp;".mit.eco2."&amp;$C$29&amp;"."&amp;$B31&amp;".e."&amp;$J$29</f>
        <v>egy.mit.eco2.nfm.nga.e.1</v>
      </c>
      <c r="I31" t="s">
        <v>1988</v>
      </c>
      <c r="L31" s="115">
        <f>Mitigation_Industry!L$175*INDEX(Data_EF!$G:$G,MATCH($G31,Data_EF!$A:$A,0))/1000000</f>
        <v>0</v>
      </c>
      <c r="M31" s="19">
        <f>Mitigation_Industry!M$175*INDEX(Data_EF!$G:$G,MATCH($G31,Data_EF!$A:$A,0))/1000000</f>
        <v>0</v>
      </c>
      <c r="N31" s="19">
        <f>Mitigation_Industry!N$175*INDEX(Data_EF!$G:$G,MATCH($G31,Data_EF!$A:$A,0))/1000000</f>
        <v>0</v>
      </c>
      <c r="O31" s="19">
        <f>Mitigation_Industry!O$175*INDEX(Data_EF!$G:$G,MATCH($G31,Data_EF!$A:$A,0))/1000000</f>
        <v>0</v>
      </c>
      <c r="P31" s="19">
        <f>Mitigation_Industry!P$175*INDEX(Data_EF!$G:$G,MATCH($G31,Data_EF!$A:$A,0))/1000000</f>
        <v>0</v>
      </c>
      <c r="Q31" s="19">
        <f>Mitigation_Industry!Q$175*INDEX(Data_EF!$G:$G,MATCH($G31,Data_EF!$A:$A,0))/1000000</f>
        <v>0</v>
      </c>
      <c r="R31" s="19">
        <f>Mitigation_Industry!R$175*INDEX(Data_EF!$G:$G,MATCH($G31,Data_EF!$A:$A,0))/1000000</f>
        <v>0</v>
      </c>
      <c r="S31" s="19">
        <f>Mitigation_Industry!S$175*INDEX(Data_EF!$G:$G,MATCH($G31,Data_EF!$A:$A,0))/1000000</f>
        <v>0</v>
      </c>
      <c r="T31" s="19">
        <f>Mitigation_Industry!T$175*INDEX(Data_EF!$G:$G,MATCH($G31,Data_EF!$A:$A,0))/1000000</f>
        <v>0</v>
      </c>
      <c r="U31" s="19">
        <f>Mitigation_Industry!U$175*INDEX(Data_EF!$G:$G,MATCH($G31,Data_EF!$A:$A,0))/1000000</f>
        <v>0</v>
      </c>
      <c r="V31" s="19">
        <f>Mitigation_Industry!V$175*INDEX(Data_EF!$G:$G,MATCH($G31,Data_EF!$A:$A,0))/1000000</f>
        <v>0</v>
      </c>
      <c r="W31" s="19">
        <f>Mitigation_Industry!W$175*INDEX(Data_EF!$G:$G,MATCH($G31,Data_EF!$A:$A,0))/1000000</f>
        <v>0</v>
      </c>
      <c r="X31" s="19">
        <f>Mitigation_Industry!X$175*INDEX(Data_EF!$G:$G,MATCH($G31,Data_EF!$A:$A,0))/1000000</f>
        <v>0</v>
      </c>
      <c r="Y31" s="19">
        <f>Mitigation_Industry!Y$175*INDEX(Data_EF!$G:$G,MATCH($G31,Data_EF!$A:$A,0))/1000000</f>
        <v>0</v>
      </c>
      <c r="Z31" s="19">
        <f>Mitigation_Industry!Z$175*INDEX(Data_EF!$G:$G,MATCH($G31,Data_EF!$A:$A,0))/1000000</f>
        <v>0</v>
      </c>
      <c r="AA31" s="19">
        <f>Mitigation_Industry!AA$175*INDEX(Data_EF!$G:$G,MATCH($G31,Data_EF!$A:$A,0))/1000000</f>
        <v>0</v>
      </c>
      <c r="AB31" s="19">
        <f>Mitigation_Industry!AB$175*INDEX(Data_EF!$G:$G,MATCH($G31,Data_EF!$A:$A,0))/1000000</f>
        <v>0</v>
      </c>
      <c r="AC31" s="19">
        <f>Mitigation_Industry!AC$175*INDEX(Data_EF!$G:$G,MATCH($G31,Data_EF!$A:$A,0))/1000000</f>
        <v>0</v>
      </c>
      <c r="AD31" s="19">
        <f>Mitigation_Industry!AD$175*INDEX(Data_EF!$G:$G,MATCH($G31,Data_EF!$A:$A,0))/1000000</f>
        <v>0</v>
      </c>
      <c r="AE31" s="19">
        <f>Mitigation_Industry!AE$175*INDEX(Data_EF!$G:$G,MATCH($G31,Data_EF!$A:$A,0))/1000000</f>
        <v>0</v>
      </c>
    </row>
    <row r="32" spans="1:35" customFormat="1" ht="14.25" x14ac:dyDescent="0.45">
      <c r="B32" s="14" t="s">
        <v>55</v>
      </c>
      <c r="C32" s="14" t="str">
        <f t="shared" si="4"/>
        <v>nfm</v>
      </c>
      <c r="D32" s="15" t="s">
        <v>56</v>
      </c>
      <c r="E32" s="16" t="s">
        <v>1967</v>
      </c>
      <c r="F32" s="14" t="s">
        <v>1968</v>
      </c>
      <c r="G32" s="114" t="str">
        <f>Settings!$B$3&amp;".mit.efc."&amp;$B32</f>
        <v>egy.mit.efc.gso</v>
      </c>
      <c r="H32" s="45" t="str">
        <f>Settings!$B$3&amp;".mit.eco2."&amp;$C$29&amp;"."&amp;$B32&amp;".e."&amp;$J$29</f>
        <v>egy.mit.eco2.nfm.gso.e.1</v>
      </c>
      <c r="I32" t="s">
        <v>1989</v>
      </c>
      <c r="L32" s="115">
        <f>Mitigation_Industry!L$176*INDEX(Data_EF!$G:$G,MATCH($G32,Data_EF!$A:$A,0))/1000000</f>
        <v>0</v>
      </c>
      <c r="M32" s="19">
        <f>Mitigation_Industry!M$176*INDEX(Data_EF!$G:$G,MATCH($G32,Data_EF!$A:$A,0))/1000000</f>
        <v>0</v>
      </c>
      <c r="N32" s="19">
        <f>Mitigation_Industry!N$176*INDEX(Data_EF!$G:$G,MATCH($G32,Data_EF!$A:$A,0))/1000000</f>
        <v>0</v>
      </c>
      <c r="O32" s="19">
        <f>Mitigation_Industry!O$176*INDEX(Data_EF!$G:$G,MATCH($G32,Data_EF!$A:$A,0))/1000000</f>
        <v>0</v>
      </c>
      <c r="P32" s="19">
        <f>Mitigation_Industry!P$176*INDEX(Data_EF!$G:$G,MATCH($G32,Data_EF!$A:$A,0))/1000000</f>
        <v>0</v>
      </c>
      <c r="Q32" s="19">
        <f>Mitigation_Industry!Q$176*INDEX(Data_EF!$G:$G,MATCH($G32,Data_EF!$A:$A,0))/1000000</f>
        <v>0</v>
      </c>
      <c r="R32" s="19">
        <f>Mitigation_Industry!R$176*INDEX(Data_EF!$G:$G,MATCH($G32,Data_EF!$A:$A,0))/1000000</f>
        <v>0</v>
      </c>
      <c r="S32" s="19">
        <f>Mitigation_Industry!S$176*INDEX(Data_EF!$G:$G,MATCH($G32,Data_EF!$A:$A,0))/1000000</f>
        <v>0</v>
      </c>
      <c r="T32" s="19">
        <f>Mitigation_Industry!T$176*INDEX(Data_EF!$G:$G,MATCH($G32,Data_EF!$A:$A,0))/1000000</f>
        <v>0</v>
      </c>
      <c r="U32" s="19">
        <f>Mitigation_Industry!U$176*INDEX(Data_EF!$G:$G,MATCH($G32,Data_EF!$A:$A,0))/1000000</f>
        <v>0</v>
      </c>
      <c r="V32" s="19">
        <f>Mitigation_Industry!V$176*INDEX(Data_EF!$G:$G,MATCH($G32,Data_EF!$A:$A,0))/1000000</f>
        <v>0</v>
      </c>
      <c r="W32" s="19">
        <f>Mitigation_Industry!W$176*INDEX(Data_EF!$G:$G,MATCH($G32,Data_EF!$A:$A,0))/1000000</f>
        <v>0</v>
      </c>
      <c r="X32" s="19">
        <f>Mitigation_Industry!X$176*INDEX(Data_EF!$G:$G,MATCH($G32,Data_EF!$A:$A,0))/1000000</f>
        <v>0</v>
      </c>
      <c r="Y32" s="19">
        <f>Mitigation_Industry!Y$176*INDEX(Data_EF!$G:$G,MATCH($G32,Data_EF!$A:$A,0))/1000000</f>
        <v>0</v>
      </c>
      <c r="Z32" s="19">
        <f>Mitigation_Industry!Z$176*INDEX(Data_EF!$G:$G,MATCH($G32,Data_EF!$A:$A,0))/1000000</f>
        <v>0</v>
      </c>
      <c r="AA32" s="19">
        <f>Mitigation_Industry!AA$176*INDEX(Data_EF!$G:$G,MATCH($G32,Data_EF!$A:$A,0))/1000000</f>
        <v>0</v>
      </c>
      <c r="AB32" s="19">
        <f>Mitigation_Industry!AB$176*INDEX(Data_EF!$G:$G,MATCH($G32,Data_EF!$A:$A,0))/1000000</f>
        <v>0</v>
      </c>
      <c r="AC32" s="19">
        <f>Mitigation_Industry!AC$176*INDEX(Data_EF!$G:$G,MATCH($G32,Data_EF!$A:$A,0))/1000000</f>
        <v>0</v>
      </c>
      <c r="AD32" s="19">
        <f>Mitigation_Industry!AD$176*INDEX(Data_EF!$G:$G,MATCH($G32,Data_EF!$A:$A,0))/1000000</f>
        <v>0</v>
      </c>
      <c r="AE32" s="19">
        <f>Mitigation_Industry!AE$176*INDEX(Data_EF!$G:$G,MATCH($G32,Data_EF!$A:$A,0))/1000000</f>
        <v>0</v>
      </c>
    </row>
    <row r="33" spans="1:35" customFormat="1" ht="14.25" x14ac:dyDescent="0.45">
      <c r="B33" s="14" t="s">
        <v>58</v>
      </c>
      <c r="C33" s="14" t="str">
        <f t="shared" si="4"/>
        <v>nfm</v>
      </c>
      <c r="D33" s="15" t="s">
        <v>59</v>
      </c>
      <c r="E33" s="16" t="s">
        <v>1967</v>
      </c>
      <c r="F33" s="14" t="s">
        <v>1968</v>
      </c>
      <c r="G33" s="114" t="str">
        <f>Settings!$B$3&amp;".mit.efc."&amp;$B33</f>
        <v>egy.mit.efc.die</v>
      </c>
      <c r="H33" s="45" t="str">
        <f>Settings!$B$3&amp;".mit.eco2."&amp;$C$29&amp;"."&amp;$B33&amp;".e."&amp;$J$29</f>
        <v>egy.mit.eco2.nfm.die.e.1</v>
      </c>
      <c r="I33" t="s">
        <v>1990</v>
      </c>
      <c r="L33" s="115">
        <f>Mitigation_Industry!L$177*INDEX(Data_EF!$G:$G,MATCH($G33,Data_EF!$A:$A,0))/1000000</f>
        <v>0</v>
      </c>
      <c r="M33" s="19">
        <f>Mitigation_Industry!M$177*INDEX(Data_EF!$G:$G,MATCH($G33,Data_EF!$A:$A,0))/1000000</f>
        <v>0</v>
      </c>
      <c r="N33" s="19">
        <f>Mitigation_Industry!N$177*INDEX(Data_EF!$G:$G,MATCH($G33,Data_EF!$A:$A,0))/1000000</f>
        <v>0</v>
      </c>
      <c r="O33" s="19">
        <f>Mitigation_Industry!O$177*INDEX(Data_EF!$G:$G,MATCH($G33,Data_EF!$A:$A,0))/1000000</f>
        <v>0</v>
      </c>
      <c r="P33" s="19">
        <f>Mitigation_Industry!P$177*INDEX(Data_EF!$G:$G,MATCH($G33,Data_EF!$A:$A,0))/1000000</f>
        <v>0</v>
      </c>
      <c r="Q33" s="19">
        <f>Mitigation_Industry!Q$177*INDEX(Data_EF!$G:$G,MATCH($G33,Data_EF!$A:$A,0))/1000000</f>
        <v>0</v>
      </c>
      <c r="R33" s="19">
        <f>Mitigation_Industry!R$177*INDEX(Data_EF!$G:$G,MATCH($G33,Data_EF!$A:$A,0))/1000000</f>
        <v>0</v>
      </c>
      <c r="S33" s="19">
        <f>Mitigation_Industry!S$177*INDEX(Data_EF!$G:$G,MATCH($G33,Data_EF!$A:$A,0))/1000000</f>
        <v>0</v>
      </c>
      <c r="T33" s="19">
        <f>Mitigation_Industry!T$177*INDEX(Data_EF!$G:$G,MATCH($G33,Data_EF!$A:$A,0))/1000000</f>
        <v>0</v>
      </c>
      <c r="U33" s="19">
        <f>Mitigation_Industry!U$177*INDEX(Data_EF!$G:$G,MATCH($G33,Data_EF!$A:$A,0))/1000000</f>
        <v>0</v>
      </c>
      <c r="V33" s="19">
        <f>Mitigation_Industry!V$177*INDEX(Data_EF!$G:$G,MATCH($G33,Data_EF!$A:$A,0))/1000000</f>
        <v>0</v>
      </c>
      <c r="W33" s="19">
        <f>Mitigation_Industry!W$177*INDEX(Data_EF!$G:$G,MATCH($G33,Data_EF!$A:$A,0))/1000000</f>
        <v>0</v>
      </c>
      <c r="X33" s="19">
        <f>Mitigation_Industry!X$177*INDEX(Data_EF!$G:$G,MATCH($G33,Data_EF!$A:$A,0))/1000000</f>
        <v>0</v>
      </c>
      <c r="Y33" s="19">
        <f>Mitigation_Industry!Y$177*INDEX(Data_EF!$G:$G,MATCH($G33,Data_EF!$A:$A,0))/1000000</f>
        <v>0</v>
      </c>
      <c r="Z33" s="19">
        <f>Mitigation_Industry!Z$177*INDEX(Data_EF!$G:$G,MATCH($G33,Data_EF!$A:$A,0))/1000000</f>
        <v>0</v>
      </c>
      <c r="AA33" s="19">
        <f>Mitigation_Industry!AA$177*INDEX(Data_EF!$G:$G,MATCH($G33,Data_EF!$A:$A,0))/1000000</f>
        <v>0</v>
      </c>
      <c r="AB33" s="19">
        <f>Mitigation_Industry!AB$177*INDEX(Data_EF!$G:$G,MATCH($G33,Data_EF!$A:$A,0))/1000000</f>
        <v>0</v>
      </c>
      <c r="AC33" s="19">
        <f>Mitigation_Industry!AC$177*INDEX(Data_EF!$G:$G,MATCH($G33,Data_EF!$A:$A,0))/1000000</f>
        <v>0</v>
      </c>
      <c r="AD33" s="19">
        <f>Mitigation_Industry!AD$177*INDEX(Data_EF!$G:$G,MATCH($G33,Data_EF!$A:$A,0))/1000000</f>
        <v>0</v>
      </c>
      <c r="AE33" s="19">
        <f>Mitigation_Industry!AE$177*INDEX(Data_EF!$G:$G,MATCH($G33,Data_EF!$A:$A,0))/1000000</f>
        <v>0</v>
      </c>
    </row>
    <row r="34" spans="1:35" customFormat="1" ht="14.25" x14ac:dyDescent="0.45">
      <c r="B34" s="14" t="s">
        <v>60</v>
      </c>
      <c r="C34" s="14" t="str">
        <f t="shared" si="4"/>
        <v>nfm</v>
      </c>
      <c r="D34" s="15" t="s">
        <v>61</v>
      </c>
      <c r="E34" s="16" t="s">
        <v>1967</v>
      </c>
      <c r="F34" s="14" t="s">
        <v>1968</v>
      </c>
      <c r="G34" s="114" t="str">
        <f>Settings!$B$3&amp;".mit.efc."&amp;$B34</f>
        <v>egy.mit.efc.lpg</v>
      </c>
      <c r="H34" s="45" t="str">
        <f>Settings!$B$3&amp;".mit.eco2."&amp;$C$29&amp;"."&amp;$B34&amp;".e."&amp;$J$29</f>
        <v>egy.mit.eco2.nfm.lpg.e.1</v>
      </c>
      <c r="I34" t="s">
        <v>1991</v>
      </c>
      <c r="L34" s="115">
        <f>Mitigation_Industry!L$178*INDEX(Data_EF!$G:$G,MATCH($G34,Data_EF!$A:$A,0))/1000000</f>
        <v>0</v>
      </c>
      <c r="M34" s="19">
        <f>Mitigation_Industry!M$178*INDEX(Data_EF!$G:$G,MATCH($G34,Data_EF!$A:$A,0))/1000000</f>
        <v>0</v>
      </c>
      <c r="N34" s="19">
        <f>Mitigation_Industry!N$178*INDEX(Data_EF!$G:$G,MATCH($G34,Data_EF!$A:$A,0))/1000000</f>
        <v>0</v>
      </c>
      <c r="O34" s="19">
        <f>Mitigation_Industry!O$178*INDEX(Data_EF!$G:$G,MATCH($G34,Data_EF!$A:$A,0))/1000000</f>
        <v>0</v>
      </c>
      <c r="P34" s="19">
        <f>Mitigation_Industry!P$178*INDEX(Data_EF!$G:$G,MATCH($G34,Data_EF!$A:$A,0))/1000000</f>
        <v>0</v>
      </c>
      <c r="Q34" s="19">
        <f>Mitigation_Industry!Q$178*INDEX(Data_EF!$G:$G,MATCH($G34,Data_EF!$A:$A,0))/1000000</f>
        <v>0</v>
      </c>
      <c r="R34" s="19">
        <f>Mitigation_Industry!R$178*INDEX(Data_EF!$G:$G,MATCH($G34,Data_EF!$A:$A,0))/1000000</f>
        <v>0</v>
      </c>
      <c r="S34" s="19">
        <f>Mitigation_Industry!S$178*INDEX(Data_EF!$G:$G,MATCH($G34,Data_EF!$A:$A,0))/1000000</f>
        <v>0</v>
      </c>
      <c r="T34" s="19">
        <f>Mitigation_Industry!T$178*INDEX(Data_EF!$G:$G,MATCH($G34,Data_EF!$A:$A,0))/1000000</f>
        <v>0</v>
      </c>
      <c r="U34" s="19">
        <f>Mitigation_Industry!U$178*INDEX(Data_EF!$G:$G,MATCH($G34,Data_EF!$A:$A,0))/1000000</f>
        <v>0</v>
      </c>
      <c r="V34" s="19">
        <f>Mitigation_Industry!V$178*INDEX(Data_EF!$G:$G,MATCH($G34,Data_EF!$A:$A,0))/1000000</f>
        <v>0</v>
      </c>
      <c r="W34" s="19">
        <f>Mitigation_Industry!W$178*INDEX(Data_EF!$G:$G,MATCH($G34,Data_EF!$A:$A,0))/1000000</f>
        <v>0</v>
      </c>
      <c r="X34" s="19">
        <f>Mitigation_Industry!X$178*INDEX(Data_EF!$G:$G,MATCH($G34,Data_EF!$A:$A,0))/1000000</f>
        <v>0</v>
      </c>
      <c r="Y34" s="19">
        <f>Mitigation_Industry!Y$178*INDEX(Data_EF!$G:$G,MATCH($G34,Data_EF!$A:$A,0))/1000000</f>
        <v>0</v>
      </c>
      <c r="Z34" s="19">
        <f>Mitigation_Industry!Z$178*INDEX(Data_EF!$G:$G,MATCH($G34,Data_EF!$A:$A,0))/1000000</f>
        <v>0</v>
      </c>
      <c r="AA34" s="19">
        <f>Mitigation_Industry!AA$178*INDEX(Data_EF!$G:$G,MATCH($G34,Data_EF!$A:$A,0))/1000000</f>
        <v>0</v>
      </c>
      <c r="AB34" s="19">
        <f>Mitigation_Industry!AB$178*INDEX(Data_EF!$G:$G,MATCH($G34,Data_EF!$A:$A,0))/1000000</f>
        <v>0</v>
      </c>
      <c r="AC34" s="19">
        <f>Mitigation_Industry!AC$178*INDEX(Data_EF!$G:$G,MATCH($G34,Data_EF!$A:$A,0))/1000000</f>
        <v>0</v>
      </c>
      <c r="AD34" s="19">
        <f>Mitigation_Industry!AD$178*INDEX(Data_EF!$G:$G,MATCH($G34,Data_EF!$A:$A,0))/1000000</f>
        <v>0</v>
      </c>
      <c r="AE34" s="19">
        <f>Mitigation_Industry!AE$178*INDEX(Data_EF!$G:$G,MATCH($G34,Data_EF!$A:$A,0))/1000000</f>
        <v>0</v>
      </c>
    </row>
    <row r="35" spans="1:35" customFormat="1" ht="14.25" x14ac:dyDescent="0.45">
      <c r="B35" s="14" t="s">
        <v>62</v>
      </c>
      <c r="C35" s="14" t="str">
        <f t="shared" si="4"/>
        <v>nfm</v>
      </c>
      <c r="D35" s="15" t="s">
        <v>63</v>
      </c>
      <c r="E35" s="16" t="s">
        <v>1967</v>
      </c>
      <c r="F35" s="14" t="s">
        <v>1968</v>
      </c>
      <c r="G35" s="114" t="str">
        <f>Settings!$B$3&amp;".mit.efc."&amp;$B35</f>
        <v>egy.mit.efc.ker</v>
      </c>
      <c r="H35" s="45" t="str">
        <f>Settings!$B$3&amp;".mit.eco2."&amp;$C$29&amp;"."&amp;$B35&amp;".e."&amp;$J$29</f>
        <v>egy.mit.eco2.nfm.ker.e.1</v>
      </c>
      <c r="I35" t="s">
        <v>1992</v>
      </c>
      <c r="L35" s="115">
        <f>Mitigation_Industry!L$179*INDEX(Data_EF!$G:$G,MATCH($G35,Data_EF!$A:$A,0))/1000000</f>
        <v>0</v>
      </c>
      <c r="M35" s="19">
        <f>Mitigation_Industry!M$179*INDEX(Data_EF!$G:$G,MATCH($G35,Data_EF!$A:$A,0))/1000000</f>
        <v>0</v>
      </c>
      <c r="N35" s="19">
        <f>Mitigation_Industry!N$179*INDEX(Data_EF!$G:$G,MATCH($G35,Data_EF!$A:$A,0))/1000000</f>
        <v>0</v>
      </c>
      <c r="O35" s="19">
        <f>Mitigation_Industry!O$179*INDEX(Data_EF!$G:$G,MATCH($G35,Data_EF!$A:$A,0))/1000000</f>
        <v>0</v>
      </c>
      <c r="P35" s="19">
        <f>Mitigation_Industry!P$179*INDEX(Data_EF!$G:$G,MATCH($G35,Data_EF!$A:$A,0))/1000000</f>
        <v>0</v>
      </c>
      <c r="Q35" s="19">
        <f>Mitigation_Industry!Q$179*INDEX(Data_EF!$G:$G,MATCH($G35,Data_EF!$A:$A,0))/1000000</f>
        <v>0</v>
      </c>
      <c r="R35" s="19">
        <f>Mitigation_Industry!R$179*INDEX(Data_EF!$G:$G,MATCH($G35,Data_EF!$A:$A,0))/1000000</f>
        <v>0</v>
      </c>
      <c r="S35" s="19">
        <f>Mitigation_Industry!S$179*INDEX(Data_EF!$G:$G,MATCH($G35,Data_EF!$A:$A,0))/1000000</f>
        <v>0</v>
      </c>
      <c r="T35" s="19">
        <f>Mitigation_Industry!T$179*INDEX(Data_EF!$G:$G,MATCH($G35,Data_EF!$A:$A,0))/1000000</f>
        <v>0</v>
      </c>
      <c r="U35" s="19">
        <f>Mitigation_Industry!U$179*INDEX(Data_EF!$G:$G,MATCH($G35,Data_EF!$A:$A,0))/1000000</f>
        <v>0</v>
      </c>
      <c r="V35" s="19">
        <f>Mitigation_Industry!V$179*INDEX(Data_EF!$G:$G,MATCH($G35,Data_EF!$A:$A,0))/1000000</f>
        <v>0</v>
      </c>
      <c r="W35" s="19">
        <f>Mitigation_Industry!W$179*INDEX(Data_EF!$G:$G,MATCH($G35,Data_EF!$A:$A,0))/1000000</f>
        <v>0</v>
      </c>
      <c r="X35" s="19">
        <f>Mitigation_Industry!X$179*INDEX(Data_EF!$G:$G,MATCH($G35,Data_EF!$A:$A,0))/1000000</f>
        <v>0</v>
      </c>
      <c r="Y35" s="19">
        <f>Mitigation_Industry!Y$179*INDEX(Data_EF!$G:$G,MATCH($G35,Data_EF!$A:$A,0))/1000000</f>
        <v>0</v>
      </c>
      <c r="Z35" s="19">
        <f>Mitigation_Industry!Z$179*INDEX(Data_EF!$G:$G,MATCH($G35,Data_EF!$A:$A,0))/1000000</f>
        <v>0</v>
      </c>
      <c r="AA35" s="19">
        <f>Mitigation_Industry!AA$179*INDEX(Data_EF!$G:$G,MATCH($G35,Data_EF!$A:$A,0))/1000000</f>
        <v>0</v>
      </c>
      <c r="AB35" s="19">
        <f>Mitigation_Industry!AB$179*INDEX(Data_EF!$G:$G,MATCH($G35,Data_EF!$A:$A,0))/1000000</f>
        <v>0</v>
      </c>
      <c r="AC35" s="19">
        <f>Mitigation_Industry!AC$179*INDEX(Data_EF!$G:$G,MATCH($G35,Data_EF!$A:$A,0))/1000000</f>
        <v>0</v>
      </c>
      <c r="AD35" s="19">
        <f>Mitigation_Industry!AD$179*INDEX(Data_EF!$G:$G,MATCH($G35,Data_EF!$A:$A,0))/1000000</f>
        <v>0</v>
      </c>
      <c r="AE35" s="19">
        <f>Mitigation_Industry!AE$179*INDEX(Data_EF!$G:$G,MATCH($G35,Data_EF!$A:$A,0))/1000000</f>
        <v>0</v>
      </c>
    </row>
    <row r="36" spans="1:35" customFormat="1" ht="14.25" x14ac:dyDescent="0.45">
      <c r="B36" s="14" t="s">
        <v>64</v>
      </c>
      <c r="C36" s="14" t="str">
        <f t="shared" si="4"/>
        <v>nfm</v>
      </c>
      <c r="D36" s="15" t="s">
        <v>65</v>
      </c>
      <c r="E36" s="16" t="s">
        <v>1967</v>
      </c>
      <c r="F36" s="14" t="s">
        <v>1968</v>
      </c>
      <c r="G36" s="114" t="str">
        <f>Settings!$B$3&amp;".mit.efc."&amp;$B36</f>
        <v>egy.mit.efc.oop</v>
      </c>
      <c r="H36" s="45" t="str">
        <f>Settings!$B$3&amp;".mit.eco2."&amp;$C$29&amp;"."&amp;$B36&amp;".e."&amp;$J$29</f>
        <v>egy.mit.eco2.nfm.oop.e.1</v>
      </c>
      <c r="I36" t="s">
        <v>1993</v>
      </c>
      <c r="L36" s="115">
        <f>Mitigation_Industry!L$180*INDEX(Data_EF!$G:$G,MATCH($G36,Data_EF!$A:$A,0))/1000000</f>
        <v>0</v>
      </c>
      <c r="M36" s="19">
        <f>Mitigation_Industry!M$180*INDEX(Data_EF!$G:$G,MATCH($G36,Data_EF!$A:$A,0))/1000000</f>
        <v>0</v>
      </c>
      <c r="N36" s="19">
        <f>Mitigation_Industry!N$180*INDEX(Data_EF!$G:$G,MATCH($G36,Data_EF!$A:$A,0))/1000000</f>
        <v>0</v>
      </c>
      <c r="O36" s="19">
        <f>Mitigation_Industry!O$180*INDEX(Data_EF!$G:$G,MATCH($G36,Data_EF!$A:$A,0))/1000000</f>
        <v>0</v>
      </c>
      <c r="P36" s="19">
        <f>Mitigation_Industry!P$180*INDEX(Data_EF!$G:$G,MATCH($G36,Data_EF!$A:$A,0))/1000000</f>
        <v>0</v>
      </c>
      <c r="Q36" s="19">
        <f>Mitigation_Industry!Q$180*INDEX(Data_EF!$G:$G,MATCH($G36,Data_EF!$A:$A,0))/1000000</f>
        <v>0</v>
      </c>
      <c r="R36" s="19">
        <f>Mitigation_Industry!R$180*INDEX(Data_EF!$G:$G,MATCH($G36,Data_EF!$A:$A,0))/1000000</f>
        <v>0</v>
      </c>
      <c r="S36" s="19">
        <f>Mitigation_Industry!S$180*INDEX(Data_EF!$G:$G,MATCH($G36,Data_EF!$A:$A,0))/1000000</f>
        <v>0</v>
      </c>
      <c r="T36" s="19">
        <f>Mitigation_Industry!T$180*INDEX(Data_EF!$G:$G,MATCH($G36,Data_EF!$A:$A,0))/1000000</f>
        <v>0</v>
      </c>
      <c r="U36" s="19">
        <f>Mitigation_Industry!U$180*INDEX(Data_EF!$G:$G,MATCH($G36,Data_EF!$A:$A,0))/1000000</f>
        <v>0</v>
      </c>
      <c r="V36" s="19">
        <f>Mitigation_Industry!V$180*INDEX(Data_EF!$G:$G,MATCH($G36,Data_EF!$A:$A,0))/1000000</f>
        <v>0</v>
      </c>
      <c r="W36" s="19">
        <f>Mitigation_Industry!W$180*INDEX(Data_EF!$G:$G,MATCH($G36,Data_EF!$A:$A,0))/1000000</f>
        <v>0</v>
      </c>
      <c r="X36" s="19">
        <f>Mitigation_Industry!X$180*INDEX(Data_EF!$G:$G,MATCH($G36,Data_EF!$A:$A,0))/1000000</f>
        <v>0</v>
      </c>
      <c r="Y36" s="19">
        <f>Mitigation_Industry!Y$180*INDEX(Data_EF!$G:$G,MATCH($G36,Data_EF!$A:$A,0))/1000000</f>
        <v>0</v>
      </c>
      <c r="Z36" s="19">
        <f>Mitigation_Industry!Z$180*INDEX(Data_EF!$G:$G,MATCH($G36,Data_EF!$A:$A,0))/1000000</f>
        <v>0</v>
      </c>
      <c r="AA36" s="19">
        <f>Mitigation_Industry!AA$180*INDEX(Data_EF!$G:$G,MATCH($G36,Data_EF!$A:$A,0))/1000000</f>
        <v>0</v>
      </c>
      <c r="AB36" s="19">
        <f>Mitigation_Industry!AB$180*INDEX(Data_EF!$G:$G,MATCH($G36,Data_EF!$A:$A,0))/1000000</f>
        <v>0</v>
      </c>
      <c r="AC36" s="19">
        <f>Mitigation_Industry!AC$180*INDEX(Data_EF!$G:$G,MATCH($G36,Data_EF!$A:$A,0))/1000000</f>
        <v>0</v>
      </c>
      <c r="AD36" s="19">
        <f>Mitigation_Industry!AD$180*INDEX(Data_EF!$G:$G,MATCH($G36,Data_EF!$A:$A,0))/1000000</f>
        <v>0</v>
      </c>
      <c r="AE36" s="19">
        <f>Mitigation_Industry!AE$180*INDEX(Data_EF!$G:$G,MATCH($G36,Data_EF!$A:$A,0))/1000000</f>
        <v>0</v>
      </c>
    </row>
    <row r="37" spans="1:35" customFormat="1" ht="14.25" x14ac:dyDescent="0.45">
      <c r="B37" s="14" t="s">
        <v>67</v>
      </c>
      <c r="C37" s="14" t="str">
        <f t="shared" si="4"/>
        <v>nfm</v>
      </c>
      <c r="D37" s="15" t="s">
        <v>68</v>
      </c>
      <c r="E37" s="16" t="s">
        <v>1967</v>
      </c>
      <c r="F37" s="14" t="s">
        <v>1968</v>
      </c>
      <c r="G37" s="114" t="str">
        <f>Settings!$B$3&amp;".mit.efc."&amp;$B37</f>
        <v>egy.mit.efc.bio</v>
      </c>
      <c r="H37" s="45" t="str">
        <f>Settings!$B$3&amp;".mit.eco2."&amp;$C$29&amp;"."&amp;$B37&amp;".e."&amp;$J$29</f>
        <v>egy.mit.eco2.nfm.bio.e.1</v>
      </c>
      <c r="I37" t="s">
        <v>1994</v>
      </c>
      <c r="L37" s="115">
        <f>Mitigation_Industry!L$181*INDEX(Data_EF!$G:$G,MATCH($G37,Data_EF!$A:$A,0))/1000000</f>
        <v>0</v>
      </c>
      <c r="M37" s="19">
        <f>Mitigation_Industry!M$181*INDEX(Data_EF!$G:$G,MATCH($G37,Data_EF!$A:$A,0))/1000000</f>
        <v>0</v>
      </c>
      <c r="N37" s="19">
        <f>Mitigation_Industry!N$181*INDEX(Data_EF!$G:$G,MATCH($G37,Data_EF!$A:$A,0))/1000000</f>
        <v>0</v>
      </c>
      <c r="O37" s="19">
        <f>Mitigation_Industry!O$181*INDEX(Data_EF!$G:$G,MATCH($G37,Data_EF!$A:$A,0))/1000000</f>
        <v>0</v>
      </c>
      <c r="P37" s="19">
        <f>Mitigation_Industry!P$181*INDEX(Data_EF!$G:$G,MATCH($G37,Data_EF!$A:$A,0))/1000000</f>
        <v>0</v>
      </c>
      <c r="Q37" s="19">
        <f>Mitigation_Industry!Q$181*INDEX(Data_EF!$G:$G,MATCH($G37,Data_EF!$A:$A,0))/1000000</f>
        <v>0</v>
      </c>
      <c r="R37" s="19">
        <f>Mitigation_Industry!R$181*INDEX(Data_EF!$G:$G,MATCH($G37,Data_EF!$A:$A,0))/1000000</f>
        <v>0</v>
      </c>
      <c r="S37" s="19">
        <f>Mitigation_Industry!S$181*INDEX(Data_EF!$G:$G,MATCH($G37,Data_EF!$A:$A,0))/1000000</f>
        <v>0</v>
      </c>
      <c r="T37" s="19">
        <f>Mitigation_Industry!T$181*INDEX(Data_EF!$G:$G,MATCH($G37,Data_EF!$A:$A,0))/1000000</f>
        <v>0</v>
      </c>
      <c r="U37" s="19">
        <f>Mitigation_Industry!U$181*INDEX(Data_EF!$G:$G,MATCH($G37,Data_EF!$A:$A,0))/1000000</f>
        <v>0</v>
      </c>
      <c r="V37" s="19">
        <f>Mitigation_Industry!V$181*INDEX(Data_EF!$G:$G,MATCH($G37,Data_EF!$A:$A,0))/1000000</f>
        <v>0</v>
      </c>
      <c r="W37" s="19">
        <f>Mitigation_Industry!W$181*INDEX(Data_EF!$G:$G,MATCH($G37,Data_EF!$A:$A,0))/1000000</f>
        <v>0</v>
      </c>
      <c r="X37" s="19">
        <f>Mitigation_Industry!X$181*INDEX(Data_EF!$G:$G,MATCH($G37,Data_EF!$A:$A,0))/1000000</f>
        <v>0</v>
      </c>
      <c r="Y37" s="19">
        <f>Mitigation_Industry!Y$181*INDEX(Data_EF!$G:$G,MATCH($G37,Data_EF!$A:$A,0))/1000000</f>
        <v>0</v>
      </c>
      <c r="Z37" s="19">
        <f>Mitigation_Industry!Z$181*INDEX(Data_EF!$G:$G,MATCH($G37,Data_EF!$A:$A,0))/1000000</f>
        <v>0</v>
      </c>
      <c r="AA37" s="19">
        <f>Mitigation_Industry!AA$181*INDEX(Data_EF!$G:$G,MATCH($G37,Data_EF!$A:$A,0))/1000000</f>
        <v>0</v>
      </c>
      <c r="AB37" s="19">
        <f>Mitigation_Industry!AB$181*INDEX(Data_EF!$G:$G,MATCH($G37,Data_EF!$A:$A,0))/1000000</f>
        <v>0</v>
      </c>
      <c r="AC37" s="19">
        <f>Mitigation_Industry!AC$181*INDEX(Data_EF!$G:$G,MATCH($G37,Data_EF!$A:$A,0))/1000000</f>
        <v>0</v>
      </c>
      <c r="AD37" s="19">
        <f>Mitigation_Industry!AD$181*INDEX(Data_EF!$G:$G,MATCH($G37,Data_EF!$A:$A,0))/1000000</f>
        <v>0</v>
      </c>
      <c r="AE37" s="19">
        <f>Mitigation_Industry!AE$181*INDEX(Data_EF!$G:$G,MATCH($G37,Data_EF!$A:$A,0))/1000000</f>
        <v>0</v>
      </c>
    </row>
    <row r="38" spans="1:35" customFormat="1" ht="14.25" x14ac:dyDescent="0.45">
      <c r="B38" s="14" t="s">
        <v>69</v>
      </c>
      <c r="C38" s="14" t="str">
        <f t="shared" si="4"/>
        <v>nfm</v>
      </c>
      <c r="D38" s="15" t="s">
        <v>70</v>
      </c>
      <c r="E38" s="16" t="s">
        <v>1967</v>
      </c>
      <c r="F38" s="14" t="s">
        <v>1968</v>
      </c>
      <c r="G38" s="114" t="str">
        <f>Settings!$B$3&amp;".mit.efc."&amp;$B38</f>
        <v>egy.mit.efc.ren</v>
      </c>
      <c r="H38" s="45" t="str">
        <f>Settings!$B$3&amp;".mit.eco2."&amp;$C$29&amp;"."&amp;$B38&amp;".e."&amp;$J$29</f>
        <v>egy.mit.eco2.nfm.ren.e.1</v>
      </c>
      <c r="I38" t="s">
        <v>1995</v>
      </c>
      <c r="L38" s="115">
        <f>Mitigation_Industry!L$182*INDEX(Data_EF!$G:$G,MATCH($G38,Data_EF!$A:$A,0))/1000000</f>
        <v>0</v>
      </c>
      <c r="M38" s="19">
        <f>Mitigation_Industry!M$182*INDEX(Data_EF!$G:$G,MATCH($G38,Data_EF!$A:$A,0))/1000000</f>
        <v>0</v>
      </c>
      <c r="N38" s="19">
        <f>Mitigation_Industry!N$182*INDEX(Data_EF!$G:$G,MATCH($G38,Data_EF!$A:$A,0))/1000000</f>
        <v>0</v>
      </c>
      <c r="O38" s="19">
        <f>Mitigation_Industry!O$182*INDEX(Data_EF!$G:$G,MATCH($G38,Data_EF!$A:$A,0))/1000000</f>
        <v>0</v>
      </c>
      <c r="P38" s="19">
        <f>Mitigation_Industry!P$182*INDEX(Data_EF!$G:$G,MATCH($G38,Data_EF!$A:$A,0))/1000000</f>
        <v>0</v>
      </c>
      <c r="Q38" s="19">
        <f>Mitigation_Industry!Q$182*INDEX(Data_EF!$G:$G,MATCH($G38,Data_EF!$A:$A,0))/1000000</f>
        <v>0</v>
      </c>
      <c r="R38" s="19">
        <f>Mitigation_Industry!R$182*INDEX(Data_EF!$G:$G,MATCH($G38,Data_EF!$A:$A,0))/1000000</f>
        <v>0</v>
      </c>
      <c r="S38" s="19">
        <f>Mitigation_Industry!S$182*INDEX(Data_EF!$G:$G,MATCH($G38,Data_EF!$A:$A,0))/1000000</f>
        <v>0</v>
      </c>
      <c r="T38" s="19">
        <f>Mitigation_Industry!T$182*INDEX(Data_EF!$G:$G,MATCH($G38,Data_EF!$A:$A,0))/1000000</f>
        <v>0</v>
      </c>
      <c r="U38" s="19">
        <f>Mitigation_Industry!U$182*INDEX(Data_EF!$G:$G,MATCH($G38,Data_EF!$A:$A,0))/1000000</f>
        <v>0</v>
      </c>
      <c r="V38" s="19">
        <f>Mitigation_Industry!V$182*INDEX(Data_EF!$G:$G,MATCH($G38,Data_EF!$A:$A,0))/1000000</f>
        <v>0</v>
      </c>
      <c r="W38" s="19">
        <f>Mitigation_Industry!W$182*INDEX(Data_EF!$G:$G,MATCH($G38,Data_EF!$A:$A,0))/1000000</f>
        <v>0</v>
      </c>
      <c r="X38" s="19">
        <f>Mitigation_Industry!X$182*INDEX(Data_EF!$G:$G,MATCH($G38,Data_EF!$A:$A,0))/1000000</f>
        <v>0</v>
      </c>
      <c r="Y38" s="19">
        <f>Mitigation_Industry!Y$182*INDEX(Data_EF!$G:$G,MATCH($G38,Data_EF!$A:$A,0))/1000000</f>
        <v>0</v>
      </c>
      <c r="Z38" s="19">
        <f>Mitigation_Industry!Z$182*INDEX(Data_EF!$G:$G,MATCH($G38,Data_EF!$A:$A,0))/1000000</f>
        <v>0</v>
      </c>
      <c r="AA38" s="19">
        <f>Mitigation_Industry!AA$182*INDEX(Data_EF!$G:$G,MATCH($G38,Data_EF!$A:$A,0))/1000000</f>
        <v>0</v>
      </c>
      <c r="AB38" s="19">
        <f>Mitigation_Industry!AB$182*INDEX(Data_EF!$G:$G,MATCH($G38,Data_EF!$A:$A,0))/1000000</f>
        <v>0</v>
      </c>
      <c r="AC38" s="19">
        <f>Mitigation_Industry!AC$182*INDEX(Data_EF!$G:$G,MATCH($G38,Data_EF!$A:$A,0))/1000000</f>
        <v>0</v>
      </c>
      <c r="AD38" s="19">
        <f>Mitigation_Industry!AD$182*INDEX(Data_EF!$G:$G,MATCH($G38,Data_EF!$A:$A,0))/1000000</f>
        <v>0</v>
      </c>
      <c r="AE38" s="19">
        <f>Mitigation_Industry!AE$182*INDEX(Data_EF!$G:$G,MATCH($G38,Data_EF!$A:$A,0))/1000000</f>
        <v>0</v>
      </c>
    </row>
    <row r="39" spans="1:35" customFormat="1" ht="14.25" x14ac:dyDescent="0.45">
      <c r="B39" s="14" t="s">
        <v>110</v>
      </c>
      <c r="C39" s="14" t="str">
        <f t="shared" si="4"/>
        <v>nfm</v>
      </c>
      <c r="D39" s="25" t="s">
        <v>111</v>
      </c>
      <c r="E39" s="16" t="s">
        <v>1967</v>
      </c>
      <c r="F39" s="14" t="s">
        <v>1968</v>
      </c>
      <c r="H39" s="45" t="str">
        <f>Settings!$B$3&amp;".mit.eco2."&amp;$C$29&amp;".tot.e."&amp;$J$29</f>
        <v>egy.mit.eco2.nfm.tot.e.1</v>
      </c>
      <c r="L39" s="116">
        <f t="shared" ref="L39:AE39" si="5">SUM(L30:L38)</f>
        <v>0</v>
      </c>
      <c r="M39" s="116">
        <f t="shared" si="5"/>
        <v>0</v>
      </c>
      <c r="N39" s="116">
        <f t="shared" si="5"/>
        <v>0</v>
      </c>
      <c r="O39" s="116">
        <f t="shared" si="5"/>
        <v>0</v>
      </c>
      <c r="P39" s="116">
        <f t="shared" si="5"/>
        <v>0</v>
      </c>
      <c r="Q39" s="116">
        <f t="shared" si="5"/>
        <v>0</v>
      </c>
      <c r="R39" s="116">
        <f t="shared" si="5"/>
        <v>0</v>
      </c>
      <c r="S39" s="116">
        <f t="shared" si="5"/>
        <v>0</v>
      </c>
      <c r="T39" s="116">
        <f t="shared" si="5"/>
        <v>0</v>
      </c>
      <c r="U39" s="116">
        <f t="shared" si="5"/>
        <v>0</v>
      </c>
      <c r="V39" s="116">
        <f t="shared" si="5"/>
        <v>0</v>
      </c>
      <c r="W39" s="116">
        <f t="shared" si="5"/>
        <v>0</v>
      </c>
      <c r="X39" s="116">
        <f t="shared" si="5"/>
        <v>0</v>
      </c>
      <c r="Y39" s="116">
        <f t="shared" si="5"/>
        <v>0</v>
      </c>
      <c r="Z39" s="116">
        <f t="shared" si="5"/>
        <v>0</v>
      </c>
      <c r="AA39" s="116">
        <f t="shared" si="5"/>
        <v>0</v>
      </c>
      <c r="AB39" s="116">
        <f t="shared" si="5"/>
        <v>0</v>
      </c>
      <c r="AC39" s="116">
        <f t="shared" si="5"/>
        <v>0</v>
      </c>
      <c r="AD39" s="116">
        <f t="shared" si="5"/>
        <v>0</v>
      </c>
      <c r="AE39" s="116">
        <f t="shared" si="5"/>
        <v>0</v>
      </c>
    </row>
    <row r="41" spans="1:35" customFormat="1" ht="14.25" x14ac:dyDescent="0.45">
      <c r="A41" s="11"/>
      <c r="B41" s="6" t="s">
        <v>116</v>
      </c>
      <c r="C41" s="7" t="s">
        <v>117</v>
      </c>
      <c r="D41" s="6" t="s">
        <v>44</v>
      </c>
      <c r="E41" s="7" t="s">
        <v>35</v>
      </c>
      <c r="F41" s="7" t="s">
        <v>45</v>
      </c>
      <c r="G41" s="7" t="s">
        <v>1966</v>
      </c>
      <c r="H41" s="12" t="s">
        <v>38</v>
      </c>
      <c r="I41" s="6" t="s">
        <v>47</v>
      </c>
      <c r="J41" s="48">
        <v>1</v>
      </c>
      <c r="K41" s="6">
        <v>2021</v>
      </c>
      <c r="L41" s="46">
        <v>2022</v>
      </c>
      <c r="M41" s="6">
        <v>2023</v>
      </c>
      <c r="N41" s="6">
        <v>2024</v>
      </c>
      <c r="O41" s="6">
        <v>2025</v>
      </c>
      <c r="P41" s="6">
        <v>2026</v>
      </c>
      <c r="Q41" s="6">
        <v>2027</v>
      </c>
      <c r="R41" s="6">
        <v>2028</v>
      </c>
      <c r="S41" s="6">
        <v>2029</v>
      </c>
      <c r="T41" s="6">
        <v>2030</v>
      </c>
      <c r="U41" s="6">
        <v>2031</v>
      </c>
      <c r="V41" s="6">
        <v>2032</v>
      </c>
      <c r="W41" s="6">
        <v>2033</v>
      </c>
      <c r="X41" s="6">
        <v>2034</v>
      </c>
      <c r="Y41" s="6">
        <v>2035</v>
      </c>
      <c r="Z41" s="6">
        <v>2036</v>
      </c>
      <c r="AA41" s="6">
        <v>2037</v>
      </c>
      <c r="AB41" s="6">
        <v>2038</v>
      </c>
      <c r="AC41" s="6">
        <v>2039</v>
      </c>
      <c r="AD41" s="6">
        <v>2040</v>
      </c>
      <c r="AE41" s="6">
        <v>2041</v>
      </c>
      <c r="AF41" s="6">
        <v>2042</v>
      </c>
      <c r="AG41" s="6">
        <v>2043</v>
      </c>
      <c r="AH41" s="6">
        <v>2044</v>
      </c>
      <c r="AI41" s="6">
        <v>2045</v>
      </c>
    </row>
    <row r="42" spans="1:35" customFormat="1" ht="14.25" x14ac:dyDescent="0.45">
      <c r="B42" s="14" t="s">
        <v>49</v>
      </c>
      <c r="C42" s="14" t="str">
        <f t="shared" ref="C42:C51" si="6">$C$41</f>
        <v>mch</v>
      </c>
      <c r="D42" s="15" t="s">
        <v>50</v>
      </c>
      <c r="E42" s="16" t="s">
        <v>1967</v>
      </c>
      <c r="F42" s="14" t="s">
        <v>1968</v>
      </c>
      <c r="G42" s="114" t="str">
        <f>Settings!$B$3&amp;".mit.efc."&amp;$B42</f>
        <v>egy.mit.efc.coa</v>
      </c>
      <c r="H42" s="45" t="str">
        <f>Settings!$B$3&amp;".mit.eco2."&amp;$C$41&amp;"."&amp;$B42&amp;".e."&amp;$J$41</f>
        <v>egy.mit.eco2.mch.coa.e.1</v>
      </c>
      <c r="I42" t="s">
        <v>1996</v>
      </c>
      <c r="L42" s="115">
        <f>Mitigation_Industry!L$234*INDEX(Data_EF!$G:$G,MATCH($G42,Data_EF!$A:$A,0))/1000000</f>
        <v>0</v>
      </c>
      <c r="M42" s="19">
        <f>Mitigation_Industry!M$234*INDEX(Data_EF!$G:$G,MATCH($G42,Data_EF!$A:$A,0))/1000000</f>
        <v>0</v>
      </c>
      <c r="N42" s="19">
        <f>Mitigation_Industry!N$234*INDEX(Data_EF!$G:$G,MATCH($G42,Data_EF!$A:$A,0))/1000000</f>
        <v>0</v>
      </c>
      <c r="O42" s="19">
        <f>Mitigation_Industry!O$234*INDEX(Data_EF!$G:$G,MATCH($G42,Data_EF!$A:$A,0))/1000000</f>
        <v>0</v>
      </c>
      <c r="P42" s="19">
        <f>Mitigation_Industry!P$234*INDEX(Data_EF!$G:$G,MATCH($G42,Data_EF!$A:$A,0))/1000000</f>
        <v>0</v>
      </c>
      <c r="Q42" s="19">
        <f>Mitigation_Industry!Q$234*INDEX(Data_EF!$G:$G,MATCH($G42,Data_EF!$A:$A,0))/1000000</f>
        <v>0</v>
      </c>
      <c r="R42" s="19">
        <f>Mitigation_Industry!R$234*INDEX(Data_EF!$G:$G,MATCH($G42,Data_EF!$A:$A,0))/1000000</f>
        <v>0</v>
      </c>
      <c r="S42" s="19">
        <f>Mitigation_Industry!S$234*INDEX(Data_EF!$G:$G,MATCH($G42,Data_EF!$A:$A,0))/1000000</f>
        <v>0</v>
      </c>
      <c r="T42" s="19">
        <f>Mitigation_Industry!T$234*INDEX(Data_EF!$G:$G,MATCH($G42,Data_EF!$A:$A,0))/1000000</f>
        <v>0</v>
      </c>
      <c r="U42" s="19">
        <f>Mitigation_Industry!U$234*INDEX(Data_EF!$G:$G,MATCH($G42,Data_EF!$A:$A,0))/1000000</f>
        <v>0</v>
      </c>
      <c r="V42" s="19">
        <f>Mitigation_Industry!V$234*INDEX(Data_EF!$G:$G,MATCH($G42,Data_EF!$A:$A,0))/1000000</f>
        <v>0</v>
      </c>
      <c r="W42" s="19">
        <f>Mitigation_Industry!W$234*INDEX(Data_EF!$G:$G,MATCH($G42,Data_EF!$A:$A,0))/1000000</f>
        <v>0</v>
      </c>
      <c r="X42" s="19">
        <f>Mitigation_Industry!X$234*INDEX(Data_EF!$G:$G,MATCH($G42,Data_EF!$A:$A,0))/1000000</f>
        <v>0</v>
      </c>
      <c r="Y42" s="19">
        <f>Mitigation_Industry!Y$234*INDEX(Data_EF!$G:$G,MATCH($G42,Data_EF!$A:$A,0))/1000000</f>
        <v>0</v>
      </c>
      <c r="Z42" s="19">
        <f>Mitigation_Industry!Z$234*INDEX(Data_EF!$G:$G,MATCH($G42,Data_EF!$A:$A,0))/1000000</f>
        <v>0</v>
      </c>
      <c r="AA42" s="19">
        <f>Mitigation_Industry!AA$234*INDEX(Data_EF!$G:$G,MATCH($G42,Data_EF!$A:$A,0))/1000000</f>
        <v>0</v>
      </c>
      <c r="AB42" s="19">
        <f>Mitigation_Industry!AB$234*INDEX(Data_EF!$G:$G,MATCH($G42,Data_EF!$A:$A,0))/1000000</f>
        <v>0</v>
      </c>
      <c r="AC42" s="19">
        <f>Mitigation_Industry!AC$234*INDEX(Data_EF!$G:$G,MATCH($G42,Data_EF!$A:$A,0))/1000000</f>
        <v>0</v>
      </c>
      <c r="AD42" s="19">
        <f>Mitigation_Industry!AD$234*INDEX(Data_EF!$G:$G,MATCH($G42,Data_EF!$A:$A,0))/1000000</f>
        <v>0</v>
      </c>
      <c r="AE42" s="19">
        <f>Mitigation_Industry!AE$234*INDEX(Data_EF!$G:$G,MATCH($G42,Data_EF!$A:$A,0))/1000000</f>
        <v>0</v>
      </c>
    </row>
    <row r="43" spans="1:35" customFormat="1" ht="14.25" x14ac:dyDescent="0.45">
      <c r="B43" s="14" t="s">
        <v>53</v>
      </c>
      <c r="C43" s="14" t="str">
        <f t="shared" si="6"/>
        <v>mch</v>
      </c>
      <c r="D43" s="15" t="s">
        <v>54</v>
      </c>
      <c r="E43" s="16" t="s">
        <v>1967</v>
      </c>
      <c r="F43" s="14" t="s">
        <v>1968</v>
      </c>
      <c r="G43" s="114" t="str">
        <f>Settings!$B$3&amp;".mit.efc."&amp;$B43</f>
        <v>egy.mit.efc.nga</v>
      </c>
      <c r="H43" s="45" t="str">
        <f>Settings!$B$3&amp;".mit.eco2."&amp;$C$41&amp;"."&amp;$B43&amp;".e."&amp;$J$41</f>
        <v>egy.mit.eco2.mch.nga.e.1</v>
      </c>
      <c r="I43" t="s">
        <v>1997</v>
      </c>
      <c r="L43" s="115">
        <f>Mitigation_Industry!L$235*INDEX(Data_EF!$G:$G,MATCH($G43,Data_EF!$A:$A,0))/1000000</f>
        <v>0</v>
      </c>
      <c r="M43" s="19">
        <f>Mitigation_Industry!M$235*INDEX(Data_EF!$G:$G,MATCH($G43,Data_EF!$A:$A,0))/1000000</f>
        <v>0</v>
      </c>
      <c r="N43" s="19">
        <f>Mitigation_Industry!N$235*INDEX(Data_EF!$G:$G,MATCH($G43,Data_EF!$A:$A,0))/1000000</f>
        <v>0</v>
      </c>
      <c r="O43" s="19">
        <f>Mitigation_Industry!O$235*INDEX(Data_EF!$G:$G,MATCH($G43,Data_EF!$A:$A,0))/1000000</f>
        <v>0</v>
      </c>
      <c r="P43" s="19">
        <f>Mitigation_Industry!P$235*INDEX(Data_EF!$G:$G,MATCH($G43,Data_EF!$A:$A,0))/1000000</f>
        <v>0</v>
      </c>
      <c r="Q43" s="19">
        <f>Mitigation_Industry!Q$235*INDEX(Data_EF!$G:$G,MATCH($G43,Data_EF!$A:$A,0))/1000000</f>
        <v>0</v>
      </c>
      <c r="R43" s="19">
        <f>Mitigation_Industry!R$235*INDEX(Data_EF!$G:$G,MATCH($G43,Data_EF!$A:$A,0))/1000000</f>
        <v>0</v>
      </c>
      <c r="S43" s="19">
        <f>Mitigation_Industry!S$235*INDEX(Data_EF!$G:$G,MATCH($G43,Data_EF!$A:$A,0))/1000000</f>
        <v>0</v>
      </c>
      <c r="T43" s="19">
        <f>Mitigation_Industry!T$235*INDEX(Data_EF!$G:$G,MATCH($G43,Data_EF!$A:$A,0))/1000000</f>
        <v>0</v>
      </c>
      <c r="U43" s="19">
        <f>Mitigation_Industry!U$235*INDEX(Data_EF!$G:$G,MATCH($G43,Data_EF!$A:$A,0))/1000000</f>
        <v>0</v>
      </c>
      <c r="V43" s="19">
        <f>Mitigation_Industry!V$235*INDEX(Data_EF!$G:$G,MATCH($G43,Data_EF!$A:$A,0))/1000000</f>
        <v>0</v>
      </c>
      <c r="W43" s="19">
        <f>Mitigation_Industry!W$235*INDEX(Data_EF!$G:$G,MATCH($G43,Data_EF!$A:$A,0))/1000000</f>
        <v>0</v>
      </c>
      <c r="X43" s="19">
        <f>Mitigation_Industry!X$235*INDEX(Data_EF!$G:$G,MATCH($G43,Data_EF!$A:$A,0))/1000000</f>
        <v>0</v>
      </c>
      <c r="Y43" s="19">
        <f>Mitigation_Industry!Y$235*INDEX(Data_EF!$G:$G,MATCH($G43,Data_EF!$A:$A,0))/1000000</f>
        <v>0</v>
      </c>
      <c r="Z43" s="19">
        <f>Mitigation_Industry!Z$235*INDEX(Data_EF!$G:$G,MATCH($G43,Data_EF!$A:$A,0))/1000000</f>
        <v>0</v>
      </c>
      <c r="AA43" s="19">
        <f>Mitigation_Industry!AA$235*INDEX(Data_EF!$G:$G,MATCH($G43,Data_EF!$A:$A,0))/1000000</f>
        <v>0</v>
      </c>
      <c r="AB43" s="19">
        <f>Mitigation_Industry!AB$235*INDEX(Data_EF!$G:$G,MATCH($G43,Data_EF!$A:$A,0))/1000000</f>
        <v>0</v>
      </c>
      <c r="AC43" s="19">
        <f>Mitigation_Industry!AC$235*INDEX(Data_EF!$G:$G,MATCH($G43,Data_EF!$A:$A,0))/1000000</f>
        <v>0</v>
      </c>
      <c r="AD43" s="19">
        <f>Mitigation_Industry!AD$235*INDEX(Data_EF!$G:$G,MATCH($G43,Data_EF!$A:$A,0))/1000000</f>
        <v>0</v>
      </c>
      <c r="AE43" s="19">
        <f>Mitigation_Industry!AE$235*INDEX(Data_EF!$G:$G,MATCH($G43,Data_EF!$A:$A,0))/1000000</f>
        <v>0</v>
      </c>
    </row>
    <row r="44" spans="1:35" customFormat="1" ht="14.25" x14ac:dyDescent="0.45">
      <c r="B44" s="14" t="s">
        <v>55</v>
      </c>
      <c r="C44" s="14" t="str">
        <f t="shared" si="6"/>
        <v>mch</v>
      </c>
      <c r="D44" s="15" t="s">
        <v>56</v>
      </c>
      <c r="E44" s="16" t="s">
        <v>1967</v>
      </c>
      <c r="F44" s="14" t="s">
        <v>1968</v>
      </c>
      <c r="G44" s="114" t="str">
        <f>Settings!$B$3&amp;".mit.efc."&amp;$B44</f>
        <v>egy.mit.efc.gso</v>
      </c>
      <c r="H44" s="45" t="str">
        <f>Settings!$B$3&amp;".mit.eco2."&amp;$C$41&amp;"."&amp;$B44&amp;".e."&amp;$J$41</f>
        <v>egy.mit.eco2.mch.gso.e.1</v>
      </c>
      <c r="I44" t="s">
        <v>1998</v>
      </c>
      <c r="L44" s="115">
        <f>Mitigation_Industry!L$236*INDEX(Data_EF!$G:$G,MATCH($G44,Data_EF!$A:$A,0))/1000000</f>
        <v>0</v>
      </c>
      <c r="M44" s="19">
        <f>Mitigation_Industry!M$236*INDEX(Data_EF!$G:$G,MATCH($G44,Data_EF!$A:$A,0))/1000000</f>
        <v>0</v>
      </c>
      <c r="N44" s="19">
        <f>Mitigation_Industry!N$236*INDEX(Data_EF!$G:$G,MATCH($G44,Data_EF!$A:$A,0))/1000000</f>
        <v>0</v>
      </c>
      <c r="O44" s="19">
        <f>Mitigation_Industry!O$236*INDEX(Data_EF!$G:$G,MATCH($G44,Data_EF!$A:$A,0))/1000000</f>
        <v>0</v>
      </c>
      <c r="P44" s="19">
        <f>Mitigation_Industry!P$236*INDEX(Data_EF!$G:$G,MATCH($G44,Data_EF!$A:$A,0))/1000000</f>
        <v>0</v>
      </c>
      <c r="Q44" s="19">
        <f>Mitigation_Industry!Q$236*INDEX(Data_EF!$G:$G,MATCH($G44,Data_EF!$A:$A,0))/1000000</f>
        <v>0</v>
      </c>
      <c r="R44" s="19">
        <f>Mitigation_Industry!R$236*INDEX(Data_EF!$G:$G,MATCH($G44,Data_EF!$A:$A,0))/1000000</f>
        <v>0</v>
      </c>
      <c r="S44" s="19">
        <f>Mitigation_Industry!S$236*INDEX(Data_EF!$G:$G,MATCH($G44,Data_EF!$A:$A,0))/1000000</f>
        <v>0</v>
      </c>
      <c r="T44" s="19">
        <f>Mitigation_Industry!T$236*INDEX(Data_EF!$G:$G,MATCH($G44,Data_EF!$A:$A,0))/1000000</f>
        <v>0</v>
      </c>
      <c r="U44" s="19">
        <f>Mitigation_Industry!U$236*INDEX(Data_EF!$G:$G,MATCH($G44,Data_EF!$A:$A,0))/1000000</f>
        <v>0</v>
      </c>
      <c r="V44" s="19">
        <f>Mitigation_Industry!V$236*INDEX(Data_EF!$G:$G,MATCH($G44,Data_EF!$A:$A,0))/1000000</f>
        <v>0</v>
      </c>
      <c r="W44" s="19">
        <f>Mitigation_Industry!W$236*INDEX(Data_EF!$G:$G,MATCH($G44,Data_EF!$A:$A,0))/1000000</f>
        <v>0</v>
      </c>
      <c r="X44" s="19">
        <f>Mitigation_Industry!X$236*INDEX(Data_EF!$G:$G,MATCH($G44,Data_EF!$A:$A,0))/1000000</f>
        <v>0</v>
      </c>
      <c r="Y44" s="19">
        <f>Mitigation_Industry!Y$236*INDEX(Data_EF!$G:$G,MATCH($G44,Data_EF!$A:$A,0))/1000000</f>
        <v>0</v>
      </c>
      <c r="Z44" s="19">
        <f>Mitigation_Industry!Z$236*INDEX(Data_EF!$G:$G,MATCH($G44,Data_EF!$A:$A,0))/1000000</f>
        <v>0</v>
      </c>
      <c r="AA44" s="19">
        <f>Mitigation_Industry!AA$236*INDEX(Data_EF!$G:$G,MATCH($G44,Data_EF!$A:$A,0))/1000000</f>
        <v>0</v>
      </c>
      <c r="AB44" s="19">
        <f>Mitigation_Industry!AB$236*INDEX(Data_EF!$G:$G,MATCH($G44,Data_EF!$A:$A,0))/1000000</f>
        <v>0</v>
      </c>
      <c r="AC44" s="19">
        <f>Mitigation_Industry!AC$236*INDEX(Data_EF!$G:$G,MATCH($G44,Data_EF!$A:$A,0))/1000000</f>
        <v>0</v>
      </c>
      <c r="AD44" s="19">
        <f>Mitigation_Industry!AD$236*INDEX(Data_EF!$G:$G,MATCH($G44,Data_EF!$A:$A,0))/1000000</f>
        <v>0</v>
      </c>
      <c r="AE44" s="19">
        <f>Mitigation_Industry!AE$236*INDEX(Data_EF!$G:$G,MATCH($G44,Data_EF!$A:$A,0))/1000000</f>
        <v>0</v>
      </c>
    </row>
    <row r="45" spans="1:35" customFormat="1" ht="14.25" x14ac:dyDescent="0.45">
      <c r="B45" s="14" t="s">
        <v>58</v>
      </c>
      <c r="C45" s="14" t="str">
        <f t="shared" si="6"/>
        <v>mch</v>
      </c>
      <c r="D45" s="15" t="s">
        <v>59</v>
      </c>
      <c r="E45" s="16" t="s">
        <v>1967</v>
      </c>
      <c r="F45" s="14" t="s">
        <v>1968</v>
      </c>
      <c r="G45" s="114" t="str">
        <f>Settings!$B$3&amp;".mit.efc."&amp;$B45</f>
        <v>egy.mit.efc.die</v>
      </c>
      <c r="H45" s="45" t="str">
        <f>Settings!$B$3&amp;".mit.eco2."&amp;$C$41&amp;"."&amp;$B45&amp;".e."&amp;$J$41</f>
        <v>egy.mit.eco2.mch.die.e.1</v>
      </c>
      <c r="I45" t="s">
        <v>1999</v>
      </c>
      <c r="L45" s="115">
        <f>Mitigation_Industry!L$237*INDEX(Data_EF!$G:$G,MATCH($G45,Data_EF!$A:$A,0))/1000000</f>
        <v>0</v>
      </c>
      <c r="M45" s="19">
        <f>Mitigation_Industry!M$237*INDEX(Data_EF!$G:$G,MATCH($G45,Data_EF!$A:$A,0))/1000000</f>
        <v>0</v>
      </c>
      <c r="N45" s="19">
        <f>Mitigation_Industry!N$237*INDEX(Data_EF!$G:$G,MATCH($G45,Data_EF!$A:$A,0))/1000000</f>
        <v>0</v>
      </c>
      <c r="O45" s="19">
        <f>Mitigation_Industry!O$237*INDEX(Data_EF!$G:$G,MATCH($G45,Data_EF!$A:$A,0))/1000000</f>
        <v>0</v>
      </c>
      <c r="P45" s="19">
        <f>Mitigation_Industry!P$237*INDEX(Data_EF!$G:$G,MATCH($G45,Data_EF!$A:$A,0))/1000000</f>
        <v>0</v>
      </c>
      <c r="Q45" s="19">
        <f>Mitigation_Industry!Q$237*INDEX(Data_EF!$G:$G,MATCH($G45,Data_EF!$A:$A,0))/1000000</f>
        <v>0</v>
      </c>
      <c r="R45" s="19">
        <f>Mitigation_Industry!R$237*INDEX(Data_EF!$G:$G,MATCH($G45,Data_EF!$A:$A,0))/1000000</f>
        <v>0</v>
      </c>
      <c r="S45" s="19">
        <f>Mitigation_Industry!S$237*INDEX(Data_EF!$G:$G,MATCH($G45,Data_EF!$A:$A,0))/1000000</f>
        <v>0</v>
      </c>
      <c r="T45" s="19">
        <f>Mitigation_Industry!T$237*INDEX(Data_EF!$G:$G,MATCH($G45,Data_EF!$A:$A,0))/1000000</f>
        <v>0</v>
      </c>
      <c r="U45" s="19">
        <f>Mitigation_Industry!U$237*INDEX(Data_EF!$G:$G,MATCH($G45,Data_EF!$A:$A,0))/1000000</f>
        <v>0</v>
      </c>
      <c r="V45" s="19">
        <f>Mitigation_Industry!V$237*INDEX(Data_EF!$G:$G,MATCH($G45,Data_EF!$A:$A,0))/1000000</f>
        <v>0</v>
      </c>
      <c r="W45" s="19">
        <f>Mitigation_Industry!W$237*INDEX(Data_EF!$G:$G,MATCH($G45,Data_EF!$A:$A,0))/1000000</f>
        <v>0</v>
      </c>
      <c r="X45" s="19">
        <f>Mitigation_Industry!X$237*INDEX(Data_EF!$G:$G,MATCH($G45,Data_EF!$A:$A,0))/1000000</f>
        <v>0</v>
      </c>
      <c r="Y45" s="19">
        <f>Mitigation_Industry!Y$237*INDEX(Data_EF!$G:$G,MATCH($G45,Data_EF!$A:$A,0))/1000000</f>
        <v>0</v>
      </c>
      <c r="Z45" s="19">
        <f>Mitigation_Industry!Z$237*INDEX(Data_EF!$G:$G,MATCH($G45,Data_EF!$A:$A,0))/1000000</f>
        <v>0</v>
      </c>
      <c r="AA45" s="19">
        <f>Mitigation_Industry!AA$237*INDEX(Data_EF!$G:$G,MATCH($G45,Data_EF!$A:$A,0))/1000000</f>
        <v>0</v>
      </c>
      <c r="AB45" s="19">
        <f>Mitigation_Industry!AB$237*INDEX(Data_EF!$G:$G,MATCH($G45,Data_EF!$A:$A,0))/1000000</f>
        <v>0</v>
      </c>
      <c r="AC45" s="19">
        <f>Mitigation_Industry!AC$237*INDEX(Data_EF!$G:$G,MATCH($G45,Data_EF!$A:$A,0))/1000000</f>
        <v>0</v>
      </c>
      <c r="AD45" s="19">
        <f>Mitigation_Industry!AD$237*INDEX(Data_EF!$G:$G,MATCH($G45,Data_EF!$A:$A,0))/1000000</f>
        <v>0</v>
      </c>
      <c r="AE45" s="19">
        <f>Mitigation_Industry!AE$237*INDEX(Data_EF!$G:$G,MATCH($G45,Data_EF!$A:$A,0))/1000000</f>
        <v>0</v>
      </c>
    </row>
    <row r="46" spans="1:35" customFormat="1" ht="14.25" x14ac:dyDescent="0.45">
      <c r="B46" s="14" t="s">
        <v>60</v>
      </c>
      <c r="C46" s="14" t="str">
        <f t="shared" si="6"/>
        <v>mch</v>
      </c>
      <c r="D46" s="15" t="s">
        <v>61</v>
      </c>
      <c r="E46" s="16" t="s">
        <v>1967</v>
      </c>
      <c r="F46" s="14" t="s">
        <v>1968</v>
      </c>
      <c r="G46" s="114" t="str">
        <f>Settings!$B$3&amp;".mit.efc."&amp;$B46</f>
        <v>egy.mit.efc.lpg</v>
      </c>
      <c r="H46" s="45" t="str">
        <f>Settings!$B$3&amp;".mit.eco2."&amp;$C$41&amp;"."&amp;$B46&amp;".e."&amp;$J$41</f>
        <v>egy.mit.eco2.mch.lpg.e.1</v>
      </c>
      <c r="I46" t="s">
        <v>2000</v>
      </c>
      <c r="L46" s="115">
        <f>Mitigation_Industry!L$238*INDEX(Data_EF!$G:$G,MATCH($G46,Data_EF!$A:$A,0))/1000000</f>
        <v>0</v>
      </c>
      <c r="M46" s="19">
        <f>Mitigation_Industry!M$238*INDEX(Data_EF!$G:$G,MATCH($G46,Data_EF!$A:$A,0))/1000000</f>
        <v>0</v>
      </c>
      <c r="N46" s="19">
        <f>Mitigation_Industry!N$238*INDEX(Data_EF!$G:$G,MATCH($G46,Data_EF!$A:$A,0))/1000000</f>
        <v>0</v>
      </c>
      <c r="O46" s="19">
        <f>Mitigation_Industry!O$238*INDEX(Data_EF!$G:$G,MATCH($G46,Data_EF!$A:$A,0))/1000000</f>
        <v>0</v>
      </c>
      <c r="P46" s="19">
        <f>Mitigation_Industry!P$238*INDEX(Data_EF!$G:$G,MATCH($G46,Data_EF!$A:$A,0))/1000000</f>
        <v>0</v>
      </c>
      <c r="Q46" s="19">
        <f>Mitigation_Industry!Q$238*INDEX(Data_EF!$G:$G,MATCH($G46,Data_EF!$A:$A,0))/1000000</f>
        <v>0</v>
      </c>
      <c r="R46" s="19">
        <f>Mitigation_Industry!R$238*INDEX(Data_EF!$G:$G,MATCH($G46,Data_EF!$A:$A,0))/1000000</f>
        <v>0</v>
      </c>
      <c r="S46" s="19">
        <f>Mitigation_Industry!S$238*INDEX(Data_EF!$G:$G,MATCH($G46,Data_EF!$A:$A,0))/1000000</f>
        <v>0</v>
      </c>
      <c r="T46" s="19">
        <f>Mitigation_Industry!T$238*INDEX(Data_EF!$G:$G,MATCH($G46,Data_EF!$A:$A,0))/1000000</f>
        <v>0</v>
      </c>
      <c r="U46" s="19">
        <f>Mitigation_Industry!U$238*INDEX(Data_EF!$G:$G,MATCH($G46,Data_EF!$A:$A,0))/1000000</f>
        <v>0</v>
      </c>
      <c r="V46" s="19">
        <f>Mitigation_Industry!V$238*INDEX(Data_EF!$G:$G,MATCH($G46,Data_EF!$A:$A,0))/1000000</f>
        <v>0</v>
      </c>
      <c r="W46" s="19">
        <f>Mitigation_Industry!W$238*INDEX(Data_EF!$G:$G,MATCH($G46,Data_EF!$A:$A,0))/1000000</f>
        <v>0</v>
      </c>
      <c r="X46" s="19">
        <f>Mitigation_Industry!X$238*INDEX(Data_EF!$G:$G,MATCH($G46,Data_EF!$A:$A,0))/1000000</f>
        <v>0</v>
      </c>
      <c r="Y46" s="19">
        <f>Mitigation_Industry!Y$238*INDEX(Data_EF!$G:$G,MATCH($G46,Data_EF!$A:$A,0))/1000000</f>
        <v>0</v>
      </c>
      <c r="Z46" s="19">
        <f>Mitigation_Industry!Z$238*INDEX(Data_EF!$G:$G,MATCH($G46,Data_EF!$A:$A,0))/1000000</f>
        <v>0</v>
      </c>
      <c r="AA46" s="19">
        <f>Mitigation_Industry!AA$238*INDEX(Data_EF!$G:$G,MATCH($G46,Data_EF!$A:$A,0))/1000000</f>
        <v>0</v>
      </c>
      <c r="AB46" s="19">
        <f>Mitigation_Industry!AB$238*INDEX(Data_EF!$G:$G,MATCH($G46,Data_EF!$A:$A,0))/1000000</f>
        <v>0</v>
      </c>
      <c r="AC46" s="19">
        <f>Mitigation_Industry!AC$238*INDEX(Data_EF!$G:$G,MATCH($G46,Data_EF!$A:$A,0))/1000000</f>
        <v>0</v>
      </c>
      <c r="AD46" s="19">
        <f>Mitigation_Industry!AD$238*INDEX(Data_EF!$G:$G,MATCH($G46,Data_EF!$A:$A,0))/1000000</f>
        <v>0</v>
      </c>
      <c r="AE46" s="19">
        <f>Mitigation_Industry!AE$238*INDEX(Data_EF!$G:$G,MATCH($G46,Data_EF!$A:$A,0))/1000000</f>
        <v>0</v>
      </c>
    </row>
    <row r="47" spans="1:35" customFormat="1" ht="14.25" x14ac:dyDescent="0.45">
      <c r="B47" s="14" t="s">
        <v>62</v>
      </c>
      <c r="C47" s="14" t="str">
        <f t="shared" si="6"/>
        <v>mch</v>
      </c>
      <c r="D47" s="15" t="s">
        <v>63</v>
      </c>
      <c r="E47" s="16" t="s">
        <v>1967</v>
      </c>
      <c r="F47" s="14" t="s">
        <v>1968</v>
      </c>
      <c r="G47" s="114" t="str">
        <f>Settings!$B$3&amp;".mit.efc."&amp;$B47</f>
        <v>egy.mit.efc.ker</v>
      </c>
      <c r="H47" s="45" t="str">
        <f>Settings!$B$3&amp;".mit.eco2."&amp;$C$41&amp;"."&amp;$B47&amp;".e."&amp;$J$41</f>
        <v>egy.mit.eco2.mch.ker.e.1</v>
      </c>
      <c r="I47" t="s">
        <v>2001</v>
      </c>
      <c r="L47" s="115">
        <f>Mitigation_Industry!L$239*INDEX(Data_EF!$G:$G,MATCH($G47,Data_EF!$A:$A,0))/1000000</f>
        <v>0</v>
      </c>
      <c r="M47" s="19">
        <f>Mitigation_Industry!M$239*INDEX(Data_EF!$G:$G,MATCH($G47,Data_EF!$A:$A,0))/1000000</f>
        <v>0</v>
      </c>
      <c r="N47" s="19">
        <f>Mitigation_Industry!N$239*INDEX(Data_EF!$G:$G,MATCH($G47,Data_EF!$A:$A,0))/1000000</f>
        <v>0</v>
      </c>
      <c r="O47" s="19">
        <f>Mitigation_Industry!O$239*INDEX(Data_EF!$G:$G,MATCH($G47,Data_EF!$A:$A,0))/1000000</f>
        <v>0</v>
      </c>
      <c r="P47" s="19">
        <f>Mitigation_Industry!P$239*INDEX(Data_EF!$G:$G,MATCH($G47,Data_EF!$A:$A,0))/1000000</f>
        <v>0</v>
      </c>
      <c r="Q47" s="19">
        <f>Mitigation_Industry!Q$239*INDEX(Data_EF!$G:$G,MATCH($G47,Data_EF!$A:$A,0))/1000000</f>
        <v>0</v>
      </c>
      <c r="R47" s="19">
        <f>Mitigation_Industry!R$239*INDEX(Data_EF!$G:$G,MATCH($G47,Data_EF!$A:$A,0))/1000000</f>
        <v>0</v>
      </c>
      <c r="S47" s="19">
        <f>Mitigation_Industry!S$239*INDEX(Data_EF!$G:$G,MATCH($G47,Data_EF!$A:$A,0))/1000000</f>
        <v>0</v>
      </c>
      <c r="T47" s="19">
        <f>Mitigation_Industry!T$239*INDEX(Data_EF!$G:$G,MATCH($G47,Data_EF!$A:$A,0))/1000000</f>
        <v>0</v>
      </c>
      <c r="U47" s="19">
        <f>Mitigation_Industry!U$239*INDEX(Data_EF!$G:$G,MATCH($G47,Data_EF!$A:$A,0))/1000000</f>
        <v>0</v>
      </c>
      <c r="V47" s="19">
        <f>Mitigation_Industry!V$239*INDEX(Data_EF!$G:$G,MATCH($G47,Data_EF!$A:$A,0))/1000000</f>
        <v>0</v>
      </c>
      <c r="W47" s="19">
        <f>Mitigation_Industry!W$239*INDEX(Data_EF!$G:$G,MATCH($G47,Data_EF!$A:$A,0))/1000000</f>
        <v>0</v>
      </c>
      <c r="X47" s="19">
        <f>Mitigation_Industry!X$239*INDEX(Data_EF!$G:$G,MATCH($G47,Data_EF!$A:$A,0))/1000000</f>
        <v>0</v>
      </c>
      <c r="Y47" s="19">
        <f>Mitigation_Industry!Y$239*INDEX(Data_EF!$G:$G,MATCH($G47,Data_EF!$A:$A,0))/1000000</f>
        <v>0</v>
      </c>
      <c r="Z47" s="19">
        <f>Mitigation_Industry!Z$239*INDEX(Data_EF!$G:$G,MATCH($G47,Data_EF!$A:$A,0))/1000000</f>
        <v>0</v>
      </c>
      <c r="AA47" s="19">
        <f>Mitigation_Industry!AA$239*INDEX(Data_EF!$G:$G,MATCH($G47,Data_EF!$A:$A,0))/1000000</f>
        <v>0</v>
      </c>
      <c r="AB47" s="19">
        <f>Mitigation_Industry!AB$239*INDEX(Data_EF!$G:$G,MATCH($G47,Data_EF!$A:$A,0))/1000000</f>
        <v>0</v>
      </c>
      <c r="AC47" s="19">
        <f>Mitigation_Industry!AC$239*INDEX(Data_EF!$G:$G,MATCH($G47,Data_EF!$A:$A,0))/1000000</f>
        <v>0</v>
      </c>
      <c r="AD47" s="19">
        <f>Mitigation_Industry!AD$239*INDEX(Data_EF!$G:$G,MATCH($G47,Data_EF!$A:$A,0))/1000000</f>
        <v>0</v>
      </c>
      <c r="AE47" s="19">
        <f>Mitigation_Industry!AE$239*INDEX(Data_EF!$G:$G,MATCH($G47,Data_EF!$A:$A,0))/1000000</f>
        <v>0</v>
      </c>
    </row>
    <row r="48" spans="1:35" customFormat="1" ht="14.25" x14ac:dyDescent="0.45">
      <c r="B48" s="14" t="s">
        <v>64</v>
      </c>
      <c r="C48" s="14" t="str">
        <f t="shared" si="6"/>
        <v>mch</v>
      </c>
      <c r="D48" s="15" t="s">
        <v>65</v>
      </c>
      <c r="E48" s="16" t="s">
        <v>1967</v>
      </c>
      <c r="F48" s="14" t="s">
        <v>1968</v>
      </c>
      <c r="G48" s="114" t="str">
        <f>Settings!$B$3&amp;".mit.efc."&amp;$B48</f>
        <v>egy.mit.efc.oop</v>
      </c>
      <c r="H48" s="45" t="str">
        <f>Settings!$B$3&amp;".mit.eco2."&amp;$C$41&amp;"."&amp;$B48&amp;".e."&amp;$J$41</f>
        <v>egy.mit.eco2.mch.oop.e.1</v>
      </c>
      <c r="I48" t="s">
        <v>2002</v>
      </c>
      <c r="L48" s="115">
        <f>Mitigation_Industry!L$240*INDEX(Data_EF!$G:$G,MATCH($G48,Data_EF!$A:$A,0))/1000000</f>
        <v>0</v>
      </c>
      <c r="M48" s="19">
        <f>Mitigation_Industry!M$240*INDEX(Data_EF!$G:$G,MATCH($G48,Data_EF!$A:$A,0))/1000000</f>
        <v>0</v>
      </c>
      <c r="N48" s="19">
        <f>Mitigation_Industry!N$240*INDEX(Data_EF!$G:$G,MATCH($G48,Data_EF!$A:$A,0))/1000000</f>
        <v>0</v>
      </c>
      <c r="O48" s="19">
        <f>Mitigation_Industry!O$240*INDEX(Data_EF!$G:$G,MATCH($G48,Data_EF!$A:$A,0))/1000000</f>
        <v>0</v>
      </c>
      <c r="P48" s="19">
        <f>Mitigation_Industry!P$240*INDEX(Data_EF!$G:$G,MATCH($G48,Data_EF!$A:$A,0))/1000000</f>
        <v>0</v>
      </c>
      <c r="Q48" s="19">
        <f>Mitigation_Industry!Q$240*INDEX(Data_EF!$G:$G,MATCH($G48,Data_EF!$A:$A,0))/1000000</f>
        <v>0</v>
      </c>
      <c r="R48" s="19">
        <f>Mitigation_Industry!R$240*INDEX(Data_EF!$G:$G,MATCH($G48,Data_EF!$A:$A,0))/1000000</f>
        <v>0</v>
      </c>
      <c r="S48" s="19">
        <f>Mitigation_Industry!S$240*INDEX(Data_EF!$G:$G,MATCH($G48,Data_EF!$A:$A,0))/1000000</f>
        <v>0</v>
      </c>
      <c r="T48" s="19">
        <f>Mitigation_Industry!T$240*INDEX(Data_EF!$G:$G,MATCH($G48,Data_EF!$A:$A,0))/1000000</f>
        <v>0</v>
      </c>
      <c r="U48" s="19">
        <f>Mitigation_Industry!U$240*INDEX(Data_EF!$G:$G,MATCH($G48,Data_EF!$A:$A,0))/1000000</f>
        <v>0</v>
      </c>
      <c r="V48" s="19">
        <f>Mitigation_Industry!V$240*INDEX(Data_EF!$G:$G,MATCH($G48,Data_EF!$A:$A,0))/1000000</f>
        <v>0</v>
      </c>
      <c r="W48" s="19">
        <f>Mitigation_Industry!W$240*INDEX(Data_EF!$G:$G,MATCH($G48,Data_EF!$A:$A,0))/1000000</f>
        <v>0</v>
      </c>
      <c r="X48" s="19">
        <f>Mitigation_Industry!X$240*INDEX(Data_EF!$G:$G,MATCH($G48,Data_EF!$A:$A,0))/1000000</f>
        <v>0</v>
      </c>
      <c r="Y48" s="19">
        <f>Mitigation_Industry!Y$240*INDEX(Data_EF!$G:$G,MATCH($G48,Data_EF!$A:$A,0))/1000000</f>
        <v>0</v>
      </c>
      <c r="Z48" s="19">
        <f>Mitigation_Industry!Z$240*INDEX(Data_EF!$G:$G,MATCH($G48,Data_EF!$A:$A,0))/1000000</f>
        <v>0</v>
      </c>
      <c r="AA48" s="19">
        <f>Mitigation_Industry!AA$240*INDEX(Data_EF!$G:$G,MATCH($G48,Data_EF!$A:$A,0))/1000000</f>
        <v>0</v>
      </c>
      <c r="AB48" s="19">
        <f>Mitigation_Industry!AB$240*INDEX(Data_EF!$G:$G,MATCH($G48,Data_EF!$A:$A,0))/1000000</f>
        <v>0</v>
      </c>
      <c r="AC48" s="19">
        <f>Mitigation_Industry!AC$240*INDEX(Data_EF!$G:$G,MATCH($G48,Data_EF!$A:$A,0))/1000000</f>
        <v>0</v>
      </c>
      <c r="AD48" s="19">
        <f>Mitigation_Industry!AD$240*INDEX(Data_EF!$G:$G,MATCH($G48,Data_EF!$A:$A,0))/1000000</f>
        <v>0</v>
      </c>
      <c r="AE48" s="19">
        <f>Mitigation_Industry!AE$240*INDEX(Data_EF!$G:$G,MATCH($G48,Data_EF!$A:$A,0))/1000000</f>
        <v>0</v>
      </c>
    </row>
    <row r="49" spans="1:35" customFormat="1" ht="14.25" x14ac:dyDescent="0.45">
      <c r="B49" s="14" t="s">
        <v>67</v>
      </c>
      <c r="C49" s="14" t="str">
        <f t="shared" si="6"/>
        <v>mch</v>
      </c>
      <c r="D49" s="15" t="s">
        <v>68</v>
      </c>
      <c r="E49" s="16" t="s">
        <v>1967</v>
      </c>
      <c r="F49" s="14" t="s">
        <v>1968</v>
      </c>
      <c r="G49" s="114" t="str">
        <f>Settings!$B$3&amp;".mit.efc."&amp;$B49</f>
        <v>egy.mit.efc.bio</v>
      </c>
      <c r="H49" s="45" t="str">
        <f>Settings!$B$3&amp;".mit.eco2."&amp;$C$41&amp;"."&amp;$B49&amp;".e."&amp;$J$41</f>
        <v>egy.mit.eco2.mch.bio.e.1</v>
      </c>
      <c r="I49" t="s">
        <v>2003</v>
      </c>
      <c r="L49" s="115">
        <f>Mitigation_Industry!L$241*INDEX(Data_EF!$G:$G,MATCH($G49,Data_EF!$A:$A,0))/1000000</f>
        <v>0</v>
      </c>
      <c r="M49" s="19">
        <f>Mitigation_Industry!M$241*INDEX(Data_EF!$G:$G,MATCH($G49,Data_EF!$A:$A,0))/1000000</f>
        <v>0</v>
      </c>
      <c r="N49" s="19">
        <f>Mitigation_Industry!N$241*INDEX(Data_EF!$G:$G,MATCH($G49,Data_EF!$A:$A,0))/1000000</f>
        <v>0</v>
      </c>
      <c r="O49" s="19">
        <f>Mitigation_Industry!O$241*INDEX(Data_EF!$G:$G,MATCH($G49,Data_EF!$A:$A,0))/1000000</f>
        <v>0</v>
      </c>
      <c r="P49" s="19">
        <f>Mitigation_Industry!P$241*INDEX(Data_EF!$G:$G,MATCH($G49,Data_EF!$A:$A,0))/1000000</f>
        <v>0</v>
      </c>
      <c r="Q49" s="19">
        <f>Mitigation_Industry!Q$241*INDEX(Data_EF!$G:$G,MATCH($G49,Data_EF!$A:$A,0))/1000000</f>
        <v>0</v>
      </c>
      <c r="R49" s="19">
        <f>Mitigation_Industry!R$241*INDEX(Data_EF!$G:$G,MATCH($G49,Data_EF!$A:$A,0))/1000000</f>
        <v>0</v>
      </c>
      <c r="S49" s="19">
        <f>Mitigation_Industry!S$241*INDEX(Data_EF!$G:$G,MATCH($G49,Data_EF!$A:$A,0))/1000000</f>
        <v>0</v>
      </c>
      <c r="T49" s="19">
        <f>Mitigation_Industry!T$241*INDEX(Data_EF!$G:$G,MATCH($G49,Data_EF!$A:$A,0))/1000000</f>
        <v>0</v>
      </c>
      <c r="U49" s="19">
        <f>Mitigation_Industry!U$241*INDEX(Data_EF!$G:$G,MATCH($G49,Data_EF!$A:$A,0))/1000000</f>
        <v>0</v>
      </c>
      <c r="V49" s="19">
        <f>Mitigation_Industry!V$241*INDEX(Data_EF!$G:$G,MATCH($G49,Data_EF!$A:$A,0))/1000000</f>
        <v>0</v>
      </c>
      <c r="W49" s="19">
        <f>Mitigation_Industry!W$241*INDEX(Data_EF!$G:$G,MATCH($G49,Data_EF!$A:$A,0))/1000000</f>
        <v>0</v>
      </c>
      <c r="X49" s="19">
        <f>Mitigation_Industry!X$241*INDEX(Data_EF!$G:$G,MATCH($G49,Data_EF!$A:$A,0))/1000000</f>
        <v>0</v>
      </c>
      <c r="Y49" s="19">
        <f>Mitigation_Industry!Y$241*INDEX(Data_EF!$G:$G,MATCH($G49,Data_EF!$A:$A,0))/1000000</f>
        <v>0</v>
      </c>
      <c r="Z49" s="19">
        <f>Mitigation_Industry!Z$241*INDEX(Data_EF!$G:$G,MATCH($G49,Data_EF!$A:$A,0))/1000000</f>
        <v>0</v>
      </c>
      <c r="AA49" s="19">
        <f>Mitigation_Industry!AA$241*INDEX(Data_EF!$G:$G,MATCH($G49,Data_EF!$A:$A,0))/1000000</f>
        <v>0</v>
      </c>
      <c r="AB49" s="19">
        <f>Mitigation_Industry!AB$241*INDEX(Data_EF!$G:$G,MATCH($G49,Data_EF!$A:$A,0))/1000000</f>
        <v>0</v>
      </c>
      <c r="AC49" s="19">
        <f>Mitigation_Industry!AC$241*INDEX(Data_EF!$G:$G,MATCH($G49,Data_EF!$A:$A,0))/1000000</f>
        <v>0</v>
      </c>
      <c r="AD49" s="19">
        <f>Mitigation_Industry!AD$241*INDEX(Data_EF!$G:$G,MATCH($G49,Data_EF!$A:$A,0))/1000000</f>
        <v>0</v>
      </c>
      <c r="AE49" s="19">
        <f>Mitigation_Industry!AE$241*INDEX(Data_EF!$G:$G,MATCH($G49,Data_EF!$A:$A,0))/1000000</f>
        <v>0</v>
      </c>
    </row>
    <row r="50" spans="1:35" customFormat="1" ht="14.25" x14ac:dyDescent="0.45">
      <c r="B50" s="14" t="s">
        <v>69</v>
      </c>
      <c r="C50" s="14" t="str">
        <f t="shared" si="6"/>
        <v>mch</v>
      </c>
      <c r="D50" s="15" t="s">
        <v>70</v>
      </c>
      <c r="E50" s="16" t="s">
        <v>1967</v>
      </c>
      <c r="F50" s="14" t="s">
        <v>1968</v>
      </c>
      <c r="G50" s="114" t="str">
        <f>Settings!$B$3&amp;".mit.efc."&amp;$B50</f>
        <v>egy.mit.efc.ren</v>
      </c>
      <c r="H50" s="45" t="str">
        <f>Settings!$B$3&amp;".mit.eco2."&amp;$C$41&amp;"."&amp;$B50&amp;".e."&amp;$J$41</f>
        <v>egy.mit.eco2.mch.ren.e.1</v>
      </c>
      <c r="I50" t="s">
        <v>2004</v>
      </c>
      <c r="L50" s="115">
        <f>Mitigation_Industry!L$242*INDEX(Data_EF!$G:$G,MATCH($G50,Data_EF!$A:$A,0))/1000000</f>
        <v>0</v>
      </c>
      <c r="M50" s="19">
        <f>Mitigation_Industry!M$242*INDEX(Data_EF!$G:$G,MATCH($G50,Data_EF!$A:$A,0))/1000000</f>
        <v>0</v>
      </c>
      <c r="N50" s="19">
        <f>Mitigation_Industry!N$242*INDEX(Data_EF!$G:$G,MATCH($G50,Data_EF!$A:$A,0))/1000000</f>
        <v>0</v>
      </c>
      <c r="O50" s="19">
        <f>Mitigation_Industry!O$242*INDEX(Data_EF!$G:$G,MATCH($G50,Data_EF!$A:$A,0))/1000000</f>
        <v>0</v>
      </c>
      <c r="P50" s="19">
        <f>Mitigation_Industry!P$242*INDEX(Data_EF!$G:$G,MATCH($G50,Data_EF!$A:$A,0))/1000000</f>
        <v>0</v>
      </c>
      <c r="Q50" s="19">
        <f>Mitigation_Industry!Q$242*INDEX(Data_EF!$G:$G,MATCH($G50,Data_EF!$A:$A,0))/1000000</f>
        <v>0</v>
      </c>
      <c r="R50" s="19">
        <f>Mitigation_Industry!R$242*INDEX(Data_EF!$G:$G,MATCH($G50,Data_EF!$A:$A,0))/1000000</f>
        <v>0</v>
      </c>
      <c r="S50" s="19">
        <f>Mitigation_Industry!S$242*INDEX(Data_EF!$G:$G,MATCH($G50,Data_EF!$A:$A,0))/1000000</f>
        <v>0</v>
      </c>
      <c r="T50" s="19">
        <f>Mitigation_Industry!T$242*INDEX(Data_EF!$G:$G,MATCH($G50,Data_EF!$A:$A,0))/1000000</f>
        <v>0</v>
      </c>
      <c r="U50" s="19">
        <f>Mitigation_Industry!U$242*INDEX(Data_EF!$G:$G,MATCH($G50,Data_EF!$A:$A,0))/1000000</f>
        <v>0</v>
      </c>
      <c r="V50" s="19">
        <f>Mitigation_Industry!V$242*INDEX(Data_EF!$G:$G,MATCH($G50,Data_EF!$A:$A,0))/1000000</f>
        <v>0</v>
      </c>
      <c r="W50" s="19">
        <f>Mitigation_Industry!W$242*INDEX(Data_EF!$G:$G,MATCH($G50,Data_EF!$A:$A,0))/1000000</f>
        <v>0</v>
      </c>
      <c r="X50" s="19">
        <f>Mitigation_Industry!X$242*INDEX(Data_EF!$G:$G,MATCH($G50,Data_EF!$A:$A,0))/1000000</f>
        <v>0</v>
      </c>
      <c r="Y50" s="19">
        <f>Mitigation_Industry!Y$242*INDEX(Data_EF!$G:$G,MATCH($G50,Data_EF!$A:$A,0))/1000000</f>
        <v>0</v>
      </c>
      <c r="Z50" s="19">
        <f>Mitigation_Industry!Z$242*INDEX(Data_EF!$G:$G,MATCH($G50,Data_EF!$A:$A,0))/1000000</f>
        <v>0</v>
      </c>
      <c r="AA50" s="19">
        <f>Mitigation_Industry!AA$242*INDEX(Data_EF!$G:$G,MATCH($G50,Data_EF!$A:$A,0))/1000000</f>
        <v>0</v>
      </c>
      <c r="AB50" s="19">
        <f>Mitigation_Industry!AB$242*INDEX(Data_EF!$G:$G,MATCH($G50,Data_EF!$A:$A,0))/1000000</f>
        <v>0</v>
      </c>
      <c r="AC50" s="19">
        <f>Mitigation_Industry!AC$242*INDEX(Data_EF!$G:$G,MATCH($G50,Data_EF!$A:$A,0))/1000000</f>
        <v>0</v>
      </c>
      <c r="AD50" s="19">
        <f>Mitigation_Industry!AD$242*INDEX(Data_EF!$G:$G,MATCH($G50,Data_EF!$A:$A,0))/1000000</f>
        <v>0</v>
      </c>
      <c r="AE50" s="19">
        <f>Mitigation_Industry!AE$242*INDEX(Data_EF!$G:$G,MATCH($G50,Data_EF!$A:$A,0))/1000000</f>
        <v>0</v>
      </c>
    </row>
    <row r="51" spans="1:35" customFormat="1" ht="14.25" x14ac:dyDescent="0.45">
      <c r="B51" s="14" t="s">
        <v>110</v>
      </c>
      <c r="C51" s="14" t="str">
        <f t="shared" si="6"/>
        <v>mch</v>
      </c>
      <c r="D51" s="25" t="s">
        <v>111</v>
      </c>
      <c r="E51" s="16" t="s">
        <v>1967</v>
      </c>
      <c r="F51" s="14" t="s">
        <v>1968</v>
      </c>
      <c r="H51" s="45" t="str">
        <f>Settings!$B$3&amp;".mit.eco2."&amp;$C$41&amp;".tot.e."&amp;$J$41</f>
        <v>egy.mit.eco2.mch.tot.e.1</v>
      </c>
      <c r="L51" s="116">
        <f t="shared" ref="L51:AE51" si="7">SUM(L42:L50)</f>
        <v>0</v>
      </c>
      <c r="M51" s="116">
        <f t="shared" si="7"/>
        <v>0</v>
      </c>
      <c r="N51" s="116">
        <f t="shared" si="7"/>
        <v>0</v>
      </c>
      <c r="O51" s="116">
        <f t="shared" si="7"/>
        <v>0</v>
      </c>
      <c r="P51" s="116">
        <f t="shared" si="7"/>
        <v>0</v>
      </c>
      <c r="Q51" s="116">
        <f t="shared" si="7"/>
        <v>0</v>
      </c>
      <c r="R51" s="116">
        <f t="shared" si="7"/>
        <v>0</v>
      </c>
      <c r="S51" s="116">
        <f t="shared" si="7"/>
        <v>0</v>
      </c>
      <c r="T51" s="116">
        <f t="shared" si="7"/>
        <v>0</v>
      </c>
      <c r="U51" s="116">
        <f t="shared" si="7"/>
        <v>0</v>
      </c>
      <c r="V51" s="116">
        <f t="shared" si="7"/>
        <v>0</v>
      </c>
      <c r="W51" s="116">
        <f t="shared" si="7"/>
        <v>0</v>
      </c>
      <c r="X51" s="116">
        <f t="shared" si="7"/>
        <v>0</v>
      </c>
      <c r="Y51" s="116">
        <f t="shared" si="7"/>
        <v>0</v>
      </c>
      <c r="Z51" s="116">
        <f t="shared" si="7"/>
        <v>0</v>
      </c>
      <c r="AA51" s="116">
        <f t="shared" si="7"/>
        <v>0</v>
      </c>
      <c r="AB51" s="116">
        <f t="shared" si="7"/>
        <v>0</v>
      </c>
      <c r="AC51" s="116">
        <f t="shared" si="7"/>
        <v>0</v>
      </c>
      <c r="AD51" s="116">
        <f t="shared" si="7"/>
        <v>0</v>
      </c>
      <c r="AE51" s="116">
        <f t="shared" si="7"/>
        <v>0</v>
      </c>
    </row>
    <row r="54" spans="1:35" customFormat="1" ht="18" customHeight="1" x14ac:dyDescent="0.45">
      <c r="A54" s="8"/>
      <c r="B54" s="9" t="s">
        <v>2005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</row>
    <row r="56" spans="1:35" customFormat="1" ht="14.25" x14ac:dyDescent="0.45">
      <c r="A56" s="11"/>
      <c r="B56" s="6" t="s">
        <v>42</v>
      </c>
      <c r="C56" s="7" t="s">
        <v>43</v>
      </c>
      <c r="D56" s="6" t="s">
        <v>44</v>
      </c>
      <c r="E56" s="7" t="s">
        <v>35</v>
      </c>
      <c r="F56" s="7" t="s">
        <v>45</v>
      </c>
      <c r="G56" s="7" t="s">
        <v>1966</v>
      </c>
      <c r="H56" s="12" t="s">
        <v>38</v>
      </c>
      <c r="I56" s="6" t="s">
        <v>47</v>
      </c>
      <c r="J56" s="48">
        <v>2</v>
      </c>
      <c r="K56" s="6">
        <v>2021</v>
      </c>
      <c r="L56" s="46">
        <v>2022</v>
      </c>
      <c r="M56" s="6">
        <v>2023</v>
      </c>
      <c r="N56" s="6">
        <v>2024</v>
      </c>
      <c r="O56" s="6">
        <v>2025</v>
      </c>
      <c r="P56" s="6">
        <v>2026</v>
      </c>
      <c r="Q56" s="6">
        <v>2027</v>
      </c>
      <c r="R56" s="6">
        <v>2028</v>
      </c>
      <c r="S56" s="6">
        <v>2029</v>
      </c>
      <c r="T56" s="6">
        <v>2030</v>
      </c>
      <c r="U56" s="6">
        <v>2031</v>
      </c>
      <c r="V56" s="6">
        <v>2032</v>
      </c>
      <c r="W56" s="6">
        <v>2033</v>
      </c>
      <c r="X56" s="6">
        <v>2034</v>
      </c>
      <c r="Y56" s="6">
        <v>2035</v>
      </c>
      <c r="Z56" s="6">
        <v>2036</v>
      </c>
      <c r="AA56" s="6">
        <v>2037</v>
      </c>
      <c r="AB56" s="6">
        <v>2038</v>
      </c>
      <c r="AC56" s="6">
        <v>2039</v>
      </c>
      <c r="AD56" s="6">
        <v>2040</v>
      </c>
      <c r="AE56" s="6">
        <v>2041</v>
      </c>
      <c r="AF56" s="6">
        <v>2042</v>
      </c>
      <c r="AG56" s="6">
        <v>2043</v>
      </c>
      <c r="AH56" s="6">
        <v>2044</v>
      </c>
      <c r="AI56" s="6">
        <v>2045</v>
      </c>
    </row>
    <row r="57" spans="1:35" customFormat="1" ht="14.25" x14ac:dyDescent="0.45">
      <c r="B57" s="14" t="s">
        <v>49</v>
      </c>
      <c r="C57" s="14" t="str">
        <f t="shared" ref="C57:C66" si="8">$C$56</f>
        <v>irn</v>
      </c>
      <c r="D57" s="15" t="s">
        <v>50</v>
      </c>
      <c r="E57" s="16" t="s">
        <v>1967</v>
      </c>
      <c r="F57" s="14" t="s">
        <v>1968</v>
      </c>
      <c r="G57" s="114" t="str">
        <f>Settings!$B$3&amp;".mit.efc."&amp;$B57</f>
        <v>egy.mit.efc.coa</v>
      </c>
      <c r="H57" s="45" t="str">
        <f>Settings!$B$3&amp;".mit.eco2."&amp;$C$56&amp;"."&amp;$B57&amp;".e."&amp;$J$56</f>
        <v>egy.mit.eco2.irn.coa.e.2</v>
      </c>
      <c r="I57" t="s">
        <v>2006</v>
      </c>
      <c r="L57" s="115">
        <f>Mitigation_Industry!L$453*INDEX(Data_EF!$G:$G,MATCH($G57,Data_EF!$A:$A,0))/1000000</f>
        <v>0.90552851514095434</v>
      </c>
      <c r="M57" s="19">
        <f>Mitigation_Industry!M$453*INDEX(Data_EF!$G:$G,MATCH($G57,Data_EF!$A:$A,0))/1000000</f>
        <v>0.7373709829353039</v>
      </c>
      <c r="N57" s="19">
        <f>Mitigation_Industry!N$453*INDEX(Data_EF!$G:$G,MATCH($G57,Data_EF!$A:$A,0))/1000000</f>
        <v>0.84742505653625044</v>
      </c>
      <c r="O57" s="19">
        <f>Mitigation_Industry!O$453*INDEX(Data_EF!$G:$G,MATCH($G57,Data_EF!$A:$A,0))/1000000</f>
        <v>0.92592542220348095</v>
      </c>
      <c r="P57" s="19">
        <f>Mitigation_Industry!P$453*INDEX(Data_EF!$G:$G,MATCH($G57,Data_EF!$A:$A,0))/1000000</f>
        <v>0.90550015822817864</v>
      </c>
      <c r="Q57" s="19">
        <f>Mitigation_Industry!Q$453*INDEX(Data_EF!$G:$G,MATCH($G57,Data_EF!$A:$A,0))/1000000</f>
        <v>0.85088760660906992</v>
      </c>
      <c r="R57" s="19">
        <f>Mitigation_Industry!R$453*INDEX(Data_EF!$G:$G,MATCH($G57,Data_EF!$A:$A,0))/1000000</f>
        <v>0.81845275054938038</v>
      </c>
      <c r="S57" s="19">
        <f>Mitigation_Industry!S$453*INDEX(Data_EF!$G:$G,MATCH($G57,Data_EF!$A:$A,0))/1000000</f>
        <v>0.79066872407366162</v>
      </c>
      <c r="T57" s="19">
        <f>Mitigation_Industry!T$453*INDEX(Data_EF!$G:$G,MATCH($G57,Data_EF!$A:$A,0))/1000000</f>
        <v>0.76613234014431597</v>
      </c>
      <c r="U57" s="19">
        <f>Mitigation_Industry!U$453*INDEX(Data_EF!$G:$G,MATCH($G57,Data_EF!$A:$A,0))/1000000</f>
        <v>0.74491429087950589</v>
      </c>
      <c r="V57" s="19">
        <f>Mitigation_Industry!V$453*INDEX(Data_EF!$G:$G,MATCH($G57,Data_EF!$A:$A,0))/1000000</f>
        <v>0.72478087605003949</v>
      </c>
      <c r="W57" s="19">
        <f>Mitigation_Industry!W$453*INDEX(Data_EF!$G:$G,MATCH($G57,Data_EF!$A:$A,0))/1000000</f>
        <v>0.70750848743644057</v>
      </c>
      <c r="X57" s="19">
        <f>Mitigation_Industry!X$453*INDEX(Data_EF!$G:$G,MATCH($G57,Data_EF!$A:$A,0))/1000000</f>
        <v>0.6926927884511026</v>
      </c>
      <c r="Y57" s="19">
        <f>Mitigation_Industry!Y$453*INDEX(Data_EF!$G:$G,MATCH($G57,Data_EF!$A:$A,0))/1000000</f>
        <v>0.68005455812375704</v>
      </c>
      <c r="Z57" s="19">
        <f>Mitigation_Industry!Z$453*INDEX(Data_EF!$G:$G,MATCH($G57,Data_EF!$A:$A,0))/1000000</f>
        <v>0.66944051198371646</v>
      </c>
      <c r="AA57" s="19">
        <f>Mitigation_Industry!AA$453*INDEX(Data_EF!$G:$G,MATCH($G57,Data_EF!$A:$A,0))/1000000</f>
        <v>0.66066234146136316</v>
      </c>
      <c r="AB57" s="19">
        <f>Mitigation_Industry!AB$453*INDEX(Data_EF!$G:$G,MATCH($G57,Data_EF!$A:$A,0))/1000000</f>
        <v>0.65354267327474602</v>
      </c>
      <c r="AC57" s="19">
        <f>Mitigation_Industry!AC$453*INDEX(Data_EF!$G:$G,MATCH($G57,Data_EF!$A:$A,0))/1000000</f>
        <v>0.64786545605493184</v>
      </c>
      <c r="AD57" s="19">
        <f>Mitigation_Industry!AD$453*INDEX(Data_EF!$G:$G,MATCH($G57,Data_EF!$A:$A,0))/1000000</f>
        <v>0.64344878474885059</v>
      </c>
      <c r="AE57" s="19">
        <f>Mitigation_Industry!AE$453*INDEX(Data_EF!$G:$G,MATCH($G57,Data_EF!$A:$A,0))/1000000</f>
        <v>0.64014801686548495</v>
      </c>
    </row>
    <row r="58" spans="1:35" customFormat="1" ht="14.25" x14ac:dyDescent="0.45">
      <c r="B58" s="14" t="s">
        <v>53</v>
      </c>
      <c r="C58" s="14" t="str">
        <f t="shared" si="8"/>
        <v>irn</v>
      </c>
      <c r="D58" s="15" t="s">
        <v>54</v>
      </c>
      <c r="E58" s="16" t="s">
        <v>1967</v>
      </c>
      <c r="F58" s="14" t="s">
        <v>1968</v>
      </c>
      <c r="G58" s="114" t="str">
        <f>Settings!$B$3&amp;".mit.efc."&amp;$B58</f>
        <v>egy.mit.efc.nga</v>
      </c>
      <c r="H58" s="45" t="str">
        <f>Settings!$B$3&amp;".mit.eco2."&amp;$C$56&amp;"."&amp;$B58&amp;".e."&amp;$J$56</f>
        <v>egy.mit.eco2.irn.nga.e.2</v>
      </c>
      <c r="I58" t="s">
        <v>2007</v>
      </c>
      <c r="L58" s="115">
        <f>Mitigation_Industry!L$454*INDEX(Data_EF!$G:$G,MATCH($G58,Data_EF!$A:$A,0))/1000000</f>
        <v>3.6248550032610098</v>
      </c>
      <c r="M58" s="19">
        <f>Mitigation_Industry!M$454*INDEX(Data_EF!$G:$G,MATCH($G58,Data_EF!$A:$A,0))/1000000</f>
        <v>3.1095323789272165</v>
      </c>
      <c r="N58" s="19">
        <f>Mitigation_Industry!N$454*INDEX(Data_EF!$G:$G,MATCH($G58,Data_EF!$A:$A,0))/1000000</f>
        <v>3.4816495642852692</v>
      </c>
      <c r="O58" s="19">
        <f>Mitigation_Industry!O$454*INDEX(Data_EF!$G:$G,MATCH($G58,Data_EF!$A:$A,0))/1000000</f>
        <v>3.6192352321477199</v>
      </c>
      <c r="P58" s="19">
        <f>Mitigation_Industry!P$454*INDEX(Data_EF!$G:$G,MATCH($G58,Data_EF!$A:$A,0))/1000000</f>
        <v>3.755152565160921</v>
      </c>
      <c r="Q58" s="19">
        <f>Mitigation_Industry!Q$454*INDEX(Data_EF!$G:$G,MATCH($G58,Data_EF!$A:$A,0))/1000000</f>
        <v>3.5569420077929443</v>
      </c>
      <c r="R58" s="19">
        <f>Mitigation_Industry!R$454*INDEX(Data_EF!$G:$G,MATCH($G58,Data_EF!$A:$A,0))/1000000</f>
        <v>3.4285407250448214</v>
      </c>
      <c r="S58" s="19">
        <f>Mitigation_Industry!S$454*INDEX(Data_EF!$G:$G,MATCH($G58,Data_EF!$A:$A,0))/1000000</f>
        <v>3.3210849012044061</v>
      </c>
      <c r="T58" s="19">
        <f>Mitigation_Industry!T$454*INDEX(Data_EF!$G:$G,MATCH($G58,Data_EF!$A:$A,0))/1000000</f>
        <v>3.2263072155059107</v>
      </c>
      <c r="U58" s="19">
        <f>Mitigation_Industry!U$454*INDEX(Data_EF!$G:$G,MATCH($G58,Data_EF!$A:$A,0))/1000000</f>
        <v>3.149275924708157</v>
      </c>
      <c r="V58" s="19">
        <f>Mitigation_Industry!V$454*INDEX(Data_EF!$G:$G,MATCH($G58,Data_EF!$A:$A,0))/1000000</f>
        <v>3.0876219429720755</v>
      </c>
      <c r="W58" s="19">
        <f>Mitigation_Industry!W$454*INDEX(Data_EF!$G:$G,MATCH($G58,Data_EF!$A:$A,0))/1000000</f>
        <v>3.0396083636901912</v>
      </c>
      <c r="X58" s="19">
        <f>Mitigation_Industry!X$454*INDEX(Data_EF!$G:$G,MATCH($G58,Data_EF!$A:$A,0))/1000000</f>
        <v>3.0037148051557785</v>
      </c>
      <c r="Y58" s="19">
        <f>Mitigation_Industry!Y$454*INDEX(Data_EF!$G:$G,MATCH($G58,Data_EF!$A:$A,0))/1000000</f>
        <v>2.9791113473261697</v>
      </c>
      <c r="Z58" s="19">
        <f>Mitigation_Industry!Z$454*INDEX(Data_EF!$G:$G,MATCH($G58,Data_EF!$A:$A,0))/1000000</f>
        <v>2.9657975151560816</v>
      </c>
      <c r="AA58" s="19">
        <f>Mitigation_Industry!AA$454*INDEX(Data_EF!$G:$G,MATCH($G58,Data_EF!$A:$A,0))/1000000</f>
        <v>2.9632762278772899</v>
      </c>
      <c r="AB58" s="19">
        <f>Mitigation_Industry!AB$454*INDEX(Data_EF!$G:$G,MATCH($G58,Data_EF!$A:$A,0))/1000000</f>
        <v>2.9709908108099277</v>
      </c>
      <c r="AC58" s="19">
        <f>Mitigation_Industry!AC$454*INDEX(Data_EF!$G:$G,MATCH($G58,Data_EF!$A:$A,0))/1000000</f>
        <v>2.9878959765422</v>
      </c>
      <c r="AD58" s="19">
        <f>Mitigation_Industry!AD$454*INDEX(Data_EF!$G:$G,MATCH($G58,Data_EF!$A:$A,0))/1000000</f>
        <v>3.0131242055106404</v>
      </c>
      <c r="AE58" s="19">
        <f>Mitigation_Industry!AE$454*INDEX(Data_EF!$G:$G,MATCH($G58,Data_EF!$A:$A,0))/1000000</f>
        <v>3.046041960238806</v>
      </c>
    </row>
    <row r="59" spans="1:35" customFormat="1" ht="14.25" x14ac:dyDescent="0.45">
      <c r="B59" s="14" t="s">
        <v>55</v>
      </c>
      <c r="C59" s="14" t="str">
        <f t="shared" si="8"/>
        <v>irn</v>
      </c>
      <c r="D59" s="15" t="s">
        <v>56</v>
      </c>
      <c r="E59" s="16" t="s">
        <v>1967</v>
      </c>
      <c r="F59" s="14" t="s">
        <v>1968</v>
      </c>
      <c r="G59" s="114" t="str">
        <f>Settings!$B$3&amp;".mit.efc."&amp;$B59</f>
        <v>egy.mit.efc.gso</v>
      </c>
      <c r="H59" s="45" t="str">
        <f>Settings!$B$3&amp;".mit.eco2."&amp;$C$56&amp;"."&amp;$B59&amp;".e."&amp;$J$56</f>
        <v>egy.mit.eco2.irn.gso.e.2</v>
      </c>
      <c r="I59" t="s">
        <v>2008</v>
      </c>
      <c r="L59" s="115">
        <f>Mitigation_Industry!L$455*INDEX(Data_EF!$G:$G,MATCH($G59,Data_EF!$A:$A,0))/1000000</f>
        <v>0</v>
      </c>
      <c r="M59" s="19">
        <f>Mitigation_Industry!M$455*INDEX(Data_EF!$G:$G,MATCH($G59,Data_EF!$A:$A,0))/1000000</f>
        <v>0</v>
      </c>
      <c r="N59" s="19">
        <f>Mitigation_Industry!N$455*INDEX(Data_EF!$G:$G,MATCH($G59,Data_EF!$A:$A,0))/1000000</f>
        <v>0</v>
      </c>
      <c r="O59" s="19">
        <f>Mitigation_Industry!O$455*INDEX(Data_EF!$G:$G,MATCH($G59,Data_EF!$A:$A,0))/1000000</f>
        <v>0</v>
      </c>
      <c r="P59" s="19">
        <f>Mitigation_Industry!P$455*INDEX(Data_EF!$G:$G,MATCH($G59,Data_EF!$A:$A,0))/1000000</f>
        <v>0</v>
      </c>
      <c r="Q59" s="19">
        <f>Mitigation_Industry!Q$455*INDEX(Data_EF!$G:$G,MATCH($G59,Data_EF!$A:$A,0))/1000000</f>
        <v>0</v>
      </c>
      <c r="R59" s="19">
        <f>Mitigation_Industry!R$455*INDEX(Data_EF!$G:$G,MATCH($G59,Data_EF!$A:$A,0))/1000000</f>
        <v>0</v>
      </c>
      <c r="S59" s="19">
        <f>Mitigation_Industry!S$455*INDEX(Data_EF!$G:$G,MATCH($G59,Data_EF!$A:$A,0))/1000000</f>
        <v>0</v>
      </c>
      <c r="T59" s="19">
        <f>Mitigation_Industry!T$455*INDEX(Data_EF!$G:$G,MATCH($G59,Data_EF!$A:$A,0))/1000000</f>
        <v>0</v>
      </c>
      <c r="U59" s="19">
        <f>Mitigation_Industry!U$455*INDEX(Data_EF!$G:$G,MATCH($G59,Data_EF!$A:$A,0))/1000000</f>
        <v>0</v>
      </c>
      <c r="V59" s="19">
        <f>Mitigation_Industry!V$455*INDEX(Data_EF!$G:$G,MATCH($G59,Data_EF!$A:$A,0))/1000000</f>
        <v>0</v>
      </c>
      <c r="W59" s="19">
        <f>Mitigation_Industry!W$455*INDEX(Data_EF!$G:$G,MATCH($G59,Data_EF!$A:$A,0))/1000000</f>
        <v>0</v>
      </c>
      <c r="X59" s="19">
        <f>Mitigation_Industry!X$455*INDEX(Data_EF!$G:$G,MATCH($G59,Data_EF!$A:$A,0))/1000000</f>
        <v>0</v>
      </c>
      <c r="Y59" s="19">
        <f>Mitigation_Industry!Y$455*INDEX(Data_EF!$G:$G,MATCH($G59,Data_EF!$A:$A,0))/1000000</f>
        <v>0</v>
      </c>
      <c r="Z59" s="19">
        <f>Mitigation_Industry!Z$455*INDEX(Data_EF!$G:$G,MATCH($G59,Data_EF!$A:$A,0))/1000000</f>
        <v>0</v>
      </c>
      <c r="AA59" s="19">
        <f>Mitigation_Industry!AA$455*INDEX(Data_EF!$G:$G,MATCH($G59,Data_EF!$A:$A,0))/1000000</f>
        <v>0</v>
      </c>
      <c r="AB59" s="19">
        <f>Mitigation_Industry!AB$455*INDEX(Data_EF!$G:$G,MATCH($G59,Data_EF!$A:$A,0))/1000000</f>
        <v>0</v>
      </c>
      <c r="AC59" s="19">
        <f>Mitigation_Industry!AC$455*INDEX(Data_EF!$G:$G,MATCH($G59,Data_EF!$A:$A,0))/1000000</f>
        <v>0</v>
      </c>
      <c r="AD59" s="19">
        <f>Mitigation_Industry!AD$455*INDEX(Data_EF!$G:$G,MATCH($G59,Data_EF!$A:$A,0))/1000000</f>
        <v>0</v>
      </c>
      <c r="AE59" s="19">
        <f>Mitigation_Industry!AE$455*INDEX(Data_EF!$G:$G,MATCH($G59,Data_EF!$A:$A,0))/1000000</f>
        <v>0</v>
      </c>
    </row>
    <row r="60" spans="1:35" customFormat="1" ht="14.25" x14ac:dyDescent="0.45">
      <c r="B60" s="14" t="s">
        <v>58</v>
      </c>
      <c r="C60" s="14" t="str">
        <f t="shared" si="8"/>
        <v>irn</v>
      </c>
      <c r="D60" s="15" t="s">
        <v>59</v>
      </c>
      <c r="E60" s="16" t="s">
        <v>1967</v>
      </c>
      <c r="F60" s="14" t="s">
        <v>1968</v>
      </c>
      <c r="G60" s="114" t="str">
        <f>Settings!$B$3&amp;".mit.efc."&amp;$B60</f>
        <v>egy.mit.efc.die</v>
      </c>
      <c r="H60" s="45" t="str">
        <f>Settings!$B$3&amp;".mit.eco2."&amp;$C$56&amp;"."&amp;$B60&amp;".e."&amp;$J$56</f>
        <v>egy.mit.eco2.irn.die.e.2</v>
      </c>
      <c r="I60" t="s">
        <v>2009</v>
      </c>
      <c r="L60" s="115">
        <f>Mitigation_Industry!L$456*INDEX(Data_EF!$G:$G,MATCH($G60,Data_EF!$A:$A,0))/1000000</f>
        <v>0</v>
      </c>
      <c r="M60" s="19">
        <f>Mitigation_Industry!M$456*INDEX(Data_EF!$G:$G,MATCH($G60,Data_EF!$A:$A,0))/1000000</f>
        <v>0</v>
      </c>
      <c r="N60" s="19">
        <f>Mitigation_Industry!N$456*INDEX(Data_EF!$G:$G,MATCH($G60,Data_EF!$A:$A,0))/1000000</f>
        <v>0</v>
      </c>
      <c r="O60" s="19">
        <f>Mitigation_Industry!O$456*INDEX(Data_EF!$G:$G,MATCH($G60,Data_EF!$A:$A,0))/1000000</f>
        <v>0</v>
      </c>
      <c r="P60" s="19">
        <f>Mitigation_Industry!P$456*INDEX(Data_EF!$G:$G,MATCH($G60,Data_EF!$A:$A,0))/1000000</f>
        <v>0</v>
      </c>
      <c r="Q60" s="19">
        <f>Mitigation_Industry!Q$456*INDEX(Data_EF!$G:$G,MATCH($G60,Data_EF!$A:$A,0))/1000000</f>
        <v>0</v>
      </c>
      <c r="R60" s="19">
        <f>Mitigation_Industry!R$456*INDEX(Data_EF!$G:$G,MATCH($G60,Data_EF!$A:$A,0))/1000000</f>
        <v>0</v>
      </c>
      <c r="S60" s="19">
        <f>Mitigation_Industry!S$456*INDEX(Data_EF!$G:$G,MATCH($G60,Data_EF!$A:$A,0))/1000000</f>
        <v>0</v>
      </c>
      <c r="T60" s="19">
        <f>Mitigation_Industry!T$456*INDEX(Data_EF!$G:$G,MATCH($G60,Data_EF!$A:$A,0))/1000000</f>
        <v>0</v>
      </c>
      <c r="U60" s="19">
        <f>Mitigation_Industry!U$456*INDEX(Data_EF!$G:$G,MATCH($G60,Data_EF!$A:$A,0))/1000000</f>
        <v>0</v>
      </c>
      <c r="V60" s="19">
        <f>Mitigation_Industry!V$456*INDEX(Data_EF!$G:$G,MATCH($G60,Data_EF!$A:$A,0))/1000000</f>
        <v>0</v>
      </c>
      <c r="W60" s="19">
        <f>Mitigation_Industry!W$456*INDEX(Data_EF!$G:$G,MATCH($G60,Data_EF!$A:$A,0))/1000000</f>
        <v>0</v>
      </c>
      <c r="X60" s="19">
        <f>Mitigation_Industry!X$456*INDEX(Data_EF!$G:$G,MATCH($G60,Data_EF!$A:$A,0))/1000000</f>
        <v>0</v>
      </c>
      <c r="Y60" s="19">
        <f>Mitigation_Industry!Y$456*INDEX(Data_EF!$G:$G,MATCH($G60,Data_EF!$A:$A,0))/1000000</f>
        <v>0</v>
      </c>
      <c r="Z60" s="19">
        <f>Mitigation_Industry!Z$456*INDEX(Data_EF!$G:$G,MATCH($G60,Data_EF!$A:$A,0))/1000000</f>
        <v>0</v>
      </c>
      <c r="AA60" s="19">
        <f>Mitigation_Industry!AA$456*INDEX(Data_EF!$G:$G,MATCH($G60,Data_EF!$A:$A,0))/1000000</f>
        <v>0</v>
      </c>
      <c r="AB60" s="19">
        <f>Mitigation_Industry!AB$456*INDEX(Data_EF!$G:$G,MATCH($G60,Data_EF!$A:$A,0))/1000000</f>
        <v>0</v>
      </c>
      <c r="AC60" s="19">
        <f>Mitigation_Industry!AC$456*INDEX(Data_EF!$G:$G,MATCH($G60,Data_EF!$A:$A,0))/1000000</f>
        <v>0</v>
      </c>
      <c r="AD60" s="19">
        <f>Mitigation_Industry!AD$456*INDEX(Data_EF!$G:$G,MATCH($G60,Data_EF!$A:$A,0))/1000000</f>
        <v>0</v>
      </c>
      <c r="AE60" s="19">
        <f>Mitigation_Industry!AE$456*INDEX(Data_EF!$G:$G,MATCH($G60,Data_EF!$A:$A,0))/1000000</f>
        <v>0</v>
      </c>
    </row>
    <row r="61" spans="1:35" customFormat="1" ht="14.25" x14ac:dyDescent="0.45">
      <c r="B61" s="14" t="s">
        <v>60</v>
      </c>
      <c r="C61" s="14" t="str">
        <f t="shared" si="8"/>
        <v>irn</v>
      </c>
      <c r="D61" s="15" t="s">
        <v>61</v>
      </c>
      <c r="E61" s="16" t="s">
        <v>1967</v>
      </c>
      <c r="F61" s="14" t="s">
        <v>1968</v>
      </c>
      <c r="G61" s="114" t="str">
        <f>Settings!$B$3&amp;".mit.efc."&amp;$B61</f>
        <v>egy.mit.efc.lpg</v>
      </c>
      <c r="H61" s="45" t="str">
        <f>Settings!$B$3&amp;".mit.eco2."&amp;$C$56&amp;"."&amp;$B61&amp;".e."&amp;$J$56</f>
        <v>egy.mit.eco2.irn.lpg.e.2</v>
      </c>
      <c r="I61" t="s">
        <v>2010</v>
      </c>
      <c r="L61" s="115">
        <f>Mitigation_Industry!L$457*INDEX(Data_EF!$G:$G,MATCH($G61,Data_EF!$A:$A,0))/1000000</f>
        <v>0</v>
      </c>
      <c r="M61" s="19">
        <f>Mitigation_Industry!M$457*INDEX(Data_EF!$G:$G,MATCH($G61,Data_EF!$A:$A,0))/1000000</f>
        <v>0</v>
      </c>
      <c r="N61" s="19">
        <f>Mitigation_Industry!N$457*INDEX(Data_EF!$G:$G,MATCH($G61,Data_EF!$A:$A,0))/1000000</f>
        <v>0</v>
      </c>
      <c r="O61" s="19">
        <f>Mitigation_Industry!O$457*INDEX(Data_EF!$G:$G,MATCH($G61,Data_EF!$A:$A,0))/1000000</f>
        <v>0</v>
      </c>
      <c r="P61" s="19">
        <f>Mitigation_Industry!P$457*INDEX(Data_EF!$G:$G,MATCH($G61,Data_EF!$A:$A,0))/1000000</f>
        <v>0</v>
      </c>
      <c r="Q61" s="19">
        <f>Mitigation_Industry!Q$457*INDEX(Data_EF!$G:$G,MATCH($G61,Data_EF!$A:$A,0))/1000000</f>
        <v>0</v>
      </c>
      <c r="R61" s="19">
        <f>Mitigation_Industry!R$457*INDEX(Data_EF!$G:$G,MATCH($G61,Data_EF!$A:$A,0))/1000000</f>
        <v>0</v>
      </c>
      <c r="S61" s="19">
        <f>Mitigation_Industry!S$457*INDEX(Data_EF!$G:$G,MATCH($G61,Data_EF!$A:$A,0))/1000000</f>
        <v>0</v>
      </c>
      <c r="T61" s="19">
        <f>Mitigation_Industry!T$457*INDEX(Data_EF!$G:$G,MATCH($G61,Data_EF!$A:$A,0))/1000000</f>
        <v>0</v>
      </c>
      <c r="U61" s="19">
        <f>Mitigation_Industry!U$457*INDEX(Data_EF!$G:$G,MATCH($G61,Data_EF!$A:$A,0))/1000000</f>
        <v>0</v>
      </c>
      <c r="V61" s="19">
        <f>Mitigation_Industry!V$457*INDEX(Data_EF!$G:$G,MATCH($G61,Data_EF!$A:$A,0))/1000000</f>
        <v>0</v>
      </c>
      <c r="W61" s="19">
        <f>Mitigation_Industry!W$457*INDEX(Data_EF!$G:$G,MATCH($G61,Data_EF!$A:$A,0))/1000000</f>
        <v>0</v>
      </c>
      <c r="X61" s="19">
        <f>Mitigation_Industry!X$457*INDEX(Data_EF!$G:$G,MATCH($G61,Data_EF!$A:$A,0))/1000000</f>
        <v>0</v>
      </c>
      <c r="Y61" s="19">
        <f>Mitigation_Industry!Y$457*INDEX(Data_EF!$G:$G,MATCH($G61,Data_EF!$A:$A,0))/1000000</f>
        <v>0</v>
      </c>
      <c r="Z61" s="19">
        <f>Mitigation_Industry!Z$457*INDEX(Data_EF!$G:$G,MATCH($G61,Data_EF!$A:$A,0))/1000000</f>
        <v>0</v>
      </c>
      <c r="AA61" s="19">
        <f>Mitigation_Industry!AA$457*INDEX(Data_EF!$G:$G,MATCH($G61,Data_EF!$A:$A,0))/1000000</f>
        <v>0</v>
      </c>
      <c r="AB61" s="19">
        <f>Mitigation_Industry!AB$457*INDEX(Data_EF!$G:$G,MATCH($G61,Data_EF!$A:$A,0))/1000000</f>
        <v>0</v>
      </c>
      <c r="AC61" s="19">
        <f>Mitigation_Industry!AC$457*INDEX(Data_EF!$G:$G,MATCH($G61,Data_EF!$A:$A,0))/1000000</f>
        <v>0</v>
      </c>
      <c r="AD61" s="19">
        <f>Mitigation_Industry!AD$457*INDEX(Data_EF!$G:$G,MATCH($G61,Data_EF!$A:$A,0))/1000000</f>
        <v>0</v>
      </c>
      <c r="AE61" s="19">
        <f>Mitigation_Industry!AE$457*INDEX(Data_EF!$G:$G,MATCH($G61,Data_EF!$A:$A,0))/1000000</f>
        <v>0</v>
      </c>
    </row>
    <row r="62" spans="1:35" customFormat="1" ht="14.25" x14ac:dyDescent="0.45">
      <c r="B62" s="14" t="s">
        <v>62</v>
      </c>
      <c r="C62" s="14" t="str">
        <f t="shared" si="8"/>
        <v>irn</v>
      </c>
      <c r="D62" s="15" t="s">
        <v>63</v>
      </c>
      <c r="E62" s="16" t="s">
        <v>1967</v>
      </c>
      <c r="F62" s="14" t="s">
        <v>1968</v>
      </c>
      <c r="G62" s="114" t="str">
        <f>Settings!$B$3&amp;".mit.efc."&amp;$B62</f>
        <v>egy.mit.efc.ker</v>
      </c>
      <c r="H62" s="45" t="str">
        <f>Settings!$B$3&amp;".mit.eco2."&amp;$C$56&amp;"."&amp;$B62&amp;".e."&amp;$J$56</f>
        <v>egy.mit.eco2.irn.ker.e.2</v>
      </c>
      <c r="I62" t="s">
        <v>2011</v>
      </c>
      <c r="L62" s="115">
        <f>Mitigation_Industry!L$458*INDEX(Data_EF!$G:$G,MATCH($G62,Data_EF!$A:$A,0))/1000000</f>
        <v>0</v>
      </c>
      <c r="M62" s="19">
        <f>Mitigation_Industry!M$458*INDEX(Data_EF!$G:$G,MATCH($G62,Data_EF!$A:$A,0))/1000000</f>
        <v>0</v>
      </c>
      <c r="N62" s="19">
        <f>Mitigation_Industry!N$458*INDEX(Data_EF!$G:$G,MATCH($G62,Data_EF!$A:$A,0))/1000000</f>
        <v>0</v>
      </c>
      <c r="O62" s="19">
        <f>Mitigation_Industry!O$458*INDEX(Data_EF!$G:$G,MATCH($G62,Data_EF!$A:$A,0))/1000000</f>
        <v>0</v>
      </c>
      <c r="P62" s="19">
        <f>Mitigation_Industry!P$458*INDEX(Data_EF!$G:$G,MATCH($G62,Data_EF!$A:$A,0))/1000000</f>
        <v>0</v>
      </c>
      <c r="Q62" s="19">
        <f>Mitigation_Industry!Q$458*INDEX(Data_EF!$G:$G,MATCH($G62,Data_EF!$A:$A,0))/1000000</f>
        <v>0</v>
      </c>
      <c r="R62" s="19">
        <f>Mitigation_Industry!R$458*INDEX(Data_EF!$G:$G,MATCH($G62,Data_EF!$A:$A,0))/1000000</f>
        <v>0</v>
      </c>
      <c r="S62" s="19">
        <f>Mitigation_Industry!S$458*INDEX(Data_EF!$G:$G,MATCH($G62,Data_EF!$A:$A,0))/1000000</f>
        <v>0</v>
      </c>
      <c r="T62" s="19">
        <f>Mitigation_Industry!T$458*INDEX(Data_EF!$G:$G,MATCH($G62,Data_EF!$A:$A,0))/1000000</f>
        <v>0</v>
      </c>
      <c r="U62" s="19">
        <f>Mitigation_Industry!U$458*INDEX(Data_EF!$G:$G,MATCH($G62,Data_EF!$A:$A,0))/1000000</f>
        <v>0</v>
      </c>
      <c r="V62" s="19">
        <f>Mitigation_Industry!V$458*INDEX(Data_EF!$G:$G,MATCH($G62,Data_EF!$A:$A,0))/1000000</f>
        <v>0</v>
      </c>
      <c r="W62" s="19">
        <f>Mitigation_Industry!W$458*INDEX(Data_EF!$G:$G,MATCH($G62,Data_EF!$A:$A,0))/1000000</f>
        <v>0</v>
      </c>
      <c r="X62" s="19">
        <f>Mitigation_Industry!X$458*INDEX(Data_EF!$G:$G,MATCH($G62,Data_EF!$A:$A,0))/1000000</f>
        <v>0</v>
      </c>
      <c r="Y62" s="19">
        <f>Mitigation_Industry!Y$458*INDEX(Data_EF!$G:$G,MATCH($G62,Data_EF!$A:$A,0))/1000000</f>
        <v>0</v>
      </c>
      <c r="Z62" s="19">
        <f>Mitigation_Industry!Z$458*INDEX(Data_EF!$G:$G,MATCH($G62,Data_EF!$A:$A,0))/1000000</f>
        <v>0</v>
      </c>
      <c r="AA62" s="19">
        <f>Mitigation_Industry!AA$458*INDEX(Data_EF!$G:$G,MATCH($G62,Data_EF!$A:$A,0))/1000000</f>
        <v>0</v>
      </c>
      <c r="AB62" s="19">
        <f>Mitigation_Industry!AB$458*INDEX(Data_EF!$G:$G,MATCH($G62,Data_EF!$A:$A,0))/1000000</f>
        <v>0</v>
      </c>
      <c r="AC62" s="19">
        <f>Mitigation_Industry!AC$458*INDEX(Data_EF!$G:$G,MATCH($G62,Data_EF!$A:$A,0))/1000000</f>
        <v>0</v>
      </c>
      <c r="AD62" s="19">
        <f>Mitigation_Industry!AD$458*INDEX(Data_EF!$G:$G,MATCH($G62,Data_EF!$A:$A,0))/1000000</f>
        <v>0</v>
      </c>
      <c r="AE62" s="19">
        <f>Mitigation_Industry!AE$458*INDEX(Data_EF!$G:$G,MATCH($G62,Data_EF!$A:$A,0))/1000000</f>
        <v>0</v>
      </c>
    </row>
    <row r="63" spans="1:35" customFormat="1" ht="14.25" x14ac:dyDescent="0.45">
      <c r="B63" s="14" t="s">
        <v>64</v>
      </c>
      <c r="C63" s="14" t="str">
        <f t="shared" si="8"/>
        <v>irn</v>
      </c>
      <c r="D63" s="15" t="s">
        <v>65</v>
      </c>
      <c r="E63" s="16" t="s">
        <v>1967</v>
      </c>
      <c r="F63" s="14" t="s">
        <v>1968</v>
      </c>
      <c r="G63" s="114" t="str">
        <f>Settings!$B$3&amp;".mit.efc."&amp;$B63</f>
        <v>egy.mit.efc.oop</v>
      </c>
      <c r="H63" s="45" t="str">
        <f>Settings!$B$3&amp;".mit.eco2."&amp;$C$56&amp;"."&amp;$B63&amp;".e."&amp;$J$56</f>
        <v>egy.mit.eco2.irn.oop.e.2</v>
      </c>
      <c r="I63" t="s">
        <v>2012</v>
      </c>
      <c r="L63" s="115">
        <f>Mitigation_Industry!L$459*INDEX(Data_EF!$G:$G,MATCH($G63,Data_EF!$A:$A,0))/1000000</f>
        <v>0</v>
      </c>
      <c r="M63" s="19">
        <f>Mitigation_Industry!M$459*INDEX(Data_EF!$G:$G,MATCH($G63,Data_EF!$A:$A,0))/1000000</f>
        <v>0</v>
      </c>
      <c r="N63" s="19">
        <f>Mitigation_Industry!N$459*INDEX(Data_EF!$G:$G,MATCH($G63,Data_EF!$A:$A,0))/1000000</f>
        <v>0</v>
      </c>
      <c r="O63" s="19">
        <f>Mitigation_Industry!O$459*INDEX(Data_EF!$G:$G,MATCH($G63,Data_EF!$A:$A,0))/1000000</f>
        <v>0</v>
      </c>
      <c r="P63" s="19">
        <f>Mitigation_Industry!P$459*INDEX(Data_EF!$G:$G,MATCH($G63,Data_EF!$A:$A,0))/1000000</f>
        <v>0</v>
      </c>
      <c r="Q63" s="19">
        <f>Mitigation_Industry!Q$459*INDEX(Data_EF!$G:$G,MATCH($G63,Data_EF!$A:$A,0))/1000000</f>
        <v>0</v>
      </c>
      <c r="R63" s="19">
        <f>Mitigation_Industry!R$459*INDEX(Data_EF!$G:$G,MATCH($G63,Data_EF!$A:$A,0))/1000000</f>
        <v>0</v>
      </c>
      <c r="S63" s="19">
        <f>Mitigation_Industry!S$459*INDEX(Data_EF!$G:$G,MATCH($G63,Data_EF!$A:$A,0))/1000000</f>
        <v>0</v>
      </c>
      <c r="T63" s="19">
        <f>Mitigation_Industry!T$459*INDEX(Data_EF!$G:$G,MATCH($G63,Data_EF!$A:$A,0))/1000000</f>
        <v>0</v>
      </c>
      <c r="U63" s="19">
        <f>Mitigation_Industry!U$459*INDEX(Data_EF!$G:$G,MATCH($G63,Data_EF!$A:$A,0))/1000000</f>
        <v>0</v>
      </c>
      <c r="V63" s="19">
        <f>Mitigation_Industry!V$459*INDEX(Data_EF!$G:$G,MATCH($G63,Data_EF!$A:$A,0))/1000000</f>
        <v>0</v>
      </c>
      <c r="W63" s="19">
        <f>Mitigation_Industry!W$459*INDEX(Data_EF!$G:$G,MATCH($G63,Data_EF!$A:$A,0))/1000000</f>
        <v>0</v>
      </c>
      <c r="X63" s="19">
        <f>Mitigation_Industry!X$459*INDEX(Data_EF!$G:$G,MATCH($G63,Data_EF!$A:$A,0))/1000000</f>
        <v>0</v>
      </c>
      <c r="Y63" s="19">
        <f>Mitigation_Industry!Y$459*INDEX(Data_EF!$G:$G,MATCH($G63,Data_EF!$A:$A,0))/1000000</f>
        <v>0</v>
      </c>
      <c r="Z63" s="19">
        <f>Mitigation_Industry!Z$459*INDEX(Data_EF!$G:$G,MATCH($G63,Data_EF!$A:$A,0))/1000000</f>
        <v>0</v>
      </c>
      <c r="AA63" s="19">
        <f>Mitigation_Industry!AA$459*INDEX(Data_EF!$G:$G,MATCH($G63,Data_EF!$A:$A,0))/1000000</f>
        <v>0</v>
      </c>
      <c r="AB63" s="19">
        <f>Mitigation_Industry!AB$459*INDEX(Data_EF!$G:$G,MATCH($G63,Data_EF!$A:$A,0))/1000000</f>
        <v>0</v>
      </c>
      <c r="AC63" s="19">
        <f>Mitigation_Industry!AC$459*INDEX(Data_EF!$G:$G,MATCH($G63,Data_EF!$A:$A,0))/1000000</f>
        <v>0</v>
      </c>
      <c r="AD63" s="19">
        <f>Mitigation_Industry!AD$459*INDEX(Data_EF!$G:$G,MATCH($G63,Data_EF!$A:$A,0))/1000000</f>
        <v>0</v>
      </c>
      <c r="AE63" s="19">
        <f>Mitigation_Industry!AE$459*INDEX(Data_EF!$G:$G,MATCH($G63,Data_EF!$A:$A,0))/1000000</f>
        <v>0</v>
      </c>
    </row>
    <row r="64" spans="1:35" customFormat="1" ht="14.25" x14ac:dyDescent="0.45">
      <c r="B64" s="14" t="s">
        <v>67</v>
      </c>
      <c r="C64" s="14" t="str">
        <f t="shared" si="8"/>
        <v>irn</v>
      </c>
      <c r="D64" s="15" t="s">
        <v>68</v>
      </c>
      <c r="E64" s="16" t="s">
        <v>1967</v>
      </c>
      <c r="F64" s="14" t="s">
        <v>1968</v>
      </c>
      <c r="G64" s="114" t="str">
        <f>Settings!$B$3&amp;".mit.efc."&amp;$B64</f>
        <v>egy.mit.efc.bio</v>
      </c>
      <c r="H64" s="45" t="str">
        <f>Settings!$B$3&amp;".mit.eco2."&amp;$C$56&amp;"."&amp;$B64&amp;".e."&amp;$J$56</f>
        <v>egy.mit.eco2.irn.bio.e.2</v>
      </c>
      <c r="I64" t="s">
        <v>2013</v>
      </c>
      <c r="L64" s="115">
        <f>Mitigation_Industry!L$460*INDEX(Data_EF!$G:$G,MATCH($G64,Data_EF!$A:$A,0))/1000000</f>
        <v>0</v>
      </c>
      <c r="M64" s="19">
        <f>Mitigation_Industry!M$460*INDEX(Data_EF!$G:$G,MATCH($G64,Data_EF!$A:$A,0))/1000000</f>
        <v>0</v>
      </c>
      <c r="N64" s="19">
        <f>Mitigation_Industry!N$460*INDEX(Data_EF!$G:$G,MATCH($G64,Data_EF!$A:$A,0))/1000000</f>
        <v>0</v>
      </c>
      <c r="O64" s="19">
        <f>Mitigation_Industry!O$460*INDEX(Data_EF!$G:$G,MATCH($G64,Data_EF!$A:$A,0))/1000000</f>
        <v>0</v>
      </c>
      <c r="P64" s="19">
        <f>Mitigation_Industry!P$460*INDEX(Data_EF!$G:$G,MATCH($G64,Data_EF!$A:$A,0))/1000000</f>
        <v>0</v>
      </c>
      <c r="Q64" s="19">
        <f>Mitigation_Industry!Q$460*INDEX(Data_EF!$G:$G,MATCH($G64,Data_EF!$A:$A,0))/1000000</f>
        <v>0</v>
      </c>
      <c r="R64" s="19">
        <f>Mitigation_Industry!R$460*INDEX(Data_EF!$G:$G,MATCH($G64,Data_EF!$A:$A,0))/1000000</f>
        <v>0</v>
      </c>
      <c r="S64" s="19">
        <f>Mitigation_Industry!S$460*INDEX(Data_EF!$G:$G,MATCH($G64,Data_EF!$A:$A,0))/1000000</f>
        <v>0</v>
      </c>
      <c r="T64" s="19">
        <f>Mitigation_Industry!T$460*INDEX(Data_EF!$G:$G,MATCH($G64,Data_EF!$A:$A,0))/1000000</f>
        <v>0</v>
      </c>
      <c r="U64" s="19">
        <f>Mitigation_Industry!U$460*INDEX(Data_EF!$G:$G,MATCH($G64,Data_EF!$A:$A,0))/1000000</f>
        <v>0</v>
      </c>
      <c r="V64" s="19">
        <f>Mitigation_Industry!V$460*INDEX(Data_EF!$G:$G,MATCH($G64,Data_EF!$A:$A,0))/1000000</f>
        <v>0</v>
      </c>
      <c r="W64" s="19">
        <f>Mitigation_Industry!W$460*INDEX(Data_EF!$G:$G,MATCH($G64,Data_EF!$A:$A,0))/1000000</f>
        <v>0</v>
      </c>
      <c r="X64" s="19">
        <f>Mitigation_Industry!X$460*INDEX(Data_EF!$G:$G,MATCH($G64,Data_EF!$A:$A,0))/1000000</f>
        <v>0</v>
      </c>
      <c r="Y64" s="19">
        <f>Mitigation_Industry!Y$460*INDEX(Data_EF!$G:$G,MATCH($G64,Data_EF!$A:$A,0))/1000000</f>
        <v>0</v>
      </c>
      <c r="Z64" s="19">
        <f>Mitigation_Industry!Z$460*INDEX(Data_EF!$G:$G,MATCH($G64,Data_EF!$A:$A,0))/1000000</f>
        <v>0</v>
      </c>
      <c r="AA64" s="19">
        <f>Mitigation_Industry!AA$460*INDEX(Data_EF!$G:$G,MATCH($G64,Data_EF!$A:$A,0))/1000000</f>
        <v>0</v>
      </c>
      <c r="AB64" s="19">
        <f>Mitigation_Industry!AB$460*INDEX(Data_EF!$G:$G,MATCH($G64,Data_EF!$A:$A,0))/1000000</f>
        <v>0</v>
      </c>
      <c r="AC64" s="19">
        <f>Mitigation_Industry!AC$460*INDEX(Data_EF!$G:$G,MATCH($G64,Data_EF!$A:$A,0))/1000000</f>
        <v>0</v>
      </c>
      <c r="AD64" s="19">
        <f>Mitigation_Industry!AD$460*INDEX(Data_EF!$G:$G,MATCH($G64,Data_EF!$A:$A,0))/1000000</f>
        <v>0</v>
      </c>
      <c r="AE64" s="19">
        <f>Mitigation_Industry!AE$460*INDEX(Data_EF!$G:$G,MATCH($G64,Data_EF!$A:$A,0))/1000000</f>
        <v>0</v>
      </c>
    </row>
    <row r="65" spans="1:35" customFormat="1" ht="14.25" x14ac:dyDescent="0.45">
      <c r="B65" s="14" t="s">
        <v>69</v>
      </c>
      <c r="C65" s="14" t="str">
        <f t="shared" si="8"/>
        <v>irn</v>
      </c>
      <c r="D65" s="15" t="s">
        <v>70</v>
      </c>
      <c r="E65" s="16" t="s">
        <v>1967</v>
      </c>
      <c r="F65" s="14" t="s">
        <v>1968</v>
      </c>
      <c r="G65" s="114" t="str">
        <f>Settings!$B$3&amp;".mit.efc."&amp;$B65</f>
        <v>egy.mit.efc.ren</v>
      </c>
      <c r="H65" s="45" t="str">
        <f>Settings!$B$3&amp;".mit.eco2."&amp;$C$56&amp;"."&amp;$B65&amp;".e."&amp;$J$56</f>
        <v>egy.mit.eco2.irn.ren.e.2</v>
      </c>
      <c r="I65" t="s">
        <v>2014</v>
      </c>
      <c r="L65" s="115">
        <f>Mitigation_Industry!L$461*INDEX(Data_EF!$G:$G,MATCH($G65,Data_EF!$A:$A,0))/1000000</f>
        <v>0</v>
      </c>
      <c r="M65" s="19">
        <f>Mitigation_Industry!M$461*INDEX(Data_EF!$G:$G,MATCH($G65,Data_EF!$A:$A,0))/1000000</f>
        <v>0</v>
      </c>
      <c r="N65" s="19">
        <f>Mitigation_Industry!N$461*INDEX(Data_EF!$G:$G,MATCH($G65,Data_EF!$A:$A,0))/1000000</f>
        <v>0</v>
      </c>
      <c r="O65" s="19">
        <f>Mitigation_Industry!O$461*INDEX(Data_EF!$G:$G,MATCH($G65,Data_EF!$A:$A,0))/1000000</f>
        <v>0</v>
      </c>
      <c r="P65" s="19">
        <f>Mitigation_Industry!P$461*INDEX(Data_EF!$G:$G,MATCH($G65,Data_EF!$A:$A,0))/1000000</f>
        <v>0</v>
      </c>
      <c r="Q65" s="19">
        <f>Mitigation_Industry!Q$461*INDEX(Data_EF!$G:$G,MATCH($G65,Data_EF!$A:$A,0))/1000000</f>
        <v>0</v>
      </c>
      <c r="R65" s="19">
        <f>Mitigation_Industry!R$461*INDEX(Data_EF!$G:$G,MATCH($G65,Data_EF!$A:$A,0))/1000000</f>
        <v>0</v>
      </c>
      <c r="S65" s="19">
        <f>Mitigation_Industry!S$461*INDEX(Data_EF!$G:$G,MATCH($G65,Data_EF!$A:$A,0))/1000000</f>
        <v>0</v>
      </c>
      <c r="T65" s="19">
        <f>Mitigation_Industry!T$461*INDEX(Data_EF!$G:$G,MATCH($G65,Data_EF!$A:$A,0))/1000000</f>
        <v>0</v>
      </c>
      <c r="U65" s="19">
        <f>Mitigation_Industry!U$461*INDEX(Data_EF!$G:$G,MATCH($G65,Data_EF!$A:$A,0))/1000000</f>
        <v>0</v>
      </c>
      <c r="V65" s="19">
        <f>Mitigation_Industry!V$461*INDEX(Data_EF!$G:$G,MATCH($G65,Data_EF!$A:$A,0))/1000000</f>
        <v>0</v>
      </c>
      <c r="W65" s="19">
        <f>Mitigation_Industry!W$461*INDEX(Data_EF!$G:$G,MATCH($G65,Data_EF!$A:$A,0))/1000000</f>
        <v>0</v>
      </c>
      <c r="X65" s="19">
        <f>Mitigation_Industry!X$461*INDEX(Data_EF!$G:$G,MATCH($G65,Data_EF!$A:$A,0))/1000000</f>
        <v>0</v>
      </c>
      <c r="Y65" s="19">
        <f>Mitigation_Industry!Y$461*INDEX(Data_EF!$G:$G,MATCH($G65,Data_EF!$A:$A,0))/1000000</f>
        <v>0</v>
      </c>
      <c r="Z65" s="19">
        <f>Mitigation_Industry!Z$461*INDEX(Data_EF!$G:$G,MATCH($G65,Data_EF!$A:$A,0))/1000000</f>
        <v>0</v>
      </c>
      <c r="AA65" s="19">
        <f>Mitigation_Industry!AA$461*INDEX(Data_EF!$G:$G,MATCH($G65,Data_EF!$A:$A,0))/1000000</f>
        <v>0</v>
      </c>
      <c r="AB65" s="19">
        <f>Mitigation_Industry!AB$461*INDEX(Data_EF!$G:$G,MATCH($G65,Data_EF!$A:$A,0))/1000000</f>
        <v>0</v>
      </c>
      <c r="AC65" s="19">
        <f>Mitigation_Industry!AC$461*INDEX(Data_EF!$G:$G,MATCH($G65,Data_EF!$A:$A,0))/1000000</f>
        <v>0</v>
      </c>
      <c r="AD65" s="19">
        <f>Mitigation_Industry!AD$461*INDEX(Data_EF!$G:$G,MATCH($G65,Data_EF!$A:$A,0))/1000000</f>
        <v>0</v>
      </c>
      <c r="AE65" s="19">
        <f>Mitigation_Industry!AE$461*INDEX(Data_EF!$G:$G,MATCH($G65,Data_EF!$A:$A,0))/1000000</f>
        <v>0</v>
      </c>
    </row>
    <row r="66" spans="1:35" customFormat="1" ht="14.25" x14ac:dyDescent="0.45">
      <c r="B66" s="14" t="s">
        <v>110</v>
      </c>
      <c r="C66" s="14" t="str">
        <f t="shared" si="8"/>
        <v>irn</v>
      </c>
      <c r="D66" s="25" t="s">
        <v>111</v>
      </c>
      <c r="E66" s="16" t="s">
        <v>1967</v>
      </c>
      <c r="F66" s="14" t="s">
        <v>1968</v>
      </c>
      <c r="H66" s="45" t="str">
        <f>Settings!$B$3&amp;".mit.eco2."&amp;$C$56&amp;".tot.e."&amp;$J$56</f>
        <v>egy.mit.eco2.irn.tot.e.2</v>
      </c>
      <c r="L66" s="116">
        <f t="shared" ref="L66:AE66" si="9">SUM(L57:L65)</f>
        <v>4.5303835184019645</v>
      </c>
      <c r="M66" s="116">
        <f t="shared" si="9"/>
        <v>3.8469033618625206</v>
      </c>
      <c r="N66" s="116">
        <f t="shared" si="9"/>
        <v>4.3290746208215198</v>
      </c>
      <c r="O66" s="116">
        <f t="shared" si="9"/>
        <v>4.5451606543512009</v>
      </c>
      <c r="P66" s="116">
        <f t="shared" si="9"/>
        <v>4.6606527233890995</v>
      </c>
      <c r="Q66" s="116">
        <f t="shared" si="9"/>
        <v>4.4078296144020142</v>
      </c>
      <c r="R66" s="116">
        <f t="shared" si="9"/>
        <v>4.246993475594202</v>
      </c>
      <c r="S66" s="116">
        <f t="shared" si="9"/>
        <v>4.1117536252780678</v>
      </c>
      <c r="T66" s="116">
        <f t="shared" si="9"/>
        <v>3.9924395556502268</v>
      </c>
      <c r="U66" s="116">
        <f t="shared" si="9"/>
        <v>3.8941902155876629</v>
      </c>
      <c r="V66" s="116">
        <f t="shared" si="9"/>
        <v>3.8124028190221151</v>
      </c>
      <c r="W66" s="116">
        <f t="shared" si="9"/>
        <v>3.7471168511266315</v>
      </c>
      <c r="X66" s="116">
        <f t="shared" si="9"/>
        <v>3.6964075936068812</v>
      </c>
      <c r="Y66" s="116">
        <f t="shared" si="9"/>
        <v>3.6591659054499268</v>
      </c>
      <c r="Z66" s="116">
        <f t="shared" si="9"/>
        <v>3.6352380271397982</v>
      </c>
      <c r="AA66" s="116">
        <f t="shared" si="9"/>
        <v>3.623938569338653</v>
      </c>
      <c r="AB66" s="116">
        <f t="shared" si="9"/>
        <v>3.6245334840846737</v>
      </c>
      <c r="AC66" s="116">
        <f t="shared" si="9"/>
        <v>3.6357614325971319</v>
      </c>
      <c r="AD66" s="116">
        <f t="shared" si="9"/>
        <v>3.656572990259491</v>
      </c>
      <c r="AE66" s="116">
        <f t="shared" si="9"/>
        <v>3.686189977104291</v>
      </c>
    </row>
    <row r="68" spans="1:35" customFormat="1" ht="14.25" x14ac:dyDescent="0.45">
      <c r="A68" s="11"/>
      <c r="B68" s="6" t="s">
        <v>112</v>
      </c>
      <c r="C68" s="7" t="s">
        <v>113</v>
      </c>
      <c r="D68" s="6" t="s">
        <v>44</v>
      </c>
      <c r="E68" s="7" t="s">
        <v>35</v>
      </c>
      <c r="F68" s="7" t="s">
        <v>45</v>
      </c>
      <c r="G68" s="7" t="s">
        <v>1966</v>
      </c>
      <c r="H68" s="12" t="s">
        <v>38</v>
      </c>
      <c r="I68" s="6" t="s">
        <v>47</v>
      </c>
      <c r="J68" s="48">
        <v>2</v>
      </c>
      <c r="K68" s="6">
        <v>2021</v>
      </c>
      <c r="L68" s="46">
        <v>2022</v>
      </c>
      <c r="M68" s="6">
        <v>2023</v>
      </c>
      <c r="N68" s="6">
        <v>2024</v>
      </c>
      <c r="O68" s="6">
        <v>2025</v>
      </c>
      <c r="P68" s="6">
        <v>2026</v>
      </c>
      <c r="Q68" s="6">
        <v>2027</v>
      </c>
      <c r="R68" s="6">
        <v>2028</v>
      </c>
      <c r="S68" s="6">
        <v>2029</v>
      </c>
      <c r="T68" s="6">
        <v>2030</v>
      </c>
      <c r="U68" s="6">
        <v>2031</v>
      </c>
      <c r="V68" s="6">
        <v>2032</v>
      </c>
      <c r="W68" s="6">
        <v>2033</v>
      </c>
      <c r="X68" s="6">
        <v>2034</v>
      </c>
      <c r="Y68" s="6">
        <v>2035</v>
      </c>
      <c r="Z68" s="6">
        <v>2036</v>
      </c>
      <c r="AA68" s="6">
        <v>2037</v>
      </c>
      <c r="AB68" s="6">
        <v>2038</v>
      </c>
      <c r="AC68" s="6">
        <v>2039</v>
      </c>
      <c r="AD68" s="6">
        <v>2040</v>
      </c>
      <c r="AE68" s="6">
        <v>2041</v>
      </c>
      <c r="AF68" s="6">
        <v>2042</v>
      </c>
      <c r="AG68" s="6">
        <v>2043</v>
      </c>
      <c r="AH68" s="6">
        <v>2044</v>
      </c>
      <c r="AI68" s="6">
        <v>2045</v>
      </c>
    </row>
    <row r="69" spans="1:35" customFormat="1" ht="14.25" x14ac:dyDescent="0.45">
      <c r="B69" s="14" t="s">
        <v>49</v>
      </c>
      <c r="C69" s="14" t="str">
        <f t="shared" ref="C69:C78" si="10">$C$68</f>
        <v>cem</v>
      </c>
      <c r="D69" s="15" t="s">
        <v>50</v>
      </c>
      <c r="E69" s="16" t="s">
        <v>1967</v>
      </c>
      <c r="F69" s="14" t="s">
        <v>1968</v>
      </c>
      <c r="G69" s="114" t="str">
        <f>Settings!$B$3&amp;".mit.efc."&amp;$B69</f>
        <v>egy.mit.efc.coa</v>
      </c>
      <c r="H69" s="45" t="str">
        <f>Settings!$B$3&amp;".mit.eco2."&amp;$C$68&amp;"."&amp;$B69&amp;".e."&amp;$J$68</f>
        <v>egy.mit.eco2.cem.coa.e.2</v>
      </c>
      <c r="I69" t="s">
        <v>2015</v>
      </c>
      <c r="L69" s="115">
        <f>Mitigation_Industry!L$513*INDEX(Data_EF!$G:$G,MATCH($G69,Data_EF!$A:$A,0))/1000000</f>
        <v>5.6943750017529693</v>
      </c>
      <c r="M69" s="19">
        <f>Mitigation_Industry!M$513*INDEX(Data_EF!$G:$G,MATCH($G69,Data_EF!$A:$A,0))/1000000</f>
        <v>4.6369239864204763</v>
      </c>
      <c r="N69" s="19">
        <f>Mitigation_Industry!N$513*INDEX(Data_EF!$G:$G,MATCH($G69,Data_EF!$A:$A,0))/1000000</f>
        <v>5.3289940373086706</v>
      </c>
      <c r="O69" s="19">
        <f>Mitigation_Industry!O$513*INDEX(Data_EF!$G:$G,MATCH($G69,Data_EF!$A:$A,0))/1000000</f>
        <v>5.8226400268160949</v>
      </c>
      <c r="P69" s="19">
        <f>Mitigation_Industry!P$513*INDEX(Data_EF!$G:$G,MATCH($G69,Data_EF!$A:$A,0))/1000000</f>
        <v>5.694196680592964</v>
      </c>
      <c r="Q69" s="19">
        <f>Mitigation_Industry!Q$513*INDEX(Data_EF!$G:$G,MATCH($G69,Data_EF!$A:$A,0))/1000000</f>
        <v>5.3507681264149785</v>
      </c>
      <c r="R69" s="19">
        <f>Mitigation_Industry!R$513*INDEX(Data_EF!$G:$G,MATCH($G69,Data_EF!$A:$A,0))/1000000</f>
        <v>5.1468030050040836</v>
      </c>
      <c r="S69" s="19">
        <f>Mitigation_Industry!S$513*INDEX(Data_EF!$G:$G,MATCH($G69,Data_EF!$A:$A,0))/1000000</f>
        <v>4.9720844145169041</v>
      </c>
      <c r="T69" s="19">
        <f>Mitigation_Industry!T$513*INDEX(Data_EF!$G:$G,MATCH($G69,Data_EF!$A:$A,0))/1000000</f>
        <v>4.8177884769020274</v>
      </c>
      <c r="U69" s="19">
        <f>Mitigation_Industry!U$513*INDEX(Data_EF!$G:$G,MATCH($G69,Data_EF!$A:$A,0))/1000000</f>
        <v>4.684359736338636</v>
      </c>
      <c r="V69" s="19">
        <f>Mitigation_Industry!V$513*INDEX(Data_EF!$G:$G,MATCH($G69,Data_EF!$A:$A,0))/1000000</f>
        <v>4.5577516702337384</v>
      </c>
      <c r="W69" s="19">
        <f>Mitigation_Industry!W$513*INDEX(Data_EF!$G:$G,MATCH($G69,Data_EF!$A:$A,0))/1000000</f>
        <v>4.449135037739806</v>
      </c>
      <c r="X69" s="19">
        <f>Mitigation_Industry!X$513*INDEX(Data_EF!$G:$G,MATCH($G69,Data_EF!$A:$A,0))/1000000</f>
        <v>4.3559671865623386</v>
      </c>
      <c r="Y69" s="19">
        <f>Mitigation_Industry!Y$513*INDEX(Data_EF!$G:$G,MATCH($G69,Data_EF!$A:$A,0))/1000000</f>
        <v>4.2764922482924703</v>
      </c>
      <c r="Z69" s="19">
        <f>Mitigation_Industry!Z$513*INDEX(Data_EF!$G:$G,MATCH($G69,Data_EF!$A:$A,0))/1000000</f>
        <v>4.2097463004877325</v>
      </c>
      <c r="AA69" s="19">
        <f>Mitigation_Industry!AA$513*INDEX(Data_EF!$G:$G,MATCH($G69,Data_EF!$A:$A,0))/1000000</f>
        <v>4.1545451732478762</v>
      </c>
      <c r="AB69" s="19">
        <f>Mitigation_Industry!AB$513*INDEX(Data_EF!$G:$G,MATCH($G69,Data_EF!$A:$A,0))/1000000</f>
        <v>4.109773462733231</v>
      </c>
      <c r="AC69" s="19">
        <f>Mitigation_Industry!AC$513*INDEX(Data_EF!$G:$G,MATCH($G69,Data_EF!$A:$A,0))/1000000</f>
        <v>4.0740725397081841</v>
      </c>
      <c r="AD69" s="19">
        <f>Mitigation_Industry!AD$513*INDEX(Data_EF!$G:$G,MATCH($G69,Data_EF!$A:$A,0))/1000000</f>
        <v>4.0462985024959002</v>
      </c>
      <c r="AE69" s="19">
        <f>Mitigation_Industry!AE$513*INDEX(Data_EF!$G:$G,MATCH($G69,Data_EF!$A:$A,0))/1000000</f>
        <v>4.0255417733511525</v>
      </c>
    </row>
    <row r="70" spans="1:35" customFormat="1" ht="14.25" x14ac:dyDescent="0.45">
      <c r="B70" s="14" t="s">
        <v>53</v>
      </c>
      <c r="C70" s="14" t="str">
        <f t="shared" si="10"/>
        <v>cem</v>
      </c>
      <c r="D70" s="15" t="s">
        <v>54</v>
      </c>
      <c r="E70" s="16" t="s">
        <v>1967</v>
      </c>
      <c r="F70" s="14" t="s">
        <v>1968</v>
      </c>
      <c r="G70" s="114" t="str">
        <f>Settings!$B$3&amp;".mit.efc."&amp;$B70</f>
        <v>egy.mit.efc.nga</v>
      </c>
      <c r="H70" s="45" t="str">
        <f>Settings!$B$3&amp;".mit.eco2."&amp;$C$68&amp;"."&amp;$B70&amp;".e."&amp;$J$68</f>
        <v>egy.mit.eco2.cem.nga.e.2</v>
      </c>
      <c r="I70" t="s">
        <v>2016</v>
      </c>
      <c r="L70" s="115">
        <f>Mitigation_Industry!L$514*INDEX(Data_EF!$G:$G,MATCH($G70,Data_EF!$A:$A,0))/1000000</f>
        <v>3.7949824443793374</v>
      </c>
      <c r="M70" s="19">
        <f>Mitigation_Industry!M$514*INDEX(Data_EF!$G:$G,MATCH($G70,Data_EF!$A:$A,0))/1000000</f>
        <v>3.2554738817530007</v>
      </c>
      <c r="N70" s="19">
        <f>Mitigation_Industry!N$514*INDEX(Data_EF!$G:$G,MATCH($G70,Data_EF!$A:$A,0))/1000000</f>
        <v>3.645055860732914</v>
      </c>
      <c r="O70" s="19">
        <f>Mitigation_Industry!O$514*INDEX(Data_EF!$G:$G,MATCH($G70,Data_EF!$A:$A,0))/1000000</f>
        <v>3.7890989172597216</v>
      </c>
      <c r="P70" s="19">
        <f>Mitigation_Industry!P$514*INDEX(Data_EF!$G:$G,MATCH($G70,Data_EF!$A:$A,0))/1000000</f>
        <v>3.9313953380014977</v>
      </c>
      <c r="Q70" s="19">
        <f>Mitigation_Industry!Q$514*INDEX(Data_EF!$G:$G,MATCH($G70,Data_EF!$A:$A,0))/1000000</f>
        <v>3.7238820485525643</v>
      </c>
      <c r="R70" s="19">
        <f>Mitigation_Industry!R$514*INDEX(Data_EF!$G:$G,MATCH($G70,Data_EF!$A:$A,0))/1000000</f>
        <v>3.5894544332613201</v>
      </c>
      <c r="S70" s="19">
        <f>Mitigation_Industry!S$514*INDEX(Data_EF!$G:$G,MATCH($G70,Data_EF!$A:$A,0))/1000000</f>
        <v>3.4769553223578953</v>
      </c>
      <c r="T70" s="19">
        <f>Mitigation_Industry!T$514*INDEX(Data_EF!$G:$G,MATCH($G70,Data_EF!$A:$A,0))/1000000</f>
        <v>3.3777293800729993</v>
      </c>
      <c r="U70" s="19">
        <f>Mitigation_Industry!U$514*INDEX(Data_EF!$G:$G,MATCH($G70,Data_EF!$A:$A,0))/1000000</f>
        <v>3.2970827346258389</v>
      </c>
      <c r="V70" s="19">
        <f>Mitigation_Industry!V$514*INDEX(Data_EF!$G:$G,MATCH($G70,Data_EF!$A:$A,0))/1000000</f>
        <v>3.2325351104852813</v>
      </c>
      <c r="W70" s="19">
        <f>Mitigation_Industry!W$514*INDEX(Data_EF!$G:$G,MATCH($G70,Data_EF!$A:$A,0))/1000000</f>
        <v>3.1822680817896103</v>
      </c>
      <c r="X70" s="19">
        <f>Mitigation_Industry!X$514*INDEX(Data_EF!$G:$G,MATCH($G70,Data_EF!$A:$A,0))/1000000</f>
        <v>3.1446899098677394</v>
      </c>
      <c r="Y70" s="19">
        <f>Mitigation_Industry!Y$514*INDEX(Data_EF!$G:$G,MATCH($G70,Data_EF!$A:$A,0))/1000000</f>
        <v>3.11893172355397</v>
      </c>
      <c r="Z70" s="19">
        <f>Mitigation_Industry!Z$514*INDEX(Data_EF!$G:$G,MATCH($G70,Data_EF!$A:$A,0))/1000000</f>
        <v>3.1049930255074432</v>
      </c>
      <c r="AA70" s="19">
        <f>Mitigation_Industry!AA$514*INDEX(Data_EF!$G:$G,MATCH($G70,Data_EF!$A:$A,0))/1000000</f>
        <v>3.1023534051773503</v>
      </c>
      <c r="AB70" s="19">
        <f>Mitigation_Industry!AB$514*INDEX(Data_EF!$G:$G,MATCH($G70,Data_EF!$A:$A,0))/1000000</f>
        <v>3.1104300611453071</v>
      </c>
      <c r="AC70" s="19">
        <f>Mitigation_Industry!AC$514*INDEX(Data_EF!$G:$G,MATCH($G70,Data_EF!$A:$A,0))/1000000</f>
        <v>3.1281286469137259</v>
      </c>
      <c r="AD70" s="19">
        <f>Mitigation_Industry!AD$514*INDEX(Data_EF!$G:$G,MATCH($G70,Data_EF!$A:$A,0))/1000000</f>
        <v>3.1545409271157974</v>
      </c>
      <c r="AE70" s="19">
        <f>Mitigation_Industry!AE$514*INDEX(Data_EF!$G:$G,MATCH($G70,Data_EF!$A:$A,0))/1000000</f>
        <v>3.1890036300899558</v>
      </c>
    </row>
    <row r="71" spans="1:35" customFormat="1" ht="14.25" x14ac:dyDescent="0.45">
      <c r="B71" s="14" t="s">
        <v>55</v>
      </c>
      <c r="C71" s="14" t="str">
        <f t="shared" si="10"/>
        <v>cem</v>
      </c>
      <c r="D71" s="15" t="s">
        <v>56</v>
      </c>
      <c r="E71" s="16" t="s">
        <v>1967</v>
      </c>
      <c r="F71" s="14" t="s">
        <v>1968</v>
      </c>
      <c r="G71" s="114" t="str">
        <f>Settings!$B$3&amp;".mit.efc."&amp;$B71</f>
        <v>egy.mit.efc.gso</v>
      </c>
      <c r="H71" s="45" t="str">
        <f>Settings!$B$3&amp;".mit.eco2."&amp;$C$68&amp;"."&amp;$B71&amp;".e."&amp;$J$68</f>
        <v>egy.mit.eco2.cem.gso.e.2</v>
      </c>
      <c r="I71" t="s">
        <v>2017</v>
      </c>
      <c r="L71" s="115">
        <f>Mitigation_Industry!L$515*INDEX(Data_EF!$G:$G,MATCH($G71,Data_EF!$A:$A,0))/1000000</f>
        <v>0</v>
      </c>
      <c r="M71" s="19">
        <f>Mitigation_Industry!M$515*INDEX(Data_EF!$G:$G,MATCH($G71,Data_EF!$A:$A,0))/1000000</f>
        <v>0</v>
      </c>
      <c r="N71" s="19">
        <f>Mitigation_Industry!N$515*INDEX(Data_EF!$G:$G,MATCH($G71,Data_EF!$A:$A,0))/1000000</f>
        <v>0</v>
      </c>
      <c r="O71" s="19">
        <f>Mitigation_Industry!O$515*INDEX(Data_EF!$G:$G,MATCH($G71,Data_EF!$A:$A,0))/1000000</f>
        <v>0</v>
      </c>
      <c r="P71" s="19">
        <f>Mitigation_Industry!P$515*INDEX(Data_EF!$G:$G,MATCH($G71,Data_EF!$A:$A,0))/1000000</f>
        <v>0</v>
      </c>
      <c r="Q71" s="19">
        <f>Mitigation_Industry!Q$515*INDEX(Data_EF!$G:$G,MATCH($G71,Data_EF!$A:$A,0))/1000000</f>
        <v>0</v>
      </c>
      <c r="R71" s="19">
        <f>Mitigation_Industry!R$515*INDEX(Data_EF!$G:$G,MATCH($G71,Data_EF!$A:$A,0))/1000000</f>
        <v>0</v>
      </c>
      <c r="S71" s="19">
        <f>Mitigation_Industry!S$515*INDEX(Data_EF!$G:$G,MATCH($G71,Data_EF!$A:$A,0))/1000000</f>
        <v>0</v>
      </c>
      <c r="T71" s="19">
        <f>Mitigation_Industry!T$515*INDEX(Data_EF!$G:$G,MATCH($G71,Data_EF!$A:$A,0))/1000000</f>
        <v>0</v>
      </c>
      <c r="U71" s="19">
        <f>Mitigation_Industry!U$515*INDEX(Data_EF!$G:$G,MATCH($G71,Data_EF!$A:$A,0))/1000000</f>
        <v>0</v>
      </c>
      <c r="V71" s="19">
        <f>Mitigation_Industry!V$515*INDEX(Data_EF!$G:$G,MATCH($G71,Data_EF!$A:$A,0))/1000000</f>
        <v>0</v>
      </c>
      <c r="W71" s="19">
        <f>Mitigation_Industry!W$515*INDEX(Data_EF!$G:$G,MATCH($G71,Data_EF!$A:$A,0))/1000000</f>
        <v>0</v>
      </c>
      <c r="X71" s="19">
        <f>Mitigation_Industry!X$515*INDEX(Data_EF!$G:$G,MATCH($G71,Data_EF!$A:$A,0))/1000000</f>
        <v>0</v>
      </c>
      <c r="Y71" s="19">
        <f>Mitigation_Industry!Y$515*INDEX(Data_EF!$G:$G,MATCH($G71,Data_EF!$A:$A,0))/1000000</f>
        <v>0</v>
      </c>
      <c r="Z71" s="19">
        <f>Mitigation_Industry!Z$515*INDEX(Data_EF!$G:$G,MATCH($G71,Data_EF!$A:$A,0))/1000000</f>
        <v>0</v>
      </c>
      <c r="AA71" s="19">
        <f>Mitigation_Industry!AA$515*INDEX(Data_EF!$G:$G,MATCH($G71,Data_EF!$A:$A,0))/1000000</f>
        <v>0</v>
      </c>
      <c r="AB71" s="19">
        <f>Mitigation_Industry!AB$515*INDEX(Data_EF!$G:$G,MATCH($G71,Data_EF!$A:$A,0))/1000000</f>
        <v>0</v>
      </c>
      <c r="AC71" s="19">
        <f>Mitigation_Industry!AC$515*INDEX(Data_EF!$G:$G,MATCH($G71,Data_EF!$A:$A,0))/1000000</f>
        <v>0</v>
      </c>
      <c r="AD71" s="19">
        <f>Mitigation_Industry!AD$515*INDEX(Data_EF!$G:$G,MATCH($G71,Data_EF!$A:$A,0))/1000000</f>
        <v>0</v>
      </c>
      <c r="AE71" s="19">
        <f>Mitigation_Industry!AE$515*INDEX(Data_EF!$G:$G,MATCH($G71,Data_EF!$A:$A,0))/1000000</f>
        <v>0</v>
      </c>
    </row>
    <row r="72" spans="1:35" customFormat="1" ht="14.25" x14ac:dyDescent="0.45">
      <c r="B72" s="14" t="s">
        <v>58</v>
      </c>
      <c r="C72" s="14" t="str">
        <f t="shared" si="10"/>
        <v>cem</v>
      </c>
      <c r="D72" s="15" t="s">
        <v>59</v>
      </c>
      <c r="E72" s="16" t="s">
        <v>1967</v>
      </c>
      <c r="F72" s="14" t="s">
        <v>1968</v>
      </c>
      <c r="G72" s="114" t="str">
        <f>Settings!$B$3&amp;".mit.efc."&amp;$B72</f>
        <v>egy.mit.efc.die</v>
      </c>
      <c r="H72" s="45" t="str">
        <f>Settings!$B$3&amp;".mit.eco2."&amp;$C$68&amp;"."&amp;$B72&amp;".e."&amp;$J$68</f>
        <v>egy.mit.eco2.cem.die.e.2</v>
      </c>
      <c r="I72" t="s">
        <v>2018</v>
      </c>
      <c r="L72" s="115">
        <f>Mitigation_Industry!L$516*INDEX(Data_EF!$G:$G,MATCH($G72,Data_EF!$A:$A,0))/1000000</f>
        <v>0</v>
      </c>
      <c r="M72" s="19">
        <f>Mitigation_Industry!M$516*INDEX(Data_EF!$G:$G,MATCH($G72,Data_EF!$A:$A,0))/1000000</f>
        <v>0</v>
      </c>
      <c r="N72" s="19">
        <f>Mitigation_Industry!N$516*INDEX(Data_EF!$G:$G,MATCH($G72,Data_EF!$A:$A,0))/1000000</f>
        <v>0</v>
      </c>
      <c r="O72" s="19">
        <f>Mitigation_Industry!O$516*INDEX(Data_EF!$G:$G,MATCH($G72,Data_EF!$A:$A,0))/1000000</f>
        <v>0</v>
      </c>
      <c r="P72" s="19">
        <f>Mitigation_Industry!P$516*INDEX(Data_EF!$G:$G,MATCH($G72,Data_EF!$A:$A,0))/1000000</f>
        <v>0</v>
      </c>
      <c r="Q72" s="19">
        <f>Mitigation_Industry!Q$516*INDEX(Data_EF!$G:$G,MATCH($G72,Data_EF!$A:$A,0))/1000000</f>
        <v>0</v>
      </c>
      <c r="R72" s="19">
        <f>Mitigation_Industry!R$516*INDEX(Data_EF!$G:$G,MATCH($G72,Data_EF!$A:$A,0))/1000000</f>
        <v>0</v>
      </c>
      <c r="S72" s="19">
        <f>Mitigation_Industry!S$516*INDEX(Data_EF!$G:$G,MATCH($G72,Data_EF!$A:$A,0))/1000000</f>
        <v>0</v>
      </c>
      <c r="T72" s="19">
        <f>Mitigation_Industry!T$516*INDEX(Data_EF!$G:$G,MATCH($G72,Data_EF!$A:$A,0))/1000000</f>
        <v>0</v>
      </c>
      <c r="U72" s="19">
        <f>Mitigation_Industry!U$516*INDEX(Data_EF!$G:$G,MATCH($G72,Data_EF!$A:$A,0))/1000000</f>
        <v>0</v>
      </c>
      <c r="V72" s="19">
        <f>Mitigation_Industry!V$516*INDEX(Data_EF!$G:$G,MATCH($G72,Data_EF!$A:$A,0))/1000000</f>
        <v>0</v>
      </c>
      <c r="W72" s="19">
        <f>Mitigation_Industry!W$516*INDEX(Data_EF!$G:$G,MATCH($G72,Data_EF!$A:$A,0))/1000000</f>
        <v>0</v>
      </c>
      <c r="X72" s="19">
        <f>Mitigation_Industry!X$516*INDEX(Data_EF!$G:$G,MATCH($G72,Data_EF!$A:$A,0))/1000000</f>
        <v>0</v>
      </c>
      <c r="Y72" s="19">
        <f>Mitigation_Industry!Y$516*INDEX(Data_EF!$G:$G,MATCH($G72,Data_EF!$A:$A,0))/1000000</f>
        <v>0</v>
      </c>
      <c r="Z72" s="19">
        <f>Mitigation_Industry!Z$516*INDEX(Data_EF!$G:$G,MATCH($G72,Data_EF!$A:$A,0))/1000000</f>
        <v>0</v>
      </c>
      <c r="AA72" s="19">
        <f>Mitigation_Industry!AA$516*INDEX(Data_EF!$G:$G,MATCH($G72,Data_EF!$A:$A,0))/1000000</f>
        <v>0</v>
      </c>
      <c r="AB72" s="19">
        <f>Mitigation_Industry!AB$516*INDEX(Data_EF!$G:$G,MATCH($G72,Data_EF!$A:$A,0))/1000000</f>
        <v>0</v>
      </c>
      <c r="AC72" s="19">
        <f>Mitigation_Industry!AC$516*INDEX(Data_EF!$G:$G,MATCH($G72,Data_EF!$A:$A,0))/1000000</f>
        <v>0</v>
      </c>
      <c r="AD72" s="19">
        <f>Mitigation_Industry!AD$516*INDEX(Data_EF!$G:$G,MATCH($G72,Data_EF!$A:$A,0))/1000000</f>
        <v>0</v>
      </c>
      <c r="AE72" s="19">
        <f>Mitigation_Industry!AE$516*INDEX(Data_EF!$G:$G,MATCH($G72,Data_EF!$A:$A,0))/1000000</f>
        <v>0</v>
      </c>
    </row>
    <row r="73" spans="1:35" customFormat="1" ht="14.25" x14ac:dyDescent="0.45">
      <c r="B73" s="14" t="s">
        <v>60</v>
      </c>
      <c r="C73" s="14" t="str">
        <f t="shared" si="10"/>
        <v>cem</v>
      </c>
      <c r="D73" s="15" t="s">
        <v>61</v>
      </c>
      <c r="E73" s="16" t="s">
        <v>1967</v>
      </c>
      <c r="F73" s="14" t="s">
        <v>1968</v>
      </c>
      <c r="G73" s="114" t="str">
        <f>Settings!$B$3&amp;".mit.efc."&amp;$B73</f>
        <v>egy.mit.efc.lpg</v>
      </c>
      <c r="H73" s="45" t="str">
        <f>Settings!$B$3&amp;".mit.eco2."&amp;$C$68&amp;"."&amp;$B73&amp;".e."&amp;$J$68</f>
        <v>egy.mit.eco2.cem.lpg.e.2</v>
      </c>
      <c r="I73" t="s">
        <v>2019</v>
      </c>
      <c r="L73" s="115">
        <f>Mitigation_Industry!L$517*INDEX(Data_EF!$G:$G,MATCH($G73,Data_EF!$A:$A,0))/1000000</f>
        <v>0</v>
      </c>
      <c r="M73" s="19">
        <f>Mitigation_Industry!M$517*INDEX(Data_EF!$G:$G,MATCH($G73,Data_EF!$A:$A,0))/1000000</f>
        <v>0</v>
      </c>
      <c r="N73" s="19">
        <f>Mitigation_Industry!N$517*INDEX(Data_EF!$G:$G,MATCH($G73,Data_EF!$A:$A,0))/1000000</f>
        <v>0</v>
      </c>
      <c r="O73" s="19">
        <f>Mitigation_Industry!O$517*INDEX(Data_EF!$G:$G,MATCH($G73,Data_EF!$A:$A,0))/1000000</f>
        <v>0</v>
      </c>
      <c r="P73" s="19">
        <f>Mitigation_Industry!P$517*INDEX(Data_EF!$G:$G,MATCH($G73,Data_EF!$A:$A,0))/1000000</f>
        <v>0</v>
      </c>
      <c r="Q73" s="19">
        <f>Mitigation_Industry!Q$517*INDEX(Data_EF!$G:$G,MATCH($G73,Data_EF!$A:$A,0))/1000000</f>
        <v>0</v>
      </c>
      <c r="R73" s="19">
        <f>Mitigation_Industry!R$517*INDEX(Data_EF!$G:$G,MATCH($G73,Data_EF!$A:$A,0))/1000000</f>
        <v>0</v>
      </c>
      <c r="S73" s="19">
        <f>Mitigation_Industry!S$517*INDEX(Data_EF!$G:$G,MATCH($G73,Data_EF!$A:$A,0))/1000000</f>
        <v>0</v>
      </c>
      <c r="T73" s="19">
        <f>Mitigation_Industry!T$517*INDEX(Data_EF!$G:$G,MATCH($G73,Data_EF!$A:$A,0))/1000000</f>
        <v>0</v>
      </c>
      <c r="U73" s="19">
        <f>Mitigation_Industry!U$517*INDEX(Data_EF!$G:$G,MATCH($G73,Data_EF!$A:$A,0))/1000000</f>
        <v>0</v>
      </c>
      <c r="V73" s="19">
        <f>Mitigation_Industry!V$517*INDEX(Data_EF!$G:$G,MATCH($G73,Data_EF!$A:$A,0))/1000000</f>
        <v>0</v>
      </c>
      <c r="W73" s="19">
        <f>Mitigation_Industry!W$517*INDEX(Data_EF!$G:$G,MATCH($G73,Data_EF!$A:$A,0))/1000000</f>
        <v>0</v>
      </c>
      <c r="X73" s="19">
        <f>Mitigation_Industry!X$517*INDEX(Data_EF!$G:$G,MATCH($G73,Data_EF!$A:$A,0))/1000000</f>
        <v>0</v>
      </c>
      <c r="Y73" s="19">
        <f>Mitigation_Industry!Y$517*INDEX(Data_EF!$G:$G,MATCH($G73,Data_EF!$A:$A,0))/1000000</f>
        <v>0</v>
      </c>
      <c r="Z73" s="19">
        <f>Mitigation_Industry!Z$517*INDEX(Data_EF!$G:$G,MATCH($G73,Data_EF!$A:$A,0))/1000000</f>
        <v>0</v>
      </c>
      <c r="AA73" s="19">
        <f>Mitigation_Industry!AA$517*INDEX(Data_EF!$G:$G,MATCH($G73,Data_EF!$A:$A,0))/1000000</f>
        <v>0</v>
      </c>
      <c r="AB73" s="19">
        <f>Mitigation_Industry!AB$517*INDEX(Data_EF!$G:$G,MATCH($G73,Data_EF!$A:$A,0))/1000000</f>
        <v>0</v>
      </c>
      <c r="AC73" s="19">
        <f>Mitigation_Industry!AC$517*INDEX(Data_EF!$G:$G,MATCH($G73,Data_EF!$A:$A,0))/1000000</f>
        <v>0</v>
      </c>
      <c r="AD73" s="19">
        <f>Mitigation_Industry!AD$517*INDEX(Data_EF!$G:$G,MATCH($G73,Data_EF!$A:$A,0))/1000000</f>
        <v>0</v>
      </c>
      <c r="AE73" s="19">
        <f>Mitigation_Industry!AE$517*INDEX(Data_EF!$G:$G,MATCH($G73,Data_EF!$A:$A,0))/1000000</f>
        <v>0</v>
      </c>
    </row>
    <row r="74" spans="1:35" customFormat="1" ht="14.25" x14ac:dyDescent="0.45">
      <c r="B74" s="14" t="s">
        <v>62</v>
      </c>
      <c r="C74" s="14" t="str">
        <f t="shared" si="10"/>
        <v>cem</v>
      </c>
      <c r="D74" s="15" t="s">
        <v>63</v>
      </c>
      <c r="E74" s="16" t="s">
        <v>1967</v>
      </c>
      <c r="F74" s="14" t="s">
        <v>1968</v>
      </c>
      <c r="G74" s="114" t="str">
        <f>Settings!$B$3&amp;".mit.efc."&amp;$B74</f>
        <v>egy.mit.efc.ker</v>
      </c>
      <c r="H74" s="45" t="str">
        <f>Settings!$B$3&amp;".mit.eco2."&amp;$C$68&amp;"."&amp;$B74&amp;".e."&amp;$J$68</f>
        <v>egy.mit.eco2.cem.ker.e.2</v>
      </c>
      <c r="I74" t="s">
        <v>2020</v>
      </c>
      <c r="L74" s="115">
        <f>Mitigation_Industry!L$518*INDEX(Data_EF!$G:$G,MATCH($G74,Data_EF!$A:$A,0))/1000000</f>
        <v>0</v>
      </c>
      <c r="M74" s="19">
        <f>Mitigation_Industry!M$518*INDEX(Data_EF!$G:$G,MATCH($G74,Data_EF!$A:$A,0))/1000000</f>
        <v>0</v>
      </c>
      <c r="N74" s="19">
        <f>Mitigation_Industry!N$518*INDEX(Data_EF!$G:$G,MATCH($G74,Data_EF!$A:$A,0))/1000000</f>
        <v>0</v>
      </c>
      <c r="O74" s="19">
        <f>Mitigation_Industry!O$518*INDEX(Data_EF!$G:$G,MATCH($G74,Data_EF!$A:$A,0))/1000000</f>
        <v>0</v>
      </c>
      <c r="P74" s="19">
        <f>Mitigation_Industry!P$518*INDEX(Data_EF!$G:$G,MATCH($G74,Data_EF!$A:$A,0))/1000000</f>
        <v>0</v>
      </c>
      <c r="Q74" s="19">
        <f>Mitigation_Industry!Q$518*INDEX(Data_EF!$G:$G,MATCH($G74,Data_EF!$A:$A,0))/1000000</f>
        <v>0</v>
      </c>
      <c r="R74" s="19">
        <f>Mitigation_Industry!R$518*INDEX(Data_EF!$G:$G,MATCH($G74,Data_EF!$A:$A,0))/1000000</f>
        <v>0</v>
      </c>
      <c r="S74" s="19">
        <f>Mitigation_Industry!S$518*INDEX(Data_EF!$G:$G,MATCH($G74,Data_EF!$A:$A,0))/1000000</f>
        <v>0</v>
      </c>
      <c r="T74" s="19">
        <f>Mitigation_Industry!T$518*INDEX(Data_EF!$G:$G,MATCH($G74,Data_EF!$A:$A,0))/1000000</f>
        <v>0</v>
      </c>
      <c r="U74" s="19">
        <f>Mitigation_Industry!U$518*INDEX(Data_EF!$G:$G,MATCH($G74,Data_EF!$A:$A,0))/1000000</f>
        <v>0</v>
      </c>
      <c r="V74" s="19">
        <f>Mitigation_Industry!V$518*INDEX(Data_EF!$G:$G,MATCH($G74,Data_EF!$A:$A,0))/1000000</f>
        <v>0</v>
      </c>
      <c r="W74" s="19">
        <f>Mitigation_Industry!W$518*INDEX(Data_EF!$G:$G,MATCH($G74,Data_EF!$A:$A,0))/1000000</f>
        <v>0</v>
      </c>
      <c r="X74" s="19">
        <f>Mitigation_Industry!X$518*INDEX(Data_EF!$G:$G,MATCH($G74,Data_EF!$A:$A,0))/1000000</f>
        <v>0</v>
      </c>
      <c r="Y74" s="19">
        <f>Mitigation_Industry!Y$518*INDEX(Data_EF!$G:$G,MATCH($G74,Data_EF!$A:$A,0))/1000000</f>
        <v>0</v>
      </c>
      <c r="Z74" s="19">
        <f>Mitigation_Industry!Z$518*INDEX(Data_EF!$G:$G,MATCH($G74,Data_EF!$A:$A,0))/1000000</f>
        <v>0</v>
      </c>
      <c r="AA74" s="19">
        <f>Mitigation_Industry!AA$518*INDEX(Data_EF!$G:$G,MATCH($G74,Data_EF!$A:$A,0))/1000000</f>
        <v>0</v>
      </c>
      <c r="AB74" s="19">
        <f>Mitigation_Industry!AB$518*INDEX(Data_EF!$G:$G,MATCH($G74,Data_EF!$A:$A,0))/1000000</f>
        <v>0</v>
      </c>
      <c r="AC74" s="19">
        <f>Mitigation_Industry!AC$518*INDEX(Data_EF!$G:$G,MATCH($G74,Data_EF!$A:$A,0))/1000000</f>
        <v>0</v>
      </c>
      <c r="AD74" s="19">
        <f>Mitigation_Industry!AD$518*INDEX(Data_EF!$G:$G,MATCH($G74,Data_EF!$A:$A,0))/1000000</f>
        <v>0</v>
      </c>
      <c r="AE74" s="19">
        <f>Mitigation_Industry!AE$518*INDEX(Data_EF!$G:$G,MATCH($G74,Data_EF!$A:$A,0))/1000000</f>
        <v>0</v>
      </c>
    </row>
    <row r="75" spans="1:35" customFormat="1" ht="14.25" x14ac:dyDescent="0.45">
      <c r="B75" s="14" t="s">
        <v>64</v>
      </c>
      <c r="C75" s="14" t="str">
        <f t="shared" si="10"/>
        <v>cem</v>
      </c>
      <c r="D75" s="15" t="s">
        <v>65</v>
      </c>
      <c r="E75" s="16" t="s">
        <v>1967</v>
      </c>
      <c r="F75" s="14" t="s">
        <v>1968</v>
      </c>
      <c r="G75" s="114" t="str">
        <f>Settings!$B$3&amp;".mit.efc."&amp;$B75</f>
        <v>egy.mit.efc.oop</v>
      </c>
      <c r="H75" s="45" t="str">
        <f>Settings!$B$3&amp;".mit.eco2."&amp;$C$68&amp;"."&amp;$B75&amp;".e."&amp;$J$68</f>
        <v>egy.mit.eco2.cem.oop.e.2</v>
      </c>
      <c r="I75" t="s">
        <v>2021</v>
      </c>
      <c r="L75" s="115">
        <f>Mitigation_Industry!L$519*INDEX(Data_EF!$G:$G,MATCH($G75,Data_EF!$A:$A,0))/1000000</f>
        <v>0</v>
      </c>
      <c r="M75" s="19">
        <f>Mitigation_Industry!M$519*INDEX(Data_EF!$G:$G,MATCH($G75,Data_EF!$A:$A,0))/1000000</f>
        <v>0</v>
      </c>
      <c r="N75" s="19">
        <f>Mitigation_Industry!N$519*INDEX(Data_EF!$G:$G,MATCH($G75,Data_EF!$A:$A,0))/1000000</f>
        <v>0</v>
      </c>
      <c r="O75" s="19">
        <f>Mitigation_Industry!O$519*INDEX(Data_EF!$G:$G,MATCH($G75,Data_EF!$A:$A,0))/1000000</f>
        <v>0</v>
      </c>
      <c r="P75" s="19">
        <f>Mitigation_Industry!P$519*INDEX(Data_EF!$G:$G,MATCH($G75,Data_EF!$A:$A,0))/1000000</f>
        <v>0</v>
      </c>
      <c r="Q75" s="19">
        <f>Mitigation_Industry!Q$519*INDEX(Data_EF!$G:$G,MATCH($G75,Data_EF!$A:$A,0))/1000000</f>
        <v>0</v>
      </c>
      <c r="R75" s="19">
        <f>Mitigation_Industry!R$519*INDEX(Data_EF!$G:$G,MATCH($G75,Data_EF!$A:$A,0))/1000000</f>
        <v>0</v>
      </c>
      <c r="S75" s="19">
        <f>Mitigation_Industry!S$519*INDEX(Data_EF!$G:$G,MATCH($G75,Data_EF!$A:$A,0))/1000000</f>
        <v>0</v>
      </c>
      <c r="T75" s="19">
        <f>Mitigation_Industry!T$519*INDEX(Data_EF!$G:$G,MATCH($G75,Data_EF!$A:$A,0))/1000000</f>
        <v>0</v>
      </c>
      <c r="U75" s="19">
        <f>Mitigation_Industry!U$519*INDEX(Data_EF!$G:$G,MATCH($G75,Data_EF!$A:$A,0))/1000000</f>
        <v>0</v>
      </c>
      <c r="V75" s="19">
        <f>Mitigation_Industry!V$519*INDEX(Data_EF!$G:$G,MATCH($G75,Data_EF!$A:$A,0))/1000000</f>
        <v>0</v>
      </c>
      <c r="W75" s="19">
        <f>Mitigation_Industry!W$519*INDEX(Data_EF!$G:$G,MATCH($G75,Data_EF!$A:$A,0))/1000000</f>
        <v>0</v>
      </c>
      <c r="X75" s="19">
        <f>Mitigation_Industry!X$519*INDEX(Data_EF!$G:$G,MATCH($G75,Data_EF!$A:$A,0))/1000000</f>
        <v>0</v>
      </c>
      <c r="Y75" s="19">
        <f>Mitigation_Industry!Y$519*INDEX(Data_EF!$G:$G,MATCH($G75,Data_EF!$A:$A,0))/1000000</f>
        <v>0</v>
      </c>
      <c r="Z75" s="19">
        <f>Mitigation_Industry!Z$519*INDEX(Data_EF!$G:$G,MATCH($G75,Data_EF!$A:$A,0))/1000000</f>
        <v>0</v>
      </c>
      <c r="AA75" s="19">
        <f>Mitigation_Industry!AA$519*INDEX(Data_EF!$G:$G,MATCH($G75,Data_EF!$A:$A,0))/1000000</f>
        <v>0</v>
      </c>
      <c r="AB75" s="19">
        <f>Mitigation_Industry!AB$519*INDEX(Data_EF!$G:$G,MATCH($G75,Data_EF!$A:$A,0))/1000000</f>
        <v>0</v>
      </c>
      <c r="AC75" s="19">
        <f>Mitigation_Industry!AC$519*INDEX(Data_EF!$G:$G,MATCH($G75,Data_EF!$A:$A,0))/1000000</f>
        <v>0</v>
      </c>
      <c r="AD75" s="19">
        <f>Mitigation_Industry!AD$519*INDEX(Data_EF!$G:$G,MATCH($G75,Data_EF!$A:$A,0))/1000000</f>
        <v>0</v>
      </c>
      <c r="AE75" s="19">
        <f>Mitigation_Industry!AE$519*INDEX(Data_EF!$G:$G,MATCH($G75,Data_EF!$A:$A,0))/1000000</f>
        <v>0</v>
      </c>
    </row>
    <row r="76" spans="1:35" customFormat="1" ht="14.25" x14ac:dyDescent="0.45">
      <c r="B76" s="14" t="s">
        <v>67</v>
      </c>
      <c r="C76" s="14" t="str">
        <f t="shared" si="10"/>
        <v>cem</v>
      </c>
      <c r="D76" s="15" t="s">
        <v>68</v>
      </c>
      <c r="E76" s="16" t="s">
        <v>1967</v>
      </c>
      <c r="F76" s="14" t="s">
        <v>1968</v>
      </c>
      <c r="G76" s="114" t="str">
        <f>Settings!$B$3&amp;".mit.efc."&amp;$B76</f>
        <v>egy.mit.efc.bio</v>
      </c>
      <c r="H76" s="45" t="str">
        <f>Settings!$B$3&amp;".mit.eco2."&amp;$C$68&amp;"."&amp;$B76&amp;".e."&amp;$J$68</f>
        <v>egy.mit.eco2.cem.bio.e.2</v>
      </c>
      <c r="I76" t="s">
        <v>2022</v>
      </c>
      <c r="L76" s="115">
        <f>Mitigation_Industry!L$520*INDEX(Data_EF!$G:$G,MATCH($G76,Data_EF!$A:$A,0))/1000000</f>
        <v>0</v>
      </c>
      <c r="M76" s="19">
        <f>Mitigation_Industry!M$520*INDEX(Data_EF!$G:$G,MATCH($G76,Data_EF!$A:$A,0))/1000000</f>
        <v>0</v>
      </c>
      <c r="N76" s="19">
        <f>Mitigation_Industry!N$520*INDEX(Data_EF!$G:$G,MATCH($G76,Data_EF!$A:$A,0))/1000000</f>
        <v>0</v>
      </c>
      <c r="O76" s="19">
        <f>Mitigation_Industry!O$520*INDEX(Data_EF!$G:$G,MATCH($G76,Data_EF!$A:$A,0))/1000000</f>
        <v>0</v>
      </c>
      <c r="P76" s="19">
        <f>Mitigation_Industry!P$520*INDEX(Data_EF!$G:$G,MATCH($G76,Data_EF!$A:$A,0))/1000000</f>
        <v>0</v>
      </c>
      <c r="Q76" s="19">
        <f>Mitigation_Industry!Q$520*INDEX(Data_EF!$G:$G,MATCH($G76,Data_EF!$A:$A,0))/1000000</f>
        <v>0</v>
      </c>
      <c r="R76" s="19">
        <f>Mitigation_Industry!R$520*INDEX(Data_EF!$G:$G,MATCH($G76,Data_EF!$A:$A,0))/1000000</f>
        <v>0</v>
      </c>
      <c r="S76" s="19">
        <f>Mitigation_Industry!S$520*INDEX(Data_EF!$G:$G,MATCH($G76,Data_EF!$A:$A,0))/1000000</f>
        <v>0</v>
      </c>
      <c r="T76" s="19">
        <f>Mitigation_Industry!T$520*INDEX(Data_EF!$G:$G,MATCH($G76,Data_EF!$A:$A,0))/1000000</f>
        <v>0</v>
      </c>
      <c r="U76" s="19">
        <f>Mitigation_Industry!U$520*INDEX(Data_EF!$G:$G,MATCH($G76,Data_EF!$A:$A,0))/1000000</f>
        <v>0</v>
      </c>
      <c r="V76" s="19">
        <f>Mitigation_Industry!V$520*INDEX(Data_EF!$G:$G,MATCH($G76,Data_EF!$A:$A,0))/1000000</f>
        <v>0</v>
      </c>
      <c r="W76" s="19">
        <f>Mitigation_Industry!W$520*INDEX(Data_EF!$G:$G,MATCH($G76,Data_EF!$A:$A,0))/1000000</f>
        <v>0</v>
      </c>
      <c r="X76" s="19">
        <f>Mitigation_Industry!X$520*INDEX(Data_EF!$G:$G,MATCH($G76,Data_EF!$A:$A,0))/1000000</f>
        <v>0</v>
      </c>
      <c r="Y76" s="19">
        <f>Mitigation_Industry!Y$520*INDEX(Data_EF!$G:$G,MATCH($G76,Data_EF!$A:$A,0))/1000000</f>
        <v>0</v>
      </c>
      <c r="Z76" s="19">
        <f>Mitigation_Industry!Z$520*INDEX(Data_EF!$G:$G,MATCH($G76,Data_EF!$A:$A,0))/1000000</f>
        <v>0</v>
      </c>
      <c r="AA76" s="19">
        <f>Mitigation_Industry!AA$520*INDEX(Data_EF!$G:$G,MATCH($G76,Data_EF!$A:$A,0))/1000000</f>
        <v>0</v>
      </c>
      <c r="AB76" s="19">
        <f>Mitigation_Industry!AB$520*INDEX(Data_EF!$G:$G,MATCH($G76,Data_EF!$A:$A,0))/1000000</f>
        <v>0</v>
      </c>
      <c r="AC76" s="19">
        <f>Mitigation_Industry!AC$520*INDEX(Data_EF!$G:$G,MATCH($G76,Data_EF!$A:$A,0))/1000000</f>
        <v>0</v>
      </c>
      <c r="AD76" s="19">
        <f>Mitigation_Industry!AD$520*INDEX(Data_EF!$G:$G,MATCH($G76,Data_EF!$A:$A,0))/1000000</f>
        <v>0</v>
      </c>
      <c r="AE76" s="19">
        <f>Mitigation_Industry!AE$520*INDEX(Data_EF!$G:$G,MATCH($G76,Data_EF!$A:$A,0))/1000000</f>
        <v>0</v>
      </c>
    </row>
    <row r="77" spans="1:35" customFormat="1" ht="14.25" x14ac:dyDescent="0.45">
      <c r="B77" s="14" t="s">
        <v>69</v>
      </c>
      <c r="C77" s="14" t="str">
        <f t="shared" si="10"/>
        <v>cem</v>
      </c>
      <c r="D77" s="15" t="s">
        <v>70</v>
      </c>
      <c r="E77" s="16" t="s">
        <v>1967</v>
      </c>
      <c r="F77" s="14" t="s">
        <v>1968</v>
      </c>
      <c r="G77" s="114" t="str">
        <f>Settings!$B$3&amp;".mit.efc."&amp;$B77</f>
        <v>egy.mit.efc.ren</v>
      </c>
      <c r="H77" s="45" t="str">
        <f>Settings!$B$3&amp;".mit.eco2."&amp;$C$68&amp;"."&amp;$B77&amp;".e."&amp;$J$68</f>
        <v>egy.mit.eco2.cem.ren.e.2</v>
      </c>
      <c r="I77" t="s">
        <v>2023</v>
      </c>
      <c r="L77" s="115">
        <f>Mitigation_Industry!L$521*INDEX(Data_EF!$G:$G,MATCH($G77,Data_EF!$A:$A,0))/1000000</f>
        <v>0</v>
      </c>
      <c r="M77" s="19">
        <f>Mitigation_Industry!M$521*INDEX(Data_EF!$G:$G,MATCH($G77,Data_EF!$A:$A,0))/1000000</f>
        <v>0</v>
      </c>
      <c r="N77" s="19">
        <f>Mitigation_Industry!N$521*INDEX(Data_EF!$G:$G,MATCH($G77,Data_EF!$A:$A,0))/1000000</f>
        <v>0</v>
      </c>
      <c r="O77" s="19">
        <f>Mitigation_Industry!O$521*INDEX(Data_EF!$G:$G,MATCH($G77,Data_EF!$A:$A,0))/1000000</f>
        <v>0</v>
      </c>
      <c r="P77" s="19">
        <f>Mitigation_Industry!P$521*INDEX(Data_EF!$G:$G,MATCH($G77,Data_EF!$A:$A,0))/1000000</f>
        <v>0</v>
      </c>
      <c r="Q77" s="19">
        <f>Mitigation_Industry!Q$521*INDEX(Data_EF!$G:$G,MATCH($G77,Data_EF!$A:$A,0))/1000000</f>
        <v>0</v>
      </c>
      <c r="R77" s="19">
        <f>Mitigation_Industry!R$521*INDEX(Data_EF!$G:$G,MATCH($G77,Data_EF!$A:$A,0))/1000000</f>
        <v>0</v>
      </c>
      <c r="S77" s="19">
        <f>Mitigation_Industry!S$521*INDEX(Data_EF!$G:$G,MATCH($G77,Data_EF!$A:$A,0))/1000000</f>
        <v>0</v>
      </c>
      <c r="T77" s="19">
        <f>Mitigation_Industry!T$521*INDEX(Data_EF!$G:$G,MATCH($G77,Data_EF!$A:$A,0))/1000000</f>
        <v>0</v>
      </c>
      <c r="U77" s="19">
        <f>Mitigation_Industry!U$521*INDEX(Data_EF!$G:$G,MATCH($G77,Data_EF!$A:$A,0))/1000000</f>
        <v>0</v>
      </c>
      <c r="V77" s="19">
        <f>Mitigation_Industry!V$521*INDEX(Data_EF!$G:$G,MATCH($G77,Data_EF!$A:$A,0))/1000000</f>
        <v>0</v>
      </c>
      <c r="W77" s="19">
        <f>Mitigation_Industry!W$521*INDEX(Data_EF!$G:$G,MATCH($G77,Data_EF!$A:$A,0))/1000000</f>
        <v>0</v>
      </c>
      <c r="X77" s="19">
        <f>Mitigation_Industry!X$521*INDEX(Data_EF!$G:$G,MATCH($G77,Data_EF!$A:$A,0))/1000000</f>
        <v>0</v>
      </c>
      <c r="Y77" s="19">
        <f>Mitigation_Industry!Y$521*INDEX(Data_EF!$G:$G,MATCH($G77,Data_EF!$A:$A,0))/1000000</f>
        <v>0</v>
      </c>
      <c r="Z77" s="19">
        <f>Mitigation_Industry!Z$521*INDEX(Data_EF!$G:$G,MATCH($G77,Data_EF!$A:$A,0))/1000000</f>
        <v>0</v>
      </c>
      <c r="AA77" s="19">
        <f>Mitigation_Industry!AA$521*INDEX(Data_EF!$G:$G,MATCH($G77,Data_EF!$A:$A,0))/1000000</f>
        <v>0</v>
      </c>
      <c r="AB77" s="19">
        <f>Mitigation_Industry!AB$521*INDEX(Data_EF!$G:$G,MATCH($G77,Data_EF!$A:$A,0))/1000000</f>
        <v>0</v>
      </c>
      <c r="AC77" s="19">
        <f>Mitigation_Industry!AC$521*INDEX(Data_EF!$G:$G,MATCH($G77,Data_EF!$A:$A,0))/1000000</f>
        <v>0</v>
      </c>
      <c r="AD77" s="19">
        <f>Mitigation_Industry!AD$521*INDEX(Data_EF!$G:$G,MATCH($G77,Data_EF!$A:$A,0))/1000000</f>
        <v>0</v>
      </c>
      <c r="AE77" s="19">
        <f>Mitigation_Industry!AE$521*INDEX(Data_EF!$G:$G,MATCH($G77,Data_EF!$A:$A,0))/1000000</f>
        <v>0</v>
      </c>
    </row>
    <row r="78" spans="1:35" customFormat="1" ht="14.25" x14ac:dyDescent="0.45">
      <c r="B78" s="14" t="s">
        <v>110</v>
      </c>
      <c r="C78" s="14" t="str">
        <f t="shared" si="10"/>
        <v>cem</v>
      </c>
      <c r="D78" s="25" t="s">
        <v>111</v>
      </c>
      <c r="E78" s="16" t="s">
        <v>1967</v>
      </c>
      <c r="F78" s="14" t="s">
        <v>1968</v>
      </c>
      <c r="H78" s="45" t="str">
        <f>Settings!$B$3&amp;".mit.eco2."&amp;$C$68&amp;".tot.e."&amp;$J$68</f>
        <v>egy.mit.eco2.cem.tot.e.2</v>
      </c>
      <c r="L78" s="116">
        <f t="shared" ref="L78:AE78" si="11">SUM(L69:L77)</f>
        <v>9.4893574461323063</v>
      </c>
      <c r="M78" s="116">
        <f t="shared" si="11"/>
        <v>7.892397868173477</v>
      </c>
      <c r="N78" s="116">
        <f t="shared" si="11"/>
        <v>8.974049898041585</v>
      </c>
      <c r="O78" s="116">
        <f t="shared" si="11"/>
        <v>9.6117389440758174</v>
      </c>
      <c r="P78" s="116">
        <f t="shared" si="11"/>
        <v>9.6255920185944621</v>
      </c>
      <c r="Q78" s="116">
        <f t="shared" si="11"/>
        <v>9.0746501749675428</v>
      </c>
      <c r="R78" s="116">
        <f t="shared" si="11"/>
        <v>8.7362574382654046</v>
      </c>
      <c r="S78" s="116">
        <f t="shared" si="11"/>
        <v>8.4490397368747985</v>
      </c>
      <c r="T78" s="116">
        <f t="shared" si="11"/>
        <v>8.1955178569750267</v>
      </c>
      <c r="U78" s="116">
        <f t="shared" si="11"/>
        <v>7.9814424709644749</v>
      </c>
      <c r="V78" s="116">
        <f t="shared" si="11"/>
        <v>7.7902867807190201</v>
      </c>
      <c r="W78" s="116">
        <f t="shared" si="11"/>
        <v>7.6314031195294163</v>
      </c>
      <c r="X78" s="116">
        <f t="shared" si="11"/>
        <v>7.5006570964300785</v>
      </c>
      <c r="Y78" s="116">
        <f t="shared" si="11"/>
        <v>7.3954239718464407</v>
      </c>
      <c r="Z78" s="116">
        <f t="shared" si="11"/>
        <v>7.3147393259951752</v>
      </c>
      <c r="AA78" s="116">
        <f t="shared" si="11"/>
        <v>7.2568985784252265</v>
      </c>
      <c r="AB78" s="116">
        <f t="shared" si="11"/>
        <v>7.2202035238785385</v>
      </c>
      <c r="AC78" s="116">
        <f t="shared" si="11"/>
        <v>7.2022011866219096</v>
      </c>
      <c r="AD78" s="116">
        <f t="shared" si="11"/>
        <v>7.2008394296116975</v>
      </c>
      <c r="AE78" s="116">
        <f t="shared" si="11"/>
        <v>7.2145454034411083</v>
      </c>
    </row>
    <row r="80" spans="1:35" customFormat="1" ht="14.25" x14ac:dyDescent="0.45">
      <c r="A80" s="11"/>
      <c r="B80" s="6" t="s">
        <v>114</v>
      </c>
      <c r="C80" s="7" t="s">
        <v>115</v>
      </c>
      <c r="D80" s="6" t="s">
        <v>44</v>
      </c>
      <c r="E80" s="7" t="s">
        <v>35</v>
      </c>
      <c r="F80" s="7" t="s">
        <v>45</v>
      </c>
      <c r="G80" s="7" t="s">
        <v>1966</v>
      </c>
      <c r="H80" s="12" t="s">
        <v>38</v>
      </c>
      <c r="I80" s="6" t="s">
        <v>47</v>
      </c>
      <c r="J80" s="48">
        <v>2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4.25" x14ac:dyDescent="0.45">
      <c r="B81" s="14" t="s">
        <v>49</v>
      </c>
      <c r="C81" s="14" t="str">
        <f t="shared" ref="C81:C90" si="12">$C$80</f>
        <v>nfm</v>
      </c>
      <c r="D81" s="15" t="s">
        <v>50</v>
      </c>
      <c r="E81" s="16" t="s">
        <v>1967</v>
      </c>
      <c r="F81" s="14" t="s">
        <v>1968</v>
      </c>
      <c r="G81" s="114" t="str">
        <f>Settings!$B$3&amp;".mit.efc."&amp;$B81</f>
        <v>egy.mit.efc.coa</v>
      </c>
      <c r="H81" s="45" t="str">
        <f>Settings!$B$3&amp;".mit.eco2."&amp;$C$80&amp;"."&amp;$B81&amp;".e."&amp;$J$80</f>
        <v>egy.mit.eco2.nfm.coa.e.2</v>
      </c>
      <c r="I81" t="s">
        <v>2024</v>
      </c>
      <c r="L81" s="115">
        <f>Mitigation_Industry!L$573*INDEX(Data_EF!$G:$G,MATCH($G81,Data_EF!$A:$A,0))/1000000</f>
        <v>0</v>
      </c>
      <c r="M81" s="19">
        <f>Mitigation_Industry!M$573*INDEX(Data_EF!$G:$G,MATCH($G81,Data_EF!$A:$A,0))/1000000</f>
        <v>0</v>
      </c>
      <c r="N81" s="19">
        <f>Mitigation_Industry!N$573*INDEX(Data_EF!$G:$G,MATCH($G81,Data_EF!$A:$A,0))/1000000</f>
        <v>0</v>
      </c>
      <c r="O81" s="19">
        <f>Mitigation_Industry!O$573*INDEX(Data_EF!$G:$G,MATCH($G81,Data_EF!$A:$A,0))/1000000</f>
        <v>0</v>
      </c>
      <c r="P81" s="19">
        <f>Mitigation_Industry!P$573*INDEX(Data_EF!$G:$G,MATCH($G81,Data_EF!$A:$A,0))/1000000</f>
        <v>0</v>
      </c>
      <c r="Q81" s="19">
        <f>Mitigation_Industry!Q$573*INDEX(Data_EF!$G:$G,MATCH($G81,Data_EF!$A:$A,0))/1000000</f>
        <v>0</v>
      </c>
      <c r="R81" s="19">
        <f>Mitigation_Industry!R$573*INDEX(Data_EF!$G:$G,MATCH($G81,Data_EF!$A:$A,0))/1000000</f>
        <v>0</v>
      </c>
      <c r="S81" s="19">
        <f>Mitigation_Industry!S$573*INDEX(Data_EF!$G:$G,MATCH($G81,Data_EF!$A:$A,0))/1000000</f>
        <v>0</v>
      </c>
      <c r="T81" s="19">
        <f>Mitigation_Industry!T$573*INDEX(Data_EF!$G:$G,MATCH($G81,Data_EF!$A:$A,0))/1000000</f>
        <v>0</v>
      </c>
      <c r="U81" s="19">
        <f>Mitigation_Industry!U$573*INDEX(Data_EF!$G:$G,MATCH($G81,Data_EF!$A:$A,0))/1000000</f>
        <v>0</v>
      </c>
      <c r="V81" s="19">
        <f>Mitigation_Industry!V$573*INDEX(Data_EF!$G:$G,MATCH($G81,Data_EF!$A:$A,0))/1000000</f>
        <v>0</v>
      </c>
      <c r="W81" s="19">
        <f>Mitigation_Industry!W$573*INDEX(Data_EF!$G:$G,MATCH($G81,Data_EF!$A:$A,0))/1000000</f>
        <v>0</v>
      </c>
      <c r="X81" s="19">
        <f>Mitigation_Industry!X$573*INDEX(Data_EF!$G:$G,MATCH($G81,Data_EF!$A:$A,0))/1000000</f>
        <v>0</v>
      </c>
      <c r="Y81" s="19">
        <f>Mitigation_Industry!Y$573*INDEX(Data_EF!$G:$G,MATCH($G81,Data_EF!$A:$A,0))/1000000</f>
        <v>0</v>
      </c>
      <c r="Z81" s="19">
        <f>Mitigation_Industry!Z$573*INDEX(Data_EF!$G:$G,MATCH($G81,Data_EF!$A:$A,0))/1000000</f>
        <v>0</v>
      </c>
      <c r="AA81" s="19">
        <f>Mitigation_Industry!AA$573*INDEX(Data_EF!$G:$G,MATCH($G81,Data_EF!$A:$A,0))/1000000</f>
        <v>0</v>
      </c>
      <c r="AB81" s="19">
        <f>Mitigation_Industry!AB$573*INDEX(Data_EF!$G:$G,MATCH($G81,Data_EF!$A:$A,0))/1000000</f>
        <v>0</v>
      </c>
      <c r="AC81" s="19">
        <f>Mitigation_Industry!AC$573*INDEX(Data_EF!$G:$G,MATCH($G81,Data_EF!$A:$A,0))/1000000</f>
        <v>0</v>
      </c>
      <c r="AD81" s="19">
        <f>Mitigation_Industry!AD$573*INDEX(Data_EF!$G:$G,MATCH($G81,Data_EF!$A:$A,0))/1000000</f>
        <v>0</v>
      </c>
      <c r="AE81" s="19">
        <f>Mitigation_Industry!AE$573*INDEX(Data_EF!$G:$G,MATCH($G81,Data_EF!$A:$A,0))/1000000</f>
        <v>0</v>
      </c>
    </row>
    <row r="82" spans="1:35" customFormat="1" ht="14.25" x14ac:dyDescent="0.45">
      <c r="B82" s="14" t="s">
        <v>53</v>
      </c>
      <c r="C82" s="14" t="str">
        <f t="shared" si="12"/>
        <v>nfm</v>
      </c>
      <c r="D82" s="15" t="s">
        <v>54</v>
      </c>
      <c r="E82" s="16" t="s">
        <v>1967</v>
      </c>
      <c r="F82" s="14" t="s">
        <v>1968</v>
      </c>
      <c r="G82" s="114" t="str">
        <f>Settings!$B$3&amp;".mit.efc."&amp;$B82</f>
        <v>egy.mit.efc.nga</v>
      </c>
      <c r="H82" s="45" t="str">
        <f>Settings!$B$3&amp;".mit.eco2."&amp;$C$80&amp;"."&amp;$B82&amp;".e."&amp;$J$80</f>
        <v>egy.mit.eco2.nfm.nga.e.2</v>
      </c>
      <c r="I82" t="s">
        <v>2025</v>
      </c>
      <c r="L82" s="115">
        <f>Mitigation_Industry!L$574*INDEX(Data_EF!$G:$G,MATCH($G82,Data_EF!$A:$A,0))/1000000</f>
        <v>0</v>
      </c>
      <c r="M82" s="19">
        <f>Mitigation_Industry!M$574*INDEX(Data_EF!$G:$G,MATCH($G82,Data_EF!$A:$A,0))/1000000</f>
        <v>0</v>
      </c>
      <c r="N82" s="19">
        <f>Mitigation_Industry!N$574*INDEX(Data_EF!$G:$G,MATCH($G82,Data_EF!$A:$A,0))/1000000</f>
        <v>0</v>
      </c>
      <c r="O82" s="19">
        <f>Mitigation_Industry!O$574*INDEX(Data_EF!$G:$G,MATCH($G82,Data_EF!$A:$A,0))/1000000</f>
        <v>0</v>
      </c>
      <c r="P82" s="19">
        <f>Mitigation_Industry!P$574*INDEX(Data_EF!$G:$G,MATCH($G82,Data_EF!$A:$A,0))/1000000</f>
        <v>0</v>
      </c>
      <c r="Q82" s="19">
        <f>Mitigation_Industry!Q$574*INDEX(Data_EF!$G:$G,MATCH($G82,Data_EF!$A:$A,0))/1000000</f>
        <v>0</v>
      </c>
      <c r="R82" s="19">
        <f>Mitigation_Industry!R$574*INDEX(Data_EF!$G:$G,MATCH($G82,Data_EF!$A:$A,0))/1000000</f>
        <v>0</v>
      </c>
      <c r="S82" s="19">
        <f>Mitigation_Industry!S$574*INDEX(Data_EF!$G:$G,MATCH($G82,Data_EF!$A:$A,0))/1000000</f>
        <v>0</v>
      </c>
      <c r="T82" s="19">
        <f>Mitigation_Industry!T$574*INDEX(Data_EF!$G:$G,MATCH($G82,Data_EF!$A:$A,0))/1000000</f>
        <v>0</v>
      </c>
      <c r="U82" s="19">
        <f>Mitigation_Industry!U$574*INDEX(Data_EF!$G:$G,MATCH($G82,Data_EF!$A:$A,0))/1000000</f>
        <v>0</v>
      </c>
      <c r="V82" s="19">
        <f>Mitigation_Industry!V$574*INDEX(Data_EF!$G:$G,MATCH($G82,Data_EF!$A:$A,0))/1000000</f>
        <v>0</v>
      </c>
      <c r="W82" s="19">
        <f>Mitigation_Industry!W$574*INDEX(Data_EF!$G:$G,MATCH($G82,Data_EF!$A:$A,0))/1000000</f>
        <v>0</v>
      </c>
      <c r="X82" s="19">
        <f>Mitigation_Industry!X$574*INDEX(Data_EF!$G:$G,MATCH($G82,Data_EF!$A:$A,0))/1000000</f>
        <v>0</v>
      </c>
      <c r="Y82" s="19">
        <f>Mitigation_Industry!Y$574*INDEX(Data_EF!$G:$G,MATCH($G82,Data_EF!$A:$A,0))/1000000</f>
        <v>0</v>
      </c>
      <c r="Z82" s="19">
        <f>Mitigation_Industry!Z$574*INDEX(Data_EF!$G:$G,MATCH($G82,Data_EF!$A:$A,0))/1000000</f>
        <v>0</v>
      </c>
      <c r="AA82" s="19">
        <f>Mitigation_Industry!AA$574*INDEX(Data_EF!$G:$G,MATCH($G82,Data_EF!$A:$A,0))/1000000</f>
        <v>0</v>
      </c>
      <c r="AB82" s="19">
        <f>Mitigation_Industry!AB$574*INDEX(Data_EF!$G:$G,MATCH($G82,Data_EF!$A:$A,0))/1000000</f>
        <v>0</v>
      </c>
      <c r="AC82" s="19">
        <f>Mitigation_Industry!AC$574*INDEX(Data_EF!$G:$G,MATCH($G82,Data_EF!$A:$A,0))/1000000</f>
        <v>0</v>
      </c>
      <c r="AD82" s="19">
        <f>Mitigation_Industry!AD$574*INDEX(Data_EF!$G:$G,MATCH($G82,Data_EF!$A:$A,0))/1000000</f>
        <v>0</v>
      </c>
      <c r="AE82" s="19">
        <f>Mitigation_Industry!AE$574*INDEX(Data_EF!$G:$G,MATCH($G82,Data_EF!$A:$A,0))/1000000</f>
        <v>0</v>
      </c>
    </row>
    <row r="83" spans="1:35" customFormat="1" ht="14.25" x14ac:dyDescent="0.45">
      <c r="B83" s="14" t="s">
        <v>55</v>
      </c>
      <c r="C83" s="14" t="str">
        <f t="shared" si="12"/>
        <v>nfm</v>
      </c>
      <c r="D83" s="15" t="s">
        <v>56</v>
      </c>
      <c r="E83" s="16" t="s">
        <v>1967</v>
      </c>
      <c r="F83" s="14" t="s">
        <v>1968</v>
      </c>
      <c r="G83" s="114" t="str">
        <f>Settings!$B$3&amp;".mit.efc."&amp;$B83</f>
        <v>egy.mit.efc.gso</v>
      </c>
      <c r="H83" s="45" t="str">
        <f>Settings!$B$3&amp;".mit.eco2."&amp;$C$80&amp;"."&amp;$B83&amp;".e."&amp;$J$80</f>
        <v>egy.mit.eco2.nfm.gso.e.2</v>
      </c>
      <c r="I83" t="s">
        <v>2026</v>
      </c>
      <c r="L83" s="115">
        <f>Mitigation_Industry!L$575*INDEX(Data_EF!$G:$G,MATCH($G83,Data_EF!$A:$A,0))/1000000</f>
        <v>0</v>
      </c>
      <c r="M83" s="19">
        <f>Mitigation_Industry!M$575*INDEX(Data_EF!$G:$G,MATCH($G83,Data_EF!$A:$A,0))/1000000</f>
        <v>0</v>
      </c>
      <c r="N83" s="19">
        <f>Mitigation_Industry!N$575*INDEX(Data_EF!$G:$G,MATCH($G83,Data_EF!$A:$A,0))/1000000</f>
        <v>0</v>
      </c>
      <c r="O83" s="19">
        <f>Mitigation_Industry!O$575*INDEX(Data_EF!$G:$G,MATCH($G83,Data_EF!$A:$A,0))/1000000</f>
        <v>0</v>
      </c>
      <c r="P83" s="19">
        <f>Mitigation_Industry!P$575*INDEX(Data_EF!$G:$G,MATCH($G83,Data_EF!$A:$A,0))/1000000</f>
        <v>0</v>
      </c>
      <c r="Q83" s="19">
        <f>Mitigation_Industry!Q$575*INDEX(Data_EF!$G:$G,MATCH($G83,Data_EF!$A:$A,0))/1000000</f>
        <v>0</v>
      </c>
      <c r="R83" s="19">
        <f>Mitigation_Industry!R$575*INDEX(Data_EF!$G:$G,MATCH($G83,Data_EF!$A:$A,0))/1000000</f>
        <v>0</v>
      </c>
      <c r="S83" s="19">
        <f>Mitigation_Industry!S$575*INDEX(Data_EF!$G:$G,MATCH($G83,Data_EF!$A:$A,0))/1000000</f>
        <v>0</v>
      </c>
      <c r="T83" s="19">
        <f>Mitigation_Industry!T$575*INDEX(Data_EF!$G:$G,MATCH($G83,Data_EF!$A:$A,0))/1000000</f>
        <v>0</v>
      </c>
      <c r="U83" s="19">
        <f>Mitigation_Industry!U$575*INDEX(Data_EF!$G:$G,MATCH($G83,Data_EF!$A:$A,0))/1000000</f>
        <v>0</v>
      </c>
      <c r="V83" s="19">
        <f>Mitigation_Industry!V$575*INDEX(Data_EF!$G:$G,MATCH($G83,Data_EF!$A:$A,0))/1000000</f>
        <v>0</v>
      </c>
      <c r="W83" s="19">
        <f>Mitigation_Industry!W$575*INDEX(Data_EF!$G:$G,MATCH($G83,Data_EF!$A:$A,0))/1000000</f>
        <v>0</v>
      </c>
      <c r="X83" s="19">
        <f>Mitigation_Industry!X$575*INDEX(Data_EF!$G:$G,MATCH($G83,Data_EF!$A:$A,0))/1000000</f>
        <v>0</v>
      </c>
      <c r="Y83" s="19">
        <f>Mitigation_Industry!Y$575*INDEX(Data_EF!$G:$G,MATCH($G83,Data_EF!$A:$A,0))/1000000</f>
        <v>0</v>
      </c>
      <c r="Z83" s="19">
        <f>Mitigation_Industry!Z$575*INDEX(Data_EF!$G:$G,MATCH($G83,Data_EF!$A:$A,0))/1000000</f>
        <v>0</v>
      </c>
      <c r="AA83" s="19">
        <f>Mitigation_Industry!AA$575*INDEX(Data_EF!$G:$G,MATCH($G83,Data_EF!$A:$A,0))/1000000</f>
        <v>0</v>
      </c>
      <c r="AB83" s="19">
        <f>Mitigation_Industry!AB$575*INDEX(Data_EF!$G:$G,MATCH($G83,Data_EF!$A:$A,0))/1000000</f>
        <v>0</v>
      </c>
      <c r="AC83" s="19">
        <f>Mitigation_Industry!AC$575*INDEX(Data_EF!$G:$G,MATCH($G83,Data_EF!$A:$A,0))/1000000</f>
        <v>0</v>
      </c>
      <c r="AD83" s="19">
        <f>Mitigation_Industry!AD$575*INDEX(Data_EF!$G:$G,MATCH($G83,Data_EF!$A:$A,0))/1000000</f>
        <v>0</v>
      </c>
      <c r="AE83" s="19">
        <f>Mitigation_Industry!AE$575*INDEX(Data_EF!$G:$G,MATCH($G83,Data_EF!$A:$A,0))/1000000</f>
        <v>0</v>
      </c>
    </row>
    <row r="84" spans="1:35" customFormat="1" ht="14.25" x14ac:dyDescent="0.45">
      <c r="B84" s="14" t="s">
        <v>58</v>
      </c>
      <c r="C84" s="14" t="str">
        <f t="shared" si="12"/>
        <v>nfm</v>
      </c>
      <c r="D84" s="15" t="s">
        <v>59</v>
      </c>
      <c r="E84" s="16" t="s">
        <v>1967</v>
      </c>
      <c r="F84" s="14" t="s">
        <v>1968</v>
      </c>
      <c r="G84" s="114" t="str">
        <f>Settings!$B$3&amp;".mit.efc."&amp;$B84</f>
        <v>egy.mit.efc.die</v>
      </c>
      <c r="H84" s="45" t="str">
        <f>Settings!$B$3&amp;".mit.eco2."&amp;$C$80&amp;"."&amp;$B84&amp;".e."&amp;$J$80</f>
        <v>egy.mit.eco2.nfm.die.e.2</v>
      </c>
      <c r="I84" t="s">
        <v>2027</v>
      </c>
      <c r="L84" s="115">
        <f>Mitigation_Industry!L$576*INDEX(Data_EF!$G:$G,MATCH($G84,Data_EF!$A:$A,0))/1000000</f>
        <v>0</v>
      </c>
      <c r="M84" s="19">
        <f>Mitigation_Industry!M$576*INDEX(Data_EF!$G:$G,MATCH($G84,Data_EF!$A:$A,0))/1000000</f>
        <v>0</v>
      </c>
      <c r="N84" s="19">
        <f>Mitigation_Industry!N$576*INDEX(Data_EF!$G:$G,MATCH($G84,Data_EF!$A:$A,0))/1000000</f>
        <v>0</v>
      </c>
      <c r="O84" s="19">
        <f>Mitigation_Industry!O$576*INDEX(Data_EF!$G:$G,MATCH($G84,Data_EF!$A:$A,0))/1000000</f>
        <v>0</v>
      </c>
      <c r="P84" s="19">
        <f>Mitigation_Industry!P$576*INDEX(Data_EF!$G:$G,MATCH($G84,Data_EF!$A:$A,0))/1000000</f>
        <v>0</v>
      </c>
      <c r="Q84" s="19">
        <f>Mitigation_Industry!Q$576*INDEX(Data_EF!$G:$G,MATCH($G84,Data_EF!$A:$A,0))/1000000</f>
        <v>0</v>
      </c>
      <c r="R84" s="19">
        <f>Mitigation_Industry!R$576*INDEX(Data_EF!$G:$G,MATCH($G84,Data_EF!$A:$A,0))/1000000</f>
        <v>0</v>
      </c>
      <c r="S84" s="19">
        <f>Mitigation_Industry!S$576*INDEX(Data_EF!$G:$G,MATCH($G84,Data_EF!$A:$A,0))/1000000</f>
        <v>0</v>
      </c>
      <c r="T84" s="19">
        <f>Mitigation_Industry!T$576*INDEX(Data_EF!$G:$G,MATCH($G84,Data_EF!$A:$A,0))/1000000</f>
        <v>0</v>
      </c>
      <c r="U84" s="19">
        <f>Mitigation_Industry!U$576*INDEX(Data_EF!$G:$G,MATCH($G84,Data_EF!$A:$A,0))/1000000</f>
        <v>0</v>
      </c>
      <c r="V84" s="19">
        <f>Mitigation_Industry!V$576*INDEX(Data_EF!$G:$G,MATCH($G84,Data_EF!$A:$A,0))/1000000</f>
        <v>0</v>
      </c>
      <c r="W84" s="19">
        <f>Mitigation_Industry!W$576*INDEX(Data_EF!$G:$G,MATCH($G84,Data_EF!$A:$A,0))/1000000</f>
        <v>0</v>
      </c>
      <c r="X84" s="19">
        <f>Mitigation_Industry!X$576*INDEX(Data_EF!$G:$G,MATCH($G84,Data_EF!$A:$A,0))/1000000</f>
        <v>0</v>
      </c>
      <c r="Y84" s="19">
        <f>Mitigation_Industry!Y$576*INDEX(Data_EF!$G:$G,MATCH($G84,Data_EF!$A:$A,0))/1000000</f>
        <v>0</v>
      </c>
      <c r="Z84" s="19">
        <f>Mitigation_Industry!Z$576*INDEX(Data_EF!$G:$G,MATCH($G84,Data_EF!$A:$A,0))/1000000</f>
        <v>0</v>
      </c>
      <c r="AA84" s="19">
        <f>Mitigation_Industry!AA$576*INDEX(Data_EF!$G:$G,MATCH($G84,Data_EF!$A:$A,0))/1000000</f>
        <v>0</v>
      </c>
      <c r="AB84" s="19">
        <f>Mitigation_Industry!AB$576*INDEX(Data_EF!$G:$G,MATCH($G84,Data_EF!$A:$A,0))/1000000</f>
        <v>0</v>
      </c>
      <c r="AC84" s="19">
        <f>Mitigation_Industry!AC$576*INDEX(Data_EF!$G:$G,MATCH($G84,Data_EF!$A:$A,0))/1000000</f>
        <v>0</v>
      </c>
      <c r="AD84" s="19">
        <f>Mitigation_Industry!AD$576*INDEX(Data_EF!$G:$G,MATCH($G84,Data_EF!$A:$A,0))/1000000</f>
        <v>0</v>
      </c>
      <c r="AE84" s="19">
        <f>Mitigation_Industry!AE$576*INDEX(Data_EF!$G:$G,MATCH($G84,Data_EF!$A:$A,0))/1000000</f>
        <v>0</v>
      </c>
    </row>
    <row r="85" spans="1:35" customFormat="1" ht="14.25" x14ac:dyDescent="0.45">
      <c r="B85" s="14" t="s">
        <v>60</v>
      </c>
      <c r="C85" s="14" t="str">
        <f t="shared" si="12"/>
        <v>nfm</v>
      </c>
      <c r="D85" s="15" t="s">
        <v>61</v>
      </c>
      <c r="E85" s="16" t="s">
        <v>1967</v>
      </c>
      <c r="F85" s="14" t="s">
        <v>1968</v>
      </c>
      <c r="G85" s="114" t="str">
        <f>Settings!$B$3&amp;".mit.efc."&amp;$B85</f>
        <v>egy.mit.efc.lpg</v>
      </c>
      <c r="H85" s="45" t="str">
        <f>Settings!$B$3&amp;".mit.eco2."&amp;$C$80&amp;"."&amp;$B85&amp;".e."&amp;$J$80</f>
        <v>egy.mit.eco2.nfm.lpg.e.2</v>
      </c>
      <c r="I85" t="s">
        <v>2028</v>
      </c>
      <c r="L85" s="115">
        <f>Mitigation_Industry!L$577*INDEX(Data_EF!$G:$G,MATCH($G85,Data_EF!$A:$A,0))/1000000</f>
        <v>0</v>
      </c>
      <c r="M85" s="19">
        <f>Mitigation_Industry!M$577*INDEX(Data_EF!$G:$G,MATCH($G85,Data_EF!$A:$A,0))/1000000</f>
        <v>0</v>
      </c>
      <c r="N85" s="19">
        <f>Mitigation_Industry!N$577*INDEX(Data_EF!$G:$G,MATCH($G85,Data_EF!$A:$A,0))/1000000</f>
        <v>0</v>
      </c>
      <c r="O85" s="19">
        <f>Mitigation_Industry!O$577*INDEX(Data_EF!$G:$G,MATCH($G85,Data_EF!$A:$A,0))/1000000</f>
        <v>0</v>
      </c>
      <c r="P85" s="19">
        <f>Mitigation_Industry!P$577*INDEX(Data_EF!$G:$G,MATCH($G85,Data_EF!$A:$A,0))/1000000</f>
        <v>0</v>
      </c>
      <c r="Q85" s="19">
        <f>Mitigation_Industry!Q$577*INDEX(Data_EF!$G:$G,MATCH($G85,Data_EF!$A:$A,0))/1000000</f>
        <v>0</v>
      </c>
      <c r="R85" s="19">
        <f>Mitigation_Industry!R$577*INDEX(Data_EF!$G:$G,MATCH($G85,Data_EF!$A:$A,0))/1000000</f>
        <v>0</v>
      </c>
      <c r="S85" s="19">
        <f>Mitigation_Industry!S$577*INDEX(Data_EF!$G:$G,MATCH($G85,Data_EF!$A:$A,0))/1000000</f>
        <v>0</v>
      </c>
      <c r="T85" s="19">
        <f>Mitigation_Industry!T$577*INDEX(Data_EF!$G:$G,MATCH($G85,Data_EF!$A:$A,0))/1000000</f>
        <v>0</v>
      </c>
      <c r="U85" s="19">
        <f>Mitigation_Industry!U$577*INDEX(Data_EF!$G:$G,MATCH($G85,Data_EF!$A:$A,0))/1000000</f>
        <v>0</v>
      </c>
      <c r="V85" s="19">
        <f>Mitigation_Industry!V$577*INDEX(Data_EF!$G:$G,MATCH($G85,Data_EF!$A:$A,0))/1000000</f>
        <v>0</v>
      </c>
      <c r="W85" s="19">
        <f>Mitigation_Industry!W$577*INDEX(Data_EF!$G:$G,MATCH($G85,Data_EF!$A:$A,0))/1000000</f>
        <v>0</v>
      </c>
      <c r="X85" s="19">
        <f>Mitigation_Industry!X$577*INDEX(Data_EF!$G:$G,MATCH($G85,Data_EF!$A:$A,0))/1000000</f>
        <v>0</v>
      </c>
      <c r="Y85" s="19">
        <f>Mitigation_Industry!Y$577*INDEX(Data_EF!$G:$G,MATCH($G85,Data_EF!$A:$A,0))/1000000</f>
        <v>0</v>
      </c>
      <c r="Z85" s="19">
        <f>Mitigation_Industry!Z$577*INDEX(Data_EF!$G:$G,MATCH($G85,Data_EF!$A:$A,0))/1000000</f>
        <v>0</v>
      </c>
      <c r="AA85" s="19">
        <f>Mitigation_Industry!AA$577*INDEX(Data_EF!$G:$G,MATCH($G85,Data_EF!$A:$A,0))/1000000</f>
        <v>0</v>
      </c>
      <c r="AB85" s="19">
        <f>Mitigation_Industry!AB$577*INDEX(Data_EF!$G:$G,MATCH($G85,Data_EF!$A:$A,0))/1000000</f>
        <v>0</v>
      </c>
      <c r="AC85" s="19">
        <f>Mitigation_Industry!AC$577*INDEX(Data_EF!$G:$G,MATCH($G85,Data_EF!$A:$A,0))/1000000</f>
        <v>0</v>
      </c>
      <c r="AD85" s="19">
        <f>Mitigation_Industry!AD$577*INDEX(Data_EF!$G:$G,MATCH($G85,Data_EF!$A:$A,0))/1000000</f>
        <v>0</v>
      </c>
      <c r="AE85" s="19">
        <f>Mitigation_Industry!AE$577*INDEX(Data_EF!$G:$G,MATCH($G85,Data_EF!$A:$A,0))/1000000</f>
        <v>0</v>
      </c>
    </row>
    <row r="86" spans="1:35" customFormat="1" ht="14.25" x14ac:dyDescent="0.45">
      <c r="B86" s="14" t="s">
        <v>62</v>
      </c>
      <c r="C86" s="14" t="str">
        <f t="shared" si="12"/>
        <v>nfm</v>
      </c>
      <c r="D86" s="15" t="s">
        <v>63</v>
      </c>
      <c r="E86" s="16" t="s">
        <v>1967</v>
      </c>
      <c r="F86" s="14" t="s">
        <v>1968</v>
      </c>
      <c r="G86" s="114" t="str">
        <f>Settings!$B$3&amp;".mit.efc."&amp;$B86</f>
        <v>egy.mit.efc.ker</v>
      </c>
      <c r="H86" s="45" t="str">
        <f>Settings!$B$3&amp;".mit.eco2."&amp;$C$80&amp;"."&amp;$B86&amp;".e."&amp;$J$80</f>
        <v>egy.mit.eco2.nfm.ker.e.2</v>
      </c>
      <c r="I86" t="s">
        <v>2029</v>
      </c>
      <c r="L86" s="115">
        <f>Mitigation_Industry!L$578*INDEX(Data_EF!$G:$G,MATCH($G86,Data_EF!$A:$A,0))/1000000</f>
        <v>0</v>
      </c>
      <c r="M86" s="19">
        <f>Mitigation_Industry!M$578*INDEX(Data_EF!$G:$G,MATCH($G86,Data_EF!$A:$A,0))/1000000</f>
        <v>0</v>
      </c>
      <c r="N86" s="19">
        <f>Mitigation_Industry!N$578*INDEX(Data_EF!$G:$G,MATCH($G86,Data_EF!$A:$A,0))/1000000</f>
        <v>0</v>
      </c>
      <c r="O86" s="19">
        <f>Mitigation_Industry!O$578*INDEX(Data_EF!$G:$G,MATCH($G86,Data_EF!$A:$A,0))/1000000</f>
        <v>0</v>
      </c>
      <c r="P86" s="19">
        <f>Mitigation_Industry!P$578*INDEX(Data_EF!$G:$G,MATCH($G86,Data_EF!$A:$A,0))/1000000</f>
        <v>0</v>
      </c>
      <c r="Q86" s="19">
        <f>Mitigation_Industry!Q$578*INDEX(Data_EF!$G:$G,MATCH($G86,Data_EF!$A:$A,0))/1000000</f>
        <v>0</v>
      </c>
      <c r="R86" s="19">
        <f>Mitigation_Industry!R$578*INDEX(Data_EF!$G:$G,MATCH($G86,Data_EF!$A:$A,0))/1000000</f>
        <v>0</v>
      </c>
      <c r="S86" s="19">
        <f>Mitigation_Industry!S$578*INDEX(Data_EF!$G:$G,MATCH($G86,Data_EF!$A:$A,0))/1000000</f>
        <v>0</v>
      </c>
      <c r="T86" s="19">
        <f>Mitigation_Industry!T$578*INDEX(Data_EF!$G:$G,MATCH($G86,Data_EF!$A:$A,0))/1000000</f>
        <v>0</v>
      </c>
      <c r="U86" s="19">
        <f>Mitigation_Industry!U$578*INDEX(Data_EF!$G:$G,MATCH($G86,Data_EF!$A:$A,0))/1000000</f>
        <v>0</v>
      </c>
      <c r="V86" s="19">
        <f>Mitigation_Industry!V$578*INDEX(Data_EF!$G:$G,MATCH($G86,Data_EF!$A:$A,0))/1000000</f>
        <v>0</v>
      </c>
      <c r="W86" s="19">
        <f>Mitigation_Industry!W$578*INDEX(Data_EF!$G:$G,MATCH($G86,Data_EF!$A:$A,0))/1000000</f>
        <v>0</v>
      </c>
      <c r="X86" s="19">
        <f>Mitigation_Industry!X$578*INDEX(Data_EF!$G:$G,MATCH($G86,Data_EF!$A:$A,0))/1000000</f>
        <v>0</v>
      </c>
      <c r="Y86" s="19">
        <f>Mitigation_Industry!Y$578*INDEX(Data_EF!$G:$G,MATCH($G86,Data_EF!$A:$A,0))/1000000</f>
        <v>0</v>
      </c>
      <c r="Z86" s="19">
        <f>Mitigation_Industry!Z$578*INDEX(Data_EF!$G:$G,MATCH($G86,Data_EF!$A:$A,0))/1000000</f>
        <v>0</v>
      </c>
      <c r="AA86" s="19">
        <f>Mitigation_Industry!AA$578*INDEX(Data_EF!$G:$G,MATCH($G86,Data_EF!$A:$A,0))/1000000</f>
        <v>0</v>
      </c>
      <c r="AB86" s="19">
        <f>Mitigation_Industry!AB$578*INDEX(Data_EF!$G:$G,MATCH($G86,Data_EF!$A:$A,0))/1000000</f>
        <v>0</v>
      </c>
      <c r="AC86" s="19">
        <f>Mitigation_Industry!AC$578*INDEX(Data_EF!$G:$G,MATCH($G86,Data_EF!$A:$A,0))/1000000</f>
        <v>0</v>
      </c>
      <c r="AD86" s="19">
        <f>Mitigation_Industry!AD$578*INDEX(Data_EF!$G:$G,MATCH($G86,Data_EF!$A:$A,0))/1000000</f>
        <v>0</v>
      </c>
      <c r="AE86" s="19">
        <f>Mitigation_Industry!AE$578*INDEX(Data_EF!$G:$G,MATCH($G86,Data_EF!$A:$A,0))/1000000</f>
        <v>0</v>
      </c>
    </row>
    <row r="87" spans="1:35" customFormat="1" ht="14.25" x14ac:dyDescent="0.45">
      <c r="B87" s="14" t="s">
        <v>64</v>
      </c>
      <c r="C87" s="14" t="str">
        <f t="shared" si="12"/>
        <v>nfm</v>
      </c>
      <c r="D87" s="15" t="s">
        <v>65</v>
      </c>
      <c r="E87" s="16" t="s">
        <v>1967</v>
      </c>
      <c r="F87" s="14" t="s">
        <v>1968</v>
      </c>
      <c r="G87" s="114" t="str">
        <f>Settings!$B$3&amp;".mit.efc."&amp;$B87</f>
        <v>egy.mit.efc.oop</v>
      </c>
      <c r="H87" s="45" t="str">
        <f>Settings!$B$3&amp;".mit.eco2."&amp;$C$80&amp;"."&amp;$B87&amp;".e."&amp;$J$80</f>
        <v>egy.mit.eco2.nfm.oop.e.2</v>
      </c>
      <c r="I87" t="s">
        <v>2030</v>
      </c>
      <c r="L87" s="115">
        <f>Mitigation_Industry!L$579*INDEX(Data_EF!$G:$G,MATCH($G87,Data_EF!$A:$A,0))/1000000</f>
        <v>0</v>
      </c>
      <c r="M87" s="19">
        <f>Mitigation_Industry!M$579*INDEX(Data_EF!$G:$G,MATCH($G87,Data_EF!$A:$A,0))/1000000</f>
        <v>0</v>
      </c>
      <c r="N87" s="19">
        <f>Mitigation_Industry!N$579*INDEX(Data_EF!$G:$G,MATCH($G87,Data_EF!$A:$A,0))/1000000</f>
        <v>0</v>
      </c>
      <c r="O87" s="19">
        <f>Mitigation_Industry!O$579*INDEX(Data_EF!$G:$G,MATCH($G87,Data_EF!$A:$A,0))/1000000</f>
        <v>0</v>
      </c>
      <c r="P87" s="19">
        <f>Mitigation_Industry!P$579*INDEX(Data_EF!$G:$G,MATCH($G87,Data_EF!$A:$A,0))/1000000</f>
        <v>0</v>
      </c>
      <c r="Q87" s="19">
        <f>Mitigation_Industry!Q$579*INDEX(Data_EF!$G:$G,MATCH($G87,Data_EF!$A:$A,0))/1000000</f>
        <v>0</v>
      </c>
      <c r="R87" s="19">
        <f>Mitigation_Industry!R$579*INDEX(Data_EF!$G:$G,MATCH($G87,Data_EF!$A:$A,0))/1000000</f>
        <v>0</v>
      </c>
      <c r="S87" s="19">
        <f>Mitigation_Industry!S$579*INDEX(Data_EF!$G:$G,MATCH($G87,Data_EF!$A:$A,0))/1000000</f>
        <v>0</v>
      </c>
      <c r="T87" s="19">
        <f>Mitigation_Industry!T$579*INDEX(Data_EF!$G:$G,MATCH($G87,Data_EF!$A:$A,0))/1000000</f>
        <v>0</v>
      </c>
      <c r="U87" s="19">
        <f>Mitigation_Industry!U$579*INDEX(Data_EF!$G:$G,MATCH($G87,Data_EF!$A:$A,0))/1000000</f>
        <v>0</v>
      </c>
      <c r="V87" s="19">
        <f>Mitigation_Industry!V$579*INDEX(Data_EF!$G:$G,MATCH($G87,Data_EF!$A:$A,0))/1000000</f>
        <v>0</v>
      </c>
      <c r="W87" s="19">
        <f>Mitigation_Industry!W$579*INDEX(Data_EF!$G:$G,MATCH($G87,Data_EF!$A:$A,0))/1000000</f>
        <v>0</v>
      </c>
      <c r="X87" s="19">
        <f>Mitigation_Industry!X$579*INDEX(Data_EF!$G:$G,MATCH($G87,Data_EF!$A:$A,0))/1000000</f>
        <v>0</v>
      </c>
      <c r="Y87" s="19">
        <f>Mitigation_Industry!Y$579*INDEX(Data_EF!$G:$G,MATCH($G87,Data_EF!$A:$A,0))/1000000</f>
        <v>0</v>
      </c>
      <c r="Z87" s="19">
        <f>Mitigation_Industry!Z$579*INDEX(Data_EF!$G:$G,MATCH($G87,Data_EF!$A:$A,0))/1000000</f>
        <v>0</v>
      </c>
      <c r="AA87" s="19">
        <f>Mitigation_Industry!AA$579*INDEX(Data_EF!$G:$G,MATCH($G87,Data_EF!$A:$A,0))/1000000</f>
        <v>0</v>
      </c>
      <c r="AB87" s="19">
        <f>Mitigation_Industry!AB$579*INDEX(Data_EF!$G:$G,MATCH($G87,Data_EF!$A:$A,0))/1000000</f>
        <v>0</v>
      </c>
      <c r="AC87" s="19">
        <f>Mitigation_Industry!AC$579*INDEX(Data_EF!$G:$G,MATCH($G87,Data_EF!$A:$A,0))/1000000</f>
        <v>0</v>
      </c>
      <c r="AD87" s="19">
        <f>Mitigation_Industry!AD$579*INDEX(Data_EF!$G:$G,MATCH($G87,Data_EF!$A:$A,0))/1000000</f>
        <v>0</v>
      </c>
      <c r="AE87" s="19">
        <f>Mitigation_Industry!AE$579*INDEX(Data_EF!$G:$G,MATCH($G87,Data_EF!$A:$A,0))/1000000</f>
        <v>0</v>
      </c>
    </row>
    <row r="88" spans="1:35" customFormat="1" ht="14.25" x14ac:dyDescent="0.45">
      <c r="B88" s="14" t="s">
        <v>67</v>
      </c>
      <c r="C88" s="14" t="str">
        <f t="shared" si="12"/>
        <v>nfm</v>
      </c>
      <c r="D88" s="15" t="s">
        <v>68</v>
      </c>
      <c r="E88" s="16" t="s">
        <v>1967</v>
      </c>
      <c r="F88" s="14" t="s">
        <v>1968</v>
      </c>
      <c r="G88" s="114" t="str">
        <f>Settings!$B$3&amp;".mit.efc."&amp;$B88</f>
        <v>egy.mit.efc.bio</v>
      </c>
      <c r="H88" s="45" t="str">
        <f>Settings!$B$3&amp;".mit.eco2."&amp;$C$80&amp;"."&amp;$B88&amp;".e."&amp;$J$80</f>
        <v>egy.mit.eco2.nfm.bio.e.2</v>
      </c>
      <c r="I88" t="s">
        <v>2031</v>
      </c>
      <c r="L88" s="115">
        <f>Mitigation_Industry!L$580*INDEX(Data_EF!$G:$G,MATCH($G88,Data_EF!$A:$A,0))/1000000</f>
        <v>0</v>
      </c>
      <c r="M88" s="19">
        <f>Mitigation_Industry!M$580*INDEX(Data_EF!$G:$G,MATCH($G88,Data_EF!$A:$A,0))/1000000</f>
        <v>0</v>
      </c>
      <c r="N88" s="19">
        <f>Mitigation_Industry!N$580*INDEX(Data_EF!$G:$G,MATCH($G88,Data_EF!$A:$A,0))/1000000</f>
        <v>0</v>
      </c>
      <c r="O88" s="19">
        <f>Mitigation_Industry!O$580*INDEX(Data_EF!$G:$G,MATCH($G88,Data_EF!$A:$A,0))/1000000</f>
        <v>0</v>
      </c>
      <c r="P88" s="19">
        <f>Mitigation_Industry!P$580*INDEX(Data_EF!$G:$G,MATCH($G88,Data_EF!$A:$A,0))/1000000</f>
        <v>0</v>
      </c>
      <c r="Q88" s="19">
        <f>Mitigation_Industry!Q$580*INDEX(Data_EF!$G:$G,MATCH($G88,Data_EF!$A:$A,0))/1000000</f>
        <v>0</v>
      </c>
      <c r="R88" s="19">
        <f>Mitigation_Industry!R$580*INDEX(Data_EF!$G:$G,MATCH($G88,Data_EF!$A:$A,0))/1000000</f>
        <v>0</v>
      </c>
      <c r="S88" s="19">
        <f>Mitigation_Industry!S$580*INDEX(Data_EF!$G:$G,MATCH($G88,Data_EF!$A:$A,0))/1000000</f>
        <v>0</v>
      </c>
      <c r="T88" s="19">
        <f>Mitigation_Industry!T$580*INDEX(Data_EF!$G:$G,MATCH($G88,Data_EF!$A:$A,0))/1000000</f>
        <v>0</v>
      </c>
      <c r="U88" s="19">
        <f>Mitigation_Industry!U$580*INDEX(Data_EF!$G:$G,MATCH($G88,Data_EF!$A:$A,0))/1000000</f>
        <v>0</v>
      </c>
      <c r="V88" s="19">
        <f>Mitigation_Industry!V$580*INDEX(Data_EF!$G:$G,MATCH($G88,Data_EF!$A:$A,0))/1000000</f>
        <v>0</v>
      </c>
      <c r="W88" s="19">
        <f>Mitigation_Industry!W$580*INDEX(Data_EF!$G:$G,MATCH($G88,Data_EF!$A:$A,0))/1000000</f>
        <v>0</v>
      </c>
      <c r="X88" s="19">
        <f>Mitigation_Industry!X$580*INDEX(Data_EF!$G:$G,MATCH($G88,Data_EF!$A:$A,0))/1000000</f>
        <v>0</v>
      </c>
      <c r="Y88" s="19">
        <f>Mitigation_Industry!Y$580*INDEX(Data_EF!$G:$G,MATCH($G88,Data_EF!$A:$A,0))/1000000</f>
        <v>0</v>
      </c>
      <c r="Z88" s="19">
        <f>Mitigation_Industry!Z$580*INDEX(Data_EF!$G:$G,MATCH($G88,Data_EF!$A:$A,0))/1000000</f>
        <v>0</v>
      </c>
      <c r="AA88" s="19">
        <f>Mitigation_Industry!AA$580*INDEX(Data_EF!$G:$G,MATCH($G88,Data_EF!$A:$A,0))/1000000</f>
        <v>0</v>
      </c>
      <c r="AB88" s="19">
        <f>Mitigation_Industry!AB$580*INDEX(Data_EF!$G:$G,MATCH($G88,Data_EF!$A:$A,0))/1000000</f>
        <v>0</v>
      </c>
      <c r="AC88" s="19">
        <f>Mitigation_Industry!AC$580*INDEX(Data_EF!$G:$G,MATCH($G88,Data_EF!$A:$A,0))/1000000</f>
        <v>0</v>
      </c>
      <c r="AD88" s="19">
        <f>Mitigation_Industry!AD$580*INDEX(Data_EF!$G:$G,MATCH($G88,Data_EF!$A:$A,0))/1000000</f>
        <v>0</v>
      </c>
      <c r="AE88" s="19">
        <f>Mitigation_Industry!AE$580*INDEX(Data_EF!$G:$G,MATCH($G88,Data_EF!$A:$A,0))/1000000</f>
        <v>0</v>
      </c>
    </row>
    <row r="89" spans="1:35" customFormat="1" ht="14.25" x14ac:dyDescent="0.45">
      <c r="B89" s="14" t="s">
        <v>69</v>
      </c>
      <c r="C89" s="14" t="str">
        <f t="shared" si="12"/>
        <v>nfm</v>
      </c>
      <c r="D89" s="15" t="s">
        <v>70</v>
      </c>
      <c r="E89" s="16" t="s">
        <v>1967</v>
      </c>
      <c r="F89" s="14" t="s">
        <v>1968</v>
      </c>
      <c r="G89" s="114" t="str">
        <f>Settings!$B$3&amp;".mit.efc."&amp;$B89</f>
        <v>egy.mit.efc.ren</v>
      </c>
      <c r="H89" s="45" t="str">
        <f>Settings!$B$3&amp;".mit.eco2."&amp;$C$80&amp;"."&amp;$B89&amp;".e."&amp;$J$80</f>
        <v>egy.mit.eco2.nfm.ren.e.2</v>
      </c>
      <c r="I89" t="s">
        <v>2032</v>
      </c>
      <c r="L89" s="115">
        <f>Mitigation_Industry!L$581*INDEX(Data_EF!$G:$G,MATCH($G89,Data_EF!$A:$A,0))/1000000</f>
        <v>0</v>
      </c>
      <c r="M89" s="19">
        <f>Mitigation_Industry!M$581*INDEX(Data_EF!$G:$G,MATCH($G89,Data_EF!$A:$A,0))/1000000</f>
        <v>0</v>
      </c>
      <c r="N89" s="19">
        <f>Mitigation_Industry!N$581*INDEX(Data_EF!$G:$G,MATCH($G89,Data_EF!$A:$A,0))/1000000</f>
        <v>0</v>
      </c>
      <c r="O89" s="19">
        <f>Mitigation_Industry!O$581*INDEX(Data_EF!$G:$G,MATCH($G89,Data_EF!$A:$A,0))/1000000</f>
        <v>0</v>
      </c>
      <c r="P89" s="19">
        <f>Mitigation_Industry!P$581*INDEX(Data_EF!$G:$G,MATCH($G89,Data_EF!$A:$A,0))/1000000</f>
        <v>0</v>
      </c>
      <c r="Q89" s="19">
        <f>Mitigation_Industry!Q$581*INDEX(Data_EF!$G:$G,MATCH($G89,Data_EF!$A:$A,0))/1000000</f>
        <v>0</v>
      </c>
      <c r="R89" s="19">
        <f>Mitigation_Industry!R$581*INDEX(Data_EF!$G:$G,MATCH($G89,Data_EF!$A:$A,0))/1000000</f>
        <v>0</v>
      </c>
      <c r="S89" s="19">
        <f>Mitigation_Industry!S$581*INDEX(Data_EF!$G:$G,MATCH($G89,Data_EF!$A:$A,0))/1000000</f>
        <v>0</v>
      </c>
      <c r="T89" s="19">
        <f>Mitigation_Industry!T$581*INDEX(Data_EF!$G:$G,MATCH($G89,Data_EF!$A:$A,0))/1000000</f>
        <v>0</v>
      </c>
      <c r="U89" s="19">
        <f>Mitigation_Industry!U$581*INDEX(Data_EF!$G:$G,MATCH($G89,Data_EF!$A:$A,0))/1000000</f>
        <v>0</v>
      </c>
      <c r="V89" s="19">
        <f>Mitigation_Industry!V$581*INDEX(Data_EF!$G:$G,MATCH($G89,Data_EF!$A:$A,0))/1000000</f>
        <v>0</v>
      </c>
      <c r="W89" s="19">
        <f>Mitigation_Industry!W$581*INDEX(Data_EF!$G:$G,MATCH($G89,Data_EF!$A:$A,0))/1000000</f>
        <v>0</v>
      </c>
      <c r="X89" s="19">
        <f>Mitigation_Industry!X$581*INDEX(Data_EF!$G:$G,MATCH($G89,Data_EF!$A:$A,0))/1000000</f>
        <v>0</v>
      </c>
      <c r="Y89" s="19">
        <f>Mitigation_Industry!Y$581*INDEX(Data_EF!$G:$G,MATCH($G89,Data_EF!$A:$A,0))/1000000</f>
        <v>0</v>
      </c>
      <c r="Z89" s="19">
        <f>Mitigation_Industry!Z$581*INDEX(Data_EF!$G:$G,MATCH($G89,Data_EF!$A:$A,0))/1000000</f>
        <v>0</v>
      </c>
      <c r="AA89" s="19">
        <f>Mitigation_Industry!AA$581*INDEX(Data_EF!$G:$G,MATCH($G89,Data_EF!$A:$A,0))/1000000</f>
        <v>0</v>
      </c>
      <c r="AB89" s="19">
        <f>Mitigation_Industry!AB$581*INDEX(Data_EF!$G:$G,MATCH($G89,Data_EF!$A:$A,0))/1000000</f>
        <v>0</v>
      </c>
      <c r="AC89" s="19">
        <f>Mitigation_Industry!AC$581*INDEX(Data_EF!$G:$G,MATCH($G89,Data_EF!$A:$A,0))/1000000</f>
        <v>0</v>
      </c>
      <c r="AD89" s="19">
        <f>Mitigation_Industry!AD$581*INDEX(Data_EF!$G:$G,MATCH($G89,Data_EF!$A:$A,0))/1000000</f>
        <v>0</v>
      </c>
      <c r="AE89" s="19">
        <f>Mitigation_Industry!AE$581*INDEX(Data_EF!$G:$G,MATCH($G89,Data_EF!$A:$A,0))/1000000</f>
        <v>0</v>
      </c>
    </row>
    <row r="90" spans="1:35" customFormat="1" ht="14.25" x14ac:dyDescent="0.45">
      <c r="B90" s="14" t="s">
        <v>110</v>
      </c>
      <c r="C90" s="14" t="str">
        <f t="shared" si="12"/>
        <v>nfm</v>
      </c>
      <c r="D90" s="25" t="s">
        <v>111</v>
      </c>
      <c r="E90" s="16" t="s">
        <v>1967</v>
      </c>
      <c r="F90" s="14" t="s">
        <v>1968</v>
      </c>
      <c r="H90" s="45" t="str">
        <f>Settings!$B$3&amp;".mit.eco2."&amp;$C$80&amp;".tot.e."&amp;$J$80</f>
        <v>egy.mit.eco2.nfm.tot.e.2</v>
      </c>
      <c r="L90" s="116">
        <f t="shared" ref="L90:AE90" si="13">SUM(L81:L89)</f>
        <v>0</v>
      </c>
      <c r="M90" s="116">
        <f t="shared" si="13"/>
        <v>0</v>
      </c>
      <c r="N90" s="116">
        <f t="shared" si="13"/>
        <v>0</v>
      </c>
      <c r="O90" s="116">
        <f t="shared" si="13"/>
        <v>0</v>
      </c>
      <c r="P90" s="116">
        <f t="shared" si="13"/>
        <v>0</v>
      </c>
      <c r="Q90" s="116">
        <f t="shared" si="13"/>
        <v>0</v>
      </c>
      <c r="R90" s="116">
        <f t="shared" si="13"/>
        <v>0</v>
      </c>
      <c r="S90" s="116">
        <f t="shared" si="13"/>
        <v>0</v>
      </c>
      <c r="T90" s="116">
        <f t="shared" si="13"/>
        <v>0</v>
      </c>
      <c r="U90" s="116">
        <f t="shared" si="13"/>
        <v>0</v>
      </c>
      <c r="V90" s="116">
        <f t="shared" si="13"/>
        <v>0</v>
      </c>
      <c r="W90" s="116">
        <f t="shared" si="13"/>
        <v>0</v>
      </c>
      <c r="X90" s="116">
        <f t="shared" si="13"/>
        <v>0</v>
      </c>
      <c r="Y90" s="116">
        <f t="shared" si="13"/>
        <v>0</v>
      </c>
      <c r="Z90" s="116">
        <f t="shared" si="13"/>
        <v>0</v>
      </c>
      <c r="AA90" s="116">
        <f t="shared" si="13"/>
        <v>0</v>
      </c>
      <c r="AB90" s="116">
        <f t="shared" si="13"/>
        <v>0</v>
      </c>
      <c r="AC90" s="116">
        <f t="shared" si="13"/>
        <v>0</v>
      </c>
      <c r="AD90" s="116">
        <f t="shared" si="13"/>
        <v>0</v>
      </c>
      <c r="AE90" s="116">
        <f t="shared" si="13"/>
        <v>0</v>
      </c>
    </row>
    <row r="92" spans="1:35" customFormat="1" ht="14.25" x14ac:dyDescent="0.45">
      <c r="A92" s="11"/>
      <c r="B92" s="6" t="s">
        <v>116</v>
      </c>
      <c r="C92" s="7" t="s">
        <v>117</v>
      </c>
      <c r="D92" s="6" t="s">
        <v>44</v>
      </c>
      <c r="E92" s="7" t="s">
        <v>35</v>
      </c>
      <c r="F92" s="7" t="s">
        <v>45</v>
      </c>
      <c r="G92" s="7" t="s">
        <v>1966</v>
      </c>
      <c r="H92" s="12" t="s">
        <v>38</v>
      </c>
      <c r="I92" s="6" t="s">
        <v>47</v>
      </c>
      <c r="J92" s="48">
        <v>2</v>
      </c>
      <c r="K92" s="6">
        <v>2021</v>
      </c>
      <c r="L92" s="46">
        <v>2022</v>
      </c>
      <c r="M92" s="6">
        <v>2023</v>
      </c>
      <c r="N92" s="6">
        <v>2024</v>
      </c>
      <c r="O92" s="6">
        <v>2025</v>
      </c>
      <c r="P92" s="6">
        <v>2026</v>
      </c>
      <c r="Q92" s="6">
        <v>2027</v>
      </c>
      <c r="R92" s="6">
        <v>2028</v>
      </c>
      <c r="S92" s="6">
        <v>2029</v>
      </c>
      <c r="T92" s="6">
        <v>2030</v>
      </c>
      <c r="U92" s="6">
        <v>2031</v>
      </c>
      <c r="V92" s="6">
        <v>2032</v>
      </c>
      <c r="W92" s="6">
        <v>2033</v>
      </c>
      <c r="X92" s="6">
        <v>2034</v>
      </c>
      <c r="Y92" s="6">
        <v>2035</v>
      </c>
      <c r="Z92" s="6">
        <v>2036</v>
      </c>
      <c r="AA92" s="6">
        <v>2037</v>
      </c>
      <c r="AB92" s="6">
        <v>2038</v>
      </c>
      <c r="AC92" s="6">
        <v>2039</v>
      </c>
      <c r="AD92" s="6">
        <v>2040</v>
      </c>
      <c r="AE92" s="6">
        <v>2041</v>
      </c>
      <c r="AF92" s="6">
        <v>2042</v>
      </c>
      <c r="AG92" s="6">
        <v>2043</v>
      </c>
      <c r="AH92" s="6">
        <v>2044</v>
      </c>
      <c r="AI92" s="6">
        <v>2045</v>
      </c>
    </row>
    <row r="93" spans="1:35" customFormat="1" ht="14.25" x14ac:dyDescent="0.45">
      <c r="B93" s="14" t="s">
        <v>49</v>
      </c>
      <c r="C93" s="14" t="str">
        <f t="shared" ref="C93:C102" si="14">$C$92</f>
        <v>mch</v>
      </c>
      <c r="D93" s="15" t="s">
        <v>50</v>
      </c>
      <c r="E93" s="16" t="s">
        <v>1967</v>
      </c>
      <c r="F93" s="14" t="s">
        <v>1968</v>
      </c>
      <c r="G93" s="114" t="str">
        <f>Settings!$B$3&amp;".mit.efc."&amp;$B93</f>
        <v>egy.mit.efc.coa</v>
      </c>
      <c r="H93" s="45" t="str">
        <f>Settings!$B$3&amp;".mit.eco2."&amp;$C$92&amp;"."&amp;$B93&amp;".e."&amp;$J$92</f>
        <v>egy.mit.eco2.mch.coa.e.2</v>
      </c>
      <c r="I93" t="s">
        <v>2033</v>
      </c>
      <c r="L93" s="115">
        <f>Mitigation_Industry!L$633*INDEX(Data_EF!$G:$G,MATCH($G93,Data_EF!$A:$A,0))/1000000</f>
        <v>0</v>
      </c>
      <c r="M93" s="19">
        <f>Mitigation_Industry!M$633*INDEX(Data_EF!$G:$G,MATCH($G93,Data_EF!$A:$A,0))/1000000</f>
        <v>0</v>
      </c>
      <c r="N93" s="19">
        <f>Mitigation_Industry!N$633*INDEX(Data_EF!$G:$G,MATCH($G93,Data_EF!$A:$A,0))/1000000</f>
        <v>0</v>
      </c>
      <c r="O93" s="19">
        <f>Mitigation_Industry!O$633*INDEX(Data_EF!$G:$G,MATCH($G93,Data_EF!$A:$A,0))/1000000</f>
        <v>0</v>
      </c>
      <c r="P93" s="19">
        <f>Mitigation_Industry!P$633*INDEX(Data_EF!$G:$G,MATCH($G93,Data_EF!$A:$A,0))/1000000</f>
        <v>0</v>
      </c>
      <c r="Q93" s="19">
        <f>Mitigation_Industry!Q$633*INDEX(Data_EF!$G:$G,MATCH($G93,Data_EF!$A:$A,0))/1000000</f>
        <v>0</v>
      </c>
      <c r="R93" s="19">
        <f>Mitigation_Industry!R$633*INDEX(Data_EF!$G:$G,MATCH($G93,Data_EF!$A:$A,0))/1000000</f>
        <v>0</v>
      </c>
      <c r="S93" s="19">
        <f>Mitigation_Industry!S$633*INDEX(Data_EF!$G:$G,MATCH($G93,Data_EF!$A:$A,0))/1000000</f>
        <v>0</v>
      </c>
      <c r="T93" s="19">
        <f>Mitigation_Industry!T$633*INDEX(Data_EF!$G:$G,MATCH($G93,Data_EF!$A:$A,0))/1000000</f>
        <v>0</v>
      </c>
      <c r="U93" s="19">
        <f>Mitigation_Industry!U$633*INDEX(Data_EF!$G:$G,MATCH($G93,Data_EF!$A:$A,0))/1000000</f>
        <v>0</v>
      </c>
      <c r="V93" s="19">
        <f>Mitigation_Industry!V$633*INDEX(Data_EF!$G:$G,MATCH($G93,Data_EF!$A:$A,0))/1000000</f>
        <v>0</v>
      </c>
      <c r="W93" s="19">
        <f>Mitigation_Industry!W$633*INDEX(Data_EF!$G:$G,MATCH($G93,Data_EF!$A:$A,0))/1000000</f>
        <v>0</v>
      </c>
      <c r="X93" s="19">
        <f>Mitigation_Industry!X$633*INDEX(Data_EF!$G:$G,MATCH($G93,Data_EF!$A:$A,0))/1000000</f>
        <v>0</v>
      </c>
      <c r="Y93" s="19">
        <f>Mitigation_Industry!Y$633*INDEX(Data_EF!$G:$G,MATCH($G93,Data_EF!$A:$A,0))/1000000</f>
        <v>0</v>
      </c>
      <c r="Z93" s="19">
        <f>Mitigation_Industry!Z$633*INDEX(Data_EF!$G:$G,MATCH($G93,Data_EF!$A:$A,0))/1000000</f>
        <v>0</v>
      </c>
      <c r="AA93" s="19">
        <f>Mitigation_Industry!AA$633*INDEX(Data_EF!$G:$G,MATCH($G93,Data_EF!$A:$A,0))/1000000</f>
        <v>0</v>
      </c>
      <c r="AB93" s="19">
        <f>Mitigation_Industry!AB$633*INDEX(Data_EF!$G:$G,MATCH($G93,Data_EF!$A:$A,0))/1000000</f>
        <v>0</v>
      </c>
      <c r="AC93" s="19">
        <f>Mitigation_Industry!AC$633*INDEX(Data_EF!$G:$G,MATCH($G93,Data_EF!$A:$A,0))/1000000</f>
        <v>0</v>
      </c>
      <c r="AD93" s="19">
        <f>Mitigation_Industry!AD$633*INDEX(Data_EF!$G:$G,MATCH($G93,Data_EF!$A:$A,0))/1000000</f>
        <v>0</v>
      </c>
      <c r="AE93" s="19">
        <f>Mitigation_Industry!AE$633*INDEX(Data_EF!$G:$G,MATCH($G93,Data_EF!$A:$A,0))/1000000</f>
        <v>0</v>
      </c>
    </row>
    <row r="94" spans="1:35" customFormat="1" ht="14.25" x14ac:dyDescent="0.45">
      <c r="B94" s="14" t="s">
        <v>53</v>
      </c>
      <c r="C94" s="14" t="str">
        <f t="shared" si="14"/>
        <v>mch</v>
      </c>
      <c r="D94" s="15" t="s">
        <v>54</v>
      </c>
      <c r="E94" s="16" t="s">
        <v>1967</v>
      </c>
      <c r="F94" s="14" t="s">
        <v>1968</v>
      </c>
      <c r="G94" s="114" t="str">
        <f>Settings!$B$3&amp;".mit.efc."&amp;$B94</f>
        <v>egy.mit.efc.nga</v>
      </c>
      <c r="H94" s="45" t="str">
        <f>Settings!$B$3&amp;".mit.eco2."&amp;$C$92&amp;"."&amp;$B94&amp;".e."&amp;$J$92</f>
        <v>egy.mit.eco2.mch.nga.e.2</v>
      </c>
      <c r="I94" t="s">
        <v>2034</v>
      </c>
      <c r="L94" s="115">
        <f>Mitigation_Industry!L$634*INDEX(Data_EF!$G:$G,MATCH($G94,Data_EF!$A:$A,0))/1000000</f>
        <v>0</v>
      </c>
      <c r="M94" s="19">
        <f>Mitigation_Industry!M$634*INDEX(Data_EF!$G:$G,MATCH($G94,Data_EF!$A:$A,0))/1000000</f>
        <v>0</v>
      </c>
      <c r="N94" s="19">
        <f>Mitigation_Industry!N$634*INDEX(Data_EF!$G:$G,MATCH($G94,Data_EF!$A:$A,0))/1000000</f>
        <v>0</v>
      </c>
      <c r="O94" s="19">
        <f>Mitigation_Industry!O$634*INDEX(Data_EF!$G:$G,MATCH($G94,Data_EF!$A:$A,0))/1000000</f>
        <v>0</v>
      </c>
      <c r="P94" s="19">
        <f>Mitigation_Industry!P$634*INDEX(Data_EF!$G:$G,MATCH($G94,Data_EF!$A:$A,0))/1000000</f>
        <v>0</v>
      </c>
      <c r="Q94" s="19">
        <f>Mitigation_Industry!Q$634*INDEX(Data_EF!$G:$G,MATCH($G94,Data_EF!$A:$A,0))/1000000</f>
        <v>0</v>
      </c>
      <c r="R94" s="19">
        <f>Mitigation_Industry!R$634*INDEX(Data_EF!$G:$G,MATCH($G94,Data_EF!$A:$A,0))/1000000</f>
        <v>0</v>
      </c>
      <c r="S94" s="19">
        <f>Mitigation_Industry!S$634*INDEX(Data_EF!$G:$G,MATCH($G94,Data_EF!$A:$A,0))/1000000</f>
        <v>0</v>
      </c>
      <c r="T94" s="19">
        <f>Mitigation_Industry!T$634*INDEX(Data_EF!$G:$G,MATCH($G94,Data_EF!$A:$A,0))/1000000</f>
        <v>0</v>
      </c>
      <c r="U94" s="19">
        <f>Mitigation_Industry!U$634*INDEX(Data_EF!$G:$G,MATCH($G94,Data_EF!$A:$A,0))/1000000</f>
        <v>0</v>
      </c>
      <c r="V94" s="19">
        <f>Mitigation_Industry!V$634*INDEX(Data_EF!$G:$G,MATCH($G94,Data_EF!$A:$A,0))/1000000</f>
        <v>0</v>
      </c>
      <c r="W94" s="19">
        <f>Mitigation_Industry!W$634*INDEX(Data_EF!$G:$G,MATCH($G94,Data_EF!$A:$A,0))/1000000</f>
        <v>0</v>
      </c>
      <c r="X94" s="19">
        <f>Mitigation_Industry!X$634*INDEX(Data_EF!$G:$G,MATCH($G94,Data_EF!$A:$A,0))/1000000</f>
        <v>0</v>
      </c>
      <c r="Y94" s="19">
        <f>Mitigation_Industry!Y$634*INDEX(Data_EF!$G:$G,MATCH($G94,Data_EF!$A:$A,0))/1000000</f>
        <v>0</v>
      </c>
      <c r="Z94" s="19">
        <f>Mitigation_Industry!Z$634*INDEX(Data_EF!$G:$G,MATCH($G94,Data_EF!$A:$A,0))/1000000</f>
        <v>0</v>
      </c>
      <c r="AA94" s="19">
        <f>Mitigation_Industry!AA$634*INDEX(Data_EF!$G:$G,MATCH($G94,Data_EF!$A:$A,0))/1000000</f>
        <v>0</v>
      </c>
      <c r="AB94" s="19">
        <f>Mitigation_Industry!AB$634*INDEX(Data_EF!$G:$G,MATCH($G94,Data_EF!$A:$A,0))/1000000</f>
        <v>0</v>
      </c>
      <c r="AC94" s="19">
        <f>Mitigation_Industry!AC$634*INDEX(Data_EF!$G:$G,MATCH($G94,Data_EF!$A:$A,0))/1000000</f>
        <v>0</v>
      </c>
      <c r="AD94" s="19">
        <f>Mitigation_Industry!AD$634*INDEX(Data_EF!$G:$G,MATCH($G94,Data_EF!$A:$A,0))/1000000</f>
        <v>0</v>
      </c>
      <c r="AE94" s="19">
        <f>Mitigation_Industry!AE$634*INDEX(Data_EF!$G:$G,MATCH($G94,Data_EF!$A:$A,0))/1000000</f>
        <v>0</v>
      </c>
    </row>
    <row r="95" spans="1:35" customFormat="1" ht="14.25" x14ac:dyDescent="0.45">
      <c r="B95" s="14" t="s">
        <v>55</v>
      </c>
      <c r="C95" s="14" t="str">
        <f t="shared" si="14"/>
        <v>mch</v>
      </c>
      <c r="D95" s="15" t="s">
        <v>56</v>
      </c>
      <c r="E95" s="16" t="s">
        <v>1967</v>
      </c>
      <c r="F95" s="14" t="s">
        <v>1968</v>
      </c>
      <c r="G95" s="114" t="str">
        <f>Settings!$B$3&amp;".mit.efc."&amp;$B95</f>
        <v>egy.mit.efc.gso</v>
      </c>
      <c r="H95" s="45" t="str">
        <f>Settings!$B$3&amp;".mit.eco2."&amp;$C$92&amp;"."&amp;$B95&amp;".e."&amp;$J$92</f>
        <v>egy.mit.eco2.mch.gso.e.2</v>
      </c>
      <c r="I95" t="s">
        <v>2035</v>
      </c>
      <c r="L95" s="115">
        <f>Mitigation_Industry!L$635*INDEX(Data_EF!$G:$G,MATCH($G95,Data_EF!$A:$A,0))/1000000</f>
        <v>0</v>
      </c>
      <c r="M95" s="19">
        <f>Mitigation_Industry!M$635*INDEX(Data_EF!$G:$G,MATCH($G95,Data_EF!$A:$A,0))/1000000</f>
        <v>0</v>
      </c>
      <c r="N95" s="19">
        <f>Mitigation_Industry!N$635*INDEX(Data_EF!$G:$G,MATCH($G95,Data_EF!$A:$A,0))/1000000</f>
        <v>0</v>
      </c>
      <c r="O95" s="19">
        <f>Mitigation_Industry!O$635*INDEX(Data_EF!$G:$G,MATCH($G95,Data_EF!$A:$A,0))/1000000</f>
        <v>0</v>
      </c>
      <c r="P95" s="19">
        <f>Mitigation_Industry!P$635*INDEX(Data_EF!$G:$G,MATCH($G95,Data_EF!$A:$A,0))/1000000</f>
        <v>0</v>
      </c>
      <c r="Q95" s="19">
        <f>Mitigation_Industry!Q$635*INDEX(Data_EF!$G:$G,MATCH($G95,Data_EF!$A:$A,0))/1000000</f>
        <v>0</v>
      </c>
      <c r="R95" s="19">
        <f>Mitigation_Industry!R$635*INDEX(Data_EF!$G:$G,MATCH($G95,Data_EF!$A:$A,0))/1000000</f>
        <v>0</v>
      </c>
      <c r="S95" s="19">
        <f>Mitigation_Industry!S$635*INDEX(Data_EF!$G:$G,MATCH($G95,Data_EF!$A:$A,0))/1000000</f>
        <v>0</v>
      </c>
      <c r="T95" s="19">
        <f>Mitigation_Industry!T$635*INDEX(Data_EF!$G:$G,MATCH($G95,Data_EF!$A:$A,0))/1000000</f>
        <v>0</v>
      </c>
      <c r="U95" s="19">
        <f>Mitigation_Industry!U$635*INDEX(Data_EF!$G:$G,MATCH($G95,Data_EF!$A:$A,0))/1000000</f>
        <v>0</v>
      </c>
      <c r="V95" s="19">
        <f>Mitigation_Industry!V$635*INDEX(Data_EF!$G:$G,MATCH($G95,Data_EF!$A:$A,0))/1000000</f>
        <v>0</v>
      </c>
      <c r="W95" s="19">
        <f>Mitigation_Industry!W$635*INDEX(Data_EF!$G:$G,MATCH($G95,Data_EF!$A:$A,0))/1000000</f>
        <v>0</v>
      </c>
      <c r="X95" s="19">
        <f>Mitigation_Industry!X$635*INDEX(Data_EF!$G:$G,MATCH($G95,Data_EF!$A:$A,0))/1000000</f>
        <v>0</v>
      </c>
      <c r="Y95" s="19">
        <f>Mitigation_Industry!Y$635*INDEX(Data_EF!$G:$G,MATCH($G95,Data_EF!$A:$A,0))/1000000</f>
        <v>0</v>
      </c>
      <c r="Z95" s="19">
        <f>Mitigation_Industry!Z$635*INDEX(Data_EF!$G:$G,MATCH($G95,Data_EF!$A:$A,0))/1000000</f>
        <v>0</v>
      </c>
      <c r="AA95" s="19">
        <f>Mitigation_Industry!AA$635*INDEX(Data_EF!$G:$G,MATCH($G95,Data_EF!$A:$A,0))/1000000</f>
        <v>0</v>
      </c>
      <c r="AB95" s="19">
        <f>Mitigation_Industry!AB$635*INDEX(Data_EF!$G:$G,MATCH($G95,Data_EF!$A:$A,0))/1000000</f>
        <v>0</v>
      </c>
      <c r="AC95" s="19">
        <f>Mitigation_Industry!AC$635*INDEX(Data_EF!$G:$G,MATCH($G95,Data_EF!$A:$A,0))/1000000</f>
        <v>0</v>
      </c>
      <c r="AD95" s="19">
        <f>Mitigation_Industry!AD$635*INDEX(Data_EF!$G:$G,MATCH($G95,Data_EF!$A:$A,0))/1000000</f>
        <v>0</v>
      </c>
      <c r="AE95" s="19">
        <f>Mitigation_Industry!AE$635*INDEX(Data_EF!$G:$G,MATCH($G95,Data_EF!$A:$A,0))/1000000</f>
        <v>0</v>
      </c>
    </row>
    <row r="96" spans="1:35" customFormat="1" ht="14.25" x14ac:dyDescent="0.45">
      <c r="B96" s="14" t="s">
        <v>58</v>
      </c>
      <c r="C96" s="14" t="str">
        <f t="shared" si="14"/>
        <v>mch</v>
      </c>
      <c r="D96" s="15" t="s">
        <v>59</v>
      </c>
      <c r="E96" s="16" t="s">
        <v>1967</v>
      </c>
      <c r="F96" s="14" t="s">
        <v>1968</v>
      </c>
      <c r="G96" s="114" t="str">
        <f>Settings!$B$3&amp;".mit.efc."&amp;$B96</f>
        <v>egy.mit.efc.die</v>
      </c>
      <c r="H96" s="45" t="str">
        <f>Settings!$B$3&amp;".mit.eco2."&amp;$C$92&amp;"."&amp;$B96&amp;".e."&amp;$J$92</f>
        <v>egy.mit.eco2.mch.die.e.2</v>
      </c>
      <c r="I96" t="s">
        <v>2036</v>
      </c>
      <c r="L96" s="115">
        <f>Mitigation_Industry!L$636*INDEX(Data_EF!$G:$G,MATCH($G96,Data_EF!$A:$A,0))/1000000</f>
        <v>0</v>
      </c>
      <c r="M96" s="19">
        <f>Mitigation_Industry!M$636*INDEX(Data_EF!$G:$G,MATCH($G96,Data_EF!$A:$A,0))/1000000</f>
        <v>0</v>
      </c>
      <c r="N96" s="19">
        <f>Mitigation_Industry!N$636*INDEX(Data_EF!$G:$G,MATCH($G96,Data_EF!$A:$A,0))/1000000</f>
        <v>0</v>
      </c>
      <c r="O96" s="19">
        <f>Mitigation_Industry!O$636*INDEX(Data_EF!$G:$G,MATCH($G96,Data_EF!$A:$A,0))/1000000</f>
        <v>0</v>
      </c>
      <c r="P96" s="19">
        <f>Mitigation_Industry!P$636*INDEX(Data_EF!$G:$G,MATCH($G96,Data_EF!$A:$A,0))/1000000</f>
        <v>0</v>
      </c>
      <c r="Q96" s="19">
        <f>Mitigation_Industry!Q$636*INDEX(Data_EF!$G:$G,MATCH($G96,Data_EF!$A:$A,0))/1000000</f>
        <v>0</v>
      </c>
      <c r="R96" s="19">
        <f>Mitigation_Industry!R$636*INDEX(Data_EF!$G:$G,MATCH($G96,Data_EF!$A:$A,0))/1000000</f>
        <v>0</v>
      </c>
      <c r="S96" s="19">
        <f>Mitigation_Industry!S$636*INDEX(Data_EF!$G:$G,MATCH($G96,Data_EF!$A:$A,0))/1000000</f>
        <v>0</v>
      </c>
      <c r="T96" s="19">
        <f>Mitigation_Industry!T$636*INDEX(Data_EF!$G:$G,MATCH($G96,Data_EF!$A:$A,0))/1000000</f>
        <v>0</v>
      </c>
      <c r="U96" s="19">
        <f>Mitigation_Industry!U$636*INDEX(Data_EF!$G:$G,MATCH($G96,Data_EF!$A:$A,0))/1000000</f>
        <v>0</v>
      </c>
      <c r="V96" s="19">
        <f>Mitigation_Industry!V$636*INDEX(Data_EF!$G:$G,MATCH($G96,Data_EF!$A:$A,0))/1000000</f>
        <v>0</v>
      </c>
      <c r="W96" s="19">
        <f>Mitigation_Industry!W$636*INDEX(Data_EF!$G:$G,MATCH($G96,Data_EF!$A:$A,0))/1000000</f>
        <v>0</v>
      </c>
      <c r="X96" s="19">
        <f>Mitigation_Industry!X$636*INDEX(Data_EF!$G:$G,MATCH($G96,Data_EF!$A:$A,0))/1000000</f>
        <v>0</v>
      </c>
      <c r="Y96" s="19">
        <f>Mitigation_Industry!Y$636*INDEX(Data_EF!$G:$G,MATCH($G96,Data_EF!$A:$A,0))/1000000</f>
        <v>0</v>
      </c>
      <c r="Z96" s="19">
        <f>Mitigation_Industry!Z$636*INDEX(Data_EF!$G:$G,MATCH($G96,Data_EF!$A:$A,0))/1000000</f>
        <v>0</v>
      </c>
      <c r="AA96" s="19">
        <f>Mitigation_Industry!AA$636*INDEX(Data_EF!$G:$G,MATCH($G96,Data_EF!$A:$A,0))/1000000</f>
        <v>0</v>
      </c>
      <c r="AB96" s="19">
        <f>Mitigation_Industry!AB$636*INDEX(Data_EF!$G:$G,MATCH($G96,Data_EF!$A:$A,0))/1000000</f>
        <v>0</v>
      </c>
      <c r="AC96" s="19">
        <f>Mitigation_Industry!AC$636*INDEX(Data_EF!$G:$G,MATCH($G96,Data_EF!$A:$A,0))/1000000</f>
        <v>0</v>
      </c>
      <c r="AD96" s="19">
        <f>Mitigation_Industry!AD$636*INDEX(Data_EF!$G:$G,MATCH($G96,Data_EF!$A:$A,0))/1000000</f>
        <v>0</v>
      </c>
      <c r="AE96" s="19">
        <f>Mitigation_Industry!AE$636*INDEX(Data_EF!$G:$G,MATCH($G96,Data_EF!$A:$A,0))/1000000</f>
        <v>0</v>
      </c>
    </row>
    <row r="97" spans="2:31" customFormat="1" ht="14.25" x14ac:dyDescent="0.45">
      <c r="B97" s="14" t="s">
        <v>60</v>
      </c>
      <c r="C97" s="14" t="str">
        <f t="shared" si="14"/>
        <v>mch</v>
      </c>
      <c r="D97" s="15" t="s">
        <v>61</v>
      </c>
      <c r="E97" s="16" t="s">
        <v>1967</v>
      </c>
      <c r="F97" s="14" t="s">
        <v>1968</v>
      </c>
      <c r="G97" s="114" t="str">
        <f>Settings!$B$3&amp;".mit.efc."&amp;$B97</f>
        <v>egy.mit.efc.lpg</v>
      </c>
      <c r="H97" s="45" t="str">
        <f>Settings!$B$3&amp;".mit.eco2."&amp;$C$92&amp;"."&amp;$B97&amp;".e."&amp;$J$92</f>
        <v>egy.mit.eco2.mch.lpg.e.2</v>
      </c>
      <c r="I97" t="s">
        <v>2037</v>
      </c>
      <c r="L97" s="115">
        <f>Mitigation_Industry!L$637*INDEX(Data_EF!$G:$G,MATCH($G97,Data_EF!$A:$A,0))/1000000</f>
        <v>0</v>
      </c>
      <c r="M97" s="19">
        <f>Mitigation_Industry!M$637*INDEX(Data_EF!$G:$G,MATCH($G97,Data_EF!$A:$A,0))/1000000</f>
        <v>0</v>
      </c>
      <c r="N97" s="19">
        <f>Mitigation_Industry!N$637*INDEX(Data_EF!$G:$G,MATCH($G97,Data_EF!$A:$A,0))/1000000</f>
        <v>0</v>
      </c>
      <c r="O97" s="19">
        <f>Mitigation_Industry!O$637*INDEX(Data_EF!$G:$G,MATCH($G97,Data_EF!$A:$A,0))/1000000</f>
        <v>0</v>
      </c>
      <c r="P97" s="19">
        <f>Mitigation_Industry!P$637*INDEX(Data_EF!$G:$G,MATCH($G97,Data_EF!$A:$A,0))/1000000</f>
        <v>0</v>
      </c>
      <c r="Q97" s="19">
        <f>Mitigation_Industry!Q$637*INDEX(Data_EF!$G:$G,MATCH($G97,Data_EF!$A:$A,0))/1000000</f>
        <v>0</v>
      </c>
      <c r="R97" s="19">
        <f>Mitigation_Industry!R$637*INDEX(Data_EF!$G:$G,MATCH($G97,Data_EF!$A:$A,0))/1000000</f>
        <v>0</v>
      </c>
      <c r="S97" s="19">
        <f>Mitigation_Industry!S$637*INDEX(Data_EF!$G:$G,MATCH($G97,Data_EF!$A:$A,0))/1000000</f>
        <v>0</v>
      </c>
      <c r="T97" s="19">
        <f>Mitigation_Industry!T$637*INDEX(Data_EF!$G:$G,MATCH($G97,Data_EF!$A:$A,0))/1000000</f>
        <v>0</v>
      </c>
      <c r="U97" s="19">
        <f>Mitigation_Industry!U$637*INDEX(Data_EF!$G:$G,MATCH($G97,Data_EF!$A:$A,0))/1000000</f>
        <v>0</v>
      </c>
      <c r="V97" s="19">
        <f>Mitigation_Industry!V$637*INDEX(Data_EF!$G:$G,MATCH($G97,Data_EF!$A:$A,0))/1000000</f>
        <v>0</v>
      </c>
      <c r="W97" s="19">
        <f>Mitigation_Industry!W$637*INDEX(Data_EF!$G:$G,MATCH($G97,Data_EF!$A:$A,0))/1000000</f>
        <v>0</v>
      </c>
      <c r="X97" s="19">
        <f>Mitigation_Industry!X$637*INDEX(Data_EF!$G:$G,MATCH($G97,Data_EF!$A:$A,0))/1000000</f>
        <v>0</v>
      </c>
      <c r="Y97" s="19">
        <f>Mitigation_Industry!Y$637*INDEX(Data_EF!$G:$G,MATCH($G97,Data_EF!$A:$A,0))/1000000</f>
        <v>0</v>
      </c>
      <c r="Z97" s="19">
        <f>Mitigation_Industry!Z$637*INDEX(Data_EF!$G:$G,MATCH($G97,Data_EF!$A:$A,0))/1000000</f>
        <v>0</v>
      </c>
      <c r="AA97" s="19">
        <f>Mitigation_Industry!AA$637*INDEX(Data_EF!$G:$G,MATCH($G97,Data_EF!$A:$A,0))/1000000</f>
        <v>0</v>
      </c>
      <c r="AB97" s="19">
        <f>Mitigation_Industry!AB$637*INDEX(Data_EF!$G:$G,MATCH($G97,Data_EF!$A:$A,0))/1000000</f>
        <v>0</v>
      </c>
      <c r="AC97" s="19">
        <f>Mitigation_Industry!AC$637*INDEX(Data_EF!$G:$G,MATCH($G97,Data_EF!$A:$A,0))/1000000</f>
        <v>0</v>
      </c>
      <c r="AD97" s="19">
        <f>Mitigation_Industry!AD$637*INDEX(Data_EF!$G:$G,MATCH($G97,Data_EF!$A:$A,0))/1000000</f>
        <v>0</v>
      </c>
      <c r="AE97" s="19">
        <f>Mitigation_Industry!AE$637*INDEX(Data_EF!$G:$G,MATCH($G97,Data_EF!$A:$A,0))/1000000</f>
        <v>0</v>
      </c>
    </row>
    <row r="98" spans="2:31" customFormat="1" ht="14.25" x14ac:dyDescent="0.45">
      <c r="B98" s="14" t="s">
        <v>62</v>
      </c>
      <c r="C98" s="14" t="str">
        <f t="shared" si="14"/>
        <v>mch</v>
      </c>
      <c r="D98" s="15" t="s">
        <v>63</v>
      </c>
      <c r="E98" s="16" t="s">
        <v>1967</v>
      </c>
      <c r="F98" s="14" t="s">
        <v>1968</v>
      </c>
      <c r="G98" s="114" t="str">
        <f>Settings!$B$3&amp;".mit.efc."&amp;$B98</f>
        <v>egy.mit.efc.ker</v>
      </c>
      <c r="H98" s="45" t="str">
        <f>Settings!$B$3&amp;".mit.eco2."&amp;$C$92&amp;"."&amp;$B98&amp;".e."&amp;$J$92</f>
        <v>egy.mit.eco2.mch.ker.e.2</v>
      </c>
      <c r="I98" t="s">
        <v>2038</v>
      </c>
      <c r="L98" s="115">
        <f>Mitigation_Industry!L$638*INDEX(Data_EF!$G:$G,MATCH($G98,Data_EF!$A:$A,0))/1000000</f>
        <v>0</v>
      </c>
      <c r="M98" s="19">
        <f>Mitigation_Industry!M$638*INDEX(Data_EF!$G:$G,MATCH($G98,Data_EF!$A:$A,0))/1000000</f>
        <v>0</v>
      </c>
      <c r="N98" s="19">
        <f>Mitigation_Industry!N$638*INDEX(Data_EF!$G:$G,MATCH($G98,Data_EF!$A:$A,0))/1000000</f>
        <v>0</v>
      </c>
      <c r="O98" s="19">
        <f>Mitigation_Industry!O$638*INDEX(Data_EF!$G:$G,MATCH($G98,Data_EF!$A:$A,0))/1000000</f>
        <v>0</v>
      </c>
      <c r="P98" s="19">
        <f>Mitigation_Industry!P$638*INDEX(Data_EF!$G:$G,MATCH($G98,Data_EF!$A:$A,0))/1000000</f>
        <v>0</v>
      </c>
      <c r="Q98" s="19">
        <f>Mitigation_Industry!Q$638*INDEX(Data_EF!$G:$G,MATCH($G98,Data_EF!$A:$A,0))/1000000</f>
        <v>0</v>
      </c>
      <c r="R98" s="19">
        <f>Mitigation_Industry!R$638*INDEX(Data_EF!$G:$G,MATCH($G98,Data_EF!$A:$A,0))/1000000</f>
        <v>0</v>
      </c>
      <c r="S98" s="19">
        <f>Mitigation_Industry!S$638*INDEX(Data_EF!$G:$G,MATCH($G98,Data_EF!$A:$A,0))/1000000</f>
        <v>0</v>
      </c>
      <c r="T98" s="19">
        <f>Mitigation_Industry!T$638*INDEX(Data_EF!$G:$G,MATCH($G98,Data_EF!$A:$A,0))/1000000</f>
        <v>0</v>
      </c>
      <c r="U98" s="19">
        <f>Mitigation_Industry!U$638*INDEX(Data_EF!$G:$G,MATCH($G98,Data_EF!$A:$A,0))/1000000</f>
        <v>0</v>
      </c>
      <c r="V98" s="19">
        <f>Mitigation_Industry!V$638*INDEX(Data_EF!$G:$G,MATCH($G98,Data_EF!$A:$A,0))/1000000</f>
        <v>0</v>
      </c>
      <c r="W98" s="19">
        <f>Mitigation_Industry!W$638*INDEX(Data_EF!$G:$G,MATCH($G98,Data_EF!$A:$A,0))/1000000</f>
        <v>0</v>
      </c>
      <c r="X98" s="19">
        <f>Mitigation_Industry!X$638*INDEX(Data_EF!$G:$G,MATCH($G98,Data_EF!$A:$A,0))/1000000</f>
        <v>0</v>
      </c>
      <c r="Y98" s="19">
        <f>Mitigation_Industry!Y$638*INDEX(Data_EF!$G:$G,MATCH($G98,Data_EF!$A:$A,0))/1000000</f>
        <v>0</v>
      </c>
      <c r="Z98" s="19">
        <f>Mitigation_Industry!Z$638*INDEX(Data_EF!$G:$G,MATCH($G98,Data_EF!$A:$A,0))/1000000</f>
        <v>0</v>
      </c>
      <c r="AA98" s="19">
        <f>Mitigation_Industry!AA$638*INDEX(Data_EF!$G:$G,MATCH($G98,Data_EF!$A:$A,0))/1000000</f>
        <v>0</v>
      </c>
      <c r="AB98" s="19">
        <f>Mitigation_Industry!AB$638*INDEX(Data_EF!$G:$G,MATCH($G98,Data_EF!$A:$A,0))/1000000</f>
        <v>0</v>
      </c>
      <c r="AC98" s="19">
        <f>Mitigation_Industry!AC$638*INDEX(Data_EF!$G:$G,MATCH($G98,Data_EF!$A:$A,0))/1000000</f>
        <v>0</v>
      </c>
      <c r="AD98" s="19">
        <f>Mitigation_Industry!AD$638*INDEX(Data_EF!$G:$G,MATCH($G98,Data_EF!$A:$A,0))/1000000</f>
        <v>0</v>
      </c>
      <c r="AE98" s="19">
        <f>Mitigation_Industry!AE$638*INDEX(Data_EF!$G:$G,MATCH($G98,Data_EF!$A:$A,0))/1000000</f>
        <v>0</v>
      </c>
    </row>
    <row r="99" spans="2:31" customFormat="1" ht="14.25" x14ac:dyDescent="0.45">
      <c r="B99" s="14" t="s">
        <v>64</v>
      </c>
      <c r="C99" s="14" t="str">
        <f t="shared" si="14"/>
        <v>mch</v>
      </c>
      <c r="D99" s="15" t="s">
        <v>65</v>
      </c>
      <c r="E99" s="16" t="s">
        <v>1967</v>
      </c>
      <c r="F99" s="14" t="s">
        <v>1968</v>
      </c>
      <c r="G99" s="114" t="str">
        <f>Settings!$B$3&amp;".mit.efc."&amp;$B99</f>
        <v>egy.mit.efc.oop</v>
      </c>
      <c r="H99" s="45" t="str">
        <f>Settings!$B$3&amp;".mit.eco2."&amp;$C$92&amp;"."&amp;$B99&amp;".e."&amp;$J$92</f>
        <v>egy.mit.eco2.mch.oop.e.2</v>
      </c>
      <c r="I99" t="s">
        <v>2039</v>
      </c>
      <c r="L99" s="115">
        <f>Mitigation_Industry!L$639*INDEX(Data_EF!$G:$G,MATCH($G99,Data_EF!$A:$A,0))/1000000</f>
        <v>0</v>
      </c>
      <c r="M99" s="19">
        <f>Mitigation_Industry!M$639*INDEX(Data_EF!$G:$G,MATCH($G99,Data_EF!$A:$A,0))/1000000</f>
        <v>0</v>
      </c>
      <c r="N99" s="19">
        <f>Mitigation_Industry!N$639*INDEX(Data_EF!$G:$G,MATCH($G99,Data_EF!$A:$A,0))/1000000</f>
        <v>0</v>
      </c>
      <c r="O99" s="19">
        <f>Mitigation_Industry!O$639*INDEX(Data_EF!$G:$G,MATCH($G99,Data_EF!$A:$A,0))/1000000</f>
        <v>0</v>
      </c>
      <c r="P99" s="19">
        <f>Mitigation_Industry!P$639*INDEX(Data_EF!$G:$G,MATCH($G99,Data_EF!$A:$A,0))/1000000</f>
        <v>0</v>
      </c>
      <c r="Q99" s="19">
        <f>Mitigation_Industry!Q$639*INDEX(Data_EF!$G:$G,MATCH($G99,Data_EF!$A:$A,0))/1000000</f>
        <v>0</v>
      </c>
      <c r="R99" s="19">
        <f>Mitigation_Industry!R$639*INDEX(Data_EF!$G:$G,MATCH($G99,Data_EF!$A:$A,0))/1000000</f>
        <v>0</v>
      </c>
      <c r="S99" s="19">
        <f>Mitigation_Industry!S$639*INDEX(Data_EF!$G:$G,MATCH($G99,Data_EF!$A:$A,0))/1000000</f>
        <v>0</v>
      </c>
      <c r="T99" s="19">
        <f>Mitigation_Industry!T$639*INDEX(Data_EF!$G:$G,MATCH($G99,Data_EF!$A:$A,0))/1000000</f>
        <v>0</v>
      </c>
      <c r="U99" s="19">
        <f>Mitigation_Industry!U$639*INDEX(Data_EF!$G:$G,MATCH($G99,Data_EF!$A:$A,0))/1000000</f>
        <v>0</v>
      </c>
      <c r="V99" s="19">
        <f>Mitigation_Industry!V$639*INDEX(Data_EF!$G:$G,MATCH($G99,Data_EF!$A:$A,0))/1000000</f>
        <v>0</v>
      </c>
      <c r="W99" s="19">
        <f>Mitigation_Industry!W$639*INDEX(Data_EF!$G:$G,MATCH($G99,Data_EF!$A:$A,0))/1000000</f>
        <v>0</v>
      </c>
      <c r="X99" s="19">
        <f>Mitigation_Industry!X$639*INDEX(Data_EF!$G:$G,MATCH($G99,Data_EF!$A:$A,0))/1000000</f>
        <v>0</v>
      </c>
      <c r="Y99" s="19">
        <f>Mitigation_Industry!Y$639*INDEX(Data_EF!$G:$G,MATCH($G99,Data_EF!$A:$A,0))/1000000</f>
        <v>0</v>
      </c>
      <c r="Z99" s="19">
        <f>Mitigation_Industry!Z$639*INDEX(Data_EF!$G:$G,MATCH($G99,Data_EF!$A:$A,0))/1000000</f>
        <v>0</v>
      </c>
      <c r="AA99" s="19">
        <f>Mitigation_Industry!AA$639*INDEX(Data_EF!$G:$G,MATCH($G99,Data_EF!$A:$A,0))/1000000</f>
        <v>0</v>
      </c>
      <c r="AB99" s="19">
        <f>Mitigation_Industry!AB$639*INDEX(Data_EF!$G:$G,MATCH($G99,Data_EF!$A:$A,0))/1000000</f>
        <v>0</v>
      </c>
      <c r="AC99" s="19">
        <f>Mitigation_Industry!AC$639*INDEX(Data_EF!$G:$G,MATCH($G99,Data_EF!$A:$A,0))/1000000</f>
        <v>0</v>
      </c>
      <c r="AD99" s="19">
        <f>Mitigation_Industry!AD$639*INDEX(Data_EF!$G:$G,MATCH($G99,Data_EF!$A:$A,0))/1000000</f>
        <v>0</v>
      </c>
      <c r="AE99" s="19">
        <f>Mitigation_Industry!AE$639*INDEX(Data_EF!$G:$G,MATCH($G99,Data_EF!$A:$A,0))/1000000</f>
        <v>0</v>
      </c>
    </row>
    <row r="100" spans="2:31" customFormat="1" ht="14.25" x14ac:dyDescent="0.45">
      <c r="B100" s="14" t="s">
        <v>67</v>
      </c>
      <c r="C100" s="14" t="str">
        <f t="shared" si="14"/>
        <v>mch</v>
      </c>
      <c r="D100" s="15" t="s">
        <v>68</v>
      </c>
      <c r="E100" s="16" t="s">
        <v>1967</v>
      </c>
      <c r="F100" s="14" t="s">
        <v>1968</v>
      </c>
      <c r="G100" s="114" t="str">
        <f>Settings!$B$3&amp;".mit.efc."&amp;$B100</f>
        <v>egy.mit.efc.bio</v>
      </c>
      <c r="H100" s="45" t="str">
        <f>Settings!$B$3&amp;".mit.eco2."&amp;$C$92&amp;"."&amp;$B100&amp;".e."&amp;$J$92</f>
        <v>egy.mit.eco2.mch.bio.e.2</v>
      </c>
      <c r="I100" t="s">
        <v>2040</v>
      </c>
      <c r="L100" s="115">
        <f>Mitigation_Industry!L$640*INDEX(Data_EF!$G:$G,MATCH($G100,Data_EF!$A:$A,0))/1000000</f>
        <v>0</v>
      </c>
      <c r="M100" s="19">
        <f>Mitigation_Industry!M$640*INDEX(Data_EF!$G:$G,MATCH($G100,Data_EF!$A:$A,0))/1000000</f>
        <v>0</v>
      </c>
      <c r="N100" s="19">
        <f>Mitigation_Industry!N$640*INDEX(Data_EF!$G:$G,MATCH($G100,Data_EF!$A:$A,0))/1000000</f>
        <v>0</v>
      </c>
      <c r="O100" s="19">
        <f>Mitigation_Industry!O$640*INDEX(Data_EF!$G:$G,MATCH($G100,Data_EF!$A:$A,0))/1000000</f>
        <v>0</v>
      </c>
      <c r="P100" s="19">
        <f>Mitigation_Industry!P$640*INDEX(Data_EF!$G:$G,MATCH($G100,Data_EF!$A:$A,0))/1000000</f>
        <v>0</v>
      </c>
      <c r="Q100" s="19">
        <f>Mitigation_Industry!Q$640*INDEX(Data_EF!$G:$G,MATCH($G100,Data_EF!$A:$A,0))/1000000</f>
        <v>0</v>
      </c>
      <c r="R100" s="19">
        <f>Mitigation_Industry!R$640*INDEX(Data_EF!$G:$G,MATCH($G100,Data_EF!$A:$A,0))/1000000</f>
        <v>0</v>
      </c>
      <c r="S100" s="19">
        <f>Mitigation_Industry!S$640*INDEX(Data_EF!$G:$G,MATCH($G100,Data_EF!$A:$A,0))/1000000</f>
        <v>0</v>
      </c>
      <c r="T100" s="19">
        <f>Mitigation_Industry!T$640*INDEX(Data_EF!$G:$G,MATCH($G100,Data_EF!$A:$A,0))/1000000</f>
        <v>0</v>
      </c>
      <c r="U100" s="19">
        <f>Mitigation_Industry!U$640*INDEX(Data_EF!$G:$G,MATCH($G100,Data_EF!$A:$A,0))/1000000</f>
        <v>0</v>
      </c>
      <c r="V100" s="19">
        <f>Mitigation_Industry!V$640*INDEX(Data_EF!$G:$G,MATCH($G100,Data_EF!$A:$A,0))/1000000</f>
        <v>0</v>
      </c>
      <c r="W100" s="19">
        <f>Mitigation_Industry!W$640*INDEX(Data_EF!$G:$G,MATCH($G100,Data_EF!$A:$A,0))/1000000</f>
        <v>0</v>
      </c>
      <c r="X100" s="19">
        <f>Mitigation_Industry!X$640*INDEX(Data_EF!$G:$G,MATCH($G100,Data_EF!$A:$A,0))/1000000</f>
        <v>0</v>
      </c>
      <c r="Y100" s="19">
        <f>Mitigation_Industry!Y$640*INDEX(Data_EF!$G:$G,MATCH($G100,Data_EF!$A:$A,0))/1000000</f>
        <v>0</v>
      </c>
      <c r="Z100" s="19">
        <f>Mitigation_Industry!Z$640*INDEX(Data_EF!$G:$G,MATCH($G100,Data_EF!$A:$A,0))/1000000</f>
        <v>0</v>
      </c>
      <c r="AA100" s="19">
        <f>Mitigation_Industry!AA$640*INDEX(Data_EF!$G:$G,MATCH($G100,Data_EF!$A:$A,0))/1000000</f>
        <v>0</v>
      </c>
      <c r="AB100" s="19">
        <f>Mitigation_Industry!AB$640*INDEX(Data_EF!$G:$G,MATCH($G100,Data_EF!$A:$A,0))/1000000</f>
        <v>0</v>
      </c>
      <c r="AC100" s="19">
        <f>Mitigation_Industry!AC$640*INDEX(Data_EF!$G:$G,MATCH($G100,Data_EF!$A:$A,0))/1000000</f>
        <v>0</v>
      </c>
      <c r="AD100" s="19">
        <f>Mitigation_Industry!AD$640*INDEX(Data_EF!$G:$G,MATCH($G100,Data_EF!$A:$A,0))/1000000</f>
        <v>0</v>
      </c>
      <c r="AE100" s="19">
        <f>Mitigation_Industry!AE$640*INDEX(Data_EF!$G:$G,MATCH($G100,Data_EF!$A:$A,0))/1000000</f>
        <v>0</v>
      </c>
    </row>
    <row r="101" spans="2:31" customFormat="1" ht="14.25" x14ac:dyDescent="0.45">
      <c r="B101" s="14" t="s">
        <v>69</v>
      </c>
      <c r="C101" s="14" t="str">
        <f t="shared" si="14"/>
        <v>mch</v>
      </c>
      <c r="D101" s="15" t="s">
        <v>70</v>
      </c>
      <c r="E101" s="16" t="s">
        <v>1967</v>
      </c>
      <c r="F101" s="14" t="s">
        <v>1968</v>
      </c>
      <c r="G101" s="114" t="str">
        <f>Settings!$B$3&amp;".mit.efc."&amp;$B101</f>
        <v>egy.mit.efc.ren</v>
      </c>
      <c r="H101" s="45" t="str">
        <f>Settings!$B$3&amp;".mit.eco2."&amp;$C$92&amp;"."&amp;$B101&amp;".e."&amp;$J$92</f>
        <v>egy.mit.eco2.mch.ren.e.2</v>
      </c>
      <c r="I101" t="s">
        <v>2041</v>
      </c>
      <c r="L101" s="115">
        <f>Mitigation_Industry!L$641*INDEX(Data_EF!$G:$G,MATCH($G101,Data_EF!$A:$A,0))/1000000</f>
        <v>0</v>
      </c>
      <c r="M101" s="19">
        <f>Mitigation_Industry!M$641*INDEX(Data_EF!$G:$G,MATCH($G101,Data_EF!$A:$A,0))/1000000</f>
        <v>0</v>
      </c>
      <c r="N101" s="19">
        <f>Mitigation_Industry!N$641*INDEX(Data_EF!$G:$G,MATCH($G101,Data_EF!$A:$A,0))/1000000</f>
        <v>0</v>
      </c>
      <c r="O101" s="19">
        <f>Mitigation_Industry!O$641*INDEX(Data_EF!$G:$G,MATCH($G101,Data_EF!$A:$A,0))/1000000</f>
        <v>0</v>
      </c>
      <c r="P101" s="19">
        <f>Mitigation_Industry!P$641*INDEX(Data_EF!$G:$G,MATCH($G101,Data_EF!$A:$A,0))/1000000</f>
        <v>0</v>
      </c>
      <c r="Q101" s="19">
        <f>Mitigation_Industry!Q$641*INDEX(Data_EF!$G:$G,MATCH($G101,Data_EF!$A:$A,0))/1000000</f>
        <v>0</v>
      </c>
      <c r="R101" s="19">
        <f>Mitigation_Industry!R$641*INDEX(Data_EF!$G:$G,MATCH($G101,Data_EF!$A:$A,0))/1000000</f>
        <v>0</v>
      </c>
      <c r="S101" s="19">
        <f>Mitigation_Industry!S$641*INDEX(Data_EF!$G:$G,MATCH($G101,Data_EF!$A:$A,0))/1000000</f>
        <v>0</v>
      </c>
      <c r="T101" s="19">
        <f>Mitigation_Industry!T$641*INDEX(Data_EF!$G:$G,MATCH($G101,Data_EF!$A:$A,0))/1000000</f>
        <v>0</v>
      </c>
      <c r="U101" s="19">
        <f>Mitigation_Industry!U$641*INDEX(Data_EF!$G:$G,MATCH($G101,Data_EF!$A:$A,0))/1000000</f>
        <v>0</v>
      </c>
      <c r="V101" s="19">
        <f>Mitigation_Industry!V$641*INDEX(Data_EF!$G:$G,MATCH($G101,Data_EF!$A:$A,0))/1000000</f>
        <v>0</v>
      </c>
      <c r="W101" s="19">
        <f>Mitigation_Industry!W$641*INDEX(Data_EF!$G:$G,MATCH($G101,Data_EF!$A:$A,0))/1000000</f>
        <v>0</v>
      </c>
      <c r="X101" s="19">
        <f>Mitigation_Industry!X$641*INDEX(Data_EF!$G:$G,MATCH($G101,Data_EF!$A:$A,0))/1000000</f>
        <v>0</v>
      </c>
      <c r="Y101" s="19">
        <f>Mitigation_Industry!Y$641*INDEX(Data_EF!$G:$G,MATCH($G101,Data_EF!$A:$A,0))/1000000</f>
        <v>0</v>
      </c>
      <c r="Z101" s="19">
        <f>Mitigation_Industry!Z$641*INDEX(Data_EF!$G:$G,MATCH($G101,Data_EF!$A:$A,0))/1000000</f>
        <v>0</v>
      </c>
      <c r="AA101" s="19">
        <f>Mitigation_Industry!AA$641*INDEX(Data_EF!$G:$G,MATCH($G101,Data_EF!$A:$A,0))/1000000</f>
        <v>0</v>
      </c>
      <c r="AB101" s="19">
        <f>Mitigation_Industry!AB$641*INDEX(Data_EF!$G:$G,MATCH($G101,Data_EF!$A:$A,0))/1000000</f>
        <v>0</v>
      </c>
      <c r="AC101" s="19">
        <f>Mitigation_Industry!AC$641*INDEX(Data_EF!$G:$G,MATCH($G101,Data_EF!$A:$A,0))/1000000</f>
        <v>0</v>
      </c>
      <c r="AD101" s="19">
        <f>Mitigation_Industry!AD$641*INDEX(Data_EF!$G:$G,MATCH($G101,Data_EF!$A:$A,0))/1000000</f>
        <v>0</v>
      </c>
      <c r="AE101" s="19">
        <f>Mitigation_Industry!AE$641*INDEX(Data_EF!$G:$G,MATCH($G101,Data_EF!$A:$A,0))/1000000</f>
        <v>0</v>
      </c>
    </row>
    <row r="102" spans="2:31" customFormat="1" ht="14.25" x14ac:dyDescent="0.45">
      <c r="B102" s="14" t="s">
        <v>110</v>
      </c>
      <c r="C102" s="14" t="str">
        <f t="shared" si="14"/>
        <v>mch</v>
      </c>
      <c r="D102" s="25" t="s">
        <v>111</v>
      </c>
      <c r="E102" s="16" t="s">
        <v>1967</v>
      </c>
      <c r="F102" s="14" t="s">
        <v>1968</v>
      </c>
      <c r="H102" s="45" t="str">
        <f>Settings!$B$3&amp;".mit.eco2."&amp;$C$92&amp;".tot.e."&amp;$J$92</f>
        <v>egy.mit.eco2.mch.tot.e.2</v>
      </c>
      <c r="L102" s="116">
        <f t="shared" ref="L102:AE102" si="15">SUM(L93:L101)</f>
        <v>0</v>
      </c>
      <c r="M102" s="116">
        <f t="shared" si="15"/>
        <v>0</v>
      </c>
      <c r="N102" s="116">
        <f t="shared" si="15"/>
        <v>0</v>
      </c>
      <c r="O102" s="116">
        <f t="shared" si="15"/>
        <v>0</v>
      </c>
      <c r="P102" s="116">
        <f t="shared" si="15"/>
        <v>0</v>
      </c>
      <c r="Q102" s="116">
        <f t="shared" si="15"/>
        <v>0</v>
      </c>
      <c r="R102" s="116">
        <f t="shared" si="15"/>
        <v>0</v>
      </c>
      <c r="S102" s="116">
        <f t="shared" si="15"/>
        <v>0</v>
      </c>
      <c r="T102" s="116">
        <f t="shared" si="15"/>
        <v>0</v>
      </c>
      <c r="U102" s="116">
        <f t="shared" si="15"/>
        <v>0</v>
      </c>
      <c r="V102" s="116">
        <f t="shared" si="15"/>
        <v>0</v>
      </c>
      <c r="W102" s="116">
        <f t="shared" si="15"/>
        <v>0</v>
      </c>
      <c r="X102" s="116">
        <f t="shared" si="15"/>
        <v>0</v>
      </c>
      <c r="Y102" s="116">
        <f t="shared" si="15"/>
        <v>0</v>
      </c>
      <c r="Z102" s="116">
        <f t="shared" si="15"/>
        <v>0</v>
      </c>
      <c r="AA102" s="116">
        <f t="shared" si="15"/>
        <v>0</v>
      </c>
      <c r="AB102" s="116">
        <f t="shared" si="15"/>
        <v>0</v>
      </c>
      <c r="AC102" s="116">
        <f t="shared" si="15"/>
        <v>0</v>
      </c>
      <c r="AD102" s="116">
        <f t="shared" si="15"/>
        <v>0</v>
      </c>
      <c r="AE102" s="116">
        <f t="shared" si="1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375B4-B42A-48A2-8493-91B8B566CEBF}">
  <dimension ref="A1:AI278"/>
  <sheetViews>
    <sheetView topLeftCell="J1" workbookViewId="0">
      <pane xSplit="2" ySplit="4" topLeftCell="L5" activePane="bottomRight" state="frozen"/>
      <selection activeCell="J1" sqref="J1"/>
      <selection pane="topRight" activeCell="L1" sqref="L1"/>
      <selection pane="bottomLeft" activeCell="J5" sqref="J5"/>
      <selection pane="bottomRight" activeCell="L5" sqref="L5"/>
    </sheetView>
  </sheetViews>
  <sheetFormatPr defaultRowHeight="13.5" x14ac:dyDescent="0.35"/>
  <cols>
    <col min="1" max="1" width="3" style="101" customWidth="1"/>
    <col min="2" max="2" width="12.46484375" style="101" customWidth="1"/>
    <col min="3" max="3" width="28" style="101" customWidth="1"/>
    <col min="4" max="4" width="40.59765625" style="101" customWidth="1"/>
    <col min="5" max="5" width="14.73046875" style="101" customWidth="1"/>
    <col min="6" max="6" width="17.73046875" style="101" customWidth="1"/>
    <col min="7" max="7" width="30.265625" style="101" customWidth="1"/>
    <col min="8" max="8" width="28.86328125" style="101" customWidth="1"/>
    <col min="9" max="9" width="55.59765625" style="101" customWidth="1"/>
    <col min="10" max="10" width="30.265625" style="101" customWidth="1"/>
    <col min="11" max="11" width="10.53125" style="101" customWidth="1"/>
    <col min="12" max="35" width="12" style="101" customWidth="1"/>
    <col min="36" max="16384" width="9.06640625" style="101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2075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2076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/>
      <c r="C5" s="7" t="s">
        <v>2077</v>
      </c>
      <c r="D5" s="6" t="s">
        <v>1505</v>
      </c>
      <c r="E5" s="7" t="s">
        <v>35</v>
      </c>
      <c r="F5" s="7" t="s">
        <v>45</v>
      </c>
      <c r="G5" s="7" t="s">
        <v>37</v>
      </c>
      <c r="H5" s="12" t="s">
        <v>38</v>
      </c>
      <c r="I5" s="6" t="s">
        <v>39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4.25" x14ac:dyDescent="0.45">
      <c r="B6" s="14" t="s">
        <v>1799</v>
      </c>
      <c r="C6" s="14"/>
      <c r="D6" s="15" t="s">
        <v>2078</v>
      </c>
      <c r="E6" s="16" t="s">
        <v>79</v>
      </c>
      <c r="F6" s="14" t="s">
        <v>1799</v>
      </c>
      <c r="G6" s="114" t="s">
        <v>1857</v>
      </c>
      <c r="H6" s="17"/>
      <c r="I6" t="s">
        <v>2079</v>
      </c>
      <c r="K6" s="18"/>
      <c r="L6" s="19">
        <f>INDEX(Data_Prices!L:L,MATCH($G6,Data_Prices!$A:$A,0))</f>
        <v>0</v>
      </c>
      <c r="M6" s="19">
        <f>INDEX(Data_Prices!M:M,MATCH($G6,Data_Prices!$A:$A,0))</f>
        <v>0</v>
      </c>
      <c r="N6" s="19">
        <f>INDEX(Data_Prices!N:N,MATCH($G6,Data_Prices!$A:$A,0))</f>
        <v>0</v>
      </c>
      <c r="O6" s="19">
        <f>INDEX(Data_Prices!O:O,MATCH($G6,Data_Prices!$A:$A,0))</f>
        <v>0</v>
      </c>
      <c r="P6" s="19">
        <f>INDEX(Data_Prices!P:P,MATCH($G6,Data_Prices!$A:$A,0))</f>
        <v>0</v>
      </c>
      <c r="Q6" s="19">
        <f>INDEX(Data_Prices!Q:Q,MATCH($G6,Data_Prices!$A:$A,0))</f>
        <v>0</v>
      </c>
      <c r="R6" s="19">
        <f>INDEX(Data_Prices!R:R,MATCH($G6,Data_Prices!$A:$A,0))</f>
        <v>0</v>
      </c>
      <c r="S6" s="19">
        <f>INDEX(Data_Prices!S:S,MATCH($G6,Data_Prices!$A:$A,0))</f>
        <v>0</v>
      </c>
      <c r="T6" s="19">
        <f>INDEX(Data_Prices!T:T,MATCH($G6,Data_Prices!$A:$A,0))</f>
        <v>0</v>
      </c>
      <c r="U6" s="19">
        <f>INDEX(Data_Prices!U:U,MATCH($G6,Data_Prices!$A:$A,0))</f>
        <v>0</v>
      </c>
      <c r="V6" s="19">
        <f>INDEX(Data_Prices!V:V,MATCH($G6,Data_Prices!$A:$A,0))</f>
        <v>0</v>
      </c>
      <c r="W6" s="19">
        <f>INDEX(Data_Prices!W:W,MATCH($G6,Data_Prices!$A:$A,0))</f>
        <v>0</v>
      </c>
      <c r="X6" s="19">
        <f>INDEX(Data_Prices!X:X,MATCH($G6,Data_Prices!$A:$A,0))</f>
        <v>0</v>
      </c>
      <c r="Y6" s="19">
        <f>INDEX(Data_Prices!Y:Y,MATCH($G6,Data_Prices!$A:$A,0))</f>
        <v>0</v>
      </c>
      <c r="Z6" s="19">
        <f>INDEX(Data_Prices!Z:Z,MATCH($G6,Data_Prices!$A:$A,0))</f>
        <v>0</v>
      </c>
      <c r="AA6" s="19">
        <f>INDEX(Data_Prices!AA:AA,MATCH($G6,Data_Prices!$A:$A,0))</f>
        <v>0</v>
      </c>
      <c r="AB6" s="19">
        <f>INDEX(Data_Prices!AB:AB,MATCH($G6,Data_Prices!$A:$A,0))</f>
        <v>0</v>
      </c>
      <c r="AC6" s="19">
        <f>INDEX(Data_Prices!AC:AC,MATCH($G6,Data_Prices!$A:$A,0))</f>
        <v>0</v>
      </c>
      <c r="AD6" s="19">
        <f>INDEX(Data_Prices!AD:AD,MATCH($G6,Data_Prices!$A:$A,0))</f>
        <v>0</v>
      </c>
      <c r="AE6" s="19">
        <f>INDEX(Data_Prices!AE:AE,MATCH($G6,Data_Prices!$A:$A,0))</f>
        <v>0</v>
      </c>
    </row>
    <row r="7" spans="1:35" customFormat="1" ht="14.25" x14ac:dyDescent="0.45">
      <c r="B7" s="14" t="s">
        <v>1803</v>
      </c>
      <c r="C7" s="14"/>
      <c r="D7" s="15" t="s">
        <v>2080</v>
      </c>
      <c r="E7" s="16" t="s">
        <v>1415</v>
      </c>
      <c r="F7" s="14" t="s">
        <v>1803</v>
      </c>
      <c r="G7" s="114" t="s">
        <v>1858</v>
      </c>
      <c r="H7" s="17"/>
      <c r="I7" t="s">
        <v>2081</v>
      </c>
      <c r="K7" s="18"/>
      <c r="L7" s="19">
        <f>INDEX(Data_Prices!L:L,MATCH($G7,Data_Prices!$A:$A,0))</f>
        <v>0</v>
      </c>
      <c r="M7" s="19">
        <f>INDEX(Data_Prices!M:M,MATCH($G7,Data_Prices!$A:$A,0))</f>
        <v>0</v>
      </c>
      <c r="N7" s="19">
        <f>INDEX(Data_Prices!N:N,MATCH($G7,Data_Prices!$A:$A,0))</f>
        <v>0</v>
      </c>
      <c r="O7" s="19">
        <f>INDEX(Data_Prices!O:O,MATCH($G7,Data_Prices!$A:$A,0))</f>
        <v>0</v>
      </c>
      <c r="P7" s="19">
        <f>INDEX(Data_Prices!P:P,MATCH($G7,Data_Prices!$A:$A,0))</f>
        <v>0</v>
      </c>
      <c r="Q7" s="19">
        <f>INDEX(Data_Prices!Q:Q,MATCH($G7,Data_Prices!$A:$A,0))</f>
        <v>0</v>
      </c>
      <c r="R7" s="19">
        <f>INDEX(Data_Prices!R:R,MATCH($G7,Data_Prices!$A:$A,0))</f>
        <v>0</v>
      </c>
      <c r="S7" s="19">
        <f>INDEX(Data_Prices!S:S,MATCH($G7,Data_Prices!$A:$A,0))</f>
        <v>0</v>
      </c>
      <c r="T7" s="19">
        <f>INDEX(Data_Prices!T:T,MATCH($G7,Data_Prices!$A:$A,0))</f>
        <v>0</v>
      </c>
      <c r="U7" s="19">
        <f>INDEX(Data_Prices!U:U,MATCH($G7,Data_Prices!$A:$A,0))</f>
        <v>0</v>
      </c>
      <c r="V7" s="19">
        <f>INDEX(Data_Prices!V:V,MATCH($G7,Data_Prices!$A:$A,0))</f>
        <v>0</v>
      </c>
      <c r="W7" s="19">
        <f>INDEX(Data_Prices!W:W,MATCH($G7,Data_Prices!$A:$A,0))</f>
        <v>0</v>
      </c>
      <c r="X7" s="19">
        <f>INDEX(Data_Prices!X:X,MATCH($G7,Data_Prices!$A:$A,0))</f>
        <v>0</v>
      </c>
      <c r="Y7" s="19">
        <f>INDEX(Data_Prices!Y:Y,MATCH($G7,Data_Prices!$A:$A,0))</f>
        <v>0</v>
      </c>
      <c r="Z7" s="19">
        <f>INDEX(Data_Prices!Z:Z,MATCH($G7,Data_Prices!$A:$A,0))</f>
        <v>0</v>
      </c>
      <c r="AA7" s="19">
        <f>INDEX(Data_Prices!AA:AA,MATCH($G7,Data_Prices!$A:$A,0))</f>
        <v>0</v>
      </c>
      <c r="AB7" s="19">
        <f>INDEX(Data_Prices!AB:AB,MATCH($G7,Data_Prices!$A:$A,0))</f>
        <v>0</v>
      </c>
      <c r="AC7" s="19">
        <f>INDEX(Data_Prices!AC:AC,MATCH($G7,Data_Prices!$A:$A,0))</f>
        <v>0</v>
      </c>
      <c r="AD7" s="19">
        <f>INDEX(Data_Prices!AD:AD,MATCH($G7,Data_Prices!$A:$A,0))</f>
        <v>0</v>
      </c>
      <c r="AE7" s="19">
        <f>INDEX(Data_Prices!AE:AE,MATCH($G7,Data_Prices!$A:$A,0))</f>
        <v>0</v>
      </c>
    </row>
    <row r="9" spans="1:35" customFormat="1" ht="14.25" x14ac:dyDescent="0.45">
      <c r="A9" s="11"/>
      <c r="B9" s="6"/>
      <c r="C9" s="7" t="s">
        <v>2082</v>
      </c>
      <c r="D9" s="6" t="s">
        <v>1505</v>
      </c>
      <c r="E9" s="7" t="s">
        <v>35</v>
      </c>
      <c r="F9" s="7" t="s">
        <v>45</v>
      </c>
      <c r="G9" s="7" t="s">
        <v>37</v>
      </c>
      <c r="H9" s="12" t="s">
        <v>38</v>
      </c>
      <c r="I9" s="6" t="s">
        <v>39</v>
      </c>
      <c r="J9" s="48">
        <v>1</v>
      </c>
      <c r="K9" s="6">
        <v>2021</v>
      </c>
      <c r="L9" s="46">
        <v>2022</v>
      </c>
      <c r="M9" s="6">
        <v>2023</v>
      </c>
      <c r="N9" s="6">
        <v>2024</v>
      </c>
      <c r="O9" s="6">
        <v>2025</v>
      </c>
      <c r="P9" s="6">
        <v>2026</v>
      </c>
      <c r="Q9" s="6">
        <v>2027</v>
      </c>
      <c r="R9" s="6">
        <v>2028</v>
      </c>
      <c r="S9" s="6">
        <v>2029</v>
      </c>
      <c r="T9" s="6">
        <v>2030</v>
      </c>
      <c r="U9" s="6">
        <v>2031</v>
      </c>
      <c r="V9" s="6">
        <v>2032</v>
      </c>
      <c r="W9" s="6">
        <v>2033</v>
      </c>
      <c r="X9" s="6">
        <v>2034</v>
      </c>
      <c r="Y9" s="6">
        <v>2035</v>
      </c>
      <c r="Z9" s="6">
        <v>2036</v>
      </c>
      <c r="AA9" s="6">
        <v>2037</v>
      </c>
      <c r="AB9" s="6">
        <v>2038</v>
      </c>
      <c r="AC9" s="6">
        <v>2039</v>
      </c>
      <c r="AD9" s="6">
        <v>2040</v>
      </c>
      <c r="AE9" s="6">
        <v>2041</v>
      </c>
      <c r="AF9" s="6">
        <v>2042</v>
      </c>
      <c r="AG9" s="6">
        <v>2043</v>
      </c>
      <c r="AH9" s="6">
        <v>2044</v>
      </c>
      <c r="AI9" s="6">
        <v>2045</v>
      </c>
    </row>
    <row r="10" spans="1:35" customFormat="1" ht="14.25" x14ac:dyDescent="0.45">
      <c r="B10" s="14" t="s">
        <v>1452</v>
      </c>
      <c r="C10" s="14" t="s">
        <v>43</v>
      </c>
      <c r="D10" s="15" t="s">
        <v>2083</v>
      </c>
      <c r="E10" s="16" t="s">
        <v>2084</v>
      </c>
      <c r="F10" s="14" t="s">
        <v>2082</v>
      </c>
      <c r="G10" s="17"/>
      <c r="H10" s="114" t="str">
        <f>Settings!$B$3&amp;".mit.obrbm.stl.drg.1"</f>
        <v>egy.mit.obrbm.stl.drg.1</v>
      </c>
      <c r="I10" t="s">
        <v>2085</v>
      </c>
      <c r="K10" s="18"/>
      <c r="L10" s="19">
        <f>Mitigation_Industry!$Z$264</f>
        <v>0.48099999999999998</v>
      </c>
      <c r="M10" s="19">
        <f>Mitigation_Industry!$Z$264</f>
        <v>0.48099999999999998</v>
      </c>
      <c r="N10" s="19">
        <f>Mitigation_Industry!$Z$264</f>
        <v>0.48099999999999998</v>
      </c>
      <c r="O10" s="19">
        <f>Mitigation_Industry!$Z$264</f>
        <v>0.48099999999999998</v>
      </c>
      <c r="P10" s="19">
        <f>Mitigation_Industry!$Z$264</f>
        <v>0.48099999999999998</v>
      </c>
      <c r="Q10" s="19">
        <f>Mitigation_Industry!$Z$264</f>
        <v>0.48099999999999998</v>
      </c>
      <c r="R10" s="19">
        <f>Mitigation_Industry!$Z$264</f>
        <v>0.48099999999999998</v>
      </c>
      <c r="S10" s="19">
        <f>Mitigation_Industry!$Z$264</f>
        <v>0.48099999999999998</v>
      </c>
      <c r="T10" s="19">
        <f>Mitigation_Industry!$Z$264</f>
        <v>0.48099999999999998</v>
      </c>
      <c r="U10" s="19">
        <f>Mitigation_Industry!$Z$264</f>
        <v>0.48099999999999998</v>
      </c>
      <c r="V10" s="19">
        <f>Mitigation_Industry!$Z$264</f>
        <v>0.48099999999999998</v>
      </c>
      <c r="W10" s="19">
        <f>Mitigation_Industry!$Z$264</f>
        <v>0.48099999999999998</v>
      </c>
      <c r="X10" s="19">
        <f>Mitigation_Industry!$Z$264</f>
        <v>0.48099999999999998</v>
      </c>
      <c r="Y10" s="19">
        <f>Mitigation_Industry!$Z$264</f>
        <v>0.48099999999999998</v>
      </c>
      <c r="Z10" s="19">
        <f>Mitigation_Industry!$Z$264</f>
        <v>0.48099999999999998</v>
      </c>
      <c r="AA10" s="19">
        <f>Mitigation_Industry!$Z$264</f>
        <v>0.48099999999999998</v>
      </c>
      <c r="AB10" s="19">
        <f>Mitigation_Industry!$Z$264</f>
        <v>0.48099999999999998</v>
      </c>
      <c r="AC10" s="19">
        <f>Mitigation_Industry!$Z$264</f>
        <v>0.48099999999999998</v>
      </c>
      <c r="AD10" s="19">
        <f>Mitigation_Industry!$Z$264</f>
        <v>0.48099999999999998</v>
      </c>
      <c r="AE10" s="19">
        <f>Mitigation_Industry!$Z$264</f>
        <v>0.48099999999999998</v>
      </c>
    </row>
    <row r="11" spans="1:35" customFormat="1" ht="14.25" x14ac:dyDescent="0.45">
      <c r="B11" s="14" t="s">
        <v>1455</v>
      </c>
      <c r="C11" s="14" t="s">
        <v>43</v>
      </c>
      <c r="D11" s="15" t="s">
        <v>2086</v>
      </c>
      <c r="E11" s="16" t="s">
        <v>2084</v>
      </c>
      <c r="F11" s="14" t="s">
        <v>2082</v>
      </c>
      <c r="G11" s="17"/>
      <c r="H11" s="114" t="str">
        <f>Settings!$B$3&amp;".mit.obrbm.stl.scr.1"</f>
        <v>egy.mit.obrbm.stl.scr.1</v>
      </c>
      <c r="K11" s="18"/>
      <c r="L11" s="19">
        <f>Mitigation_Industry!$Z$265</f>
        <v>7.1999999999999995E-2</v>
      </c>
      <c r="M11" s="19">
        <f>Mitigation_Industry!$Z$265</f>
        <v>7.1999999999999995E-2</v>
      </c>
      <c r="N11" s="19">
        <f>Mitigation_Industry!$Z$265</f>
        <v>7.1999999999999995E-2</v>
      </c>
      <c r="O11" s="19">
        <f>Mitigation_Industry!$Z$265</f>
        <v>7.1999999999999995E-2</v>
      </c>
      <c r="P11" s="19">
        <f>Mitigation_Industry!$Z$265</f>
        <v>7.1999999999999995E-2</v>
      </c>
      <c r="Q11" s="19">
        <f>Mitigation_Industry!$Z$265</f>
        <v>7.1999999999999995E-2</v>
      </c>
      <c r="R11" s="19">
        <f>Mitigation_Industry!$Z$265</f>
        <v>7.1999999999999995E-2</v>
      </c>
      <c r="S11" s="19">
        <f>Mitigation_Industry!$Z$265</f>
        <v>7.1999999999999995E-2</v>
      </c>
      <c r="T11" s="19">
        <f>Mitigation_Industry!$Z$265</f>
        <v>7.1999999999999995E-2</v>
      </c>
      <c r="U11" s="19">
        <f>Mitigation_Industry!$Z$265</f>
        <v>7.1999999999999995E-2</v>
      </c>
      <c r="V11" s="19">
        <f>Mitigation_Industry!$Z$265</f>
        <v>7.1999999999999995E-2</v>
      </c>
      <c r="W11" s="19">
        <f>Mitigation_Industry!$Z$265</f>
        <v>7.1999999999999995E-2</v>
      </c>
      <c r="X11" s="19">
        <f>Mitigation_Industry!$Z$265</f>
        <v>7.1999999999999995E-2</v>
      </c>
      <c r="Y11" s="19">
        <f>Mitigation_Industry!$Z$265</f>
        <v>7.1999999999999995E-2</v>
      </c>
      <c r="Z11" s="19">
        <f>Mitigation_Industry!$Z$265</f>
        <v>7.1999999999999995E-2</v>
      </c>
      <c r="AA11" s="19">
        <f>Mitigation_Industry!$Z$265</f>
        <v>7.1999999999999995E-2</v>
      </c>
      <c r="AB11" s="19">
        <f>Mitigation_Industry!$Z$265</f>
        <v>7.1999999999999995E-2</v>
      </c>
      <c r="AC11" s="19">
        <f>Mitigation_Industry!$Z$265</f>
        <v>7.1999999999999995E-2</v>
      </c>
      <c r="AD11" s="19">
        <f>Mitigation_Industry!$Z$265</f>
        <v>7.1999999999999995E-2</v>
      </c>
      <c r="AE11" s="19">
        <f>Mitigation_Industry!$Z$265</f>
        <v>7.1999999999999995E-2</v>
      </c>
    </row>
    <row r="12" spans="1:35" customFormat="1" ht="14.25" x14ac:dyDescent="0.45">
      <c r="B12" s="14" t="s">
        <v>1458</v>
      </c>
      <c r="C12" s="14" t="s">
        <v>43</v>
      </c>
      <c r="D12" s="15" t="s">
        <v>2087</v>
      </c>
      <c r="E12" s="16" t="s">
        <v>2084</v>
      </c>
      <c r="F12" s="14" t="s">
        <v>2082</v>
      </c>
      <c r="G12" s="17"/>
      <c r="H12" s="114" t="str">
        <f>Settings!$B$3&amp;".mit.obrbm.stl.bof.1"</f>
        <v>egy.mit.obrbm.stl.bof.1</v>
      </c>
      <c r="K12" s="18"/>
      <c r="L12" s="19">
        <f>Mitigation_Industry!$Z$266</f>
        <v>1.37</v>
      </c>
      <c r="M12" s="19">
        <f>Mitigation_Industry!$Z$266</f>
        <v>1.37</v>
      </c>
      <c r="N12" s="19">
        <f>Mitigation_Industry!$Z$266</f>
        <v>1.37</v>
      </c>
      <c r="O12" s="19">
        <f>Mitigation_Industry!$Z$266</f>
        <v>1.37</v>
      </c>
      <c r="P12" s="19">
        <f>Mitigation_Industry!$Z$266</f>
        <v>1.37</v>
      </c>
      <c r="Q12" s="19">
        <f>Mitigation_Industry!$Z$266</f>
        <v>1.37</v>
      </c>
      <c r="R12" s="19">
        <f>Mitigation_Industry!$Z$266</f>
        <v>1.37</v>
      </c>
      <c r="S12" s="19">
        <f>Mitigation_Industry!$Z$266</f>
        <v>1.37</v>
      </c>
      <c r="T12" s="19">
        <f>Mitigation_Industry!$Z$266</f>
        <v>1.37</v>
      </c>
      <c r="U12" s="19">
        <f>Mitigation_Industry!$Z$266</f>
        <v>1.37</v>
      </c>
      <c r="V12" s="19">
        <f>Mitigation_Industry!$Z$266</f>
        <v>1.37</v>
      </c>
      <c r="W12" s="19">
        <f>Mitigation_Industry!$Z$266</f>
        <v>1.37</v>
      </c>
      <c r="X12" s="19">
        <f>Mitigation_Industry!$Z$266</f>
        <v>1.37</v>
      </c>
      <c r="Y12" s="19">
        <f>Mitigation_Industry!$Z$266</f>
        <v>1.37</v>
      </c>
      <c r="Z12" s="19">
        <f>Mitigation_Industry!$Z$266</f>
        <v>1.37</v>
      </c>
      <c r="AA12" s="19">
        <f>Mitigation_Industry!$Z$266</f>
        <v>1.37</v>
      </c>
      <c r="AB12" s="19">
        <f>Mitigation_Industry!$Z$266</f>
        <v>1.37</v>
      </c>
      <c r="AC12" s="19">
        <f>Mitigation_Industry!$Z$266</f>
        <v>1.37</v>
      </c>
      <c r="AD12" s="19">
        <f>Mitigation_Industry!$Z$266</f>
        <v>1.37</v>
      </c>
      <c r="AE12" s="19">
        <f>Mitigation_Industry!$Z$266</f>
        <v>1.37</v>
      </c>
    </row>
    <row r="13" spans="1:35" customFormat="1" ht="14.25" x14ac:dyDescent="0.45">
      <c r="B13" s="14" t="s">
        <v>1461</v>
      </c>
      <c r="C13" s="14" t="s">
        <v>113</v>
      </c>
      <c r="D13" s="15" t="s">
        <v>2088</v>
      </c>
      <c r="E13" s="16" t="s">
        <v>2084</v>
      </c>
      <c r="F13" s="14" t="s">
        <v>2082</v>
      </c>
      <c r="G13" s="17"/>
      <c r="H13" s="114" t="str">
        <f>Settings!$B$3&amp;".mit.obrbm.cmt.dry.1"</f>
        <v>egy.mit.obrbm.cmt.dry.1</v>
      </c>
      <c r="K13" s="18"/>
      <c r="L13" s="19">
        <f>Mitigation_Industry!$Z$267</f>
        <v>0.66600000000000004</v>
      </c>
      <c r="M13" s="19">
        <f>Mitigation_Industry!$Z$267</f>
        <v>0.66600000000000004</v>
      </c>
      <c r="N13" s="19">
        <f>Mitigation_Industry!$Z$267</f>
        <v>0.66600000000000004</v>
      </c>
      <c r="O13" s="19">
        <f>Mitigation_Industry!$Z$267</f>
        <v>0.66600000000000004</v>
      </c>
      <c r="P13" s="19">
        <f>Mitigation_Industry!$Z$267</f>
        <v>0.66600000000000004</v>
      </c>
      <c r="Q13" s="19">
        <f>Mitigation_Industry!$Z$267</f>
        <v>0.66600000000000004</v>
      </c>
      <c r="R13" s="19">
        <f>Mitigation_Industry!$Z$267</f>
        <v>0.66600000000000004</v>
      </c>
      <c r="S13" s="19">
        <f>Mitigation_Industry!$Z$267</f>
        <v>0.66600000000000004</v>
      </c>
      <c r="T13" s="19">
        <f>Mitigation_Industry!$Z$267</f>
        <v>0.66600000000000004</v>
      </c>
      <c r="U13" s="19">
        <f>Mitigation_Industry!$Z$267</f>
        <v>0.66600000000000004</v>
      </c>
      <c r="V13" s="19">
        <f>Mitigation_Industry!$Z$267</f>
        <v>0.66600000000000004</v>
      </c>
      <c r="W13" s="19">
        <f>Mitigation_Industry!$Z$267</f>
        <v>0.66600000000000004</v>
      </c>
      <c r="X13" s="19">
        <f>Mitigation_Industry!$Z$267</f>
        <v>0.66600000000000004</v>
      </c>
      <c r="Y13" s="19">
        <f>Mitigation_Industry!$Z$267</f>
        <v>0.66600000000000004</v>
      </c>
      <c r="Z13" s="19">
        <f>Mitigation_Industry!$Z$267</f>
        <v>0.66600000000000004</v>
      </c>
      <c r="AA13" s="19">
        <f>Mitigation_Industry!$Z$267</f>
        <v>0.66600000000000004</v>
      </c>
      <c r="AB13" s="19">
        <f>Mitigation_Industry!$Z$267</f>
        <v>0.66600000000000004</v>
      </c>
      <c r="AC13" s="19">
        <f>Mitigation_Industry!$Z$267</f>
        <v>0.66600000000000004</v>
      </c>
      <c r="AD13" s="19">
        <f>Mitigation_Industry!$Z$267</f>
        <v>0.66600000000000004</v>
      </c>
      <c r="AE13" s="19">
        <f>Mitigation_Industry!$Z$267</f>
        <v>0.66600000000000004</v>
      </c>
    </row>
    <row r="14" spans="1:35" customFormat="1" ht="14.25" x14ac:dyDescent="0.45">
      <c r="B14" s="14" t="s">
        <v>1464</v>
      </c>
      <c r="C14" s="14" t="s">
        <v>117</v>
      </c>
      <c r="D14" s="15" t="s">
        <v>2089</v>
      </c>
      <c r="E14" s="16" t="s">
        <v>2084</v>
      </c>
      <c r="F14" s="14" t="s">
        <v>2082</v>
      </c>
      <c r="G14" s="17"/>
      <c r="H14" s="114" t="str">
        <f>Settings!$B$3&amp;".mit.obrbm.frt.amc.1"</f>
        <v>egy.mit.obrbm.frt.amc.1</v>
      </c>
      <c r="K14" s="18"/>
      <c r="L14" s="19">
        <f>Mitigation_Industry!$Z$268</f>
        <v>1.484</v>
      </c>
      <c r="M14" s="19">
        <f>Mitigation_Industry!$Z$268</f>
        <v>1.484</v>
      </c>
      <c r="N14" s="19">
        <f>Mitigation_Industry!$Z$268</f>
        <v>1.484</v>
      </c>
      <c r="O14" s="19">
        <f>Mitigation_Industry!$Z$268</f>
        <v>1.484</v>
      </c>
      <c r="P14" s="19">
        <f>Mitigation_Industry!$Z$268</f>
        <v>1.484</v>
      </c>
      <c r="Q14" s="19">
        <f>Mitigation_Industry!$Z$268</f>
        <v>1.484</v>
      </c>
      <c r="R14" s="19">
        <f>Mitigation_Industry!$Z$268</f>
        <v>1.484</v>
      </c>
      <c r="S14" s="19">
        <f>Mitigation_Industry!$Z$268</f>
        <v>1.484</v>
      </c>
      <c r="T14" s="19">
        <f>Mitigation_Industry!$Z$268</f>
        <v>1.484</v>
      </c>
      <c r="U14" s="19">
        <f>Mitigation_Industry!$Z$268</f>
        <v>1.484</v>
      </c>
      <c r="V14" s="19">
        <f>Mitigation_Industry!$Z$268</f>
        <v>1.484</v>
      </c>
      <c r="W14" s="19">
        <f>Mitigation_Industry!$Z$268</f>
        <v>1.484</v>
      </c>
      <c r="X14" s="19">
        <f>Mitigation_Industry!$Z$268</f>
        <v>1.484</v>
      </c>
      <c r="Y14" s="19">
        <f>Mitigation_Industry!$Z$268</f>
        <v>1.484</v>
      </c>
      <c r="Z14" s="19">
        <f>Mitigation_Industry!$Z$268</f>
        <v>1.484</v>
      </c>
      <c r="AA14" s="19">
        <f>Mitigation_Industry!$Z$268</f>
        <v>1.484</v>
      </c>
      <c r="AB14" s="19">
        <f>Mitigation_Industry!$Z$268</f>
        <v>1.484</v>
      </c>
      <c r="AC14" s="19">
        <f>Mitigation_Industry!$Z$268</f>
        <v>1.484</v>
      </c>
      <c r="AD14" s="19">
        <f>Mitigation_Industry!$Z$268</f>
        <v>1.484</v>
      </c>
      <c r="AE14" s="19">
        <f>Mitigation_Industry!$Z$268</f>
        <v>1.484</v>
      </c>
    </row>
    <row r="15" spans="1:35" customFormat="1" ht="14.25" x14ac:dyDescent="0.45">
      <c r="B15" s="14" t="s">
        <v>1467</v>
      </c>
      <c r="C15" s="14" t="s">
        <v>117</v>
      </c>
      <c r="D15" s="15" t="s">
        <v>2090</v>
      </c>
      <c r="E15" s="16" t="s">
        <v>2084</v>
      </c>
      <c r="F15" s="14" t="s">
        <v>2082</v>
      </c>
      <c r="G15" s="17"/>
      <c r="H15" s="114" t="str">
        <f>Settings!$B$3&amp;".mit.obrbm.frt.ure.1"</f>
        <v>egy.mit.obrbm.frt.ure.1</v>
      </c>
      <c r="K15" s="18"/>
      <c r="L15" s="19">
        <f>Mitigation_Industry!$Z$269</f>
        <v>0.90200000000000002</v>
      </c>
      <c r="M15" s="19">
        <f>Mitigation_Industry!$Z$269</f>
        <v>0.90200000000000002</v>
      </c>
      <c r="N15" s="19">
        <f>Mitigation_Industry!$Z$269</f>
        <v>0.90200000000000002</v>
      </c>
      <c r="O15" s="19">
        <f>Mitigation_Industry!$Z$269</f>
        <v>0.90200000000000002</v>
      </c>
      <c r="P15" s="19">
        <f>Mitigation_Industry!$Z$269</f>
        <v>0.90200000000000002</v>
      </c>
      <c r="Q15" s="19">
        <f>Mitigation_Industry!$Z$269</f>
        <v>0.90200000000000002</v>
      </c>
      <c r="R15" s="19">
        <f>Mitigation_Industry!$Z$269</f>
        <v>0.90200000000000002</v>
      </c>
      <c r="S15" s="19">
        <f>Mitigation_Industry!$Z$269</f>
        <v>0.90200000000000002</v>
      </c>
      <c r="T15" s="19">
        <f>Mitigation_Industry!$Z$269</f>
        <v>0.90200000000000002</v>
      </c>
      <c r="U15" s="19">
        <f>Mitigation_Industry!$Z$269</f>
        <v>0.90200000000000002</v>
      </c>
      <c r="V15" s="19">
        <f>Mitigation_Industry!$Z$269</f>
        <v>0.90200000000000002</v>
      </c>
      <c r="W15" s="19">
        <f>Mitigation_Industry!$Z$269</f>
        <v>0.90200000000000002</v>
      </c>
      <c r="X15" s="19">
        <f>Mitigation_Industry!$Z$269</f>
        <v>0.90200000000000002</v>
      </c>
      <c r="Y15" s="19">
        <f>Mitigation_Industry!$Z$269</f>
        <v>0.90200000000000002</v>
      </c>
      <c r="Z15" s="19">
        <f>Mitigation_Industry!$Z$269</f>
        <v>0.90200000000000002</v>
      </c>
      <c r="AA15" s="19">
        <f>Mitigation_Industry!$Z$269</f>
        <v>0.90200000000000002</v>
      </c>
      <c r="AB15" s="19">
        <f>Mitigation_Industry!$Z$269</f>
        <v>0.90200000000000002</v>
      </c>
      <c r="AC15" s="19">
        <f>Mitigation_Industry!$Z$269</f>
        <v>0.90200000000000002</v>
      </c>
      <c r="AD15" s="19">
        <f>Mitigation_Industry!$Z$269</f>
        <v>0.90200000000000002</v>
      </c>
      <c r="AE15" s="19">
        <f>Mitigation_Industry!$Z$269</f>
        <v>0.90200000000000002</v>
      </c>
    </row>
    <row r="16" spans="1:35" customFormat="1" ht="14.25" x14ac:dyDescent="0.45">
      <c r="B16" s="14" t="s">
        <v>1470</v>
      </c>
      <c r="C16" s="14" t="s">
        <v>117</v>
      </c>
      <c r="D16" s="15" t="s">
        <v>2091</v>
      </c>
      <c r="E16" s="16" t="s">
        <v>2084</v>
      </c>
      <c r="F16" s="14" t="s">
        <v>2082</v>
      </c>
      <c r="G16" s="17"/>
      <c r="H16" s="114" t="str">
        <f>Settings!$B$3&amp;".mit.obrbm.frt.nit.1"</f>
        <v>egy.mit.obrbm.frt.nit.1</v>
      </c>
      <c r="K16" s="18"/>
      <c r="L16" s="19">
        <f>Mitigation_Industry!$Z$270</f>
        <v>0.30199999999999999</v>
      </c>
      <c r="M16" s="19">
        <f>Mitigation_Industry!$Z$270</f>
        <v>0.30199999999999999</v>
      </c>
      <c r="N16" s="19">
        <f>Mitigation_Industry!$Z$270</f>
        <v>0.30199999999999999</v>
      </c>
      <c r="O16" s="19">
        <f>Mitigation_Industry!$Z$270</f>
        <v>0.30199999999999999</v>
      </c>
      <c r="P16" s="19">
        <f>Mitigation_Industry!$Z$270</f>
        <v>0.30199999999999999</v>
      </c>
      <c r="Q16" s="19">
        <f>Mitigation_Industry!$Z$270</f>
        <v>0.30199999999999999</v>
      </c>
      <c r="R16" s="19">
        <f>Mitigation_Industry!$Z$270</f>
        <v>0.30199999999999999</v>
      </c>
      <c r="S16" s="19">
        <f>Mitigation_Industry!$Z$270</f>
        <v>0.30199999999999999</v>
      </c>
      <c r="T16" s="19">
        <f>Mitigation_Industry!$Z$270</f>
        <v>0.30199999999999999</v>
      </c>
      <c r="U16" s="19">
        <f>Mitigation_Industry!$Z$270</f>
        <v>0.30199999999999999</v>
      </c>
      <c r="V16" s="19">
        <f>Mitigation_Industry!$Z$270</f>
        <v>0.30199999999999999</v>
      </c>
      <c r="W16" s="19">
        <f>Mitigation_Industry!$Z$270</f>
        <v>0.30199999999999999</v>
      </c>
      <c r="X16" s="19">
        <f>Mitigation_Industry!$Z$270</f>
        <v>0.30199999999999999</v>
      </c>
      <c r="Y16" s="19">
        <f>Mitigation_Industry!$Z$270</f>
        <v>0.30199999999999999</v>
      </c>
      <c r="Z16" s="19">
        <f>Mitigation_Industry!$Z$270</f>
        <v>0.30199999999999999</v>
      </c>
      <c r="AA16" s="19">
        <f>Mitigation_Industry!$Z$270</f>
        <v>0.30199999999999999</v>
      </c>
      <c r="AB16" s="19">
        <f>Mitigation_Industry!$Z$270</f>
        <v>0.30199999999999999</v>
      </c>
      <c r="AC16" s="19">
        <f>Mitigation_Industry!$Z$270</f>
        <v>0.30199999999999999</v>
      </c>
      <c r="AD16" s="19">
        <f>Mitigation_Industry!$Z$270</f>
        <v>0.30199999999999999</v>
      </c>
      <c r="AE16" s="19">
        <f>Mitigation_Industry!$Z$270</f>
        <v>0.30199999999999999</v>
      </c>
    </row>
    <row r="17" spans="1:35" customFormat="1" ht="14.25" x14ac:dyDescent="0.45">
      <c r="B17" s="14" t="s">
        <v>1473</v>
      </c>
      <c r="C17" s="14" t="s">
        <v>115</v>
      </c>
      <c r="D17" s="15" t="s">
        <v>2092</v>
      </c>
      <c r="E17" s="16" t="s">
        <v>2084</v>
      </c>
      <c r="F17" s="14" t="s">
        <v>2082</v>
      </c>
      <c r="G17" s="17"/>
      <c r="H17" s="114" t="str">
        <f>Settings!$B$3&amp;".mit.obrbm.alu.prp.1"</f>
        <v>egy.mit.obrbm.alu.prp.1</v>
      </c>
      <c r="K17" s="18"/>
      <c r="L17" s="19">
        <f>Mitigation_Industry!$Z$271</f>
        <v>1.423</v>
      </c>
      <c r="M17" s="19">
        <f>Mitigation_Industry!$Z$271</f>
        <v>1.423</v>
      </c>
      <c r="N17" s="19">
        <f>Mitigation_Industry!$Z$271</f>
        <v>1.423</v>
      </c>
      <c r="O17" s="19">
        <f>Mitigation_Industry!$Z$271</f>
        <v>1.423</v>
      </c>
      <c r="P17" s="19">
        <f>Mitigation_Industry!$Z$271</f>
        <v>1.423</v>
      </c>
      <c r="Q17" s="19">
        <f>Mitigation_Industry!$Z$271</f>
        <v>1.423</v>
      </c>
      <c r="R17" s="19">
        <f>Mitigation_Industry!$Z$271</f>
        <v>1.423</v>
      </c>
      <c r="S17" s="19">
        <f>Mitigation_Industry!$Z$271</f>
        <v>1.423</v>
      </c>
      <c r="T17" s="19">
        <f>Mitigation_Industry!$Z$271</f>
        <v>1.423</v>
      </c>
      <c r="U17" s="19">
        <f>Mitigation_Industry!$Z$271</f>
        <v>1.423</v>
      </c>
      <c r="V17" s="19">
        <f>Mitigation_Industry!$Z$271</f>
        <v>1.423</v>
      </c>
      <c r="W17" s="19">
        <f>Mitigation_Industry!$Z$271</f>
        <v>1.423</v>
      </c>
      <c r="X17" s="19">
        <f>Mitigation_Industry!$Z$271</f>
        <v>1.423</v>
      </c>
      <c r="Y17" s="19">
        <f>Mitigation_Industry!$Z$271</f>
        <v>1.423</v>
      </c>
      <c r="Z17" s="19">
        <f>Mitigation_Industry!$Z$271</f>
        <v>1.423</v>
      </c>
      <c r="AA17" s="19">
        <f>Mitigation_Industry!$Z$271</f>
        <v>1.423</v>
      </c>
      <c r="AB17" s="19">
        <f>Mitigation_Industry!$Z$271</f>
        <v>1.423</v>
      </c>
      <c r="AC17" s="19">
        <f>Mitigation_Industry!$Z$271</f>
        <v>1.423</v>
      </c>
      <c r="AD17" s="19">
        <f>Mitigation_Industry!$Z$271</f>
        <v>1.423</v>
      </c>
      <c r="AE17" s="19">
        <f>Mitigation_Industry!$Z$271</f>
        <v>1.423</v>
      </c>
    </row>
    <row r="19" spans="1:35" customFormat="1" ht="14.25" x14ac:dyDescent="0.45">
      <c r="A19" s="11"/>
      <c r="B19" s="6"/>
      <c r="C19" s="7" t="s">
        <v>2093</v>
      </c>
      <c r="D19" s="6" t="s">
        <v>1505</v>
      </c>
      <c r="E19" s="7" t="s">
        <v>35</v>
      </c>
      <c r="F19" s="7" t="s">
        <v>45</v>
      </c>
      <c r="G19" s="7" t="s">
        <v>37</v>
      </c>
      <c r="H19" s="12" t="s">
        <v>38</v>
      </c>
      <c r="I19" s="6" t="s">
        <v>39</v>
      </c>
      <c r="J19" s="48">
        <v>1</v>
      </c>
      <c r="K19" s="6">
        <v>2021</v>
      </c>
      <c r="L19" s="46">
        <v>2022</v>
      </c>
      <c r="M19" s="6">
        <v>2023</v>
      </c>
      <c r="N19" s="6">
        <v>2024</v>
      </c>
      <c r="O19" s="6">
        <v>2025</v>
      </c>
      <c r="P19" s="6">
        <v>2026</v>
      </c>
      <c r="Q19" s="6">
        <v>2027</v>
      </c>
      <c r="R19" s="6">
        <v>2028</v>
      </c>
      <c r="S19" s="6">
        <v>2029</v>
      </c>
      <c r="T19" s="6">
        <v>2030</v>
      </c>
      <c r="U19" s="6">
        <v>2031</v>
      </c>
      <c r="V19" s="6">
        <v>2032</v>
      </c>
      <c r="W19" s="6">
        <v>2033</v>
      </c>
      <c r="X19" s="6">
        <v>2034</v>
      </c>
      <c r="Y19" s="6">
        <v>2035</v>
      </c>
      <c r="Z19" s="6">
        <v>2036</v>
      </c>
      <c r="AA19" s="6">
        <v>2037</v>
      </c>
      <c r="AB19" s="6">
        <v>2038</v>
      </c>
      <c r="AC19" s="6">
        <v>2039</v>
      </c>
      <c r="AD19" s="6">
        <v>2040</v>
      </c>
      <c r="AE19" s="6">
        <v>2041</v>
      </c>
      <c r="AF19" s="6">
        <v>2042</v>
      </c>
      <c r="AG19" s="6">
        <v>2043</v>
      </c>
      <c r="AH19" s="6">
        <v>2044</v>
      </c>
      <c r="AI19" s="6">
        <v>2045</v>
      </c>
    </row>
    <row r="20" spans="1:35" customFormat="1" ht="14.25" x14ac:dyDescent="0.45">
      <c r="B20" s="14" t="s">
        <v>1452</v>
      </c>
      <c r="C20" s="14" t="s">
        <v>43</v>
      </c>
      <c r="D20" s="15" t="s">
        <v>2094</v>
      </c>
      <c r="E20" s="16" t="s">
        <v>2095</v>
      </c>
      <c r="F20" s="14" t="s">
        <v>2093</v>
      </c>
      <c r="G20" s="17"/>
      <c r="H20" s="114" t="str">
        <f>Settings!$B$3&amp;".mit.ccpt.stl.drg.1"</f>
        <v>egy.mit.ccpt.stl.drg.1</v>
      </c>
      <c r="I20" t="s">
        <v>2096</v>
      </c>
      <c r="K20" s="18"/>
      <c r="L20" s="19">
        <f>Mitigation_Industry!L$299+Mitigation_Industry!L$310</f>
        <v>0</v>
      </c>
      <c r="M20" s="19">
        <f>Mitigation_Industry!M$299+Mitigation_Industry!M$310</f>
        <v>0</v>
      </c>
      <c r="N20" s="19">
        <f>Mitigation_Industry!N$299+Mitigation_Industry!N$310</f>
        <v>0</v>
      </c>
      <c r="O20" s="19">
        <f>Mitigation_Industry!O$299+Mitigation_Industry!O$310</f>
        <v>0</v>
      </c>
      <c r="P20" s="19">
        <f>Mitigation_Industry!P$299+Mitigation_Industry!P$310</f>
        <v>0</v>
      </c>
      <c r="Q20" s="19">
        <f>Mitigation_Industry!Q$299+Mitigation_Industry!Q$310</f>
        <v>0</v>
      </c>
      <c r="R20" s="19">
        <f>Mitigation_Industry!R$299+Mitigation_Industry!R$310</f>
        <v>0</v>
      </c>
      <c r="S20" s="19">
        <f>Mitigation_Industry!S$299+Mitigation_Industry!S$310</f>
        <v>0</v>
      </c>
      <c r="T20" s="19">
        <f>Mitigation_Industry!T$299+Mitigation_Industry!T$310</f>
        <v>0</v>
      </c>
      <c r="U20" s="19">
        <f>Mitigation_Industry!U$299+Mitigation_Industry!U$310</f>
        <v>0</v>
      </c>
      <c r="V20" s="19">
        <f>Mitigation_Industry!V$299+Mitigation_Industry!V$310</f>
        <v>0</v>
      </c>
      <c r="W20" s="19">
        <f>Mitigation_Industry!W$299+Mitigation_Industry!W$310</f>
        <v>0</v>
      </c>
      <c r="X20" s="19">
        <f>Mitigation_Industry!X$299+Mitigation_Industry!X$310</f>
        <v>0</v>
      </c>
      <c r="Y20" s="19">
        <f>Mitigation_Industry!Y$299+Mitigation_Industry!Y$310</f>
        <v>0</v>
      </c>
      <c r="Z20" s="19">
        <f>Mitigation_Industry!Z$299+Mitigation_Industry!Z$310</f>
        <v>0</v>
      </c>
      <c r="AA20" s="19">
        <f>Mitigation_Industry!AA$299+Mitigation_Industry!AA$310</f>
        <v>0</v>
      </c>
      <c r="AB20" s="19">
        <f>Mitigation_Industry!AB$299+Mitigation_Industry!AB$310</f>
        <v>0</v>
      </c>
      <c r="AC20" s="19">
        <f>Mitigation_Industry!AC$299+Mitigation_Industry!AC$310</f>
        <v>0</v>
      </c>
      <c r="AD20" s="19">
        <f>Mitigation_Industry!AD$299+Mitigation_Industry!AD$310</f>
        <v>0</v>
      </c>
      <c r="AE20" s="19">
        <f>Mitigation_Industry!AE$299+Mitigation_Industry!AE$310</f>
        <v>0</v>
      </c>
    </row>
    <row r="21" spans="1:35" customFormat="1" ht="14.25" x14ac:dyDescent="0.45">
      <c r="B21" s="14" t="s">
        <v>1455</v>
      </c>
      <c r="C21" s="14" t="s">
        <v>43</v>
      </c>
      <c r="D21" s="15" t="s">
        <v>2097</v>
      </c>
      <c r="E21" s="16" t="s">
        <v>2095</v>
      </c>
      <c r="F21" s="14" t="s">
        <v>2093</v>
      </c>
      <c r="G21" s="17"/>
      <c r="H21" s="114" t="str">
        <f>Settings!$B$3&amp;".mit.ccpt.stl.scr.1"</f>
        <v>egy.mit.ccpt.stl.scr.1</v>
      </c>
      <c r="K21" s="18"/>
      <c r="L21" s="19">
        <f>Mitigation_Industry!L$300+Mitigation_Industry!L$311</f>
        <v>0</v>
      </c>
      <c r="M21" s="19">
        <f>Mitigation_Industry!M$300+Mitigation_Industry!M$311</f>
        <v>0</v>
      </c>
      <c r="N21" s="19">
        <f>Mitigation_Industry!N$300+Mitigation_Industry!N$311</f>
        <v>0</v>
      </c>
      <c r="O21" s="19">
        <f>Mitigation_Industry!O$300+Mitigation_Industry!O$311</f>
        <v>0</v>
      </c>
      <c r="P21" s="19">
        <f>Mitigation_Industry!P$300+Mitigation_Industry!P$311</f>
        <v>0</v>
      </c>
      <c r="Q21" s="19">
        <f>Mitigation_Industry!Q$300+Mitigation_Industry!Q$311</f>
        <v>0</v>
      </c>
      <c r="R21" s="19">
        <f>Mitigation_Industry!R$300+Mitigation_Industry!R$311</f>
        <v>0</v>
      </c>
      <c r="S21" s="19">
        <f>Mitigation_Industry!S$300+Mitigation_Industry!S$311</f>
        <v>0</v>
      </c>
      <c r="T21" s="19">
        <f>Mitigation_Industry!T$300+Mitigation_Industry!T$311</f>
        <v>0</v>
      </c>
      <c r="U21" s="19">
        <f>Mitigation_Industry!U$300+Mitigation_Industry!U$311</f>
        <v>0</v>
      </c>
      <c r="V21" s="19">
        <f>Mitigation_Industry!V$300+Mitigation_Industry!V$311</f>
        <v>0</v>
      </c>
      <c r="W21" s="19">
        <f>Mitigation_Industry!W$300+Mitigation_Industry!W$311</f>
        <v>0</v>
      </c>
      <c r="X21" s="19">
        <f>Mitigation_Industry!X$300+Mitigation_Industry!X$311</f>
        <v>0</v>
      </c>
      <c r="Y21" s="19">
        <f>Mitigation_Industry!Y$300+Mitigation_Industry!Y$311</f>
        <v>0</v>
      </c>
      <c r="Z21" s="19">
        <f>Mitigation_Industry!Z$300+Mitigation_Industry!Z$311</f>
        <v>0</v>
      </c>
      <c r="AA21" s="19">
        <f>Mitigation_Industry!AA$300+Mitigation_Industry!AA$311</f>
        <v>0</v>
      </c>
      <c r="AB21" s="19">
        <f>Mitigation_Industry!AB$300+Mitigation_Industry!AB$311</f>
        <v>0</v>
      </c>
      <c r="AC21" s="19">
        <f>Mitigation_Industry!AC$300+Mitigation_Industry!AC$311</f>
        <v>0</v>
      </c>
      <c r="AD21" s="19">
        <f>Mitigation_Industry!AD$300+Mitigation_Industry!AD$311</f>
        <v>0</v>
      </c>
      <c r="AE21" s="19">
        <f>Mitigation_Industry!AE$300+Mitigation_Industry!AE$311</f>
        <v>0</v>
      </c>
    </row>
    <row r="22" spans="1:35" customFormat="1" ht="14.25" x14ac:dyDescent="0.45">
      <c r="B22" s="14" t="s">
        <v>1458</v>
      </c>
      <c r="C22" s="14" t="s">
        <v>43</v>
      </c>
      <c r="D22" s="15" t="s">
        <v>2098</v>
      </c>
      <c r="E22" s="16" t="s">
        <v>2095</v>
      </c>
      <c r="F22" s="14" t="s">
        <v>2093</v>
      </c>
      <c r="G22" s="17"/>
      <c r="H22" s="114" t="str">
        <f>Settings!$B$3&amp;".mit.ccpt.stl.bof.1"</f>
        <v>egy.mit.ccpt.stl.bof.1</v>
      </c>
      <c r="K22" s="18"/>
      <c r="L22" s="19">
        <f>Mitigation_Industry!L$301+Mitigation_Industry!L$312</f>
        <v>0</v>
      </c>
      <c r="M22" s="19">
        <f>Mitigation_Industry!M$301+Mitigation_Industry!M$312</f>
        <v>0</v>
      </c>
      <c r="N22" s="19">
        <f>Mitigation_Industry!N$301+Mitigation_Industry!N$312</f>
        <v>0</v>
      </c>
      <c r="O22" s="19">
        <f>Mitigation_Industry!O$301+Mitigation_Industry!O$312</f>
        <v>0</v>
      </c>
      <c r="P22" s="19">
        <f>Mitigation_Industry!P$301+Mitigation_Industry!P$312</f>
        <v>0</v>
      </c>
      <c r="Q22" s="19">
        <f>Mitigation_Industry!Q$301+Mitigation_Industry!Q$312</f>
        <v>0</v>
      </c>
      <c r="R22" s="19">
        <f>Mitigation_Industry!R$301+Mitigation_Industry!R$312</f>
        <v>0</v>
      </c>
      <c r="S22" s="19">
        <f>Mitigation_Industry!S$301+Mitigation_Industry!S$312</f>
        <v>0</v>
      </c>
      <c r="T22" s="19">
        <f>Mitigation_Industry!T$301+Mitigation_Industry!T$312</f>
        <v>0</v>
      </c>
      <c r="U22" s="19">
        <f>Mitigation_Industry!U$301+Mitigation_Industry!U$312</f>
        <v>0</v>
      </c>
      <c r="V22" s="19">
        <f>Mitigation_Industry!V$301+Mitigation_Industry!V$312</f>
        <v>0</v>
      </c>
      <c r="W22" s="19">
        <f>Mitigation_Industry!W$301+Mitigation_Industry!W$312</f>
        <v>0</v>
      </c>
      <c r="X22" s="19">
        <f>Mitigation_Industry!X$301+Mitigation_Industry!X$312</f>
        <v>0</v>
      </c>
      <c r="Y22" s="19">
        <f>Mitigation_Industry!Y$301+Mitigation_Industry!Y$312</f>
        <v>0</v>
      </c>
      <c r="Z22" s="19">
        <f>Mitigation_Industry!Z$301+Mitigation_Industry!Z$312</f>
        <v>0</v>
      </c>
      <c r="AA22" s="19">
        <f>Mitigation_Industry!AA$301+Mitigation_Industry!AA$312</f>
        <v>0</v>
      </c>
      <c r="AB22" s="19">
        <f>Mitigation_Industry!AB$301+Mitigation_Industry!AB$312</f>
        <v>0</v>
      </c>
      <c r="AC22" s="19">
        <f>Mitigation_Industry!AC$301+Mitigation_Industry!AC$312</f>
        <v>0</v>
      </c>
      <c r="AD22" s="19">
        <f>Mitigation_Industry!AD$301+Mitigation_Industry!AD$312</f>
        <v>0</v>
      </c>
      <c r="AE22" s="19">
        <f>Mitigation_Industry!AE$301+Mitigation_Industry!AE$312</f>
        <v>0</v>
      </c>
    </row>
    <row r="23" spans="1:35" customFormat="1" ht="14.25" x14ac:dyDescent="0.45">
      <c r="B23" s="14" t="s">
        <v>1461</v>
      </c>
      <c r="C23" s="14" t="s">
        <v>113</v>
      </c>
      <c r="D23" s="15" t="s">
        <v>2099</v>
      </c>
      <c r="E23" s="16" t="s">
        <v>2095</v>
      </c>
      <c r="F23" s="14" t="s">
        <v>2093</v>
      </c>
      <c r="G23" s="17"/>
      <c r="H23" s="114" t="str">
        <f>Settings!$B$3&amp;".mit.ccpt.cmt.dry.1"</f>
        <v>egy.mit.ccpt.cmt.dry.1</v>
      </c>
      <c r="K23" s="18"/>
      <c r="L23" s="19">
        <f>Mitigation_Industry!L$302+Mitigation_Industry!L$313</f>
        <v>0</v>
      </c>
      <c r="M23" s="19">
        <f>Mitigation_Industry!M$302+Mitigation_Industry!M$313</f>
        <v>0</v>
      </c>
      <c r="N23" s="19">
        <f>Mitigation_Industry!N$302+Mitigation_Industry!N$313</f>
        <v>0</v>
      </c>
      <c r="O23" s="19">
        <f>Mitigation_Industry!O$302+Mitigation_Industry!O$313</f>
        <v>0</v>
      </c>
      <c r="P23" s="19">
        <f>Mitigation_Industry!P$302+Mitigation_Industry!P$313</f>
        <v>0</v>
      </c>
      <c r="Q23" s="19">
        <f>Mitigation_Industry!Q$302+Mitigation_Industry!Q$313</f>
        <v>0</v>
      </c>
      <c r="R23" s="19">
        <f>Mitigation_Industry!R$302+Mitigation_Industry!R$313</f>
        <v>0</v>
      </c>
      <c r="S23" s="19">
        <f>Mitigation_Industry!S$302+Mitigation_Industry!S$313</f>
        <v>0</v>
      </c>
      <c r="T23" s="19">
        <f>Mitigation_Industry!T$302+Mitigation_Industry!T$313</f>
        <v>0</v>
      </c>
      <c r="U23" s="19">
        <f>Mitigation_Industry!U$302+Mitigation_Industry!U$313</f>
        <v>0</v>
      </c>
      <c r="V23" s="19">
        <f>Mitigation_Industry!V$302+Mitigation_Industry!V$313</f>
        <v>0</v>
      </c>
      <c r="W23" s="19">
        <f>Mitigation_Industry!W$302+Mitigation_Industry!W$313</f>
        <v>0</v>
      </c>
      <c r="X23" s="19">
        <f>Mitigation_Industry!X$302+Mitigation_Industry!X$313</f>
        <v>0</v>
      </c>
      <c r="Y23" s="19">
        <f>Mitigation_Industry!Y$302+Mitigation_Industry!Y$313</f>
        <v>0</v>
      </c>
      <c r="Z23" s="19">
        <f>Mitigation_Industry!Z$302+Mitigation_Industry!Z$313</f>
        <v>0</v>
      </c>
      <c r="AA23" s="19">
        <f>Mitigation_Industry!AA$302+Mitigation_Industry!AA$313</f>
        <v>0</v>
      </c>
      <c r="AB23" s="19">
        <f>Mitigation_Industry!AB$302+Mitigation_Industry!AB$313</f>
        <v>0</v>
      </c>
      <c r="AC23" s="19">
        <f>Mitigation_Industry!AC$302+Mitigation_Industry!AC$313</f>
        <v>0</v>
      </c>
      <c r="AD23" s="19">
        <f>Mitigation_Industry!AD$302+Mitigation_Industry!AD$313</f>
        <v>0</v>
      </c>
      <c r="AE23" s="19">
        <f>Mitigation_Industry!AE$302+Mitigation_Industry!AE$313</f>
        <v>0</v>
      </c>
    </row>
    <row r="24" spans="1:35" customFormat="1" ht="14.25" x14ac:dyDescent="0.45">
      <c r="B24" s="14" t="s">
        <v>1464</v>
      </c>
      <c r="C24" s="14" t="s">
        <v>117</v>
      </c>
      <c r="D24" s="15" t="s">
        <v>2100</v>
      </c>
      <c r="E24" s="16" t="s">
        <v>2095</v>
      </c>
      <c r="F24" s="14" t="s">
        <v>2093</v>
      </c>
      <c r="G24" s="17"/>
      <c r="H24" s="114" t="str">
        <f>Settings!$B$3&amp;".mit.ccpt.frt.amc.1"</f>
        <v>egy.mit.ccpt.frt.amc.1</v>
      </c>
      <c r="K24" s="18"/>
      <c r="L24" s="19">
        <f>Mitigation_Industry!L$303+Mitigation_Industry!L$314</f>
        <v>0</v>
      </c>
      <c r="M24" s="19">
        <f>Mitigation_Industry!M$303+Mitigation_Industry!M$314</f>
        <v>0</v>
      </c>
      <c r="N24" s="19">
        <f>Mitigation_Industry!N$303+Mitigation_Industry!N$314</f>
        <v>0</v>
      </c>
      <c r="O24" s="19">
        <f>Mitigation_Industry!O$303+Mitigation_Industry!O$314</f>
        <v>0</v>
      </c>
      <c r="P24" s="19">
        <f>Mitigation_Industry!P$303+Mitigation_Industry!P$314</f>
        <v>0</v>
      </c>
      <c r="Q24" s="19">
        <f>Mitigation_Industry!Q$303+Mitigation_Industry!Q$314</f>
        <v>0</v>
      </c>
      <c r="R24" s="19">
        <f>Mitigation_Industry!R$303+Mitigation_Industry!R$314</f>
        <v>0</v>
      </c>
      <c r="S24" s="19">
        <f>Mitigation_Industry!S$303+Mitigation_Industry!S$314</f>
        <v>0</v>
      </c>
      <c r="T24" s="19">
        <f>Mitigation_Industry!T$303+Mitigation_Industry!T$314</f>
        <v>0</v>
      </c>
      <c r="U24" s="19">
        <f>Mitigation_Industry!U$303+Mitigation_Industry!U$314</f>
        <v>0</v>
      </c>
      <c r="V24" s="19">
        <f>Mitigation_Industry!V$303+Mitigation_Industry!V$314</f>
        <v>0</v>
      </c>
      <c r="W24" s="19">
        <f>Mitigation_Industry!W$303+Mitigation_Industry!W$314</f>
        <v>0</v>
      </c>
      <c r="X24" s="19">
        <f>Mitigation_Industry!X$303+Mitigation_Industry!X$314</f>
        <v>0</v>
      </c>
      <c r="Y24" s="19">
        <f>Mitigation_Industry!Y$303+Mitigation_Industry!Y$314</f>
        <v>0</v>
      </c>
      <c r="Z24" s="19">
        <f>Mitigation_Industry!Z$303+Mitigation_Industry!Z$314</f>
        <v>0</v>
      </c>
      <c r="AA24" s="19">
        <f>Mitigation_Industry!AA$303+Mitigation_Industry!AA$314</f>
        <v>0</v>
      </c>
      <c r="AB24" s="19">
        <f>Mitigation_Industry!AB$303+Mitigation_Industry!AB$314</f>
        <v>0</v>
      </c>
      <c r="AC24" s="19">
        <f>Mitigation_Industry!AC$303+Mitigation_Industry!AC$314</f>
        <v>0</v>
      </c>
      <c r="AD24" s="19">
        <f>Mitigation_Industry!AD$303+Mitigation_Industry!AD$314</f>
        <v>0</v>
      </c>
      <c r="AE24" s="19">
        <f>Mitigation_Industry!AE$303+Mitigation_Industry!AE$314</f>
        <v>0</v>
      </c>
    </row>
    <row r="25" spans="1:35" customFormat="1" ht="14.25" x14ac:dyDescent="0.45">
      <c r="B25" s="14" t="s">
        <v>1467</v>
      </c>
      <c r="C25" s="14" t="s">
        <v>117</v>
      </c>
      <c r="D25" s="15" t="s">
        <v>2101</v>
      </c>
      <c r="E25" s="16" t="s">
        <v>2095</v>
      </c>
      <c r="F25" s="14" t="s">
        <v>2093</v>
      </c>
      <c r="G25" s="17"/>
      <c r="H25" s="114" t="str">
        <f>Settings!$B$3&amp;".mit.ccpt.frt.ure.1"</f>
        <v>egy.mit.ccpt.frt.ure.1</v>
      </c>
      <c r="K25" s="18"/>
      <c r="L25" s="19">
        <f>Mitigation_Industry!L$304+Mitigation_Industry!L$315</f>
        <v>0</v>
      </c>
      <c r="M25" s="19">
        <f>Mitigation_Industry!M$304+Mitigation_Industry!M$315</f>
        <v>0</v>
      </c>
      <c r="N25" s="19">
        <f>Mitigation_Industry!N$304+Mitigation_Industry!N$315</f>
        <v>0</v>
      </c>
      <c r="O25" s="19">
        <f>Mitigation_Industry!O$304+Mitigation_Industry!O$315</f>
        <v>0</v>
      </c>
      <c r="P25" s="19">
        <f>Mitigation_Industry!P$304+Mitigation_Industry!P$315</f>
        <v>0</v>
      </c>
      <c r="Q25" s="19">
        <f>Mitigation_Industry!Q$304+Mitigation_Industry!Q$315</f>
        <v>0</v>
      </c>
      <c r="R25" s="19">
        <f>Mitigation_Industry!R$304+Mitigation_Industry!R$315</f>
        <v>0</v>
      </c>
      <c r="S25" s="19">
        <f>Mitigation_Industry!S$304+Mitigation_Industry!S$315</f>
        <v>0</v>
      </c>
      <c r="T25" s="19">
        <f>Mitigation_Industry!T$304+Mitigation_Industry!T$315</f>
        <v>0</v>
      </c>
      <c r="U25" s="19">
        <f>Mitigation_Industry!U$304+Mitigation_Industry!U$315</f>
        <v>0</v>
      </c>
      <c r="V25" s="19">
        <f>Mitigation_Industry!V$304+Mitigation_Industry!V$315</f>
        <v>0</v>
      </c>
      <c r="W25" s="19">
        <f>Mitigation_Industry!W$304+Mitigation_Industry!W$315</f>
        <v>0</v>
      </c>
      <c r="X25" s="19">
        <f>Mitigation_Industry!X$304+Mitigation_Industry!X$315</f>
        <v>0</v>
      </c>
      <c r="Y25" s="19">
        <f>Mitigation_Industry!Y$304+Mitigation_Industry!Y$315</f>
        <v>0</v>
      </c>
      <c r="Z25" s="19">
        <f>Mitigation_Industry!Z$304+Mitigation_Industry!Z$315</f>
        <v>0</v>
      </c>
      <c r="AA25" s="19">
        <f>Mitigation_Industry!AA$304+Mitigation_Industry!AA$315</f>
        <v>0</v>
      </c>
      <c r="AB25" s="19">
        <f>Mitigation_Industry!AB$304+Mitigation_Industry!AB$315</f>
        <v>0</v>
      </c>
      <c r="AC25" s="19">
        <f>Mitigation_Industry!AC$304+Mitigation_Industry!AC$315</f>
        <v>0</v>
      </c>
      <c r="AD25" s="19">
        <f>Mitigation_Industry!AD$304+Mitigation_Industry!AD$315</f>
        <v>0</v>
      </c>
      <c r="AE25" s="19">
        <f>Mitigation_Industry!AE$304+Mitigation_Industry!AE$315</f>
        <v>0</v>
      </c>
    </row>
    <row r="26" spans="1:35" customFormat="1" ht="14.25" x14ac:dyDescent="0.45">
      <c r="B26" s="14" t="s">
        <v>1470</v>
      </c>
      <c r="C26" s="14" t="s">
        <v>117</v>
      </c>
      <c r="D26" s="15" t="s">
        <v>2102</v>
      </c>
      <c r="E26" s="16" t="s">
        <v>2095</v>
      </c>
      <c r="F26" s="14" t="s">
        <v>2093</v>
      </c>
      <c r="G26" s="17"/>
      <c r="H26" s="114" t="str">
        <f>Settings!$B$3&amp;".mit.ccpt.frt.nit.1"</f>
        <v>egy.mit.ccpt.frt.nit.1</v>
      </c>
      <c r="K26" s="18"/>
      <c r="L26" s="19">
        <f>Mitigation_Industry!L$305+Mitigation_Industry!L$316</f>
        <v>0</v>
      </c>
      <c r="M26" s="19">
        <f>Mitigation_Industry!M$305+Mitigation_Industry!M$316</f>
        <v>0</v>
      </c>
      <c r="N26" s="19">
        <f>Mitigation_Industry!N$305+Mitigation_Industry!N$316</f>
        <v>0</v>
      </c>
      <c r="O26" s="19">
        <f>Mitigation_Industry!O$305+Mitigation_Industry!O$316</f>
        <v>0</v>
      </c>
      <c r="P26" s="19">
        <f>Mitigation_Industry!P$305+Mitigation_Industry!P$316</f>
        <v>0</v>
      </c>
      <c r="Q26" s="19">
        <f>Mitigation_Industry!Q$305+Mitigation_Industry!Q$316</f>
        <v>0</v>
      </c>
      <c r="R26" s="19">
        <f>Mitigation_Industry!R$305+Mitigation_Industry!R$316</f>
        <v>0</v>
      </c>
      <c r="S26" s="19">
        <f>Mitigation_Industry!S$305+Mitigation_Industry!S$316</f>
        <v>0</v>
      </c>
      <c r="T26" s="19">
        <f>Mitigation_Industry!T$305+Mitigation_Industry!T$316</f>
        <v>0</v>
      </c>
      <c r="U26" s="19">
        <f>Mitigation_Industry!U$305+Mitigation_Industry!U$316</f>
        <v>0</v>
      </c>
      <c r="V26" s="19">
        <f>Mitigation_Industry!V$305+Mitigation_Industry!V$316</f>
        <v>0</v>
      </c>
      <c r="W26" s="19">
        <f>Mitigation_Industry!W$305+Mitigation_Industry!W$316</f>
        <v>0</v>
      </c>
      <c r="X26" s="19">
        <f>Mitigation_Industry!X$305+Mitigation_Industry!X$316</f>
        <v>0</v>
      </c>
      <c r="Y26" s="19">
        <f>Mitigation_Industry!Y$305+Mitigation_Industry!Y$316</f>
        <v>0</v>
      </c>
      <c r="Z26" s="19">
        <f>Mitigation_Industry!Z$305+Mitigation_Industry!Z$316</f>
        <v>0</v>
      </c>
      <c r="AA26" s="19">
        <f>Mitigation_Industry!AA$305+Mitigation_Industry!AA$316</f>
        <v>0</v>
      </c>
      <c r="AB26" s="19">
        <f>Mitigation_Industry!AB$305+Mitigation_Industry!AB$316</f>
        <v>0</v>
      </c>
      <c r="AC26" s="19">
        <f>Mitigation_Industry!AC$305+Mitigation_Industry!AC$316</f>
        <v>0</v>
      </c>
      <c r="AD26" s="19">
        <f>Mitigation_Industry!AD$305+Mitigation_Industry!AD$316</f>
        <v>0</v>
      </c>
      <c r="AE26" s="19">
        <f>Mitigation_Industry!AE$305+Mitigation_Industry!AE$316</f>
        <v>0</v>
      </c>
    </row>
    <row r="27" spans="1:35" customFormat="1" ht="14.25" x14ac:dyDescent="0.45">
      <c r="B27" s="14" t="s">
        <v>1473</v>
      </c>
      <c r="C27" s="14" t="s">
        <v>115</v>
      </c>
      <c r="D27" s="15" t="s">
        <v>2103</v>
      </c>
      <c r="E27" s="16" t="s">
        <v>2095</v>
      </c>
      <c r="F27" s="14" t="s">
        <v>2093</v>
      </c>
      <c r="G27" s="17"/>
      <c r="H27" s="114" t="str">
        <f>Settings!$B$3&amp;".mit.ccpt.alu.prp.1"</f>
        <v>egy.mit.ccpt.alu.prp.1</v>
      </c>
      <c r="K27" s="18"/>
      <c r="L27" s="19">
        <f>Mitigation_Industry!L$306+Mitigation_Industry!L$317</f>
        <v>0</v>
      </c>
      <c r="M27" s="19">
        <f>Mitigation_Industry!M$306+Mitigation_Industry!M$317</f>
        <v>0</v>
      </c>
      <c r="N27" s="19">
        <f>Mitigation_Industry!N$306+Mitigation_Industry!N$317</f>
        <v>0</v>
      </c>
      <c r="O27" s="19">
        <f>Mitigation_Industry!O$306+Mitigation_Industry!O$317</f>
        <v>0</v>
      </c>
      <c r="P27" s="19">
        <f>Mitigation_Industry!P$306+Mitigation_Industry!P$317</f>
        <v>0</v>
      </c>
      <c r="Q27" s="19">
        <f>Mitigation_Industry!Q$306+Mitigation_Industry!Q$317</f>
        <v>0</v>
      </c>
      <c r="R27" s="19">
        <f>Mitigation_Industry!R$306+Mitigation_Industry!R$317</f>
        <v>0</v>
      </c>
      <c r="S27" s="19">
        <f>Mitigation_Industry!S$306+Mitigation_Industry!S$317</f>
        <v>0</v>
      </c>
      <c r="T27" s="19">
        <f>Mitigation_Industry!T$306+Mitigation_Industry!T$317</f>
        <v>0</v>
      </c>
      <c r="U27" s="19">
        <f>Mitigation_Industry!U$306+Mitigation_Industry!U$317</f>
        <v>0</v>
      </c>
      <c r="V27" s="19">
        <f>Mitigation_Industry!V$306+Mitigation_Industry!V$317</f>
        <v>0</v>
      </c>
      <c r="W27" s="19">
        <f>Mitigation_Industry!W$306+Mitigation_Industry!W$317</f>
        <v>0</v>
      </c>
      <c r="X27" s="19">
        <f>Mitigation_Industry!X$306+Mitigation_Industry!X$317</f>
        <v>0</v>
      </c>
      <c r="Y27" s="19">
        <f>Mitigation_Industry!Y$306+Mitigation_Industry!Y$317</f>
        <v>0</v>
      </c>
      <c r="Z27" s="19">
        <f>Mitigation_Industry!Z$306+Mitigation_Industry!Z$317</f>
        <v>0</v>
      </c>
      <c r="AA27" s="19">
        <f>Mitigation_Industry!AA$306+Mitigation_Industry!AA$317</f>
        <v>0</v>
      </c>
      <c r="AB27" s="19">
        <f>Mitigation_Industry!AB$306+Mitigation_Industry!AB$317</f>
        <v>0</v>
      </c>
      <c r="AC27" s="19">
        <f>Mitigation_Industry!AC$306+Mitigation_Industry!AC$317</f>
        <v>0</v>
      </c>
      <c r="AD27" s="19">
        <f>Mitigation_Industry!AD$306+Mitigation_Industry!AD$317</f>
        <v>0</v>
      </c>
      <c r="AE27" s="19">
        <f>Mitigation_Industry!AE$306+Mitigation_Industry!AE$317</f>
        <v>0</v>
      </c>
    </row>
    <row r="29" spans="1:35" customFormat="1" ht="14.25" x14ac:dyDescent="0.45">
      <c r="A29" s="11"/>
      <c r="B29" s="6"/>
      <c r="C29" s="7" t="s">
        <v>2104</v>
      </c>
      <c r="D29" s="6" t="s">
        <v>1505</v>
      </c>
      <c r="E29" s="7" t="s">
        <v>35</v>
      </c>
      <c r="F29" s="7" t="s">
        <v>45</v>
      </c>
      <c r="G29" s="7" t="s">
        <v>37</v>
      </c>
      <c r="H29" s="12" t="s">
        <v>38</v>
      </c>
      <c r="I29" s="6" t="s">
        <v>39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4.25" x14ac:dyDescent="0.45">
      <c r="B30" s="14" t="s">
        <v>1452</v>
      </c>
      <c r="C30" s="14" t="s">
        <v>43</v>
      </c>
      <c r="D30" s="15" t="s">
        <v>2105</v>
      </c>
      <c r="E30" s="16" t="s">
        <v>2095</v>
      </c>
      <c r="F30" s="14" t="s">
        <v>2104</v>
      </c>
      <c r="G30" s="17"/>
      <c r="H30" s="114" t="str">
        <f>Settings!$B$3&amp;".mit.obrpu.stl.drg.1"</f>
        <v>egy.mit.obrpu.stl.drg.1</v>
      </c>
      <c r="I30" t="s">
        <v>2106</v>
      </c>
      <c r="K30" s="18"/>
      <c r="L30" s="19">
        <f t="shared" ref="L30:AE30" si="0">L$7*L$10</f>
        <v>0</v>
      </c>
      <c r="M30" s="19">
        <f t="shared" si="0"/>
        <v>0</v>
      </c>
      <c r="N30" s="19">
        <f t="shared" si="0"/>
        <v>0</v>
      </c>
      <c r="O30" s="19">
        <f t="shared" si="0"/>
        <v>0</v>
      </c>
      <c r="P30" s="19">
        <f t="shared" si="0"/>
        <v>0</v>
      </c>
      <c r="Q30" s="19">
        <f t="shared" si="0"/>
        <v>0</v>
      </c>
      <c r="R30" s="19">
        <f t="shared" si="0"/>
        <v>0</v>
      </c>
      <c r="S30" s="19">
        <f t="shared" si="0"/>
        <v>0</v>
      </c>
      <c r="T30" s="19">
        <f t="shared" si="0"/>
        <v>0</v>
      </c>
      <c r="U30" s="19">
        <f t="shared" si="0"/>
        <v>0</v>
      </c>
      <c r="V30" s="19">
        <f t="shared" si="0"/>
        <v>0</v>
      </c>
      <c r="W30" s="19">
        <f t="shared" si="0"/>
        <v>0</v>
      </c>
      <c r="X30" s="19">
        <f t="shared" si="0"/>
        <v>0</v>
      </c>
      <c r="Y30" s="19">
        <f t="shared" si="0"/>
        <v>0</v>
      </c>
      <c r="Z30" s="19">
        <f t="shared" si="0"/>
        <v>0</v>
      </c>
      <c r="AA30" s="19">
        <f t="shared" si="0"/>
        <v>0</v>
      </c>
      <c r="AB30" s="19">
        <f t="shared" si="0"/>
        <v>0</v>
      </c>
      <c r="AC30" s="19">
        <f t="shared" si="0"/>
        <v>0</v>
      </c>
      <c r="AD30" s="19">
        <f t="shared" si="0"/>
        <v>0</v>
      </c>
      <c r="AE30" s="19">
        <f t="shared" si="0"/>
        <v>0</v>
      </c>
    </row>
    <row r="31" spans="1:35" customFormat="1" ht="14.25" x14ac:dyDescent="0.45">
      <c r="B31" s="14" t="s">
        <v>1455</v>
      </c>
      <c r="C31" s="14" t="s">
        <v>43</v>
      </c>
      <c r="D31" s="15" t="s">
        <v>2107</v>
      </c>
      <c r="E31" s="16" t="s">
        <v>2095</v>
      </c>
      <c r="F31" s="14" t="s">
        <v>2104</v>
      </c>
      <c r="G31" s="17"/>
      <c r="H31" s="114" t="str">
        <f>Settings!$B$3&amp;".mit.obrpu.stl.scr.1"</f>
        <v>egy.mit.obrpu.stl.scr.1</v>
      </c>
      <c r="K31" s="18"/>
      <c r="L31" s="19">
        <f t="shared" ref="L31:AE31" si="1">L$7*L$11</f>
        <v>0</v>
      </c>
      <c r="M31" s="19">
        <f t="shared" si="1"/>
        <v>0</v>
      </c>
      <c r="N31" s="19">
        <f t="shared" si="1"/>
        <v>0</v>
      </c>
      <c r="O31" s="19">
        <f t="shared" si="1"/>
        <v>0</v>
      </c>
      <c r="P31" s="19">
        <f t="shared" si="1"/>
        <v>0</v>
      </c>
      <c r="Q31" s="19">
        <f t="shared" si="1"/>
        <v>0</v>
      </c>
      <c r="R31" s="19">
        <f t="shared" si="1"/>
        <v>0</v>
      </c>
      <c r="S31" s="19">
        <f t="shared" si="1"/>
        <v>0</v>
      </c>
      <c r="T31" s="19">
        <f t="shared" si="1"/>
        <v>0</v>
      </c>
      <c r="U31" s="19">
        <f t="shared" si="1"/>
        <v>0</v>
      </c>
      <c r="V31" s="19">
        <f t="shared" si="1"/>
        <v>0</v>
      </c>
      <c r="W31" s="19">
        <f t="shared" si="1"/>
        <v>0</v>
      </c>
      <c r="X31" s="19">
        <f t="shared" si="1"/>
        <v>0</v>
      </c>
      <c r="Y31" s="19">
        <f t="shared" si="1"/>
        <v>0</v>
      </c>
      <c r="Z31" s="19">
        <f t="shared" si="1"/>
        <v>0</v>
      </c>
      <c r="AA31" s="19">
        <f t="shared" si="1"/>
        <v>0</v>
      </c>
      <c r="AB31" s="19">
        <f t="shared" si="1"/>
        <v>0</v>
      </c>
      <c r="AC31" s="19">
        <f t="shared" si="1"/>
        <v>0</v>
      </c>
      <c r="AD31" s="19">
        <f t="shared" si="1"/>
        <v>0</v>
      </c>
      <c r="AE31" s="19">
        <f t="shared" si="1"/>
        <v>0</v>
      </c>
    </row>
    <row r="32" spans="1:35" customFormat="1" ht="14.25" x14ac:dyDescent="0.45">
      <c r="B32" s="14" t="s">
        <v>1458</v>
      </c>
      <c r="C32" s="14" t="s">
        <v>43</v>
      </c>
      <c r="D32" s="15" t="s">
        <v>2108</v>
      </c>
      <c r="E32" s="16" t="s">
        <v>2095</v>
      </c>
      <c r="F32" s="14" t="s">
        <v>2104</v>
      </c>
      <c r="G32" s="17"/>
      <c r="H32" s="114" t="str">
        <f>Settings!$B$3&amp;".mit.obrpu.stl.bof.1"</f>
        <v>egy.mit.obrpu.stl.bof.1</v>
      </c>
      <c r="K32" s="18"/>
      <c r="L32" s="19">
        <f t="shared" ref="L32:AE32" si="2">L$7*L$12</f>
        <v>0</v>
      </c>
      <c r="M32" s="19">
        <f t="shared" si="2"/>
        <v>0</v>
      </c>
      <c r="N32" s="19">
        <f t="shared" si="2"/>
        <v>0</v>
      </c>
      <c r="O32" s="19">
        <f t="shared" si="2"/>
        <v>0</v>
      </c>
      <c r="P32" s="19">
        <f t="shared" si="2"/>
        <v>0</v>
      </c>
      <c r="Q32" s="19">
        <f t="shared" si="2"/>
        <v>0</v>
      </c>
      <c r="R32" s="19">
        <f t="shared" si="2"/>
        <v>0</v>
      </c>
      <c r="S32" s="19">
        <f t="shared" si="2"/>
        <v>0</v>
      </c>
      <c r="T32" s="19">
        <f t="shared" si="2"/>
        <v>0</v>
      </c>
      <c r="U32" s="19">
        <f t="shared" si="2"/>
        <v>0</v>
      </c>
      <c r="V32" s="19">
        <f t="shared" si="2"/>
        <v>0</v>
      </c>
      <c r="W32" s="19">
        <f t="shared" si="2"/>
        <v>0</v>
      </c>
      <c r="X32" s="19">
        <f t="shared" si="2"/>
        <v>0</v>
      </c>
      <c r="Y32" s="19">
        <f t="shared" si="2"/>
        <v>0</v>
      </c>
      <c r="Z32" s="19">
        <f t="shared" si="2"/>
        <v>0</v>
      </c>
      <c r="AA32" s="19">
        <f t="shared" si="2"/>
        <v>0</v>
      </c>
      <c r="AB32" s="19">
        <f t="shared" si="2"/>
        <v>0</v>
      </c>
      <c r="AC32" s="19">
        <f t="shared" si="2"/>
        <v>0</v>
      </c>
      <c r="AD32" s="19">
        <f t="shared" si="2"/>
        <v>0</v>
      </c>
      <c r="AE32" s="19">
        <f t="shared" si="2"/>
        <v>0</v>
      </c>
    </row>
    <row r="33" spans="1:35" customFormat="1" ht="14.25" x14ac:dyDescent="0.45">
      <c r="B33" s="14" t="s">
        <v>1461</v>
      </c>
      <c r="C33" s="14" t="s">
        <v>113</v>
      </c>
      <c r="D33" s="15" t="s">
        <v>2109</v>
      </c>
      <c r="E33" s="16" t="s">
        <v>2095</v>
      </c>
      <c r="F33" s="14" t="s">
        <v>2104</v>
      </c>
      <c r="G33" s="17"/>
      <c r="H33" s="114" t="str">
        <f>Settings!$B$3&amp;".mit.obrpu.cmt.dry.1"</f>
        <v>egy.mit.obrpu.cmt.dry.1</v>
      </c>
      <c r="K33" s="18"/>
      <c r="L33" s="19">
        <f t="shared" ref="L33:AE33" si="3">L$7*L$13</f>
        <v>0</v>
      </c>
      <c r="M33" s="19">
        <f t="shared" si="3"/>
        <v>0</v>
      </c>
      <c r="N33" s="19">
        <f t="shared" si="3"/>
        <v>0</v>
      </c>
      <c r="O33" s="19">
        <f t="shared" si="3"/>
        <v>0</v>
      </c>
      <c r="P33" s="19">
        <f t="shared" si="3"/>
        <v>0</v>
      </c>
      <c r="Q33" s="19">
        <f t="shared" si="3"/>
        <v>0</v>
      </c>
      <c r="R33" s="19">
        <f t="shared" si="3"/>
        <v>0</v>
      </c>
      <c r="S33" s="19">
        <f t="shared" si="3"/>
        <v>0</v>
      </c>
      <c r="T33" s="19">
        <f t="shared" si="3"/>
        <v>0</v>
      </c>
      <c r="U33" s="19">
        <f t="shared" si="3"/>
        <v>0</v>
      </c>
      <c r="V33" s="19">
        <f t="shared" si="3"/>
        <v>0</v>
      </c>
      <c r="W33" s="19">
        <f t="shared" si="3"/>
        <v>0</v>
      </c>
      <c r="X33" s="19">
        <f t="shared" si="3"/>
        <v>0</v>
      </c>
      <c r="Y33" s="19">
        <f t="shared" si="3"/>
        <v>0</v>
      </c>
      <c r="Z33" s="19">
        <f t="shared" si="3"/>
        <v>0</v>
      </c>
      <c r="AA33" s="19">
        <f t="shared" si="3"/>
        <v>0</v>
      </c>
      <c r="AB33" s="19">
        <f t="shared" si="3"/>
        <v>0</v>
      </c>
      <c r="AC33" s="19">
        <f t="shared" si="3"/>
        <v>0</v>
      </c>
      <c r="AD33" s="19">
        <f t="shared" si="3"/>
        <v>0</v>
      </c>
      <c r="AE33" s="19">
        <f t="shared" si="3"/>
        <v>0</v>
      </c>
    </row>
    <row r="34" spans="1:35" customFormat="1" ht="14.25" x14ac:dyDescent="0.45">
      <c r="B34" s="14" t="s">
        <v>1464</v>
      </c>
      <c r="C34" s="14" t="s">
        <v>117</v>
      </c>
      <c r="D34" s="15" t="s">
        <v>2110</v>
      </c>
      <c r="E34" s="16" t="s">
        <v>2095</v>
      </c>
      <c r="F34" s="14" t="s">
        <v>2104</v>
      </c>
      <c r="G34" s="17"/>
      <c r="H34" s="114" t="str">
        <f>Settings!$B$3&amp;".mit.obrpu.frt.amc.1"</f>
        <v>egy.mit.obrpu.frt.amc.1</v>
      </c>
      <c r="K34" s="18"/>
      <c r="L34" s="19">
        <f t="shared" ref="L34:AE34" si="4">L$7*L$14</f>
        <v>0</v>
      </c>
      <c r="M34" s="19">
        <f t="shared" si="4"/>
        <v>0</v>
      </c>
      <c r="N34" s="19">
        <f t="shared" si="4"/>
        <v>0</v>
      </c>
      <c r="O34" s="19">
        <f t="shared" si="4"/>
        <v>0</v>
      </c>
      <c r="P34" s="19">
        <f t="shared" si="4"/>
        <v>0</v>
      </c>
      <c r="Q34" s="19">
        <f t="shared" si="4"/>
        <v>0</v>
      </c>
      <c r="R34" s="19">
        <f t="shared" si="4"/>
        <v>0</v>
      </c>
      <c r="S34" s="19">
        <f t="shared" si="4"/>
        <v>0</v>
      </c>
      <c r="T34" s="19">
        <f t="shared" si="4"/>
        <v>0</v>
      </c>
      <c r="U34" s="19">
        <f t="shared" si="4"/>
        <v>0</v>
      </c>
      <c r="V34" s="19">
        <f t="shared" si="4"/>
        <v>0</v>
      </c>
      <c r="W34" s="19">
        <f t="shared" si="4"/>
        <v>0</v>
      </c>
      <c r="X34" s="19">
        <f t="shared" si="4"/>
        <v>0</v>
      </c>
      <c r="Y34" s="19">
        <f t="shared" si="4"/>
        <v>0</v>
      </c>
      <c r="Z34" s="19">
        <f t="shared" si="4"/>
        <v>0</v>
      </c>
      <c r="AA34" s="19">
        <f t="shared" si="4"/>
        <v>0</v>
      </c>
      <c r="AB34" s="19">
        <f t="shared" si="4"/>
        <v>0</v>
      </c>
      <c r="AC34" s="19">
        <f t="shared" si="4"/>
        <v>0</v>
      </c>
      <c r="AD34" s="19">
        <f t="shared" si="4"/>
        <v>0</v>
      </c>
      <c r="AE34" s="19">
        <f t="shared" si="4"/>
        <v>0</v>
      </c>
    </row>
    <row r="35" spans="1:35" customFormat="1" ht="14.25" x14ac:dyDescent="0.45">
      <c r="B35" s="14" t="s">
        <v>1467</v>
      </c>
      <c r="C35" s="14" t="s">
        <v>117</v>
      </c>
      <c r="D35" s="15" t="s">
        <v>2111</v>
      </c>
      <c r="E35" s="16" t="s">
        <v>2095</v>
      </c>
      <c r="F35" s="14" t="s">
        <v>2104</v>
      </c>
      <c r="G35" s="17"/>
      <c r="H35" s="114" t="str">
        <f>Settings!$B$3&amp;".mit.obrpu.frt.ure.1"</f>
        <v>egy.mit.obrpu.frt.ure.1</v>
      </c>
      <c r="K35" s="18"/>
      <c r="L35" s="19">
        <f t="shared" ref="L35:AE35" si="5">L$7*L$15</f>
        <v>0</v>
      </c>
      <c r="M35" s="19">
        <f t="shared" si="5"/>
        <v>0</v>
      </c>
      <c r="N35" s="19">
        <f t="shared" si="5"/>
        <v>0</v>
      </c>
      <c r="O35" s="19">
        <f t="shared" si="5"/>
        <v>0</v>
      </c>
      <c r="P35" s="19">
        <f t="shared" si="5"/>
        <v>0</v>
      </c>
      <c r="Q35" s="19">
        <f t="shared" si="5"/>
        <v>0</v>
      </c>
      <c r="R35" s="19">
        <f t="shared" si="5"/>
        <v>0</v>
      </c>
      <c r="S35" s="19">
        <f t="shared" si="5"/>
        <v>0</v>
      </c>
      <c r="T35" s="19">
        <f t="shared" si="5"/>
        <v>0</v>
      </c>
      <c r="U35" s="19">
        <f t="shared" si="5"/>
        <v>0</v>
      </c>
      <c r="V35" s="19">
        <f t="shared" si="5"/>
        <v>0</v>
      </c>
      <c r="W35" s="19">
        <f t="shared" si="5"/>
        <v>0</v>
      </c>
      <c r="X35" s="19">
        <f t="shared" si="5"/>
        <v>0</v>
      </c>
      <c r="Y35" s="19">
        <f t="shared" si="5"/>
        <v>0</v>
      </c>
      <c r="Z35" s="19">
        <f t="shared" si="5"/>
        <v>0</v>
      </c>
      <c r="AA35" s="19">
        <f t="shared" si="5"/>
        <v>0</v>
      </c>
      <c r="AB35" s="19">
        <f t="shared" si="5"/>
        <v>0</v>
      </c>
      <c r="AC35" s="19">
        <f t="shared" si="5"/>
        <v>0</v>
      </c>
      <c r="AD35" s="19">
        <f t="shared" si="5"/>
        <v>0</v>
      </c>
      <c r="AE35" s="19">
        <f t="shared" si="5"/>
        <v>0</v>
      </c>
    </row>
    <row r="36" spans="1:35" customFormat="1" ht="14.25" x14ac:dyDescent="0.45">
      <c r="B36" s="14" t="s">
        <v>1470</v>
      </c>
      <c r="C36" s="14" t="s">
        <v>117</v>
      </c>
      <c r="D36" s="15" t="s">
        <v>2112</v>
      </c>
      <c r="E36" s="16" t="s">
        <v>2095</v>
      </c>
      <c r="F36" s="14" t="s">
        <v>2104</v>
      </c>
      <c r="G36" s="17"/>
      <c r="H36" s="114" t="str">
        <f>Settings!$B$3&amp;".mit.obrpu.frt.nit.1"</f>
        <v>egy.mit.obrpu.frt.nit.1</v>
      </c>
      <c r="K36" s="18"/>
      <c r="L36" s="19">
        <f t="shared" ref="L36:AE36" si="6">L$7*L$16</f>
        <v>0</v>
      </c>
      <c r="M36" s="19">
        <f t="shared" si="6"/>
        <v>0</v>
      </c>
      <c r="N36" s="19">
        <f t="shared" si="6"/>
        <v>0</v>
      </c>
      <c r="O36" s="19">
        <f t="shared" si="6"/>
        <v>0</v>
      </c>
      <c r="P36" s="19">
        <f t="shared" si="6"/>
        <v>0</v>
      </c>
      <c r="Q36" s="19">
        <f t="shared" si="6"/>
        <v>0</v>
      </c>
      <c r="R36" s="19">
        <f t="shared" si="6"/>
        <v>0</v>
      </c>
      <c r="S36" s="19">
        <f t="shared" si="6"/>
        <v>0</v>
      </c>
      <c r="T36" s="19">
        <f t="shared" si="6"/>
        <v>0</v>
      </c>
      <c r="U36" s="19">
        <f t="shared" si="6"/>
        <v>0</v>
      </c>
      <c r="V36" s="19">
        <f t="shared" si="6"/>
        <v>0</v>
      </c>
      <c r="W36" s="19">
        <f t="shared" si="6"/>
        <v>0</v>
      </c>
      <c r="X36" s="19">
        <f t="shared" si="6"/>
        <v>0</v>
      </c>
      <c r="Y36" s="19">
        <f t="shared" si="6"/>
        <v>0</v>
      </c>
      <c r="Z36" s="19">
        <f t="shared" si="6"/>
        <v>0</v>
      </c>
      <c r="AA36" s="19">
        <f t="shared" si="6"/>
        <v>0</v>
      </c>
      <c r="AB36" s="19">
        <f t="shared" si="6"/>
        <v>0</v>
      </c>
      <c r="AC36" s="19">
        <f t="shared" si="6"/>
        <v>0</v>
      </c>
      <c r="AD36" s="19">
        <f t="shared" si="6"/>
        <v>0</v>
      </c>
      <c r="AE36" s="19">
        <f t="shared" si="6"/>
        <v>0</v>
      </c>
    </row>
    <row r="37" spans="1:35" customFormat="1" ht="14.25" x14ac:dyDescent="0.45">
      <c r="B37" s="14" t="s">
        <v>1473</v>
      </c>
      <c r="C37" s="14" t="s">
        <v>115</v>
      </c>
      <c r="D37" s="15" t="s">
        <v>2113</v>
      </c>
      <c r="E37" s="16" t="s">
        <v>2095</v>
      </c>
      <c r="F37" s="14" t="s">
        <v>2104</v>
      </c>
      <c r="G37" s="17"/>
      <c r="H37" s="114" t="str">
        <f>Settings!$B$3&amp;".mit.obrpu.alu.prp.1"</f>
        <v>egy.mit.obrpu.alu.prp.1</v>
      </c>
      <c r="K37" s="18"/>
      <c r="L37" s="19">
        <f t="shared" ref="L37:AE37" si="7">L$7*L$17</f>
        <v>0</v>
      </c>
      <c r="M37" s="19">
        <f t="shared" si="7"/>
        <v>0</v>
      </c>
      <c r="N37" s="19">
        <f t="shared" si="7"/>
        <v>0</v>
      </c>
      <c r="O37" s="19">
        <f t="shared" si="7"/>
        <v>0</v>
      </c>
      <c r="P37" s="19">
        <f t="shared" si="7"/>
        <v>0</v>
      </c>
      <c r="Q37" s="19">
        <f t="shared" si="7"/>
        <v>0</v>
      </c>
      <c r="R37" s="19">
        <f t="shared" si="7"/>
        <v>0</v>
      </c>
      <c r="S37" s="19">
        <f t="shared" si="7"/>
        <v>0</v>
      </c>
      <c r="T37" s="19">
        <f t="shared" si="7"/>
        <v>0</v>
      </c>
      <c r="U37" s="19">
        <f t="shared" si="7"/>
        <v>0</v>
      </c>
      <c r="V37" s="19">
        <f t="shared" si="7"/>
        <v>0</v>
      </c>
      <c r="W37" s="19">
        <f t="shared" si="7"/>
        <v>0</v>
      </c>
      <c r="X37" s="19">
        <f t="shared" si="7"/>
        <v>0</v>
      </c>
      <c r="Y37" s="19">
        <f t="shared" si="7"/>
        <v>0</v>
      </c>
      <c r="Z37" s="19">
        <f t="shared" si="7"/>
        <v>0</v>
      </c>
      <c r="AA37" s="19">
        <f t="shared" si="7"/>
        <v>0</v>
      </c>
      <c r="AB37" s="19">
        <f t="shared" si="7"/>
        <v>0</v>
      </c>
      <c r="AC37" s="19">
        <f t="shared" si="7"/>
        <v>0</v>
      </c>
      <c r="AD37" s="19">
        <f t="shared" si="7"/>
        <v>0</v>
      </c>
      <c r="AE37" s="19">
        <f t="shared" si="7"/>
        <v>0</v>
      </c>
    </row>
    <row r="39" spans="1:35" customFormat="1" ht="14.25" x14ac:dyDescent="0.45">
      <c r="A39" s="11"/>
      <c r="B39" s="6"/>
      <c r="C39" s="7" t="s">
        <v>2114</v>
      </c>
      <c r="D39" s="6" t="s">
        <v>1505</v>
      </c>
      <c r="E39" s="7" t="s">
        <v>35</v>
      </c>
      <c r="F39" s="7" t="s">
        <v>45</v>
      </c>
      <c r="G39" s="7" t="s">
        <v>37</v>
      </c>
      <c r="H39" s="12" t="s">
        <v>38</v>
      </c>
      <c r="I39" s="6" t="s">
        <v>39</v>
      </c>
      <c r="J39" s="48">
        <v>1</v>
      </c>
      <c r="K39" s="6">
        <v>2021</v>
      </c>
      <c r="L39" s="46">
        <v>2022</v>
      </c>
      <c r="M39" s="6">
        <v>2023</v>
      </c>
      <c r="N39" s="6">
        <v>2024</v>
      </c>
      <c r="O39" s="6">
        <v>2025</v>
      </c>
      <c r="P39" s="6">
        <v>2026</v>
      </c>
      <c r="Q39" s="6">
        <v>2027</v>
      </c>
      <c r="R39" s="6">
        <v>2028</v>
      </c>
      <c r="S39" s="6">
        <v>2029</v>
      </c>
      <c r="T39" s="6">
        <v>2030</v>
      </c>
      <c r="U39" s="6">
        <v>2031</v>
      </c>
      <c r="V39" s="6">
        <v>2032</v>
      </c>
      <c r="W39" s="6">
        <v>2033</v>
      </c>
      <c r="X39" s="6">
        <v>2034</v>
      </c>
      <c r="Y39" s="6">
        <v>2035</v>
      </c>
      <c r="Z39" s="6">
        <v>2036</v>
      </c>
      <c r="AA39" s="6">
        <v>2037</v>
      </c>
      <c r="AB39" s="6">
        <v>2038</v>
      </c>
      <c r="AC39" s="6">
        <v>2039</v>
      </c>
      <c r="AD39" s="6">
        <v>2040</v>
      </c>
      <c r="AE39" s="6">
        <v>2041</v>
      </c>
      <c r="AF39" s="6">
        <v>2042</v>
      </c>
      <c r="AG39" s="6">
        <v>2043</v>
      </c>
      <c r="AH39" s="6">
        <v>2044</v>
      </c>
      <c r="AI39" s="6">
        <v>2045</v>
      </c>
    </row>
    <row r="40" spans="1:35" customFormat="1" ht="14.25" x14ac:dyDescent="0.45">
      <c r="B40" s="14" t="s">
        <v>1452</v>
      </c>
      <c r="C40" s="14" t="s">
        <v>43</v>
      </c>
      <c r="D40" s="15" t="s">
        <v>2115</v>
      </c>
      <c r="E40" s="16" t="s">
        <v>2095</v>
      </c>
      <c r="F40" s="14" t="s">
        <v>2114</v>
      </c>
      <c r="G40" s="17"/>
      <c r="H40" s="114" t="str">
        <f>Settings!$B$3&amp;".mit.obrpt.stl.drg.1"</f>
        <v>egy.mit.obrpt.stl.drg.1</v>
      </c>
      <c r="I40" t="s">
        <v>2116</v>
      </c>
      <c r="K40" s="18"/>
      <c r="L40" s="19">
        <f t="shared" ref="L40:AE40" si="8">MIN(L$30,L$20)</f>
        <v>0</v>
      </c>
      <c r="M40" s="19">
        <f t="shared" si="8"/>
        <v>0</v>
      </c>
      <c r="N40" s="19">
        <f t="shared" si="8"/>
        <v>0</v>
      </c>
      <c r="O40" s="19">
        <f t="shared" si="8"/>
        <v>0</v>
      </c>
      <c r="P40" s="19">
        <f t="shared" si="8"/>
        <v>0</v>
      </c>
      <c r="Q40" s="19">
        <f t="shared" si="8"/>
        <v>0</v>
      </c>
      <c r="R40" s="19">
        <f t="shared" si="8"/>
        <v>0</v>
      </c>
      <c r="S40" s="19">
        <f t="shared" si="8"/>
        <v>0</v>
      </c>
      <c r="T40" s="19">
        <f t="shared" si="8"/>
        <v>0</v>
      </c>
      <c r="U40" s="19">
        <f t="shared" si="8"/>
        <v>0</v>
      </c>
      <c r="V40" s="19">
        <f t="shared" si="8"/>
        <v>0</v>
      </c>
      <c r="W40" s="19">
        <f t="shared" si="8"/>
        <v>0</v>
      </c>
      <c r="X40" s="19">
        <f t="shared" si="8"/>
        <v>0</v>
      </c>
      <c r="Y40" s="19">
        <f t="shared" si="8"/>
        <v>0</v>
      </c>
      <c r="Z40" s="19">
        <f t="shared" si="8"/>
        <v>0</v>
      </c>
      <c r="AA40" s="19">
        <f t="shared" si="8"/>
        <v>0</v>
      </c>
      <c r="AB40" s="19">
        <f t="shared" si="8"/>
        <v>0</v>
      </c>
      <c r="AC40" s="19">
        <f t="shared" si="8"/>
        <v>0</v>
      </c>
      <c r="AD40" s="19">
        <f t="shared" si="8"/>
        <v>0</v>
      </c>
      <c r="AE40" s="19">
        <f t="shared" si="8"/>
        <v>0</v>
      </c>
    </row>
    <row r="41" spans="1:35" customFormat="1" ht="14.25" x14ac:dyDescent="0.45">
      <c r="B41" s="14" t="s">
        <v>1455</v>
      </c>
      <c r="C41" s="14" t="s">
        <v>43</v>
      </c>
      <c r="D41" s="15" t="s">
        <v>2117</v>
      </c>
      <c r="E41" s="16" t="s">
        <v>2095</v>
      </c>
      <c r="F41" s="14" t="s">
        <v>2114</v>
      </c>
      <c r="G41" s="17"/>
      <c r="H41" s="114" t="str">
        <f>Settings!$B$3&amp;".mit.obrpt.stl.scr.1"</f>
        <v>egy.mit.obrpt.stl.scr.1</v>
      </c>
      <c r="K41" s="18"/>
      <c r="L41" s="19">
        <f t="shared" ref="L41:AE41" si="9">MIN(L$31,L$21)</f>
        <v>0</v>
      </c>
      <c r="M41" s="19">
        <f t="shared" si="9"/>
        <v>0</v>
      </c>
      <c r="N41" s="19">
        <f t="shared" si="9"/>
        <v>0</v>
      </c>
      <c r="O41" s="19">
        <f t="shared" si="9"/>
        <v>0</v>
      </c>
      <c r="P41" s="19">
        <f t="shared" si="9"/>
        <v>0</v>
      </c>
      <c r="Q41" s="19">
        <f t="shared" si="9"/>
        <v>0</v>
      </c>
      <c r="R41" s="19">
        <f t="shared" si="9"/>
        <v>0</v>
      </c>
      <c r="S41" s="19">
        <f t="shared" si="9"/>
        <v>0</v>
      </c>
      <c r="T41" s="19">
        <f t="shared" si="9"/>
        <v>0</v>
      </c>
      <c r="U41" s="19">
        <f t="shared" si="9"/>
        <v>0</v>
      </c>
      <c r="V41" s="19">
        <f t="shared" si="9"/>
        <v>0</v>
      </c>
      <c r="W41" s="19">
        <f t="shared" si="9"/>
        <v>0</v>
      </c>
      <c r="X41" s="19">
        <f t="shared" si="9"/>
        <v>0</v>
      </c>
      <c r="Y41" s="19">
        <f t="shared" si="9"/>
        <v>0</v>
      </c>
      <c r="Z41" s="19">
        <f t="shared" si="9"/>
        <v>0</v>
      </c>
      <c r="AA41" s="19">
        <f t="shared" si="9"/>
        <v>0</v>
      </c>
      <c r="AB41" s="19">
        <f t="shared" si="9"/>
        <v>0</v>
      </c>
      <c r="AC41" s="19">
        <f t="shared" si="9"/>
        <v>0</v>
      </c>
      <c r="AD41" s="19">
        <f t="shared" si="9"/>
        <v>0</v>
      </c>
      <c r="AE41" s="19">
        <f t="shared" si="9"/>
        <v>0</v>
      </c>
    </row>
    <row r="42" spans="1:35" customFormat="1" ht="14.25" x14ac:dyDescent="0.45">
      <c r="B42" s="14" t="s">
        <v>1458</v>
      </c>
      <c r="C42" s="14" t="s">
        <v>43</v>
      </c>
      <c r="D42" s="15" t="s">
        <v>2118</v>
      </c>
      <c r="E42" s="16" t="s">
        <v>2095</v>
      </c>
      <c r="F42" s="14" t="s">
        <v>2114</v>
      </c>
      <c r="G42" s="17"/>
      <c r="H42" s="114" t="str">
        <f>Settings!$B$3&amp;".mit.obrpt.stl.bof.1"</f>
        <v>egy.mit.obrpt.stl.bof.1</v>
      </c>
      <c r="K42" s="18"/>
      <c r="L42" s="19">
        <f t="shared" ref="L42:AE42" si="10">MIN(L$32,L$22)</f>
        <v>0</v>
      </c>
      <c r="M42" s="19">
        <f t="shared" si="10"/>
        <v>0</v>
      </c>
      <c r="N42" s="19">
        <f t="shared" si="10"/>
        <v>0</v>
      </c>
      <c r="O42" s="19">
        <f t="shared" si="10"/>
        <v>0</v>
      </c>
      <c r="P42" s="19">
        <f t="shared" si="10"/>
        <v>0</v>
      </c>
      <c r="Q42" s="19">
        <f t="shared" si="10"/>
        <v>0</v>
      </c>
      <c r="R42" s="19">
        <f t="shared" si="10"/>
        <v>0</v>
      </c>
      <c r="S42" s="19">
        <f t="shared" si="10"/>
        <v>0</v>
      </c>
      <c r="T42" s="19">
        <f t="shared" si="10"/>
        <v>0</v>
      </c>
      <c r="U42" s="19">
        <f t="shared" si="10"/>
        <v>0</v>
      </c>
      <c r="V42" s="19">
        <f t="shared" si="10"/>
        <v>0</v>
      </c>
      <c r="W42" s="19">
        <f t="shared" si="10"/>
        <v>0</v>
      </c>
      <c r="X42" s="19">
        <f t="shared" si="10"/>
        <v>0</v>
      </c>
      <c r="Y42" s="19">
        <f t="shared" si="10"/>
        <v>0</v>
      </c>
      <c r="Z42" s="19">
        <f t="shared" si="10"/>
        <v>0</v>
      </c>
      <c r="AA42" s="19">
        <f t="shared" si="10"/>
        <v>0</v>
      </c>
      <c r="AB42" s="19">
        <f t="shared" si="10"/>
        <v>0</v>
      </c>
      <c r="AC42" s="19">
        <f t="shared" si="10"/>
        <v>0</v>
      </c>
      <c r="AD42" s="19">
        <f t="shared" si="10"/>
        <v>0</v>
      </c>
      <c r="AE42" s="19">
        <f t="shared" si="10"/>
        <v>0</v>
      </c>
    </row>
    <row r="43" spans="1:35" customFormat="1" ht="14.25" x14ac:dyDescent="0.45">
      <c r="B43" s="14" t="s">
        <v>1461</v>
      </c>
      <c r="C43" s="14" t="s">
        <v>113</v>
      </c>
      <c r="D43" s="15" t="s">
        <v>2119</v>
      </c>
      <c r="E43" s="16" t="s">
        <v>2095</v>
      </c>
      <c r="F43" s="14" t="s">
        <v>2114</v>
      </c>
      <c r="G43" s="17"/>
      <c r="H43" s="114" t="str">
        <f>Settings!$B$3&amp;".mit.obrpt.cmt.dry.1"</f>
        <v>egy.mit.obrpt.cmt.dry.1</v>
      </c>
      <c r="K43" s="18"/>
      <c r="L43" s="19">
        <f t="shared" ref="L43:AE43" si="11">MIN(L$33,L$23)</f>
        <v>0</v>
      </c>
      <c r="M43" s="19">
        <f t="shared" si="11"/>
        <v>0</v>
      </c>
      <c r="N43" s="19">
        <f t="shared" si="11"/>
        <v>0</v>
      </c>
      <c r="O43" s="19">
        <f t="shared" si="11"/>
        <v>0</v>
      </c>
      <c r="P43" s="19">
        <f t="shared" si="11"/>
        <v>0</v>
      </c>
      <c r="Q43" s="19">
        <f t="shared" si="11"/>
        <v>0</v>
      </c>
      <c r="R43" s="19">
        <f t="shared" si="11"/>
        <v>0</v>
      </c>
      <c r="S43" s="19">
        <f t="shared" si="11"/>
        <v>0</v>
      </c>
      <c r="T43" s="19">
        <f t="shared" si="11"/>
        <v>0</v>
      </c>
      <c r="U43" s="19">
        <f t="shared" si="11"/>
        <v>0</v>
      </c>
      <c r="V43" s="19">
        <f t="shared" si="11"/>
        <v>0</v>
      </c>
      <c r="W43" s="19">
        <f t="shared" si="11"/>
        <v>0</v>
      </c>
      <c r="X43" s="19">
        <f t="shared" si="11"/>
        <v>0</v>
      </c>
      <c r="Y43" s="19">
        <f t="shared" si="11"/>
        <v>0</v>
      </c>
      <c r="Z43" s="19">
        <f t="shared" si="11"/>
        <v>0</v>
      </c>
      <c r="AA43" s="19">
        <f t="shared" si="11"/>
        <v>0</v>
      </c>
      <c r="AB43" s="19">
        <f t="shared" si="11"/>
        <v>0</v>
      </c>
      <c r="AC43" s="19">
        <f t="shared" si="11"/>
        <v>0</v>
      </c>
      <c r="AD43" s="19">
        <f t="shared" si="11"/>
        <v>0</v>
      </c>
      <c r="AE43" s="19">
        <f t="shared" si="11"/>
        <v>0</v>
      </c>
    </row>
    <row r="44" spans="1:35" customFormat="1" ht="14.25" x14ac:dyDescent="0.45">
      <c r="B44" s="14" t="s">
        <v>1464</v>
      </c>
      <c r="C44" s="14" t="s">
        <v>117</v>
      </c>
      <c r="D44" s="15" t="s">
        <v>2120</v>
      </c>
      <c r="E44" s="16" t="s">
        <v>2095</v>
      </c>
      <c r="F44" s="14" t="s">
        <v>2114</v>
      </c>
      <c r="G44" s="17"/>
      <c r="H44" s="114" t="str">
        <f>Settings!$B$3&amp;".mit.obrpt.frt.amc.1"</f>
        <v>egy.mit.obrpt.frt.amc.1</v>
      </c>
      <c r="K44" s="18"/>
      <c r="L44" s="19">
        <f t="shared" ref="L44:AE44" si="12">MIN(L$34,L$24)</f>
        <v>0</v>
      </c>
      <c r="M44" s="19">
        <f t="shared" si="12"/>
        <v>0</v>
      </c>
      <c r="N44" s="19">
        <f t="shared" si="12"/>
        <v>0</v>
      </c>
      <c r="O44" s="19">
        <f t="shared" si="12"/>
        <v>0</v>
      </c>
      <c r="P44" s="19">
        <f t="shared" si="12"/>
        <v>0</v>
      </c>
      <c r="Q44" s="19">
        <f t="shared" si="12"/>
        <v>0</v>
      </c>
      <c r="R44" s="19">
        <f t="shared" si="12"/>
        <v>0</v>
      </c>
      <c r="S44" s="19">
        <f t="shared" si="12"/>
        <v>0</v>
      </c>
      <c r="T44" s="19">
        <f t="shared" si="12"/>
        <v>0</v>
      </c>
      <c r="U44" s="19">
        <f t="shared" si="12"/>
        <v>0</v>
      </c>
      <c r="V44" s="19">
        <f t="shared" si="12"/>
        <v>0</v>
      </c>
      <c r="W44" s="19">
        <f t="shared" si="12"/>
        <v>0</v>
      </c>
      <c r="X44" s="19">
        <f t="shared" si="12"/>
        <v>0</v>
      </c>
      <c r="Y44" s="19">
        <f t="shared" si="12"/>
        <v>0</v>
      </c>
      <c r="Z44" s="19">
        <f t="shared" si="12"/>
        <v>0</v>
      </c>
      <c r="AA44" s="19">
        <f t="shared" si="12"/>
        <v>0</v>
      </c>
      <c r="AB44" s="19">
        <f t="shared" si="12"/>
        <v>0</v>
      </c>
      <c r="AC44" s="19">
        <f t="shared" si="12"/>
        <v>0</v>
      </c>
      <c r="AD44" s="19">
        <f t="shared" si="12"/>
        <v>0</v>
      </c>
      <c r="AE44" s="19">
        <f t="shared" si="12"/>
        <v>0</v>
      </c>
    </row>
    <row r="45" spans="1:35" customFormat="1" ht="14.25" x14ac:dyDescent="0.45">
      <c r="B45" s="14" t="s">
        <v>1467</v>
      </c>
      <c r="C45" s="14" t="s">
        <v>117</v>
      </c>
      <c r="D45" s="15" t="s">
        <v>2121</v>
      </c>
      <c r="E45" s="16" t="s">
        <v>2095</v>
      </c>
      <c r="F45" s="14" t="s">
        <v>2114</v>
      </c>
      <c r="G45" s="17"/>
      <c r="H45" s="114" t="str">
        <f>Settings!$B$3&amp;".mit.obrpt.frt.ure.1"</f>
        <v>egy.mit.obrpt.frt.ure.1</v>
      </c>
      <c r="K45" s="18"/>
      <c r="L45" s="19">
        <f t="shared" ref="L45:AE45" si="13">MIN(L$35,L$25)</f>
        <v>0</v>
      </c>
      <c r="M45" s="19">
        <f t="shared" si="13"/>
        <v>0</v>
      </c>
      <c r="N45" s="19">
        <f t="shared" si="13"/>
        <v>0</v>
      </c>
      <c r="O45" s="19">
        <f t="shared" si="13"/>
        <v>0</v>
      </c>
      <c r="P45" s="19">
        <f t="shared" si="13"/>
        <v>0</v>
      </c>
      <c r="Q45" s="19">
        <f t="shared" si="13"/>
        <v>0</v>
      </c>
      <c r="R45" s="19">
        <f t="shared" si="13"/>
        <v>0</v>
      </c>
      <c r="S45" s="19">
        <f t="shared" si="13"/>
        <v>0</v>
      </c>
      <c r="T45" s="19">
        <f t="shared" si="13"/>
        <v>0</v>
      </c>
      <c r="U45" s="19">
        <f t="shared" si="13"/>
        <v>0</v>
      </c>
      <c r="V45" s="19">
        <f t="shared" si="13"/>
        <v>0</v>
      </c>
      <c r="W45" s="19">
        <f t="shared" si="13"/>
        <v>0</v>
      </c>
      <c r="X45" s="19">
        <f t="shared" si="13"/>
        <v>0</v>
      </c>
      <c r="Y45" s="19">
        <f t="shared" si="13"/>
        <v>0</v>
      </c>
      <c r="Z45" s="19">
        <f t="shared" si="13"/>
        <v>0</v>
      </c>
      <c r="AA45" s="19">
        <f t="shared" si="13"/>
        <v>0</v>
      </c>
      <c r="AB45" s="19">
        <f t="shared" si="13"/>
        <v>0</v>
      </c>
      <c r="AC45" s="19">
        <f t="shared" si="13"/>
        <v>0</v>
      </c>
      <c r="AD45" s="19">
        <f t="shared" si="13"/>
        <v>0</v>
      </c>
      <c r="AE45" s="19">
        <f t="shared" si="13"/>
        <v>0</v>
      </c>
    </row>
    <row r="46" spans="1:35" customFormat="1" ht="14.25" x14ac:dyDescent="0.45">
      <c r="B46" s="14" t="s">
        <v>1470</v>
      </c>
      <c r="C46" s="14" t="s">
        <v>117</v>
      </c>
      <c r="D46" s="15" t="s">
        <v>2122</v>
      </c>
      <c r="E46" s="16" t="s">
        <v>2095</v>
      </c>
      <c r="F46" s="14" t="s">
        <v>2114</v>
      </c>
      <c r="G46" s="17"/>
      <c r="H46" s="114" t="str">
        <f>Settings!$B$3&amp;".mit.obrpt.frt.nit.1"</f>
        <v>egy.mit.obrpt.frt.nit.1</v>
      </c>
      <c r="K46" s="18"/>
      <c r="L46" s="19">
        <f t="shared" ref="L46:AE46" si="14">MIN(L$36,L$26)</f>
        <v>0</v>
      </c>
      <c r="M46" s="19">
        <f t="shared" si="14"/>
        <v>0</v>
      </c>
      <c r="N46" s="19">
        <f t="shared" si="14"/>
        <v>0</v>
      </c>
      <c r="O46" s="19">
        <f t="shared" si="14"/>
        <v>0</v>
      </c>
      <c r="P46" s="19">
        <f t="shared" si="14"/>
        <v>0</v>
      </c>
      <c r="Q46" s="19">
        <f t="shared" si="14"/>
        <v>0</v>
      </c>
      <c r="R46" s="19">
        <f t="shared" si="14"/>
        <v>0</v>
      </c>
      <c r="S46" s="19">
        <f t="shared" si="14"/>
        <v>0</v>
      </c>
      <c r="T46" s="19">
        <f t="shared" si="14"/>
        <v>0</v>
      </c>
      <c r="U46" s="19">
        <f t="shared" si="14"/>
        <v>0</v>
      </c>
      <c r="V46" s="19">
        <f t="shared" si="14"/>
        <v>0</v>
      </c>
      <c r="W46" s="19">
        <f t="shared" si="14"/>
        <v>0</v>
      </c>
      <c r="X46" s="19">
        <f t="shared" si="14"/>
        <v>0</v>
      </c>
      <c r="Y46" s="19">
        <f t="shared" si="14"/>
        <v>0</v>
      </c>
      <c r="Z46" s="19">
        <f t="shared" si="14"/>
        <v>0</v>
      </c>
      <c r="AA46" s="19">
        <f t="shared" si="14"/>
        <v>0</v>
      </c>
      <c r="AB46" s="19">
        <f t="shared" si="14"/>
        <v>0</v>
      </c>
      <c r="AC46" s="19">
        <f t="shared" si="14"/>
        <v>0</v>
      </c>
      <c r="AD46" s="19">
        <f t="shared" si="14"/>
        <v>0</v>
      </c>
      <c r="AE46" s="19">
        <f t="shared" si="14"/>
        <v>0</v>
      </c>
    </row>
    <row r="47" spans="1:35" customFormat="1" ht="14.25" x14ac:dyDescent="0.45">
      <c r="B47" s="14" t="s">
        <v>1473</v>
      </c>
      <c r="C47" s="14" t="s">
        <v>115</v>
      </c>
      <c r="D47" s="15" t="s">
        <v>2123</v>
      </c>
      <c r="E47" s="16" t="s">
        <v>2095</v>
      </c>
      <c r="F47" s="14" t="s">
        <v>2114</v>
      </c>
      <c r="G47" s="17"/>
      <c r="H47" s="114" t="str">
        <f>Settings!$B$3&amp;".mit.obrpt.alu.prp.1"</f>
        <v>egy.mit.obrpt.alu.prp.1</v>
      </c>
      <c r="K47" s="18"/>
      <c r="L47" s="19">
        <f t="shared" ref="L47:AE47" si="15">MIN(L$37,L$27)</f>
        <v>0</v>
      </c>
      <c r="M47" s="19">
        <f t="shared" si="15"/>
        <v>0</v>
      </c>
      <c r="N47" s="19">
        <f t="shared" si="15"/>
        <v>0</v>
      </c>
      <c r="O47" s="19">
        <f t="shared" si="15"/>
        <v>0</v>
      </c>
      <c r="P47" s="19">
        <f t="shared" si="15"/>
        <v>0</v>
      </c>
      <c r="Q47" s="19">
        <f t="shared" si="15"/>
        <v>0</v>
      </c>
      <c r="R47" s="19">
        <f t="shared" si="15"/>
        <v>0</v>
      </c>
      <c r="S47" s="19">
        <f t="shared" si="15"/>
        <v>0</v>
      </c>
      <c r="T47" s="19">
        <f t="shared" si="15"/>
        <v>0</v>
      </c>
      <c r="U47" s="19">
        <f t="shared" si="15"/>
        <v>0</v>
      </c>
      <c r="V47" s="19">
        <f t="shared" si="15"/>
        <v>0</v>
      </c>
      <c r="W47" s="19">
        <f t="shared" si="15"/>
        <v>0</v>
      </c>
      <c r="X47" s="19">
        <f t="shared" si="15"/>
        <v>0</v>
      </c>
      <c r="Y47" s="19">
        <f t="shared" si="15"/>
        <v>0</v>
      </c>
      <c r="Z47" s="19">
        <f t="shared" si="15"/>
        <v>0</v>
      </c>
      <c r="AA47" s="19">
        <f t="shared" si="15"/>
        <v>0</v>
      </c>
      <c r="AB47" s="19">
        <f t="shared" si="15"/>
        <v>0</v>
      </c>
      <c r="AC47" s="19">
        <f t="shared" si="15"/>
        <v>0</v>
      </c>
      <c r="AD47" s="19">
        <f t="shared" si="15"/>
        <v>0</v>
      </c>
      <c r="AE47" s="19">
        <f t="shared" si="15"/>
        <v>0</v>
      </c>
    </row>
    <row r="49" spans="1:35" customFormat="1" ht="14.25" x14ac:dyDescent="0.45">
      <c r="A49" s="11"/>
      <c r="B49" s="6"/>
      <c r="C49" s="7" t="s">
        <v>2124</v>
      </c>
      <c r="D49" s="6" t="s">
        <v>1505</v>
      </c>
      <c r="E49" s="7" t="s">
        <v>35</v>
      </c>
      <c r="F49" s="7" t="s">
        <v>45</v>
      </c>
      <c r="G49" s="7" t="s">
        <v>37</v>
      </c>
      <c r="H49" s="12" t="s">
        <v>38</v>
      </c>
      <c r="I49" s="6" t="s">
        <v>39</v>
      </c>
      <c r="J49" s="48">
        <v>1</v>
      </c>
      <c r="K49" s="6">
        <v>2021</v>
      </c>
      <c r="L49" s="46">
        <v>2022</v>
      </c>
      <c r="M49" s="6">
        <v>2023</v>
      </c>
      <c r="N49" s="6">
        <v>2024</v>
      </c>
      <c r="O49" s="6">
        <v>2025</v>
      </c>
      <c r="P49" s="6">
        <v>2026</v>
      </c>
      <c r="Q49" s="6">
        <v>2027</v>
      </c>
      <c r="R49" s="6">
        <v>2028</v>
      </c>
      <c r="S49" s="6">
        <v>2029</v>
      </c>
      <c r="T49" s="6">
        <v>2030</v>
      </c>
      <c r="U49" s="6">
        <v>2031</v>
      </c>
      <c r="V49" s="6">
        <v>2032</v>
      </c>
      <c r="W49" s="6">
        <v>2033</v>
      </c>
      <c r="X49" s="6">
        <v>2034</v>
      </c>
      <c r="Y49" s="6">
        <v>2035</v>
      </c>
      <c r="Z49" s="6">
        <v>2036</v>
      </c>
      <c r="AA49" s="6">
        <v>2037</v>
      </c>
      <c r="AB49" s="6">
        <v>2038</v>
      </c>
      <c r="AC49" s="6">
        <v>2039</v>
      </c>
      <c r="AD49" s="6">
        <v>2040</v>
      </c>
      <c r="AE49" s="6">
        <v>2041</v>
      </c>
      <c r="AF49" s="6">
        <v>2042</v>
      </c>
      <c r="AG49" s="6">
        <v>2043</v>
      </c>
      <c r="AH49" s="6">
        <v>2044</v>
      </c>
      <c r="AI49" s="6">
        <v>2045</v>
      </c>
    </row>
    <row r="50" spans="1:35" customFormat="1" ht="14.25" x14ac:dyDescent="0.45">
      <c r="B50" s="14" t="s">
        <v>1452</v>
      </c>
      <c r="C50" s="14" t="s">
        <v>43</v>
      </c>
      <c r="D50" s="15" t="s">
        <v>2125</v>
      </c>
      <c r="E50" s="16" t="s">
        <v>2095</v>
      </c>
      <c r="F50" s="14" t="s">
        <v>2124</v>
      </c>
      <c r="G50" s="17"/>
      <c r="H50" s="114" t="str">
        <f>Settings!$B$3&amp;".mit.ccnet.stl.drg.1"</f>
        <v>egy.mit.ccnet.stl.drg.1</v>
      </c>
      <c r="K50" s="18"/>
      <c r="L50" s="19">
        <f t="shared" ref="L50:AE50" si="16">L$20-L$40</f>
        <v>0</v>
      </c>
      <c r="M50" s="19">
        <f t="shared" si="16"/>
        <v>0</v>
      </c>
      <c r="N50" s="19">
        <f t="shared" si="16"/>
        <v>0</v>
      </c>
      <c r="O50" s="19">
        <f t="shared" si="16"/>
        <v>0</v>
      </c>
      <c r="P50" s="19">
        <f t="shared" si="16"/>
        <v>0</v>
      </c>
      <c r="Q50" s="19">
        <f t="shared" si="16"/>
        <v>0</v>
      </c>
      <c r="R50" s="19">
        <f t="shared" si="16"/>
        <v>0</v>
      </c>
      <c r="S50" s="19">
        <f t="shared" si="16"/>
        <v>0</v>
      </c>
      <c r="T50" s="19">
        <f t="shared" si="16"/>
        <v>0</v>
      </c>
      <c r="U50" s="19">
        <f t="shared" si="16"/>
        <v>0</v>
      </c>
      <c r="V50" s="19">
        <f t="shared" si="16"/>
        <v>0</v>
      </c>
      <c r="W50" s="19">
        <f t="shared" si="16"/>
        <v>0</v>
      </c>
      <c r="X50" s="19">
        <f t="shared" si="16"/>
        <v>0</v>
      </c>
      <c r="Y50" s="19">
        <f t="shared" si="16"/>
        <v>0</v>
      </c>
      <c r="Z50" s="19">
        <f t="shared" si="16"/>
        <v>0</v>
      </c>
      <c r="AA50" s="19">
        <f t="shared" si="16"/>
        <v>0</v>
      </c>
      <c r="AB50" s="19">
        <f t="shared" si="16"/>
        <v>0</v>
      </c>
      <c r="AC50" s="19">
        <f t="shared" si="16"/>
        <v>0</v>
      </c>
      <c r="AD50" s="19">
        <f t="shared" si="16"/>
        <v>0</v>
      </c>
      <c r="AE50" s="19">
        <f t="shared" si="16"/>
        <v>0</v>
      </c>
    </row>
    <row r="51" spans="1:35" customFormat="1" ht="14.25" x14ac:dyDescent="0.45">
      <c r="B51" s="14" t="s">
        <v>1455</v>
      </c>
      <c r="C51" s="14" t="s">
        <v>43</v>
      </c>
      <c r="D51" s="15" t="s">
        <v>2126</v>
      </c>
      <c r="E51" s="16" t="s">
        <v>2095</v>
      </c>
      <c r="F51" s="14" t="s">
        <v>2124</v>
      </c>
      <c r="G51" s="17"/>
      <c r="H51" s="114" t="str">
        <f>Settings!$B$3&amp;".mit.ccnet.stl.scr.1"</f>
        <v>egy.mit.ccnet.stl.scr.1</v>
      </c>
      <c r="K51" s="18"/>
      <c r="L51" s="19">
        <f t="shared" ref="L51:AE51" si="17">L$21-L$41</f>
        <v>0</v>
      </c>
      <c r="M51" s="19">
        <f t="shared" si="17"/>
        <v>0</v>
      </c>
      <c r="N51" s="19">
        <f t="shared" si="17"/>
        <v>0</v>
      </c>
      <c r="O51" s="19">
        <f t="shared" si="17"/>
        <v>0</v>
      </c>
      <c r="P51" s="19">
        <f t="shared" si="17"/>
        <v>0</v>
      </c>
      <c r="Q51" s="19">
        <f t="shared" si="17"/>
        <v>0</v>
      </c>
      <c r="R51" s="19">
        <f t="shared" si="17"/>
        <v>0</v>
      </c>
      <c r="S51" s="19">
        <f t="shared" si="17"/>
        <v>0</v>
      </c>
      <c r="T51" s="19">
        <f t="shared" si="17"/>
        <v>0</v>
      </c>
      <c r="U51" s="19">
        <f t="shared" si="17"/>
        <v>0</v>
      </c>
      <c r="V51" s="19">
        <f t="shared" si="17"/>
        <v>0</v>
      </c>
      <c r="W51" s="19">
        <f t="shared" si="17"/>
        <v>0</v>
      </c>
      <c r="X51" s="19">
        <f t="shared" si="17"/>
        <v>0</v>
      </c>
      <c r="Y51" s="19">
        <f t="shared" si="17"/>
        <v>0</v>
      </c>
      <c r="Z51" s="19">
        <f t="shared" si="17"/>
        <v>0</v>
      </c>
      <c r="AA51" s="19">
        <f t="shared" si="17"/>
        <v>0</v>
      </c>
      <c r="AB51" s="19">
        <f t="shared" si="17"/>
        <v>0</v>
      </c>
      <c r="AC51" s="19">
        <f t="shared" si="17"/>
        <v>0</v>
      </c>
      <c r="AD51" s="19">
        <f t="shared" si="17"/>
        <v>0</v>
      </c>
      <c r="AE51" s="19">
        <f t="shared" si="17"/>
        <v>0</v>
      </c>
    </row>
    <row r="52" spans="1:35" customFormat="1" ht="14.25" x14ac:dyDescent="0.45">
      <c r="B52" s="14" t="s">
        <v>1458</v>
      </c>
      <c r="C52" s="14" t="s">
        <v>43</v>
      </c>
      <c r="D52" s="15" t="s">
        <v>2127</v>
      </c>
      <c r="E52" s="16" t="s">
        <v>2095</v>
      </c>
      <c r="F52" s="14" t="s">
        <v>2124</v>
      </c>
      <c r="G52" s="17"/>
      <c r="H52" s="114" t="str">
        <f>Settings!$B$3&amp;".mit.ccnet.stl.bof.1"</f>
        <v>egy.mit.ccnet.stl.bof.1</v>
      </c>
      <c r="K52" s="18"/>
      <c r="L52" s="19">
        <f t="shared" ref="L52:AE52" si="18">L$22-L$42</f>
        <v>0</v>
      </c>
      <c r="M52" s="19">
        <f t="shared" si="18"/>
        <v>0</v>
      </c>
      <c r="N52" s="19">
        <f t="shared" si="18"/>
        <v>0</v>
      </c>
      <c r="O52" s="19">
        <f t="shared" si="18"/>
        <v>0</v>
      </c>
      <c r="P52" s="19">
        <f t="shared" si="18"/>
        <v>0</v>
      </c>
      <c r="Q52" s="19">
        <f t="shared" si="18"/>
        <v>0</v>
      </c>
      <c r="R52" s="19">
        <f t="shared" si="18"/>
        <v>0</v>
      </c>
      <c r="S52" s="19">
        <f t="shared" si="18"/>
        <v>0</v>
      </c>
      <c r="T52" s="19">
        <f t="shared" si="18"/>
        <v>0</v>
      </c>
      <c r="U52" s="19">
        <f t="shared" si="18"/>
        <v>0</v>
      </c>
      <c r="V52" s="19">
        <f t="shared" si="18"/>
        <v>0</v>
      </c>
      <c r="W52" s="19">
        <f t="shared" si="18"/>
        <v>0</v>
      </c>
      <c r="X52" s="19">
        <f t="shared" si="18"/>
        <v>0</v>
      </c>
      <c r="Y52" s="19">
        <f t="shared" si="18"/>
        <v>0</v>
      </c>
      <c r="Z52" s="19">
        <f t="shared" si="18"/>
        <v>0</v>
      </c>
      <c r="AA52" s="19">
        <f t="shared" si="18"/>
        <v>0</v>
      </c>
      <c r="AB52" s="19">
        <f t="shared" si="18"/>
        <v>0</v>
      </c>
      <c r="AC52" s="19">
        <f t="shared" si="18"/>
        <v>0</v>
      </c>
      <c r="AD52" s="19">
        <f t="shared" si="18"/>
        <v>0</v>
      </c>
      <c r="AE52" s="19">
        <f t="shared" si="18"/>
        <v>0</v>
      </c>
    </row>
    <row r="53" spans="1:35" customFormat="1" ht="14.25" x14ac:dyDescent="0.45">
      <c r="B53" s="14" t="s">
        <v>1461</v>
      </c>
      <c r="C53" s="14" t="s">
        <v>113</v>
      </c>
      <c r="D53" s="15" t="s">
        <v>2128</v>
      </c>
      <c r="E53" s="16" t="s">
        <v>2095</v>
      </c>
      <c r="F53" s="14" t="s">
        <v>2124</v>
      </c>
      <c r="G53" s="17"/>
      <c r="H53" s="114" t="str">
        <f>Settings!$B$3&amp;".mit.ccnet.cmt.dry.1"</f>
        <v>egy.mit.ccnet.cmt.dry.1</v>
      </c>
      <c r="K53" s="18"/>
      <c r="L53" s="19">
        <f t="shared" ref="L53:AE53" si="19">L$23-L$43</f>
        <v>0</v>
      </c>
      <c r="M53" s="19">
        <f t="shared" si="19"/>
        <v>0</v>
      </c>
      <c r="N53" s="19">
        <f t="shared" si="19"/>
        <v>0</v>
      </c>
      <c r="O53" s="19">
        <f t="shared" si="19"/>
        <v>0</v>
      </c>
      <c r="P53" s="19">
        <f t="shared" si="19"/>
        <v>0</v>
      </c>
      <c r="Q53" s="19">
        <f t="shared" si="19"/>
        <v>0</v>
      </c>
      <c r="R53" s="19">
        <f t="shared" si="19"/>
        <v>0</v>
      </c>
      <c r="S53" s="19">
        <f t="shared" si="19"/>
        <v>0</v>
      </c>
      <c r="T53" s="19">
        <f t="shared" si="19"/>
        <v>0</v>
      </c>
      <c r="U53" s="19">
        <f t="shared" si="19"/>
        <v>0</v>
      </c>
      <c r="V53" s="19">
        <f t="shared" si="19"/>
        <v>0</v>
      </c>
      <c r="W53" s="19">
        <f t="shared" si="19"/>
        <v>0</v>
      </c>
      <c r="X53" s="19">
        <f t="shared" si="19"/>
        <v>0</v>
      </c>
      <c r="Y53" s="19">
        <f t="shared" si="19"/>
        <v>0</v>
      </c>
      <c r="Z53" s="19">
        <f t="shared" si="19"/>
        <v>0</v>
      </c>
      <c r="AA53" s="19">
        <f t="shared" si="19"/>
        <v>0</v>
      </c>
      <c r="AB53" s="19">
        <f t="shared" si="19"/>
        <v>0</v>
      </c>
      <c r="AC53" s="19">
        <f t="shared" si="19"/>
        <v>0</v>
      </c>
      <c r="AD53" s="19">
        <f t="shared" si="19"/>
        <v>0</v>
      </c>
      <c r="AE53" s="19">
        <f t="shared" si="19"/>
        <v>0</v>
      </c>
    </row>
    <row r="54" spans="1:35" customFormat="1" ht="14.25" x14ac:dyDescent="0.45">
      <c r="B54" s="14" t="s">
        <v>1464</v>
      </c>
      <c r="C54" s="14" t="s">
        <v>117</v>
      </c>
      <c r="D54" s="15" t="s">
        <v>2129</v>
      </c>
      <c r="E54" s="16" t="s">
        <v>2095</v>
      </c>
      <c r="F54" s="14" t="s">
        <v>2124</v>
      </c>
      <c r="G54" s="17"/>
      <c r="H54" s="114" t="str">
        <f>Settings!$B$3&amp;".mit.ccnet.frt.amc.1"</f>
        <v>egy.mit.ccnet.frt.amc.1</v>
      </c>
      <c r="K54" s="18"/>
      <c r="L54" s="19">
        <f t="shared" ref="L54:AE54" si="20">L$24-L$44</f>
        <v>0</v>
      </c>
      <c r="M54" s="19">
        <f t="shared" si="20"/>
        <v>0</v>
      </c>
      <c r="N54" s="19">
        <f t="shared" si="20"/>
        <v>0</v>
      </c>
      <c r="O54" s="19">
        <f t="shared" si="20"/>
        <v>0</v>
      </c>
      <c r="P54" s="19">
        <f t="shared" si="20"/>
        <v>0</v>
      </c>
      <c r="Q54" s="19">
        <f t="shared" si="20"/>
        <v>0</v>
      </c>
      <c r="R54" s="19">
        <f t="shared" si="20"/>
        <v>0</v>
      </c>
      <c r="S54" s="19">
        <f t="shared" si="20"/>
        <v>0</v>
      </c>
      <c r="T54" s="19">
        <f t="shared" si="20"/>
        <v>0</v>
      </c>
      <c r="U54" s="19">
        <f t="shared" si="20"/>
        <v>0</v>
      </c>
      <c r="V54" s="19">
        <f t="shared" si="20"/>
        <v>0</v>
      </c>
      <c r="W54" s="19">
        <f t="shared" si="20"/>
        <v>0</v>
      </c>
      <c r="X54" s="19">
        <f t="shared" si="20"/>
        <v>0</v>
      </c>
      <c r="Y54" s="19">
        <f t="shared" si="20"/>
        <v>0</v>
      </c>
      <c r="Z54" s="19">
        <f t="shared" si="20"/>
        <v>0</v>
      </c>
      <c r="AA54" s="19">
        <f t="shared" si="20"/>
        <v>0</v>
      </c>
      <c r="AB54" s="19">
        <f t="shared" si="20"/>
        <v>0</v>
      </c>
      <c r="AC54" s="19">
        <f t="shared" si="20"/>
        <v>0</v>
      </c>
      <c r="AD54" s="19">
        <f t="shared" si="20"/>
        <v>0</v>
      </c>
      <c r="AE54" s="19">
        <f t="shared" si="20"/>
        <v>0</v>
      </c>
    </row>
    <row r="55" spans="1:35" customFormat="1" ht="14.25" x14ac:dyDescent="0.45">
      <c r="B55" s="14" t="s">
        <v>1467</v>
      </c>
      <c r="C55" s="14" t="s">
        <v>117</v>
      </c>
      <c r="D55" s="15" t="s">
        <v>2130</v>
      </c>
      <c r="E55" s="16" t="s">
        <v>2095</v>
      </c>
      <c r="F55" s="14" t="s">
        <v>2124</v>
      </c>
      <c r="G55" s="17"/>
      <c r="H55" s="114" t="str">
        <f>Settings!$B$3&amp;".mit.ccnet.frt.ure.1"</f>
        <v>egy.mit.ccnet.frt.ure.1</v>
      </c>
      <c r="K55" s="18"/>
      <c r="L55" s="19">
        <f t="shared" ref="L55:AE55" si="21">L$25-L$45</f>
        <v>0</v>
      </c>
      <c r="M55" s="19">
        <f t="shared" si="21"/>
        <v>0</v>
      </c>
      <c r="N55" s="19">
        <f t="shared" si="21"/>
        <v>0</v>
      </c>
      <c r="O55" s="19">
        <f t="shared" si="21"/>
        <v>0</v>
      </c>
      <c r="P55" s="19">
        <f t="shared" si="21"/>
        <v>0</v>
      </c>
      <c r="Q55" s="19">
        <f t="shared" si="21"/>
        <v>0</v>
      </c>
      <c r="R55" s="19">
        <f t="shared" si="21"/>
        <v>0</v>
      </c>
      <c r="S55" s="19">
        <f t="shared" si="21"/>
        <v>0</v>
      </c>
      <c r="T55" s="19">
        <f t="shared" si="21"/>
        <v>0</v>
      </c>
      <c r="U55" s="19">
        <f t="shared" si="21"/>
        <v>0</v>
      </c>
      <c r="V55" s="19">
        <f t="shared" si="21"/>
        <v>0</v>
      </c>
      <c r="W55" s="19">
        <f t="shared" si="21"/>
        <v>0</v>
      </c>
      <c r="X55" s="19">
        <f t="shared" si="21"/>
        <v>0</v>
      </c>
      <c r="Y55" s="19">
        <f t="shared" si="21"/>
        <v>0</v>
      </c>
      <c r="Z55" s="19">
        <f t="shared" si="21"/>
        <v>0</v>
      </c>
      <c r="AA55" s="19">
        <f t="shared" si="21"/>
        <v>0</v>
      </c>
      <c r="AB55" s="19">
        <f t="shared" si="21"/>
        <v>0</v>
      </c>
      <c r="AC55" s="19">
        <f t="shared" si="21"/>
        <v>0</v>
      </c>
      <c r="AD55" s="19">
        <f t="shared" si="21"/>
        <v>0</v>
      </c>
      <c r="AE55" s="19">
        <f t="shared" si="21"/>
        <v>0</v>
      </c>
    </row>
    <row r="56" spans="1:35" customFormat="1" ht="14.25" x14ac:dyDescent="0.45">
      <c r="B56" s="14" t="s">
        <v>1470</v>
      </c>
      <c r="C56" s="14" t="s">
        <v>117</v>
      </c>
      <c r="D56" s="15" t="s">
        <v>2131</v>
      </c>
      <c r="E56" s="16" t="s">
        <v>2095</v>
      </c>
      <c r="F56" s="14" t="s">
        <v>2124</v>
      </c>
      <c r="G56" s="17"/>
      <c r="H56" s="114" t="str">
        <f>Settings!$B$3&amp;".mit.ccnet.frt.nit.1"</f>
        <v>egy.mit.ccnet.frt.nit.1</v>
      </c>
      <c r="K56" s="18"/>
      <c r="L56" s="19">
        <f t="shared" ref="L56:AE56" si="22">L$26-L$46</f>
        <v>0</v>
      </c>
      <c r="M56" s="19">
        <f t="shared" si="22"/>
        <v>0</v>
      </c>
      <c r="N56" s="19">
        <f t="shared" si="22"/>
        <v>0</v>
      </c>
      <c r="O56" s="19">
        <f t="shared" si="22"/>
        <v>0</v>
      </c>
      <c r="P56" s="19">
        <f t="shared" si="22"/>
        <v>0</v>
      </c>
      <c r="Q56" s="19">
        <f t="shared" si="22"/>
        <v>0</v>
      </c>
      <c r="R56" s="19">
        <f t="shared" si="22"/>
        <v>0</v>
      </c>
      <c r="S56" s="19">
        <f t="shared" si="22"/>
        <v>0</v>
      </c>
      <c r="T56" s="19">
        <f t="shared" si="22"/>
        <v>0</v>
      </c>
      <c r="U56" s="19">
        <f t="shared" si="22"/>
        <v>0</v>
      </c>
      <c r="V56" s="19">
        <f t="shared" si="22"/>
        <v>0</v>
      </c>
      <c r="W56" s="19">
        <f t="shared" si="22"/>
        <v>0</v>
      </c>
      <c r="X56" s="19">
        <f t="shared" si="22"/>
        <v>0</v>
      </c>
      <c r="Y56" s="19">
        <f t="shared" si="22"/>
        <v>0</v>
      </c>
      <c r="Z56" s="19">
        <f t="shared" si="22"/>
        <v>0</v>
      </c>
      <c r="AA56" s="19">
        <f t="shared" si="22"/>
        <v>0</v>
      </c>
      <c r="AB56" s="19">
        <f t="shared" si="22"/>
        <v>0</v>
      </c>
      <c r="AC56" s="19">
        <f t="shared" si="22"/>
        <v>0</v>
      </c>
      <c r="AD56" s="19">
        <f t="shared" si="22"/>
        <v>0</v>
      </c>
      <c r="AE56" s="19">
        <f t="shared" si="22"/>
        <v>0</v>
      </c>
    </row>
    <row r="57" spans="1:35" customFormat="1" ht="14.25" x14ac:dyDescent="0.45">
      <c r="B57" s="14" t="s">
        <v>1473</v>
      </c>
      <c r="C57" s="14" t="s">
        <v>115</v>
      </c>
      <c r="D57" s="15" t="s">
        <v>2132</v>
      </c>
      <c r="E57" s="16" t="s">
        <v>2095</v>
      </c>
      <c r="F57" s="14" t="s">
        <v>2124</v>
      </c>
      <c r="G57" s="17"/>
      <c r="H57" s="114" t="str">
        <f>Settings!$B$3&amp;".mit.ccnet.alu.prp.1"</f>
        <v>egy.mit.ccnet.alu.prp.1</v>
      </c>
      <c r="K57" s="18"/>
      <c r="L57" s="19">
        <f t="shared" ref="L57:AE57" si="23">L$27-L$47</f>
        <v>0</v>
      </c>
      <c r="M57" s="19">
        <f t="shared" si="23"/>
        <v>0</v>
      </c>
      <c r="N57" s="19">
        <f t="shared" si="23"/>
        <v>0</v>
      </c>
      <c r="O57" s="19">
        <f t="shared" si="23"/>
        <v>0</v>
      </c>
      <c r="P57" s="19">
        <f t="shared" si="23"/>
        <v>0</v>
      </c>
      <c r="Q57" s="19">
        <f t="shared" si="23"/>
        <v>0</v>
      </c>
      <c r="R57" s="19">
        <f t="shared" si="23"/>
        <v>0</v>
      </c>
      <c r="S57" s="19">
        <f t="shared" si="23"/>
        <v>0</v>
      </c>
      <c r="T57" s="19">
        <f t="shared" si="23"/>
        <v>0</v>
      </c>
      <c r="U57" s="19">
        <f t="shared" si="23"/>
        <v>0</v>
      </c>
      <c r="V57" s="19">
        <f t="shared" si="23"/>
        <v>0</v>
      </c>
      <c r="W57" s="19">
        <f t="shared" si="23"/>
        <v>0</v>
      </c>
      <c r="X57" s="19">
        <f t="shared" si="23"/>
        <v>0</v>
      </c>
      <c r="Y57" s="19">
        <f t="shared" si="23"/>
        <v>0</v>
      </c>
      <c r="Z57" s="19">
        <f t="shared" si="23"/>
        <v>0</v>
      </c>
      <c r="AA57" s="19">
        <f t="shared" si="23"/>
        <v>0</v>
      </c>
      <c r="AB57" s="19">
        <f t="shared" si="23"/>
        <v>0</v>
      </c>
      <c r="AC57" s="19">
        <f t="shared" si="23"/>
        <v>0</v>
      </c>
      <c r="AD57" s="19">
        <f t="shared" si="23"/>
        <v>0</v>
      </c>
      <c r="AE57" s="19">
        <f t="shared" si="23"/>
        <v>0</v>
      </c>
    </row>
    <row r="59" spans="1:35" customFormat="1" ht="14.25" x14ac:dyDescent="0.45">
      <c r="A59" s="11"/>
      <c r="B59" s="6"/>
      <c r="C59" s="7" t="s">
        <v>2133</v>
      </c>
      <c r="D59" s="6" t="s">
        <v>1505</v>
      </c>
      <c r="E59" s="7" t="s">
        <v>35</v>
      </c>
      <c r="F59" s="7" t="s">
        <v>45</v>
      </c>
      <c r="G59" s="7" t="s">
        <v>37</v>
      </c>
      <c r="H59" s="12" t="s">
        <v>38</v>
      </c>
      <c r="I59" s="6" t="s">
        <v>39</v>
      </c>
      <c r="J59" s="48">
        <v>1</v>
      </c>
      <c r="K59" s="6">
        <v>2021</v>
      </c>
      <c r="L59" s="46">
        <v>2022</v>
      </c>
      <c r="M59" s="6">
        <v>2023</v>
      </c>
      <c r="N59" s="6">
        <v>2024</v>
      </c>
      <c r="O59" s="6">
        <v>2025</v>
      </c>
      <c r="P59" s="6">
        <v>2026</v>
      </c>
      <c r="Q59" s="6">
        <v>2027</v>
      </c>
      <c r="R59" s="6">
        <v>2028</v>
      </c>
      <c r="S59" s="6">
        <v>2029</v>
      </c>
      <c r="T59" s="6">
        <v>2030</v>
      </c>
      <c r="U59" s="6">
        <v>2031</v>
      </c>
      <c r="V59" s="6">
        <v>2032</v>
      </c>
      <c r="W59" s="6">
        <v>2033</v>
      </c>
      <c r="X59" s="6">
        <v>2034</v>
      </c>
      <c r="Y59" s="6">
        <v>2035</v>
      </c>
      <c r="Z59" s="6">
        <v>2036</v>
      </c>
      <c r="AA59" s="6">
        <v>2037</v>
      </c>
      <c r="AB59" s="6">
        <v>2038</v>
      </c>
      <c r="AC59" s="6">
        <v>2039</v>
      </c>
      <c r="AD59" s="6">
        <v>2040</v>
      </c>
      <c r="AE59" s="6">
        <v>2041</v>
      </c>
      <c r="AF59" s="6">
        <v>2042</v>
      </c>
      <c r="AG59" s="6">
        <v>2043</v>
      </c>
      <c r="AH59" s="6">
        <v>2044</v>
      </c>
      <c r="AI59" s="6">
        <v>2045</v>
      </c>
    </row>
    <row r="60" spans="1:35" customFormat="1" ht="14.25" x14ac:dyDescent="0.45">
      <c r="B60" s="14" t="s">
        <v>1452</v>
      </c>
      <c r="C60" s="14" t="s">
        <v>43</v>
      </c>
      <c r="D60" s="15" t="s">
        <v>2134</v>
      </c>
      <c r="E60" s="16" t="s">
        <v>79</v>
      </c>
      <c r="F60" s="14" t="s">
        <v>2133</v>
      </c>
      <c r="G60" s="17"/>
      <c r="H60" s="114" t="str">
        <f>Settings!$B$3&amp;".mit.ppin.stl.drg.1"</f>
        <v>egy.mit.ppin.stl.drg.1</v>
      </c>
      <c r="I60" t="s">
        <v>2135</v>
      </c>
      <c r="K60" s="18"/>
      <c r="L60" s="19">
        <f>IF(Mitigation_Industry!L$288&lt;=0,0,L$50/Mitigation_Industry!L$288)</f>
        <v>0</v>
      </c>
      <c r="M60" s="19">
        <f>IF(Mitigation_Industry!M$288&lt;=0,0,M$50/Mitigation_Industry!M$288)</f>
        <v>0</v>
      </c>
      <c r="N60" s="19">
        <f>IF(Mitigation_Industry!N$288&lt;=0,0,N$50/Mitigation_Industry!N$288)</f>
        <v>0</v>
      </c>
      <c r="O60" s="19">
        <f>IF(Mitigation_Industry!O$288&lt;=0,0,O$50/Mitigation_Industry!O$288)</f>
        <v>0</v>
      </c>
      <c r="P60" s="19">
        <f>IF(Mitigation_Industry!P$288&lt;=0,0,P$50/Mitigation_Industry!P$288)</f>
        <v>0</v>
      </c>
      <c r="Q60" s="19">
        <f>IF(Mitigation_Industry!Q$288&lt;=0,0,Q$50/Mitigation_Industry!Q$288)</f>
        <v>0</v>
      </c>
      <c r="R60" s="19">
        <f>IF(Mitigation_Industry!R$288&lt;=0,0,R$50/Mitigation_Industry!R$288)</f>
        <v>0</v>
      </c>
      <c r="S60" s="19">
        <f>IF(Mitigation_Industry!S$288&lt;=0,0,S$50/Mitigation_Industry!S$288)</f>
        <v>0</v>
      </c>
      <c r="T60" s="19">
        <f>IF(Mitigation_Industry!T$288&lt;=0,0,T$50/Mitigation_Industry!T$288)</f>
        <v>0</v>
      </c>
      <c r="U60" s="19">
        <f>IF(Mitigation_Industry!U$288&lt;=0,0,U$50/Mitigation_Industry!U$288)</f>
        <v>0</v>
      </c>
      <c r="V60" s="19">
        <f>IF(Mitigation_Industry!V$288&lt;=0,0,V$50/Mitigation_Industry!V$288)</f>
        <v>0</v>
      </c>
      <c r="W60" s="19">
        <f>IF(Mitigation_Industry!W$288&lt;=0,0,W$50/Mitigation_Industry!W$288)</f>
        <v>0</v>
      </c>
      <c r="X60" s="19">
        <f>IF(Mitigation_Industry!X$288&lt;=0,0,X$50/Mitigation_Industry!X$288)</f>
        <v>0</v>
      </c>
      <c r="Y60" s="19">
        <f>IF(Mitigation_Industry!Y$288&lt;=0,0,Y$50/Mitigation_Industry!Y$288)</f>
        <v>0</v>
      </c>
      <c r="Z60" s="19">
        <f>IF(Mitigation_Industry!Z$288&lt;=0,0,Z$50/Mitigation_Industry!Z$288)</f>
        <v>0</v>
      </c>
      <c r="AA60" s="19">
        <f>IF(Mitigation_Industry!AA$288&lt;=0,0,AA$50/Mitigation_Industry!AA$288)</f>
        <v>0</v>
      </c>
      <c r="AB60" s="19">
        <f>IF(Mitigation_Industry!AB$288&lt;=0,0,AB$50/Mitigation_Industry!AB$288)</f>
        <v>0</v>
      </c>
      <c r="AC60" s="19">
        <f>IF(Mitigation_Industry!AC$288&lt;=0,0,AC$50/Mitigation_Industry!AC$288)</f>
        <v>0</v>
      </c>
      <c r="AD60" s="19">
        <f>IF(Mitigation_Industry!AD$288&lt;=0,0,AD$50/Mitigation_Industry!AD$288)</f>
        <v>0</v>
      </c>
      <c r="AE60" s="19">
        <f>IF(Mitigation_Industry!AE$288&lt;=0,0,AE$50/Mitigation_Industry!AE$288)</f>
        <v>0</v>
      </c>
    </row>
    <row r="61" spans="1:35" customFormat="1" ht="14.25" x14ac:dyDescent="0.45">
      <c r="B61" s="14" t="s">
        <v>1455</v>
      </c>
      <c r="C61" s="14" t="s">
        <v>43</v>
      </c>
      <c r="D61" s="15" t="s">
        <v>2136</v>
      </c>
      <c r="E61" s="16" t="s">
        <v>79</v>
      </c>
      <c r="F61" s="14" t="s">
        <v>2133</v>
      </c>
      <c r="G61" s="17"/>
      <c r="H61" s="114" t="str">
        <f>Settings!$B$3&amp;".mit.ppin.stl.scr.1"</f>
        <v>egy.mit.ppin.stl.scr.1</v>
      </c>
      <c r="K61" s="18"/>
      <c r="L61" s="19">
        <f>IF(Mitigation_Industry!L$289&lt;=0,0,L$51/Mitigation_Industry!L$289)</f>
        <v>0</v>
      </c>
      <c r="M61" s="19">
        <f>IF(Mitigation_Industry!M$289&lt;=0,0,M$51/Mitigation_Industry!M$289)</f>
        <v>0</v>
      </c>
      <c r="N61" s="19">
        <f>IF(Mitigation_Industry!N$289&lt;=0,0,N$51/Mitigation_Industry!N$289)</f>
        <v>0</v>
      </c>
      <c r="O61" s="19">
        <f>IF(Mitigation_Industry!O$289&lt;=0,0,O$51/Mitigation_Industry!O$289)</f>
        <v>0</v>
      </c>
      <c r="P61" s="19">
        <f>IF(Mitigation_Industry!P$289&lt;=0,0,P$51/Mitigation_Industry!P$289)</f>
        <v>0</v>
      </c>
      <c r="Q61" s="19">
        <f>IF(Mitigation_Industry!Q$289&lt;=0,0,Q$51/Mitigation_Industry!Q$289)</f>
        <v>0</v>
      </c>
      <c r="R61" s="19">
        <f>IF(Mitigation_Industry!R$289&lt;=0,0,R$51/Mitigation_Industry!R$289)</f>
        <v>0</v>
      </c>
      <c r="S61" s="19">
        <f>IF(Mitigation_Industry!S$289&lt;=0,0,S$51/Mitigation_Industry!S$289)</f>
        <v>0</v>
      </c>
      <c r="T61" s="19">
        <f>IF(Mitigation_Industry!T$289&lt;=0,0,T$51/Mitigation_Industry!T$289)</f>
        <v>0</v>
      </c>
      <c r="U61" s="19">
        <f>IF(Mitigation_Industry!U$289&lt;=0,0,U$51/Mitigation_Industry!U$289)</f>
        <v>0</v>
      </c>
      <c r="V61" s="19">
        <f>IF(Mitigation_Industry!V$289&lt;=0,0,V$51/Mitigation_Industry!V$289)</f>
        <v>0</v>
      </c>
      <c r="W61" s="19">
        <f>IF(Mitigation_Industry!W$289&lt;=0,0,W$51/Mitigation_Industry!W$289)</f>
        <v>0</v>
      </c>
      <c r="X61" s="19">
        <f>IF(Mitigation_Industry!X$289&lt;=0,0,X$51/Mitigation_Industry!X$289)</f>
        <v>0</v>
      </c>
      <c r="Y61" s="19">
        <f>IF(Mitigation_Industry!Y$289&lt;=0,0,Y$51/Mitigation_Industry!Y$289)</f>
        <v>0</v>
      </c>
      <c r="Z61" s="19">
        <f>IF(Mitigation_Industry!Z$289&lt;=0,0,Z$51/Mitigation_Industry!Z$289)</f>
        <v>0</v>
      </c>
      <c r="AA61" s="19">
        <f>IF(Mitigation_Industry!AA$289&lt;=0,0,AA$51/Mitigation_Industry!AA$289)</f>
        <v>0</v>
      </c>
      <c r="AB61" s="19">
        <f>IF(Mitigation_Industry!AB$289&lt;=0,0,AB$51/Mitigation_Industry!AB$289)</f>
        <v>0</v>
      </c>
      <c r="AC61" s="19">
        <f>IF(Mitigation_Industry!AC$289&lt;=0,0,AC$51/Mitigation_Industry!AC$289)</f>
        <v>0</v>
      </c>
      <c r="AD61" s="19">
        <f>IF(Mitigation_Industry!AD$289&lt;=0,0,AD$51/Mitigation_Industry!AD$289)</f>
        <v>0</v>
      </c>
      <c r="AE61" s="19">
        <f>IF(Mitigation_Industry!AE$289&lt;=0,0,AE$51/Mitigation_Industry!AE$289)</f>
        <v>0</v>
      </c>
    </row>
    <row r="62" spans="1:35" customFormat="1" ht="14.25" x14ac:dyDescent="0.45">
      <c r="B62" s="14" t="s">
        <v>1458</v>
      </c>
      <c r="C62" s="14" t="s">
        <v>43</v>
      </c>
      <c r="D62" s="15" t="s">
        <v>2137</v>
      </c>
      <c r="E62" s="16" t="s">
        <v>79</v>
      </c>
      <c r="F62" s="14" t="s">
        <v>2133</v>
      </c>
      <c r="G62" s="17"/>
      <c r="H62" s="114" t="str">
        <f>Settings!$B$3&amp;".mit.ppin.stl.bof.1"</f>
        <v>egy.mit.ppin.stl.bof.1</v>
      </c>
      <c r="K62" s="18"/>
      <c r="L62" s="19">
        <f>IF(Mitigation_Industry!L$290&lt;=0,0,L$52/Mitigation_Industry!L$290)</f>
        <v>0</v>
      </c>
      <c r="M62" s="19">
        <f>IF(Mitigation_Industry!M$290&lt;=0,0,M$52/Mitigation_Industry!M$290)</f>
        <v>0</v>
      </c>
      <c r="N62" s="19">
        <f>IF(Mitigation_Industry!N$290&lt;=0,0,N$52/Mitigation_Industry!N$290)</f>
        <v>0</v>
      </c>
      <c r="O62" s="19">
        <f>IF(Mitigation_Industry!O$290&lt;=0,0,O$52/Mitigation_Industry!O$290)</f>
        <v>0</v>
      </c>
      <c r="P62" s="19">
        <f>IF(Mitigation_Industry!P$290&lt;=0,0,P$52/Mitigation_Industry!P$290)</f>
        <v>0</v>
      </c>
      <c r="Q62" s="19">
        <f>IF(Mitigation_Industry!Q$290&lt;=0,0,Q$52/Mitigation_Industry!Q$290)</f>
        <v>0</v>
      </c>
      <c r="R62" s="19">
        <f>IF(Mitigation_Industry!R$290&lt;=0,0,R$52/Mitigation_Industry!R$290)</f>
        <v>0</v>
      </c>
      <c r="S62" s="19">
        <f>IF(Mitigation_Industry!S$290&lt;=0,0,S$52/Mitigation_Industry!S$290)</f>
        <v>0</v>
      </c>
      <c r="T62" s="19">
        <f>IF(Mitigation_Industry!T$290&lt;=0,0,T$52/Mitigation_Industry!T$290)</f>
        <v>0</v>
      </c>
      <c r="U62" s="19">
        <f>IF(Mitigation_Industry!U$290&lt;=0,0,U$52/Mitigation_Industry!U$290)</f>
        <v>0</v>
      </c>
      <c r="V62" s="19">
        <f>IF(Mitigation_Industry!V$290&lt;=0,0,V$52/Mitigation_Industry!V$290)</f>
        <v>0</v>
      </c>
      <c r="W62" s="19">
        <f>IF(Mitigation_Industry!W$290&lt;=0,0,W$52/Mitigation_Industry!W$290)</f>
        <v>0</v>
      </c>
      <c r="X62" s="19">
        <f>IF(Mitigation_Industry!X$290&lt;=0,0,X$52/Mitigation_Industry!X$290)</f>
        <v>0</v>
      </c>
      <c r="Y62" s="19">
        <f>IF(Mitigation_Industry!Y$290&lt;=0,0,Y$52/Mitigation_Industry!Y$290)</f>
        <v>0</v>
      </c>
      <c r="Z62" s="19">
        <f>IF(Mitigation_Industry!Z$290&lt;=0,0,Z$52/Mitigation_Industry!Z$290)</f>
        <v>0</v>
      </c>
      <c r="AA62" s="19">
        <f>IF(Mitigation_Industry!AA$290&lt;=0,0,AA$52/Mitigation_Industry!AA$290)</f>
        <v>0</v>
      </c>
      <c r="AB62" s="19">
        <f>IF(Mitigation_Industry!AB$290&lt;=0,0,AB$52/Mitigation_Industry!AB$290)</f>
        <v>0</v>
      </c>
      <c r="AC62" s="19">
        <f>IF(Mitigation_Industry!AC$290&lt;=0,0,AC$52/Mitigation_Industry!AC$290)</f>
        <v>0</v>
      </c>
      <c r="AD62" s="19">
        <f>IF(Mitigation_Industry!AD$290&lt;=0,0,AD$52/Mitigation_Industry!AD$290)</f>
        <v>0</v>
      </c>
      <c r="AE62" s="19">
        <f>IF(Mitigation_Industry!AE$290&lt;=0,0,AE$52/Mitigation_Industry!AE$290)</f>
        <v>0</v>
      </c>
    </row>
    <row r="63" spans="1:35" customFormat="1" ht="14.25" x14ac:dyDescent="0.45">
      <c r="B63" s="14" t="s">
        <v>1461</v>
      </c>
      <c r="C63" s="14" t="s">
        <v>113</v>
      </c>
      <c r="D63" s="15" t="s">
        <v>2138</v>
      </c>
      <c r="E63" s="16" t="s">
        <v>79</v>
      </c>
      <c r="F63" s="14" t="s">
        <v>2133</v>
      </c>
      <c r="G63" s="17"/>
      <c r="H63" s="114" t="str">
        <f>Settings!$B$3&amp;".mit.ppin.cmt.dry.1"</f>
        <v>egy.mit.ppin.cmt.dry.1</v>
      </c>
      <c r="K63" s="18"/>
      <c r="L63" s="19">
        <f>IF(Mitigation_Industry!L$291&lt;=0,0,L$53/Mitigation_Industry!L$291)</f>
        <v>0</v>
      </c>
      <c r="M63" s="19">
        <f>IF(Mitigation_Industry!M$291&lt;=0,0,M$53/Mitigation_Industry!M$291)</f>
        <v>0</v>
      </c>
      <c r="N63" s="19">
        <f>IF(Mitigation_Industry!N$291&lt;=0,0,N$53/Mitigation_Industry!N$291)</f>
        <v>0</v>
      </c>
      <c r="O63" s="19">
        <f>IF(Mitigation_Industry!O$291&lt;=0,0,O$53/Mitigation_Industry!O$291)</f>
        <v>0</v>
      </c>
      <c r="P63" s="19">
        <f>IF(Mitigation_Industry!P$291&lt;=0,0,P$53/Mitigation_Industry!P$291)</f>
        <v>0</v>
      </c>
      <c r="Q63" s="19">
        <f>IF(Mitigation_Industry!Q$291&lt;=0,0,Q$53/Mitigation_Industry!Q$291)</f>
        <v>0</v>
      </c>
      <c r="R63" s="19">
        <f>IF(Mitigation_Industry!R$291&lt;=0,0,R$53/Mitigation_Industry!R$291)</f>
        <v>0</v>
      </c>
      <c r="S63" s="19">
        <f>IF(Mitigation_Industry!S$291&lt;=0,0,S$53/Mitigation_Industry!S$291)</f>
        <v>0</v>
      </c>
      <c r="T63" s="19">
        <f>IF(Mitigation_Industry!T$291&lt;=0,0,T$53/Mitigation_Industry!T$291)</f>
        <v>0</v>
      </c>
      <c r="U63" s="19">
        <f>IF(Mitigation_Industry!U$291&lt;=0,0,U$53/Mitigation_Industry!U$291)</f>
        <v>0</v>
      </c>
      <c r="V63" s="19">
        <f>IF(Mitigation_Industry!V$291&lt;=0,0,V$53/Mitigation_Industry!V$291)</f>
        <v>0</v>
      </c>
      <c r="W63" s="19">
        <f>IF(Mitigation_Industry!W$291&lt;=0,0,W$53/Mitigation_Industry!W$291)</f>
        <v>0</v>
      </c>
      <c r="X63" s="19">
        <f>IF(Mitigation_Industry!X$291&lt;=0,0,X$53/Mitigation_Industry!X$291)</f>
        <v>0</v>
      </c>
      <c r="Y63" s="19">
        <f>IF(Mitigation_Industry!Y$291&lt;=0,0,Y$53/Mitigation_Industry!Y$291)</f>
        <v>0</v>
      </c>
      <c r="Z63" s="19">
        <f>IF(Mitigation_Industry!Z$291&lt;=0,0,Z$53/Mitigation_Industry!Z$291)</f>
        <v>0</v>
      </c>
      <c r="AA63" s="19">
        <f>IF(Mitigation_Industry!AA$291&lt;=0,0,AA$53/Mitigation_Industry!AA$291)</f>
        <v>0</v>
      </c>
      <c r="AB63" s="19">
        <f>IF(Mitigation_Industry!AB$291&lt;=0,0,AB$53/Mitigation_Industry!AB$291)</f>
        <v>0</v>
      </c>
      <c r="AC63" s="19">
        <f>IF(Mitigation_Industry!AC$291&lt;=0,0,AC$53/Mitigation_Industry!AC$291)</f>
        <v>0</v>
      </c>
      <c r="AD63" s="19">
        <f>IF(Mitigation_Industry!AD$291&lt;=0,0,AD$53/Mitigation_Industry!AD$291)</f>
        <v>0</v>
      </c>
      <c r="AE63" s="19">
        <f>IF(Mitigation_Industry!AE$291&lt;=0,0,AE$53/Mitigation_Industry!AE$291)</f>
        <v>0</v>
      </c>
    </row>
    <row r="64" spans="1:35" customFormat="1" ht="14.25" x14ac:dyDescent="0.45">
      <c r="B64" s="14" t="s">
        <v>1464</v>
      </c>
      <c r="C64" s="14" t="s">
        <v>117</v>
      </c>
      <c r="D64" s="15" t="s">
        <v>2139</v>
      </c>
      <c r="E64" s="16" t="s">
        <v>79</v>
      </c>
      <c r="F64" s="14" t="s">
        <v>2133</v>
      </c>
      <c r="G64" s="17"/>
      <c r="H64" s="114" t="str">
        <f>Settings!$B$3&amp;".mit.ppin.frt.amc.1"</f>
        <v>egy.mit.ppin.frt.amc.1</v>
      </c>
      <c r="K64" s="18"/>
      <c r="L64" s="19">
        <f>IF(Mitigation_Industry!L$292&lt;=0,0,L$54/Mitigation_Industry!L$292)</f>
        <v>0</v>
      </c>
      <c r="M64" s="19">
        <f>IF(Mitigation_Industry!M$292&lt;=0,0,M$54/Mitigation_Industry!M$292)</f>
        <v>0</v>
      </c>
      <c r="N64" s="19">
        <f>IF(Mitigation_Industry!N$292&lt;=0,0,N$54/Mitigation_Industry!N$292)</f>
        <v>0</v>
      </c>
      <c r="O64" s="19">
        <f>IF(Mitigation_Industry!O$292&lt;=0,0,O$54/Mitigation_Industry!O$292)</f>
        <v>0</v>
      </c>
      <c r="P64" s="19">
        <f>IF(Mitigation_Industry!P$292&lt;=0,0,P$54/Mitigation_Industry!P$292)</f>
        <v>0</v>
      </c>
      <c r="Q64" s="19">
        <f>IF(Mitigation_Industry!Q$292&lt;=0,0,Q$54/Mitigation_Industry!Q$292)</f>
        <v>0</v>
      </c>
      <c r="R64" s="19">
        <f>IF(Mitigation_Industry!R$292&lt;=0,0,R$54/Mitigation_Industry!R$292)</f>
        <v>0</v>
      </c>
      <c r="S64" s="19">
        <f>IF(Mitigation_Industry!S$292&lt;=0,0,S$54/Mitigation_Industry!S$292)</f>
        <v>0</v>
      </c>
      <c r="T64" s="19">
        <f>IF(Mitigation_Industry!T$292&lt;=0,0,T$54/Mitigation_Industry!T$292)</f>
        <v>0</v>
      </c>
      <c r="U64" s="19">
        <f>IF(Mitigation_Industry!U$292&lt;=0,0,U$54/Mitigation_Industry!U$292)</f>
        <v>0</v>
      </c>
      <c r="V64" s="19">
        <f>IF(Mitigation_Industry!V$292&lt;=0,0,V$54/Mitigation_Industry!V$292)</f>
        <v>0</v>
      </c>
      <c r="W64" s="19">
        <f>IF(Mitigation_Industry!W$292&lt;=0,0,W$54/Mitigation_Industry!W$292)</f>
        <v>0</v>
      </c>
      <c r="X64" s="19">
        <f>IF(Mitigation_Industry!X$292&lt;=0,0,X$54/Mitigation_Industry!X$292)</f>
        <v>0</v>
      </c>
      <c r="Y64" s="19">
        <f>IF(Mitigation_Industry!Y$292&lt;=0,0,Y$54/Mitigation_Industry!Y$292)</f>
        <v>0</v>
      </c>
      <c r="Z64" s="19">
        <f>IF(Mitigation_Industry!Z$292&lt;=0,0,Z$54/Mitigation_Industry!Z$292)</f>
        <v>0</v>
      </c>
      <c r="AA64" s="19">
        <f>IF(Mitigation_Industry!AA$292&lt;=0,0,AA$54/Mitigation_Industry!AA$292)</f>
        <v>0</v>
      </c>
      <c r="AB64" s="19">
        <f>IF(Mitigation_Industry!AB$292&lt;=0,0,AB$54/Mitigation_Industry!AB$292)</f>
        <v>0</v>
      </c>
      <c r="AC64" s="19">
        <f>IF(Mitigation_Industry!AC$292&lt;=0,0,AC$54/Mitigation_Industry!AC$292)</f>
        <v>0</v>
      </c>
      <c r="AD64" s="19">
        <f>IF(Mitigation_Industry!AD$292&lt;=0,0,AD$54/Mitigation_Industry!AD$292)</f>
        <v>0</v>
      </c>
      <c r="AE64" s="19">
        <f>IF(Mitigation_Industry!AE$292&lt;=0,0,AE$54/Mitigation_Industry!AE$292)</f>
        <v>0</v>
      </c>
    </row>
    <row r="65" spans="1:35" customFormat="1" ht="14.25" x14ac:dyDescent="0.45">
      <c r="B65" s="14" t="s">
        <v>1467</v>
      </c>
      <c r="C65" s="14" t="s">
        <v>117</v>
      </c>
      <c r="D65" s="15" t="s">
        <v>2140</v>
      </c>
      <c r="E65" s="16" t="s">
        <v>79</v>
      </c>
      <c r="F65" s="14" t="s">
        <v>2133</v>
      </c>
      <c r="G65" s="17"/>
      <c r="H65" s="114" t="str">
        <f>Settings!$B$3&amp;".mit.ppin.frt.ure.1"</f>
        <v>egy.mit.ppin.frt.ure.1</v>
      </c>
      <c r="K65" s="18"/>
      <c r="L65" s="19">
        <f>IF(Mitigation_Industry!L$293&lt;=0,0,L$55/Mitigation_Industry!L$293)</f>
        <v>0</v>
      </c>
      <c r="M65" s="19">
        <f>IF(Mitigation_Industry!M$293&lt;=0,0,M$55/Mitigation_Industry!M$293)</f>
        <v>0</v>
      </c>
      <c r="N65" s="19">
        <f>IF(Mitigation_Industry!N$293&lt;=0,0,N$55/Mitigation_Industry!N$293)</f>
        <v>0</v>
      </c>
      <c r="O65" s="19">
        <f>IF(Mitigation_Industry!O$293&lt;=0,0,O$55/Mitigation_Industry!O$293)</f>
        <v>0</v>
      </c>
      <c r="P65" s="19">
        <f>IF(Mitigation_Industry!P$293&lt;=0,0,P$55/Mitigation_Industry!P$293)</f>
        <v>0</v>
      </c>
      <c r="Q65" s="19">
        <f>IF(Mitigation_Industry!Q$293&lt;=0,0,Q$55/Mitigation_Industry!Q$293)</f>
        <v>0</v>
      </c>
      <c r="R65" s="19">
        <f>IF(Mitigation_Industry!R$293&lt;=0,0,R$55/Mitigation_Industry!R$293)</f>
        <v>0</v>
      </c>
      <c r="S65" s="19">
        <f>IF(Mitigation_Industry!S$293&lt;=0,0,S$55/Mitigation_Industry!S$293)</f>
        <v>0</v>
      </c>
      <c r="T65" s="19">
        <f>IF(Mitigation_Industry!T$293&lt;=0,0,T$55/Mitigation_Industry!T$293)</f>
        <v>0</v>
      </c>
      <c r="U65" s="19">
        <f>IF(Mitigation_Industry!U$293&lt;=0,0,U$55/Mitigation_Industry!U$293)</f>
        <v>0</v>
      </c>
      <c r="V65" s="19">
        <f>IF(Mitigation_Industry!V$293&lt;=0,0,V$55/Mitigation_Industry!V$293)</f>
        <v>0</v>
      </c>
      <c r="W65" s="19">
        <f>IF(Mitigation_Industry!W$293&lt;=0,0,W$55/Mitigation_Industry!W$293)</f>
        <v>0</v>
      </c>
      <c r="X65" s="19">
        <f>IF(Mitigation_Industry!X$293&lt;=0,0,X$55/Mitigation_Industry!X$293)</f>
        <v>0</v>
      </c>
      <c r="Y65" s="19">
        <f>IF(Mitigation_Industry!Y$293&lt;=0,0,Y$55/Mitigation_Industry!Y$293)</f>
        <v>0</v>
      </c>
      <c r="Z65" s="19">
        <f>IF(Mitigation_Industry!Z$293&lt;=0,0,Z$55/Mitigation_Industry!Z$293)</f>
        <v>0</v>
      </c>
      <c r="AA65" s="19">
        <f>IF(Mitigation_Industry!AA$293&lt;=0,0,AA$55/Mitigation_Industry!AA$293)</f>
        <v>0</v>
      </c>
      <c r="AB65" s="19">
        <f>IF(Mitigation_Industry!AB$293&lt;=0,0,AB$55/Mitigation_Industry!AB$293)</f>
        <v>0</v>
      </c>
      <c r="AC65" s="19">
        <f>IF(Mitigation_Industry!AC$293&lt;=0,0,AC$55/Mitigation_Industry!AC$293)</f>
        <v>0</v>
      </c>
      <c r="AD65" s="19">
        <f>IF(Mitigation_Industry!AD$293&lt;=0,0,AD$55/Mitigation_Industry!AD$293)</f>
        <v>0</v>
      </c>
      <c r="AE65" s="19">
        <f>IF(Mitigation_Industry!AE$293&lt;=0,0,AE$55/Mitigation_Industry!AE$293)</f>
        <v>0</v>
      </c>
    </row>
    <row r="66" spans="1:35" customFormat="1" ht="14.25" x14ac:dyDescent="0.45">
      <c r="B66" s="14" t="s">
        <v>1470</v>
      </c>
      <c r="C66" s="14" t="s">
        <v>117</v>
      </c>
      <c r="D66" s="15" t="s">
        <v>2141</v>
      </c>
      <c r="E66" s="16" t="s">
        <v>79</v>
      </c>
      <c r="F66" s="14" t="s">
        <v>2133</v>
      </c>
      <c r="G66" s="17"/>
      <c r="H66" s="114" t="str">
        <f>Settings!$B$3&amp;".mit.ppin.frt.nit.1"</f>
        <v>egy.mit.ppin.frt.nit.1</v>
      </c>
      <c r="K66" s="18"/>
      <c r="L66" s="19">
        <f>IF(Mitigation_Industry!L$294&lt;=0,0,L$56/Mitigation_Industry!L$294)</f>
        <v>0</v>
      </c>
      <c r="M66" s="19">
        <f>IF(Mitigation_Industry!M$294&lt;=0,0,M$56/Mitigation_Industry!M$294)</f>
        <v>0</v>
      </c>
      <c r="N66" s="19">
        <f>IF(Mitigation_Industry!N$294&lt;=0,0,N$56/Mitigation_Industry!N$294)</f>
        <v>0</v>
      </c>
      <c r="O66" s="19">
        <f>IF(Mitigation_Industry!O$294&lt;=0,0,O$56/Mitigation_Industry!O$294)</f>
        <v>0</v>
      </c>
      <c r="P66" s="19">
        <f>IF(Mitigation_Industry!P$294&lt;=0,0,P$56/Mitigation_Industry!P$294)</f>
        <v>0</v>
      </c>
      <c r="Q66" s="19">
        <f>IF(Mitigation_Industry!Q$294&lt;=0,0,Q$56/Mitigation_Industry!Q$294)</f>
        <v>0</v>
      </c>
      <c r="R66" s="19">
        <f>IF(Mitigation_Industry!R$294&lt;=0,0,R$56/Mitigation_Industry!R$294)</f>
        <v>0</v>
      </c>
      <c r="S66" s="19">
        <f>IF(Mitigation_Industry!S$294&lt;=0,0,S$56/Mitigation_Industry!S$294)</f>
        <v>0</v>
      </c>
      <c r="T66" s="19">
        <f>IF(Mitigation_Industry!T$294&lt;=0,0,T$56/Mitigation_Industry!T$294)</f>
        <v>0</v>
      </c>
      <c r="U66" s="19">
        <f>IF(Mitigation_Industry!U$294&lt;=0,0,U$56/Mitigation_Industry!U$294)</f>
        <v>0</v>
      </c>
      <c r="V66" s="19">
        <f>IF(Mitigation_Industry!V$294&lt;=0,0,V$56/Mitigation_Industry!V$294)</f>
        <v>0</v>
      </c>
      <c r="W66" s="19">
        <f>IF(Mitigation_Industry!W$294&lt;=0,0,W$56/Mitigation_Industry!W$294)</f>
        <v>0</v>
      </c>
      <c r="X66" s="19">
        <f>IF(Mitigation_Industry!X$294&lt;=0,0,X$56/Mitigation_Industry!X$294)</f>
        <v>0</v>
      </c>
      <c r="Y66" s="19">
        <f>IF(Mitigation_Industry!Y$294&lt;=0,0,Y$56/Mitigation_Industry!Y$294)</f>
        <v>0</v>
      </c>
      <c r="Z66" s="19">
        <f>IF(Mitigation_Industry!Z$294&lt;=0,0,Z$56/Mitigation_Industry!Z$294)</f>
        <v>0</v>
      </c>
      <c r="AA66" s="19">
        <f>IF(Mitigation_Industry!AA$294&lt;=0,0,AA$56/Mitigation_Industry!AA$294)</f>
        <v>0</v>
      </c>
      <c r="AB66" s="19">
        <f>IF(Mitigation_Industry!AB$294&lt;=0,0,AB$56/Mitigation_Industry!AB$294)</f>
        <v>0</v>
      </c>
      <c r="AC66" s="19">
        <f>IF(Mitigation_Industry!AC$294&lt;=0,0,AC$56/Mitigation_Industry!AC$294)</f>
        <v>0</v>
      </c>
      <c r="AD66" s="19">
        <f>IF(Mitigation_Industry!AD$294&lt;=0,0,AD$56/Mitigation_Industry!AD$294)</f>
        <v>0</v>
      </c>
      <c r="AE66" s="19">
        <f>IF(Mitigation_Industry!AE$294&lt;=0,0,AE$56/Mitigation_Industry!AE$294)</f>
        <v>0</v>
      </c>
    </row>
    <row r="67" spans="1:35" customFormat="1" ht="14.25" x14ac:dyDescent="0.45">
      <c r="B67" s="14" t="s">
        <v>1473</v>
      </c>
      <c r="C67" s="14" t="s">
        <v>115</v>
      </c>
      <c r="D67" s="15" t="s">
        <v>2142</v>
      </c>
      <c r="E67" s="16" t="s">
        <v>79</v>
      </c>
      <c r="F67" s="14" t="s">
        <v>2133</v>
      </c>
      <c r="G67" s="17"/>
      <c r="H67" s="114" t="str">
        <f>Settings!$B$3&amp;".mit.ppin.alu.prp.1"</f>
        <v>egy.mit.ppin.alu.prp.1</v>
      </c>
      <c r="K67" s="18"/>
      <c r="L67" s="19">
        <f>IF(Mitigation_Industry!L$295&lt;=0,0,L$57/Mitigation_Industry!L$295)</f>
        <v>0</v>
      </c>
      <c r="M67" s="19">
        <f>IF(Mitigation_Industry!M$295&lt;=0,0,M$57/Mitigation_Industry!M$295)</f>
        <v>0</v>
      </c>
      <c r="N67" s="19">
        <f>IF(Mitigation_Industry!N$295&lt;=0,0,N$57/Mitigation_Industry!N$295)</f>
        <v>0</v>
      </c>
      <c r="O67" s="19">
        <f>IF(Mitigation_Industry!O$295&lt;=0,0,O$57/Mitigation_Industry!O$295)</f>
        <v>0</v>
      </c>
      <c r="P67" s="19">
        <f>IF(Mitigation_Industry!P$295&lt;=0,0,P$57/Mitigation_Industry!P$295)</f>
        <v>0</v>
      </c>
      <c r="Q67" s="19">
        <f>IF(Mitigation_Industry!Q$295&lt;=0,0,Q$57/Mitigation_Industry!Q$295)</f>
        <v>0</v>
      </c>
      <c r="R67" s="19">
        <f>IF(Mitigation_Industry!R$295&lt;=0,0,R$57/Mitigation_Industry!R$295)</f>
        <v>0</v>
      </c>
      <c r="S67" s="19">
        <f>IF(Mitigation_Industry!S$295&lt;=0,0,S$57/Mitigation_Industry!S$295)</f>
        <v>0</v>
      </c>
      <c r="T67" s="19">
        <f>IF(Mitigation_Industry!T$295&lt;=0,0,T$57/Mitigation_Industry!T$295)</f>
        <v>0</v>
      </c>
      <c r="U67" s="19">
        <f>IF(Mitigation_Industry!U$295&lt;=0,0,U$57/Mitigation_Industry!U$295)</f>
        <v>0</v>
      </c>
      <c r="V67" s="19">
        <f>IF(Mitigation_Industry!V$295&lt;=0,0,V$57/Mitigation_Industry!V$295)</f>
        <v>0</v>
      </c>
      <c r="W67" s="19">
        <f>IF(Mitigation_Industry!W$295&lt;=0,0,W$57/Mitigation_Industry!W$295)</f>
        <v>0</v>
      </c>
      <c r="X67" s="19">
        <f>IF(Mitigation_Industry!X$295&lt;=0,0,X$57/Mitigation_Industry!X$295)</f>
        <v>0</v>
      </c>
      <c r="Y67" s="19">
        <f>IF(Mitigation_Industry!Y$295&lt;=0,0,Y$57/Mitigation_Industry!Y$295)</f>
        <v>0</v>
      </c>
      <c r="Z67" s="19">
        <f>IF(Mitigation_Industry!Z$295&lt;=0,0,Z$57/Mitigation_Industry!Z$295)</f>
        <v>0</v>
      </c>
      <c r="AA67" s="19">
        <f>IF(Mitigation_Industry!AA$295&lt;=0,0,AA$57/Mitigation_Industry!AA$295)</f>
        <v>0</v>
      </c>
      <c r="AB67" s="19">
        <f>IF(Mitigation_Industry!AB$295&lt;=0,0,AB$57/Mitigation_Industry!AB$295)</f>
        <v>0</v>
      </c>
      <c r="AC67" s="19">
        <f>IF(Mitigation_Industry!AC$295&lt;=0,0,AC$57/Mitigation_Industry!AC$295)</f>
        <v>0</v>
      </c>
      <c r="AD67" s="19">
        <f>IF(Mitigation_Industry!AD$295&lt;=0,0,AD$57/Mitigation_Industry!AD$295)</f>
        <v>0</v>
      </c>
      <c r="AE67" s="19">
        <f>IF(Mitigation_Industry!AE$295&lt;=0,0,AE$57/Mitigation_Industry!AE$295)</f>
        <v>0</v>
      </c>
    </row>
    <row r="69" spans="1:35" customFormat="1" ht="14.25" x14ac:dyDescent="0.45">
      <c r="A69" s="11"/>
      <c r="B69" s="6"/>
      <c r="C69" s="7" t="s">
        <v>2143</v>
      </c>
      <c r="D69" s="6" t="s">
        <v>1505</v>
      </c>
      <c r="E69" s="7" t="s">
        <v>35</v>
      </c>
      <c r="F69" s="7" t="s">
        <v>45</v>
      </c>
      <c r="G69" s="7" t="s">
        <v>37</v>
      </c>
      <c r="H69" s="12" t="s">
        <v>38</v>
      </c>
      <c r="I69" s="6" t="s">
        <v>39</v>
      </c>
      <c r="J69" s="48">
        <v>1</v>
      </c>
      <c r="K69" s="6">
        <v>2021</v>
      </c>
      <c r="L69" s="46">
        <v>2022</v>
      </c>
      <c r="M69" s="6">
        <v>2023</v>
      </c>
      <c r="N69" s="6">
        <v>2024</v>
      </c>
      <c r="O69" s="6">
        <v>2025</v>
      </c>
      <c r="P69" s="6">
        <v>2026</v>
      </c>
      <c r="Q69" s="6">
        <v>2027</v>
      </c>
      <c r="R69" s="6">
        <v>2028</v>
      </c>
      <c r="S69" s="6">
        <v>2029</v>
      </c>
      <c r="T69" s="6">
        <v>2030</v>
      </c>
      <c r="U69" s="6">
        <v>2031</v>
      </c>
      <c r="V69" s="6">
        <v>2032</v>
      </c>
      <c r="W69" s="6">
        <v>2033</v>
      </c>
      <c r="X69" s="6">
        <v>2034</v>
      </c>
      <c r="Y69" s="6">
        <v>2035</v>
      </c>
      <c r="Z69" s="6">
        <v>2036</v>
      </c>
      <c r="AA69" s="6">
        <v>2037</v>
      </c>
      <c r="AB69" s="6">
        <v>2038</v>
      </c>
      <c r="AC69" s="6">
        <v>2039</v>
      </c>
      <c r="AD69" s="6">
        <v>2040</v>
      </c>
      <c r="AE69" s="6">
        <v>2041</v>
      </c>
      <c r="AF69" s="6">
        <v>2042</v>
      </c>
      <c r="AG69" s="6">
        <v>2043</v>
      </c>
      <c r="AH69" s="6">
        <v>2044</v>
      </c>
      <c r="AI69" s="6">
        <v>2045</v>
      </c>
    </row>
    <row r="70" spans="1:35" customFormat="1" ht="14.25" x14ac:dyDescent="0.45">
      <c r="B70" s="14" t="s">
        <v>1452</v>
      </c>
      <c r="C70" s="14" t="s">
        <v>43</v>
      </c>
      <c r="D70" s="15" t="s">
        <v>2144</v>
      </c>
      <c r="E70" s="16" t="s">
        <v>1871</v>
      </c>
      <c r="F70" s="14" t="s">
        <v>2143</v>
      </c>
      <c r="G70" s="17"/>
      <c r="H70" s="114" t="str">
        <f>Settings!$B$3&amp;".mit.obr.stl.drg.1"</f>
        <v>egy.mit.obr.stl.drg.1</v>
      </c>
      <c r="I70" t="s">
        <v>2145</v>
      </c>
      <c r="K70" s="18"/>
      <c r="L70" s="19">
        <f>L$40*Mitigation_Industry!L$276/1000</f>
        <v>0</v>
      </c>
      <c r="M70" s="19">
        <f>M$40*Mitigation_Industry!M$276/1000</f>
        <v>0</v>
      </c>
      <c r="N70" s="19">
        <f>N$40*Mitigation_Industry!N$276/1000</f>
        <v>0</v>
      </c>
      <c r="O70" s="19">
        <f>O$40*Mitigation_Industry!O$276/1000</f>
        <v>0</v>
      </c>
      <c r="P70" s="19">
        <f>P$40*Mitigation_Industry!P$276/1000</f>
        <v>0</v>
      </c>
      <c r="Q70" s="19">
        <f>Q$40*Mitigation_Industry!Q$276/1000</f>
        <v>0</v>
      </c>
      <c r="R70" s="19">
        <f>R$40*Mitigation_Industry!R$276/1000</f>
        <v>0</v>
      </c>
      <c r="S70" s="19">
        <f>S$40*Mitigation_Industry!S$276/1000</f>
        <v>0</v>
      </c>
      <c r="T70" s="19">
        <f>T$40*Mitigation_Industry!T$276/1000</f>
        <v>0</v>
      </c>
      <c r="U70" s="19">
        <f>U$40*Mitigation_Industry!U$276/1000</f>
        <v>0</v>
      </c>
      <c r="V70" s="19">
        <f>V$40*Mitigation_Industry!V$276/1000</f>
        <v>0</v>
      </c>
      <c r="W70" s="19">
        <f>W$40*Mitigation_Industry!W$276/1000</f>
        <v>0</v>
      </c>
      <c r="X70" s="19">
        <f>X$40*Mitigation_Industry!X$276/1000</f>
        <v>0</v>
      </c>
      <c r="Y70" s="19">
        <f>Y$40*Mitigation_Industry!Y$276/1000</f>
        <v>0</v>
      </c>
      <c r="Z70" s="19">
        <f>Z$40*Mitigation_Industry!Z$276/1000</f>
        <v>0</v>
      </c>
      <c r="AA70" s="19">
        <f>AA$40*Mitigation_Industry!AA$276/1000</f>
        <v>0</v>
      </c>
      <c r="AB70" s="19">
        <f>AB$40*Mitigation_Industry!AB$276/1000</f>
        <v>0</v>
      </c>
      <c r="AC70" s="19">
        <f>AC$40*Mitigation_Industry!AC$276/1000</f>
        <v>0</v>
      </c>
      <c r="AD70" s="19">
        <f>AD$40*Mitigation_Industry!AD$276/1000</f>
        <v>0</v>
      </c>
      <c r="AE70" s="19">
        <f>AE$40*Mitigation_Industry!AE$276/1000</f>
        <v>0</v>
      </c>
    </row>
    <row r="71" spans="1:35" customFormat="1" ht="14.25" x14ac:dyDescent="0.45">
      <c r="B71" s="14" t="s">
        <v>1455</v>
      </c>
      <c r="C71" s="14" t="s">
        <v>43</v>
      </c>
      <c r="D71" s="15" t="s">
        <v>2146</v>
      </c>
      <c r="E71" s="16" t="s">
        <v>1871</v>
      </c>
      <c r="F71" s="14" t="s">
        <v>2143</v>
      </c>
      <c r="G71" s="17"/>
      <c r="H71" s="114" t="str">
        <f>Settings!$B$3&amp;".mit.obr.stl.scr.1"</f>
        <v>egy.mit.obr.stl.scr.1</v>
      </c>
      <c r="K71" s="18"/>
      <c r="L71" s="19">
        <f>L$41*Mitigation_Industry!L$277/1000</f>
        <v>0</v>
      </c>
      <c r="M71" s="19">
        <f>M$41*Mitigation_Industry!M$277/1000</f>
        <v>0</v>
      </c>
      <c r="N71" s="19">
        <f>N$41*Mitigation_Industry!N$277/1000</f>
        <v>0</v>
      </c>
      <c r="O71" s="19">
        <f>O$41*Mitigation_Industry!O$277/1000</f>
        <v>0</v>
      </c>
      <c r="P71" s="19">
        <f>P$41*Mitigation_Industry!P$277/1000</f>
        <v>0</v>
      </c>
      <c r="Q71" s="19">
        <f>Q$41*Mitigation_Industry!Q$277/1000</f>
        <v>0</v>
      </c>
      <c r="R71" s="19">
        <f>R$41*Mitigation_Industry!R$277/1000</f>
        <v>0</v>
      </c>
      <c r="S71" s="19">
        <f>S$41*Mitigation_Industry!S$277/1000</f>
        <v>0</v>
      </c>
      <c r="T71" s="19">
        <f>T$41*Mitigation_Industry!T$277/1000</f>
        <v>0</v>
      </c>
      <c r="U71" s="19">
        <f>U$41*Mitigation_Industry!U$277/1000</f>
        <v>0</v>
      </c>
      <c r="V71" s="19">
        <f>V$41*Mitigation_Industry!V$277/1000</f>
        <v>0</v>
      </c>
      <c r="W71" s="19">
        <f>W$41*Mitigation_Industry!W$277/1000</f>
        <v>0</v>
      </c>
      <c r="X71" s="19">
        <f>X$41*Mitigation_Industry!X$277/1000</f>
        <v>0</v>
      </c>
      <c r="Y71" s="19">
        <f>Y$41*Mitigation_Industry!Y$277/1000</f>
        <v>0</v>
      </c>
      <c r="Z71" s="19">
        <f>Z$41*Mitigation_Industry!Z$277/1000</f>
        <v>0</v>
      </c>
      <c r="AA71" s="19">
        <f>AA$41*Mitigation_Industry!AA$277/1000</f>
        <v>0</v>
      </c>
      <c r="AB71" s="19">
        <f>AB$41*Mitigation_Industry!AB$277/1000</f>
        <v>0</v>
      </c>
      <c r="AC71" s="19">
        <f>AC$41*Mitigation_Industry!AC$277/1000</f>
        <v>0</v>
      </c>
      <c r="AD71" s="19">
        <f>AD$41*Mitigation_Industry!AD$277/1000</f>
        <v>0</v>
      </c>
      <c r="AE71" s="19">
        <f>AE$41*Mitigation_Industry!AE$277/1000</f>
        <v>0</v>
      </c>
    </row>
    <row r="72" spans="1:35" customFormat="1" ht="14.25" x14ac:dyDescent="0.45">
      <c r="B72" s="14" t="s">
        <v>1458</v>
      </c>
      <c r="C72" s="14" t="s">
        <v>43</v>
      </c>
      <c r="D72" s="15" t="s">
        <v>2147</v>
      </c>
      <c r="E72" s="16" t="s">
        <v>1871</v>
      </c>
      <c r="F72" s="14" t="s">
        <v>2143</v>
      </c>
      <c r="G72" s="17"/>
      <c r="H72" s="114" t="str">
        <f>Settings!$B$3&amp;".mit.obr.stl.bof.1"</f>
        <v>egy.mit.obr.stl.bof.1</v>
      </c>
      <c r="K72" s="18"/>
      <c r="L72" s="19">
        <f>L$42*Mitigation_Industry!L$278/1000</f>
        <v>0</v>
      </c>
      <c r="M72" s="19">
        <f>M$42*Mitigation_Industry!M$278/1000</f>
        <v>0</v>
      </c>
      <c r="N72" s="19">
        <f>N$42*Mitigation_Industry!N$278/1000</f>
        <v>0</v>
      </c>
      <c r="O72" s="19">
        <f>O$42*Mitigation_Industry!O$278/1000</f>
        <v>0</v>
      </c>
      <c r="P72" s="19">
        <f>P$42*Mitigation_Industry!P$278/1000</f>
        <v>0</v>
      </c>
      <c r="Q72" s="19">
        <f>Q$42*Mitigation_Industry!Q$278/1000</f>
        <v>0</v>
      </c>
      <c r="R72" s="19">
        <f>R$42*Mitigation_Industry!R$278/1000</f>
        <v>0</v>
      </c>
      <c r="S72" s="19">
        <f>S$42*Mitigation_Industry!S$278/1000</f>
        <v>0</v>
      </c>
      <c r="T72" s="19">
        <f>T$42*Mitigation_Industry!T$278/1000</f>
        <v>0</v>
      </c>
      <c r="U72" s="19">
        <f>U$42*Mitigation_Industry!U$278/1000</f>
        <v>0</v>
      </c>
      <c r="V72" s="19">
        <f>V$42*Mitigation_Industry!V$278/1000</f>
        <v>0</v>
      </c>
      <c r="W72" s="19">
        <f>W$42*Mitigation_Industry!W$278/1000</f>
        <v>0</v>
      </c>
      <c r="X72" s="19">
        <f>X$42*Mitigation_Industry!X$278/1000</f>
        <v>0</v>
      </c>
      <c r="Y72" s="19">
        <f>Y$42*Mitigation_Industry!Y$278/1000</f>
        <v>0</v>
      </c>
      <c r="Z72" s="19">
        <f>Z$42*Mitigation_Industry!Z$278/1000</f>
        <v>0</v>
      </c>
      <c r="AA72" s="19">
        <f>AA$42*Mitigation_Industry!AA$278/1000</f>
        <v>0</v>
      </c>
      <c r="AB72" s="19">
        <f>AB$42*Mitigation_Industry!AB$278/1000</f>
        <v>0</v>
      </c>
      <c r="AC72" s="19">
        <f>AC$42*Mitigation_Industry!AC$278/1000</f>
        <v>0</v>
      </c>
      <c r="AD72" s="19">
        <f>AD$42*Mitigation_Industry!AD$278/1000</f>
        <v>0</v>
      </c>
      <c r="AE72" s="19">
        <f>AE$42*Mitigation_Industry!AE$278/1000</f>
        <v>0</v>
      </c>
    </row>
    <row r="73" spans="1:35" customFormat="1" ht="14.25" x14ac:dyDescent="0.45">
      <c r="B73" s="14" t="s">
        <v>1461</v>
      </c>
      <c r="C73" s="14" t="s">
        <v>113</v>
      </c>
      <c r="D73" s="15" t="s">
        <v>2148</v>
      </c>
      <c r="E73" s="16" t="s">
        <v>1871</v>
      </c>
      <c r="F73" s="14" t="s">
        <v>2143</v>
      </c>
      <c r="G73" s="17"/>
      <c r="H73" s="114" t="str">
        <f>Settings!$B$3&amp;".mit.obr.cmt.dry.1"</f>
        <v>egy.mit.obr.cmt.dry.1</v>
      </c>
      <c r="K73" s="18"/>
      <c r="L73" s="19">
        <f>L$43*Mitigation_Industry!L$279/1000</f>
        <v>0</v>
      </c>
      <c r="M73" s="19">
        <f>M$43*Mitigation_Industry!M$279/1000</f>
        <v>0</v>
      </c>
      <c r="N73" s="19">
        <f>N$43*Mitigation_Industry!N$279/1000</f>
        <v>0</v>
      </c>
      <c r="O73" s="19">
        <f>O$43*Mitigation_Industry!O$279/1000</f>
        <v>0</v>
      </c>
      <c r="P73" s="19">
        <f>P$43*Mitigation_Industry!P$279/1000</f>
        <v>0</v>
      </c>
      <c r="Q73" s="19">
        <f>Q$43*Mitigation_Industry!Q$279/1000</f>
        <v>0</v>
      </c>
      <c r="R73" s="19">
        <f>R$43*Mitigation_Industry!R$279/1000</f>
        <v>0</v>
      </c>
      <c r="S73" s="19">
        <f>S$43*Mitigation_Industry!S$279/1000</f>
        <v>0</v>
      </c>
      <c r="T73" s="19">
        <f>T$43*Mitigation_Industry!T$279/1000</f>
        <v>0</v>
      </c>
      <c r="U73" s="19">
        <f>U$43*Mitigation_Industry!U$279/1000</f>
        <v>0</v>
      </c>
      <c r="V73" s="19">
        <f>V$43*Mitigation_Industry!V$279/1000</f>
        <v>0</v>
      </c>
      <c r="W73" s="19">
        <f>W$43*Mitigation_Industry!W$279/1000</f>
        <v>0</v>
      </c>
      <c r="X73" s="19">
        <f>X$43*Mitigation_Industry!X$279/1000</f>
        <v>0</v>
      </c>
      <c r="Y73" s="19">
        <f>Y$43*Mitigation_Industry!Y$279/1000</f>
        <v>0</v>
      </c>
      <c r="Z73" s="19">
        <f>Z$43*Mitigation_Industry!Z$279/1000</f>
        <v>0</v>
      </c>
      <c r="AA73" s="19">
        <f>AA$43*Mitigation_Industry!AA$279/1000</f>
        <v>0</v>
      </c>
      <c r="AB73" s="19">
        <f>AB$43*Mitigation_Industry!AB$279/1000</f>
        <v>0</v>
      </c>
      <c r="AC73" s="19">
        <f>AC$43*Mitigation_Industry!AC$279/1000</f>
        <v>0</v>
      </c>
      <c r="AD73" s="19">
        <f>AD$43*Mitigation_Industry!AD$279/1000</f>
        <v>0</v>
      </c>
      <c r="AE73" s="19">
        <f>AE$43*Mitigation_Industry!AE$279/1000</f>
        <v>0</v>
      </c>
    </row>
    <row r="74" spans="1:35" customFormat="1" ht="14.25" x14ac:dyDescent="0.45">
      <c r="B74" s="14" t="s">
        <v>1464</v>
      </c>
      <c r="C74" s="14" t="s">
        <v>117</v>
      </c>
      <c r="D74" s="15" t="s">
        <v>2149</v>
      </c>
      <c r="E74" s="16" t="s">
        <v>1871</v>
      </c>
      <c r="F74" s="14" t="s">
        <v>2143</v>
      </c>
      <c r="G74" s="17"/>
      <c r="H74" s="114" t="str">
        <f>Settings!$B$3&amp;".mit.obr.frt.amc.1"</f>
        <v>egy.mit.obr.frt.amc.1</v>
      </c>
      <c r="K74" s="18"/>
      <c r="L74" s="19">
        <f>L$44*Mitigation_Industry!L$280/1000</f>
        <v>0</v>
      </c>
      <c r="M74" s="19">
        <f>M$44*Mitigation_Industry!M$280/1000</f>
        <v>0</v>
      </c>
      <c r="N74" s="19">
        <f>N$44*Mitigation_Industry!N$280/1000</f>
        <v>0</v>
      </c>
      <c r="O74" s="19">
        <f>O$44*Mitigation_Industry!O$280/1000</f>
        <v>0</v>
      </c>
      <c r="P74" s="19">
        <f>P$44*Mitigation_Industry!P$280/1000</f>
        <v>0</v>
      </c>
      <c r="Q74" s="19">
        <f>Q$44*Mitigation_Industry!Q$280/1000</f>
        <v>0</v>
      </c>
      <c r="R74" s="19">
        <f>R$44*Mitigation_Industry!R$280/1000</f>
        <v>0</v>
      </c>
      <c r="S74" s="19">
        <f>S$44*Mitigation_Industry!S$280/1000</f>
        <v>0</v>
      </c>
      <c r="T74" s="19">
        <f>T$44*Mitigation_Industry!T$280/1000</f>
        <v>0</v>
      </c>
      <c r="U74" s="19">
        <f>U$44*Mitigation_Industry!U$280/1000</f>
        <v>0</v>
      </c>
      <c r="V74" s="19">
        <f>V$44*Mitigation_Industry!V$280/1000</f>
        <v>0</v>
      </c>
      <c r="W74" s="19">
        <f>W$44*Mitigation_Industry!W$280/1000</f>
        <v>0</v>
      </c>
      <c r="X74" s="19">
        <f>X$44*Mitigation_Industry!X$280/1000</f>
        <v>0</v>
      </c>
      <c r="Y74" s="19">
        <f>Y$44*Mitigation_Industry!Y$280/1000</f>
        <v>0</v>
      </c>
      <c r="Z74" s="19">
        <f>Z$44*Mitigation_Industry!Z$280/1000</f>
        <v>0</v>
      </c>
      <c r="AA74" s="19">
        <f>AA$44*Mitigation_Industry!AA$280/1000</f>
        <v>0</v>
      </c>
      <c r="AB74" s="19">
        <f>AB$44*Mitigation_Industry!AB$280/1000</f>
        <v>0</v>
      </c>
      <c r="AC74" s="19">
        <f>AC$44*Mitigation_Industry!AC$280/1000</f>
        <v>0</v>
      </c>
      <c r="AD74" s="19">
        <f>AD$44*Mitigation_Industry!AD$280/1000</f>
        <v>0</v>
      </c>
      <c r="AE74" s="19">
        <f>AE$44*Mitigation_Industry!AE$280/1000</f>
        <v>0</v>
      </c>
    </row>
    <row r="75" spans="1:35" customFormat="1" ht="14.25" x14ac:dyDescent="0.45">
      <c r="B75" s="14" t="s">
        <v>1467</v>
      </c>
      <c r="C75" s="14" t="s">
        <v>117</v>
      </c>
      <c r="D75" s="15" t="s">
        <v>2150</v>
      </c>
      <c r="E75" s="16" t="s">
        <v>1871</v>
      </c>
      <c r="F75" s="14" t="s">
        <v>2143</v>
      </c>
      <c r="G75" s="17"/>
      <c r="H75" s="114" t="str">
        <f>Settings!$B$3&amp;".mit.obr.frt.ure.1"</f>
        <v>egy.mit.obr.frt.ure.1</v>
      </c>
      <c r="K75" s="18"/>
      <c r="L75" s="19">
        <f>L$45*Mitigation_Industry!L$281/1000</f>
        <v>0</v>
      </c>
      <c r="M75" s="19">
        <f>M$45*Mitigation_Industry!M$281/1000</f>
        <v>0</v>
      </c>
      <c r="N75" s="19">
        <f>N$45*Mitigation_Industry!N$281/1000</f>
        <v>0</v>
      </c>
      <c r="O75" s="19">
        <f>O$45*Mitigation_Industry!O$281/1000</f>
        <v>0</v>
      </c>
      <c r="P75" s="19">
        <f>P$45*Mitigation_Industry!P$281/1000</f>
        <v>0</v>
      </c>
      <c r="Q75" s="19">
        <f>Q$45*Mitigation_Industry!Q$281/1000</f>
        <v>0</v>
      </c>
      <c r="R75" s="19">
        <f>R$45*Mitigation_Industry!R$281/1000</f>
        <v>0</v>
      </c>
      <c r="S75" s="19">
        <f>S$45*Mitigation_Industry!S$281/1000</f>
        <v>0</v>
      </c>
      <c r="T75" s="19">
        <f>T$45*Mitigation_Industry!T$281/1000</f>
        <v>0</v>
      </c>
      <c r="U75" s="19">
        <f>U$45*Mitigation_Industry!U$281/1000</f>
        <v>0</v>
      </c>
      <c r="V75" s="19">
        <f>V$45*Mitigation_Industry!V$281/1000</f>
        <v>0</v>
      </c>
      <c r="W75" s="19">
        <f>W$45*Mitigation_Industry!W$281/1000</f>
        <v>0</v>
      </c>
      <c r="X75" s="19">
        <f>X$45*Mitigation_Industry!X$281/1000</f>
        <v>0</v>
      </c>
      <c r="Y75" s="19">
        <f>Y$45*Mitigation_Industry!Y$281/1000</f>
        <v>0</v>
      </c>
      <c r="Z75" s="19">
        <f>Z$45*Mitigation_Industry!Z$281/1000</f>
        <v>0</v>
      </c>
      <c r="AA75" s="19">
        <f>AA$45*Mitigation_Industry!AA$281/1000</f>
        <v>0</v>
      </c>
      <c r="AB75" s="19">
        <f>AB$45*Mitigation_Industry!AB$281/1000</f>
        <v>0</v>
      </c>
      <c r="AC75" s="19">
        <f>AC$45*Mitigation_Industry!AC$281/1000</f>
        <v>0</v>
      </c>
      <c r="AD75" s="19">
        <f>AD$45*Mitigation_Industry!AD$281/1000</f>
        <v>0</v>
      </c>
      <c r="AE75" s="19">
        <f>AE$45*Mitigation_Industry!AE$281/1000</f>
        <v>0</v>
      </c>
    </row>
    <row r="76" spans="1:35" customFormat="1" ht="14.25" x14ac:dyDescent="0.45">
      <c r="B76" s="14" t="s">
        <v>1470</v>
      </c>
      <c r="C76" s="14" t="s">
        <v>117</v>
      </c>
      <c r="D76" s="15" t="s">
        <v>2151</v>
      </c>
      <c r="E76" s="16" t="s">
        <v>1871</v>
      </c>
      <c r="F76" s="14" t="s">
        <v>2143</v>
      </c>
      <c r="G76" s="17"/>
      <c r="H76" s="114" t="str">
        <f>Settings!$B$3&amp;".mit.obr.frt.nit.1"</f>
        <v>egy.mit.obr.frt.nit.1</v>
      </c>
      <c r="K76" s="18"/>
      <c r="L76" s="19">
        <f>L$46*Mitigation_Industry!L$282/1000</f>
        <v>0</v>
      </c>
      <c r="M76" s="19">
        <f>M$46*Mitigation_Industry!M$282/1000</f>
        <v>0</v>
      </c>
      <c r="N76" s="19">
        <f>N$46*Mitigation_Industry!N$282/1000</f>
        <v>0</v>
      </c>
      <c r="O76" s="19">
        <f>O$46*Mitigation_Industry!O$282/1000</f>
        <v>0</v>
      </c>
      <c r="P76" s="19">
        <f>P$46*Mitigation_Industry!P$282/1000</f>
        <v>0</v>
      </c>
      <c r="Q76" s="19">
        <f>Q$46*Mitigation_Industry!Q$282/1000</f>
        <v>0</v>
      </c>
      <c r="R76" s="19">
        <f>R$46*Mitigation_Industry!R$282/1000</f>
        <v>0</v>
      </c>
      <c r="S76" s="19">
        <f>S$46*Mitigation_Industry!S$282/1000</f>
        <v>0</v>
      </c>
      <c r="T76" s="19">
        <f>T$46*Mitigation_Industry!T$282/1000</f>
        <v>0</v>
      </c>
      <c r="U76" s="19">
        <f>U$46*Mitigation_Industry!U$282/1000</f>
        <v>0</v>
      </c>
      <c r="V76" s="19">
        <f>V$46*Mitigation_Industry!V$282/1000</f>
        <v>0</v>
      </c>
      <c r="W76" s="19">
        <f>W$46*Mitigation_Industry!W$282/1000</f>
        <v>0</v>
      </c>
      <c r="X76" s="19">
        <f>X$46*Mitigation_Industry!X$282/1000</f>
        <v>0</v>
      </c>
      <c r="Y76" s="19">
        <f>Y$46*Mitigation_Industry!Y$282/1000</f>
        <v>0</v>
      </c>
      <c r="Z76" s="19">
        <f>Z$46*Mitigation_Industry!Z$282/1000</f>
        <v>0</v>
      </c>
      <c r="AA76" s="19">
        <f>AA$46*Mitigation_Industry!AA$282/1000</f>
        <v>0</v>
      </c>
      <c r="AB76" s="19">
        <f>AB$46*Mitigation_Industry!AB$282/1000</f>
        <v>0</v>
      </c>
      <c r="AC76" s="19">
        <f>AC$46*Mitigation_Industry!AC$282/1000</f>
        <v>0</v>
      </c>
      <c r="AD76" s="19">
        <f>AD$46*Mitigation_Industry!AD$282/1000</f>
        <v>0</v>
      </c>
      <c r="AE76" s="19">
        <f>AE$46*Mitigation_Industry!AE$282/1000</f>
        <v>0</v>
      </c>
    </row>
    <row r="77" spans="1:35" customFormat="1" ht="14.25" x14ac:dyDescent="0.45">
      <c r="B77" s="14" t="s">
        <v>1473</v>
      </c>
      <c r="C77" s="14" t="s">
        <v>115</v>
      </c>
      <c r="D77" s="15" t="s">
        <v>2152</v>
      </c>
      <c r="E77" s="16" t="s">
        <v>1871</v>
      </c>
      <c r="F77" s="14" t="s">
        <v>2143</v>
      </c>
      <c r="G77" s="17"/>
      <c r="H77" s="114" t="str">
        <f>Settings!$B$3&amp;".mit.obr.alu.prp.1"</f>
        <v>egy.mit.obr.alu.prp.1</v>
      </c>
      <c r="K77" s="18"/>
      <c r="L77" s="19">
        <f>L$47*Mitigation_Industry!L$283/1000</f>
        <v>0</v>
      </c>
      <c r="M77" s="19">
        <f>M$47*Mitigation_Industry!M$283/1000</f>
        <v>0</v>
      </c>
      <c r="N77" s="19">
        <f>N$47*Mitigation_Industry!N$283/1000</f>
        <v>0</v>
      </c>
      <c r="O77" s="19">
        <f>O$47*Mitigation_Industry!O$283/1000</f>
        <v>0</v>
      </c>
      <c r="P77" s="19">
        <f>P$47*Mitigation_Industry!P$283/1000</f>
        <v>0</v>
      </c>
      <c r="Q77" s="19">
        <f>Q$47*Mitigation_Industry!Q$283/1000</f>
        <v>0</v>
      </c>
      <c r="R77" s="19">
        <f>R$47*Mitigation_Industry!R$283/1000</f>
        <v>0</v>
      </c>
      <c r="S77" s="19">
        <f>S$47*Mitigation_Industry!S$283/1000</f>
        <v>0</v>
      </c>
      <c r="T77" s="19">
        <f>T$47*Mitigation_Industry!T$283/1000</f>
        <v>0</v>
      </c>
      <c r="U77" s="19">
        <f>U$47*Mitigation_Industry!U$283/1000</f>
        <v>0</v>
      </c>
      <c r="V77" s="19">
        <f>V$47*Mitigation_Industry!V$283/1000</f>
        <v>0</v>
      </c>
      <c r="W77" s="19">
        <f>W$47*Mitigation_Industry!W$283/1000</f>
        <v>0</v>
      </c>
      <c r="X77" s="19">
        <f>X$47*Mitigation_Industry!X$283/1000</f>
        <v>0</v>
      </c>
      <c r="Y77" s="19">
        <f>Y$47*Mitigation_Industry!Y$283/1000</f>
        <v>0</v>
      </c>
      <c r="Z77" s="19">
        <f>Z$47*Mitigation_Industry!Z$283/1000</f>
        <v>0</v>
      </c>
      <c r="AA77" s="19">
        <f>AA$47*Mitigation_Industry!AA$283/1000</f>
        <v>0</v>
      </c>
      <c r="AB77" s="19">
        <f>AB$47*Mitigation_Industry!AB$283/1000</f>
        <v>0</v>
      </c>
      <c r="AC77" s="19">
        <f>AC$47*Mitigation_Industry!AC$283/1000</f>
        <v>0</v>
      </c>
      <c r="AD77" s="19">
        <f>AD$47*Mitigation_Industry!AD$283/1000</f>
        <v>0</v>
      </c>
      <c r="AE77" s="19">
        <f>AE$47*Mitigation_Industry!AE$283/1000</f>
        <v>0</v>
      </c>
    </row>
    <row r="78" spans="1:35" customFormat="1" ht="14.25" x14ac:dyDescent="0.45">
      <c r="B78" s="14" t="s">
        <v>110</v>
      </c>
      <c r="C78" s="14"/>
      <c r="D78" s="25" t="s">
        <v>2153</v>
      </c>
      <c r="E78" s="16" t="s">
        <v>1871</v>
      </c>
      <c r="F78" s="14" t="s">
        <v>2143</v>
      </c>
      <c r="H78" s="114" t="str">
        <f>Settings!$B$3&amp;".mit.obr.cbam.tot.1"</f>
        <v>egy.mit.obr.cbam.tot.1</v>
      </c>
      <c r="L78" s="116">
        <f t="shared" ref="L78:AE78" si="24">SUM(L70:L77)</f>
        <v>0</v>
      </c>
      <c r="M78" s="116">
        <f t="shared" si="24"/>
        <v>0</v>
      </c>
      <c r="N78" s="116">
        <f t="shared" si="24"/>
        <v>0</v>
      </c>
      <c r="O78" s="116">
        <f t="shared" si="24"/>
        <v>0</v>
      </c>
      <c r="P78" s="116">
        <f t="shared" si="24"/>
        <v>0</v>
      </c>
      <c r="Q78" s="116">
        <f t="shared" si="24"/>
        <v>0</v>
      </c>
      <c r="R78" s="116">
        <f t="shared" si="24"/>
        <v>0</v>
      </c>
      <c r="S78" s="116">
        <f t="shared" si="24"/>
        <v>0</v>
      </c>
      <c r="T78" s="116">
        <f t="shared" si="24"/>
        <v>0</v>
      </c>
      <c r="U78" s="116">
        <f t="shared" si="24"/>
        <v>0</v>
      </c>
      <c r="V78" s="116">
        <f t="shared" si="24"/>
        <v>0</v>
      </c>
      <c r="W78" s="116">
        <f t="shared" si="24"/>
        <v>0</v>
      </c>
      <c r="X78" s="116">
        <f t="shared" si="24"/>
        <v>0</v>
      </c>
      <c r="Y78" s="116">
        <f t="shared" si="24"/>
        <v>0</v>
      </c>
      <c r="Z78" s="116">
        <f t="shared" si="24"/>
        <v>0</v>
      </c>
      <c r="AA78" s="116">
        <f t="shared" si="24"/>
        <v>0</v>
      </c>
      <c r="AB78" s="116">
        <f t="shared" si="24"/>
        <v>0</v>
      </c>
      <c r="AC78" s="116">
        <f t="shared" si="24"/>
        <v>0</v>
      </c>
      <c r="AD78" s="116">
        <f t="shared" si="24"/>
        <v>0</v>
      </c>
      <c r="AE78" s="116">
        <f t="shared" si="24"/>
        <v>0</v>
      </c>
    </row>
    <row r="80" spans="1:35" customFormat="1" ht="14.25" x14ac:dyDescent="0.45">
      <c r="A80" s="11"/>
      <c r="B80" s="6"/>
      <c r="C80" s="7" t="s">
        <v>43</v>
      </c>
      <c r="D80" s="6" t="s">
        <v>1505</v>
      </c>
      <c r="E80" s="7" t="s">
        <v>35</v>
      </c>
      <c r="F80" s="7" t="s">
        <v>45</v>
      </c>
      <c r="G80" s="7" t="s">
        <v>37</v>
      </c>
      <c r="H80" s="12" t="s">
        <v>38</v>
      </c>
      <c r="I80" s="6" t="s">
        <v>39</v>
      </c>
      <c r="J80" s="48">
        <v>1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4.25" x14ac:dyDescent="0.45">
      <c r="B81" s="14" t="s">
        <v>110</v>
      </c>
      <c r="C81" s="14" t="s">
        <v>43</v>
      </c>
      <c r="D81" s="25" t="s">
        <v>2154</v>
      </c>
      <c r="E81" s="16" t="s">
        <v>1871</v>
      </c>
      <c r="F81" s="14" t="s">
        <v>2143</v>
      </c>
      <c r="H81" s="114" t="str">
        <f>Settings!$B$3&amp;".mit.obr.ind.irn.1"</f>
        <v>egy.mit.obr.ind.irn.1</v>
      </c>
      <c r="I81" t="s">
        <v>2155</v>
      </c>
      <c r="L81" s="116">
        <f t="shared" ref="L81:AE81" si="25">L$70+L$71+L$72</f>
        <v>0</v>
      </c>
      <c r="M81" s="116">
        <f t="shared" si="25"/>
        <v>0</v>
      </c>
      <c r="N81" s="116">
        <f t="shared" si="25"/>
        <v>0</v>
      </c>
      <c r="O81" s="116">
        <f t="shared" si="25"/>
        <v>0</v>
      </c>
      <c r="P81" s="116">
        <f t="shared" si="25"/>
        <v>0</v>
      </c>
      <c r="Q81" s="116">
        <f t="shared" si="25"/>
        <v>0</v>
      </c>
      <c r="R81" s="116">
        <f t="shared" si="25"/>
        <v>0</v>
      </c>
      <c r="S81" s="116">
        <f t="shared" si="25"/>
        <v>0</v>
      </c>
      <c r="T81" s="116">
        <f t="shared" si="25"/>
        <v>0</v>
      </c>
      <c r="U81" s="116">
        <f t="shared" si="25"/>
        <v>0</v>
      </c>
      <c r="V81" s="116">
        <f t="shared" si="25"/>
        <v>0</v>
      </c>
      <c r="W81" s="116">
        <f t="shared" si="25"/>
        <v>0</v>
      </c>
      <c r="X81" s="116">
        <f t="shared" si="25"/>
        <v>0</v>
      </c>
      <c r="Y81" s="116">
        <f t="shared" si="25"/>
        <v>0</v>
      </c>
      <c r="Z81" s="116">
        <f t="shared" si="25"/>
        <v>0</v>
      </c>
      <c r="AA81" s="116">
        <f t="shared" si="25"/>
        <v>0</v>
      </c>
      <c r="AB81" s="116">
        <f t="shared" si="25"/>
        <v>0</v>
      </c>
      <c r="AC81" s="116">
        <f t="shared" si="25"/>
        <v>0</v>
      </c>
      <c r="AD81" s="116">
        <f t="shared" si="25"/>
        <v>0</v>
      </c>
      <c r="AE81" s="116">
        <f t="shared" si="25"/>
        <v>0</v>
      </c>
    </row>
    <row r="82" spans="1:35" customFormat="1" ht="14.25" x14ac:dyDescent="0.45">
      <c r="B82" s="14" t="s">
        <v>110</v>
      </c>
      <c r="C82" s="14" t="s">
        <v>43</v>
      </c>
      <c r="D82" s="25" t="s">
        <v>2156</v>
      </c>
      <c r="E82" s="16" t="s">
        <v>1871</v>
      </c>
      <c r="F82" s="14" t="s">
        <v>2157</v>
      </c>
      <c r="H82" s="114" t="str">
        <f>Settings!$B$3&amp;".mit.ccf.ind.irn.1"</f>
        <v>egy.mit.ccf.ind.irn.1</v>
      </c>
      <c r="L82" s="116">
        <f>L$20*Mitigation_Industry!L$276/1000+L$21*Mitigation_Industry!L$277/1000+L$22*Mitigation_Industry!L$278/1000</f>
        <v>0</v>
      </c>
      <c r="M82" s="116">
        <f>M$20*Mitigation_Industry!M$276/1000+M$21*Mitigation_Industry!M$277/1000+M$22*Mitigation_Industry!M$278/1000</f>
        <v>0</v>
      </c>
      <c r="N82" s="116">
        <f>N$20*Mitigation_Industry!N$276/1000+N$21*Mitigation_Industry!N$277/1000+N$22*Mitigation_Industry!N$278/1000</f>
        <v>0</v>
      </c>
      <c r="O82" s="116">
        <f>O$20*Mitigation_Industry!O$276/1000+O$21*Mitigation_Industry!O$277/1000+O$22*Mitigation_Industry!O$278/1000</f>
        <v>0</v>
      </c>
      <c r="P82" s="116">
        <f>P$20*Mitigation_Industry!P$276/1000+P$21*Mitigation_Industry!P$277/1000+P$22*Mitigation_Industry!P$278/1000</f>
        <v>0</v>
      </c>
      <c r="Q82" s="116">
        <f>Q$20*Mitigation_Industry!Q$276/1000+Q$21*Mitigation_Industry!Q$277/1000+Q$22*Mitigation_Industry!Q$278/1000</f>
        <v>0</v>
      </c>
      <c r="R82" s="116">
        <f>R$20*Mitigation_Industry!R$276/1000+R$21*Mitigation_Industry!R$277/1000+R$22*Mitigation_Industry!R$278/1000</f>
        <v>0</v>
      </c>
      <c r="S82" s="116">
        <f>S$20*Mitigation_Industry!S$276/1000+S$21*Mitigation_Industry!S$277/1000+S$22*Mitigation_Industry!S$278/1000</f>
        <v>0</v>
      </c>
      <c r="T82" s="116">
        <f>T$20*Mitigation_Industry!T$276/1000+T$21*Mitigation_Industry!T$277/1000+T$22*Mitigation_Industry!T$278/1000</f>
        <v>0</v>
      </c>
      <c r="U82" s="116">
        <f>U$20*Mitigation_Industry!U$276/1000+U$21*Mitigation_Industry!U$277/1000+U$22*Mitigation_Industry!U$278/1000</f>
        <v>0</v>
      </c>
      <c r="V82" s="116">
        <f>V$20*Mitigation_Industry!V$276/1000+V$21*Mitigation_Industry!V$277/1000+V$22*Mitigation_Industry!V$278/1000</f>
        <v>0</v>
      </c>
      <c r="W82" s="116">
        <f>W$20*Mitigation_Industry!W$276/1000+W$21*Mitigation_Industry!W$277/1000+W$22*Mitigation_Industry!W$278/1000</f>
        <v>0</v>
      </c>
      <c r="X82" s="116">
        <f>X$20*Mitigation_Industry!X$276/1000+X$21*Mitigation_Industry!X$277/1000+X$22*Mitigation_Industry!X$278/1000</f>
        <v>0</v>
      </c>
      <c r="Y82" s="116">
        <f>Y$20*Mitigation_Industry!Y$276/1000+Y$21*Mitigation_Industry!Y$277/1000+Y$22*Mitigation_Industry!Y$278/1000</f>
        <v>0</v>
      </c>
      <c r="Z82" s="116">
        <f>Z$20*Mitigation_Industry!Z$276/1000+Z$21*Mitigation_Industry!Z$277/1000+Z$22*Mitigation_Industry!Z$278/1000</f>
        <v>0</v>
      </c>
      <c r="AA82" s="116">
        <f>AA$20*Mitigation_Industry!AA$276/1000+AA$21*Mitigation_Industry!AA$277/1000+AA$22*Mitigation_Industry!AA$278/1000</f>
        <v>0</v>
      </c>
      <c r="AB82" s="116">
        <f>AB$20*Mitigation_Industry!AB$276/1000+AB$21*Mitigation_Industry!AB$277/1000+AB$22*Mitigation_Industry!AB$278/1000</f>
        <v>0</v>
      </c>
      <c r="AC82" s="116">
        <f>AC$20*Mitigation_Industry!AC$276/1000+AC$21*Mitigation_Industry!AC$277/1000+AC$22*Mitigation_Industry!AC$278/1000</f>
        <v>0</v>
      </c>
      <c r="AD82" s="116">
        <f>AD$20*Mitigation_Industry!AD$276/1000+AD$21*Mitigation_Industry!AD$277/1000+AD$22*Mitigation_Industry!AD$278/1000</f>
        <v>0</v>
      </c>
      <c r="AE82" s="116">
        <f>AE$20*Mitigation_Industry!AE$276/1000+AE$21*Mitigation_Industry!AE$277/1000+AE$22*Mitigation_Industry!AE$278/1000</f>
        <v>0</v>
      </c>
    </row>
    <row r="83" spans="1:35" customFormat="1" ht="14.25" x14ac:dyDescent="0.45">
      <c r="B83" s="14" t="s">
        <v>110</v>
      </c>
      <c r="C83" s="14" t="s">
        <v>43</v>
      </c>
      <c r="D83" s="25" t="s">
        <v>2158</v>
      </c>
      <c r="E83" s="16" t="s">
        <v>79</v>
      </c>
      <c r="F83" s="14" t="s">
        <v>2159</v>
      </c>
      <c r="H83" s="114" t="str">
        <f>Settings!$B$3&amp;".mit.rsh.ind.irn.1"</f>
        <v>egy.mit.rsh.ind.irn.1</v>
      </c>
      <c r="I83" t="s">
        <v>2160</v>
      </c>
      <c r="L83" s="116">
        <f t="shared" ref="L83:AE83" si="26">IF(L$82&lt;=0,0,MIN(1,L$81/L$82))</f>
        <v>0</v>
      </c>
      <c r="M83" s="116">
        <f t="shared" si="26"/>
        <v>0</v>
      </c>
      <c r="N83" s="116">
        <f t="shared" si="26"/>
        <v>0</v>
      </c>
      <c r="O83" s="116">
        <f t="shared" si="26"/>
        <v>0</v>
      </c>
      <c r="P83" s="116">
        <f t="shared" si="26"/>
        <v>0</v>
      </c>
      <c r="Q83" s="116">
        <f t="shared" si="26"/>
        <v>0</v>
      </c>
      <c r="R83" s="116">
        <f t="shared" si="26"/>
        <v>0</v>
      </c>
      <c r="S83" s="116">
        <f t="shared" si="26"/>
        <v>0</v>
      </c>
      <c r="T83" s="116">
        <f t="shared" si="26"/>
        <v>0</v>
      </c>
      <c r="U83" s="116">
        <f t="shared" si="26"/>
        <v>0</v>
      </c>
      <c r="V83" s="116">
        <f t="shared" si="26"/>
        <v>0</v>
      </c>
      <c r="W83" s="116">
        <f t="shared" si="26"/>
        <v>0</v>
      </c>
      <c r="X83" s="116">
        <f t="shared" si="26"/>
        <v>0</v>
      </c>
      <c r="Y83" s="116">
        <f t="shared" si="26"/>
        <v>0</v>
      </c>
      <c r="Z83" s="116">
        <f t="shared" si="26"/>
        <v>0</v>
      </c>
      <c r="AA83" s="116">
        <f t="shared" si="26"/>
        <v>0</v>
      </c>
      <c r="AB83" s="116">
        <f t="shared" si="26"/>
        <v>0</v>
      </c>
      <c r="AC83" s="116">
        <f t="shared" si="26"/>
        <v>0</v>
      </c>
      <c r="AD83" s="116">
        <f t="shared" si="26"/>
        <v>0</v>
      </c>
      <c r="AE83" s="116">
        <f t="shared" si="26"/>
        <v>0</v>
      </c>
    </row>
    <row r="84" spans="1:35" customFormat="1" ht="14.25" x14ac:dyDescent="0.45">
      <c r="B84" s="14" t="s">
        <v>49</v>
      </c>
      <c r="C84" s="14" t="s">
        <v>43</v>
      </c>
      <c r="D84" s="15" t="s">
        <v>2161</v>
      </c>
      <c r="E84" s="16" t="s">
        <v>51</v>
      </c>
      <c r="F84" s="14" t="s">
        <v>2162</v>
      </c>
      <c r="G84" s="17"/>
      <c r="H84" s="114" t="str">
        <f>Settings!$B$3&amp;".mit.atpn.irn.coa.e.1"</f>
        <v>egy.mit.atpn.irn.coa.e.1</v>
      </c>
      <c r="I84" t="s">
        <v>2163</v>
      </c>
      <c r="K84" s="18"/>
      <c r="L84" s="19">
        <f>Mitigation_Industry!L$17-(Mitigation_Industry!L$17-Mitigation_Industry!L$7)*L$83</f>
        <v>10.5233613454312</v>
      </c>
      <c r="M84" s="19">
        <f>Mitigation_Industry!M$17-(Mitigation_Industry!M$17-Mitigation_Industry!M$7)*M$83</f>
        <v>10.2995608274442</v>
      </c>
      <c r="N84" s="19">
        <f>Mitigation_Industry!N$17-(Mitigation_Industry!N$17-Mitigation_Industry!N$7)*N$83</f>
        <v>9.5775283595382597</v>
      </c>
      <c r="O84" s="19">
        <f>Mitigation_Industry!O$17-(Mitigation_Industry!O$17-Mitigation_Industry!O$7)*O$83</f>
        <v>8.4854782869580507</v>
      </c>
      <c r="P84" s="19">
        <f>Mitigation_Industry!P$17-(Mitigation_Industry!P$17-Mitigation_Industry!P$7)*P$83</f>
        <v>9.0871922352498604</v>
      </c>
      <c r="Q84" s="19">
        <f>Mitigation_Industry!Q$17-(Mitigation_Industry!Q$17-Mitigation_Industry!Q$7)*Q$83</f>
        <v>9.2229237289326793</v>
      </c>
      <c r="R84" s="19">
        <f>Mitigation_Industry!R$17-(Mitigation_Industry!R$17-Mitigation_Industry!R$7)*R$83</f>
        <v>9.1585649555096893</v>
      </c>
      <c r="S84" s="19">
        <f>Mitigation_Industry!S$17-(Mitigation_Industry!S$17-Mitigation_Industry!S$7)*S$83</f>
        <v>9.0895478773973792</v>
      </c>
      <c r="T84" s="19">
        <f>Mitigation_Industry!T$17-(Mitigation_Industry!T$17-Mitigation_Industry!T$7)*T$83</f>
        <v>9.0156816660228305</v>
      </c>
      <c r="U84" s="19">
        <f>Mitigation_Industry!U$17-(Mitigation_Industry!U$17-Mitigation_Industry!U$7)*U$83</f>
        <v>8.9443977655571096</v>
      </c>
      <c r="V84" s="19">
        <f>Mitigation_Industry!V$17-(Mitigation_Industry!V$17-Mitigation_Industry!V$7)*V$83</f>
        <v>8.9443977655571096</v>
      </c>
      <c r="W84" s="19">
        <f>Mitigation_Industry!W$17-(Mitigation_Industry!W$17-Mitigation_Industry!W$7)*W$83</f>
        <v>8.9443977655571096</v>
      </c>
      <c r="X84" s="19">
        <f>Mitigation_Industry!X$17-(Mitigation_Industry!X$17-Mitigation_Industry!X$7)*X$83</f>
        <v>8.9443977655571096</v>
      </c>
      <c r="Y84" s="19">
        <f>Mitigation_Industry!Y$17-(Mitigation_Industry!Y$17-Mitigation_Industry!Y$7)*Y$83</f>
        <v>8.9443977655571096</v>
      </c>
      <c r="Z84" s="19">
        <f>Mitigation_Industry!Z$17-(Mitigation_Industry!Z$17-Mitigation_Industry!Z$7)*Z$83</f>
        <v>8.9443977655571096</v>
      </c>
      <c r="AA84" s="19">
        <f>Mitigation_Industry!AA$17-(Mitigation_Industry!AA$17-Mitigation_Industry!AA$7)*AA$83</f>
        <v>8.9443977655571096</v>
      </c>
      <c r="AB84" s="19">
        <f>Mitigation_Industry!AB$17-(Mitigation_Industry!AB$17-Mitigation_Industry!AB$7)*AB$83</f>
        <v>8.9443977655571096</v>
      </c>
      <c r="AC84" s="19">
        <f>Mitigation_Industry!AC$17-(Mitigation_Industry!AC$17-Mitigation_Industry!AC$7)*AC$83</f>
        <v>8.9443977655571096</v>
      </c>
      <c r="AD84" s="19">
        <f>Mitigation_Industry!AD$17-(Mitigation_Industry!AD$17-Mitigation_Industry!AD$7)*AD$83</f>
        <v>8.9443977655571096</v>
      </c>
      <c r="AE84" s="19">
        <f>Mitigation_Industry!AE$17-(Mitigation_Industry!AE$17-Mitigation_Industry!AE$7)*AE$83</f>
        <v>8.9443977655571096</v>
      </c>
    </row>
    <row r="85" spans="1:35" customFormat="1" ht="14.25" x14ac:dyDescent="0.45">
      <c r="B85" s="14" t="s">
        <v>53</v>
      </c>
      <c r="C85" s="14" t="s">
        <v>43</v>
      </c>
      <c r="D85" s="15" t="s">
        <v>2164</v>
      </c>
      <c r="E85" s="16" t="s">
        <v>51</v>
      </c>
      <c r="F85" s="14" t="s">
        <v>2162</v>
      </c>
      <c r="G85" s="17"/>
      <c r="H85" s="114" t="str">
        <f>Settings!$B$3&amp;".mit.atpn.irn.nga.e.1"</f>
        <v>egy.mit.atpn.irn.nga.e.1</v>
      </c>
      <c r="I85" t="s">
        <v>2165</v>
      </c>
      <c r="K85" s="18"/>
      <c r="L85" s="19">
        <f>Mitigation_Industry!L$18-(Mitigation_Industry!L$18-Mitigation_Industry!L$8)*L$83</f>
        <v>5.4510150816191896</v>
      </c>
      <c r="M85" s="19">
        <f>Mitigation_Industry!M$18-(Mitigation_Industry!M$18-Mitigation_Industry!M$8)*M$83</f>
        <v>5.1193563062624801</v>
      </c>
      <c r="N85" s="19">
        <f>Mitigation_Industry!N$18-(Mitigation_Industry!N$18-Mitigation_Industry!N$8)*N$83</f>
        <v>5.08218458640407</v>
      </c>
      <c r="O85" s="19">
        <f>Mitigation_Industry!O$18-(Mitigation_Industry!O$18-Mitigation_Industry!O$8)*O$83</f>
        <v>5.08218458640407</v>
      </c>
      <c r="P85" s="19">
        <f>Mitigation_Industry!P$18-(Mitigation_Industry!P$18-Mitigation_Industry!P$8)*P$83</f>
        <v>5.08218458640407</v>
      </c>
      <c r="Q85" s="19">
        <f>Mitigation_Industry!Q$18-(Mitigation_Industry!Q$18-Mitigation_Industry!Q$8)*Q$83</f>
        <v>5.08218458640407</v>
      </c>
      <c r="R85" s="19">
        <f>Mitigation_Industry!R$18-(Mitigation_Industry!R$18-Mitigation_Industry!R$8)*R$83</f>
        <v>5.08218458640407</v>
      </c>
      <c r="S85" s="19">
        <f>Mitigation_Industry!S$18-(Mitigation_Industry!S$18-Mitigation_Industry!S$8)*S$83</f>
        <v>5.08218458640407</v>
      </c>
      <c r="T85" s="19">
        <f>Mitigation_Industry!T$18-(Mitigation_Industry!T$18-Mitigation_Industry!T$8)*T$83</f>
        <v>5.08218458640407</v>
      </c>
      <c r="U85" s="19">
        <f>Mitigation_Industry!U$18-(Mitigation_Industry!U$18-Mitigation_Industry!U$8)*U$83</f>
        <v>5.08218458640407</v>
      </c>
      <c r="V85" s="19">
        <f>Mitigation_Industry!V$18-(Mitigation_Industry!V$18-Mitigation_Industry!V$8)*V$83</f>
        <v>5.08218458640407</v>
      </c>
      <c r="W85" s="19">
        <f>Mitigation_Industry!W$18-(Mitigation_Industry!W$18-Mitigation_Industry!W$8)*W$83</f>
        <v>5.08218458640407</v>
      </c>
      <c r="X85" s="19">
        <f>Mitigation_Industry!X$18-(Mitigation_Industry!X$18-Mitigation_Industry!X$8)*X$83</f>
        <v>5.08218458640407</v>
      </c>
      <c r="Y85" s="19">
        <f>Mitigation_Industry!Y$18-(Mitigation_Industry!Y$18-Mitigation_Industry!Y$8)*Y$83</f>
        <v>5.08218458640407</v>
      </c>
      <c r="Z85" s="19">
        <f>Mitigation_Industry!Z$18-(Mitigation_Industry!Z$18-Mitigation_Industry!Z$8)*Z$83</f>
        <v>5.08218458640407</v>
      </c>
      <c r="AA85" s="19">
        <f>Mitigation_Industry!AA$18-(Mitigation_Industry!AA$18-Mitigation_Industry!AA$8)*AA$83</f>
        <v>5.08218458640407</v>
      </c>
      <c r="AB85" s="19">
        <f>Mitigation_Industry!AB$18-(Mitigation_Industry!AB$18-Mitigation_Industry!AB$8)*AB$83</f>
        <v>5.08218458640407</v>
      </c>
      <c r="AC85" s="19">
        <f>Mitigation_Industry!AC$18-(Mitigation_Industry!AC$18-Mitigation_Industry!AC$8)*AC$83</f>
        <v>5.08218458640407</v>
      </c>
      <c r="AD85" s="19">
        <f>Mitigation_Industry!AD$18-(Mitigation_Industry!AD$18-Mitigation_Industry!AD$8)*AD$83</f>
        <v>5.08218458640407</v>
      </c>
      <c r="AE85" s="19">
        <f>Mitigation_Industry!AE$18-(Mitigation_Industry!AE$18-Mitigation_Industry!AE$8)*AE$83</f>
        <v>5.08218458640407</v>
      </c>
    </row>
    <row r="86" spans="1:35" customFormat="1" ht="14.25" x14ac:dyDescent="0.45">
      <c r="B86" s="14" t="s">
        <v>55</v>
      </c>
      <c r="C86" s="14" t="s">
        <v>43</v>
      </c>
      <c r="D86" s="15" t="s">
        <v>2166</v>
      </c>
      <c r="E86" s="16" t="s">
        <v>57</v>
      </c>
      <c r="F86" s="14" t="s">
        <v>2162</v>
      </c>
      <c r="G86" s="17"/>
      <c r="H86" s="114" t="str">
        <f>Settings!$B$3&amp;".mit.atpn.irn.gso.e.1"</f>
        <v>egy.mit.atpn.irn.gso.e.1</v>
      </c>
      <c r="I86" t="s">
        <v>2167</v>
      </c>
      <c r="K86" s="18"/>
      <c r="L86" s="19">
        <f>Mitigation_Industry!L$19-(Mitigation_Industry!L$19-Mitigation_Industry!L$9)*L$83</f>
        <v>0.61197797679140598</v>
      </c>
      <c r="M86" s="19">
        <f>Mitigation_Industry!M$19-(Mitigation_Industry!M$19-Mitigation_Industry!M$9)*M$83</f>
        <v>0.61180974964187596</v>
      </c>
      <c r="N86" s="19">
        <f>Mitigation_Industry!N$19-(Mitigation_Industry!N$19-Mitigation_Industry!N$9)*N$83</f>
        <v>0.60358310017790595</v>
      </c>
      <c r="O86" s="19">
        <f>Mitigation_Industry!O$19-(Mitigation_Industry!O$19-Mitigation_Industry!O$9)*O$83</f>
        <v>0.60358310017790595</v>
      </c>
      <c r="P86" s="19">
        <f>Mitigation_Industry!P$19-(Mitigation_Industry!P$19-Mitigation_Industry!P$9)*P$83</f>
        <v>0.60358310017790595</v>
      </c>
      <c r="Q86" s="19">
        <f>Mitigation_Industry!Q$19-(Mitigation_Industry!Q$19-Mitigation_Industry!Q$9)*Q$83</f>
        <v>0.60358310017790595</v>
      </c>
      <c r="R86" s="19">
        <f>Mitigation_Industry!R$19-(Mitigation_Industry!R$19-Mitigation_Industry!R$9)*R$83</f>
        <v>0.60358310017790595</v>
      </c>
      <c r="S86" s="19">
        <f>Mitigation_Industry!S$19-(Mitigation_Industry!S$19-Mitigation_Industry!S$9)*S$83</f>
        <v>0.60358310017790595</v>
      </c>
      <c r="T86" s="19">
        <f>Mitigation_Industry!T$19-(Mitigation_Industry!T$19-Mitigation_Industry!T$9)*T$83</f>
        <v>0.60358310017790595</v>
      </c>
      <c r="U86" s="19">
        <f>Mitigation_Industry!U$19-(Mitigation_Industry!U$19-Mitigation_Industry!U$9)*U$83</f>
        <v>0.60358310017790595</v>
      </c>
      <c r="V86" s="19">
        <f>Mitigation_Industry!V$19-(Mitigation_Industry!V$19-Mitigation_Industry!V$9)*V$83</f>
        <v>0.60358310017790595</v>
      </c>
      <c r="W86" s="19">
        <f>Mitigation_Industry!W$19-(Mitigation_Industry!W$19-Mitigation_Industry!W$9)*W$83</f>
        <v>0.60358310017790595</v>
      </c>
      <c r="X86" s="19">
        <f>Mitigation_Industry!X$19-(Mitigation_Industry!X$19-Mitigation_Industry!X$9)*X$83</f>
        <v>0.60358310017790595</v>
      </c>
      <c r="Y86" s="19">
        <f>Mitigation_Industry!Y$19-(Mitigation_Industry!Y$19-Mitigation_Industry!Y$9)*Y$83</f>
        <v>0.60358310017790595</v>
      </c>
      <c r="Z86" s="19">
        <f>Mitigation_Industry!Z$19-(Mitigation_Industry!Z$19-Mitigation_Industry!Z$9)*Z$83</f>
        <v>0.60358310017790595</v>
      </c>
      <c r="AA86" s="19">
        <f>Mitigation_Industry!AA$19-(Mitigation_Industry!AA$19-Mitigation_Industry!AA$9)*AA$83</f>
        <v>0.60358310017790595</v>
      </c>
      <c r="AB86" s="19">
        <f>Mitigation_Industry!AB$19-(Mitigation_Industry!AB$19-Mitigation_Industry!AB$9)*AB$83</f>
        <v>0.60358310017790595</v>
      </c>
      <c r="AC86" s="19">
        <f>Mitigation_Industry!AC$19-(Mitigation_Industry!AC$19-Mitigation_Industry!AC$9)*AC$83</f>
        <v>0.60358310017790595</v>
      </c>
      <c r="AD86" s="19">
        <f>Mitigation_Industry!AD$19-(Mitigation_Industry!AD$19-Mitigation_Industry!AD$9)*AD$83</f>
        <v>0.60358310017790595</v>
      </c>
      <c r="AE86" s="19">
        <f>Mitigation_Industry!AE$19-(Mitigation_Industry!AE$19-Mitigation_Industry!AE$9)*AE$83</f>
        <v>0.60358310017790595</v>
      </c>
    </row>
    <row r="87" spans="1:35" customFormat="1" ht="14.25" x14ac:dyDescent="0.45">
      <c r="B87" s="14" t="s">
        <v>58</v>
      </c>
      <c r="C87" s="14" t="s">
        <v>43</v>
      </c>
      <c r="D87" s="15" t="s">
        <v>2168</v>
      </c>
      <c r="E87" s="16" t="s">
        <v>57</v>
      </c>
      <c r="F87" s="14" t="s">
        <v>2162</v>
      </c>
      <c r="G87" s="17"/>
      <c r="H87" s="114" t="str">
        <f>Settings!$B$3&amp;".mit.atpn.irn.die.e.1"</f>
        <v>egy.mit.atpn.irn.die.e.1</v>
      </c>
      <c r="I87" t="s">
        <v>2169</v>
      </c>
      <c r="K87" s="18"/>
      <c r="L87" s="19">
        <f>Mitigation_Industry!L$20-(Mitigation_Industry!L$20-Mitigation_Industry!L$10)*L$83</f>
        <v>0.49458873084106802</v>
      </c>
      <c r="M87" s="19">
        <f>Mitigation_Industry!M$20-(Mitigation_Industry!M$20-Mitigation_Industry!M$10)*M$83</f>
        <v>0.50778654720250105</v>
      </c>
      <c r="N87" s="19">
        <f>Mitigation_Industry!N$20-(Mitigation_Industry!N$20-Mitigation_Industry!N$10)*N$83</f>
        <v>0.47043642679561698</v>
      </c>
      <c r="O87" s="19">
        <f>Mitigation_Industry!O$20-(Mitigation_Industry!O$20-Mitigation_Industry!O$10)*O$83</f>
        <v>0.47043642679561698</v>
      </c>
      <c r="P87" s="19">
        <f>Mitigation_Industry!P$20-(Mitigation_Industry!P$20-Mitigation_Industry!P$10)*P$83</f>
        <v>0.47043642679561698</v>
      </c>
      <c r="Q87" s="19">
        <f>Mitigation_Industry!Q$20-(Mitigation_Industry!Q$20-Mitigation_Industry!Q$10)*Q$83</f>
        <v>0.47043642679561698</v>
      </c>
      <c r="R87" s="19">
        <f>Mitigation_Industry!R$20-(Mitigation_Industry!R$20-Mitigation_Industry!R$10)*R$83</f>
        <v>0.47043642679561698</v>
      </c>
      <c r="S87" s="19">
        <f>Mitigation_Industry!S$20-(Mitigation_Industry!S$20-Mitigation_Industry!S$10)*S$83</f>
        <v>0.47043642679561698</v>
      </c>
      <c r="T87" s="19">
        <f>Mitigation_Industry!T$20-(Mitigation_Industry!T$20-Mitigation_Industry!T$10)*T$83</f>
        <v>0.47043642679561698</v>
      </c>
      <c r="U87" s="19">
        <f>Mitigation_Industry!U$20-(Mitigation_Industry!U$20-Mitigation_Industry!U$10)*U$83</f>
        <v>0.47043642679561698</v>
      </c>
      <c r="V87" s="19">
        <f>Mitigation_Industry!V$20-(Mitigation_Industry!V$20-Mitigation_Industry!V$10)*V$83</f>
        <v>0.47043642679561698</v>
      </c>
      <c r="W87" s="19">
        <f>Mitigation_Industry!W$20-(Mitigation_Industry!W$20-Mitigation_Industry!W$10)*W$83</f>
        <v>0.47043642679561698</v>
      </c>
      <c r="X87" s="19">
        <f>Mitigation_Industry!X$20-(Mitigation_Industry!X$20-Mitigation_Industry!X$10)*X$83</f>
        <v>0.47043642679561698</v>
      </c>
      <c r="Y87" s="19">
        <f>Mitigation_Industry!Y$20-(Mitigation_Industry!Y$20-Mitigation_Industry!Y$10)*Y$83</f>
        <v>0.47043642679561698</v>
      </c>
      <c r="Z87" s="19">
        <f>Mitigation_Industry!Z$20-(Mitigation_Industry!Z$20-Mitigation_Industry!Z$10)*Z$83</f>
        <v>0.47043642679561698</v>
      </c>
      <c r="AA87" s="19">
        <f>Mitigation_Industry!AA$20-(Mitigation_Industry!AA$20-Mitigation_Industry!AA$10)*AA$83</f>
        <v>0.47043642679561698</v>
      </c>
      <c r="AB87" s="19">
        <f>Mitigation_Industry!AB$20-(Mitigation_Industry!AB$20-Mitigation_Industry!AB$10)*AB$83</f>
        <v>0.47043642679561698</v>
      </c>
      <c r="AC87" s="19">
        <f>Mitigation_Industry!AC$20-(Mitigation_Industry!AC$20-Mitigation_Industry!AC$10)*AC$83</f>
        <v>0.47043642679561698</v>
      </c>
      <c r="AD87" s="19">
        <f>Mitigation_Industry!AD$20-(Mitigation_Industry!AD$20-Mitigation_Industry!AD$10)*AD$83</f>
        <v>0.47043642679561698</v>
      </c>
      <c r="AE87" s="19">
        <f>Mitigation_Industry!AE$20-(Mitigation_Industry!AE$20-Mitigation_Industry!AE$10)*AE$83</f>
        <v>0.47043642679561698</v>
      </c>
    </row>
    <row r="88" spans="1:35" customFormat="1" ht="14.25" x14ac:dyDescent="0.45">
      <c r="B88" s="14" t="s">
        <v>60</v>
      </c>
      <c r="C88" s="14" t="s">
        <v>43</v>
      </c>
      <c r="D88" s="15" t="s">
        <v>2170</v>
      </c>
      <c r="E88" s="16" t="s">
        <v>57</v>
      </c>
      <c r="F88" s="14" t="s">
        <v>2162</v>
      </c>
      <c r="G88" s="17"/>
      <c r="H88" s="114" t="str">
        <f>Settings!$B$3&amp;".mit.atpn.irn.lpg.e.1"</f>
        <v>egy.mit.atpn.irn.lpg.e.1</v>
      </c>
      <c r="I88" t="s">
        <v>2171</v>
      </c>
      <c r="K88" s="18"/>
      <c r="L88" s="19">
        <f>Mitigation_Industry!L$21-(Mitigation_Industry!L$21-Mitigation_Industry!L$11)*L$83</f>
        <v>0.15734473625227399</v>
      </c>
      <c r="M88" s="19">
        <f>Mitigation_Industry!M$21-(Mitigation_Industry!M$21-Mitigation_Industry!M$11)*M$83</f>
        <v>0.164484037759277</v>
      </c>
      <c r="N88" s="19">
        <f>Mitigation_Industry!N$21-(Mitigation_Industry!N$21-Mitigation_Industry!N$11)*N$83</f>
        <v>0.15070907780704901</v>
      </c>
      <c r="O88" s="19">
        <f>Mitigation_Industry!O$21-(Mitigation_Industry!O$21-Mitigation_Industry!O$11)*O$83</f>
        <v>0.15070907780704901</v>
      </c>
      <c r="P88" s="19">
        <f>Mitigation_Industry!P$21-(Mitigation_Industry!P$21-Mitigation_Industry!P$11)*P$83</f>
        <v>0.15070907780704901</v>
      </c>
      <c r="Q88" s="19">
        <f>Mitigation_Industry!Q$21-(Mitigation_Industry!Q$21-Mitigation_Industry!Q$11)*Q$83</f>
        <v>0.15070907780704901</v>
      </c>
      <c r="R88" s="19">
        <f>Mitigation_Industry!R$21-(Mitigation_Industry!R$21-Mitigation_Industry!R$11)*R$83</f>
        <v>0.15070907780704901</v>
      </c>
      <c r="S88" s="19">
        <f>Mitigation_Industry!S$21-(Mitigation_Industry!S$21-Mitigation_Industry!S$11)*S$83</f>
        <v>0.15070907780704901</v>
      </c>
      <c r="T88" s="19">
        <f>Mitigation_Industry!T$21-(Mitigation_Industry!T$21-Mitigation_Industry!T$11)*T$83</f>
        <v>0.15070907780704901</v>
      </c>
      <c r="U88" s="19">
        <f>Mitigation_Industry!U$21-(Mitigation_Industry!U$21-Mitigation_Industry!U$11)*U$83</f>
        <v>0.15070907780704901</v>
      </c>
      <c r="V88" s="19">
        <f>Mitigation_Industry!V$21-(Mitigation_Industry!V$21-Mitigation_Industry!V$11)*V$83</f>
        <v>0.15070907780704901</v>
      </c>
      <c r="W88" s="19">
        <f>Mitigation_Industry!W$21-(Mitigation_Industry!W$21-Mitigation_Industry!W$11)*W$83</f>
        <v>0.15070907780704901</v>
      </c>
      <c r="X88" s="19">
        <f>Mitigation_Industry!X$21-(Mitigation_Industry!X$21-Mitigation_Industry!X$11)*X$83</f>
        <v>0.15070907780704901</v>
      </c>
      <c r="Y88" s="19">
        <f>Mitigation_Industry!Y$21-(Mitigation_Industry!Y$21-Mitigation_Industry!Y$11)*Y$83</f>
        <v>0.15070907780704901</v>
      </c>
      <c r="Z88" s="19">
        <f>Mitigation_Industry!Z$21-(Mitigation_Industry!Z$21-Mitigation_Industry!Z$11)*Z$83</f>
        <v>0.15070907780704901</v>
      </c>
      <c r="AA88" s="19">
        <f>Mitigation_Industry!AA$21-(Mitigation_Industry!AA$21-Mitigation_Industry!AA$11)*AA$83</f>
        <v>0.15070907780704901</v>
      </c>
      <c r="AB88" s="19">
        <f>Mitigation_Industry!AB$21-(Mitigation_Industry!AB$21-Mitigation_Industry!AB$11)*AB$83</f>
        <v>0.15070907780704901</v>
      </c>
      <c r="AC88" s="19">
        <f>Mitigation_Industry!AC$21-(Mitigation_Industry!AC$21-Mitigation_Industry!AC$11)*AC$83</f>
        <v>0.15070907780704901</v>
      </c>
      <c r="AD88" s="19">
        <f>Mitigation_Industry!AD$21-(Mitigation_Industry!AD$21-Mitigation_Industry!AD$11)*AD$83</f>
        <v>0.15070907780704901</v>
      </c>
      <c r="AE88" s="19">
        <f>Mitigation_Industry!AE$21-(Mitigation_Industry!AE$21-Mitigation_Industry!AE$11)*AE$83</f>
        <v>0.15070907780704901</v>
      </c>
    </row>
    <row r="89" spans="1:35" customFormat="1" ht="14.25" x14ac:dyDescent="0.45">
      <c r="B89" s="14" t="s">
        <v>62</v>
      </c>
      <c r="C89" s="14" t="s">
        <v>43</v>
      </c>
      <c r="D89" s="15" t="s">
        <v>2172</v>
      </c>
      <c r="E89" s="16" t="s">
        <v>57</v>
      </c>
      <c r="F89" s="14" t="s">
        <v>2162</v>
      </c>
      <c r="G89" s="17"/>
      <c r="H89" s="114" t="str">
        <f>Settings!$B$3&amp;".mit.atpn.irn.ker.e.1"</f>
        <v>egy.mit.atpn.irn.ker.e.1</v>
      </c>
      <c r="I89" t="s">
        <v>2173</v>
      </c>
      <c r="K89" s="18"/>
      <c r="L89" s="19">
        <f>Mitigation_Industry!L$22-(Mitigation_Industry!L$22-Mitigation_Industry!L$12)*L$83</f>
        <v>0.45642817050012802</v>
      </c>
      <c r="M89" s="19">
        <f>Mitigation_Industry!M$22-(Mitigation_Industry!M$22-Mitigation_Industry!M$12)*M$83</f>
        <v>0.43168920195599497</v>
      </c>
      <c r="N89" s="19">
        <f>Mitigation_Industry!N$22-(Mitigation_Industry!N$22-Mitigation_Industry!N$12)*N$83</f>
        <v>0.42507558395597</v>
      </c>
      <c r="O89" s="19">
        <f>Mitigation_Industry!O$22-(Mitigation_Industry!O$22-Mitigation_Industry!O$12)*O$83</f>
        <v>0.42507558395597</v>
      </c>
      <c r="P89" s="19">
        <f>Mitigation_Industry!P$22-(Mitigation_Industry!P$22-Mitigation_Industry!P$12)*P$83</f>
        <v>0.42507558395597</v>
      </c>
      <c r="Q89" s="19">
        <f>Mitigation_Industry!Q$22-(Mitigation_Industry!Q$22-Mitigation_Industry!Q$12)*Q$83</f>
        <v>0.42507558395597</v>
      </c>
      <c r="R89" s="19">
        <f>Mitigation_Industry!R$22-(Mitigation_Industry!R$22-Mitigation_Industry!R$12)*R$83</f>
        <v>0.42507558395597</v>
      </c>
      <c r="S89" s="19">
        <f>Mitigation_Industry!S$22-(Mitigation_Industry!S$22-Mitigation_Industry!S$12)*S$83</f>
        <v>0.42507558395597</v>
      </c>
      <c r="T89" s="19">
        <f>Mitigation_Industry!T$22-(Mitigation_Industry!T$22-Mitigation_Industry!T$12)*T$83</f>
        <v>0.42507558395597</v>
      </c>
      <c r="U89" s="19">
        <f>Mitigation_Industry!U$22-(Mitigation_Industry!U$22-Mitigation_Industry!U$12)*U$83</f>
        <v>0.42507558395597</v>
      </c>
      <c r="V89" s="19">
        <f>Mitigation_Industry!V$22-(Mitigation_Industry!V$22-Mitigation_Industry!V$12)*V$83</f>
        <v>0.42507558395597</v>
      </c>
      <c r="W89" s="19">
        <f>Mitigation_Industry!W$22-(Mitigation_Industry!W$22-Mitigation_Industry!W$12)*W$83</f>
        <v>0.42507558395597</v>
      </c>
      <c r="X89" s="19">
        <f>Mitigation_Industry!X$22-(Mitigation_Industry!X$22-Mitigation_Industry!X$12)*X$83</f>
        <v>0.42507558395597</v>
      </c>
      <c r="Y89" s="19">
        <f>Mitigation_Industry!Y$22-(Mitigation_Industry!Y$22-Mitigation_Industry!Y$12)*Y$83</f>
        <v>0.42507558395597</v>
      </c>
      <c r="Z89" s="19">
        <f>Mitigation_Industry!Z$22-(Mitigation_Industry!Z$22-Mitigation_Industry!Z$12)*Z$83</f>
        <v>0.42507558395597</v>
      </c>
      <c r="AA89" s="19">
        <f>Mitigation_Industry!AA$22-(Mitigation_Industry!AA$22-Mitigation_Industry!AA$12)*AA$83</f>
        <v>0.42507558395597</v>
      </c>
      <c r="AB89" s="19">
        <f>Mitigation_Industry!AB$22-(Mitigation_Industry!AB$22-Mitigation_Industry!AB$12)*AB$83</f>
        <v>0.42507558395597</v>
      </c>
      <c r="AC89" s="19">
        <f>Mitigation_Industry!AC$22-(Mitigation_Industry!AC$22-Mitigation_Industry!AC$12)*AC$83</f>
        <v>0.42507558395597</v>
      </c>
      <c r="AD89" s="19">
        <f>Mitigation_Industry!AD$22-(Mitigation_Industry!AD$22-Mitigation_Industry!AD$12)*AD$83</f>
        <v>0.42507558395597</v>
      </c>
      <c r="AE89" s="19">
        <f>Mitigation_Industry!AE$22-(Mitigation_Industry!AE$22-Mitigation_Industry!AE$12)*AE$83</f>
        <v>0.42507558395597</v>
      </c>
    </row>
    <row r="90" spans="1:35" customFormat="1" ht="14.25" x14ac:dyDescent="0.45">
      <c r="B90" s="14" t="s">
        <v>64</v>
      </c>
      <c r="C90" s="14" t="s">
        <v>43</v>
      </c>
      <c r="D90" s="15" t="s">
        <v>2174</v>
      </c>
      <c r="E90" s="16" t="s">
        <v>66</v>
      </c>
      <c r="F90" s="14" t="s">
        <v>2162</v>
      </c>
      <c r="G90" s="17"/>
      <c r="H90" s="114" t="str">
        <f>Settings!$B$3&amp;".mit.atpn.irn.oop.e.1"</f>
        <v>egy.mit.atpn.irn.oop.e.1</v>
      </c>
      <c r="I90" t="s">
        <v>2175</v>
      </c>
      <c r="K90" s="18"/>
      <c r="L90" s="19">
        <f>Mitigation_Industry!L$23-(Mitigation_Industry!L$23-Mitigation_Industry!L$13)*L$83</f>
        <v>34.4153703043132</v>
      </c>
      <c r="M90" s="19">
        <f>Mitigation_Industry!M$23-(Mitigation_Industry!M$23-Mitigation_Industry!M$13)*M$83</f>
        <v>37.368960690431997</v>
      </c>
      <c r="N90" s="19">
        <f>Mitigation_Industry!N$23-(Mitigation_Industry!N$23-Mitigation_Industry!N$13)*N$83</f>
        <v>28.982761101477301</v>
      </c>
      <c r="O90" s="19">
        <f>Mitigation_Industry!O$23-(Mitigation_Industry!O$23-Mitigation_Industry!O$13)*O$83</f>
        <v>15</v>
      </c>
      <c r="P90" s="19">
        <f>Mitigation_Industry!P$23-(Mitigation_Industry!P$23-Mitigation_Industry!P$13)*P$83</f>
        <v>24.2586300842555</v>
      </c>
      <c r="Q90" s="19">
        <f>Mitigation_Industry!Q$23-(Mitigation_Industry!Q$23-Mitigation_Industry!Q$13)*Q$83</f>
        <v>15</v>
      </c>
      <c r="R90" s="19">
        <f>Mitigation_Industry!R$23-(Mitigation_Industry!R$23-Mitigation_Industry!R$13)*R$83</f>
        <v>15</v>
      </c>
      <c r="S90" s="19">
        <f>Mitigation_Industry!S$23-(Mitigation_Industry!S$23-Mitigation_Industry!S$13)*S$83</f>
        <v>15</v>
      </c>
      <c r="T90" s="19">
        <f>Mitigation_Industry!T$23-(Mitigation_Industry!T$23-Mitigation_Industry!T$13)*T$83</f>
        <v>15</v>
      </c>
      <c r="U90" s="19">
        <f>Mitigation_Industry!U$23-(Mitigation_Industry!U$23-Mitigation_Industry!U$13)*U$83</f>
        <v>15</v>
      </c>
      <c r="V90" s="19">
        <f>Mitigation_Industry!V$23-(Mitigation_Industry!V$23-Mitigation_Industry!V$13)*V$83</f>
        <v>15</v>
      </c>
      <c r="W90" s="19">
        <f>Mitigation_Industry!W$23-(Mitigation_Industry!W$23-Mitigation_Industry!W$13)*W$83</f>
        <v>15</v>
      </c>
      <c r="X90" s="19">
        <f>Mitigation_Industry!X$23-(Mitigation_Industry!X$23-Mitigation_Industry!X$13)*X$83</f>
        <v>15</v>
      </c>
      <c r="Y90" s="19">
        <f>Mitigation_Industry!Y$23-(Mitigation_Industry!Y$23-Mitigation_Industry!Y$13)*Y$83</f>
        <v>15</v>
      </c>
      <c r="Z90" s="19">
        <f>Mitigation_Industry!Z$23-(Mitigation_Industry!Z$23-Mitigation_Industry!Z$13)*Z$83</f>
        <v>15</v>
      </c>
      <c r="AA90" s="19">
        <f>Mitigation_Industry!AA$23-(Mitigation_Industry!AA$23-Mitigation_Industry!AA$13)*AA$83</f>
        <v>15</v>
      </c>
      <c r="AB90" s="19">
        <f>Mitigation_Industry!AB$23-(Mitigation_Industry!AB$23-Mitigation_Industry!AB$13)*AB$83</f>
        <v>15</v>
      </c>
      <c r="AC90" s="19">
        <f>Mitigation_Industry!AC$23-(Mitigation_Industry!AC$23-Mitigation_Industry!AC$13)*AC$83</f>
        <v>15</v>
      </c>
      <c r="AD90" s="19">
        <f>Mitigation_Industry!AD$23-(Mitigation_Industry!AD$23-Mitigation_Industry!AD$13)*AD$83</f>
        <v>15</v>
      </c>
      <c r="AE90" s="19">
        <f>Mitigation_Industry!AE$23-(Mitigation_Industry!AE$23-Mitigation_Industry!AE$13)*AE$83</f>
        <v>15</v>
      </c>
    </row>
    <row r="91" spans="1:35" customFormat="1" ht="14.25" x14ac:dyDescent="0.45">
      <c r="B91" s="14" t="s">
        <v>67</v>
      </c>
      <c r="C91" s="14" t="s">
        <v>43</v>
      </c>
      <c r="D91" s="15" t="s">
        <v>2176</v>
      </c>
      <c r="E91" s="16" t="s">
        <v>51</v>
      </c>
      <c r="F91" s="14" t="s">
        <v>2162</v>
      </c>
      <c r="G91" s="17"/>
      <c r="H91" s="114" t="str">
        <f>Settings!$B$3&amp;".mit.atpn.irn.bio.e.1"</f>
        <v>egy.mit.atpn.irn.bio.e.1</v>
      </c>
      <c r="I91" t="s">
        <v>2177</v>
      </c>
      <c r="K91" s="18"/>
      <c r="L91" s="19">
        <f>Mitigation_Industry!L$24-(Mitigation_Industry!L$24-Mitigation_Industry!L$14)*L$83</f>
        <v>14.199528390634899</v>
      </c>
      <c r="M91" s="19">
        <f>Mitigation_Industry!M$24-(Mitigation_Industry!M$24-Mitigation_Industry!M$14)*M$83</f>
        <v>13.8404416133152</v>
      </c>
      <c r="N91" s="19">
        <f>Mitigation_Industry!N$24-(Mitigation_Industry!N$24-Mitigation_Industry!N$14)*N$83</f>
        <v>13.5677269404465</v>
      </c>
      <c r="O91" s="19">
        <f>Mitigation_Industry!O$24-(Mitigation_Industry!O$24-Mitigation_Industry!O$14)*O$83</f>
        <v>13.5677269404465</v>
      </c>
      <c r="P91" s="19">
        <f>Mitigation_Industry!P$24-(Mitigation_Industry!P$24-Mitigation_Industry!P$14)*P$83</f>
        <v>13.5677269404465</v>
      </c>
      <c r="Q91" s="19">
        <f>Mitigation_Industry!Q$24-(Mitigation_Industry!Q$24-Mitigation_Industry!Q$14)*Q$83</f>
        <v>13.5677269404465</v>
      </c>
      <c r="R91" s="19">
        <f>Mitigation_Industry!R$24-(Mitigation_Industry!R$24-Mitigation_Industry!R$14)*R$83</f>
        <v>13.5677269404465</v>
      </c>
      <c r="S91" s="19">
        <f>Mitigation_Industry!S$24-(Mitigation_Industry!S$24-Mitigation_Industry!S$14)*S$83</f>
        <v>13.5677269404465</v>
      </c>
      <c r="T91" s="19">
        <f>Mitigation_Industry!T$24-(Mitigation_Industry!T$24-Mitigation_Industry!T$14)*T$83</f>
        <v>13.5677269404465</v>
      </c>
      <c r="U91" s="19">
        <f>Mitigation_Industry!U$24-(Mitigation_Industry!U$24-Mitigation_Industry!U$14)*U$83</f>
        <v>13.5677269404465</v>
      </c>
      <c r="V91" s="19">
        <f>Mitigation_Industry!V$24-(Mitigation_Industry!V$24-Mitigation_Industry!V$14)*V$83</f>
        <v>13.5677269404465</v>
      </c>
      <c r="W91" s="19">
        <f>Mitigation_Industry!W$24-(Mitigation_Industry!W$24-Mitigation_Industry!W$14)*W$83</f>
        <v>13.5677269404465</v>
      </c>
      <c r="X91" s="19">
        <f>Mitigation_Industry!X$24-(Mitigation_Industry!X$24-Mitigation_Industry!X$14)*X$83</f>
        <v>13.5677269404465</v>
      </c>
      <c r="Y91" s="19">
        <f>Mitigation_Industry!Y$24-(Mitigation_Industry!Y$24-Mitigation_Industry!Y$14)*Y$83</f>
        <v>13.5677269404465</v>
      </c>
      <c r="Z91" s="19">
        <f>Mitigation_Industry!Z$24-(Mitigation_Industry!Z$24-Mitigation_Industry!Z$14)*Z$83</f>
        <v>13.5677269404465</v>
      </c>
      <c r="AA91" s="19">
        <f>Mitigation_Industry!AA$24-(Mitigation_Industry!AA$24-Mitigation_Industry!AA$14)*AA$83</f>
        <v>13.5677269404465</v>
      </c>
      <c r="AB91" s="19">
        <f>Mitigation_Industry!AB$24-(Mitigation_Industry!AB$24-Mitigation_Industry!AB$14)*AB$83</f>
        <v>13.5677269404465</v>
      </c>
      <c r="AC91" s="19">
        <f>Mitigation_Industry!AC$24-(Mitigation_Industry!AC$24-Mitigation_Industry!AC$14)*AC$83</f>
        <v>13.5677269404465</v>
      </c>
      <c r="AD91" s="19">
        <f>Mitigation_Industry!AD$24-(Mitigation_Industry!AD$24-Mitigation_Industry!AD$14)*AD$83</f>
        <v>13.5677269404465</v>
      </c>
      <c r="AE91" s="19">
        <f>Mitigation_Industry!AE$24-(Mitigation_Industry!AE$24-Mitigation_Industry!AE$14)*AE$83</f>
        <v>13.5677269404465</v>
      </c>
    </row>
    <row r="92" spans="1:35" customFormat="1" ht="14.25" x14ac:dyDescent="0.45">
      <c r="B92" s="14" t="s">
        <v>69</v>
      </c>
      <c r="C92" s="14" t="s">
        <v>43</v>
      </c>
      <c r="D92" s="15" t="s">
        <v>2178</v>
      </c>
      <c r="E92" s="16" t="s">
        <v>71</v>
      </c>
      <c r="F92" s="14" t="s">
        <v>2162</v>
      </c>
      <c r="G92" s="17"/>
      <c r="H92" s="114" t="str">
        <f>Settings!$B$3&amp;".mit.atpn.irn.ren.e.1"</f>
        <v>egy.mit.atpn.irn.ren.e.1</v>
      </c>
      <c r="I92" t="s">
        <v>2179</v>
      </c>
      <c r="K92" s="18"/>
      <c r="L92" s="19">
        <f>Mitigation_Industry!L$25-(Mitigation_Industry!L$25-Mitigation_Industry!L$15)*L$83</f>
        <v>0.14404498679319799</v>
      </c>
      <c r="M92" s="19">
        <f>Mitigation_Industry!M$25-(Mitigation_Industry!M$25-Mitigation_Industry!M$15)*M$83</f>
        <v>0.14102040965700399</v>
      </c>
      <c r="N92" s="19">
        <f>Mitigation_Industry!N$25-(Mitigation_Industry!N$25-Mitigation_Industry!N$15)*N$83</f>
        <v>0.13511635959447599</v>
      </c>
      <c r="O92" s="19">
        <f>Mitigation_Industry!O$25-(Mitigation_Industry!O$25-Mitigation_Industry!O$15)*O$83</f>
        <v>0.13098825698585601</v>
      </c>
      <c r="P92" s="19">
        <f>Mitigation_Industry!P$25-(Mitigation_Industry!P$25-Mitigation_Industry!P$15)*P$83</f>
        <v>0.12790841608631801</v>
      </c>
      <c r="Q92" s="19">
        <f>Mitigation_Industry!Q$25-(Mitigation_Industry!Q$25-Mitigation_Industry!Q$15)*Q$83</f>
        <v>0.124814310557813</v>
      </c>
      <c r="R92" s="19">
        <f>Mitigation_Industry!R$25-(Mitigation_Industry!R$25-Mitigation_Industry!R$15)*R$83</f>
        <v>0.121460257122878</v>
      </c>
      <c r="S92" s="19">
        <f>Mitigation_Industry!S$25-(Mitigation_Industry!S$25-Mitigation_Industry!S$15)*S$83</f>
        <v>0.117950744135786</v>
      </c>
      <c r="T92" s="19">
        <f>Mitigation_Industry!T$25-(Mitigation_Industry!T$25-Mitigation_Industry!T$15)*T$83</f>
        <v>0.114199161044597</v>
      </c>
      <c r="U92" s="19">
        <f>Mitigation_Industry!U$25-(Mitigation_Industry!U$25-Mitigation_Industry!U$15)*U$83</f>
        <v>0.113665100059665</v>
      </c>
      <c r="V92" s="19">
        <f>Mitigation_Industry!V$25-(Mitigation_Industry!V$25-Mitigation_Industry!V$15)*V$83</f>
        <v>0.113016929625957</v>
      </c>
      <c r="W92" s="19">
        <f>Mitigation_Industry!W$25-(Mitigation_Industry!W$25-Mitigation_Industry!W$15)*W$83</f>
        <v>0.112314070507636</v>
      </c>
      <c r="X92" s="19">
        <f>Mitigation_Industry!X$25-(Mitigation_Industry!X$25-Mitigation_Industry!X$15)*X$83</f>
        <v>0.11142204273284299</v>
      </c>
      <c r="Y92" s="19">
        <f>Mitigation_Industry!Y$25-(Mitigation_Industry!Y$25-Mitigation_Industry!Y$15)*Y$83</f>
        <v>0.110434123675809</v>
      </c>
      <c r="Z92" s="19">
        <f>Mitigation_Industry!Z$25-(Mitigation_Industry!Z$25-Mitigation_Industry!Z$15)*Z$83</f>
        <v>0.109483973304471</v>
      </c>
      <c r="AA92" s="19">
        <f>Mitigation_Industry!AA$25-(Mitigation_Industry!AA$25-Mitigation_Industry!AA$15)*AA$83</f>
        <v>0.10839192105294</v>
      </c>
      <c r="AB92" s="19">
        <f>Mitigation_Industry!AB$25-(Mitigation_Industry!AB$25-Mitigation_Industry!AB$15)*AB$83</f>
        <v>0.10735443362670399</v>
      </c>
      <c r="AC92" s="19">
        <f>Mitigation_Industry!AC$25-(Mitigation_Industry!AC$25-Mitigation_Industry!AC$15)*AC$83</f>
        <v>0.105168675441661</v>
      </c>
      <c r="AD92" s="19">
        <f>Mitigation_Industry!AD$25-(Mitigation_Industry!AD$25-Mitigation_Industry!AD$15)*AD$83</f>
        <v>0.103057983256008</v>
      </c>
      <c r="AE92" s="19">
        <f>Mitigation_Industry!AE$25-(Mitigation_Industry!AE$25-Mitigation_Industry!AE$15)*AE$83</f>
        <v>0.100931838990114</v>
      </c>
    </row>
    <row r="94" spans="1:35" customFormat="1" ht="14.25" x14ac:dyDescent="0.45">
      <c r="A94" s="11"/>
      <c r="B94" s="6"/>
      <c r="C94" s="7" t="s">
        <v>113</v>
      </c>
      <c r="D94" s="6" t="s">
        <v>1505</v>
      </c>
      <c r="E94" s="7" t="s">
        <v>35</v>
      </c>
      <c r="F94" s="7" t="s">
        <v>45</v>
      </c>
      <c r="G94" s="7" t="s">
        <v>37</v>
      </c>
      <c r="H94" s="12" t="s">
        <v>38</v>
      </c>
      <c r="I94" s="6" t="s">
        <v>39</v>
      </c>
      <c r="J94" s="48">
        <v>1</v>
      </c>
      <c r="K94" s="6">
        <v>2021</v>
      </c>
      <c r="L94" s="46">
        <v>2022</v>
      </c>
      <c r="M94" s="6">
        <v>2023</v>
      </c>
      <c r="N94" s="6">
        <v>2024</v>
      </c>
      <c r="O94" s="6">
        <v>2025</v>
      </c>
      <c r="P94" s="6">
        <v>2026</v>
      </c>
      <c r="Q94" s="6">
        <v>2027</v>
      </c>
      <c r="R94" s="6">
        <v>2028</v>
      </c>
      <c r="S94" s="6">
        <v>2029</v>
      </c>
      <c r="T94" s="6">
        <v>2030</v>
      </c>
      <c r="U94" s="6">
        <v>2031</v>
      </c>
      <c r="V94" s="6">
        <v>2032</v>
      </c>
      <c r="W94" s="6">
        <v>2033</v>
      </c>
      <c r="X94" s="6">
        <v>2034</v>
      </c>
      <c r="Y94" s="6">
        <v>2035</v>
      </c>
      <c r="Z94" s="6">
        <v>2036</v>
      </c>
      <c r="AA94" s="6">
        <v>2037</v>
      </c>
      <c r="AB94" s="6">
        <v>2038</v>
      </c>
      <c r="AC94" s="6">
        <v>2039</v>
      </c>
      <c r="AD94" s="6">
        <v>2040</v>
      </c>
      <c r="AE94" s="6">
        <v>2041</v>
      </c>
      <c r="AF94" s="6">
        <v>2042</v>
      </c>
      <c r="AG94" s="6">
        <v>2043</v>
      </c>
      <c r="AH94" s="6">
        <v>2044</v>
      </c>
      <c r="AI94" s="6">
        <v>2045</v>
      </c>
    </row>
    <row r="95" spans="1:35" customFormat="1" ht="14.25" x14ac:dyDescent="0.45">
      <c r="B95" s="14" t="s">
        <v>110</v>
      </c>
      <c r="C95" s="14" t="s">
        <v>113</v>
      </c>
      <c r="D95" s="25" t="s">
        <v>2154</v>
      </c>
      <c r="E95" s="16" t="s">
        <v>1871</v>
      </c>
      <c r="F95" s="14" t="s">
        <v>2143</v>
      </c>
      <c r="H95" s="114" t="str">
        <f>Settings!$B$3&amp;".mit.obr.ind.cem.1"</f>
        <v>egy.mit.obr.ind.cem.1</v>
      </c>
      <c r="I95" t="s">
        <v>2180</v>
      </c>
      <c r="L95" s="116">
        <f t="shared" ref="L95:AE95" si="27">L$73</f>
        <v>0</v>
      </c>
      <c r="M95" s="116">
        <f t="shared" si="27"/>
        <v>0</v>
      </c>
      <c r="N95" s="116">
        <f t="shared" si="27"/>
        <v>0</v>
      </c>
      <c r="O95" s="116">
        <f t="shared" si="27"/>
        <v>0</v>
      </c>
      <c r="P95" s="116">
        <f t="shared" si="27"/>
        <v>0</v>
      </c>
      <c r="Q95" s="116">
        <f t="shared" si="27"/>
        <v>0</v>
      </c>
      <c r="R95" s="116">
        <f t="shared" si="27"/>
        <v>0</v>
      </c>
      <c r="S95" s="116">
        <f t="shared" si="27"/>
        <v>0</v>
      </c>
      <c r="T95" s="116">
        <f t="shared" si="27"/>
        <v>0</v>
      </c>
      <c r="U95" s="116">
        <f t="shared" si="27"/>
        <v>0</v>
      </c>
      <c r="V95" s="116">
        <f t="shared" si="27"/>
        <v>0</v>
      </c>
      <c r="W95" s="116">
        <f t="shared" si="27"/>
        <v>0</v>
      </c>
      <c r="X95" s="116">
        <f t="shared" si="27"/>
        <v>0</v>
      </c>
      <c r="Y95" s="116">
        <f t="shared" si="27"/>
        <v>0</v>
      </c>
      <c r="Z95" s="116">
        <f t="shared" si="27"/>
        <v>0</v>
      </c>
      <c r="AA95" s="116">
        <f t="shared" si="27"/>
        <v>0</v>
      </c>
      <c r="AB95" s="116">
        <f t="shared" si="27"/>
        <v>0</v>
      </c>
      <c r="AC95" s="116">
        <f t="shared" si="27"/>
        <v>0</v>
      </c>
      <c r="AD95" s="116">
        <f t="shared" si="27"/>
        <v>0</v>
      </c>
      <c r="AE95" s="116">
        <f t="shared" si="27"/>
        <v>0</v>
      </c>
    </row>
    <row r="96" spans="1:35" customFormat="1" ht="14.25" x14ac:dyDescent="0.45">
      <c r="B96" s="14" t="s">
        <v>110</v>
      </c>
      <c r="C96" s="14" t="s">
        <v>113</v>
      </c>
      <c r="D96" s="25" t="s">
        <v>2156</v>
      </c>
      <c r="E96" s="16" t="s">
        <v>1871</v>
      </c>
      <c r="F96" s="14" t="s">
        <v>2157</v>
      </c>
      <c r="H96" s="114" t="str">
        <f>Settings!$B$3&amp;".mit.ccf.ind.cem.1"</f>
        <v>egy.mit.ccf.ind.cem.1</v>
      </c>
      <c r="L96" s="116">
        <f>L$23*Mitigation_Industry!L$279/1000</f>
        <v>0</v>
      </c>
      <c r="M96" s="116">
        <f>M$23*Mitigation_Industry!M$279/1000</f>
        <v>0</v>
      </c>
      <c r="N96" s="116">
        <f>N$23*Mitigation_Industry!N$279/1000</f>
        <v>0</v>
      </c>
      <c r="O96" s="116">
        <f>O$23*Mitigation_Industry!O$279/1000</f>
        <v>0</v>
      </c>
      <c r="P96" s="116">
        <f>P$23*Mitigation_Industry!P$279/1000</f>
        <v>0</v>
      </c>
      <c r="Q96" s="116">
        <f>Q$23*Mitigation_Industry!Q$279/1000</f>
        <v>0</v>
      </c>
      <c r="R96" s="116">
        <f>R$23*Mitigation_Industry!R$279/1000</f>
        <v>0</v>
      </c>
      <c r="S96" s="116">
        <f>S$23*Mitigation_Industry!S$279/1000</f>
        <v>0</v>
      </c>
      <c r="T96" s="116">
        <f>T$23*Mitigation_Industry!T$279/1000</f>
        <v>0</v>
      </c>
      <c r="U96" s="116">
        <f>U$23*Mitigation_Industry!U$279/1000</f>
        <v>0</v>
      </c>
      <c r="V96" s="116">
        <f>V$23*Mitigation_Industry!V$279/1000</f>
        <v>0</v>
      </c>
      <c r="W96" s="116">
        <f>W$23*Mitigation_Industry!W$279/1000</f>
        <v>0</v>
      </c>
      <c r="X96" s="116">
        <f>X$23*Mitigation_Industry!X$279/1000</f>
        <v>0</v>
      </c>
      <c r="Y96" s="116">
        <f>Y$23*Mitigation_Industry!Y$279/1000</f>
        <v>0</v>
      </c>
      <c r="Z96" s="116">
        <f>Z$23*Mitigation_Industry!Z$279/1000</f>
        <v>0</v>
      </c>
      <c r="AA96" s="116">
        <f>AA$23*Mitigation_Industry!AA$279/1000</f>
        <v>0</v>
      </c>
      <c r="AB96" s="116">
        <f>AB$23*Mitigation_Industry!AB$279/1000</f>
        <v>0</v>
      </c>
      <c r="AC96" s="116">
        <f>AC$23*Mitigation_Industry!AC$279/1000</f>
        <v>0</v>
      </c>
      <c r="AD96" s="116">
        <f>AD$23*Mitigation_Industry!AD$279/1000</f>
        <v>0</v>
      </c>
      <c r="AE96" s="116">
        <f>AE$23*Mitigation_Industry!AE$279/1000</f>
        <v>0</v>
      </c>
    </row>
    <row r="97" spans="1:35" customFormat="1" ht="14.25" x14ac:dyDescent="0.45">
      <c r="B97" s="14" t="s">
        <v>110</v>
      </c>
      <c r="C97" s="14" t="s">
        <v>113</v>
      </c>
      <c r="D97" s="25" t="s">
        <v>2158</v>
      </c>
      <c r="E97" s="16" t="s">
        <v>79</v>
      </c>
      <c r="F97" s="14" t="s">
        <v>2159</v>
      </c>
      <c r="H97" s="114" t="str">
        <f>Settings!$B$3&amp;".mit.rsh.ind.cem.1"</f>
        <v>egy.mit.rsh.ind.cem.1</v>
      </c>
      <c r="I97" t="s">
        <v>2160</v>
      </c>
      <c r="L97" s="116">
        <f t="shared" ref="L97:AE97" si="28">IF(L$96&lt;=0,0,MIN(1,L$95/L$96))</f>
        <v>0</v>
      </c>
      <c r="M97" s="116">
        <f t="shared" si="28"/>
        <v>0</v>
      </c>
      <c r="N97" s="116">
        <f t="shared" si="28"/>
        <v>0</v>
      </c>
      <c r="O97" s="116">
        <f t="shared" si="28"/>
        <v>0</v>
      </c>
      <c r="P97" s="116">
        <f t="shared" si="28"/>
        <v>0</v>
      </c>
      <c r="Q97" s="116">
        <f t="shared" si="28"/>
        <v>0</v>
      </c>
      <c r="R97" s="116">
        <f t="shared" si="28"/>
        <v>0</v>
      </c>
      <c r="S97" s="116">
        <f t="shared" si="28"/>
        <v>0</v>
      </c>
      <c r="T97" s="116">
        <f t="shared" si="28"/>
        <v>0</v>
      </c>
      <c r="U97" s="116">
        <f t="shared" si="28"/>
        <v>0</v>
      </c>
      <c r="V97" s="116">
        <f t="shared" si="28"/>
        <v>0</v>
      </c>
      <c r="W97" s="116">
        <f t="shared" si="28"/>
        <v>0</v>
      </c>
      <c r="X97" s="116">
        <f t="shared" si="28"/>
        <v>0</v>
      </c>
      <c r="Y97" s="116">
        <f t="shared" si="28"/>
        <v>0</v>
      </c>
      <c r="Z97" s="116">
        <f t="shared" si="28"/>
        <v>0</v>
      </c>
      <c r="AA97" s="116">
        <f t="shared" si="28"/>
        <v>0</v>
      </c>
      <c r="AB97" s="116">
        <f t="shared" si="28"/>
        <v>0</v>
      </c>
      <c r="AC97" s="116">
        <f t="shared" si="28"/>
        <v>0</v>
      </c>
      <c r="AD97" s="116">
        <f t="shared" si="28"/>
        <v>0</v>
      </c>
      <c r="AE97" s="116">
        <f t="shared" si="28"/>
        <v>0</v>
      </c>
    </row>
    <row r="98" spans="1:35" customFormat="1" ht="14.25" x14ac:dyDescent="0.45">
      <c r="B98" s="14" t="s">
        <v>49</v>
      </c>
      <c r="C98" s="14" t="s">
        <v>113</v>
      </c>
      <c r="D98" s="15" t="s">
        <v>2161</v>
      </c>
      <c r="E98" s="16" t="s">
        <v>51</v>
      </c>
      <c r="F98" s="14" t="s">
        <v>2162</v>
      </c>
      <c r="G98" s="17"/>
      <c r="H98" s="114" t="str">
        <f>Settings!$B$3&amp;".mit.atpn.cem.coa.e.1"</f>
        <v>egy.mit.atpn.cem.coa.e.1</v>
      </c>
      <c r="I98" t="s">
        <v>2181</v>
      </c>
      <c r="K98" s="18"/>
      <c r="L98" s="19">
        <f>Mitigation_Industry!L$77-(Mitigation_Industry!L$77-Mitigation_Industry!L$67)*L$97</f>
        <v>10.5233613454312</v>
      </c>
      <c r="M98" s="19">
        <f>Mitigation_Industry!M$77-(Mitigation_Industry!M$77-Mitigation_Industry!M$67)*M$97</f>
        <v>10.2995608274442</v>
      </c>
      <c r="N98" s="19">
        <f>Mitigation_Industry!N$77-(Mitigation_Industry!N$77-Mitigation_Industry!N$67)*N$97</f>
        <v>9.5775283595382597</v>
      </c>
      <c r="O98" s="19">
        <f>Mitigation_Industry!O$77-(Mitigation_Industry!O$77-Mitigation_Industry!O$67)*O$97</f>
        <v>8.4854782869580507</v>
      </c>
      <c r="P98" s="19">
        <f>Mitigation_Industry!P$77-(Mitigation_Industry!P$77-Mitigation_Industry!P$67)*P$97</f>
        <v>9.0871922352498604</v>
      </c>
      <c r="Q98" s="19">
        <f>Mitigation_Industry!Q$77-(Mitigation_Industry!Q$77-Mitigation_Industry!Q$67)*Q$97</f>
        <v>9.2229237289326793</v>
      </c>
      <c r="R98" s="19">
        <f>Mitigation_Industry!R$77-(Mitigation_Industry!R$77-Mitigation_Industry!R$67)*R$97</f>
        <v>9.1585649555096893</v>
      </c>
      <c r="S98" s="19">
        <f>Mitigation_Industry!S$77-(Mitigation_Industry!S$77-Mitigation_Industry!S$67)*S$97</f>
        <v>9.0895478773973792</v>
      </c>
      <c r="T98" s="19">
        <f>Mitigation_Industry!T$77-(Mitigation_Industry!T$77-Mitigation_Industry!T$67)*T$97</f>
        <v>9.0156816660228305</v>
      </c>
      <c r="U98" s="19">
        <f>Mitigation_Industry!U$77-(Mitigation_Industry!U$77-Mitigation_Industry!U$67)*U$97</f>
        <v>8.9443977655571096</v>
      </c>
      <c r="V98" s="19">
        <f>Mitigation_Industry!V$77-(Mitigation_Industry!V$77-Mitigation_Industry!V$67)*V$97</f>
        <v>8.9443977655571096</v>
      </c>
      <c r="W98" s="19">
        <f>Mitigation_Industry!W$77-(Mitigation_Industry!W$77-Mitigation_Industry!W$67)*W$97</f>
        <v>8.9443977655571096</v>
      </c>
      <c r="X98" s="19">
        <f>Mitigation_Industry!X$77-(Mitigation_Industry!X$77-Mitigation_Industry!X$67)*X$97</f>
        <v>8.9443977655571096</v>
      </c>
      <c r="Y98" s="19">
        <f>Mitigation_Industry!Y$77-(Mitigation_Industry!Y$77-Mitigation_Industry!Y$67)*Y$97</f>
        <v>8.9443977655571096</v>
      </c>
      <c r="Z98" s="19">
        <f>Mitigation_Industry!Z$77-(Mitigation_Industry!Z$77-Mitigation_Industry!Z$67)*Z$97</f>
        <v>8.9443977655571096</v>
      </c>
      <c r="AA98" s="19">
        <f>Mitigation_Industry!AA$77-(Mitigation_Industry!AA$77-Mitigation_Industry!AA$67)*AA$97</f>
        <v>8.9443977655571096</v>
      </c>
      <c r="AB98" s="19">
        <f>Mitigation_Industry!AB$77-(Mitigation_Industry!AB$77-Mitigation_Industry!AB$67)*AB$97</f>
        <v>8.9443977655571096</v>
      </c>
      <c r="AC98" s="19">
        <f>Mitigation_Industry!AC$77-(Mitigation_Industry!AC$77-Mitigation_Industry!AC$67)*AC$97</f>
        <v>8.9443977655571096</v>
      </c>
      <c r="AD98" s="19">
        <f>Mitigation_Industry!AD$77-(Mitigation_Industry!AD$77-Mitigation_Industry!AD$67)*AD$97</f>
        <v>8.9443977655571096</v>
      </c>
      <c r="AE98" s="19">
        <f>Mitigation_Industry!AE$77-(Mitigation_Industry!AE$77-Mitigation_Industry!AE$67)*AE$97</f>
        <v>8.9443977655571096</v>
      </c>
    </row>
    <row r="99" spans="1:35" customFormat="1" ht="14.25" x14ac:dyDescent="0.45">
      <c r="B99" s="14" t="s">
        <v>53</v>
      </c>
      <c r="C99" s="14" t="s">
        <v>113</v>
      </c>
      <c r="D99" s="15" t="s">
        <v>2164</v>
      </c>
      <c r="E99" s="16" t="s">
        <v>51</v>
      </c>
      <c r="F99" s="14" t="s">
        <v>2162</v>
      </c>
      <c r="G99" s="17"/>
      <c r="H99" s="114" t="str">
        <f>Settings!$B$3&amp;".mit.atpn.cem.nga.e.1"</f>
        <v>egy.mit.atpn.cem.nga.e.1</v>
      </c>
      <c r="I99" t="s">
        <v>2182</v>
      </c>
      <c r="K99" s="18"/>
      <c r="L99" s="19">
        <f>Mitigation_Industry!L$78-(Mitigation_Industry!L$78-Mitigation_Industry!L$68)*L$97</f>
        <v>5.4510150816191896</v>
      </c>
      <c r="M99" s="19">
        <f>Mitigation_Industry!M$78-(Mitigation_Industry!M$78-Mitigation_Industry!M$68)*M$97</f>
        <v>5.1193563062624801</v>
      </c>
      <c r="N99" s="19">
        <f>Mitigation_Industry!N$78-(Mitigation_Industry!N$78-Mitigation_Industry!N$68)*N$97</f>
        <v>5.08218458640407</v>
      </c>
      <c r="O99" s="19">
        <f>Mitigation_Industry!O$78-(Mitigation_Industry!O$78-Mitigation_Industry!O$68)*O$97</f>
        <v>5.08218458640407</v>
      </c>
      <c r="P99" s="19">
        <f>Mitigation_Industry!P$78-(Mitigation_Industry!P$78-Mitigation_Industry!P$68)*P$97</f>
        <v>5.08218458640407</v>
      </c>
      <c r="Q99" s="19">
        <f>Mitigation_Industry!Q$78-(Mitigation_Industry!Q$78-Mitigation_Industry!Q$68)*Q$97</f>
        <v>5.08218458640407</v>
      </c>
      <c r="R99" s="19">
        <f>Mitigation_Industry!R$78-(Mitigation_Industry!R$78-Mitigation_Industry!R$68)*R$97</f>
        <v>5.08218458640407</v>
      </c>
      <c r="S99" s="19">
        <f>Mitigation_Industry!S$78-(Mitigation_Industry!S$78-Mitigation_Industry!S$68)*S$97</f>
        <v>5.08218458640407</v>
      </c>
      <c r="T99" s="19">
        <f>Mitigation_Industry!T$78-(Mitigation_Industry!T$78-Mitigation_Industry!T$68)*T$97</f>
        <v>5.08218458640407</v>
      </c>
      <c r="U99" s="19">
        <f>Mitigation_Industry!U$78-(Mitigation_Industry!U$78-Mitigation_Industry!U$68)*U$97</f>
        <v>5.08218458640407</v>
      </c>
      <c r="V99" s="19">
        <f>Mitigation_Industry!V$78-(Mitigation_Industry!V$78-Mitigation_Industry!V$68)*V$97</f>
        <v>5.08218458640407</v>
      </c>
      <c r="W99" s="19">
        <f>Mitigation_Industry!W$78-(Mitigation_Industry!W$78-Mitigation_Industry!W$68)*W$97</f>
        <v>5.08218458640407</v>
      </c>
      <c r="X99" s="19">
        <f>Mitigation_Industry!X$78-(Mitigation_Industry!X$78-Mitigation_Industry!X$68)*X$97</f>
        <v>5.08218458640407</v>
      </c>
      <c r="Y99" s="19">
        <f>Mitigation_Industry!Y$78-(Mitigation_Industry!Y$78-Mitigation_Industry!Y$68)*Y$97</f>
        <v>5.08218458640407</v>
      </c>
      <c r="Z99" s="19">
        <f>Mitigation_Industry!Z$78-(Mitigation_Industry!Z$78-Mitigation_Industry!Z$68)*Z$97</f>
        <v>5.08218458640407</v>
      </c>
      <c r="AA99" s="19">
        <f>Mitigation_Industry!AA$78-(Mitigation_Industry!AA$78-Mitigation_Industry!AA$68)*AA$97</f>
        <v>5.08218458640407</v>
      </c>
      <c r="AB99" s="19">
        <f>Mitigation_Industry!AB$78-(Mitigation_Industry!AB$78-Mitigation_Industry!AB$68)*AB$97</f>
        <v>5.08218458640407</v>
      </c>
      <c r="AC99" s="19">
        <f>Mitigation_Industry!AC$78-(Mitigation_Industry!AC$78-Mitigation_Industry!AC$68)*AC$97</f>
        <v>5.08218458640407</v>
      </c>
      <c r="AD99" s="19">
        <f>Mitigation_Industry!AD$78-(Mitigation_Industry!AD$78-Mitigation_Industry!AD$68)*AD$97</f>
        <v>5.08218458640407</v>
      </c>
      <c r="AE99" s="19">
        <f>Mitigation_Industry!AE$78-(Mitigation_Industry!AE$78-Mitigation_Industry!AE$68)*AE$97</f>
        <v>5.08218458640407</v>
      </c>
    </row>
    <row r="100" spans="1:35" customFormat="1" ht="14.25" x14ac:dyDescent="0.45">
      <c r="B100" s="14" t="s">
        <v>55</v>
      </c>
      <c r="C100" s="14" t="s">
        <v>113</v>
      </c>
      <c r="D100" s="15" t="s">
        <v>2166</v>
      </c>
      <c r="E100" s="16" t="s">
        <v>57</v>
      </c>
      <c r="F100" s="14" t="s">
        <v>2162</v>
      </c>
      <c r="G100" s="17"/>
      <c r="H100" s="114" t="str">
        <f>Settings!$B$3&amp;".mit.atpn.cem.gso.e.1"</f>
        <v>egy.mit.atpn.cem.gso.e.1</v>
      </c>
      <c r="I100" t="s">
        <v>2183</v>
      </c>
      <c r="K100" s="18"/>
      <c r="L100" s="19">
        <f>Mitigation_Industry!L$79-(Mitigation_Industry!L$79-Mitigation_Industry!L$69)*L$97</f>
        <v>0.61197797679140598</v>
      </c>
      <c r="M100" s="19">
        <f>Mitigation_Industry!M$79-(Mitigation_Industry!M$79-Mitigation_Industry!M$69)*M$97</f>
        <v>0.61180974964187596</v>
      </c>
      <c r="N100" s="19">
        <f>Mitigation_Industry!N$79-(Mitigation_Industry!N$79-Mitigation_Industry!N$69)*N$97</f>
        <v>0.60358310017790595</v>
      </c>
      <c r="O100" s="19">
        <f>Mitigation_Industry!O$79-(Mitigation_Industry!O$79-Mitigation_Industry!O$69)*O$97</f>
        <v>0.60358310017790595</v>
      </c>
      <c r="P100" s="19">
        <f>Mitigation_Industry!P$79-(Mitigation_Industry!P$79-Mitigation_Industry!P$69)*P$97</f>
        <v>0.60358310017790595</v>
      </c>
      <c r="Q100" s="19">
        <f>Mitigation_Industry!Q$79-(Mitigation_Industry!Q$79-Mitigation_Industry!Q$69)*Q$97</f>
        <v>0.60358310017790595</v>
      </c>
      <c r="R100" s="19">
        <f>Mitigation_Industry!R$79-(Mitigation_Industry!R$79-Mitigation_Industry!R$69)*R$97</f>
        <v>0.60358310017790595</v>
      </c>
      <c r="S100" s="19">
        <f>Mitigation_Industry!S$79-(Mitigation_Industry!S$79-Mitigation_Industry!S$69)*S$97</f>
        <v>0.60358310017790595</v>
      </c>
      <c r="T100" s="19">
        <f>Mitigation_Industry!T$79-(Mitigation_Industry!T$79-Mitigation_Industry!T$69)*T$97</f>
        <v>0.60358310017790595</v>
      </c>
      <c r="U100" s="19">
        <f>Mitigation_Industry!U$79-(Mitigation_Industry!U$79-Mitigation_Industry!U$69)*U$97</f>
        <v>0.60358310017790595</v>
      </c>
      <c r="V100" s="19">
        <f>Mitigation_Industry!V$79-(Mitigation_Industry!V$79-Mitigation_Industry!V$69)*V$97</f>
        <v>0.60358310017790595</v>
      </c>
      <c r="W100" s="19">
        <f>Mitigation_Industry!W$79-(Mitigation_Industry!W$79-Mitigation_Industry!W$69)*W$97</f>
        <v>0.60358310017790595</v>
      </c>
      <c r="X100" s="19">
        <f>Mitigation_Industry!X$79-(Mitigation_Industry!X$79-Mitigation_Industry!X$69)*X$97</f>
        <v>0.60358310017790595</v>
      </c>
      <c r="Y100" s="19">
        <f>Mitigation_Industry!Y$79-(Mitigation_Industry!Y$79-Mitigation_Industry!Y$69)*Y$97</f>
        <v>0.60358310017790595</v>
      </c>
      <c r="Z100" s="19">
        <f>Mitigation_Industry!Z$79-(Mitigation_Industry!Z$79-Mitigation_Industry!Z$69)*Z$97</f>
        <v>0.60358310017790595</v>
      </c>
      <c r="AA100" s="19">
        <f>Mitigation_Industry!AA$79-(Mitigation_Industry!AA$79-Mitigation_Industry!AA$69)*AA$97</f>
        <v>0.60358310017790595</v>
      </c>
      <c r="AB100" s="19">
        <f>Mitigation_Industry!AB$79-(Mitigation_Industry!AB$79-Mitigation_Industry!AB$69)*AB$97</f>
        <v>0.60358310017790595</v>
      </c>
      <c r="AC100" s="19">
        <f>Mitigation_Industry!AC$79-(Mitigation_Industry!AC$79-Mitigation_Industry!AC$69)*AC$97</f>
        <v>0.60358310017790595</v>
      </c>
      <c r="AD100" s="19">
        <f>Mitigation_Industry!AD$79-(Mitigation_Industry!AD$79-Mitigation_Industry!AD$69)*AD$97</f>
        <v>0.60358310017790595</v>
      </c>
      <c r="AE100" s="19">
        <f>Mitigation_Industry!AE$79-(Mitigation_Industry!AE$79-Mitigation_Industry!AE$69)*AE$97</f>
        <v>0.60358310017790595</v>
      </c>
    </row>
    <row r="101" spans="1:35" customFormat="1" ht="14.25" x14ac:dyDescent="0.45">
      <c r="B101" s="14" t="s">
        <v>58</v>
      </c>
      <c r="C101" s="14" t="s">
        <v>113</v>
      </c>
      <c r="D101" s="15" t="s">
        <v>2168</v>
      </c>
      <c r="E101" s="16" t="s">
        <v>57</v>
      </c>
      <c r="F101" s="14" t="s">
        <v>2162</v>
      </c>
      <c r="G101" s="17"/>
      <c r="H101" s="114" t="str">
        <f>Settings!$B$3&amp;".mit.atpn.cem.die.e.1"</f>
        <v>egy.mit.atpn.cem.die.e.1</v>
      </c>
      <c r="I101" t="s">
        <v>2184</v>
      </c>
      <c r="K101" s="18"/>
      <c r="L101" s="19">
        <f>Mitigation_Industry!L$80-(Mitigation_Industry!L$80-Mitigation_Industry!L$70)*L$97</f>
        <v>0.49458873084106802</v>
      </c>
      <c r="M101" s="19">
        <f>Mitigation_Industry!M$80-(Mitigation_Industry!M$80-Mitigation_Industry!M$70)*M$97</f>
        <v>0.50778654720250105</v>
      </c>
      <c r="N101" s="19">
        <f>Mitigation_Industry!N$80-(Mitigation_Industry!N$80-Mitigation_Industry!N$70)*N$97</f>
        <v>0.47043642679561698</v>
      </c>
      <c r="O101" s="19">
        <f>Mitigation_Industry!O$80-(Mitigation_Industry!O$80-Mitigation_Industry!O$70)*O$97</f>
        <v>0.47043642679561698</v>
      </c>
      <c r="P101" s="19">
        <f>Mitigation_Industry!P$80-(Mitigation_Industry!P$80-Mitigation_Industry!P$70)*P$97</f>
        <v>0.47043642679561698</v>
      </c>
      <c r="Q101" s="19">
        <f>Mitigation_Industry!Q$80-(Mitigation_Industry!Q$80-Mitigation_Industry!Q$70)*Q$97</f>
        <v>0.47043642679561698</v>
      </c>
      <c r="R101" s="19">
        <f>Mitigation_Industry!R$80-(Mitigation_Industry!R$80-Mitigation_Industry!R$70)*R$97</f>
        <v>0.47043642679561698</v>
      </c>
      <c r="S101" s="19">
        <f>Mitigation_Industry!S$80-(Mitigation_Industry!S$80-Mitigation_Industry!S$70)*S$97</f>
        <v>0.47043642679561698</v>
      </c>
      <c r="T101" s="19">
        <f>Mitigation_Industry!T$80-(Mitigation_Industry!T$80-Mitigation_Industry!T$70)*T$97</f>
        <v>0.47043642679561698</v>
      </c>
      <c r="U101" s="19">
        <f>Mitigation_Industry!U$80-(Mitigation_Industry!U$80-Mitigation_Industry!U$70)*U$97</f>
        <v>0.47043642679561698</v>
      </c>
      <c r="V101" s="19">
        <f>Mitigation_Industry!V$80-(Mitigation_Industry!V$80-Mitigation_Industry!V$70)*V$97</f>
        <v>0.47043642679561698</v>
      </c>
      <c r="W101" s="19">
        <f>Mitigation_Industry!W$80-(Mitigation_Industry!W$80-Mitigation_Industry!W$70)*W$97</f>
        <v>0.47043642679561698</v>
      </c>
      <c r="X101" s="19">
        <f>Mitigation_Industry!X$80-(Mitigation_Industry!X$80-Mitigation_Industry!X$70)*X$97</f>
        <v>0.47043642679561698</v>
      </c>
      <c r="Y101" s="19">
        <f>Mitigation_Industry!Y$80-(Mitigation_Industry!Y$80-Mitigation_Industry!Y$70)*Y$97</f>
        <v>0.47043642679561698</v>
      </c>
      <c r="Z101" s="19">
        <f>Mitigation_Industry!Z$80-(Mitigation_Industry!Z$80-Mitigation_Industry!Z$70)*Z$97</f>
        <v>0.47043642679561698</v>
      </c>
      <c r="AA101" s="19">
        <f>Mitigation_Industry!AA$80-(Mitigation_Industry!AA$80-Mitigation_Industry!AA$70)*AA$97</f>
        <v>0.47043642679561698</v>
      </c>
      <c r="AB101" s="19">
        <f>Mitigation_Industry!AB$80-(Mitigation_Industry!AB$80-Mitigation_Industry!AB$70)*AB$97</f>
        <v>0.47043642679561698</v>
      </c>
      <c r="AC101" s="19">
        <f>Mitigation_Industry!AC$80-(Mitigation_Industry!AC$80-Mitigation_Industry!AC$70)*AC$97</f>
        <v>0.47043642679561698</v>
      </c>
      <c r="AD101" s="19">
        <f>Mitigation_Industry!AD$80-(Mitigation_Industry!AD$80-Mitigation_Industry!AD$70)*AD$97</f>
        <v>0.47043642679561698</v>
      </c>
      <c r="AE101" s="19">
        <f>Mitigation_Industry!AE$80-(Mitigation_Industry!AE$80-Mitigation_Industry!AE$70)*AE$97</f>
        <v>0.47043642679561698</v>
      </c>
    </row>
    <row r="102" spans="1:35" customFormat="1" ht="14.25" x14ac:dyDescent="0.45">
      <c r="B102" s="14" t="s">
        <v>60</v>
      </c>
      <c r="C102" s="14" t="s">
        <v>113</v>
      </c>
      <c r="D102" s="15" t="s">
        <v>2170</v>
      </c>
      <c r="E102" s="16" t="s">
        <v>57</v>
      </c>
      <c r="F102" s="14" t="s">
        <v>2162</v>
      </c>
      <c r="G102" s="17"/>
      <c r="H102" s="114" t="str">
        <f>Settings!$B$3&amp;".mit.atpn.cem.lpg.e.1"</f>
        <v>egy.mit.atpn.cem.lpg.e.1</v>
      </c>
      <c r="I102" t="s">
        <v>2185</v>
      </c>
      <c r="K102" s="18"/>
      <c r="L102" s="19">
        <f>Mitigation_Industry!L$81-(Mitigation_Industry!L$81-Mitigation_Industry!L$71)*L$97</f>
        <v>0.15734473625227399</v>
      </c>
      <c r="M102" s="19">
        <f>Mitigation_Industry!M$81-(Mitigation_Industry!M$81-Mitigation_Industry!M$71)*M$97</f>
        <v>0.164484037759277</v>
      </c>
      <c r="N102" s="19">
        <f>Mitigation_Industry!N$81-(Mitigation_Industry!N$81-Mitigation_Industry!N$71)*N$97</f>
        <v>0.15070907780704901</v>
      </c>
      <c r="O102" s="19">
        <f>Mitigation_Industry!O$81-(Mitigation_Industry!O$81-Mitigation_Industry!O$71)*O$97</f>
        <v>0.15070907780704901</v>
      </c>
      <c r="P102" s="19">
        <f>Mitigation_Industry!P$81-(Mitigation_Industry!P$81-Mitigation_Industry!P$71)*P$97</f>
        <v>0.15070907780704901</v>
      </c>
      <c r="Q102" s="19">
        <f>Mitigation_Industry!Q$81-(Mitigation_Industry!Q$81-Mitigation_Industry!Q$71)*Q$97</f>
        <v>0.15070907780704901</v>
      </c>
      <c r="R102" s="19">
        <f>Mitigation_Industry!R$81-(Mitigation_Industry!R$81-Mitigation_Industry!R$71)*R$97</f>
        <v>0.15070907780704901</v>
      </c>
      <c r="S102" s="19">
        <f>Mitigation_Industry!S$81-(Mitigation_Industry!S$81-Mitigation_Industry!S$71)*S$97</f>
        <v>0.15070907780704901</v>
      </c>
      <c r="T102" s="19">
        <f>Mitigation_Industry!T$81-(Mitigation_Industry!T$81-Mitigation_Industry!T$71)*T$97</f>
        <v>0.15070907780704901</v>
      </c>
      <c r="U102" s="19">
        <f>Mitigation_Industry!U$81-(Mitigation_Industry!U$81-Mitigation_Industry!U$71)*U$97</f>
        <v>0.15070907780704901</v>
      </c>
      <c r="V102" s="19">
        <f>Mitigation_Industry!V$81-(Mitigation_Industry!V$81-Mitigation_Industry!V$71)*V$97</f>
        <v>0.15070907780704901</v>
      </c>
      <c r="W102" s="19">
        <f>Mitigation_Industry!W$81-(Mitigation_Industry!W$81-Mitigation_Industry!W$71)*W$97</f>
        <v>0.15070907780704901</v>
      </c>
      <c r="X102" s="19">
        <f>Mitigation_Industry!X$81-(Mitigation_Industry!X$81-Mitigation_Industry!X$71)*X$97</f>
        <v>0.15070907780704901</v>
      </c>
      <c r="Y102" s="19">
        <f>Mitigation_Industry!Y$81-(Mitigation_Industry!Y$81-Mitigation_Industry!Y$71)*Y$97</f>
        <v>0.15070907780704901</v>
      </c>
      <c r="Z102" s="19">
        <f>Mitigation_Industry!Z$81-(Mitigation_Industry!Z$81-Mitigation_Industry!Z$71)*Z$97</f>
        <v>0.15070907780704901</v>
      </c>
      <c r="AA102" s="19">
        <f>Mitigation_Industry!AA$81-(Mitigation_Industry!AA$81-Mitigation_Industry!AA$71)*AA$97</f>
        <v>0.15070907780704901</v>
      </c>
      <c r="AB102" s="19">
        <f>Mitigation_Industry!AB$81-(Mitigation_Industry!AB$81-Mitigation_Industry!AB$71)*AB$97</f>
        <v>0.15070907780704901</v>
      </c>
      <c r="AC102" s="19">
        <f>Mitigation_Industry!AC$81-(Mitigation_Industry!AC$81-Mitigation_Industry!AC$71)*AC$97</f>
        <v>0.15070907780704901</v>
      </c>
      <c r="AD102" s="19">
        <f>Mitigation_Industry!AD$81-(Mitigation_Industry!AD$81-Mitigation_Industry!AD$71)*AD$97</f>
        <v>0.15070907780704901</v>
      </c>
      <c r="AE102" s="19">
        <f>Mitigation_Industry!AE$81-(Mitigation_Industry!AE$81-Mitigation_Industry!AE$71)*AE$97</f>
        <v>0.15070907780704901</v>
      </c>
    </row>
    <row r="103" spans="1:35" customFormat="1" ht="14.25" x14ac:dyDescent="0.45">
      <c r="B103" s="14" t="s">
        <v>62</v>
      </c>
      <c r="C103" s="14" t="s">
        <v>113</v>
      </c>
      <c r="D103" s="15" t="s">
        <v>2172</v>
      </c>
      <c r="E103" s="16" t="s">
        <v>57</v>
      </c>
      <c r="F103" s="14" t="s">
        <v>2162</v>
      </c>
      <c r="G103" s="17"/>
      <c r="H103" s="114" t="str">
        <f>Settings!$B$3&amp;".mit.atpn.cem.ker.e.1"</f>
        <v>egy.mit.atpn.cem.ker.e.1</v>
      </c>
      <c r="I103" t="s">
        <v>2186</v>
      </c>
      <c r="K103" s="18"/>
      <c r="L103" s="19">
        <f>Mitigation_Industry!L$82-(Mitigation_Industry!L$82-Mitigation_Industry!L$72)*L$97</f>
        <v>0.45642817050012802</v>
      </c>
      <c r="M103" s="19">
        <f>Mitigation_Industry!M$82-(Mitigation_Industry!M$82-Mitigation_Industry!M$72)*M$97</f>
        <v>0.43168920195599497</v>
      </c>
      <c r="N103" s="19">
        <f>Mitigation_Industry!N$82-(Mitigation_Industry!N$82-Mitigation_Industry!N$72)*N$97</f>
        <v>0.42507558395597</v>
      </c>
      <c r="O103" s="19">
        <f>Mitigation_Industry!O$82-(Mitigation_Industry!O$82-Mitigation_Industry!O$72)*O$97</f>
        <v>0.42507558395597</v>
      </c>
      <c r="P103" s="19">
        <f>Mitigation_Industry!P$82-(Mitigation_Industry!P$82-Mitigation_Industry!P$72)*P$97</f>
        <v>0.42507558395597</v>
      </c>
      <c r="Q103" s="19">
        <f>Mitigation_Industry!Q$82-(Mitigation_Industry!Q$82-Mitigation_Industry!Q$72)*Q$97</f>
        <v>0.42507558395597</v>
      </c>
      <c r="R103" s="19">
        <f>Mitigation_Industry!R$82-(Mitigation_Industry!R$82-Mitigation_Industry!R$72)*R$97</f>
        <v>0.42507558395597</v>
      </c>
      <c r="S103" s="19">
        <f>Mitigation_Industry!S$82-(Mitigation_Industry!S$82-Mitigation_Industry!S$72)*S$97</f>
        <v>0.42507558395597</v>
      </c>
      <c r="T103" s="19">
        <f>Mitigation_Industry!T$82-(Mitigation_Industry!T$82-Mitigation_Industry!T$72)*T$97</f>
        <v>0.42507558395597</v>
      </c>
      <c r="U103" s="19">
        <f>Mitigation_Industry!U$82-(Mitigation_Industry!U$82-Mitigation_Industry!U$72)*U$97</f>
        <v>0.42507558395597</v>
      </c>
      <c r="V103" s="19">
        <f>Mitigation_Industry!V$82-(Mitigation_Industry!V$82-Mitigation_Industry!V$72)*V$97</f>
        <v>0.42507558395597</v>
      </c>
      <c r="W103" s="19">
        <f>Mitigation_Industry!W$82-(Mitigation_Industry!W$82-Mitigation_Industry!W$72)*W$97</f>
        <v>0.42507558395597</v>
      </c>
      <c r="X103" s="19">
        <f>Mitigation_Industry!X$82-(Mitigation_Industry!X$82-Mitigation_Industry!X$72)*X$97</f>
        <v>0.42507558395597</v>
      </c>
      <c r="Y103" s="19">
        <f>Mitigation_Industry!Y$82-(Mitigation_Industry!Y$82-Mitigation_Industry!Y$72)*Y$97</f>
        <v>0.42507558395597</v>
      </c>
      <c r="Z103" s="19">
        <f>Mitigation_Industry!Z$82-(Mitigation_Industry!Z$82-Mitigation_Industry!Z$72)*Z$97</f>
        <v>0.42507558395597</v>
      </c>
      <c r="AA103" s="19">
        <f>Mitigation_Industry!AA$82-(Mitigation_Industry!AA$82-Mitigation_Industry!AA$72)*AA$97</f>
        <v>0.42507558395597</v>
      </c>
      <c r="AB103" s="19">
        <f>Mitigation_Industry!AB$82-(Mitigation_Industry!AB$82-Mitigation_Industry!AB$72)*AB$97</f>
        <v>0.42507558395597</v>
      </c>
      <c r="AC103" s="19">
        <f>Mitigation_Industry!AC$82-(Mitigation_Industry!AC$82-Mitigation_Industry!AC$72)*AC$97</f>
        <v>0.42507558395597</v>
      </c>
      <c r="AD103" s="19">
        <f>Mitigation_Industry!AD$82-(Mitigation_Industry!AD$82-Mitigation_Industry!AD$72)*AD$97</f>
        <v>0.42507558395597</v>
      </c>
      <c r="AE103" s="19">
        <f>Mitigation_Industry!AE$82-(Mitigation_Industry!AE$82-Mitigation_Industry!AE$72)*AE$97</f>
        <v>0.42507558395597</v>
      </c>
    </row>
    <row r="104" spans="1:35" customFormat="1" ht="14.25" x14ac:dyDescent="0.45">
      <c r="B104" s="14" t="s">
        <v>64</v>
      </c>
      <c r="C104" s="14" t="s">
        <v>113</v>
      </c>
      <c r="D104" s="15" t="s">
        <v>2174</v>
      </c>
      <c r="E104" s="16" t="s">
        <v>66</v>
      </c>
      <c r="F104" s="14" t="s">
        <v>2162</v>
      </c>
      <c r="G104" s="17"/>
      <c r="H104" s="114" t="str">
        <f>Settings!$B$3&amp;".mit.atpn.cem.oop.e.1"</f>
        <v>egy.mit.atpn.cem.oop.e.1</v>
      </c>
      <c r="I104" t="s">
        <v>2187</v>
      </c>
      <c r="K104" s="18"/>
      <c r="L104" s="19">
        <f>Mitigation_Industry!L$83-(Mitigation_Industry!L$83-Mitigation_Industry!L$73)*L$97</f>
        <v>34.4153703043132</v>
      </c>
      <c r="M104" s="19">
        <f>Mitigation_Industry!M$83-(Mitigation_Industry!M$83-Mitigation_Industry!M$73)*M$97</f>
        <v>37.368960690431997</v>
      </c>
      <c r="N104" s="19">
        <f>Mitigation_Industry!N$83-(Mitigation_Industry!N$83-Mitigation_Industry!N$73)*N$97</f>
        <v>28.982761101477301</v>
      </c>
      <c r="O104" s="19">
        <f>Mitigation_Industry!O$83-(Mitigation_Industry!O$83-Mitigation_Industry!O$73)*O$97</f>
        <v>15</v>
      </c>
      <c r="P104" s="19">
        <f>Mitigation_Industry!P$83-(Mitigation_Industry!P$83-Mitigation_Industry!P$73)*P$97</f>
        <v>24.2586300842555</v>
      </c>
      <c r="Q104" s="19">
        <f>Mitigation_Industry!Q$83-(Mitigation_Industry!Q$83-Mitigation_Industry!Q$73)*Q$97</f>
        <v>15</v>
      </c>
      <c r="R104" s="19">
        <f>Mitigation_Industry!R$83-(Mitigation_Industry!R$83-Mitigation_Industry!R$73)*R$97</f>
        <v>15</v>
      </c>
      <c r="S104" s="19">
        <f>Mitigation_Industry!S$83-(Mitigation_Industry!S$83-Mitigation_Industry!S$73)*S$97</f>
        <v>15</v>
      </c>
      <c r="T104" s="19">
        <f>Mitigation_Industry!T$83-(Mitigation_Industry!T$83-Mitigation_Industry!T$73)*T$97</f>
        <v>15</v>
      </c>
      <c r="U104" s="19">
        <f>Mitigation_Industry!U$83-(Mitigation_Industry!U$83-Mitigation_Industry!U$73)*U$97</f>
        <v>15</v>
      </c>
      <c r="V104" s="19">
        <f>Mitigation_Industry!V$83-(Mitigation_Industry!V$83-Mitigation_Industry!V$73)*V$97</f>
        <v>15</v>
      </c>
      <c r="W104" s="19">
        <f>Mitigation_Industry!W$83-(Mitigation_Industry!W$83-Mitigation_Industry!W$73)*W$97</f>
        <v>15</v>
      </c>
      <c r="X104" s="19">
        <f>Mitigation_Industry!X$83-(Mitigation_Industry!X$83-Mitigation_Industry!X$73)*X$97</f>
        <v>15</v>
      </c>
      <c r="Y104" s="19">
        <f>Mitigation_Industry!Y$83-(Mitigation_Industry!Y$83-Mitigation_Industry!Y$73)*Y$97</f>
        <v>15</v>
      </c>
      <c r="Z104" s="19">
        <f>Mitigation_Industry!Z$83-(Mitigation_Industry!Z$83-Mitigation_Industry!Z$73)*Z$97</f>
        <v>15</v>
      </c>
      <c r="AA104" s="19">
        <f>Mitigation_Industry!AA$83-(Mitigation_Industry!AA$83-Mitigation_Industry!AA$73)*AA$97</f>
        <v>15</v>
      </c>
      <c r="AB104" s="19">
        <f>Mitigation_Industry!AB$83-(Mitigation_Industry!AB$83-Mitigation_Industry!AB$73)*AB$97</f>
        <v>15</v>
      </c>
      <c r="AC104" s="19">
        <f>Mitigation_Industry!AC$83-(Mitigation_Industry!AC$83-Mitigation_Industry!AC$73)*AC$97</f>
        <v>15</v>
      </c>
      <c r="AD104" s="19">
        <f>Mitigation_Industry!AD$83-(Mitigation_Industry!AD$83-Mitigation_Industry!AD$73)*AD$97</f>
        <v>15</v>
      </c>
      <c r="AE104" s="19">
        <f>Mitigation_Industry!AE$83-(Mitigation_Industry!AE$83-Mitigation_Industry!AE$73)*AE$97</f>
        <v>15</v>
      </c>
    </row>
    <row r="105" spans="1:35" customFormat="1" ht="14.25" x14ac:dyDescent="0.45">
      <c r="B105" s="14" t="s">
        <v>67</v>
      </c>
      <c r="C105" s="14" t="s">
        <v>113</v>
      </c>
      <c r="D105" s="15" t="s">
        <v>2176</v>
      </c>
      <c r="E105" s="16" t="s">
        <v>51</v>
      </c>
      <c r="F105" s="14" t="s">
        <v>2162</v>
      </c>
      <c r="G105" s="17"/>
      <c r="H105" s="114" t="str">
        <f>Settings!$B$3&amp;".mit.atpn.cem.bio.e.1"</f>
        <v>egy.mit.atpn.cem.bio.e.1</v>
      </c>
      <c r="I105" t="s">
        <v>2188</v>
      </c>
      <c r="K105" s="18"/>
      <c r="L105" s="19">
        <f>Mitigation_Industry!L$84-(Mitigation_Industry!L$84-Mitigation_Industry!L$74)*L$97</f>
        <v>14.199528390634899</v>
      </c>
      <c r="M105" s="19">
        <f>Mitigation_Industry!M$84-(Mitigation_Industry!M$84-Mitigation_Industry!M$74)*M$97</f>
        <v>13.8404416133152</v>
      </c>
      <c r="N105" s="19">
        <f>Mitigation_Industry!N$84-(Mitigation_Industry!N$84-Mitigation_Industry!N$74)*N$97</f>
        <v>13.5677269404465</v>
      </c>
      <c r="O105" s="19">
        <f>Mitigation_Industry!O$84-(Mitigation_Industry!O$84-Mitigation_Industry!O$74)*O$97</f>
        <v>13.5677269404465</v>
      </c>
      <c r="P105" s="19">
        <f>Mitigation_Industry!P$84-(Mitigation_Industry!P$84-Mitigation_Industry!P$74)*P$97</f>
        <v>13.5677269404465</v>
      </c>
      <c r="Q105" s="19">
        <f>Mitigation_Industry!Q$84-(Mitigation_Industry!Q$84-Mitigation_Industry!Q$74)*Q$97</f>
        <v>13.5677269404465</v>
      </c>
      <c r="R105" s="19">
        <f>Mitigation_Industry!R$84-(Mitigation_Industry!R$84-Mitigation_Industry!R$74)*R$97</f>
        <v>13.5677269404465</v>
      </c>
      <c r="S105" s="19">
        <f>Mitigation_Industry!S$84-(Mitigation_Industry!S$84-Mitigation_Industry!S$74)*S$97</f>
        <v>13.5677269404465</v>
      </c>
      <c r="T105" s="19">
        <f>Mitigation_Industry!T$84-(Mitigation_Industry!T$84-Mitigation_Industry!T$74)*T$97</f>
        <v>13.5677269404465</v>
      </c>
      <c r="U105" s="19">
        <f>Mitigation_Industry!U$84-(Mitigation_Industry!U$84-Mitigation_Industry!U$74)*U$97</f>
        <v>13.5677269404465</v>
      </c>
      <c r="V105" s="19">
        <f>Mitigation_Industry!V$84-(Mitigation_Industry!V$84-Mitigation_Industry!V$74)*V$97</f>
        <v>13.5677269404465</v>
      </c>
      <c r="W105" s="19">
        <f>Mitigation_Industry!W$84-(Mitigation_Industry!W$84-Mitigation_Industry!W$74)*W$97</f>
        <v>13.5677269404465</v>
      </c>
      <c r="X105" s="19">
        <f>Mitigation_Industry!X$84-(Mitigation_Industry!X$84-Mitigation_Industry!X$74)*X$97</f>
        <v>13.5677269404465</v>
      </c>
      <c r="Y105" s="19">
        <f>Mitigation_Industry!Y$84-(Mitigation_Industry!Y$84-Mitigation_Industry!Y$74)*Y$97</f>
        <v>13.5677269404465</v>
      </c>
      <c r="Z105" s="19">
        <f>Mitigation_Industry!Z$84-(Mitigation_Industry!Z$84-Mitigation_Industry!Z$74)*Z$97</f>
        <v>13.5677269404465</v>
      </c>
      <c r="AA105" s="19">
        <f>Mitigation_Industry!AA$84-(Mitigation_Industry!AA$84-Mitigation_Industry!AA$74)*AA$97</f>
        <v>13.5677269404465</v>
      </c>
      <c r="AB105" s="19">
        <f>Mitigation_Industry!AB$84-(Mitigation_Industry!AB$84-Mitigation_Industry!AB$74)*AB$97</f>
        <v>13.5677269404465</v>
      </c>
      <c r="AC105" s="19">
        <f>Mitigation_Industry!AC$84-(Mitigation_Industry!AC$84-Mitigation_Industry!AC$74)*AC$97</f>
        <v>13.5677269404465</v>
      </c>
      <c r="AD105" s="19">
        <f>Mitigation_Industry!AD$84-(Mitigation_Industry!AD$84-Mitigation_Industry!AD$74)*AD$97</f>
        <v>13.5677269404465</v>
      </c>
      <c r="AE105" s="19">
        <f>Mitigation_Industry!AE$84-(Mitigation_Industry!AE$84-Mitigation_Industry!AE$74)*AE$97</f>
        <v>13.5677269404465</v>
      </c>
    </row>
    <row r="106" spans="1:35" customFormat="1" ht="14.25" x14ac:dyDescent="0.45">
      <c r="B106" s="14" t="s">
        <v>69</v>
      </c>
      <c r="C106" s="14" t="s">
        <v>113</v>
      </c>
      <c r="D106" s="15" t="s">
        <v>2178</v>
      </c>
      <c r="E106" s="16" t="s">
        <v>71</v>
      </c>
      <c r="F106" s="14" t="s">
        <v>2162</v>
      </c>
      <c r="G106" s="17"/>
      <c r="H106" s="114" t="str">
        <f>Settings!$B$3&amp;".mit.atpn.cem.ren.e.1"</f>
        <v>egy.mit.atpn.cem.ren.e.1</v>
      </c>
      <c r="I106" t="s">
        <v>2189</v>
      </c>
      <c r="K106" s="18"/>
      <c r="L106" s="19">
        <f>Mitigation_Industry!L$85-(Mitigation_Industry!L$85-Mitigation_Industry!L$75)*L$97</f>
        <v>0.14404498679319799</v>
      </c>
      <c r="M106" s="19">
        <f>Mitigation_Industry!M$85-(Mitigation_Industry!M$85-Mitigation_Industry!M$75)*M$97</f>
        <v>0.14102040965700399</v>
      </c>
      <c r="N106" s="19">
        <f>Mitigation_Industry!N$85-(Mitigation_Industry!N$85-Mitigation_Industry!N$75)*N$97</f>
        <v>0.13511635959447599</v>
      </c>
      <c r="O106" s="19">
        <f>Mitigation_Industry!O$85-(Mitigation_Industry!O$85-Mitigation_Industry!O$75)*O$97</f>
        <v>0.13098825698585601</v>
      </c>
      <c r="P106" s="19">
        <f>Mitigation_Industry!P$85-(Mitigation_Industry!P$85-Mitigation_Industry!P$75)*P$97</f>
        <v>0.12790841608631801</v>
      </c>
      <c r="Q106" s="19">
        <f>Mitigation_Industry!Q$85-(Mitigation_Industry!Q$85-Mitigation_Industry!Q$75)*Q$97</f>
        <v>0.124814310557813</v>
      </c>
      <c r="R106" s="19">
        <f>Mitigation_Industry!R$85-(Mitigation_Industry!R$85-Mitigation_Industry!R$75)*R$97</f>
        <v>0.121460257122878</v>
      </c>
      <c r="S106" s="19">
        <f>Mitigation_Industry!S$85-(Mitigation_Industry!S$85-Mitigation_Industry!S$75)*S$97</f>
        <v>0.117950744135786</v>
      </c>
      <c r="T106" s="19">
        <f>Mitigation_Industry!T$85-(Mitigation_Industry!T$85-Mitigation_Industry!T$75)*T$97</f>
        <v>0.114199161044597</v>
      </c>
      <c r="U106" s="19">
        <f>Mitigation_Industry!U$85-(Mitigation_Industry!U$85-Mitigation_Industry!U$75)*U$97</f>
        <v>0.113665100059665</v>
      </c>
      <c r="V106" s="19">
        <f>Mitigation_Industry!V$85-(Mitigation_Industry!V$85-Mitigation_Industry!V$75)*V$97</f>
        <v>0.113016929625957</v>
      </c>
      <c r="W106" s="19">
        <f>Mitigation_Industry!W$85-(Mitigation_Industry!W$85-Mitigation_Industry!W$75)*W$97</f>
        <v>0.112314070507636</v>
      </c>
      <c r="X106" s="19">
        <f>Mitigation_Industry!X$85-(Mitigation_Industry!X$85-Mitigation_Industry!X$75)*X$97</f>
        <v>0.11142204273284299</v>
      </c>
      <c r="Y106" s="19">
        <f>Mitigation_Industry!Y$85-(Mitigation_Industry!Y$85-Mitigation_Industry!Y$75)*Y$97</f>
        <v>0.110434123675809</v>
      </c>
      <c r="Z106" s="19">
        <f>Mitigation_Industry!Z$85-(Mitigation_Industry!Z$85-Mitigation_Industry!Z$75)*Z$97</f>
        <v>0.109483973304471</v>
      </c>
      <c r="AA106" s="19">
        <f>Mitigation_Industry!AA$85-(Mitigation_Industry!AA$85-Mitigation_Industry!AA$75)*AA$97</f>
        <v>0.10839192105294</v>
      </c>
      <c r="AB106" s="19">
        <f>Mitigation_Industry!AB$85-(Mitigation_Industry!AB$85-Mitigation_Industry!AB$75)*AB$97</f>
        <v>0.10735443362670399</v>
      </c>
      <c r="AC106" s="19">
        <f>Mitigation_Industry!AC$85-(Mitigation_Industry!AC$85-Mitigation_Industry!AC$75)*AC$97</f>
        <v>0.105168675441661</v>
      </c>
      <c r="AD106" s="19">
        <f>Mitigation_Industry!AD$85-(Mitigation_Industry!AD$85-Mitigation_Industry!AD$75)*AD$97</f>
        <v>0.103057983256008</v>
      </c>
      <c r="AE106" s="19">
        <f>Mitigation_Industry!AE$85-(Mitigation_Industry!AE$85-Mitigation_Industry!AE$75)*AE$97</f>
        <v>0.100931838990114</v>
      </c>
    </row>
    <row r="108" spans="1:35" customFormat="1" ht="14.25" x14ac:dyDescent="0.45">
      <c r="A108" s="11"/>
      <c r="B108" s="6"/>
      <c r="C108" s="7" t="s">
        <v>115</v>
      </c>
      <c r="D108" s="6" t="s">
        <v>1505</v>
      </c>
      <c r="E108" s="7" t="s">
        <v>35</v>
      </c>
      <c r="F108" s="7" t="s">
        <v>45</v>
      </c>
      <c r="G108" s="7" t="s">
        <v>37</v>
      </c>
      <c r="H108" s="12" t="s">
        <v>38</v>
      </c>
      <c r="I108" s="6" t="s">
        <v>39</v>
      </c>
      <c r="J108" s="48">
        <v>1</v>
      </c>
      <c r="K108" s="6">
        <v>2021</v>
      </c>
      <c r="L108" s="46">
        <v>2022</v>
      </c>
      <c r="M108" s="6">
        <v>2023</v>
      </c>
      <c r="N108" s="6">
        <v>2024</v>
      </c>
      <c r="O108" s="6">
        <v>2025</v>
      </c>
      <c r="P108" s="6">
        <v>2026</v>
      </c>
      <c r="Q108" s="6">
        <v>2027</v>
      </c>
      <c r="R108" s="6">
        <v>2028</v>
      </c>
      <c r="S108" s="6">
        <v>2029</v>
      </c>
      <c r="T108" s="6">
        <v>2030</v>
      </c>
      <c r="U108" s="6">
        <v>2031</v>
      </c>
      <c r="V108" s="6">
        <v>2032</v>
      </c>
      <c r="W108" s="6">
        <v>2033</v>
      </c>
      <c r="X108" s="6">
        <v>2034</v>
      </c>
      <c r="Y108" s="6">
        <v>2035</v>
      </c>
      <c r="Z108" s="6">
        <v>2036</v>
      </c>
      <c r="AA108" s="6">
        <v>2037</v>
      </c>
      <c r="AB108" s="6">
        <v>2038</v>
      </c>
      <c r="AC108" s="6">
        <v>2039</v>
      </c>
      <c r="AD108" s="6">
        <v>2040</v>
      </c>
      <c r="AE108" s="6">
        <v>2041</v>
      </c>
      <c r="AF108" s="6">
        <v>2042</v>
      </c>
      <c r="AG108" s="6">
        <v>2043</v>
      </c>
      <c r="AH108" s="6">
        <v>2044</v>
      </c>
      <c r="AI108" s="6">
        <v>2045</v>
      </c>
    </row>
    <row r="109" spans="1:35" customFormat="1" ht="14.25" x14ac:dyDescent="0.45">
      <c r="B109" s="14" t="s">
        <v>110</v>
      </c>
      <c r="C109" s="14" t="s">
        <v>115</v>
      </c>
      <c r="D109" s="25" t="s">
        <v>2154</v>
      </c>
      <c r="E109" s="16" t="s">
        <v>1871</v>
      </c>
      <c r="F109" s="14" t="s">
        <v>2143</v>
      </c>
      <c r="H109" s="114" t="str">
        <f>Settings!$B$3&amp;".mit.obr.ind.nfm.1"</f>
        <v>egy.mit.obr.ind.nfm.1</v>
      </c>
      <c r="I109" t="s">
        <v>2190</v>
      </c>
      <c r="L109" s="116">
        <f t="shared" ref="L109:AE109" si="29">L$77</f>
        <v>0</v>
      </c>
      <c r="M109" s="116">
        <f t="shared" si="29"/>
        <v>0</v>
      </c>
      <c r="N109" s="116">
        <f t="shared" si="29"/>
        <v>0</v>
      </c>
      <c r="O109" s="116">
        <f t="shared" si="29"/>
        <v>0</v>
      </c>
      <c r="P109" s="116">
        <f t="shared" si="29"/>
        <v>0</v>
      </c>
      <c r="Q109" s="116">
        <f t="shared" si="29"/>
        <v>0</v>
      </c>
      <c r="R109" s="116">
        <f t="shared" si="29"/>
        <v>0</v>
      </c>
      <c r="S109" s="116">
        <f t="shared" si="29"/>
        <v>0</v>
      </c>
      <c r="T109" s="116">
        <f t="shared" si="29"/>
        <v>0</v>
      </c>
      <c r="U109" s="116">
        <f t="shared" si="29"/>
        <v>0</v>
      </c>
      <c r="V109" s="116">
        <f t="shared" si="29"/>
        <v>0</v>
      </c>
      <c r="W109" s="116">
        <f t="shared" si="29"/>
        <v>0</v>
      </c>
      <c r="X109" s="116">
        <f t="shared" si="29"/>
        <v>0</v>
      </c>
      <c r="Y109" s="116">
        <f t="shared" si="29"/>
        <v>0</v>
      </c>
      <c r="Z109" s="116">
        <f t="shared" si="29"/>
        <v>0</v>
      </c>
      <c r="AA109" s="116">
        <f t="shared" si="29"/>
        <v>0</v>
      </c>
      <c r="AB109" s="116">
        <f t="shared" si="29"/>
        <v>0</v>
      </c>
      <c r="AC109" s="116">
        <f t="shared" si="29"/>
        <v>0</v>
      </c>
      <c r="AD109" s="116">
        <f t="shared" si="29"/>
        <v>0</v>
      </c>
      <c r="AE109" s="116">
        <f t="shared" si="29"/>
        <v>0</v>
      </c>
    </row>
    <row r="110" spans="1:35" customFormat="1" ht="14.25" x14ac:dyDescent="0.45">
      <c r="B110" s="14" t="s">
        <v>110</v>
      </c>
      <c r="C110" s="14" t="s">
        <v>115</v>
      </c>
      <c r="D110" s="25" t="s">
        <v>2156</v>
      </c>
      <c r="E110" s="16" t="s">
        <v>1871</v>
      </c>
      <c r="F110" s="14" t="s">
        <v>2157</v>
      </c>
      <c r="H110" s="114" t="str">
        <f>Settings!$B$3&amp;".mit.ccf.ind.nfm.1"</f>
        <v>egy.mit.ccf.ind.nfm.1</v>
      </c>
      <c r="L110" s="116">
        <f>L$27*Mitigation_Industry!L$283/1000</f>
        <v>0</v>
      </c>
      <c r="M110" s="116">
        <f>M$27*Mitigation_Industry!M$283/1000</f>
        <v>0</v>
      </c>
      <c r="N110" s="116">
        <f>N$27*Mitigation_Industry!N$283/1000</f>
        <v>0</v>
      </c>
      <c r="O110" s="116">
        <f>O$27*Mitigation_Industry!O$283/1000</f>
        <v>0</v>
      </c>
      <c r="P110" s="116">
        <f>P$27*Mitigation_Industry!P$283/1000</f>
        <v>0</v>
      </c>
      <c r="Q110" s="116">
        <f>Q$27*Mitigation_Industry!Q$283/1000</f>
        <v>0</v>
      </c>
      <c r="R110" s="116">
        <f>R$27*Mitigation_Industry!R$283/1000</f>
        <v>0</v>
      </c>
      <c r="S110" s="116">
        <f>S$27*Mitigation_Industry!S$283/1000</f>
        <v>0</v>
      </c>
      <c r="T110" s="116">
        <f>T$27*Mitigation_Industry!T$283/1000</f>
        <v>0</v>
      </c>
      <c r="U110" s="116">
        <f>U$27*Mitigation_Industry!U$283/1000</f>
        <v>0</v>
      </c>
      <c r="V110" s="116">
        <f>V$27*Mitigation_Industry!V$283/1000</f>
        <v>0</v>
      </c>
      <c r="W110" s="116">
        <f>W$27*Mitigation_Industry!W$283/1000</f>
        <v>0</v>
      </c>
      <c r="X110" s="116">
        <f>X$27*Mitigation_Industry!X$283/1000</f>
        <v>0</v>
      </c>
      <c r="Y110" s="116">
        <f>Y$27*Mitigation_Industry!Y$283/1000</f>
        <v>0</v>
      </c>
      <c r="Z110" s="116">
        <f>Z$27*Mitigation_Industry!Z$283/1000</f>
        <v>0</v>
      </c>
      <c r="AA110" s="116">
        <f>AA$27*Mitigation_Industry!AA$283/1000</f>
        <v>0</v>
      </c>
      <c r="AB110" s="116">
        <f>AB$27*Mitigation_Industry!AB$283/1000</f>
        <v>0</v>
      </c>
      <c r="AC110" s="116">
        <f>AC$27*Mitigation_Industry!AC$283/1000</f>
        <v>0</v>
      </c>
      <c r="AD110" s="116">
        <f>AD$27*Mitigation_Industry!AD$283/1000</f>
        <v>0</v>
      </c>
      <c r="AE110" s="116">
        <f>AE$27*Mitigation_Industry!AE$283/1000</f>
        <v>0</v>
      </c>
    </row>
    <row r="111" spans="1:35" customFormat="1" ht="14.25" x14ac:dyDescent="0.45">
      <c r="B111" s="14" t="s">
        <v>110</v>
      </c>
      <c r="C111" s="14" t="s">
        <v>115</v>
      </c>
      <c r="D111" s="25" t="s">
        <v>2158</v>
      </c>
      <c r="E111" s="16" t="s">
        <v>79</v>
      </c>
      <c r="F111" s="14" t="s">
        <v>2159</v>
      </c>
      <c r="H111" s="114" t="str">
        <f>Settings!$B$3&amp;".mit.rsh.ind.nfm.1"</f>
        <v>egy.mit.rsh.ind.nfm.1</v>
      </c>
      <c r="I111" t="s">
        <v>2160</v>
      </c>
      <c r="L111" s="116">
        <f t="shared" ref="L111:AE111" si="30">IF(L$110&lt;=0,0,MIN(1,L$109/L$110))</f>
        <v>0</v>
      </c>
      <c r="M111" s="116">
        <f t="shared" si="30"/>
        <v>0</v>
      </c>
      <c r="N111" s="116">
        <f t="shared" si="30"/>
        <v>0</v>
      </c>
      <c r="O111" s="116">
        <f t="shared" si="30"/>
        <v>0</v>
      </c>
      <c r="P111" s="116">
        <f t="shared" si="30"/>
        <v>0</v>
      </c>
      <c r="Q111" s="116">
        <f t="shared" si="30"/>
        <v>0</v>
      </c>
      <c r="R111" s="116">
        <f t="shared" si="30"/>
        <v>0</v>
      </c>
      <c r="S111" s="116">
        <f t="shared" si="30"/>
        <v>0</v>
      </c>
      <c r="T111" s="116">
        <f t="shared" si="30"/>
        <v>0</v>
      </c>
      <c r="U111" s="116">
        <f t="shared" si="30"/>
        <v>0</v>
      </c>
      <c r="V111" s="116">
        <f t="shared" si="30"/>
        <v>0</v>
      </c>
      <c r="W111" s="116">
        <f t="shared" si="30"/>
        <v>0</v>
      </c>
      <c r="X111" s="116">
        <f t="shared" si="30"/>
        <v>0</v>
      </c>
      <c r="Y111" s="116">
        <f t="shared" si="30"/>
        <v>0</v>
      </c>
      <c r="Z111" s="116">
        <f t="shared" si="30"/>
        <v>0</v>
      </c>
      <c r="AA111" s="116">
        <f t="shared" si="30"/>
        <v>0</v>
      </c>
      <c r="AB111" s="116">
        <f t="shared" si="30"/>
        <v>0</v>
      </c>
      <c r="AC111" s="116">
        <f t="shared" si="30"/>
        <v>0</v>
      </c>
      <c r="AD111" s="116">
        <f t="shared" si="30"/>
        <v>0</v>
      </c>
      <c r="AE111" s="116">
        <f t="shared" si="30"/>
        <v>0</v>
      </c>
    </row>
    <row r="112" spans="1:35" customFormat="1" ht="14.25" x14ac:dyDescent="0.45">
      <c r="B112" s="14" t="s">
        <v>49</v>
      </c>
      <c r="C112" s="14" t="s">
        <v>115</v>
      </c>
      <c r="D112" s="15" t="s">
        <v>2161</v>
      </c>
      <c r="E112" s="16" t="s">
        <v>51</v>
      </c>
      <c r="F112" s="14" t="s">
        <v>2162</v>
      </c>
      <c r="G112" s="17"/>
      <c r="H112" s="114" t="str">
        <f>Settings!$B$3&amp;".mit.atpn.nfm.coa.e.1"</f>
        <v>egy.mit.atpn.nfm.coa.e.1</v>
      </c>
      <c r="I112" t="s">
        <v>2191</v>
      </c>
      <c r="K112" s="18"/>
      <c r="L112" s="19">
        <f>Mitigation_Industry!L$137-(Mitigation_Industry!L$137-Mitigation_Industry!L$127)*L$111</f>
        <v>10.5233613454312</v>
      </c>
      <c r="M112" s="19">
        <f>Mitigation_Industry!M$137-(Mitigation_Industry!M$137-Mitigation_Industry!M$127)*M$111</f>
        <v>10.2995608274442</v>
      </c>
      <c r="N112" s="19">
        <f>Mitigation_Industry!N$137-(Mitigation_Industry!N$137-Mitigation_Industry!N$127)*N$111</f>
        <v>9.5775283595382597</v>
      </c>
      <c r="O112" s="19">
        <f>Mitigation_Industry!O$137-(Mitigation_Industry!O$137-Mitigation_Industry!O$127)*O$111</f>
        <v>8.4854782869580507</v>
      </c>
      <c r="P112" s="19">
        <f>Mitigation_Industry!P$137-(Mitigation_Industry!P$137-Mitigation_Industry!P$127)*P$111</f>
        <v>9.0871922352498604</v>
      </c>
      <c r="Q112" s="19">
        <f>Mitigation_Industry!Q$137-(Mitigation_Industry!Q$137-Mitigation_Industry!Q$127)*Q$111</f>
        <v>9.2229237289326793</v>
      </c>
      <c r="R112" s="19">
        <f>Mitigation_Industry!R$137-(Mitigation_Industry!R$137-Mitigation_Industry!R$127)*R$111</f>
        <v>9.1585649555096893</v>
      </c>
      <c r="S112" s="19">
        <f>Mitigation_Industry!S$137-(Mitigation_Industry!S$137-Mitigation_Industry!S$127)*S$111</f>
        <v>9.0895478773973792</v>
      </c>
      <c r="T112" s="19">
        <f>Mitigation_Industry!T$137-(Mitigation_Industry!T$137-Mitigation_Industry!T$127)*T$111</f>
        <v>9.0156816660228305</v>
      </c>
      <c r="U112" s="19">
        <f>Mitigation_Industry!U$137-(Mitigation_Industry!U$137-Mitigation_Industry!U$127)*U$111</f>
        <v>8.9443977655571096</v>
      </c>
      <c r="V112" s="19">
        <f>Mitigation_Industry!V$137-(Mitigation_Industry!V$137-Mitigation_Industry!V$127)*V$111</f>
        <v>8.9443977655571096</v>
      </c>
      <c r="W112" s="19">
        <f>Mitigation_Industry!W$137-(Mitigation_Industry!W$137-Mitigation_Industry!W$127)*W$111</f>
        <v>8.9443977655571096</v>
      </c>
      <c r="X112" s="19">
        <f>Mitigation_Industry!X$137-(Mitigation_Industry!X$137-Mitigation_Industry!X$127)*X$111</f>
        <v>8.9443977655571096</v>
      </c>
      <c r="Y112" s="19">
        <f>Mitigation_Industry!Y$137-(Mitigation_Industry!Y$137-Mitigation_Industry!Y$127)*Y$111</f>
        <v>8.9443977655571096</v>
      </c>
      <c r="Z112" s="19">
        <f>Mitigation_Industry!Z$137-(Mitigation_Industry!Z$137-Mitigation_Industry!Z$127)*Z$111</f>
        <v>8.9443977655571096</v>
      </c>
      <c r="AA112" s="19">
        <f>Mitigation_Industry!AA$137-(Mitigation_Industry!AA$137-Mitigation_Industry!AA$127)*AA$111</f>
        <v>8.9443977655571096</v>
      </c>
      <c r="AB112" s="19">
        <f>Mitigation_Industry!AB$137-(Mitigation_Industry!AB$137-Mitigation_Industry!AB$127)*AB$111</f>
        <v>8.9443977655571096</v>
      </c>
      <c r="AC112" s="19">
        <f>Mitigation_Industry!AC$137-(Mitigation_Industry!AC$137-Mitigation_Industry!AC$127)*AC$111</f>
        <v>8.9443977655571096</v>
      </c>
      <c r="AD112" s="19">
        <f>Mitigation_Industry!AD$137-(Mitigation_Industry!AD$137-Mitigation_Industry!AD$127)*AD$111</f>
        <v>8.9443977655571096</v>
      </c>
      <c r="AE112" s="19">
        <f>Mitigation_Industry!AE$137-(Mitigation_Industry!AE$137-Mitigation_Industry!AE$127)*AE$111</f>
        <v>8.9443977655571096</v>
      </c>
    </row>
    <row r="113" spans="1:35" customFormat="1" ht="14.25" x14ac:dyDescent="0.45">
      <c r="B113" s="14" t="s">
        <v>53</v>
      </c>
      <c r="C113" s="14" t="s">
        <v>115</v>
      </c>
      <c r="D113" s="15" t="s">
        <v>2164</v>
      </c>
      <c r="E113" s="16" t="s">
        <v>51</v>
      </c>
      <c r="F113" s="14" t="s">
        <v>2162</v>
      </c>
      <c r="G113" s="17"/>
      <c r="H113" s="114" t="str">
        <f>Settings!$B$3&amp;".mit.atpn.nfm.nga.e.1"</f>
        <v>egy.mit.atpn.nfm.nga.e.1</v>
      </c>
      <c r="I113" t="s">
        <v>2192</v>
      </c>
      <c r="K113" s="18"/>
      <c r="L113" s="19">
        <f>Mitigation_Industry!L$138-(Mitigation_Industry!L$138-Mitigation_Industry!L$128)*L$111</f>
        <v>5.4510150816191896</v>
      </c>
      <c r="M113" s="19">
        <f>Mitigation_Industry!M$138-(Mitigation_Industry!M$138-Mitigation_Industry!M$128)*M$111</f>
        <v>5.1193563062624801</v>
      </c>
      <c r="N113" s="19">
        <f>Mitigation_Industry!N$138-(Mitigation_Industry!N$138-Mitigation_Industry!N$128)*N$111</f>
        <v>5.08218458640407</v>
      </c>
      <c r="O113" s="19">
        <f>Mitigation_Industry!O$138-(Mitigation_Industry!O$138-Mitigation_Industry!O$128)*O$111</f>
        <v>5.08218458640407</v>
      </c>
      <c r="P113" s="19">
        <f>Mitigation_Industry!P$138-(Mitigation_Industry!P$138-Mitigation_Industry!P$128)*P$111</f>
        <v>5.08218458640407</v>
      </c>
      <c r="Q113" s="19">
        <f>Mitigation_Industry!Q$138-(Mitigation_Industry!Q$138-Mitigation_Industry!Q$128)*Q$111</f>
        <v>5.08218458640407</v>
      </c>
      <c r="R113" s="19">
        <f>Mitigation_Industry!R$138-(Mitigation_Industry!R$138-Mitigation_Industry!R$128)*R$111</f>
        <v>5.08218458640407</v>
      </c>
      <c r="S113" s="19">
        <f>Mitigation_Industry!S$138-(Mitigation_Industry!S$138-Mitigation_Industry!S$128)*S$111</f>
        <v>5.08218458640407</v>
      </c>
      <c r="T113" s="19">
        <f>Mitigation_Industry!T$138-(Mitigation_Industry!T$138-Mitigation_Industry!T$128)*T$111</f>
        <v>5.08218458640407</v>
      </c>
      <c r="U113" s="19">
        <f>Mitigation_Industry!U$138-(Mitigation_Industry!U$138-Mitigation_Industry!U$128)*U$111</f>
        <v>5.08218458640407</v>
      </c>
      <c r="V113" s="19">
        <f>Mitigation_Industry!V$138-(Mitigation_Industry!V$138-Mitigation_Industry!V$128)*V$111</f>
        <v>5.08218458640407</v>
      </c>
      <c r="W113" s="19">
        <f>Mitigation_Industry!W$138-(Mitigation_Industry!W$138-Mitigation_Industry!W$128)*W$111</f>
        <v>5.08218458640407</v>
      </c>
      <c r="X113" s="19">
        <f>Mitigation_Industry!X$138-(Mitigation_Industry!X$138-Mitigation_Industry!X$128)*X$111</f>
        <v>5.08218458640407</v>
      </c>
      <c r="Y113" s="19">
        <f>Mitigation_Industry!Y$138-(Mitigation_Industry!Y$138-Mitigation_Industry!Y$128)*Y$111</f>
        <v>5.08218458640407</v>
      </c>
      <c r="Z113" s="19">
        <f>Mitigation_Industry!Z$138-(Mitigation_Industry!Z$138-Mitigation_Industry!Z$128)*Z$111</f>
        <v>5.08218458640407</v>
      </c>
      <c r="AA113" s="19">
        <f>Mitigation_Industry!AA$138-(Mitigation_Industry!AA$138-Mitigation_Industry!AA$128)*AA$111</f>
        <v>5.08218458640407</v>
      </c>
      <c r="AB113" s="19">
        <f>Mitigation_Industry!AB$138-(Mitigation_Industry!AB$138-Mitigation_Industry!AB$128)*AB$111</f>
        <v>5.08218458640407</v>
      </c>
      <c r="AC113" s="19">
        <f>Mitigation_Industry!AC$138-(Mitigation_Industry!AC$138-Mitigation_Industry!AC$128)*AC$111</f>
        <v>5.08218458640407</v>
      </c>
      <c r="AD113" s="19">
        <f>Mitigation_Industry!AD$138-(Mitigation_Industry!AD$138-Mitigation_Industry!AD$128)*AD$111</f>
        <v>5.08218458640407</v>
      </c>
      <c r="AE113" s="19">
        <f>Mitigation_Industry!AE$138-(Mitigation_Industry!AE$138-Mitigation_Industry!AE$128)*AE$111</f>
        <v>5.08218458640407</v>
      </c>
    </row>
    <row r="114" spans="1:35" customFormat="1" ht="14.25" x14ac:dyDescent="0.45">
      <c r="B114" s="14" t="s">
        <v>55</v>
      </c>
      <c r="C114" s="14" t="s">
        <v>115</v>
      </c>
      <c r="D114" s="15" t="s">
        <v>2166</v>
      </c>
      <c r="E114" s="16" t="s">
        <v>57</v>
      </c>
      <c r="F114" s="14" t="s">
        <v>2162</v>
      </c>
      <c r="G114" s="17"/>
      <c r="H114" s="114" t="str">
        <f>Settings!$B$3&amp;".mit.atpn.nfm.gso.e.1"</f>
        <v>egy.mit.atpn.nfm.gso.e.1</v>
      </c>
      <c r="I114" t="s">
        <v>2193</v>
      </c>
      <c r="K114" s="18"/>
      <c r="L114" s="19">
        <f>Mitigation_Industry!L$139-(Mitigation_Industry!L$139-Mitigation_Industry!L$129)*L$111</f>
        <v>0.61197797679140598</v>
      </c>
      <c r="M114" s="19">
        <f>Mitigation_Industry!M$139-(Mitigation_Industry!M$139-Mitigation_Industry!M$129)*M$111</f>
        <v>0.61180974964187596</v>
      </c>
      <c r="N114" s="19">
        <f>Mitigation_Industry!N$139-(Mitigation_Industry!N$139-Mitigation_Industry!N$129)*N$111</f>
        <v>0.60358310017790595</v>
      </c>
      <c r="O114" s="19">
        <f>Mitigation_Industry!O$139-(Mitigation_Industry!O$139-Mitigation_Industry!O$129)*O$111</f>
        <v>0.60358310017790595</v>
      </c>
      <c r="P114" s="19">
        <f>Mitigation_Industry!P$139-(Mitigation_Industry!P$139-Mitigation_Industry!P$129)*P$111</f>
        <v>0.60358310017790595</v>
      </c>
      <c r="Q114" s="19">
        <f>Mitigation_Industry!Q$139-(Mitigation_Industry!Q$139-Mitigation_Industry!Q$129)*Q$111</f>
        <v>0.60358310017790595</v>
      </c>
      <c r="R114" s="19">
        <f>Mitigation_Industry!R$139-(Mitigation_Industry!R$139-Mitigation_Industry!R$129)*R$111</f>
        <v>0.60358310017790595</v>
      </c>
      <c r="S114" s="19">
        <f>Mitigation_Industry!S$139-(Mitigation_Industry!S$139-Mitigation_Industry!S$129)*S$111</f>
        <v>0.60358310017790595</v>
      </c>
      <c r="T114" s="19">
        <f>Mitigation_Industry!T$139-(Mitigation_Industry!T$139-Mitigation_Industry!T$129)*T$111</f>
        <v>0.60358310017790595</v>
      </c>
      <c r="U114" s="19">
        <f>Mitigation_Industry!U$139-(Mitigation_Industry!U$139-Mitigation_Industry!U$129)*U$111</f>
        <v>0.60358310017790595</v>
      </c>
      <c r="V114" s="19">
        <f>Mitigation_Industry!V$139-(Mitigation_Industry!V$139-Mitigation_Industry!V$129)*V$111</f>
        <v>0.60358310017790595</v>
      </c>
      <c r="W114" s="19">
        <f>Mitigation_Industry!W$139-(Mitigation_Industry!W$139-Mitigation_Industry!W$129)*W$111</f>
        <v>0.60358310017790595</v>
      </c>
      <c r="X114" s="19">
        <f>Mitigation_Industry!X$139-(Mitigation_Industry!X$139-Mitigation_Industry!X$129)*X$111</f>
        <v>0.60358310017790595</v>
      </c>
      <c r="Y114" s="19">
        <f>Mitigation_Industry!Y$139-(Mitigation_Industry!Y$139-Mitigation_Industry!Y$129)*Y$111</f>
        <v>0.60358310017790595</v>
      </c>
      <c r="Z114" s="19">
        <f>Mitigation_Industry!Z$139-(Mitigation_Industry!Z$139-Mitigation_Industry!Z$129)*Z$111</f>
        <v>0.60358310017790595</v>
      </c>
      <c r="AA114" s="19">
        <f>Mitigation_Industry!AA$139-(Mitigation_Industry!AA$139-Mitigation_Industry!AA$129)*AA$111</f>
        <v>0.60358310017790595</v>
      </c>
      <c r="AB114" s="19">
        <f>Mitigation_Industry!AB$139-(Mitigation_Industry!AB$139-Mitigation_Industry!AB$129)*AB$111</f>
        <v>0.60358310017790595</v>
      </c>
      <c r="AC114" s="19">
        <f>Mitigation_Industry!AC$139-(Mitigation_Industry!AC$139-Mitigation_Industry!AC$129)*AC$111</f>
        <v>0.60358310017790595</v>
      </c>
      <c r="AD114" s="19">
        <f>Mitigation_Industry!AD$139-(Mitigation_Industry!AD$139-Mitigation_Industry!AD$129)*AD$111</f>
        <v>0.60358310017790595</v>
      </c>
      <c r="AE114" s="19">
        <f>Mitigation_Industry!AE$139-(Mitigation_Industry!AE$139-Mitigation_Industry!AE$129)*AE$111</f>
        <v>0.60358310017790595</v>
      </c>
    </row>
    <row r="115" spans="1:35" customFormat="1" ht="14.25" x14ac:dyDescent="0.45">
      <c r="B115" s="14" t="s">
        <v>58</v>
      </c>
      <c r="C115" s="14" t="s">
        <v>115</v>
      </c>
      <c r="D115" s="15" t="s">
        <v>2168</v>
      </c>
      <c r="E115" s="16" t="s">
        <v>57</v>
      </c>
      <c r="F115" s="14" t="s">
        <v>2162</v>
      </c>
      <c r="G115" s="17"/>
      <c r="H115" s="114" t="str">
        <f>Settings!$B$3&amp;".mit.atpn.nfm.die.e.1"</f>
        <v>egy.mit.atpn.nfm.die.e.1</v>
      </c>
      <c r="I115" t="s">
        <v>2194</v>
      </c>
      <c r="K115" s="18"/>
      <c r="L115" s="19">
        <f>Mitigation_Industry!L$140-(Mitigation_Industry!L$140-Mitigation_Industry!L$130)*L$111</f>
        <v>0.49458873084106802</v>
      </c>
      <c r="M115" s="19">
        <f>Mitigation_Industry!M$140-(Mitigation_Industry!M$140-Mitigation_Industry!M$130)*M$111</f>
        <v>0.50778654720250105</v>
      </c>
      <c r="N115" s="19">
        <f>Mitigation_Industry!N$140-(Mitigation_Industry!N$140-Mitigation_Industry!N$130)*N$111</f>
        <v>0.47043642679561698</v>
      </c>
      <c r="O115" s="19">
        <f>Mitigation_Industry!O$140-(Mitigation_Industry!O$140-Mitigation_Industry!O$130)*O$111</f>
        <v>0.47043642679561698</v>
      </c>
      <c r="P115" s="19">
        <f>Mitigation_Industry!P$140-(Mitigation_Industry!P$140-Mitigation_Industry!P$130)*P$111</f>
        <v>0.47043642679561698</v>
      </c>
      <c r="Q115" s="19">
        <f>Mitigation_Industry!Q$140-(Mitigation_Industry!Q$140-Mitigation_Industry!Q$130)*Q$111</f>
        <v>0.47043642679561698</v>
      </c>
      <c r="R115" s="19">
        <f>Mitigation_Industry!R$140-(Mitigation_Industry!R$140-Mitigation_Industry!R$130)*R$111</f>
        <v>0.47043642679561698</v>
      </c>
      <c r="S115" s="19">
        <f>Mitigation_Industry!S$140-(Mitigation_Industry!S$140-Mitigation_Industry!S$130)*S$111</f>
        <v>0.47043642679561698</v>
      </c>
      <c r="T115" s="19">
        <f>Mitigation_Industry!T$140-(Mitigation_Industry!T$140-Mitigation_Industry!T$130)*T$111</f>
        <v>0.47043642679561698</v>
      </c>
      <c r="U115" s="19">
        <f>Mitigation_Industry!U$140-(Mitigation_Industry!U$140-Mitigation_Industry!U$130)*U$111</f>
        <v>0.47043642679561698</v>
      </c>
      <c r="V115" s="19">
        <f>Mitigation_Industry!V$140-(Mitigation_Industry!V$140-Mitigation_Industry!V$130)*V$111</f>
        <v>0.47043642679561698</v>
      </c>
      <c r="W115" s="19">
        <f>Mitigation_Industry!W$140-(Mitigation_Industry!W$140-Mitigation_Industry!W$130)*W$111</f>
        <v>0.47043642679561698</v>
      </c>
      <c r="X115" s="19">
        <f>Mitigation_Industry!X$140-(Mitigation_Industry!X$140-Mitigation_Industry!X$130)*X$111</f>
        <v>0.47043642679561698</v>
      </c>
      <c r="Y115" s="19">
        <f>Mitigation_Industry!Y$140-(Mitigation_Industry!Y$140-Mitigation_Industry!Y$130)*Y$111</f>
        <v>0.47043642679561698</v>
      </c>
      <c r="Z115" s="19">
        <f>Mitigation_Industry!Z$140-(Mitigation_Industry!Z$140-Mitigation_Industry!Z$130)*Z$111</f>
        <v>0.47043642679561698</v>
      </c>
      <c r="AA115" s="19">
        <f>Mitigation_Industry!AA$140-(Mitigation_Industry!AA$140-Mitigation_Industry!AA$130)*AA$111</f>
        <v>0.47043642679561698</v>
      </c>
      <c r="AB115" s="19">
        <f>Mitigation_Industry!AB$140-(Mitigation_Industry!AB$140-Mitigation_Industry!AB$130)*AB$111</f>
        <v>0.47043642679561698</v>
      </c>
      <c r="AC115" s="19">
        <f>Mitigation_Industry!AC$140-(Mitigation_Industry!AC$140-Mitigation_Industry!AC$130)*AC$111</f>
        <v>0.47043642679561698</v>
      </c>
      <c r="AD115" s="19">
        <f>Mitigation_Industry!AD$140-(Mitigation_Industry!AD$140-Mitigation_Industry!AD$130)*AD$111</f>
        <v>0.47043642679561698</v>
      </c>
      <c r="AE115" s="19">
        <f>Mitigation_Industry!AE$140-(Mitigation_Industry!AE$140-Mitigation_Industry!AE$130)*AE$111</f>
        <v>0.47043642679561698</v>
      </c>
    </row>
    <row r="116" spans="1:35" customFormat="1" ht="14.25" x14ac:dyDescent="0.45">
      <c r="B116" s="14" t="s">
        <v>60</v>
      </c>
      <c r="C116" s="14" t="s">
        <v>115</v>
      </c>
      <c r="D116" s="15" t="s">
        <v>2170</v>
      </c>
      <c r="E116" s="16" t="s">
        <v>57</v>
      </c>
      <c r="F116" s="14" t="s">
        <v>2162</v>
      </c>
      <c r="G116" s="17"/>
      <c r="H116" s="114" t="str">
        <f>Settings!$B$3&amp;".mit.atpn.nfm.lpg.e.1"</f>
        <v>egy.mit.atpn.nfm.lpg.e.1</v>
      </c>
      <c r="I116" t="s">
        <v>2195</v>
      </c>
      <c r="K116" s="18"/>
      <c r="L116" s="19">
        <f>Mitigation_Industry!L$141-(Mitigation_Industry!L$141-Mitigation_Industry!L$131)*L$111</f>
        <v>0.15734473625227399</v>
      </c>
      <c r="M116" s="19">
        <f>Mitigation_Industry!M$141-(Mitigation_Industry!M$141-Mitigation_Industry!M$131)*M$111</f>
        <v>0.164484037759277</v>
      </c>
      <c r="N116" s="19">
        <f>Mitigation_Industry!N$141-(Mitigation_Industry!N$141-Mitigation_Industry!N$131)*N$111</f>
        <v>0.15070907780704901</v>
      </c>
      <c r="O116" s="19">
        <f>Mitigation_Industry!O$141-(Mitigation_Industry!O$141-Mitigation_Industry!O$131)*O$111</f>
        <v>0.15070907780704901</v>
      </c>
      <c r="P116" s="19">
        <f>Mitigation_Industry!P$141-(Mitigation_Industry!P$141-Mitigation_Industry!P$131)*P$111</f>
        <v>0.15070907780704901</v>
      </c>
      <c r="Q116" s="19">
        <f>Mitigation_Industry!Q$141-(Mitigation_Industry!Q$141-Mitigation_Industry!Q$131)*Q$111</f>
        <v>0.15070907780704901</v>
      </c>
      <c r="R116" s="19">
        <f>Mitigation_Industry!R$141-(Mitigation_Industry!R$141-Mitigation_Industry!R$131)*R$111</f>
        <v>0.15070907780704901</v>
      </c>
      <c r="S116" s="19">
        <f>Mitigation_Industry!S$141-(Mitigation_Industry!S$141-Mitigation_Industry!S$131)*S$111</f>
        <v>0.15070907780704901</v>
      </c>
      <c r="T116" s="19">
        <f>Mitigation_Industry!T$141-(Mitigation_Industry!T$141-Mitigation_Industry!T$131)*T$111</f>
        <v>0.15070907780704901</v>
      </c>
      <c r="U116" s="19">
        <f>Mitigation_Industry!U$141-(Mitigation_Industry!U$141-Mitigation_Industry!U$131)*U$111</f>
        <v>0.15070907780704901</v>
      </c>
      <c r="V116" s="19">
        <f>Mitigation_Industry!V$141-(Mitigation_Industry!V$141-Mitigation_Industry!V$131)*V$111</f>
        <v>0.15070907780704901</v>
      </c>
      <c r="W116" s="19">
        <f>Mitigation_Industry!W$141-(Mitigation_Industry!W$141-Mitigation_Industry!W$131)*W$111</f>
        <v>0.15070907780704901</v>
      </c>
      <c r="X116" s="19">
        <f>Mitigation_Industry!X$141-(Mitigation_Industry!X$141-Mitigation_Industry!X$131)*X$111</f>
        <v>0.15070907780704901</v>
      </c>
      <c r="Y116" s="19">
        <f>Mitigation_Industry!Y$141-(Mitigation_Industry!Y$141-Mitigation_Industry!Y$131)*Y$111</f>
        <v>0.15070907780704901</v>
      </c>
      <c r="Z116" s="19">
        <f>Mitigation_Industry!Z$141-(Mitigation_Industry!Z$141-Mitigation_Industry!Z$131)*Z$111</f>
        <v>0.15070907780704901</v>
      </c>
      <c r="AA116" s="19">
        <f>Mitigation_Industry!AA$141-(Mitigation_Industry!AA$141-Mitigation_Industry!AA$131)*AA$111</f>
        <v>0.15070907780704901</v>
      </c>
      <c r="AB116" s="19">
        <f>Mitigation_Industry!AB$141-(Mitigation_Industry!AB$141-Mitigation_Industry!AB$131)*AB$111</f>
        <v>0.15070907780704901</v>
      </c>
      <c r="AC116" s="19">
        <f>Mitigation_Industry!AC$141-(Mitigation_Industry!AC$141-Mitigation_Industry!AC$131)*AC$111</f>
        <v>0.15070907780704901</v>
      </c>
      <c r="AD116" s="19">
        <f>Mitigation_Industry!AD$141-(Mitigation_Industry!AD$141-Mitigation_Industry!AD$131)*AD$111</f>
        <v>0.15070907780704901</v>
      </c>
      <c r="AE116" s="19">
        <f>Mitigation_Industry!AE$141-(Mitigation_Industry!AE$141-Mitigation_Industry!AE$131)*AE$111</f>
        <v>0.15070907780704901</v>
      </c>
    </row>
    <row r="117" spans="1:35" customFormat="1" ht="14.25" x14ac:dyDescent="0.45">
      <c r="B117" s="14" t="s">
        <v>62</v>
      </c>
      <c r="C117" s="14" t="s">
        <v>115</v>
      </c>
      <c r="D117" s="15" t="s">
        <v>2172</v>
      </c>
      <c r="E117" s="16" t="s">
        <v>57</v>
      </c>
      <c r="F117" s="14" t="s">
        <v>2162</v>
      </c>
      <c r="G117" s="17"/>
      <c r="H117" s="114" t="str">
        <f>Settings!$B$3&amp;".mit.atpn.nfm.ker.e.1"</f>
        <v>egy.mit.atpn.nfm.ker.e.1</v>
      </c>
      <c r="I117" t="s">
        <v>2196</v>
      </c>
      <c r="K117" s="18"/>
      <c r="L117" s="19">
        <f>Mitigation_Industry!L$142-(Mitigation_Industry!L$142-Mitigation_Industry!L$132)*L$111</f>
        <v>0.45642817050012802</v>
      </c>
      <c r="M117" s="19">
        <f>Mitigation_Industry!M$142-(Mitigation_Industry!M$142-Mitigation_Industry!M$132)*M$111</f>
        <v>0.43168920195599497</v>
      </c>
      <c r="N117" s="19">
        <f>Mitigation_Industry!N$142-(Mitigation_Industry!N$142-Mitigation_Industry!N$132)*N$111</f>
        <v>0.42507558395597</v>
      </c>
      <c r="O117" s="19">
        <f>Mitigation_Industry!O$142-(Mitigation_Industry!O$142-Mitigation_Industry!O$132)*O$111</f>
        <v>0.42507558395597</v>
      </c>
      <c r="P117" s="19">
        <f>Mitigation_Industry!P$142-(Mitigation_Industry!P$142-Mitigation_Industry!P$132)*P$111</f>
        <v>0.42507558395597</v>
      </c>
      <c r="Q117" s="19">
        <f>Mitigation_Industry!Q$142-(Mitigation_Industry!Q$142-Mitigation_Industry!Q$132)*Q$111</f>
        <v>0.42507558395597</v>
      </c>
      <c r="R117" s="19">
        <f>Mitigation_Industry!R$142-(Mitigation_Industry!R$142-Mitigation_Industry!R$132)*R$111</f>
        <v>0.42507558395597</v>
      </c>
      <c r="S117" s="19">
        <f>Mitigation_Industry!S$142-(Mitigation_Industry!S$142-Mitigation_Industry!S$132)*S$111</f>
        <v>0.42507558395597</v>
      </c>
      <c r="T117" s="19">
        <f>Mitigation_Industry!T$142-(Mitigation_Industry!T$142-Mitigation_Industry!T$132)*T$111</f>
        <v>0.42507558395597</v>
      </c>
      <c r="U117" s="19">
        <f>Mitigation_Industry!U$142-(Mitigation_Industry!U$142-Mitigation_Industry!U$132)*U$111</f>
        <v>0.42507558395597</v>
      </c>
      <c r="V117" s="19">
        <f>Mitigation_Industry!V$142-(Mitigation_Industry!V$142-Mitigation_Industry!V$132)*V$111</f>
        <v>0.42507558395597</v>
      </c>
      <c r="W117" s="19">
        <f>Mitigation_Industry!W$142-(Mitigation_Industry!W$142-Mitigation_Industry!W$132)*W$111</f>
        <v>0.42507558395597</v>
      </c>
      <c r="X117" s="19">
        <f>Mitigation_Industry!X$142-(Mitigation_Industry!X$142-Mitigation_Industry!X$132)*X$111</f>
        <v>0.42507558395597</v>
      </c>
      <c r="Y117" s="19">
        <f>Mitigation_Industry!Y$142-(Mitigation_Industry!Y$142-Mitigation_Industry!Y$132)*Y$111</f>
        <v>0.42507558395597</v>
      </c>
      <c r="Z117" s="19">
        <f>Mitigation_Industry!Z$142-(Mitigation_Industry!Z$142-Mitigation_Industry!Z$132)*Z$111</f>
        <v>0.42507558395597</v>
      </c>
      <c r="AA117" s="19">
        <f>Mitigation_Industry!AA$142-(Mitigation_Industry!AA$142-Mitigation_Industry!AA$132)*AA$111</f>
        <v>0.42507558395597</v>
      </c>
      <c r="AB117" s="19">
        <f>Mitigation_Industry!AB$142-(Mitigation_Industry!AB$142-Mitigation_Industry!AB$132)*AB$111</f>
        <v>0.42507558395597</v>
      </c>
      <c r="AC117" s="19">
        <f>Mitigation_Industry!AC$142-(Mitigation_Industry!AC$142-Mitigation_Industry!AC$132)*AC$111</f>
        <v>0.42507558395597</v>
      </c>
      <c r="AD117" s="19">
        <f>Mitigation_Industry!AD$142-(Mitigation_Industry!AD$142-Mitigation_Industry!AD$132)*AD$111</f>
        <v>0.42507558395597</v>
      </c>
      <c r="AE117" s="19">
        <f>Mitigation_Industry!AE$142-(Mitigation_Industry!AE$142-Mitigation_Industry!AE$132)*AE$111</f>
        <v>0.42507558395597</v>
      </c>
    </row>
    <row r="118" spans="1:35" customFormat="1" ht="14.25" x14ac:dyDescent="0.45">
      <c r="B118" s="14" t="s">
        <v>64</v>
      </c>
      <c r="C118" s="14" t="s">
        <v>115</v>
      </c>
      <c r="D118" s="15" t="s">
        <v>2174</v>
      </c>
      <c r="E118" s="16" t="s">
        <v>66</v>
      </c>
      <c r="F118" s="14" t="s">
        <v>2162</v>
      </c>
      <c r="G118" s="17"/>
      <c r="H118" s="114" t="str">
        <f>Settings!$B$3&amp;".mit.atpn.nfm.oop.e.1"</f>
        <v>egy.mit.atpn.nfm.oop.e.1</v>
      </c>
      <c r="I118" t="s">
        <v>2197</v>
      </c>
      <c r="K118" s="18"/>
      <c r="L118" s="19">
        <f>Mitigation_Industry!L$143-(Mitigation_Industry!L$143-Mitigation_Industry!L$133)*L$111</f>
        <v>34.4153703043132</v>
      </c>
      <c r="M118" s="19">
        <f>Mitigation_Industry!M$143-(Mitigation_Industry!M$143-Mitigation_Industry!M$133)*M$111</f>
        <v>37.368960690431997</v>
      </c>
      <c r="N118" s="19">
        <f>Mitigation_Industry!N$143-(Mitigation_Industry!N$143-Mitigation_Industry!N$133)*N$111</f>
        <v>28.982761101477301</v>
      </c>
      <c r="O118" s="19">
        <f>Mitigation_Industry!O$143-(Mitigation_Industry!O$143-Mitigation_Industry!O$133)*O$111</f>
        <v>15</v>
      </c>
      <c r="P118" s="19">
        <f>Mitigation_Industry!P$143-(Mitigation_Industry!P$143-Mitigation_Industry!P$133)*P$111</f>
        <v>24.2586300842555</v>
      </c>
      <c r="Q118" s="19">
        <f>Mitigation_Industry!Q$143-(Mitigation_Industry!Q$143-Mitigation_Industry!Q$133)*Q$111</f>
        <v>15</v>
      </c>
      <c r="R118" s="19">
        <f>Mitigation_Industry!R$143-(Mitigation_Industry!R$143-Mitigation_Industry!R$133)*R$111</f>
        <v>15</v>
      </c>
      <c r="S118" s="19">
        <f>Mitigation_Industry!S$143-(Mitigation_Industry!S$143-Mitigation_Industry!S$133)*S$111</f>
        <v>15</v>
      </c>
      <c r="T118" s="19">
        <f>Mitigation_Industry!T$143-(Mitigation_Industry!T$143-Mitigation_Industry!T$133)*T$111</f>
        <v>15</v>
      </c>
      <c r="U118" s="19">
        <f>Mitigation_Industry!U$143-(Mitigation_Industry!U$143-Mitigation_Industry!U$133)*U$111</f>
        <v>15</v>
      </c>
      <c r="V118" s="19">
        <f>Mitigation_Industry!V$143-(Mitigation_Industry!V$143-Mitigation_Industry!V$133)*V$111</f>
        <v>15</v>
      </c>
      <c r="W118" s="19">
        <f>Mitigation_Industry!W$143-(Mitigation_Industry!W$143-Mitigation_Industry!W$133)*W$111</f>
        <v>15</v>
      </c>
      <c r="X118" s="19">
        <f>Mitigation_Industry!X$143-(Mitigation_Industry!X$143-Mitigation_Industry!X$133)*X$111</f>
        <v>15</v>
      </c>
      <c r="Y118" s="19">
        <f>Mitigation_Industry!Y$143-(Mitigation_Industry!Y$143-Mitigation_Industry!Y$133)*Y$111</f>
        <v>15</v>
      </c>
      <c r="Z118" s="19">
        <f>Mitigation_Industry!Z$143-(Mitigation_Industry!Z$143-Mitigation_Industry!Z$133)*Z$111</f>
        <v>15</v>
      </c>
      <c r="AA118" s="19">
        <f>Mitigation_Industry!AA$143-(Mitigation_Industry!AA$143-Mitigation_Industry!AA$133)*AA$111</f>
        <v>15</v>
      </c>
      <c r="AB118" s="19">
        <f>Mitigation_Industry!AB$143-(Mitigation_Industry!AB$143-Mitigation_Industry!AB$133)*AB$111</f>
        <v>15</v>
      </c>
      <c r="AC118" s="19">
        <f>Mitigation_Industry!AC$143-(Mitigation_Industry!AC$143-Mitigation_Industry!AC$133)*AC$111</f>
        <v>15</v>
      </c>
      <c r="AD118" s="19">
        <f>Mitigation_Industry!AD$143-(Mitigation_Industry!AD$143-Mitigation_Industry!AD$133)*AD$111</f>
        <v>15</v>
      </c>
      <c r="AE118" s="19">
        <f>Mitigation_Industry!AE$143-(Mitigation_Industry!AE$143-Mitigation_Industry!AE$133)*AE$111</f>
        <v>15</v>
      </c>
    </row>
    <row r="119" spans="1:35" customFormat="1" ht="14.25" x14ac:dyDescent="0.45">
      <c r="B119" s="14" t="s">
        <v>67</v>
      </c>
      <c r="C119" s="14" t="s">
        <v>115</v>
      </c>
      <c r="D119" s="15" t="s">
        <v>2176</v>
      </c>
      <c r="E119" s="16" t="s">
        <v>51</v>
      </c>
      <c r="F119" s="14" t="s">
        <v>2162</v>
      </c>
      <c r="G119" s="17"/>
      <c r="H119" s="114" t="str">
        <f>Settings!$B$3&amp;".mit.atpn.nfm.bio.e.1"</f>
        <v>egy.mit.atpn.nfm.bio.e.1</v>
      </c>
      <c r="I119" t="s">
        <v>2198</v>
      </c>
      <c r="K119" s="18"/>
      <c r="L119" s="19">
        <f>Mitigation_Industry!L$144-(Mitigation_Industry!L$144-Mitigation_Industry!L$134)*L$111</f>
        <v>14.199528390634899</v>
      </c>
      <c r="M119" s="19">
        <f>Mitigation_Industry!M$144-(Mitigation_Industry!M$144-Mitigation_Industry!M$134)*M$111</f>
        <v>13.8404416133152</v>
      </c>
      <c r="N119" s="19">
        <f>Mitigation_Industry!N$144-(Mitigation_Industry!N$144-Mitigation_Industry!N$134)*N$111</f>
        <v>13.5677269404465</v>
      </c>
      <c r="O119" s="19">
        <f>Mitigation_Industry!O$144-(Mitigation_Industry!O$144-Mitigation_Industry!O$134)*O$111</f>
        <v>13.5677269404465</v>
      </c>
      <c r="P119" s="19">
        <f>Mitigation_Industry!P$144-(Mitigation_Industry!P$144-Mitigation_Industry!P$134)*P$111</f>
        <v>13.5677269404465</v>
      </c>
      <c r="Q119" s="19">
        <f>Mitigation_Industry!Q$144-(Mitigation_Industry!Q$144-Mitigation_Industry!Q$134)*Q$111</f>
        <v>13.5677269404465</v>
      </c>
      <c r="R119" s="19">
        <f>Mitigation_Industry!R$144-(Mitigation_Industry!R$144-Mitigation_Industry!R$134)*R$111</f>
        <v>13.5677269404465</v>
      </c>
      <c r="S119" s="19">
        <f>Mitigation_Industry!S$144-(Mitigation_Industry!S$144-Mitigation_Industry!S$134)*S$111</f>
        <v>13.5677269404465</v>
      </c>
      <c r="T119" s="19">
        <f>Mitigation_Industry!T$144-(Mitigation_Industry!T$144-Mitigation_Industry!T$134)*T$111</f>
        <v>13.5677269404465</v>
      </c>
      <c r="U119" s="19">
        <f>Mitigation_Industry!U$144-(Mitigation_Industry!U$144-Mitigation_Industry!U$134)*U$111</f>
        <v>13.5677269404465</v>
      </c>
      <c r="V119" s="19">
        <f>Mitigation_Industry!V$144-(Mitigation_Industry!V$144-Mitigation_Industry!V$134)*V$111</f>
        <v>13.5677269404465</v>
      </c>
      <c r="W119" s="19">
        <f>Mitigation_Industry!W$144-(Mitigation_Industry!W$144-Mitigation_Industry!W$134)*W$111</f>
        <v>13.5677269404465</v>
      </c>
      <c r="X119" s="19">
        <f>Mitigation_Industry!X$144-(Mitigation_Industry!X$144-Mitigation_Industry!X$134)*X$111</f>
        <v>13.5677269404465</v>
      </c>
      <c r="Y119" s="19">
        <f>Mitigation_Industry!Y$144-(Mitigation_Industry!Y$144-Mitigation_Industry!Y$134)*Y$111</f>
        <v>13.5677269404465</v>
      </c>
      <c r="Z119" s="19">
        <f>Mitigation_Industry!Z$144-(Mitigation_Industry!Z$144-Mitigation_Industry!Z$134)*Z$111</f>
        <v>13.5677269404465</v>
      </c>
      <c r="AA119" s="19">
        <f>Mitigation_Industry!AA$144-(Mitigation_Industry!AA$144-Mitigation_Industry!AA$134)*AA$111</f>
        <v>13.5677269404465</v>
      </c>
      <c r="AB119" s="19">
        <f>Mitigation_Industry!AB$144-(Mitigation_Industry!AB$144-Mitigation_Industry!AB$134)*AB$111</f>
        <v>13.5677269404465</v>
      </c>
      <c r="AC119" s="19">
        <f>Mitigation_Industry!AC$144-(Mitigation_Industry!AC$144-Mitigation_Industry!AC$134)*AC$111</f>
        <v>13.5677269404465</v>
      </c>
      <c r="AD119" s="19">
        <f>Mitigation_Industry!AD$144-(Mitigation_Industry!AD$144-Mitigation_Industry!AD$134)*AD$111</f>
        <v>13.5677269404465</v>
      </c>
      <c r="AE119" s="19">
        <f>Mitigation_Industry!AE$144-(Mitigation_Industry!AE$144-Mitigation_Industry!AE$134)*AE$111</f>
        <v>13.5677269404465</v>
      </c>
    </row>
    <row r="120" spans="1:35" customFormat="1" ht="14.25" x14ac:dyDescent="0.45">
      <c r="B120" s="14" t="s">
        <v>69</v>
      </c>
      <c r="C120" s="14" t="s">
        <v>115</v>
      </c>
      <c r="D120" s="15" t="s">
        <v>2178</v>
      </c>
      <c r="E120" s="16" t="s">
        <v>71</v>
      </c>
      <c r="F120" s="14" t="s">
        <v>2162</v>
      </c>
      <c r="G120" s="17"/>
      <c r="H120" s="114" t="str">
        <f>Settings!$B$3&amp;".mit.atpn.nfm.ren.e.1"</f>
        <v>egy.mit.atpn.nfm.ren.e.1</v>
      </c>
      <c r="I120" t="s">
        <v>2199</v>
      </c>
      <c r="K120" s="18"/>
      <c r="L120" s="19">
        <f>Mitigation_Industry!L$145-(Mitigation_Industry!L$145-Mitigation_Industry!L$135)*L$111</f>
        <v>0.14404498679319799</v>
      </c>
      <c r="M120" s="19">
        <f>Mitigation_Industry!M$145-(Mitigation_Industry!M$145-Mitigation_Industry!M$135)*M$111</f>
        <v>0.14102040965700399</v>
      </c>
      <c r="N120" s="19">
        <f>Mitigation_Industry!N$145-(Mitigation_Industry!N$145-Mitigation_Industry!N$135)*N$111</f>
        <v>0.13511635959447599</v>
      </c>
      <c r="O120" s="19">
        <f>Mitigation_Industry!O$145-(Mitigation_Industry!O$145-Mitigation_Industry!O$135)*O$111</f>
        <v>0.13098825698585601</v>
      </c>
      <c r="P120" s="19">
        <f>Mitigation_Industry!P$145-(Mitigation_Industry!P$145-Mitigation_Industry!P$135)*P$111</f>
        <v>0.12790841608631801</v>
      </c>
      <c r="Q120" s="19">
        <f>Mitigation_Industry!Q$145-(Mitigation_Industry!Q$145-Mitigation_Industry!Q$135)*Q$111</f>
        <v>0.124814310557813</v>
      </c>
      <c r="R120" s="19">
        <f>Mitigation_Industry!R$145-(Mitigation_Industry!R$145-Mitigation_Industry!R$135)*R$111</f>
        <v>0.121460257122878</v>
      </c>
      <c r="S120" s="19">
        <f>Mitigation_Industry!S$145-(Mitigation_Industry!S$145-Mitigation_Industry!S$135)*S$111</f>
        <v>0.117950744135786</v>
      </c>
      <c r="T120" s="19">
        <f>Mitigation_Industry!T$145-(Mitigation_Industry!T$145-Mitigation_Industry!T$135)*T$111</f>
        <v>0.114199161044597</v>
      </c>
      <c r="U120" s="19">
        <f>Mitigation_Industry!U$145-(Mitigation_Industry!U$145-Mitigation_Industry!U$135)*U$111</f>
        <v>0.113665100059665</v>
      </c>
      <c r="V120" s="19">
        <f>Mitigation_Industry!V$145-(Mitigation_Industry!V$145-Mitigation_Industry!V$135)*V$111</f>
        <v>0.113016929625957</v>
      </c>
      <c r="W120" s="19">
        <f>Mitigation_Industry!W$145-(Mitigation_Industry!W$145-Mitigation_Industry!W$135)*W$111</f>
        <v>0.112314070507636</v>
      </c>
      <c r="X120" s="19">
        <f>Mitigation_Industry!X$145-(Mitigation_Industry!X$145-Mitigation_Industry!X$135)*X$111</f>
        <v>0.11142204273284299</v>
      </c>
      <c r="Y120" s="19">
        <f>Mitigation_Industry!Y$145-(Mitigation_Industry!Y$145-Mitigation_Industry!Y$135)*Y$111</f>
        <v>0.110434123675809</v>
      </c>
      <c r="Z120" s="19">
        <f>Mitigation_Industry!Z$145-(Mitigation_Industry!Z$145-Mitigation_Industry!Z$135)*Z$111</f>
        <v>0.109483973304471</v>
      </c>
      <c r="AA120" s="19">
        <f>Mitigation_Industry!AA$145-(Mitigation_Industry!AA$145-Mitigation_Industry!AA$135)*AA$111</f>
        <v>0.10839192105294</v>
      </c>
      <c r="AB120" s="19">
        <f>Mitigation_Industry!AB$145-(Mitigation_Industry!AB$145-Mitigation_Industry!AB$135)*AB$111</f>
        <v>0.10735443362670399</v>
      </c>
      <c r="AC120" s="19">
        <f>Mitigation_Industry!AC$145-(Mitigation_Industry!AC$145-Mitigation_Industry!AC$135)*AC$111</f>
        <v>0.105168675441661</v>
      </c>
      <c r="AD120" s="19">
        <f>Mitigation_Industry!AD$145-(Mitigation_Industry!AD$145-Mitigation_Industry!AD$135)*AD$111</f>
        <v>0.103057983256008</v>
      </c>
      <c r="AE120" s="19">
        <f>Mitigation_Industry!AE$145-(Mitigation_Industry!AE$145-Mitigation_Industry!AE$135)*AE$111</f>
        <v>0.100931838990114</v>
      </c>
    </row>
    <row r="122" spans="1:35" customFormat="1" ht="14.25" x14ac:dyDescent="0.45">
      <c r="A122" s="11"/>
      <c r="B122" s="6"/>
      <c r="C122" s="7" t="s">
        <v>117</v>
      </c>
      <c r="D122" s="6" t="s">
        <v>1505</v>
      </c>
      <c r="E122" s="7" t="s">
        <v>35</v>
      </c>
      <c r="F122" s="7" t="s">
        <v>45</v>
      </c>
      <c r="G122" s="7" t="s">
        <v>37</v>
      </c>
      <c r="H122" s="12" t="s">
        <v>38</v>
      </c>
      <c r="I122" s="6" t="s">
        <v>39</v>
      </c>
      <c r="J122" s="48">
        <v>1</v>
      </c>
      <c r="K122" s="6">
        <v>2021</v>
      </c>
      <c r="L122" s="46">
        <v>2022</v>
      </c>
      <c r="M122" s="6">
        <v>2023</v>
      </c>
      <c r="N122" s="6">
        <v>2024</v>
      </c>
      <c r="O122" s="6">
        <v>2025</v>
      </c>
      <c r="P122" s="6">
        <v>2026</v>
      </c>
      <c r="Q122" s="6">
        <v>2027</v>
      </c>
      <c r="R122" s="6">
        <v>2028</v>
      </c>
      <c r="S122" s="6">
        <v>2029</v>
      </c>
      <c r="T122" s="6">
        <v>2030</v>
      </c>
      <c r="U122" s="6">
        <v>2031</v>
      </c>
      <c r="V122" s="6">
        <v>2032</v>
      </c>
      <c r="W122" s="6">
        <v>2033</v>
      </c>
      <c r="X122" s="6">
        <v>2034</v>
      </c>
      <c r="Y122" s="6">
        <v>2035</v>
      </c>
      <c r="Z122" s="6">
        <v>2036</v>
      </c>
      <c r="AA122" s="6">
        <v>2037</v>
      </c>
      <c r="AB122" s="6">
        <v>2038</v>
      </c>
      <c r="AC122" s="6">
        <v>2039</v>
      </c>
      <c r="AD122" s="6">
        <v>2040</v>
      </c>
      <c r="AE122" s="6">
        <v>2041</v>
      </c>
      <c r="AF122" s="6">
        <v>2042</v>
      </c>
      <c r="AG122" s="6">
        <v>2043</v>
      </c>
      <c r="AH122" s="6">
        <v>2044</v>
      </c>
      <c r="AI122" s="6">
        <v>2045</v>
      </c>
    </row>
    <row r="123" spans="1:35" customFormat="1" ht="14.25" x14ac:dyDescent="0.45">
      <c r="B123" s="14" t="s">
        <v>110</v>
      </c>
      <c r="C123" s="14" t="s">
        <v>117</v>
      </c>
      <c r="D123" s="25" t="s">
        <v>2154</v>
      </c>
      <c r="E123" s="16" t="s">
        <v>1871</v>
      </c>
      <c r="F123" s="14" t="s">
        <v>2143</v>
      </c>
      <c r="H123" s="114" t="str">
        <f>Settings!$B$3&amp;".mit.obr.ind.mch.1"</f>
        <v>egy.mit.obr.ind.mch.1</v>
      </c>
      <c r="I123" t="s">
        <v>2200</v>
      </c>
      <c r="L123" s="116">
        <f t="shared" ref="L123:AE123" si="31">L$74+L$75+L$76</f>
        <v>0</v>
      </c>
      <c r="M123" s="116">
        <f t="shared" si="31"/>
        <v>0</v>
      </c>
      <c r="N123" s="116">
        <f t="shared" si="31"/>
        <v>0</v>
      </c>
      <c r="O123" s="116">
        <f t="shared" si="31"/>
        <v>0</v>
      </c>
      <c r="P123" s="116">
        <f t="shared" si="31"/>
        <v>0</v>
      </c>
      <c r="Q123" s="116">
        <f t="shared" si="31"/>
        <v>0</v>
      </c>
      <c r="R123" s="116">
        <f t="shared" si="31"/>
        <v>0</v>
      </c>
      <c r="S123" s="116">
        <f t="shared" si="31"/>
        <v>0</v>
      </c>
      <c r="T123" s="116">
        <f t="shared" si="31"/>
        <v>0</v>
      </c>
      <c r="U123" s="116">
        <f t="shared" si="31"/>
        <v>0</v>
      </c>
      <c r="V123" s="116">
        <f t="shared" si="31"/>
        <v>0</v>
      </c>
      <c r="W123" s="116">
        <f t="shared" si="31"/>
        <v>0</v>
      </c>
      <c r="X123" s="116">
        <f t="shared" si="31"/>
        <v>0</v>
      </c>
      <c r="Y123" s="116">
        <f t="shared" si="31"/>
        <v>0</v>
      </c>
      <c r="Z123" s="116">
        <f t="shared" si="31"/>
        <v>0</v>
      </c>
      <c r="AA123" s="116">
        <f t="shared" si="31"/>
        <v>0</v>
      </c>
      <c r="AB123" s="116">
        <f t="shared" si="31"/>
        <v>0</v>
      </c>
      <c r="AC123" s="116">
        <f t="shared" si="31"/>
        <v>0</v>
      </c>
      <c r="AD123" s="116">
        <f t="shared" si="31"/>
        <v>0</v>
      </c>
      <c r="AE123" s="116">
        <f t="shared" si="31"/>
        <v>0</v>
      </c>
    </row>
    <row r="124" spans="1:35" customFormat="1" ht="14.25" x14ac:dyDescent="0.45">
      <c r="B124" s="14" t="s">
        <v>110</v>
      </c>
      <c r="C124" s="14" t="s">
        <v>117</v>
      </c>
      <c r="D124" s="25" t="s">
        <v>2156</v>
      </c>
      <c r="E124" s="16" t="s">
        <v>1871</v>
      </c>
      <c r="F124" s="14" t="s">
        <v>2157</v>
      </c>
      <c r="H124" s="114" t="str">
        <f>Settings!$B$3&amp;".mit.ccf.ind.mch.1"</f>
        <v>egy.mit.ccf.ind.mch.1</v>
      </c>
      <c r="L124" s="116">
        <f>L$24*Mitigation_Industry!L$280/1000+L$25*Mitigation_Industry!L$281/1000+L$26*Mitigation_Industry!L$282/1000</f>
        <v>0</v>
      </c>
      <c r="M124" s="116">
        <f>M$24*Mitigation_Industry!M$280/1000+M$25*Mitigation_Industry!M$281/1000+M$26*Mitigation_Industry!M$282/1000</f>
        <v>0</v>
      </c>
      <c r="N124" s="116">
        <f>N$24*Mitigation_Industry!N$280/1000+N$25*Mitigation_Industry!N$281/1000+N$26*Mitigation_Industry!N$282/1000</f>
        <v>0</v>
      </c>
      <c r="O124" s="116">
        <f>O$24*Mitigation_Industry!O$280/1000+O$25*Mitigation_Industry!O$281/1000+O$26*Mitigation_Industry!O$282/1000</f>
        <v>0</v>
      </c>
      <c r="P124" s="116">
        <f>P$24*Mitigation_Industry!P$280/1000+P$25*Mitigation_Industry!P$281/1000+P$26*Mitigation_Industry!P$282/1000</f>
        <v>0</v>
      </c>
      <c r="Q124" s="116">
        <f>Q$24*Mitigation_Industry!Q$280/1000+Q$25*Mitigation_Industry!Q$281/1000+Q$26*Mitigation_Industry!Q$282/1000</f>
        <v>0</v>
      </c>
      <c r="R124" s="116">
        <f>R$24*Mitigation_Industry!R$280/1000+R$25*Mitigation_Industry!R$281/1000+R$26*Mitigation_Industry!R$282/1000</f>
        <v>0</v>
      </c>
      <c r="S124" s="116">
        <f>S$24*Mitigation_Industry!S$280/1000+S$25*Mitigation_Industry!S$281/1000+S$26*Mitigation_Industry!S$282/1000</f>
        <v>0</v>
      </c>
      <c r="T124" s="116">
        <f>T$24*Mitigation_Industry!T$280/1000+T$25*Mitigation_Industry!T$281/1000+T$26*Mitigation_Industry!T$282/1000</f>
        <v>0</v>
      </c>
      <c r="U124" s="116">
        <f>U$24*Mitigation_Industry!U$280/1000+U$25*Mitigation_Industry!U$281/1000+U$26*Mitigation_Industry!U$282/1000</f>
        <v>0</v>
      </c>
      <c r="V124" s="116">
        <f>V$24*Mitigation_Industry!V$280/1000+V$25*Mitigation_Industry!V$281/1000+V$26*Mitigation_Industry!V$282/1000</f>
        <v>0</v>
      </c>
      <c r="W124" s="116">
        <f>W$24*Mitigation_Industry!W$280/1000+W$25*Mitigation_Industry!W$281/1000+W$26*Mitigation_Industry!W$282/1000</f>
        <v>0</v>
      </c>
      <c r="X124" s="116">
        <f>X$24*Mitigation_Industry!X$280/1000+X$25*Mitigation_Industry!X$281/1000+X$26*Mitigation_Industry!X$282/1000</f>
        <v>0</v>
      </c>
      <c r="Y124" s="116">
        <f>Y$24*Mitigation_Industry!Y$280/1000+Y$25*Mitigation_Industry!Y$281/1000+Y$26*Mitigation_Industry!Y$282/1000</f>
        <v>0</v>
      </c>
      <c r="Z124" s="116">
        <f>Z$24*Mitigation_Industry!Z$280/1000+Z$25*Mitigation_Industry!Z$281/1000+Z$26*Mitigation_Industry!Z$282/1000</f>
        <v>0</v>
      </c>
      <c r="AA124" s="116">
        <f>AA$24*Mitigation_Industry!AA$280/1000+AA$25*Mitigation_Industry!AA$281/1000+AA$26*Mitigation_Industry!AA$282/1000</f>
        <v>0</v>
      </c>
      <c r="AB124" s="116">
        <f>AB$24*Mitigation_Industry!AB$280/1000+AB$25*Mitigation_Industry!AB$281/1000+AB$26*Mitigation_Industry!AB$282/1000</f>
        <v>0</v>
      </c>
      <c r="AC124" s="116">
        <f>AC$24*Mitigation_Industry!AC$280/1000+AC$25*Mitigation_Industry!AC$281/1000+AC$26*Mitigation_Industry!AC$282/1000</f>
        <v>0</v>
      </c>
      <c r="AD124" s="116">
        <f>AD$24*Mitigation_Industry!AD$280/1000+AD$25*Mitigation_Industry!AD$281/1000+AD$26*Mitigation_Industry!AD$282/1000</f>
        <v>0</v>
      </c>
      <c r="AE124" s="116">
        <f>AE$24*Mitigation_Industry!AE$280/1000+AE$25*Mitigation_Industry!AE$281/1000+AE$26*Mitigation_Industry!AE$282/1000</f>
        <v>0</v>
      </c>
    </row>
    <row r="125" spans="1:35" customFormat="1" ht="14.25" x14ac:dyDescent="0.45">
      <c r="B125" s="14" t="s">
        <v>110</v>
      </c>
      <c r="C125" s="14" t="s">
        <v>117</v>
      </c>
      <c r="D125" s="25" t="s">
        <v>2158</v>
      </c>
      <c r="E125" s="16" t="s">
        <v>79</v>
      </c>
      <c r="F125" s="14" t="s">
        <v>2159</v>
      </c>
      <c r="H125" s="114" t="str">
        <f>Settings!$B$3&amp;".mit.rsh.ind.mch.1"</f>
        <v>egy.mit.rsh.ind.mch.1</v>
      </c>
      <c r="I125" t="s">
        <v>2160</v>
      </c>
      <c r="L125" s="116">
        <f t="shared" ref="L125:AE125" si="32">IF(L$124&lt;=0,0,MIN(1,L$123/L$124))</f>
        <v>0</v>
      </c>
      <c r="M125" s="116">
        <f t="shared" si="32"/>
        <v>0</v>
      </c>
      <c r="N125" s="116">
        <f t="shared" si="32"/>
        <v>0</v>
      </c>
      <c r="O125" s="116">
        <f t="shared" si="32"/>
        <v>0</v>
      </c>
      <c r="P125" s="116">
        <f t="shared" si="32"/>
        <v>0</v>
      </c>
      <c r="Q125" s="116">
        <f t="shared" si="32"/>
        <v>0</v>
      </c>
      <c r="R125" s="116">
        <f t="shared" si="32"/>
        <v>0</v>
      </c>
      <c r="S125" s="116">
        <f t="shared" si="32"/>
        <v>0</v>
      </c>
      <c r="T125" s="116">
        <f t="shared" si="32"/>
        <v>0</v>
      </c>
      <c r="U125" s="116">
        <f t="shared" si="32"/>
        <v>0</v>
      </c>
      <c r="V125" s="116">
        <f t="shared" si="32"/>
        <v>0</v>
      </c>
      <c r="W125" s="116">
        <f t="shared" si="32"/>
        <v>0</v>
      </c>
      <c r="X125" s="116">
        <f t="shared" si="32"/>
        <v>0</v>
      </c>
      <c r="Y125" s="116">
        <f t="shared" si="32"/>
        <v>0</v>
      </c>
      <c r="Z125" s="116">
        <f t="shared" si="32"/>
        <v>0</v>
      </c>
      <c r="AA125" s="116">
        <f t="shared" si="32"/>
        <v>0</v>
      </c>
      <c r="AB125" s="116">
        <f t="shared" si="32"/>
        <v>0</v>
      </c>
      <c r="AC125" s="116">
        <f t="shared" si="32"/>
        <v>0</v>
      </c>
      <c r="AD125" s="116">
        <f t="shared" si="32"/>
        <v>0</v>
      </c>
      <c r="AE125" s="116">
        <f t="shared" si="32"/>
        <v>0</v>
      </c>
    </row>
    <row r="126" spans="1:35" customFormat="1" ht="14.25" x14ac:dyDescent="0.45">
      <c r="B126" s="14" t="s">
        <v>49</v>
      </c>
      <c r="C126" s="14" t="s">
        <v>117</v>
      </c>
      <c r="D126" s="15" t="s">
        <v>2161</v>
      </c>
      <c r="E126" s="16" t="s">
        <v>51</v>
      </c>
      <c r="F126" s="14" t="s">
        <v>2162</v>
      </c>
      <c r="G126" s="17"/>
      <c r="H126" s="114" t="str">
        <f>Settings!$B$3&amp;".mit.atpn.mch.coa.e.1"</f>
        <v>egy.mit.atpn.mch.coa.e.1</v>
      </c>
      <c r="I126" t="s">
        <v>2201</v>
      </c>
      <c r="K126" s="18"/>
      <c r="L126" s="19">
        <f>Mitigation_Industry!L$197-(Mitigation_Industry!L$197-Mitigation_Industry!L$187)*L$125</f>
        <v>10.5233613454312</v>
      </c>
      <c r="M126" s="19">
        <f>Mitigation_Industry!M$197-(Mitigation_Industry!M$197-Mitigation_Industry!M$187)*M$125</f>
        <v>10.2995608274442</v>
      </c>
      <c r="N126" s="19">
        <f>Mitigation_Industry!N$197-(Mitigation_Industry!N$197-Mitigation_Industry!N$187)*N$125</f>
        <v>9.5775283595382597</v>
      </c>
      <c r="O126" s="19">
        <f>Mitigation_Industry!O$197-(Mitigation_Industry!O$197-Mitigation_Industry!O$187)*O$125</f>
        <v>8.4854782869580507</v>
      </c>
      <c r="P126" s="19">
        <f>Mitigation_Industry!P$197-(Mitigation_Industry!P$197-Mitigation_Industry!P$187)*P$125</f>
        <v>9.0871922352498604</v>
      </c>
      <c r="Q126" s="19">
        <f>Mitigation_Industry!Q$197-(Mitigation_Industry!Q$197-Mitigation_Industry!Q$187)*Q$125</f>
        <v>9.2229237289326793</v>
      </c>
      <c r="R126" s="19">
        <f>Mitigation_Industry!R$197-(Mitigation_Industry!R$197-Mitigation_Industry!R$187)*R$125</f>
        <v>9.1585649555096893</v>
      </c>
      <c r="S126" s="19">
        <f>Mitigation_Industry!S$197-(Mitigation_Industry!S$197-Mitigation_Industry!S$187)*S$125</f>
        <v>9.0895478773973792</v>
      </c>
      <c r="T126" s="19">
        <f>Mitigation_Industry!T$197-(Mitigation_Industry!T$197-Mitigation_Industry!T$187)*T$125</f>
        <v>9.0156816660228305</v>
      </c>
      <c r="U126" s="19">
        <f>Mitigation_Industry!U$197-(Mitigation_Industry!U$197-Mitigation_Industry!U$187)*U$125</f>
        <v>8.9443977655571096</v>
      </c>
      <c r="V126" s="19">
        <f>Mitigation_Industry!V$197-(Mitigation_Industry!V$197-Mitigation_Industry!V$187)*V$125</f>
        <v>8.9443977655571096</v>
      </c>
      <c r="W126" s="19">
        <f>Mitigation_Industry!W$197-(Mitigation_Industry!W$197-Mitigation_Industry!W$187)*W$125</f>
        <v>8.9443977655571096</v>
      </c>
      <c r="X126" s="19">
        <f>Mitigation_Industry!X$197-(Mitigation_Industry!X$197-Mitigation_Industry!X$187)*X$125</f>
        <v>8.9443977655571096</v>
      </c>
      <c r="Y126" s="19">
        <f>Mitigation_Industry!Y$197-(Mitigation_Industry!Y$197-Mitigation_Industry!Y$187)*Y$125</f>
        <v>8.9443977655571096</v>
      </c>
      <c r="Z126" s="19">
        <f>Mitigation_Industry!Z$197-(Mitigation_Industry!Z$197-Mitigation_Industry!Z$187)*Z$125</f>
        <v>8.9443977655571096</v>
      </c>
      <c r="AA126" s="19">
        <f>Mitigation_Industry!AA$197-(Mitigation_Industry!AA$197-Mitigation_Industry!AA$187)*AA$125</f>
        <v>8.9443977655571096</v>
      </c>
      <c r="AB126" s="19">
        <f>Mitigation_Industry!AB$197-(Mitigation_Industry!AB$197-Mitigation_Industry!AB$187)*AB$125</f>
        <v>8.9443977655571096</v>
      </c>
      <c r="AC126" s="19">
        <f>Mitigation_Industry!AC$197-(Mitigation_Industry!AC$197-Mitigation_Industry!AC$187)*AC$125</f>
        <v>8.9443977655571096</v>
      </c>
      <c r="AD126" s="19">
        <f>Mitigation_Industry!AD$197-(Mitigation_Industry!AD$197-Mitigation_Industry!AD$187)*AD$125</f>
        <v>8.9443977655571096</v>
      </c>
      <c r="AE126" s="19">
        <f>Mitigation_Industry!AE$197-(Mitigation_Industry!AE$197-Mitigation_Industry!AE$187)*AE$125</f>
        <v>8.9443977655571096</v>
      </c>
    </row>
    <row r="127" spans="1:35" customFormat="1" ht="14.25" x14ac:dyDescent="0.45">
      <c r="B127" s="14" t="s">
        <v>53</v>
      </c>
      <c r="C127" s="14" t="s">
        <v>117</v>
      </c>
      <c r="D127" s="15" t="s">
        <v>2164</v>
      </c>
      <c r="E127" s="16" t="s">
        <v>51</v>
      </c>
      <c r="F127" s="14" t="s">
        <v>2162</v>
      </c>
      <c r="G127" s="17"/>
      <c r="H127" s="114" t="str">
        <f>Settings!$B$3&amp;".mit.atpn.mch.nga.e.1"</f>
        <v>egy.mit.atpn.mch.nga.e.1</v>
      </c>
      <c r="I127" t="s">
        <v>2202</v>
      </c>
      <c r="K127" s="18"/>
      <c r="L127" s="19">
        <f>Mitigation_Industry!L$198-(Mitigation_Industry!L$198-Mitigation_Industry!L$188)*L$125</f>
        <v>5.4510150816191896</v>
      </c>
      <c r="M127" s="19">
        <f>Mitigation_Industry!M$198-(Mitigation_Industry!M$198-Mitigation_Industry!M$188)*M$125</f>
        <v>5.1193563062624801</v>
      </c>
      <c r="N127" s="19">
        <f>Mitigation_Industry!N$198-(Mitigation_Industry!N$198-Mitigation_Industry!N$188)*N$125</f>
        <v>5.08218458640407</v>
      </c>
      <c r="O127" s="19">
        <f>Mitigation_Industry!O$198-(Mitigation_Industry!O$198-Mitigation_Industry!O$188)*O$125</f>
        <v>5.08218458640407</v>
      </c>
      <c r="P127" s="19">
        <f>Mitigation_Industry!P$198-(Mitigation_Industry!P$198-Mitigation_Industry!P$188)*P$125</f>
        <v>5.08218458640407</v>
      </c>
      <c r="Q127" s="19">
        <f>Mitigation_Industry!Q$198-(Mitigation_Industry!Q$198-Mitigation_Industry!Q$188)*Q$125</f>
        <v>5.08218458640407</v>
      </c>
      <c r="R127" s="19">
        <f>Mitigation_Industry!R$198-(Mitigation_Industry!R$198-Mitigation_Industry!R$188)*R$125</f>
        <v>5.08218458640407</v>
      </c>
      <c r="S127" s="19">
        <f>Mitigation_Industry!S$198-(Mitigation_Industry!S$198-Mitigation_Industry!S$188)*S$125</f>
        <v>5.08218458640407</v>
      </c>
      <c r="T127" s="19">
        <f>Mitigation_Industry!T$198-(Mitigation_Industry!T$198-Mitigation_Industry!T$188)*T$125</f>
        <v>5.08218458640407</v>
      </c>
      <c r="U127" s="19">
        <f>Mitigation_Industry!U$198-(Mitigation_Industry!U$198-Mitigation_Industry!U$188)*U$125</f>
        <v>5.08218458640407</v>
      </c>
      <c r="V127" s="19">
        <f>Mitigation_Industry!V$198-(Mitigation_Industry!V$198-Mitigation_Industry!V$188)*V$125</f>
        <v>5.08218458640407</v>
      </c>
      <c r="W127" s="19">
        <f>Mitigation_Industry!W$198-(Mitigation_Industry!W$198-Mitigation_Industry!W$188)*W$125</f>
        <v>5.08218458640407</v>
      </c>
      <c r="X127" s="19">
        <f>Mitigation_Industry!X$198-(Mitigation_Industry!X$198-Mitigation_Industry!X$188)*X$125</f>
        <v>5.08218458640407</v>
      </c>
      <c r="Y127" s="19">
        <f>Mitigation_Industry!Y$198-(Mitigation_Industry!Y$198-Mitigation_Industry!Y$188)*Y$125</f>
        <v>5.08218458640407</v>
      </c>
      <c r="Z127" s="19">
        <f>Mitigation_Industry!Z$198-(Mitigation_Industry!Z$198-Mitigation_Industry!Z$188)*Z$125</f>
        <v>5.08218458640407</v>
      </c>
      <c r="AA127" s="19">
        <f>Mitigation_Industry!AA$198-(Mitigation_Industry!AA$198-Mitigation_Industry!AA$188)*AA$125</f>
        <v>5.08218458640407</v>
      </c>
      <c r="AB127" s="19">
        <f>Mitigation_Industry!AB$198-(Mitigation_Industry!AB$198-Mitigation_Industry!AB$188)*AB$125</f>
        <v>5.08218458640407</v>
      </c>
      <c r="AC127" s="19">
        <f>Mitigation_Industry!AC$198-(Mitigation_Industry!AC$198-Mitigation_Industry!AC$188)*AC$125</f>
        <v>5.08218458640407</v>
      </c>
      <c r="AD127" s="19">
        <f>Mitigation_Industry!AD$198-(Mitigation_Industry!AD$198-Mitigation_Industry!AD$188)*AD$125</f>
        <v>5.08218458640407</v>
      </c>
      <c r="AE127" s="19">
        <f>Mitigation_Industry!AE$198-(Mitigation_Industry!AE$198-Mitigation_Industry!AE$188)*AE$125</f>
        <v>5.08218458640407</v>
      </c>
    </row>
    <row r="128" spans="1:35" customFormat="1" ht="14.25" x14ac:dyDescent="0.45">
      <c r="B128" s="14" t="s">
        <v>55</v>
      </c>
      <c r="C128" s="14" t="s">
        <v>117</v>
      </c>
      <c r="D128" s="15" t="s">
        <v>2166</v>
      </c>
      <c r="E128" s="16" t="s">
        <v>57</v>
      </c>
      <c r="F128" s="14" t="s">
        <v>2162</v>
      </c>
      <c r="G128" s="17"/>
      <c r="H128" s="114" t="str">
        <f>Settings!$B$3&amp;".mit.atpn.mch.gso.e.1"</f>
        <v>egy.mit.atpn.mch.gso.e.1</v>
      </c>
      <c r="I128" t="s">
        <v>2203</v>
      </c>
      <c r="K128" s="18"/>
      <c r="L128" s="19">
        <f>Mitigation_Industry!L$199-(Mitigation_Industry!L$199-Mitigation_Industry!L$189)*L$125</f>
        <v>0.61197797679140598</v>
      </c>
      <c r="M128" s="19">
        <f>Mitigation_Industry!M$199-(Mitigation_Industry!M$199-Mitigation_Industry!M$189)*M$125</f>
        <v>0.61180974964187596</v>
      </c>
      <c r="N128" s="19">
        <f>Mitigation_Industry!N$199-(Mitigation_Industry!N$199-Mitigation_Industry!N$189)*N$125</f>
        <v>0.60358310017790595</v>
      </c>
      <c r="O128" s="19">
        <f>Mitigation_Industry!O$199-(Mitigation_Industry!O$199-Mitigation_Industry!O$189)*O$125</f>
        <v>0.60358310017790595</v>
      </c>
      <c r="P128" s="19">
        <f>Mitigation_Industry!P$199-(Mitigation_Industry!P$199-Mitigation_Industry!P$189)*P$125</f>
        <v>0.60358310017790595</v>
      </c>
      <c r="Q128" s="19">
        <f>Mitigation_Industry!Q$199-(Mitigation_Industry!Q$199-Mitigation_Industry!Q$189)*Q$125</f>
        <v>0.60358310017790595</v>
      </c>
      <c r="R128" s="19">
        <f>Mitigation_Industry!R$199-(Mitigation_Industry!R$199-Mitigation_Industry!R$189)*R$125</f>
        <v>0.60358310017790595</v>
      </c>
      <c r="S128" s="19">
        <f>Mitigation_Industry!S$199-(Mitigation_Industry!S$199-Mitigation_Industry!S$189)*S$125</f>
        <v>0.60358310017790595</v>
      </c>
      <c r="T128" s="19">
        <f>Mitigation_Industry!T$199-(Mitigation_Industry!T$199-Mitigation_Industry!T$189)*T$125</f>
        <v>0.60358310017790595</v>
      </c>
      <c r="U128" s="19">
        <f>Mitigation_Industry!U$199-(Mitigation_Industry!U$199-Mitigation_Industry!U$189)*U$125</f>
        <v>0.60358310017790595</v>
      </c>
      <c r="V128" s="19">
        <f>Mitigation_Industry!V$199-(Mitigation_Industry!V$199-Mitigation_Industry!V$189)*V$125</f>
        <v>0.60358310017790595</v>
      </c>
      <c r="W128" s="19">
        <f>Mitigation_Industry!W$199-(Mitigation_Industry!W$199-Mitigation_Industry!W$189)*W$125</f>
        <v>0.60358310017790595</v>
      </c>
      <c r="X128" s="19">
        <f>Mitigation_Industry!X$199-(Mitigation_Industry!X$199-Mitigation_Industry!X$189)*X$125</f>
        <v>0.60358310017790595</v>
      </c>
      <c r="Y128" s="19">
        <f>Mitigation_Industry!Y$199-(Mitigation_Industry!Y$199-Mitigation_Industry!Y$189)*Y$125</f>
        <v>0.60358310017790595</v>
      </c>
      <c r="Z128" s="19">
        <f>Mitigation_Industry!Z$199-(Mitigation_Industry!Z$199-Mitigation_Industry!Z$189)*Z$125</f>
        <v>0.60358310017790595</v>
      </c>
      <c r="AA128" s="19">
        <f>Mitigation_Industry!AA$199-(Mitigation_Industry!AA$199-Mitigation_Industry!AA$189)*AA$125</f>
        <v>0.60358310017790595</v>
      </c>
      <c r="AB128" s="19">
        <f>Mitigation_Industry!AB$199-(Mitigation_Industry!AB$199-Mitigation_Industry!AB$189)*AB$125</f>
        <v>0.60358310017790595</v>
      </c>
      <c r="AC128" s="19">
        <f>Mitigation_Industry!AC$199-(Mitigation_Industry!AC$199-Mitigation_Industry!AC$189)*AC$125</f>
        <v>0.60358310017790595</v>
      </c>
      <c r="AD128" s="19">
        <f>Mitigation_Industry!AD$199-(Mitigation_Industry!AD$199-Mitigation_Industry!AD$189)*AD$125</f>
        <v>0.60358310017790595</v>
      </c>
      <c r="AE128" s="19">
        <f>Mitigation_Industry!AE$199-(Mitigation_Industry!AE$199-Mitigation_Industry!AE$189)*AE$125</f>
        <v>0.60358310017790595</v>
      </c>
    </row>
    <row r="129" spans="1:35" customFormat="1" ht="14.25" x14ac:dyDescent="0.45">
      <c r="B129" s="14" t="s">
        <v>58</v>
      </c>
      <c r="C129" s="14" t="s">
        <v>117</v>
      </c>
      <c r="D129" s="15" t="s">
        <v>2168</v>
      </c>
      <c r="E129" s="16" t="s">
        <v>57</v>
      </c>
      <c r="F129" s="14" t="s">
        <v>2162</v>
      </c>
      <c r="G129" s="17"/>
      <c r="H129" s="114" t="str">
        <f>Settings!$B$3&amp;".mit.atpn.mch.die.e.1"</f>
        <v>egy.mit.atpn.mch.die.e.1</v>
      </c>
      <c r="I129" t="s">
        <v>2204</v>
      </c>
      <c r="K129" s="18"/>
      <c r="L129" s="19">
        <f>Mitigation_Industry!L$200-(Mitigation_Industry!L$200-Mitigation_Industry!L$190)*L$125</f>
        <v>0.49458873084106802</v>
      </c>
      <c r="M129" s="19">
        <f>Mitigation_Industry!M$200-(Mitigation_Industry!M$200-Mitigation_Industry!M$190)*M$125</f>
        <v>0.50778654720250105</v>
      </c>
      <c r="N129" s="19">
        <f>Mitigation_Industry!N$200-(Mitigation_Industry!N$200-Mitigation_Industry!N$190)*N$125</f>
        <v>0.47043642679561698</v>
      </c>
      <c r="O129" s="19">
        <f>Mitigation_Industry!O$200-(Mitigation_Industry!O$200-Mitigation_Industry!O$190)*O$125</f>
        <v>0.47043642679561698</v>
      </c>
      <c r="P129" s="19">
        <f>Mitigation_Industry!P$200-(Mitigation_Industry!P$200-Mitigation_Industry!P$190)*P$125</f>
        <v>0.47043642679561698</v>
      </c>
      <c r="Q129" s="19">
        <f>Mitigation_Industry!Q$200-(Mitigation_Industry!Q$200-Mitigation_Industry!Q$190)*Q$125</f>
        <v>0.47043642679561698</v>
      </c>
      <c r="R129" s="19">
        <f>Mitigation_Industry!R$200-(Mitigation_Industry!R$200-Mitigation_Industry!R$190)*R$125</f>
        <v>0.47043642679561698</v>
      </c>
      <c r="S129" s="19">
        <f>Mitigation_Industry!S$200-(Mitigation_Industry!S$200-Mitigation_Industry!S$190)*S$125</f>
        <v>0.47043642679561698</v>
      </c>
      <c r="T129" s="19">
        <f>Mitigation_Industry!T$200-(Mitigation_Industry!T$200-Mitigation_Industry!T$190)*T$125</f>
        <v>0.47043642679561698</v>
      </c>
      <c r="U129" s="19">
        <f>Mitigation_Industry!U$200-(Mitigation_Industry!U$200-Mitigation_Industry!U$190)*U$125</f>
        <v>0.47043642679561698</v>
      </c>
      <c r="V129" s="19">
        <f>Mitigation_Industry!V$200-(Mitigation_Industry!V$200-Mitigation_Industry!V$190)*V$125</f>
        <v>0.47043642679561698</v>
      </c>
      <c r="W129" s="19">
        <f>Mitigation_Industry!W$200-(Mitigation_Industry!W$200-Mitigation_Industry!W$190)*W$125</f>
        <v>0.47043642679561698</v>
      </c>
      <c r="X129" s="19">
        <f>Mitigation_Industry!X$200-(Mitigation_Industry!X$200-Mitigation_Industry!X$190)*X$125</f>
        <v>0.47043642679561698</v>
      </c>
      <c r="Y129" s="19">
        <f>Mitigation_Industry!Y$200-(Mitigation_Industry!Y$200-Mitigation_Industry!Y$190)*Y$125</f>
        <v>0.47043642679561698</v>
      </c>
      <c r="Z129" s="19">
        <f>Mitigation_Industry!Z$200-(Mitigation_Industry!Z$200-Mitigation_Industry!Z$190)*Z$125</f>
        <v>0.47043642679561698</v>
      </c>
      <c r="AA129" s="19">
        <f>Mitigation_Industry!AA$200-(Mitigation_Industry!AA$200-Mitigation_Industry!AA$190)*AA$125</f>
        <v>0.47043642679561698</v>
      </c>
      <c r="AB129" s="19">
        <f>Mitigation_Industry!AB$200-(Mitigation_Industry!AB$200-Mitigation_Industry!AB$190)*AB$125</f>
        <v>0.47043642679561698</v>
      </c>
      <c r="AC129" s="19">
        <f>Mitigation_Industry!AC$200-(Mitigation_Industry!AC$200-Mitigation_Industry!AC$190)*AC$125</f>
        <v>0.47043642679561698</v>
      </c>
      <c r="AD129" s="19">
        <f>Mitigation_Industry!AD$200-(Mitigation_Industry!AD$200-Mitigation_Industry!AD$190)*AD$125</f>
        <v>0.47043642679561698</v>
      </c>
      <c r="AE129" s="19">
        <f>Mitigation_Industry!AE$200-(Mitigation_Industry!AE$200-Mitigation_Industry!AE$190)*AE$125</f>
        <v>0.47043642679561698</v>
      </c>
    </row>
    <row r="130" spans="1:35" customFormat="1" ht="14.25" x14ac:dyDescent="0.45">
      <c r="B130" s="14" t="s">
        <v>60</v>
      </c>
      <c r="C130" s="14" t="s">
        <v>117</v>
      </c>
      <c r="D130" s="15" t="s">
        <v>2170</v>
      </c>
      <c r="E130" s="16" t="s">
        <v>57</v>
      </c>
      <c r="F130" s="14" t="s">
        <v>2162</v>
      </c>
      <c r="G130" s="17"/>
      <c r="H130" s="114" t="str">
        <f>Settings!$B$3&amp;".mit.atpn.mch.lpg.e.1"</f>
        <v>egy.mit.atpn.mch.lpg.e.1</v>
      </c>
      <c r="I130" t="s">
        <v>2205</v>
      </c>
      <c r="K130" s="18"/>
      <c r="L130" s="19">
        <f>Mitigation_Industry!L$201-(Mitigation_Industry!L$201-Mitigation_Industry!L$191)*L$125</f>
        <v>0.15734473625227399</v>
      </c>
      <c r="M130" s="19">
        <f>Mitigation_Industry!M$201-(Mitigation_Industry!M$201-Mitigation_Industry!M$191)*M$125</f>
        <v>0.164484037759277</v>
      </c>
      <c r="N130" s="19">
        <f>Mitigation_Industry!N$201-(Mitigation_Industry!N$201-Mitigation_Industry!N$191)*N$125</f>
        <v>0.15070907780704901</v>
      </c>
      <c r="O130" s="19">
        <f>Mitigation_Industry!O$201-(Mitigation_Industry!O$201-Mitigation_Industry!O$191)*O$125</f>
        <v>0.15070907780704901</v>
      </c>
      <c r="P130" s="19">
        <f>Mitigation_Industry!P$201-(Mitigation_Industry!P$201-Mitigation_Industry!P$191)*P$125</f>
        <v>0.15070907780704901</v>
      </c>
      <c r="Q130" s="19">
        <f>Mitigation_Industry!Q$201-(Mitigation_Industry!Q$201-Mitigation_Industry!Q$191)*Q$125</f>
        <v>0.15070907780704901</v>
      </c>
      <c r="R130" s="19">
        <f>Mitigation_Industry!R$201-(Mitigation_Industry!R$201-Mitigation_Industry!R$191)*R$125</f>
        <v>0.15070907780704901</v>
      </c>
      <c r="S130" s="19">
        <f>Mitigation_Industry!S$201-(Mitigation_Industry!S$201-Mitigation_Industry!S$191)*S$125</f>
        <v>0.15070907780704901</v>
      </c>
      <c r="T130" s="19">
        <f>Mitigation_Industry!T$201-(Mitigation_Industry!T$201-Mitigation_Industry!T$191)*T$125</f>
        <v>0.15070907780704901</v>
      </c>
      <c r="U130" s="19">
        <f>Mitigation_Industry!U$201-(Mitigation_Industry!U$201-Mitigation_Industry!U$191)*U$125</f>
        <v>0.15070907780704901</v>
      </c>
      <c r="V130" s="19">
        <f>Mitigation_Industry!V$201-(Mitigation_Industry!V$201-Mitigation_Industry!V$191)*V$125</f>
        <v>0.15070907780704901</v>
      </c>
      <c r="W130" s="19">
        <f>Mitigation_Industry!W$201-(Mitigation_Industry!W$201-Mitigation_Industry!W$191)*W$125</f>
        <v>0.15070907780704901</v>
      </c>
      <c r="X130" s="19">
        <f>Mitigation_Industry!X$201-(Mitigation_Industry!X$201-Mitigation_Industry!X$191)*X$125</f>
        <v>0.15070907780704901</v>
      </c>
      <c r="Y130" s="19">
        <f>Mitigation_Industry!Y$201-(Mitigation_Industry!Y$201-Mitigation_Industry!Y$191)*Y$125</f>
        <v>0.15070907780704901</v>
      </c>
      <c r="Z130" s="19">
        <f>Mitigation_Industry!Z$201-(Mitigation_Industry!Z$201-Mitigation_Industry!Z$191)*Z$125</f>
        <v>0.15070907780704901</v>
      </c>
      <c r="AA130" s="19">
        <f>Mitigation_Industry!AA$201-(Mitigation_Industry!AA$201-Mitigation_Industry!AA$191)*AA$125</f>
        <v>0.15070907780704901</v>
      </c>
      <c r="AB130" s="19">
        <f>Mitigation_Industry!AB$201-(Mitigation_Industry!AB$201-Mitigation_Industry!AB$191)*AB$125</f>
        <v>0.15070907780704901</v>
      </c>
      <c r="AC130" s="19">
        <f>Mitigation_Industry!AC$201-(Mitigation_Industry!AC$201-Mitigation_Industry!AC$191)*AC$125</f>
        <v>0.15070907780704901</v>
      </c>
      <c r="AD130" s="19">
        <f>Mitigation_Industry!AD$201-(Mitigation_Industry!AD$201-Mitigation_Industry!AD$191)*AD$125</f>
        <v>0.15070907780704901</v>
      </c>
      <c r="AE130" s="19">
        <f>Mitigation_Industry!AE$201-(Mitigation_Industry!AE$201-Mitigation_Industry!AE$191)*AE$125</f>
        <v>0.15070907780704901</v>
      </c>
    </row>
    <row r="131" spans="1:35" customFormat="1" ht="14.25" x14ac:dyDescent="0.45">
      <c r="B131" s="14" t="s">
        <v>62</v>
      </c>
      <c r="C131" s="14" t="s">
        <v>117</v>
      </c>
      <c r="D131" s="15" t="s">
        <v>2172</v>
      </c>
      <c r="E131" s="16" t="s">
        <v>57</v>
      </c>
      <c r="F131" s="14" t="s">
        <v>2162</v>
      </c>
      <c r="G131" s="17"/>
      <c r="H131" s="114" t="str">
        <f>Settings!$B$3&amp;".mit.atpn.mch.ker.e.1"</f>
        <v>egy.mit.atpn.mch.ker.e.1</v>
      </c>
      <c r="I131" t="s">
        <v>2206</v>
      </c>
      <c r="K131" s="18"/>
      <c r="L131" s="19">
        <f>Mitigation_Industry!L$202-(Mitigation_Industry!L$202-Mitigation_Industry!L$192)*L$125</f>
        <v>0.45642817050012802</v>
      </c>
      <c r="M131" s="19">
        <f>Mitigation_Industry!M$202-(Mitigation_Industry!M$202-Mitigation_Industry!M$192)*M$125</f>
        <v>0.43168920195599497</v>
      </c>
      <c r="N131" s="19">
        <f>Mitigation_Industry!N$202-(Mitigation_Industry!N$202-Mitigation_Industry!N$192)*N$125</f>
        <v>0.42507558395597</v>
      </c>
      <c r="O131" s="19">
        <f>Mitigation_Industry!O$202-(Mitigation_Industry!O$202-Mitigation_Industry!O$192)*O$125</f>
        <v>0.42507558395597</v>
      </c>
      <c r="P131" s="19">
        <f>Mitigation_Industry!P$202-(Mitigation_Industry!P$202-Mitigation_Industry!P$192)*P$125</f>
        <v>0.42507558395597</v>
      </c>
      <c r="Q131" s="19">
        <f>Mitigation_Industry!Q$202-(Mitigation_Industry!Q$202-Mitigation_Industry!Q$192)*Q$125</f>
        <v>0.42507558395597</v>
      </c>
      <c r="R131" s="19">
        <f>Mitigation_Industry!R$202-(Mitigation_Industry!R$202-Mitigation_Industry!R$192)*R$125</f>
        <v>0.42507558395597</v>
      </c>
      <c r="S131" s="19">
        <f>Mitigation_Industry!S$202-(Mitigation_Industry!S$202-Mitigation_Industry!S$192)*S$125</f>
        <v>0.42507558395597</v>
      </c>
      <c r="T131" s="19">
        <f>Mitigation_Industry!T$202-(Mitigation_Industry!T$202-Mitigation_Industry!T$192)*T$125</f>
        <v>0.42507558395597</v>
      </c>
      <c r="U131" s="19">
        <f>Mitigation_Industry!U$202-(Mitigation_Industry!U$202-Mitigation_Industry!U$192)*U$125</f>
        <v>0.42507558395597</v>
      </c>
      <c r="V131" s="19">
        <f>Mitigation_Industry!V$202-(Mitigation_Industry!V$202-Mitigation_Industry!V$192)*V$125</f>
        <v>0.42507558395597</v>
      </c>
      <c r="W131" s="19">
        <f>Mitigation_Industry!W$202-(Mitigation_Industry!W$202-Mitigation_Industry!W$192)*W$125</f>
        <v>0.42507558395597</v>
      </c>
      <c r="X131" s="19">
        <f>Mitigation_Industry!X$202-(Mitigation_Industry!X$202-Mitigation_Industry!X$192)*X$125</f>
        <v>0.42507558395597</v>
      </c>
      <c r="Y131" s="19">
        <f>Mitigation_Industry!Y$202-(Mitigation_Industry!Y$202-Mitigation_Industry!Y$192)*Y$125</f>
        <v>0.42507558395597</v>
      </c>
      <c r="Z131" s="19">
        <f>Mitigation_Industry!Z$202-(Mitigation_Industry!Z$202-Mitigation_Industry!Z$192)*Z$125</f>
        <v>0.42507558395597</v>
      </c>
      <c r="AA131" s="19">
        <f>Mitigation_Industry!AA$202-(Mitigation_Industry!AA$202-Mitigation_Industry!AA$192)*AA$125</f>
        <v>0.42507558395597</v>
      </c>
      <c r="AB131" s="19">
        <f>Mitigation_Industry!AB$202-(Mitigation_Industry!AB$202-Mitigation_Industry!AB$192)*AB$125</f>
        <v>0.42507558395597</v>
      </c>
      <c r="AC131" s="19">
        <f>Mitigation_Industry!AC$202-(Mitigation_Industry!AC$202-Mitigation_Industry!AC$192)*AC$125</f>
        <v>0.42507558395597</v>
      </c>
      <c r="AD131" s="19">
        <f>Mitigation_Industry!AD$202-(Mitigation_Industry!AD$202-Mitigation_Industry!AD$192)*AD$125</f>
        <v>0.42507558395597</v>
      </c>
      <c r="AE131" s="19">
        <f>Mitigation_Industry!AE$202-(Mitigation_Industry!AE$202-Mitigation_Industry!AE$192)*AE$125</f>
        <v>0.42507558395597</v>
      </c>
    </row>
    <row r="132" spans="1:35" customFormat="1" ht="14.25" x14ac:dyDescent="0.45">
      <c r="B132" s="14" t="s">
        <v>64</v>
      </c>
      <c r="C132" s="14" t="s">
        <v>117</v>
      </c>
      <c r="D132" s="15" t="s">
        <v>2174</v>
      </c>
      <c r="E132" s="16" t="s">
        <v>66</v>
      </c>
      <c r="F132" s="14" t="s">
        <v>2162</v>
      </c>
      <c r="G132" s="17"/>
      <c r="H132" s="114" t="str">
        <f>Settings!$B$3&amp;".mit.atpn.mch.oop.e.1"</f>
        <v>egy.mit.atpn.mch.oop.e.1</v>
      </c>
      <c r="I132" t="s">
        <v>2207</v>
      </c>
      <c r="K132" s="18"/>
      <c r="L132" s="19">
        <f>Mitigation_Industry!L$203-(Mitigation_Industry!L$203-Mitigation_Industry!L$193)*L$125</f>
        <v>34.4153703043132</v>
      </c>
      <c r="M132" s="19">
        <f>Mitigation_Industry!M$203-(Mitigation_Industry!M$203-Mitigation_Industry!M$193)*M$125</f>
        <v>37.368960690431997</v>
      </c>
      <c r="N132" s="19">
        <f>Mitigation_Industry!N$203-(Mitigation_Industry!N$203-Mitigation_Industry!N$193)*N$125</f>
        <v>28.982761101477301</v>
      </c>
      <c r="O132" s="19">
        <f>Mitigation_Industry!O$203-(Mitigation_Industry!O$203-Mitigation_Industry!O$193)*O$125</f>
        <v>15</v>
      </c>
      <c r="P132" s="19">
        <f>Mitigation_Industry!P$203-(Mitigation_Industry!P$203-Mitigation_Industry!P$193)*P$125</f>
        <v>24.2586300842555</v>
      </c>
      <c r="Q132" s="19">
        <f>Mitigation_Industry!Q$203-(Mitigation_Industry!Q$203-Mitigation_Industry!Q$193)*Q$125</f>
        <v>15</v>
      </c>
      <c r="R132" s="19">
        <f>Mitigation_Industry!R$203-(Mitigation_Industry!R$203-Mitigation_Industry!R$193)*R$125</f>
        <v>15</v>
      </c>
      <c r="S132" s="19">
        <f>Mitigation_Industry!S$203-(Mitigation_Industry!S$203-Mitigation_Industry!S$193)*S$125</f>
        <v>15</v>
      </c>
      <c r="T132" s="19">
        <f>Mitigation_Industry!T$203-(Mitigation_Industry!T$203-Mitigation_Industry!T$193)*T$125</f>
        <v>15</v>
      </c>
      <c r="U132" s="19">
        <f>Mitigation_Industry!U$203-(Mitigation_Industry!U$203-Mitigation_Industry!U$193)*U$125</f>
        <v>15</v>
      </c>
      <c r="V132" s="19">
        <f>Mitigation_Industry!V$203-(Mitigation_Industry!V$203-Mitigation_Industry!V$193)*V$125</f>
        <v>15</v>
      </c>
      <c r="W132" s="19">
        <f>Mitigation_Industry!W$203-(Mitigation_Industry!W$203-Mitigation_Industry!W$193)*W$125</f>
        <v>15</v>
      </c>
      <c r="X132" s="19">
        <f>Mitigation_Industry!X$203-(Mitigation_Industry!X$203-Mitigation_Industry!X$193)*X$125</f>
        <v>15</v>
      </c>
      <c r="Y132" s="19">
        <f>Mitigation_Industry!Y$203-(Mitigation_Industry!Y$203-Mitigation_Industry!Y$193)*Y$125</f>
        <v>15</v>
      </c>
      <c r="Z132" s="19">
        <f>Mitigation_Industry!Z$203-(Mitigation_Industry!Z$203-Mitigation_Industry!Z$193)*Z$125</f>
        <v>15</v>
      </c>
      <c r="AA132" s="19">
        <f>Mitigation_Industry!AA$203-(Mitigation_Industry!AA$203-Mitigation_Industry!AA$193)*AA$125</f>
        <v>15</v>
      </c>
      <c r="AB132" s="19">
        <f>Mitigation_Industry!AB$203-(Mitigation_Industry!AB$203-Mitigation_Industry!AB$193)*AB$125</f>
        <v>15</v>
      </c>
      <c r="AC132" s="19">
        <f>Mitigation_Industry!AC$203-(Mitigation_Industry!AC$203-Mitigation_Industry!AC$193)*AC$125</f>
        <v>15</v>
      </c>
      <c r="AD132" s="19">
        <f>Mitigation_Industry!AD$203-(Mitigation_Industry!AD$203-Mitigation_Industry!AD$193)*AD$125</f>
        <v>15</v>
      </c>
      <c r="AE132" s="19">
        <f>Mitigation_Industry!AE$203-(Mitigation_Industry!AE$203-Mitigation_Industry!AE$193)*AE$125</f>
        <v>15</v>
      </c>
    </row>
    <row r="133" spans="1:35" customFormat="1" ht="14.25" x14ac:dyDescent="0.45">
      <c r="B133" s="14" t="s">
        <v>67</v>
      </c>
      <c r="C133" s="14" t="s">
        <v>117</v>
      </c>
      <c r="D133" s="15" t="s">
        <v>2176</v>
      </c>
      <c r="E133" s="16" t="s">
        <v>51</v>
      </c>
      <c r="F133" s="14" t="s">
        <v>2162</v>
      </c>
      <c r="G133" s="17"/>
      <c r="H133" s="114" t="str">
        <f>Settings!$B$3&amp;".mit.atpn.mch.bio.e.1"</f>
        <v>egy.mit.atpn.mch.bio.e.1</v>
      </c>
      <c r="I133" t="s">
        <v>2208</v>
      </c>
      <c r="K133" s="18"/>
      <c r="L133" s="19">
        <f>Mitigation_Industry!L$204-(Mitigation_Industry!L$204-Mitigation_Industry!L$194)*L$125</f>
        <v>14.199528390634899</v>
      </c>
      <c r="M133" s="19">
        <f>Mitigation_Industry!M$204-(Mitigation_Industry!M$204-Mitigation_Industry!M$194)*M$125</f>
        <v>13.8404416133152</v>
      </c>
      <c r="N133" s="19">
        <f>Mitigation_Industry!N$204-(Mitigation_Industry!N$204-Mitigation_Industry!N$194)*N$125</f>
        <v>13.5677269404465</v>
      </c>
      <c r="O133" s="19">
        <f>Mitigation_Industry!O$204-(Mitigation_Industry!O$204-Mitigation_Industry!O$194)*O$125</f>
        <v>13.5677269404465</v>
      </c>
      <c r="P133" s="19">
        <f>Mitigation_Industry!P$204-(Mitigation_Industry!P$204-Mitigation_Industry!P$194)*P$125</f>
        <v>13.5677269404465</v>
      </c>
      <c r="Q133" s="19">
        <f>Mitigation_Industry!Q$204-(Mitigation_Industry!Q$204-Mitigation_Industry!Q$194)*Q$125</f>
        <v>13.5677269404465</v>
      </c>
      <c r="R133" s="19">
        <f>Mitigation_Industry!R$204-(Mitigation_Industry!R$204-Mitigation_Industry!R$194)*R$125</f>
        <v>13.5677269404465</v>
      </c>
      <c r="S133" s="19">
        <f>Mitigation_Industry!S$204-(Mitigation_Industry!S$204-Mitigation_Industry!S$194)*S$125</f>
        <v>13.5677269404465</v>
      </c>
      <c r="T133" s="19">
        <f>Mitigation_Industry!T$204-(Mitigation_Industry!T$204-Mitigation_Industry!T$194)*T$125</f>
        <v>13.5677269404465</v>
      </c>
      <c r="U133" s="19">
        <f>Mitigation_Industry!U$204-(Mitigation_Industry!U$204-Mitigation_Industry!U$194)*U$125</f>
        <v>13.5677269404465</v>
      </c>
      <c r="V133" s="19">
        <f>Mitigation_Industry!V$204-(Mitigation_Industry!V$204-Mitigation_Industry!V$194)*V$125</f>
        <v>13.5677269404465</v>
      </c>
      <c r="W133" s="19">
        <f>Mitigation_Industry!W$204-(Mitigation_Industry!W$204-Mitigation_Industry!W$194)*W$125</f>
        <v>13.5677269404465</v>
      </c>
      <c r="X133" s="19">
        <f>Mitigation_Industry!X$204-(Mitigation_Industry!X$204-Mitigation_Industry!X$194)*X$125</f>
        <v>13.5677269404465</v>
      </c>
      <c r="Y133" s="19">
        <f>Mitigation_Industry!Y$204-(Mitigation_Industry!Y$204-Mitigation_Industry!Y$194)*Y$125</f>
        <v>13.5677269404465</v>
      </c>
      <c r="Z133" s="19">
        <f>Mitigation_Industry!Z$204-(Mitigation_Industry!Z$204-Mitigation_Industry!Z$194)*Z$125</f>
        <v>13.5677269404465</v>
      </c>
      <c r="AA133" s="19">
        <f>Mitigation_Industry!AA$204-(Mitigation_Industry!AA$204-Mitigation_Industry!AA$194)*AA$125</f>
        <v>13.5677269404465</v>
      </c>
      <c r="AB133" s="19">
        <f>Mitigation_Industry!AB$204-(Mitigation_Industry!AB$204-Mitigation_Industry!AB$194)*AB$125</f>
        <v>13.5677269404465</v>
      </c>
      <c r="AC133" s="19">
        <f>Mitigation_Industry!AC$204-(Mitigation_Industry!AC$204-Mitigation_Industry!AC$194)*AC$125</f>
        <v>13.5677269404465</v>
      </c>
      <c r="AD133" s="19">
        <f>Mitigation_Industry!AD$204-(Mitigation_Industry!AD$204-Mitigation_Industry!AD$194)*AD$125</f>
        <v>13.5677269404465</v>
      </c>
      <c r="AE133" s="19">
        <f>Mitigation_Industry!AE$204-(Mitigation_Industry!AE$204-Mitigation_Industry!AE$194)*AE$125</f>
        <v>13.5677269404465</v>
      </c>
    </row>
    <row r="134" spans="1:35" customFormat="1" ht="14.25" x14ac:dyDescent="0.45">
      <c r="B134" s="14" t="s">
        <v>69</v>
      </c>
      <c r="C134" s="14" t="s">
        <v>117</v>
      </c>
      <c r="D134" s="15" t="s">
        <v>2178</v>
      </c>
      <c r="E134" s="16" t="s">
        <v>71</v>
      </c>
      <c r="F134" s="14" t="s">
        <v>2162</v>
      </c>
      <c r="G134" s="17"/>
      <c r="H134" s="114" t="str">
        <f>Settings!$B$3&amp;".mit.atpn.mch.ren.e.1"</f>
        <v>egy.mit.atpn.mch.ren.e.1</v>
      </c>
      <c r="I134" t="s">
        <v>2209</v>
      </c>
      <c r="K134" s="18"/>
      <c r="L134" s="19">
        <f>Mitigation_Industry!L$205-(Mitigation_Industry!L$205-Mitigation_Industry!L$195)*L$125</f>
        <v>0.14404498679319799</v>
      </c>
      <c r="M134" s="19">
        <f>Mitigation_Industry!M$205-(Mitigation_Industry!M$205-Mitigation_Industry!M$195)*M$125</f>
        <v>0.14102040965700399</v>
      </c>
      <c r="N134" s="19">
        <f>Mitigation_Industry!N$205-(Mitigation_Industry!N$205-Mitigation_Industry!N$195)*N$125</f>
        <v>0.13511635959447599</v>
      </c>
      <c r="O134" s="19">
        <f>Mitigation_Industry!O$205-(Mitigation_Industry!O$205-Mitigation_Industry!O$195)*O$125</f>
        <v>0.13098825698585601</v>
      </c>
      <c r="P134" s="19">
        <f>Mitigation_Industry!P$205-(Mitigation_Industry!P$205-Mitigation_Industry!P$195)*P$125</f>
        <v>0.12790841608631801</v>
      </c>
      <c r="Q134" s="19">
        <f>Mitigation_Industry!Q$205-(Mitigation_Industry!Q$205-Mitigation_Industry!Q$195)*Q$125</f>
        <v>0.124814310557813</v>
      </c>
      <c r="R134" s="19">
        <f>Mitigation_Industry!R$205-(Mitigation_Industry!R$205-Mitigation_Industry!R$195)*R$125</f>
        <v>0.121460257122878</v>
      </c>
      <c r="S134" s="19">
        <f>Mitigation_Industry!S$205-(Mitigation_Industry!S$205-Mitigation_Industry!S$195)*S$125</f>
        <v>0.117950744135786</v>
      </c>
      <c r="T134" s="19">
        <f>Mitigation_Industry!T$205-(Mitigation_Industry!T$205-Mitigation_Industry!T$195)*T$125</f>
        <v>0.114199161044597</v>
      </c>
      <c r="U134" s="19">
        <f>Mitigation_Industry!U$205-(Mitigation_Industry!U$205-Mitigation_Industry!U$195)*U$125</f>
        <v>0.113665100059665</v>
      </c>
      <c r="V134" s="19">
        <f>Mitigation_Industry!V$205-(Mitigation_Industry!V$205-Mitigation_Industry!V$195)*V$125</f>
        <v>0.113016929625957</v>
      </c>
      <c r="W134" s="19">
        <f>Mitigation_Industry!W$205-(Mitigation_Industry!W$205-Mitigation_Industry!W$195)*W$125</f>
        <v>0.112314070507636</v>
      </c>
      <c r="X134" s="19">
        <f>Mitigation_Industry!X$205-(Mitigation_Industry!X$205-Mitigation_Industry!X$195)*X$125</f>
        <v>0.11142204273284299</v>
      </c>
      <c r="Y134" s="19">
        <f>Mitigation_Industry!Y$205-(Mitigation_Industry!Y$205-Mitigation_Industry!Y$195)*Y$125</f>
        <v>0.110434123675809</v>
      </c>
      <c r="Z134" s="19">
        <f>Mitigation_Industry!Z$205-(Mitigation_Industry!Z$205-Mitigation_Industry!Z$195)*Z$125</f>
        <v>0.109483973304471</v>
      </c>
      <c r="AA134" s="19">
        <f>Mitigation_Industry!AA$205-(Mitigation_Industry!AA$205-Mitigation_Industry!AA$195)*AA$125</f>
        <v>0.10839192105294</v>
      </c>
      <c r="AB134" s="19">
        <f>Mitigation_Industry!AB$205-(Mitigation_Industry!AB$205-Mitigation_Industry!AB$195)*AB$125</f>
        <v>0.10735443362670399</v>
      </c>
      <c r="AC134" s="19">
        <f>Mitigation_Industry!AC$205-(Mitigation_Industry!AC$205-Mitigation_Industry!AC$195)*AC$125</f>
        <v>0.105168675441661</v>
      </c>
      <c r="AD134" s="19">
        <f>Mitigation_Industry!AD$205-(Mitigation_Industry!AD$205-Mitigation_Industry!AD$195)*AD$125</f>
        <v>0.103057983256008</v>
      </c>
      <c r="AE134" s="19">
        <f>Mitigation_Industry!AE$205-(Mitigation_Industry!AE$205-Mitigation_Industry!AE$195)*AE$125</f>
        <v>0.100931838990114</v>
      </c>
    </row>
    <row r="136" spans="1:35" customFormat="1" ht="14.25" x14ac:dyDescent="0.45">
      <c r="A136" s="11"/>
      <c r="B136" s="6"/>
      <c r="C136" s="7" t="s">
        <v>2210</v>
      </c>
      <c r="D136" s="6" t="s">
        <v>1505</v>
      </c>
      <c r="E136" s="7" t="s">
        <v>35</v>
      </c>
      <c r="F136" s="7" t="s">
        <v>45</v>
      </c>
      <c r="G136" s="7" t="s">
        <v>37</v>
      </c>
      <c r="H136" s="12" t="s">
        <v>38</v>
      </c>
      <c r="I136" s="6" t="s">
        <v>39</v>
      </c>
      <c r="J136" s="48">
        <v>1</v>
      </c>
      <c r="K136" s="6">
        <v>2021</v>
      </c>
      <c r="L136" s="46">
        <v>2022</v>
      </c>
      <c r="M136" s="6">
        <v>2023</v>
      </c>
      <c r="N136" s="6">
        <v>2024</v>
      </c>
      <c r="O136" s="6">
        <v>2025</v>
      </c>
      <c r="P136" s="6">
        <v>2026</v>
      </c>
      <c r="Q136" s="6">
        <v>2027</v>
      </c>
      <c r="R136" s="6">
        <v>2028</v>
      </c>
      <c r="S136" s="6">
        <v>2029</v>
      </c>
      <c r="T136" s="6">
        <v>2030</v>
      </c>
      <c r="U136" s="6">
        <v>2031</v>
      </c>
      <c r="V136" s="6">
        <v>2032</v>
      </c>
      <c r="W136" s="6">
        <v>2033</v>
      </c>
      <c r="X136" s="6">
        <v>2034</v>
      </c>
      <c r="Y136" s="6">
        <v>2035</v>
      </c>
      <c r="Z136" s="6">
        <v>2036</v>
      </c>
      <c r="AA136" s="6">
        <v>2037</v>
      </c>
      <c r="AB136" s="6">
        <v>2038</v>
      </c>
      <c r="AC136" s="6">
        <v>2039</v>
      </c>
      <c r="AD136" s="6">
        <v>2040</v>
      </c>
      <c r="AE136" s="6">
        <v>2041</v>
      </c>
      <c r="AF136" s="6">
        <v>2042</v>
      </c>
      <c r="AG136" s="6">
        <v>2043</v>
      </c>
      <c r="AH136" s="6">
        <v>2044</v>
      </c>
      <c r="AI136" s="6">
        <v>2045</v>
      </c>
    </row>
    <row r="137" spans="1:35" customFormat="1" ht="14.25" x14ac:dyDescent="0.45">
      <c r="B137" s="14" t="s">
        <v>110</v>
      </c>
      <c r="C137" s="14"/>
      <c r="D137" s="25" t="s">
        <v>2211</v>
      </c>
      <c r="E137" s="16" t="s">
        <v>1871</v>
      </c>
      <c r="F137" s="14" t="s">
        <v>2212</v>
      </c>
      <c r="H137" s="17"/>
      <c r="I137" t="s">
        <v>2213</v>
      </c>
      <c r="L137" s="116">
        <f>Mitigation_Industry!L$400</f>
        <v>0</v>
      </c>
      <c r="M137" s="116">
        <f>Mitigation_Industry!M$400</f>
        <v>0</v>
      </c>
      <c r="N137" s="116">
        <f>Mitigation_Industry!N$400</f>
        <v>0</v>
      </c>
      <c r="O137" s="116">
        <f>Mitigation_Industry!O$400</f>
        <v>0</v>
      </c>
      <c r="P137" s="116">
        <f>Mitigation_Industry!P$400</f>
        <v>0</v>
      </c>
      <c r="Q137" s="116">
        <f>Mitigation_Industry!Q$400</f>
        <v>0</v>
      </c>
      <c r="R137" s="116">
        <f>Mitigation_Industry!R$400</f>
        <v>0</v>
      </c>
      <c r="S137" s="116">
        <f>Mitigation_Industry!S$400</f>
        <v>0</v>
      </c>
      <c r="T137" s="116">
        <f>Mitigation_Industry!T$400</f>
        <v>0</v>
      </c>
      <c r="U137" s="116">
        <f>Mitigation_Industry!U$400</f>
        <v>0</v>
      </c>
      <c r="V137" s="116">
        <f>Mitigation_Industry!V$400</f>
        <v>0</v>
      </c>
      <c r="W137" s="116">
        <f>Mitigation_Industry!W$400</f>
        <v>0</v>
      </c>
      <c r="X137" s="116">
        <f>Mitigation_Industry!X$400</f>
        <v>0</v>
      </c>
      <c r="Y137" s="116">
        <f>Mitigation_Industry!Y$400</f>
        <v>0</v>
      </c>
      <c r="Z137" s="116">
        <f>Mitigation_Industry!Z$400</f>
        <v>0</v>
      </c>
      <c r="AA137" s="116">
        <f>Mitigation_Industry!AA$400</f>
        <v>0</v>
      </c>
      <c r="AB137" s="116">
        <f>Mitigation_Industry!AB$400</f>
        <v>0</v>
      </c>
      <c r="AC137" s="116">
        <f>Mitigation_Industry!AC$400</f>
        <v>0</v>
      </c>
      <c r="AD137" s="116">
        <f>Mitigation_Industry!AD$400</f>
        <v>0</v>
      </c>
      <c r="AE137" s="116">
        <f>Mitigation_Industry!AE$400</f>
        <v>0</v>
      </c>
    </row>
    <row r="138" spans="1:35" customFormat="1" ht="14.25" x14ac:dyDescent="0.45">
      <c r="B138" s="14" t="s">
        <v>110</v>
      </c>
      <c r="C138" s="14"/>
      <c r="D138" s="25" t="s">
        <v>2214</v>
      </c>
      <c r="E138" s="16" t="s">
        <v>1871</v>
      </c>
      <c r="F138" s="14" t="s">
        <v>2143</v>
      </c>
      <c r="H138" s="17"/>
      <c r="L138" s="116">
        <f t="shared" ref="L138:AE138" si="33">L$78</f>
        <v>0</v>
      </c>
      <c r="M138" s="116">
        <f t="shared" si="33"/>
        <v>0</v>
      </c>
      <c r="N138" s="116">
        <f t="shared" si="33"/>
        <v>0</v>
      </c>
      <c r="O138" s="116">
        <f t="shared" si="33"/>
        <v>0</v>
      </c>
      <c r="P138" s="116">
        <f t="shared" si="33"/>
        <v>0</v>
      </c>
      <c r="Q138" s="116">
        <f t="shared" si="33"/>
        <v>0</v>
      </c>
      <c r="R138" s="116">
        <f t="shared" si="33"/>
        <v>0</v>
      </c>
      <c r="S138" s="116">
        <f t="shared" si="33"/>
        <v>0</v>
      </c>
      <c r="T138" s="116">
        <f t="shared" si="33"/>
        <v>0</v>
      </c>
      <c r="U138" s="116">
        <f t="shared" si="33"/>
        <v>0</v>
      </c>
      <c r="V138" s="116">
        <f t="shared" si="33"/>
        <v>0</v>
      </c>
      <c r="W138" s="116">
        <f t="shared" si="33"/>
        <v>0</v>
      </c>
      <c r="X138" s="116">
        <f t="shared" si="33"/>
        <v>0</v>
      </c>
      <c r="Y138" s="116">
        <f t="shared" si="33"/>
        <v>0</v>
      </c>
      <c r="Z138" s="116">
        <f t="shared" si="33"/>
        <v>0</v>
      </c>
      <c r="AA138" s="116">
        <f t="shared" si="33"/>
        <v>0</v>
      </c>
      <c r="AB138" s="116">
        <f t="shared" si="33"/>
        <v>0</v>
      </c>
      <c r="AC138" s="116">
        <f t="shared" si="33"/>
        <v>0</v>
      </c>
      <c r="AD138" s="116">
        <f t="shared" si="33"/>
        <v>0</v>
      </c>
      <c r="AE138" s="116">
        <f t="shared" si="33"/>
        <v>0</v>
      </c>
    </row>
    <row r="139" spans="1:35" customFormat="1" ht="14.25" x14ac:dyDescent="0.45">
      <c r="B139" s="14" t="s">
        <v>110</v>
      </c>
      <c r="C139" s="14"/>
      <c r="D139" s="25" t="s">
        <v>2215</v>
      </c>
      <c r="E139" s="16" t="s">
        <v>1871</v>
      </c>
      <c r="F139" s="14" t="s">
        <v>2216</v>
      </c>
      <c r="H139" s="114" t="str">
        <f>Settings!$B$3&amp;".mit.revnet.cbam.tot.1"</f>
        <v>egy.mit.revnet.cbam.tot.1</v>
      </c>
      <c r="L139" s="116">
        <f t="shared" ref="L139:AE139" si="34">L137-L138</f>
        <v>0</v>
      </c>
      <c r="M139" s="116">
        <f t="shared" si="34"/>
        <v>0</v>
      </c>
      <c r="N139" s="116">
        <f t="shared" si="34"/>
        <v>0</v>
      </c>
      <c r="O139" s="116">
        <f t="shared" si="34"/>
        <v>0</v>
      </c>
      <c r="P139" s="116">
        <f t="shared" si="34"/>
        <v>0</v>
      </c>
      <c r="Q139" s="116">
        <f t="shared" si="34"/>
        <v>0</v>
      </c>
      <c r="R139" s="116">
        <f t="shared" si="34"/>
        <v>0</v>
      </c>
      <c r="S139" s="116">
        <f t="shared" si="34"/>
        <v>0</v>
      </c>
      <c r="T139" s="116">
        <f t="shared" si="34"/>
        <v>0</v>
      </c>
      <c r="U139" s="116">
        <f t="shared" si="34"/>
        <v>0</v>
      </c>
      <c r="V139" s="116">
        <f t="shared" si="34"/>
        <v>0</v>
      </c>
      <c r="W139" s="116">
        <f t="shared" si="34"/>
        <v>0</v>
      </c>
      <c r="X139" s="116">
        <f t="shared" si="34"/>
        <v>0</v>
      </c>
      <c r="Y139" s="116">
        <f t="shared" si="34"/>
        <v>0</v>
      </c>
      <c r="Z139" s="116">
        <f t="shared" si="34"/>
        <v>0</v>
      </c>
      <c r="AA139" s="116">
        <f t="shared" si="34"/>
        <v>0</v>
      </c>
      <c r="AB139" s="116">
        <f t="shared" si="34"/>
        <v>0</v>
      </c>
      <c r="AC139" s="116">
        <f t="shared" si="34"/>
        <v>0</v>
      </c>
      <c r="AD139" s="116">
        <f t="shared" si="34"/>
        <v>0</v>
      </c>
      <c r="AE139" s="116">
        <f t="shared" si="34"/>
        <v>0</v>
      </c>
    </row>
    <row r="142" spans="1:35" customFormat="1" ht="18" customHeight="1" x14ac:dyDescent="0.45">
      <c r="A142" s="8"/>
      <c r="B142" s="9" t="s">
        <v>2217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4" spans="1:35" customFormat="1" ht="14.25" x14ac:dyDescent="0.45">
      <c r="A144" s="11"/>
      <c r="B144" s="6"/>
      <c r="C144" s="7" t="s">
        <v>2077</v>
      </c>
      <c r="D144" s="6" t="s">
        <v>1505</v>
      </c>
      <c r="E144" s="7" t="s">
        <v>35</v>
      </c>
      <c r="F144" s="7" t="s">
        <v>45</v>
      </c>
      <c r="G144" s="7" t="s">
        <v>37</v>
      </c>
      <c r="H144" s="12" t="s">
        <v>38</v>
      </c>
      <c r="I144" s="6" t="s">
        <v>39</v>
      </c>
      <c r="J144" s="48">
        <v>2</v>
      </c>
      <c r="K144" s="6">
        <v>2021</v>
      </c>
      <c r="L144" s="46">
        <v>2022</v>
      </c>
      <c r="M144" s="6">
        <v>2023</v>
      </c>
      <c r="N144" s="6">
        <v>2024</v>
      </c>
      <c r="O144" s="6">
        <v>2025</v>
      </c>
      <c r="P144" s="6">
        <v>2026</v>
      </c>
      <c r="Q144" s="6">
        <v>2027</v>
      </c>
      <c r="R144" s="6">
        <v>2028</v>
      </c>
      <c r="S144" s="6">
        <v>2029</v>
      </c>
      <c r="T144" s="6">
        <v>2030</v>
      </c>
      <c r="U144" s="6">
        <v>2031</v>
      </c>
      <c r="V144" s="6">
        <v>2032</v>
      </c>
      <c r="W144" s="6">
        <v>2033</v>
      </c>
      <c r="X144" s="6">
        <v>2034</v>
      </c>
      <c r="Y144" s="6">
        <v>2035</v>
      </c>
      <c r="Z144" s="6">
        <v>2036</v>
      </c>
      <c r="AA144" s="6">
        <v>2037</v>
      </c>
      <c r="AB144" s="6">
        <v>2038</v>
      </c>
      <c r="AC144" s="6">
        <v>2039</v>
      </c>
      <c r="AD144" s="6">
        <v>2040</v>
      </c>
      <c r="AE144" s="6">
        <v>2041</v>
      </c>
      <c r="AF144" s="6">
        <v>2042</v>
      </c>
      <c r="AG144" s="6">
        <v>2043</v>
      </c>
      <c r="AH144" s="6">
        <v>2044</v>
      </c>
      <c r="AI144" s="6">
        <v>2045</v>
      </c>
    </row>
    <row r="145" spans="1:35" customFormat="1" ht="14.25" x14ac:dyDescent="0.45">
      <c r="B145" s="14" t="s">
        <v>1799</v>
      </c>
      <c r="C145" s="14"/>
      <c r="D145" s="15" t="s">
        <v>2078</v>
      </c>
      <c r="E145" s="16" t="s">
        <v>79</v>
      </c>
      <c r="F145" s="14" t="s">
        <v>1799</v>
      </c>
      <c r="G145" s="114" t="s">
        <v>1802</v>
      </c>
      <c r="H145" s="17"/>
      <c r="I145" t="s">
        <v>2079</v>
      </c>
      <c r="K145" s="18"/>
      <c r="L145" s="19">
        <f>INDEX(Data_Prices!L:L,MATCH($G145,Data_Prices!$A:$A,0))</f>
        <v>0</v>
      </c>
      <c r="M145" s="19">
        <f>INDEX(Data_Prices!M:M,MATCH($G145,Data_Prices!$A:$A,0))</f>
        <v>0</v>
      </c>
      <c r="N145" s="19">
        <f>INDEX(Data_Prices!N:N,MATCH($G145,Data_Prices!$A:$A,0))</f>
        <v>0</v>
      </c>
      <c r="O145" s="19">
        <f>INDEX(Data_Prices!O:O,MATCH($G145,Data_Prices!$A:$A,0))</f>
        <v>0</v>
      </c>
      <c r="P145" s="19">
        <f>INDEX(Data_Prices!P:P,MATCH($G145,Data_Prices!$A:$A,0))</f>
        <v>0</v>
      </c>
      <c r="Q145" s="19">
        <f>INDEX(Data_Prices!Q:Q,MATCH($G145,Data_Prices!$A:$A,0))</f>
        <v>0</v>
      </c>
      <c r="R145" s="19">
        <f>INDEX(Data_Prices!R:R,MATCH($G145,Data_Prices!$A:$A,0))</f>
        <v>0</v>
      </c>
      <c r="S145" s="19">
        <f>INDEX(Data_Prices!S:S,MATCH($G145,Data_Prices!$A:$A,0))</f>
        <v>0</v>
      </c>
      <c r="T145" s="19">
        <f>INDEX(Data_Prices!T:T,MATCH($G145,Data_Prices!$A:$A,0))</f>
        <v>0</v>
      </c>
      <c r="U145" s="19">
        <f>INDEX(Data_Prices!U:U,MATCH($G145,Data_Prices!$A:$A,0))</f>
        <v>0</v>
      </c>
      <c r="V145" s="19">
        <f>INDEX(Data_Prices!V:V,MATCH($G145,Data_Prices!$A:$A,0))</f>
        <v>0</v>
      </c>
      <c r="W145" s="19">
        <f>INDEX(Data_Prices!W:W,MATCH($G145,Data_Prices!$A:$A,0))</f>
        <v>0</v>
      </c>
      <c r="X145" s="19">
        <f>INDEX(Data_Prices!X:X,MATCH($G145,Data_Prices!$A:$A,0))</f>
        <v>0</v>
      </c>
      <c r="Y145" s="19">
        <f>INDEX(Data_Prices!Y:Y,MATCH($G145,Data_Prices!$A:$A,0))</f>
        <v>0</v>
      </c>
      <c r="Z145" s="19">
        <f>INDEX(Data_Prices!Z:Z,MATCH($G145,Data_Prices!$A:$A,0))</f>
        <v>0</v>
      </c>
      <c r="AA145" s="19">
        <f>INDEX(Data_Prices!AA:AA,MATCH($G145,Data_Prices!$A:$A,0))</f>
        <v>0</v>
      </c>
      <c r="AB145" s="19">
        <f>INDEX(Data_Prices!AB:AB,MATCH($G145,Data_Prices!$A:$A,0))</f>
        <v>0</v>
      </c>
      <c r="AC145" s="19">
        <f>INDEX(Data_Prices!AC:AC,MATCH($G145,Data_Prices!$A:$A,0))</f>
        <v>0</v>
      </c>
      <c r="AD145" s="19">
        <f>INDEX(Data_Prices!AD:AD,MATCH($G145,Data_Prices!$A:$A,0))</f>
        <v>0</v>
      </c>
      <c r="AE145" s="19">
        <f>INDEX(Data_Prices!AE:AE,MATCH($G145,Data_Prices!$A:$A,0))</f>
        <v>0</v>
      </c>
    </row>
    <row r="146" spans="1:35" customFormat="1" ht="14.25" x14ac:dyDescent="0.45">
      <c r="B146" s="14" t="s">
        <v>1803</v>
      </c>
      <c r="C146" s="14"/>
      <c r="D146" s="15" t="s">
        <v>2080</v>
      </c>
      <c r="E146" s="16" t="s">
        <v>1415</v>
      </c>
      <c r="F146" s="14" t="s">
        <v>1803</v>
      </c>
      <c r="G146" s="114" t="s">
        <v>1805</v>
      </c>
      <c r="H146" s="17"/>
      <c r="I146" t="s">
        <v>2218</v>
      </c>
      <c r="K146" s="18"/>
      <c r="L146" s="19">
        <f>INDEX(Data_Prices!L:L,MATCH($G146,Data_Prices!$A:$A,0))</f>
        <v>0</v>
      </c>
      <c r="M146" s="19">
        <f>INDEX(Data_Prices!M:M,MATCH($G146,Data_Prices!$A:$A,0))</f>
        <v>0</v>
      </c>
      <c r="N146" s="19">
        <f>INDEX(Data_Prices!N:N,MATCH($G146,Data_Prices!$A:$A,0))</f>
        <v>0</v>
      </c>
      <c r="O146" s="19">
        <f>INDEX(Data_Prices!O:O,MATCH($G146,Data_Prices!$A:$A,0))</f>
        <v>0</v>
      </c>
      <c r="P146" s="19">
        <f>INDEX(Data_Prices!P:P,MATCH($G146,Data_Prices!$A:$A,0))</f>
        <v>0</v>
      </c>
      <c r="Q146" s="19">
        <f>INDEX(Data_Prices!Q:Q,MATCH($G146,Data_Prices!$A:$A,0))</f>
        <v>0</v>
      </c>
      <c r="R146" s="19">
        <f>INDEX(Data_Prices!R:R,MATCH($G146,Data_Prices!$A:$A,0))</f>
        <v>0</v>
      </c>
      <c r="S146" s="19">
        <f>INDEX(Data_Prices!S:S,MATCH($G146,Data_Prices!$A:$A,0))</f>
        <v>0</v>
      </c>
      <c r="T146" s="19">
        <f>INDEX(Data_Prices!T:T,MATCH($G146,Data_Prices!$A:$A,0))</f>
        <v>0</v>
      </c>
      <c r="U146" s="19">
        <f>INDEX(Data_Prices!U:U,MATCH($G146,Data_Prices!$A:$A,0))</f>
        <v>0</v>
      </c>
      <c r="V146" s="19">
        <f>INDEX(Data_Prices!V:V,MATCH($G146,Data_Prices!$A:$A,0))</f>
        <v>0</v>
      </c>
      <c r="W146" s="19">
        <f>INDEX(Data_Prices!W:W,MATCH($G146,Data_Prices!$A:$A,0))</f>
        <v>0</v>
      </c>
      <c r="X146" s="19">
        <f>INDEX(Data_Prices!X:X,MATCH($G146,Data_Prices!$A:$A,0))</f>
        <v>0</v>
      </c>
      <c r="Y146" s="19">
        <f>INDEX(Data_Prices!Y:Y,MATCH($G146,Data_Prices!$A:$A,0))</f>
        <v>0</v>
      </c>
      <c r="Z146" s="19">
        <f>INDEX(Data_Prices!Z:Z,MATCH($G146,Data_Prices!$A:$A,0))</f>
        <v>0</v>
      </c>
      <c r="AA146" s="19">
        <f>INDEX(Data_Prices!AA:AA,MATCH($G146,Data_Prices!$A:$A,0))</f>
        <v>0</v>
      </c>
      <c r="AB146" s="19">
        <f>INDEX(Data_Prices!AB:AB,MATCH($G146,Data_Prices!$A:$A,0))</f>
        <v>0</v>
      </c>
      <c r="AC146" s="19">
        <f>INDEX(Data_Prices!AC:AC,MATCH($G146,Data_Prices!$A:$A,0))</f>
        <v>0</v>
      </c>
      <c r="AD146" s="19">
        <f>INDEX(Data_Prices!AD:AD,MATCH($G146,Data_Prices!$A:$A,0))</f>
        <v>0</v>
      </c>
      <c r="AE146" s="19">
        <f>INDEX(Data_Prices!AE:AE,MATCH($G146,Data_Prices!$A:$A,0))</f>
        <v>0</v>
      </c>
    </row>
    <row r="148" spans="1:35" customFormat="1" ht="14.25" x14ac:dyDescent="0.45">
      <c r="A148" s="11"/>
      <c r="B148" s="6"/>
      <c r="C148" s="7" t="s">
        <v>2082</v>
      </c>
      <c r="D148" s="6" t="s">
        <v>1505</v>
      </c>
      <c r="E148" s="7" t="s">
        <v>35</v>
      </c>
      <c r="F148" s="7" t="s">
        <v>45</v>
      </c>
      <c r="G148" s="7" t="s">
        <v>37</v>
      </c>
      <c r="H148" s="12" t="s">
        <v>38</v>
      </c>
      <c r="I148" s="6" t="s">
        <v>39</v>
      </c>
      <c r="J148" s="48">
        <v>2</v>
      </c>
      <c r="K148" s="6">
        <v>2021</v>
      </c>
      <c r="L148" s="46">
        <v>2022</v>
      </c>
      <c r="M148" s="6">
        <v>2023</v>
      </c>
      <c r="N148" s="6">
        <v>2024</v>
      </c>
      <c r="O148" s="6">
        <v>2025</v>
      </c>
      <c r="P148" s="6">
        <v>2026</v>
      </c>
      <c r="Q148" s="6">
        <v>2027</v>
      </c>
      <c r="R148" s="6">
        <v>2028</v>
      </c>
      <c r="S148" s="6">
        <v>2029</v>
      </c>
      <c r="T148" s="6">
        <v>2030</v>
      </c>
      <c r="U148" s="6">
        <v>2031</v>
      </c>
      <c r="V148" s="6">
        <v>2032</v>
      </c>
      <c r="W148" s="6">
        <v>2033</v>
      </c>
      <c r="X148" s="6">
        <v>2034</v>
      </c>
      <c r="Y148" s="6">
        <v>2035</v>
      </c>
      <c r="Z148" s="6">
        <v>2036</v>
      </c>
      <c r="AA148" s="6">
        <v>2037</v>
      </c>
      <c r="AB148" s="6">
        <v>2038</v>
      </c>
      <c r="AC148" s="6">
        <v>2039</v>
      </c>
      <c r="AD148" s="6">
        <v>2040</v>
      </c>
      <c r="AE148" s="6">
        <v>2041</v>
      </c>
      <c r="AF148" s="6">
        <v>2042</v>
      </c>
      <c r="AG148" s="6">
        <v>2043</v>
      </c>
      <c r="AH148" s="6">
        <v>2044</v>
      </c>
      <c r="AI148" s="6">
        <v>2045</v>
      </c>
    </row>
    <row r="149" spans="1:35" customFormat="1" ht="14.25" x14ac:dyDescent="0.45">
      <c r="B149" s="14" t="s">
        <v>1452</v>
      </c>
      <c r="C149" s="14" t="s">
        <v>43</v>
      </c>
      <c r="D149" s="15" t="s">
        <v>2083</v>
      </c>
      <c r="E149" s="16" t="s">
        <v>2084</v>
      </c>
      <c r="F149" s="14" t="s">
        <v>2082</v>
      </c>
      <c r="G149" s="17"/>
      <c r="H149" s="114" t="str">
        <f>Settings!$B$3&amp;".mit.obrbm.stl.drg.2"</f>
        <v>egy.mit.obrbm.stl.drg.2</v>
      </c>
      <c r="I149" t="s">
        <v>2085</v>
      </c>
      <c r="K149" s="18"/>
      <c r="L149" s="19">
        <f>Mitigation_Industry!$Z$663</f>
        <v>0.48099999999999998</v>
      </c>
      <c r="M149" s="19">
        <f>Mitigation_Industry!$Z$663</f>
        <v>0.48099999999999998</v>
      </c>
      <c r="N149" s="19">
        <f>Mitigation_Industry!$Z$663</f>
        <v>0.48099999999999998</v>
      </c>
      <c r="O149" s="19">
        <f>Mitigation_Industry!$Z$663</f>
        <v>0.48099999999999998</v>
      </c>
      <c r="P149" s="19">
        <f>Mitigation_Industry!$Z$663</f>
        <v>0.48099999999999998</v>
      </c>
      <c r="Q149" s="19">
        <f>Mitigation_Industry!$Z$663</f>
        <v>0.48099999999999998</v>
      </c>
      <c r="R149" s="19">
        <f>Mitigation_Industry!$Z$663</f>
        <v>0.48099999999999998</v>
      </c>
      <c r="S149" s="19">
        <f>Mitigation_Industry!$Z$663</f>
        <v>0.48099999999999998</v>
      </c>
      <c r="T149" s="19">
        <f>Mitigation_Industry!$Z$663</f>
        <v>0.48099999999999998</v>
      </c>
      <c r="U149" s="19">
        <f>Mitigation_Industry!$Z$663</f>
        <v>0.48099999999999998</v>
      </c>
      <c r="V149" s="19">
        <f>Mitigation_Industry!$Z$663</f>
        <v>0.48099999999999998</v>
      </c>
      <c r="W149" s="19">
        <f>Mitigation_Industry!$Z$663</f>
        <v>0.48099999999999998</v>
      </c>
      <c r="X149" s="19">
        <f>Mitigation_Industry!$Z$663</f>
        <v>0.48099999999999998</v>
      </c>
      <c r="Y149" s="19">
        <f>Mitigation_Industry!$Z$663</f>
        <v>0.48099999999999998</v>
      </c>
      <c r="Z149" s="19">
        <f>Mitigation_Industry!$Z$663</f>
        <v>0.48099999999999998</v>
      </c>
      <c r="AA149" s="19">
        <f>Mitigation_Industry!$Z$663</f>
        <v>0.48099999999999998</v>
      </c>
      <c r="AB149" s="19">
        <f>Mitigation_Industry!$Z$663</f>
        <v>0.48099999999999998</v>
      </c>
      <c r="AC149" s="19">
        <f>Mitigation_Industry!$Z$663</f>
        <v>0.48099999999999998</v>
      </c>
      <c r="AD149" s="19">
        <f>Mitigation_Industry!$Z$663</f>
        <v>0.48099999999999998</v>
      </c>
      <c r="AE149" s="19">
        <f>Mitigation_Industry!$Z$663</f>
        <v>0.48099999999999998</v>
      </c>
    </row>
    <row r="150" spans="1:35" customFormat="1" ht="14.25" x14ac:dyDescent="0.45">
      <c r="B150" s="14" t="s">
        <v>1455</v>
      </c>
      <c r="C150" s="14" t="s">
        <v>43</v>
      </c>
      <c r="D150" s="15" t="s">
        <v>2086</v>
      </c>
      <c r="E150" s="16" t="s">
        <v>2084</v>
      </c>
      <c r="F150" s="14" t="s">
        <v>2082</v>
      </c>
      <c r="G150" s="17"/>
      <c r="H150" s="114" t="str">
        <f>Settings!$B$3&amp;".mit.obrbm.stl.scr.2"</f>
        <v>egy.mit.obrbm.stl.scr.2</v>
      </c>
      <c r="K150" s="18"/>
      <c r="L150" s="19">
        <f>Mitigation_Industry!$Z$664</f>
        <v>7.1999999999999995E-2</v>
      </c>
      <c r="M150" s="19">
        <f>Mitigation_Industry!$Z$664</f>
        <v>7.1999999999999995E-2</v>
      </c>
      <c r="N150" s="19">
        <f>Mitigation_Industry!$Z$664</f>
        <v>7.1999999999999995E-2</v>
      </c>
      <c r="O150" s="19">
        <f>Mitigation_Industry!$Z$664</f>
        <v>7.1999999999999995E-2</v>
      </c>
      <c r="P150" s="19">
        <f>Mitigation_Industry!$Z$664</f>
        <v>7.1999999999999995E-2</v>
      </c>
      <c r="Q150" s="19">
        <f>Mitigation_Industry!$Z$664</f>
        <v>7.1999999999999995E-2</v>
      </c>
      <c r="R150" s="19">
        <f>Mitigation_Industry!$Z$664</f>
        <v>7.1999999999999995E-2</v>
      </c>
      <c r="S150" s="19">
        <f>Mitigation_Industry!$Z$664</f>
        <v>7.1999999999999995E-2</v>
      </c>
      <c r="T150" s="19">
        <f>Mitigation_Industry!$Z$664</f>
        <v>7.1999999999999995E-2</v>
      </c>
      <c r="U150" s="19">
        <f>Mitigation_Industry!$Z$664</f>
        <v>7.1999999999999995E-2</v>
      </c>
      <c r="V150" s="19">
        <f>Mitigation_Industry!$Z$664</f>
        <v>7.1999999999999995E-2</v>
      </c>
      <c r="W150" s="19">
        <f>Mitigation_Industry!$Z$664</f>
        <v>7.1999999999999995E-2</v>
      </c>
      <c r="X150" s="19">
        <f>Mitigation_Industry!$Z$664</f>
        <v>7.1999999999999995E-2</v>
      </c>
      <c r="Y150" s="19">
        <f>Mitigation_Industry!$Z$664</f>
        <v>7.1999999999999995E-2</v>
      </c>
      <c r="Z150" s="19">
        <f>Mitigation_Industry!$Z$664</f>
        <v>7.1999999999999995E-2</v>
      </c>
      <c r="AA150" s="19">
        <f>Mitigation_Industry!$Z$664</f>
        <v>7.1999999999999995E-2</v>
      </c>
      <c r="AB150" s="19">
        <f>Mitigation_Industry!$Z$664</f>
        <v>7.1999999999999995E-2</v>
      </c>
      <c r="AC150" s="19">
        <f>Mitigation_Industry!$Z$664</f>
        <v>7.1999999999999995E-2</v>
      </c>
      <c r="AD150" s="19">
        <f>Mitigation_Industry!$Z$664</f>
        <v>7.1999999999999995E-2</v>
      </c>
      <c r="AE150" s="19">
        <f>Mitigation_Industry!$Z$664</f>
        <v>7.1999999999999995E-2</v>
      </c>
    </row>
    <row r="151" spans="1:35" customFormat="1" ht="14.25" x14ac:dyDescent="0.45">
      <c r="B151" s="14" t="s">
        <v>1458</v>
      </c>
      <c r="C151" s="14" t="s">
        <v>43</v>
      </c>
      <c r="D151" s="15" t="s">
        <v>2087</v>
      </c>
      <c r="E151" s="16" t="s">
        <v>2084</v>
      </c>
      <c r="F151" s="14" t="s">
        <v>2082</v>
      </c>
      <c r="G151" s="17"/>
      <c r="H151" s="114" t="str">
        <f>Settings!$B$3&amp;".mit.obrbm.stl.bof.2"</f>
        <v>egy.mit.obrbm.stl.bof.2</v>
      </c>
      <c r="K151" s="18"/>
      <c r="L151" s="19">
        <f>Mitigation_Industry!$Z$665</f>
        <v>1.37</v>
      </c>
      <c r="M151" s="19">
        <f>Mitigation_Industry!$Z$665</f>
        <v>1.37</v>
      </c>
      <c r="N151" s="19">
        <f>Mitigation_Industry!$Z$665</f>
        <v>1.37</v>
      </c>
      <c r="O151" s="19">
        <f>Mitigation_Industry!$Z$665</f>
        <v>1.37</v>
      </c>
      <c r="P151" s="19">
        <f>Mitigation_Industry!$Z$665</f>
        <v>1.37</v>
      </c>
      <c r="Q151" s="19">
        <f>Mitigation_Industry!$Z$665</f>
        <v>1.37</v>
      </c>
      <c r="R151" s="19">
        <f>Mitigation_Industry!$Z$665</f>
        <v>1.37</v>
      </c>
      <c r="S151" s="19">
        <f>Mitigation_Industry!$Z$665</f>
        <v>1.37</v>
      </c>
      <c r="T151" s="19">
        <f>Mitigation_Industry!$Z$665</f>
        <v>1.37</v>
      </c>
      <c r="U151" s="19">
        <f>Mitigation_Industry!$Z$665</f>
        <v>1.37</v>
      </c>
      <c r="V151" s="19">
        <f>Mitigation_Industry!$Z$665</f>
        <v>1.37</v>
      </c>
      <c r="W151" s="19">
        <f>Mitigation_Industry!$Z$665</f>
        <v>1.37</v>
      </c>
      <c r="X151" s="19">
        <f>Mitigation_Industry!$Z$665</f>
        <v>1.37</v>
      </c>
      <c r="Y151" s="19">
        <f>Mitigation_Industry!$Z$665</f>
        <v>1.37</v>
      </c>
      <c r="Z151" s="19">
        <f>Mitigation_Industry!$Z$665</f>
        <v>1.37</v>
      </c>
      <c r="AA151" s="19">
        <f>Mitigation_Industry!$Z$665</f>
        <v>1.37</v>
      </c>
      <c r="AB151" s="19">
        <f>Mitigation_Industry!$Z$665</f>
        <v>1.37</v>
      </c>
      <c r="AC151" s="19">
        <f>Mitigation_Industry!$Z$665</f>
        <v>1.37</v>
      </c>
      <c r="AD151" s="19">
        <f>Mitigation_Industry!$Z$665</f>
        <v>1.37</v>
      </c>
      <c r="AE151" s="19">
        <f>Mitigation_Industry!$Z$665</f>
        <v>1.37</v>
      </c>
    </row>
    <row r="152" spans="1:35" customFormat="1" ht="14.25" x14ac:dyDescent="0.45">
      <c r="B152" s="14" t="s">
        <v>1461</v>
      </c>
      <c r="C152" s="14" t="s">
        <v>113</v>
      </c>
      <c r="D152" s="15" t="s">
        <v>2088</v>
      </c>
      <c r="E152" s="16" t="s">
        <v>2084</v>
      </c>
      <c r="F152" s="14" t="s">
        <v>2082</v>
      </c>
      <c r="G152" s="17"/>
      <c r="H152" s="114" t="str">
        <f>Settings!$B$3&amp;".mit.obrbm.cmt.dry.2"</f>
        <v>egy.mit.obrbm.cmt.dry.2</v>
      </c>
      <c r="K152" s="18"/>
      <c r="L152" s="19">
        <f>Mitigation_Industry!$Z$666</f>
        <v>0.66600000000000004</v>
      </c>
      <c r="M152" s="19">
        <f>Mitigation_Industry!$Z$666</f>
        <v>0.66600000000000004</v>
      </c>
      <c r="N152" s="19">
        <f>Mitigation_Industry!$Z$666</f>
        <v>0.66600000000000004</v>
      </c>
      <c r="O152" s="19">
        <f>Mitigation_Industry!$Z$666</f>
        <v>0.66600000000000004</v>
      </c>
      <c r="P152" s="19">
        <f>Mitigation_Industry!$Z$666</f>
        <v>0.66600000000000004</v>
      </c>
      <c r="Q152" s="19">
        <f>Mitigation_Industry!$Z$666</f>
        <v>0.66600000000000004</v>
      </c>
      <c r="R152" s="19">
        <f>Mitigation_Industry!$Z$666</f>
        <v>0.66600000000000004</v>
      </c>
      <c r="S152" s="19">
        <f>Mitigation_Industry!$Z$666</f>
        <v>0.66600000000000004</v>
      </c>
      <c r="T152" s="19">
        <f>Mitigation_Industry!$Z$666</f>
        <v>0.66600000000000004</v>
      </c>
      <c r="U152" s="19">
        <f>Mitigation_Industry!$Z$666</f>
        <v>0.66600000000000004</v>
      </c>
      <c r="V152" s="19">
        <f>Mitigation_Industry!$Z$666</f>
        <v>0.66600000000000004</v>
      </c>
      <c r="W152" s="19">
        <f>Mitigation_Industry!$Z$666</f>
        <v>0.66600000000000004</v>
      </c>
      <c r="X152" s="19">
        <f>Mitigation_Industry!$Z$666</f>
        <v>0.66600000000000004</v>
      </c>
      <c r="Y152" s="19">
        <f>Mitigation_Industry!$Z$666</f>
        <v>0.66600000000000004</v>
      </c>
      <c r="Z152" s="19">
        <f>Mitigation_Industry!$Z$666</f>
        <v>0.66600000000000004</v>
      </c>
      <c r="AA152" s="19">
        <f>Mitigation_Industry!$Z$666</f>
        <v>0.66600000000000004</v>
      </c>
      <c r="AB152" s="19">
        <f>Mitigation_Industry!$Z$666</f>
        <v>0.66600000000000004</v>
      </c>
      <c r="AC152" s="19">
        <f>Mitigation_Industry!$Z$666</f>
        <v>0.66600000000000004</v>
      </c>
      <c r="AD152" s="19">
        <f>Mitigation_Industry!$Z$666</f>
        <v>0.66600000000000004</v>
      </c>
      <c r="AE152" s="19">
        <f>Mitigation_Industry!$Z$666</f>
        <v>0.66600000000000004</v>
      </c>
    </row>
    <row r="153" spans="1:35" customFormat="1" ht="14.25" x14ac:dyDescent="0.45">
      <c r="B153" s="14" t="s">
        <v>1464</v>
      </c>
      <c r="C153" s="14" t="s">
        <v>117</v>
      </c>
      <c r="D153" s="15" t="s">
        <v>2089</v>
      </c>
      <c r="E153" s="16" t="s">
        <v>2084</v>
      </c>
      <c r="F153" s="14" t="s">
        <v>2082</v>
      </c>
      <c r="G153" s="17"/>
      <c r="H153" s="114" t="str">
        <f>Settings!$B$3&amp;".mit.obrbm.frt.amc.2"</f>
        <v>egy.mit.obrbm.frt.amc.2</v>
      </c>
      <c r="K153" s="18"/>
      <c r="L153" s="19">
        <f>Mitigation_Industry!$Z$667</f>
        <v>1.484</v>
      </c>
      <c r="M153" s="19">
        <f>Mitigation_Industry!$Z$667</f>
        <v>1.484</v>
      </c>
      <c r="N153" s="19">
        <f>Mitigation_Industry!$Z$667</f>
        <v>1.484</v>
      </c>
      <c r="O153" s="19">
        <f>Mitigation_Industry!$Z$667</f>
        <v>1.484</v>
      </c>
      <c r="P153" s="19">
        <f>Mitigation_Industry!$Z$667</f>
        <v>1.484</v>
      </c>
      <c r="Q153" s="19">
        <f>Mitigation_Industry!$Z$667</f>
        <v>1.484</v>
      </c>
      <c r="R153" s="19">
        <f>Mitigation_Industry!$Z$667</f>
        <v>1.484</v>
      </c>
      <c r="S153" s="19">
        <f>Mitigation_Industry!$Z$667</f>
        <v>1.484</v>
      </c>
      <c r="T153" s="19">
        <f>Mitigation_Industry!$Z$667</f>
        <v>1.484</v>
      </c>
      <c r="U153" s="19">
        <f>Mitigation_Industry!$Z$667</f>
        <v>1.484</v>
      </c>
      <c r="V153" s="19">
        <f>Mitigation_Industry!$Z$667</f>
        <v>1.484</v>
      </c>
      <c r="W153" s="19">
        <f>Mitigation_Industry!$Z$667</f>
        <v>1.484</v>
      </c>
      <c r="X153" s="19">
        <f>Mitigation_Industry!$Z$667</f>
        <v>1.484</v>
      </c>
      <c r="Y153" s="19">
        <f>Mitigation_Industry!$Z$667</f>
        <v>1.484</v>
      </c>
      <c r="Z153" s="19">
        <f>Mitigation_Industry!$Z$667</f>
        <v>1.484</v>
      </c>
      <c r="AA153" s="19">
        <f>Mitigation_Industry!$Z$667</f>
        <v>1.484</v>
      </c>
      <c r="AB153" s="19">
        <f>Mitigation_Industry!$Z$667</f>
        <v>1.484</v>
      </c>
      <c r="AC153" s="19">
        <f>Mitigation_Industry!$Z$667</f>
        <v>1.484</v>
      </c>
      <c r="AD153" s="19">
        <f>Mitigation_Industry!$Z$667</f>
        <v>1.484</v>
      </c>
      <c r="AE153" s="19">
        <f>Mitigation_Industry!$Z$667</f>
        <v>1.484</v>
      </c>
    </row>
    <row r="154" spans="1:35" customFormat="1" ht="14.25" x14ac:dyDescent="0.45">
      <c r="B154" s="14" t="s">
        <v>1467</v>
      </c>
      <c r="C154" s="14" t="s">
        <v>117</v>
      </c>
      <c r="D154" s="15" t="s">
        <v>2090</v>
      </c>
      <c r="E154" s="16" t="s">
        <v>2084</v>
      </c>
      <c r="F154" s="14" t="s">
        <v>2082</v>
      </c>
      <c r="G154" s="17"/>
      <c r="H154" s="114" t="str">
        <f>Settings!$B$3&amp;".mit.obrbm.frt.ure.2"</f>
        <v>egy.mit.obrbm.frt.ure.2</v>
      </c>
      <c r="K154" s="18"/>
      <c r="L154" s="19">
        <f>Mitigation_Industry!$Z$668</f>
        <v>0.90200000000000002</v>
      </c>
      <c r="M154" s="19">
        <f>Mitigation_Industry!$Z$668</f>
        <v>0.90200000000000002</v>
      </c>
      <c r="N154" s="19">
        <f>Mitigation_Industry!$Z$668</f>
        <v>0.90200000000000002</v>
      </c>
      <c r="O154" s="19">
        <f>Mitigation_Industry!$Z$668</f>
        <v>0.90200000000000002</v>
      </c>
      <c r="P154" s="19">
        <f>Mitigation_Industry!$Z$668</f>
        <v>0.90200000000000002</v>
      </c>
      <c r="Q154" s="19">
        <f>Mitigation_Industry!$Z$668</f>
        <v>0.90200000000000002</v>
      </c>
      <c r="R154" s="19">
        <f>Mitigation_Industry!$Z$668</f>
        <v>0.90200000000000002</v>
      </c>
      <c r="S154" s="19">
        <f>Mitigation_Industry!$Z$668</f>
        <v>0.90200000000000002</v>
      </c>
      <c r="T154" s="19">
        <f>Mitigation_Industry!$Z$668</f>
        <v>0.90200000000000002</v>
      </c>
      <c r="U154" s="19">
        <f>Mitigation_Industry!$Z$668</f>
        <v>0.90200000000000002</v>
      </c>
      <c r="V154" s="19">
        <f>Mitigation_Industry!$Z$668</f>
        <v>0.90200000000000002</v>
      </c>
      <c r="W154" s="19">
        <f>Mitigation_Industry!$Z$668</f>
        <v>0.90200000000000002</v>
      </c>
      <c r="X154" s="19">
        <f>Mitigation_Industry!$Z$668</f>
        <v>0.90200000000000002</v>
      </c>
      <c r="Y154" s="19">
        <f>Mitigation_Industry!$Z$668</f>
        <v>0.90200000000000002</v>
      </c>
      <c r="Z154" s="19">
        <f>Mitigation_Industry!$Z$668</f>
        <v>0.90200000000000002</v>
      </c>
      <c r="AA154" s="19">
        <f>Mitigation_Industry!$Z$668</f>
        <v>0.90200000000000002</v>
      </c>
      <c r="AB154" s="19">
        <f>Mitigation_Industry!$Z$668</f>
        <v>0.90200000000000002</v>
      </c>
      <c r="AC154" s="19">
        <f>Mitigation_Industry!$Z$668</f>
        <v>0.90200000000000002</v>
      </c>
      <c r="AD154" s="19">
        <f>Mitigation_Industry!$Z$668</f>
        <v>0.90200000000000002</v>
      </c>
      <c r="AE154" s="19">
        <f>Mitigation_Industry!$Z$668</f>
        <v>0.90200000000000002</v>
      </c>
    </row>
    <row r="155" spans="1:35" customFormat="1" ht="14.25" x14ac:dyDescent="0.45">
      <c r="B155" s="14" t="s">
        <v>1470</v>
      </c>
      <c r="C155" s="14" t="s">
        <v>117</v>
      </c>
      <c r="D155" s="15" t="s">
        <v>2091</v>
      </c>
      <c r="E155" s="16" t="s">
        <v>2084</v>
      </c>
      <c r="F155" s="14" t="s">
        <v>2082</v>
      </c>
      <c r="G155" s="17"/>
      <c r="H155" s="114" t="str">
        <f>Settings!$B$3&amp;".mit.obrbm.frt.nit.2"</f>
        <v>egy.mit.obrbm.frt.nit.2</v>
      </c>
      <c r="K155" s="18"/>
      <c r="L155" s="19">
        <f>Mitigation_Industry!$Z$669</f>
        <v>0.30199999999999999</v>
      </c>
      <c r="M155" s="19">
        <f>Mitigation_Industry!$Z$669</f>
        <v>0.30199999999999999</v>
      </c>
      <c r="N155" s="19">
        <f>Mitigation_Industry!$Z$669</f>
        <v>0.30199999999999999</v>
      </c>
      <c r="O155" s="19">
        <f>Mitigation_Industry!$Z$669</f>
        <v>0.30199999999999999</v>
      </c>
      <c r="P155" s="19">
        <f>Mitigation_Industry!$Z$669</f>
        <v>0.30199999999999999</v>
      </c>
      <c r="Q155" s="19">
        <f>Mitigation_Industry!$Z$669</f>
        <v>0.30199999999999999</v>
      </c>
      <c r="R155" s="19">
        <f>Mitigation_Industry!$Z$669</f>
        <v>0.30199999999999999</v>
      </c>
      <c r="S155" s="19">
        <f>Mitigation_Industry!$Z$669</f>
        <v>0.30199999999999999</v>
      </c>
      <c r="T155" s="19">
        <f>Mitigation_Industry!$Z$669</f>
        <v>0.30199999999999999</v>
      </c>
      <c r="U155" s="19">
        <f>Mitigation_Industry!$Z$669</f>
        <v>0.30199999999999999</v>
      </c>
      <c r="V155" s="19">
        <f>Mitigation_Industry!$Z$669</f>
        <v>0.30199999999999999</v>
      </c>
      <c r="W155" s="19">
        <f>Mitigation_Industry!$Z$669</f>
        <v>0.30199999999999999</v>
      </c>
      <c r="X155" s="19">
        <f>Mitigation_Industry!$Z$669</f>
        <v>0.30199999999999999</v>
      </c>
      <c r="Y155" s="19">
        <f>Mitigation_Industry!$Z$669</f>
        <v>0.30199999999999999</v>
      </c>
      <c r="Z155" s="19">
        <f>Mitigation_Industry!$Z$669</f>
        <v>0.30199999999999999</v>
      </c>
      <c r="AA155" s="19">
        <f>Mitigation_Industry!$Z$669</f>
        <v>0.30199999999999999</v>
      </c>
      <c r="AB155" s="19">
        <f>Mitigation_Industry!$Z$669</f>
        <v>0.30199999999999999</v>
      </c>
      <c r="AC155" s="19">
        <f>Mitigation_Industry!$Z$669</f>
        <v>0.30199999999999999</v>
      </c>
      <c r="AD155" s="19">
        <f>Mitigation_Industry!$Z$669</f>
        <v>0.30199999999999999</v>
      </c>
      <c r="AE155" s="19">
        <f>Mitigation_Industry!$Z$669</f>
        <v>0.30199999999999999</v>
      </c>
    </row>
    <row r="156" spans="1:35" customFormat="1" ht="14.25" x14ac:dyDescent="0.45">
      <c r="B156" s="14" t="s">
        <v>1473</v>
      </c>
      <c r="C156" s="14" t="s">
        <v>115</v>
      </c>
      <c r="D156" s="15" t="s">
        <v>2092</v>
      </c>
      <c r="E156" s="16" t="s">
        <v>2084</v>
      </c>
      <c r="F156" s="14" t="s">
        <v>2082</v>
      </c>
      <c r="G156" s="17"/>
      <c r="H156" s="114" t="str">
        <f>Settings!$B$3&amp;".mit.obrbm.alu.prp.2"</f>
        <v>egy.mit.obrbm.alu.prp.2</v>
      </c>
      <c r="K156" s="18"/>
      <c r="L156" s="19">
        <f>Mitigation_Industry!$Z$670</f>
        <v>1.423</v>
      </c>
      <c r="M156" s="19">
        <f>Mitigation_Industry!$Z$670</f>
        <v>1.423</v>
      </c>
      <c r="N156" s="19">
        <f>Mitigation_Industry!$Z$670</f>
        <v>1.423</v>
      </c>
      <c r="O156" s="19">
        <f>Mitigation_Industry!$Z$670</f>
        <v>1.423</v>
      </c>
      <c r="P156" s="19">
        <f>Mitigation_Industry!$Z$670</f>
        <v>1.423</v>
      </c>
      <c r="Q156" s="19">
        <f>Mitigation_Industry!$Z$670</f>
        <v>1.423</v>
      </c>
      <c r="R156" s="19">
        <f>Mitigation_Industry!$Z$670</f>
        <v>1.423</v>
      </c>
      <c r="S156" s="19">
        <f>Mitigation_Industry!$Z$670</f>
        <v>1.423</v>
      </c>
      <c r="T156" s="19">
        <f>Mitigation_Industry!$Z$670</f>
        <v>1.423</v>
      </c>
      <c r="U156" s="19">
        <f>Mitigation_Industry!$Z$670</f>
        <v>1.423</v>
      </c>
      <c r="V156" s="19">
        <f>Mitigation_Industry!$Z$670</f>
        <v>1.423</v>
      </c>
      <c r="W156" s="19">
        <f>Mitigation_Industry!$Z$670</f>
        <v>1.423</v>
      </c>
      <c r="X156" s="19">
        <f>Mitigation_Industry!$Z$670</f>
        <v>1.423</v>
      </c>
      <c r="Y156" s="19">
        <f>Mitigation_Industry!$Z$670</f>
        <v>1.423</v>
      </c>
      <c r="Z156" s="19">
        <f>Mitigation_Industry!$Z$670</f>
        <v>1.423</v>
      </c>
      <c r="AA156" s="19">
        <f>Mitigation_Industry!$Z$670</f>
        <v>1.423</v>
      </c>
      <c r="AB156" s="19">
        <f>Mitigation_Industry!$Z$670</f>
        <v>1.423</v>
      </c>
      <c r="AC156" s="19">
        <f>Mitigation_Industry!$Z$670</f>
        <v>1.423</v>
      </c>
      <c r="AD156" s="19">
        <f>Mitigation_Industry!$Z$670</f>
        <v>1.423</v>
      </c>
      <c r="AE156" s="19">
        <f>Mitigation_Industry!$Z$670</f>
        <v>1.423</v>
      </c>
    </row>
    <row r="158" spans="1:35" customFormat="1" ht="14.25" x14ac:dyDescent="0.45">
      <c r="A158" s="11"/>
      <c r="B158" s="6"/>
      <c r="C158" s="7" t="s">
        <v>2093</v>
      </c>
      <c r="D158" s="6" t="s">
        <v>1505</v>
      </c>
      <c r="E158" s="7" t="s">
        <v>35</v>
      </c>
      <c r="F158" s="7" t="s">
        <v>45</v>
      </c>
      <c r="G158" s="7" t="s">
        <v>37</v>
      </c>
      <c r="H158" s="12" t="s">
        <v>38</v>
      </c>
      <c r="I158" s="6" t="s">
        <v>39</v>
      </c>
      <c r="J158" s="48">
        <v>2</v>
      </c>
      <c r="K158" s="6">
        <v>2021</v>
      </c>
      <c r="L158" s="46">
        <v>2022</v>
      </c>
      <c r="M158" s="6">
        <v>2023</v>
      </c>
      <c r="N158" s="6">
        <v>2024</v>
      </c>
      <c r="O158" s="6">
        <v>2025</v>
      </c>
      <c r="P158" s="6">
        <v>2026</v>
      </c>
      <c r="Q158" s="6">
        <v>2027</v>
      </c>
      <c r="R158" s="6">
        <v>2028</v>
      </c>
      <c r="S158" s="6">
        <v>2029</v>
      </c>
      <c r="T158" s="6">
        <v>2030</v>
      </c>
      <c r="U158" s="6">
        <v>2031</v>
      </c>
      <c r="V158" s="6">
        <v>2032</v>
      </c>
      <c r="W158" s="6">
        <v>2033</v>
      </c>
      <c r="X158" s="6">
        <v>2034</v>
      </c>
      <c r="Y158" s="6">
        <v>2035</v>
      </c>
      <c r="Z158" s="6">
        <v>2036</v>
      </c>
      <c r="AA158" s="6">
        <v>2037</v>
      </c>
      <c r="AB158" s="6">
        <v>2038</v>
      </c>
      <c r="AC158" s="6">
        <v>2039</v>
      </c>
      <c r="AD158" s="6">
        <v>2040</v>
      </c>
      <c r="AE158" s="6">
        <v>2041</v>
      </c>
      <c r="AF158" s="6">
        <v>2042</v>
      </c>
      <c r="AG158" s="6">
        <v>2043</v>
      </c>
      <c r="AH158" s="6">
        <v>2044</v>
      </c>
      <c r="AI158" s="6">
        <v>2045</v>
      </c>
    </row>
    <row r="159" spans="1:35" customFormat="1" ht="14.25" x14ac:dyDescent="0.45">
      <c r="B159" s="14" t="s">
        <v>1452</v>
      </c>
      <c r="C159" s="14" t="s">
        <v>43</v>
      </c>
      <c r="D159" s="15" t="s">
        <v>2094</v>
      </c>
      <c r="E159" s="16" t="s">
        <v>2095</v>
      </c>
      <c r="F159" s="14" t="s">
        <v>2093</v>
      </c>
      <c r="G159" s="17"/>
      <c r="H159" s="114" t="str">
        <f>Settings!$B$3&amp;".mit.ccpt.stl.drg.2"</f>
        <v>egy.mit.ccpt.stl.drg.2</v>
      </c>
      <c r="I159" t="s">
        <v>2096</v>
      </c>
      <c r="K159" s="18"/>
      <c r="L159" s="19">
        <f>Mitigation_Industry!L$698+Mitigation_Industry!L$709</f>
        <v>0</v>
      </c>
      <c r="M159" s="19">
        <f>Mitigation_Industry!M$698+Mitigation_Industry!M$709</f>
        <v>0</v>
      </c>
      <c r="N159" s="19">
        <f>Mitigation_Industry!N$698+Mitigation_Industry!N$709</f>
        <v>0</v>
      </c>
      <c r="O159" s="19">
        <f>Mitigation_Industry!O$698+Mitigation_Industry!O$709</f>
        <v>0</v>
      </c>
      <c r="P159" s="19">
        <f>Mitigation_Industry!P$698+Mitigation_Industry!P$709</f>
        <v>0</v>
      </c>
      <c r="Q159" s="19">
        <f>Mitigation_Industry!Q$698+Mitigation_Industry!Q$709</f>
        <v>8.625375</v>
      </c>
      <c r="R159" s="19">
        <f>Mitigation_Industry!R$698+Mitigation_Industry!R$709</f>
        <v>17.25075</v>
      </c>
      <c r="S159" s="19">
        <f>Mitigation_Industry!S$698+Mitigation_Industry!S$709</f>
        <v>25.876125000000002</v>
      </c>
      <c r="T159" s="19">
        <f>Mitigation_Industry!T$698+Mitigation_Industry!T$709</f>
        <v>34.5015</v>
      </c>
      <c r="U159" s="19">
        <f>Mitigation_Industry!U$698+Mitigation_Industry!U$709</f>
        <v>43.126875000000005</v>
      </c>
      <c r="V159" s="19">
        <f>Mitigation_Industry!V$698+Mitigation_Industry!V$709</f>
        <v>51.752250000000004</v>
      </c>
      <c r="W159" s="19">
        <f>Mitigation_Industry!W$698+Mitigation_Industry!W$709</f>
        <v>60.377625000000002</v>
      </c>
      <c r="X159" s="19">
        <f>Mitigation_Industry!X$698+Mitigation_Industry!X$709</f>
        <v>69.003</v>
      </c>
      <c r="Y159" s="19">
        <f>Mitigation_Industry!Y$698+Mitigation_Industry!Y$709</f>
        <v>77.628375000000005</v>
      </c>
      <c r="Z159" s="19">
        <f>Mitigation_Industry!Z$698+Mitigation_Industry!Z$709</f>
        <v>86.253750000000011</v>
      </c>
      <c r="AA159" s="19">
        <f>Mitigation_Industry!AA$698+Mitigation_Industry!AA$709</f>
        <v>94.879125000000002</v>
      </c>
      <c r="AB159" s="19">
        <f>Mitigation_Industry!AB$698+Mitigation_Industry!AB$709</f>
        <v>103.50450000000001</v>
      </c>
      <c r="AC159" s="19">
        <f>Mitigation_Industry!AC$698+Mitigation_Industry!AC$709</f>
        <v>112.129875</v>
      </c>
      <c r="AD159" s="19">
        <f>Mitigation_Industry!AD$698+Mitigation_Industry!AD$709</f>
        <v>120.75525</v>
      </c>
      <c r="AE159" s="19">
        <f>Mitigation_Industry!AE$698+Mitigation_Industry!AE$709</f>
        <v>129.38062500000001</v>
      </c>
    </row>
    <row r="160" spans="1:35" customFormat="1" ht="14.25" x14ac:dyDescent="0.45">
      <c r="B160" s="14" t="s">
        <v>1455</v>
      </c>
      <c r="C160" s="14" t="s">
        <v>43</v>
      </c>
      <c r="D160" s="15" t="s">
        <v>2097</v>
      </c>
      <c r="E160" s="16" t="s">
        <v>2095</v>
      </c>
      <c r="F160" s="14" t="s">
        <v>2093</v>
      </c>
      <c r="G160" s="17"/>
      <c r="H160" s="114" t="str">
        <f>Settings!$B$3&amp;".mit.ccpt.stl.scr.2"</f>
        <v>egy.mit.ccpt.stl.scr.2</v>
      </c>
      <c r="K160" s="18"/>
      <c r="L160" s="19">
        <f>Mitigation_Industry!L$699+Mitigation_Industry!L$710</f>
        <v>0</v>
      </c>
      <c r="M160" s="19">
        <f>Mitigation_Industry!M$699+Mitigation_Industry!M$710</f>
        <v>0</v>
      </c>
      <c r="N160" s="19">
        <f>Mitigation_Industry!N$699+Mitigation_Industry!N$710</f>
        <v>0</v>
      </c>
      <c r="O160" s="19">
        <f>Mitigation_Industry!O$699+Mitigation_Industry!O$710</f>
        <v>0</v>
      </c>
      <c r="P160" s="19">
        <f>Mitigation_Industry!P$699+Mitigation_Industry!P$710</f>
        <v>0</v>
      </c>
      <c r="Q160" s="19">
        <f>Mitigation_Industry!Q$699+Mitigation_Industry!Q$710</f>
        <v>1.7531250000000003</v>
      </c>
      <c r="R160" s="19">
        <f>Mitigation_Industry!R$699+Mitigation_Industry!R$710</f>
        <v>3.5062500000000005</v>
      </c>
      <c r="S160" s="19">
        <f>Mitigation_Industry!S$699+Mitigation_Industry!S$710</f>
        <v>5.2593750000000004</v>
      </c>
      <c r="T160" s="19">
        <f>Mitigation_Industry!T$699+Mitigation_Industry!T$710</f>
        <v>7.0125000000000011</v>
      </c>
      <c r="U160" s="19">
        <f>Mitigation_Industry!U$699+Mitigation_Industry!U$710</f>
        <v>8.765625</v>
      </c>
      <c r="V160" s="19">
        <f>Mitigation_Industry!V$699+Mitigation_Industry!V$710</f>
        <v>10.518750000000001</v>
      </c>
      <c r="W160" s="19">
        <f>Mitigation_Industry!W$699+Mitigation_Industry!W$710</f>
        <v>12.271875000000001</v>
      </c>
      <c r="X160" s="19">
        <f>Mitigation_Industry!X$699+Mitigation_Industry!X$710</f>
        <v>14.025000000000002</v>
      </c>
      <c r="Y160" s="19">
        <f>Mitigation_Industry!Y$699+Mitigation_Industry!Y$710</f>
        <v>15.778125000000001</v>
      </c>
      <c r="Z160" s="19">
        <f>Mitigation_Industry!Z$699+Mitigation_Industry!Z$710</f>
        <v>17.53125</v>
      </c>
      <c r="AA160" s="19">
        <f>Mitigation_Industry!AA$699+Mitigation_Industry!AA$710</f>
        <v>19.284375000000001</v>
      </c>
      <c r="AB160" s="19">
        <f>Mitigation_Industry!AB$699+Mitigation_Industry!AB$710</f>
        <v>21.037500000000001</v>
      </c>
      <c r="AC160" s="19">
        <f>Mitigation_Industry!AC$699+Mitigation_Industry!AC$710</f>
        <v>22.790625000000002</v>
      </c>
      <c r="AD160" s="19">
        <f>Mitigation_Industry!AD$699+Mitigation_Industry!AD$710</f>
        <v>24.543750000000003</v>
      </c>
      <c r="AE160" s="19">
        <f>Mitigation_Industry!AE$699+Mitigation_Industry!AE$710</f>
        <v>26.296875000000004</v>
      </c>
    </row>
    <row r="161" spans="1:35" customFormat="1" ht="14.25" x14ac:dyDescent="0.45">
      <c r="B161" s="14" t="s">
        <v>1458</v>
      </c>
      <c r="C161" s="14" t="s">
        <v>43</v>
      </c>
      <c r="D161" s="15" t="s">
        <v>2098</v>
      </c>
      <c r="E161" s="16" t="s">
        <v>2095</v>
      </c>
      <c r="F161" s="14" t="s">
        <v>2093</v>
      </c>
      <c r="G161" s="17"/>
      <c r="H161" s="114" t="str">
        <f>Settings!$B$3&amp;".mit.ccpt.stl.bof.2"</f>
        <v>egy.mit.ccpt.stl.bof.2</v>
      </c>
      <c r="K161" s="18"/>
      <c r="L161" s="19">
        <f>Mitigation_Industry!L$700+Mitigation_Industry!L$711</f>
        <v>0</v>
      </c>
      <c r="M161" s="19">
        <f>Mitigation_Industry!M$700+Mitigation_Industry!M$711</f>
        <v>0</v>
      </c>
      <c r="N161" s="19">
        <f>Mitigation_Industry!N$700+Mitigation_Industry!N$711</f>
        <v>0</v>
      </c>
      <c r="O161" s="19">
        <f>Mitigation_Industry!O$700+Mitigation_Industry!O$711</f>
        <v>0</v>
      </c>
      <c r="P161" s="19">
        <f>Mitigation_Industry!P$700+Mitigation_Industry!P$711</f>
        <v>0</v>
      </c>
      <c r="Q161" s="19">
        <f>Mitigation_Industry!Q$700+Mitigation_Industry!Q$711</f>
        <v>24.025000000000002</v>
      </c>
      <c r="R161" s="19">
        <f>Mitigation_Industry!R$700+Mitigation_Industry!R$711</f>
        <v>48.050000000000004</v>
      </c>
      <c r="S161" s="19">
        <f>Mitigation_Industry!S$700+Mitigation_Industry!S$711</f>
        <v>72.075000000000003</v>
      </c>
      <c r="T161" s="19">
        <f>Mitigation_Industry!T$700+Mitigation_Industry!T$711</f>
        <v>96.100000000000009</v>
      </c>
      <c r="U161" s="19">
        <f>Mitigation_Industry!U$700+Mitigation_Industry!U$711</f>
        <v>120.12500000000001</v>
      </c>
      <c r="V161" s="19">
        <f>Mitigation_Industry!V$700+Mitigation_Industry!V$711</f>
        <v>144.15</v>
      </c>
      <c r="W161" s="19">
        <f>Mitigation_Industry!W$700+Mitigation_Industry!W$711</f>
        <v>168.17500000000001</v>
      </c>
      <c r="X161" s="19">
        <f>Mitigation_Industry!X$700+Mitigation_Industry!X$711</f>
        <v>192.20000000000002</v>
      </c>
      <c r="Y161" s="19">
        <f>Mitigation_Industry!Y$700+Mitigation_Industry!Y$711</f>
        <v>216.22500000000002</v>
      </c>
      <c r="Z161" s="19">
        <f>Mitigation_Industry!Z$700+Mitigation_Industry!Z$711</f>
        <v>240.25000000000003</v>
      </c>
      <c r="AA161" s="19">
        <f>Mitigation_Industry!AA$700+Mitigation_Industry!AA$711</f>
        <v>264.27500000000003</v>
      </c>
      <c r="AB161" s="19">
        <f>Mitigation_Industry!AB$700+Mitigation_Industry!AB$711</f>
        <v>288.3</v>
      </c>
      <c r="AC161" s="19">
        <f>Mitigation_Industry!AC$700+Mitigation_Industry!AC$711</f>
        <v>312.32500000000005</v>
      </c>
      <c r="AD161" s="19">
        <f>Mitigation_Industry!AD$700+Mitigation_Industry!AD$711</f>
        <v>336.35</v>
      </c>
      <c r="AE161" s="19">
        <f>Mitigation_Industry!AE$700+Mitigation_Industry!AE$711</f>
        <v>360.37500000000006</v>
      </c>
    </row>
    <row r="162" spans="1:35" customFormat="1" ht="14.25" x14ac:dyDescent="0.45">
      <c r="B162" s="14" t="s">
        <v>1461</v>
      </c>
      <c r="C162" s="14" t="s">
        <v>113</v>
      </c>
      <c r="D162" s="15" t="s">
        <v>2099</v>
      </c>
      <c r="E162" s="16" t="s">
        <v>2095</v>
      </c>
      <c r="F162" s="14" t="s">
        <v>2093</v>
      </c>
      <c r="G162" s="17"/>
      <c r="H162" s="114" t="str">
        <f>Settings!$B$3&amp;".mit.ccpt.cmt.dry.2"</f>
        <v>egy.mit.ccpt.cmt.dry.2</v>
      </c>
      <c r="K162" s="18"/>
      <c r="L162" s="19">
        <f>Mitigation_Industry!L$701+Mitigation_Industry!L$712</f>
        <v>0</v>
      </c>
      <c r="M162" s="19">
        <f>Mitigation_Industry!M$701+Mitigation_Industry!M$712</f>
        <v>0</v>
      </c>
      <c r="N162" s="19">
        <f>Mitigation_Industry!N$701+Mitigation_Industry!N$712</f>
        <v>0</v>
      </c>
      <c r="O162" s="19">
        <f>Mitigation_Industry!O$701+Mitigation_Industry!O$712</f>
        <v>0</v>
      </c>
      <c r="P162" s="19">
        <f>Mitigation_Industry!P$701+Mitigation_Industry!P$712</f>
        <v>0</v>
      </c>
      <c r="Q162" s="19">
        <f>Mitigation_Industry!Q$701+Mitigation_Industry!Q$712</f>
        <v>3.6037499999999998</v>
      </c>
      <c r="R162" s="19">
        <f>Mitigation_Industry!R$701+Mitigation_Industry!R$712</f>
        <v>7.2074999999999996</v>
      </c>
      <c r="S162" s="19">
        <f>Mitigation_Industry!S$701+Mitigation_Industry!S$712</f>
        <v>10.811249999999999</v>
      </c>
      <c r="T162" s="19">
        <f>Mitigation_Industry!T$701+Mitigation_Industry!T$712</f>
        <v>14.414999999999999</v>
      </c>
      <c r="U162" s="19">
        <f>Mitigation_Industry!U$701+Mitigation_Industry!U$712</f>
        <v>18.018750000000001</v>
      </c>
      <c r="V162" s="19">
        <f>Mitigation_Industry!V$701+Mitigation_Industry!V$712</f>
        <v>21.622499999999999</v>
      </c>
      <c r="W162" s="19">
        <f>Mitigation_Industry!W$701+Mitigation_Industry!W$712</f>
        <v>25.22625</v>
      </c>
      <c r="X162" s="19">
        <f>Mitigation_Industry!X$701+Mitigation_Industry!X$712</f>
        <v>28.83</v>
      </c>
      <c r="Y162" s="19">
        <f>Mitigation_Industry!Y$701+Mitigation_Industry!Y$712</f>
        <v>32.433750000000003</v>
      </c>
      <c r="Z162" s="19">
        <f>Mitigation_Industry!Z$701+Mitigation_Industry!Z$712</f>
        <v>36.037500000000001</v>
      </c>
      <c r="AA162" s="19">
        <f>Mitigation_Industry!AA$701+Mitigation_Industry!AA$712</f>
        <v>39.641249999999999</v>
      </c>
      <c r="AB162" s="19">
        <f>Mitigation_Industry!AB$701+Mitigation_Industry!AB$712</f>
        <v>43.244999999999997</v>
      </c>
      <c r="AC162" s="19">
        <f>Mitigation_Industry!AC$701+Mitigation_Industry!AC$712</f>
        <v>46.848750000000003</v>
      </c>
      <c r="AD162" s="19">
        <f>Mitigation_Industry!AD$701+Mitigation_Industry!AD$712</f>
        <v>50.452500000000001</v>
      </c>
      <c r="AE162" s="19">
        <f>Mitigation_Industry!AE$701+Mitigation_Industry!AE$712</f>
        <v>54.056249999999999</v>
      </c>
    </row>
    <row r="163" spans="1:35" customFormat="1" ht="14.25" x14ac:dyDescent="0.45">
      <c r="B163" s="14" t="s">
        <v>1464</v>
      </c>
      <c r="C163" s="14" t="s">
        <v>117</v>
      </c>
      <c r="D163" s="15" t="s">
        <v>2100</v>
      </c>
      <c r="E163" s="16" t="s">
        <v>2095</v>
      </c>
      <c r="F163" s="14" t="s">
        <v>2093</v>
      </c>
      <c r="G163" s="17"/>
      <c r="H163" s="114" t="str">
        <f>Settings!$B$3&amp;".mit.ccpt.frt.amc.2"</f>
        <v>egy.mit.ccpt.frt.amc.2</v>
      </c>
      <c r="K163" s="18"/>
      <c r="L163" s="19">
        <f>Mitigation_Industry!L$702+Mitigation_Industry!L$713</f>
        <v>0</v>
      </c>
      <c r="M163" s="19">
        <f>Mitigation_Industry!M$702+Mitigation_Industry!M$713</f>
        <v>0</v>
      </c>
      <c r="N163" s="19">
        <f>Mitigation_Industry!N$702+Mitigation_Industry!N$713</f>
        <v>0</v>
      </c>
      <c r="O163" s="19">
        <f>Mitigation_Industry!O$702+Mitigation_Industry!O$713</f>
        <v>0</v>
      </c>
      <c r="P163" s="19">
        <f>Mitigation_Industry!P$702+Mitigation_Industry!P$713</f>
        <v>0</v>
      </c>
      <c r="Q163" s="19">
        <f>Mitigation_Industry!Q$702+Mitigation_Industry!Q$713</f>
        <v>23.141249999999999</v>
      </c>
      <c r="R163" s="19">
        <f>Mitigation_Industry!R$702+Mitigation_Industry!R$713</f>
        <v>46.282499999999999</v>
      </c>
      <c r="S163" s="19">
        <f>Mitigation_Industry!S$702+Mitigation_Industry!S$713</f>
        <v>69.423749999999998</v>
      </c>
      <c r="T163" s="19">
        <f>Mitigation_Industry!T$702+Mitigation_Industry!T$713</f>
        <v>92.564999999999998</v>
      </c>
      <c r="U163" s="19">
        <f>Mitigation_Industry!U$702+Mitigation_Industry!U$713</f>
        <v>115.70625</v>
      </c>
      <c r="V163" s="19">
        <f>Mitigation_Industry!V$702+Mitigation_Industry!V$713</f>
        <v>138.8475</v>
      </c>
      <c r="W163" s="19">
        <f>Mitigation_Industry!W$702+Mitigation_Industry!W$713</f>
        <v>161.98874999999998</v>
      </c>
      <c r="X163" s="19">
        <f>Mitigation_Industry!X$702+Mitigation_Industry!X$713</f>
        <v>185.13</v>
      </c>
      <c r="Y163" s="19">
        <f>Mitigation_Industry!Y$702+Mitigation_Industry!Y$713</f>
        <v>208.27124999999998</v>
      </c>
      <c r="Z163" s="19">
        <f>Mitigation_Industry!Z$702+Mitigation_Industry!Z$713</f>
        <v>231.41249999999999</v>
      </c>
      <c r="AA163" s="19">
        <f>Mitigation_Industry!AA$702+Mitigation_Industry!AA$713</f>
        <v>254.55374999999998</v>
      </c>
      <c r="AB163" s="19">
        <f>Mitigation_Industry!AB$702+Mitigation_Industry!AB$713</f>
        <v>277.69499999999999</v>
      </c>
      <c r="AC163" s="19">
        <f>Mitigation_Industry!AC$702+Mitigation_Industry!AC$713</f>
        <v>300.83625000000001</v>
      </c>
      <c r="AD163" s="19">
        <f>Mitigation_Industry!AD$702+Mitigation_Industry!AD$713</f>
        <v>323.97749999999996</v>
      </c>
      <c r="AE163" s="19">
        <f>Mitigation_Industry!AE$702+Mitigation_Industry!AE$713</f>
        <v>347.11874999999998</v>
      </c>
    </row>
    <row r="164" spans="1:35" customFormat="1" ht="14.25" x14ac:dyDescent="0.45">
      <c r="B164" s="14" t="s">
        <v>1467</v>
      </c>
      <c r="C164" s="14" t="s">
        <v>117</v>
      </c>
      <c r="D164" s="15" t="s">
        <v>2101</v>
      </c>
      <c r="E164" s="16" t="s">
        <v>2095</v>
      </c>
      <c r="F164" s="14" t="s">
        <v>2093</v>
      </c>
      <c r="G164" s="17"/>
      <c r="H164" s="114" t="str">
        <f>Settings!$B$3&amp;".mit.ccpt.frt.ure.2"</f>
        <v>egy.mit.ccpt.frt.ure.2</v>
      </c>
      <c r="K164" s="18"/>
      <c r="L164" s="19">
        <f>Mitigation_Industry!L$703+Mitigation_Industry!L$714</f>
        <v>0</v>
      </c>
      <c r="M164" s="19">
        <f>Mitigation_Industry!M$703+Mitigation_Industry!M$714</f>
        <v>0</v>
      </c>
      <c r="N164" s="19">
        <f>Mitigation_Industry!N$703+Mitigation_Industry!N$714</f>
        <v>0</v>
      </c>
      <c r="O164" s="19">
        <f>Mitigation_Industry!O$703+Mitigation_Industry!O$714</f>
        <v>0</v>
      </c>
      <c r="P164" s="19">
        <f>Mitigation_Industry!P$703+Mitigation_Industry!P$714</f>
        <v>0</v>
      </c>
      <c r="Q164" s="19">
        <f>Mitigation_Industry!Q$703+Mitigation_Industry!Q$714</f>
        <v>1.4024999999999999</v>
      </c>
      <c r="R164" s="19">
        <f>Mitigation_Industry!R$703+Mitigation_Industry!R$714</f>
        <v>2.8049999999999997</v>
      </c>
      <c r="S164" s="19">
        <f>Mitigation_Industry!S$703+Mitigation_Industry!S$714</f>
        <v>4.2074999999999996</v>
      </c>
      <c r="T164" s="19">
        <f>Mitigation_Industry!T$703+Mitigation_Industry!T$714</f>
        <v>5.6099999999999994</v>
      </c>
      <c r="U164" s="19">
        <f>Mitigation_Industry!U$703+Mitigation_Industry!U$714</f>
        <v>7.0124999999999993</v>
      </c>
      <c r="V164" s="19">
        <f>Mitigation_Industry!V$703+Mitigation_Industry!V$714</f>
        <v>8.4149999999999991</v>
      </c>
      <c r="W164" s="19">
        <f>Mitigation_Industry!W$703+Mitigation_Industry!W$714</f>
        <v>9.817499999999999</v>
      </c>
      <c r="X164" s="19">
        <f>Mitigation_Industry!X$703+Mitigation_Industry!X$714</f>
        <v>11.219999999999999</v>
      </c>
      <c r="Y164" s="19">
        <f>Mitigation_Industry!Y$703+Mitigation_Industry!Y$714</f>
        <v>12.622499999999999</v>
      </c>
      <c r="Z164" s="19">
        <f>Mitigation_Industry!Z$703+Mitigation_Industry!Z$714</f>
        <v>14.024999999999999</v>
      </c>
      <c r="AA164" s="19">
        <f>Mitigation_Industry!AA$703+Mitigation_Industry!AA$714</f>
        <v>15.427499999999998</v>
      </c>
      <c r="AB164" s="19">
        <f>Mitigation_Industry!AB$703+Mitigation_Industry!AB$714</f>
        <v>16.829999999999998</v>
      </c>
      <c r="AC164" s="19">
        <f>Mitigation_Industry!AC$703+Mitigation_Industry!AC$714</f>
        <v>18.232499999999998</v>
      </c>
      <c r="AD164" s="19">
        <f>Mitigation_Industry!AD$703+Mitigation_Industry!AD$714</f>
        <v>19.634999999999998</v>
      </c>
      <c r="AE164" s="19">
        <f>Mitigation_Industry!AE$703+Mitigation_Industry!AE$714</f>
        <v>21.037499999999998</v>
      </c>
    </row>
    <row r="165" spans="1:35" customFormat="1" ht="14.25" x14ac:dyDescent="0.45">
      <c r="B165" s="14" t="s">
        <v>1470</v>
      </c>
      <c r="C165" s="14" t="s">
        <v>117</v>
      </c>
      <c r="D165" s="15" t="s">
        <v>2102</v>
      </c>
      <c r="E165" s="16" t="s">
        <v>2095</v>
      </c>
      <c r="F165" s="14" t="s">
        <v>2093</v>
      </c>
      <c r="G165" s="17"/>
      <c r="H165" s="114" t="str">
        <f>Settings!$B$3&amp;".mit.ccpt.frt.nit.2"</f>
        <v>egy.mit.ccpt.frt.nit.2</v>
      </c>
      <c r="K165" s="18"/>
      <c r="L165" s="19">
        <f>Mitigation_Industry!L$704+Mitigation_Industry!L$715</f>
        <v>0</v>
      </c>
      <c r="M165" s="19">
        <f>Mitigation_Industry!M$704+Mitigation_Industry!M$715</f>
        <v>0</v>
      </c>
      <c r="N165" s="19">
        <f>Mitigation_Industry!N$704+Mitigation_Industry!N$715</f>
        <v>0</v>
      </c>
      <c r="O165" s="19">
        <f>Mitigation_Industry!O$704+Mitigation_Industry!O$715</f>
        <v>0</v>
      </c>
      <c r="P165" s="19">
        <f>Mitigation_Industry!P$704+Mitigation_Industry!P$715</f>
        <v>0</v>
      </c>
      <c r="Q165" s="19">
        <f>Mitigation_Industry!Q$704+Mitigation_Industry!Q$715</f>
        <v>1.4024999999999999</v>
      </c>
      <c r="R165" s="19">
        <f>Mitigation_Industry!R$704+Mitigation_Industry!R$715</f>
        <v>2.8049999999999997</v>
      </c>
      <c r="S165" s="19">
        <f>Mitigation_Industry!S$704+Mitigation_Industry!S$715</f>
        <v>4.2074999999999996</v>
      </c>
      <c r="T165" s="19">
        <f>Mitigation_Industry!T$704+Mitigation_Industry!T$715</f>
        <v>5.6099999999999994</v>
      </c>
      <c r="U165" s="19">
        <f>Mitigation_Industry!U$704+Mitigation_Industry!U$715</f>
        <v>7.0124999999999993</v>
      </c>
      <c r="V165" s="19">
        <f>Mitigation_Industry!V$704+Mitigation_Industry!V$715</f>
        <v>8.4149999999999991</v>
      </c>
      <c r="W165" s="19">
        <f>Mitigation_Industry!W$704+Mitigation_Industry!W$715</f>
        <v>9.817499999999999</v>
      </c>
      <c r="X165" s="19">
        <f>Mitigation_Industry!X$704+Mitigation_Industry!X$715</f>
        <v>11.219999999999999</v>
      </c>
      <c r="Y165" s="19">
        <f>Mitigation_Industry!Y$704+Mitigation_Industry!Y$715</f>
        <v>12.622499999999999</v>
      </c>
      <c r="Z165" s="19">
        <f>Mitigation_Industry!Z$704+Mitigation_Industry!Z$715</f>
        <v>14.024999999999999</v>
      </c>
      <c r="AA165" s="19">
        <f>Mitigation_Industry!AA$704+Mitigation_Industry!AA$715</f>
        <v>15.427499999999998</v>
      </c>
      <c r="AB165" s="19">
        <f>Mitigation_Industry!AB$704+Mitigation_Industry!AB$715</f>
        <v>16.829999999999998</v>
      </c>
      <c r="AC165" s="19">
        <f>Mitigation_Industry!AC$704+Mitigation_Industry!AC$715</f>
        <v>18.232499999999998</v>
      </c>
      <c r="AD165" s="19">
        <f>Mitigation_Industry!AD$704+Mitigation_Industry!AD$715</f>
        <v>19.634999999999998</v>
      </c>
      <c r="AE165" s="19">
        <f>Mitigation_Industry!AE$704+Mitigation_Industry!AE$715</f>
        <v>21.037499999999998</v>
      </c>
    </row>
    <row r="166" spans="1:35" customFormat="1" ht="14.25" x14ac:dyDescent="0.45">
      <c r="B166" s="14" t="s">
        <v>1473</v>
      </c>
      <c r="C166" s="14" t="s">
        <v>115</v>
      </c>
      <c r="D166" s="15" t="s">
        <v>2103</v>
      </c>
      <c r="E166" s="16" t="s">
        <v>2095</v>
      </c>
      <c r="F166" s="14" t="s">
        <v>2093</v>
      </c>
      <c r="G166" s="17"/>
      <c r="H166" s="114" t="str">
        <f>Settings!$B$3&amp;".mit.ccpt.alu.prp.2"</f>
        <v>egy.mit.ccpt.alu.prp.2</v>
      </c>
      <c r="K166" s="18"/>
      <c r="L166" s="19">
        <f>Mitigation_Industry!L$705+Mitigation_Industry!L$716</f>
        <v>0</v>
      </c>
      <c r="M166" s="19">
        <f>Mitigation_Industry!M$705+Mitigation_Industry!M$716</f>
        <v>0</v>
      </c>
      <c r="N166" s="19">
        <f>Mitigation_Industry!N$705+Mitigation_Industry!N$716</f>
        <v>0</v>
      </c>
      <c r="O166" s="19">
        <f>Mitigation_Industry!O$705+Mitigation_Industry!O$716</f>
        <v>0</v>
      </c>
      <c r="P166" s="19">
        <f>Mitigation_Industry!P$705+Mitigation_Industry!P$716</f>
        <v>0</v>
      </c>
      <c r="Q166" s="19">
        <f>Mitigation_Industry!Q$705+Mitigation_Industry!Q$716</f>
        <v>1.95</v>
      </c>
      <c r="R166" s="19">
        <f>Mitigation_Industry!R$705+Mitigation_Industry!R$716</f>
        <v>3.9</v>
      </c>
      <c r="S166" s="19">
        <f>Mitigation_Industry!S$705+Mitigation_Industry!S$716</f>
        <v>5.85</v>
      </c>
      <c r="T166" s="19">
        <f>Mitigation_Industry!T$705+Mitigation_Industry!T$716</f>
        <v>7.8</v>
      </c>
      <c r="U166" s="19">
        <f>Mitigation_Industry!U$705+Mitigation_Industry!U$716</f>
        <v>9.75</v>
      </c>
      <c r="V166" s="19">
        <f>Mitigation_Industry!V$705+Mitigation_Industry!V$716</f>
        <v>11.7</v>
      </c>
      <c r="W166" s="19">
        <f>Mitigation_Industry!W$705+Mitigation_Industry!W$716</f>
        <v>13.65</v>
      </c>
      <c r="X166" s="19">
        <f>Mitigation_Industry!X$705+Mitigation_Industry!X$716</f>
        <v>15.6</v>
      </c>
      <c r="Y166" s="19">
        <f>Mitigation_Industry!Y$705+Mitigation_Industry!Y$716</f>
        <v>17.55</v>
      </c>
      <c r="Z166" s="19">
        <f>Mitigation_Industry!Z$705+Mitigation_Industry!Z$716</f>
        <v>19.5</v>
      </c>
      <c r="AA166" s="19">
        <f>Mitigation_Industry!AA$705+Mitigation_Industry!AA$716</f>
        <v>21.45</v>
      </c>
      <c r="AB166" s="19">
        <f>Mitigation_Industry!AB$705+Mitigation_Industry!AB$716</f>
        <v>23.4</v>
      </c>
      <c r="AC166" s="19">
        <f>Mitigation_Industry!AC$705+Mitigation_Industry!AC$716</f>
        <v>25.35</v>
      </c>
      <c r="AD166" s="19">
        <f>Mitigation_Industry!AD$705+Mitigation_Industry!AD$716</f>
        <v>27.3</v>
      </c>
      <c r="AE166" s="19">
        <f>Mitigation_Industry!AE$705+Mitigation_Industry!AE$716</f>
        <v>29.25</v>
      </c>
    </row>
    <row r="168" spans="1:35" customFormat="1" ht="14.25" x14ac:dyDescent="0.45">
      <c r="A168" s="11"/>
      <c r="B168" s="6"/>
      <c r="C168" s="7" t="s">
        <v>2104</v>
      </c>
      <c r="D168" s="6" t="s">
        <v>1505</v>
      </c>
      <c r="E168" s="7" t="s">
        <v>35</v>
      </c>
      <c r="F168" s="7" t="s">
        <v>45</v>
      </c>
      <c r="G168" s="7" t="s">
        <v>37</v>
      </c>
      <c r="H168" s="12" t="s">
        <v>38</v>
      </c>
      <c r="I168" s="6" t="s">
        <v>39</v>
      </c>
      <c r="J168" s="48">
        <v>2</v>
      </c>
      <c r="K168" s="6">
        <v>2021</v>
      </c>
      <c r="L168" s="46">
        <v>2022</v>
      </c>
      <c r="M168" s="6">
        <v>2023</v>
      </c>
      <c r="N168" s="6">
        <v>2024</v>
      </c>
      <c r="O168" s="6">
        <v>2025</v>
      </c>
      <c r="P168" s="6">
        <v>2026</v>
      </c>
      <c r="Q168" s="6">
        <v>2027</v>
      </c>
      <c r="R168" s="6">
        <v>2028</v>
      </c>
      <c r="S168" s="6">
        <v>2029</v>
      </c>
      <c r="T168" s="6">
        <v>2030</v>
      </c>
      <c r="U168" s="6">
        <v>2031</v>
      </c>
      <c r="V168" s="6">
        <v>2032</v>
      </c>
      <c r="W168" s="6">
        <v>2033</v>
      </c>
      <c r="X168" s="6">
        <v>2034</v>
      </c>
      <c r="Y168" s="6">
        <v>2035</v>
      </c>
      <c r="Z168" s="6">
        <v>2036</v>
      </c>
      <c r="AA168" s="6">
        <v>2037</v>
      </c>
      <c r="AB168" s="6">
        <v>2038</v>
      </c>
      <c r="AC168" s="6">
        <v>2039</v>
      </c>
      <c r="AD168" s="6">
        <v>2040</v>
      </c>
      <c r="AE168" s="6">
        <v>2041</v>
      </c>
      <c r="AF168" s="6">
        <v>2042</v>
      </c>
      <c r="AG168" s="6">
        <v>2043</v>
      </c>
      <c r="AH168" s="6">
        <v>2044</v>
      </c>
      <c r="AI168" s="6">
        <v>2045</v>
      </c>
    </row>
    <row r="169" spans="1:35" customFormat="1" ht="14.25" x14ac:dyDescent="0.45">
      <c r="B169" s="14" t="s">
        <v>1452</v>
      </c>
      <c r="C169" s="14" t="s">
        <v>43</v>
      </c>
      <c r="D169" s="15" t="s">
        <v>2105</v>
      </c>
      <c r="E169" s="16" t="s">
        <v>2095</v>
      </c>
      <c r="F169" s="14" t="s">
        <v>2104</v>
      </c>
      <c r="G169" s="17"/>
      <c r="H169" s="114" t="str">
        <f>Settings!$B$3&amp;".mit.obrpu.stl.drg.2"</f>
        <v>egy.mit.obrpu.stl.drg.2</v>
      </c>
      <c r="I169" t="s">
        <v>2106</v>
      </c>
      <c r="K169" s="18"/>
      <c r="L169" s="19">
        <f t="shared" ref="L169:AE169" si="35">L$146*L$149</f>
        <v>0</v>
      </c>
      <c r="M169" s="19">
        <f t="shared" si="35"/>
        <v>0</v>
      </c>
      <c r="N169" s="19">
        <f t="shared" si="35"/>
        <v>0</v>
      </c>
      <c r="O169" s="19">
        <f t="shared" si="35"/>
        <v>0</v>
      </c>
      <c r="P169" s="19">
        <f t="shared" si="35"/>
        <v>0</v>
      </c>
      <c r="Q169" s="19">
        <f t="shared" si="35"/>
        <v>0</v>
      </c>
      <c r="R169" s="19">
        <f t="shared" si="35"/>
        <v>0</v>
      </c>
      <c r="S169" s="19">
        <f t="shared" si="35"/>
        <v>0</v>
      </c>
      <c r="T169" s="19">
        <f t="shared" si="35"/>
        <v>0</v>
      </c>
      <c r="U169" s="19">
        <f t="shared" si="35"/>
        <v>0</v>
      </c>
      <c r="V169" s="19">
        <f t="shared" si="35"/>
        <v>0</v>
      </c>
      <c r="W169" s="19">
        <f t="shared" si="35"/>
        <v>0</v>
      </c>
      <c r="X169" s="19">
        <f t="shared" si="35"/>
        <v>0</v>
      </c>
      <c r="Y169" s="19">
        <f t="shared" si="35"/>
        <v>0</v>
      </c>
      <c r="Z169" s="19">
        <f t="shared" si="35"/>
        <v>0</v>
      </c>
      <c r="AA169" s="19">
        <f t="shared" si="35"/>
        <v>0</v>
      </c>
      <c r="AB169" s="19">
        <f t="shared" si="35"/>
        <v>0</v>
      </c>
      <c r="AC169" s="19">
        <f t="shared" si="35"/>
        <v>0</v>
      </c>
      <c r="AD169" s="19">
        <f t="shared" si="35"/>
        <v>0</v>
      </c>
      <c r="AE169" s="19">
        <f t="shared" si="35"/>
        <v>0</v>
      </c>
    </row>
    <row r="170" spans="1:35" customFormat="1" ht="14.25" x14ac:dyDescent="0.45">
      <c r="B170" s="14" t="s">
        <v>1455</v>
      </c>
      <c r="C170" s="14" t="s">
        <v>43</v>
      </c>
      <c r="D170" s="15" t="s">
        <v>2107</v>
      </c>
      <c r="E170" s="16" t="s">
        <v>2095</v>
      </c>
      <c r="F170" s="14" t="s">
        <v>2104</v>
      </c>
      <c r="G170" s="17"/>
      <c r="H170" s="114" t="str">
        <f>Settings!$B$3&amp;".mit.obrpu.stl.scr.2"</f>
        <v>egy.mit.obrpu.stl.scr.2</v>
      </c>
      <c r="K170" s="18"/>
      <c r="L170" s="19">
        <f t="shared" ref="L170:AE170" si="36">L$146*L$150</f>
        <v>0</v>
      </c>
      <c r="M170" s="19">
        <f t="shared" si="36"/>
        <v>0</v>
      </c>
      <c r="N170" s="19">
        <f t="shared" si="36"/>
        <v>0</v>
      </c>
      <c r="O170" s="19">
        <f t="shared" si="36"/>
        <v>0</v>
      </c>
      <c r="P170" s="19">
        <f t="shared" si="36"/>
        <v>0</v>
      </c>
      <c r="Q170" s="19">
        <f t="shared" si="36"/>
        <v>0</v>
      </c>
      <c r="R170" s="19">
        <f t="shared" si="36"/>
        <v>0</v>
      </c>
      <c r="S170" s="19">
        <f t="shared" si="36"/>
        <v>0</v>
      </c>
      <c r="T170" s="19">
        <f t="shared" si="36"/>
        <v>0</v>
      </c>
      <c r="U170" s="19">
        <f t="shared" si="36"/>
        <v>0</v>
      </c>
      <c r="V170" s="19">
        <f t="shared" si="36"/>
        <v>0</v>
      </c>
      <c r="W170" s="19">
        <f t="shared" si="36"/>
        <v>0</v>
      </c>
      <c r="X170" s="19">
        <f t="shared" si="36"/>
        <v>0</v>
      </c>
      <c r="Y170" s="19">
        <f t="shared" si="36"/>
        <v>0</v>
      </c>
      <c r="Z170" s="19">
        <f t="shared" si="36"/>
        <v>0</v>
      </c>
      <c r="AA170" s="19">
        <f t="shared" si="36"/>
        <v>0</v>
      </c>
      <c r="AB170" s="19">
        <f t="shared" si="36"/>
        <v>0</v>
      </c>
      <c r="AC170" s="19">
        <f t="shared" si="36"/>
        <v>0</v>
      </c>
      <c r="AD170" s="19">
        <f t="shared" si="36"/>
        <v>0</v>
      </c>
      <c r="AE170" s="19">
        <f t="shared" si="36"/>
        <v>0</v>
      </c>
    </row>
    <row r="171" spans="1:35" customFormat="1" ht="14.25" x14ac:dyDescent="0.45">
      <c r="B171" s="14" t="s">
        <v>1458</v>
      </c>
      <c r="C171" s="14" t="s">
        <v>43</v>
      </c>
      <c r="D171" s="15" t="s">
        <v>2108</v>
      </c>
      <c r="E171" s="16" t="s">
        <v>2095</v>
      </c>
      <c r="F171" s="14" t="s">
        <v>2104</v>
      </c>
      <c r="G171" s="17"/>
      <c r="H171" s="114" t="str">
        <f>Settings!$B$3&amp;".mit.obrpu.stl.bof.2"</f>
        <v>egy.mit.obrpu.stl.bof.2</v>
      </c>
      <c r="K171" s="18"/>
      <c r="L171" s="19">
        <f t="shared" ref="L171:AE171" si="37">L$146*L$151</f>
        <v>0</v>
      </c>
      <c r="M171" s="19">
        <f t="shared" si="37"/>
        <v>0</v>
      </c>
      <c r="N171" s="19">
        <f t="shared" si="37"/>
        <v>0</v>
      </c>
      <c r="O171" s="19">
        <f t="shared" si="37"/>
        <v>0</v>
      </c>
      <c r="P171" s="19">
        <f t="shared" si="37"/>
        <v>0</v>
      </c>
      <c r="Q171" s="19">
        <f t="shared" si="37"/>
        <v>0</v>
      </c>
      <c r="R171" s="19">
        <f t="shared" si="37"/>
        <v>0</v>
      </c>
      <c r="S171" s="19">
        <f t="shared" si="37"/>
        <v>0</v>
      </c>
      <c r="T171" s="19">
        <f t="shared" si="37"/>
        <v>0</v>
      </c>
      <c r="U171" s="19">
        <f t="shared" si="37"/>
        <v>0</v>
      </c>
      <c r="V171" s="19">
        <f t="shared" si="37"/>
        <v>0</v>
      </c>
      <c r="W171" s="19">
        <f t="shared" si="37"/>
        <v>0</v>
      </c>
      <c r="X171" s="19">
        <f t="shared" si="37"/>
        <v>0</v>
      </c>
      <c r="Y171" s="19">
        <f t="shared" si="37"/>
        <v>0</v>
      </c>
      <c r="Z171" s="19">
        <f t="shared" si="37"/>
        <v>0</v>
      </c>
      <c r="AA171" s="19">
        <f t="shared" si="37"/>
        <v>0</v>
      </c>
      <c r="AB171" s="19">
        <f t="shared" si="37"/>
        <v>0</v>
      </c>
      <c r="AC171" s="19">
        <f t="shared" si="37"/>
        <v>0</v>
      </c>
      <c r="AD171" s="19">
        <f t="shared" si="37"/>
        <v>0</v>
      </c>
      <c r="AE171" s="19">
        <f t="shared" si="37"/>
        <v>0</v>
      </c>
    </row>
    <row r="172" spans="1:35" customFormat="1" ht="14.25" x14ac:dyDescent="0.45">
      <c r="B172" s="14" t="s">
        <v>1461</v>
      </c>
      <c r="C172" s="14" t="s">
        <v>113</v>
      </c>
      <c r="D172" s="15" t="s">
        <v>2109</v>
      </c>
      <c r="E172" s="16" t="s">
        <v>2095</v>
      </c>
      <c r="F172" s="14" t="s">
        <v>2104</v>
      </c>
      <c r="G172" s="17"/>
      <c r="H172" s="114" t="str">
        <f>Settings!$B$3&amp;".mit.obrpu.cmt.dry.2"</f>
        <v>egy.mit.obrpu.cmt.dry.2</v>
      </c>
      <c r="K172" s="18"/>
      <c r="L172" s="19">
        <f t="shared" ref="L172:AE172" si="38">L$146*L$152</f>
        <v>0</v>
      </c>
      <c r="M172" s="19">
        <f t="shared" si="38"/>
        <v>0</v>
      </c>
      <c r="N172" s="19">
        <f t="shared" si="38"/>
        <v>0</v>
      </c>
      <c r="O172" s="19">
        <f t="shared" si="38"/>
        <v>0</v>
      </c>
      <c r="P172" s="19">
        <f t="shared" si="38"/>
        <v>0</v>
      </c>
      <c r="Q172" s="19">
        <f t="shared" si="38"/>
        <v>0</v>
      </c>
      <c r="R172" s="19">
        <f t="shared" si="38"/>
        <v>0</v>
      </c>
      <c r="S172" s="19">
        <f t="shared" si="38"/>
        <v>0</v>
      </c>
      <c r="T172" s="19">
        <f t="shared" si="38"/>
        <v>0</v>
      </c>
      <c r="U172" s="19">
        <f t="shared" si="38"/>
        <v>0</v>
      </c>
      <c r="V172" s="19">
        <f t="shared" si="38"/>
        <v>0</v>
      </c>
      <c r="W172" s="19">
        <f t="shared" si="38"/>
        <v>0</v>
      </c>
      <c r="X172" s="19">
        <f t="shared" si="38"/>
        <v>0</v>
      </c>
      <c r="Y172" s="19">
        <f t="shared" si="38"/>
        <v>0</v>
      </c>
      <c r="Z172" s="19">
        <f t="shared" si="38"/>
        <v>0</v>
      </c>
      <c r="AA172" s="19">
        <f t="shared" si="38"/>
        <v>0</v>
      </c>
      <c r="AB172" s="19">
        <f t="shared" si="38"/>
        <v>0</v>
      </c>
      <c r="AC172" s="19">
        <f t="shared" si="38"/>
        <v>0</v>
      </c>
      <c r="AD172" s="19">
        <f t="shared" si="38"/>
        <v>0</v>
      </c>
      <c r="AE172" s="19">
        <f t="shared" si="38"/>
        <v>0</v>
      </c>
    </row>
    <row r="173" spans="1:35" customFormat="1" ht="14.25" x14ac:dyDescent="0.45">
      <c r="B173" s="14" t="s">
        <v>1464</v>
      </c>
      <c r="C173" s="14" t="s">
        <v>117</v>
      </c>
      <c r="D173" s="15" t="s">
        <v>2110</v>
      </c>
      <c r="E173" s="16" t="s">
        <v>2095</v>
      </c>
      <c r="F173" s="14" t="s">
        <v>2104</v>
      </c>
      <c r="G173" s="17"/>
      <c r="H173" s="114" t="str">
        <f>Settings!$B$3&amp;".mit.obrpu.frt.amc.2"</f>
        <v>egy.mit.obrpu.frt.amc.2</v>
      </c>
      <c r="K173" s="18"/>
      <c r="L173" s="19">
        <f t="shared" ref="L173:AE173" si="39">L$146*L$153</f>
        <v>0</v>
      </c>
      <c r="M173" s="19">
        <f t="shared" si="39"/>
        <v>0</v>
      </c>
      <c r="N173" s="19">
        <f t="shared" si="39"/>
        <v>0</v>
      </c>
      <c r="O173" s="19">
        <f t="shared" si="39"/>
        <v>0</v>
      </c>
      <c r="P173" s="19">
        <f t="shared" si="39"/>
        <v>0</v>
      </c>
      <c r="Q173" s="19">
        <f t="shared" si="39"/>
        <v>0</v>
      </c>
      <c r="R173" s="19">
        <f t="shared" si="39"/>
        <v>0</v>
      </c>
      <c r="S173" s="19">
        <f t="shared" si="39"/>
        <v>0</v>
      </c>
      <c r="T173" s="19">
        <f t="shared" si="39"/>
        <v>0</v>
      </c>
      <c r="U173" s="19">
        <f t="shared" si="39"/>
        <v>0</v>
      </c>
      <c r="V173" s="19">
        <f t="shared" si="39"/>
        <v>0</v>
      </c>
      <c r="W173" s="19">
        <f t="shared" si="39"/>
        <v>0</v>
      </c>
      <c r="X173" s="19">
        <f t="shared" si="39"/>
        <v>0</v>
      </c>
      <c r="Y173" s="19">
        <f t="shared" si="39"/>
        <v>0</v>
      </c>
      <c r="Z173" s="19">
        <f t="shared" si="39"/>
        <v>0</v>
      </c>
      <c r="AA173" s="19">
        <f t="shared" si="39"/>
        <v>0</v>
      </c>
      <c r="AB173" s="19">
        <f t="shared" si="39"/>
        <v>0</v>
      </c>
      <c r="AC173" s="19">
        <f t="shared" si="39"/>
        <v>0</v>
      </c>
      <c r="AD173" s="19">
        <f t="shared" si="39"/>
        <v>0</v>
      </c>
      <c r="AE173" s="19">
        <f t="shared" si="39"/>
        <v>0</v>
      </c>
    </row>
    <row r="174" spans="1:35" customFormat="1" ht="14.25" x14ac:dyDescent="0.45">
      <c r="B174" s="14" t="s">
        <v>1467</v>
      </c>
      <c r="C174" s="14" t="s">
        <v>117</v>
      </c>
      <c r="D174" s="15" t="s">
        <v>2111</v>
      </c>
      <c r="E174" s="16" t="s">
        <v>2095</v>
      </c>
      <c r="F174" s="14" t="s">
        <v>2104</v>
      </c>
      <c r="G174" s="17"/>
      <c r="H174" s="114" t="str">
        <f>Settings!$B$3&amp;".mit.obrpu.frt.ure.2"</f>
        <v>egy.mit.obrpu.frt.ure.2</v>
      </c>
      <c r="K174" s="18"/>
      <c r="L174" s="19">
        <f t="shared" ref="L174:AE174" si="40">L$146*L$154</f>
        <v>0</v>
      </c>
      <c r="M174" s="19">
        <f t="shared" si="40"/>
        <v>0</v>
      </c>
      <c r="N174" s="19">
        <f t="shared" si="40"/>
        <v>0</v>
      </c>
      <c r="O174" s="19">
        <f t="shared" si="40"/>
        <v>0</v>
      </c>
      <c r="P174" s="19">
        <f t="shared" si="40"/>
        <v>0</v>
      </c>
      <c r="Q174" s="19">
        <f t="shared" si="40"/>
        <v>0</v>
      </c>
      <c r="R174" s="19">
        <f t="shared" si="40"/>
        <v>0</v>
      </c>
      <c r="S174" s="19">
        <f t="shared" si="40"/>
        <v>0</v>
      </c>
      <c r="T174" s="19">
        <f t="shared" si="40"/>
        <v>0</v>
      </c>
      <c r="U174" s="19">
        <f t="shared" si="40"/>
        <v>0</v>
      </c>
      <c r="V174" s="19">
        <f t="shared" si="40"/>
        <v>0</v>
      </c>
      <c r="W174" s="19">
        <f t="shared" si="40"/>
        <v>0</v>
      </c>
      <c r="X174" s="19">
        <f t="shared" si="40"/>
        <v>0</v>
      </c>
      <c r="Y174" s="19">
        <f t="shared" si="40"/>
        <v>0</v>
      </c>
      <c r="Z174" s="19">
        <f t="shared" si="40"/>
        <v>0</v>
      </c>
      <c r="AA174" s="19">
        <f t="shared" si="40"/>
        <v>0</v>
      </c>
      <c r="AB174" s="19">
        <f t="shared" si="40"/>
        <v>0</v>
      </c>
      <c r="AC174" s="19">
        <f t="shared" si="40"/>
        <v>0</v>
      </c>
      <c r="AD174" s="19">
        <f t="shared" si="40"/>
        <v>0</v>
      </c>
      <c r="AE174" s="19">
        <f t="shared" si="40"/>
        <v>0</v>
      </c>
    </row>
    <row r="175" spans="1:35" customFormat="1" ht="14.25" x14ac:dyDescent="0.45">
      <c r="B175" s="14" t="s">
        <v>1470</v>
      </c>
      <c r="C175" s="14" t="s">
        <v>117</v>
      </c>
      <c r="D175" s="15" t="s">
        <v>2112</v>
      </c>
      <c r="E175" s="16" t="s">
        <v>2095</v>
      </c>
      <c r="F175" s="14" t="s">
        <v>2104</v>
      </c>
      <c r="G175" s="17"/>
      <c r="H175" s="114" t="str">
        <f>Settings!$B$3&amp;".mit.obrpu.frt.nit.2"</f>
        <v>egy.mit.obrpu.frt.nit.2</v>
      </c>
      <c r="K175" s="18"/>
      <c r="L175" s="19">
        <f t="shared" ref="L175:AE175" si="41">L$146*L$155</f>
        <v>0</v>
      </c>
      <c r="M175" s="19">
        <f t="shared" si="41"/>
        <v>0</v>
      </c>
      <c r="N175" s="19">
        <f t="shared" si="41"/>
        <v>0</v>
      </c>
      <c r="O175" s="19">
        <f t="shared" si="41"/>
        <v>0</v>
      </c>
      <c r="P175" s="19">
        <f t="shared" si="41"/>
        <v>0</v>
      </c>
      <c r="Q175" s="19">
        <f t="shared" si="41"/>
        <v>0</v>
      </c>
      <c r="R175" s="19">
        <f t="shared" si="41"/>
        <v>0</v>
      </c>
      <c r="S175" s="19">
        <f t="shared" si="41"/>
        <v>0</v>
      </c>
      <c r="T175" s="19">
        <f t="shared" si="41"/>
        <v>0</v>
      </c>
      <c r="U175" s="19">
        <f t="shared" si="41"/>
        <v>0</v>
      </c>
      <c r="V175" s="19">
        <f t="shared" si="41"/>
        <v>0</v>
      </c>
      <c r="W175" s="19">
        <f t="shared" si="41"/>
        <v>0</v>
      </c>
      <c r="X175" s="19">
        <f t="shared" si="41"/>
        <v>0</v>
      </c>
      <c r="Y175" s="19">
        <f t="shared" si="41"/>
        <v>0</v>
      </c>
      <c r="Z175" s="19">
        <f t="shared" si="41"/>
        <v>0</v>
      </c>
      <c r="AA175" s="19">
        <f t="shared" si="41"/>
        <v>0</v>
      </c>
      <c r="AB175" s="19">
        <f t="shared" si="41"/>
        <v>0</v>
      </c>
      <c r="AC175" s="19">
        <f t="shared" si="41"/>
        <v>0</v>
      </c>
      <c r="AD175" s="19">
        <f t="shared" si="41"/>
        <v>0</v>
      </c>
      <c r="AE175" s="19">
        <f t="shared" si="41"/>
        <v>0</v>
      </c>
    </row>
    <row r="176" spans="1:35" customFormat="1" ht="14.25" x14ac:dyDescent="0.45">
      <c r="B176" s="14" t="s">
        <v>1473</v>
      </c>
      <c r="C176" s="14" t="s">
        <v>115</v>
      </c>
      <c r="D176" s="15" t="s">
        <v>2113</v>
      </c>
      <c r="E176" s="16" t="s">
        <v>2095</v>
      </c>
      <c r="F176" s="14" t="s">
        <v>2104</v>
      </c>
      <c r="G176" s="17"/>
      <c r="H176" s="114" t="str">
        <f>Settings!$B$3&amp;".mit.obrpu.alu.prp.2"</f>
        <v>egy.mit.obrpu.alu.prp.2</v>
      </c>
      <c r="K176" s="18"/>
      <c r="L176" s="19">
        <f t="shared" ref="L176:AE176" si="42">L$146*L$156</f>
        <v>0</v>
      </c>
      <c r="M176" s="19">
        <f t="shared" si="42"/>
        <v>0</v>
      </c>
      <c r="N176" s="19">
        <f t="shared" si="42"/>
        <v>0</v>
      </c>
      <c r="O176" s="19">
        <f t="shared" si="42"/>
        <v>0</v>
      </c>
      <c r="P176" s="19">
        <f t="shared" si="42"/>
        <v>0</v>
      </c>
      <c r="Q176" s="19">
        <f t="shared" si="42"/>
        <v>0</v>
      </c>
      <c r="R176" s="19">
        <f t="shared" si="42"/>
        <v>0</v>
      </c>
      <c r="S176" s="19">
        <f t="shared" si="42"/>
        <v>0</v>
      </c>
      <c r="T176" s="19">
        <f t="shared" si="42"/>
        <v>0</v>
      </c>
      <c r="U176" s="19">
        <f t="shared" si="42"/>
        <v>0</v>
      </c>
      <c r="V176" s="19">
        <f t="shared" si="42"/>
        <v>0</v>
      </c>
      <c r="W176" s="19">
        <f t="shared" si="42"/>
        <v>0</v>
      </c>
      <c r="X176" s="19">
        <f t="shared" si="42"/>
        <v>0</v>
      </c>
      <c r="Y176" s="19">
        <f t="shared" si="42"/>
        <v>0</v>
      </c>
      <c r="Z176" s="19">
        <f t="shared" si="42"/>
        <v>0</v>
      </c>
      <c r="AA176" s="19">
        <f t="shared" si="42"/>
        <v>0</v>
      </c>
      <c r="AB176" s="19">
        <f t="shared" si="42"/>
        <v>0</v>
      </c>
      <c r="AC176" s="19">
        <f t="shared" si="42"/>
        <v>0</v>
      </c>
      <c r="AD176" s="19">
        <f t="shared" si="42"/>
        <v>0</v>
      </c>
      <c r="AE176" s="19">
        <f t="shared" si="42"/>
        <v>0</v>
      </c>
    </row>
    <row r="178" spans="1:35" customFormat="1" ht="14.25" x14ac:dyDescent="0.45">
      <c r="A178" s="11"/>
      <c r="B178" s="6"/>
      <c r="C178" s="7" t="s">
        <v>2114</v>
      </c>
      <c r="D178" s="6" t="s">
        <v>1505</v>
      </c>
      <c r="E178" s="7" t="s">
        <v>35</v>
      </c>
      <c r="F178" s="7" t="s">
        <v>45</v>
      </c>
      <c r="G178" s="7" t="s">
        <v>37</v>
      </c>
      <c r="H178" s="12" t="s">
        <v>38</v>
      </c>
      <c r="I178" s="6" t="s">
        <v>39</v>
      </c>
      <c r="J178" s="48">
        <v>2</v>
      </c>
      <c r="K178" s="6">
        <v>2021</v>
      </c>
      <c r="L178" s="46">
        <v>2022</v>
      </c>
      <c r="M178" s="6">
        <v>2023</v>
      </c>
      <c r="N178" s="6">
        <v>2024</v>
      </c>
      <c r="O178" s="6">
        <v>2025</v>
      </c>
      <c r="P178" s="6">
        <v>2026</v>
      </c>
      <c r="Q178" s="6">
        <v>2027</v>
      </c>
      <c r="R178" s="6">
        <v>2028</v>
      </c>
      <c r="S178" s="6">
        <v>2029</v>
      </c>
      <c r="T178" s="6">
        <v>2030</v>
      </c>
      <c r="U178" s="6">
        <v>2031</v>
      </c>
      <c r="V178" s="6">
        <v>2032</v>
      </c>
      <c r="W178" s="6">
        <v>2033</v>
      </c>
      <c r="X178" s="6">
        <v>2034</v>
      </c>
      <c r="Y178" s="6">
        <v>2035</v>
      </c>
      <c r="Z178" s="6">
        <v>2036</v>
      </c>
      <c r="AA178" s="6">
        <v>2037</v>
      </c>
      <c r="AB178" s="6">
        <v>2038</v>
      </c>
      <c r="AC178" s="6">
        <v>2039</v>
      </c>
      <c r="AD178" s="6">
        <v>2040</v>
      </c>
      <c r="AE178" s="6">
        <v>2041</v>
      </c>
      <c r="AF178" s="6">
        <v>2042</v>
      </c>
      <c r="AG178" s="6">
        <v>2043</v>
      </c>
      <c r="AH178" s="6">
        <v>2044</v>
      </c>
      <c r="AI178" s="6">
        <v>2045</v>
      </c>
    </row>
    <row r="179" spans="1:35" customFormat="1" ht="14.25" x14ac:dyDescent="0.45">
      <c r="B179" s="14" t="s">
        <v>1452</v>
      </c>
      <c r="C179" s="14" t="s">
        <v>43</v>
      </c>
      <c r="D179" s="15" t="s">
        <v>2115</v>
      </c>
      <c r="E179" s="16" t="s">
        <v>2095</v>
      </c>
      <c r="F179" s="14" t="s">
        <v>2114</v>
      </c>
      <c r="G179" s="17"/>
      <c r="H179" s="114" t="str">
        <f>Settings!$B$3&amp;".mit.obrpt.stl.drg.2"</f>
        <v>egy.mit.obrpt.stl.drg.2</v>
      </c>
      <c r="I179" t="s">
        <v>2116</v>
      </c>
      <c r="K179" s="18"/>
      <c r="L179" s="19">
        <f t="shared" ref="L179:AE179" si="43">MIN(L$169,L$159)</f>
        <v>0</v>
      </c>
      <c r="M179" s="19">
        <f t="shared" si="43"/>
        <v>0</v>
      </c>
      <c r="N179" s="19">
        <f t="shared" si="43"/>
        <v>0</v>
      </c>
      <c r="O179" s="19">
        <f t="shared" si="43"/>
        <v>0</v>
      </c>
      <c r="P179" s="19">
        <f t="shared" si="43"/>
        <v>0</v>
      </c>
      <c r="Q179" s="19">
        <f t="shared" si="43"/>
        <v>0</v>
      </c>
      <c r="R179" s="19">
        <f t="shared" si="43"/>
        <v>0</v>
      </c>
      <c r="S179" s="19">
        <f t="shared" si="43"/>
        <v>0</v>
      </c>
      <c r="T179" s="19">
        <f t="shared" si="43"/>
        <v>0</v>
      </c>
      <c r="U179" s="19">
        <f t="shared" si="43"/>
        <v>0</v>
      </c>
      <c r="V179" s="19">
        <f t="shared" si="43"/>
        <v>0</v>
      </c>
      <c r="W179" s="19">
        <f t="shared" si="43"/>
        <v>0</v>
      </c>
      <c r="X179" s="19">
        <f t="shared" si="43"/>
        <v>0</v>
      </c>
      <c r="Y179" s="19">
        <f t="shared" si="43"/>
        <v>0</v>
      </c>
      <c r="Z179" s="19">
        <f t="shared" si="43"/>
        <v>0</v>
      </c>
      <c r="AA179" s="19">
        <f t="shared" si="43"/>
        <v>0</v>
      </c>
      <c r="AB179" s="19">
        <f t="shared" si="43"/>
        <v>0</v>
      </c>
      <c r="AC179" s="19">
        <f t="shared" si="43"/>
        <v>0</v>
      </c>
      <c r="AD179" s="19">
        <f t="shared" si="43"/>
        <v>0</v>
      </c>
      <c r="AE179" s="19">
        <f t="shared" si="43"/>
        <v>0</v>
      </c>
    </row>
    <row r="180" spans="1:35" customFormat="1" ht="14.25" x14ac:dyDescent="0.45">
      <c r="B180" s="14" t="s">
        <v>1455</v>
      </c>
      <c r="C180" s="14" t="s">
        <v>43</v>
      </c>
      <c r="D180" s="15" t="s">
        <v>2117</v>
      </c>
      <c r="E180" s="16" t="s">
        <v>2095</v>
      </c>
      <c r="F180" s="14" t="s">
        <v>2114</v>
      </c>
      <c r="G180" s="17"/>
      <c r="H180" s="114" t="str">
        <f>Settings!$B$3&amp;".mit.obrpt.stl.scr.2"</f>
        <v>egy.mit.obrpt.stl.scr.2</v>
      </c>
      <c r="K180" s="18"/>
      <c r="L180" s="19">
        <f t="shared" ref="L180:AE180" si="44">MIN(L$170,L$160)</f>
        <v>0</v>
      </c>
      <c r="M180" s="19">
        <f t="shared" si="44"/>
        <v>0</v>
      </c>
      <c r="N180" s="19">
        <f t="shared" si="44"/>
        <v>0</v>
      </c>
      <c r="O180" s="19">
        <f t="shared" si="44"/>
        <v>0</v>
      </c>
      <c r="P180" s="19">
        <f t="shared" si="44"/>
        <v>0</v>
      </c>
      <c r="Q180" s="19">
        <f t="shared" si="44"/>
        <v>0</v>
      </c>
      <c r="R180" s="19">
        <f t="shared" si="44"/>
        <v>0</v>
      </c>
      <c r="S180" s="19">
        <f t="shared" si="44"/>
        <v>0</v>
      </c>
      <c r="T180" s="19">
        <f t="shared" si="44"/>
        <v>0</v>
      </c>
      <c r="U180" s="19">
        <f t="shared" si="44"/>
        <v>0</v>
      </c>
      <c r="V180" s="19">
        <f t="shared" si="44"/>
        <v>0</v>
      </c>
      <c r="W180" s="19">
        <f t="shared" si="44"/>
        <v>0</v>
      </c>
      <c r="X180" s="19">
        <f t="shared" si="44"/>
        <v>0</v>
      </c>
      <c r="Y180" s="19">
        <f t="shared" si="44"/>
        <v>0</v>
      </c>
      <c r="Z180" s="19">
        <f t="shared" si="44"/>
        <v>0</v>
      </c>
      <c r="AA180" s="19">
        <f t="shared" si="44"/>
        <v>0</v>
      </c>
      <c r="AB180" s="19">
        <f t="shared" si="44"/>
        <v>0</v>
      </c>
      <c r="AC180" s="19">
        <f t="shared" si="44"/>
        <v>0</v>
      </c>
      <c r="AD180" s="19">
        <f t="shared" si="44"/>
        <v>0</v>
      </c>
      <c r="AE180" s="19">
        <f t="shared" si="44"/>
        <v>0</v>
      </c>
    </row>
    <row r="181" spans="1:35" customFormat="1" ht="14.25" x14ac:dyDescent="0.45">
      <c r="B181" s="14" t="s">
        <v>1458</v>
      </c>
      <c r="C181" s="14" t="s">
        <v>43</v>
      </c>
      <c r="D181" s="15" t="s">
        <v>2118</v>
      </c>
      <c r="E181" s="16" t="s">
        <v>2095</v>
      </c>
      <c r="F181" s="14" t="s">
        <v>2114</v>
      </c>
      <c r="G181" s="17"/>
      <c r="H181" s="114" t="str">
        <f>Settings!$B$3&amp;".mit.obrpt.stl.bof.2"</f>
        <v>egy.mit.obrpt.stl.bof.2</v>
      </c>
      <c r="K181" s="18"/>
      <c r="L181" s="19">
        <f t="shared" ref="L181:AE181" si="45">MIN(L$171,L$161)</f>
        <v>0</v>
      </c>
      <c r="M181" s="19">
        <f t="shared" si="45"/>
        <v>0</v>
      </c>
      <c r="N181" s="19">
        <f t="shared" si="45"/>
        <v>0</v>
      </c>
      <c r="O181" s="19">
        <f t="shared" si="45"/>
        <v>0</v>
      </c>
      <c r="P181" s="19">
        <f t="shared" si="45"/>
        <v>0</v>
      </c>
      <c r="Q181" s="19">
        <f t="shared" si="45"/>
        <v>0</v>
      </c>
      <c r="R181" s="19">
        <f t="shared" si="45"/>
        <v>0</v>
      </c>
      <c r="S181" s="19">
        <f t="shared" si="45"/>
        <v>0</v>
      </c>
      <c r="T181" s="19">
        <f t="shared" si="45"/>
        <v>0</v>
      </c>
      <c r="U181" s="19">
        <f t="shared" si="45"/>
        <v>0</v>
      </c>
      <c r="V181" s="19">
        <f t="shared" si="45"/>
        <v>0</v>
      </c>
      <c r="W181" s="19">
        <f t="shared" si="45"/>
        <v>0</v>
      </c>
      <c r="X181" s="19">
        <f t="shared" si="45"/>
        <v>0</v>
      </c>
      <c r="Y181" s="19">
        <f t="shared" si="45"/>
        <v>0</v>
      </c>
      <c r="Z181" s="19">
        <f t="shared" si="45"/>
        <v>0</v>
      </c>
      <c r="AA181" s="19">
        <f t="shared" si="45"/>
        <v>0</v>
      </c>
      <c r="AB181" s="19">
        <f t="shared" si="45"/>
        <v>0</v>
      </c>
      <c r="AC181" s="19">
        <f t="shared" si="45"/>
        <v>0</v>
      </c>
      <c r="AD181" s="19">
        <f t="shared" si="45"/>
        <v>0</v>
      </c>
      <c r="AE181" s="19">
        <f t="shared" si="45"/>
        <v>0</v>
      </c>
    </row>
    <row r="182" spans="1:35" customFormat="1" ht="14.25" x14ac:dyDescent="0.45">
      <c r="B182" s="14" t="s">
        <v>1461</v>
      </c>
      <c r="C182" s="14" t="s">
        <v>113</v>
      </c>
      <c r="D182" s="15" t="s">
        <v>2119</v>
      </c>
      <c r="E182" s="16" t="s">
        <v>2095</v>
      </c>
      <c r="F182" s="14" t="s">
        <v>2114</v>
      </c>
      <c r="G182" s="17"/>
      <c r="H182" s="114" t="str">
        <f>Settings!$B$3&amp;".mit.obrpt.cmt.dry.2"</f>
        <v>egy.mit.obrpt.cmt.dry.2</v>
      </c>
      <c r="K182" s="18"/>
      <c r="L182" s="19">
        <f t="shared" ref="L182:AE182" si="46">MIN(L$172,L$162)</f>
        <v>0</v>
      </c>
      <c r="M182" s="19">
        <f t="shared" si="46"/>
        <v>0</v>
      </c>
      <c r="N182" s="19">
        <f t="shared" si="46"/>
        <v>0</v>
      </c>
      <c r="O182" s="19">
        <f t="shared" si="46"/>
        <v>0</v>
      </c>
      <c r="P182" s="19">
        <f t="shared" si="46"/>
        <v>0</v>
      </c>
      <c r="Q182" s="19">
        <f t="shared" si="46"/>
        <v>0</v>
      </c>
      <c r="R182" s="19">
        <f t="shared" si="46"/>
        <v>0</v>
      </c>
      <c r="S182" s="19">
        <f t="shared" si="46"/>
        <v>0</v>
      </c>
      <c r="T182" s="19">
        <f t="shared" si="46"/>
        <v>0</v>
      </c>
      <c r="U182" s="19">
        <f t="shared" si="46"/>
        <v>0</v>
      </c>
      <c r="V182" s="19">
        <f t="shared" si="46"/>
        <v>0</v>
      </c>
      <c r="W182" s="19">
        <f t="shared" si="46"/>
        <v>0</v>
      </c>
      <c r="X182" s="19">
        <f t="shared" si="46"/>
        <v>0</v>
      </c>
      <c r="Y182" s="19">
        <f t="shared" si="46"/>
        <v>0</v>
      </c>
      <c r="Z182" s="19">
        <f t="shared" si="46"/>
        <v>0</v>
      </c>
      <c r="AA182" s="19">
        <f t="shared" si="46"/>
        <v>0</v>
      </c>
      <c r="AB182" s="19">
        <f t="shared" si="46"/>
        <v>0</v>
      </c>
      <c r="AC182" s="19">
        <f t="shared" si="46"/>
        <v>0</v>
      </c>
      <c r="AD182" s="19">
        <f t="shared" si="46"/>
        <v>0</v>
      </c>
      <c r="AE182" s="19">
        <f t="shared" si="46"/>
        <v>0</v>
      </c>
    </row>
    <row r="183" spans="1:35" customFormat="1" ht="14.25" x14ac:dyDescent="0.45">
      <c r="B183" s="14" t="s">
        <v>1464</v>
      </c>
      <c r="C183" s="14" t="s">
        <v>117</v>
      </c>
      <c r="D183" s="15" t="s">
        <v>2120</v>
      </c>
      <c r="E183" s="16" t="s">
        <v>2095</v>
      </c>
      <c r="F183" s="14" t="s">
        <v>2114</v>
      </c>
      <c r="G183" s="17"/>
      <c r="H183" s="114" t="str">
        <f>Settings!$B$3&amp;".mit.obrpt.frt.amc.2"</f>
        <v>egy.mit.obrpt.frt.amc.2</v>
      </c>
      <c r="K183" s="18"/>
      <c r="L183" s="19">
        <f t="shared" ref="L183:AE183" si="47">MIN(L$173,L$163)</f>
        <v>0</v>
      </c>
      <c r="M183" s="19">
        <f t="shared" si="47"/>
        <v>0</v>
      </c>
      <c r="N183" s="19">
        <f t="shared" si="47"/>
        <v>0</v>
      </c>
      <c r="O183" s="19">
        <f t="shared" si="47"/>
        <v>0</v>
      </c>
      <c r="P183" s="19">
        <f t="shared" si="47"/>
        <v>0</v>
      </c>
      <c r="Q183" s="19">
        <f t="shared" si="47"/>
        <v>0</v>
      </c>
      <c r="R183" s="19">
        <f t="shared" si="47"/>
        <v>0</v>
      </c>
      <c r="S183" s="19">
        <f t="shared" si="47"/>
        <v>0</v>
      </c>
      <c r="T183" s="19">
        <f t="shared" si="47"/>
        <v>0</v>
      </c>
      <c r="U183" s="19">
        <f t="shared" si="47"/>
        <v>0</v>
      </c>
      <c r="V183" s="19">
        <f t="shared" si="47"/>
        <v>0</v>
      </c>
      <c r="W183" s="19">
        <f t="shared" si="47"/>
        <v>0</v>
      </c>
      <c r="X183" s="19">
        <f t="shared" si="47"/>
        <v>0</v>
      </c>
      <c r="Y183" s="19">
        <f t="shared" si="47"/>
        <v>0</v>
      </c>
      <c r="Z183" s="19">
        <f t="shared" si="47"/>
        <v>0</v>
      </c>
      <c r="AA183" s="19">
        <f t="shared" si="47"/>
        <v>0</v>
      </c>
      <c r="AB183" s="19">
        <f t="shared" si="47"/>
        <v>0</v>
      </c>
      <c r="AC183" s="19">
        <f t="shared" si="47"/>
        <v>0</v>
      </c>
      <c r="AD183" s="19">
        <f t="shared" si="47"/>
        <v>0</v>
      </c>
      <c r="AE183" s="19">
        <f t="shared" si="47"/>
        <v>0</v>
      </c>
    </row>
    <row r="184" spans="1:35" customFormat="1" ht="14.25" x14ac:dyDescent="0.45">
      <c r="B184" s="14" t="s">
        <v>1467</v>
      </c>
      <c r="C184" s="14" t="s">
        <v>117</v>
      </c>
      <c r="D184" s="15" t="s">
        <v>2121</v>
      </c>
      <c r="E184" s="16" t="s">
        <v>2095</v>
      </c>
      <c r="F184" s="14" t="s">
        <v>2114</v>
      </c>
      <c r="G184" s="17"/>
      <c r="H184" s="114" t="str">
        <f>Settings!$B$3&amp;".mit.obrpt.frt.ure.2"</f>
        <v>egy.mit.obrpt.frt.ure.2</v>
      </c>
      <c r="K184" s="18"/>
      <c r="L184" s="19">
        <f t="shared" ref="L184:AE184" si="48">MIN(L$174,L$164)</f>
        <v>0</v>
      </c>
      <c r="M184" s="19">
        <f t="shared" si="48"/>
        <v>0</v>
      </c>
      <c r="N184" s="19">
        <f t="shared" si="48"/>
        <v>0</v>
      </c>
      <c r="O184" s="19">
        <f t="shared" si="48"/>
        <v>0</v>
      </c>
      <c r="P184" s="19">
        <f t="shared" si="48"/>
        <v>0</v>
      </c>
      <c r="Q184" s="19">
        <f t="shared" si="48"/>
        <v>0</v>
      </c>
      <c r="R184" s="19">
        <f t="shared" si="48"/>
        <v>0</v>
      </c>
      <c r="S184" s="19">
        <f t="shared" si="48"/>
        <v>0</v>
      </c>
      <c r="T184" s="19">
        <f t="shared" si="48"/>
        <v>0</v>
      </c>
      <c r="U184" s="19">
        <f t="shared" si="48"/>
        <v>0</v>
      </c>
      <c r="V184" s="19">
        <f t="shared" si="48"/>
        <v>0</v>
      </c>
      <c r="W184" s="19">
        <f t="shared" si="48"/>
        <v>0</v>
      </c>
      <c r="X184" s="19">
        <f t="shared" si="48"/>
        <v>0</v>
      </c>
      <c r="Y184" s="19">
        <f t="shared" si="48"/>
        <v>0</v>
      </c>
      <c r="Z184" s="19">
        <f t="shared" si="48"/>
        <v>0</v>
      </c>
      <c r="AA184" s="19">
        <f t="shared" si="48"/>
        <v>0</v>
      </c>
      <c r="AB184" s="19">
        <f t="shared" si="48"/>
        <v>0</v>
      </c>
      <c r="AC184" s="19">
        <f t="shared" si="48"/>
        <v>0</v>
      </c>
      <c r="AD184" s="19">
        <f t="shared" si="48"/>
        <v>0</v>
      </c>
      <c r="AE184" s="19">
        <f t="shared" si="48"/>
        <v>0</v>
      </c>
    </row>
    <row r="185" spans="1:35" customFormat="1" ht="14.25" x14ac:dyDescent="0.45">
      <c r="B185" s="14" t="s">
        <v>1470</v>
      </c>
      <c r="C185" s="14" t="s">
        <v>117</v>
      </c>
      <c r="D185" s="15" t="s">
        <v>2122</v>
      </c>
      <c r="E185" s="16" t="s">
        <v>2095</v>
      </c>
      <c r="F185" s="14" t="s">
        <v>2114</v>
      </c>
      <c r="G185" s="17"/>
      <c r="H185" s="114" t="str">
        <f>Settings!$B$3&amp;".mit.obrpt.frt.nit.2"</f>
        <v>egy.mit.obrpt.frt.nit.2</v>
      </c>
      <c r="K185" s="18"/>
      <c r="L185" s="19">
        <f t="shared" ref="L185:AE185" si="49">MIN(L$175,L$165)</f>
        <v>0</v>
      </c>
      <c r="M185" s="19">
        <f t="shared" si="49"/>
        <v>0</v>
      </c>
      <c r="N185" s="19">
        <f t="shared" si="49"/>
        <v>0</v>
      </c>
      <c r="O185" s="19">
        <f t="shared" si="49"/>
        <v>0</v>
      </c>
      <c r="P185" s="19">
        <f t="shared" si="49"/>
        <v>0</v>
      </c>
      <c r="Q185" s="19">
        <f t="shared" si="49"/>
        <v>0</v>
      </c>
      <c r="R185" s="19">
        <f t="shared" si="49"/>
        <v>0</v>
      </c>
      <c r="S185" s="19">
        <f t="shared" si="49"/>
        <v>0</v>
      </c>
      <c r="T185" s="19">
        <f t="shared" si="49"/>
        <v>0</v>
      </c>
      <c r="U185" s="19">
        <f t="shared" si="49"/>
        <v>0</v>
      </c>
      <c r="V185" s="19">
        <f t="shared" si="49"/>
        <v>0</v>
      </c>
      <c r="W185" s="19">
        <f t="shared" si="49"/>
        <v>0</v>
      </c>
      <c r="X185" s="19">
        <f t="shared" si="49"/>
        <v>0</v>
      </c>
      <c r="Y185" s="19">
        <f t="shared" si="49"/>
        <v>0</v>
      </c>
      <c r="Z185" s="19">
        <f t="shared" si="49"/>
        <v>0</v>
      </c>
      <c r="AA185" s="19">
        <f t="shared" si="49"/>
        <v>0</v>
      </c>
      <c r="AB185" s="19">
        <f t="shared" si="49"/>
        <v>0</v>
      </c>
      <c r="AC185" s="19">
        <f t="shared" si="49"/>
        <v>0</v>
      </c>
      <c r="AD185" s="19">
        <f t="shared" si="49"/>
        <v>0</v>
      </c>
      <c r="AE185" s="19">
        <f t="shared" si="49"/>
        <v>0</v>
      </c>
    </row>
    <row r="186" spans="1:35" customFormat="1" ht="14.25" x14ac:dyDescent="0.45">
      <c r="B186" s="14" t="s">
        <v>1473</v>
      </c>
      <c r="C186" s="14" t="s">
        <v>115</v>
      </c>
      <c r="D186" s="15" t="s">
        <v>2123</v>
      </c>
      <c r="E186" s="16" t="s">
        <v>2095</v>
      </c>
      <c r="F186" s="14" t="s">
        <v>2114</v>
      </c>
      <c r="G186" s="17"/>
      <c r="H186" s="114" t="str">
        <f>Settings!$B$3&amp;".mit.obrpt.alu.prp.2"</f>
        <v>egy.mit.obrpt.alu.prp.2</v>
      </c>
      <c r="K186" s="18"/>
      <c r="L186" s="19">
        <f t="shared" ref="L186:AE186" si="50">MIN(L$176,L$166)</f>
        <v>0</v>
      </c>
      <c r="M186" s="19">
        <f t="shared" si="50"/>
        <v>0</v>
      </c>
      <c r="N186" s="19">
        <f t="shared" si="50"/>
        <v>0</v>
      </c>
      <c r="O186" s="19">
        <f t="shared" si="50"/>
        <v>0</v>
      </c>
      <c r="P186" s="19">
        <f t="shared" si="50"/>
        <v>0</v>
      </c>
      <c r="Q186" s="19">
        <f t="shared" si="50"/>
        <v>0</v>
      </c>
      <c r="R186" s="19">
        <f t="shared" si="50"/>
        <v>0</v>
      </c>
      <c r="S186" s="19">
        <f t="shared" si="50"/>
        <v>0</v>
      </c>
      <c r="T186" s="19">
        <f t="shared" si="50"/>
        <v>0</v>
      </c>
      <c r="U186" s="19">
        <f t="shared" si="50"/>
        <v>0</v>
      </c>
      <c r="V186" s="19">
        <f t="shared" si="50"/>
        <v>0</v>
      </c>
      <c r="W186" s="19">
        <f t="shared" si="50"/>
        <v>0</v>
      </c>
      <c r="X186" s="19">
        <f t="shared" si="50"/>
        <v>0</v>
      </c>
      <c r="Y186" s="19">
        <f t="shared" si="50"/>
        <v>0</v>
      </c>
      <c r="Z186" s="19">
        <f t="shared" si="50"/>
        <v>0</v>
      </c>
      <c r="AA186" s="19">
        <f t="shared" si="50"/>
        <v>0</v>
      </c>
      <c r="AB186" s="19">
        <f t="shared" si="50"/>
        <v>0</v>
      </c>
      <c r="AC186" s="19">
        <f t="shared" si="50"/>
        <v>0</v>
      </c>
      <c r="AD186" s="19">
        <f t="shared" si="50"/>
        <v>0</v>
      </c>
      <c r="AE186" s="19">
        <f t="shared" si="50"/>
        <v>0</v>
      </c>
    </row>
    <row r="188" spans="1:35" customFormat="1" ht="14.25" x14ac:dyDescent="0.45">
      <c r="A188" s="11"/>
      <c r="B188" s="6"/>
      <c r="C188" s="7" t="s">
        <v>2124</v>
      </c>
      <c r="D188" s="6" t="s">
        <v>1505</v>
      </c>
      <c r="E188" s="7" t="s">
        <v>35</v>
      </c>
      <c r="F188" s="7" t="s">
        <v>45</v>
      </c>
      <c r="G188" s="7" t="s">
        <v>37</v>
      </c>
      <c r="H188" s="12" t="s">
        <v>38</v>
      </c>
      <c r="I188" s="6" t="s">
        <v>39</v>
      </c>
      <c r="J188" s="48">
        <v>2</v>
      </c>
      <c r="K188" s="6">
        <v>2021</v>
      </c>
      <c r="L188" s="46">
        <v>2022</v>
      </c>
      <c r="M188" s="6">
        <v>2023</v>
      </c>
      <c r="N188" s="6">
        <v>2024</v>
      </c>
      <c r="O188" s="6">
        <v>2025</v>
      </c>
      <c r="P188" s="6">
        <v>2026</v>
      </c>
      <c r="Q188" s="6">
        <v>2027</v>
      </c>
      <c r="R188" s="6">
        <v>2028</v>
      </c>
      <c r="S188" s="6">
        <v>2029</v>
      </c>
      <c r="T188" s="6">
        <v>2030</v>
      </c>
      <c r="U188" s="6">
        <v>2031</v>
      </c>
      <c r="V188" s="6">
        <v>2032</v>
      </c>
      <c r="W188" s="6">
        <v>2033</v>
      </c>
      <c r="X188" s="6">
        <v>2034</v>
      </c>
      <c r="Y188" s="6">
        <v>2035</v>
      </c>
      <c r="Z188" s="6">
        <v>2036</v>
      </c>
      <c r="AA188" s="6">
        <v>2037</v>
      </c>
      <c r="AB188" s="6">
        <v>2038</v>
      </c>
      <c r="AC188" s="6">
        <v>2039</v>
      </c>
      <c r="AD188" s="6">
        <v>2040</v>
      </c>
      <c r="AE188" s="6">
        <v>2041</v>
      </c>
      <c r="AF188" s="6">
        <v>2042</v>
      </c>
      <c r="AG188" s="6">
        <v>2043</v>
      </c>
      <c r="AH188" s="6">
        <v>2044</v>
      </c>
      <c r="AI188" s="6">
        <v>2045</v>
      </c>
    </row>
    <row r="189" spans="1:35" customFormat="1" ht="14.25" x14ac:dyDescent="0.45">
      <c r="B189" s="14" t="s">
        <v>1452</v>
      </c>
      <c r="C189" s="14" t="s">
        <v>43</v>
      </c>
      <c r="D189" s="15" t="s">
        <v>2125</v>
      </c>
      <c r="E189" s="16" t="s">
        <v>2095</v>
      </c>
      <c r="F189" s="14" t="s">
        <v>2124</v>
      </c>
      <c r="G189" s="17"/>
      <c r="H189" s="114" t="str">
        <f>Settings!$B$3&amp;".mit.ccnet.stl.drg.2"</f>
        <v>egy.mit.ccnet.stl.drg.2</v>
      </c>
      <c r="K189" s="18"/>
      <c r="L189" s="19">
        <f t="shared" ref="L189:AE189" si="51">L$159-L$179</f>
        <v>0</v>
      </c>
      <c r="M189" s="19">
        <f t="shared" si="51"/>
        <v>0</v>
      </c>
      <c r="N189" s="19">
        <f t="shared" si="51"/>
        <v>0</v>
      </c>
      <c r="O189" s="19">
        <f t="shared" si="51"/>
        <v>0</v>
      </c>
      <c r="P189" s="19">
        <f t="shared" si="51"/>
        <v>0</v>
      </c>
      <c r="Q189" s="19">
        <f t="shared" si="51"/>
        <v>8.625375</v>
      </c>
      <c r="R189" s="19">
        <f t="shared" si="51"/>
        <v>17.25075</v>
      </c>
      <c r="S189" s="19">
        <f t="shared" si="51"/>
        <v>25.876125000000002</v>
      </c>
      <c r="T189" s="19">
        <f t="shared" si="51"/>
        <v>34.5015</v>
      </c>
      <c r="U189" s="19">
        <f t="shared" si="51"/>
        <v>43.126875000000005</v>
      </c>
      <c r="V189" s="19">
        <f t="shared" si="51"/>
        <v>51.752250000000004</v>
      </c>
      <c r="W189" s="19">
        <f t="shared" si="51"/>
        <v>60.377625000000002</v>
      </c>
      <c r="X189" s="19">
        <f t="shared" si="51"/>
        <v>69.003</v>
      </c>
      <c r="Y189" s="19">
        <f t="shared" si="51"/>
        <v>77.628375000000005</v>
      </c>
      <c r="Z189" s="19">
        <f t="shared" si="51"/>
        <v>86.253750000000011</v>
      </c>
      <c r="AA189" s="19">
        <f t="shared" si="51"/>
        <v>94.879125000000002</v>
      </c>
      <c r="AB189" s="19">
        <f t="shared" si="51"/>
        <v>103.50450000000001</v>
      </c>
      <c r="AC189" s="19">
        <f t="shared" si="51"/>
        <v>112.129875</v>
      </c>
      <c r="AD189" s="19">
        <f t="shared" si="51"/>
        <v>120.75525</v>
      </c>
      <c r="AE189" s="19">
        <f t="shared" si="51"/>
        <v>129.38062500000001</v>
      </c>
    </row>
    <row r="190" spans="1:35" customFormat="1" ht="14.25" x14ac:dyDescent="0.45">
      <c r="B190" s="14" t="s">
        <v>1455</v>
      </c>
      <c r="C190" s="14" t="s">
        <v>43</v>
      </c>
      <c r="D190" s="15" t="s">
        <v>2126</v>
      </c>
      <c r="E190" s="16" t="s">
        <v>2095</v>
      </c>
      <c r="F190" s="14" t="s">
        <v>2124</v>
      </c>
      <c r="G190" s="17"/>
      <c r="H190" s="114" t="str">
        <f>Settings!$B$3&amp;".mit.ccnet.stl.scr.2"</f>
        <v>egy.mit.ccnet.stl.scr.2</v>
      </c>
      <c r="K190" s="18"/>
      <c r="L190" s="19">
        <f t="shared" ref="L190:AE190" si="52">L$160-L$180</f>
        <v>0</v>
      </c>
      <c r="M190" s="19">
        <f t="shared" si="52"/>
        <v>0</v>
      </c>
      <c r="N190" s="19">
        <f t="shared" si="52"/>
        <v>0</v>
      </c>
      <c r="O190" s="19">
        <f t="shared" si="52"/>
        <v>0</v>
      </c>
      <c r="P190" s="19">
        <f t="shared" si="52"/>
        <v>0</v>
      </c>
      <c r="Q190" s="19">
        <f t="shared" si="52"/>
        <v>1.7531250000000003</v>
      </c>
      <c r="R190" s="19">
        <f t="shared" si="52"/>
        <v>3.5062500000000005</v>
      </c>
      <c r="S190" s="19">
        <f t="shared" si="52"/>
        <v>5.2593750000000004</v>
      </c>
      <c r="T190" s="19">
        <f t="shared" si="52"/>
        <v>7.0125000000000011</v>
      </c>
      <c r="U190" s="19">
        <f t="shared" si="52"/>
        <v>8.765625</v>
      </c>
      <c r="V190" s="19">
        <f t="shared" si="52"/>
        <v>10.518750000000001</v>
      </c>
      <c r="W190" s="19">
        <f t="shared" si="52"/>
        <v>12.271875000000001</v>
      </c>
      <c r="X190" s="19">
        <f t="shared" si="52"/>
        <v>14.025000000000002</v>
      </c>
      <c r="Y190" s="19">
        <f t="shared" si="52"/>
        <v>15.778125000000001</v>
      </c>
      <c r="Z190" s="19">
        <f t="shared" si="52"/>
        <v>17.53125</v>
      </c>
      <c r="AA190" s="19">
        <f t="shared" si="52"/>
        <v>19.284375000000001</v>
      </c>
      <c r="AB190" s="19">
        <f t="shared" si="52"/>
        <v>21.037500000000001</v>
      </c>
      <c r="AC190" s="19">
        <f t="shared" si="52"/>
        <v>22.790625000000002</v>
      </c>
      <c r="AD190" s="19">
        <f t="shared" si="52"/>
        <v>24.543750000000003</v>
      </c>
      <c r="AE190" s="19">
        <f t="shared" si="52"/>
        <v>26.296875000000004</v>
      </c>
    </row>
    <row r="191" spans="1:35" customFormat="1" ht="14.25" x14ac:dyDescent="0.45">
      <c r="B191" s="14" t="s">
        <v>1458</v>
      </c>
      <c r="C191" s="14" t="s">
        <v>43</v>
      </c>
      <c r="D191" s="15" t="s">
        <v>2127</v>
      </c>
      <c r="E191" s="16" t="s">
        <v>2095</v>
      </c>
      <c r="F191" s="14" t="s">
        <v>2124</v>
      </c>
      <c r="G191" s="17"/>
      <c r="H191" s="114" t="str">
        <f>Settings!$B$3&amp;".mit.ccnet.stl.bof.2"</f>
        <v>egy.mit.ccnet.stl.bof.2</v>
      </c>
      <c r="K191" s="18"/>
      <c r="L191" s="19">
        <f t="shared" ref="L191:AE191" si="53">L$161-L$181</f>
        <v>0</v>
      </c>
      <c r="M191" s="19">
        <f t="shared" si="53"/>
        <v>0</v>
      </c>
      <c r="N191" s="19">
        <f t="shared" si="53"/>
        <v>0</v>
      </c>
      <c r="O191" s="19">
        <f t="shared" si="53"/>
        <v>0</v>
      </c>
      <c r="P191" s="19">
        <f t="shared" si="53"/>
        <v>0</v>
      </c>
      <c r="Q191" s="19">
        <f t="shared" si="53"/>
        <v>24.025000000000002</v>
      </c>
      <c r="R191" s="19">
        <f t="shared" si="53"/>
        <v>48.050000000000004</v>
      </c>
      <c r="S191" s="19">
        <f t="shared" si="53"/>
        <v>72.075000000000003</v>
      </c>
      <c r="T191" s="19">
        <f t="shared" si="53"/>
        <v>96.100000000000009</v>
      </c>
      <c r="U191" s="19">
        <f t="shared" si="53"/>
        <v>120.12500000000001</v>
      </c>
      <c r="V191" s="19">
        <f t="shared" si="53"/>
        <v>144.15</v>
      </c>
      <c r="W191" s="19">
        <f t="shared" si="53"/>
        <v>168.17500000000001</v>
      </c>
      <c r="X191" s="19">
        <f t="shared" si="53"/>
        <v>192.20000000000002</v>
      </c>
      <c r="Y191" s="19">
        <f t="shared" si="53"/>
        <v>216.22500000000002</v>
      </c>
      <c r="Z191" s="19">
        <f t="shared" si="53"/>
        <v>240.25000000000003</v>
      </c>
      <c r="AA191" s="19">
        <f t="shared" si="53"/>
        <v>264.27500000000003</v>
      </c>
      <c r="AB191" s="19">
        <f t="shared" si="53"/>
        <v>288.3</v>
      </c>
      <c r="AC191" s="19">
        <f t="shared" si="53"/>
        <v>312.32500000000005</v>
      </c>
      <c r="AD191" s="19">
        <f t="shared" si="53"/>
        <v>336.35</v>
      </c>
      <c r="AE191" s="19">
        <f t="shared" si="53"/>
        <v>360.37500000000006</v>
      </c>
    </row>
    <row r="192" spans="1:35" customFormat="1" ht="14.25" x14ac:dyDescent="0.45">
      <c r="B192" s="14" t="s">
        <v>1461</v>
      </c>
      <c r="C192" s="14" t="s">
        <v>113</v>
      </c>
      <c r="D192" s="15" t="s">
        <v>2128</v>
      </c>
      <c r="E192" s="16" t="s">
        <v>2095</v>
      </c>
      <c r="F192" s="14" t="s">
        <v>2124</v>
      </c>
      <c r="G192" s="17"/>
      <c r="H192" s="114" t="str">
        <f>Settings!$B$3&amp;".mit.ccnet.cmt.dry.2"</f>
        <v>egy.mit.ccnet.cmt.dry.2</v>
      </c>
      <c r="K192" s="18"/>
      <c r="L192" s="19">
        <f t="shared" ref="L192:AE192" si="54">L$162-L$182</f>
        <v>0</v>
      </c>
      <c r="M192" s="19">
        <f t="shared" si="54"/>
        <v>0</v>
      </c>
      <c r="N192" s="19">
        <f t="shared" si="54"/>
        <v>0</v>
      </c>
      <c r="O192" s="19">
        <f t="shared" si="54"/>
        <v>0</v>
      </c>
      <c r="P192" s="19">
        <f t="shared" si="54"/>
        <v>0</v>
      </c>
      <c r="Q192" s="19">
        <f t="shared" si="54"/>
        <v>3.6037499999999998</v>
      </c>
      <c r="R192" s="19">
        <f t="shared" si="54"/>
        <v>7.2074999999999996</v>
      </c>
      <c r="S192" s="19">
        <f t="shared" si="54"/>
        <v>10.811249999999999</v>
      </c>
      <c r="T192" s="19">
        <f t="shared" si="54"/>
        <v>14.414999999999999</v>
      </c>
      <c r="U192" s="19">
        <f t="shared" si="54"/>
        <v>18.018750000000001</v>
      </c>
      <c r="V192" s="19">
        <f t="shared" si="54"/>
        <v>21.622499999999999</v>
      </c>
      <c r="W192" s="19">
        <f t="shared" si="54"/>
        <v>25.22625</v>
      </c>
      <c r="X192" s="19">
        <f t="shared" si="54"/>
        <v>28.83</v>
      </c>
      <c r="Y192" s="19">
        <f t="shared" si="54"/>
        <v>32.433750000000003</v>
      </c>
      <c r="Z192" s="19">
        <f t="shared" si="54"/>
        <v>36.037500000000001</v>
      </c>
      <c r="AA192" s="19">
        <f t="shared" si="54"/>
        <v>39.641249999999999</v>
      </c>
      <c r="AB192" s="19">
        <f t="shared" si="54"/>
        <v>43.244999999999997</v>
      </c>
      <c r="AC192" s="19">
        <f t="shared" si="54"/>
        <v>46.848750000000003</v>
      </c>
      <c r="AD192" s="19">
        <f t="shared" si="54"/>
        <v>50.452500000000001</v>
      </c>
      <c r="AE192" s="19">
        <f t="shared" si="54"/>
        <v>54.056249999999999</v>
      </c>
    </row>
    <row r="193" spans="1:35" customFormat="1" ht="14.25" x14ac:dyDescent="0.45">
      <c r="B193" s="14" t="s">
        <v>1464</v>
      </c>
      <c r="C193" s="14" t="s">
        <v>117</v>
      </c>
      <c r="D193" s="15" t="s">
        <v>2129</v>
      </c>
      <c r="E193" s="16" t="s">
        <v>2095</v>
      </c>
      <c r="F193" s="14" t="s">
        <v>2124</v>
      </c>
      <c r="G193" s="17"/>
      <c r="H193" s="114" t="str">
        <f>Settings!$B$3&amp;".mit.ccnet.frt.amc.2"</f>
        <v>egy.mit.ccnet.frt.amc.2</v>
      </c>
      <c r="K193" s="18"/>
      <c r="L193" s="19">
        <f t="shared" ref="L193:AE193" si="55">L$163-L$183</f>
        <v>0</v>
      </c>
      <c r="M193" s="19">
        <f t="shared" si="55"/>
        <v>0</v>
      </c>
      <c r="N193" s="19">
        <f t="shared" si="55"/>
        <v>0</v>
      </c>
      <c r="O193" s="19">
        <f t="shared" si="55"/>
        <v>0</v>
      </c>
      <c r="P193" s="19">
        <f t="shared" si="55"/>
        <v>0</v>
      </c>
      <c r="Q193" s="19">
        <f t="shared" si="55"/>
        <v>23.141249999999999</v>
      </c>
      <c r="R193" s="19">
        <f t="shared" si="55"/>
        <v>46.282499999999999</v>
      </c>
      <c r="S193" s="19">
        <f t="shared" si="55"/>
        <v>69.423749999999998</v>
      </c>
      <c r="T193" s="19">
        <f t="shared" si="55"/>
        <v>92.564999999999998</v>
      </c>
      <c r="U193" s="19">
        <f t="shared" si="55"/>
        <v>115.70625</v>
      </c>
      <c r="V193" s="19">
        <f t="shared" si="55"/>
        <v>138.8475</v>
      </c>
      <c r="W193" s="19">
        <f t="shared" si="55"/>
        <v>161.98874999999998</v>
      </c>
      <c r="X193" s="19">
        <f t="shared" si="55"/>
        <v>185.13</v>
      </c>
      <c r="Y193" s="19">
        <f t="shared" si="55"/>
        <v>208.27124999999998</v>
      </c>
      <c r="Z193" s="19">
        <f t="shared" si="55"/>
        <v>231.41249999999999</v>
      </c>
      <c r="AA193" s="19">
        <f t="shared" si="55"/>
        <v>254.55374999999998</v>
      </c>
      <c r="AB193" s="19">
        <f t="shared" si="55"/>
        <v>277.69499999999999</v>
      </c>
      <c r="AC193" s="19">
        <f t="shared" si="55"/>
        <v>300.83625000000001</v>
      </c>
      <c r="AD193" s="19">
        <f t="shared" si="55"/>
        <v>323.97749999999996</v>
      </c>
      <c r="AE193" s="19">
        <f t="shared" si="55"/>
        <v>347.11874999999998</v>
      </c>
    </row>
    <row r="194" spans="1:35" customFormat="1" ht="14.25" x14ac:dyDescent="0.45">
      <c r="B194" s="14" t="s">
        <v>1467</v>
      </c>
      <c r="C194" s="14" t="s">
        <v>117</v>
      </c>
      <c r="D194" s="15" t="s">
        <v>2130</v>
      </c>
      <c r="E194" s="16" t="s">
        <v>2095</v>
      </c>
      <c r="F194" s="14" t="s">
        <v>2124</v>
      </c>
      <c r="G194" s="17"/>
      <c r="H194" s="114" t="str">
        <f>Settings!$B$3&amp;".mit.ccnet.frt.ure.2"</f>
        <v>egy.mit.ccnet.frt.ure.2</v>
      </c>
      <c r="K194" s="18"/>
      <c r="L194" s="19">
        <f t="shared" ref="L194:AE194" si="56">L$164-L$184</f>
        <v>0</v>
      </c>
      <c r="M194" s="19">
        <f t="shared" si="56"/>
        <v>0</v>
      </c>
      <c r="N194" s="19">
        <f t="shared" si="56"/>
        <v>0</v>
      </c>
      <c r="O194" s="19">
        <f t="shared" si="56"/>
        <v>0</v>
      </c>
      <c r="P194" s="19">
        <f t="shared" si="56"/>
        <v>0</v>
      </c>
      <c r="Q194" s="19">
        <f t="shared" si="56"/>
        <v>1.4024999999999999</v>
      </c>
      <c r="R194" s="19">
        <f t="shared" si="56"/>
        <v>2.8049999999999997</v>
      </c>
      <c r="S194" s="19">
        <f t="shared" si="56"/>
        <v>4.2074999999999996</v>
      </c>
      <c r="T194" s="19">
        <f t="shared" si="56"/>
        <v>5.6099999999999994</v>
      </c>
      <c r="U194" s="19">
        <f t="shared" si="56"/>
        <v>7.0124999999999993</v>
      </c>
      <c r="V194" s="19">
        <f t="shared" si="56"/>
        <v>8.4149999999999991</v>
      </c>
      <c r="W194" s="19">
        <f t="shared" si="56"/>
        <v>9.817499999999999</v>
      </c>
      <c r="X194" s="19">
        <f t="shared" si="56"/>
        <v>11.219999999999999</v>
      </c>
      <c r="Y194" s="19">
        <f t="shared" si="56"/>
        <v>12.622499999999999</v>
      </c>
      <c r="Z194" s="19">
        <f t="shared" si="56"/>
        <v>14.024999999999999</v>
      </c>
      <c r="AA194" s="19">
        <f t="shared" si="56"/>
        <v>15.427499999999998</v>
      </c>
      <c r="AB194" s="19">
        <f t="shared" si="56"/>
        <v>16.829999999999998</v>
      </c>
      <c r="AC194" s="19">
        <f t="shared" si="56"/>
        <v>18.232499999999998</v>
      </c>
      <c r="AD194" s="19">
        <f t="shared" si="56"/>
        <v>19.634999999999998</v>
      </c>
      <c r="AE194" s="19">
        <f t="shared" si="56"/>
        <v>21.037499999999998</v>
      </c>
    </row>
    <row r="195" spans="1:35" customFormat="1" ht="14.25" x14ac:dyDescent="0.45">
      <c r="B195" s="14" t="s">
        <v>1470</v>
      </c>
      <c r="C195" s="14" t="s">
        <v>117</v>
      </c>
      <c r="D195" s="15" t="s">
        <v>2131</v>
      </c>
      <c r="E195" s="16" t="s">
        <v>2095</v>
      </c>
      <c r="F195" s="14" t="s">
        <v>2124</v>
      </c>
      <c r="G195" s="17"/>
      <c r="H195" s="114" t="str">
        <f>Settings!$B$3&amp;".mit.ccnet.frt.nit.2"</f>
        <v>egy.mit.ccnet.frt.nit.2</v>
      </c>
      <c r="K195" s="18"/>
      <c r="L195" s="19">
        <f t="shared" ref="L195:AE195" si="57">L$165-L$185</f>
        <v>0</v>
      </c>
      <c r="M195" s="19">
        <f t="shared" si="57"/>
        <v>0</v>
      </c>
      <c r="N195" s="19">
        <f t="shared" si="57"/>
        <v>0</v>
      </c>
      <c r="O195" s="19">
        <f t="shared" si="57"/>
        <v>0</v>
      </c>
      <c r="P195" s="19">
        <f t="shared" si="57"/>
        <v>0</v>
      </c>
      <c r="Q195" s="19">
        <f t="shared" si="57"/>
        <v>1.4024999999999999</v>
      </c>
      <c r="R195" s="19">
        <f t="shared" si="57"/>
        <v>2.8049999999999997</v>
      </c>
      <c r="S195" s="19">
        <f t="shared" si="57"/>
        <v>4.2074999999999996</v>
      </c>
      <c r="T195" s="19">
        <f t="shared" si="57"/>
        <v>5.6099999999999994</v>
      </c>
      <c r="U195" s="19">
        <f t="shared" si="57"/>
        <v>7.0124999999999993</v>
      </c>
      <c r="V195" s="19">
        <f t="shared" si="57"/>
        <v>8.4149999999999991</v>
      </c>
      <c r="W195" s="19">
        <f t="shared" si="57"/>
        <v>9.817499999999999</v>
      </c>
      <c r="X195" s="19">
        <f t="shared" si="57"/>
        <v>11.219999999999999</v>
      </c>
      <c r="Y195" s="19">
        <f t="shared" si="57"/>
        <v>12.622499999999999</v>
      </c>
      <c r="Z195" s="19">
        <f t="shared" si="57"/>
        <v>14.024999999999999</v>
      </c>
      <c r="AA195" s="19">
        <f t="shared" si="57"/>
        <v>15.427499999999998</v>
      </c>
      <c r="AB195" s="19">
        <f t="shared" si="57"/>
        <v>16.829999999999998</v>
      </c>
      <c r="AC195" s="19">
        <f t="shared" si="57"/>
        <v>18.232499999999998</v>
      </c>
      <c r="AD195" s="19">
        <f t="shared" si="57"/>
        <v>19.634999999999998</v>
      </c>
      <c r="AE195" s="19">
        <f t="shared" si="57"/>
        <v>21.037499999999998</v>
      </c>
    </row>
    <row r="196" spans="1:35" customFormat="1" ht="14.25" x14ac:dyDescent="0.45">
      <c r="B196" s="14" t="s">
        <v>1473</v>
      </c>
      <c r="C196" s="14" t="s">
        <v>115</v>
      </c>
      <c r="D196" s="15" t="s">
        <v>2132</v>
      </c>
      <c r="E196" s="16" t="s">
        <v>2095</v>
      </c>
      <c r="F196" s="14" t="s">
        <v>2124</v>
      </c>
      <c r="G196" s="17"/>
      <c r="H196" s="114" t="str">
        <f>Settings!$B$3&amp;".mit.ccnet.alu.prp.2"</f>
        <v>egy.mit.ccnet.alu.prp.2</v>
      </c>
      <c r="K196" s="18"/>
      <c r="L196" s="19">
        <f t="shared" ref="L196:AE196" si="58">L$166-L$186</f>
        <v>0</v>
      </c>
      <c r="M196" s="19">
        <f t="shared" si="58"/>
        <v>0</v>
      </c>
      <c r="N196" s="19">
        <f t="shared" si="58"/>
        <v>0</v>
      </c>
      <c r="O196" s="19">
        <f t="shared" si="58"/>
        <v>0</v>
      </c>
      <c r="P196" s="19">
        <f t="shared" si="58"/>
        <v>0</v>
      </c>
      <c r="Q196" s="19">
        <f t="shared" si="58"/>
        <v>1.95</v>
      </c>
      <c r="R196" s="19">
        <f t="shared" si="58"/>
        <v>3.9</v>
      </c>
      <c r="S196" s="19">
        <f t="shared" si="58"/>
        <v>5.85</v>
      </c>
      <c r="T196" s="19">
        <f t="shared" si="58"/>
        <v>7.8</v>
      </c>
      <c r="U196" s="19">
        <f t="shared" si="58"/>
        <v>9.75</v>
      </c>
      <c r="V196" s="19">
        <f t="shared" si="58"/>
        <v>11.7</v>
      </c>
      <c r="W196" s="19">
        <f t="shared" si="58"/>
        <v>13.65</v>
      </c>
      <c r="X196" s="19">
        <f t="shared" si="58"/>
        <v>15.6</v>
      </c>
      <c r="Y196" s="19">
        <f t="shared" si="58"/>
        <v>17.55</v>
      </c>
      <c r="Z196" s="19">
        <f t="shared" si="58"/>
        <v>19.5</v>
      </c>
      <c r="AA196" s="19">
        <f t="shared" si="58"/>
        <v>21.45</v>
      </c>
      <c r="AB196" s="19">
        <f t="shared" si="58"/>
        <v>23.4</v>
      </c>
      <c r="AC196" s="19">
        <f t="shared" si="58"/>
        <v>25.35</v>
      </c>
      <c r="AD196" s="19">
        <f t="shared" si="58"/>
        <v>27.3</v>
      </c>
      <c r="AE196" s="19">
        <f t="shared" si="58"/>
        <v>29.25</v>
      </c>
    </row>
    <row r="198" spans="1:35" customFormat="1" ht="14.25" x14ac:dyDescent="0.45">
      <c r="A198" s="11"/>
      <c r="B198" s="6"/>
      <c r="C198" s="7" t="s">
        <v>2133</v>
      </c>
      <c r="D198" s="6" t="s">
        <v>1505</v>
      </c>
      <c r="E198" s="7" t="s">
        <v>35</v>
      </c>
      <c r="F198" s="7" t="s">
        <v>45</v>
      </c>
      <c r="G198" s="7" t="s">
        <v>37</v>
      </c>
      <c r="H198" s="12" t="s">
        <v>38</v>
      </c>
      <c r="I198" s="6" t="s">
        <v>39</v>
      </c>
      <c r="J198" s="48">
        <v>2</v>
      </c>
      <c r="K198" s="6">
        <v>2021</v>
      </c>
      <c r="L198" s="46">
        <v>2022</v>
      </c>
      <c r="M198" s="6">
        <v>2023</v>
      </c>
      <c r="N198" s="6">
        <v>2024</v>
      </c>
      <c r="O198" s="6">
        <v>2025</v>
      </c>
      <c r="P198" s="6">
        <v>2026</v>
      </c>
      <c r="Q198" s="6">
        <v>2027</v>
      </c>
      <c r="R198" s="6">
        <v>2028</v>
      </c>
      <c r="S198" s="6">
        <v>2029</v>
      </c>
      <c r="T198" s="6">
        <v>2030</v>
      </c>
      <c r="U198" s="6">
        <v>2031</v>
      </c>
      <c r="V198" s="6">
        <v>2032</v>
      </c>
      <c r="W198" s="6">
        <v>2033</v>
      </c>
      <c r="X198" s="6">
        <v>2034</v>
      </c>
      <c r="Y198" s="6">
        <v>2035</v>
      </c>
      <c r="Z198" s="6">
        <v>2036</v>
      </c>
      <c r="AA198" s="6">
        <v>2037</v>
      </c>
      <c r="AB198" s="6">
        <v>2038</v>
      </c>
      <c r="AC198" s="6">
        <v>2039</v>
      </c>
      <c r="AD198" s="6">
        <v>2040</v>
      </c>
      <c r="AE198" s="6">
        <v>2041</v>
      </c>
      <c r="AF198" s="6">
        <v>2042</v>
      </c>
      <c r="AG198" s="6">
        <v>2043</v>
      </c>
      <c r="AH198" s="6">
        <v>2044</v>
      </c>
      <c r="AI198" s="6">
        <v>2045</v>
      </c>
    </row>
    <row r="199" spans="1:35" customFormat="1" ht="14.25" x14ac:dyDescent="0.45">
      <c r="B199" s="14" t="s">
        <v>1452</v>
      </c>
      <c r="C199" s="14" t="s">
        <v>43</v>
      </c>
      <c r="D199" s="15" t="s">
        <v>2134</v>
      </c>
      <c r="E199" s="16" t="s">
        <v>79</v>
      </c>
      <c r="F199" s="14" t="s">
        <v>2133</v>
      </c>
      <c r="G199" s="17"/>
      <c r="H199" s="114" t="str">
        <f>Settings!$B$3&amp;".mit.ppin.stl.drg.2"</f>
        <v>egy.mit.ppin.stl.drg.2</v>
      </c>
      <c r="I199" t="s">
        <v>2135</v>
      </c>
      <c r="K199" s="18"/>
      <c r="L199" s="19">
        <f>IF(Mitigation_Industry!L$687&lt;=0,0,L$189/Mitigation_Industry!L$687)</f>
        <v>0</v>
      </c>
      <c r="M199" s="19">
        <f>IF(Mitigation_Industry!M$687&lt;=0,0,M$189/Mitigation_Industry!M$687)</f>
        <v>0</v>
      </c>
      <c r="N199" s="19">
        <f>IF(Mitigation_Industry!N$687&lt;=0,0,N$189/Mitigation_Industry!N$687)</f>
        <v>0</v>
      </c>
      <c r="O199" s="19">
        <f>IF(Mitigation_Industry!O$687&lt;=0,0,O$189/Mitigation_Industry!O$687)</f>
        <v>0</v>
      </c>
      <c r="P199" s="19">
        <f>IF(Mitigation_Industry!P$687&lt;=0,0,P$189/Mitigation_Industry!P$687)</f>
        <v>0</v>
      </c>
      <c r="Q199" s="19">
        <f>IF(Mitigation_Industry!Q$687&lt;=0,0,Q$189/Mitigation_Industry!Q$687)</f>
        <v>1.15005E-2</v>
      </c>
      <c r="R199" s="19">
        <f>IF(Mitigation_Industry!R$687&lt;=0,0,R$189/Mitigation_Industry!R$687)</f>
        <v>2.3001000000000001E-2</v>
      </c>
      <c r="S199" s="19">
        <f>IF(Mitigation_Industry!S$687&lt;=0,0,S$189/Mitigation_Industry!S$687)</f>
        <v>3.4501500000000004E-2</v>
      </c>
      <c r="T199" s="19">
        <f>IF(Mitigation_Industry!T$687&lt;=0,0,T$189/Mitigation_Industry!T$687)</f>
        <v>4.6002000000000001E-2</v>
      </c>
      <c r="U199" s="19">
        <f>IF(Mitigation_Industry!U$687&lt;=0,0,U$189/Mitigation_Industry!U$687)</f>
        <v>5.7502500000000005E-2</v>
      </c>
      <c r="V199" s="19">
        <f>IF(Mitigation_Industry!V$687&lt;=0,0,V$189/Mitigation_Industry!V$687)</f>
        <v>6.9003000000000009E-2</v>
      </c>
      <c r="W199" s="19">
        <f>IF(Mitigation_Industry!W$687&lt;=0,0,W$189/Mitigation_Industry!W$687)</f>
        <v>8.0503500000000006E-2</v>
      </c>
      <c r="X199" s="19">
        <f>IF(Mitigation_Industry!X$687&lt;=0,0,X$189/Mitigation_Industry!X$687)</f>
        <v>9.2004000000000002E-2</v>
      </c>
      <c r="Y199" s="19">
        <f>IF(Mitigation_Industry!Y$687&lt;=0,0,Y$189/Mitigation_Industry!Y$687)</f>
        <v>0.10350450000000001</v>
      </c>
      <c r="Z199" s="19">
        <f>IF(Mitigation_Industry!Z$687&lt;=0,0,Z$189/Mitigation_Industry!Z$687)</f>
        <v>0.11500500000000001</v>
      </c>
      <c r="AA199" s="19">
        <f>IF(Mitigation_Industry!AA$687&lt;=0,0,AA$189/Mitigation_Industry!AA$687)</f>
        <v>0.12650549999999999</v>
      </c>
      <c r="AB199" s="19">
        <f>IF(Mitigation_Industry!AB$687&lt;=0,0,AB$189/Mitigation_Industry!AB$687)</f>
        <v>0.13800600000000002</v>
      </c>
      <c r="AC199" s="19">
        <f>IF(Mitigation_Industry!AC$687&lt;=0,0,AC$189/Mitigation_Industry!AC$687)</f>
        <v>0.14950649999999999</v>
      </c>
      <c r="AD199" s="19">
        <f>IF(Mitigation_Industry!AD$687&lt;=0,0,AD$189/Mitigation_Industry!AD$687)</f>
        <v>0.16100700000000001</v>
      </c>
      <c r="AE199" s="19">
        <f>IF(Mitigation_Industry!AE$687&lt;=0,0,AE$189/Mitigation_Industry!AE$687)</f>
        <v>0.17250750000000001</v>
      </c>
    </row>
    <row r="200" spans="1:35" customFormat="1" ht="14.25" x14ac:dyDescent="0.45">
      <c r="B200" s="14" t="s">
        <v>1455</v>
      </c>
      <c r="C200" s="14" t="s">
        <v>43</v>
      </c>
      <c r="D200" s="15" t="s">
        <v>2136</v>
      </c>
      <c r="E200" s="16" t="s">
        <v>79</v>
      </c>
      <c r="F200" s="14" t="s">
        <v>2133</v>
      </c>
      <c r="G200" s="17"/>
      <c r="H200" s="114" t="str">
        <f>Settings!$B$3&amp;".mit.ppin.stl.scr.2"</f>
        <v>egy.mit.ppin.stl.scr.2</v>
      </c>
      <c r="K200" s="18"/>
      <c r="L200" s="19">
        <f>IF(Mitigation_Industry!L$688&lt;=0,0,L$190/Mitigation_Industry!L$688)</f>
        <v>0</v>
      </c>
      <c r="M200" s="19">
        <f>IF(Mitigation_Industry!M$688&lt;=0,0,M$190/Mitigation_Industry!M$688)</f>
        <v>0</v>
      </c>
      <c r="N200" s="19">
        <f>IF(Mitigation_Industry!N$688&lt;=0,0,N$190/Mitigation_Industry!N$688)</f>
        <v>0</v>
      </c>
      <c r="O200" s="19">
        <f>IF(Mitigation_Industry!O$688&lt;=0,0,O$190/Mitigation_Industry!O$688)</f>
        <v>0</v>
      </c>
      <c r="P200" s="19">
        <f>IF(Mitigation_Industry!P$688&lt;=0,0,P$190/Mitigation_Industry!P$688)</f>
        <v>0</v>
      </c>
      <c r="Q200" s="19">
        <f>IF(Mitigation_Industry!Q$688&lt;=0,0,Q$190/Mitigation_Industry!Q$688)</f>
        <v>2.5781250000000006E-3</v>
      </c>
      <c r="R200" s="19">
        <f>IF(Mitigation_Industry!R$688&lt;=0,0,R$190/Mitigation_Industry!R$688)</f>
        <v>5.1562500000000011E-3</v>
      </c>
      <c r="S200" s="19">
        <f>IF(Mitigation_Industry!S$688&lt;=0,0,S$190/Mitigation_Industry!S$688)</f>
        <v>7.7343750000000008E-3</v>
      </c>
      <c r="T200" s="19">
        <f>IF(Mitigation_Industry!T$688&lt;=0,0,T$190/Mitigation_Industry!T$688)</f>
        <v>1.0312500000000002E-2</v>
      </c>
      <c r="U200" s="19">
        <f>IF(Mitigation_Industry!U$688&lt;=0,0,U$190/Mitigation_Industry!U$688)</f>
        <v>1.2890624999999999E-2</v>
      </c>
      <c r="V200" s="19">
        <f>IF(Mitigation_Industry!V$688&lt;=0,0,V$190/Mitigation_Industry!V$688)</f>
        <v>1.5468750000000002E-2</v>
      </c>
      <c r="W200" s="19">
        <f>IF(Mitigation_Industry!W$688&lt;=0,0,W$190/Mitigation_Industry!W$688)</f>
        <v>1.8046875E-2</v>
      </c>
      <c r="X200" s="19">
        <f>IF(Mitigation_Industry!X$688&lt;=0,0,X$190/Mitigation_Industry!X$688)</f>
        <v>2.0625000000000004E-2</v>
      </c>
      <c r="Y200" s="19">
        <f>IF(Mitigation_Industry!Y$688&lt;=0,0,Y$190/Mitigation_Industry!Y$688)</f>
        <v>2.3203125000000002E-2</v>
      </c>
      <c r="Z200" s="19">
        <f>IF(Mitigation_Industry!Z$688&lt;=0,0,Z$190/Mitigation_Industry!Z$688)</f>
        <v>2.5781249999999999E-2</v>
      </c>
      <c r="AA200" s="19">
        <f>IF(Mitigation_Industry!AA$688&lt;=0,0,AA$190/Mitigation_Industry!AA$688)</f>
        <v>2.8359375000000003E-2</v>
      </c>
      <c r="AB200" s="19">
        <f>IF(Mitigation_Industry!AB$688&lt;=0,0,AB$190/Mitigation_Industry!AB$688)</f>
        <v>3.0937500000000003E-2</v>
      </c>
      <c r="AC200" s="19">
        <f>IF(Mitigation_Industry!AC$688&lt;=0,0,AC$190/Mitigation_Industry!AC$688)</f>
        <v>3.3515625E-2</v>
      </c>
      <c r="AD200" s="19">
        <f>IF(Mitigation_Industry!AD$688&lt;=0,0,AD$190/Mitigation_Industry!AD$688)</f>
        <v>3.6093750000000001E-2</v>
      </c>
      <c r="AE200" s="19">
        <f>IF(Mitigation_Industry!AE$688&lt;=0,0,AE$190/Mitigation_Industry!AE$688)</f>
        <v>3.8671875000000008E-2</v>
      </c>
    </row>
    <row r="201" spans="1:35" customFormat="1" ht="14.25" x14ac:dyDescent="0.45">
      <c r="B201" s="14" t="s">
        <v>1458</v>
      </c>
      <c r="C201" s="14" t="s">
        <v>43</v>
      </c>
      <c r="D201" s="15" t="s">
        <v>2137</v>
      </c>
      <c r="E201" s="16" t="s">
        <v>79</v>
      </c>
      <c r="F201" s="14" t="s">
        <v>2133</v>
      </c>
      <c r="G201" s="17"/>
      <c r="H201" s="114" t="str">
        <f>Settings!$B$3&amp;".mit.ppin.stl.bof.2"</f>
        <v>egy.mit.ppin.stl.bof.2</v>
      </c>
      <c r="K201" s="18"/>
      <c r="L201" s="19">
        <f>IF(Mitigation_Industry!L$689&lt;=0,0,L$191/Mitigation_Industry!L$689)</f>
        <v>0</v>
      </c>
      <c r="M201" s="19">
        <f>IF(Mitigation_Industry!M$689&lt;=0,0,M$191/Mitigation_Industry!M$689)</f>
        <v>0</v>
      </c>
      <c r="N201" s="19">
        <f>IF(Mitigation_Industry!N$689&lt;=0,0,N$191/Mitigation_Industry!N$689)</f>
        <v>0</v>
      </c>
      <c r="O201" s="19">
        <f>IF(Mitigation_Industry!O$689&lt;=0,0,O$191/Mitigation_Industry!O$689)</f>
        <v>0</v>
      </c>
      <c r="P201" s="19">
        <f>IF(Mitigation_Industry!P$689&lt;=0,0,P$191/Mitigation_Industry!P$689)</f>
        <v>0</v>
      </c>
      <c r="Q201" s="19">
        <f>IF(Mitigation_Industry!Q$689&lt;=0,0,Q$191/Mitigation_Industry!Q$689)</f>
        <v>3.8750000000000007E-2</v>
      </c>
      <c r="R201" s="19">
        <f>IF(Mitigation_Industry!R$689&lt;=0,0,R$191/Mitigation_Industry!R$689)</f>
        <v>7.7500000000000013E-2</v>
      </c>
      <c r="S201" s="19">
        <f>IF(Mitigation_Industry!S$689&lt;=0,0,S$191/Mitigation_Industry!S$689)</f>
        <v>0.11625000000000001</v>
      </c>
      <c r="T201" s="19">
        <f>IF(Mitigation_Industry!T$689&lt;=0,0,T$191/Mitigation_Industry!T$689)</f>
        <v>0.15500000000000003</v>
      </c>
      <c r="U201" s="19">
        <f>IF(Mitigation_Industry!U$689&lt;=0,0,U$191/Mitigation_Industry!U$689)</f>
        <v>0.19375000000000003</v>
      </c>
      <c r="V201" s="19">
        <f>IF(Mitigation_Industry!V$689&lt;=0,0,V$191/Mitigation_Industry!V$689)</f>
        <v>0.23250000000000001</v>
      </c>
      <c r="W201" s="19">
        <f>IF(Mitigation_Industry!W$689&lt;=0,0,W$191/Mitigation_Industry!W$689)</f>
        <v>0.27124999999999999</v>
      </c>
      <c r="X201" s="19">
        <f>IF(Mitigation_Industry!X$689&lt;=0,0,X$191/Mitigation_Industry!X$689)</f>
        <v>0.31000000000000005</v>
      </c>
      <c r="Y201" s="19">
        <f>IF(Mitigation_Industry!Y$689&lt;=0,0,Y$191/Mitigation_Industry!Y$689)</f>
        <v>0.34875000000000006</v>
      </c>
      <c r="Z201" s="19">
        <f>IF(Mitigation_Industry!Z$689&lt;=0,0,Z$191/Mitigation_Industry!Z$689)</f>
        <v>0.38750000000000007</v>
      </c>
      <c r="AA201" s="19">
        <f>IF(Mitigation_Industry!AA$689&lt;=0,0,AA$191/Mitigation_Industry!AA$689)</f>
        <v>0.42625000000000007</v>
      </c>
      <c r="AB201" s="19">
        <f>IF(Mitigation_Industry!AB$689&lt;=0,0,AB$191/Mitigation_Industry!AB$689)</f>
        <v>0.46500000000000002</v>
      </c>
      <c r="AC201" s="19">
        <f>IF(Mitigation_Industry!AC$689&lt;=0,0,AC$191/Mitigation_Industry!AC$689)</f>
        <v>0.50375000000000003</v>
      </c>
      <c r="AD201" s="19">
        <f>IF(Mitigation_Industry!AD$689&lt;=0,0,AD$191/Mitigation_Industry!AD$689)</f>
        <v>0.54249999999999998</v>
      </c>
      <c r="AE201" s="19">
        <f>IF(Mitigation_Industry!AE$689&lt;=0,0,AE$191/Mitigation_Industry!AE$689)</f>
        <v>0.58125000000000004</v>
      </c>
    </row>
    <row r="202" spans="1:35" customFormat="1" ht="14.25" x14ac:dyDescent="0.45">
      <c r="B202" s="14" t="s">
        <v>1461</v>
      </c>
      <c r="C202" s="14" t="s">
        <v>113</v>
      </c>
      <c r="D202" s="15" t="s">
        <v>2138</v>
      </c>
      <c r="E202" s="16" t="s">
        <v>79</v>
      </c>
      <c r="F202" s="14" t="s">
        <v>2133</v>
      </c>
      <c r="G202" s="17"/>
      <c r="H202" s="114" t="str">
        <f>Settings!$B$3&amp;".mit.ppin.cmt.dry.2"</f>
        <v>egy.mit.ppin.cmt.dry.2</v>
      </c>
      <c r="K202" s="18"/>
      <c r="L202" s="19">
        <f>IF(Mitigation_Industry!L$690&lt;=0,0,L$192/Mitigation_Industry!L$690)</f>
        <v>0</v>
      </c>
      <c r="M202" s="19">
        <f>IF(Mitigation_Industry!M$690&lt;=0,0,M$192/Mitigation_Industry!M$690)</f>
        <v>0</v>
      </c>
      <c r="N202" s="19">
        <f>IF(Mitigation_Industry!N$690&lt;=0,0,N$192/Mitigation_Industry!N$690)</f>
        <v>0</v>
      </c>
      <c r="O202" s="19">
        <f>IF(Mitigation_Industry!O$690&lt;=0,0,O$192/Mitigation_Industry!O$690)</f>
        <v>0</v>
      </c>
      <c r="P202" s="19">
        <f>IF(Mitigation_Industry!P$690&lt;=0,0,P$192/Mitigation_Industry!P$690)</f>
        <v>0</v>
      </c>
      <c r="Q202" s="19">
        <f>IF(Mitigation_Industry!Q$690&lt;=0,0,Q$192/Mitigation_Industry!Q$690)</f>
        <v>3.2761363636363637E-2</v>
      </c>
      <c r="R202" s="19">
        <f>IF(Mitigation_Industry!R$690&lt;=0,0,R$192/Mitigation_Industry!R$690)</f>
        <v>6.5522727272727274E-2</v>
      </c>
      <c r="S202" s="19">
        <f>IF(Mitigation_Industry!S$690&lt;=0,0,S$192/Mitigation_Industry!S$690)</f>
        <v>9.8284090909090904E-2</v>
      </c>
      <c r="T202" s="19">
        <f>IF(Mitigation_Industry!T$690&lt;=0,0,T$192/Mitigation_Industry!T$690)</f>
        <v>0.13104545454545455</v>
      </c>
      <c r="U202" s="19">
        <f>IF(Mitigation_Industry!U$690&lt;=0,0,U$192/Mitigation_Industry!U$690)</f>
        <v>0.16380681818181819</v>
      </c>
      <c r="V202" s="19">
        <f>IF(Mitigation_Industry!V$690&lt;=0,0,V$192/Mitigation_Industry!V$690)</f>
        <v>0.19656818181818181</v>
      </c>
      <c r="W202" s="19">
        <f>IF(Mitigation_Industry!W$690&lt;=0,0,W$192/Mitigation_Industry!W$690)</f>
        <v>0.22932954545454545</v>
      </c>
      <c r="X202" s="19">
        <f>IF(Mitigation_Industry!X$690&lt;=0,0,X$192/Mitigation_Industry!X$690)</f>
        <v>0.2620909090909091</v>
      </c>
      <c r="Y202" s="19">
        <f>IF(Mitigation_Industry!Y$690&lt;=0,0,Y$192/Mitigation_Industry!Y$690)</f>
        <v>0.29485227272727277</v>
      </c>
      <c r="Z202" s="19">
        <f>IF(Mitigation_Industry!Z$690&lt;=0,0,Z$192/Mitigation_Industry!Z$690)</f>
        <v>0.32761363636363638</v>
      </c>
      <c r="AA202" s="19">
        <f>IF(Mitigation_Industry!AA$690&lt;=0,0,AA$192/Mitigation_Industry!AA$690)</f>
        <v>0.360375</v>
      </c>
      <c r="AB202" s="19">
        <f>IF(Mitigation_Industry!AB$690&lt;=0,0,AB$192/Mitigation_Industry!AB$690)</f>
        <v>0.39313636363636362</v>
      </c>
      <c r="AC202" s="19">
        <f>IF(Mitigation_Industry!AC$690&lt;=0,0,AC$192/Mitigation_Industry!AC$690)</f>
        <v>0.42589772727272729</v>
      </c>
      <c r="AD202" s="19">
        <f>IF(Mitigation_Industry!AD$690&lt;=0,0,AD$192/Mitigation_Industry!AD$690)</f>
        <v>0.45865909090909091</v>
      </c>
      <c r="AE202" s="19">
        <f>IF(Mitigation_Industry!AE$690&lt;=0,0,AE$192/Mitigation_Industry!AE$690)</f>
        <v>0.49142045454545452</v>
      </c>
    </row>
    <row r="203" spans="1:35" customFormat="1" ht="14.25" x14ac:dyDescent="0.45">
      <c r="B203" s="14" t="s">
        <v>1464</v>
      </c>
      <c r="C203" s="14" t="s">
        <v>117</v>
      </c>
      <c r="D203" s="15" t="s">
        <v>2139</v>
      </c>
      <c r="E203" s="16" t="s">
        <v>79</v>
      </c>
      <c r="F203" s="14" t="s">
        <v>2133</v>
      </c>
      <c r="G203" s="17"/>
      <c r="H203" s="114" t="str">
        <f>Settings!$B$3&amp;".mit.ppin.frt.amc.2"</f>
        <v>egy.mit.ppin.frt.amc.2</v>
      </c>
      <c r="K203" s="18"/>
      <c r="L203" s="19">
        <f>IF(Mitigation_Industry!L$691&lt;=0,0,L$193/Mitigation_Industry!L$691)</f>
        <v>0</v>
      </c>
      <c r="M203" s="19">
        <f>IF(Mitigation_Industry!M$691&lt;=0,0,M$193/Mitigation_Industry!M$691)</f>
        <v>0</v>
      </c>
      <c r="N203" s="19">
        <f>IF(Mitigation_Industry!N$691&lt;=0,0,N$193/Mitigation_Industry!N$691)</f>
        <v>0</v>
      </c>
      <c r="O203" s="19">
        <f>IF(Mitigation_Industry!O$691&lt;=0,0,O$193/Mitigation_Industry!O$691)</f>
        <v>0</v>
      </c>
      <c r="P203" s="19">
        <f>IF(Mitigation_Industry!P$691&lt;=0,0,P$193/Mitigation_Industry!P$691)</f>
        <v>0</v>
      </c>
      <c r="Q203" s="19">
        <f>IF(Mitigation_Industry!Q$691&lt;=0,0,Q$193/Mitigation_Industry!Q$691)</f>
        <v>5.1424999999999998E-2</v>
      </c>
      <c r="R203" s="19">
        <f>IF(Mitigation_Industry!R$691&lt;=0,0,R$193/Mitigation_Industry!R$691)</f>
        <v>0.10285</v>
      </c>
      <c r="S203" s="19">
        <f>IF(Mitigation_Industry!S$691&lt;=0,0,S$193/Mitigation_Industry!S$691)</f>
        <v>0.154275</v>
      </c>
      <c r="T203" s="19">
        <f>IF(Mitigation_Industry!T$691&lt;=0,0,T$193/Mitigation_Industry!T$691)</f>
        <v>0.20569999999999999</v>
      </c>
      <c r="U203" s="19">
        <f>IF(Mitigation_Industry!U$691&lt;=0,0,U$193/Mitigation_Industry!U$691)</f>
        <v>0.25712499999999999</v>
      </c>
      <c r="V203" s="19">
        <f>IF(Mitigation_Industry!V$691&lt;=0,0,V$193/Mitigation_Industry!V$691)</f>
        <v>0.30854999999999999</v>
      </c>
      <c r="W203" s="19">
        <f>IF(Mitigation_Industry!W$691&lt;=0,0,W$193/Mitigation_Industry!W$691)</f>
        <v>0.35997499999999993</v>
      </c>
      <c r="X203" s="19">
        <f>IF(Mitigation_Industry!X$691&lt;=0,0,X$193/Mitigation_Industry!X$691)</f>
        <v>0.41139999999999999</v>
      </c>
      <c r="Y203" s="19">
        <f>IF(Mitigation_Industry!Y$691&lt;=0,0,Y$193/Mitigation_Industry!Y$691)</f>
        <v>0.46282499999999993</v>
      </c>
      <c r="Z203" s="19">
        <f>IF(Mitigation_Industry!Z$691&lt;=0,0,Z$193/Mitigation_Industry!Z$691)</f>
        <v>0.51424999999999998</v>
      </c>
      <c r="AA203" s="19">
        <f>IF(Mitigation_Industry!AA$691&lt;=0,0,AA$193/Mitigation_Industry!AA$691)</f>
        <v>0.56567499999999993</v>
      </c>
      <c r="AB203" s="19">
        <f>IF(Mitigation_Industry!AB$691&lt;=0,0,AB$193/Mitigation_Industry!AB$691)</f>
        <v>0.61709999999999998</v>
      </c>
      <c r="AC203" s="19">
        <f>IF(Mitigation_Industry!AC$691&lt;=0,0,AC$193/Mitigation_Industry!AC$691)</f>
        <v>0.66852500000000004</v>
      </c>
      <c r="AD203" s="19">
        <f>IF(Mitigation_Industry!AD$691&lt;=0,0,AD$193/Mitigation_Industry!AD$691)</f>
        <v>0.71994999999999987</v>
      </c>
      <c r="AE203" s="19">
        <f>IF(Mitigation_Industry!AE$691&lt;=0,0,AE$193/Mitigation_Industry!AE$691)</f>
        <v>0.77137499999999992</v>
      </c>
    </row>
    <row r="204" spans="1:35" customFormat="1" ht="14.25" x14ac:dyDescent="0.45">
      <c r="B204" s="14" t="s">
        <v>1467</v>
      </c>
      <c r="C204" s="14" t="s">
        <v>117</v>
      </c>
      <c r="D204" s="15" t="s">
        <v>2140</v>
      </c>
      <c r="E204" s="16" t="s">
        <v>79</v>
      </c>
      <c r="F204" s="14" t="s">
        <v>2133</v>
      </c>
      <c r="G204" s="17"/>
      <c r="H204" s="114" t="str">
        <f>Settings!$B$3&amp;".mit.ppin.frt.ure.2"</f>
        <v>egy.mit.ppin.frt.ure.2</v>
      </c>
      <c r="K204" s="18"/>
      <c r="L204" s="19">
        <f>IF(Mitigation_Industry!L$692&lt;=0,0,L$194/Mitigation_Industry!L$692)</f>
        <v>0</v>
      </c>
      <c r="M204" s="19">
        <f>IF(Mitigation_Industry!M$692&lt;=0,0,M$194/Mitigation_Industry!M$692)</f>
        <v>0</v>
      </c>
      <c r="N204" s="19">
        <f>IF(Mitigation_Industry!N$692&lt;=0,0,N$194/Mitigation_Industry!N$692)</f>
        <v>0</v>
      </c>
      <c r="O204" s="19">
        <f>IF(Mitigation_Industry!O$692&lt;=0,0,O$194/Mitigation_Industry!O$692)</f>
        <v>0</v>
      </c>
      <c r="P204" s="19">
        <f>IF(Mitigation_Industry!P$692&lt;=0,0,P$194/Mitigation_Industry!P$692)</f>
        <v>0</v>
      </c>
      <c r="Q204" s="19">
        <f>IF(Mitigation_Industry!Q$692&lt;=0,0,Q$194/Mitigation_Industry!Q$692)</f>
        <v>3.6907894736842102E-3</v>
      </c>
      <c r="R204" s="19">
        <f>IF(Mitigation_Industry!R$692&lt;=0,0,R$194/Mitigation_Industry!R$692)</f>
        <v>7.3815789473684204E-3</v>
      </c>
      <c r="S204" s="19">
        <f>IF(Mitigation_Industry!S$692&lt;=0,0,S$194/Mitigation_Industry!S$692)</f>
        <v>1.1072368421052631E-2</v>
      </c>
      <c r="T204" s="19">
        <f>IF(Mitigation_Industry!T$692&lt;=0,0,T$194/Mitigation_Industry!T$692)</f>
        <v>1.4763157894736841E-2</v>
      </c>
      <c r="U204" s="19">
        <f>IF(Mitigation_Industry!U$692&lt;=0,0,U$194/Mitigation_Industry!U$692)</f>
        <v>1.8453947368421052E-2</v>
      </c>
      <c r="V204" s="19">
        <f>IF(Mitigation_Industry!V$692&lt;=0,0,V$194/Mitigation_Industry!V$692)</f>
        <v>2.2144736842105262E-2</v>
      </c>
      <c r="W204" s="19">
        <f>IF(Mitigation_Industry!W$692&lt;=0,0,W$194/Mitigation_Industry!W$692)</f>
        <v>2.5835526315789472E-2</v>
      </c>
      <c r="X204" s="19">
        <f>IF(Mitigation_Industry!X$692&lt;=0,0,X$194/Mitigation_Industry!X$692)</f>
        <v>2.9526315789473682E-2</v>
      </c>
      <c r="Y204" s="19">
        <f>IF(Mitigation_Industry!Y$692&lt;=0,0,Y$194/Mitigation_Industry!Y$692)</f>
        <v>3.3217105263157888E-2</v>
      </c>
      <c r="Z204" s="19">
        <f>IF(Mitigation_Industry!Z$692&lt;=0,0,Z$194/Mitigation_Industry!Z$692)</f>
        <v>3.6907894736842105E-2</v>
      </c>
      <c r="AA204" s="19">
        <f>IF(Mitigation_Industry!AA$692&lt;=0,0,AA$194/Mitigation_Industry!AA$692)</f>
        <v>4.0598684210526315E-2</v>
      </c>
      <c r="AB204" s="19">
        <f>IF(Mitigation_Industry!AB$692&lt;=0,0,AB$194/Mitigation_Industry!AB$692)</f>
        <v>4.4289473684210524E-2</v>
      </c>
      <c r="AC204" s="19">
        <f>IF(Mitigation_Industry!AC$692&lt;=0,0,AC$194/Mitigation_Industry!AC$692)</f>
        <v>4.7980263157894734E-2</v>
      </c>
      <c r="AD204" s="19">
        <f>IF(Mitigation_Industry!AD$692&lt;=0,0,AD$194/Mitigation_Industry!AD$692)</f>
        <v>5.1671052631578944E-2</v>
      </c>
      <c r="AE204" s="19">
        <f>IF(Mitigation_Industry!AE$692&lt;=0,0,AE$194/Mitigation_Industry!AE$692)</f>
        <v>5.5361842105263154E-2</v>
      </c>
    </row>
    <row r="205" spans="1:35" customFormat="1" ht="14.25" x14ac:dyDescent="0.45">
      <c r="B205" s="14" t="s">
        <v>1470</v>
      </c>
      <c r="C205" s="14" t="s">
        <v>117</v>
      </c>
      <c r="D205" s="15" t="s">
        <v>2141</v>
      </c>
      <c r="E205" s="16" t="s">
        <v>79</v>
      </c>
      <c r="F205" s="14" t="s">
        <v>2133</v>
      </c>
      <c r="G205" s="17"/>
      <c r="H205" s="114" t="str">
        <f>Settings!$B$3&amp;".mit.ppin.frt.nit.2"</f>
        <v>egy.mit.ppin.frt.nit.2</v>
      </c>
      <c r="K205" s="18"/>
      <c r="L205" s="19">
        <f>IF(Mitigation_Industry!L$693&lt;=0,0,L$195/Mitigation_Industry!L$693)</f>
        <v>0</v>
      </c>
      <c r="M205" s="19">
        <f>IF(Mitigation_Industry!M$693&lt;=0,0,M$195/Mitigation_Industry!M$693)</f>
        <v>0</v>
      </c>
      <c r="N205" s="19">
        <f>IF(Mitigation_Industry!N$693&lt;=0,0,N$195/Mitigation_Industry!N$693)</f>
        <v>0</v>
      </c>
      <c r="O205" s="19">
        <f>IF(Mitigation_Industry!O$693&lt;=0,0,O$195/Mitigation_Industry!O$693)</f>
        <v>0</v>
      </c>
      <c r="P205" s="19">
        <f>IF(Mitigation_Industry!P$693&lt;=0,0,P$195/Mitigation_Industry!P$693)</f>
        <v>0</v>
      </c>
      <c r="Q205" s="19">
        <f>IF(Mitigation_Industry!Q$693&lt;=0,0,Q$195/Mitigation_Industry!Q$693)</f>
        <v>4.3828124999999996E-3</v>
      </c>
      <c r="R205" s="19">
        <f>IF(Mitigation_Industry!R$693&lt;=0,0,R$195/Mitigation_Industry!R$693)</f>
        <v>8.7656249999999991E-3</v>
      </c>
      <c r="S205" s="19">
        <f>IF(Mitigation_Industry!S$693&lt;=0,0,S$195/Mitigation_Industry!S$693)</f>
        <v>1.3148437499999999E-2</v>
      </c>
      <c r="T205" s="19">
        <f>IF(Mitigation_Industry!T$693&lt;=0,0,T$195/Mitigation_Industry!T$693)</f>
        <v>1.7531249999999998E-2</v>
      </c>
      <c r="U205" s="19">
        <f>IF(Mitigation_Industry!U$693&lt;=0,0,U$195/Mitigation_Industry!U$693)</f>
        <v>2.1914062499999998E-2</v>
      </c>
      <c r="V205" s="19">
        <f>IF(Mitigation_Industry!V$693&lt;=0,0,V$195/Mitigation_Industry!V$693)</f>
        <v>2.6296874999999997E-2</v>
      </c>
      <c r="W205" s="19">
        <f>IF(Mitigation_Industry!W$693&lt;=0,0,W$195/Mitigation_Industry!W$693)</f>
        <v>3.0679687499999997E-2</v>
      </c>
      <c r="X205" s="19">
        <f>IF(Mitigation_Industry!X$693&lt;=0,0,X$195/Mitigation_Industry!X$693)</f>
        <v>3.5062499999999996E-2</v>
      </c>
      <c r="Y205" s="19">
        <f>IF(Mitigation_Industry!Y$693&lt;=0,0,Y$195/Mitigation_Industry!Y$693)</f>
        <v>3.9445312499999996E-2</v>
      </c>
      <c r="Z205" s="19">
        <f>IF(Mitigation_Industry!Z$693&lt;=0,0,Z$195/Mitigation_Industry!Z$693)</f>
        <v>4.3828124999999996E-2</v>
      </c>
      <c r="AA205" s="19">
        <f>IF(Mitigation_Industry!AA$693&lt;=0,0,AA$195/Mitigation_Industry!AA$693)</f>
        <v>4.8210937499999995E-2</v>
      </c>
      <c r="AB205" s="19">
        <f>IF(Mitigation_Industry!AB$693&lt;=0,0,AB$195/Mitigation_Industry!AB$693)</f>
        <v>5.2593749999999995E-2</v>
      </c>
      <c r="AC205" s="19">
        <f>IF(Mitigation_Industry!AC$693&lt;=0,0,AC$195/Mitigation_Industry!AC$693)</f>
        <v>5.6976562499999994E-2</v>
      </c>
      <c r="AD205" s="19">
        <f>IF(Mitigation_Industry!AD$693&lt;=0,0,AD$195/Mitigation_Industry!AD$693)</f>
        <v>6.1359374999999994E-2</v>
      </c>
      <c r="AE205" s="19">
        <f>IF(Mitigation_Industry!AE$693&lt;=0,0,AE$195/Mitigation_Industry!AE$693)</f>
        <v>6.5742187499999993E-2</v>
      </c>
    </row>
    <row r="206" spans="1:35" customFormat="1" ht="14.25" x14ac:dyDescent="0.45">
      <c r="B206" s="14" t="s">
        <v>1473</v>
      </c>
      <c r="C206" s="14" t="s">
        <v>115</v>
      </c>
      <c r="D206" s="15" t="s">
        <v>2142</v>
      </c>
      <c r="E206" s="16" t="s">
        <v>79</v>
      </c>
      <c r="F206" s="14" t="s">
        <v>2133</v>
      </c>
      <c r="G206" s="17"/>
      <c r="H206" s="114" t="str">
        <f>Settings!$B$3&amp;".mit.ppin.alu.prp.2"</f>
        <v>egy.mit.ppin.alu.prp.2</v>
      </c>
      <c r="K206" s="18"/>
      <c r="L206" s="19">
        <f>IF(Mitigation_Industry!L$694&lt;=0,0,L$196/Mitigation_Industry!L$694)</f>
        <v>0</v>
      </c>
      <c r="M206" s="19">
        <f>IF(Mitigation_Industry!M$694&lt;=0,0,M$196/Mitigation_Industry!M$694)</f>
        <v>0</v>
      </c>
      <c r="N206" s="19">
        <f>IF(Mitigation_Industry!N$694&lt;=0,0,N$196/Mitigation_Industry!N$694)</f>
        <v>0</v>
      </c>
      <c r="O206" s="19">
        <f>IF(Mitigation_Industry!O$694&lt;=0,0,O$196/Mitigation_Industry!O$694)</f>
        <v>0</v>
      </c>
      <c r="P206" s="19">
        <f>IF(Mitigation_Industry!P$694&lt;=0,0,P$196/Mitigation_Industry!P$694)</f>
        <v>0</v>
      </c>
      <c r="Q206" s="19">
        <f>IF(Mitigation_Industry!Q$694&lt;=0,0,Q$196/Mitigation_Industry!Q$694)</f>
        <v>8.1249999999999996E-4</v>
      </c>
      <c r="R206" s="19">
        <f>IF(Mitigation_Industry!R$694&lt;=0,0,R$196/Mitigation_Industry!R$694)</f>
        <v>1.6249999999999999E-3</v>
      </c>
      <c r="S206" s="19">
        <f>IF(Mitigation_Industry!S$694&lt;=0,0,S$196/Mitigation_Industry!S$694)</f>
        <v>2.4375E-3</v>
      </c>
      <c r="T206" s="19">
        <f>IF(Mitigation_Industry!T$694&lt;=0,0,T$196/Mitigation_Industry!T$694)</f>
        <v>3.2499999999999999E-3</v>
      </c>
      <c r="U206" s="19">
        <f>IF(Mitigation_Industry!U$694&lt;=0,0,U$196/Mitigation_Industry!U$694)</f>
        <v>4.0625000000000001E-3</v>
      </c>
      <c r="V206" s="19">
        <f>IF(Mitigation_Industry!V$694&lt;=0,0,V$196/Mitigation_Industry!V$694)</f>
        <v>4.875E-3</v>
      </c>
      <c r="W206" s="19">
        <f>IF(Mitigation_Industry!W$694&lt;=0,0,W$196/Mitigation_Industry!W$694)</f>
        <v>5.6874999999999998E-3</v>
      </c>
      <c r="X206" s="19">
        <f>IF(Mitigation_Industry!X$694&lt;=0,0,X$196/Mitigation_Industry!X$694)</f>
        <v>6.4999999999999997E-3</v>
      </c>
      <c r="Y206" s="19">
        <f>IF(Mitigation_Industry!Y$694&lt;=0,0,Y$196/Mitigation_Industry!Y$694)</f>
        <v>7.3125000000000004E-3</v>
      </c>
      <c r="Z206" s="19">
        <f>IF(Mitigation_Industry!Z$694&lt;=0,0,Z$196/Mitigation_Industry!Z$694)</f>
        <v>8.1250000000000003E-3</v>
      </c>
      <c r="AA206" s="19">
        <f>IF(Mitigation_Industry!AA$694&lt;=0,0,AA$196/Mitigation_Industry!AA$694)</f>
        <v>8.9374999999999993E-3</v>
      </c>
      <c r="AB206" s="19">
        <f>IF(Mitigation_Industry!AB$694&lt;=0,0,AB$196/Mitigation_Industry!AB$694)</f>
        <v>9.75E-3</v>
      </c>
      <c r="AC206" s="19">
        <f>IF(Mitigation_Industry!AC$694&lt;=0,0,AC$196/Mitigation_Industry!AC$694)</f>
        <v>1.0562500000000001E-2</v>
      </c>
      <c r="AD206" s="19">
        <f>IF(Mitigation_Industry!AD$694&lt;=0,0,AD$196/Mitigation_Industry!AD$694)</f>
        <v>1.1375E-2</v>
      </c>
      <c r="AE206" s="19">
        <f>IF(Mitigation_Industry!AE$694&lt;=0,0,AE$196/Mitigation_Industry!AE$694)</f>
        <v>1.21875E-2</v>
      </c>
    </row>
    <row r="208" spans="1:35" customFormat="1" ht="14.25" x14ac:dyDescent="0.45">
      <c r="A208" s="11"/>
      <c r="B208" s="6"/>
      <c r="C208" s="7" t="s">
        <v>2143</v>
      </c>
      <c r="D208" s="6" t="s">
        <v>1505</v>
      </c>
      <c r="E208" s="7" t="s">
        <v>35</v>
      </c>
      <c r="F208" s="7" t="s">
        <v>45</v>
      </c>
      <c r="G208" s="7" t="s">
        <v>37</v>
      </c>
      <c r="H208" s="12" t="s">
        <v>38</v>
      </c>
      <c r="I208" s="6" t="s">
        <v>39</v>
      </c>
      <c r="J208" s="48">
        <v>2</v>
      </c>
      <c r="K208" s="6">
        <v>2021</v>
      </c>
      <c r="L208" s="46">
        <v>2022</v>
      </c>
      <c r="M208" s="6">
        <v>2023</v>
      </c>
      <c r="N208" s="6">
        <v>2024</v>
      </c>
      <c r="O208" s="6">
        <v>2025</v>
      </c>
      <c r="P208" s="6">
        <v>2026</v>
      </c>
      <c r="Q208" s="6">
        <v>2027</v>
      </c>
      <c r="R208" s="6">
        <v>2028</v>
      </c>
      <c r="S208" s="6">
        <v>2029</v>
      </c>
      <c r="T208" s="6">
        <v>2030</v>
      </c>
      <c r="U208" s="6">
        <v>2031</v>
      </c>
      <c r="V208" s="6">
        <v>2032</v>
      </c>
      <c r="W208" s="6">
        <v>2033</v>
      </c>
      <c r="X208" s="6">
        <v>2034</v>
      </c>
      <c r="Y208" s="6">
        <v>2035</v>
      </c>
      <c r="Z208" s="6">
        <v>2036</v>
      </c>
      <c r="AA208" s="6">
        <v>2037</v>
      </c>
      <c r="AB208" s="6">
        <v>2038</v>
      </c>
      <c r="AC208" s="6">
        <v>2039</v>
      </c>
      <c r="AD208" s="6">
        <v>2040</v>
      </c>
      <c r="AE208" s="6">
        <v>2041</v>
      </c>
      <c r="AF208" s="6">
        <v>2042</v>
      </c>
      <c r="AG208" s="6">
        <v>2043</v>
      </c>
      <c r="AH208" s="6">
        <v>2044</v>
      </c>
      <c r="AI208" s="6">
        <v>2045</v>
      </c>
    </row>
    <row r="209" spans="1:35" customFormat="1" ht="14.25" x14ac:dyDescent="0.45">
      <c r="B209" s="14" t="s">
        <v>1452</v>
      </c>
      <c r="C209" s="14" t="s">
        <v>43</v>
      </c>
      <c r="D209" s="15" t="s">
        <v>2144</v>
      </c>
      <c r="E209" s="16" t="s">
        <v>1871</v>
      </c>
      <c r="F209" s="14" t="s">
        <v>2143</v>
      </c>
      <c r="G209" s="17"/>
      <c r="H209" s="114" t="str">
        <f>Settings!$B$3&amp;".mit.obr.stl.drg.2"</f>
        <v>egy.mit.obr.stl.drg.2</v>
      </c>
      <c r="I209" t="s">
        <v>2145</v>
      </c>
      <c r="K209" s="18"/>
      <c r="L209" s="19">
        <f>L$179*Mitigation_Industry!L$675/1000</f>
        <v>0</v>
      </c>
      <c r="M209" s="19">
        <f>M$179*Mitigation_Industry!M$675/1000</f>
        <v>0</v>
      </c>
      <c r="N209" s="19">
        <f>N$179*Mitigation_Industry!N$675/1000</f>
        <v>0</v>
      </c>
      <c r="O209" s="19">
        <f>O$179*Mitigation_Industry!O$675/1000</f>
        <v>0</v>
      </c>
      <c r="P209" s="19">
        <f>P$179*Mitigation_Industry!P$675/1000</f>
        <v>0</v>
      </c>
      <c r="Q209" s="19">
        <f>Q$179*Mitigation_Industry!Q$675/1000</f>
        <v>0</v>
      </c>
      <c r="R209" s="19">
        <f>R$179*Mitigation_Industry!R$675/1000</f>
        <v>0</v>
      </c>
      <c r="S209" s="19">
        <f>S$179*Mitigation_Industry!S$675/1000</f>
        <v>0</v>
      </c>
      <c r="T209" s="19">
        <f>T$179*Mitigation_Industry!T$675/1000</f>
        <v>0</v>
      </c>
      <c r="U209" s="19">
        <f>U$179*Mitigation_Industry!U$675/1000</f>
        <v>0</v>
      </c>
      <c r="V209" s="19">
        <f>V$179*Mitigation_Industry!V$675/1000</f>
        <v>0</v>
      </c>
      <c r="W209" s="19">
        <f>W$179*Mitigation_Industry!W$675/1000</f>
        <v>0</v>
      </c>
      <c r="X209" s="19">
        <f>X$179*Mitigation_Industry!X$675/1000</f>
        <v>0</v>
      </c>
      <c r="Y209" s="19">
        <f>Y$179*Mitigation_Industry!Y$675/1000</f>
        <v>0</v>
      </c>
      <c r="Z209" s="19">
        <f>Z$179*Mitigation_Industry!Z$675/1000</f>
        <v>0</v>
      </c>
      <c r="AA209" s="19">
        <f>AA$179*Mitigation_Industry!AA$675/1000</f>
        <v>0</v>
      </c>
      <c r="AB209" s="19">
        <f>AB$179*Mitigation_Industry!AB$675/1000</f>
        <v>0</v>
      </c>
      <c r="AC209" s="19">
        <f>AC$179*Mitigation_Industry!AC$675/1000</f>
        <v>0</v>
      </c>
      <c r="AD209" s="19">
        <f>AD$179*Mitigation_Industry!AD$675/1000</f>
        <v>0</v>
      </c>
      <c r="AE209" s="19">
        <f>AE$179*Mitigation_Industry!AE$675/1000</f>
        <v>0</v>
      </c>
    </row>
    <row r="210" spans="1:35" customFormat="1" ht="14.25" x14ac:dyDescent="0.45">
      <c r="B210" s="14" t="s">
        <v>1455</v>
      </c>
      <c r="C210" s="14" t="s">
        <v>43</v>
      </c>
      <c r="D210" s="15" t="s">
        <v>2146</v>
      </c>
      <c r="E210" s="16" t="s">
        <v>1871</v>
      </c>
      <c r="F210" s="14" t="s">
        <v>2143</v>
      </c>
      <c r="G210" s="17"/>
      <c r="H210" s="114" t="str">
        <f>Settings!$B$3&amp;".mit.obr.stl.scr.2"</f>
        <v>egy.mit.obr.stl.scr.2</v>
      </c>
      <c r="K210" s="18"/>
      <c r="L210" s="19">
        <f>L$180*Mitigation_Industry!L$676/1000</f>
        <v>0</v>
      </c>
      <c r="M210" s="19">
        <f>M$180*Mitigation_Industry!M$676/1000</f>
        <v>0</v>
      </c>
      <c r="N210" s="19">
        <f>N$180*Mitigation_Industry!N$676/1000</f>
        <v>0</v>
      </c>
      <c r="O210" s="19">
        <f>O$180*Mitigation_Industry!O$676/1000</f>
        <v>0</v>
      </c>
      <c r="P210" s="19">
        <f>P$180*Mitigation_Industry!P$676/1000</f>
        <v>0</v>
      </c>
      <c r="Q210" s="19">
        <f>Q$180*Mitigation_Industry!Q$676/1000</f>
        <v>0</v>
      </c>
      <c r="R210" s="19">
        <f>R$180*Mitigation_Industry!R$676/1000</f>
        <v>0</v>
      </c>
      <c r="S210" s="19">
        <f>S$180*Mitigation_Industry!S$676/1000</f>
        <v>0</v>
      </c>
      <c r="T210" s="19">
        <f>T$180*Mitigation_Industry!T$676/1000</f>
        <v>0</v>
      </c>
      <c r="U210" s="19">
        <f>U$180*Mitigation_Industry!U$676/1000</f>
        <v>0</v>
      </c>
      <c r="V210" s="19">
        <f>V$180*Mitigation_Industry!V$676/1000</f>
        <v>0</v>
      </c>
      <c r="W210" s="19">
        <f>W$180*Mitigation_Industry!W$676/1000</f>
        <v>0</v>
      </c>
      <c r="X210" s="19">
        <f>X$180*Mitigation_Industry!X$676/1000</f>
        <v>0</v>
      </c>
      <c r="Y210" s="19">
        <f>Y$180*Mitigation_Industry!Y$676/1000</f>
        <v>0</v>
      </c>
      <c r="Z210" s="19">
        <f>Z$180*Mitigation_Industry!Z$676/1000</f>
        <v>0</v>
      </c>
      <c r="AA210" s="19">
        <f>AA$180*Mitigation_Industry!AA$676/1000</f>
        <v>0</v>
      </c>
      <c r="AB210" s="19">
        <f>AB$180*Mitigation_Industry!AB$676/1000</f>
        <v>0</v>
      </c>
      <c r="AC210" s="19">
        <f>AC$180*Mitigation_Industry!AC$676/1000</f>
        <v>0</v>
      </c>
      <c r="AD210" s="19">
        <f>AD$180*Mitigation_Industry!AD$676/1000</f>
        <v>0</v>
      </c>
      <c r="AE210" s="19">
        <f>AE$180*Mitigation_Industry!AE$676/1000</f>
        <v>0</v>
      </c>
    </row>
    <row r="211" spans="1:35" customFormat="1" ht="14.25" x14ac:dyDescent="0.45">
      <c r="B211" s="14" t="s">
        <v>1458</v>
      </c>
      <c r="C211" s="14" t="s">
        <v>43</v>
      </c>
      <c r="D211" s="15" t="s">
        <v>2147</v>
      </c>
      <c r="E211" s="16" t="s">
        <v>1871</v>
      </c>
      <c r="F211" s="14" t="s">
        <v>2143</v>
      </c>
      <c r="G211" s="17"/>
      <c r="H211" s="114" t="str">
        <f>Settings!$B$3&amp;".mit.obr.stl.bof.2"</f>
        <v>egy.mit.obr.stl.bof.2</v>
      </c>
      <c r="K211" s="18"/>
      <c r="L211" s="19">
        <f>L$181*Mitigation_Industry!L$677/1000</f>
        <v>0</v>
      </c>
      <c r="M211" s="19">
        <f>M$181*Mitigation_Industry!M$677/1000</f>
        <v>0</v>
      </c>
      <c r="N211" s="19">
        <f>N$181*Mitigation_Industry!N$677/1000</f>
        <v>0</v>
      </c>
      <c r="O211" s="19">
        <f>O$181*Mitigation_Industry!O$677/1000</f>
        <v>0</v>
      </c>
      <c r="P211" s="19">
        <f>P$181*Mitigation_Industry!P$677/1000</f>
        <v>0</v>
      </c>
      <c r="Q211" s="19">
        <f>Q$181*Mitigation_Industry!Q$677/1000</f>
        <v>0</v>
      </c>
      <c r="R211" s="19">
        <f>R$181*Mitigation_Industry!R$677/1000</f>
        <v>0</v>
      </c>
      <c r="S211" s="19">
        <f>S$181*Mitigation_Industry!S$677/1000</f>
        <v>0</v>
      </c>
      <c r="T211" s="19">
        <f>T$181*Mitigation_Industry!T$677/1000</f>
        <v>0</v>
      </c>
      <c r="U211" s="19">
        <f>U$181*Mitigation_Industry!U$677/1000</f>
        <v>0</v>
      </c>
      <c r="V211" s="19">
        <f>V$181*Mitigation_Industry!V$677/1000</f>
        <v>0</v>
      </c>
      <c r="W211" s="19">
        <f>W$181*Mitigation_Industry!W$677/1000</f>
        <v>0</v>
      </c>
      <c r="X211" s="19">
        <f>X$181*Mitigation_Industry!X$677/1000</f>
        <v>0</v>
      </c>
      <c r="Y211" s="19">
        <f>Y$181*Mitigation_Industry!Y$677/1000</f>
        <v>0</v>
      </c>
      <c r="Z211" s="19">
        <f>Z$181*Mitigation_Industry!Z$677/1000</f>
        <v>0</v>
      </c>
      <c r="AA211" s="19">
        <f>AA$181*Mitigation_Industry!AA$677/1000</f>
        <v>0</v>
      </c>
      <c r="AB211" s="19">
        <f>AB$181*Mitigation_Industry!AB$677/1000</f>
        <v>0</v>
      </c>
      <c r="AC211" s="19">
        <f>AC$181*Mitigation_Industry!AC$677/1000</f>
        <v>0</v>
      </c>
      <c r="AD211" s="19">
        <f>AD$181*Mitigation_Industry!AD$677/1000</f>
        <v>0</v>
      </c>
      <c r="AE211" s="19">
        <f>AE$181*Mitigation_Industry!AE$677/1000</f>
        <v>0</v>
      </c>
    </row>
    <row r="212" spans="1:35" customFormat="1" ht="14.25" x14ac:dyDescent="0.45">
      <c r="B212" s="14" t="s">
        <v>1461</v>
      </c>
      <c r="C212" s="14" t="s">
        <v>113</v>
      </c>
      <c r="D212" s="15" t="s">
        <v>2148</v>
      </c>
      <c r="E212" s="16" t="s">
        <v>1871</v>
      </c>
      <c r="F212" s="14" t="s">
        <v>2143</v>
      </c>
      <c r="G212" s="17"/>
      <c r="H212" s="114" t="str">
        <f>Settings!$B$3&amp;".mit.obr.cmt.dry.2"</f>
        <v>egy.mit.obr.cmt.dry.2</v>
      </c>
      <c r="K212" s="18"/>
      <c r="L212" s="19">
        <f>L$182*Mitigation_Industry!L$678/1000</f>
        <v>0</v>
      </c>
      <c r="M212" s="19">
        <f>M$182*Mitigation_Industry!M$678/1000</f>
        <v>0</v>
      </c>
      <c r="N212" s="19">
        <f>N$182*Mitigation_Industry!N$678/1000</f>
        <v>0</v>
      </c>
      <c r="O212" s="19">
        <f>O$182*Mitigation_Industry!O$678/1000</f>
        <v>0</v>
      </c>
      <c r="P212" s="19">
        <f>P$182*Mitigation_Industry!P$678/1000</f>
        <v>0</v>
      </c>
      <c r="Q212" s="19">
        <f>Q$182*Mitigation_Industry!Q$678/1000</f>
        <v>0</v>
      </c>
      <c r="R212" s="19">
        <f>R$182*Mitigation_Industry!R$678/1000</f>
        <v>0</v>
      </c>
      <c r="S212" s="19">
        <f>S$182*Mitigation_Industry!S$678/1000</f>
        <v>0</v>
      </c>
      <c r="T212" s="19">
        <f>T$182*Mitigation_Industry!T$678/1000</f>
        <v>0</v>
      </c>
      <c r="U212" s="19">
        <f>U$182*Mitigation_Industry!U$678/1000</f>
        <v>0</v>
      </c>
      <c r="V212" s="19">
        <f>V$182*Mitigation_Industry!V$678/1000</f>
        <v>0</v>
      </c>
      <c r="W212" s="19">
        <f>W$182*Mitigation_Industry!W$678/1000</f>
        <v>0</v>
      </c>
      <c r="X212" s="19">
        <f>X$182*Mitigation_Industry!X$678/1000</f>
        <v>0</v>
      </c>
      <c r="Y212" s="19">
        <f>Y$182*Mitigation_Industry!Y$678/1000</f>
        <v>0</v>
      </c>
      <c r="Z212" s="19">
        <f>Z$182*Mitigation_Industry!Z$678/1000</f>
        <v>0</v>
      </c>
      <c r="AA212" s="19">
        <f>AA$182*Mitigation_Industry!AA$678/1000</f>
        <v>0</v>
      </c>
      <c r="AB212" s="19">
        <f>AB$182*Mitigation_Industry!AB$678/1000</f>
        <v>0</v>
      </c>
      <c r="AC212" s="19">
        <f>AC$182*Mitigation_Industry!AC$678/1000</f>
        <v>0</v>
      </c>
      <c r="AD212" s="19">
        <f>AD$182*Mitigation_Industry!AD$678/1000</f>
        <v>0</v>
      </c>
      <c r="AE212" s="19">
        <f>AE$182*Mitigation_Industry!AE$678/1000</f>
        <v>0</v>
      </c>
    </row>
    <row r="213" spans="1:35" customFormat="1" ht="14.25" x14ac:dyDescent="0.45">
      <c r="B213" s="14" t="s">
        <v>1464</v>
      </c>
      <c r="C213" s="14" t="s">
        <v>117</v>
      </c>
      <c r="D213" s="15" t="s">
        <v>2149</v>
      </c>
      <c r="E213" s="16" t="s">
        <v>1871</v>
      </c>
      <c r="F213" s="14" t="s">
        <v>2143</v>
      </c>
      <c r="G213" s="17"/>
      <c r="H213" s="114" t="str">
        <f>Settings!$B$3&amp;".mit.obr.frt.amc.2"</f>
        <v>egy.mit.obr.frt.amc.2</v>
      </c>
      <c r="K213" s="18"/>
      <c r="L213" s="19">
        <f>L$183*Mitigation_Industry!L$679/1000</f>
        <v>0</v>
      </c>
      <c r="M213" s="19">
        <f>M$183*Mitigation_Industry!M$679/1000</f>
        <v>0</v>
      </c>
      <c r="N213" s="19">
        <f>N$183*Mitigation_Industry!N$679/1000</f>
        <v>0</v>
      </c>
      <c r="O213" s="19">
        <f>O$183*Mitigation_Industry!O$679/1000</f>
        <v>0</v>
      </c>
      <c r="P213" s="19">
        <f>P$183*Mitigation_Industry!P$679/1000</f>
        <v>0</v>
      </c>
      <c r="Q213" s="19">
        <f>Q$183*Mitigation_Industry!Q$679/1000</f>
        <v>0</v>
      </c>
      <c r="R213" s="19">
        <f>R$183*Mitigation_Industry!R$679/1000</f>
        <v>0</v>
      </c>
      <c r="S213" s="19">
        <f>S$183*Mitigation_Industry!S$679/1000</f>
        <v>0</v>
      </c>
      <c r="T213" s="19">
        <f>T$183*Mitigation_Industry!T$679/1000</f>
        <v>0</v>
      </c>
      <c r="U213" s="19">
        <f>U$183*Mitigation_Industry!U$679/1000</f>
        <v>0</v>
      </c>
      <c r="V213" s="19">
        <f>V$183*Mitigation_Industry!V$679/1000</f>
        <v>0</v>
      </c>
      <c r="W213" s="19">
        <f>W$183*Mitigation_Industry!W$679/1000</f>
        <v>0</v>
      </c>
      <c r="X213" s="19">
        <f>X$183*Mitigation_Industry!X$679/1000</f>
        <v>0</v>
      </c>
      <c r="Y213" s="19">
        <f>Y$183*Mitigation_Industry!Y$679/1000</f>
        <v>0</v>
      </c>
      <c r="Z213" s="19">
        <f>Z$183*Mitigation_Industry!Z$679/1000</f>
        <v>0</v>
      </c>
      <c r="AA213" s="19">
        <f>AA$183*Mitigation_Industry!AA$679/1000</f>
        <v>0</v>
      </c>
      <c r="AB213" s="19">
        <f>AB$183*Mitigation_Industry!AB$679/1000</f>
        <v>0</v>
      </c>
      <c r="AC213" s="19">
        <f>AC$183*Mitigation_Industry!AC$679/1000</f>
        <v>0</v>
      </c>
      <c r="AD213" s="19">
        <f>AD$183*Mitigation_Industry!AD$679/1000</f>
        <v>0</v>
      </c>
      <c r="AE213" s="19">
        <f>AE$183*Mitigation_Industry!AE$679/1000</f>
        <v>0</v>
      </c>
    </row>
    <row r="214" spans="1:35" customFormat="1" ht="14.25" x14ac:dyDescent="0.45">
      <c r="B214" s="14" t="s">
        <v>1467</v>
      </c>
      <c r="C214" s="14" t="s">
        <v>117</v>
      </c>
      <c r="D214" s="15" t="s">
        <v>2150</v>
      </c>
      <c r="E214" s="16" t="s">
        <v>1871</v>
      </c>
      <c r="F214" s="14" t="s">
        <v>2143</v>
      </c>
      <c r="G214" s="17"/>
      <c r="H214" s="114" t="str">
        <f>Settings!$B$3&amp;".mit.obr.frt.ure.2"</f>
        <v>egy.mit.obr.frt.ure.2</v>
      </c>
      <c r="K214" s="18"/>
      <c r="L214" s="19">
        <f>L$184*Mitigation_Industry!L$680/1000</f>
        <v>0</v>
      </c>
      <c r="M214" s="19">
        <f>M$184*Mitigation_Industry!M$680/1000</f>
        <v>0</v>
      </c>
      <c r="N214" s="19">
        <f>N$184*Mitigation_Industry!N$680/1000</f>
        <v>0</v>
      </c>
      <c r="O214" s="19">
        <f>O$184*Mitigation_Industry!O$680/1000</f>
        <v>0</v>
      </c>
      <c r="P214" s="19">
        <f>P$184*Mitigation_Industry!P$680/1000</f>
        <v>0</v>
      </c>
      <c r="Q214" s="19">
        <f>Q$184*Mitigation_Industry!Q$680/1000</f>
        <v>0</v>
      </c>
      <c r="R214" s="19">
        <f>R$184*Mitigation_Industry!R$680/1000</f>
        <v>0</v>
      </c>
      <c r="S214" s="19">
        <f>S$184*Mitigation_Industry!S$680/1000</f>
        <v>0</v>
      </c>
      <c r="T214" s="19">
        <f>T$184*Mitigation_Industry!T$680/1000</f>
        <v>0</v>
      </c>
      <c r="U214" s="19">
        <f>U$184*Mitigation_Industry!U$680/1000</f>
        <v>0</v>
      </c>
      <c r="V214" s="19">
        <f>V$184*Mitigation_Industry!V$680/1000</f>
        <v>0</v>
      </c>
      <c r="W214" s="19">
        <f>W$184*Mitigation_Industry!W$680/1000</f>
        <v>0</v>
      </c>
      <c r="X214" s="19">
        <f>X$184*Mitigation_Industry!X$680/1000</f>
        <v>0</v>
      </c>
      <c r="Y214" s="19">
        <f>Y$184*Mitigation_Industry!Y$680/1000</f>
        <v>0</v>
      </c>
      <c r="Z214" s="19">
        <f>Z$184*Mitigation_Industry!Z$680/1000</f>
        <v>0</v>
      </c>
      <c r="AA214" s="19">
        <f>AA$184*Mitigation_Industry!AA$680/1000</f>
        <v>0</v>
      </c>
      <c r="AB214" s="19">
        <f>AB$184*Mitigation_Industry!AB$680/1000</f>
        <v>0</v>
      </c>
      <c r="AC214" s="19">
        <f>AC$184*Mitigation_Industry!AC$680/1000</f>
        <v>0</v>
      </c>
      <c r="AD214" s="19">
        <f>AD$184*Mitigation_Industry!AD$680/1000</f>
        <v>0</v>
      </c>
      <c r="AE214" s="19">
        <f>AE$184*Mitigation_Industry!AE$680/1000</f>
        <v>0</v>
      </c>
    </row>
    <row r="215" spans="1:35" customFormat="1" ht="14.25" x14ac:dyDescent="0.45">
      <c r="B215" s="14" t="s">
        <v>1470</v>
      </c>
      <c r="C215" s="14" t="s">
        <v>117</v>
      </c>
      <c r="D215" s="15" t="s">
        <v>2151</v>
      </c>
      <c r="E215" s="16" t="s">
        <v>1871</v>
      </c>
      <c r="F215" s="14" t="s">
        <v>2143</v>
      </c>
      <c r="G215" s="17"/>
      <c r="H215" s="114" t="str">
        <f>Settings!$B$3&amp;".mit.obr.frt.nit.2"</f>
        <v>egy.mit.obr.frt.nit.2</v>
      </c>
      <c r="K215" s="18"/>
      <c r="L215" s="19">
        <f>L$185*Mitigation_Industry!L$681/1000</f>
        <v>0</v>
      </c>
      <c r="M215" s="19">
        <f>M$185*Mitigation_Industry!M$681/1000</f>
        <v>0</v>
      </c>
      <c r="N215" s="19">
        <f>N$185*Mitigation_Industry!N$681/1000</f>
        <v>0</v>
      </c>
      <c r="O215" s="19">
        <f>O$185*Mitigation_Industry!O$681/1000</f>
        <v>0</v>
      </c>
      <c r="P215" s="19">
        <f>P$185*Mitigation_Industry!P$681/1000</f>
        <v>0</v>
      </c>
      <c r="Q215" s="19">
        <f>Q$185*Mitigation_Industry!Q$681/1000</f>
        <v>0</v>
      </c>
      <c r="R215" s="19">
        <f>R$185*Mitigation_Industry!R$681/1000</f>
        <v>0</v>
      </c>
      <c r="S215" s="19">
        <f>S$185*Mitigation_Industry!S$681/1000</f>
        <v>0</v>
      </c>
      <c r="T215" s="19">
        <f>T$185*Mitigation_Industry!T$681/1000</f>
        <v>0</v>
      </c>
      <c r="U215" s="19">
        <f>U$185*Mitigation_Industry!U$681/1000</f>
        <v>0</v>
      </c>
      <c r="V215" s="19">
        <f>V$185*Mitigation_Industry!V$681/1000</f>
        <v>0</v>
      </c>
      <c r="W215" s="19">
        <f>W$185*Mitigation_Industry!W$681/1000</f>
        <v>0</v>
      </c>
      <c r="X215" s="19">
        <f>X$185*Mitigation_Industry!X$681/1000</f>
        <v>0</v>
      </c>
      <c r="Y215" s="19">
        <f>Y$185*Mitigation_Industry!Y$681/1000</f>
        <v>0</v>
      </c>
      <c r="Z215" s="19">
        <f>Z$185*Mitigation_Industry!Z$681/1000</f>
        <v>0</v>
      </c>
      <c r="AA215" s="19">
        <f>AA$185*Mitigation_Industry!AA$681/1000</f>
        <v>0</v>
      </c>
      <c r="AB215" s="19">
        <f>AB$185*Mitigation_Industry!AB$681/1000</f>
        <v>0</v>
      </c>
      <c r="AC215" s="19">
        <f>AC$185*Mitigation_Industry!AC$681/1000</f>
        <v>0</v>
      </c>
      <c r="AD215" s="19">
        <f>AD$185*Mitigation_Industry!AD$681/1000</f>
        <v>0</v>
      </c>
      <c r="AE215" s="19">
        <f>AE$185*Mitigation_Industry!AE$681/1000</f>
        <v>0</v>
      </c>
    </row>
    <row r="216" spans="1:35" customFormat="1" ht="14.25" x14ac:dyDescent="0.45">
      <c r="B216" s="14" t="s">
        <v>1473</v>
      </c>
      <c r="C216" s="14" t="s">
        <v>115</v>
      </c>
      <c r="D216" s="15" t="s">
        <v>2152</v>
      </c>
      <c r="E216" s="16" t="s">
        <v>1871</v>
      </c>
      <c r="F216" s="14" t="s">
        <v>2143</v>
      </c>
      <c r="G216" s="17"/>
      <c r="H216" s="114" t="str">
        <f>Settings!$B$3&amp;".mit.obr.alu.prp.2"</f>
        <v>egy.mit.obr.alu.prp.2</v>
      </c>
      <c r="K216" s="18"/>
      <c r="L216" s="19">
        <f>L$186*Mitigation_Industry!L$682/1000</f>
        <v>0</v>
      </c>
      <c r="M216" s="19">
        <f>M$186*Mitigation_Industry!M$682/1000</f>
        <v>0</v>
      </c>
      <c r="N216" s="19">
        <f>N$186*Mitigation_Industry!N$682/1000</f>
        <v>0</v>
      </c>
      <c r="O216" s="19">
        <f>O$186*Mitigation_Industry!O$682/1000</f>
        <v>0</v>
      </c>
      <c r="P216" s="19">
        <f>P$186*Mitigation_Industry!P$682/1000</f>
        <v>0</v>
      </c>
      <c r="Q216" s="19">
        <f>Q$186*Mitigation_Industry!Q$682/1000</f>
        <v>0</v>
      </c>
      <c r="R216" s="19">
        <f>R$186*Mitigation_Industry!R$682/1000</f>
        <v>0</v>
      </c>
      <c r="S216" s="19">
        <f>S$186*Mitigation_Industry!S$682/1000</f>
        <v>0</v>
      </c>
      <c r="T216" s="19">
        <f>T$186*Mitigation_Industry!T$682/1000</f>
        <v>0</v>
      </c>
      <c r="U216" s="19">
        <f>U$186*Mitigation_Industry!U$682/1000</f>
        <v>0</v>
      </c>
      <c r="V216" s="19">
        <f>V$186*Mitigation_Industry!V$682/1000</f>
        <v>0</v>
      </c>
      <c r="W216" s="19">
        <f>W$186*Mitigation_Industry!W$682/1000</f>
        <v>0</v>
      </c>
      <c r="X216" s="19">
        <f>X$186*Mitigation_Industry!X$682/1000</f>
        <v>0</v>
      </c>
      <c r="Y216" s="19">
        <f>Y$186*Mitigation_Industry!Y$682/1000</f>
        <v>0</v>
      </c>
      <c r="Z216" s="19">
        <f>Z$186*Mitigation_Industry!Z$682/1000</f>
        <v>0</v>
      </c>
      <c r="AA216" s="19">
        <f>AA$186*Mitigation_Industry!AA$682/1000</f>
        <v>0</v>
      </c>
      <c r="AB216" s="19">
        <f>AB$186*Mitigation_Industry!AB$682/1000</f>
        <v>0</v>
      </c>
      <c r="AC216" s="19">
        <f>AC$186*Mitigation_Industry!AC$682/1000</f>
        <v>0</v>
      </c>
      <c r="AD216" s="19">
        <f>AD$186*Mitigation_Industry!AD$682/1000</f>
        <v>0</v>
      </c>
      <c r="AE216" s="19">
        <f>AE$186*Mitigation_Industry!AE$682/1000</f>
        <v>0</v>
      </c>
    </row>
    <row r="217" spans="1:35" customFormat="1" ht="14.25" x14ac:dyDescent="0.45">
      <c r="B217" s="14" t="s">
        <v>110</v>
      </c>
      <c r="C217" s="14"/>
      <c r="D217" s="25" t="s">
        <v>2153</v>
      </c>
      <c r="E217" s="16" t="s">
        <v>1871</v>
      </c>
      <c r="F217" s="14" t="s">
        <v>2143</v>
      </c>
      <c r="H217" s="114" t="str">
        <f>Settings!$B$3&amp;".mit.obr.cbam.tot.2"</f>
        <v>egy.mit.obr.cbam.tot.2</v>
      </c>
      <c r="L217" s="116">
        <f t="shared" ref="L217:AE217" si="59">SUM(L209:L216)</f>
        <v>0</v>
      </c>
      <c r="M217" s="116">
        <f t="shared" si="59"/>
        <v>0</v>
      </c>
      <c r="N217" s="116">
        <f t="shared" si="59"/>
        <v>0</v>
      </c>
      <c r="O217" s="116">
        <f t="shared" si="59"/>
        <v>0</v>
      </c>
      <c r="P217" s="116">
        <f t="shared" si="59"/>
        <v>0</v>
      </c>
      <c r="Q217" s="116">
        <f t="shared" si="59"/>
        <v>0</v>
      </c>
      <c r="R217" s="116">
        <f t="shared" si="59"/>
        <v>0</v>
      </c>
      <c r="S217" s="116">
        <f t="shared" si="59"/>
        <v>0</v>
      </c>
      <c r="T217" s="116">
        <f t="shared" si="59"/>
        <v>0</v>
      </c>
      <c r="U217" s="116">
        <f t="shared" si="59"/>
        <v>0</v>
      </c>
      <c r="V217" s="116">
        <f t="shared" si="59"/>
        <v>0</v>
      </c>
      <c r="W217" s="116">
        <f t="shared" si="59"/>
        <v>0</v>
      </c>
      <c r="X217" s="116">
        <f t="shared" si="59"/>
        <v>0</v>
      </c>
      <c r="Y217" s="116">
        <f t="shared" si="59"/>
        <v>0</v>
      </c>
      <c r="Z217" s="116">
        <f t="shared" si="59"/>
        <v>0</v>
      </c>
      <c r="AA217" s="116">
        <f t="shared" si="59"/>
        <v>0</v>
      </c>
      <c r="AB217" s="116">
        <f t="shared" si="59"/>
        <v>0</v>
      </c>
      <c r="AC217" s="116">
        <f t="shared" si="59"/>
        <v>0</v>
      </c>
      <c r="AD217" s="116">
        <f t="shared" si="59"/>
        <v>0</v>
      </c>
      <c r="AE217" s="116">
        <f t="shared" si="59"/>
        <v>0</v>
      </c>
    </row>
    <row r="219" spans="1:35" customFormat="1" ht="14.25" x14ac:dyDescent="0.45">
      <c r="A219" s="11"/>
      <c r="B219" s="6"/>
      <c r="C219" s="7" t="s">
        <v>43</v>
      </c>
      <c r="D219" s="6" t="s">
        <v>1505</v>
      </c>
      <c r="E219" s="7" t="s">
        <v>35</v>
      </c>
      <c r="F219" s="7" t="s">
        <v>45</v>
      </c>
      <c r="G219" s="7" t="s">
        <v>37</v>
      </c>
      <c r="H219" s="12" t="s">
        <v>38</v>
      </c>
      <c r="I219" s="6" t="s">
        <v>39</v>
      </c>
      <c r="J219" s="48">
        <v>2</v>
      </c>
      <c r="K219" s="6">
        <v>2021</v>
      </c>
      <c r="L219" s="46">
        <v>2022</v>
      </c>
      <c r="M219" s="6">
        <v>2023</v>
      </c>
      <c r="N219" s="6">
        <v>2024</v>
      </c>
      <c r="O219" s="6">
        <v>2025</v>
      </c>
      <c r="P219" s="6">
        <v>2026</v>
      </c>
      <c r="Q219" s="6">
        <v>2027</v>
      </c>
      <c r="R219" s="6">
        <v>2028</v>
      </c>
      <c r="S219" s="6">
        <v>2029</v>
      </c>
      <c r="T219" s="6">
        <v>2030</v>
      </c>
      <c r="U219" s="6">
        <v>2031</v>
      </c>
      <c r="V219" s="6">
        <v>2032</v>
      </c>
      <c r="W219" s="6">
        <v>2033</v>
      </c>
      <c r="X219" s="6">
        <v>2034</v>
      </c>
      <c r="Y219" s="6">
        <v>2035</v>
      </c>
      <c r="Z219" s="6">
        <v>2036</v>
      </c>
      <c r="AA219" s="6">
        <v>2037</v>
      </c>
      <c r="AB219" s="6">
        <v>2038</v>
      </c>
      <c r="AC219" s="6">
        <v>2039</v>
      </c>
      <c r="AD219" s="6">
        <v>2040</v>
      </c>
      <c r="AE219" s="6">
        <v>2041</v>
      </c>
      <c r="AF219" s="6">
        <v>2042</v>
      </c>
      <c r="AG219" s="6">
        <v>2043</v>
      </c>
      <c r="AH219" s="6">
        <v>2044</v>
      </c>
      <c r="AI219" s="6">
        <v>2045</v>
      </c>
    </row>
    <row r="220" spans="1:35" customFormat="1" ht="14.25" x14ac:dyDescent="0.45">
      <c r="B220" s="14" t="s">
        <v>110</v>
      </c>
      <c r="C220" s="14" t="s">
        <v>43</v>
      </c>
      <c r="D220" s="25" t="s">
        <v>2154</v>
      </c>
      <c r="E220" s="16" t="s">
        <v>1871</v>
      </c>
      <c r="F220" s="14" t="s">
        <v>2143</v>
      </c>
      <c r="H220" s="114" t="str">
        <f>Settings!$B$3&amp;".mit.obr.ind.irn.2"</f>
        <v>egy.mit.obr.ind.irn.2</v>
      </c>
      <c r="I220" t="s">
        <v>2155</v>
      </c>
      <c r="L220" s="116">
        <f t="shared" ref="L220:AE220" si="60">L$209+L$210+L$211</f>
        <v>0</v>
      </c>
      <c r="M220" s="116">
        <f t="shared" si="60"/>
        <v>0</v>
      </c>
      <c r="N220" s="116">
        <f t="shared" si="60"/>
        <v>0</v>
      </c>
      <c r="O220" s="116">
        <f t="shared" si="60"/>
        <v>0</v>
      </c>
      <c r="P220" s="116">
        <f t="shared" si="60"/>
        <v>0</v>
      </c>
      <c r="Q220" s="116">
        <f t="shared" si="60"/>
        <v>0</v>
      </c>
      <c r="R220" s="116">
        <f t="shared" si="60"/>
        <v>0</v>
      </c>
      <c r="S220" s="116">
        <f t="shared" si="60"/>
        <v>0</v>
      </c>
      <c r="T220" s="116">
        <f t="shared" si="60"/>
        <v>0</v>
      </c>
      <c r="U220" s="116">
        <f t="shared" si="60"/>
        <v>0</v>
      </c>
      <c r="V220" s="116">
        <f t="shared" si="60"/>
        <v>0</v>
      </c>
      <c r="W220" s="116">
        <f t="shared" si="60"/>
        <v>0</v>
      </c>
      <c r="X220" s="116">
        <f t="shared" si="60"/>
        <v>0</v>
      </c>
      <c r="Y220" s="116">
        <f t="shared" si="60"/>
        <v>0</v>
      </c>
      <c r="Z220" s="116">
        <f t="shared" si="60"/>
        <v>0</v>
      </c>
      <c r="AA220" s="116">
        <f t="shared" si="60"/>
        <v>0</v>
      </c>
      <c r="AB220" s="116">
        <f t="shared" si="60"/>
        <v>0</v>
      </c>
      <c r="AC220" s="116">
        <f t="shared" si="60"/>
        <v>0</v>
      </c>
      <c r="AD220" s="116">
        <f t="shared" si="60"/>
        <v>0</v>
      </c>
      <c r="AE220" s="116">
        <f t="shared" si="60"/>
        <v>0</v>
      </c>
    </row>
    <row r="221" spans="1:35" customFormat="1" ht="14.25" x14ac:dyDescent="0.45">
      <c r="B221" s="14" t="s">
        <v>110</v>
      </c>
      <c r="C221" s="14" t="s">
        <v>43</v>
      </c>
      <c r="D221" s="25" t="s">
        <v>2156</v>
      </c>
      <c r="E221" s="16" t="s">
        <v>1871</v>
      </c>
      <c r="F221" s="14" t="s">
        <v>2157</v>
      </c>
      <c r="H221" s="114" t="str">
        <f>Settings!$B$3&amp;".mit.ccf.ind.irn.2"</f>
        <v>egy.mit.ccf.ind.irn.2</v>
      </c>
      <c r="L221" s="116">
        <f>L$159*Mitigation_Industry!L$675/1000+L$160*Mitigation_Industry!L$676/1000+L$161*Mitigation_Industry!L$677/1000</f>
        <v>0</v>
      </c>
      <c r="M221" s="116">
        <f>M$159*Mitigation_Industry!M$675/1000+M$160*Mitigation_Industry!M$676/1000+M$161*Mitigation_Industry!M$677/1000</f>
        <v>0</v>
      </c>
      <c r="N221" s="116">
        <f>N$159*Mitigation_Industry!N$675/1000+N$160*Mitigation_Industry!N$676/1000+N$161*Mitigation_Industry!N$677/1000</f>
        <v>0</v>
      </c>
      <c r="O221" s="116">
        <f>O$159*Mitigation_Industry!O$675/1000+O$160*Mitigation_Industry!O$676/1000+O$161*Mitigation_Industry!O$677/1000</f>
        <v>0</v>
      </c>
      <c r="P221" s="116">
        <f>P$159*Mitigation_Industry!P$675/1000+P$160*Mitigation_Industry!P$676/1000+P$161*Mitigation_Industry!P$677/1000</f>
        <v>0</v>
      </c>
      <c r="Q221" s="116">
        <f>Q$159*Mitigation_Industry!Q$675/1000+Q$160*Mitigation_Industry!Q$676/1000+Q$161*Mitigation_Industry!Q$677/1000</f>
        <v>59.63062379527441</v>
      </c>
      <c r="R221" s="116">
        <f>R$159*Mitigation_Industry!R$675/1000+R$160*Mitigation_Industry!R$676/1000+R$161*Mitigation_Industry!R$677/1000</f>
        <v>124.50874248453297</v>
      </c>
      <c r="S221" s="116">
        <f>S$159*Mitigation_Industry!S$675/1000+S$160*Mitigation_Industry!S$676/1000+S$161*Mitigation_Industry!S$677/1000</f>
        <v>194.98069073077866</v>
      </c>
      <c r="T221" s="116">
        <f>T$159*Mitigation_Industry!T$675/1000+T$160*Mitigation_Industry!T$676/1000+T$161*Mitigation_Industry!T$677/1000</f>
        <v>271.41312149724388</v>
      </c>
      <c r="U221" s="116">
        <f>U$159*Mitigation_Industry!U$675/1000+U$160*Mitigation_Industry!U$676/1000+U$161*Mitigation_Industry!U$677/1000</f>
        <v>354.1941235539033</v>
      </c>
      <c r="V221" s="116">
        <f>V$159*Mitigation_Industry!V$675/1000+V$160*Mitigation_Industry!V$676/1000+V$161*Mitigation_Industry!V$677/1000</f>
        <v>443.7343979883301</v>
      </c>
      <c r="W221" s="116">
        <f>W$159*Mitigation_Industry!W$675/1000+W$160*Mitigation_Industry!W$676/1000+W$161*Mitigation_Industry!W$677/1000</f>
        <v>540.46849674978603</v>
      </c>
      <c r="X221" s="116">
        <f>X$159*Mitigation_Industry!X$675/1000+X$160*Mitigation_Industry!X$676/1000+X$161*Mitigation_Industry!X$677/1000</f>
        <v>644.85612640774468</v>
      </c>
      <c r="Y221" s="116">
        <f>Y$159*Mitigation_Industry!Y$675/1000+Y$160*Mitigation_Industry!Y$676/1000+Y$161*Mitigation_Industry!Y$677/1000</f>
        <v>757.38352046589625</v>
      </c>
      <c r="Z221" s="116">
        <f>Z$159*Mitigation_Industry!Z$675/1000+Z$160*Mitigation_Industry!Z$676/1000+Z$161*Mitigation_Industry!Z$677/1000</f>
        <v>878.56488374043977</v>
      </c>
      <c r="AA221" s="116">
        <f>AA$159*Mitigation_Industry!AA$675/1000+AA$160*Mitigation_Industry!AA$676/1000+AA$161*Mitigation_Industry!AA$677/1000</f>
        <v>1008.9439124875209</v>
      </c>
      <c r="AB221" s="116">
        <f>AB$159*Mitigation_Industry!AB$675/1000+AB$160*Mitigation_Industry!AB$676/1000+AB$161*Mitigation_Industry!AB$677/1000</f>
        <v>1149.095394149424</v>
      </c>
      <c r="AC221" s="116">
        <f>AC$159*Mitigation_Industry!AC$675/1000+AC$160*Mitigation_Industry!AC$676/1000+AC$161*Mitigation_Industry!AC$677/1000</f>
        <v>1299.6268907829981</v>
      </c>
      <c r="AD221" s="116">
        <f>AD$159*Mitigation_Industry!AD$675/1000+AD$160*Mitigation_Industry!AD$676/1000+AD$161*Mitigation_Industry!AD$677/1000</f>
        <v>1461.1805104372543</v>
      </c>
      <c r="AE221" s="116">
        <f>AE$159*Mitigation_Industry!AE$675/1000+AE$160*Mitigation_Industry!AE$676/1000+AE$161*Mitigation_Industry!AE$677/1000</f>
        <v>1634.4347709605286</v>
      </c>
    </row>
    <row r="222" spans="1:35" customFormat="1" ht="14.25" x14ac:dyDescent="0.45">
      <c r="B222" s="14" t="s">
        <v>110</v>
      </c>
      <c r="C222" s="14" t="s">
        <v>43</v>
      </c>
      <c r="D222" s="25" t="s">
        <v>2158</v>
      </c>
      <c r="E222" s="16" t="s">
        <v>79</v>
      </c>
      <c r="F222" s="14" t="s">
        <v>2159</v>
      </c>
      <c r="H222" s="114" t="str">
        <f>Settings!$B$3&amp;".mit.rsh.ind.irn.2"</f>
        <v>egy.mit.rsh.ind.irn.2</v>
      </c>
      <c r="I222" t="s">
        <v>2160</v>
      </c>
      <c r="L222" s="116">
        <f t="shared" ref="L222:AE222" si="61">IF(L$221&lt;=0,0,MIN(1,L$220/L$221))</f>
        <v>0</v>
      </c>
      <c r="M222" s="116">
        <f t="shared" si="61"/>
        <v>0</v>
      </c>
      <c r="N222" s="116">
        <f t="shared" si="61"/>
        <v>0</v>
      </c>
      <c r="O222" s="116">
        <f t="shared" si="61"/>
        <v>0</v>
      </c>
      <c r="P222" s="116">
        <f t="shared" si="61"/>
        <v>0</v>
      </c>
      <c r="Q222" s="116">
        <f t="shared" si="61"/>
        <v>0</v>
      </c>
      <c r="R222" s="116">
        <f t="shared" si="61"/>
        <v>0</v>
      </c>
      <c r="S222" s="116">
        <f t="shared" si="61"/>
        <v>0</v>
      </c>
      <c r="T222" s="116">
        <f t="shared" si="61"/>
        <v>0</v>
      </c>
      <c r="U222" s="116">
        <f t="shared" si="61"/>
        <v>0</v>
      </c>
      <c r="V222" s="116">
        <f t="shared" si="61"/>
        <v>0</v>
      </c>
      <c r="W222" s="116">
        <f t="shared" si="61"/>
        <v>0</v>
      </c>
      <c r="X222" s="116">
        <f t="shared" si="61"/>
        <v>0</v>
      </c>
      <c r="Y222" s="116">
        <f t="shared" si="61"/>
        <v>0</v>
      </c>
      <c r="Z222" s="116">
        <f t="shared" si="61"/>
        <v>0</v>
      </c>
      <c r="AA222" s="116">
        <f t="shared" si="61"/>
        <v>0</v>
      </c>
      <c r="AB222" s="116">
        <f t="shared" si="61"/>
        <v>0</v>
      </c>
      <c r="AC222" s="116">
        <f t="shared" si="61"/>
        <v>0</v>
      </c>
      <c r="AD222" s="116">
        <f t="shared" si="61"/>
        <v>0</v>
      </c>
      <c r="AE222" s="116">
        <f t="shared" si="61"/>
        <v>0</v>
      </c>
    </row>
    <row r="223" spans="1:35" customFormat="1" ht="14.25" x14ac:dyDescent="0.45">
      <c r="B223" s="14" t="s">
        <v>49</v>
      </c>
      <c r="C223" s="14" t="s">
        <v>43</v>
      </c>
      <c r="D223" s="15" t="s">
        <v>2161</v>
      </c>
      <c r="E223" s="16" t="s">
        <v>51</v>
      </c>
      <c r="F223" s="14" t="s">
        <v>2162</v>
      </c>
      <c r="G223" s="17"/>
      <c r="H223" s="114" t="str">
        <f>Settings!$B$3&amp;".mit.atpn.irn.coa.e.2"</f>
        <v>egy.mit.atpn.irn.coa.e.2</v>
      </c>
      <c r="I223" t="s">
        <v>2219</v>
      </c>
      <c r="K223" s="18"/>
      <c r="L223" s="19">
        <f>Mitigation_Industry!L$416-(Mitigation_Industry!L$416-Mitigation_Industry!L$406)*L$222</f>
        <v>10.5233613454312</v>
      </c>
      <c r="M223" s="19">
        <f>Mitigation_Industry!M$416-(Mitigation_Industry!M$416-Mitigation_Industry!M$406)*M$222</f>
        <v>10.2995608274442</v>
      </c>
      <c r="N223" s="19">
        <f>Mitigation_Industry!N$416-(Mitigation_Industry!N$416-Mitigation_Industry!N$406)*N$222</f>
        <v>9.5775283595382597</v>
      </c>
      <c r="O223" s="19">
        <f>Mitigation_Industry!O$416-(Mitigation_Industry!O$416-Mitigation_Industry!O$406)*O$222</f>
        <v>8.4854782869580507</v>
      </c>
      <c r="P223" s="19">
        <f>Mitigation_Industry!P$416-(Mitigation_Industry!P$416-Mitigation_Industry!P$406)*P$222</f>
        <v>9.0871922352498604</v>
      </c>
      <c r="Q223" s="19">
        <f>Mitigation_Industry!Q$416-(Mitigation_Industry!Q$416-Mitigation_Industry!Q$406)*Q$222</f>
        <v>10.472923728932679</v>
      </c>
      <c r="R223" s="19">
        <f>Mitigation_Industry!R$416-(Mitigation_Industry!R$416-Mitigation_Industry!R$406)*R$222</f>
        <v>11.658564955509689</v>
      </c>
      <c r="S223" s="19">
        <f>Mitigation_Industry!S$416-(Mitigation_Industry!S$416-Mitigation_Industry!S$406)*S$222</f>
        <v>12.839547877397379</v>
      </c>
      <c r="T223" s="19">
        <f>Mitigation_Industry!T$416-(Mitigation_Industry!T$416-Mitigation_Industry!T$406)*T$222</f>
        <v>14.01568166602283</v>
      </c>
      <c r="U223" s="19">
        <f>Mitigation_Industry!U$416-(Mitigation_Industry!U$416-Mitigation_Industry!U$406)*U$222</f>
        <v>15.19439776555711</v>
      </c>
      <c r="V223" s="19">
        <f>Mitigation_Industry!V$416-(Mitigation_Industry!V$416-Mitigation_Industry!V$406)*V$222</f>
        <v>16.44439776555711</v>
      </c>
      <c r="W223" s="19">
        <f>Mitigation_Industry!W$416-(Mitigation_Industry!W$416-Mitigation_Industry!W$406)*W$222</f>
        <v>17.69439776555711</v>
      </c>
      <c r="X223" s="19">
        <f>Mitigation_Industry!X$416-(Mitigation_Industry!X$416-Mitigation_Industry!X$406)*X$222</f>
        <v>18.94439776555711</v>
      </c>
      <c r="Y223" s="19">
        <f>Mitigation_Industry!Y$416-(Mitigation_Industry!Y$416-Mitigation_Industry!Y$406)*Y$222</f>
        <v>20.19439776555711</v>
      </c>
      <c r="Z223" s="19">
        <f>Mitigation_Industry!Z$416-(Mitigation_Industry!Z$416-Mitigation_Industry!Z$406)*Z$222</f>
        <v>21.44439776555711</v>
      </c>
      <c r="AA223" s="19">
        <f>Mitigation_Industry!AA$416-(Mitigation_Industry!AA$416-Mitigation_Industry!AA$406)*AA$222</f>
        <v>22.69439776555711</v>
      </c>
      <c r="AB223" s="19">
        <f>Mitigation_Industry!AB$416-(Mitigation_Industry!AB$416-Mitigation_Industry!AB$406)*AB$222</f>
        <v>23.94439776555711</v>
      </c>
      <c r="AC223" s="19">
        <f>Mitigation_Industry!AC$416-(Mitigation_Industry!AC$416-Mitigation_Industry!AC$406)*AC$222</f>
        <v>25.19439776555711</v>
      </c>
      <c r="AD223" s="19">
        <f>Mitigation_Industry!AD$416-(Mitigation_Industry!AD$416-Mitigation_Industry!AD$406)*AD$222</f>
        <v>26.44439776555711</v>
      </c>
      <c r="AE223" s="19">
        <f>Mitigation_Industry!AE$416-(Mitigation_Industry!AE$416-Mitigation_Industry!AE$406)*AE$222</f>
        <v>27.69439776555711</v>
      </c>
    </row>
    <row r="224" spans="1:35" customFormat="1" ht="14.25" x14ac:dyDescent="0.45">
      <c r="B224" s="14" t="s">
        <v>53</v>
      </c>
      <c r="C224" s="14" t="s">
        <v>43</v>
      </c>
      <c r="D224" s="15" t="s">
        <v>2164</v>
      </c>
      <c r="E224" s="16" t="s">
        <v>51</v>
      </c>
      <c r="F224" s="14" t="s">
        <v>2162</v>
      </c>
      <c r="G224" s="17"/>
      <c r="H224" s="114" t="str">
        <f>Settings!$B$3&amp;".mit.atpn.irn.nga.e.2"</f>
        <v>egy.mit.atpn.irn.nga.e.2</v>
      </c>
      <c r="I224" t="s">
        <v>2220</v>
      </c>
      <c r="K224" s="18"/>
      <c r="L224" s="19">
        <f>Mitigation_Industry!L$417-(Mitigation_Industry!L$417-Mitigation_Industry!L$407)*L$222</f>
        <v>5.4510150816191896</v>
      </c>
      <c r="M224" s="19">
        <f>Mitigation_Industry!M$417-(Mitigation_Industry!M$417-Mitigation_Industry!M$407)*M$222</f>
        <v>5.1193563062624801</v>
      </c>
      <c r="N224" s="19">
        <f>Mitigation_Industry!N$417-(Mitigation_Industry!N$417-Mitigation_Industry!N$407)*N$222</f>
        <v>5.08218458640407</v>
      </c>
      <c r="O224" s="19">
        <f>Mitigation_Industry!O$417-(Mitigation_Industry!O$417-Mitigation_Industry!O$407)*O$222</f>
        <v>5.08218458640407</v>
      </c>
      <c r="P224" s="19">
        <f>Mitigation_Industry!P$417-(Mitigation_Industry!P$417-Mitigation_Industry!P$407)*P$222</f>
        <v>5.08218458640407</v>
      </c>
      <c r="Q224" s="19">
        <f>Mitigation_Industry!Q$417-(Mitigation_Industry!Q$417-Mitigation_Industry!Q$407)*Q$222</f>
        <v>5.7796845864040698</v>
      </c>
      <c r="R224" s="19">
        <f>Mitigation_Industry!R$417-(Mitigation_Industry!R$417-Mitigation_Industry!R$407)*R$222</f>
        <v>6.4771845864040696</v>
      </c>
      <c r="S224" s="19">
        <f>Mitigation_Industry!S$417-(Mitigation_Industry!S$417-Mitigation_Industry!S$407)*S$222</f>
        <v>7.1746845864040703</v>
      </c>
      <c r="T224" s="19">
        <f>Mitigation_Industry!T$417-(Mitigation_Industry!T$417-Mitigation_Industry!T$407)*T$222</f>
        <v>7.87218458640407</v>
      </c>
      <c r="U224" s="19">
        <f>Mitigation_Industry!U$417-(Mitigation_Industry!U$417-Mitigation_Industry!U$407)*U$222</f>
        <v>8.5696845864040707</v>
      </c>
      <c r="V224" s="19">
        <f>Mitigation_Industry!V$417-(Mitigation_Industry!V$417-Mitigation_Industry!V$407)*V$222</f>
        <v>9.2671845864040705</v>
      </c>
      <c r="W224" s="19">
        <f>Mitigation_Industry!W$417-(Mitigation_Industry!W$417-Mitigation_Industry!W$407)*W$222</f>
        <v>9.9646845864040703</v>
      </c>
      <c r="X224" s="19">
        <f>Mitigation_Industry!X$417-(Mitigation_Industry!X$417-Mitigation_Industry!X$407)*X$222</f>
        <v>10.66218458640407</v>
      </c>
      <c r="Y224" s="19">
        <f>Mitigation_Industry!Y$417-(Mitigation_Industry!Y$417-Mitigation_Industry!Y$407)*Y$222</f>
        <v>11.35968458640407</v>
      </c>
      <c r="Z224" s="19">
        <f>Mitigation_Industry!Z$417-(Mitigation_Industry!Z$417-Mitigation_Industry!Z$407)*Z$222</f>
        <v>12.05718458640407</v>
      </c>
      <c r="AA224" s="19">
        <f>Mitigation_Industry!AA$417-(Mitigation_Industry!AA$417-Mitigation_Industry!AA$407)*AA$222</f>
        <v>12.754684586404071</v>
      </c>
      <c r="AB224" s="19">
        <f>Mitigation_Industry!AB$417-(Mitigation_Industry!AB$417-Mitigation_Industry!AB$407)*AB$222</f>
        <v>13.452184586404071</v>
      </c>
      <c r="AC224" s="19">
        <f>Mitigation_Industry!AC$417-(Mitigation_Industry!AC$417-Mitigation_Industry!AC$407)*AC$222</f>
        <v>14.149684586404071</v>
      </c>
      <c r="AD224" s="19">
        <f>Mitigation_Industry!AD$417-(Mitigation_Industry!AD$417-Mitigation_Industry!AD$407)*AD$222</f>
        <v>14.847184586404071</v>
      </c>
      <c r="AE224" s="19">
        <f>Mitigation_Industry!AE$417-(Mitigation_Industry!AE$417-Mitigation_Industry!AE$407)*AE$222</f>
        <v>15.54468458640407</v>
      </c>
    </row>
    <row r="225" spans="1:35" customFormat="1" ht="14.25" x14ac:dyDescent="0.45">
      <c r="B225" s="14" t="s">
        <v>55</v>
      </c>
      <c r="C225" s="14" t="s">
        <v>43</v>
      </c>
      <c r="D225" s="15" t="s">
        <v>2166</v>
      </c>
      <c r="E225" s="16" t="s">
        <v>57</v>
      </c>
      <c r="F225" s="14" t="s">
        <v>2162</v>
      </c>
      <c r="G225" s="17"/>
      <c r="H225" s="114" t="str">
        <f>Settings!$B$3&amp;".mit.atpn.irn.gso.e.2"</f>
        <v>egy.mit.atpn.irn.gso.e.2</v>
      </c>
      <c r="I225" t="s">
        <v>2221</v>
      </c>
      <c r="K225" s="18"/>
      <c r="L225" s="19">
        <f>Mitigation_Industry!L$418-(Mitigation_Industry!L$418-Mitigation_Industry!L$408)*L$222</f>
        <v>0.61197797679140598</v>
      </c>
      <c r="M225" s="19">
        <f>Mitigation_Industry!M$418-(Mitigation_Industry!M$418-Mitigation_Industry!M$408)*M$222</f>
        <v>0.61180974964187596</v>
      </c>
      <c r="N225" s="19">
        <f>Mitigation_Industry!N$418-(Mitigation_Industry!N$418-Mitigation_Industry!N$408)*N$222</f>
        <v>0.60358310017790595</v>
      </c>
      <c r="O225" s="19">
        <f>Mitigation_Industry!O$418-(Mitigation_Industry!O$418-Mitigation_Industry!O$408)*O$222</f>
        <v>0.60358310017790595</v>
      </c>
      <c r="P225" s="19">
        <f>Mitigation_Industry!P$418-(Mitigation_Industry!P$418-Mitigation_Industry!P$408)*P$222</f>
        <v>0.60358310017790595</v>
      </c>
      <c r="Q225" s="19">
        <f>Mitigation_Industry!Q$418-(Mitigation_Industry!Q$418-Mitigation_Industry!Q$408)*Q$222</f>
        <v>0.63251094334940594</v>
      </c>
      <c r="R225" s="19">
        <f>Mitigation_Industry!R$418-(Mitigation_Industry!R$418-Mitigation_Industry!R$408)*R$222</f>
        <v>0.66143878652090593</v>
      </c>
      <c r="S225" s="19">
        <f>Mitigation_Industry!S$418-(Mitigation_Industry!S$418-Mitigation_Industry!S$408)*S$222</f>
        <v>0.69036662969240592</v>
      </c>
      <c r="T225" s="19">
        <f>Mitigation_Industry!T$418-(Mitigation_Industry!T$418-Mitigation_Industry!T$408)*T$222</f>
        <v>0.71929447286390591</v>
      </c>
      <c r="U225" s="19">
        <f>Mitigation_Industry!U$418-(Mitigation_Industry!U$418-Mitigation_Industry!U$408)*U$222</f>
        <v>0.74822231603540601</v>
      </c>
      <c r="V225" s="19">
        <f>Mitigation_Industry!V$418-(Mitigation_Industry!V$418-Mitigation_Industry!V$408)*V$222</f>
        <v>0.777150159206906</v>
      </c>
      <c r="W225" s="19">
        <f>Mitigation_Industry!W$418-(Mitigation_Industry!W$418-Mitigation_Industry!W$408)*W$222</f>
        <v>0.80607800237840599</v>
      </c>
      <c r="X225" s="19">
        <f>Mitigation_Industry!X$418-(Mitigation_Industry!X$418-Mitigation_Industry!X$408)*X$222</f>
        <v>0.83500584554990598</v>
      </c>
      <c r="Y225" s="19">
        <f>Mitigation_Industry!Y$418-(Mitigation_Industry!Y$418-Mitigation_Industry!Y$408)*Y$222</f>
        <v>0.86393368872140597</v>
      </c>
      <c r="Z225" s="19">
        <f>Mitigation_Industry!Z$418-(Mitigation_Industry!Z$418-Mitigation_Industry!Z$408)*Z$222</f>
        <v>0.89286153189290596</v>
      </c>
      <c r="AA225" s="19">
        <f>Mitigation_Industry!AA$418-(Mitigation_Industry!AA$418-Mitigation_Industry!AA$408)*AA$222</f>
        <v>0.92178937506440595</v>
      </c>
      <c r="AB225" s="19">
        <f>Mitigation_Industry!AB$418-(Mitigation_Industry!AB$418-Mitigation_Industry!AB$408)*AB$222</f>
        <v>0.95071721823590605</v>
      </c>
      <c r="AC225" s="19">
        <f>Mitigation_Industry!AC$418-(Mitigation_Industry!AC$418-Mitigation_Industry!AC$408)*AC$222</f>
        <v>0.97964506140740593</v>
      </c>
      <c r="AD225" s="19">
        <f>Mitigation_Industry!AD$418-(Mitigation_Industry!AD$418-Mitigation_Industry!AD$408)*AD$222</f>
        <v>1.008572904578906</v>
      </c>
      <c r="AE225" s="19">
        <f>Mitigation_Industry!AE$418-(Mitigation_Industry!AE$418-Mitigation_Industry!AE$408)*AE$222</f>
        <v>1.0375007477504061</v>
      </c>
    </row>
    <row r="226" spans="1:35" customFormat="1" ht="14.25" x14ac:dyDescent="0.45">
      <c r="B226" s="14" t="s">
        <v>58</v>
      </c>
      <c r="C226" s="14" t="s">
        <v>43</v>
      </c>
      <c r="D226" s="15" t="s">
        <v>2168</v>
      </c>
      <c r="E226" s="16" t="s">
        <v>57</v>
      </c>
      <c r="F226" s="14" t="s">
        <v>2162</v>
      </c>
      <c r="G226" s="17"/>
      <c r="H226" s="114" t="str">
        <f>Settings!$B$3&amp;".mit.atpn.irn.die.e.2"</f>
        <v>egy.mit.atpn.irn.die.e.2</v>
      </c>
      <c r="I226" t="s">
        <v>2222</v>
      </c>
      <c r="K226" s="18"/>
      <c r="L226" s="19">
        <f>Mitigation_Industry!L$419-(Mitigation_Industry!L$419-Mitigation_Industry!L$409)*L$222</f>
        <v>0.49458873084106802</v>
      </c>
      <c r="M226" s="19">
        <f>Mitigation_Industry!M$419-(Mitigation_Industry!M$419-Mitigation_Industry!M$409)*M$222</f>
        <v>0.50778654720250105</v>
      </c>
      <c r="N226" s="19">
        <f>Mitigation_Industry!N$419-(Mitigation_Industry!N$419-Mitigation_Industry!N$409)*N$222</f>
        <v>0.47043642679561698</v>
      </c>
      <c r="O226" s="19">
        <f>Mitigation_Industry!O$419-(Mitigation_Industry!O$419-Mitigation_Industry!O$409)*O$222</f>
        <v>0.47043642679561698</v>
      </c>
      <c r="P226" s="19">
        <f>Mitigation_Industry!P$419-(Mitigation_Industry!P$419-Mitigation_Industry!P$409)*P$222</f>
        <v>0.47043642679561698</v>
      </c>
      <c r="Q226" s="19">
        <f>Mitigation_Industry!Q$419-(Mitigation_Industry!Q$419-Mitigation_Industry!Q$409)*Q$222</f>
        <v>0.50344686565449193</v>
      </c>
      <c r="R226" s="19">
        <f>Mitigation_Industry!R$419-(Mitigation_Industry!R$419-Mitigation_Industry!R$409)*R$222</f>
        <v>0.53645730451336693</v>
      </c>
      <c r="S226" s="19">
        <f>Mitigation_Industry!S$419-(Mitigation_Industry!S$419-Mitigation_Industry!S$409)*S$222</f>
        <v>0.56946774337224193</v>
      </c>
      <c r="T226" s="19">
        <f>Mitigation_Industry!T$419-(Mitigation_Industry!T$419-Mitigation_Industry!T$409)*T$222</f>
        <v>0.60247818223111693</v>
      </c>
      <c r="U226" s="19">
        <f>Mitigation_Industry!U$419-(Mitigation_Industry!U$419-Mitigation_Industry!U$409)*U$222</f>
        <v>0.63548862108999193</v>
      </c>
      <c r="V226" s="19">
        <f>Mitigation_Industry!V$419-(Mitigation_Industry!V$419-Mitigation_Industry!V$409)*V$222</f>
        <v>0.66849905994886694</v>
      </c>
      <c r="W226" s="19">
        <f>Mitigation_Industry!W$419-(Mitigation_Industry!W$419-Mitigation_Industry!W$409)*W$222</f>
        <v>0.70150949880774194</v>
      </c>
      <c r="X226" s="19">
        <f>Mitigation_Industry!X$419-(Mitigation_Industry!X$419-Mitigation_Industry!X$409)*X$222</f>
        <v>0.73451993766661694</v>
      </c>
      <c r="Y226" s="19">
        <f>Mitigation_Industry!Y$419-(Mitigation_Industry!Y$419-Mitigation_Industry!Y$409)*Y$222</f>
        <v>0.76753037652549194</v>
      </c>
      <c r="Z226" s="19">
        <f>Mitigation_Industry!Z$419-(Mitigation_Industry!Z$419-Mitigation_Industry!Z$409)*Z$222</f>
        <v>0.80054081538436694</v>
      </c>
      <c r="AA226" s="19">
        <f>Mitigation_Industry!AA$419-(Mitigation_Industry!AA$419-Mitigation_Industry!AA$409)*AA$222</f>
        <v>0.83355125424324195</v>
      </c>
      <c r="AB226" s="19">
        <f>Mitigation_Industry!AB$419-(Mitigation_Industry!AB$419-Mitigation_Industry!AB$409)*AB$222</f>
        <v>0.86656169310211695</v>
      </c>
      <c r="AC226" s="19">
        <f>Mitigation_Industry!AC$419-(Mitigation_Industry!AC$419-Mitigation_Industry!AC$409)*AC$222</f>
        <v>0.89957213196099195</v>
      </c>
      <c r="AD226" s="19">
        <f>Mitigation_Industry!AD$419-(Mitigation_Industry!AD$419-Mitigation_Industry!AD$409)*AD$222</f>
        <v>0.93258257081986695</v>
      </c>
      <c r="AE226" s="19">
        <f>Mitigation_Industry!AE$419-(Mitigation_Industry!AE$419-Mitigation_Industry!AE$409)*AE$222</f>
        <v>0.96559300967874195</v>
      </c>
    </row>
    <row r="227" spans="1:35" customFormat="1" ht="14.25" x14ac:dyDescent="0.45">
      <c r="B227" s="14" t="s">
        <v>60</v>
      </c>
      <c r="C227" s="14" t="s">
        <v>43</v>
      </c>
      <c r="D227" s="15" t="s">
        <v>2170</v>
      </c>
      <c r="E227" s="16" t="s">
        <v>57</v>
      </c>
      <c r="F227" s="14" t="s">
        <v>2162</v>
      </c>
      <c r="G227" s="17"/>
      <c r="H227" s="114" t="str">
        <f>Settings!$B$3&amp;".mit.atpn.irn.lpg.e.2"</f>
        <v>egy.mit.atpn.irn.lpg.e.2</v>
      </c>
      <c r="I227" t="s">
        <v>2223</v>
      </c>
      <c r="K227" s="18"/>
      <c r="L227" s="19">
        <f>Mitigation_Industry!L$420-(Mitigation_Industry!L$420-Mitigation_Industry!L$410)*L$222</f>
        <v>0.15734473625227399</v>
      </c>
      <c r="M227" s="19">
        <f>Mitigation_Industry!M$420-(Mitigation_Industry!M$420-Mitigation_Industry!M$410)*M$222</f>
        <v>0.164484037759277</v>
      </c>
      <c r="N227" s="19">
        <f>Mitigation_Industry!N$420-(Mitigation_Industry!N$420-Mitigation_Industry!N$410)*N$222</f>
        <v>0.15070907780704901</v>
      </c>
      <c r="O227" s="19">
        <f>Mitigation_Industry!O$420-(Mitigation_Industry!O$420-Mitigation_Industry!O$410)*O$222</f>
        <v>0.15070907780704901</v>
      </c>
      <c r="P227" s="19">
        <f>Mitigation_Industry!P$420-(Mitigation_Industry!P$420-Mitigation_Industry!P$410)*P$222</f>
        <v>0.15070907780704901</v>
      </c>
      <c r="Q227" s="19">
        <f>Mitigation_Industry!Q$420-(Mitigation_Industry!Q$420-Mitigation_Industry!Q$410)*Q$222</f>
        <v>0.17281516073434466</v>
      </c>
      <c r="R227" s="19">
        <f>Mitigation_Industry!R$420-(Mitigation_Industry!R$420-Mitigation_Industry!R$410)*R$222</f>
        <v>0.19492124366164035</v>
      </c>
      <c r="S227" s="19">
        <f>Mitigation_Industry!S$420-(Mitigation_Industry!S$420-Mitigation_Industry!S$410)*S$222</f>
        <v>0.217027326588936</v>
      </c>
      <c r="T227" s="19">
        <f>Mitigation_Industry!T$420-(Mitigation_Industry!T$420-Mitigation_Industry!T$410)*T$222</f>
        <v>0.23913340951623169</v>
      </c>
      <c r="U227" s="19">
        <f>Mitigation_Industry!U$420-(Mitigation_Industry!U$420-Mitigation_Industry!U$410)*U$222</f>
        <v>0.26123949244352734</v>
      </c>
      <c r="V227" s="19">
        <f>Mitigation_Industry!V$420-(Mitigation_Industry!V$420-Mitigation_Industry!V$410)*V$222</f>
        <v>0.283345575370823</v>
      </c>
      <c r="W227" s="19">
        <f>Mitigation_Industry!W$420-(Mitigation_Industry!W$420-Mitigation_Industry!W$410)*W$222</f>
        <v>0.30545165829811871</v>
      </c>
      <c r="X227" s="19">
        <f>Mitigation_Industry!X$420-(Mitigation_Industry!X$420-Mitigation_Industry!X$410)*X$222</f>
        <v>0.32755774122541437</v>
      </c>
      <c r="Y227" s="19">
        <f>Mitigation_Industry!Y$420-(Mitigation_Industry!Y$420-Mitigation_Industry!Y$410)*Y$222</f>
        <v>0.34966382415271002</v>
      </c>
      <c r="Z227" s="19">
        <f>Mitigation_Industry!Z$420-(Mitigation_Industry!Z$420-Mitigation_Industry!Z$410)*Z$222</f>
        <v>0.37176990708000568</v>
      </c>
      <c r="AA227" s="19">
        <f>Mitigation_Industry!AA$420-(Mitigation_Industry!AA$420-Mitigation_Industry!AA$410)*AA$222</f>
        <v>0.39387599000730134</v>
      </c>
      <c r="AB227" s="19">
        <f>Mitigation_Industry!AB$420-(Mitigation_Industry!AB$420-Mitigation_Industry!AB$410)*AB$222</f>
        <v>0.41598207293459699</v>
      </c>
      <c r="AC227" s="19">
        <f>Mitigation_Industry!AC$420-(Mitigation_Industry!AC$420-Mitigation_Industry!AC$410)*AC$222</f>
        <v>0.4380881558618927</v>
      </c>
      <c r="AD227" s="19">
        <f>Mitigation_Industry!AD$420-(Mitigation_Industry!AD$420-Mitigation_Industry!AD$410)*AD$222</f>
        <v>0.46019423878918836</v>
      </c>
      <c r="AE227" s="19">
        <f>Mitigation_Industry!AE$420-(Mitigation_Industry!AE$420-Mitigation_Industry!AE$410)*AE$222</f>
        <v>0.48230032171648402</v>
      </c>
    </row>
    <row r="228" spans="1:35" customFormat="1" ht="14.25" x14ac:dyDescent="0.45">
      <c r="B228" s="14" t="s">
        <v>62</v>
      </c>
      <c r="C228" s="14" t="s">
        <v>43</v>
      </c>
      <c r="D228" s="15" t="s">
        <v>2172</v>
      </c>
      <c r="E228" s="16" t="s">
        <v>57</v>
      </c>
      <c r="F228" s="14" t="s">
        <v>2162</v>
      </c>
      <c r="G228" s="17"/>
      <c r="H228" s="114" t="str">
        <f>Settings!$B$3&amp;".mit.atpn.irn.ker.e.2"</f>
        <v>egy.mit.atpn.irn.ker.e.2</v>
      </c>
      <c r="I228" t="s">
        <v>2224</v>
      </c>
      <c r="K228" s="18"/>
      <c r="L228" s="19">
        <f>Mitigation_Industry!L$421-(Mitigation_Industry!L$421-Mitigation_Industry!L$411)*L$222</f>
        <v>0.45642817050012802</v>
      </c>
      <c r="M228" s="19">
        <f>Mitigation_Industry!M$421-(Mitigation_Industry!M$421-Mitigation_Industry!M$411)*M$222</f>
        <v>0.43168920195599497</v>
      </c>
      <c r="N228" s="19">
        <f>Mitigation_Industry!N$421-(Mitigation_Industry!N$421-Mitigation_Industry!N$411)*N$222</f>
        <v>0.42507558395597</v>
      </c>
      <c r="O228" s="19">
        <f>Mitigation_Industry!O$421-(Mitigation_Industry!O$421-Mitigation_Industry!O$411)*O$222</f>
        <v>0.42507558395597</v>
      </c>
      <c r="P228" s="19">
        <f>Mitigation_Industry!P$421-(Mitigation_Industry!P$421-Mitigation_Industry!P$411)*P$222</f>
        <v>0.42507558395597</v>
      </c>
      <c r="Q228" s="19">
        <f>Mitigation_Industry!Q$421-(Mitigation_Industry!Q$421-Mitigation_Industry!Q$411)*Q$222</f>
        <v>0.45706441406607845</v>
      </c>
      <c r="R228" s="19">
        <f>Mitigation_Industry!R$421-(Mitigation_Industry!R$421-Mitigation_Industry!R$411)*R$222</f>
        <v>0.48905324417618695</v>
      </c>
      <c r="S228" s="19">
        <f>Mitigation_Industry!S$421-(Mitigation_Industry!S$421-Mitigation_Industry!S$411)*S$222</f>
        <v>0.52104207428629534</v>
      </c>
      <c r="T228" s="19">
        <f>Mitigation_Industry!T$421-(Mitigation_Industry!T$421-Mitigation_Industry!T$411)*T$222</f>
        <v>0.5530309043964039</v>
      </c>
      <c r="U228" s="19">
        <f>Mitigation_Industry!U$421-(Mitigation_Industry!U$421-Mitigation_Industry!U$411)*U$222</f>
        <v>0.58501973450651235</v>
      </c>
      <c r="V228" s="19">
        <f>Mitigation_Industry!V$421-(Mitigation_Industry!V$421-Mitigation_Industry!V$411)*V$222</f>
        <v>0.61700856461662079</v>
      </c>
      <c r="W228" s="19">
        <f>Mitigation_Industry!W$421-(Mitigation_Industry!W$421-Mitigation_Industry!W$411)*W$222</f>
        <v>0.64899739472672924</v>
      </c>
      <c r="X228" s="19">
        <f>Mitigation_Industry!X$421-(Mitigation_Industry!X$421-Mitigation_Industry!X$411)*X$222</f>
        <v>0.68098622483683768</v>
      </c>
      <c r="Y228" s="19">
        <f>Mitigation_Industry!Y$421-(Mitigation_Industry!Y$421-Mitigation_Industry!Y$411)*Y$222</f>
        <v>0.71297505494694624</v>
      </c>
      <c r="Z228" s="19">
        <f>Mitigation_Industry!Z$421-(Mitigation_Industry!Z$421-Mitigation_Industry!Z$411)*Z$222</f>
        <v>0.74496388505705469</v>
      </c>
      <c r="AA228" s="19">
        <f>Mitigation_Industry!AA$421-(Mitigation_Industry!AA$421-Mitigation_Industry!AA$411)*AA$222</f>
        <v>0.77695271516716313</v>
      </c>
      <c r="AB228" s="19">
        <f>Mitigation_Industry!AB$421-(Mitigation_Industry!AB$421-Mitigation_Industry!AB$411)*AB$222</f>
        <v>0.80894154527727158</v>
      </c>
      <c r="AC228" s="19">
        <f>Mitigation_Industry!AC$421-(Mitigation_Industry!AC$421-Mitigation_Industry!AC$411)*AC$222</f>
        <v>0.84093037538738002</v>
      </c>
      <c r="AD228" s="19">
        <f>Mitigation_Industry!AD$421-(Mitigation_Industry!AD$421-Mitigation_Industry!AD$411)*AD$222</f>
        <v>0.87291920549748858</v>
      </c>
      <c r="AE228" s="19">
        <f>Mitigation_Industry!AE$421-(Mitigation_Industry!AE$421-Mitigation_Industry!AE$411)*AE$222</f>
        <v>0.90490803560759692</v>
      </c>
    </row>
    <row r="229" spans="1:35" customFormat="1" ht="14.25" x14ac:dyDescent="0.45">
      <c r="B229" s="14" t="s">
        <v>64</v>
      </c>
      <c r="C229" s="14" t="s">
        <v>43</v>
      </c>
      <c r="D229" s="15" t="s">
        <v>2174</v>
      </c>
      <c r="E229" s="16" t="s">
        <v>66</v>
      </c>
      <c r="F229" s="14" t="s">
        <v>2162</v>
      </c>
      <c r="G229" s="17"/>
      <c r="H229" s="114" t="str">
        <f>Settings!$B$3&amp;".mit.atpn.irn.oop.e.2"</f>
        <v>egy.mit.atpn.irn.oop.e.2</v>
      </c>
      <c r="I229" t="s">
        <v>2225</v>
      </c>
      <c r="K229" s="18"/>
      <c r="L229" s="19">
        <f>Mitigation_Industry!L$422-(Mitigation_Industry!L$422-Mitigation_Industry!L$412)*L$222</f>
        <v>34.4153703043132</v>
      </c>
      <c r="M229" s="19">
        <f>Mitigation_Industry!M$422-(Mitigation_Industry!M$422-Mitigation_Industry!M$412)*M$222</f>
        <v>37.368960690431997</v>
      </c>
      <c r="N229" s="19">
        <f>Mitigation_Industry!N$422-(Mitigation_Industry!N$422-Mitigation_Industry!N$412)*N$222</f>
        <v>28.982761101477301</v>
      </c>
      <c r="O229" s="19">
        <f>Mitigation_Industry!O$422-(Mitigation_Industry!O$422-Mitigation_Industry!O$412)*O$222</f>
        <v>15</v>
      </c>
      <c r="P229" s="19">
        <f>Mitigation_Industry!P$422-(Mitigation_Industry!P$422-Mitigation_Industry!P$412)*P$222</f>
        <v>24.2586300842555</v>
      </c>
      <c r="Q229" s="19">
        <f>Mitigation_Industry!Q$422-(Mitigation_Industry!Q$422-Mitigation_Industry!Q$412)*Q$222</f>
        <v>18.963758196132499</v>
      </c>
      <c r="R229" s="19">
        <f>Mitigation_Industry!R$422-(Mitigation_Industry!R$422-Mitigation_Industry!R$412)*R$222</f>
        <v>21.760345114010597</v>
      </c>
      <c r="S229" s="19">
        <f>Mitigation_Industry!S$422-(Mitigation_Industry!S$422-Mitigation_Industry!S$412)*S$222</f>
        <v>26.079880691373621</v>
      </c>
      <c r="T229" s="19">
        <f>Mitigation_Industry!T$422-(Mitigation_Industry!T$422-Mitigation_Industry!T$412)*T$222</f>
        <v>30.593682445209218</v>
      </c>
      <c r="U229" s="19">
        <f>Mitigation_Industry!U$422-(Mitigation_Industry!U$422-Mitigation_Industry!U$412)*U$222</f>
        <v>34.990509739410058</v>
      </c>
      <c r="V229" s="19">
        <f>Mitigation_Industry!V$422-(Mitigation_Industry!V$422-Mitigation_Industry!V$412)*V$222</f>
        <v>40.858059739410059</v>
      </c>
      <c r="W229" s="19">
        <f>Mitigation_Industry!W$422-(Mitigation_Industry!W$422-Mitigation_Industry!W$412)*W$222</f>
        <v>46.725609739410054</v>
      </c>
      <c r="X229" s="19">
        <f>Mitigation_Industry!X$422-(Mitigation_Industry!X$422-Mitigation_Industry!X$412)*X$222</f>
        <v>52.593159739410055</v>
      </c>
      <c r="Y229" s="19">
        <f>Mitigation_Industry!Y$422-(Mitigation_Industry!Y$422-Mitigation_Industry!Y$412)*Y$222</f>
        <v>58.460709739410056</v>
      </c>
      <c r="Z229" s="19">
        <f>Mitigation_Industry!Z$422-(Mitigation_Industry!Z$422-Mitigation_Industry!Z$412)*Z$222</f>
        <v>64.328259739410072</v>
      </c>
      <c r="AA229" s="19">
        <f>Mitigation_Industry!AA$422-(Mitigation_Industry!AA$422-Mitigation_Industry!AA$412)*AA$222</f>
        <v>70.195809739410052</v>
      </c>
      <c r="AB229" s="19">
        <f>Mitigation_Industry!AB$422-(Mitigation_Industry!AB$422-Mitigation_Industry!AB$412)*AB$222</f>
        <v>76.06335973941006</v>
      </c>
      <c r="AC229" s="19">
        <f>Mitigation_Industry!AC$422-(Mitigation_Industry!AC$422-Mitigation_Industry!AC$412)*AC$222</f>
        <v>81.930909739410041</v>
      </c>
      <c r="AD229" s="19">
        <f>Mitigation_Industry!AD$422-(Mitigation_Industry!AD$422-Mitigation_Industry!AD$412)*AD$222</f>
        <v>87.798459739410049</v>
      </c>
      <c r="AE229" s="19">
        <f>Mitigation_Industry!AE$422-(Mitigation_Industry!AE$422-Mitigation_Industry!AE$412)*AE$222</f>
        <v>93.666009739410043</v>
      </c>
    </row>
    <row r="230" spans="1:35" customFormat="1" ht="14.25" x14ac:dyDescent="0.45">
      <c r="B230" s="14" t="s">
        <v>67</v>
      </c>
      <c r="C230" s="14" t="s">
        <v>43</v>
      </c>
      <c r="D230" s="15" t="s">
        <v>2176</v>
      </c>
      <c r="E230" s="16" t="s">
        <v>51</v>
      </c>
      <c r="F230" s="14" t="s">
        <v>2162</v>
      </c>
      <c r="G230" s="17"/>
      <c r="H230" s="114" t="str">
        <f>Settings!$B$3&amp;".mit.atpn.irn.bio.e.2"</f>
        <v>egy.mit.atpn.irn.bio.e.2</v>
      </c>
      <c r="I230" t="s">
        <v>2226</v>
      </c>
      <c r="K230" s="18"/>
      <c r="L230" s="19">
        <f>Mitigation_Industry!L$423-(Mitigation_Industry!L$423-Mitigation_Industry!L$413)*L$222</f>
        <v>14.199528390634899</v>
      </c>
      <c r="M230" s="19">
        <f>Mitigation_Industry!M$423-(Mitigation_Industry!M$423-Mitigation_Industry!M$413)*M$222</f>
        <v>13.8404416133152</v>
      </c>
      <c r="N230" s="19">
        <f>Mitigation_Industry!N$423-(Mitigation_Industry!N$423-Mitigation_Industry!N$413)*N$222</f>
        <v>13.5677269404465</v>
      </c>
      <c r="O230" s="19">
        <f>Mitigation_Industry!O$423-(Mitigation_Industry!O$423-Mitigation_Industry!O$413)*O$222</f>
        <v>13.5677269404465</v>
      </c>
      <c r="P230" s="19">
        <f>Mitigation_Industry!P$423-(Mitigation_Industry!P$423-Mitigation_Industry!P$413)*P$222</f>
        <v>13.5677269404465</v>
      </c>
      <c r="Q230" s="19">
        <f>Mitigation_Industry!Q$423-(Mitigation_Industry!Q$423-Mitigation_Industry!Q$413)*Q$222</f>
        <v>13.5677269404465</v>
      </c>
      <c r="R230" s="19">
        <f>Mitigation_Industry!R$423-(Mitigation_Industry!R$423-Mitigation_Industry!R$413)*R$222</f>
        <v>13.5677269404465</v>
      </c>
      <c r="S230" s="19">
        <f>Mitigation_Industry!S$423-(Mitigation_Industry!S$423-Mitigation_Industry!S$413)*S$222</f>
        <v>13.5677269404465</v>
      </c>
      <c r="T230" s="19">
        <f>Mitigation_Industry!T$423-(Mitigation_Industry!T$423-Mitigation_Industry!T$413)*T$222</f>
        <v>13.5677269404465</v>
      </c>
      <c r="U230" s="19">
        <f>Mitigation_Industry!U$423-(Mitigation_Industry!U$423-Mitigation_Industry!U$413)*U$222</f>
        <v>13.5677269404465</v>
      </c>
      <c r="V230" s="19">
        <f>Mitigation_Industry!V$423-(Mitigation_Industry!V$423-Mitigation_Industry!V$413)*V$222</f>
        <v>13.5677269404465</v>
      </c>
      <c r="W230" s="19">
        <f>Mitigation_Industry!W$423-(Mitigation_Industry!W$423-Mitigation_Industry!W$413)*W$222</f>
        <v>13.5677269404465</v>
      </c>
      <c r="X230" s="19">
        <f>Mitigation_Industry!X$423-(Mitigation_Industry!X$423-Mitigation_Industry!X$413)*X$222</f>
        <v>13.5677269404465</v>
      </c>
      <c r="Y230" s="19">
        <f>Mitigation_Industry!Y$423-(Mitigation_Industry!Y$423-Mitigation_Industry!Y$413)*Y$222</f>
        <v>13.5677269404465</v>
      </c>
      <c r="Z230" s="19">
        <f>Mitigation_Industry!Z$423-(Mitigation_Industry!Z$423-Mitigation_Industry!Z$413)*Z$222</f>
        <v>13.5677269404465</v>
      </c>
      <c r="AA230" s="19">
        <f>Mitigation_Industry!AA$423-(Mitigation_Industry!AA$423-Mitigation_Industry!AA$413)*AA$222</f>
        <v>13.5677269404465</v>
      </c>
      <c r="AB230" s="19">
        <f>Mitigation_Industry!AB$423-(Mitigation_Industry!AB$423-Mitigation_Industry!AB$413)*AB$222</f>
        <v>13.5677269404465</v>
      </c>
      <c r="AC230" s="19">
        <f>Mitigation_Industry!AC$423-(Mitigation_Industry!AC$423-Mitigation_Industry!AC$413)*AC$222</f>
        <v>13.5677269404465</v>
      </c>
      <c r="AD230" s="19">
        <f>Mitigation_Industry!AD$423-(Mitigation_Industry!AD$423-Mitigation_Industry!AD$413)*AD$222</f>
        <v>13.5677269404465</v>
      </c>
      <c r="AE230" s="19">
        <f>Mitigation_Industry!AE$423-(Mitigation_Industry!AE$423-Mitigation_Industry!AE$413)*AE$222</f>
        <v>13.5677269404465</v>
      </c>
    </row>
    <row r="231" spans="1:35" customFormat="1" ht="14.25" x14ac:dyDescent="0.45">
      <c r="B231" s="14" t="s">
        <v>69</v>
      </c>
      <c r="C231" s="14" t="s">
        <v>43</v>
      </c>
      <c r="D231" s="15" t="s">
        <v>2178</v>
      </c>
      <c r="E231" s="16" t="s">
        <v>71</v>
      </c>
      <c r="F231" s="14" t="s">
        <v>2162</v>
      </c>
      <c r="G231" s="17"/>
      <c r="H231" s="114" t="str">
        <f>Settings!$B$3&amp;".mit.atpn.irn.ren.e.2"</f>
        <v>egy.mit.atpn.irn.ren.e.2</v>
      </c>
      <c r="I231" t="s">
        <v>2227</v>
      </c>
      <c r="K231" s="18"/>
      <c r="L231" s="19">
        <f>Mitigation_Industry!L$424-(Mitigation_Industry!L$424-Mitigation_Industry!L$414)*L$222</f>
        <v>0.14404498679319799</v>
      </c>
      <c r="M231" s="19">
        <f>Mitigation_Industry!M$424-(Mitigation_Industry!M$424-Mitigation_Industry!M$414)*M$222</f>
        <v>0.141386241751359</v>
      </c>
      <c r="N231" s="19">
        <f>Mitigation_Industry!N$424-(Mitigation_Industry!N$424-Mitigation_Industry!N$414)*N$222</f>
        <v>0.13539756544373099</v>
      </c>
      <c r="O231" s="19">
        <f>Mitigation_Industry!O$424-(Mitigation_Industry!O$424-Mitigation_Industry!O$414)*O$222</f>
        <v>0.13152288542065099</v>
      </c>
      <c r="P231" s="19">
        <f>Mitigation_Industry!P$424-(Mitigation_Industry!P$424-Mitigation_Industry!P$414)*P$222</f>
        <v>0.12882610848523099</v>
      </c>
      <c r="Q231" s="19">
        <f>Mitigation_Industry!Q$424-(Mitigation_Industry!Q$424-Mitigation_Industry!Q$414)*Q$222</f>
        <v>0.12594200976473999</v>
      </c>
      <c r="R231" s="19">
        <f>Mitigation_Industry!R$424-(Mitigation_Industry!R$424-Mitigation_Industry!R$414)*R$222</f>
        <v>0.123113265701861</v>
      </c>
      <c r="S231" s="19">
        <f>Mitigation_Industry!S$424-(Mitigation_Industry!S$424-Mitigation_Industry!S$414)*S$222</f>
        <v>0.119391738089068</v>
      </c>
      <c r="T231" s="19">
        <f>Mitigation_Industry!T$424-(Mitigation_Industry!T$424-Mitigation_Industry!T$414)*T$222</f>
        <v>0.11554419046792</v>
      </c>
      <c r="U231" s="19">
        <f>Mitigation_Industry!U$424-(Mitigation_Industry!U$424-Mitigation_Industry!U$414)*U$222</f>
        <v>0.11492423065415899</v>
      </c>
      <c r="V231" s="19">
        <f>Mitigation_Industry!V$424-(Mitigation_Industry!V$424-Mitigation_Industry!V$414)*V$222</f>
        <v>0.114346912116736</v>
      </c>
      <c r="W231" s="19">
        <f>Mitigation_Industry!W$424-(Mitigation_Industry!W$424-Mitigation_Industry!W$414)*W$222</f>
        <v>0.113738711172664</v>
      </c>
      <c r="X231" s="19">
        <f>Mitigation_Industry!X$424-(Mitigation_Industry!X$424-Mitigation_Industry!X$414)*X$222</f>
        <v>0.112999900487521</v>
      </c>
      <c r="Y231" s="19">
        <f>Mitigation_Industry!Y$424-(Mitigation_Industry!Y$424-Mitigation_Industry!Y$414)*Y$222</f>
        <v>0.112177685835534</v>
      </c>
      <c r="Z231" s="19">
        <f>Mitigation_Industry!Z$424-(Mitigation_Industry!Z$424-Mitigation_Industry!Z$414)*Z$222</f>
        <v>0.111417903250404</v>
      </c>
      <c r="AA231" s="19">
        <f>Mitigation_Industry!AA$424-(Mitigation_Industry!AA$424-Mitigation_Industry!AA$414)*AA$222</f>
        <v>0.11052581998545399</v>
      </c>
      <c r="AB231" s="19">
        <f>Mitigation_Industry!AB$424-(Mitigation_Industry!AB$424-Mitigation_Industry!AB$414)*AB$222</f>
        <v>0.109699565234896</v>
      </c>
      <c r="AC231" s="19">
        <f>Mitigation_Industry!AC$424-(Mitigation_Industry!AC$424-Mitigation_Industry!AC$414)*AC$222</f>
        <v>0.10772678896394899</v>
      </c>
      <c r="AD231" s="19">
        <f>Mitigation_Industry!AD$424-(Mitigation_Industry!AD$424-Mitigation_Industry!AD$414)*AD$222</f>
        <v>0.10582092445093499</v>
      </c>
      <c r="AE231" s="19">
        <f>Mitigation_Industry!AE$424-(Mitigation_Industry!AE$424-Mitigation_Industry!AE$414)*AE$222</f>
        <v>0.103855595705721</v>
      </c>
    </row>
    <row r="233" spans="1:35" customFormat="1" ht="14.25" x14ac:dyDescent="0.45">
      <c r="A233" s="11"/>
      <c r="B233" s="6"/>
      <c r="C233" s="7" t="s">
        <v>113</v>
      </c>
      <c r="D233" s="6" t="s">
        <v>1505</v>
      </c>
      <c r="E233" s="7" t="s">
        <v>35</v>
      </c>
      <c r="F233" s="7" t="s">
        <v>45</v>
      </c>
      <c r="G233" s="7" t="s">
        <v>37</v>
      </c>
      <c r="H233" s="12" t="s">
        <v>38</v>
      </c>
      <c r="I233" s="6" t="s">
        <v>39</v>
      </c>
      <c r="J233" s="48">
        <v>2</v>
      </c>
      <c r="K233" s="6">
        <v>2021</v>
      </c>
      <c r="L233" s="46">
        <v>2022</v>
      </c>
      <c r="M233" s="6">
        <v>2023</v>
      </c>
      <c r="N233" s="6">
        <v>2024</v>
      </c>
      <c r="O233" s="6">
        <v>2025</v>
      </c>
      <c r="P233" s="6">
        <v>2026</v>
      </c>
      <c r="Q233" s="6">
        <v>2027</v>
      </c>
      <c r="R233" s="6">
        <v>2028</v>
      </c>
      <c r="S233" s="6">
        <v>2029</v>
      </c>
      <c r="T233" s="6">
        <v>2030</v>
      </c>
      <c r="U233" s="6">
        <v>2031</v>
      </c>
      <c r="V233" s="6">
        <v>2032</v>
      </c>
      <c r="W233" s="6">
        <v>2033</v>
      </c>
      <c r="X233" s="6">
        <v>2034</v>
      </c>
      <c r="Y233" s="6">
        <v>2035</v>
      </c>
      <c r="Z233" s="6">
        <v>2036</v>
      </c>
      <c r="AA233" s="6">
        <v>2037</v>
      </c>
      <c r="AB233" s="6">
        <v>2038</v>
      </c>
      <c r="AC233" s="6">
        <v>2039</v>
      </c>
      <c r="AD233" s="6">
        <v>2040</v>
      </c>
      <c r="AE233" s="6">
        <v>2041</v>
      </c>
      <c r="AF233" s="6">
        <v>2042</v>
      </c>
      <c r="AG233" s="6">
        <v>2043</v>
      </c>
      <c r="AH233" s="6">
        <v>2044</v>
      </c>
      <c r="AI233" s="6">
        <v>2045</v>
      </c>
    </row>
    <row r="234" spans="1:35" customFormat="1" ht="14.25" x14ac:dyDescent="0.45">
      <c r="B234" s="14" t="s">
        <v>110</v>
      </c>
      <c r="C234" s="14" t="s">
        <v>113</v>
      </c>
      <c r="D234" s="25" t="s">
        <v>2154</v>
      </c>
      <c r="E234" s="16" t="s">
        <v>1871</v>
      </c>
      <c r="F234" s="14" t="s">
        <v>2143</v>
      </c>
      <c r="H234" s="114" t="str">
        <f>Settings!$B$3&amp;".mit.obr.ind.cem.2"</f>
        <v>egy.mit.obr.ind.cem.2</v>
      </c>
      <c r="I234" t="s">
        <v>2180</v>
      </c>
      <c r="L234" s="116">
        <f t="shared" ref="L234:AE234" si="62">L$212</f>
        <v>0</v>
      </c>
      <c r="M234" s="116">
        <f t="shared" si="62"/>
        <v>0</v>
      </c>
      <c r="N234" s="116">
        <f t="shared" si="62"/>
        <v>0</v>
      </c>
      <c r="O234" s="116">
        <f t="shared" si="62"/>
        <v>0</v>
      </c>
      <c r="P234" s="116">
        <f t="shared" si="62"/>
        <v>0</v>
      </c>
      <c r="Q234" s="116">
        <f t="shared" si="62"/>
        <v>0</v>
      </c>
      <c r="R234" s="116">
        <f t="shared" si="62"/>
        <v>0</v>
      </c>
      <c r="S234" s="116">
        <f t="shared" si="62"/>
        <v>0</v>
      </c>
      <c r="T234" s="116">
        <f t="shared" si="62"/>
        <v>0</v>
      </c>
      <c r="U234" s="116">
        <f t="shared" si="62"/>
        <v>0</v>
      </c>
      <c r="V234" s="116">
        <f t="shared" si="62"/>
        <v>0</v>
      </c>
      <c r="W234" s="116">
        <f t="shared" si="62"/>
        <v>0</v>
      </c>
      <c r="X234" s="116">
        <f t="shared" si="62"/>
        <v>0</v>
      </c>
      <c r="Y234" s="116">
        <f t="shared" si="62"/>
        <v>0</v>
      </c>
      <c r="Z234" s="116">
        <f t="shared" si="62"/>
        <v>0</v>
      </c>
      <c r="AA234" s="116">
        <f t="shared" si="62"/>
        <v>0</v>
      </c>
      <c r="AB234" s="116">
        <f t="shared" si="62"/>
        <v>0</v>
      </c>
      <c r="AC234" s="116">
        <f t="shared" si="62"/>
        <v>0</v>
      </c>
      <c r="AD234" s="116">
        <f t="shared" si="62"/>
        <v>0</v>
      </c>
      <c r="AE234" s="116">
        <f t="shared" si="62"/>
        <v>0</v>
      </c>
    </row>
    <row r="235" spans="1:35" customFormat="1" ht="14.25" x14ac:dyDescent="0.45">
      <c r="B235" s="14" t="s">
        <v>110</v>
      </c>
      <c r="C235" s="14" t="s">
        <v>113</v>
      </c>
      <c r="D235" s="25" t="s">
        <v>2156</v>
      </c>
      <c r="E235" s="16" t="s">
        <v>1871</v>
      </c>
      <c r="F235" s="14" t="s">
        <v>2157</v>
      </c>
      <c r="H235" s="114" t="str">
        <f>Settings!$B$3&amp;".mit.ccf.ind.cem.2"</f>
        <v>egy.mit.ccf.ind.cem.2</v>
      </c>
      <c r="L235" s="116">
        <f>L$162*Mitigation_Industry!L$678/1000</f>
        <v>0</v>
      </c>
      <c r="M235" s="116">
        <f>M$162*Mitigation_Industry!M$678/1000</f>
        <v>0</v>
      </c>
      <c r="N235" s="116">
        <f>N$162*Mitigation_Industry!N$678/1000</f>
        <v>0</v>
      </c>
      <c r="O235" s="116">
        <f>O$162*Mitigation_Industry!O$678/1000</f>
        <v>0</v>
      </c>
      <c r="P235" s="116">
        <f>P$162*Mitigation_Industry!P$678/1000</f>
        <v>0</v>
      </c>
      <c r="Q235" s="116">
        <f>Q$162*Mitigation_Industry!Q$678/1000</f>
        <v>198.62121046068742</v>
      </c>
      <c r="R235" s="116">
        <f>R$162*Mitigation_Industry!R$678/1000</f>
        <v>410.3514208117802</v>
      </c>
      <c r="S235" s="116">
        <f>S$162*Mitigation_Industry!S$678/1000</f>
        <v>635.83952654785332</v>
      </c>
      <c r="T235" s="116">
        <f>T$162*Mitigation_Industry!T$678/1000</f>
        <v>875.76297456524333</v>
      </c>
      <c r="U235" s="116">
        <f>U$162*Mitigation_Industry!U$678/1000</f>
        <v>1130.8289409073705</v>
      </c>
      <c r="V235" s="116">
        <f>V$162*Mitigation_Industry!V$678/1000</f>
        <v>1401.7755551487762</v>
      </c>
      <c r="W235" s="116">
        <f>W$162*Mitigation_Industry!W$678/1000</f>
        <v>1689.3731732134668</v>
      </c>
      <c r="X235" s="116">
        <f>X$162*Mitigation_Industry!X$678/1000</f>
        <v>1994.4257004908693</v>
      </c>
      <c r="Y235" s="116">
        <f>Y$162*Mitigation_Industry!Y$678/1000</f>
        <v>2317.7719671829518</v>
      </c>
      <c r="Z235" s="116">
        <f>Z$162*Mitigation_Industry!Z$678/1000</f>
        <v>2660.2871578888767</v>
      </c>
      <c r="AA235" s="116">
        <f>AA$162*Mitigation_Industry!AA$678/1000</f>
        <v>3022.8842975091306</v>
      </c>
      <c r="AB235" s="116">
        <f>AB$162*Mitigation_Industry!AB$678/1000</f>
        <v>3406.5157956293797</v>
      </c>
      <c r="AC235" s="116">
        <f>AC$162*Mitigation_Industry!AC$678/1000</f>
        <v>3812.1750516255784</v>
      </c>
      <c r="AD235" s="116">
        <f>AD$162*Mitigation_Industry!AD$678/1000</f>
        <v>4240.8981228160847</v>
      </c>
      <c r="AE235" s="116">
        <f>AE$162*Mitigation_Industry!AE$678/1000</f>
        <v>4693.7654580739454</v>
      </c>
    </row>
    <row r="236" spans="1:35" customFormat="1" ht="14.25" x14ac:dyDescent="0.45">
      <c r="B236" s="14" t="s">
        <v>110</v>
      </c>
      <c r="C236" s="14" t="s">
        <v>113</v>
      </c>
      <c r="D236" s="25" t="s">
        <v>2158</v>
      </c>
      <c r="E236" s="16" t="s">
        <v>79</v>
      </c>
      <c r="F236" s="14" t="s">
        <v>2159</v>
      </c>
      <c r="H236" s="114" t="str">
        <f>Settings!$B$3&amp;".mit.rsh.ind.cem.2"</f>
        <v>egy.mit.rsh.ind.cem.2</v>
      </c>
      <c r="I236" t="s">
        <v>2160</v>
      </c>
      <c r="L236" s="116">
        <f t="shared" ref="L236:AE236" si="63">IF(L$235&lt;=0,0,MIN(1,L$234/L$235))</f>
        <v>0</v>
      </c>
      <c r="M236" s="116">
        <f t="shared" si="63"/>
        <v>0</v>
      </c>
      <c r="N236" s="116">
        <f t="shared" si="63"/>
        <v>0</v>
      </c>
      <c r="O236" s="116">
        <f t="shared" si="63"/>
        <v>0</v>
      </c>
      <c r="P236" s="116">
        <f t="shared" si="63"/>
        <v>0</v>
      </c>
      <c r="Q236" s="116">
        <f t="shared" si="63"/>
        <v>0</v>
      </c>
      <c r="R236" s="116">
        <f t="shared" si="63"/>
        <v>0</v>
      </c>
      <c r="S236" s="116">
        <f t="shared" si="63"/>
        <v>0</v>
      </c>
      <c r="T236" s="116">
        <f t="shared" si="63"/>
        <v>0</v>
      </c>
      <c r="U236" s="116">
        <f t="shared" si="63"/>
        <v>0</v>
      </c>
      <c r="V236" s="116">
        <f t="shared" si="63"/>
        <v>0</v>
      </c>
      <c r="W236" s="116">
        <f t="shared" si="63"/>
        <v>0</v>
      </c>
      <c r="X236" s="116">
        <f t="shared" si="63"/>
        <v>0</v>
      </c>
      <c r="Y236" s="116">
        <f t="shared" si="63"/>
        <v>0</v>
      </c>
      <c r="Z236" s="116">
        <f t="shared" si="63"/>
        <v>0</v>
      </c>
      <c r="AA236" s="116">
        <f t="shared" si="63"/>
        <v>0</v>
      </c>
      <c r="AB236" s="116">
        <f t="shared" si="63"/>
        <v>0</v>
      </c>
      <c r="AC236" s="116">
        <f t="shared" si="63"/>
        <v>0</v>
      </c>
      <c r="AD236" s="116">
        <f t="shared" si="63"/>
        <v>0</v>
      </c>
      <c r="AE236" s="116">
        <f t="shared" si="63"/>
        <v>0</v>
      </c>
    </row>
    <row r="237" spans="1:35" customFormat="1" ht="14.25" x14ac:dyDescent="0.45">
      <c r="B237" s="14" t="s">
        <v>49</v>
      </c>
      <c r="C237" s="14" t="s">
        <v>113</v>
      </c>
      <c r="D237" s="15" t="s">
        <v>2161</v>
      </c>
      <c r="E237" s="16" t="s">
        <v>51</v>
      </c>
      <c r="F237" s="14" t="s">
        <v>2162</v>
      </c>
      <c r="G237" s="17"/>
      <c r="H237" s="114" t="str">
        <f>Settings!$B$3&amp;".mit.atpn.cem.coa.e.2"</f>
        <v>egy.mit.atpn.cem.coa.e.2</v>
      </c>
      <c r="I237" t="s">
        <v>2228</v>
      </c>
      <c r="K237" s="18"/>
      <c r="L237" s="19">
        <f>Mitigation_Industry!L$476-(Mitigation_Industry!L$476-Mitigation_Industry!L$466)*L$236</f>
        <v>10.5233613454312</v>
      </c>
      <c r="M237" s="19">
        <f>Mitigation_Industry!M$476-(Mitigation_Industry!M$476-Mitigation_Industry!M$466)*M$236</f>
        <v>10.2995608274442</v>
      </c>
      <c r="N237" s="19">
        <f>Mitigation_Industry!N$476-(Mitigation_Industry!N$476-Mitigation_Industry!N$466)*N$236</f>
        <v>9.5775283595382597</v>
      </c>
      <c r="O237" s="19">
        <f>Mitigation_Industry!O$476-(Mitigation_Industry!O$476-Mitigation_Industry!O$466)*O$236</f>
        <v>8.4854782869580507</v>
      </c>
      <c r="P237" s="19">
        <f>Mitigation_Industry!P$476-(Mitigation_Industry!P$476-Mitigation_Industry!P$466)*P$236</f>
        <v>9.0871922352498604</v>
      </c>
      <c r="Q237" s="19">
        <f>Mitigation_Industry!Q$476-(Mitigation_Industry!Q$476-Mitigation_Industry!Q$466)*Q$236</f>
        <v>10.472923728932679</v>
      </c>
      <c r="R237" s="19">
        <f>Mitigation_Industry!R$476-(Mitigation_Industry!R$476-Mitigation_Industry!R$466)*R$236</f>
        <v>11.658564955509689</v>
      </c>
      <c r="S237" s="19">
        <f>Mitigation_Industry!S$476-(Mitigation_Industry!S$476-Mitigation_Industry!S$466)*S$236</f>
        <v>12.839547877397379</v>
      </c>
      <c r="T237" s="19">
        <f>Mitigation_Industry!T$476-(Mitigation_Industry!T$476-Mitigation_Industry!T$466)*T$236</f>
        <v>14.01568166602283</v>
      </c>
      <c r="U237" s="19">
        <f>Mitigation_Industry!U$476-(Mitigation_Industry!U$476-Mitigation_Industry!U$466)*U$236</f>
        <v>15.19439776555711</v>
      </c>
      <c r="V237" s="19">
        <f>Mitigation_Industry!V$476-(Mitigation_Industry!V$476-Mitigation_Industry!V$466)*V$236</f>
        <v>16.44439776555711</v>
      </c>
      <c r="W237" s="19">
        <f>Mitigation_Industry!W$476-(Mitigation_Industry!W$476-Mitigation_Industry!W$466)*W$236</f>
        <v>17.69439776555711</v>
      </c>
      <c r="X237" s="19">
        <f>Mitigation_Industry!X$476-(Mitigation_Industry!X$476-Mitigation_Industry!X$466)*X$236</f>
        <v>18.94439776555711</v>
      </c>
      <c r="Y237" s="19">
        <f>Mitigation_Industry!Y$476-(Mitigation_Industry!Y$476-Mitigation_Industry!Y$466)*Y$236</f>
        <v>20.19439776555711</v>
      </c>
      <c r="Z237" s="19">
        <f>Mitigation_Industry!Z$476-(Mitigation_Industry!Z$476-Mitigation_Industry!Z$466)*Z$236</f>
        <v>21.44439776555711</v>
      </c>
      <c r="AA237" s="19">
        <f>Mitigation_Industry!AA$476-(Mitigation_Industry!AA$476-Mitigation_Industry!AA$466)*AA$236</f>
        <v>22.69439776555711</v>
      </c>
      <c r="AB237" s="19">
        <f>Mitigation_Industry!AB$476-(Mitigation_Industry!AB$476-Mitigation_Industry!AB$466)*AB$236</f>
        <v>23.94439776555711</v>
      </c>
      <c r="AC237" s="19">
        <f>Mitigation_Industry!AC$476-(Mitigation_Industry!AC$476-Mitigation_Industry!AC$466)*AC$236</f>
        <v>25.19439776555711</v>
      </c>
      <c r="AD237" s="19">
        <f>Mitigation_Industry!AD$476-(Mitigation_Industry!AD$476-Mitigation_Industry!AD$466)*AD$236</f>
        <v>26.44439776555711</v>
      </c>
      <c r="AE237" s="19">
        <f>Mitigation_Industry!AE$476-(Mitigation_Industry!AE$476-Mitigation_Industry!AE$466)*AE$236</f>
        <v>27.69439776555711</v>
      </c>
    </row>
    <row r="238" spans="1:35" customFormat="1" ht="14.25" x14ac:dyDescent="0.45">
      <c r="B238" s="14" t="s">
        <v>53</v>
      </c>
      <c r="C238" s="14" t="s">
        <v>113</v>
      </c>
      <c r="D238" s="15" t="s">
        <v>2164</v>
      </c>
      <c r="E238" s="16" t="s">
        <v>51</v>
      </c>
      <c r="F238" s="14" t="s">
        <v>2162</v>
      </c>
      <c r="G238" s="17"/>
      <c r="H238" s="114" t="str">
        <f>Settings!$B$3&amp;".mit.atpn.cem.nga.e.2"</f>
        <v>egy.mit.atpn.cem.nga.e.2</v>
      </c>
      <c r="I238" t="s">
        <v>2229</v>
      </c>
      <c r="K238" s="18"/>
      <c r="L238" s="19">
        <f>Mitigation_Industry!L$477-(Mitigation_Industry!L$477-Mitigation_Industry!L$467)*L$236</f>
        <v>5.4510150816191896</v>
      </c>
      <c r="M238" s="19">
        <f>Mitigation_Industry!M$477-(Mitigation_Industry!M$477-Mitigation_Industry!M$467)*M$236</f>
        <v>5.1193563062624801</v>
      </c>
      <c r="N238" s="19">
        <f>Mitigation_Industry!N$477-(Mitigation_Industry!N$477-Mitigation_Industry!N$467)*N$236</f>
        <v>5.08218458640407</v>
      </c>
      <c r="O238" s="19">
        <f>Mitigation_Industry!O$477-(Mitigation_Industry!O$477-Mitigation_Industry!O$467)*O$236</f>
        <v>5.08218458640407</v>
      </c>
      <c r="P238" s="19">
        <f>Mitigation_Industry!P$477-(Mitigation_Industry!P$477-Mitigation_Industry!P$467)*P$236</f>
        <v>5.08218458640407</v>
      </c>
      <c r="Q238" s="19">
        <f>Mitigation_Industry!Q$477-(Mitigation_Industry!Q$477-Mitigation_Industry!Q$467)*Q$236</f>
        <v>5.7796845864040698</v>
      </c>
      <c r="R238" s="19">
        <f>Mitigation_Industry!R$477-(Mitigation_Industry!R$477-Mitigation_Industry!R$467)*R$236</f>
        <v>6.4771845864040696</v>
      </c>
      <c r="S238" s="19">
        <f>Mitigation_Industry!S$477-(Mitigation_Industry!S$477-Mitigation_Industry!S$467)*S$236</f>
        <v>7.1746845864040703</v>
      </c>
      <c r="T238" s="19">
        <f>Mitigation_Industry!T$477-(Mitigation_Industry!T$477-Mitigation_Industry!T$467)*T$236</f>
        <v>7.87218458640407</v>
      </c>
      <c r="U238" s="19">
        <f>Mitigation_Industry!U$477-(Mitigation_Industry!U$477-Mitigation_Industry!U$467)*U$236</f>
        <v>8.5696845864040707</v>
      </c>
      <c r="V238" s="19">
        <f>Mitigation_Industry!V$477-(Mitigation_Industry!V$477-Mitigation_Industry!V$467)*V$236</f>
        <v>9.2671845864040705</v>
      </c>
      <c r="W238" s="19">
        <f>Mitigation_Industry!W$477-(Mitigation_Industry!W$477-Mitigation_Industry!W$467)*W$236</f>
        <v>9.9646845864040703</v>
      </c>
      <c r="X238" s="19">
        <f>Mitigation_Industry!X$477-(Mitigation_Industry!X$477-Mitigation_Industry!X$467)*X$236</f>
        <v>10.66218458640407</v>
      </c>
      <c r="Y238" s="19">
        <f>Mitigation_Industry!Y$477-(Mitigation_Industry!Y$477-Mitigation_Industry!Y$467)*Y$236</f>
        <v>11.35968458640407</v>
      </c>
      <c r="Z238" s="19">
        <f>Mitigation_Industry!Z$477-(Mitigation_Industry!Z$477-Mitigation_Industry!Z$467)*Z$236</f>
        <v>12.05718458640407</v>
      </c>
      <c r="AA238" s="19">
        <f>Mitigation_Industry!AA$477-(Mitigation_Industry!AA$477-Mitigation_Industry!AA$467)*AA$236</f>
        <v>12.754684586404071</v>
      </c>
      <c r="AB238" s="19">
        <f>Mitigation_Industry!AB$477-(Mitigation_Industry!AB$477-Mitigation_Industry!AB$467)*AB$236</f>
        <v>13.452184586404071</v>
      </c>
      <c r="AC238" s="19">
        <f>Mitigation_Industry!AC$477-(Mitigation_Industry!AC$477-Mitigation_Industry!AC$467)*AC$236</f>
        <v>14.149684586404071</v>
      </c>
      <c r="AD238" s="19">
        <f>Mitigation_Industry!AD$477-(Mitigation_Industry!AD$477-Mitigation_Industry!AD$467)*AD$236</f>
        <v>14.847184586404071</v>
      </c>
      <c r="AE238" s="19">
        <f>Mitigation_Industry!AE$477-(Mitigation_Industry!AE$477-Mitigation_Industry!AE$467)*AE$236</f>
        <v>15.54468458640407</v>
      </c>
    </row>
    <row r="239" spans="1:35" customFormat="1" ht="14.25" x14ac:dyDescent="0.45">
      <c r="B239" s="14" t="s">
        <v>55</v>
      </c>
      <c r="C239" s="14" t="s">
        <v>113</v>
      </c>
      <c r="D239" s="15" t="s">
        <v>2166</v>
      </c>
      <c r="E239" s="16" t="s">
        <v>57</v>
      </c>
      <c r="F239" s="14" t="s">
        <v>2162</v>
      </c>
      <c r="G239" s="17"/>
      <c r="H239" s="114" t="str">
        <f>Settings!$B$3&amp;".mit.atpn.cem.gso.e.2"</f>
        <v>egy.mit.atpn.cem.gso.e.2</v>
      </c>
      <c r="I239" t="s">
        <v>2230</v>
      </c>
      <c r="K239" s="18"/>
      <c r="L239" s="19">
        <f>Mitigation_Industry!L$478-(Mitigation_Industry!L$478-Mitigation_Industry!L$468)*L$236</f>
        <v>0.61197797679140598</v>
      </c>
      <c r="M239" s="19">
        <f>Mitigation_Industry!M$478-(Mitigation_Industry!M$478-Mitigation_Industry!M$468)*M$236</f>
        <v>0.61180974964187596</v>
      </c>
      <c r="N239" s="19">
        <f>Mitigation_Industry!N$478-(Mitigation_Industry!N$478-Mitigation_Industry!N$468)*N$236</f>
        <v>0.60358310017790595</v>
      </c>
      <c r="O239" s="19">
        <f>Mitigation_Industry!O$478-(Mitigation_Industry!O$478-Mitigation_Industry!O$468)*O$236</f>
        <v>0.60358310017790595</v>
      </c>
      <c r="P239" s="19">
        <f>Mitigation_Industry!P$478-(Mitigation_Industry!P$478-Mitigation_Industry!P$468)*P$236</f>
        <v>0.60358310017790595</v>
      </c>
      <c r="Q239" s="19">
        <f>Mitigation_Industry!Q$478-(Mitigation_Industry!Q$478-Mitigation_Industry!Q$468)*Q$236</f>
        <v>0.63251094334940594</v>
      </c>
      <c r="R239" s="19">
        <f>Mitigation_Industry!R$478-(Mitigation_Industry!R$478-Mitigation_Industry!R$468)*R$236</f>
        <v>0.66143878652090593</v>
      </c>
      <c r="S239" s="19">
        <f>Mitigation_Industry!S$478-(Mitigation_Industry!S$478-Mitigation_Industry!S$468)*S$236</f>
        <v>0.69036662969240592</v>
      </c>
      <c r="T239" s="19">
        <f>Mitigation_Industry!T$478-(Mitigation_Industry!T$478-Mitigation_Industry!T$468)*T$236</f>
        <v>0.71929447286390591</v>
      </c>
      <c r="U239" s="19">
        <f>Mitigation_Industry!U$478-(Mitigation_Industry!U$478-Mitigation_Industry!U$468)*U$236</f>
        <v>0.74822231603540601</v>
      </c>
      <c r="V239" s="19">
        <f>Mitigation_Industry!V$478-(Mitigation_Industry!V$478-Mitigation_Industry!V$468)*V$236</f>
        <v>0.777150159206906</v>
      </c>
      <c r="W239" s="19">
        <f>Mitigation_Industry!W$478-(Mitigation_Industry!W$478-Mitigation_Industry!W$468)*W$236</f>
        <v>0.80607800237840599</v>
      </c>
      <c r="X239" s="19">
        <f>Mitigation_Industry!X$478-(Mitigation_Industry!X$478-Mitigation_Industry!X$468)*X$236</f>
        <v>0.83500584554990598</v>
      </c>
      <c r="Y239" s="19">
        <f>Mitigation_Industry!Y$478-(Mitigation_Industry!Y$478-Mitigation_Industry!Y$468)*Y$236</f>
        <v>0.86393368872140597</v>
      </c>
      <c r="Z239" s="19">
        <f>Mitigation_Industry!Z$478-(Mitigation_Industry!Z$478-Mitigation_Industry!Z$468)*Z$236</f>
        <v>0.89286153189290596</v>
      </c>
      <c r="AA239" s="19">
        <f>Mitigation_Industry!AA$478-(Mitigation_Industry!AA$478-Mitigation_Industry!AA$468)*AA$236</f>
        <v>0.92178937506440595</v>
      </c>
      <c r="AB239" s="19">
        <f>Mitigation_Industry!AB$478-(Mitigation_Industry!AB$478-Mitigation_Industry!AB$468)*AB$236</f>
        <v>0.95071721823590605</v>
      </c>
      <c r="AC239" s="19">
        <f>Mitigation_Industry!AC$478-(Mitigation_Industry!AC$478-Mitigation_Industry!AC$468)*AC$236</f>
        <v>0.97964506140740593</v>
      </c>
      <c r="AD239" s="19">
        <f>Mitigation_Industry!AD$478-(Mitigation_Industry!AD$478-Mitigation_Industry!AD$468)*AD$236</f>
        <v>1.008572904578906</v>
      </c>
      <c r="AE239" s="19">
        <f>Mitigation_Industry!AE$478-(Mitigation_Industry!AE$478-Mitigation_Industry!AE$468)*AE$236</f>
        <v>1.0375007477504061</v>
      </c>
    </row>
    <row r="240" spans="1:35" customFormat="1" ht="14.25" x14ac:dyDescent="0.45">
      <c r="B240" s="14" t="s">
        <v>58</v>
      </c>
      <c r="C240" s="14" t="s">
        <v>113</v>
      </c>
      <c r="D240" s="15" t="s">
        <v>2168</v>
      </c>
      <c r="E240" s="16" t="s">
        <v>57</v>
      </c>
      <c r="F240" s="14" t="s">
        <v>2162</v>
      </c>
      <c r="G240" s="17"/>
      <c r="H240" s="114" t="str">
        <f>Settings!$B$3&amp;".mit.atpn.cem.die.e.2"</f>
        <v>egy.mit.atpn.cem.die.e.2</v>
      </c>
      <c r="I240" t="s">
        <v>2231</v>
      </c>
      <c r="K240" s="18"/>
      <c r="L240" s="19">
        <f>Mitigation_Industry!L$479-(Mitigation_Industry!L$479-Mitigation_Industry!L$469)*L$236</f>
        <v>0.49458873084106802</v>
      </c>
      <c r="M240" s="19">
        <f>Mitigation_Industry!M$479-(Mitigation_Industry!M$479-Mitigation_Industry!M$469)*M$236</f>
        <v>0.50778654720250105</v>
      </c>
      <c r="N240" s="19">
        <f>Mitigation_Industry!N$479-(Mitigation_Industry!N$479-Mitigation_Industry!N$469)*N$236</f>
        <v>0.47043642679561698</v>
      </c>
      <c r="O240" s="19">
        <f>Mitigation_Industry!O$479-(Mitigation_Industry!O$479-Mitigation_Industry!O$469)*O$236</f>
        <v>0.47043642679561698</v>
      </c>
      <c r="P240" s="19">
        <f>Mitigation_Industry!P$479-(Mitigation_Industry!P$479-Mitigation_Industry!P$469)*P$236</f>
        <v>0.47043642679561698</v>
      </c>
      <c r="Q240" s="19">
        <f>Mitigation_Industry!Q$479-(Mitigation_Industry!Q$479-Mitigation_Industry!Q$469)*Q$236</f>
        <v>0.50344686565449193</v>
      </c>
      <c r="R240" s="19">
        <f>Mitigation_Industry!R$479-(Mitigation_Industry!R$479-Mitigation_Industry!R$469)*R$236</f>
        <v>0.53645730451336693</v>
      </c>
      <c r="S240" s="19">
        <f>Mitigation_Industry!S$479-(Mitigation_Industry!S$479-Mitigation_Industry!S$469)*S$236</f>
        <v>0.56946774337224193</v>
      </c>
      <c r="T240" s="19">
        <f>Mitigation_Industry!T$479-(Mitigation_Industry!T$479-Mitigation_Industry!T$469)*T$236</f>
        <v>0.60247818223111693</v>
      </c>
      <c r="U240" s="19">
        <f>Mitigation_Industry!U$479-(Mitigation_Industry!U$479-Mitigation_Industry!U$469)*U$236</f>
        <v>0.63548862108999193</v>
      </c>
      <c r="V240" s="19">
        <f>Mitigation_Industry!V$479-(Mitigation_Industry!V$479-Mitigation_Industry!V$469)*V$236</f>
        <v>0.66849905994886694</v>
      </c>
      <c r="W240" s="19">
        <f>Mitigation_Industry!W$479-(Mitigation_Industry!W$479-Mitigation_Industry!W$469)*W$236</f>
        <v>0.70150949880774194</v>
      </c>
      <c r="X240" s="19">
        <f>Mitigation_Industry!X$479-(Mitigation_Industry!X$479-Mitigation_Industry!X$469)*X$236</f>
        <v>0.73451993766661694</v>
      </c>
      <c r="Y240" s="19">
        <f>Mitigation_Industry!Y$479-(Mitigation_Industry!Y$479-Mitigation_Industry!Y$469)*Y$236</f>
        <v>0.76753037652549194</v>
      </c>
      <c r="Z240" s="19">
        <f>Mitigation_Industry!Z$479-(Mitigation_Industry!Z$479-Mitigation_Industry!Z$469)*Z$236</f>
        <v>0.80054081538436694</v>
      </c>
      <c r="AA240" s="19">
        <f>Mitigation_Industry!AA$479-(Mitigation_Industry!AA$479-Mitigation_Industry!AA$469)*AA$236</f>
        <v>0.83355125424324195</v>
      </c>
      <c r="AB240" s="19">
        <f>Mitigation_Industry!AB$479-(Mitigation_Industry!AB$479-Mitigation_Industry!AB$469)*AB$236</f>
        <v>0.86656169310211695</v>
      </c>
      <c r="AC240" s="19">
        <f>Mitigation_Industry!AC$479-(Mitigation_Industry!AC$479-Mitigation_Industry!AC$469)*AC$236</f>
        <v>0.89957213196099195</v>
      </c>
      <c r="AD240" s="19">
        <f>Mitigation_Industry!AD$479-(Mitigation_Industry!AD$479-Mitigation_Industry!AD$469)*AD$236</f>
        <v>0.93258257081986695</v>
      </c>
      <c r="AE240" s="19">
        <f>Mitigation_Industry!AE$479-(Mitigation_Industry!AE$479-Mitigation_Industry!AE$469)*AE$236</f>
        <v>0.96559300967874195</v>
      </c>
    </row>
    <row r="241" spans="1:35" customFormat="1" ht="14.25" x14ac:dyDescent="0.45">
      <c r="B241" s="14" t="s">
        <v>60</v>
      </c>
      <c r="C241" s="14" t="s">
        <v>113</v>
      </c>
      <c r="D241" s="15" t="s">
        <v>2170</v>
      </c>
      <c r="E241" s="16" t="s">
        <v>57</v>
      </c>
      <c r="F241" s="14" t="s">
        <v>2162</v>
      </c>
      <c r="G241" s="17"/>
      <c r="H241" s="114" t="str">
        <f>Settings!$B$3&amp;".mit.atpn.cem.lpg.e.2"</f>
        <v>egy.mit.atpn.cem.lpg.e.2</v>
      </c>
      <c r="I241" t="s">
        <v>2232</v>
      </c>
      <c r="K241" s="18"/>
      <c r="L241" s="19">
        <f>Mitigation_Industry!L$480-(Mitigation_Industry!L$480-Mitigation_Industry!L$470)*L$236</f>
        <v>0.15734473625227399</v>
      </c>
      <c r="M241" s="19">
        <f>Mitigation_Industry!M$480-(Mitigation_Industry!M$480-Mitigation_Industry!M$470)*M$236</f>
        <v>0.164484037759277</v>
      </c>
      <c r="N241" s="19">
        <f>Mitigation_Industry!N$480-(Mitigation_Industry!N$480-Mitigation_Industry!N$470)*N$236</f>
        <v>0.15070907780704901</v>
      </c>
      <c r="O241" s="19">
        <f>Mitigation_Industry!O$480-(Mitigation_Industry!O$480-Mitigation_Industry!O$470)*O$236</f>
        <v>0.15070907780704901</v>
      </c>
      <c r="P241" s="19">
        <f>Mitigation_Industry!P$480-(Mitigation_Industry!P$480-Mitigation_Industry!P$470)*P$236</f>
        <v>0.15070907780704901</v>
      </c>
      <c r="Q241" s="19">
        <f>Mitigation_Industry!Q$480-(Mitigation_Industry!Q$480-Mitigation_Industry!Q$470)*Q$236</f>
        <v>0.17281516073434466</v>
      </c>
      <c r="R241" s="19">
        <f>Mitigation_Industry!R$480-(Mitigation_Industry!R$480-Mitigation_Industry!R$470)*R$236</f>
        <v>0.19492124366164035</v>
      </c>
      <c r="S241" s="19">
        <f>Mitigation_Industry!S$480-(Mitigation_Industry!S$480-Mitigation_Industry!S$470)*S$236</f>
        <v>0.217027326588936</v>
      </c>
      <c r="T241" s="19">
        <f>Mitigation_Industry!T$480-(Mitigation_Industry!T$480-Mitigation_Industry!T$470)*T$236</f>
        <v>0.23913340951623169</v>
      </c>
      <c r="U241" s="19">
        <f>Mitigation_Industry!U$480-(Mitigation_Industry!U$480-Mitigation_Industry!U$470)*U$236</f>
        <v>0.26123949244352734</v>
      </c>
      <c r="V241" s="19">
        <f>Mitigation_Industry!V$480-(Mitigation_Industry!V$480-Mitigation_Industry!V$470)*V$236</f>
        <v>0.283345575370823</v>
      </c>
      <c r="W241" s="19">
        <f>Mitigation_Industry!W$480-(Mitigation_Industry!W$480-Mitigation_Industry!W$470)*W$236</f>
        <v>0.30545165829811871</v>
      </c>
      <c r="X241" s="19">
        <f>Mitigation_Industry!X$480-(Mitigation_Industry!X$480-Mitigation_Industry!X$470)*X$236</f>
        <v>0.32755774122541437</v>
      </c>
      <c r="Y241" s="19">
        <f>Mitigation_Industry!Y$480-(Mitigation_Industry!Y$480-Mitigation_Industry!Y$470)*Y$236</f>
        <v>0.34966382415271002</v>
      </c>
      <c r="Z241" s="19">
        <f>Mitigation_Industry!Z$480-(Mitigation_Industry!Z$480-Mitigation_Industry!Z$470)*Z$236</f>
        <v>0.37176990708000568</v>
      </c>
      <c r="AA241" s="19">
        <f>Mitigation_Industry!AA$480-(Mitigation_Industry!AA$480-Mitigation_Industry!AA$470)*AA$236</f>
        <v>0.39387599000730134</v>
      </c>
      <c r="AB241" s="19">
        <f>Mitigation_Industry!AB$480-(Mitigation_Industry!AB$480-Mitigation_Industry!AB$470)*AB$236</f>
        <v>0.41598207293459699</v>
      </c>
      <c r="AC241" s="19">
        <f>Mitigation_Industry!AC$480-(Mitigation_Industry!AC$480-Mitigation_Industry!AC$470)*AC$236</f>
        <v>0.4380881558618927</v>
      </c>
      <c r="AD241" s="19">
        <f>Mitigation_Industry!AD$480-(Mitigation_Industry!AD$480-Mitigation_Industry!AD$470)*AD$236</f>
        <v>0.46019423878918836</v>
      </c>
      <c r="AE241" s="19">
        <f>Mitigation_Industry!AE$480-(Mitigation_Industry!AE$480-Mitigation_Industry!AE$470)*AE$236</f>
        <v>0.48230032171648402</v>
      </c>
    </row>
    <row r="242" spans="1:35" customFormat="1" ht="14.25" x14ac:dyDescent="0.45">
      <c r="B242" s="14" t="s">
        <v>62</v>
      </c>
      <c r="C242" s="14" t="s">
        <v>113</v>
      </c>
      <c r="D242" s="15" t="s">
        <v>2172</v>
      </c>
      <c r="E242" s="16" t="s">
        <v>57</v>
      </c>
      <c r="F242" s="14" t="s">
        <v>2162</v>
      </c>
      <c r="G242" s="17"/>
      <c r="H242" s="114" t="str">
        <f>Settings!$B$3&amp;".mit.atpn.cem.ker.e.2"</f>
        <v>egy.mit.atpn.cem.ker.e.2</v>
      </c>
      <c r="I242" t="s">
        <v>2233</v>
      </c>
      <c r="K242" s="18"/>
      <c r="L242" s="19">
        <f>Mitigation_Industry!L$481-(Mitigation_Industry!L$481-Mitigation_Industry!L$471)*L$236</f>
        <v>0.45642817050012802</v>
      </c>
      <c r="M242" s="19">
        <f>Mitigation_Industry!M$481-(Mitigation_Industry!M$481-Mitigation_Industry!M$471)*M$236</f>
        <v>0.43168920195599497</v>
      </c>
      <c r="N242" s="19">
        <f>Mitigation_Industry!N$481-(Mitigation_Industry!N$481-Mitigation_Industry!N$471)*N$236</f>
        <v>0.42507558395597</v>
      </c>
      <c r="O242" s="19">
        <f>Mitigation_Industry!O$481-(Mitigation_Industry!O$481-Mitigation_Industry!O$471)*O$236</f>
        <v>0.42507558395597</v>
      </c>
      <c r="P242" s="19">
        <f>Mitigation_Industry!P$481-(Mitigation_Industry!P$481-Mitigation_Industry!P$471)*P$236</f>
        <v>0.42507558395597</v>
      </c>
      <c r="Q242" s="19">
        <f>Mitigation_Industry!Q$481-(Mitigation_Industry!Q$481-Mitigation_Industry!Q$471)*Q$236</f>
        <v>0.45706441406607845</v>
      </c>
      <c r="R242" s="19">
        <f>Mitigation_Industry!R$481-(Mitigation_Industry!R$481-Mitigation_Industry!R$471)*R$236</f>
        <v>0.48905324417618695</v>
      </c>
      <c r="S242" s="19">
        <f>Mitigation_Industry!S$481-(Mitigation_Industry!S$481-Mitigation_Industry!S$471)*S$236</f>
        <v>0.52104207428629534</v>
      </c>
      <c r="T242" s="19">
        <f>Mitigation_Industry!T$481-(Mitigation_Industry!T$481-Mitigation_Industry!T$471)*T$236</f>
        <v>0.5530309043964039</v>
      </c>
      <c r="U242" s="19">
        <f>Mitigation_Industry!U$481-(Mitigation_Industry!U$481-Mitigation_Industry!U$471)*U$236</f>
        <v>0.58501973450651235</v>
      </c>
      <c r="V242" s="19">
        <f>Mitigation_Industry!V$481-(Mitigation_Industry!V$481-Mitigation_Industry!V$471)*V$236</f>
        <v>0.61700856461662079</v>
      </c>
      <c r="W242" s="19">
        <f>Mitigation_Industry!W$481-(Mitigation_Industry!W$481-Mitigation_Industry!W$471)*W$236</f>
        <v>0.64899739472672924</v>
      </c>
      <c r="X242" s="19">
        <f>Mitigation_Industry!X$481-(Mitigation_Industry!X$481-Mitigation_Industry!X$471)*X$236</f>
        <v>0.68098622483683768</v>
      </c>
      <c r="Y242" s="19">
        <f>Mitigation_Industry!Y$481-(Mitigation_Industry!Y$481-Mitigation_Industry!Y$471)*Y$236</f>
        <v>0.71297505494694624</v>
      </c>
      <c r="Z242" s="19">
        <f>Mitigation_Industry!Z$481-(Mitigation_Industry!Z$481-Mitigation_Industry!Z$471)*Z$236</f>
        <v>0.74496388505705469</v>
      </c>
      <c r="AA242" s="19">
        <f>Mitigation_Industry!AA$481-(Mitigation_Industry!AA$481-Mitigation_Industry!AA$471)*AA$236</f>
        <v>0.77695271516716313</v>
      </c>
      <c r="AB242" s="19">
        <f>Mitigation_Industry!AB$481-(Mitigation_Industry!AB$481-Mitigation_Industry!AB$471)*AB$236</f>
        <v>0.80894154527727158</v>
      </c>
      <c r="AC242" s="19">
        <f>Mitigation_Industry!AC$481-(Mitigation_Industry!AC$481-Mitigation_Industry!AC$471)*AC$236</f>
        <v>0.84093037538738002</v>
      </c>
      <c r="AD242" s="19">
        <f>Mitigation_Industry!AD$481-(Mitigation_Industry!AD$481-Mitigation_Industry!AD$471)*AD$236</f>
        <v>0.87291920549748858</v>
      </c>
      <c r="AE242" s="19">
        <f>Mitigation_Industry!AE$481-(Mitigation_Industry!AE$481-Mitigation_Industry!AE$471)*AE$236</f>
        <v>0.90490803560759692</v>
      </c>
    </row>
    <row r="243" spans="1:35" customFormat="1" ht="14.25" x14ac:dyDescent="0.45">
      <c r="B243" s="14" t="s">
        <v>64</v>
      </c>
      <c r="C243" s="14" t="s">
        <v>113</v>
      </c>
      <c r="D243" s="15" t="s">
        <v>2174</v>
      </c>
      <c r="E243" s="16" t="s">
        <v>66</v>
      </c>
      <c r="F243" s="14" t="s">
        <v>2162</v>
      </c>
      <c r="G243" s="17"/>
      <c r="H243" s="114" t="str">
        <f>Settings!$B$3&amp;".mit.atpn.cem.oop.e.2"</f>
        <v>egy.mit.atpn.cem.oop.e.2</v>
      </c>
      <c r="I243" t="s">
        <v>2234</v>
      </c>
      <c r="K243" s="18"/>
      <c r="L243" s="19">
        <f>Mitigation_Industry!L$482-(Mitigation_Industry!L$482-Mitigation_Industry!L$472)*L$236</f>
        <v>34.4153703043132</v>
      </c>
      <c r="M243" s="19">
        <f>Mitigation_Industry!M$482-(Mitigation_Industry!M$482-Mitigation_Industry!M$472)*M$236</f>
        <v>37.368960690431997</v>
      </c>
      <c r="N243" s="19">
        <f>Mitigation_Industry!N$482-(Mitigation_Industry!N$482-Mitigation_Industry!N$472)*N$236</f>
        <v>28.982761101477301</v>
      </c>
      <c r="O243" s="19">
        <f>Mitigation_Industry!O$482-(Mitigation_Industry!O$482-Mitigation_Industry!O$472)*O$236</f>
        <v>15</v>
      </c>
      <c r="P243" s="19">
        <f>Mitigation_Industry!P$482-(Mitigation_Industry!P$482-Mitigation_Industry!P$472)*P$236</f>
        <v>24.2586300842555</v>
      </c>
      <c r="Q243" s="19">
        <f>Mitigation_Industry!Q$482-(Mitigation_Industry!Q$482-Mitigation_Industry!Q$472)*Q$236</f>
        <v>18.963758196132499</v>
      </c>
      <c r="R243" s="19">
        <f>Mitigation_Industry!R$482-(Mitigation_Industry!R$482-Mitigation_Industry!R$472)*R$236</f>
        <v>21.760345114010597</v>
      </c>
      <c r="S243" s="19">
        <f>Mitigation_Industry!S$482-(Mitigation_Industry!S$482-Mitigation_Industry!S$472)*S$236</f>
        <v>26.079880691373621</v>
      </c>
      <c r="T243" s="19">
        <f>Mitigation_Industry!T$482-(Mitigation_Industry!T$482-Mitigation_Industry!T$472)*T$236</f>
        <v>30.593682445209218</v>
      </c>
      <c r="U243" s="19">
        <f>Mitigation_Industry!U$482-(Mitigation_Industry!U$482-Mitigation_Industry!U$472)*U$236</f>
        <v>34.990509739410058</v>
      </c>
      <c r="V243" s="19">
        <f>Mitigation_Industry!V$482-(Mitigation_Industry!V$482-Mitigation_Industry!V$472)*V$236</f>
        <v>40.858059739410059</v>
      </c>
      <c r="W243" s="19">
        <f>Mitigation_Industry!W$482-(Mitigation_Industry!W$482-Mitigation_Industry!W$472)*W$236</f>
        <v>46.725609739410054</v>
      </c>
      <c r="X243" s="19">
        <f>Mitigation_Industry!X$482-(Mitigation_Industry!X$482-Mitigation_Industry!X$472)*X$236</f>
        <v>52.593159739410055</v>
      </c>
      <c r="Y243" s="19">
        <f>Mitigation_Industry!Y$482-(Mitigation_Industry!Y$482-Mitigation_Industry!Y$472)*Y$236</f>
        <v>58.460709739410056</v>
      </c>
      <c r="Z243" s="19">
        <f>Mitigation_Industry!Z$482-(Mitigation_Industry!Z$482-Mitigation_Industry!Z$472)*Z$236</f>
        <v>64.328259739410072</v>
      </c>
      <c r="AA243" s="19">
        <f>Mitigation_Industry!AA$482-(Mitigation_Industry!AA$482-Mitigation_Industry!AA$472)*AA$236</f>
        <v>70.195809739410052</v>
      </c>
      <c r="AB243" s="19">
        <f>Mitigation_Industry!AB$482-(Mitigation_Industry!AB$482-Mitigation_Industry!AB$472)*AB$236</f>
        <v>76.06335973941006</v>
      </c>
      <c r="AC243" s="19">
        <f>Mitigation_Industry!AC$482-(Mitigation_Industry!AC$482-Mitigation_Industry!AC$472)*AC$236</f>
        <v>81.930909739410041</v>
      </c>
      <c r="AD243" s="19">
        <f>Mitigation_Industry!AD$482-(Mitigation_Industry!AD$482-Mitigation_Industry!AD$472)*AD$236</f>
        <v>87.798459739410049</v>
      </c>
      <c r="AE243" s="19">
        <f>Mitigation_Industry!AE$482-(Mitigation_Industry!AE$482-Mitigation_Industry!AE$472)*AE$236</f>
        <v>93.666009739410043</v>
      </c>
    </row>
    <row r="244" spans="1:35" customFormat="1" ht="14.25" x14ac:dyDescent="0.45">
      <c r="B244" s="14" t="s">
        <v>67</v>
      </c>
      <c r="C244" s="14" t="s">
        <v>113</v>
      </c>
      <c r="D244" s="15" t="s">
        <v>2176</v>
      </c>
      <c r="E244" s="16" t="s">
        <v>51</v>
      </c>
      <c r="F244" s="14" t="s">
        <v>2162</v>
      </c>
      <c r="G244" s="17"/>
      <c r="H244" s="114" t="str">
        <f>Settings!$B$3&amp;".mit.atpn.cem.bio.e.2"</f>
        <v>egy.mit.atpn.cem.bio.e.2</v>
      </c>
      <c r="I244" t="s">
        <v>2235</v>
      </c>
      <c r="K244" s="18"/>
      <c r="L244" s="19">
        <f>Mitigation_Industry!L$483-(Mitigation_Industry!L$483-Mitigation_Industry!L$473)*L$236</f>
        <v>14.199528390634899</v>
      </c>
      <c r="M244" s="19">
        <f>Mitigation_Industry!M$483-(Mitigation_Industry!M$483-Mitigation_Industry!M$473)*M$236</f>
        <v>13.8404416133152</v>
      </c>
      <c r="N244" s="19">
        <f>Mitigation_Industry!N$483-(Mitigation_Industry!N$483-Mitigation_Industry!N$473)*N$236</f>
        <v>13.5677269404465</v>
      </c>
      <c r="O244" s="19">
        <f>Mitigation_Industry!O$483-(Mitigation_Industry!O$483-Mitigation_Industry!O$473)*O$236</f>
        <v>13.5677269404465</v>
      </c>
      <c r="P244" s="19">
        <f>Mitigation_Industry!P$483-(Mitigation_Industry!P$483-Mitigation_Industry!P$473)*P$236</f>
        <v>13.5677269404465</v>
      </c>
      <c r="Q244" s="19">
        <f>Mitigation_Industry!Q$483-(Mitigation_Industry!Q$483-Mitigation_Industry!Q$473)*Q$236</f>
        <v>13.5677269404465</v>
      </c>
      <c r="R244" s="19">
        <f>Mitigation_Industry!R$483-(Mitigation_Industry!R$483-Mitigation_Industry!R$473)*R$236</f>
        <v>13.5677269404465</v>
      </c>
      <c r="S244" s="19">
        <f>Mitigation_Industry!S$483-(Mitigation_Industry!S$483-Mitigation_Industry!S$473)*S$236</f>
        <v>13.5677269404465</v>
      </c>
      <c r="T244" s="19">
        <f>Mitigation_Industry!T$483-(Mitigation_Industry!T$483-Mitigation_Industry!T$473)*T$236</f>
        <v>13.5677269404465</v>
      </c>
      <c r="U244" s="19">
        <f>Mitigation_Industry!U$483-(Mitigation_Industry!U$483-Mitigation_Industry!U$473)*U$236</f>
        <v>13.5677269404465</v>
      </c>
      <c r="V244" s="19">
        <f>Mitigation_Industry!V$483-(Mitigation_Industry!V$483-Mitigation_Industry!V$473)*V$236</f>
        <v>13.5677269404465</v>
      </c>
      <c r="W244" s="19">
        <f>Mitigation_Industry!W$483-(Mitigation_Industry!W$483-Mitigation_Industry!W$473)*W$236</f>
        <v>13.5677269404465</v>
      </c>
      <c r="X244" s="19">
        <f>Mitigation_Industry!X$483-(Mitigation_Industry!X$483-Mitigation_Industry!X$473)*X$236</f>
        <v>13.5677269404465</v>
      </c>
      <c r="Y244" s="19">
        <f>Mitigation_Industry!Y$483-(Mitigation_Industry!Y$483-Mitigation_Industry!Y$473)*Y$236</f>
        <v>13.5677269404465</v>
      </c>
      <c r="Z244" s="19">
        <f>Mitigation_Industry!Z$483-(Mitigation_Industry!Z$483-Mitigation_Industry!Z$473)*Z$236</f>
        <v>13.5677269404465</v>
      </c>
      <c r="AA244" s="19">
        <f>Mitigation_Industry!AA$483-(Mitigation_Industry!AA$483-Mitigation_Industry!AA$473)*AA$236</f>
        <v>13.5677269404465</v>
      </c>
      <c r="AB244" s="19">
        <f>Mitigation_Industry!AB$483-(Mitigation_Industry!AB$483-Mitigation_Industry!AB$473)*AB$236</f>
        <v>13.5677269404465</v>
      </c>
      <c r="AC244" s="19">
        <f>Mitigation_Industry!AC$483-(Mitigation_Industry!AC$483-Mitigation_Industry!AC$473)*AC$236</f>
        <v>13.5677269404465</v>
      </c>
      <c r="AD244" s="19">
        <f>Mitigation_Industry!AD$483-(Mitigation_Industry!AD$483-Mitigation_Industry!AD$473)*AD$236</f>
        <v>13.5677269404465</v>
      </c>
      <c r="AE244" s="19">
        <f>Mitigation_Industry!AE$483-(Mitigation_Industry!AE$483-Mitigation_Industry!AE$473)*AE$236</f>
        <v>13.5677269404465</v>
      </c>
    </row>
    <row r="245" spans="1:35" customFormat="1" ht="14.25" x14ac:dyDescent="0.45">
      <c r="B245" s="14" t="s">
        <v>69</v>
      </c>
      <c r="C245" s="14" t="s">
        <v>113</v>
      </c>
      <c r="D245" s="15" t="s">
        <v>2178</v>
      </c>
      <c r="E245" s="16" t="s">
        <v>71</v>
      </c>
      <c r="F245" s="14" t="s">
        <v>2162</v>
      </c>
      <c r="G245" s="17"/>
      <c r="H245" s="114" t="str">
        <f>Settings!$B$3&amp;".mit.atpn.cem.ren.e.2"</f>
        <v>egy.mit.atpn.cem.ren.e.2</v>
      </c>
      <c r="I245" t="s">
        <v>2236</v>
      </c>
      <c r="K245" s="18"/>
      <c r="L245" s="19">
        <f>Mitigation_Industry!L$484-(Mitigation_Industry!L$484-Mitigation_Industry!L$474)*L$236</f>
        <v>0.14404498679319799</v>
      </c>
      <c r="M245" s="19">
        <f>Mitigation_Industry!M$484-(Mitigation_Industry!M$484-Mitigation_Industry!M$474)*M$236</f>
        <v>0.141386241751359</v>
      </c>
      <c r="N245" s="19">
        <f>Mitigation_Industry!N$484-(Mitigation_Industry!N$484-Mitigation_Industry!N$474)*N$236</f>
        <v>0.13539756544373099</v>
      </c>
      <c r="O245" s="19">
        <f>Mitigation_Industry!O$484-(Mitigation_Industry!O$484-Mitigation_Industry!O$474)*O$236</f>
        <v>0.13152288542065099</v>
      </c>
      <c r="P245" s="19">
        <f>Mitigation_Industry!P$484-(Mitigation_Industry!P$484-Mitigation_Industry!P$474)*P$236</f>
        <v>0.12882610848523099</v>
      </c>
      <c r="Q245" s="19">
        <f>Mitigation_Industry!Q$484-(Mitigation_Industry!Q$484-Mitigation_Industry!Q$474)*Q$236</f>
        <v>0.12594200976473999</v>
      </c>
      <c r="R245" s="19">
        <f>Mitigation_Industry!R$484-(Mitigation_Industry!R$484-Mitigation_Industry!R$474)*R$236</f>
        <v>0.123113265701861</v>
      </c>
      <c r="S245" s="19">
        <f>Mitigation_Industry!S$484-(Mitigation_Industry!S$484-Mitigation_Industry!S$474)*S$236</f>
        <v>0.119391738089068</v>
      </c>
      <c r="T245" s="19">
        <f>Mitigation_Industry!T$484-(Mitigation_Industry!T$484-Mitigation_Industry!T$474)*T$236</f>
        <v>0.11554419046792</v>
      </c>
      <c r="U245" s="19">
        <f>Mitigation_Industry!U$484-(Mitigation_Industry!U$484-Mitigation_Industry!U$474)*U$236</f>
        <v>0.11492423065415899</v>
      </c>
      <c r="V245" s="19">
        <f>Mitigation_Industry!V$484-(Mitigation_Industry!V$484-Mitigation_Industry!V$474)*V$236</f>
        <v>0.114346912116736</v>
      </c>
      <c r="W245" s="19">
        <f>Mitigation_Industry!W$484-(Mitigation_Industry!W$484-Mitigation_Industry!W$474)*W$236</f>
        <v>0.113738711172664</v>
      </c>
      <c r="X245" s="19">
        <f>Mitigation_Industry!X$484-(Mitigation_Industry!X$484-Mitigation_Industry!X$474)*X$236</f>
        <v>0.112999900487521</v>
      </c>
      <c r="Y245" s="19">
        <f>Mitigation_Industry!Y$484-(Mitigation_Industry!Y$484-Mitigation_Industry!Y$474)*Y$236</f>
        <v>0.112177685835534</v>
      </c>
      <c r="Z245" s="19">
        <f>Mitigation_Industry!Z$484-(Mitigation_Industry!Z$484-Mitigation_Industry!Z$474)*Z$236</f>
        <v>0.111417903250404</v>
      </c>
      <c r="AA245" s="19">
        <f>Mitigation_Industry!AA$484-(Mitigation_Industry!AA$484-Mitigation_Industry!AA$474)*AA$236</f>
        <v>0.11052581998545399</v>
      </c>
      <c r="AB245" s="19">
        <f>Mitigation_Industry!AB$484-(Mitigation_Industry!AB$484-Mitigation_Industry!AB$474)*AB$236</f>
        <v>0.109699565234896</v>
      </c>
      <c r="AC245" s="19">
        <f>Mitigation_Industry!AC$484-(Mitigation_Industry!AC$484-Mitigation_Industry!AC$474)*AC$236</f>
        <v>0.10772678896394899</v>
      </c>
      <c r="AD245" s="19">
        <f>Mitigation_Industry!AD$484-(Mitigation_Industry!AD$484-Mitigation_Industry!AD$474)*AD$236</f>
        <v>0.10582092445093499</v>
      </c>
      <c r="AE245" s="19">
        <f>Mitigation_Industry!AE$484-(Mitigation_Industry!AE$484-Mitigation_Industry!AE$474)*AE$236</f>
        <v>0.103855595705721</v>
      </c>
    </row>
    <row r="247" spans="1:35" customFormat="1" ht="14.25" x14ac:dyDescent="0.45">
      <c r="A247" s="11"/>
      <c r="B247" s="6"/>
      <c r="C247" s="7" t="s">
        <v>115</v>
      </c>
      <c r="D247" s="6" t="s">
        <v>1505</v>
      </c>
      <c r="E247" s="7" t="s">
        <v>35</v>
      </c>
      <c r="F247" s="7" t="s">
        <v>45</v>
      </c>
      <c r="G247" s="7" t="s">
        <v>37</v>
      </c>
      <c r="H247" s="12" t="s">
        <v>38</v>
      </c>
      <c r="I247" s="6" t="s">
        <v>39</v>
      </c>
      <c r="J247" s="48">
        <v>2</v>
      </c>
      <c r="K247" s="6">
        <v>2021</v>
      </c>
      <c r="L247" s="46">
        <v>2022</v>
      </c>
      <c r="M247" s="6">
        <v>2023</v>
      </c>
      <c r="N247" s="6">
        <v>2024</v>
      </c>
      <c r="O247" s="6">
        <v>2025</v>
      </c>
      <c r="P247" s="6">
        <v>2026</v>
      </c>
      <c r="Q247" s="6">
        <v>2027</v>
      </c>
      <c r="R247" s="6">
        <v>2028</v>
      </c>
      <c r="S247" s="6">
        <v>2029</v>
      </c>
      <c r="T247" s="6">
        <v>2030</v>
      </c>
      <c r="U247" s="6">
        <v>2031</v>
      </c>
      <c r="V247" s="6">
        <v>2032</v>
      </c>
      <c r="W247" s="6">
        <v>2033</v>
      </c>
      <c r="X247" s="6">
        <v>2034</v>
      </c>
      <c r="Y247" s="6">
        <v>2035</v>
      </c>
      <c r="Z247" s="6">
        <v>2036</v>
      </c>
      <c r="AA247" s="6">
        <v>2037</v>
      </c>
      <c r="AB247" s="6">
        <v>2038</v>
      </c>
      <c r="AC247" s="6">
        <v>2039</v>
      </c>
      <c r="AD247" s="6">
        <v>2040</v>
      </c>
      <c r="AE247" s="6">
        <v>2041</v>
      </c>
      <c r="AF247" s="6">
        <v>2042</v>
      </c>
      <c r="AG247" s="6">
        <v>2043</v>
      </c>
      <c r="AH247" s="6">
        <v>2044</v>
      </c>
      <c r="AI247" s="6">
        <v>2045</v>
      </c>
    </row>
    <row r="248" spans="1:35" customFormat="1" ht="14.25" x14ac:dyDescent="0.45">
      <c r="B248" s="14" t="s">
        <v>110</v>
      </c>
      <c r="C248" s="14" t="s">
        <v>115</v>
      </c>
      <c r="D248" s="25" t="s">
        <v>2154</v>
      </c>
      <c r="E248" s="16" t="s">
        <v>1871</v>
      </c>
      <c r="F248" s="14" t="s">
        <v>2143</v>
      </c>
      <c r="H248" s="114" t="str">
        <f>Settings!$B$3&amp;".mit.obr.ind.nfm.2"</f>
        <v>egy.mit.obr.ind.nfm.2</v>
      </c>
      <c r="I248" t="s">
        <v>2190</v>
      </c>
      <c r="L248" s="116">
        <f t="shared" ref="L248:AE248" si="64">L$216</f>
        <v>0</v>
      </c>
      <c r="M248" s="116">
        <f t="shared" si="64"/>
        <v>0</v>
      </c>
      <c r="N248" s="116">
        <f t="shared" si="64"/>
        <v>0</v>
      </c>
      <c r="O248" s="116">
        <f t="shared" si="64"/>
        <v>0</v>
      </c>
      <c r="P248" s="116">
        <f t="shared" si="64"/>
        <v>0</v>
      </c>
      <c r="Q248" s="116">
        <f t="shared" si="64"/>
        <v>0</v>
      </c>
      <c r="R248" s="116">
        <f t="shared" si="64"/>
        <v>0</v>
      </c>
      <c r="S248" s="116">
        <f t="shared" si="64"/>
        <v>0</v>
      </c>
      <c r="T248" s="116">
        <f t="shared" si="64"/>
        <v>0</v>
      </c>
      <c r="U248" s="116">
        <f t="shared" si="64"/>
        <v>0</v>
      </c>
      <c r="V248" s="116">
        <f t="shared" si="64"/>
        <v>0</v>
      </c>
      <c r="W248" s="116">
        <f t="shared" si="64"/>
        <v>0</v>
      </c>
      <c r="X248" s="116">
        <f t="shared" si="64"/>
        <v>0</v>
      </c>
      <c r="Y248" s="116">
        <f t="shared" si="64"/>
        <v>0</v>
      </c>
      <c r="Z248" s="116">
        <f t="shared" si="64"/>
        <v>0</v>
      </c>
      <c r="AA248" s="116">
        <f t="shared" si="64"/>
        <v>0</v>
      </c>
      <c r="AB248" s="116">
        <f t="shared" si="64"/>
        <v>0</v>
      </c>
      <c r="AC248" s="116">
        <f t="shared" si="64"/>
        <v>0</v>
      </c>
      <c r="AD248" s="116">
        <f t="shared" si="64"/>
        <v>0</v>
      </c>
      <c r="AE248" s="116">
        <f t="shared" si="64"/>
        <v>0</v>
      </c>
    </row>
    <row r="249" spans="1:35" customFormat="1" ht="14.25" x14ac:dyDescent="0.45">
      <c r="B249" s="14" t="s">
        <v>110</v>
      </c>
      <c r="C249" s="14" t="s">
        <v>115</v>
      </c>
      <c r="D249" s="25" t="s">
        <v>2156</v>
      </c>
      <c r="E249" s="16" t="s">
        <v>1871</v>
      </c>
      <c r="F249" s="14" t="s">
        <v>2157</v>
      </c>
      <c r="H249" s="114" t="str">
        <f>Settings!$B$3&amp;".mit.ccf.ind.nfm.2"</f>
        <v>egy.mit.ccf.ind.nfm.2</v>
      </c>
      <c r="L249" s="116">
        <f>L$166*Mitigation_Industry!L$682/1000</f>
        <v>0</v>
      </c>
      <c r="M249" s="116">
        <f>M$166*Mitigation_Industry!M$682/1000</f>
        <v>0</v>
      </c>
      <c r="N249" s="116">
        <f>N$166*Mitigation_Industry!N$682/1000</f>
        <v>0</v>
      </c>
      <c r="O249" s="116">
        <f>O$166*Mitigation_Industry!O$682/1000</f>
        <v>0</v>
      </c>
      <c r="P249" s="116">
        <f>P$166*Mitigation_Industry!P$682/1000</f>
        <v>0</v>
      </c>
      <c r="Q249" s="116">
        <f>Q$166*Mitigation_Industry!Q$682/1000</f>
        <v>0.68693120437499988</v>
      </c>
      <c r="R249" s="116">
        <f>R$166*Mitigation_Industry!R$682/1000</f>
        <v>1.4494248412312498</v>
      </c>
      <c r="S249" s="116">
        <f>S$166*Mitigation_Industry!S$682/1000</f>
        <v>2.2937148112484529</v>
      </c>
      <c r="T249" s="116">
        <f>T$166*Mitigation_Industry!T$682/1000</f>
        <v>3.2264921678228236</v>
      </c>
      <c r="U249" s="116">
        <f>U$166*Mitigation_Industry!U$682/1000</f>
        <v>4.2549365463163484</v>
      </c>
      <c r="V249" s="116">
        <f>V$166*Mitigation_Industry!V$682/1000</f>
        <v>5.3867496676364963</v>
      </c>
      <c r="W249" s="116">
        <f>W$166*Mitigation_Industry!W$682/1000</f>
        <v>6.6301910492492544</v>
      </c>
      <c r="X249" s="116">
        <f>X$166*Mitigation_Industry!X$682/1000</f>
        <v>7.9941160650948149</v>
      </c>
      <c r="Y249" s="116">
        <f>Y$166*Mitigation_Industry!Y$682/1000</f>
        <v>9.4880165047594094</v>
      </c>
      <c r="Z249" s="116">
        <f>Z$166*Mitigation_Industry!Z$682/1000</f>
        <v>11.122063791690197</v>
      </c>
      <c r="AA249" s="116">
        <f>AA$166*Mitigation_Industry!AA$682/1000</f>
        <v>12.907155030256472</v>
      </c>
      <c r="AB249" s="116">
        <f>AB$166*Mitigation_Industry!AB$682/1000</f>
        <v>14.854962062095174</v>
      </c>
      <c r="AC249" s="116">
        <f>AC$166*Mitigation_Industry!AC$682/1000</f>
        <v>16.97798372346961</v>
      </c>
      <c r="AD249" s="116">
        <f>AD$166*Mitigation_Industry!AD$682/1000</f>
        <v>19.289601507357389</v>
      </c>
      <c r="AE249" s="116">
        <f>AE$166*Mitigation_Industry!AE$682/1000</f>
        <v>21.804138846709336</v>
      </c>
    </row>
    <row r="250" spans="1:35" customFormat="1" ht="14.25" x14ac:dyDescent="0.45">
      <c r="B250" s="14" t="s">
        <v>110</v>
      </c>
      <c r="C250" s="14" t="s">
        <v>115</v>
      </c>
      <c r="D250" s="25" t="s">
        <v>2158</v>
      </c>
      <c r="E250" s="16" t="s">
        <v>79</v>
      </c>
      <c r="F250" s="14" t="s">
        <v>2159</v>
      </c>
      <c r="H250" s="114" t="str">
        <f>Settings!$B$3&amp;".mit.rsh.ind.nfm.2"</f>
        <v>egy.mit.rsh.ind.nfm.2</v>
      </c>
      <c r="I250" t="s">
        <v>2160</v>
      </c>
      <c r="L250" s="116">
        <f t="shared" ref="L250:AE250" si="65">IF(L$249&lt;=0,0,MIN(1,L$248/L$249))</f>
        <v>0</v>
      </c>
      <c r="M250" s="116">
        <f t="shared" si="65"/>
        <v>0</v>
      </c>
      <c r="N250" s="116">
        <f t="shared" si="65"/>
        <v>0</v>
      </c>
      <c r="O250" s="116">
        <f t="shared" si="65"/>
        <v>0</v>
      </c>
      <c r="P250" s="116">
        <f t="shared" si="65"/>
        <v>0</v>
      </c>
      <c r="Q250" s="116">
        <f t="shared" si="65"/>
        <v>0</v>
      </c>
      <c r="R250" s="116">
        <f t="shared" si="65"/>
        <v>0</v>
      </c>
      <c r="S250" s="116">
        <f t="shared" si="65"/>
        <v>0</v>
      </c>
      <c r="T250" s="116">
        <f t="shared" si="65"/>
        <v>0</v>
      </c>
      <c r="U250" s="116">
        <f t="shared" si="65"/>
        <v>0</v>
      </c>
      <c r="V250" s="116">
        <f t="shared" si="65"/>
        <v>0</v>
      </c>
      <c r="W250" s="116">
        <f t="shared" si="65"/>
        <v>0</v>
      </c>
      <c r="X250" s="116">
        <f t="shared" si="65"/>
        <v>0</v>
      </c>
      <c r="Y250" s="116">
        <f t="shared" si="65"/>
        <v>0</v>
      </c>
      <c r="Z250" s="116">
        <f t="shared" si="65"/>
        <v>0</v>
      </c>
      <c r="AA250" s="116">
        <f t="shared" si="65"/>
        <v>0</v>
      </c>
      <c r="AB250" s="116">
        <f t="shared" si="65"/>
        <v>0</v>
      </c>
      <c r="AC250" s="116">
        <f t="shared" si="65"/>
        <v>0</v>
      </c>
      <c r="AD250" s="116">
        <f t="shared" si="65"/>
        <v>0</v>
      </c>
      <c r="AE250" s="116">
        <f t="shared" si="65"/>
        <v>0</v>
      </c>
    </row>
    <row r="251" spans="1:35" customFormat="1" ht="14.25" x14ac:dyDescent="0.45">
      <c r="B251" s="14" t="s">
        <v>49</v>
      </c>
      <c r="C251" s="14" t="s">
        <v>115</v>
      </c>
      <c r="D251" s="15" t="s">
        <v>2161</v>
      </c>
      <c r="E251" s="16" t="s">
        <v>51</v>
      </c>
      <c r="F251" s="14" t="s">
        <v>2162</v>
      </c>
      <c r="G251" s="17"/>
      <c r="H251" s="114" t="str">
        <f>Settings!$B$3&amp;".mit.atpn.nfm.coa.e.2"</f>
        <v>egy.mit.atpn.nfm.coa.e.2</v>
      </c>
      <c r="I251" t="s">
        <v>2237</v>
      </c>
      <c r="K251" s="18"/>
      <c r="L251" s="19">
        <f>Mitigation_Industry!L$536-(Mitigation_Industry!L$536-Mitigation_Industry!L$526)*L$250</f>
        <v>10.5233613454312</v>
      </c>
      <c r="M251" s="19">
        <f>Mitigation_Industry!M$536-(Mitigation_Industry!M$536-Mitigation_Industry!M$526)*M$250</f>
        <v>10.2995608274442</v>
      </c>
      <c r="N251" s="19">
        <f>Mitigation_Industry!N$536-(Mitigation_Industry!N$536-Mitigation_Industry!N$526)*N$250</f>
        <v>9.5775283595382597</v>
      </c>
      <c r="O251" s="19">
        <f>Mitigation_Industry!O$536-(Mitigation_Industry!O$536-Mitigation_Industry!O$526)*O$250</f>
        <v>8.4854782869580507</v>
      </c>
      <c r="P251" s="19">
        <f>Mitigation_Industry!P$536-(Mitigation_Industry!P$536-Mitigation_Industry!P$526)*P$250</f>
        <v>9.0871922352498604</v>
      </c>
      <c r="Q251" s="19">
        <f>Mitigation_Industry!Q$536-(Mitigation_Industry!Q$536-Mitigation_Industry!Q$526)*Q$250</f>
        <v>10.472923728932679</v>
      </c>
      <c r="R251" s="19">
        <f>Mitigation_Industry!R$536-(Mitigation_Industry!R$536-Mitigation_Industry!R$526)*R$250</f>
        <v>11.658564955509689</v>
      </c>
      <c r="S251" s="19">
        <f>Mitigation_Industry!S$536-(Mitigation_Industry!S$536-Mitigation_Industry!S$526)*S$250</f>
        <v>12.839547877397379</v>
      </c>
      <c r="T251" s="19">
        <f>Mitigation_Industry!T$536-(Mitigation_Industry!T$536-Mitigation_Industry!T$526)*T$250</f>
        <v>14.01568166602283</v>
      </c>
      <c r="U251" s="19">
        <f>Mitigation_Industry!U$536-(Mitigation_Industry!U$536-Mitigation_Industry!U$526)*U$250</f>
        <v>15.19439776555711</v>
      </c>
      <c r="V251" s="19">
        <f>Mitigation_Industry!V$536-(Mitigation_Industry!V$536-Mitigation_Industry!V$526)*V$250</f>
        <v>16.44439776555711</v>
      </c>
      <c r="W251" s="19">
        <f>Mitigation_Industry!W$536-(Mitigation_Industry!W$536-Mitigation_Industry!W$526)*W$250</f>
        <v>17.69439776555711</v>
      </c>
      <c r="X251" s="19">
        <f>Mitigation_Industry!X$536-(Mitigation_Industry!X$536-Mitigation_Industry!X$526)*X$250</f>
        <v>18.94439776555711</v>
      </c>
      <c r="Y251" s="19">
        <f>Mitigation_Industry!Y$536-(Mitigation_Industry!Y$536-Mitigation_Industry!Y$526)*Y$250</f>
        <v>20.19439776555711</v>
      </c>
      <c r="Z251" s="19">
        <f>Mitigation_Industry!Z$536-(Mitigation_Industry!Z$536-Mitigation_Industry!Z$526)*Z$250</f>
        <v>21.44439776555711</v>
      </c>
      <c r="AA251" s="19">
        <f>Mitigation_Industry!AA$536-(Mitigation_Industry!AA$536-Mitigation_Industry!AA$526)*AA$250</f>
        <v>22.69439776555711</v>
      </c>
      <c r="AB251" s="19">
        <f>Mitigation_Industry!AB$536-(Mitigation_Industry!AB$536-Mitigation_Industry!AB$526)*AB$250</f>
        <v>23.94439776555711</v>
      </c>
      <c r="AC251" s="19">
        <f>Mitigation_Industry!AC$536-(Mitigation_Industry!AC$536-Mitigation_Industry!AC$526)*AC$250</f>
        <v>25.19439776555711</v>
      </c>
      <c r="AD251" s="19">
        <f>Mitigation_Industry!AD$536-(Mitigation_Industry!AD$536-Mitigation_Industry!AD$526)*AD$250</f>
        <v>26.44439776555711</v>
      </c>
      <c r="AE251" s="19">
        <f>Mitigation_Industry!AE$536-(Mitigation_Industry!AE$536-Mitigation_Industry!AE$526)*AE$250</f>
        <v>27.69439776555711</v>
      </c>
    </row>
    <row r="252" spans="1:35" customFormat="1" ht="14.25" x14ac:dyDescent="0.45">
      <c r="B252" s="14" t="s">
        <v>53</v>
      </c>
      <c r="C252" s="14" t="s">
        <v>115</v>
      </c>
      <c r="D252" s="15" t="s">
        <v>2164</v>
      </c>
      <c r="E252" s="16" t="s">
        <v>51</v>
      </c>
      <c r="F252" s="14" t="s">
        <v>2162</v>
      </c>
      <c r="G252" s="17"/>
      <c r="H252" s="114" t="str">
        <f>Settings!$B$3&amp;".mit.atpn.nfm.nga.e.2"</f>
        <v>egy.mit.atpn.nfm.nga.e.2</v>
      </c>
      <c r="I252" t="s">
        <v>2238</v>
      </c>
      <c r="K252" s="18"/>
      <c r="L252" s="19">
        <f>Mitigation_Industry!L$537-(Mitigation_Industry!L$537-Mitigation_Industry!L$527)*L$250</f>
        <v>5.4510150816191896</v>
      </c>
      <c r="M252" s="19">
        <f>Mitigation_Industry!M$537-(Mitigation_Industry!M$537-Mitigation_Industry!M$527)*M$250</f>
        <v>5.1193563062624801</v>
      </c>
      <c r="N252" s="19">
        <f>Mitigation_Industry!N$537-(Mitigation_Industry!N$537-Mitigation_Industry!N$527)*N$250</f>
        <v>5.08218458640407</v>
      </c>
      <c r="O252" s="19">
        <f>Mitigation_Industry!O$537-(Mitigation_Industry!O$537-Mitigation_Industry!O$527)*O$250</f>
        <v>5.08218458640407</v>
      </c>
      <c r="P252" s="19">
        <f>Mitigation_Industry!P$537-(Mitigation_Industry!P$537-Mitigation_Industry!P$527)*P$250</f>
        <v>5.08218458640407</v>
      </c>
      <c r="Q252" s="19">
        <f>Mitigation_Industry!Q$537-(Mitigation_Industry!Q$537-Mitigation_Industry!Q$527)*Q$250</f>
        <v>5.7796845864040698</v>
      </c>
      <c r="R252" s="19">
        <f>Mitigation_Industry!R$537-(Mitigation_Industry!R$537-Mitigation_Industry!R$527)*R$250</f>
        <v>6.4771845864040696</v>
      </c>
      <c r="S252" s="19">
        <f>Mitigation_Industry!S$537-(Mitigation_Industry!S$537-Mitigation_Industry!S$527)*S$250</f>
        <v>7.1746845864040703</v>
      </c>
      <c r="T252" s="19">
        <f>Mitigation_Industry!T$537-(Mitigation_Industry!T$537-Mitigation_Industry!T$527)*T$250</f>
        <v>7.87218458640407</v>
      </c>
      <c r="U252" s="19">
        <f>Mitigation_Industry!U$537-(Mitigation_Industry!U$537-Mitigation_Industry!U$527)*U$250</f>
        <v>8.5696845864040707</v>
      </c>
      <c r="V252" s="19">
        <f>Mitigation_Industry!V$537-(Mitigation_Industry!V$537-Mitigation_Industry!V$527)*V$250</f>
        <v>9.2671845864040705</v>
      </c>
      <c r="W252" s="19">
        <f>Mitigation_Industry!W$537-(Mitigation_Industry!W$537-Mitigation_Industry!W$527)*W$250</f>
        <v>9.9646845864040703</v>
      </c>
      <c r="X252" s="19">
        <f>Mitigation_Industry!X$537-(Mitigation_Industry!X$537-Mitigation_Industry!X$527)*X$250</f>
        <v>10.66218458640407</v>
      </c>
      <c r="Y252" s="19">
        <f>Mitigation_Industry!Y$537-(Mitigation_Industry!Y$537-Mitigation_Industry!Y$527)*Y$250</f>
        <v>11.35968458640407</v>
      </c>
      <c r="Z252" s="19">
        <f>Mitigation_Industry!Z$537-(Mitigation_Industry!Z$537-Mitigation_Industry!Z$527)*Z$250</f>
        <v>12.05718458640407</v>
      </c>
      <c r="AA252" s="19">
        <f>Mitigation_Industry!AA$537-(Mitigation_Industry!AA$537-Mitigation_Industry!AA$527)*AA$250</f>
        <v>12.754684586404071</v>
      </c>
      <c r="AB252" s="19">
        <f>Mitigation_Industry!AB$537-(Mitigation_Industry!AB$537-Mitigation_Industry!AB$527)*AB$250</f>
        <v>13.452184586404071</v>
      </c>
      <c r="AC252" s="19">
        <f>Mitigation_Industry!AC$537-(Mitigation_Industry!AC$537-Mitigation_Industry!AC$527)*AC$250</f>
        <v>14.149684586404071</v>
      </c>
      <c r="AD252" s="19">
        <f>Mitigation_Industry!AD$537-(Mitigation_Industry!AD$537-Mitigation_Industry!AD$527)*AD$250</f>
        <v>14.847184586404071</v>
      </c>
      <c r="AE252" s="19">
        <f>Mitigation_Industry!AE$537-(Mitigation_Industry!AE$537-Mitigation_Industry!AE$527)*AE$250</f>
        <v>15.54468458640407</v>
      </c>
    </row>
    <row r="253" spans="1:35" customFormat="1" ht="14.25" x14ac:dyDescent="0.45">
      <c r="B253" s="14" t="s">
        <v>55</v>
      </c>
      <c r="C253" s="14" t="s">
        <v>115</v>
      </c>
      <c r="D253" s="15" t="s">
        <v>2166</v>
      </c>
      <c r="E253" s="16" t="s">
        <v>57</v>
      </c>
      <c r="F253" s="14" t="s">
        <v>2162</v>
      </c>
      <c r="G253" s="17"/>
      <c r="H253" s="114" t="str">
        <f>Settings!$B$3&amp;".mit.atpn.nfm.gso.e.2"</f>
        <v>egy.mit.atpn.nfm.gso.e.2</v>
      </c>
      <c r="I253" t="s">
        <v>2239</v>
      </c>
      <c r="K253" s="18"/>
      <c r="L253" s="19">
        <f>Mitigation_Industry!L$538-(Mitigation_Industry!L$538-Mitigation_Industry!L$528)*L$250</f>
        <v>0.61197797679140598</v>
      </c>
      <c r="M253" s="19">
        <f>Mitigation_Industry!M$538-(Mitigation_Industry!M$538-Mitigation_Industry!M$528)*M$250</f>
        <v>0.61180974964187596</v>
      </c>
      <c r="N253" s="19">
        <f>Mitigation_Industry!N$538-(Mitigation_Industry!N$538-Mitigation_Industry!N$528)*N$250</f>
        <v>0.60358310017790595</v>
      </c>
      <c r="O253" s="19">
        <f>Mitigation_Industry!O$538-(Mitigation_Industry!O$538-Mitigation_Industry!O$528)*O$250</f>
        <v>0.60358310017790595</v>
      </c>
      <c r="P253" s="19">
        <f>Mitigation_Industry!P$538-(Mitigation_Industry!P$538-Mitigation_Industry!P$528)*P$250</f>
        <v>0.60358310017790595</v>
      </c>
      <c r="Q253" s="19">
        <f>Mitigation_Industry!Q$538-(Mitigation_Industry!Q$538-Mitigation_Industry!Q$528)*Q$250</f>
        <v>0.63251094334940594</v>
      </c>
      <c r="R253" s="19">
        <f>Mitigation_Industry!R$538-(Mitigation_Industry!R$538-Mitigation_Industry!R$528)*R$250</f>
        <v>0.66143878652090593</v>
      </c>
      <c r="S253" s="19">
        <f>Mitigation_Industry!S$538-(Mitigation_Industry!S$538-Mitigation_Industry!S$528)*S$250</f>
        <v>0.69036662969240592</v>
      </c>
      <c r="T253" s="19">
        <f>Mitigation_Industry!T$538-(Mitigation_Industry!T$538-Mitigation_Industry!T$528)*T$250</f>
        <v>0.71929447286390591</v>
      </c>
      <c r="U253" s="19">
        <f>Mitigation_Industry!U$538-(Mitigation_Industry!U$538-Mitigation_Industry!U$528)*U$250</f>
        <v>0.74822231603540601</v>
      </c>
      <c r="V253" s="19">
        <f>Mitigation_Industry!V$538-(Mitigation_Industry!V$538-Mitigation_Industry!V$528)*V$250</f>
        <v>0.777150159206906</v>
      </c>
      <c r="W253" s="19">
        <f>Mitigation_Industry!W$538-(Mitigation_Industry!W$538-Mitigation_Industry!W$528)*W$250</f>
        <v>0.80607800237840599</v>
      </c>
      <c r="X253" s="19">
        <f>Mitigation_Industry!X$538-(Mitigation_Industry!X$538-Mitigation_Industry!X$528)*X$250</f>
        <v>0.83500584554990598</v>
      </c>
      <c r="Y253" s="19">
        <f>Mitigation_Industry!Y$538-(Mitigation_Industry!Y$538-Mitigation_Industry!Y$528)*Y$250</f>
        <v>0.86393368872140597</v>
      </c>
      <c r="Z253" s="19">
        <f>Mitigation_Industry!Z$538-(Mitigation_Industry!Z$538-Mitigation_Industry!Z$528)*Z$250</f>
        <v>0.89286153189290596</v>
      </c>
      <c r="AA253" s="19">
        <f>Mitigation_Industry!AA$538-(Mitigation_Industry!AA$538-Mitigation_Industry!AA$528)*AA$250</f>
        <v>0.92178937506440595</v>
      </c>
      <c r="AB253" s="19">
        <f>Mitigation_Industry!AB$538-(Mitigation_Industry!AB$538-Mitigation_Industry!AB$528)*AB$250</f>
        <v>0.95071721823590605</v>
      </c>
      <c r="AC253" s="19">
        <f>Mitigation_Industry!AC$538-(Mitigation_Industry!AC$538-Mitigation_Industry!AC$528)*AC$250</f>
        <v>0.97964506140740593</v>
      </c>
      <c r="AD253" s="19">
        <f>Mitigation_Industry!AD$538-(Mitigation_Industry!AD$538-Mitigation_Industry!AD$528)*AD$250</f>
        <v>1.008572904578906</v>
      </c>
      <c r="AE253" s="19">
        <f>Mitigation_Industry!AE$538-(Mitigation_Industry!AE$538-Mitigation_Industry!AE$528)*AE$250</f>
        <v>1.0375007477504061</v>
      </c>
    </row>
    <row r="254" spans="1:35" customFormat="1" ht="14.25" x14ac:dyDescent="0.45">
      <c r="B254" s="14" t="s">
        <v>58</v>
      </c>
      <c r="C254" s="14" t="s">
        <v>115</v>
      </c>
      <c r="D254" s="15" t="s">
        <v>2168</v>
      </c>
      <c r="E254" s="16" t="s">
        <v>57</v>
      </c>
      <c r="F254" s="14" t="s">
        <v>2162</v>
      </c>
      <c r="G254" s="17"/>
      <c r="H254" s="114" t="str">
        <f>Settings!$B$3&amp;".mit.atpn.nfm.die.e.2"</f>
        <v>egy.mit.atpn.nfm.die.e.2</v>
      </c>
      <c r="I254" t="s">
        <v>2240</v>
      </c>
      <c r="K254" s="18"/>
      <c r="L254" s="19">
        <f>Mitigation_Industry!L$539-(Mitigation_Industry!L$539-Mitigation_Industry!L$529)*L$250</f>
        <v>0.49458873084106802</v>
      </c>
      <c r="M254" s="19">
        <f>Mitigation_Industry!M$539-(Mitigation_Industry!M$539-Mitigation_Industry!M$529)*M$250</f>
        <v>0.50778654720250105</v>
      </c>
      <c r="N254" s="19">
        <f>Mitigation_Industry!N$539-(Mitigation_Industry!N$539-Mitigation_Industry!N$529)*N$250</f>
        <v>0.47043642679561698</v>
      </c>
      <c r="O254" s="19">
        <f>Mitigation_Industry!O$539-(Mitigation_Industry!O$539-Mitigation_Industry!O$529)*O$250</f>
        <v>0.47043642679561698</v>
      </c>
      <c r="P254" s="19">
        <f>Mitigation_Industry!P$539-(Mitigation_Industry!P$539-Mitigation_Industry!P$529)*P$250</f>
        <v>0.47043642679561698</v>
      </c>
      <c r="Q254" s="19">
        <f>Mitigation_Industry!Q$539-(Mitigation_Industry!Q$539-Mitigation_Industry!Q$529)*Q$250</f>
        <v>0.50344686565449193</v>
      </c>
      <c r="R254" s="19">
        <f>Mitigation_Industry!R$539-(Mitigation_Industry!R$539-Mitigation_Industry!R$529)*R$250</f>
        <v>0.53645730451336693</v>
      </c>
      <c r="S254" s="19">
        <f>Mitigation_Industry!S$539-(Mitigation_Industry!S$539-Mitigation_Industry!S$529)*S$250</f>
        <v>0.56946774337224193</v>
      </c>
      <c r="T254" s="19">
        <f>Mitigation_Industry!T$539-(Mitigation_Industry!T$539-Mitigation_Industry!T$529)*T$250</f>
        <v>0.60247818223111693</v>
      </c>
      <c r="U254" s="19">
        <f>Mitigation_Industry!U$539-(Mitigation_Industry!U$539-Mitigation_Industry!U$529)*U$250</f>
        <v>0.63548862108999193</v>
      </c>
      <c r="V254" s="19">
        <f>Mitigation_Industry!V$539-(Mitigation_Industry!V$539-Mitigation_Industry!V$529)*V$250</f>
        <v>0.66849905994886694</v>
      </c>
      <c r="W254" s="19">
        <f>Mitigation_Industry!W$539-(Mitigation_Industry!W$539-Mitigation_Industry!W$529)*W$250</f>
        <v>0.70150949880774194</v>
      </c>
      <c r="X254" s="19">
        <f>Mitigation_Industry!X$539-(Mitigation_Industry!X$539-Mitigation_Industry!X$529)*X$250</f>
        <v>0.73451993766661694</v>
      </c>
      <c r="Y254" s="19">
        <f>Mitigation_Industry!Y$539-(Mitigation_Industry!Y$539-Mitigation_Industry!Y$529)*Y$250</f>
        <v>0.76753037652549194</v>
      </c>
      <c r="Z254" s="19">
        <f>Mitigation_Industry!Z$539-(Mitigation_Industry!Z$539-Mitigation_Industry!Z$529)*Z$250</f>
        <v>0.80054081538436694</v>
      </c>
      <c r="AA254" s="19">
        <f>Mitigation_Industry!AA$539-(Mitigation_Industry!AA$539-Mitigation_Industry!AA$529)*AA$250</f>
        <v>0.83355125424324195</v>
      </c>
      <c r="AB254" s="19">
        <f>Mitigation_Industry!AB$539-(Mitigation_Industry!AB$539-Mitigation_Industry!AB$529)*AB$250</f>
        <v>0.86656169310211695</v>
      </c>
      <c r="AC254" s="19">
        <f>Mitigation_Industry!AC$539-(Mitigation_Industry!AC$539-Mitigation_Industry!AC$529)*AC$250</f>
        <v>0.89957213196099195</v>
      </c>
      <c r="AD254" s="19">
        <f>Mitigation_Industry!AD$539-(Mitigation_Industry!AD$539-Mitigation_Industry!AD$529)*AD$250</f>
        <v>0.93258257081986695</v>
      </c>
      <c r="AE254" s="19">
        <f>Mitigation_Industry!AE$539-(Mitigation_Industry!AE$539-Mitigation_Industry!AE$529)*AE$250</f>
        <v>0.96559300967874195</v>
      </c>
    </row>
    <row r="255" spans="1:35" customFormat="1" ht="14.25" x14ac:dyDescent="0.45">
      <c r="B255" s="14" t="s">
        <v>60</v>
      </c>
      <c r="C255" s="14" t="s">
        <v>115</v>
      </c>
      <c r="D255" s="15" t="s">
        <v>2170</v>
      </c>
      <c r="E255" s="16" t="s">
        <v>57</v>
      </c>
      <c r="F255" s="14" t="s">
        <v>2162</v>
      </c>
      <c r="G255" s="17"/>
      <c r="H255" s="114" t="str">
        <f>Settings!$B$3&amp;".mit.atpn.nfm.lpg.e.2"</f>
        <v>egy.mit.atpn.nfm.lpg.e.2</v>
      </c>
      <c r="I255" t="s">
        <v>2241</v>
      </c>
      <c r="K255" s="18"/>
      <c r="L255" s="19">
        <f>Mitigation_Industry!L$540-(Mitigation_Industry!L$540-Mitigation_Industry!L$530)*L$250</f>
        <v>0.15734473625227399</v>
      </c>
      <c r="M255" s="19">
        <f>Mitigation_Industry!M$540-(Mitigation_Industry!M$540-Mitigation_Industry!M$530)*M$250</f>
        <v>0.164484037759277</v>
      </c>
      <c r="N255" s="19">
        <f>Mitigation_Industry!N$540-(Mitigation_Industry!N$540-Mitigation_Industry!N$530)*N$250</f>
        <v>0.15070907780704901</v>
      </c>
      <c r="O255" s="19">
        <f>Mitigation_Industry!O$540-(Mitigation_Industry!O$540-Mitigation_Industry!O$530)*O$250</f>
        <v>0.15070907780704901</v>
      </c>
      <c r="P255" s="19">
        <f>Mitigation_Industry!P$540-(Mitigation_Industry!P$540-Mitigation_Industry!P$530)*P$250</f>
        <v>0.15070907780704901</v>
      </c>
      <c r="Q255" s="19">
        <f>Mitigation_Industry!Q$540-(Mitigation_Industry!Q$540-Mitigation_Industry!Q$530)*Q$250</f>
        <v>0.17281516073434466</v>
      </c>
      <c r="R255" s="19">
        <f>Mitigation_Industry!R$540-(Mitigation_Industry!R$540-Mitigation_Industry!R$530)*R$250</f>
        <v>0.19492124366164035</v>
      </c>
      <c r="S255" s="19">
        <f>Mitigation_Industry!S$540-(Mitigation_Industry!S$540-Mitigation_Industry!S$530)*S$250</f>
        <v>0.217027326588936</v>
      </c>
      <c r="T255" s="19">
        <f>Mitigation_Industry!T$540-(Mitigation_Industry!T$540-Mitigation_Industry!T$530)*T$250</f>
        <v>0.23913340951623169</v>
      </c>
      <c r="U255" s="19">
        <f>Mitigation_Industry!U$540-(Mitigation_Industry!U$540-Mitigation_Industry!U$530)*U$250</f>
        <v>0.26123949244352734</v>
      </c>
      <c r="V255" s="19">
        <f>Mitigation_Industry!V$540-(Mitigation_Industry!V$540-Mitigation_Industry!V$530)*V$250</f>
        <v>0.283345575370823</v>
      </c>
      <c r="W255" s="19">
        <f>Mitigation_Industry!W$540-(Mitigation_Industry!W$540-Mitigation_Industry!W$530)*W$250</f>
        <v>0.30545165829811871</v>
      </c>
      <c r="X255" s="19">
        <f>Mitigation_Industry!X$540-(Mitigation_Industry!X$540-Mitigation_Industry!X$530)*X$250</f>
        <v>0.32755774122541437</v>
      </c>
      <c r="Y255" s="19">
        <f>Mitigation_Industry!Y$540-(Mitigation_Industry!Y$540-Mitigation_Industry!Y$530)*Y$250</f>
        <v>0.34966382415271002</v>
      </c>
      <c r="Z255" s="19">
        <f>Mitigation_Industry!Z$540-(Mitigation_Industry!Z$540-Mitigation_Industry!Z$530)*Z$250</f>
        <v>0.37176990708000568</v>
      </c>
      <c r="AA255" s="19">
        <f>Mitigation_Industry!AA$540-(Mitigation_Industry!AA$540-Mitigation_Industry!AA$530)*AA$250</f>
        <v>0.39387599000730134</v>
      </c>
      <c r="AB255" s="19">
        <f>Mitigation_Industry!AB$540-(Mitigation_Industry!AB$540-Mitigation_Industry!AB$530)*AB$250</f>
        <v>0.41598207293459699</v>
      </c>
      <c r="AC255" s="19">
        <f>Mitigation_Industry!AC$540-(Mitigation_Industry!AC$540-Mitigation_Industry!AC$530)*AC$250</f>
        <v>0.4380881558618927</v>
      </c>
      <c r="AD255" s="19">
        <f>Mitigation_Industry!AD$540-(Mitigation_Industry!AD$540-Mitigation_Industry!AD$530)*AD$250</f>
        <v>0.46019423878918836</v>
      </c>
      <c r="AE255" s="19">
        <f>Mitigation_Industry!AE$540-(Mitigation_Industry!AE$540-Mitigation_Industry!AE$530)*AE$250</f>
        <v>0.48230032171648402</v>
      </c>
    </row>
    <row r="256" spans="1:35" customFormat="1" ht="14.25" x14ac:dyDescent="0.45">
      <c r="B256" s="14" t="s">
        <v>62</v>
      </c>
      <c r="C256" s="14" t="s">
        <v>115</v>
      </c>
      <c r="D256" s="15" t="s">
        <v>2172</v>
      </c>
      <c r="E256" s="16" t="s">
        <v>57</v>
      </c>
      <c r="F256" s="14" t="s">
        <v>2162</v>
      </c>
      <c r="G256" s="17"/>
      <c r="H256" s="114" t="str">
        <f>Settings!$B$3&amp;".mit.atpn.nfm.ker.e.2"</f>
        <v>egy.mit.atpn.nfm.ker.e.2</v>
      </c>
      <c r="I256" t="s">
        <v>2242</v>
      </c>
      <c r="K256" s="18"/>
      <c r="L256" s="19">
        <f>Mitigation_Industry!L$541-(Mitigation_Industry!L$541-Mitigation_Industry!L$531)*L$250</f>
        <v>0.45642817050012802</v>
      </c>
      <c r="M256" s="19">
        <f>Mitigation_Industry!M$541-(Mitigation_Industry!M$541-Mitigation_Industry!M$531)*M$250</f>
        <v>0.43168920195599497</v>
      </c>
      <c r="N256" s="19">
        <f>Mitigation_Industry!N$541-(Mitigation_Industry!N$541-Mitigation_Industry!N$531)*N$250</f>
        <v>0.42507558395597</v>
      </c>
      <c r="O256" s="19">
        <f>Mitigation_Industry!O$541-(Mitigation_Industry!O$541-Mitigation_Industry!O$531)*O$250</f>
        <v>0.42507558395597</v>
      </c>
      <c r="P256" s="19">
        <f>Mitigation_Industry!P$541-(Mitigation_Industry!P$541-Mitigation_Industry!P$531)*P$250</f>
        <v>0.42507558395597</v>
      </c>
      <c r="Q256" s="19">
        <f>Mitigation_Industry!Q$541-(Mitigation_Industry!Q$541-Mitigation_Industry!Q$531)*Q$250</f>
        <v>0.45706441406607845</v>
      </c>
      <c r="R256" s="19">
        <f>Mitigation_Industry!R$541-(Mitigation_Industry!R$541-Mitigation_Industry!R$531)*R$250</f>
        <v>0.48905324417618695</v>
      </c>
      <c r="S256" s="19">
        <f>Mitigation_Industry!S$541-(Mitigation_Industry!S$541-Mitigation_Industry!S$531)*S$250</f>
        <v>0.52104207428629534</v>
      </c>
      <c r="T256" s="19">
        <f>Mitigation_Industry!T$541-(Mitigation_Industry!T$541-Mitigation_Industry!T$531)*T$250</f>
        <v>0.5530309043964039</v>
      </c>
      <c r="U256" s="19">
        <f>Mitigation_Industry!U$541-(Mitigation_Industry!U$541-Mitigation_Industry!U$531)*U$250</f>
        <v>0.58501973450651235</v>
      </c>
      <c r="V256" s="19">
        <f>Mitigation_Industry!V$541-(Mitigation_Industry!V$541-Mitigation_Industry!V$531)*V$250</f>
        <v>0.61700856461662079</v>
      </c>
      <c r="W256" s="19">
        <f>Mitigation_Industry!W$541-(Mitigation_Industry!W$541-Mitigation_Industry!W$531)*W$250</f>
        <v>0.64899739472672924</v>
      </c>
      <c r="X256" s="19">
        <f>Mitigation_Industry!X$541-(Mitigation_Industry!X$541-Mitigation_Industry!X$531)*X$250</f>
        <v>0.68098622483683768</v>
      </c>
      <c r="Y256" s="19">
        <f>Mitigation_Industry!Y$541-(Mitigation_Industry!Y$541-Mitigation_Industry!Y$531)*Y$250</f>
        <v>0.71297505494694624</v>
      </c>
      <c r="Z256" s="19">
        <f>Mitigation_Industry!Z$541-(Mitigation_Industry!Z$541-Mitigation_Industry!Z$531)*Z$250</f>
        <v>0.74496388505705469</v>
      </c>
      <c r="AA256" s="19">
        <f>Mitigation_Industry!AA$541-(Mitigation_Industry!AA$541-Mitigation_Industry!AA$531)*AA$250</f>
        <v>0.77695271516716313</v>
      </c>
      <c r="AB256" s="19">
        <f>Mitigation_Industry!AB$541-(Mitigation_Industry!AB$541-Mitigation_Industry!AB$531)*AB$250</f>
        <v>0.80894154527727158</v>
      </c>
      <c r="AC256" s="19">
        <f>Mitigation_Industry!AC$541-(Mitigation_Industry!AC$541-Mitigation_Industry!AC$531)*AC$250</f>
        <v>0.84093037538738002</v>
      </c>
      <c r="AD256" s="19">
        <f>Mitigation_Industry!AD$541-(Mitigation_Industry!AD$541-Mitigation_Industry!AD$531)*AD$250</f>
        <v>0.87291920549748858</v>
      </c>
      <c r="AE256" s="19">
        <f>Mitigation_Industry!AE$541-(Mitigation_Industry!AE$541-Mitigation_Industry!AE$531)*AE$250</f>
        <v>0.90490803560759692</v>
      </c>
    </row>
    <row r="257" spans="1:35" customFormat="1" ht="14.25" x14ac:dyDescent="0.45">
      <c r="B257" s="14" t="s">
        <v>64</v>
      </c>
      <c r="C257" s="14" t="s">
        <v>115</v>
      </c>
      <c r="D257" s="15" t="s">
        <v>2174</v>
      </c>
      <c r="E257" s="16" t="s">
        <v>66</v>
      </c>
      <c r="F257" s="14" t="s">
        <v>2162</v>
      </c>
      <c r="G257" s="17"/>
      <c r="H257" s="114" t="str">
        <f>Settings!$B$3&amp;".mit.atpn.nfm.oop.e.2"</f>
        <v>egy.mit.atpn.nfm.oop.e.2</v>
      </c>
      <c r="I257" t="s">
        <v>2243</v>
      </c>
      <c r="K257" s="18"/>
      <c r="L257" s="19">
        <f>Mitigation_Industry!L$542-(Mitigation_Industry!L$542-Mitigation_Industry!L$532)*L$250</f>
        <v>34.4153703043132</v>
      </c>
      <c r="M257" s="19">
        <f>Mitigation_Industry!M$542-(Mitigation_Industry!M$542-Mitigation_Industry!M$532)*M$250</f>
        <v>37.368960690431997</v>
      </c>
      <c r="N257" s="19">
        <f>Mitigation_Industry!N$542-(Mitigation_Industry!N$542-Mitigation_Industry!N$532)*N$250</f>
        <v>28.982761101477301</v>
      </c>
      <c r="O257" s="19">
        <f>Mitigation_Industry!O$542-(Mitigation_Industry!O$542-Mitigation_Industry!O$532)*O$250</f>
        <v>15</v>
      </c>
      <c r="P257" s="19">
        <f>Mitigation_Industry!P$542-(Mitigation_Industry!P$542-Mitigation_Industry!P$532)*P$250</f>
        <v>24.2586300842555</v>
      </c>
      <c r="Q257" s="19">
        <f>Mitigation_Industry!Q$542-(Mitigation_Industry!Q$542-Mitigation_Industry!Q$532)*Q$250</f>
        <v>18.963758196132499</v>
      </c>
      <c r="R257" s="19">
        <f>Mitigation_Industry!R$542-(Mitigation_Industry!R$542-Mitigation_Industry!R$532)*R$250</f>
        <v>21.760345114010597</v>
      </c>
      <c r="S257" s="19">
        <f>Mitigation_Industry!S$542-(Mitigation_Industry!S$542-Mitigation_Industry!S$532)*S$250</f>
        <v>26.079880691373621</v>
      </c>
      <c r="T257" s="19">
        <f>Mitigation_Industry!T$542-(Mitigation_Industry!T$542-Mitigation_Industry!T$532)*T$250</f>
        <v>30.593682445209218</v>
      </c>
      <c r="U257" s="19">
        <f>Mitigation_Industry!U$542-(Mitigation_Industry!U$542-Mitigation_Industry!U$532)*U$250</f>
        <v>34.990509739410058</v>
      </c>
      <c r="V257" s="19">
        <f>Mitigation_Industry!V$542-(Mitigation_Industry!V$542-Mitigation_Industry!V$532)*V$250</f>
        <v>40.858059739410059</v>
      </c>
      <c r="W257" s="19">
        <f>Mitigation_Industry!W$542-(Mitigation_Industry!W$542-Mitigation_Industry!W$532)*W$250</f>
        <v>46.725609739410054</v>
      </c>
      <c r="X257" s="19">
        <f>Mitigation_Industry!X$542-(Mitigation_Industry!X$542-Mitigation_Industry!X$532)*X$250</f>
        <v>52.593159739410055</v>
      </c>
      <c r="Y257" s="19">
        <f>Mitigation_Industry!Y$542-(Mitigation_Industry!Y$542-Mitigation_Industry!Y$532)*Y$250</f>
        <v>58.460709739410056</v>
      </c>
      <c r="Z257" s="19">
        <f>Mitigation_Industry!Z$542-(Mitigation_Industry!Z$542-Mitigation_Industry!Z$532)*Z$250</f>
        <v>64.328259739410072</v>
      </c>
      <c r="AA257" s="19">
        <f>Mitigation_Industry!AA$542-(Mitigation_Industry!AA$542-Mitigation_Industry!AA$532)*AA$250</f>
        <v>70.195809739410052</v>
      </c>
      <c r="AB257" s="19">
        <f>Mitigation_Industry!AB$542-(Mitigation_Industry!AB$542-Mitigation_Industry!AB$532)*AB$250</f>
        <v>76.06335973941006</v>
      </c>
      <c r="AC257" s="19">
        <f>Mitigation_Industry!AC$542-(Mitigation_Industry!AC$542-Mitigation_Industry!AC$532)*AC$250</f>
        <v>81.930909739410041</v>
      </c>
      <c r="AD257" s="19">
        <f>Mitigation_Industry!AD$542-(Mitigation_Industry!AD$542-Mitigation_Industry!AD$532)*AD$250</f>
        <v>87.798459739410049</v>
      </c>
      <c r="AE257" s="19">
        <f>Mitigation_Industry!AE$542-(Mitigation_Industry!AE$542-Mitigation_Industry!AE$532)*AE$250</f>
        <v>93.666009739410043</v>
      </c>
    </row>
    <row r="258" spans="1:35" customFormat="1" ht="14.25" x14ac:dyDescent="0.45">
      <c r="B258" s="14" t="s">
        <v>67</v>
      </c>
      <c r="C258" s="14" t="s">
        <v>115</v>
      </c>
      <c r="D258" s="15" t="s">
        <v>2176</v>
      </c>
      <c r="E258" s="16" t="s">
        <v>51</v>
      </c>
      <c r="F258" s="14" t="s">
        <v>2162</v>
      </c>
      <c r="G258" s="17"/>
      <c r="H258" s="114" t="str">
        <f>Settings!$B$3&amp;".mit.atpn.nfm.bio.e.2"</f>
        <v>egy.mit.atpn.nfm.bio.e.2</v>
      </c>
      <c r="I258" t="s">
        <v>2244</v>
      </c>
      <c r="K258" s="18"/>
      <c r="L258" s="19">
        <f>Mitigation_Industry!L$543-(Mitigation_Industry!L$543-Mitigation_Industry!L$533)*L$250</f>
        <v>14.199528390634899</v>
      </c>
      <c r="M258" s="19">
        <f>Mitigation_Industry!M$543-(Mitigation_Industry!M$543-Mitigation_Industry!M$533)*M$250</f>
        <v>13.8404416133152</v>
      </c>
      <c r="N258" s="19">
        <f>Mitigation_Industry!N$543-(Mitigation_Industry!N$543-Mitigation_Industry!N$533)*N$250</f>
        <v>13.5677269404465</v>
      </c>
      <c r="O258" s="19">
        <f>Mitigation_Industry!O$543-(Mitigation_Industry!O$543-Mitigation_Industry!O$533)*O$250</f>
        <v>13.5677269404465</v>
      </c>
      <c r="P258" s="19">
        <f>Mitigation_Industry!P$543-(Mitigation_Industry!P$543-Mitigation_Industry!P$533)*P$250</f>
        <v>13.5677269404465</v>
      </c>
      <c r="Q258" s="19">
        <f>Mitigation_Industry!Q$543-(Mitigation_Industry!Q$543-Mitigation_Industry!Q$533)*Q$250</f>
        <v>13.5677269404465</v>
      </c>
      <c r="R258" s="19">
        <f>Mitigation_Industry!R$543-(Mitigation_Industry!R$543-Mitigation_Industry!R$533)*R$250</f>
        <v>13.5677269404465</v>
      </c>
      <c r="S258" s="19">
        <f>Mitigation_Industry!S$543-(Mitigation_Industry!S$543-Mitigation_Industry!S$533)*S$250</f>
        <v>13.5677269404465</v>
      </c>
      <c r="T258" s="19">
        <f>Mitigation_Industry!T$543-(Mitigation_Industry!T$543-Mitigation_Industry!T$533)*T$250</f>
        <v>13.5677269404465</v>
      </c>
      <c r="U258" s="19">
        <f>Mitigation_Industry!U$543-(Mitigation_Industry!U$543-Mitigation_Industry!U$533)*U$250</f>
        <v>13.5677269404465</v>
      </c>
      <c r="V258" s="19">
        <f>Mitigation_Industry!V$543-(Mitigation_Industry!V$543-Mitigation_Industry!V$533)*V$250</f>
        <v>13.5677269404465</v>
      </c>
      <c r="W258" s="19">
        <f>Mitigation_Industry!W$543-(Mitigation_Industry!W$543-Mitigation_Industry!W$533)*W$250</f>
        <v>13.5677269404465</v>
      </c>
      <c r="X258" s="19">
        <f>Mitigation_Industry!X$543-(Mitigation_Industry!X$543-Mitigation_Industry!X$533)*X$250</f>
        <v>13.5677269404465</v>
      </c>
      <c r="Y258" s="19">
        <f>Mitigation_Industry!Y$543-(Mitigation_Industry!Y$543-Mitigation_Industry!Y$533)*Y$250</f>
        <v>13.5677269404465</v>
      </c>
      <c r="Z258" s="19">
        <f>Mitigation_Industry!Z$543-(Mitigation_Industry!Z$543-Mitigation_Industry!Z$533)*Z$250</f>
        <v>13.5677269404465</v>
      </c>
      <c r="AA258" s="19">
        <f>Mitigation_Industry!AA$543-(Mitigation_Industry!AA$543-Mitigation_Industry!AA$533)*AA$250</f>
        <v>13.5677269404465</v>
      </c>
      <c r="AB258" s="19">
        <f>Mitigation_Industry!AB$543-(Mitigation_Industry!AB$543-Mitigation_Industry!AB$533)*AB$250</f>
        <v>13.5677269404465</v>
      </c>
      <c r="AC258" s="19">
        <f>Mitigation_Industry!AC$543-(Mitigation_Industry!AC$543-Mitigation_Industry!AC$533)*AC$250</f>
        <v>13.5677269404465</v>
      </c>
      <c r="AD258" s="19">
        <f>Mitigation_Industry!AD$543-(Mitigation_Industry!AD$543-Mitigation_Industry!AD$533)*AD$250</f>
        <v>13.5677269404465</v>
      </c>
      <c r="AE258" s="19">
        <f>Mitigation_Industry!AE$543-(Mitigation_Industry!AE$543-Mitigation_Industry!AE$533)*AE$250</f>
        <v>13.5677269404465</v>
      </c>
    </row>
    <row r="259" spans="1:35" customFormat="1" ht="14.25" x14ac:dyDescent="0.45">
      <c r="B259" s="14" t="s">
        <v>69</v>
      </c>
      <c r="C259" s="14" t="s">
        <v>115</v>
      </c>
      <c r="D259" s="15" t="s">
        <v>2178</v>
      </c>
      <c r="E259" s="16" t="s">
        <v>71</v>
      </c>
      <c r="F259" s="14" t="s">
        <v>2162</v>
      </c>
      <c r="G259" s="17"/>
      <c r="H259" s="114" t="str">
        <f>Settings!$B$3&amp;".mit.atpn.nfm.ren.e.2"</f>
        <v>egy.mit.atpn.nfm.ren.e.2</v>
      </c>
      <c r="I259" t="s">
        <v>2245</v>
      </c>
      <c r="K259" s="18"/>
      <c r="L259" s="19">
        <f>Mitigation_Industry!L$544-(Mitigation_Industry!L$544-Mitigation_Industry!L$534)*L$250</f>
        <v>0.14404498679319799</v>
      </c>
      <c r="M259" s="19">
        <f>Mitigation_Industry!M$544-(Mitigation_Industry!M$544-Mitigation_Industry!M$534)*M$250</f>
        <v>0.141386241751359</v>
      </c>
      <c r="N259" s="19">
        <f>Mitigation_Industry!N$544-(Mitigation_Industry!N$544-Mitigation_Industry!N$534)*N$250</f>
        <v>0.13539756544373099</v>
      </c>
      <c r="O259" s="19">
        <f>Mitigation_Industry!O$544-(Mitigation_Industry!O$544-Mitigation_Industry!O$534)*O$250</f>
        <v>0.13152288542065099</v>
      </c>
      <c r="P259" s="19">
        <f>Mitigation_Industry!P$544-(Mitigation_Industry!P$544-Mitigation_Industry!P$534)*P$250</f>
        <v>0.12882610848523099</v>
      </c>
      <c r="Q259" s="19">
        <f>Mitigation_Industry!Q$544-(Mitigation_Industry!Q$544-Mitigation_Industry!Q$534)*Q$250</f>
        <v>0.12594200976473999</v>
      </c>
      <c r="R259" s="19">
        <f>Mitigation_Industry!R$544-(Mitigation_Industry!R$544-Mitigation_Industry!R$534)*R$250</f>
        <v>0.123113265701861</v>
      </c>
      <c r="S259" s="19">
        <f>Mitigation_Industry!S$544-(Mitigation_Industry!S$544-Mitigation_Industry!S$534)*S$250</f>
        <v>0.119391738089068</v>
      </c>
      <c r="T259" s="19">
        <f>Mitigation_Industry!T$544-(Mitigation_Industry!T$544-Mitigation_Industry!T$534)*T$250</f>
        <v>0.11554419046792</v>
      </c>
      <c r="U259" s="19">
        <f>Mitigation_Industry!U$544-(Mitigation_Industry!U$544-Mitigation_Industry!U$534)*U$250</f>
        <v>0.11492423065415899</v>
      </c>
      <c r="V259" s="19">
        <f>Mitigation_Industry!V$544-(Mitigation_Industry!V$544-Mitigation_Industry!V$534)*V$250</f>
        <v>0.114346912116736</v>
      </c>
      <c r="W259" s="19">
        <f>Mitigation_Industry!W$544-(Mitigation_Industry!W$544-Mitigation_Industry!W$534)*W$250</f>
        <v>0.113738711172664</v>
      </c>
      <c r="X259" s="19">
        <f>Mitigation_Industry!X$544-(Mitigation_Industry!X$544-Mitigation_Industry!X$534)*X$250</f>
        <v>0.112999900487521</v>
      </c>
      <c r="Y259" s="19">
        <f>Mitigation_Industry!Y$544-(Mitigation_Industry!Y$544-Mitigation_Industry!Y$534)*Y$250</f>
        <v>0.112177685835534</v>
      </c>
      <c r="Z259" s="19">
        <f>Mitigation_Industry!Z$544-(Mitigation_Industry!Z$544-Mitigation_Industry!Z$534)*Z$250</f>
        <v>0.111417903250404</v>
      </c>
      <c r="AA259" s="19">
        <f>Mitigation_Industry!AA$544-(Mitigation_Industry!AA$544-Mitigation_Industry!AA$534)*AA$250</f>
        <v>0.11052581998545399</v>
      </c>
      <c r="AB259" s="19">
        <f>Mitigation_Industry!AB$544-(Mitigation_Industry!AB$544-Mitigation_Industry!AB$534)*AB$250</f>
        <v>0.109699565234896</v>
      </c>
      <c r="AC259" s="19">
        <f>Mitigation_Industry!AC$544-(Mitigation_Industry!AC$544-Mitigation_Industry!AC$534)*AC$250</f>
        <v>0.10772678896394899</v>
      </c>
      <c r="AD259" s="19">
        <f>Mitigation_Industry!AD$544-(Mitigation_Industry!AD$544-Mitigation_Industry!AD$534)*AD$250</f>
        <v>0.10582092445093499</v>
      </c>
      <c r="AE259" s="19">
        <f>Mitigation_Industry!AE$544-(Mitigation_Industry!AE$544-Mitigation_Industry!AE$534)*AE$250</f>
        <v>0.103855595705721</v>
      </c>
    </row>
    <row r="261" spans="1:35" customFormat="1" ht="14.25" x14ac:dyDescent="0.45">
      <c r="A261" s="11"/>
      <c r="B261" s="6"/>
      <c r="C261" s="7" t="s">
        <v>117</v>
      </c>
      <c r="D261" s="6" t="s">
        <v>1505</v>
      </c>
      <c r="E261" s="7" t="s">
        <v>35</v>
      </c>
      <c r="F261" s="7" t="s">
        <v>45</v>
      </c>
      <c r="G261" s="7" t="s">
        <v>37</v>
      </c>
      <c r="H261" s="12" t="s">
        <v>38</v>
      </c>
      <c r="I261" s="6" t="s">
        <v>39</v>
      </c>
      <c r="J261" s="48">
        <v>2</v>
      </c>
      <c r="K261" s="6">
        <v>2021</v>
      </c>
      <c r="L261" s="46">
        <v>2022</v>
      </c>
      <c r="M261" s="6">
        <v>2023</v>
      </c>
      <c r="N261" s="6">
        <v>2024</v>
      </c>
      <c r="O261" s="6">
        <v>2025</v>
      </c>
      <c r="P261" s="6">
        <v>2026</v>
      </c>
      <c r="Q261" s="6">
        <v>2027</v>
      </c>
      <c r="R261" s="6">
        <v>2028</v>
      </c>
      <c r="S261" s="6">
        <v>2029</v>
      </c>
      <c r="T261" s="6">
        <v>2030</v>
      </c>
      <c r="U261" s="6">
        <v>2031</v>
      </c>
      <c r="V261" s="6">
        <v>2032</v>
      </c>
      <c r="W261" s="6">
        <v>2033</v>
      </c>
      <c r="X261" s="6">
        <v>2034</v>
      </c>
      <c r="Y261" s="6">
        <v>2035</v>
      </c>
      <c r="Z261" s="6">
        <v>2036</v>
      </c>
      <c r="AA261" s="6">
        <v>2037</v>
      </c>
      <c r="AB261" s="6">
        <v>2038</v>
      </c>
      <c r="AC261" s="6">
        <v>2039</v>
      </c>
      <c r="AD261" s="6">
        <v>2040</v>
      </c>
      <c r="AE261" s="6">
        <v>2041</v>
      </c>
      <c r="AF261" s="6">
        <v>2042</v>
      </c>
      <c r="AG261" s="6">
        <v>2043</v>
      </c>
      <c r="AH261" s="6">
        <v>2044</v>
      </c>
      <c r="AI261" s="6">
        <v>2045</v>
      </c>
    </row>
    <row r="262" spans="1:35" customFormat="1" ht="14.25" x14ac:dyDescent="0.45">
      <c r="B262" s="14" t="s">
        <v>110</v>
      </c>
      <c r="C262" s="14" t="s">
        <v>117</v>
      </c>
      <c r="D262" s="25" t="s">
        <v>2154</v>
      </c>
      <c r="E262" s="16" t="s">
        <v>1871</v>
      </c>
      <c r="F262" s="14" t="s">
        <v>2143</v>
      </c>
      <c r="H262" s="114" t="str">
        <f>Settings!$B$3&amp;".mit.obr.ind.mch.2"</f>
        <v>egy.mit.obr.ind.mch.2</v>
      </c>
      <c r="I262" t="s">
        <v>2200</v>
      </c>
      <c r="L262" s="116">
        <f t="shared" ref="L262:AE262" si="66">L$213+L$214+L$215</f>
        <v>0</v>
      </c>
      <c r="M262" s="116">
        <f t="shared" si="66"/>
        <v>0</v>
      </c>
      <c r="N262" s="116">
        <f t="shared" si="66"/>
        <v>0</v>
      </c>
      <c r="O262" s="116">
        <f t="shared" si="66"/>
        <v>0</v>
      </c>
      <c r="P262" s="116">
        <f t="shared" si="66"/>
        <v>0</v>
      </c>
      <c r="Q262" s="116">
        <f t="shared" si="66"/>
        <v>0</v>
      </c>
      <c r="R262" s="116">
        <f t="shared" si="66"/>
        <v>0</v>
      </c>
      <c r="S262" s="116">
        <f t="shared" si="66"/>
        <v>0</v>
      </c>
      <c r="T262" s="116">
        <f t="shared" si="66"/>
        <v>0</v>
      </c>
      <c r="U262" s="116">
        <f t="shared" si="66"/>
        <v>0</v>
      </c>
      <c r="V262" s="116">
        <f t="shared" si="66"/>
        <v>0</v>
      </c>
      <c r="W262" s="116">
        <f t="shared" si="66"/>
        <v>0</v>
      </c>
      <c r="X262" s="116">
        <f t="shared" si="66"/>
        <v>0</v>
      </c>
      <c r="Y262" s="116">
        <f t="shared" si="66"/>
        <v>0</v>
      </c>
      <c r="Z262" s="116">
        <f t="shared" si="66"/>
        <v>0</v>
      </c>
      <c r="AA262" s="116">
        <f t="shared" si="66"/>
        <v>0</v>
      </c>
      <c r="AB262" s="116">
        <f t="shared" si="66"/>
        <v>0</v>
      </c>
      <c r="AC262" s="116">
        <f t="shared" si="66"/>
        <v>0</v>
      </c>
      <c r="AD262" s="116">
        <f t="shared" si="66"/>
        <v>0</v>
      </c>
      <c r="AE262" s="116">
        <f t="shared" si="66"/>
        <v>0</v>
      </c>
    </row>
    <row r="263" spans="1:35" customFormat="1" ht="14.25" x14ac:dyDescent="0.45">
      <c r="B263" s="14" t="s">
        <v>110</v>
      </c>
      <c r="C263" s="14" t="s">
        <v>117</v>
      </c>
      <c r="D263" s="25" t="s">
        <v>2156</v>
      </c>
      <c r="E263" s="16" t="s">
        <v>1871</v>
      </c>
      <c r="F263" s="14" t="s">
        <v>2157</v>
      </c>
      <c r="H263" s="114" t="str">
        <f>Settings!$B$3&amp;".mit.ccf.ind.mch.2"</f>
        <v>egy.mit.ccf.ind.mch.2</v>
      </c>
      <c r="L263" s="116">
        <f>L$163*Mitigation_Industry!L$679/1000+L$164*Mitigation_Industry!L$680/1000+L$165*Mitigation_Industry!L$681/1000</f>
        <v>0</v>
      </c>
      <c r="M263" s="116">
        <f>M$163*Mitigation_Industry!M$679/1000+M$164*Mitigation_Industry!M$680/1000+M$165*Mitigation_Industry!M$681/1000</f>
        <v>0</v>
      </c>
      <c r="N263" s="116">
        <f>N$163*Mitigation_Industry!N$679/1000+N$164*Mitigation_Industry!N$680/1000+N$165*Mitigation_Industry!N$681/1000</f>
        <v>0</v>
      </c>
      <c r="O263" s="116">
        <f>O$163*Mitigation_Industry!O$679/1000+O$164*Mitigation_Industry!O$680/1000+O$165*Mitigation_Industry!O$681/1000</f>
        <v>0</v>
      </c>
      <c r="P263" s="116">
        <f>P$163*Mitigation_Industry!P$679/1000+P$164*Mitigation_Industry!P$680/1000+P$165*Mitigation_Industry!P$681/1000</f>
        <v>0</v>
      </c>
      <c r="Q263" s="116">
        <f>Q$163*Mitigation_Industry!Q$679/1000+Q$164*Mitigation_Industry!Q$680/1000+Q$165*Mitigation_Industry!Q$681/1000</f>
        <v>49.184015342396549</v>
      </c>
      <c r="R263" s="116">
        <f>R$163*Mitigation_Industry!R$679/1000+R$164*Mitigation_Industry!R$680/1000+R$165*Mitigation_Industry!R$681/1000</f>
        <v>100.53212735985855</v>
      </c>
      <c r="S263" s="116">
        <f>S$163*Mitigation_Industry!S$679/1000+S$164*Mitigation_Industry!S$680/1000+S$165*Mitigation_Industry!S$681/1000</f>
        <v>154.11575124266312</v>
      </c>
      <c r="T263" s="116">
        <f>T$163*Mitigation_Industry!T$679/1000+T$164*Mitigation_Industry!T$680/1000+T$165*Mitigation_Industry!T$681/1000</f>
        <v>210.00839702666897</v>
      </c>
      <c r="U263" s="116">
        <f>U$163*Mitigation_Industry!U$679/1000+U$164*Mitigation_Industry!U$680/1000+U$165*Mitigation_Industry!U$681/1000</f>
        <v>268.28572720156967</v>
      </c>
      <c r="V263" s="116">
        <f>V$163*Mitigation_Industry!V$679/1000+V$164*Mitigation_Industry!V$680/1000+V$165*Mitigation_Industry!V$681/1000</f>
        <v>329.02561584000495</v>
      </c>
      <c r="W263" s="116">
        <f>W$163*Mitigation_Industry!W$679/1000+W$164*Mitigation_Industry!W$680/1000+W$165*Mitigation_Industry!W$681/1000</f>
        <v>392.30820928656601</v>
      </c>
      <c r="X263" s="116">
        <f>X$163*Mitigation_Industry!X$679/1000+X$164*Mitigation_Industry!X$680/1000+X$165*Mitigation_Industry!X$681/1000</f>
        <v>458.2159884467091</v>
      </c>
      <c r="Y263" s="116">
        <f>Y$163*Mitigation_Industry!Y$679/1000+Y$164*Mitigation_Industry!Y$680/1000+Y$165*Mitigation_Industry!Y$681/1000</f>
        <v>526.83383271660375</v>
      </c>
      <c r="Z263" s="116">
        <f>Z$163*Mitigation_Industry!Z$679/1000+Z$164*Mitigation_Industry!Z$680/1000+Z$165*Mitigation_Industry!Z$681/1000</f>
        <v>598.24908559596577</v>
      </c>
      <c r="AA263" s="116">
        <f>AA$163*Mitigation_Industry!AA$679/1000+AA$164*Mitigation_Industry!AA$680/1000+AA$165*Mitigation_Industry!AA$681/1000</f>
        <v>672.55162202698455</v>
      </c>
      <c r="AB263" s="116">
        <f>AB$163*Mitigation_Industry!AB$679/1000+AB$164*Mitigation_Industry!AB$680/1000+AB$165*Mitigation_Industry!AB$681/1000</f>
        <v>749.83391750353985</v>
      </c>
      <c r="AC263" s="116">
        <f>AC$163*Mitigation_Industry!AC$679/1000+AC$164*Mitigation_Industry!AC$680/1000+AC$165*Mitigation_Industry!AC$681/1000</f>
        <v>830.1911189960025</v>
      </c>
      <c r="AD263" s="116">
        <f>AD$163*Mitigation_Industry!AD$679/1000+AD$164*Mitigation_Industry!AD$680/1000+AD$165*Mitigation_Industry!AD$681/1000</f>
        <v>913.72111773806193</v>
      </c>
      <c r="AE263" s="116">
        <f>AE$163*Mitigation_Industry!AE$679/1000+AE$164*Mitigation_Industry!AE$680/1000+AE$165*Mitigation_Industry!AE$681/1000</f>
        <v>1000.5246239231777</v>
      </c>
    </row>
    <row r="264" spans="1:35" customFormat="1" ht="14.25" x14ac:dyDescent="0.45">
      <c r="B264" s="14" t="s">
        <v>110</v>
      </c>
      <c r="C264" s="14" t="s">
        <v>117</v>
      </c>
      <c r="D264" s="25" t="s">
        <v>2158</v>
      </c>
      <c r="E264" s="16" t="s">
        <v>79</v>
      </c>
      <c r="F264" s="14" t="s">
        <v>2159</v>
      </c>
      <c r="H264" s="114" t="str">
        <f>Settings!$B$3&amp;".mit.rsh.ind.mch.2"</f>
        <v>egy.mit.rsh.ind.mch.2</v>
      </c>
      <c r="I264" t="s">
        <v>2160</v>
      </c>
      <c r="L264" s="116">
        <f t="shared" ref="L264:AE264" si="67">IF(L$263&lt;=0,0,MIN(1,L$262/L$263))</f>
        <v>0</v>
      </c>
      <c r="M264" s="116">
        <f t="shared" si="67"/>
        <v>0</v>
      </c>
      <c r="N264" s="116">
        <f t="shared" si="67"/>
        <v>0</v>
      </c>
      <c r="O264" s="116">
        <f t="shared" si="67"/>
        <v>0</v>
      </c>
      <c r="P264" s="116">
        <f t="shared" si="67"/>
        <v>0</v>
      </c>
      <c r="Q264" s="116">
        <f t="shared" si="67"/>
        <v>0</v>
      </c>
      <c r="R264" s="116">
        <f t="shared" si="67"/>
        <v>0</v>
      </c>
      <c r="S264" s="116">
        <f t="shared" si="67"/>
        <v>0</v>
      </c>
      <c r="T264" s="116">
        <f t="shared" si="67"/>
        <v>0</v>
      </c>
      <c r="U264" s="116">
        <f t="shared" si="67"/>
        <v>0</v>
      </c>
      <c r="V264" s="116">
        <f t="shared" si="67"/>
        <v>0</v>
      </c>
      <c r="W264" s="116">
        <f t="shared" si="67"/>
        <v>0</v>
      </c>
      <c r="X264" s="116">
        <f t="shared" si="67"/>
        <v>0</v>
      </c>
      <c r="Y264" s="116">
        <f t="shared" si="67"/>
        <v>0</v>
      </c>
      <c r="Z264" s="116">
        <f t="shared" si="67"/>
        <v>0</v>
      </c>
      <c r="AA264" s="116">
        <f t="shared" si="67"/>
        <v>0</v>
      </c>
      <c r="AB264" s="116">
        <f t="shared" si="67"/>
        <v>0</v>
      </c>
      <c r="AC264" s="116">
        <f t="shared" si="67"/>
        <v>0</v>
      </c>
      <c r="AD264" s="116">
        <f t="shared" si="67"/>
        <v>0</v>
      </c>
      <c r="AE264" s="116">
        <f t="shared" si="67"/>
        <v>0</v>
      </c>
    </row>
    <row r="265" spans="1:35" customFormat="1" ht="14.25" x14ac:dyDescent="0.45">
      <c r="B265" s="14" t="s">
        <v>49</v>
      </c>
      <c r="C265" s="14" t="s">
        <v>117</v>
      </c>
      <c r="D265" s="15" t="s">
        <v>2161</v>
      </c>
      <c r="E265" s="16" t="s">
        <v>51</v>
      </c>
      <c r="F265" s="14" t="s">
        <v>2162</v>
      </c>
      <c r="G265" s="17"/>
      <c r="H265" s="114" t="str">
        <f>Settings!$B$3&amp;".mit.atpn.mch.coa.e.2"</f>
        <v>egy.mit.atpn.mch.coa.e.2</v>
      </c>
      <c r="I265" t="s">
        <v>2246</v>
      </c>
      <c r="K265" s="18"/>
      <c r="L265" s="19">
        <f>Mitigation_Industry!L$596-(Mitigation_Industry!L$596-Mitigation_Industry!L$586)*L$264</f>
        <v>10.5233613454312</v>
      </c>
      <c r="M265" s="19">
        <f>Mitigation_Industry!M$596-(Mitigation_Industry!M$596-Mitigation_Industry!M$586)*M$264</f>
        <v>10.2995608274442</v>
      </c>
      <c r="N265" s="19">
        <f>Mitigation_Industry!N$596-(Mitigation_Industry!N$596-Mitigation_Industry!N$586)*N$264</f>
        <v>9.5775283595382597</v>
      </c>
      <c r="O265" s="19">
        <f>Mitigation_Industry!O$596-(Mitigation_Industry!O$596-Mitigation_Industry!O$586)*O$264</f>
        <v>8.4854782869580507</v>
      </c>
      <c r="P265" s="19">
        <f>Mitigation_Industry!P$596-(Mitigation_Industry!P$596-Mitigation_Industry!P$586)*P$264</f>
        <v>9.0871922352498604</v>
      </c>
      <c r="Q265" s="19">
        <f>Mitigation_Industry!Q$596-(Mitigation_Industry!Q$596-Mitigation_Industry!Q$586)*Q$264</f>
        <v>10.472923728932679</v>
      </c>
      <c r="R265" s="19">
        <f>Mitigation_Industry!R$596-(Mitigation_Industry!R$596-Mitigation_Industry!R$586)*R$264</f>
        <v>11.658564955509689</v>
      </c>
      <c r="S265" s="19">
        <f>Mitigation_Industry!S$596-(Mitigation_Industry!S$596-Mitigation_Industry!S$586)*S$264</f>
        <v>12.839547877397379</v>
      </c>
      <c r="T265" s="19">
        <f>Mitigation_Industry!T$596-(Mitigation_Industry!T$596-Mitigation_Industry!T$586)*T$264</f>
        <v>14.01568166602283</v>
      </c>
      <c r="U265" s="19">
        <f>Mitigation_Industry!U$596-(Mitigation_Industry!U$596-Mitigation_Industry!U$586)*U$264</f>
        <v>15.19439776555711</v>
      </c>
      <c r="V265" s="19">
        <f>Mitigation_Industry!V$596-(Mitigation_Industry!V$596-Mitigation_Industry!V$586)*V$264</f>
        <v>16.44439776555711</v>
      </c>
      <c r="W265" s="19">
        <f>Mitigation_Industry!W$596-(Mitigation_Industry!W$596-Mitigation_Industry!W$586)*W$264</f>
        <v>17.69439776555711</v>
      </c>
      <c r="X265" s="19">
        <f>Mitigation_Industry!X$596-(Mitigation_Industry!X$596-Mitigation_Industry!X$586)*X$264</f>
        <v>18.94439776555711</v>
      </c>
      <c r="Y265" s="19">
        <f>Mitigation_Industry!Y$596-(Mitigation_Industry!Y$596-Mitigation_Industry!Y$586)*Y$264</f>
        <v>20.19439776555711</v>
      </c>
      <c r="Z265" s="19">
        <f>Mitigation_Industry!Z$596-(Mitigation_Industry!Z$596-Mitigation_Industry!Z$586)*Z$264</f>
        <v>21.44439776555711</v>
      </c>
      <c r="AA265" s="19">
        <f>Mitigation_Industry!AA$596-(Mitigation_Industry!AA$596-Mitigation_Industry!AA$586)*AA$264</f>
        <v>22.69439776555711</v>
      </c>
      <c r="AB265" s="19">
        <f>Mitigation_Industry!AB$596-(Mitigation_Industry!AB$596-Mitigation_Industry!AB$586)*AB$264</f>
        <v>23.94439776555711</v>
      </c>
      <c r="AC265" s="19">
        <f>Mitigation_Industry!AC$596-(Mitigation_Industry!AC$596-Mitigation_Industry!AC$586)*AC$264</f>
        <v>25.19439776555711</v>
      </c>
      <c r="AD265" s="19">
        <f>Mitigation_Industry!AD$596-(Mitigation_Industry!AD$596-Mitigation_Industry!AD$586)*AD$264</f>
        <v>26.44439776555711</v>
      </c>
      <c r="AE265" s="19">
        <f>Mitigation_Industry!AE$596-(Mitigation_Industry!AE$596-Mitigation_Industry!AE$586)*AE$264</f>
        <v>27.69439776555711</v>
      </c>
    </row>
    <row r="266" spans="1:35" customFormat="1" ht="14.25" x14ac:dyDescent="0.45">
      <c r="B266" s="14" t="s">
        <v>53</v>
      </c>
      <c r="C266" s="14" t="s">
        <v>117</v>
      </c>
      <c r="D266" s="15" t="s">
        <v>2164</v>
      </c>
      <c r="E266" s="16" t="s">
        <v>51</v>
      </c>
      <c r="F266" s="14" t="s">
        <v>2162</v>
      </c>
      <c r="G266" s="17"/>
      <c r="H266" s="114" t="str">
        <f>Settings!$B$3&amp;".mit.atpn.mch.nga.e.2"</f>
        <v>egy.mit.atpn.mch.nga.e.2</v>
      </c>
      <c r="I266" t="s">
        <v>2247</v>
      </c>
      <c r="K266" s="18"/>
      <c r="L266" s="19">
        <f>Mitigation_Industry!L$597-(Mitigation_Industry!L$597-Mitigation_Industry!L$587)*L$264</f>
        <v>5.4510150816191896</v>
      </c>
      <c r="M266" s="19">
        <f>Mitigation_Industry!M$597-(Mitigation_Industry!M$597-Mitigation_Industry!M$587)*M$264</f>
        <v>5.1193563062624801</v>
      </c>
      <c r="N266" s="19">
        <f>Mitigation_Industry!N$597-(Mitigation_Industry!N$597-Mitigation_Industry!N$587)*N$264</f>
        <v>5.08218458640407</v>
      </c>
      <c r="O266" s="19">
        <f>Mitigation_Industry!O$597-(Mitigation_Industry!O$597-Mitigation_Industry!O$587)*O$264</f>
        <v>5.08218458640407</v>
      </c>
      <c r="P266" s="19">
        <f>Mitigation_Industry!P$597-(Mitigation_Industry!P$597-Mitigation_Industry!P$587)*P$264</f>
        <v>5.08218458640407</v>
      </c>
      <c r="Q266" s="19">
        <f>Mitigation_Industry!Q$597-(Mitigation_Industry!Q$597-Mitigation_Industry!Q$587)*Q$264</f>
        <v>5.7796845864040698</v>
      </c>
      <c r="R266" s="19">
        <f>Mitigation_Industry!R$597-(Mitigation_Industry!R$597-Mitigation_Industry!R$587)*R$264</f>
        <v>6.4771845864040696</v>
      </c>
      <c r="S266" s="19">
        <f>Mitigation_Industry!S$597-(Mitigation_Industry!S$597-Mitigation_Industry!S$587)*S$264</f>
        <v>7.1746845864040703</v>
      </c>
      <c r="T266" s="19">
        <f>Mitigation_Industry!T$597-(Mitigation_Industry!T$597-Mitigation_Industry!T$587)*T$264</f>
        <v>7.87218458640407</v>
      </c>
      <c r="U266" s="19">
        <f>Mitigation_Industry!U$597-(Mitigation_Industry!U$597-Mitigation_Industry!U$587)*U$264</f>
        <v>8.5696845864040707</v>
      </c>
      <c r="V266" s="19">
        <f>Mitigation_Industry!V$597-(Mitigation_Industry!V$597-Mitigation_Industry!V$587)*V$264</f>
        <v>9.2671845864040705</v>
      </c>
      <c r="W266" s="19">
        <f>Mitigation_Industry!W$597-(Mitigation_Industry!W$597-Mitigation_Industry!W$587)*W$264</f>
        <v>9.9646845864040703</v>
      </c>
      <c r="X266" s="19">
        <f>Mitigation_Industry!X$597-(Mitigation_Industry!X$597-Mitigation_Industry!X$587)*X$264</f>
        <v>10.66218458640407</v>
      </c>
      <c r="Y266" s="19">
        <f>Mitigation_Industry!Y$597-(Mitigation_Industry!Y$597-Mitigation_Industry!Y$587)*Y$264</f>
        <v>11.35968458640407</v>
      </c>
      <c r="Z266" s="19">
        <f>Mitigation_Industry!Z$597-(Mitigation_Industry!Z$597-Mitigation_Industry!Z$587)*Z$264</f>
        <v>12.05718458640407</v>
      </c>
      <c r="AA266" s="19">
        <f>Mitigation_Industry!AA$597-(Mitigation_Industry!AA$597-Mitigation_Industry!AA$587)*AA$264</f>
        <v>12.754684586404071</v>
      </c>
      <c r="AB266" s="19">
        <f>Mitigation_Industry!AB$597-(Mitigation_Industry!AB$597-Mitigation_Industry!AB$587)*AB$264</f>
        <v>13.452184586404071</v>
      </c>
      <c r="AC266" s="19">
        <f>Mitigation_Industry!AC$597-(Mitigation_Industry!AC$597-Mitigation_Industry!AC$587)*AC$264</f>
        <v>14.149684586404071</v>
      </c>
      <c r="AD266" s="19">
        <f>Mitigation_Industry!AD$597-(Mitigation_Industry!AD$597-Mitigation_Industry!AD$587)*AD$264</f>
        <v>14.847184586404071</v>
      </c>
      <c r="AE266" s="19">
        <f>Mitigation_Industry!AE$597-(Mitigation_Industry!AE$597-Mitigation_Industry!AE$587)*AE$264</f>
        <v>15.54468458640407</v>
      </c>
    </row>
    <row r="267" spans="1:35" customFormat="1" ht="14.25" x14ac:dyDescent="0.45">
      <c r="B267" s="14" t="s">
        <v>55</v>
      </c>
      <c r="C267" s="14" t="s">
        <v>117</v>
      </c>
      <c r="D267" s="15" t="s">
        <v>2166</v>
      </c>
      <c r="E267" s="16" t="s">
        <v>57</v>
      </c>
      <c r="F267" s="14" t="s">
        <v>2162</v>
      </c>
      <c r="G267" s="17"/>
      <c r="H267" s="114" t="str">
        <f>Settings!$B$3&amp;".mit.atpn.mch.gso.e.2"</f>
        <v>egy.mit.atpn.mch.gso.e.2</v>
      </c>
      <c r="I267" t="s">
        <v>2248</v>
      </c>
      <c r="K267" s="18"/>
      <c r="L267" s="19">
        <f>Mitigation_Industry!L$598-(Mitigation_Industry!L$598-Mitigation_Industry!L$588)*L$264</f>
        <v>0.61197797679140598</v>
      </c>
      <c r="M267" s="19">
        <f>Mitigation_Industry!M$598-(Mitigation_Industry!M$598-Mitigation_Industry!M$588)*M$264</f>
        <v>0.61180974964187596</v>
      </c>
      <c r="N267" s="19">
        <f>Mitigation_Industry!N$598-(Mitigation_Industry!N$598-Mitigation_Industry!N$588)*N$264</f>
        <v>0.60358310017790595</v>
      </c>
      <c r="O267" s="19">
        <f>Mitigation_Industry!O$598-(Mitigation_Industry!O$598-Mitigation_Industry!O$588)*O$264</f>
        <v>0.60358310017790595</v>
      </c>
      <c r="P267" s="19">
        <f>Mitigation_Industry!P$598-(Mitigation_Industry!P$598-Mitigation_Industry!P$588)*P$264</f>
        <v>0.60358310017790595</v>
      </c>
      <c r="Q267" s="19">
        <f>Mitigation_Industry!Q$598-(Mitigation_Industry!Q$598-Mitigation_Industry!Q$588)*Q$264</f>
        <v>0.63251094334940594</v>
      </c>
      <c r="R267" s="19">
        <f>Mitigation_Industry!R$598-(Mitigation_Industry!R$598-Mitigation_Industry!R$588)*R$264</f>
        <v>0.66143878652090593</v>
      </c>
      <c r="S267" s="19">
        <f>Mitigation_Industry!S$598-(Mitigation_Industry!S$598-Mitigation_Industry!S$588)*S$264</f>
        <v>0.69036662969240592</v>
      </c>
      <c r="T267" s="19">
        <f>Mitigation_Industry!T$598-(Mitigation_Industry!T$598-Mitigation_Industry!T$588)*T$264</f>
        <v>0.71929447286390591</v>
      </c>
      <c r="U267" s="19">
        <f>Mitigation_Industry!U$598-(Mitigation_Industry!U$598-Mitigation_Industry!U$588)*U$264</f>
        <v>0.74822231603540601</v>
      </c>
      <c r="V267" s="19">
        <f>Mitigation_Industry!V$598-(Mitigation_Industry!V$598-Mitigation_Industry!V$588)*V$264</f>
        <v>0.777150159206906</v>
      </c>
      <c r="W267" s="19">
        <f>Mitigation_Industry!W$598-(Mitigation_Industry!W$598-Mitigation_Industry!W$588)*W$264</f>
        <v>0.80607800237840599</v>
      </c>
      <c r="X267" s="19">
        <f>Mitigation_Industry!X$598-(Mitigation_Industry!X$598-Mitigation_Industry!X$588)*X$264</f>
        <v>0.83500584554990598</v>
      </c>
      <c r="Y267" s="19">
        <f>Mitigation_Industry!Y$598-(Mitigation_Industry!Y$598-Mitigation_Industry!Y$588)*Y$264</f>
        <v>0.86393368872140597</v>
      </c>
      <c r="Z267" s="19">
        <f>Mitigation_Industry!Z$598-(Mitigation_Industry!Z$598-Mitigation_Industry!Z$588)*Z$264</f>
        <v>0.89286153189290596</v>
      </c>
      <c r="AA267" s="19">
        <f>Mitigation_Industry!AA$598-(Mitigation_Industry!AA$598-Mitigation_Industry!AA$588)*AA$264</f>
        <v>0.92178937506440595</v>
      </c>
      <c r="AB267" s="19">
        <f>Mitigation_Industry!AB$598-(Mitigation_Industry!AB$598-Mitigation_Industry!AB$588)*AB$264</f>
        <v>0.95071721823590605</v>
      </c>
      <c r="AC267" s="19">
        <f>Mitigation_Industry!AC$598-(Mitigation_Industry!AC$598-Mitigation_Industry!AC$588)*AC$264</f>
        <v>0.97964506140740593</v>
      </c>
      <c r="AD267" s="19">
        <f>Mitigation_Industry!AD$598-(Mitigation_Industry!AD$598-Mitigation_Industry!AD$588)*AD$264</f>
        <v>1.008572904578906</v>
      </c>
      <c r="AE267" s="19">
        <f>Mitigation_Industry!AE$598-(Mitigation_Industry!AE$598-Mitigation_Industry!AE$588)*AE$264</f>
        <v>1.0375007477504061</v>
      </c>
    </row>
    <row r="268" spans="1:35" customFormat="1" ht="14.25" x14ac:dyDescent="0.45">
      <c r="B268" s="14" t="s">
        <v>58</v>
      </c>
      <c r="C268" s="14" t="s">
        <v>117</v>
      </c>
      <c r="D268" s="15" t="s">
        <v>2168</v>
      </c>
      <c r="E268" s="16" t="s">
        <v>57</v>
      </c>
      <c r="F268" s="14" t="s">
        <v>2162</v>
      </c>
      <c r="G268" s="17"/>
      <c r="H268" s="114" t="str">
        <f>Settings!$B$3&amp;".mit.atpn.mch.die.e.2"</f>
        <v>egy.mit.atpn.mch.die.e.2</v>
      </c>
      <c r="I268" t="s">
        <v>2249</v>
      </c>
      <c r="K268" s="18"/>
      <c r="L268" s="19">
        <f>Mitigation_Industry!L$599-(Mitigation_Industry!L$599-Mitigation_Industry!L$589)*L$264</f>
        <v>0.49458873084106802</v>
      </c>
      <c r="M268" s="19">
        <f>Mitigation_Industry!M$599-(Mitigation_Industry!M$599-Mitigation_Industry!M$589)*M$264</f>
        <v>0.50778654720250105</v>
      </c>
      <c r="N268" s="19">
        <f>Mitigation_Industry!N$599-(Mitigation_Industry!N$599-Mitigation_Industry!N$589)*N$264</f>
        <v>0.47043642679561698</v>
      </c>
      <c r="O268" s="19">
        <f>Mitigation_Industry!O$599-(Mitigation_Industry!O$599-Mitigation_Industry!O$589)*O$264</f>
        <v>0.47043642679561698</v>
      </c>
      <c r="P268" s="19">
        <f>Mitigation_Industry!P$599-(Mitigation_Industry!P$599-Mitigation_Industry!P$589)*P$264</f>
        <v>0.47043642679561698</v>
      </c>
      <c r="Q268" s="19">
        <f>Mitigation_Industry!Q$599-(Mitigation_Industry!Q$599-Mitigation_Industry!Q$589)*Q$264</f>
        <v>0.50344686565449193</v>
      </c>
      <c r="R268" s="19">
        <f>Mitigation_Industry!R$599-(Mitigation_Industry!R$599-Mitigation_Industry!R$589)*R$264</f>
        <v>0.53645730451336693</v>
      </c>
      <c r="S268" s="19">
        <f>Mitigation_Industry!S$599-(Mitigation_Industry!S$599-Mitigation_Industry!S$589)*S$264</f>
        <v>0.56946774337224193</v>
      </c>
      <c r="T268" s="19">
        <f>Mitigation_Industry!T$599-(Mitigation_Industry!T$599-Mitigation_Industry!T$589)*T$264</f>
        <v>0.60247818223111693</v>
      </c>
      <c r="U268" s="19">
        <f>Mitigation_Industry!U$599-(Mitigation_Industry!U$599-Mitigation_Industry!U$589)*U$264</f>
        <v>0.63548862108999193</v>
      </c>
      <c r="V268" s="19">
        <f>Mitigation_Industry!V$599-(Mitigation_Industry!V$599-Mitigation_Industry!V$589)*V$264</f>
        <v>0.66849905994886694</v>
      </c>
      <c r="W268" s="19">
        <f>Mitigation_Industry!W$599-(Mitigation_Industry!W$599-Mitigation_Industry!W$589)*W$264</f>
        <v>0.70150949880774194</v>
      </c>
      <c r="X268" s="19">
        <f>Mitigation_Industry!X$599-(Mitigation_Industry!X$599-Mitigation_Industry!X$589)*X$264</f>
        <v>0.73451993766661694</v>
      </c>
      <c r="Y268" s="19">
        <f>Mitigation_Industry!Y$599-(Mitigation_Industry!Y$599-Mitigation_Industry!Y$589)*Y$264</f>
        <v>0.76753037652549194</v>
      </c>
      <c r="Z268" s="19">
        <f>Mitigation_Industry!Z$599-(Mitigation_Industry!Z$599-Mitigation_Industry!Z$589)*Z$264</f>
        <v>0.80054081538436694</v>
      </c>
      <c r="AA268" s="19">
        <f>Mitigation_Industry!AA$599-(Mitigation_Industry!AA$599-Mitigation_Industry!AA$589)*AA$264</f>
        <v>0.83355125424324195</v>
      </c>
      <c r="AB268" s="19">
        <f>Mitigation_Industry!AB$599-(Mitigation_Industry!AB$599-Mitigation_Industry!AB$589)*AB$264</f>
        <v>0.86656169310211695</v>
      </c>
      <c r="AC268" s="19">
        <f>Mitigation_Industry!AC$599-(Mitigation_Industry!AC$599-Mitigation_Industry!AC$589)*AC$264</f>
        <v>0.89957213196099195</v>
      </c>
      <c r="AD268" s="19">
        <f>Mitigation_Industry!AD$599-(Mitigation_Industry!AD$599-Mitigation_Industry!AD$589)*AD$264</f>
        <v>0.93258257081986695</v>
      </c>
      <c r="AE268" s="19">
        <f>Mitigation_Industry!AE$599-(Mitigation_Industry!AE$599-Mitigation_Industry!AE$589)*AE$264</f>
        <v>0.96559300967874195</v>
      </c>
    </row>
    <row r="269" spans="1:35" customFormat="1" ht="14.25" x14ac:dyDescent="0.45">
      <c r="B269" s="14" t="s">
        <v>60</v>
      </c>
      <c r="C269" s="14" t="s">
        <v>117</v>
      </c>
      <c r="D269" s="15" t="s">
        <v>2170</v>
      </c>
      <c r="E269" s="16" t="s">
        <v>57</v>
      </c>
      <c r="F269" s="14" t="s">
        <v>2162</v>
      </c>
      <c r="G269" s="17"/>
      <c r="H269" s="114" t="str">
        <f>Settings!$B$3&amp;".mit.atpn.mch.lpg.e.2"</f>
        <v>egy.mit.atpn.mch.lpg.e.2</v>
      </c>
      <c r="I269" t="s">
        <v>2250</v>
      </c>
      <c r="K269" s="18"/>
      <c r="L269" s="19">
        <f>Mitigation_Industry!L$600-(Mitigation_Industry!L$600-Mitigation_Industry!L$590)*L$264</f>
        <v>0.15734473625227399</v>
      </c>
      <c r="M269" s="19">
        <f>Mitigation_Industry!M$600-(Mitigation_Industry!M$600-Mitigation_Industry!M$590)*M$264</f>
        <v>0.164484037759277</v>
      </c>
      <c r="N269" s="19">
        <f>Mitigation_Industry!N$600-(Mitigation_Industry!N$600-Mitigation_Industry!N$590)*N$264</f>
        <v>0.15070907780704901</v>
      </c>
      <c r="O269" s="19">
        <f>Mitigation_Industry!O$600-(Mitigation_Industry!O$600-Mitigation_Industry!O$590)*O$264</f>
        <v>0.15070907780704901</v>
      </c>
      <c r="P269" s="19">
        <f>Mitigation_Industry!P$600-(Mitigation_Industry!P$600-Mitigation_Industry!P$590)*P$264</f>
        <v>0.15070907780704901</v>
      </c>
      <c r="Q269" s="19">
        <f>Mitigation_Industry!Q$600-(Mitigation_Industry!Q$600-Mitigation_Industry!Q$590)*Q$264</f>
        <v>0.17281516073434466</v>
      </c>
      <c r="R269" s="19">
        <f>Mitigation_Industry!R$600-(Mitigation_Industry!R$600-Mitigation_Industry!R$590)*R$264</f>
        <v>0.19492124366164035</v>
      </c>
      <c r="S269" s="19">
        <f>Mitigation_Industry!S$600-(Mitigation_Industry!S$600-Mitigation_Industry!S$590)*S$264</f>
        <v>0.217027326588936</v>
      </c>
      <c r="T269" s="19">
        <f>Mitigation_Industry!T$600-(Mitigation_Industry!T$600-Mitigation_Industry!T$590)*T$264</f>
        <v>0.23913340951623169</v>
      </c>
      <c r="U269" s="19">
        <f>Mitigation_Industry!U$600-(Mitigation_Industry!U$600-Mitigation_Industry!U$590)*U$264</f>
        <v>0.26123949244352734</v>
      </c>
      <c r="V269" s="19">
        <f>Mitigation_Industry!V$600-(Mitigation_Industry!V$600-Mitigation_Industry!V$590)*V$264</f>
        <v>0.283345575370823</v>
      </c>
      <c r="W269" s="19">
        <f>Mitigation_Industry!W$600-(Mitigation_Industry!W$600-Mitigation_Industry!W$590)*W$264</f>
        <v>0.30545165829811871</v>
      </c>
      <c r="X269" s="19">
        <f>Mitigation_Industry!X$600-(Mitigation_Industry!X$600-Mitigation_Industry!X$590)*X$264</f>
        <v>0.32755774122541437</v>
      </c>
      <c r="Y269" s="19">
        <f>Mitigation_Industry!Y$600-(Mitigation_Industry!Y$600-Mitigation_Industry!Y$590)*Y$264</f>
        <v>0.34966382415271002</v>
      </c>
      <c r="Z269" s="19">
        <f>Mitigation_Industry!Z$600-(Mitigation_Industry!Z$600-Mitigation_Industry!Z$590)*Z$264</f>
        <v>0.37176990708000568</v>
      </c>
      <c r="AA269" s="19">
        <f>Mitigation_Industry!AA$600-(Mitigation_Industry!AA$600-Mitigation_Industry!AA$590)*AA$264</f>
        <v>0.39387599000730134</v>
      </c>
      <c r="AB269" s="19">
        <f>Mitigation_Industry!AB$600-(Mitigation_Industry!AB$600-Mitigation_Industry!AB$590)*AB$264</f>
        <v>0.41598207293459699</v>
      </c>
      <c r="AC269" s="19">
        <f>Mitigation_Industry!AC$600-(Mitigation_Industry!AC$600-Mitigation_Industry!AC$590)*AC$264</f>
        <v>0.4380881558618927</v>
      </c>
      <c r="AD269" s="19">
        <f>Mitigation_Industry!AD$600-(Mitigation_Industry!AD$600-Mitigation_Industry!AD$590)*AD$264</f>
        <v>0.46019423878918836</v>
      </c>
      <c r="AE269" s="19">
        <f>Mitigation_Industry!AE$600-(Mitigation_Industry!AE$600-Mitigation_Industry!AE$590)*AE$264</f>
        <v>0.48230032171648402</v>
      </c>
    </row>
    <row r="270" spans="1:35" customFormat="1" ht="14.25" x14ac:dyDescent="0.45">
      <c r="B270" s="14" t="s">
        <v>62</v>
      </c>
      <c r="C270" s="14" t="s">
        <v>117</v>
      </c>
      <c r="D270" s="15" t="s">
        <v>2172</v>
      </c>
      <c r="E270" s="16" t="s">
        <v>57</v>
      </c>
      <c r="F270" s="14" t="s">
        <v>2162</v>
      </c>
      <c r="G270" s="17"/>
      <c r="H270" s="114" t="str">
        <f>Settings!$B$3&amp;".mit.atpn.mch.ker.e.2"</f>
        <v>egy.mit.atpn.mch.ker.e.2</v>
      </c>
      <c r="I270" t="s">
        <v>2251</v>
      </c>
      <c r="K270" s="18"/>
      <c r="L270" s="19">
        <f>Mitigation_Industry!L$601-(Mitigation_Industry!L$601-Mitigation_Industry!L$591)*L$264</f>
        <v>0.45642817050012802</v>
      </c>
      <c r="M270" s="19">
        <f>Mitigation_Industry!M$601-(Mitigation_Industry!M$601-Mitigation_Industry!M$591)*M$264</f>
        <v>0.43168920195599497</v>
      </c>
      <c r="N270" s="19">
        <f>Mitigation_Industry!N$601-(Mitigation_Industry!N$601-Mitigation_Industry!N$591)*N$264</f>
        <v>0.42507558395597</v>
      </c>
      <c r="O270" s="19">
        <f>Mitigation_Industry!O$601-(Mitigation_Industry!O$601-Mitigation_Industry!O$591)*O$264</f>
        <v>0.42507558395597</v>
      </c>
      <c r="P270" s="19">
        <f>Mitigation_Industry!P$601-(Mitigation_Industry!P$601-Mitigation_Industry!P$591)*P$264</f>
        <v>0.42507558395597</v>
      </c>
      <c r="Q270" s="19">
        <f>Mitigation_Industry!Q$601-(Mitigation_Industry!Q$601-Mitigation_Industry!Q$591)*Q$264</f>
        <v>0.45706441406607845</v>
      </c>
      <c r="R270" s="19">
        <f>Mitigation_Industry!R$601-(Mitigation_Industry!R$601-Mitigation_Industry!R$591)*R$264</f>
        <v>0.48905324417618695</v>
      </c>
      <c r="S270" s="19">
        <f>Mitigation_Industry!S$601-(Mitigation_Industry!S$601-Mitigation_Industry!S$591)*S$264</f>
        <v>0.52104207428629534</v>
      </c>
      <c r="T270" s="19">
        <f>Mitigation_Industry!T$601-(Mitigation_Industry!T$601-Mitigation_Industry!T$591)*T$264</f>
        <v>0.5530309043964039</v>
      </c>
      <c r="U270" s="19">
        <f>Mitigation_Industry!U$601-(Mitigation_Industry!U$601-Mitigation_Industry!U$591)*U$264</f>
        <v>0.58501973450651235</v>
      </c>
      <c r="V270" s="19">
        <f>Mitigation_Industry!V$601-(Mitigation_Industry!V$601-Mitigation_Industry!V$591)*V$264</f>
        <v>0.61700856461662079</v>
      </c>
      <c r="W270" s="19">
        <f>Mitigation_Industry!W$601-(Mitigation_Industry!W$601-Mitigation_Industry!W$591)*W$264</f>
        <v>0.64899739472672924</v>
      </c>
      <c r="X270" s="19">
        <f>Mitigation_Industry!X$601-(Mitigation_Industry!X$601-Mitigation_Industry!X$591)*X$264</f>
        <v>0.68098622483683768</v>
      </c>
      <c r="Y270" s="19">
        <f>Mitigation_Industry!Y$601-(Mitigation_Industry!Y$601-Mitigation_Industry!Y$591)*Y$264</f>
        <v>0.71297505494694624</v>
      </c>
      <c r="Z270" s="19">
        <f>Mitigation_Industry!Z$601-(Mitigation_Industry!Z$601-Mitigation_Industry!Z$591)*Z$264</f>
        <v>0.74496388505705469</v>
      </c>
      <c r="AA270" s="19">
        <f>Mitigation_Industry!AA$601-(Mitigation_Industry!AA$601-Mitigation_Industry!AA$591)*AA$264</f>
        <v>0.77695271516716313</v>
      </c>
      <c r="AB270" s="19">
        <f>Mitigation_Industry!AB$601-(Mitigation_Industry!AB$601-Mitigation_Industry!AB$591)*AB$264</f>
        <v>0.80894154527727158</v>
      </c>
      <c r="AC270" s="19">
        <f>Mitigation_Industry!AC$601-(Mitigation_Industry!AC$601-Mitigation_Industry!AC$591)*AC$264</f>
        <v>0.84093037538738002</v>
      </c>
      <c r="AD270" s="19">
        <f>Mitigation_Industry!AD$601-(Mitigation_Industry!AD$601-Mitigation_Industry!AD$591)*AD$264</f>
        <v>0.87291920549748858</v>
      </c>
      <c r="AE270" s="19">
        <f>Mitigation_Industry!AE$601-(Mitigation_Industry!AE$601-Mitigation_Industry!AE$591)*AE$264</f>
        <v>0.90490803560759692</v>
      </c>
    </row>
    <row r="271" spans="1:35" customFormat="1" ht="14.25" x14ac:dyDescent="0.45">
      <c r="B271" s="14" t="s">
        <v>64</v>
      </c>
      <c r="C271" s="14" t="s">
        <v>117</v>
      </c>
      <c r="D271" s="15" t="s">
        <v>2174</v>
      </c>
      <c r="E271" s="16" t="s">
        <v>66</v>
      </c>
      <c r="F271" s="14" t="s">
        <v>2162</v>
      </c>
      <c r="G271" s="17"/>
      <c r="H271" s="114" t="str">
        <f>Settings!$B$3&amp;".mit.atpn.mch.oop.e.2"</f>
        <v>egy.mit.atpn.mch.oop.e.2</v>
      </c>
      <c r="I271" t="s">
        <v>2252</v>
      </c>
      <c r="K271" s="18"/>
      <c r="L271" s="19">
        <f>Mitigation_Industry!L$602-(Mitigation_Industry!L$602-Mitigation_Industry!L$592)*L$264</f>
        <v>34.4153703043132</v>
      </c>
      <c r="M271" s="19">
        <f>Mitigation_Industry!M$602-(Mitigation_Industry!M$602-Mitigation_Industry!M$592)*M$264</f>
        <v>37.368960690431997</v>
      </c>
      <c r="N271" s="19">
        <f>Mitigation_Industry!N$602-(Mitigation_Industry!N$602-Mitigation_Industry!N$592)*N$264</f>
        <v>28.982761101477301</v>
      </c>
      <c r="O271" s="19">
        <f>Mitigation_Industry!O$602-(Mitigation_Industry!O$602-Mitigation_Industry!O$592)*O$264</f>
        <v>15</v>
      </c>
      <c r="P271" s="19">
        <f>Mitigation_Industry!P$602-(Mitigation_Industry!P$602-Mitigation_Industry!P$592)*P$264</f>
        <v>24.2586300842555</v>
      </c>
      <c r="Q271" s="19">
        <f>Mitigation_Industry!Q$602-(Mitigation_Industry!Q$602-Mitigation_Industry!Q$592)*Q$264</f>
        <v>18.963758196132499</v>
      </c>
      <c r="R271" s="19">
        <f>Mitigation_Industry!R$602-(Mitigation_Industry!R$602-Mitigation_Industry!R$592)*R$264</f>
        <v>21.760345114010597</v>
      </c>
      <c r="S271" s="19">
        <f>Mitigation_Industry!S$602-(Mitigation_Industry!S$602-Mitigation_Industry!S$592)*S$264</f>
        <v>26.079880691373621</v>
      </c>
      <c r="T271" s="19">
        <f>Mitigation_Industry!T$602-(Mitigation_Industry!T$602-Mitigation_Industry!T$592)*T$264</f>
        <v>30.593682445209218</v>
      </c>
      <c r="U271" s="19">
        <f>Mitigation_Industry!U$602-(Mitigation_Industry!U$602-Mitigation_Industry!U$592)*U$264</f>
        <v>34.990509739410058</v>
      </c>
      <c r="V271" s="19">
        <f>Mitigation_Industry!V$602-(Mitigation_Industry!V$602-Mitigation_Industry!V$592)*V$264</f>
        <v>40.858059739410059</v>
      </c>
      <c r="W271" s="19">
        <f>Mitigation_Industry!W$602-(Mitigation_Industry!W$602-Mitigation_Industry!W$592)*W$264</f>
        <v>46.725609739410054</v>
      </c>
      <c r="X271" s="19">
        <f>Mitigation_Industry!X$602-(Mitigation_Industry!X$602-Mitigation_Industry!X$592)*X$264</f>
        <v>52.593159739410055</v>
      </c>
      <c r="Y271" s="19">
        <f>Mitigation_Industry!Y$602-(Mitigation_Industry!Y$602-Mitigation_Industry!Y$592)*Y$264</f>
        <v>58.460709739410056</v>
      </c>
      <c r="Z271" s="19">
        <f>Mitigation_Industry!Z$602-(Mitigation_Industry!Z$602-Mitigation_Industry!Z$592)*Z$264</f>
        <v>64.328259739410072</v>
      </c>
      <c r="AA271" s="19">
        <f>Mitigation_Industry!AA$602-(Mitigation_Industry!AA$602-Mitigation_Industry!AA$592)*AA$264</f>
        <v>70.195809739410052</v>
      </c>
      <c r="AB271" s="19">
        <f>Mitigation_Industry!AB$602-(Mitigation_Industry!AB$602-Mitigation_Industry!AB$592)*AB$264</f>
        <v>76.06335973941006</v>
      </c>
      <c r="AC271" s="19">
        <f>Mitigation_Industry!AC$602-(Mitigation_Industry!AC$602-Mitigation_Industry!AC$592)*AC$264</f>
        <v>81.930909739410041</v>
      </c>
      <c r="AD271" s="19">
        <f>Mitigation_Industry!AD$602-(Mitigation_Industry!AD$602-Mitigation_Industry!AD$592)*AD$264</f>
        <v>87.798459739410049</v>
      </c>
      <c r="AE271" s="19">
        <f>Mitigation_Industry!AE$602-(Mitigation_Industry!AE$602-Mitigation_Industry!AE$592)*AE$264</f>
        <v>93.666009739410043</v>
      </c>
    </row>
    <row r="272" spans="1:35" customFormat="1" ht="14.25" x14ac:dyDescent="0.45">
      <c r="B272" s="14" t="s">
        <v>67</v>
      </c>
      <c r="C272" s="14" t="s">
        <v>117</v>
      </c>
      <c r="D272" s="15" t="s">
        <v>2176</v>
      </c>
      <c r="E272" s="16" t="s">
        <v>51</v>
      </c>
      <c r="F272" s="14" t="s">
        <v>2162</v>
      </c>
      <c r="G272" s="17"/>
      <c r="H272" s="114" t="str">
        <f>Settings!$B$3&amp;".mit.atpn.mch.bio.e.2"</f>
        <v>egy.mit.atpn.mch.bio.e.2</v>
      </c>
      <c r="I272" t="s">
        <v>2253</v>
      </c>
      <c r="K272" s="18"/>
      <c r="L272" s="19">
        <f>Mitigation_Industry!L$603-(Mitigation_Industry!L$603-Mitigation_Industry!L$593)*L$264</f>
        <v>14.199528390634899</v>
      </c>
      <c r="M272" s="19">
        <f>Mitigation_Industry!M$603-(Mitigation_Industry!M$603-Mitigation_Industry!M$593)*M$264</f>
        <v>13.8404416133152</v>
      </c>
      <c r="N272" s="19">
        <f>Mitigation_Industry!N$603-(Mitigation_Industry!N$603-Mitigation_Industry!N$593)*N$264</f>
        <v>13.5677269404465</v>
      </c>
      <c r="O272" s="19">
        <f>Mitigation_Industry!O$603-(Mitigation_Industry!O$603-Mitigation_Industry!O$593)*O$264</f>
        <v>13.5677269404465</v>
      </c>
      <c r="P272" s="19">
        <f>Mitigation_Industry!P$603-(Mitigation_Industry!P$603-Mitigation_Industry!P$593)*P$264</f>
        <v>13.5677269404465</v>
      </c>
      <c r="Q272" s="19">
        <f>Mitigation_Industry!Q$603-(Mitigation_Industry!Q$603-Mitigation_Industry!Q$593)*Q$264</f>
        <v>13.5677269404465</v>
      </c>
      <c r="R272" s="19">
        <f>Mitigation_Industry!R$603-(Mitigation_Industry!R$603-Mitigation_Industry!R$593)*R$264</f>
        <v>13.5677269404465</v>
      </c>
      <c r="S272" s="19">
        <f>Mitigation_Industry!S$603-(Mitigation_Industry!S$603-Mitigation_Industry!S$593)*S$264</f>
        <v>13.5677269404465</v>
      </c>
      <c r="T272" s="19">
        <f>Mitigation_Industry!T$603-(Mitigation_Industry!T$603-Mitigation_Industry!T$593)*T$264</f>
        <v>13.5677269404465</v>
      </c>
      <c r="U272" s="19">
        <f>Mitigation_Industry!U$603-(Mitigation_Industry!U$603-Mitigation_Industry!U$593)*U$264</f>
        <v>13.5677269404465</v>
      </c>
      <c r="V272" s="19">
        <f>Mitigation_Industry!V$603-(Mitigation_Industry!V$603-Mitigation_Industry!V$593)*V$264</f>
        <v>13.5677269404465</v>
      </c>
      <c r="W272" s="19">
        <f>Mitigation_Industry!W$603-(Mitigation_Industry!W$603-Mitigation_Industry!W$593)*W$264</f>
        <v>13.5677269404465</v>
      </c>
      <c r="X272" s="19">
        <f>Mitigation_Industry!X$603-(Mitigation_Industry!X$603-Mitigation_Industry!X$593)*X$264</f>
        <v>13.5677269404465</v>
      </c>
      <c r="Y272" s="19">
        <f>Mitigation_Industry!Y$603-(Mitigation_Industry!Y$603-Mitigation_Industry!Y$593)*Y$264</f>
        <v>13.5677269404465</v>
      </c>
      <c r="Z272" s="19">
        <f>Mitigation_Industry!Z$603-(Mitigation_Industry!Z$603-Mitigation_Industry!Z$593)*Z$264</f>
        <v>13.5677269404465</v>
      </c>
      <c r="AA272" s="19">
        <f>Mitigation_Industry!AA$603-(Mitigation_Industry!AA$603-Mitigation_Industry!AA$593)*AA$264</f>
        <v>13.5677269404465</v>
      </c>
      <c r="AB272" s="19">
        <f>Mitigation_Industry!AB$603-(Mitigation_Industry!AB$603-Mitigation_Industry!AB$593)*AB$264</f>
        <v>13.5677269404465</v>
      </c>
      <c r="AC272" s="19">
        <f>Mitigation_Industry!AC$603-(Mitigation_Industry!AC$603-Mitigation_Industry!AC$593)*AC$264</f>
        <v>13.5677269404465</v>
      </c>
      <c r="AD272" s="19">
        <f>Mitigation_Industry!AD$603-(Mitigation_Industry!AD$603-Mitigation_Industry!AD$593)*AD$264</f>
        <v>13.5677269404465</v>
      </c>
      <c r="AE272" s="19">
        <f>Mitigation_Industry!AE$603-(Mitigation_Industry!AE$603-Mitigation_Industry!AE$593)*AE$264</f>
        <v>13.5677269404465</v>
      </c>
    </row>
    <row r="273" spans="1:35" customFormat="1" ht="14.25" x14ac:dyDescent="0.45">
      <c r="B273" s="14" t="s">
        <v>69</v>
      </c>
      <c r="C273" s="14" t="s">
        <v>117</v>
      </c>
      <c r="D273" s="15" t="s">
        <v>2178</v>
      </c>
      <c r="E273" s="16" t="s">
        <v>71</v>
      </c>
      <c r="F273" s="14" t="s">
        <v>2162</v>
      </c>
      <c r="G273" s="17"/>
      <c r="H273" s="114" t="str">
        <f>Settings!$B$3&amp;".mit.atpn.mch.ren.e.2"</f>
        <v>egy.mit.atpn.mch.ren.e.2</v>
      </c>
      <c r="I273" t="s">
        <v>2254</v>
      </c>
      <c r="K273" s="18"/>
      <c r="L273" s="19">
        <f>Mitigation_Industry!L$604-(Mitigation_Industry!L$604-Mitigation_Industry!L$594)*L$264</f>
        <v>0.14404498679319799</v>
      </c>
      <c r="M273" s="19">
        <f>Mitigation_Industry!M$604-(Mitigation_Industry!M$604-Mitigation_Industry!M$594)*M$264</f>
        <v>0.141386241751359</v>
      </c>
      <c r="N273" s="19">
        <f>Mitigation_Industry!N$604-(Mitigation_Industry!N$604-Mitigation_Industry!N$594)*N$264</f>
        <v>0.13539756544373099</v>
      </c>
      <c r="O273" s="19">
        <f>Mitigation_Industry!O$604-(Mitigation_Industry!O$604-Mitigation_Industry!O$594)*O$264</f>
        <v>0.13152288542065099</v>
      </c>
      <c r="P273" s="19">
        <f>Mitigation_Industry!P$604-(Mitigation_Industry!P$604-Mitigation_Industry!P$594)*P$264</f>
        <v>0.12882610848523099</v>
      </c>
      <c r="Q273" s="19">
        <f>Mitigation_Industry!Q$604-(Mitigation_Industry!Q$604-Mitigation_Industry!Q$594)*Q$264</f>
        <v>0.12594200976473999</v>
      </c>
      <c r="R273" s="19">
        <f>Mitigation_Industry!R$604-(Mitigation_Industry!R$604-Mitigation_Industry!R$594)*R$264</f>
        <v>0.123113265701861</v>
      </c>
      <c r="S273" s="19">
        <f>Mitigation_Industry!S$604-(Mitigation_Industry!S$604-Mitigation_Industry!S$594)*S$264</f>
        <v>0.119391738089068</v>
      </c>
      <c r="T273" s="19">
        <f>Mitigation_Industry!T$604-(Mitigation_Industry!T$604-Mitigation_Industry!T$594)*T$264</f>
        <v>0.11554419046792</v>
      </c>
      <c r="U273" s="19">
        <f>Mitigation_Industry!U$604-(Mitigation_Industry!U$604-Mitigation_Industry!U$594)*U$264</f>
        <v>0.11492423065415899</v>
      </c>
      <c r="V273" s="19">
        <f>Mitigation_Industry!V$604-(Mitigation_Industry!V$604-Mitigation_Industry!V$594)*V$264</f>
        <v>0.114346912116736</v>
      </c>
      <c r="W273" s="19">
        <f>Mitigation_Industry!W$604-(Mitigation_Industry!W$604-Mitigation_Industry!W$594)*W$264</f>
        <v>0.113738711172664</v>
      </c>
      <c r="X273" s="19">
        <f>Mitigation_Industry!X$604-(Mitigation_Industry!X$604-Mitigation_Industry!X$594)*X$264</f>
        <v>0.112999900487521</v>
      </c>
      <c r="Y273" s="19">
        <f>Mitigation_Industry!Y$604-(Mitigation_Industry!Y$604-Mitigation_Industry!Y$594)*Y$264</f>
        <v>0.112177685835534</v>
      </c>
      <c r="Z273" s="19">
        <f>Mitigation_Industry!Z$604-(Mitigation_Industry!Z$604-Mitigation_Industry!Z$594)*Z$264</f>
        <v>0.111417903250404</v>
      </c>
      <c r="AA273" s="19">
        <f>Mitigation_Industry!AA$604-(Mitigation_Industry!AA$604-Mitigation_Industry!AA$594)*AA$264</f>
        <v>0.11052581998545399</v>
      </c>
      <c r="AB273" s="19">
        <f>Mitigation_Industry!AB$604-(Mitigation_Industry!AB$604-Mitigation_Industry!AB$594)*AB$264</f>
        <v>0.109699565234896</v>
      </c>
      <c r="AC273" s="19">
        <f>Mitigation_Industry!AC$604-(Mitigation_Industry!AC$604-Mitigation_Industry!AC$594)*AC$264</f>
        <v>0.10772678896394899</v>
      </c>
      <c r="AD273" s="19">
        <f>Mitigation_Industry!AD$604-(Mitigation_Industry!AD$604-Mitigation_Industry!AD$594)*AD$264</f>
        <v>0.10582092445093499</v>
      </c>
      <c r="AE273" s="19">
        <f>Mitigation_Industry!AE$604-(Mitigation_Industry!AE$604-Mitigation_Industry!AE$594)*AE$264</f>
        <v>0.103855595705721</v>
      </c>
    </row>
    <row r="275" spans="1:35" customFormat="1" ht="14.25" x14ac:dyDescent="0.45">
      <c r="A275" s="11"/>
      <c r="B275" s="6"/>
      <c r="C275" s="7" t="s">
        <v>2210</v>
      </c>
      <c r="D275" s="6" t="s">
        <v>1505</v>
      </c>
      <c r="E275" s="7" t="s">
        <v>35</v>
      </c>
      <c r="F275" s="7" t="s">
        <v>45</v>
      </c>
      <c r="G275" s="7" t="s">
        <v>37</v>
      </c>
      <c r="H275" s="12" t="s">
        <v>38</v>
      </c>
      <c r="I275" s="6" t="s">
        <v>39</v>
      </c>
      <c r="J275" s="48">
        <v>2</v>
      </c>
      <c r="K275" s="6">
        <v>2021</v>
      </c>
      <c r="L275" s="46">
        <v>2022</v>
      </c>
      <c r="M275" s="6">
        <v>2023</v>
      </c>
      <c r="N275" s="6">
        <v>2024</v>
      </c>
      <c r="O275" s="6">
        <v>2025</v>
      </c>
      <c r="P275" s="6">
        <v>2026</v>
      </c>
      <c r="Q275" s="6">
        <v>2027</v>
      </c>
      <c r="R275" s="6">
        <v>2028</v>
      </c>
      <c r="S275" s="6">
        <v>2029</v>
      </c>
      <c r="T275" s="6">
        <v>2030</v>
      </c>
      <c r="U275" s="6">
        <v>2031</v>
      </c>
      <c r="V275" s="6">
        <v>2032</v>
      </c>
      <c r="W275" s="6">
        <v>2033</v>
      </c>
      <c r="X275" s="6">
        <v>2034</v>
      </c>
      <c r="Y275" s="6">
        <v>2035</v>
      </c>
      <c r="Z275" s="6">
        <v>2036</v>
      </c>
      <c r="AA275" s="6">
        <v>2037</v>
      </c>
      <c r="AB275" s="6">
        <v>2038</v>
      </c>
      <c r="AC275" s="6">
        <v>2039</v>
      </c>
      <c r="AD275" s="6">
        <v>2040</v>
      </c>
      <c r="AE275" s="6">
        <v>2041</v>
      </c>
      <c r="AF275" s="6">
        <v>2042</v>
      </c>
      <c r="AG275" s="6">
        <v>2043</v>
      </c>
      <c r="AH275" s="6">
        <v>2044</v>
      </c>
      <c r="AI275" s="6">
        <v>2045</v>
      </c>
    </row>
    <row r="276" spans="1:35" customFormat="1" ht="14.25" x14ac:dyDescent="0.45">
      <c r="B276" s="14" t="s">
        <v>110</v>
      </c>
      <c r="C276" s="14"/>
      <c r="D276" s="25" t="s">
        <v>2211</v>
      </c>
      <c r="E276" s="16" t="s">
        <v>1871</v>
      </c>
      <c r="F276" s="14" t="s">
        <v>2212</v>
      </c>
      <c r="H276" s="17"/>
      <c r="I276" t="s">
        <v>2255</v>
      </c>
      <c r="L276" s="116">
        <f>Mitigation_Industry!L$799</f>
        <v>0</v>
      </c>
      <c r="M276" s="116">
        <f>Mitigation_Industry!M$799</f>
        <v>0</v>
      </c>
      <c r="N276" s="116">
        <f>Mitigation_Industry!N$799</f>
        <v>0</v>
      </c>
      <c r="O276" s="116">
        <f>Mitigation_Industry!O$799</f>
        <v>0</v>
      </c>
      <c r="P276" s="116">
        <f>Mitigation_Industry!P$799</f>
        <v>0</v>
      </c>
      <c r="Q276" s="116">
        <f>Mitigation_Industry!Q$799</f>
        <v>308.12278080273342</v>
      </c>
      <c r="R276" s="116">
        <f>Mitigation_Industry!R$799</f>
        <v>636.8417154974029</v>
      </c>
      <c r="S276" s="116">
        <f>Mitigation_Industry!S$799</f>
        <v>987.22968333254369</v>
      </c>
      <c r="T276" s="116">
        <f>Mitigation_Industry!T$799</f>
        <v>1360.4109852569791</v>
      </c>
      <c r="U276" s="116">
        <f>Mitigation_Industry!U$799</f>
        <v>1757.56372820916</v>
      </c>
      <c r="V276" s="116">
        <f>Mitigation_Industry!V$799</f>
        <v>2179.922318644748</v>
      </c>
      <c r="W276" s="116">
        <f>Mitigation_Industry!W$799</f>
        <v>2628.780070299068</v>
      </c>
      <c r="X276" s="116">
        <f>Mitigation_Industry!X$799</f>
        <v>3105.4919314104181</v>
      </c>
      <c r="Y276" s="116">
        <f>Mitigation_Industry!Y$799</f>
        <v>3611.4773368702113</v>
      </c>
      <c r="Z276" s="116">
        <f>Mitigation_Industry!Z$799</f>
        <v>4148.2231910169721</v>
      </c>
      <c r="AA276" s="116">
        <f>Mitigation_Industry!AA$799</f>
        <v>4717.2869870538907</v>
      </c>
      <c r="AB276" s="116">
        <f>Mitigation_Industry!AB$799</f>
        <v>5320.3000693444392</v>
      </c>
      <c r="AC276" s="116">
        <f>Mitigation_Industry!AC$799</f>
        <v>5958.9710451280498</v>
      </c>
      <c r="AD276" s="116">
        <f>Mitigation_Industry!AD$799</f>
        <v>6635.0893524987587</v>
      </c>
      <c r="AE276" s="116">
        <f>Mitigation_Industry!AE$799</f>
        <v>7350.5289918043609</v>
      </c>
    </row>
    <row r="277" spans="1:35" customFormat="1" ht="14.25" x14ac:dyDescent="0.45">
      <c r="B277" s="14" t="s">
        <v>110</v>
      </c>
      <c r="C277" s="14"/>
      <c r="D277" s="25" t="s">
        <v>2214</v>
      </c>
      <c r="E277" s="16" t="s">
        <v>1871</v>
      </c>
      <c r="F277" s="14" t="s">
        <v>2143</v>
      </c>
      <c r="H277" s="17"/>
      <c r="L277" s="116">
        <f t="shared" ref="L277:AE277" si="68">L$217</f>
        <v>0</v>
      </c>
      <c r="M277" s="116">
        <f t="shared" si="68"/>
        <v>0</v>
      </c>
      <c r="N277" s="116">
        <f t="shared" si="68"/>
        <v>0</v>
      </c>
      <c r="O277" s="116">
        <f t="shared" si="68"/>
        <v>0</v>
      </c>
      <c r="P277" s="116">
        <f t="shared" si="68"/>
        <v>0</v>
      </c>
      <c r="Q277" s="116">
        <f t="shared" si="68"/>
        <v>0</v>
      </c>
      <c r="R277" s="116">
        <f t="shared" si="68"/>
        <v>0</v>
      </c>
      <c r="S277" s="116">
        <f t="shared" si="68"/>
        <v>0</v>
      </c>
      <c r="T277" s="116">
        <f t="shared" si="68"/>
        <v>0</v>
      </c>
      <c r="U277" s="116">
        <f t="shared" si="68"/>
        <v>0</v>
      </c>
      <c r="V277" s="116">
        <f t="shared" si="68"/>
        <v>0</v>
      </c>
      <c r="W277" s="116">
        <f t="shared" si="68"/>
        <v>0</v>
      </c>
      <c r="X277" s="116">
        <f t="shared" si="68"/>
        <v>0</v>
      </c>
      <c r="Y277" s="116">
        <f t="shared" si="68"/>
        <v>0</v>
      </c>
      <c r="Z277" s="116">
        <f t="shared" si="68"/>
        <v>0</v>
      </c>
      <c r="AA277" s="116">
        <f t="shared" si="68"/>
        <v>0</v>
      </c>
      <c r="AB277" s="116">
        <f t="shared" si="68"/>
        <v>0</v>
      </c>
      <c r="AC277" s="116">
        <f t="shared" si="68"/>
        <v>0</v>
      </c>
      <c r="AD277" s="116">
        <f t="shared" si="68"/>
        <v>0</v>
      </c>
      <c r="AE277" s="116">
        <f t="shared" si="68"/>
        <v>0</v>
      </c>
    </row>
    <row r="278" spans="1:35" customFormat="1" ht="14.25" x14ac:dyDescent="0.45">
      <c r="B278" s="14" t="s">
        <v>110</v>
      </c>
      <c r="C278" s="14"/>
      <c r="D278" s="25" t="s">
        <v>2215</v>
      </c>
      <c r="E278" s="16" t="s">
        <v>1871</v>
      </c>
      <c r="F278" s="14" t="s">
        <v>2216</v>
      </c>
      <c r="H278" s="114" t="str">
        <f>Settings!$B$3&amp;".mit.revnet.cbam.tot.2"</f>
        <v>egy.mit.revnet.cbam.tot.2</v>
      </c>
      <c r="L278" s="116">
        <f t="shared" ref="L278:AE278" si="69">L276-L277</f>
        <v>0</v>
      </c>
      <c r="M278" s="116">
        <f t="shared" si="69"/>
        <v>0</v>
      </c>
      <c r="N278" s="116">
        <f t="shared" si="69"/>
        <v>0</v>
      </c>
      <c r="O278" s="116">
        <f t="shared" si="69"/>
        <v>0</v>
      </c>
      <c r="P278" s="116">
        <f t="shared" si="69"/>
        <v>0</v>
      </c>
      <c r="Q278" s="116">
        <f t="shared" si="69"/>
        <v>308.12278080273342</v>
      </c>
      <c r="R278" s="116">
        <f t="shared" si="69"/>
        <v>636.8417154974029</v>
      </c>
      <c r="S278" s="116">
        <f t="shared" si="69"/>
        <v>987.22968333254369</v>
      </c>
      <c r="T278" s="116">
        <f t="shared" si="69"/>
        <v>1360.4109852569791</v>
      </c>
      <c r="U278" s="116">
        <f t="shared" si="69"/>
        <v>1757.56372820916</v>
      </c>
      <c r="V278" s="116">
        <f t="shared" si="69"/>
        <v>2179.922318644748</v>
      </c>
      <c r="W278" s="116">
        <f t="shared" si="69"/>
        <v>2628.780070299068</v>
      </c>
      <c r="X278" s="116">
        <f t="shared" si="69"/>
        <v>3105.4919314104181</v>
      </c>
      <c r="Y278" s="116">
        <f t="shared" si="69"/>
        <v>3611.4773368702113</v>
      </c>
      <c r="Z278" s="116">
        <f t="shared" si="69"/>
        <v>4148.2231910169721</v>
      </c>
      <c r="AA278" s="116">
        <f t="shared" si="69"/>
        <v>4717.2869870538907</v>
      </c>
      <c r="AB278" s="116">
        <f t="shared" si="69"/>
        <v>5320.3000693444392</v>
      </c>
      <c r="AC278" s="116">
        <f t="shared" si="69"/>
        <v>5958.9710451280498</v>
      </c>
      <c r="AD278" s="116">
        <f t="shared" si="69"/>
        <v>6635.0893524987587</v>
      </c>
      <c r="AE278" s="116">
        <f t="shared" si="69"/>
        <v>7350.5289918043609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E6CC8-3625-4D07-9257-E374F8609E21}">
  <dimension ref="A1:AI338"/>
  <sheetViews>
    <sheetView topLeftCell="A316" workbookViewId="0">
      <selection activeCell="A334" sqref="A334:XFD334"/>
    </sheetView>
  </sheetViews>
  <sheetFormatPr defaultRowHeight="13.5" x14ac:dyDescent="0.35"/>
  <cols>
    <col min="1" max="1" width="3" style="101" customWidth="1"/>
    <col min="2" max="2" width="12.46484375" style="101" customWidth="1"/>
    <col min="3" max="3" width="28" style="101" customWidth="1"/>
    <col min="4" max="4" width="44.59765625" style="101" customWidth="1"/>
    <col min="5" max="5" width="14.73046875" style="101" customWidth="1"/>
    <col min="6" max="6" width="17.73046875" style="101" customWidth="1"/>
    <col min="7" max="7" width="30.265625" style="101" customWidth="1"/>
    <col min="8" max="8" width="28.86328125" style="101" customWidth="1"/>
    <col min="9" max="9" width="60.59765625" style="101" customWidth="1"/>
    <col min="10" max="10" width="30.265625" style="101" customWidth="1"/>
    <col min="11" max="11" width="10.53125" style="101" customWidth="1"/>
    <col min="12" max="35" width="12" style="101" customWidth="1"/>
    <col min="36" max="16384" width="9.06640625" style="101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2444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3.9" x14ac:dyDescent="0.4">
      <c r="B3" s="110" t="s">
        <v>2445</v>
      </c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</row>
    <row r="4" spans="1:35" x14ac:dyDescent="0.35">
      <c r="D4" s="101" t="s">
        <v>2446</v>
      </c>
      <c r="E4" s="101" t="s">
        <v>2447</v>
      </c>
      <c r="F4" s="118" t="s">
        <v>2448</v>
      </c>
      <c r="I4" s="101" t="s">
        <v>2451</v>
      </c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</row>
    <row r="5" spans="1:35" x14ac:dyDescent="0.35">
      <c r="D5" s="101" t="s">
        <v>2449</v>
      </c>
      <c r="E5" s="101" t="s">
        <v>1415</v>
      </c>
      <c r="F5" s="118">
        <v>1000</v>
      </c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</row>
    <row r="6" spans="1:35" x14ac:dyDescent="0.35">
      <c r="D6" s="101" t="s">
        <v>2450</v>
      </c>
      <c r="E6" s="101" t="s">
        <v>79</v>
      </c>
      <c r="F6" s="118">
        <v>1</v>
      </c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</row>
    <row r="7" spans="1:35" x14ac:dyDescent="0.35"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</row>
    <row r="8" spans="1:35" customFormat="1" ht="18" customHeight="1" x14ac:dyDescent="0.45">
      <c r="A8" s="8"/>
      <c r="B8" s="9" t="s">
        <v>2452</v>
      </c>
      <c r="C8" s="10"/>
      <c r="D8" s="10"/>
      <c r="E8" s="10"/>
      <c r="F8" s="10"/>
      <c r="G8" s="10"/>
      <c r="H8" s="10"/>
      <c r="I8" s="10"/>
      <c r="J8" s="10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</row>
    <row r="9" spans="1:35" x14ac:dyDescent="0.35"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</row>
    <row r="10" spans="1:35" customFormat="1" ht="14.25" x14ac:dyDescent="0.45">
      <c r="A10" s="11"/>
      <c r="B10" s="6"/>
      <c r="C10" s="7" t="s">
        <v>2077</v>
      </c>
      <c r="D10" s="6" t="s">
        <v>1505</v>
      </c>
      <c r="E10" s="7" t="s">
        <v>35</v>
      </c>
      <c r="F10" s="7" t="s">
        <v>45</v>
      </c>
      <c r="G10" s="7" t="s">
        <v>37</v>
      </c>
      <c r="H10" s="12" t="s">
        <v>38</v>
      </c>
      <c r="I10" s="6" t="s">
        <v>39</v>
      </c>
      <c r="J10" s="48">
        <v>1</v>
      </c>
      <c r="K10" s="124">
        <v>2021</v>
      </c>
      <c r="L10" s="125">
        <v>2022</v>
      </c>
      <c r="M10" s="124">
        <v>2023</v>
      </c>
      <c r="N10" s="124">
        <v>2024</v>
      </c>
      <c r="O10" s="124">
        <v>2025</v>
      </c>
      <c r="P10" s="124">
        <v>2026</v>
      </c>
      <c r="Q10" s="124">
        <v>2027</v>
      </c>
      <c r="R10" s="124">
        <v>2028</v>
      </c>
      <c r="S10" s="124">
        <v>2029</v>
      </c>
      <c r="T10" s="124">
        <v>2030</v>
      </c>
      <c r="U10" s="124">
        <v>2031</v>
      </c>
      <c r="V10" s="124">
        <v>2032</v>
      </c>
      <c r="W10" s="124">
        <v>2033</v>
      </c>
      <c r="X10" s="124">
        <v>2034</v>
      </c>
      <c r="Y10" s="124">
        <v>2035</v>
      </c>
      <c r="Z10" s="124">
        <v>2036</v>
      </c>
      <c r="AA10" s="124">
        <v>2037</v>
      </c>
      <c r="AB10" s="124">
        <v>2038</v>
      </c>
      <c r="AC10" s="124">
        <v>2039</v>
      </c>
      <c r="AD10" s="124">
        <v>2040</v>
      </c>
      <c r="AE10" s="124">
        <v>2041</v>
      </c>
      <c r="AF10" s="124">
        <v>2042</v>
      </c>
      <c r="AG10" s="124">
        <v>2043</v>
      </c>
      <c r="AH10" s="124">
        <v>2044</v>
      </c>
      <c r="AI10" s="124">
        <v>2045</v>
      </c>
    </row>
    <row r="11" spans="1:35" customFormat="1" ht="14.25" x14ac:dyDescent="0.45">
      <c r="B11" s="14" t="s">
        <v>1806</v>
      </c>
      <c r="C11" s="14"/>
      <c r="D11" s="15" t="s">
        <v>2453</v>
      </c>
      <c r="E11" s="16" t="s">
        <v>79</v>
      </c>
      <c r="F11" s="14" t="s">
        <v>1806</v>
      </c>
      <c r="G11" s="114" t="s">
        <v>1859</v>
      </c>
      <c r="H11" s="119"/>
      <c r="I11" t="s">
        <v>2079</v>
      </c>
      <c r="K11" s="126"/>
      <c r="L11" s="127">
        <f>INDEX(Data_Prices!L:L,MATCH($G11,Data_Prices!$A:$A,0))</f>
        <v>0</v>
      </c>
      <c r="M11" s="127">
        <f>INDEX(Data_Prices!M:M,MATCH($G11,Data_Prices!$A:$A,0))</f>
        <v>0</v>
      </c>
      <c r="N11" s="127">
        <f>INDEX(Data_Prices!N:N,MATCH($G11,Data_Prices!$A:$A,0))</f>
        <v>0</v>
      </c>
      <c r="O11" s="127">
        <f>INDEX(Data_Prices!O:O,MATCH($G11,Data_Prices!$A:$A,0))</f>
        <v>0</v>
      </c>
      <c r="P11" s="127">
        <f>INDEX(Data_Prices!P:P,MATCH($G11,Data_Prices!$A:$A,0))</f>
        <v>0</v>
      </c>
      <c r="Q11" s="127">
        <f>INDEX(Data_Prices!Q:Q,MATCH($G11,Data_Prices!$A:$A,0))</f>
        <v>0</v>
      </c>
      <c r="R11" s="127">
        <f>INDEX(Data_Prices!R:R,MATCH($G11,Data_Prices!$A:$A,0))</f>
        <v>0</v>
      </c>
      <c r="S11" s="127">
        <f>INDEX(Data_Prices!S:S,MATCH($G11,Data_Prices!$A:$A,0))</f>
        <v>0</v>
      </c>
      <c r="T11" s="127">
        <f>INDEX(Data_Prices!T:T,MATCH($G11,Data_Prices!$A:$A,0))</f>
        <v>0</v>
      </c>
      <c r="U11" s="127">
        <f>INDEX(Data_Prices!U:U,MATCH($G11,Data_Prices!$A:$A,0))</f>
        <v>0</v>
      </c>
      <c r="V11" s="127">
        <f>INDEX(Data_Prices!V:V,MATCH($G11,Data_Prices!$A:$A,0))</f>
        <v>0</v>
      </c>
      <c r="W11" s="127">
        <f>INDEX(Data_Prices!W:W,MATCH($G11,Data_Prices!$A:$A,0))</f>
        <v>0</v>
      </c>
      <c r="X11" s="127">
        <f>INDEX(Data_Prices!X:X,MATCH($G11,Data_Prices!$A:$A,0))</f>
        <v>0</v>
      </c>
      <c r="Y11" s="127">
        <f>INDEX(Data_Prices!Y:Y,MATCH($G11,Data_Prices!$A:$A,0))</f>
        <v>0</v>
      </c>
      <c r="Z11" s="127">
        <f>INDEX(Data_Prices!Z:Z,MATCH($G11,Data_Prices!$A:$A,0))</f>
        <v>0</v>
      </c>
      <c r="AA11" s="127">
        <f>INDEX(Data_Prices!AA:AA,MATCH($G11,Data_Prices!$A:$A,0))</f>
        <v>0</v>
      </c>
      <c r="AB11" s="127">
        <f>INDEX(Data_Prices!AB:AB,MATCH($G11,Data_Prices!$A:$A,0))</f>
        <v>0</v>
      </c>
      <c r="AC11" s="127">
        <f>INDEX(Data_Prices!AC:AC,MATCH($G11,Data_Prices!$A:$A,0))</f>
        <v>0</v>
      </c>
      <c r="AD11" s="127">
        <f>INDEX(Data_Prices!AD:AD,MATCH($G11,Data_Prices!$A:$A,0))</f>
        <v>0</v>
      </c>
      <c r="AE11" s="127">
        <f>INDEX(Data_Prices!AE:AE,MATCH($G11,Data_Prices!$A:$A,0))</f>
        <v>0</v>
      </c>
      <c r="AF11" s="128"/>
      <c r="AG11" s="128"/>
      <c r="AH11" s="128"/>
      <c r="AI11" s="128"/>
    </row>
    <row r="12" spans="1:35" customFormat="1" ht="14.25" x14ac:dyDescent="0.45">
      <c r="B12" s="14" t="s">
        <v>1414</v>
      </c>
      <c r="C12" s="14"/>
      <c r="D12" s="15" t="s">
        <v>2454</v>
      </c>
      <c r="E12" s="16" t="s">
        <v>1415</v>
      </c>
      <c r="F12" s="14" t="s">
        <v>1414</v>
      </c>
      <c r="G12" s="119"/>
      <c r="H12" s="119"/>
      <c r="I12" t="s">
        <v>2455</v>
      </c>
      <c r="K12" s="126"/>
      <c r="L12" s="127">
        <f>Mitigation_Industry!L$247</f>
        <v>0</v>
      </c>
      <c r="M12" s="127">
        <f>Mitigation_Industry!M$247</f>
        <v>0</v>
      </c>
      <c r="N12" s="127">
        <f>Mitigation_Industry!N$247</f>
        <v>0</v>
      </c>
      <c r="O12" s="127">
        <f>Mitigation_Industry!O$247</f>
        <v>0</v>
      </c>
      <c r="P12" s="127">
        <f>Mitigation_Industry!P$247</f>
        <v>0</v>
      </c>
      <c r="Q12" s="127">
        <f>Mitigation_Industry!Q$247</f>
        <v>0</v>
      </c>
      <c r="R12" s="127">
        <f>Mitigation_Industry!R$247</f>
        <v>0</v>
      </c>
      <c r="S12" s="127">
        <f>Mitigation_Industry!S$247</f>
        <v>0</v>
      </c>
      <c r="T12" s="127">
        <f>Mitigation_Industry!T$247</f>
        <v>0</v>
      </c>
      <c r="U12" s="127">
        <f>Mitigation_Industry!U$247</f>
        <v>0</v>
      </c>
      <c r="V12" s="127">
        <f>Mitigation_Industry!V$247</f>
        <v>0</v>
      </c>
      <c r="W12" s="127">
        <f>Mitigation_Industry!W$247</f>
        <v>0</v>
      </c>
      <c r="X12" s="127">
        <f>Mitigation_Industry!X$247</f>
        <v>0</v>
      </c>
      <c r="Y12" s="127">
        <f>Mitigation_Industry!Y$247</f>
        <v>0</v>
      </c>
      <c r="Z12" s="127">
        <f>Mitigation_Industry!Z$247</f>
        <v>0</v>
      </c>
      <c r="AA12" s="127">
        <f>Mitigation_Industry!AA$247</f>
        <v>0</v>
      </c>
      <c r="AB12" s="127">
        <f>Mitigation_Industry!AB$247</f>
        <v>0</v>
      </c>
      <c r="AC12" s="127">
        <f>Mitigation_Industry!AC$247</f>
        <v>0</v>
      </c>
      <c r="AD12" s="127">
        <f>Mitigation_Industry!AD$247</f>
        <v>0</v>
      </c>
      <c r="AE12" s="127">
        <f>Mitigation_Industry!AE$247</f>
        <v>0</v>
      </c>
      <c r="AF12" s="128"/>
      <c r="AG12" s="128"/>
      <c r="AH12" s="128"/>
      <c r="AI12" s="128"/>
    </row>
    <row r="13" spans="1:35" customFormat="1" ht="14.25" x14ac:dyDescent="0.45">
      <c r="B13" s="14" t="s">
        <v>1418</v>
      </c>
      <c r="C13" s="14"/>
      <c r="D13" s="15" t="s">
        <v>2456</v>
      </c>
      <c r="E13" s="16" t="s">
        <v>1415</v>
      </c>
      <c r="F13" s="14" t="s">
        <v>1418</v>
      </c>
      <c r="G13" s="119"/>
      <c r="H13" s="119"/>
      <c r="I13" t="s">
        <v>2457</v>
      </c>
      <c r="K13" s="126"/>
      <c r="L13" s="127">
        <f>Mitigation_Industry!L$248</f>
        <v>0</v>
      </c>
      <c r="M13" s="127">
        <f>Mitigation_Industry!M$248</f>
        <v>0</v>
      </c>
      <c r="N13" s="127">
        <f>Mitigation_Industry!N$248</f>
        <v>0</v>
      </c>
      <c r="O13" s="127">
        <f>Mitigation_Industry!O$248</f>
        <v>0</v>
      </c>
      <c r="P13" s="127">
        <f>Mitigation_Industry!P$248</f>
        <v>0</v>
      </c>
      <c r="Q13" s="127">
        <f>Mitigation_Industry!Q$248</f>
        <v>0</v>
      </c>
      <c r="R13" s="127">
        <f>Mitigation_Industry!R$248</f>
        <v>0</v>
      </c>
      <c r="S13" s="127">
        <f>Mitigation_Industry!S$248</f>
        <v>0</v>
      </c>
      <c r="T13" s="127">
        <f>Mitigation_Industry!T$248</f>
        <v>0</v>
      </c>
      <c r="U13" s="127">
        <f>Mitigation_Industry!U$248</f>
        <v>0</v>
      </c>
      <c r="V13" s="127">
        <f>Mitigation_Industry!V$248</f>
        <v>0</v>
      </c>
      <c r="W13" s="127">
        <f>Mitigation_Industry!W$248</f>
        <v>0</v>
      </c>
      <c r="X13" s="127">
        <f>Mitigation_Industry!X$248</f>
        <v>0</v>
      </c>
      <c r="Y13" s="127">
        <f>Mitigation_Industry!Y$248</f>
        <v>0</v>
      </c>
      <c r="Z13" s="127">
        <f>Mitigation_Industry!Z$248</f>
        <v>0</v>
      </c>
      <c r="AA13" s="127">
        <f>Mitigation_Industry!AA$248</f>
        <v>0</v>
      </c>
      <c r="AB13" s="127">
        <f>Mitigation_Industry!AB$248</f>
        <v>0</v>
      </c>
      <c r="AC13" s="127">
        <f>Mitigation_Industry!AC$248</f>
        <v>0</v>
      </c>
      <c r="AD13" s="127">
        <f>Mitigation_Industry!AD$248</f>
        <v>0</v>
      </c>
      <c r="AE13" s="127">
        <f>Mitigation_Industry!AE$248</f>
        <v>0</v>
      </c>
      <c r="AF13" s="128"/>
      <c r="AG13" s="128"/>
      <c r="AH13" s="128"/>
      <c r="AI13" s="128"/>
    </row>
    <row r="14" spans="1:35" customFormat="1" ht="14.25" x14ac:dyDescent="0.45">
      <c r="B14" s="14" t="s">
        <v>1792</v>
      </c>
      <c r="C14" s="14"/>
      <c r="D14" s="15" t="s">
        <v>2458</v>
      </c>
      <c r="E14" s="16" t="s">
        <v>1415</v>
      </c>
      <c r="F14" s="14" t="s">
        <v>1792</v>
      </c>
      <c r="G14" s="119"/>
      <c r="H14" s="119"/>
      <c r="I14" t="s">
        <v>2459</v>
      </c>
      <c r="K14" s="126"/>
      <c r="L14" s="127">
        <f>Mitigation_Industry!L$308</f>
        <v>0</v>
      </c>
      <c r="M14" s="127">
        <f>Mitigation_Industry!M$308</f>
        <v>0</v>
      </c>
      <c r="N14" s="127">
        <f>Mitigation_Industry!N$308</f>
        <v>0</v>
      </c>
      <c r="O14" s="127">
        <f>Mitigation_Industry!O$308</f>
        <v>0</v>
      </c>
      <c r="P14" s="127">
        <f>Mitigation_Industry!P$308</f>
        <v>0</v>
      </c>
      <c r="Q14" s="127">
        <f>Mitigation_Industry!Q$308</f>
        <v>0</v>
      </c>
      <c r="R14" s="127">
        <f>Mitigation_Industry!R$308</f>
        <v>0</v>
      </c>
      <c r="S14" s="127">
        <f>Mitigation_Industry!S$308</f>
        <v>0</v>
      </c>
      <c r="T14" s="127">
        <f>Mitigation_Industry!T$308</f>
        <v>0</v>
      </c>
      <c r="U14" s="127">
        <f>Mitigation_Industry!U$308</f>
        <v>0</v>
      </c>
      <c r="V14" s="127">
        <f>Mitigation_Industry!V$308</f>
        <v>0</v>
      </c>
      <c r="W14" s="127">
        <f>Mitigation_Industry!W$308</f>
        <v>0</v>
      </c>
      <c r="X14" s="127">
        <f>Mitigation_Industry!X$308</f>
        <v>0</v>
      </c>
      <c r="Y14" s="127">
        <f>Mitigation_Industry!Y$308</f>
        <v>0</v>
      </c>
      <c r="Z14" s="127">
        <f>Mitigation_Industry!Z$308</f>
        <v>0</v>
      </c>
      <c r="AA14" s="127">
        <f>Mitigation_Industry!AA$308</f>
        <v>0</v>
      </c>
      <c r="AB14" s="127">
        <f>Mitigation_Industry!AB$308</f>
        <v>0</v>
      </c>
      <c r="AC14" s="127">
        <f>Mitigation_Industry!AC$308</f>
        <v>0</v>
      </c>
      <c r="AD14" s="127">
        <f>Mitigation_Industry!AD$308</f>
        <v>0</v>
      </c>
      <c r="AE14" s="127">
        <f>Mitigation_Industry!AE$308</f>
        <v>0</v>
      </c>
      <c r="AF14" s="128"/>
      <c r="AG14" s="128"/>
      <c r="AH14" s="128"/>
      <c r="AI14" s="128"/>
    </row>
    <row r="15" spans="1:35" x14ac:dyDescent="0.35"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</row>
    <row r="16" spans="1:35" customFormat="1" ht="14.25" x14ac:dyDescent="0.45">
      <c r="A16" s="11"/>
      <c r="B16" s="6"/>
      <c r="C16" s="7" t="s">
        <v>2460</v>
      </c>
      <c r="D16" s="6" t="s">
        <v>1505</v>
      </c>
      <c r="E16" s="7" t="s">
        <v>35</v>
      </c>
      <c r="F16" s="7" t="s">
        <v>45</v>
      </c>
      <c r="G16" s="7" t="s">
        <v>37</v>
      </c>
      <c r="H16" s="12" t="s">
        <v>38</v>
      </c>
      <c r="I16" s="6" t="s">
        <v>39</v>
      </c>
      <c r="J16" s="48">
        <v>1</v>
      </c>
      <c r="K16" s="124">
        <v>2021</v>
      </c>
      <c r="L16" s="125">
        <v>2022</v>
      </c>
      <c r="M16" s="124">
        <v>2023</v>
      </c>
      <c r="N16" s="124">
        <v>2024</v>
      </c>
      <c r="O16" s="124">
        <v>2025</v>
      </c>
      <c r="P16" s="124">
        <v>2026</v>
      </c>
      <c r="Q16" s="124">
        <v>2027</v>
      </c>
      <c r="R16" s="124">
        <v>2028</v>
      </c>
      <c r="S16" s="124">
        <v>2029</v>
      </c>
      <c r="T16" s="124">
        <v>2030</v>
      </c>
      <c r="U16" s="124">
        <v>2031</v>
      </c>
      <c r="V16" s="124">
        <v>2032</v>
      </c>
      <c r="W16" s="124">
        <v>2033</v>
      </c>
      <c r="X16" s="124">
        <v>2034</v>
      </c>
      <c r="Y16" s="124">
        <v>2035</v>
      </c>
      <c r="Z16" s="124">
        <v>2036</v>
      </c>
      <c r="AA16" s="124">
        <v>2037</v>
      </c>
      <c r="AB16" s="124">
        <v>2038</v>
      </c>
      <c r="AC16" s="124">
        <v>2039</v>
      </c>
      <c r="AD16" s="124">
        <v>2040</v>
      </c>
      <c r="AE16" s="124">
        <v>2041</v>
      </c>
      <c r="AF16" s="124">
        <v>2042</v>
      </c>
      <c r="AG16" s="124">
        <v>2043</v>
      </c>
      <c r="AH16" s="124">
        <v>2044</v>
      </c>
      <c r="AI16" s="124">
        <v>2045</v>
      </c>
    </row>
    <row r="17" spans="1:35" customFormat="1" ht="14.25" x14ac:dyDescent="0.45">
      <c r="B17" s="14" t="s">
        <v>1452</v>
      </c>
      <c r="C17" s="14" t="s">
        <v>43</v>
      </c>
      <c r="D17" s="15" t="s">
        <v>2461</v>
      </c>
      <c r="E17" s="16" t="s">
        <v>1415</v>
      </c>
      <c r="F17" s="14" t="s">
        <v>2460</v>
      </c>
      <c r="G17" s="119"/>
      <c r="H17" s="114" t="str">
        <f>Settings!$B$3&amp;".mit.pf.stl.drg.1"</f>
        <v>egy.mit.pf.stl.drg.1</v>
      </c>
      <c r="I17" t="s">
        <v>2462</v>
      </c>
      <c r="K17" s="126"/>
      <c r="L17" s="127">
        <f>Mitigation_Industry!$F$299*L$12+Mitigation_Industry!$G$299*L$13</f>
        <v>0</v>
      </c>
      <c r="M17" s="127">
        <f>Mitigation_Industry!$F$299*M$12+Mitigation_Industry!$G$299*M$13</f>
        <v>0</v>
      </c>
      <c r="N17" s="127">
        <f>Mitigation_Industry!$F$299*N$12+Mitigation_Industry!$G$299*N$13</f>
        <v>0</v>
      </c>
      <c r="O17" s="127">
        <f>Mitigation_Industry!$F$299*O$12+Mitigation_Industry!$G$299*O$13</f>
        <v>0</v>
      </c>
      <c r="P17" s="127">
        <f>Mitigation_Industry!$F$299*P$12+Mitigation_Industry!$G$299*P$13</f>
        <v>0</v>
      </c>
      <c r="Q17" s="127">
        <f>Mitigation_Industry!$F$299*Q$12+Mitigation_Industry!$G$299*Q$13</f>
        <v>0</v>
      </c>
      <c r="R17" s="127">
        <f>Mitigation_Industry!$F$299*R$12+Mitigation_Industry!$G$299*R$13</f>
        <v>0</v>
      </c>
      <c r="S17" s="127">
        <f>Mitigation_Industry!$F$299*S$12+Mitigation_Industry!$G$299*S$13</f>
        <v>0</v>
      </c>
      <c r="T17" s="127">
        <f>Mitigation_Industry!$F$299*T$12+Mitigation_Industry!$G$299*T$13</f>
        <v>0</v>
      </c>
      <c r="U17" s="127">
        <f>Mitigation_Industry!$F$299*U$12+Mitigation_Industry!$G$299*U$13</f>
        <v>0</v>
      </c>
      <c r="V17" s="127">
        <f>Mitigation_Industry!$F$299*V$12+Mitigation_Industry!$G$299*V$13</f>
        <v>0</v>
      </c>
      <c r="W17" s="127">
        <f>Mitigation_Industry!$F$299*W$12+Mitigation_Industry!$G$299*W$13</f>
        <v>0</v>
      </c>
      <c r="X17" s="127">
        <f>Mitigation_Industry!$F$299*X$12+Mitigation_Industry!$G$299*X$13</f>
        <v>0</v>
      </c>
      <c r="Y17" s="127">
        <f>Mitigation_Industry!$F$299*Y$12+Mitigation_Industry!$G$299*Y$13</f>
        <v>0</v>
      </c>
      <c r="Z17" s="127">
        <f>Mitigation_Industry!$F$299*Z$12+Mitigation_Industry!$G$299*Z$13</f>
        <v>0</v>
      </c>
      <c r="AA17" s="127">
        <f>Mitigation_Industry!$F$299*AA$12+Mitigation_Industry!$G$299*AA$13</f>
        <v>0</v>
      </c>
      <c r="AB17" s="127">
        <f>Mitigation_Industry!$F$299*AB$12+Mitigation_Industry!$G$299*AB$13</f>
        <v>0</v>
      </c>
      <c r="AC17" s="127">
        <f>Mitigation_Industry!$F$299*AC$12+Mitigation_Industry!$G$299*AC$13</f>
        <v>0</v>
      </c>
      <c r="AD17" s="127">
        <f>Mitigation_Industry!$F$299*AD$12+Mitigation_Industry!$G$299*AD$13</f>
        <v>0</v>
      </c>
      <c r="AE17" s="127">
        <f>Mitigation_Industry!$F$299*AE$12+Mitigation_Industry!$G$299*AE$13</f>
        <v>0</v>
      </c>
      <c r="AF17" s="128"/>
      <c r="AG17" s="128"/>
      <c r="AH17" s="128"/>
      <c r="AI17" s="128"/>
    </row>
    <row r="18" spans="1:35" customFormat="1" ht="14.25" x14ac:dyDescent="0.45">
      <c r="B18" s="14" t="s">
        <v>1455</v>
      </c>
      <c r="C18" s="14" t="s">
        <v>43</v>
      </c>
      <c r="D18" s="15" t="s">
        <v>2463</v>
      </c>
      <c r="E18" s="16" t="s">
        <v>1415</v>
      </c>
      <c r="F18" s="14" t="s">
        <v>2460</v>
      </c>
      <c r="G18" s="119"/>
      <c r="H18" s="114" t="str">
        <f>Settings!$B$3&amp;".mit.pf.stl.scr.1"</f>
        <v>egy.mit.pf.stl.scr.1</v>
      </c>
      <c r="K18" s="126"/>
      <c r="L18" s="127">
        <f>Mitigation_Industry!$F$300*L$12+Mitigation_Industry!$G$300*L$13</f>
        <v>0</v>
      </c>
      <c r="M18" s="127">
        <f>Mitigation_Industry!$F$300*M$12+Mitigation_Industry!$G$300*M$13</f>
        <v>0</v>
      </c>
      <c r="N18" s="127">
        <f>Mitigation_Industry!$F$300*N$12+Mitigation_Industry!$G$300*N$13</f>
        <v>0</v>
      </c>
      <c r="O18" s="127">
        <f>Mitigation_Industry!$F$300*O$12+Mitigation_Industry!$G$300*O$13</f>
        <v>0</v>
      </c>
      <c r="P18" s="127">
        <f>Mitigation_Industry!$F$300*P$12+Mitigation_Industry!$G$300*P$13</f>
        <v>0</v>
      </c>
      <c r="Q18" s="127">
        <f>Mitigation_Industry!$F$300*Q$12+Mitigation_Industry!$G$300*Q$13</f>
        <v>0</v>
      </c>
      <c r="R18" s="127">
        <f>Mitigation_Industry!$F$300*R$12+Mitigation_Industry!$G$300*R$13</f>
        <v>0</v>
      </c>
      <c r="S18" s="127">
        <f>Mitigation_Industry!$F$300*S$12+Mitigation_Industry!$G$300*S$13</f>
        <v>0</v>
      </c>
      <c r="T18" s="127">
        <f>Mitigation_Industry!$F$300*T$12+Mitigation_Industry!$G$300*T$13</f>
        <v>0</v>
      </c>
      <c r="U18" s="127">
        <f>Mitigation_Industry!$F$300*U$12+Mitigation_Industry!$G$300*U$13</f>
        <v>0</v>
      </c>
      <c r="V18" s="127">
        <f>Mitigation_Industry!$F$300*V$12+Mitigation_Industry!$G$300*V$13</f>
        <v>0</v>
      </c>
      <c r="W18" s="127">
        <f>Mitigation_Industry!$F$300*W$12+Mitigation_Industry!$G$300*W$13</f>
        <v>0</v>
      </c>
      <c r="X18" s="127">
        <f>Mitigation_Industry!$F$300*X$12+Mitigation_Industry!$G$300*X$13</f>
        <v>0</v>
      </c>
      <c r="Y18" s="127">
        <f>Mitigation_Industry!$F$300*Y$12+Mitigation_Industry!$G$300*Y$13</f>
        <v>0</v>
      </c>
      <c r="Z18" s="127">
        <f>Mitigation_Industry!$F$300*Z$12+Mitigation_Industry!$G$300*Z$13</f>
        <v>0</v>
      </c>
      <c r="AA18" s="127">
        <f>Mitigation_Industry!$F$300*AA$12+Mitigation_Industry!$G$300*AA$13</f>
        <v>0</v>
      </c>
      <c r="AB18" s="127">
        <f>Mitigation_Industry!$F$300*AB$12+Mitigation_Industry!$G$300*AB$13</f>
        <v>0</v>
      </c>
      <c r="AC18" s="127">
        <f>Mitigation_Industry!$F$300*AC$12+Mitigation_Industry!$G$300*AC$13</f>
        <v>0</v>
      </c>
      <c r="AD18" s="127">
        <f>Mitigation_Industry!$F$300*AD$12+Mitigation_Industry!$G$300*AD$13</f>
        <v>0</v>
      </c>
      <c r="AE18" s="127">
        <f>Mitigation_Industry!$F$300*AE$12+Mitigation_Industry!$G$300*AE$13</f>
        <v>0</v>
      </c>
      <c r="AF18" s="128"/>
      <c r="AG18" s="128"/>
      <c r="AH18" s="128"/>
      <c r="AI18" s="128"/>
    </row>
    <row r="19" spans="1:35" customFormat="1" ht="14.25" x14ac:dyDescent="0.45">
      <c r="B19" s="14" t="s">
        <v>1458</v>
      </c>
      <c r="C19" s="14" t="s">
        <v>43</v>
      </c>
      <c r="D19" s="15" t="s">
        <v>2464</v>
      </c>
      <c r="E19" s="16" t="s">
        <v>1415</v>
      </c>
      <c r="F19" s="14" t="s">
        <v>2460</v>
      </c>
      <c r="G19" s="119"/>
      <c r="H19" s="114" t="str">
        <f>Settings!$B$3&amp;".mit.pf.stl.bof.1"</f>
        <v>egy.mit.pf.stl.bof.1</v>
      </c>
      <c r="K19" s="126"/>
      <c r="L19" s="127">
        <f>Mitigation_Industry!$F$301*L$12+Mitigation_Industry!$G$301*L$13</f>
        <v>0</v>
      </c>
      <c r="M19" s="127">
        <f>Mitigation_Industry!$F$301*M$12+Mitigation_Industry!$G$301*M$13</f>
        <v>0</v>
      </c>
      <c r="N19" s="127">
        <f>Mitigation_Industry!$F$301*N$12+Mitigation_Industry!$G$301*N$13</f>
        <v>0</v>
      </c>
      <c r="O19" s="127">
        <f>Mitigation_Industry!$F$301*O$12+Mitigation_Industry!$G$301*O$13</f>
        <v>0</v>
      </c>
      <c r="P19" s="127">
        <f>Mitigation_Industry!$F$301*P$12+Mitigation_Industry!$G$301*P$13</f>
        <v>0</v>
      </c>
      <c r="Q19" s="127">
        <f>Mitigation_Industry!$F$301*Q$12+Mitigation_Industry!$G$301*Q$13</f>
        <v>0</v>
      </c>
      <c r="R19" s="127">
        <f>Mitigation_Industry!$F$301*R$12+Mitigation_Industry!$G$301*R$13</f>
        <v>0</v>
      </c>
      <c r="S19" s="127">
        <f>Mitigation_Industry!$F$301*S$12+Mitigation_Industry!$G$301*S$13</f>
        <v>0</v>
      </c>
      <c r="T19" s="127">
        <f>Mitigation_Industry!$F$301*T$12+Mitigation_Industry!$G$301*T$13</f>
        <v>0</v>
      </c>
      <c r="U19" s="127">
        <f>Mitigation_Industry!$F$301*U$12+Mitigation_Industry!$G$301*U$13</f>
        <v>0</v>
      </c>
      <c r="V19" s="127">
        <f>Mitigation_Industry!$F$301*V$12+Mitigation_Industry!$G$301*V$13</f>
        <v>0</v>
      </c>
      <c r="W19" s="127">
        <f>Mitigation_Industry!$F$301*W$12+Mitigation_Industry!$G$301*W$13</f>
        <v>0</v>
      </c>
      <c r="X19" s="127">
        <f>Mitigation_Industry!$F$301*X$12+Mitigation_Industry!$G$301*X$13</f>
        <v>0</v>
      </c>
      <c r="Y19" s="127">
        <f>Mitigation_Industry!$F$301*Y$12+Mitigation_Industry!$G$301*Y$13</f>
        <v>0</v>
      </c>
      <c r="Z19" s="127">
        <f>Mitigation_Industry!$F$301*Z$12+Mitigation_Industry!$G$301*Z$13</f>
        <v>0</v>
      </c>
      <c r="AA19" s="127">
        <f>Mitigation_Industry!$F$301*AA$12+Mitigation_Industry!$G$301*AA$13</f>
        <v>0</v>
      </c>
      <c r="AB19" s="127">
        <f>Mitigation_Industry!$F$301*AB$12+Mitigation_Industry!$G$301*AB$13</f>
        <v>0</v>
      </c>
      <c r="AC19" s="127">
        <f>Mitigation_Industry!$F$301*AC$12+Mitigation_Industry!$G$301*AC$13</f>
        <v>0</v>
      </c>
      <c r="AD19" s="127">
        <f>Mitigation_Industry!$F$301*AD$12+Mitigation_Industry!$G$301*AD$13</f>
        <v>0</v>
      </c>
      <c r="AE19" s="127">
        <f>Mitigation_Industry!$F$301*AE$12+Mitigation_Industry!$G$301*AE$13</f>
        <v>0</v>
      </c>
      <c r="AF19" s="128"/>
      <c r="AG19" s="128"/>
      <c r="AH19" s="128"/>
      <c r="AI19" s="128"/>
    </row>
    <row r="20" spans="1:35" customFormat="1" ht="14.25" x14ac:dyDescent="0.45">
      <c r="B20" s="14" t="s">
        <v>1461</v>
      </c>
      <c r="C20" s="14" t="s">
        <v>113</v>
      </c>
      <c r="D20" s="15" t="s">
        <v>2465</v>
      </c>
      <c r="E20" s="16" t="s">
        <v>1415</v>
      </c>
      <c r="F20" s="14" t="s">
        <v>2460</v>
      </c>
      <c r="G20" s="119"/>
      <c r="H20" s="114" t="str">
        <f>Settings!$B$3&amp;".mit.pf.cmt.dry.1"</f>
        <v>egy.mit.pf.cmt.dry.1</v>
      </c>
      <c r="K20" s="126"/>
      <c r="L20" s="127">
        <f>Mitigation_Industry!$F$302*L$12+Mitigation_Industry!$G$302*L$13</f>
        <v>0</v>
      </c>
      <c r="M20" s="127">
        <f>Mitigation_Industry!$F$302*M$12+Mitigation_Industry!$G$302*M$13</f>
        <v>0</v>
      </c>
      <c r="N20" s="127">
        <f>Mitigation_Industry!$F$302*N$12+Mitigation_Industry!$G$302*N$13</f>
        <v>0</v>
      </c>
      <c r="O20" s="127">
        <f>Mitigation_Industry!$F$302*O$12+Mitigation_Industry!$G$302*O$13</f>
        <v>0</v>
      </c>
      <c r="P20" s="127">
        <f>Mitigation_Industry!$F$302*P$12+Mitigation_Industry!$G$302*P$13</f>
        <v>0</v>
      </c>
      <c r="Q20" s="127">
        <f>Mitigation_Industry!$F$302*Q$12+Mitigation_Industry!$G$302*Q$13</f>
        <v>0</v>
      </c>
      <c r="R20" s="127">
        <f>Mitigation_Industry!$F$302*R$12+Mitigation_Industry!$G$302*R$13</f>
        <v>0</v>
      </c>
      <c r="S20" s="127">
        <f>Mitigation_Industry!$F$302*S$12+Mitigation_Industry!$G$302*S$13</f>
        <v>0</v>
      </c>
      <c r="T20" s="127">
        <f>Mitigation_Industry!$F$302*T$12+Mitigation_Industry!$G$302*T$13</f>
        <v>0</v>
      </c>
      <c r="U20" s="127">
        <f>Mitigation_Industry!$F$302*U$12+Mitigation_Industry!$G$302*U$13</f>
        <v>0</v>
      </c>
      <c r="V20" s="127">
        <f>Mitigation_Industry!$F$302*V$12+Mitigation_Industry!$G$302*V$13</f>
        <v>0</v>
      </c>
      <c r="W20" s="127">
        <f>Mitigation_Industry!$F$302*W$12+Mitigation_Industry!$G$302*W$13</f>
        <v>0</v>
      </c>
      <c r="X20" s="127">
        <f>Mitigation_Industry!$F$302*X$12+Mitigation_Industry!$G$302*X$13</f>
        <v>0</v>
      </c>
      <c r="Y20" s="127">
        <f>Mitigation_Industry!$F$302*Y$12+Mitigation_Industry!$G$302*Y$13</f>
        <v>0</v>
      </c>
      <c r="Z20" s="127">
        <f>Mitigation_Industry!$F$302*Z$12+Mitigation_Industry!$G$302*Z$13</f>
        <v>0</v>
      </c>
      <c r="AA20" s="127">
        <f>Mitigation_Industry!$F$302*AA$12+Mitigation_Industry!$G$302*AA$13</f>
        <v>0</v>
      </c>
      <c r="AB20" s="127">
        <f>Mitigation_Industry!$F$302*AB$12+Mitigation_Industry!$G$302*AB$13</f>
        <v>0</v>
      </c>
      <c r="AC20" s="127">
        <f>Mitigation_Industry!$F$302*AC$12+Mitigation_Industry!$G$302*AC$13</f>
        <v>0</v>
      </c>
      <c r="AD20" s="127">
        <f>Mitigation_Industry!$F$302*AD$12+Mitigation_Industry!$G$302*AD$13</f>
        <v>0</v>
      </c>
      <c r="AE20" s="127">
        <f>Mitigation_Industry!$F$302*AE$12+Mitigation_Industry!$G$302*AE$13</f>
        <v>0</v>
      </c>
      <c r="AF20" s="128"/>
      <c r="AG20" s="128"/>
      <c r="AH20" s="128"/>
      <c r="AI20" s="128"/>
    </row>
    <row r="21" spans="1:35" customFormat="1" ht="14.25" x14ac:dyDescent="0.45">
      <c r="B21" s="14" t="s">
        <v>1464</v>
      </c>
      <c r="C21" s="14" t="s">
        <v>117</v>
      </c>
      <c r="D21" s="15" t="s">
        <v>2466</v>
      </c>
      <c r="E21" s="16" t="s">
        <v>1415</v>
      </c>
      <c r="F21" s="14" t="s">
        <v>2460</v>
      </c>
      <c r="G21" s="119"/>
      <c r="H21" s="114" t="str">
        <f>Settings!$B$3&amp;".mit.pf.frt.amc.1"</f>
        <v>egy.mit.pf.frt.amc.1</v>
      </c>
      <c r="K21" s="126"/>
      <c r="L21" s="127">
        <f>Mitigation_Industry!$F$303*L$12+Mitigation_Industry!$G$303*L$13</f>
        <v>0</v>
      </c>
      <c r="M21" s="127">
        <f>Mitigation_Industry!$F$303*M$12+Mitigation_Industry!$G$303*M$13</f>
        <v>0</v>
      </c>
      <c r="N21" s="127">
        <f>Mitigation_Industry!$F$303*N$12+Mitigation_Industry!$G$303*N$13</f>
        <v>0</v>
      </c>
      <c r="O21" s="127">
        <f>Mitigation_Industry!$F$303*O$12+Mitigation_Industry!$G$303*O$13</f>
        <v>0</v>
      </c>
      <c r="P21" s="127">
        <f>Mitigation_Industry!$F$303*P$12+Mitigation_Industry!$G$303*P$13</f>
        <v>0</v>
      </c>
      <c r="Q21" s="127">
        <f>Mitigation_Industry!$F$303*Q$12+Mitigation_Industry!$G$303*Q$13</f>
        <v>0</v>
      </c>
      <c r="R21" s="127">
        <f>Mitigation_Industry!$F$303*R$12+Mitigation_Industry!$G$303*R$13</f>
        <v>0</v>
      </c>
      <c r="S21" s="127">
        <f>Mitigation_Industry!$F$303*S$12+Mitigation_Industry!$G$303*S$13</f>
        <v>0</v>
      </c>
      <c r="T21" s="127">
        <f>Mitigation_Industry!$F$303*T$12+Mitigation_Industry!$G$303*T$13</f>
        <v>0</v>
      </c>
      <c r="U21" s="127">
        <f>Mitigation_Industry!$F$303*U$12+Mitigation_Industry!$G$303*U$13</f>
        <v>0</v>
      </c>
      <c r="V21" s="127">
        <f>Mitigation_Industry!$F$303*V$12+Mitigation_Industry!$G$303*V$13</f>
        <v>0</v>
      </c>
      <c r="W21" s="127">
        <f>Mitigation_Industry!$F$303*W$12+Mitigation_Industry!$G$303*W$13</f>
        <v>0</v>
      </c>
      <c r="X21" s="127">
        <f>Mitigation_Industry!$F$303*X$12+Mitigation_Industry!$G$303*X$13</f>
        <v>0</v>
      </c>
      <c r="Y21" s="127">
        <f>Mitigation_Industry!$F$303*Y$12+Mitigation_Industry!$G$303*Y$13</f>
        <v>0</v>
      </c>
      <c r="Z21" s="127">
        <f>Mitigation_Industry!$F$303*Z$12+Mitigation_Industry!$G$303*Z$13</f>
        <v>0</v>
      </c>
      <c r="AA21" s="127">
        <f>Mitigation_Industry!$F$303*AA$12+Mitigation_Industry!$G$303*AA$13</f>
        <v>0</v>
      </c>
      <c r="AB21" s="127">
        <f>Mitigation_Industry!$F$303*AB$12+Mitigation_Industry!$G$303*AB$13</f>
        <v>0</v>
      </c>
      <c r="AC21" s="127">
        <f>Mitigation_Industry!$F$303*AC$12+Mitigation_Industry!$G$303*AC$13</f>
        <v>0</v>
      </c>
      <c r="AD21" s="127">
        <f>Mitigation_Industry!$F$303*AD$12+Mitigation_Industry!$G$303*AD$13</f>
        <v>0</v>
      </c>
      <c r="AE21" s="127">
        <f>Mitigation_Industry!$F$303*AE$12+Mitigation_Industry!$G$303*AE$13</f>
        <v>0</v>
      </c>
      <c r="AF21" s="128"/>
      <c r="AG21" s="128"/>
      <c r="AH21" s="128"/>
      <c r="AI21" s="128"/>
    </row>
    <row r="22" spans="1:35" customFormat="1" ht="14.25" x14ac:dyDescent="0.45">
      <c r="B22" s="14" t="s">
        <v>1467</v>
      </c>
      <c r="C22" s="14" t="s">
        <v>117</v>
      </c>
      <c r="D22" s="15" t="s">
        <v>2467</v>
      </c>
      <c r="E22" s="16" t="s">
        <v>1415</v>
      </c>
      <c r="F22" s="14" t="s">
        <v>2460</v>
      </c>
      <c r="G22" s="119"/>
      <c r="H22" s="114" t="str">
        <f>Settings!$B$3&amp;".mit.pf.frt.ure.1"</f>
        <v>egy.mit.pf.frt.ure.1</v>
      </c>
      <c r="K22" s="126"/>
      <c r="L22" s="127">
        <f>Mitigation_Industry!$F$304*L$12+Mitigation_Industry!$G$304*L$13</f>
        <v>0</v>
      </c>
      <c r="M22" s="127">
        <f>Mitigation_Industry!$F$304*M$12+Mitigation_Industry!$G$304*M$13</f>
        <v>0</v>
      </c>
      <c r="N22" s="127">
        <f>Mitigation_Industry!$F$304*N$12+Mitigation_Industry!$G$304*N$13</f>
        <v>0</v>
      </c>
      <c r="O22" s="127">
        <f>Mitigation_Industry!$F$304*O$12+Mitigation_Industry!$G$304*O$13</f>
        <v>0</v>
      </c>
      <c r="P22" s="127">
        <f>Mitigation_Industry!$F$304*P$12+Mitigation_Industry!$G$304*P$13</f>
        <v>0</v>
      </c>
      <c r="Q22" s="127">
        <f>Mitigation_Industry!$F$304*Q$12+Mitigation_Industry!$G$304*Q$13</f>
        <v>0</v>
      </c>
      <c r="R22" s="127">
        <f>Mitigation_Industry!$F$304*R$12+Mitigation_Industry!$G$304*R$13</f>
        <v>0</v>
      </c>
      <c r="S22" s="127">
        <f>Mitigation_Industry!$F$304*S$12+Mitigation_Industry!$G$304*S$13</f>
        <v>0</v>
      </c>
      <c r="T22" s="127">
        <f>Mitigation_Industry!$F$304*T$12+Mitigation_Industry!$G$304*T$13</f>
        <v>0</v>
      </c>
      <c r="U22" s="127">
        <f>Mitigation_Industry!$F$304*U$12+Mitigation_Industry!$G$304*U$13</f>
        <v>0</v>
      </c>
      <c r="V22" s="127">
        <f>Mitigation_Industry!$F$304*V$12+Mitigation_Industry!$G$304*V$13</f>
        <v>0</v>
      </c>
      <c r="W22" s="127">
        <f>Mitigation_Industry!$F$304*W$12+Mitigation_Industry!$G$304*W$13</f>
        <v>0</v>
      </c>
      <c r="X22" s="127">
        <f>Mitigation_Industry!$F$304*X$12+Mitigation_Industry!$G$304*X$13</f>
        <v>0</v>
      </c>
      <c r="Y22" s="127">
        <f>Mitigation_Industry!$F$304*Y$12+Mitigation_Industry!$G$304*Y$13</f>
        <v>0</v>
      </c>
      <c r="Z22" s="127">
        <f>Mitigation_Industry!$F$304*Z$12+Mitigation_Industry!$G$304*Z$13</f>
        <v>0</v>
      </c>
      <c r="AA22" s="127">
        <f>Mitigation_Industry!$F$304*AA$12+Mitigation_Industry!$G$304*AA$13</f>
        <v>0</v>
      </c>
      <c r="AB22" s="127">
        <f>Mitigation_Industry!$F$304*AB$12+Mitigation_Industry!$G$304*AB$13</f>
        <v>0</v>
      </c>
      <c r="AC22" s="127">
        <f>Mitigation_Industry!$F$304*AC$12+Mitigation_Industry!$G$304*AC$13</f>
        <v>0</v>
      </c>
      <c r="AD22" s="127">
        <f>Mitigation_Industry!$F$304*AD$12+Mitigation_Industry!$G$304*AD$13</f>
        <v>0</v>
      </c>
      <c r="AE22" s="127">
        <f>Mitigation_Industry!$F$304*AE$12+Mitigation_Industry!$G$304*AE$13</f>
        <v>0</v>
      </c>
      <c r="AF22" s="128"/>
      <c r="AG22" s="128"/>
      <c r="AH22" s="128"/>
      <c r="AI22" s="128"/>
    </row>
    <row r="23" spans="1:35" customFormat="1" ht="14.25" x14ac:dyDescent="0.45">
      <c r="B23" s="14" t="s">
        <v>1470</v>
      </c>
      <c r="C23" s="14" t="s">
        <v>117</v>
      </c>
      <c r="D23" s="15" t="s">
        <v>2468</v>
      </c>
      <c r="E23" s="16" t="s">
        <v>1415</v>
      </c>
      <c r="F23" s="14" t="s">
        <v>2460</v>
      </c>
      <c r="G23" s="119"/>
      <c r="H23" s="114" t="str">
        <f>Settings!$B$3&amp;".mit.pf.frt.nit.1"</f>
        <v>egy.mit.pf.frt.nit.1</v>
      </c>
      <c r="K23" s="126"/>
      <c r="L23" s="127">
        <f>Mitigation_Industry!$F$305*L$12+Mitigation_Industry!$G$305*L$13</f>
        <v>0</v>
      </c>
      <c r="M23" s="127">
        <f>Mitigation_Industry!$F$305*M$12+Mitigation_Industry!$G$305*M$13</f>
        <v>0</v>
      </c>
      <c r="N23" s="127">
        <f>Mitigation_Industry!$F$305*N$12+Mitigation_Industry!$G$305*N$13</f>
        <v>0</v>
      </c>
      <c r="O23" s="127">
        <f>Mitigation_Industry!$F$305*O$12+Mitigation_Industry!$G$305*O$13</f>
        <v>0</v>
      </c>
      <c r="P23" s="127">
        <f>Mitigation_Industry!$F$305*P$12+Mitigation_Industry!$G$305*P$13</f>
        <v>0</v>
      </c>
      <c r="Q23" s="127">
        <f>Mitigation_Industry!$F$305*Q$12+Mitigation_Industry!$G$305*Q$13</f>
        <v>0</v>
      </c>
      <c r="R23" s="127">
        <f>Mitigation_Industry!$F$305*R$12+Mitigation_Industry!$G$305*R$13</f>
        <v>0</v>
      </c>
      <c r="S23" s="127">
        <f>Mitigation_Industry!$F$305*S$12+Mitigation_Industry!$G$305*S$13</f>
        <v>0</v>
      </c>
      <c r="T23" s="127">
        <f>Mitigation_Industry!$F$305*T$12+Mitigation_Industry!$G$305*T$13</f>
        <v>0</v>
      </c>
      <c r="U23" s="127">
        <f>Mitigation_Industry!$F$305*U$12+Mitigation_Industry!$G$305*U$13</f>
        <v>0</v>
      </c>
      <c r="V23" s="127">
        <f>Mitigation_Industry!$F$305*V$12+Mitigation_Industry!$G$305*V$13</f>
        <v>0</v>
      </c>
      <c r="W23" s="127">
        <f>Mitigation_Industry!$F$305*W$12+Mitigation_Industry!$G$305*W$13</f>
        <v>0</v>
      </c>
      <c r="X23" s="127">
        <f>Mitigation_Industry!$F$305*X$12+Mitigation_Industry!$G$305*X$13</f>
        <v>0</v>
      </c>
      <c r="Y23" s="127">
        <f>Mitigation_Industry!$F$305*Y$12+Mitigation_Industry!$G$305*Y$13</f>
        <v>0</v>
      </c>
      <c r="Z23" s="127">
        <f>Mitigation_Industry!$F$305*Z$12+Mitigation_Industry!$G$305*Z$13</f>
        <v>0</v>
      </c>
      <c r="AA23" s="127">
        <f>Mitigation_Industry!$F$305*AA$12+Mitigation_Industry!$G$305*AA$13</f>
        <v>0</v>
      </c>
      <c r="AB23" s="127">
        <f>Mitigation_Industry!$F$305*AB$12+Mitigation_Industry!$G$305*AB$13</f>
        <v>0</v>
      </c>
      <c r="AC23" s="127">
        <f>Mitigation_Industry!$F$305*AC$12+Mitigation_Industry!$G$305*AC$13</f>
        <v>0</v>
      </c>
      <c r="AD23" s="127">
        <f>Mitigation_Industry!$F$305*AD$12+Mitigation_Industry!$G$305*AD$13</f>
        <v>0</v>
      </c>
      <c r="AE23" s="127">
        <f>Mitigation_Industry!$F$305*AE$12+Mitigation_Industry!$G$305*AE$13</f>
        <v>0</v>
      </c>
      <c r="AF23" s="128"/>
      <c r="AG23" s="128"/>
      <c r="AH23" s="128"/>
      <c r="AI23" s="128"/>
    </row>
    <row r="24" spans="1:35" customFormat="1" ht="14.25" x14ac:dyDescent="0.45">
      <c r="B24" s="14" t="s">
        <v>1473</v>
      </c>
      <c r="C24" s="14" t="s">
        <v>115</v>
      </c>
      <c r="D24" s="15" t="s">
        <v>2469</v>
      </c>
      <c r="E24" s="16" t="s">
        <v>1415</v>
      </c>
      <c r="F24" s="14" t="s">
        <v>2460</v>
      </c>
      <c r="G24" s="119"/>
      <c r="H24" s="114" t="str">
        <f>Settings!$B$3&amp;".mit.pf.alu.prp.1"</f>
        <v>egy.mit.pf.alu.prp.1</v>
      </c>
      <c r="K24" s="126"/>
      <c r="L24" s="127">
        <f>Mitigation_Industry!$F$306*L$12+Mitigation_Industry!$G$306*L$13</f>
        <v>0</v>
      </c>
      <c r="M24" s="127">
        <f>Mitigation_Industry!$F$306*M$12+Mitigation_Industry!$G$306*M$13</f>
        <v>0</v>
      </c>
      <c r="N24" s="127">
        <f>Mitigation_Industry!$F$306*N$12+Mitigation_Industry!$G$306*N$13</f>
        <v>0</v>
      </c>
      <c r="O24" s="127">
        <f>Mitigation_Industry!$F$306*O$12+Mitigation_Industry!$G$306*O$13</f>
        <v>0</v>
      </c>
      <c r="P24" s="127">
        <f>Mitigation_Industry!$F$306*P$12+Mitigation_Industry!$G$306*P$13</f>
        <v>0</v>
      </c>
      <c r="Q24" s="127">
        <f>Mitigation_Industry!$F$306*Q$12+Mitigation_Industry!$G$306*Q$13</f>
        <v>0</v>
      </c>
      <c r="R24" s="127">
        <f>Mitigation_Industry!$F$306*R$12+Mitigation_Industry!$G$306*R$13</f>
        <v>0</v>
      </c>
      <c r="S24" s="127">
        <f>Mitigation_Industry!$F$306*S$12+Mitigation_Industry!$G$306*S$13</f>
        <v>0</v>
      </c>
      <c r="T24" s="127">
        <f>Mitigation_Industry!$F$306*T$12+Mitigation_Industry!$G$306*T$13</f>
        <v>0</v>
      </c>
      <c r="U24" s="127">
        <f>Mitigation_Industry!$F$306*U$12+Mitigation_Industry!$G$306*U$13</f>
        <v>0</v>
      </c>
      <c r="V24" s="127">
        <f>Mitigation_Industry!$F$306*V$12+Mitigation_Industry!$G$306*V$13</f>
        <v>0</v>
      </c>
      <c r="W24" s="127">
        <f>Mitigation_Industry!$F$306*W$12+Mitigation_Industry!$G$306*W$13</f>
        <v>0</v>
      </c>
      <c r="X24" s="127">
        <f>Mitigation_Industry!$F$306*X$12+Mitigation_Industry!$G$306*X$13</f>
        <v>0</v>
      </c>
      <c r="Y24" s="127">
        <f>Mitigation_Industry!$F$306*Y$12+Mitigation_Industry!$G$306*Y$13</f>
        <v>0</v>
      </c>
      <c r="Z24" s="127">
        <f>Mitigation_Industry!$F$306*Z$12+Mitigation_Industry!$G$306*Z$13</f>
        <v>0</v>
      </c>
      <c r="AA24" s="127">
        <f>Mitigation_Industry!$F$306*AA$12+Mitigation_Industry!$G$306*AA$13</f>
        <v>0</v>
      </c>
      <c r="AB24" s="127">
        <f>Mitigation_Industry!$F$306*AB$12+Mitigation_Industry!$G$306*AB$13</f>
        <v>0</v>
      </c>
      <c r="AC24" s="127">
        <f>Mitigation_Industry!$F$306*AC$12+Mitigation_Industry!$G$306*AC$13</f>
        <v>0</v>
      </c>
      <c r="AD24" s="127">
        <f>Mitigation_Industry!$F$306*AD$12+Mitigation_Industry!$G$306*AD$13</f>
        <v>0</v>
      </c>
      <c r="AE24" s="127">
        <f>Mitigation_Industry!$F$306*AE$12+Mitigation_Industry!$G$306*AE$13</f>
        <v>0</v>
      </c>
      <c r="AF24" s="128"/>
      <c r="AG24" s="128"/>
      <c r="AH24" s="128"/>
      <c r="AI24" s="128"/>
    </row>
    <row r="25" spans="1:35" x14ac:dyDescent="0.35"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</row>
    <row r="26" spans="1:35" customFormat="1" ht="14.25" x14ac:dyDescent="0.45">
      <c r="A26" s="11"/>
      <c r="B26" s="6"/>
      <c r="C26" s="7" t="s">
        <v>2470</v>
      </c>
      <c r="D26" s="6" t="s">
        <v>1505</v>
      </c>
      <c r="E26" s="7" t="s">
        <v>35</v>
      </c>
      <c r="F26" s="7" t="s">
        <v>45</v>
      </c>
      <c r="G26" s="7" t="s">
        <v>37</v>
      </c>
      <c r="H26" s="12" t="s">
        <v>38</v>
      </c>
      <c r="I26" s="6" t="s">
        <v>39</v>
      </c>
      <c r="J26" s="48">
        <v>1</v>
      </c>
      <c r="K26" s="124">
        <v>2021</v>
      </c>
      <c r="L26" s="125">
        <v>2022</v>
      </c>
      <c r="M26" s="124">
        <v>2023</v>
      </c>
      <c r="N26" s="124">
        <v>2024</v>
      </c>
      <c r="O26" s="124">
        <v>2025</v>
      </c>
      <c r="P26" s="124">
        <v>2026</v>
      </c>
      <c r="Q26" s="124">
        <v>2027</v>
      </c>
      <c r="R26" s="124">
        <v>2028</v>
      </c>
      <c r="S26" s="124">
        <v>2029</v>
      </c>
      <c r="T26" s="124">
        <v>2030</v>
      </c>
      <c r="U26" s="124">
        <v>2031</v>
      </c>
      <c r="V26" s="124">
        <v>2032</v>
      </c>
      <c r="W26" s="124">
        <v>2033</v>
      </c>
      <c r="X26" s="124">
        <v>2034</v>
      </c>
      <c r="Y26" s="124">
        <v>2035</v>
      </c>
      <c r="Z26" s="124">
        <v>2036</v>
      </c>
      <c r="AA26" s="124">
        <v>2037</v>
      </c>
      <c r="AB26" s="124">
        <v>2038</v>
      </c>
      <c r="AC26" s="124">
        <v>2039</v>
      </c>
      <c r="AD26" s="124">
        <v>2040</v>
      </c>
      <c r="AE26" s="124">
        <v>2041</v>
      </c>
      <c r="AF26" s="124">
        <v>2042</v>
      </c>
      <c r="AG26" s="124">
        <v>2043</v>
      </c>
      <c r="AH26" s="124">
        <v>2044</v>
      </c>
      <c r="AI26" s="124">
        <v>2045</v>
      </c>
    </row>
    <row r="27" spans="1:35" customFormat="1" ht="14.25" x14ac:dyDescent="0.45">
      <c r="B27" s="14" t="s">
        <v>1452</v>
      </c>
      <c r="C27" s="14" t="s">
        <v>43</v>
      </c>
      <c r="D27" s="15" t="s">
        <v>2471</v>
      </c>
      <c r="E27" s="16" t="s">
        <v>1415</v>
      </c>
      <c r="F27" s="14" t="s">
        <v>2470</v>
      </c>
      <c r="G27" s="119"/>
      <c r="H27" s="114" t="str">
        <f>Settings!$B$3&amp;".mit.pp.stl.drg.1"</f>
        <v>egy.mit.pp.stl.drg.1</v>
      </c>
      <c r="I27" t="s">
        <v>2472</v>
      </c>
      <c r="K27" s="126"/>
      <c r="L27" s="127">
        <f>Mitigation_Industry!$F$310*L$14+Mitigation_Industry!$G$310*L$13</f>
        <v>0</v>
      </c>
      <c r="M27" s="127">
        <f>Mitigation_Industry!$F$310*M$14+Mitigation_Industry!$G$310*M$13</f>
        <v>0</v>
      </c>
      <c r="N27" s="127">
        <f>Mitigation_Industry!$F$310*N$14+Mitigation_Industry!$G$310*N$13</f>
        <v>0</v>
      </c>
      <c r="O27" s="127">
        <f>Mitigation_Industry!$F$310*O$14+Mitigation_Industry!$G$310*O$13</f>
        <v>0</v>
      </c>
      <c r="P27" s="127">
        <f>Mitigation_Industry!$F$310*P$14+Mitigation_Industry!$G$310*P$13</f>
        <v>0</v>
      </c>
      <c r="Q27" s="127">
        <f>Mitigation_Industry!$F$310*Q$14+Mitigation_Industry!$G$310*Q$13</f>
        <v>0</v>
      </c>
      <c r="R27" s="127">
        <f>Mitigation_Industry!$F$310*R$14+Mitigation_Industry!$G$310*R$13</f>
        <v>0</v>
      </c>
      <c r="S27" s="127">
        <f>Mitigation_Industry!$F$310*S$14+Mitigation_Industry!$G$310*S$13</f>
        <v>0</v>
      </c>
      <c r="T27" s="127">
        <f>Mitigation_Industry!$F$310*T$14+Mitigation_Industry!$G$310*T$13</f>
        <v>0</v>
      </c>
      <c r="U27" s="127">
        <f>Mitigation_Industry!$F$310*U$14+Mitigation_Industry!$G$310*U$13</f>
        <v>0</v>
      </c>
      <c r="V27" s="127">
        <f>Mitigation_Industry!$F$310*V$14+Mitigation_Industry!$G$310*V$13</f>
        <v>0</v>
      </c>
      <c r="W27" s="127">
        <f>Mitigation_Industry!$F$310*W$14+Mitigation_Industry!$G$310*W$13</f>
        <v>0</v>
      </c>
      <c r="X27" s="127">
        <f>Mitigation_Industry!$F$310*X$14+Mitigation_Industry!$G$310*X$13</f>
        <v>0</v>
      </c>
      <c r="Y27" s="127">
        <f>Mitigation_Industry!$F$310*Y$14+Mitigation_Industry!$G$310*Y$13</f>
        <v>0</v>
      </c>
      <c r="Z27" s="127">
        <f>Mitigation_Industry!$F$310*Z$14+Mitigation_Industry!$G$310*Z$13</f>
        <v>0</v>
      </c>
      <c r="AA27" s="127">
        <f>Mitigation_Industry!$F$310*AA$14+Mitigation_Industry!$G$310*AA$13</f>
        <v>0</v>
      </c>
      <c r="AB27" s="127">
        <f>Mitigation_Industry!$F$310*AB$14+Mitigation_Industry!$G$310*AB$13</f>
        <v>0</v>
      </c>
      <c r="AC27" s="127">
        <f>Mitigation_Industry!$F$310*AC$14+Mitigation_Industry!$G$310*AC$13</f>
        <v>0</v>
      </c>
      <c r="AD27" s="127">
        <f>Mitigation_Industry!$F$310*AD$14+Mitigation_Industry!$G$310*AD$13</f>
        <v>0</v>
      </c>
      <c r="AE27" s="127">
        <f>Mitigation_Industry!$F$310*AE$14+Mitigation_Industry!$G$310*AE$13</f>
        <v>0</v>
      </c>
      <c r="AF27" s="128"/>
      <c r="AG27" s="128"/>
      <c r="AH27" s="128"/>
      <c r="AI27" s="128"/>
    </row>
    <row r="28" spans="1:35" customFormat="1" ht="14.25" x14ac:dyDescent="0.45">
      <c r="B28" s="14" t="s">
        <v>1455</v>
      </c>
      <c r="C28" s="14" t="s">
        <v>43</v>
      </c>
      <c r="D28" s="15" t="s">
        <v>2473</v>
      </c>
      <c r="E28" s="16" t="s">
        <v>1415</v>
      </c>
      <c r="F28" s="14" t="s">
        <v>2470</v>
      </c>
      <c r="G28" s="119"/>
      <c r="H28" s="114" t="str">
        <f>Settings!$B$3&amp;".mit.pp.stl.scr.1"</f>
        <v>egy.mit.pp.stl.scr.1</v>
      </c>
      <c r="K28" s="126"/>
      <c r="L28" s="127">
        <f>Mitigation_Industry!$F$311*L$14+Mitigation_Industry!$G$311*L$13</f>
        <v>0</v>
      </c>
      <c r="M28" s="127">
        <f>Mitigation_Industry!$F$311*M$14+Mitigation_Industry!$G$311*M$13</f>
        <v>0</v>
      </c>
      <c r="N28" s="127">
        <f>Mitigation_Industry!$F$311*N$14+Mitigation_Industry!$G$311*N$13</f>
        <v>0</v>
      </c>
      <c r="O28" s="127">
        <f>Mitigation_Industry!$F$311*O$14+Mitigation_Industry!$G$311*O$13</f>
        <v>0</v>
      </c>
      <c r="P28" s="127">
        <f>Mitigation_Industry!$F$311*P$14+Mitigation_Industry!$G$311*P$13</f>
        <v>0</v>
      </c>
      <c r="Q28" s="127">
        <f>Mitigation_Industry!$F$311*Q$14+Mitigation_Industry!$G$311*Q$13</f>
        <v>0</v>
      </c>
      <c r="R28" s="127">
        <f>Mitigation_Industry!$F$311*R$14+Mitigation_Industry!$G$311*R$13</f>
        <v>0</v>
      </c>
      <c r="S28" s="127">
        <f>Mitigation_Industry!$F$311*S$14+Mitigation_Industry!$G$311*S$13</f>
        <v>0</v>
      </c>
      <c r="T28" s="127">
        <f>Mitigation_Industry!$F$311*T$14+Mitigation_Industry!$G$311*T$13</f>
        <v>0</v>
      </c>
      <c r="U28" s="127">
        <f>Mitigation_Industry!$F$311*U$14+Mitigation_Industry!$G$311*U$13</f>
        <v>0</v>
      </c>
      <c r="V28" s="127">
        <f>Mitigation_Industry!$F$311*V$14+Mitigation_Industry!$G$311*V$13</f>
        <v>0</v>
      </c>
      <c r="W28" s="127">
        <f>Mitigation_Industry!$F$311*W$14+Mitigation_Industry!$G$311*W$13</f>
        <v>0</v>
      </c>
      <c r="X28" s="127">
        <f>Mitigation_Industry!$F$311*X$14+Mitigation_Industry!$G$311*X$13</f>
        <v>0</v>
      </c>
      <c r="Y28" s="127">
        <f>Mitigation_Industry!$F$311*Y$14+Mitigation_Industry!$G$311*Y$13</f>
        <v>0</v>
      </c>
      <c r="Z28" s="127">
        <f>Mitigation_Industry!$F$311*Z$14+Mitigation_Industry!$G$311*Z$13</f>
        <v>0</v>
      </c>
      <c r="AA28" s="127">
        <f>Mitigation_Industry!$F$311*AA$14+Mitigation_Industry!$G$311*AA$13</f>
        <v>0</v>
      </c>
      <c r="AB28" s="127">
        <f>Mitigation_Industry!$F$311*AB$14+Mitigation_Industry!$G$311*AB$13</f>
        <v>0</v>
      </c>
      <c r="AC28" s="127">
        <f>Mitigation_Industry!$F$311*AC$14+Mitigation_Industry!$G$311*AC$13</f>
        <v>0</v>
      </c>
      <c r="AD28" s="127">
        <f>Mitigation_Industry!$F$311*AD$14+Mitigation_Industry!$G$311*AD$13</f>
        <v>0</v>
      </c>
      <c r="AE28" s="127">
        <f>Mitigation_Industry!$F$311*AE$14+Mitigation_Industry!$G$311*AE$13</f>
        <v>0</v>
      </c>
      <c r="AF28" s="128"/>
      <c r="AG28" s="128"/>
      <c r="AH28" s="128"/>
      <c r="AI28" s="128"/>
    </row>
    <row r="29" spans="1:35" customFormat="1" ht="14.25" x14ac:dyDescent="0.45">
      <c r="B29" s="14" t="s">
        <v>1458</v>
      </c>
      <c r="C29" s="14" t="s">
        <v>43</v>
      </c>
      <c r="D29" s="15" t="s">
        <v>2474</v>
      </c>
      <c r="E29" s="16" t="s">
        <v>1415</v>
      </c>
      <c r="F29" s="14" t="s">
        <v>2470</v>
      </c>
      <c r="G29" s="119"/>
      <c r="H29" s="114" t="str">
        <f>Settings!$B$3&amp;".mit.pp.stl.bof.1"</f>
        <v>egy.mit.pp.stl.bof.1</v>
      </c>
      <c r="K29" s="126"/>
      <c r="L29" s="127">
        <f>Mitigation_Industry!$F$312*L$14+Mitigation_Industry!$G$312*L$13</f>
        <v>0</v>
      </c>
      <c r="M29" s="127">
        <f>Mitigation_Industry!$F$312*M$14+Mitigation_Industry!$G$312*M$13</f>
        <v>0</v>
      </c>
      <c r="N29" s="127">
        <f>Mitigation_Industry!$F$312*N$14+Mitigation_Industry!$G$312*N$13</f>
        <v>0</v>
      </c>
      <c r="O29" s="127">
        <f>Mitigation_Industry!$F$312*O$14+Mitigation_Industry!$G$312*O$13</f>
        <v>0</v>
      </c>
      <c r="P29" s="127">
        <f>Mitigation_Industry!$F$312*P$14+Mitigation_Industry!$G$312*P$13</f>
        <v>0</v>
      </c>
      <c r="Q29" s="127">
        <f>Mitigation_Industry!$F$312*Q$14+Mitigation_Industry!$G$312*Q$13</f>
        <v>0</v>
      </c>
      <c r="R29" s="127">
        <f>Mitigation_Industry!$F$312*R$14+Mitigation_Industry!$G$312*R$13</f>
        <v>0</v>
      </c>
      <c r="S29" s="127">
        <f>Mitigation_Industry!$F$312*S$14+Mitigation_Industry!$G$312*S$13</f>
        <v>0</v>
      </c>
      <c r="T29" s="127">
        <f>Mitigation_Industry!$F$312*T$14+Mitigation_Industry!$G$312*T$13</f>
        <v>0</v>
      </c>
      <c r="U29" s="127">
        <f>Mitigation_Industry!$F$312*U$14+Mitigation_Industry!$G$312*U$13</f>
        <v>0</v>
      </c>
      <c r="V29" s="127">
        <f>Mitigation_Industry!$F$312*V$14+Mitigation_Industry!$G$312*V$13</f>
        <v>0</v>
      </c>
      <c r="W29" s="127">
        <f>Mitigation_Industry!$F$312*W$14+Mitigation_Industry!$G$312*W$13</f>
        <v>0</v>
      </c>
      <c r="X29" s="127">
        <f>Mitigation_Industry!$F$312*X$14+Mitigation_Industry!$G$312*X$13</f>
        <v>0</v>
      </c>
      <c r="Y29" s="127">
        <f>Mitigation_Industry!$F$312*Y$14+Mitigation_Industry!$G$312*Y$13</f>
        <v>0</v>
      </c>
      <c r="Z29" s="127">
        <f>Mitigation_Industry!$F$312*Z$14+Mitigation_Industry!$G$312*Z$13</f>
        <v>0</v>
      </c>
      <c r="AA29" s="127">
        <f>Mitigation_Industry!$F$312*AA$14+Mitigation_Industry!$G$312*AA$13</f>
        <v>0</v>
      </c>
      <c r="AB29" s="127">
        <f>Mitigation_Industry!$F$312*AB$14+Mitigation_Industry!$G$312*AB$13</f>
        <v>0</v>
      </c>
      <c r="AC29" s="127">
        <f>Mitigation_Industry!$F$312*AC$14+Mitigation_Industry!$G$312*AC$13</f>
        <v>0</v>
      </c>
      <c r="AD29" s="127">
        <f>Mitigation_Industry!$F$312*AD$14+Mitigation_Industry!$G$312*AD$13</f>
        <v>0</v>
      </c>
      <c r="AE29" s="127">
        <f>Mitigation_Industry!$F$312*AE$14+Mitigation_Industry!$G$312*AE$13</f>
        <v>0</v>
      </c>
      <c r="AF29" s="128"/>
      <c r="AG29" s="128"/>
      <c r="AH29" s="128"/>
      <c r="AI29" s="128"/>
    </row>
    <row r="30" spans="1:35" customFormat="1" ht="14.25" x14ac:dyDescent="0.45">
      <c r="B30" s="14" t="s">
        <v>1461</v>
      </c>
      <c r="C30" s="14" t="s">
        <v>113</v>
      </c>
      <c r="D30" s="15" t="s">
        <v>2475</v>
      </c>
      <c r="E30" s="16" t="s">
        <v>1415</v>
      </c>
      <c r="F30" s="14" t="s">
        <v>2470</v>
      </c>
      <c r="G30" s="119"/>
      <c r="H30" s="114" t="str">
        <f>Settings!$B$3&amp;".mit.pp.cmt.dry.1"</f>
        <v>egy.mit.pp.cmt.dry.1</v>
      </c>
      <c r="K30" s="126"/>
      <c r="L30" s="127">
        <f>Mitigation_Industry!$F$313*L$14+Mitigation_Industry!$G$313*L$13</f>
        <v>0</v>
      </c>
      <c r="M30" s="127">
        <f>Mitigation_Industry!$F$313*M$14+Mitigation_Industry!$G$313*M$13</f>
        <v>0</v>
      </c>
      <c r="N30" s="127">
        <f>Mitigation_Industry!$F$313*N$14+Mitigation_Industry!$G$313*N$13</f>
        <v>0</v>
      </c>
      <c r="O30" s="127">
        <f>Mitigation_Industry!$F$313*O$14+Mitigation_Industry!$G$313*O$13</f>
        <v>0</v>
      </c>
      <c r="P30" s="127">
        <f>Mitigation_Industry!$F$313*P$14+Mitigation_Industry!$G$313*P$13</f>
        <v>0</v>
      </c>
      <c r="Q30" s="127">
        <f>Mitigation_Industry!$F$313*Q$14+Mitigation_Industry!$G$313*Q$13</f>
        <v>0</v>
      </c>
      <c r="R30" s="127">
        <f>Mitigation_Industry!$F$313*R$14+Mitigation_Industry!$G$313*R$13</f>
        <v>0</v>
      </c>
      <c r="S30" s="127">
        <f>Mitigation_Industry!$F$313*S$14+Mitigation_Industry!$G$313*S$13</f>
        <v>0</v>
      </c>
      <c r="T30" s="127">
        <f>Mitigation_Industry!$F$313*T$14+Mitigation_Industry!$G$313*T$13</f>
        <v>0</v>
      </c>
      <c r="U30" s="127">
        <f>Mitigation_Industry!$F$313*U$14+Mitigation_Industry!$G$313*U$13</f>
        <v>0</v>
      </c>
      <c r="V30" s="127">
        <f>Mitigation_Industry!$F$313*V$14+Mitigation_Industry!$G$313*V$13</f>
        <v>0</v>
      </c>
      <c r="W30" s="127">
        <f>Mitigation_Industry!$F$313*W$14+Mitigation_Industry!$G$313*W$13</f>
        <v>0</v>
      </c>
      <c r="X30" s="127">
        <f>Mitigation_Industry!$F$313*X$14+Mitigation_Industry!$G$313*X$13</f>
        <v>0</v>
      </c>
      <c r="Y30" s="127">
        <f>Mitigation_Industry!$F$313*Y$14+Mitigation_Industry!$G$313*Y$13</f>
        <v>0</v>
      </c>
      <c r="Z30" s="127">
        <f>Mitigation_Industry!$F$313*Z$14+Mitigation_Industry!$G$313*Z$13</f>
        <v>0</v>
      </c>
      <c r="AA30" s="127">
        <f>Mitigation_Industry!$F$313*AA$14+Mitigation_Industry!$G$313*AA$13</f>
        <v>0</v>
      </c>
      <c r="AB30" s="127">
        <f>Mitigation_Industry!$F$313*AB$14+Mitigation_Industry!$G$313*AB$13</f>
        <v>0</v>
      </c>
      <c r="AC30" s="127">
        <f>Mitigation_Industry!$F$313*AC$14+Mitigation_Industry!$G$313*AC$13</f>
        <v>0</v>
      </c>
      <c r="AD30" s="127">
        <f>Mitigation_Industry!$F$313*AD$14+Mitigation_Industry!$G$313*AD$13</f>
        <v>0</v>
      </c>
      <c r="AE30" s="127">
        <f>Mitigation_Industry!$F$313*AE$14+Mitigation_Industry!$G$313*AE$13</f>
        <v>0</v>
      </c>
      <c r="AF30" s="128"/>
      <c r="AG30" s="128"/>
      <c r="AH30" s="128"/>
      <c r="AI30" s="128"/>
    </row>
    <row r="31" spans="1:35" customFormat="1" ht="14.25" x14ac:dyDescent="0.45">
      <c r="B31" s="14" t="s">
        <v>1464</v>
      </c>
      <c r="C31" s="14" t="s">
        <v>117</v>
      </c>
      <c r="D31" s="15" t="s">
        <v>2476</v>
      </c>
      <c r="E31" s="16" t="s">
        <v>1415</v>
      </c>
      <c r="F31" s="14" t="s">
        <v>2470</v>
      </c>
      <c r="G31" s="119"/>
      <c r="H31" s="114" t="str">
        <f>Settings!$B$3&amp;".mit.pp.frt.amc.1"</f>
        <v>egy.mit.pp.frt.amc.1</v>
      </c>
      <c r="K31" s="126"/>
      <c r="L31" s="127">
        <f>Mitigation_Industry!$F$314*L$14+Mitigation_Industry!$G$314*L$13</f>
        <v>0</v>
      </c>
      <c r="M31" s="127">
        <f>Mitigation_Industry!$F$314*M$14+Mitigation_Industry!$G$314*M$13</f>
        <v>0</v>
      </c>
      <c r="N31" s="127">
        <f>Mitigation_Industry!$F$314*N$14+Mitigation_Industry!$G$314*N$13</f>
        <v>0</v>
      </c>
      <c r="O31" s="127">
        <f>Mitigation_Industry!$F$314*O$14+Mitigation_Industry!$G$314*O$13</f>
        <v>0</v>
      </c>
      <c r="P31" s="127">
        <f>Mitigation_Industry!$F$314*P$14+Mitigation_Industry!$G$314*P$13</f>
        <v>0</v>
      </c>
      <c r="Q31" s="127">
        <f>Mitigation_Industry!$F$314*Q$14+Mitigation_Industry!$G$314*Q$13</f>
        <v>0</v>
      </c>
      <c r="R31" s="127">
        <f>Mitigation_Industry!$F$314*R$14+Mitigation_Industry!$G$314*R$13</f>
        <v>0</v>
      </c>
      <c r="S31" s="127">
        <f>Mitigation_Industry!$F$314*S$14+Mitigation_Industry!$G$314*S$13</f>
        <v>0</v>
      </c>
      <c r="T31" s="127">
        <f>Mitigation_Industry!$F$314*T$14+Mitigation_Industry!$G$314*T$13</f>
        <v>0</v>
      </c>
      <c r="U31" s="127">
        <f>Mitigation_Industry!$F$314*U$14+Mitigation_Industry!$G$314*U$13</f>
        <v>0</v>
      </c>
      <c r="V31" s="127">
        <f>Mitigation_Industry!$F$314*V$14+Mitigation_Industry!$G$314*V$13</f>
        <v>0</v>
      </c>
      <c r="W31" s="127">
        <f>Mitigation_Industry!$F$314*W$14+Mitigation_Industry!$G$314*W$13</f>
        <v>0</v>
      </c>
      <c r="X31" s="127">
        <f>Mitigation_Industry!$F$314*X$14+Mitigation_Industry!$G$314*X$13</f>
        <v>0</v>
      </c>
      <c r="Y31" s="127">
        <f>Mitigation_Industry!$F$314*Y$14+Mitigation_Industry!$G$314*Y$13</f>
        <v>0</v>
      </c>
      <c r="Z31" s="127">
        <f>Mitigation_Industry!$F$314*Z$14+Mitigation_Industry!$G$314*Z$13</f>
        <v>0</v>
      </c>
      <c r="AA31" s="127">
        <f>Mitigation_Industry!$F$314*AA$14+Mitigation_Industry!$G$314*AA$13</f>
        <v>0</v>
      </c>
      <c r="AB31" s="127">
        <f>Mitigation_Industry!$F$314*AB$14+Mitigation_Industry!$G$314*AB$13</f>
        <v>0</v>
      </c>
      <c r="AC31" s="127">
        <f>Mitigation_Industry!$F$314*AC$14+Mitigation_Industry!$G$314*AC$13</f>
        <v>0</v>
      </c>
      <c r="AD31" s="127">
        <f>Mitigation_Industry!$F$314*AD$14+Mitigation_Industry!$G$314*AD$13</f>
        <v>0</v>
      </c>
      <c r="AE31" s="127">
        <f>Mitigation_Industry!$F$314*AE$14+Mitigation_Industry!$G$314*AE$13</f>
        <v>0</v>
      </c>
      <c r="AF31" s="128"/>
      <c r="AG31" s="128"/>
      <c r="AH31" s="128"/>
      <c r="AI31" s="128"/>
    </row>
    <row r="32" spans="1:35" customFormat="1" ht="14.25" x14ac:dyDescent="0.45">
      <c r="B32" s="14" t="s">
        <v>1467</v>
      </c>
      <c r="C32" s="14" t="s">
        <v>117</v>
      </c>
      <c r="D32" s="15" t="s">
        <v>2477</v>
      </c>
      <c r="E32" s="16" t="s">
        <v>1415</v>
      </c>
      <c r="F32" s="14" t="s">
        <v>2470</v>
      </c>
      <c r="G32" s="119"/>
      <c r="H32" s="114" t="str">
        <f>Settings!$B$3&amp;".mit.pp.frt.ure.1"</f>
        <v>egy.mit.pp.frt.ure.1</v>
      </c>
      <c r="K32" s="126"/>
      <c r="L32" s="127">
        <f>Mitigation_Industry!$F$315*L$14+Mitigation_Industry!$G$315*L$13</f>
        <v>0</v>
      </c>
      <c r="M32" s="127">
        <f>Mitigation_Industry!$F$315*M$14+Mitigation_Industry!$G$315*M$13</f>
        <v>0</v>
      </c>
      <c r="N32" s="127">
        <f>Mitigation_Industry!$F$315*N$14+Mitigation_Industry!$G$315*N$13</f>
        <v>0</v>
      </c>
      <c r="O32" s="127">
        <f>Mitigation_Industry!$F$315*O$14+Mitigation_Industry!$G$315*O$13</f>
        <v>0</v>
      </c>
      <c r="P32" s="127">
        <f>Mitigation_Industry!$F$315*P$14+Mitigation_Industry!$G$315*P$13</f>
        <v>0</v>
      </c>
      <c r="Q32" s="127">
        <f>Mitigation_Industry!$F$315*Q$14+Mitigation_Industry!$G$315*Q$13</f>
        <v>0</v>
      </c>
      <c r="R32" s="127">
        <f>Mitigation_Industry!$F$315*R$14+Mitigation_Industry!$G$315*R$13</f>
        <v>0</v>
      </c>
      <c r="S32" s="127">
        <f>Mitigation_Industry!$F$315*S$14+Mitigation_Industry!$G$315*S$13</f>
        <v>0</v>
      </c>
      <c r="T32" s="127">
        <f>Mitigation_Industry!$F$315*T$14+Mitigation_Industry!$G$315*T$13</f>
        <v>0</v>
      </c>
      <c r="U32" s="127">
        <f>Mitigation_Industry!$F$315*U$14+Mitigation_Industry!$G$315*U$13</f>
        <v>0</v>
      </c>
      <c r="V32" s="127">
        <f>Mitigation_Industry!$F$315*V$14+Mitigation_Industry!$G$315*V$13</f>
        <v>0</v>
      </c>
      <c r="W32" s="127">
        <f>Mitigation_Industry!$F$315*W$14+Mitigation_Industry!$G$315*W$13</f>
        <v>0</v>
      </c>
      <c r="X32" s="127">
        <f>Mitigation_Industry!$F$315*X$14+Mitigation_Industry!$G$315*X$13</f>
        <v>0</v>
      </c>
      <c r="Y32" s="127">
        <f>Mitigation_Industry!$F$315*Y$14+Mitigation_Industry!$G$315*Y$13</f>
        <v>0</v>
      </c>
      <c r="Z32" s="127">
        <f>Mitigation_Industry!$F$315*Z$14+Mitigation_Industry!$G$315*Z$13</f>
        <v>0</v>
      </c>
      <c r="AA32" s="127">
        <f>Mitigation_Industry!$F$315*AA$14+Mitigation_Industry!$G$315*AA$13</f>
        <v>0</v>
      </c>
      <c r="AB32" s="127">
        <f>Mitigation_Industry!$F$315*AB$14+Mitigation_Industry!$G$315*AB$13</f>
        <v>0</v>
      </c>
      <c r="AC32" s="127">
        <f>Mitigation_Industry!$F$315*AC$14+Mitigation_Industry!$G$315*AC$13</f>
        <v>0</v>
      </c>
      <c r="AD32" s="127">
        <f>Mitigation_Industry!$F$315*AD$14+Mitigation_Industry!$G$315*AD$13</f>
        <v>0</v>
      </c>
      <c r="AE32" s="127">
        <f>Mitigation_Industry!$F$315*AE$14+Mitigation_Industry!$G$315*AE$13</f>
        <v>0</v>
      </c>
      <c r="AF32" s="128"/>
      <c r="AG32" s="128"/>
      <c r="AH32" s="128"/>
      <c r="AI32" s="128"/>
    </row>
    <row r="33" spans="1:35" customFormat="1" ht="14.25" x14ac:dyDescent="0.45">
      <c r="B33" s="14" t="s">
        <v>1470</v>
      </c>
      <c r="C33" s="14" t="s">
        <v>117</v>
      </c>
      <c r="D33" s="15" t="s">
        <v>2478</v>
      </c>
      <c r="E33" s="16" t="s">
        <v>1415</v>
      </c>
      <c r="F33" s="14" t="s">
        <v>2470</v>
      </c>
      <c r="G33" s="119"/>
      <c r="H33" s="114" t="str">
        <f>Settings!$B$3&amp;".mit.pp.frt.nit.1"</f>
        <v>egy.mit.pp.frt.nit.1</v>
      </c>
      <c r="K33" s="126"/>
      <c r="L33" s="127">
        <f>Mitigation_Industry!$F$316*L$14+Mitigation_Industry!$G$316*L$13</f>
        <v>0</v>
      </c>
      <c r="M33" s="127">
        <f>Mitigation_Industry!$F$316*M$14+Mitigation_Industry!$G$316*M$13</f>
        <v>0</v>
      </c>
      <c r="N33" s="127">
        <f>Mitigation_Industry!$F$316*N$14+Mitigation_Industry!$G$316*N$13</f>
        <v>0</v>
      </c>
      <c r="O33" s="127">
        <f>Mitigation_Industry!$F$316*O$14+Mitigation_Industry!$G$316*O$13</f>
        <v>0</v>
      </c>
      <c r="P33" s="127">
        <f>Mitigation_Industry!$F$316*P$14+Mitigation_Industry!$G$316*P$13</f>
        <v>0</v>
      </c>
      <c r="Q33" s="127">
        <f>Mitigation_Industry!$F$316*Q$14+Mitigation_Industry!$G$316*Q$13</f>
        <v>0</v>
      </c>
      <c r="R33" s="127">
        <f>Mitigation_Industry!$F$316*R$14+Mitigation_Industry!$G$316*R$13</f>
        <v>0</v>
      </c>
      <c r="S33" s="127">
        <f>Mitigation_Industry!$F$316*S$14+Mitigation_Industry!$G$316*S$13</f>
        <v>0</v>
      </c>
      <c r="T33" s="127">
        <f>Mitigation_Industry!$F$316*T$14+Mitigation_Industry!$G$316*T$13</f>
        <v>0</v>
      </c>
      <c r="U33" s="127">
        <f>Mitigation_Industry!$F$316*U$14+Mitigation_Industry!$G$316*U$13</f>
        <v>0</v>
      </c>
      <c r="V33" s="127">
        <f>Mitigation_Industry!$F$316*V$14+Mitigation_Industry!$G$316*V$13</f>
        <v>0</v>
      </c>
      <c r="W33" s="127">
        <f>Mitigation_Industry!$F$316*W$14+Mitigation_Industry!$G$316*W$13</f>
        <v>0</v>
      </c>
      <c r="X33" s="127">
        <f>Mitigation_Industry!$F$316*X$14+Mitigation_Industry!$G$316*X$13</f>
        <v>0</v>
      </c>
      <c r="Y33" s="127">
        <f>Mitigation_Industry!$F$316*Y$14+Mitigation_Industry!$G$316*Y$13</f>
        <v>0</v>
      </c>
      <c r="Z33" s="127">
        <f>Mitigation_Industry!$F$316*Z$14+Mitigation_Industry!$G$316*Z$13</f>
        <v>0</v>
      </c>
      <c r="AA33" s="127">
        <f>Mitigation_Industry!$F$316*AA$14+Mitigation_Industry!$G$316*AA$13</f>
        <v>0</v>
      </c>
      <c r="AB33" s="127">
        <f>Mitigation_Industry!$F$316*AB$14+Mitigation_Industry!$G$316*AB$13</f>
        <v>0</v>
      </c>
      <c r="AC33" s="127">
        <f>Mitigation_Industry!$F$316*AC$14+Mitigation_Industry!$G$316*AC$13</f>
        <v>0</v>
      </c>
      <c r="AD33" s="127">
        <f>Mitigation_Industry!$F$316*AD$14+Mitigation_Industry!$G$316*AD$13</f>
        <v>0</v>
      </c>
      <c r="AE33" s="127">
        <f>Mitigation_Industry!$F$316*AE$14+Mitigation_Industry!$G$316*AE$13</f>
        <v>0</v>
      </c>
      <c r="AF33" s="128"/>
      <c r="AG33" s="128"/>
      <c r="AH33" s="128"/>
      <c r="AI33" s="128"/>
    </row>
    <row r="34" spans="1:35" customFormat="1" ht="14.25" x14ac:dyDescent="0.45">
      <c r="B34" s="14" t="s">
        <v>1473</v>
      </c>
      <c r="C34" s="14" t="s">
        <v>115</v>
      </c>
      <c r="D34" s="15" t="s">
        <v>2479</v>
      </c>
      <c r="E34" s="16" t="s">
        <v>1415</v>
      </c>
      <c r="F34" s="14" t="s">
        <v>2470</v>
      </c>
      <c r="G34" s="119"/>
      <c r="H34" s="114" t="str">
        <f>Settings!$B$3&amp;".mit.pp.alu.prp.1"</f>
        <v>egy.mit.pp.alu.prp.1</v>
      </c>
      <c r="K34" s="126"/>
      <c r="L34" s="127">
        <f>Mitigation_Industry!$F$317*L$14+Mitigation_Industry!$G$317*L$13</f>
        <v>0</v>
      </c>
      <c r="M34" s="127">
        <f>Mitigation_Industry!$F$317*M$14+Mitigation_Industry!$G$317*M$13</f>
        <v>0</v>
      </c>
      <c r="N34" s="127">
        <f>Mitigation_Industry!$F$317*N$14+Mitigation_Industry!$G$317*N$13</f>
        <v>0</v>
      </c>
      <c r="O34" s="127">
        <f>Mitigation_Industry!$F$317*O$14+Mitigation_Industry!$G$317*O$13</f>
        <v>0</v>
      </c>
      <c r="P34" s="127">
        <f>Mitigation_Industry!$F$317*P$14+Mitigation_Industry!$G$317*P$13</f>
        <v>0</v>
      </c>
      <c r="Q34" s="127">
        <f>Mitigation_Industry!$F$317*Q$14+Mitigation_Industry!$G$317*Q$13</f>
        <v>0</v>
      </c>
      <c r="R34" s="127">
        <f>Mitigation_Industry!$F$317*R$14+Mitigation_Industry!$G$317*R$13</f>
        <v>0</v>
      </c>
      <c r="S34" s="127">
        <f>Mitigation_Industry!$F$317*S$14+Mitigation_Industry!$G$317*S$13</f>
        <v>0</v>
      </c>
      <c r="T34" s="127">
        <f>Mitigation_Industry!$F$317*T$14+Mitigation_Industry!$G$317*T$13</f>
        <v>0</v>
      </c>
      <c r="U34" s="127">
        <f>Mitigation_Industry!$F$317*U$14+Mitigation_Industry!$G$317*U$13</f>
        <v>0</v>
      </c>
      <c r="V34" s="127">
        <f>Mitigation_Industry!$F$317*V$14+Mitigation_Industry!$G$317*V$13</f>
        <v>0</v>
      </c>
      <c r="W34" s="127">
        <f>Mitigation_Industry!$F$317*W$14+Mitigation_Industry!$G$317*W$13</f>
        <v>0</v>
      </c>
      <c r="X34" s="127">
        <f>Mitigation_Industry!$F$317*X$14+Mitigation_Industry!$G$317*X$13</f>
        <v>0</v>
      </c>
      <c r="Y34" s="127">
        <f>Mitigation_Industry!$F$317*Y$14+Mitigation_Industry!$G$317*Y$13</f>
        <v>0</v>
      </c>
      <c r="Z34" s="127">
        <f>Mitigation_Industry!$F$317*Z$14+Mitigation_Industry!$G$317*Z$13</f>
        <v>0</v>
      </c>
      <c r="AA34" s="127">
        <f>Mitigation_Industry!$F$317*AA$14+Mitigation_Industry!$G$317*AA$13</f>
        <v>0</v>
      </c>
      <c r="AB34" s="127">
        <f>Mitigation_Industry!$F$317*AB$14+Mitigation_Industry!$G$317*AB$13</f>
        <v>0</v>
      </c>
      <c r="AC34" s="127">
        <f>Mitigation_Industry!$F$317*AC$14+Mitigation_Industry!$G$317*AC$13</f>
        <v>0</v>
      </c>
      <c r="AD34" s="127">
        <f>Mitigation_Industry!$F$317*AD$14+Mitigation_Industry!$G$317*AD$13</f>
        <v>0</v>
      </c>
      <c r="AE34" s="127">
        <f>Mitigation_Industry!$F$317*AE$14+Mitigation_Industry!$G$317*AE$13</f>
        <v>0</v>
      </c>
      <c r="AF34" s="128"/>
      <c r="AG34" s="128"/>
      <c r="AH34" s="128"/>
      <c r="AI34" s="128"/>
    </row>
    <row r="35" spans="1:35" x14ac:dyDescent="0.35"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</row>
    <row r="36" spans="1:35" customFormat="1" ht="14.25" x14ac:dyDescent="0.45">
      <c r="A36" s="11"/>
      <c r="B36" s="6"/>
      <c r="C36" s="7" t="s">
        <v>2480</v>
      </c>
      <c r="D36" s="6" t="s">
        <v>1505</v>
      </c>
      <c r="E36" s="7" t="s">
        <v>35</v>
      </c>
      <c r="F36" s="7" t="s">
        <v>45</v>
      </c>
      <c r="G36" s="7" t="s">
        <v>37</v>
      </c>
      <c r="H36" s="12" t="s">
        <v>38</v>
      </c>
      <c r="I36" s="6" t="s">
        <v>39</v>
      </c>
      <c r="J36" s="48">
        <v>1</v>
      </c>
      <c r="K36" s="124">
        <v>2021</v>
      </c>
      <c r="L36" s="125">
        <v>2022</v>
      </c>
      <c r="M36" s="124">
        <v>2023</v>
      </c>
      <c r="N36" s="124">
        <v>2024</v>
      </c>
      <c r="O36" s="124">
        <v>2025</v>
      </c>
      <c r="P36" s="124">
        <v>2026</v>
      </c>
      <c r="Q36" s="124">
        <v>2027</v>
      </c>
      <c r="R36" s="124">
        <v>2028</v>
      </c>
      <c r="S36" s="124">
        <v>2029</v>
      </c>
      <c r="T36" s="124">
        <v>2030</v>
      </c>
      <c r="U36" s="124">
        <v>2031</v>
      </c>
      <c r="V36" s="124">
        <v>2032</v>
      </c>
      <c r="W36" s="124">
        <v>2033</v>
      </c>
      <c r="X36" s="124">
        <v>2034</v>
      </c>
      <c r="Y36" s="124">
        <v>2035</v>
      </c>
      <c r="Z36" s="124">
        <v>2036</v>
      </c>
      <c r="AA36" s="124">
        <v>2037</v>
      </c>
      <c r="AB36" s="124">
        <v>2038</v>
      </c>
      <c r="AC36" s="124">
        <v>2039</v>
      </c>
      <c r="AD36" s="124">
        <v>2040</v>
      </c>
      <c r="AE36" s="124">
        <v>2041</v>
      </c>
      <c r="AF36" s="124">
        <v>2042</v>
      </c>
      <c r="AG36" s="124">
        <v>2043</v>
      </c>
      <c r="AH36" s="124">
        <v>2044</v>
      </c>
      <c r="AI36" s="124">
        <v>2045</v>
      </c>
    </row>
    <row r="37" spans="1:35" customFormat="1" ht="14.25" x14ac:dyDescent="0.45">
      <c r="B37" s="14" t="s">
        <v>1452</v>
      </c>
      <c r="C37" s="14" t="s">
        <v>43</v>
      </c>
      <c r="D37" s="15" t="s">
        <v>2481</v>
      </c>
      <c r="E37" s="16" t="s">
        <v>1967</v>
      </c>
      <c r="F37" s="14" t="s">
        <v>2480</v>
      </c>
      <c r="G37" s="119"/>
      <c r="H37" s="114" t="str">
        <f>Settings!$B$3&amp;".mit.wf.stl.drg.1"</f>
        <v>egy.mit.wf.stl.drg.1</v>
      </c>
      <c r="I37" t="s">
        <v>2482</v>
      </c>
      <c r="K37" s="126"/>
      <c r="L37" s="127">
        <f>Mitigation_Industry!L$330</f>
        <v>3.2287703131193024</v>
      </c>
      <c r="M37" s="127">
        <f>Mitigation_Industry!M$330</f>
        <v>3.3708362068965516</v>
      </c>
      <c r="N37" s="127">
        <f>Mitigation_Industry!N$330</f>
        <v>3.5191530000000002</v>
      </c>
      <c r="O37" s="127">
        <f>Mitigation_Industry!O$330</f>
        <v>3.6739957320000007</v>
      </c>
      <c r="P37" s="127">
        <f>Mitigation_Industry!P$330</f>
        <v>3.8356515442080008</v>
      </c>
      <c r="Q37" s="127">
        <f>Mitigation_Industry!Q$330</f>
        <v>4.0044202121531534</v>
      </c>
      <c r="R37" s="127">
        <f>Mitigation_Industry!R$330</f>
        <v>4.1806147014878912</v>
      </c>
      <c r="S37" s="127">
        <f>Mitigation_Industry!S$330</f>
        <v>4.3645617483533599</v>
      </c>
      <c r="T37" s="127">
        <f>Mitigation_Industry!T$330</f>
        <v>4.556602465280907</v>
      </c>
      <c r="U37" s="127">
        <f>Mitigation_Industry!U$330</f>
        <v>4.7570929737532675</v>
      </c>
      <c r="V37" s="127">
        <f>Mitigation_Industry!V$330</f>
        <v>4.9664050645984119</v>
      </c>
      <c r="W37" s="127">
        <f>Mitigation_Industry!W$330</f>
        <v>5.1849268874407413</v>
      </c>
      <c r="X37" s="127">
        <f>Mitigation_Industry!X$330</f>
        <v>5.4130636704881345</v>
      </c>
      <c r="Y37" s="127">
        <f>Mitigation_Industry!Y$330</f>
        <v>5.6512384719896129</v>
      </c>
      <c r="Z37" s="127">
        <f>Mitigation_Industry!Z$330</f>
        <v>5.8998929647571554</v>
      </c>
      <c r="AA37" s="127">
        <f>Mitigation_Industry!AA$330</f>
        <v>6.1594882552064707</v>
      </c>
      <c r="AB37" s="127">
        <f>Mitigation_Industry!AB$330</f>
        <v>6.4305057384355555</v>
      </c>
      <c r="AC37" s="127">
        <f>Mitigation_Industry!AC$330</f>
        <v>6.7134479909267206</v>
      </c>
      <c r="AD37" s="127">
        <f>Mitigation_Industry!AD$330</f>
        <v>7.0088397025274967</v>
      </c>
      <c r="AE37" s="127">
        <f>Mitigation_Industry!AE$330</f>
        <v>7.3172286494387055</v>
      </c>
      <c r="AF37" s="128"/>
      <c r="AG37" s="128"/>
      <c r="AH37" s="128"/>
      <c r="AI37" s="128"/>
    </row>
    <row r="38" spans="1:35" customFormat="1" ht="14.25" x14ac:dyDescent="0.45">
      <c r="B38" s="14" t="s">
        <v>1455</v>
      </c>
      <c r="C38" s="14" t="s">
        <v>43</v>
      </c>
      <c r="D38" s="15" t="s">
        <v>2483</v>
      </c>
      <c r="E38" s="16" t="s">
        <v>1967</v>
      </c>
      <c r="F38" s="14" t="s">
        <v>2480</v>
      </c>
      <c r="G38" s="119"/>
      <c r="H38" s="114" t="str">
        <f>Settings!$B$3&amp;".mit.wf.stl.scr.1"</f>
        <v>egy.mit.wf.stl.scr.1</v>
      </c>
      <c r="K38" s="126"/>
      <c r="L38" s="127">
        <f>Mitigation_Industry!L$331</f>
        <v>0.61765094464262127</v>
      </c>
      <c r="M38" s="127">
        <f>Mitigation_Industry!M$331</f>
        <v>0.64482758620689662</v>
      </c>
      <c r="N38" s="127">
        <f>Mitigation_Industry!N$331</f>
        <v>0.67320000000000002</v>
      </c>
      <c r="O38" s="127">
        <f>Mitigation_Industry!O$331</f>
        <v>0.70282080000000002</v>
      </c>
      <c r="P38" s="127">
        <f>Mitigation_Industry!P$331</f>
        <v>0.73374491520000007</v>
      </c>
      <c r="Q38" s="127">
        <f>Mitigation_Industry!Q$331</f>
        <v>0.76602969146880007</v>
      </c>
      <c r="R38" s="127">
        <f>Mitigation_Industry!R$331</f>
        <v>0.79973499789342728</v>
      </c>
      <c r="S38" s="127">
        <f>Mitigation_Industry!S$331</f>
        <v>0.83492333780073813</v>
      </c>
      <c r="T38" s="127">
        <f>Mitigation_Industry!T$331</f>
        <v>0.87165996466397067</v>
      </c>
      <c r="U38" s="127">
        <f>Mitigation_Industry!U$331</f>
        <v>0.91001300310918543</v>
      </c>
      <c r="V38" s="127">
        <f>Mitigation_Industry!V$331</f>
        <v>0.95005357524598955</v>
      </c>
      <c r="W38" s="127">
        <f>Mitigation_Industry!W$331</f>
        <v>0.99185593255681304</v>
      </c>
      <c r="X38" s="127">
        <f>Mitigation_Industry!X$331</f>
        <v>1.0354975935893131</v>
      </c>
      <c r="Y38" s="127">
        <f>Mitigation_Industry!Y$331</f>
        <v>1.0810594877072426</v>
      </c>
      <c r="Z38" s="127">
        <f>Mitigation_Industry!Z$331</f>
        <v>1.1286261051663613</v>
      </c>
      <c r="AA38" s="127">
        <f>Mitigation_Industry!AA$331</f>
        <v>1.1782856537936812</v>
      </c>
      <c r="AB38" s="127">
        <f>Mitigation_Industry!AB$331</f>
        <v>1.2301302225606032</v>
      </c>
      <c r="AC38" s="127">
        <f>Mitigation_Industry!AC$331</f>
        <v>1.2842559523532697</v>
      </c>
      <c r="AD38" s="127">
        <f>Mitigation_Industry!AD$331</f>
        <v>1.3407632142568136</v>
      </c>
      <c r="AE38" s="127">
        <f>Mitigation_Industry!AE$331</f>
        <v>1.3997567956841135</v>
      </c>
      <c r="AF38" s="128"/>
      <c r="AG38" s="128"/>
      <c r="AH38" s="128"/>
      <c r="AI38" s="128"/>
    </row>
    <row r="39" spans="1:35" customFormat="1" ht="14.25" x14ac:dyDescent="0.45">
      <c r="B39" s="14" t="s">
        <v>1458</v>
      </c>
      <c r="C39" s="14" t="s">
        <v>43</v>
      </c>
      <c r="D39" s="15" t="s">
        <v>2484</v>
      </c>
      <c r="E39" s="16" t="s">
        <v>1967</v>
      </c>
      <c r="F39" s="14" t="s">
        <v>2480</v>
      </c>
      <c r="G39" s="119"/>
      <c r="H39" s="114" t="str">
        <f>Settings!$B$3&amp;".mit.wf.stl.bof.1"</f>
        <v>egy.mit.wf.stl.bof.1</v>
      </c>
      <c r="K39" s="126"/>
      <c r="L39" s="127">
        <f>Mitigation_Industry!L$332</f>
        <v>0</v>
      </c>
      <c r="M39" s="127">
        <f>Mitigation_Industry!M$332</f>
        <v>0</v>
      </c>
      <c r="N39" s="127">
        <f>Mitigation_Industry!N$332</f>
        <v>0</v>
      </c>
      <c r="O39" s="127">
        <f>Mitigation_Industry!O$332</f>
        <v>0</v>
      </c>
      <c r="P39" s="127">
        <f>Mitigation_Industry!P$332</f>
        <v>0</v>
      </c>
      <c r="Q39" s="127">
        <f>Mitigation_Industry!Q$332</f>
        <v>0</v>
      </c>
      <c r="R39" s="127">
        <f>Mitigation_Industry!R$332</f>
        <v>0</v>
      </c>
      <c r="S39" s="127">
        <f>Mitigation_Industry!S$332</f>
        <v>0</v>
      </c>
      <c r="T39" s="127">
        <f>Mitigation_Industry!T$332</f>
        <v>0</v>
      </c>
      <c r="U39" s="127">
        <f>Mitigation_Industry!U$332</f>
        <v>0</v>
      </c>
      <c r="V39" s="127">
        <f>Mitigation_Industry!V$332</f>
        <v>0</v>
      </c>
      <c r="W39" s="127">
        <f>Mitigation_Industry!W$332</f>
        <v>0</v>
      </c>
      <c r="X39" s="127">
        <f>Mitigation_Industry!X$332</f>
        <v>0</v>
      </c>
      <c r="Y39" s="127">
        <f>Mitigation_Industry!Y$332</f>
        <v>0</v>
      </c>
      <c r="Z39" s="127">
        <f>Mitigation_Industry!Z$332</f>
        <v>0</v>
      </c>
      <c r="AA39" s="127">
        <f>Mitigation_Industry!AA$332</f>
        <v>0</v>
      </c>
      <c r="AB39" s="127">
        <f>Mitigation_Industry!AB$332</f>
        <v>0</v>
      </c>
      <c r="AC39" s="127">
        <f>Mitigation_Industry!AC$332</f>
        <v>0</v>
      </c>
      <c r="AD39" s="127">
        <f>Mitigation_Industry!AD$332</f>
        <v>0</v>
      </c>
      <c r="AE39" s="127">
        <f>Mitigation_Industry!AE$332</f>
        <v>0</v>
      </c>
      <c r="AF39" s="128"/>
      <c r="AG39" s="128"/>
      <c r="AH39" s="128"/>
      <c r="AI39" s="128"/>
    </row>
    <row r="40" spans="1:35" customFormat="1" ht="14.25" x14ac:dyDescent="0.45">
      <c r="B40" s="14" t="s">
        <v>1461</v>
      </c>
      <c r="C40" s="14" t="s">
        <v>113</v>
      </c>
      <c r="D40" s="15" t="s">
        <v>2485</v>
      </c>
      <c r="E40" s="16" t="s">
        <v>1967</v>
      </c>
      <c r="F40" s="14" t="s">
        <v>2480</v>
      </c>
      <c r="G40" s="119"/>
      <c r="H40" s="114" t="str">
        <f>Settings!$B$3&amp;".mit.wf.cmt.dry.1"</f>
        <v>egy.mit.wf.cmt.dry.1</v>
      </c>
      <c r="K40" s="126"/>
      <c r="L40" s="127">
        <f>Mitigation_Industry!L$333</f>
        <v>13.508713893592759</v>
      </c>
      <c r="M40" s="127">
        <f>Mitigation_Industry!M$333</f>
        <v>13.954501452081319</v>
      </c>
      <c r="N40" s="127">
        <f>Mitigation_Industry!N$333</f>
        <v>14.414999999999999</v>
      </c>
      <c r="O40" s="127">
        <f>Mitigation_Industry!O$333</f>
        <v>14.890694999999997</v>
      </c>
      <c r="P40" s="127">
        <f>Mitigation_Industry!P$333</f>
        <v>15.382087934999998</v>
      </c>
      <c r="Q40" s="127">
        <f>Mitigation_Industry!Q$333</f>
        <v>15.889696836854995</v>
      </c>
      <c r="R40" s="127">
        <f>Mitigation_Industry!R$333</f>
        <v>16.414056832471207</v>
      </c>
      <c r="S40" s="127">
        <f>Mitigation_Industry!S$333</f>
        <v>16.955720707942756</v>
      </c>
      <c r="T40" s="127">
        <f>Mitigation_Industry!T$333</f>
        <v>17.515259491304867</v>
      </c>
      <c r="U40" s="127">
        <f>Mitigation_Industry!U$333</f>
        <v>18.093263054517926</v>
      </c>
      <c r="V40" s="127">
        <f>Mitigation_Industry!V$333</f>
        <v>18.690340735317015</v>
      </c>
      <c r="W40" s="127">
        <f>Mitigation_Industry!W$333</f>
        <v>19.307121979582476</v>
      </c>
      <c r="X40" s="127">
        <f>Mitigation_Industry!X$333</f>
        <v>19.944257004908696</v>
      </c>
      <c r="Y40" s="127">
        <f>Mitigation_Industry!Y$333</f>
        <v>20.602417486070681</v>
      </c>
      <c r="Z40" s="127">
        <f>Mitigation_Industry!Z$333</f>
        <v>21.282297263111012</v>
      </c>
      <c r="AA40" s="127">
        <f>Mitigation_Industry!AA$333</f>
        <v>21.984613072793675</v>
      </c>
      <c r="AB40" s="127">
        <f>Mitigation_Industry!AB$333</f>
        <v>22.710105304195867</v>
      </c>
      <c r="AC40" s="127">
        <f>Mitigation_Industry!AC$333</f>
        <v>23.459538779234329</v>
      </c>
      <c r="AD40" s="127">
        <f>Mitigation_Industry!AD$333</f>
        <v>24.23370355894906</v>
      </c>
      <c r="AE40" s="127">
        <f>Mitigation_Industry!AE$333</f>
        <v>25.033415776394378</v>
      </c>
      <c r="AF40" s="128"/>
      <c r="AG40" s="128"/>
      <c r="AH40" s="128"/>
      <c r="AI40" s="128"/>
    </row>
    <row r="41" spans="1:35" customFormat="1" ht="14.25" x14ac:dyDescent="0.45">
      <c r="B41" s="14" t="s">
        <v>1464</v>
      </c>
      <c r="C41" s="14" t="s">
        <v>117</v>
      </c>
      <c r="D41" s="15" t="s">
        <v>2486</v>
      </c>
      <c r="E41" s="16" t="s">
        <v>1967</v>
      </c>
      <c r="F41" s="14" t="s">
        <v>2480</v>
      </c>
      <c r="G41" s="119"/>
      <c r="H41" s="114" t="str">
        <f>Settings!$B$3&amp;".mit.wf.frt.amc.1"</f>
        <v>egy.mit.wf.frt.amc.1</v>
      </c>
      <c r="K41" s="126"/>
      <c r="L41" s="127">
        <f>Mitigation_Industry!L$334</f>
        <v>3.1638306570517116</v>
      </c>
      <c r="M41" s="127">
        <f>Mitigation_Industry!M$334</f>
        <v>3.2334349315068494</v>
      </c>
      <c r="N41" s="127">
        <f>Mitigation_Industry!N$334</f>
        <v>3.3045704999999996</v>
      </c>
      <c r="O41" s="127">
        <f>Mitigation_Industry!O$334</f>
        <v>3.3772710509999997</v>
      </c>
      <c r="P41" s="127">
        <f>Mitigation_Industry!P$334</f>
        <v>3.4515710141219995</v>
      </c>
      <c r="Q41" s="127">
        <f>Mitigation_Industry!Q$334</f>
        <v>3.5275055764326835</v>
      </c>
      <c r="R41" s="127">
        <f>Mitigation_Industry!R$334</f>
        <v>3.6051106991142028</v>
      </c>
      <c r="S41" s="127">
        <f>Mitigation_Industry!S$334</f>
        <v>3.6844231344947151</v>
      </c>
      <c r="T41" s="127">
        <f>Mitigation_Industry!T$334</f>
        <v>3.7654804434535989</v>
      </c>
      <c r="U41" s="127">
        <f>Mitigation_Industry!U$334</f>
        <v>3.8483210132095782</v>
      </c>
      <c r="V41" s="127">
        <f>Mitigation_Industry!V$334</f>
        <v>3.932984075500189</v>
      </c>
      <c r="W41" s="127">
        <f>Mitigation_Industry!W$334</f>
        <v>4.0195097251611935</v>
      </c>
      <c r="X41" s="127">
        <f>Mitigation_Industry!X$334</f>
        <v>4.1079389391147396</v>
      </c>
      <c r="Y41" s="127">
        <f>Mitigation_Industry!Y$334</f>
        <v>4.1983135957752644</v>
      </c>
      <c r="Z41" s="127">
        <f>Mitigation_Industry!Z$334</f>
        <v>4.2906764948823204</v>
      </c>
      <c r="AA41" s="127">
        <f>Mitigation_Industry!AA$334</f>
        <v>4.385071377769731</v>
      </c>
      <c r="AB41" s="127">
        <f>Mitigation_Industry!AB$334</f>
        <v>4.4815429480806648</v>
      </c>
      <c r="AC41" s="127">
        <f>Mitigation_Industry!AC$334</f>
        <v>4.5801368929384401</v>
      </c>
      <c r="AD41" s="127">
        <f>Mitigation_Industry!AD$334</f>
        <v>4.680899904583085</v>
      </c>
      <c r="AE41" s="127">
        <f>Mitigation_Industry!AE$334</f>
        <v>4.7838797024839135</v>
      </c>
      <c r="AF41" s="128"/>
      <c r="AG41" s="128"/>
      <c r="AH41" s="128"/>
      <c r="AI41" s="128"/>
    </row>
    <row r="42" spans="1:35" customFormat="1" ht="14.25" x14ac:dyDescent="0.45">
      <c r="B42" s="14" t="s">
        <v>1467</v>
      </c>
      <c r="C42" s="14" t="s">
        <v>117</v>
      </c>
      <c r="D42" s="15" t="s">
        <v>2487</v>
      </c>
      <c r="E42" s="16" t="s">
        <v>1967</v>
      </c>
      <c r="F42" s="14" t="s">
        <v>2480</v>
      </c>
      <c r="G42" s="119"/>
      <c r="H42" s="114" t="str">
        <f>Settings!$B$3&amp;".mit.wf.frt.ure.1"</f>
        <v>egy.mit.wf.frt.ure.1</v>
      </c>
      <c r="K42" s="126"/>
      <c r="L42" s="127">
        <f>Mitigation_Industry!L$335</f>
        <v>0.30078009811543305</v>
      </c>
      <c r="M42" s="127">
        <f>Mitigation_Industry!M$335</f>
        <v>0.30739726027397257</v>
      </c>
      <c r="N42" s="127">
        <f>Mitigation_Industry!N$335</f>
        <v>0.31415999999999999</v>
      </c>
      <c r="O42" s="127">
        <f>Mitigation_Industry!O$335</f>
        <v>0.32107151999999994</v>
      </c>
      <c r="P42" s="127">
        <f>Mitigation_Industry!P$335</f>
        <v>0.32813509343999991</v>
      </c>
      <c r="Q42" s="127">
        <f>Mitigation_Industry!Q$335</f>
        <v>0.33535406549567992</v>
      </c>
      <c r="R42" s="127">
        <f>Mitigation_Industry!R$335</f>
        <v>0.34273185493658492</v>
      </c>
      <c r="S42" s="127">
        <f>Mitigation_Industry!S$335</f>
        <v>0.35027195574518982</v>
      </c>
      <c r="T42" s="127">
        <f>Mitigation_Industry!T$335</f>
        <v>0.35797793877158396</v>
      </c>
      <c r="U42" s="127">
        <f>Mitigation_Industry!U$335</f>
        <v>0.36585345342455883</v>
      </c>
      <c r="V42" s="127">
        <f>Mitigation_Industry!V$335</f>
        <v>0.37390222939989914</v>
      </c>
      <c r="W42" s="127">
        <f>Mitigation_Industry!W$335</f>
        <v>0.38212807844669699</v>
      </c>
      <c r="X42" s="127">
        <f>Mitigation_Industry!X$335</f>
        <v>0.39053489617252435</v>
      </c>
      <c r="Y42" s="127">
        <f>Mitigation_Industry!Y$335</f>
        <v>0.39912666388831991</v>
      </c>
      <c r="Z42" s="127">
        <f>Mitigation_Industry!Z$335</f>
        <v>0.40790745049386296</v>
      </c>
      <c r="AA42" s="127">
        <f>Mitigation_Industry!AA$335</f>
        <v>0.41688141440472792</v>
      </c>
      <c r="AB42" s="127">
        <f>Mitigation_Industry!AB$335</f>
        <v>0.42605280552163199</v>
      </c>
      <c r="AC42" s="127">
        <f>Mitigation_Industry!AC$335</f>
        <v>0.43542596724310795</v>
      </c>
      <c r="AD42" s="127">
        <f>Mitigation_Industry!AD$335</f>
        <v>0.44500533852245627</v>
      </c>
      <c r="AE42" s="127">
        <f>Mitigation_Industry!AE$335</f>
        <v>0.45479545596995036</v>
      </c>
      <c r="AF42" s="128"/>
      <c r="AG42" s="128"/>
      <c r="AH42" s="128"/>
      <c r="AI42" s="128"/>
    </row>
    <row r="43" spans="1:35" customFormat="1" ht="14.25" x14ac:dyDescent="0.45">
      <c r="B43" s="14" t="s">
        <v>1470</v>
      </c>
      <c r="C43" s="14" t="s">
        <v>117</v>
      </c>
      <c r="D43" s="15" t="s">
        <v>2488</v>
      </c>
      <c r="E43" s="16" t="s">
        <v>1967</v>
      </c>
      <c r="F43" s="14" t="s">
        <v>2480</v>
      </c>
      <c r="G43" s="119"/>
      <c r="H43" s="114" t="str">
        <f>Settings!$B$3&amp;".mit.wf.frt.nit.1"</f>
        <v>egy.mit.wf.frt.nit.1</v>
      </c>
      <c r="K43" s="126"/>
      <c r="L43" s="127">
        <f>Mitigation_Industry!L$336</f>
        <v>6.4452878167592806E-2</v>
      </c>
      <c r="M43" s="127">
        <f>Mitigation_Industry!M$336</f>
        <v>6.5870841487279841E-2</v>
      </c>
      <c r="N43" s="127">
        <f>Mitigation_Industry!N$336</f>
        <v>6.7319999999999991E-2</v>
      </c>
      <c r="O43" s="127">
        <f>Mitigation_Industry!O$336</f>
        <v>6.8801039999999994E-2</v>
      </c>
      <c r="P43" s="127">
        <f>Mitigation_Industry!P$336</f>
        <v>7.0314662880000003E-2</v>
      </c>
      <c r="Q43" s="127">
        <f>Mitigation_Industry!Q$336</f>
        <v>7.1861585463359995E-2</v>
      </c>
      <c r="R43" s="127">
        <f>Mitigation_Industry!R$336</f>
        <v>7.3442540343553922E-2</v>
      </c>
      <c r="S43" s="127">
        <f>Mitigation_Industry!S$336</f>
        <v>7.5058276231112109E-2</v>
      </c>
      <c r="T43" s="127">
        <f>Mitigation_Industry!T$336</f>
        <v>7.6709558308196577E-2</v>
      </c>
      <c r="U43" s="127">
        <f>Mitigation_Industry!U$336</f>
        <v>7.8397168590976909E-2</v>
      </c>
      <c r="V43" s="127">
        <f>Mitigation_Industry!V$336</f>
        <v>8.012190629997841E-2</v>
      </c>
      <c r="W43" s="127">
        <f>Mitigation_Industry!W$336</f>
        <v>8.1884588238577916E-2</v>
      </c>
      <c r="X43" s="127">
        <f>Mitigation_Industry!X$336</f>
        <v>8.3686049179826624E-2</v>
      </c>
      <c r="Y43" s="127">
        <f>Mitigation_Industry!Y$336</f>
        <v>8.5527142261782832E-2</v>
      </c>
      <c r="Z43" s="127">
        <f>Mitigation_Industry!Z$336</f>
        <v>8.7408739391542062E-2</v>
      </c>
      <c r="AA43" s="127">
        <f>Mitigation_Industry!AA$336</f>
        <v>8.9331731658155972E-2</v>
      </c>
      <c r="AB43" s="127">
        <f>Mitigation_Industry!AB$336</f>
        <v>9.1297029754635398E-2</v>
      </c>
      <c r="AC43" s="127">
        <f>Mitigation_Industry!AC$336</f>
        <v>9.3305564409237388E-2</v>
      </c>
      <c r="AD43" s="127">
        <f>Mitigation_Industry!AD$336</f>
        <v>9.5358286826240618E-2</v>
      </c>
      <c r="AE43" s="127">
        <f>Mitigation_Industry!AE$336</f>
        <v>9.7456169136417914E-2</v>
      </c>
      <c r="AF43" s="128"/>
      <c r="AG43" s="128"/>
      <c r="AH43" s="128"/>
      <c r="AI43" s="128"/>
    </row>
    <row r="44" spans="1:35" customFormat="1" ht="14.25" x14ac:dyDescent="0.45">
      <c r="B44" s="14" t="s">
        <v>1473</v>
      </c>
      <c r="C44" s="14" t="s">
        <v>115</v>
      </c>
      <c r="D44" s="15" t="s">
        <v>2489</v>
      </c>
      <c r="E44" s="16" t="s">
        <v>1967</v>
      </c>
      <c r="F44" s="14" t="s">
        <v>2480</v>
      </c>
      <c r="G44" s="119"/>
      <c r="H44" s="114" t="str">
        <f>Settings!$B$3&amp;".mit.wf.alu.prp.1"</f>
        <v>egy.mit.wf.alu.prp.1</v>
      </c>
      <c r="K44" s="126"/>
      <c r="L44" s="127">
        <f>Mitigation_Industry!L$337</f>
        <v>4.2047573055412055E-2</v>
      </c>
      <c r="M44" s="127">
        <f>Mitigation_Industry!M$337</f>
        <v>4.4360189573459712E-2</v>
      </c>
      <c r="N44" s="127">
        <f>Mitigation_Industry!N$337</f>
        <v>4.6799999999999994E-2</v>
      </c>
      <c r="O44" s="127">
        <f>Mitigation_Industry!O$337</f>
        <v>4.9374000000000001E-2</v>
      </c>
      <c r="P44" s="127">
        <f>Mitigation_Industry!P$337</f>
        <v>5.2089569999999995E-2</v>
      </c>
      <c r="Q44" s="127">
        <f>Mitigation_Industry!Q$337</f>
        <v>5.4954496349999993E-2</v>
      </c>
      <c r="R44" s="127">
        <f>Mitigation_Industry!R$337</f>
        <v>5.7976993649249998E-2</v>
      </c>
      <c r="S44" s="127">
        <f>Mitigation_Industry!S$337</f>
        <v>6.1165728299958741E-2</v>
      </c>
      <c r="T44" s="127">
        <f>Mitigation_Industry!T$337</f>
        <v>6.4529843356456465E-2</v>
      </c>
      <c r="U44" s="127">
        <f>Mitigation_Industry!U$337</f>
        <v>6.8078984741061568E-2</v>
      </c>
      <c r="V44" s="127">
        <f>Mitigation_Industry!V$337</f>
        <v>7.1823328901819944E-2</v>
      </c>
      <c r="W44" s="127">
        <f>Mitigation_Industry!W$337</f>
        <v>7.5773611991420048E-2</v>
      </c>
      <c r="X44" s="127">
        <f>Mitigation_Industry!X$337</f>
        <v>7.9941160650948154E-2</v>
      </c>
      <c r="Y44" s="127">
        <f>Mitigation_Industry!Y$337</f>
        <v>8.4337924486750301E-2</v>
      </c>
      <c r="Z44" s="127">
        <f>Mitigation_Industry!Z$337</f>
        <v>8.8976510333521566E-2</v>
      </c>
      <c r="AA44" s="127">
        <f>Mitigation_Industry!AA$337</f>
        <v>9.3870218401865241E-2</v>
      </c>
      <c r="AB44" s="127">
        <f>Mitigation_Industry!AB$337</f>
        <v>9.9033080413967828E-2</v>
      </c>
      <c r="AC44" s="127">
        <f>Mitigation_Industry!AC$337</f>
        <v>0.10447989983673606</v>
      </c>
      <c r="AD44" s="127">
        <f>Mitigation_Industry!AD$337</f>
        <v>0.11022629432775652</v>
      </c>
      <c r="AE44" s="127">
        <f>Mitigation_Industry!AE$337</f>
        <v>0.11628874051578311</v>
      </c>
      <c r="AF44" s="128"/>
      <c r="AG44" s="128"/>
      <c r="AH44" s="128"/>
      <c r="AI44" s="128"/>
    </row>
    <row r="45" spans="1:35" x14ac:dyDescent="0.35"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</row>
    <row r="46" spans="1:35" customFormat="1" ht="14.25" x14ac:dyDescent="0.45">
      <c r="A46" s="11"/>
      <c r="B46" s="6"/>
      <c r="C46" s="7" t="s">
        <v>2490</v>
      </c>
      <c r="D46" s="6" t="s">
        <v>1505</v>
      </c>
      <c r="E46" s="7" t="s">
        <v>35</v>
      </c>
      <c r="F46" s="7" t="s">
        <v>45</v>
      </c>
      <c r="G46" s="7" t="s">
        <v>37</v>
      </c>
      <c r="H46" s="12" t="s">
        <v>38</v>
      </c>
      <c r="I46" s="6" t="s">
        <v>39</v>
      </c>
      <c r="J46" s="48">
        <v>1</v>
      </c>
      <c r="K46" s="124">
        <v>2021</v>
      </c>
      <c r="L46" s="125">
        <v>2022</v>
      </c>
      <c r="M46" s="124">
        <v>2023</v>
      </c>
      <c r="N46" s="124">
        <v>2024</v>
      </c>
      <c r="O46" s="124">
        <v>2025</v>
      </c>
      <c r="P46" s="124">
        <v>2026</v>
      </c>
      <c r="Q46" s="124">
        <v>2027</v>
      </c>
      <c r="R46" s="124">
        <v>2028</v>
      </c>
      <c r="S46" s="124">
        <v>2029</v>
      </c>
      <c r="T46" s="124">
        <v>2030</v>
      </c>
      <c r="U46" s="124">
        <v>2031</v>
      </c>
      <c r="V46" s="124">
        <v>2032</v>
      </c>
      <c r="W46" s="124">
        <v>2033</v>
      </c>
      <c r="X46" s="124">
        <v>2034</v>
      </c>
      <c r="Y46" s="124">
        <v>2035</v>
      </c>
      <c r="Z46" s="124">
        <v>2036</v>
      </c>
      <c r="AA46" s="124">
        <v>2037</v>
      </c>
      <c r="AB46" s="124">
        <v>2038</v>
      </c>
      <c r="AC46" s="124">
        <v>2039</v>
      </c>
      <c r="AD46" s="124">
        <v>2040</v>
      </c>
      <c r="AE46" s="124">
        <v>2041</v>
      </c>
      <c r="AF46" s="124">
        <v>2042</v>
      </c>
      <c r="AG46" s="124">
        <v>2043</v>
      </c>
      <c r="AH46" s="124">
        <v>2044</v>
      </c>
      <c r="AI46" s="124">
        <v>2045</v>
      </c>
    </row>
    <row r="47" spans="1:35" customFormat="1" ht="14.25" x14ac:dyDescent="0.45">
      <c r="B47" s="14" t="s">
        <v>1452</v>
      </c>
      <c r="C47" s="14" t="s">
        <v>43</v>
      </c>
      <c r="D47" s="15" t="s">
        <v>2491</v>
      </c>
      <c r="E47" s="16" t="s">
        <v>2492</v>
      </c>
      <c r="F47" s="14" t="s">
        <v>2490</v>
      </c>
      <c r="G47" s="119"/>
      <c r="H47" s="114" t="str">
        <f>Settings!$B$3&amp;".mit.bf.stl.drg.1"</f>
        <v>egy.mit.bf.stl.drg.1</v>
      </c>
      <c r="I47" t="s">
        <v>2493</v>
      </c>
      <c r="K47" s="126"/>
      <c r="L47" s="129">
        <f>Mitigation_Industry!$E$352</f>
        <v>1.0536051565782599E-3</v>
      </c>
      <c r="M47" s="129">
        <f>Mitigation_Industry!$E$352</f>
        <v>1.0536051565782599E-3</v>
      </c>
      <c r="N47" s="129">
        <f>Mitigation_Industry!$E$352</f>
        <v>1.0536051565782599E-3</v>
      </c>
      <c r="O47" s="129">
        <f>Mitigation_Industry!$E$352</f>
        <v>1.0536051565782599E-3</v>
      </c>
      <c r="P47" s="129">
        <f>Mitigation_Industry!$E$352</f>
        <v>1.0536051565782599E-3</v>
      </c>
      <c r="Q47" s="129">
        <f>Mitigation_Industry!$E$352</f>
        <v>1.0536051565782599E-3</v>
      </c>
      <c r="R47" s="129">
        <f>Mitigation_Industry!$E$352</f>
        <v>1.0536051565782599E-3</v>
      </c>
      <c r="S47" s="129">
        <f>Mitigation_Industry!$E$352</f>
        <v>1.0536051565782599E-3</v>
      </c>
      <c r="T47" s="129">
        <f>Mitigation_Industry!$E$352</f>
        <v>1.0536051565782599E-3</v>
      </c>
      <c r="U47" s="129">
        <f>Mitigation_Industry!$E$352</f>
        <v>1.0536051565782599E-3</v>
      </c>
      <c r="V47" s="129">
        <f>Mitigation_Industry!$E$352</f>
        <v>1.0536051565782599E-3</v>
      </c>
      <c r="W47" s="129">
        <f>Mitigation_Industry!$E$352</f>
        <v>1.0536051565782599E-3</v>
      </c>
      <c r="X47" s="129">
        <f>Mitigation_Industry!$E$352</f>
        <v>1.0536051565782599E-3</v>
      </c>
      <c r="Y47" s="129">
        <f>Mitigation_Industry!$E$352</f>
        <v>1.0536051565782599E-3</v>
      </c>
      <c r="Z47" s="129">
        <f>Mitigation_Industry!$E$352</f>
        <v>1.0536051565782599E-3</v>
      </c>
      <c r="AA47" s="129">
        <f>Mitigation_Industry!$E$352</f>
        <v>1.0536051565782599E-3</v>
      </c>
      <c r="AB47" s="129">
        <f>Mitigation_Industry!$E$352</f>
        <v>1.0536051565782599E-3</v>
      </c>
      <c r="AC47" s="129">
        <f>Mitigation_Industry!$E$352</f>
        <v>1.0536051565782599E-3</v>
      </c>
      <c r="AD47" s="129">
        <f>Mitigation_Industry!$E$352</f>
        <v>1.0536051565782599E-3</v>
      </c>
      <c r="AE47" s="129">
        <f>Mitigation_Industry!$E$352</f>
        <v>1.0536051565782599E-3</v>
      </c>
      <c r="AF47" s="128"/>
      <c r="AG47" s="128"/>
      <c r="AH47" s="128"/>
      <c r="AI47" s="128"/>
    </row>
    <row r="48" spans="1:35" customFormat="1" ht="14.25" x14ac:dyDescent="0.45">
      <c r="B48" s="14" t="s">
        <v>1455</v>
      </c>
      <c r="C48" s="14" t="s">
        <v>43</v>
      </c>
      <c r="D48" s="15" t="s">
        <v>2494</v>
      </c>
      <c r="E48" s="16" t="s">
        <v>2492</v>
      </c>
      <c r="F48" s="14" t="s">
        <v>2490</v>
      </c>
      <c r="G48" s="119"/>
      <c r="H48" s="114" t="str">
        <f>Settings!$B$3&amp;".mit.bf.stl.scr.1"</f>
        <v>egy.mit.bf.stl.scr.1</v>
      </c>
      <c r="K48" s="126"/>
      <c r="L48" s="129">
        <f>Mitigation_Industry!$E$353</f>
        <v>2.0202707317519501E-4</v>
      </c>
      <c r="M48" s="129">
        <f>Mitigation_Industry!$E$353</f>
        <v>2.0202707317519501E-4</v>
      </c>
      <c r="N48" s="129">
        <f>Mitigation_Industry!$E$353</f>
        <v>2.0202707317519501E-4</v>
      </c>
      <c r="O48" s="129">
        <f>Mitigation_Industry!$E$353</f>
        <v>2.0202707317519501E-4</v>
      </c>
      <c r="P48" s="129">
        <f>Mitigation_Industry!$E$353</f>
        <v>2.0202707317519501E-4</v>
      </c>
      <c r="Q48" s="129">
        <f>Mitigation_Industry!$E$353</f>
        <v>2.0202707317519501E-4</v>
      </c>
      <c r="R48" s="129">
        <f>Mitigation_Industry!$E$353</f>
        <v>2.0202707317519501E-4</v>
      </c>
      <c r="S48" s="129">
        <f>Mitigation_Industry!$E$353</f>
        <v>2.0202707317519501E-4</v>
      </c>
      <c r="T48" s="129">
        <f>Mitigation_Industry!$E$353</f>
        <v>2.0202707317519501E-4</v>
      </c>
      <c r="U48" s="129">
        <f>Mitigation_Industry!$E$353</f>
        <v>2.0202707317519501E-4</v>
      </c>
      <c r="V48" s="129">
        <f>Mitigation_Industry!$E$353</f>
        <v>2.0202707317519501E-4</v>
      </c>
      <c r="W48" s="129">
        <f>Mitigation_Industry!$E$353</f>
        <v>2.0202707317519501E-4</v>
      </c>
      <c r="X48" s="129">
        <f>Mitigation_Industry!$E$353</f>
        <v>2.0202707317519501E-4</v>
      </c>
      <c r="Y48" s="129">
        <f>Mitigation_Industry!$E$353</f>
        <v>2.0202707317519501E-4</v>
      </c>
      <c r="Z48" s="129">
        <f>Mitigation_Industry!$E$353</f>
        <v>2.0202707317519501E-4</v>
      </c>
      <c r="AA48" s="129">
        <f>Mitigation_Industry!$E$353</f>
        <v>2.0202707317519501E-4</v>
      </c>
      <c r="AB48" s="129">
        <f>Mitigation_Industry!$E$353</f>
        <v>2.0202707317519501E-4</v>
      </c>
      <c r="AC48" s="129">
        <f>Mitigation_Industry!$E$353</f>
        <v>2.0202707317519501E-4</v>
      </c>
      <c r="AD48" s="129">
        <f>Mitigation_Industry!$E$353</f>
        <v>2.0202707317519501E-4</v>
      </c>
      <c r="AE48" s="129">
        <f>Mitigation_Industry!$E$353</f>
        <v>2.0202707317519501E-4</v>
      </c>
      <c r="AF48" s="128"/>
      <c r="AG48" s="128"/>
      <c r="AH48" s="128"/>
      <c r="AI48" s="128"/>
    </row>
    <row r="49" spans="1:35" customFormat="1" ht="14.25" x14ac:dyDescent="0.45">
      <c r="B49" s="14" t="s">
        <v>1458</v>
      </c>
      <c r="C49" s="14" t="s">
        <v>43</v>
      </c>
      <c r="D49" s="15" t="s">
        <v>2495</v>
      </c>
      <c r="E49" s="16" t="s">
        <v>2492</v>
      </c>
      <c r="F49" s="14" t="s">
        <v>2490</v>
      </c>
      <c r="G49" s="119"/>
      <c r="H49" s="114" t="str">
        <f>Settings!$B$3&amp;".mit.bf.stl.bof.1"</f>
        <v>egy.mit.bf.stl.bof.1</v>
      </c>
      <c r="K49" s="126"/>
      <c r="L49" s="129">
        <f>Mitigation_Industry!$E$354</f>
        <v>5.1293294387550598E-4</v>
      </c>
      <c r="M49" s="129">
        <f>Mitigation_Industry!$E$354</f>
        <v>5.1293294387550598E-4</v>
      </c>
      <c r="N49" s="129">
        <f>Mitigation_Industry!$E$354</f>
        <v>5.1293294387550598E-4</v>
      </c>
      <c r="O49" s="129">
        <f>Mitigation_Industry!$E$354</f>
        <v>5.1293294387550598E-4</v>
      </c>
      <c r="P49" s="129">
        <f>Mitigation_Industry!$E$354</f>
        <v>5.1293294387550598E-4</v>
      </c>
      <c r="Q49" s="129">
        <f>Mitigation_Industry!$E$354</f>
        <v>5.1293294387550598E-4</v>
      </c>
      <c r="R49" s="129">
        <f>Mitigation_Industry!$E$354</f>
        <v>5.1293294387550598E-4</v>
      </c>
      <c r="S49" s="129">
        <f>Mitigation_Industry!$E$354</f>
        <v>5.1293294387550598E-4</v>
      </c>
      <c r="T49" s="129">
        <f>Mitigation_Industry!$E$354</f>
        <v>5.1293294387550598E-4</v>
      </c>
      <c r="U49" s="129">
        <f>Mitigation_Industry!$E$354</f>
        <v>5.1293294387550598E-4</v>
      </c>
      <c r="V49" s="129">
        <f>Mitigation_Industry!$E$354</f>
        <v>5.1293294387550598E-4</v>
      </c>
      <c r="W49" s="129">
        <f>Mitigation_Industry!$E$354</f>
        <v>5.1293294387550598E-4</v>
      </c>
      <c r="X49" s="129">
        <f>Mitigation_Industry!$E$354</f>
        <v>5.1293294387550598E-4</v>
      </c>
      <c r="Y49" s="129">
        <f>Mitigation_Industry!$E$354</f>
        <v>5.1293294387550598E-4</v>
      </c>
      <c r="Z49" s="129">
        <f>Mitigation_Industry!$E$354</f>
        <v>5.1293294387550598E-4</v>
      </c>
      <c r="AA49" s="129">
        <f>Mitigation_Industry!$E$354</f>
        <v>5.1293294387550598E-4</v>
      </c>
      <c r="AB49" s="129">
        <f>Mitigation_Industry!$E$354</f>
        <v>5.1293294387550598E-4</v>
      </c>
      <c r="AC49" s="129">
        <f>Mitigation_Industry!$E$354</f>
        <v>5.1293294387550598E-4</v>
      </c>
      <c r="AD49" s="129">
        <f>Mitigation_Industry!$E$354</f>
        <v>5.1293294387550598E-4</v>
      </c>
      <c r="AE49" s="129">
        <f>Mitigation_Industry!$E$354</f>
        <v>5.1293294387550598E-4</v>
      </c>
      <c r="AF49" s="128"/>
      <c r="AG49" s="128"/>
      <c r="AH49" s="128"/>
      <c r="AI49" s="128"/>
    </row>
    <row r="50" spans="1:35" customFormat="1" ht="14.25" x14ac:dyDescent="0.45">
      <c r="B50" s="14" t="s">
        <v>1461</v>
      </c>
      <c r="C50" s="14" t="s">
        <v>113</v>
      </c>
      <c r="D50" s="15" t="s">
        <v>2496</v>
      </c>
      <c r="E50" s="16" t="s">
        <v>2492</v>
      </c>
      <c r="F50" s="14" t="s">
        <v>2490</v>
      </c>
      <c r="G50" s="119"/>
      <c r="H50" s="114" t="str">
        <f>Settings!$B$3&amp;".mit.bf.cmt.dry.1"</f>
        <v>egy.mit.bf.cmt.dry.1</v>
      </c>
      <c r="K50" s="126"/>
      <c r="L50" s="129">
        <f>Mitigation_Industry!$E$355</f>
        <v>8.3381608939051E-4</v>
      </c>
      <c r="M50" s="129">
        <f>Mitigation_Industry!$E$355</f>
        <v>8.3381608939051E-4</v>
      </c>
      <c r="N50" s="129">
        <f>Mitigation_Industry!$E$355</f>
        <v>8.3381608939051E-4</v>
      </c>
      <c r="O50" s="129">
        <f>Mitigation_Industry!$E$355</f>
        <v>8.3381608939051E-4</v>
      </c>
      <c r="P50" s="129">
        <f>Mitigation_Industry!$E$355</f>
        <v>8.3381608939051E-4</v>
      </c>
      <c r="Q50" s="129">
        <f>Mitigation_Industry!$E$355</f>
        <v>8.3381608939051E-4</v>
      </c>
      <c r="R50" s="129">
        <f>Mitigation_Industry!$E$355</f>
        <v>8.3381608939051E-4</v>
      </c>
      <c r="S50" s="129">
        <f>Mitigation_Industry!$E$355</f>
        <v>8.3381608939051E-4</v>
      </c>
      <c r="T50" s="129">
        <f>Mitigation_Industry!$E$355</f>
        <v>8.3381608939051E-4</v>
      </c>
      <c r="U50" s="129">
        <f>Mitigation_Industry!$E$355</f>
        <v>8.3381608939051E-4</v>
      </c>
      <c r="V50" s="129">
        <f>Mitigation_Industry!$E$355</f>
        <v>8.3381608939051E-4</v>
      </c>
      <c r="W50" s="129">
        <f>Mitigation_Industry!$E$355</f>
        <v>8.3381608939051E-4</v>
      </c>
      <c r="X50" s="129">
        <f>Mitigation_Industry!$E$355</f>
        <v>8.3381608939051E-4</v>
      </c>
      <c r="Y50" s="129">
        <f>Mitigation_Industry!$E$355</f>
        <v>8.3381608939051E-4</v>
      </c>
      <c r="Z50" s="129">
        <f>Mitigation_Industry!$E$355</f>
        <v>8.3381608939051E-4</v>
      </c>
      <c r="AA50" s="129">
        <f>Mitigation_Industry!$E$355</f>
        <v>8.3381608939051E-4</v>
      </c>
      <c r="AB50" s="129">
        <f>Mitigation_Industry!$E$355</f>
        <v>8.3381608939051E-4</v>
      </c>
      <c r="AC50" s="129">
        <f>Mitigation_Industry!$E$355</f>
        <v>8.3381608939051E-4</v>
      </c>
      <c r="AD50" s="129">
        <f>Mitigation_Industry!$E$355</f>
        <v>8.3381608939051E-4</v>
      </c>
      <c r="AE50" s="129">
        <f>Mitigation_Industry!$E$355</f>
        <v>8.3381608939051E-4</v>
      </c>
      <c r="AF50" s="128"/>
      <c r="AG50" s="128"/>
      <c r="AH50" s="128"/>
      <c r="AI50" s="128"/>
    </row>
    <row r="51" spans="1:35" customFormat="1" ht="14.25" x14ac:dyDescent="0.45">
      <c r="B51" s="14" t="s">
        <v>1464</v>
      </c>
      <c r="C51" s="14" t="s">
        <v>117</v>
      </c>
      <c r="D51" s="15" t="s">
        <v>2497</v>
      </c>
      <c r="E51" s="16" t="s">
        <v>2492</v>
      </c>
      <c r="F51" s="14" t="s">
        <v>2490</v>
      </c>
      <c r="G51" s="119"/>
      <c r="H51" s="114" t="str">
        <f>Settings!$B$3&amp;".mit.bf.frt.amc.1"</f>
        <v>egy.mit.bf.frt.amc.1</v>
      </c>
      <c r="K51" s="126"/>
      <c r="L51" s="129">
        <f>Mitigation_Industry!$E$356</f>
        <v>1.98450938723838E-3</v>
      </c>
      <c r="M51" s="129">
        <f>Mitigation_Industry!$E$356</f>
        <v>1.98450938723838E-3</v>
      </c>
      <c r="N51" s="129">
        <f>Mitigation_Industry!$E$356</f>
        <v>1.98450938723838E-3</v>
      </c>
      <c r="O51" s="129">
        <f>Mitigation_Industry!$E$356</f>
        <v>1.98450938723838E-3</v>
      </c>
      <c r="P51" s="129">
        <f>Mitigation_Industry!$E$356</f>
        <v>1.98450938723838E-3</v>
      </c>
      <c r="Q51" s="129">
        <f>Mitigation_Industry!$E$356</f>
        <v>1.98450938723838E-3</v>
      </c>
      <c r="R51" s="129">
        <f>Mitigation_Industry!$E$356</f>
        <v>1.98450938723838E-3</v>
      </c>
      <c r="S51" s="129">
        <f>Mitigation_Industry!$E$356</f>
        <v>1.98450938723838E-3</v>
      </c>
      <c r="T51" s="129">
        <f>Mitigation_Industry!$E$356</f>
        <v>1.98450938723838E-3</v>
      </c>
      <c r="U51" s="129">
        <f>Mitigation_Industry!$E$356</f>
        <v>1.98450938723838E-3</v>
      </c>
      <c r="V51" s="129">
        <f>Mitigation_Industry!$E$356</f>
        <v>1.98450938723838E-3</v>
      </c>
      <c r="W51" s="129">
        <f>Mitigation_Industry!$E$356</f>
        <v>1.98450938723838E-3</v>
      </c>
      <c r="X51" s="129">
        <f>Mitigation_Industry!$E$356</f>
        <v>1.98450938723838E-3</v>
      </c>
      <c r="Y51" s="129">
        <f>Mitigation_Industry!$E$356</f>
        <v>1.98450938723838E-3</v>
      </c>
      <c r="Z51" s="129">
        <f>Mitigation_Industry!$E$356</f>
        <v>1.98450938723838E-3</v>
      </c>
      <c r="AA51" s="129">
        <f>Mitigation_Industry!$E$356</f>
        <v>1.98450938723838E-3</v>
      </c>
      <c r="AB51" s="129">
        <f>Mitigation_Industry!$E$356</f>
        <v>1.98450938723838E-3</v>
      </c>
      <c r="AC51" s="129">
        <f>Mitigation_Industry!$E$356</f>
        <v>1.98450938723838E-3</v>
      </c>
      <c r="AD51" s="129">
        <f>Mitigation_Industry!$E$356</f>
        <v>1.98450938723838E-3</v>
      </c>
      <c r="AE51" s="129">
        <f>Mitigation_Industry!$E$356</f>
        <v>1.98450938723838E-3</v>
      </c>
      <c r="AF51" s="128"/>
      <c r="AG51" s="128"/>
      <c r="AH51" s="128"/>
      <c r="AI51" s="128"/>
    </row>
    <row r="52" spans="1:35" customFormat="1" ht="14.25" x14ac:dyDescent="0.45">
      <c r="B52" s="14" t="s">
        <v>1467</v>
      </c>
      <c r="C52" s="14" t="s">
        <v>117</v>
      </c>
      <c r="D52" s="15" t="s">
        <v>2498</v>
      </c>
      <c r="E52" s="16" t="s">
        <v>2492</v>
      </c>
      <c r="F52" s="14" t="s">
        <v>2490</v>
      </c>
      <c r="G52" s="119"/>
      <c r="H52" s="114" t="str">
        <f>Settings!$B$3&amp;".mit.bf.frt.ure.1"</f>
        <v>egy.mit.bf.frt.ure.1</v>
      </c>
      <c r="K52" s="126"/>
      <c r="L52" s="129">
        <f>Mitigation_Industry!$E$357</f>
        <v>0</v>
      </c>
      <c r="M52" s="129">
        <f>Mitigation_Industry!$E$357</f>
        <v>0</v>
      </c>
      <c r="N52" s="129">
        <f>Mitigation_Industry!$E$357</f>
        <v>0</v>
      </c>
      <c r="O52" s="129">
        <f>Mitigation_Industry!$E$357</f>
        <v>0</v>
      </c>
      <c r="P52" s="129">
        <f>Mitigation_Industry!$E$357</f>
        <v>0</v>
      </c>
      <c r="Q52" s="129">
        <f>Mitigation_Industry!$E$357</f>
        <v>0</v>
      </c>
      <c r="R52" s="129">
        <f>Mitigation_Industry!$E$357</f>
        <v>0</v>
      </c>
      <c r="S52" s="129">
        <f>Mitigation_Industry!$E$357</f>
        <v>0</v>
      </c>
      <c r="T52" s="129">
        <f>Mitigation_Industry!$E$357</f>
        <v>0</v>
      </c>
      <c r="U52" s="129">
        <f>Mitigation_Industry!$E$357</f>
        <v>0</v>
      </c>
      <c r="V52" s="129">
        <f>Mitigation_Industry!$E$357</f>
        <v>0</v>
      </c>
      <c r="W52" s="129">
        <f>Mitigation_Industry!$E$357</f>
        <v>0</v>
      </c>
      <c r="X52" s="129">
        <f>Mitigation_Industry!$E$357</f>
        <v>0</v>
      </c>
      <c r="Y52" s="129">
        <f>Mitigation_Industry!$E$357</f>
        <v>0</v>
      </c>
      <c r="Z52" s="129">
        <f>Mitigation_Industry!$E$357</f>
        <v>0</v>
      </c>
      <c r="AA52" s="129">
        <f>Mitigation_Industry!$E$357</f>
        <v>0</v>
      </c>
      <c r="AB52" s="129">
        <f>Mitigation_Industry!$E$357</f>
        <v>0</v>
      </c>
      <c r="AC52" s="129">
        <f>Mitigation_Industry!$E$357</f>
        <v>0</v>
      </c>
      <c r="AD52" s="129">
        <f>Mitigation_Industry!$E$357</f>
        <v>0</v>
      </c>
      <c r="AE52" s="129">
        <f>Mitigation_Industry!$E$357</f>
        <v>0</v>
      </c>
      <c r="AF52" s="128"/>
      <c r="AG52" s="128"/>
      <c r="AH52" s="128"/>
      <c r="AI52" s="128"/>
    </row>
    <row r="53" spans="1:35" customFormat="1" ht="14.25" x14ac:dyDescent="0.45">
      <c r="B53" s="14" t="s">
        <v>1470</v>
      </c>
      <c r="C53" s="14" t="s">
        <v>117</v>
      </c>
      <c r="D53" s="15" t="s">
        <v>2499</v>
      </c>
      <c r="E53" s="16" t="s">
        <v>2492</v>
      </c>
      <c r="F53" s="14" t="s">
        <v>2490</v>
      </c>
      <c r="G53" s="119"/>
      <c r="H53" s="114" t="str">
        <f>Settings!$B$3&amp;".mit.bf.frt.nit.1"</f>
        <v>egy.mit.bf.frt.nit.1</v>
      </c>
      <c r="K53" s="126"/>
      <c r="L53" s="129">
        <f>Mitigation_Industry!$E$358</f>
        <v>1.04982212449868E-2</v>
      </c>
      <c r="M53" s="129">
        <f>Mitigation_Industry!$E$358</f>
        <v>1.04982212449868E-2</v>
      </c>
      <c r="N53" s="129">
        <f>Mitigation_Industry!$E$358</f>
        <v>1.04982212449868E-2</v>
      </c>
      <c r="O53" s="129">
        <f>Mitigation_Industry!$E$358</f>
        <v>1.04982212449868E-2</v>
      </c>
      <c r="P53" s="129">
        <f>Mitigation_Industry!$E$358</f>
        <v>1.04982212449868E-2</v>
      </c>
      <c r="Q53" s="129">
        <f>Mitigation_Industry!$E$358</f>
        <v>1.04982212449868E-2</v>
      </c>
      <c r="R53" s="129">
        <f>Mitigation_Industry!$E$358</f>
        <v>1.04982212449868E-2</v>
      </c>
      <c r="S53" s="129">
        <f>Mitigation_Industry!$E$358</f>
        <v>1.04982212449868E-2</v>
      </c>
      <c r="T53" s="129">
        <f>Mitigation_Industry!$E$358</f>
        <v>1.04982212449868E-2</v>
      </c>
      <c r="U53" s="129">
        <f>Mitigation_Industry!$E$358</f>
        <v>1.04982212449868E-2</v>
      </c>
      <c r="V53" s="129">
        <f>Mitigation_Industry!$E$358</f>
        <v>1.04982212449868E-2</v>
      </c>
      <c r="W53" s="129">
        <f>Mitigation_Industry!$E$358</f>
        <v>1.04982212449868E-2</v>
      </c>
      <c r="X53" s="129">
        <f>Mitigation_Industry!$E$358</f>
        <v>1.04982212449868E-2</v>
      </c>
      <c r="Y53" s="129">
        <f>Mitigation_Industry!$E$358</f>
        <v>1.04982212449868E-2</v>
      </c>
      <c r="Z53" s="129">
        <f>Mitigation_Industry!$E$358</f>
        <v>1.04982212449868E-2</v>
      </c>
      <c r="AA53" s="129">
        <f>Mitigation_Industry!$E$358</f>
        <v>1.04982212449868E-2</v>
      </c>
      <c r="AB53" s="129">
        <f>Mitigation_Industry!$E$358</f>
        <v>1.04982212449868E-2</v>
      </c>
      <c r="AC53" s="129">
        <f>Mitigation_Industry!$E$358</f>
        <v>1.04982212449868E-2</v>
      </c>
      <c r="AD53" s="129">
        <f>Mitigation_Industry!$E$358</f>
        <v>1.04982212449868E-2</v>
      </c>
      <c r="AE53" s="129">
        <f>Mitigation_Industry!$E$358</f>
        <v>1.04982212449868E-2</v>
      </c>
      <c r="AF53" s="128"/>
      <c r="AG53" s="128"/>
      <c r="AH53" s="128"/>
      <c r="AI53" s="128"/>
    </row>
    <row r="54" spans="1:35" customFormat="1" ht="14.25" x14ac:dyDescent="0.45">
      <c r="B54" s="14" t="s">
        <v>1473</v>
      </c>
      <c r="C54" s="14" t="s">
        <v>115</v>
      </c>
      <c r="D54" s="15" t="s">
        <v>2500</v>
      </c>
      <c r="E54" s="16" t="s">
        <v>2492</v>
      </c>
      <c r="F54" s="14" t="s">
        <v>2490</v>
      </c>
      <c r="G54" s="119"/>
      <c r="H54" s="114" t="str">
        <f>Settings!$B$3&amp;".mit.bf.alu.prp.1"</f>
        <v>egy.mit.bf.alu.prp.1</v>
      </c>
      <c r="K54" s="126"/>
      <c r="L54" s="129">
        <f>Mitigation_Industry!$E$359</f>
        <v>8.3381608939051E-4</v>
      </c>
      <c r="M54" s="129">
        <f>Mitigation_Industry!$E$359</f>
        <v>8.3381608939051E-4</v>
      </c>
      <c r="N54" s="129">
        <f>Mitigation_Industry!$E$359</f>
        <v>8.3381608939051E-4</v>
      </c>
      <c r="O54" s="129">
        <f>Mitigation_Industry!$E$359</f>
        <v>8.3381608939051E-4</v>
      </c>
      <c r="P54" s="129">
        <f>Mitigation_Industry!$E$359</f>
        <v>8.3381608939051E-4</v>
      </c>
      <c r="Q54" s="129">
        <f>Mitigation_Industry!$E$359</f>
        <v>8.3381608939051E-4</v>
      </c>
      <c r="R54" s="129">
        <f>Mitigation_Industry!$E$359</f>
        <v>8.3381608939051E-4</v>
      </c>
      <c r="S54" s="129">
        <f>Mitigation_Industry!$E$359</f>
        <v>8.3381608939051E-4</v>
      </c>
      <c r="T54" s="129">
        <f>Mitigation_Industry!$E$359</f>
        <v>8.3381608939051E-4</v>
      </c>
      <c r="U54" s="129">
        <f>Mitigation_Industry!$E$359</f>
        <v>8.3381608939051E-4</v>
      </c>
      <c r="V54" s="129">
        <f>Mitigation_Industry!$E$359</f>
        <v>8.3381608939051E-4</v>
      </c>
      <c r="W54" s="129">
        <f>Mitigation_Industry!$E$359</f>
        <v>8.3381608939051E-4</v>
      </c>
      <c r="X54" s="129">
        <f>Mitigation_Industry!$E$359</f>
        <v>8.3381608939051E-4</v>
      </c>
      <c r="Y54" s="129">
        <f>Mitigation_Industry!$E$359</f>
        <v>8.3381608939051E-4</v>
      </c>
      <c r="Z54" s="129">
        <f>Mitigation_Industry!$E$359</f>
        <v>8.3381608939051E-4</v>
      </c>
      <c r="AA54" s="129">
        <f>Mitigation_Industry!$E$359</f>
        <v>8.3381608939051E-4</v>
      </c>
      <c r="AB54" s="129">
        <f>Mitigation_Industry!$E$359</f>
        <v>8.3381608939051E-4</v>
      </c>
      <c r="AC54" s="129">
        <f>Mitigation_Industry!$E$359</f>
        <v>8.3381608939051E-4</v>
      </c>
      <c r="AD54" s="129">
        <f>Mitigation_Industry!$E$359</f>
        <v>8.3381608939051E-4</v>
      </c>
      <c r="AE54" s="129">
        <f>Mitigation_Industry!$E$359</f>
        <v>8.3381608939051E-4</v>
      </c>
      <c r="AF54" s="128"/>
      <c r="AG54" s="128"/>
      <c r="AH54" s="128"/>
      <c r="AI54" s="128"/>
    </row>
    <row r="55" spans="1:35" x14ac:dyDescent="0.35"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</row>
    <row r="56" spans="1:35" customFormat="1" ht="14.25" x14ac:dyDescent="0.45">
      <c r="A56" s="11"/>
      <c r="B56" s="6"/>
      <c r="C56" s="7" t="s">
        <v>2501</v>
      </c>
      <c r="D56" s="6" t="s">
        <v>1505</v>
      </c>
      <c r="E56" s="7" t="s">
        <v>35</v>
      </c>
      <c r="F56" s="7" t="s">
        <v>45</v>
      </c>
      <c r="G56" s="7" t="s">
        <v>37</v>
      </c>
      <c r="H56" s="12" t="s">
        <v>38</v>
      </c>
      <c r="I56" s="6" t="s">
        <v>39</v>
      </c>
      <c r="J56" s="48">
        <v>1</v>
      </c>
      <c r="K56" s="124">
        <v>2021</v>
      </c>
      <c r="L56" s="125">
        <v>2022</v>
      </c>
      <c r="M56" s="124">
        <v>2023</v>
      </c>
      <c r="N56" s="124">
        <v>2024</v>
      </c>
      <c r="O56" s="124">
        <v>2025</v>
      </c>
      <c r="P56" s="124">
        <v>2026</v>
      </c>
      <c r="Q56" s="124">
        <v>2027</v>
      </c>
      <c r="R56" s="124">
        <v>2028</v>
      </c>
      <c r="S56" s="124">
        <v>2029</v>
      </c>
      <c r="T56" s="124">
        <v>2030</v>
      </c>
      <c r="U56" s="124">
        <v>2031</v>
      </c>
      <c r="V56" s="124">
        <v>2032</v>
      </c>
      <c r="W56" s="124">
        <v>2033</v>
      </c>
      <c r="X56" s="124">
        <v>2034</v>
      </c>
      <c r="Y56" s="124">
        <v>2035</v>
      </c>
      <c r="Z56" s="124">
        <v>2036</v>
      </c>
      <c r="AA56" s="124">
        <v>2037</v>
      </c>
      <c r="AB56" s="124">
        <v>2038</v>
      </c>
      <c r="AC56" s="124">
        <v>2039</v>
      </c>
      <c r="AD56" s="124">
        <v>2040</v>
      </c>
      <c r="AE56" s="124">
        <v>2041</v>
      </c>
      <c r="AF56" s="124">
        <v>2042</v>
      </c>
      <c r="AG56" s="124">
        <v>2043</v>
      </c>
      <c r="AH56" s="124">
        <v>2044</v>
      </c>
      <c r="AI56" s="124">
        <v>2045</v>
      </c>
    </row>
    <row r="57" spans="1:35" customFormat="1" ht="14.25" x14ac:dyDescent="0.45">
      <c r="B57" s="14" t="s">
        <v>1452</v>
      </c>
      <c r="C57" s="14" t="s">
        <v>43</v>
      </c>
      <c r="D57" s="15" t="s">
        <v>2502</v>
      </c>
      <c r="E57" s="16" t="s">
        <v>2492</v>
      </c>
      <c r="F57" s="14" t="s">
        <v>2501</v>
      </c>
      <c r="G57" s="119"/>
      <c r="H57" s="114" t="str">
        <f>Settings!$B$3&amp;".mit.bp.stl.drg.1"</f>
        <v>egy.mit.bp.stl.drg.1</v>
      </c>
      <c r="I57" t="s">
        <v>2493</v>
      </c>
      <c r="K57" s="126"/>
      <c r="L57" s="129">
        <f>Mitigation_Industry!$E$363</f>
        <v>1.0536051565782599E-3</v>
      </c>
      <c r="M57" s="129">
        <f>Mitigation_Industry!$E$363</f>
        <v>1.0536051565782599E-3</v>
      </c>
      <c r="N57" s="129">
        <f>Mitigation_Industry!$E$363</f>
        <v>1.0536051565782599E-3</v>
      </c>
      <c r="O57" s="129">
        <f>Mitigation_Industry!$E$363</f>
        <v>1.0536051565782599E-3</v>
      </c>
      <c r="P57" s="129">
        <f>Mitigation_Industry!$E$363</f>
        <v>1.0536051565782599E-3</v>
      </c>
      <c r="Q57" s="129">
        <f>Mitigation_Industry!$E$363</f>
        <v>1.0536051565782599E-3</v>
      </c>
      <c r="R57" s="129">
        <f>Mitigation_Industry!$E$363</f>
        <v>1.0536051565782599E-3</v>
      </c>
      <c r="S57" s="129">
        <f>Mitigation_Industry!$E$363</f>
        <v>1.0536051565782599E-3</v>
      </c>
      <c r="T57" s="129">
        <f>Mitigation_Industry!$E$363</f>
        <v>1.0536051565782599E-3</v>
      </c>
      <c r="U57" s="129">
        <f>Mitigation_Industry!$E$363</f>
        <v>1.0536051565782599E-3</v>
      </c>
      <c r="V57" s="129">
        <f>Mitigation_Industry!$E$363</f>
        <v>1.0536051565782599E-3</v>
      </c>
      <c r="W57" s="129">
        <f>Mitigation_Industry!$E$363</f>
        <v>1.0536051565782599E-3</v>
      </c>
      <c r="X57" s="129">
        <f>Mitigation_Industry!$E$363</f>
        <v>1.0536051565782599E-3</v>
      </c>
      <c r="Y57" s="129">
        <f>Mitigation_Industry!$E$363</f>
        <v>1.0536051565782599E-3</v>
      </c>
      <c r="Z57" s="129">
        <f>Mitigation_Industry!$E$363</f>
        <v>1.0536051565782599E-3</v>
      </c>
      <c r="AA57" s="129">
        <f>Mitigation_Industry!$E$363</f>
        <v>1.0536051565782599E-3</v>
      </c>
      <c r="AB57" s="129">
        <f>Mitigation_Industry!$E$363</f>
        <v>1.0536051565782599E-3</v>
      </c>
      <c r="AC57" s="129">
        <f>Mitigation_Industry!$E$363</f>
        <v>1.0536051565782599E-3</v>
      </c>
      <c r="AD57" s="129">
        <f>Mitigation_Industry!$E$363</f>
        <v>1.0536051565782599E-3</v>
      </c>
      <c r="AE57" s="129">
        <f>Mitigation_Industry!$E$363</f>
        <v>1.0536051565782599E-3</v>
      </c>
      <c r="AF57" s="128"/>
      <c r="AG57" s="128"/>
      <c r="AH57" s="128"/>
      <c r="AI57" s="128"/>
    </row>
    <row r="58" spans="1:35" customFormat="1" ht="14.25" x14ac:dyDescent="0.45">
      <c r="B58" s="14" t="s">
        <v>1455</v>
      </c>
      <c r="C58" s="14" t="s">
        <v>43</v>
      </c>
      <c r="D58" s="15" t="s">
        <v>2503</v>
      </c>
      <c r="E58" s="16" t="s">
        <v>2492</v>
      </c>
      <c r="F58" s="14" t="s">
        <v>2501</v>
      </c>
      <c r="G58" s="119"/>
      <c r="H58" s="114" t="str">
        <f>Settings!$B$3&amp;".mit.bp.stl.scr.1"</f>
        <v>egy.mit.bp.stl.scr.1</v>
      </c>
      <c r="K58" s="126"/>
      <c r="L58" s="129">
        <f>Mitigation_Industry!$E$364</f>
        <v>2.0202707317519501E-4</v>
      </c>
      <c r="M58" s="129">
        <f>Mitigation_Industry!$E$364</f>
        <v>2.0202707317519501E-4</v>
      </c>
      <c r="N58" s="129">
        <f>Mitigation_Industry!$E$364</f>
        <v>2.0202707317519501E-4</v>
      </c>
      <c r="O58" s="129">
        <f>Mitigation_Industry!$E$364</f>
        <v>2.0202707317519501E-4</v>
      </c>
      <c r="P58" s="129">
        <f>Mitigation_Industry!$E$364</f>
        <v>2.0202707317519501E-4</v>
      </c>
      <c r="Q58" s="129">
        <f>Mitigation_Industry!$E$364</f>
        <v>2.0202707317519501E-4</v>
      </c>
      <c r="R58" s="129">
        <f>Mitigation_Industry!$E$364</f>
        <v>2.0202707317519501E-4</v>
      </c>
      <c r="S58" s="129">
        <f>Mitigation_Industry!$E$364</f>
        <v>2.0202707317519501E-4</v>
      </c>
      <c r="T58" s="129">
        <f>Mitigation_Industry!$E$364</f>
        <v>2.0202707317519501E-4</v>
      </c>
      <c r="U58" s="129">
        <f>Mitigation_Industry!$E$364</f>
        <v>2.0202707317519501E-4</v>
      </c>
      <c r="V58" s="129">
        <f>Mitigation_Industry!$E$364</f>
        <v>2.0202707317519501E-4</v>
      </c>
      <c r="W58" s="129">
        <f>Mitigation_Industry!$E$364</f>
        <v>2.0202707317519501E-4</v>
      </c>
      <c r="X58" s="129">
        <f>Mitigation_Industry!$E$364</f>
        <v>2.0202707317519501E-4</v>
      </c>
      <c r="Y58" s="129">
        <f>Mitigation_Industry!$E$364</f>
        <v>2.0202707317519501E-4</v>
      </c>
      <c r="Z58" s="129">
        <f>Mitigation_Industry!$E$364</f>
        <v>2.0202707317519501E-4</v>
      </c>
      <c r="AA58" s="129">
        <f>Mitigation_Industry!$E$364</f>
        <v>2.0202707317519501E-4</v>
      </c>
      <c r="AB58" s="129">
        <f>Mitigation_Industry!$E$364</f>
        <v>2.0202707317519501E-4</v>
      </c>
      <c r="AC58" s="129">
        <f>Mitigation_Industry!$E$364</f>
        <v>2.0202707317519501E-4</v>
      </c>
      <c r="AD58" s="129">
        <f>Mitigation_Industry!$E$364</f>
        <v>2.0202707317519501E-4</v>
      </c>
      <c r="AE58" s="129">
        <f>Mitigation_Industry!$E$364</f>
        <v>2.0202707317519501E-4</v>
      </c>
      <c r="AF58" s="128"/>
      <c r="AG58" s="128"/>
      <c r="AH58" s="128"/>
      <c r="AI58" s="128"/>
    </row>
    <row r="59" spans="1:35" customFormat="1" ht="14.25" x14ac:dyDescent="0.45">
      <c r="B59" s="14" t="s">
        <v>1458</v>
      </c>
      <c r="C59" s="14" t="s">
        <v>43</v>
      </c>
      <c r="D59" s="15" t="s">
        <v>2504</v>
      </c>
      <c r="E59" s="16" t="s">
        <v>2492</v>
      </c>
      <c r="F59" s="14" t="s">
        <v>2501</v>
      </c>
      <c r="G59" s="119"/>
      <c r="H59" s="114" t="str">
        <f>Settings!$B$3&amp;".mit.bp.stl.bof.1"</f>
        <v>egy.mit.bp.stl.bof.1</v>
      </c>
      <c r="K59" s="126"/>
      <c r="L59" s="129">
        <f>Mitigation_Industry!$E$365</f>
        <v>5.1293294387550598E-4</v>
      </c>
      <c r="M59" s="129">
        <f>Mitigation_Industry!$E$365</f>
        <v>5.1293294387550598E-4</v>
      </c>
      <c r="N59" s="129">
        <f>Mitigation_Industry!$E$365</f>
        <v>5.1293294387550598E-4</v>
      </c>
      <c r="O59" s="129">
        <f>Mitigation_Industry!$E$365</f>
        <v>5.1293294387550598E-4</v>
      </c>
      <c r="P59" s="129">
        <f>Mitigation_Industry!$E$365</f>
        <v>5.1293294387550598E-4</v>
      </c>
      <c r="Q59" s="129">
        <f>Mitigation_Industry!$E$365</f>
        <v>5.1293294387550598E-4</v>
      </c>
      <c r="R59" s="129">
        <f>Mitigation_Industry!$E$365</f>
        <v>5.1293294387550598E-4</v>
      </c>
      <c r="S59" s="129">
        <f>Mitigation_Industry!$E$365</f>
        <v>5.1293294387550598E-4</v>
      </c>
      <c r="T59" s="129">
        <f>Mitigation_Industry!$E$365</f>
        <v>5.1293294387550598E-4</v>
      </c>
      <c r="U59" s="129">
        <f>Mitigation_Industry!$E$365</f>
        <v>5.1293294387550598E-4</v>
      </c>
      <c r="V59" s="129">
        <f>Mitigation_Industry!$E$365</f>
        <v>5.1293294387550598E-4</v>
      </c>
      <c r="W59" s="129">
        <f>Mitigation_Industry!$E$365</f>
        <v>5.1293294387550598E-4</v>
      </c>
      <c r="X59" s="129">
        <f>Mitigation_Industry!$E$365</f>
        <v>5.1293294387550598E-4</v>
      </c>
      <c r="Y59" s="129">
        <f>Mitigation_Industry!$E$365</f>
        <v>5.1293294387550598E-4</v>
      </c>
      <c r="Z59" s="129">
        <f>Mitigation_Industry!$E$365</f>
        <v>5.1293294387550598E-4</v>
      </c>
      <c r="AA59" s="129">
        <f>Mitigation_Industry!$E$365</f>
        <v>5.1293294387550598E-4</v>
      </c>
      <c r="AB59" s="129">
        <f>Mitigation_Industry!$E$365</f>
        <v>5.1293294387550598E-4</v>
      </c>
      <c r="AC59" s="129">
        <f>Mitigation_Industry!$E$365</f>
        <v>5.1293294387550598E-4</v>
      </c>
      <c r="AD59" s="129">
        <f>Mitigation_Industry!$E$365</f>
        <v>5.1293294387550598E-4</v>
      </c>
      <c r="AE59" s="129">
        <f>Mitigation_Industry!$E$365</f>
        <v>5.1293294387550598E-4</v>
      </c>
      <c r="AF59" s="128"/>
      <c r="AG59" s="128"/>
      <c r="AH59" s="128"/>
      <c r="AI59" s="128"/>
    </row>
    <row r="60" spans="1:35" customFormat="1" ht="14.25" x14ac:dyDescent="0.45">
      <c r="B60" s="14" t="s">
        <v>1461</v>
      </c>
      <c r="C60" s="14" t="s">
        <v>113</v>
      </c>
      <c r="D60" s="15" t="s">
        <v>2505</v>
      </c>
      <c r="E60" s="16" t="s">
        <v>2492</v>
      </c>
      <c r="F60" s="14" t="s">
        <v>2501</v>
      </c>
      <c r="G60" s="119"/>
      <c r="H60" s="114" t="str">
        <f>Settings!$B$3&amp;".mit.bp.cmt.dry.1"</f>
        <v>egy.mit.bp.cmt.dry.1</v>
      </c>
      <c r="K60" s="126"/>
      <c r="L60" s="129">
        <f>Mitigation_Industry!$E$366</f>
        <v>8.3381608939051E-4</v>
      </c>
      <c r="M60" s="129">
        <f>Mitigation_Industry!$E$366</f>
        <v>8.3381608939051E-4</v>
      </c>
      <c r="N60" s="129">
        <f>Mitigation_Industry!$E$366</f>
        <v>8.3381608939051E-4</v>
      </c>
      <c r="O60" s="129">
        <f>Mitigation_Industry!$E$366</f>
        <v>8.3381608939051E-4</v>
      </c>
      <c r="P60" s="129">
        <f>Mitigation_Industry!$E$366</f>
        <v>8.3381608939051E-4</v>
      </c>
      <c r="Q60" s="129">
        <f>Mitigation_Industry!$E$366</f>
        <v>8.3381608939051E-4</v>
      </c>
      <c r="R60" s="129">
        <f>Mitigation_Industry!$E$366</f>
        <v>8.3381608939051E-4</v>
      </c>
      <c r="S60" s="129">
        <f>Mitigation_Industry!$E$366</f>
        <v>8.3381608939051E-4</v>
      </c>
      <c r="T60" s="129">
        <f>Mitigation_Industry!$E$366</f>
        <v>8.3381608939051E-4</v>
      </c>
      <c r="U60" s="129">
        <f>Mitigation_Industry!$E$366</f>
        <v>8.3381608939051E-4</v>
      </c>
      <c r="V60" s="129">
        <f>Mitigation_Industry!$E$366</f>
        <v>8.3381608939051E-4</v>
      </c>
      <c r="W60" s="129">
        <f>Mitigation_Industry!$E$366</f>
        <v>8.3381608939051E-4</v>
      </c>
      <c r="X60" s="129">
        <f>Mitigation_Industry!$E$366</f>
        <v>8.3381608939051E-4</v>
      </c>
      <c r="Y60" s="129">
        <f>Mitigation_Industry!$E$366</f>
        <v>8.3381608939051E-4</v>
      </c>
      <c r="Z60" s="129">
        <f>Mitigation_Industry!$E$366</f>
        <v>8.3381608939051E-4</v>
      </c>
      <c r="AA60" s="129">
        <f>Mitigation_Industry!$E$366</f>
        <v>8.3381608939051E-4</v>
      </c>
      <c r="AB60" s="129">
        <f>Mitigation_Industry!$E$366</f>
        <v>8.3381608939051E-4</v>
      </c>
      <c r="AC60" s="129">
        <f>Mitigation_Industry!$E$366</f>
        <v>8.3381608939051E-4</v>
      </c>
      <c r="AD60" s="129">
        <f>Mitigation_Industry!$E$366</f>
        <v>8.3381608939051E-4</v>
      </c>
      <c r="AE60" s="129">
        <f>Mitigation_Industry!$E$366</f>
        <v>8.3381608939051E-4</v>
      </c>
      <c r="AF60" s="128"/>
      <c r="AG60" s="128"/>
      <c r="AH60" s="128"/>
      <c r="AI60" s="128"/>
    </row>
    <row r="61" spans="1:35" customFormat="1" ht="14.25" x14ac:dyDescent="0.45">
      <c r="B61" s="14" t="s">
        <v>1464</v>
      </c>
      <c r="C61" s="14" t="s">
        <v>117</v>
      </c>
      <c r="D61" s="15" t="s">
        <v>2506</v>
      </c>
      <c r="E61" s="16" t="s">
        <v>2492</v>
      </c>
      <c r="F61" s="14" t="s">
        <v>2501</v>
      </c>
      <c r="G61" s="119"/>
      <c r="H61" s="114" t="str">
        <f>Settings!$B$3&amp;".mit.bp.frt.amc.1"</f>
        <v>egy.mit.bp.frt.amc.1</v>
      </c>
      <c r="K61" s="126"/>
      <c r="L61" s="129">
        <f>Mitigation_Industry!$E$367</f>
        <v>1.98450938723838E-3</v>
      </c>
      <c r="M61" s="129">
        <f>Mitigation_Industry!$E$367</f>
        <v>1.98450938723838E-3</v>
      </c>
      <c r="N61" s="129">
        <f>Mitigation_Industry!$E$367</f>
        <v>1.98450938723838E-3</v>
      </c>
      <c r="O61" s="129">
        <f>Mitigation_Industry!$E$367</f>
        <v>1.98450938723838E-3</v>
      </c>
      <c r="P61" s="129">
        <f>Mitigation_Industry!$E$367</f>
        <v>1.98450938723838E-3</v>
      </c>
      <c r="Q61" s="129">
        <f>Mitigation_Industry!$E$367</f>
        <v>1.98450938723838E-3</v>
      </c>
      <c r="R61" s="129">
        <f>Mitigation_Industry!$E$367</f>
        <v>1.98450938723838E-3</v>
      </c>
      <c r="S61" s="129">
        <f>Mitigation_Industry!$E$367</f>
        <v>1.98450938723838E-3</v>
      </c>
      <c r="T61" s="129">
        <f>Mitigation_Industry!$E$367</f>
        <v>1.98450938723838E-3</v>
      </c>
      <c r="U61" s="129">
        <f>Mitigation_Industry!$E$367</f>
        <v>1.98450938723838E-3</v>
      </c>
      <c r="V61" s="129">
        <f>Mitigation_Industry!$E$367</f>
        <v>1.98450938723838E-3</v>
      </c>
      <c r="W61" s="129">
        <f>Mitigation_Industry!$E$367</f>
        <v>1.98450938723838E-3</v>
      </c>
      <c r="X61" s="129">
        <f>Mitigation_Industry!$E$367</f>
        <v>1.98450938723838E-3</v>
      </c>
      <c r="Y61" s="129">
        <f>Mitigation_Industry!$E$367</f>
        <v>1.98450938723838E-3</v>
      </c>
      <c r="Z61" s="129">
        <f>Mitigation_Industry!$E$367</f>
        <v>1.98450938723838E-3</v>
      </c>
      <c r="AA61" s="129">
        <f>Mitigation_Industry!$E$367</f>
        <v>1.98450938723838E-3</v>
      </c>
      <c r="AB61" s="129">
        <f>Mitigation_Industry!$E$367</f>
        <v>1.98450938723838E-3</v>
      </c>
      <c r="AC61" s="129">
        <f>Mitigation_Industry!$E$367</f>
        <v>1.98450938723838E-3</v>
      </c>
      <c r="AD61" s="129">
        <f>Mitigation_Industry!$E$367</f>
        <v>1.98450938723838E-3</v>
      </c>
      <c r="AE61" s="129">
        <f>Mitigation_Industry!$E$367</f>
        <v>1.98450938723838E-3</v>
      </c>
      <c r="AF61" s="128"/>
      <c r="AG61" s="128"/>
      <c r="AH61" s="128"/>
      <c r="AI61" s="128"/>
    </row>
    <row r="62" spans="1:35" customFormat="1" ht="14.25" x14ac:dyDescent="0.45">
      <c r="B62" s="14" t="s">
        <v>1467</v>
      </c>
      <c r="C62" s="14" t="s">
        <v>117</v>
      </c>
      <c r="D62" s="15" t="s">
        <v>2507</v>
      </c>
      <c r="E62" s="16" t="s">
        <v>2492</v>
      </c>
      <c r="F62" s="14" t="s">
        <v>2501</v>
      </c>
      <c r="G62" s="119"/>
      <c r="H62" s="114" t="str">
        <f>Settings!$B$3&amp;".mit.bp.frt.ure.1"</f>
        <v>egy.mit.bp.frt.ure.1</v>
      </c>
      <c r="K62" s="126"/>
      <c r="L62" s="129">
        <f>Mitigation_Industry!$E$368</f>
        <v>0</v>
      </c>
      <c r="M62" s="129">
        <f>Mitigation_Industry!$E$368</f>
        <v>0</v>
      </c>
      <c r="N62" s="129">
        <f>Mitigation_Industry!$E$368</f>
        <v>0</v>
      </c>
      <c r="O62" s="129">
        <f>Mitigation_Industry!$E$368</f>
        <v>0</v>
      </c>
      <c r="P62" s="129">
        <f>Mitigation_Industry!$E$368</f>
        <v>0</v>
      </c>
      <c r="Q62" s="129">
        <f>Mitigation_Industry!$E$368</f>
        <v>0</v>
      </c>
      <c r="R62" s="129">
        <f>Mitigation_Industry!$E$368</f>
        <v>0</v>
      </c>
      <c r="S62" s="129">
        <f>Mitigation_Industry!$E$368</f>
        <v>0</v>
      </c>
      <c r="T62" s="129">
        <f>Mitigation_Industry!$E$368</f>
        <v>0</v>
      </c>
      <c r="U62" s="129">
        <f>Mitigation_Industry!$E$368</f>
        <v>0</v>
      </c>
      <c r="V62" s="129">
        <f>Mitigation_Industry!$E$368</f>
        <v>0</v>
      </c>
      <c r="W62" s="129">
        <f>Mitigation_Industry!$E$368</f>
        <v>0</v>
      </c>
      <c r="X62" s="129">
        <f>Mitigation_Industry!$E$368</f>
        <v>0</v>
      </c>
      <c r="Y62" s="129">
        <f>Mitigation_Industry!$E$368</f>
        <v>0</v>
      </c>
      <c r="Z62" s="129">
        <f>Mitigation_Industry!$E$368</f>
        <v>0</v>
      </c>
      <c r="AA62" s="129">
        <f>Mitigation_Industry!$E$368</f>
        <v>0</v>
      </c>
      <c r="AB62" s="129">
        <f>Mitigation_Industry!$E$368</f>
        <v>0</v>
      </c>
      <c r="AC62" s="129">
        <f>Mitigation_Industry!$E$368</f>
        <v>0</v>
      </c>
      <c r="AD62" s="129">
        <f>Mitigation_Industry!$E$368</f>
        <v>0</v>
      </c>
      <c r="AE62" s="129">
        <f>Mitigation_Industry!$E$368</f>
        <v>0</v>
      </c>
      <c r="AF62" s="128"/>
      <c r="AG62" s="128"/>
      <c r="AH62" s="128"/>
      <c r="AI62" s="128"/>
    </row>
    <row r="63" spans="1:35" customFormat="1" ht="14.25" x14ac:dyDescent="0.45">
      <c r="B63" s="14" t="s">
        <v>1470</v>
      </c>
      <c r="C63" s="14" t="s">
        <v>117</v>
      </c>
      <c r="D63" s="15" t="s">
        <v>2508</v>
      </c>
      <c r="E63" s="16" t="s">
        <v>2492</v>
      </c>
      <c r="F63" s="14" t="s">
        <v>2501</v>
      </c>
      <c r="G63" s="119"/>
      <c r="H63" s="114" t="str">
        <f>Settings!$B$3&amp;".mit.bp.frt.nit.1"</f>
        <v>egy.mit.bp.frt.nit.1</v>
      </c>
      <c r="K63" s="126"/>
      <c r="L63" s="129">
        <f>Mitigation_Industry!$E$369</f>
        <v>1.04982212449868E-2</v>
      </c>
      <c r="M63" s="129">
        <f>Mitigation_Industry!$E$369</f>
        <v>1.04982212449868E-2</v>
      </c>
      <c r="N63" s="129">
        <f>Mitigation_Industry!$E$369</f>
        <v>1.04982212449868E-2</v>
      </c>
      <c r="O63" s="129">
        <f>Mitigation_Industry!$E$369</f>
        <v>1.04982212449868E-2</v>
      </c>
      <c r="P63" s="129">
        <f>Mitigation_Industry!$E$369</f>
        <v>1.04982212449868E-2</v>
      </c>
      <c r="Q63" s="129">
        <f>Mitigation_Industry!$E$369</f>
        <v>1.04982212449868E-2</v>
      </c>
      <c r="R63" s="129">
        <f>Mitigation_Industry!$E$369</f>
        <v>1.04982212449868E-2</v>
      </c>
      <c r="S63" s="129">
        <f>Mitigation_Industry!$E$369</f>
        <v>1.04982212449868E-2</v>
      </c>
      <c r="T63" s="129">
        <f>Mitigation_Industry!$E$369</f>
        <v>1.04982212449868E-2</v>
      </c>
      <c r="U63" s="129">
        <f>Mitigation_Industry!$E$369</f>
        <v>1.04982212449868E-2</v>
      </c>
      <c r="V63" s="129">
        <f>Mitigation_Industry!$E$369</f>
        <v>1.04982212449868E-2</v>
      </c>
      <c r="W63" s="129">
        <f>Mitigation_Industry!$E$369</f>
        <v>1.04982212449868E-2</v>
      </c>
      <c r="X63" s="129">
        <f>Mitigation_Industry!$E$369</f>
        <v>1.04982212449868E-2</v>
      </c>
      <c r="Y63" s="129">
        <f>Mitigation_Industry!$E$369</f>
        <v>1.04982212449868E-2</v>
      </c>
      <c r="Z63" s="129">
        <f>Mitigation_Industry!$E$369</f>
        <v>1.04982212449868E-2</v>
      </c>
      <c r="AA63" s="129">
        <f>Mitigation_Industry!$E$369</f>
        <v>1.04982212449868E-2</v>
      </c>
      <c r="AB63" s="129">
        <f>Mitigation_Industry!$E$369</f>
        <v>1.04982212449868E-2</v>
      </c>
      <c r="AC63" s="129">
        <f>Mitigation_Industry!$E$369</f>
        <v>1.04982212449868E-2</v>
      </c>
      <c r="AD63" s="129">
        <f>Mitigation_Industry!$E$369</f>
        <v>1.04982212449868E-2</v>
      </c>
      <c r="AE63" s="129">
        <f>Mitigation_Industry!$E$369</f>
        <v>1.04982212449868E-2</v>
      </c>
      <c r="AF63" s="128"/>
      <c r="AG63" s="128"/>
      <c r="AH63" s="128"/>
      <c r="AI63" s="128"/>
    </row>
    <row r="64" spans="1:35" customFormat="1" ht="14.25" x14ac:dyDescent="0.45">
      <c r="B64" s="14" t="s">
        <v>1473</v>
      </c>
      <c r="C64" s="14" t="s">
        <v>115</v>
      </c>
      <c r="D64" s="15" t="s">
        <v>2509</v>
      </c>
      <c r="E64" s="16" t="s">
        <v>2492</v>
      </c>
      <c r="F64" s="14" t="s">
        <v>2501</v>
      </c>
      <c r="G64" s="119"/>
      <c r="H64" s="114" t="str">
        <f>Settings!$B$3&amp;".mit.bp.alu.prp.1"</f>
        <v>egy.mit.bp.alu.prp.1</v>
      </c>
      <c r="K64" s="126"/>
      <c r="L64" s="129">
        <f>Mitigation_Industry!$E$370</f>
        <v>8.3381608939051E-4</v>
      </c>
      <c r="M64" s="129">
        <f>Mitigation_Industry!$E$370</f>
        <v>8.3381608939051E-4</v>
      </c>
      <c r="N64" s="129">
        <f>Mitigation_Industry!$E$370</f>
        <v>8.3381608939051E-4</v>
      </c>
      <c r="O64" s="129">
        <f>Mitigation_Industry!$E$370</f>
        <v>8.3381608939051E-4</v>
      </c>
      <c r="P64" s="129">
        <f>Mitigation_Industry!$E$370</f>
        <v>8.3381608939051E-4</v>
      </c>
      <c r="Q64" s="129">
        <f>Mitigation_Industry!$E$370</f>
        <v>8.3381608939051E-4</v>
      </c>
      <c r="R64" s="129">
        <f>Mitigation_Industry!$E$370</f>
        <v>8.3381608939051E-4</v>
      </c>
      <c r="S64" s="129">
        <f>Mitigation_Industry!$E$370</f>
        <v>8.3381608939051E-4</v>
      </c>
      <c r="T64" s="129">
        <f>Mitigation_Industry!$E$370</f>
        <v>8.3381608939051E-4</v>
      </c>
      <c r="U64" s="129">
        <f>Mitigation_Industry!$E$370</f>
        <v>8.3381608939051E-4</v>
      </c>
      <c r="V64" s="129">
        <f>Mitigation_Industry!$E$370</f>
        <v>8.3381608939051E-4</v>
      </c>
      <c r="W64" s="129">
        <f>Mitigation_Industry!$E$370</f>
        <v>8.3381608939051E-4</v>
      </c>
      <c r="X64" s="129">
        <f>Mitigation_Industry!$E$370</f>
        <v>8.3381608939051E-4</v>
      </c>
      <c r="Y64" s="129">
        <f>Mitigation_Industry!$E$370</f>
        <v>8.3381608939051E-4</v>
      </c>
      <c r="Z64" s="129">
        <f>Mitigation_Industry!$E$370</f>
        <v>8.3381608939051E-4</v>
      </c>
      <c r="AA64" s="129">
        <f>Mitigation_Industry!$E$370</f>
        <v>8.3381608939051E-4</v>
      </c>
      <c r="AB64" s="129">
        <f>Mitigation_Industry!$E$370</f>
        <v>8.3381608939051E-4</v>
      </c>
      <c r="AC64" s="129">
        <f>Mitigation_Industry!$E$370</f>
        <v>8.3381608939051E-4</v>
      </c>
      <c r="AD64" s="129">
        <f>Mitigation_Industry!$E$370</f>
        <v>8.3381608939051E-4</v>
      </c>
      <c r="AE64" s="129">
        <f>Mitigation_Industry!$E$370</f>
        <v>8.3381608939051E-4</v>
      </c>
      <c r="AF64" s="128"/>
      <c r="AG64" s="128"/>
      <c r="AH64" s="128"/>
      <c r="AI64" s="128"/>
    </row>
    <row r="65" spans="1:35" x14ac:dyDescent="0.35"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</row>
    <row r="66" spans="1:35" customFormat="1" ht="14.25" x14ac:dyDescent="0.45">
      <c r="A66" s="11"/>
      <c r="B66" s="6"/>
      <c r="C66" s="7" t="s">
        <v>2510</v>
      </c>
      <c r="D66" s="6" t="s">
        <v>1505</v>
      </c>
      <c r="E66" s="7" t="s">
        <v>35</v>
      </c>
      <c r="F66" s="7" t="s">
        <v>45</v>
      </c>
      <c r="G66" s="7" t="s">
        <v>37</v>
      </c>
      <c r="H66" s="12" t="s">
        <v>38</v>
      </c>
      <c r="I66" s="6" t="s">
        <v>39</v>
      </c>
      <c r="J66" s="48">
        <v>1</v>
      </c>
      <c r="K66" s="124">
        <v>2021</v>
      </c>
      <c r="L66" s="125">
        <v>2022</v>
      </c>
      <c r="M66" s="124">
        <v>2023</v>
      </c>
      <c r="N66" s="124">
        <v>2024</v>
      </c>
      <c r="O66" s="124">
        <v>2025</v>
      </c>
      <c r="P66" s="124">
        <v>2026</v>
      </c>
      <c r="Q66" s="124">
        <v>2027</v>
      </c>
      <c r="R66" s="124">
        <v>2028</v>
      </c>
      <c r="S66" s="124">
        <v>2029</v>
      </c>
      <c r="T66" s="124">
        <v>2030</v>
      </c>
      <c r="U66" s="124">
        <v>2031</v>
      </c>
      <c r="V66" s="124">
        <v>2032</v>
      </c>
      <c r="W66" s="124">
        <v>2033</v>
      </c>
      <c r="X66" s="124">
        <v>2034</v>
      </c>
      <c r="Y66" s="124">
        <v>2035</v>
      </c>
      <c r="Z66" s="124">
        <v>2036</v>
      </c>
      <c r="AA66" s="124">
        <v>2037</v>
      </c>
      <c r="AB66" s="124">
        <v>2038</v>
      </c>
      <c r="AC66" s="124">
        <v>2039</v>
      </c>
      <c r="AD66" s="124">
        <v>2040</v>
      </c>
      <c r="AE66" s="124">
        <v>2041</v>
      </c>
      <c r="AF66" s="124">
        <v>2042</v>
      </c>
      <c r="AG66" s="124">
        <v>2043</v>
      </c>
      <c r="AH66" s="124">
        <v>2044</v>
      </c>
      <c r="AI66" s="124">
        <v>2045</v>
      </c>
    </row>
    <row r="67" spans="1:35" customFormat="1" ht="14.25" x14ac:dyDescent="0.45">
      <c r="B67" s="14" t="s">
        <v>1452</v>
      </c>
      <c r="C67" s="14" t="s">
        <v>43</v>
      </c>
      <c r="D67" s="15" t="s">
        <v>2511</v>
      </c>
      <c r="E67" s="16" t="s">
        <v>1967</v>
      </c>
      <c r="F67" s="14" t="s">
        <v>2510</v>
      </c>
      <c r="G67" s="119"/>
      <c r="H67" s="114" t="str">
        <f>Settings!$B$3&amp;".mit.wp.stl.drg.1"</f>
        <v>egy.mit.wp.stl.drg.1</v>
      </c>
      <c r="I67" t="s">
        <v>2512</v>
      </c>
      <c r="K67" s="126"/>
      <c r="L67" s="127">
        <f>Mitigation_Industry!L$341*Mitigation_Industry!$J$330*EXP(-L$57*L$27)</f>
        <v>0.18716695292200644</v>
      </c>
      <c r="M67" s="127">
        <f>Mitigation_Industry!M$341*Mitigation_Industry!$J$330*EXP(-M$57*M$27)</f>
        <v>0.1954022988505747</v>
      </c>
      <c r="N67" s="127">
        <f>Mitigation_Industry!N$341*Mitigation_Industry!$J$330*EXP(-N$57*N$27)</f>
        <v>0.20399999999999999</v>
      </c>
      <c r="O67" s="127">
        <f>Mitigation_Industry!O$341*Mitigation_Industry!$J$330*EXP(-O$57*O$27)</f>
        <v>0.21297600000000003</v>
      </c>
      <c r="P67" s="127">
        <f>Mitigation_Industry!P$341*Mitigation_Industry!$J$330*EXP(-P$57*P$27)</f>
        <v>0.22234694400000005</v>
      </c>
      <c r="Q67" s="127">
        <f>Mitigation_Industry!Q$341*Mitigation_Industry!$J$330*EXP(-Q$57*Q$27)</f>
        <v>0.23213020953600005</v>
      </c>
      <c r="R67" s="127">
        <f>Mitigation_Industry!R$341*Mitigation_Industry!$J$330*EXP(-R$57*R$27)</f>
        <v>0.24234393875558408</v>
      </c>
      <c r="S67" s="127">
        <f>Mitigation_Industry!S$341*Mitigation_Industry!$J$330*EXP(-S$57*S$27)</f>
        <v>0.25300707206082979</v>
      </c>
      <c r="T67" s="127">
        <f>Mitigation_Industry!T$341*Mitigation_Industry!$J$330*EXP(-T$57*T$27)</f>
        <v>0.26413938323150632</v>
      </c>
      <c r="U67" s="127">
        <f>Mitigation_Industry!U$341*Mitigation_Industry!$J$330*EXP(-U$57*U$27)</f>
        <v>0.27576151609369259</v>
      </c>
      <c r="V67" s="127">
        <f>Mitigation_Industry!V$341*Mitigation_Industry!$J$330*EXP(-V$57*V$27)</f>
        <v>0.28789502280181506</v>
      </c>
      <c r="W67" s="127">
        <f>Mitigation_Industry!W$341*Mitigation_Industry!$J$330*EXP(-W$57*W$27)</f>
        <v>0.30056240380509497</v>
      </c>
      <c r="X67" s="127">
        <f>Mitigation_Industry!X$341*Mitigation_Industry!$J$330*EXP(-X$57*X$27)</f>
        <v>0.31378714957251913</v>
      </c>
      <c r="Y67" s="127">
        <f>Mitigation_Industry!Y$341*Mitigation_Industry!$J$330*EXP(-Y$57*Y$27)</f>
        <v>0.32759378415370999</v>
      </c>
      <c r="Z67" s="127">
        <f>Mitigation_Industry!Z$341*Mitigation_Industry!$J$330*EXP(-Z$57*Z$27)</f>
        <v>0.34200791065647324</v>
      </c>
      <c r="AA67" s="127">
        <f>Mitigation_Industry!AA$341*Mitigation_Industry!$J$330*EXP(-AA$57*AA$27)</f>
        <v>0.35705625872535807</v>
      </c>
      <c r="AB67" s="127">
        <f>Mitigation_Industry!AB$341*Mitigation_Industry!$J$330*EXP(-AB$57*AB$27)</f>
        <v>0.37276673410927386</v>
      </c>
      <c r="AC67" s="127">
        <f>Mitigation_Industry!AC$341*Mitigation_Industry!$J$330*EXP(-AC$57*AC$27)</f>
        <v>0.38916847041008185</v>
      </c>
      <c r="AD67" s="127">
        <f>Mitigation_Industry!AD$341*Mitigation_Industry!$J$330*EXP(-AD$57*AD$27)</f>
        <v>0.40629188310812547</v>
      </c>
      <c r="AE67" s="127">
        <f>Mitigation_Industry!AE$341*Mitigation_Industry!$J$330*EXP(-AE$57*AE$27)</f>
        <v>0.42416872596488298</v>
      </c>
      <c r="AF67" s="128"/>
      <c r="AG67" s="128"/>
      <c r="AH67" s="128"/>
      <c r="AI67" s="128"/>
    </row>
    <row r="68" spans="1:35" customFormat="1" ht="14.25" x14ac:dyDescent="0.45">
      <c r="B68" s="14" t="s">
        <v>1455</v>
      </c>
      <c r="C68" s="14" t="s">
        <v>43</v>
      </c>
      <c r="D68" s="15" t="s">
        <v>2513</v>
      </c>
      <c r="E68" s="16" t="s">
        <v>1967</v>
      </c>
      <c r="F68" s="14" t="s">
        <v>2510</v>
      </c>
      <c r="G68" s="119"/>
      <c r="H68" s="114" t="str">
        <f>Settings!$B$3&amp;".mit.wp.stl.scr.1"</f>
        <v>egy.mit.wp.stl.scr.1</v>
      </c>
      <c r="K68" s="126"/>
      <c r="L68" s="127">
        <f>Mitigation_Industry!L$342*Mitigation_Industry!$J$331*EXP(-L$58*L$28)</f>
        <v>6.6058924560708152E-2</v>
      </c>
      <c r="M68" s="127">
        <f>Mitigation_Industry!M$342*Mitigation_Industry!$J$331*EXP(-M$58*M$28)</f>
        <v>6.8965517241379309E-2</v>
      </c>
      <c r="N68" s="127">
        <f>Mitigation_Industry!N$342*Mitigation_Industry!$J$331*EXP(-N$58*N$28)</f>
        <v>7.1999999999999995E-2</v>
      </c>
      <c r="O68" s="127">
        <f>Mitigation_Industry!O$342*Mitigation_Industry!$J$331*EXP(-O$58*O$28)</f>
        <v>7.5167999999999999E-2</v>
      </c>
      <c r="P68" s="127">
        <f>Mitigation_Industry!P$342*Mitigation_Industry!$J$331*EXP(-P$58*P$28)</f>
        <v>7.8475392000000005E-2</v>
      </c>
      <c r="Q68" s="127">
        <f>Mitigation_Industry!Q$342*Mitigation_Industry!$J$331*EXP(-Q$58*Q$28)</f>
        <v>8.1928309247999986E-2</v>
      </c>
      <c r="R68" s="127">
        <f>Mitigation_Industry!R$342*Mitigation_Industry!$J$331*EXP(-R$58*R$28)</f>
        <v>8.5533154854912002E-2</v>
      </c>
      <c r="S68" s="127">
        <f>Mitigation_Industry!S$342*Mitigation_Industry!$J$331*EXP(-S$58*S$28)</f>
        <v>8.9296613668528119E-2</v>
      </c>
      <c r="T68" s="127">
        <f>Mitigation_Industry!T$342*Mitigation_Industry!$J$331*EXP(-T$58*T$28)</f>
        <v>9.3225664669943364E-2</v>
      </c>
      <c r="U68" s="127">
        <f>Mitigation_Industry!U$342*Mitigation_Industry!$J$331*EXP(-U$58*U$28)</f>
        <v>9.7327593915420896E-2</v>
      </c>
      <c r="V68" s="127">
        <f>Mitigation_Industry!V$342*Mitigation_Industry!$J$331*EXP(-V$58*V$28)</f>
        <v>0.10161000804769942</v>
      </c>
      <c r="W68" s="127">
        <f>Mitigation_Industry!W$342*Mitigation_Industry!$J$331*EXP(-W$58*W$28)</f>
        <v>0.10608084840179818</v>
      </c>
      <c r="X68" s="127">
        <f>Mitigation_Industry!X$342*Mitigation_Industry!$J$331*EXP(-X$58*X$28)</f>
        <v>0.1107484057314773</v>
      </c>
      <c r="Y68" s="127">
        <f>Mitigation_Industry!Y$342*Mitigation_Industry!$J$331*EXP(-Y$58*Y$28)</f>
        <v>0.1156213355836623</v>
      </c>
      <c r="Z68" s="127">
        <f>Mitigation_Industry!Z$342*Mitigation_Industry!$J$331*EXP(-Z$58*Z$28)</f>
        <v>0.12070867434934346</v>
      </c>
      <c r="AA68" s="127">
        <f>Mitigation_Industry!AA$342*Mitigation_Industry!$J$331*EXP(-AA$58*AA$28)</f>
        <v>0.12601985602071455</v>
      </c>
      <c r="AB68" s="127">
        <f>Mitigation_Industry!AB$342*Mitigation_Industry!$J$331*EXP(-AB$58*AB$28)</f>
        <v>0.13156472968562599</v>
      </c>
      <c r="AC68" s="127">
        <f>Mitigation_Industry!AC$342*Mitigation_Industry!$J$331*EXP(-AC$58*AC$28)</f>
        <v>0.13735357779179352</v>
      </c>
      <c r="AD68" s="127">
        <f>Mitigation_Industry!AD$342*Mitigation_Industry!$J$331*EXP(-AD$58*AD$28)</f>
        <v>0.14339713521463243</v>
      </c>
      <c r="AE68" s="127">
        <f>Mitigation_Industry!AE$342*Mitigation_Industry!$J$331*EXP(-AE$58*AE$28)</f>
        <v>0.1497066091640763</v>
      </c>
      <c r="AF68" s="128"/>
      <c r="AG68" s="128"/>
      <c r="AH68" s="128"/>
      <c r="AI68" s="128"/>
    </row>
    <row r="69" spans="1:35" customFormat="1" ht="14.25" x14ac:dyDescent="0.45">
      <c r="B69" s="14" t="s">
        <v>1458</v>
      </c>
      <c r="C69" s="14" t="s">
        <v>43</v>
      </c>
      <c r="D69" s="15" t="s">
        <v>2514</v>
      </c>
      <c r="E69" s="16" t="s">
        <v>1967</v>
      </c>
      <c r="F69" s="14" t="s">
        <v>2510</v>
      </c>
      <c r="G69" s="119"/>
      <c r="H69" s="114" t="str">
        <f>Settings!$B$3&amp;".mit.wp.stl.bof.1"</f>
        <v>egy.mit.wp.stl.bof.1</v>
      </c>
      <c r="K69" s="126"/>
      <c r="L69" s="127">
        <f>Mitigation_Industry!L$343*Mitigation_Industry!$J$332*EXP(-L$59*L$29)</f>
        <v>0</v>
      </c>
      <c r="M69" s="127">
        <f>Mitigation_Industry!M$343*Mitigation_Industry!$J$332*EXP(-M$59*M$29)</f>
        <v>0</v>
      </c>
      <c r="N69" s="127">
        <f>Mitigation_Industry!N$343*Mitigation_Industry!$J$332*EXP(-N$59*N$29)</f>
        <v>0</v>
      </c>
      <c r="O69" s="127">
        <f>Mitigation_Industry!O$343*Mitigation_Industry!$J$332*EXP(-O$59*O$29)</f>
        <v>0</v>
      </c>
      <c r="P69" s="127">
        <f>Mitigation_Industry!P$343*Mitigation_Industry!$J$332*EXP(-P$59*P$29)</f>
        <v>0</v>
      </c>
      <c r="Q69" s="127">
        <f>Mitigation_Industry!Q$343*Mitigation_Industry!$J$332*EXP(-Q$59*Q$29)</f>
        <v>0</v>
      </c>
      <c r="R69" s="127">
        <f>Mitigation_Industry!R$343*Mitigation_Industry!$J$332*EXP(-R$59*R$29)</f>
        <v>0</v>
      </c>
      <c r="S69" s="127">
        <f>Mitigation_Industry!S$343*Mitigation_Industry!$J$332*EXP(-S$59*S$29)</f>
        <v>0</v>
      </c>
      <c r="T69" s="127">
        <f>Mitigation_Industry!T$343*Mitigation_Industry!$J$332*EXP(-T$59*T$29)</f>
        <v>0</v>
      </c>
      <c r="U69" s="127">
        <f>Mitigation_Industry!U$343*Mitigation_Industry!$J$332*EXP(-U$59*U$29)</f>
        <v>0</v>
      </c>
      <c r="V69" s="127">
        <f>Mitigation_Industry!V$343*Mitigation_Industry!$J$332*EXP(-V$59*V$29)</f>
        <v>0</v>
      </c>
      <c r="W69" s="127">
        <f>Mitigation_Industry!W$343*Mitigation_Industry!$J$332*EXP(-W$59*W$29)</f>
        <v>0</v>
      </c>
      <c r="X69" s="127">
        <f>Mitigation_Industry!X$343*Mitigation_Industry!$J$332*EXP(-X$59*X$29)</f>
        <v>0</v>
      </c>
      <c r="Y69" s="127">
        <f>Mitigation_Industry!Y$343*Mitigation_Industry!$J$332*EXP(-Y$59*Y$29)</f>
        <v>0</v>
      </c>
      <c r="Z69" s="127">
        <f>Mitigation_Industry!Z$343*Mitigation_Industry!$J$332*EXP(-Z$59*Z$29)</f>
        <v>0</v>
      </c>
      <c r="AA69" s="127">
        <f>Mitigation_Industry!AA$343*Mitigation_Industry!$J$332*EXP(-AA$59*AA$29)</f>
        <v>0</v>
      </c>
      <c r="AB69" s="127">
        <f>Mitigation_Industry!AB$343*Mitigation_Industry!$J$332*EXP(-AB$59*AB$29)</f>
        <v>0</v>
      </c>
      <c r="AC69" s="127">
        <f>Mitigation_Industry!AC$343*Mitigation_Industry!$J$332*EXP(-AC$59*AC$29)</f>
        <v>0</v>
      </c>
      <c r="AD69" s="127">
        <f>Mitigation_Industry!AD$343*Mitigation_Industry!$J$332*EXP(-AD$59*AD$29)</f>
        <v>0</v>
      </c>
      <c r="AE69" s="127">
        <f>Mitigation_Industry!AE$343*Mitigation_Industry!$J$332*EXP(-AE$59*AE$29)</f>
        <v>0</v>
      </c>
      <c r="AF69" s="128"/>
      <c r="AG69" s="128"/>
      <c r="AH69" s="128"/>
      <c r="AI69" s="128"/>
    </row>
    <row r="70" spans="1:35" customFormat="1" ht="14.25" x14ac:dyDescent="0.45">
      <c r="B70" s="14" t="s">
        <v>1461</v>
      </c>
      <c r="C70" s="14" t="s">
        <v>113</v>
      </c>
      <c r="D70" s="15" t="s">
        <v>2515</v>
      </c>
      <c r="E70" s="16" t="s">
        <v>1967</v>
      </c>
      <c r="F70" s="14" t="s">
        <v>2510</v>
      </c>
      <c r="G70" s="119"/>
      <c r="H70" s="114" t="str">
        <f>Settings!$B$3&amp;".mit.wp.cmt.dry.1"</f>
        <v>egy.mit.wp.cmt.dry.1</v>
      </c>
      <c r="K70" s="126"/>
      <c r="L70" s="127">
        <f>Mitigation_Industry!L$344*Mitigation_Industry!$J$333*EXP(-L$60*L$30)</f>
        <v>24.646491529759945</v>
      </c>
      <c r="M70" s="127">
        <f>Mitigation_Industry!M$344*Mitigation_Industry!$J$333*EXP(-M$60*M$30)</f>
        <v>25.459825750242022</v>
      </c>
      <c r="N70" s="127">
        <f>Mitigation_Industry!N$344*Mitigation_Industry!$J$333*EXP(-N$60*N$30)</f>
        <v>26.3</v>
      </c>
      <c r="O70" s="127">
        <f>Mitigation_Industry!O$344*Mitigation_Industry!$J$333*EXP(-O$60*O$30)</f>
        <v>27.167899999999999</v>
      </c>
      <c r="P70" s="127">
        <f>Mitigation_Industry!P$344*Mitigation_Industry!$J$333*EXP(-P$60*P$30)</f>
        <v>28.064440699999995</v>
      </c>
      <c r="Q70" s="127">
        <f>Mitigation_Industry!Q$344*Mitigation_Industry!$J$333*EXP(-Q$60*Q$30)</f>
        <v>28.990567243099992</v>
      </c>
      <c r="R70" s="127">
        <f>Mitigation_Industry!R$344*Mitigation_Industry!$J$333*EXP(-R$60*R$30)</f>
        <v>29.947255962122291</v>
      </c>
      <c r="S70" s="127">
        <f>Mitigation_Industry!S$344*Mitigation_Industry!$J$333*EXP(-S$60*S$30)</f>
        <v>30.935515408872323</v>
      </c>
      <c r="T70" s="127">
        <f>Mitigation_Industry!T$344*Mitigation_Industry!$J$333*EXP(-T$60*T$30)</f>
        <v>31.956387417365111</v>
      </c>
      <c r="U70" s="127">
        <f>Mitigation_Industry!U$344*Mitigation_Industry!$J$333*EXP(-U$60*U$30)</f>
        <v>33.010948202138152</v>
      </c>
      <c r="V70" s="127">
        <f>Mitigation_Industry!V$344*Mitigation_Industry!$J$333*EXP(-V$60*V$30)</f>
        <v>34.100309492808705</v>
      </c>
      <c r="W70" s="127">
        <f>Mitigation_Industry!W$344*Mitigation_Industry!$J$333*EXP(-W$60*W$30)</f>
        <v>35.225619706071399</v>
      </c>
      <c r="X70" s="127">
        <f>Mitigation_Industry!X$344*Mitigation_Industry!$J$333*EXP(-X$60*X$30)</f>
        <v>36.388065156371745</v>
      </c>
      <c r="Y70" s="127">
        <f>Mitigation_Industry!Y$344*Mitigation_Industry!$J$333*EXP(-Y$60*Y$30)</f>
        <v>37.588871306532013</v>
      </c>
      <c r="Z70" s="127">
        <f>Mitigation_Industry!Z$344*Mitigation_Industry!$J$333*EXP(-Z$60*Z$30)</f>
        <v>38.829304059647569</v>
      </c>
      <c r="AA70" s="127">
        <f>Mitigation_Industry!AA$344*Mitigation_Industry!$J$333*EXP(-AA$60*AA$30)</f>
        <v>40.110671093615935</v>
      </c>
      <c r="AB70" s="127">
        <f>Mitigation_Industry!AB$344*Mitigation_Industry!$J$333*EXP(-AB$60*AB$30)</f>
        <v>41.434323239705257</v>
      </c>
      <c r="AC70" s="127">
        <f>Mitigation_Industry!AC$344*Mitigation_Industry!$J$333*EXP(-AC$60*AC$30)</f>
        <v>42.801655906615522</v>
      </c>
      <c r="AD70" s="127">
        <f>Mitigation_Industry!AD$344*Mitigation_Industry!$J$333*EXP(-AD$60*AD$30)</f>
        <v>44.214110551533835</v>
      </c>
      <c r="AE70" s="127">
        <f>Mitigation_Industry!AE$344*Mitigation_Industry!$J$333*EXP(-AE$60*AE$30)</f>
        <v>45.673176199734449</v>
      </c>
      <c r="AF70" s="128"/>
      <c r="AG70" s="128"/>
      <c r="AH70" s="128"/>
      <c r="AI70" s="128"/>
    </row>
    <row r="71" spans="1:35" customFormat="1" ht="14.25" x14ac:dyDescent="0.45">
      <c r="B71" s="14" t="s">
        <v>1464</v>
      </c>
      <c r="C71" s="14" t="s">
        <v>117</v>
      </c>
      <c r="D71" s="15" t="s">
        <v>2516</v>
      </c>
      <c r="E71" s="16" t="s">
        <v>1967</v>
      </c>
      <c r="F71" s="14" t="s">
        <v>2510</v>
      </c>
      <c r="G71" s="119"/>
      <c r="H71" s="114" t="str">
        <f>Settings!$B$3&amp;".mit.wp.frt.amc.1"</f>
        <v>egy.mit.wp.frt.amc.1</v>
      </c>
      <c r="K71" s="126"/>
      <c r="L71" s="127">
        <f>Mitigation_Industry!L$345*Mitigation_Industry!$J$334*EXP(-L$61*L$31)</f>
        <v>0</v>
      </c>
      <c r="M71" s="127">
        <f>Mitigation_Industry!M$345*Mitigation_Industry!$J$334*EXP(-M$61*M$31)</f>
        <v>0</v>
      </c>
      <c r="N71" s="127">
        <f>Mitigation_Industry!N$345*Mitigation_Industry!$J$334*EXP(-N$61*N$31)</f>
        <v>0</v>
      </c>
      <c r="O71" s="127">
        <f>Mitigation_Industry!O$345*Mitigation_Industry!$J$334*EXP(-O$61*O$31)</f>
        <v>0</v>
      </c>
      <c r="P71" s="127">
        <f>Mitigation_Industry!P$345*Mitigation_Industry!$J$334*EXP(-P$61*P$31)</f>
        <v>0</v>
      </c>
      <c r="Q71" s="127">
        <f>Mitigation_Industry!Q$345*Mitigation_Industry!$J$334*EXP(-Q$61*Q$31)</f>
        <v>0</v>
      </c>
      <c r="R71" s="127">
        <f>Mitigation_Industry!R$345*Mitigation_Industry!$J$334*EXP(-R$61*R$31)</f>
        <v>0</v>
      </c>
      <c r="S71" s="127">
        <f>Mitigation_Industry!S$345*Mitigation_Industry!$J$334*EXP(-S$61*S$31)</f>
        <v>0</v>
      </c>
      <c r="T71" s="127">
        <f>Mitigation_Industry!T$345*Mitigation_Industry!$J$334*EXP(-T$61*T$31)</f>
        <v>0</v>
      </c>
      <c r="U71" s="127">
        <f>Mitigation_Industry!U$345*Mitigation_Industry!$J$334*EXP(-U$61*U$31)</f>
        <v>0</v>
      </c>
      <c r="V71" s="127">
        <f>Mitigation_Industry!V$345*Mitigation_Industry!$J$334*EXP(-V$61*V$31)</f>
        <v>0</v>
      </c>
      <c r="W71" s="127">
        <f>Mitigation_Industry!W$345*Mitigation_Industry!$J$334*EXP(-W$61*W$31)</f>
        <v>0</v>
      </c>
      <c r="X71" s="127">
        <f>Mitigation_Industry!X$345*Mitigation_Industry!$J$334*EXP(-X$61*X$31)</f>
        <v>0</v>
      </c>
      <c r="Y71" s="127">
        <f>Mitigation_Industry!Y$345*Mitigation_Industry!$J$334*EXP(-Y$61*Y$31)</f>
        <v>0</v>
      </c>
      <c r="Z71" s="127">
        <f>Mitigation_Industry!Z$345*Mitigation_Industry!$J$334*EXP(-Z$61*Z$31)</f>
        <v>0</v>
      </c>
      <c r="AA71" s="127">
        <f>Mitigation_Industry!AA$345*Mitigation_Industry!$J$334*EXP(-AA$61*AA$31)</f>
        <v>0</v>
      </c>
      <c r="AB71" s="127">
        <f>Mitigation_Industry!AB$345*Mitigation_Industry!$J$334*EXP(-AB$61*AB$31)</f>
        <v>0</v>
      </c>
      <c r="AC71" s="127">
        <f>Mitigation_Industry!AC$345*Mitigation_Industry!$J$334*EXP(-AC$61*AC$31)</f>
        <v>0</v>
      </c>
      <c r="AD71" s="127">
        <f>Mitigation_Industry!AD$345*Mitigation_Industry!$J$334*EXP(-AD$61*AD$31)</f>
        <v>0</v>
      </c>
      <c r="AE71" s="127">
        <f>Mitigation_Industry!AE$345*Mitigation_Industry!$J$334*EXP(-AE$61*AE$31)</f>
        <v>0</v>
      </c>
      <c r="AF71" s="128"/>
      <c r="AG71" s="128"/>
      <c r="AH71" s="128"/>
      <c r="AI71" s="128"/>
    </row>
    <row r="72" spans="1:35" customFormat="1" ht="14.25" x14ac:dyDescent="0.45">
      <c r="B72" s="14" t="s">
        <v>1467</v>
      </c>
      <c r="C72" s="14" t="s">
        <v>117</v>
      </c>
      <c r="D72" s="15" t="s">
        <v>2517</v>
      </c>
      <c r="E72" s="16" t="s">
        <v>1967</v>
      </c>
      <c r="F72" s="14" t="s">
        <v>2510</v>
      </c>
      <c r="G72" s="119"/>
      <c r="H72" s="114" t="str">
        <f>Settings!$B$3&amp;".mit.wp.frt.ure.1"</f>
        <v>egy.mit.wp.frt.ure.1</v>
      </c>
      <c r="K72" s="126"/>
      <c r="L72" s="127">
        <f>Mitigation_Industry!L$346*Mitigation_Industry!$J$335*EXP(-L$62*L$32)</f>
        <v>0</v>
      </c>
      <c r="M72" s="127">
        <f>Mitigation_Industry!M$346*Mitigation_Industry!$J$335*EXP(-M$62*M$32)</f>
        <v>0</v>
      </c>
      <c r="N72" s="127">
        <f>Mitigation_Industry!N$346*Mitigation_Industry!$J$335*EXP(-N$62*N$32)</f>
        <v>0</v>
      </c>
      <c r="O72" s="127">
        <f>Mitigation_Industry!O$346*Mitigation_Industry!$J$335*EXP(-O$62*O$32)</f>
        <v>0</v>
      </c>
      <c r="P72" s="127">
        <f>Mitigation_Industry!P$346*Mitigation_Industry!$J$335*EXP(-P$62*P$32)</f>
        <v>0</v>
      </c>
      <c r="Q72" s="127">
        <f>Mitigation_Industry!Q$346*Mitigation_Industry!$J$335*EXP(-Q$62*Q$32)</f>
        <v>0</v>
      </c>
      <c r="R72" s="127">
        <f>Mitigation_Industry!R$346*Mitigation_Industry!$J$335*EXP(-R$62*R$32)</f>
        <v>0</v>
      </c>
      <c r="S72" s="127">
        <f>Mitigation_Industry!S$346*Mitigation_Industry!$J$335*EXP(-S$62*S$32)</f>
        <v>0</v>
      </c>
      <c r="T72" s="127">
        <f>Mitigation_Industry!T$346*Mitigation_Industry!$J$335*EXP(-T$62*T$32)</f>
        <v>0</v>
      </c>
      <c r="U72" s="127">
        <f>Mitigation_Industry!U$346*Mitigation_Industry!$J$335*EXP(-U$62*U$32)</f>
        <v>0</v>
      </c>
      <c r="V72" s="127">
        <f>Mitigation_Industry!V$346*Mitigation_Industry!$J$335*EXP(-V$62*V$32)</f>
        <v>0</v>
      </c>
      <c r="W72" s="127">
        <f>Mitigation_Industry!W$346*Mitigation_Industry!$J$335*EXP(-W$62*W$32)</f>
        <v>0</v>
      </c>
      <c r="X72" s="127">
        <f>Mitigation_Industry!X$346*Mitigation_Industry!$J$335*EXP(-X$62*X$32)</f>
        <v>0</v>
      </c>
      <c r="Y72" s="127">
        <f>Mitigation_Industry!Y$346*Mitigation_Industry!$J$335*EXP(-Y$62*Y$32)</f>
        <v>0</v>
      </c>
      <c r="Z72" s="127">
        <f>Mitigation_Industry!Z$346*Mitigation_Industry!$J$335*EXP(-Z$62*Z$32)</f>
        <v>0</v>
      </c>
      <c r="AA72" s="127">
        <f>Mitigation_Industry!AA$346*Mitigation_Industry!$J$335*EXP(-AA$62*AA$32)</f>
        <v>0</v>
      </c>
      <c r="AB72" s="127">
        <f>Mitigation_Industry!AB$346*Mitigation_Industry!$J$335*EXP(-AB$62*AB$32)</f>
        <v>0</v>
      </c>
      <c r="AC72" s="127">
        <f>Mitigation_Industry!AC$346*Mitigation_Industry!$J$335*EXP(-AC$62*AC$32)</f>
        <v>0</v>
      </c>
      <c r="AD72" s="127">
        <f>Mitigation_Industry!AD$346*Mitigation_Industry!$J$335*EXP(-AD$62*AD$32)</f>
        <v>0</v>
      </c>
      <c r="AE72" s="127">
        <f>Mitigation_Industry!AE$346*Mitigation_Industry!$J$335*EXP(-AE$62*AE$32)</f>
        <v>0</v>
      </c>
      <c r="AF72" s="128"/>
      <c r="AG72" s="128"/>
      <c r="AH72" s="128"/>
      <c r="AI72" s="128"/>
    </row>
    <row r="73" spans="1:35" customFormat="1" ht="14.25" x14ac:dyDescent="0.45">
      <c r="B73" s="14" t="s">
        <v>1470</v>
      </c>
      <c r="C73" s="14" t="s">
        <v>117</v>
      </c>
      <c r="D73" s="15" t="s">
        <v>2518</v>
      </c>
      <c r="E73" s="16" t="s">
        <v>1967</v>
      </c>
      <c r="F73" s="14" t="s">
        <v>2510</v>
      </c>
      <c r="G73" s="119"/>
      <c r="H73" s="114" t="str">
        <f>Settings!$B$3&amp;".mit.wp.frt.nit.1"</f>
        <v>egy.mit.wp.frt.nit.1</v>
      </c>
      <c r="K73" s="126"/>
      <c r="L73" s="127">
        <f>Mitigation_Industry!L$347*Mitigation_Industry!$J$336*EXP(-L$63*L$33)</f>
        <v>0.55721293959505358</v>
      </c>
      <c r="M73" s="127">
        <f>Mitigation_Industry!M$347*Mitigation_Industry!$J$336*EXP(-M$63*M$33)</f>
        <v>0.56947162426614473</v>
      </c>
      <c r="N73" s="127">
        <f>Mitigation_Industry!N$347*Mitigation_Industry!$J$336*EXP(-N$63*N$33)</f>
        <v>0.58199999999999996</v>
      </c>
      <c r="O73" s="127">
        <f>Mitigation_Industry!O$347*Mitigation_Industry!$J$336*EXP(-O$63*O$33)</f>
        <v>0.594804</v>
      </c>
      <c r="P73" s="127">
        <f>Mitigation_Industry!P$347*Mitigation_Industry!$J$336*EXP(-P$63*P$33)</f>
        <v>0.60788968800000009</v>
      </c>
      <c r="Q73" s="127">
        <f>Mitigation_Industry!Q$347*Mitigation_Industry!$J$336*EXP(-Q$63*Q$33)</f>
        <v>0.62126326113599994</v>
      </c>
      <c r="R73" s="127">
        <f>Mitigation_Industry!R$347*Mitigation_Industry!$J$336*EXP(-R$63*R$33)</f>
        <v>0.63493105288099194</v>
      </c>
      <c r="S73" s="127">
        <f>Mitigation_Industry!S$347*Mitigation_Industry!$J$336*EXP(-S$63*S$33)</f>
        <v>0.64889953604437378</v>
      </c>
      <c r="T73" s="127">
        <f>Mitigation_Industry!T$347*Mitigation_Industry!$J$336*EXP(-T$63*T$33)</f>
        <v>0.66317532583735006</v>
      </c>
      <c r="U73" s="127">
        <f>Mitigation_Industry!U$347*Mitigation_Industry!$J$336*EXP(-U$63*U$33)</f>
        <v>0.67776518300577182</v>
      </c>
      <c r="V73" s="127">
        <f>Mitigation_Industry!V$347*Mitigation_Industry!$J$336*EXP(-V$63*V$33)</f>
        <v>0.69267601703189885</v>
      </c>
      <c r="W73" s="127">
        <f>Mitigation_Industry!W$347*Mitigation_Industry!$J$336*EXP(-W$63*W$33)</f>
        <v>0.70791488940660052</v>
      </c>
      <c r="X73" s="127">
        <f>Mitigation_Industry!X$347*Mitigation_Industry!$J$336*EXP(-X$63*X$33)</f>
        <v>0.72348901697354573</v>
      </c>
      <c r="Y73" s="127">
        <f>Mitigation_Industry!Y$347*Mitigation_Industry!$J$336*EXP(-Y$63*Y$33)</f>
        <v>0.73940577534696372</v>
      </c>
      <c r="Z73" s="127">
        <f>Mitigation_Industry!Z$347*Mitigation_Industry!$J$336*EXP(-Z$63*Z$33)</f>
        <v>0.75567270240459705</v>
      </c>
      <c r="AA73" s="127">
        <f>Mitigation_Industry!AA$347*Mitigation_Industry!$J$336*EXP(-AA$63*AA$33)</f>
        <v>0.77229750185749824</v>
      </c>
      <c r="AB73" s="127">
        <f>Mitigation_Industry!AB$347*Mitigation_Industry!$J$336*EXP(-AB$63*AB$33)</f>
        <v>0.78928804689836318</v>
      </c>
      <c r="AC73" s="127">
        <f>Mitigation_Industry!AC$347*Mitigation_Industry!$J$336*EXP(-AC$63*AC$33)</f>
        <v>0.80665238393012717</v>
      </c>
      <c r="AD73" s="127">
        <f>Mitigation_Industry!AD$347*Mitigation_Industry!$J$336*EXP(-AD$63*AD$33)</f>
        <v>0.82439873637659</v>
      </c>
      <c r="AE73" s="127">
        <f>Mitigation_Industry!AE$347*Mitigation_Industry!$J$336*EXP(-AE$63*AE$33)</f>
        <v>0.84253550857687498</v>
      </c>
      <c r="AF73" s="128"/>
      <c r="AG73" s="128"/>
      <c r="AH73" s="128"/>
      <c r="AI73" s="128"/>
    </row>
    <row r="74" spans="1:35" customFormat="1" ht="14.25" x14ac:dyDescent="0.45">
      <c r="B74" s="14" t="s">
        <v>1473</v>
      </c>
      <c r="C74" s="14" t="s">
        <v>115</v>
      </c>
      <c r="D74" s="15" t="s">
        <v>2519</v>
      </c>
      <c r="E74" s="16" t="s">
        <v>1967</v>
      </c>
      <c r="F74" s="14" t="s">
        <v>2510</v>
      </c>
      <c r="G74" s="119"/>
      <c r="H74" s="114" t="str">
        <f>Settings!$B$3&amp;".mit.wp.alu.prp.1"</f>
        <v>egy.mit.wp.alu.prp.1</v>
      </c>
      <c r="K74" s="126"/>
      <c r="L74" s="127">
        <f>Mitigation_Industry!L$348*Mitigation_Industry!$J$337*EXP(-L$64*L$34)</f>
        <v>0.63340895307832257</v>
      </c>
      <c r="M74" s="127">
        <f>Mitigation_Industry!M$348*Mitigation_Industry!$J$337*EXP(-M$64*M$34)</f>
        <v>0.66824644549763035</v>
      </c>
      <c r="N74" s="127">
        <f>Mitigation_Industry!N$348*Mitigation_Industry!$J$337*EXP(-N$64*N$34)</f>
        <v>0.70499999999999996</v>
      </c>
      <c r="O74" s="127">
        <f>Mitigation_Industry!O$348*Mitigation_Industry!$J$337*EXP(-O$64*O$34)</f>
        <v>0.74377499999999996</v>
      </c>
      <c r="P74" s="127">
        <f>Mitigation_Industry!P$348*Mitigation_Industry!$J$337*EXP(-P$64*P$34)</f>
        <v>0.78468262499999997</v>
      </c>
      <c r="Q74" s="127">
        <f>Mitigation_Industry!Q$348*Mitigation_Industry!$J$337*EXP(-Q$64*Q$34)</f>
        <v>0.82784016937499993</v>
      </c>
      <c r="R74" s="127">
        <f>Mitigation_Industry!R$348*Mitigation_Industry!$J$337*EXP(-R$64*R$34)</f>
        <v>0.87337137869062498</v>
      </c>
      <c r="S74" s="127">
        <f>Mitigation_Industry!S$348*Mitigation_Industry!$J$337*EXP(-S$64*S$34)</f>
        <v>0.92140680451860935</v>
      </c>
      <c r="T74" s="127">
        <f>Mitigation_Industry!T$348*Mitigation_Industry!$J$337*EXP(-T$64*T$34)</f>
        <v>0.97208417876713282</v>
      </c>
      <c r="U74" s="127">
        <f>Mitigation_Industry!U$348*Mitigation_Industry!$J$337*EXP(-U$64*U$34)</f>
        <v>1.025548808599325</v>
      </c>
      <c r="V74" s="127">
        <f>Mitigation_Industry!V$348*Mitigation_Industry!$J$337*EXP(-V$64*V$34)</f>
        <v>1.0819539930722879</v>
      </c>
      <c r="W74" s="127">
        <f>Mitigation_Industry!W$348*Mitigation_Industry!$J$337*EXP(-W$64*W$34)</f>
        <v>1.1414614626912638</v>
      </c>
      <c r="X74" s="127">
        <f>Mitigation_Industry!X$348*Mitigation_Industry!$J$337*EXP(-X$64*X$34)</f>
        <v>1.2042418431392832</v>
      </c>
      <c r="Y74" s="127">
        <f>Mitigation_Industry!Y$348*Mitigation_Industry!$J$337*EXP(-Y$64*Y$34)</f>
        <v>1.2704751445119435</v>
      </c>
      <c r="Z74" s="127">
        <f>Mitigation_Industry!Z$348*Mitigation_Industry!$J$337*EXP(-Z$64*Z$34)</f>
        <v>1.3403512774601003</v>
      </c>
      <c r="AA74" s="127">
        <f>Mitigation_Industry!AA$348*Mitigation_Industry!$J$337*EXP(-AA$64*AA$34)</f>
        <v>1.4140705977204062</v>
      </c>
      <c r="AB74" s="127">
        <f>Mitigation_Industry!AB$348*Mitigation_Industry!$J$337*EXP(-AB$64*AB$34)</f>
        <v>1.4918444805950282</v>
      </c>
      <c r="AC74" s="127">
        <f>Mitigation_Industry!AC$348*Mitigation_Industry!$J$337*EXP(-AC$64*AC$34)</f>
        <v>1.5738959270277546</v>
      </c>
      <c r="AD74" s="127">
        <f>Mitigation_Industry!AD$348*Mitigation_Industry!$J$337*EXP(-AD$64*AD$34)</f>
        <v>1.660460203014281</v>
      </c>
      <c r="AE74" s="127">
        <f>Mitigation_Industry!AE$348*Mitigation_Industry!$J$337*EXP(-AE$64*AE$34)</f>
        <v>1.7517855141800662</v>
      </c>
      <c r="AF74" s="128"/>
      <c r="AG74" s="128"/>
      <c r="AH74" s="128"/>
      <c r="AI74" s="128"/>
    </row>
    <row r="75" spans="1:35" x14ac:dyDescent="0.35"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</row>
    <row r="76" spans="1:35" customFormat="1" ht="14.25" x14ac:dyDescent="0.45">
      <c r="A76" s="11"/>
      <c r="B76" s="6"/>
      <c r="C76" s="7" t="s">
        <v>2520</v>
      </c>
      <c r="D76" s="6" t="s">
        <v>1505</v>
      </c>
      <c r="E76" s="7" t="s">
        <v>35</v>
      </c>
      <c r="F76" s="7" t="s">
        <v>45</v>
      </c>
      <c r="G76" s="7" t="s">
        <v>37</v>
      </c>
      <c r="H76" s="12" t="s">
        <v>38</v>
      </c>
      <c r="I76" s="6" t="s">
        <v>39</v>
      </c>
      <c r="J76" s="48">
        <v>1</v>
      </c>
      <c r="K76" s="124">
        <v>2021</v>
      </c>
      <c r="L76" s="125">
        <v>2022</v>
      </c>
      <c r="M76" s="124">
        <v>2023</v>
      </c>
      <c r="N76" s="124">
        <v>2024</v>
      </c>
      <c r="O76" s="124">
        <v>2025</v>
      </c>
      <c r="P76" s="124">
        <v>2026</v>
      </c>
      <c r="Q76" s="124">
        <v>2027</v>
      </c>
      <c r="R76" s="124">
        <v>2028</v>
      </c>
      <c r="S76" s="124">
        <v>2029</v>
      </c>
      <c r="T76" s="124">
        <v>2030</v>
      </c>
      <c r="U76" s="124">
        <v>2031</v>
      </c>
      <c r="V76" s="124">
        <v>2032</v>
      </c>
      <c r="W76" s="124">
        <v>2033</v>
      </c>
      <c r="X76" s="124">
        <v>2034</v>
      </c>
      <c r="Y76" s="124">
        <v>2035</v>
      </c>
      <c r="Z76" s="124">
        <v>2036</v>
      </c>
      <c r="AA76" s="124">
        <v>2037</v>
      </c>
      <c r="AB76" s="124">
        <v>2038</v>
      </c>
      <c r="AC76" s="124">
        <v>2039</v>
      </c>
      <c r="AD76" s="124">
        <v>2040</v>
      </c>
      <c r="AE76" s="124">
        <v>2041</v>
      </c>
      <c r="AF76" s="124">
        <v>2042</v>
      </c>
      <c r="AG76" s="124">
        <v>2043</v>
      </c>
      <c r="AH76" s="124">
        <v>2044</v>
      </c>
      <c r="AI76" s="124">
        <v>2045</v>
      </c>
    </row>
    <row r="77" spans="1:35" customFormat="1" ht="14.25" x14ac:dyDescent="0.45">
      <c r="B77" s="14" t="s">
        <v>2521</v>
      </c>
      <c r="C77" s="14" t="s">
        <v>2522</v>
      </c>
      <c r="D77" s="15" t="s">
        <v>2523</v>
      </c>
      <c r="E77" s="16" t="s">
        <v>1871</v>
      </c>
      <c r="F77" s="14" t="s">
        <v>2521</v>
      </c>
      <c r="G77" s="119"/>
      <c r="H77" s="114" t="str">
        <f>Settings!$B$3&amp;".mit.revf0.cbam.tot.1"</f>
        <v>egy.mit.revf0.cbam.tot.1</v>
      </c>
      <c r="I77" t="s">
        <v>2524</v>
      </c>
      <c r="K77" s="126"/>
      <c r="L77" s="130">
        <f>SUMPRODUCT(L$37:L$44*Mitigation_Industry!$I$330:$I$337*L$17:L$24)</f>
        <v>0</v>
      </c>
      <c r="M77" s="130">
        <f>SUMPRODUCT(M$37:M$44*Mitigation_Industry!$I$330:$I$337*M$17:M$24)</f>
        <v>0</v>
      </c>
      <c r="N77" s="130">
        <f>SUMPRODUCT(N$37:N$44*Mitigation_Industry!$I$330:$I$337*N$17:N$24)</f>
        <v>0</v>
      </c>
      <c r="O77" s="130">
        <f>SUMPRODUCT(O$37:O$44*Mitigation_Industry!$I$330:$I$337*O$17:O$24)</f>
        <v>0</v>
      </c>
      <c r="P77" s="130">
        <f>SUMPRODUCT(P$37:P$44*Mitigation_Industry!$I$330:$I$337*P$17:P$24)</f>
        <v>0</v>
      </c>
      <c r="Q77" s="130">
        <f>SUMPRODUCT(Q$37:Q$44*Mitigation_Industry!$I$330:$I$337*Q$17:Q$24)</f>
        <v>0</v>
      </c>
      <c r="R77" s="130">
        <f>SUMPRODUCT(R$37:R$44*Mitigation_Industry!$I$330:$I$337*R$17:R$24)</f>
        <v>0</v>
      </c>
      <c r="S77" s="130">
        <f>SUMPRODUCT(S$37:S$44*Mitigation_Industry!$I$330:$I$337*S$17:S$24)</f>
        <v>0</v>
      </c>
      <c r="T77" s="130">
        <f>SUMPRODUCT(T$37:T$44*Mitigation_Industry!$I$330:$I$337*T$17:T$24)</f>
        <v>0</v>
      </c>
      <c r="U77" s="130">
        <f>SUMPRODUCT(U$37:U$44*Mitigation_Industry!$I$330:$I$337*U$17:U$24)</f>
        <v>0</v>
      </c>
      <c r="V77" s="130">
        <f>SUMPRODUCT(V$37:V$44*Mitigation_Industry!$I$330:$I$337*V$17:V$24)</f>
        <v>0</v>
      </c>
      <c r="W77" s="130">
        <f>SUMPRODUCT(W$37:W$44*Mitigation_Industry!$I$330:$I$337*W$17:W$24)</f>
        <v>0</v>
      </c>
      <c r="X77" s="130">
        <f>SUMPRODUCT(X$37:X$44*Mitigation_Industry!$I$330:$I$337*X$17:X$24)</f>
        <v>0</v>
      </c>
      <c r="Y77" s="130">
        <f>SUMPRODUCT(Y$37:Y$44*Mitigation_Industry!$I$330:$I$337*Y$17:Y$24)</f>
        <v>0</v>
      </c>
      <c r="Z77" s="130">
        <f>SUMPRODUCT(Z$37:Z$44*Mitigation_Industry!$I$330:$I$337*Z$17:Z$24)</f>
        <v>0</v>
      </c>
      <c r="AA77" s="130">
        <f>SUMPRODUCT(AA$37:AA$44*Mitigation_Industry!$I$330:$I$337*AA$17:AA$24)</f>
        <v>0</v>
      </c>
      <c r="AB77" s="130">
        <f>SUMPRODUCT(AB$37:AB$44*Mitigation_Industry!$I$330:$I$337*AB$17:AB$24)</f>
        <v>0</v>
      </c>
      <c r="AC77" s="130">
        <f>SUMPRODUCT(AC$37:AC$44*Mitigation_Industry!$I$330:$I$337*AC$17:AC$24)</f>
        <v>0</v>
      </c>
      <c r="AD77" s="130">
        <f>SUMPRODUCT(AD$37:AD$44*Mitigation_Industry!$I$330:$I$337*AD$17:AD$24)</f>
        <v>0</v>
      </c>
      <c r="AE77" s="130">
        <f>SUMPRODUCT(AE$37:AE$44*Mitigation_Industry!$I$330:$I$337*AE$17:AE$24)</f>
        <v>0</v>
      </c>
      <c r="AF77" s="128"/>
      <c r="AG77" s="128"/>
      <c r="AH77" s="128"/>
      <c r="AI77" s="128"/>
    </row>
    <row r="78" spans="1:35" customFormat="1" ht="14.25" x14ac:dyDescent="0.45">
      <c r="B78" s="14" t="s">
        <v>2525</v>
      </c>
      <c r="C78" s="14" t="s">
        <v>2522</v>
      </c>
      <c r="D78" s="15" t="s">
        <v>2526</v>
      </c>
      <c r="E78" s="16" t="s">
        <v>1871</v>
      </c>
      <c r="F78" s="14" t="s">
        <v>2525</v>
      </c>
      <c r="G78" s="119"/>
      <c r="H78" s="114" t="str">
        <f>Settings!$B$3&amp;".mit.revp0.cbam.tot.1"</f>
        <v>egy.mit.revp0.cbam.tot.1</v>
      </c>
      <c r="I78" t="s">
        <v>2527</v>
      </c>
      <c r="K78" s="126"/>
      <c r="L78" s="130">
        <f t="shared" ref="L78:AE78" si="0">SUMPRODUCT(L$67:L$74*L$27:L$34)</f>
        <v>0</v>
      </c>
      <c r="M78" s="130">
        <f t="shared" si="0"/>
        <v>0</v>
      </c>
      <c r="N78" s="130">
        <f t="shared" si="0"/>
        <v>0</v>
      </c>
      <c r="O78" s="130">
        <f t="shared" si="0"/>
        <v>0</v>
      </c>
      <c r="P78" s="130">
        <f t="shared" si="0"/>
        <v>0</v>
      </c>
      <c r="Q78" s="130">
        <f t="shared" si="0"/>
        <v>0</v>
      </c>
      <c r="R78" s="130">
        <f t="shared" si="0"/>
        <v>0</v>
      </c>
      <c r="S78" s="130">
        <f t="shared" si="0"/>
        <v>0</v>
      </c>
      <c r="T78" s="130">
        <f t="shared" si="0"/>
        <v>0</v>
      </c>
      <c r="U78" s="130">
        <f t="shared" si="0"/>
        <v>0</v>
      </c>
      <c r="V78" s="130">
        <f t="shared" si="0"/>
        <v>0</v>
      </c>
      <c r="W78" s="130">
        <f t="shared" si="0"/>
        <v>0</v>
      </c>
      <c r="X78" s="130">
        <f t="shared" si="0"/>
        <v>0</v>
      </c>
      <c r="Y78" s="130">
        <f t="shared" si="0"/>
        <v>0</v>
      </c>
      <c r="Z78" s="130">
        <f t="shared" si="0"/>
        <v>0</v>
      </c>
      <c r="AA78" s="130">
        <f t="shared" si="0"/>
        <v>0</v>
      </c>
      <c r="AB78" s="130">
        <f t="shared" si="0"/>
        <v>0</v>
      </c>
      <c r="AC78" s="130">
        <f t="shared" si="0"/>
        <v>0</v>
      </c>
      <c r="AD78" s="130">
        <f t="shared" si="0"/>
        <v>0</v>
      </c>
      <c r="AE78" s="130">
        <f t="shared" si="0"/>
        <v>0</v>
      </c>
      <c r="AF78" s="128"/>
      <c r="AG78" s="128"/>
      <c r="AH78" s="128"/>
      <c r="AI78" s="128"/>
    </row>
    <row r="79" spans="1:35" customFormat="1" ht="14.25" x14ac:dyDescent="0.45">
      <c r="B79" s="14" t="s">
        <v>2528</v>
      </c>
      <c r="C79" s="14" t="s">
        <v>2522</v>
      </c>
      <c r="D79" s="15" t="s">
        <v>2529</v>
      </c>
      <c r="E79" s="16" t="s">
        <v>1871</v>
      </c>
      <c r="F79" s="14" t="s">
        <v>2528</v>
      </c>
      <c r="G79" s="119"/>
      <c r="H79" s="114" t="str">
        <f>Settings!$B$3&amp;".mit.rev0.cbam.tot.1"</f>
        <v>egy.mit.rev0.cbam.tot.1</v>
      </c>
      <c r="I79" t="s">
        <v>2530</v>
      </c>
      <c r="K79" s="126"/>
      <c r="L79" s="130">
        <f t="shared" ref="L79:AE79" si="1">L77+L78</f>
        <v>0</v>
      </c>
      <c r="M79" s="130">
        <f t="shared" si="1"/>
        <v>0</v>
      </c>
      <c r="N79" s="130">
        <f t="shared" si="1"/>
        <v>0</v>
      </c>
      <c r="O79" s="130">
        <f t="shared" si="1"/>
        <v>0</v>
      </c>
      <c r="P79" s="130">
        <f t="shared" si="1"/>
        <v>0</v>
      </c>
      <c r="Q79" s="130">
        <f t="shared" si="1"/>
        <v>0</v>
      </c>
      <c r="R79" s="130">
        <f t="shared" si="1"/>
        <v>0</v>
      </c>
      <c r="S79" s="130">
        <f t="shared" si="1"/>
        <v>0</v>
      </c>
      <c r="T79" s="130">
        <f t="shared" si="1"/>
        <v>0</v>
      </c>
      <c r="U79" s="130">
        <f t="shared" si="1"/>
        <v>0</v>
      </c>
      <c r="V79" s="130">
        <f t="shared" si="1"/>
        <v>0</v>
      </c>
      <c r="W79" s="130">
        <f t="shared" si="1"/>
        <v>0</v>
      </c>
      <c r="X79" s="130">
        <f t="shared" si="1"/>
        <v>0</v>
      </c>
      <c r="Y79" s="130">
        <f t="shared" si="1"/>
        <v>0</v>
      </c>
      <c r="Z79" s="130">
        <f t="shared" si="1"/>
        <v>0</v>
      </c>
      <c r="AA79" s="130">
        <f t="shared" si="1"/>
        <v>0</v>
      </c>
      <c r="AB79" s="130">
        <f t="shared" si="1"/>
        <v>0</v>
      </c>
      <c r="AC79" s="130">
        <f t="shared" si="1"/>
        <v>0</v>
      </c>
      <c r="AD79" s="130">
        <f t="shared" si="1"/>
        <v>0</v>
      </c>
      <c r="AE79" s="130">
        <f t="shared" si="1"/>
        <v>0</v>
      </c>
      <c r="AF79" s="128"/>
      <c r="AG79" s="128"/>
      <c r="AH79" s="128"/>
      <c r="AI79" s="128"/>
    </row>
    <row r="80" spans="1:35" customFormat="1" ht="14.25" x14ac:dyDescent="0.45">
      <c r="B80" s="14" t="s">
        <v>2520</v>
      </c>
      <c r="C80" s="14" t="s">
        <v>2522</v>
      </c>
      <c r="D80" s="15" t="s">
        <v>2531</v>
      </c>
      <c r="E80" s="16" t="s">
        <v>1871</v>
      </c>
      <c r="F80" s="14" t="s">
        <v>2520</v>
      </c>
      <c r="G80" s="119"/>
      <c r="H80" s="114" t="str">
        <f>Settings!$B$3&amp;".mit.fund.cbam.tot.1"</f>
        <v>egy.mit.fund.cbam.tot.1</v>
      </c>
      <c r="I80" t="s">
        <v>2532</v>
      </c>
      <c r="K80" s="126"/>
      <c r="L80" s="130">
        <f t="shared" ref="L80:AE80" si="2">L$11*L79</f>
        <v>0</v>
      </c>
      <c r="M80" s="130">
        <f t="shared" si="2"/>
        <v>0</v>
      </c>
      <c r="N80" s="130">
        <f t="shared" si="2"/>
        <v>0</v>
      </c>
      <c r="O80" s="130">
        <f t="shared" si="2"/>
        <v>0</v>
      </c>
      <c r="P80" s="130">
        <f t="shared" si="2"/>
        <v>0</v>
      </c>
      <c r="Q80" s="130">
        <f t="shared" si="2"/>
        <v>0</v>
      </c>
      <c r="R80" s="130">
        <f t="shared" si="2"/>
        <v>0</v>
      </c>
      <c r="S80" s="130">
        <f t="shared" si="2"/>
        <v>0</v>
      </c>
      <c r="T80" s="130">
        <f t="shared" si="2"/>
        <v>0</v>
      </c>
      <c r="U80" s="130">
        <f t="shared" si="2"/>
        <v>0</v>
      </c>
      <c r="V80" s="130">
        <f t="shared" si="2"/>
        <v>0</v>
      </c>
      <c r="W80" s="130">
        <f t="shared" si="2"/>
        <v>0</v>
      </c>
      <c r="X80" s="130">
        <f t="shared" si="2"/>
        <v>0</v>
      </c>
      <c r="Y80" s="130">
        <f t="shared" si="2"/>
        <v>0</v>
      </c>
      <c r="Z80" s="130">
        <f t="shared" si="2"/>
        <v>0</v>
      </c>
      <c r="AA80" s="130">
        <f t="shared" si="2"/>
        <v>0</v>
      </c>
      <c r="AB80" s="130">
        <f t="shared" si="2"/>
        <v>0</v>
      </c>
      <c r="AC80" s="130">
        <f t="shared" si="2"/>
        <v>0</v>
      </c>
      <c r="AD80" s="130">
        <f t="shared" si="2"/>
        <v>0</v>
      </c>
      <c r="AE80" s="130">
        <f t="shared" si="2"/>
        <v>0</v>
      </c>
      <c r="AF80" s="128"/>
      <c r="AG80" s="128"/>
      <c r="AH80" s="128"/>
      <c r="AI80" s="128"/>
    </row>
    <row r="81" spans="1:35" customFormat="1" ht="14.25" x14ac:dyDescent="0.45">
      <c r="B81" s="14" t="s">
        <v>2533</v>
      </c>
      <c r="C81" s="14" t="s">
        <v>2522</v>
      </c>
      <c r="D81" s="15" t="s">
        <v>2534</v>
      </c>
      <c r="E81" s="16" t="s">
        <v>1967</v>
      </c>
      <c r="F81" s="14" t="s">
        <v>2533</v>
      </c>
      <c r="G81" s="119"/>
      <c r="H81" s="114" t="str">
        <f>Settings!$B$3&amp;".mit.emrp0.cbam.tot.1"</f>
        <v>egy.mit.emrp0.cbam.tot.1</v>
      </c>
      <c r="I81" t="s">
        <v>2535</v>
      </c>
      <c r="K81" s="126"/>
      <c r="L81" s="127">
        <f>SUM(L$67:L$74)-SUMPRODUCT(Mitigation_Industry!L$341:L$348*Mitigation_Industry!$J$330:$J$337)</f>
        <v>0</v>
      </c>
      <c r="M81" s="127">
        <f>SUM(M$67:M$74)-SUMPRODUCT(Mitigation_Industry!M$341:M$348*Mitigation_Industry!$J$330:$J$337)</f>
        <v>0</v>
      </c>
      <c r="N81" s="127">
        <f>SUM(N$67:N$74)-SUMPRODUCT(Mitigation_Industry!N$341:N$348*Mitigation_Industry!$J$330:$J$337)</f>
        <v>0</v>
      </c>
      <c r="O81" s="127">
        <f>SUM(O$67:O$74)-SUMPRODUCT(Mitigation_Industry!O$341:O$348*Mitigation_Industry!$J$330:$J$337)</f>
        <v>0</v>
      </c>
      <c r="P81" s="127">
        <f>SUM(P$67:P$74)-SUMPRODUCT(Mitigation_Industry!P$341:P$348*Mitigation_Industry!$J$330:$J$337)</f>
        <v>0</v>
      </c>
      <c r="Q81" s="127">
        <f>SUM(Q$67:Q$74)-SUMPRODUCT(Mitigation_Industry!Q$341:Q$348*Mitigation_Industry!$J$330:$J$337)</f>
        <v>0</v>
      </c>
      <c r="R81" s="127">
        <f>SUM(R$67:R$74)-SUMPRODUCT(Mitigation_Industry!R$341:R$348*Mitigation_Industry!$J$330:$J$337)</f>
        <v>0</v>
      </c>
      <c r="S81" s="127">
        <f>SUM(S$67:S$74)-SUMPRODUCT(Mitigation_Industry!S$341:S$348*Mitigation_Industry!$J$330:$J$337)</f>
        <v>0</v>
      </c>
      <c r="T81" s="127">
        <f>SUM(T$67:T$74)-SUMPRODUCT(Mitigation_Industry!T$341:T$348*Mitigation_Industry!$J$330:$J$337)</f>
        <v>0</v>
      </c>
      <c r="U81" s="127">
        <f>SUM(U$67:U$74)-SUMPRODUCT(Mitigation_Industry!U$341:U$348*Mitigation_Industry!$J$330:$J$337)</f>
        <v>0</v>
      </c>
      <c r="V81" s="127">
        <f>SUM(V$67:V$74)-SUMPRODUCT(Mitigation_Industry!V$341:V$348*Mitigation_Industry!$J$330:$J$337)</f>
        <v>0</v>
      </c>
      <c r="W81" s="127">
        <f>SUM(W$67:W$74)-SUMPRODUCT(Mitigation_Industry!W$341:W$348*Mitigation_Industry!$J$330:$J$337)</f>
        <v>0</v>
      </c>
      <c r="X81" s="127">
        <f>SUM(X$67:X$74)-SUMPRODUCT(Mitigation_Industry!X$341:X$348*Mitigation_Industry!$J$330:$J$337)</f>
        <v>0</v>
      </c>
      <c r="Y81" s="127">
        <f>SUM(Y$67:Y$74)-SUMPRODUCT(Mitigation_Industry!Y$341:Y$348*Mitigation_Industry!$J$330:$J$337)</f>
        <v>0</v>
      </c>
      <c r="Z81" s="127">
        <f>SUM(Z$67:Z$74)-SUMPRODUCT(Mitigation_Industry!Z$341:Z$348*Mitigation_Industry!$J$330:$J$337)</f>
        <v>0</v>
      </c>
      <c r="AA81" s="127">
        <f>SUM(AA$67:AA$74)-SUMPRODUCT(Mitigation_Industry!AA$341:AA$348*Mitigation_Industry!$J$330:$J$337)</f>
        <v>0</v>
      </c>
      <c r="AB81" s="127">
        <f>SUM(AB$67:AB$74)-SUMPRODUCT(Mitigation_Industry!AB$341:AB$348*Mitigation_Industry!$J$330:$J$337)</f>
        <v>0</v>
      </c>
      <c r="AC81" s="127">
        <f>SUM(AC$67:AC$74)-SUMPRODUCT(Mitigation_Industry!AC$341:AC$348*Mitigation_Industry!$J$330:$J$337)</f>
        <v>0</v>
      </c>
      <c r="AD81" s="127">
        <f>SUM(AD$67:AD$74)-SUMPRODUCT(Mitigation_Industry!AD$341:AD$348*Mitigation_Industry!$J$330:$J$337)</f>
        <v>0</v>
      </c>
      <c r="AE81" s="127">
        <f>SUM(AE$67:AE$74)-SUMPRODUCT(Mitigation_Industry!AE$341:AE$348*Mitigation_Industry!$J$330:$J$337)</f>
        <v>0</v>
      </c>
      <c r="AF81" s="128"/>
      <c r="AG81" s="128"/>
      <c r="AH81" s="128"/>
      <c r="AI81" s="128"/>
    </row>
    <row r="82" spans="1:35" customFormat="1" ht="14.25" x14ac:dyDescent="0.45">
      <c r="B82" s="14" t="s">
        <v>2536</v>
      </c>
      <c r="C82" s="14" t="s">
        <v>2522</v>
      </c>
      <c r="D82" s="15" t="s">
        <v>2537</v>
      </c>
      <c r="E82" s="16" t="s">
        <v>2538</v>
      </c>
      <c r="F82" s="14" t="s">
        <v>2536</v>
      </c>
      <c r="G82" s="119"/>
      <c r="H82" s="119"/>
      <c r="I82" t="s">
        <v>2539</v>
      </c>
      <c r="K82" s="126"/>
      <c r="L82" s="129">
        <f t="shared" ref="L82:AE82" si="3">SUMPRODUCT(L$37:L$44*L$47:L$54)+SUMPRODUCT(L$67:L$74*L$57:L$64)</f>
        <v>4.891984465086037E-2</v>
      </c>
      <c r="M82" s="129">
        <f t="shared" si="3"/>
        <v>5.0446843608728101E-2</v>
      </c>
      <c r="N82" s="129">
        <f t="shared" si="3"/>
        <v>5.202362498683423E-2</v>
      </c>
      <c r="O82" s="129">
        <f t="shared" si="3"/>
        <v>5.3651880499345703E-2</v>
      </c>
      <c r="P82" s="129">
        <f t="shared" si="3"/>
        <v>5.533336175046983E-2</v>
      </c>
      <c r="Q82" s="129">
        <f t="shared" si="3"/>
        <v>5.7069882445290876E-2</v>
      </c>
      <c r="R82" s="129">
        <f t="shared" si="3"/>
        <v>5.8863320685853898E-2</v>
      </c>
      <c r="S82" s="129">
        <f t="shared" si="3"/>
        <v>6.0715621355934141E-2</v>
      </c>
      <c r="T82" s="129">
        <f t="shared" si="3"/>
        <v>6.2628798598075769E-2</v>
      </c>
      <c r="U82" s="129">
        <f t="shared" si="3"/>
        <v>6.4604938386634836E-2</v>
      </c>
      <c r="V82" s="129">
        <f t="shared" si="3"/>
        <v>6.6646201200719749E-2</v>
      </c>
      <c r="W82" s="129">
        <f t="shared" si="3"/>
        <v>6.875482480108798E-2</v>
      </c>
      <c r="X82" s="129">
        <f t="shared" si="3"/>
        <v>7.0933127115229477E-2</v>
      </c>
      <c r="Y82" s="129">
        <f t="shared" si="3"/>
        <v>7.3183509235048433E-2</v>
      </c>
      <c r="Z82" s="129">
        <f t="shared" si="3"/>
        <v>7.550845853174229E-2</v>
      </c>
      <c r="AA82" s="129">
        <f t="shared" si="3"/>
        <v>7.7910551892674054E-2</v>
      </c>
      <c r="AB82" s="129">
        <f t="shared" si="3"/>
        <v>8.0392459085239065E-2</v>
      </c>
      <c r="AC82" s="129">
        <f t="shared" si="3"/>
        <v>8.2956946252941755E-2</v>
      </c>
      <c r="AD82" s="129">
        <f t="shared" si="3"/>
        <v>8.56068795491223E-2</v>
      </c>
      <c r="AE82" s="129">
        <f t="shared" si="3"/>
        <v>8.8345228914006868E-2</v>
      </c>
      <c r="AF82" s="128"/>
      <c r="AG82" s="128"/>
      <c r="AH82" s="128"/>
      <c r="AI82" s="128"/>
    </row>
    <row r="83" spans="1:35" customFormat="1" ht="14.25" x14ac:dyDescent="0.45">
      <c r="B83" s="14" t="s">
        <v>2540</v>
      </c>
      <c r="C83" s="14" t="s">
        <v>2522</v>
      </c>
      <c r="D83" s="15" t="s">
        <v>2541</v>
      </c>
      <c r="E83" s="16" t="s">
        <v>1415</v>
      </c>
      <c r="F83" s="14" t="s">
        <v>2540</v>
      </c>
      <c r="G83" s="119"/>
      <c r="H83" s="119"/>
      <c r="K83" s="126"/>
      <c r="L83" s="127">
        <f t="shared" ref="L83:AE83" si="4">IF(OR(L$80&lt;=0,L$82&lt;=0),0,MIN($F$5,SQRT(L$80/L$82*IF($F$4="COST",2,1))))</f>
        <v>0</v>
      </c>
      <c r="M83" s="127">
        <f t="shared" si="4"/>
        <v>0</v>
      </c>
      <c r="N83" s="127">
        <f t="shared" si="4"/>
        <v>0</v>
      </c>
      <c r="O83" s="127">
        <f t="shared" si="4"/>
        <v>0</v>
      </c>
      <c r="P83" s="127">
        <f t="shared" si="4"/>
        <v>0</v>
      </c>
      <c r="Q83" s="127">
        <f t="shared" si="4"/>
        <v>0</v>
      </c>
      <c r="R83" s="127">
        <f t="shared" si="4"/>
        <v>0</v>
      </c>
      <c r="S83" s="127">
        <f t="shared" si="4"/>
        <v>0</v>
      </c>
      <c r="T83" s="127">
        <f t="shared" si="4"/>
        <v>0</v>
      </c>
      <c r="U83" s="127">
        <f t="shared" si="4"/>
        <v>0</v>
      </c>
      <c r="V83" s="127">
        <f t="shared" si="4"/>
        <v>0</v>
      </c>
      <c r="W83" s="127">
        <f t="shared" si="4"/>
        <v>0</v>
      </c>
      <c r="X83" s="127">
        <f t="shared" si="4"/>
        <v>0</v>
      </c>
      <c r="Y83" s="127">
        <f t="shared" si="4"/>
        <v>0</v>
      </c>
      <c r="Z83" s="127">
        <f t="shared" si="4"/>
        <v>0</v>
      </c>
      <c r="AA83" s="127">
        <f t="shared" si="4"/>
        <v>0</v>
      </c>
      <c r="AB83" s="127">
        <f t="shared" si="4"/>
        <v>0</v>
      </c>
      <c r="AC83" s="127">
        <f t="shared" si="4"/>
        <v>0</v>
      </c>
      <c r="AD83" s="127">
        <f t="shared" si="4"/>
        <v>0</v>
      </c>
      <c r="AE83" s="127">
        <f t="shared" si="4"/>
        <v>0</v>
      </c>
      <c r="AF83" s="128"/>
      <c r="AG83" s="128"/>
      <c r="AH83" s="128"/>
      <c r="AI83" s="128"/>
    </row>
    <row r="84" spans="1:35" x14ac:dyDescent="0.35"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</row>
    <row r="85" spans="1:35" customFormat="1" ht="14.25" x14ac:dyDescent="0.45">
      <c r="A85" s="11"/>
      <c r="B85" s="6"/>
      <c r="C85" s="7" t="s">
        <v>2542</v>
      </c>
      <c r="D85" s="6" t="s">
        <v>1505</v>
      </c>
      <c r="E85" s="7" t="s">
        <v>35</v>
      </c>
      <c r="F85" s="7" t="s">
        <v>45</v>
      </c>
      <c r="G85" s="7" t="s">
        <v>37</v>
      </c>
      <c r="H85" s="12" t="s">
        <v>38</v>
      </c>
      <c r="I85" s="6" t="s">
        <v>2543</v>
      </c>
      <c r="J85" s="48">
        <v>1</v>
      </c>
      <c r="K85" s="124">
        <v>2021</v>
      </c>
      <c r="L85" s="125">
        <v>2022</v>
      </c>
      <c r="M85" s="124">
        <v>2023</v>
      </c>
      <c r="N85" s="124">
        <v>2024</v>
      </c>
      <c r="O85" s="124">
        <v>2025</v>
      </c>
      <c r="P85" s="124">
        <v>2026</v>
      </c>
      <c r="Q85" s="124">
        <v>2027</v>
      </c>
      <c r="R85" s="124">
        <v>2028</v>
      </c>
      <c r="S85" s="124">
        <v>2029</v>
      </c>
      <c r="T85" s="124">
        <v>2030</v>
      </c>
      <c r="U85" s="124">
        <v>2031</v>
      </c>
      <c r="V85" s="124">
        <v>2032</v>
      </c>
      <c r="W85" s="124">
        <v>2033</v>
      </c>
      <c r="X85" s="124">
        <v>2034</v>
      </c>
      <c r="Y85" s="124">
        <v>2035</v>
      </c>
      <c r="Z85" s="124">
        <v>2036</v>
      </c>
      <c r="AA85" s="124">
        <v>2037</v>
      </c>
      <c r="AB85" s="124">
        <v>2038</v>
      </c>
      <c r="AC85" s="124">
        <v>2039</v>
      </c>
      <c r="AD85" s="124">
        <v>2040</v>
      </c>
      <c r="AE85" s="124">
        <v>2041</v>
      </c>
      <c r="AF85" s="124">
        <v>2042</v>
      </c>
      <c r="AG85" s="124">
        <v>2043</v>
      </c>
      <c r="AH85" s="124">
        <v>2044</v>
      </c>
      <c r="AI85" s="124">
        <v>2045</v>
      </c>
    </row>
    <row r="86" spans="1:35" customFormat="1" ht="14.25" x14ac:dyDescent="0.45">
      <c r="B86" s="14" t="s">
        <v>2544</v>
      </c>
      <c r="C86" s="14" t="s">
        <v>2522</v>
      </c>
      <c r="D86" s="15" t="s">
        <v>2545</v>
      </c>
      <c r="E86" s="16" t="s">
        <v>1967</v>
      </c>
      <c r="F86" s="14" t="s">
        <v>2546</v>
      </c>
      <c r="G86" s="119"/>
      <c r="H86" s="119"/>
      <c r="K86" s="126"/>
      <c r="L86" s="129">
        <f t="shared" ref="L86:AE86" si="5">SUMPRODUCT(L$37:L$44*(1-EXP(-L$47:L$54*L$83)))+SUMPRODUCT(L$67:L$74*(1-EXP(-L$57:L$64*L$83)))</f>
        <v>0</v>
      </c>
      <c r="M86" s="129">
        <f t="shared" si="5"/>
        <v>0</v>
      </c>
      <c r="N86" s="129">
        <f t="shared" si="5"/>
        <v>0</v>
      </c>
      <c r="O86" s="129">
        <f t="shared" si="5"/>
        <v>0</v>
      </c>
      <c r="P86" s="129">
        <f t="shared" si="5"/>
        <v>0</v>
      </c>
      <c r="Q86" s="129">
        <f t="shared" si="5"/>
        <v>0</v>
      </c>
      <c r="R86" s="129">
        <f t="shared" si="5"/>
        <v>0</v>
      </c>
      <c r="S86" s="129">
        <f t="shared" si="5"/>
        <v>0</v>
      </c>
      <c r="T86" s="129">
        <f t="shared" si="5"/>
        <v>0</v>
      </c>
      <c r="U86" s="129">
        <f t="shared" si="5"/>
        <v>0</v>
      </c>
      <c r="V86" s="129">
        <f t="shared" si="5"/>
        <v>0</v>
      </c>
      <c r="W86" s="129">
        <f t="shared" si="5"/>
        <v>0</v>
      </c>
      <c r="X86" s="129">
        <f t="shared" si="5"/>
        <v>0</v>
      </c>
      <c r="Y86" s="129">
        <f t="shared" si="5"/>
        <v>0</v>
      </c>
      <c r="Z86" s="129">
        <f t="shared" si="5"/>
        <v>0</v>
      </c>
      <c r="AA86" s="129">
        <f t="shared" si="5"/>
        <v>0</v>
      </c>
      <c r="AB86" s="129">
        <f t="shared" si="5"/>
        <v>0</v>
      </c>
      <c r="AC86" s="129">
        <f t="shared" si="5"/>
        <v>0</v>
      </c>
      <c r="AD86" s="129">
        <f t="shared" si="5"/>
        <v>0</v>
      </c>
      <c r="AE86" s="129">
        <f t="shared" si="5"/>
        <v>0</v>
      </c>
      <c r="AF86" s="128"/>
      <c r="AG86" s="128"/>
      <c r="AH86" s="128"/>
      <c r="AI86" s="128"/>
    </row>
    <row r="87" spans="1:35" customFormat="1" ht="14.25" x14ac:dyDescent="0.45">
      <c r="B87" s="14" t="s">
        <v>2547</v>
      </c>
      <c r="C87" s="14" t="s">
        <v>2522</v>
      </c>
      <c r="D87" s="15" t="s">
        <v>2548</v>
      </c>
      <c r="E87" s="16" t="s">
        <v>1871</v>
      </c>
      <c r="F87" s="14" t="s">
        <v>2549</v>
      </c>
      <c r="G87" s="119"/>
      <c r="H87" s="119"/>
      <c r="K87" s="126"/>
      <c r="L87" s="127">
        <f t="shared" ref="L87:AE87" si="6">IF($F$4="COST",(SUMPRODUCT(L$37:L$44*((1-EXP(-L$47:L$54*L$83))/(L$47:L$54+(L$47:L$54=0))-L$83*EXP(-L$47:L$54*L$83)*(L$47:L$54&lt;&gt;0)))+SUMPRODUCT(L$67:L$74*((1-EXP(-L$57:L$64*L$83))/(L$57:L$64+(L$57:L$64=0))-L$83*EXP(-L$57:L$64*L$83)*(L$57:L$64&lt;&gt;0)))),L$83*L$86)</f>
        <v>0</v>
      </c>
      <c r="M87" s="127">
        <f t="shared" si="6"/>
        <v>0</v>
      </c>
      <c r="N87" s="127">
        <f t="shared" si="6"/>
        <v>0</v>
      </c>
      <c r="O87" s="127">
        <f t="shared" si="6"/>
        <v>0</v>
      </c>
      <c r="P87" s="127">
        <f t="shared" si="6"/>
        <v>0</v>
      </c>
      <c r="Q87" s="127">
        <f t="shared" si="6"/>
        <v>0</v>
      </c>
      <c r="R87" s="127">
        <f t="shared" si="6"/>
        <v>0</v>
      </c>
      <c r="S87" s="127">
        <f t="shared" si="6"/>
        <v>0</v>
      </c>
      <c r="T87" s="127">
        <f t="shared" si="6"/>
        <v>0</v>
      </c>
      <c r="U87" s="127">
        <f t="shared" si="6"/>
        <v>0</v>
      </c>
      <c r="V87" s="127">
        <f t="shared" si="6"/>
        <v>0</v>
      </c>
      <c r="W87" s="127">
        <f t="shared" si="6"/>
        <v>0</v>
      </c>
      <c r="X87" s="127">
        <f t="shared" si="6"/>
        <v>0</v>
      </c>
      <c r="Y87" s="127">
        <f t="shared" si="6"/>
        <v>0</v>
      </c>
      <c r="Z87" s="127">
        <f t="shared" si="6"/>
        <v>0</v>
      </c>
      <c r="AA87" s="127">
        <f t="shared" si="6"/>
        <v>0</v>
      </c>
      <c r="AB87" s="127">
        <f t="shared" si="6"/>
        <v>0</v>
      </c>
      <c r="AC87" s="127">
        <f t="shared" si="6"/>
        <v>0</v>
      </c>
      <c r="AD87" s="127">
        <f t="shared" si="6"/>
        <v>0</v>
      </c>
      <c r="AE87" s="127">
        <f t="shared" si="6"/>
        <v>0</v>
      </c>
      <c r="AF87" s="128"/>
      <c r="AG87" s="128"/>
      <c r="AH87" s="128"/>
      <c r="AI87" s="128"/>
    </row>
    <row r="88" spans="1:35" customFormat="1" ht="14.25" x14ac:dyDescent="0.45">
      <c r="B88" s="14" t="s">
        <v>2550</v>
      </c>
      <c r="C88" s="14" t="s">
        <v>2522</v>
      </c>
      <c r="D88" s="15" t="s">
        <v>2551</v>
      </c>
      <c r="E88" s="16" t="s">
        <v>2552</v>
      </c>
      <c r="F88" s="14" t="s">
        <v>2553</v>
      </c>
      <c r="G88" s="119"/>
      <c r="H88" s="119"/>
      <c r="K88" s="126"/>
      <c r="L88" s="129">
        <f t="shared" ref="L88:AE88" si="7">IF($F$4="COST",L$83*(SUMPRODUCT(L$37:L$44*L$47:L$54*EXP(-L$47:L$54*L$83))+SUMPRODUCT(L$67:L$74*L$57:L$64*EXP(-L$57:L$64*L$83))),L$86+L$83*(SUMPRODUCT(L$37:L$44*L$47:L$54*EXP(-L$47:L$54*L$83))+SUMPRODUCT(L$67:L$74*L$57:L$64*EXP(-L$57:L$64*L$83))))</f>
        <v>0</v>
      </c>
      <c r="M88" s="129">
        <f t="shared" si="7"/>
        <v>0</v>
      </c>
      <c r="N88" s="129">
        <f t="shared" si="7"/>
        <v>0</v>
      </c>
      <c r="O88" s="129">
        <f t="shared" si="7"/>
        <v>0</v>
      </c>
      <c r="P88" s="129">
        <f t="shared" si="7"/>
        <v>0</v>
      </c>
      <c r="Q88" s="129">
        <f t="shared" si="7"/>
        <v>0</v>
      </c>
      <c r="R88" s="129">
        <f t="shared" si="7"/>
        <v>0</v>
      </c>
      <c r="S88" s="129">
        <f t="shared" si="7"/>
        <v>0</v>
      </c>
      <c r="T88" s="129">
        <f t="shared" si="7"/>
        <v>0</v>
      </c>
      <c r="U88" s="129">
        <f t="shared" si="7"/>
        <v>0</v>
      </c>
      <c r="V88" s="129">
        <f t="shared" si="7"/>
        <v>0</v>
      </c>
      <c r="W88" s="129">
        <f t="shared" si="7"/>
        <v>0</v>
      </c>
      <c r="X88" s="129">
        <f t="shared" si="7"/>
        <v>0</v>
      </c>
      <c r="Y88" s="129">
        <f t="shared" si="7"/>
        <v>0</v>
      </c>
      <c r="Z88" s="129">
        <f t="shared" si="7"/>
        <v>0</v>
      </c>
      <c r="AA88" s="129">
        <f t="shared" si="7"/>
        <v>0</v>
      </c>
      <c r="AB88" s="129">
        <f t="shared" si="7"/>
        <v>0</v>
      </c>
      <c r="AC88" s="129">
        <f t="shared" si="7"/>
        <v>0</v>
      </c>
      <c r="AD88" s="129">
        <f t="shared" si="7"/>
        <v>0</v>
      </c>
      <c r="AE88" s="129">
        <f t="shared" si="7"/>
        <v>0</v>
      </c>
      <c r="AF88" s="128"/>
      <c r="AG88" s="128"/>
      <c r="AH88" s="128"/>
      <c r="AI88" s="128"/>
    </row>
    <row r="89" spans="1:35" customFormat="1" ht="14.25" x14ac:dyDescent="0.45">
      <c r="B89" s="14" t="s">
        <v>2554</v>
      </c>
      <c r="C89" s="14" t="s">
        <v>2522</v>
      </c>
      <c r="D89" s="15" t="s">
        <v>2555</v>
      </c>
      <c r="E89" s="16" t="s">
        <v>1415</v>
      </c>
      <c r="F89" s="14" t="s">
        <v>2556</v>
      </c>
      <c r="G89" s="119"/>
      <c r="H89" s="119"/>
      <c r="K89" s="126"/>
      <c r="L89" s="127">
        <f t="shared" ref="L89:AE89" si="8">IF(L$80&lt;=0,0,IF(L$88&lt;=0,L$83,MIN($F$5,IF(L$83-(L$87-L$80)/L$88&lt;=0,L$83/2,L$83-(L$87-L$80)/L$88))))</f>
        <v>0</v>
      </c>
      <c r="M89" s="127">
        <f t="shared" si="8"/>
        <v>0</v>
      </c>
      <c r="N89" s="127">
        <f t="shared" si="8"/>
        <v>0</v>
      </c>
      <c r="O89" s="127">
        <f t="shared" si="8"/>
        <v>0</v>
      </c>
      <c r="P89" s="127">
        <f t="shared" si="8"/>
        <v>0</v>
      </c>
      <c r="Q89" s="127">
        <f t="shared" si="8"/>
        <v>0</v>
      </c>
      <c r="R89" s="127">
        <f t="shared" si="8"/>
        <v>0</v>
      </c>
      <c r="S89" s="127">
        <f t="shared" si="8"/>
        <v>0</v>
      </c>
      <c r="T89" s="127">
        <f t="shared" si="8"/>
        <v>0</v>
      </c>
      <c r="U89" s="127">
        <f t="shared" si="8"/>
        <v>0</v>
      </c>
      <c r="V89" s="127">
        <f t="shared" si="8"/>
        <v>0</v>
      </c>
      <c r="W89" s="127">
        <f t="shared" si="8"/>
        <v>0</v>
      </c>
      <c r="X89" s="127">
        <f t="shared" si="8"/>
        <v>0</v>
      </c>
      <c r="Y89" s="127">
        <f t="shared" si="8"/>
        <v>0</v>
      </c>
      <c r="Z89" s="127">
        <f t="shared" si="8"/>
        <v>0</v>
      </c>
      <c r="AA89" s="127">
        <f t="shared" si="8"/>
        <v>0</v>
      </c>
      <c r="AB89" s="127">
        <f t="shared" si="8"/>
        <v>0</v>
      </c>
      <c r="AC89" s="127">
        <f t="shared" si="8"/>
        <v>0</v>
      </c>
      <c r="AD89" s="127">
        <f t="shared" si="8"/>
        <v>0</v>
      </c>
      <c r="AE89" s="127">
        <f t="shared" si="8"/>
        <v>0</v>
      </c>
      <c r="AF89" s="128"/>
      <c r="AG89" s="128"/>
      <c r="AH89" s="128"/>
      <c r="AI89" s="128"/>
    </row>
    <row r="90" spans="1:35" customFormat="1" ht="14.25" x14ac:dyDescent="0.45">
      <c r="B90" s="14" t="s">
        <v>2557</v>
      </c>
      <c r="C90" s="14" t="s">
        <v>2522</v>
      </c>
      <c r="D90" s="15" t="s">
        <v>2558</v>
      </c>
      <c r="E90" s="16" t="s">
        <v>1967</v>
      </c>
      <c r="F90" s="14" t="s">
        <v>2546</v>
      </c>
      <c r="G90" s="119"/>
      <c r="H90" s="119"/>
      <c r="K90" s="126"/>
      <c r="L90" s="129">
        <f t="shared" ref="L90:AE90" si="9">SUMPRODUCT(L$37:L$44*(1-EXP(-L$47:L$54*L$89)))+SUMPRODUCT(L$67:L$74*(1-EXP(-L$57:L$64*L$89)))</f>
        <v>0</v>
      </c>
      <c r="M90" s="129">
        <f t="shared" si="9"/>
        <v>0</v>
      </c>
      <c r="N90" s="129">
        <f t="shared" si="9"/>
        <v>0</v>
      </c>
      <c r="O90" s="129">
        <f t="shared" si="9"/>
        <v>0</v>
      </c>
      <c r="P90" s="129">
        <f t="shared" si="9"/>
        <v>0</v>
      </c>
      <c r="Q90" s="129">
        <f t="shared" si="9"/>
        <v>0</v>
      </c>
      <c r="R90" s="129">
        <f t="shared" si="9"/>
        <v>0</v>
      </c>
      <c r="S90" s="129">
        <f t="shared" si="9"/>
        <v>0</v>
      </c>
      <c r="T90" s="129">
        <f t="shared" si="9"/>
        <v>0</v>
      </c>
      <c r="U90" s="129">
        <f t="shared" si="9"/>
        <v>0</v>
      </c>
      <c r="V90" s="129">
        <f t="shared" si="9"/>
        <v>0</v>
      </c>
      <c r="W90" s="129">
        <f t="shared" si="9"/>
        <v>0</v>
      </c>
      <c r="X90" s="129">
        <f t="shared" si="9"/>
        <v>0</v>
      </c>
      <c r="Y90" s="129">
        <f t="shared" si="9"/>
        <v>0</v>
      </c>
      <c r="Z90" s="129">
        <f t="shared" si="9"/>
        <v>0</v>
      </c>
      <c r="AA90" s="129">
        <f t="shared" si="9"/>
        <v>0</v>
      </c>
      <c r="AB90" s="129">
        <f t="shared" si="9"/>
        <v>0</v>
      </c>
      <c r="AC90" s="129">
        <f t="shared" si="9"/>
        <v>0</v>
      </c>
      <c r="AD90" s="129">
        <f t="shared" si="9"/>
        <v>0</v>
      </c>
      <c r="AE90" s="129">
        <f t="shared" si="9"/>
        <v>0</v>
      </c>
      <c r="AF90" s="128"/>
      <c r="AG90" s="128"/>
      <c r="AH90" s="128"/>
      <c r="AI90" s="128"/>
    </row>
    <row r="91" spans="1:35" customFormat="1" ht="14.25" x14ac:dyDescent="0.45">
      <c r="B91" s="14" t="s">
        <v>2559</v>
      </c>
      <c r="C91" s="14" t="s">
        <v>2522</v>
      </c>
      <c r="D91" s="15" t="s">
        <v>2560</v>
      </c>
      <c r="E91" s="16" t="s">
        <v>1871</v>
      </c>
      <c r="F91" s="14" t="s">
        <v>2549</v>
      </c>
      <c r="G91" s="119"/>
      <c r="H91" s="119"/>
      <c r="K91" s="126"/>
      <c r="L91" s="127">
        <f t="shared" ref="L91:AE91" si="10">IF($F$4="COST",(SUMPRODUCT(L$37:L$44*((1-EXP(-L$47:L$54*L$89))/(L$47:L$54+(L$47:L$54=0))-L$89*EXP(-L$47:L$54*L$89)*(L$47:L$54&lt;&gt;0)))+SUMPRODUCT(L$67:L$74*((1-EXP(-L$57:L$64*L$89))/(L$57:L$64+(L$57:L$64=0))-L$89*EXP(-L$57:L$64*L$89)*(L$57:L$64&lt;&gt;0)))),L$89*L$90)</f>
        <v>0</v>
      </c>
      <c r="M91" s="127">
        <f t="shared" si="10"/>
        <v>0</v>
      </c>
      <c r="N91" s="127">
        <f t="shared" si="10"/>
        <v>0</v>
      </c>
      <c r="O91" s="127">
        <f t="shared" si="10"/>
        <v>0</v>
      </c>
      <c r="P91" s="127">
        <f t="shared" si="10"/>
        <v>0</v>
      </c>
      <c r="Q91" s="127">
        <f t="shared" si="10"/>
        <v>0</v>
      </c>
      <c r="R91" s="127">
        <f t="shared" si="10"/>
        <v>0</v>
      </c>
      <c r="S91" s="127">
        <f t="shared" si="10"/>
        <v>0</v>
      </c>
      <c r="T91" s="127">
        <f t="shared" si="10"/>
        <v>0</v>
      </c>
      <c r="U91" s="127">
        <f t="shared" si="10"/>
        <v>0</v>
      </c>
      <c r="V91" s="127">
        <f t="shared" si="10"/>
        <v>0</v>
      </c>
      <c r="W91" s="127">
        <f t="shared" si="10"/>
        <v>0</v>
      </c>
      <c r="X91" s="127">
        <f t="shared" si="10"/>
        <v>0</v>
      </c>
      <c r="Y91" s="127">
        <f t="shared" si="10"/>
        <v>0</v>
      </c>
      <c r="Z91" s="127">
        <f t="shared" si="10"/>
        <v>0</v>
      </c>
      <c r="AA91" s="127">
        <f t="shared" si="10"/>
        <v>0</v>
      </c>
      <c r="AB91" s="127">
        <f t="shared" si="10"/>
        <v>0</v>
      </c>
      <c r="AC91" s="127">
        <f t="shared" si="10"/>
        <v>0</v>
      </c>
      <c r="AD91" s="127">
        <f t="shared" si="10"/>
        <v>0</v>
      </c>
      <c r="AE91" s="127">
        <f t="shared" si="10"/>
        <v>0</v>
      </c>
      <c r="AF91" s="128"/>
      <c r="AG91" s="128"/>
      <c r="AH91" s="128"/>
      <c r="AI91" s="128"/>
    </row>
    <row r="92" spans="1:35" customFormat="1" ht="14.25" x14ac:dyDescent="0.45">
      <c r="B92" s="14" t="s">
        <v>2561</v>
      </c>
      <c r="C92" s="14" t="s">
        <v>2522</v>
      </c>
      <c r="D92" s="15" t="s">
        <v>2562</v>
      </c>
      <c r="E92" s="16" t="s">
        <v>2552</v>
      </c>
      <c r="F92" s="14" t="s">
        <v>2553</v>
      </c>
      <c r="G92" s="119"/>
      <c r="H92" s="119"/>
      <c r="K92" s="126"/>
      <c r="L92" s="129">
        <f t="shared" ref="L92:AE92" si="11">IF($F$4="COST",L$89*(SUMPRODUCT(L$37:L$44*L$47:L$54*EXP(-L$47:L$54*L$89))+SUMPRODUCT(L$67:L$74*L$57:L$64*EXP(-L$57:L$64*L$89))),L$90+L$89*(SUMPRODUCT(L$37:L$44*L$47:L$54*EXP(-L$47:L$54*L$89))+SUMPRODUCT(L$67:L$74*L$57:L$64*EXP(-L$57:L$64*L$89))))</f>
        <v>0</v>
      </c>
      <c r="M92" s="129">
        <f t="shared" si="11"/>
        <v>0</v>
      </c>
      <c r="N92" s="129">
        <f t="shared" si="11"/>
        <v>0</v>
      </c>
      <c r="O92" s="129">
        <f t="shared" si="11"/>
        <v>0</v>
      </c>
      <c r="P92" s="129">
        <f t="shared" si="11"/>
        <v>0</v>
      </c>
      <c r="Q92" s="129">
        <f t="shared" si="11"/>
        <v>0</v>
      </c>
      <c r="R92" s="129">
        <f t="shared" si="11"/>
        <v>0</v>
      </c>
      <c r="S92" s="129">
        <f t="shared" si="11"/>
        <v>0</v>
      </c>
      <c r="T92" s="129">
        <f t="shared" si="11"/>
        <v>0</v>
      </c>
      <c r="U92" s="129">
        <f t="shared" si="11"/>
        <v>0</v>
      </c>
      <c r="V92" s="129">
        <f t="shared" si="11"/>
        <v>0</v>
      </c>
      <c r="W92" s="129">
        <f t="shared" si="11"/>
        <v>0</v>
      </c>
      <c r="X92" s="129">
        <f t="shared" si="11"/>
        <v>0</v>
      </c>
      <c r="Y92" s="129">
        <f t="shared" si="11"/>
        <v>0</v>
      </c>
      <c r="Z92" s="129">
        <f t="shared" si="11"/>
        <v>0</v>
      </c>
      <c r="AA92" s="129">
        <f t="shared" si="11"/>
        <v>0</v>
      </c>
      <c r="AB92" s="129">
        <f t="shared" si="11"/>
        <v>0</v>
      </c>
      <c r="AC92" s="129">
        <f t="shared" si="11"/>
        <v>0</v>
      </c>
      <c r="AD92" s="129">
        <f t="shared" si="11"/>
        <v>0</v>
      </c>
      <c r="AE92" s="129">
        <f t="shared" si="11"/>
        <v>0</v>
      </c>
      <c r="AF92" s="128"/>
      <c r="AG92" s="128"/>
      <c r="AH92" s="128"/>
      <c r="AI92" s="128"/>
    </row>
    <row r="93" spans="1:35" customFormat="1" ht="14.25" x14ac:dyDescent="0.45">
      <c r="B93" s="14" t="s">
        <v>2563</v>
      </c>
      <c r="C93" s="14" t="s">
        <v>2522</v>
      </c>
      <c r="D93" s="15" t="s">
        <v>2564</v>
      </c>
      <c r="E93" s="16" t="s">
        <v>1415</v>
      </c>
      <c r="F93" s="14" t="s">
        <v>2556</v>
      </c>
      <c r="G93" s="119"/>
      <c r="H93" s="119"/>
      <c r="K93" s="126"/>
      <c r="L93" s="127">
        <f t="shared" ref="L93:AE93" si="12">IF(L$80&lt;=0,0,IF(L$92&lt;=0,L$89,MIN($F$5,IF(L$89-(L$91-L$80)/L$92&lt;=0,L$89/2,L$89-(L$91-L$80)/L$92))))</f>
        <v>0</v>
      </c>
      <c r="M93" s="127">
        <f t="shared" si="12"/>
        <v>0</v>
      </c>
      <c r="N93" s="127">
        <f t="shared" si="12"/>
        <v>0</v>
      </c>
      <c r="O93" s="127">
        <f t="shared" si="12"/>
        <v>0</v>
      </c>
      <c r="P93" s="127">
        <f t="shared" si="12"/>
        <v>0</v>
      </c>
      <c r="Q93" s="127">
        <f t="shared" si="12"/>
        <v>0</v>
      </c>
      <c r="R93" s="127">
        <f t="shared" si="12"/>
        <v>0</v>
      </c>
      <c r="S93" s="127">
        <f t="shared" si="12"/>
        <v>0</v>
      </c>
      <c r="T93" s="127">
        <f t="shared" si="12"/>
        <v>0</v>
      </c>
      <c r="U93" s="127">
        <f t="shared" si="12"/>
        <v>0</v>
      </c>
      <c r="V93" s="127">
        <f t="shared" si="12"/>
        <v>0</v>
      </c>
      <c r="W93" s="127">
        <f t="shared" si="12"/>
        <v>0</v>
      </c>
      <c r="X93" s="127">
        <f t="shared" si="12"/>
        <v>0</v>
      </c>
      <c r="Y93" s="127">
        <f t="shared" si="12"/>
        <v>0</v>
      </c>
      <c r="Z93" s="127">
        <f t="shared" si="12"/>
        <v>0</v>
      </c>
      <c r="AA93" s="127">
        <f t="shared" si="12"/>
        <v>0</v>
      </c>
      <c r="AB93" s="127">
        <f t="shared" si="12"/>
        <v>0</v>
      </c>
      <c r="AC93" s="127">
        <f t="shared" si="12"/>
        <v>0</v>
      </c>
      <c r="AD93" s="127">
        <f t="shared" si="12"/>
        <v>0</v>
      </c>
      <c r="AE93" s="127">
        <f t="shared" si="12"/>
        <v>0</v>
      </c>
      <c r="AF93" s="128"/>
      <c r="AG93" s="128"/>
      <c r="AH93" s="128"/>
      <c r="AI93" s="128"/>
    </row>
    <row r="94" spans="1:35" customFormat="1" ht="14.25" x14ac:dyDescent="0.45">
      <c r="B94" s="14" t="s">
        <v>2565</v>
      </c>
      <c r="C94" s="14" t="s">
        <v>2522</v>
      </c>
      <c r="D94" s="15" t="s">
        <v>2566</v>
      </c>
      <c r="E94" s="16" t="s">
        <v>1967</v>
      </c>
      <c r="F94" s="14" t="s">
        <v>2546</v>
      </c>
      <c r="G94" s="119"/>
      <c r="H94" s="119"/>
      <c r="K94" s="126"/>
      <c r="L94" s="129">
        <f t="shared" ref="L94:AE94" si="13">SUMPRODUCT(L$37:L$44*(1-EXP(-L$47:L$54*L$93)))+SUMPRODUCT(L$67:L$74*(1-EXP(-L$57:L$64*L$93)))</f>
        <v>0</v>
      </c>
      <c r="M94" s="129">
        <f t="shared" si="13"/>
        <v>0</v>
      </c>
      <c r="N94" s="129">
        <f t="shared" si="13"/>
        <v>0</v>
      </c>
      <c r="O94" s="129">
        <f t="shared" si="13"/>
        <v>0</v>
      </c>
      <c r="P94" s="129">
        <f t="shared" si="13"/>
        <v>0</v>
      </c>
      <c r="Q94" s="129">
        <f t="shared" si="13"/>
        <v>0</v>
      </c>
      <c r="R94" s="129">
        <f t="shared" si="13"/>
        <v>0</v>
      </c>
      <c r="S94" s="129">
        <f t="shared" si="13"/>
        <v>0</v>
      </c>
      <c r="T94" s="129">
        <f t="shared" si="13"/>
        <v>0</v>
      </c>
      <c r="U94" s="129">
        <f t="shared" si="13"/>
        <v>0</v>
      </c>
      <c r="V94" s="129">
        <f t="shared" si="13"/>
        <v>0</v>
      </c>
      <c r="W94" s="129">
        <f t="shared" si="13"/>
        <v>0</v>
      </c>
      <c r="X94" s="129">
        <f t="shared" si="13"/>
        <v>0</v>
      </c>
      <c r="Y94" s="129">
        <f t="shared" si="13"/>
        <v>0</v>
      </c>
      <c r="Z94" s="129">
        <f t="shared" si="13"/>
        <v>0</v>
      </c>
      <c r="AA94" s="129">
        <f t="shared" si="13"/>
        <v>0</v>
      </c>
      <c r="AB94" s="129">
        <f t="shared" si="13"/>
        <v>0</v>
      </c>
      <c r="AC94" s="129">
        <f t="shared" si="13"/>
        <v>0</v>
      </c>
      <c r="AD94" s="129">
        <f t="shared" si="13"/>
        <v>0</v>
      </c>
      <c r="AE94" s="129">
        <f t="shared" si="13"/>
        <v>0</v>
      </c>
      <c r="AF94" s="128"/>
      <c r="AG94" s="128"/>
      <c r="AH94" s="128"/>
      <c r="AI94" s="128"/>
    </row>
    <row r="95" spans="1:35" customFormat="1" ht="14.25" x14ac:dyDescent="0.45">
      <c r="B95" s="14" t="s">
        <v>2567</v>
      </c>
      <c r="C95" s="14" t="s">
        <v>2522</v>
      </c>
      <c r="D95" s="15" t="s">
        <v>2568</v>
      </c>
      <c r="E95" s="16" t="s">
        <v>1871</v>
      </c>
      <c r="F95" s="14" t="s">
        <v>2549</v>
      </c>
      <c r="G95" s="119"/>
      <c r="H95" s="119"/>
      <c r="K95" s="126"/>
      <c r="L95" s="127">
        <f t="shared" ref="L95:AE95" si="14">IF($F$4="COST",(SUMPRODUCT(L$37:L$44*((1-EXP(-L$47:L$54*L$93))/(L$47:L$54+(L$47:L$54=0))-L$93*EXP(-L$47:L$54*L$93)*(L$47:L$54&lt;&gt;0)))+SUMPRODUCT(L$67:L$74*((1-EXP(-L$57:L$64*L$93))/(L$57:L$64+(L$57:L$64=0))-L$93*EXP(-L$57:L$64*L$93)*(L$57:L$64&lt;&gt;0)))),L$93*L$94)</f>
        <v>0</v>
      </c>
      <c r="M95" s="127">
        <f t="shared" si="14"/>
        <v>0</v>
      </c>
      <c r="N95" s="127">
        <f t="shared" si="14"/>
        <v>0</v>
      </c>
      <c r="O95" s="127">
        <f t="shared" si="14"/>
        <v>0</v>
      </c>
      <c r="P95" s="127">
        <f t="shared" si="14"/>
        <v>0</v>
      </c>
      <c r="Q95" s="127">
        <f t="shared" si="14"/>
        <v>0</v>
      </c>
      <c r="R95" s="127">
        <f t="shared" si="14"/>
        <v>0</v>
      </c>
      <c r="S95" s="127">
        <f t="shared" si="14"/>
        <v>0</v>
      </c>
      <c r="T95" s="127">
        <f t="shared" si="14"/>
        <v>0</v>
      </c>
      <c r="U95" s="127">
        <f t="shared" si="14"/>
        <v>0</v>
      </c>
      <c r="V95" s="127">
        <f t="shared" si="14"/>
        <v>0</v>
      </c>
      <c r="W95" s="127">
        <f t="shared" si="14"/>
        <v>0</v>
      </c>
      <c r="X95" s="127">
        <f t="shared" si="14"/>
        <v>0</v>
      </c>
      <c r="Y95" s="127">
        <f t="shared" si="14"/>
        <v>0</v>
      </c>
      <c r="Z95" s="127">
        <f t="shared" si="14"/>
        <v>0</v>
      </c>
      <c r="AA95" s="127">
        <f t="shared" si="14"/>
        <v>0</v>
      </c>
      <c r="AB95" s="127">
        <f t="shared" si="14"/>
        <v>0</v>
      </c>
      <c r="AC95" s="127">
        <f t="shared" si="14"/>
        <v>0</v>
      </c>
      <c r="AD95" s="127">
        <f t="shared" si="14"/>
        <v>0</v>
      </c>
      <c r="AE95" s="127">
        <f t="shared" si="14"/>
        <v>0</v>
      </c>
      <c r="AF95" s="128"/>
      <c r="AG95" s="128"/>
      <c r="AH95" s="128"/>
      <c r="AI95" s="128"/>
    </row>
    <row r="96" spans="1:35" customFormat="1" ht="14.25" x14ac:dyDescent="0.45">
      <c r="B96" s="14" t="s">
        <v>2569</v>
      </c>
      <c r="C96" s="14" t="s">
        <v>2522</v>
      </c>
      <c r="D96" s="15" t="s">
        <v>2570</v>
      </c>
      <c r="E96" s="16" t="s">
        <v>2552</v>
      </c>
      <c r="F96" s="14" t="s">
        <v>2553</v>
      </c>
      <c r="G96" s="119"/>
      <c r="H96" s="119"/>
      <c r="K96" s="126"/>
      <c r="L96" s="129">
        <f t="shared" ref="L96:AE96" si="15">IF($F$4="COST",L$93*(SUMPRODUCT(L$37:L$44*L$47:L$54*EXP(-L$47:L$54*L$93))+SUMPRODUCT(L$67:L$74*L$57:L$64*EXP(-L$57:L$64*L$93))),L$94+L$93*(SUMPRODUCT(L$37:L$44*L$47:L$54*EXP(-L$47:L$54*L$93))+SUMPRODUCT(L$67:L$74*L$57:L$64*EXP(-L$57:L$64*L$93))))</f>
        <v>0</v>
      </c>
      <c r="M96" s="129">
        <f t="shared" si="15"/>
        <v>0</v>
      </c>
      <c r="N96" s="129">
        <f t="shared" si="15"/>
        <v>0</v>
      </c>
      <c r="O96" s="129">
        <f t="shared" si="15"/>
        <v>0</v>
      </c>
      <c r="P96" s="129">
        <f t="shared" si="15"/>
        <v>0</v>
      </c>
      <c r="Q96" s="129">
        <f t="shared" si="15"/>
        <v>0</v>
      </c>
      <c r="R96" s="129">
        <f t="shared" si="15"/>
        <v>0</v>
      </c>
      <c r="S96" s="129">
        <f t="shared" si="15"/>
        <v>0</v>
      </c>
      <c r="T96" s="129">
        <f t="shared" si="15"/>
        <v>0</v>
      </c>
      <c r="U96" s="129">
        <f t="shared" si="15"/>
        <v>0</v>
      </c>
      <c r="V96" s="129">
        <f t="shared" si="15"/>
        <v>0</v>
      </c>
      <c r="W96" s="129">
        <f t="shared" si="15"/>
        <v>0</v>
      </c>
      <c r="X96" s="129">
        <f t="shared" si="15"/>
        <v>0</v>
      </c>
      <c r="Y96" s="129">
        <f t="shared" si="15"/>
        <v>0</v>
      </c>
      <c r="Z96" s="129">
        <f t="shared" si="15"/>
        <v>0</v>
      </c>
      <c r="AA96" s="129">
        <f t="shared" si="15"/>
        <v>0</v>
      </c>
      <c r="AB96" s="129">
        <f t="shared" si="15"/>
        <v>0</v>
      </c>
      <c r="AC96" s="129">
        <f t="shared" si="15"/>
        <v>0</v>
      </c>
      <c r="AD96" s="129">
        <f t="shared" si="15"/>
        <v>0</v>
      </c>
      <c r="AE96" s="129">
        <f t="shared" si="15"/>
        <v>0</v>
      </c>
      <c r="AF96" s="128"/>
      <c r="AG96" s="128"/>
      <c r="AH96" s="128"/>
      <c r="AI96" s="128"/>
    </row>
    <row r="97" spans="2:35" customFormat="1" ht="14.25" x14ac:dyDescent="0.45">
      <c r="B97" s="14" t="s">
        <v>2571</v>
      </c>
      <c r="C97" s="14" t="s">
        <v>2522</v>
      </c>
      <c r="D97" s="15" t="s">
        <v>2572</v>
      </c>
      <c r="E97" s="16" t="s">
        <v>1415</v>
      </c>
      <c r="F97" s="14" t="s">
        <v>2556</v>
      </c>
      <c r="G97" s="119"/>
      <c r="H97" s="119"/>
      <c r="K97" s="126"/>
      <c r="L97" s="127">
        <f t="shared" ref="L97:AE97" si="16">IF(L$80&lt;=0,0,IF(L$96&lt;=0,L$93,MIN($F$5,IF(L$93-(L$95-L$80)/L$96&lt;=0,L$93/2,L$93-(L$95-L$80)/L$96))))</f>
        <v>0</v>
      </c>
      <c r="M97" s="127">
        <f t="shared" si="16"/>
        <v>0</v>
      </c>
      <c r="N97" s="127">
        <f t="shared" si="16"/>
        <v>0</v>
      </c>
      <c r="O97" s="127">
        <f t="shared" si="16"/>
        <v>0</v>
      </c>
      <c r="P97" s="127">
        <f t="shared" si="16"/>
        <v>0</v>
      </c>
      <c r="Q97" s="127">
        <f t="shared" si="16"/>
        <v>0</v>
      </c>
      <c r="R97" s="127">
        <f t="shared" si="16"/>
        <v>0</v>
      </c>
      <c r="S97" s="127">
        <f t="shared" si="16"/>
        <v>0</v>
      </c>
      <c r="T97" s="127">
        <f t="shared" si="16"/>
        <v>0</v>
      </c>
      <c r="U97" s="127">
        <f t="shared" si="16"/>
        <v>0</v>
      </c>
      <c r="V97" s="127">
        <f t="shared" si="16"/>
        <v>0</v>
      </c>
      <c r="W97" s="127">
        <f t="shared" si="16"/>
        <v>0</v>
      </c>
      <c r="X97" s="127">
        <f t="shared" si="16"/>
        <v>0</v>
      </c>
      <c r="Y97" s="127">
        <f t="shared" si="16"/>
        <v>0</v>
      </c>
      <c r="Z97" s="127">
        <f t="shared" si="16"/>
        <v>0</v>
      </c>
      <c r="AA97" s="127">
        <f t="shared" si="16"/>
        <v>0</v>
      </c>
      <c r="AB97" s="127">
        <f t="shared" si="16"/>
        <v>0</v>
      </c>
      <c r="AC97" s="127">
        <f t="shared" si="16"/>
        <v>0</v>
      </c>
      <c r="AD97" s="127">
        <f t="shared" si="16"/>
        <v>0</v>
      </c>
      <c r="AE97" s="127">
        <f t="shared" si="16"/>
        <v>0</v>
      </c>
      <c r="AF97" s="128"/>
      <c r="AG97" s="128"/>
      <c r="AH97" s="128"/>
      <c r="AI97" s="128"/>
    </row>
    <row r="98" spans="2:35" customFormat="1" ht="14.25" x14ac:dyDescent="0.45">
      <c r="B98" s="14" t="s">
        <v>2573</v>
      </c>
      <c r="C98" s="14" t="s">
        <v>2522</v>
      </c>
      <c r="D98" s="15" t="s">
        <v>2574</v>
      </c>
      <c r="E98" s="16" t="s">
        <v>1967</v>
      </c>
      <c r="F98" s="14" t="s">
        <v>2546</v>
      </c>
      <c r="G98" s="119"/>
      <c r="H98" s="119"/>
      <c r="K98" s="126"/>
      <c r="L98" s="129">
        <f t="shared" ref="L98:AE98" si="17">SUMPRODUCT(L$37:L$44*(1-EXP(-L$47:L$54*L$97)))+SUMPRODUCT(L$67:L$74*(1-EXP(-L$57:L$64*L$97)))</f>
        <v>0</v>
      </c>
      <c r="M98" s="129">
        <f t="shared" si="17"/>
        <v>0</v>
      </c>
      <c r="N98" s="129">
        <f t="shared" si="17"/>
        <v>0</v>
      </c>
      <c r="O98" s="129">
        <f t="shared" si="17"/>
        <v>0</v>
      </c>
      <c r="P98" s="129">
        <f t="shared" si="17"/>
        <v>0</v>
      </c>
      <c r="Q98" s="129">
        <f t="shared" si="17"/>
        <v>0</v>
      </c>
      <c r="R98" s="129">
        <f t="shared" si="17"/>
        <v>0</v>
      </c>
      <c r="S98" s="129">
        <f t="shared" si="17"/>
        <v>0</v>
      </c>
      <c r="T98" s="129">
        <f t="shared" si="17"/>
        <v>0</v>
      </c>
      <c r="U98" s="129">
        <f t="shared" si="17"/>
        <v>0</v>
      </c>
      <c r="V98" s="129">
        <f t="shared" si="17"/>
        <v>0</v>
      </c>
      <c r="W98" s="129">
        <f t="shared" si="17"/>
        <v>0</v>
      </c>
      <c r="X98" s="129">
        <f t="shared" si="17"/>
        <v>0</v>
      </c>
      <c r="Y98" s="129">
        <f t="shared" si="17"/>
        <v>0</v>
      </c>
      <c r="Z98" s="129">
        <f t="shared" si="17"/>
        <v>0</v>
      </c>
      <c r="AA98" s="129">
        <f t="shared" si="17"/>
        <v>0</v>
      </c>
      <c r="AB98" s="129">
        <f t="shared" si="17"/>
        <v>0</v>
      </c>
      <c r="AC98" s="129">
        <f t="shared" si="17"/>
        <v>0</v>
      </c>
      <c r="AD98" s="129">
        <f t="shared" si="17"/>
        <v>0</v>
      </c>
      <c r="AE98" s="129">
        <f t="shared" si="17"/>
        <v>0</v>
      </c>
      <c r="AF98" s="128"/>
      <c r="AG98" s="128"/>
      <c r="AH98" s="128"/>
      <c r="AI98" s="128"/>
    </row>
    <row r="99" spans="2:35" customFormat="1" ht="14.25" x14ac:dyDescent="0.45">
      <c r="B99" s="14" t="s">
        <v>2575</v>
      </c>
      <c r="C99" s="14" t="s">
        <v>2522</v>
      </c>
      <c r="D99" s="15" t="s">
        <v>2576</v>
      </c>
      <c r="E99" s="16" t="s">
        <v>1871</v>
      </c>
      <c r="F99" s="14" t="s">
        <v>2549</v>
      </c>
      <c r="G99" s="119"/>
      <c r="H99" s="119"/>
      <c r="K99" s="126"/>
      <c r="L99" s="127">
        <f t="shared" ref="L99:AE99" si="18">IF($F$4="COST",(SUMPRODUCT(L$37:L$44*((1-EXP(-L$47:L$54*L$97))/(L$47:L$54+(L$47:L$54=0))-L$97*EXP(-L$47:L$54*L$97)*(L$47:L$54&lt;&gt;0)))+SUMPRODUCT(L$67:L$74*((1-EXP(-L$57:L$64*L$97))/(L$57:L$64+(L$57:L$64=0))-L$97*EXP(-L$57:L$64*L$97)*(L$57:L$64&lt;&gt;0)))),L$97*L$98)</f>
        <v>0</v>
      </c>
      <c r="M99" s="127">
        <f t="shared" si="18"/>
        <v>0</v>
      </c>
      <c r="N99" s="127">
        <f t="shared" si="18"/>
        <v>0</v>
      </c>
      <c r="O99" s="127">
        <f t="shared" si="18"/>
        <v>0</v>
      </c>
      <c r="P99" s="127">
        <f t="shared" si="18"/>
        <v>0</v>
      </c>
      <c r="Q99" s="127">
        <f t="shared" si="18"/>
        <v>0</v>
      </c>
      <c r="R99" s="127">
        <f t="shared" si="18"/>
        <v>0</v>
      </c>
      <c r="S99" s="127">
        <f t="shared" si="18"/>
        <v>0</v>
      </c>
      <c r="T99" s="127">
        <f t="shared" si="18"/>
        <v>0</v>
      </c>
      <c r="U99" s="127">
        <f t="shared" si="18"/>
        <v>0</v>
      </c>
      <c r="V99" s="127">
        <f t="shared" si="18"/>
        <v>0</v>
      </c>
      <c r="W99" s="127">
        <f t="shared" si="18"/>
        <v>0</v>
      </c>
      <c r="X99" s="127">
        <f t="shared" si="18"/>
        <v>0</v>
      </c>
      <c r="Y99" s="127">
        <f t="shared" si="18"/>
        <v>0</v>
      </c>
      <c r="Z99" s="127">
        <f t="shared" si="18"/>
        <v>0</v>
      </c>
      <c r="AA99" s="127">
        <f t="shared" si="18"/>
        <v>0</v>
      </c>
      <c r="AB99" s="127">
        <f t="shared" si="18"/>
        <v>0</v>
      </c>
      <c r="AC99" s="127">
        <f t="shared" si="18"/>
        <v>0</v>
      </c>
      <c r="AD99" s="127">
        <f t="shared" si="18"/>
        <v>0</v>
      </c>
      <c r="AE99" s="127">
        <f t="shared" si="18"/>
        <v>0</v>
      </c>
      <c r="AF99" s="128"/>
      <c r="AG99" s="128"/>
      <c r="AH99" s="128"/>
      <c r="AI99" s="128"/>
    </row>
    <row r="100" spans="2:35" customFormat="1" ht="14.25" x14ac:dyDescent="0.45">
      <c r="B100" s="14" t="s">
        <v>2577</v>
      </c>
      <c r="C100" s="14" t="s">
        <v>2522</v>
      </c>
      <c r="D100" s="15" t="s">
        <v>2578</v>
      </c>
      <c r="E100" s="16" t="s">
        <v>2552</v>
      </c>
      <c r="F100" s="14" t="s">
        <v>2553</v>
      </c>
      <c r="G100" s="119"/>
      <c r="H100" s="119"/>
      <c r="K100" s="126"/>
      <c r="L100" s="129">
        <f t="shared" ref="L100:AE100" si="19">IF($F$4="COST",L$97*(SUMPRODUCT(L$37:L$44*L$47:L$54*EXP(-L$47:L$54*L$97))+SUMPRODUCT(L$67:L$74*L$57:L$64*EXP(-L$57:L$64*L$97))),L$98+L$97*(SUMPRODUCT(L$37:L$44*L$47:L$54*EXP(-L$47:L$54*L$97))+SUMPRODUCT(L$67:L$74*L$57:L$64*EXP(-L$57:L$64*L$97))))</f>
        <v>0</v>
      </c>
      <c r="M100" s="129">
        <f t="shared" si="19"/>
        <v>0</v>
      </c>
      <c r="N100" s="129">
        <f t="shared" si="19"/>
        <v>0</v>
      </c>
      <c r="O100" s="129">
        <f t="shared" si="19"/>
        <v>0</v>
      </c>
      <c r="P100" s="129">
        <f t="shared" si="19"/>
        <v>0</v>
      </c>
      <c r="Q100" s="129">
        <f t="shared" si="19"/>
        <v>0</v>
      </c>
      <c r="R100" s="129">
        <f t="shared" si="19"/>
        <v>0</v>
      </c>
      <c r="S100" s="129">
        <f t="shared" si="19"/>
        <v>0</v>
      </c>
      <c r="T100" s="129">
        <f t="shared" si="19"/>
        <v>0</v>
      </c>
      <c r="U100" s="129">
        <f t="shared" si="19"/>
        <v>0</v>
      </c>
      <c r="V100" s="129">
        <f t="shared" si="19"/>
        <v>0</v>
      </c>
      <c r="W100" s="129">
        <f t="shared" si="19"/>
        <v>0</v>
      </c>
      <c r="X100" s="129">
        <f t="shared" si="19"/>
        <v>0</v>
      </c>
      <c r="Y100" s="129">
        <f t="shared" si="19"/>
        <v>0</v>
      </c>
      <c r="Z100" s="129">
        <f t="shared" si="19"/>
        <v>0</v>
      </c>
      <c r="AA100" s="129">
        <f t="shared" si="19"/>
        <v>0</v>
      </c>
      <c r="AB100" s="129">
        <f t="shared" si="19"/>
        <v>0</v>
      </c>
      <c r="AC100" s="129">
        <f t="shared" si="19"/>
        <v>0</v>
      </c>
      <c r="AD100" s="129">
        <f t="shared" si="19"/>
        <v>0</v>
      </c>
      <c r="AE100" s="129">
        <f t="shared" si="19"/>
        <v>0</v>
      </c>
      <c r="AF100" s="128"/>
      <c r="AG100" s="128"/>
      <c r="AH100" s="128"/>
      <c r="AI100" s="128"/>
    </row>
    <row r="101" spans="2:35" customFormat="1" ht="14.25" x14ac:dyDescent="0.45">
      <c r="B101" s="14" t="s">
        <v>2579</v>
      </c>
      <c r="C101" s="14" t="s">
        <v>2522</v>
      </c>
      <c r="D101" s="15" t="s">
        <v>2580</v>
      </c>
      <c r="E101" s="16" t="s">
        <v>1415</v>
      </c>
      <c r="F101" s="14" t="s">
        <v>2556</v>
      </c>
      <c r="G101" s="119"/>
      <c r="H101" s="119"/>
      <c r="K101" s="126"/>
      <c r="L101" s="127">
        <f t="shared" ref="L101:AE101" si="20">IF(L$80&lt;=0,0,IF(L$100&lt;=0,L$97,MIN($F$5,IF(L$97-(L$99-L$80)/L$100&lt;=0,L$97/2,L$97-(L$99-L$80)/L$100))))</f>
        <v>0</v>
      </c>
      <c r="M101" s="127">
        <f t="shared" si="20"/>
        <v>0</v>
      </c>
      <c r="N101" s="127">
        <f t="shared" si="20"/>
        <v>0</v>
      </c>
      <c r="O101" s="127">
        <f t="shared" si="20"/>
        <v>0</v>
      </c>
      <c r="P101" s="127">
        <f t="shared" si="20"/>
        <v>0</v>
      </c>
      <c r="Q101" s="127">
        <f t="shared" si="20"/>
        <v>0</v>
      </c>
      <c r="R101" s="127">
        <f t="shared" si="20"/>
        <v>0</v>
      </c>
      <c r="S101" s="127">
        <f t="shared" si="20"/>
        <v>0</v>
      </c>
      <c r="T101" s="127">
        <f t="shared" si="20"/>
        <v>0</v>
      </c>
      <c r="U101" s="127">
        <f t="shared" si="20"/>
        <v>0</v>
      </c>
      <c r="V101" s="127">
        <f t="shared" si="20"/>
        <v>0</v>
      </c>
      <c r="W101" s="127">
        <f t="shared" si="20"/>
        <v>0</v>
      </c>
      <c r="X101" s="127">
        <f t="shared" si="20"/>
        <v>0</v>
      </c>
      <c r="Y101" s="127">
        <f t="shared" si="20"/>
        <v>0</v>
      </c>
      <c r="Z101" s="127">
        <f t="shared" si="20"/>
        <v>0</v>
      </c>
      <c r="AA101" s="127">
        <f t="shared" si="20"/>
        <v>0</v>
      </c>
      <c r="AB101" s="127">
        <f t="shared" si="20"/>
        <v>0</v>
      </c>
      <c r="AC101" s="127">
        <f t="shared" si="20"/>
        <v>0</v>
      </c>
      <c r="AD101" s="127">
        <f t="shared" si="20"/>
        <v>0</v>
      </c>
      <c r="AE101" s="127">
        <f t="shared" si="20"/>
        <v>0</v>
      </c>
      <c r="AF101" s="128"/>
      <c r="AG101" s="128"/>
      <c r="AH101" s="128"/>
      <c r="AI101" s="128"/>
    </row>
    <row r="102" spans="2:35" customFormat="1" ht="14.25" x14ac:dyDescent="0.45">
      <c r="B102" s="14" t="s">
        <v>2581</v>
      </c>
      <c r="C102" s="14" t="s">
        <v>2522</v>
      </c>
      <c r="D102" s="15" t="s">
        <v>2582</v>
      </c>
      <c r="E102" s="16" t="s">
        <v>1967</v>
      </c>
      <c r="F102" s="14" t="s">
        <v>2546</v>
      </c>
      <c r="G102" s="119"/>
      <c r="H102" s="119"/>
      <c r="K102" s="126"/>
      <c r="L102" s="129">
        <f t="shared" ref="L102:AE102" si="21">SUMPRODUCT(L$37:L$44*(1-EXP(-L$47:L$54*L$101)))+SUMPRODUCT(L$67:L$74*(1-EXP(-L$57:L$64*L$101)))</f>
        <v>0</v>
      </c>
      <c r="M102" s="129">
        <f t="shared" si="21"/>
        <v>0</v>
      </c>
      <c r="N102" s="129">
        <f t="shared" si="21"/>
        <v>0</v>
      </c>
      <c r="O102" s="129">
        <f t="shared" si="21"/>
        <v>0</v>
      </c>
      <c r="P102" s="129">
        <f t="shared" si="21"/>
        <v>0</v>
      </c>
      <c r="Q102" s="129">
        <f t="shared" si="21"/>
        <v>0</v>
      </c>
      <c r="R102" s="129">
        <f t="shared" si="21"/>
        <v>0</v>
      </c>
      <c r="S102" s="129">
        <f t="shared" si="21"/>
        <v>0</v>
      </c>
      <c r="T102" s="129">
        <f t="shared" si="21"/>
        <v>0</v>
      </c>
      <c r="U102" s="129">
        <f t="shared" si="21"/>
        <v>0</v>
      </c>
      <c r="V102" s="129">
        <f t="shared" si="21"/>
        <v>0</v>
      </c>
      <c r="W102" s="129">
        <f t="shared" si="21"/>
        <v>0</v>
      </c>
      <c r="X102" s="129">
        <f t="shared" si="21"/>
        <v>0</v>
      </c>
      <c r="Y102" s="129">
        <f t="shared" si="21"/>
        <v>0</v>
      </c>
      <c r="Z102" s="129">
        <f t="shared" si="21"/>
        <v>0</v>
      </c>
      <c r="AA102" s="129">
        <f t="shared" si="21"/>
        <v>0</v>
      </c>
      <c r="AB102" s="129">
        <f t="shared" si="21"/>
        <v>0</v>
      </c>
      <c r="AC102" s="129">
        <f t="shared" si="21"/>
        <v>0</v>
      </c>
      <c r="AD102" s="129">
        <f t="shared" si="21"/>
        <v>0</v>
      </c>
      <c r="AE102" s="129">
        <f t="shared" si="21"/>
        <v>0</v>
      </c>
      <c r="AF102" s="128"/>
      <c r="AG102" s="128"/>
      <c r="AH102" s="128"/>
      <c r="AI102" s="128"/>
    </row>
    <row r="103" spans="2:35" customFormat="1" ht="14.25" x14ac:dyDescent="0.45">
      <c r="B103" s="14" t="s">
        <v>2583</v>
      </c>
      <c r="C103" s="14" t="s">
        <v>2522</v>
      </c>
      <c r="D103" s="15" t="s">
        <v>2584</v>
      </c>
      <c r="E103" s="16" t="s">
        <v>1871</v>
      </c>
      <c r="F103" s="14" t="s">
        <v>2549</v>
      </c>
      <c r="G103" s="119"/>
      <c r="H103" s="119"/>
      <c r="K103" s="126"/>
      <c r="L103" s="127">
        <f t="shared" ref="L103:AE103" si="22">IF($F$4="COST",(SUMPRODUCT(L$37:L$44*((1-EXP(-L$47:L$54*L$101))/(L$47:L$54+(L$47:L$54=0))-L$101*EXP(-L$47:L$54*L$101)*(L$47:L$54&lt;&gt;0)))+SUMPRODUCT(L$67:L$74*((1-EXP(-L$57:L$64*L$101))/(L$57:L$64+(L$57:L$64=0))-L$101*EXP(-L$57:L$64*L$101)*(L$57:L$64&lt;&gt;0)))),L$101*L$102)</f>
        <v>0</v>
      </c>
      <c r="M103" s="127">
        <f t="shared" si="22"/>
        <v>0</v>
      </c>
      <c r="N103" s="127">
        <f t="shared" si="22"/>
        <v>0</v>
      </c>
      <c r="O103" s="127">
        <f t="shared" si="22"/>
        <v>0</v>
      </c>
      <c r="P103" s="127">
        <f t="shared" si="22"/>
        <v>0</v>
      </c>
      <c r="Q103" s="127">
        <f t="shared" si="22"/>
        <v>0</v>
      </c>
      <c r="R103" s="127">
        <f t="shared" si="22"/>
        <v>0</v>
      </c>
      <c r="S103" s="127">
        <f t="shared" si="22"/>
        <v>0</v>
      </c>
      <c r="T103" s="127">
        <f t="shared" si="22"/>
        <v>0</v>
      </c>
      <c r="U103" s="127">
        <f t="shared" si="22"/>
        <v>0</v>
      </c>
      <c r="V103" s="127">
        <f t="shared" si="22"/>
        <v>0</v>
      </c>
      <c r="W103" s="127">
        <f t="shared" si="22"/>
        <v>0</v>
      </c>
      <c r="X103" s="127">
        <f t="shared" si="22"/>
        <v>0</v>
      </c>
      <c r="Y103" s="127">
        <f t="shared" si="22"/>
        <v>0</v>
      </c>
      <c r="Z103" s="127">
        <f t="shared" si="22"/>
        <v>0</v>
      </c>
      <c r="AA103" s="127">
        <f t="shared" si="22"/>
        <v>0</v>
      </c>
      <c r="AB103" s="127">
        <f t="shared" si="22"/>
        <v>0</v>
      </c>
      <c r="AC103" s="127">
        <f t="shared" si="22"/>
        <v>0</v>
      </c>
      <c r="AD103" s="127">
        <f t="shared" si="22"/>
        <v>0</v>
      </c>
      <c r="AE103" s="127">
        <f t="shared" si="22"/>
        <v>0</v>
      </c>
      <c r="AF103" s="128"/>
      <c r="AG103" s="128"/>
      <c r="AH103" s="128"/>
      <c r="AI103" s="128"/>
    </row>
    <row r="104" spans="2:35" customFormat="1" ht="14.25" x14ac:dyDescent="0.45">
      <c r="B104" s="14" t="s">
        <v>2585</v>
      </c>
      <c r="C104" s="14" t="s">
        <v>2522</v>
      </c>
      <c r="D104" s="15" t="s">
        <v>2586</v>
      </c>
      <c r="E104" s="16" t="s">
        <v>2552</v>
      </c>
      <c r="F104" s="14" t="s">
        <v>2553</v>
      </c>
      <c r="G104" s="119"/>
      <c r="H104" s="119"/>
      <c r="K104" s="126"/>
      <c r="L104" s="129">
        <f t="shared" ref="L104:AE104" si="23">IF($F$4="COST",L$101*(SUMPRODUCT(L$37:L$44*L$47:L$54*EXP(-L$47:L$54*L$101))+SUMPRODUCT(L$67:L$74*L$57:L$64*EXP(-L$57:L$64*L$101))),L$102+L$101*(SUMPRODUCT(L$37:L$44*L$47:L$54*EXP(-L$47:L$54*L$101))+SUMPRODUCT(L$67:L$74*L$57:L$64*EXP(-L$57:L$64*L$101))))</f>
        <v>0</v>
      </c>
      <c r="M104" s="129">
        <f t="shared" si="23"/>
        <v>0</v>
      </c>
      <c r="N104" s="129">
        <f t="shared" si="23"/>
        <v>0</v>
      </c>
      <c r="O104" s="129">
        <f t="shared" si="23"/>
        <v>0</v>
      </c>
      <c r="P104" s="129">
        <f t="shared" si="23"/>
        <v>0</v>
      </c>
      <c r="Q104" s="129">
        <f t="shared" si="23"/>
        <v>0</v>
      </c>
      <c r="R104" s="129">
        <f t="shared" si="23"/>
        <v>0</v>
      </c>
      <c r="S104" s="129">
        <f t="shared" si="23"/>
        <v>0</v>
      </c>
      <c r="T104" s="129">
        <f t="shared" si="23"/>
        <v>0</v>
      </c>
      <c r="U104" s="129">
        <f t="shared" si="23"/>
        <v>0</v>
      </c>
      <c r="V104" s="129">
        <f t="shared" si="23"/>
        <v>0</v>
      </c>
      <c r="W104" s="129">
        <f t="shared" si="23"/>
        <v>0</v>
      </c>
      <c r="X104" s="129">
        <f t="shared" si="23"/>
        <v>0</v>
      </c>
      <c r="Y104" s="129">
        <f t="shared" si="23"/>
        <v>0</v>
      </c>
      <c r="Z104" s="129">
        <f t="shared" si="23"/>
        <v>0</v>
      </c>
      <c r="AA104" s="129">
        <f t="shared" si="23"/>
        <v>0</v>
      </c>
      <c r="AB104" s="129">
        <f t="shared" si="23"/>
        <v>0</v>
      </c>
      <c r="AC104" s="129">
        <f t="shared" si="23"/>
        <v>0</v>
      </c>
      <c r="AD104" s="129">
        <f t="shared" si="23"/>
        <v>0</v>
      </c>
      <c r="AE104" s="129">
        <f t="shared" si="23"/>
        <v>0</v>
      </c>
      <c r="AF104" s="128"/>
      <c r="AG104" s="128"/>
      <c r="AH104" s="128"/>
      <c r="AI104" s="128"/>
    </row>
    <row r="105" spans="2:35" customFormat="1" ht="14.25" x14ac:dyDescent="0.45">
      <c r="B105" s="14" t="s">
        <v>2587</v>
      </c>
      <c r="C105" s="14" t="s">
        <v>2522</v>
      </c>
      <c r="D105" s="15" t="s">
        <v>2588</v>
      </c>
      <c r="E105" s="16" t="s">
        <v>1415</v>
      </c>
      <c r="F105" s="14" t="s">
        <v>2556</v>
      </c>
      <c r="G105" s="119"/>
      <c r="H105" s="119"/>
      <c r="K105" s="126"/>
      <c r="L105" s="127">
        <f t="shared" ref="L105:AE105" si="24">IF(L$80&lt;=0,0,IF(L$104&lt;=0,L$101,MIN($F$5,IF(L$101-(L$103-L$80)/L$104&lt;=0,L$101/2,L$101-(L$103-L$80)/L$104))))</f>
        <v>0</v>
      </c>
      <c r="M105" s="127">
        <f t="shared" si="24"/>
        <v>0</v>
      </c>
      <c r="N105" s="127">
        <f t="shared" si="24"/>
        <v>0</v>
      </c>
      <c r="O105" s="127">
        <f t="shared" si="24"/>
        <v>0</v>
      </c>
      <c r="P105" s="127">
        <f t="shared" si="24"/>
        <v>0</v>
      </c>
      <c r="Q105" s="127">
        <f t="shared" si="24"/>
        <v>0</v>
      </c>
      <c r="R105" s="127">
        <f t="shared" si="24"/>
        <v>0</v>
      </c>
      <c r="S105" s="127">
        <f t="shared" si="24"/>
        <v>0</v>
      </c>
      <c r="T105" s="127">
        <f t="shared" si="24"/>
        <v>0</v>
      </c>
      <c r="U105" s="127">
        <f t="shared" si="24"/>
        <v>0</v>
      </c>
      <c r="V105" s="127">
        <f t="shared" si="24"/>
        <v>0</v>
      </c>
      <c r="W105" s="127">
        <f t="shared" si="24"/>
        <v>0</v>
      </c>
      <c r="X105" s="127">
        <f t="shared" si="24"/>
        <v>0</v>
      </c>
      <c r="Y105" s="127">
        <f t="shared" si="24"/>
        <v>0</v>
      </c>
      <c r="Z105" s="127">
        <f t="shared" si="24"/>
        <v>0</v>
      </c>
      <c r="AA105" s="127">
        <f t="shared" si="24"/>
        <v>0</v>
      </c>
      <c r="AB105" s="127">
        <f t="shared" si="24"/>
        <v>0</v>
      </c>
      <c r="AC105" s="127">
        <f t="shared" si="24"/>
        <v>0</v>
      </c>
      <c r="AD105" s="127">
        <f t="shared" si="24"/>
        <v>0</v>
      </c>
      <c r="AE105" s="127">
        <f t="shared" si="24"/>
        <v>0</v>
      </c>
      <c r="AF105" s="128"/>
      <c r="AG105" s="128"/>
      <c r="AH105" s="128"/>
      <c r="AI105" s="128"/>
    </row>
    <row r="106" spans="2:35" customFormat="1" ht="14.25" x14ac:dyDescent="0.45">
      <c r="B106" s="14" t="s">
        <v>2589</v>
      </c>
      <c r="C106" s="14" t="s">
        <v>2522</v>
      </c>
      <c r="D106" s="15" t="s">
        <v>2590</v>
      </c>
      <c r="E106" s="16" t="s">
        <v>1967</v>
      </c>
      <c r="F106" s="14" t="s">
        <v>2546</v>
      </c>
      <c r="G106" s="119"/>
      <c r="H106" s="119"/>
      <c r="K106" s="126"/>
      <c r="L106" s="129">
        <f t="shared" ref="L106:AE106" si="25">SUMPRODUCT(L$37:L$44*(1-EXP(-L$47:L$54*L$105)))+SUMPRODUCT(L$67:L$74*(1-EXP(-L$57:L$64*L$105)))</f>
        <v>0</v>
      </c>
      <c r="M106" s="129">
        <f t="shared" si="25"/>
        <v>0</v>
      </c>
      <c r="N106" s="129">
        <f t="shared" si="25"/>
        <v>0</v>
      </c>
      <c r="O106" s="129">
        <f t="shared" si="25"/>
        <v>0</v>
      </c>
      <c r="P106" s="129">
        <f t="shared" si="25"/>
        <v>0</v>
      </c>
      <c r="Q106" s="129">
        <f t="shared" si="25"/>
        <v>0</v>
      </c>
      <c r="R106" s="129">
        <f t="shared" si="25"/>
        <v>0</v>
      </c>
      <c r="S106" s="129">
        <f t="shared" si="25"/>
        <v>0</v>
      </c>
      <c r="T106" s="129">
        <f t="shared" si="25"/>
        <v>0</v>
      </c>
      <c r="U106" s="129">
        <f t="shared" si="25"/>
        <v>0</v>
      </c>
      <c r="V106" s="129">
        <f t="shared" si="25"/>
        <v>0</v>
      </c>
      <c r="W106" s="129">
        <f t="shared" si="25"/>
        <v>0</v>
      </c>
      <c r="X106" s="129">
        <f t="shared" si="25"/>
        <v>0</v>
      </c>
      <c r="Y106" s="129">
        <f t="shared" si="25"/>
        <v>0</v>
      </c>
      <c r="Z106" s="129">
        <f t="shared" si="25"/>
        <v>0</v>
      </c>
      <c r="AA106" s="129">
        <f t="shared" si="25"/>
        <v>0</v>
      </c>
      <c r="AB106" s="129">
        <f t="shared" si="25"/>
        <v>0</v>
      </c>
      <c r="AC106" s="129">
        <f t="shared" si="25"/>
        <v>0</v>
      </c>
      <c r="AD106" s="129">
        <f t="shared" si="25"/>
        <v>0</v>
      </c>
      <c r="AE106" s="129">
        <f t="shared" si="25"/>
        <v>0</v>
      </c>
      <c r="AF106" s="128"/>
      <c r="AG106" s="128"/>
      <c r="AH106" s="128"/>
      <c r="AI106" s="128"/>
    </row>
    <row r="107" spans="2:35" customFormat="1" ht="14.25" x14ac:dyDescent="0.45">
      <c r="B107" s="14" t="s">
        <v>2591</v>
      </c>
      <c r="C107" s="14" t="s">
        <v>2522</v>
      </c>
      <c r="D107" s="15" t="s">
        <v>2592</v>
      </c>
      <c r="E107" s="16" t="s">
        <v>1871</v>
      </c>
      <c r="F107" s="14" t="s">
        <v>2549</v>
      </c>
      <c r="G107" s="119"/>
      <c r="H107" s="119"/>
      <c r="K107" s="126"/>
      <c r="L107" s="127">
        <f t="shared" ref="L107:AE107" si="26">IF($F$4="COST",(SUMPRODUCT(L$37:L$44*((1-EXP(-L$47:L$54*L$105))/(L$47:L$54+(L$47:L$54=0))-L$105*EXP(-L$47:L$54*L$105)*(L$47:L$54&lt;&gt;0)))+SUMPRODUCT(L$67:L$74*((1-EXP(-L$57:L$64*L$105))/(L$57:L$64+(L$57:L$64=0))-L$105*EXP(-L$57:L$64*L$105)*(L$57:L$64&lt;&gt;0)))),L$105*L$106)</f>
        <v>0</v>
      </c>
      <c r="M107" s="127">
        <f t="shared" si="26"/>
        <v>0</v>
      </c>
      <c r="N107" s="127">
        <f t="shared" si="26"/>
        <v>0</v>
      </c>
      <c r="O107" s="127">
        <f t="shared" si="26"/>
        <v>0</v>
      </c>
      <c r="P107" s="127">
        <f t="shared" si="26"/>
        <v>0</v>
      </c>
      <c r="Q107" s="127">
        <f t="shared" si="26"/>
        <v>0</v>
      </c>
      <c r="R107" s="127">
        <f t="shared" si="26"/>
        <v>0</v>
      </c>
      <c r="S107" s="127">
        <f t="shared" si="26"/>
        <v>0</v>
      </c>
      <c r="T107" s="127">
        <f t="shared" si="26"/>
        <v>0</v>
      </c>
      <c r="U107" s="127">
        <f t="shared" si="26"/>
        <v>0</v>
      </c>
      <c r="V107" s="127">
        <f t="shared" si="26"/>
        <v>0</v>
      </c>
      <c r="W107" s="127">
        <f t="shared" si="26"/>
        <v>0</v>
      </c>
      <c r="X107" s="127">
        <f t="shared" si="26"/>
        <v>0</v>
      </c>
      <c r="Y107" s="127">
        <f t="shared" si="26"/>
        <v>0</v>
      </c>
      <c r="Z107" s="127">
        <f t="shared" si="26"/>
        <v>0</v>
      </c>
      <c r="AA107" s="127">
        <f t="shared" si="26"/>
        <v>0</v>
      </c>
      <c r="AB107" s="127">
        <f t="shared" si="26"/>
        <v>0</v>
      </c>
      <c r="AC107" s="127">
        <f t="shared" si="26"/>
        <v>0</v>
      </c>
      <c r="AD107" s="127">
        <f t="shared" si="26"/>
        <v>0</v>
      </c>
      <c r="AE107" s="127">
        <f t="shared" si="26"/>
        <v>0</v>
      </c>
      <c r="AF107" s="128"/>
      <c r="AG107" s="128"/>
      <c r="AH107" s="128"/>
      <c r="AI107" s="128"/>
    </row>
    <row r="108" spans="2:35" customFormat="1" ht="14.25" x14ac:dyDescent="0.45">
      <c r="B108" s="14" t="s">
        <v>2593</v>
      </c>
      <c r="C108" s="14" t="s">
        <v>2522</v>
      </c>
      <c r="D108" s="15" t="s">
        <v>2594</v>
      </c>
      <c r="E108" s="16" t="s">
        <v>2552</v>
      </c>
      <c r="F108" s="14" t="s">
        <v>2553</v>
      </c>
      <c r="G108" s="119"/>
      <c r="H108" s="119"/>
      <c r="K108" s="126"/>
      <c r="L108" s="129">
        <f t="shared" ref="L108:AE108" si="27">IF($F$4="COST",L$105*(SUMPRODUCT(L$37:L$44*L$47:L$54*EXP(-L$47:L$54*L$105))+SUMPRODUCT(L$67:L$74*L$57:L$64*EXP(-L$57:L$64*L$105))),L$106+L$105*(SUMPRODUCT(L$37:L$44*L$47:L$54*EXP(-L$47:L$54*L$105))+SUMPRODUCT(L$67:L$74*L$57:L$64*EXP(-L$57:L$64*L$105))))</f>
        <v>0</v>
      </c>
      <c r="M108" s="129">
        <f t="shared" si="27"/>
        <v>0</v>
      </c>
      <c r="N108" s="129">
        <f t="shared" si="27"/>
        <v>0</v>
      </c>
      <c r="O108" s="129">
        <f t="shared" si="27"/>
        <v>0</v>
      </c>
      <c r="P108" s="129">
        <f t="shared" si="27"/>
        <v>0</v>
      </c>
      <c r="Q108" s="129">
        <f t="shared" si="27"/>
        <v>0</v>
      </c>
      <c r="R108" s="129">
        <f t="shared" si="27"/>
        <v>0</v>
      </c>
      <c r="S108" s="129">
        <f t="shared" si="27"/>
        <v>0</v>
      </c>
      <c r="T108" s="129">
        <f t="shared" si="27"/>
        <v>0</v>
      </c>
      <c r="U108" s="129">
        <f t="shared" si="27"/>
        <v>0</v>
      </c>
      <c r="V108" s="129">
        <f t="shared" si="27"/>
        <v>0</v>
      </c>
      <c r="W108" s="129">
        <f t="shared" si="27"/>
        <v>0</v>
      </c>
      <c r="X108" s="129">
        <f t="shared" si="27"/>
        <v>0</v>
      </c>
      <c r="Y108" s="129">
        <f t="shared" si="27"/>
        <v>0</v>
      </c>
      <c r="Z108" s="129">
        <f t="shared" si="27"/>
        <v>0</v>
      </c>
      <c r="AA108" s="129">
        <f t="shared" si="27"/>
        <v>0</v>
      </c>
      <c r="AB108" s="129">
        <f t="shared" si="27"/>
        <v>0</v>
      </c>
      <c r="AC108" s="129">
        <f t="shared" si="27"/>
        <v>0</v>
      </c>
      <c r="AD108" s="129">
        <f t="shared" si="27"/>
        <v>0</v>
      </c>
      <c r="AE108" s="129">
        <f t="shared" si="27"/>
        <v>0</v>
      </c>
      <c r="AF108" s="128"/>
      <c r="AG108" s="128"/>
      <c r="AH108" s="128"/>
      <c r="AI108" s="128"/>
    </row>
    <row r="109" spans="2:35" customFormat="1" ht="14.25" x14ac:dyDescent="0.45">
      <c r="B109" s="14" t="s">
        <v>2595</v>
      </c>
      <c r="C109" s="14" t="s">
        <v>2522</v>
      </c>
      <c r="D109" s="15" t="s">
        <v>2596</v>
      </c>
      <c r="E109" s="16" t="s">
        <v>1415</v>
      </c>
      <c r="F109" s="14" t="s">
        <v>2556</v>
      </c>
      <c r="G109" s="119"/>
      <c r="H109" s="119"/>
      <c r="K109" s="126"/>
      <c r="L109" s="127">
        <f t="shared" ref="L109:AE109" si="28">IF(L$80&lt;=0,0,IF(L$108&lt;=0,L$105,MIN($F$5,IF(L$105-(L$107-L$80)/L$108&lt;=0,L$105/2,L$105-(L$107-L$80)/L$108))))</f>
        <v>0</v>
      </c>
      <c r="M109" s="127">
        <f t="shared" si="28"/>
        <v>0</v>
      </c>
      <c r="N109" s="127">
        <f t="shared" si="28"/>
        <v>0</v>
      </c>
      <c r="O109" s="127">
        <f t="shared" si="28"/>
        <v>0</v>
      </c>
      <c r="P109" s="127">
        <f t="shared" si="28"/>
        <v>0</v>
      </c>
      <c r="Q109" s="127">
        <f t="shared" si="28"/>
        <v>0</v>
      </c>
      <c r="R109" s="127">
        <f t="shared" si="28"/>
        <v>0</v>
      </c>
      <c r="S109" s="127">
        <f t="shared" si="28"/>
        <v>0</v>
      </c>
      <c r="T109" s="127">
        <f t="shared" si="28"/>
        <v>0</v>
      </c>
      <c r="U109" s="127">
        <f t="shared" si="28"/>
        <v>0</v>
      </c>
      <c r="V109" s="127">
        <f t="shared" si="28"/>
        <v>0</v>
      </c>
      <c r="W109" s="127">
        <f t="shared" si="28"/>
        <v>0</v>
      </c>
      <c r="X109" s="127">
        <f t="shared" si="28"/>
        <v>0</v>
      </c>
      <c r="Y109" s="127">
        <f t="shared" si="28"/>
        <v>0</v>
      </c>
      <c r="Z109" s="127">
        <f t="shared" si="28"/>
        <v>0</v>
      </c>
      <c r="AA109" s="127">
        <f t="shared" si="28"/>
        <v>0</v>
      </c>
      <c r="AB109" s="127">
        <f t="shared" si="28"/>
        <v>0</v>
      </c>
      <c r="AC109" s="127">
        <f t="shared" si="28"/>
        <v>0</v>
      </c>
      <c r="AD109" s="127">
        <f t="shared" si="28"/>
        <v>0</v>
      </c>
      <c r="AE109" s="127">
        <f t="shared" si="28"/>
        <v>0</v>
      </c>
      <c r="AF109" s="128"/>
      <c r="AG109" s="128"/>
      <c r="AH109" s="128"/>
      <c r="AI109" s="128"/>
    </row>
    <row r="110" spans="2:35" customFormat="1" ht="14.25" x14ac:dyDescent="0.45">
      <c r="B110" s="14" t="s">
        <v>2597</v>
      </c>
      <c r="C110" s="14" t="s">
        <v>2522</v>
      </c>
      <c r="D110" s="15" t="s">
        <v>2598</v>
      </c>
      <c r="E110" s="16" t="s">
        <v>1967</v>
      </c>
      <c r="F110" s="14" t="s">
        <v>2546</v>
      </c>
      <c r="G110" s="119"/>
      <c r="H110" s="119"/>
      <c r="K110" s="126"/>
      <c r="L110" s="129">
        <f t="shared" ref="L110:AE110" si="29">SUMPRODUCT(L$37:L$44*(1-EXP(-L$47:L$54*L$109)))+SUMPRODUCT(L$67:L$74*(1-EXP(-L$57:L$64*L$109)))</f>
        <v>0</v>
      </c>
      <c r="M110" s="129">
        <f t="shared" si="29"/>
        <v>0</v>
      </c>
      <c r="N110" s="129">
        <f t="shared" si="29"/>
        <v>0</v>
      </c>
      <c r="O110" s="129">
        <f t="shared" si="29"/>
        <v>0</v>
      </c>
      <c r="P110" s="129">
        <f t="shared" si="29"/>
        <v>0</v>
      </c>
      <c r="Q110" s="129">
        <f t="shared" si="29"/>
        <v>0</v>
      </c>
      <c r="R110" s="129">
        <f t="shared" si="29"/>
        <v>0</v>
      </c>
      <c r="S110" s="129">
        <f t="shared" si="29"/>
        <v>0</v>
      </c>
      <c r="T110" s="129">
        <f t="shared" si="29"/>
        <v>0</v>
      </c>
      <c r="U110" s="129">
        <f t="shared" si="29"/>
        <v>0</v>
      </c>
      <c r="V110" s="129">
        <f t="shared" si="29"/>
        <v>0</v>
      </c>
      <c r="W110" s="129">
        <f t="shared" si="29"/>
        <v>0</v>
      </c>
      <c r="X110" s="129">
        <f t="shared" si="29"/>
        <v>0</v>
      </c>
      <c r="Y110" s="129">
        <f t="shared" si="29"/>
        <v>0</v>
      </c>
      <c r="Z110" s="129">
        <f t="shared" si="29"/>
        <v>0</v>
      </c>
      <c r="AA110" s="129">
        <f t="shared" si="29"/>
        <v>0</v>
      </c>
      <c r="AB110" s="129">
        <f t="shared" si="29"/>
        <v>0</v>
      </c>
      <c r="AC110" s="129">
        <f t="shared" si="29"/>
        <v>0</v>
      </c>
      <c r="AD110" s="129">
        <f t="shared" si="29"/>
        <v>0</v>
      </c>
      <c r="AE110" s="129">
        <f t="shared" si="29"/>
        <v>0</v>
      </c>
      <c r="AF110" s="128"/>
      <c r="AG110" s="128"/>
      <c r="AH110" s="128"/>
      <c r="AI110" s="128"/>
    </row>
    <row r="111" spans="2:35" customFormat="1" ht="14.25" x14ac:dyDescent="0.45">
      <c r="B111" s="14" t="s">
        <v>2599</v>
      </c>
      <c r="C111" s="14" t="s">
        <v>2522</v>
      </c>
      <c r="D111" s="15" t="s">
        <v>2600</v>
      </c>
      <c r="E111" s="16" t="s">
        <v>1871</v>
      </c>
      <c r="F111" s="14" t="s">
        <v>2549</v>
      </c>
      <c r="G111" s="119"/>
      <c r="H111" s="119"/>
      <c r="K111" s="126"/>
      <c r="L111" s="127">
        <f t="shared" ref="L111:AE111" si="30">IF($F$4="COST",(SUMPRODUCT(L$37:L$44*((1-EXP(-L$47:L$54*L$109))/(L$47:L$54+(L$47:L$54=0))-L$109*EXP(-L$47:L$54*L$109)*(L$47:L$54&lt;&gt;0)))+SUMPRODUCT(L$67:L$74*((1-EXP(-L$57:L$64*L$109))/(L$57:L$64+(L$57:L$64=0))-L$109*EXP(-L$57:L$64*L$109)*(L$57:L$64&lt;&gt;0)))),L$109*L$110)</f>
        <v>0</v>
      </c>
      <c r="M111" s="127">
        <f t="shared" si="30"/>
        <v>0</v>
      </c>
      <c r="N111" s="127">
        <f t="shared" si="30"/>
        <v>0</v>
      </c>
      <c r="O111" s="127">
        <f t="shared" si="30"/>
        <v>0</v>
      </c>
      <c r="P111" s="127">
        <f t="shared" si="30"/>
        <v>0</v>
      </c>
      <c r="Q111" s="127">
        <f t="shared" si="30"/>
        <v>0</v>
      </c>
      <c r="R111" s="127">
        <f t="shared" si="30"/>
        <v>0</v>
      </c>
      <c r="S111" s="127">
        <f t="shared" si="30"/>
        <v>0</v>
      </c>
      <c r="T111" s="127">
        <f t="shared" si="30"/>
        <v>0</v>
      </c>
      <c r="U111" s="127">
        <f t="shared" si="30"/>
        <v>0</v>
      </c>
      <c r="V111" s="127">
        <f t="shared" si="30"/>
        <v>0</v>
      </c>
      <c r="W111" s="127">
        <f t="shared" si="30"/>
        <v>0</v>
      </c>
      <c r="X111" s="127">
        <f t="shared" si="30"/>
        <v>0</v>
      </c>
      <c r="Y111" s="127">
        <f t="shared" si="30"/>
        <v>0</v>
      </c>
      <c r="Z111" s="127">
        <f t="shared" si="30"/>
        <v>0</v>
      </c>
      <c r="AA111" s="127">
        <f t="shared" si="30"/>
        <v>0</v>
      </c>
      <c r="AB111" s="127">
        <f t="shared" si="30"/>
        <v>0</v>
      </c>
      <c r="AC111" s="127">
        <f t="shared" si="30"/>
        <v>0</v>
      </c>
      <c r="AD111" s="127">
        <f t="shared" si="30"/>
        <v>0</v>
      </c>
      <c r="AE111" s="127">
        <f t="shared" si="30"/>
        <v>0</v>
      </c>
      <c r="AF111" s="128"/>
      <c r="AG111" s="128"/>
      <c r="AH111" s="128"/>
      <c r="AI111" s="128"/>
    </row>
    <row r="112" spans="2:35" customFormat="1" ht="14.25" x14ac:dyDescent="0.45">
      <c r="B112" s="14" t="s">
        <v>2601</v>
      </c>
      <c r="C112" s="14" t="s">
        <v>2522</v>
      </c>
      <c r="D112" s="15" t="s">
        <v>2602</v>
      </c>
      <c r="E112" s="16" t="s">
        <v>2552</v>
      </c>
      <c r="F112" s="14" t="s">
        <v>2553</v>
      </c>
      <c r="G112" s="119"/>
      <c r="H112" s="119"/>
      <c r="K112" s="126"/>
      <c r="L112" s="129">
        <f t="shared" ref="L112:AE112" si="31">IF($F$4="COST",L$109*(SUMPRODUCT(L$37:L$44*L$47:L$54*EXP(-L$47:L$54*L$109))+SUMPRODUCT(L$67:L$74*L$57:L$64*EXP(-L$57:L$64*L$109))),L$110+L$109*(SUMPRODUCT(L$37:L$44*L$47:L$54*EXP(-L$47:L$54*L$109))+SUMPRODUCT(L$67:L$74*L$57:L$64*EXP(-L$57:L$64*L$109))))</f>
        <v>0</v>
      </c>
      <c r="M112" s="129">
        <f t="shared" si="31"/>
        <v>0</v>
      </c>
      <c r="N112" s="129">
        <f t="shared" si="31"/>
        <v>0</v>
      </c>
      <c r="O112" s="129">
        <f t="shared" si="31"/>
        <v>0</v>
      </c>
      <c r="P112" s="129">
        <f t="shared" si="31"/>
        <v>0</v>
      </c>
      <c r="Q112" s="129">
        <f t="shared" si="31"/>
        <v>0</v>
      </c>
      <c r="R112" s="129">
        <f t="shared" si="31"/>
        <v>0</v>
      </c>
      <c r="S112" s="129">
        <f t="shared" si="31"/>
        <v>0</v>
      </c>
      <c r="T112" s="129">
        <f t="shared" si="31"/>
        <v>0</v>
      </c>
      <c r="U112" s="129">
        <f t="shared" si="31"/>
        <v>0</v>
      </c>
      <c r="V112" s="129">
        <f t="shared" si="31"/>
        <v>0</v>
      </c>
      <c r="W112" s="129">
        <f t="shared" si="31"/>
        <v>0</v>
      </c>
      <c r="X112" s="129">
        <f t="shared" si="31"/>
        <v>0</v>
      </c>
      <c r="Y112" s="129">
        <f t="shared" si="31"/>
        <v>0</v>
      </c>
      <c r="Z112" s="129">
        <f t="shared" si="31"/>
        <v>0</v>
      </c>
      <c r="AA112" s="129">
        <f t="shared" si="31"/>
        <v>0</v>
      </c>
      <c r="AB112" s="129">
        <f t="shared" si="31"/>
        <v>0</v>
      </c>
      <c r="AC112" s="129">
        <f t="shared" si="31"/>
        <v>0</v>
      </c>
      <c r="AD112" s="129">
        <f t="shared" si="31"/>
        <v>0</v>
      </c>
      <c r="AE112" s="129">
        <f t="shared" si="31"/>
        <v>0</v>
      </c>
      <c r="AF112" s="128"/>
      <c r="AG112" s="128"/>
      <c r="AH112" s="128"/>
      <c r="AI112" s="128"/>
    </row>
    <row r="113" spans="2:35" customFormat="1" ht="14.25" x14ac:dyDescent="0.45">
      <c r="B113" s="14" t="s">
        <v>2603</v>
      </c>
      <c r="C113" s="14" t="s">
        <v>2522</v>
      </c>
      <c r="D113" s="15" t="s">
        <v>2604</v>
      </c>
      <c r="E113" s="16" t="s">
        <v>1415</v>
      </c>
      <c r="F113" s="14" t="s">
        <v>2556</v>
      </c>
      <c r="G113" s="119"/>
      <c r="H113" s="119"/>
      <c r="K113" s="126"/>
      <c r="L113" s="127">
        <f t="shared" ref="L113:AE113" si="32">IF(L$80&lt;=0,0,IF(L$112&lt;=0,L$109,MIN($F$5,IF(L$109-(L$111-L$80)/L$112&lt;=0,L$109/2,L$109-(L$111-L$80)/L$112))))</f>
        <v>0</v>
      </c>
      <c r="M113" s="127">
        <f t="shared" si="32"/>
        <v>0</v>
      </c>
      <c r="N113" s="127">
        <f t="shared" si="32"/>
        <v>0</v>
      </c>
      <c r="O113" s="127">
        <f t="shared" si="32"/>
        <v>0</v>
      </c>
      <c r="P113" s="127">
        <f t="shared" si="32"/>
        <v>0</v>
      </c>
      <c r="Q113" s="127">
        <f t="shared" si="32"/>
        <v>0</v>
      </c>
      <c r="R113" s="127">
        <f t="shared" si="32"/>
        <v>0</v>
      </c>
      <c r="S113" s="127">
        <f t="shared" si="32"/>
        <v>0</v>
      </c>
      <c r="T113" s="127">
        <f t="shared" si="32"/>
        <v>0</v>
      </c>
      <c r="U113" s="127">
        <f t="shared" si="32"/>
        <v>0</v>
      </c>
      <c r="V113" s="127">
        <f t="shared" si="32"/>
        <v>0</v>
      </c>
      <c r="W113" s="127">
        <f t="shared" si="32"/>
        <v>0</v>
      </c>
      <c r="X113" s="127">
        <f t="shared" si="32"/>
        <v>0</v>
      </c>
      <c r="Y113" s="127">
        <f t="shared" si="32"/>
        <v>0</v>
      </c>
      <c r="Z113" s="127">
        <f t="shared" si="32"/>
        <v>0</v>
      </c>
      <c r="AA113" s="127">
        <f t="shared" si="32"/>
        <v>0</v>
      </c>
      <c r="AB113" s="127">
        <f t="shared" si="32"/>
        <v>0</v>
      </c>
      <c r="AC113" s="127">
        <f t="shared" si="32"/>
        <v>0</v>
      </c>
      <c r="AD113" s="127">
        <f t="shared" si="32"/>
        <v>0</v>
      </c>
      <c r="AE113" s="127">
        <f t="shared" si="32"/>
        <v>0</v>
      </c>
      <c r="AF113" s="128"/>
      <c r="AG113" s="128"/>
      <c r="AH113" s="128"/>
      <c r="AI113" s="128"/>
    </row>
    <row r="114" spans="2:35" customFormat="1" ht="14.25" x14ac:dyDescent="0.45">
      <c r="B114" s="14" t="s">
        <v>2605</v>
      </c>
      <c r="C114" s="14" t="s">
        <v>2522</v>
      </c>
      <c r="D114" s="15" t="s">
        <v>2606</v>
      </c>
      <c r="E114" s="16" t="s">
        <v>1967</v>
      </c>
      <c r="F114" s="14" t="s">
        <v>2546</v>
      </c>
      <c r="G114" s="119"/>
      <c r="H114" s="119"/>
      <c r="K114" s="126"/>
      <c r="L114" s="129">
        <f t="shared" ref="L114:AE114" si="33">SUMPRODUCT(L$37:L$44*(1-EXP(-L$47:L$54*L$113)))+SUMPRODUCT(L$67:L$74*(1-EXP(-L$57:L$64*L$113)))</f>
        <v>0</v>
      </c>
      <c r="M114" s="129">
        <f t="shared" si="33"/>
        <v>0</v>
      </c>
      <c r="N114" s="129">
        <f t="shared" si="33"/>
        <v>0</v>
      </c>
      <c r="O114" s="129">
        <f t="shared" si="33"/>
        <v>0</v>
      </c>
      <c r="P114" s="129">
        <f t="shared" si="33"/>
        <v>0</v>
      </c>
      <c r="Q114" s="129">
        <f t="shared" si="33"/>
        <v>0</v>
      </c>
      <c r="R114" s="129">
        <f t="shared" si="33"/>
        <v>0</v>
      </c>
      <c r="S114" s="129">
        <f t="shared" si="33"/>
        <v>0</v>
      </c>
      <c r="T114" s="129">
        <f t="shared" si="33"/>
        <v>0</v>
      </c>
      <c r="U114" s="129">
        <f t="shared" si="33"/>
        <v>0</v>
      </c>
      <c r="V114" s="129">
        <f t="shared" si="33"/>
        <v>0</v>
      </c>
      <c r="W114" s="129">
        <f t="shared" si="33"/>
        <v>0</v>
      </c>
      <c r="X114" s="129">
        <f t="shared" si="33"/>
        <v>0</v>
      </c>
      <c r="Y114" s="129">
        <f t="shared" si="33"/>
        <v>0</v>
      </c>
      <c r="Z114" s="129">
        <f t="shared" si="33"/>
        <v>0</v>
      </c>
      <c r="AA114" s="129">
        <f t="shared" si="33"/>
        <v>0</v>
      </c>
      <c r="AB114" s="129">
        <f t="shared" si="33"/>
        <v>0</v>
      </c>
      <c r="AC114" s="129">
        <f t="shared" si="33"/>
        <v>0</v>
      </c>
      <c r="AD114" s="129">
        <f t="shared" si="33"/>
        <v>0</v>
      </c>
      <c r="AE114" s="129">
        <f t="shared" si="33"/>
        <v>0</v>
      </c>
      <c r="AF114" s="128"/>
      <c r="AG114" s="128"/>
      <c r="AH114" s="128"/>
      <c r="AI114" s="128"/>
    </row>
    <row r="115" spans="2:35" customFormat="1" ht="14.25" x14ac:dyDescent="0.45">
      <c r="B115" s="14" t="s">
        <v>2607</v>
      </c>
      <c r="C115" s="14" t="s">
        <v>2522</v>
      </c>
      <c r="D115" s="15" t="s">
        <v>2608</v>
      </c>
      <c r="E115" s="16" t="s">
        <v>1871</v>
      </c>
      <c r="F115" s="14" t="s">
        <v>2549</v>
      </c>
      <c r="G115" s="119"/>
      <c r="H115" s="119"/>
      <c r="K115" s="126"/>
      <c r="L115" s="127">
        <f t="shared" ref="L115:AE115" si="34">IF($F$4="COST",(SUMPRODUCT(L$37:L$44*((1-EXP(-L$47:L$54*L$113))/(L$47:L$54+(L$47:L$54=0))-L$113*EXP(-L$47:L$54*L$113)*(L$47:L$54&lt;&gt;0)))+SUMPRODUCT(L$67:L$74*((1-EXP(-L$57:L$64*L$113))/(L$57:L$64+(L$57:L$64=0))-L$113*EXP(-L$57:L$64*L$113)*(L$57:L$64&lt;&gt;0)))),L$113*L$114)</f>
        <v>0</v>
      </c>
      <c r="M115" s="127">
        <f t="shared" si="34"/>
        <v>0</v>
      </c>
      <c r="N115" s="127">
        <f t="shared" si="34"/>
        <v>0</v>
      </c>
      <c r="O115" s="127">
        <f t="shared" si="34"/>
        <v>0</v>
      </c>
      <c r="P115" s="127">
        <f t="shared" si="34"/>
        <v>0</v>
      </c>
      <c r="Q115" s="127">
        <f t="shared" si="34"/>
        <v>0</v>
      </c>
      <c r="R115" s="127">
        <f t="shared" si="34"/>
        <v>0</v>
      </c>
      <c r="S115" s="127">
        <f t="shared" si="34"/>
        <v>0</v>
      </c>
      <c r="T115" s="127">
        <f t="shared" si="34"/>
        <v>0</v>
      </c>
      <c r="U115" s="127">
        <f t="shared" si="34"/>
        <v>0</v>
      </c>
      <c r="V115" s="127">
        <f t="shared" si="34"/>
        <v>0</v>
      </c>
      <c r="W115" s="127">
        <f t="shared" si="34"/>
        <v>0</v>
      </c>
      <c r="X115" s="127">
        <f t="shared" si="34"/>
        <v>0</v>
      </c>
      <c r="Y115" s="127">
        <f t="shared" si="34"/>
        <v>0</v>
      </c>
      <c r="Z115" s="127">
        <f t="shared" si="34"/>
        <v>0</v>
      </c>
      <c r="AA115" s="127">
        <f t="shared" si="34"/>
        <v>0</v>
      </c>
      <c r="AB115" s="127">
        <f t="shared" si="34"/>
        <v>0</v>
      </c>
      <c r="AC115" s="127">
        <f t="shared" si="34"/>
        <v>0</v>
      </c>
      <c r="AD115" s="127">
        <f t="shared" si="34"/>
        <v>0</v>
      </c>
      <c r="AE115" s="127">
        <f t="shared" si="34"/>
        <v>0</v>
      </c>
      <c r="AF115" s="128"/>
      <c r="AG115" s="128"/>
      <c r="AH115" s="128"/>
      <c r="AI115" s="128"/>
    </row>
    <row r="116" spans="2:35" customFormat="1" ht="14.25" x14ac:dyDescent="0.45">
      <c r="B116" s="14" t="s">
        <v>2609</v>
      </c>
      <c r="C116" s="14" t="s">
        <v>2522</v>
      </c>
      <c r="D116" s="15" t="s">
        <v>2610</v>
      </c>
      <c r="E116" s="16" t="s">
        <v>2552</v>
      </c>
      <c r="F116" s="14" t="s">
        <v>2553</v>
      </c>
      <c r="G116" s="119"/>
      <c r="H116" s="119"/>
      <c r="K116" s="126"/>
      <c r="L116" s="129">
        <f t="shared" ref="L116:AE116" si="35">IF($F$4="COST",L$113*(SUMPRODUCT(L$37:L$44*L$47:L$54*EXP(-L$47:L$54*L$113))+SUMPRODUCT(L$67:L$74*L$57:L$64*EXP(-L$57:L$64*L$113))),L$114+L$113*(SUMPRODUCT(L$37:L$44*L$47:L$54*EXP(-L$47:L$54*L$113))+SUMPRODUCT(L$67:L$74*L$57:L$64*EXP(-L$57:L$64*L$113))))</f>
        <v>0</v>
      </c>
      <c r="M116" s="129">
        <f t="shared" si="35"/>
        <v>0</v>
      </c>
      <c r="N116" s="129">
        <f t="shared" si="35"/>
        <v>0</v>
      </c>
      <c r="O116" s="129">
        <f t="shared" si="35"/>
        <v>0</v>
      </c>
      <c r="P116" s="129">
        <f t="shared" si="35"/>
        <v>0</v>
      </c>
      <c r="Q116" s="129">
        <f t="shared" si="35"/>
        <v>0</v>
      </c>
      <c r="R116" s="129">
        <f t="shared" si="35"/>
        <v>0</v>
      </c>
      <c r="S116" s="129">
        <f t="shared" si="35"/>
        <v>0</v>
      </c>
      <c r="T116" s="129">
        <f t="shared" si="35"/>
        <v>0</v>
      </c>
      <c r="U116" s="129">
        <f t="shared" si="35"/>
        <v>0</v>
      </c>
      <c r="V116" s="129">
        <f t="shared" si="35"/>
        <v>0</v>
      </c>
      <c r="W116" s="129">
        <f t="shared" si="35"/>
        <v>0</v>
      </c>
      <c r="X116" s="129">
        <f t="shared" si="35"/>
        <v>0</v>
      </c>
      <c r="Y116" s="129">
        <f t="shared" si="35"/>
        <v>0</v>
      </c>
      <c r="Z116" s="129">
        <f t="shared" si="35"/>
        <v>0</v>
      </c>
      <c r="AA116" s="129">
        <f t="shared" si="35"/>
        <v>0</v>
      </c>
      <c r="AB116" s="129">
        <f t="shared" si="35"/>
        <v>0</v>
      </c>
      <c r="AC116" s="129">
        <f t="shared" si="35"/>
        <v>0</v>
      </c>
      <c r="AD116" s="129">
        <f t="shared" si="35"/>
        <v>0</v>
      </c>
      <c r="AE116" s="129">
        <f t="shared" si="35"/>
        <v>0</v>
      </c>
      <c r="AF116" s="128"/>
      <c r="AG116" s="128"/>
      <c r="AH116" s="128"/>
      <c r="AI116" s="128"/>
    </row>
    <row r="117" spans="2:35" customFormat="1" ht="14.25" x14ac:dyDescent="0.45">
      <c r="B117" s="14" t="s">
        <v>2611</v>
      </c>
      <c r="C117" s="14" t="s">
        <v>2522</v>
      </c>
      <c r="D117" s="15" t="s">
        <v>2612</v>
      </c>
      <c r="E117" s="16" t="s">
        <v>1415</v>
      </c>
      <c r="F117" s="14" t="s">
        <v>2556</v>
      </c>
      <c r="G117" s="119"/>
      <c r="H117" s="119"/>
      <c r="K117" s="126"/>
      <c r="L117" s="127">
        <f t="shared" ref="L117:AE117" si="36">IF(L$80&lt;=0,0,IF(L$116&lt;=0,L$113,MIN($F$5,IF(L$113-(L$115-L$80)/L$116&lt;=0,L$113/2,L$113-(L$115-L$80)/L$116))))</f>
        <v>0</v>
      </c>
      <c r="M117" s="127">
        <f t="shared" si="36"/>
        <v>0</v>
      </c>
      <c r="N117" s="127">
        <f t="shared" si="36"/>
        <v>0</v>
      </c>
      <c r="O117" s="127">
        <f t="shared" si="36"/>
        <v>0</v>
      </c>
      <c r="P117" s="127">
        <f t="shared" si="36"/>
        <v>0</v>
      </c>
      <c r="Q117" s="127">
        <f t="shared" si="36"/>
        <v>0</v>
      </c>
      <c r="R117" s="127">
        <f t="shared" si="36"/>
        <v>0</v>
      </c>
      <c r="S117" s="127">
        <f t="shared" si="36"/>
        <v>0</v>
      </c>
      <c r="T117" s="127">
        <f t="shared" si="36"/>
        <v>0</v>
      </c>
      <c r="U117" s="127">
        <f t="shared" si="36"/>
        <v>0</v>
      </c>
      <c r="V117" s="127">
        <f t="shared" si="36"/>
        <v>0</v>
      </c>
      <c r="W117" s="127">
        <f t="shared" si="36"/>
        <v>0</v>
      </c>
      <c r="X117" s="127">
        <f t="shared" si="36"/>
        <v>0</v>
      </c>
      <c r="Y117" s="127">
        <f t="shared" si="36"/>
        <v>0</v>
      </c>
      <c r="Z117" s="127">
        <f t="shared" si="36"/>
        <v>0</v>
      </c>
      <c r="AA117" s="127">
        <f t="shared" si="36"/>
        <v>0</v>
      </c>
      <c r="AB117" s="127">
        <f t="shared" si="36"/>
        <v>0</v>
      </c>
      <c r="AC117" s="127">
        <f t="shared" si="36"/>
        <v>0</v>
      </c>
      <c r="AD117" s="127">
        <f t="shared" si="36"/>
        <v>0</v>
      </c>
      <c r="AE117" s="127">
        <f t="shared" si="36"/>
        <v>0</v>
      </c>
      <c r="AF117" s="128"/>
      <c r="AG117" s="128"/>
      <c r="AH117" s="128"/>
      <c r="AI117" s="128"/>
    </row>
    <row r="118" spans="2:35" customFormat="1" ht="14.25" x14ac:dyDescent="0.45">
      <c r="B118" s="14" t="s">
        <v>2613</v>
      </c>
      <c r="C118" s="14" t="s">
        <v>2522</v>
      </c>
      <c r="D118" s="15" t="s">
        <v>2614</v>
      </c>
      <c r="E118" s="16" t="s">
        <v>1967</v>
      </c>
      <c r="F118" s="14" t="s">
        <v>2546</v>
      </c>
      <c r="G118" s="119"/>
      <c r="H118" s="119"/>
      <c r="K118" s="126"/>
      <c r="L118" s="129">
        <f t="shared" ref="L118:AE118" si="37">SUMPRODUCT(L$37:L$44*(1-EXP(-L$47:L$54*L$117)))+SUMPRODUCT(L$67:L$74*(1-EXP(-L$57:L$64*L$117)))</f>
        <v>0</v>
      </c>
      <c r="M118" s="129">
        <f t="shared" si="37"/>
        <v>0</v>
      </c>
      <c r="N118" s="129">
        <f t="shared" si="37"/>
        <v>0</v>
      </c>
      <c r="O118" s="129">
        <f t="shared" si="37"/>
        <v>0</v>
      </c>
      <c r="P118" s="129">
        <f t="shared" si="37"/>
        <v>0</v>
      </c>
      <c r="Q118" s="129">
        <f t="shared" si="37"/>
        <v>0</v>
      </c>
      <c r="R118" s="129">
        <f t="shared" si="37"/>
        <v>0</v>
      </c>
      <c r="S118" s="129">
        <f t="shared" si="37"/>
        <v>0</v>
      </c>
      <c r="T118" s="129">
        <f t="shared" si="37"/>
        <v>0</v>
      </c>
      <c r="U118" s="129">
        <f t="shared" si="37"/>
        <v>0</v>
      </c>
      <c r="V118" s="129">
        <f t="shared" si="37"/>
        <v>0</v>
      </c>
      <c r="W118" s="129">
        <f t="shared" si="37"/>
        <v>0</v>
      </c>
      <c r="X118" s="129">
        <f t="shared" si="37"/>
        <v>0</v>
      </c>
      <c r="Y118" s="129">
        <f t="shared" si="37"/>
        <v>0</v>
      </c>
      <c r="Z118" s="129">
        <f t="shared" si="37"/>
        <v>0</v>
      </c>
      <c r="AA118" s="129">
        <f t="shared" si="37"/>
        <v>0</v>
      </c>
      <c r="AB118" s="129">
        <f t="shared" si="37"/>
        <v>0</v>
      </c>
      <c r="AC118" s="129">
        <f t="shared" si="37"/>
        <v>0</v>
      </c>
      <c r="AD118" s="129">
        <f t="shared" si="37"/>
        <v>0</v>
      </c>
      <c r="AE118" s="129">
        <f t="shared" si="37"/>
        <v>0</v>
      </c>
      <c r="AF118" s="128"/>
      <c r="AG118" s="128"/>
      <c r="AH118" s="128"/>
      <c r="AI118" s="128"/>
    </row>
    <row r="119" spans="2:35" customFormat="1" ht="14.25" x14ac:dyDescent="0.45">
      <c r="B119" s="14" t="s">
        <v>2615</v>
      </c>
      <c r="C119" s="14" t="s">
        <v>2522</v>
      </c>
      <c r="D119" s="15" t="s">
        <v>2616</v>
      </c>
      <c r="E119" s="16" t="s">
        <v>1871</v>
      </c>
      <c r="F119" s="14" t="s">
        <v>2549</v>
      </c>
      <c r="G119" s="119"/>
      <c r="H119" s="119"/>
      <c r="K119" s="126"/>
      <c r="L119" s="127">
        <f t="shared" ref="L119:AE119" si="38">IF($F$4="COST",(SUMPRODUCT(L$37:L$44*((1-EXP(-L$47:L$54*L$117))/(L$47:L$54+(L$47:L$54=0))-L$117*EXP(-L$47:L$54*L$117)*(L$47:L$54&lt;&gt;0)))+SUMPRODUCT(L$67:L$74*((1-EXP(-L$57:L$64*L$117))/(L$57:L$64+(L$57:L$64=0))-L$117*EXP(-L$57:L$64*L$117)*(L$57:L$64&lt;&gt;0)))),L$117*L$118)</f>
        <v>0</v>
      </c>
      <c r="M119" s="127">
        <f t="shared" si="38"/>
        <v>0</v>
      </c>
      <c r="N119" s="127">
        <f t="shared" si="38"/>
        <v>0</v>
      </c>
      <c r="O119" s="127">
        <f t="shared" si="38"/>
        <v>0</v>
      </c>
      <c r="P119" s="127">
        <f t="shared" si="38"/>
        <v>0</v>
      </c>
      <c r="Q119" s="127">
        <f t="shared" si="38"/>
        <v>0</v>
      </c>
      <c r="R119" s="127">
        <f t="shared" si="38"/>
        <v>0</v>
      </c>
      <c r="S119" s="127">
        <f t="shared" si="38"/>
        <v>0</v>
      </c>
      <c r="T119" s="127">
        <f t="shared" si="38"/>
        <v>0</v>
      </c>
      <c r="U119" s="127">
        <f t="shared" si="38"/>
        <v>0</v>
      </c>
      <c r="V119" s="127">
        <f t="shared" si="38"/>
        <v>0</v>
      </c>
      <c r="W119" s="127">
        <f t="shared" si="38"/>
        <v>0</v>
      </c>
      <c r="X119" s="127">
        <f t="shared" si="38"/>
        <v>0</v>
      </c>
      <c r="Y119" s="127">
        <f t="shared" si="38"/>
        <v>0</v>
      </c>
      <c r="Z119" s="127">
        <f t="shared" si="38"/>
        <v>0</v>
      </c>
      <c r="AA119" s="127">
        <f t="shared" si="38"/>
        <v>0</v>
      </c>
      <c r="AB119" s="127">
        <f t="shared" si="38"/>
        <v>0</v>
      </c>
      <c r="AC119" s="127">
        <f t="shared" si="38"/>
        <v>0</v>
      </c>
      <c r="AD119" s="127">
        <f t="shared" si="38"/>
        <v>0</v>
      </c>
      <c r="AE119" s="127">
        <f t="shared" si="38"/>
        <v>0</v>
      </c>
      <c r="AF119" s="128"/>
      <c r="AG119" s="128"/>
      <c r="AH119" s="128"/>
      <c r="AI119" s="128"/>
    </row>
    <row r="120" spans="2:35" customFormat="1" ht="14.25" x14ac:dyDescent="0.45">
      <c r="B120" s="14" t="s">
        <v>2617</v>
      </c>
      <c r="C120" s="14" t="s">
        <v>2522</v>
      </c>
      <c r="D120" s="15" t="s">
        <v>2618</v>
      </c>
      <c r="E120" s="16" t="s">
        <v>2552</v>
      </c>
      <c r="F120" s="14" t="s">
        <v>2553</v>
      </c>
      <c r="G120" s="119"/>
      <c r="H120" s="119"/>
      <c r="K120" s="126"/>
      <c r="L120" s="129">
        <f t="shared" ref="L120:AE120" si="39">IF($F$4="COST",L$117*(SUMPRODUCT(L$37:L$44*L$47:L$54*EXP(-L$47:L$54*L$117))+SUMPRODUCT(L$67:L$74*L$57:L$64*EXP(-L$57:L$64*L$117))),L$118+L$117*(SUMPRODUCT(L$37:L$44*L$47:L$54*EXP(-L$47:L$54*L$117))+SUMPRODUCT(L$67:L$74*L$57:L$64*EXP(-L$57:L$64*L$117))))</f>
        <v>0</v>
      </c>
      <c r="M120" s="129">
        <f t="shared" si="39"/>
        <v>0</v>
      </c>
      <c r="N120" s="129">
        <f t="shared" si="39"/>
        <v>0</v>
      </c>
      <c r="O120" s="129">
        <f t="shared" si="39"/>
        <v>0</v>
      </c>
      <c r="P120" s="129">
        <f t="shared" si="39"/>
        <v>0</v>
      </c>
      <c r="Q120" s="129">
        <f t="shared" si="39"/>
        <v>0</v>
      </c>
      <c r="R120" s="129">
        <f t="shared" si="39"/>
        <v>0</v>
      </c>
      <c r="S120" s="129">
        <f t="shared" si="39"/>
        <v>0</v>
      </c>
      <c r="T120" s="129">
        <f t="shared" si="39"/>
        <v>0</v>
      </c>
      <c r="U120" s="129">
        <f t="shared" si="39"/>
        <v>0</v>
      </c>
      <c r="V120" s="129">
        <f t="shared" si="39"/>
        <v>0</v>
      </c>
      <c r="W120" s="129">
        <f t="shared" si="39"/>
        <v>0</v>
      </c>
      <c r="X120" s="129">
        <f t="shared" si="39"/>
        <v>0</v>
      </c>
      <c r="Y120" s="129">
        <f t="shared" si="39"/>
        <v>0</v>
      </c>
      <c r="Z120" s="129">
        <f t="shared" si="39"/>
        <v>0</v>
      </c>
      <c r="AA120" s="129">
        <f t="shared" si="39"/>
        <v>0</v>
      </c>
      <c r="AB120" s="129">
        <f t="shared" si="39"/>
        <v>0</v>
      </c>
      <c r="AC120" s="129">
        <f t="shared" si="39"/>
        <v>0</v>
      </c>
      <c r="AD120" s="129">
        <f t="shared" si="39"/>
        <v>0</v>
      </c>
      <c r="AE120" s="129">
        <f t="shared" si="39"/>
        <v>0</v>
      </c>
      <c r="AF120" s="128"/>
      <c r="AG120" s="128"/>
      <c r="AH120" s="128"/>
      <c r="AI120" s="128"/>
    </row>
    <row r="121" spans="2:35" customFormat="1" ht="14.25" x14ac:dyDescent="0.45">
      <c r="B121" s="14" t="s">
        <v>2619</v>
      </c>
      <c r="C121" s="14" t="s">
        <v>2522</v>
      </c>
      <c r="D121" s="15" t="s">
        <v>2620</v>
      </c>
      <c r="E121" s="16" t="s">
        <v>1415</v>
      </c>
      <c r="F121" s="14" t="s">
        <v>2556</v>
      </c>
      <c r="G121" s="119"/>
      <c r="H121" s="119"/>
      <c r="K121" s="126"/>
      <c r="L121" s="127">
        <f t="shared" ref="L121:AE121" si="40">IF(L$80&lt;=0,0,IF(L$120&lt;=0,L$117,MIN($F$5,IF(L$117-(L$119-L$80)/L$120&lt;=0,L$117/2,L$117-(L$119-L$80)/L$120))))</f>
        <v>0</v>
      </c>
      <c r="M121" s="127">
        <f t="shared" si="40"/>
        <v>0</v>
      </c>
      <c r="N121" s="127">
        <f t="shared" si="40"/>
        <v>0</v>
      </c>
      <c r="O121" s="127">
        <f t="shared" si="40"/>
        <v>0</v>
      </c>
      <c r="P121" s="127">
        <f t="shared" si="40"/>
        <v>0</v>
      </c>
      <c r="Q121" s="127">
        <f t="shared" si="40"/>
        <v>0</v>
      </c>
      <c r="R121" s="127">
        <f t="shared" si="40"/>
        <v>0</v>
      </c>
      <c r="S121" s="127">
        <f t="shared" si="40"/>
        <v>0</v>
      </c>
      <c r="T121" s="127">
        <f t="shared" si="40"/>
        <v>0</v>
      </c>
      <c r="U121" s="127">
        <f t="shared" si="40"/>
        <v>0</v>
      </c>
      <c r="V121" s="127">
        <f t="shared" si="40"/>
        <v>0</v>
      </c>
      <c r="W121" s="127">
        <f t="shared" si="40"/>
        <v>0</v>
      </c>
      <c r="X121" s="127">
        <f t="shared" si="40"/>
        <v>0</v>
      </c>
      <c r="Y121" s="127">
        <f t="shared" si="40"/>
        <v>0</v>
      </c>
      <c r="Z121" s="127">
        <f t="shared" si="40"/>
        <v>0</v>
      </c>
      <c r="AA121" s="127">
        <f t="shared" si="40"/>
        <v>0</v>
      </c>
      <c r="AB121" s="127">
        <f t="shared" si="40"/>
        <v>0</v>
      </c>
      <c r="AC121" s="127">
        <f t="shared" si="40"/>
        <v>0</v>
      </c>
      <c r="AD121" s="127">
        <f t="shared" si="40"/>
        <v>0</v>
      </c>
      <c r="AE121" s="127">
        <f t="shared" si="40"/>
        <v>0</v>
      </c>
      <c r="AF121" s="128"/>
      <c r="AG121" s="128"/>
      <c r="AH121" s="128"/>
      <c r="AI121" s="128"/>
    </row>
    <row r="122" spans="2:35" customFormat="1" ht="14.25" x14ac:dyDescent="0.45">
      <c r="B122" s="14" t="s">
        <v>2621</v>
      </c>
      <c r="C122" s="14" t="s">
        <v>2522</v>
      </c>
      <c r="D122" s="15" t="s">
        <v>2622</v>
      </c>
      <c r="E122" s="16" t="s">
        <v>1967</v>
      </c>
      <c r="F122" s="14" t="s">
        <v>2546</v>
      </c>
      <c r="G122" s="119"/>
      <c r="H122" s="119"/>
      <c r="K122" s="126"/>
      <c r="L122" s="129">
        <f t="shared" ref="L122:AE122" si="41">SUMPRODUCT(L$37:L$44*(1-EXP(-L$47:L$54*L$121)))+SUMPRODUCT(L$67:L$74*(1-EXP(-L$57:L$64*L$121)))</f>
        <v>0</v>
      </c>
      <c r="M122" s="129">
        <f t="shared" si="41"/>
        <v>0</v>
      </c>
      <c r="N122" s="129">
        <f t="shared" si="41"/>
        <v>0</v>
      </c>
      <c r="O122" s="129">
        <f t="shared" si="41"/>
        <v>0</v>
      </c>
      <c r="P122" s="129">
        <f t="shared" si="41"/>
        <v>0</v>
      </c>
      <c r="Q122" s="129">
        <f t="shared" si="41"/>
        <v>0</v>
      </c>
      <c r="R122" s="129">
        <f t="shared" si="41"/>
        <v>0</v>
      </c>
      <c r="S122" s="129">
        <f t="shared" si="41"/>
        <v>0</v>
      </c>
      <c r="T122" s="129">
        <f t="shared" si="41"/>
        <v>0</v>
      </c>
      <c r="U122" s="129">
        <f t="shared" si="41"/>
        <v>0</v>
      </c>
      <c r="V122" s="129">
        <f t="shared" si="41"/>
        <v>0</v>
      </c>
      <c r="W122" s="129">
        <f t="shared" si="41"/>
        <v>0</v>
      </c>
      <c r="X122" s="129">
        <f t="shared" si="41"/>
        <v>0</v>
      </c>
      <c r="Y122" s="129">
        <f t="shared" si="41"/>
        <v>0</v>
      </c>
      <c r="Z122" s="129">
        <f t="shared" si="41"/>
        <v>0</v>
      </c>
      <c r="AA122" s="129">
        <f t="shared" si="41"/>
        <v>0</v>
      </c>
      <c r="AB122" s="129">
        <f t="shared" si="41"/>
        <v>0</v>
      </c>
      <c r="AC122" s="129">
        <f t="shared" si="41"/>
        <v>0</v>
      </c>
      <c r="AD122" s="129">
        <f t="shared" si="41"/>
        <v>0</v>
      </c>
      <c r="AE122" s="129">
        <f t="shared" si="41"/>
        <v>0</v>
      </c>
      <c r="AF122" s="128"/>
      <c r="AG122" s="128"/>
      <c r="AH122" s="128"/>
      <c r="AI122" s="128"/>
    </row>
    <row r="123" spans="2:35" customFormat="1" ht="14.25" x14ac:dyDescent="0.45">
      <c r="B123" s="14" t="s">
        <v>2623</v>
      </c>
      <c r="C123" s="14" t="s">
        <v>2522</v>
      </c>
      <c r="D123" s="15" t="s">
        <v>2624</v>
      </c>
      <c r="E123" s="16" t="s">
        <v>1871</v>
      </c>
      <c r="F123" s="14" t="s">
        <v>2549</v>
      </c>
      <c r="G123" s="119"/>
      <c r="H123" s="119"/>
      <c r="K123" s="126"/>
      <c r="L123" s="127">
        <f t="shared" ref="L123:AE123" si="42">IF($F$4="COST",(SUMPRODUCT(L$37:L$44*((1-EXP(-L$47:L$54*L$121))/(L$47:L$54+(L$47:L$54=0))-L$121*EXP(-L$47:L$54*L$121)*(L$47:L$54&lt;&gt;0)))+SUMPRODUCT(L$67:L$74*((1-EXP(-L$57:L$64*L$121))/(L$57:L$64+(L$57:L$64=0))-L$121*EXP(-L$57:L$64*L$121)*(L$57:L$64&lt;&gt;0)))),L$121*L$122)</f>
        <v>0</v>
      </c>
      <c r="M123" s="127">
        <f t="shared" si="42"/>
        <v>0</v>
      </c>
      <c r="N123" s="127">
        <f t="shared" si="42"/>
        <v>0</v>
      </c>
      <c r="O123" s="127">
        <f t="shared" si="42"/>
        <v>0</v>
      </c>
      <c r="P123" s="127">
        <f t="shared" si="42"/>
        <v>0</v>
      </c>
      <c r="Q123" s="127">
        <f t="shared" si="42"/>
        <v>0</v>
      </c>
      <c r="R123" s="127">
        <f t="shared" si="42"/>
        <v>0</v>
      </c>
      <c r="S123" s="127">
        <f t="shared" si="42"/>
        <v>0</v>
      </c>
      <c r="T123" s="127">
        <f t="shared" si="42"/>
        <v>0</v>
      </c>
      <c r="U123" s="127">
        <f t="shared" si="42"/>
        <v>0</v>
      </c>
      <c r="V123" s="127">
        <f t="shared" si="42"/>
        <v>0</v>
      </c>
      <c r="W123" s="127">
        <f t="shared" si="42"/>
        <v>0</v>
      </c>
      <c r="X123" s="127">
        <f t="shared" si="42"/>
        <v>0</v>
      </c>
      <c r="Y123" s="127">
        <f t="shared" si="42"/>
        <v>0</v>
      </c>
      <c r="Z123" s="127">
        <f t="shared" si="42"/>
        <v>0</v>
      </c>
      <c r="AA123" s="127">
        <f t="shared" si="42"/>
        <v>0</v>
      </c>
      <c r="AB123" s="127">
        <f t="shared" si="42"/>
        <v>0</v>
      </c>
      <c r="AC123" s="127">
        <f t="shared" si="42"/>
        <v>0</v>
      </c>
      <c r="AD123" s="127">
        <f t="shared" si="42"/>
        <v>0</v>
      </c>
      <c r="AE123" s="127">
        <f t="shared" si="42"/>
        <v>0</v>
      </c>
      <c r="AF123" s="128"/>
      <c r="AG123" s="128"/>
      <c r="AH123" s="128"/>
      <c r="AI123" s="128"/>
    </row>
    <row r="124" spans="2:35" customFormat="1" ht="14.25" x14ac:dyDescent="0.45">
      <c r="B124" s="14" t="s">
        <v>2625</v>
      </c>
      <c r="C124" s="14" t="s">
        <v>2522</v>
      </c>
      <c r="D124" s="15" t="s">
        <v>2626</v>
      </c>
      <c r="E124" s="16" t="s">
        <v>2552</v>
      </c>
      <c r="F124" s="14" t="s">
        <v>2553</v>
      </c>
      <c r="G124" s="119"/>
      <c r="H124" s="119"/>
      <c r="K124" s="126"/>
      <c r="L124" s="129">
        <f t="shared" ref="L124:AE124" si="43">IF($F$4="COST",L$121*(SUMPRODUCT(L$37:L$44*L$47:L$54*EXP(-L$47:L$54*L$121))+SUMPRODUCT(L$67:L$74*L$57:L$64*EXP(-L$57:L$64*L$121))),L$122+L$121*(SUMPRODUCT(L$37:L$44*L$47:L$54*EXP(-L$47:L$54*L$121))+SUMPRODUCT(L$67:L$74*L$57:L$64*EXP(-L$57:L$64*L$121))))</f>
        <v>0</v>
      </c>
      <c r="M124" s="129">
        <f t="shared" si="43"/>
        <v>0</v>
      </c>
      <c r="N124" s="129">
        <f t="shared" si="43"/>
        <v>0</v>
      </c>
      <c r="O124" s="129">
        <f t="shared" si="43"/>
        <v>0</v>
      </c>
      <c r="P124" s="129">
        <f t="shared" si="43"/>
        <v>0</v>
      </c>
      <c r="Q124" s="129">
        <f t="shared" si="43"/>
        <v>0</v>
      </c>
      <c r="R124" s="129">
        <f t="shared" si="43"/>
        <v>0</v>
      </c>
      <c r="S124" s="129">
        <f t="shared" si="43"/>
        <v>0</v>
      </c>
      <c r="T124" s="129">
        <f t="shared" si="43"/>
        <v>0</v>
      </c>
      <c r="U124" s="129">
        <f t="shared" si="43"/>
        <v>0</v>
      </c>
      <c r="V124" s="129">
        <f t="shared" si="43"/>
        <v>0</v>
      </c>
      <c r="W124" s="129">
        <f t="shared" si="43"/>
        <v>0</v>
      </c>
      <c r="X124" s="129">
        <f t="shared" si="43"/>
        <v>0</v>
      </c>
      <c r="Y124" s="129">
        <f t="shared" si="43"/>
        <v>0</v>
      </c>
      <c r="Z124" s="129">
        <f t="shared" si="43"/>
        <v>0</v>
      </c>
      <c r="AA124" s="129">
        <f t="shared" si="43"/>
        <v>0</v>
      </c>
      <c r="AB124" s="129">
        <f t="shared" si="43"/>
        <v>0</v>
      </c>
      <c r="AC124" s="129">
        <f t="shared" si="43"/>
        <v>0</v>
      </c>
      <c r="AD124" s="129">
        <f t="shared" si="43"/>
        <v>0</v>
      </c>
      <c r="AE124" s="129">
        <f t="shared" si="43"/>
        <v>0</v>
      </c>
      <c r="AF124" s="128"/>
      <c r="AG124" s="128"/>
      <c r="AH124" s="128"/>
      <c r="AI124" s="128"/>
    </row>
    <row r="125" spans="2:35" customFormat="1" ht="14.25" x14ac:dyDescent="0.45">
      <c r="B125" s="14" t="s">
        <v>2627</v>
      </c>
      <c r="C125" s="14" t="s">
        <v>2522</v>
      </c>
      <c r="D125" s="15" t="s">
        <v>2628</v>
      </c>
      <c r="E125" s="16" t="s">
        <v>1415</v>
      </c>
      <c r="F125" s="14" t="s">
        <v>2556</v>
      </c>
      <c r="G125" s="119"/>
      <c r="H125" s="119"/>
      <c r="K125" s="126"/>
      <c r="L125" s="127">
        <f t="shared" ref="L125:AE125" si="44">IF(L$80&lt;=0,0,IF(L$124&lt;=0,L$121,MIN($F$5,IF(L$121-(L$123-L$80)/L$124&lt;=0,L$121/2,L$121-(L$123-L$80)/L$124))))</f>
        <v>0</v>
      </c>
      <c r="M125" s="127">
        <f t="shared" si="44"/>
        <v>0</v>
      </c>
      <c r="N125" s="127">
        <f t="shared" si="44"/>
        <v>0</v>
      </c>
      <c r="O125" s="127">
        <f t="shared" si="44"/>
        <v>0</v>
      </c>
      <c r="P125" s="127">
        <f t="shared" si="44"/>
        <v>0</v>
      </c>
      <c r="Q125" s="127">
        <f t="shared" si="44"/>
        <v>0</v>
      </c>
      <c r="R125" s="127">
        <f t="shared" si="44"/>
        <v>0</v>
      </c>
      <c r="S125" s="127">
        <f t="shared" si="44"/>
        <v>0</v>
      </c>
      <c r="T125" s="127">
        <f t="shared" si="44"/>
        <v>0</v>
      </c>
      <c r="U125" s="127">
        <f t="shared" si="44"/>
        <v>0</v>
      </c>
      <c r="V125" s="127">
        <f t="shared" si="44"/>
        <v>0</v>
      </c>
      <c r="W125" s="127">
        <f t="shared" si="44"/>
        <v>0</v>
      </c>
      <c r="X125" s="127">
        <f t="shared" si="44"/>
        <v>0</v>
      </c>
      <c r="Y125" s="127">
        <f t="shared" si="44"/>
        <v>0</v>
      </c>
      <c r="Z125" s="127">
        <f t="shared" si="44"/>
        <v>0</v>
      </c>
      <c r="AA125" s="127">
        <f t="shared" si="44"/>
        <v>0</v>
      </c>
      <c r="AB125" s="127">
        <f t="shared" si="44"/>
        <v>0</v>
      </c>
      <c r="AC125" s="127">
        <f t="shared" si="44"/>
        <v>0</v>
      </c>
      <c r="AD125" s="127">
        <f t="shared" si="44"/>
        <v>0</v>
      </c>
      <c r="AE125" s="127">
        <f t="shared" si="44"/>
        <v>0</v>
      </c>
      <c r="AF125" s="128"/>
      <c r="AG125" s="128"/>
      <c r="AH125" s="128"/>
      <c r="AI125" s="128"/>
    </row>
    <row r="126" spans="2:35" customFormat="1" ht="14.25" x14ac:dyDescent="0.45">
      <c r="B126" s="14" t="s">
        <v>2629</v>
      </c>
      <c r="C126" s="14" t="s">
        <v>2522</v>
      </c>
      <c r="D126" s="15" t="s">
        <v>2630</v>
      </c>
      <c r="E126" s="16" t="s">
        <v>1967</v>
      </c>
      <c r="F126" s="14" t="s">
        <v>2546</v>
      </c>
      <c r="G126" s="119"/>
      <c r="H126" s="119"/>
      <c r="K126" s="126"/>
      <c r="L126" s="129">
        <f t="shared" ref="L126:AE126" si="45">SUMPRODUCT(L$37:L$44*(1-EXP(-L$47:L$54*L$125)))+SUMPRODUCT(L$67:L$74*(1-EXP(-L$57:L$64*L$125)))</f>
        <v>0</v>
      </c>
      <c r="M126" s="129">
        <f t="shared" si="45"/>
        <v>0</v>
      </c>
      <c r="N126" s="129">
        <f t="shared" si="45"/>
        <v>0</v>
      </c>
      <c r="O126" s="129">
        <f t="shared" si="45"/>
        <v>0</v>
      </c>
      <c r="P126" s="129">
        <f t="shared" si="45"/>
        <v>0</v>
      </c>
      <c r="Q126" s="129">
        <f t="shared" si="45"/>
        <v>0</v>
      </c>
      <c r="R126" s="129">
        <f t="shared" si="45"/>
        <v>0</v>
      </c>
      <c r="S126" s="129">
        <f t="shared" si="45"/>
        <v>0</v>
      </c>
      <c r="T126" s="129">
        <f t="shared" si="45"/>
        <v>0</v>
      </c>
      <c r="U126" s="129">
        <f t="shared" si="45"/>
        <v>0</v>
      </c>
      <c r="V126" s="129">
        <f t="shared" si="45"/>
        <v>0</v>
      </c>
      <c r="W126" s="129">
        <f t="shared" si="45"/>
        <v>0</v>
      </c>
      <c r="X126" s="129">
        <f t="shared" si="45"/>
        <v>0</v>
      </c>
      <c r="Y126" s="129">
        <f t="shared" si="45"/>
        <v>0</v>
      </c>
      <c r="Z126" s="129">
        <f t="shared" si="45"/>
        <v>0</v>
      </c>
      <c r="AA126" s="129">
        <f t="shared" si="45"/>
        <v>0</v>
      </c>
      <c r="AB126" s="129">
        <f t="shared" si="45"/>
        <v>0</v>
      </c>
      <c r="AC126" s="129">
        <f t="shared" si="45"/>
        <v>0</v>
      </c>
      <c r="AD126" s="129">
        <f t="shared" si="45"/>
        <v>0</v>
      </c>
      <c r="AE126" s="129">
        <f t="shared" si="45"/>
        <v>0</v>
      </c>
      <c r="AF126" s="128"/>
      <c r="AG126" s="128"/>
      <c r="AH126" s="128"/>
      <c r="AI126" s="128"/>
    </row>
    <row r="127" spans="2:35" customFormat="1" ht="14.25" x14ac:dyDescent="0.45">
      <c r="B127" s="14" t="s">
        <v>2631</v>
      </c>
      <c r="C127" s="14" t="s">
        <v>2522</v>
      </c>
      <c r="D127" s="15" t="s">
        <v>2632</v>
      </c>
      <c r="E127" s="16" t="s">
        <v>1871</v>
      </c>
      <c r="F127" s="14" t="s">
        <v>2549</v>
      </c>
      <c r="G127" s="119"/>
      <c r="H127" s="119"/>
      <c r="K127" s="126"/>
      <c r="L127" s="127">
        <f t="shared" ref="L127:AE127" si="46">IF($F$4="COST",(SUMPRODUCT(L$37:L$44*((1-EXP(-L$47:L$54*L$125))/(L$47:L$54+(L$47:L$54=0))-L$125*EXP(-L$47:L$54*L$125)*(L$47:L$54&lt;&gt;0)))+SUMPRODUCT(L$67:L$74*((1-EXP(-L$57:L$64*L$125))/(L$57:L$64+(L$57:L$64=0))-L$125*EXP(-L$57:L$64*L$125)*(L$57:L$64&lt;&gt;0)))),L$125*L$126)</f>
        <v>0</v>
      </c>
      <c r="M127" s="127">
        <f t="shared" si="46"/>
        <v>0</v>
      </c>
      <c r="N127" s="127">
        <f t="shared" si="46"/>
        <v>0</v>
      </c>
      <c r="O127" s="127">
        <f t="shared" si="46"/>
        <v>0</v>
      </c>
      <c r="P127" s="127">
        <f t="shared" si="46"/>
        <v>0</v>
      </c>
      <c r="Q127" s="127">
        <f t="shared" si="46"/>
        <v>0</v>
      </c>
      <c r="R127" s="127">
        <f t="shared" si="46"/>
        <v>0</v>
      </c>
      <c r="S127" s="127">
        <f t="shared" si="46"/>
        <v>0</v>
      </c>
      <c r="T127" s="127">
        <f t="shared" si="46"/>
        <v>0</v>
      </c>
      <c r="U127" s="127">
        <f t="shared" si="46"/>
        <v>0</v>
      </c>
      <c r="V127" s="127">
        <f t="shared" si="46"/>
        <v>0</v>
      </c>
      <c r="W127" s="127">
        <f t="shared" si="46"/>
        <v>0</v>
      </c>
      <c r="X127" s="127">
        <f t="shared" si="46"/>
        <v>0</v>
      </c>
      <c r="Y127" s="127">
        <f t="shared" si="46"/>
        <v>0</v>
      </c>
      <c r="Z127" s="127">
        <f t="shared" si="46"/>
        <v>0</v>
      </c>
      <c r="AA127" s="127">
        <f t="shared" si="46"/>
        <v>0</v>
      </c>
      <c r="AB127" s="127">
        <f t="shared" si="46"/>
        <v>0</v>
      </c>
      <c r="AC127" s="127">
        <f t="shared" si="46"/>
        <v>0</v>
      </c>
      <c r="AD127" s="127">
        <f t="shared" si="46"/>
        <v>0</v>
      </c>
      <c r="AE127" s="127">
        <f t="shared" si="46"/>
        <v>0</v>
      </c>
      <c r="AF127" s="128"/>
      <c r="AG127" s="128"/>
      <c r="AH127" s="128"/>
      <c r="AI127" s="128"/>
    </row>
    <row r="128" spans="2:35" customFormat="1" ht="14.25" x14ac:dyDescent="0.45">
      <c r="B128" s="14" t="s">
        <v>2633</v>
      </c>
      <c r="C128" s="14" t="s">
        <v>2522</v>
      </c>
      <c r="D128" s="15" t="s">
        <v>2634</v>
      </c>
      <c r="E128" s="16" t="s">
        <v>2552</v>
      </c>
      <c r="F128" s="14" t="s">
        <v>2553</v>
      </c>
      <c r="G128" s="119"/>
      <c r="H128" s="119"/>
      <c r="K128" s="126"/>
      <c r="L128" s="129">
        <f t="shared" ref="L128:AE128" si="47">IF($F$4="COST",L$125*(SUMPRODUCT(L$37:L$44*L$47:L$54*EXP(-L$47:L$54*L$125))+SUMPRODUCT(L$67:L$74*L$57:L$64*EXP(-L$57:L$64*L$125))),L$126+L$125*(SUMPRODUCT(L$37:L$44*L$47:L$54*EXP(-L$47:L$54*L$125))+SUMPRODUCT(L$67:L$74*L$57:L$64*EXP(-L$57:L$64*L$125))))</f>
        <v>0</v>
      </c>
      <c r="M128" s="129">
        <f t="shared" si="47"/>
        <v>0</v>
      </c>
      <c r="N128" s="129">
        <f t="shared" si="47"/>
        <v>0</v>
      </c>
      <c r="O128" s="129">
        <f t="shared" si="47"/>
        <v>0</v>
      </c>
      <c r="P128" s="129">
        <f t="shared" si="47"/>
        <v>0</v>
      </c>
      <c r="Q128" s="129">
        <f t="shared" si="47"/>
        <v>0</v>
      </c>
      <c r="R128" s="129">
        <f t="shared" si="47"/>
        <v>0</v>
      </c>
      <c r="S128" s="129">
        <f t="shared" si="47"/>
        <v>0</v>
      </c>
      <c r="T128" s="129">
        <f t="shared" si="47"/>
        <v>0</v>
      </c>
      <c r="U128" s="129">
        <f t="shared" si="47"/>
        <v>0</v>
      </c>
      <c r="V128" s="129">
        <f t="shared" si="47"/>
        <v>0</v>
      </c>
      <c r="W128" s="129">
        <f t="shared" si="47"/>
        <v>0</v>
      </c>
      <c r="X128" s="129">
        <f t="shared" si="47"/>
        <v>0</v>
      </c>
      <c r="Y128" s="129">
        <f t="shared" si="47"/>
        <v>0</v>
      </c>
      <c r="Z128" s="129">
        <f t="shared" si="47"/>
        <v>0</v>
      </c>
      <c r="AA128" s="129">
        <f t="shared" si="47"/>
        <v>0</v>
      </c>
      <c r="AB128" s="129">
        <f t="shared" si="47"/>
        <v>0</v>
      </c>
      <c r="AC128" s="129">
        <f t="shared" si="47"/>
        <v>0</v>
      </c>
      <c r="AD128" s="129">
        <f t="shared" si="47"/>
        <v>0</v>
      </c>
      <c r="AE128" s="129">
        <f t="shared" si="47"/>
        <v>0</v>
      </c>
      <c r="AF128" s="128"/>
      <c r="AG128" s="128"/>
      <c r="AH128" s="128"/>
      <c r="AI128" s="128"/>
    </row>
    <row r="129" spans="2:35" customFormat="1" ht="14.25" x14ac:dyDescent="0.45">
      <c r="B129" s="14" t="s">
        <v>2635</v>
      </c>
      <c r="C129" s="14" t="s">
        <v>2522</v>
      </c>
      <c r="D129" s="15" t="s">
        <v>2636</v>
      </c>
      <c r="E129" s="16" t="s">
        <v>1415</v>
      </c>
      <c r="F129" s="14" t="s">
        <v>2556</v>
      </c>
      <c r="G129" s="119"/>
      <c r="H129" s="119"/>
      <c r="K129" s="126"/>
      <c r="L129" s="127">
        <f t="shared" ref="L129:AE129" si="48">IF(L$80&lt;=0,0,IF(L$128&lt;=0,L$125,MIN($F$5,IF(L$125-(L$127-L$80)/L$128&lt;=0,L$125/2,L$125-(L$127-L$80)/L$128))))</f>
        <v>0</v>
      </c>
      <c r="M129" s="127">
        <f t="shared" si="48"/>
        <v>0</v>
      </c>
      <c r="N129" s="127">
        <f t="shared" si="48"/>
        <v>0</v>
      </c>
      <c r="O129" s="127">
        <f t="shared" si="48"/>
        <v>0</v>
      </c>
      <c r="P129" s="127">
        <f t="shared" si="48"/>
        <v>0</v>
      </c>
      <c r="Q129" s="127">
        <f t="shared" si="48"/>
        <v>0</v>
      </c>
      <c r="R129" s="127">
        <f t="shared" si="48"/>
        <v>0</v>
      </c>
      <c r="S129" s="127">
        <f t="shared" si="48"/>
        <v>0</v>
      </c>
      <c r="T129" s="127">
        <f t="shared" si="48"/>
        <v>0</v>
      </c>
      <c r="U129" s="127">
        <f t="shared" si="48"/>
        <v>0</v>
      </c>
      <c r="V129" s="127">
        <f t="shared" si="48"/>
        <v>0</v>
      </c>
      <c r="W129" s="127">
        <f t="shared" si="48"/>
        <v>0</v>
      </c>
      <c r="X129" s="127">
        <f t="shared" si="48"/>
        <v>0</v>
      </c>
      <c r="Y129" s="127">
        <f t="shared" si="48"/>
        <v>0</v>
      </c>
      <c r="Z129" s="127">
        <f t="shared" si="48"/>
        <v>0</v>
      </c>
      <c r="AA129" s="127">
        <f t="shared" si="48"/>
        <v>0</v>
      </c>
      <c r="AB129" s="127">
        <f t="shared" si="48"/>
        <v>0</v>
      </c>
      <c r="AC129" s="127">
        <f t="shared" si="48"/>
        <v>0</v>
      </c>
      <c r="AD129" s="127">
        <f t="shared" si="48"/>
        <v>0</v>
      </c>
      <c r="AE129" s="127">
        <f t="shared" si="48"/>
        <v>0</v>
      </c>
      <c r="AF129" s="128"/>
      <c r="AG129" s="128"/>
      <c r="AH129" s="128"/>
      <c r="AI129" s="128"/>
    </row>
    <row r="130" spans="2:35" customFormat="1" ht="14.25" x14ac:dyDescent="0.45">
      <c r="B130" s="14" t="s">
        <v>2637</v>
      </c>
      <c r="C130" s="14" t="s">
        <v>2522</v>
      </c>
      <c r="D130" s="15" t="s">
        <v>2638</v>
      </c>
      <c r="E130" s="16" t="s">
        <v>1967</v>
      </c>
      <c r="F130" s="14" t="s">
        <v>2546</v>
      </c>
      <c r="G130" s="119"/>
      <c r="H130" s="119"/>
      <c r="K130" s="126"/>
      <c r="L130" s="129">
        <f t="shared" ref="L130:AE130" si="49">SUMPRODUCT(L$37:L$44*(1-EXP(-L$47:L$54*L$129)))+SUMPRODUCT(L$67:L$74*(1-EXP(-L$57:L$64*L$129)))</f>
        <v>0</v>
      </c>
      <c r="M130" s="129">
        <f t="shared" si="49"/>
        <v>0</v>
      </c>
      <c r="N130" s="129">
        <f t="shared" si="49"/>
        <v>0</v>
      </c>
      <c r="O130" s="129">
        <f t="shared" si="49"/>
        <v>0</v>
      </c>
      <c r="P130" s="129">
        <f t="shared" si="49"/>
        <v>0</v>
      </c>
      <c r="Q130" s="129">
        <f t="shared" si="49"/>
        <v>0</v>
      </c>
      <c r="R130" s="129">
        <f t="shared" si="49"/>
        <v>0</v>
      </c>
      <c r="S130" s="129">
        <f t="shared" si="49"/>
        <v>0</v>
      </c>
      <c r="T130" s="129">
        <f t="shared" si="49"/>
        <v>0</v>
      </c>
      <c r="U130" s="129">
        <f t="shared" si="49"/>
        <v>0</v>
      </c>
      <c r="V130" s="129">
        <f t="shared" si="49"/>
        <v>0</v>
      </c>
      <c r="W130" s="129">
        <f t="shared" si="49"/>
        <v>0</v>
      </c>
      <c r="X130" s="129">
        <f t="shared" si="49"/>
        <v>0</v>
      </c>
      <c r="Y130" s="129">
        <f t="shared" si="49"/>
        <v>0</v>
      </c>
      <c r="Z130" s="129">
        <f t="shared" si="49"/>
        <v>0</v>
      </c>
      <c r="AA130" s="129">
        <f t="shared" si="49"/>
        <v>0</v>
      </c>
      <c r="AB130" s="129">
        <f t="shared" si="49"/>
        <v>0</v>
      </c>
      <c r="AC130" s="129">
        <f t="shared" si="49"/>
        <v>0</v>
      </c>
      <c r="AD130" s="129">
        <f t="shared" si="49"/>
        <v>0</v>
      </c>
      <c r="AE130" s="129">
        <f t="shared" si="49"/>
        <v>0</v>
      </c>
      <c r="AF130" s="128"/>
      <c r="AG130" s="128"/>
      <c r="AH130" s="128"/>
      <c r="AI130" s="128"/>
    </row>
    <row r="131" spans="2:35" customFormat="1" ht="14.25" x14ac:dyDescent="0.45">
      <c r="B131" s="14" t="s">
        <v>2639</v>
      </c>
      <c r="C131" s="14" t="s">
        <v>2522</v>
      </c>
      <c r="D131" s="15" t="s">
        <v>2640</v>
      </c>
      <c r="E131" s="16" t="s">
        <v>1871</v>
      </c>
      <c r="F131" s="14" t="s">
        <v>2549</v>
      </c>
      <c r="G131" s="119"/>
      <c r="H131" s="119"/>
      <c r="K131" s="126"/>
      <c r="L131" s="127">
        <f t="shared" ref="L131:AE131" si="50">IF($F$4="COST",(SUMPRODUCT(L$37:L$44*((1-EXP(-L$47:L$54*L$129))/(L$47:L$54+(L$47:L$54=0))-L$129*EXP(-L$47:L$54*L$129)*(L$47:L$54&lt;&gt;0)))+SUMPRODUCT(L$67:L$74*((1-EXP(-L$57:L$64*L$129))/(L$57:L$64+(L$57:L$64=0))-L$129*EXP(-L$57:L$64*L$129)*(L$57:L$64&lt;&gt;0)))),L$129*L$130)</f>
        <v>0</v>
      </c>
      <c r="M131" s="127">
        <f t="shared" si="50"/>
        <v>0</v>
      </c>
      <c r="N131" s="127">
        <f t="shared" si="50"/>
        <v>0</v>
      </c>
      <c r="O131" s="127">
        <f t="shared" si="50"/>
        <v>0</v>
      </c>
      <c r="P131" s="127">
        <f t="shared" si="50"/>
        <v>0</v>
      </c>
      <c r="Q131" s="127">
        <f t="shared" si="50"/>
        <v>0</v>
      </c>
      <c r="R131" s="127">
        <f t="shared" si="50"/>
        <v>0</v>
      </c>
      <c r="S131" s="127">
        <f t="shared" si="50"/>
        <v>0</v>
      </c>
      <c r="T131" s="127">
        <f t="shared" si="50"/>
        <v>0</v>
      </c>
      <c r="U131" s="127">
        <f t="shared" si="50"/>
        <v>0</v>
      </c>
      <c r="V131" s="127">
        <f t="shared" si="50"/>
        <v>0</v>
      </c>
      <c r="W131" s="127">
        <f t="shared" si="50"/>
        <v>0</v>
      </c>
      <c r="X131" s="127">
        <f t="shared" si="50"/>
        <v>0</v>
      </c>
      <c r="Y131" s="127">
        <f t="shared" si="50"/>
        <v>0</v>
      </c>
      <c r="Z131" s="127">
        <f t="shared" si="50"/>
        <v>0</v>
      </c>
      <c r="AA131" s="127">
        <f t="shared" si="50"/>
        <v>0</v>
      </c>
      <c r="AB131" s="127">
        <f t="shared" si="50"/>
        <v>0</v>
      </c>
      <c r="AC131" s="127">
        <f t="shared" si="50"/>
        <v>0</v>
      </c>
      <c r="AD131" s="127">
        <f t="shared" si="50"/>
        <v>0</v>
      </c>
      <c r="AE131" s="127">
        <f t="shared" si="50"/>
        <v>0</v>
      </c>
      <c r="AF131" s="128"/>
      <c r="AG131" s="128"/>
      <c r="AH131" s="128"/>
      <c r="AI131" s="128"/>
    </row>
    <row r="132" spans="2:35" customFormat="1" ht="14.25" x14ac:dyDescent="0.45">
      <c r="B132" s="14" t="s">
        <v>2641</v>
      </c>
      <c r="C132" s="14" t="s">
        <v>2522</v>
      </c>
      <c r="D132" s="15" t="s">
        <v>2642</v>
      </c>
      <c r="E132" s="16" t="s">
        <v>2552</v>
      </c>
      <c r="F132" s="14" t="s">
        <v>2553</v>
      </c>
      <c r="G132" s="119"/>
      <c r="H132" s="119"/>
      <c r="K132" s="126"/>
      <c r="L132" s="129">
        <f t="shared" ref="L132:AE132" si="51">IF($F$4="COST",L$129*(SUMPRODUCT(L$37:L$44*L$47:L$54*EXP(-L$47:L$54*L$129))+SUMPRODUCT(L$67:L$74*L$57:L$64*EXP(-L$57:L$64*L$129))),L$130+L$129*(SUMPRODUCT(L$37:L$44*L$47:L$54*EXP(-L$47:L$54*L$129))+SUMPRODUCT(L$67:L$74*L$57:L$64*EXP(-L$57:L$64*L$129))))</f>
        <v>0</v>
      </c>
      <c r="M132" s="129">
        <f t="shared" si="51"/>
        <v>0</v>
      </c>
      <c r="N132" s="129">
        <f t="shared" si="51"/>
        <v>0</v>
      </c>
      <c r="O132" s="129">
        <f t="shared" si="51"/>
        <v>0</v>
      </c>
      <c r="P132" s="129">
        <f t="shared" si="51"/>
        <v>0</v>
      </c>
      <c r="Q132" s="129">
        <f t="shared" si="51"/>
        <v>0</v>
      </c>
      <c r="R132" s="129">
        <f t="shared" si="51"/>
        <v>0</v>
      </c>
      <c r="S132" s="129">
        <f t="shared" si="51"/>
        <v>0</v>
      </c>
      <c r="T132" s="129">
        <f t="shared" si="51"/>
        <v>0</v>
      </c>
      <c r="U132" s="129">
        <f t="shared" si="51"/>
        <v>0</v>
      </c>
      <c r="V132" s="129">
        <f t="shared" si="51"/>
        <v>0</v>
      </c>
      <c r="W132" s="129">
        <f t="shared" si="51"/>
        <v>0</v>
      </c>
      <c r="X132" s="129">
        <f t="shared" si="51"/>
        <v>0</v>
      </c>
      <c r="Y132" s="129">
        <f t="shared" si="51"/>
        <v>0</v>
      </c>
      <c r="Z132" s="129">
        <f t="shared" si="51"/>
        <v>0</v>
      </c>
      <c r="AA132" s="129">
        <f t="shared" si="51"/>
        <v>0</v>
      </c>
      <c r="AB132" s="129">
        <f t="shared" si="51"/>
        <v>0</v>
      </c>
      <c r="AC132" s="129">
        <f t="shared" si="51"/>
        <v>0</v>
      </c>
      <c r="AD132" s="129">
        <f t="shared" si="51"/>
        <v>0</v>
      </c>
      <c r="AE132" s="129">
        <f t="shared" si="51"/>
        <v>0</v>
      </c>
      <c r="AF132" s="128"/>
      <c r="AG132" s="128"/>
      <c r="AH132" s="128"/>
      <c r="AI132" s="128"/>
    </row>
    <row r="133" spans="2:35" customFormat="1" ht="14.25" x14ac:dyDescent="0.45">
      <c r="B133" s="14" t="s">
        <v>2643</v>
      </c>
      <c r="C133" s="14" t="s">
        <v>2522</v>
      </c>
      <c r="D133" s="15" t="s">
        <v>2644</v>
      </c>
      <c r="E133" s="16" t="s">
        <v>1415</v>
      </c>
      <c r="F133" s="14" t="s">
        <v>2556</v>
      </c>
      <c r="G133" s="119"/>
      <c r="H133" s="119"/>
      <c r="K133" s="126"/>
      <c r="L133" s="127">
        <f t="shared" ref="L133:AE133" si="52">IF(L$80&lt;=0,0,IF(L$132&lt;=0,L$129,MIN($F$5,IF(L$129-(L$131-L$80)/L$132&lt;=0,L$129/2,L$129-(L$131-L$80)/L$132))))</f>
        <v>0</v>
      </c>
      <c r="M133" s="127">
        <f t="shared" si="52"/>
        <v>0</v>
      </c>
      <c r="N133" s="127">
        <f t="shared" si="52"/>
        <v>0</v>
      </c>
      <c r="O133" s="127">
        <f t="shared" si="52"/>
        <v>0</v>
      </c>
      <c r="P133" s="127">
        <f t="shared" si="52"/>
        <v>0</v>
      </c>
      <c r="Q133" s="127">
        <f t="shared" si="52"/>
        <v>0</v>
      </c>
      <c r="R133" s="127">
        <f t="shared" si="52"/>
        <v>0</v>
      </c>
      <c r="S133" s="127">
        <f t="shared" si="52"/>
        <v>0</v>
      </c>
      <c r="T133" s="127">
        <f t="shared" si="52"/>
        <v>0</v>
      </c>
      <c r="U133" s="127">
        <f t="shared" si="52"/>
        <v>0</v>
      </c>
      <c r="V133" s="127">
        <f t="shared" si="52"/>
        <v>0</v>
      </c>
      <c r="W133" s="127">
        <f t="shared" si="52"/>
        <v>0</v>
      </c>
      <c r="X133" s="127">
        <f t="shared" si="52"/>
        <v>0</v>
      </c>
      <c r="Y133" s="127">
        <f t="shared" si="52"/>
        <v>0</v>
      </c>
      <c r="Z133" s="127">
        <f t="shared" si="52"/>
        <v>0</v>
      </c>
      <c r="AA133" s="127">
        <f t="shared" si="52"/>
        <v>0</v>
      </c>
      <c r="AB133" s="127">
        <f t="shared" si="52"/>
        <v>0</v>
      </c>
      <c r="AC133" s="127">
        <f t="shared" si="52"/>
        <v>0</v>
      </c>
      <c r="AD133" s="127">
        <f t="shared" si="52"/>
        <v>0</v>
      </c>
      <c r="AE133" s="127">
        <f t="shared" si="52"/>
        <v>0</v>
      </c>
      <c r="AF133" s="128"/>
      <c r="AG133" s="128"/>
      <c r="AH133" s="128"/>
      <c r="AI133" s="128"/>
    </row>
    <row r="134" spans="2:35" customFormat="1" ht="14.25" x14ac:dyDescent="0.45">
      <c r="B134" s="14" t="s">
        <v>2645</v>
      </c>
      <c r="C134" s="14" t="s">
        <v>2522</v>
      </c>
      <c r="D134" s="15" t="s">
        <v>2646</v>
      </c>
      <c r="E134" s="16" t="s">
        <v>1967</v>
      </c>
      <c r="F134" s="14" t="s">
        <v>2546</v>
      </c>
      <c r="G134" s="119"/>
      <c r="H134" s="119"/>
      <c r="K134" s="126"/>
      <c r="L134" s="129">
        <f t="shared" ref="L134:AE134" si="53">SUMPRODUCT(L$37:L$44*(1-EXP(-L$47:L$54*L$133)))+SUMPRODUCT(L$67:L$74*(1-EXP(-L$57:L$64*L$133)))</f>
        <v>0</v>
      </c>
      <c r="M134" s="129">
        <f t="shared" si="53"/>
        <v>0</v>
      </c>
      <c r="N134" s="129">
        <f t="shared" si="53"/>
        <v>0</v>
      </c>
      <c r="O134" s="129">
        <f t="shared" si="53"/>
        <v>0</v>
      </c>
      <c r="P134" s="129">
        <f t="shared" si="53"/>
        <v>0</v>
      </c>
      <c r="Q134" s="129">
        <f t="shared" si="53"/>
        <v>0</v>
      </c>
      <c r="R134" s="129">
        <f t="shared" si="53"/>
        <v>0</v>
      </c>
      <c r="S134" s="129">
        <f t="shared" si="53"/>
        <v>0</v>
      </c>
      <c r="T134" s="129">
        <f t="shared" si="53"/>
        <v>0</v>
      </c>
      <c r="U134" s="129">
        <f t="shared" si="53"/>
        <v>0</v>
      </c>
      <c r="V134" s="129">
        <f t="shared" si="53"/>
        <v>0</v>
      </c>
      <c r="W134" s="129">
        <f t="shared" si="53"/>
        <v>0</v>
      </c>
      <c r="X134" s="129">
        <f t="shared" si="53"/>
        <v>0</v>
      </c>
      <c r="Y134" s="129">
        <f t="shared" si="53"/>
        <v>0</v>
      </c>
      <c r="Z134" s="129">
        <f t="shared" si="53"/>
        <v>0</v>
      </c>
      <c r="AA134" s="129">
        <f t="shared" si="53"/>
        <v>0</v>
      </c>
      <c r="AB134" s="129">
        <f t="shared" si="53"/>
        <v>0</v>
      </c>
      <c r="AC134" s="129">
        <f t="shared" si="53"/>
        <v>0</v>
      </c>
      <c r="AD134" s="129">
        <f t="shared" si="53"/>
        <v>0</v>
      </c>
      <c r="AE134" s="129">
        <f t="shared" si="53"/>
        <v>0</v>
      </c>
      <c r="AF134" s="128"/>
      <c r="AG134" s="128"/>
      <c r="AH134" s="128"/>
      <c r="AI134" s="128"/>
    </row>
    <row r="135" spans="2:35" customFormat="1" ht="14.25" x14ac:dyDescent="0.45">
      <c r="B135" s="14" t="s">
        <v>2647</v>
      </c>
      <c r="C135" s="14" t="s">
        <v>2522</v>
      </c>
      <c r="D135" s="15" t="s">
        <v>2648</v>
      </c>
      <c r="E135" s="16" t="s">
        <v>1871</v>
      </c>
      <c r="F135" s="14" t="s">
        <v>2549</v>
      </c>
      <c r="G135" s="119"/>
      <c r="H135" s="119"/>
      <c r="K135" s="126"/>
      <c r="L135" s="127">
        <f t="shared" ref="L135:AE135" si="54">IF($F$4="COST",(SUMPRODUCT(L$37:L$44*((1-EXP(-L$47:L$54*L$133))/(L$47:L$54+(L$47:L$54=0))-L$133*EXP(-L$47:L$54*L$133)*(L$47:L$54&lt;&gt;0)))+SUMPRODUCT(L$67:L$74*((1-EXP(-L$57:L$64*L$133))/(L$57:L$64+(L$57:L$64=0))-L$133*EXP(-L$57:L$64*L$133)*(L$57:L$64&lt;&gt;0)))),L$133*L$134)</f>
        <v>0</v>
      </c>
      <c r="M135" s="127">
        <f t="shared" si="54"/>
        <v>0</v>
      </c>
      <c r="N135" s="127">
        <f t="shared" si="54"/>
        <v>0</v>
      </c>
      <c r="O135" s="127">
        <f t="shared" si="54"/>
        <v>0</v>
      </c>
      <c r="P135" s="127">
        <f t="shared" si="54"/>
        <v>0</v>
      </c>
      <c r="Q135" s="127">
        <f t="shared" si="54"/>
        <v>0</v>
      </c>
      <c r="R135" s="127">
        <f t="shared" si="54"/>
        <v>0</v>
      </c>
      <c r="S135" s="127">
        <f t="shared" si="54"/>
        <v>0</v>
      </c>
      <c r="T135" s="127">
        <f t="shared" si="54"/>
        <v>0</v>
      </c>
      <c r="U135" s="127">
        <f t="shared" si="54"/>
        <v>0</v>
      </c>
      <c r="V135" s="127">
        <f t="shared" si="54"/>
        <v>0</v>
      </c>
      <c r="W135" s="127">
        <f t="shared" si="54"/>
        <v>0</v>
      </c>
      <c r="X135" s="127">
        <f t="shared" si="54"/>
        <v>0</v>
      </c>
      <c r="Y135" s="127">
        <f t="shared" si="54"/>
        <v>0</v>
      </c>
      <c r="Z135" s="127">
        <f t="shared" si="54"/>
        <v>0</v>
      </c>
      <c r="AA135" s="127">
        <f t="shared" si="54"/>
        <v>0</v>
      </c>
      <c r="AB135" s="127">
        <f t="shared" si="54"/>
        <v>0</v>
      </c>
      <c r="AC135" s="127">
        <f t="shared" si="54"/>
        <v>0</v>
      </c>
      <c r="AD135" s="127">
        <f t="shared" si="54"/>
        <v>0</v>
      </c>
      <c r="AE135" s="127">
        <f t="shared" si="54"/>
        <v>0</v>
      </c>
      <c r="AF135" s="128"/>
      <c r="AG135" s="128"/>
      <c r="AH135" s="128"/>
      <c r="AI135" s="128"/>
    </row>
    <row r="136" spans="2:35" customFormat="1" ht="14.25" x14ac:dyDescent="0.45">
      <c r="B136" s="14" t="s">
        <v>2649</v>
      </c>
      <c r="C136" s="14" t="s">
        <v>2522</v>
      </c>
      <c r="D136" s="15" t="s">
        <v>2650</v>
      </c>
      <c r="E136" s="16" t="s">
        <v>2552</v>
      </c>
      <c r="F136" s="14" t="s">
        <v>2553</v>
      </c>
      <c r="G136" s="119"/>
      <c r="H136" s="119"/>
      <c r="K136" s="126"/>
      <c r="L136" s="129">
        <f t="shared" ref="L136:AE136" si="55">IF($F$4="COST",L$133*(SUMPRODUCT(L$37:L$44*L$47:L$54*EXP(-L$47:L$54*L$133))+SUMPRODUCT(L$67:L$74*L$57:L$64*EXP(-L$57:L$64*L$133))),L$134+L$133*(SUMPRODUCT(L$37:L$44*L$47:L$54*EXP(-L$47:L$54*L$133))+SUMPRODUCT(L$67:L$74*L$57:L$64*EXP(-L$57:L$64*L$133))))</f>
        <v>0</v>
      </c>
      <c r="M136" s="129">
        <f t="shared" si="55"/>
        <v>0</v>
      </c>
      <c r="N136" s="129">
        <f t="shared" si="55"/>
        <v>0</v>
      </c>
      <c r="O136" s="129">
        <f t="shared" si="55"/>
        <v>0</v>
      </c>
      <c r="P136" s="129">
        <f t="shared" si="55"/>
        <v>0</v>
      </c>
      <c r="Q136" s="129">
        <f t="shared" si="55"/>
        <v>0</v>
      </c>
      <c r="R136" s="129">
        <f t="shared" si="55"/>
        <v>0</v>
      </c>
      <c r="S136" s="129">
        <f t="shared" si="55"/>
        <v>0</v>
      </c>
      <c r="T136" s="129">
        <f t="shared" si="55"/>
        <v>0</v>
      </c>
      <c r="U136" s="129">
        <f t="shared" si="55"/>
        <v>0</v>
      </c>
      <c r="V136" s="129">
        <f t="shared" si="55"/>
        <v>0</v>
      </c>
      <c r="W136" s="129">
        <f t="shared" si="55"/>
        <v>0</v>
      </c>
      <c r="X136" s="129">
        <f t="shared" si="55"/>
        <v>0</v>
      </c>
      <c r="Y136" s="129">
        <f t="shared" si="55"/>
        <v>0</v>
      </c>
      <c r="Z136" s="129">
        <f t="shared" si="55"/>
        <v>0</v>
      </c>
      <c r="AA136" s="129">
        <f t="shared" si="55"/>
        <v>0</v>
      </c>
      <c r="AB136" s="129">
        <f t="shared" si="55"/>
        <v>0</v>
      </c>
      <c r="AC136" s="129">
        <f t="shared" si="55"/>
        <v>0</v>
      </c>
      <c r="AD136" s="129">
        <f t="shared" si="55"/>
        <v>0</v>
      </c>
      <c r="AE136" s="129">
        <f t="shared" si="55"/>
        <v>0</v>
      </c>
      <c r="AF136" s="128"/>
      <c r="AG136" s="128"/>
      <c r="AH136" s="128"/>
      <c r="AI136" s="128"/>
    </row>
    <row r="137" spans="2:35" customFormat="1" ht="14.25" x14ac:dyDescent="0.45">
      <c r="B137" s="14" t="s">
        <v>2651</v>
      </c>
      <c r="C137" s="14" t="s">
        <v>2522</v>
      </c>
      <c r="D137" s="15" t="s">
        <v>2652</v>
      </c>
      <c r="E137" s="16" t="s">
        <v>1415</v>
      </c>
      <c r="F137" s="14" t="s">
        <v>2556</v>
      </c>
      <c r="G137" s="119"/>
      <c r="H137" s="119"/>
      <c r="K137" s="126"/>
      <c r="L137" s="127">
        <f t="shared" ref="L137:AE137" si="56">IF(L$80&lt;=0,0,IF(L$136&lt;=0,L$133,MIN($F$5,IF(L$133-(L$135-L$80)/L$136&lt;=0,L$133/2,L$133-(L$135-L$80)/L$136))))</f>
        <v>0</v>
      </c>
      <c r="M137" s="127">
        <f t="shared" si="56"/>
        <v>0</v>
      </c>
      <c r="N137" s="127">
        <f t="shared" si="56"/>
        <v>0</v>
      </c>
      <c r="O137" s="127">
        <f t="shared" si="56"/>
        <v>0</v>
      </c>
      <c r="P137" s="127">
        <f t="shared" si="56"/>
        <v>0</v>
      </c>
      <c r="Q137" s="127">
        <f t="shared" si="56"/>
        <v>0</v>
      </c>
      <c r="R137" s="127">
        <f t="shared" si="56"/>
        <v>0</v>
      </c>
      <c r="S137" s="127">
        <f t="shared" si="56"/>
        <v>0</v>
      </c>
      <c r="T137" s="127">
        <f t="shared" si="56"/>
        <v>0</v>
      </c>
      <c r="U137" s="127">
        <f t="shared" si="56"/>
        <v>0</v>
      </c>
      <c r="V137" s="127">
        <f t="shared" si="56"/>
        <v>0</v>
      </c>
      <c r="W137" s="127">
        <f t="shared" si="56"/>
        <v>0</v>
      </c>
      <c r="X137" s="127">
        <f t="shared" si="56"/>
        <v>0</v>
      </c>
      <c r="Y137" s="127">
        <f t="shared" si="56"/>
        <v>0</v>
      </c>
      <c r="Z137" s="127">
        <f t="shared" si="56"/>
        <v>0</v>
      </c>
      <c r="AA137" s="127">
        <f t="shared" si="56"/>
        <v>0</v>
      </c>
      <c r="AB137" s="127">
        <f t="shared" si="56"/>
        <v>0</v>
      </c>
      <c r="AC137" s="127">
        <f t="shared" si="56"/>
        <v>0</v>
      </c>
      <c r="AD137" s="127">
        <f t="shared" si="56"/>
        <v>0</v>
      </c>
      <c r="AE137" s="127">
        <f t="shared" si="56"/>
        <v>0</v>
      </c>
      <c r="AF137" s="128"/>
      <c r="AG137" s="128"/>
      <c r="AH137" s="128"/>
      <c r="AI137" s="128"/>
    </row>
    <row r="138" spans="2:35" customFormat="1" ht="14.25" x14ac:dyDescent="0.45">
      <c r="B138" s="14" t="s">
        <v>2653</v>
      </c>
      <c r="C138" s="14" t="s">
        <v>2522</v>
      </c>
      <c r="D138" s="15" t="s">
        <v>2654</v>
      </c>
      <c r="E138" s="16" t="s">
        <v>1967</v>
      </c>
      <c r="F138" s="14" t="s">
        <v>2546</v>
      </c>
      <c r="G138" s="119"/>
      <c r="H138" s="119"/>
      <c r="K138" s="126"/>
      <c r="L138" s="129">
        <f t="shared" ref="L138:AE138" si="57">SUMPRODUCT(L$37:L$44*(1-EXP(-L$47:L$54*L$137)))+SUMPRODUCT(L$67:L$74*(1-EXP(-L$57:L$64*L$137)))</f>
        <v>0</v>
      </c>
      <c r="M138" s="129">
        <f t="shared" si="57"/>
        <v>0</v>
      </c>
      <c r="N138" s="129">
        <f t="shared" si="57"/>
        <v>0</v>
      </c>
      <c r="O138" s="129">
        <f t="shared" si="57"/>
        <v>0</v>
      </c>
      <c r="P138" s="129">
        <f t="shared" si="57"/>
        <v>0</v>
      </c>
      <c r="Q138" s="129">
        <f t="shared" si="57"/>
        <v>0</v>
      </c>
      <c r="R138" s="129">
        <f t="shared" si="57"/>
        <v>0</v>
      </c>
      <c r="S138" s="129">
        <f t="shared" si="57"/>
        <v>0</v>
      </c>
      <c r="T138" s="129">
        <f t="shared" si="57"/>
        <v>0</v>
      </c>
      <c r="U138" s="129">
        <f t="shared" si="57"/>
        <v>0</v>
      </c>
      <c r="V138" s="129">
        <f t="shared" si="57"/>
        <v>0</v>
      </c>
      <c r="W138" s="129">
        <f t="shared" si="57"/>
        <v>0</v>
      </c>
      <c r="X138" s="129">
        <f t="shared" si="57"/>
        <v>0</v>
      </c>
      <c r="Y138" s="129">
        <f t="shared" si="57"/>
        <v>0</v>
      </c>
      <c r="Z138" s="129">
        <f t="shared" si="57"/>
        <v>0</v>
      </c>
      <c r="AA138" s="129">
        <f t="shared" si="57"/>
        <v>0</v>
      </c>
      <c r="AB138" s="129">
        <f t="shared" si="57"/>
        <v>0</v>
      </c>
      <c r="AC138" s="129">
        <f t="shared" si="57"/>
        <v>0</v>
      </c>
      <c r="AD138" s="129">
        <f t="shared" si="57"/>
        <v>0</v>
      </c>
      <c r="AE138" s="129">
        <f t="shared" si="57"/>
        <v>0</v>
      </c>
      <c r="AF138" s="128"/>
      <c r="AG138" s="128"/>
      <c r="AH138" s="128"/>
      <c r="AI138" s="128"/>
    </row>
    <row r="139" spans="2:35" customFormat="1" ht="14.25" x14ac:dyDescent="0.45">
      <c r="B139" s="14" t="s">
        <v>2655</v>
      </c>
      <c r="C139" s="14" t="s">
        <v>2522</v>
      </c>
      <c r="D139" s="15" t="s">
        <v>2656</v>
      </c>
      <c r="E139" s="16" t="s">
        <v>1871</v>
      </c>
      <c r="F139" s="14" t="s">
        <v>2549</v>
      </c>
      <c r="G139" s="119"/>
      <c r="H139" s="119"/>
      <c r="K139" s="126"/>
      <c r="L139" s="127">
        <f t="shared" ref="L139:AE139" si="58">IF($F$4="COST",(SUMPRODUCT(L$37:L$44*((1-EXP(-L$47:L$54*L$137))/(L$47:L$54+(L$47:L$54=0))-L$137*EXP(-L$47:L$54*L$137)*(L$47:L$54&lt;&gt;0)))+SUMPRODUCT(L$67:L$74*((1-EXP(-L$57:L$64*L$137))/(L$57:L$64+(L$57:L$64=0))-L$137*EXP(-L$57:L$64*L$137)*(L$57:L$64&lt;&gt;0)))),L$137*L$138)</f>
        <v>0</v>
      </c>
      <c r="M139" s="127">
        <f t="shared" si="58"/>
        <v>0</v>
      </c>
      <c r="N139" s="127">
        <f t="shared" si="58"/>
        <v>0</v>
      </c>
      <c r="O139" s="127">
        <f t="shared" si="58"/>
        <v>0</v>
      </c>
      <c r="P139" s="127">
        <f t="shared" si="58"/>
        <v>0</v>
      </c>
      <c r="Q139" s="127">
        <f t="shared" si="58"/>
        <v>0</v>
      </c>
      <c r="R139" s="127">
        <f t="shared" si="58"/>
        <v>0</v>
      </c>
      <c r="S139" s="127">
        <f t="shared" si="58"/>
        <v>0</v>
      </c>
      <c r="T139" s="127">
        <f t="shared" si="58"/>
        <v>0</v>
      </c>
      <c r="U139" s="127">
        <f t="shared" si="58"/>
        <v>0</v>
      </c>
      <c r="V139" s="127">
        <f t="shared" si="58"/>
        <v>0</v>
      </c>
      <c r="W139" s="127">
        <f t="shared" si="58"/>
        <v>0</v>
      </c>
      <c r="X139" s="127">
        <f t="shared" si="58"/>
        <v>0</v>
      </c>
      <c r="Y139" s="127">
        <f t="shared" si="58"/>
        <v>0</v>
      </c>
      <c r="Z139" s="127">
        <f t="shared" si="58"/>
        <v>0</v>
      </c>
      <c r="AA139" s="127">
        <f t="shared" si="58"/>
        <v>0</v>
      </c>
      <c r="AB139" s="127">
        <f t="shared" si="58"/>
        <v>0</v>
      </c>
      <c r="AC139" s="127">
        <f t="shared" si="58"/>
        <v>0</v>
      </c>
      <c r="AD139" s="127">
        <f t="shared" si="58"/>
        <v>0</v>
      </c>
      <c r="AE139" s="127">
        <f t="shared" si="58"/>
        <v>0</v>
      </c>
      <c r="AF139" s="128"/>
      <c r="AG139" s="128"/>
      <c r="AH139" s="128"/>
      <c r="AI139" s="128"/>
    </row>
    <row r="140" spans="2:35" customFormat="1" ht="14.25" x14ac:dyDescent="0.45">
      <c r="B140" s="14" t="s">
        <v>2657</v>
      </c>
      <c r="C140" s="14" t="s">
        <v>2522</v>
      </c>
      <c r="D140" s="15" t="s">
        <v>2658</v>
      </c>
      <c r="E140" s="16" t="s">
        <v>2552</v>
      </c>
      <c r="F140" s="14" t="s">
        <v>2553</v>
      </c>
      <c r="G140" s="119"/>
      <c r="H140" s="119"/>
      <c r="K140" s="126"/>
      <c r="L140" s="129">
        <f t="shared" ref="L140:AE140" si="59">IF($F$4="COST",L$137*(SUMPRODUCT(L$37:L$44*L$47:L$54*EXP(-L$47:L$54*L$137))+SUMPRODUCT(L$67:L$74*L$57:L$64*EXP(-L$57:L$64*L$137))),L$138+L$137*(SUMPRODUCT(L$37:L$44*L$47:L$54*EXP(-L$47:L$54*L$137))+SUMPRODUCT(L$67:L$74*L$57:L$64*EXP(-L$57:L$64*L$137))))</f>
        <v>0</v>
      </c>
      <c r="M140" s="129">
        <f t="shared" si="59"/>
        <v>0</v>
      </c>
      <c r="N140" s="129">
        <f t="shared" si="59"/>
        <v>0</v>
      </c>
      <c r="O140" s="129">
        <f t="shared" si="59"/>
        <v>0</v>
      </c>
      <c r="P140" s="129">
        <f t="shared" si="59"/>
        <v>0</v>
      </c>
      <c r="Q140" s="129">
        <f t="shared" si="59"/>
        <v>0</v>
      </c>
      <c r="R140" s="129">
        <f t="shared" si="59"/>
        <v>0</v>
      </c>
      <c r="S140" s="129">
        <f t="shared" si="59"/>
        <v>0</v>
      </c>
      <c r="T140" s="129">
        <f t="shared" si="59"/>
        <v>0</v>
      </c>
      <c r="U140" s="129">
        <f t="shared" si="59"/>
        <v>0</v>
      </c>
      <c r="V140" s="129">
        <f t="shared" si="59"/>
        <v>0</v>
      </c>
      <c r="W140" s="129">
        <f t="shared" si="59"/>
        <v>0</v>
      </c>
      <c r="X140" s="129">
        <f t="shared" si="59"/>
        <v>0</v>
      </c>
      <c r="Y140" s="129">
        <f t="shared" si="59"/>
        <v>0</v>
      </c>
      <c r="Z140" s="129">
        <f t="shared" si="59"/>
        <v>0</v>
      </c>
      <c r="AA140" s="129">
        <f t="shared" si="59"/>
        <v>0</v>
      </c>
      <c r="AB140" s="129">
        <f t="shared" si="59"/>
        <v>0</v>
      </c>
      <c r="AC140" s="129">
        <f t="shared" si="59"/>
        <v>0</v>
      </c>
      <c r="AD140" s="129">
        <f t="shared" si="59"/>
        <v>0</v>
      </c>
      <c r="AE140" s="129">
        <f t="shared" si="59"/>
        <v>0</v>
      </c>
      <c r="AF140" s="128"/>
      <c r="AG140" s="128"/>
      <c r="AH140" s="128"/>
      <c r="AI140" s="128"/>
    </row>
    <row r="141" spans="2:35" customFormat="1" ht="14.25" x14ac:dyDescent="0.45">
      <c r="B141" s="14" t="s">
        <v>2659</v>
      </c>
      <c r="C141" s="14" t="s">
        <v>2522</v>
      </c>
      <c r="D141" s="15" t="s">
        <v>2660</v>
      </c>
      <c r="E141" s="16" t="s">
        <v>1415</v>
      </c>
      <c r="F141" s="14" t="s">
        <v>2556</v>
      </c>
      <c r="G141" s="119"/>
      <c r="H141" s="119"/>
      <c r="K141" s="126"/>
      <c r="L141" s="127">
        <f t="shared" ref="L141:AE141" si="60">IF(L$80&lt;=0,0,IF(L$140&lt;=0,L$137,MIN($F$5,IF(L$137-(L$139-L$80)/L$140&lt;=0,L$137/2,L$137-(L$139-L$80)/L$140))))</f>
        <v>0</v>
      </c>
      <c r="M141" s="127">
        <f t="shared" si="60"/>
        <v>0</v>
      </c>
      <c r="N141" s="127">
        <f t="shared" si="60"/>
        <v>0</v>
      </c>
      <c r="O141" s="127">
        <f t="shared" si="60"/>
        <v>0</v>
      </c>
      <c r="P141" s="127">
        <f t="shared" si="60"/>
        <v>0</v>
      </c>
      <c r="Q141" s="127">
        <f t="shared" si="60"/>
        <v>0</v>
      </c>
      <c r="R141" s="127">
        <f t="shared" si="60"/>
        <v>0</v>
      </c>
      <c r="S141" s="127">
        <f t="shared" si="60"/>
        <v>0</v>
      </c>
      <c r="T141" s="127">
        <f t="shared" si="60"/>
        <v>0</v>
      </c>
      <c r="U141" s="127">
        <f t="shared" si="60"/>
        <v>0</v>
      </c>
      <c r="V141" s="127">
        <f t="shared" si="60"/>
        <v>0</v>
      </c>
      <c r="W141" s="127">
        <f t="shared" si="60"/>
        <v>0</v>
      </c>
      <c r="X141" s="127">
        <f t="shared" si="60"/>
        <v>0</v>
      </c>
      <c r="Y141" s="127">
        <f t="shared" si="60"/>
        <v>0</v>
      </c>
      <c r="Z141" s="127">
        <f t="shared" si="60"/>
        <v>0</v>
      </c>
      <c r="AA141" s="127">
        <f t="shared" si="60"/>
        <v>0</v>
      </c>
      <c r="AB141" s="127">
        <f t="shared" si="60"/>
        <v>0</v>
      </c>
      <c r="AC141" s="127">
        <f t="shared" si="60"/>
        <v>0</v>
      </c>
      <c r="AD141" s="127">
        <f t="shared" si="60"/>
        <v>0</v>
      </c>
      <c r="AE141" s="127">
        <f t="shared" si="60"/>
        <v>0</v>
      </c>
      <c r="AF141" s="128"/>
      <c r="AG141" s="128"/>
      <c r="AH141" s="128"/>
      <c r="AI141" s="128"/>
    </row>
    <row r="142" spans="2:35" customFormat="1" ht="14.25" x14ac:dyDescent="0.45">
      <c r="B142" s="14" t="s">
        <v>2661</v>
      </c>
      <c r="C142" s="14" t="s">
        <v>2522</v>
      </c>
      <c r="D142" s="15" t="s">
        <v>2662</v>
      </c>
      <c r="E142" s="16" t="s">
        <v>1967</v>
      </c>
      <c r="F142" s="14" t="s">
        <v>2546</v>
      </c>
      <c r="G142" s="119"/>
      <c r="H142" s="119"/>
      <c r="K142" s="126"/>
      <c r="L142" s="129">
        <f t="shared" ref="L142:AE142" si="61">SUMPRODUCT(L$37:L$44*(1-EXP(-L$47:L$54*L$141)))+SUMPRODUCT(L$67:L$74*(1-EXP(-L$57:L$64*L$141)))</f>
        <v>0</v>
      </c>
      <c r="M142" s="129">
        <f t="shared" si="61"/>
        <v>0</v>
      </c>
      <c r="N142" s="129">
        <f t="shared" si="61"/>
        <v>0</v>
      </c>
      <c r="O142" s="129">
        <f t="shared" si="61"/>
        <v>0</v>
      </c>
      <c r="P142" s="129">
        <f t="shared" si="61"/>
        <v>0</v>
      </c>
      <c r="Q142" s="129">
        <f t="shared" si="61"/>
        <v>0</v>
      </c>
      <c r="R142" s="129">
        <f t="shared" si="61"/>
        <v>0</v>
      </c>
      <c r="S142" s="129">
        <f t="shared" si="61"/>
        <v>0</v>
      </c>
      <c r="T142" s="129">
        <f t="shared" si="61"/>
        <v>0</v>
      </c>
      <c r="U142" s="129">
        <f t="shared" si="61"/>
        <v>0</v>
      </c>
      <c r="V142" s="129">
        <f t="shared" si="61"/>
        <v>0</v>
      </c>
      <c r="W142" s="129">
        <f t="shared" si="61"/>
        <v>0</v>
      </c>
      <c r="X142" s="129">
        <f t="shared" si="61"/>
        <v>0</v>
      </c>
      <c r="Y142" s="129">
        <f t="shared" si="61"/>
        <v>0</v>
      </c>
      <c r="Z142" s="129">
        <f t="shared" si="61"/>
        <v>0</v>
      </c>
      <c r="AA142" s="129">
        <f t="shared" si="61"/>
        <v>0</v>
      </c>
      <c r="AB142" s="129">
        <f t="shared" si="61"/>
        <v>0</v>
      </c>
      <c r="AC142" s="129">
        <f t="shared" si="61"/>
        <v>0</v>
      </c>
      <c r="AD142" s="129">
        <f t="shared" si="61"/>
        <v>0</v>
      </c>
      <c r="AE142" s="129">
        <f t="shared" si="61"/>
        <v>0</v>
      </c>
      <c r="AF142" s="128"/>
      <c r="AG142" s="128"/>
      <c r="AH142" s="128"/>
      <c r="AI142" s="128"/>
    </row>
    <row r="143" spans="2:35" customFormat="1" ht="14.25" x14ac:dyDescent="0.45">
      <c r="B143" s="14" t="s">
        <v>2663</v>
      </c>
      <c r="C143" s="14" t="s">
        <v>2522</v>
      </c>
      <c r="D143" s="15" t="s">
        <v>2664</v>
      </c>
      <c r="E143" s="16" t="s">
        <v>1871</v>
      </c>
      <c r="F143" s="14" t="s">
        <v>2549</v>
      </c>
      <c r="G143" s="119"/>
      <c r="H143" s="119"/>
      <c r="K143" s="126"/>
      <c r="L143" s="127">
        <f t="shared" ref="L143:AE143" si="62">IF($F$4="COST",(SUMPRODUCT(L$37:L$44*((1-EXP(-L$47:L$54*L$141))/(L$47:L$54+(L$47:L$54=0))-L$141*EXP(-L$47:L$54*L$141)*(L$47:L$54&lt;&gt;0)))+SUMPRODUCT(L$67:L$74*((1-EXP(-L$57:L$64*L$141))/(L$57:L$64+(L$57:L$64=0))-L$141*EXP(-L$57:L$64*L$141)*(L$57:L$64&lt;&gt;0)))),L$141*L$142)</f>
        <v>0</v>
      </c>
      <c r="M143" s="127">
        <f t="shared" si="62"/>
        <v>0</v>
      </c>
      <c r="N143" s="127">
        <f t="shared" si="62"/>
        <v>0</v>
      </c>
      <c r="O143" s="127">
        <f t="shared" si="62"/>
        <v>0</v>
      </c>
      <c r="P143" s="127">
        <f t="shared" si="62"/>
        <v>0</v>
      </c>
      <c r="Q143" s="127">
        <f t="shared" si="62"/>
        <v>0</v>
      </c>
      <c r="R143" s="127">
        <f t="shared" si="62"/>
        <v>0</v>
      </c>
      <c r="S143" s="127">
        <f t="shared" si="62"/>
        <v>0</v>
      </c>
      <c r="T143" s="127">
        <f t="shared" si="62"/>
        <v>0</v>
      </c>
      <c r="U143" s="127">
        <f t="shared" si="62"/>
        <v>0</v>
      </c>
      <c r="V143" s="127">
        <f t="shared" si="62"/>
        <v>0</v>
      </c>
      <c r="W143" s="127">
        <f t="shared" si="62"/>
        <v>0</v>
      </c>
      <c r="X143" s="127">
        <f t="shared" si="62"/>
        <v>0</v>
      </c>
      <c r="Y143" s="127">
        <f t="shared" si="62"/>
        <v>0</v>
      </c>
      <c r="Z143" s="127">
        <f t="shared" si="62"/>
        <v>0</v>
      </c>
      <c r="AA143" s="127">
        <f t="shared" si="62"/>
        <v>0</v>
      </c>
      <c r="AB143" s="127">
        <f t="shared" si="62"/>
        <v>0</v>
      </c>
      <c r="AC143" s="127">
        <f t="shared" si="62"/>
        <v>0</v>
      </c>
      <c r="AD143" s="127">
        <f t="shared" si="62"/>
        <v>0</v>
      </c>
      <c r="AE143" s="127">
        <f t="shared" si="62"/>
        <v>0</v>
      </c>
      <c r="AF143" s="128"/>
      <c r="AG143" s="128"/>
      <c r="AH143" s="128"/>
      <c r="AI143" s="128"/>
    </row>
    <row r="144" spans="2:35" customFormat="1" ht="14.25" x14ac:dyDescent="0.45">
      <c r="B144" s="14" t="s">
        <v>2665</v>
      </c>
      <c r="C144" s="14" t="s">
        <v>2522</v>
      </c>
      <c r="D144" s="15" t="s">
        <v>2666</v>
      </c>
      <c r="E144" s="16" t="s">
        <v>2552</v>
      </c>
      <c r="F144" s="14" t="s">
        <v>2553</v>
      </c>
      <c r="G144" s="119"/>
      <c r="H144" s="119"/>
      <c r="K144" s="126"/>
      <c r="L144" s="129">
        <f t="shared" ref="L144:AE144" si="63">IF($F$4="COST",L$141*(SUMPRODUCT(L$37:L$44*L$47:L$54*EXP(-L$47:L$54*L$141))+SUMPRODUCT(L$67:L$74*L$57:L$64*EXP(-L$57:L$64*L$141))),L$142+L$141*(SUMPRODUCT(L$37:L$44*L$47:L$54*EXP(-L$47:L$54*L$141))+SUMPRODUCT(L$67:L$74*L$57:L$64*EXP(-L$57:L$64*L$141))))</f>
        <v>0</v>
      </c>
      <c r="M144" s="129">
        <f t="shared" si="63"/>
        <v>0</v>
      </c>
      <c r="N144" s="129">
        <f t="shared" si="63"/>
        <v>0</v>
      </c>
      <c r="O144" s="129">
        <f t="shared" si="63"/>
        <v>0</v>
      </c>
      <c r="P144" s="129">
        <f t="shared" si="63"/>
        <v>0</v>
      </c>
      <c r="Q144" s="129">
        <f t="shared" si="63"/>
        <v>0</v>
      </c>
      <c r="R144" s="129">
        <f t="shared" si="63"/>
        <v>0</v>
      </c>
      <c r="S144" s="129">
        <f t="shared" si="63"/>
        <v>0</v>
      </c>
      <c r="T144" s="129">
        <f t="shared" si="63"/>
        <v>0</v>
      </c>
      <c r="U144" s="129">
        <f t="shared" si="63"/>
        <v>0</v>
      </c>
      <c r="V144" s="129">
        <f t="shared" si="63"/>
        <v>0</v>
      </c>
      <c r="W144" s="129">
        <f t="shared" si="63"/>
        <v>0</v>
      </c>
      <c r="X144" s="129">
        <f t="shared" si="63"/>
        <v>0</v>
      </c>
      <c r="Y144" s="129">
        <f t="shared" si="63"/>
        <v>0</v>
      </c>
      <c r="Z144" s="129">
        <f t="shared" si="63"/>
        <v>0</v>
      </c>
      <c r="AA144" s="129">
        <f t="shared" si="63"/>
        <v>0</v>
      </c>
      <c r="AB144" s="129">
        <f t="shared" si="63"/>
        <v>0</v>
      </c>
      <c r="AC144" s="129">
        <f t="shared" si="63"/>
        <v>0</v>
      </c>
      <c r="AD144" s="129">
        <f t="shared" si="63"/>
        <v>0</v>
      </c>
      <c r="AE144" s="129">
        <f t="shared" si="63"/>
        <v>0</v>
      </c>
      <c r="AF144" s="128"/>
      <c r="AG144" s="128"/>
      <c r="AH144" s="128"/>
      <c r="AI144" s="128"/>
    </row>
    <row r="145" spans="1:35" customFormat="1" ht="14.25" x14ac:dyDescent="0.45">
      <c r="B145" s="14" t="s">
        <v>2667</v>
      </c>
      <c r="C145" s="14" t="s">
        <v>2522</v>
      </c>
      <c r="D145" s="15" t="s">
        <v>2668</v>
      </c>
      <c r="E145" s="16" t="s">
        <v>1415</v>
      </c>
      <c r="F145" s="14" t="s">
        <v>2556</v>
      </c>
      <c r="G145" s="119"/>
      <c r="H145" s="119"/>
      <c r="K145" s="126"/>
      <c r="L145" s="127">
        <f t="shared" ref="L145:AE145" si="64">IF(L$80&lt;=0,0,IF(L$144&lt;=0,L$141,MIN($F$5,IF(L$141-(L$143-L$80)/L$144&lt;=0,L$141/2,L$141-(L$143-L$80)/L$144))))</f>
        <v>0</v>
      </c>
      <c r="M145" s="127">
        <f t="shared" si="64"/>
        <v>0</v>
      </c>
      <c r="N145" s="127">
        <f t="shared" si="64"/>
        <v>0</v>
      </c>
      <c r="O145" s="127">
        <f t="shared" si="64"/>
        <v>0</v>
      </c>
      <c r="P145" s="127">
        <f t="shared" si="64"/>
        <v>0</v>
      </c>
      <c r="Q145" s="127">
        <f t="shared" si="64"/>
        <v>0</v>
      </c>
      <c r="R145" s="127">
        <f t="shared" si="64"/>
        <v>0</v>
      </c>
      <c r="S145" s="127">
        <f t="shared" si="64"/>
        <v>0</v>
      </c>
      <c r="T145" s="127">
        <f t="shared" si="64"/>
        <v>0</v>
      </c>
      <c r="U145" s="127">
        <f t="shared" si="64"/>
        <v>0</v>
      </c>
      <c r="V145" s="127">
        <f t="shared" si="64"/>
        <v>0</v>
      </c>
      <c r="W145" s="127">
        <f t="shared" si="64"/>
        <v>0</v>
      </c>
      <c r="X145" s="127">
        <f t="shared" si="64"/>
        <v>0</v>
      </c>
      <c r="Y145" s="127">
        <f t="shared" si="64"/>
        <v>0</v>
      </c>
      <c r="Z145" s="127">
        <f t="shared" si="64"/>
        <v>0</v>
      </c>
      <c r="AA145" s="127">
        <f t="shared" si="64"/>
        <v>0</v>
      </c>
      <c r="AB145" s="127">
        <f t="shared" si="64"/>
        <v>0</v>
      </c>
      <c r="AC145" s="127">
        <f t="shared" si="64"/>
        <v>0</v>
      </c>
      <c r="AD145" s="127">
        <f t="shared" si="64"/>
        <v>0</v>
      </c>
      <c r="AE145" s="127">
        <f t="shared" si="64"/>
        <v>0</v>
      </c>
      <c r="AF145" s="128"/>
      <c r="AG145" s="128"/>
      <c r="AH145" s="128"/>
      <c r="AI145" s="128"/>
    </row>
    <row r="146" spans="1:35" x14ac:dyDescent="0.35"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</row>
    <row r="147" spans="1:35" customFormat="1" ht="14.25" x14ac:dyDescent="0.45">
      <c r="A147" s="11"/>
      <c r="B147" s="6"/>
      <c r="C147" s="7" t="s">
        <v>2669</v>
      </c>
      <c r="D147" s="6" t="s">
        <v>1505</v>
      </c>
      <c r="E147" s="7" t="s">
        <v>35</v>
      </c>
      <c r="F147" s="7" t="s">
        <v>45</v>
      </c>
      <c r="G147" s="7" t="s">
        <v>37</v>
      </c>
      <c r="H147" s="12" t="s">
        <v>38</v>
      </c>
      <c r="I147" s="6" t="s">
        <v>39</v>
      </c>
      <c r="J147" s="48">
        <v>1</v>
      </c>
      <c r="K147" s="124">
        <v>2021</v>
      </c>
      <c r="L147" s="125">
        <v>2022</v>
      </c>
      <c r="M147" s="124">
        <v>2023</v>
      </c>
      <c r="N147" s="124">
        <v>2024</v>
      </c>
      <c r="O147" s="124">
        <v>2025</v>
      </c>
      <c r="P147" s="124">
        <v>2026</v>
      </c>
      <c r="Q147" s="124">
        <v>2027</v>
      </c>
      <c r="R147" s="124">
        <v>2028</v>
      </c>
      <c r="S147" s="124">
        <v>2029</v>
      </c>
      <c r="T147" s="124">
        <v>2030</v>
      </c>
      <c r="U147" s="124">
        <v>2031</v>
      </c>
      <c r="V147" s="124">
        <v>2032</v>
      </c>
      <c r="W147" s="124">
        <v>2033</v>
      </c>
      <c r="X147" s="124">
        <v>2034</v>
      </c>
      <c r="Y147" s="124">
        <v>2035</v>
      </c>
      <c r="Z147" s="124">
        <v>2036</v>
      </c>
      <c r="AA147" s="124">
        <v>2037</v>
      </c>
      <c r="AB147" s="124">
        <v>2038</v>
      </c>
      <c r="AC147" s="124">
        <v>2039</v>
      </c>
      <c r="AD147" s="124">
        <v>2040</v>
      </c>
      <c r="AE147" s="124">
        <v>2041</v>
      </c>
      <c r="AF147" s="124">
        <v>2042</v>
      </c>
      <c r="AG147" s="124">
        <v>2043</v>
      </c>
      <c r="AH147" s="124">
        <v>2044</v>
      </c>
      <c r="AI147" s="124">
        <v>2045</v>
      </c>
    </row>
    <row r="148" spans="1:35" customFormat="1" ht="14.25" x14ac:dyDescent="0.45">
      <c r="B148" s="14" t="s">
        <v>1810</v>
      </c>
      <c r="C148" s="14" t="s">
        <v>2522</v>
      </c>
      <c r="D148" s="15" t="s">
        <v>2670</v>
      </c>
      <c r="E148" s="16" t="s">
        <v>1415</v>
      </c>
      <c r="F148" s="14" t="s">
        <v>1810</v>
      </c>
      <c r="G148" s="119"/>
      <c r="H148" s="114" t="str">
        <f>Settings!$B$3&amp;".mit.fundsp.cbam.tot.1"</f>
        <v>egy.mit.fundsp.cbam.tot.1</v>
      </c>
      <c r="I148" t="s">
        <v>2671</v>
      </c>
      <c r="K148" s="126"/>
      <c r="L148" s="127">
        <f t="shared" ref="L148:AE148" si="65">L$145</f>
        <v>0</v>
      </c>
      <c r="M148" s="127">
        <f t="shared" si="65"/>
        <v>0</v>
      </c>
      <c r="N148" s="127">
        <f t="shared" si="65"/>
        <v>0</v>
      </c>
      <c r="O148" s="127">
        <f t="shared" si="65"/>
        <v>0</v>
      </c>
      <c r="P148" s="127">
        <f t="shared" si="65"/>
        <v>0</v>
      </c>
      <c r="Q148" s="127">
        <f t="shared" si="65"/>
        <v>0</v>
      </c>
      <c r="R148" s="127">
        <f t="shared" si="65"/>
        <v>0</v>
      </c>
      <c r="S148" s="127">
        <f t="shared" si="65"/>
        <v>0</v>
      </c>
      <c r="T148" s="127">
        <f t="shared" si="65"/>
        <v>0</v>
      </c>
      <c r="U148" s="127">
        <f t="shared" si="65"/>
        <v>0</v>
      </c>
      <c r="V148" s="127">
        <f t="shared" si="65"/>
        <v>0</v>
      </c>
      <c r="W148" s="127">
        <f t="shared" si="65"/>
        <v>0</v>
      </c>
      <c r="X148" s="127">
        <f t="shared" si="65"/>
        <v>0</v>
      </c>
      <c r="Y148" s="127">
        <f t="shared" si="65"/>
        <v>0</v>
      </c>
      <c r="Z148" s="127">
        <f t="shared" si="65"/>
        <v>0</v>
      </c>
      <c r="AA148" s="127">
        <f t="shared" si="65"/>
        <v>0</v>
      </c>
      <c r="AB148" s="127">
        <f t="shared" si="65"/>
        <v>0</v>
      </c>
      <c r="AC148" s="127">
        <f t="shared" si="65"/>
        <v>0</v>
      </c>
      <c r="AD148" s="127">
        <f t="shared" si="65"/>
        <v>0</v>
      </c>
      <c r="AE148" s="127">
        <f t="shared" si="65"/>
        <v>0</v>
      </c>
      <c r="AF148" s="128"/>
      <c r="AG148" s="128"/>
      <c r="AH148" s="128"/>
      <c r="AI148" s="128"/>
    </row>
    <row r="149" spans="1:35" customFormat="1" ht="14.25" x14ac:dyDescent="0.45">
      <c r="B149" s="14" t="s">
        <v>2672</v>
      </c>
      <c r="C149" s="14" t="s">
        <v>2522</v>
      </c>
      <c r="D149" s="15" t="s">
        <v>2673</v>
      </c>
      <c r="E149" s="16" t="s">
        <v>1967</v>
      </c>
      <c r="F149" s="14" t="s">
        <v>2672</v>
      </c>
      <c r="G149" s="119"/>
      <c r="H149" s="114" t="str">
        <f>Settings!$B$3&amp;".mit.abat.cbam.tot.1"</f>
        <v>egy.mit.abat.cbam.tot.1</v>
      </c>
      <c r="I149" t="s">
        <v>2674</v>
      </c>
      <c r="K149" s="126"/>
      <c r="L149" s="129">
        <f t="shared" ref="L149:AE149" si="66">L150+L151</f>
        <v>0</v>
      </c>
      <c r="M149" s="129">
        <f t="shared" si="66"/>
        <v>0</v>
      </c>
      <c r="N149" s="129">
        <f t="shared" si="66"/>
        <v>0</v>
      </c>
      <c r="O149" s="129">
        <f t="shared" si="66"/>
        <v>0</v>
      </c>
      <c r="P149" s="129">
        <f t="shared" si="66"/>
        <v>0</v>
      </c>
      <c r="Q149" s="129">
        <f t="shared" si="66"/>
        <v>0</v>
      </c>
      <c r="R149" s="129">
        <f t="shared" si="66"/>
        <v>0</v>
      </c>
      <c r="S149" s="129">
        <f t="shared" si="66"/>
        <v>0</v>
      </c>
      <c r="T149" s="129">
        <f t="shared" si="66"/>
        <v>0</v>
      </c>
      <c r="U149" s="129">
        <f t="shared" si="66"/>
        <v>0</v>
      </c>
      <c r="V149" s="129">
        <f t="shared" si="66"/>
        <v>0</v>
      </c>
      <c r="W149" s="129">
        <f t="shared" si="66"/>
        <v>0</v>
      </c>
      <c r="X149" s="129">
        <f t="shared" si="66"/>
        <v>0</v>
      </c>
      <c r="Y149" s="129">
        <f t="shared" si="66"/>
        <v>0</v>
      </c>
      <c r="Z149" s="129">
        <f t="shared" si="66"/>
        <v>0</v>
      </c>
      <c r="AA149" s="129">
        <f t="shared" si="66"/>
        <v>0</v>
      </c>
      <c r="AB149" s="129">
        <f t="shared" si="66"/>
        <v>0</v>
      </c>
      <c r="AC149" s="129">
        <f t="shared" si="66"/>
        <v>0</v>
      </c>
      <c r="AD149" s="129">
        <f t="shared" si="66"/>
        <v>0</v>
      </c>
      <c r="AE149" s="129">
        <f t="shared" si="66"/>
        <v>0</v>
      </c>
      <c r="AF149" s="128"/>
      <c r="AG149" s="128"/>
      <c r="AH149" s="128"/>
      <c r="AI149" s="128"/>
    </row>
    <row r="150" spans="1:35" customFormat="1" ht="14.25" x14ac:dyDescent="0.45">
      <c r="B150" s="14" t="s">
        <v>2675</v>
      </c>
      <c r="C150" s="14" t="s">
        <v>2522</v>
      </c>
      <c r="D150" s="15" t="s">
        <v>2676</v>
      </c>
      <c r="E150" s="16" t="s">
        <v>1967</v>
      </c>
      <c r="F150" s="14" t="s">
        <v>2675</v>
      </c>
      <c r="G150" s="119"/>
      <c r="H150" s="114" t="str">
        <f>Settings!$B$3&amp;".mit.abatf.cbam.tot.1"</f>
        <v>egy.mit.abatf.cbam.tot.1</v>
      </c>
      <c r="I150" t="s">
        <v>2677</v>
      </c>
      <c r="K150" s="126"/>
      <c r="L150" s="129">
        <f t="shared" ref="L150:AE150" si="67">SUMPRODUCT(L$37:L$44*(1-EXP(-L$47:L$54*L$148)))</f>
        <v>0</v>
      </c>
      <c r="M150" s="129">
        <f t="shared" si="67"/>
        <v>0</v>
      </c>
      <c r="N150" s="129">
        <f t="shared" si="67"/>
        <v>0</v>
      </c>
      <c r="O150" s="129">
        <f t="shared" si="67"/>
        <v>0</v>
      </c>
      <c r="P150" s="129">
        <f t="shared" si="67"/>
        <v>0</v>
      </c>
      <c r="Q150" s="129">
        <f t="shared" si="67"/>
        <v>0</v>
      </c>
      <c r="R150" s="129">
        <f t="shared" si="67"/>
        <v>0</v>
      </c>
      <c r="S150" s="129">
        <f t="shared" si="67"/>
        <v>0</v>
      </c>
      <c r="T150" s="129">
        <f t="shared" si="67"/>
        <v>0</v>
      </c>
      <c r="U150" s="129">
        <f t="shared" si="67"/>
        <v>0</v>
      </c>
      <c r="V150" s="129">
        <f t="shared" si="67"/>
        <v>0</v>
      </c>
      <c r="W150" s="129">
        <f t="shared" si="67"/>
        <v>0</v>
      </c>
      <c r="X150" s="129">
        <f t="shared" si="67"/>
        <v>0</v>
      </c>
      <c r="Y150" s="129">
        <f t="shared" si="67"/>
        <v>0</v>
      </c>
      <c r="Z150" s="129">
        <f t="shared" si="67"/>
        <v>0</v>
      </c>
      <c r="AA150" s="129">
        <f t="shared" si="67"/>
        <v>0</v>
      </c>
      <c r="AB150" s="129">
        <f t="shared" si="67"/>
        <v>0</v>
      </c>
      <c r="AC150" s="129">
        <f t="shared" si="67"/>
        <v>0</v>
      </c>
      <c r="AD150" s="129">
        <f t="shared" si="67"/>
        <v>0</v>
      </c>
      <c r="AE150" s="129">
        <f t="shared" si="67"/>
        <v>0</v>
      </c>
      <c r="AF150" s="128"/>
      <c r="AG150" s="128"/>
      <c r="AH150" s="128"/>
      <c r="AI150" s="128"/>
    </row>
    <row r="151" spans="1:35" customFormat="1" ht="14.25" x14ac:dyDescent="0.45">
      <c r="B151" s="14" t="s">
        <v>2678</v>
      </c>
      <c r="C151" s="14" t="s">
        <v>2522</v>
      </c>
      <c r="D151" s="15" t="s">
        <v>2679</v>
      </c>
      <c r="E151" s="16" t="s">
        <v>1967</v>
      </c>
      <c r="F151" s="14" t="s">
        <v>2678</v>
      </c>
      <c r="G151" s="119"/>
      <c r="H151" s="114" t="str">
        <f>Settings!$B$3&amp;".mit.abatp.cbam.tot.1"</f>
        <v>egy.mit.abatp.cbam.tot.1</v>
      </c>
      <c r="I151" t="s">
        <v>2680</v>
      </c>
      <c r="K151" s="126"/>
      <c r="L151" s="129">
        <f t="shared" ref="L151:AE151" si="68">SUMPRODUCT(L$67:L$74*(1-EXP(-L$57:L$64*L$148)))</f>
        <v>0</v>
      </c>
      <c r="M151" s="129">
        <f t="shared" si="68"/>
        <v>0</v>
      </c>
      <c r="N151" s="129">
        <f t="shared" si="68"/>
        <v>0</v>
      </c>
      <c r="O151" s="129">
        <f t="shared" si="68"/>
        <v>0</v>
      </c>
      <c r="P151" s="129">
        <f t="shared" si="68"/>
        <v>0</v>
      </c>
      <c r="Q151" s="129">
        <f t="shared" si="68"/>
        <v>0</v>
      </c>
      <c r="R151" s="129">
        <f t="shared" si="68"/>
        <v>0</v>
      </c>
      <c r="S151" s="129">
        <f t="shared" si="68"/>
        <v>0</v>
      </c>
      <c r="T151" s="129">
        <f t="shared" si="68"/>
        <v>0</v>
      </c>
      <c r="U151" s="129">
        <f t="shared" si="68"/>
        <v>0</v>
      </c>
      <c r="V151" s="129">
        <f t="shared" si="68"/>
        <v>0</v>
      </c>
      <c r="W151" s="129">
        <f t="shared" si="68"/>
        <v>0</v>
      </c>
      <c r="X151" s="129">
        <f t="shared" si="68"/>
        <v>0</v>
      </c>
      <c r="Y151" s="129">
        <f t="shared" si="68"/>
        <v>0</v>
      </c>
      <c r="Z151" s="129">
        <f t="shared" si="68"/>
        <v>0</v>
      </c>
      <c r="AA151" s="129">
        <f t="shared" si="68"/>
        <v>0</v>
      </c>
      <c r="AB151" s="129">
        <f t="shared" si="68"/>
        <v>0</v>
      </c>
      <c r="AC151" s="129">
        <f t="shared" si="68"/>
        <v>0</v>
      </c>
      <c r="AD151" s="129">
        <f t="shared" si="68"/>
        <v>0</v>
      </c>
      <c r="AE151" s="129">
        <f t="shared" si="68"/>
        <v>0</v>
      </c>
      <c r="AF151" s="128"/>
      <c r="AG151" s="128"/>
      <c r="AH151" s="128"/>
      <c r="AI151" s="128"/>
    </row>
    <row r="152" spans="1:35" customFormat="1" ht="14.25" x14ac:dyDescent="0.45">
      <c r="B152" s="14" t="s">
        <v>2681</v>
      </c>
      <c r="C152" s="14" t="s">
        <v>2522</v>
      </c>
      <c r="D152" s="15" t="s">
        <v>2682</v>
      </c>
      <c r="E152" s="16" t="s">
        <v>1871</v>
      </c>
      <c r="F152" s="14" t="s">
        <v>2681</v>
      </c>
      <c r="G152" s="119"/>
      <c r="H152" s="114" t="str">
        <f>Settings!$B$3&amp;".mit.outlay.cbam.tot.1"</f>
        <v>egy.mit.outlay.cbam.tot.1</v>
      </c>
      <c r="K152" s="126"/>
      <c r="L152" s="127">
        <f t="shared" ref="L152:AE152" si="69">IF($F$4="COST",(SUMPRODUCT(L$37:L$44*((1-EXP(-L$47:L$54*L$148))/(L$47:L$54+(L$47:L$54=0))-L$148*EXP(-L$47:L$54*L$148)*(L$47:L$54&lt;&gt;0)))+SUMPRODUCT(L$67:L$74*((1-EXP(-L$57:L$64*L$148))/(L$57:L$64+(L$57:L$64=0))-L$148*EXP(-L$57:L$64*L$148)*(L$57:L$64&lt;&gt;0)))),L$148*L$149)</f>
        <v>0</v>
      </c>
      <c r="M152" s="127">
        <f t="shared" si="69"/>
        <v>0</v>
      </c>
      <c r="N152" s="127">
        <f t="shared" si="69"/>
        <v>0</v>
      </c>
      <c r="O152" s="127">
        <f t="shared" si="69"/>
        <v>0</v>
      </c>
      <c r="P152" s="127">
        <f t="shared" si="69"/>
        <v>0</v>
      </c>
      <c r="Q152" s="127">
        <f t="shared" si="69"/>
        <v>0</v>
      </c>
      <c r="R152" s="127">
        <f t="shared" si="69"/>
        <v>0</v>
      </c>
      <c r="S152" s="127">
        <f t="shared" si="69"/>
        <v>0</v>
      </c>
      <c r="T152" s="127">
        <f t="shared" si="69"/>
        <v>0</v>
      </c>
      <c r="U152" s="127">
        <f t="shared" si="69"/>
        <v>0</v>
      </c>
      <c r="V152" s="127">
        <f t="shared" si="69"/>
        <v>0</v>
      </c>
      <c r="W152" s="127">
        <f t="shared" si="69"/>
        <v>0</v>
      </c>
      <c r="X152" s="127">
        <f t="shared" si="69"/>
        <v>0</v>
      </c>
      <c r="Y152" s="127">
        <f t="shared" si="69"/>
        <v>0</v>
      </c>
      <c r="Z152" s="127">
        <f t="shared" si="69"/>
        <v>0</v>
      </c>
      <c r="AA152" s="127">
        <f t="shared" si="69"/>
        <v>0</v>
      </c>
      <c r="AB152" s="127">
        <f t="shared" si="69"/>
        <v>0</v>
      </c>
      <c r="AC152" s="127">
        <f t="shared" si="69"/>
        <v>0</v>
      </c>
      <c r="AD152" s="127">
        <f t="shared" si="69"/>
        <v>0</v>
      </c>
      <c r="AE152" s="127">
        <f t="shared" si="69"/>
        <v>0</v>
      </c>
      <c r="AF152" s="128"/>
      <c r="AG152" s="128"/>
      <c r="AH152" s="128"/>
      <c r="AI152" s="128"/>
    </row>
    <row r="153" spans="1:35" customFormat="1" ht="14.25" x14ac:dyDescent="0.45">
      <c r="B153" s="14" t="s">
        <v>2683</v>
      </c>
      <c r="C153" s="14" t="s">
        <v>2522</v>
      </c>
      <c r="D153" s="15" t="s">
        <v>2684</v>
      </c>
      <c r="E153" s="16" t="s">
        <v>1871</v>
      </c>
      <c r="F153" s="14" t="s">
        <v>2683</v>
      </c>
      <c r="G153" s="119"/>
      <c r="H153" s="119"/>
      <c r="K153" s="126"/>
      <c r="L153" s="129">
        <f t="shared" ref="L153:AE153" si="70">L$152-L$80</f>
        <v>0</v>
      </c>
      <c r="M153" s="129">
        <f t="shared" si="70"/>
        <v>0</v>
      </c>
      <c r="N153" s="129">
        <f t="shared" si="70"/>
        <v>0</v>
      </c>
      <c r="O153" s="129">
        <f t="shared" si="70"/>
        <v>0</v>
      </c>
      <c r="P153" s="129">
        <f t="shared" si="70"/>
        <v>0</v>
      </c>
      <c r="Q153" s="129">
        <f t="shared" si="70"/>
        <v>0</v>
      </c>
      <c r="R153" s="129">
        <f t="shared" si="70"/>
        <v>0</v>
      </c>
      <c r="S153" s="129">
        <f t="shared" si="70"/>
        <v>0</v>
      </c>
      <c r="T153" s="129">
        <f t="shared" si="70"/>
        <v>0</v>
      </c>
      <c r="U153" s="129">
        <f t="shared" si="70"/>
        <v>0</v>
      </c>
      <c r="V153" s="129">
        <f t="shared" si="70"/>
        <v>0</v>
      </c>
      <c r="W153" s="129">
        <f t="shared" si="70"/>
        <v>0</v>
      </c>
      <c r="X153" s="129">
        <f t="shared" si="70"/>
        <v>0</v>
      </c>
      <c r="Y153" s="129">
        <f t="shared" si="70"/>
        <v>0</v>
      </c>
      <c r="Z153" s="129">
        <f t="shared" si="70"/>
        <v>0</v>
      </c>
      <c r="AA153" s="129">
        <f t="shared" si="70"/>
        <v>0</v>
      </c>
      <c r="AB153" s="129">
        <f t="shared" si="70"/>
        <v>0</v>
      </c>
      <c r="AC153" s="129">
        <f t="shared" si="70"/>
        <v>0</v>
      </c>
      <c r="AD153" s="129">
        <f t="shared" si="70"/>
        <v>0</v>
      </c>
      <c r="AE153" s="129">
        <f t="shared" si="70"/>
        <v>0</v>
      </c>
      <c r="AF153" s="128"/>
      <c r="AG153" s="128"/>
      <c r="AH153" s="128"/>
      <c r="AI153" s="128"/>
    </row>
    <row r="154" spans="1:35" customFormat="1" ht="14.25" x14ac:dyDescent="0.45">
      <c r="B154" s="14" t="s">
        <v>2685</v>
      </c>
      <c r="C154" s="14" t="s">
        <v>2522</v>
      </c>
      <c r="D154" s="15" t="s">
        <v>2686</v>
      </c>
      <c r="E154" s="16" t="s">
        <v>1871</v>
      </c>
      <c r="F154" s="14" t="s">
        <v>2685</v>
      </c>
      <c r="G154" s="119"/>
      <c r="H154" s="114" t="str">
        <f>Settings!$B$3&amp;".mit.unspent.cbam.tot.1"</f>
        <v>egy.mit.unspent.cbam.tot.1</v>
      </c>
      <c r="K154" s="126"/>
      <c r="L154" s="127">
        <f t="shared" ref="L154:AE154" si="71">MAX(0,L$80-L$152)</f>
        <v>0</v>
      </c>
      <c r="M154" s="127">
        <f t="shared" si="71"/>
        <v>0</v>
      </c>
      <c r="N154" s="127">
        <f t="shared" si="71"/>
        <v>0</v>
      </c>
      <c r="O154" s="127">
        <f t="shared" si="71"/>
        <v>0</v>
      </c>
      <c r="P154" s="127">
        <f t="shared" si="71"/>
        <v>0</v>
      </c>
      <c r="Q154" s="127">
        <f t="shared" si="71"/>
        <v>0</v>
      </c>
      <c r="R154" s="127">
        <f t="shared" si="71"/>
        <v>0</v>
      </c>
      <c r="S154" s="127">
        <f t="shared" si="71"/>
        <v>0</v>
      </c>
      <c r="T154" s="127">
        <f t="shared" si="71"/>
        <v>0</v>
      </c>
      <c r="U154" s="127">
        <f t="shared" si="71"/>
        <v>0</v>
      </c>
      <c r="V154" s="127">
        <f t="shared" si="71"/>
        <v>0</v>
      </c>
      <c r="W154" s="127">
        <f t="shared" si="71"/>
        <v>0</v>
      </c>
      <c r="X154" s="127">
        <f t="shared" si="71"/>
        <v>0</v>
      </c>
      <c r="Y154" s="127">
        <f t="shared" si="71"/>
        <v>0</v>
      </c>
      <c r="Z154" s="127">
        <f t="shared" si="71"/>
        <v>0</v>
      </c>
      <c r="AA154" s="127">
        <f t="shared" si="71"/>
        <v>0</v>
      </c>
      <c r="AB154" s="127">
        <f t="shared" si="71"/>
        <v>0</v>
      </c>
      <c r="AC154" s="127">
        <f t="shared" si="71"/>
        <v>0</v>
      </c>
      <c r="AD154" s="127">
        <f t="shared" si="71"/>
        <v>0</v>
      </c>
      <c r="AE154" s="127">
        <f t="shared" si="71"/>
        <v>0</v>
      </c>
      <c r="AF154" s="128"/>
      <c r="AG154" s="128"/>
      <c r="AH154" s="128"/>
      <c r="AI154" s="128"/>
    </row>
    <row r="155" spans="1:35" customFormat="1" ht="14.25" x14ac:dyDescent="0.45">
      <c r="B155" s="14" t="s">
        <v>2687</v>
      </c>
      <c r="C155" s="14" t="s">
        <v>2522</v>
      </c>
      <c r="D155" s="15" t="s">
        <v>2688</v>
      </c>
      <c r="E155" s="16" t="s">
        <v>2689</v>
      </c>
      <c r="F155" s="14" t="s">
        <v>2687</v>
      </c>
      <c r="G155" s="119"/>
      <c r="H155" s="119"/>
      <c r="K155" s="126"/>
      <c r="L155" s="131">
        <f t="shared" ref="L155:AE155" si="72">(L$80&gt;0)*(L$148&gt;=$F$5-0.000000001)</f>
        <v>0</v>
      </c>
      <c r="M155" s="131">
        <f t="shared" si="72"/>
        <v>0</v>
      </c>
      <c r="N155" s="131">
        <f t="shared" si="72"/>
        <v>0</v>
      </c>
      <c r="O155" s="131">
        <f t="shared" si="72"/>
        <v>0</v>
      </c>
      <c r="P155" s="131">
        <f t="shared" si="72"/>
        <v>0</v>
      </c>
      <c r="Q155" s="131">
        <f t="shared" si="72"/>
        <v>0</v>
      </c>
      <c r="R155" s="131">
        <f t="shared" si="72"/>
        <v>0</v>
      </c>
      <c r="S155" s="131">
        <f t="shared" si="72"/>
        <v>0</v>
      </c>
      <c r="T155" s="131">
        <f t="shared" si="72"/>
        <v>0</v>
      </c>
      <c r="U155" s="131">
        <f t="shared" si="72"/>
        <v>0</v>
      </c>
      <c r="V155" s="131">
        <f t="shared" si="72"/>
        <v>0</v>
      </c>
      <c r="W155" s="131">
        <f t="shared" si="72"/>
        <v>0</v>
      </c>
      <c r="X155" s="131">
        <f t="shared" si="72"/>
        <v>0</v>
      </c>
      <c r="Y155" s="131">
        <f t="shared" si="72"/>
        <v>0</v>
      </c>
      <c r="Z155" s="131">
        <f t="shared" si="72"/>
        <v>0</v>
      </c>
      <c r="AA155" s="131">
        <f t="shared" si="72"/>
        <v>0</v>
      </c>
      <c r="AB155" s="131">
        <f t="shared" si="72"/>
        <v>0</v>
      </c>
      <c r="AC155" s="131">
        <f t="shared" si="72"/>
        <v>0</v>
      </c>
      <c r="AD155" s="131">
        <f t="shared" si="72"/>
        <v>0</v>
      </c>
      <c r="AE155" s="131">
        <f t="shared" si="72"/>
        <v>0</v>
      </c>
      <c r="AF155" s="128"/>
      <c r="AG155" s="128"/>
      <c r="AH155" s="128"/>
      <c r="AI155" s="128"/>
    </row>
    <row r="156" spans="1:35" customFormat="1" ht="14.25" x14ac:dyDescent="0.45">
      <c r="B156" s="14" t="s">
        <v>2690</v>
      </c>
      <c r="C156" s="14" t="s">
        <v>2522</v>
      </c>
      <c r="D156" s="15" t="s">
        <v>2691</v>
      </c>
      <c r="E156" s="16" t="s">
        <v>1415</v>
      </c>
      <c r="F156" s="14" t="s">
        <v>2690</v>
      </c>
      <c r="G156" s="119"/>
      <c r="H156" s="114" t="str">
        <f>Settings!$B$3&amp;".mit.cpt.cbam.tot.1"</f>
        <v>egy.mit.cpt.cbam.tot.1</v>
      </c>
      <c r="K156" s="126"/>
      <c r="L156" s="127">
        <f t="shared" ref="L156:AE156" si="73">IF(L$149&gt;0,L$152/L$149,0)</f>
        <v>0</v>
      </c>
      <c r="M156" s="127">
        <f t="shared" si="73"/>
        <v>0</v>
      </c>
      <c r="N156" s="127">
        <f t="shared" si="73"/>
        <v>0</v>
      </c>
      <c r="O156" s="127">
        <f t="shared" si="73"/>
        <v>0</v>
      </c>
      <c r="P156" s="127">
        <f t="shared" si="73"/>
        <v>0</v>
      </c>
      <c r="Q156" s="127">
        <f t="shared" si="73"/>
        <v>0</v>
      </c>
      <c r="R156" s="127">
        <f t="shared" si="73"/>
        <v>0</v>
      </c>
      <c r="S156" s="127">
        <f t="shared" si="73"/>
        <v>0</v>
      </c>
      <c r="T156" s="127">
        <f t="shared" si="73"/>
        <v>0</v>
      </c>
      <c r="U156" s="127">
        <f t="shared" si="73"/>
        <v>0</v>
      </c>
      <c r="V156" s="127">
        <f t="shared" si="73"/>
        <v>0</v>
      </c>
      <c r="W156" s="127">
        <f t="shared" si="73"/>
        <v>0</v>
      </c>
      <c r="X156" s="127">
        <f t="shared" si="73"/>
        <v>0</v>
      </c>
      <c r="Y156" s="127">
        <f t="shared" si="73"/>
        <v>0</v>
      </c>
      <c r="Z156" s="127">
        <f t="shared" si="73"/>
        <v>0</v>
      </c>
      <c r="AA156" s="127">
        <f t="shared" si="73"/>
        <v>0</v>
      </c>
      <c r="AB156" s="127">
        <f t="shared" si="73"/>
        <v>0</v>
      </c>
      <c r="AC156" s="127">
        <f t="shared" si="73"/>
        <v>0</v>
      </c>
      <c r="AD156" s="127">
        <f t="shared" si="73"/>
        <v>0</v>
      </c>
      <c r="AE156" s="127">
        <f t="shared" si="73"/>
        <v>0</v>
      </c>
      <c r="AF156" s="128"/>
      <c r="AG156" s="128"/>
      <c r="AH156" s="128"/>
      <c r="AI156" s="128"/>
    </row>
    <row r="157" spans="1:35" customFormat="1" ht="14.25" x14ac:dyDescent="0.45">
      <c r="B157" s="14" t="s">
        <v>2692</v>
      </c>
      <c r="C157" s="14" t="s">
        <v>2522</v>
      </c>
      <c r="D157" s="15" t="s">
        <v>2693</v>
      </c>
      <c r="E157" s="16" t="s">
        <v>1871</v>
      </c>
      <c r="F157" s="14" t="s">
        <v>2692</v>
      </c>
      <c r="G157" s="119"/>
      <c r="H157" s="119"/>
      <c r="I157" t="s">
        <v>2694</v>
      </c>
      <c r="K157" s="126"/>
      <c r="L157" s="130">
        <f>L$11*Mitigation_Industry!L$400</f>
        <v>0</v>
      </c>
      <c r="M157" s="130">
        <f>M$11*Mitigation_Industry!M$400</f>
        <v>0</v>
      </c>
      <c r="N157" s="130">
        <f>N$11*Mitigation_Industry!N$400</f>
        <v>0</v>
      </c>
      <c r="O157" s="130">
        <f>O$11*Mitigation_Industry!O$400</f>
        <v>0</v>
      </c>
      <c r="P157" s="130">
        <f>P$11*Mitigation_Industry!P$400</f>
        <v>0</v>
      </c>
      <c r="Q157" s="130">
        <f>Q$11*Mitigation_Industry!Q$400</f>
        <v>0</v>
      </c>
      <c r="R157" s="130">
        <f>R$11*Mitigation_Industry!R$400</f>
        <v>0</v>
      </c>
      <c r="S157" s="130">
        <f>S$11*Mitigation_Industry!S$400</f>
        <v>0</v>
      </c>
      <c r="T157" s="130">
        <f>T$11*Mitigation_Industry!T$400</f>
        <v>0</v>
      </c>
      <c r="U157" s="130">
        <f>U$11*Mitigation_Industry!U$400</f>
        <v>0</v>
      </c>
      <c r="V157" s="130">
        <f>V$11*Mitigation_Industry!V$400</f>
        <v>0</v>
      </c>
      <c r="W157" s="130">
        <f>W$11*Mitigation_Industry!W$400</f>
        <v>0</v>
      </c>
      <c r="X157" s="130">
        <f>X$11*Mitigation_Industry!X$400</f>
        <v>0</v>
      </c>
      <c r="Y157" s="130">
        <f>Y$11*Mitigation_Industry!Y$400</f>
        <v>0</v>
      </c>
      <c r="Z157" s="130">
        <f>Z$11*Mitigation_Industry!Z$400</f>
        <v>0</v>
      </c>
      <c r="AA157" s="130">
        <f>AA$11*Mitigation_Industry!AA$400</f>
        <v>0</v>
      </c>
      <c r="AB157" s="130">
        <f>AB$11*Mitigation_Industry!AB$400</f>
        <v>0</v>
      </c>
      <c r="AC157" s="130">
        <f>AC$11*Mitigation_Industry!AC$400</f>
        <v>0</v>
      </c>
      <c r="AD157" s="130">
        <f>AD$11*Mitigation_Industry!AD$400</f>
        <v>0</v>
      </c>
      <c r="AE157" s="130">
        <f>AE$11*Mitigation_Industry!AE$400</f>
        <v>0</v>
      </c>
      <c r="AF157" s="128"/>
      <c r="AG157" s="128"/>
      <c r="AH157" s="128"/>
      <c r="AI157" s="128"/>
    </row>
    <row r="158" spans="1:35" customFormat="1" ht="14.25" x14ac:dyDescent="0.45">
      <c r="B158" s="14" t="s">
        <v>2695</v>
      </c>
      <c r="C158" s="14" t="s">
        <v>2522</v>
      </c>
      <c r="D158" s="15" t="s">
        <v>2696</v>
      </c>
      <c r="E158" s="16" t="s">
        <v>1871</v>
      </c>
      <c r="F158" s="14" t="s">
        <v>2695</v>
      </c>
      <c r="G158" s="119"/>
      <c r="H158" s="119"/>
      <c r="I158" t="s">
        <v>2697</v>
      </c>
      <c r="K158" s="126"/>
      <c r="L158" s="130">
        <f t="shared" ref="L158:AE158" si="74">L157-L$80</f>
        <v>0</v>
      </c>
      <c r="M158" s="130">
        <f t="shared" si="74"/>
        <v>0</v>
      </c>
      <c r="N158" s="130">
        <f t="shared" si="74"/>
        <v>0</v>
      </c>
      <c r="O158" s="130">
        <f t="shared" si="74"/>
        <v>0</v>
      </c>
      <c r="P158" s="130">
        <f t="shared" si="74"/>
        <v>0</v>
      </c>
      <c r="Q158" s="130">
        <f t="shared" si="74"/>
        <v>0</v>
      </c>
      <c r="R158" s="130">
        <f t="shared" si="74"/>
        <v>0</v>
      </c>
      <c r="S158" s="130">
        <f t="shared" si="74"/>
        <v>0</v>
      </c>
      <c r="T158" s="130">
        <f t="shared" si="74"/>
        <v>0</v>
      </c>
      <c r="U158" s="130">
        <f t="shared" si="74"/>
        <v>0</v>
      </c>
      <c r="V158" s="130">
        <f t="shared" si="74"/>
        <v>0</v>
      </c>
      <c r="W158" s="130">
        <f t="shared" si="74"/>
        <v>0</v>
      </c>
      <c r="X158" s="130">
        <f t="shared" si="74"/>
        <v>0</v>
      </c>
      <c r="Y158" s="130">
        <f t="shared" si="74"/>
        <v>0</v>
      </c>
      <c r="Z158" s="130">
        <f t="shared" si="74"/>
        <v>0</v>
      </c>
      <c r="AA158" s="130">
        <f t="shared" si="74"/>
        <v>0</v>
      </c>
      <c r="AB158" s="130">
        <f t="shared" si="74"/>
        <v>0</v>
      </c>
      <c r="AC158" s="130">
        <f t="shared" si="74"/>
        <v>0</v>
      </c>
      <c r="AD158" s="130">
        <f t="shared" si="74"/>
        <v>0</v>
      </c>
      <c r="AE158" s="130">
        <f t="shared" si="74"/>
        <v>0</v>
      </c>
      <c r="AF158" s="128"/>
      <c r="AG158" s="128"/>
      <c r="AH158" s="128"/>
      <c r="AI158" s="128"/>
    </row>
    <row r="159" spans="1:35" x14ac:dyDescent="0.35"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  <c r="AE159" s="122"/>
      <c r="AF159" s="122"/>
      <c r="AG159" s="122"/>
      <c r="AH159" s="122"/>
      <c r="AI159" s="122"/>
    </row>
    <row r="160" spans="1:35" customFormat="1" ht="14.25" x14ac:dyDescent="0.45">
      <c r="A160" s="11"/>
      <c r="B160" s="6"/>
      <c r="C160" s="7" t="s">
        <v>1160</v>
      </c>
      <c r="D160" s="6" t="s">
        <v>1505</v>
      </c>
      <c r="E160" s="7" t="s">
        <v>35</v>
      </c>
      <c r="F160" s="7" t="s">
        <v>45</v>
      </c>
      <c r="G160" s="7" t="s">
        <v>37</v>
      </c>
      <c r="H160" s="12" t="s">
        <v>38</v>
      </c>
      <c r="I160" s="6" t="s">
        <v>2698</v>
      </c>
      <c r="J160" s="48">
        <v>1</v>
      </c>
      <c r="K160" s="124">
        <v>2021</v>
      </c>
      <c r="L160" s="125">
        <v>2022</v>
      </c>
      <c r="M160" s="124">
        <v>2023</v>
      </c>
      <c r="N160" s="124">
        <v>2024</v>
      </c>
      <c r="O160" s="124">
        <v>2025</v>
      </c>
      <c r="P160" s="124">
        <v>2026</v>
      </c>
      <c r="Q160" s="124">
        <v>2027</v>
      </c>
      <c r="R160" s="124">
        <v>2028</v>
      </c>
      <c r="S160" s="124">
        <v>2029</v>
      </c>
      <c r="T160" s="124">
        <v>2030</v>
      </c>
      <c r="U160" s="124">
        <v>2031</v>
      </c>
      <c r="V160" s="124">
        <v>2032</v>
      </c>
      <c r="W160" s="124">
        <v>2033</v>
      </c>
      <c r="X160" s="124">
        <v>2034</v>
      </c>
      <c r="Y160" s="124">
        <v>2035</v>
      </c>
      <c r="Z160" s="124">
        <v>2036</v>
      </c>
      <c r="AA160" s="124">
        <v>2037</v>
      </c>
      <c r="AB160" s="124">
        <v>2038</v>
      </c>
      <c r="AC160" s="124">
        <v>2039</v>
      </c>
      <c r="AD160" s="124">
        <v>2040</v>
      </c>
      <c r="AE160" s="124">
        <v>2041</v>
      </c>
      <c r="AF160" s="124">
        <v>2042</v>
      </c>
      <c r="AG160" s="124">
        <v>2043</v>
      </c>
      <c r="AH160" s="124">
        <v>2044</v>
      </c>
      <c r="AI160" s="124">
        <v>2045</v>
      </c>
    </row>
    <row r="161" spans="1:35" customFormat="1" ht="14.25" x14ac:dyDescent="0.45">
      <c r="B161" s="14" t="s">
        <v>49</v>
      </c>
      <c r="C161" s="14" t="s">
        <v>4</v>
      </c>
      <c r="D161" s="15" t="s">
        <v>2699</v>
      </c>
      <c r="E161" s="16" t="s">
        <v>51</v>
      </c>
      <c r="F161" s="14" t="s">
        <v>2700</v>
      </c>
      <c r="G161" s="119"/>
      <c r="H161" s="114" t="str">
        <f>Settings!$B$3&amp;".mit.shpf.coa.ind.1"</f>
        <v>egy.mit.shpf.coa.ind.1</v>
      </c>
      <c r="K161" s="127"/>
      <c r="L161" s="127">
        <f>L$148*Scenarios!$E$30</f>
        <v>0</v>
      </c>
      <c r="M161" s="127">
        <f>M$148*Scenarios!$E$30</f>
        <v>0</v>
      </c>
      <c r="N161" s="127">
        <f>N$148*Scenarios!$E$30</f>
        <v>0</v>
      </c>
      <c r="O161" s="127">
        <f>O$148*Scenarios!$E$30</f>
        <v>0</v>
      </c>
      <c r="P161" s="127">
        <f>P$148*Scenarios!$E$30</f>
        <v>0</v>
      </c>
      <c r="Q161" s="127">
        <f>Q$148*Scenarios!$E$30</f>
        <v>0</v>
      </c>
      <c r="R161" s="127">
        <f>R$148*Scenarios!$E$30</f>
        <v>0</v>
      </c>
      <c r="S161" s="127">
        <f>S$148*Scenarios!$E$30</f>
        <v>0</v>
      </c>
      <c r="T161" s="127">
        <f>T$148*Scenarios!$E$30</f>
        <v>0</v>
      </c>
      <c r="U161" s="127">
        <f>U$148*Scenarios!$E$30</f>
        <v>0</v>
      </c>
      <c r="V161" s="127">
        <f>V$148*Scenarios!$E$30</f>
        <v>0</v>
      </c>
      <c r="W161" s="127">
        <f>W$148*Scenarios!$E$30</f>
        <v>0</v>
      </c>
      <c r="X161" s="127">
        <f>X$148*Scenarios!$E$30</f>
        <v>0</v>
      </c>
      <c r="Y161" s="127">
        <f>Y$148*Scenarios!$E$30</f>
        <v>0</v>
      </c>
      <c r="Z161" s="127">
        <f>Z$148*Scenarios!$E$30</f>
        <v>0</v>
      </c>
      <c r="AA161" s="127">
        <f>AA$148*Scenarios!$E$30</f>
        <v>0</v>
      </c>
      <c r="AB161" s="127">
        <f>AB$148*Scenarios!$E$30</f>
        <v>0</v>
      </c>
      <c r="AC161" s="127">
        <f>AC$148*Scenarios!$E$30</f>
        <v>0</v>
      </c>
      <c r="AD161" s="127">
        <f>AD$148*Scenarios!$E$30</f>
        <v>0</v>
      </c>
      <c r="AE161" s="127">
        <f>AE$148*Scenarios!$E$30</f>
        <v>0</v>
      </c>
      <c r="AF161" s="128"/>
      <c r="AG161" s="128"/>
      <c r="AH161" s="128"/>
      <c r="AI161" s="128"/>
    </row>
    <row r="162" spans="1:35" customFormat="1" ht="14.25" x14ac:dyDescent="0.45">
      <c r="B162" s="14" t="s">
        <v>53</v>
      </c>
      <c r="C162" s="14" t="s">
        <v>4</v>
      </c>
      <c r="D162" s="15" t="s">
        <v>2701</v>
      </c>
      <c r="E162" s="16" t="s">
        <v>51</v>
      </c>
      <c r="F162" s="14" t="s">
        <v>2700</v>
      </c>
      <c r="G162" s="119"/>
      <c r="H162" s="114" t="str">
        <f>Settings!$B$3&amp;".mit.shpf.nga.ind.1"</f>
        <v>egy.mit.shpf.nga.ind.1</v>
      </c>
      <c r="K162" s="127"/>
      <c r="L162" s="127">
        <f>L$148*Scenarios!$E$31</f>
        <v>0</v>
      </c>
      <c r="M162" s="127">
        <f>M$148*Scenarios!$E$31</f>
        <v>0</v>
      </c>
      <c r="N162" s="127">
        <f>N$148*Scenarios!$E$31</f>
        <v>0</v>
      </c>
      <c r="O162" s="127">
        <f>O$148*Scenarios!$E$31</f>
        <v>0</v>
      </c>
      <c r="P162" s="127">
        <f>P$148*Scenarios!$E$31</f>
        <v>0</v>
      </c>
      <c r="Q162" s="127">
        <f>Q$148*Scenarios!$E$31</f>
        <v>0</v>
      </c>
      <c r="R162" s="127">
        <f>R$148*Scenarios!$E$31</f>
        <v>0</v>
      </c>
      <c r="S162" s="127">
        <f>S$148*Scenarios!$E$31</f>
        <v>0</v>
      </c>
      <c r="T162" s="127">
        <f>T$148*Scenarios!$E$31</f>
        <v>0</v>
      </c>
      <c r="U162" s="127">
        <f>U$148*Scenarios!$E$31</f>
        <v>0</v>
      </c>
      <c r="V162" s="127">
        <f>V$148*Scenarios!$E$31</f>
        <v>0</v>
      </c>
      <c r="W162" s="127">
        <f>W$148*Scenarios!$E$31</f>
        <v>0</v>
      </c>
      <c r="X162" s="127">
        <f>X$148*Scenarios!$E$31</f>
        <v>0</v>
      </c>
      <c r="Y162" s="127">
        <f>Y$148*Scenarios!$E$31</f>
        <v>0</v>
      </c>
      <c r="Z162" s="127">
        <f>Z$148*Scenarios!$E$31</f>
        <v>0</v>
      </c>
      <c r="AA162" s="127">
        <f>AA$148*Scenarios!$E$31</f>
        <v>0</v>
      </c>
      <c r="AB162" s="127">
        <f>AB$148*Scenarios!$E$31</f>
        <v>0</v>
      </c>
      <c r="AC162" s="127">
        <f>AC$148*Scenarios!$E$31</f>
        <v>0</v>
      </c>
      <c r="AD162" s="127">
        <f>AD$148*Scenarios!$E$31</f>
        <v>0</v>
      </c>
      <c r="AE162" s="127">
        <f>AE$148*Scenarios!$E$31</f>
        <v>0</v>
      </c>
      <c r="AF162" s="128"/>
      <c r="AG162" s="128"/>
      <c r="AH162" s="128"/>
      <c r="AI162" s="128"/>
    </row>
    <row r="163" spans="1:35" customFormat="1" ht="14.25" x14ac:dyDescent="0.45">
      <c r="B163" s="14" t="s">
        <v>55</v>
      </c>
      <c r="C163" s="14" t="s">
        <v>4</v>
      </c>
      <c r="D163" s="15" t="s">
        <v>2702</v>
      </c>
      <c r="E163" s="16" t="s">
        <v>57</v>
      </c>
      <c r="F163" s="14" t="s">
        <v>2700</v>
      </c>
      <c r="G163" s="119"/>
      <c r="H163" s="114" t="str">
        <f>Settings!$B$3&amp;".mit.shpf.gso.ind.1"</f>
        <v>egy.mit.shpf.gso.ind.1</v>
      </c>
      <c r="K163" s="127"/>
      <c r="L163" s="127">
        <f>L$148*Scenarios!$E$32</f>
        <v>0</v>
      </c>
      <c r="M163" s="127">
        <f>M$148*Scenarios!$E$32</f>
        <v>0</v>
      </c>
      <c r="N163" s="127">
        <f>N$148*Scenarios!$E$32</f>
        <v>0</v>
      </c>
      <c r="O163" s="127">
        <f>O$148*Scenarios!$E$32</f>
        <v>0</v>
      </c>
      <c r="P163" s="127">
        <f>P$148*Scenarios!$E$32</f>
        <v>0</v>
      </c>
      <c r="Q163" s="127">
        <f>Q$148*Scenarios!$E$32</f>
        <v>0</v>
      </c>
      <c r="R163" s="127">
        <f>R$148*Scenarios!$E$32</f>
        <v>0</v>
      </c>
      <c r="S163" s="127">
        <f>S$148*Scenarios!$E$32</f>
        <v>0</v>
      </c>
      <c r="T163" s="127">
        <f>T$148*Scenarios!$E$32</f>
        <v>0</v>
      </c>
      <c r="U163" s="127">
        <f>U$148*Scenarios!$E$32</f>
        <v>0</v>
      </c>
      <c r="V163" s="127">
        <f>V$148*Scenarios!$E$32</f>
        <v>0</v>
      </c>
      <c r="W163" s="127">
        <f>W$148*Scenarios!$E$32</f>
        <v>0</v>
      </c>
      <c r="X163" s="127">
        <f>X$148*Scenarios!$E$32</f>
        <v>0</v>
      </c>
      <c r="Y163" s="127">
        <f>Y$148*Scenarios!$E$32</f>
        <v>0</v>
      </c>
      <c r="Z163" s="127">
        <f>Z$148*Scenarios!$E$32</f>
        <v>0</v>
      </c>
      <c r="AA163" s="127">
        <f>AA$148*Scenarios!$E$32</f>
        <v>0</v>
      </c>
      <c r="AB163" s="127">
        <f>AB$148*Scenarios!$E$32</f>
        <v>0</v>
      </c>
      <c r="AC163" s="127">
        <f>AC$148*Scenarios!$E$32</f>
        <v>0</v>
      </c>
      <c r="AD163" s="127">
        <f>AD$148*Scenarios!$E$32</f>
        <v>0</v>
      </c>
      <c r="AE163" s="127">
        <f>AE$148*Scenarios!$E$32</f>
        <v>0</v>
      </c>
      <c r="AF163" s="128"/>
      <c r="AG163" s="128"/>
      <c r="AH163" s="128"/>
      <c r="AI163" s="128"/>
    </row>
    <row r="164" spans="1:35" customFormat="1" ht="14.25" x14ac:dyDescent="0.45">
      <c r="B164" s="14" t="s">
        <v>58</v>
      </c>
      <c r="C164" s="14" t="s">
        <v>4</v>
      </c>
      <c r="D164" s="15" t="s">
        <v>2703</v>
      </c>
      <c r="E164" s="16" t="s">
        <v>57</v>
      </c>
      <c r="F164" s="14" t="s">
        <v>2700</v>
      </c>
      <c r="G164" s="119"/>
      <c r="H164" s="114" t="str">
        <f>Settings!$B$3&amp;".mit.shpf.die.ind.1"</f>
        <v>egy.mit.shpf.die.ind.1</v>
      </c>
      <c r="K164" s="127"/>
      <c r="L164" s="127">
        <f>L$148*Scenarios!$E$33</f>
        <v>0</v>
      </c>
      <c r="M164" s="127">
        <f>M$148*Scenarios!$E$33</f>
        <v>0</v>
      </c>
      <c r="N164" s="127">
        <f>N$148*Scenarios!$E$33</f>
        <v>0</v>
      </c>
      <c r="O164" s="127">
        <f>O$148*Scenarios!$E$33</f>
        <v>0</v>
      </c>
      <c r="P164" s="127">
        <f>P$148*Scenarios!$E$33</f>
        <v>0</v>
      </c>
      <c r="Q164" s="127">
        <f>Q$148*Scenarios!$E$33</f>
        <v>0</v>
      </c>
      <c r="R164" s="127">
        <f>R$148*Scenarios!$E$33</f>
        <v>0</v>
      </c>
      <c r="S164" s="127">
        <f>S$148*Scenarios!$E$33</f>
        <v>0</v>
      </c>
      <c r="T164" s="127">
        <f>T$148*Scenarios!$E$33</f>
        <v>0</v>
      </c>
      <c r="U164" s="127">
        <f>U$148*Scenarios!$E$33</f>
        <v>0</v>
      </c>
      <c r="V164" s="127">
        <f>V$148*Scenarios!$E$33</f>
        <v>0</v>
      </c>
      <c r="W164" s="127">
        <f>W$148*Scenarios!$E$33</f>
        <v>0</v>
      </c>
      <c r="X164" s="127">
        <f>X$148*Scenarios!$E$33</f>
        <v>0</v>
      </c>
      <c r="Y164" s="127">
        <f>Y$148*Scenarios!$E$33</f>
        <v>0</v>
      </c>
      <c r="Z164" s="127">
        <f>Z$148*Scenarios!$E$33</f>
        <v>0</v>
      </c>
      <c r="AA164" s="127">
        <f>AA$148*Scenarios!$E$33</f>
        <v>0</v>
      </c>
      <c r="AB164" s="127">
        <f>AB$148*Scenarios!$E$33</f>
        <v>0</v>
      </c>
      <c r="AC164" s="127">
        <f>AC$148*Scenarios!$E$33</f>
        <v>0</v>
      </c>
      <c r="AD164" s="127">
        <f>AD$148*Scenarios!$E$33</f>
        <v>0</v>
      </c>
      <c r="AE164" s="127">
        <f>AE$148*Scenarios!$E$33</f>
        <v>0</v>
      </c>
      <c r="AF164" s="128"/>
      <c r="AG164" s="128"/>
      <c r="AH164" s="128"/>
      <c r="AI164" s="128"/>
    </row>
    <row r="165" spans="1:35" customFormat="1" ht="14.25" x14ac:dyDescent="0.45">
      <c r="B165" s="14" t="s">
        <v>60</v>
      </c>
      <c r="C165" s="14" t="s">
        <v>4</v>
      </c>
      <c r="D165" s="15" t="s">
        <v>2704</v>
      </c>
      <c r="E165" s="16" t="s">
        <v>57</v>
      </c>
      <c r="F165" s="14" t="s">
        <v>2700</v>
      </c>
      <c r="G165" s="119"/>
      <c r="H165" s="114" t="str">
        <f>Settings!$B$3&amp;".mit.shpf.lpg.ind.1"</f>
        <v>egy.mit.shpf.lpg.ind.1</v>
      </c>
      <c r="K165" s="127"/>
      <c r="L165" s="127">
        <f>L$148*Scenarios!$E$34</f>
        <v>0</v>
      </c>
      <c r="M165" s="127">
        <f>M$148*Scenarios!$E$34</f>
        <v>0</v>
      </c>
      <c r="N165" s="127">
        <f>N$148*Scenarios!$E$34</f>
        <v>0</v>
      </c>
      <c r="O165" s="127">
        <f>O$148*Scenarios!$E$34</f>
        <v>0</v>
      </c>
      <c r="P165" s="127">
        <f>P$148*Scenarios!$E$34</f>
        <v>0</v>
      </c>
      <c r="Q165" s="127">
        <f>Q$148*Scenarios!$E$34</f>
        <v>0</v>
      </c>
      <c r="R165" s="127">
        <f>R$148*Scenarios!$E$34</f>
        <v>0</v>
      </c>
      <c r="S165" s="127">
        <f>S$148*Scenarios!$E$34</f>
        <v>0</v>
      </c>
      <c r="T165" s="127">
        <f>T$148*Scenarios!$E$34</f>
        <v>0</v>
      </c>
      <c r="U165" s="127">
        <f>U$148*Scenarios!$E$34</f>
        <v>0</v>
      </c>
      <c r="V165" s="127">
        <f>V$148*Scenarios!$E$34</f>
        <v>0</v>
      </c>
      <c r="W165" s="127">
        <f>W$148*Scenarios!$E$34</f>
        <v>0</v>
      </c>
      <c r="X165" s="127">
        <f>X$148*Scenarios!$E$34</f>
        <v>0</v>
      </c>
      <c r="Y165" s="127">
        <f>Y$148*Scenarios!$E$34</f>
        <v>0</v>
      </c>
      <c r="Z165" s="127">
        <f>Z$148*Scenarios!$E$34</f>
        <v>0</v>
      </c>
      <c r="AA165" s="127">
        <f>AA$148*Scenarios!$E$34</f>
        <v>0</v>
      </c>
      <c r="AB165" s="127">
        <f>AB$148*Scenarios!$E$34</f>
        <v>0</v>
      </c>
      <c r="AC165" s="127">
        <f>AC$148*Scenarios!$E$34</f>
        <v>0</v>
      </c>
      <c r="AD165" s="127">
        <f>AD$148*Scenarios!$E$34</f>
        <v>0</v>
      </c>
      <c r="AE165" s="127">
        <f>AE$148*Scenarios!$E$34</f>
        <v>0</v>
      </c>
      <c r="AF165" s="128"/>
      <c r="AG165" s="128"/>
      <c r="AH165" s="128"/>
      <c r="AI165" s="128"/>
    </row>
    <row r="166" spans="1:35" customFormat="1" ht="14.25" x14ac:dyDescent="0.45">
      <c r="B166" s="14" t="s">
        <v>62</v>
      </c>
      <c r="C166" s="14" t="s">
        <v>4</v>
      </c>
      <c r="D166" s="15" t="s">
        <v>2705</v>
      </c>
      <c r="E166" s="16" t="s">
        <v>57</v>
      </c>
      <c r="F166" s="14" t="s">
        <v>2700</v>
      </c>
      <c r="G166" s="119"/>
      <c r="H166" s="114" t="str">
        <f>Settings!$B$3&amp;".mit.shpf.ker.ind.1"</f>
        <v>egy.mit.shpf.ker.ind.1</v>
      </c>
      <c r="K166" s="127"/>
      <c r="L166" s="127">
        <f>L$148*Scenarios!$E$35</f>
        <v>0</v>
      </c>
      <c r="M166" s="127">
        <f>M$148*Scenarios!$E$35</f>
        <v>0</v>
      </c>
      <c r="N166" s="127">
        <f>N$148*Scenarios!$E$35</f>
        <v>0</v>
      </c>
      <c r="O166" s="127">
        <f>O$148*Scenarios!$E$35</f>
        <v>0</v>
      </c>
      <c r="P166" s="127">
        <f>P$148*Scenarios!$E$35</f>
        <v>0</v>
      </c>
      <c r="Q166" s="127">
        <f>Q$148*Scenarios!$E$35</f>
        <v>0</v>
      </c>
      <c r="R166" s="127">
        <f>R$148*Scenarios!$E$35</f>
        <v>0</v>
      </c>
      <c r="S166" s="127">
        <f>S$148*Scenarios!$E$35</f>
        <v>0</v>
      </c>
      <c r="T166" s="127">
        <f>T$148*Scenarios!$E$35</f>
        <v>0</v>
      </c>
      <c r="U166" s="127">
        <f>U$148*Scenarios!$E$35</f>
        <v>0</v>
      </c>
      <c r="V166" s="127">
        <f>V$148*Scenarios!$E$35</f>
        <v>0</v>
      </c>
      <c r="W166" s="127">
        <f>W$148*Scenarios!$E$35</f>
        <v>0</v>
      </c>
      <c r="X166" s="127">
        <f>X$148*Scenarios!$E$35</f>
        <v>0</v>
      </c>
      <c r="Y166" s="127">
        <f>Y$148*Scenarios!$E$35</f>
        <v>0</v>
      </c>
      <c r="Z166" s="127">
        <f>Z$148*Scenarios!$E$35</f>
        <v>0</v>
      </c>
      <c r="AA166" s="127">
        <f>AA$148*Scenarios!$E$35</f>
        <v>0</v>
      </c>
      <c r="AB166" s="127">
        <f>AB$148*Scenarios!$E$35</f>
        <v>0</v>
      </c>
      <c r="AC166" s="127">
        <f>AC$148*Scenarios!$E$35</f>
        <v>0</v>
      </c>
      <c r="AD166" s="127">
        <f>AD$148*Scenarios!$E$35</f>
        <v>0</v>
      </c>
      <c r="AE166" s="127">
        <f>AE$148*Scenarios!$E$35</f>
        <v>0</v>
      </c>
      <c r="AF166" s="128"/>
      <c r="AG166" s="128"/>
      <c r="AH166" s="128"/>
      <c r="AI166" s="128"/>
    </row>
    <row r="167" spans="1:35" customFormat="1" ht="14.25" x14ac:dyDescent="0.45">
      <c r="B167" s="14" t="s">
        <v>64</v>
      </c>
      <c r="C167" s="14" t="s">
        <v>4</v>
      </c>
      <c r="D167" s="15" t="s">
        <v>2706</v>
      </c>
      <c r="E167" s="16" t="s">
        <v>66</v>
      </c>
      <c r="F167" s="14" t="s">
        <v>2700</v>
      </c>
      <c r="G167" s="119"/>
      <c r="H167" s="114" t="str">
        <f>Settings!$B$3&amp;".mit.shpf.oop.ind.1"</f>
        <v>egy.mit.shpf.oop.ind.1</v>
      </c>
      <c r="K167" s="127"/>
      <c r="L167" s="127">
        <f>L$148*Scenarios!$E$36</f>
        <v>0</v>
      </c>
      <c r="M167" s="127">
        <f>M$148*Scenarios!$E$36</f>
        <v>0</v>
      </c>
      <c r="N167" s="127">
        <f>N$148*Scenarios!$E$36</f>
        <v>0</v>
      </c>
      <c r="O167" s="127">
        <f>O$148*Scenarios!$E$36</f>
        <v>0</v>
      </c>
      <c r="P167" s="127">
        <f>P$148*Scenarios!$E$36</f>
        <v>0</v>
      </c>
      <c r="Q167" s="127">
        <f>Q$148*Scenarios!$E$36</f>
        <v>0</v>
      </c>
      <c r="R167" s="127">
        <f>R$148*Scenarios!$E$36</f>
        <v>0</v>
      </c>
      <c r="S167" s="127">
        <f>S$148*Scenarios!$E$36</f>
        <v>0</v>
      </c>
      <c r="T167" s="127">
        <f>T$148*Scenarios!$E$36</f>
        <v>0</v>
      </c>
      <c r="U167" s="127">
        <f>U$148*Scenarios!$E$36</f>
        <v>0</v>
      </c>
      <c r="V167" s="127">
        <f>V$148*Scenarios!$E$36</f>
        <v>0</v>
      </c>
      <c r="W167" s="127">
        <f>W$148*Scenarios!$E$36</f>
        <v>0</v>
      </c>
      <c r="X167" s="127">
        <f>X$148*Scenarios!$E$36</f>
        <v>0</v>
      </c>
      <c r="Y167" s="127">
        <f>Y$148*Scenarios!$E$36</f>
        <v>0</v>
      </c>
      <c r="Z167" s="127">
        <f>Z$148*Scenarios!$E$36</f>
        <v>0</v>
      </c>
      <c r="AA167" s="127">
        <f>AA$148*Scenarios!$E$36</f>
        <v>0</v>
      </c>
      <c r="AB167" s="127">
        <f>AB$148*Scenarios!$E$36</f>
        <v>0</v>
      </c>
      <c r="AC167" s="127">
        <f>AC$148*Scenarios!$E$36</f>
        <v>0</v>
      </c>
      <c r="AD167" s="127">
        <f>AD$148*Scenarios!$E$36</f>
        <v>0</v>
      </c>
      <c r="AE167" s="127">
        <f>AE$148*Scenarios!$E$36</f>
        <v>0</v>
      </c>
      <c r="AF167" s="128"/>
      <c r="AG167" s="128"/>
      <c r="AH167" s="128"/>
      <c r="AI167" s="128"/>
    </row>
    <row r="168" spans="1:35" customFormat="1" ht="14.25" x14ac:dyDescent="0.45">
      <c r="B168" s="14" t="s">
        <v>67</v>
      </c>
      <c r="C168" s="14" t="s">
        <v>4</v>
      </c>
      <c r="D168" s="15" t="s">
        <v>2707</v>
      </c>
      <c r="E168" s="16" t="s">
        <v>51</v>
      </c>
      <c r="F168" s="14" t="s">
        <v>2700</v>
      </c>
      <c r="G168" s="119"/>
      <c r="H168" s="114" t="str">
        <f>Settings!$B$3&amp;".mit.shpf.bio.ind.1"</f>
        <v>egy.mit.shpf.bio.ind.1</v>
      </c>
      <c r="K168" s="127"/>
      <c r="L168" s="127">
        <f>L$148*Scenarios!$E$37</f>
        <v>0</v>
      </c>
      <c r="M168" s="127">
        <f>M$148*Scenarios!$E$37</f>
        <v>0</v>
      </c>
      <c r="N168" s="127">
        <f>N$148*Scenarios!$E$37</f>
        <v>0</v>
      </c>
      <c r="O168" s="127">
        <f>O$148*Scenarios!$E$37</f>
        <v>0</v>
      </c>
      <c r="P168" s="127">
        <f>P$148*Scenarios!$E$37</f>
        <v>0</v>
      </c>
      <c r="Q168" s="127">
        <f>Q$148*Scenarios!$E$37</f>
        <v>0</v>
      </c>
      <c r="R168" s="127">
        <f>R$148*Scenarios!$E$37</f>
        <v>0</v>
      </c>
      <c r="S168" s="127">
        <f>S$148*Scenarios!$E$37</f>
        <v>0</v>
      </c>
      <c r="T168" s="127">
        <f>T$148*Scenarios!$E$37</f>
        <v>0</v>
      </c>
      <c r="U168" s="127">
        <f>U$148*Scenarios!$E$37</f>
        <v>0</v>
      </c>
      <c r="V168" s="127">
        <f>V$148*Scenarios!$E$37</f>
        <v>0</v>
      </c>
      <c r="W168" s="127">
        <f>W$148*Scenarios!$E$37</f>
        <v>0</v>
      </c>
      <c r="X168" s="127">
        <f>X$148*Scenarios!$E$37</f>
        <v>0</v>
      </c>
      <c r="Y168" s="127">
        <f>Y$148*Scenarios!$E$37</f>
        <v>0</v>
      </c>
      <c r="Z168" s="127">
        <f>Z$148*Scenarios!$E$37</f>
        <v>0</v>
      </c>
      <c r="AA168" s="127">
        <f>AA$148*Scenarios!$E$37</f>
        <v>0</v>
      </c>
      <c r="AB168" s="127">
        <f>AB$148*Scenarios!$E$37</f>
        <v>0</v>
      </c>
      <c r="AC168" s="127">
        <f>AC$148*Scenarios!$E$37</f>
        <v>0</v>
      </c>
      <c r="AD168" s="127">
        <f>AD$148*Scenarios!$E$37</f>
        <v>0</v>
      </c>
      <c r="AE168" s="127">
        <f>AE$148*Scenarios!$E$37</f>
        <v>0</v>
      </c>
      <c r="AF168" s="128"/>
      <c r="AG168" s="128"/>
      <c r="AH168" s="128"/>
      <c r="AI168" s="128"/>
    </row>
    <row r="169" spans="1:35" customFormat="1" ht="14.25" x14ac:dyDescent="0.45">
      <c r="B169" s="14" t="s">
        <v>69</v>
      </c>
      <c r="C169" s="14" t="s">
        <v>4</v>
      </c>
      <c r="D169" s="15" t="s">
        <v>2708</v>
      </c>
      <c r="E169" s="16" t="s">
        <v>71</v>
      </c>
      <c r="F169" s="14" t="s">
        <v>2700</v>
      </c>
      <c r="G169" s="119"/>
      <c r="H169" s="114" t="str">
        <f>Settings!$B$3&amp;".mit.shpf.ren.ind.1"</f>
        <v>egy.mit.shpf.ren.ind.1</v>
      </c>
      <c r="K169" s="127"/>
      <c r="L169" s="127">
        <f>L$148*Scenarios!$E$38</f>
        <v>0</v>
      </c>
      <c r="M169" s="127">
        <f>M$148*Scenarios!$E$38</f>
        <v>0</v>
      </c>
      <c r="N169" s="127">
        <f>N$148*Scenarios!$E$38</f>
        <v>0</v>
      </c>
      <c r="O169" s="127">
        <f>O$148*Scenarios!$E$38</f>
        <v>0</v>
      </c>
      <c r="P169" s="127">
        <f>P$148*Scenarios!$E$38</f>
        <v>0</v>
      </c>
      <c r="Q169" s="127">
        <f>Q$148*Scenarios!$E$38</f>
        <v>0</v>
      </c>
      <c r="R169" s="127">
        <f>R$148*Scenarios!$E$38</f>
        <v>0</v>
      </c>
      <c r="S169" s="127">
        <f>S$148*Scenarios!$E$38</f>
        <v>0</v>
      </c>
      <c r="T169" s="127">
        <f>T$148*Scenarios!$E$38</f>
        <v>0</v>
      </c>
      <c r="U169" s="127">
        <f>U$148*Scenarios!$E$38</f>
        <v>0</v>
      </c>
      <c r="V169" s="127">
        <f>V$148*Scenarios!$E$38</f>
        <v>0</v>
      </c>
      <c r="W169" s="127">
        <f>W$148*Scenarios!$E$38</f>
        <v>0</v>
      </c>
      <c r="X169" s="127">
        <f>X$148*Scenarios!$E$38</f>
        <v>0</v>
      </c>
      <c r="Y169" s="127">
        <f>Y$148*Scenarios!$E$38</f>
        <v>0</v>
      </c>
      <c r="Z169" s="127">
        <f>Z$148*Scenarios!$E$38</f>
        <v>0</v>
      </c>
      <c r="AA169" s="127">
        <f>AA$148*Scenarios!$E$38</f>
        <v>0</v>
      </c>
      <c r="AB169" s="127">
        <f>AB$148*Scenarios!$E$38</f>
        <v>0</v>
      </c>
      <c r="AC169" s="127">
        <f>AC$148*Scenarios!$E$38</f>
        <v>0</v>
      </c>
      <c r="AD169" s="127">
        <f>AD$148*Scenarios!$E$38</f>
        <v>0</v>
      </c>
      <c r="AE169" s="127">
        <f>AE$148*Scenarios!$E$38</f>
        <v>0</v>
      </c>
      <c r="AF169" s="128"/>
      <c r="AG169" s="128"/>
      <c r="AH169" s="128"/>
      <c r="AI169" s="128"/>
    </row>
    <row r="170" spans="1:35" x14ac:dyDescent="0.35"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2"/>
      <c r="AE170" s="122"/>
      <c r="AF170" s="122"/>
      <c r="AG170" s="122"/>
      <c r="AH170" s="122"/>
      <c r="AI170" s="122"/>
    </row>
    <row r="171" spans="1:35" x14ac:dyDescent="0.35"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  <c r="AF171" s="122"/>
      <c r="AG171" s="122"/>
      <c r="AH171" s="122"/>
      <c r="AI171" s="122"/>
    </row>
    <row r="172" spans="1:35" x14ac:dyDescent="0.35"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  <c r="AD172" s="122"/>
      <c r="AE172" s="122"/>
      <c r="AF172" s="122"/>
      <c r="AG172" s="122"/>
      <c r="AH172" s="122"/>
      <c r="AI172" s="122"/>
    </row>
    <row r="173" spans="1:35" customFormat="1" ht="18" customHeight="1" x14ac:dyDescent="0.45">
      <c r="A173" s="8"/>
      <c r="B173" s="9" t="s">
        <v>2709</v>
      </c>
      <c r="C173" s="10"/>
      <c r="D173" s="10"/>
      <c r="E173" s="10"/>
      <c r="F173" s="10"/>
      <c r="G173" s="10"/>
      <c r="H173" s="10"/>
      <c r="I173" s="10"/>
      <c r="J173" s="10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  <c r="AA173" s="123"/>
      <c r="AB173" s="123"/>
      <c r="AC173" s="123"/>
      <c r="AD173" s="123"/>
      <c r="AE173" s="123"/>
      <c r="AF173" s="123"/>
      <c r="AG173" s="123"/>
      <c r="AH173" s="123"/>
      <c r="AI173" s="123"/>
    </row>
    <row r="174" spans="1:35" x14ac:dyDescent="0.35"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  <c r="AD174" s="122"/>
      <c r="AE174" s="122"/>
      <c r="AF174" s="122"/>
      <c r="AG174" s="122"/>
      <c r="AH174" s="122"/>
      <c r="AI174" s="122"/>
    </row>
    <row r="175" spans="1:35" customFormat="1" ht="14.25" x14ac:dyDescent="0.45">
      <c r="A175" s="11"/>
      <c r="B175" s="6"/>
      <c r="C175" s="7" t="s">
        <v>2077</v>
      </c>
      <c r="D175" s="6" t="s">
        <v>1505</v>
      </c>
      <c r="E175" s="7" t="s">
        <v>35</v>
      </c>
      <c r="F175" s="7" t="s">
        <v>45</v>
      </c>
      <c r="G175" s="7" t="s">
        <v>37</v>
      </c>
      <c r="H175" s="12" t="s">
        <v>38</v>
      </c>
      <c r="I175" s="6" t="s">
        <v>39</v>
      </c>
      <c r="J175" s="48">
        <v>2</v>
      </c>
      <c r="K175" s="124">
        <v>2021</v>
      </c>
      <c r="L175" s="125">
        <v>2022</v>
      </c>
      <c r="M175" s="124">
        <v>2023</v>
      </c>
      <c r="N175" s="124">
        <v>2024</v>
      </c>
      <c r="O175" s="124">
        <v>2025</v>
      </c>
      <c r="P175" s="124">
        <v>2026</v>
      </c>
      <c r="Q175" s="124">
        <v>2027</v>
      </c>
      <c r="R175" s="124">
        <v>2028</v>
      </c>
      <c r="S175" s="124">
        <v>2029</v>
      </c>
      <c r="T175" s="124">
        <v>2030</v>
      </c>
      <c r="U175" s="124">
        <v>2031</v>
      </c>
      <c r="V175" s="124">
        <v>2032</v>
      </c>
      <c r="W175" s="124">
        <v>2033</v>
      </c>
      <c r="X175" s="124">
        <v>2034</v>
      </c>
      <c r="Y175" s="124">
        <v>2035</v>
      </c>
      <c r="Z175" s="124">
        <v>2036</v>
      </c>
      <c r="AA175" s="124">
        <v>2037</v>
      </c>
      <c r="AB175" s="124">
        <v>2038</v>
      </c>
      <c r="AC175" s="124">
        <v>2039</v>
      </c>
      <c r="AD175" s="124">
        <v>2040</v>
      </c>
      <c r="AE175" s="124">
        <v>2041</v>
      </c>
      <c r="AF175" s="124">
        <v>2042</v>
      </c>
      <c r="AG175" s="124">
        <v>2043</v>
      </c>
      <c r="AH175" s="124">
        <v>2044</v>
      </c>
      <c r="AI175" s="124">
        <v>2045</v>
      </c>
    </row>
    <row r="176" spans="1:35" customFormat="1" ht="14.25" x14ac:dyDescent="0.45">
      <c r="B176" s="14" t="s">
        <v>1806</v>
      </c>
      <c r="C176" s="14"/>
      <c r="D176" s="15" t="s">
        <v>2453</v>
      </c>
      <c r="E176" s="16" t="s">
        <v>79</v>
      </c>
      <c r="F176" s="14" t="s">
        <v>1806</v>
      </c>
      <c r="G176" s="114" t="s">
        <v>1809</v>
      </c>
      <c r="H176" s="119"/>
      <c r="I176" t="s">
        <v>2079</v>
      </c>
      <c r="K176" s="126"/>
      <c r="L176" s="127">
        <f>INDEX(Data_Prices!L:L,MATCH($G176,Data_Prices!$A:$A,0))</f>
        <v>0</v>
      </c>
      <c r="M176" s="127">
        <f>INDEX(Data_Prices!M:M,MATCH($G176,Data_Prices!$A:$A,0))</f>
        <v>0</v>
      </c>
      <c r="N176" s="127">
        <f>INDEX(Data_Prices!N:N,MATCH($G176,Data_Prices!$A:$A,0))</f>
        <v>0</v>
      </c>
      <c r="O176" s="127">
        <f>INDEX(Data_Prices!O:O,MATCH($G176,Data_Prices!$A:$A,0))</f>
        <v>0</v>
      </c>
      <c r="P176" s="127">
        <f>INDEX(Data_Prices!P:P,MATCH($G176,Data_Prices!$A:$A,0))</f>
        <v>0</v>
      </c>
      <c r="Q176" s="127">
        <f>INDEX(Data_Prices!Q:Q,MATCH($G176,Data_Prices!$A:$A,0))</f>
        <v>0</v>
      </c>
      <c r="R176" s="127">
        <f>INDEX(Data_Prices!R:R,MATCH($G176,Data_Prices!$A:$A,0))</f>
        <v>0</v>
      </c>
      <c r="S176" s="127">
        <f>INDEX(Data_Prices!S:S,MATCH($G176,Data_Prices!$A:$A,0))</f>
        <v>0</v>
      </c>
      <c r="T176" s="127">
        <f>INDEX(Data_Prices!T:T,MATCH($G176,Data_Prices!$A:$A,0))</f>
        <v>0</v>
      </c>
      <c r="U176" s="127">
        <f>INDEX(Data_Prices!U:U,MATCH($G176,Data_Prices!$A:$A,0))</f>
        <v>0</v>
      </c>
      <c r="V176" s="127">
        <f>INDEX(Data_Prices!V:V,MATCH($G176,Data_Prices!$A:$A,0))</f>
        <v>0</v>
      </c>
      <c r="W176" s="127">
        <f>INDEX(Data_Prices!W:W,MATCH($G176,Data_Prices!$A:$A,0))</f>
        <v>0</v>
      </c>
      <c r="X176" s="127">
        <f>INDEX(Data_Prices!X:X,MATCH($G176,Data_Prices!$A:$A,0))</f>
        <v>0</v>
      </c>
      <c r="Y176" s="127">
        <f>INDEX(Data_Prices!Y:Y,MATCH($G176,Data_Prices!$A:$A,0))</f>
        <v>0</v>
      </c>
      <c r="Z176" s="127">
        <f>INDEX(Data_Prices!Z:Z,MATCH($G176,Data_Prices!$A:$A,0))</f>
        <v>0</v>
      </c>
      <c r="AA176" s="127">
        <f>INDEX(Data_Prices!AA:AA,MATCH($G176,Data_Prices!$A:$A,0))</f>
        <v>0</v>
      </c>
      <c r="AB176" s="127">
        <f>INDEX(Data_Prices!AB:AB,MATCH($G176,Data_Prices!$A:$A,0))</f>
        <v>0</v>
      </c>
      <c r="AC176" s="127">
        <f>INDEX(Data_Prices!AC:AC,MATCH($G176,Data_Prices!$A:$A,0))</f>
        <v>0</v>
      </c>
      <c r="AD176" s="127">
        <f>INDEX(Data_Prices!AD:AD,MATCH($G176,Data_Prices!$A:$A,0))</f>
        <v>0</v>
      </c>
      <c r="AE176" s="127">
        <f>INDEX(Data_Prices!AE:AE,MATCH($G176,Data_Prices!$A:$A,0))</f>
        <v>0</v>
      </c>
      <c r="AF176" s="128"/>
      <c r="AG176" s="128"/>
      <c r="AH176" s="128"/>
      <c r="AI176" s="128"/>
    </row>
    <row r="177" spans="1:35" customFormat="1" ht="14.25" x14ac:dyDescent="0.45">
      <c r="B177" s="14" t="s">
        <v>1414</v>
      </c>
      <c r="C177" s="14"/>
      <c r="D177" s="15" t="s">
        <v>2454</v>
      </c>
      <c r="E177" s="16" t="s">
        <v>1415</v>
      </c>
      <c r="F177" s="14" t="s">
        <v>1414</v>
      </c>
      <c r="G177" s="119"/>
      <c r="H177" s="119"/>
      <c r="I177" t="s">
        <v>2710</v>
      </c>
      <c r="K177" s="126"/>
      <c r="L177" s="127">
        <f>Mitigation_Industry!L$646</f>
        <v>0</v>
      </c>
      <c r="M177" s="127">
        <f>Mitigation_Industry!M$646</f>
        <v>0</v>
      </c>
      <c r="N177" s="127">
        <f>Mitigation_Industry!N$646</f>
        <v>0</v>
      </c>
      <c r="O177" s="127">
        <f>Mitigation_Industry!O$646</f>
        <v>0</v>
      </c>
      <c r="P177" s="127">
        <f>Mitigation_Industry!P$646</f>
        <v>0</v>
      </c>
      <c r="Q177" s="127">
        <f>Mitigation_Industry!Q$646</f>
        <v>12.5</v>
      </c>
      <c r="R177" s="127">
        <f>Mitigation_Industry!R$646</f>
        <v>25</v>
      </c>
      <c r="S177" s="127">
        <f>Mitigation_Industry!S$646</f>
        <v>37.5</v>
      </c>
      <c r="T177" s="127">
        <f>Mitigation_Industry!T$646</f>
        <v>50</v>
      </c>
      <c r="U177" s="127">
        <f>Mitigation_Industry!U$646</f>
        <v>62.5</v>
      </c>
      <c r="V177" s="127">
        <f>Mitigation_Industry!V$646</f>
        <v>75</v>
      </c>
      <c r="W177" s="127">
        <f>Mitigation_Industry!W$646</f>
        <v>87.5</v>
      </c>
      <c r="X177" s="127">
        <f>Mitigation_Industry!X$646</f>
        <v>100</v>
      </c>
      <c r="Y177" s="127">
        <f>Mitigation_Industry!Y$646</f>
        <v>112.5</v>
      </c>
      <c r="Z177" s="127">
        <f>Mitigation_Industry!Z$646</f>
        <v>125</v>
      </c>
      <c r="AA177" s="127">
        <f>Mitigation_Industry!AA$646</f>
        <v>137.5</v>
      </c>
      <c r="AB177" s="127">
        <f>Mitigation_Industry!AB$646</f>
        <v>150</v>
      </c>
      <c r="AC177" s="127">
        <f>Mitigation_Industry!AC$646</f>
        <v>162.5</v>
      </c>
      <c r="AD177" s="127">
        <f>Mitigation_Industry!AD$646</f>
        <v>175</v>
      </c>
      <c r="AE177" s="127">
        <f>Mitigation_Industry!AE$646</f>
        <v>187.5</v>
      </c>
      <c r="AF177" s="128"/>
      <c r="AG177" s="128"/>
      <c r="AH177" s="128"/>
      <c r="AI177" s="128"/>
    </row>
    <row r="178" spans="1:35" customFormat="1" ht="14.25" x14ac:dyDescent="0.45">
      <c r="B178" s="14" t="s">
        <v>1418</v>
      </c>
      <c r="C178" s="14"/>
      <c r="D178" s="15" t="s">
        <v>2456</v>
      </c>
      <c r="E178" s="16" t="s">
        <v>1415</v>
      </c>
      <c r="F178" s="14" t="s">
        <v>1418</v>
      </c>
      <c r="G178" s="119"/>
      <c r="H178" s="119"/>
      <c r="I178" t="s">
        <v>2711</v>
      </c>
      <c r="K178" s="126"/>
      <c r="L178" s="127">
        <f>Mitigation_Industry!L$647</f>
        <v>0</v>
      </c>
      <c r="M178" s="127">
        <f>Mitigation_Industry!M$647</f>
        <v>0</v>
      </c>
      <c r="N178" s="127">
        <f>Mitigation_Industry!N$647</f>
        <v>0</v>
      </c>
      <c r="O178" s="127">
        <f>Mitigation_Industry!O$647</f>
        <v>0</v>
      </c>
      <c r="P178" s="127">
        <f>Mitigation_Industry!P$647</f>
        <v>0</v>
      </c>
      <c r="Q178" s="127">
        <f>Mitigation_Industry!Q$647</f>
        <v>0</v>
      </c>
      <c r="R178" s="127">
        <f>Mitigation_Industry!R$647</f>
        <v>0</v>
      </c>
      <c r="S178" s="127">
        <f>Mitigation_Industry!S$647</f>
        <v>0</v>
      </c>
      <c r="T178" s="127">
        <f>Mitigation_Industry!T$647</f>
        <v>0</v>
      </c>
      <c r="U178" s="127">
        <f>Mitigation_Industry!U$647</f>
        <v>0</v>
      </c>
      <c r="V178" s="127">
        <f>Mitigation_Industry!V$647</f>
        <v>0</v>
      </c>
      <c r="W178" s="127">
        <f>Mitigation_Industry!W$647</f>
        <v>0</v>
      </c>
      <c r="X178" s="127">
        <f>Mitigation_Industry!X$647</f>
        <v>0</v>
      </c>
      <c r="Y178" s="127">
        <f>Mitigation_Industry!Y$647</f>
        <v>0</v>
      </c>
      <c r="Z178" s="127">
        <f>Mitigation_Industry!Z$647</f>
        <v>0</v>
      </c>
      <c r="AA178" s="127">
        <f>Mitigation_Industry!AA$647</f>
        <v>0</v>
      </c>
      <c r="AB178" s="127">
        <f>Mitigation_Industry!AB$647</f>
        <v>0</v>
      </c>
      <c r="AC178" s="127">
        <f>Mitigation_Industry!AC$647</f>
        <v>0</v>
      </c>
      <c r="AD178" s="127">
        <f>Mitigation_Industry!AD$647</f>
        <v>0</v>
      </c>
      <c r="AE178" s="127">
        <f>Mitigation_Industry!AE$647</f>
        <v>0</v>
      </c>
      <c r="AF178" s="128"/>
      <c r="AG178" s="128"/>
      <c r="AH178" s="128"/>
      <c r="AI178" s="128"/>
    </row>
    <row r="179" spans="1:35" customFormat="1" ht="14.25" x14ac:dyDescent="0.45">
      <c r="B179" s="14" t="s">
        <v>1792</v>
      </c>
      <c r="C179" s="14"/>
      <c r="D179" s="15" t="s">
        <v>2458</v>
      </c>
      <c r="E179" s="16" t="s">
        <v>1415</v>
      </c>
      <c r="F179" s="14" t="s">
        <v>1792</v>
      </c>
      <c r="G179" s="119"/>
      <c r="H179" s="119"/>
      <c r="I179" t="s">
        <v>2712</v>
      </c>
      <c r="K179" s="126"/>
      <c r="L179" s="127">
        <f>Mitigation_Industry!L$707</f>
        <v>0</v>
      </c>
      <c r="M179" s="127">
        <f>Mitigation_Industry!M$707</f>
        <v>0</v>
      </c>
      <c r="N179" s="127">
        <f>Mitigation_Industry!N$707</f>
        <v>0</v>
      </c>
      <c r="O179" s="127">
        <f>Mitigation_Industry!O$707</f>
        <v>0</v>
      </c>
      <c r="P179" s="127">
        <f>Mitigation_Industry!P$707</f>
        <v>0</v>
      </c>
      <c r="Q179" s="127">
        <f>Mitigation_Industry!Q$707</f>
        <v>0</v>
      </c>
      <c r="R179" s="127">
        <f>Mitigation_Industry!R$707</f>
        <v>0</v>
      </c>
      <c r="S179" s="127">
        <f>Mitigation_Industry!S$707</f>
        <v>0</v>
      </c>
      <c r="T179" s="127">
        <f>Mitigation_Industry!T$707</f>
        <v>0</v>
      </c>
      <c r="U179" s="127">
        <f>Mitigation_Industry!U$707</f>
        <v>0</v>
      </c>
      <c r="V179" s="127">
        <f>Mitigation_Industry!V$707</f>
        <v>0</v>
      </c>
      <c r="W179" s="127">
        <f>Mitigation_Industry!W$707</f>
        <v>0</v>
      </c>
      <c r="X179" s="127">
        <f>Mitigation_Industry!X$707</f>
        <v>0</v>
      </c>
      <c r="Y179" s="127">
        <f>Mitigation_Industry!Y$707</f>
        <v>0</v>
      </c>
      <c r="Z179" s="127">
        <f>Mitigation_Industry!Z$707</f>
        <v>0</v>
      </c>
      <c r="AA179" s="127">
        <f>Mitigation_Industry!AA$707</f>
        <v>0</v>
      </c>
      <c r="AB179" s="127">
        <f>Mitigation_Industry!AB$707</f>
        <v>0</v>
      </c>
      <c r="AC179" s="127">
        <f>Mitigation_Industry!AC$707</f>
        <v>0</v>
      </c>
      <c r="AD179" s="127">
        <f>Mitigation_Industry!AD$707</f>
        <v>0</v>
      </c>
      <c r="AE179" s="127">
        <f>Mitigation_Industry!AE$707</f>
        <v>0</v>
      </c>
      <c r="AF179" s="128"/>
      <c r="AG179" s="128"/>
      <c r="AH179" s="128"/>
      <c r="AI179" s="128"/>
    </row>
    <row r="180" spans="1:35" x14ac:dyDescent="0.35"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  <c r="AD180" s="122"/>
      <c r="AE180" s="122"/>
      <c r="AF180" s="122"/>
      <c r="AG180" s="122"/>
      <c r="AH180" s="122"/>
      <c r="AI180" s="122"/>
    </row>
    <row r="181" spans="1:35" customFormat="1" ht="14.25" x14ac:dyDescent="0.45">
      <c r="A181" s="11"/>
      <c r="B181" s="6"/>
      <c r="C181" s="7" t="s">
        <v>2460</v>
      </c>
      <c r="D181" s="6" t="s">
        <v>1505</v>
      </c>
      <c r="E181" s="7" t="s">
        <v>35</v>
      </c>
      <c r="F181" s="7" t="s">
        <v>45</v>
      </c>
      <c r="G181" s="7" t="s">
        <v>37</v>
      </c>
      <c r="H181" s="12" t="s">
        <v>38</v>
      </c>
      <c r="I181" s="6" t="s">
        <v>39</v>
      </c>
      <c r="J181" s="48">
        <v>2</v>
      </c>
      <c r="K181" s="124">
        <v>2021</v>
      </c>
      <c r="L181" s="125">
        <v>2022</v>
      </c>
      <c r="M181" s="124">
        <v>2023</v>
      </c>
      <c r="N181" s="124">
        <v>2024</v>
      </c>
      <c r="O181" s="124">
        <v>2025</v>
      </c>
      <c r="P181" s="124">
        <v>2026</v>
      </c>
      <c r="Q181" s="124">
        <v>2027</v>
      </c>
      <c r="R181" s="124">
        <v>2028</v>
      </c>
      <c r="S181" s="124">
        <v>2029</v>
      </c>
      <c r="T181" s="124">
        <v>2030</v>
      </c>
      <c r="U181" s="124">
        <v>2031</v>
      </c>
      <c r="V181" s="124">
        <v>2032</v>
      </c>
      <c r="W181" s="124">
        <v>2033</v>
      </c>
      <c r="X181" s="124">
        <v>2034</v>
      </c>
      <c r="Y181" s="124">
        <v>2035</v>
      </c>
      <c r="Z181" s="124">
        <v>2036</v>
      </c>
      <c r="AA181" s="124">
        <v>2037</v>
      </c>
      <c r="AB181" s="124">
        <v>2038</v>
      </c>
      <c r="AC181" s="124">
        <v>2039</v>
      </c>
      <c r="AD181" s="124">
        <v>2040</v>
      </c>
      <c r="AE181" s="124">
        <v>2041</v>
      </c>
      <c r="AF181" s="124">
        <v>2042</v>
      </c>
      <c r="AG181" s="124">
        <v>2043</v>
      </c>
      <c r="AH181" s="124">
        <v>2044</v>
      </c>
      <c r="AI181" s="124">
        <v>2045</v>
      </c>
    </row>
    <row r="182" spans="1:35" customFormat="1" ht="14.25" x14ac:dyDescent="0.45">
      <c r="B182" s="14" t="s">
        <v>1452</v>
      </c>
      <c r="C182" s="14" t="s">
        <v>43</v>
      </c>
      <c r="D182" s="15" t="s">
        <v>2461</v>
      </c>
      <c r="E182" s="16" t="s">
        <v>1415</v>
      </c>
      <c r="F182" s="14" t="s">
        <v>2460</v>
      </c>
      <c r="G182" s="119"/>
      <c r="H182" s="114" t="str">
        <f>Settings!$B$3&amp;".mit.pf.stl.drg.2"</f>
        <v>egy.mit.pf.stl.drg.2</v>
      </c>
      <c r="I182" t="s">
        <v>2462</v>
      </c>
      <c r="K182" s="126"/>
      <c r="L182" s="127">
        <f>Mitigation_Industry!$F$698*L$177+Mitigation_Industry!$G$698*L$178</f>
        <v>0</v>
      </c>
      <c r="M182" s="127">
        <f>Mitigation_Industry!$F$698*M$177+Mitigation_Industry!$G$698*M$178</f>
        <v>0</v>
      </c>
      <c r="N182" s="127">
        <f>Mitigation_Industry!$F$698*N$177+Mitigation_Industry!$G$698*N$178</f>
        <v>0</v>
      </c>
      <c r="O182" s="127">
        <f>Mitigation_Industry!$F$698*O$177+Mitigation_Industry!$G$698*O$178</f>
        <v>0</v>
      </c>
      <c r="P182" s="127">
        <f>Mitigation_Industry!$F$698*P$177+Mitigation_Industry!$G$698*P$178</f>
        <v>0</v>
      </c>
      <c r="Q182" s="127">
        <f>Mitigation_Industry!$F$698*Q$177+Mitigation_Industry!$G$698*Q$178</f>
        <v>12.5</v>
      </c>
      <c r="R182" s="127">
        <f>Mitigation_Industry!$F$698*R$177+Mitigation_Industry!$G$698*R$178</f>
        <v>25</v>
      </c>
      <c r="S182" s="127">
        <f>Mitigation_Industry!$F$698*S$177+Mitigation_Industry!$G$698*S$178</f>
        <v>37.5</v>
      </c>
      <c r="T182" s="127">
        <f>Mitigation_Industry!$F$698*T$177+Mitigation_Industry!$G$698*T$178</f>
        <v>50</v>
      </c>
      <c r="U182" s="127">
        <f>Mitigation_Industry!$F$698*U$177+Mitigation_Industry!$G$698*U$178</f>
        <v>62.5</v>
      </c>
      <c r="V182" s="127">
        <f>Mitigation_Industry!$F$698*V$177+Mitigation_Industry!$G$698*V$178</f>
        <v>75</v>
      </c>
      <c r="W182" s="127">
        <f>Mitigation_Industry!$F$698*W$177+Mitigation_Industry!$G$698*W$178</f>
        <v>87.5</v>
      </c>
      <c r="X182" s="127">
        <f>Mitigation_Industry!$F$698*X$177+Mitigation_Industry!$G$698*X$178</f>
        <v>100</v>
      </c>
      <c r="Y182" s="127">
        <f>Mitigation_Industry!$F$698*Y$177+Mitigation_Industry!$G$698*Y$178</f>
        <v>112.5</v>
      </c>
      <c r="Z182" s="127">
        <f>Mitigation_Industry!$F$698*Z$177+Mitigation_Industry!$G$698*Z$178</f>
        <v>125</v>
      </c>
      <c r="AA182" s="127">
        <f>Mitigation_Industry!$F$698*AA$177+Mitigation_Industry!$G$698*AA$178</f>
        <v>137.5</v>
      </c>
      <c r="AB182" s="127">
        <f>Mitigation_Industry!$F$698*AB$177+Mitigation_Industry!$G$698*AB$178</f>
        <v>150</v>
      </c>
      <c r="AC182" s="127">
        <f>Mitigation_Industry!$F$698*AC$177+Mitigation_Industry!$G$698*AC$178</f>
        <v>162.5</v>
      </c>
      <c r="AD182" s="127">
        <f>Mitigation_Industry!$F$698*AD$177+Mitigation_Industry!$G$698*AD$178</f>
        <v>175</v>
      </c>
      <c r="AE182" s="127">
        <f>Mitigation_Industry!$F$698*AE$177+Mitigation_Industry!$G$698*AE$178</f>
        <v>187.5</v>
      </c>
      <c r="AF182" s="128"/>
      <c r="AG182" s="128"/>
      <c r="AH182" s="128"/>
      <c r="AI182" s="128"/>
    </row>
    <row r="183" spans="1:35" customFormat="1" ht="14.25" x14ac:dyDescent="0.45">
      <c r="B183" s="14" t="s">
        <v>1455</v>
      </c>
      <c r="C183" s="14" t="s">
        <v>43</v>
      </c>
      <c r="D183" s="15" t="s">
        <v>2463</v>
      </c>
      <c r="E183" s="16" t="s">
        <v>1415</v>
      </c>
      <c r="F183" s="14" t="s">
        <v>2460</v>
      </c>
      <c r="G183" s="119"/>
      <c r="H183" s="114" t="str">
        <f>Settings!$B$3&amp;".mit.pf.stl.scr.2"</f>
        <v>egy.mit.pf.stl.scr.2</v>
      </c>
      <c r="K183" s="126"/>
      <c r="L183" s="127">
        <f>Mitigation_Industry!$F$699*L$177+Mitigation_Industry!$G$699*L$178</f>
        <v>0</v>
      </c>
      <c r="M183" s="127">
        <f>Mitigation_Industry!$F$699*M$177+Mitigation_Industry!$G$699*M$178</f>
        <v>0</v>
      </c>
      <c r="N183" s="127">
        <f>Mitigation_Industry!$F$699*N$177+Mitigation_Industry!$G$699*N$178</f>
        <v>0</v>
      </c>
      <c r="O183" s="127">
        <f>Mitigation_Industry!$F$699*O$177+Mitigation_Industry!$G$699*O$178</f>
        <v>0</v>
      </c>
      <c r="P183" s="127">
        <f>Mitigation_Industry!$F$699*P$177+Mitigation_Industry!$G$699*P$178</f>
        <v>0</v>
      </c>
      <c r="Q183" s="127">
        <f>Mitigation_Industry!$F$699*Q$177+Mitigation_Industry!$G$699*Q$178</f>
        <v>12.5</v>
      </c>
      <c r="R183" s="127">
        <f>Mitigation_Industry!$F$699*R$177+Mitigation_Industry!$G$699*R$178</f>
        <v>25</v>
      </c>
      <c r="S183" s="127">
        <f>Mitigation_Industry!$F$699*S$177+Mitigation_Industry!$G$699*S$178</f>
        <v>37.5</v>
      </c>
      <c r="T183" s="127">
        <f>Mitigation_Industry!$F$699*T$177+Mitigation_Industry!$G$699*T$178</f>
        <v>50</v>
      </c>
      <c r="U183" s="127">
        <f>Mitigation_Industry!$F$699*U$177+Mitigation_Industry!$G$699*U$178</f>
        <v>62.5</v>
      </c>
      <c r="V183" s="127">
        <f>Mitigation_Industry!$F$699*V$177+Mitigation_Industry!$G$699*V$178</f>
        <v>75</v>
      </c>
      <c r="W183" s="127">
        <f>Mitigation_Industry!$F$699*W$177+Mitigation_Industry!$G$699*W$178</f>
        <v>87.5</v>
      </c>
      <c r="X183" s="127">
        <f>Mitigation_Industry!$F$699*X$177+Mitigation_Industry!$G$699*X$178</f>
        <v>100</v>
      </c>
      <c r="Y183" s="127">
        <f>Mitigation_Industry!$F$699*Y$177+Mitigation_Industry!$G$699*Y$178</f>
        <v>112.5</v>
      </c>
      <c r="Z183" s="127">
        <f>Mitigation_Industry!$F$699*Z$177+Mitigation_Industry!$G$699*Z$178</f>
        <v>125</v>
      </c>
      <c r="AA183" s="127">
        <f>Mitigation_Industry!$F$699*AA$177+Mitigation_Industry!$G$699*AA$178</f>
        <v>137.5</v>
      </c>
      <c r="AB183" s="127">
        <f>Mitigation_Industry!$F$699*AB$177+Mitigation_Industry!$G$699*AB$178</f>
        <v>150</v>
      </c>
      <c r="AC183" s="127">
        <f>Mitigation_Industry!$F$699*AC$177+Mitigation_Industry!$G$699*AC$178</f>
        <v>162.5</v>
      </c>
      <c r="AD183" s="127">
        <f>Mitigation_Industry!$F$699*AD$177+Mitigation_Industry!$G$699*AD$178</f>
        <v>175</v>
      </c>
      <c r="AE183" s="127">
        <f>Mitigation_Industry!$F$699*AE$177+Mitigation_Industry!$G$699*AE$178</f>
        <v>187.5</v>
      </c>
      <c r="AF183" s="128"/>
      <c r="AG183" s="128"/>
      <c r="AH183" s="128"/>
      <c r="AI183" s="128"/>
    </row>
    <row r="184" spans="1:35" customFormat="1" ht="14.25" x14ac:dyDescent="0.45">
      <c r="B184" s="14" t="s">
        <v>1458</v>
      </c>
      <c r="C184" s="14" t="s">
        <v>43</v>
      </c>
      <c r="D184" s="15" t="s">
        <v>2464</v>
      </c>
      <c r="E184" s="16" t="s">
        <v>1415</v>
      </c>
      <c r="F184" s="14" t="s">
        <v>2460</v>
      </c>
      <c r="G184" s="119"/>
      <c r="H184" s="114" t="str">
        <f>Settings!$B$3&amp;".mit.pf.stl.bof.2"</f>
        <v>egy.mit.pf.stl.bof.2</v>
      </c>
      <c r="K184" s="126"/>
      <c r="L184" s="127">
        <f>Mitigation_Industry!$F$700*L$177+Mitigation_Industry!$G$700*L$178</f>
        <v>0</v>
      </c>
      <c r="M184" s="127">
        <f>Mitigation_Industry!$F$700*M$177+Mitigation_Industry!$G$700*M$178</f>
        <v>0</v>
      </c>
      <c r="N184" s="127">
        <f>Mitigation_Industry!$F$700*N$177+Mitigation_Industry!$G$700*N$178</f>
        <v>0</v>
      </c>
      <c r="O184" s="127">
        <f>Mitigation_Industry!$F$700*O$177+Mitigation_Industry!$G$700*O$178</f>
        <v>0</v>
      </c>
      <c r="P184" s="127">
        <f>Mitigation_Industry!$F$700*P$177+Mitigation_Industry!$G$700*P$178</f>
        <v>0</v>
      </c>
      <c r="Q184" s="127">
        <f>Mitigation_Industry!$F$700*Q$177+Mitigation_Industry!$G$700*Q$178</f>
        <v>12.5</v>
      </c>
      <c r="R184" s="127">
        <f>Mitigation_Industry!$F$700*R$177+Mitigation_Industry!$G$700*R$178</f>
        <v>25</v>
      </c>
      <c r="S184" s="127">
        <f>Mitigation_Industry!$F$700*S$177+Mitigation_Industry!$G$700*S$178</f>
        <v>37.5</v>
      </c>
      <c r="T184" s="127">
        <f>Mitigation_Industry!$F$700*T$177+Mitigation_Industry!$G$700*T$178</f>
        <v>50</v>
      </c>
      <c r="U184" s="127">
        <f>Mitigation_Industry!$F$700*U$177+Mitigation_Industry!$G$700*U$178</f>
        <v>62.5</v>
      </c>
      <c r="V184" s="127">
        <f>Mitigation_Industry!$F$700*V$177+Mitigation_Industry!$G$700*V$178</f>
        <v>75</v>
      </c>
      <c r="W184" s="127">
        <f>Mitigation_Industry!$F$700*W$177+Mitigation_Industry!$G$700*W$178</f>
        <v>87.5</v>
      </c>
      <c r="X184" s="127">
        <f>Mitigation_Industry!$F$700*X$177+Mitigation_Industry!$G$700*X$178</f>
        <v>100</v>
      </c>
      <c r="Y184" s="127">
        <f>Mitigation_Industry!$F$700*Y$177+Mitigation_Industry!$G$700*Y$178</f>
        <v>112.5</v>
      </c>
      <c r="Z184" s="127">
        <f>Mitigation_Industry!$F$700*Z$177+Mitigation_Industry!$G$700*Z$178</f>
        <v>125</v>
      </c>
      <c r="AA184" s="127">
        <f>Mitigation_Industry!$F$700*AA$177+Mitigation_Industry!$G$700*AA$178</f>
        <v>137.5</v>
      </c>
      <c r="AB184" s="127">
        <f>Mitigation_Industry!$F$700*AB$177+Mitigation_Industry!$G$700*AB$178</f>
        <v>150</v>
      </c>
      <c r="AC184" s="127">
        <f>Mitigation_Industry!$F$700*AC$177+Mitigation_Industry!$G$700*AC$178</f>
        <v>162.5</v>
      </c>
      <c r="AD184" s="127">
        <f>Mitigation_Industry!$F$700*AD$177+Mitigation_Industry!$G$700*AD$178</f>
        <v>175</v>
      </c>
      <c r="AE184" s="127">
        <f>Mitigation_Industry!$F$700*AE$177+Mitigation_Industry!$G$700*AE$178</f>
        <v>187.5</v>
      </c>
      <c r="AF184" s="128"/>
      <c r="AG184" s="128"/>
      <c r="AH184" s="128"/>
      <c r="AI184" s="128"/>
    </row>
    <row r="185" spans="1:35" customFormat="1" ht="14.25" x14ac:dyDescent="0.45">
      <c r="B185" s="14" t="s">
        <v>1461</v>
      </c>
      <c r="C185" s="14" t="s">
        <v>113</v>
      </c>
      <c r="D185" s="15" t="s">
        <v>2465</v>
      </c>
      <c r="E185" s="16" t="s">
        <v>1415</v>
      </c>
      <c r="F185" s="14" t="s">
        <v>2460</v>
      </c>
      <c r="G185" s="119"/>
      <c r="H185" s="114" t="str">
        <f>Settings!$B$3&amp;".mit.pf.cmt.dry.2"</f>
        <v>egy.mit.pf.cmt.dry.2</v>
      </c>
      <c r="K185" s="126"/>
      <c r="L185" s="127">
        <f>Mitigation_Industry!$F$701*L$177+Mitigation_Industry!$G$701*L$178</f>
        <v>0</v>
      </c>
      <c r="M185" s="127">
        <f>Mitigation_Industry!$F$701*M$177+Mitigation_Industry!$G$701*M$178</f>
        <v>0</v>
      </c>
      <c r="N185" s="127">
        <f>Mitigation_Industry!$F$701*N$177+Mitigation_Industry!$G$701*N$178</f>
        <v>0</v>
      </c>
      <c r="O185" s="127">
        <f>Mitigation_Industry!$F$701*O$177+Mitigation_Industry!$G$701*O$178</f>
        <v>0</v>
      </c>
      <c r="P185" s="127">
        <f>Mitigation_Industry!$F$701*P$177+Mitigation_Industry!$G$701*P$178</f>
        <v>0</v>
      </c>
      <c r="Q185" s="127">
        <f>Mitigation_Industry!$F$701*Q$177+Mitigation_Industry!$G$701*Q$178</f>
        <v>12.5</v>
      </c>
      <c r="R185" s="127">
        <f>Mitigation_Industry!$F$701*R$177+Mitigation_Industry!$G$701*R$178</f>
        <v>25</v>
      </c>
      <c r="S185" s="127">
        <f>Mitigation_Industry!$F$701*S$177+Mitigation_Industry!$G$701*S$178</f>
        <v>37.5</v>
      </c>
      <c r="T185" s="127">
        <f>Mitigation_Industry!$F$701*T$177+Mitigation_Industry!$G$701*T$178</f>
        <v>50</v>
      </c>
      <c r="U185" s="127">
        <f>Mitigation_Industry!$F$701*U$177+Mitigation_Industry!$G$701*U$178</f>
        <v>62.5</v>
      </c>
      <c r="V185" s="127">
        <f>Mitigation_Industry!$F$701*V$177+Mitigation_Industry!$G$701*V$178</f>
        <v>75</v>
      </c>
      <c r="W185" s="127">
        <f>Mitigation_Industry!$F$701*W$177+Mitigation_Industry!$G$701*W$178</f>
        <v>87.5</v>
      </c>
      <c r="X185" s="127">
        <f>Mitigation_Industry!$F$701*X$177+Mitigation_Industry!$G$701*X$178</f>
        <v>100</v>
      </c>
      <c r="Y185" s="127">
        <f>Mitigation_Industry!$F$701*Y$177+Mitigation_Industry!$G$701*Y$178</f>
        <v>112.5</v>
      </c>
      <c r="Z185" s="127">
        <f>Mitigation_Industry!$F$701*Z$177+Mitigation_Industry!$G$701*Z$178</f>
        <v>125</v>
      </c>
      <c r="AA185" s="127">
        <f>Mitigation_Industry!$F$701*AA$177+Mitigation_Industry!$G$701*AA$178</f>
        <v>137.5</v>
      </c>
      <c r="AB185" s="127">
        <f>Mitigation_Industry!$F$701*AB$177+Mitigation_Industry!$G$701*AB$178</f>
        <v>150</v>
      </c>
      <c r="AC185" s="127">
        <f>Mitigation_Industry!$F$701*AC$177+Mitigation_Industry!$G$701*AC$178</f>
        <v>162.5</v>
      </c>
      <c r="AD185" s="127">
        <f>Mitigation_Industry!$F$701*AD$177+Mitigation_Industry!$G$701*AD$178</f>
        <v>175</v>
      </c>
      <c r="AE185" s="127">
        <f>Mitigation_Industry!$F$701*AE$177+Mitigation_Industry!$G$701*AE$178</f>
        <v>187.5</v>
      </c>
      <c r="AF185" s="128"/>
      <c r="AG185" s="128"/>
      <c r="AH185" s="128"/>
      <c r="AI185" s="128"/>
    </row>
    <row r="186" spans="1:35" customFormat="1" ht="14.25" x14ac:dyDescent="0.45">
      <c r="B186" s="14" t="s">
        <v>1464</v>
      </c>
      <c r="C186" s="14" t="s">
        <v>117</v>
      </c>
      <c r="D186" s="15" t="s">
        <v>2466</v>
      </c>
      <c r="E186" s="16" t="s">
        <v>1415</v>
      </c>
      <c r="F186" s="14" t="s">
        <v>2460</v>
      </c>
      <c r="G186" s="119"/>
      <c r="H186" s="114" t="str">
        <f>Settings!$B$3&amp;".mit.pf.frt.amc.2"</f>
        <v>egy.mit.pf.frt.amc.2</v>
      </c>
      <c r="K186" s="126"/>
      <c r="L186" s="127">
        <f>Mitigation_Industry!$F$702*L$177+Mitigation_Industry!$G$702*L$178</f>
        <v>0</v>
      </c>
      <c r="M186" s="127">
        <f>Mitigation_Industry!$F$702*M$177+Mitigation_Industry!$G$702*M$178</f>
        <v>0</v>
      </c>
      <c r="N186" s="127">
        <f>Mitigation_Industry!$F$702*N$177+Mitigation_Industry!$G$702*N$178</f>
        <v>0</v>
      </c>
      <c r="O186" s="127">
        <f>Mitigation_Industry!$F$702*O$177+Mitigation_Industry!$G$702*O$178</f>
        <v>0</v>
      </c>
      <c r="P186" s="127">
        <f>Mitigation_Industry!$F$702*P$177+Mitigation_Industry!$G$702*P$178</f>
        <v>0</v>
      </c>
      <c r="Q186" s="127">
        <f>Mitigation_Industry!$F$702*Q$177+Mitigation_Industry!$G$702*Q$178</f>
        <v>12.5</v>
      </c>
      <c r="R186" s="127">
        <f>Mitigation_Industry!$F$702*R$177+Mitigation_Industry!$G$702*R$178</f>
        <v>25</v>
      </c>
      <c r="S186" s="127">
        <f>Mitigation_Industry!$F$702*S$177+Mitigation_Industry!$G$702*S$178</f>
        <v>37.5</v>
      </c>
      <c r="T186" s="127">
        <f>Mitigation_Industry!$F$702*T$177+Mitigation_Industry!$G$702*T$178</f>
        <v>50</v>
      </c>
      <c r="U186" s="127">
        <f>Mitigation_Industry!$F$702*U$177+Mitigation_Industry!$G$702*U$178</f>
        <v>62.5</v>
      </c>
      <c r="V186" s="127">
        <f>Mitigation_Industry!$F$702*V$177+Mitigation_Industry!$G$702*V$178</f>
        <v>75</v>
      </c>
      <c r="W186" s="127">
        <f>Mitigation_Industry!$F$702*W$177+Mitigation_Industry!$G$702*W$178</f>
        <v>87.5</v>
      </c>
      <c r="X186" s="127">
        <f>Mitigation_Industry!$F$702*X$177+Mitigation_Industry!$G$702*X$178</f>
        <v>100</v>
      </c>
      <c r="Y186" s="127">
        <f>Mitigation_Industry!$F$702*Y$177+Mitigation_Industry!$G$702*Y$178</f>
        <v>112.5</v>
      </c>
      <c r="Z186" s="127">
        <f>Mitigation_Industry!$F$702*Z$177+Mitigation_Industry!$G$702*Z$178</f>
        <v>125</v>
      </c>
      <c r="AA186" s="127">
        <f>Mitigation_Industry!$F$702*AA$177+Mitigation_Industry!$G$702*AA$178</f>
        <v>137.5</v>
      </c>
      <c r="AB186" s="127">
        <f>Mitigation_Industry!$F$702*AB$177+Mitigation_Industry!$G$702*AB$178</f>
        <v>150</v>
      </c>
      <c r="AC186" s="127">
        <f>Mitigation_Industry!$F$702*AC$177+Mitigation_Industry!$G$702*AC$178</f>
        <v>162.5</v>
      </c>
      <c r="AD186" s="127">
        <f>Mitigation_Industry!$F$702*AD$177+Mitigation_Industry!$G$702*AD$178</f>
        <v>175</v>
      </c>
      <c r="AE186" s="127">
        <f>Mitigation_Industry!$F$702*AE$177+Mitigation_Industry!$G$702*AE$178</f>
        <v>187.5</v>
      </c>
      <c r="AF186" s="128"/>
      <c r="AG186" s="128"/>
      <c r="AH186" s="128"/>
      <c r="AI186" s="128"/>
    </row>
    <row r="187" spans="1:35" customFormat="1" ht="14.25" x14ac:dyDescent="0.45">
      <c r="B187" s="14" t="s">
        <v>1467</v>
      </c>
      <c r="C187" s="14" t="s">
        <v>117</v>
      </c>
      <c r="D187" s="15" t="s">
        <v>2467</v>
      </c>
      <c r="E187" s="16" t="s">
        <v>1415</v>
      </c>
      <c r="F187" s="14" t="s">
        <v>2460</v>
      </c>
      <c r="G187" s="119"/>
      <c r="H187" s="114" t="str">
        <f>Settings!$B$3&amp;".mit.pf.frt.ure.2"</f>
        <v>egy.mit.pf.frt.ure.2</v>
      </c>
      <c r="K187" s="126"/>
      <c r="L187" s="127">
        <f>Mitigation_Industry!$F$703*L$177+Mitigation_Industry!$G$703*L$178</f>
        <v>0</v>
      </c>
      <c r="M187" s="127">
        <f>Mitigation_Industry!$F$703*M$177+Mitigation_Industry!$G$703*M$178</f>
        <v>0</v>
      </c>
      <c r="N187" s="127">
        <f>Mitigation_Industry!$F$703*N$177+Mitigation_Industry!$G$703*N$178</f>
        <v>0</v>
      </c>
      <c r="O187" s="127">
        <f>Mitigation_Industry!$F$703*O$177+Mitigation_Industry!$G$703*O$178</f>
        <v>0</v>
      </c>
      <c r="P187" s="127">
        <f>Mitigation_Industry!$F$703*P$177+Mitigation_Industry!$G$703*P$178</f>
        <v>0</v>
      </c>
      <c r="Q187" s="127">
        <f>Mitigation_Industry!$F$703*Q$177+Mitigation_Industry!$G$703*Q$178</f>
        <v>12.5</v>
      </c>
      <c r="R187" s="127">
        <f>Mitigation_Industry!$F$703*R$177+Mitigation_Industry!$G$703*R$178</f>
        <v>25</v>
      </c>
      <c r="S187" s="127">
        <f>Mitigation_Industry!$F$703*S$177+Mitigation_Industry!$G$703*S$178</f>
        <v>37.5</v>
      </c>
      <c r="T187" s="127">
        <f>Mitigation_Industry!$F$703*T$177+Mitigation_Industry!$G$703*T$178</f>
        <v>50</v>
      </c>
      <c r="U187" s="127">
        <f>Mitigation_Industry!$F$703*U$177+Mitigation_Industry!$G$703*U$178</f>
        <v>62.5</v>
      </c>
      <c r="V187" s="127">
        <f>Mitigation_Industry!$F$703*V$177+Mitigation_Industry!$G$703*V$178</f>
        <v>75</v>
      </c>
      <c r="W187" s="127">
        <f>Mitigation_Industry!$F$703*W$177+Mitigation_Industry!$G$703*W$178</f>
        <v>87.5</v>
      </c>
      <c r="X187" s="127">
        <f>Mitigation_Industry!$F$703*X$177+Mitigation_Industry!$G$703*X$178</f>
        <v>100</v>
      </c>
      <c r="Y187" s="127">
        <f>Mitigation_Industry!$F$703*Y$177+Mitigation_Industry!$G$703*Y$178</f>
        <v>112.5</v>
      </c>
      <c r="Z187" s="127">
        <f>Mitigation_Industry!$F$703*Z$177+Mitigation_Industry!$G$703*Z$178</f>
        <v>125</v>
      </c>
      <c r="AA187" s="127">
        <f>Mitigation_Industry!$F$703*AA$177+Mitigation_Industry!$G$703*AA$178</f>
        <v>137.5</v>
      </c>
      <c r="AB187" s="127">
        <f>Mitigation_Industry!$F$703*AB$177+Mitigation_Industry!$G$703*AB$178</f>
        <v>150</v>
      </c>
      <c r="AC187" s="127">
        <f>Mitigation_Industry!$F$703*AC$177+Mitigation_Industry!$G$703*AC$178</f>
        <v>162.5</v>
      </c>
      <c r="AD187" s="127">
        <f>Mitigation_Industry!$F$703*AD$177+Mitigation_Industry!$G$703*AD$178</f>
        <v>175</v>
      </c>
      <c r="AE187" s="127">
        <f>Mitigation_Industry!$F$703*AE$177+Mitigation_Industry!$G$703*AE$178</f>
        <v>187.5</v>
      </c>
      <c r="AF187" s="128"/>
      <c r="AG187" s="128"/>
      <c r="AH187" s="128"/>
      <c r="AI187" s="128"/>
    </row>
    <row r="188" spans="1:35" customFormat="1" ht="14.25" x14ac:dyDescent="0.45">
      <c r="B188" s="14" t="s">
        <v>1470</v>
      </c>
      <c r="C188" s="14" t="s">
        <v>117</v>
      </c>
      <c r="D188" s="15" t="s">
        <v>2468</v>
      </c>
      <c r="E188" s="16" t="s">
        <v>1415</v>
      </c>
      <c r="F188" s="14" t="s">
        <v>2460</v>
      </c>
      <c r="G188" s="119"/>
      <c r="H188" s="114" t="str">
        <f>Settings!$B$3&amp;".mit.pf.frt.nit.2"</f>
        <v>egy.mit.pf.frt.nit.2</v>
      </c>
      <c r="K188" s="126"/>
      <c r="L188" s="127">
        <f>Mitigation_Industry!$F$704*L$177+Mitigation_Industry!$G$704*L$178</f>
        <v>0</v>
      </c>
      <c r="M188" s="127">
        <f>Mitigation_Industry!$F$704*M$177+Mitigation_Industry!$G$704*M$178</f>
        <v>0</v>
      </c>
      <c r="N188" s="127">
        <f>Mitigation_Industry!$F$704*N$177+Mitigation_Industry!$G$704*N$178</f>
        <v>0</v>
      </c>
      <c r="O188" s="127">
        <f>Mitigation_Industry!$F$704*O$177+Mitigation_Industry!$G$704*O$178</f>
        <v>0</v>
      </c>
      <c r="P188" s="127">
        <f>Mitigation_Industry!$F$704*P$177+Mitigation_Industry!$G$704*P$178</f>
        <v>0</v>
      </c>
      <c r="Q188" s="127">
        <f>Mitigation_Industry!$F$704*Q$177+Mitigation_Industry!$G$704*Q$178</f>
        <v>12.5</v>
      </c>
      <c r="R188" s="127">
        <f>Mitigation_Industry!$F$704*R$177+Mitigation_Industry!$G$704*R$178</f>
        <v>25</v>
      </c>
      <c r="S188" s="127">
        <f>Mitigation_Industry!$F$704*S$177+Mitigation_Industry!$G$704*S$178</f>
        <v>37.5</v>
      </c>
      <c r="T188" s="127">
        <f>Mitigation_Industry!$F$704*T$177+Mitigation_Industry!$G$704*T$178</f>
        <v>50</v>
      </c>
      <c r="U188" s="127">
        <f>Mitigation_Industry!$F$704*U$177+Mitigation_Industry!$G$704*U$178</f>
        <v>62.5</v>
      </c>
      <c r="V188" s="127">
        <f>Mitigation_Industry!$F$704*V$177+Mitigation_Industry!$G$704*V$178</f>
        <v>75</v>
      </c>
      <c r="W188" s="127">
        <f>Mitigation_Industry!$F$704*W$177+Mitigation_Industry!$G$704*W$178</f>
        <v>87.5</v>
      </c>
      <c r="X188" s="127">
        <f>Mitigation_Industry!$F$704*X$177+Mitigation_Industry!$G$704*X$178</f>
        <v>100</v>
      </c>
      <c r="Y188" s="127">
        <f>Mitigation_Industry!$F$704*Y$177+Mitigation_Industry!$G$704*Y$178</f>
        <v>112.5</v>
      </c>
      <c r="Z188" s="127">
        <f>Mitigation_Industry!$F$704*Z$177+Mitigation_Industry!$G$704*Z$178</f>
        <v>125</v>
      </c>
      <c r="AA188" s="127">
        <f>Mitigation_Industry!$F$704*AA$177+Mitigation_Industry!$G$704*AA$178</f>
        <v>137.5</v>
      </c>
      <c r="AB188" s="127">
        <f>Mitigation_Industry!$F$704*AB$177+Mitigation_Industry!$G$704*AB$178</f>
        <v>150</v>
      </c>
      <c r="AC188" s="127">
        <f>Mitigation_Industry!$F$704*AC$177+Mitigation_Industry!$G$704*AC$178</f>
        <v>162.5</v>
      </c>
      <c r="AD188" s="127">
        <f>Mitigation_Industry!$F$704*AD$177+Mitigation_Industry!$G$704*AD$178</f>
        <v>175</v>
      </c>
      <c r="AE188" s="127">
        <f>Mitigation_Industry!$F$704*AE$177+Mitigation_Industry!$G$704*AE$178</f>
        <v>187.5</v>
      </c>
      <c r="AF188" s="128"/>
      <c r="AG188" s="128"/>
      <c r="AH188" s="128"/>
      <c r="AI188" s="128"/>
    </row>
    <row r="189" spans="1:35" customFormat="1" ht="14.25" x14ac:dyDescent="0.45">
      <c r="B189" s="14" t="s">
        <v>1473</v>
      </c>
      <c r="C189" s="14" t="s">
        <v>115</v>
      </c>
      <c r="D189" s="15" t="s">
        <v>2469</v>
      </c>
      <c r="E189" s="16" t="s">
        <v>1415</v>
      </c>
      <c r="F189" s="14" t="s">
        <v>2460</v>
      </c>
      <c r="G189" s="119"/>
      <c r="H189" s="114" t="str">
        <f>Settings!$B$3&amp;".mit.pf.alu.prp.2"</f>
        <v>egy.mit.pf.alu.prp.2</v>
      </c>
      <c r="K189" s="126"/>
      <c r="L189" s="127">
        <f>Mitigation_Industry!$F$705*L$177+Mitigation_Industry!$G$705*L$178</f>
        <v>0</v>
      </c>
      <c r="M189" s="127">
        <f>Mitigation_Industry!$F$705*M$177+Mitigation_Industry!$G$705*M$178</f>
        <v>0</v>
      </c>
      <c r="N189" s="127">
        <f>Mitigation_Industry!$F$705*N$177+Mitigation_Industry!$G$705*N$178</f>
        <v>0</v>
      </c>
      <c r="O189" s="127">
        <f>Mitigation_Industry!$F$705*O$177+Mitigation_Industry!$G$705*O$178</f>
        <v>0</v>
      </c>
      <c r="P189" s="127">
        <f>Mitigation_Industry!$F$705*P$177+Mitigation_Industry!$G$705*P$178</f>
        <v>0</v>
      </c>
      <c r="Q189" s="127">
        <f>Mitigation_Industry!$F$705*Q$177+Mitigation_Industry!$G$705*Q$178</f>
        <v>12.5</v>
      </c>
      <c r="R189" s="127">
        <f>Mitigation_Industry!$F$705*R$177+Mitigation_Industry!$G$705*R$178</f>
        <v>25</v>
      </c>
      <c r="S189" s="127">
        <f>Mitigation_Industry!$F$705*S$177+Mitigation_Industry!$G$705*S$178</f>
        <v>37.5</v>
      </c>
      <c r="T189" s="127">
        <f>Mitigation_Industry!$F$705*T$177+Mitigation_Industry!$G$705*T$178</f>
        <v>50</v>
      </c>
      <c r="U189" s="127">
        <f>Mitigation_Industry!$F$705*U$177+Mitigation_Industry!$G$705*U$178</f>
        <v>62.5</v>
      </c>
      <c r="V189" s="127">
        <f>Mitigation_Industry!$F$705*V$177+Mitigation_Industry!$G$705*V$178</f>
        <v>75</v>
      </c>
      <c r="W189" s="127">
        <f>Mitigation_Industry!$F$705*W$177+Mitigation_Industry!$G$705*W$178</f>
        <v>87.5</v>
      </c>
      <c r="X189" s="127">
        <f>Mitigation_Industry!$F$705*X$177+Mitigation_Industry!$G$705*X$178</f>
        <v>100</v>
      </c>
      <c r="Y189" s="127">
        <f>Mitigation_Industry!$F$705*Y$177+Mitigation_Industry!$G$705*Y$178</f>
        <v>112.5</v>
      </c>
      <c r="Z189" s="127">
        <f>Mitigation_Industry!$F$705*Z$177+Mitigation_Industry!$G$705*Z$178</f>
        <v>125</v>
      </c>
      <c r="AA189" s="127">
        <f>Mitigation_Industry!$F$705*AA$177+Mitigation_Industry!$G$705*AA$178</f>
        <v>137.5</v>
      </c>
      <c r="AB189" s="127">
        <f>Mitigation_Industry!$F$705*AB$177+Mitigation_Industry!$G$705*AB$178</f>
        <v>150</v>
      </c>
      <c r="AC189" s="127">
        <f>Mitigation_Industry!$F$705*AC$177+Mitigation_Industry!$G$705*AC$178</f>
        <v>162.5</v>
      </c>
      <c r="AD189" s="127">
        <f>Mitigation_Industry!$F$705*AD$177+Mitigation_Industry!$G$705*AD$178</f>
        <v>175</v>
      </c>
      <c r="AE189" s="127">
        <f>Mitigation_Industry!$F$705*AE$177+Mitigation_Industry!$G$705*AE$178</f>
        <v>187.5</v>
      </c>
      <c r="AF189" s="128"/>
      <c r="AG189" s="128"/>
      <c r="AH189" s="128"/>
      <c r="AI189" s="128"/>
    </row>
    <row r="190" spans="1:35" x14ac:dyDescent="0.35"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  <c r="AD190" s="122"/>
      <c r="AE190" s="122"/>
      <c r="AF190" s="122"/>
      <c r="AG190" s="122"/>
      <c r="AH190" s="122"/>
      <c r="AI190" s="122"/>
    </row>
    <row r="191" spans="1:35" customFormat="1" ht="14.25" x14ac:dyDescent="0.45">
      <c r="A191" s="11"/>
      <c r="B191" s="6"/>
      <c r="C191" s="7" t="s">
        <v>2470</v>
      </c>
      <c r="D191" s="6" t="s">
        <v>1505</v>
      </c>
      <c r="E191" s="7" t="s">
        <v>35</v>
      </c>
      <c r="F191" s="7" t="s">
        <v>45</v>
      </c>
      <c r="G191" s="7" t="s">
        <v>37</v>
      </c>
      <c r="H191" s="12" t="s">
        <v>38</v>
      </c>
      <c r="I191" s="6" t="s">
        <v>39</v>
      </c>
      <c r="J191" s="48">
        <v>2</v>
      </c>
      <c r="K191" s="124">
        <v>2021</v>
      </c>
      <c r="L191" s="125">
        <v>2022</v>
      </c>
      <c r="M191" s="124">
        <v>2023</v>
      </c>
      <c r="N191" s="124">
        <v>2024</v>
      </c>
      <c r="O191" s="124">
        <v>2025</v>
      </c>
      <c r="P191" s="124">
        <v>2026</v>
      </c>
      <c r="Q191" s="124">
        <v>2027</v>
      </c>
      <c r="R191" s="124">
        <v>2028</v>
      </c>
      <c r="S191" s="124">
        <v>2029</v>
      </c>
      <c r="T191" s="124">
        <v>2030</v>
      </c>
      <c r="U191" s="124">
        <v>2031</v>
      </c>
      <c r="V191" s="124">
        <v>2032</v>
      </c>
      <c r="W191" s="124">
        <v>2033</v>
      </c>
      <c r="X191" s="124">
        <v>2034</v>
      </c>
      <c r="Y191" s="124">
        <v>2035</v>
      </c>
      <c r="Z191" s="124">
        <v>2036</v>
      </c>
      <c r="AA191" s="124">
        <v>2037</v>
      </c>
      <c r="AB191" s="124">
        <v>2038</v>
      </c>
      <c r="AC191" s="124">
        <v>2039</v>
      </c>
      <c r="AD191" s="124">
        <v>2040</v>
      </c>
      <c r="AE191" s="124">
        <v>2041</v>
      </c>
      <c r="AF191" s="124">
        <v>2042</v>
      </c>
      <c r="AG191" s="124">
        <v>2043</v>
      </c>
      <c r="AH191" s="124">
        <v>2044</v>
      </c>
      <c r="AI191" s="124">
        <v>2045</v>
      </c>
    </row>
    <row r="192" spans="1:35" customFormat="1" ht="14.25" x14ac:dyDescent="0.45">
      <c r="B192" s="14" t="s">
        <v>1452</v>
      </c>
      <c r="C192" s="14" t="s">
        <v>43</v>
      </c>
      <c r="D192" s="15" t="s">
        <v>2471</v>
      </c>
      <c r="E192" s="16" t="s">
        <v>1415</v>
      </c>
      <c r="F192" s="14" t="s">
        <v>2470</v>
      </c>
      <c r="G192" s="119"/>
      <c r="H192" s="114" t="str">
        <f>Settings!$B$3&amp;".mit.pp.stl.drg.2"</f>
        <v>egy.mit.pp.stl.drg.2</v>
      </c>
      <c r="I192" t="s">
        <v>2472</v>
      </c>
      <c r="K192" s="126"/>
      <c r="L192" s="127">
        <f>Mitigation_Industry!$F$709*L$179+Mitigation_Industry!$G$709*L$178</f>
        <v>0</v>
      </c>
      <c r="M192" s="127">
        <f>Mitigation_Industry!$F$709*M$179+Mitigation_Industry!$G$709*M$178</f>
        <v>0</v>
      </c>
      <c r="N192" s="127">
        <f>Mitigation_Industry!$F$709*N$179+Mitigation_Industry!$G$709*N$178</f>
        <v>0</v>
      </c>
      <c r="O192" s="127">
        <f>Mitigation_Industry!$F$709*O$179+Mitigation_Industry!$G$709*O$178</f>
        <v>0</v>
      </c>
      <c r="P192" s="127">
        <f>Mitigation_Industry!$F$709*P$179+Mitigation_Industry!$G$709*P$178</f>
        <v>0</v>
      </c>
      <c r="Q192" s="127">
        <f>Mitigation_Industry!$F$709*Q$179+Mitigation_Industry!$G$709*Q$178</f>
        <v>0</v>
      </c>
      <c r="R192" s="127">
        <f>Mitigation_Industry!$F$709*R$179+Mitigation_Industry!$G$709*R$178</f>
        <v>0</v>
      </c>
      <c r="S192" s="127">
        <f>Mitigation_Industry!$F$709*S$179+Mitigation_Industry!$G$709*S$178</f>
        <v>0</v>
      </c>
      <c r="T192" s="127">
        <f>Mitigation_Industry!$F$709*T$179+Mitigation_Industry!$G$709*T$178</f>
        <v>0</v>
      </c>
      <c r="U192" s="127">
        <f>Mitigation_Industry!$F$709*U$179+Mitigation_Industry!$G$709*U$178</f>
        <v>0</v>
      </c>
      <c r="V192" s="127">
        <f>Mitigation_Industry!$F$709*V$179+Mitigation_Industry!$G$709*V$178</f>
        <v>0</v>
      </c>
      <c r="W192" s="127">
        <f>Mitigation_Industry!$F$709*W$179+Mitigation_Industry!$G$709*W$178</f>
        <v>0</v>
      </c>
      <c r="X192" s="127">
        <f>Mitigation_Industry!$F$709*X$179+Mitigation_Industry!$G$709*X$178</f>
        <v>0</v>
      </c>
      <c r="Y192" s="127">
        <f>Mitigation_Industry!$F$709*Y$179+Mitigation_Industry!$G$709*Y$178</f>
        <v>0</v>
      </c>
      <c r="Z192" s="127">
        <f>Mitigation_Industry!$F$709*Z$179+Mitigation_Industry!$G$709*Z$178</f>
        <v>0</v>
      </c>
      <c r="AA192" s="127">
        <f>Mitigation_Industry!$F$709*AA$179+Mitigation_Industry!$G$709*AA$178</f>
        <v>0</v>
      </c>
      <c r="AB192" s="127">
        <f>Mitigation_Industry!$F$709*AB$179+Mitigation_Industry!$G$709*AB$178</f>
        <v>0</v>
      </c>
      <c r="AC192" s="127">
        <f>Mitigation_Industry!$F$709*AC$179+Mitigation_Industry!$G$709*AC$178</f>
        <v>0</v>
      </c>
      <c r="AD192" s="127">
        <f>Mitigation_Industry!$F$709*AD$179+Mitigation_Industry!$G$709*AD$178</f>
        <v>0</v>
      </c>
      <c r="AE192" s="127">
        <f>Mitigation_Industry!$F$709*AE$179+Mitigation_Industry!$G$709*AE$178</f>
        <v>0</v>
      </c>
      <c r="AF192" s="128"/>
      <c r="AG192" s="128"/>
      <c r="AH192" s="128"/>
      <c r="AI192" s="128"/>
    </row>
    <row r="193" spans="1:35" customFormat="1" ht="14.25" x14ac:dyDescent="0.45">
      <c r="B193" s="14" t="s">
        <v>1455</v>
      </c>
      <c r="C193" s="14" t="s">
        <v>43</v>
      </c>
      <c r="D193" s="15" t="s">
        <v>2473</v>
      </c>
      <c r="E193" s="16" t="s">
        <v>1415</v>
      </c>
      <c r="F193" s="14" t="s">
        <v>2470</v>
      </c>
      <c r="G193" s="119"/>
      <c r="H193" s="114" t="str">
        <f>Settings!$B$3&amp;".mit.pp.stl.scr.2"</f>
        <v>egy.mit.pp.stl.scr.2</v>
      </c>
      <c r="K193" s="126"/>
      <c r="L193" s="127">
        <f>Mitigation_Industry!$F$710*L$179+Mitigation_Industry!$G$710*L$178</f>
        <v>0</v>
      </c>
      <c r="M193" s="127">
        <f>Mitigation_Industry!$F$710*M$179+Mitigation_Industry!$G$710*M$178</f>
        <v>0</v>
      </c>
      <c r="N193" s="127">
        <f>Mitigation_Industry!$F$710*N$179+Mitigation_Industry!$G$710*N$178</f>
        <v>0</v>
      </c>
      <c r="O193" s="127">
        <f>Mitigation_Industry!$F$710*O$179+Mitigation_Industry!$G$710*O$178</f>
        <v>0</v>
      </c>
      <c r="P193" s="127">
        <f>Mitigation_Industry!$F$710*P$179+Mitigation_Industry!$G$710*P$178</f>
        <v>0</v>
      </c>
      <c r="Q193" s="127">
        <f>Mitigation_Industry!$F$710*Q$179+Mitigation_Industry!$G$710*Q$178</f>
        <v>0</v>
      </c>
      <c r="R193" s="127">
        <f>Mitigation_Industry!$F$710*R$179+Mitigation_Industry!$G$710*R$178</f>
        <v>0</v>
      </c>
      <c r="S193" s="127">
        <f>Mitigation_Industry!$F$710*S$179+Mitigation_Industry!$G$710*S$178</f>
        <v>0</v>
      </c>
      <c r="T193" s="127">
        <f>Mitigation_Industry!$F$710*T$179+Mitigation_Industry!$G$710*T$178</f>
        <v>0</v>
      </c>
      <c r="U193" s="127">
        <f>Mitigation_Industry!$F$710*U$179+Mitigation_Industry!$G$710*U$178</f>
        <v>0</v>
      </c>
      <c r="V193" s="127">
        <f>Mitigation_Industry!$F$710*V$179+Mitigation_Industry!$G$710*V$178</f>
        <v>0</v>
      </c>
      <c r="W193" s="127">
        <f>Mitigation_Industry!$F$710*W$179+Mitigation_Industry!$G$710*W$178</f>
        <v>0</v>
      </c>
      <c r="X193" s="127">
        <f>Mitigation_Industry!$F$710*X$179+Mitigation_Industry!$G$710*X$178</f>
        <v>0</v>
      </c>
      <c r="Y193" s="127">
        <f>Mitigation_Industry!$F$710*Y$179+Mitigation_Industry!$G$710*Y$178</f>
        <v>0</v>
      </c>
      <c r="Z193" s="127">
        <f>Mitigation_Industry!$F$710*Z$179+Mitigation_Industry!$G$710*Z$178</f>
        <v>0</v>
      </c>
      <c r="AA193" s="127">
        <f>Mitigation_Industry!$F$710*AA$179+Mitigation_Industry!$G$710*AA$178</f>
        <v>0</v>
      </c>
      <c r="AB193" s="127">
        <f>Mitigation_Industry!$F$710*AB$179+Mitigation_Industry!$G$710*AB$178</f>
        <v>0</v>
      </c>
      <c r="AC193" s="127">
        <f>Mitigation_Industry!$F$710*AC$179+Mitigation_Industry!$G$710*AC$178</f>
        <v>0</v>
      </c>
      <c r="AD193" s="127">
        <f>Mitigation_Industry!$F$710*AD$179+Mitigation_Industry!$G$710*AD$178</f>
        <v>0</v>
      </c>
      <c r="AE193" s="127">
        <f>Mitigation_Industry!$F$710*AE$179+Mitigation_Industry!$G$710*AE$178</f>
        <v>0</v>
      </c>
      <c r="AF193" s="128"/>
      <c r="AG193" s="128"/>
      <c r="AH193" s="128"/>
      <c r="AI193" s="128"/>
    </row>
    <row r="194" spans="1:35" customFormat="1" ht="14.25" x14ac:dyDescent="0.45">
      <c r="B194" s="14" t="s">
        <v>1458</v>
      </c>
      <c r="C194" s="14" t="s">
        <v>43</v>
      </c>
      <c r="D194" s="15" t="s">
        <v>2474</v>
      </c>
      <c r="E194" s="16" t="s">
        <v>1415</v>
      </c>
      <c r="F194" s="14" t="s">
        <v>2470</v>
      </c>
      <c r="G194" s="119"/>
      <c r="H194" s="114" t="str">
        <f>Settings!$B$3&amp;".mit.pp.stl.bof.2"</f>
        <v>egy.mit.pp.stl.bof.2</v>
      </c>
      <c r="K194" s="126"/>
      <c r="L194" s="127">
        <f>Mitigation_Industry!$F$711*L$179+Mitigation_Industry!$G$711*L$178</f>
        <v>0</v>
      </c>
      <c r="M194" s="127">
        <f>Mitigation_Industry!$F$711*M$179+Mitigation_Industry!$G$711*M$178</f>
        <v>0</v>
      </c>
      <c r="N194" s="127">
        <f>Mitigation_Industry!$F$711*N$179+Mitigation_Industry!$G$711*N$178</f>
        <v>0</v>
      </c>
      <c r="O194" s="127">
        <f>Mitigation_Industry!$F$711*O$179+Mitigation_Industry!$G$711*O$178</f>
        <v>0</v>
      </c>
      <c r="P194" s="127">
        <f>Mitigation_Industry!$F$711*P$179+Mitigation_Industry!$G$711*P$178</f>
        <v>0</v>
      </c>
      <c r="Q194" s="127">
        <f>Mitigation_Industry!$F$711*Q$179+Mitigation_Industry!$G$711*Q$178</f>
        <v>0</v>
      </c>
      <c r="R194" s="127">
        <f>Mitigation_Industry!$F$711*R$179+Mitigation_Industry!$G$711*R$178</f>
        <v>0</v>
      </c>
      <c r="S194" s="127">
        <f>Mitigation_Industry!$F$711*S$179+Mitigation_Industry!$G$711*S$178</f>
        <v>0</v>
      </c>
      <c r="T194" s="127">
        <f>Mitigation_Industry!$F$711*T$179+Mitigation_Industry!$G$711*T$178</f>
        <v>0</v>
      </c>
      <c r="U194" s="127">
        <f>Mitigation_Industry!$F$711*U$179+Mitigation_Industry!$G$711*U$178</f>
        <v>0</v>
      </c>
      <c r="V194" s="127">
        <f>Mitigation_Industry!$F$711*V$179+Mitigation_Industry!$G$711*V$178</f>
        <v>0</v>
      </c>
      <c r="W194" s="127">
        <f>Mitigation_Industry!$F$711*W$179+Mitigation_Industry!$G$711*W$178</f>
        <v>0</v>
      </c>
      <c r="X194" s="127">
        <f>Mitigation_Industry!$F$711*X$179+Mitigation_Industry!$G$711*X$178</f>
        <v>0</v>
      </c>
      <c r="Y194" s="127">
        <f>Mitigation_Industry!$F$711*Y$179+Mitigation_Industry!$G$711*Y$178</f>
        <v>0</v>
      </c>
      <c r="Z194" s="127">
        <f>Mitigation_Industry!$F$711*Z$179+Mitigation_Industry!$G$711*Z$178</f>
        <v>0</v>
      </c>
      <c r="AA194" s="127">
        <f>Mitigation_Industry!$F$711*AA$179+Mitigation_Industry!$G$711*AA$178</f>
        <v>0</v>
      </c>
      <c r="AB194" s="127">
        <f>Mitigation_Industry!$F$711*AB$179+Mitigation_Industry!$G$711*AB$178</f>
        <v>0</v>
      </c>
      <c r="AC194" s="127">
        <f>Mitigation_Industry!$F$711*AC$179+Mitigation_Industry!$G$711*AC$178</f>
        <v>0</v>
      </c>
      <c r="AD194" s="127">
        <f>Mitigation_Industry!$F$711*AD$179+Mitigation_Industry!$G$711*AD$178</f>
        <v>0</v>
      </c>
      <c r="AE194" s="127">
        <f>Mitigation_Industry!$F$711*AE$179+Mitigation_Industry!$G$711*AE$178</f>
        <v>0</v>
      </c>
      <c r="AF194" s="128"/>
      <c r="AG194" s="128"/>
      <c r="AH194" s="128"/>
      <c r="AI194" s="128"/>
    </row>
    <row r="195" spans="1:35" customFormat="1" ht="14.25" x14ac:dyDescent="0.45">
      <c r="B195" s="14" t="s">
        <v>1461</v>
      </c>
      <c r="C195" s="14" t="s">
        <v>113</v>
      </c>
      <c r="D195" s="15" t="s">
        <v>2475</v>
      </c>
      <c r="E195" s="16" t="s">
        <v>1415</v>
      </c>
      <c r="F195" s="14" t="s">
        <v>2470</v>
      </c>
      <c r="G195" s="119"/>
      <c r="H195" s="114" t="str">
        <f>Settings!$B$3&amp;".mit.pp.cmt.dry.2"</f>
        <v>egy.mit.pp.cmt.dry.2</v>
      </c>
      <c r="K195" s="126"/>
      <c r="L195" s="127">
        <f>Mitigation_Industry!$F$712*L$179+Mitigation_Industry!$G$712*L$178</f>
        <v>0</v>
      </c>
      <c r="M195" s="127">
        <f>Mitigation_Industry!$F$712*M$179+Mitigation_Industry!$G$712*M$178</f>
        <v>0</v>
      </c>
      <c r="N195" s="127">
        <f>Mitigation_Industry!$F$712*N$179+Mitigation_Industry!$G$712*N$178</f>
        <v>0</v>
      </c>
      <c r="O195" s="127">
        <f>Mitigation_Industry!$F$712*O$179+Mitigation_Industry!$G$712*O$178</f>
        <v>0</v>
      </c>
      <c r="P195" s="127">
        <f>Mitigation_Industry!$F$712*P$179+Mitigation_Industry!$G$712*P$178</f>
        <v>0</v>
      </c>
      <c r="Q195" s="127">
        <f>Mitigation_Industry!$F$712*Q$179+Mitigation_Industry!$G$712*Q$178</f>
        <v>0</v>
      </c>
      <c r="R195" s="127">
        <f>Mitigation_Industry!$F$712*R$179+Mitigation_Industry!$G$712*R$178</f>
        <v>0</v>
      </c>
      <c r="S195" s="127">
        <f>Mitigation_Industry!$F$712*S$179+Mitigation_Industry!$G$712*S$178</f>
        <v>0</v>
      </c>
      <c r="T195" s="127">
        <f>Mitigation_Industry!$F$712*T$179+Mitigation_Industry!$G$712*T$178</f>
        <v>0</v>
      </c>
      <c r="U195" s="127">
        <f>Mitigation_Industry!$F$712*U$179+Mitigation_Industry!$G$712*U$178</f>
        <v>0</v>
      </c>
      <c r="V195" s="127">
        <f>Mitigation_Industry!$F$712*V$179+Mitigation_Industry!$G$712*V$178</f>
        <v>0</v>
      </c>
      <c r="W195" s="127">
        <f>Mitigation_Industry!$F$712*W$179+Mitigation_Industry!$G$712*W$178</f>
        <v>0</v>
      </c>
      <c r="X195" s="127">
        <f>Mitigation_Industry!$F$712*X$179+Mitigation_Industry!$G$712*X$178</f>
        <v>0</v>
      </c>
      <c r="Y195" s="127">
        <f>Mitigation_Industry!$F$712*Y$179+Mitigation_Industry!$G$712*Y$178</f>
        <v>0</v>
      </c>
      <c r="Z195" s="127">
        <f>Mitigation_Industry!$F$712*Z$179+Mitigation_Industry!$G$712*Z$178</f>
        <v>0</v>
      </c>
      <c r="AA195" s="127">
        <f>Mitigation_Industry!$F$712*AA$179+Mitigation_Industry!$G$712*AA$178</f>
        <v>0</v>
      </c>
      <c r="AB195" s="127">
        <f>Mitigation_Industry!$F$712*AB$179+Mitigation_Industry!$G$712*AB$178</f>
        <v>0</v>
      </c>
      <c r="AC195" s="127">
        <f>Mitigation_Industry!$F$712*AC$179+Mitigation_Industry!$G$712*AC$178</f>
        <v>0</v>
      </c>
      <c r="AD195" s="127">
        <f>Mitigation_Industry!$F$712*AD$179+Mitigation_Industry!$G$712*AD$178</f>
        <v>0</v>
      </c>
      <c r="AE195" s="127">
        <f>Mitigation_Industry!$F$712*AE$179+Mitigation_Industry!$G$712*AE$178</f>
        <v>0</v>
      </c>
      <c r="AF195" s="128"/>
      <c r="AG195" s="128"/>
      <c r="AH195" s="128"/>
      <c r="AI195" s="128"/>
    </row>
    <row r="196" spans="1:35" customFormat="1" ht="14.25" x14ac:dyDescent="0.45">
      <c r="B196" s="14" t="s">
        <v>1464</v>
      </c>
      <c r="C196" s="14" t="s">
        <v>117</v>
      </c>
      <c r="D196" s="15" t="s">
        <v>2476</v>
      </c>
      <c r="E196" s="16" t="s">
        <v>1415</v>
      </c>
      <c r="F196" s="14" t="s">
        <v>2470</v>
      </c>
      <c r="G196" s="119"/>
      <c r="H196" s="114" t="str">
        <f>Settings!$B$3&amp;".mit.pp.frt.amc.2"</f>
        <v>egy.mit.pp.frt.amc.2</v>
      </c>
      <c r="K196" s="126"/>
      <c r="L196" s="127">
        <f>Mitigation_Industry!$F$713*L$179+Mitigation_Industry!$G$713*L$178</f>
        <v>0</v>
      </c>
      <c r="M196" s="127">
        <f>Mitigation_Industry!$F$713*M$179+Mitigation_Industry!$G$713*M$178</f>
        <v>0</v>
      </c>
      <c r="N196" s="127">
        <f>Mitigation_Industry!$F$713*N$179+Mitigation_Industry!$G$713*N$178</f>
        <v>0</v>
      </c>
      <c r="O196" s="127">
        <f>Mitigation_Industry!$F$713*O$179+Mitigation_Industry!$G$713*O$178</f>
        <v>0</v>
      </c>
      <c r="P196" s="127">
        <f>Mitigation_Industry!$F$713*P$179+Mitigation_Industry!$G$713*P$178</f>
        <v>0</v>
      </c>
      <c r="Q196" s="127">
        <f>Mitigation_Industry!$F$713*Q$179+Mitigation_Industry!$G$713*Q$178</f>
        <v>0</v>
      </c>
      <c r="R196" s="127">
        <f>Mitigation_Industry!$F$713*R$179+Mitigation_Industry!$G$713*R$178</f>
        <v>0</v>
      </c>
      <c r="S196" s="127">
        <f>Mitigation_Industry!$F$713*S$179+Mitigation_Industry!$G$713*S$178</f>
        <v>0</v>
      </c>
      <c r="T196" s="127">
        <f>Mitigation_Industry!$F$713*T$179+Mitigation_Industry!$G$713*T$178</f>
        <v>0</v>
      </c>
      <c r="U196" s="127">
        <f>Mitigation_Industry!$F$713*U$179+Mitigation_Industry!$G$713*U$178</f>
        <v>0</v>
      </c>
      <c r="V196" s="127">
        <f>Mitigation_Industry!$F$713*V$179+Mitigation_Industry!$G$713*V$178</f>
        <v>0</v>
      </c>
      <c r="W196" s="127">
        <f>Mitigation_Industry!$F$713*W$179+Mitigation_Industry!$G$713*W$178</f>
        <v>0</v>
      </c>
      <c r="X196" s="127">
        <f>Mitigation_Industry!$F$713*X$179+Mitigation_Industry!$G$713*X$178</f>
        <v>0</v>
      </c>
      <c r="Y196" s="127">
        <f>Mitigation_Industry!$F$713*Y$179+Mitigation_Industry!$G$713*Y$178</f>
        <v>0</v>
      </c>
      <c r="Z196" s="127">
        <f>Mitigation_Industry!$F$713*Z$179+Mitigation_Industry!$G$713*Z$178</f>
        <v>0</v>
      </c>
      <c r="AA196" s="127">
        <f>Mitigation_Industry!$F$713*AA$179+Mitigation_Industry!$G$713*AA$178</f>
        <v>0</v>
      </c>
      <c r="AB196" s="127">
        <f>Mitigation_Industry!$F$713*AB$179+Mitigation_Industry!$G$713*AB$178</f>
        <v>0</v>
      </c>
      <c r="AC196" s="127">
        <f>Mitigation_Industry!$F$713*AC$179+Mitigation_Industry!$G$713*AC$178</f>
        <v>0</v>
      </c>
      <c r="AD196" s="127">
        <f>Mitigation_Industry!$F$713*AD$179+Mitigation_Industry!$G$713*AD$178</f>
        <v>0</v>
      </c>
      <c r="AE196" s="127">
        <f>Mitigation_Industry!$F$713*AE$179+Mitigation_Industry!$G$713*AE$178</f>
        <v>0</v>
      </c>
      <c r="AF196" s="128"/>
      <c r="AG196" s="128"/>
      <c r="AH196" s="128"/>
      <c r="AI196" s="128"/>
    </row>
    <row r="197" spans="1:35" customFormat="1" ht="14.25" x14ac:dyDescent="0.45">
      <c r="B197" s="14" t="s">
        <v>1467</v>
      </c>
      <c r="C197" s="14" t="s">
        <v>117</v>
      </c>
      <c r="D197" s="15" t="s">
        <v>2477</v>
      </c>
      <c r="E197" s="16" t="s">
        <v>1415</v>
      </c>
      <c r="F197" s="14" t="s">
        <v>2470</v>
      </c>
      <c r="G197" s="119"/>
      <c r="H197" s="114" t="str">
        <f>Settings!$B$3&amp;".mit.pp.frt.ure.2"</f>
        <v>egy.mit.pp.frt.ure.2</v>
      </c>
      <c r="K197" s="126"/>
      <c r="L197" s="127">
        <f>Mitigation_Industry!$F$714*L$179+Mitigation_Industry!$G$714*L$178</f>
        <v>0</v>
      </c>
      <c r="M197" s="127">
        <f>Mitigation_Industry!$F$714*M$179+Mitigation_Industry!$G$714*M$178</f>
        <v>0</v>
      </c>
      <c r="N197" s="127">
        <f>Mitigation_Industry!$F$714*N$179+Mitigation_Industry!$G$714*N$178</f>
        <v>0</v>
      </c>
      <c r="O197" s="127">
        <f>Mitigation_Industry!$F$714*O$179+Mitigation_Industry!$G$714*O$178</f>
        <v>0</v>
      </c>
      <c r="P197" s="127">
        <f>Mitigation_Industry!$F$714*P$179+Mitigation_Industry!$G$714*P$178</f>
        <v>0</v>
      </c>
      <c r="Q197" s="127">
        <f>Mitigation_Industry!$F$714*Q$179+Mitigation_Industry!$G$714*Q$178</f>
        <v>0</v>
      </c>
      <c r="R197" s="127">
        <f>Mitigation_Industry!$F$714*R$179+Mitigation_Industry!$G$714*R$178</f>
        <v>0</v>
      </c>
      <c r="S197" s="127">
        <f>Mitigation_Industry!$F$714*S$179+Mitigation_Industry!$G$714*S$178</f>
        <v>0</v>
      </c>
      <c r="T197" s="127">
        <f>Mitigation_Industry!$F$714*T$179+Mitigation_Industry!$G$714*T$178</f>
        <v>0</v>
      </c>
      <c r="U197" s="127">
        <f>Mitigation_Industry!$F$714*U$179+Mitigation_Industry!$G$714*U$178</f>
        <v>0</v>
      </c>
      <c r="V197" s="127">
        <f>Mitigation_Industry!$F$714*V$179+Mitigation_Industry!$G$714*V$178</f>
        <v>0</v>
      </c>
      <c r="W197" s="127">
        <f>Mitigation_Industry!$F$714*W$179+Mitigation_Industry!$G$714*W$178</f>
        <v>0</v>
      </c>
      <c r="X197" s="127">
        <f>Mitigation_Industry!$F$714*X$179+Mitigation_Industry!$G$714*X$178</f>
        <v>0</v>
      </c>
      <c r="Y197" s="127">
        <f>Mitigation_Industry!$F$714*Y$179+Mitigation_Industry!$G$714*Y$178</f>
        <v>0</v>
      </c>
      <c r="Z197" s="127">
        <f>Mitigation_Industry!$F$714*Z$179+Mitigation_Industry!$G$714*Z$178</f>
        <v>0</v>
      </c>
      <c r="AA197" s="127">
        <f>Mitigation_Industry!$F$714*AA$179+Mitigation_Industry!$G$714*AA$178</f>
        <v>0</v>
      </c>
      <c r="AB197" s="127">
        <f>Mitigation_Industry!$F$714*AB$179+Mitigation_Industry!$G$714*AB$178</f>
        <v>0</v>
      </c>
      <c r="AC197" s="127">
        <f>Mitigation_Industry!$F$714*AC$179+Mitigation_Industry!$G$714*AC$178</f>
        <v>0</v>
      </c>
      <c r="AD197" s="127">
        <f>Mitigation_Industry!$F$714*AD$179+Mitigation_Industry!$G$714*AD$178</f>
        <v>0</v>
      </c>
      <c r="AE197" s="127">
        <f>Mitigation_Industry!$F$714*AE$179+Mitigation_Industry!$G$714*AE$178</f>
        <v>0</v>
      </c>
      <c r="AF197" s="128"/>
      <c r="AG197" s="128"/>
      <c r="AH197" s="128"/>
      <c r="AI197" s="128"/>
    </row>
    <row r="198" spans="1:35" customFormat="1" ht="14.25" x14ac:dyDescent="0.45">
      <c r="B198" s="14" t="s">
        <v>1470</v>
      </c>
      <c r="C198" s="14" t="s">
        <v>117</v>
      </c>
      <c r="D198" s="15" t="s">
        <v>2478</v>
      </c>
      <c r="E198" s="16" t="s">
        <v>1415</v>
      </c>
      <c r="F198" s="14" t="s">
        <v>2470</v>
      </c>
      <c r="G198" s="119"/>
      <c r="H198" s="114" t="str">
        <f>Settings!$B$3&amp;".mit.pp.frt.nit.2"</f>
        <v>egy.mit.pp.frt.nit.2</v>
      </c>
      <c r="K198" s="126"/>
      <c r="L198" s="127">
        <f>Mitigation_Industry!$F$715*L$179+Mitigation_Industry!$G$715*L$178</f>
        <v>0</v>
      </c>
      <c r="M198" s="127">
        <f>Mitigation_Industry!$F$715*M$179+Mitigation_Industry!$G$715*M$178</f>
        <v>0</v>
      </c>
      <c r="N198" s="127">
        <f>Mitigation_Industry!$F$715*N$179+Mitigation_Industry!$G$715*N$178</f>
        <v>0</v>
      </c>
      <c r="O198" s="127">
        <f>Mitigation_Industry!$F$715*O$179+Mitigation_Industry!$G$715*O$178</f>
        <v>0</v>
      </c>
      <c r="P198" s="127">
        <f>Mitigation_Industry!$F$715*P$179+Mitigation_Industry!$G$715*P$178</f>
        <v>0</v>
      </c>
      <c r="Q198" s="127">
        <f>Mitigation_Industry!$F$715*Q$179+Mitigation_Industry!$G$715*Q$178</f>
        <v>0</v>
      </c>
      <c r="R198" s="127">
        <f>Mitigation_Industry!$F$715*R$179+Mitigation_Industry!$G$715*R$178</f>
        <v>0</v>
      </c>
      <c r="S198" s="127">
        <f>Mitigation_Industry!$F$715*S$179+Mitigation_Industry!$G$715*S$178</f>
        <v>0</v>
      </c>
      <c r="T198" s="127">
        <f>Mitigation_Industry!$F$715*T$179+Mitigation_Industry!$G$715*T$178</f>
        <v>0</v>
      </c>
      <c r="U198" s="127">
        <f>Mitigation_Industry!$F$715*U$179+Mitigation_Industry!$G$715*U$178</f>
        <v>0</v>
      </c>
      <c r="V198" s="127">
        <f>Mitigation_Industry!$F$715*V$179+Mitigation_Industry!$G$715*V$178</f>
        <v>0</v>
      </c>
      <c r="W198" s="127">
        <f>Mitigation_Industry!$F$715*W$179+Mitigation_Industry!$G$715*W$178</f>
        <v>0</v>
      </c>
      <c r="X198" s="127">
        <f>Mitigation_Industry!$F$715*X$179+Mitigation_Industry!$G$715*X$178</f>
        <v>0</v>
      </c>
      <c r="Y198" s="127">
        <f>Mitigation_Industry!$F$715*Y$179+Mitigation_Industry!$G$715*Y$178</f>
        <v>0</v>
      </c>
      <c r="Z198" s="127">
        <f>Mitigation_Industry!$F$715*Z$179+Mitigation_Industry!$G$715*Z$178</f>
        <v>0</v>
      </c>
      <c r="AA198" s="127">
        <f>Mitigation_Industry!$F$715*AA$179+Mitigation_Industry!$G$715*AA$178</f>
        <v>0</v>
      </c>
      <c r="AB198" s="127">
        <f>Mitigation_Industry!$F$715*AB$179+Mitigation_Industry!$G$715*AB$178</f>
        <v>0</v>
      </c>
      <c r="AC198" s="127">
        <f>Mitigation_Industry!$F$715*AC$179+Mitigation_Industry!$G$715*AC$178</f>
        <v>0</v>
      </c>
      <c r="AD198" s="127">
        <f>Mitigation_Industry!$F$715*AD$179+Mitigation_Industry!$G$715*AD$178</f>
        <v>0</v>
      </c>
      <c r="AE198" s="127">
        <f>Mitigation_Industry!$F$715*AE$179+Mitigation_Industry!$G$715*AE$178</f>
        <v>0</v>
      </c>
      <c r="AF198" s="128"/>
      <c r="AG198" s="128"/>
      <c r="AH198" s="128"/>
      <c r="AI198" s="128"/>
    </row>
    <row r="199" spans="1:35" customFormat="1" ht="14.25" x14ac:dyDescent="0.45">
      <c r="B199" s="14" t="s">
        <v>1473</v>
      </c>
      <c r="C199" s="14" t="s">
        <v>115</v>
      </c>
      <c r="D199" s="15" t="s">
        <v>2479</v>
      </c>
      <c r="E199" s="16" t="s">
        <v>1415</v>
      </c>
      <c r="F199" s="14" t="s">
        <v>2470</v>
      </c>
      <c r="G199" s="119"/>
      <c r="H199" s="114" t="str">
        <f>Settings!$B$3&amp;".mit.pp.alu.prp.2"</f>
        <v>egy.mit.pp.alu.prp.2</v>
      </c>
      <c r="K199" s="126"/>
      <c r="L199" s="127">
        <f>Mitigation_Industry!$F$716*L$179+Mitigation_Industry!$G$716*L$178</f>
        <v>0</v>
      </c>
      <c r="M199" s="127">
        <f>Mitigation_Industry!$F$716*M$179+Mitigation_Industry!$G$716*M$178</f>
        <v>0</v>
      </c>
      <c r="N199" s="127">
        <f>Mitigation_Industry!$F$716*N$179+Mitigation_Industry!$G$716*N$178</f>
        <v>0</v>
      </c>
      <c r="O199" s="127">
        <f>Mitigation_Industry!$F$716*O$179+Mitigation_Industry!$G$716*O$178</f>
        <v>0</v>
      </c>
      <c r="P199" s="127">
        <f>Mitigation_Industry!$F$716*P$179+Mitigation_Industry!$G$716*P$178</f>
        <v>0</v>
      </c>
      <c r="Q199" s="127">
        <f>Mitigation_Industry!$F$716*Q$179+Mitigation_Industry!$G$716*Q$178</f>
        <v>0</v>
      </c>
      <c r="R199" s="127">
        <f>Mitigation_Industry!$F$716*R$179+Mitigation_Industry!$G$716*R$178</f>
        <v>0</v>
      </c>
      <c r="S199" s="127">
        <f>Mitigation_Industry!$F$716*S$179+Mitigation_Industry!$G$716*S$178</f>
        <v>0</v>
      </c>
      <c r="T199" s="127">
        <f>Mitigation_Industry!$F$716*T$179+Mitigation_Industry!$G$716*T$178</f>
        <v>0</v>
      </c>
      <c r="U199" s="127">
        <f>Mitigation_Industry!$F$716*U$179+Mitigation_Industry!$G$716*U$178</f>
        <v>0</v>
      </c>
      <c r="V199" s="127">
        <f>Mitigation_Industry!$F$716*V$179+Mitigation_Industry!$G$716*V$178</f>
        <v>0</v>
      </c>
      <c r="W199" s="127">
        <f>Mitigation_Industry!$F$716*W$179+Mitigation_Industry!$G$716*W$178</f>
        <v>0</v>
      </c>
      <c r="X199" s="127">
        <f>Mitigation_Industry!$F$716*X$179+Mitigation_Industry!$G$716*X$178</f>
        <v>0</v>
      </c>
      <c r="Y199" s="127">
        <f>Mitigation_Industry!$F$716*Y$179+Mitigation_Industry!$G$716*Y$178</f>
        <v>0</v>
      </c>
      <c r="Z199" s="127">
        <f>Mitigation_Industry!$F$716*Z$179+Mitigation_Industry!$G$716*Z$178</f>
        <v>0</v>
      </c>
      <c r="AA199" s="127">
        <f>Mitigation_Industry!$F$716*AA$179+Mitigation_Industry!$G$716*AA$178</f>
        <v>0</v>
      </c>
      <c r="AB199" s="127">
        <f>Mitigation_Industry!$F$716*AB$179+Mitigation_Industry!$G$716*AB$178</f>
        <v>0</v>
      </c>
      <c r="AC199" s="127">
        <f>Mitigation_Industry!$F$716*AC$179+Mitigation_Industry!$G$716*AC$178</f>
        <v>0</v>
      </c>
      <c r="AD199" s="127">
        <f>Mitigation_Industry!$F$716*AD$179+Mitigation_Industry!$G$716*AD$178</f>
        <v>0</v>
      </c>
      <c r="AE199" s="127">
        <f>Mitigation_Industry!$F$716*AE$179+Mitigation_Industry!$G$716*AE$178</f>
        <v>0</v>
      </c>
      <c r="AF199" s="128"/>
      <c r="AG199" s="128"/>
      <c r="AH199" s="128"/>
      <c r="AI199" s="128"/>
    </row>
    <row r="200" spans="1:35" x14ac:dyDescent="0.35"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2"/>
      <c r="AE200" s="122"/>
      <c r="AF200" s="122"/>
      <c r="AG200" s="122"/>
      <c r="AH200" s="122"/>
      <c r="AI200" s="122"/>
    </row>
    <row r="201" spans="1:35" customFormat="1" ht="14.25" x14ac:dyDescent="0.45">
      <c r="A201" s="11"/>
      <c r="B201" s="6"/>
      <c r="C201" s="7" t="s">
        <v>2480</v>
      </c>
      <c r="D201" s="6" t="s">
        <v>1505</v>
      </c>
      <c r="E201" s="7" t="s">
        <v>35</v>
      </c>
      <c r="F201" s="7" t="s">
        <v>45</v>
      </c>
      <c r="G201" s="7" t="s">
        <v>37</v>
      </c>
      <c r="H201" s="12" t="s">
        <v>38</v>
      </c>
      <c r="I201" s="6" t="s">
        <v>39</v>
      </c>
      <c r="J201" s="48">
        <v>2</v>
      </c>
      <c r="K201" s="124">
        <v>2021</v>
      </c>
      <c r="L201" s="125">
        <v>2022</v>
      </c>
      <c r="M201" s="124">
        <v>2023</v>
      </c>
      <c r="N201" s="124">
        <v>2024</v>
      </c>
      <c r="O201" s="124">
        <v>2025</v>
      </c>
      <c r="P201" s="124">
        <v>2026</v>
      </c>
      <c r="Q201" s="124">
        <v>2027</v>
      </c>
      <c r="R201" s="124">
        <v>2028</v>
      </c>
      <c r="S201" s="124">
        <v>2029</v>
      </c>
      <c r="T201" s="124">
        <v>2030</v>
      </c>
      <c r="U201" s="124">
        <v>2031</v>
      </c>
      <c r="V201" s="124">
        <v>2032</v>
      </c>
      <c r="W201" s="124">
        <v>2033</v>
      </c>
      <c r="X201" s="124">
        <v>2034</v>
      </c>
      <c r="Y201" s="124">
        <v>2035</v>
      </c>
      <c r="Z201" s="124">
        <v>2036</v>
      </c>
      <c r="AA201" s="124">
        <v>2037</v>
      </c>
      <c r="AB201" s="124">
        <v>2038</v>
      </c>
      <c r="AC201" s="124">
        <v>2039</v>
      </c>
      <c r="AD201" s="124">
        <v>2040</v>
      </c>
      <c r="AE201" s="124">
        <v>2041</v>
      </c>
      <c r="AF201" s="124">
        <v>2042</v>
      </c>
      <c r="AG201" s="124">
        <v>2043</v>
      </c>
      <c r="AH201" s="124">
        <v>2044</v>
      </c>
      <c r="AI201" s="124">
        <v>2045</v>
      </c>
    </row>
    <row r="202" spans="1:35" customFormat="1" ht="14.25" x14ac:dyDescent="0.45">
      <c r="B202" s="14" t="s">
        <v>1452</v>
      </c>
      <c r="C202" s="14" t="s">
        <v>43</v>
      </c>
      <c r="D202" s="15" t="s">
        <v>2481</v>
      </c>
      <c r="E202" s="16" t="s">
        <v>1967</v>
      </c>
      <c r="F202" s="14" t="s">
        <v>2480</v>
      </c>
      <c r="G202" s="119"/>
      <c r="H202" s="114" t="str">
        <f>Settings!$B$3&amp;".mit.wf.stl.drg.2"</f>
        <v>egy.mit.wf.stl.drg.2</v>
      </c>
      <c r="I202" t="s">
        <v>2482</v>
      </c>
      <c r="K202" s="126"/>
      <c r="L202" s="127">
        <f>Mitigation_Industry!L$729</f>
        <v>3.2287703131193024</v>
      </c>
      <c r="M202" s="127">
        <f>Mitigation_Industry!M$729</f>
        <v>3.3708362068965516</v>
      </c>
      <c r="N202" s="127">
        <f>Mitigation_Industry!N$729</f>
        <v>3.5191530000000002</v>
      </c>
      <c r="O202" s="127">
        <f>Mitigation_Industry!O$729</f>
        <v>3.6739957320000007</v>
      </c>
      <c r="P202" s="127">
        <f>Mitigation_Industry!P$729</f>
        <v>3.8356515442080008</v>
      </c>
      <c r="Q202" s="127">
        <f>Mitigation_Industry!Q$729</f>
        <v>4.0044202121531534</v>
      </c>
      <c r="R202" s="127">
        <f>Mitigation_Industry!R$729</f>
        <v>4.1806147014878912</v>
      </c>
      <c r="S202" s="127">
        <f>Mitigation_Industry!S$729</f>
        <v>4.3645617483533599</v>
      </c>
      <c r="T202" s="127">
        <f>Mitigation_Industry!T$729</f>
        <v>4.556602465280907</v>
      </c>
      <c r="U202" s="127">
        <f>Mitigation_Industry!U$729</f>
        <v>4.7570929737532675</v>
      </c>
      <c r="V202" s="127">
        <f>Mitigation_Industry!V$729</f>
        <v>4.9664050645984119</v>
      </c>
      <c r="W202" s="127">
        <f>Mitigation_Industry!W$729</f>
        <v>5.1849268874407413</v>
      </c>
      <c r="X202" s="127">
        <f>Mitigation_Industry!X$729</f>
        <v>5.4130636704881345</v>
      </c>
      <c r="Y202" s="127">
        <f>Mitigation_Industry!Y$729</f>
        <v>5.6512384719896129</v>
      </c>
      <c r="Z202" s="127">
        <f>Mitigation_Industry!Z$729</f>
        <v>5.8998929647571554</v>
      </c>
      <c r="AA202" s="127">
        <f>Mitigation_Industry!AA$729</f>
        <v>6.1594882552064707</v>
      </c>
      <c r="AB202" s="127">
        <f>Mitigation_Industry!AB$729</f>
        <v>6.4305057384355555</v>
      </c>
      <c r="AC202" s="127">
        <f>Mitigation_Industry!AC$729</f>
        <v>6.7134479909267206</v>
      </c>
      <c r="AD202" s="127">
        <f>Mitigation_Industry!AD$729</f>
        <v>7.0088397025274967</v>
      </c>
      <c r="AE202" s="127">
        <f>Mitigation_Industry!AE$729</f>
        <v>7.3172286494387055</v>
      </c>
      <c r="AF202" s="128"/>
      <c r="AG202" s="128"/>
      <c r="AH202" s="128"/>
      <c r="AI202" s="128"/>
    </row>
    <row r="203" spans="1:35" customFormat="1" ht="14.25" x14ac:dyDescent="0.45">
      <c r="B203" s="14" t="s">
        <v>1455</v>
      </c>
      <c r="C203" s="14" t="s">
        <v>43</v>
      </c>
      <c r="D203" s="15" t="s">
        <v>2483</v>
      </c>
      <c r="E203" s="16" t="s">
        <v>1967</v>
      </c>
      <c r="F203" s="14" t="s">
        <v>2480</v>
      </c>
      <c r="G203" s="119"/>
      <c r="H203" s="114" t="str">
        <f>Settings!$B$3&amp;".mit.wf.stl.scr.2"</f>
        <v>egy.mit.wf.stl.scr.2</v>
      </c>
      <c r="K203" s="126"/>
      <c r="L203" s="127">
        <f>Mitigation_Industry!L$730</f>
        <v>0.61765094464262127</v>
      </c>
      <c r="M203" s="127">
        <f>Mitigation_Industry!M$730</f>
        <v>0.64482758620689662</v>
      </c>
      <c r="N203" s="127">
        <f>Mitigation_Industry!N$730</f>
        <v>0.67320000000000002</v>
      </c>
      <c r="O203" s="127">
        <f>Mitigation_Industry!O$730</f>
        <v>0.70282080000000002</v>
      </c>
      <c r="P203" s="127">
        <f>Mitigation_Industry!P$730</f>
        <v>0.73374491520000007</v>
      </c>
      <c r="Q203" s="127">
        <f>Mitigation_Industry!Q$730</f>
        <v>0.76602969146880007</v>
      </c>
      <c r="R203" s="127">
        <f>Mitigation_Industry!R$730</f>
        <v>0.79973499789342728</v>
      </c>
      <c r="S203" s="127">
        <f>Mitigation_Industry!S$730</f>
        <v>0.83492333780073813</v>
      </c>
      <c r="T203" s="127">
        <f>Mitigation_Industry!T$730</f>
        <v>0.87165996466397067</v>
      </c>
      <c r="U203" s="127">
        <f>Mitigation_Industry!U$730</f>
        <v>0.91001300310918543</v>
      </c>
      <c r="V203" s="127">
        <f>Mitigation_Industry!V$730</f>
        <v>0.95005357524598955</v>
      </c>
      <c r="W203" s="127">
        <f>Mitigation_Industry!W$730</f>
        <v>0.99185593255681304</v>
      </c>
      <c r="X203" s="127">
        <f>Mitigation_Industry!X$730</f>
        <v>1.0354975935893131</v>
      </c>
      <c r="Y203" s="127">
        <f>Mitigation_Industry!Y$730</f>
        <v>1.0810594877072426</v>
      </c>
      <c r="Z203" s="127">
        <f>Mitigation_Industry!Z$730</f>
        <v>1.1286261051663613</v>
      </c>
      <c r="AA203" s="127">
        <f>Mitigation_Industry!AA$730</f>
        <v>1.1782856537936812</v>
      </c>
      <c r="AB203" s="127">
        <f>Mitigation_Industry!AB$730</f>
        <v>1.2301302225606032</v>
      </c>
      <c r="AC203" s="127">
        <f>Mitigation_Industry!AC$730</f>
        <v>1.2842559523532697</v>
      </c>
      <c r="AD203" s="127">
        <f>Mitigation_Industry!AD$730</f>
        <v>1.3407632142568136</v>
      </c>
      <c r="AE203" s="127">
        <f>Mitigation_Industry!AE$730</f>
        <v>1.3997567956841135</v>
      </c>
      <c r="AF203" s="128"/>
      <c r="AG203" s="128"/>
      <c r="AH203" s="128"/>
      <c r="AI203" s="128"/>
    </row>
    <row r="204" spans="1:35" customFormat="1" ht="14.25" x14ac:dyDescent="0.45">
      <c r="B204" s="14" t="s">
        <v>1458</v>
      </c>
      <c r="C204" s="14" t="s">
        <v>43</v>
      </c>
      <c r="D204" s="15" t="s">
        <v>2484</v>
      </c>
      <c r="E204" s="16" t="s">
        <v>1967</v>
      </c>
      <c r="F204" s="14" t="s">
        <v>2480</v>
      </c>
      <c r="G204" s="119"/>
      <c r="H204" s="114" t="str">
        <f>Settings!$B$3&amp;".mit.wf.stl.bof.2"</f>
        <v>egy.mit.wf.stl.bof.2</v>
      </c>
      <c r="K204" s="126"/>
      <c r="L204" s="127">
        <f>Mitigation_Industry!L$731</f>
        <v>0</v>
      </c>
      <c r="M204" s="127">
        <f>Mitigation_Industry!M$731</f>
        <v>0</v>
      </c>
      <c r="N204" s="127">
        <f>Mitigation_Industry!N$731</f>
        <v>0</v>
      </c>
      <c r="O204" s="127">
        <f>Mitigation_Industry!O$731</f>
        <v>0</v>
      </c>
      <c r="P204" s="127">
        <f>Mitigation_Industry!P$731</f>
        <v>0</v>
      </c>
      <c r="Q204" s="127">
        <f>Mitigation_Industry!Q$731</f>
        <v>0</v>
      </c>
      <c r="R204" s="127">
        <f>Mitigation_Industry!R$731</f>
        <v>0</v>
      </c>
      <c r="S204" s="127">
        <f>Mitigation_Industry!S$731</f>
        <v>0</v>
      </c>
      <c r="T204" s="127">
        <f>Mitigation_Industry!T$731</f>
        <v>0</v>
      </c>
      <c r="U204" s="127">
        <f>Mitigation_Industry!U$731</f>
        <v>0</v>
      </c>
      <c r="V204" s="127">
        <f>Mitigation_Industry!V$731</f>
        <v>0</v>
      </c>
      <c r="W204" s="127">
        <f>Mitigation_Industry!W$731</f>
        <v>0</v>
      </c>
      <c r="X204" s="127">
        <f>Mitigation_Industry!X$731</f>
        <v>0</v>
      </c>
      <c r="Y204" s="127">
        <f>Mitigation_Industry!Y$731</f>
        <v>0</v>
      </c>
      <c r="Z204" s="127">
        <f>Mitigation_Industry!Z$731</f>
        <v>0</v>
      </c>
      <c r="AA204" s="127">
        <f>Mitigation_Industry!AA$731</f>
        <v>0</v>
      </c>
      <c r="AB204" s="127">
        <f>Mitigation_Industry!AB$731</f>
        <v>0</v>
      </c>
      <c r="AC204" s="127">
        <f>Mitigation_Industry!AC$731</f>
        <v>0</v>
      </c>
      <c r="AD204" s="127">
        <f>Mitigation_Industry!AD$731</f>
        <v>0</v>
      </c>
      <c r="AE204" s="127">
        <f>Mitigation_Industry!AE$731</f>
        <v>0</v>
      </c>
      <c r="AF204" s="128"/>
      <c r="AG204" s="128"/>
      <c r="AH204" s="128"/>
      <c r="AI204" s="128"/>
    </row>
    <row r="205" spans="1:35" customFormat="1" ht="14.25" x14ac:dyDescent="0.45">
      <c r="B205" s="14" t="s">
        <v>1461</v>
      </c>
      <c r="C205" s="14" t="s">
        <v>113</v>
      </c>
      <c r="D205" s="15" t="s">
        <v>2485</v>
      </c>
      <c r="E205" s="16" t="s">
        <v>1967</v>
      </c>
      <c r="F205" s="14" t="s">
        <v>2480</v>
      </c>
      <c r="G205" s="119"/>
      <c r="H205" s="114" t="str">
        <f>Settings!$B$3&amp;".mit.wf.cmt.dry.2"</f>
        <v>egy.mit.wf.cmt.dry.2</v>
      </c>
      <c r="K205" s="126"/>
      <c r="L205" s="127">
        <f>Mitigation_Industry!L$732</f>
        <v>13.508713893592759</v>
      </c>
      <c r="M205" s="127">
        <f>Mitigation_Industry!M$732</f>
        <v>13.954501452081319</v>
      </c>
      <c r="N205" s="127">
        <f>Mitigation_Industry!N$732</f>
        <v>14.414999999999999</v>
      </c>
      <c r="O205" s="127">
        <f>Mitigation_Industry!O$732</f>
        <v>14.890694999999997</v>
      </c>
      <c r="P205" s="127">
        <f>Mitigation_Industry!P$732</f>
        <v>15.382087934999998</v>
      </c>
      <c r="Q205" s="127">
        <f>Mitigation_Industry!Q$732</f>
        <v>15.889696836854995</v>
      </c>
      <c r="R205" s="127">
        <f>Mitigation_Industry!R$732</f>
        <v>16.414056832471207</v>
      </c>
      <c r="S205" s="127">
        <f>Mitigation_Industry!S$732</f>
        <v>16.955720707942756</v>
      </c>
      <c r="T205" s="127">
        <f>Mitigation_Industry!T$732</f>
        <v>17.515259491304867</v>
      </c>
      <c r="U205" s="127">
        <f>Mitigation_Industry!U$732</f>
        <v>18.093263054517926</v>
      </c>
      <c r="V205" s="127">
        <f>Mitigation_Industry!V$732</f>
        <v>18.690340735317015</v>
      </c>
      <c r="W205" s="127">
        <f>Mitigation_Industry!W$732</f>
        <v>19.307121979582476</v>
      </c>
      <c r="X205" s="127">
        <f>Mitigation_Industry!X$732</f>
        <v>19.944257004908696</v>
      </c>
      <c r="Y205" s="127">
        <f>Mitigation_Industry!Y$732</f>
        <v>20.602417486070681</v>
      </c>
      <c r="Z205" s="127">
        <f>Mitigation_Industry!Z$732</f>
        <v>21.282297263111012</v>
      </c>
      <c r="AA205" s="127">
        <f>Mitigation_Industry!AA$732</f>
        <v>21.984613072793675</v>
      </c>
      <c r="AB205" s="127">
        <f>Mitigation_Industry!AB$732</f>
        <v>22.710105304195867</v>
      </c>
      <c r="AC205" s="127">
        <f>Mitigation_Industry!AC$732</f>
        <v>23.459538779234329</v>
      </c>
      <c r="AD205" s="127">
        <f>Mitigation_Industry!AD$732</f>
        <v>24.23370355894906</v>
      </c>
      <c r="AE205" s="127">
        <f>Mitigation_Industry!AE$732</f>
        <v>25.033415776394378</v>
      </c>
      <c r="AF205" s="128"/>
      <c r="AG205" s="128"/>
      <c r="AH205" s="128"/>
      <c r="AI205" s="128"/>
    </row>
    <row r="206" spans="1:35" customFormat="1" ht="14.25" x14ac:dyDescent="0.45">
      <c r="B206" s="14" t="s">
        <v>1464</v>
      </c>
      <c r="C206" s="14" t="s">
        <v>117</v>
      </c>
      <c r="D206" s="15" t="s">
        <v>2486</v>
      </c>
      <c r="E206" s="16" t="s">
        <v>1967</v>
      </c>
      <c r="F206" s="14" t="s">
        <v>2480</v>
      </c>
      <c r="G206" s="119"/>
      <c r="H206" s="114" t="str">
        <f>Settings!$B$3&amp;".mit.wf.frt.amc.2"</f>
        <v>egy.mit.wf.frt.amc.2</v>
      </c>
      <c r="K206" s="126"/>
      <c r="L206" s="127">
        <f>Mitigation_Industry!L$733</f>
        <v>3.1638306570517116</v>
      </c>
      <c r="M206" s="127">
        <f>Mitigation_Industry!M$733</f>
        <v>3.2334349315068494</v>
      </c>
      <c r="N206" s="127">
        <f>Mitigation_Industry!N$733</f>
        <v>3.3045704999999996</v>
      </c>
      <c r="O206" s="127">
        <f>Mitigation_Industry!O$733</f>
        <v>3.3772710509999997</v>
      </c>
      <c r="P206" s="127">
        <f>Mitigation_Industry!P$733</f>
        <v>3.4515710141219995</v>
      </c>
      <c r="Q206" s="127">
        <f>Mitigation_Industry!Q$733</f>
        <v>3.5275055764326835</v>
      </c>
      <c r="R206" s="127">
        <f>Mitigation_Industry!R$733</f>
        <v>3.6051106991142028</v>
      </c>
      <c r="S206" s="127">
        <f>Mitigation_Industry!S$733</f>
        <v>3.6844231344947151</v>
      </c>
      <c r="T206" s="127">
        <f>Mitigation_Industry!T$733</f>
        <v>3.7654804434535989</v>
      </c>
      <c r="U206" s="127">
        <f>Mitigation_Industry!U$733</f>
        <v>3.8483210132095782</v>
      </c>
      <c r="V206" s="127">
        <f>Mitigation_Industry!V$733</f>
        <v>3.932984075500189</v>
      </c>
      <c r="W206" s="127">
        <f>Mitigation_Industry!W$733</f>
        <v>4.0195097251611935</v>
      </c>
      <c r="X206" s="127">
        <f>Mitigation_Industry!X$733</f>
        <v>4.1079389391147396</v>
      </c>
      <c r="Y206" s="127">
        <f>Mitigation_Industry!Y$733</f>
        <v>4.1983135957752644</v>
      </c>
      <c r="Z206" s="127">
        <f>Mitigation_Industry!Z$733</f>
        <v>4.2906764948823204</v>
      </c>
      <c r="AA206" s="127">
        <f>Mitigation_Industry!AA$733</f>
        <v>4.385071377769731</v>
      </c>
      <c r="AB206" s="127">
        <f>Mitigation_Industry!AB$733</f>
        <v>4.4815429480806648</v>
      </c>
      <c r="AC206" s="127">
        <f>Mitigation_Industry!AC$733</f>
        <v>4.5801368929384401</v>
      </c>
      <c r="AD206" s="127">
        <f>Mitigation_Industry!AD$733</f>
        <v>4.680899904583085</v>
      </c>
      <c r="AE206" s="127">
        <f>Mitigation_Industry!AE$733</f>
        <v>4.7838797024839135</v>
      </c>
      <c r="AF206" s="128"/>
      <c r="AG206" s="128"/>
      <c r="AH206" s="128"/>
      <c r="AI206" s="128"/>
    </row>
    <row r="207" spans="1:35" customFormat="1" ht="14.25" x14ac:dyDescent="0.45">
      <c r="B207" s="14" t="s">
        <v>1467</v>
      </c>
      <c r="C207" s="14" t="s">
        <v>117</v>
      </c>
      <c r="D207" s="15" t="s">
        <v>2487</v>
      </c>
      <c r="E207" s="16" t="s">
        <v>1967</v>
      </c>
      <c r="F207" s="14" t="s">
        <v>2480</v>
      </c>
      <c r="G207" s="119"/>
      <c r="H207" s="114" t="str">
        <f>Settings!$B$3&amp;".mit.wf.frt.ure.2"</f>
        <v>egy.mit.wf.frt.ure.2</v>
      </c>
      <c r="K207" s="126"/>
      <c r="L207" s="127">
        <f>Mitigation_Industry!L$734</f>
        <v>0.30078009811543305</v>
      </c>
      <c r="M207" s="127">
        <f>Mitigation_Industry!M$734</f>
        <v>0.30739726027397257</v>
      </c>
      <c r="N207" s="127">
        <f>Mitigation_Industry!N$734</f>
        <v>0.31415999999999999</v>
      </c>
      <c r="O207" s="127">
        <f>Mitigation_Industry!O$734</f>
        <v>0.32107151999999994</v>
      </c>
      <c r="P207" s="127">
        <f>Mitigation_Industry!P$734</f>
        <v>0.32813509343999991</v>
      </c>
      <c r="Q207" s="127">
        <f>Mitigation_Industry!Q$734</f>
        <v>0.33535406549567992</v>
      </c>
      <c r="R207" s="127">
        <f>Mitigation_Industry!R$734</f>
        <v>0.34273185493658492</v>
      </c>
      <c r="S207" s="127">
        <f>Mitigation_Industry!S$734</f>
        <v>0.35027195574518982</v>
      </c>
      <c r="T207" s="127">
        <f>Mitigation_Industry!T$734</f>
        <v>0.35797793877158396</v>
      </c>
      <c r="U207" s="127">
        <f>Mitigation_Industry!U$734</f>
        <v>0.36585345342455883</v>
      </c>
      <c r="V207" s="127">
        <f>Mitigation_Industry!V$734</f>
        <v>0.37390222939989914</v>
      </c>
      <c r="W207" s="127">
        <f>Mitigation_Industry!W$734</f>
        <v>0.38212807844669699</v>
      </c>
      <c r="X207" s="127">
        <f>Mitigation_Industry!X$734</f>
        <v>0.39053489617252435</v>
      </c>
      <c r="Y207" s="127">
        <f>Mitigation_Industry!Y$734</f>
        <v>0.39912666388831991</v>
      </c>
      <c r="Z207" s="127">
        <f>Mitigation_Industry!Z$734</f>
        <v>0.40790745049386296</v>
      </c>
      <c r="AA207" s="127">
        <f>Mitigation_Industry!AA$734</f>
        <v>0.41688141440472792</v>
      </c>
      <c r="AB207" s="127">
        <f>Mitigation_Industry!AB$734</f>
        <v>0.42605280552163199</v>
      </c>
      <c r="AC207" s="127">
        <f>Mitigation_Industry!AC$734</f>
        <v>0.43542596724310795</v>
      </c>
      <c r="AD207" s="127">
        <f>Mitigation_Industry!AD$734</f>
        <v>0.44500533852245627</v>
      </c>
      <c r="AE207" s="127">
        <f>Mitigation_Industry!AE$734</f>
        <v>0.45479545596995036</v>
      </c>
      <c r="AF207" s="128"/>
      <c r="AG207" s="128"/>
      <c r="AH207" s="128"/>
      <c r="AI207" s="128"/>
    </row>
    <row r="208" spans="1:35" customFormat="1" ht="14.25" x14ac:dyDescent="0.45">
      <c r="B208" s="14" t="s">
        <v>1470</v>
      </c>
      <c r="C208" s="14" t="s">
        <v>117</v>
      </c>
      <c r="D208" s="15" t="s">
        <v>2488</v>
      </c>
      <c r="E208" s="16" t="s">
        <v>1967</v>
      </c>
      <c r="F208" s="14" t="s">
        <v>2480</v>
      </c>
      <c r="G208" s="119"/>
      <c r="H208" s="114" t="str">
        <f>Settings!$B$3&amp;".mit.wf.frt.nit.2"</f>
        <v>egy.mit.wf.frt.nit.2</v>
      </c>
      <c r="K208" s="126"/>
      <c r="L208" s="127">
        <f>Mitigation_Industry!L$735</f>
        <v>6.4452878167592806E-2</v>
      </c>
      <c r="M208" s="127">
        <f>Mitigation_Industry!M$735</f>
        <v>6.5870841487279841E-2</v>
      </c>
      <c r="N208" s="127">
        <f>Mitigation_Industry!N$735</f>
        <v>6.7319999999999991E-2</v>
      </c>
      <c r="O208" s="127">
        <f>Mitigation_Industry!O$735</f>
        <v>6.8801039999999994E-2</v>
      </c>
      <c r="P208" s="127">
        <f>Mitigation_Industry!P$735</f>
        <v>7.0314662880000003E-2</v>
      </c>
      <c r="Q208" s="127">
        <f>Mitigation_Industry!Q$735</f>
        <v>7.1861585463359995E-2</v>
      </c>
      <c r="R208" s="127">
        <f>Mitigation_Industry!R$735</f>
        <v>7.3442540343553922E-2</v>
      </c>
      <c r="S208" s="127">
        <f>Mitigation_Industry!S$735</f>
        <v>7.5058276231112109E-2</v>
      </c>
      <c r="T208" s="127">
        <f>Mitigation_Industry!T$735</f>
        <v>7.6709558308196577E-2</v>
      </c>
      <c r="U208" s="127">
        <f>Mitigation_Industry!U$735</f>
        <v>7.8397168590976909E-2</v>
      </c>
      <c r="V208" s="127">
        <f>Mitigation_Industry!V$735</f>
        <v>8.012190629997841E-2</v>
      </c>
      <c r="W208" s="127">
        <f>Mitigation_Industry!W$735</f>
        <v>8.1884588238577916E-2</v>
      </c>
      <c r="X208" s="127">
        <f>Mitigation_Industry!X$735</f>
        <v>8.3686049179826624E-2</v>
      </c>
      <c r="Y208" s="127">
        <f>Mitigation_Industry!Y$735</f>
        <v>8.5527142261782832E-2</v>
      </c>
      <c r="Z208" s="127">
        <f>Mitigation_Industry!Z$735</f>
        <v>8.7408739391542062E-2</v>
      </c>
      <c r="AA208" s="127">
        <f>Mitigation_Industry!AA$735</f>
        <v>8.9331731658155972E-2</v>
      </c>
      <c r="AB208" s="127">
        <f>Mitigation_Industry!AB$735</f>
        <v>9.1297029754635398E-2</v>
      </c>
      <c r="AC208" s="127">
        <f>Mitigation_Industry!AC$735</f>
        <v>9.3305564409237388E-2</v>
      </c>
      <c r="AD208" s="127">
        <f>Mitigation_Industry!AD$735</f>
        <v>9.5358286826240618E-2</v>
      </c>
      <c r="AE208" s="127">
        <f>Mitigation_Industry!AE$735</f>
        <v>9.7456169136417914E-2</v>
      </c>
      <c r="AF208" s="128"/>
      <c r="AG208" s="128"/>
      <c r="AH208" s="128"/>
      <c r="AI208" s="128"/>
    </row>
    <row r="209" spans="1:35" customFormat="1" ht="14.25" x14ac:dyDescent="0.45">
      <c r="B209" s="14" t="s">
        <v>1473</v>
      </c>
      <c r="C209" s="14" t="s">
        <v>115</v>
      </c>
      <c r="D209" s="15" t="s">
        <v>2489</v>
      </c>
      <c r="E209" s="16" t="s">
        <v>1967</v>
      </c>
      <c r="F209" s="14" t="s">
        <v>2480</v>
      </c>
      <c r="G209" s="119"/>
      <c r="H209" s="114" t="str">
        <f>Settings!$B$3&amp;".mit.wf.alu.prp.2"</f>
        <v>egy.mit.wf.alu.prp.2</v>
      </c>
      <c r="K209" s="126"/>
      <c r="L209" s="127">
        <f>Mitigation_Industry!L$736</f>
        <v>4.2047573055412055E-2</v>
      </c>
      <c r="M209" s="127">
        <f>Mitigation_Industry!M$736</f>
        <v>4.4360189573459712E-2</v>
      </c>
      <c r="N209" s="127">
        <f>Mitigation_Industry!N$736</f>
        <v>4.6799999999999994E-2</v>
      </c>
      <c r="O209" s="127">
        <f>Mitigation_Industry!O$736</f>
        <v>4.9374000000000001E-2</v>
      </c>
      <c r="P209" s="127">
        <f>Mitigation_Industry!P$736</f>
        <v>5.2089569999999995E-2</v>
      </c>
      <c r="Q209" s="127">
        <f>Mitigation_Industry!Q$736</f>
        <v>5.4954496349999993E-2</v>
      </c>
      <c r="R209" s="127">
        <f>Mitigation_Industry!R$736</f>
        <v>5.7976993649249998E-2</v>
      </c>
      <c r="S209" s="127">
        <f>Mitigation_Industry!S$736</f>
        <v>6.1165728299958741E-2</v>
      </c>
      <c r="T209" s="127">
        <f>Mitigation_Industry!T$736</f>
        <v>6.4529843356456465E-2</v>
      </c>
      <c r="U209" s="127">
        <f>Mitigation_Industry!U$736</f>
        <v>6.8078984741061568E-2</v>
      </c>
      <c r="V209" s="127">
        <f>Mitigation_Industry!V$736</f>
        <v>7.1823328901819944E-2</v>
      </c>
      <c r="W209" s="127">
        <f>Mitigation_Industry!W$736</f>
        <v>7.5773611991420048E-2</v>
      </c>
      <c r="X209" s="127">
        <f>Mitigation_Industry!X$736</f>
        <v>7.9941160650948154E-2</v>
      </c>
      <c r="Y209" s="127">
        <f>Mitigation_Industry!Y$736</f>
        <v>8.4337924486750301E-2</v>
      </c>
      <c r="Z209" s="127">
        <f>Mitigation_Industry!Z$736</f>
        <v>8.8976510333521566E-2</v>
      </c>
      <c r="AA209" s="127">
        <f>Mitigation_Industry!AA$736</f>
        <v>9.3870218401865241E-2</v>
      </c>
      <c r="AB209" s="127">
        <f>Mitigation_Industry!AB$736</f>
        <v>9.9033080413967828E-2</v>
      </c>
      <c r="AC209" s="127">
        <f>Mitigation_Industry!AC$736</f>
        <v>0.10447989983673606</v>
      </c>
      <c r="AD209" s="127">
        <f>Mitigation_Industry!AD$736</f>
        <v>0.11022629432775652</v>
      </c>
      <c r="AE209" s="127">
        <f>Mitigation_Industry!AE$736</f>
        <v>0.11628874051578311</v>
      </c>
      <c r="AF209" s="128"/>
      <c r="AG209" s="128"/>
      <c r="AH209" s="128"/>
      <c r="AI209" s="128"/>
    </row>
    <row r="210" spans="1:35" x14ac:dyDescent="0.35"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  <c r="AD210" s="122"/>
      <c r="AE210" s="122"/>
      <c r="AF210" s="122"/>
      <c r="AG210" s="122"/>
      <c r="AH210" s="122"/>
      <c r="AI210" s="122"/>
    </row>
    <row r="211" spans="1:35" customFormat="1" ht="14.25" x14ac:dyDescent="0.45">
      <c r="A211" s="11"/>
      <c r="B211" s="6"/>
      <c r="C211" s="7" t="s">
        <v>2490</v>
      </c>
      <c r="D211" s="6" t="s">
        <v>1505</v>
      </c>
      <c r="E211" s="7" t="s">
        <v>35</v>
      </c>
      <c r="F211" s="7" t="s">
        <v>45</v>
      </c>
      <c r="G211" s="7" t="s">
        <v>37</v>
      </c>
      <c r="H211" s="12" t="s">
        <v>38</v>
      </c>
      <c r="I211" s="6" t="s">
        <v>39</v>
      </c>
      <c r="J211" s="48">
        <v>2</v>
      </c>
      <c r="K211" s="124">
        <v>2021</v>
      </c>
      <c r="L211" s="125">
        <v>2022</v>
      </c>
      <c r="M211" s="124">
        <v>2023</v>
      </c>
      <c r="N211" s="124">
        <v>2024</v>
      </c>
      <c r="O211" s="124">
        <v>2025</v>
      </c>
      <c r="P211" s="124">
        <v>2026</v>
      </c>
      <c r="Q211" s="124">
        <v>2027</v>
      </c>
      <c r="R211" s="124">
        <v>2028</v>
      </c>
      <c r="S211" s="124">
        <v>2029</v>
      </c>
      <c r="T211" s="124">
        <v>2030</v>
      </c>
      <c r="U211" s="124">
        <v>2031</v>
      </c>
      <c r="V211" s="124">
        <v>2032</v>
      </c>
      <c r="W211" s="124">
        <v>2033</v>
      </c>
      <c r="X211" s="124">
        <v>2034</v>
      </c>
      <c r="Y211" s="124">
        <v>2035</v>
      </c>
      <c r="Z211" s="124">
        <v>2036</v>
      </c>
      <c r="AA211" s="124">
        <v>2037</v>
      </c>
      <c r="AB211" s="124">
        <v>2038</v>
      </c>
      <c r="AC211" s="124">
        <v>2039</v>
      </c>
      <c r="AD211" s="124">
        <v>2040</v>
      </c>
      <c r="AE211" s="124">
        <v>2041</v>
      </c>
      <c r="AF211" s="124">
        <v>2042</v>
      </c>
      <c r="AG211" s="124">
        <v>2043</v>
      </c>
      <c r="AH211" s="124">
        <v>2044</v>
      </c>
      <c r="AI211" s="124">
        <v>2045</v>
      </c>
    </row>
    <row r="212" spans="1:35" customFormat="1" ht="14.25" x14ac:dyDescent="0.45">
      <c r="B212" s="14" t="s">
        <v>1452</v>
      </c>
      <c r="C212" s="14" t="s">
        <v>43</v>
      </c>
      <c r="D212" s="15" t="s">
        <v>2491</v>
      </c>
      <c r="E212" s="16" t="s">
        <v>2492</v>
      </c>
      <c r="F212" s="14" t="s">
        <v>2490</v>
      </c>
      <c r="G212" s="119"/>
      <c r="H212" s="114" t="str">
        <f>Settings!$B$3&amp;".mit.bf.stl.drg.2"</f>
        <v>egy.mit.bf.stl.drg.2</v>
      </c>
      <c r="I212" t="s">
        <v>2493</v>
      </c>
      <c r="K212" s="126"/>
      <c r="L212" s="129">
        <f>Mitigation_Industry!$E$751</f>
        <v>1.0536051565782599E-3</v>
      </c>
      <c r="M212" s="129">
        <f>Mitigation_Industry!$E$751</f>
        <v>1.0536051565782599E-3</v>
      </c>
      <c r="N212" s="129">
        <f>Mitigation_Industry!$E$751</f>
        <v>1.0536051565782599E-3</v>
      </c>
      <c r="O212" s="129">
        <f>Mitigation_Industry!$E$751</f>
        <v>1.0536051565782599E-3</v>
      </c>
      <c r="P212" s="129">
        <f>Mitigation_Industry!$E$751</f>
        <v>1.0536051565782599E-3</v>
      </c>
      <c r="Q212" s="129">
        <f>Mitigation_Industry!$E$751</f>
        <v>1.0536051565782599E-3</v>
      </c>
      <c r="R212" s="129">
        <f>Mitigation_Industry!$E$751</f>
        <v>1.0536051565782599E-3</v>
      </c>
      <c r="S212" s="129">
        <f>Mitigation_Industry!$E$751</f>
        <v>1.0536051565782599E-3</v>
      </c>
      <c r="T212" s="129">
        <f>Mitigation_Industry!$E$751</f>
        <v>1.0536051565782599E-3</v>
      </c>
      <c r="U212" s="129">
        <f>Mitigation_Industry!$E$751</f>
        <v>1.0536051565782599E-3</v>
      </c>
      <c r="V212" s="129">
        <f>Mitigation_Industry!$E$751</f>
        <v>1.0536051565782599E-3</v>
      </c>
      <c r="W212" s="129">
        <f>Mitigation_Industry!$E$751</f>
        <v>1.0536051565782599E-3</v>
      </c>
      <c r="X212" s="129">
        <f>Mitigation_Industry!$E$751</f>
        <v>1.0536051565782599E-3</v>
      </c>
      <c r="Y212" s="129">
        <f>Mitigation_Industry!$E$751</f>
        <v>1.0536051565782599E-3</v>
      </c>
      <c r="Z212" s="129">
        <f>Mitigation_Industry!$E$751</f>
        <v>1.0536051565782599E-3</v>
      </c>
      <c r="AA212" s="129">
        <f>Mitigation_Industry!$E$751</f>
        <v>1.0536051565782599E-3</v>
      </c>
      <c r="AB212" s="129">
        <f>Mitigation_Industry!$E$751</f>
        <v>1.0536051565782599E-3</v>
      </c>
      <c r="AC212" s="129">
        <f>Mitigation_Industry!$E$751</f>
        <v>1.0536051565782599E-3</v>
      </c>
      <c r="AD212" s="129">
        <f>Mitigation_Industry!$E$751</f>
        <v>1.0536051565782599E-3</v>
      </c>
      <c r="AE212" s="129">
        <f>Mitigation_Industry!$E$751</f>
        <v>1.0536051565782599E-3</v>
      </c>
      <c r="AF212" s="128"/>
      <c r="AG212" s="128"/>
      <c r="AH212" s="128"/>
      <c r="AI212" s="128"/>
    </row>
    <row r="213" spans="1:35" customFormat="1" ht="14.25" x14ac:dyDescent="0.45">
      <c r="B213" s="14" t="s">
        <v>1455</v>
      </c>
      <c r="C213" s="14" t="s">
        <v>43</v>
      </c>
      <c r="D213" s="15" t="s">
        <v>2494</v>
      </c>
      <c r="E213" s="16" t="s">
        <v>2492</v>
      </c>
      <c r="F213" s="14" t="s">
        <v>2490</v>
      </c>
      <c r="G213" s="119"/>
      <c r="H213" s="114" t="str">
        <f>Settings!$B$3&amp;".mit.bf.stl.scr.2"</f>
        <v>egy.mit.bf.stl.scr.2</v>
      </c>
      <c r="K213" s="126"/>
      <c r="L213" s="129">
        <f>Mitigation_Industry!$E$752</f>
        <v>2.0202707317519501E-4</v>
      </c>
      <c r="M213" s="129">
        <f>Mitigation_Industry!$E$752</f>
        <v>2.0202707317519501E-4</v>
      </c>
      <c r="N213" s="129">
        <f>Mitigation_Industry!$E$752</f>
        <v>2.0202707317519501E-4</v>
      </c>
      <c r="O213" s="129">
        <f>Mitigation_Industry!$E$752</f>
        <v>2.0202707317519501E-4</v>
      </c>
      <c r="P213" s="129">
        <f>Mitigation_Industry!$E$752</f>
        <v>2.0202707317519501E-4</v>
      </c>
      <c r="Q213" s="129">
        <f>Mitigation_Industry!$E$752</f>
        <v>2.0202707317519501E-4</v>
      </c>
      <c r="R213" s="129">
        <f>Mitigation_Industry!$E$752</f>
        <v>2.0202707317519501E-4</v>
      </c>
      <c r="S213" s="129">
        <f>Mitigation_Industry!$E$752</f>
        <v>2.0202707317519501E-4</v>
      </c>
      <c r="T213" s="129">
        <f>Mitigation_Industry!$E$752</f>
        <v>2.0202707317519501E-4</v>
      </c>
      <c r="U213" s="129">
        <f>Mitigation_Industry!$E$752</f>
        <v>2.0202707317519501E-4</v>
      </c>
      <c r="V213" s="129">
        <f>Mitigation_Industry!$E$752</f>
        <v>2.0202707317519501E-4</v>
      </c>
      <c r="W213" s="129">
        <f>Mitigation_Industry!$E$752</f>
        <v>2.0202707317519501E-4</v>
      </c>
      <c r="X213" s="129">
        <f>Mitigation_Industry!$E$752</f>
        <v>2.0202707317519501E-4</v>
      </c>
      <c r="Y213" s="129">
        <f>Mitigation_Industry!$E$752</f>
        <v>2.0202707317519501E-4</v>
      </c>
      <c r="Z213" s="129">
        <f>Mitigation_Industry!$E$752</f>
        <v>2.0202707317519501E-4</v>
      </c>
      <c r="AA213" s="129">
        <f>Mitigation_Industry!$E$752</f>
        <v>2.0202707317519501E-4</v>
      </c>
      <c r="AB213" s="129">
        <f>Mitigation_Industry!$E$752</f>
        <v>2.0202707317519501E-4</v>
      </c>
      <c r="AC213" s="129">
        <f>Mitigation_Industry!$E$752</f>
        <v>2.0202707317519501E-4</v>
      </c>
      <c r="AD213" s="129">
        <f>Mitigation_Industry!$E$752</f>
        <v>2.0202707317519501E-4</v>
      </c>
      <c r="AE213" s="129">
        <f>Mitigation_Industry!$E$752</f>
        <v>2.0202707317519501E-4</v>
      </c>
      <c r="AF213" s="128"/>
      <c r="AG213" s="128"/>
      <c r="AH213" s="128"/>
      <c r="AI213" s="128"/>
    </row>
    <row r="214" spans="1:35" customFormat="1" ht="14.25" x14ac:dyDescent="0.45">
      <c r="B214" s="14" t="s">
        <v>1458</v>
      </c>
      <c r="C214" s="14" t="s">
        <v>43</v>
      </c>
      <c r="D214" s="15" t="s">
        <v>2495</v>
      </c>
      <c r="E214" s="16" t="s">
        <v>2492</v>
      </c>
      <c r="F214" s="14" t="s">
        <v>2490</v>
      </c>
      <c r="G214" s="119"/>
      <c r="H214" s="114" t="str">
        <f>Settings!$B$3&amp;".mit.bf.stl.bof.2"</f>
        <v>egy.mit.bf.stl.bof.2</v>
      </c>
      <c r="K214" s="126"/>
      <c r="L214" s="129">
        <f>Mitigation_Industry!$E$753</f>
        <v>5.1293294387550598E-4</v>
      </c>
      <c r="M214" s="129">
        <f>Mitigation_Industry!$E$753</f>
        <v>5.1293294387550598E-4</v>
      </c>
      <c r="N214" s="129">
        <f>Mitigation_Industry!$E$753</f>
        <v>5.1293294387550598E-4</v>
      </c>
      <c r="O214" s="129">
        <f>Mitigation_Industry!$E$753</f>
        <v>5.1293294387550598E-4</v>
      </c>
      <c r="P214" s="129">
        <f>Mitigation_Industry!$E$753</f>
        <v>5.1293294387550598E-4</v>
      </c>
      <c r="Q214" s="129">
        <f>Mitigation_Industry!$E$753</f>
        <v>5.1293294387550598E-4</v>
      </c>
      <c r="R214" s="129">
        <f>Mitigation_Industry!$E$753</f>
        <v>5.1293294387550598E-4</v>
      </c>
      <c r="S214" s="129">
        <f>Mitigation_Industry!$E$753</f>
        <v>5.1293294387550598E-4</v>
      </c>
      <c r="T214" s="129">
        <f>Mitigation_Industry!$E$753</f>
        <v>5.1293294387550598E-4</v>
      </c>
      <c r="U214" s="129">
        <f>Mitigation_Industry!$E$753</f>
        <v>5.1293294387550598E-4</v>
      </c>
      <c r="V214" s="129">
        <f>Mitigation_Industry!$E$753</f>
        <v>5.1293294387550598E-4</v>
      </c>
      <c r="W214" s="129">
        <f>Mitigation_Industry!$E$753</f>
        <v>5.1293294387550598E-4</v>
      </c>
      <c r="X214" s="129">
        <f>Mitigation_Industry!$E$753</f>
        <v>5.1293294387550598E-4</v>
      </c>
      <c r="Y214" s="129">
        <f>Mitigation_Industry!$E$753</f>
        <v>5.1293294387550598E-4</v>
      </c>
      <c r="Z214" s="129">
        <f>Mitigation_Industry!$E$753</f>
        <v>5.1293294387550598E-4</v>
      </c>
      <c r="AA214" s="129">
        <f>Mitigation_Industry!$E$753</f>
        <v>5.1293294387550598E-4</v>
      </c>
      <c r="AB214" s="129">
        <f>Mitigation_Industry!$E$753</f>
        <v>5.1293294387550598E-4</v>
      </c>
      <c r="AC214" s="129">
        <f>Mitigation_Industry!$E$753</f>
        <v>5.1293294387550598E-4</v>
      </c>
      <c r="AD214" s="129">
        <f>Mitigation_Industry!$E$753</f>
        <v>5.1293294387550598E-4</v>
      </c>
      <c r="AE214" s="129">
        <f>Mitigation_Industry!$E$753</f>
        <v>5.1293294387550598E-4</v>
      </c>
      <c r="AF214" s="128"/>
      <c r="AG214" s="128"/>
      <c r="AH214" s="128"/>
      <c r="AI214" s="128"/>
    </row>
    <row r="215" spans="1:35" customFormat="1" ht="14.25" x14ac:dyDescent="0.45">
      <c r="B215" s="14" t="s">
        <v>1461</v>
      </c>
      <c r="C215" s="14" t="s">
        <v>113</v>
      </c>
      <c r="D215" s="15" t="s">
        <v>2496</v>
      </c>
      <c r="E215" s="16" t="s">
        <v>2492</v>
      </c>
      <c r="F215" s="14" t="s">
        <v>2490</v>
      </c>
      <c r="G215" s="119"/>
      <c r="H215" s="114" t="str">
        <f>Settings!$B$3&amp;".mit.bf.cmt.dry.2"</f>
        <v>egy.mit.bf.cmt.dry.2</v>
      </c>
      <c r="K215" s="126"/>
      <c r="L215" s="129">
        <f>Mitigation_Industry!$E$754</f>
        <v>8.3381608939051E-4</v>
      </c>
      <c r="M215" s="129">
        <f>Mitigation_Industry!$E$754</f>
        <v>8.3381608939051E-4</v>
      </c>
      <c r="N215" s="129">
        <f>Mitigation_Industry!$E$754</f>
        <v>8.3381608939051E-4</v>
      </c>
      <c r="O215" s="129">
        <f>Mitigation_Industry!$E$754</f>
        <v>8.3381608939051E-4</v>
      </c>
      <c r="P215" s="129">
        <f>Mitigation_Industry!$E$754</f>
        <v>8.3381608939051E-4</v>
      </c>
      <c r="Q215" s="129">
        <f>Mitigation_Industry!$E$754</f>
        <v>8.3381608939051E-4</v>
      </c>
      <c r="R215" s="129">
        <f>Mitigation_Industry!$E$754</f>
        <v>8.3381608939051E-4</v>
      </c>
      <c r="S215" s="129">
        <f>Mitigation_Industry!$E$754</f>
        <v>8.3381608939051E-4</v>
      </c>
      <c r="T215" s="129">
        <f>Mitigation_Industry!$E$754</f>
        <v>8.3381608939051E-4</v>
      </c>
      <c r="U215" s="129">
        <f>Mitigation_Industry!$E$754</f>
        <v>8.3381608939051E-4</v>
      </c>
      <c r="V215" s="129">
        <f>Mitigation_Industry!$E$754</f>
        <v>8.3381608939051E-4</v>
      </c>
      <c r="W215" s="129">
        <f>Mitigation_Industry!$E$754</f>
        <v>8.3381608939051E-4</v>
      </c>
      <c r="X215" s="129">
        <f>Mitigation_Industry!$E$754</f>
        <v>8.3381608939051E-4</v>
      </c>
      <c r="Y215" s="129">
        <f>Mitigation_Industry!$E$754</f>
        <v>8.3381608939051E-4</v>
      </c>
      <c r="Z215" s="129">
        <f>Mitigation_Industry!$E$754</f>
        <v>8.3381608939051E-4</v>
      </c>
      <c r="AA215" s="129">
        <f>Mitigation_Industry!$E$754</f>
        <v>8.3381608939051E-4</v>
      </c>
      <c r="AB215" s="129">
        <f>Mitigation_Industry!$E$754</f>
        <v>8.3381608939051E-4</v>
      </c>
      <c r="AC215" s="129">
        <f>Mitigation_Industry!$E$754</f>
        <v>8.3381608939051E-4</v>
      </c>
      <c r="AD215" s="129">
        <f>Mitigation_Industry!$E$754</f>
        <v>8.3381608939051E-4</v>
      </c>
      <c r="AE215" s="129">
        <f>Mitigation_Industry!$E$754</f>
        <v>8.3381608939051E-4</v>
      </c>
      <c r="AF215" s="128"/>
      <c r="AG215" s="128"/>
      <c r="AH215" s="128"/>
      <c r="AI215" s="128"/>
    </row>
    <row r="216" spans="1:35" customFormat="1" ht="14.25" x14ac:dyDescent="0.45">
      <c r="B216" s="14" t="s">
        <v>1464</v>
      </c>
      <c r="C216" s="14" t="s">
        <v>117</v>
      </c>
      <c r="D216" s="15" t="s">
        <v>2497</v>
      </c>
      <c r="E216" s="16" t="s">
        <v>2492</v>
      </c>
      <c r="F216" s="14" t="s">
        <v>2490</v>
      </c>
      <c r="G216" s="119"/>
      <c r="H216" s="114" t="str">
        <f>Settings!$B$3&amp;".mit.bf.frt.amc.2"</f>
        <v>egy.mit.bf.frt.amc.2</v>
      </c>
      <c r="K216" s="126"/>
      <c r="L216" s="129">
        <f>Mitigation_Industry!$E$755</f>
        <v>1.98450938723838E-3</v>
      </c>
      <c r="M216" s="129">
        <f>Mitigation_Industry!$E$755</f>
        <v>1.98450938723838E-3</v>
      </c>
      <c r="N216" s="129">
        <f>Mitigation_Industry!$E$755</f>
        <v>1.98450938723838E-3</v>
      </c>
      <c r="O216" s="129">
        <f>Mitigation_Industry!$E$755</f>
        <v>1.98450938723838E-3</v>
      </c>
      <c r="P216" s="129">
        <f>Mitigation_Industry!$E$755</f>
        <v>1.98450938723838E-3</v>
      </c>
      <c r="Q216" s="129">
        <f>Mitigation_Industry!$E$755</f>
        <v>1.98450938723838E-3</v>
      </c>
      <c r="R216" s="129">
        <f>Mitigation_Industry!$E$755</f>
        <v>1.98450938723838E-3</v>
      </c>
      <c r="S216" s="129">
        <f>Mitigation_Industry!$E$755</f>
        <v>1.98450938723838E-3</v>
      </c>
      <c r="T216" s="129">
        <f>Mitigation_Industry!$E$755</f>
        <v>1.98450938723838E-3</v>
      </c>
      <c r="U216" s="129">
        <f>Mitigation_Industry!$E$755</f>
        <v>1.98450938723838E-3</v>
      </c>
      <c r="V216" s="129">
        <f>Mitigation_Industry!$E$755</f>
        <v>1.98450938723838E-3</v>
      </c>
      <c r="W216" s="129">
        <f>Mitigation_Industry!$E$755</f>
        <v>1.98450938723838E-3</v>
      </c>
      <c r="X216" s="129">
        <f>Mitigation_Industry!$E$755</f>
        <v>1.98450938723838E-3</v>
      </c>
      <c r="Y216" s="129">
        <f>Mitigation_Industry!$E$755</f>
        <v>1.98450938723838E-3</v>
      </c>
      <c r="Z216" s="129">
        <f>Mitigation_Industry!$E$755</f>
        <v>1.98450938723838E-3</v>
      </c>
      <c r="AA216" s="129">
        <f>Mitigation_Industry!$E$755</f>
        <v>1.98450938723838E-3</v>
      </c>
      <c r="AB216" s="129">
        <f>Mitigation_Industry!$E$755</f>
        <v>1.98450938723838E-3</v>
      </c>
      <c r="AC216" s="129">
        <f>Mitigation_Industry!$E$755</f>
        <v>1.98450938723838E-3</v>
      </c>
      <c r="AD216" s="129">
        <f>Mitigation_Industry!$E$755</f>
        <v>1.98450938723838E-3</v>
      </c>
      <c r="AE216" s="129">
        <f>Mitigation_Industry!$E$755</f>
        <v>1.98450938723838E-3</v>
      </c>
      <c r="AF216" s="128"/>
      <c r="AG216" s="128"/>
      <c r="AH216" s="128"/>
      <c r="AI216" s="128"/>
    </row>
    <row r="217" spans="1:35" customFormat="1" ht="14.25" x14ac:dyDescent="0.45">
      <c r="B217" s="14" t="s">
        <v>1467</v>
      </c>
      <c r="C217" s="14" t="s">
        <v>117</v>
      </c>
      <c r="D217" s="15" t="s">
        <v>2498</v>
      </c>
      <c r="E217" s="16" t="s">
        <v>2492</v>
      </c>
      <c r="F217" s="14" t="s">
        <v>2490</v>
      </c>
      <c r="G217" s="119"/>
      <c r="H217" s="114" t="str">
        <f>Settings!$B$3&amp;".mit.bf.frt.ure.2"</f>
        <v>egy.mit.bf.frt.ure.2</v>
      </c>
      <c r="K217" s="126"/>
      <c r="L217" s="129">
        <f>Mitigation_Industry!$E$756</f>
        <v>0</v>
      </c>
      <c r="M217" s="129">
        <f>Mitigation_Industry!$E$756</f>
        <v>0</v>
      </c>
      <c r="N217" s="129">
        <f>Mitigation_Industry!$E$756</f>
        <v>0</v>
      </c>
      <c r="O217" s="129">
        <f>Mitigation_Industry!$E$756</f>
        <v>0</v>
      </c>
      <c r="P217" s="129">
        <f>Mitigation_Industry!$E$756</f>
        <v>0</v>
      </c>
      <c r="Q217" s="129">
        <f>Mitigation_Industry!$E$756</f>
        <v>0</v>
      </c>
      <c r="R217" s="129">
        <f>Mitigation_Industry!$E$756</f>
        <v>0</v>
      </c>
      <c r="S217" s="129">
        <f>Mitigation_Industry!$E$756</f>
        <v>0</v>
      </c>
      <c r="T217" s="129">
        <f>Mitigation_Industry!$E$756</f>
        <v>0</v>
      </c>
      <c r="U217" s="129">
        <f>Mitigation_Industry!$E$756</f>
        <v>0</v>
      </c>
      <c r="V217" s="129">
        <f>Mitigation_Industry!$E$756</f>
        <v>0</v>
      </c>
      <c r="W217" s="129">
        <f>Mitigation_Industry!$E$756</f>
        <v>0</v>
      </c>
      <c r="X217" s="129">
        <f>Mitigation_Industry!$E$756</f>
        <v>0</v>
      </c>
      <c r="Y217" s="129">
        <f>Mitigation_Industry!$E$756</f>
        <v>0</v>
      </c>
      <c r="Z217" s="129">
        <f>Mitigation_Industry!$E$756</f>
        <v>0</v>
      </c>
      <c r="AA217" s="129">
        <f>Mitigation_Industry!$E$756</f>
        <v>0</v>
      </c>
      <c r="AB217" s="129">
        <f>Mitigation_Industry!$E$756</f>
        <v>0</v>
      </c>
      <c r="AC217" s="129">
        <f>Mitigation_Industry!$E$756</f>
        <v>0</v>
      </c>
      <c r="AD217" s="129">
        <f>Mitigation_Industry!$E$756</f>
        <v>0</v>
      </c>
      <c r="AE217" s="129">
        <f>Mitigation_Industry!$E$756</f>
        <v>0</v>
      </c>
      <c r="AF217" s="128"/>
      <c r="AG217" s="128"/>
      <c r="AH217" s="128"/>
      <c r="AI217" s="128"/>
    </row>
    <row r="218" spans="1:35" customFormat="1" ht="14.25" x14ac:dyDescent="0.45">
      <c r="B218" s="14" t="s">
        <v>1470</v>
      </c>
      <c r="C218" s="14" t="s">
        <v>117</v>
      </c>
      <c r="D218" s="15" t="s">
        <v>2499</v>
      </c>
      <c r="E218" s="16" t="s">
        <v>2492</v>
      </c>
      <c r="F218" s="14" t="s">
        <v>2490</v>
      </c>
      <c r="G218" s="119"/>
      <c r="H218" s="114" t="str">
        <f>Settings!$B$3&amp;".mit.bf.frt.nit.2"</f>
        <v>egy.mit.bf.frt.nit.2</v>
      </c>
      <c r="K218" s="126"/>
      <c r="L218" s="129">
        <f>Mitigation_Industry!$E$757</f>
        <v>1.04982212449868E-2</v>
      </c>
      <c r="M218" s="129">
        <f>Mitigation_Industry!$E$757</f>
        <v>1.04982212449868E-2</v>
      </c>
      <c r="N218" s="129">
        <f>Mitigation_Industry!$E$757</f>
        <v>1.04982212449868E-2</v>
      </c>
      <c r="O218" s="129">
        <f>Mitigation_Industry!$E$757</f>
        <v>1.04982212449868E-2</v>
      </c>
      <c r="P218" s="129">
        <f>Mitigation_Industry!$E$757</f>
        <v>1.04982212449868E-2</v>
      </c>
      <c r="Q218" s="129">
        <f>Mitigation_Industry!$E$757</f>
        <v>1.04982212449868E-2</v>
      </c>
      <c r="R218" s="129">
        <f>Mitigation_Industry!$E$757</f>
        <v>1.04982212449868E-2</v>
      </c>
      <c r="S218" s="129">
        <f>Mitigation_Industry!$E$757</f>
        <v>1.04982212449868E-2</v>
      </c>
      <c r="T218" s="129">
        <f>Mitigation_Industry!$E$757</f>
        <v>1.04982212449868E-2</v>
      </c>
      <c r="U218" s="129">
        <f>Mitigation_Industry!$E$757</f>
        <v>1.04982212449868E-2</v>
      </c>
      <c r="V218" s="129">
        <f>Mitigation_Industry!$E$757</f>
        <v>1.04982212449868E-2</v>
      </c>
      <c r="W218" s="129">
        <f>Mitigation_Industry!$E$757</f>
        <v>1.04982212449868E-2</v>
      </c>
      <c r="X218" s="129">
        <f>Mitigation_Industry!$E$757</f>
        <v>1.04982212449868E-2</v>
      </c>
      <c r="Y218" s="129">
        <f>Mitigation_Industry!$E$757</f>
        <v>1.04982212449868E-2</v>
      </c>
      <c r="Z218" s="129">
        <f>Mitigation_Industry!$E$757</f>
        <v>1.04982212449868E-2</v>
      </c>
      <c r="AA218" s="129">
        <f>Mitigation_Industry!$E$757</f>
        <v>1.04982212449868E-2</v>
      </c>
      <c r="AB218" s="129">
        <f>Mitigation_Industry!$E$757</f>
        <v>1.04982212449868E-2</v>
      </c>
      <c r="AC218" s="129">
        <f>Mitigation_Industry!$E$757</f>
        <v>1.04982212449868E-2</v>
      </c>
      <c r="AD218" s="129">
        <f>Mitigation_Industry!$E$757</f>
        <v>1.04982212449868E-2</v>
      </c>
      <c r="AE218" s="129">
        <f>Mitigation_Industry!$E$757</f>
        <v>1.04982212449868E-2</v>
      </c>
      <c r="AF218" s="128"/>
      <c r="AG218" s="128"/>
      <c r="AH218" s="128"/>
      <c r="AI218" s="128"/>
    </row>
    <row r="219" spans="1:35" customFormat="1" ht="14.25" x14ac:dyDescent="0.45">
      <c r="B219" s="14" t="s">
        <v>1473</v>
      </c>
      <c r="C219" s="14" t="s">
        <v>115</v>
      </c>
      <c r="D219" s="15" t="s">
        <v>2500</v>
      </c>
      <c r="E219" s="16" t="s">
        <v>2492</v>
      </c>
      <c r="F219" s="14" t="s">
        <v>2490</v>
      </c>
      <c r="G219" s="119"/>
      <c r="H219" s="114" t="str">
        <f>Settings!$B$3&amp;".mit.bf.alu.prp.2"</f>
        <v>egy.mit.bf.alu.prp.2</v>
      </c>
      <c r="K219" s="126"/>
      <c r="L219" s="129">
        <f>Mitigation_Industry!$E$758</f>
        <v>8.3381608939051E-4</v>
      </c>
      <c r="M219" s="129">
        <f>Mitigation_Industry!$E$758</f>
        <v>8.3381608939051E-4</v>
      </c>
      <c r="N219" s="129">
        <f>Mitigation_Industry!$E$758</f>
        <v>8.3381608939051E-4</v>
      </c>
      <c r="O219" s="129">
        <f>Mitigation_Industry!$E$758</f>
        <v>8.3381608939051E-4</v>
      </c>
      <c r="P219" s="129">
        <f>Mitigation_Industry!$E$758</f>
        <v>8.3381608939051E-4</v>
      </c>
      <c r="Q219" s="129">
        <f>Mitigation_Industry!$E$758</f>
        <v>8.3381608939051E-4</v>
      </c>
      <c r="R219" s="129">
        <f>Mitigation_Industry!$E$758</f>
        <v>8.3381608939051E-4</v>
      </c>
      <c r="S219" s="129">
        <f>Mitigation_Industry!$E$758</f>
        <v>8.3381608939051E-4</v>
      </c>
      <c r="T219" s="129">
        <f>Mitigation_Industry!$E$758</f>
        <v>8.3381608939051E-4</v>
      </c>
      <c r="U219" s="129">
        <f>Mitigation_Industry!$E$758</f>
        <v>8.3381608939051E-4</v>
      </c>
      <c r="V219" s="129">
        <f>Mitigation_Industry!$E$758</f>
        <v>8.3381608939051E-4</v>
      </c>
      <c r="W219" s="129">
        <f>Mitigation_Industry!$E$758</f>
        <v>8.3381608939051E-4</v>
      </c>
      <c r="X219" s="129">
        <f>Mitigation_Industry!$E$758</f>
        <v>8.3381608939051E-4</v>
      </c>
      <c r="Y219" s="129">
        <f>Mitigation_Industry!$E$758</f>
        <v>8.3381608939051E-4</v>
      </c>
      <c r="Z219" s="129">
        <f>Mitigation_Industry!$E$758</f>
        <v>8.3381608939051E-4</v>
      </c>
      <c r="AA219" s="129">
        <f>Mitigation_Industry!$E$758</f>
        <v>8.3381608939051E-4</v>
      </c>
      <c r="AB219" s="129">
        <f>Mitigation_Industry!$E$758</f>
        <v>8.3381608939051E-4</v>
      </c>
      <c r="AC219" s="129">
        <f>Mitigation_Industry!$E$758</f>
        <v>8.3381608939051E-4</v>
      </c>
      <c r="AD219" s="129">
        <f>Mitigation_Industry!$E$758</f>
        <v>8.3381608939051E-4</v>
      </c>
      <c r="AE219" s="129">
        <f>Mitigation_Industry!$E$758</f>
        <v>8.3381608939051E-4</v>
      </c>
      <c r="AF219" s="128"/>
      <c r="AG219" s="128"/>
      <c r="AH219" s="128"/>
      <c r="AI219" s="128"/>
    </row>
    <row r="220" spans="1:35" x14ac:dyDescent="0.35"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  <c r="AD220" s="122"/>
      <c r="AE220" s="122"/>
      <c r="AF220" s="122"/>
      <c r="AG220" s="122"/>
      <c r="AH220" s="122"/>
      <c r="AI220" s="122"/>
    </row>
    <row r="221" spans="1:35" customFormat="1" ht="14.25" x14ac:dyDescent="0.45">
      <c r="A221" s="11"/>
      <c r="B221" s="6"/>
      <c r="C221" s="7" t="s">
        <v>2501</v>
      </c>
      <c r="D221" s="6" t="s">
        <v>1505</v>
      </c>
      <c r="E221" s="7" t="s">
        <v>35</v>
      </c>
      <c r="F221" s="7" t="s">
        <v>45</v>
      </c>
      <c r="G221" s="7" t="s">
        <v>37</v>
      </c>
      <c r="H221" s="12" t="s">
        <v>38</v>
      </c>
      <c r="I221" s="6" t="s">
        <v>39</v>
      </c>
      <c r="J221" s="48">
        <v>2</v>
      </c>
      <c r="K221" s="124">
        <v>2021</v>
      </c>
      <c r="L221" s="125">
        <v>2022</v>
      </c>
      <c r="M221" s="124">
        <v>2023</v>
      </c>
      <c r="N221" s="124">
        <v>2024</v>
      </c>
      <c r="O221" s="124">
        <v>2025</v>
      </c>
      <c r="P221" s="124">
        <v>2026</v>
      </c>
      <c r="Q221" s="124">
        <v>2027</v>
      </c>
      <c r="R221" s="124">
        <v>2028</v>
      </c>
      <c r="S221" s="124">
        <v>2029</v>
      </c>
      <c r="T221" s="124">
        <v>2030</v>
      </c>
      <c r="U221" s="124">
        <v>2031</v>
      </c>
      <c r="V221" s="124">
        <v>2032</v>
      </c>
      <c r="W221" s="124">
        <v>2033</v>
      </c>
      <c r="X221" s="124">
        <v>2034</v>
      </c>
      <c r="Y221" s="124">
        <v>2035</v>
      </c>
      <c r="Z221" s="124">
        <v>2036</v>
      </c>
      <c r="AA221" s="124">
        <v>2037</v>
      </c>
      <c r="AB221" s="124">
        <v>2038</v>
      </c>
      <c r="AC221" s="124">
        <v>2039</v>
      </c>
      <c r="AD221" s="124">
        <v>2040</v>
      </c>
      <c r="AE221" s="124">
        <v>2041</v>
      </c>
      <c r="AF221" s="124">
        <v>2042</v>
      </c>
      <c r="AG221" s="124">
        <v>2043</v>
      </c>
      <c r="AH221" s="124">
        <v>2044</v>
      </c>
      <c r="AI221" s="124">
        <v>2045</v>
      </c>
    </row>
    <row r="222" spans="1:35" customFormat="1" ht="14.25" x14ac:dyDescent="0.45">
      <c r="B222" s="14" t="s">
        <v>1452</v>
      </c>
      <c r="C222" s="14" t="s">
        <v>43</v>
      </c>
      <c r="D222" s="15" t="s">
        <v>2502</v>
      </c>
      <c r="E222" s="16" t="s">
        <v>2492</v>
      </c>
      <c r="F222" s="14" t="s">
        <v>2501</v>
      </c>
      <c r="G222" s="119"/>
      <c r="H222" s="114" t="str">
        <f>Settings!$B$3&amp;".mit.bp.stl.drg.2"</f>
        <v>egy.mit.bp.stl.drg.2</v>
      </c>
      <c r="I222" t="s">
        <v>2493</v>
      </c>
      <c r="K222" s="126"/>
      <c r="L222" s="129">
        <f>Mitigation_Industry!$E$762</f>
        <v>1.0536051565782599E-3</v>
      </c>
      <c r="M222" s="129">
        <f>Mitigation_Industry!$E$762</f>
        <v>1.0536051565782599E-3</v>
      </c>
      <c r="N222" s="129">
        <f>Mitigation_Industry!$E$762</f>
        <v>1.0536051565782599E-3</v>
      </c>
      <c r="O222" s="129">
        <f>Mitigation_Industry!$E$762</f>
        <v>1.0536051565782599E-3</v>
      </c>
      <c r="P222" s="129">
        <f>Mitigation_Industry!$E$762</f>
        <v>1.0536051565782599E-3</v>
      </c>
      <c r="Q222" s="129">
        <f>Mitigation_Industry!$E$762</f>
        <v>1.0536051565782599E-3</v>
      </c>
      <c r="R222" s="129">
        <f>Mitigation_Industry!$E$762</f>
        <v>1.0536051565782599E-3</v>
      </c>
      <c r="S222" s="129">
        <f>Mitigation_Industry!$E$762</f>
        <v>1.0536051565782599E-3</v>
      </c>
      <c r="T222" s="129">
        <f>Mitigation_Industry!$E$762</f>
        <v>1.0536051565782599E-3</v>
      </c>
      <c r="U222" s="129">
        <f>Mitigation_Industry!$E$762</f>
        <v>1.0536051565782599E-3</v>
      </c>
      <c r="V222" s="129">
        <f>Mitigation_Industry!$E$762</f>
        <v>1.0536051565782599E-3</v>
      </c>
      <c r="W222" s="129">
        <f>Mitigation_Industry!$E$762</f>
        <v>1.0536051565782599E-3</v>
      </c>
      <c r="X222" s="129">
        <f>Mitigation_Industry!$E$762</f>
        <v>1.0536051565782599E-3</v>
      </c>
      <c r="Y222" s="129">
        <f>Mitigation_Industry!$E$762</f>
        <v>1.0536051565782599E-3</v>
      </c>
      <c r="Z222" s="129">
        <f>Mitigation_Industry!$E$762</f>
        <v>1.0536051565782599E-3</v>
      </c>
      <c r="AA222" s="129">
        <f>Mitigation_Industry!$E$762</f>
        <v>1.0536051565782599E-3</v>
      </c>
      <c r="AB222" s="129">
        <f>Mitigation_Industry!$E$762</f>
        <v>1.0536051565782599E-3</v>
      </c>
      <c r="AC222" s="129">
        <f>Mitigation_Industry!$E$762</f>
        <v>1.0536051565782599E-3</v>
      </c>
      <c r="AD222" s="129">
        <f>Mitigation_Industry!$E$762</f>
        <v>1.0536051565782599E-3</v>
      </c>
      <c r="AE222" s="129">
        <f>Mitigation_Industry!$E$762</f>
        <v>1.0536051565782599E-3</v>
      </c>
      <c r="AF222" s="128"/>
      <c r="AG222" s="128"/>
      <c r="AH222" s="128"/>
      <c r="AI222" s="128"/>
    </row>
    <row r="223" spans="1:35" customFormat="1" ht="14.25" x14ac:dyDescent="0.45">
      <c r="B223" s="14" t="s">
        <v>1455</v>
      </c>
      <c r="C223" s="14" t="s">
        <v>43</v>
      </c>
      <c r="D223" s="15" t="s">
        <v>2503</v>
      </c>
      <c r="E223" s="16" t="s">
        <v>2492</v>
      </c>
      <c r="F223" s="14" t="s">
        <v>2501</v>
      </c>
      <c r="G223" s="119"/>
      <c r="H223" s="114" t="str">
        <f>Settings!$B$3&amp;".mit.bp.stl.scr.2"</f>
        <v>egy.mit.bp.stl.scr.2</v>
      </c>
      <c r="K223" s="126"/>
      <c r="L223" s="129">
        <f>Mitigation_Industry!$E$763</f>
        <v>2.0202707317519501E-4</v>
      </c>
      <c r="M223" s="129">
        <f>Mitigation_Industry!$E$763</f>
        <v>2.0202707317519501E-4</v>
      </c>
      <c r="N223" s="129">
        <f>Mitigation_Industry!$E$763</f>
        <v>2.0202707317519501E-4</v>
      </c>
      <c r="O223" s="129">
        <f>Mitigation_Industry!$E$763</f>
        <v>2.0202707317519501E-4</v>
      </c>
      <c r="P223" s="129">
        <f>Mitigation_Industry!$E$763</f>
        <v>2.0202707317519501E-4</v>
      </c>
      <c r="Q223" s="129">
        <f>Mitigation_Industry!$E$763</f>
        <v>2.0202707317519501E-4</v>
      </c>
      <c r="R223" s="129">
        <f>Mitigation_Industry!$E$763</f>
        <v>2.0202707317519501E-4</v>
      </c>
      <c r="S223" s="129">
        <f>Mitigation_Industry!$E$763</f>
        <v>2.0202707317519501E-4</v>
      </c>
      <c r="T223" s="129">
        <f>Mitigation_Industry!$E$763</f>
        <v>2.0202707317519501E-4</v>
      </c>
      <c r="U223" s="129">
        <f>Mitigation_Industry!$E$763</f>
        <v>2.0202707317519501E-4</v>
      </c>
      <c r="V223" s="129">
        <f>Mitigation_Industry!$E$763</f>
        <v>2.0202707317519501E-4</v>
      </c>
      <c r="W223" s="129">
        <f>Mitigation_Industry!$E$763</f>
        <v>2.0202707317519501E-4</v>
      </c>
      <c r="X223" s="129">
        <f>Mitigation_Industry!$E$763</f>
        <v>2.0202707317519501E-4</v>
      </c>
      <c r="Y223" s="129">
        <f>Mitigation_Industry!$E$763</f>
        <v>2.0202707317519501E-4</v>
      </c>
      <c r="Z223" s="129">
        <f>Mitigation_Industry!$E$763</f>
        <v>2.0202707317519501E-4</v>
      </c>
      <c r="AA223" s="129">
        <f>Mitigation_Industry!$E$763</f>
        <v>2.0202707317519501E-4</v>
      </c>
      <c r="AB223" s="129">
        <f>Mitigation_Industry!$E$763</f>
        <v>2.0202707317519501E-4</v>
      </c>
      <c r="AC223" s="129">
        <f>Mitigation_Industry!$E$763</f>
        <v>2.0202707317519501E-4</v>
      </c>
      <c r="AD223" s="129">
        <f>Mitigation_Industry!$E$763</f>
        <v>2.0202707317519501E-4</v>
      </c>
      <c r="AE223" s="129">
        <f>Mitigation_Industry!$E$763</f>
        <v>2.0202707317519501E-4</v>
      </c>
      <c r="AF223" s="128"/>
      <c r="AG223" s="128"/>
      <c r="AH223" s="128"/>
      <c r="AI223" s="128"/>
    </row>
    <row r="224" spans="1:35" customFormat="1" ht="14.25" x14ac:dyDescent="0.45">
      <c r="B224" s="14" t="s">
        <v>1458</v>
      </c>
      <c r="C224" s="14" t="s">
        <v>43</v>
      </c>
      <c r="D224" s="15" t="s">
        <v>2504</v>
      </c>
      <c r="E224" s="16" t="s">
        <v>2492</v>
      </c>
      <c r="F224" s="14" t="s">
        <v>2501</v>
      </c>
      <c r="G224" s="119"/>
      <c r="H224" s="114" t="str">
        <f>Settings!$B$3&amp;".mit.bp.stl.bof.2"</f>
        <v>egy.mit.bp.stl.bof.2</v>
      </c>
      <c r="K224" s="126"/>
      <c r="L224" s="129">
        <f>Mitigation_Industry!$E$764</f>
        <v>5.1293294387550598E-4</v>
      </c>
      <c r="M224" s="129">
        <f>Mitigation_Industry!$E$764</f>
        <v>5.1293294387550598E-4</v>
      </c>
      <c r="N224" s="129">
        <f>Mitigation_Industry!$E$764</f>
        <v>5.1293294387550598E-4</v>
      </c>
      <c r="O224" s="129">
        <f>Mitigation_Industry!$E$764</f>
        <v>5.1293294387550598E-4</v>
      </c>
      <c r="P224" s="129">
        <f>Mitigation_Industry!$E$764</f>
        <v>5.1293294387550598E-4</v>
      </c>
      <c r="Q224" s="129">
        <f>Mitigation_Industry!$E$764</f>
        <v>5.1293294387550598E-4</v>
      </c>
      <c r="R224" s="129">
        <f>Mitigation_Industry!$E$764</f>
        <v>5.1293294387550598E-4</v>
      </c>
      <c r="S224" s="129">
        <f>Mitigation_Industry!$E$764</f>
        <v>5.1293294387550598E-4</v>
      </c>
      <c r="T224" s="129">
        <f>Mitigation_Industry!$E$764</f>
        <v>5.1293294387550598E-4</v>
      </c>
      <c r="U224" s="129">
        <f>Mitigation_Industry!$E$764</f>
        <v>5.1293294387550598E-4</v>
      </c>
      <c r="V224" s="129">
        <f>Mitigation_Industry!$E$764</f>
        <v>5.1293294387550598E-4</v>
      </c>
      <c r="W224" s="129">
        <f>Mitigation_Industry!$E$764</f>
        <v>5.1293294387550598E-4</v>
      </c>
      <c r="X224" s="129">
        <f>Mitigation_Industry!$E$764</f>
        <v>5.1293294387550598E-4</v>
      </c>
      <c r="Y224" s="129">
        <f>Mitigation_Industry!$E$764</f>
        <v>5.1293294387550598E-4</v>
      </c>
      <c r="Z224" s="129">
        <f>Mitigation_Industry!$E$764</f>
        <v>5.1293294387550598E-4</v>
      </c>
      <c r="AA224" s="129">
        <f>Mitigation_Industry!$E$764</f>
        <v>5.1293294387550598E-4</v>
      </c>
      <c r="AB224" s="129">
        <f>Mitigation_Industry!$E$764</f>
        <v>5.1293294387550598E-4</v>
      </c>
      <c r="AC224" s="129">
        <f>Mitigation_Industry!$E$764</f>
        <v>5.1293294387550598E-4</v>
      </c>
      <c r="AD224" s="129">
        <f>Mitigation_Industry!$E$764</f>
        <v>5.1293294387550598E-4</v>
      </c>
      <c r="AE224" s="129">
        <f>Mitigation_Industry!$E$764</f>
        <v>5.1293294387550598E-4</v>
      </c>
      <c r="AF224" s="128"/>
      <c r="AG224" s="128"/>
      <c r="AH224" s="128"/>
      <c r="AI224" s="128"/>
    </row>
    <row r="225" spans="1:35" customFormat="1" ht="14.25" x14ac:dyDescent="0.45">
      <c r="B225" s="14" t="s">
        <v>1461</v>
      </c>
      <c r="C225" s="14" t="s">
        <v>113</v>
      </c>
      <c r="D225" s="15" t="s">
        <v>2505</v>
      </c>
      <c r="E225" s="16" t="s">
        <v>2492</v>
      </c>
      <c r="F225" s="14" t="s">
        <v>2501</v>
      </c>
      <c r="G225" s="119"/>
      <c r="H225" s="114" t="str">
        <f>Settings!$B$3&amp;".mit.bp.cmt.dry.2"</f>
        <v>egy.mit.bp.cmt.dry.2</v>
      </c>
      <c r="K225" s="126"/>
      <c r="L225" s="129">
        <f>Mitigation_Industry!$E$765</f>
        <v>8.3381608939051E-4</v>
      </c>
      <c r="M225" s="129">
        <f>Mitigation_Industry!$E$765</f>
        <v>8.3381608939051E-4</v>
      </c>
      <c r="N225" s="129">
        <f>Mitigation_Industry!$E$765</f>
        <v>8.3381608939051E-4</v>
      </c>
      <c r="O225" s="129">
        <f>Mitigation_Industry!$E$765</f>
        <v>8.3381608939051E-4</v>
      </c>
      <c r="P225" s="129">
        <f>Mitigation_Industry!$E$765</f>
        <v>8.3381608939051E-4</v>
      </c>
      <c r="Q225" s="129">
        <f>Mitigation_Industry!$E$765</f>
        <v>8.3381608939051E-4</v>
      </c>
      <c r="R225" s="129">
        <f>Mitigation_Industry!$E$765</f>
        <v>8.3381608939051E-4</v>
      </c>
      <c r="S225" s="129">
        <f>Mitigation_Industry!$E$765</f>
        <v>8.3381608939051E-4</v>
      </c>
      <c r="T225" s="129">
        <f>Mitigation_Industry!$E$765</f>
        <v>8.3381608939051E-4</v>
      </c>
      <c r="U225" s="129">
        <f>Mitigation_Industry!$E$765</f>
        <v>8.3381608939051E-4</v>
      </c>
      <c r="V225" s="129">
        <f>Mitigation_Industry!$E$765</f>
        <v>8.3381608939051E-4</v>
      </c>
      <c r="W225" s="129">
        <f>Mitigation_Industry!$E$765</f>
        <v>8.3381608939051E-4</v>
      </c>
      <c r="X225" s="129">
        <f>Mitigation_Industry!$E$765</f>
        <v>8.3381608939051E-4</v>
      </c>
      <c r="Y225" s="129">
        <f>Mitigation_Industry!$E$765</f>
        <v>8.3381608939051E-4</v>
      </c>
      <c r="Z225" s="129">
        <f>Mitigation_Industry!$E$765</f>
        <v>8.3381608939051E-4</v>
      </c>
      <c r="AA225" s="129">
        <f>Mitigation_Industry!$E$765</f>
        <v>8.3381608939051E-4</v>
      </c>
      <c r="AB225" s="129">
        <f>Mitigation_Industry!$E$765</f>
        <v>8.3381608939051E-4</v>
      </c>
      <c r="AC225" s="129">
        <f>Mitigation_Industry!$E$765</f>
        <v>8.3381608939051E-4</v>
      </c>
      <c r="AD225" s="129">
        <f>Mitigation_Industry!$E$765</f>
        <v>8.3381608939051E-4</v>
      </c>
      <c r="AE225" s="129">
        <f>Mitigation_Industry!$E$765</f>
        <v>8.3381608939051E-4</v>
      </c>
      <c r="AF225" s="128"/>
      <c r="AG225" s="128"/>
      <c r="AH225" s="128"/>
      <c r="AI225" s="128"/>
    </row>
    <row r="226" spans="1:35" customFormat="1" ht="14.25" x14ac:dyDescent="0.45">
      <c r="B226" s="14" t="s">
        <v>1464</v>
      </c>
      <c r="C226" s="14" t="s">
        <v>117</v>
      </c>
      <c r="D226" s="15" t="s">
        <v>2506</v>
      </c>
      <c r="E226" s="16" t="s">
        <v>2492</v>
      </c>
      <c r="F226" s="14" t="s">
        <v>2501</v>
      </c>
      <c r="G226" s="119"/>
      <c r="H226" s="114" t="str">
        <f>Settings!$B$3&amp;".mit.bp.frt.amc.2"</f>
        <v>egy.mit.bp.frt.amc.2</v>
      </c>
      <c r="K226" s="126"/>
      <c r="L226" s="129">
        <f>Mitigation_Industry!$E$766</f>
        <v>1.98450938723838E-3</v>
      </c>
      <c r="M226" s="129">
        <f>Mitigation_Industry!$E$766</f>
        <v>1.98450938723838E-3</v>
      </c>
      <c r="N226" s="129">
        <f>Mitigation_Industry!$E$766</f>
        <v>1.98450938723838E-3</v>
      </c>
      <c r="O226" s="129">
        <f>Mitigation_Industry!$E$766</f>
        <v>1.98450938723838E-3</v>
      </c>
      <c r="P226" s="129">
        <f>Mitigation_Industry!$E$766</f>
        <v>1.98450938723838E-3</v>
      </c>
      <c r="Q226" s="129">
        <f>Mitigation_Industry!$E$766</f>
        <v>1.98450938723838E-3</v>
      </c>
      <c r="R226" s="129">
        <f>Mitigation_Industry!$E$766</f>
        <v>1.98450938723838E-3</v>
      </c>
      <c r="S226" s="129">
        <f>Mitigation_Industry!$E$766</f>
        <v>1.98450938723838E-3</v>
      </c>
      <c r="T226" s="129">
        <f>Mitigation_Industry!$E$766</f>
        <v>1.98450938723838E-3</v>
      </c>
      <c r="U226" s="129">
        <f>Mitigation_Industry!$E$766</f>
        <v>1.98450938723838E-3</v>
      </c>
      <c r="V226" s="129">
        <f>Mitigation_Industry!$E$766</f>
        <v>1.98450938723838E-3</v>
      </c>
      <c r="W226" s="129">
        <f>Mitigation_Industry!$E$766</f>
        <v>1.98450938723838E-3</v>
      </c>
      <c r="X226" s="129">
        <f>Mitigation_Industry!$E$766</f>
        <v>1.98450938723838E-3</v>
      </c>
      <c r="Y226" s="129">
        <f>Mitigation_Industry!$E$766</f>
        <v>1.98450938723838E-3</v>
      </c>
      <c r="Z226" s="129">
        <f>Mitigation_Industry!$E$766</f>
        <v>1.98450938723838E-3</v>
      </c>
      <c r="AA226" s="129">
        <f>Mitigation_Industry!$E$766</f>
        <v>1.98450938723838E-3</v>
      </c>
      <c r="AB226" s="129">
        <f>Mitigation_Industry!$E$766</f>
        <v>1.98450938723838E-3</v>
      </c>
      <c r="AC226" s="129">
        <f>Mitigation_Industry!$E$766</f>
        <v>1.98450938723838E-3</v>
      </c>
      <c r="AD226" s="129">
        <f>Mitigation_Industry!$E$766</f>
        <v>1.98450938723838E-3</v>
      </c>
      <c r="AE226" s="129">
        <f>Mitigation_Industry!$E$766</f>
        <v>1.98450938723838E-3</v>
      </c>
      <c r="AF226" s="128"/>
      <c r="AG226" s="128"/>
      <c r="AH226" s="128"/>
      <c r="AI226" s="128"/>
    </row>
    <row r="227" spans="1:35" customFormat="1" ht="14.25" x14ac:dyDescent="0.45">
      <c r="B227" s="14" t="s">
        <v>1467</v>
      </c>
      <c r="C227" s="14" t="s">
        <v>117</v>
      </c>
      <c r="D227" s="15" t="s">
        <v>2507</v>
      </c>
      <c r="E227" s="16" t="s">
        <v>2492</v>
      </c>
      <c r="F227" s="14" t="s">
        <v>2501</v>
      </c>
      <c r="G227" s="119"/>
      <c r="H227" s="114" t="str">
        <f>Settings!$B$3&amp;".mit.bp.frt.ure.2"</f>
        <v>egy.mit.bp.frt.ure.2</v>
      </c>
      <c r="K227" s="126"/>
      <c r="L227" s="129">
        <f>Mitigation_Industry!$E$767</f>
        <v>0</v>
      </c>
      <c r="M227" s="129">
        <f>Mitigation_Industry!$E$767</f>
        <v>0</v>
      </c>
      <c r="N227" s="129">
        <f>Mitigation_Industry!$E$767</f>
        <v>0</v>
      </c>
      <c r="O227" s="129">
        <f>Mitigation_Industry!$E$767</f>
        <v>0</v>
      </c>
      <c r="P227" s="129">
        <f>Mitigation_Industry!$E$767</f>
        <v>0</v>
      </c>
      <c r="Q227" s="129">
        <f>Mitigation_Industry!$E$767</f>
        <v>0</v>
      </c>
      <c r="R227" s="129">
        <f>Mitigation_Industry!$E$767</f>
        <v>0</v>
      </c>
      <c r="S227" s="129">
        <f>Mitigation_Industry!$E$767</f>
        <v>0</v>
      </c>
      <c r="T227" s="129">
        <f>Mitigation_Industry!$E$767</f>
        <v>0</v>
      </c>
      <c r="U227" s="129">
        <f>Mitigation_Industry!$E$767</f>
        <v>0</v>
      </c>
      <c r="V227" s="129">
        <f>Mitigation_Industry!$E$767</f>
        <v>0</v>
      </c>
      <c r="W227" s="129">
        <f>Mitigation_Industry!$E$767</f>
        <v>0</v>
      </c>
      <c r="X227" s="129">
        <f>Mitigation_Industry!$E$767</f>
        <v>0</v>
      </c>
      <c r="Y227" s="129">
        <f>Mitigation_Industry!$E$767</f>
        <v>0</v>
      </c>
      <c r="Z227" s="129">
        <f>Mitigation_Industry!$E$767</f>
        <v>0</v>
      </c>
      <c r="AA227" s="129">
        <f>Mitigation_Industry!$E$767</f>
        <v>0</v>
      </c>
      <c r="AB227" s="129">
        <f>Mitigation_Industry!$E$767</f>
        <v>0</v>
      </c>
      <c r="AC227" s="129">
        <f>Mitigation_Industry!$E$767</f>
        <v>0</v>
      </c>
      <c r="AD227" s="129">
        <f>Mitigation_Industry!$E$767</f>
        <v>0</v>
      </c>
      <c r="AE227" s="129">
        <f>Mitigation_Industry!$E$767</f>
        <v>0</v>
      </c>
      <c r="AF227" s="128"/>
      <c r="AG227" s="128"/>
      <c r="AH227" s="128"/>
      <c r="AI227" s="128"/>
    </row>
    <row r="228" spans="1:35" customFormat="1" ht="14.25" x14ac:dyDescent="0.45">
      <c r="B228" s="14" t="s">
        <v>1470</v>
      </c>
      <c r="C228" s="14" t="s">
        <v>117</v>
      </c>
      <c r="D228" s="15" t="s">
        <v>2508</v>
      </c>
      <c r="E228" s="16" t="s">
        <v>2492</v>
      </c>
      <c r="F228" s="14" t="s">
        <v>2501</v>
      </c>
      <c r="G228" s="119"/>
      <c r="H228" s="114" t="str">
        <f>Settings!$B$3&amp;".mit.bp.frt.nit.2"</f>
        <v>egy.mit.bp.frt.nit.2</v>
      </c>
      <c r="K228" s="126"/>
      <c r="L228" s="129">
        <f>Mitigation_Industry!$E$768</f>
        <v>1.04982212449868E-2</v>
      </c>
      <c r="M228" s="129">
        <f>Mitigation_Industry!$E$768</f>
        <v>1.04982212449868E-2</v>
      </c>
      <c r="N228" s="129">
        <f>Mitigation_Industry!$E$768</f>
        <v>1.04982212449868E-2</v>
      </c>
      <c r="O228" s="129">
        <f>Mitigation_Industry!$E$768</f>
        <v>1.04982212449868E-2</v>
      </c>
      <c r="P228" s="129">
        <f>Mitigation_Industry!$E$768</f>
        <v>1.04982212449868E-2</v>
      </c>
      <c r="Q228" s="129">
        <f>Mitigation_Industry!$E$768</f>
        <v>1.04982212449868E-2</v>
      </c>
      <c r="R228" s="129">
        <f>Mitigation_Industry!$E$768</f>
        <v>1.04982212449868E-2</v>
      </c>
      <c r="S228" s="129">
        <f>Mitigation_Industry!$E$768</f>
        <v>1.04982212449868E-2</v>
      </c>
      <c r="T228" s="129">
        <f>Mitigation_Industry!$E$768</f>
        <v>1.04982212449868E-2</v>
      </c>
      <c r="U228" s="129">
        <f>Mitigation_Industry!$E$768</f>
        <v>1.04982212449868E-2</v>
      </c>
      <c r="V228" s="129">
        <f>Mitigation_Industry!$E$768</f>
        <v>1.04982212449868E-2</v>
      </c>
      <c r="W228" s="129">
        <f>Mitigation_Industry!$E$768</f>
        <v>1.04982212449868E-2</v>
      </c>
      <c r="X228" s="129">
        <f>Mitigation_Industry!$E$768</f>
        <v>1.04982212449868E-2</v>
      </c>
      <c r="Y228" s="129">
        <f>Mitigation_Industry!$E$768</f>
        <v>1.04982212449868E-2</v>
      </c>
      <c r="Z228" s="129">
        <f>Mitigation_Industry!$E$768</f>
        <v>1.04982212449868E-2</v>
      </c>
      <c r="AA228" s="129">
        <f>Mitigation_Industry!$E$768</f>
        <v>1.04982212449868E-2</v>
      </c>
      <c r="AB228" s="129">
        <f>Mitigation_Industry!$E$768</f>
        <v>1.04982212449868E-2</v>
      </c>
      <c r="AC228" s="129">
        <f>Mitigation_Industry!$E$768</f>
        <v>1.04982212449868E-2</v>
      </c>
      <c r="AD228" s="129">
        <f>Mitigation_Industry!$E$768</f>
        <v>1.04982212449868E-2</v>
      </c>
      <c r="AE228" s="129">
        <f>Mitigation_Industry!$E$768</f>
        <v>1.04982212449868E-2</v>
      </c>
      <c r="AF228" s="128"/>
      <c r="AG228" s="128"/>
      <c r="AH228" s="128"/>
      <c r="AI228" s="128"/>
    </row>
    <row r="229" spans="1:35" customFormat="1" ht="14.25" x14ac:dyDescent="0.45">
      <c r="B229" s="14" t="s">
        <v>1473</v>
      </c>
      <c r="C229" s="14" t="s">
        <v>115</v>
      </c>
      <c r="D229" s="15" t="s">
        <v>2509</v>
      </c>
      <c r="E229" s="16" t="s">
        <v>2492</v>
      </c>
      <c r="F229" s="14" t="s">
        <v>2501</v>
      </c>
      <c r="G229" s="119"/>
      <c r="H229" s="114" t="str">
        <f>Settings!$B$3&amp;".mit.bp.alu.prp.2"</f>
        <v>egy.mit.bp.alu.prp.2</v>
      </c>
      <c r="K229" s="126"/>
      <c r="L229" s="129">
        <f>Mitigation_Industry!$E$769</f>
        <v>8.3381608939051E-4</v>
      </c>
      <c r="M229" s="129">
        <f>Mitigation_Industry!$E$769</f>
        <v>8.3381608939051E-4</v>
      </c>
      <c r="N229" s="129">
        <f>Mitigation_Industry!$E$769</f>
        <v>8.3381608939051E-4</v>
      </c>
      <c r="O229" s="129">
        <f>Mitigation_Industry!$E$769</f>
        <v>8.3381608939051E-4</v>
      </c>
      <c r="P229" s="129">
        <f>Mitigation_Industry!$E$769</f>
        <v>8.3381608939051E-4</v>
      </c>
      <c r="Q229" s="129">
        <f>Mitigation_Industry!$E$769</f>
        <v>8.3381608939051E-4</v>
      </c>
      <c r="R229" s="129">
        <f>Mitigation_Industry!$E$769</f>
        <v>8.3381608939051E-4</v>
      </c>
      <c r="S229" s="129">
        <f>Mitigation_Industry!$E$769</f>
        <v>8.3381608939051E-4</v>
      </c>
      <c r="T229" s="129">
        <f>Mitigation_Industry!$E$769</f>
        <v>8.3381608939051E-4</v>
      </c>
      <c r="U229" s="129">
        <f>Mitigation_Industry!$E$769</f>
        <v>8.3381608939051E-4</v>
      </c>
      <c r="V229" s="129">
        <f>Mitigation_Industry!$E$769</f>
        <v>8.3381608939051E-4</v>
      </c>
      <c r="W229" s="129">
        <f>Mitigation_Industry!$E$769</f>
        <v>8.3381608939051E-4</v>
      </c>
      <c r="X229" s="129">
        <f>Mitigation_Industry!$E$769</f>
        <v>8.3381608939051E-4</v>
      </c>
      <c r="Y229" s="129">
        <f>Mitigation_Industry!$E$769</f>
        <v>8.3381608939051E-4</v>
      </c>
      <c r="Z229" s="129">
        <f>Mitigation_Industry!$E$769</f>
        <v>8.3381608939051E-4</v>
      </c>
      <c r="AA229" s="129">
        <f>Mitigation_Industry!$E$769</f>
        <v>8.3381608939051E-4</v>
      </c>
      <c r="AB229" s="129">
        <f>Mitigation_Industry!$E$769</f>
        <v>8.3381608939051E-4</v>
      </c>
      <c r="AC229" s="129">
        <f>Mitigation_Industry!$E$769</f>
        <v>8.3381608939051E-4</v>
      </c>
      <c r="AD229" s="129">
        <f>Mitigation_Industry!$E$769</f>
        <v>8.3381608939051E-4</v>
      </c>
      <c r="AE229" s="129">
        <f>Mitigation_Industry!$E$769</f>
        <v>8.3381608939051E-4</v>
      </c>
      <c r="AF229" s="128"/>
      <c r="AG229" s="128"/>
      <c r="AH229" s="128"/>
      <c r="AI229" s="128"/>
    </row>
    <row r="230" spans="1:35" x14ac:dyDescent="0.35"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  <c r="AD230" s="122"/>
      <c r="AE230" s="122"/>
      <c r="AF230" s="122"/>
      <c r="AG230" s="122"/>
      <c r="AH230" s="122"/>
      <c r="AI230" s="122"/>
    </row>
    <row r="231" spans="1:35" customFormat="1" ht="14.25" x14ac:dyDescent="0.45">
      <c r="A231" s="11"/>
      <c r="B231" s="6"/>
      <c r="C231" s="7" t="s">
        <v>2510</v>
      </c>
      <c r="D231" s="6" t="s">
        <v>1505</v>
      </c>
      <c r="E231" s="7" t="s">
        <v>35</v>
      </c>
      <c r="F231" s="7" t="s">
        <v>45</v>
      </c>
      <c r="G231" s="7" t="s">
        <v>37</v>
      </c>
      <c r="H231" s="12" t="s">
        <v>38</v>
      </c>
      <c r="I231" s="6" t="s">
        <v>39</v>
      </c>
      <c r="J231" s="48">
        <v>2</v>
      </c>
      <c r="K231" s="124">
        <v>2021</v>
      </c>
      <c r="L231" s="125">
        <v>2022</v>
      </c>
      <c r="M231" s="124">
        <v>2023</v>
      </c>
      <c r="N231" s="124">
        <v>2024</v>
      </c>
      <c r="O231" s="124">
        <v>2025</v>
      </c>
      <c r="P231" s="124">
        <v>2026</v>
      </c>
      <c r="Q231" s="124">
        <v>2027</v>
      </c>
      <c r="R231" s="124">
        <v>2028</v>
      </c>
      <c r="S231" s="124">
        <v>2029</v>
      </c>
      <c r="T231" s="124">
        <v>2030</v>
      </c>
      <c r="U231" s="124">
        <v>2031</v>
      </c>
      <c r="V231" s="124">
        <v>2032</v>
      </c>
      <c r="W231" s="124">
        <v>2033</v>
      </c>
      <c r="X231" s="124">
        <v>2034</v>
      </c>
      <c r="Y231" s="124">
        <v>2035</v>
      </c>
      <c r="Z231" s="124">
        <v>2036</v>
      </c>
      <c r="AA231" s="124">
        <v>2037</v>
      </c>
      <c r="AB231" s="124">
        <v>2038</v>
      </c>
      <c r="AC231" s="124">
        <v>2039</v>
      </c>
      <c r="AD231" s="124">
        <v>2040</v>
      </c>
      <c r="AE231" s="124">
        <v>2041</v>
      </c>
      <c r="AF231" s="124">
        <v>2042</v>
      </c>
      <c r="AG231" s="124">
        <v>2043</v>
      </c>
      <c r="AH231" s="124">
        <v>2044</v>
      </c>
      <c r="AI231" s="124">
        <v>2045</v>
      </c>
    </row>
    <row r="232" spans="1:35" customFormat="1" ht="14.25" x14ac:dyDescent="0.45">
      <c r="B232" s="14" t="s">
        <v>1452</v>
      </c>
      <c r="C232" s="14" t="s">
        <v>43</v>
      </c>
      <c r="D232" s="15" t="s">
        <v>2511</v>
      </c>
      <c r="E232" s="16" t="s">
        <v>1967</v>
      </c>
      <c r="F232" s="14" t="s">
        <v>2510</v>
      </c>
      <c r="G232" s="119"/>
      <c r="H232" s="114" t="str">
        <f>Settings!$B$3&amp;".mit.wp.stl.drg.2"</f>
        <v>egy.mit.wp.stl.drg.2</v>
      </c>
      <c r="I232" t="s">
        <v>2512</v>
      </c>
      <c r="K232" s="126"/>
      <c r="L232" s="127">
        <f>Mitigation_Industry!L$740*Mitigation_Industry!$J$729*EXP(-L$222*L$192)</f>
        <v>0.18716695292200644</v>
      </c>
      <c r="M232" s="127">
        <f>Mitigation_Industry!M$740*Mitigation_Industry!$J$729*EXP(-M$222*M$192)</f>
        <v>0.1954022988505747</v>
      </c>
      <c r="N232" s="127">
        <f>Mitigation_Industry!N$740*Mitigation_Industry!$J$729*EXP(-N$222*N$192)</f>
        <v>0.20399999999999999</v>
      </c>
      <c r="O232" s="127">
        <f>Mitigation_Industry!O$740*Mitigation_Industry!$J$729*EXP(-O$222*O$192)</f>
        <v>0.21297600000000003</v>
      </c>
      <c r="P232" s="127">
        <f>Mitigation_Industry!P$740*Mitigation_Industry!$J$729*EXP(-P$222*P$192)</f>
        <v>0.22234694400000005</v>
      </c>
      <c r="Q232" s="127">
        <f>Mitigation_Industry!Q$740*Mitigation_Industry!$J$729*EXP(-Q$222*Q$192)</f>
        <v>0.23213020953600005</v>
      </c>
      <c r="R232" s="127">
        <f>Mitigation_Industry!R$740*Mitigation_Industry!$J$729*EXP(-R$222*R$192)</f>
        <v>0.24234393875558408</v>
      </c>
      <c r="S232" s="127">
        <f>Mitigation_Industry!S$740*Mitigation_Industry!$J$729*EXP(-S$222*S$192)</f>
        <v>0.25300707206082979</v>
      </c>
      <c r="T232" s="127">
        <f>Mitigation_Industry!T$740*Mitigation_Industry!$J$729*EXP(-T$222*T$192)</f>
        <v>0.26413938323150632</v>
      </c>
      <c r="U232" s="127">
        <f>Mitigation_Industry!U$740*Mitigation_Industry!$J$729*EXP(-U$222*U$192)</f>
        <v>0.27576151609369259</v>
      </c>
      <c r="V232" s="127">
        <f>Mitigation_Industry!V$740*Mitigation_Industry!$J$729*EXP(-V$222*V$192)</f>
        <v>0.28789502280181506</v>
      </c>
      <c r="W232" s="127">
        <f>Mitigation_Industry!W$740*Mitigation_Industry!$J$729*EXP(-W$222*W$192)</f>
        <v>0.30056240380509497</v>
      </c>
      <c r="X232" s="127">
        <f>Mitigation_Industry!X$740*Mitigation_Industry!$J$729*EXP(-X$222*X$192)</f>
        <v>0.31378714957251913</v>
      </c>
      <c r="Y232" s="127">
        <f>Mitigation_Industry!Y$740*Mitigation_Industry!$J$729*EXP(-Y$222*Y$192)</f>
        <v>0.32759378415370999</v>
      </c>
      <c r="Z232" s="127">
        <f>Mitigation_Industry!Z$740*Mitigation_Industry!$J$729*EXP(-Z$222*Z$192)</f>
        <v>0.34200791065647324</v>
      </c>
      <c r="AA232" s="127">
        <f>Mitigation_Industry!AA$740*Mitigation_Industry!$J$729*EXP(-AA$222*AA$192)</f>
        <v>0.35705625872535807</v>
      </c>
      <c r="AB232" s="127">
        <f>Mitigation_Industry!AB$740*Mitigation_Industry!$J$729*EXP(-AB$222*AB$192)</f>
        <v>0.37276673410927386</v>
      </c>
      <c r="AC232" s="127">
        <f>Mitigation_Industry!AC$740*Mitigation_Industry!$J$729*EXP(-AC$222*AC$192)</f>
        <v>0.38916847041008185</v>
      </c>
      <c r="AD232" s="127">
        <f>Mitigation_Industry!AD$740*Mitigation_Industry!$J$729*EXP(-AD$222*AD$192)</f>
        <v>0.40629188310812547</v>
      </c>
      <c r="AE232" s="127">
        <f>Mitigation_Industry!AE$740*Mitigation_Industry!$J$729*EXP(-AE$222*AE$192)</f>
        <v>0.42416872596488298</v>
      </c>
      <c r="AF232" s="128"/>
      <c r="AG232" s="128"/>
      <c r="AH232" s="128"/>
      <c r="AI232" s="128"/>
    </row>
    <row r="233" spans="1:35" customFormat="1" ht="14.25" x14ac:dyDescent="0.45">
      <c r="B233" s="14" t="s">
        <v>1455</v>
      </c>
      <c r="C233" s="14" t="s">
        <v>43</v>
      </c>
      <c r="D233" s="15" t="s">
        <v>2513</v>
      </c>
      <c r="E233" s="16" t="s">
        <v>1967</v>
      </c>
      <c r="F233" s="14" t="s">
        <v>2510</v>
      </c>
      <c r="G233" s="119"/>
      <c r="H233" s="114" t="str">
        <f>Settings!$B$3&amp;".mit.wp.stl.scr.2"</f>
        <v>egy.mit.wp.stl.scr.2</v>
      </c>
      <c r="K233" s="126"/>
      <c r="L233" s="127">
        <f>Mitigation_Industry!L$741*Mitigation_Industry!$J$730*EXP(-L$223*L$193)</f>
        <v>6.6058924560708152E-2</v>
      </c>
      <c r="M233" s="127">
        <f>Mitigation_Industry!M$741*Mitigation_Industry!$J$730*EXP(-M$223*M$193)</f>
        <v>6.8965517241379309E-2</v>
      </c>
      <c r="N233" s="127">
        <f>Mitigation_Industry!N$741*Mitigation_Industry!$J$730*EXP(-N$223*N$193)</f>
        <v>7.1999999999999995E-2</v>
      </c>
      <c r="O233" s="127">
        <f>Mitigation_Industry!O$741*Mitigation_Industry!$J$730*EXP(-O$223*O$193)</f>
        <v>7.5167999999999999E-2</v>
      </c>
      <c r="P233" s="127">
        <f>Mitigation_Industry!P$741*Mitigation_Industry!$J$730*EXP(-P$223*P$193)</f>
        <v>7.8475392000000005E-2</v>
      </c>
      <c r="Q233" s="127">
        <f>Mitigation_Industry!Q$741*Mitigation_Industry!$J$730*EXP(-Q$223*Q$193)</f>
        <v>8.1928309247999986E-2</v>
      </c>
      <c r="R233" s="127">
        <f>Mitigation_Industry!R$741*Mitigation_Industry!$J$730*EXP(-R$223*R$193)</f>
        <v>8.5533154854912002E-2</v>
      </c>
      <c r="S233" s="127">
        <f>Mitigation_Industry!S$741*Mitigation_Industry!$J$730*EXP(-S$223*S$193)</f>
        <v>8.9296613668528119E-2</v>
      </c>
      <c r="T233" s="127">
        <f>Mitigation_Industry!T$741*Mitigation_Industry!$J$730*EXP(-T$223*T$193)</f>
        <v>9.3225664669943364E-2</v>
      </c>
      <c r="U233" s="127">
        <f>Mitigation_Industry!U$741*Mitigation_Industry!$J$730*EXP(-U$223*U$193)</f>
        <v>9.7327593915420896E-2</v>
      </c>
      <c r="V233" s="127">
        <f>Mitigation_Industry!V$741*Mitigation_Industry!$J$730*EXP(-V$223*V$193)</f>
        <v>0.10161000804769942</v>
      </c>
      <c r="W233" s="127">
        <f>Mitigation_Industry!W$741*Mitigation_Industry!$J$730*EXP(-W$223*W$193)</f>
        <v>0.10608084840179818</v>
      </c>
      <c r="X233" s="127">
        <f>Mitigation_Industry!X$741*Mitigation_Industry!$J$730*EXP(-X$223*X$193)</f>
        <v>0.1107484057314773</v>
      </c>
      <c r="Y233" s="127">
        <f>Mitigation_Industry!Y$741*Mitigation_Industry!$J$730*EXP(-Y$223*Y$193)</f>
        <v>0.1156213355836623</v>
      </c>
      <c r="Z233" s="127">
        <f>Mitigation_Industry!Z$741*Mitigation_Industry!$J$730*EXP(-Z$223*Z$193)</f>
        <v>0.12070867434934346</v>
      </c>
      <c r="AA233" s="127">
        <f>Mitigation_Industry!AA$741*Mitigation_Industry!$J$730*EXP(-AA$223*AA$193)</f>
        <v>0.12601985602071455</v>
      </c>
      <c r="AB233" s="127">
        <f>Mitigation_Industry!AB$741*Mitigation_Industry!$J$730*EXP(-AB$223*AB$193)</f>
        <v>0.13156472968562599</v>
      </c>
      <c r="AC233" s="127">
        <f>Mitigation_Industry!AC$741*Mitigation_Industry!$J$730*EXP(-AC$223*AC$193)</f>
        <v>0.13735357779179352</v>
      </c>
      <c r="AD233" s="127">
        <f>Mitigation_Industry!AD$741*Mitigation_Industry!$J$730*EXP(-AD$223*AD$193)</f>
        <v>0.14339713521463243</v>
      </c>
      <c r="AE233" s="127">
        <f>Mitigation_Industry!AE$741*Mitigation_Industry!$J$730*EXP(-AE$223*AE$193)</f>
        <v>0.1497066091640763</v>
      </c>
      <c r="AF233" s="128"/>
      <c r="AG233" s="128"/>
      <c r="AH233" s="128"/>
      <c r="AI233" s="128"/>
    </row>
    <row r="234" spans="1:35" customFormat="1" ht="14.25" x14ac:dyDescent="0.45">
      <c r="B234" s="14" t="s">
        <v>1458</v>
      </c>
      <c r="C234" s="14" t="s">
        <v>43</v>
      </c>
      <c r="D234" s="15" t="s">
        <v>2514</v>
      </c>
      <c r="E234" s="16" t="s">
        <v>1967</v>
      </c>
      <c r="F234" s="14" t="s">
        <v>2510</v>
      </c>
      <c r="G234" s="119"/>
      <c r="H234" s="114" t="str">
        <f>Settings!$B$3&amp;".mit.wp.stl.bof.2"</f>
        <v>egy.mit.wp.stl.bof.2</v>
      </c>
      <c r="K234" s="126"/>
      <c r="L234" s="127">
        <f>Mitigation_Industry!L$742*Mitigation_Industry!$J$731*EXP(-L$224*L$194)</f>
        <v>0</v>
      </c>
      <c r="M234" s="127">
        <f>Mitigation_Industry!M$742*Mitigation_Industry!$J$731*EXP(-M$224*M$194)</f>
        <v>0</v>
      </c>
      <c r="N234" s="127">
        <f>Mitigation_Industry!N$742*Mitigation_Industry!$J$731*EXP(-N$224*N$194)</f>
        <v>0</v>
      </c>
      <c r="O234" s="127">
        <f>Mitigation_Industry!O$742*Mitigation_Industry!$J$731*EXP(-O$224*O$194)</f>
        <v>0</v>
      </c>
      <c r="P234" s="127">
        <f>Mitigation_Industry!P$742*Mitigation_Industry!$J$731*EXP(-P$224*P$194)</f>
        <v>0</v>
      </c>
      <c r="Q234" s="127">
        <f>Mitigation_Industry!Q$742*Mitigation_Industry!$J$731*EXP(-Q$224*Q$194)</f>
        <v>0</v>
      </c>
      <c r="R234" s="127">
        <f>Mitigation_Industry!R$742*Mitigation_Industry!$J$731*EXP(-R$224*R$194)</f>
        <v>0</v>
      </c>
      <c r="S234" s="127">
        <f>Mitigation_Industry!S$742*Mitigation_Industry!$J$731*EXP(-S$224*S$194)</f>
        <v>0</v>
      </c>
      <c r="T234" s="127">
        <f>Mitigation_Industry!T$742*Mitigation_Industry!$J$731*EXP(-T$224*T$194)</f>
        <v>0</v>
      </c>
      <c r="U234" s="127">
        <f>Mitigation_Industry!U$742*Mitigation_Industry!$J$731*EXP(-U$224*U$194)</f>
        <v>0</v>
      </c>
      <c r="V234" s="127">
        <f>Mitigation_Industry!V$742*Mitigation_Industry!$J$731*EXP(-V$224*V$194)</f>
        <v>0</v>
      </c>
      <c r="W234" s="127">
        <f>Mitigation_Industry!W$742*Mitigation_Industry!$J$731*EXP(-W$224*W$194)</f>
        <v>0</v>
      </c>
      <c r="X234" s="127">
        <f>Mitigation_Industry!X$742*Mitigation_Industry!$J$731*EXP(-X$224*X$194)</f>
        <v>0</v>
      </c>
      <c r="Y234" s="127">
        <f>Mitigation_Industry!Y$742*Mitigation_Industry!$J$731*EXP(-Y$224*Y$194)</f>
        <v>0</v>
      </c>
      <c r="Z234" s="127">
        <f>Mitigation_Industry!Z$742*Mitigation_Industry!$J$731*EXP(-Z$224*Z$194)</f>
        <v>0</v>
      </c>
      <c r="AA234" s="127">
        <f>Mitigation_Industry!AA$742*Mitigation_Industry!$J$731*EXP(-AA$224*AA$194)</f>
        <v>0</v>
      </c>
      <c r="AB234" s="127">
        <f>Mitigation_Industry!AB$742*Mitigation_Industry!$J$731*EXP(-AB$224*AB$194)</f>
        <v>0</v>
      </c>
      <c r="AC234" s="127">
        <f>Mitigation_Industry!AC$742*Mitigation_Industry!$J$731*EXP(-AC$224*AC$194)</f>
        <v>0</v>
      </c>
      <c r="AD234" s="127">
        <f>Mitigation_Industry!AD$742*Mitigation_Industry!$J$731*EXP(-AD$224*AD$194)</f>
        <v>0</v>
      </c>
      <c r="AE234" s="127">
        <f>Mitigation_Industry!AE$742*Mitigation_Industry!$J$731*EXP(-AE$224*AE$194)</f>
        <v>0</v>
      </c>
      <c r="AF234" s="128"/>
      <c r="AG234" s="128"/>
      <c r="AH234" s="128"/>
      <c r="AI234" s="128"/>
    </row>
    <row r="235" spans="1:35" customFormat="1" ht="14.25" x14ac:dyDescent="0.45">
      <c r="B235" s="14" t="s">
        <v>1461</v>
      </c>
      <c r="C235" s="14" t="s">
        <v>113</v>
      </c>
      <c r="D235" s="15" t="s">
        <v>2515</v>
      </c>
      <c r="E235" s="16" t="s">
        <v>1967</v>
      </c>
      <c r="F235" s="14" t="s">
        <v>2510</v>
      </c>
      <c r="G235" s="119"/>
      <c r="H235" s="114" t="str">
        <f>Settings!$B$3&amp;".mit.wp.cmt.dry.2"</f>
        <v>egy.mit.wp.cmt.dry.2</v>
      </c>
      <c r="K235" s="126"/>
      <c r="L235" s="127">
        <f>Mitigation_Industry!L$743*Mitigation_Industry!$J$732*EXP(-L$225*L$195)</f>
        <v>24.646491529759945</v>
      </c>
      <c r="M235" s="127">
        <f>Mitigation_Industry!M$743*Mitigation_Industry!$J$732*EXP(-M$225*M$195)</f>
        <v>25.459825750242022</v>
      </c>
      <c r="N235" s="127">
        <f>Mitigation_Industry!N$743*Mitigation_Industry!$J$732*EXP(-N$225*N$195)</f>
        <v>26.3</v>
      </c>
      <c r="O235" s="127">
        <f>Mitigation_Industry!O$743*Mitigation_Industry!$J$732*EXP(-O$225*O$195)</f>
        <v>27.167899999999999</v>
      </c>
      <c r="P235" s="127">
        <f>Mitigation_Industry!P$743*Mitigation_Industry!$J$732*EXP(-P$225*P$195)</f>
        <v>28.064440699999995</v>
      </c>
      <c r="Q235" s="127">
        <f>Mitigation_Industry!Q$743*Mitigation_Industry!$J$732*EXP(-Q$225*Q$195)</f>
        <v>28.990567243099992</v>
      </c>
      <c r="R235" s="127">
        <f>Mitigation_Industry!R$743*Mitigation_Industry!$J$732*EXP(-R$225*R$195)</f>
        <v>29.947255962122291</v>
      </c>
      <c r="S235" s="127">
        <f>Mitigation_Industry!S$743*Mitigation_Industry!$J$732*EXP(-S$225*S$195)</f>
        <v>30.935515408872323</v>
      </c>
      <c r="T235" s="127">
        <f>Mitigation_Industry!T$743*Mitigation_Industry!$J$732*EXP(-T$225*T$195)</f>
        <v>31.956387417365111</v>
      </c>
      <c r="U235" s="127">
        <f>Mitigation_Industry!U$743*Mitigation_Industry!$J$732*EXP(-U$225*U$195)</f>
        <v>33.010948202138152</v>
      </c>
      <c r="V235" s="127">
        <f>Mitigation_Industry!V$743*Mitigation_Industry!$J$732*EXP(-V$225*V$195)</f>
        <v>34.100309492808705</v>
      </c>
      <c r="W235" s="127">
        <f>Mitigation_Industry!W$743*Mitigation_Industry!$J$732*EXP(-W$225*W$195)</f>
        <v>35.225619706071399</v>
      </c>
      <c r="X235" s="127">
        <f>Mitigation_Industry!X$743*Mitigation_Industry!$J$732*EXP(-X$225*X$195)</f>
        <v>36.388065156371745</v>
      </c>
      <c r="Y235" s="127">
        <f>Mitigation_Industry!Y$743*Mitigation_Industry!$J$732*EXP(-Y$225*Y$195)</f>
        <v>37.588871306532013</v>
      </c>
      <c r="Z235" s="127">
        <f>Mitigation_Industry!Z$743*Mitigation_Industry!$J$732*EXP(-Z$225*Z$195)</f>
        <v>38.829304059647569</v>
      </c>
      <c r="AA235" s="127">
        <f>Mitigation_Industry!AA$743*Mitigation_Industry!$J$732*EXP(-AA$225*AA$195)</f>
        <v>40.110671093615935</v>
      </c>
      <c r="AB235" s="127">
        <f>Mitigation_Industry!AB$743*Mitigation_Industry!$J$732*EXP(-AB$225*AB$195)</f>
        <v>41.434323239705257</v>
      </c>
      <c r="AC235" s="127">
        <f>Mitigation_Industry!AC$743*Mitigation_Industry!$J$732*EXP(-AC$225*AC$195)</f>
        <v>42.801655906615522</v>
      </c>
      <c r="AD235" s="127">
        <f>Mitigation_Industry!AD$743*Mitigation_Industry!$J$732*EXP(-AD$225*AD$195)</f>
        <v>44.214110551533835</v>
      </c>
      <c r="AE235" s="127">
        <f>Mitigation_Industry!AE$743*Mitigation_Industry!$J$732*EXP(-AE$225*AE$195)</f>
        <v>45.673176199734449</v>
      </c>
      <c r="AF235" s="128"/>
      <c r="AG235" s="128"/>
      <c r="AH235" s="128"/>
      <c r="AI235" s="128"/>
    </row>
    <row r="236" spans="1:35" customFormat="1" ht="14.25" x14ac:dyDescent="0.45">
      <c r="B236" s="14" t="s">
        <v>1464</v>
      </c>
      <c r="C236" s="14" t="s">
        <v>117</v>
      </c>
      <c r="D236" s="15" t="s">
        <v>2516</v>
      </c>
      <c r="E236" s="16" t="s">
        <v>1967</v>
      </c>
      <c r="F236" s="14" t="s">
        <v>2510</v>
      </c>
      <c r="G236" s="119"/>
      <c r="H236" s="114" t="str">
        <f>Settings!$B$3&amp;".mit.wp.frt.amc.2"</f>
        <v>egy.mit.wp.frt.amc.2</v>
      </c>
      <c r="K236" s="126"/>
      <c r="L236" s="127">
        <f>Mitigation_Industry!L$744*Mitigation_Industry!$J$733*EXP(-L$226*L$196)</f>
        <v>0</v>
      </c>
      <c r="M236" s="127">
        <f>Mitigation_Industry!M$744*Mitigation_Industry!$J$733*EXP(-M$226*M$196)</f>
        <v>0</v>
      </c>
      <c r="N236" s="127">
        <f>Mitigation_Industry!N$744*Mitigation_Industry!$J$733*EXP(-N$226*N$196)</f>
        <v>0</v>
      </c>
      <c r="O236" s="127">
        <f>Mitigation_Industry!O$744*Mitigation_Industry!$J$733*EXP(-O$226*O$196)</f>
        <v>0</v>
      </c>
      <c r="P236" s="127">
        <f>Mitigation_Industry!P$744*Mitigation_Industry!$J$733*EXP(-P$226*P$196)</f>
        <v>0</v>
      </c>
      <c r="Q236" s="127">
        <f>Mitigation_Industry!Q$744*Mitigation_Industry!$J$733*EXP(-Q$226*Q$196)</f>
        <v>0</v>
      </c>
      <c r="R236" s="127">
        <f>Mitigation_Industry!R$744*Mitigation_Industry!$J$733*EXP(-R$226*R$196)</f>
        <v>0</v>
      </c>
      <c r="S236" s="127">
        <f>Mitigation_Industry!S$744*Mitigation_Industry!$J$733*EXP(-S$226*S$196)</f>
        <v>0</v>
      </c>
      <c r="T236" s="127">
        <f>Mitigation_Industry!T$744*Mitigation_Industry!$J$733*EXP(-T$226*T$196)</f>
        <v>0</v>
      </c>
      <c r="U236" s="127">
        <f>Mitigation_Industry!U$744*Mitigation_Industry!$J$733*EXP(-U$226*U$196)</f>
        <v>0</v>
      </c>
      <c r="V236" s="127">
        <f>Mitigation_Industry!V$744*Mitigation_Industry!$J$733*EXP(-V$226*V$196)</f>
        <v>0</v>
      </c>
      <c r="W236" s="127">
        <f>Mitigation_Industry!W$744*Mitigation_Industry!$J$733*EXP(-W$226*W$196)</f>
        <v>0</v>
      </c>
      <c r="X236" s="127">
        <f>Mitigation_Industry!X$744*Mitigation_Industry!$J$733*EXP(-X$226*X$196)</f>
        <v>0</v>
      </c>
      <c r="Y236" s="127">
        <f>Mitigation_Industry!Y$744*Mitigation_Industry!$J$733*EXP(-Y$226*Y$196)</f>
        <v>0</v>
      </c>
      <c r="Z236" s="127">
        <f>Mitigation_Industry!Z$744*Mitigation_Industry!$J$733*EXP(-Z$226*Z$196)</f>
        <v>0</v>
      </c>
      <c r="AA236" s="127">
        <f>Mitigation_Industry!AA$744*Mitigation_Industry!$J$733*EXP(-AA$226*AA$196)</f>
        <v>0</v>
      </c>
      <c r="AB236" s="127">
        <f>Mitigation_Industry!AB$744*Mitigation_Industry!$J$733*EXP(-AB$226*AB$196)</f>
        <v>0</v>
      </c>
      <c r="AC236" s="127">
        <f>Mitigation_Industry!AC$744*Mitigation_Industry!$J$733*EXP(-AC$226*AC$196)</f>
        <v>0</v>
      </c>
      <c r="AD236" s="127">
        <f>Mitigation_Industry!AD$744*Mitigation_Industry!$J$733*EXP(-AD$226*AD$196)</f>
        <v>0</v>
      </c>
      <c r="AE236" s="127">
        <f>Mitigation_Industry!AE$744*Mitigation_Industry!$J$733*EXP(-AE$226*AE$196)</f>
        <v>0</v>
      </c>
      <c r="AF236" s="128"/>
      <c r="AG236" s="128"/>
      <c r="AH236" s="128"/>
      <c r="AI236" s="128"/>
    </row>
    <row r="237" spans="1:35" customFormat="1" ht="14.25" x14ac:dyDescent="0.45">
      <c r="B237" s="14" t="s">
        <v>1467</v>
      </c>
      <c r="C237" s="14" t="s">
        <v>117</v>
      </c>
      <c r="D237" s="15" t="s">
        <v>2517</v>
      </c>
      <c r="E237" s="16" t="s">
        <v>1967</v>
      </c>
      <c r="F237" s="14" t="s">
        <v>2510</v>
      </c>
      <c r="G237" s="119"/>
      <c r="H237" s="114" t="str">
        <f>Settings!$B$3&amp;".mit.wp.frt.ure.2"</f>
        <v>egy.mit.wp.frt.ure.2</v>
      </c>
      <c r="K237" s="126"/>
      <c r="L237" s="127">
        <f>Mitigation_Industry!L$745*Mitigation_Industry!$J$734*EXP(-L$227*L$197)</f>
        <v>0</v>
      </c>
      <c r="M237" s="127">
        <f>Mitigation_Industry!M$745*Mitigation_Industry!$J$734*EXP(-M$227*M$197)</f>
        <v>0</v>
      </c>
      <c r="N237" s="127">
        <f>Mitigation_Industry!N$745*Mitigation_Industry!$J$734*EXP(-N$227*N$197)</f>
        <v>0</v>
      </c>
      <c r="O237" s="127">
        <f>Mitigation_Industry!O$745*Mitigation_Industry!$J$734*EXP(-O$227*O$197)</f>
        <v>0</v>
      </c>
      <c r="P237" s="127">
        <f>Mitigation_Industry!P$745*Mitigation_Industry!$J$734*EXP(-P$227*P$197)</f>
        <v>0</v>
      </c>
      <c r="Q237" s="127">
        <f>Mitigation_Industry!Q$745*Mitigation_Industry!$J$734*EXP(-Q$227*Q$197)</f>
        <v>0</v>
      </c>
      <c r="R237" s="127">
        <f>Mitigation_Industry!R$745*Mitigation_Industry!$J$734*EXP(-R$227*R$197)</f>
        <v>0</v>
      </c>
      <c r="S237" s="127">
        <f>Mitigation_Industry!S$745*Mitigation_Industry!$J$734*EXP(-S$227*S$197)</f>
        <v>0</v>
      </c>
      <c r="T237" s="127">
        <f>Mitigation_Industry!T$745*Mitigation_Industry!$J$734*EXP(-T$227*T$197)</f>
        <v>0</v>
      </c>
      <c r="U237" s="127">
        <f>Mitigation_Industry!U$745*Mitigation_Industry!$J$734*EXP(-U$227*U$197)</f>
        <v>0</v>
      </c>
      <c r="V237" s="127">
        <f>Mitigation_Industry!V$745*Mitigation_Industry!$J$734*EXP(-V$227*V$197)</f>
        <v>0</v>
      </c>
      <c r="W237" s="127">
        <f>Mitigation_Industry!W$745*Mitigation_Industry!$J$734*EXP(-W$227*W$197)</f>
        <v>0</v>
      </c>
      <c r="X237" s="127">
        <f>Mitigation_Industry!X$745*Mitigation_Industry!$J$734*EXP(-X$227*X$197)</f>
        <v>0</v>
      </c>
      <c r="Y237" s="127">
        <f>Mitigation_Industry!Y$745*Mitigation_Industry!$J$734*EXP(-Y$227*Y$197)</f>
        <v>0</v>
      </c>
      <c r="Z237" s="127">
        <f>Mitigation_Industry!Z$745*Mitigation_Industry!$J$734*EXP(-Z$227*Z$197)</f>
        <v>0</v>
      </c>
      <c r="AA237" s="127">
        <f>Mitigation_Industry!AA$745*Mitigation_Industry!$J$734*EXP(-AA$227*AA$197)</f>
        <v>0</v>
      </c>
      <c r="AB237" s="127">
        <f>Mitigation_Industry!AB$745*Mitigation_Industry!$J$734*EXP(-AB$227*AB$197)</f>
        <v>0</v>
      </c>
      <c r="AC237" s="127">
        <f>Mitigation_Industry!AC$745*Mitigation_Industry!$J$734*EXP(-AC$227*AC$197)</f>
        <v>0</v>
      </c>
      <c r="AD237" s="127">
        <f>Mitigation_Industry!AD$745*Mitigation_Industry!$J$734*EXP(-AD$227*AD$197)</f>
        <v>0</v>
      </c>
      <c r="AE237" s="127">
        <f>Mitigation_Industry!AE$745*Mitigation_Industry!$J$734*EXP(-AE$227*AE$197)</f>
        <v>0</v>
      </c>
      <c r="AF237" s="128"/>
      <c r="AG237" s="128"/>
      <c r="AH237" s="128"/>
      <c r="AI237" s="128"/>
    </row>
    <row r="238" spans="1:35" customFormat="1" ht="14.25" x14ac:dyDescent="0.45">
      <c r="B238" s="14" t="s">
        <v>1470</v>
      </c>
      <c r="C238" s="14" t="s">
        <v>117</v>
      </c>
      <c r="D238" s="15" t="s">
        <v>2518</v>
      </c>
      <c r="E238" s="16" t="s">
        <v>1967</v>
      </c>
      <c r="F238" s="14" t="s">
        <v>2510</v>
      </c>
      <c r="G238" s="119"/>
      <c r="H238" s="114" t="str">
        <f>Settings!$B$3&amp;".mit.wp.frt.nit.2"</f>
        <v>egy.mit.wp.frt.nit.2</v>
      </c>
      <c r="K238" s="126"/>
      <c r="L238" s="127">
        <f>Mitigation_Industry!L$746*Mitigation_Industry!$J$735*EXP(-L$228*L$198)</f>
        <v>0.55721293959505358</v>
      </c>
      <c r="M238" s="127">
        <f>Mitigation_Industry!M$746*Mitigation_Industry!$J$735*EXP(-M$228*M$198)</f>
        <v>0.56947162426614473</v>
      </c>
      <c r="N238" s="127">
        <f>Mitigation_Industry!N$746*Mitigation_Industry!$J$735*EXP(-N$228*N$198)</f>
        <v>0.58199999999999996</v>
      </c>
      <c r="O238" s="127">
        <f>Mitigation_Industry!O$746*Mitigation_Industry!$J$735*EXP(-O$228*O$198)</f>
        <v>0.594804</v>
      </c>
      <c r="P238" s="127">
        <f>Mitigation_Industry!P$746*Mitigation_Industry!$J$735*EXP(-P$228*P$198)</f>
        <v>0.60788968800000009</v>
      </c>
      <c r="Q238" s="127">
        <f>Mitigation_Industry!Q$746*Mitigation_Industry!$J$735*EXP(-Q$228*Q$198)</f>
        <v>0.62126326113599994</v>
      </c>
      <c r="R238" s="127">
        <f>Mitigation_Industry!R$746*Mitigation_Industry!$J$735*EXP(-R$228*R$198)</f>
        <v>0.63493105288099194</v>
      </c>
      <c r="S238" s="127">
        <f>Mitigation_Industry!S$746*Mitigation_Industry!$J$735*EXP(-S$228*S$198)</f>
        <v>0.64889953604437378</v>
      </c>
      <c r="T238" s="127">
        <f>Mitigation_Industry!T$746*Mitigation_Industry!$J$735*EXP(-T$228*T$198)</f>
        <v>0.66317532583735006</v>
      </c>
      <c r="U238" s="127">
        <f>Mitigation_Industry!U$746*Mitigation_Industry!$J$735*EXP(-U$228*U$198)</f>
        <v>0.67776518300577182</v>
      </c>
      <c r="V238" s="127">
        <f>Mitigation_Industry!V$746*Mitigation_Industry!$J$735*EXP(-V$228*V$198)</f>
        <v>0.69267601703189885</v>
      </c>
      <c r="W238" s="127">
        <f>Mitigation_Industry!W$746*Mitigation_Industry!$J$735*EXP(-W$228*W$198)</f>
        <v>0.70791488940660052</v>
      </c>
      <c r="X238" s="127">
        <f>Mitigation_Industry!X$746*Mitigation_Industry!$J$735*EXP(-X$228*X$198)</f>
        <v>0.72348901697354573</v>
      </c>
      <c r="Y238" s="127">
        <f>Mitigation_Industry!Y$746*Mitigation_Industry!$J$735*EXP(-Y$228*Y$198)</f>
        <v>0.73940577534696372</v>
      </c>
      <c r="Z238" s="127">
        <f>Mitigation_Industry!Z$746*Mitigation_Industry!$J$735*EXP(-Z$228*Z$198)</f>
        <v>0.75567270240459705</v>
      </c>
      <c r="AA238" s="127">
        <f>Mitigation_Industry!AA$746*Mitigation_Industry!$J$735*EXP(-AA$228*AA$198)</f>
        <v>0.77229750185749824</v>
      </c>
      <c r="AB238" s="127">
        <f>Mitigation_Industry!AB$746*Mitigation_Industry!$J$735*EXP(-AB$228*AB$198)</f>
        <v>0.78928804689836318</v>
      </c>
      <c r="AC238" s="127">
        <f>Mitigation_Industry!AC$746*Mitigation_Industry!$J$735*EXP(-AC$228*AC$198)</f>
        <v>0.80665238393012717</v>
      </c>
      <c r="AD238" s="127">
        <f>Mitigation_Industry!AD$746*Mitigation_Industry!$J$735*EXP(-AD$228*AD$198)</f>
        <v>0.82439873637659</v>
      </c>
      <c r="AE238" s="127">
        <f>Mitigation_Industry!AE$746*Mitigation_Industry!$J$735*EXP(-AE$228*AE$198)</f>
        <v>0.84253550857687498</v>
      </c>
      <c r="AF238" s="128"/>
      <c r="AG238" s="128"/>
      <c r="AH238" s="128"/>
      <c r="AI238" s="128"/>
    </row>
    <row r="239" spans="1:35" customFormat="1" ht="14.25" x14ac:dyDescent="0.45">
      <c r="B239" s="14" t="s">
        <v>1473</v>
      </c>
      <c r="C239" s="14" t="s">
        <v>115</v>
      </c>
      <c r="D239" s="15" t="s">
        <v>2519</v>
      </c>
      <c r="E239" s="16" t="s">
        <v>1967</v>
      </c>
      <c r="F239" s="14" t="s">
        <v>2510</v>
      </c>
      <c r="G239" s="119"/>
      <c r="H239" s="114" t="str">
        <f>Settings!$B$3&amp;".mit.wp.alu.prp.2"</f>
        <v>egy.mit.wp.alu.prp.2</v>
      </c>
      <c r="K239" s="126"/>
      <c r="L239" s="127">
        <f>Mitigation_Industry!L$747*Mitigation_Industry!$J$736*EXP(-L$229*L$199)</f>
        <v>0.63340895307832257</v>
      </c>
      <c r="M239" s="127">
        <f>Mitigation_Industry!M$747*Mitigation_Industry!$J$736*EXP(-M$229*M$199)</f>
        <v>0.66824644549763035</v>
      </c>
      <c r="N239" s="127">
        <f>Mitigation_Industry!N$747*Mitigation_Industry!$J$736*EXP(-N$229*N$199)</f>
        <v>0.70499999999999996</v>
      </c>
      <c r="O239" s="127">
        <f>Mitigation_Industry!O$747*Mitigation_Industry!$J$736*EXP(-O$229*O$199)</f>
        <v>0.74377499999999996</v>
      </c>
      <c r="P239" s="127">
        <f>Mitigation_Industry!P$747*Mitigation_Industry!$J$736*EXP(-P$229*P$199)</f>
        <v>0.78468262499999997</v>
      </c>
      <c r="Q239" s="127">
        <f>Mitigation_Industry!Q$747*Mitigation_Industry!$J$736*EXP(-Q$229*Q$199)</f>
        <v>0.82784016937499993</v>
      </c>
      <c r="R239" s="127">
        <f>Mitigation_Industry!R$747*Mitigation_Industry!$J$736*EXP(-R$229*R$199)</f>
        <v>0.87337137869062498</v>
      </c>
      <c r="S239" s="127">
        <f>Mitigation_Industry!S$747*Mitigation_Industry!$J$736*EXP(-S$229*S$199)</f>
        <v>0.92140680451860935</v>
      </c>
      <c r="T239" s="127">
        <f>Mitigation_Industry!T$747*Mitigation_Industry!$J$736*EXP(-T$229*T$199)</f>
        <v>0.97208417876713282</v>
      </c>
      <c r="U239" s="127">
        <f>Mitigation_Industry!U$747*Mitigation_Industry!$J$736*EXP(-U$229*U$199)</f>
        <v>1.025548808599325</v>
      </c>
      <c r="V239" s="127">
        <f>Mitigation_Industry!V$747*Mitigation_Industry!$J$736*EXP(-V$229*V$199)</f>
        <v>1.0819539930722879</v>
      </c>
      <c r="W239" s="127">
        <f>Mitigation_Industry!W$747*Mitigation_Industry!$J$736*EXP(-W$229*W$199)</f>
        <v>1.1414614626912638</v>
      </c>
      <c r="X239" s="127">
        <f>Mitigation_Industry!X$747*Mitigation_Industry!$J$736*EXP(-X$229*X$199)</f>
        <v>1.2042418431392832</v>
      </c>
      <c r="Y239" s="127">
        <f>Mitigation_Industry!Y$747*Mitigation_Industry!$J$736*EXP(-Y$229*Y$199)</f>
        <v>1.2704751445119435</v>
      </c>
      <c r="Z239" s="127">
        <f>Mitigation_Industry!Z$747*Mitigation_Industry!$J$736*EXP(-Z$229*Z$199)</f>
        <v>1.3403512774601003</v>
      </c>
      <c r="AA239" s="127">
        <f>Mitigation_Industry!AA$747*Mitigation_Industry!$J$736*EXP(-AA$229*AA$199)</f>
        <v>1.4140705977204062</v>
      </c>
      <c r="AB239" s="127">
        <f>Mitigation_Industry!AB$747*Mitigation_Industry!$J$736*EXP(-AB$229*AB$199)</f>
        <v>1.4918444805950282</v>
      </c>
      <c r="AC239" s="127">
        <f>Mitigation_Industry!AC$747*Mitigation_Industry!$J$736*EXP(-AC$229*AC$199)</f>
        <v>1.5738959270277546</v>
      </c>
      <c r="AD239" s="127">
        <f>Mitigation_Industry!AD$747*Mitigation_Industry!$J$736*EXP(-AD$229*AD$199)</f>
        <v>1.660460203014281</v>
      </c>
      <c r="AE239" s="127">
        <f>Mitigation_Industry!AE$747*Mitigation_Industry!$J$736*EXP(-AE$229*AE$199)</f>
        <v>1.7517855141800662</v>
      </c>
      <c r="AF239" s="128"/>
      <c r="AG239" s="128"/>
      <c r="AH239" s="128"/>
      <c r="AI239" s="128"/>
    </row>
    <row r="240" spans="1:35" x14ac:dyDescent="0.35"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  <c r="AD240" s="122"/>
      <c r="AE240" s="122"/>
      <c r="AF240" s="122"/>
      <c r="AG240" s="122"/>
      <c r="AH240" s="122"/>
      <c r="AI240" s="122"/>
    </row>
    <row r="241" spans="1:35" customFormat="1" ht="14.25" x14ac:dyDescent="0.45">
      <c r="A241" s="11"/>
      <c r="B241" s="6"/>
      <c r="C241" s="7" t="s">
        <v>2520</v>
      </c>
      <c r="D241" s="6" t="s">
        <v>1505</v>
      </c>
      <c r="E241" s="7" t="s">
        <v>35</v>
      </c>
      <c r="F241" s="7" t="s">
        <v>45</v>
      </c>
      <c r="G241" s="7" t="s">
        <v>37</v>
      </c>
      <c r="H241" s="12" t="s">
        <v>38</v>
      </c>
      <c r="I241" s="6" t="s">
        <v>39</v>
      </c>
      <c r="J241" s="48">
        <v>2</v>
      </c>
      <c r="K241" s="124">
        <v>2021</v>
      </c>
      <c r="L241" s="125">
        <v>2022</v>
      </c>
      <c r="M241" s="124">
        <v>2023</v>
      </c>
      <c r="N241" s="124">
        <v>2024</v>
      </c>
      <c r="O241" s="124">
        <v>2025</v>
      </c>
      <c r="P241" s="124">
        <v>2026</v>
      </c>
      <c r="Q241" s="124">
        <v>2027</v>
      </c>
      <c r="R241" s="124">
        <v>2028</v>
      </c>
      <c r="S241" s="124">
        <v>2029</v>
      </c>
      <c r="T241" s="124">
        <v>2030</v>
      </c>
      <c r="U241" s="124">
        <v>2031</v>
      </c>
      <c r="V241" s="124">
        <v>2032</v>
      </c>
      <c r="W241" s="124">
        <v>2033</v>
      </c>
      <c r="X241" s="124">
        <v>2034</v>
      </c>
      <c r="Y241" s="124">
        <v>2035</v>
      </c>
      <c r="Z241" s="124">
        <v>2036</v>
      </c>
      <c r="AA241" s="124">
        <v>2037</v>
      </c>
      <c r="AB241" s="124">
        <v>2038</v>
      </c>
      <c r="AC241" s="124">
        <v>2039</v>
      </c>
      <c r="AD241" s="124">
        <v>2040</v>
      </c>
      <c r="AE241" s="124">
        <v>2041</v>
      </c>
      <c r="AF241" s="124">
        <v>2042</v>
      </c>
      <c r="AG241" s="124">
        <v>2043</v>
      </c>
      <c r="AH241" s="124">
        <v>2044</v>
      </c>
      <c r="AI241" s="124">
        <v>2045</v>
      </c>
    </row>
    <row r="242" spans="1:35" customFormat="1" ht="14.25" x14ac:dyDescent="0.45">
      <c r="B242" s="14" t="s">
        <v>2521</v>
      </c>
      <c r="C242" s="14" t="s">
        <v>2522</v>
      </c>
      <c r="D242" s="15" t="s">
        <v>2523</v>
      </c>
      <c r="E242" s="16" t="s">
        <v>1871</v>
      </c>
      <c r="F242" s="14" t="s">
        <v>2521</v>
      </c>
      <c r="G242" s="119"/>
      <c r="H242" s="114" t="str">
        <f>Settings!$B$3&amp;".mit.revf0.cbam.tot.2"</f>
        <v>egy.mit.revf0.cbam.tot.2</v>
      </c>
      <c r="I242" t="s">
        <v>2524</v>
      </c>
      <c r="K242" s="126"/>
      <c r="L242" s="130">
        <f>SUMPRODUCT(L$202:L$209*Mitigation_Industry!$I$729:$I$736*L$182:L$189)</f>
        <v>0</v>
      </c>
      <c r="M242" s="130">
        <f>SUMPRODUCT(M$202:M$209*Mitigation_Industry!$I$729:$I$736*M$182:M$189)</f>
        <v>0</v>
      </c>
      <c r="N242" s="130">
        <f>SUMPRODUCT(N$202:N$209*Mitigation_Industry!$I$729:$I$736*N$182:N$189)</f>
        <v>0</v>
      </c>
      <c r="O242" s="130">
        <f>SUMPRODUCT(O$202:O$209*Mitigation_Industry!$I$729:$I$736*O$182:O$189)</f>
        <v>0</v>
      </c>
      <c r="P242" s="130">
        <f>SUMPRODUCT(P$202:P$209*Mitigation_Industry!$I$729:$I$736*P$182:P$189)</f>
        <v>0</v>
      </c>
      <c r="Q242" s="130">
        <f>SUMPRODUCT(Q$202:Q$209*Mitigation_Industry!$I$729:$I$736*Q$182:Q$189)</f>
        <v>308.12278080273342</v>
      </c>
      <c r="R242" s="130">
        <f>SUMPRODUCT(R$202:R$209*Mitigation_Industry!$I$729:$I$736*R$182:R$189)</f>
        <v>636.8417154974029</v>
      </c>
      <c r="S242" s="130">
        <f>SUMPRODUCT(S$202:S$209*Mitigation_Industry!$I$729:$I$736*S$182:S$189)</f>
        <v>987.22968333254369</v>
      </c>
      <c r="T242" s="130">
        <f>SUMPRODUCT(T$202:T$209*Mitigation_Industry!$I$729:$I$736*T$182:T$189)</f>
        <v>1360.4109852569791</v>
      </c>
      <c r="U242" s="130">
        <f>SUMPRODUCT(U$202:U$209*Mitigation_Industry!$I$729:$I$736*U$182:U$189)</f>
        <v>1757.56372820916</v>
      </c>
      <c r="V242" s="130">
        <f>SUMPRODUCT(V$202:V$209*Mitigation_Industry!$I$729:$I$736*V$182:V$189)</f>
        <v>2179.922318644748</v>
      </c>
      <c r="W242" s="130">
        <f>SUMPRODUCT(W$202:W$209*Mitigation_Industry!$I$729:$I$736*W$182:W$189)</f>
        <v>2628.780070299068</v>
      </c>
      <c r="X242" s="130">
        <f>SUMPRODUCT(X$202:X$209*Mitigation_Industry!$I$729:$I$736*X$182:X$189)</f>
        <v>3105.4919314104181</v>
      </c>
      <c r="Y242" s="130">
        <f>SUMPRODUCT(Y$202:Y$209*Mitigation_Industry!$I$729:$I$736*Y$182:Y$189)</f>
        <v>3611.4773368702113</v>
      </c>
      <c r="Z242" s="130">
        <f>SUMPRODUCT(Z$202:Z$209*Mitigation_Industry!$I$729:$I$736*Z$182:Z$189)</f>
        <v>4148.2231910169721</v>
      </c>
      <c r="AA242" s="130">
        <f>SUMPRODUCT(AA$202:AA$209*Mitigation_Industry!$I$729:$I$736*AA$182:AA$189)</f>
        <v>4717.2869870538907</v>
      </c>
      <c r="AB242" s="130">
        <f>SUMPRODUCT(AB$202:AB$209*Mitigation_Industry!$I$729:$I$736*AB$182:AB$189)</f>
        <v>5320.3000693444392</v>
      </c>
      <c r="AC242" s="130">
        <f>SUMPRODUCT(AC$202:AC$209*Mitigation_Industry!$I$729:$I$736*AC$182:AC$189)</f>
        <v>5958.9710451280498</v>
      </c>
      <c r="AD242" s="130">
        <f>SUMPRODUCT(AD$202:AD$209*Mitigation_Industry!$I$729:$I$736*AD$182:AD$189)</f>
        <v>6635.0893524987587</v>
      </c>
      <c r="AE242" s="130">
        <f>SUMPRODUCT(AE$202:AE$209*Mitigation_Industry!$I$729:$I$736*AE$182:AE$189)</f>
        <v>7350.5289918043609</v>
      </c>
      <c r="AF242" s="128"/>
      <c r="AG242" s="128"/>
      <c r="AH242" s="128"/>
      <c r="AI242" s="128"/>
    </row>
    <row r="243" spans="1:35" customFormat="1" ht="14.25" x14ac:dyDescent="0.45">
      <c r="B243" s="14" t="s">
        <v>2525</v>
      </c>
      <c r="C243" s="14" t="s">
        <v>2522</v>
      </c>
      <c r="D243" s="15" t="s">
        <v>2526</v>
      </c>
      <c r="E243" s="16" t="s">
        <v>1871</v>
      </c>
      <c r="F243" s="14" t="s">
        <v>2525</v>
      </c>
      <c r="G243" s="119"/>
      <c r="H243" s="114" t="str">
        <f>Settings!$B$3&amp;".mit.revp0.cbam.tot.2"</f>
        <v>egy.mit.revp0.cbam.tot.2</v>
      </c>
      <c r="I243" t="s">
        <v>2527</v>
      </c>
      <c r="K243" s="126"/>
      <c r="L243" s="130">
        <f t="shared" ref="L243:AE243" si="75">SUMPRODUCT(L$232:L$239*L$192:L$199)</f>
        <v>0</v>
      </c>
      <c r="M243" s="130">
        <f t="shared" si="75"/>
        <v>0</v>
      </c>
      <c r="N243" s="130">
        <f t="shared" si="75"/>
        <v>0</v>
      </c>
      <c r="O243" s="130">
        <f t="shared" si="75"/>
        <v>0</v>
      </c>
      <c r="P243" s="130">
        <f t="shared" si="75"/>
        <v>0</v>
      </c>
      <c r="Q243" s="130">
        <f t="shared" si="75"/>
        <v>0</v>
      </c>
      <c r="R243" s="130">
        <f t="shared" si="75"/>
        <v>0</v>
      </c>
      <c r="S243" s="130">
        <f t="shared" si="75"/>
        <v>0</v>
      </c>
      <c r="T243" s="130">
        <f t="shared" si="75"/>
        <v>0</v>
      </c>
      <c r="U243" s="130">
        <f t="shared" si="75"/>
        <v>0</v>
      </c>
      <c r="V243" s="130">
        <f t="shared" si="75"/>
        <v>0</v>
      </c>
      <c r="W243" s="130">
        <f t="shared" si="75"/>
        <v>0</v>
      </c>
      <c r="X243" s="130">
        <f t="shared" si="75"/>
        <v>0</v>
      </c>
      <c r="Y243" s="130">
        <f t="shared" si="75"/>
        <v>0</v>
      </c>
      <c r="Z243" s="130">
        <f t="shared" si="75"/>
        <v>0</v>
      </c>
      <c r="AA243" s="130">
        <f t="shared" si="75"/>
        <v>0</v>
      </c>
      <c r="AB243" s="130">
        <f t="shared" si="75"/>
        <v>0</v>
      </c>
      <c r="AC243" s="130">
        <f t="shared" si="75"/>
        <v>0</v>
      </c>
      <c r="AD243" s="130">
        <f t="shared" si="75"/>
        <v>0</v>
      </c>
      <c r="AE243" s="130">
        <f t="shared" si="75"/>
        <v>0</v>
      </c>
      <c r="AF243" s="128"/>
      <c r="AG243" s="128"/>
      <c r="AH243" s="128"/>
      <c r="AI243" s="128"/>
    </row>
    <row r="244" spans="1:35" customFormat="1" ht="14.25" x14ac:dyDescent="0.45">
      <c r="B244" s="14" t="s">
        <v>2528</v>
      </c>
      <c r="C244" s="14" t="s">
        <v>2522</v>
      </c>
      <c r="D244" s="15" t="s">
        <v>2529</v>
      </c>
      <c r="E244" s="16" t="s">
        <v>1871</v>
      </c>
      <c r="F244" s="14" t="s">
        <v>2528</v>
      </c>
      <c r="G244" s="119"/>
      <c r="H244" s="114" t="str">
        <f>Settings!$B$3&amp;".mit.rev0.cbam.tot.2"</f>
        <v>egy.mit.rev0.cbam.tot.2</v>
      </c>
      <c r="I244" t="s">
        <v>2530</v>
      </c>
      <c r="K244" s="126"/>
      <c r="L244" s="130">
        <f t="shared" ref="L244:AE244" si="76">L242+L243</f>
        <v>0</v>
      </c>
      <c r="M244" s="130">
        <f t="shared" si="76"/>
        <v>0</v>
      </c>
      <c r="N244" s="130">
        <f t="shared" si="76"/>
        <v>0</v>
      </c>
      <c r="O244" s="130">
        <f t="shared" si="76"/>
        <v>0</v>
      </c>
      <c r="P244" s="130">
        <f t="shared" si="76"/>
        <v>0</v>
      </c>
      <c r="Q244" s="130">
        <f t="shared" si="76"/>
        <v>308.12278080273342</v>
      </c>
      <c r="R244" s="130">
        <f t="shared" si="76"/>
        <v>636.8417154974029</v>
      </c>
      <c r="S244" s="130">
        <f t="shared" si="76"/>
        <v>987.22968333254369</v>
      </c>
      <c r="T244" s="130">
        <f t="shared" si="76"/>
        <v>1360.4109852569791</v>
      </c>
      <c r="U244" s="130">
        <f t="shared" si="76"/>
        <v>1757.56372820916</v>
      </c>
      <c r="V244" s="130">
        <f t="shared" si="76"/>
        <v>2179.922318644748</v>
      </c>
      <c r="W244" s="130">
        <f t="shared" si="76"/>
        <v>2628.780070299068</v>
      </c>
      <c r="X244" s="130">
        <f t="shared" si="76"/>
        <v>3105.4919314104181</v>
      </c>
      <c r="Y244" s="130">
        <f t="shared" si="76"/>
        <v>3611.4773368702113</v>
      </c>
      <c r="Z244" s="130">
        <f t="shared" si="76"/>
        <v>4148.2231910169721</v>
      </c>
      <c r="AA244" s="130">
        <f t="shared" si="76"/>
        <v>4717.2869870538907</v>
      </c>
      <c r="AB244" s="130">
        <f t="shared" si="76"/>
        <v>5320.3000693444392</v>
      </c>
      <c r="AC244" s="130">
        <f t="shared" si="76"/>
        <v>5958.9710451280498</v>
      </c>
      <c r="AD244" s="130">
        <f t="shared" si="76"/>
        <v>6635.0893524987587</v>
      </c>
      <c r="AE244" s="130">
        <f t="shared" si="76"/>
        <v>7350.5289918043609</v>
      </c>
      <c r="AF244" s="128"/>
      <c r="AG244" s="128"/>
      <c r="AH244" s="128"/>
      <c r="AI244" s="128"/>
    </row>
    <row r="245" spans="1:35" customFormat="1" ht="14.25" x14ac:dyDescent="0.45">
      <c r="B245" s="14" t="s">
        <v>2520</v>
      </c>
      <c r="C245" s="14" t="s">
        <v>2522</v>
      </c>
      <c r="D245" s="15" t="s">
        <v>2531</v>
      </c>
      <c r="E245" s="16" t="s">
        <v>1871</v>
      </c>
      <c r="F245" s="14" t="s">
        <v>2520</v>
      </c>
      <c r="G245" s="119"/>
      <c r="H245" s="114" t="str">
        <f>Settings!$B$3&amp;".mit.fund.cbam.tot.2"</f>
        <v>egy.mit.fund.cbam.tot.2</v>
      </c>
      <c r="I245" t="s">
        <v>2713</v>
      </c>
      <c r="K245" s="126"/>
      <c r="L245" s="130">
        <f t="shared" ref="L245:AE245" si="77">L$176*L244</f>
        <v>0</v>
      </c>
      <c r="M245" s="130">
        <f t="shared" si="77"/>
        <v>0</v>
      </c>
      <c r="N245" s="130">
        <f t="shared" si="77"/>
        <v>0</v>
      </c>
      <c r="O245" s="130">
        <f t="shared" si="77"/>
        <v>0</v>
      </c>
      <c r="P245" s="130">
        <f t="shared" si="77"/>
        <v>0</v>
      </c>
      <c r="Q245" s="130">
        <f t="shared" si="77"/>
        <v>0</v>
      </c>
      <c r="R245" s="130">
        <f t="shared" si="77"/>
        <v>0</v>
      </c>
      <c r="S245" s="130">
        <f t="shared" si="77"/>
        <v>0</v>
      </c>
      <c r="T245" s="130">
        <f t="shared" si="77"/>
        <v>0</v>
      </c>
      <c r="U245" s="130">
        <f t="shared" si="77"/>
        <v>0</v>
      </c>
      <c r="V245" s="130">
        <f t="shared" si="77"/>
        <v>0</v>
      </c>
      <c r="W245" s="130">
        <f t="shared" si="77"/>
        <v>0</v>
      </c>
      <c r="X245" s="130">
        <f t="shared" si="77"/>
        <v>0</v>
      </c>
      <c r="Y245" s="130">
        <f t="shared" si="77"/>
        <v>0</v>
      </c>
      <c r="Z245" s="130">
        <f t="shared" si="77"/>
        <v>0</v>
      </c>
      <c r="AA245" s="130">
        <f t="shared" si="77"/>
        <v>0</v>
      </c>
      <c r="AB245" s="130">
        <f t="shared" si="77"/>
        <v>0</v>
      </c>
      <c r="AC245" s="130">
        <f t="shared" si="77"/>
        <v>0</v>
      </c>
      <c r="AD245" s="130">
        <f t="shared" si="77"/>
        <v>0</v>
      </c>
      <c r="AE245" s="130">
        <f t="shared" si="77"/>
        <v>0</v>
      </c>
      <c r="AF245" s="128"/>
      <c r="AG245" s="128"/>
      <c r="AH245" s="128"/>
      <c r="AI245" s="128"/>
    </row>
    <row r="246" spans="1:35" customFormat="1" ht="14.25" x14ac:dyDescent="0.45">
      <c r="B246" s="14" t="s">
        <v>2533</v>
      </c>
      <c r="C246" s="14" t="s">
        <v>2522</v>
      </c>
      <c r="D246" s="15" t="s">
        <v>2534</v>
      </c>
      <c r="E246" s="16" t="s">
        <v>1967</v>
      </c>
      <c r="F246" s="14" t="s">
        <v>2533</v>
      </c>
      <c r="G246" s="119"/>
      <c r="H246" s="114" t="str">
        <f>Settings!$B$3&amp;".mit.emrp0.cbam.tot.2"</f>
        <v>egy.mit.emrp0.cbam.tot.2</v>
      </c>
      <c r="I246" t="s">
        <v>2535</v>
      </c>
      <c r="K246" s="126"/>
      <c r="L246" s="127">
        <f>SUM(L$232:L$239)-SUMPRODUCT(Mitigation_Industry!L$740:L$747*Mitigation_Industry!$J$729:$J$736)</f>
        <v>0</v>
      </c>
      <c r="M246" s="127">
        <f>SUM(M$232:M$239)-SUMPRODUCT(Mitigation_Industry!M$740:M$747*Mitigation_Industry!$J$729:$J$736)</f>
        <v>0</v>
      </c>
      <c r="N246" s="127">
        <f>SUM(N$232:N$239)-SUMPRODUCT(Mitigation_Industry!N$740:N$747*Mitigation_Industry!$J$729:$J$736)</f>
        <v>0</v>
      </c>
      <c r="O246" s="127">
        <f>SUM(O$232:O$239)-SUMPRODUCT(Mitigation_Industry!O$740:O$747*Mitigation_Industry!$J$729:$J$736)</f>
        <v>0</v>
      </c>
      <c r="P246" s="127">
        <f>SUM(P$232:P$239)-SUMPRODUCT(Mitigation_Industry!P$740:P$747*Mitigation_Industry!$J$729:$J$736)</f>
        <v>0</v>
      </c>
      <c r="Q246" s="127">
        <f>SUM(Q$232:Q$239)-SUMPRODUCT(Mitigation_Industry!Q$740:Q$747*Mitigation_Industry!$J$729:$J$736)</f>
        <v>0</v>
      </c>
      <c r="R246" s="127">
        <f>SUM(R$232:R$239)-SUMPRODUCT(Mitigation_Industry!R$740:R$747*Mitigation_Industry!$J$729:$J$736)</f>
        <v>0</v>
      </c>
      <c r="S246" s="127">
        <f>SUM(S$232:S$239)-SUMPRODUCT(Mitigation_Industry!S$740:S$747*Mitigation_Industry!$J$729:$J$736)</f>
        <v>0</v>
      </c>
      <c r="T246" s="127">
        <f>SUM(T$232:T$239)-SUMPRODUCT(Mitigation_Industry!T$740:T$747*Mitigation_Industry!$J$729:$J$736)</f>
        <v>0</v>
      </c>
      <c r="U246" s="127">
        <f>SUM(U$232:U$239)-SUMPRODUCT(Mitigation_Industry!U$740:U$747*Mitigation_Industry!$J$729:$J$736)</f>
        <v>0</v>
      </c>
      <c r="V246" s="127">
        <f>SUM(V$232:V$239)-SUMPRODUCT(Mitigation_Industry!V$740:V$747*Mitigation_Industry!$J$729:$J$736)</f>
        <v>0</v>
      </c>
      <c r="W246" s="127">
        <f>SUM(W$232:W$239)-SUMPRODUCT(Mitigation_Industry!W$740:W$747*Mitigation_Industry!$J$729:$J$736)</f>
        <v>0</v>
      </c>
      <c r="X246" s="127">
        <f>SUM(X$232:X$239)-SUMPRODUCT(Mitigation_Industry!X$740:X$747*Mitigation_Industry!$J$729:$J$736)</f>
        <v>0</v>
      </c>
      <c r="Y246" s="127">
        <f>SUM(Y$232:Y$239)-SUMPRODUCT(Mitigation_Industry!Y$740:Y$747*Mitigation_Industry!$J$729:$J$736)</f>
        <v>0</v>
      </c>
      <c r="Z246" s="127">
        <f>SUM(Z$232:Z$239)-SUMPRODUCT(Mitigation_Industry!Z$740:Z$747*Mitigation_Industry!$J$729:$J$736)</f>
        <v>0</v>
      </c>
      <c r="AA246" s="127">
        <f>SUM(AA$232:AA$239)-SUMPRODUCT(Mitigation_Industry!AA$740:AA$747*Mitigation_Industry!$J$729:$J$736)</f>
        <v>0</v>
      </c>
      <c r="AB246" s="127">
        <f>SUM(AB$232:AB$239)-SUMPRODUCT(Mitigation_Industry!AB$740:AB$747*Mitigation_Industry!$J$729:$J$736)</f>
        <v>0</v>
      </c>
      <c r="AC246" s="127">
        <f>SUM(AC$232:AC$239)-SUMPRODUCT(Mitigation_Industry!AC$740:AC$747*Mitigation_Industry!$J$729:$J$736)</f>
        <v>0</v>
      </c>
      <c r="AD246" s="127">
        <f>SUM(AD$232:AD$239)-SUMPRODUCT(Mitigation_Industry!AD$740:AD$747*Mitigation_Industry!$J$729:$J$736)</f>
        <v>0</v>
      </c>
      <c r="AE246" s="127">
        <f>SUM(AE$232:AE$239)-SUMPRODUCT(Mitigation_Industry!AE$740:AE$747*Mitigation_Industry!$J$729:$J$736)</f>
        <v>0</v>
      </c>
      <c r="AF246" s="128"/>
      <c r="AG246" s="128"/>
      <c r="AH246" s="128"/>
      <c r="AI246" s="128"/>
    </row>
    <row r="247" spans="1:35" customFormat="1" ht="14.25" x14ac:dyDescent="0.45">
      <c r="B247" s="14" t="s">
        <v>2536</v>
      </c>
      <c r="C247" s="14" t="s">
        <v>2522</v>
      </c>
      <c r="D247" s="15" t="s">
        <v>2537</v>
      </c>
      <c r="E247" s="16" t="s">
        <v>2538</v>
      </c>
      <c r="F247" s="14" t="s">
        <v>2536</v>
      </c>
      <c r="G247" s="119"/>
      <c r="H247" s="119"/>
      <c r="I247" t="s">
        <v>2539</v>
      </c>
      <c r="K247" s="126"/>
      <c r="L247" s="129">
        <f t="shared" ref="L247:AE247" si="78">SUMPRODUCT(L$202:L$209*L$212:L$219)+SUMPRODUCT(L$232:L$239*L$222:L$229)</f>
        <v>4.891984465086037E-2</v>
      </c>
      <c r="M247" s="129">
        <f t="shared" si="78"/>
        <v>5.0446843608728101E-2</v>
      </c>
      <c r="N247" s="129">
        <f t="shared" si="78"/>
        <v>5.202362498683423E-2</v>
      </c>
      <c r="O247" s="129">
        <f t="shared" si="78"/>
        <v>5.3651880499345703E-2</v>
      </c>
      <c r="P247" s="129">
        <f t="shared" si="78"/>
        <v>5.533336175046983E-2</v>
      </c>
      <c r="Q247" s="129">
        <f t="shared" si="78"/>
        <v>5.7069882445290876E-2</v>
      </c>
      <c r="R247" s="129">
        <f t="shared" si="78"/>
        <v>5.8863320685853898E-2</v>
      </c>
      <c r="S247" s="129">
        <f t="shared" si="78"/>
        <v>6.0715621355934141E-2</v>
      </c>
      <c r="T247" s="129">
        <f t="shared" si="78"/>
        <v>6.2628798598075769E-2</v>
      </c>
      <c r="U247" s="129">
        <f t="shared" si="78"/>
        <v>6.4604938386634836E-2</v>
      </c>
      <c r="V247" s="129">
        <f t="shared" si="78"/>
        <v>6.6646201200719749E-2</v>
      </c>
      <c r="W247" s="129">
        <f t="shared" si="78"/>
        <v>6.875482480108798E-2</v>
      </c>
      <c r="X247" s="129">
        <f t="shared" si="78"/>
        <v>7.0933127115229477E-2</v>
      </c>
      <c r="Y247" s="129">
        <f t="shared" si="78"/>
        <v>7.3183509235048433E-2</v>
      </c>
      <c r="Z247" s="129">
        <f t="shared" si="78"/>
        <v>7.550845853174229E-2</v>
      </c>
      <c r="AA247" s="129">
        <f t="shared" si="78"/>
        <v>7.7910551892674054E-2</v>
      </c>
      <c r="AB247" s="129">
        <f t="shared" si="78"/>
        <v>8.0392459085239065E-2</v>
      </c>
      <c r="AC247" s="129">
        <f t="shared" si="78"/>
        <v>8.2956946252941755E-2</v>
      </c>
      <c r="AD247" s="129">
        <f t="shared" si="78"/>
        <v>8.56068795491223E-2</v>
      </c>
      <c r="AE247" s="129">
        <f t="shared" si="78"/>
        <v>8.8345228914006868E-2</v>
      </c>
      <c r="AF247" s="128"/>
      <c r="AG247" s="128"/>
      <c r="AH247" s="128"/>
      <c r="AI247" s="128"/>
    </row>
    <row r="248" spans="1:35" customFormat="1" ht="14.25" x14ac:dyDescent="0.45">
      <c r="B248" s="14" t="s">
        <v>2540</v>
      </c>
      <c r="C248" s="14" t="s">
        <v>2522</v>
      </c>
      <c r="D248" s="15" t="s">
        <v>2541</v>
      </c>
      <c r="E248" s="16" t="s">
        <v>1415</v>
      </c>
      <c r="F248" s="14" t="s">
        <v>2540</v>
      </c>
      <c r="G248" s="119"/>
      <c r="H248" s="119"/>
      <c r="K248" s="126"/>
      <c r="L248" s="127">
        <f t="shared" ref="L248:AE248" si="79">IF(OR(L$245&lt;=0,L$247&lt;=0),0,MIN($F$5,SQRT(L$245/L$247*IF($F$4="COST",2,1))))</f>
        <v>0</v>
      </c>
      <c r="M248" s="127">
        <f t="shared" si="79"/>
        <v>0</v>
      </c>
      <c r="N248" s="127">
        <f t="shared" si="79"/>
        <v>0</v>
      </c>
      <c r="O248" s="127">
        <f t="shared" si="79"/>
        <v>0</v>
      </c>
      <c r="P248" s="127">
        <f t="shared" si="79"/>
        <v>0</v>
      </c>
      <c r="Q248" s="127">
        <f t="shared" si="79"/>
        <v>0</v>
      </c>
      <c r="R248" s="127">
        <f t="shared" si="79"/>
        <v>0</v>
      </c>
      <c r="S248" s="127">
        <f t="shared" si="79"/>
        <v>0</v>
      </c>
      <c r="T248" s="127">
        <f t="shared" si="79"/>
        <v>0</v>
      </c>
      <c r="U248" s="127">
        <f t="shared" si="79"/>
        <v>0</v>
      </c>
      <c r="V248" s="127">
        <f t="shared" si="79"/>
        <v>0</v>
      </c>
      <c r="W248" s="127">
        <f t="shared" si="79"/>
        <v>0</v>
      </c>
      <c r="X248" s="127">
        <f t="shared" si="79"/>
        <v>0</v>
      </c>
      <c r="Y248" s="127">
        <f t="shared" si="79"/>
        <v>0</v>
      </c>
      <c r="Z248" s="127">
        <f t="shared" si="79"/>
        <v>0</v>
      </c>
      <c r="AA248" s="127">
        <f t="shared" si="79"/>
        <v>0</v>
      </c>
      <c r="AB248" s="127">
        <f t="shared" si="79"/>
        <v>0</v>
      </c>
      <c r="AC248" s="127">
        <f t="shared" si="79"/>
        <v>0</v>
      </c>
      <c r="AD248" s="127">
        <f t="shared" si="79"/>
        <v>0</v>
      </c>
      <c r="AE248" s="127">
        <f t="shared" si="79"/>
        <v>0</v>
      </c>
      <c r="AF248" s="128"/>
      <c r="AG248" s="128"/>
      <c r="AH248" s="128"/>
      <c r="AI248" s="128"/>
    </row>
    <row r="249" spans="1:35" x14ac:dyDescent="0.35"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  <c r="AE249" s="122"/>
      <c r="AF249" s="122"/>
      <c r="AG249" s="122"/>
      <c r="AH249" s="122"/>
      <c r="AI249" s="122"/>
    </row>
    <row r="250" spans="1:35" customFormat="1" ht="14.25" x14ac:dyDescent="0.45">
      <c r="A250" s="11"/>
      <c r="B250" s="6"/>
      <c r="C250" s="7" t="s">
        <v>2542</v>
      </c>
      <c r="D250" s="6" t="s">
        <v>1505</v>
      </c>
      <c r="E250" s="7" t="s">
        <v>35</v>
      </c>
      <c r="F250" s="7" t="s">
        <v>45</v>
      </c>
      <c r="G250" s="7" t="s">
        <v>37</v>
      </c>
      <c r="H250" s="12" t="s">
        <v>38</v>
      </c>
      <c r="I250" s="6" t="s">
        <v>2543</v>
      </c>
      <c r="J250" s="48">
        <v>2</v>
      </c>
      <c r="K250" s="124">
        <v>2021</v>
      </c>
      <c r="L250" s="125">
        <v>2022</v>
      </c>
      <c r="M250" s="124">
        <v>2023</v>
      </c>
      <c r="N250" s="124">
        <v>2024</v>
      </c>
      <c r="O250" s="124">
        <v>2025</v>
      </c>
      <c r="P250" s="124">
        <v>2026</v>
      </c>
      <c r="Q250" s="124">
        <v>2027</v>
      </c>
      <c r="R250" s="124">
        <v>2028</v>
      </c>
      <c r="S250" s="124">
        <v>2029</v>
      </c>
      <c r="T250" s="124">
        <v>2030</v>
      </c>
      <c r="U250" s="124">
        <v>2031</v>
      </c>
      <c r="V250" s="124">
        <v>2032</v>
      </c>
      <c r="W250" s="124">
        <v>2033</v>
      </c>
      <c r="X250" s="124">
        <v>2034</v>
      </c>
      <c r="Y250" s="124">
        <v>2035</v>
      </c>
      <c r="Z250" s="124">
        <v>2036</v>
      </c>
      <c r="AA250" s="124">
        <v>2037</v>
      </c>
      <c r="AB250" s="124">
        <v>2038</v>
      </c>
      <c r="AC250" s="124">
        <v>2039</v>
      </c>
      <c r="AD250" s="124">
        <v>2040</v>
      </c>
      <c r="AE250" s="124">
        <v>2041</v>
      </c>
      <c r="AF250" s="124">
        <v>2042</v>
      </c>
      <c r="AG250" s="124">
        <v>2043</v>
      </c>
      <c r="AH250" s="124">
        <v>2044</v>
      </c>
      <c r="AI250" s="124">
        <v>2045</v>
      </c>
    </row>
    <row r="251" spans="1:35" customFormat="1" ht="14.25" x14ac:dyDescent="0.45">
      <c r="B251" s="14" t="s">
        <v>2544</v>
      </c>
      <c r="C251" s="14" t="s">
        <v>2522</v>
      </c>
      <c r="D251" s="15" t="s">
        <v>2545</v>
      </c>
      <c r="E251" s="16" t="s">
        <v>1967</v>
      </c>
      <c r="F251" s="14" t="s">
        <v>2546</v>
      </c>
      <c r="G251" s="119"/>
      <c r="H251" s="119"/>
      <c r="K251" s="126"/>
      <c r="L251" s="129">
        <f t="shared" ref="L251:AE251" si="80">SUMPRODUCT(L$202:L$209*(1-EXP(-L$212:L$219*L$248)))+SUMPRODUCT(L$232:L$239*(1-EXP(-L$222:L$229*L$248)))</f>
        <v>0</v>
      </c>
      <c r="M251" s="129">
        <f t="shared" si="80"/>
        <v>0</v>
      </c>
      <c r="N251" s="129">
        <f t="shared" si="80"/>
        <v>0</v>
      </c>
      <c r="O251" s="129">
        <f t="shared" si="80"/>
        <v>0</v>
      </c>
      <c r="P251" s="129">
        <f t="shared" si="80"/>
        <v>0</v>
      </c>
      <c r="Q251" s="129">
        <f t="shared" si="80"/>
        <v>0</v>
      </c>
      <c r="R251" s="129">
        <f t="shared" si="80"/>
        <v>0</v>
      </c>
      <c r="S251" s="129">
        <f t="shared" si="80"/>
        <v>0</v>
      </c>
      <c r="T251" s="129">
        <f t="shared" si="80"/>
        <v>0</v>
      </c>
      <c r="U251" s="129">
        <f t="shared" si="80"/>
        <v>0</v>
      </c>
      <c r="V251" s="129">
        <f t="shared" si="80"/>
        <v>0</v>
      </c>
      <c r="W251" s="129">
        <f t="shared" si="80"/>
        <v>0</v>
      </c>
      <c r="X251" s="129">
        <f t="shared" si="80"/>
        <v>0</v>
      </c>
      <c r="Y251" s="129">
        <f t="shared" si="80"/>
        <v>0</v>
      </c>
      <c r="Z251" s="129">
        <f t="shared" si="80"/>
        <v>0</v>
      </c>
      <c r="AA251" s="129">
        <f t="shared" si="80"/>
        <v>0</v>
      </c>
      <c r="AB251" s="129">
        <f t="shared" si="80"/>
        <v>0</v>
      </c>
      <c r="AC251" s="129">
        <f t="shared" si="80"/>
        <v>0</v>
      </c>
      <c r="AD251" s="129">
        <f t="shared" si="80"/>
        <v>0</v>
      </c>
      <c r="AE251" s="129">
        <f t="shared" si="80"/>
        <v>0</v>
      </c>
      <c r="AF251" s="128"/>
      <c r="AG251" s="128"/>
      <c r="AH251" s="128"/>
      <c r="AI251" s="128"/>
    </row>
    <row r="252" spans="1:35" customFormat="1" ht="14.25" x14ac:dyDescent="0.45">
      <c r="B252" s="14" t="s">
        <v>2547</v>
      </c>
      <c r="C252" s="14" t="s">
        <v>2522</v>
      </c>
      <c r="D252" s="15" t="s">
        <v>2548</v>
      </c>
      <c r="E252" s="16" t="s">
        <v>1871</v>
      </c>
      <c r="F252" s="14" t="s">
        <v>2549</v>
      </c>
      <c r="G252" s="119"/>
      <c r="H252" s="119"/>
      <c r="K252" s="126"/>
      <c r="L252" s="127">
        <f t="shared" ref="L252:AE252" si="81">IF($F$4="COST",(SUMPRODUCT(L$202:L$209*((1-EXP(-L$212:L$219*L$248))/(L$212:L$219+(L$212:L$219=0))-L$248*EXP(-L$212:L$219*L$248)*(L$212:L$219&lt;&gt;0)))+SUMPRODUCT(L$232:L$239*((1-EXP(-L$222:L$229*L$248))/(L$222:L$229+(L$222:L$229=0))-L$248*EXP(-L$222:L$229*L$248)*(L$222:L$229&lt;&gt;0)))),L$248*L$251)</f>
        <v>0</v>
      </c>
      <c r="M252" s="127">
        <f t="shared" si="81"/>
        <v>0</v>
      </c>
      <c r="N252" s="127">
        <f t="shared" si="81"/>
        <v>0</v>
      </c>
      <c r="O252" s="127">
        <f t="shared" si="81"/>
        <v>0</v>
      </c>
      <c r="P252" s="127">
        <f t="shared" si="81"/>
        <v>0</v>
      </c>
      <c r="Q252" s="127">
        <f t="shared" si="81"/>
        <v>0</v>
      </c>
      <c r="R252" s="127">
        <f t="shared" si="81"/>
        <v>0</v>
      </c>
      <c r="S252" s="127">
        <f t="shared" si="81"/>
        <v>0</v>
      </c>
      <c r="T252" s="127">
        <f t="shared" si="81"/>
        <v>0</v>
      </c>
      <c r="U252" s="127">
        <f t="shared" si="81"/>
        <v>0</v>
      </c>
      <c r="V252" s="127">
        <f t="shared" si="81"/>
        <v>0</v>
      </c>
      <c r="W252" s="127">
        <f t="shared" si="81"/>
        <v>0</v>
      </c>
      <c r="X252" s="127">
        <f t="shared" si="81"/>
        <v>0</v>
      </c>
      <c r="Y252" s="127">
        <f t="shared" si="81"/>
        <v>0</v>
      </c>
      <c r="Z252" s="127">
        <f t="shared" si="81"/>
        <v>0</v>
      </c>
      <c r="AA252" s="127">
        <f t="shared" si="81"/>
        <v>0</v>
      </c>
      <c r="AB252" s="127">
        <f t="shared" si="81"/>
        <v>0</v>
      </c>
      <c r="AC252" s="127">
        <f t="shared" si="81"/>
        <v>0</v>
      </c>
      <c r="AD252" s="127">
        <f t="shared" si="81"/>
        <v>0</v>
      </c>
      <c r="AE252" s="127">
        <f t="shared" si="81"/>
        <v>0</v>
      </c>
      <c r="AF252" s="128"/>
      <c r="AG252" s="128"/>
      <c r="AH252" s="128"/>
      <c r="AI252" s="128"/>
    </row>
    <row r="253" spans="1:35" customFormat="1" ht="14.25" x14ac:dyDescent="0.45">
      <c r="B253" s="14" t="s">
        <v>2550</v>
      </c>
      <c r="C253" s="14" t="s">
        <v>2522</v>
      </c>
      <c r="D253" s="15" t="s">
        <v>2551</v>
      </c>
      <c r="E253" s="16" t="s">
        <v>2552</v>
      </c>
      <c r="F253" s="14" t="s">
        <v>2553</v>
      </c>
      <c r="G253" s="119"/>
      <c r="H253" s="119"/>
      <c r="K253" s="126"/>
      <c r="L253" s="129">
        <f t="shared" ref="L253:AE253" si="82">IF($F$4="COST",L$248*(SUMPRODUCT(L$202:L$209*L$212:L$219*EXP(-L$212:L$219*L$248))+SUMPRODUCT(L$232:L$239*L$222:L$229*EXP(-L$222:L$229*L$248))),L$251+L$248*(SUMPRODUCT(L$202:L$209*L$212:L$219*EXP(-L$212:L$219*L$248))+SUMPRODUCT(L$232:L$239*L$222:L$229*EXP(-L$222:L$229*L$248))))</f>
        <v>0</v>
      </c>
      <c r="M253" s="129">
        <f t="shared" si="82"/>
        <v>0</v>
      </c>
      <c r="N253" s="129">
        <f t="shared" si="82"/>
        <v>0</v>
      </c>
      <c r="O253" s="129">
        <f t="shared" si="82"/>
        <v>0</v>
      </c>
      <c r="P253" s="129">
        <f t="shared" si="82"/>
        <v>0</v>
      </c>
      <c r="Q253" s="129">
        <f t="shared" si="82"/>
        <v>0</v>
      </c>
      <c r="R253" s="129">
        <f t="shared" si="82"/>
        <v>0</v>
      </c>
      <c r="S253" s="129">
        <f t="shared" si="82"/>
        <v>0</v>
      </c>
      <c r="T253" s="129">
        <f t="shared" si="82"/>
        <v>0</v>
      </c>
      <c r="U253" s="129">
        <f t="shared" si="82"/>
        <v>0</v>
      </c>
      <c r="V253" s="129">
        <f t="shared" si="82"/>
        <v>0</v>
      </c>
      <c r="W253" s="129">
        <f t="shared" si="82"/>
        <v>0</v>
      </c>
      <c r="X253" s="129">
        <f t="shared" si="82"/>
        <v>0</v>
      </c>
      <c r="Y253" s="129">
        <f t="shared" si="82"/>
        <v>0</v>
      </c>
      <c r="Z253" s="129">
        <f t="shared" si="82"/>
        <v>0</v>
      </c>
      <c r="AA253" s="129">
        <f t="shared" si="82"/>
        <v>0</v>
      </c>
      <c r="AB253" s="129">
        <f t="shared" si="82"/>
        <v>0</v>
      </c>
      <c r="AC253" s="129">
        <f t="shared" si="82"/>
        <v>0</v>
      </c>
      <c r="AD253" s="129">
        <f t="shared" si="82"/>
        <v>0</v>
      </c>
      <c r="AE253" s="129">
        <f t="shared" si="82"/>
        <v>0</v>
      </c>
      <c r="AF253" s="128"/>
      <c r="AG253" s="128"/>
      <c r="AH253" s="128"/>
      <c r="AI253" s="128"/>
    </row>
    <row r="254" spans="1:35" customFormat="1" ht="14.25" x14ac:dyDescent="0.45">
      <c r="B254" s="14" t="s">
        <v>2554</v>
      </c>
      <c r="C254" s="14" t="s">
        <v>2522</v>
      </c>
      <c r="D254" s="15" t="s">
        <v>2555</v>
      </c>
      <c r="E254" s="16" t="s">
        <v>1415</v>
      </c>
      <c r="F254" s="14" t="s">
        <v>2556</v>
      </c>
      <c r="G254" s="119"/>
      <c r="H254" s="119"/>
      <c r="K254" s="126"/>
      <c r="L254" s="127">
        <f t="shared" ref="L254:AE254" si="83">IF(L$245&lt;=0,0,IF(L$253&lt;=0,L$248,MIN($F$5,IF(L$248-(L$252-L$245)/L$253&lt;=0,L$248/2,L$248-(L$252-L$245)/L$253))))</f>
        <v>0</v>
      </c>
      <c r="M254" s="127">
        <f t="shared" si="83"/>
        <v>0</v>
      </c>
      <c r="N254" s="127">
        <f t="shared" si="83"/>
        <v>0</v>
      </c>
      <c r="O254" s="127">
        <f t="shared" si="83"/>
        <v>0</v>
      </c>
      <c r="P254" s="127">
        <f t="shared" si="83"/>
        <v>0</v>
      </c>
      <c r="Q254" s="127">
        <f t="shared" si="83"/>
        <v>0</v>
      </c>
      <c r="R254" s="127">
        <f t="shared" si="83"/>
        <v>0</v>
      </c>
      <c r="S254" s="127">
        <f t="shared" si="83"/>
        <v>0</v>
      </c>
      <c r="T254" s="127">
        <f t="shared" si="83"/>
        <v>0</v>
      </c>
      <c r="U254" s="127">
        <f t="shared" si="83"/>
        <v>0</v>
      </c>
      <c r="V254" s="127">
        <f t="shared" si="83"/>
        <v>0</v>
      </c>
      <c r="W254" s="127">
        <f t="shared" si="83"/>
        <v>0</v>
      </c>
      <c r="X254" s="127">
        <f t="shared" si="83"/>
        <v>0</v>
      </c>
      <c r="Y254" s="127">
        <f t="shared" si="83"/>
        <v>0</v>
      </c>
      <c r="Z254" s="127">
        <f t="shared" si="83"/>
        <v>0</v>
      </c>
      <c r="AA254" s="127">
        <f t="shared" si="83"/>
        <v>0</v>
      </c>
      <c r="AB254" s="127">
        <f t="shared" si="83"/>
        <v>0</v>
      </c>
      <c r="AC254" s="127">
        <f t="shared" si="83"/>
        <v>0</v>
      </c>
      <c r="AD254" s="127">
        <f t="shared" si="83"/>
        <v>0</v>
      </c>
      <c r="AE254" s="127">
        <f t="shared" si="83"/>
        <v>0</v>
      </c>
      <c r="AF254" s="128"/>
      <c r="AG254" s="128"/>
      <c r="AH254" s="128"/>
      <c r="AI254" s="128"/>
    </row>
    <row r="255" spans="1:35" customFormat="1" ht="14.25" x14ac:dyDescent="0.45">
      <c r="B255" s="14" t="s">
        <v>2557</v>
      </c>
      <c r="C255" s="14" t="s">
        <v>2522</v>
      </c>
      <c r="D255" s="15" t="s">
        <v>2558</v>
      </c>
      <c r="E255" s="16" t="s">
        <v>1967</v>
      </c>
      <c r="F255" s="14" t="s">
        <v>2546</v>
      </c>
      <c r="G255" s="119"/>
      <c r="H255" s="119"/>
      <c r="K255" s="126"/>
      <c r="L255" s="129">
        <f t="shared" ref="L255:AE255" si="84">SUMPRODUCT(L$202:L$209*(1-EXP(-L$212:L$219*L$254)))+SUMPRODUCT(L$232:L$239*(1-EXP(-L$222:L$229*L$254)))</f>
        <v>0</v>
      </c>
      <c r="M255" s="129">
        <f t="shared" si="84"/>
        <v>0</v>
      </c>
      <c r="N255" s="129">
        <f t="shared" si="84"/>
        <v>0</v>
      </c>
      <c r="O255" s="129">
        <f t="shared" si="84"/>
        <v>0</v>
      </c>
      <c r="P255" s="129">
        <f t="shared" si="84"/>
        <v>0</v>
      </c>
      <c r="Q255" s="129">
        <f t="shared" si="84"/>
        <v>0</v>
      </c>
      <c r="R255" s="129">
        <f t="shared" si="84"/>
        <v>0</v>
      </c>
      <c r="S255" s="129">
        <f t="shared" si="84"/>
        <v>0</v>
      </c>
      <c r="T255" s="129">
        <f t="shared" si="84"/>
        <v>0</v>
      </c>
      <c r="U255" s="129">
        <f t="shared" si="84"/>
        <v>0</v>
      </c>
      <c r="V255" s="129">
        <f t="shared" si="84"/>
        <v>0</v>
      </c>
      <c r="W255" s="129">
        <f t="shared" si="84"/>
        <v>0</v>
      </c>
      <c r="X255" s="129">
        <f t="shared" si="84"/>
        <v>0</v>
      </c>
      <c r="Y255" s="129">
        <f t="shared" si="84"/>
        <v>0</v>
      </c>
      <c r="Z255" s="129">
        <f t="shared" si="84"/>
        <v>0</v>
      </c>
      <c r="AA255" s="129">
        <f t="shared" si="84"/>
        <v>0</v>
      </c>
      <c r="AB255" s="129">
        <f t="shared" si="84"/>
        <v>0</v>
      </c>
      <c r="AC255" s="129">
        <f t="shared" si="84"/>
        <v>0</v>
      </c>
      <c r="AD255" s="129">
        <f t="shared" si="84"/>
        <v>0</v>
      </c>
      <c r="AE255" s="129">
        <f t="shared" si="84"/>
        <v>0</v>
      </c>
      <c r="AF255" s="128"/>
      <c r="AG255" s="128"/>
      <c r="AH255" s="128"/>
      <c r="AI255" s="128"/>
    </row>
    <row r="256" spans="1:35" customFormat="1" ht="14.25" x14ac:dyDescent="0.45">
      <c r="B256" s="14" t="s">
        <v>2559</v>
      </c>
      <c r="C256" s="14" t="s">
        <v>2522</v>
      </c>
      <c r="D256" s="15" t="s">
        <v>2560</v>
      </c>
      <c r="E256" s="16" t="s">
        <v>1871</v>
      </c>
      <c r="F256" s="14" t="s">
        <v>2549</v>
      </c>
      <c r="G256" s="119"/>
      <c r="H256" s="119"/>
      <c r="K256" s="126"/>
      <c r="L256" s="127">
        <f t="shared" ref="L256:AE256" si="85">IF($F$4="COST",(SUMPRODUCT(L$202:L$209*((1-EXP(-L$212:L$219*L$254))/(L$212:L$219+(L$212:L$219=0))-L$254*EXP(-L$212:L$219*L$254)*(L$212:L$219&lt;&gt;0)))+SUMPRODUCT(L$232:L$239*((1-EXP(-L$222:L$229*L$254))/(L$222:L$229+(L$222:L$229=0))-L$254*EXP(-L$222:L$229*L$254)*(L$222:L$229&lt;&gt;0)))),L$254*L$255)</f>
        <v>0</v>
      </c>
      <c r="M256" s="127">
        <f t="shared" si="85"/>
        <v>0</v>
      </c>
      <c r="N256" s="127">
        <f t="shared" si="85"/>
        <v>0</v>
      </c>
      <c r="O256" s="127">
        <f t="shared" si="85"/>
        <v>0</v>
      </c>
      <c r="P256" s="127">
        <f t="shared" si="85"/>
        <v>0</v>
      </c>
      <c r="Q256" s="127">
        <f t="shared" si="85"/>
        <v>0</v>
      </c>
      <c r="R256" s="127">
        <f t="shared" si="85"/>
        <v>0</v>
      </c>
      <c r="S256" s="127">
        <f t="shared" si="85"/>
        <v>0</v>
      </c>
      <c r="T256" s="127">
        <f t="shared" si="85"/>
        <v>0</v>
      </c>
      <c r="U256" s="127">
        <f t="shared" si="85"/>
        <v>0</v>
      </c>
      <c r="V256" s="127">
        <f t="shared" si="85"/>
        <v>0</v>
      </c>
      <c r="W256" s="127">
        <f t="shared" si="85"/>
        <v>0</v>
      </c>
      <c r="X256" s="127">
        <f t="shared" si="85"/>
        <v>0</v>
      </c>
      <c r="Y256" s="127">
        <f t="shared" si="85"/>
        <v>0</v>
      </c>
      <c r="Z256" s="127">
        <f t="shared" si="85"/>
        <v>0</v>
      </c>
      <c r="AA256" s="127">
        <f t="shared" si="85"/>
        <v>0</v>
      </c>
      <c r="AB256" s="127">
        <f t="shared" si="85"/>
        <v>0</v>
      </c>
      <c r="AC256" s="127">
        <f t="shared" si="85"/>
        <v>0</v>
      </c>
      <c r="AD256" s="127">
        <f t="shared" si="85"/>
        <v>0</v>
      </c>
      <c r="AE256" s="127">
        <f t="shared" si="85"/>
        <v>0</v>
      </c>
      <c r="AF256" s="128"/>
      <c r="AG256" s="128"/>
      <c r="AH256" s="128"/>
      <c r="AI256" s="128"/>
    </row>
    <row r="257" spans="2:35" customFormat="1" ht="14.25" x14ac:dyDescent="0.45">
      <c r="B257" s="14" t="s">
        <v>2561</v>
      </c>
      <c r="C257" s="14" t="s">
        <v>2522</v>
      </c>
      <c r="D257" s="15" t="s">
        <v>2562</v>
      </c>
      <c r="E257" s="16" t="s">
        <v>2552</v>
      </c>
      <c r="F257" s="14" t="s">
        <v>2553</v>
      </c>
      <c r="G257" s="119"/>
      <c r="H257" s="119"/>
      <c r="K257" s="126"/>
      <c r="L257" s="129">
        <f t="shared" ref="L257:AE257" si="86">IF($F$4="COST",L$254*(SUMPRODUCT(L$202:L$209*L$212:L$219*EXP(-L$212:L$219*L$254))+SUMPRODUCT(L$232:L$239*L$222:L$229*EXP(-L$222:L$229*L$254))),L$255+L$254*(SUMPRODUCT(L$202:L$209*L$212:L$219*EXP(-L$212:L$219*L$254))+SUMPRODUCT(L$232:L$239*L$222:L$229*EXP(-L$222:L$229*L$254))))</f>
        <v>0</v>
      </c>
      <c r="M257" s="129">
        <f t="shared" si="86"/>
        <v>0</v>
      </c>
      <c r="N257" s="129">
        <f t="shared" si="86"/>
        <v>0</v>
      </c>
      <c r="O257" s="129">
        <f t="shared" si="86"/>
        <v>0</v>
      </c>
      <c r="P257" s="129">
        <f t="shared" si="86"/>
        <v>0</v>
      </c>
      <c r="Q257" s="129">
        <f t="shared" si="86"/>
        <v>0</v>
      </c>
      <c r="R257" s="129">
        <f t="shared" si="86"/>
        <v>0</v>
      </c>
      <c r="S257" s="129">
        <f t="shared" si="86"/>
        <v>0</v>
      </c>
      <c r="T257" s="129">
        <f t="shared" si="86"/>
        <v>0</v>
      </c>
      <c r="U257" s="129">
        <f t="shared" si="86"/>
        <v>0</v>
      </c>
      <c r="V257" s="129">
        <f t="shared" si="86"/>
        <v>0</v>
      </c>
      <c r="W257" s="129">
        <f t="shared" si="86"/>
        <v>0</v>
      </c>
      <c r="X257" s="129">
        <f t="shared" si="86"/>
        <v>0</v>
      </c>
      <c r="Y257" s="129">
        <f t="shared" si="86"/>
        <v>0</v>
      </c>
      <c r="Z257" s="129">
        <f t="shared" si="86"/>
        <v>0</v>
      </c>
      <c r="AA257" s="129">
        <f t="shared" si="86"/>
        <v>0</v>
      </c>
      <c r="AB257" s="129">
        <f t="shared" si="86"/>
        <v>0</v>
      </c>
      <c r="AC257" s="129">
        <f t="shared" si="86"/>
        <v>0</v>
      </c>
      <c r="AD257" s="129">
        <f t="shared" si="86"/>
        <v>0</v>
      </c>
      <c r="AE257" s="129">
        <f t="shared" si="86"/>
        <v>0</v>
      </c>
      <c r="AF257" s="128"/>
      <c r="AG257" s="128"/>
      <c r="AH257" s="128"/>
      <c r="AI257" s="128"/>
    </row>
    <row r="258" spans="2:35" customFormat="1" ht="14.25" x14ac:dyDescent="0.45">
      <c r="B258" s="14" t="s">
        <v>2563</v>
      </c>
      <c r="C258" s="14" t="s">
        <v>2522</v>
      </c>
      <c r="D258" s="15" t="s">
        <v>2564</v>
      </c>
      <c r="E258" s="16" t="s">
        <v>1415</v>
      </c>
      <c r="F258" s="14" t="s">
        <v>2556</v>
      </c>
      <c r="G258" s="119"/>
      <c r="H258" s="119"/>
      <c r="K258" s="126"/>
      <c r="L258" s="127">
        <f t="shared" ref="L258:AE258" si="87">IF(L$245&lt;=0,0,IF(L$257&lt;=0,L$254,MIN($F$5,IF(L$254-(L$256-L$245)/L$257&lt;=0,L$254/2,L$254-(L$256-L$245)/L$257))))</f>
        <v>0</v>
      </c>
      <c r="M258" s="127">
        <f t="shared" si="87"/>
        <v>0</v>
      </c>
      <c r="N258" s="127">
        <f t="shared" si="87"/>
        <v>0</v>
      </c>
      <c r="O258" s="127">
        <f t="shared" si="87"/>
        <v>0</v>
      </c>
      <c r="P258" s="127">
        <f t="shared" si="87"/>
        <v>0</v>
      </c>
      <c r="Q258" s="127">
        <f t="shared" si="87"/>
        <v>0</v>
      </c>
      <c r="R258" s="127">
        <f t="shared" si="87"/>
        <v>0</v>
      </c>
      <c r="S258" s="127">
        <f t="shared" si="87"/>
        <v>0</v>
      </c>
      <c r="T258" s="127">
        <f t="shared" si="87"/>
        <v>0</v>
      </c>
      <c r="U258" s="127">
        <f t="shared" si="87"/>
        <v>0</v>
      </c>
      <c r="V258" s="127">
        <f t="shared" si="87"/>
        <v>0</v>
      </c>
      <c r="W258" s="127">
        <f t="shared" si="87"/>
        <v>0</v>
      </c>
      <c r="X258" s="127">
        <f t="shared" si="87"/>
        <v>0</v>
      </c>
      <c r="Y258" s="127">
        <f t="shared" si="87"/>
        <v>0</v>
      </c>
      <c r="Z258" s="127">
        <f t="shared" si="87"/>
        <v>0</v>
      </c>
      <c r="AA258" s="127">
        <f t="shared" si="87"/>
        <v>0</v>
      </c>
      <c r="AB258" s="127">
        <f t="shared" si="87"/>
        <v>0</v>
      </c>
      <c r="AC258" s="127">
        <f t="shared" si="87"/>
        <v>0</v>
      </c>
      <c r="AD258" s="127">
        <f t="shared" si="87"/>
        <v>0</v>
      </c>
      <c r="AE258" s="127">
        <f t="shared" si="87"/>
        <v>0</v>
      </c>
      <c r="AF258" s="128"/>
      <c r="AG258" s="128"/>
      <c r="AH258" s="128"/>
      <c r="AI258" s="128"/>
    </row>
    <row r="259" spans="2:35" customFormat="1" ht="14.25" x14ac:dyDescent="0.45">
      <c r="B259" s="14" t="s">
        <v>2565</v>
      </c>
      <c r="C259" s="14" t="s">
        <v>2522</v>
      </c>
      <c r="D259" s="15" t="s">
        <v>2566</v>
      </c>
      <c r="E259" s="16" t="s">
        <v>1967</v>
      </c>
      <c r="F259" s="14" t="s">
        <v>2546</v>
      </c>
      <c r="G259" s="119"/>
      <c r="H259" s="119"/>
      <c r="K259" s="126"/>
      <c r="L259" s="129">
        <f t="shared" ref="L259:AE259" si="88">SUMPRODUCT(L$202:L$209*(1-EXP(-L$212:L$219*L$258)))+SUMPRODUCT(L$232:L$239*(1-EXP(-L$222:L$229*L$258)))</f>
        <v>0</v>
      </c>
      <c r="M259" s="129">
        <f t="shared" si="88"/>
        <v>0</v>
      </c>
      <c r="N259" s="129">
        <f t="shared" si="88"/>
        <v>0</v>
      </c>
      <c r="O259" s="129">
        <f t="shared" si="88"/>
        <v>0</v>
      </c>
      <c r="P259" s="129">
        <f t="shared" si="88"/>
        <v>0</v>
      </c>
      <c r="Q259" s="129">
        <f t="shared" si="88"/>
        <v>0</v>
      </c>
      <c r="R259" s="129">
        <f t="shared" si="88"/>
        <v>0</v>
      </c>
      <c r="S259" s="129">
        <f t="shared" si="88"/>
        <v>0</v>
      </c>
      <c r="T259" s="129">
        <f t="shared" si="88"/>
        <v>0</v>
      </c>
      <c r="U259" s="129">
        <f t="shared" si="88"/>
        <v>0</v>
      </c>
      <c r="V259" s="129">
        <f t="shared" si="88"/>
        <v>0</v>
      </c>
      <c r="W259" s="129">
        <f t="shared" si="88"/>
        <v>0</v>
      </c>
      <c r="X259" s="129">
        <f t="shared" si="88"/>
        <v>0</v>
      </c>
      <c r="Y259" s="129">
        <f t="shared" si="88"/>
        <v>0</v>
      </c>
      <c r="Z259" s="129">
        <f t="shared" si="88"/>
        <v>0</v>
      </c>
      <c r="AA259" s="129">
        <f t="shared" si="88"/>
        <v>0</v>
      </c>
      <c r="AB259" s="129">
        <f t="shared" si="88"/>
        <v>0</v>
      </c>
      <c r="AC259" s="129">
        <f t="shared" si="88"/>
        <v>0</v>
      </c>
      <c r="AD259" s="129">
        <f t="shared" si="88"/>
        <v>0</v>
      </c>
      <c r="AE259" s="129">
        <f t="shared" si="88"/>
        <v>0</v>
      </c>
      <c r="AF259" s="128"/>
      <c r="AG259" s="128"/>
      <c r="AH259" s="128"/>
      <c r="AI259" s="128"/>
    </row>
    <row r="260" spans="2:35" customFormat="1" ht="14.25" x14ac:dyDescent="0.45">
      <c r="B260" s="14" t="s">
        <v>2567</v>
      </c>
      <c r="C260" s="14" t="s">
        <v>2522</v>
      </c>
      <c r="D260" s="15" t="s">
        <v>2568</v>
      </c>
      <c r="E260" s="16" t="s">
        <v>1871</v>
      </c>
      <c r="F260" s="14" t="s">
        <v>2549</v>
      </c>
      <c r="G260" s="119"/>
      <c r="H260" s="119"/>
      <c r="K260" s="126"/>
      <c r="L260" s="127">
        <f t="shared" ref="L260:AE260" si="89">IF($F$4="COST",(SUMPRODUCT(L$202:L$209*((1-EXP(-L$212:L$219*L$258))/(L$212:L$219+(L$212:L$219=0))-L$258*EXP(-L$212:L$219*L$258)*(L$212:L$219&lt;&gt;0)))+SUMPRODUCT(L$232:L$239*((1-EXP(-L$222:L$229*L$258))/(L$222:L$229+(L$222:L$229=0))-L$258*EXP(-L$222:L$229*L$258)*(L$222:L$229&lt;&gt;0)))),L$258*L$259)</f>
        <v>0</v>
      </c>
      <c r="M260" s="127">
        <f t="shared" si="89"/>
        <v>0</v>
      </c>
      <c r="N260" s="127">
        <f t="shared" si="89"/>
        <v>0</v>
      </c>
      <c r="O260" s="127">
        <f t="shared" si="89"/>
        <v>0</v>
      </c>
      <c r="P260" s="127">
        <f t="shared" si="89"/>
        <v>0</v>
      </c>
      <c r="Q260" s="127">
        <f t="shared" si="89"/>
        <v>0</v>
      </c>
      <c r="R260" s="127">
        <f t="shared" si="89"/>
        <v>0</v>
      </c>
      <c r="S260" s="127">
        <f t="shared" si="89"/>
        <v>0</v>
      </c>
      <c r="T260" s="127">
        <f t="shared" si="89"/>
        <v>0</v>
      </c>
      <c r="U260" s="127">
        <f t="shared" si="89"/>
        <v>0</v>
      </c>
      <c r="V260" s="127">
        <f t="shared" si="89"/>
        <v>0</v>
      </c>
      <c r="W260" s="127">
        <f t="shared" si="89"/>
        <v>0</v>
      </c>
      <c r="X260" s="127">
        <f t="shared" si="89"/>
        <v>0</v>
      </c>
      <c r="Y260" s="127">
        <f t="shared" si="89"/>
        <v>0</v>
      </c>
      <c r="Z260" s="127">
        <f t="shared" si="89"/>
        <v>0</v>
      </c>
      <c r="AA260" s="127">
        <f t="shared" si="89"/>
        <v>0</v>
      </c>
      <c r="AB260" s="127">
        <f t="shared" si="89"/>
        <v>0</v>
      </c>
      <c r="AC260" s="127">
        <f t="shared" si="89"/>
        <v>0</v>
      </c>
      <c r="AD260" s="127">
        <f t="shared" si="89"/>
        <v>0</v>
      </c>
      <c r="AE260" s="127">
        <f t="shared" si="89"/>
        <v>0</v>
      </c>
      <c r="AF260" s="128"/>
      <c r="AG260" s="128"/>
      <c r="AH260" s="128"/>
      <c r="AI260" s="128"/>
    </row>
    <row r="261" spans="2:35" customFormat="1" ht="14.25" x14ac:dyDescent="0.45">
      <c r="B261" s="14" t="s">
        <v>2569</v>
      </c>
      <c r="C261" s="14" t="s">
        <v>2522</v>
      </c>
      <c r="D261" s="15" t="s">
        <v>2570</v>
      </c>
      <c r="E261" s="16" t="s">
        <v>2552</v>
      </c>
      <c r="F261" s="14" t="s">
        <v>2553</v>
      </c>
      <c r="G261" s="119"/>
      <c r="H261" s="119"/>
      <c r="K261" s="126"/>
      <c r="L261" s="129">
        <f t="shared" ref="L261:AE261" si="90">IF($F$4="COST",L$258*(SUMPRODUCT(L$202:L$209*L$212:L$219*EXP(-L$212:L$219*L$258))+SUMPRODUCT(L$232:L$239*L$222:L$229*EXP(-L$222:L$229*L$258))),L$259+L$258*(SUMPRODUCT(L$202:L$209*L$212:L$219*EXP(-L$212:L$219*L$258))+SUMPRODUCT(L$232:L$239*L$222:L$229*EXP(-L$222:L$229*L$258))))</f>
        <v>0</v>
      </c>
      <c r="M261" s="129">
        <f t="shared" si="90"/>
        <v>0</v>
      </c>
      <c r="N261" s="129">
        <f t="shared" si="90"/>
        <v>0</v>
      </c>
      <c r="O261" s="129">
        <f t="shared" si="90"/>
        <v>0</v>
      </c>
      <c r="P261" s="129">
        <f t="shared" si="90"/>
        <v>0</v>
      </c>
      <c r="Q261" s="129">
        <f t="shared" si="90"/>
        <v>0</v>
      </c>
      <c r="R261" s="129">
        <f t="shared" si="90"/>
        <v>0</v>
      </c>
      <c r="S261" s="129">
        <f t="shared" si="90"/>
        <v>0</v>
      </c>
      <c r="T261" s="129">
        <f t="shared" si="90"/>
        <v>0</v>
      </c>
      <c r="U261" s="129">
        <f t="shared" si="90"/>
        <v>0</v>
      </c>
      <c r="V261" s="129">
        <f t="shared" si="90"/>
        <v>0</v>
      </c>
      <c r="W261" s="129">
        <f t="shared" si="90"/>
        <v>0</v>
      </c>
      <c r="X261" s="129">
        <f t="shared" si="90"/>
        <v>0</v>
      </c>
      <c r="Y261" s="129">
        <f t="shared" si="90"/>
        <v>0</v>
      </c>
      <c r="Z261" s="129">
        <f t="shared" si="90"/>
        <v>0</v>
      </c>
      <c r="AA261" s="129">
        <f t="shared" si="90"/>
        <v>0</v>
      </c>
      <c r="AB261" s="129">
        <f t="shared" si="90"/>
        <v>0</v>
      </c>
      <c r="AC261" s="129">
        <f t="shared" si="90"/>
        <v>0</v>
      </c>
      <c r="AD261" s="129">
        <f t="shared" si="90"/>
        <v>0</v>
      </c>
      <c r="AE261" s="129">
        <f t="shared" si="90"/>
        <v>0</v>
      </c>
      <c r="AF261" s="128"/>
      <c r="AG261" s="128"/>
      <c r="AH261" s="128"/>
      <c r="AI261" s="128"/>
    </row>
    <row r="262" spans="2:35" customFormat="1" ht="14.25" x14ac:dyDescent="0.45">
      <c r="B262" s="14" t="s">
        <v>2571</v>
      </c>
      <c r="C262" s="14" t="s">
        <v>2522</v>
      </c>
      <c r="D262" s="15" t="s">
        <v>2572</v>
      </c>
      <c r="E262" s="16" t="s">
        <v>1415</v>
      </c>
      <c r="F262" s="14" t="s">
        <v>2556</v>
      </c>
      <c r="G262" s="119"/>
      <c r="H262" s="119"/>
      <c r="K262" s="126"/>
      <c r="L262" s="127">
        <f t="shared" ref="L262:AE262" si="91">IF(L$245&lt;=0,0,IF(L$261&lt;=0,L$258,MIN($F$5,IF(L$258-(L$260-L$245)/L$261&lt;=0,L$258/2,L$258-(L$260-L$245)/L$261))))</f>
        <v>0</v>
      </c>
      <c r="M262" s="127">
        <f t="shared" si="91"/>
        <v>0</v>
      </c>
      <c r="N262" s="127">
        <f t="shared" si="91"/>
        <v>0</v>
      </c>
      <c r="O262" s="127">
        <f t="shared" si="91"/>
        <v>0</v>
      </c>
      <c r="P262" s="127">
        <f t="shared" si="91"/>
        <v>0</v>
      </c>
      <c r="Q262" s="127">
        <f t="shared" si="91"/>
        <v>0</v>
      </c>
      <c r="R262" s="127">
        <f t="shared" si="91"/>
        <v>0</v>
      </c>
      <c r="S262" s="127">
        <f t="shared" si="91"/>
        <v>0</v>
      </c>
      <c r="T262" s="127">
        <f t="shared" si="91"/>
        <v>0</v>
      </c>
      <c r="U262" s="127">
        <f t="shared" si="91"/>
        <v>0</v>
      </c>
      <c r="V262" s="127">
        <f t="shared" si="91"/>
        <v>0</v>
      </c>
      <c r="W262" s="127">
        <f t="shared" si="91"/>
        <v>0</v>
      </c>
      <c r="X262" s="127">
        <f t="shared" si="91"/>
        <v>0</v>
      </c>
      <c r="Y262" s="127">
        <f t="shared" si="91"/>
        <v>0</v>
      </c>
      <c r="Z262" s="127">
        <f t="shared" si="91"/>
        <v>0</v>
      </c>
      <c r="AA262" s="127">
        <f t="shared" si="91"/>
        <v>0</v>
      </c>
      <c r="AB262" s="127">
        <f t="shared" si="91"/>
        <v>0</v>
      </c>
      <c r="AC262" s="127">
        <f t="shared" si="91"/>
        <v>0</v>
      </c>
      <c r="AD262" s="127">
        <f t="shared" si="91"/>
        <v>0</v>
      </c>
      <c r="AE262" s="127">
        <f t="shared" si="91"/>
        <v>0</v>
      </c>
      <c r="AF262" s="128"/>
      <c r="AG262" s="128"/>
      <c r="AH262" s="128"/>
      <c r="AI262" s="128"/>
    </row>
    <row r="263" spans="2:35" customFormat="1" ht="14.25" x14ac:dyDescent="0.45">
      <c r="B263" s="14" t="s">
        <v>2573</v>
      </c>
      <c r="C263" s="14" t="s">
        <v>2522</v>
      </c>
      <c r="D263" s="15" t="s">
        <v>2574</v>
      </c>
      <c r="E263" s="16" t="s">
        <v>1967</v>
      </c>
      <c r="F263" s="14" t="s">
        <v>2546</v>
      </c>
      <c r="G263" s="119"/>
      <c r="H263" s="119"/>
      <c r="K263" s="126"/>
      <c r="L263" s="129">
        <f t="shared" ref="L263:AE263" si="92">SUMPRODUCT(L$202:L$209*(1-EXP(-L$212:L$219*L$262)))+SUMPRODUCT(L$232:L$239*(1-EXP(-L$222:L$229*L$262)))</f>
        <v>0</v>
      </c>
      <c r="M263" s="129">
        <f t="shared" si="92"/>
        <v>0</v>
      </c>
      <c r="N263" s="129">
        <f t="shared" si="92"/>
        <v>0</v>
      </c>
      <c r="O263" s="129">
        <f t="shared" si="92"/>
        <v>0</v>
      </c>
      <c r="P263" s="129">
        <f t="shared" si="92"/>
        <v>0</v>
      </c>
      <c r="Q263" s="129">
        <f t="shared" si="92"/>
        <v>0</v>
      </c>
      <c r="R263" s="129">
        <f t="shared" si="92"/>
        <v>0</v>
      </c>
      <c r="S263" s="129">
        <f t="shared" si="92"/>
        <v>0</v>
      </c>
      <c r="T263" s="129">
        <f t="shared" si="92"/>
        <v>0</v>
      </c>
      <c r="U263" s="129">
        <f t="shared" si="92"/>
        <v>0</v>
      </c>
      <c r="V263" s="129">
        <f t="shared" si="92"/>
        <v>0</v>
      </c>
      <c r="W263" s="129">
        <f t="shared" si="92"/>
        <v>0</v>
      </c>
      <c r="X263" s="129">
        <f t="shared" si="92"/>
        <v>0</v>
      </c>
      <c r="Y263" s="129">
        <f t="shared" si="92"/>
        <v>0</v>
      </c>
      <c r="Z263" s="129">
        <f t="shared" si="92"/>
        <v>0</v>
      </c>
      <c r="AA263" s="129">
        <f t="shared" si="92"/>
        <v>0</v>
      </c>
      <c r="AB263" s="129">
        <f t="shared" si="92"/>
        <v>0</v>
      </c>
      <c r="AC263" s="129">
        <f t="shared" si="92"/>
        <v>0</v>
      </c>
      <c r="AD263" s="129">
        <f t="shared" si="92"/>
        <v>0</v>
      </c>
      <c r="AE263" s="129">
        <f t="shared" si="92"/>
        <v>0</v>
      </c>
      <c r="AF263" s="128"/>
      <c r="AG263" s="128"/>
      <c r="AH263" s="128"/>
      <c r="AI263" s="128"/>
    </row>
    <row r="264" spans="2:35" customFormat="1" ht="14.25" x14ac:dyDescent="0.45">
      <c r="B264" s="14" t="s">
        <v>2575</v>
      </c>
      <c r="C264" s="14" t="s">
        <v>2522</v>
      </c>
      <c r="D264" s="15" t="s">
        <v>2576</v>
      </c>
      <c r="E264" s="16" t="s">
        <v>1871</v>
      </c>
      <c r="F264" s="14" t="s">
        <v>2549</v>
      </c>
      <c r="G264" s="119"/>
      <c r="H264" s="119"/>
      <c r="K264" s="126"/>
      <c r="L264" s="127">
        <f t="shared" ref="L264:AE264" si="93">IF($F$4="COST",(SUMPRODUCT(L$202:L$209*((1-EXP(-L$212:L$219*L$262))/(L$212:L$219+(L$212:L$219=0))-L$262*EXP(-L$212:L$219*L$262)*(L$212:L$219&lt;&gt;0)))+SUMPRODUCT(L$232:L$239*((1-EXP(-L$222:L$229*L$262))/(L$222:L$229+(L$222:L$229=0))-L$262*EXP(-L$222:L$229*L$262)*(L$222:L$229&lt;&gt;0)))),L$262*L$263)</f>
        <v>0</v>
      </c>
      <c r="M264" s="127">
        <f t="shared" si="93"/>
        <v>0</v>
      </c>
      <c r="N264" s="127">
        <f t="shared" si="93"/>
        <v>0</v>
      </c>
      <c r="O264" s="127">
        <f t="shared" si="93"/>
        <v>0</v>
      </c>
      <c r="P264" s="127">
        <f t="shared" si="93"/>
        <v>0</v>
      </c>
      <c r="Q264" s="127">
        <f t="shared" si="93"/>
        <v>0</v>
      </c>
      <c r="R264" s="127">
        <f t="shared" si="93"/>
        <v>0</v>
      </c>
      <c r="S264" s="127">
        <f t="shared" si="93"/>
        <v>0</v>
      </c>
      <c r="T264" s="127">
        <f t="shared" si="93"/>
        <v>0</v>
      </c>
      <c r="U264" s="127">
        <f t="shared" si="93"/>
        <v>0</v>
      </c>
      <c r="V264" s="127">
        <f t="shared" si="93"/>
        <v>0</v>
      </c>
      <c r="W264" s="127">
        <f t="shared" si="93"/>
        <v>0</v>
      </c>
      <c r="X264" s="127">
        <f t="shared" si="93"/>
        <v>0</v>
      </c>
      <c r="Y264" s="127">
        <f t="shared" si="93"/>
        <v>0</v>
      </c>
      <c r="Z264" s="127">
        <f t="shared" si="93"/>
        <v>0</v>
      </c>
      <c r="AA264" s="127">
        <f t="shared" si="93"/>
        <v>0</v>
      </c>
      <c r="AB264" s="127">
        <f t="shared" si="93"/>
        <v>0</v>
      </c>
      <c r="AC264" s="127">
        <f t="shared" si="93"/>
        <v>0</v>
      </c>
      <c r="AD264" s="127">
        <f t="shared" si="93"/>
        <v>0</v>
      </c>
      <c r="AE264" s="127">
        <f t="shared" si="93"/>
        <v>0</v>
      </c>
      <c r="AF264" s="128"/>
      <c r="AG264" s="128"/>
      <c r="AH264" s="128"/>
      <c r="AI264" s="128"/>
    </row>
    <row r="265" spans="2:35" customFormat="1" ht="14.25" x14ac:dyDescent="0.45">
      <c r="B265" s="14" t="s">
        <v>2577</v>
      </c>
      <c r="C265" s="14" t="s">
        <v>2522</v>
      </c>
      <c r="D265" s="15" t="s">
        <v>2578</v>
      </c>
      <c r="E265" s="16" t="s">
        <v>2552</v>
      </c>
      <c r="F265" s="14" t="s">
        <v>2553</v>
      </c>
      <c r="G265" s="119"/>
      <c r="H265" s="119"/>
      <c r="K265" s="126"/>
      <c r="L265" s="129">
        <f t="shared" ref="L265:AE265" si="94">IF($F$4="COST",L$262*(SUMPRODUCT(L$202:L$209*L$212:L$219*EXP(-L$212:L$219*L$262))+SUMPRODUCT(L$232:L$239*L$222:L$229*EXP(-L$222:L$229*L$262))),L$263+L$262*(SUMPRODUCT(L$202:L$209*L$212:L$219*EXP(-L$212:L$219*L$262))+SUMPRODUCT(L$232:L$239*L$222:L$229*EXP(-L$222:L$229*L$262))))</f>
        <v>0</v>
      </c>
      <c r="M265" s="129">
        <f t="shared" si="94"/>
        <v>0</v>
      </c>
      <c r="N265" s="129">
        <f t="shared" si="94"/>
        <v>0</v>
      </c>
      <c r="O265" s="129">
        <f t="shared" si="94"/>
        <v>0</v>
      </c>
      <c r="P265" s="129">
        <f t="shared" si="94"/>
        <v>0</v>
      </c>
      <c r="Q265" s="129">
        <f t="shared" si="94"/>
        <v>0</v>
      </c>
      <c r="R265" s="129">
        <f t="shared" si="94"/>
        <v>0</v>
      </c>
      <c r="S265" s="129">
        <f t="shared" si="94"/>
        <v>0</v>
      </c>
      <c r="T265" s="129">
        <f t="shared" si="94"/>
        <v>0</v>
      </c>
      <c r="U265" s="129">
        <f t="shared" si="94"/>
        <v>0</v>
      </c>
      <c r="V265" s="129">
        <f t="shared" si="94"/>
        <v>0</v>
      </c>
      <c r="W265" s="129">
        <f t="shared" si="94"/>
        <v>0</v>
      </c>
      <c r="X265" s="129">
        <f t="shared" si="94"/>
        <v>0</v>
      </c>
      <c r="Y265" s="129">
        <f t="shared" si="94"/>
        <v>0</v>
      </c>
      <c r="Z265" s="129">
        <f t="shared" si="94"/>
        <v>0</v>
      </c>
      <c r="AA265" s="129">
        <f t="shared" si="94"/>
        <v>0</v>
      </c>
      <c r="AB265" s="129">
        <f t="shared" si="94"/>
        <v>0</v>
      </c>
      <c r="AC265" s="129">
        <f t="shared" si="94"/>
        <v>0</v>
      </c>
      <c r="AD265" s="129">
        <f t="shared" si="94"/>
        <v>0</v>
      </c>
      <c r="AE265" s="129">
        <f t="shared" si="94"/>
        <v>0</v>
      </c>
      <c r="AF265" s="128"/>
      <c r="AG265" s="128"/>
      <c r="AH265" s="128"/>
      <c r="AI265" s="128"/>
    </row>
    <row r="266" spans="2:35" customFormat="1" ht="14.25" x14ac:dyDescent="0.45">
      <c r="B266" s="14" t="s">
        <v>2579</v>
      </c>
      <c r="C266" s="14" t="s">
        <v>2522</v>
      </c>
      <c r="D266" s="15" t="s">
        <v>2580</v>
      </c>
      <c r="E266" s="16" t="s">
        <v>1415</v>
      </c>
      <c r="F266" s="14" t="s">
        <v>2556</v>
      </c>
      <c r="G266" s="119"/>
      <c r="H266" s="119"/>
      <c r="K266" s="126"/>
      <c r="L266" s="127">
        <f t="shared" ref="L266:AE266" si="95">IF(L$245&lt;=0,0,IF(L$265&lt;=0,L$262,MIN($F$5,IF(L$262-(L$264-L$245)/L$265&lt;=0,L$262/2,L$262-(L$264-L$245)/L$265))))</f>
        <v>0</v>
      </c>
      <c r="M266" s="127">
        <f t="shared" si="95"/>
        <v>0</v>
      </c>
      <c r="N266" s="127">
        <f t="shared" si="95"/>
        <v>0</v>
      </c>
      <c r="O266" s="127">
        <f t="shared" si="95"/>
        <v>0</v>
      </c>
      <c r="P266" s="127">
        <f t="shared" si="95"/>
        <v>0</v>
      </c>
      <c r="Q266" s="127">
        <f t="shared" si="95"/>
        <v>0</v>
      </c>
      <c r="R266" s="127">
        <f t="shared" si="95"/>
        <v>0</v>
      </c>
      <c r="S266" s="127">
        <f t="shared" si="95"/>
        <v>0</v>
      </c>
      <c r="T266" s="127">
        <f t="shared" si="95"/>
        <v>0</v>
      </c>
      <c r="U266" s="127">
        <f t="shared" si="95"/>
        <v>0</v>
      </c>
      <c r="V266" s="127">
        <f t="shared" si="95"/>
        <v>0</v>
      </c>
      <c r="W266" s="127">
        <f t="shared" si="95"/>
        <v>0</v>
      </c>
      <c r="X266" s="127">
        <f t="shared" si="95"/>
        <v>0</v>
      </c>
      <c r="Y266" s="127">
        <f t="shared" si="95"/>
        <v>0</v>
      </c>
      <c r="Z266" s="127">
        <f t="shared" si="95"/>
        <v>0</v>
      </c>
      <c r="AA266" s="127">
        <f t="shared" si="95"/>
        <v>0</v>
      </c>
      <c r="AB266" s="127">
        <f t="shared" si="95"/>
        <v>0</v>
      </c>
      <c r="AC266" s="127">
        <f t="shared" si="95"/>
        <v>0</v>
      </c>
      <c r="AD266" s="127">
        <f t="shared" si="95"/>
        <v>0</v>
      </c>
      <c r="AE266" s="127">
        <f t="shared" si="95"/>
        <v>0</v>
      </c>
      <c r="AF266" s="128"/>
      <c r="AG266" s="128"/>
      <c r="AH266" s="128"/>
      <c r="AI266" s="128"/>
    </row>
    <row r="267" spans="2:35" customFormat="1" ht="14.25" x14ac:dyDescent="0.45">
      <c r="B267" s="14" t="s">
        <v>2581</v>
      </c>
      <c r="C267" s="14" t="s">
        <v>2522</v>
      </c>
      <c r="D267" s="15" t="s">
        <v>2582</v>
      </c>
      <c r="E267" s="16" t="s">
        <v>1967</v>
      </c>
      <c r="F267" s="14" t="s">
        <v>2546</v>
      </c>
      <c r="G267" s="119"/>
      <c r="H267" s="119"/>
      <c r="K267" s="126"/>
      <c r="L267" s="129">
        <f t="shared" ref="L267:AE267" si="96">SUMPRODUCT(L$202:L$209*(1-EXP(-L$212:L$219*L$266)))+SUMPRODUCT(L$232:L$239*(1-EXP(-L$222:L$229*L$266)))</f>
        <v>0</v>
      </c>
      <c r="M267" s="129">
        <f t="shared" si="96"/>
        <v>0</v>
      </c>
      <c r="N267" s="129">
        <f t="shared" si="96"/>
        <v>0</v>
      </c>
      <c r="O267" s="129">
        <f t="shared" si="96"/>
        <v>0</v>
      </c>
      <c r="P267" s="129">
        <f t="shared" si="96"/>
        <v>0</v>
      </c>
      <c r="Q267" s="129">
        <f t="shared" si="96"/>
        <v>0</v>
      </c>
      <c r="R267" s="129">
        <f t="shared" si="96"/>
        <v>0</v>
      </c>
      <c r="S267" s="129">
        <f t="shared" si="96"/>
        <v>0</v>
      </c>
      <c r="T267" s="129">
        <f t="shared" si="96"/>
        <v>0</v>
      </c>
      <c r="U267" s="129">
        <f t="shared" si="96"/>
        <v>0</v>
      </c>
      <c r="V267" s="129">
        <f t="shared" si="96"/>
        <v>0</v>
      </c>
      <c r="W267" s="129">
        <f t="shared" si="96"/>
        <v>0</v>
      </c>
      <c r="X267" s="129">
        <f t="shared" si="96"/>
        <v>0</v>
      </c>
      <c r="Y267" s="129">
        <f t="shared" si="96"/>
        <v>0</v>
      </c>
      <c r="Z267" s="129">
        <f t="shared" si="96"/>
        <v>0</v>
      </c>
      <c r="AA267" s="129">
        <f t="shared" si="96"/>
        <v>0</v>
      </c>
      <c r="AB267" s="129">
        <f t="shared" si="96"/>
        <v>0</v>
      </c>
      <c r="AC267" s="129">
        <f t="shared" si="96"/>
        <v>0</v>
      </c>
      <c r="AD267" s="129">
        <f t="shared" si="96"/>
        <v>0</v>
      </c>
      <c r="AE267" s="129">
        <f t="shared" si="96"/>
        <v>0</v>
      </c>
      <c r="AF267" s="128"/>
      <c r="AG267" s="128"/>
      <c r="AH267" s="128"/>
      <c r="AI267" s="128"/>
    </row>
    <row r="268" spans="2:35" customFormat="1" ht="14.25" x14ac:dyDescent="0.45">
      <c r="B268" s="14" t="s">
        <v>2583</v>
      </c>
      <c r="C268" s="14" t="s">
        <v>2522</v>
      </c>
      <c r="D268" s="15" t="s">
        <v>2584</v>
      </c>
      <c r="E268" s="16" t="s">
        <v>1871</v>
      </c>
      <c r="F268" s="14" t="s">
        <v>2549</v>
      </c>
      <c r="G268" s="119"/>
      <c r="H268" s="119"/>
      <c r="K268" s="126"/>
      <c r="L268" s="127">
        <f t="shared" ref="L268:AE268" si="97">IF($F$4="COST",(SUMPRODUCT(L$202:L$209*((1-EXP(-L$212:L$219*L$266))/(L$212:L$219+(L$212:L$219=0))-L$266*EXP(-L$212:L$219*L$266)*(L$212:L$219&lt;&gt;0)))+SUMPRODUCT(L$232:L$239*((1-EXP(-L$222:L$229*L$266))/(L$222:L$229+(L$222:L$229=0))-L$266*EXP(-L$222:L$229*L$266)*(L$222:L$229&lt;&gt;0)))),L$266*L$267)</f>
        <v>0</v>
      </c>
      <c r="M268" s="127">
        <f t="shared" si="97"/>
        <v>0</v>
      </c>
      <c r="N268" s="127">
        <f t="shared" si="97"/>
        <v>0</v>
      </c>
      <c r="O268" s="127">
        <f t="shared" si="97"/>
        <v>0</v>
      </c>
      <c r="P268" s="127">
        <f t="shared" si="97"/>
        <v>0</v>
      </c>
      <c r="Q268" s="127">
        <f t="shared" si="97"/>
        <v>0</v>
      </c>
      <c r="R268" s="127">
        <f t="shared" si="97"/>
        <v>0</v>
      </c>
      <c r="S268" s="127">
        <f t="shared" si="97"/>
        <v>0</v>
      </c>
      <c r="T268" s="127">
        <f t="shared" si="97"/>
        <v>0</v>
      </c>
      <c r="U268" s="127">
        <f t="shared" si="97"/>
        <v>0</v>
      </c>
      <c r="V268" s="127">
        <f t="shared" si="97"/>
        <v>0</v>
      </c>
      <c r="W268" s="127">
        <f t="shared" si="97"/>
        <v>0</v>
      </c>
      <c r="X268" s="127">
        <f t="shared" si="97"/>
        <v>0</v>
      </c>
      <c r="Y268" s="127">
        <f t="shared" si="97"/>
        <v>0</v>
      </c>
      <c r="Z268" s="127">
        <f t="shared" si="97"/>
        <v>0</v>
      </c>
      <c r="AA268" s="127">
        <f t="shared" si="97"/>
        <v>0</v>
      </c>
      <c r="AB268" s="127">
        <f t="shared" si="97"/>
        <v>0</v>
      </c>
      <c r="AC268" s="127">
        <f t="shared" si="97"/>
        <v>0</v>
      </c>
      <c r="AD268" s="127">
        <f t="shared" si="97"/>
        <v>0</v>
      </c>
      <c r="AE268" s="127">
        <f t="shared" si="97"/>
        <v>0</v>
      </c>
      <c r="AF268" s="128"/>
      <c r="AG268" s="128"/>
      <c r="AH268" s="128"/>
      <c r="AI268" s="128"/>
    </row>
    <row r="269" spans="2:35" customFormat="1" ht="14.25" x14ac:dyDescent="0.45">
      <c r="B269" s="14" t="s">
        <v>2585</v>
      </c>
      <c r="C269" s="14" t="s">
        <v>2522</v>
      </c>
      <c r="D269" s="15" t="s">
        <v>2586</v>
      </c>
      <c r="E269" s="16" t="s">
        <v>2552</v>
      </c>
      <c r="F269" s="14" t="s">
        <v>2553</v>
      </c>
      <c r="G269" s="119"/>
      <c r="H269" s="119"/>
      <c r="K269" s="126"/>
      <c r="L269" s="129">
        <f t="shared" ref="L269:AE269" si="98">IF($F$4="COST",L$266*(SUMPRODUCT(L$202:L$209*L$212:L$219*EXP(-L$212:L$219*L$266))+SUMPRODUCT(L$232:L$239*L$222:L$229*EXP(-L$222:L$229*L$266))),L$267+L$266*(SUMPRODUCT(L$202:L$209*L$212:L$219*EXP(-L$212:L$219*L$266))+SUMPRODUCT(L$232:L$239*L$222:L$229*EXP(-L$222:L$229*L$266))))</f>
        <v>0</v>
      </c>
      <c r="M269" s="129">
        <f t="shared" si="98"/>
        <v>0</v>
      </c>
      <c r="N269" s="129">
        <f t="shared" si="98"/>
        <v>0</v>
      </c>
      <c r="O269" s="129">
        <f t="shared" si="98"/>
        <v>0</v>
      </c>
      <c r="P269" s="129">
        <f t="shared" si="98"/>
        <v>0</v>
      </c>
      <c r="Q269" s="129">
        <f t="shared" si="98"/>
        <v>0</v>
      </c>
      <c r="R269" s="129">
        <f t="shared" si="98"/>
        <v>0</v>
      </c>
      <c r="S269" s="129">
        <f t="shared" si="98"/>
        <v>0</v>
      </c>
      <c r="T269" s="129">
        <f t="shared" si="98"/>
        <v>0</v>
      </c>
      <c r="U269" s="129">
        <f t="shared" si="98"/>
        <v>0</v>
      </c>
      <c r="V269" s="129">
        <f t="shared" si="98"/>
        <v>0</v>
      </c>
      <c r="W269" s="129">
        <f t="shared" si="98"/>
        <v>0</v>
      </c>
      <c r="X269" s="129">
        <f t="shared" si="98"/>
        <v>0</v>
      </c>
      <c r="Y269" s="129">
        <f t="shared" si="98"/>
        <v>0</v>
      </c>
      <c r="Z269" s="129">
        <f t="shared" si="98"/>
        <v>0</v>
      </c>
      <c r="AA269" s="129">
        <f t="shared" si="98"/>
        <v>0</v>
      </c>
      <c r="AB269" s="129">
        <f t="shared" si="98"/>
        <v>0</v>
      </c>
      <c r="AC269" s="129">
        <f t="shared" si="98"/>
        <v>0</v>
      </c>
      <c r="AD269" s="129">
        <f t="shared" si="98"/>
        <v>0</v>
      </c>
      <c r="AE269" s="129">
        <f t="shared" si="98"/>
        <v>0</v>
      </c>
      <c r="AF269" s="128"/>
      <c r="AG269" s="128"/>
      <c r="AH269" s="128"/>
      <c r="AI269" s="128"/>
    </row>
    <row r="270" spans="2:35" customFormat="1" ht="14.25" x14ac:dyDescent="0.45">
      <c r="B270" s="14" t="s">
        <v>2587</v>
      </c>
      <c r="C270" s="14" t="s">
        <v>2522</v>
      </c>
      <c r="D270" s="15" t="s">
        <v>2588</v>
      </c>
      <c r="E270" s="16" t="s">
        <v>1415</v>
      </c>
      <c r="F270" s="14" t="s">
        <v>2556</v>
      </c>
      <c r="G270" s="119"/>
      <c r="H270" s="119"/>
      <c r="K270" s="126"/>
      <c r="L270" s="127">
        <f t="shared" ref="L270:AE270" si="99">IF(L$245&lt;=0,0,IF(L$269&lt;=0,L$266,MIN($F$5,IF(L$266-(L$268-L$245)/L$269&lt;=0,L$266/2,L$266-(L$268-L$245)/L$269))))</f>
        <v>0</v>
      </c>
      <c r="M270" s="127">
        <f t="shared" si="99"/>
        <v>0</v>
      </c>
      <c r="N270" s="127">
        <f t="shared" si="99"/>
        <v>0</v>
      </c>
      <c r="O270" s="127">
        <f t="shared" si="99"/>
        <v>0</v>
      </c>
      <c r="P270" s="127">
        <f t="shared" si="99"/>
        <v>0</v>
      </c>
      <c r="Q270" s="127">
        <f t="shared" si="99"/>
        <v>0</v>
      </c>
      <c r="R270" s="127">
        <f t="shared" si="99"/>
        <v>0</v>
      </c>
      <c r="S270" s="127">
        <f t="shared" si="99"/>
        <v>0</v>
      </c>
      <c r="T270" s="127">
        <f t="shared" si="99"/>
        <v>0</v>
      </c>
      <c r="U270" s="127">
        <f t="shared" si="99"/>
        <v>0</v>
      </c>
      <c r="V270" s="127">
        <f t="shared" si="99"/>
        <v>0</v>
      </c>
      <c r="W270" s="127">
        <f t="shared" si="99"/>
        <v>0</v>
      </c>
      <c r="X270" s="127">
        <f t="shared" si="99"/>
        <v>0</v>
      </c>
      <c r="Y270" s="127">
        <f t="shared" si="99"/>
        <v>0</v>
      </c>
      <c r="Z270" s="127">
        <f t="shared" si="99"/>
        <v>0</v>
      </c>
      <c r="AA270" s="127">
        <f t="shared" si="99"/>
        <v>0</v>
      </c>
      <c r="AB270" s="127">
        <f t="shared" si="99"/>
        <v>0</v>
      </c>
      <c r="AC270" s="127">
        <f t="shared" si="99"/>
        <v>0</v>
      </c>
      <c r="AD270" s="127">
        <f t="shared" si="99"/>
        <v>0</v>
      </c>
      <c r="AE270" s="127">
        <f t="shared" si="99"/>
        <v>0</v>
      </c>
      <c r="AF270" s="128"/>
      <c r="AG270" s="128"/>
      <c r="AH270" s="128"/>
      <c r="AI270" s="128"/>
    </row>
    <row r="271" spans="2:35" customFormat="1" ht="14.25" x14ac:dyDescent="0.45">
      <c r="B271" s="14" t="s">
        <v>2589</v>
      </c>
      <c r="C271" s="14" t="s">
        <v>2522</v>
      </c>
      <c r="D271" s="15" t="s">
        <v>2590</v>
      </c>
      <c r="E271" s="16" t="s">
        <v>1967</v>
      </c>
      <c r="F271" s="14" t="s">
        <v>2546</v>
      </c>
      <c r="G271" s="119"/>
      <c r="H271" s="119"/>
      <c r="K271" s="126"/>
      <c r="L271" s="129">
        <f t="shared" ref="L271:AE271" si="100">SUMPRODUCT(L$202:L$209*(1-EXP(-L$212:L$219*L$270)))+SUMPRODUCT(L$232:L$239*(1-EXP(-L$222:L$229*L$270)))</f>
        <v>0</v>
      </c>
      <c r="M271" s="129">
        <f t="shared" si="100"/>
        <v>0</v>
      </c>
      <c r="N271" s="129">
        <f t="shared" si="100"/>
        <v>0</v>
      </c>
      <c r="O271" s="129">
        <f t="shared" si="100"/>
        <v>0</v>
      </c>
      <c r="P271" s="129">
        <f t="shared" si="100"/>
        <v>0</v>
      </c>
      <c r="Q271" s="129">
        <f t="shared" si="100"/>
        <v>0</v>
      </c>
      <c r="R271" s="129">
        <f t="shared" si="100"/>
        <v>0</v>
      </c>
      <c r="S271" s="129">
        <f t="shared" si="100"/>
        <v>0</v>
      </c>
      <c r="T271" s="129">
        <f t="shared" si="100"/>
        <v>0</v>
      </c>
      <c r="U271" s="129">
        <f t="shared" si="100"/>
        <v>0</v>
      </c>
      <c r="V271" s="129">
        <f t="shared" si="100"/>
        <v>0</v>
      </c>
      <c r="W271" s="129">
        <f t="shared" si="100"/>
        <v>0</v>
      </c>
      <c r="X271" s="129">
        <f t="shared" si="100"/>
        <v>0</v>
      </c>
      <c r="Y271" s="129">
        <f t="shared" si="100"/>
        <v>0</v>
      </c>
      <c r="Z271" s="129">
        <f t="shared" si="100"/>
        <v>0</v>
      </c>
      <c r="AA271" s="129">
        <f t="shared" si="100"/>
        <v>0</v>
      </c>
      <c r="AB271" s="129">
        <f t="shared" si="100"/>
        <v>0</v>
      </c>
      <c r="AC271" s="129">
        <f t="shared" si="100"/>
        <v>0</v>
      </c>
      <c r="AD271" s="129">
        <f t="shared" si="100"/>
        <v>0</v>
      </c>
      <c r="AE271" s="129">
        <f t="shared" si="100"/>
        <v>0</v>
      </c>
      <c r="AF271" s="128"/>
      <c r="AG271" s="128"/>
      <c r="AH271" s="128"/>
      <c r="AI271" s="128"/>
    </row>
    <row r="272" spans="2:35" customFormat="1" ht="14.25" x14ac:dyDescent="0.45">
      <c r="B272" s="14" t="s">
        <v>2591</v>
      </c>
      <c r="C272" s="14" t="s">
        <v>2522</v>
      </c>
      <c r="D272" s="15" t="s">
        <v>2592</v>
      </c>
      <c r="E272" s="16" t="s">
        <v>1871</v>
      </c>
      <c r="F272" s="14" t="s">
        <v>2549</v>
      </c>
      <c r="G272" s="119"/>
      <c r="H272" s="119"/>
      <c r="K272" s="126"/>
      <c r="L272" s="127">
        <f t="shared" ref="L272:AE272" si="101">IF($F$4="COST",(SUMPRODUCT(L$202:L$209*((1-EXP(-L$212:L$219*L$270))/(L$212:L$219+(L$212:L$219=0))-L$270*EXP(-L$212:L$219*L$270)*(L$212:L$219&lt;&gt;0)))+SUMPRODUCT(L$232:L$239*((1-EXP(-L$222:L$229*L$270))/(L$222:L$229+(L$222:L$229=0))-L$270*EXP(-L$222:L$229*L$270)*(L$222:L$229&lt;&gt;0)))),L$270*L$271)</f>
        <v>0</v>
      </c>
      <c r="M272" s="127">
        <f t="shared" si="101"/>
        <v>0</v>
      </c>
      <c r="N272" s="127">
        <f t="shared" si="101"/>
        <v>0</v>
      </c>
      <c r="O272" s="127">
        <f t="shared" si="101"/>
        <v>0</v>
      </c>
      <c r="P272" s="127">
        <f t="shared" si="101"/>
        <v>0</v>
      </c>
      <c r="Q272" s="127">
        <f t="shared" si="101"/>
        <v>0</v>
      </c>
      <c r="R272" s="127">
        <f t="shared" si="101"/>
        <v>0</v>
      </c>
      <c r="S272" s="127">
        <f t="shared" si="101"/>
        <v>0</v>
      </c>
      <c r="T272" s="127">
        <f t="shared" si="101"/>
        <v>0</v>
      </c>
      <c r="U272" s="127">
        <f t="shared" si="101"/>
        <v>0</v>
      </c>
      <c r="V272" s="127">
        <f t="shared" si="101"/>
        <v>0</v>
      </c>
      <c r="W272" s="127">
        <f t="shared" si="101"/>
        <v>0</v>
      </c>
      <c r="X272" s="127">
        <f t="shared" si="101"/>
        <v>0</v>
      </c>
      <c r="Y272" s="127">
        <f t="shared" si="101"/>
        <v>0</v>
      </c>
      <c r="Z272" s="127">
        <f t="shared" si="101"/>
        <v>0</v>
      </c>
      <c r="AA272" s="127">
        <f t="shared" si="101"/>
        <v>0</v>
      </c>
      <c r="AB272" s="127">
        <f t="shared" si="101"/>
        <v>0</v>
      </c>
      <c r="AC272" s="127">
        <f t="shared" si="101"/>
        <v>0</v>
      </c>
      <c r="AD272" s="127">
        <f t="shared" si="101"/>
        <v>0</v>
      </c>
      <c r="AE272" s="127">
        <f t="shared" si="101"/>
        <v>0</v>
      </c>
      <c r="AF272" s="128"/>
      <c r="AG272" s="128"/>
      <c r="AH272" s="128"/>
      <c r="AI272" s="128"/>
    </row>
    <row r="273" spans="2:35" customFormat="1" ht="14.25" x14ac:dyDescent="0.45">
      <c r="B273" s="14" t="s">
        <v>2593</v>
      </c>
      <c r="C273" s="14" t="s">
        <v>2522</v>
      </c>
      <c r="D273" s="15" t="s">
        <v>2594</v>
      </c>
      <c r="E273" s="16" t="s">
        <v>2552</v>
      </c>
      <c r="F273" s="14" t="s">
        <v>2553</v>
      </c>
      <c r="G273" s="119"/>
      <c r="H273" s="119"/>
      <c r="K273" s="126"/>
      <c r="L273" s="129">
        <f t="shared" ref="L273:AE273" si="102">IF($F$4="COST",L$270*(SUMPRODUCT(L$202:L$209*L$212:L$219*EXP(-L$212:L$219*L$270))+SUMPRODUCT(L$232:L$239*L$222:L$229*EXP(-L$222:L$229*L$270))),L$271+L$270*(SUMPRODUCT(L$202:L$209*L$212:L$219*EXP(-L$212:L$219*L$270))+SUMPRODUCT(L$232:L$239*L$222:L$229*EXP(-L$222:L$229*L$270))))</f>
        <v>0</v>
      </c>
      <c r="M273" s="129">
        <f t="shared" si="102"/>
        <v>0</v>
      </c>
      <c r="N273" s="129">
        <f t="shared" si="102"/>
        <v>0</v>
      </c>
      <c r="O273" s="129">
        <f t="shared" si="102"/>
        <v>0</v>
      </c>
      <c r="P273" s="129">
        <f t="shared" si="102"/>
        <v>0</v>
      </c>
      <c r="Q273" s="129">
        <f t="shared" si="102"/>
        <v>0</v>
      </c>
      <c r="R273" s="129">
        <f t="shared" si="102"/>
        <v>0</v>
      </c>
      <c r="S273" s="129">
        <f t="shared" si="102"/>
        <v>0</v>
      </c>
      <c r="T273" s="129">
        <f t="shared" si="102"/>
        <v>0</v>
      </c>
      <c r="U273" s="129">
        <f t="shared" si="102"/>
        <v>0</v>
      </c>
      <c r="V273" s="129">
        <f t="shared" si="102"/>
        <v>0</v>
      </c>
      <c r="W273" s="129">
        <f t="shared" si="102"/>
        <v>0</v>
      </c>
      <c r="X273" s="129">
        <f t="shared" si="102"/>
        <v>0</v>
      </c>
      <c r="Y273" s="129">
        <f t="shared" si="102"/>
        <v>0</v>
      </c>
      <c r="Z273" s="129">
        <f t="shared" si="102"/>
        <v>0</v>
      </c>
      <c r="AA273" s="129">
        <f t="shared" si="102"/>
        <v>0</v>
      </c>
      <c r="AB273" s="129">
        <f t="shared" si="102"/>
        <v>0</v>
      </c>
      <c r="AC273" s="129">
        <f t="shared" si="102"/>
        <v>0</v>
      </c>
      <c r="AD273" s="129">
        <f t="shared" si="102"/>
        <v>0</v>
      </c>
      <c r="AE273" s="129">
        <f t="shared" si="102"/>
        <v>0</v>
      </c>
      <c r="AF273" s="128"/>
      <c r="AG273" s="128"/>
      <c r="AH273" s="128"/>
      <c r="AI273" s="128"/>
    </row>
    <row r="274" spans="2:35" customFormat="1" ht="14.25" x14ac:dyDescent="0.45">
      <c r="B274" s="14" t="s">
        <v>2595</v>
      </c>
      <c r="C274" s="14" t="s">
        <v>2522</v>
      </c>
      <c r="D274" s="15" t="s">
        <v>2596</v>
      </c>
      <c r="E274" s="16" t="s">
        <v>1415</v>
      </c>
      <c r="F274" s="14" t="s">
        <v>2556</v>
      </c>
      <c r="G274" s="119"/>
      <c r="H274" s="119"/>
      <c r="K274" s="126"/>
      <c r="L274" s="127">
        <f t="shared" ref="L274:AE274" si="103">IF(L$245&lt;=0,0,IF(L$273&lt;=0,L$270,MIN($F$5,IF(L$270-(L$272-L$245)/L$273&lt;=0,L$270/2,L$270-(L$272-L$245)/L$273))))</f>
        <v>0</v>
      </c>
      <c r="M274" s="127">
        <f t="shared" si="103"/>
        <v>0</v>
      </c>
      <c r="N274" s="127">
        <f t="shared" si="103"/>
        <v>0</v>
      </c>
      <c r="O274" s="127">
        <f t="shared" si="103"/>
        <v>0</v>
      </c>
      <c r="P274" s="127">
        <f t="shared" si="103"/>
        <v>0</v>
      </c>
      <c r="Q274" s="127">
        <f t="shared" si="103"/>
        <v>0</v>
      </c>
      <c r="R274" s="127">
        <f t="shared" si="103"/>
        <v>0</v>
      </c>
      <c r="S274" s="127">
        <f t="shared" si="103"/>
        <v>0</v>
      </c>
      <c r="T274" s="127">
        <f t="shared" si="103"/>
        <v>0</v>
      </c>
      <c r="U274" s="127">
        <f t="shared" si="103"/>
        <v>0</v>
      </c>
      <c r="V274" s="127">
        <f t="shared" si="103"/>
        <v>0</v>
      </c>
      <c r="W274" s="127">
        <f t="shared" si="103"/>
        <v>0</v>
      </c>
      <c r="X274" s="127">
        <f t="shared" si="103"/>
        <v>0</v>
      </c>
      <c r="Y274" s="127">
        <f t="shared" si="103"/>
        <v>0</v>
      </c>
      <c r="Z274" s="127">
        <f t="shared" si="103"/>
        <v>0</v>
      </c>
      <c r="AA274" s="127">
        <f t="shared" si="103"/>
        <v>0</v>
      </c>
      <c r="AB274" s="127">
        <f t="shared" si="103"/>
        <v>0</v>
      </c>
      <c r="AC274" s="127">
        <f t="shared" si="103"/>
        <v>0</v>
      </c>
      <c r="AD274" s="127">
        <f t="shared" si="103"/>
        <v>0</v>
      </c>
      <c r="AE274" s="127">
        <f t="shared" si="103"/>
        <v>0</v>
      </c>
      <c r="AF274" s="128"/>
      <c r="AG274" s="128"/>
      <c r="AH274" s="128"/>
      <c r="AI274" s="128"/>
    </row>
    <row r="275" spans="2:35" customFormat="1" ht="14.25" x14ac:dyDescent="0.45">
      <c r="B275" s="14" t="s">
        <v>2597</v>
      </c>
      <c r="C275" s="14" t="s">
        <v>2522</v>
      </c>
      <c r="D275" s="15" t="s">
        <v>2598</v>
      </c>
      <c r="E275" s="16" t="s">
        <v>1967</v>
      </c>
      <c r="F275" s="14" t="s">
        <v>2546</v>
      </c>
      <c r="G275" s="119"/>
      <c r="H275" s="119"/>
      <c r="K275" s="126"/>
      <c r="L275" s="129">
        <f t="shared" ref="L275:AE275" si="104">SUMPRODUCT(L$202:L$209*(1-EXP(-L$212:L$219*L$274)))+SUMPRODUCT(L$232:L$239*(1-EXP(-L$222:L$229*L$274)))</f>
        <v>0</v>
      </c>
      <c r="M275" s="129">
        <f t="shared" si="104"/>
        <v>0</v>
      </c>
      <c r="N275" s="129">
        <f t="shared" si="104"/>
        <v>0</v>
      </c>
      <c r="O275" s="129">
        <f t="shared" si="104"/>
        <v>0</v>
      </c>
      <c r="P275" s="129">
        <f t="shared" si="104"/>
        <v>0</v>
      </c>
      <c r="Q275" s="129">
        <f t="shared" si="104"/>
        <v>0</v>
      </c>
      <c r="R275" s="129">
        <f t="shared" si="104"/>
        <v>0</v>
      </c>
      <c r="S275" s="129">
        <f t="shared" si="104"/>
        <v>0</v>
      </c>
      <c r="T275" s="129">
        <f t="shared" si="104"/>
        <v>0</v>
      </c>
      <c r="U275" s="129">
        <f t="shared" si="104"/>
        <v>0</v>
      </c>
      <c r="V275" s="129">
        <f t="shared" si="104"/>
        <v>0</v>
      </c>
      <c r="W275" s="129">
        <f t="shared" si="104"/>
        <v>0</v>
      </c>
      <c r="X275" s="129">
        <f t="shared" si="104"/>
        <v>0</v>
      </c>
      <c r="Y275" s="129">
        <f t="shared" si="104"/>
        <v>0</v>
      </c>
      <c r="Z275" s="129">
        <f t="shared" si="104"/>
        <v>0</v>
      </c>
      <c r="AA275" s="129">
        <f t="shared" si="104"/>
        <v>0</v>
      </c>
      <c r="AB275" s="129">
        <f t="shared" si="104"/>
        <v>0</v>
      </c>
      <c r="AC275" s="129">
        <f t="shared" si="104"/>
        <v>0</v>
      </c>
      <c r="AD275" s="129">
        <f t="shared" si="104"/>
        <v>0</v>
      </c>
      <c r="AE275" s="129">
        <f t="shared" si="104"/>
        <v>0</v>
      </c>
      <c r="AF275" s="128"/>
      <c r="AG275" s="128"/>
      <c r="AH275" s="128"/>
      <c r="AI275" s="128"/>
    </row>
    <row r="276" spans="2:35" customFormat="1" ht="14.25" x14ac:dyDescent="0.45">
      <c r="B276" s="14" t="s">
        <v>2599</v>
      </c>
      <c r="C276" s="14" t="s">
        <v>2522</v>
      </c>
      <c r="D276" s="15" t="s">
        <v>2600</v>
      </c>
      <c r="E276" s="16" t="s">
        <v>1871</v>
      </c>
      <c r="F276" s="14" t="s">
        <v>2549</v>
      </c>
      <c r="G276" s="119"/>
      <c r="H276" s="119"/>
      <c r="K276" s="126"/>
      <c r="L276" s="127">
        <f t="shared" ref="L276:AE276" si="105">IF($F$4="COST",(SUMPRODUCT(L$202:L$209*((1-EXP(-L$212:L$219*L$274))/(L$212:L$219+(L$212:L$219=0))-L$274*EXP(-L$212:L$219*L$274)*(L$212:L$219&lt;&gt;0)))+SUMPRODUCT(L$232:L$239*((1-EXP(-L$222:L$229*L$274))/(L$222:L$229+(L$222:L$229=0))-L$274*EXP(-L$222:L$229*L$274)*(L$222:L$229&lt;&gt;0)))),L$274*L$275)</f>
        <v>0</v>
      </c>
      <c r="M276" s="127">
        <f t="shared" si="105"/>
        <v>0</v>
      </c>
      <c r="N276" s="127">
        <f t="shared" si="105"/>
        <v>0</v>
      </c>
      <c r="O276" s="127">
        <f t="shared" si="105"/>
        <v>0</v>
      </c>
      <c r="P276" s="127">
        <f t="shared" si="105"/>
        <v>0</v>
      </c>
      <c r="Q276" s="127">
        <f t="shared" si="105"/>
        <v>0</v>
      </c>
      <c r="R276" s="127">
        <f t="shared" si="105"/>
        <v>0</v>
      </c>
      <c r="S276" s="127">
        <f t="shared" si="105"/>
        <v>0</v>
      </c>
      <c r="T276" s="127">
        <f t="shared" si="105"/>
        <v>0</v>
      </c>
      <c r="U276" s="127">
        <f t="shared" si="105"/>
        <v>0</v>
      </c>
      <c r="V276" s="127">
        <f t="shared" si="105"/>
        <v>0</v>
      </c>
      <c r="W276" s="127">
        <f t="shared" si="105"/>
        <v>0</v>
      </c>
      <c r="X276" s="127">
        <f t="shared" si="105"/>
        <v>0</v>
      </c>
      <c r="Y276" s="127">
        <f t="shared" si="105"/>
        <v>0</v>
      </c>
      <c r="Z276" s="127">
        <f t="shared" si="105"/>
        <v>0</v>
      </c>
      <c r="AA276" s="127">
        <f t="shared" si="105"/>
        <v>0</v>
      </c>
      <c r="AB276" s="127">
        <f t="shared" si="105"/>
        <v>0</v>
      </c>
      <c r="AC276" s="127">
        <f t="shared" si="105"/>
        <v>0</v>
      </c>
      <c r="AD276" s="127">
        <f t="shared" si="105"/>
        <v>0</v>
      </c>
      <c r="AE276" s="127">
        <f t="shared" si="105"/>
        <v>0</v>
      </c>
      <c r="AF276" s="128"/>
      <c r="AG276" s="128"/>
      <c r="AH276" s="128"/>
      <c r="AI276" s="128"/>
    </row>
    <row r="277" spans="2:35" customFormat="1" ht="14.25" x14ac:dyDescent="0.45">
      <c r="B277" s="14" t="s">
        <v>2601</v>
      </c>
      <c r="C277" s="14" t="s">
        <v>2522</v>
      </c>
      <c r="D277" s="15" t="s">
        <v>2602</v>
      </c>
      <c r="E277" s="16" t="s">
        <v>2552</v>
      </c>
      <c r="F277" s="14" t="s">
        <v>2553</v>
      </c>
      <c r="G277" s="119"/>
      <c r="H277" s="119"/>
      <c r="K277" s="126"/>
      <c r="L277" s="129">
        <f t="shared" ref="L277:AE277" si="106">IF($F$4="COST",L$274*(SUMPRODUCT(L$202:L$209*L$212:L$219*EXP(-L$212:L$219*L$274))+SUMPRODUCT(L$232:L$239*L$222:L$229*EXP(-L$222:L$229*L$274))),L$275+L$274*(SUMPRODUCT(L$202:L$209*L$212:L$219*EXP(-L$212:L$219*L$274))+SUMPRODUCT(L$232:L$239*L$222:L$229*EXP(-L$222:L$229*L$274))))</f>
        <v>0</v>
      </c>
      <c r="M277" s="129">
        <f t="shared" si="106"/>
        <v>0</v>
      </c>
      <c r="N277" s="129">
        <f t="shared" si="106"/>
        <v>0</v>
      </c>
      <c r="O277" s="129">
        <f t="shared" si="106"/>
        <v>0</v>
      </c>
      <c r="P277" s="129">
        <f t="shared" si="106"/>
        <v>0</v>
      </c>
      <c r="Q277" s="129">
        <f t="shared" si="106"/>
        <v>0</v>
      </c>
      <c r="R277" s="129">
        <f t="shared" si="106"/>
        <v>0</v>
      </c>
      <c r="S277" s="129">
        <f t="shared" si="106"/>
        <v>0</v>
      </c>
      <c r="T277" s="129">
        <f t="shared" si="106"/>
        <v>0</v>
      </c>
      <c r="U277" s="129">
        <f t="shared" si="106"/>
        <v>0</v>
      </c>
      <c r="V277" s="129">
        <f t="shared" si="106"/>
        <v>0</v>
      </c>
      <c r="W277" s="129">
        <f t="shared" si="106"/>
        <v>0</v>
      </c>
      <c r="X277" s="129">
        <f t="shared" si="106"/>
        <v>0</v>
      </c>
      <c r="Y277" s="129">
        <f t="shared" si="106"/>
        <v>0</v>
      </c>
      <c r="Z277" s="129">
        <f t="shared" si="106"/>
        <v>0</v>
      </c>
      <c r="AA277" s="129">
        <f t="shared" si="106"/>
        <v>0</v>
      </c>
      <c r="AB277" s="129">
        <f t="shared" si="106"/>
        <v>0</v>
      </c>
      <c r="AC277" s="129">
        <f t="shared" si="106"/>
        <v>0</v>
      </c>
      <c r="AD277" s="129">
        <f t="shared" si="106"/>
        <v>0</v>
      </c>
      <c r="AE277" s="129">
        <f t="shared" si="106"/>
        <v>0</v>
      </c>
      <c r="AF277" s="128"/>
      <c r="AG277" s="128"/>
      <c r="AH277" s="128"/>
      <c r="AI277" s="128"/>
    </row>
    <row r="278" spans="2:35" customFormat="1" ht="14.25" x14ac:dyDescent="0.45">
      <c r="B278" s="14" t="s">
        <v>2603</v>
      </c>
      <c r="C278" s="14" t="s">
        <v>2522</v>
      </c>
      <c r="D278" s="15" t="s">
        <v>2604</v>
      </c>
      <c r="E278" s="16" t="s">
        <v>1415</v>
      </c>
      <c r="F278" s="14" t="s">
        <v>2556</v>
      </c>
      <c r="G278" s="119"/>
      <c r="H278" s="119"/>
      <c r="K278" s="126"/>
      <c r="L278" s="127">
        <f t="shared" ref="L278:AE278" si="107">IF(L$245&lt;=0,0,IF(L$277&lt;=0,L$274,MIN($F$5,IF(L$274-(L$276-L$245)/L$277&lt;=0,L$274/2,L$274-(L$276-L$245)/L$277))))</f>
        <v>0</v>
      </c>
      <c r="M278" s="127">
        <f t="shared" si="107"/>
        <v>0</v>
      </c>
      <c r="N278" s="127">
        <f t="shared" si="107"/>
        <v>0</v>
      </c>
      <c r="O278" s="127">
        <f t="shared" si="107"/>
        <v>0</v>
      </c>
      <c r="P278" s="127">
        <f t="shared" si="107"/>
        <v>0</v>
      </c>
      <c r="Q278" s="127">
        <f t="shared" si="107"/>
        <v>0</v>
      </c>
      <c r="R278" s="127">
        <f t="shared" si="107"/>
        <v>0</v>
      </c>
      <c r="S278" s="127">
        <f t="shared" si="107"/>
        <v>0</v>
      </c>
      <c r="T278" s="127">
        <f t="shared" si="107"/>
        <v>0</v>
      </c>
      <c r="U278" s="127">
        <f t="shared" si="107"/>
        <v>0</v>
      </c>
      <c r="V278" s="127">
        <f t="shared" si="107"/>
        <v>0</v>
      </c>
      <c r="W278" s="127">
        <f t="shared" si="107"/>
        <v>0</v>
      </c>
      <c r="X278" s="127">
        <f t="shared" si="107"/>
        <v>0</v>
      </c>
      <c r="Y278" s="127">
        <f t="shared" si="107"/>
        <v>0</v>
      </c>
      <c r="Z278" s="127">
        <f t="shared" si="107"/>
        <v>0</v>
      </c>
      <c r="AA278" s="127">
        <f t="shared" si="107"/>
        <v>0</v>
      </c>
      <c r="AB278" s="127">
        <f t="shared" si="107"/>
        <v>0</v>
      </c>
      <c r="AC278" s="127">
        <f t="shared" si="107"/>
        <v>0</v>
      </c>
      <c r="AD278" s="127">
        <f t="shared" si="107"/>
        <v>0</v>
      </c>
      <c r="AE278" s="127">
        <f t="shared" si="107"/>
        <v>0</v>
      </c>
      <c r="AF278" s="128"/>
      <c r="AG278" s="128"/>
      <c r="AH278" s="128"/>
      <c r="AI278" s="128"/>
    </row>
    <row r="279" spans="2:35" customFormat="1" ht="14.25" x14ac:dyDescent="0.45">
      <c r="B279" s="14" t="s">
        <v>2605</v>
      </c>
      <c r="C279" s="14" t="s">
        <v>2522</v>
      </c>
      <c r="D279" s="15" t="s">
        <v>2606</v>
      </c>
      <c r="E279" s="16" t="s">
        <v>1967</v>
      </c>
      <c r="F279" s="14" t="s">
        <v>2546</v>
      </c>
      <c r="G279" s="119"/>
      <c r="H279" s="119"/>
      <c r="K279" s="126"/>
      <c r="L279" s="129">
        <f t="shared" ref="L279:AE279" si="108">SUMPRODUCT(L$202:L$209*(1-EXP(-L$212:L$219*L$278)))+SUMPRODUCT(L$232:L$239*(1-EXP(-L$222:L$229*L$278)))</f>
        <v>0</v>
      </c>
      <c r="M279" s="129">
        <f t="shared" si="108"/>
        <v>0</v>
      </c>
      <c r="N279" s="129">
        <f t="shared" si="108"/>
        <v>0</v>
      </c>
      <c r="O279" s="129">
        <f t="shared" si="108"/>
        <v>0</v>
      </c>
      <c r="P279" s="129">
        <f t="shared" si="108"/>
        <v>0</v>
      </c>
      <c r="Q279" s="129">
        <f t="shared" si="108"/>
        <v>0</v>
      </c>
      <c r="R279" s="129">
        <f t="shared" si="108"/>
        <v>0</v>
      </c>
      <c r="S279" s="129">
        <f t="shared" si="108"/>
        <v>0</v>
      </c>
      <c r="T279" s="129">
        <f t="shared" si="108"/>
        <v>0</v>
      </c>
      <c r="U279" s="129">
        <f t="shared" si="108"/>
        <v>0</v>
      </c>
      <c r="V279" s="129">
        <f t="shared" si="108"/>
        <v>0</v>
      </c>
      <c r="W279" s="129">
        <f t="shared" si="108"/>
        <v>0</v>
      </c>
      <c r="X279" s="129">
        <f t="shared" si="108"/>
        <v>0</v>
      </c>
      <c r="Y279" s="129">
        <f t="shared" si="108"/>
        <v>0</v>
      </c>
      <c r="Z279" s="129">
        <f t="shared" si="108"/>
        <v>0</v>
      </c>
      <c r="AA279" s="129">
        <f t="shared" si="108"/>
        <v>0</v>
      </c>
      <c r="AB279" s="129">
        <f t="shared" si="108"/>
        <v>0</v>
      </c>
      <c r="AC279" s="129">
        <f t="shared" si="108"/>
        <v>0</v>
      </c>
      <c r="AD279" s="129">
        <f t="shared" si="108"/>
        <v>0</v>
      </c>
      <c r="AE279" s="129">
        <f t="shared" si="108"/>
        <v>0</v>
      </c>
      <c r="AF279" s="128"/>
      <c r="AG279" s="128"/>
      <c r="AH279" s="128"/>
      <c r="AI279" s="128"/>
    </row>
    <row r="280" spans="2:35" customFormat="1" ht="14.25" x14ac:dyDescent="0.45">
      <c r="B280" s="14" t="s">
        <v>2607</v>
      </c>
      <c r="C280" s="14" t="s">
        <v>2522</v>
      </c>
      <c r="D280" s="15" t="s">
        <v>2608</v>
      </c>
      <c r="E280" s="16" t="s">
        <v>1871</v>
      </c>
      <c r="F280" s="14" t="s">
        <v>2549</v>
      </c>
      <c r="G280" s="119"/>
      <c r="H280" s="119"/>
      <c r="K280" s="126"/>
      <c r="L280" s="127">
        <f t="shared" ref="L280:AE280" si="109">IF($F$4="COST",(SUMPRODUCT(L$202:L$209*((1-EXP(-L$212:L$219*L$278))/(L$212:L$219+(L$212:L$219=0))-L$278*EXP(-L$212:L$219*L$278)*(L$212:L$219&lt;&gt;0)))+SUMPRODUCT(L$232:L$239*((1-EXP(-L$222:L$229*L$278))/(L$222:L$229+(L$222:L$229=0))-L$278*EXP(-L$222:L$229*L$278)*(L$222:L$229&lt;&gt;0)))),L$278*L$279)</f>
        <v>0</v>
      </c>
      <c r="M280" s="127">
        <f t="shared" si="109"/>
        <v>0</v>
      </c>
      <c r="N280" s="127">
        <f t="shared" si="109"/>
        <v>0</v>
      </c>
      <c r="O280" s="127">
        <f t="shared" si="109"/>
        <v>0</v>
      </c>
      <c r="P280" s="127">
        <f t="shared" si="109"/>
        <v>0</v>
      </c>
      <c r="Q280" s="127">
        <f t="shared" si="109"/>
        <v>0</v>
      </c>
      <c r="R280" s="127">
        <f t="shared" si="109"/>
        <v>0</v>
      </c>
      <c r="S280" s="127">
        <f t="shared" si="109"/>
        <v>0</v>
      </c>
      <c r="T280" s="127">
        <f t="shared" si="109"/>
        <v>0</v>
      </c>
      <c r="U280" s="127">
        <f t="shared" si="109"/>
        <v>0</v>
      </c>
      <c r="V280" s="127">
        <f t="shared" si="109"/>
        <v>0</v>
      </c>
      <c r="W280" s="127">
        <f t="shared" si="109"/>
        <v>0</v>
      </c>
      <c r="X280" s="127">
        <f t="shared" si="109"/>
        <v>0</v>
      </c>
      <c r="Y280" s="127">
        <f t="shared" si="109"/>
        <v>0</v>
      </c>
      <c r="Z280" s="127">
        <f t="shared" si="109"/>
        <v>0</v>
      </c>
      <c r="AA280" s="127">
        <f t="shared" si="109"/>
        <v>0</v>
      </c>
      <c r="AB280" s="127">
        <f t="shared" si="109"/>
        <v>0</v>
      </c>
      <c r="AC280" s="127">
        <f t="shared" si="109"/>
        <v>0</v>
      </c>
      <c r="AD280" s="127">
        <f t="shared" si="109"/>
        <v>0</v>
      </c>
      <c r="AE280" s="127">
        <f t="shared" si="109"/>
        <v>0</v>
      </c>
      <c r="AF280" s="128"/>
      <c r="AG280" s="128"/>
      <c r="AH280" s="128"/>
      <c r="AI280" s="128"/>
    </row>
    <row r="281" spans="2:35" customFormat="1" ht="14.25" x14ac:dyDescent="0.45">
      <c r="B281" s="14" t="s">
        <v>2609</v>
      </c>
      <c r="C281" s="14" t="s">
        <v>2522</v>
      </c>
      <c r="D281" s="15" t="s">
        <v>2610</v>
      </c>
      <c r="E281" s="16" t="s">
        <v>2552</v>
      </c>
      <c r="F281" s="14" t="s">
        <v>2553</v>
      </c>
      <c r="G281" s="119"/>
      <c r="H281" s="119"/>
      <c r="K281" s="126"/>
      <c r="L281" s="129">
        <f t="shared" ref="L281:AE281" si="110">IF($F$4="COST",L$278*(SUMPRODUCT(L$202:L$209*L$212:L$219*EXP(-L$212:L$219*L$278))+SUMPRODUCT(L$232:L$239*L$222:L$229*EXP(-L$222:L$229*L$278))),L$279+L$278*(SUMPRODUCT(L$202:L$209*L$212:L$219*EXP(-L$212:L$219*L$278))+SUMPRODUCT(L$232:L$239*L$222:L$229*EXP(-L$222:L$229*L$278))))</f>
        <v>0</v>
      </c>
      <c r="M281" s="129">
        <f t="shared" si="110"/>
        <v>0</v>
      </c>
      <c r="N281" s="129">
        <f t="shared" si="110"/>
        <v>0</v>
      </c>
      <c r="O281" s="129">
        <f t="shared" si="110"/>
        <v>0</v>
      </c>
      <c r="P281" s="129">
        <f t="shared" si="110"/>
        <v>0</v>
      </c>
      <c r="Q281" s="129">
        <f t="shared" si="110"/>
        <v>0</v>
      </c>
      <c r="R281" s="129">
        <f t="shared" si="110"/>
        <v>0</v>
      </c>
      <c r="S281" s="129">
        <f t="shared" si="110"/>
        <v>0</v>
      </c>
      <c r="T281" s="129">
        <f t="shared" si="110"/>
        <v>0</v>
      </c>
      <c r="U281" s="129">
        <f t="shared" si="110"/>
        <v>0</v>
      </c>
      <c r="V281" s="129">
        <f t="shared" si="110"/>
        <v>0</v>
      </c>
      <c r="W281" s="129">
        <f t="shared" si="110"/>
        <v>0</v>
      </c>
      <c r="X281" s="129">
        <f t="shared" si="110"/>
        <v>0</v>
      </c>
      <c r="Y281" s="129">
        <f t="shared" si="110"/>
        <v>0</v>
      </c>
      <c r="Z281" s="129">
        <f t="shared" si="110"/>
        <v>0</v>
      </c>
      <c r="AA281" s="129">
        <f t="shared" si="110"/>
        <v>0</v>
      </c>
      <c r="AB281" s="129">
        <f t="shared" si="110"/>
        <v>0</v>
      </c>
      <c r="AC281" s="129">
        <f t="shared" si="110"/>
        <v>0</v>
      </c>
      <c r="AD281" s="129">
        <f t="shared" si="110"/>
        <v>0</v>
      </c>
      <c r="AE281" s="129">
        <f t="shared" si="110"/>
        <v>0</v>
      </c>
      <c r="AF281" s="128"/>
      <c r="AG281" s="128"/>
      <c r="AH281" s="128"/>
      <c r="AI281" s="128"/>
    </row>
    <row r="282" spans="2:35" customFormat="1" ht="14.25" x14ac:dyDescent="0.45">
      <c r="B282" s="14" t="s">
        <v>2611</v>
      </c>
      <c r="C282" s="14" t="s">
        <v>2522</v>
      </c>
      <c r="D282" s="15" t="s">
        <v>2612</v>
      </c>
      <c r="E282" s="16" t="s">
        <v>1415</v>
      </c>
      <c r="F282" s="14" t="s">
        <v>2556</v>
      </c>
      <c r="G282" s="119"/>
      <c r="H282" s="119"/>
      <c r="K282" s="126"/>
      <c r="L282" s="127">
        <f t="shared" ref="L282:AE282" si="111">IF(L$245&lt;=0,0,IF(L$281&lt;=0,L$278,MIN($F$5,IF(L$278-(L$280-L$245)/L$281&lt;=0,L$278/2,L$278-(L$280-L$245)/L$281))))</f>
        <v>0</v>
      </c>
      <c r="M282" s="127">
        <f t="shared" si="111"/>
        <v>0</v>
      </c>
      <c r="N282" s="127">
        <f t="shared" si="111"/>
        <v>0</v>
      </c>
      <c r="O282" s="127">
        <f t="shared" si="111"/>
        <v>0</v>
      </c>
      <c r="P282" s="127">
        <f t="shared" si="111"/>
        <v>0</v>
      </c>
      <c r="Q282" s="127">
        <f t="shared" si="111"/>
        <v>0</v>
      </c>
      <c r="R282" s="127">
        <f t="shared" si="111"/>
        <v>0</v>
      </c>
      <c r="S282" s="127">
        <f t="shared" si="111"/>
        <v>0</v>
      </c>
      <c r="T282" s="127">
        <f t="shared" si="111"/>
        <v>0</v>
      </c>
      <c r="U282" s="127">
        <f t="shared" si="111"/>
        <v>0</v>
      </c>
      <c r="V282" s="127">
        <f t="shared" si="111"/>
        <v>0</v>
      </c>
      <c r="W282" s="127">
        <f t="shared" si="111"/>
        <v>0</v>
      </c>
      <c r="X282" s="127">
        <f t="shared" si="111"/>
        <v>0</v>
      </c>
      <c r="Y282" s="127">
        <f t="shared" si="111"/>
        <v>0</v>
      </c>
      <c r="Z282" s="127">
        <f t="shared" si="111"/>
        <v>0</v>
      </c>
      <c r="AA282" s="127">
        <f t="shared" si="111"/>
        <v>0</v>
      </c>
      <c r="AB282" s="127">
        <f t="shared" si="111"/>
        <v>0</v>
      </c>
      <c r="AC282" s="127">
        <f t="shared" si="111"/>
        <v>0</v>
      </c>
      <c r="AD282" s="127">
        <f t="shared" si="111"/>
        <v>0</v>
      </c>
      <c r="AE282" s="127">
        <f t="shared" si="111"/>
        <v>0</v>
      </c>
      <c r="AF282" s="128"/>
      <c r="AG282" s="128"/>
      <c r="AH282" s="128"/>
      <c r="AI282" s="128"/>
    </row>
    <row r="283" spans="2:35" customFormat="1" ht="14.25" x14ac:dyDescent="0.45">
      <c r="B283" s="14" t="s">
        <v>2613</v>
      </c>
      <c r="C283" s="14" t="s">
        <v>2522</v>
      </c>
      <c r="D283" s="15" t="s">
        <v>2614</v>
      </c>
      <c r="E283" s="16" t="s">
        <v>1967</v>
      </c>
      <c r="F283" s="14" t="s">
        <v>2546</v>
      </c>
      <c r="G283" s="119"/>
      <c r="H283" s="119"/>
      <c r="K283" s="126"/>
      <c r="L283" s="129">
        <f t="shared" ref="L283:AE283" si="112">SUMPRODUCT(L$202:L$209*(1-EXP(-L$212:L$219*L$282)))+SUMPRODUCT(L$232:L$239*(1-EXP(-L$222:L$229*L$282)))</f>
        <v>0</v>
      </c>
      <c r="M283" s="129">
        <f t="shared" si="112"/>
        <v>0</v>
      </c>
      <c r="N283" s="129">
        <f t="shared" si="112"/>
        <v>0</v>
      </c>
      <c r="O283" s="129">
        <f t="shared" si="112"/>
        <v>0</v>
      </c>
      <c r="P283" s="129">
        <f t="shared" si="112"/>
        <v>0</v>
      </c>
      <c r="Q283" s="129">
        <f t="shared" si="112"/>
        <v>0</v>
      </c>
      <c r="R283" s="129">
        <f t="shared" si="112"/>
        <v>0</v>
      </c>
      <c r="S283" s="129">
        <f t="shared" si="112"/>
        <v>0</v>
      </c>
      <c r="T283" s="129">
        <f t="shared" si="112"/>
        <v>0</v>
      </c>
      <c r="U283" s="129">
        <f t="shared" si="112"/>
        <v>0</v>
      </c>
      <c r="V283" s="129">
        <f t="shared" si="112"/>
        <v>0</v>
      </c>
      <c r="W283" s="129">
        <f t="shared" si="112"/>
        <v>0</v>
      </c>
      <c r="X283" s="129">
        <f t="shared" si="112"/>
        <v>0</v>
      </c>
      <c r="Y283" s="129">
        <f t="shared" si="112"/>
        <v>0</v>
      </c>
      <c r="Z283" s="129">
        <f t="shared" si="112"/>
        <v>0</v>
      </c>
      <c r="AA283" s="129">
        <f t="shared" si="112"/>
        <v>0</v>
      </c>
      <c r="AB283" s="129">
        <f t="shared" si="112"/>
        <v>0</v>
      </c>
      <c r="AC283" s="129">
        <f t="shared" si="112"/>
        <v>0</v>
      </c>
      <c r="AD283" s="129">
        <f t="shared" si="112"/>
        <v>0</v>
      </c>
      <c r="AE283" s="129">
        <f t="shared" si="112"/>
        <v>0</v>
      </c>
      <c r="AF283" s="128"/>
      <c r="AG283" s="128"/>
      <c r="AH283" s="128"/>
      <c r="AI283" s="128"/>
    </row>
    <row r="284" spans="2:35" customFormat="1" ht="14.25" x14ac:dyDescent="0.45">
      <c r="B284" s="14" t="s">
        <v>2615</v>
      </c>
      <c r="C284" s="14" t="s">
        <v>2522</v>
      </c>
      <c r="D284" s="15" t="s">
        <v>2616</v>
      </c>
      <c r="E284" s="16" t="s">
        <v>1871</v>
      </c>
      <c r="F284" s="14" t="s">
        <v>2549</v>
      </c>
      <c r="G284" s="119"/>
      <c r="H284" s="119"/>
      <c r="K284" s="126"/>
      <c r="L284" s="127">
        <f t="shared" ref="L284:AE284" si="113">IF($F$4="COST",(SUMPRODUCT(L$202:L$209*((1-EXP(-L$212:L$219*L$282))/(L$212:L$219+(L$212:L$219=0))-L$282*EXP(-L$212:L$219*L$282)*(L$212:L$219&lt;&gt;0)))+SUMPRODUCT(L$232:L$239*((1-EXP(-L$222:L$229*L$282))/(L$222:L$229+(L$222:L$229=0))-L$282*EXP(-L$222:L$229*L$282)*(L$222:L$229&lt;&gt;0)))),L$282*L$283)</f>
        <v>0</v>
      </c>
      <c r="M284" s="127">
        <f t="shared" si="113"/>
        <v>0</v>
      </c>
      <c r="N284" s="127">
        <f t="shared" si="113"/>
        <v>0</v>
      </c>
      <c r="O284" s="127">
        <f t="shared" si="113"/>
        <v>0</v>
      </c>
      <c r="P284" s="127">
        <f t="shared" si="113"/>
        <v>0</v>
      </c>
      <c r="Q284" s="127">
        <f t="shared" si="113"/>
        <v>0</v>
      </c>
      <c r="R284" s="127">
        <f t="shared" si="113"/>
        <v>0</v>
      </c>
      <c r="S284" s="127">
        <f t="shared" si="113"/>
        <v>0</v>
      </c>
      <c r="T284" s="127">
        <f t="shared" si="113"/>
        <v>0</v>
      </c>
      <c r="U284" s="127">
        <f t="shared" si="113"/>
        <v>0</v>
      </c>
      <c r="V284" s="127">
        <f t="shared" si="113"/>
        <v>0</v>
      </c>
      <c r="W284" s="127">
        <f t="shared" si="113"/>
        <v>0</v>
      </c>
      <c r="X284" s="127">
        <f t="shared" si="113"/>
        <v>0</v>
      </c>
      <c r="Y284" s="127">
        <f t="shared" si="113"/>
        <v>0</v>
      </c>
      <c r="Z284" s="127">
        <f t="shared" si="113"/>
        <v>0</v>
      </c>
      <c r="AA284" s="127">
        <f t="shared" si="113"/>
        <v>0</v>
      </c>
      <c r="AB284" s="127">
        <f t="shared" si="113"/>
        <v>0</v>
      </c>
      <c r="AC284" s="127">
        <f t="shared" si="113"/>
        <v>0</v>
      </c>
      <c r="AD284" s="127">
        <f t="shared" si="113"/>
        <v>0</v>
      </c>
      <c r="AE284" s="127">
        <f t="shared" si="113"/>
        <v>0</v>
      </c>
      <c r="AF284" s="128"/>
      <c r="AG284" s="128"/>
      <c r="AH284" s="128"/>
      <c r="AI284" s="128"/>
    </row>
    <row r="285" spans="2:35" customFormat="1" ht="14.25" x14ac:dyDescent="0.45">
      <c r="B285" s="14" t="s">
        <v>2617</v>
      </c>
      <c r="C285" s="14" t="s">
        <v>2522</v>
      </c>
      <c r="D285" s="15" t="s">
        <v>2618</v>
      </c>
      <c r="E285" s="16" t="s">
        <v>2552</v>
      </c>
      <c r="F285" s="14" t="s">
        <v>2553</v>
      </c>
      <c r="G285" s="119"/>
      <c r="H285" s="119"/>
      <c r="K285" s="126"/>
      <c r="L285" s="129">
        <f t="shared" ref="L285:AE285" si="114">IF($F$4="COST",L$282*(SUMPRODUCT(L$202:L$209*L$212:L$219*EXP(-L$212:L$219*L$282))+SUMPRODUCT(L$232:L$239*L$222:L$229*EXP(-L$222:L$229*L$282))),L$283+L$282*(SUMPRODUCT(L$202:L$209*L$212:L$219*EXP(-L$212:L$219*L$282))+SUMPRODUCT(L$232:L$239*L$222:L$229*EXP(-L$222:L$229*L$282))))</f>
        <v>0</v>
      </c>
      <c r="M285" s="129">
        <f t="shared" si="114"/>
        <v>0</v>
      </c>
      <c r="N285" s="129">
        <f t="shared" si="114"/>
        <v>0</v>
      </c>
      <c r="O285" s="129">
        <f t="shared" si="114"/>
        <v>0</v>
      </c>
      <c r="P285" s="129">
        <f t="shared" si="114"/>
        <v>0</v>
      </c>
      <c r="Q285" s="129">
        <f t="shared" si="114"/>
        <v>0</v>
      </c>
      <c r="R285" s="129">
        <f t="shared" si="114"/>
        <v>0</v>
      </c>
      <c r="S285" s="129">
        <f t="shared" si="114"/>
        <v>0</v>
      </c>
      <c r="T285" s="129">
        <f t="shared" si="114"/>
        <v>0</v>
      </c>
      <c r="U285" s="129">
        <f t="shared" si="114"/>
        <v>0</v>
      </c>
      <c r="V285" s="129">
        <f t="shared" si="114"/>
        <v>0</v>
      </c>
      <c r="W285" s="129">
        <f t="shared" si="114"/>
        <v>0</v>
      </c>
      <c r="X285" s="129">
        <f t="shared" si="114"/>
        <v>0</v>
      </c>
      <c r="Y285" s="129">
        <f t="shared" si="114"/>
        <v>0</v>
      </c>
      <c r="Z285" s="129">
        <f t="shared" si="114"/>
        <v>0</v>
      </c>
      <c r="AA285" s="129">
        <f t="shared" si="114"/>
        <v>0</v>
      </c>
      <c r="AB285" s="129">
        <f t="shared" si="114"/>
        <v>0</v>
      </c>
      <c r="AC285" s="129">
        <f t="shared" si="114"/>
        <v>0</v>
      </c>
      <c r="AD285" s="129">
        <f t="shared" si="114"/>
        <v>0</v>
      </c>
      <c r="AE285" s="129">
        <f t="shared" si="114"/>
        <v>0</v>
      </c>
      <c r="AF285" s="128"/>
      <c r="AG285" s="128"/>
      <c r="AH285" s="128"/>
      <c r="AI285" s="128"/>
    </row>
    <row r="286" spans="2:35" customFormat="1" ht="14.25" x14ac:dyDescent="0.45">
      <c r="B286" s="14" t="s">
        <v>2619</v>
      </c>
      <c r="C286" s="14" t="s">
        <v>2522</v>
      </c>
      <c r="D286" s="15" t="s">
        <v>2620</v>
      </c>
      <c r="E286" s="16" t="s">
        <v>1415</v>
      </c>
      <c r="F286" s="14" t="s">
        <v>2556</v>
      </c>
      <c r="G286" s="119"/>
      <c r="H286" s="119"/>
      <c r="K286" s="126"/>
      <c r="L286" s="127">
        <f t="shared" ref="L286:AE286" si="115">IF(L$245&lt;=0,0,IF(L$285&lt;=0,L$282,MIN($F$5,IF(L$282-(L$284-L$245)/L$285&lt;=0,L$282/2,L$282-(L$284-L$245)/L$285))))</f>
        <v>0</v>
      </c>
      <c r="M286" s="127">
        <f t="shared" si="115"/>
        <v>0</v>
      </c>
      <c r="N286" s="127">
        <f t="shared" si="115"/>
        <v>0</v>
      </c>
      <c r="O286" s="127">
        <f t="shared" si="115"/>
        <v>0</v>
      </c>
      <c r="P286" s="127">
        <f t="shared" si="115"/>
        <v>0</v>
      </c>
      <c r="Q286" s="127">
        <f t="shared" si="115"/>
        <v>0</v>
      </c>
      <c r="R286" s="127">
        <f t="shared" si="115"/>
        <v>0</v>
      </c>
      <c r="S286" s="127">
        <f t="shared" si="115"/>
        <v>0</v>
      </c>
      <c r="T286" s="127">
        <f t="shared" si="115"/>
        <v>0</v>
      </c>
      <c r="U286" s="127">
        <f t="shared" si="115"/>
        <v>0</v>
      </c>
      <c r="V286" s="127">
        <f t="shared" si="115"/>
        <v>0</v>
      </c>
      <c r="W286" s="127">
        <f t="shared" si="115"/>
        <v>0</v>
      </c>
      <c r="X286" s="127">
        <f t="shared" si="115"/>
        <v>0</v>
      </c>
      <c r="Y286" s="127">
        <f t="shared" si="115"/>
        <v>0</v>
      </c>
      <c r="Z286" s="127">
        <f t="shared" si="115"/>
        <v>0</v>
      </c>
      <c r="AA286" s="127">
        <f t="shared" si="115"/>
        <v>0</v>
      </c>
      <c r="AB286" s="127">
        <f t="shared" si="115"/>
        <v>0</v>
      </c>
      <c r="AC286" s="127">
        <f t="shared" si="115"/>
        <v>0</v>
      </c>
      <c r="AD286" s="127">
        <f t="shared" si="115"/>
        <v>0</v>
      </c>
      <c r="AE286" s="127">
        <f t="shared" si="115"/>
        <v>0</v>
      </c>
      <c r="AF286" s="128"/>
      <c r="AG286" s="128"/>
      <c r="AH286" s="128"/>
      <c r="AI286" s="128"/>
    </row>
    <row r="287" spans="2:35" customFormat="1" ht="14.25" x14ac:dyDescent="0.45">
      <c r="B287" s="14" t="s">
        <v>2621</v>
      </c>
      <c r="C287" s="14" t="s">
        <v>2522</v>
      </c>
      <c r="D287" s="15" t="s">
        <v>2622</v>
      </c>
      <c r="E287" s="16" t="s">
        <v>1967</v>
      </c>
      <c r="F287" s="14" t="s">
        <v>2546</v>
      </c>
      <c r="G287" s="119"/>
      <c r="H287" s="119"/>
      <c r="K287" s="126"/>
      <c r="L287" s="129">
        <f t="shared" ref="L287:AE287" si="116">SUMPRODUCT(L$202:L$209*(1-EXP(-L$212:L$219*L$286)))+SUMPRODUCT(L$232:L$239*(1-EXP(-L$222:L$229*L$286)))</f>
        <v>0</v>
      </c>
      <c r="M287" s="129">
        <f t="shared" si="116"/>
        <v>0</v>
      </c>
      <c r="N287" s="129">
        <f t="shared" si="116"/>
        <v>0</v>
      </c>
      <c r="O287" s="129">
        <f t="shared" si="116"/>
        <v>0</v>
      </c>
      <c r="P287" s="129">
        <f t="shared" si="116"/>
        <v>0</v>
      </c>
      <c r="Q287" s="129">
        <f t="shared" si="116"/>
        <v>0</v>
      </c>
      <c r="R287" s="129">
        <f t="shared" si="116"/>
        <v>0</v>
      </c>
      <c r="S287" s="129">
        <f t="shared" si="116"/>
        <v>0</v>
      </c>
      <c r="T287" s="129">
        <f t="shared" si="116"/>
        <v>0</v>
      </c>
      <c r="U287" s="129">
        <f t="shared" si="116"/>
        <v>0</v>
      </c>
      <c r="V287" s="129">
        <f t="shared" si="116"/>
        <v>0</v>
      </c>
      <c r="W287" s="129">
        <f t="shared" si="116"/>
        <v>0</v>
      </c>
      <c r="X287" s="129">
        <f t="shared" si="116"/>
        <v>0</v>
      </c>
      <c r="Y287" s="129">
        <f t="shared" si="116"/>
        <v>0</v>
      </c>
      <c r="Z287" s="129">
        <f t="shared" si="116"/>
        <v>0</v>
      </c>
      <c r="AA287" s="129">
        <f t="shared" si="116"/>
        <v>0</v>
      </c>
      <c r="AB287" s="129">
        <f t="shared" si="116"/>
        <v>0</v>
      </c>
      <c r="AC287" s="129">
        <f t="shared" si="116"/>
        <v>0</v>
      </c>
      <c r="AD287" s="129">
        <f t="shared" si="116"/>
        <v>0</v>
      </c>
      <c r="AE287" s="129">
        <f t="shared" si="116"/>
        <v>0</v>
      </c>
      <c r="AF287" s="128"/>
      <c r="AG287" s="128"/>
      <c r="AH287" s="128"/>
      <c r="AI287" s="128"/>
    </row>
    <row r="288" spans="2:35" customFormat="1" ht="14.25" x14ac:dyDescent="0.45">
      <c r="B288" s="14" t="s">
        <v>2623</v>
      </c>
      <c r="C288" s="14" t="s">
        <v>2522</v>
      </c>
      <c r="D288" s="15" t="s">
        <v>2624</v>
      </c>
      <c r="E288" s="16" t="s">
        <v>1871</v>
      </c>
      <c r="F288" s="14" t="s">
        <v>2549</v>
      </c>
      <c r="G288" s="119"/>
      <c r="H288" s="119"/>
      <c r="K288" s="126"/>
      <c r="L288" s="127">
        <f t="shared" ref="L288:AE288" si="117">IF($F$4="COST",(SUMPRODUCT(L$202:L$209*((1-EXP(-L$212:L$219*L$286))/(L$212:L$219+(L$212:L$219=0))-L$286*EXP(-L$212:L$219*L$286)*(L$212:L$219&lt;&gt;0)))+SUMPRODUCT(L$232:L$239*((1-EXP(-L$222:L$229*L$286))/(L$222:L$229+(L$222:L$229=0))-L$286*EXP(-L$222:L$229*L$286)*(L$222:L$229&lt;&gt;0)))),L$286*L$287)</f>
        <v>0</v>
      </c>
      <c r="M288" s="127">
        <f t="shared" si="117"/>
        <v>0</v>
      </c>
      <c r="N288" s="127">
        <f t="shared" si="117"/>
        <v>0</v>
      </c>
      <c r="O288" s="127">
        <f t="shared" si="117"/>
        <v>0</v>
      </c>
      <c r="P288" s="127">
        <f t="shared" si="117"/>
        <v>0</v>
      </c>
      <c r="Q288" s="127">
        <f t="shared" si="117"/>
        <v>0</v>
      </c>
      <c r="R288" s="127">
        <f t="shared" si="117"/>
        <v>0</v>
      </c>
      <c r="S288" s="127">
        <f t="shared" si="117"/>
        <v>0</v>
      </c>
      <c r="T288" s="127">
        <f t="shared" si="117"/>
        <v>0</v>
      </c>
      <c r="U288" s="127">
        <f t="shared" si="117"/>
        <v>0</v>
      </c>
      <c r="V288" s="127">
        <f t="shared" si="117"/>
        <v>0</v>
      </c>
      <c r="W288" s="127">
        <f t="shared" si="117"/>
        <v>0</v>
      </c>
      <c r="X288" s="127">
        <f t="shared" si="117"/>
        <v>0</v>
      </c>
      <c r="Y288" s="127">
        <f t="shared" si="117"/>
        <v>0</v>
      </c>
      <c r="Z288" s="127">
        <f t="shared" si="117"/>
        <v>0</v>
      </c>
      <c r="AA288" s="127">
        <f t="shared" si="117"/>
        <v>0</v>
      </c>
      <c r="AB288" s="127">
        <f t="shared" si="117"/>
        <v>0</v>
      </c>
      <c r="AC288" s="127">
        <f t="shared" si="117"/>
        <v>0</v>
      </c>
      <c r="AD288" s="127">
        <f t="shared" si="117"/>
        <v>0</v>
      </c>
      <c r="AE288" s="127">
        <f t="shared" si="117"/>
        <v>0</v>
      </c>
      <c r="AF288" s="128"/>
      <c r="AG288" s="128"/>
      <c r="AH288" s="128"/>
      <c r="AI288" s="128"/>
    </row>
    <row r="289" spans="2:35" customFormat="1" ht="14.25" x14ac:dyDescent="0.45">
      <c r="B289" s="14" t="s">
        <v>2625</v>
      </c>
      <c r="C289" s="14" t="s">
        <v>2522</v>
      </c>
      <c r="D289" s="15" t="s">
        <v>2626</v>
      </c>
      <c r="E289" s="16" t="s">
        <v>2552</v>
      </c>
      <c r="F289" s="14" t="s">
        <v>2553</v>
      </c>
      <c r="G289" s="119"/>
      <c r="H289" s="119"/>
      <c r="K289" s="126"/>
      <c r="L289" s="129">
        <f t="shared" ref="L289:AE289" si="118">IF($F$4="COST",L$286*(SUMPRODUCT(L$202:L$209*L$212:L$219*EXP(-L$212:L$219*L$286))+SUMPRODUCT(L$232:L$239*L$222:L$229*EXP(-L$222:L$229*L$286))),L$287+L$286*(SUMPRODUCT(L$202:L$209*L$212:L$219*EXP(-L$212:L$219*L$286))+SUMPRODUCT(L$232:L$239*L$222:L$229*EXP(-L$222:L$229*L$286))))</f>
        <v>0</v>
      </c>
      <c r="M289" s="129">
        <f t="shared" si="118"/>
        <v>0</v>
      </c>
      <c r="N289" s="129">
        <f t="shared" si="118"/>
        <v>0</v>
      </c>
      <c r="O289" s="129">
        <f t="shared" si="118"/>
        <v>0</v>
      </c>
      <c r="P289" s="129">
        <f t="shared" si="118"/>
        <v>0</v>
      </c>
      <c r="Q289" s="129">
        <f t="shared" si="118"/>
        <v>0</v>
      </c>
      <c r="R289" s="129">
        <f t="shared" si="118"/>
        <v>0</v>
      </c>
      <c r="S289" s="129">
        <f t="shared" si="118"/>
        <v>0</v>
      </c>
      <c r="T289" s="129">
        <f t="shared" si="118"/>
        <v>0</v>
      </c>
      <c r="U289" s="129">
        <f t="shared" si="118"/>
        <v>0</v>
      </c>
      <c r="V289" s="129">
        <f t="shared" si="118"/>
        <v>0</v>
      </c>
      <c r="W289" s="129">
        <f t="shared" si="118"/>
        <v>0</v>
      </c>
      <c r="X289" s="129">
        <f t="shared" si="118"/>
        <v>0</v>
      </c>
      <c r="Y289" s="129">
        <f t="shared" si="118"/>
        <v>0</v>
      </c>
      <c r="Z289" s="129">
        <f t="shared" si="118"/>
        <v>0</v>
      </c>
      <c r="AA289" s="129">
        <f t="shared" si="118"/>
        <v>0</v>
      </c>
      <c r="AB289" s="129">
        <f t="shared" si="118"/>
        <v>0</v>
      </c>
      <c r="AC289" s="129">
        <f t="shared" si="118"/>
        <v>0</v>
      </c>
      <c r="AD289" s="129">
        <f t="shared" si="118"/>
        <v>0</v>
      </c>
      <c r="AE289" s="129">
        <f t="shared" si="118"/>
        <v>0</v>
      </c>
      <c r="AF289" s="128"/>
      <c r="AG289" s="128"/>
      <c r="AH289" s="128"/>
      <c r="AI289" s="128"/>
    </row>
    <row r="290" spans="2:35" customFormat="1" ht="14.25" x14ac:dyDescent="0.45">
      <c r="B290" s="14" t="s">
        <v>2627</v>
      </c>
      <c r="C290" s="14" t="s">
        <v>2522</v>
      </c>
      <c r="D290" s="15" t="s">
        <v>2628</v>
      </c>
      <c r="E290" s="16" t="s">
        <v>1415</v>
      </c>
      <c r="F290" s="14" t="s">
        <v>2556</v>
      </c>
      <c r="G290" s="119"/>
      <c r="H290" s="119"/>
      <c r="K290" s="126"/>
      <c r="L290" s="127">
        <f t="shared" ref="L290:AE290" si="119">IF(L$245&lt;=0,0,IF(L$289&lt;=0,L$286,MIN($F$5,IF(L$286-(L$288-L$245)/L$289&lt;=0,L$286/2,L$286-(L$288-L$245)/L$289))))</f>
        <v>0</v>
      </c>
      <c r="M290" s="127">
        <f t="shared" si="119"/>
        <v>0</v>
      </c>
      <c r="N290" s="127">
        <f t="shared" si="119"/>
        <v>0</v>
      </c>
      <c r="O290" s="127">
        <f t="shared" si="119"/>
        <v>0</v>
      </c>
      <c r="P290" s="127">
        <f t="shared" si="119"/>
        <v>0</v>
      </c>
      <c r="Q290" s="127">
        <f t="shared" si="119"/>
        <v>0</v>
      </c>
      <c r="R290" s="127">
        <f t="shared" si="119"/>
        <v>0</v>
      </c>
      <c r="S290" s="127">
        <f t="shared" si="119"/>
        <v>0</v>
      </c>
      <c r="T290" s="127">
        <f t="shared" si="119"/>
        <v>0</v>
      </c>
      <c r="U290" s="127">
        <f t="shared" si="119"/>
        <v>0</v>
      </c>
      <c r="V290" s="127">
        <f t="shared" si="119"/>
        <v>0</v>
      </c>
      <c r="W290" s="127">
        <f t="shared" si="119"/>
        <v>0</v>
      </c>
      <c r="X290" s="127">
        <f t="shared" si="119"/>
        <v>0</v>
      </c>
      <c r="Y290" s="127">
        <f t="shared" si="119"/>
        <v>0</v>
      </c>
      <c r="Z290" s="127">
        <f t="shared" si="119"/>
        <v>0</v>
      </c>
      <c r="AA290" s="127">
        <f t="shared" si="119"/>
        <v>0</v>
      </c>
      <c r="AB290" s="127">
        <f t="shared" si="119"/>
        <v>0</v>
      </c>
      <c r="AC290" s="127">
        <f t="shared" si="119"/>
        <v>0</v>
      </c>
      <c r="AD290" s="127">
        <f t="shared" si="119"/>
        <v>0</v>
      </c>
      <c r="AE290" s="127">
        <f t="shared" si="119"/>
        <v>0</v>
      </c>
      <c r="AF290" s="128"/>
      <c r="AG290" s="128"/>
      <c r="AH290" s="128"/>
      <c r="AI290" s="128"/>
    </row>
    <row r="291" spans="2:35" customFormat="1" ht="14.25" x14ac:dyDescent="0.45">
      <c r="B291" s="14" t="s">
        <v>2629</v>
      </c>
      <c r="C291" s="14" t="s">
        <v>2522</v>
      </c>
      <c r="D291" s="15" t="s">
        <v>2630</v>
      </c>
      <c r="E291" s="16" t="s">
        <v>1967</v>
      </c>
      <c r="F291" s="14" t="s">
        <v>2546</v>
      </c>
      <c r="G291" s="119"/>
      <c r="H291" s="119"/>
      <c r="K291" s="126"/>
      <c r="L291" s="129">
        <f t="shared" ref="L291:AE291" si="120">SUMPRODUCT(L$202:L$209*(1-EXP(-L$212:L$219*L$290)))+SUMPRODUCT(L$232:L$239*(1-EXP(-L$222:L$229*L$290)))</f>
        <v>0</v>
      </c>
      <c r="M291" s="129">
        <f t="shared" si="120"/>
        <v>0</v>
      </c>
      <c r="N291" s="129">
        <f t="shared" si="120"/>
        <v>0</v>
      </c>
      <c r="O291" s="129">
        <f t="shared" si="120"/>
        <v>0</v>
      </c>
      <c r="P291" s="129">
        <f t="shared" si="120"/>
        <v>0</v>
      </c>
      <c r="Q291" s="129">
        <f t="shared" si="120"/>
        <v>0</v>
      </c>
      <c r="R291" s="129">
        <f t="shared" si="120"/>
        <v>0</v>
      </c>
      <c r="S291" s="129">
        <f t="shared" si="120"/>
        <v>0</v>
      </c>
      <c r="T291" s="129">
        <f t="shared" si="120"/>
        <v>0</v>
      </c>
      <c r="U291" s="129">
        <f t="shared" si="120"/>
        <v>0</v>
      </c>
      <c r="V291" s="129">
        <f t="shared" si="120"/>
        <v>0</v>
      </c>
      <c r="W291" s="129">
        <f t="shared" si="120"/>
        <v>0</v>
      </c>
      <c r="X291" s="129">
        <f t="shared" si="120"/>
        <v>0</v>
      </c>
      <c r="Y291" s="129">
        <f t="shared" si="120"/>
        <v>0</v>
      </c>
      <c r="Z291" s="129">
        <f t="shared" si="120"/>
        <v>0</v>
      </c>
      <c r="AA291" s="129">
        <f t="shared" si="120"/>
        <v>0</v>
      </c>
      <c r="AB291" s="129">
        <f t="shared" si="120"/>
        <v>0</v>
      </c>
      <c r="AC291" s="129">
        <f t="shared" si="120"/>
        <v>0</v>
      </c>
      <c r="AD291" s="129">
        <f t="shared" si="120"/>
        <v>0</v>
      </c>
      <c r="AE291" s="129">
        <f t="shared" si="120"/>
        <v>0</v>
      </c>
      <c r="AF291" s="128"/>
      <c r="AG291" s="128"/>
      <c r="AH291" s="128"/>
      <c r="AI291" s="128"/>
    </row>
    <row r="292" spans="2:35" customFormat="1" ht="14.25" x14ac:dyDescent="0.45">
      <c r="B292" s="14" t="s">
        <v>2631</v>
      </c>
      <c r="C292" s="14" t="s">
        <v>2522</v>
      </c>
      <c r="D292" s="15" t="s">
        <v>2632</v>
      </c>
      <c r="E292" s="16" t="s">
        <v>1871</v>
      </c>
      <c r="F292" s="14" t="s">
        <v>2549</v>
      </c>
      <c r="G292" s="119"/>
      <c r="H292" s="119"/>
      <c r="K292" s="126"/>
      <c r="L292" s="127">
        <f t="shared" ref="L292:AE292" si="121">IF($F$4="COST",(SUMPRODUCT(L$202:L$209*((1-EXP(-L$212:L$219*L$290))/(L$212:L$219+(L$212:L$219=0))-L$290*EXP(-L$212:L$219*L$290)*(L$212:L$219&lt;&gt;0)))+SUMPRODUCT(L$232:L$239*((1-EXP(-L$222:L$229*L$290))/(L$222:L$229+(L$222:L$229=0))-L$290*EXP(-L$222:L$229*L$290)*(L$222:L$229&lt;&gt;0)))),L$290*L$291)</f>
        <v>0</v>
      </c>
      <c r="M292" s="127">
        <f t="shared" si="121"/>
        <v>0</v>
      </c>
      <c r="N292" s="127">
        <f t="shared" si="121"/>
        <v>0</v>
      </c>
      <c r="O292" s="127">
        <f t="shared" si="121"/>
        <v>0</v>
      </c>
      <c r="P292" s="127">
        <f t="shared" si="121"/>
        <v>0</v>
      </c>
      <c r="Q292" s="127">
        <f t="shared" si="121"/>
        <v>0</v>
      </c>
      <c r="R292" s="127">
        <f t="shared" si="121"/>
        <v>0</v>
      </c>
      <c r="S292" s="127">
        <f t="shared" si="121"/>
        <v>0</v>
      </c>
      <c r="T292" s="127">
        <f t="shared" si="121"/>
        <v>0</v>
      </c>
      <c r="U292" s="127">
        <f t="shared" si="121"/>
        <v>0</v>
      </c>
      <c r="V292" s="127">
        <f t="shared" si="121"/>
        <v>0</v>
      </c>
      <c r="W292" s="127">
        <f t="shared" si="121"/>
        <v>0</v>
      </c>
      <c r="X292" s="127">
        <f t="shared" si="121"/>
        <v>0</v>
      </c>
      <c r="Y292" s="127">
        <f t="shared" si="121"/>
        <v>0</v>
      </c>
      <c r="Z292" s="127">
        <f t="shared" si="121"/>
        <v>0</v>
      </c>
      <c r="AA292" s="127">
        <f t="shared" si="121"/>
        <v>0</v>
      </c>
      <c r="AB292" s="127">
        <f t="shared" si="121"/>
        <v>0</v>
      </c>
      <c r="AC292" s="127">
        <f t="shared" si="121"/>
        <v>0</v>
      </c>
      <c r="AD292" s="127">
        <f t="shared" si="121"/>
        <v>0</v>
      </c>
      <c r="AE292" s="127">
        <f t="shared" si="121"/>
        <v>0</v>
      </c>
      <c r="AF292" s="128"/>
      <c r="AG292" s="128"/>
      <c r="AH292" s="128"/>
      <c r="AI292" s="128"/>
    </row>
    <row r="293" spans="2:35" customFormat="1" ht="14.25" x14ac:dyDescent="0.45">
      <c r="B293" s="14" t="s">
        <v>2633</v>
      </c>
      <c r="C293" s="14" t="s">
        <v>2522</v>
      </c>
      <c r="D293" s="15" t="s">
        <v>2634</v>
      </c>
      <c r="E293" s="16" t="s">
        <v>2552</v>
      </c>
      <c r="F293" s="14" t="s">
        <v>2553</v>
      </c>
      <c r="G293" s="119"/>
      <c r="H293" s="119"/>
      <c r="K293" s="126"/>
      <c r="L293" s="129">
        <f t="shared" ref="L293:AE293" si="122">IF($F$4="COST",L$290*(SUMPRODUCT(L$202:L$209*L$212:L$219*EXP(-L$212:L$219*L$290))+SUMPRODUCT(L$232:L$239*L$222:L$229*EXP(-L$222:L$229*L$290))),L$291+L$290*(SUMPRODUCT(L$202:L$209*L$212:L$219*EXP(-L$212:L$219*L$290))+SUMPRODUCT(L$232:L$239*L$222:L$229*EXP(-L$222:L$229*L$290))))</f>
        <v>0</v>
      </c>
      <c r="M293" s="129">
        <f t="shared" si="122"/>
        <v>0</v>
      </c>
      <c r="N293" s="129">
        <f t="shared" si="122"/>
        <v>0</v>
      </c>
      <c r="O293" s="129">
        <f t="shared" si="122"/>
        <v>0</v>
      </c>
      <c r="P293" s="129">
        <f t="shared" si="122"/>
        <v>0</v>
      </c>
      <c r="Q293" s="129">
        <f t="shared" si="122"/>
        <v>0</v>
      </c>
      <c r="R293" s="129">
        <f t="shared" si="122"/>
        <v>0</v>
      </c>
      <c r="S293" s="129">
        <f t="shared" si="122"/>
        <v>0</v>
      </c>
      <c r="T293" s="129">
        <f t="shared" si="122"/>
        <v>0</v>
      </c>
      <c r="U293" s="129">
        <f t="shared" si="122"/>
        <v>0</v>
      </c>
      <c r="V293" s="129">
        <f t="shared" si="122"/>
        <v>0</v>
      </c>
      <c r="W293" s="129">
        <f t="shared" si="122"/>
        <v>0</v>
      </c>
      <c r="X293" s="129">
        <f t="shared" si="122"/>
        <v>0</v>
      </c>
      <c r="Y293" s="129">
        <f t="shared" si="122"/>
        <v>0</v>
      </c>
      <c r="Z293" s="129">
        <f t="shared" si="122"/>
        <v>0</v>
      </c>
      <c r="AA293" s="129">
        <f t="shared" si="122"/>
        <v>0</v>
      </c>
      <c r="AB293" s="129">
        <f t="shared" si="122"/>
        <v>0</v>
      </c>
      <c r="AC293" s="129">
        <f t="shared" si="122"/>
        <v>0</v>
      </c>
      <c r="AD293" s="129">
        <f t="shared" si="122"/>
        <v>0</v>
      </c>
      <c r="AE293" s="129">
        <f t="shared" si="122"/>
        <v>0</v>
      </c>
      <c r="AF293" s="128"/>
      <c r="AG293" s="128"/>
      <c r="AH293" s="128"/>
      <c r="AI293" s="128"/>
    </row>
    <row r="294" spans="2:35" customFormat="1" ht="14.25" x14ac:dyDescent="0.45">
      <c r="B294" s="14" t="s">
        <v>2635</v>
      </c>
      <c r="C294" s="14" t="s">
        <v>2522</v>
      </c>
      <c r="D294" s="15" t="s">
        <v>2636</v>
      </c>
      <c r="E294" s="16" t="s">
        <v>1415</v>
      </c>
      <c r="F294" s="14" t="s">
        <v>2556</v>
      </c>
      <c r="G294" s="119"/>
      <c r="H294" s="119"/>
      <c r="K294" s="126"/>
      <c r="L294" s="127">
        <f t="shared" ref="L294:AE294" si="123">IF(L$245&lt;=0,0,IF(L$293&lt;=0,L$290,MIN($F$5,IF(L$290-(L$292-L$245)/L$293&lt;=0,L$290/2,L$290-(L$292-L$245)/L$293))))</f>
        <v>0</v>
      </c>
      <c r="M294" s="127">
        <f t="shared" si="123"/>
        <v>0</v>
      </c>
      <c r="N294" s="127">
        <f t="shared" si="123"/>
        <v>0</v>
      </c>
      <c r="O294" s="127">
        <f t="shared" si="123"/>
        <v>0</v>
      </c>
      <c r="P294" s="127">
        <f t="shared" si="123"/>
        <v>0</v>
      </c>
      <c r="Q294" s="127">
        <f t="shared" si="123"/>
        <v>0</v>
      </c>
      <c r="R294" s="127">
        <f t="shared" si="123"/>
        <v>0</v>
      </c>
      <c r="S294" s="127">
        <f t="shared" si="123"/>
        <v>0</v>
      </c>
      <c r="T294" s="127">
        <f t="shared" si="123"/>
        <v>0</v>
      </c>
      <c r="U294" s="127">
        <f t="shared" si="123"/>
        <v>0</v>
      </c>
      <c r="V294" s="127">
        <f t="shared" si="123"/>
        <v>0</v>
      </c>
      <c r="W294" s="127">
        <f t="shared" si="123"/>
        <v>0</v>
      </c>
      <c r="X294" s="127">
        <f t="shared" si="123"/>
        <v>0</v>
      </c>
      <c r="Y294" s="127">
        <f t="shared" si="123"/>
        <v>0</v>
      </c>
      <c r="Z294" s="127">
        <f t="shared" si="123"/>
        <v>0</v>
      </c>
      <c r="AA294" s="127">
        <f t="shared" si="123"/>
        <v>0</v>
      </c>
      <c r="AB294" s="127">
        <f t="shared" si="123"/>
        <v>0</v>
      </c>
      <c r="AC294" s="127">
        <f t="shared" si="123"/>
        <v>0</v>
      </c>
      <c r="AD294" s="127">
        <f t="shared" si="123"/>
        <v>0</v>
      </c>
      <c r="AE294" s="127">
        <f t="shared" si="123"/>
        <v>0</v>
      </c>
      <c r="AF294" s="128"/>
      <c r="AG294" s="128"/>
      <c r="AH294" s="128"/>
      <c r="AI294" s="128"/>
    </row>
    <row r="295" spans="2:35" customFormat="1" ht="14.25" x14ac:dyDescent="0.45">
      <c r="B295" s="14" t="s">
        <v>2637</v>
      </c>
      <c r="C295" s="14" t="s">
        <v>2522</v>
      </c>
      <c r="D295" s="15" t="s">
        <v>2638</v>
      </c>
      <c r="E295" s="16" t="s">
        <v>1967</v>
      </c>
      <c r="F295" s="14" t="s">
        <v>2546</v>
      </c>
      <c r="G295" s="119"/>
      <c r="H295" s="119"/>
      <c r="K295" s="126"/>
      <c r="L295" s="129">
        <f t="shared" ref="L295:AE295" si="124">SUMPRODUCT(L$202:L$209*(1-EXP(-L$212:L$219*L$294)))+SUMPRODUCT(L$232:L$239*(1-EXP(-L$222:L$229*L$294)))</f>
        <v>0</v>
      </c>
      <c r="M295" s="129">
        <f t="shared" si="124"/>
        <v>0</v>
      </c>
      <c r="N295" s="129">
        <f t="shared" si="124"/>
        <v>0</v>
      </c>
      <c r="O295" s="129">
        <f t="shared" si="124"/>
        <v>0</v>
      </c>
      <c r="P295" s="129">
        <f t="shared" si="124"/>
        <v>0</v>
      </c>
      <c r="Q295" s="129">
        <f t="shared" si="124"/>
        <v>0</v>
      </c>
      <c r="R295" s="129">
        <f t="shared" si="124"/>
        <v>0</v>
      </c>
      <c r="S295" s="129">
        <f t="shared" si="124"/>
        <v>0</v>
      </c>
      <c r="T295" s="129">
        <f t="shared" si="124"/>
        <v>0</v>
      </c>
      <c r="U295" s="129">
        <f t="shared" si="124"/>
        <v>0</v>
      </c>
      <c r="V295" s="129">
        <f t="shared" si="124"/>
        <v>0</v>
      </c>
      <c r="W295" s="129">
        <f t="shared" si="124"/>
        <v>0</v>
      </c>
      <c r="X295" s="129">
        <f t="shared" si="124"/>
        <v>0</v>
      </c>
      <c r="Y295" s="129">
        <f t="shared" si="124"/>
        <v>0</v>
      </c>
      <c r="Z295" s="129">
        <f t="shared" si="124"/>
        <v>0</v>
      </c>
      <c r="AA295" s="129">
        <f t="shared" si="124"/>
        <v>0</v>
      </c>
      <c r="AB295" s="129">
        <f t="shared" si="124"/>
        <v>0</v>
      </c>
      <c r="AC295" s="129">
        <f t="shared" si="124"/>
        <v>0</v>
      </c>
      <c r="AD295" s="129">
        <f t="shared" si="124"/>
        <v>0</v>
      </c>
      <c r="AE295" s="129">
        <f t="shared" si="124"/>
        <v>0</v>
      </c>
      <c r="AF295" s="128"/>
      <c r="AG295" s="128"/>
      <c r="AH295" s="128"/>
      <c r="AI295" s="128"/>
    </row>
    <row r="296" spans="2:35" customFormat="1" ht="14.25" x14ac:dyDescent="0.45">
      <c r="B296" s="14" t="s">
        <v>2639</v>
      </c>
      <c r="C296" s="14" t="s">
        <v>2522</v>
      </c>
      <c r="D296" s="15" t="s">
        <v>2640</v>
      </c>
      <c r="E296" s="16" t="s">
        <v>1871</v>
      </c>
      <c r="F296" s="14" t="s">
        <v>2549</v>
      </c>
      <c r="G296" s="119"/>
      <c r="H296" s="119"/>
      <c r="K296" s="126"/>
      <c r="L296" s="127">
        <f t="shared" ref="L296:AE296" si="125">IF($F$4="COST",(SUMPRODUCT(L$202:L$209*((1-EXP(-L$212:L$219*L$294))/(L$212:L$219+(L$212:L$219=0))-L$294*EXP(-L$212:L$219*L$294)*(L$212:L$219&lt;&gt;0)))+SUMPRODUCT(L$232:L$239*((1-EXP(-L$222:L$229*L$294))/(L$222:L$229+(L$222:L$229=0))-L$294*EXP(-L$222:L$229*L$294)*(L$222:L$229&lt;&gt;0)))),L$294*L$295)</f>
        <v>0</v>
      </c>
      <c r="M296" s="127">
        <f t="shared" si="125"/>
        <v>0</v>
      </c>
      <c r="N296" s="127">
        <f t="shared" si="125"/>
        <v>0</v>
      </c>
      <c r="O296" s="127">
        <f t="shared" si="125"/>
        <v>0</v>
      </c>
      <c r="P296" s="127">
        <f t="shared" si="125"/>
        <v>0</v>
      </c>
      <c r="Q296" s="127">
        <f t="shared" si="125"/>
        <v>0</v>
      </c>
      <c r="R296" s="127">
        <f t="shared" si="125"/>
        <v>0</v>
      </c>
      <c r="S296" s="127">
        <f t="shared" si="125"/>
        <v>0</v>
      </c>
      <c r="T296" s="127">
        <f t="shared" si="125"/>
        <v>0</v>
      </c>
      <c r="U296" s="127">
        <f t="shared" si="125"/>
        <v>0</v>
      </c>
      <c r="V296" s="127">
        <f t="shared" si="125"/>
        <v>0</v>
      </c>
      <c r="W296" s="127">
        <f t="shared" si="125"/>
        <v>0</v>
      </c>
      <c r="X296" s="127">
        <f t="shared" si="125"/>
        <v>0</v>
      </c>
      <c r="Y296" s="127">
        <f t="shared" si="125"/>
        <v>0</v>
      </c>
      <c r="Z296" s="127">
        <f t="shared" si="125"/>
        <v>0</v>
      </c>
      <c r="AA296" s="127">
        <f t="shared" si="125"/>
        <v>0</v>
      </c>
      <c r="AB296" s="127">
        <f t="shared" si="125"/>
        <v>0</v>
      </c>
      <c r="AC296" s="127">
        <f t="shared" si="125"/>
        <v>0</v>
      </c>
      <c r="AD296" s="127">
        <f t="shared" si="125"/>
        <v>0</v>
      </c>
      <c r="AE296" s="127">
        <f t="shared" si="125"/>
        <v>0</v>
      </c>
      <c r="AF296" s="128"/>
      <c r="AG296" s="128"/>
      <c r="AH296" s="128"/>
      <c r="AI296" s="128"/>
    </row>
    <row r="297" spans="2:35" customFormat="1" ht="14.25" x14ac:dyDescent="0.45">
      <c r="B297" s="14" t="s">
        <v>2641</v>
      </c>
      <c r="C297" s="14" t="s">
        <v>2522</v>
      </c>
      <c r="D297" s="15" t="s">
        <v>2642</v>
      </c>
      <c r="E297" s="16" t="s">
        <v>2552</v>
      </c>
      <c r="F297" s="14" t="s">
        <v>2553</v>
      </c>
      <c r="G297" s="119"/>
      <c r="H297" s="119"/>
      <c r="K297" s="126"/>
      <c r="L297" s="129">
        <f t="shared" ref="L297:AE297" si="126">IF($F$4="COST",L$294*(SUMPRODUCT(L$202:L$209*L$212:L$219*EXP(-L$212:L$219*L$294))+SUMPRODUCT(L$232:L$239*L$222:L$229*EXP(-L$222:L$229*L$294))),L$295+L$294*(SUMPRODUCT(L$202:L$209*L$212:L$219*EXP(-L$212:L$219*L$294))+SUMPRODUCT(L$232:L$239*L$222:L$229*EXP(-L$222:L$229*L$294))))</f>
        <v>0</v>
      </c>
      <c r="M297" s="129">
        <f t="shared" si="126"/>
        <v>0</v>
      </c>
      <c r="N297" s="129">
        <f t="shared" si="126"/>
        <v>0</v>
      </c>
      <c r="O297" s="129">
        <f t="shared" si="126"/>
        <v>0</v>
      </c>
      <c r="P297" s="129">
        <f t="shared" si="126"/>
        <v>0</v>
      </c>
      <c r="Q297" s="129">
        <f t="shared" si="126"/>
        <v>0</v>
      </c>
      <c r="R297" s="129">
        <f t="shared" si="126"/>
        <v>0</v>
      </c>
      <c r="S297" s="129">
        <f t="shared" si="126"/>
        <v>0</v>
      </c>
      <c r="T297" s="129">
        <f t="shared" si="126"/>
        <v>0</v>
      </c>
      <c r="U297" s="129">
        <f t="shared" si="126"/>
        <v>0</v>
      </c>
      <c r="V297" s="129">
        <f t="shared" si="126"/>
        <v>0</v>
      </c>
      <c r="W297" s="129">
        <f t="shared" si="126"/>
        <v>0</v>
      </c>
      <c r="X297" s="129">
        <f t="shared" si="126"/>
        <v>0</v>
      </c>
      <c r="Y297" s="129">
        <f t="shared" si="126"/>
        <v>0</v>
      </c>
      <c r="Z297" s="129">
        <f t="shared" si="126"/>
        <v>0</v>
      </c>
      <c r="AA297" s="129">
        <f t="shared" si="126"/>
        <v>0</v>
      </c>
      <c r="AB297" s="129">
        <f t="shared" si="126"/>
        <v>0</v>
      </c>
      <c r="AC297" s="129">
        <f t="shared" si="126"/>
        <v>0</v>
      </c>
      <c r="AD297" s="129">
        <f t="shared" si="126"/>
        <v>0</v>
      </c>
      <c r="AE297" s="129">
        <f t="shared" si="126"/>
        <v>0</v>
      </c>
      <c r="AF297" s="128"/>
      <c r="AG297" s="128"/>
      <c r="AH297" s="128"/>
      <c r="AI297" s="128"/>
    </row>
    <row r="298" spans="2:35" customFormat="1" ht="14.25" x14ac:dyDescent="0.45">
      <c r="B298" s="14" t="s">
        <v>2643</v>
      </c>
      <c r="C298" s="14" t="s">
        <v>2522</v>
      </c>
      <c r="D298" s="15" t="s">
        <v>2644</v>
      </c>
      <c r="E298" s="16" t="s">
        <v>1415</v>
      </c>
      <c r="F298" s="14" t="s">
        <v>2556</v>
      </c>
      <c r="G298" s="119"/>
      <c r="H298" s="119"/>
      <c r="K298" s="126"/>
      <c r="L298" s="127">
        <f t="shared" ref="L298:AE298" si="127">IF(L$245&lt;=0,0,IF(L$297&lt;=0,L$294,MIN($F$5,IF(L$294-(L$296-L$245)/L$297&lt;=0,L$294/2,L$294-(L$296-L$245)/L$297))))</f>
        <v>0</v>
      </c>
      <c r="M298" s="127">
        <f t="shared" si="127"/>
        <v>0</v>
      </c>
      <c r="N298" s="127">
        <f t="shared" si="127"/>
        <v>0</v>
      </c>
      <c r="O298" s="127">
        <f t="shared" si="127"/>
        <v>0</v>
      </c>
      <c r="P298" s="127">
        <f t="shared" si="127"/>
        <v>0</v>
      </c>
      <c r="Q298" s="127">
        <f t="shared" si="127"/>
        <v>0</v>
      </c>
      <c r="R298" s="127">
        <f t="shared" si="127"/>
        <v>0</v>
      </c>
      <c r="S298" s="127">
        <f t="shared" si="127"/>
        <v>0</v>
      </c>
      <c r="T298" s="127">
        <f t="shared" si="127"/>
        <v>0</v>
      </c>
      <c r="U298" s="127">
        <f t="shared" si="127"/>
        <v>0</v>
      </c>
      <c r="V298" s="127">
        <f t="shared" si="127"/>
        <v>0</v>
      </c>
      <c r="W298" s="127">
        <f t="shared" si="127"/>
        <v>0</v>
      </c>
      <c r="X298" s="127">
        <f t="shared" si="127"/>
        <v>0</v>
      </c>
      <c r="Y298" s="127">
        <f t="shared" si="127"/>
        <v>0</v>
      </c>
      <c r="Z298" s="127">
        <f t="shared" si="127"/>
        <v>0</v>
      </c>
      <c r="AA298" s="127">
        <f t="shared" si="127"/>
        <v>0</v>
      </c>
      <c r="AB298" s="127">
        <f t="shared" si="127"/>
        <v>0</v>
      </c>
      <c r="AC298" s="127">
        <f t="shared" si="127"/>
        <v>0</v>
      </c>
      <c r="AD298" s="127">
        <f t="shared" si="127"/>
        <v>0</v>
      </c>
      <c r="AE298" s="127">
        <f t="shared" si="127"/>
        <v>0</v>
      </c>
      <c r="AF298" s="128"/>
      <c r="AG298" s="128"/>
      <c r="AH298" s="128"/>
      <c r="AI298" s="128"/>
    </row>
    <row r="299" spans="2:35" customFormat="1" ht="14.25" x14ac:dyDescent="0.45">
      <c r="B299" s="14" t="s">
        <v>2645</v>
      </c>
      <c r="C299" s="14" t="s">
        <v>2522</v>
      </c>
      <c r="D299" s="15" t="s">
        <v>2646</v>
      </c>
      <c r="E299" s="16" t="s">
        <v>1967</v>
      </c>
      <c r="F299" s="14" t="s">
        <v>2546</v>
      </c>
      <c r="G299" s="119"/>
      <c r="H299" s="119"/>
      <c r="K299" s="126"/>
      <c r="L299" s="129">
        <f t="shared" ref="L299:AE299" si="128">SUMPRODUCT(L$202:L$209*(1-EXP(-L$212:L$219*L$298)))+SUMPRODUCT(L$232:L$239*(1-EXP(-L$222:L$229*L$298)))</f>
        <v>0</v>
      </c>
      <c r="M299" s="129">
        <f t="shared" si="128"/>
        <v>0</v>
      </c>
      <c r="N299" s="129">
        <f t="shared" si="128"/>
        <v>0</v>
      </c>
      <c r="O299" s="129">
        <f t="shared" si="128"/>
        <v>0</v>
      </c>
      <c r="P299" s="129">
        <f t="shared" si="128"/>
        <v>0</v>
      </c>
      <c r="Q299" s="129">
        <f t="shared" si="128"/>
        <v>0</v>
      </c>
      <c r="R299" s="129">
        <f t="shared" si="128"/>
        <v>0</v>
      </c>
      <c r="S299" s="129">
        <f t="shared" si="128"/>
        <v>0</v>
      </c>
      <c r="T299" s="129">
        <f t="shared" si="128"/>
        <v>0</v>
      </c>
      <c r="U299" s="129">
        <f t="shared" si="128"/>
        <v>0</v>
      </c>
      <c r="V299" s="129">
        <f t="shared" si="128"/>
        <v>0</v>
      </c>
      <c r="W299" s="129">
        <f t="shared" si="128"/>
        <v>0</v>
      </c>
      <c r="X299" s="129">
        <f t="shared" si="128"/>
        <v>0</v>
      </c>
      <c r="Y299" s="129">
        <f t="shared" si="128"/>
        <v>0</v>
      </c>
      <c r="Z299" s="129">
        <f t="shared" si="128"/>
        <v>0</v>
      </c>
      <c r="AA299" s="129">
        <f t="shared" si="128"/>
        <v>0</v>
      </c>
      <c r="AB299" s="129">
        <f t="shared" si="128"/>
        <v>0</v>
      </c>
      <c r="AC299" s="129">
        <f t="shared" si="128"/>
        <v>0</v>
      </c>
      <c r="AD299" s="129">
        <f t="shared" si="128"/>
        <v>0</v>
      </c>
      <c r="AE299" s="129">
        <f t="shared" si="128"/>
        <v>0</v>
      </c>
      <c r="AF299" s="128"/>
      <c r="AG299" s="128"/>
      <c r="AH299" s="128"/>
      <c r="AI299" s="128"/>
    </row>
    <row r="300" spans="2:35" customFormat="1" ht="14.25" x14ac:dyDescent="0.45">
      <c r="B300" s="14" t="s">
        <v>2647</v>
      </c>
      <c r="C300" s="14" t="s">
        <v>2522</v>
      </c>
      <c r="D300" s="15" t="s">
        <v>2648</v>
      </c>
      <c r="E300" s="16" t="s">
        <v>1871</v>
      </c>
      <c r="F300" s="14" t="s">
        <v>2549</v>
      </c>
      <c r="G300" s="119"/>
      <c r="H300" s="119"/>
      <c r="K300" s="126"/>
      <c r="L300" s="127">
        <f t="shared" ref="L300:AE300" si="129">IF($F$4="COST",(SUMPRODUCT(L$202:L$209*((1-EXP(-L$212:L$219*L$298))/(L$212:L$219+(L$212:L$219=0))-L$298*EXP(-L$212:L$219*L$298)*(L$212:L$219&lt;&gt;0)))+SUMPRODUCT(L$232:L$239*((1-EXP(-L$222:L$229*L$298))/(L$222:L$229+(L$222:L$229=0))-L$298*EXP(-L$222:L$229*L$298)*(L$222:L$229&lt;&gt;0)))),L$298*L$299)</f>
        <v>0</v>
      </c>
      <c r="M300" s="127">
        <f t="shared" si="129"/>
        <v>0</v>
      </c>
      <c r="N300" s="127">
        <f t="shared" si="129"/>
        <v>0</v>
      </c>
      <c r="O300" s="127">
        <f t="shared" si="129"/>
        <v>0</v>
      </c>
      <c r="P300" s="127">
        <f t="shared" si="129"/>
        <v>0</v>
      </c>
      <c r="Q300" s="127">
        <f t="shared" si="129"/>
        <v>0</v>
      </c>
      <c r="R300" s="127">
        <f t="shared" si="129"/>
        <v>0</v>
      </c>
      <c r="S300" s="127">
        <f t="shared" si="129"/>
        <v>0</v>
      </c>
      <c r="T300" s="127">
        <f t="shared" si="129"/>
        <v>0</v>
      </c>
      <c r="U300" s="127">
        <f t="shared" si="129"/>
        <v>0</v>
      </c>
      <c r="V300" s="127">
        <f t="shared" si="129"/>
        <v>0</v>
      </c>
      <c r="W300" s="127">
        <f t="shared" si="129"/>
        <v>0</v>
      </c>
      <c r="X300" s="127">
        <f t="shared" si="129"/>
        <v>0</v>
      </c>
      <c r="Y300" s="127">
        <f t="shared" si="129"/>
        <v>0</v>
      </c>
      <c r="Z300" s="127">
        <f t="shared" si="129"/>
        <v>0</v>
      </c>
      <c r="AA300" s="127">
        <f t="shared" si="129"/>
        <v>0</v>
      </c>
      <c r="AB300" s="127">
        <f t="shared" si="129"/>
        <v>0</v>
      </c>
      <c r="AC300" s="127">
        <f t="shared" si="129"/>
        <v>0</v>
      </c>
      <c r="AD300" s="127">
        <f t="shared" si="129"/>
        <v>0</v>
      </c>
      <c r="AE300" s="127">
        <f t="shared" si="129"/>
        <v>0</v>
      </c>
      <c r="AF300" s="128"/>
      <c r="AG300" s="128"/>
      <c r="AH300" s="128"/>
      <c r="AI300" s="128"/>
    </row>
    <row r="301" spans="2:35" customFormat="1" ht="14.25" x14ac:dyDescent="0.45">
      <c r="B301" s="14" t="s">
        <v>2649</v>
      </c>
      <c r="C301" s="14" t="s">
        <v>2522</v>
      </c>
      <c r="D301" s="15" t="s">
        <v>2650</v>
      </c>
      <c r="E301" s="16" t="s">
        <v>2552</v>
      </c>
      <c r="F301" s="14" t="s">
        <v>2553</v>
      </c>
      <c r="G301" s="119"/>
      <c r="H301" s="119"/>
      <c r="K301" s="126"/>
      <c r="L301" s="129">
        <f t="shared" ref="L301:AE301" si="130">IF($F$4="COST",L$298*(SUMPRODUCT(L$202:L$209*L$212:L$219*EXP(-L$212:L$219*L$298))+SUMPRODUCT(L$232:L$239*L$222:L$229*EXP(-L$222:L$229*L$298))),L$299+L$298*(SUMPRODUCT(L$202:L$209*L$212:L$219*EXP(-L$212:L$219*L$298))+SUMPRODUCT(L$232:L$239*L$222:L$229*EXP(-L$222:L$229*L$298))))</f>
        <v>0</v>
      </c>
      <c r="M301" s="129">
        <f t="shared" si="130"/>
        <v>0</v>
      </c>
      <c r="N301" s="129">
        <f t="shared" si="130"/>
        <v>0</v>
      </c>
      <c r="O301" s="129">
        <f t="shared" si="130"/>
        <v>0</v>
      </c>
      <c r="P301" s="129">
        <f t="shared" si="130"/>
        <v>0</v>
      </c>
      <c r="Q301" s="129">
        <f t="shared" si="130"/>
        <v>0</v>
      </c>
      <c r="R301" s="129">
        <f t="shared" si="130"/>
        <v>0</v>
      </c>
      <c r="S301" s="129">
        <f t="shared" si="130"/>
        <v>0</v>
      </c>
      <c r="T301" s="129">
        <f t="shared" si="130"/>
        <v>0</v>
      </c>
      <c r="U301" s="129">
        <f t="shared" si="130"/>
        <v>0</v>
      </c>
      <c r="V301" s="129">
        <f t="shared" si="130"/>
        <v>0</v>
      </c>
      <c r="W301" s="129">
        <f t="shared" si="130"/>
        <v>0</v>
      </c>
      <c r="X301" s="129">
        <f t="shared" si="130"/>
        <v>0</v>
      </c>
      <c r="Y301" s="129">
        <f t="shared" si="130"/>
        <v>0</v>
      </c>
      <c r="Z301" s="129">
        <f t="shared" si="130"/>
        <v>0</v>
      </c>
      <c r="AA301" s="129">
        <f t="shared" si="130"/>
        <v>0</v>
      </c>
      <c r="AB301" s="129">
        <f t="shared" si="130"/>
        <v>0</v>
      </c>
      <c r="AC301" s="129">
        <f t="shared" si="130"/>
        <v>0</v>
      </c>
      <c r="AD301" s="129">
        <f t="shared" si="130"/>
        <v>0</v>
      </c>
      <c r="AE301" s="129">
        <f t="shared" si="130"/>
        <v>0</v>
      </c>
      <c r="AF301" s="128"/>
      <c r="AG301" s="128"/>
      <c r="AH301" s="128"/>
      <c r="AI301" s="128"/>
    </row>
    <row r="302" spans="2:35" customFormat="1" ht="14.25" x14ac:dyDescent="0.45">
      <c r="B302" s="14" t="s">
        <v>2651</v>
      </c>
      <c r="C302" s="14" t="s">
        <v>2522</v>
      </c>
      <c r="D302" s="15" t="s">
        <v>2652</v>
      </c>
      <c r="E302" s="16" t="s">
        <v>1415</v>
      </c>
      <c r="F302" s="14" t="s">
        <v>2556</v>
      </c>
      <c r="G302" s="119"/>
      <c r="H302" s="119"/>
      <c r="K302" s="126"/>
      <c r="L302" s="127">
        <f t="shared" ref="L302:AE302" si="131">IF(L$245&lt;=0,0,IF(L$301&lt;=0,L$298,MIN($F$5,IF(L$298-(L$300-L$245)/L$301&lt;=0,L$298/2,L$298-(L$300-L$245)/L$301))))</f>
        <v>0</v>
      </c>
      <c r="M302" s="127">
        <f t="shared" si="131"/>
        <v>0</v>
      </c>
      <c r="N302" s="127">
        <f t="shared" si="131"/>
        <v>0</v>
      </c>
      <c r="O302" s="127">
        <f t="shared" si="131"/>
        <v>0</v>
      </c>
      <c r="P302" s="127">
        <f t="shared" si="131"/>
        <v>0</v>
      </c>
      <c r="Q302" s="127">
        <f t="shared" si="131"/>
        <v>0</v>
      </c>
      <c r="R302" s="127">
        <f t="shared" si="131"/>
        <v>0</v>
      </c>
      <c r="S302" s="127">
        <f t="shared" si="131"/>
        <v>0</v>
      </c>
      <c r="T302" s="127">
        <f t="shared" si="131"/>
        <v>0</v>
      </c>
      <c r="U302" s="127">
        <f t="shared" si="131"/>
        <v>0</v>
      </c>
      <c r="V302" s="127">
        <f t="shared" si="131"/>
        <v>0</v>
      </c>
      <c r="W302" s="127">
        <f t="shared" si="131"/>
        <v>0</v>
      </c>
      <c r="X302" s="127">
        <f t="shared" si="131"/>
        <v>0</v>
      </c>
      <c r="Y302" s="127">
        <f t="shared" si="131"/>
        <v>0</v>
      </c>
      <c r="Z302" s="127">
        <f t="shared" si="131"/>
        <v>0</v>
      </c>
      <c r="AA302" s="127">
        <f t="shared" si="131"/>
        <v>0</v>
      </c>
      <c r="AB302" s="127">
        <f t="shared" si="131"/>
        <v>0</v>
      </c>
      <c r="AC302" s="127">
        <f t="shared" si="131"/>
        <v>0</v>
      </c>
      <c r="AD302" s="127">
        <f t="shared" si="131"/>
        <v>0</v>
      </c>
      <c r="AE302" s="127">
        <f t="shared" si="131"/>
        <v>0</v>
      </c>
      <c r="AF302" s="128"/>
      <c r="AG302" s="128"/>
      <c r="AH302" s="128"/>
      <c r="AI302" s="128"/>
    </row>
    <row r="303" spans="2:35" customFormat="1" ht="14.25" x14ac:dyDescent="0.45">
      <c r="B303" s="14" t="s">
        <v>2653</v>
      </c>
      <c r="C303" s="14" t="s">
        <v>2522</v>
      </c>
      <c r="D303" s="15" t="s">
        <v>2654</v>
      </c>
      <c r="E303" s="16" t="s">
        <v>1967</v>
      </c>
      <c r="F303" s="14" t="s">
        <v>2546</v>
      </c>
      <c r="G303" s="119"/>
      <c r="H303" s="119"/>
      <c r="K303" s="126"/>
      <c r="L303" s="129">
        <f t="shared" ref="L303:AE303" si="132">SUMPRODUCT(L$202:L$209*(1-EXP(-L$212:L$219*L$302)))+SUMPRODUCT(L$232:L$239*(1-EXP(-L$222:L$229*L$302)))</f>
        <v>0</v>
      </c>
      <c r="M303" s="129">
        <f t="shared" si="132"/>
        <v>0</v>
      </c>
      <c r="N303" s="129">
        <f t="shared" si="132"/>
        <v>0</v>
      </c>
      <c r="O303" s="129">
        <f t="shared" si="132"/>
        <v>0</v>
      </c>
      <c r="P303" s="129">
        <f t="shared" si="132"/>
        <v>0</v>
      </c>
      <c r="Q303" s="129">
        <f t="shared" si="132"/>
        <v>0</v>
      </c>
      <c r="R303" s="129">
        <f t="shared" si="132"/>
        <v>0</v>
      </c>
      <c r="S303" s="129">
        <f t="shared" si="132"/>
        <v>0</v>
      </c>
      <c r="T303" s="129">
        <f t="shared" si="132"/>
        <v>0</v>
      </c>
      <c r="U303" s="129">
        <f t="shared" si="132"/>
        <v>0</v>
      </c>
      <c r="V303" s="129">
        <f t="shared" si="132"/>
        <v>0</v>
      </c>
      <c r="W303" s="129">
        <f t="shared" si="132"/>
        <v>0</v>
      </c>
      <c r="X303" s="129">
        <f t="shared" si="132"/>
        <v>0</v>
      </c>
      <c r="Y303" s="129">
        <f t="shared" si="132"/>
        <v>0</v>
      </c>
      <c r="Z303" s="129">
        <f t="shared" si="132"/>
        <v>0</v>
      </c>
      <c r="AA303" s="129">
        <f t="shared" si="132"/>
        <v>0</v>
      </c>
      <c r="AB303" s="129">
        <f t="shared" si="132"/>
        <v>0</v>
      </c>
      <c r="AC303" s="129">
        <f t="shared" si="132"/>
        <v>0</v>
      </c>
      <c r="AD303" s="129">
        <f t="shared" si="132"/>
        <v>0</v>
      </c>
      <c r="AE303" s="129">
        <f t="shared" si="132"/>
        <v>0</v>
      </c>
      <c r="AF303" s="128"/>
      <c r="AG303" s="128"/>
      <c r="AH303" s="128"/>
      <c r="AI303" s="128"/>
    </row>
    <row r="304" spans="2:35" customFormat="1" ht="14.25" x14ac:dyDescent="0.45">
      <c r="B304" s="14" t="s">
        <v>2655</v>
      </c>
      <c r="C304" s="14" t="s">
        <v>2522</v>
      </c>
      <c r="D304" s="15" t="s">
        <v>2656</v>
      </c>
      <c r="E304" s="16" t="s">
        <v>1871</v>
      </c>
      <c r="F304" s="14" t="s">
        <v>2549</v>
      </c>
      <c r="G304" s="119"/>
      <c r="H304" s="119"/>
      <c r="K304" s="126"/>
      <c r="L304" s="127">
        <f t="shared" ref="L304:AE304" si="133">IF($F$4="COST",(SUMPRODUCT(L$202:L$209*((1-EXP(-L$212:L$219*L$302))/(L$212:L$219+(L$212:L$219=0))-L$302*EXP(-L$212:L$219*L$302)*(L$212:L$219&lt;&gt;0)))+SUMPRODUCT(L$232:L$239*((1-EXP(-L$222:L$229*L$302))/(L$222:L$229+(L$222:L$229=0))-L$302*EXP(-L$222:L$229*L$302)*(L$222:L$229&lt;&gt;0)))),L$302*L$303)</f>
        <v>0</v>
      </c>
      <c r="M304" s="127">
        <f t="shared" si="133"/>
        <v>0</v>
      </c>
      <c r="N304" s="127">
        <f t="shared" si="133"/>
        <v>0</v>
      </c>
      <c r="O304" s="127">
        <f t="shared" si="133"/>
        <v>0</v>
      </c>
      <c r="P304" s="127">
        <f t="shared" si="133"/>
        <v>0</v>
      </c>
      <c r="Q304" s="127">
        <f t="shared" si="133"/>
        <v>0</v>
      </c>
      <c r="R304" s="127">
        <f t="shared" si="133"/>
        <v>0</v>
      </c>
      <c r="S304" s="127">
        <f t="shared" si="133"/>
        <v>0</v>
      </c>
      <c r="T304" s="127">
        <f t="shared" si="133"/>
        <v>0</v>
      </c>
      <c r="U304" s="127">
        <f t="shared" si="133"/>
        <v>0</v>
      </c>
      <c r="V304" s="127">
        <f t="shared" si="133"/>
        <v>0</v>
      </c>
      <c r="W304" s="127">
        <f t="shared" si="133"/>
        <v>0</v>
      </c>
      <c r="X304" s="127">
        <f t="shared" si="133"/>
        <v>0</v>
      </c>
      <c r="Y304" s="127">
        <f t="shared" si="133"/>
        <v>0</v>
      </c>
      <c r="Z304" s="127">
        <f t="shared" si="133"/>
        <v>0</v>
      </c>
      <c r="AA304" s="127">
        <f t="shared" si="133"/>
        <v>0</v>
      </c>
      <c r="AB304" s="127">
        <f t="shared" si="133"/>
        <v>0</v>
      </c>
      <c r="AC304" s="127">
        <f t="shared" si="133"/>
        <v>0</v>
      </c>
      <c r="AD304" s="127">
        <f t="shared" si="133"/>
        <v>0</v>
      </c>
      <c r="AE304" s="127">
        <f t="shared" si="133"/>
        <v>0</v>
      </c>
      <c r="AF304" s="128"/>
      <c r="AG304" s="128"/>
      <c r="AH304" s="128"/>
      <c r="AI304" s="128"/>
    </row>
    <row r="305" spans="1:35" customFormat="1" ht="14.25" x14ac:dyDescent="0.45">
      <c r="B305" s="14" t="s">
        <v>2657</v>
      </c>
      <c r="C305" s="14" t="s">
        <v>2522</v>
      </c>
      <c r="D305" s="15" t="s">
        <v>2658</v>
      </c>
      <c r="E305" s="16" t="s">
        <v>2552</v>
      </c>
      <c r="F305" s="14" t="s">
        <v>2553</v>
      </c>
      <c r="G305" s="119"/>
      <c r="H305" s="119"/>
      <c r="K305" s="126"/>
      <c r="L305" s="129">
        <f t="shared" ref="L305:AE305" si="134">IF($F$4="COST",L$302*(SUMPRODUCT(L$202:L$209*L$212:L$219*EXP(-L$212:L$219*L$302))+SUMPRODUCT(L$232:L$239*L$222:L$229*EXP(-L$222:L$229*L$302))),L$303+L$302*(SUMPRODUCT(L$202:L$209*L$212:L$219*EXP(-L$212:L$219*L$302))+SUMPRODUCT(L$232:L$239*L$222:L$229*EXP(-L$222:L$229*L$302))))</f>
        <v>0</v>
      </c>
      <c r="M305" s="129">
        <f t="shared" si="134"/>
        <v>0</v>
      </c>
      <c r="N305" s="129">
        <f t="shared" si="134"/>
        <v>0</v>
      </c>
      <c r="O305" s="129">
        <f t="shared" si="134"/>
        <v>0</v>
      </c>
      <c r="P305" s="129">
        <f t="shared" si="134"/>
        <v>0</v>
      </c>
      <c r="Q305" s="129">
        <f t="shared" si="134"/>
        <v>0</v>
      </c>
      <c r="R305" s="129">
        <f t="shared" si="134"/>
        <v>0</v>
      </c>
      <c r="S305" s="129">
        <f t="shared" si="134"/>
        <v>0</v>
      </c>
      <c r="T305" s="129">
        <f t="shared" si="134"/>
        <v>0</v>
      </c>
      <c r="U305" s="129">
        <f t="shared" si="134"/>
        <v>0</v>
      </c>
      <c r="V305" s="129">
        <f t="shared" si="134"/>
        <v>0</v>
      </c>
      <c r="W305" s="129">
        <f t="shared" si="134"/>
        <v>0</v>
      </c>
      <c r="X305" s="129">
        <f t="shared" si="134"/>
        <v>0</v>
      </c>
      <c r="Y305" s="129">
        <f t="shared" si="134"/>
        <v>0</v>
      </c>
      <c r="Z305" s="129">
        <f t="shared" si="134"/>
        <v>0</v>
      </c>
      <c r="AA305" s="129">
        <f t="shared" si="134"/>
        <v>0</v>
      </c>
      <c r="AB305" s="129">
        <f t="shared" si="134"/>
        <v>0</v>
      </c>
      <c r="AC305" s="129">
        <f t="shared" si="134"/>
        <v>0</v>
      </c>
      <c r="AD305" s="129">
        <f t="shared" si="134"/>
        <v>0</v>
      </c>
      <c r="AE305" s="129">
        <f t="shared" si="134"/>
        <v>0</v>
      </c>
      <c r="AF305" s="128"/>
      <c r="AG305" s="128"/>
      <c r="AH305" s="128"/>
      <c r="AI305" s="128"/>
    </row>
    <row r="306" spans="1:35" customFormat="1" ht="14.25" x14ac:dyDescent="0.45">
      <c r="B306" s="14" t="s">
        <v>2659</v>
      </c>
      <c r="C306" s="14" t="s">
        <v>2522</v>
      </c>
      <c r="D306" s="15" t="s">
        <v>2660</v>
      </c>
      <c r="E306" s="16" t="s">
        <v>1415</v>
      </c>
      <c r="F306" s="14" t="s">
        <v>2556</v>
      </c>
      <c r="G306" s="119"/>
      <c r="H306" s="119"/>
      <c r="K306" s="126"/>
      <c r="L306" s="127">
        <f t="shared" ref="L306:AE306" si="135">IF(L$245&lt;=0,0,IF(L$305&lt;=0,L$302,MIN($F$5,IF(L$302-(L$304-L$245)/L$305&lt;=0,L$302/2,L$302-(L$304-L$245)/L$305))))</f>
        <v>0</v>
      </c>
      <c r="M306" s="127">
        <f t="shared" si="135"/>
        <v>0</v>
      </c>
      <c r="N306" s="127">
        <f t="shared" si="135"/>
        <v>0</v>
      </c>
      <c r="O306" s="127">
        <f t="shared" si="135"/>
        <v>0</v>
      </c>
      <c r="P306" s="127">
        <f t="shared" si="135"/>
        <v>0</v>
      </c>
      <c r="Q306" s="127">
        <f t="shared" si="135"/>
        <v>0</v>
      </c>
      <c r="R306" s="127">
        <f t="shared" si="135"/>
        <v>0</v>
      </c>
      <c r="S306" s="127">
        <f t="shared" si="135"/>
        <v>0</v>
      </c>
      <c r="T306" s="127">
        <f t="shared" si="135"/>
        <v>0</v>
      </c>
      <c r="U306" s="127">
        <f t="shared" si="135"/>
        <v>0</v>
      </c>
      <c r="V306" s="127">
        <f t="shared" si="135"/>
        <v>0</v>
      </c>
      <c r="W306" s="127">
        <f t="shared" si="135"/>
        <v>0</v>
      </c>
      <c r="X306" s="127">
        <f t="shared" si="135"/>
        <v>0</v>
      </c>
      <c r="Y306" s="127">
        <f t="shared" si="135"/>
        <v>0</v>
      </c>
      <c r="Z306" s="127">
        <f t="shared" si="135"/>
        <v>0</v>
      </c>
      <c r="AA306" s="127">
        <f t="shared" si="135"/>
        <v>0</v>
      </c>
      <c r="AB306" s="127">
        <f t="shared" si="135"/>
        <v>0</v>
      </c>
      <c r="AC306" s="127">
        <f t="shared" si="135"/>
        <v>0</v>
      </c>
      <c r="AD306" s="127">
        <f t="shared" si="135"/>
        <v>0</v>
      </c>
      <c r="AE306" s="127">
        <f t="shared" si="135"/>
        <v>0</v>
      </c>
      <c r="AF306" s="128"/>
      <c r="AG306" s="128"/>
      <c r="AH306" s="128"/>
      <c r="AI306" s="128"/>
    </row>
    <row r="307" spans="1:35" customFormat="1" ht="14.25" x14ac:dyDescent="0.45">
      <c r="B307" s="14" t="s">
        <v>2661</v>
      </c>
      <c r="C307" s="14" t="s">
        <v>2522</v>
      </c>
      <c r="D307" s="15" t="s">
        <v>2662</v>
      </c>
      <c r="E307" s="16" t="s">
        <v>1967</v>
      </c>
      <c r="F307" s="14" t="s">
        <v>2546</v>
      </c>
      <c r="G307" s="119"/>
      <c r="H307" s="119"/>
      <c r="K307" s="126"/>
      <c r="L307" s="129">
        <f t="shared" ref="L307:AE307" si="136">SUMPRODUCT(L$202:L$209*(1-EXP(-L$212:L$219*L$306)))+SUMPRODUCT(L$232:L$239*(1-EXP(-L$222:L$229*L$306)))</f>
        <v>0</v>
      </c>
      <c r="M307" s="129">
        <f t="shared" si="136"/>
        <v>0</v>
      </c>
      <c r="N307" s="129">
        <f t="shared" si="136"/>
        <v>0</v>
      </c>
      <c r="O307" s="129">
        <f t="shared" si="136"/>
        <v>0</v>
      </c>
      <c r="P307" s="129">
        <f t="shared" si="136"/>
        <v>0</v>
      </c>
      <c r="Q307" s="129">
        <f t="shared" si="136"/>
        <v>0</v>
      </c>
      <c r="R307" s="129">
        <f t="shared" si="136"/>
        <v>0</v>
      </c>
      <c r="S307" s="129">
        <f t="shared" si="136"/>
        <v>0</v>
      </c>
      <c r="T307" s="129">
        <f t="shared" si="136"/>
        <v>0</v>
      </c>
      <c r="U307" s="129">
        <f t="shared" si="136"/>
        <v>0</v>
      </c>
      <c r="V307" s="129">
        <f t="shared" si="136"/>
        <v>0</v>
      </c>
      <c r="W307" s="129">
        <f t="shared" si="136"/>
        <v>0</v>
      </c>
      <c r="X307" s="129">
        <f t="shared" si="136"/>
        <v>0</v>
      </c>
      <c r="Y307" s="129">
        <f t="shared" si="136"/>
        <v>0</v>
      </c>
      <c r="Z307" s="129">
        <f t="shared" si="136"/>
        <v>0</v>
      </c>
      <c r="AA307" s="129">
        <f t="shared" si="136"/>
        <v>0</v>
      </c>
      <c r="AB307" s="129">
        <f t="shared" si="136"/>
        <v>0</v>
      </c>
      <c r="AC307" s="129">
        <f t="shared" si="136"/>
        <v>0</v>
      </c>
      <c r="AD307" s="129">
        <f t="shared" si="136"/>
        <v>0</v>
      </c>
      <c r="AE307" s="129">
        <f t="shared" si="136"/>
        <v>0</v>
      </c>
      <c r="AF307" s="128"/>
      <c r="AG307" s="128"/>
      <c r="AH307" s="128"/>
      <c r="AI307" s="128"/>
    </row>
    <row r="308" spans="1:35" customFormat="1" ht="14.25" x14ac:dyDescent="0.45">
      <c r="B308" s="14" t="s">
        <v>2663</v>
      </c>
      <c r="C308" s="14" t="s">
        <v>2522</v>
      </c>
      <c r="D308" s="15" t="s">
        <v>2664</v>
      </c>
      <c r="E308" s="16" t="s">
        <v>1871</v>
      </c>
      <c r="F308" s="14" t="s">
        <v>2549</v>
      </c>
      <c r="G308" s="119"/>
      <c r="H308" s="119"/>
      <c r="K308" s="126"/>
      <c r="L308" s="127">
        <f t="shared" ref="L308:AE308" si="137">IF($F$4="COST",(SUMPRODUCT(L$202:L$209*((1-EXP(-L$212:L$219*L$306))/(L$212:L$219+(L$212:L$219=0))-L$306*EXP(-L$212:L$219*L$306)*(L$212:L$219&lt;&gt;0)))+SUMPRODUCT(L$232:L$239*((1-EXP(-L$222:L$229*L$306))/(L$222:L$229+(L$222:L$229=0))-L$306*EXP(-L$222:L$229*L$306)*(L$222:L$229&lt;&gt;0)))),L$306*L$307)</f>
        <v>0</v>
      </c>
      <c r="M308" s="127">
        <f t="shared" si="137"/>
        <v>0</v>
      </c>
      <c r="N308" s="127">
        <f t="shared" si="137"/>
        <v>0</v>
      </c>
      <c r="O308" s="127">
        <f t="shared" si="137"/>
        <v>0</v>
      </c>
      <c r="P308" s="127">
        <f t="shared" si="137"/>
        <v>0</v>
      </c>
      <c r="Q308" s="127">
        <f t="shared" si="137"/>
        <v>0</v>
      </c>
      <c r="R308" s="127">
        <f t="shared" si="137"/>
        <v>0</v>
      </c>
      <c r="S308" s="127">
        <f t="shared" si="137"/>
        <v>0</v>
      </c>
      <c r="T308" s="127">
        <f t="shared" si="137"/>
        <v>0</v>
      </c>
      <c r="U308" s="127">
        <f t="shared" si="137"/>
        <v>0</v>
      </c>
      <c r="V308" s="127">
        <f t="shared" si="137"/>
        <v>0</v>
      </c>
      <c r="W308" s="127">
        <f t="shared" si="137"/>
        <v>0</v>
      </c>
      <c r="X308" s="127">
        <f t="shared" si="137"/>
        <v>0</v>
      </c>
      <c r="Y308" s="127">
        <f t="shared" si="137"/>
        <v>0</v>
      </c>
      <c r="Z308" s="127">
        <f t="shared" si="137"/>
        <v>0</v>
      </c>
      <c r="AA308" s="127">
        <f t="shared" si="137"/>
        <v>0</v>
      </c>
      <c r="AB308" s="127">
        <f t="shared" si="137"/>
        <v>0</v>
      </c>
      <c r="AC308" s="127">
        <f t="shared" si="137"/>
        <v>0</v>
      </c>
      <c r="AD308" s="127">
        <f t="shared" si="137"/>
        <v>0</v>
      </c>
      <c r="AE308" s="127">
        <f t="shared" si="137"/>
        <v>0</v>
      </c>
      <c r="AF308" s="128"/>
      <c r="AG308" s="128"/>
      <c r="AH308" s="128"/>
      <c r="AI308" s="128"/>
    </row>
    <row r="309" spans="1:35" customFormat="1" ht="14.25" x14ac:dyDescent="0.45">
      <c r="B309" s="14" t="s">
        <v>2665</v>
      </c>
      <c r="C309" s="14" t="s">
        <v>2522</v>
      </c>
      <c r="D309" s="15" t="s">
        <v>2666</v>
      </c>
      <c r="E309" s="16" t="s">
        <v>2552</v>
      </c>
      <c r="F309" s="14" t="s">
        <v>2553</v>
      </c>
      <c r="G309" s="119"/>
      <c r="H309" s="119"/>
      <c r="K309" s="126"/>
      <c r="L309" s="129">
        <f t="shared" ref="L309:AE309" si="138">IF($F$4="COST",L$306*(SUMPRODUCT(L$202:L$209*L$212:L$219*EXP(-L$212:L$219*L$306))+SUMPRODUCT(L$232:L$239*L$222:L$229*EXP(-L$222:L$229*L$306))),L$307+L$306*(SUMPRODUCT(L$202:L$209*L$212:L$219*EXP(-L$212:L$219*L$306))+SUMPRODUCT(L$232:L$239*L$222:L$229*EXP(-L$222:L$229*L$306))))</f>
        <v>0</v>
      </c>
      <c r="M309" s="129">
        <f t="shared" si="138"/>
        <v>0</v>
      </c>
      <c r="N309" s="129">
        <f t="shared" si="138"/>
        <v>0</v>
      </c>
      <c r="O309" s="129">
        <f t="shared" si="138"/>
        <v>0</v>
      </c>
      <c r="P309" s="129">
        <f t="shared" si="138"/>
        <v>0</v>
      </c>
      <c r="Q309" s="129">
        <f t="shared" si="138"/>
        <v>0</v>
      </c>
      <c r="R309" s="129">
        <f t="shared" si="138"/>
        <v>0</v>
      </c>
      <c r="S309" s="129">
        <f t="shared" si="138"/>
        <v>0</v>
      </c>
      <c r="T309" s="129">
        <f t="shared" si="138"/>
        <v>0</v>
      </c>
      <c r="U309" s="129">
        <f t="shared" si="138"/>
        <v>0</v>
      </c>
      <c r="V309" s="129">
        <f t="shared" si="138"/>
        <v>0</v>
      </c>
      <c r="W309" s="129">
        <f t="shared" si="138"/>
        <v>0</v>
      </c>
      <c r="X309" s="129">
        <f t="shared" si="138"/>
        <v>0</v>
      </c>
      <c r="Y309" s="129">
        <f t="shared" si="138"/>
        <v>0</v>
      </c>
      <c r="Z309" s="129">
        <f t="shared" si="138"/>
        <v>0</v>
      </c>
      <c r="AA309" s="129">
        <f t="shared" si="138"/>
        <v>0</v>
      </c>
      <c r="AB309" s="129">
        <f t="shared" si="138"/>
        <v>0</v>
      </c>
      <c r="AC309" s="129">
        <f t="shared" si="138"/>
        <v>0</v>
      </c>
      <c r="AD309" s="129">
        <f t="shared" si="138"/>
        <v>0</v>
      </c>
      <c r="AE309" s="129">
        <f t="shared" si="138"/>
        <v>0</v>
      </c>
      <c r="AF309" s="128"/>
      <c r="AG309" s="128"/>
      <c r="AH309" s="128"/>
      <c r="AI309" s="128"/>
    </row>
    <row r="310" spans="1:35" customFormat="1" ht="14.25" x14ac:dyDescent="0.45">
      <c r="B310" s="14" t="s">
        <v>2667</v>
      </c>
      <c r="C310" s="14" t="s">
        <v>2522</v>
      </c>
      <c r="D310" s="15" t="s">
        <v>2668</v>
      </c>
      <c r="E310" s="16" t="s">
        <v>1415</v>
      </c>
      <c r="F310" s="14" t="s">
        <v>2556</v>
      </c>
      <c r="G310" s="119"/>
      <c r="H310" s="119"/>
      <c r="K310" s="126"/>
      <c r="L310" s="127">
        <f t="shared" ref="L310:AE310" si="139">IF(L$245&lt;=0,0,IF(L$309&lt;=0,L$306,MIN($F$5,IF(L$306-(L$308-L$245)/L$309&lt;=0,L$306/2,L$306-(L$308-L$245)/L$309))))</f>
        <v>0</v>
      </c>
      <c r="M310" s="127">
        <f t="shared" si="139"/>
        <v>0</v>
      </c>
      <c r="N310" s="127">
        <f t="shared" si="139"/>
        <v>0</v>
      </c>
      <c r="O310" s="127">
        <f t="shared" si="139"/>
        <v>0</v>
      </c>
      <c r="P310" s="127">
        <f t="shared" si="139"/>
        <v>0</v>
      </c>
      <c r="Q310" s="127">
        <f t="shared" si="139"/>
        <v>0</v>
      </c>
      <c r="R310" s="127">
        <f t="shared" si="139"/>
        <v>0</v>
      </c>
      <c r="S310" s="127">
        <f t="shared" si="139"/>
        <v>0</v>
      </c>
      <c r="T310" s="127">
        <f t="shared" si="139"/>
        <v>0</v>
      </c>
      <c r="U310" s="127">
        <f t="shared" si="139"/>
        <v>0</v>
      </c>
      <c r="V310" s="127">
        <f t="shared" si="139"/>
        <v>0</v>
      </c>
      <c r="W310" s="127">
        <f t="shared" si="139"/>
        <v>0</v>
      </c>
      <c r="X310" s="127">
        <f t="shared" si="139"/>
        <v>0</v>
      </c>
      <c r="Y310" s="127">
        <f t="shared" si="139"/>
        <v>0</v>
      </c>
      <c r="Z310" s="127">
        <f t="shared" si="139"/>
        <v>0</v>
      </c>
      <c r="AA310" s="127">
        <f t="shared" si="139"/>
        <v>0</v>
      </c>
      <c r="AB310" s="127">
        <f t="shared" si="139"/>
        <v>0</v>
      </c>
      <c r="AC310" s="127">
        <f t="shared" si="139"/>
        <v>0</v>
      </c>
      <c r="AD310" s="127">
        <f t="shared" si="139"/>
        <v>0</v>
      </c>
      <c r="AE310" s="127">
        <f t="shared" si="139"/>
        <v>0</v>
      </c>
      <c r="AF310" s="128"/>
      <c r="AG310" s="128"/>
      <c r="AH310" s="128"/>
      <c r="AI310" s="128"/>
    </row>
    <row r="311" spans="1:35" x14ac:dyDescent="0.35"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  <c r="AD311" s="122"/>
      <c r="AE311" s="122"/>
      <c r="AF311" s="122"/>
      <c r="AG311" s="122"/>
      <c r="AH311" s="122"/>
      <c r="AI311" s="122"/>
    </row>
    <row r="312" spans="1:35" customFormat="1" ht="14.25" x14ac:dyDescent="0.45">
      <c r="A312" s="11"/>
      <c r="B312" s="6"/>
      <c r="C312" s="7" t="s">
        <v>2669</v>
      </c>
      <c r="D312" s="6" t="s">
        <v>1505</v>
      </c>
      <c r="E312" s="7" t="s">
        <v>35</v>
      </c>
      <c r="F312" s="7" t="s">
        <v>45</v>
      </c>
      <c r="G312" s="7" t="s">
        <v>37</v>
      </c>
      <c r="H312" s="12" t="s">
        <v>38</v>
      </c>
      <c r="I312" s="6" t="s">
        <v>39</v>
      </c>
      <c r="J312" s="48">
        <v>2</v>
      </c>
      <c r="K312" s="124">
        <v>2021</v>
      </c>
      <c r="L312" s="125">
        <v>2022</v>
      </c>
      <c r="M312" s="124">
        <v>2023</v>
      </c>
      <c r="N312" s="124">
        <v>2024</v>
      </c>
      <c r="O312" s="124">
        <v>2025</v>
      </c>
      <c r="P312" s="124">
        <v>2026</v>
      </c>
      <c r="Q312" s="124">
        <v>2027</v>
      </c>
      <c r="R312" s="124">
        <v>2028</v>
      </c>
      <c r="S312" s="124">
        <v>2029</v>
      </c>
      <c r="T312" s="124">
        <v>2030</v>
      </c>
      <c r="U312" s="124">
        <v>2031</v>
      </c>
      <c r="V312" s="124">
        <v>2032</v>
      </c>
      <c r="W312" s="124">
        <v>2033</v>
      </c>
      <c r="X312" s="124">
        <v>2034</v>
      </c>
      <c r="Y312" s="124">
        <v>2035</v>
      </c>
      <c r="Z312" s="124">
        <v>2036</v>
      </c>
      <c r="AA312" s="124">
        <v>2037</v>
      </c>
      <c r="AB312" s="124">
        <v>2038</v>
      </c>
      <c r="AC312" s="124">
        <v>2039</v>
      </c>
      <c r="AD312" s="124">
        <v>2040</v>
      </c>
      <c r="AE312" s="124">
        <v>2041</v>
      </c>
      <c r="AF312" s="124">
        <v>2042</v>
      </c>
      <c r="AG312" s="124">
        <v>2043</v>
      </c>
      <c r="AH312" s="124">
        <v>2044</v>
      </c>
      <c r="AI312" s="124">
        <v>2045</v>
      </c>
    </row>
    <row r="313" spans="1:35" customFormat="1" ht="14.25" x14ac:dyDescent="0.45">
      <c r="B313" s="14" t="s">
        <v>1810</v>
      </c>
      <c r="C313" s="14" t="s">
        <v>2522</v>
      </c>
      <c r="D313" s="15" t="s">
        <v>2670</v>
      </c>
      <c r="E313" s="16" t="s">
        <v>1415</v>
      </c>
      <c r="F313" s="14" t="s">
        <v>1810</v>
      </c>
      <c r="G313" s="119"/>
      <c r="H313" s="114" t="str">
        <f>Settings!$B$3&amp;".mit.fundsp.cbam.tot.2"</f>
        <v>egy.mit.fundsp.cbam.tot.2</v>
      </c>
      <c r="I313" t="s">
        <v>2714</v>
      </c>
      <c r="K313" s="126"/>
      <c r="L313" s="127">
        <f t="shared" ref="L313:AE313" si="140">L$310</f>
        <v>0</v>
      </c>
      <c r="M313" s="127">
        <f t="shared" si="140"/>
        <v>0</v>
      </c>
      <c r="N313" s="127">
        <f t="shared" si="140"/>
        <v>0</v>
      </c>
      <c r="O313" s="127">
        <f t="shared" si="140"/>
        <v>0</v>
      </c>
      <c r="P313" s="127">
        <f t="shared" si="140"/>
        <v>0</v>
      </c>
      <c r="Q313" s="127">
        <f t="shared" si="140"/>
        <v>0</v>
      </c>
      <c r="R313" s="127">
        <f t="shared" si="140"/>
        <v>0</v>
      </c>
      <c r="S313" s="127">
        <f t="shared" si="140"/>
        <v>0</v>
      </c>
      <c r="T313" s="127">
        <f t="shared" si="140"/>
        <v>0</v>
      </c>
      <c r="U313" s="127">
        <f t="shared" si="140"/>
        <v>0</v>
      </c>
      <c r="V313" s="127">
        <f t="shared" si="140"/>
        <v>0</v>
      </c>
      <c r="W313" s="127">
        <f t="shared" si="140"/>
        <v>0</v>
      </c>
      <c r="X313" s="127">
        <f t="shared" si="140"/>
        <v>0</v>
      </c>
      <c r="Y313" s="127">
        <f t="shared" si="140"/>
        <v>0</v>
      </c>
      <c r="Z313" s="127">
        <f t="shared" si="140"/>
        <v>0</v>
      </c>
      <c r="AA313" s="127">
        <f t="shared" si="140"/>
        <v>0</v>
      </c>
      <c r="AB313" s="127">
        <f t="shared" si="140"/>
        <v>0</v>
      </c>
      <c r="AC313" s="127">
        <f t="shared" si="140"/>
        <v>0</v>
      </c>
      <c r="AD313" s="127">
        <f t="shared" si="140"/>
        <v>0</v>
      </c>
      <c r="AE313" s="127">
        <f t="shared" si="140"/>
        <v>0</v>
      </c>
      <c r="AF313" s="128"/>
      <c r="AG313" s="128"/>
      <c r="AH313" s="128"/>
      <c r="AI313" s="128"/>
    </row>
    <row r="314" spans="1:35" customFormat="1" ht="14.25" x14ac:dyDescent="0.45">
      <c r="B314" s="14" t="s">
        <v>2672</v>
      </c>
      <c r="C314" s="14" t="s">
        <v>2522</v>
      </c>
      <c r="D314" s="15" t="s">
        <v>2673</v>
      </c>
      <c r="E314" s="16" t="s">
        <v>1967</v>
      </c>
      <c r="F314" s="14" t="s">
        <v>2672</v>
      </c>
      <c r="G314" s="119"/>
      <c r="H314" s="114" t="str">
        <f>Settings!$B$3&amp;".mit.abat.cbam.tot.2"</f>
        <v>egy.mit.abat.cbam.tot.2</v>
      </c>
      <c r="I314" t="s">
        <v>2674</v>
      </c>
      <c r="K314" s="126"/>
      <c r="L314" s="129">
        <f t="shared" ref="L314:AE314" si="141">L315+L316</f>
        <v>0</v>
      </c>
      <c r="M314" s="129">
        <f t="shared" si="141"/>
        <v>0</v>
      </c>
      <c r="N314" s="129">
        <f t="shared" si="141"/>
        <v>0</v>
      </c>
      <c r="O314" s="129">
        <f t="shared" si="141"/>
        <v>0</v>
      </c>
      <c r="P314" s="129">
        <f t="shared" si="141"/>
        <v>0</v>
      </c>
      <c r="Q314" s="129">
        <f t="shared" si="141"/>
        <v>0</v>
      </c>
      <c r="R314" s="129">
        <f t="shared" si="141"/>
        <v>0</v>
      </c>
      <c r="S314" s="129">
        <f t="shared" si="141"/>
        <v>0</v>
      </c>
      <c r="T314" s="129">
        <f t="shared" si="141"/>
        <v>0</v>
      </c>
      <c r="U314" s="129">
        <f t="shared" si="141"/>
        <v>0</v>
      </c>
      <c r="V314" s="129">
        <f t="shared" si="141"/>
        <v>0</v>
      </c>
      <c r="W314" s="129">
        <f t="shared" si="141"/>
        <v>0</v>
      </c>
      <c r="X314" s="129">
        <f t="shared" si="141"/>
        <v>0</v>
      </c>
      <c r="Y314" s="129">
        <f t="shared" si="141"/>
        <v>0</v>
      </c>
      <c r="Z314" s="129">
        <f t="shared" si="141"/>
        <v>0</v>
      </c>
      <c r="AA314" s="129">
        <f t="shared" si="141"/>
        <v>0</v>
      </c>
      <c r="AB314" s="129">
        <f t="shared" si="141"/>
        <v>0</v>
      </c>
      <c r="AC314" s="129">
        <f t="shared" si="141"/>
        <v>0</v>
      </c>
      <c r="AD314" s="129">
        <f t="shared" si="141"/>
        <v>0</v>
      </c>
      <c r="AE314" s="129">
        <f t="shared" si="141"/>
        <v>0</v>
      </c>
      <c r="AF314" s="128"/>
      <c r="AG314" s="128"/>
      <c r="AH314" s="128"/>
      <c r="AI314" s="128"/>
    </row>
    <row r="315" spans="1:35" customFormat="1" ht="14.25" x14ac:dyDescent="0.45">
      <c r="B315" s="14" t="s">
        <v>2675</v>
      </c>
      <c r="C315" s="14" t="s">
        <v>2522</v>
      </c>
      <c r="D315" s="15" t="s">
        <v>2676</v>
      </c>
      <c r="E315" s="16" t="s">
        <v>1967</v>
      </c>
      <c r="F315" s="14" t="s">
        <v>2675</v>
      </c>
      <c r="G315" s="119"/>
      <c r="H315" s="114" t="str">
        <f>Settings!$B$3&amp;".mit.abatf.cbam.tot.2"</f>
        <v>egy.mit.abatf.cbam.tot.2</v>
      </c>
      <c r="I315" t="s">
        <v>2677</v>
      </c>
      <c r="K315" s="126"/>
      <c r="L315" s="129">
        <f t="shared" ref="L315:AE315" si="142">SUMPRODUCT(L$202:L$209*(1-EXP(-L$212:L$219*L$313)))</f>
        <v>0</v>
      </c>
      <c r="M315" s="129">
        <f t="shared" si="142"/>
        <v>0</v>
      </c>
      <c r="N315" s="129">
        <f t="shared" si="142"/>
        <v>0</v>
      </c>
      <c r="O315" s="129">
        <f t="shared" si="142"/>
        <v>0</v>
      </c>
      <c r="P315" s="129">
        <f t="shared" si="142"/>
        <v>0</v>
      </c>
      <c r="Q315" s="129">
        <f t="shared" si="142"/>
        <v>0</v>
      </c>
      <c r="R315" s="129">
        <f t="shared" si="142"/>
        <v>0</v>
      </c>
      <c r="S315" s="129">
        <f t="shared" si="142"/>
        <v>0</v>
      </c>
      <c r="T315" s="129">
        <f t="shared" si="142"/>
        <v>0</v>
      </c>
      <c r="U315" s="129">
        <f t="shared" si="142"/>
        <v>0</v>
      </c>
      <c r="V315" s="129">
        <f t="shared" si="142"/>
        <v>0</v>
      </c>
      <c r="W315" s="129">
        <f t="shared" si="142"/>
        <v>0</v>
      </c>
      <c r="X315" s="129">
        <f t="shared" si="142"/>
        <v>0</v>
      </c>
      <c r="Y315" s="129">
        <f t="shared" si="142"/>
        <v>0</v>
      </c>
      <c r="Z315" s="129">
        <f t="shared" si="142"/>
        <v>0</v>
      </c>
      <c r="AA315" s="129">
        <f t="shared" si="142"/>
        <v>0</v>
      </c>
      <c r="AB315" s="129">
        <f t="shared" si="142"/>
        <v>0</v>
      </c>
      <c r="AC315" s="129">
        <f t="shared" si="142"/>
        <v>0</v>
      </c>
      <c r="AD315" s="129">
        <f t="shared" si="142"/>
        <v>0</v>
      </c>
      <c r="AE315" s="129">
        <f t="shared" si="142"/>
        <v>0</v>
      </c>
      <c r="AF315" s="128"/>
      <c r="AG315" s="128"/>
      <c r="AH315" s="128"/>
      <c r="AI315" s="128"/>
    </row>
    <row r="316" spans="1:35" customFormat="1" ht="14.25" x14ac:dyDescent="0.45">
      <c r="B316" s="14" t="s">
        <v>2678</v>
      </c>
      <c r="C316" s="14" t="s">
        <v>2522</v>
      </c>
      <c r="D316" s="15" t="s">
        <v>2679</v>
      </c>
      <c r="E316" s="16" t="s">
        <v>1967</v>
      </c>
      <c r="F316" s="14" t="s">
        <v>2678</v>
      </c>
      <c r="G316" s="119"/>
      <c r="H316" s="114" t="str">
        <f>Settings!$B$3&amp;".mit.abatp.cbam.tot.2"</f>
        <v>egy.mit.abatp.cbam.tot.2</v>
      </c>
      <c r="I316" t="s">
        <v>2680</v>
      </c>
      <c r="K316" s="126"/>
      <c r="L316" s="129">
        <f t="shared" ref="L316:AE316" si="143">SUMPRODUCT(L$232:L$239*(1-EXP(-L$222:L$229*L$313)))</f>
        <v>0</v>
      </c>
      <c r="M316" s="129">
        <f t="shared" si="143"/>
        <v>0</v>
      </c>
      <c r="N316" s="129">
        <f t="shared" si="143"/>
        <v>0</v>
      </c>
      <c r="O316" s="129">
        <f t="shared" si="143"/>
        <v>0</v>
      </c>
      <c r="P316" s="129">
        <f t="shared" si="143"/>
        <v>0</v>
      </c>
      <c r="Q316" s="129">
        <f t="shared" si="143"/>
        <v>0</v>
      </c>
      <c r="R316" s="129">
        <f t="shared" si="143"/>
        <v>0</v>
      </c>
      <c r="S316" s="129">
        <f t="shared" si="143"/>
        <v>0</v>
      </c>
      <c r="T316" s="129">
        <f t="shared" si="143"/>
        <v>0</v>
      </c>
      <c r="U316" s="129">
        <f t="shared" si="143"/>
        <v>0</v>
      </c>
      <c r="V316" s="129">
        <f t="shared" si="143"/>
        <v>0</v>
      </c>
      <c r="W316" s="129">
        <f t="shared" si="143"/>
        <v>0</v>
      </c>
      <c r="X316" s="129">
        <f t="shared" si="143"/>
        <v>0</v>
      </c>
      <c r="Y316" s="129">
        <f t="shared" si="143"/>
        <v>0</v>
      </c>
      <c r="Z316" s="129">
        <f t="shared" si="143"/>
        <v>0</v>
      </c>
      <c r="AA316" s="129">
        <f t="shared" si="143"/>
        <v>0</v>
      </c>
      <c r="AB316" s="129">
        <f t="shared" si="143"/>
        <v>0</v>
      </c>
      <c r="AC316" s="129">
        <f t="shared" si="143"/>
        <v>0</v>
      </c>
      <c r="AD316" s="129">
        <f t="shared" si="143"/>
        <v>0</v>
      </c>
      <c r="AE316" s="129">
        <f t="shared" si="143"/>
        <v>0</v>
      </c>
      <c r="AF316" s="128"/>
      <c r="AG316" s="128"/>
      <c r="AH316" s="128"/>
      <c r="AI316" s="128"/>
    </row>
    <row r="317" spans="1:35" customFormat="1" ht="14.25" x14ac:dyDescent="0.45">
      <c r="B317" s="14" t="s">
        <v>2681</v>
      </c>
      <c r="C317" s="14" t="s">
        <v>2522</v>
      </c>
      <c r="D317" s="15" t="s">
        <v>2682</v>
      </c>
      <c r="E317" s="16" t="s">
        <v>1871</v>
      </c>
      <c r="F317" s="14" t="s">
        <v>2681</v>
      </c>
      <c r="G317" s="119"/>
      <c r="H317" s="114" t="str">
        <f>Settings!$B$3&amp;".mit.outlay.cbam.tot.2"</f>
        <v>egy.mit.outlay.cbam.tot.2</v>
      </c>
      <c r="K317" s="126"/>
      <c r="L317" s="127">
        <f t="shared" ref="L317:AE317" si="144">IF($F$4="COST",(SUMPRODUCT(L$202:L$209*((1-EXP(-L$212:L$219*L$313))/(L$212:L$219+(L$212:L$219=0))-L$313*EXP(-L$212:L$219*L$313)*(L$212:L$219&lt;&gt;0)))+SUMPRODUCT(L$232:L$239*((1-EXP(-L$222:L$229*L$313))/(L$222:L$229+(L$222:L$229=0))-L$313*EXP(-L$222:L$229*L$313)*(L$222:L$229&lt;&gt;0)))),L$313*L$314)</f>
        <v>0</v>
      </c>
      <c r="M317" s="127">
        <f t="shared" si="144"/>
        <v>0</v>
      </c>
      <c r="N317" s="127">
        <f t="shared" si="144"/>
        <v>0</v>
      </c>
      <c r="O317" s="127">
        <f t="shared" si="144"/>
        <v>0</v>
      </c>
      <c r="P317" s="127">
        <f t="shared" si="144"/>
        <v>0</v>
      </c>
      <c r="Q317" s="127">
        <f t="shared" si="144"/>
        <v>0</v>
      </c>
      <c r="R317" s="127">
        <f t="shared" si="144"/>
        <v>0</v>
      </c>
      <c r="S317" s="127">
        <f t="shared" si="144"/>
        <v>0</v>
      </c>
      <c r="T317" s="127">
        <f t="shared" si="144"/>
        <v>0</v>
      </c>
      <c r="U317" s="127">
        <f t="shared" si="144"/>
        <v>0</v>
      </c>
      <c r="V317" s="127">
        <f t="shared" si="144"/>
        <v>0</v>
      </c>
      <c r="W317" s="127">
        <f t="shared" si="144"/>
        <v>0</v>
      </c>
      <c r="X317" s="127">
        <f t="shared" si="144"/>
        <v>0</v>
      </c>
      <c r="Y317" s="127">
        <f t="shared" si="144"/>
        <v>0</v>
      </c>
      <c r="Z317" s="127">
        <f t="shared" si="144"/>
        <v>0</v>
      </c>
      <c r="AA317" s="127">
        <f t="shared" si="144"/>
        <v>0</v>
      </c>
      <c r="AB317" s="127">
        <f t="shared" si="144"/>
        <v>0</v>
      </c>
      <c r="AC317" s="127">
        <f t="shared" si="144"/>
        <v>0</v>
      </c>
      <c r="AD317" s="127">
        <f t="shared" si="144"/>
        <v>0</v>
      </c>
      <c r="AE317" s="127">
        <f t="shared" si="144"/>
        <v>0</v>
      </c>
      <c r="AF317" s="128"/>
      <c r="AG317" s="128"/>
      <c r="AH317" s="128"/>
      <c r="AI317" s="128"/>
    </row>
    <row r="318" spans="1:35" customFormat="1" ht="14.25" x14ac:dyDescent="0.45">
      <c r="B318" s="14" t="s">
        <v>2683</v>
      </c>
      <c r="C318" s="14" t="s">
        <v>2522</v>
      </c>
      <c r="D318" s="15" t="s">
        <v>2684</v>
      </c>
      <c r="E318" s="16" t="s">
        <v>1871</v>
      </c>
      <c r="F318" s="14" t="s">
        <v>2683</v>
      </c>
      <c r="G318" s="119"/>
      <c r="H318" s="119"/>
      <c r="K318" s="126"/>
      <c r="L318" s="129">
        <f t="shared" ref="L318:AE318" si="145">L$317-L$245</f>
        <v>0</v>
      </c>
      <c r="M318" s="129">
        <f t="shared" si="145"/>
        <v>0</v>
      </c>
      <c r="N318" s="129">
        <f t="shared" si="145"/>
        <v>0</v>
      </c>
      <c r="O318" s="129">
        <f t="shared" si="145"/>
        <v>0</v>
      </c>
      <c r="P318" s="129">
        <f t="shared" si="145"/>
        <v>0</v>
      </c>
      <c r="Q318" s="129">
        <f t="shared" si="145"/>
        <v>0</v>
      </c>
      <c r="R318" s="129">
        <f t="shared" si="145"/>
        <v>0</v>
      </c>
      <c r="S318" s="129">
        <f t="shared" si="145"/>
        <v>0</v>
      </c>
      <c r="T318" s="129">
        <f t="shared" si="145"/>
        <v>0</v>
      </c>
      <c r="U318" s="129">
        <f t="shared" si="145"/>
        <v>0</v>
      </c>
      <c r="V318" s="129">
        <f t="shared" si="145"/>
        <v>0</v>
      </c>
      <c r="W318" s="129">
        <f t="shared" si="145"/>
        <v>0</v>
      </c>
      <c r="X318" s="129">
        <f t="shared" si="145"/>
        <v>0</v>
      </c>
      <c r="Y318" s="129">
        <f t="shared" si="145"/>
        <v>0</v>
      </c>
      <c r="Z318" s="129">
        <f t="shared" si="145"/>
        <v>0</v>
      </c>
      <c r="AA318" s="129">
        <f t="shared" si="145"/>
        <v>0</v>
      </c>
      <c r="AB318" s="129">
        <f t="shared" si="145"/>
        <v>0</v>
      </c>
      <c r="AC318" s="129">
        <f t="shared" si="145"/>
        <v>0</v>
      </c>
      <c r="AD318" s="129">
        <f t="shared" si="145"/>
        <v>0</v>
      </c>
      <c r="AE318" s="129">
        <f t="shared" si="145"/>
        <v>0</v>
      </c>
      <c r="AF318" s="128"/>
      <c r="AG318" s="128"/>
      <c r="AH318" s="128"/>
      <c r="AI318" s="128"/>
    </row>
    <row r="319" spans="1:35" customFormat="1" ht="14.25" x14ac:dyDescent="0.45">
      <c r="B319" s="14" t="s">
        <v>2685</v>
      </c>
      <c r="C319" s="14" t="s">
        <v>2522</v>
      </c>
      <c r="D319" s="15" t="s">
        <v>2686</v>
      </c>
      <c r="E319" s="16" t="s">
        <v>1871</v>
      </c>
      <c r="F319" s="14" t="s">
        <v>2685</v>
      </c>
      <c r="G319" s="119"/>
      <c r="H319" s="114" t="str">
        <f>Settings!$B$3&amp;".mit.unspent.cbam.tot.2"</f>
        <v>egy.mit.unspent.cbam.tot.2</v>
      </c>
      <c r="K319" s="126"/>
      <c r="L319" s="127">
        <f t="shared" ref="L319:AE319" si="146">MAX(0,L$245-L$317)</f>
        <v>0</v>
      </c>
      <c r="M319" s="127">
        <f t="shared" si="146"/>
        <v>0</v>
      </c>
      <c r="N319" s="127">
        <f t="shared" si="146"/>
        <v>0</v>
      </c>
      <c r="O319" s="127">
        <f t="shared" si="146"/>
        <v>0</v>
      </c>
      <c r="P319" s="127">
        <f t="shared" si="146"/>
        <v>0</v>
      </c>
      <c r="Q319" s="127">
        <f t="shared" si="146"/>
        <v>0</v>
      </c>
      <c r="R319" s="127">
        <f t="shared" si="146"/>
        <v>0</v>
      </c>
      <c r="S319" s="127">
        <f t="shared" si="146"/>
        <v>0</v>
      </c>
      <c r="T319" s="127">
        <f t="shared" si="146"/>
        <v>0</v>
      </c>
      <c r="U319" s="127">
        <f t="shared" si="146"/>
        <v>0</v>
      </c>
      <c r="V319" s="127">
        <f t="shared" si="146"/>
        <v>0</v>
      </c>
      <c r="W319" s="127">
        <f t="shared" si="146"/>
        <v>0</v>
      </c>
      <c r="X319" s="127">
        <f t="shared" si="146"/>
        <v>0</v>
      </c>
      <c r="Y319" s="127">
        <f t="shared" si="146"/>
        <v>0</v>
      </c>
      <c r="Z319" s="127">
        <f t="shared" si="146"/>
        <v>0</v>
      </c>
      <c r="AA319" s="127">
        <f t="shared" si="146"/>
        <v>0</v>
      </c>
      <c r="AB319" s="127">
        <f t="shared" si="146"/>
        <v>0</v>
      </c>
      <c r="AC319" s="127">
        <f t="shared" si="146"/>
        <v>0</v>
      </c>
      <c r="AD319" s="127">
        <f t="shared" si="146"/>
        <v>0</v>
      </c>
      <c r="AE319" s="127">
        <f t="shared" si="146"/>
        <v>0</v>
      </c>
      <c r="AF319" s="128"/>
      <c r="AG319" s="128"/>
      <c r="AH319" s="128"/>
      <c r="AI319" s="128"/>
    </row>
    <row r="320" spans="1:35" customFormat="1" ht="14.25" x14ac:dyDescent="0.45">
      <c r="B320" s="14" t="s">
        <v>2687</v>
      </c>
      <c r="C320" s="14" t="s">
        <v>2522</v>
      </c>
      <c r="D320" s="15" t="s">
        <v>2688</v>
      </c>
      <c r="E320" s="16" t="s">
        <v>2689</v>
      </c>
      <c r="F320" s="14" t="s">
        <v>2687</v>
      </c>
      <c r="G320" s="119"/>
      <c r="H320" s="119"/>
      <c r="K320" s="126"/>
      <c r="L320" s="131">
        <f t="shared" ref="L320:AE320" si="147">(L$245&gt;0)*(L$313&gt;=$F$5-0.000000001)</f>
        <v>0</v>
      </c>
      <c r="M320" s="131">
        <f t="shared" si="147"/>
        <v>0</v>
      </c>
      <c r="N320" s="131">
        <f t="shared" si="147"/>
        <v>0</v>
      </c>
      <c r="O320" s="131">
        <f t="shared" si="147"/>
        <v>0</v>
      </c>
      <c r="P320" s="131">
        <f t="shared" si="147"/>
        <v>0</v>
      </c>
      <c r="Q320" s="131">
        <f t="shared" si="147"/>
        <v>0</v>
      </c>
      <c r="R320" s="131">
        <f t="shared" si="147"/>
        <v>0</v>
      </c>
      <c r="S320" s="131">
        <f t="shared" si="147"/>
        <v>0</v>
      </c>
      <c r="T320" s="131">
        <f t="shared" si="147"/>
        <v>0</v>
      </c>
      <c r="U320" s="131">
        <f t="shared" si="147"/>
        <v>0</v>
      </c>
      <c r="V320" s="131">
        <f t="shared" si="147"/>
        <v>0</v>
      </c>
      <c r="W320" s="131">
        <f t="shared" si="147"/>
        <v>0</v>
      </c>
      <c r="X320" s="131">
        <f t="shared" si="147"/>
        <v>0</v>
      </c>
      <c r="Y320" s="131">
        <f t="shared" si="147"/>
        <v>0</v>
      </c>
      <c r="Z320" s="131">
        <f t="shared" si="147"/>
        <v>0</v>
      </c>
      <c r="AA320" s="131">
        <f t="shared" si="147"/>
        <v>0</v>
      </c>
      <c r="AB320" s="131">
        <f t="shared" si="147"/>
        <v>0</v>
      </c>
      <c r="AC320" s="131">
        <f t="shared" si="147"/>
        <v>0</v>
      </c>
      <c r="AD320" s="131">
        <f t="shared" si="147"/>
        <v>0</v>
      </c>
      <c r="AE320" s="131">
        <f t="shared" si="147"/>
        <v>0</v>
      </c>
      <c r="AF320" s="128"/>
      <c r="AG320" s="128"/>
      <c r="AH320" s="128"/>
      <c r="AI320" s="128"/>
    </row>
    <row r="321" spans="1:35" customFormat="1" ht="14.25" x14ac:dyDescent="0.45">
      <c r="B321" s="14" t="s">
        <v>2690</v>
      </c>
      <c r="C321" s="14" t="s">
        <v>2522</v>
      </c>
      <c r="D321" s="15" t="s">
        <v>2691</v>
      </c>
      <c r="E321" s="16" t="s">
        <v>1415</v>
      </c>
      <c r="F321" s="14" t="s">
        <v>2690</v>
      </c>
      <c r="G321" s="119"/>
      <c r="H321" s="114" t="str">
        <f>Settings!$B$3&amp;".mit.cpt.cbam.tot.2"</f>
        <v>egy.mit.cpt.cbam.tot.2</v>
      </c>
      <c r="K321" s="126"/>
      <c r="L321" s="127">
        <f t="shared" ref="L321:AE321" si="148">IF(L$314&gt;0,L$317/L$314,0)</f>
        <v>0</v>
      </c>
      <c r="M321" s="127">
        <f t="shared" si="148"/>
        <v>0</v>
      </c>
      <c r="N321" s="127">
        <f t="shared" si="148"/>
        <v>0</v>
      </c>
      <c r="O321" s="127">
        <f t="shared" si="148"/>
        <v>0</v>
      </c>
      <c r="P321" s="127">
        <f t="shared" si="148"/>
        <v>0</v>
      </c>
      <c r="Q321" s="127">
        <f t="shared" si="148"/>
        <v>0</v>
      </c>
      <c r="R321" s="127">
        <f t="shared" si="148"/>
        <v>0</v>
      </c>
      <c r="S321" s="127">
        <f t="shared" si="148"/>
        <v>0</v>
      </c>
      <c r="T321" s="127">
        <f t="shared" si="148"/>
        <v>0</v>
      </c>
      <c r="U321" s="127">
        <f t="shared" si="148"/>
        <v>0</v>
      </c>
      <c r="V321" s="127">
        <f t="shared" si="148"/>
        <v>0</v>
      </c>
      <c r="W321" s="127">
        <f t="shared" si="148"/>
        <v>0</v>
      </c>
      <c r="X321" s="127">
        <f t="shared" si="148"/>
        <v>0</v>
      </c>
      <c r="Y321" s="127">
        <f t="shared" si="148"/>
        <v>0</v>
      </c>
      <c r="Z321" s="127">
        <f t="shared" si="148"/>
        <v>0</v>
      </c>
      <c r="AA321" s="127">
        <f t="shared" si="148"/>
        <v>0</v>
      </c>
      <c r="AB321" s="127">
        <f t="shared" si="148"/>
        <v>0</v>
      </c>
      <c r="AC321" s="127">
        <f t="shared" si="148"/>
        <v>0</v>
      </c>
      <c r="AD321" s="127">
        <f t="shared" si="148"/>
        <v>0</v>
      </c>
      <c r="AE321" s="127">
        <f t="shared" si="148"/>
        <v>0</v>
      </c>
      <c r="AF321" s="128"/>
      <c r="AG321" s="128"/>
      <c r="AH321" s="128"/>
      <c r="AI321" s="128"/>
    </row>
    <row r="322" spans="1:35" customFormat="1" ht="14.25" x14ac:dyDescent="0.45">
      <c r="B322" s="14" t="s">
        <v>2692</v>
      </c>
      <c r="C322" s="14" t="s">
        <v>2522</v>
      </c>
      <c r="D322" s="15" t="s">
        <v>2693</v>
      </c>
      <c r="E322" s="16" t="s">
        <v>1871</v>
      </c>
      <c r="F322" s="14" t="s">
        <v>2692</v>
      </c>
      <c r="G322" s="119"/>
      <c r="H322" s="119"/>
      <c r="I322" t="s">
        <v>2694</v>
      </c>
      <c r="K322" s="126"/>
      <c r="L322" s="130">
        <f>L$176*Mitigation_Industry!L$799</f>
        <v>0</v>
      </c>
      <c r="M322" s="130">
        <f>M$176*Mitigation_Industry!M$799</f>
        <v>0</v>
      </c>
      <c r="N322" s="130">
        <f>N$176*Mitigation_Industry!N$799</f>
        <v>0</v>
      </c>
      <c r="O322" s="130">
        <f>O$176*Mitigation_Industry!O$799</f>
        <v>0</v>
      </c>
      <c r="P322" s="130">
        <f>P$176*Mitigation_Industry!P$799</f>
        <v>0</v>
      </c>
      <c r="Q322" s="130">
        <f>Q$176*Mitigation_Industry!Q$799</f>
        <v>0</v>
      </c>
      <c r="R322" s="130">
        <f>R$176*Mitigation_Industry!R$799</f>
        <v>0</v>
      </c>
      <c r="S322" s="130">
        <f>S$176*Mitigation_Industry!S$799</f>
        <v>0</v>
      </c>
      <c r="T322" s="130">
        <f>T$176*Mitigation_Industry!T$799</f>
        <v>0</v>
      </c>
      <c r="U322" s="130">
        <f>U$176*Mitigation_Industry!U$799</f>
        <v>0</v>
      </c>
      <c r="V322" s="130">
        <f>V$176*Mitigation_Industry!V$799</f>
        <v>0</v>
      </c>
      <c r="W322" s="130">
        <f>W$176*Mitigation_Industry!W$799</f>
        <v>0</v>
      </c>
      <c r="X322" s="130">
        <f>X$176*Mitigation_Industry!X$799</f>
        <v>0</v>
      </c>
      <c r="Y322" s="130">
        <f>Y$176*Mitigation_Industry!Y$799</f>
        <v>0</v>
      </c>
      <c r="Z322" s="130">
        <f>Z$176*Mitigation_Industry!Z$799</f>
        <v>0</v>
      </c>
      <c r="AA322" s="130">
        <f>AA$176*Mitigation_Industry!AA$799</f>
        <v>0</v>
      </c>
      <c r="AB322" s="130">
        <f>AB$176*Mitigation_Industry!AB$799</f>
        <v>0</v>
      </c>
      <c r="AC322" s="130">
        <f>AC$176*Mitigation_Industry!AC$799</f>
        <v>0</v>
      </c>
      <c r="AD322" s="130">
        <f>AD$176*Mitigation_Industry!AD$799</f>
        <v>0</v>
      </c>
      <c r="AE322" s="130">
        <f>AE$176*Mitigation_Industry!AE$799</f>
        <v>0</v>
      </c>
      <c r="AF322" s="128"/>
      <c r="AG322" s="128"/>
      <c r="AH322" s="128"/>
      <c r="AI322" s="128"/>
    </row>
    <row r="323" spans="1:35" customFormat="1" ht="14.25" x14ac:dyDescent="0.45">
      <c r="B323" s="14" t="s">
        <v>2695</v>
      </c>
      <c r="C323" s="14" t="s">
        <v>2522</v>
      </c>
      <c r="D323" s="15" t="s">
        <v>2696</v>
      </c>
      <c r="E323" s="16" t="s">
        <v>1871</v>
      </c>
      <c r="F323" s="14" t="s">
        <v>2695</v>
      </c>
      <c r="G323" s="119"/>
      <c r="H323" s="119"/>
      <c r="I323" t="s">
        <v>2697</v>
      </c>
      <c r="K323" s="126"/>
      <c r="L323" s="130">
        <f t="shared" ref="L323:AE323" si="149">L322-L$245</f>
        <v>0</v>
      </c>
      <c r="M323" s="130">
        <f t="shared" si="149"/>
        <v>0</v>
      </c>
      <c r="N323" s="130">
        <f t="shared" si="149"/>
        <v>0</v>
      </c>
      <c r="O323" s="130">
        <f t="shared" si="149"/>
        <v>0</v>
      </c>
      <c r="P323" s="130">
        <f t="shared" si="149"/>
        <v>0</v>
      </c>
      <c r="Q323" s="130">
        <f t="shared" si="149"/>
        <v>0</v>
      </c>
      <c r="R323" s="130">
        <f t="shared" si="149"/>
        <v>0</v>
      </c>
      <c r="S323" s="130">
        <f t="shared" si="149"/>
        <v>0</v>
      </c>
      <c r="T323" s="130">
        <f t="shared" si="149"/>
        <v>0</v>
      </c>
      <c r="U323" s="130">
        <f t="shared" si="149"/>
        <v>0</v>
      </c>
      <c r="V323" s="130">
        <f t="shared" si="149"/>
        <v>0</v>
      </c>
      <c r="W323" s="130">
        <f t="shared" si="149"/>
        <v>0</v>
      </c>
      <c r="X323" s="130">
        <f t="shared" si="149"/>
        <v>0</v>
      </c>
      <c r="Y323" s="130">
        <f t="shared" si="149"/>
        <v>0</v>
      </c>
      <c r="Z323" s="130">
        <f t="shared" si="149"/>
        <v>0</v>
      </c>
      <c r="AA323" s="130">
        <f t="shared" si="149"/>
        <v>0</v>
      </c>
      <c r="AB323" s="130">
        <f t="shared" si="149"/>
        <v>0</v>
      </c>
      <c r="AC323" s="130">
        <f t="shared" si="149"/>
        <v>0</v>
      </c>
      <c r="AD323" s="130">
        <f t="shared" si="149"/>
        <v>0</v>
      </c>
      <c r="AE323" s="130">
        <f t="shared" si="149"/>
        <v>0</v>
      </c>
      <c r="AF323" s="128"/>
      <c r="AG323" s="128"/>
      <c r="AH323" s="128"/>
      <c r="AI323" s="128"/>
    </row>
    <row r="324" spans="1:35" x14ac:dyDescent="0.35"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  <c r="AC324" s="122"/>
      <c r="AD324" s="122"/>
      <c r="AE324" s="122"/>
      <c r="AF324" s="122"/>
      <c r="AG324" s="122"/>
      <c r="AH324" s="122"/>
      <c r="AI324" s="122"/>
    </row>
    <row r="325" spans="1:35" customFormat="1" ht="14.25" x14ac:dyDescent="0.45">
      <c r="A325" s="11"/>
      <c r="B325" s="6"/>
      <c r="C325" s="7" t="s">
        <v>1160</v>
      </c>
      <c r="D325" s="6" t="s">
        <v>1505</v>
      </c>
      <c r="E325" s="7" t="s">
        <v>35</v>
      </c>
      <c r="F325" s="7" t="s">
        <v>45</v>
      </c>
      <c r="G325" s="7" t="s">
        <v>37</v>
      </c>
      <c r="H325" s="12" t="s">
        <v>38</v>
      </c>
      <c r="I325" s="6" t="s">
        <v>2715</v>
      </c>
      <c r="J325" s="48">
        <v>2</v>
      </c>
      <c r="K325" s="124">
        <v>2021</v>
      </c>
      <c r="L325" s="125">
        <v>2022</v>
      </c>
      <c r="M325" s="124">
        <v>2023</v>
      </c>
      <c r="N325" s="124">
        <v>2024</v>
      </c>
      <c r="O325" s="124">
        <v>2025</v>
      </c>
      <c r="P325" s="124">
        <v>2026</v>
      </c>
      <c r="Q325" s="124">
        <v>2027</v>
      </c>
      <c r="R325" s="124">
        <v>2028</v>
      </c>
      <c r="S325" s="124">
        <v>2029</v>
      </c>
      <c r="T325" s="124">
        <v>2030</v>
      </c>
      <c r="U325" s="124">
        <v>2031</v>
      </c>
      <c r="V325" s="124">
        <v>2032</v>
      </c>
      <c r="W325" s="124">
        <v>2033</v>
      </c>
      <c r="X325" s="124">
        <v>2034</v>
      </c>
      <c r="Y325" s="124">
        <v>2035</v>
      </c>
      <c r="Z325" s="124">
        <v>2036</v>
      </c>
      <c r="AA325" s="124">
        <v>2037</v>
      </c>
      <c r="AB325" s="124">
        <v>2038</v>
      </c>
      <c r="AC325" s="124">
        <v>2039</v>
      </c>
      <c r="AD325" s="124">
        <v>2040</v>
      </c>
      <c r="AE325" s="124">
        <v>2041</v>
      </c>
      <c r="AF325" s="124">
        <v>2042</v>
      </c>
      <c r="AG325" s="124">
        <v>2043</v>
      </c>
      <c r="AH325" s="124">
        <v>2044</v>
      </c>
      <c r="AI325" s="124">
        <v>2045</v>
      </c>
    </row>
    <row r="326" spans="1:35" customFormat="1" ht="14.25" x14ac:dyDescent="0.45">
      <c r="B326" s="14" t="s">
        <v>49</v>
      </c>
      <c r="C326" s="14" t="s">
        <v>4</v>
      </c>
      <c r="D326" s="15" t="s">
        <v>2699</v>
      </c>
      <c r="E326" s="16" t="s">
        <v>51</v>
      </c>
      <c r="F326" s="14" t="s">
        <v>2700</v>
      </c>
      <c r="G326" s="119"/>
      <c r="H326" s="114" t="str">
        <f>Settings!$B$3&amp;".mit.shpf.coa.ind.2"</f>
        <v>egy.mit.shpf.coa.ind.2</v>
      </c>
      <c r="K326" s="127"/>
      <c r="L326" s="127">
        <f>L$313*Scenarios!$E$30</f>
        <v>0</v>
      </c>
      <c r="M326" s="127">
        <f>M$313*Scenarios!$E$30</f>
        <v>0</v>
      </c>
      <c r="N326" s="127">
        <f>N$313*Scenarios!$E$30</f>
        <v>0</v>
      </c>
      <c r="O326" s="127">
        <f>O$313*Scenarios!$E$30</f>
        <v>0</v>
      </c>
      <c r="P326" s="127">
        <f>P$313*Scenarios!$E$30</f>
        <v>0</v>
      </c>
      <c r="Q326" s="127">
        <f>Q$313*Scenarios!$E$30</f>
        <v>0</v>
      </c>
      <c r="R326" s="127">
        <f>R$313*Scenarios!$E$30</f>
        <v>0</v>
      </c>
      <c r="S326" s="127">
        <f>S$313*Scenarios!$E$30</f>
        <v>0</v>
      </c>
      <c r="T326" s="127">
        <f>T$313*Scenarios!$E$30</f>
        <v>0</v>
      </c>
      <c r="U326" s="127">
        <f>U$313*Scenarios!$E$30</f>
        <v>0</v>
      </c>
      <c r="V326" s="127">
        <f>V$313*Scenarios!$E$30</f>
        <v>0</v>
      </c>
      <c r="W326" s="127">
        <f>W$313*Scenarios!$E$30</f>
        <v>0</v>
      </c>
      <c r="X326" s="127">
        <f>X$313*Scenarios!$E$30</f>
        <v>0</v>
      </c>
      <c r="Y326" s="127">
        <f>Y$313*Scenarios!$E$30</f>
        <v>0</v>
      </c>
      <c r="Z326" s="127">
        <f>Z$313*Scenarios!$E$30</f>
        <v>0</v>
      </c>
      <c r="AA326" s="127">
        <f>AA$313*Scenarios!$E$30</f>
        <v>0</v>
      </c>
      <c r="AB326" s="127">
        <f>AB$313*Scenarios!$E$30</f>
        <v>0</v>
      </c>
      <c r="AC326" s="127">
        <f>AC$313*Scenarios!$E$30</f>
        <v>0</v>
      </c>
      <c r="AD326" s="127">
        <f>AD$313*Scenarios!$E$30</f>
        <v>0</v>
      </c>
      <c r="AE326" s="127">
        <f>AE$313*Scenarios!$E$30</f>
        <v>0</v>
      </c>
      <c r="AF326" s="128"/>
      <c r="AG326" s="128"/>
      <c r="AH326" s="128"/>
      <c r="AI326" s="128"/>
    </row>
    <row r="327" spans="1:35" customFormat="1" ht="14.25" x14ac:dyDescent="0.45">
      <c r="B327" s="14" t="s">
        <v>53</v>
      </c>
      <c r="C327" s="14" t="s">
        <v>4</v>
      </c>
      <c r="D327" s="15" t="s">
        <v>2701</v>
      </c>
      <c r="E327" s="16" t="s">
        <v>51</v>
      </c>
      <c r="F327" s="14" t="s">
        <v>2700</v>
      </c>
      <c r="G327" s="119"/>
      <c r="H327" s="114" t="str">
        <f>Settings!$B$3&amp;".mit.shpf.nga.ind.2"</f>
        <v>egy.mit.shpf.nga.ind.2</v>
      </c>
      <c r="K327" s="127"/>
      <c r="L327" s="127">
        <f>L$313*Scenarios!$E$31</f>
        <v>0</v>
      </c>
      <c r="M327" s="127">
        <f>M$313*Scenarios!$E$31</f>
        <v>0</v>
      </c>
      <c r="N327" s="127">
        <f>N$313*Scenarios!$E$31</f>
        <v>0</v>
      </c>
      <c r="O327" s="127">
        <f>O$313*Scenarios!$E$31</f>
        <v>0</v>
      </c>
      <c r="P327" s="127">
        <f>P$313*Scenarios!$E$31</f>
        <v>0</v>
      </c>
      <c r="Q327" s="127">
        <f>Q$313*Scenarios!$E$31</f>
        <v>0</v>
      </c>
      <c r="R327" s="127">
        <f>R$313*Scenarios!$E$31</f>
        <v>0</v>
      </c>
      <c r="S327" s="127">
        <f>S$313*Scenarios!$E$31</f>
        <v>0</v>
      </c>
      <c r="T327" s="127">
        <f>T$313*Scenarios!$E$31</f>
        <v>0</v>
      </c>
      <c r="U327" s="127">
        <f>U$313*Scenarios!$E$31</f>
        <v>0</v>
      </c>
      <c r="V327" s="127">
        <f>V$313*Scenarios!$E$31</f>
        <v>0</v>
      </c>
      <c r="W327" s="127">
        <f>W$313*Scenarios!$E$31</f>
        <v>0</v>
      </c>
      <c r="X327" s="127">
        <f>X$313*Scenarios!$E$31</f>
        <v>0</v>
      </c>
      <c r="Y327" s="127">
        <f>Y$313*Scenarios!$E$31</f>
        <v>0</v>
      </c>
      <c r="Z327" s="127">
        <f>Z$313*Scenarios!$E$31</f>
        <v>0</v>
      </c>
      <c r="AA327" s="127">
        <f>AA$313*Scenarios!$E$31</f>
        <v>0</v>
      </c>
      <c r="AB327" s="127">
        <f>AB$313*Scenarios!$E$31</f>
        <v>0</v>
      </c>
      <c r="AC327" s="127">
        <f>AC$313*Scenarios!$E$31</f>
        <v>0</v>
      </c>
      <c r="AD327" s="127">
        <f>AD$313*Scenarios!$E$31</f>
        <v>0</v>
      </c>
      <c r="AE327" s="127">
        <f>AE$313*Scenarios!$E$31</f>
        <v>0</v>
      </c>
      <c r="AF327" s="128"/>
      <c r="AG327" s="128"/>
      <c r="AH327" s="128"/>
      <c r="AI327" s="128"/>
    </row>
    <row r="328" spans="1:35" customFormat="1" ht="14.25" x14ac:dyDescent="0.45">
      <c r="B328" s="14" t="s">
        <v>55</v>
      </c>
      <c r="C328" s="14" t="s">
        <v>4</v>
      </c>
      <c r="D328" s="15" t="s">
        <v>2702</v>
      </c>
      <c r="E328" s="16" t="s">
        <v>57</v>
      </c>
      <c r="F328" s="14" t="s">
        <v>2700</v>
      </c>
      <c r="G328" s="119"/>
      <c r="H328" s="114" t="str">
        <f>Settings!$B$3&amp;".mit.shpf.gso.ind.2"</f>
        <v>egy.mit.shpf.gso.ind.2</v>
      </c>
      <c r="K328" s="127"/>
      <c r="L328" s="127">
        <f>L$313*Scenarios!$E$32</f>
        <v>0</v>
      </c>
      <c r="M328" s="127">
        <f>M$313*Scenarios!$E$32</f>
        <v>0</v>
      </c>
      <c r="N328" s="127">
        <f>N$313*Scenarios!$E$32</f>
        <v>0</v>
      </c>
      <c r="O328" s="127">
        <f>O$313*Scenarios!$E$32</f>
        <v>0</v>
      </c>
      <c r="P328" s="127">
        <f>P$313*Scenarios!$E$32</f>
        <v>0</v>
      </c>
      <c r="Q328" s="127">
        <f>Q$313*Scenarios!$E$32</f>
        <v>0</v>
      </c>
      <c r="R328" s="127">
        <f>R$313*Scenarios!$E$32</f>
        <v>0</v>
      </c>
      <c r="S328" s="127">
        <f>S$313*Scenarios!$E$32</f>
        <v>0</v>
      </c>
      <c r="T328" s="127">
        <f>T$313*Scenarios!$E$32</f>
        <v>0</v>
      </c>
      <c r="U328" s="127">
        <f>U$313*Scenarios!$E$32</f>
        <v>0</v>
      </c>
      <c r="V328" s="127">
        <f>V$313*Scenarios!$E$32</f>
        <v>0</v>
      </c>
      <c r="W328" s="127">
        <f>W$313*Scenarios!$E$32</f>
        <v>0</v>
      </c>
      <c r="X328" s="127">
        <f>X$313*Scenarios!$E$32</f>
        <v>0</v>
      </c>
      <c r="Y328" s="127">
        <f>Y$313*Scenarios!$E$32</f>
        <v>0</v>
      </c>
      <c r="Z328" s="127">
        <f>Z$313*Scenarios!$E$32</f>
        <v>0</v>
      </c>
      <c r="AA328" s="127">
        <f>AA$313*Scenarios!$E$32</f>
        <v>0</v>
      </c>
      <c r="AB328" s="127">
        <f>AB$313*Scenarios!$E$32</f>
        <v>0</v>
      </c>
      <c r="AC328" s="127">
        <f>AC$313*Scenarios!$E$32</f>
        <v>0</v>
      </c>
      <c r="AD328" s="127">
        <f>AD$313*Scenarios!$E$32</f>
        <v>0</v>
      </c>
      <c r="AE328" s="127">
        <f>AE$313*Scenarios!$E$32</f>
        <v>0</v>
      </c>
      <c r="AF328" s="128"/>
      <c r="AG328" s="128"/>
      <c r="AH328" s="128"/>
      <c r="AI328" s="128"/>
    </row>
    <row r="329" spans="1:35" customFormat="1" ht="14.25" x14ac:dyDescent="0.45">
      <c r="B329" s="14" t="s">
        <v>58</v>
      </c>
      <c r="C329" s="14" t="s">
        <v>4</v>
      </c>
      <c r="D329" s="15" t="s">
        <v>2703</v>
      </c>
      <c r="E329" s="16" t="s">
        <v>57</v>
      </c>
      <c r="F329" s="14" t="s">
        <v>2700</v>
      </c>
      <c r="G329" s="119"/>
      <c r="H329" s="114" t="str">
        <f>Settings!$B$3&amp;".mit.shpf.die.ind.2"</f>
        <v>egy.mit.shpf.die.ind.2</v>
      </c>
      <c r="K329" s="127"/>
      <c r="L329" s="127">
        <f>L$313*Scenarios!$E$33</f>
        <v>0</v>
      </c>
      <c r="M329" s="127">
        <f>M$313*Scenarios!$E$33</f>
        <v>0</v>
      </c>
      <c r="N329" s="127">
        <f>N$313*Scenarios!$E$33</f>
        <v>0</v>
      </c>
      <c r="O329" s="127">
        <f>O$313*Scenarios!$E$33</f>
        <v>0</v>
      </c>
      <c r="P329" s="127">
        <f>P$313*Scenarios!$E$33</f>
        <v>0</v>
      </c>
      <c r="Q329" s="127">
        <f>Q$313*Scenarios!$E$33</f>
        <v>0</v>
      </c>
      <c r="R329" s="127">
        <f>R$313*Scenarios!$E$33</f>
        <v>0</v>
      </c>
      <c r="S329" s="127">
        <f>S$313*Scenarios!$E$33</f>
        <v>0</v>
      </c>
      <c r="T329" s="127">
        <f>T$313*Scenarios!$E$33</f>
        <v>0</v>
      </c>
      <c r="U329" s="127">
        <f>U$313*Scenarios!$E$33</f>
        <v>0</v>
      </c>
      <c r="V329" s="127">
        <f>V$313*Scenarios!$E$33</f>
        <v>0</v>
      </c>
      <c r="W329" s="127">
        <f>W$313*Scenarios!$E$33</f>
        <v>0</v>
      </c>
      <c r="X329" s="127">
        <f>X$313*Scenarios!$E$33</f>
        <v>0</v>
      </c>
      <c r="Y329" s="127">
        <f>Y$313*Scenarios!$E$33</f>
        <v>0</v>
      </c>
      <c r="Z329" s="127">
        <f>Z$313*Scenarios!$E$33</f>
        <v>0</v>
      </c>
      <c r="AA329" s="127">
        <f>AA$313*Scenarios!$E$33</f>
        <v>0</v>
      </c>
      <c r="AB329" s="127">
        <f>AB$313*Scenarios!$E$33</f>
        <v>0</v>
      </c>
      <c r="AC329" s="127">
        <f>AC$313*Scenarios!$E$33</f>
        <v>0</v>
      </c>
      <c r="AD329" s="127">
        <f>AD$313*Scenarios!$E$33</f>
        <v>0</v>
      </c>
      <c r="AE329" s="127">
        <f>AE$313*Scenarios!$E$33</f>
        <v>0</v>
      </c>
      <c r="AF329" s="128"/>
      <c r="AG329" s="128"/>
      <c r="AH329" s="128"/>
      <c r="AI329" s="128"/>
    </row>
    <row r="330" spans="1:35" customFormat="1" ht="14.25" x14ac:dyDescent="0.45">
      <c r="B330" s="14" t="s">
        <v>60</v>
      </c>
      <c r="C330" s="14" t="s">
        <v>4</v>
      </c>
      <c r="D330" s="15" t="s">
        <v>2704</v>
      </c>
      <c r="E330" s="16" t="s">
        <v>57</v>
      </c>
      <c r="F330" s="14" t="s">
        <v>2700</v>
      </c>
      <c r="G330" s="119"/>
      <c r="H330" s="114" t="str">
        <f>Settings!$B$3&amp;".mit.shpf.lpg.ind.2"</f>
        <v>egy.mit.shpf.lpg.ind.2</v>
      </c>
      <c r="K330" s="127"/>
      <c r="L330" s="127">
        <f>L$313*Scenarios!$E$34</f>
        <v>0</v>
      </c>
      <c r="M330" s="127">
        <f>M$313*Scenarios!$E$34</f>
        <v>0</v>
      </c>
      <c r="N330" s="127">
        <f>N$313*Scenarios!$E$34</f>
        <v>0</v>
      </c>
      <c r="O330" s="127">
        <f>O$313*Scenarios!$E$34</f>
        <v>0</v>
      </c>
      <c r="P330" s="127">
        <f>P$313*Scenarios!$E$34</f>
        <v>0</v>
      </c>
      <c r="Q330" s="127">
        <f>Q$313*Scenarios!$E$34</f>
        <v>0</v>
      </c>
      <c r="R330" s="127">
        <f>R$313*Scenarios!$E$34</f>
        <v>0</v>
      </c>
      <c r="S330" s="127">
        <f>S$313*Scenarios!$E$34</f>
        <v>0</v>
      </c>
      <c r="T330" s="127">
        <f>T$313*Scenarios!$E$34</f>
        <v>0</v>
      </c>
      <c r="U330" s="127">
        <f>U$313*Scenarios!$E$34</f>
        <v>0</v>
      </c>
      <c r="V330" s="127">
        <f>V$313*Scenarios!$E$34</f>
        <v>0</v>
      </c>
      <c r="W330" s="127">
        <f>W$313*Scenarios!$E$34</f>
        <v>0</v>
      </c>
      <c r="X330" s="127">
        <f>X$313*Scenarios!$E$34</f>
        <v>0</v>
      </c>
      <c r="Y330" s="127">
        <f>Y$313*Scenarios!$E$34</f>
        <v>0</v>
      </c>
      <c r="Z330" s="127">
        <f>Z$313*Scenarios!$E$34</f>
        <v>0</v>
      </c>
      <c r="AA330" s="127">
        <f>AA$313*Scenarios!$E$34</f>
        <v>0</v>
      </c>
      <c r="AB330" s="127">
        <f>AB$313*Scenarios!$E$34</f>
        <v>0</v>
      </c>
      <c r="AC330" s="127">
        <f>AC$313*Scenarios!$E$34</f>
        <v>0</v>
      </c>
      <c r="AD330" s="127">
        <f>AD$313*Scenarios!$E$34</f>
        <v>0</v>
      </c>
      <c r="AE330" s="127">
        <f>AE$313*Scenarios!$E$34</f>
        <v>0</v>
      </c>
      <c r="AF330" s="128"/>
      <c r="AG330" s="128"/>
      <c r="AH330" s="128"/>
      <c r="AI330" s="128"/>
    </row>
    <row r="331" spans="1:35" customFormat="1" ht="14.25" x14ac:dyDescent="0.45">
      <c r="B331" s="14" t="s">
        <v>62</v>
      </c>
      <c r="C331" s="14" t="s">
        <v>4</v>
      </c>
      <c r="D331" s="15" t="s">
        <v>2705</v>
      </c>
      <c r="E331" s="16" t="s">
        <v>57</v>
      </c>
      <c r="F331" s="14" t="s">
        <v>2700</v>
      </c>
      <c r="G331" s="119"/>
      <c r="H331" s="114" t="str">
        <f>Settings!$B$3&amp;".mit.shpf.ker.ind.2"</f>
        <v>egy.mit.shpf.ker.ind.2</v>
      </c>
      <c r="K331" s="127"/>
      <c r="L331" s="127">
        <f>L$313*Scenarios!$E$35</f>
        <v>0</v>
      </c>
      <c r="M331" s="127">
        <f>M$313*Scenarios!$E$35</f>
        <v>0</v>
      </c>
      <c r="N331" s="127">
        <f>N$313*Scenarios!$E$35</f>
        <v>0</v>
      </c>
      <c r="O331" s="127">
        <f>O$313*Scenarios!$E$35</f>
        <v>0</v>
      </c>
      <c r="P331" s="127">
        <f>P$313*Scenarios!$E$35</f>
        <v>0</v>
      </c>
      <c r="Q331" s="127">
        <f>Q$313*Scenarios!$E$35</f>
        <v>0</v>
      </c>
      <c r="R331" s="127">
        <f>R$313*Scenarios!$E$35</f>
        <v>0</v>
      </c>
      <c r="S331" s="127">
        <f>S$313*Scenarios!$E$35</f>
        <v>0</v>
      </c>
      <c r="T331" s="127">
        <f>T$313*Scenarios!$E$35</f>
        <v>0</v>
      </c>
      <c r="U331" s="127">
        <f>U$313*Scenarios!$E$35</f>
        <v>0</v>
      </c>
      <c r="V331" s="127">
        <f>V$313*Scenarios!$E$35</f>
        <v>0</v>
      </c>
      <c r="W331" s="127">
        <f>W$313*Scenarios!$E$35</f>
        <v>0</v>
      </c>
      <c r="X331" s="127">
        <f>X$313*Scenarios!$E$35</f>
        <v>0</v>
      </c>
      <c r="Y331" s="127">
        <f>Y$313*Scenarios!$E$35</f>
        <v>0</v>
      </c>
      <c r="Z331" s="127">
        <f>Z$313*Scenarios!$E$35</f>
        <v>0</v>
      </c>
      <c r="AA331" s="127">
        <f>AA$313*Scenarios!$E$35</f>
        <v>0</v>
      </c>
      <c r="AB331" s="127">
        <f>AB$313*Scenarios!$E$35</f>
        <v>0</v>
      </c>
      <c r="AC331" s="127">
        <f>AC$313*Scenarios!$E$35</f>
        <v>0</v>
      </c>
      <c r="AD331" s="127">
        <f>AD$313*Scenarios!$E$35</f>
        <v>0</v>
      </c>
      <c r="AE331" s="127">
        <f>AE$313*Scenarios!$E$35</f>
        <v>0</v>
      </c>
      <c r="AF331" s="128"/>
      <c r="AG331" s="128"/>
      <c r="AH331" s="128"/>
      <c r="AI331" s="128"/>
    </row>
    <row r="332" spans="1:35" customFormat="1" ht="14.25" x14ac:dyDescent="0.45">
      <c r="B332" s="14" t="s">
        <v>64</v>
      </c>
      <c r="C332" s="14" t="s">
        <v>4</v>
      </c>
      <c r="D332" s="15" t="s">
        <v>2706</v>
      </c>
      <c r="E332" s="16" t="s">
        <v>66</v>
      </c>
      <c r="F332" s="14" t="s">
        <v>2700</v>
      </c>
      <c r="G332" s="119"/>
      <c r="H332" s="114" t="str">
        <f>Settings!$B$3&amp;".mit.shpf.oop.ind.2"</f>
        <v>egy.mit.shpf.oop.ind.2</v>
      </c>
      <c r="K332" s="127"/>
      <c r="L332" s="127">
        <f>L$313*Scenarios!$E$36</f>
        <v>0</v>
      </c>
      <c r="M332" s="127">
        <f>M$313*Scenarios!$E$36</f>
        <v>0</v>
      </c>
      <c r="N332" s="127">
        <f>N$313*Scenarios!$E$36</f>
        <v>0</v>
      </c>
      <c r="O332" s="127">
        <f>O$313*Scenarios!$E$36</f>
        <v>0</v>
      </c>
      <c r="P332" s="127">
        <f>P$313*Scenarios!$E$36</f>
        <v>0</v>
      </c>
      <c r="Q332" s="127">
        <f>Q$313*Scenarios!$E$36</f>
        <v>0</v>
      </c>
      <c r="R332" s="127">
        <f>R$313*Scenarios!$E$36</f>
        <v>0</v>
      </c>
      <c r="S332" s="127">
        <f>S$313*Scenarios!$E$36</f>
        <v>0</v>
      </c>
      <c r="T332" s="127">
        <f>T$313*Scenarios!$E$36</f>
        <v>0</v>
      </c>
      <c r="U332" s="127">
        <f>U$313*Scenarios!$E$36</f>
        <v>0</v>
      </c>
      <c r="V332" s="127">
        <f>V$313*Scenarios!$E$36</f>
        <v>0</v>
      </c>
      <c r="W332" s="127">
        <f>W$313*Scenarios!$E$36</f>
        <v>0</v>
      </c>
      <c r="X332" s="127">
        <f>X$313*Scenarios!$E$36</f>
        <v>0</v>
      </c>
      <c r="Y332" s="127">
        <f>Y$313*Scenarios!$E$36</f>
        <v>0</v>
      </c>
      <c r="Z332" s="127">
        <f>Z$313*Scenarios!$E$36</f>
        <v>0</v>
      </c>
      <c r="AA332" s="127">
        <f>AA$313*Scenarios!$E$36</f>
        <v>0</v>
      </c>
      <c r="AB332" s="127">
        <f>AB$313*Scenarios!$E$36</f>
        <v>0</v>
      </c>
      <c r="AC332" s="127">
        <f>AC$313*Scenarios!$E$36</f>
        <v>0</v>
      </c>
      <c r="AD332" s="127">
        <f>AD$313*Scenarios!$E$36</f>
        <v>0</v>
      </c>
      <c r="AE332" s="127">
        <f>AE$313*Scenarios!$E$36</f>
        <v>0</v>
      </c>
      <c r="AF332" s="128"/>
      <c r="AG332" s="128"/>
      <c r="AH332" s="128"/>
      <c r="AI332" s="128"/>
    </row>
    <row r="333" spans="1:35" customFormat="1" ht="14.25" x14ac:dyDescent="0.45">
      <c r="B333" s="14" t="s">
        <v>67</v>
      </c>
      <c r="C333" s="14" t="s">
        <v>4</v>
      </c>
      <c r="D333" s="15" t="s">
        <v>2707</v>
      </c>
      <c r="E333" s="16" t="s">
        <v>51</v>
      </c>
      <c r="F333" s="14" t="s">
        <v>2700</v>
      </c>
      <c r="G333" s="119"/>
      <c r="H333" s="114" t="str">
        <f>Settings!$B$3&amp;".mit.shpf.bio.ind.2"</f>
        <v>egy.mit.shpf.bio.ind.2</v>
      </c>
      <c r="K333" s="127"/>
      <c r="L333" s="127">
        <f>L$313*Scenarios!$E$37</f>
        <v>0</v>
      </c>
      <c r="M333" s="127">
        <f>M$313*Scenarios!$E$37</f>
        <v>0</v>
      </c>
      <c r="N333" s="127">
        <f>N$313*Scenarios!$E$37</f>
        <v>0</v>
      </c>
      <c r="O333" s="127">
        <f>O$313*Scenarios!$E$37</f>
        <v>0</v>
      </c>
      <c r="P333" s="127">
        <f>P$313*Scenarios!$E$37</f>
        <v>0</v>
      </c>
      <c r="Q333" s="127">
        <f>Q$313*Scenarios!$E$37</f>
        <v>0</v>
      </c>
      <c r="R333" s="127">
        <f>R$313*Scenarios!$E$37</f>
        <v>0</v>
      </c>
      <c r="S333" s="127">
        <f>S$313*Scenarios!$E$37</f>
        <v>0</v>
      </c>
      <c r="T333" s="127">
        <f>T$313*Scenarios!$E$37</f>
        <v>0</v>
      </c>
      <c r="U333" s="127">
        <f>U$313*Scenarios!$E$37</f>
        <v>0</v>
      </c>
      <c r="V333" s="127">
        <f>V$313*Scenarios!$E$37</f>
        <v>0</v>
      </c>
      <c r="W333" s="127">
        <f>W$313*Scenarios!$E$37</f>
        <v>0</v>
      </c>
      <c r="X333" s="127">
        <f>X$313*Scenarios!$E$37</f>
        <v>0</v>
      </c>
      <c r="Y333" s="127">
        <f>Y$313*Scenarios!$E$37</f>
        <v>0</v>
      </c>
      <c r="Z333" s="127">
        <f>Z$313*Scenarios!$E$37</f>
        <v>0</v>
      </c>
      <c r="AA333" s="127">
        <f>AA$313*Scenarios!$E$37</f>
        <v>0</v>
      </c>
      <c r="AB333" s="127">
        <f>AB$313*Scenarios!$E$37</f>
        <v>0</v>
      </c>
      <c r="AC333" s="127">
        <f>AC$313*Scenarios!$E$37</f>
        <v>0</v>
      </c>
      <c r="AD333" s="127">
        <f>AD$313*Scenarios!$E$37</f>
        <v>0</v>
      </c>
      <c r="AE333" s="127">
        <f>AE$313*Scenarios!$E$37</f>
        <v>0</v>
      </c>
      <c r="AF333" s="128"/>
      <c r="AG333" s="128"/>
      <c r="AH333" s="128"/>
      <c r="AI333" s="128"/>
    </row>
    <row r="334" spans="1:35" customFormat="1" ht="14.25" x14ac:dyDescent="0.45">
      <c r="B334" s="14" t="s">
        <v>69</v>
      </c>
      <c r="C334" s="14" t="s">
        <v>4</v>
      </c>
      <c r="D334" s="15" t="s">
        <v>2708</v>
      </c>
      <c r="E334" s="16" t="s">
        <v>71</v>
      </c>
      <c r="F334" s="14" t="s">
        <v>2700</v>
      </c>
      <c r="G334" s="119"/>
      <c r="H334" s="114" t="str">
        <f>Settings!$B$3&amp;".mit.shpf.ren.ind.2"</f>
        <v>egy.mit.shpf.ren.ind.2</v>
      </c>
      <c r="K334" s="127"/>
      <c r="L334" s="127">
        <f>L$313*Scenarios!$E$38</f>
        <v>0</v>
      </c>
      <c r="M334" s="127">
        <f>M$313*Scenarios!$E$38</f>
        <v>0</v>
      </c>
      <c r="N334" s="127">
        <f>N$313*Scenarios!$E$38</f>
        <v>0</v>
      </c>
      <c r="O334" s="127">
        <f>O$313*Scenarios!$E$38</f>
        <v>0</v>
      </c>
      <c r="P334" s="127">
        <f>P$313*Scenarios!$E$38</f>
        <v>0</v>
      </c>
      <c r="Q334" s="127">
        <f>Q$313*Scenarios!$E$38</f>
        <v>0</v>
      </c>
      <c r="R334" s="127">
        <f>R$313*Scenarios!$E$38</f>
        <v>0</v>
      </c>
      <c r="S334" s="127">
        <f>S$313*Scenarios!$E$38</f>
        <v>0</v>
      </c>
      <c r="T334" s="127">
        <f>T$313*Scenarios!$E$38</f>
        <v>0</v>
      </c>
      <c r="U334" s="127">
        <f>U$313*Scenarios!$E$38</f>
        <v>0</v>
      </c>
      <c r="V334" s="127">
        <f>V$313*Scenarios!$E$38</f>
        <v>0</v>
      </c>
      <c r="W334" s="127">
        <f>W$313*Scenarios!$E$38</f>
        <v>0</v>
      </c>
      <c r="X334" s="127">
        <f>X$313*Scenarios!$E$38</f>
        <v>0</v>
      </c>
      <c r="Y334" s="127">
        <f>Y$313*Scenarios!$E$38</f>
        <v>0</v>
      </c>
      <c r="Z334" s="127">
        <f>Z$313*Scenarios!$E$38</f>
        <v>0</v>
      </c>
      <c r="AA334" s="127">
        <f>AA$313*Scenarios!$E$38</f>
        <v>0</v>
      </c>
      <c r="AB334" s="127">
        <f>AB$313*Scenarios!$E$38</f>
        <v>0</v>
      </c>
      <c r="AC334" s="127">
        <f>AC$313*Scenarios!$E$38</f>
        <v>0</v>
      </c>
      <c r="AD334" s="127">
        <f>AD$313*Scenarios!$E$38</f>
        <v>0</v>
      </c>
      <c r="AE334" s="127">
        <f>AE$313*Scenarios!$E$38</f>
        <v>0</v>
      </c>
      <c r="AF334" s="128"/>
      <c r="AG334" s="128"/>
      <c r="AH334" s="128"/>
      <c r="AI334" s="128"/>
    </row>
    <row r="335" spans="1:35" x14ac:dyDescent="0.35"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  <c r="AC335" s="122"/>
      <c r="AD335" s="122"/>
      <c r="AE335" s="122"/>
      <c r="AF335" s="122"/>
      <c r="AG335" s="122"/>
      <c r="AH335" s="122"/>
      <c r="AI335" s="122"/>
    </row>
    <row r="336" spans="1:35" x14ac:dyDescent="0.35"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  <c r="AC336" s="122"/>
      <c r="AD336" s="122"/>
      <c r="AE336" s="122"/>
      <c r="AF336" s="122"/>
      <c r="AG336" s="122"/>
      <c r="AH336" s="122"/>
      <c r="AI336" s="122"/>
    </row>
    <row r="337" spans="11:35" x14ac:dyDescent="0.35"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  <c r="AC337" s="122"/>
      <c r="AD337" s="122"/>
      <c r="AE337" s="122"/>
      <c r="AF337" s="122"/>
      <c r="AG337" s="122"/>
      <c r="AH337" s="122"/>
      <c r="AI337" s="122"/>
    </row>
    <row r="338" spans="11:35" x14ac:dyDescent="0.35"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  <c r="AC338" s="122"/>
      <c r="AD338" s="122"/>
      <c r="AE338" s="122"/>
      <c r="AF338" s="122"/>
      <c r="AG338" s="122"/>
      <c r="AH338" s="122"/>
      <c r="AI338" s="1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5"/>
  <sheetViews>
    <sheetView zoomScaleNormal="100" workbookViewId="0">
      <pane ySplit="7" topLeftCell="A8" activePane="bottomLeft" state="frozen"/>
      <selection pane="bottomLeft"/>
    </sheetView>
  </sheetViews>
  <sheetFormatPr defaultColWidth="8.6640625" defaultRowHeight="14.25" x14ac:dyDescent="0.45"/>
  <cols>
    <col min="1" max="1" width="3" customWidth="1"/>
    <col min="2" max="2" width="70" customWidth="1"/>
    <col min="3" max="3" width="14" customWidth="1"/>
    <col min="4" max="5" width="16" hidden="1" customWidth="1"/>
    <col min="6" max="6" width="18" customWidth="1"/>
    <col min="7" max="7" width="14" customWidth="1"/>
    <col min="8" max="8" width="42" customWidth="1"/>
    <col min="9" max="9" width="14" customWidth="1"/>
  </cols>
  <sheetData>
    <row r="1" spans="1:8" x14ac:dyDescent="0.45">
      <c r="A1" s="33"/>
      <c r="B1" s="35" t="s">
        <v>119</v>
      </c>
      <c r="C1" s="33"/>
      <c r="D1" s="33"/>
      <c r="E1" s="34" t="s">
        <v>120</v>
      </c>
      <c r="F1" s="34" t="s">
        <v>121</v>
      </c>
      <c r="G1" s="33"/>
      <c r="H1" s="33"/>
    </row>
    <row r="2" spans="1:8" x14ac:dyDescent="0.45">
      <c r="A2" s="36"/>
      <c r="B2" s="37" t="s">
        <v>122</v>
      </c>
      <c r="C2" s="36"/>
      <c r="D2" s="36"/>
      <c r="E2" s="36"/>
      <c r="F2" s="36"/>
      <c r="G2" s="36"/>
      <c r="H2" s="36"/>
    </row>
    <row r="3" spans="1:8" x14ac:dyDescent="0.45">
      <c r="A3" s="36"/>
      <c r="B3" s="37" t="s">
        <v>123</v>
      </c>
      <c r="C3" s="36"/>
      <c r="D3" s="36"/>
      <c r="E3" s="36"/>
      <c r="F3" s="36"/>
      <c r="G3" s="36"/>
      <c r="H3" s="36"/>
    </row>
    <row r="5" spans="1:8" x14ac:dyDescent="0.45">
      <c r="C5" s="27" t="b">
        <f>FALSE()</f>
        <v>0</v>
      </c>
      <c r="D5" s="27" t="s">
        <v>124</v>
      </c>
    </row>
    <row r="6" spans="1:8" x14ac:dyDescent="0.45">
      <c r="D6" s="27">
        <v>6</v>
      </c>
    </row>
    <row r="7" spans="1:8" x14ac:dyDescent="0.45">
      <c r="B7" s="38" t="s">
        <v>125</v>
      </c>
      <c r="C7" s="38" t="s">
        <v>126</v>
      </c>
      <c r="D7" s="38" t="s">
        <v>127</v>
      </c>
      <c r="E7" s="38" t="s">
        <v>128</v>
      </c>
      <c r="F7" s="38" t="s">
        <v>129</v>
      </c>
      <c r="G7" s="38" t="s">
        <v>130</v>
      </c>
      <c r="H7" s="38" t="s">
        <v>131</v>
      </c>
    </row>
    <row r="8" spans="1:8" x14ac:dyDescent="0.45">
      <c r="B8" s="39" t="s">
        <v>132</v>
      </c>
      <c r="C8" s="40"/>
      <c r="D8" s="39"/>
      <c r="E8" s="39"/>
      <c r="F8" s="39" t="s">
        <v>133</v>
      </c>
      <c r="G8" s="39" t="s">
        <v>133</v>
      </c>
      <c r="H8" s="39" t="s">
        <v>134</v>
      </c>
    </row>
    <row r="9" spans="1:8" x14ac:dyDescent="0.45">
      <c r="B9" s="41" t="s">
        <v>135</v>
      </c>
    </row>
    <row r="10" spans="1:8" x14ac:dyDescent="0.45">
      <c r="B10" s="39" t="s">
        <v>136</v>
      </c>
      <c r="C10" s="39" t="s">
        <v>137</v>
      </c>
      <c r="D10" s="39"/>
      <c r="E10" s="39"/>
      <c r="F10" s="39" t="s">
        <v>138</v>
      </c>
      <c r="G10" s="39" t="s">
        <v>138</v>
      </c>
      <c r="H10" s="39" t="s">
        <v>139</v>
      </c>
    </row>
    <row r="11" spans="1:8" x14ac:dyDescent="0.45">
      <c r="B11" s="39" t="s">
        <v>140</v>
      </c>
      <c r="C11" s="39" t="s">
        <v>141</v>
      </c>
      <c r="D11" s="39"/>
      <c r="E11" s="39"/>
      <c r="F11" s="39" t="s">
        <v>138</v>
      </c>
      <c r="G11" s="39" t="s">
        <v>138</v>
      </c>
      <c r="H11" s="40"/>
    </row>
    <row r="12" spans="1:8" x14ac:dyDescent="0.45">
      <c r="B12" s="39" t="s">
        <v>142</v>
      </c>
      <c r="C12" s="39" t="s">
        <v>143</v>
      </c>
      <c r="D12" s="39"/>
      <c r="E12" s="39"/>
      <c r="F12" s="39" t="s">
        <v>138</v>
      </c>
      <c r="G12" s="39" t="s">
        <v>138</v>
      </c>
      <c r="H12" s="40"/>
    </row>
    <row r="13" spans="1:8" x14ac:dyDescent="0.45">
      <c r="B13" s="39" t="s">
        <v>144</v>
      </c>
      <c r="C13" s="39" t="s">
        <v>141</v>
      </c>
      <c r="D13" s="39"/>
      <c r="E13" s="39"/>
      <c r="F13" s="39" t="s">
        <v>145</v>
      </c>
      <c r="G13" s="39" t="s">
        <v>145</v>
      </c>
      <c r="H13" s="39" t="s">
        <v>146</v>
      </c>
    </row>
    <row r="14" spans="1:8" x14ac:dyDescent="0.45">
      <c r="B14" s="39" t="s">
        <v>147</v>
      </c>
      <c r="C14" s="39" t="s">
        <v>137</v>
      </c>
      <c r="D14" s="39"/>
      <c r="E14" s="39"/>
      <c r="F14" s="39" t="s">
        <v>138</v>
      </c>
      <c r="G14" s="39" t="s">
        <v>138</v>
      </c>
      <c r="H14" s="40"/>
    </row>
    <row r="15" spans="1:8" x14ac:dyDescent="0.45">
      <c r="B15" s="39" t="s">
        <v>148</v>
      </c>
      <c r="C15" s="39" t="s">
        <v>137</v>
      </c>
      <c r="D15" s="39"/>
      <c r="E15" s="39"/>
      <c r="F15" s="39" t="s">
        <v>138</v>
      </c>
      <c r="G15" s="39" t="s">
        <v>138</v>
      </c>
      <c r="H15" s="40"/>
    </row>
    <row r="16" spans="1:8" x14ac:dyDescent="0.45">
      <c r="B16" s="39" t="s">
        <v>149</v>
      </c>
      <c r="C16" s="39" t="s">
        <v>141</v>
      </c>
      <c r="D16" s="39"/>
      <c r="E16" s="39"/>
      <c r="F16" s="39" t="s">
        <v>150</v>
      </c>
      <c r="G16" s="39" t="s">
        <v>150</v>
      </c>
      <c r="H16" s="39" t="s">
        <v>151</v>
      </c>
    </row>
    <row r="17" spans="1:8" x14ac:dyDescent="0.45">
      <c r="B17" s="41" t="s">
        <v>152</v>
      </c>
    </row>
    <row r="18" spans="1:8" x14ac:dyDescent="0.45">
      <c r="A18" s="27" t="s">
        <v>153</v>
      </c>
      <c r="B18" s="42" t="s">
        <v>154</v>
      </c>
      <c r="C18" s="42" t="s">
        <v>155</v>
      </c>
      <c r="D18" s="42"/>
      <c r="E18" s="42"/>
      <c r="F18" s="42">
        <v>2026</v>
      </c>
      <c r="G18" s="42">
        <v>2027</v>
      </c>
      <c r="H18" s="42" t="s">
        <v>156</v>
      </c>
    </row>
    <row r="19" spans="1:8" x14ac:dyDescent="0.45">
      <c r="A19" s="27" t="s">
        <v>153</v>
      </c>
      <c r="B19" s="39" t="s">
        <v>157</v>
      </c>
      <c r="C19" s="39" t="s">
        <v>158</v>
      </c>
      <c r="D19" s="39"/>
      <c r="E19" s="39"/>
      <c r="F19" s="39">
        <v>0</v>
      </c>
      <c r="G19" s="39">
        <v>20</v>
      </c>
      <c r="H19" s="39" t="s">
        <v>159</v>
      </c>
    </row>
    <row r="20" spans="1:8" x14ac:dyDescent="0.45">
      <c r="A20" s="27"/>
      <c r="B20" s="42" t="s">
        <v>160</v>
      </c>
      <c r="C20" s="42" t="s">
        <v>158</v>
      </c>
      <c r="D20" s="42"/>
      <c r="E20" s="42"/>
      <c r="F20" s="42">
        <v>50</v>
      </c>
      <c r="G20" s="42">
        <v>50</v>
      </c>
      <c r="H20" s="42" t="s">
        <v>161</v>
      </c>
    </row>
    <row r="21" spans="1:8" x14ac:dyDescent="0.45">
      <c r="A21" s="27" t="s">
        <v>153</v>
      </c>
      <c r="B21" s="39" t="s">
        <v>162</v>
      </c>
      <c r="C21" s="39" t="s">
        <v>155</v>
      </c>
      <c r="D21" s="39"/>
      <c r="E21" s="39"/>
      <c r="F21" s="39">
        <v>2030</v>
      </c>
      <c r="G21" s="39">
        <v>2035</v>
      </c>
      <c r="H21" s="39" t="s">
        <v>163</v>
      </c>
    </row>
    <row r="22" spans="1:8" x14ac:dyDescent="0.45">
      <c r="A22" s="27"/>
      <c r="B22" s="41" t="s">
        <v>164</v>
      </c>
    </row>
    <row r="23" spans="1:8" x14ac:dyDescent="0.45">
      <c r="A23" s="27"/>
      <c r="B23" s="39" t="s">
        <v>165</v>
      </c>
      <c r="C23" s="39" t="s">
        <v>141</v>
      </c>
      <c r="D23" s="39"/>
      <c r="E23" s="39"/>
      <c r="F23" s="39" t="b">
        <f>TRUE()</f>
        <v>1</v>
      </c>
      <c r="G23" s="39" t="b">
        <f>TRUE()</f>
        <v>1</v>
      </c>
      <c r="H23" s="39" t="s">
        <v>166</v>
      </c>
    </row>
    <row r="24" spans="1:8" x14ac:dyDescent="0.45">
      <c r="A24" s="27"/>
      <c r="B24" s="39" t="s">
        <v>167</v>
      </c>
      <c r="C24" s="39" t="s">
        <v>141</v>
      </c>
      <c r="D24" s="39"/>
      <c r="E24" s="39"/>
      <c r="F24" s="39" t="b">
        <f>TRUE()</f>
        <v>1</v>
      </c>
      <c r="G24" s="39" t="b">
        <f>TRUE()</f>
        <v>1</v>
      </c>
      <c r="H24" s="39" t="s">
        <v>168</v>
      </c>
    </row>
    <row r="25" spans="1:8" x14ac:dyDescent="0.45">
      <c r="A25" s="27"/>
      <c r="B25" s="39" t="s">
        <v>169</v>
      </c>
      <c r="C25" s="39" t="s">
        <v>141</v>
      </c>
      <c r="D25" s="39"/>
      <c r="E25" s="39"/>
      <c r="F25" s="39" t="b">
        <f>TRUE()</f>
        <v>1</v>
      </c>
      <c r="G25" s="39" t="b">
        <f>TRUE()</f>
        <v>1</v>
      </c>
      <c r="H25" s="39" t="s">
        <v>170</v>
      </c>
    </row>
    <row r="26" spans="1:8" x14ac:dyDescent="0.45">
      <c r="A26" s="27"/>
      <c r="B26" s="39" t="s">
        <v>171</v>
      </c>
      <c r="C26" s="39" t="s">
        <v>141</v>
      </c>
      <c r="D26" s="39"/>
      <c r="E26" s="39"/>
      <c r="F26" s="39" t="b">
        <f>TRUE()</f>
        <v>1</v>
      </c>
      <c r="G26" s="39" t="b">
        <f>TRUE()</f>
        <v>1</v>
      </c>
      <c r="H26" s="39" t="s">
        <v>172</v>
      </c>
    </row>
    <row r="27" spans="1:8" x14ac:dyDescent="0.45">
      <c r="A27" s="27"/>
      <c r="B27" s="39" t="s">
        <v>173</v>
      </c>
      <c r="C27" s="39" t="s">
        <v>141</v>
      </c>
      <c r="D27" s="39"/>
      <c r="E27" s="39"/>
      <c r="F27" s="39" t="b">
        <f>TRUE()</f>
        <v>1</v>
      </c>
      <c r="G27" s="39" t="b">
        <f>TRUE()</f>
        <v>1</v>
      </c>
      <c r="H27" s="39" t="s">
        <v>174</v>
      </c>
    </row>
    <row r="28" spans="1:8" x14ac:dyDescent="0.45">
      <c r="A28" s="27"/>
      <c r="B28" s="39" t="s">
        <v>175</v>
      </c>
      <c r="C28" s="39" t="s">
        <v>141</v>
      </c>
      <c r="D28" s="39"/>
      <c r="E28" s="39"/>
      <c r="F28" s="39" t="b">
        <f>TRUE()</f>
        <v>1</v>
      </c>
      <c r="G28" s="39" t="b">
        <f>TRUE()</f>
        <v>1</v>
      </c>
      <c r="H28" s="39" t="s">
        <v>176</v>
      </c>
    </row>
    <row r="29" spans="1:8" x14ac:dyDescent="0.45">
      <c r="A29" s="27"/>
      <c r="B29" s="39" t="s">
        <v>177</v>
      </c>
      <c r="C29" s="39" t="s">
        <v>141</v>
      </c>
      <c r="D29" s="39"/>
      <c r="E29" s="39"/>
      <c r="F29" s="39" t="b">
        <f>TRUE()</f>
        <v>1</v>
      </c>
      <c r="G29" s="39" t="b">
        <f>TRUE()</f>
        <v>1</v>
      </c>
      <c r="H29" s="39" t="s">
        <v>178</v>
      </c>
    </row>
    <row r="30" spans="1:8" x14ac:dyDescent="0.45">
      <c r="A30" s="27"/>
      <c r="B30" s="41" t="s">
        <v>179</v>
      </c>
    </row>
    <row r="31" spans="1:8" x14ac:dyDescent="0.45">
      <c r="A31" s="27"/>
      <c r="B31" s="39" t="s">
        <v>180</v>
      </c>
      <c r="C31" s="39" t="s">
        <v>141</v>
      </c>
      <c r="D31" s="39"/>
      <c r="E31" s="39"/>
      <c r="F31" s="39" t="b">
        <f>TRUE()</f>
        <v>1</v>
      </c>
      <c r="G31" s="39" t="b">
        <f>TRUE()</f>
        <v>1</v>
      </c>
      <c r="H31" s="39" t="s">
        <v>181</v>
      </c>
    </row>
    <row r="32" spans="1:8" x14ac:dyDescent="0.45">
      <c r="A32" s="27"/>
      <c r="B32" s="39" t="s">
        <v>182</v>
      </c>
      <c r="C32" s="39" t="s">
        <v>141</v>
      </c>
      <c r="D32" s="39"/>
      <c r="E32" s="39"/>
      <c r="F32" s="39" t="b">
        <f>TRUE()</f>
        <v>1</v>
      </c>
      <c r="G32" s="39" t="b">
        <f>TRUE()</f>
        <v>1</v>
      </c>
      <c r="H32" s="39" t="s">
        <v>183</v>
      </c>
    </row>
    <row r="33" spans="1:8" x14ac:dyDescent="0.45">
      <c r="A33" s="27"/>
      <c r="B33" s="39" t="s">
        <v>184</v>
      </c>
      <c r="C33" s="39" t="s">
        <v>141</v>
      </c>
      <c r="D33" s="39"/>
      <c r="E33" s="39"/>
      <c r="F33" s="39" t="b">
        <f>TRUE()</f>
        <v>1</v>
      </c>
      <c r="G33" s="39" t="b">
        <f>TRUE()</f>
        <v>1</v>
      </c>
      <c r="H33" s="39" t="s">
        <v>185</v>
      </c>
    </row>
    <row r="34" spans="1:8" x14ac:dyDescent="0.45">
      <c r="A34" s="27"/>
      <c r="B34" s="39" t="s">
        <v>186</v>
      </c>
      <c r="C34" s="39" t="s">
        <v>141</v>
      </c>
      <c r="D34" s="39"/>
      <c r="E34" s="39"/>
      <c r="F34" s="39" t="b">
        <f>TRUE()</f>
        <v>1</v>
      </c>
      <c r="G34" s="39" t="b">
        <f>TRUE()</f>
        <v>1</v>
      </c>
      <c r="H34" s="39" t="s">
        <v>187</v>
      </c>
    </row>
    <row r="35" spans="1:8" x14ac:dyDescent="0.45">
      <c r="A35" s="27"/>
      <c r="B35" s="39" t="s">
        <v>188</v>
      </c>
      <c r="C35" s="39" t="s">
        <v>141</v>
      </c>
      <c r="D35" s="39"/>
      <c r="E35" s="39"/>
      <c r="F35" s="39" t="b">
        <f>TRUE()</f>
        <v>1</v>
      </c>
      <c r="G35" s="39" t="b">
        <f>TRUE()</f>
        <v>1</v>
      </c>
      <c r="H35" s="39" t="s">
        <v>189</v>
      </c>
    </row>
    <row r="36" spans="1:8" x14ac:dyDescent="0.45">
      <c r="A36" s="27"/>
      <c r="B36" s="39" t="s">
        <v>190</v>
      </c>
      <c r="C36" s="39" t="s">
        <v>141</v>
      </c>
      <c r="D36" s="39"/>
      <c r="E36" s="39"/>
      <c r="F36" s="39" t="b">
        <f>TRUE()</f>
        <v>1</v>
      </c>
      <c r="G36" s="39" t="b">
        <f>TRUE()</f>
        <v>1</v>
      </c>
      <c r="H36" s="39" t="s">
        <v>191</v>
      </c>
    </row>
    <row r="37" spans="1:8" x14ac:dyDescent="0.45">
      <c r="A37" s="27"/>
      <c r="B37" s="39" t="s">
        <v>192</v>
      </c>
      <c r="C37" s="39" t="s">
        <v>141</v>
      </c>
      <c r="D37" s="39"/>
      <c r="E37" s="39"/>
      <c r="F37" s="39" t="b">
        <f>TRUE()</f>
        <v>1</v>
      </c>
      <c r="G37" s="39" t="b">
        <f>TRUE()</f>
        <v>1</v>
      </c>
      <c r="H37" s="39" t="s">
        <v>193</v>
      </c>
    </row>
    <row r="38" spans="1:8" x14ac:dyDescent="0.45">
      <c r="A38" s="27"/>
      <c r="B38" s="39" t="s">
        <v>194</v>
      </c>
      <c r="C38" s="39" t="s">
        <v>141</v>
      </c>
      <c r="D38" s="39"/>
      <c r="E38" s="39"/>
      <c r="F38" s="39" t="b">
        <f>TRUE()</f>
        <v>1</v>
      </c>
      <c r="G38" s="39" t="b">
        <f>TRUE()</f>
        <v>1</v>
      </c>
      <c r="H38" s="39" t="s">
        <v>195</v>
      </c>
    </row>
    <row r="39" spans="1:8" x14ac:dyDescent="0.45">
      <c r="A39" s="27"/>
      <c r="B39" s="42" t="s">
        <v>196</v>
      </c>
      <c r="C39" s="42" t="s">
        <v>141</v>
      </c>
      <c r="D39" s="42"/>
      <c r="E39" s="42"/>
      <c r="F39" s="42" t="b">
        <f>TRUE()</f>
        <v>1</v>
      </c>
      <c r="G39" s="42" t="b">
        <f>TRUE()</f>
        <v>1</v>
      </c>
      <c r="H39" s="42" t="s">
        <v>197</v>
      </c>
    </row>
    <row r="40" spans="1:8" x14ac:dyDescent="0.45">
      <c r="A40" s="27"/>
      <c r="B40" s="42" t="s">
        <v>198</v>
      </c>
      <c r="C40" s="42" t="s">
        <v>141</v>
      </c>
      <c r="D40" s="42"/>
      <c r="E40" s="42"/>
      <c r="F40" s="42" t="b">
        <f>TRUE()</f>
        <v>1</v>
      </c>
      <c r="G40" s="42" t="b">
        <f>TRUE()</f>
        <v>1</v>
      </c>
      <c r="H40" s="42" t="s">
        <v>199</v>
      </c>
    </row>
    <row r="41" spans="1:8" x14ac:dyDescent="0.45">
      <c r="A41" s="27"/>
      <c r="B41" s="42" t="s">
        <v>200</v>
      </c>
      <c r="C41" s="42" t="s">
        <v>141</v>
      </c>
      <c r="D41" s="42"/>
      <c r="E41" s="42"/>
      <c r="F41" s="42" t="b">
        <f>TRUE()</f>
        <v>1</v>
      </c>
      <c r="G41" s="42" t="b">
        <f>TRUE()</f>
        <v>1</v>
      </c>
      <c r="H41" s="42" t="s">
        <v>201</v>
      </c>
    </row>
    <row r="42" spans="1:8" x14ac:dyDescent="0.45">
      <c r="A42" s="27"/>
      <c r="B42" s="42" t="s">
        <v>202</v>
      </c>
      <c r="C42" s="42" t="s">
        <v>141</v>
      </c>
      <c r="D42" s="42"/>
      <c r="E42" s="42"/>
      <c r="F42" s="42" t="b">
        <f>TRUE()</f>
        <v>1</v>
      </c>
      <c r="G42" s="42" t="b">
        <f>TRUE()</f>
        <v>1</v>
      </c>
      <c r="H42" s="42" t="s">
        <v>203</v>
      </c>
    </row>
    <row r="43" spans="1:8" x14ac:dyDescent="0.45">
      <c r="A43" s="27"/>
      <c r="B43" s="42" t="s">
        <v>204</v>
      </c>
      <c r="C43" s="42" t="s">
        <v>141</v>
      </c>
      <c r="D43" s="42"/>
      <c r="E43" s="42"/>
      <c r="F43" s="42" t="b">
        <f>TRUE()</f>
        <v>1</v>
      </c>
      <c r="G43" s="42" t="b">
        <f>TRUE()</f>
        <v>1</v>
      </c>
      <c r="H43" s="42" t="s">
        <v>205</v>
      </c>
    </row>
    <row r="44" spans="1:8" x14ac:dyDescent="0.45">
      <c r="A44" s="27"/>
      <c r="B44" s="39" t="s">
        <v>206</v>
      </c>
      <c r="C44" s="39" t="s">
        <v>141</v>
      </c>
      <c r="D44" s="39"/>
      <c r="E44" s="39"/>
      <c r="F44" s="39" t="b">
        <f>TRUE()</f>
        <v>1</v>
      </c>
      <c r="G44" s="39" t="b">
        <f>TRUE()</f>
        <v>1</v>
      </c>
      <c r="H44" s="39" t="s">
        <v>207</v>
      </c>
    </row>
    <row r="45" spans="1:8" x14ac:dyDescent="0.45">
      <c r="A45" s="27"/>
      <c r="B45" s="39" t="s">
        <v>208</v>
      </c>
      <c r="C45" s="39" t="s">
        <v>141</v>
      </c>
      <c r="D45" s="39"/>
      <c r="E45" s="39"/>
      <c r="F45" s="39" t="b">
        <f>TRUE()</f>
        <v>1</v>
      </c>
      <c r="G45" s="39" t="b">
        <f>TRUE()</f>
        <v>1</v>
      </c>
      <c r="H45" s="39" t="s">
        <v>209</v>
      </c>
    </row>
    <row r="46" spans="1:8" x14ac:dyDescent="0.45">
      <c r="A46" s="27"/>
      <c r="B46" s="39" t="s">
        <v>210</v>
      </c>
      <c r="C46" s="39" t="s">
        <v>141</v>
      </c>
      <c r="D46" s="39"/>
      <c r="E46" s="39"/>
      <c r="F46" s="39" t="b">
        <f>TRUE()</f>
        <v>1</v>
      </c>
      <c r="G46" s="39" t="b">
        <f>TRUE()</f>
        <v>1</v>
      </c>
      <c r="H46" s="39" t="s">
        <v>211</v>
      </c>
    </row>
    <row r="47" spans="1:8" x14ac:dyDescent="0.45">
      <c r="A47" s="27"/>
      <c r="B47" s="39" t="s">
        <v>212</v>
      </c>
      <c r="C47" s="39" t="s">
        <v>141</v>
      </c>
      <c r="D47" s="39"/>
      <c r="E47" s="39"/>
      <c r="F47" s="39" t="b">
        <f>TRUE()</f>
        <v>1</v>
      </c>
      <c r="G47" s="39" t="b">
        <f>TRUE()</f>
        <v>1</v>
      </c>
      <c r="H47" s="39" t="s">
        <v>213</v>
      </c>
    </row>
    <row r="48" spans="1:8" x14ac:dyDescent="0.45">
      <c r="A48" s="27"/>
      <c r="B48" s="41" t="s">
        <v>214</v>
      </c>
    </row>
    <row r="49" spans="1:8" x14ac:dyDescent="0.45">
      <c r="A49" s="27"/>
      <c r="B49" s="39" t="s">
        <v>215</v>
      </c>
      <c r="C49" s="39" t="s">
        <v>141</v>
      </c>
      <c r="D49" s="39"/>
      <c r="E49" s="39"/>
      <c r="F49" s="39" t="b">
        <f>FALSE()</f>
        <v>0</v>
      </c>
      <c r="G49" s="39" t="b">
        <f>FALSE()</f>
        <v>0</v>
      </c>
      <c r="H49" s="39" t="s">
        <v>216</v>
      </c>
    </row>
    <row r="50" spans="1:8" x14ac:dyDescent="0.45">
      <c r="A50" s="27"/>
      <c r="B50" s="39" t="s">
        <v>217</v>
      </c>
      <c r="C50" s="39" t="s">
        <v>155</v>
      </c>
      <c r="D50" s="39"/>
      <c r="E50" s="39"/>
      <c r="F50" s="39">
        <v>2027</v>
      </c>
      <c r="G50" s="39">
        <v>2027</v>
      </c>
      <c r="H50" s="39" t="s">
        <v>218</v>
      </c>
    </row>
    <row r="51" spans="1:8" x14ac:dyDescent="0.45">
      <c r="A51" s="27"/>
      <c r="B51" s="39" t="s">
        <v>219</v>
      </c>
      <c r="C51" s="39" t="s">
        <v>155</v>
      </c>
      <c r="D51" s="39"/>
      <c r="E51" s="39"/>
      <c r="F51" s="39">
        <v>5</v>
      </c>
      <c r="G51" s="39">
        <v>5</v>
      </c>
      <c r="H51" s="39" t="s">
        <v>220</v>
      </c>
    </row>
    <row r="52" spans="1:8" x14ac:dyDescent="0.45">
      <c r="A52" s="27"/>
      <c r="B52" s="41" t="s">
        <v>221</v>
      </c>
    </row>
    <row r="53" spans="1:8" x14ac:dyDescent="0.45">
      <c r="A53" s="27"/>
      <c r="B53" s="39" t="s">
        <v>222</v>
      </c>
      <c r="C53" s="40"/>
      <c r="D53" s="39"/>
      <c r="E53" s="39"/>
      <c r="F53" s="39">
        <v>2027</v>
      </c>
      <c r="G53" s="39">
        <v>2027</v>
      </c>
      <c r="H53" s="39" t="s">
        <v>223</v>
      </c>
    </row>
    <row r="54" spans="1:8" x14ac:dyDescent="0.45">
      <c r="A54" s="27"/>
      <c r="B54" s="39" t="s">
        <v>224</v>
      </c>
      <c r="C54" s="40"/>
      <c r="D54" s="39"/>
      <c r="E54" s="39"/>
      <c r="F54" s="39">
        <v>2035</v>
      </c>
      <c r="G54" s="39">
        <v>2035</v>
      </c>
      <c r="H54" s="39" t="s">
        <v>225</v>
      </c>
    </row>
    <row r="55" spans="1:8" x14ac:dyDescent="0.45">
      <c r="A55" s="27"/>
      <c r="B55" s="41" t="s">
        <v>226</v>
      </c>
    </row>
    <row r="56" spans="1:8" x14ac:dyDescent="0.45">
      <c r="A56" s="27"/>
      <c r="B56" s="39" t="s">
        <v>227</v>
      </c>
      <c r="C56" s="39" t="s">
        <v>228</v>
      </c>
      <c r="D56" s="39"/>
      <c r="E56" s="39"/>
      <c r="F56" s="39">
        <v>0</v>
      </c>
      <c r="G56" s="39">
        <v>0</v>
      </c>
      <c r="H56" s="39" t="s">
        <v>229</v>
      </c>
    </row>
    <row r="57" spans="1:8" x14ac:dyDescent="0.45">
      <c r="A57" s="27"/>
      <c r="B57" s="39" t="s">
        <v>230</v>
      </c>
      <c r="C57" s="39" t="s">
        <v>228</v>
      </c>
      <c r="D57" s="39"/>
      <c r="E57" s="39"/>
      <c r="F57" s="39">
        <v>0</v>
      </c>
      <c r="G57" s="39">
        <v>0</v>
      </c>
      <c r="H57" s="39" t="s">
        <v>231</v>
      </c>
    </row>
    <row r="58" spans="1:8" x14ac:dyDescent="0.45">
      <c r="A58" s="27"/>
      <c r="B58" s="39" t="s">
        <v>232</v>
      </c>
      <c r="C58" s="39" t="s">
        <v>228</v>
      </c>
      <c r="D58" s="39"/>
      <c r="E58" s="39"/>
      <c r="F58" s="39">
        <v>0</v>
      </c>
      <c r="G58" s="39">
        <v>0</v>
      </c>
      <c r="H58" s="39" t="s">
        <v>233</v>
      </c>
    </row>
    <row r="59" spans="1:8" x14ac:dyDescent="0.45">
      <c r="A59" s="27"/>
      <c r="B59" s="39" t="s">
        <v>234</v>
      </c>
      <c r="C59" s="39" t="s">
        <v>228</v>
      </c>
      <c r="D59" s="39"/>
      <c r="E59" s="40"/>
      <c r="F59" s="39">
        <v>0</v>
      </c>
      <c r="G59" s="39">
        <v>0</v>
      </c>
      <c r="H59" s="39" t="s">
        <v>235</v>
      </c>
    </row>
    <row r="60" spans="1:8" x14ac:dyDescent="0.45">
      <c r="A60" s="27"/>
      <c r="B60" s="41" t="s">
        <v>236</v>
      </c>
    </row>
    <row r="61" spans="1:8" x14ac:dyDescent="0.45">
      <c r="A61" s="27"/>
      <c r="B61" s="39" t="s">
        <v>227</v>
      </c>
      <c r="C61" s="39" t="s">
        <v>228</v>
      </c>
      <c r="D61" s="39"/>
      <c r="E61" s="39"/>
      <c r="F61" s="39">
        <v>0</v>
      </c>
      <c r="G61" s="39">
        <v>0</v>
      </c>
      <c r="H61" s="39" t="s">
        <v>237</v>
      </c>
    </row>
    <row r="62" spans="1:8" x14ac:dyDescent="0.45">
      <c r="A62" s="27"/>
      <c r="B62" s="39" t="s">
        <v>230</v>
      </c>
      <c r="C62" s="39" t="s">
        <v>228</v>
      </c>
      <c r="D62" s="39"/>
      <c r="E62" s="39"/>
      <c r="F62" s="39">
        <v>0</v>
      </c>
      <c r="G62" s="39">
        <v>0</v>
      </c>
      <c r="H62" s="39" t="s">
        <v>238</v>
      </c>
    </row>
    <row r="63" spans="1:8" x14ac:dyDescent="0.45">
      <c r="A63" s="27"/>
      <c r="B63" s="39" t="s">
        <v>232</v>
      </c>
      <c r="C63" s="39" t="s">
        <v>228</v>
      </c>
      <c r="D63" s="39"/>
      <c r="E63" s="39"/>
      <c r="F63" s="39">
        <v>0</v>
      </c>
      <c r="G63" s="39">
        <v>0</v>
      </c>
      <c r="H63" s="39" t="s">
        <v>239</v>
      </c>
    </row>
    <row r="64" spans="1:8" x14ac:dyDescent="0.45">
      <c r="A64" s="27"/>
      <c r="B64" s="39" t="s">
        <v>234</v>
      </c>
      <c r="C64" s="39" t="s">
        <v>228</v>
      </c>
      <c r="D64" s="39"/>
      <c r="E64" s="40"/>
      <c r="F64" s="39">
        <v>0</v>
      </c>
      <c r="G64" s="39">
        <v>0</v>
      </c>
      <c r="H64" s="39" t="s">
        <v>240</v>
      </c>
    </row>
    <row r="65" spans="2:8" x14ac:dyDescent="0.45">
      <c r="B65" s="41" t="s">
        <v>241</v>
      </c>
    </row>
    <row r="66" spans="2:8" x14ac:dyDescent="0.45">
      <c r="B66" s="39" t="s">
        <v>180</v>
      </c>
      <c r="C66" s="39" t="s">
        <v>141</v>
      </c>
      <c r="D66" s="39"/>
      <c r="E66" s="39"/>
      <c r="F66" s="39" t="b">
        <f>FALSE()</f>
        <v>0</v>
      </c>
      <c r="G66" s="39" t="b">
        <f>TRUE()</f>
        <v>1</v>
      </c>
      <c r="H66" s="40"/>
    </row>
    <row r="67" spans="2:8" x14ac:dyDescent="0.45">
      <c r="B67" s="39" t="s">
        <v>182</v>
      </c>
      <c r="C67" s="40"/>
      <c r="D67" s="39"/>
      <c r="E67" s="39"/>
      <c r="F67" s="39" t="b">
        <f>FALSE()</f>
        <v>0</v>
      </c>
      <c r="G67" s="39" t="b">
        <f>FALSE()</f>
        <v>0</v>
      </c>
      <c r="H67" s="40"/>
    </row>
    <row r="68" spans="2:8" x14ac:dyDescent="0.45">
      <c r="B68" s="39" t="s">
        <v>184</v>
      </c>
      <c r="C68" s="40"/>
      <c r="D68" s="39"/>
      <c r="E68" s="39"/>
      <c r="F68" s="39" t="b">
        <f>FALSE()</f>
        <v>0</v>
      </c>
      <c r="G68" s="39" t="b">
        <f>FALSE()</f>
        <v>0</v>
      </c>
      <c r="H68" s="40"/>
    </row>
    <row r="69" spans="2:8" x14ac:dyDescent="0.45">
      <c r="B69" s="39" t="s">
        <v>186</v>
      </c>
      <c r="C69" s="40"/>
      <c r="D69" s="39"/>
      <c r="E69" s="39"/>
      <c r="F69" s="39" t="b">
        <f>FALSE()</f>
        <v>0</v>
      </c>
      <c r="G69" s="39" t="b">
        <f>FALSE()</f>
        <v>0</v>
      </c>
      <c r="H69" s="40"/>
    </row>
    <row r="70" spans="2:8" x14ac:dyDescent="0.45">
      <c r="B70" s="39" t="s">
        <v>188</v>
      </c>
      <c r="C70" s="40"/>
      <c r="D70" s="39"/>
      <c r="E70" s="39"/>
      <c r="F70" s="39" t="b">
        <f>FALSE()</f>
        <v>0</v>
      </c>
      <c r="G70" s="39" t="b">
        <f>FALSE()</f>
        <v>0</v>
      </c>
      <c r="H70" s="40"/>
    </row>
    <row r="71" spans="2:8" x14ac:dyDescent="0.45">
      <c r="B71" s="39" t="s">
        <v>190</v>
      </c>
      <c r="C71" s="39" t="s">
        <v>141</v>
      </c>
      <c r="D71" s="39"/>
      <c r="E71" s="39"/>
      <c r="F71" s="39" t="b">
        <f>FALSE()</f>
        <v>0</v>
      </c>
      <c r="G71" s="39" t="b">
        <f>TRUE()</f>
        <v>1</v>
      </c>
      <c r="H71" s="40"/>
    </row>
    <row r="72" spans="2:8" x14ac:dyDescent="0.45">
      <c r="B72" s="39" t="s">
        <v>192</v>
      </c>
      <c r="C72" s="40"/>
      <c r="D72" s="39"/>
      <c r="E72" s="39"/>
      <c r="F72" s="39" t="b">
        <f>FALSE()</f>
        <v>0</v>
      </c>
      <c r="G72" s="39" t="b">
        <f>TRUE()</f>
        <v>1</v>
      </c>
      <c r="H72" s="40"/>
    </row>
    <row r="73" spans="2:8" x14ac:dyDescent="0.45">
      <c r="B73" s="39" t="s">
        <v>194</v>
      </c>
      <c r="C73" s="40"/>
      <c r="D73" s="39"/>
      <c r="E73" s="39"/>
      <c r="F73" s="39" t="b">
        <f>FALSE()</f>
        <v>0</v>
      </c>
      <c r="G73" s="39" t="b">
        <f>TRUE()</f>
        <v>1</v>
      </c>
      <c r="H73" s="40"/>
    </row>
    <row r="74" spans="2:8" x14ac:dyDescent="0.45">
      <c r="B74" s="39" t="s">
        <v>196</v>
      </c>
      <c r="C74" s="40"/>
      <c r="D74" s="39"/>
      <c r="E74" s="39"/>
      <c r="F74" s="39" t="b">
        <f>TRUE()</f>
        <v>1</v>
      </c>
      <c r="G74" s="39" t="b">
        <f>TRUE()</f>
        <v>1</v>
      </c>
      <c r="H74" s="40"/>
    </row>
    <row r="75" spans="2:8" x14ac:dyDescent="0.45">
      <c r="B75" s="39" t="s">
        <v>198</v>
      </c>
      <c r="C75" s="40"/>
      <c r="D75" s="39"/>
      <c r="E75" s="39"/>
      <c r="F75" s="39" t="b">
        <f>FALSE()</f>
        <v>0</v>
      </c>
      <c r="G75" s="39" t="b">
        <f>TRUE()</f>
        <v>1</v>
      </c>
      <c r="H75" s="40"/>
    </row>
    <row r="76" spans="2:8" x14ac:dyDescent="0.45">
      <c r="B76" s="39" t="s">
        <v>200</v>
      </c>
      <c r="C76" s="40"/>
      <c r="D76" s="39"/>
      <c r="E76" s="39"/>
      <c r="F76" s="39" t="b">
        <f>TRUE()</f>
        <v>1</v>
      </c>
      <c r="G76" s="39" t="b">
        <f>TRUE()</f>
        <v>1</v>
      </c>
      <c r="H76" s="40"/>
    </row>
    <row r="77" spans="2:8" x14ac:dyDescent="0.45">
      <c r="B77" s="39" t="s">
        <v>202</v>
      </c>
      <c r="C77" s="40"/>
      <c r="D77" s="39"/>
      <c r="E77" s="39"/>
      <c r="F77" s="39" t="b">
        <f>TRUE()</f>
        <v>1</v>
      </c>
      <c r="G77" s="39" t="b">
        <f>TRUE()</f>
        <v>1</v>
      </c>
      <c r="H77" s="40"/>
    </row>
    <row r="78" spans="2:8" x14ac:dyDescent="0.45">
      <c r="B78" s="39" t="s">
        <v>204</v>
      </c>
      <c r="C78" s="40"/>
      <c r="D78" s="39"/>
      <c r="E78" s="39"/>
      <c r="F78" s="39" t="b">
        <f>TRUE()</f>
        <v>1</v>
      </c>
      <c r="G78" s="39" t="b">
        <f>TRUE()</f>
        <v>1</v>
      </c>
      <c r="H78" s="40"/>
    </row>
    <row r="79" spans="2:8" x14ac:dyDescent="0.45">
      <c r="B79" s="39" t="s">
        <v>206</v>
      </c>
      <c r="C79" s="40"/>
      <c r="D79" s="39"/>
      <c r="E79" s="39"/>
      <c r="F79" s="39" t="b">
        <f>TRUE()</f>
        <v>1</v>
      </c>
      <c r="G79" s="39" t="b">
        <f>TRUE()</f>
        <v>1</v>
      </c>
      <c r="H79" s="40"/>
    </row>
    <row r="80" spans="2:8" x14ac:dyDescent="0.45">
      <c r="B80" s="39" t="s">
        <v>208</v>
      </c>
      <c r="C80" s="40"/>
      <c r="D80" s="39"/>
      <c r="E80" s="39"/>
      <c r="F80" s="39" t="b">
        <f>TRUE()</f>
        <v>1</v>
      </c>
      <c r="G80" s="39" t="b">
        <f>TRUE()</f>
        <v>1</v>
      </c>
      <c r="H80" s="40"/>
    </row>
    <row r="81" spans="1:8" x14ac:dyDescent="0.45">
      <c r="B81" s="39" t="s">
        <v>210</v>
      </c>
      <c r="C81" s="40"/>
      <c r="D81" s="39"/>
      <c r="E81" s="39"/>
      <c r="F81" s="39" t="b">
        <f>TRUE()</f>
        <v>1</v>
      </c>
      <c r="G81" s="39" t="b">
        <f>TRUE()</f>
        <v>1</v>
      </c>
      <c r="H81" s="40"/>
    </row>
    <row r="82" spans="1:8" x14ac:dyDescent="0.45">
      <c r="B82" s="39" t="s">
        <v>212</v>
      </c>
      <c r="C82" s="40"/>
      <c r="D82" s="39"/>
      <c r="E82" s="39"/>
      <c r="F82" s="39" t="b">
        <f>TRUE()</f>
        <v>1</v>
      </c>
      <c r="G82" s="39" t="b">
        <f>TRUE()</f>
        <v>1</v>
      </c>
      <c r="H82" s="40"/>
    </row>
    <row r="83" spans="1:8" x14ac:dyDescent="0.45">
      <c r="A83" s="27"/>
      <c r="B83" s="41" t="s">
        <v>242</v>
      </c>
    </row>
    <row r="84" spans="1:8" x14ac:dyDescent="0.45">
      <c r="B84" s="42" t="s">
        <v>243</v>
      </c>
      <c r="C84" s="43"/>
      <c r="D84" s="42"/>
      <c r="E84" s="42"/>
      <c r="F84" s="42" t="s">
        <v>244</v>
      </c>
      <c r="G84" s="42" t="s">
        <v>244</v>
      </c>
      <c r="H84" s="42" t="s">
        <v>245</v>
      </c>
    </row>
    <row r="85" spans="1:8" x14ac:dyDescent="0.45">
      <c r="B85" s="39" t="s">
        <v>246</v>
      </c>
      <c r="C85" s="40"/>
      <c r="D85" s="39"/>
      <c r="E85" s="39"/>
      <c r="F85" s="39">
        <v>0</v>
      </c>
      <c r="G85" s="39">
        <v>0</v>
      </c>
      <c r="H85" s="39" t="s">
        <v>247</v>
      </c>
    </row>
    <row r="86" spans="1:8" x14ac:dyDescent="0.45">
      <c r="B86" s="39" t="s">
        <v>248</v>
      </c>
      <c r="C86" s="40"/>
      <c r="D86" s="39"/>
      <c r="E86" s="39"/>
      <c r="F86" s="39">
        <v>0</v>
      </c>
      <c r="G86" s="39">
        <v>0</v>
      </c>
      <c r="H86" s="39" t="s">
        <v>249</v>
      </c>
    </row>
    <row r="87" spans="1:8" x14ac:dyDescent="0.45">
      <c r="B87" s="39" t="s">
        <v>250</v>
      </c>
      <c r="C87" s="40"/>
      <c r="D87" s="39"/>
      <c r="E87" s="39"/>
      <c r="F87" s="39" t="s">
        <v>251</v>
      </c>
      <c r="G87" s="39" t="s">
        <v>252</v>
      </c>
      <c r="H87" s="39" t="s">
        <v>253</v>
      </c>
    </row>
    <row r="88" spans="1:8" x14ac:dyDescent="0.45">
      <c r="B88" s="39" t="s">
        <v>254</v>
      </c>
      <c r="C88" s="40"/>
      <c r="D88" s="39"/>
      <c r="E88" s="39"/>
      <c r="F88" s="39">
        <v>2027</v>
      </c>
      <c r="G88" s="39">
        <v>2026</v>
      </c>
      <c r="H88" s="39" t="s">
        <v>255</v>
      </c>
    </row>
    <row r="89" spans="1:8" x14ac:dyDescent="0.45">
      <c r="B89" s="39" t="s">
        <v>256</v>
      </c>
      <c r="C89" s="40"/>
      <c r="D89" s="39"/>
      <c r="E89" s="39"/>
      <c r="F89" s="39">
        <v>2035</v>
      </c>
      <c r="G89" s="39">
        <v>2035</v>
      </c>
      <c r="H89" s="39" t="s">
        <v>257</v>
      </c>
    </row>
    <row r="90" spans="1:8" x14ac:dyDescent="0.45">
      <c r="B90" s="39" t="s">
        <v>258</v>
      </c>
      <c r="C90" s="40"/>
      <c r="D90" s="39"/>
      <c r="E90" s="39"/>
      <c r="F90" s="39">
        <v>0</v>
      </c>
      <c r="G90" s="39">
        <v>0</v>
      </c>
      <c r="H90" s="39" t="s">
        <v>259</v>
      </c>
    </row>
    <row r="91" spans="1:8" x14ac:dyDescent="0.45">
      <c r="B91" s="39" t="s">
        <v>260</v>
      </c>
      <c r="C91" s="40"/>
      <c r="D91" s="39"/>
      <c r="E91" s="39"/>
      <c r="F91" s="39">
        <v>0</v>
      </c>
      <c r="G91" s="39">
        <v>1</v>
      </c>
      <c r="H91" s="39" t="s">
        <v>261</v>
      </c>
    </row>
    <row r="92" spans="1:8" x14ac:dyDescent="0.45">
      <c r="B92" s="39" t="s">
        <v>262</v>
      </c>
      <c r="C92" s="40"/>
      <c r="D92" s="39"/>
      <c r="E92" s="39"/>
      <c r="F92" s="39" t="s">
        <v>251</v>
      </c>
      <c r="G92" s="39" t="s">
        <v>251</v>
      </c>
      <c r="H92" s="39" t="s">
        <v>263</v>
      </c>
    </row>
    <row r="93" spans="1:8" x14ac:dyDescent="0.45">
      <c r="B93" s="39" t="s">
        <v>264</v>
      </c>
      <c r="C93" s="40"/>
      <c r="D93" s="39"/>
      <c r="E93" s="39"/>
      <c r="F93" s="39" t="s">
        <v>244</v>
      </c>
      <c r="G93" s="39" t="s">
        <v>244</v>
      </c>
      <c r="H93" s="39" t="s">
        <v>265</v>
      </c>
    </row>
    <row r="94" spans="1:8" x14ac:dyDescent="0.45">
      <c r="B94" s="41" t="s">
        <v>266</v>
      </c>
    </row>
    <row r="95" spans="1:8" x14ac:dyDescent="0.45">
      <c r="B95" s="39" t="s">
        <v>267</v>
      </c>
      <c r="C95" s="40"/>
      <c r="D95" s="39"/>
      <c r="E95" s="39"/>
      <c r="F95" s="39" t="s">
        <v>268</v>
      </c>
      <c r="G95" s="39" t="s">
        <v>268</v>
      </c>
      <c r="H95" s="39" t="s">
        <v>269</v>
      </c>
    </row>
    <row r="96" spans="1:8" x14ac:dyDescent="0.45">
      <c r="B96" s="39" t="s">
        <v>270</v>
      </c>
      <c r="C96" s="40"/>
      <c r="D96" s="39"/>
      <c r="E96" s="39"/>
      <c r="F96" s="39" t="s">
        <v>268</v>
      </c>
      <c r="G96" s="39" t="s">
        <v>268</v>
      </c>
      <c r="H96" s="39" t="s">
        <v>271</v>
      </c>
    </row>
    <row r="97" spans="2:8" x14ac:dyDescent="0.45">
      <c r="B97" s="39" t="s">
        <v>272</v>
      </c>
      <c r="C97" s="40"/>
      <c r="D97" s="39"/>
      <c r="E97" s="39"/>
      <c r="F97" s="39">
        <v>0.2</v>
      </c>
      <c r="G97" s="39">
        <v>0.2</v>
      </c>
      <c r="H97" s="39" t="s">
        <v>273</v>
      </c>
    </row>
    <row r="98" spans="2:8" x14ac:dyDescent="0.45">
      <c r="B98" s="41" t="s">
        <v>274</v>
      </c>
    </row>
    <row r="99" spans="2:8" x14ac:dyDescent="0.45">
      <c r="B99" s="39" t="s">
        <v>275</v>
      </c>
      <c r="C99" s="39" t="s">
        <v>141</v>
      </c>
      <c r="D99" s="39"/>
      <c r="E99" s="39"/>
      <c r="F99" s="39" t="b">
        <f>TRUE()</f>
        <v>1</v>
      </c>
      <c r="G99" s="39" t="b">
        <f>TRUE()</f>
        <v>1</v>
      </c>
      <c r="H99" s="40"/>
    </row>
    <row r="100" spans="2:8" x14ac:dyDescent="0.45">
      <c r="B100" s="39" t="s">
        <v>276</v>
      </c>
      <c r="C100" s="40"/>
      <c r="D100" s="39"/>
      <c r="E100" s="39"/>
      <c r="F100" s="39" t="b">
        <f>FALSE()</f>
        <v>0</v>
      </c>
      <c r="G100" s="39" t="b">
        <f>TRUE()</f>
        <v>1</v>
      </c>
      <c r="H100" s="40"/>
    </row>
    <row r="101" spans="2:8" x14ac:dyDescent="0.45">
      <c r="B101" s="39" t="s">
        <v>277</v>
      </c>
      <c r="C101" s="40"/>
      <c r="D101" s="39"/>
      <c r="E101" s="39"/>
      <c r="F101" s="39" t="b">
        <f>FALSE()</f>
        <v>0</v>
      </c>
      <c r="G101" s="39" t="b">
        <f>TRUE()</f>
        <v>1</v>
      </c>
      <c r="H101" s="40"/>
    </row>
    <row r="102" spans="2:8" x14ac:dyDescent="0.45">
      <c r="B102" s="39" t="s">
        <v>278</v>
      </c>
      <c r="C102" s="40"/>
      <c r="D102" s="39"/>
      <c r="E102" s="39"/>
      <c r="F102" s="39" t="b">
        <f>FALSE()</f>
        <v>0</v>
      </c>
      <c r="G102" s="39" t="b">
        <f>TRUE()</f>
        <v>1</v>
      </c>
      <c r="H102" s="40"/>
    </row>
    <row r="103" spans="2:8" x14ac:dyDescent="0.45">
      <c r="B103" s="39" t="s">
        <v>279</v>
      </c>
      <c r="C103" s="40"/>
      <c r="D103" s="39"/>
      <c r="E103" s="39"/>
      <c r="F103" s="39" t="b">
        <f>FALSE()</f>
        <v>0</v>
      </c>
      <c r="G103" s="39" t="b">
        <f>TRUE()</f>
        <v>1</v>
      </c>
      <c r="H103" s="40"/>
    </row>
    <row r="104" spans="2:8" x14ac:dyDescent="0.45">
      <c r="B104" s="39" t="s">
        <v>280</v>
      </c>
      <c r="C104" s="39" t="s">
        <v>141</v>
      </c>
      <c r="D104" s="39"/>
      <c r="E104" s="39"/>
      <c r="F104" s="39" t="b">
        <f>FALSE()</f>
        <v>0</v>
      </c>
      <c r="G104" s="39" t="b">
        <f>TRUE()</f>
        <v>1</v>
      </c>
      <c r="H104" s="40"/>
    </row>
    <row r="105" spans="2:8" x14ac:dyDescent="0.45">
      <c r="B105" s="39" t="s">
        <v>281</v>
      </c>
      <c r="C105" s="40"/>
      <c r="D105" s="39"/>
      <c r="E105" s="39"/>
      <c r="F105" s="39" t="b">
        <f>FALSE()</f>
        <v>0</v>
      </c>
      <c r="G105" s="39" t="b">
        <f>TRUE()</f>
        <v>1</v>
      </c>
      <c r="H105" s="40"/>
    </row>
    <row r="106" spans="2:8" x14ac:dyDescent="0.45">
      <c r="B106" s="39" t="s">
        <v>282</v>
      </c>
      <c r="C106" s="40"/>
      <c r="D106" s="39"/>
      <c r="E106" s="39"/>
      <c r="F106" s="39" t="b">
        <f>FALSE()</f>
        <v>0</v>
      </c>
      <c r="G106" s="39" t="b">
        <f>TRUE()</f>
        <v>1</v>
      </c>
      <c r="H106" s="40"/>
    </row>
    <row r="107" spans="2:8" x14ac:dyDescent="0.45">
      <c r="B107" s="42" t="s">
        <v>283</v>
      </c>
      <c r="C107" s="43"/>
      <c r="D107" s="42"/>
      <c r="E107" s="42"/>
      <c r="F107" s="42" t="b">
        <f>TRUE()</f>
        <v>1</v>
      </c>
      <c r="G107" s="42" t="b">
        <f>TRUE()</f>
        <v>1</v>
      </c>
      <c r="H107" s="43"/>
    </row>
    <row r="108" spans="2:8" x14ac:dyDescent="0.45">
      <c r="B108" s="42" t="s">
        <v>284</v>
      </c>
      <c r="C108" s="43"/>
      <c r="D108" s="42"/>
      <c r="E108" s="42"/>
      <c r="F108" s="42" t="b">
        <f>TRUE()</f>
        <v>1</v>
      </c>
      <c r="G108" s="42" t="b">
        <f>TRUE()</f>
        <v>1</v>
      </c>
      <c r="H108" s="43"/>
    </row>
    <row r="109" spans="2:8" x14ac:dyDescent="0.45">
      <c r="B109" s="42" t="s">
        <v>285</v>
      </c>
      <c r="C109" s="43"/>
      <c r="D109" s="42"/>
      <c r="E109" s="42"/>
      <c r="F109" s="42" t="b">
        <f>TRUE()</f>
        <v>1</v>
      </c>
      <c r="G109" s="42" t="b">
        <f>TRUE()</f>
        <v>1</v>
      </c>
      <c r="H109" s="43"/>
    </row>
    <row r="110" spans="2:8" x14ac:dyDescent="0.45">
      <c r="B110" s="42" t="s">
        <v>286</v>
      </c>
      <c r="C110" s="43"/>
      <c r="D110" s="42"/>
      <c r="E110" s="42"/>
      <c r="F110" s="42" t="b">
        <f>FALSE()</f>
        <v>0</v>
      </c>
      <c r="G110" s="42" t="b">
        <f>TRUE()</f>
        <v>1</v>
      </c>
      <c r="H110" s="43"/>
    </row>
    <row r="111" spans="2:8" x14ac:dyDescent="0.45">
      <c r="B111" s="42" t="s">
        <v>287</v>
      </c>
      <c r="C111" s="43"/>
      <c r="D111" s="42"/>
      <c r="E111" s="42"/>
      <c r="F111" s="42" t="b">
        <f>TRUE()</f>
        <v>1</v>
      </c>
      <c r="G111" s="42" t="b">
        <f>TRUE()</f>
        <v>1</v>
      </c>
      <c r="H111" s="43"/>
    </row>
    <row r="112" spans="2:8" x14ac:dyDescent="0.45">
      <c r="B112" s="39" t="s">
        <v>288</v>
      </c>
      <c r="C112" s="40"/>
      <c r="D112" s="39"/>
      <c r="E112" s="39"/>
      <c r="F112" s="39" t="b">
        <f>FALSE()</f>
        <v>0</v>
      </c>
      <c r="G112" s="39" t="b">
        <f>TRUE()</f>
        <v>1</v>
      </c>
      <c r="H112" s="40"/>
    </row>
    <row r="113" spans="1:8" x14ac:dyDescent="0.45">
      <c r="B113" s="39" t="s">
        <v>289</v>
      </c>
      <c r="C113" s="40"/>
      <c r="D113" s="39"/>
      <c r="E113" s="39"/>
      <c r="F113" s="39" t="b">
        <f>FALSE()</f>
        <v>0</v>
      </c>
      <c r="G113" s="39" t="b">
        <f>TRUE()</f>
        <v>1</v>
      </c>
      <c r="H113" s="40"/>
    </row>
    <row r="114" spans="1:8" x14ac:dyDescent="0.45">
      <c r="B114" s="39" t="s">
        <v>290</v>
      </c>
      <c r="C114" s="40"/>
      <c r="D114" s="39"/>
      <c r="E114" s="39"/>
      <c r="F114" s="39" t="b">
        <f>FALSE()</f>
        <v>0</v>
      </c>
      <c r="G114" s="39" t="b">
        <f>TRUE()</f>
        <v>1</v>
      </c>
      <c r="H114" s="40"/>
    </row>
    <row r="115" spans="1:8" x14ac:dyDescent="0.45">
      <c r="B115" s="39" t="s">
        <v>291</v>
      </c>
      <c r="C115" s="40"/>
      <c r="D115" s="39"/>
      <c r="E115" s="39"/>
      <c r="F115" s="39" t="b">
        <f>FALSE()</f>
        <v>0</v>
      </c>
      <c r="G115" s="39" t="b">
        <f>TRUE()</f>
        <v>1</v>
      </c>
      <c r="H115" s="40"/>
    </row>
    <row r="116" spans="1:8" x14ac:dyDescent="0.45">
      <c r="B116" s="41" t="s">
        <v>292</v>
      </c>
    </row>
    <row r="117" spans="1:8" x14ac:dyDescent="0.45">
      <c r="B117" s="42" t="s">
        <v>283</v>
      </c>
      <c r="C117" s="43"/>
      <c r="D117" s="42"/>
      <c r="E117" s="42"/>
      <c r="F117" s="42" t="b">
        <f>'Manual inputs'!H$22</f>
        <v>0</v>
      </c>
      <c r="G117" s="42" t="b">
        <f>TRUE()</f>
        <v>1</v>
      </c>
      <c r="H117" s="43"/>
    </row>
    <row r="118" spans="1:8" x14ac:dyDescent="0.45">
      <c r="B118" s="42" t="s">
        <v>284</v>
      </c>
      <c r="C118" s="43"/>
      <c r="D118" s="42"/>
      <c r="E118" s="42"/>
      <c r="F118" s="42" t="b">
        <f>'Manual inputs'!I$22</f>
        <v>0</v>
      </c>
      <c r="G118" s="42" t="b">
        <f>TRUE()</f>
        <v>1</v>
      </c>
      <c r="H118" s="43"/>
    </row>
    <row r="119" spans="1:8" x14ac:dyDescent="0.45">
      <c r="B119" s="42" t="s">
        <v>285</v>
      </c>
      <c r="C119" s="43"/>
      <c r="D119" s="42"/>
      <c r="E119" s="42"/>
      <c r="F119" s="42" t="b">
        <f>'Manual inputs'!J$22</f>
        <v>0</v>
      </c>
      <c r="G119" s="42" t="b">
        <f>TRUE()</f>
        <v>1</v>
      </c>
      <c r="H119" s="43"/>
    </row>
    <row r="120" spans="1:8" x14ac:dyDescent="0.45">
      <c r="B120" s="42" t="s">
        <v>286</v>
      </c>
      <c r="C120" s="43"/>
      <c r="D120" s="42"/>
      <c r="E120" s="42"/>
      <c r="F120" s="42" t="b">
        <f>'Manual inputs'!K$22</f>
        <v>0</v>
      </c>
      <c r="G120" s="42" t="b">
        <f>FALSE()</f>
        <v>0</v>
      </c>
      <c r="H120" s="43"/>
    </row>
    <row r="121" spans="1:8" x14ac:dyDescent="0.45">
      <c r="B121" s="42" t="s">
        <v>287</v>
      </c>
      <c r="C121" s="43"/>
      <c r="D121" s="42"/>
      <c r="E121" s="42"/>
      <c r="F121" s="42" t="b">
        <f>'Manual inputs'!L$22</f>
        <v>0</v>
      </c>
      <c r="G121" s="42" t="b">
        <f>TRUE()</f>
        <v>1</v>
      </c>
      <c r="H121" s="43"/>
    </row>
    <row r="122" spans="1:8" x14ac:dyDescent="0.45">
      <c r="A122" s="27"/>
      <c r="B122" s="41" t="s">
        <v>293</v>
      </c>
    </row>
    <row r="123" spans="1:8" x14ac:dyDescent="0.45">
      <c r="A123" s="27"/>
      <c r="B123" s="39" t="s">
        <v>294</v>
      </c>
      <c r="C123" s="39" t="s">
        <v>295</v>
      </c>
      <c r="D123" s="39"/>
      <c r="E123" s="39"/>
      <c r="F123" s="39" t="b">
        <f>FALSE()</f>
        <v>0</v>
      </c>
      <c r="G123" s="39" t="b">
        <f>FALSE()</f>
        <v>0</v>
      </c>
      <c r="H123" s="39" t="s">
        <v>296</v>
      </c>
    </row>
    <row r="124" spans="1:8" x14ac:dyDescent="0.45">
      <c r="A124" s="27"/>
      <c r="B124" s="39" t="s">
        <v>297</v>
      </c>
      <c r="C124" s="39" t="s">
        <v>155</v>
      </c>
      <c r="D124" s="39"/>
      <c r="E124" s="39"/>
      <c r="F124" s="39">
        <v>2027</v>
      </c>
      <c r="G124" s="39">
        <v>2027</v>
      </c>
      <c r="H124" s="39" t="s">
        <v>298</v>
      </c>
    </row>
    <row r="125" spans="1:8" x14ac:dyDescent="0.45">
      <c r="A125" s="27"/>
      <c r="B125" s="39" t="s">
        <v>299</v>
      </c>
      <c r="C125" s="39" t="s">
        <v>155</v>
      </c>
      <c r="D125" s="39"/>
      <c r="E125" s="39"/>
      <c r="F125" s="39">
        <v>5</v>
      </c>
      <c r="G125" s="39">
        <v>5</v>
      </c>
      <c r="H125" s="39" t="s">
        <v>300</v>
      </c>
    </row>
    <row r="126" spans="1:8" x14ac:dyDescent="0.45">
      <c r="A126" s="27"/>
      <c r="B126" s="39" t="s">
        <v>301</v>
      </c>
      <c r="C126" s="39" t="s">
        <v>84</v>
      </c>
      <c r="D126" s="39"/>
      <c r="E126" s="39"/>
      <c r="F126" s="39">
        <v>1</v>
      </c>
      <c r="G126" s="39">
        <v>1</v>
      </c>
      <c r="H126" s="39" t="s">
        <v>302</v>
      </c>
    </row>
    <row r="127" spans="1:8" x14ac:dyDescent="0.45">
      <c r="A127" s="27"/>
      <c r="B127" s="39" t="s">
        <v>303</v>
      </c>
      <c r="C127" s="39" t="s">
        <v>304</v>
      </c>
      <c r="D127" s="39"/>
      <c r="E127" s="39"/>
      <c r="F127" s="39" t="s">
        <v>244</v>
      </c>
      <c r="G127" s="39" t="s">
        <v>244</v>
      </c>
      <c r="H127" s="39" t="s">
        <v>305</v>
      </c>
    </row>
    <row r="128" spans="1:8" x14ac:dyDescent="0.45">
      <c r="A128" s="27"/>
      <c r="B128" s="39" t="s">
        <v>306</v>
      </c>
      <c r="C128" s="39" t="s">
        <v>155</v>
      </c>
      <c r="D128" s="39"/>
      <c r="E128" s="39"/>
      <c r="F128" s="39">
        <v>5</v>
      </c>
      <c r="G128" s="39">
        <v>5</v>
      </c>
      <c r="H128" s="39" t="s">
        <v>307</v>
      </c>
    </row>
    <row r="129" spans="1:8" x14ac:dyDescent="0.45">
      <c r="A129" s="27"/>
      <c r="B129" s="39" t="s">
        <v>308</v>
      </c>
      <c r="C129" s="39" t="s">
        <v>84</v>
      </c>
      <c r="D129" s="39"/>
      <c r="E129" s="39"/>
      <c r="F129" s="39">
        <v>0</v>
      </c>
      <c r="G129" s="39">
        <v>0</v>
      </c>
      <c r="H129" s="39" t="s">
        <v>309</v>
      </c>
    </row>
    <row r="130" spans="1:8" x14ac:dyDescent="0.45">
      <c r="A130" s="27"/>
      <c r="B130" s="41" t="s">
        <v>310</v>
      </c>
    </row>
    <row r="131" spans="1:8" x14ac:dyDescent="0.45">
      <c r="A131" s="27"/>
      <c r="B131" s="39" t="s">
        <v>311</v>
      </c>
      <c r="C131" s="39" t="s">
        <v>295</v>
      </c>
      <c r="D131" s="39"/>
      <c r="E131" s="39"/>
      <c r="F131" s="39" t="b">
        <f>FALSE()</f>
        <v>0</v>
      </c>
      <c r="G131" s="39" t="b">
        <f>FALSE()</f>
        <v>0</v>
      </c>
      <c r="H131" s="39" t="s">
        <v>312</v>
      </c>
    </row>
    <row r="132" spans="1:8" x14ac:dyDescent="0.45">
      <c r="A132" s="27"/>
      <c r="B132" s="39" t="s">
        <v>313</v>
      </c>
      <c r="C132" s="39" t="s">
        <v>155</v>
      </c>
      <c r="D132" s="39"/>
      <c r="E132" s="39"/>
      <c r="F132" s="39">
        <v>2027</v>
      </c>
      <c r="G132" s="39">
        <v>2027</v>
      </c>
      <c r="H132" s="39" t="s">
        <v>314</v>
      </c>
    </row>
    <row r="133" spans="1:8" x14ac:dyDescent="0.45">
      <c r="A133" s="27"/>
      <c r="B133" s="39" t="s">
        <v>315</v>
      </c>
      <c r="C133" s="39" t="s">
        <v>155</v>
      </c>
      <c r="D133" s="39"/>
      <c r="E133" s="39"/>
      <c r="F133" s="39">
        <v>5</v>
      </c>
      <c r="G133" s="39">
        <v>5</v>
      </c>
      <c r="H133" s="39" t="s">
        <v>316</v>
      </c>
    </row>
    <row r="134" spans="1:8" x14ac:dyDescent="0.45">
      <c r="A134" s="27"/>
      <c r="B134" s="39" t="s">
        <v>317</v>
      </c>
      <c r="C134" s="39" t="s">
        <v>84</v>
      </c>
      <c r="D134" s="39"/>
      <c r="E134" s="39"/>
      <c r="F134" s="39">
        <v>1</v>
      </c>
      <c r="G134" s="39">
        <v>1</v>
      </c>
      <c r="H134" s="39" t="s">
        <v>318</v>
      </c>
    </row>
    <row r="135" spans="1:8" x14ac:dyDescent="0.45">
      <c r="A135" s="27"/>
      <c r="B135" s="39" t="s">
        <v>319</v>
      </c>
      <c r="C135" s="39" t="s">
        <v>304</v>
      </c>
      <c r="D135" s="39"/>
      <c r="E135" s="39"/>
      <c r="F135" s="39" t="s">
        <v>244</v>
      </c>
      <c r="G135" s="39" t="s">
        <v>244</v>
      </c>
      <c r="H135" s="39" t="s">
        <v>320</v>
      </c>
    </row>
    <row r="136" spans="1:8" x14ac:dyDescent="0.45">
      <c r="A136" s="27"/>
      <c r="B136" s="39" t="s">
        <v>321</v>
      </c>
      <c r="C136" s="39" t="s">
        <v>155</v>
      </c>
      <c r="D136" s="39"/>
      <c r="E136" s="39"/>
      <c r="F136" s="39">
        <v>5</v>
      </c>
      <c r="G136" s="39">
        <v>5</v>
      </c>
      <c r="H136" s="39" t="s">
        <v>322</v>
      </c>
    </row>
    <row r="137" spans="1:8" x14ac:dyDescent="0.45">
      <c r="A137" s="27"/>
      <c r="B137" s="39" t="s">
        <v>323</v>
      </c>
      <c r="C137" s="39" t="s">
        <v>84</v>
      </c>
      <c r="D137" s="39"/>
      <c r="E137" s="39"/>
      <c r="F137" s="39">
        <v>0</v>
      </c>
      <c r="G137" s="39">
        <v>0</v>
      </c>
      <c r="H137" s="39" t="s">
        <v>324</v>
      </c>
    </row>
    <row r="138" spans="1:8" x14ac:dyDescent="0.45">
      <c r="A138" s="27"/>
      <c r="B138" s="39" t="s">
        <v>325</v>
      </c>
      <c r="C138" s="39" t="s">
        <v>326</v>
      </c>
      <c r="D138" s="39"/>
      <c r="E138" s="39"/>
      <c r="F138" s="39" t="s">
        <v>327</v>
      </c>
      <c r="G138" s="39" t="s">
        <v>327</v>
      </c>
      <c r="H138" s="39" t="s">
        <v>328</v>
      </c>
    </row>
    <row r="139" spans="1:8" x14ac:dyDescent="0.45">
      <c r="B139" s="41" t="s">
        <v>329</v>
      </c>
    </row>
    <row r="140" spans="1:8" x14ac:dyDescent="0.45">
      <c r="B140" s="39" t="s">
        <v>330</v>
      </c>
      <c r="C140" s="40"/>
      <c r="D140" s="39"/>
      <c r="E140" s="39"/>
      <c r="F140" s="39">
        <v>2027</v>
      </c>
      <c r="G140" s="39">
        <v>2027</v>
      </c>
      <c r="H140" s="40"/>
    </row>
    <row r="141" spans="1:8" x14ac:dyDescent="0.45">
      <c r="B141" s="39" t="s">
        <v>331</v>
      </c>
      <c r="C141" s="40"/>
      <c r="D141" s="39"/>
      <c r="E141" s="39"/>
      <c r="F141" s="39">
        <v>2035</v>
      </c>
      <c r="G141" s="39">
        <v>2035</v>
      </c>
      <c r="H141" s="40"/>
    </row>
    <row r="142" spans="1:8" x14ac:dyDescent="0.45">
      <c r="B142" s="39" t="s">
        <v>332</v>
      </c>
      <c r="C142" s="40"/>
      <c r="D142" s="39"/>
      <c r="E142" s="39"/>
      <c r="F142" s="39">
        <v>0</v>
      </c>
      <c r="G142" s="39">
        <v>0</v>
      </c>
      <c r="H142" s="40"/>
    </row>
    <row r="143" spans="1:8" x14ac:dyDescent="0.45">
      <c r="B143" s="39" t="s">
        <v>333</v>
      </c>
      <c r="C143" s="40"/>
      <c r="D143" s="39"/>
      <c r="E143" s="39"/>
      <c r="F143" s="39">
        <v>0</v>
      </c>
      <c r="G143" s="39">
        <v>0</v>
      </c>
      <c r="H143" s="40"/>
    </row>
    <row r="144" spans="1:8" x14ac:dyDescent="0.45">
      <c r="B144" s="39" t="s">
        <v>334</v>
      </c>
      <c r="C144" s="40"/>
      <c r="D144" s="39"/>
      <c r="E144" s="39"/>
      <c r="F144" s="39">
        <v>0</v>
      </c>
      <c r="G144" s="39">
        <v>0</v>
      </c>
      <c r="H144" s="40"/>
    </row>
    <row r="145" spans="2:8" x14ac:dyDescent="0.45">
      <c r="B145" s="39" t="s">
        <v>335</v>
      </c>
      <c r="C145" s="40"/>
      <c r="D145" s="39"/>
      <c r="E145" s="39"/>
      <c r="F145" s="39">
        <v>0</v>
      </c>
      <c r="G145" s="39">
        <v>0</v>
      </c>
      <c r="H145" s="40"/>
    </row>
    <row r="146" spans="2:8" x14ac:dyDescent="0.45">
      <c r="B146" s="39" t="s">
        <v>336</v>
      </c>
      <c r="C146" s="40"/>
      <c r="D146" s="39"/>
      <c r="E146" s="39"/>
      <c r="F146" s="39">
        <v>0</v>
      </c>
      <c r="G146" s="39">
        <v>0</v>
      </c>
      <c r="H146" s="40"/>
    </row>
    <row r="147" spans="2:8" x14ac:dyDescent="0.45">
      <c r="B147" s="39" t="s">
        <v>337</v>
      </c>
      <c r="C147" s="40"/>
      <c r="D147" s="39"/>
      <c r="E147" s="39"/>
      <c r="F147" s="39">
        <v>0</v>
      </c>
      <c r="G147" s="39">
        <v>0</v>
      </c>
      <c r="H147" s="40"/>
    </row>
    <row r="148" spans="2:8" x14ac:dyDescent="0.45">
      <c r="B148" s="39" t="s">
        <v>338</v>
      </c>
      <c r="C148" s="40"/>
      <c r="D148" s="39"/>
      <c r="E148" s="39"/>
      <c r="F148" s="39">
        <v>0</v>
      </c>
      <c r="G148" s="39">
        <v>0</v>
      </c>
      <c r="H148" s="40"/>
    </row>
    <row r="149" spans="2:8" x14ac:dyDescent="0.45">
      <c r="B149" s="39" t="s">
        <v>339</v>
      </c>
      <c r="C149" s="40"/>
      <c r="D149" s="39"/>
      <c r="E149" s="39"/>
      <c r="F149" s="39">
        <v>0</v>
      </c>
      <c r="G149" s="39">
        <v>0</v>
      </c>
      <c r="H149" s="40"/>
    </row>
    <row r="150" spans="2:8" x14ac:dyDescent="0.45">
      <c r="B150" s="39" t="s">
        <v>340</v>
      </c>
      <c r="C150" s="40"/>
      <c r="D150" s="39"/>
      <c r="E150" s="39"/>
      <c r="F150" s="39">
        <v>0</v>
      </c>
      <c r="G150" s="39">
        <v>0</v>
      </c>
      <c r="H150" s="40"/>
    </row>
    <row r="151" spans="2:8" x14ac:dyDescent="0.45">
      <c r="B151" s="39" t="s">
        <v>341</v>
      </c>
      <c r="C151" s="40"/>
      <c r="D151" s="39"/>
      <c r="E151" s="39"/>
      <c r="F151" s="39">
        <v>0</v>
      </c>
      <c r="G151" s="39">
        <v>0</v>
      </c>
      <c r="H151" s="40"/>
    </row>
    <row r="152" spans="2:8" x14ac:dyDescent="0.45">
      <c r="B152" s="39" t="s">
        <v>342</v>
      </c>
      <c r="C152" s="40"/>
      <c r="D152" s="39"/>
      <c r="E152" s="39"/>
      <c r="F152" s="39">
        <v>0</v>
      </c>
      <c r="G152" s="39">
        <v>0</v>
      </c>
      <c r="H152" s="40"/>
    </row>
    <row r="153" spans="2:8" x14ac:dyDescent="0.45">
      <c r="B153" s="39" t="s">
        <v>343</v>
      </c>
      <c r="C153" s="40"/>
      <c r="D153" s="39"/>
      <c r="E153" s="39"/>
      <c r="F153" s="39">
        <v>0</v>
      </c>
      <c r="G153" s="39">
        <v>0</v>
      </c>
      <c r="H153" s="40"/>
    </row>
    <row r="154" spans="2:8" x14ac:dyDescent="0.45">
      <c r="B154" s="39" t="s">
        <v>344</v>
      </c>
      <c r="C154" s="40"/>
      <c r="D154" s="39"/>
      <c r="E154" s="39"/>
      <c r="F154" s="39">
        <v>0</v>
      </c>
      <c r="G154" s="39">
        <v>0</v>
      </c>
      <c r="H154" s="40"/>
    </row>
    <row r="155" spans="2:8" x14ac:dyDescent="0.45">
      <c r="B155" s="39" t="s">
        <v>345</v>
      </c>
      <c r="C155" s="40"/>
      <c r="D155" s="39"/>
      <c r="E155" s="39"/>
      <c r="F155" s="39">
        <v>0</v>
      </c>
      <c r="G155" s="39">
        <v>0</v>
      </c>
      <c r="H155" s="40"/>
    </row>
    <row r="156" spans="2:8" x14ac:dyDescent="0.45">
      <c r="B156" s="39" t="s">
        <v>346</v>
      </c>
      <c r="C156" s="40"/>
      <c r="D156" s="39"/>
      <c r="E156" s="39"/>
      <c r="F156" s="39">
        <v>0</v>
      </c>
      <c r="G156" s="39">
        <v>0</v>
      </c>
      <c r="H156" s="40"/>
    </row>
    <row r="157" spans="2:8" x14ac:dyDescent="0.45">
      <c r="B157" s="39" t="s">
        <v>347</v>
      </c>
      <c r="C157" s="40"/>
      <c r="D157" s="39"/>
      <c r="E157" s="39"/>
      <c r="F157" s="39">
        <v>0</v>
      </c>
      <c r="G157" s="39">
        <v>0</v>
      </c>
      <c r="H157" s="40"/>
    </row>
    <row r="158" spans="2:8" x14ac:dyDescent="0.45">
      <c r="B158" s="39" t="s">
        <v>348</v>
      </c>
      <c r="C158" s="40"/>
      <c r="D158" s="39"/>
      <c r="E158" s="39"/>
      <c r="F158" s="39">
        <v>0</v>
      </c>
      <c r="G158" s="39">
        <v>0</v>
      </c>
      <c r="H158" s="40"/>
    </row>
    <row r="159" spans="2:8" x14ac:dyDescent="0.45">
      <c r="B159" s="39" t="s">
        <v>349</v>
      </c>
      <c r="C159" s="40"/>
      <c r="D159" s="39"/>
      <c r="E159" s="39"/>
      <c r="F159" s="39">
        <v>0</v>
      </c>
      <c r="G159" s="39">
        <v>0</v>
      </c>
      <c r="H159" s="40"/>
    </row>
    <row r="160" spans="2:8" x14ac:dyDescent="0.45">
      <c r="B160" s="39" t="s">
        <v>350</v>
      </c>
      <c r="C160" s="40"/>
      <c r="D160" s="39"/>
      <c r="E160" s="39"/>
      <c r="F160" s="39">
        <v>0</v>
      </c>
      <c r="G160" s="39">
        <v>0</v>
      </c>
      <c r="H160" s="40"/>
    </row>
    <row r="161" spans="2:8" x14ac:dyDescent="0.45">
      <c r="B161" s="39" t="s">
        <v>351</v>
      </c>
      <c r="C161" s="40"/>
      <c r="D161" s="39"/>
      <c r="E161" s="39"/>
      <c r="F161" s="39">
        <v>0</v>
      </c>
      <c r="G161" s="39">
        <v>0</v>
      </c>
      <c r="H161" s="40"/>
    </row>
    <row r="162" spans="2:8" x14ac:dyDescent="0.45">
      <c r="B162" s="39" t="s">
        <v>352</v>
      </c>
      <c r="C162" s="40"/>
      <c r="D162" s="39"/>
      <c r="E162" s="39"/>
      <c r="F162" s="39">
        <v>0</v>
      </c>
      <c r="G162" s="39">
        <v>0</v>
      </c>
      <c r="H162" s="40"/>
    </row>
    <row r="163" spans="2:8" x14ac:dyDescent="0.45">
      <c r="B163" s="39" t="s">
        <v>353</v>
      </c>
      <c r="C163" s="40"/>
      <c r="D163" s="39"/>
      <c r="E163" s="39"/>
      <c r="F163" s="39">
        <v>0</v>
      </c>
      <c r="G163" s="39">
        <v>0</v>
      </c>
      <c r="H163" s="40"/>
    </row>
    <row r="164" spans="2:8" x14ac:dyDescent="0.45">
      <c r="B164" s="39" t="s">
        <v>354</v>
      </c>
      <c r="C164" s="40"/>
      <c r="D164" s="39"/>
      <c r="E164" s="39"/>
      <c r="F164" s="39">
        <v>0</v>
      </c>
      <c r="G164" s="39">
        <v>0</v>
      </c>
      <c r="H164" s="40"/>
    </row>
    <row r="165" spans="2:8" x14ac:dyDescent="0.45">
      <c r="B165" s="39" t="s">
        <v>355</v>
      </c>
      <c r="C165" s="40"/>
      <c r="D165" s="39"/>
      <c r="E165" s="39"/>
      <c r="F165" s="39">
        <v>0</v>
      </c>
      <c r="G165" s="39">
        <v>0</v>
      </c>
      <c r="H165" s="40"/>
    </row>
    <row r="166" spans="2:8" x14ac:dyDescent="0.45">
      <c r="B166" s="39" t="s">
        <v>356</v>
      </c>
      <c r="C166" s="40"/>
      <c r="D166" s="39"/>
      <c r="E166" s="39"/>
      <c r="F166" s="39">
        <v>0</v>
      </c>
      <c r="G166" s="39">
        <v>0</v>
      </c>
      <c r="H166" s="40"/>
    </row>
    <row r="167" spans="2:8" x14ac:dyDescent="0.45">
      <c r="B167" s="39" t="s">
        <v>357</v>
      </c>
      <c r="C167" s="40"/>
      <c r="D167" s="39"/>
      <c r="E167" s="39"/>
      <c r="F167" s="39">
        <v>0</v>
      </c>
      <c r="G167" s="39">
        <v>0</v>
      </c>
      <c r="H167" s="40"/>
    </row>
    <row r="168" spans="2:8" x14ac:dyDescent="0.45">
      <c r="B168" s="39" t="s">
        <v>358</v>
      </c>
      <c r="C168" s="40"/>
      <c r="D168" s="39"/>
      <c r="E168" s="39"/>
      <c r="F168" s="39">
        <v>0</v>
      </c>
      <c r="G168" s="39">
        <v>0</v>
      </c>
      <c r="H168" s="40"/>
    </row>
    <row r="169" spans="2:8" x14ac:dyDescent="0.45">
      <c r="B169" s="39" t="s">
        <v>359</v>
      </c>
      <c r="C169" s="40"/>
      <c r="D169" s="39"/>
      <c r="E169" s="39"/>
      <c r="F169" s="39">
        <v>0</v>
      </c>
      <c r="G169" s="39">
        <v>0</v>
      </c>
      <c r="H169" s="40"/>
    </row>
    <row r="170" spans="2:8" x14ac:dyDescent="0.45">
      <c r="B170" s="39" t="s">
        <v>360</v>
      </c>
      <c r="C170" s="40"/>
      <c r="D170" s="39"/>
      <c r="E170" s="39"/>
      <c r="F170" s="39" t="s">
        <v>51</v>
      </c>
      <c r="G170" s="39" t="s">
        <v>51</v>
      </c>
      <c r="H170" s="40"/>
    </row>
    <row r="171" spans="2:8" x14ac:dyDescent="0.45">
      <c r="B171" s="39" t="s">
        <v>361</v>
      </c>
      <c r="C171" s="40"/>
      <c r="D171" s="39"/>
      <c r="E171" s="39"/>
      <c r="F171" s="39" t="s">
        <v>51</v>
      </c>
      <c r="G171" s="39" t="s">
        <v>51</v>
      </c>
      <c r="H171" s="40"/>
    </row>
    <row r="172" spans="2:8" x14ac:dyDescent="0.45">
      <c r="B172" s="39" t="s">
        <v>362</v>
      </c>
      <c r="C172" s="40"/>
      <c r="D172" s="39"/>
      <c r="E172" s="39"/>
      <c r="F172" s="39" t="s">
        <v>51</v>
      </c>
      <c r="G172" s="39" t="s">
        <v>51</v>
      </c>
      <c r="H172" s="40"/>
    </row>
    <row r="173" spans="2:8" x14ac:dyDescent="0.45">
      <c r="B173" s="39" t="s">
        <v>363</v>
      </c>
      <c r="C173" s="40"/>
      <c r="D173" s="39"/>
      <c r="E173" s="39"/>
      <c r="F173" s="39" t="s">
        <v>51</v>
      </c>
      <c r="G173" s="39" t="s">
        <v>51</v>
      </c>
      <c r="H173" s="40"/>
    </row>
    <row r="174" spans="2:8" x14ac:dyDescent="0.45">
      <c r="B174" s="39" t="s">
        <v>364</v>
      </c>
      <c r="C174" s="40"/>
      <c r="D174" s="39"/>
      <c r="E174" s="39"/>
      <c r="F174" s="39" t="s">
        <v>51</v>
      </c>
      <c r="G174" s="39" t="s">
        <v>51</v>
      </c>
      <c r="H174" s="40"/>
    </row>
    <row r="175" spans="2:8" x14ac:dyDescent="0.45">
      <c r="B175" s="39" t="s">
        <v>365</v>
      </c>
      <c r="C175" s="40"/>
      <c r="D175" s="39"/>
      <c r="E175" s="39"/>
      <c r="F175" s="39" t="s">
        <v>51</v>
      </c>
      <c r="G175" s="39" t="s">
        <v>51</v>
      </c>
      <c r="H175" s="40"/>
    </row>
    <row r="176" spans="2:8" x14ac:dyDescent="0.45">
      <c r="B176" s="39" t="s">
        <v>366</v>
      </c>
      <c r="C176" s="40"/>
      <c r="D176" s="39"/>
      <c r="E176" s="39"/>
      <c r="F176" s="39" t="s">
        <v>71</v>
      </c>
      <c r="G176" s="39" t="s">
        <v>71</v>
      </c>
      <c r="H176" s="40"/>
    </row>
    <row r="177" spans="1:8" x14ac:dyDescent="0.45">
      <c r="B177" s="39" t="s">
        <v>367</v>
      </c>
      <c r="C177" s="40"/>
      <c r="D177" s="39"/>
      <c r="E177" s="39"/>
      <c r="F177" s="39" t="s">
        <v>71</v>
      </c>
      <c r="G177" s="39" t="s">
        <v>71</v>
      </c>
      <c r="H177" s="40"/>
    </row>
    <row r="178" spans="1:8" x14ac:dyDescent="0.45">
      <c r="B178" s="39" t="s">
        <v>368</v>
      </c>
      <c r="C178" s="40"/>
      <c r="D178" s="39"/>
      <c r="E178" s="39"/>
      <c r="F178" s="39" t="s">
        <v>57</v>
      </c>
      <c r="G178" s="39" t="s">
        <v>57</v>
      </c>
      <c r="H178" s="40"/>
    </row>
    <row r="179" spans="1:8" x14ac:dyDescent="0.45">
      <c r="B179" s="39" t="s">
        <v>369</v>
      </c>
      <c r="C179" s="40"/>
      <c r="D179" s="39"/>
      <c r="E179" s="39"/>
      <c r="F179" s="39" t="s">
        <v>57</v>
      </c>
      <c r="G179" s="39" t="s">
        <v>57</v>
      </c>
      <c r="H179" s="40"/>
    </row>
    <row r="180" spans="1:8" x14ac:dyDescent="0.45">
      <c r="B180" s="39" t="s">
        <v>370</v>
      </c>
      <c r="C180" s="40"/>
      <c r="D180" s="39"/>
      <c r="E180" s="39"/>
      <c r="F180" s="39" t="s">
        <v>57</v>
      </c>
      <c r="G180" s="39" t="s">
        <v>57</v>
      </c>
      <c r="H180" s="40"/>
    </row>
    <row r="181" spans="1:8" x14ac:dyDescent="0.45">
      <c r="B181" s="39" t="s">
        <v>371</v>
      </c>
      <c r="C181" s="40"/>
      <c r="D181" s="39"/>
      <c r="E181" s="39"/>
      <c r="F181" s="39" t="s">
        <v>57</v>
      </c>
      <c r="G181" s="39" t="s">
        <v>57</v>
      </c>
      <c r="H181" s="40"/>
    </row>
    <row r="182" spans="1:8" x14ac:dyDescent="0.45">
      <c r="B182" s="39" t="s">
        <v>372</v>
      </c>
      <c r="C182" s="40"/>
      <c r="D182" s="39"/>
      <c r="E182" s="39"/>
      <c r="F182" s="39" t="s">
        <v>373</v>
      </c>
      <c r="G182" s="39" t="s">
        <v>57</v>
      </c>
      <c r="H182" s="40"/>
    </row>
    <row r="183" spans="1:8" x14ac:dyDescent="0.45">
      <c r="B183" s="39" t="s">
        <v>374</v>
      </c>
      <c r="C183" s="40"/>
      <c r="D183" s="39"/>
      <c r="E183" s="39"/>
      <c r="F183" s="39" t="s">
        <v>51</v>
      </c>
      <c r="G183" s="39" t="s">
        <v>57</v>
      </c>
      <c r="H183" s="40"/>
    </row>
    <row r="184" spans="1:8" x14ac:dyDescent="0.45">
      <c r="A184" s="27"/>
      <c r="B184" s="41" t="s">
        <v>375</v>
      </c>
    </row>
    <row r="185" spans="1:8" x14ac:dyDescent="0.45">
      <c r="A185" s="27"/>
      <c r="B185" s="39" t="s">
        <v>376</v>
      </c>
      <c r="C185" s="39" t="s">
        <v>141</v>
      </c>
      <c r="D185" s="39"/>
      <c r="E185" s="39"/>
      <c r="F185" s="39" t="s">
        <v>244</v>
      </c>
      <c r="G185" s="39" t="s">
        <v>244</v>
      </c>
      <c r="H185" s="39" t="s">
        <v>377</v>
      </c>
    </row>
    <row r="186" spans="1:8" x14ac:dyDescent="0.45">
      <c r="A186" s="27"/>
      <c r="B186" s="39" t="s">
        <v>378</v>
      </c>
      <c r="C186" s="39" t="s">
        <v>155</v>
      </c>
      <c r="D186" s="39"/>
      <c r="E186" s="39"/>
      <c r="F186" s="39">
        <v>2027</v>
      </c>
      <c r="G186" s="39">
        <v>2027</v>
      </c>
      <c r="H186" s="39" t="s">
        <v>379</v>
      </c>
    </row>
    <row r="187" spans="1:8" x14ac:dyDescent="0.45">
      <c r="A187" s="27"/>
      <c r="B187" s="39" t="s">
        <v>380</v>
      </c>
      <c r="C187" s="39" t="s">
        <v>381</v>
      </c>
      <c r="D187" s="39"/>
      <c r="E187" s="39"/>
      <c r="F187" s="39">
        <v>0</v>
      </c>
      <c r="G187" s="39">
        <v>0</v>
      </c>
      <c r="H187" s="39" t="s">
        <v>382</v>
      </c>
    </row>
    <row r="188" spans="1:8" x14ac:dyDescent="0.45">
      <c r="A188" s="27"/>
      <c r="B188" s="39" t="s">
        <v>383</v>
      </c>
      <c r="C188" s="39" t="s">
        <v>381</v>
      </c>
      <c r="D188" s="39"/>
      <c r="E188" s="39"/>
      <c r="F188" s="39">
        <v>0</v>
      </c>
      <c r="G188" s="39">
        <v>0</v>
      </c>
      <c r="H188" s="39" t="s">
        <v>384</v>
      </c>
    </row>
    <row r="189" spans="1:8" x14ac:dyDescent="0.45">
      <c r="A189" s="27"/>
      <c r="B189" s="39" t="s">
        <v>385</v>
      </c>
      <c r="C189" s="39" t="s">
        <v>155</v>
      </c>
      <c r="D189" s="39"/>
      <c r="E189" s="39"/>
      <c r="F189" s="39">
        <v>2030</v>
      </c>
      <c r="G189" s="39">
        <v>2030</v>
      </c>
      <c r="H189" s="39" t="s">
        <v>386</v>
      </c>
    </row>
    <row r="190" spans="1:8" x14ac:dyDescent="0.45">
      <c r="A190" s="27"/>
      <c r="B190" s="41" t="s">
        <v>387</v>
      </c>
    </row>
    <row r="191" spans="1:8" x14ac:dyDescent="0.45">
      <c r="A191" s="27"/>
      <c r="B191" s="39" t="s">
        <v>388</v>
      </c>
      <c r="C191" s="39" t="s">
        <v>141</v>
      </c>
      <c r="D191" s="39"/>
      <c r="E191" s="39"/>
      <c r="F191" s="39" t="b">
        <f>FALSE()</f>
        <v>0</v>
      </c>
      <c r="G191" s="39" t="b">
        <f>FALSE()</f>
        <v>0</v>
      </c>
      <c r="H191" s="39" t="s">
        <v>389</v>
      </c>
    </row>
    <row r="192" spans="1:8" x14ac:dyDescent="0.45">
      <c r="A192" s="27"/>
      <c r="B192" s="39" t="s">
        <v>390</v>
      </c>
      <c r="C192" s="39" t="s">
        <v>155</v>
      </c>
      <c r="D192" s="39"/>
      <c r="E192" s="39"/>
      <c r="F192" s="39">
        <v>2027</v>
      </c>
      <c r="G192" s="39">
        <v>2027</v>
      </c>
      <c r="H192" s="39" t="s">
        <v>391</v>
      </c>
    </row>
    <row r="193" spans="1:8" x14ac:dyDescent="0.45">
      <c r="A193" s="27"/>
      <c r="B193" s="39" t="s">
        <v>392</v>
      </c>
      <c r="C193" s="39" t="s">
        <v>155</v>
      </c>
      <c r="D193" s="39"/>
      <c r="E193" s="39"/>
      <c r="F193" s="39">
        <v>5</v>
      </c>
      <c r="G193" s="39">
        <v>5</v>
      </c>
      <c r="H193" s="39" t="s">
        <v>393</v>
      </c>
    </row>
    <row r="194" spans="1:8" x14ac:dyDescent="0.45">
      <c r="A194" s="27"/>
      <c r="B194" s="39" t="s">
        <v>394</v>
      </c>
      <c r="C194" s="39" t="s">
        <v>141</v>
      </c>
      <c r="D194" s="39"/>
      <c r="E194" s="39"/>
      <c r="F194" s="39" t="s">
        <v>395</v>
      </c>
      <c r="G194" s="39" t="s">
        <v>395</v>
      </c>
      <c r="H194" s="39" t="s">
        <v>396</v>
      </c>
    </row>
    <row r="195" spans="1:8" x14ac:dyDescent="0.45">
      <c r="A195" s="27"/>
      <c r="B195" s="39" t="s">
        <v>397</v>
      </c>
      <c r="C195" s="39" t="s">
        <v>141</v>
      </c>
      <c r="D195" s="39"/>
      <c r="E195" s="39"/>
      <c r="F195" s="39" t="s">
        <v>244</v>
      </c>
      <c r="G195" s="39" t="s">
        <v>244</v>
      </c>
      <c r="H195" s="39" t="s">
        <v>398</v>
      </c>
    </row>
    <row r="196" spans="1:8" x14ac:dyDescent="0.45">
      <c r="A196" s="27"/>
      <c r="B196" s="41" t="s">
        <v>399</v>
      </c>
    </row>
    <row r="197" spans="1:8" x14ac:dyDescent="0.45">
      <c r="A197" s="27"/>
      <c r="B197" s="39" t="s">
        <v>400</v>
      </c>
      <c r="C197" s="39" t="s">
        <v>401</v>
      </c>
      <c r="D197" s="39"/>
      <c r="E197" s="39"/>
      <c r="F197" s="39">
        <v>30</v>
      </c>
      <c r="G197" s="39">
        <v>30</v>
      </c>
      <c r="H197" s="39" t="s">
        <v>402</v>
      </c>
    </row>
    <row r="198" spans="1:8" x14ac:dyDescent="0.45">
      <c r="A198" s="27"/>
      <c r="B198" s="39" t="s">
        <v>403</v>
      </c>
      <c r="C198" s="39" t="s">
        <v>401</v>
      </c>
      <c r="D198" s="39"/>
      <c r="E198" s="39"/>
      <c r="F198" s="39">
        <v>0</v>
      </c>
      <c r="G198" s="39">
        <v>0</v>
      </c>
      <c r="H198" s="39" t="s">
        <v>404</v>
      </c>
    </row>
    <row r="199" spans="1:8" x14ac:dyDescent="0.45">
      <c r="A199" s="27"/>
      <c r="B199" s="39" t="s">
        <v>405</v>
      </c>
      <c r="C199" s="39" t="s">
        <v>401</v>
      </c>
      <c r="D199" s="39"/>
      <c r="E199" s="39"/>
      <c r="F199" s="39">
        <v>50</v>
      </c>
      <c r="G199" s="39">
        <v>50</v>
      </c>
      <c r="H199" s="39" t="s">
        <v>406</v>
      </c>
    </row>
    <row r="200" spans="1:8" x14ac:dyDescent="0.45">
      <c r="A200" s="27"/>
      <c r="B200" s="39" t="s">
        <v>407</v>
      </c>
      <c r="C200" s="39" t="s">
        <v>401</v>
      </c>
      <c r="D200" s="39"/>
      <c r="E200" s="39"/>
      <c r="F200" s="39">
        <v>0</v>
      </c>
      <c r="G200" s="39">
        <v>0</v>
      </c>
      <c r="H200" s="39" t="s">
        <v>408</v>
      </c>
    </row>
    <row r="201" spans="1:8" x14ac:dyDescent="0.45">
      <c r="A201" s="27"/>
      <c r="B201" s="39" t="s">
        <v>409</v>
      </c>
      <c r="C201" s="39" t="s">
        <v>401</v>
      </c>
      <c r="D201" s="39"/>
      <c r="E201" s="39"/>
      <c r="F201" s="39">
        <v>20</v>
      </c>
      <c r="G201" s="39">
        <v>20</v>
      </c>
      <c r="H201" s="39" t="s">
        <v>410</v>
      </c>
    </row>
    <row r="202" spans="1:8" x14ac:dyDescent="0.45">
      <c r="A202" s="27"/>
      <c r="B202" s="41" t="s">
        <v>411</v>
      </c>
    </row>
    <row r="203" spans="1:8" x14ac:dyDescent="0.45">
      <c r="A203" s="27"/>
      <c r="B203" s="39" t="s">
        <v>412</v>
      </c>
      <c r="C203" s="39" t="s">
        <v>413</v>
      </c>
      <c r="D203" s="39"/>
      <c r="E203" s="39"/>
      <c r="F203" s="39">
        <v>40</v>
      </c>
      <c r="G203" s="39">
        <v>40</v>
      </c>
      <c r="H203" s="39" t="s">
        <v>414</v>
      </c>
    </row>
    <row r="204" spans="1:8" x14ac:dyDescent="0.45">
      <c r="A204" s="27"/>
      <c r="B204" s="39" t="s">
        <v>415</v>
      </c>
      <c r="C204" s="39" t="s">
        <v>416</v>
      </c>
      <c r="D204" s="39"/>
      <c r="E204" s="39"/>
      <c r="F204" s="39">
        <v>100</v>
      </c>
      <c r="G204" s="39">
        <v>100</v>
      </c>
      <c r="H204" s="39" t="s">
        <v>417</v>
      </c>
    </row>
    <row r="205" spans="1:8" x14ac:dyDescent="0.45">
      <c r="A205" s="27"/>
      <c r="B205" s="39" t="s">
        <v>418</v>
      </c>
      <c r="C205" s="39" t="s">
        <v>419</v>
      </c>
      <c r="D205" s="39"/>
      <c r="E205" s="39"/>
      <c r="F205" s="39">
        <v>0</v>
      </c>
      <c r="G205" s="39">
        <v>0</v>
      </c>
      <c r="H205" s="39" t="s">
        <v>420</v>
      </c>
    </row>
    <row r="206" spans="1:8" x14ac:dyDescent="0.45">
      <c r="A206" s="27"/>
      <c r="B206" s="41" t="s">
        <v>421</v>
      </c>
    </row>
    <row r="207" spans="1:8" x14ac:dyDescent="0.45">
      <c r="A207" s="27" t="s">
        <v>153</v>
      </c>
      <c r="B207" s="39" t="s">
        <v>422</v>
      </c>
      <c r="C207" s="39" t="s">
        <v>141</v>
      </c>
      <c r="D207" s="39"/>
      <c r="E207" s="39"/>
      <c r="F207" s="39" t="s">
        <v>423</v>
      </c>
      <c r="G207" s="39" t="s">
        <v>424</v>
      </c>
      <c r="H207" s="39" t="s">
        <v>425</v>
      </c>
    </row>
    <row r="208" spans="1:8" x14ac:dyDescent="0.45">
      <c r="A208" s="27"/>
      <c r="B208" s="39" t="s">
        <v>426</v>
      </c>
      <c r="C208" s="39" t="s">
        <v>141</v>
      </c>
      <c r="D208" s="39"/>
      <c r="E208" s="39"/>
      <c r="F208" s="39" t="s">
        <v>424</v>
      </c>
      <c r="G208" s="39" t="s">
        <v>424</v>
      </c>
      <c r="H208" s="39" t="s">
        <v>427</v>
      </c>
    </row>
    <row r="209" spans="1:8" x14ac:dyDescent="0.45">
      <c r="A209" s="27"/>
      <c r="B209" s="39" t="s">
        <v>428</v>
      </c>
      <c r="C209" s="39" t="s">
        <v>429</v>
      </c>
      <c r="D209" s="39"/>
      <c r="E209" s="39"/>
      <c r="F209" s="39">
        <v>0</v>
      </c>
      <c r="G209" s="39">
        <v>0</v>
      </c>
      <c r="H209" s="39" t="s">
        <v>430</v>
      </c>
    </row>
    <row r="210" spans="1:8" x14ac:dyDescent="0.45">
      <c r="A210" s="27"/>
      <c r="B210" s="39" t="s">
        <v>431</v>
      </c>
      <c r="C210" s="39" t="s">
        <v>141</v>
      </c>
      <c r="D210" s="39"/>
      <c r="E210" s="39"/>
      <c r="F210" s="39" t="s">
        <v>423</v>
      </c>
      <c r="G210" s="39" t="s">
        <v>423</v>
      </c>
      <c r="H210" s="39" t="s">
        <v>432</v>
      </c>
    </row>
    <row r="211" spans="1:8" x14ac:dyDescent="0.45">
      <c r="A211" s="27"/>
      <c r="B211" s="39" t="s">
        <v>433</v>
      </c>
      <c r="C211" s="39" t="s">
        <v>84</v>
      </c>
      <c r="D211" s="39"/>
      <c r="E211" s="39"/>
      <c r="F211" s="39">
        <v>0.9</v>
      </c>
      <c r="G211" s="39">
        <v>0.9</v>
      </c>
      <c r="H211" s="39" t="s">
        <v>434</v>
      </c>
    </row>
    <row r="212" spans="1:8" x14ac:dyDescent="0.45">
      <c r="A212" s="27"/>
      <c r="B212" s="39" t="s">
        <v>435</v>
      </c>
      <c r="C212" s="39" t="s">
        <v>155</v>
      </c>
      <c r="D212" s="39"/>
      <c r="E212" s="39"/>
      <c r="F212" s="39">
        <v>5</v>
      </c>
      <c r="G212" s="39">
        <v>5</v>
      </c>
      <c r="H212" s="39" t="s">
        <v>436</v>
      </c>
    </row>
    <row r="213" spans="1:8" x14ac:dyDescent="0.45">
      <c r="A213" s="27"/>
      <c r="B213" s="39" t="s">
        <v>437</v>
      </c>
      <c r="C213" s="39" t="s">
        <v>141</v>
      </c>
      <c r="D213" s="39"/>
      <c r="E213" s="39"/>
      <c r="F213" s="39" t="s">
        <v>424</v>
      </c>
      <c r="G213" s="39" t="s">
        <v>424</v>
      </c>
      <c r="H213" s="39" t="s">
        <v>438</v>
      </c>
    </row>
    <row r="214" spans="1:8" x14ac:dyDescent="0.45">
      <c r="A214" s="27"/>
      <c r="B214" s="39" t="s">
        <v>439</v>
      </c>
      <c r="C214" s="39" t="s">
        <v>429</v>
      </c>
      <c r="D214" s="39"/>
      <c r="E214" s="39"/>
      <c r="F214" s="39">
        <v>0</v>
      </c>
      <c r="G214" s="39">
        <v>0</v>
      </c>
      <c r="H214" s="39" t="s">
        <v>440</v>
      </c>
    </row>
    <row r="215" spans="1:8" x14ac:dyDescent="0.45">
      <c r="A215" s="27"/>
      <c r="B215" s="39" t="s">
        <v>441</v>
      </c>
      <c r="C215" s="39" t="s">
        <v>141</v>
      </c>
      <c r="D215" s="39"/>
      <c r="E215" s="39"/>
      <c r="F215" s="39" t="s">
        <v>423</v>
      </c>
      <c r="G215" s="39" t="s">
        <v>423</v>
      </c>
      <c r="H215" s="39" t="s">
        <v>442</v>
      </c>
    </row>
    <row r="216" spans="1:8" x14ac:dyDescent="0.45">
      <c r="B216" s="39" t="s">
        <v>443</v>
      </c>
      <c r="C216" s="39" t="s">
        <v>141</v>
      </c>
      <c r="D216" s="39"/>
      <c r="E216" s="39"/>
      <c r="F216" s="39" t="s">
        <v>424</v>
      </c>
      <c r="G216" s="39" t="s">
        <v>424</v>
      </c>
      <c r="H216" s="39" t="s">
        <v>444</v>
      </c>
    </row>
    <row r="217" spans="1:8" x14ac:dyDescent="0.45">
      <c r="A217" s="27"/>
      <c r="B217" s="39" t="s">
        <v>445</v>
      </c>
      <c r="C217" s="39" t="s">
        <v>141</v>
      </c>
      <c r="D217" s="39"/>
      <c r="E217" s="39"/>
      <c r="F217" s="39" t="s">
        <v>423</v>
      </c>
      <c r="G217" s="39" t="s">
        <v>423</v>
      </c>
      <c r="H217" s="39" t="s">
        <v>446</v>
      </c>
    </row>
    <row r="218" spans="1:8" x14ac:dyDescent="0.45">
      <c r="A218" s="27"/>
      <c r="B218" s="39" t="s">
        <v>447</v>
      </c>
      <c r="C218" s="39" t="s">
        <v>141</v>
      </c>
      <c r="D218" s="39"/>
      <c r="E218" s="39"/>
      <c r="F218" s="39" t="s">
        <v>424</v>
      </c>
      <c r="G218" s="39" t="s">
        <v>424</v>
      </c>
      <c r="H218" s="39" t="s">
        <v>448</v>
      </c>
    </row>
    <row r="219" spans="1:8" x14ac:dyDescent="0.45">
      <c r="A219" s="27"/>
      <c r="B219" s="41" t="s">
        <v>449</v>
      </c>
    </row>
    <row r="220" spans="1:8" x14ac:dyDescent="0.45">
      <c r="A220" s="27" t="s">
        <v>153</v>
      </c>
      <c r="B220" s="39" t="s">
        <v>450</v>
      </c>
      <c r="C220" s="39" t="s">
        <v>141</v>
      </c>
      <c r="D220" s="39"/>
      <c r="E220" s="39"/>
      <c r="F220" s="39" t="s">
        <v>451</v>
      </c>
      <c r="G220" s="39" t="s">
        <v>452</v>
      </c>
      <c r="H220" s="39" t="s">
        <v>453</v>
      </c>
    </row>
    <row r="221" spans="1:8" x14ac:dyDescent="0.45">
      <c r="A221" s="27"/>
      <c r="B221" s="39" t="s">
        <v>454</v>
      </c>
      <c r="C221" s="39" t="s">
        <v>141</v>
      </c>
      <c r="D221" s="39"/>
      <c r="E221" s="39"/>
      <c r="F221" s="39" t="s">
        <v>455</v>
      </c>
      <c r="G221" s="39" t="s">
        <v>455</v>
      </c>
      <c r="H221" s="39" t="s">
        <v>456</v>
      </c>
    </row>
    <row r="222" spans="1:8" x14ac:dyDescent="0.45">
      <c r="A222" s="27"/>
      <c r="B222" s="39" t="s">
        <v>457</v>
      </c>
      <c r="C222" s="39" t="s">
        <v>141</v>
      </c>
      <c r="D222" s="39"/>
      <c r="E222" s="39"/>
      <c r="F222" s="39" t="s">
        <v>458</v>
      </c>
      <c r="G222" s="39" t="s">
        <v>458</v>
      </c>
      <c r="H222" s="39" t="s">
        <v>459</v>
      </c>
    </row>
    <row r="223" spans="1:8" x14ac:dyDescent="0.45">
      <c r="A223" s="27"/>
      <c r="B223" s="39" t="s">
        <v>460</v>
      </c>
      <c r="C223" s="39" t="s">
        <v>141</v>
      </c>
      <c r="D223" s="39"/>
      <c r="E223" s="39"/>
      <c r="F223" s="39" t="s">
        <v>461</v>
      </c>
      <c r="G223" s="39" t="s">
        <v>461</v>
      </c>
      <c r="H223" s="39" t="s">
        <v>462</v>
      </c>
    </row>
    <row r="224" spans="1:8" x14ac:dyDescent="0.45">
      <c r="A224" s="27"/>
      <c r="B224" s="39" t="s">
        <v>463</v>
      </c>
      <c r="C224" s="39" t="s">
        <v>141</v>
      </c>
      <c r="D224" s="39"/>
      <c r="E224" s="39"/>
      <c r="F224" s="39" t="s">
        <v>461</v>
      </c>
      <c r="G224" s="39" t="s">
        <v>461</v>
      </c>
      <c r="H224" s="39" t="s">
        <v>464</v>
      </c>
    </row>
    <row r="225" spans="1:8" x14ac:dyDescent="0.45">
      <c r="A225" s="27"/>
      <c r="B225" s="42" t="s">
        <v>465</v>
      </c>
      <c r="C225" s="42" t="s">
        <v>141</v>
      </c>
      <c r="D225" s="42"/>
      <c r="E225" s="42"/>
      <c r="F225" s="42" t="s">
        <v>466</v>
      </c>
      <c r="G225" s="42" t="s">
        <v>466</v>
      </c>
      <c r="H225" s="42" t="s">
        <v>467</v>
      </c>
    </row>
    <row r="226" spans="1:8" x14ac:dyDescent="0.45">
      <c r="A226" s="27"/>
      <c r="B226" s="39" t="s">
        <v>468</v>
      </c>
      <c r="C226" s="39" t="s">
        <v>141</v>
      </c>
      <c r="D226" s="39"/>
      <c r="E226" s="39"/>
      <c r="F226" s="39" t="s">
        <v>469</v>
      </c>
      <c r="G226" s="39" t="s">
        <v>469</v>
      </c>
      <c r="H226" s="39" t="s">
        <v>470</v>
      </c>
    </row>
    <row r="227" spans="1:8" x14ac:dyDescent="0.45">
      <c r="A227" s="27"/>
      <c r="B227" s="39" t="s">
        <v>471</v>
      </c>
      <c r="C227" s="39" t="s">
        <v>141</v>
      </c>
      <c r="D227" s="39"/>
      <c r="E227" s="39"/>
      <c r="F227" s="39" t="s">
        <v>472</v>
      </c>
      <c r="G227" s="39" t="s">
        <v>472</v>
      </c>
      <c r="H227" s="39" t="s">
        <v>473</v>
      </c>
    </row>
    <row r="228" spans="1:8" x14ac:dyDescent="0.45">
      <c r="A228" s="27"/>
      <c r="B228" s="39" t="s">
        <v>474</v>
      </c>
      <c r="C228" s="39" t="s">
        <v>141</v>
      </c>
      <c r="D228" s="39"/>
      <c r="E228" s="39"/>
      <c r="F228" s="39" t="s">
        <v>475</v>
      </c>
      <c r="G228" s="39" t="s">
        <v>475</v>
      </c>
      <c r="H228" s="39" t="s">
        <v>476</v>
      </c>
    </row>
    <row r="229" spans="1:8" x14ac:dyDescent="0.45">
      <c r="A229" s="27"/>
      <c r="B229" s="39" t="s">
        <v>477</v>
      </c>
      <c r="C229" s="39" t="s">
        <v>141</v>
      </c>
      <c r="D229" s="39"/>
      <c r="E229" s="39"/>
      <c r="F229" s="39" t="s">
        <v>478</v>
      </c>
      <c r="G229" s="39" t="s">
        <v>478</v>
      </c>
      <c r="H229" s="39" t="s">
        <v>479</v>
      </c>
    </row>
    <row r="230" spans="1:8" x14ac:dyDescent="0.45">
      <c r="A230" s="27"/>
      <c r="B230" s="39" t="s">
        <v>480</v>
      </c>
      <c r="C230" s="39" t="s">
        <v>141</v>
      </c>
      <c r="D230" s="39"/>
      <c r="E230" s="39"/>
      <c r="F230" s="39" t="s">
        <v>481</v>
      </c>
      <c r="G230" s="39" t="s">
        <v>481</v>
      </c>
      <c r="H230" s="39" t="s">
        <v>482</v>
      </c>
    </row>
    <row r="231" spans="1:8" x14ac:dyDescent="0.45">
      <c r="A231" s="27"/>
      <c r="B231" s="41" t="s">
        <v>483</v>
      </c>
    </row>
    <row r="232" spans="1:8" x14ac:dyDescent="0.45">
      <c r="A232" s="27"/>
      <c r="B232" s="39" t="s">
        <v>484</v>
      </c>
      <c r="C232" s="39" t="s">
        <v>155</v>
      </c>
      <c r="D232" s="39"/>
      <c r="E232" s="39"/>
      <c r="F232" s="39">
        <v>2022</v>
      </c>
      <c r="G232" s="39">
        <v>2022</v>
      </c>
      <c r="H232" s="39" t="s">
        <v>485</v>
      </c>
    </row>
    <row r="233" spans="1:8" x14ac:dyDescent="0.45">
      <c r="A233" s="27"/>
      <c r="B233" s="39" t="s">
        <v>486</v>
      </c>
      <c r="C233" s="39" t="s">
        <v>155</v>
      </c>
      <c r="D233" s="39"/>
      <c r="E233" s="39"/>
      <c r="F233" s="39">
        <v>2026</v>
      </c>
      <c r="G233" s="39">
        <v>2026</v>
      </c>
      <c r="H233" s="39" t="s">
        <v>487</v>
      </c>
    </row>
    <row r="234" spans="1:8" x14ac:dyDescent="0.45">
      <c r="A234" s="27"/>
      <c r="B234" s="39" t="s">
        <v>488</v>
      </c>
      <c r="C234" s="39" t="s">
        <v>155</v>
      </c>
      <c r="D234" s="39"/>
      <c r="E234" s="39"/>
      <c r="F234" s="39" t="s">
        <v>489</v>
      </c>
      <c r="G234" s="39" t="s">
        <v>489</v>
      </c>
      <c r="H234" s="39" t="s">
        <v>490</v>
      </c>
    </row>
    <row r="235" spans="1:8" x14ac:dyDescent="0.45">
      <c r="A235" s="27"/>
      <c r="B235" s="39" t="s">
        <v>491</v>
      </c>
      <c r="C235" s="39" t="s">
        <v>155</v>
      </c>
      <c r="D235" s="39"/>
      <c r="E235" s="39"/>
      <c r="F235" s="39">
        <v>2026</v>
      </c>
      <c r="G235" s="39">
        <v>2026</v>
      </c>
      <c r="H235" s="39" t="s">
        <v>492</v>
      </c>
    </row>
    <row r="236" spans="1:8" x14ac:dyDescent="0.45">
      <c r="A236" s="27" t="s">
        <v>153</v>
      </c>
      <c r="B236" s="39" t="s">
        <v>493</v>
      </c>
      <c r="C236" s="39" t="s">
        <v>155</v>
      </c>
      <c r="D236" s="39"/>
      <c r="E236" s="39"/>
      <c r="F236" s="39">
        <v>2025</v>
      </c>
      <c r="G236" s="39">
        <v>2024</v>
      </c>
      <c r="H236" s="39" t="s">
        <v>494</v>
      </c>
    </row>
    <row r="237" spans="1:8" x14ac:dyDescent="0.45">
      <c r="A237" s="27"/>
      <c r="B237" s="39" t="s">
        <v>495</v>
      </c>
      <c r="C237" s="39" t="s">
        <v>141</v>
      </c>
      <c r="D237" s="39"/>
      <c r="E237" s="39"/>
      <c r="F237" s="39" t="s">
        <v>424</v>
      </c>
      <c r="G237" s="39" t="s">
        <v>424</v>
      </c>
      <c r="H237" s="39" t="s">
        <v>496</v>
      </c>
    </row>
    <row r="238" spans="1:8" x14ac:dyDescent="0.45">
      <c r="A238" s="27"/>
      <c r="B238" s="42" t="s">
        <v>497</v>
      </c>
      <c r="C238" s="42" t="s">
        <v>141</v>
      </c>
      <c r="D238" s="42"/>
      <c r="E238" s="42"/>
      <c r="F238" s="42" t="s">
        <v>424</v>
      </c>
      <c r="G238" s="42" t="s">
        <v>424</v>
      </c>
      <c r="H238" s="42" t="s">
        <v>498</v>
      </c>
    </row>
    <row r="239" spans="1:8" x14ac:dyDescent="0.45">
      <c r="A239" s="27"/>
      <c r="B239" s="39" t="s">
        <v>499</v>
      </c>
      <c r="C239" s="39" t="s">
        <v>141</v>
      </c>
      <c r="D239" s="39"/>
      <c r="E239" s="39"/>
      <c r="F239" s="39" t="s">
        <v>424</v>
      </c>
      <c r="G239" s="39" t="s">
        <v>424</v>
      </c>
      <c r="H239" s="39" t="s">
        <v>500</v>
      </c>
    </row>
    <row r="240" spans="1:8" x14ac:dyDescent="0.45">
      <c r="A240" s="27"/>
      <c r="B240" s="39" t="s">
        <v>501</v>
      </c>
      <c r="C240" s="39" t="s">
        <v>84</v>
      </c>
      <c r="D240" s="39"/>
      <c r="E240" s="39"/>
      <c r="F240" s="39">
        <v>2.5000000000000001E-2</v>
      </c>
      <c r="G240" s="39">
        <v>2.5000000000000001E-2</v>
      </c>
      <c r="H240" s="39" t="s">
        <v>502</v>
      </c>
    </row>
    <row r="241" spans="1:8" x14ac:dyDescent="0.45">
      <c r="A241" s="27"/>
      <c r="B241" s="41" t="s">
        <v>503</v>
      </c>
    </row>
    <row r="242" spans="1:8" x14ac:dyDescent="0.45">
      <c r="A242" s="27"/>
      <c r="B242" s="39" t="s">
        <v>504</v>
      </c>
      <c r="C242" s="40"/>
      <c r="D242" s="39"/>
      <c r="E242" s="39"/>
      <c r="F242" s="39">
        <v>0</v>
      </c>
      <c r="G242" s="39">
        <v>0</v>
      </c>
      <c r="H242" s="39" t="s">
        <v>505</v>
      </c>
    </row>
    <row r="243" spans="1:8" x14ac:dyDescent="0.45">
      <c r="A243" s="27"/>
      <c r="B243" s="39" t="s">
        <v>506</v>
      </c>
      <c r="C243" s="40"/>
      <c r="D243" s="39"/>
      <c r="E243" s="39"/>
      <c r="F243" s="39">
        <v>0</v>
      </c>
      <c r="G243" s="39">
        <v>0</v>
      </c>
      <c r="H243" s="39" t="s">
        <v>507</v>
      </c>
    </row>
    <row r="244" spans="1:8" x14ac:dyDescent="0.45">
      <c r="A244" s="27"/>
      <c r="B244" s="39" t="s">
        <v>232</v>
      </c>
      <c r="C244" s="40"/>
      <c r="D244" s="39"/>
      <c r="E244" s="39"/>
      <c r="F244" s="39">
        <v>0</v>
      </c>
      <c r="G244" s="39">
        <v>0</v>
      </c>
      <c r="H244" s="39" t="s">
        <v>508</v>
      </c>
    </row>
    <row r="245" spans="1:8" x14ac:dyDescent="0.45">
      <c r="A245" s="27"/>
      <c r="B245" s="42" t="s">
        <v>509</v>
      </c>
      <c r="C245" s="43"/>
      <c r="D245" s="42"/>
      <c r="E245" s="42"/>
      <c r="F245" s="42">
        <v>0</v>
      </c>
      <c r="G245" s="42">
        <v>0</v>
      </c>
      <c r="H245" s="42" t="s">
        <v>510</v>
      </c>
    </row>
    <row r="246" spans="1:8" x14ac:dyDescent="0.45">
      <c r="A246" s="27"/>
      <c r="B246" s="41" t="s">
        <v>511</v>
      </c>
    </row>
    <row r="247" spans="1:8" x14ac:dyDescent="0.45">
      <c r="A247" s="27"/>
      <c r="B247" s="39" t="s">
        <v>512</v>
      </c>
      <c r="C247" s="40"/>
      <c r="D247" s="39"/>
      <c r="E247" s="39"/>
      <c r="F247" s="39">
        <v>0.7</v>
      </c>
      <c r="G247" s="39">
        <v>0.7</v>
      </c>
      <c r="H247" s="39" t="s">
        <v>513</v>
      </c>
    </row>
    <row r="248" spans="1:8" x14ac:dyDescent="0.45">
      <c r="A248" s="27"/>
      <c r="B248" s="39" t="s">
        <v>514</v>
      </c>
      <c r="C248" s="40"/>
      <c r="D248" s="39"/>
      <c r="E248" s="39"/>
      <c r="F248" s="39">
        <v>0.7</v>
      </c>
      <c r="G248" s="39">
        <v>0.7</v>
      </c>
      <c r="H248" s="39" t="s">
        <v>515</v>
      </c>
    </row>
    <row r="249" spans="1:8" x14ac:dyDescent="0.45">
      <c r="A249" s="27"/>
      <c r="B249" s="39" t="s">
        <v>516</v>
      </c>
      <c r="C249" s="40"/>
      <c r="D249" s="39"/>
      <c r="E249" s="39"/>
      <c r="F249" s="39">
        <v>0.7</v>
      </c>
      <c r="G249" s="39">
        <v>0.7</v>
      </c>
      <c r="H249" s="39" t="s">
        <v>517</v>
      </c>
    </row>
    <row r="250" spans="1:8" x14ac:dyDescent="0.45">
      <c r="A250" s="27"/>
      <c r="B250" s="39" t="s">
        <v>518</v>
      </c>
      <c r="C250" s="40"/>
      <c r="D250" s="39"/>
      <c r="E250" s="39"/>
      <c r="F250" s="39">
        <v>0.7</v>
      </c>
      <c r="G250" s="39">
        <v>0.7</v>
      </c>
      <c r="H250" s="39" t="s">
        <v>519</v>
      </c>
    </row>
    <row r="251" spans="1:8" x14ac:dyDescent="0.45">
      <c r="A251" s="27"/>
      <c r="B251" s="39" t="s">
        <v>520</v>
      </c>
      <c r="C251" s="40"/>
      <c r="D251" s="39"/>
      <c r="E251" s="39"/>
      <c r="F251" s="39">
        <v>1</v>
      </c>
      <c r="G251" s="39">
        <v>1</v>
      </c>
      <c r="H251" s="39" t="s">
        <v>521</v>
      </c>
    </row>
    <row r="252" spans="1:8" x14ac:dyDescent="0.45">
      <c r="A252" s="27"/>
      <c r="B252" s="41" t="s">
        <v>522</v>
      </c>
    </row>
    <row r="253" spans="1:8" x14ac:dyDescent="0.45">
      <c r="A253" s="27"/>
      <c r="B253" s="39" t="s">
        <v>61</v>
      </c>
      <c r="C253" s="40"/>
      <c r="D253" s="39"/>
      <c r="E253" s="39"/>
      <c r="F253" s="39">
        <v>0.56000000000000005</v>
      </c>
      <c r="G253" s="39">
        <v>0.56000000000000005</v>
      </c>
      <c r="H253" s="39" t="s">
        <v>523</v>
      </c>
    </row>
    <row r="254" spans="1:8" x14ac:dyDescent="0.45">
      <c r="A254" s="27"/>
      <c r="B254" s="39" t="s">
        <v>63</v>
      </c>
      <c r="C254" s="40"/>
      <c r="D254" s="39"/>
      <c r="E254" s="39"/>
      <c r="F254" s="39">
        <v>0.45</v>
      </c>
      <c r="G254" s="39">
        <v>0.45</v>
      </c>
      <c r="H254" s="39" t="s">
        <v>524</v>
      </c>
    </row>
    <row r="255" spans="1:8" x14ac:dyDescent="0.45">
      <c r="A255" s="27"/>
      <c r="B255" s="39" t="s">
        <v>68</v>
      </c>
      <c r="C255" s="40"/>
      <c r="D255" s="39"/>
      <c r="E255" s="39"/>
      <c r="F255" s="39">
        <v>0.2</v>
      </c>
      <c r="G255" s="39">
        <v>0.2</v>
      </c>
      <c r="H255" s="39" t="s">
        <v>525</v>
      </c>
    </row>
    <row r="256" spans="1:8" x14ac:dyDescent="0.45">
      <c r="A256" s="27"/>
      <c r="B256" s="39" t="s">
        <v>526</v>
      </c>
      <c r="C256" s="40"/>
      <c r="D256" s="39"/>
      <c r="E256" s="39"/>
      <c r="F256" s="39">
        <v>0.57999999999999996</v>
      </c>
      <c r="G256" s="39">
        <v>0.57999999999999996</v>
      </c>
      <c r="H256" s="39" t="s">
        <v>527</v>
      </c>
    </row>
    <row r="257" spans="1:8" x14ac:dyDescent="0.45">
      <c r="A257" s="27"/>
      <c r="B257" s="41" t="s">
        <v>528</v>
      </c>
    </row>
    <row r="258" spans="1:8" x14ac:dyDescent="0.45">
      <c r="A258" s="27"/>
      <c r="B258" s="39" t="s">
        <v>529</v>
      </c>
      <c r="C258" s="39" t="s">
        <v>141</v>
      </c>
      <c r="D258" s="39"/>
      <c r="E258" s="39"/>
      <c r="F258" s="39" t="s">
        <v>530</v>
      </c>
      <c r="G258" s="39" t="s">
        <v>530</v>
      </c>
      <c r="H258" s="39" t="s">
        <v>531</v>
      </c>
    </row>
    <row r="259" spans="1:8" x14ac:dyDescent="0.45">
      <c r="A259" s="27"/>
      <c r="B259" s="39" t="s">
        <v>532</v>
      </c>
      <c r="C259" s="39" t="s">
        <v>141</v>
      </c>
      <c r="D259" s="39"/>
      <c r="E259" s="39"/>
      <c r="F259" s="39" t="s">
        <v>530</v>
      </c>
      <c r="G259" s="39" t="s">
        <v>530</v>
      </c>
      <c r="H259" s="39" t="s">
        <v>533</v>
      </c>
    </row>
    <row r="260" spans="1:8" x14ac:dyDescent="0.45">
      <c r="A260" s="27"/>
      <c r="B260" s="39" t="s">
        <v>534</v>
      </c>
      <c r="C260" s="39" t="s">
        <v>141</v>
      </c>
      <c r="D260" s="39"/>
      <c r="E260" s="39"/>
      <c r="F260" s="39" t="s">
        <v>530</v>
      </c>
      <c r="G260" s="39" t="s">
        <v>530</v>
      </c>
      <c r="H260" s="39" t="s">
        <v>535</v>
      </c>
    </row>
    <row r="261" spans="1:8" x14ac:dyDescent="0.45">
      <c r="A261" s="27"/>
      <c r="B261" s="39" t="s">
        <v>536</v>
      </c>
      <c r="C261" s="39" t="s">
        <v>141</v>
      </c>
      <c r="D261" s="39"/>
      <c r="E261" s="39"/>
      <c r="F261" s="39" t="s">
        <v>530</v>
      </c>
      <c r="G261" s="39" t="s">
        <v>530</v>
      </c>
      <c r="H261" s="39" t="s">
        <v>537</v>
      </c>
    </row>
    <row r="262" spans="1:8" x14ac:dyDescent="0.45">
      <c r="A262" s="27"/>
      <c r="B262" s="39" t="s">
        <v>538</v>
      </c>
      <c r="C262" s="39" t="s">
        <v>141</v>
      </c>
      <c r="D262" s="39"/>
      <c r="E262" s="39"/>
      <c r="F262" s="39" t="s">
        <v>424</v>
      </c>
      <c r="G262" s="39" t="s">
        <v>424</v>
      </c>
      <c r="H262" s="39" t="s">
        <v>539</v>
      </c>
    </row>
    <row r="263" spans="1:8" x14ac:dyDescent="0.45">
      <c r="A263" s="27"/>
      <c r="B263" s="39" t="s">
        <v>540</v>
      </c>
      <c r="C263" s="39" t="s">
        <v>141</v>
      </c>
      <c r="D263" s="39"/>
      <c r="E263" s="39"/>
      <c r="F263" s="39" t="s">
        <v>530</v>
      </c>
      <c r="G263" s="39" t="s">
        <v>530</v>
      </c>
      <c r="H263" s="39" t="s">
        <v>541</v>
      </c>
    </row>
    <row r="264" spans="1:8" x14ac:dyDescent="0.45">
      <c r="A264" s="27"/>
      <c r="B264" s="41" t="s">
        <v>542</v>
      </c>
    </row>
    <row r="265" spans="1:8" x14ac:dyDescent="0.45">
      <c r="A265" s="27"/>
      <c r="B265" s="39" t="s">
        <v>543</v>
      </c>
      <c r="C265" s="39" t="s">
        <v>141</v>
      </c>
      <c r="D265" s="39"/>
      <c r="E265" s="39"/>
      <c r="F265" s="39" t="s">
        <v>544</v>
      </c>
      <c r="G265" s="39" t="s">
        <v>544</v>
      </c>
      <c r="H265" s="39" t="s">
        <v>545</v>
      </c>
    </row>
    <row r="266" spans="1:8" x14ac:dyDescent="0.45">
      <c r="A266" s="27"/>
      <c r="B266" s="39" t="s">
        <v>546</v>
      </c>
      <c r="C266" s="39" t="s">
        <v>141</v>
      </c>
      <c r="D266" s="39"/>
      <c r="E266" s="39"/>
      <c r="F266" s="39" t="s">
        <v>547</v>
      </c>
      <c r="G266" s="39" t="s">
        <v>547</v>
      </c>
      <c r="H266" s="39" t="s">
        <v>548</v>
      </c>
    </row>
    <row r="267" spans="1:8" x14ac:dyDescent="0.45">
      <c r="A267" s="27"/>
      <c r="B267" s="39" t="s">
        <v>549</v>
      </c>
      <c r="C267" s="39" t="s">
        <v>141</v>
      </c>
      <c r="D267" s="39"/>
      <c r="E267" s="39"/>
      <c r="F267" s="39" t="s">
        <v>424</v>
      </c>
      <c r="G267" s="39" t="s">
        <v>424</v>
      </c>
      <c r="H267" s="39" t="s">
        <v>550</v>
      </c>
    </row>
    <row r="268" spans="1:8" x14ac:dyDescent="0.45">
      <c r="A268" s="27"/>
      <c r="B268" s="39" t="s">
        <v>551</v>
      </c>
      <c r="C268" s="39" t="s">
        <v>141</v>
      </c>
      <c r="D268" s="39"/>
      <c r="E268" s="39"/>
      <c r="F268" s="39" t="s">
        <v>423</v>
      </c>
      <c r="G268" s="39" t="s">
        <v>423</v>
      </c>
      <c r="H268" s="39" t="s">
        <v>552</v>
      </c>
    </row>
    <row r="269" spans="1:8" x14ac:dyDescent="0.45">
      <c r="A269" s="27"/>
      <c r="B269" s="39" t="s">
        <v>553</v>
      </c>
      <c r="C269" s="39" t="s">
        <v>141</v>
      </c>
      <c r="D269" s="39"/>
      <c r="E269" s="39"/>
      <c r="F269" s="39" t="s">
        <v>554</v>
      </c>
      <c r="G269" s="39" t="s">
        <v>554</v>
      </c>
      <c r="H269" s="39" t="s">
        <v>555</v>
      </c>
    </row>
    <row r="270" spans="1:8" x14ac:dyDescent="0.45">
      <c r="A270" s="27"/>
      <c r="B270" s="39" t="s">
        <v>556</v>
      </c>
      <c r="C270" s="40"/>
      <c r="D270" s="39"/>
      <c r="E270" s="39"/>
      <c r="F270" s="39" t="s">
        <v>544</v>
      </c>
      <c r="G270" s="39" t="s">
        <v>544</v>
      </c>
      <c r="H270" s="39" t="s">
        <v>557</v>
      </c>
    </row>
    <row r="271" spans="1:8" x14ac:dyDescent="0.45">
      <c r="A271" s="27"/>
      <c r="B271" s="39" t="s">
        <v>558</v>
      </c>
      <c r="C271" s="40"/>
      <c r="D271" s="39"/>
      <c r="E271" s="39"/>
      <c r="F271" s="39">
        <v>0</v>
      </c>
      <c r="G271" s="39">
        <v>0</v>
      </c>
      <c r="H271" s="39" t="s">
        <v>559</v>
      </c>
    </row>
    <row r="272" spans="1:8" x14ac:dyDescent="0.45">
      <c r="A272" s="27"/>
      <c r="B272" s="41" t="s">
        <v>560</v>
      </c>
    </row>
    <row r="273" spans="1:8" x14ac:dyDescent="0.45">
      <c r="A273" s="27"/>
      <c r="B273" s="39" t="s">
        <v>561</v>
      </c>
      <c r="C273" s="39" t="s">
        <v>84</v>
      </c>
      <c r="D273" s="39"/>
      <c r="E273" s="39"/>
      <c r="F273" s="39" t="s">
        <v>562</v>
      </c>
      <c r="G273" s="39" t="s">
        <v>562</v>
      </c>
      <c r="H273" s="39" t="s">
        <v>563</v>
      </c>
    </row>
    <row r="274" spans="1:8" x14ac:dyDescent="0.45">
      <c r="A274" s="27"/>
      <c r="B274" s="39" t="s">
        <v>564</v>
      </c>
      <c r="C274" s="39" t="s">
        <v>84</v>
      </c>
      <c r="D274" s="39"/>
      <c r="E274" s="39"/>
      <c r="F274" s="39" t="s">
        <v>565</v>
      </c>
      <c r="G274" s="39" t="s">
        <v>565</v>
      </c>
      <c r="H274" s="39" t="s">
        <v>566</v>
      </c>
    </row>
    <row r="275" spans="1:8" x14ac:dyDescent="0.45">
      <c r="A275" s="27"/>
      <c r="B275" s="39" t="s">
        <v>567</v>
      </c>
      <c r="C275" s="39" t="s">
        <v>141</v>
      </c>
      <c r="D275" s="39"/>
      <c r="E275" s="39"/>
      <c r="F275" s="39" t="s">
        <v>554</v>
      </c>
      <c r="G275" s="39" t="s">
        <v>554</v>
      </c>
      <c r="H275" s="39" t="s">
        <v>568</v>
      </c>
    </row>
    <row r="276" spans="1:8" x14ac:dyDescent="0.45">
      <c r="A276" s="27"/>
      <c r="B276" s="41" t="s">
        <v>569</v>
      </c>
    </row>
    <row r="277" spans="1:8" x14ac:dyDescent="0.45">
      <c r="A277" s="27"/>
      <c r="B277" s="39" t="s">
        <v>570</v>
      </c>
      <c r="C277" s="39" t="s">
        <v>571</v>
      </c>
      <c r="D277" s="39"/>
      <c r="E277" s="39"/>
      <c r="F277" s="39">
        <v>0.04</v>
      </c>
      <c r="G277" s="39">
        <v>0.04</v>
      </c>
      <c r="H277" s="39" t="s">
        <v>572</v>
      </c>
    </row>
    <row r="278" spans="1:8" x14ac:dyDescent="0.45">
      <c r="A278" s="27"/>
      <c r="B278" s="39" t="s">
        <v>573</v>
      </c>
      <c r="C278" s="40"/>
      <c r="D278" s="39"/>
      <c r="E278" s="39"/>
      <c r="F278" s="39">
        <v>75</v>
      </c>
      <c r="G278" s="39">
        <v>75</v>
      </c>
      <c r="H278" s="39" t="s">
        <v>574</v>
      </c>
    </row>
    <row r="279" spans="1:8" x14ac:dyDescent="0.45">
      <c r="A279" s="27"/>
      <c r="B279" s="41" t="s">
        <v>575</v>
      </c>
    </row>
    <row r="280" spans="1:8" x14ac:dyDescent="0.45">
      <c r="A280" s="27"/>
      <c r="B280" s="39" t="s">
        <v>576</v>
      </c>
      <c r="C280" s="39" t="s">
        <v>141</v>
      </c>
      <c r="D280" s="39"/>
      <c r="E280" s="39"/>
      <c r="F280" s="39" t="s">
        <v>244</v>
      </c>
      <c r="G280" s="39" t="s">
        <v>244</v>
      </c>
      <c r="H280" s="39" t="s">
        <v>577</v>
      </c>
    </row>
    <row r="281" spans="1:8" x14ac:dyDescent="0.45">
      <c r="A281" s="27"/>
      <c r="B281" s="39" t="s">
        <v>578</v>
      </c>
      <c r="C281" s="39" t="s">
        <v>141</v>
      </c>
      <c r="D281" s="39"/>
      <c r="E281" s="39"/>
      <c r="F281" s="39" t="s">
        <v>244</v>
      </c>
      <c r="G281" s="39" t="s">
        <v>244</v>
      </c>
      <c r="H281" s="39" t="s">
        <v>579</v>
      </c>
    </row>
    <row r="282" spans="1:8" x14ac:dyDescent="0.45">
      <c r="A282" s="27" t="s">
        <v>153</v>
      </c>
      <c r="B282" s="39" t="s">
        <v>580</v>
      </c>
      <c r="C282" s="39" t="s">
        <v>155</v>
      </c>
      <c r="D282" s="39"/>
      <c r="E282" s="39"/>
      <c r="F282" s="39">
        <v>2025</v>
      </c>
      <c r="G282" s="39">
        <v>2030</v>
      </c>
      <c r="H282" s="39" t="s">
        <v>581</v>
      </c>
    </row>
    <row r="283" spans="1:8" x14ac:dyDescent="0.45">
      <c r="A283" s="27"/>
      <c r="B283" s="41" t="s">
        <v>582</v>
      </c>
    </row>
    <row r="284" spans="1:8" x14ac:dyDescent="0.45">
      <c r="A284" s="27"/>
      <c r="B284" s="39" t="s">
        <v>583</v>
      </c>
      <c r="C284" s="39" t="s">
        <v>141</v>
      </c>
      <c r="D284" s="39"/>
      <c r="E284" s="39"/>
      <c r="F284" s="39" t="s">
        <v>423</v>
      </c>
      <c r="G284" s="39" t="s">
        <v>423</v>
      </c>
      <c r="H284" s="39" t="s">
        <v>584</v>
      </c>
    </row>
    <row r="285" spans="1:8" x14ac:dyDescent="0.45">
      <c r="A285" s="27"/>
      <c r="B285" s="41" t="s">
        <v>585</v>
      </c>
    </row>
    <row r="286" spans="1:8" x14ac:dyDescent="0.45">
      <c r="A286" s="27"/>
      <c r="B286" s="39" t="s">
        <v>586</v>
      </c>
      <c r="C286" s="39" t="s">
        <v>141</v>
      </c>
      <c r="D286" s="39"/>
      <c r="E286" s="39"/>
      <c r="F286" s="39" t="s">
        <v>424</v>
      </c>
      <c r="G286" s="39" t="s">
        <v>424</v>
      </c>
      <c r="H286" s="39" t="s">
        <v>587</v>
      </c>
    </row>
    <row r="287" spans="1:8" x14ac:dyDescent="0.45">
      <c r="A287" s="27"/>
      <c r="B287" s="39" t="s">
        <v>588</v>
      </c>
      <c r="C287" s="39" t="s">
        <v>141</v>
      </c>
      <c r="D287" s="39"/>
      <c r="E287" s="39"/>
      <c r="F287" s="39" t="s">
        <v>424</v>
      </c>
      <c r="G287" s="39" t="s">
        <v>424</v>
      </c>
      <c r="H287" s="39" t="s">
        <v>589</v>
      </c>
    </row>
    <row r="288" spans="1:8" x14ac:dyDescent="0.45">
      <c r="A288" s="27"/>
      <c r="B288" s="39" t="s">
        <v>590</v>
      </c>
      <c r="C288" s="39" t="s">
        <v>141</v>
      </c>
      <c r="D288" s="39"/>
      <c r="E288" s="39"/>
      <c r="F288" s="39" t="s">
        <v>424</v>
      </c>
      <c r="G288" s="39" t="s">
        <v>424</v>
      </c>
      <c r="H288" s="39" t="s">
        <v>591</v>
      </c>
    </row>
    <row r="289" spans="1:8" x14ac:dyDescent="0.45">
      <c r="A289" s="27"/>
      <c r="B289" s="39" t="s">
        <v>592</v>
      </c>
      <c r="C289" s="39" t="s">
        <v>141</v>
      </c>
      <c r="D289" s="39"/>
      <c r="E289" s="39"/>
      <c r="F289" s="39" t="s">
        <v>424</v>
      </c>
      <c r="G289" s="39" t="s">
        <v>424</v>
      </c>
      <c r="H289" s="39" t="s">
        <v>593</v>
      </c>
    </row>
    <row r="290" spans="1:8" x14ac:dyDescent="0.45">
      <c r="A290" s="27"/>
      <c r="B290" s="39" t="s">
        <v>594</v>
      </c>
      <c r="C290" s="39" t="s">
        <v>141</v>
      </c>
      <c r="D290" s="39"/>
      <c r="E290" s="39"/>
      <c r="F290" s="39" t="s">
        <v>424</v>
      </c>
      <c r="G290" s="39" t="s">
        <v>424</v>
      </c>
      <c r="H290" s="39" t="s">
        <v>595</v>
      </c>
    </row>
    <row r="291" spans="1:8" x14ac:dyDescent="0.45">
      <c r="A291" s="27"/>
      <c r="B291" s="39" t="s">
        <v>596</v>
      </c>
      <c r="C291" s="39" t="s">
        <v>141</v>
      </c>
      <c r="D291" s="39"/>
      <c r="E291" s="39"/>
      <c r="F291" s="39" t="s">
        <v>424</v>
      </c>
      <c r="G291" s="39" t="s">
        <v>424</v>
      </c>
      <c r="H291" s="39" t="s">
        <v>597</v>
      </c>
    </row>
    <row r="292" spans="1:8" x14ac:dyDescent="0.45">
      <c r="A292" s="27"/>
      <c r="B292" s="39" t="s">
        <v>598</v>
      </c>
      <c r="C292" s="39" t="s">
        <v>141</v>
      </c>
      <c r="D292" s="39"/>
      <c r="E292" s="39"/>
      <c r="F292" s="39" t="s">
        <v>424</v>
      </c>
      <c r="G292" s="39" t="s">
        <v>424</v>
      </c>
      <c r="H292" s="39" t="s">
        <v>599</v>
      </c>
    </row>
    <row r="293" spans="1:8" x14ac:dyDescent="0.45">
      <c r="A293" s="27"/>
      <c r="B293" s="39" t="s">
        <v>600</v>
      </c>
      <c r="C293" s="39" t="s">
        <v>141</v>
      </c>
      <c r="D293" s="39"/>
      <c r="E293" s="39"/>
      <c r="F293" s="39" t="s">
        <v>424</v>
      </c>
      <c r="G293" s="39" t="s">
        <v>424</v>
      </c>
      <c r="H293" s="39" t="s">
        <v>601</v>
      </c>
    </row>
    <row r="294" spans="1:8" x14ac:dyDescent="0.45">
      <c r="A294" s="27"/>
      <c r="B294" s="39" t="s">
        <v>602</v>
      </c>
      <c r="C294" s="39" t="s">
        <v>141</v>
      </c>
      <c r="D294" s="39"/>
      <c r="E294" s="39"/>
      <c r="F294" s="39" t="s">
        <v>424</v>
      </c>
      <c r="G294" s="39" t="s">
        <v>424</v>
      </c>
      <c r="H294" s="39" t="s">
        <v>603</v>
      </c>
    </row>
    <row r="295" spans="1:8" x14ac:dyDescent="0.45">
      <c r="A295" s="27"/>
      <c r="B295" s="39" t="s">
        <v>604</v>
      </c>
      <c r="C295" s="40"/>
      <c r="D295" s="39"/>
      <c r="E295" s="40"/>
      <c r="F295" s="39">
        <v>0</v>
      </c>
      <c r="G295" s="40"/>
      <c r="H295" s="40"/>
    </row>
    <row r="296" spans="1:8" x14ac:dyDescent="0.45">
      <c r="A296" s="27"/>
      <c r="B296" s="39" t="s">
        <v>605</v>
      </c>
      <c r="C296" s="39" t="s">
        <v>141</v>
      </c>
      <c r="D296" s="39"/>
      <c r="E296" s="39"/>
      <c r="F296" s="39" t="s">
        <v>606</v>
      </c>
      <c r="G296" s="39" t="s">
        <v>606</v>
      </c>
      <c r="H296" s="39" t="s">
        <v>607</v>
      </c>
    </row>
    <row r="297" spans="1:8" x14ac:dyDescent="0.45">
      <c r="A297" s="27"/>
      <c r="B297" s="39" t="s">
        <v>608</v>
      </c>
      <c r="C297" s="39" t="s">
        <v>141</v>
      </c>
      <c r="D297" s="39"/>
      <c r="E297" s="39"/>
      <c r="F297" s="39" t="s">
        <v>609</v>
      </c>
      <c r="G297" s="39" t="s">
        <v>609</v>
      </c>
      <c r="H297" s="39" t="s">
        <v>610</v>
      </c>
    </row>
    <row r="298" spans="1:8" x14ac:dyDescent="0.45">
      <c r="A298" s="27"/>
      <c r="B298" s="39" t="s">
        <v>611</v>
      </c>
      <c r="C298" s="40"/>
      <c r="D298" s="39"/>
      <c r="E298" s="39"/>
      <c r="F298" s="39">
        <v>0.56000000000000005</v>
      </c>
      <c r="G298" s="39">
        <v>0.56000000000000005</v>
      </c>
      <c r="H298" s="39" t="s">
        <v>612</v>
      </c>
    </row>
    <row r="299" spans="1:8" x14ac:dyDescent="0.45">
      <c r="A299" s="27"/>
      <c r="B299" s="39" t="s">
        <v>613</v>
      </c>
      <c r="C299" s="40"/>
      <c r="D299" s="39"/>
      <c r="E299" s="39"/>
      <c r="F299" s="39">
        <v>0.45</v>
      </c>
      <c r="G299" s="39">
        <v>0.45</v>
      </c>
      <c r="H299" s="39" t="s">
        <v>614</v>
      </c>
    </row>
    <row r="300" spans="1:8" x14ac:dyDescent="0.45">
      <c r="A300" s="27"/>
      <c r="B300" s="39" t="s">
        <v>615</v>
      </c>
      <c r="C300" s="40"/>
      <c r="D300" s="39"/>
      <c r="E300" s="39"/>
      <c r="F300" s="39">
        <v>0.2</v>
      </c>
      <c r="G300" s="39">
        <v>0.2</v>
      </c>
      <c r="H300" s="39" t="s">
        <v>616</v>
      </c>
    </row>
    <row r="301" spans="1:8" x14ac:dyDescent="0.45">
      <c r="A301" s="27"/>
      <c r="B301" s="39" t="s">
        <v>617</v>
      </c>
      <c r="C301" s="40"/>
      <c r="D301" s="39"/>
      <c r="E301" s="39"/>
      <c r="F301" s="39">
        <v>0.57999999999999996</v>
      </c>
      <c r="G301" s="39">
        <v>0.57999999999999996</v>
      </c>
      <c r="H301" s="39" t="s">
        <v>618</v>
      </c>
    </row>
    <row r="302" spans="1:8" x14ac:dyDescent="0.45">
      <c r="A302" s="27"/>
      <c r="B302" s="39" t="s">
        <v>619</v>
      </c>
      <c r="C302" s="39" t="s">
        <v>141</v>
      </c>
      <c r="D302" s="39"/>
      <c r="E302" s="39"/>
      <c r="F302" s="39" t="s">
        <v>423</v>
      </c>
      <c r="G302" s="39" t="s">
        <v>423</v>
      </c>
      <c r="H302" s="39" t="s">
        <v>620</v>
      </c>
    </row>
    <row r="303" spans="1:8" x14ac:dyDescent="0.45">
      <c r="A303" s="27"/>
      <c r="B303" s="41" t="s">
        <v>621</v>
      </c>
    </row>
    <row r="304" spans="1:8" x14ac:dyDescent="0.45">
      <c r="A304" s="27"/>
      <c r="B304" s="39" t="s">
        <v>622</v>
      </c>
      <c r="C304" s="39" t="s">
        <v>155</v>
      </c>
      <c r="D304" s="39"/>
      <c r="E304" s="39"/>
      <c r="F304" s="39">
        <v>2030</v>
      </c>
      <c r="G304" s="39">
        <v>2030</v>
      </c>
      <c r="H304" s="39" t="s">
        <v>623</v>
      </c>
    </row>
    <row r="305" spans="1:8" x14ac:dyDescent="0.45">
      <c r="A305" s="27"/>
      <c r="B305" s="39" t="s">
        <v>624</v>
      </c>
      <c r="C305" s="39" t="s">
        <v>141</v>
      </c>
      <c r="D305" s="39"/>
      <c r="E305" s="39"/>
      <c r="F305" s="39" t="s">
        <v>625</v>
      </c>
      <c r="G305" s="39" t="s">
        <v>625</v>
      </c>
      <c r="H305" s="39" t="s">
        <v>626</v>
      </c>
    </row>
    <row r="306" spans="1:8" x14ac:dyDescent="0.45">
      <c r="A306" s="27"/>
      <c r="B306" s="39" t="s">
        <v>627</v>
      </c>
      <c r="C306" s="39" t="s">
        <v>628</v>
      </c>
      <c r="D306" s="39"/>
      <c r="E306" s="39"/>
      <c r="F306" s="39" t="s">
        <v>244</v>
      </c>
      <c r="G306" s="39" t="s">
        <v>244</v>
      </c>
      <c r="H306" s="39" t="s">
        <v>629</v>
      </c>
    </row>
    <row r="307" spans="1:8" x14ac:dyDescent="0.45">
      <c r="A307" s="27"/>
      <c r="B307" s="39" t="s">
        <v>630</v>
      </c>
      <c r="C307" s="39" t="s">
        <v>141</v>
      </c>
      <c r="D307" s="39"/>
      <c r="E307" s="39"/>
      <c r="F307" s="39" t="s">
        <v>631</v>
      </c>
      <c r="G307" s="39" t="s">
        <v>631</v>
      </c>
      <c r="H307" s="39" t="s">
        <v>632</v>
      </c>
    </row>
    <row r="308" spans="1:8" x14ac:dyDescent="0.45">
      <c r="A308" s="27"/>
      <c r="B308" s="39" t="s">
        <v>633</v>
      </c>
      <c r="C308" s="39" t="s">
        <v>141</v>
      </c>
      <c r="D308" s="39"/>
      <c r="E308" s="39"/>
      <c r="F308" s="39" t="s">
        <v>634</v>
      </c>
      <c r="G308" s="39" t="s">
        <v>634</v>
      </c>
      <c r="H308" s="39" t="s">
        <v>635</v>
      </c>
    </row>
    <row r="309" spans="1:8" x14ac:dyDescent="0.45">
      <c r="A309" s="27"/>
      <c r="B309" s="39" t="s">
        <v>636</v>
      </c>
      <c r="C309" s="39" t="s">
        <v>141</v>
      </c>
      <c r="D309" s="39"/>
      <c r="E309" s="39"/>
      <c r="F309" s="39" t="s">
        <v>637</v>
      </c>
      <c r="G309" s="39" t="s">
        <v>637</v>
      </c>
      <c r="H309" s="39" t="s">
        <v>638</v>
      </c>
    </row>
    <row r="310" spans="1:8" x14ac:dyDescent="0.45">
      <c r="A310" s="27"/>
      <c r="B310" s="39" t="s">
        <v>639</v>
      </c>
      <c r="C310" s="39" t="s">
        <v>628</v>
      </c>
      <c r="D310" s="39"/>
      <c r="E310" s="39"/>
      <c r="F310" s="39">
        <v>4</v>
      </c>
      <c r="G310" s="39">
        <v>4</v>
      </c>
      <c r="H310" s="39" t="s">
        <v>640</v>
      </c>
    </row>
    <row r="311" spans="1:8" x14ac:dyDescent="0.45">
      <c r="A311" s="27"/>
      <c r="B311" s="39" t="s">
        <v>641</v>
      </c>
      <c r="C311" s="39" t="s">
        <v>141</v>
      </c>
      <c r="D311" s="39"/>
      <c r="E311" s="39"/>
      <c r="F311" s="39" t="s">
        <v>642</v>
      </c>
      <c r="G311" s="39" t="s">
        <v>642</v>
      </c>
      <c r="H311" s="39" t="s">
        <v>643</v>
      </c>
    </row>
    <row r="312" spans="1:8" x14ac:dyDescent="0.45">
      <c r="A312" s="27"/>
      <c r="B312" s="39" t="s">
        <v>644</v>
      </c>
      <c r="C312" s="39" t="s">
        <v>141</v>
      </c>
      <c r="D312" s="39"/>
      <c r="E312" s="39"/>
      <c r="F312" s="39" t="s">
        <v>244</v>
      </c>
      <c r="G312" s="39" t="s">
        <v>244</v>
      </c>
      <c r="H312" s="39" t="s">
        <v>645</v>
      </c>
    </row>
    <row r="313" spans="1:8" x14ac:dyDescent="0.45">
      <c r="A313" s="27"/>
      <c r="B313" s="39" t="s">
        <v>646</v>
      </c>
      <c r="C313" s="39" t="s">
        <v>141</v>
      </c>
      <c r="D313" s="39"/>
      <c r="E313" s="39"/>
      <c r="F313" s="39">
        <v>4</v>
      </c>
      <c r="G313" s="39">
        <v>4</v>
      </c>
      <c r="H313" s="39" t="s">
        <v>647</v>
      </c>
    </row>
    <row r="314" spans="1:8" x14ac:dyDescent="0.45">
      <c r="A314" s="27"/>
      <c r="B314" s="39" t="s">
        <v>648</v>
      </c>
      <c r="C314" s="39" t="s">
        <v>141</v>
      </c>
      <c r="D314" s="39"/>
      <c r="E314" s="39"/>
      <c r="F314" s="39" t="s">
        <v>244</v>
      </c>
      <c r="G314" s="39" t="s">
        <v>244</v>
      </c>
      <c r="H314" s="39" t="s">
        <v>649</v>
      </c>
    </row>
    <row r="315" spans="1:8" x14ac:dyDescent="0.45">
      <c r="A315" s="27"/>
      <c r="B315" s="39" t="s">
        <v>650</v>
      </c>
      <c r="C315" s="39" t="s">
        <v>141</v>
      </c>
      <c r="D315" s="39"/>
      <c r="E315" s="39"/>
      <c r="F315" s="39" t="s">
        <v>651</v>
      </c>
      <c r="G315" s="39" t="s">
        <v>651</v>
      </c>
      <c r="H315" s="39" t="s">
        <v>652</v>
      </c>
    </row>
    <row r="316" spans="1:8" x14ac:dyDescent="0.45">
      <c r="A316" s="27"/>
      <c r="B316" s="39" t="s">
        <v>653</v>
      </c>
      <c r="C316" s="39" t="s">
        <v>141</v>
      </c>
      <c r="D316" s="39"/>
      <c r="E316" s="39"/>
      <c r="F316" s="39" t="s">
        <v>651</v>
      </c>
      <c r="G316" s="39" t="s">
        <v>651</v>
      </c>
      <c r="H316" s="39" t="s">
        <v>654</v>
      </c>
    </row>
    <row r="317" spans="1:8" x14ac:dyDescent="0.45">
      <c r="A317" s="27"/>
      <c r="B317" s="39" t="s">
        <v>655</v>
      </c>
      <c r="C317" s="39" t="s">
        <v>141</v>
      </c>
      <c r="D317" s="39"/>
      <c r="E317" s="39"/>
      <c r="F317" s="39" t="s">
        <v>244</v>
      </c>
      <c r="G317" s="39" t="s">
        <v>244</v>
      </c>
      <c r="H317" s="39" t="s">
        <v>656</v>
      </c>
    </row>
    <row r="318" spans="1:8" x14ac:dyDescent="0.45">
      <c r="A318" s="27"/>
      <c r="B318" s="39" t="s">
        <v>657</v>
      </c>
      <c r="C318" s="39" t="s">
        <v>141</v>
      </c>
      <c r="D318" s="39"/>
      <c r="E318" s="39"/>
      <c r="F318" s="39" t="s">
        <v>244</v>
      </c>
      <c r="G318" s="39" t="s">
        <v>244</v>
      </c>
      <c r="H318" s="39" t="s">
        <v>658</v>
      </c>
    </row>
    <row r="319" spans="1:8" x14ac:dyDescent="0.45">
      <c r="A319" s="27"/>
      <c r="B319" s="39" t="s">
        <v>659</v>
      </c>
      <c r="C319" s="39" t="s">
        <v>141</v>
      </c>
      <c r="D319" s="39"/>
      <c r="E319" s="39"/>
      <c r="F319" s="39" t="s">
        <v>660</v>
      </c>
      <c r="G319" s="39" t="s">
        <v>660</v>
      </c>
      <c r="H319" s="39" t="s">
        <v>661</v>
      </c>
    </row>
    <row r="320" spans="1:8" x14ac:dyDescent="0.45">
      <c r="A320" s="27"/>
      <c r="B320" s="39" t="s">
        <v>662</v>
      </c>
      <c r="C320" s="39" t="s">
        <v>141</v>
      </c>
      <c r="D320" s="39"/>
      <c r="E320" s="39"/>
      <c r="F320" s="39" t="s">
        <v>244</v>
      </c>
      <c r="G320" s="39" t="s">
        <v>244</v>
      </c>
      <c r="H320" s="39" t="s">
        <v>663</v>
      </c>
    </row>
    <row r="321" spans="1:8" x14ac:dyDescent="0.45">
      <c r="A321" s="27"/>
      <c r="B321" s="41" t="s">
        <v>664</v>
      </c>
    </row>
    <row r="322" spans="1:8" x14ac:dyDescent="0.45">
      <c r="A322" s="27" t="s">
        <v>153</v>
      </c>
      <c r="B322" s="39" t="s">
        <v>665</v>
      </c>
      <c r="C322" s="39" t="s">
        <v>141</v>
      </c>
      <c r="D322" s="39"/>
      <c r="E322" s="39"/>
      <c r="F322" s="39" t="s">
        <v>666</v>
      </c>
      <c r="G322" s="39" t="s">
        <v>667</v>
      </c>
      <c r="H322" s="39" t="s">
        <v>668</v>
      </c>
    </row>
    <row r="323" spans="1:8" x14ac:dyDescent="0.45">
      <c r="A323" s="27"/>
      <c r="B323" s="39" t="s">
        <v>669</v>
      </c>
      <c r="C323" s="39" t="s">
        <v>141</v>
      </c>
      <c r="D323" s="39"/>
      <c r="E323" s="39"/>
      <c r="F323" s="39" t="s">
        <v>670</v>
      </c>
      <c r="G323" s="39" t="s">
        <v>670</v>
      </c>
      <c r="H323" s="39" t="s">
        <v>671</v>
      </c>
    </row>
    <row r="324" spans="1:8" x14ac:dyDescent="0.45">
      <c r="A324" s="27"/>
      <c r="B324" s="39" t="s">
        <v>672</v>
      </c>
      <c r="C324" s="39" t="s">
        <v>141</v>
      </c>
      <c r="D324" s="39"/>
      <c r="E324" s="39"/>
      <c r="F324" s="39" t="s">
        <v>673</v>
      </c>
      <c r="G324" s="39" t="s">
        <v>673</v>
      </c>
      <c r="H324" s="39" t="s">
        <v>674</v>
      </c>
    </row>
    <row r="325" spans="1:8" x14ac:dyDescent="0.45">
      <c r="A325" s="27"/>
      <c r="B325" s="39" t="s">
        <v>675</v>
      </c>
      <c r="C325" s="39" t="s">
        <v>141</v>
      </c>
      <c r="D325" s="39"/>
      <c r="E325" s="39"/>
      <c r="F325" s="39" t="s">
        <v>244</v>
      </c>
      <c r="G325" s="39" t="s">
        <v>244</v>
      </c>
      <c r="H325" s="39" t="s">
        <v>676</v>
      </c>
    </row>
    <row r="326" spans="1:8" x14ac:dyDescent="0.45">
      <c r="A326" s="27"/>
      <c r="B326" s="39" t="s">
        <v>677</v>
      </c>
      <c r="C326" s="39" t="s">
        <v>141</v>
      </c>
      <c r="D326" s="39"/>
      <c r="E326" s="39"/>
      <c r="F326" s="39" t="s">
        <v>244</v>
      </c>
      <c r="G326" s="39" t="s">
        <v>244</v>
      </c>
      <c r="H326" s="39" t="s">
        <v>678</v>
      </c>
    </row>
    <row r="327" spans="1:8" x14ac:dyDescent="0.45">
      <c r="A327" s="27" t="s">
        <v>153</v>
      </c>
      <c r="B327" s="39" t="s">
        <v>679</v>
      </c>
      <c r="C327" s="39" t="s">
        <v>141</v>
      </c>
      <c r="D327" s="39"/>
      <c r="E327" s="39"/>
      <c r="F327" s="39" t="s">
        <v>680</v>
      </c>
      <c r="G327" s="39" t="s">
        <v>681</v>
      </c>
      <c r="H327" s="39" t="s">
        <v>682</v>
      </c>
    </row>
    <row r="328" spans="1:8" x14ac:dyDescent="0.45">
      <c r="A328" s="27"/>
      <c r="B328" s="39" t="s">
        <v>683</v>
      </c>
      <c r="C328" s="39" t="s">
        <v>141</v>
      </c>
      <c r="D328" s="39"/>
      <c r="E328" s="39"/>
      <c r="F328" s="39">
        <v>500000</v>
      </c>
      <c r="G328" s="39">
        <v>500000</v>
      </c>
      <c r="H328" s="39" t="s">
        <v>684</v>
      </c>
    </row>
    <row r="329" spans="1:8" x14ac:dyDescent="0.45">
      <c r="A329" s="27" t="s">
        <v>685</v>
      </c>
      <c r="B329" s="39" t="s">
        <v>686</v>
      </c>
      <c r="C329" s="39" t="s">
        <v>141</v>
      </c>
      <c r="D329" s="39"/>
      <c r="E329" s="39"/>
      <c r="F329" s="39" t="s">
        <v>685</v>
      </c>
      <c r="G329" s="39" t="s">
        <v>687</v>
      </c>
      <c r="H329" s="39" t="s">
        <v>688</v>
      </c>
    </row>
    <row r="330" spans="1:8" x14ac:dyDescent="0.45">
      <c r="A330" s="27" t="s">
        <v>685</v>
      </c>
      <c r="B330" s="39" t="s">
        <v>689</v>
      </c>
      <c r="C330" s="39" t="s">
        <v>141</v>
      </c>
      <c r="D330" s="39"/>
      <c r="E330" s="39"/>
      <c r="F330" s="39" t="s">
        <v>685</v>
      </c>
      <c r="G330" s="39">
        <v>1</v>
      </c>
      <c r="H330" s="39" t="s">
        <v>690</v>
      </c>
    </row>
    <row r="331" spans="1:8" x14ac:dyDescent="0.45">
      <c r="A331" s="27"/>
      <c r="B331" s="39" t="s">
        <v>691</v>
      </c>
      <c r="C331" s="39" t="s">
        <v>141</v>
      </c>
      <c r="D331" s="39"/>
      <c r="E331" s="39"/>
      <c r="F331" s="39" t="s">
        <v>692</v>
      </c>
      <c r="G331" s="39" t="s">
        <v>692</v>
      </c>
      <c r="H331" s="39" t="s">
        <v>693</v>
      </c>
    </row>
    <row r="332" spans="1:8" x14ac:dyDescent="0.45">
      <c r="A332" s="27"/>
      <c r="B332" s="39" t="s">
        <v>694</v>
      </c>
      <c r="C332" s="39" t="s">
        <v>141</v>
      </c>
      <c r="D332" s="39"/>
      <c r="E332" s="39"/>
      <c r="F332" s="39">
        <v>0.03</v>
      </c>
      <c r="G332" s="39">
        <v>0.03</v>
      </c>
      <c r="H332" s="39" t="s">
        <v>695</v>
      </c>
    </row>
    <row r="333" spans="1:8" x14ac:dyDescent="0.45">
      <c r="A333" s="27"/>
      <c r="B333" s="41" t="s">
        <v>696</v>
      </c>
    </row>
    <row r="334" spans="1:8" x14ac:dyDescent="0.45">
      <c r="A334" s="27"/>
      <c r="B334" s="39" t="s">
        <v>697</v>
      </c>
      <c r="C334" s="39" t="s">
        <v>698</v>
      </c>
      <c r="D334" s="39"/>
      <c r="E334" s="39"/>
      <c r="F334" s="39">
        <v>20</v>
      </c>
      <c r="G334" s="39">
        <v>20</v>
      </c>
      <c r="H334" s="39" t="s">
        <v>699</v>
      </c>
    </row>
    <row r="335" spans="1:8" x14ac:dyDescent="0.45">
      <c r="A335" s="27"/>
      <c r="B335" s="39" t="s">
        <v>700</v>
      </c>
      <c r="C335" s="39" t="s">
        <v>84</v>
      </c>
      <c r="D335" s="39"/>
      <c r="E335" s="39"/>
      <c r="F335" s="39">
        <v>0.65</v>
      </c>
      <c r="G335" s="39">
        <v>0.65</v>
      </c>
      <c r="H335" s="39" t="s">
        <v>701</v>
      </c>
    </row>
    <row r="336" spans="1:8" x14ac:dyDescent="0.45">
      <c r="A336" s="27"/>
      <c r="B336" s="39" t="s">
        <v>702</v>
      </c>
      <c r="C336" s="39" t="s">
        <v>84</v>
      </c>
      <c r="D336" s="39"/>
      <c r="E336" s="39"/>
      <c r="F336" s="39">
        <v>0.99</v>
      </c>
      <c r="G336" s="39">
        <v>0.99</v>
      </c>
      <c r="H336" s="39" t="s">
        <v>703</v>
      </c>
    </row>
    <row r="337" spans="1:8" x14ac:dyDescent="0.45">
      <c r="A337" s="27"/>
      <c r="B337" s="39" t="s">
        <v>704</v>
      </c>
      <c r="C337" s="39" t="s">
        <v>84</v>
      </c>
      <c r="D337" s="39"/>
      <c r="E337" s="39"/>
      <c r="F337" s="39">
        <v>0.5</v>
      </c>
      <c r="G337" s="39">
        <v>0.5</v>
      </c>
      <c r="H337" s="39" t="s">
        <v>705</v>
      </c>
    </row>
    <row r="338" spans="1:8" x14ac:dyDescent="0.45">
      <c r="A338" s="27"/>
      <c r="B338" s="39" t="s">
        <v>706</v>
      </c>
      <c r="C338" s="39" t="s">
        <v>141</v>
      </c>
      <c r="D338" s="39"/>
      <c r="E338" s="39"/>
      <c r="F338" s="39" t="s">
        <v>651</v>
      </c>
      <c r="G338" s="39" t="s">
        <v>651</v>
      </c>
      <c r="H338" s="39" t="s">
        <v>707</v>
      </c>
    </row>
    <row r="339" spans="1:8" x14ac:dyDescent="0.45">
      <c r="B339" s="41" t="s">
        <v>708</v>
      </c>
    </row>
    <row r="340" spans="1:8" x14ac:dyDescent="0.45">
      <c r="B340" s="39" t="s">
        <v>709</v>
      </c>
      <c r="C340" s="39" t="s">
        <v>710</v>
      </c>
      <c r="D340" s="39"/>
      <c r="E340" s="39"/>
      <c r="F340" s="39" t="s">
        <v>711</v>
      </c>
      <c r="G340" s="39" t="s">
        <v>472</v>
      </c>
      <c r="H340" s="39" t="s">
        <v>712</v>
      </c>
    </row>
    <row r="341" spans="1:8" x14ac:dyDescent="0.45">
      <c r="A341" s="27"/>
      <c r="B341" s="41" t="s">
        <v>713</v>
      </c>
    </row>
    <row r="342" spans="1:8" x14ac:dyDescent="0.45">
      <c r="A342" s="27"/>
      <c r="B342" s="39" t="s">
        <v>714</v>
      </c>
      <c r="C342" s="39" t="s">
        <v>141</v>
      </c>
      <c r="D342" s="39"/>
      <c r="E342" s="39"/>
      <c r="F342" s="39" t="s">
        <v>423</v>
      </c>
      <c r="G342" s="39" t="s">
        <v>423</v>
      </c>
      <c r="H342" s="39" t="s">
        <v>715</v>
      </c>
    </row>
    <row r="343" spans="1:8" x14ac:dyDescent="0.45">
      <c r="A343" s="27"/>
      <c r="B343" s="39" t="s">
        <v>716</v>
      </c>
      <c r="C343" s="40"/>
      <c r="D343" s="39"/>
      <c r="E343" s="39"/>
      <c r="F343" s="39">
        <v>1</v>
      </c>
      <c r="G343" s="39">
        <v>1</v>
      </c>
      <c r="H343" s="39" t="s">
        <v>717</v>
      </c>
    </row>
    <row r="344" spans="1:8" x14ac:dyDescent="0.45">
      <c r="A344" s="27"/>
      <c r="B344" s="39" t="s">
        <v>718</v>
      </c>
      <c r="C344" s="39" t="s">
        <v>155</v>
      </c>
      <c r="D344" s="39"/>
      <c r="E344" s="39"/>
      <c r="F344" s="39">
        <v>2030</v>
      </c>
      <c r="G344" s="39">
        <v>2030</v>
      </c>
      <c r="H344" s="39" t="s">
        <v>719</v>
      </c>
    </row>
    <row r="345" spans="1:8" x14ac:dyDescent="0.45">
      <c r="A345" s="27"/>
      <c r="B345" s="39" t="s">
        <v>720</v>
      </c>
      <c r="C345" s="39" t="s">
        <v>141</v>
      </c>
      <c r="D345" s="39"/>
      <c r="E345" s="39"/>
      <c r="F345" s="39" t="s">
        <v>721</v>
      </c>
      <c r="G345" s="39" t="s">
        <v>721</v>
      </c>
      <c r="H345" s="39" t="s">
        <v>722</v>
      </c>
    </row>
    <row r="346" spans="1:8" x14ac:dyDescent="0.45">
      <c r="A346" s="27"/>
      <c r="B346" s="39" t="s">
        <v>723</v>
      </c>
      <c r="C346" s="39" t="s">
        <v>724</v>
      </c>
      <c r="D346" s="39"/>
      <c r="E346" s="39"/>
      <c r="F346" s="39">
        <v>2</v>
      </c>
      <c r="G346" s="39">
        <v>2</v>
      </c>
      <c r="H346" s="39" t="s">
        <v>725</v>
      </c>
    </row>
    <row r="347" spans="1:8" x14ac:dyDescent="0.45">
      <c r="A347" s="27"/>
      <c r="B347" s="39" t="s">
        <v>726</v>
      </c>
      <c r="C347" s="39" t="s">
        <v>724</v>
      </c>
      <c r="D347" s="39"/>
      <c r="E347" s="39"/>
      <c r="F347" s="39">
        <v>2</v>
      </c>
      <c r="G347" s="39">
        <v>2</v>
      </c>
      <c r="H347" s="39" t="s">
        <v>727</v>
      </c>
    </row>
    <row r="348" spans="1:8" x14ac:dyDescent="0.45">
      <c r="A348" s="27"/>
      <c r="B348" s="39" t="s">
        <v>728</v>
      </c>
      <c r="C348" s="40"/>
      <c r="D348" s="39"/>
      <c r="E348" s="39"/>
      <c r="F348" s="39">
        <v>0.01</v>
      </c>
      <c r="G348" s="39">
        <v>0.01</v>
      </c>
      <c r="H348" s="39" t="s">
        <v>729</v>
      </c>
    </row>
    <row r="349" spans="1:8" x14ac:dyDescent="0.45">
      <c r="A349" s="27"/>
      <c r="B349" s="39" t="s">
        <v>730</v>
      </c>
      <c r="C349" s="39" t="s">
        <v>141</v>
      </c>
      <c r="D349" s="39"/>
      <c r="E349" s="39"/>
      <c r="F349" s="39" t="s">
        <v>731</v>
      </c>
      <c r="G349" s="39" t="s">
        <v>731</v>
      </c>
      <c r="H349" s="39" t="s">
        <v>732</v>
      </c>
    </row>
    <row r="350" spans="1:8" x14ac:dyDescent="0.45">
      <c r="A350" s="27"/>
      <c r="B350" s="39" t="s">
        <v>733</v>
      </c>
      <c r="C350" s="40"/>
      <c r="D350" s="39"/>
      <c r="E350" s="39"/>
      <c r="F350" s="39" t="s">
        <v>651</v>
      </c>
      <c r="G350" s="39" t="s">
        <v>651</v>
      </c>
      <c r="H350" s="39" t="s">
        <v>734</v>
      </c>
    </row>
    <row r="351" spans="1:8" x14ac:dyDescent="0.45">
      <c r="A351" s="27"/>
      <c r="B351" s="39" t="s">
        <v>735</v>
      </c>
      <c r="C351" s="40"/>
      <c r="D351" s="39"/>
      <c r="E351" s="39"/>
      <c r="F351" s="39">
        <v>0.01</v>
      </c>
      <c r="G351" s="39">
        <v>0.01</v>
      </c>
      <c r="H351" s="39" t="s">
        <v>736</v>
      </c>
    </row>
    <row r="352" spans="1:8" x14ac:dyDescent="0.45">
      <c r="A352" s="27"/>
      <c r="B352" s="41" t="s">
        <v>737</v>
      </c>
    </row>
    <row r="353" spans="1:8" x14ac:dyDescent="0.45">
      <c r="A353" s="27"/>
      <c r="B353" s="39" t="s">
        <v>738</v>
      </c>
      <c r="C353" s="39" t="s">
        <v>141</v>
      </c>
      <c r="D353" s="39"/>
      <c r="E353" s="39"/>
      <c r="F353" s="39" t="s">
        <v>244</v>
      </c>
      <c r="G353" s="39" t="s">
        <v>244</v>
      </c>
      <c r="H353" s="39" t="s">
        <v>739</v>
      </c>
    </row>
    <row r="354" spans="1:8" x14ac:dyDescent="0.45">
      <c r="A354" s="27"/>
      <c r="B354" s="39" t="s">
        <v>740</v>
      </c>
      <c r="C354" s="39" t="s">
        <v>741</v>
      </c>
      <c r="D354" s="39"/>
      <c r="E354" s="39"/>
      <c r="F354" s="39">
        <v>0</v>
      </c>
      <c r="G354" s="39">
        <v>0</v>
      </c>
      <c r="H354" s="39" t="s">
        <v>742</v>
      </c>
    </row>
    <row r="355" spans="1:8" x14ac:dyDescent="0.45">
      <c r="A355" s="27"/>
      <c r="B355" s="39" t="s">
        <v>743</v>
      </c>
      <c r="C355" s="39" t="s">
        <v>741</v>
      </c>
      <c r="D355" s="39"/>
      <c r="E355" s="39"/>
      <c r="F355" s="39">
        <v>0</v>
      </c>
      <c r="G355" s="39">
        <v>0</v>
      </c>
      <c r="H355" s="39" t="s">
        <v>744</v>
      </c>
    </row>
    <row r="356" spans="1:8" x14ac:dyDescent="0.45">
      <c r="A356" s="27"/>
      <c r="B356" s="39" t="s">
        <v>745</v>
      </c>
      <c r="C356" s="39" t="s">
        <v>746</v>
      </c>
      <c r="D356" s="39"/>
      <c r="E356" s="39"/>
      <c r="F356" s="39">
        <v>10</v>
      </c>
      <c r="G356" s="39">
        <v>10</v>
      </c>
      <c r="H356" s="39" t="s">
        <v>747</v>
      </c>
    </row>
    <row r="357" spans="1:8" x14ac:dyDescent="0.45">
      <c r="A357" s="27"/>
      <c r="B357" s="39" t="s">
        <v>748</v>
      </c>
      <c r="C357" s="39" t="s">
        <v>141</v>
      </c>
      <c r="D357" s="39"/>
      <c r="E357" s="39"/>
      <c r="F357" s="39" t="s">
        <v>244</v>
      </c>
      <c r="G357" s="39" t="s">
        <v>244</v>
      </c>
      <c r="H357" s="39" t="s">
        <v>749</v>
      </c>
    </row>
    <row r="358" spans="1:8" x14ac:dyDescent="0.45">
      <c r="A358" s="27"/>
      <c r="B358" s="41" t="s">
        <v>750</v>
      </c>
    </row>
    <row r="359" spans="1:8" x14ac:dyDescent="0.45">
      <c r="A359" s="27"/>
      <c r="B359" s="39" t="s">
        <v>751</v>
      </c>
      <c r="C359" s="40"/>
      <c r="D359" s="39"/>
      <c r="E359" s="39"/>
      <c r="F359" s="39">
        <v>0.05</v>
      </c>
      <c r="G359" s="39">
        <v>0.05</v>
      </c>
      <c r="H359" s="39" t="s">
        <v>752</v>
      </c>
    </row>
    <row r="360" spans="1:8" x14ac:dyDescent="0.45">
      <c r="A360" s="27"/>
      <c r="B360" s="39" t="s">
        <v>753</v>
      </c>
      <c r="C360" s="40"/>
      <c r="D360" s="39"/>
      <c r="E360" s="39"/>
      <c r="F360" s="39">
        <v>0.02</v>
      </c>
      <c r="G360" s="39">
        <v>0.02</v>
      </c>
      <c r="H360" s="39" t="s">
        <v>754</v>
      </c>
    </row>
    <row r="361" spans="1:8" x14ac:dyDescent="0.45">
      <c r="A361" s="27"/>
      <c r="B361" s="39" t="s">
        <v>755</v>
      </c>
      <c r="C361" s="40"/>
      <c r="D361" s="39"/>
      <c r="E361" s="39"/>
      <c r="F361" s="39">
        <v>0.05</v>
      </c>
      <c r="G361" s="39">
        <v>0.05</v>
      </c>
      <c r="H361" s="39" t="s">
        <v>756</v>
      </c>
    </row>
    <row r="362" spans="1:8" x14ac:dyDescent="0.45">
      <c r="A362" s="27"/>
      <c r="B362" s="39" t="s">
        <v>757</v>
      </c>
      <c r="C362" s="39" t="s">
        <v>141</v>
      </c>
      <c r="D362" s="39"/>
      <c r="E362" s="39"/>
      <c r="F362" s="39" t="s">
        <v>758</v>
      </c>
      <c r="G362" s="39" t="s">
        <v>758</v>
      </c>
      <c r="H362" s="39" t="s">
        <v>759</v>
      </c>
    </row>
    <row r="363" spans="1:8" x14ac:dyDescent="0.45">
      <c r="A363" s="27"/>
      <c r="B363" s="41" t="s">
        <v>760</v>
      </c>
    </row>
    <row r="364" spans="1:8" x14ac:dyDescent="0.45">
      <c r="A364" s="27"/>
      <c r="B364" s="39" t="s">
        <v>761</v>
      </c>
      <c r="C364" s="40"/>
      <c r="D364" s="39"/>
      <c r="E364" s="39"/>
      <c r="F364" s="39" t="s">
        <v>423</v>
      </c>
      <c r="G364" s="39" t="s">
        <v>423</v>
      </c>
      <c r="H364" s="39" t="s">
        <v>762</v>
      </c>
    </row>
    <row r="365" spans="1:8" x14ac:dyDescent="0.45">
      <c r="A365" s="27" t="s">
        <v>153</v>
      </c>
      <c r="B365" s="39" t="s">
        <v>763</v>
      </c>
      <c r="C365" s="40"/>
      <c r="D365" s="39"/>
      <c r="E365" s="39"/>
      <c r="F365" s="39" t="s">
        <v>764</v>
      </c>
      <c r="G365" s="39" t="s">
        <v>765</v>
      </c>
      <c r="H365" s="39" t="s">
        <v>766</v>
      </c>
    </row>
    <row r="366" spans="1:8" x14ac:dyDescent="0.45">
      <c r="A366" s="27"/>
      <c r="B366" s="39" t="s">
        <v>767</v>
      </c>
      <c r="C366" s="40"/>
      <c r="D366" s="39"/>
      <c r="E366" s="39"/>
      <c r="F366" s="39">
        <v>7.4999999999999997E-2</v>
      </c>
      <c r="G366" s="39">
        <v>7.4999999999999997E-2</v>
      </c>
      <c r="H366" s="39" t="s">
        <v>768</v>
      </c>
    </row>
    <row r="367" spans="1:8" x14ac:dyDescent="0.45">
      <c r="A367" s="27"/>
      <c r="B367" s="39" t="s">
        <v>769</v>
      </c>
      <c r="C367" s="40"/>
      <c r="D367" s="39"/>
      <c r="E367" s="39"/>
      <c r="F367" s="39" t="s">
        <v>268</v>
      </c>
      <c r="G367" s="39" t="s">
        <v>268</v>
      </c>
      <c r="H367" s="39" t="s">
        <v>770</v>
      </c>
    </row>
    <row r="368" spans="1:8" x14ac:dyDescent="0.45">
      <c r="A368" s="27"/>
      <c r="B368" s="39" t="s">
        <v>771</v>
      </c>
      <c r="C368" s="40"/>
      <c r="D368" s="39"/>
      <c r="E368" s="39"/>
      <c r="F368" s="39" t="s">
        <v>423</v>
      </c>
      <c r="G368" s="39" t="s">
        <v>423</v>
      </c>
      <c r="H368" s="39" t="s">
        <v>772</v>
      </c>
    </row>
    <row r="369" spans="1:8" x14ac:dyDescent="0.45">
      <c r="A369" s="27"/>
      <c r="B369" s="39" t="s">
        <v>773</v>
      </c>
      <c r="C369" s="40"/>
      <c r="D369" s="39"/>
      <c r="E369" s="39"/>
      <c r="F369" s="39" t="s">
        <v>424</v>
      </c>
      <c r="G369" s="39" t="s">
        <v>424</v>
      </c>
      <c r="H369" s="39" t="s">
        <v>774</v>
      </c>
    </row>
    <row r="370" spans="1:8" x14ac:dyDescent="0.45">
      <c r="A370" s="27"/>
      <c r="B370" s="39" t="s">
        <v>775</v>
      </c>
      <c r="C370" s="40"/>
      <c r="D370" s="39"/>
      <c r="E370" s="39"/>
      <c r="F370" s="39">
        <v>0</v>
      </c>
      <c r="G370" s="39">
        <v>0</v>
      </c>
      <c r="H370" s="39" t="s">
        <v>776</v>
      </c>
    </row>
    <row r="371" spans="1:8" x14ac:dyDescent="0.45">
      <c r="A371" s="27"/>
      <c r="B371" s="39" t="s">
        <v>777</v>
      </c>
      <c r="C371" s="40"/>
      <c r="D371" s="39"/>
      <c r="E371" s="39"/>
      <c r="F371" s="39">
        <v>0</v>
      </c>
      <c r="G371" s="39">
        <v>0</v>
      </c>
      <c r="H371" s="39" t="s">
        <v>778</v>
      </c>
    </row>
    <row r="372" spans="1:8" x14ac:dyDescent="0.45">
      <c r="A372" s="27"/>
      <c r="B372" s="39" t="s">
        <v>779</v>
      </c>
      <c r="C372" s="40"/>
      <c r="D372" s="39"/>
      <c r="E372" s="39"/>
      <c r="F372" s="39">
        <v>0.9</v>
      </c>
      <c r="G372" s="39">
        <v>0.9</v>
      </c>
      <c r="H372" s="39" t="s">
        <v>780</v>
      </c>
    </row>
    <row r="373" spans="1:8" x14ac:dyDescent="0.45">
      <c r="A373" s="27"/>
      <c r="B373" s="39" t="s">
        <v>781</v>
      </c>
      <c r="C373" s="40"/>
      <c r="D373" s="39"/>
      <c r="E373" s="39"/>
      <c r="F373" s="39">
        <v>0.9</v>
      </c>
      <c r="G373" s="39">
        <v>0.9</v>
      </c>
      <c r="H373" s="39" t="s">
        <v>782</v>
      </c>
    </row>
    <row r="374" spans="1:8" x14ac:dyDescent="0.45">
      <c r="A374" s="27"/>
      <c r="B374" s="39" t="s">
        <v>783</v>
      </c>
      <c r="C374" s="40"/>
      <c r="D374" s="39"/>
      <c r="E374" s="39"/>
      <c r="F374" s="39">
        <v>1</v>
      </c>
      <c r="G374" s="39">
        <v>1</v>
      </c>
      <c r="H374" s="39" t="s">
        <v>784</v>
      </c>
    </row>
    <row r="375" spans="1:8" x14ac:dyDescent="0.45">
      <c r="A375" s="27"/>
      <c r="B375" s="39" t="s">
        <v>785</v>
      </c>
      <c r="C375" s="40"/>
      <c r="D375" s="39"/>
      <c r="E375" s="39"/>
      <c r="F375" s="39">
        <v>0.1</v>
      </c>
      <c r="G375" s="39">
        <v>0.1</v>
      </c>
      <c r="H375" s="39" t="s">
        <v>786</v>
      </c>
    </row>
    <row r="376" spans="1:8" x14ac:dyDescent="0.45">
      <c r="A376" s="27"/>
      <c r="B376" s="39" t="s">
        <v>787</v>
      </c>
      <c r="C376" s="40"/>
      <c r="D376" s="39"/>
      <c r="E376" s="39"/>
      <c r="F376" s="39">
        <v>0.01</v>
      </c>
      <c r="G376" s="39">
        <v>0.01</v>
      </c>
      <c r="H376" s="39" t="s">
        <v>788</v>
      </c>
    </row>
    <row r="377" spans="1:8" x14ac:dyDescent="0.45">
      <c r="A377" s="27"/>
      <c r="B377" s="39" t="s">
        <v>789</v>
      </c>
      <c r="C377" s="40"/>
      <c r="D377" s="39"/>
      <c r="E377" s="39"/>
      <c r="F377" s="39">
        <v>1</v>
      </c>
      <c r="G377" s="39">
        <v>1</v>
      </c>
      <c r="H377" s="39" t="s">
        <v>790</v>
      </c>
    </row>
    <row r="378" spans="1:8" x14ac:dyDescent="0.45">
      <c r="A378" s="27"/>
      <c r="B378" s="39" t="s">
        <v>791</v>
      </c>
      <c r="C378" s="40"/>
      <c r="D378" s="39"/>
      <c r="E378" s="39"/>
      <c r="F378" s="39">
        <v>0.8</v>
      </c>
      <c r="G378" s="39">
        <v>0.8</v>
      </c>
      <c r="H378" s="39" t="s">
        <v>792</v>
      </c>
    </row>
    <row r="379" spans="1:8" x14ac:dyDescent="0.45">
      <c r="A379" s="27"/>
      <c r="B379" s="39" t="s">
        <v>793</v>
      </c>
      <c r="C379" s="40"/>
      <c r="D379" s="39"/>
      <c r="E379" s="39"/>
      <c r="F379" s="39" t="s">
        <v>651</v>
      </c>
      <c r="G379" s="39" t="s">
        <v>651</v>
      </c>
      <c r="H379" s="39" t="s">
        <v>794</v>
      </c>
    </row>
    <row r="380" spans="1:8" x14ac:dyDescent="0.45">
      <c r="A380" s="27"/>
      <c r="B380" s="39" t="s">
        <v>795</v>
      </c>
      <c r="C380" s="40"/>
      <c r="D380" s="39"/>
      <c r="E380" s="39"/>
      <c r="F380" s="39">
        <v>0.1</v>
      </c>
      <c r="G380" s="39">
        <v>0.1</v>
      </c>
      <c r="H380" s="39" t="s">
        <v>796</v>
      </c>
    </row>
    <row r="381" spans="1:8" x14ac:dyDescent="0.45">
      <c r="A381" s="27"/>
      <c r="B381" s="41" t="s">
        <v>797</v>
      </c>
    </row>
    <row r="382" spans="1:8" x14ac:dyDescent="0.45">
      <c r="A382" s="27"/>
      <c r="B382" s="39" t="s">
        <v>798</v>
      </c>
      <c r="C382" s="40"/>
      <c r="D382" s="39"/>
      <c r="E382" s="39"/>
      <c r="F382" s="39">
        <v>0</v>
      </c>
      <c r="G382" s="39">
        <v>0</v>
      </c>
      <c r="H382" s="39" t="s">
        <v>799</v>
      </c>
    </row>
    <row r="383" spans="1:8" x14ac:dyDescent="0.45">
      <c r="A383" s="27"/>
      <c r="B383" s="39" t="s">
        <v>800</v>
      </c>
      <c r="C383" s="40"/>
      <c r="D383" s="39"/>
      <c r="E383" s="39"/>
      <c r="F383" s="39" t="s">
        <v>424</v>
      </c>
      <c r="G383" s="39" t="s">
        <v>424</v>
      </c>
      <c r="H383" s="39" t="s">
        <v>801</v>
      </c>
    </row>
    <row r="384" spans="1:8" x14ac:dyDescent="0.45">
      <c r="A384" s="27"/>
      <c r="B384" s="39" t="s">
        <v>802</v>
      </c>
      <c r="C384" s="40"/>
      <c r="D384" s="39"/>
      <c r="E384" s="39"/>
      <c r="F384" s="39" t="s">
        <v>424</v>
      </c>
      <c r="G384" s="39" t="s">
        <v>424</v>
      </c>
      <c r="H384" s="39" t="s">
        <v>803</v>
      </c>
    </row>
    <row r="385" spans="1:8" x14ac:dyDescent="0.45">
      <c r="A385" s="27"/>
      <c r="B385" s="39" t="s">
        <v>804</v>
      </c>
      <c r="C385" s="40"/>
      <c r="D385" s="39"/>
      <c r="E385" s="39"/>
      <c r="F385" s="39">
        <v>2027</v>
      </c>
      <c r="G385" s="39">
        <v>2027</v>
      </c>
      <c r="H385" s="39" t="s">
        <v>805</v>
      </c>
    </row>
    <row r="386" spans="1:8" x14ac:dyDescent="0.45">
      <c r="A386" s="27"/>
      <c r="B386" s="39" t="s">
        <v>806</v>
      </c>
      <c r="C386" s="40"/>
      <c r="D386" s="39"/>
      <c r="E386" s="39"/>
      <c r="F386" s="39">
        <v>5</v>
      </c>
      <c r="G386" s="39">
        <v>5</v>
      </c>
      <c r="H386" s="39" t="s">
        <v>807</v>
      </c>
    </row>
    <row r="387" spans="1:8" x14ac:dyDescent="0.45">
      <c r="A387" s="27"/>
      <c r="B387" s="41" t="s">
        <v>808</v>
      </c>
    </row>
    <row r="388" spans="1:8" x14ac:dyDescent="0.45">
      <c r="A388" s="27"/>
      <c r="B388" s="39" t="s">
        <v>809</v>
      </c>
      <c r="C388" s="39" t="s">
        <v>84</v>
      </c>
      <c r="D388" s="39"/>
      <c r="E388" s="39"/>
      <c r="F388" s="39">
        <v>1</v>
      </c>
      <c r="G388" s="39">
        <v>1</v>
      </c>
      <c r="H388" s="39" t="s">
        <v>810</v>
      </c>
    </row>
    <row r="389" spans="1:8" x14ac:dyDescent="0.45">
      <c r="A389" s="27"/>
      <c r="B389" s="39" t="s">
        <v>811</v>
      </c>
      <c r="C389" s="40"/>
      <c r="D389" s="39"/>
      <c r="E389" s="39"/>
      <c r="F389" s="39">
        <v>9</v>
      </c>
      <c r="G389" s="39">
        <v>9</v>
      </c>
      <c r="H389" s="39" t="s">
        <v>812</v>
      </c>
    </row>
    <row r="390" spans="1:8" x14ac:dyDescent="0.45">
      <c r="A390" s="27"/>
      <c r="B390" s="39" t="s">
        <v>813</v>
      </c>
      <c r="C390" s="40"/>
      <c r="D390" s="39"/>
      <c r="E390" s="39"/>
      <c r="F390" s="39">
        <v>2</v>
      </c>
      <c r="G390" s="39">
        <v>2</v>
      </c>
      <c r="H390" s="39" t="s">
        <v>814</v>
      </c>
    </row>
    <row r="391" spans="1:8" x14ac:dyDescent="0.45">
      <c r="A391" s="27"/>
      <c r="B391" s="41" t="s">
        <v>815</v>
      </c>
    </row>
    <row r="392" spans="1:8" x14ac:dyDescent="0.45">
      <c r="A392" s="27"/>
      <c r="B392" s="39" t="s">
        <v>816</v>
      </c>
      <c r="C392" s="40"/>
      <c r="D392" s="39"/>
      <c r="E392" s="39"/>
      <c r="F392" s="39">
        <v>0.33</v>
      </c>
      <c r="G392" s="39">
        <v>0.33</v>
      </c>
      <c r="H392" s="39" t="s">
        <v>817</v>
      </c>
    </row>
    <row r="393" spans="1:8" x14ac:dyDescent="0.45">
      <c r="A393" s="27"/>
      <c r="B393" s="39" t="s">
        <v>818</v>
      </c>
      <c r="C393" s="39" t="s">
        <v>84</v>
      </c>
      <c r="D393" s="39"/>
      <c r="E393" s="39"/>
      <c r="F393" s="39">
        <v>0.75</v>
      </c>
      <c r="G393" s="39">
        <v>0.75</v>
      </c>
      <c r="H393" s="39" t="s">
        <v>819</v>
      </c>
    </row>
    <row r="394" spans="1:8" x14ac:dyDescent="0.45">
      <c r="A394" s="27"/>
      <c r="B394" s="39" t="s">
        <v>820</v>
      </c>
      <c r="C394" s="39" t="s">
        <v>84</v>
      </c>
      <c r="D394" s="39"/>
      <c r="E394" s="39"/>
      <c r="F394" s="39">
        <v>1</v>
      </c>
      <c r="G394" s="39">
        <v>1</v>
      </c>
      <c r="H394" s="39" t="s">
        <v>821</v>
      </c>
    </row>
    <row r="395" spans="1:8" x14ac:dyDescent="0.45">
      <c r="A395" s="27"/>
      <c r="B395" s="39" t="s">
        <v>822</v>
      </c>
      <c r="C395" s="40"/>
      <c r="D395" s="39"/>
      <c r="E395" s="39"/>
      <c r="F395" s="39">
        <v>1000</v>
      </c>
      <c r="G395" s="39">
        <v>1000</v>
      </c>
      <c r="H395" s="39" t="s">
        <v>823</v>
      </c>
    </row>
    <row r="396" spans="1:8" x14ac:dyDescent="0.45">
      <c r="A396" s="27"/>
      <c r="B396" s="41" t="s">
        <v>824</v>
      </c>
    </row>
    <row r="397" spans="1:8" x14ac:dyDescent="0.45">
      <c r="A397" s="27"/>
      <c r="B397" s="39" t="s">
        <v>825</v>
      </c>
      <c r="C397" s="39" t="s">
        <v>826</v>
      </c>
      <c r="D397" s="39"/>
      <c r="E397" s="39"/>
      <c r="F397" s="39" t="s">
        <v>827</v>
      </c>
      <c r="G397" s="39" t="s">
        <v>827</v>
      </c>
      <c r="H397" s="39" t="s">
        <v>828</v>
      </c>
    </row>
    <row r="398" spans="1:8" x14ac:dyDescent="0.45">
      <c r="A398" s="27"/>
      <c r="B398" s="39" t="s">
        <v>829</v>
      </c>
      <c r="C398" s="39" t="s">
        <v>826</v>
      </c>
      <c r="D398" s="39"/>
      <c r="E398" s="39"/>
      <c r="F398" s="39" t="s">
        <v>827</v>
      </c>
      <c r="G398" s="39" t="s">
        <v>827</v>
      </c>
      <c r="H398" s="39" t="s">
        <v>830</v>
      </c>
    </row>
    <row r="399" spans="1:8" x14ac:dyDescent="0.45">
      <c r="A399" s="27"/>
      <c r="B399" s="39" t="s">
        <v>831</v>
      </c>
      <c r="C399" s="39" t="s">
        <v>826</v>
      </c>
      <c r="D399" s="39"/>
      <c r="E399" s="39"/>
      <c r="F399" s="39" t="s">
        <v>827</v>
      </c>
      <c r="G399" s="39" t="s">
        <v>827</v>
      </c>
      <c r="H399" s="39" t="s">
        <v>832</v>
      </c>
    </row>
    <row r="400" spans="1:8" x14ac:dyDescent="0.45">
      <c r="A400" s="27"/>
      <c r="B400" s="39" t="s">
        <v>833</v>
      </c>
      <c r="C400" s="39" t="s">
        <v>826</v>
      </c>
      <c r="D400" s="39"/>
      <c r="E400" s="39"/>
      <c r="F400" s="39" t="s">
        <v>827</v>
      </c>
      <c r="G400" s="39" t="s">
        <v>827</v>
      </c>
      <c r="H400" s="39" t="s">
        <v>834</v>
      </c>
    </row>
    <row r="401" spans="1:8" x14ac:dyDescent="0.45">
      <c r="A401" s="27"/>
      <c r="B401" s="39" t="s">
        <v>835</v>
      </c>
      <c r="C401" s="39" t="s">
        <v>826</v>
      </c>
      <c r="D401" s="39"/>
      <c r="E401" s="39"/>
      <c r="F401" s="39" t="s">
        <v>651</v>
      </c>
      <c r="G401" s="39" t="s">
        <v>651</v>
      </c>
      <c r="H401" s="39" t="s">
        <v>836</v>
      </c>
    </row>
    <row r="402" spans="1:8" x14ac:dyDescent="0.45">
      <c r="A402" s="27"/>
      <c r="B402" s="39" t="s">
        <v>837</v>
      </c>
      <c r="C402" s="39" t="s">
        <v>826</v>
      </c>
      <c r="D402" s="39"/>
      <c r="E402" s="39"/>
      <c r="F402" s="39" t="s">
        <v>651</v>
      </c>
      <c r="G402" s="39" t="s">
        <v>651</v>
      </c>
      <c r="H402" s="39" t="s">
        <v>838</v>
      </c>
    </row>
    <row r="403" spans="1:8" x14ac:dyDescent="0.45">
      <c r="A403" s="27"/>
      <c r="B403" s="39" t="s">
        <v>839</v>
      </c>
      <c r="C403" s="39" t="s">
        <v>826</v>
      </c>
      <c r="D403" s="39"/>
      <c r="E403" s="39"/>
      <c r="F403" s="39" t="s">
        <v>827</v>
      </c>
      <c r="G403" s="39" t="s">
        <v>827</v>
      </c>
      <c r="H403" s="39" t="s">
        <v>840</v>
      </c>
    </row>
    <row r="404" spans="1:8" x14ac:dyDescent="0.45">
      <c r="A404" s="27"/>
      <c r="B404" s="39" t="s">
        <v>841</v>
      </c>
      <c r="C404" s="39" t="s">
        <v>826</v>
      </c>
      <c r="D404" s="39"/>
      <c r="E404" s="39"/>
      <c r="F404" s="39" t="s">
        <v>827</v>
      </c>
      <c r="G404" s="39" t="s">
        <v>827</v>
      </c>
      <c r="H404" s="39" t="s">
        <v>842</v>
      </c>
    </row>
    <row r="405" spans="1:8" x14ac:dyDescent="0.45">
      <c r="A405" s="27"/>
      <c r="B405" s="39" t="s">
        <v>843</v>
      </c>
      <c r="C405" s="39" t="s">
        <v>826</v>
      </c>
      <c r="D405" s="39"/>
      <c r="E405" s="39"/>
      <c r="F405" s="39" t="s">
        <v>827</v>
      </c>
      <c r="G405" s="39" t="s">
        <v>827</v>
      </c>
      <c r="H405" s="39" t="s">
        <v>844</v>
      </c>
    </row>
    <row r="406" spans="1:8" x14ac:dyDescent="0.45">
      <c r="A406" s="27"/>
      <c r="B406" s="41" t="s">
        <v>845</v>
      </c>
    </row>
    <row r="407" spans="1:8" x14ac:dyDescent="0.45">
      <c r="A407" s="27"/>
      <c r="B407" s="39" t="s">
        <v>50</v>
      </c>
      <c r="C407" s="39" t="s">
        <v>846</v>
      </c>
      <c r="D407" s="39"/>
      <c r="E407" s="39"/>
      <c r="F407" s="39">
        <v>2022</v>
      </c>
      <c r="G407" s="39">
        <v>2022</v>
      </c>
      <c r="H407" s="39" t="s">
        <v>847</v>
      </c>
    </row>
    <row r="408" spans="1:8" x14ac:dyDescent="0.45">
      <c r="A408" s="27"/>
      <c r="B408" s="39" t="s">
        <v>54</v>
      </c>
      <c r="C408" s="39" t="s">
        <v>846</v>
      </c>
      <c r="D408" s="39"/>
      <c r="E408" s="39"/>
      <c r="F408" s="39">
        <v>2022</v>
      </c>
      <c r="G408" s="39">
        <v>2022</v>
      </c>
      <c r="H408" s="39" t="s">
        <v>848</v>
      </c>
    </row>
    <row r="409" spans="1:8" x14ac:dyDescent="0.45">
      <c r="A409" s="27"/>
      <c r="B409" s="39" t="s">
        <v>849</v>
      </c>
      <c r="C409" s="39" t="s">
        <v>846</v>
      </c>
      <c r="D409" s="39"/>
      <c r="E409" s="39"/>
      <c r="F409" s="39">
        <v>2022</v>
      </c>
      <c r="G409" s="39">
        <v>2022</v>
      </c>
      <c r="H409" s="39" t="s">
        <v>850</v>
      </c>
    </row>
    <row r="410" spans="1:8" x14ac:dyDescent="0.45">
      <c r="A410" s="27"/>
      <c r="B410" s="39" t="s">
        <v>851</v>
      </c>
      <c r="C410" s="39" t="s">
        <v>846</v>
      </c>
      <c r="D410" s="39"/>
      <c r="E410" s="39"/>
      <c r="F410" s="39">
        <v>2030</v>
      </c>
      <c r="G410" s="39">
        <v>2030</v>
      </c>
      <c r="H410" s="39" t="s">
        <v>852</v>
      </c>
    </row>
    <row r="411" spans="1:8" x14ac:dyDescent="0.45">
      <c r="A411" s="27"/>
      <c r="B411" s="39" t="s">
        <v>853</v>
      </c>
      <c r="C411" s="39" t="s">
        <v>846</v>
      </c>
      <c r="D411" s="39"/>
      <c r="E411" s="39"/>
      <c r="F411" s="39">
        <v>2022</v>
      </c>
      <c r="G411" s="39">
        <v>2022</v>
      </c>
      <c r="H411" s="39" t="s">
        <v>854</v>
      </c>
    </row>
    <row r="412" spans="1:8" x14ac:dyDescent="0.45">
      <c r="A412" s="27"/>
      <c r="B412" s="39" t="s">
        <v>855</v>
      </c>
      <c r="C412" s="39" t="s">
        <v>846</v>
      </c>
      <c r="D412" s="39"/>
      <c r="E412" s="39"/>
      <c r="F412" s="39">
        <v>2022</v>
      </c>
      <c r="G412" s="39">
        <v>2022</v>
      </c>
      <c r="H412" s="39" t="s">
        <v>856</v>
      </c>
    </row>
    <row r="413" spans="1:8" x14ac:dyDescent="0.45">
      <c r="A413" s="27"/>
      <c r="B413" s="39" t="s">
        <v>857</v>
      </c>
      <c r="C413" s="39" t="s">
        <v>846</v>
      </c>
      <c r="D413" s="39"/>
      <c r="E413" s="39"/>
      <c r="F413" s="39">
        <v>2030</v>
      </c>
      <c r="G413" s="39">
        <v>2030</v>
      </c>
      <c r="H413" s="39" t="s">
        <v>858</v>
      </c>
    </row>
    <row r="414" spans="1:8" x14ac:dyDescent="0.45">
      <c r="A414" s="27"/>
      <c r="B414" s="39" t="s">
        <v>859</v>
      </c>
      <c r="C414" s="39" t="s">
        <v>846</v>
      </c>
      <c r="D414" s="39"/>
      <c r="E414" s="39"/>
      <c r="F414" s="39">
        <v>2030</v>
      </c>
      <c r="G414" s="39">
        <v>2030</v>
      </c>
      <c r="H414" s="39" t="s">
        <v>860</v>
      </c>
    </row>
    <row r="415" spans="1:8" x14ac:dyDescent="0.45">
      <c r="A415" s="27"/>
      <c r="B415" s="39" t="s">
        <v>68</v>
      </c>
      <c r="C415" s="39" t="s">
        <v>846</v>
      </c>
      <c r="D415" s="39"/>
      <c r="E415" s="39"/>
      <c r="F415" s="39">
        <v>2022</v>
      </c>
      <c r="G415" s="39">
        <v>2022</v>
      </c>
      <c r="H415" s="39" t="s">
        <v>861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640625" defaultRowHeight="14.25" x14ac:dyDescent="0.45"/>
  <cols>
    <col min="1" max="1" width="18" customWidth="1"/>
    <col min="2" max="2" width="30" customWidth="1"/>
  </cols>
  <sheetData>
    <row r="1" spans="1:21" x14ac:dyDescent="0.45">
      <c r="A1" s="2" t="s">
        <v>862</v>
      </c>
      <c r="D1" s="3" t="s">
        <v>863</v>
      </c>
      <c r="E1" s="3" t="s">
        <v>864</v>
      </c>
      <c r="F1" s="3" t="s">
        <v>865</v>
      </c>
      <c r="G1" s="3" t="s">
        <v>866</v>
      </c>
      <c r="H1" s="3" t="s">
        <v>867</v>
      </c>
      <c r="I1" s="3" t="s">
        <v>232</v>
      </c>
      <c r="J1" s="3" t="s">
        <v>868</v>
      </c>
      <c r="K1" s="3" t="s">
        <v>869</v>
      </c>
      <c r="L1" s="3" t="s">
        <v>116</v>
      </c>
      <c r="M1" s="3" t="s">
        <v>42</v>
      </c>
      <c r="N1" s="3" t="s">
        <v>870</v>
      </c>
      <c r="O1" s="3" t="s">
        <v>871</v>
      </c>
      <c r="P1" s="3" t="s">
        <v>112</v>
      </c>
      <c r="Q1" s="3" t="s">
        <v>872</v>
      </c>
      <c r="R1" s="3" t="s">
        <v>873</v>
      </c>
      <c r="S1" s="3" t="s">
        <v>874</v>
      </c>
      <c r="T1" s="3" t="s">
        <v>875</v>
      </c>
      <c r="U1" s="3" t="s">
        <v>876</v>
      </c>
    </row>
    <row r="2" spans="1:21" x14ac:dyDescent="0.45">
      <c r="A2" t="s">
        <v>877</v>
      </c>
      <c r="B2" t="s">
        <v>32</v>
      </c>
      <c r="C2" t="s">
        <v>878</v>
      </c>
      <c r="D2" s="49" t="s">
        <v>879</v>
      </c>
      <c r="E2" s="49" t="s">
        <v>880</v>
      </c>
      <c r="F2" s="49" t="s">
        <v>881</v>
      </c>
      <c r="G2" s="49" t="s">
        <v>882</v>
      </c>
      <c r="H2" s="49" t="s">
        <v>883</v>
      </c>
      <c r="I2" s="49" t="s">
        <v>884</v>
      </c>
      <c r="J2" s="49" t="s">
        <v>885</v>
      </c>
      <c r="K2" s="49" t="s">
        <v>886</v>
      </c>
      <c r="L2" s="49" t="s">
        <v>117</v>
      </c>
      <c r="M2" s="49" t="s">
        <v>43</v>
      </c>
      <c r="N2" s="49" t="s">
        <v>115</v>
      </c>
      <c r="O2" s="49" t="s">
        <v>887</v>
      </c>
      <c r="P2" s="49" t="s">
        <v>113</v>
      </c>
      <c r="Q2" s="49" t="s">
        <v>888</v>
      </c>
      <c r="R2" s="49" t="s">
        <v>889</v>
      </c>
      <c r="S2" s="49" t="s">
        <v>890</v>
      </c>
      <c r="T2" s="49" t="s">
        <v>891</v>
      </c>
      <c r="U2" s="49"/>
    </row>
    <row r="3" spans="1:21" x14ac:dyDescent="0.45">
      <c r="A3" s="28" t="s">
        <v>892</v>
      </c>
      <c r="B3" s="5" t="s">
        <v>893</v>
      </c>
      <c r="C3" s="2" t="s">
        <v>894</v>
      </c>
      <c r="D3" s="18">
        <v>-19492.335660505702</v>
      </c>
      <c r="E3" s="18">
        <v>0</v>
      </c>
      <c r="F3" s="18">
        <v>47.631869619438604</v>
      </c>
      <c r="G3" s="18">
        <v>0</v>
      </c>
      <c r="H3" s="18">
        <v>0</v>
      </c>
      <c r="I3" s="18">
        <v>6382.1424616876202</v>
      </c>
      <c r="J3" s="18">
        <v>1257.2944901716601</v>
      </c>
      <c r="K3" s="18">
        <v>4021.5308672193701</v>
      </c>
      <c r="L3" s="18">
        <v>411.49545779030302</v>
      </c>
      <c r="M3" s="18">
        <v>751.85310984444698</v>
      </c>
      <c r="N3" s="18">
        <v>6.1925552619658104</v>
      </c>
      <c r="O3" s="18">
        <v>573.08411847807804</v>
      </c>
      <c r="P3" s="18">
        <v>1270.6460918469199</v>
      </c>
      <c r="Q3" s="18">
        <v>773.84878850703501</v>
      </c>
      <c r="R3" s="18">
        <v>0</v>
      </c>
      <c r="S3" s="18">
        <v>591.84356547659195</v>
      </c>
      <c r="T3" s="18">
        <v>0</v>
      </c>
      <c r="U3" s="18">
        <v>-3573.4183469115301</v>
      </c>
    </row>
    <row r="4" spans="1:21" x14ac:dyDescent="0.45">
      <c r="A4" s="28" t="s">
        <v>895</v>
      </c>
      <c r="B4" s="5" t="s">
        <v>50</v>
      </c>
      <c r="C4" s="2" t="s">
        <v>49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1.67290731426795</v>
      </c>
      <c r="J4" s="18">
        <v>0</v>
      </c>
      <c r="K4" s="18">
        <v>0</v>
      </c>
      <c r="L4" s="18">
        <v>0</v>
      </c>
      <c r="M4" s="18">
        <v>232.65735477013101</v>
      </c>
      <c r="N4" s="18">
        <v>0</v>
      </c>
      <c r="O4" s="18">
        <v>0</v>
      </c>
      <c r="P4" s="18">
        <v>1463.05522446279</v>
      </c>
      <c r="Q4" s="18">
        <v>0</v>
      </c>
      <c r="R4" s="18">
        <v>0</v>
      </c>
      <c r="S4" s="18">
        <v>0</v>
      </c>
      <c r="T4" s="18">
        <v>0</v>
      </c>
      <c r="U4" s="18">
        <v>-165.399243442987</v>
      </c>
    </row>
    <row r="5" spans="1:21" x14ac:dyDescent="0.45">
      <c r="A5" s="28" t="s">
        <v>896</v>
      </c>
      <c r="B5" s="5" t="s">
        <v>54</v>
      </c>
      <c r="C5" s="2" t="s">
        <v>53</v>
      </c>
      <c r="D5" s="18">
        <v>31743.440587495199</v>
      </c>
      <c r="E5" s="18">
        <v>541.70399251623599</v>
      </c>
      <c r="F5" s="18">
        <v>0</v>
      </c>
      <c r="G5" s="18">
        <v>0</v>
      </c>
      <c r="H5" s="18">
        <v>0</v>
      </c>
      <c r="I5" s="18">
        <v>2035.4604197727199</v>
      </c>
      <c r="J5" s="18">
        <v>0</v>
      </c>
      <c r="K5" s="18">
        <v>0</v>
      </c>
      <c r="L5" s="18">
        <v>0</v>
      </c>
      <c r="M5" s="18">
        <v>1669.05671904213</v>
      </c>
      <c r="N5" s="18">
        <v>0</v>
      </c>
      <c r="O5" s="18">
        <v>0</v>
      </c>
      <c r="P5" s="18">
        <v>1747.39153476208</v>
      </c>
      <c r="Q5" s="18">
        <v>960.13003721478594</v>
      </c>
      <c r="R5" s="18">
        <v>0</v>
      </c>
      <c r="S5" s="18">
        <v>7454.0058294663504</v>
      </c>
      <c r="T5" s="18">
        <v>0</v>
      </c>
      <c r="U5" s="18">
        <v>8778.2669127344107</v>
      </c>
    </row>
    <row r="6" spans="1:21" x14ac:dyDescent="0.45">
      <c r="A6" s="28" t="s">
        <v>897</v>
      </c>
      <c r="B6" s="5" t="s">
        <v>65</v>
      </c>
      <c r="C6" s="2" t="s">
        <v>64</v>
      </c>
      <c r="D6" s="18">
        <v>4928.2673355244997</v>
      </c>
      <c r="E6" s="18">
        <v>0</v>
      </c>
      <c r="F6" s="18">
        <v>0</v>
      </c>
      <c r="G6" s="18">
        <v>0</v>
      </c>
      <c r="H6" s="18">
        <v>290.70949716970898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2347.5275440371402</v>
      </c>
      <c r="R6" s="18">
        <v>0</v>
      </c>
      <c r="S6" s="18">
        <v>293.09921221965601</v>
      </c>
      <c r="T6" s="18">
        <v>100.678839675172</v>
      </c>
      <c r="U6" s="18">
        <v>-17958.526569829599</v>
      </c>
    </row>
    <row r="7" spans="1:21" x14ac:dyDescent="0.45">
      <c r="A7" s="28" t="s">
        <v>898</v>
      </c>
      <c r="B7" s="5" t="s">
        <v>56</v>
      </c>
      <c r="C7" s="2" t="s">
        <v>55</v>
      </c>
      <c r="D7" s="18">
        <v>0</v>
      </c>
      <c r="E7" s="18">
        <v>7577.29644334562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5735.9845358294397</v>
      </c>
    </row>
    <row r="8" spans="1:21" x14ac:dyDescent="0.45">
      <c r="A8" s="28" t="s">
        <v>899</v>
      </c>
      <c r="B8" s="5" t="s">
        <v>59</v>
      </c>
      <c r="C8" s="2" t="s">
        <v>58</v>
      </c>
      <c r="D8" s="18">
        <v>21.620807195247799</v>
      </c>
      <c r="E8" s="18">
        <v>10207.6320601434</v>
      </c>
      <c r="F8" s="18">
        <v>0</v>
      </c>
      <c r="G8" s="18">
        <v>0</v>
      </c>
      <c r="H8" s="18">
        <v>0</v>
      </c>
      <c r="I8" s="18">
        <v>0</v>
      </c>
      <c r="J8" s="18">
        <v>927.02172817825794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3819.23416175079</v>
      </c>
      <c r="R8" s="18">
        <v>0</v>
      </c>
      <c r="S8" s="18">
        <v>824.80009356756102</v>
      </c>
      <c r="T8" s="18">
        <v>0</v>
      </c>
      <c r="U8" s="18">
        <v>11791.2301058995</v>
      </c>
    </row>
    <row r="9" spans="1:21" x14ac:dyDescent="0.45">
      <c r="A9" s="28" t="s">
        <v>900</v>
      </c>
      <c r="B9" s="5" t="s">
        <v>63</v>
      </c>
      <c r="C9" s="2" t="s">
        <v>62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2.76900540691173</v>
      </c>
      <c r="J9" s="18">
        <v>0.34429649428757902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4.3837261485752403</v>
      </c>
      <c r="R9" s="18">
        <v>0</v>
      </c>
      <c r="S9" s="18">
        <v>0</v>
      </c>
      <c r="T9" s="18">
        <v>0</v>
      </c>
      <c r="U9" s="18">
        <v>26.738321896183201</v>
      </c>
    </row>
    <row r="10" spans="1:21" x14ac:dyDescent="0.45">
      <c r="A10" s="28" t="s">
        <v>901</v>
      </c>
      <c r="B10" s="5" t="s">
        <v>61</v>
      </c>
      <c r="C10" s="2" t="s">
        <v>60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3182.2559195641002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17.432082843688502</v>
      </c>
      <c r="R10" s="18">
        <v>0</v>
      </c>
      <c r="S10" s="18">
        <v>2465.7623559048998</v>
      </c>
      <c r="T10" s="18">
        <v>0</v>
      </c>
      <c r="U10" s="18">
        <v>6147.5678748377004</v>
      </c>
    </row>
    <row r="11" spans="1:21" x14ac:dyDescent="0.45">
      <c r="A11" s="28" t="s">
        <v>902</v>
      </c>
      <c r="B11" s="5" t="s">
        <v>903</v>
      </c>
      <c r="C11" s="2" t="s">
        <v>904</v>
      </c>
      <c r="D11" s="18">
        <v>0</v>
      </c>
      <c r="E11" s="18">
        <v>0</v>
      </c>
      <c r="F11" s="18">
        <v>0</v>
      </c>
      <c r="G11" s="18">
        <v>706.87671144972296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1730.0491338286799</v>
      </c>
    </row>
    <row r="12" spans="1:21" x14ac:dyDescent="0.45">
      <c r="A12" s="28" t="s">
        <v>905</v>
      </c>
      <c r="B12" s="5" t="s">
        <v>853</v>
      </c>
      <c r="C12" s="2" t="s">
        <v>906</v>
      </c>
      <c r="D12" s="18">
        <v>537.36938082440497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10.2074725266824</v>
      </c>
    </row>
    <row r="13" spans="1:21" x14ac:dyDescent="0.45">
      <c r="A13" s="28" t="s">
        <v>907</v>
      </c>
      <c r="B13" s="5" t="s">
        <v>855</v>
      </c>
      <c r="C13" s="2" t="s">
        <v>908</v>
      </c>
      <c r="D13" s="18">
        <v>439.51537228049398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-12.5881751886569</v>
      </c>
    </row>
    <row r="14" spans="1:21" x14ac:dyDescent="0.45">
      <c r="A14" s="28" t="s">
        <v>909</v>
      </c>
      <c r="B14" s="5" t="s">
        <v>857</v>
      </c>
      <c r="C14" s="2" t="s">
        <v>910</v>
      </c>
      <c r="D14" s="18">
        <v>1347.5902830391201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25.925993259384299</v>
      </c>
    </row>
    <row r="15" spans="1:21" x14ac:dyDescent="0.45">
      <c r="A15" s="28" t="s">
        <v>911</v>
      </c>
      <c r="B15" s="5" t="s">
        <v>859</v>
      </c>
      <c r="C15" s="2" t="s">
        <v>912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x14ac:dyDescent="0.45">
      <c r="A16" s="28" t="s">
        <v>913</v>
      </c>
      <c r="B16" s="5" t="s">
        <v>851</v>
      </c>
      <c r="C16" s="2" t="s">
        <v>914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</row>
    <row r="17" spans="1:21" x14ac:dyDescent="0.45">
      <c r="A17" s="28" t="s">
        <v>915</v>
      </c>
      <c r="B17" s="5" t="s">
        <v>68</v>
      </c>
      <c r="C17" s="2" t="s">
        <v>67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1579.83074407564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-1882.4380498206399</v>
      </c>
    </row>
    <row r="18" spans="1:21" x14ac:dyDescent="0.45">
      <c r="A18" s="28" t="s">
        <v>916</v>
      </c>
      <c r="B18" s="5" t="s">
        <v>917</v>
      </c>
      <c r="C18" s="2" t="s">
        <v>918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x14ac:dyDescent="0.45">
      <c r="A19" s="28" t="s">
        <v>919</v>
      </c>
      <c r="B19" s="5" t="s">
        <v>920</v>
      </c>
      <c r="C19" s="2" t="s">
        <v>921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</row>
    <row r="20" spans="1:21" x14ac:dyDescent="0.45">
      <c r="A20" s="28" t="s">
        <v>922</v>
      </c>
      <c r="B20" s="5" t="s">
        <v>923</v>
      </c>
      <c r="C20" s="2" t="s">
        <v>924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1654.12292100426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-1887.1926927024699</v>
      </c>
    </row>
    <row r="21" spans="1:21" x14ac:dyDescent="0.45">
      <c r="A21" s="28" t="s">
        <v>925</v>
      </c>
      <c r="B21" s="5" t="s">
        <v>926</v>
      </c>
      <c r="C21" s="2" t="s">
        <v>927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</row>
    <row r="22" spans="1:21" x14ac:dyDescent="0.45">
      <c r="A22" s="28"/>
      <c r="B22" s="5" t="s">
        <v>928</v>
      </c>
      <c r="C22" s="2" t="s">
        <v>69</v>
      </c>
      <c r="D22" s="18">
        <v>2324.4750361440201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9"/>
  <sheetViews>
    <sheetView zoomScaleNormal="100" workbookViewId="0">
      <pane xSplit="1" ySplit="1" topLeftCell="B108" activePane="bottomRight" state="frozen"/>
      <selection pane="topRight" activeCell="B1" sqref="B1"/>
      <selection pane="bottomLeft" activeCell="A2" sqref="A2"/>
      <selection pane="bottomRight" activeCell="A128" sqref="A128:XFD139"/>
    </sheetView>
  </sheetViews>
  <sheetFormatPr defaultColWidth="8.6640625" defaultRowHeight="14.25" x14ac:dyDescent="0.45"/>
  <cols>
    <col min="1" max="1" width="30" customWidth="1"/>
    <col min="2" max="2" width="6" customWidth="1"/>
    <col min="3" max="3" width="10" customWidth="1"/>
    <col min="4" max="6" width="8" customWidth="1"/>
    <col min="7" max="7" width="60" customWidth="1"/>
    <col min="8" max="8" width="10" customWidth="1"/>
    <col min="9" max="9" width="28" customWidth="1"/>
    <col min="10" max="10" width="4" customWidth="1"/>
  </cols>
  <sheetData>
    <row r="1" spans="1:35" x14ac:dyDescent="0.45">
      <c r="A1" s="50" t="s">
        <v>929</v>
      </c>
      <c r="B1" s="50" t="s">
        <v>32</v>
      </c>
      <c r="C1" s="50" t="s">
        <v>930</v>
      </c>
      <c r="D1" s="50" t="s">
        <v>931</v>
      </c>
      <c r="E1" s="50" t="s">
        <v>47</v>
      </c>
      <c r="F1" s="50" t="s">
        <v>35</v>
      </c>
      <c r="G1" s="50" t="s">
        <v>34</v>
      </c>
      <c r="H1" s="50" t="s">
        <v>932</v>
      </c>
      <c r="I1" s="50" t="s">
        <v>933</v>
      </c>
      <c r="J1" s="50" t="s">
        <v>40</v>
      </c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934</v>
      </c>
      <c r="B2" s="5" t="s">
        <v>49</v>
      </c>
      <c r="C2" s="5" t="s">
        <v>4</v>
      </c>
      <c r="D2" s="5" t="s">
        <v>935</v>
      </c>
      <c r="E2" s="5">
        <v>1</v>
      </c>
      <c r="F2" s="5" t="s">
        <v>51</v>
      </c>
      <c r="G2" s="5" t="s">
        <v>936</v>
      </c>
      <c r="H2" s="5">
        <v>2513</v>
      </c>
      <c r="I2" s="28" t="s">
        <v>934</v>
      </c>
      <c r="K2" s="18">
        <v>11.182901589243899</v>
      </c>
      <c r="L2" s="18">
        <v>10.5233613454312</v>
      </c>
      <c r="M2" s="18">
        <v>10.2995608274442</v>
      </c>
      <c r="N2" s="18">
        <v>9.5775283595382597</v>
      </c>
      <c r="O2" s="18">
        <v>8.4854782869580507</v>
      </c>
      <c r="P2" s="18">
        <v>9.0871922352498604</v>
      </c>
      <c r="Q2" s="18">
        <v>9.2229237289326793</v>
      </c>
      <c r="R2" s="18">
        <v>9.1585649555096893</v>
      </c>
      <c r="S2" s="18">
        <v>9.0895478773973792</v>
      </c>
      <c r="T2" s="18">
        <v>9.0156816660228305</v>
      </c>
      <c r="U2" s="18">
        <v>8.9443977655571096</v>
      </c>
      <c r="V2" s="18">
        <v>8.9443977655571096</v>
      </c>
      <c r="W2" s="18">
        <v>8.9443977655571096</v>
      </c>
      <c r="X2" s="18">
        <v>8.9443977655571096</v>
      </c>
      <c r="Y2" s="18">
        <v>8.9443977655571096</v>
      </c>
      <c r="Z2" s="18">
        <v>8.9443977655571096</v>
      </c>
      <c r="AA2" s="18">
        <v>8.9443977655571096</v>
      </c>
      <c r="AB2" s="18">
        <v>8.9443977655571096</v>
      </c>
      <c r="AC2" s="18">
        <v>8.9443977655571096</v>
      </c>
      <c r="AD2" s="18">
        <v>8.9443977655571096</v>
      </c>
      <c r="AE2" s="18">
        <v>8.9443977655571096</v>
      </c>
    </row>
    <row r="3" spans="1:35" x14ac:dyDescent="0.45">
      <c r="A3" s="28" t="s">
        <v>937</v>
      </c>
      <c r="B3" s="5" t="s">
        <v>49</v>
      </c>
      <c r="C3" s="5" t="s">
        <v>4</v>
      </c>
      <c r="D3" s="5" t="s">
        <v>938</v>
      </c>
      <c r="E3" s="5">
        <v>1</v>
      </c>
      <c r="F3" s="5" t="s">
        <v>51</v>
      </c>
      <c r="G3" s="5" t="s">
        <v>939</v>
      </c>
      <c r="H3" s="5">
        <v>2514</v>
      </c>
      <c r="I3" s="28" t="s">
        <v>937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</row>
    <row r="4" spans="1:35" x14ac:dyDescent="0.45">
      <c r="A4" s="28" t="s">
        <v>940</v>
      </c>
      <c r="B4" s="5" t="s">
        <v>53</v>
      </c>
      <c r="C4" s="5" t="s">
        <v>4</v>
      </c>
      <c r="D4" s="5" t="s">
        <v>935</v>
      </c>
      <c r="E4" s="5">
        <v>1</v>
      </c>
      <c r="F4" s="5" t="s">
        <v>51</v>
      </c>
      <c r="G4" s="5" t="s">
        <v>936</v>
      </c>
      <c r="H4" s="5">
        <v>2582</v>
      </c>
      <c r="I4" s="28" t="s">
        <v>940</v>
      </c>
      <c r="K4" s="18">
        <v>6.0634636156729096</v>
      </c>
      <c r="L4" s="18">
        <v>5.4510150816191896</v>
      </c>
      <c r="M4" s="18">
        <v>5.1193563062624801</v>
      </c>
      <c r="N4" s="18">
        <v>5.08218458640407</v>
      </c>
      <c r="O4" s="18">
        <v>5.08218458640407</v>
      </c>
      <c r="P4" s="18">
        <v>5.08218458640407</v>
      </c>
      <c r="Q4" s="18">
        <v>5.08218458640407</v>
      </c>
      <c r="R4" s="18">
        <v>5.08218458640407</v>
      </c>
      <c r="S4" s="18">
        <v>5.08218458640407</v>
      </c>
      <c r="T4" s="18">
        <v>5.08218458640407</v>
      </c>
      <c r="U4" s="18">
        <v>5.08218458640407</v>
      </c>
      <c r="V4" s="18">
        <v>5.08218458640407</v>
      </c>
      <c r="W4" s="18">
        <v>5.08218458640407</v>
      </c>
      <c r="X4" s="18">
        <v>5.08218458640407</v>
      </c>
      <c r="Y4" s="18">
        <v>5.08218458640407</v>
      </c>
      <c r="Z4" s="18">
        <v>5.08218458640407</v>
      </c>
      <c r="AA4" s="18">
        <v>5.08218458640407</v>
      </c>
      <c r="AB4" s="18">
        <v>5.08218458640407</v>
      </c>
      <c r="AC4" s="18">
        <v>5.08218458640407</v>
      </c>
      <c r="AD4" s="18">
        <v>5.08218458640407</v>
      </c>
      <c r="AE4" s="18">
        <v>5.08218458640407</v>
      </c>
    </row>
    <row r="5" spans="1:35" x14ac:dyDescent="0.45">
      <c r="A5" s="28" t="s">
        <v>941</v>
      </c>
      <c r="B5" s="5" t="s">
        <v>53</v>
      </c>
      <c r="C5" s="5" t="s">
        <v>4</v>
      </c>
      <c r="D5" s="5" t="s">
        <v>938</v>
      </c>
      <c r="E5" s="5">
        <v>1</v>
      </c>
      <c r="F5" s="5" t="s">
        <v>51</v>
      </c>
      <c r="G5" s="5" t="s">
        <v>939</v>
      </c>
      <c r="H5" s="5">
        <v>2583</v>
      </c>
      <c r="I5" s="28" t="s">
        <v>941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</row>
    <row r="6" spans="1:35" x14ac:dyDescent="0.45">
      <c r="A6" s="28" t="s">
        <v>942</v>
      </c>
      <c r="B6" s="5" t="s">
        <v>55</v>
      </c>
      <c r="C6" s="5" t="s">
        <v>4</v>
      </c>
      <c r="D6" s="5" t="s">
        <v>935</v>
      </c>
      <c r="E6" s="5">
        <v>1</v>
      </c>
      <c r="F6" s="5" t="s">
        <v>57</v>
      </c>
      <c r="G6" s="5" t="s">
        <v>936</v>
      </c>
      <c r="H6" s="5">
        <v>2605</v>
      </c>
      <c r="I6" s="28" t="s">
        <v>943</v>
      </c>
      <c r="K6" s="18">
        <v>0.67114653332181595</v>
      </c>
      <c r="L6" s="18">
        <v>0.61197797679140598</v>
      </c>
      <c r="M6" s="18">
        <v>0.61180974964187596</v>
      </c>
      <c r="N6" s="18">
        <v>0.60358310017790595</v>
      </c>
      <c r="O6" s="18">
        <v>0.60358310017790595</v>
      </c>
      <c r="P6" s="18">
        <v>0.60358310017790595</v>
      </c>
      <c r="Q6" s="18">
        <v>0.60358310017790595</v>
      </c>
      <c r="R6" s="18">
        <v>0.60358310017790595</v>
      </c>
      <c r="S6" s="18">
        <v>0.60358310017790595</v>
      </c>
      <c r="T6" s="18">
        <v>0.60358310017790595</v>
      </c>
      <c r="U6" s="18">
        <v>0.60358310017790595</v>
      </c>
      <c r="V6" s="18">
        <v>0.60358310017790595</v>
      </c>
      <c r="W6" s="18">
        <v>0.60358310017790595</v>
      </c>
      <c r="X6" s="18">
        <v>0.60358310017790595</v>
      </c>
      <c r="Y6" s="18">
        <v>0.60358310017790595</v>
      </c>
      <c r="Z6" s="18">
        <v>0.60358310017790595</v>
      </c>
      <c r="AA6" s="18">
        <v>0.60358310017790595</v>
      </c>
      <c r="AB6" s="18">
        <v>0.60358310017790595</v>
      </c>
      <c r="AC6" s="18">
        <v>0.60358310017790595</v>
      </c>
      <c r="AD6" s="18">
        <v>0.60358310017790595</v>
      </c>
      <c r="AE6" s="18">
        <v>0.60358310017790595</v>
      </c>
    </row>
    <row r="7" spans="1:35" x14ac:dyDescent="0.45">
      <c r="A7" s="28" t="s">
        <v>944</v>
      </c>
      <c r="B7" s="5" t="s">
        <v>55</v>
      </c>
      <c r="C7" s="5" t="s">
        <v>4</v>
      </c>
      <c r="D7" s="5" t="s">
        <v>938</v>
      </c>
      <c r="E7" s="5">
        <v>1</v>
      </c>
      <c r="F7" s="5" t="s">
        <v>57</v>
      </c>
      <c r="G7" s="5" t="s">
        <v>939</v>
      </c>
      <c r="H7" s="5">
        <v>2606</v>
      </c>
      <c r="I7" s="28" t="s">
        <v>945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</row>
    <row r="8" spans="1:35" x14ac:dyDescent="0.45">
      <c r="A8" s="28" t="s">
        <v>946</v>
      </c>
      <c r="B8" s="5" t="s">
        <v>58</v>
      </c>
      <c r="C8" s="5" t="s">
        <v>4</v>
      </c>
      <c r="D8" s="5" t="s">
        <v>935</v>
      </c>
      <c r="E8" s="5">
        <v>1</v>
      </c>
      <c r="F8" s="5" t="s">
        <v>57</v>
      </c>
      <c r="G8" s="5" t="s">
        <v>936</v>
      </c>
      <c r="H8" s="5">
        <v>2628</v>
      </c>
      <c r="I8" s="28" t="s">
        <v>947</v>
      </c>
      <c r="K8" s="18">
        <v>0.55971121315568795</v>
      </c>
      <c r="L8" s="18">
        <v>0.49458873084106802</v>
      </c>
      <c r="M8" s="18">
        <v>0.50778654720250105</v>
      </c>
      <c r="N8" s="18">
        <v>0.47043642679561698</v>
      </c>
      <c r="O8" s="18">
        <v>0.47043642679561698</v>
      </c>
      <c r="P8" s="18">
        <v>0.47043642679561698</v>
      </c>
      <c r="Q8" s="18">
        <v>0.47043642679561698</v>
      </c>
      <c r="R8" s="18">
        <v>0.47043642679561698</v>
      </c>
      <c r="S8" s="18">
        <v>0.47043642679561698</v>
      </c>
      <c r="T8" s="18">
        <v>0.47043642679561698</v>
      </c>
      <c r="U8" s="18">
        <v>0.47043642679561698</v>
      </c>
      <c r="V8" s="18">
        <v>0.47043642679561698</v>
      </c>
      <c r="W8" s="18">
        <v>0.47043642679561698</v>
      </c>
      <c r="X8" s="18">
        <v>0.47043642679561698</v>
      </c>
      <c r="Y8" s="18">
        <v>0.47043642679561698</v>
      </c>
      <c r="Z8" s="18">
        <v>0.47043642679561698</v>
      </c>
      <c r="AA8" s="18">
        <v>0.47043642679561698</v>
      </c>
      <c r="AB8" s="18">
        <v>0.47043642679561698</v>
      </c>
      <c r="AC8" s="18">
        <v>0.47043642679561698</v>
      </c>
      <c r="AD8" s="18">
        <v>0.47043642679561698</v>
      </c>
      <c r="AE8" s="18">
        <v>0.47043642679561698</v>
      </c>
    </row>
    <row r="9" spans="1:35" x14ac:dyDescent="0.45">
      <c r="A9" s="28" t="s">
        <v>948</v>
      </c>
      <c r="B9" s="5" t="s">
        <v>58</v>
      </c>
      <c r="C9" s="5" t="s">
        <v>4</v>
      </c>
      <c r="D9" s="5" t="s">
        <v>938</v>
      </c>
      <c r="E9" s="5">
        <v>1</v>
      </c>
      <c r="F9" s="5" t="s">
        <v>57</v>
      </c>
      <c r="G9" s="5" t="s">
        <v>939</v>
      </c>
      <c r="H9" s="5">
        <v>2629</v>
      </c>
      <c r="I9" s="28" t="s">
        <v>949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5" x14ac:dyDescent="0.45">
      <c r="A10" s="28" t="s">
        <v>950</v>
      </c>
      <c r="B10" s="5" t="s">
        <v>60</v>
      </c>
      <c r="C10" s="5" t="s">
        <v>4</v>
      </c>
      <c r="D10" s="5" t="s">
        <v>935</v>
      </c>
      <c r="E10" s="5">
        <v>1</v>
      </c>
      <c r="F10" s="5" t="s">
        <v>57</v>
      </c>
      <c r="G10" s="5" t="s">
        <v>936</v>
      </c>
      <c r="H10" s="5">
        <v>2651</v>
      </c>
      <c r="I10" s="28" t="s">
        <v>951</v>
      </c>
      <c r="K10" s="18">
        <v>0.20036669112673799</v>
      </c>
      <c r="L10" s="18">
        <v>0.15734473625227399</v>
      </c>
      <c r="M10" s="18">
        <v>0.164484037759277</v>
      </c>
      <c r="N10" s="18">
        <v>0.15070907780704901</v>
      </c>
      <c r="O10" s="18">
        <v>0.15070907780704901</v>
      </c>
      <c r="P10" s="18">
        <v>0.15070907780704901</v>
      </c>
      <c r="Q10" s="18">
        <v>0.15070907780704901</v>
      </c>
      <c r="R10" s="18">
        <v>0.15070907780704901</v>
      </c>
      <c r="S10" s="18">
        <v>0.15070907780704901</v>
      </c>
      <c r="T10" s="18">
        <v>0.15070907780704901</v>
      </c>
      <c r="U10" s="18">
        <v>0.15070907780704901</v>
      </c>
      <c r="V10" s="18">
        <v>0.15070907780704901</v>
      </c>
      <c r="W10" s="18">
        <v>0.15070907780704901</v>
      </c>
      <c r="X10" s="18">
        <v>0.15070907780704901</v>
      </c>
      <c r="Y10" s="18">
        <v>0.15070907780704901</v>
      </c>
      <c r="Z10" s="18">
        <v>0.15070907780704901</v>
      </c>
      <c r="AA10" s="18">
        <v>0.15070907780704901</v>
      </c>
      <c r="AB10" s="18">
        <v>0.15070907780704901</v>
      </c>
      <c r="AC10" s="18">
        <v>0.15070907780704901</v>
      </c>
      <c r="AD10" s="18">
        <v>0.15070907780704901</v>
      </c>
      <c r="AE10" s="18">
        <v>0.15070907780704901</v>
      </c>
    </row>
    <row r="11" spans="1:35" x14ac:dyDescent="0.45">
      <c r="A11" s="28" t="s">
        <v>952</v>
      </c>
      <c r="B11" s="5" t="s">
        <v>60</v>
      </c>
      <c r="C11" s="5" t="s">
        <v>4</v>
      </c>
      <c r="D11" s="5" t="s">
        <v>938</v>
      </c>
      <c r="E11" s="5">
        <v>1</v>
      </c>
      <c r="F11" s="5" t="s">
        <v>57</v>
      </c>
      <c r="G11" s="5" t="s">
        <v>939</v>
      </c>
      <c r="H11" s="5">
        <v>2652</v>
      </c>
      <c r="I11" s="28" t="s">
        <v>953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5" x14ac:dyDescent="0.45">
      <c r="A12" s="28" t="s">
        <v>954</v>
      </c>
      <c r="B12" s="5" t="s">
        <v>62</v>
      </c>
      <c r="C12" s="5" t="s">
        <v>4</v>
      </c>
      <c r="D12" s="5" t="s">
        <v>935</v>
      </c>
      <c r="E12" s="5">
        <v>1</v>
      </c>
      <c r="F12" s="5" t="s">
        <v>57</v>
      </c>
      <c r="G12" s="5" t="s">
        <v>936</v>
      </c>
      <c r="H12" s="5">
        <v>2674</v>
      </c>
      <c r="I12" s="28" t="s">
        <v>955</v>
      </c>
      <c r="K12" s="18">
        <v>0.48429424097343499</v>
      </c>
      <c r="L12" s="18">
        <v>0.45642817050012802</v>
      </c>
      <c r="M12" s="18">
        <v>0.43168920195599497</v>
      </c>
      <c r="N12" s="18">
        <v>0.42507558395597</v>
      </c>
      <c r="O12" s="18">
        <v>0.42507558395597</v>
      </c>
      <c r="P12" s="18">
        <v>0.42507558395597</v>
      </c>
      <c r="Q12" s="18">
        <v>0.42507558395597</v>
      </c>
      <c r="R12" s="18">
        <v>0.42507558395597</v>
      </c>
      <c r="S12" s="18">
        <v>0.42507558395597</v>
      </c>
      <c r="T12" s="18">
        <v>0.42507558395597</v>
      </c>
      <c r="U12" s="18">
        <v>0.42507558395597</v>
      </c>
      <c r="V12" s="18">
        <v>0.42507558395597</v>
      </c>
      <c r="W12" s="18">
        <v>0.42507558395597</v>
      </c>
      <c r="X12" s="18">
        <v>0.42507558395597</v>
      </c>
      <c r="Y12" s="18">
        <v>0.42507558395597</v>
      </c>
      <c r="Z12" s="18">
        <v>0.42507558395597</v>
      </c>
      <c r="AA12" s="18">
        <v>0.42507558395597</v>
      </c>
      <c r="AB12" s="18">
        <v>0.42507558395597</v>
      </c>
      <c r="AC12" s="18">
        <v>0.42507558395597</v>
      </c>
      <c r="AD12" s="18">
        <v>0.42507558395597</v>
      </c>
      <c r="AE12" s="18">
        <v>0.42507558395597</v>
      </c>
    </row>
    <row r="13" spans="1:35" x14ac:dyDescent="0.45">
      <c r="A13" s="28" t="s">
        <v>956</v>
      </c>
      <c r="B13" s="5" t="s">
        <v>62</v>
      </c>
      <c r="C13" s="5" t="s">
        <v>4</v>
      </c>
      <c r="D13" s="5" t="s">
        <v>938</v>
      </c>
      <c r="E13" s="5">
        <v>1</v>
      </c>
      <c r="F13" s="5" t="s">
        <v>57</v>
      </c>
      <c r="G13" s="5" t="s">
        <v>939</v>
      </c>
      <c r="H13" s="5">
        <v>2675</v>
      </c>
      <c r="I13" s="28" t="s">
        <v>957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5" x14ac:dyDescent="0.45">
      <c r="A14" s="28" t="s">
        <v>958</v>
      </c>
      <c r="B14" s="5" t="s">
        <v>64</v>
      </c>
      <c r="C14" s="5" t="s">
        <v>4</v>
      </c>
      <c r="D14" s="5" t="s">
        <v>935</v>
      </c>
      <c r="E14" s="5">
        <v>1</v>
      </c>
      <c r="F14" s="5" t="s">
        <v>66</v>
      </c>
      <c r="G14" s="5" t="s">
        <v>936</v>
      </c>
      <c r="H14" s="5">
        <v>2697</v>
      </c>
      <c r="I14" s="28" t="s">
        <v>959</v>
      </c>
      <c r="K14" s="18">
        <v>41.500338498868402</v>
      </c>
      <c r="L14" s="18">
        <v>34.4153703043132</v>
      </c>
      <c r="M14" s="18">
        <v>37.368960690431997</v>
      </c>
      <c r="N14" s="18">
        <v>28.982761101477301</v>
      </c>
      <c r="O14" s="18">
        <v>15</v>
      </c>
      <c r="P14" s="18">
        <v>24.2586300842555</v>
      </c>
      <c r="Q14" s="18">
        <v>15</v>
      </c>
      <c r="R14" s="18">
        <v>15</v>
      </c>
      <c r="S14" s="18">
        <v>15</v>
      </c>
      <c r="T14" s="18">
        <v>15</v>
      </c>
      <c r="U14" s="18">
        <v>15</v>
      </c>
      <c r="V14" s="18">
        <v>15</v>
      </c>
      <c r="W14" s="18">
        <v>15</v>
      </c>
      <c r="X14" s="18">
        <v>15</v>
      </c>
      <c r="Y14" s="18">
        <v>15</v>
      </c>
      <c r="Z14" s="18">
        <v>15</v>
      </c>
      <c r="AA14" s="18">
        <v>15</v>
      </c>
      <c r="AB14" s="18">
        <v>15</v>
      </c>
      <c r="AC14" s="18">
        <v>15</v>
      </c>
      <c r="AD14" s="18">
        <v>15</v>
      </c>
      <c r="AE14" s="18">
        <v>15</v>
      </c>
    </row>
    <row r="15" spans="1:35" x14ac:dyDescent="0.45">
      <c r="A15" s="28" t="s">
        <v>960</v>
      </c>
      <c r="B15" s="5" t="s">
        <v>64</v>
      </c>
      <c r="C15" s="5" t="s">
        <v>4</v>
      </c>
      <c r="D15" s="5" t="s">
        <v>938</v>
      </c>
      <c r="E15" s="5">
        <v>1</v>
      </c>
      <c r="F15" s="5" t="s">
        <v>66</v>
      </c>
      <c r="G15" s="5" t="s">
        <v>939</v>
      </c>
      <c r="H15" s="5">
        <v>2698</v>
      </c>
      <c r="I15" s="28" t="s">
        <v>961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</row>
    <row r="16" spans="1:35" x14ac:dyDescent="0.45">
      <c r="A16" s="28" t="s">
        <v>962</v>
      </c>
      <c r="B16" s="5" t="s">
        <v>67</v>
      </c>
      <c r="C16" s="5" t="s">
        <v>4</v>
      </c>
      <c r="D16" s="5" t="s">
        <v>935</v>
      </c>
      <c r="E16" s="5">
        <v>1</v>
      </c>
      <c r="F16" s="5" t="s">
        <v>51</v>
      </c>
      <c r="G16" s="5" t="s">
        <v>936</v>
      </c>
      <c r="H16" s="5">
        <v>2720</v>
      </c>
      <c r="I16" s="28" t="s">
        <v>963</v>
      </c>
      <c r="K16" s="18">
        <v>15.3345505293169</v>
      </c>
      <c r="L16" s="18">
        <v>14.199528390634899</v>
      </c>
      <c r="M16" s="18">
        <v>13.8404416133152</v>
      </c>
      <c r="N16" s="18">
        <v>13.5677269404465</v>
      </c>
      <c r="O16" s="18">
        <v>13.5677269404465</v>
      </c>
      <c r="P16" s="18">
        <v>13.5677269404465</v>
      </c>
      <c r="Q16" s="18">
        <v>13.5677269404465</v>
      </c>
      <c r="R16" s="18">
        <v>13.5677269404465</v>
      </c>
      <c r="S16" s="18">
        <v>13.5677269404465</v>
      </c>
      <c r="T16" s="18">
        <v>13.5677269404465</v>
      </c>
      <c r="U16" s="18">
        <v>13.5677269404465</v>
      </c>
      <c r="V16" s="18">
        <v>13.5677269404465</v>
      </c>
      <c r="W16" s="18">
        <v>13.5677269404465</v>
      </c>
      <c r="X16" s="18">
        <v>13.5677269404465</v>
      </c>
      <c r="Y16" s="18">
        <v>13.5677269404465</v>
      </c>
      <c r="Z16" s="18">
        <v>13.5677269404465</v>
      </c>
      <c r="AA16" s="18">
        <v>13.5677269404465</v>
      </c>
      <c r="AB16" s="18">
        <v>13.5677269404465</v>
      </c>
      <c r="AC16" s="18">
        <v>13.5677269404465</v>
      </c>
      <c r="AD16" s="18">
        <v>13.5677269404465</v>
      </c>
      <c r="AE16" s="18">
        <v>13.5677269404465</v>
      </c>
    </row>
    <row r="17" spans="1:31" x14ac:dyDescent="0.45">
      <c r="A17" s="28" t="s">
        <v>964</v>
      </c>
      <c r="B17" s="5" t="s">
        <v>67</v>
      </c>
      <c r="C17" s="5" t="s">
        <v>4</v>
      </c>
      <c r="D17" s="5" t="s">
        <v>938</v>
      </c>
      <c r="E17" s="5">
        <v>1</v>
      </c>
      <c r="F17" s="5" t="s">
        <v>51</v>
      </c>
      <c r="G17" s="5" t="s">
        <v>939</v>
      </c>
      <c r="H17" s="5">
        <v>2721</v>
      </c>
      <c r="I17" s="28" t="s">
        <v>965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45">
      <c r="A18" s="28" t="s">
        <v>966</v>
      </c>
      <c r="B18" s="5" t="s">
        <v>69</v>
      </c>
      <c r="C18" s="5" t="s">
        <v>4</v>
      </c>
      <c r="D18" s="5" t="s">
        <v>935</v>
      </c>
      <c r="E18" s="5">
        <v>1</v>
      </c>
      <c r="F18" s="5" t="s">
        <v>71</v>
      </c>
      <c r="G18" s="5" t="s">
        <v>936</v>
      </c>
      <c r="H18" s="5">
        <v>2809</v>
      </c>
      <c r="I18" s="28" t="s">
        <v>967</v>
      </c>
      <c r="K18" s="18"/>
      <c r="L18" s="18">
        <v>0.14404498679319799</v>
      </c>
      <c r="M18" s="18">
        <v>0.14102040965700399</v>
      </c>
      <c r="N18" s="18">
        <v>0.13511635959447599</v>
      </c>
      <c r="O18" s="18">
        <v>0.13098825698585601</v>
      </c>
      <c r="P18" s="18">
        <v>0.12790841608631801</v>
      </c>
      <c r="Q18" s="18">
        <v>0.124814310557813</v>
      </c>
      <c r="R18" s="18">
        <v>0.121460257122878</v>
      </c>
      <c r="S18" s="18">
        <v>0.117950744135786</v>
      </c>
      <c r="T18" s="18">
        <v>0.114199161044597</v>
      </c>
      <c r="U18" s="18">
        <v>0.113665100059665</v>
      </c>
      <c r="V18" s="18">
        <v>0.113016929625957</v>
      </c>
      <c r="W18" s="18">
        <v>0.112314070507636</v>
      </c>
      <c r="X18" s="18">
        <v>0.11142204273284299</v>
      </c>
      <c r="Y18" s="18">
        <v>0.110434123675809</v>
      </c>
      <c r="Z18" s="18">
        <v>0.109483973304471</v>
      </c>
      <c r="AA18" s="18">
        <v>0.10839192105294</v>
      </c>
      <c r="AB18" s="18">
        <v>0.10735443362670399</v>
      </c>
      <c r="AC18" s="18">
        <v>0.105168675441661</v>
      </c>
      <c r="AD18" s="18">
        <v>0.103057983256008</v>
      </c>
      <c r="AE18" s="18">
        <v>0.100931838990114</v>
      </c>
    </row>
    <row r="19" spans="1:31" x14ac:dyDescent="0.45">
      <c r="A19" s="28" t="s">
        <v>968</v>
      </c>
      <c r="B19" s="5" t="s">
        <v>69</v>
      </c>
      <c r="C19" s="5" t="s">
        <v>4</v>
      </c>
      <c r="D19" s="5" t="s">
        <v>938</v>
      </c>
      <c r="E19" s="5">
        <v>1</v>
      </c>
      <c r="F19" s="5" t="s">
        <v>71</v>
      </c>
      <c r="G19" s="5" t="s">
        <v>939</v>
      </c>
      <c r="H19" s="5">
        <v>2810</v>
      </c>
      <c r="I19" s="28" t="s">
        <v>969</v>
      </c>
      <c r="K19" s="18"/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45">
      <c r="A20" s="28" t="s">
        <v>970</v>
      </c>
      <c r="B20" s="5" t="s">
        <v>49</v>
      </c>
      <c r="C20" s="5" t="s">
        <v>4</v>
      </c>
      <c r="D20" s="5" t="s">
        <v>75</v>
      </c>
      <c r="E20" s="5">
        <v>1</v>
      </c>
      <c r="F20" s="5" t="s">
        <v>51</v>
      </c>
      <c r="G20" s="5" t="s">
        <v>971</v>
      </c>
      <c r="H20" s="5">
        <v>2379</v>
      </c>
      <c r="I20" s="28" t="s">
        <v>970</v>
      </c>
      <c r="K20" s="18"/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45">
      <c r="A21" s="28" t="s">
        <v>972</v>
      </c>
      <c r="B21" s="5" t="s">
        <v>53</v>
      </c>
      <c r="C21" s="5" t="s">
        <v>4</v>
      </c>
      <c r="D21" s="5" t="s">
        <v>75</v>
      </c>
      <c r="E21" s="5">
        <v>1</v>
      </c>
      <c r="F21" s="5" t="s">
        <v>51</v>
      </c>
      <c r="G21" s="5" t="s">
        <v>971</v>
      </c>
      <c r="H21" s="5">
        <v>2382</v>
      </c>
      <c r="I21" s="28" t="s">
        <v>972</v>
      </c>
      <c r="K21" s="18"/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45">
      <c r="A22" s="28" t="s">
        <v>973</v>
      </c>
      <c r="B22" s="5" t="s">
        <v>55</v>
      </c>
      <c r="C22" s="5" t="s">
        <v>4</v>
      </c>
      <c r="D22" s="5" t="s">
        <v>75</v>
      </c>
      <c r="E22" s="5">
        <v>1</v>
      </c>
      <c r="F22" s="5" t="s">
        <v>57</v>
      </c>
      <c r="G22" s="5" t="s">
        <v>971</v>
      </c>
      <c r="H22" s="5">
        <v>2383</v>
      </c>
      <c r="I22" s="28" t="s">
        <v>974</v>
      </c>
      <c r="K22" s="18"/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45">
      <c r="A23" s="28" t="s">
        <v>975</v>
      </c>
      <c r="B23" s="5" t="s">
        <v>58</v>
      </c>
      <c r="C23" s="5" t="s">
        <v>4</v>
      </c>
      <c r="D23" s="5" t="s">
        <v>75</v>
      </c>
      <c r="E23" s="5">
        <v>1</v>
      </c>
      <c r="F23" s="5" t="s">
        <v>57</v>
      </c>
      <c r="G23" s="5" t="s">
        <v>971</v>
      </c>
      <c r="H23" s="5">
        <v>2384</v>
      </c>
      <c r="I23" s="28" t="s">
        <v>976</v>
      </c>
      <c r="K23" s="18"/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45">
      <c r="A24" s="28" t="s">
        <v>977</v>
      </c>
      <c r="B24" s="5" t="s">
        <v>60</v>
      </c>
      <c r="C24" s="5" t="s">
        <v>4</v>
      </c>
      <c r="D24" s="5" t="s">
        <v>75</v>
      </c>
      <c r="E24" s="5">
        <v>1</v>
      </c>
      <c r="F24" s="5" t="s">
        <v>57</v>
      </c>
      <c r="G24" s="5" t="s">
        <v>971</v>
      </c>
      <c r="H24" s="5">
        <v>2385</v>
      </c>
      <c r="I24" s="28" t="s">
        <v>978</v>
      </c>
      <c r="K24" s="18"/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</row>
    <row r="25" spans="1:31" x14ac:dyDescent="0.45">
      <c r="A25" s="28" t="s">
        <v>979</v>
      </c>
      <c r="B25" s="5" t="s">
        <v>62</v>
      </c>
      <c r="C25" s="5" t="s">
        <v>4</v>
      </c>
      <c r="D25" s="5" t="s">
        <v>75</v>
      </c>
      <c r="E25" s="5">
        <v>1</v>
      </c>
      <c r="F25" s="5" t="s">
        <v>57</v>
      </c>
      <c r="G25" s="5" t="s">
        <v>971</v>
      </c>
      <c r="H25" s="5">
        <v>2386</v>
      </c>
      <c r="I25" s="28" t="s">
        <v>980</v>
      </c>
      <c r="K25" s="18"/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45">
      <c r="A26" s="28" t="s">
        <v>981</v>
      </c>
      <c r="B26" s="5" t="s">
        <v>64</v>
      </c>
      <c r="C26" s="5" t="s">
        <v>4</v>
      </c>
      <c r="D26" s="5" t="s">
        <v>75</v>
      </c>
      <c r="E26" s="5">
        <v>1</v>
      </c>
      <c r="F26" s="5" t="s">
        <v>66</v>
      </c>
      <c r="G26" s="5" t="s">
        <v>971</v>
      </c>
      <c r="H26" s="5">
        <v>2387</v>
      </c>
      <c r="I26" s="28" t="s">
        <v>982</v>
      </c>
      <c r="K26" s="18"/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</row>
    <row r="27" spans="1:31" x14ac:dyDescent="0.45">
      <c r="A27" s="28" t="s">
        <v>983</v>
      </c>
      <c r="B27" s="5" t="s">
        <v>67</v>
      </c>
      <c r="C27" s="5" t="s">
        <v>4</v>
      </c>
      <c r="D27" s="5" t="s">
        <v>75</v>
      </c>
      <c r="E27" s="5">
        <v>1</v>
      </c>
      <c r="F27" s="5" t="s">
        <v>51</v>
      </c>
      <c r="G27" s="5" t="s">
        <v>971</v>
      </c>
      <c r="H27" s="5">
        <v>2388</v>
      </c>
      <c r="I27" s="28" t="s">
        <v>984</v>
      </c>
      <c r="K27" s="18"/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x14ac:dyDescent="0.45">
      <c r="A28" s="28" t="s">
        <v>985</v>
      </c>
      <c r="B28" s="5" t="s">
        <v>69</v>
      </c>
      <c r="C28" s="5" t="s">
        <v>4</v>
      </c>
      <c r="D28" s="5" t="s">
        <v>75</v>
      </c>
      <c r="E28" s="5">
        <v>1</v>
      </c>
      <c r="F28" s="5" t="s">
        <v>71</v>
      </c>
      <c r="G28" s="5" t="s">
        <v>986</v>
      </c>
      <c r="H28" s="5" t="s">
        <v>77</v>
      </c>
      <c r="I28" s="28" t="s">
        <v>77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</row>
    <row r="29" spans="1:31" x14ac:dyDescent="0.45">
      <c r="A29" s="28" t="s">
        <v>987</v>
      </c>
      <c r="B29" s="5" t="s">
        <v>77</v>
      </c>
      <c r="C29" s="5" t="s">
        <v>879</v>
      </c>
      <c r="D29" s="5" t="s">
        <v>80</v>
      </c>
      <c r="E29" s="5">
        <v>1</v>
      </c>
      <c r="F29" s="5" t="s">
        <v>79</v>
      </c>
      <c r="G29" s="5" t="s">
        <v>988</v>
      </c>
      <c r="H29" s="5">
        <v>2270</v>
      </c>
      <c r="I29" s="28" t="s">
        <v>987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</row>
    <row r="30" spans="1:31" x14ac:dyDescent="0.45">
      <c r="A30" s="28" t="s">
        <v>989</v>
      </c>
      <c r="B30" s="5" t="s">
        <v>77</v>
      </c>
      <c r="C30" s="5" t="s">
        <v>880</v>
      </c>
      <c r="D30" s="5" t="s">
        <v>80</v>
      </c>
      <c r="E30" s="5">
        <v>1</v>
      </c>
      <c r="F30" s="5" t="s">
        <v>79</v>
      </c>
      <c r="G30" s="5" t="s">
        <v>988</v>
      </c>
      <c r="H30" s="5">
        <v>2271</v>
      </c>
      <c r="I30" s="28" t="s">
        <v>989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45">
      <c r="A31" s="28" t="s">
        <v>990</v>
      </c>
      <c r="B31" s="5" t="s">
        <v>77</v>
      </c>
      <c r="C31" s="5" t="s">
        <v>881</v>
      </c>
      <c r="D31" s="5" t="s">
        <v>80</v>
      </c>
      <c r="E31" s="5">
        <v>1</v>
      </c>
      <c r="F31" s="5" t="s">
        <v>79</v>
      </c>
      <c r="G31" s="5" t="s">
        <v>988</v>
      </c>
      <c r="H31" s="5">
        <v>2272</v>
      </c>
      <c r="I31" s="28" t="s">
        <v>990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</row>
    <row r="32" spans="1:31" x14ac:dyDescent="0.45">
      <c r="A32" s="28" t="s">
        <v>991</v>
      </c>
      <c r="B32" s="5" t="s">
        <v>77</v>
      </c>
      <c r="C32" s="5" t="s">
        <v>883</v>
      </c>
      <c r="D32" s="5" t="s">
        <v>80</v>
      </c>
      <c r="E32" s="5">
        <v>1</v>
      </c>
      <c r="F32" s="5" t="s">
        <v>79</v>
      </c>
      <c r="G32" s="5" t="s">
        <v>988</v>
      </c>
      <c r="H32" s="5">
        <v>2273</v>
      </c>
      <c r="I32" s="28" t="s">
        <v>991</v>
      </c>
      <c r="K32" s="19"/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</row>
    <row r="33" spans="1:31" x14ac:dyDescent="0.45">
      <c r="A33" s="28" t="s">
        <v>992</v>
      </c>
      <c r="B33" s="5" t="s">
        <v>77</v>
      </c>
      <c r="C33" s="5" t="s">
        <v>882</v>
      </c>
      <c r="D33" s="5" t="s">
        <v>80</v>
      </c>
      <c r="E33" s="5">
        <v>1</v>
      </c>
      <c r="F33" s="5" t="s">
        <v>79</v>
      </c>
      <c r="G33" s="5" t="s">
        <v>988</v>
      </c>
      <c r="H33" s="5">
        <v>2274</v>
      </c>
      <c r="I33" s="28" t="s">
        <v>992</v>
      </c>
      <c r="K33" s="19"/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</row>
    <row r="34" spans="1:31" x14ac:dyDescent="0.45">
      <c r="A34" s="28" t="s">
        <v>993</v>
      </c>
      <c r="B34" s="5" t="s">
        <v>77</v>
      </c>
      <c r="C34" s="5" t="s">
        <v>884</v>
      </c>
      <c r="D34" s="5" t="s">
        <v>80</v>
      </c>
      <c r="E34" s="5">
        <v>1</v>
      </c>
      <c r="F34" s="5" t="s">
        <v>79</v>
      </c>
      <c r="G34" s="5" t="s">
        <v>988</v>
      </c>
      <c r="H34" s="5">
        <v>2275</v>
      </c>
      <c r="I34" s="28" t="s">
        <v>993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</row>
    <row r="35" spans="1:31" x14ac:dyDescent="0.45">
      <c r="A35" s="28" t="s">
        <v>994</v>
      </c>
      <c r="B35" s="5" t="s">
        <v>77</v>
      </c>
      <c r="C35" s="5" t="s">
        <v>885</v>
      </c>
      <c r="D35" s="5" t="s">
        <v>80</v>
      </c>
      <c r="E35" s="5">
        <v>1</v>
      </c>
      <c r="F35" s="5" t="s">
        <v>79</v>
      </c>
      <c r="G35" s="5" t="s">
        <v>988</v>
      </c>
      <c r="H35" s="5">
        <v>2276</v>
      </c>
      <c r="I35" s="28" t="s">
        <v>994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</row>
    <row r="36" spans="1:31" x14ac:dyDescent="0.45">
      <c r="A36" s="28" t="s">
        <v>995</v>
      </c>
      <c r="B36" s="5" t="s">
        <v>77</v>
      </c>
      <c r="C36" s="5" t="s">
        <v>886</v>
      </c>
      <c r="D36" s="5" t="s">
        <v>80</v>
      </c>
      <c r="E36" s="5">
        <v>1</v>
      </c>
      <c r="F36" s="5" t="s">
        <v>79</v>
      </c>
      <c r="G36" s="5" t="s">
        <v>988</v>
      </c>
      <c r="H36" s="5">
        <v>2277</v>
      </c>
      <c r="I36" s="28" t="s">
        <v>995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</row>
    <row r="37" spans="1:31" x14ac:dyDescent="0.45">
      <c r="A37" s="28" t="s">
        <v>996</v>
      </c>
      <c r="B37" s="5" t="s">
        <v>77</v>
      </c>
      <c r="C37" s="5" t="s">
        <v>117</v>
      </c>
      <c r="D37" s="5" t="s">
        <v>80</v>
      </c>
      <c r="E37" s="5">
        <v>1</v>
      </c>
      <c r="F37" s="5" t="s">
        <v>79</v>
      </c>
      <c r="G37" s="5" t="s">
        <v>988</v>
      </c>
      <c r="H37" s="5">
        <v>2278</v>
      </c>
      <c r="I37" s="28" t="s">
        <v>996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</row>
    <row r="38" spans="1:31" x14ac:dyDescent="0.45">
      <c r="A38" s="28" t="s">
        <v>997</v>
      </c>
      <c r="B38" s="5" t="s">
        <v>77</v>
      </c>
      <c r="C38" s="5" t="s">
        <v>43</v>
      </c>
      <c r="D38" s="5" t="s">
        <v>80</v>
      </c>
      <c r="E38" s="5">
        <v>1</v>
      </c>
      <c r="F38" s="5" t="s">
        <v>79</v>
      </c>
      <c r="G38" s="5" t="s">
        <v>988</v>
      </c>
      <c r="H38" s="5">
        <v>2279</v>
      </c>
      <c r="I38" s="28" t="s">
        <v>997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</row>
    <row r="39" spans="1:31" x14ac:dyDescent="0.45">
      <c r="A39" s="28" t="s">
        <v>998</v>
      </c>
      <c r="B39" s="5" t="s">
        <v>77</v>
      </c>
      <c r="C39" s="5" t="s">
        <v>115</v>
      </c>
      <c r="D39" s="5" t="s">
        <v>80</v>
      </c>
      <c r="E39" s="5">
        <v>1</v>
      </c>
      <c r="F39" s="5" t="s">
        <v>79</v>
      </c>
      <c r="G39" s="5" t="s">
        <v>988</v>
      </c>
      <c r="H39" s="5">
        <v>2280</v>
      </c>
      <c r="I39" s="28" t="s">
        <v>998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</row>
    <row r="40" spans="1:31" x14ac:dyDescent="0.45">
      <c r="A40" s="28" t="s">
        <v>999</v>
      </c>
      <c r="B40" s="5" t="s">
        <v>77</v>
      </c>
      <c r="C40" s="5" t="s">
        <v>887</v>
      </c>
      <c r="D40" s="5" t="s">
        <v>80</v>
      </c>
      <c r="E40" s="5">
        <v>1</v>
      </c>
      <c r="F40" s="5" t="s">
        <v>79</v>
      </c>
      <c r="G40" s="5" t="s">
        <v>988</v>
      </c>
      <c r="H40" s="5">
        <v>2281</v>
      </c>
      <c r="I40" s="28" t="s">
        <v>999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</row>
    <row r="41" spans="1:31" x14ac:dyDescent="0.45">
      <c r="A41" s="28" t="s">
        <v>1000</v>
      </c>
      <c r="B41" s="5" t="s">
        <v>77</v>
      </c>
      <c r="C41" s="5" t="s">
        <v>113</v>
      </c>
      <c r="D41" s="5" t="s">
        <v>80</v>
      </c>
      <c r="E41" s="5">
        <v>1</v>
      </c>
      <c r="F41" s="5" t="s">
        <v>79</v>
      </c>
      <c r="G41" s="5" t="s">
        <v>988</v>
      </c>
      <c r="H41" s="5">
        <v>2282</v>
      </c>
      <c r="I41" s="28" t="s">
        <v>1000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</row>
    <row r="42" spans="1:31" x14ac:dyDescent="0.45">
      <c r="A42" s="28" t="s">
        <v>1001</v>
      </c>
      <c r="B42" s="5" t="s">
        <v>77</v>
      </c>
      <c r="C42" s="5" t="s">
        <v>888</v>
      </c>
      <c r="D42" s="5" t="s">
        <v>80</v>
      </c>
      <c r="E42" s="5">
        <v>1</v>
      </c>
      <c r="F42" s="5" t="s">
        <v>79</v>
      </c>
      <c r="G42" s="5" t="s">
        <v>988</v>
      </c>
      <c r="H42" s="5">
        <v>2283</v>
      </c>
      <c r="I42" s="28" t="s">
        <v>1001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</row>
    <row r="43" spans="1:31" x14ac:dyDescent="0.45">
      <c r="A43" s="28" t="s">
        <v>1002</v>
      </c>
      <c r="B43" s="5" t="s">
        <v>77</v>
      </c>
      <c r="C43" s="5" t="s">
        <v>889</v>
      </c>
      <c r="D43" s="5" t="s">
        <v>80</v>
      </c>
      <c r="E43" s="5">
        <v>1</v>
      </c>
      <c r="F43" s="5" t="s">
        <v>79</v>
      </c>
      <c r="G43" s="5" t="s">
        <v>988</v>
      </c>
      <c r="H43" s="5">
        <v>2284</v>
      </c>
      <c r="I43" s="28" t="s">
        <v>1002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</row>
    <row r="44" spans="1:31" x14ac:dyDescent="0.45">
      <c r="A44" s="28" t="s">
        <v>1003</v>
      </c>
      <c r="B44" s="5" t="s">
        <v>77</v>
      </c>
      <c r="C44" s="5" t="s">
        <v>890</v>
      </c>
      <c r="D44" s="5" t="s">
        <v>80</v>
      </c>
      <c r="E44" s="5">
        <v>1</v>
      </c>
      <c r="F44" s="5" t="s">
        <v>79</v>
      </c>
      <c r="G44" s="5" t="s">
        <v>988</v>
      </c>
      <c r="H44" s="5">
        <v>2285</v>
      </c>
      <c r="I44" s="28" t="s">
        <v>1003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</row>
    <row r="45" spans="1:31" x14ac:dyDescent="0.45">
      <c r="A45" s="28" t="s">
        <v>1004</v>
      </c>
      <c r="B45" s="5" t="s">
        <v>77</v>
      </c>
      <c r="C45" s="5" t="s">
        <v>891</v>
      </c>
      <c r="D45" s="5" t="s">
        <v>80</v>
      </c>
      <c r="E45" s="5">
        <v>1</v>
      </c>
      <c r="F45" s="5" t="s">
        <v>79</v>
      </c>
      <c r="G45" s="5" t="s">
        <v>988</v>
      </c>
      <c r="H45" s="5">
        <v>2286</v>
      </c>
      <c r="I45" s="28" t="s">
        <v>1004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</row>
    <row r="46" spans="1:31" x14ac:dyDescent="0.45">
      <c r="A46" s="28" t="s">
        <v>1005</v>
      </c>
      <c r="B46" s="5" t="s">
        <v>77</v>
      </c>
      <c r="C46" s="5" t="s">
        <v>879</v>
      </c>
      <c r="D46" s="5" t="s">
        <v>82</v>
      </c>
      <c r="E46" s="5">
        <v>1</v>
      </c>
      <c r="F46" s="5" t="s">
        <v>79</v>
      </c>
      <c r="G46" s="5" t="s">
        <v>81</v>
      </c>
      <c r="H46" s="5">
        <v>2403</v>
      </c>
      <c r="I46" s="28" t="s">
        <v>1005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45">
      <c r="A47" s="28" t="s">
        <v>1006</v>
      </c>
      <c r="B47" s="5" t="s">
        <v>77</v>
      </c>
      <c r="C47" s="5" t="s">
        <v>880</v>
      </c>
      <c r="D47" s="5" t="s">
        <v>82</v>
      </c>
      <c r="E47" s="5">
        <v>1</v>
      </c>
      <c r="F47" s="5" t="s">
        <v>79</v>
      </c>
      <c r="G47" s="5" t="s">
        <v>81</v>
      </c>
      <c r="H47" s="5">
        <v>2404</v>
      </c>
      <c r="I47" s="28" t="s">
        <v>1006</v>
      </c>
      <c r="K47" s="19"/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</row>
    <row r="48" spans="1:31" x14ac:dyDescent="0.45">
      <c r="A48" s="28" t="s">
        <v>1007</v>
      </c>
      <c r="B48" s="5" t="s">
        <v>77</v>
      </c>
      <c r="C48" s="5" t="s">
        <v>881</v>
      </c>
      <c r="D48" s="5" t="s">
        <v>82</v>
      </c>
      <c r="E48" s="5">
        <v>1</v>
      </c>
      <c r="F48" s="5" t="s">
        <v>79</v>
      </c>
      <c r="G48" s="5" t="s">
        <v>81</v>
      </c>
      <c r="H48" s="5">
        <v>2405</v>
      </c>
      <c r="I48" s="28" t="s">
        <v>1007</v>
      </c>
      <c r="K48" s="19"/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45">
      <c r="A49" s="28" t="s">
        <v>1008</v>
      </c>
      <c r="B49" s="5" t="s">
        <v>77</v>
      </c>
      <c r="C49" s="5" t="s">
        <v>883</v>
      </c>
      <c r="D49" s="5" t="s">
        <v>82</v>
      </c>
      <c r="E49" s="5">
        <v>1</v>
      </c>
      <c r="F49" s="5" t="s">
        <v>79</v>
      </c>
      <c r="G49" s="5" t="s">
        <v>81</v>
      </c>
      <c r="H49" s="5">
        <v>2406</v>
      </c>
      <c r="I49" s="28" t="s">
        <v>1009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</row>
    <row r="50" spans="1:31" x14ac:dyDescent="0.45">
      <c r="A50" s="28" t="s">
        <v>1009</v>
      </c>
      <c r="B50" s="5" t="s">
        <v>77</v>
      </c>
      <c r="C50" s="5" t="s">
        <v>882</v>
      </c>
      <c r="D50" s="5" t="s">
        <v>82</v>
      </c>
      <c r="E50" s="5">
        <v>1</v>
      </c>
      <c r="F50" s="5" t="s">
        <v>79</v>
      </c>
      <c r="G50" s="5" t="s">
        <v>81</v>
      </c>
      <c r="H50" s="5">
        <v>2407</v>
      </c>
      <c r="I50" s="28" t="s">
        <v>1008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45">
      <c r="A51" s="28" t="s">
        <v>1010</v>
      </c>
      <c r="B51" s="5" t="s">
        <v>77</v>
      </c>
      <c r="C51" s="5" t="s">
        <v>884</v>
      </c>
      <c r="D51" s="5" t="s">
        <v>82</v>
      </c>
      <c r="E51" s="5">
        <v>1</v>
      </c>
      <c r="F51" s="5" t="s">
        <v>79</v>
      </c>
      <c r="G51" s="5" t="s">
        <v>81</v>
      </c>
      <c r="H51" s="5">
        <v>2408</v>
      </c>
      <c r="I51" s="28" t="s">
        <v>1010</v>
      </c>
      <c r="K51" s="19"/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</row>
    <row r="52" spans="1:31" x14ac:dyDescent="0.45">
      <c r="A52" s="28" t="s">
        <v>1011</v>
      </c>
      <c r="B52" s="5" t="s">
        <v>77</v>
      </c>
      <c r="C52" s="5" t="s">
        <v>885</v>
      </c>
      <c r="D52" s="5" t="s">
        <v>82</v>
      </c>
      <c r="E52" s="5">
        <v>1</v>
      </c>
      <c r="F52" s="5" t="s">
        <v>79</v>
      </c>
      <c r="G52" s="5" t="s">
        <v>81</v>
      </c>
      <c r="H52" s="5">
        <v>2409</v>
      </c>
      <c r="I52" s="28" t="s">
        <v>1011</v>
      </c>
      <c r="K52" s="19"/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</row>
    <row r="53" spans="1:31" x14ac:dyDescent="0.45">
      <c r="A53" s="28" t="s">
        <v>1012</v>
      </c>
      <c r="B53" s="5" t="s">
        <v>77</v>
      </c>
      <c r="C53" s="5" t="s">
        <v>886</v>
      </c>
      <c r="D53" s="5" t="s">
        <v>82</v>
      </c>
      <c r="E53" s="5">
        <v>1</v>
      </c>
      <c r="F53" s="5" t="s">
        <v>79</v>
      </c>
      <c r="G53" s="5" t="s">
        <v>81</v>
      </c>
      <c r="H53" s="5">
        <v>2410</v>
      </c>
      <c r="I53" s="28" t="s">
        <v>1012</v>
      </c>
      <c r="K53" s="19"/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</row>
    <row r="54" spans="1:31" x14ac:dyDescent="0.45">
      <c r="A54" s="28" t="s">
        <v>1013</v>
      </c>
      <c r="B54" s="5" t="s">
        <v>77</v>
      </c>
      <c r="C54" s="5" t="s">
        <v>117</v>
      </c>
      <c r="D54" s="5" t="s">
        <v>82</v>
      </c>
      <c r="E54" s="5">
        <v>1</v>
      </c>
      <c r="F54" s="5" t="s">
        <v>79</v>
      </c>
      <c r="G54" s="5" t="s">
        <v>81</v>
      </c>
      <c r="H54" s="5">
        <v>2411</v>
      </c>
      <c r="I54" s="28" t="s">
        <v>1013</v>
      </c>
      <c r="K54" s="19"/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</row>
    <row r="55" spans="1:31" x14ac:dyDescent="0.45">
      <c r="A55" s="28" t="s">
        <v>1014</v>
      </c>
      <c r="B55" s="5" t="s">
        <v>77</v>
      </c>
      <c r="C55" s="5" t="s">
        <v>43</v>
      </c>
      <c r="D55" s="5" t="s">
        <v>82</v>
      </c>
      <c r="E55" s="5">
        <v>1</v>
      </c>
      <c r="F55" s="5" t="s">
        <v>79</v>
      </c>
      <c r="G55" s="5" t="s">
        <v>81</v>
      </c>
      <c r="H55" s="5">
        <v>2412</v>
      </c>
      <c r="I55" s="28" t="s">
        <v>1014</v>
      </c>
      <c r="K55" s="19"/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</row>
    <row r="56" spans="1:31" x14ac:dyDescent="0.45">
      <c r="A56" s="28" t="s">
        <v>1015</v>
      </c>
      <c r="B56" s="5" t="s">
        <v>77</v>
      </c>
      <c r="C56" s="5" t="s">
        <v>115</v>
      </c>
      <c r="D56" s="5" t="s">
        <v>82</v>
      </c>
      <c r="E56" s="5">
        <v>1</v>
      </c>
      <c r="F56" s="5" t="s">
        <v>79</v>
      </c>
      <c r="G56" s="5" t="s">
        <v>81</v>
      </c>
      <c r="H56" s="5">
        <v>2413</v>
      </c>
      <c r="I56" s="28" t="s">
        <v>1015</v>
      </c>
      <c r="K56" s="19"/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</row>
    <row r="57" spans="1:31" x14ac:dyDescent="0.45">
      <c r="A57" s="28" t="s">
        <v>1016</v>
      </c>
      <c r="B57" s="5" t="s">
        <v>77</v>
      </c>
      <c r="C57" s="5" t="s">
        <v>887</v>
      </c>
      <c r="D57" s="5" t="s">
        <v>82</v>
      </c>
      <c r="E57" s="5">
        <v>1</v>
      </c>
      <c r="F57" s="5" t="s">
        <v>79</v>
      </c>
      <c r="G57" s="5" t="s">
        <v>81</v>
      </c>
      <c r="H57" s="5">
        <v>2414</v>
      </c>
      <c r="I57" s="28" t="s">
        <v>1016</v>
      </c>
      <c r="K57" s="19"/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</row>
    <row r="58" spans="1:31" x14ac:dyDescent="0.45">
      <c r="A58" s="28" t="s">
        <v>1017</v>
      </c>
      <c r="B58" s="5" t="s">
        <v>77</v>
      </c>
      <c r="C58" s="5" t="s">
        <v>113</v>
      </c>
      <c r="D58" s="5" t="s">
        <v>82</v>
      </c>
      <c r="E58" s="5">
        <v>1</v>
      </c>
      <c r="F58" s="5" t="s">
        <v>79</v>
      </c>
      <c r="G58" s="5" t="s">
        <v>81</v>
      </c>
      <c r="H58" s="5">
        <v>2415</v>
      </c>
      <c r="I58" s="28" t="s">
        <v>1017</v>
      </c>
      <c r="K58" s="19"/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</row>
    <row r="59" spans="1:31" x14ac:dyDescent="0.45">
      <c r="A59" s="28" t="s">
        <v>1018</v>
      </c>
      <c r="B59" s="5" t="s">
        <v>77</v>
      </c>
      <c r="C59" s="5" t="s">
        <v>888</v>
      </c>
      <c r="D59" s="5" t="s">
        <v>82</v>
      </c>
      <c r="E59" s="5">
        <v>1</v>
      </c>
      <c r="F59" s="5" t="s">
        <v>79</v>
      </c>
      <c r="G59" s="5" t="s">
        <v>81</v>
      </c>
      <c r="H59" s="5">
        <v>2416</v>
      </c>
      <c r="I59" s="28" t="s">
        <v>1018</v>
      </c>
      <c r="K59" s="19"/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</row>
    <row r="60" spans="1:31" x14ac:dyDescent="0.45">
      <c r="A60" s="28" t="s">
        <v>1019</v>
      </c>
      <c r="B60" s="5" t="s">
        <v>77</v>
      </c>
      <c r="C60" s="5" t="s">
        <v>889</v>
      </c>
      <c r="D60" s="5" t="s">
        <v>82</v>
      </c>
      <c r="E60" s="5">
        <v>1</v>
      </c>
      <c r="F60" s="5" t="s">
        <v>79</v>
      </c>
      <c r="G60" s="5" t="s">
        <v>81</v>
      </c>
      <c r="H60" s="5">
        <v>2417</v>
      </c>
      <c r="I60" s="28" t="s">
        <v>1019</v>
      </c>
      <c r="K60" s="19"/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</row>
    <row r="61" spans="1:31" x14ac:dyDescent="0.45">
      <c r="A61" s="28" t="s">
        <v>1020</v>
      </c>
      <c r="B61" s="5" t="s">
        <v>77</v>
      </c>
      <c r="C61" s="5" t="s">
        <v>890</v>
      </c>
      <c r="D61" s="5" t="s">
        <v>82</v>
      </c>
      <c r="E61" s="5">
        <v>1</v>
      </c>
      <c r="F61" s="5" t="s">
        <v>79</v>
      </c>
      <c r="G61" s="5" t="s">
        <v>81</v>
      </c>
      <c r="H61" s="5">
        <v>2418</v>
      </c>
      <c r="I61" s="28" t="s">
        <v>1020</v>
      </c>
      <c r="K61" s="19"/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</row>
    <row r="62" spans="1:31" x14ac:dyDescent="0.45">
      <c r="A62" s="28" t="s">
        <v>1021</v>
      </c>
      <c r="B62" s="5" t="s">
        <v>77</v>
      </c>
      <c r="C62" s="5" t="s">
        <v>891</v>
      </c>
      <c r="D62" s="5" t="s">
        <v>82</v>
      </c>
      <c r="E62" s="5">
        <v>1</v>
      </c>
      <c r="F62" s="5" t="s">
        <v>79</v>
      </c>
      <c r="G62" s="5" t="s">
        <v>81</v>
      </c>
      <c r="H62" s="5">
        <v>2419</v>
      </c>
      <c r="I62" s="28" t="s">
        <v>1021</v>
      </c>
      <c r="K62" s="19"/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</row>
    <row r="63" spans="1:31" x14ac:dyDescent="0.45">
      <c r="A63" s="28" t="s">
        <v>1022</v>
      </c>
      <c r="B63" s="5" t="s">
        <v>49</v>
      </c>
      <c r="C63" s="5" t="s">
        <v>4</v>
      </c>
      <c r="D63" s="5" t="s">
        <v>935</v>
      </c>
      <c r="E63" s="5">
        <v>2</v>
      </c>
      <c r="F63" s="5" t="s">
        <v>51</v>
      </c>
      <c r="G63" s="5" t="s">
        <v>936</v>
      </c>
      <c r="H63" s="5">
        <v>8844</v>
      </c>
      <c r="I63" s="28" t="s">
        <v>1022</v>
      </c>
      <c r="K63" s="18">
        <v>11.182901589243899</v>
      </c>
      <c r="L63" s="18">
        <v>10.5233613454312</v>
      </c>
      <c r="M63" s="18">
        <v>10.2995608274442</v>
      </c>
      <c r="N63" s="18">
        <v>9.5775283595382597</v>
      </c>
      <c r="O63" s="18">
        <v>8.4854782869580507</v>
      </c>
      <c r="P63" s="18">
        <v>9.0871922352498604</v>
      </c>
      <c r="Q63" s="18">
        <v>9.2229237289326793</v>
      </c>
      <c r="R63" s="18">
        <v>9.1585649555096893</v>
      </c>
      <c r="S63" s="18">
        <v>9.0895478773973792</v>
      </c>
      <c r="T63" s="18">
        <v>9.0156816660228305</v>
      </c>
      <c r="U63" s="18">
        <v>8.9443977655571096</v>
      </c>
      <c r="V63" s="18">
        <v>8.9443977655571096</v>
      </c>
      <c r="W63" s="18">
        <v>8.9443977655571096</v>
      </c>
      <c r="X63" s="18">
        <v>8.9443977655571096</v>
      </c>
      <c r="Y63" s="18">
        <v>8.9443977655571096</v>
      </c>
      <c r="Z63" s="18">
        <v>8.9443977655571096</v>
      </c>
      <c r="AA63" s="18">
        <v>8.9443977655571096</v>
      </c>
      <c r="AB63" s="18">
        <v>8.9443977655571096</v>
      </c>
      <c r="AC63" s="18">
        <v>8.9443977655571096</v>
      </c>
      <c r="AD63" s="18">
        <v>8.9443977655571096</v>
      </c>
      <c r="AE63" s="18">
        <v>8.9443977655571096</v>
      </c>
    </row>
    <row r="64" spans="1:31" x14ac:dyDescent="0.45">
      <c r="A64" s="28" t="s">
        <v>1023</v>
      </c>
      <c r="B64" s="5" t="s">
        <v>49</v>
      </c>
      <c r="C64" s="5" t="s">
        <v>4</v>
      </c>
      <c r="D64" s="5" t="s">
        <v>938</v>
      </c>
      <c r="E64" s="5">
        <v>2</v>
      </c>
      <c r="F64" s="5" t="s">
        <v>51</v>
      </c>
      <c r="G64" s="5" t="s">
        <v>1844</v>
      </c>
      <c r="H64" s="5" t="s">
        <v>1845</v>
      </c>
      <c r="I64" s="28" t="s">
        <v>1023</v>
      </c>
      <c r="J64" t="s">
        <v>1726</v>
      </c>
      <c r="K64" s="18">
        <v>0</v>
      </c>
      <c r="L64" s="18">
        <f>INDEX(Scenarios!L:L,MATCH($A64,Scenarios!$G:$G,0))</f>
        <v>0</v>
      </c>
      <c r="M64" s="18">
        <f>INDEX(Scenarios!M:M,MATCH($A64,Scenarios!$G:$G,0))</f>
        <v>0</v>
      </c>
      <c r="N64" s="18">
        <f>INDEX(Scenarios!N:N,MATCH($A64,Scenarios!$G:$G,0))</f>
        <v>0</v>
      </c>
      <c r="O64" s="18">
        <f>INDEX(Scenarios!O:O,MATCH($A64,Scenarios!$G:$G,0))</f>
        <v>0</v>
      </c>
      <c r="P64" s="18">
        <f>INDEX(Scenarios!P:P,MATCH($A64,Scenarios!$G:$G,0))</f>
        <v>0</v>
      </c>
      <c r="Q64" s="18">
        <f>INDEX(Scenarios!Q:Q,MATCH($A64,Scenarios!$G:$G,0))</f>
        <v>1.25</v>
      </c>
      <c r="R64" s="18">
        <f>INDEX(Scenarios!R:R,MATCH($A64,Scenarios!$G:$G,0))</f>
        <v>2.5</v>
      </c>
      <c r="S64" s="18">
        <f>INDEX(Scenarios!S:S,MATCH($A64,Scenarios!$G:$G,0))</f>
        <v>3.75</v>
      </c>
      <c r="T64" s="18">
        <f>INDEX(Scenarios!T:T,MATCH($A64,Scenarios!$G:$G,0))</f>
        <v>5</v>
      </c>
      <c r="U64" s="18">
        <f>INDEX(Scenarios!U:U,MATCH($A64,Scenarios!$G:$G,0))</f>
        <v>6.25</v>
      </c>
      <c r="V64" s="18">
        <f>INDEX(Scenarios!V:V,MATCH($A64,Scenarios!$G:$G,0))</f>
        <v>7.5</v>
      </c>
      <c r="W64" s="18">
        <f>INDEX(Scenarios!W:W,MATCH($A64,Scenarios!$G:$G,0))</f>
        <v>8.75</v>
      </c>
      <c r="X64" s="18">
        <f>INDEX(Scenarios!X:X,MATCH($A64,Scenarios!$G:$G,0))</f>
        <v>10</v>
      </c>
      <c r="Y64" s="18">
        <f>INDEX(Scenarios!Y:Y,MATCH($A64,Scenarios!$G:$G,0))</f>
        <v>11.25</v>
      </c>
      <c r="Z64" s="18">
        <f>INDEX(Scenarios!Z:Z,MATCH($A64,Scenarios!$G:$G,0))</f>
        <v>12.5</v>
      </c>
      <c r="AA64" s="18">
        <f>INDEX(Scenarios!AA:AA,MATCH($A64,Scenarios!$G:$G,0))</f>
        <v>13.75</v>
      </c>
      <c r="AB64" s="18">
        <f>INDEX(Scenarios!AB:AB,MATCH($A64,Scenarios!$G:$G,0))</f>
        <v>15</v>
      </c>
      <c r="AC64" s="18">
        <f>INDEX(Scenarios!AC:AC,MATCH($A64,Scenarios!$G:$G,0))</f>
        <v>16.25</v>
      </c>
      <c r="AD64" s="18">
        <f>INDEX(Scenarios!AD:AD,MATCH($A64,Scenarios!$G:$G,0))</f>
        <v>17.5</v>
      </c>
      <c r="AE64" s="18">
        <f>INDEX(Scenarios!AE:AE,MATCH($A64,Scenarios!$G:$G,0))</f>
        <v>18.75</v>
      </c>
    </row>
    <row r="65" spans="1:31" x14ac:dyDescent="0.45">
      <c r="A65" s="28" t="s">
        <v>1024</v>
      </c>
      <c r="B65" s="5" t="s">
        <v>53</v>
      </c>
      <c r="C65" s="5" t="s">
        <v>4</v>
      </c>
      <c r="D65" s="5" t="s">
        <v>935</v>
      </c>
      <c r="E65" s="5">
        <v>2</v>
      </c>
      <c r="F65" s="5" t="s">
        <v>51</v>
      </c>
      <c r="G65" s="5" t="s">
        <v>936</v>
      </c>
      <c r="H65" s="5">
        <v>8913</v>
      </c>
      <c r="I65" s="28" t="s">
        <v>1024</v>
      </c>
      <c r="K65" s="18">
        <v>6.0634636156729096</v>
      </c>
      <c r="L65" s="18">
        <v>5.4510150816191896</v>
      </c>
      <c r="M65" s="18">
        <v>5.1193563062624801</v>
      </c>
      <c r="N65" s="18">
        <v>5.08218458640407</v>
      </c>
      <c r="O65" s="18">
        <v>5.08218458640407</v>
      </c>
      <c r="P65" s="18">
        <v>5.08218458640407</v>
      </c>
      <c r="Q65" s="18">
        <v>5.08218458640407</v>
      </c>
      <c r="R65" s="18">
        <v>5.08218458640407</v>
      </c>
      <c r="S65" s="18">
        <v>5.08218458640407</v>
      </c>
      <c r="T65" s="18">
        <v>5.08218458640407</v>
      </c>
      <c r="U65" s="18">
        <v>5.08218458640407</v>
      </c>
      <c r="V65" s="18">
        <v>5.08218458640407</v>
      </c>
      <c r="W65" s="18">
        <v>5.08218458640407</v>
      </c>
      <c r="X65" s="18">
        <v>5.08218458640407</v>
      </c>
      <c r="Y65" s="18">
        <v>5.08218458640407</v>
      </c>
      <c r="Z65" s="18">
        <v>5.08218458640407</v>
      </c>
      <c r="AA65" s="18">
        <v>5.08218458640407</v>
      </c>
      <c r="AB65" s="18">
        <v>5.08218458640407</v>
      </c>
      <c r="AC65" s="18">
        <v>5.08218458640407</v>
      </c>
      <c r="AD65" s="18">
        <v>5.08218458640407</v>
      </c>
      <c r="AE65" s="18">
        <v>5.08218458640407</v>
      </c>
    </row>
    <row r="66" spans="1:31" x14ac:dyDescent="0.45">
      <c r="A66" s="28" t="s">
        <v>1025</v>
      </c>
      <c r="B66" s="5" t="s">
        <v>53</v>
      </c>
      <c r="C66" s="5" t="s">
        <v>4</v>
      </c>
      <c r="D66" s="5" t="s">
        <v>938</v>
      </c>
      <c r="E66" s="5">
        <v>2</v>
      </c>
      <c r="F66" s="5" t="s">
        <v>51</v>
      </c>
      <c r="G66" s="5" t="s">
        <v>1844</v>
      </c>
      <c r="H66" s="5" t="s">
        <v>1846</v>
      </c>
      <c r="I66" s="28" t="s">
        <v>1025</v>
      </c>
      <c r="J66" t="s">
        <v>1726</v>
      </c>
      <c r="K66" s="18">
        <v>0</v>
      </c>
      <c r="L66" s="18">
        <f>INDEX(Scenarios!L:L,MATCH($A66,Scenarios!$G:$G,0))</f>
        <v>0</v>
      </c>
      <c r="M66" s="18">
        <f>INDEX(Scenarios!M:M,MATCH($A66,Scenarios!$G:$G,0))</f>
        <v>0</v>
      </c>
      <c r="N66" s="18">
        <f>INDEX(Scenarios!N:N,MATCH($A66,Scenarios!$G:$G,0))</f>
        <v>0</v>
      </c>
      <c r="O66" s="18">
        <f>INDEX(Scenarios!O:O,MATCH($A66,Scenarios!$G:$G,0))</f>
        <v>0</v>
      </c>
      <c r="P66" s="18">
        <f>INDEX(Scenarios!P:P,MATCH($A66,Scenarios!$G:$G,0))</f>
        <v>0</v>
      </c>
      <c r="Q66" s="18">
        <f>INDEX(Scenarios!Q:Q,MATCH($A66,Scenarios!$G:$G,0))</f>
        <v>0.69750000000000001</v>
      </c>
      <c r="R66" s="18">
        <f>INDEX(Scenarios!R:R,MATCH($A66,Scenarios!$G:$G,0))</f>
        <v>1.395</v>
      </c>
      <c r="S66" s="18">
        <f>INDEX(Scenarios!S:S,MATCH($A66,Scenarios!$G:$G,0))</f>
        <v>2.0925000000000002</v>
      </c>
      <c r="T66" s="18">
        <f>INDEX(Scenarios!T:T,MATCH($A66,Scenarios!$G:$G,0))</f>
        <v>2.79</v>
      </c>
      <c r="U66" s="18">
        <f>INDEX(Scenarios!U:U,MATCH($A66,Scenarios!$G:$G,0))</f>
        <v>3.4875000000000003</v>
      </c>
      <c r="V66" s="18">
        <f>INDEX(Scenarios!V:V,MATCH($A66,Scenarios!$G:$G,0))</f>
        <v>4.1850000000000005</v>
      </c>
      <c r="W66" s="18">
        <f>INDEX(Scenarios!W:W,MATCH($A66,Scenarios!$G:$G,0))</f>
        <v>4.8825000000000003</v>
      </c>
      <c r="X66" s="18">
        <f>INDEX(Scenarios!X:X,MATCH($A66,Scenarios!$G:$G,0))</f>
        <v>5.58</v>
      </c>
      <c r="Y66" s="18">
        <f>INDEX(Scenarios!Y:Y,MATCH($A66,Scenarios!$G:$G,0))</f>
        <v>6.2774999999999999</v>
      </c>
      <c r="Z66" s="18">
        <f>INDEX(Scenarios!Z:Z,MATCH($A66,Scenarios!$G:$G,0))</f>
        <v>6.9750000000000005</v>
      </c>
      <c r="AA66" s="18">
        <f>INDEX(Scenarios!AA:AA,MATCH($A66,Scenarios!$G:$G,0))</f>
        <v>7.6725000000000003</v>
      </c>
      <c r="AB66" s="18">
        <f>INDEX(Scenarios!AB:AB,MATCH($A66,Scenarios!$G:$G,0))</f>
        <v>8.370000000000001</v>
      </c>
      <c r="AC66" s="18">
        <f>INDEX(Scenarios!AC:AC,MATCH($A66,Scenarios!$G:$G,0))</f>
        <v>9.0675000000000008</v>
      </c>
      <c r="AD66" s="18">
        <f>INDEX(Scenarios!AD:AD,MATCH($A66,Scenarios!$G:$G,0))</f>
        <v>9.7650000000000006</v>
      </c>
      <c r="AE66" s="18">
        <f>INDEX(Scenarios!AE:AE,MATCH($A66,Scenarios!$G:$G,0))</f>
        <v>10.4625</v>
      </c>
    </row>
    <row r="67" spans="1:31" x14ac:dyDescent="0.45">
      <c r="A67" s="28" t="s">
        <v>1026</v>
      </c>
      <c r="B67" s="5" t="s">
        <v>55</v>
      </c>
      <c r="C67" s="5" t="s">
        <v>4</v>
      </c>
      <c r="D67" s="5" t="s">
        <v>935</v>
      </c>
      <c r="E67" s="5">
        <v>2</v>
      </c>
      <c r="F67" s="5" t="s">
        <v>57</v>
      </c>
      <c r="G67" s="5" t="s">
        <v>936</v>
      </c>
      <c r="H67" s="5">
        <v>8936</v>
      </c>
      <c r="I67" s="28" t="s">
        <v>1027</v>
      </c>
      <c r="K67" s="18">
        <v>0.67114653332181595</v>
      </c>
      <c r="L67" s="18">
        <v>0.61197797679140598</v>
      </c>
      <c r="M67" s="18">
        <v>0.61180974964187596</v>
      </c>
      <c r="N67" s="18">
        <v>0.60358310017790595</v>
      </c>
      <c r="O67" s="18">
        <v>0.60358310017790595</v>
      </c>
      <c r="P67" s="18">
        <v>0.60358310017790595</v>
      </c>
      <c r="Q67" s="18">
        <v>0.60358310017790595</v>
      </c>
      <c r="R67" s="18">
        <v>0.60358310017790595</v>
      </c>
      <c r="S67" s="18">
        <v>0.60358310017790595</v>
      </c>
      <c r="T67" s="18">
        <v>0.60358310017790595</v>
      </c>
      <c r="U67" s="18">
        <v>0.60358310017790595</v>
      </c>
      <c r="V67" s="18">
        <v>0.60358310017790595</v>
      </c>
      <c r="W67" s="18">
        <v>0.60358310017790595</v>
      </c>
      <c r="X67" s="18">
        <v>0.60358310017790595</v>
      </c>
      <c r="Y67" s="18">
        <v>0.60358310017790595</v>
      </c>
      <c r="Z67" s="18">
        <v>0.60358310017790595</v>
      </c>
      <c r="AA67" s="18">
        <v>0.60358310017790595</v>
      </c>
      <c r="AB67" s="18">
        <v>0.60358310017790595</v>
      </c>
      <c r="AC67" s="18">
        <v>0.60358310017790595</v>
      </c>
      <c r="AD67" s="18">
        <v>0.60358310017790595</v>
      </c>
      <c r="AE67" s="18">
        <v>0.60358310017790595</v>
      </c>
    </row>
    <row r="68" spans="1:31" x14ac:dyDescent="0.45">
      <c r="A68" s="28" t="s">
        <v>1028</v>
      </c>
      <c r="B68" s="5" t="s">
        <v>55</v>
      </c>
      <c r="C68" s="5" t="s">
        <v>4</v>
      </c>
      <c r="D68" s="5" t="s">
        <v>938</v>
      </c>
      <c r="E68" s="5">
        <v>2</v>
      </c>
      <c r="F68" s="5" t="s">
        <v>57</v>
      </c>
      <c r="G68" s="5" t="s">
        <v>1844</v>
      </c>
      <c r="H68" s="5" t="s">
        <v>1847</v>
      </c>
      <c r="I68" s="28" t="s">
        <v>1029</v>
      </c>
      <c r="J68" t="s">
        <v>1726</v>
      </c>
      <c r="K68" s="18">
        <v>0</v>
      </c>
      <c r="L68" s="18">
        <f>INDEX(Scenarios!L:L,MATCH($A68,Scenarios!$G:$G,0))</f>
        <v>0</v>
      </c>
      <c r="M68" s="18">
        <f>INDEX(Scenarios!M:M,MATCH($A68,Scenarios!$G:$G,0))</f>
        <v>0</v>
      </c>
      <c r="N68" s="18">
        <f>INDEX(Scenarios!N:N,MATCH($A68,Scenarios!$G:$G,0))</f>
        <v>0</v>
      </c>
      <c r="O68" s="18">
        <f>INDEX(Scenarios!O:O,MATCH($A68,Scenarios!$G:$G,0))</f>
        <v>0</v>
      </c>
      <c r="P68" s="18">
        <f>INDEX(Scenarios!P:P,MATCH($A68,Scenarios!$G:$G,0))</f>
        <v>0</v>
      </c>
      <c r="Q68" s="18">
        <f>INDEX(Scenarios!Q:Q,MATCH($A68,Scenarios!$G:$G,0))</f>
        <v>2.8927843171500003E-2</v>
      </c>
      <c r="R68" s="18">
        <f>INDEX(Scenarios!R:R,MATCH($A68,Scenarios!$G:$G,0))</f>
        <v>5.7855686343000007E-2</v>
      </c>
      <c r="S68" s="18">
        <f>INDEX(Scenarios!S:S,MATCH($A68,Scenarios!$G:$G,0))</f>
        <v>8.678352951450001E-2</v>
      </c>
      <c r="T68" s="18">
        <f>INDEX(Scenarios!T:T,MATCH($A68,Scenarios!$G:$G,0))</f>
        <v>0.11571137268600001</v>
      </c>
      <c r="U68" s="18">
        <f>INDEX(Scenarios!U:U,MATCH($A68,Scenarios!$G:$G,0))</f>
        <v>0.1446392158575</v>
      </c>
      <c r="V68" s="18">
        <f>INDEX(Scenarios!V:V,MATCH($A68,Scenarios!$G:$G,0))</f>
        <v>0.17356705902900002</v>
      </c>
      <c r="W68" s="18">
        <f>INDEX(Scenarios!W:W,MATCH($A68,Scenarios!$G:$G,0))</f>
        <v>0.20249490220050001</v>
      </c>
      <c r="X68" s="18">
        <f>INDEX(Scenarios!X:X,MATCH($A68,Scenarios!$G:$G,0))</f>
        <v>0.23142274537200003</v>
      </c>
      <c r="Y68" s="18">
        <f>INDEX(Scenarios!Y:Y,MATCH($A68,Scenarios!$G:$G,0))</f>
        <v>0.26035058854350002</v>
      </c>
      <c r="Z68" s="18">
        <f>INDEX(Scenarios!Z:Z,MATCH($A68,Scenarios!$G:$G,0))</f>
        <v>0.28927843171500001</v>
      </c>
      <c r="AA68" s="18">
        <f>INDEX(Scenarios!AA:AA,MATCH($A68,Scenarios!$G:$G,0))</f>
        <v>0.31820627488650005</v>
      </c>
      <c r="AB68" s="18">
        <f>INDEX(Scenarios!AB:AB,MATCH($A68,Scenarios!$G:$G,0))</f>
        <v>0.34713411805800004</v>
      </c>
      <c r="AC68" s="18">
        <f>INDEX(Scenarios!AC:AC,MATCH($A68,Scenarios!$G:$G,0))</f>
        <v>0.37606196122950003</v>
      </c>
      <c r="AD68" s="18">
        <f>INDEX(Scenarios!AD:AD,MATCH($A68,Scenarios!$G:$G,0))</f>
        <v>0.40498980440100002</v>
      </c>
      <c r="AE68" s="18">
        <f>INDEX(Scenarios!AE:AE,MATCH($A68,Scenarios!$G:$G,0))</f>
        <v>0.43391764757250006</v>
      </c>
    </row>
    <row r="69" spans="1:31" x14ac:dyDescent="0.45">
      <c r="A69" s="28" t="s">
        <v>1030</v>
      </c>
      <c r="B69" s="5" t="s">
        <v>58</v>
      </c>
      <c r="C69" s="5" t="s">
        <v>4</v>
      </c>
      <c r="D69" s="5" t="s">
        <v>935</v>
      </c>
      <c r="E69" s="5">
        <v>2</v>
      </c>
      <c r="F69" s="5" t="s">
        <v>57</v>
      </c>
      <c r="G69" s="5" t="s">
        <v>936</v>
      </c>
      <c r="H69" s="5">
        <v>8959</v>
      </c>
      <c r="I69" s="28" t="s">
        <v>1031</v>
      </c>
      <c r="K69" s="18">
        <v>0.55971121315568795</v>
      </c>
      <c r="L69" s="18">
        <v>0.49458873084106802</v>
      </c>
      <c r="M69" s="18">
        <v>0.50778654720250105</v>
      </c>
      <c r="N69" s="18">
        <v>0.47043642679561698</v>
      </c>
      <c r="O69" s="18">
        <v>0.47043642679561698</v>
      </c>
      <c r="P69" s="18">
        <v>0.47043642679561698</v>
      </c>
      <c r="Q69" s="18">
        <v>0.47043642679561698</v>
      </c>
      <c r="R69" s="18">
        <v>0.47043642679561698</v>
      </c>
      <c r="S69" s="18">
        <v>0.47043642679561698</v>
      </c>
      <c r="T69" s="18">
        <v>0.47043642679561698</v>
      </c>
      <c r="U69" s="18">
        <v>0.47043642679561698</v>
      </c>
      <c r="V69" s="18">
        <v>0.47043642679561698</v>
      </c>
      <c r="W69" s="18">
        <v>0.47043642679561698</v>
      </c>
      <c r="X69" s="18">
        <v>0.47043642679561698</v>
      </c>
      <c r="Y69" s="18">
        <v>0.47043642679561698</v>
      </c>
      <c r="Z69" s="18">
        <v>0.47043642679561698</v>
      </c>
      <c r="AA69" s="18">
        <v>0.47043642679561698</v>
      </c>
      <c r="AB69" s="18">
        <v>0.47043642679561698</v>
      </c>
      <c r="AC69" s="18">
        <v>0.47043642679561698</v>
      </c>
      <c r="AD69" s="18">
        <v>0.47043642679561698</v>
      </c>
      <c r="AE69" s="18">
        <v>0.47043642679561698</v>
      </c>
    </row>
    <row r="70" spans="1:31" x14ac:dyDescent="0.45">
      <c r="A70" s="28" t="s">
        <v>1032</v>
      </c>
      <c r="B70" s="5" t="s">
        <v>58</v>
      </c>
      <c r="C70" s="5" t="s">
        <v>4</v>
      </c>
      <c r="D70" s="5" t="s">
        <v>938</v>
      </c>
      <c r="E70" s="5">
        <v>2</v>
      </c>
      <c r="F70" s="5" t="s">
        <v>57</v>
      </c>
      <c r="G70" s="5" t="s">
        <v>1844</v>
      </c>
      <c r="H70" s="5" t="s">
        <v>1848</v>
      </c>
      <c r="I70" s="28" t="s">
        <v>1033</v>
      </c>
      <c r="J70" t="s">
        <v>1726</v>
      </c>
      <c r="K70" s="18">
        <v>0</v>
      </c>
      <c r="L70" s="18">
        <f>INDEX(Scenarios!L:L,MATCH($A70,Scenarios!$G:$G,0))</f>
        <v>0</v>
      </c>
      <c r="M70" s="18">
        <f>INDEX(Scenarios!M:M,MATCH($A70,Scenarios!$G:$G,0))</f>
        <v>0</v>
      </c>
      <c r="N70" s="18">
        <f>INDEX(Scenarios!N:N,MATCH($A70,Scenarios!$G:$G,0))</f>
        <v>0</v>
      </c>
      <c r="O70" s="18">
        <f>INDEX(Scenarios!O:O,MATCH($A70,Scenarios!$G:$G,0))</f>
        <v>0</v>
      </c>
      <c r="P70" s="18">
        <f>INDEX(Scenarios!P:P,MATCH($A70,Scenarios!$G:$G,0))</f>
        <v>0</v>
      </c>
      <c r="Q70" s="18">
        <f>INDEX(Scenarios!Q:Q,MATCH($A70,Scenarios!$G:$G,0))</f>
        <v>3.3010438858875002E-2</v>
      </c>
      <c r="R70" s="18">
        <f>INDEX(Scenarios!R:R,MATCH($A70,Scenarios!$G:$G,0))</f>
        <v>6.6020877717750004E-2</v>
      </c>
      <c r="S70" s="18">
        <f>INDEX(Scenarios!S:S,MATCH($A70,Scenarios!$G:$G,0))</f>
        <v>9.9031316576625006E-2</v>
      </c>
      <c r="T70" s="18">
        <f>INDEX(Scenarios!T:T,MATCH($A70,Scenarios!$G:$G,0))</f>
        <v>0.13204175543550001</v>
      </c>
      <c r="U70" s="18">
        <f>INDEX(Scenarios!U:U,MATCH($A70,Scenarios!$G:$G,0))</f>
        <v>0.16505219429437501</v>
      </c>
      <c r="V70" s="18">
        <f>INDEX(Scenarios!V:V,MATCH($A70,Scenarios!$G:$G,0))</f>
        <v>0.19806263315325001</v>
      </c>
      <c r="W70" s="18">
        <f>INDEX(Scenarios!W:W,MATCH($A70,Scenarios!$G:$G,0))</f>
        <v>0.23107307201212501</v>
      </c>
      <c r="X70" s="18">
        <f>INDEX(Scenarios!X:X,MATCH($A70,Scenarios!$G:$G,0))</f>
        <v>0.26408351087100002</v>
      </c>
      <c r="Y70" s="18">
        <f>INDEX(Scenarios!Y:Y,MATCH($A70,Scenarios!$G:$G,0))</f>
        <v>0.29709394972987502</v>
      </c>
      <c r="Z70" s="18">
        <f>INDEX(Scenarios!Z:Z,MATCH($A70,Scenarios!$G:$G,0))</f>
        <v>0.33010438858875002</v>
      </c>
      <c r="AA70" s="18">
        <f>INDEX(Scenarios!AA:AA,MATCH($A70,Scenarios!$G:$G,0))</f>
        <v>0.36311482744762502</v>
      </c>
      <c r="AB70" s="18">
        <f>INDEX(Scenarios!AB:AB,MATCH($A70,Scenarios!$G:$G,0))</f>
        <v>0.39612526630650002</v>
      </c>
      <c r="AC70" s="18">
        <f>INDEX(Scenarios!AC:AC,MATCH($A70,Scenarios!$G:$G,0))</f>
        <v>0.42913570516537503</v>
      </c>
      <c r="AD70" s="18">
        <f>INDEX(Scenarios!AD:AD,MATCH($A70,Scenarios!$G:$G,0))</f>
        <v>0.46214614402425003</v>
      </c>
      <c r="AE70" s="18">
        <f>INDEX(Scenarios!AE:AE,MATCH($A70,Scenarios!$G:$G,0))</f>
        <v>0.49515658288312497</v>
      </c>
    </row>
    <row r="71" spans="1:31" x14ac:dyDescent="0.45">
      <c r="A71" s="28" t="s">
        <v>1034</v>
      </c>
      <c r="B71" s="5" t="s">
        <v>60</v>
      </c>
      <c r="C71" s="5" t="s">
        <v>4</v>
      </c>
      <c r="D71" s="5" t="s">
        <v>935</v>
      </c>
      <c r="E71" s="5">
        <v>2</v>
      </c>
      <c r="F71" s="5" t="s">
        <v>57</v>
      </c>
      <c r="G71" s="5" t="s">
        <v>936</v>
      </c>
      <c r="H71" s="5">
        <v>8982</v>
      </c>
      <c r="I71" s="28" t="s">
        <v>1035</v>
      </c>
      <c r="K71" s="18">
        <v>0.20036669112673799</v>
      </c>
      <c r="L71" s="18">
        <v>0.15734473625227399</v>
      </c>
      <c r="M71" s="18">
        <v>0.164484037759277</v>
      </c>
      <c r="N71" s="18">
        <v>0.15070907780704901</v>
      </c>
      <c r="O71" s="18">
        <v>0.15070907780704901</v>
      </c>
      <c r="P71" s="18">
        <v>0.15070907780704901</v>
      </c>
      <c r="Q71" s="18">
        <v>0.15070907780704901</v>
      </c>
      <c r="R71" s="18">
        <v>0.15070907780704901</v>
      </c>
      <c r="S71" s="18">
        <v>0.15070907780704901</v>
      </c>
      <c r="T71" s="18">
        <v>0.15070907780704901</v>
      </c>
      <c r="U71" s="18">
        <v>0.15070907780704901</v>
      </c>
      <c r="V71" s="18">
        <v>0.15070907780704901</v>
      </c>
      <c r="W71" s="18">
        <v>0.15070907780704901</v>
      </c>
      <c r="X71" s="18">
        <v>0.15070907780704901</v>
      </c>
      <c r="Y71" s="18">
        <v>0.15070907780704901</v>
      </c>
      <c r="Z71" s="18">
        <v>0.15070907780704901</v>
      </c>
      <c r="AA71" s="18">
        <v>0.15070907780704901</v>
      </c>
      <c r="AB71" s="18">
        <v>0.15070907780704901</v>
      </c>
      <c r="AC71" s="18">
        <v>0.15070907780704901</v>
      </c>
      <c r="AD71" s="18">
        <v>0.15070907780704901</v>
      </c>
      <c r="AE71" s="18">
        <v>0.15070907780704901</v>
      </c>
    </row>
    <row r="72" spans="1:31" x14ac:dyDescent="0.45">
      <c r="A72" s="28" t="s">
        <v>1036</v>
      </c>
      <c r="B72" s="5" t="s">
        <v>60</v>
      </c>
      <c r="C72" s="5" t="s">
        <v>4</v>
      </c>
      <c r="D72" s="5" t="s">
        <v>938</v>
      </c>
      <c r="E72" s="5">
        <v>2</v>
      </c>
      <c r="F72" s="5" t="s">
        <v>57</v>
      </c>
      <c r="G72" s="5" t="s">
        <v>1844</v>
      </c>
      <c r="H72" s="5" t="s">
        <v>1849</v>
      </c>
      <c r="I72" s="28" t="s">
        <v>1037</v>
      </c>
      <c r="J72" t="s">
        <v>1726</v>
      </c>
      <c r="K72" s="18">
        <v>0</v>
      </c>
      <c r="L72" s="18">
        <f>INDEX(Scenarios!L:L,MATCH($A72,Scenarios!$G:$G,0))</f>
        <v>0</v>
      </c>
      <c r="M72" s="18">
        <f>INDEX(Scenarios!M:M,MATCH($A72,Scenarios!$G:$G,0))</f>
        <v>0</v>
      </c>
      <c r="N72" s="18">
        <f>INDEX(Scenarios!N:N,MATCH($A72,Scenarios!$G:$G,0))</f>
        <v>0</v>
      </c>
      <c r="O72" s="18">
        <f>INDEX(Scenarios!O:O,MATCH($A72,Scenarios!$G:$G,0))</f>
        <v>0</v>
      </c>
      <c r="P72" s="18">
        <f>INDEX(Scenarios!P:P,MATCH($A72,Scenarios!$G:$G,0))</f>
        <v>0</v>
      </c>
      <c r="Q72" s="18">
        <f>INDEX(Scenarios!Q:Q,MATCH($A72,Scenarios!$G:$G,0))</f>
        <v>2.2106082927295666E-2</v>
      </c>
      <c r="R72" s="18">
        <f>INDEX(Scenarios!R:R,MATCH($A72,Scenarios!$G:$G,0))</f>
        <v>4.4212165854591333E-2</v>
      </c>
      <c r="S72" s="18">
        <f>INDEX(Scenarios!S:S,MATCH($A72,Scenarios!$G:$G,0))</f>
        <v>6.6318248781886996E-2</v>
      </c>
      <c r="T72" s="18">
        <f>INDEX(Scenarios!T:T,MATCH($A72,Scenarios!$G:$G,0))</f>
        <v>8.8424331709182666E-2</v>
      </c>
      <c r="U72" s="18">
        <f>INDEX(Scenarios!U:U,MATCH($A72,Scenarios!$G:$G,0))</f>
        <v>0.11053041463647834</v>
      </c>
      <c r="V72" s="18">
        <f>INDEX(Scenarios!V:V,MATCH($A72,Scenarios!$G:$G,0))</f>
        <v>0.13263649756377399</v>
      </c>
      <c r="W72" s="18">
        <f>INDEX(Scenarios!W:W,MATCH($A72,Scenarios!$G:$G,0))</f>
        <v>0.15474258049106968</v>
      </c>
      <c r="X72" s="18">
        <f>INDEX(Scenarios!X:X,MATCH($A72,Scenarios!$G:$G,0))</f>
        <v>0.17684866341836533</v>
      </c>
      <c r="Y72" s="18">
        <f>INDEX(Scenarios!Y:Y,MATCH($A72,Scenarios!$G:$G,0))</f>
        <v>0.19895474634566102</v>
      </c>
      <c r="Z72" s="18">
        <f>INDEX(Scenarios!Z:Z,MATCH($A72,Scenarios!$G:$G,0))</f>
        <v>0.22106082927295667</v>
      </c>
      <c r="AA72" s="18">
        <f>INDEX(Scenarios!AA:AA,MATCH($A72,Scenarios!$G:$G,0))</f>
        <v>0.24316691220025236</v>
      </c>
      <c r="AB72" s="18">
        <f>INDEX(Scenarios!AB:AB,MATCH($A72,Scenarios!$G:$G,0))</f>
        <v>0.26527299512754798</v>
      </c>
      <c r="AC72" s="18">
        <f>INDEX(Scenarios!AC:AC,MATCH($A72,Scenarios!$G:$G,0))</f>
        <v>0.2873790780548437</v>
      </c>
      <c r="AD72" s="18">
        <f>INDEX(Scenarios!AD:AD,MATCH($A72,Scenarios!$G:$G,0))</f>
        <v>0.30948516098213935</v>
      </c>
      <c r="AE72" s="18">
        <f>INDEX(Scenarios!AE:AE,MATCH($A72,Scenarios!$G:$G,0))</f>
        <v>0.33159124390943501</v>
      </c>
    </row>
    <row r="73" spans="1:31" x14ac:dyDescent="0.45">
      <c r="A73" s="28" t="s">
        <v>1038</v>
      </c>
      <c r="B73" s="5" t="s">
        <v>62</v>
      </c>
      <c r="C73" s="5" t="s">
        <v>4</v>
      </c>
      <c r="D73" s="5" t="s">
        <v>935</v>
      </c>
      <c r="E73" s="5">
        <v>2</v>
      </c>
      <c r="F73" s="5" t="s">
        <v>57</v>
      </c>
      <c r="G73" s="5" t="s">
        <v>936</v>
      </c>
      <c r="H73" s="5">
        <v>9005</v>
      </c>
      <c r="I73" s="28" t="s">
        <v>1039</v>
      </c>
      <c r="K73" s="18">
        <v>0.48429424097343499</v>
      </c>
      <c r="L73" s="18">
        <v>0.45642817050012802</v>
      </c>
      <c r="M73" s="18">
        <v>0.43168920195599497</v>
      </c>
      <c r="N73" s="18">
        <v>0.42507558395597</v>
      </c>
      <c r="O73" s="18">
        <v>0.42507558395597</v>
      </c>
      <c r="P73" s="18">
        <v>0.42507558395597</v>
      </c>
      <c r="Q73" s="18">
        <v>0.42507558395597</v>
      </c>
      <c r="R73" s="18">
        <v>0.42507558395597</v>
      </c>
      <c r="S73" s="18">
        <v>0.42507558395597</v>
      </c>
      <c r="T73" s="18">
        <v>0.42507558395597</v>
      </c>
      <c r="U73" s="18">
        <v>0.42507558395597</v>
      </c>
      <c r="V73" s="18">
        <v>0.42507558395597</v>
      </c>
      <c r="W73" s="18">
        <v>0.42507558395597</v>
      </c>
      <c r="X73" s="18">
        <v>0.42507558395597</v>
      </c>
      <c r="Y73" s="18">
        <v>0.42507558395597</v>
      </c>
      <c r="Z73" s="18">
        <v>0.42507558395597</v>
      </c>
      <c r="AA73" s="18">
        <v>0.42507558395597</v>
      </c>
      <c r="AB73" s="18">
        <v>0.42507558395597</v>
      </c>
      <c r="AC73" s="18">
        <v>0.42507558395597</v>
      </c>
      <c r="AD73" s="18">
        <v>0.42507558395597</v>
      </c>
      <c r="AE73" s="18">
        <v>0.42507558395597</v>
      </c>
    </row>
    <row r="74" spans="1:31" x14ac:dyDescent="0.45">
      <c r="A74" s="28" t="s">
        <v>1040</v>
      </c>
      <c r="B74" s="5" t="s">
        <v>62</v>
      </c>
      <c r="C74" s="5" t="s">
        <v>4</v>
      </c>
      <c r="D74" s="5" t="s">
        <v>938</v>
      </c>
      <c r="E74" s="5">
        <v>2</v>
      </c>
      <c r="F74" s="5" t="s">
        <v>57</v>
      </c>
      <c r="G74" s="5" t="s">
        <v>1844</v>
      </c>
      <c r="H74" s="5" t="s">
        <v>1850</v>
      </c>
      <c r="I74" s="28" t="s">
        <v>1041</v>
      </c>
      <c r="J74" t="s">
        <v>1726</v>
      </c>
      <c r="K74" s="18">
        <v>0</v>
      </c>
      <c r="L74" s="18">
        <f>INDEX(Scenarios!L:L,MATCH($A74,Scenarios!$G:$G,0))</f>
        <v>0</v>
      </c>
      <c r="M74" s="18">
        <f>INDEX(Scenarios!M:M,MATCH($A74,Scenarios!$G:$G,0))</f>
        <v>0</v>
      </c>
      <c r="N74" s="18">
        <f>INDEX(Scenarios!N:N,MATCH($A74,Scenarios!$G:$G,0))</f>
        <v>0</v>
      </c>
      <c r="O74" s="18">
        <f>INDEX(Scenarios!O:O,MATCH($A74,Scenarios!$G:$G,0))</f>
        <v>0</v>
      </c>
      <c r="P74" s="18">
        <f>INDEX(Scenarios!P:P,MATCH($A74,Scenarios!$G:$G,0))</f>
        <v>0</v>
      </c>
      <c r="Q74" s="18">
        <f>INDEX(Scenarios!Q:Q,MATCH($A74,Scenarios!$G:$G,0))</f>
        <v>3.1988830110108467E-2</v>
      </c>
      <c r="R74" s="18">
        <f>INDEX(Scenarios!R:R,MATCH($A74,Scenarios!$G:$G,0))</f>
        <v>6.3977660220216934E-2</v>
      </c>
      <c r="S74" s="18">
        <f>INDEX(Scenarios!S:S,MATCH($A74,Scenarios!$G:$G,0))</f>
        <v>9.5966490330325394E-2</v>
      </c>
      <c r="T74" s="18">
        <f>INDEX(Scenarios!T:T,MATCH($A74,Scenarios!$G:$G,0))</f>
        <v>0.12795532044043387</v>
      </c>
      <c r="U74" s="18">
        <f>INDEX(Scenarios!U:U,MATCH($A74,Scenarios!$G:$G,0))</f>
        <v>0.15994415055054234</v>
      </c>
      <c r="V74" s="18">
        <f>INDEX(Scenarios!V:V,MATCH($A74,Scenarios!$G:$G,0))</f>
        <v>0.19193298066065079</v>
      </c>
      <c r="W74" s="18">
        <f>INDEX(Scenarios!W:W,MATCH($A74,Scenarios!$G:$G,0))</f>
        <v>0.22392181077075926</v>
      </c>
      <c r="X74" s="18">
        <f>INDEX(Scenarios!X:X,MATCH($A74,Scenarios!$G:$G,0))</f>
        <v>0.25591064088086773</v>
      </c>
      <c r="Y74" s="18">
        <f>INDEX(Scenarios!Y:Y,MATCH($A74,Scenarios!$G:$G,0))</f>
        <v>0.28789947099097618</v>
      </c>
      <c r="Z74" s="18">
        <f>INDEX(Scenarios!Z:Z,MATCH($A74,Scenarios!$G:$G,0))</f>
        <v>0.31988830110108468</v>
      </c>
      <c r="AA74" s="18">
        <f>INDEX(Scenarios!AA:AA,MATCH($A74,Scenarios!$G:$G,0))</f>
        <v>0.35187713121119313</v>
      </c>
      <c r="AB74" s="18">
        <f>INDEX(Scenarios!AB:AB,MATCH($A74,Scenarios!$G:$G,0))</f>
        <v>0.38386596132130157</v>
      </c>
      <c r="AC74" s="18">
        <f>INDEX(Scenarios!AC:AC,MATCH($A74,Scenarios!$G:$G,0))</f>
        <v>0.41585479143141008</v>
      </c>
      <c r="AD74" s="18">
        <f>INDEX(Scenarios!AD:AD,MATCH($A74,Scenarios!$G:$G,0))</f>
        <v>0.44784362154151852</v>
      </c>
      <c r="AE74" s="18">
        <f>INDEX(Scenarios!AE:AE,MATCH($A74,Scenarios!$G:$G,0))</f>
        <v>0.47983245165162697</v>
      </c>
    </row>
    <row r="75" spans="1:31" x14ac:dyDescent="0.45">
      <c r="A75" s="28" t="s">
        <v>1042</v>
      </c>
      <c r="B75" s="5" t="s">
        <v>64</v>
      </c>
      <c r="C75" s="5" t="s">
        <v>4</v>
      </c>
      <c r="D75" s="5" t="s">
        <v>935</v>
      </c>
      <c r="E75" s="5">
        <v>2</v>
      </c>
      <c r="F75" s="5" t="s">
        <v>66</v>
      </c>
      <c r="G75" s="5" t="s">
        <v>936</v>
      </c>
      <c r="H75" s="5">
        <v>9028</v>
      </c>
      <c r="I75" s="28" t="s">
        <v>1043</v>
      </c>
      <c r="K75" s="18">
        <v>41.500338498868402</v>
      </c>
      <c r="L75" s="18">
        <v>34.4153703043132</v>
      </c>
      <c r="M75" s="18">
        <v>37.368960690431997</v>
      </c>
      <c r="N75" s="18">
        <v>28.982761101477301</v>
      </c>
      <c r="O75" s="18">
        <v>15</v>
      </c>
      <c r="P75" s="18">
        <v>24.2586300842555</v>
      </c>
      <c r="Q75" s="18">
        <v>13.096208196132499</v>
      </c>
      <c r="R75" s="18">
        <v>10.0252451140106</v>
      </c>
      <c r="S75" s="18">
        <v>8.4772306913736202</v>
      </c>
      <c r="T75" s="18">
        <v>7.1234824452092198</v>
      </c>
      <c r="U75" s="18">
        <v>5.6527597394100599</v>
      </c>
      <c r="V75" s="18">
        <v>5.6527597394100599</v>
      </c>
      <c r="W75" s="18">
        <v>5.6527597394100599</v>
      </c>
      <c r="X75" s="18">
        <v>5.6527597394100599</v>
      </c>
      <c r="Y75" s="18">
        <v>5.6527597394100599</v>
      </c>
      <c r="Z75" s="18">
        <v>5.6527597394100697</v>
      </c>
      <c r="AA75" s="18">
        <v>5.6527597394100599</v>
      </c>
      <c r="AB75" s="18">
        <v>5.6527597394100599</v>
      </c>
      <c r="AC75" s="18">
        <v>5.6527597394100404</v>
      </c>
      <c r="AD75" s="18">
        <v>5.6527597394100599</v>
      </c>
      <c r="AE75" s="18">
        <v>5.6527597394100404</v>
      </c>
    </row>
    <row r="76" spans="1:31" x14ac:dyDescent="0.45">
      <c r="A76" s="28" t="s">
        <v>1044</v>
      </c>
      <c r="B76" s="5" t="s">
        <v>64</v>
      </c>
      <c r="C76" s="5" t="s">
        <v>4</v>
      </c>
      <c r="D76" s="5" t="s">
        <v>938</v>
      </c>
      <c r="E76" s="5">
        <v>2</v>
      </c>
      <c r="F76" s="5" t="s">
        <v>66</v>
      </c>
      <c r="G76" s="5" t="s">
        <v>1844</v>
      </c>
      <c r="H76" s="5" t="s">
        <v>1851</v>
      </c>
      <c r="I76" s="28" t="s">
        <v>1045</v>
      </c>
      <c r="J76" t="s">
        <v>1726</v>
      </c>
      <c r="K76" s="18">
        <v>0</v>
      </c>
      <c r="L76" s="18">
        <f>INDEX(Scenarios!L:L,MATCH($A76,Scenarios!$G:$G,0))</f>
        <v>0</v>
      </c>
      <c r="M76" s="18">
        <f>INDEX(Scenarios!M:M,MATCH($A76,Scenarios!$G:$G,0))</f>
        <v>0</v>
      </c>
      <c r="N76" s="18">
        <f>INDEX(Scenarios!N:N,MATCH($A76,Scenarios!$G:$G,0))</f>
        <v>0</v>
      </c>
      <c r="O76" s="18">
        <f>INDEX(Scenarios!O:O,MATCH($A76,Scenarios!$G:$G,0))</f>
        <v>0</v>
      </c>
      <c r="P76" s="18">
        <f>INDEX(Scenarios!P:P,MATCH($A76,Scenarios!$G:$G,0))</f>
        <v>0</v>
      </c>
      <c r="Q76" s="18">
        <f>INDEX(Scenarios!Q:Q,MATCH($A76,Scenarios!$G:$G,0))</f>
        <v>5.8675499999999996</v>
      </c>
      <c r="R76" s="18">
        <f>INDEX(Scenarios!R:R,MATCH($A76,Scenarios!$G:$G,0))</f>
        <v>11.735099999999999</v>
      </c>
      <c r="S76" s="18">
        <f>INDEX(Scenarios!S:S,MATCH($A76,Scenarios!$G:$G,0))</f>
        <v>17.602650000000001</v>
      </c>
      <c r="T76" s="18">
        <f>INDEX(Scenarios!T:T,MATCH($A76,Scenarios!$G:$G,0))</f>
        <v>23.470199999999998</v>
      </c>
      <c r="U76" s="18">
        <f>INDEX(Scenarios!U:U,MATCH($A76,Scenarios!$G:$G,0))</f>
        <v>29.33775</v>
      </c>
      <c r="V76" s="18">
        <f>INDEX(Scenarios!V:V,MATCH($A76,Scenarios!$G:$G,0))</f>
        <v>35.205300000000001</v>
      </c>
      <c r="W76" s="18">
        <f>INDEX(Scenarios!W:W,MATCH($A76,Scenarios!$G:$G,0))</f>
        <v>41.072849999999995</v>
      </c>
      <c r="X76" s="18">
        <f>INDEX(Scenarios!X:X,MATCH($A76,Scenarios!$G:$G,0))</f>
        <v>46.940399999999997</v>
      </c>
      <c r="Y76" s="18">
        <f>INDEX(Scenarios!Y:Y,MATCH($A76,Scenarios!$G:$G,0))</f>
        <v>52.807949999999998</v>
      </c>
      <c r="Z76" s="18">
        <f>INDEX(Scenarios!Z:Z,MATCH($A76,Scenarios!$G:$G,0))</f>
        <v>58.6755</v>
      </c>
      <c r="AA76" s="18">
        <f>INDEX(Scenarios!AA:AA,MATCH($A76,Scenarios!$G:$G,0))</f>
        <v>64.543049999999994</v>
      </c>
      <c r="AB76" s="18">
        <f>INDEX(Scenarios!AB:AB,MATCH($A76,Scenarios!$G:$G,0))</f>
        <v>70.410600000000002</v>
      </c>
      <c r="AC76" s="18">
        <f>INDEX(Scenarios!AC:AC,MATCH($A76,Scenarios!$G:$G,0))</f>
        <v>76.278149999999997</v>
      </c>
      <c r="AD76" s="18">
        <f>INDEX(Scenarios!AD:AD,MATCH($A76,Scenarios!$G:$G,0))</f>
        <v>82.145699999999991</v>
      </c>
      <c r="AE76" s="18">
        <f>INDEX(Scenarios!AE:AE,MATCH($A76,Scenarios!$G:$G,0))</f>
        <v>88.013249999999999</v>
      </c>
    </row>
    <row r="77" spans="1:31" x14ac:dyDescent="0.45">
      <c r="A77" s="28" t="s">
        <v>1046</v>
      </c>
      <c r="B77" s="5" t="s">
        <v>67</v>
      </c>
      <c r="C77" s="5" t="s">
        <v>4</v>
      </c>
      <c r="D77" s="5" t="s">
        <v>935</v>
      </c>
      <c r="E77" s="5">
        <v>2</v>
      </c>
      <c r="F77" s="5" t="s">
        <v>51</v>
      </c>
      <c r="G77" s="5" t="s">
        <v>936</v>
      </c>
      <c r="H77" s="5">
        <v>9051</v>
      </c>
      <c r="I77" s="28" t="s">
        <v>1047</v>
      </c>
      <c r="K77" s="18">
        <v>15.3345505293169</v>
      </c>
      <c r="L77" s="18">
        <v>14.199528390634899</v>
      </c>
      <c r="M77" s="18">
        <v>13.8404416133152</v>
      </c>
      <c r="N77" s="18">
        <v>13.5677269404465</v>
      </c>
      <c r="O77" s="18">
        <v>13.5677269404465</v>
      </c>
      <c r="P77" s="18">
        <v>13.5677269404465</v>
      </c>
      <c r="Q77" s="18">
        <v>13.5677269404465</v>
      </c>
      <c r="R77" s="18">
        <v>13.5677269404465</v>
      </c>
      <c r="S77" s="18">
        <v>13.5677269404465</v>
      </c>
      <c r="T77" s="18">
        <v>13.5677269404465</v>
      </c>
      <c r="U77" s="18">
        <v>13.5677269404465</v>
      </c>
      <c r="V77" s="18">
        <v>13.5677269404465</v>
      </c>
      <c r="W77" s="18">
        <v>13.5677269404465</v>
      </c>
      <c r="X77" s="18">
        <v>13.5677269404465</v>
      </c>
      <c r="Y77" s="18">
        <v>13.5677269404465</v>
      </c>
      <c r="Z77" s="18">
        <v>13.5677269404465</v>
      </c>
      <c r="AA77" s="18">
        <v>13.5677269404465</v>
      </c>
      <c r="AB77" s="18">
        <v>13.5677269404465</v>
      </c>
      <c r="AC77" s="18">
        <v>13.5677269404465</v>
      </c>
      <c r="AD77" s="18">
        <v>13.5677269404465</v>
      </c>
      <c r="AE77" s="18">
        <v>13.5677269404465</v>
      </c>
    </row>
    <row r="78" spans="1:31" x14ac:dyDescent="0.45">
      <c r="A78" s="28" t="s">
        <v>1048</v>
      </c>
      <c r="B78" s="5" t="s">
        <v>67</v>
      </c>
      <c r="C78" s="5" t="s">
        <v>4</v>
      </c>
      <c r="D78" s="5" t="s">
        <v>938</v>
      </c>
      <c r="E78" s="5">
        <v>2</v>
      </c>
      <c r="F78" s="5" t="s">
        <v>51</v>
      </c>
      <c r="G78" s="5" t="s">
        <v>1844</v>
      </c>
      <c r="H78" s="5" t="s">
        <v>1852</v>
      </c>
      <c r="I78" s="28" t="s">
        <v>1049</v>
      </c>
      <c r="J78" t="s">
        <v>1726</v>
      </c>
      <c r="K78" s="18">
        <v>0</v>
      </c>
      <c r="L78" s="18">
        <f>INDEX(Scenarios!L:L,MATCH($A78,Scenarios!$G:$G,0))</f>
        <v>0</v>
      </c>
      <c r="M78" s="18">
        <f>INDEX(Scenarios!M:M,MATCH($A78,Scenarios!$G:$G,0))</f>
        <v>0</v>
      </c>
      <c r="N78" s="18">
        <f>INDEX(Scenarios!N:N,MATCH($A78,Scenarios!$G:$G,0))</f>
        <v>0</v>
      </c>
      <c r="O78" s="18">
        <f>INDEX(Scenarios!O:O,MATCH($A78,Scenarios!$G:$G,0))</f>
        <v>0</v>
      </c>
      <c r="P78" s="18">
        <f>INDEX(Scenarios!P:P,MATCH($A78,Scenarios!$G:$G,0))</f>
        <v>0</v>
      </c>
      <c r="Q78" s="18">
        <f>INDEX(Scenarios!Q:Q,MATCH($A78,Scenarios!$G:$G,0))</f>
        <v>0</v>
      </c>
      <c r="R78" s="18">
        <f>INDEX(Scenarios!R:R,MATCH($A78,Scenarios!$G:$G,0))</f>
        <v>0</v>
      </c>
      <c r="S78" s="18">
        <f>INDEX(Scenarios!S:S,MATCH($A78,Scenarios!$G:$G,0))</f>
        <v>0</v>
      </c>
      <c r="T78" s="18">
        <f>INDEX(Scenarios!T:T,MATCH($A78,Scenarios!$G:$G,0))</f>
        <v>0</v>
      </c>
      <c r="U78" s="18">
        <f>INDEX(Scenarios!U:U,MATCH($A78,Scenarios!$G:$G,0))</f>
        <v>0</v>
      </c>
      <c r="V78" s="18">
        <f>INDEX(Scenarios!V:V,MATCH($A78,Scenarios!$G:$G,0))</f>
        <v>0</v>
      </c>
      <c r="W78" s="18">
        <f>INDEX(Scenarios!W:W,MATCH($A78,Scenarios!$G:$G,0))</f>
        <v>0</v>
      </c>
      <c r="X78" s="18">
        <f>INDEX(Scenarios!X:X,MATCH($A78,Scenarios!$G:$G,0))</f>
        <v>0</v>
      </c>
      <c r="Y78" s="18">
        <f>INDEX(Scenarios!Y:Y,MATCH($A78,Scenarios!$G:$G,0))</f>
        <v>0</v>
      </c>
      <c r="Z78" s="18">
        <f>INDEX(Scenarios!Z:Z,MATCH($A78,Scenarios!$G:$G,0))</f>
        <v>0</v>
      </c>
      <c r="AA78" s="18">
        <f>INDEX(Scenarios!AA:AA,MATCH($A78,Scenarios!$G:$G,0))</f>
        <v>0</v>
      </c>
      <c r="AB78" s="18">
        <f>INDEX(Scenarios!AB:AB,MATCH($A78,Scenarios!$G:$G,0))</f>
        <v>0</v>
      </c>
      <c r="AC78" s="18">
        <f>INDEX(Scenarios!AC:AC,MATCH($A78,Scenarios!$G:$G,0))</f>
        <v>0</v>
      </c>
      <c r="AD78" s="18">
        <f>INDEX(Scenarios!AD:AD,MATCH($A78,Scenarios!$G:$G,0))</f>
        <v>0</v>
      </c>
      <c r="AE78" s="18">
        <f>INDEX(Scenarios!AE:AE,MATCH($A78,Scenarios!$G:$G,0))</f>
        <v>0</v>
      </c>
    </row>
    <row r="79" spans="1:31" x14ac:dyDescent="0.45">
      <c r="A79" s="28" t="s">
        <v>1050</v>
      </c>
      <c r="B79" s="5" t="s">
        <v>69</v>
      </c>
      <c r="C79" s="5" t="s">
        <v>4</v>
      </c>
      <c r="D79" s="5" t="s">
        <v>935</v>
      </c>
      <c r="E79" s="5">
        <v>2</v>
      </c>
      <c r="F79" s="5" t="s">
        <v>71</v>
      </c>
      <c r="G79" s="5" t="s">
        <v>936</v>
      </c>
      <c r="H79" s="5">
        <v>9140</v>
      </c>
      <c r="I79" s="28" t="s">
        <v>1051</v>
      </c>
      <c r="K79" s="18"/>
      <c r="L79" s="18">
        <v>0.14404498679319799</v>
      </c>
      <c r="M79" s="18">
        <v>0.141386241751359</v>
      </c>
      <c r="N79" s="18">
        <v>0.13539756544373099</v>
      </c>
      <c r="O79" s="18">
        <v>0.13152288542065099</v>
      </c>
      <c r="P79" s="18">
        <v>0.12882610848523099</v>
      </c>
      <c r="Q79" s="18">
        <v>0.12594200976473999</v>
      </c>
      <c r="R79" s="18">
        <v>0.123113265701861</v>
      </c>
      <c r="S79" s="18">
        <v>0.119391738089068</v>
      </c>
      <c r="T79" s="18">
        <v>0.11554419046792</v>
      </c>
      <c r="U79" s="18">
        <v>0.11492423065415899</v>
      </c>
      <c r="V79" s="18">
        <v>0.114346912116736</v>
      </c>
      <c r="W79" s="18">
        <v>0.113738711172664</v>
      </c>
      <c r="X79" s="18">
        <v>0.112999900487521</v>
      </c>
      <c r="Y79" s="18">
        <v>0.112177685835534</v>
      </c>
      <c r="Z79" s="18">
        <v>0.111417903250404</v>
      </c>
      <c r="AA79" s="18">
        <v>0.11052581998545399</v>
      </c>
      <c r="AB79" s="18">
        <v>0.109699565234896</v>
      </c>
      <c r="AC79" s="18">
        <v>0.10772678896394899</v>
      </c>
      <c r="AD79" s="18">
        <v>0.10582092445093499</v>
      </c>
      <c r="AE79" s="18">
        <v>0.103855595705721</v>
      </c>
    </row>
    <row r="80" spans="1:31" x14ac:dyDescent="0.45">
      <c r="A80" s="28" t="s">
        <v>1052</v>
      </c>
      <c r="B80" s="5" t="s">
        <v>69</v>
      </c>
      <c r="C80" s="5" t="s">
        <v>4</v>
      </c>
      <c r="D80" s="5" t="s">
        <v>938</v>
      </c>
      <c r="E80" s="5">
        <v>2</v>
      </c>
      <c r="F80" s="5" t="s">
        <v>71</v>
      </c>
      <c r="G80" s="5" t="s">
        <v>1844</v>
      </c>
      <c r="H80" s="5" t="s">
        <v>1853</v>
      </c>
      <c r="I80" s="28" t="s">
        <v>1053</v>
      </c>
      <c r="J80" t="s">
        <v>1726</v>
      </c>
      <c r="K80" s="18"/>
      <c r="L80" s="18">
        <f>INDEX(Scenarios!L:L,MATCH($A80,Scenarios!$G:$G,0))</f>
        <v>0</v>
      </c>
      <c r="M80" s="18">
        <f>INDEX(Scenarios!M:M,MATCH($A80,Scenarios!$G:$G,0))</f>
        <v>0</v>
      </c>
      <c r="N80" s="18">
        <f>INDEX(Scenarios!N:N,MATCH($A80,Scenarios!$G:$G,0))</f>
        <v>0</v>
      </c>
      <c r="O80" s="18">
        <f>INDEX(Scenarios!O:O,MATCH($A80,Scenarios!$G:$G,0))</f>
        <v>0</v>
      </c>
      <c r="P80" s="18">
        <f>INDEX(Scenarios!P:P,MATCH($A80,Scenarios!$G:$G,0))</f>
        <v>0</v>
      </c>
      <c r="Q80" s="18">
        <f>INDEX(Scenarios!Q:Q,MATCH($A80,Scenarios!$G:$G,0))</f>
        <v>0</v>
      </c>
      <c r="R80" s="18">
        <f>INDEX(Scenarios!R:R,MATCH($A80,Scenarios!$G:$G,0))</f>
        <v>0</v>
      </c>
      <c r="S80" s="18">
        <f>INDEX(Scenarios!S:S,MATCH($A80,Scenarios!$G:$G,0))</f>
        <v>0</v>
      </c>
      <c r="T80" s="18">
        <f>INDEX(Scenarios!T:T,MATCH($A80,Scenarios!$G:$G,0))</f>
        <v>0</v>
      </c>
      <c r="U80" s="18">
        <f>INDEX(Scenarios!U:U,MATCH($A80,Scenarios!$G:$G,0))</f>
        <v>0</v>
      </c>
      <c r="V80" s="18">
        <f>INDEX(Scenarios!V:V,MATCH($A80,Scenarios!$G:$G,0))</f>
        <v>0</v>
      </c>
      <c r="W80" s="18">
        <f>INDEX(Scenarios!W:W,MATCH($A80,Scenarios!$G:$G,0))</f>
        <v>0</v>
      </c>
      <c r="X80" s="18">
        <f>INDEX(Scenarios!X:X,MATCH($A80,Scenarios!$G:$G,0))</f>
        <v>0</v>
      </c>
      <c r="Y80" s="18">
        <f>INDEX(Scenarios!Y:Y,MATCH($A80,Scenarios!$G:$G,0))</f>
        <v>0</v>
      </c>
      <c r="Z80" s="18">
        <f>INDEX(Scenarios!Z:Z,MATCH($A80,Scenarios!$G:$G,0))</f>
        <v>0</v>
      </c>
      <c r="AA80" s="18">
        <f>INDEX(Scenarios!AA:AA,MATCH($A80,Scenarios!$G:$G,0))</f>
        <v>0</v>
      </c>
      <c r="AB80" s="18">
        <f>INDEX(Scenarios!AB:AB,MATCH($A80,Scenarios!$G:$G,0))</f>
        <v>0</v>
      </c>
      <c r="AC80" s="18">
        <f>INDEX(Scenarios!AC:AC,MATCH($A80,Scenarios!$G:$G,0))</f>
        <v>0</v>
      </c>
      <c r="AD80" s="18">
        <f>INDEX(Scenarios!AD:AD,MATCH($A80,Scenarios!$G:$G,0))</f>
        <v>0</v>
      </c>
      <c r="AE80" s="18">
        <f>INDEX(Scenarios!AE:AE,MATCH($A80,Scenarios!$G:$G,0))</f>
        <v>0</v>
      </c>
    </row>
    <row r="81" spans="1:31" x14ac:dyDescent="0.45">
      <c r="A81" s="28" t="s">
        <v>1054</v>
      </c>
      <c r="B81" s="5" t="s">
        <v>49</v>
      </c>
      <c r="C81" s="5" t="s">
        <v>4</v>
      </c>
      <c r="D81" s="5" t="s">
        <v>75</v>
      </c>
      <c r="E81" s="5">
        <v>2</v>
      </c>
      <c r="F81" s="5" t="s">
        <v>51</v>
      </c>
      <c r="G81" s="5" t="s">
        <v>2716</v>
      </c>
      <c r="H81" s="5">
        <v>8710</v>
      </c>
      <c r="I81" s="28" t="s">
        <v>1054</v>
      </c>
      <c r="K81" s="18"/>
      <c r="L81" s="18">
        <f>Fund_Industry!L$326</f>
        <v>0</v>
      </c>
      <c r="M81" s="18">
        <f>Fund_Industry!M$326</f>
        <v>0</v>
      </c>
      <c r="N81" s="18">
        <f>Fund_Industry!N$326</f>
        <v>0</v>
      </c>
      <c r="O81" s="18">
        <f>Fund_Industry!O$326</f>
        <v>0</v>
      </c>
      <c r="P81" s="18">
        <f>Fund_Industry!P$326</f>
        <v>0</v>
      </c>
      <c r="Q81" s="18">
        <f>Fund_Industry!Q$326</f>
        <v>0</v>
      </c>
      <c r="R81" s="18">
        <f>Fund_Industry!R$326</f>
        <v>0</v>
      </c>
      <c r="S81" s="18">
        <f>Fund_Industry!S$326</f>
        <v>0</v>
      </c>
      <c r="T81" s="18">
        <f>Fund_Industry!T$326</f>
        <v>0</v>
      </c>
      <c r="U81" s="18">
        <f>Fund_Industry!U$326</f>
        <v>0</v>
      </c>
      <c r="V81" s="18">
        <f>Fund_Industry!V$326</f>
        <v>0</v>
      </c>
      <c r="W81" s="18">
        <f>Fund_Industry!W$326</f>
        <v>0</v>
      </c>
      <c r="X81" s="18">
        <f>Fund_Industry!X$326</f>
        <v>0</v>
      </c>
      <c r="Y81" s="18">
        <f>Fund_Industry!Y$326</f>
        <v>0</v>
      </c>
      <c r="Z81" s="18">
        <f>Fund_Industry!Z$326</f>
        <v>0</v>
      </c>
      <c r="AA81" s="18">
        <f>Fund_Industry!AA$326</f>
        <v>0</v>
      </c>
      <c r="AB81" s="18">
        <f>Fund_Industry!AB$326</f>
        <v>0</v>
      </c>
      <c r="AC81" s="18">
        <f>Fund_Industry!AC$326</f>
        <v>0</v>
      </c>
      <c r="AD81" s="18">
        <f>Fund_Industry!AD$326</f>
        <v>0</v>
      </c>
      <c r="AE81" s="18">
        <f>Fund_Industry!AE$326</f>
        <v>0</v>
      </c>
    </row>
    <row r="82" spans="1:31" x14ac:dyDescent="0.45">
      <c r="A82" s="28" t="s">
        <v>1055</v>
      </c>
      <c r="B82" s="5" t="s">
        <v>53</v>
      </c>
      <c r="C82" s="5" t="s">
        <v>4</v>
      </c>
      <c r="D82" s="5" t="s">
        <v>75</v>
      </c>
      <c r="E82" s="5">
        <v>2</v>
      </c>
      <c r="F82" s="5" t="s">
        <v>51</v>
      </c>
      <c r="G82" s="5" t="s">
        <v>2717</v>
      </c>
      <c r="H82" s="5">
        <v>8713</v>
      </c>
      <c r="I82" s="28" t="s">
        <v>1055</v>
      </c>
      <c r="K82" s="18"/>
      <c r="L82" s="18">
        <f>Fund_Industry!L$327</f>
        <v>0</v>
      </c>
      <c r="M82" s="18">
        <f>Fund_Industry!M$327</f>
        <v>0</v>
      </c>
      <c r="N82" s="18">
        <f>Fund_Industry!N$327</f>
        <v>0</v>
      </c>
      <c r="O82" s="18">
        <f>Fund_Industry!O$327</f>
        <v>0</v>
      </c>
      <c r="P82" s="18">
        <f>Fund_Industry!P$327</f>
        <v>0</v>
      </c>
      <c r="Q82" s="18">
        <f>Fund_Industry!Q$327</f>
        <v>0</v>
      </c>
      <c r="R82" s="18">
        <f>Fund_Industry!R$327</f>
        <v>0</v>
      </c>
      <c r="S82" s="18">
        <f>Fund_Industry!S$327</f>
        <v>0</v>
      </c>
      <c r="T82" s="18">
        <f>Fund_Industry!T$327</f>
        <v>0</v>
      </c>
      <c r="U82" s="18">
        <f>Fund_Industry!U$327</f>
        <v>0</v>
      </c>
      <c r="V82" s="18">
        <f>Fund_Industry!V$327</f>
        <v>0</v>
      </c>
      <c r="W82" s="18">
        <f>Fund_Industry!W$327</f>
        <v>0</v>
      </c>
      <c r="X82" s="18">
        <f>Fund_Industry!X$327</f>
        <v>0</v>
      </c>
      <c r="Y82" s="18">
        <f>Fund_Industry!Y$327</f>
        <v>0</v>
      </c>
      <c r="Z82" s="18">
        <f>Fund_Industry!Z$327</f>
        <v>0</v>
      </c>
      <c r="AA82" s="18">
        <f>Fund_Industry!AA$327</f>
        <v>0</v>
      </c>
      <c r="AB82" s="18">
        <f>Fund_Industry!AB$327</f>
        <v>0</v>
      </c>
      <c r="AC82" s="18">
        <f>Fund_Industry!AC$327</f>
        <v>0</v>
      </c>
      <c r="AD82" s="18">
        <f>Fund_Industry!AD$327</f>
        <v>0</v>
      </c>
      <c r="AE82" s="18">
        <f>Fund_Industry!AE$327</f>
        <v>0</v>
      </c>
    </row>
    <row r="83" spans="1:31" x14ac:dyDescent="0.45">
      <c r="A83" s="28" t="s">
        <v>1056</v>
      </c>
      <c r="B83" s="5" t="s">
        <v>55</v>
      </c>
      <c r="C83" s="5" t="s">
        <v>4</v>
      </c>
      <c r="D83" s="5" t="s">
        <v>75</v>
      </c>
      <c r="E83" s="5">
        <v>2</v>
      </c>
      <c r="F83" s="5" t="s">
        <v>57</v>
      </c>
      <c r="G83" s="5" t="s">
        <v>2718</v>
      </c>
      <c r="H83" s="5">
        <v>8714</v>
      </c>
      <c r="I83" s="28" t="s">
        <v>1057</v>
      </c>
      <c r="K83" s="18"/>
      <c r="L83" s="18">
        <f>Fund_Industry!L$328</f>
        <v>0</v>
      </c>
      <c r="M83" s="18">
        <f>Fund_Industry!M$328</f>
        <v>0</v>
      </c>
      <c r="N83" s="18">
        <f>Fund_Industry!N$328</f>
        <v>0</v>
      </c>
      <c r="O83" s="18">
        <f>Fund_Industry!O$328</f>
        <v>0</v>
      </c>
      <c r="P83" s="18">
        <f>Fund_Industry!P$328</f>
        <v>0</v>
      </c>
      <c r="Q83" s="18">
        <f>Fund_Industry!Q$328</f>
        <v>0</v>
      </c>
      <c r="R83" s="18">
        <f>Fund_Industry!R$328</f>
        <v>0</v>
      </c>
      <c r="S83" s="18">
        <f>Fund_Industry!S$328</f>
        <v>0</v>
      </c>
      <c r="T83" s="18">
        <f>Fund_Industry!T$328</f>
        <v>0</v>
      </c>
      <c r="U83" s="18">
        <f>Fund_Industry!U$328</f>
        <v>0</v>
      </c>
      <c r="V83" s="18">
        <f>Fund_Industry!V$328</f>
        <v>0</v>
      </c>
      <c r="W83" s="18">
        <f>Fund_Industry!W$328</f>
        <v>0</v>
      </c>
      <c r="X83" s="18">
        <f>Fund_Industry!X$328</f>
        <v>0</v>
      </c>
      <c r="Y83" s="18">
        <f>Fund_Industry!Y$328</f>
        <v>0</v>
      </c>
      <c r="Z83" s="18">
        <f>Fund_Industry!Z$328</f>
        <v>0</v>
      </c>
      <c r="AA83" s="18">
        <f>Fund_Industry!AA$328</f>
        <v>0</v>
      </c>
      <c r="AB83" s="18">
        <f>Fund_Industry!AB$328</f>
        <v>0</v>
      </c>
      <c r="AC83" s="18">
        <f>Fund_Industry!AC$328</f>
        <v>0</v>
      </c>
      <c r="AD83" s="18">
        <f>Fund_Industry!AD$328</f>
        <v>0</v>
      </c>
      <c r="AE83" s="18">
        <f>Fund_Industry!AE$328</f>
        <v>0</v>
      </c>
    </row>
    <row r="84" spans="1:31" x14ac:dyDescent="0.45">
      <c r="A84" s="28" t="s">
        <v>1058</v>
      </c>
      <c r="B84" s="5" t="s">
        <v>58</v>
      </c>
      <c r="C84" s="5" t="s">
        <v>4</v>
      </c>
      <c r="D84" s="5" t="s">
        <v>75</v>
      </c>
      <c r="E84" s="5">
        <v>2</v>
      </c>
      <c r="F84" s="5" t="s">
        <v>57</v>
      </c>
      <c r="G84" s="5" t="s">
        <v>2719</v>
      </c>
      <c r="H84" s="5">
        <v>8715</v>
      </c>
      <c r="I84" s="28" t="s">
        <v>1059</v>
      </c>
      <c r="K84" s="18"/>
      <c r="L84" s="18">
        <f>Fund_Industry!L$329</f>
        <v>0</v>
      </c>
      <c r="M84" s="18">
        <f>Fund_Industry!M$329</f>
        <v>0</v>
      </c>
      <c r="N84" s="18">
        <f>Fund_Industry!N$329</f>
        <v>0</v>
      </c>
      <c r="O84" s="18">
        <f>Fund_Industry!O$329</f>
        <v>0</v>
      </c>
      <c r="P84" s="18">
        <f>Fund_Industry!P$329</f>
        <v>0</v>
      </c>
      <c r="Q84" s="18">
        <f>Fund_Industry!Q$329</f>
        <v>0</v>
      </c>
      <c r="R84" s="18">
        <f>Fund_Industry!R$329</f>
        <v>0</v>
      </c>
      <c r="S84" s="18">
        <f>Fund_Industry!S$329</f>
        <v>0</v>
      </c>
      <c r="T84" s="18">
        <f>Fund_Industry!T$329</f>
        <v>0</v>
      </c>
      <c r="U84" s="18">
        <f>Fund_Industry!U$329</f>
        <v>0</v>
      </c>
      <c r="V84" s="18">
        <f>Fund_Industry!V$329</f>
        <v>0</v>
      </c>
      <c r="W84" s="18">
        <f>Fund_Industry!W$329</f>
        <v>0</v>
      </c>
      <c r="X84" s="18">
        <f>Fund_Industry!X$329</f>
        <v>0</v>
      </c>
      <c r="Y84" s="18">
        <f>Fund_Industry!Y$329</f>
        <v>0</v>
      </c>
      <c r="Z84" s="18">
        <f>Fund_Industry!Z$329</f>
        <v>0</v>
      </c>
      <c r="AA84" s="18">
        <f>Fund_Industry!AA$329</f>
        <v>0</v>
      </c>
      <c r="AB84" s="18">
        <f>Fund_Industry!AB$329</f>
        <v>0</v>
      </c>
      <c r="AC84" s="18">
        <f>Fund_Industry!AC$329</f>
        <v>0</v>
      </c>
      <c r="AD84" s="18">
        <f>Fund_Industry!AD$329</f>
        <v>0</v>
      </c>
      <c r="AE84" s="18">
        <f>Fund_Industry!AE$329</f>
        <v>0</v>
      </c>
    </row>
    <row r="85" spans="1:31" x14ac:dyDescent="0.45">
      <c r="A85" s="28" t="s">
        <v>1060</v>
      </c>
      <c r="B85" s="5" t="s">
        <v>60</v>
      </c>
      <c r="C85" s="5" t="s">
        <v>4</v>
      </c>
      <c r="D85" s="5" t="s">
        <v>75</v>
      </c>
      <c r="E85" s="5">
        <v>2</v>
      </c>
      <c r="F85" s="5" t="s">
        <v>57</v>
      </c>
      <c r="G85" s="5" t="s">
        <v>2720</v>
      </c>
      <c r="H85" s="5">
        <v>8716</v>
      </c>
      <c r="I85" s="28" t="s">
        <v>1061</v>
      </c>
      <c r="K85" s="18"/>
      <c r="L85" s="18">
        <f>Fund_Industry!L$330</f>
        <v>0</v>
      </c>
      <c r="M85" s="18">
        <f>Fund_Industry!M$330</f>
        <v>0</v>
      </c>
      <c r="N85" s="18">
        <f>Fund_Industry!N$330</f>
        <v>0</v>
      </c>
      <c r="O85" s="18">
        <f>Fund_Industry!O$330</f>
        <v>0</v>
      </c>
      <c r="P85" s="18">
        <f>Fund_Industry!P$330</f>
        <v>0</v>
      </c>
      <c r="Q85" s="18">
        <f>Fund_Industry!Q$330</f>
        <v>0</v>
      </c>
      <c r="R85" s="18">
        <f>Fund_Industry!R$330</f>
        <v>0</v>
      </c>
      <c r="S85" s="18">
        <f>Fund_Industry!S$330</f>
        <v>0</v>
      </c>
      <c r="T85" s="18">
        <f>Fund_Industry!T$330</f>
        <v>0</v>
      </c>
      <c r="U85" s="18">
        <f>Fund_Industry!U$330</f>
        <v>0</v>
      </c>
      <c r="V85" s="18">
        <f>Fund_Industry!V$330</f>
        <v>0</v>
      </c>
      <c r="W85" s="18">
        <f>Fund_Industry!W$330</f>
        <v>0</v>
      </c>
      <c r="X85" s="18">
        <f>Fund_Industry!X$330</f>
        <v>0</v>
      </c>
      <c r="Y85" s="18">
        <f>Fund_Industry!Y$330</f>
        <v>0</v>
      </c>
      <c r="Z85" s="18">
        <f>Fund_Industry!Z$330</f>
        <v>0</v>
      </c>
      <c r="AA85" s="18">
        <f>Fund_Industry!AA$330</f>
        <v>0</v>
      </c>
      <c r="AB85" s="18">
        <f>Fund_Industry!AB$330</f>
        <v>0</v>
      </c>
      <c r="AC85" s="18">
        <f>Fund_Industry!AC$330</f>
        <v>0</v>
      </c>
      <c r="AD85" s="18">
        <f>Fund_Industry!AD$330</f>
        <v>0</v>
      </c>
      <c r="AE85" s="18">
        <f>Fund_Industry!AE$330</f>
        <v>0</v>
      </c>
    </row>
    <row r="86" spans="1:31" x14ac:dyDescent="0.45">
      <c r="A86" s="28" t="s">
        <v>1062</v>
      </c>
      <c r="B86" s="5" t="s">
        <v>62</v>
      </c>
      <c r="C86" s="5" t="s">
        <v>4</v>
      </c>
      <c r="D86" s="5" t="s">
        <v>75</v>
      </c>
      <c r="E86" s="5">
        <v>2</v>
      </c>
      <c r="F86" s="5" t="s">
        <v>57</v>
      </c>
      <c r="G86" s="5" t="s">
        <v>2721</v>
      </c>
      <c r="H86" s="5">
        <v>8717</v>
      </c>
      <c r="I86" s="28" t="s">
        <v>1063</v>
      </c>
      <c r="K86" s="18"/>
      <c r="L86" s="18">
        <f>Fund_Industry!L$331</f>
        <v>0</v>
      </c>
      <c r="M86" s="18">
        <f>Fund_Industry!M$331</f>
        <v>0</v>
      </c>
      <c r="N86" s="18">
        <f>Fund_Industry!N$331</f>
        <v>0</v>
      </c>
      <c r="O86" s="18">
        <f>Fund_Industry!O$331</f>
        <v>0</v>
      </c>
      <c r="P86" s="18">
        <f>Fund_Industry!P$331</f>
        <v>0</v>
      </c>
      <c r="Q86" s="18">
        <f>Fund_Industry!Q$331</f>
        <v>0</v>
      </c>
      <c r="R86" s="18">
        <f>Fund_Industry!R$331</f>
        <v>0</v>
      </c>
      <c r="S86" s="18">
        <f>Fund_Industry!S$331</f>
        <v>0</v>
      </c>
      <c r="T86" s="18">
        <f>Fund_Industry!T$331</f>
        <v>0</v>
      </c>
      <c r="U86" s="18">
        <f>Fund_Industry!U$331</f>
        <v>0</v>
      </c>
      <c r="V86" s="18">
        <f>Fund_Industry!V$331</f>
        <v>0</v>
      </c>
      <c r="W86" s="18">
        <f>Fund_Industry!W$331</f>
        <v>0</v>
      </c>
      <c r="X86" s="18">
        <f>Fund_Industry!X$331</f>
        <v>0</v>
      </c>
      <c r="Y86" s="18">
        <f>Fund_Industry!Y$331</f>
        <v>0</v>
      </c>
      <c r="Z86" s="18">
        <f>Fund_Industry!Z$331</f>
        <v>0</v>
      </c>
      <c r="AA86" s="18">
        <f>Fund_Industry!AA$331</f>
        <v>0</v>
      </c>
      <c r="AB86" s="18">
        <f>Fund_Industry!AB$331</f>
        <v>0</v>
      </c>
      <c r="AC86" s="18">
        <f>Fund_Industry!AC$331</f>
        <v>0</v>
      </c>
      <c r="AD86" s="18">
        <f>Fund_Industry!AD$331</f>
        <v>0</v>
      </c>
      <c r="AE86" s="18">
        <f>Fund_Industry!AE$331</f>
        <v>0</v>
      </c>
    </row>
    <row r="87" spans="1:31" x14ac:dyDescent="0.45">
      <c r="A87" s="28" t="s">
        <v>1064</v>
      </c>
      <c r="B87" s="5" t="s">
        <v>64</v>
      </c>
      <c r="C87" s="5" t="s">
        <v>4</v>
      </c>
      <c r="D87" s="5" t="s">
        <v>75</v>
      </c>
      <c r="E87" s="5">
        <v>2</v>
      </c>
      <c r="F87" s="5" t="s">
        <v>66</v>
      </c>
      <c r="G87" s="5" t="s">
        <v>2722</v>
      </c>
      <c r="H87" s="5">
        <v>8718</v>
      </c>
      <c r="I87" s="28" t="s">
        <v>1065</v>
      </c>
      <c r="K87" s="18"/>
      <c r="L87" s="18">
        <f>Fund_Industry!L$332</f>
        <v>0</v>
      </c>
      <c r="M87" s="18">
        <f>Fund_Industry!M$332</f>
        <v>0</v>
      </c>
      <c r="N87" s="18">
        <f>Fund_Industry!N$332</f>
        <v>0</v>
      </c>
      <c r="O87" s="18">
        <f>Fund_Industry!O$332</f>
        <v>0</v>
      </c>
      <c r="P87" s="18">
        <f>Fund_Industry!P$332</f>
        <v>0</v>
      </c>
      <c r="Q87" s="18">
        <f>Fund_Industry!Q$332</f>
        <v>0</v>
      </c>
      <c r="R87" s="18">
        <f>Fund_Industry!R$332</f>
        <v>0</v>
      </c>
      <c r="S87" s="18">
        <f>Fund_Industry!S$332</f>
        <v>0</v>
      </c>
      <c r="T87" s="18">
        <f>Fund_Industry!T$332</f>
        <v>0</v>
      </c>
      <c r="U87" s="18">
        <f>Fund_Industry!U$332</f>
        <v>0</v>
      </c>
      <c r="V87" s="18">
        <f>Fund_Industry!V$332</f>
        <v>0</v>
      </c>
      <c r="W87" s="18">
        <f>Fund_Industry!W$332</f>
        <v>0</v>
      </c>
      <c r="X87" s="18">
        <f>Fund_Industry!X$332</f>
        <v>0</v>
      </c>
      <c r="Y87" s="18">
        <f>Fund_Industry!Y$332</f>
        <v>0</v>
      </c>
      <c r="Z87" s="18">
        <f>Fund_Industry!Z$332</f>
        <v>0</v>
      </c>
      <c r="AA87" s="18">
        <f>Fund_Industry!AA$332</f>
        <v>0</v>
      </c>
      <c r="AB87" s="18">
        <f>Fund_Industry!AB$332</f>
        <v>0</v>
      </c>
      <c r="AC87" s="18">
        <f>Fund_Industry!AC$332</f>
        <v>0</v>
      </c>
      <c r="AD87" s="18">
        <f>Fund_Industry!AD$332</f>
        <v>0</v>
      </c>
      <c r="AE87" s="18">
        <f>Fund_Industry!AE$332</f>
        <v>0</v>
      </c>
    </row>
    <row r="88" spans="1:31" x14ac:dyDescent="0.45">
      <c r="A88" s="28" t="s">
        <v>1066</v>
      </c>
      <c r="B88" s="5" t="s">
        <v>67</v>
      </c>
      <c r="C88" s="5" t="s">
        <v>4</v>
      </c>
      <c r="D88" s="5" t="s">
        <v>75</v>
      </c>
      <c r="E88" s="5">
        <v>2</v>
      </c>
      <c r="F88" s="5" t="s">
        <v>51</v>
      </c>
      <c r="G88" s="5" t="s">
        <v>2723</v>
      </c>
      <c r="H88" s="5">
        <v>8719</v>
      </c>
      <c r="I88" s="28" t="s">
        <v>1067</v>
      </c>
      <c r="K88" s="18"/>
      <c r="L88" s="18">
        <f>Fund_Industry!L$333</f>
        <v>0</v>
      </c>
      <c r="M88" s="18">
        <f>Fund_Industry!M$333</f>
        <v>0</v>
      </c>
      <c r="N88" s="18">
        <f>Fund_Industry!N$333</f>
        <v>0</v>
      </c>
      <c r="O88" s="18">
        <f>Fund_Industry!O$333</f>
        <v>0</v>
      </c>
      <c r="P88" s="18">
        <f>Fund_Industry!P$333</f>
        <v>0</v>
      </c>
      <c r="Q88" s="18">
        <f>Fund_Industry!Q$333</f>
        <v>0</v>
      </c>
      <c r="R88" s="18">
        <f>Fund_Industry!R$333</f>
        <v>0</v>
      </c>
      <c r="S88" s="18">
        <f>Fund_Industry!S$333</f>
        <v>0</v>
      </c>
      <c r="T88" s="18">
        <f>Fund_Industry!T$333</f>
        <v>0</v>
      </c>
      <c r="U88" s="18">
        <f>Fund_Industry!U$333</f>
        <v>0</v>
      </c>
      <c r="V88" s="18">
        <f>Fund_Industry!V$333</f>
        <v>0</v>
      </c>
      <c r="W88" s="18">
        <f>Fund_Industry!W$333</f>
        <v>0</v>
      </c>
      <c r="X88" s="18">
        <f>Fund_Industry!X$333</f>
        <v>0</v>
      </c>
      <c r="Y88" s="18">
        <f>Fund_Industry!Y$333</f>
        <v>0</v>
      </c>
      <c r="Z88" s="18">
        <f>Fund_Industry!Z$333</f>
        <v>0</v>
      </c>
      <c r="AA88" s="18">
        <f>Fund_Industry!AA$333</f>
        <v>0</v>
      </c>
      <c r="AB88" s="18">
        <f>Fund_Industry!AB$333</f>
        <v>0</v>
      </c>
      <c r="AC88" s="18">
        <f>Fund_Industry!AC$333</f>
        <v>0</v>
      </c>
      <c r="AD88" s="18">
        <f>Fund_Industry!AD$333</f>
        <v>0</v>
      </c>
      <c r="AE88" s="18">
        <f>Fund_Industry!AE$333</f>
        <v>0</v>
      </c>
    </row>
    <row r="89" spans="1:31" x14ac:dyDescent="0.45">
      <c r="A89" s="28" t="s">
        <v>1068</v>
      </c>
      <c r="B89" s="5" t="s">
        <v>69</v>
      </c>
      <c r="C89" s="5" t="s">
        <v>4</v>
      </c>
      <c r="D89" s="5" t="s">
        <v>75</v>
      </c>
      <c r="E89" s="5">
        <v>2</v>
      </c>
      <c r="F89" s="5" t="s">
        <v>71</v>
      </c>
      <c r="G89" s="5" t="s">
        <v>2724</v>
      </c>
      <c r="H89" s="5" t="s">
        <v>77</v>
      </c>
      <c r="I89" s="28" t="s">
        <v>77</v>
      </c>
      <c r="K89" s="18">
        <v>0</v>
      </c>
      <c r="L89" s="18">
        <f>Fund_Industry!L$334</f>
        <v>0</v>
      </c>
      <c r="M89" s="18">
        <f>Fund_Industry!M$334</f>
        <v>0</v>
      </c>
      <c r="N89" s="18">
        <f>Fund_Industry!N$334</f>
        <v>0</v>
      </c>
      <c r="O89" s="18">
        <f>Fund_Industry!O$334</f>
        <v>0</v>
      </c>
      <c r="P89" s="18">
        <f>Fund_Industry!P$334</f>
        <v>0</v>
      </c>
      <c r="Q89" s="18">
        <f>Fund_Industry!Q$334</f>
        <v>0</v>
      </c>
      <c r="R89" s="18">
        <f>Fund_Industry!R$334</f>
        <v>0</v>
      </c>
      <c r="S89" s="18">
        <f>Fund_Industry!S$334</f>
        <v>0</v>
      </c>
      <c r="T89" s="18">
        <f>Fund_Industry!T$334</f>
        <v>0</v>
      </c>
      <c r="U89" s="18">
        <f>Fund_Industry!U$334</f>
        <v>0</v>
      </c>
      <c r="V89" s="18">
        <f>Fund_Industry!V$334</f>
        <v>0</v>
      </c>
      <c r="W89" s="18">
        <f>Fund_Industry!W$334</f>
        <v>0</v>
      </c>
      <c r="X89" s="18">
        <f>Fund_Industry!X$334</f>
        <v>0</v>
      </c>
      <c r="Y89" s="18">
        <f>Fund_Industry!Y$334</f>
        <v>0</v>
      </c>
      <c r="Z89" s="18">
        <f>Fund_Industry!Z$334</f>
        <v>0</v>
      </c>
      <c r="AA89" s="18">
        <f>Fund_Industry!AA$334</f>
        <v>0</v>
      </c>
      <c r="AB89" s="18">
        <f>Fund_Industry!AB$334</f>
        <v>0</v>
      </c>
      <c r="AC89" s="18">
        <f>Fund_Industry!AC$334</f>
        <v>0</v>
      </c>
      <c r="AD89" s="18">
        <f>Fund_Industry!AD$334</f>
        <v>0</v>
      </c>
      <c r="AE89" s="18">
        <f>Fund_Industry!AE$334</f>
        <v>0</v>
      </c>
    </row>
    <row r="90" spans="1:31" x14ac:dyDescent="0.45">
      <c r="A90" s="28" t="s">
        <v>1069</v>
      </c>
      <c r="B90" s="5" t="s">
        <v>77</v>
      </c>
      <c r="C90" s="5" t="s">
        <v>879</v>
      </c>
      <c r="D90" s="5" t="s">
        <v>80</v>
      </c>
      <c r="E90" s="5">
        <v>2</v>
      </c>
      <c r="F90" s="5" t="s">
        <v>79</v>
      </c>
      <c r="G90" s="5" t="s">
        <v>988</v>
      </c>
      <c r="H90" s="5">
        <v>8601</v>
      </c>
      <c r="I90" s="28" t="s">
        <v>1069</v>
      </c>
      <c r="K90" s="19"/>
      <c r="L90" s="19">
        <v>0</v>
      </c>
      <c r="M90" s="19">
        <v>0</v>
      </c>
      <c r="N90" s="19">
        <v>0</v>
      </c>
      <c r="O90" s="19">
        <v>0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</row>
    <row r="91" spans="1:31" x14ac:dyDescent="0.45">
      <c r="A91" s="28" t="s">
        <v>1070</v>
      </c>
      <c r="B91" s="5" t="s">
        <v>77</v>
      </c>
      <c r="C91" s="5" t="s">
        <v>880</v>
      </c>
      <c r="D91" s="5" t="s">
        <v>80</v>
      </c>
      <c r="E91" s="5">
        <v>2</v>
      </c>
      <c r="F91" s="5" t="s">
        <v>79</v>
      </c>
      <c r="G91" s="5" t="s">
        <v>988</v>
      </c>
      <c r="H91" s="5">
        <v>8602</v>
      </c>
      <c r="I91" s="28" t="s">
        <v>1070</v>
      </c>
      <c r="K91" s="19"/>
      <c r="L91" s="19">
        <v>0</v>
      </c>
      <c r="M91" s="19">
        <v>0</v>
      </c>
      <c r="N91" s="19">
        <v>0</v>
      </c>
      <c r="O91" s="19">
        <v>0</v>
      </c>
      <c r="P91" s="19">
        <v>1</v>
      </c>
      <c r="Q91" s="19">
        <v>1</v>
      </c>
      <c r="R91" s="19">
        <v>1</v>
      </c>
      <c r="S91" s="19">
        <v>1</v>
      </c>
      <c r="T91" s="19">
        <v>1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19">
        <v>1</v>
      </c>
    </row>
    <row r="92" spans="1:31" x14ac:dyDescent="0.45">
      <c r="A92" s="28" t="s">
        <v>1071</v>
      </c>
      <c r="B92" s="5" t="s">
        <v>77</v>
      </c>
      <c r="C92" s="5" t="s">
        <v>881</v>
      </c>
      <c r="D92" s="5" t="s">
        <v>80</v>
      </c>
      <c r="E92" s="5">
        <v>2</v>
      </c>
      <c r="F92" s="5" t="s">
        <v>79</v>
      </c>
      <c r="G92" s="5" t="s">
        <v>988</v>
      </c>
      <c r="H92" s="5">
        <v>8603</v>
      </c>
      <c r="I92" s="28" t="s">
        <v>1071</v>
      </c>
      <c r="K92" s="19"/>
      <c r="L92" s="19">
        <v>0</v>
      </c>
      <c r="M92" s="19">
        <v>0</v>
      </c>
      <c r="N92" s="19">
        <v>0</v>
      </c>
      <c r="O92" s="19">
        <v>0</v>
      </c>
      <c r="P92" s="19">
        <v>1</v>
      </c>
      <c r="Q92" s="19">
        <v>1</v>
      </c>
      <c r="R92" s="19">
        <v>1</v>
      </c>
      <c r="S92" s="19">
        <v>1</v>
      </c>
      <c r="T92" s="19">
        <v>1</v>
      </c>
      <c r="U92" s="19">
        <v>1</v>
      </c>
      <c r="V92" s="19">
        <v>1</v>
      </c>
      <c r="W92" s="19">
        <v>1</v>
      </c>
      <c r="X92" s="19">
        <v>1</v>
      </c>
      <c r="Y92" s="19">
        <v>1</v>
      </c>
      <c r="Z92" s="19">
        <v>1</v>
      </c>
      <c r="AA92" s="19">
        <v>1</v>
      </c>
      <c r="AB92" s="19">
        <v>1</v>
      </c>
      <c r="AC92" s="19">
        <v>1</v>
      </c>
      <c r="AD92" s="19">
        <v>1</v>
      </c>
      <c r="AE92" s="19">
        <v>1</v>
      </c>
    </row>
    <row r="93" spans="1:31" x14ac:dyDescent="0.45">
      <c r="A93" s="28" t="s">
        <v>1072</v>
      </c>
      <c r="B93" s="5" t="s">
        <v>77</v>
      </c>
      <c r="C93" s="5" t="s">
        <v>883</v>
      </c>
      <c r="D93" s="5" t="s">
        <v>80</v>
      </c>
      <c r="E93" s="5">
        <v>2</v>
      </c>
      <c r="F93" s="5" t="s">
        <v>79</v>
      </c>
      <c r="G93" s="5" t="s">
        <v>988</v>
      </c>
      <c r="H93" s="5">
        <v>8604</v>
      </c>
      <c r="I93" s="28" t="s">
        <v>1072</v>
      </c>
      <c r="K93" s="19"/>
      <c r="L93" s="19">
        <v>0</v>
      </c>
      <c r="M93" s="19">
        <v>0</v>
      </c>
      <c r="N93" s="19">
        <v>0</v>
      </c>
      <c r="O93" s="19">
        <v>0</v>
      </c>
      <c r="P93" s="19">
        <v>1</v>
      </c>
      <c r="Q93" s="19">
        <v>1</v>
      </c>
      <c r="R93" s="19">
        <v>1</v>
      </c>
      <c r="S93" s="19">
        <v>1</v>
      </c>
      <c r="T93" s="19">
        <v>1</v>
      </c>
      <c r="U93" s="19">
        <v>1</v>
      </c>
      <c r="V93" s="19">
        <v>1</v>
      </c>
      <c r="W93" s="19">
        <v>1</v>
      </c>
      <c r="X93" s="19">
        <v>1</v>
      </c>
      <c r="Y93" s="19">
        <v>1</v>
      </c>
      <c r="Z93" s="19">
        <v>1</v>
      </c>
      <c r="AA93" s="19">
        <v>1</v>
      </c>
      <c r="AB93" s="19">
        <v>1</v>
      </c>
      <c r="AC93" s="19">
        <v>1</v>
      </c>
      <c r="AD93" s="19">
        <v>1</v>
      </c>
      <c r="AE93" s="19">
        <v>1</v>
      </c>
    </row>
    <row r="94" spans="1:31" x14ac:dyDescent="0.45">
      <c r="A94" s="28" t="s">
        <v>1073</v>
      </c>
      <c r="B94" s="5" t="s">
        <v>77</v>
      </c>
      <c r="C94" s="5" t="s">
        <v>882</v>
      </c>
      <c r="D94" s="5" t="s">
        <v>80</v>
      </c>
      <c r="E94" s="5">
        <v>2</v>
      </c>
      <c r="F94" s="5" t="s">
        <v>79</v>
      </c>
      <c r="G94" s="5" t="s">
        <v>988</v>
      </c>
      <c r="H94" s="5">
        <v>8605</v>
      </c>
      <c r="I94" s="28" t="s">
        <v>1073</v>
      </c>
      <c r="K94" s="19"/>
      <c r="L94" s="19">
        <v>0</v>
      </c>
      <c r="M94" s="19">
        <v>0</v>
      </c>
      <c r="N94" s="19">
        <v>0</v>
      </c>
      <c r="O94" s="19">
        <v>0</v>
      </c>
      <c r="P94" s="19">
        <v>1</v>
      </c>
      <c r="Q94" s="19">
        <v>1</v>
      </c>
      <c r="R94" s="19">
        <v>1</v>
      </c>
      <c r="S94" s="19">
        <v>1</v>
      </c>
      <c r="T94" s="19">
        <v>1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19">
        <v>1</v>
      </c>
    </row>
    <row r="95" spans="1:31" x14ac:dyDescent="0.45">
      <c r="A95" s="28" t="s">
        <v>1074</v>
      </c>
      <c r="B95" s="5" t="s">
        <v>77</v>
      </c>
      <c r="C95" s="5" t="s">
        <v>884</v>
      </c>
      <c r="D95" s="5" t="s">
        <v>80</v>
      </c>
      <c r="E95" s="5">
        <v>2</v>
      </c>
      <c r="F95" s="5" t="s">
        <v>79</v>
      </c>
      <c r="G95" s="5" t="s">
        <v>988</v>
      </c>
      <c r="H95" s="5">
        <v>8606</v>
      </c>
      <c r="I95" s="28" t="s">
        <v>1074</v>
      </c>
      <c r="K95" s="19"/>
      <c r="L95" s="19">
        <v>0</v>
      </c>
      <c r="M95" s="19">
        <v>0</v>
      </c>
      <c r="N95" s="19">
        <v>0</v>
      </c>
      <c r="O95" s="19">
        <v>0</v>
      </c>
      <c r="P95" s="19">
        <v>1</v>
      </c>
      <c r="Q95" s="19">
        <v>1</v>
      </c>
      <c r="R95" s="19">
        <v>1</v>
      </c>
      <c r="S95" s="19">
        <v>1</v>
      </c>
      <c r="T95" s="19">
        <v>1</v>
      </c>
      <c r="U95" s="19">
        <v>1</v>
      </c>
      <c r="V95" s="19">
        <v>1</v>
      </c>
      <c r="W95" s="19">
        <v>1</v>
      </c>
      <c r="X95" s="19">
        <v>1</v>
      </c>
      <c r="Y95" s="19">
        <v>1</v>
      </c>
      <c r="Z95" s="19">
        <v>1</v>
      </c>
      <c r="AA95" s="19">
        <v>1</v>
      </c>
      <c r="AB95" s="19">
        <v>1</v>
      </c>
      <c r="AC95" s="19">
        <v>1</v>
      </c>
      <c r="AD95" s="19">
        <v>1</v>
      </c>
      <c r="AE95" s="19">
        <v>1</v>
      </c>
    </row>
    <row r="96" spans="1:31" x14ac:dyDescent="0.45">
      <c r="A96" s="28" t="s">
        <v>1075</v>
      </c>
      <c r="B96" s="5" t="s">
        <v>77</v>
      </c>
      <c r="C96" s="5" t="s">
        <v>885</v>
      </c>
      <c r="D96" s="5" t="s">
        <v>80</v>
      </c>
      <c r="E96" s="5">
        <v>2</v>
      </c>
      <c r="F96" s="5" t="s">
        <v>79</v>
      </c>
      <c r="G96" s="5" t="s">
        <v>988</v>
      </c>
      <c r="H96" s="5">
        <v>8607</v>
      </c>
      <c r="I96" s="28" t="s">
        <v>1075</v>
      </c>
      <c r="K96" s="19"/>
      <c r="L96" s="19">
        <v>0</v>
      </c>
      <c r="M96" s="19">
        <v>0</v>
      </c>
      <c r="N96" s="19">
        <v>0</v>
      </c>
      <c r="O96" s="19">
        <v>0</v>
      </c>
      <c r="P96" s="19">
        <v>1</v>
      </c>
      <c r="Q96" s="19">
        <v>1</v>
      </c>
      <c r="R96" s="19">
        <v>1</v>
      </c>
      <c r="S96" s="19">
        <v>1</v>
      </c>
      <c r="T96" s="19">
        <v>1</v>
      </c>
      <c r="U96" s="19">
        <v>1</v>
      </c>
      <c r="V96" s="19">
        <v>1</v>
      </c>
      <c r="W96" s="19">
        <v>1</v>
      </c>
      <c r="X96" s="19">
        <v>1</v>
      </c>
      <c r="Y96" s="19">
        <v>1</v>
      </c>
      <c r="Z96" s="19">
        <v>1</v>
      </c>
      <c r="AA96" s="19">
        <v>1</v>
      </c>
      <c r="AB96" s="19">
        <v>1</v>
      </c>
      <c r="AC96" s="19">
        <v>1</v>
      </c>
      <c r="AD96" s="19">
        <v>1</v>
      </c>
      <c r="AE96" s="19">
        <v>1</v>
      </c>
    </row>
    <row r="97" spans="1:31" x14ac:dyDescent="0.45">
      <c r="A97" s="28" t="s">
        <v>1076</v>
      </c>
      <c r="B97" s="5" t="s">
        <v>77</v>
      </c>
      <c r="C97" s="5" t="s">
        <v>886</v>
      </c>
      <c r="D97" s="5" t="s">
        <v>80</v>
      </c>
      <c r="E97" s="5">
        <v>2</v>
      </c>
      <c r="F97" s="5" t="s">
        <v>79</v>
      </c>
      <c r="G97" s="5" t="s">
        <v>988</v>
      </c>
      <c r="H97" s="5">
        <v>8608</v>
      </c>
      <c r="I97" s="28" t="s">
        <v>1076</v>
      </c>
      <c r="K97" s="19"/>
      <c r="L97" s="19">
        <v>0</v>
      </c>
      <c r="M97" s="19">
        <v>0</v>
      </c>
      <c r="N97" s="19">
        <v>0</v>
      </c>
      <c r="O97" s="19">
        <v>0</v>
      </c>
      <c r="P97" s="19">
        <v>1</v>
      </c>
      <c r="Q97" s="19">
        <v>1</v>
      </c>
      <c r="R97" s="19">
        <v>1</v>
      </c>
      <c r="S97" s="19">
        <v>1</v>
      </c>
      <c r="T97" s="19">
        <v>1</v>
      </c>
      <c r="U97" s="19">
        <v>1</v>
      </c>
      <c r="V97" s="19">
        <v>1</v>
      </c>
      <c r="W97" s="19">
        <v>1</v>
      </c>
      <c r="X97" s="19">
        <v>1</v>
      </c>
      <c r="Y97" s="19">
        <v>1</v>
      </c>
      <c r="Z97" s="19">
        <v>1</v>
      </c>
      <c r="AA97" s="19">
        <v>1</v>
      </c>
      <c r="AB97" s="19">
        <v>1</v>
      </c>
      <c r="AC97" s="19">
        <v>1</v>
      </c>
      <c r="AD97" s="19">
        <v>1</v>
      </c>
      <c r="AE97" s="19">
        <v>1</v>
      </c>
    </row>
    <row r="98" spans="1:31" x14ac:dyDescent="0.45">
      <c r="A98" s="28" t="s">
        <v>1077</v>
      </c>
      <c r="B98" s="5" t="s">
        <v>77</v>
      </c>
      <c r="C98" s="5" t="s">
        <v>117</v>
      </c>
      <c r="D98" s="5" t="s">
        <v>80</v>
      </c>
      <c r="E98" s="5">
        <v>2</v>
      </c>
      <c r="F98" s="5" t="s">
        <v>79</v>
      </c>
      <c r="G98" s="5" t="s">
        <v>988</v>
      </c>
      <c r="H98" s="5">
        <v>8609</v>
      </c>
      <c r="I98" s="28" t="s">
        <v>1077</v>
      </c>
      <c r="K98" s="19"/>
      <c r="L98" s="19">
        <v>0</v>
      </c>
      <c r="M98" s="19">
        <v>0</v>
      </c>
      <c r="N98" s="19">
        <v>0</v>
      </c>
      <c r="O98" s="19">
        <v>0</v>
      </c>
      <c r="P98" s="19">
        <v>1</v>
      </c>
      <c r="Q98" s="19">
        <v>1</v>
      </c>
      <c r="R98" s="19">
        <v>1</v>
      </c>
      <c r="S98" s="19">
        <v>1</v>
      </c>
      <c r="T98" s="19">
        <v>1</v>
      </c>
      <c r="U98" s="19">
        <v>1</v>
      </c>
      <c r="V98" s="19">
        <v>1</v>
      </c>
      <c r="W98" s="19">
        <v>1</v>
      </c>
      <c r="X98" s="19">
        <v>1</v>
      </c>
      <c r="Y98" s="19">
        <v>1</v>
      </c>
      <c r="Z98" s="19">
        <v>1</v>
      </c>
      <c r="AA98" s="19">
        <v>1</v>
      </c>
      <c r="AB98" s="19">
        <v>1</v>
      </c>
      <c r="AC98" s="19">
        <v>1</v>
      </c>
      <c r="AD98" s="19">
        <v>1</v>
      </c>
      <c r="AE98" s="19">
        <v>1</v>
      </c>
    </row>
    <row r="99" spans="1:31" x14ac:dyDescent="0.45">
      <c r="A99" s="28" t="s">
        <v>1078</v>
      </c>
      <c r="B99" s="5" t="s">
        <v>77</v>
      </c>
      <c r="C99" s="5" t="s">
        <v>43</v>
      </c>
      <c r="D99" s="5" t="s">
        <v>80</v>
      </c>
      <c r="E99" s="5">
        <v>2</v>
      </c>
      <c r="F99" s="5" t="s">
        <v>79</v>
      </c>
      <c r="G99" s="5" t="s">
        <v>988</v>
      </c>
      <c r="H99" s="5">
        <v>8610</v>
      </c>
      <c r="I99" s="28" t="s">
        <v>1078</v>
      </c>
      <c r="K99" s="19"/>
      <c r="L99" s="19">
        <v>0</v>
      </c>
      <c r="M99" s="19">
        <v>0</v>
      </c>
      <c r="N99" s="19">
        <v>0</v>
      </c>
      <c r="O99" s="19">
        <v>0</v>
      </c>
      <c r="P99" s="19">
        <v>1</v>
      </c>
      <c r="Q99" s="19">
        <v>1</v>
      </c>
      <c r="R99" s="19">
        <v>1</v>
      </c>
      <c r="S99" s="19">
        <v>1</v>
      </c>
      <c r="T99" s="19">
        <v>1</v>
      </c>
      <c r="U99" s="19">
        <v>1</v>
      </c>
      <c r="V99" s="19">
        <v>1</v>
      </c>
      <c r="W99" s="19">
        <v>1</v>
      </c>
      <c r="X99" s="19">
        <v>1</v>
      </c>
      <c r="Y99" s="19">
        <v>1</v>
      </c>
      <c r="Z99" s="19">
        <v>1</v>
      </c>
      <c r="AA99" s="19">
        <v>1</v>
      </c>
      <c r="AB99" s="19">
        <v>1</v>
      </c>
      <c r="AC99" s="19">
        <v>1</v>
      </c>
      <c r="AD99" s="19">
        <v>1</v>
      </c>
      <c r="AE99" s="19">
        <v>1</v>
      </c>
    </row>
    <row r="100" spans="1:31" x14ac:dyDescent="0.45">
      <c r="A100" s="28" t="s">
        <v>1079</v>
      </c>
      <c r="B100" s="5" t="s">
        <v>77</v>
      </c>
      <c r="C100" s="5" t="s">
        <v>115</v>
      </c>
      <c r="D100" s="5" t="s">
        <v>80</v>
      </c>
      <c r="E100" s="5">
        <v>2</v>
      </c>
      <c r="F100" s="5" t="s">
        <v>79</v>
      </c>
      <c r="G100" s="5" t="s">
        <v>988</v>
      </c>
      <c r="H100" s="5">
        <v>8611</v>
      </c>
      <c r="I100" s="28" t="s">
        <v>1079</v>
      </c>
      <c r="K100" s="19"/>
      <c r="L100" s="19">
        <v>0</v>
      </c>
      <c r="M100" s="19">
        <v>0</v>
      </c>
      <c r="N100" s="19">
        <v>0</v>
      </c>
      <c r="O100" s="19">
        <v>0</v>
      </c>
      <c r="P100" s="19">
        <v>1</v>
      </c>
      <c r="Q100" s="19">
        <v>1</v>
      </c>
      <c r="R100" s="19">
        <v>1</v>
      </c>
      <c r="S100" s="19">
        <v>1</v>
      </c>
      <c r="T100" s="19">
        <v>1</v>
      </c>
      <c r="U100" s="19">
        <v>1</v>
      </c>
      <c r="V100" s="19">
        <v>1</v>
      </c>
      <c r="W100" s="19">
        <v>1</v>
      </c>
      <c r="X100" s="19">
        <v>1</v>
      </c>
      <c r="Y100" s="19">
        <v>1</v>
      </c>
      <c r="Z100" s="19">
        <v>1</v>
      </c>
      <c r="AA100" s="19">
        <v>1</v>
      </c>
      <c r="AB100" s="19">
        <v>1</v>
      </c>
      <c r="AC100" s="19">
        <v>1</v>
      </c>
      <c r="AD100" s="19">
        <v>1</v>
      </c>
      <c r="AE100" s="19">
        <v>1</v>
      </c>
    </row>
    <row r="101" spans="1:31" x14ac:dyDescent="0.45">
      <c r="A101" s="28" t="s">
        <v>1080</v>
      </c>
      <c r="B101" s="5" t="s">
        <v>77</v>
      </c>
      <c r="C101" s="5" t="s">
        <v>887</v>
      </c>
      <c r="D101" s="5" t="s">
        <v>80</v>
      </c>
      <c r="E101" s="5">
        <v>2</v>
      </c>
      <c r="F101" s="5" t="s">
        <v>79</v>
      </c>
      <c r="G101" s="5" t="s">
        <v>988</v>
      </c>
      <c r="H101" s="5">
        <v>8612</v>
      </c>
      <c r="I101" s="28" t="s">
        <v>1080</v>
      </c>
      <c r="K101" s="19"/>
      <c r="L101" s="19">
        <v>0</v>
      </c>
      <c r="M101" s="19">
        <v>0</v>
      </c>
      <c r="N101" s="19">
        <v>0</v>
      </c>
      <c r="O101" s="19">
        <v>0</v>
      </c>
      <c r="P101" s="19">
        <v>1</v>
      </c>
      <c r="Q101" s="19">
        <v>1</v>
      </c>
      <c r="R101" s="19">
        <v>1</v>
      </c>
      <c r="S101" s="19">
        <v>1</v>
      </c>
      <c r="T101" s="19">
        <v>1</v>
      </c>
      <c r="U101" s="19">
        <v>1</v>
      </c>
      <c r="V101" s="19">
        <v>1</v>
      </c>
      <c r="W101" s="19">
        <v>1</v>
      </c>
      <c r="X101" s="19">
        <v>1</v>
      </c>
      <c r="Y101" s="19">
        <v>1</v>
      </c>
      <c r="Z101" s="19">
        <v>1</v>
      </c>
      <c r="AA101" s="19">
        <v>1</v>
      </c>
      <c r="AB101" s="19">
        <v>1</v>
      </c>
      <c r="AC101" s="19">
        <v>1</v>
      </c>
      <c r="AD101" s="19">
        <v>1</v>
      </c>
      <c r="AE101" s="19">
        <v>1</v>
      </c>
    </row>
    <row r="102" spans="1:31" x14ac:dyDescent="0.45">
      <c r="A102" s="28" t="s">
        <v>1081</v>
      </c>
      <c r="B102" s="5" t="s">
        <v>77</v>
      </c>
      <c r="C102" s="5" t="s">
        <v>113</v>
      </c>
      <c r="D102" s="5" t="s">
        <v>80</v>
      </c>
      <c r="E102" s="5">
        <v>2</v>
      </c>
      <c r="F102" s="5" t="s">
        <v>79</v>
      </c>
      <c r="G102" s="5" t="s">
        <v>988</v>
      </c>
      <c r="H102" s="5">
        <v>8613</v>
      </c>
      <c r="I102" s="28" t="s">
        <v>1081</v>
      </c>
      <c r="K102" s="19"/>
      <c r="L102" s="19">
        <v>0</v>
      </c>
      <c r="M102" s="19">
        <v>0</v>
      </c>
      <c r="N102" s="19">
        <v>0</v>
      </c>
      <c r="O102" s="19">
        <v>0</v>
      </c>
      <c r="P102" s="19">
        <v>1</v>
      </c>
      <c r="Q102" s="19">
        <v>1</v>
      </c>
      <c r="R102" s="19">
        <v>1</v>
      </c>
      <c r="S102" s="19">
        <v>1</v>
      </c>
      <c r="T102" s="19">
        <v>1</v>
      </c>
      <c r="U102" s="19">
        <v>1</v>
      </c>
      <c r="V102" s="19">
        <v>1</v>
      </c>
      <c r="W102" s="19">
        <v>1</v>
      </c>
      <c r="X102" s="19">
        <v>1</v>
      </c>
      <c r="Y102" s="19">
        <v>1</v>
      </c>
      <c r="Z102" s="19">
        <v>1</v>
      </c>
      <c r="AA102" s="19">
        <v>1</v>
      </c>
      <c r="AB102" s="19">
        <v>1</v>
      </c>
      <c r="AC102" s="19">
        <v>1</v>
      </c>
      <c r="AD102" s="19">
        <v>1</v>
      </c>
      <c r="AE102" s="19">
        <v>1</v>
      </c>
    </row>
    <row r="103" spans="1:31" x14ac:dyDescent="0.45">
      <c r="A103" s="28" t="s">
        <v>1082</v>
      </c>
      <c r="B103" s="5" t="s">
        <v>77</v>
      </c>
      <c r="C103" s="5" t="s">
        <v>888</v>
      </c>
      <c r="D103" s="5" t="s">
        <v>80</v>
      </c>
      <c r="E103" s="5">
        <v>2</v>
      </c>
      <c r="F103" s="5" t="s">
        <v>79</v>
      </c>
      <c r="G103" s="5" t="s">
        <v>988</v>
      </c>
      <c r="H103" s="5">
        <v>8614</v>
      </c>
      <c r="I103" s="28" t="s">
        <v>1082</v>
      </c>
      <c r="K103" s="19"/>
      <c r="L103" s="19">
        <v>0</v>
      </c>
      <c r="M103" s="19">
        <v>0</v>
      </c>
      <c r="N103" s="19">
        <v>0</v>
      </c>
      <c r="O103" s="19">
        <v>0</v>
      </c>
      <c r="P103" s="19">
        <v>1</v>
      </c>
      <c r="Q103" s="19">
        <v>1</v>
      </c>
      <c r="R103" s="19">
        <v>1</v>
      </c>
      <c r="S103" s="19">
        <v>1</v>
      </c>
      <c r="T103" s="19">
        <v>1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19">
        <v>1</v>
      </c>
    </row>
    <row r="104" spans="1:31" x14ac:dyDescent="0.45">
      <c r="A104" s="28" t="s">
        <v>1083</v>
      </c>
      <c r="B104" s="5" t="s">
        <v>77</v>
      </c>
      <c r="C104" s="5" t="s">
        <v>889</v>
      </c>
      <c r="D104" s="5" t="s">
        <v>80</v>
      </c>
      <c r="E104" s="5">
        <v>2</v>
      </c>
      <c r="F104" s="5" t="s">
        <v>79</v>
      </c>
      <c r="G104" s="5" t="s">
        <v>988</v>
      </c>
      <c r="H104" s="5">
        <v>8615</v>
      </c>
      <c r="I104" s="28" t="s">
        <v>1083</v>
      </c>
      <c r="K104" s="19"/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1</v>
      </c>
      <c r="R104" s="19">
        <v>1</v>
      </c>
      <c r="S104" s="19">
        <v>1</v>
      </c>
      <c r="T104" s="19">
        <v>1</v>
      </c>
      <c r="U104" s="19">
        <v>1</v>
      </c>
      <c r="V104" s="19">
        <v>1</v>
      </c>
      <c r="W104" s="19">
        <v>1</v>
      </c>
      <c r="X104" s="19">
        <v>1</v>
      </c>
      <c r="Y104" s="19">
        <v>1</v>
      </c>
      <c r="Z104" s="19">
        <v>1</v>
      </c>
      <c r="AA104" s="19">
        <v>1</v>
      </c>
      <c r="AB104" s="19">
        <v>1</v>
      </c>
      <c r="AC104" s="19">
        <v>1</v>
      </c>
      <c r="AD104" s="19">
        <v>1</v>
      </c>
      <c r="AE104" s="19">
        <v>1</v>
      </c>
    </row>
    <row r="105" spans="1:31" x14ac:dyDescent="0.45">
      <c r="A105" s="28" t="s">
        <v>1084</v>
      </c>
      <c r="B105" s="5" t="s">
        <v>77</v>
      </c>
      <c r="C105" s="5" t="s">
        <v>890</v>
      </c>
      <c r="D105" s="5" t="s">
        <v>80</v>
      </c>
      <c r="E105" s="5">
        <v>2</v>
      </c>
      <c r="F105" s="5" t="s">
        <v>79</v>
      </c>
      <c r="G105" s="5" t="s">
        <v>988</v>
      </c>
      <c r="H105" s="5">
        <v>8616</v>
      </c>
      <c r="I105" s="28" t="s">
        <v>1084</v>
      </c>
      <c r="K105" s="19"/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1</v>
      </c>
      <c r="R105" s="19">
        <v>1</v>
      </c>
      <c r="S105" s="19">
        <v>1</v>
      </c>
      <c r="T105" s="19">
        <v>1</v>
      </c>
      <c r="U105" s="19">
        <v>1</v>
      </c>
      <c r="V105" s="19">
        <v>1</v>
      </c>
      <c r="W105" s="19">
        <v>1</v>
      </c>
      <c r="X105" s="19">
        <v>1</v>
      </c>
      <c r="Y105" s="19">
        <v>1</v>
      </c>
      <c r="Z105" s="19">
        <v>1</v>
      </c>
      <c r="AA105" s="19">
        <v>1</v>
      </c>
      <c r="AB105" s="19">
        <v>1</v>
      </c>
      <c r="AC105" s="19">
        <v>1</v>
      </c>
      <c r="AD105" s="19">
        <v>1</v>
      </c>
      <c r="AE105" s="19">
        <v>1</v>
      </c>
    </row>
    <row r="106" spans="1:31" x14ac:dyDescent="0.45">
      <c r="A106" s="28" t="s">
        <v>1085</v>
      </c>
      <c r="B106" s="5" t="s">
        <v>77</v>
      </c>
      <c r="C106" s="5" t="s">
        <v>891</v>
      </c>
      <c r="D106" s="5" t="s">
        <v>80</v>
      </c>
      <c r="E106" s="5">
        <v>2</v>
      </c>
      <c r="F106" s="5" t="s">
        <v>79</v>
      </c>
      <c r="G106" s="5" t="s">
        <v>988</v>
      </c>
      <c r="H106" s="5">
        <v>8617</v>
      </c>
      <c r="I106" s="28" t="s">
        <v>1085</v>
      </c>
      <c r="K106" s="19"/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1</v>
      </c>
      <c r="R106" s="19">
        <v>1</v>
      </c>
      <c r="S106" s="19">
        <v>1</v>
      </c>
      <c r="T106" s="19">
        <v>1</v>
      </c>
      <c r="U106" s="19">
        <v>1</v>
      </c>
      <c r="V106" s="19">
        <v>1</v>
      </c>
      <c r="W106" s="19">
        <v>1</v>
      </c>
      <c r="X106" s="19">
        <v>1</v>
      </c>
      <c r="Y106" s="19">
        <v>1</v>
      </c>
      <c r="Z106" s="19">
        <v>1</v>
      </c>
      <c r="AA106" s="19">
        <v>1</v>
      </c>
      <c r="AB106" s="19">
        <v>1</v>
      </c>
      <c r="AC106" s="19">
        <v>1</v>
      </c>
      <c r="AD106" s="19">
        <v>1</v>
      </c>
      <c r="AE106" s="19">
        <v>1</v>
      </c>
    </row>
    <row r="107" spans="1:31" x14ac:dyDescent="0.45">
      <c r="A107" s="28" t="s">
        <v>1086</v>
      </c>
      <c r="B107" s="5" t="s">
        <v>77</v>
      </c>
      <c r="C107" s="5" t="s">
        <v>879</v>
      </c>
      <c r="D107" s="5" t="s">
        <v>82</v>
      </c>
      <c r="E107" s="5">
        <v>2</v>
      </c>
      <c r="F107" s="5" t="s">
        <v>79</v>
      </c>
      <c r="G107" s="5" t="s">
        <v>81</v>
      </c>
      <c r="H107" s="5">
        <v>8734</v>
      </c>
      <c r="I107" s="28" t="s">
        <v>1086</v>
      </c>
      <c r="K107" s="19"/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</row>
    <row r="108" spans="1:31" x14ac:dyDescent="0.45">
      <c r="A108" s="28" t="s">
        <v>1087</v>
      </c>
      <c r="B108" s="5" t="s">
        <v>77</v>
      </c>
      <c r="C108" s="5" t="s">
        <v>880</v>
      </c>
      <c r="D108" s="5" t="s">
        <v>82</v>
      </c>
      <c r="E108" s="5">
        <v>2</v>
      </c>
      <c r="F108" s="5" t="s">
        <v>79</v>
      </c>
      <c r="G108" s="5" t="s">
        <v>81</v>
      </c>
      <c r="H108" s="5">
        <v>8735</v>
      </c>
      <c r="I108" s="28" t="s">
        <v>1087</v>
      </c>
      <c r="K108" s="19"/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</row>
    <row r="109" spans="1:31" x14ac:dyDescent="0.45">
      <c r="A109" s="28" t="s">
        <v>1088</v>
      </c>
      <c r="B109" s="5" t="s">
        <v>77</v>
      </c>
      <c r="C109" s="5" t="s">
        <v>881</v>
      </c>
      <c r="D109" s="5" t="s">
        <v>82</v>
      </c>
      <c r="E109" s="5">
        <v>2</v>
      </c>
      <c r="F109" s="5" t="s">
        <v>79</v>
      </c>
      <c r="G109" s="5" t="s">
        <v>81</v>
      </c>
      <c r="H109" s="5">
        <v>8736</v>
      </c>
      <c r="I109" s="28" t="s">
        <v>1088</v>
      </c>
      <c r="K109" s="19"/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</row>
    <row r="110" spans="1:31" x14ac:dyDescent="0.45">
      <c r="A110" s="28" t="s">
        <v>1089</v>
      </c>
      <c r="B110" s="5" t="s">
        <v>77</v>
      </c>
      <c r="C110" s="5" t="s">
        <v>883</v>
      </c>
      <c r="D110" s="5" t="s">
        <v>82</v>
      </c>
      <c r="E110" s="5">
        <v>2</v>
      </c>
      <c r="F110" s="5" t="s">
        <v>79</v>
      </c>
      <c r="G110" s="5" t="s">
        <v>81</v>
      </c>
      <c r="H110" s="5">
        <v>8737</v>
      </c>
      <c r="I110" s="28" t="s">
        <v>1090</v>
      </c>
      <c r="K110" s="19"/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</row>
    <row r="111" spans="1:31" x14ac:dyDescent="0.45">
      <c r="A111" s="28" t="s">
        <v>1090</v>
      </c>
      <c r="B111" s="5" t="s">
        <v>77</v>
      </c>
      <c r="C111" s="5" t="s">
        <v>882</v>
      </c>
      <c r="D111" s="5" t="s">
        <v>82</v>
      </c>
      <c r="E111" s="5">
        <v>2</v>
      </c>
      <c r="F111" s="5" t="s">
        <v>79</v>
      </c>
      <c r="G111" s="5" t="s">
        <v>81</v>
      </c>
      <c r="H111" s="5">
        <v>8738</v>
      </c>
      <c r="I111" s="28" t="s">
        <v>1089</v>
      </c>
      <c r="K111" s="19"/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</row>
    <row r="112" spans="1:31" x14ac:dyDescent="0.45">
      <c r="A112" s="28" t="s">
        <v>1091</v>
      </c>
      <c r="B112" s="5" t="s">
        <v>77</v>
      </c>
      <c r="C112" s="5" t="s">
        <v>884</v>
      </c>
      <c r="D112" s="5" t="s">
        <v>82</v>
      </c>
      <c r="E112" s="5">
        <v>2</v>
      </c>
      <c r="F112" s="5" t="s">
        <v>79</v>
      </c>
      <c r="G112" s="5" t="s">
        <v>81</v>
      </c>
      <c r="H112" s="5">
        <v>8739</v>
      </c>
      <c r="I112" s="28" t="s">
        <v>1091</v>
      </c>
      <c r="K112" s="19"/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</row>
    <row r="113" spans="1:31" x14ac:dyDescent="0.45">
      <c r="A113" s="28" t="s">
        <v>1092</v>
      </c>
      <c r="B113" s="5" t="s">
        <v>77</v>
      </c>
      <c r="C113" s="5" t="s">
        <v>885</v>
      </c>
      <c r="D113" s="5" t="s">
        <v>82</v>
      </c>
      <c r="E113" s="5">
        <v>2</v>
      </c>
      <c r="F113" s="5" t="s">
        <v>79</v>
      </c>
      <c r="G113" s="5" t="s">
        <v>81</v>
      </c>
      <c r="H113" s="5">
        <v>8740</v>
      </c>
      <c r="I113" s="28" t="s">
        <v>1092</v>
      </c>
      <c r="K113" s="19"/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</row>
    <row r="114" spans="1:31" x14ac:dyDescent="0.45">
      <c r="A114" s="28" t="s">
        <v>1093</v>
      </c>
      <c r="B114" s="5" t="s">
        <v>77</v>
      </c>
      <c r="C114" s="5" t="s">
        <v>886</v>
      </c>
      <c r="D114" s="5" t="s">
        <v>82</v>
      </c>
      <c r="E114" s="5">
        <v>2</v>
      </c>
      <c r="F114" s="5" t="s">
        <v>79</v>
      </c>
      <c r="G114" s="5" t="s">
        <v>81</v>
      </c>
      <c r="H114" s="5">
        <v>8741</v>
      </c>
      <c r="I114" s="28" t="s">
        <v>1093</v>
      </c>
      <c r="K114" s="19"/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</row>
    <row r="115" spans="1:31" x14ac:dyDescent="0.45">
      <c r="A115" s="28" t="s">
        <v>1094</v>
      </c>
      <c r="B115" s="5" t="s">
        <v>77</v>
      </c>
      <c r="C115" s="5" t="s">
        <v>117</v>
      </c>
      <c r="D115" s="5" t="s">
        <v>82</v>
      </c>
      <c r="E115" s="5">
        <v>2</v>
      </c>
      <c r="F115" s="5" t="s">
        <v>79</v>
      </c>
      <c r="G115" s="5" t="s">
        <v>2725</v>
      </c>
      <c r="H115" s="5">
        <v>8742</v>
      </c>
      <c r="I115" s="28" t="s">
        <v>1094</v>
      </c>
      <c r="K115" s="19"/>
      <c r="L115" s="19">
        <f>Fund_Industry!$F$6</f>
        <v>1</v>
      </c>
      <c r="M115" s="19">
        <f>Fund_Industry!$F$6</f>
        <v>1</v>
      </c>
      <c r="N115" s="19">
        <f>Fund_Industry!$F$6</f>
        <v>1</v>
      </c>
      <c r="O115" s="19">
        <f>Fund_Industry!$F$6</f>
        <v>1</v>
      </c>
      <c r="P115" s="19">
        <f>Fund_Industry!$F$6</f>
        <v>1</v>
      </c>
      <c r="Q115" s="19">
        <f>Fund_Industry!$F$6</f>
        <v>1</v>
      </c>
      <c r="R115" s="19">
        <f>Fund_Industry!$F$6</f>
        <v>1</v>
      </c>
      <c r="S115" s="19">
        <f>Fund_Industry!$F$6</f>
        <v>1</v>
      </c>
      <c r="T115" s="19">
        <f>Fund_Industry!$F$6</f>
        <v>1</v>
      </c>
      <c r="U115" s="19">
        <f>Fund_Industry!$F$6</f>
        <v>1</v>
      </c>
      <c r="V115" s="19">
        <f>Fund_Industry!$F$6</f>
        <v>1</v>
      </c>
      <c r="W115" s="19">
        <f>Fund_Industry!$F$6</f>
        <v>1</v>
      </c>
      <c r="X115" s="19">
        <f>Fund_Industry!$F$6</f>
        <v>1</v>
      </c>
      <c r="Y115" s="19">
        <f>Fund_Industry!$F$6</f>
        <v>1</v>
      </c>
      <c r="Z115" s="19">
        <f>Fund_Industry!$F$6</f>
        <v>1</v>
      </c>
      <c r="AA115" s="19">
        <f>Fund_Industry!$F$6</f>
        <v>1</v>
      </c>
      <c r="AB115" s="19">
        <f>Fund_Industry!$F$6</f>
        <v>1</v>
      </c>
      <c r="AC115" s="19">
        <f>Fund_Industry!$F$6</f>
        <v>1</v>
      </c>
      <c r="AD115" s="19">
        <f>Fund_Industry!$F$6</f>
        <v>1</v>
      </c>
      <c r="AE115" s="19">
        <f>Fund_Industry!$F$6</f>
        <v>1</v>
      </c>
    </row>
    <row r="116" spans="1:31" x14ac:dyDescent="0.45">
      <c r="A116" s="28" t="s">
        <v>1095</v>
      </c>
      <c r="B116" s="5" t="s">
        <v>77</v>
      </c>
      <c r="C116" s="5" t="s">
        <v>43</v>
      </c>
      <c r="D116" s="5" t="s">
        <v>82</v>
      </c>
      <c r="E116" s="5">
        <v>2</v>
      </c>
      <c r="F116" s="5" t="s">
        <v>79</v>
      </c>
      <c r="G116" s="5" t="s">
        <v>2725</v>
      </c>
      <c r="H116" s="5">
        <v>8743</v>
      </c>
      <c r="I116" s="28" t="s">
        <v>1095</v>
      </c>
      <c r="K116" s="19"/>
      <c r="L116" s="19">
        <f>Fund_Industry!$F$6</f>
        <v>1</v>
      </c>
      <c r="M116" s="19">
        <f>Fund_Industry!$F$6</f>
        <v>1</v>
      </c>
      <c r="N116" s="19">
        <f>Fund_Industry!$F$6</f>
        <v>1</v>
      </c>
      <c r="O116" s="19">
        <f>Fund_Industry!$F$6</f>
        <v>1</v>
      </c>
      <c r="P116" s="19">
        <f>Fund_Industry!$F$6</f>
        <v>1</v>
      </c>
      <c r="Q116" s="19">
        <f>Fund_Industry!$F$6</f>
        <v>1</v>
      </c>
      <c r="R116" s="19">
        <f>Fund_Industry!$F$6</f>
        <v>1</v>
      </c>
      <c r="S116" s="19">
        <f>Fund_Industry!$F$6</f>
        <v>1</v>
      </c>
      <c r="T116" s="19">
        <f>Fund_Industry!$F$6</f>
        <v>1</v>
      </c>
      <c r="U116" s="19">
        <f>Fund_Industry!$F$6</f>
        <v>1</v>
      </c>
      <c r="V116" s="19">
        <f>Fund_Industry!$F$6</f>
        <v>1</v>
      </c>
      <c r="W116" s="19">
        <f>Fund_Industry!$F$6</f>
        <v>1</v>
      </c>
      <c r="X116" s="19">
        <f>Fund_Industry!$F$6</f>
        <v>1</v>
      </c>
      <c r="Y116" s="19">
        <f>Fund_Industry!$F$6</f>
        <v>1</v>
      </c>
      <c r="Z116" s="19">
        <f>Fund_Industry!$F$6</f>
        <v>1</v>
      </c>
      <c r="AA116" s="19">
        <f>Fund_Industry!$F$6</f>
        <v>1</v>
      </c>
      <c r="AB116" s="19">
        <f>Fund_Industry!$F$6</f>
        <v>1</v>
      </c>
      <c r="AC116" s="19">
        <f>Fund_Industry!$F$6</f>
        <v>1</v>
      </c>
      <c r="AD116" s="19">
        <f>Fund_Industry!$F$6</f>
        <v>1</v>
      </c>
      <c r="AE116" s="19">
        <f>Fund_Industry!$F$6</f>
        <v>1</v>
      </c>
    </row>
    <row r="117" spans="1:31" x14ac:dyDescent="0.45">
      <c r="A117" s="28" t="s">
        <v>1096</v>
      </c>
      <c r="B117" s="5" t="s">
        <v>77</v>
      </c>
      <c r="C117" s="5" t="s">
        <v>115</v>
      </c>
      <c r="D117" s="5" t="s">
        <v>82</v>
      </c>
      <c r="E117" s="5">
        <v>2</v>
      </c>
      <c r="F117" s="5" t="s">
        <v>79</v>
      </c>
      <c r="G117" s="5" t="s">
        <v>2725</v>
      </c>
      <c r="H117" s="5">
        <v>8744</v>
      </c>
      <c r="I117" s="28" t="s">
        <v>1096</v>
      </c>
      <c r="K117" s="19"/>
      <c r="L117" s="19">
        <f>Fund_Industry!$F$6</f>
        <v>1</v>
      </c>
      <c r="M117" s="19">
        <f>Fund_Industry!$F$6</f>
        <v>1</v>
      </c>
      <c r="N117" s="19">
        <f>Fund_Industry!$F$6</f>
        <v>1</v>
      </c>
      <c r="O117" s="19">
        <f>Fund_Industry!$F$6</f>
        <v>1</v>
      </c>
      <c r="P117" s="19">
        <f>Fund_Industry!$F$6</f>
        <v>1</v>
      </c>
      <c r="Q117" s="19">
        <f>Fund_Industry!$F$6</f>
        <v>1</v>
      </c>
      <c r="R117" s="19">
        <f>Fund_Industry!$F$6</f>
        <v>1</v>
      </c>
      <c r="S117" s="19">
        <f>Fund_Industry!$F$6</f>
        <v>1</v>
      </c>
      <c r="T117" s="19">
        <f>Fund_Industry!$F$6</f>
        <v>1</v>
      </c>
      <c r="U117" s="19">
        <f>Fund_Industry!$F$6</f>
        <v>1</v>
      </c>
      <c r="V117" s="19">
        <f>Fund_Industry!$F$6</f>
        <v>1</v>
      </c>
      <c r="W117" s="19">
        <f>Fund_Industry!$F$6</f>
        <v>1</v>
      </c>
      <c r="X117" s="19">
        <f>Fund_Industry!$F$6</f>
        <v>1</v>
      </c>
      <c r="Y117" s="19">
        <f>Fund_Industry!$F$6</f>
        <v>1</v>
      </c>
      <c r="Z117" s="19">
        <f>Fund_Industry!$F$6</f>
        <v>1</v>
      </c>
      <c r="AA117" s="19">
        <f>Fund_Industry!$F$6</f>
        <v>1</v>
      </c>
      <c r="AB117" s="19">
        <f>Fund_Industry!$F$6</f>
        <v>1</v>
      </c>
      <c r="AC117" s="19">
        <f>Fund_Industry!$F$6</f>
        <v>1</v>
      </c>
      <c r="AD117" s="19">
        <f>Fund_Industry!$F$6</f>
        <v>1</v>
      </c>
      <c r="AE117" s="19">
        <f>Fund_Industry!$F$6</f>
        <v>1</v>
      </c>
    </row>
    <row r="118" spans="1:31" x14ac:dyDescent="0.45">
      <c r="A118" s="28" t="s">
        <v>1097</v>
      </c>
      <c r="B118" s="5" t="s">
        <v>77</v>
      </c>
      <c r="C118" s="5" t="s">
        <v>887</v>
      </c>
      <c r="D118" s="5" t="s">
        <v>82</v>
      </c>
      <c r="E118" s="5">
        <v>2</v>
      </c>
      <c r="F118" s="5" t="s">
        <v>79</v>
      </c>
      <c r="G118" s="5" t="s">
        <v>81</v>
      </c>
      <c r="H118" s="5">
        <v>8745</v>
      </c>
      <c r="I118" s="28" t="s">
        <v>1097</v>
      </c>
      <c r="K118" s="19"/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</row>
    <row r="119" spans="1:31" x14ac:dyDescent="0.45">
      <c r="A119" s="28" t="s">
        <v>1098</v>
      </c>
      <c r="B119" s="5" t="s">
        <v>77</v>
      </c>
      <c r="C119" s="5" t="s">
        <v>113</v>
      </c>
      <c r="D119" s="5" t="s">
        <v>82</v>
      </c>
      <c r="E119" s="5">
        <v>2</v>
      </c>
      <c r="F119" s="5" t="s">
        <v>79</v>
      </c>
      <c r="G119" s="5" t="s">
        <v>2725</v>
      </c>
      <c r="H119" s="5">
        <v>8746</v>
      </c>
      <c r="I119" s="28" t="s">
        <v>1098</v>
      </c>
      <c r="K119" s="19"/>
      <c r="L119" s="19">
        <f>Fund_Industry!$F$6</f>
        <v>1</v>
      </c>
      <c r="M119" s="19">
        <f>Fund_Industry!$F$6</f>
        <v>1</v>
      </c>
      <c r="N119" s="19">
        <f>Fund_Industry!$F$6</f>
        <v>1</v>
      </c>
      <c r="O119" s="19">
        <f>Fund_Industry!$F$6</f>
        <v>1</v>
      </c>
      <c r="P119" s="19">
        <f>Fund_Industry!$F$6</f>
        <v>1</v>
      </c>
      <c r="Q119" s="19">
        <f>Fund_Industry!$F$6</f>
        <v>1</v>
      </c>
      <c r="R119" s="19">
        <f>Fund_Industry!$F$6</f>
        <v>1</v>
      </c>
      <c r="S119" s="19">
        <f>Fund_Industry!$F$6</f>
        <v>1</v>
      </c>
      <c r="T119" s="19">
        <f>Fund_Industry!$F$6</f>
        <v>1</v>
      </c>
      <c r="U119" s="19">
        <f>Fund_Industry!$F$6</f>
        <v>1</v>
      </c>
      <c r="V119" s="19">
        <f>Fund_Industry!$F$6</f>
        <v>1</v>
      </c>
      <c r="W119" s="19">
        <f>Fund_Industry!$F$6</f>
        <v>1</v>
      </c>
      <c r="X119" s="19">
        <f>Fund_Industry!$F$6</f>
        <v>1</v>
      </c>
      <c r="Y119" s="19">
        <f>Fund_Industry!$F$6</f>
        <v>1</v>
      </c>
      <c r="Z119" s="19">
        <f>Fund_Industry!$F$6</f>
        <v>1</v>
      </c>
      <c r="AA119" s="19">
        <f>Fund_Industry!$F$6</f>
        <v>1</v>
      </c>
      <c r="AB119" s="19">
        <f>Fund_Industry!$F$6</f>
        <v>1</v>
      </c>
      <c r="AC119" s="19">
        <f>Fund_Industry!$F$6</f>
        <v>1</v>
      </c>
      <c r="AD119" s="19">
        <f>Fund_Industry!$F$6</f>
        <v>1</v>
      </c>
      <c r="AE119" s="19">
        <f>Fund_Industry!$F$6</f>
        <v>1</v>
      </c>
    </row>
    <row r="120" spans="1:31" x14ac:dyDescent="0.45">
      <c r="A120" s="28" t="s">
        <v>1099</v>
      </c>
      <c r="B120" s="5" t="s">
        <v>77</v>
      </c>
      <c r="C120" s="5" t="s">
        <v>888</v>
      </c>
      <c r="D120" s="5" t="s">
        <v>82</v>
      </c>
      <c r="E120" s="5">
        <v>2</v>
      </c>
      <c r="F120" s="5" t="s">
        <v>79</v>
      </c>
      <c r="G120" s="5" t="s">
        <v>81</v>
      </c>
      <c r="H120" s="5">
        <v>8747</v>
      </c>
      <c r="I120" s="28" t="s">
        <v>1099</v>
      </c>
      <c r="K120" s="19"/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</row>
    <row r="121" spans="1:31" x14ac:dyDescent="0.45">
      <c r="A121" s="28" t="s">
        <v>1100</v>
      </c>
      <c r="B121" s="5" t="s">
        <v>77</v>
      </c>
      <c r="C121" s="5" t="s">
        <v>889</v>
      </c>
      <c r="D121" s="5" t="s">
        <v>82</v>
      </c>
      <c r="E121" s="5">
        <v>2</v>
      </c>
      <c r="F121" s="5" t="s">
        <v>79</v>
      </c>
      <c r="G121" s="5" t="s">
        <v>81</v>
      </c>
      <c r="H121" s="5">
        <v>8748</v>
      </c>
      <c r="I121" s="28" t="s">
        <v>1100</v>
      </c>
      <c r="K121" s="19"/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</row>
    <row r="122" spans="1:31" x14ac:dyDescent="0.45">
      <c r="A122" s="28" t="s">
        <v>1101</v>
      </c>
      <c r="B122" s="5" t="s">
        <v>77</v>
      </c>
      <c r="C122" s="5" t="s">
        <v>890</v>
      </c>
      <c r="D122" s="5" t="s">
        <v>82</v>
      </c>
      <c r="E122" s="5">
        <v>2</v>
      </c>
      <c r="F122" s="5" t="s">
        <v>79</v>
      </c>
      <c r="G122" s="5" t="s">
        <v>81</v>
      </c>
      <c r="H122" s="5">
        <v>8749</v>
      </c>
      <c r="I122" s="28" t="s">
        <v>1101</v>
      </c>
      <c r="K122" s="19"/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</row>
    <row r="123" spans="1:31" x14ac:dyDescent="0.45">
      <c r="A123" s="28" t="s">
        <v>1102</v>
      </c>
      <c r="B123" s="5" t="s">
        <v>77</v>
      </c>
      <c r="C123" s="5" t="s">
        <v>891</v>
      </c>
      <c r="D123" s="5" t="s">
        <v>82</v>
      </c>
      <c r="E123" s="5">
        <v>2</v>
      </c>
      <c r="F123" s="5" t="s">
        <v>79</v>
      </c>
      <c r="G123" s="5" t="s">
        <v>81</v>
      </c>
      <c r="H123" s="5">
        <v>8750</v>
      </c>
      <c r="I123" s="28" t="s">
        <v>1102</v>
      </c>
      <c r="K123" s="19"/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</row>
    <row r="124" spans="1:31" x14ac:dyDescent="0.45">
      <c r="A124" s="28" t="s">
        <v>1412</v>
      </c>
      <c r="B124" s="5" t="s">
        <v>77</v>
      </c>
      <c r="C124" s="5" t="s">
        <v>1413</v>
      </c>
      <c r="D124" s="5" t="s">
        <v>1414</v>
      </c>
      <c r="E124" s="5">
        <v>1</v>
      </c>
      <c r="F124" s="5" t="s">
        <v>1415</v>
      </c>
      <c r="G124" s="5" t="s">
        <v>1416</v>
      </c>
      <c r="H124" s="5">
        <v>2251</v>
      </c>
      <c r="I124" s="28" t="s">
        <v>1412</v>
      </c>
      <c r="K124" s="19"/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</row>
    <row r="125" spans="1:31" x14ac:dyDescent="0.45">
      <c r="A125" s="28" t="s">
        <v>1417</v>
      </c>
      <c r="B125" s="5" t="s">
        <v>77</v>
      </c>
      <c r="C125" s="5" t="s">
        <v>1413</v>
      </c>
      <c r="D125" s="5" t="s">
        <v>1418</v>
      </c>
      <c r="E125" s="5">
        <v>1</v>
      </c>
      <c r="F125" s="5" t="s">
        <v>1415</v>
      </c>
      <c r="G125" s="5" t="s">
        <v>1419</v>
      </c>
      <c r="H125" s="5">
        <v>2252</v>
      </c>
      <c r="I125" s="28" t="s">
        <v>1417</v>
      </c>
      <c r="K125" s="19"/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</row>
    <row r="126" spans="1:31" x14ac:dyDescent="0.45">
      <c r="A126" s="28" t="s">
        <v>1420</v>
      </c>
      <c r="B126" s="5" t="s">
        <v>77</v>
      </c>
      <c r="C126" s="5" t="s">
        <v>1413</v>
      </c>
      <c r="D126" s="5" t="s">
        <v>1414</v>
      </c>
      <c r="E126" s="5">
        <v>2</v>
      </c>
      <c r="F126" s="5" t="s">
        <v>1415</v>
      </c>
      <c r="G126" s="5" t="s">
        <v>1840</v>
      </c>
      <c r="H126" s="5" t="s">
        <v>1841</v>
      </c>
      <c r="I126" s="28" t="s">
        <v>1420</v>
      </c>
      <c r="J126" t="s">
        <v>1726</v>
      </c>
      <c r="K126" s="19"/>
      <c r="L126" s="19">
        <f>INDEX(Scenarios!L:L,MATCH($A126,Scenarios!$G:$G,0))</f>
        <v>0</v>
      </c>
      <c r="M126" s="19">
        <f>INDEX(Scenarios!M:M,MATCH($A126,Scenarios!$G:$G,0))</f>
        <v>0</v>
      </c>
      <c r="N126" s="19">
        <f>INDEX(Scenarios!N:N,MATCH($A126,Scenarios!$G:$G,0))</f>
        <v>0</v>
      </c>
      <c r="O126" s="19">
        <f>INDEX(Scenarios!O:O,MATCH($A126,Scenarios!$G:$G,0))</f>
        <v>0</v>
      </c>
      <c r="P126" s="19">
        <f>INDEX(Scenarios!P:P,MATCH($A126,Scenarios!$G:$G,0))</f>
        <v>0</v>
      </c>
      <c r="Q126" s="19">
        <f>INDEX(Scenarios!Q:Q,MATCH($A126,Scenarios!$G:$G,0))</f>
        <v>12.5</v>
      </c>
      <c r="R126" s="19">
        <f>INDEX(Scenarios!R:R,MATCH($A126,Scenarios!$G:$G,0))</f>
        <v>25</v>
      </c>
      <c r="S126" s="19">
        <f>INDEX(Scenarios!S:S,MATCH($A126,Scenarios!$G:$G,0))</f>
        <v>37.5</v>
      </c>
      <c r="T126" s="19">
        <f>INDEX(Scenarios!T:T,MATCH($A126,Scenarios!$G:$G,0))</f>
        <v>50</v>
      </c>
      <c r="U126" s="19">
        <f>INDEX(Scenarios!U:U,MATCH($A126,Scenarios!$G:$G,0))</f>
        <v>62.5</v>
      </c>
      <c r="V126" s="19">
        <f>INDEX(Scenarios!V:V,MATCH($A126,Scenarios!$G:$G,0))</f>
        <v>75</v>
      </c>
      <c r="W126" s="19">
        <f>INDEX(Scenarios!W:W,MATCH($A126,Scenarios!$G:$G,0))</f>
        <v>87.5</v>
      </c>
      <c r="X126" s="19">
        <f>INDEX(Scenarios!X:X,MATCH($A126,Scenarios!$G:$G,0))</f>
        <v>100</v>
      </c>
      <c r="Y126" s="19">
        <f>INDEX(Scenarios!Y:Y,MATCH($A126,Scenarios!$G:$G,0))</f>
        <v>112.5</v>
      </c>
      <c r="Z126" s="19">
        <f>INDEX(Scenarios!Z:Z,MATCH($A126,Scenarios!$G:$G,0))</f>
        <v>125</v>
      </c>
      <c r="AA126" s="19">
        <f>INDEX(Scenarios!AA:AA,MATCH($A126,Scenarios!$G:$G,0))</f>
        <v>137.5</v>
      </c>
      <c r="AB126" s="19">
        <f>INDEX(Scenarios!AB:AB,MATCH($A126,Scenarios!$G:$G,0))</f>
        <v>150</v>
      </c>
      <c r="AC126" s="19">
        <f>INDEX(Scenarios!AC:AC,MATCH($A126,Scenarios!$G:$G,0))</f>
        <v>162.5</v>
      </c>
      <c r="AD126" s="19">
        <f>INDEX(Scenarios!AD:AD,MATCH($A126,Scenarios!$G:$G,0))</f>
        <v>175</v>
      </c>
      <c r="AE126" s="19">
        <f>INDEX(Scenarios!AE:AE,MATCH($A126,Scenarios!$G:$G,0))</f>
        <v>187.5</v>
      </c>
    </row>
    <row r="127" spans="1:31" x14ac:dyDescent="0.45">
      <c r="A127" s="28" t="s">
        <v>1421</v>
      </c>
      <c r="B127" s="5" t="s">
        <v>77</v>
      </c>
      <c r="C127" s="5" t="s">
        <v>1413</v>
      </c>
      <c r="D127" s="5" t="s">
        <v>1418</v>
      </c>
      <c r="E127" s="5">
        <v>2</v>
      </c>
      <c r="F127" s="5" t="s">
        <v>1415</v>
      </c>
      <c r="G127" s="5" t="s">
        <v>1842</v>
      </c>
      <c r="H127" s="5" t="s">
        <v>1843</v>
      </c>
      <c r="I127" s="28" t="s">
        <v>1421</v>
      </c>
      <c r="J127" t="s">
        <v>1726</v>
      </c>
      <c r="K127" s="19"/>
      <c r="L127" s="19">
        <f>INDEX(Scenarios!L:L,MATCH($A127,Scenarios!$G:$G,0))</f>
        <v>0</v>
      </c>
      <c r="M127" s="19">
        <f>INDEX(Scenarios!M:M,MATCH($A127,Scenarios!$G:$G,0))</f>
        <v>0</v>
      </c>
      <c r="N127" s="19">
        <f>INDEX(Scenarios!N:N,MATCH($A127,Scenarios!$G:$G,0))</f>
        <v>0</v>
      </c>
      <c r="O127" s="19">
        <f>INDEX(Scenarios!O:O,MATCH($A127,Scenarios!$G:$G,0))</f>
        <v>0</v>
      </c>
      <c r="P127" s="19">
        <f>INDEX(Scenarios!P:P,MATCH($A127,Scenarios!$G:$G,0))</f>
        <v>0</v>
      </c>
      <c r="Q127" s="19">
        <f>INDEX(Scenarios!Q:Q,MATCH($A127,Scenarios!$G:$G,0))</f>
        <v>0</v>
      </c>
      <c r="R127" s="19">
        <f>INDEX(Scenarios!R:R,MATCH($A127,Scenarios!$G:$G,0))</f>
        <v>0</v>
      </c>
      <c r="S127" s="19">
        <f>INDEX(Scenarios!S:S,MATCH($A127,Scenarios!$G:$G,0))</f>
        <v>0</v>
      </c>
      <c r="T127" s="19">
        <f>INDEX(Scenarios!T:T,MATCH($A127,Scenarios!$G:$G,0))</f>
        <v>0</v>
      </c>
      <c r="U127" s="19">
        <f>INDEX(Scenarios!U:U,MATCH($A127,Scenarios!$G:$G,0))</f>
        <v>0</v>
      </c>
      <c r="V127" s="19">
        <f>INDEX(Scenarios!V:V,MATCH($A127,Scenarios!$G:$G,0))</f>
        <v>0</v>
      </c>
      <c r="W127" s="19">
        <f>INDEX(Scenarios!W:W,MATCH($A127,Scenarios!$G:$G,0))</f>
        <v>0</v>
      </c>
      <c r="X127" s="19">
        <f>INDEX(Scenarios!X:X,MATCH($A127,Scenarios!$G:$G,0))</f>
        <v>0</v>
      </c>
      <c r="Y127" s="19">
        <f>INDEX(Scenarios!Y:Y,MATCH($A127,Scenarios!$G:$G,0))</f>
        <v>0</v>
      </c>
      <c r="Z127" s="19">
        <f>INDEX(Scenarios!Z:Z,MATCH($A127,Scenarios!$G:$G,0))</f>
        <v>0</v>
      </c>
      <c r="AA127" s="19">
        <f>INDEX(Scenarios!AA:AA,MATCH($A127,Scenarios!$G:$G,0))</f>
        <v>0</v>
      </c>
      <c r="AB127" s="19">
        <f>INDEX(Scenarios!AB:AB,MATCH($A127,Scenarios!$G:$G,0))</f>
        <v>0</v>
      </c>
      <c r="AC127" s="19">
        <f>INDEX(Scenarios!AC:AC,MATCH($A127,Scenarios!$G:$G,0))</f>
        <v>0</v>
      </c>
      <c r="AD127" s="19">
        <f>INDEX(Scenarios!AD:AD,MATCH($A127,Scenarios!$G:$G,0))</f>
        <v>0</v>
      </c>
      <c r="AE127" s="19">
        <f>INDEX(Scenarios!AE:AE,MATCH($A127,Scenarios!$G:$G,0))</f>
        <v>0</v>
      </c>
    </row>
    <row r="128" spans="1:31" x14ac:dyDescent="0.45">
      <c r="A128" s="28" t="s">
        <v>1854</v>
      </c>
      <c r="B128" s="5" t="s">
        <v>77</v>
      </c>
      <c r="C128" s="5" t="s">
        <v>1413</v>
      </c>
      <c r="D128" s="5" t="s">
        <v>1792</v>
      </c>
      <c r="E128" s="5">
        <v>1</v>
      </c>
      <c r="F128" s="5" t="s">
        <v>1415</v>
      </c>
      <c r="G128" s="5" t="s">
        <v>1793</v>
      </c>
      <c r="H128" s="5" t="s">
        <v>1855</v>
      </c>
      <c r="I128" s="28" t="s">
        <v>1854</v>
      </c>
      <c r="J128" t="s">
        <v>1726</v>
      </c>
      <c r="K128" s="19"/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</row>
    <row r="129" spans="1:31" x14ac:dyDescent="0.45">
      <c r="A129" s="28" t="s">
        <v>1856</v>
      </c>
      <c r="B129" s="5" t="s">
        <v>77</v>
      </c>
      <c r="C129" s="5" t="s">
        <v>1413</v>
      </c>
      <c r="D129" s="5" t="s">
        <v>1795</v>
      </c>
      <c r="E129" s="5">
        <v>1</v>
      </c>
      <c r="F129" s="5" t="s">
        <v>79</v>
      </c>
      <c r="G129" s="5" t="s">
        <v>1796</v>
      </c>
      <c r="H129" s="5" t="s">
        <v>1855</v>
      </c>
      <c r="I129" s="28" t="s">
        <v>1856</v>
      </c>
      <c r="J129" t="s">
        <v>1726</v>
      </c>
      <c r="K129" s="19"/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</row>
    <row r="130" spans="1:31" x14ac:dyDescent="0.45">
      <c r="A130" s="28" t="s">
        <v>1857</v>
      </c>
      <c r="B130" s="5" t="s">
        <v>77</v>
      </c>
      <c r="C130" s="5" t="s">
        <v>1413</v>
      </c>
      <c r="D130" s="5" t="s">
        <v>1799</v>
      </c>
      <c r="E130" s="5">
        <v>1</v>
      </c>
      <c r="F130" s="5" t="s">
        <v>79</v>
      </c>
      <c r="G130" s="5" t="s">
        <v>1800</v>
      </c>
      <c r="H130" s="5" t="s">
        <v>1855</v>
      </c>
      <c r="I130" s="28" t="s">
        <v>1857</v>
      </c>
      <c r="J130" t="s">
        <v>1726</v>
      </c>
      <c r="K130" s="19"/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</row>
    <row r="131" spans="1:31" x14ac:dyDescent="0.45">
      <c r="A131" s="28" t="s">
        <v>1858</v>
      </c>
      <c r="B131" s="5" t="s">
        <v>77</v>
      </c>
      <c r="C131" s="5" t="s">
        <v>1413</v>
      </c>
      <c r="D131" s="5" t="s">
        <v>1803</v>
      </c>
      <c r="E131" s="5">
        <v>1</v>
      </c>
      <c r="F131" s="5" t="s">
        <v>1415</v>
      </c>
      <c r="G131" s="5" t="s">
        <v>1804</v>
      </c>
      <c r="H131" s="5" t="s">
        <v>1855</v>
      </c>
      <c r="I131" s="28" t="s">
        <v>1858</v>
      </c>
      <c r="J131" t="s">
        <v>1726</v>
      </c>
      <c r="K131" s="19"/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</row>
    <row r="132" spans="1:31" x14ac:dyDescent="0.45">
      <c r="A132" s="28" t="s">
        <v>1859</v>
      </c>
      <c r="B132" s="5" t="s">
        <v>77</v>
      </c>
      <c r="C132" s="5" t="s">
        <v>1413</v>
      </c>
      <c r="D132" s="5" t="s">
        <v>1806</v>
      </c>
      <c r="E132" s="5">
        <v>1</v>
      </c>
      <c r="F132" s="5" t="s">
        <v>79</v>
      </c>
      <c r="G132" s="5" t="s">
        <v>1807</v>
      </c>
      <c r="H132" s="5" t="s">
        <v>1855</v>
      </c>
      <c r="I132" s="28" t="s">
        <v>1859</v>
      </c>
      <c r="J132" t="s">
        <v>1726</v>
      </c>
      <c r="K132" s="19"/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</row>
    <row r="133" spans="1:31" x14ac:dyDescent="0.45">
      <c r="A133" s="28" t="s">
        <v>1860</v>
      </c>
      <c r="B133" s="5" t="s">
        <v>77</v>
      </c>
      <c r="C133" s="5" t="s">
        <v>1413</v>
      </c>
      <c r="D133" s="5" t="s">
        <v>1810</v>
      </c>
      <c r="E133" s="5">
        <v>1</v>
      </c>
      <c r="F133" s="5" t="s">
        <v>1415</v>
      </c>
      <c r="G133" s="5" t="s">
        <v>1811</v>
      </c>
      <c r="H133" s="5" t="s">
        <v>1855</v>
      </c>
      <c r="I133" s="28" t="s">
        <v>1860</v>
      </c>
      <c r="J133" t="s">
        <v>1726</v>
      </c>
      <c r="K133" s="19"/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</row>
    <row r="134" spans="1:31" x14ac:dyDescent="0.45">
      <c r="A134" s="28" t="s">
        <v>1794</v>
      </c>
      <c r="B134" s="5" t="s">
        <v>77</v>
      </c>
      <c r="C134" s="5" t="s">
        <v>1413</v>
      </c>
      <c r="D134" s="5" t="s">
        <v>1792</v>
      </c>
      <c r="E134" s="5">
        <v>2</v>
      </c>
      <c r="F134" s="5" t="s">
        <v>1415</v>
      </c>
      <c r="G134" s="5" t="s">
        <v>1793</v>
      </c>
      <c r="H134" s="5" t="s">
        <v>1789</v>
      </c>
      <c r="I134" s="28" t="s">
        <v>1794</v>
      </c>
      <c r="J134" t="s">
        <v>1726</v>
      </c>
      <c r="K134" s="19"/>
      <c r="L134" s="19">
        <f>INDEX(Scenarios!L:L,MATCH($A134,Scenarios!$G:$G,0))</f>
        <v>0</v>
      </c>
      <c r="M134" s="19">
        <f>INDEX(Scenarios!M:M,MATCH($A134,Scenarios!$G:$G,0))</f>
        <v>0</v>
      </c>
      <c r="N134" s="19">
        <f>INDEX(Scenarios!N:N,MATCH($A134,Scenarios!$G:$G,0))</f>
        <v>0</v>
      </c>
      <c r="O134" s="19">
        <f>INDEX(Scenarios!O:O,MATCH($A134,Scenarios!$G:$G,0))</f>
        <v>0</v>
      </c>
      <c r="P134" s="19">
        <f>INDEX(Scenarios!P:P,MATCH($A134,Scenarios!$G:$G,0))</f>
        <v>0</v>
      </c>
      <c r="Q134" s="19">
        <f>INDEX(Scenarios!Q:Q,MATCH($A134,Scenarios!$G:$G,0))</f>
        <v>0</v>
      </c>
      <c r="R134" s="19">
        <f>INDEX(Scenarios!R:R,MATCH($A134,Scenarios!$G:$G,0))</f>
        <v>0</v>
      </c>
      <c r="S134" s="19">
        <f>INDEX(Scenarios!S:S,MATCH($A134,Scenarios!$G:$G,0))</f>
        <v>0</v>
      </c>
      <c r="T134" s="19">
        <f>INDEX(Scenarios!T:T,MATCH($A134,Scenarios!$G:$G,0))</f>
        <v>0</v>
      </c>
      <c r="U134" s="19">
        <f>INDEX(Scenarios!U:U,MATCH($A134,Scenarios!$G:$G,0))</f>
        <v>0</v>
      </c>
      <c r="V134" s="19">
        <f>INDEX(Scenarios!V:V,MATCH($A134,Scenarios!$G:$G,0))</f>
        <v>0</v>
      </c>
      <c r="W134" s="19">
        <f>INDEX(Scenarios!W:W,MATCH($A134,Scenarios!$G:$G,0))</f>
        <v>0</v>
      </c>
      <c r="X134" s="19">
        <f>INDEX(Scenarios!X:X,MATCH($A134,Scenarios!$G:$G,0))</f>
        <v>0</v>
      </c>
      <c r="Y134" s="19">
        <f>INDEX(Scenarios!Y:Y,MATCH($A134,Scenarios!$G:$G,0))</f>
        <v>0</v>
      </c>
      <c r="Z134" s="19">
        <f>INDEX(Scenarios!Z:Z,MATCH($A134,Scenarios!$G:$G,0))</f>
        <v>0</v>
      </c>
      <c r="AA134" s="19">
        <f>INDEX(Scenarios!AA:AA,MATCH($A134,Scenarios!$G:$G,0))</f>
        <v>0</v>
      </c>
      <c r="AB134" s="19">
        <f>INDEX(Scenarios!AB:AB,MATCH($A134,Scenarios!$G:$G,0))</f>
        <v>0</v>
      </c>
      <c r="AC134" s="19">
        <f>INDEX(Scenarios!AC:AC,MATCH($A134,Scenarios!$G:$G,0))</f>
        <v>0</v>
      </c>
      <c r="AD134" s="19">
        <f>INDEX(Scenarios!AD:AD,MATCH($A134,Scenarios!$G:$G,0))</f>
        <v>0</v>
      </c>
      <c r="AE134" s="19">
        <f>INDEX(Scenarios!AE:AE,MATCH($A134,Scenarios!$G:$G,0))</f>
        <v>0</v>
      </c>
    </row>
    <row r="135" spans="1:31" x14ac:dyDescent="0.45">
      <c r="A135" s="28" t="s">
        <v>1797</v>
      </c>
      <c r="B135" s="5" t="s">
        <v>77</v>
      </c>
      <c r="C135" s="5" t="s">
        <v>1413</v>
      </c>
      <c r="D135" s="5" t="s">
        <v>1795</v>
      </c>
      <c r="E135" s="5">
        <v>2</v>
      </c>
      <c r="F135" s="5" t="s">
        <v>79</v>
      </c>
      <c r="G135" s="5" t="s">
        <v>1796</v>
      </c>
      <c r="H135" s="5" t="s">
        <v>1789</v>
      </c>
      <c r="I135" s="28" t="s">
        <v>1797</v>
      </c>
      <c r="J135" t="s">
        <v>1726</v>
      </c>
      <c r="K135" s="19"/>
      <c r="L135" s="19">
        <f>INDEX(Scenarios!L:L,MATCH($A135,Scenarios!$G:$G,0))</f>
        <v>1</v>
      </c>
      <c r="M135" s="19">
        <f>INDEX(Scenarios!M:M,MATCH($A135,Scenarios!$G:$G,0))</f>
        <v>1</v>
      </c>
      <c r="N135" s="19">
        <f>INDEX(Scenarios!N:N,MATCH($A135,Scenarios!$G:$G,0))</f>
        <v>1</v>
      </c>
      <c r="O135" s="19">
        <f>INDEX(Scenarios!O:O,MATCH($A135,Scenarios!$G:$G,0))</f>
        <v>1</v>
      </c>
      <c r="P135" s="19">
        <f>INDEX(Scenarios!P:P,MATCH($A135,Scenarios!$G:$G,0))</f>
        <v>1</v>
      </c>
      <c r="Q135" s="19">
        <f>INDEX(Scenarios!Q:Q,MATCH($A135,Scenarios!$G:$G,0))</f>
        <v>1</v>
      </c>
      <c r="R135" s="19">
        <f>INDEX(Scenarios!R:R,MATCH($A135,Scenarios!$G:$G,0))</f>
        <v>1</v>
      </c>
      <c r="S135" s="19">
        <f>INDEX(Scenarios!S:S,MATCH($A135,Scenarios!$G:$G,0))</f>
        <v>1</v>
      </c>
      <c r="T135" s="19">
        <f>INDEX(Scenarios!T:T,MATCH($A135,Scenarios!$G:$G,0))</f>
        <v>1</v>
      </c>
      <c r="U135" s="19">
        <f>INDEX(Scenarios!U:U,MATCH($A135,Scenarios!$G:$G,0))</f>
        <v>1</v>
      </c>
      <c r="V135" s="19">
        <f>INDEX(Scenarios!V:V,MATCH($A135,Scenarios!$G:$G,0))</f>
        <v>1</v>
      </c>
      <c r="W135" s="19">
        <f>INDEX(Scenarios!W:W,MATCH($A135,Scenarios!$G:$G,0))</f>
        <v>1</v>
      </c>
      <c r="X135" s="19">
        <f>INDEX(Scenarios!X:X,MATCH($A135,Scenarios!$G:$G,0))</f>
        <v>1</v>
      </c>
      <c r="Y135" s="19">
        <f>INDEX(Scenarios!Y:Y,MATCH($A135,Scenarios!$G:$G,0))</f>
        <v>1</v>
      </c>
      <c r="Z135" s="19">
        <f>INDEX(Scenarios!Z:Z,MATCH($A135,Scenarios!$G:$G,0))</f>
        <v>1</v>
      </c>
      <c r="AA135" s="19">
        <f>INDEX(Scenarios!AA:AA,MATCH($A135,Scenarios!$G:$G,0))</f>
        <v>1</v>
      </c>
      <c r="AB135" s="19">
        <f>INDEX(Scenarios!AB:AB,MATCH($A135,Scenarios!$G:$G,0))</f>
        <v>1</v>
      </c>
      <c r="AC135" s="19">
        <f>INDEX(Scenarios!AC:AC,MATCH($A135,Scenarios!$G:$G,0))</f>
        <v>1</v>
      </c>
      <c r="AD135" s="19">
        <f>INDEX(Scenarios!AD:AD,MATCH($A135,Scenarios!$G:$G,0))</f>
        <v>1</v>
      </c>
      <c r="AE135" s="19">
        <f>INDEX(Scenarios!AE:AE,MATCH($A135,Scenarios!$G:$G,0))</f>
        <v>1</v>
      </c>
    </row>
    <row r="136" spans="1:31" x14ac:dyDescent="0.45">
      <c r="A136" s="28" t="s">
        <v>1802</v>
      </c>
      <c r="B136" s="5" t="s">
        <v>77</v>
      </c>
      <c r="C136" s="5" t="s">
        <v>1413</v>
      </c>
      <c r="D136" s="5" t="s">
        <v>1799</v>
      </c>
      <c r="E136" s="5">
        <v>2</v>
      </c>
      <c r="F136" s="5" t="s">
        <v>79</v>
      </c>
      <c r="G136" s="5" t="s">
        <v>1800</v>
      </c>
      <c r="H136" s="5" t="s">
        <v>1789</v>
      </c>
      <c r="I136" s="28" t="s">
        <v>1802</v>
      </c>
      <c r="J136" t="s">
        <v>1726</v>
      </c>
      <c r="K136" s="19"/>
      <c r="L136" s="19">
        <f>INDEX(Scenarios!L:L,MATCH($A136,Scenarios!$G:$G,0))</f>
        <v>0</v>
      </c>
      <c r="M136" s="19">
        <f>INDEX(Scenarios!M:M,MATCH($A136,Scenarios!$G:$G,0))</f>
        <v>0</v>
      </c>
      <c r="N136" s="19">
        <f>INDEX(Scenarios!N:N,MATCH($A136,Scenarios!$G:$G,0))</f>
        <v>0</v>
      </c>
      <c r="O136" s="19">
        <f>INDEX(Scenarios!O:O,MATCH($A136,Scenarios!$G:$G,0))</f>
        <v>0</v>
      </c>
      <c r="P136" s="19">
        <f>INDEX(Scenarios!P:P,MATCH($A136,Scenarios!$G:$G,0))</f>
        <v>0</v>
      </c>
      <c r="Q136" s="19">
        <f>INDEX(Scenarios!Q:Q,MATCH($A136,Scenarios!$G:$G,0))</f>
        <v>0</v>
      </c>
      <c r="R136" s="19">
        <f>INDEX(Scenarios!R:R,MATCH($A136,Scenarios!$G:$G,0))</f>
        <v>0</v>
      </c>
      <c r="S136" s="19">
        <f>INDEX(Scenarios!S:S,MATCH($A136,Scenarios!$G:$G,0))</f>
        <v>0</v>
      </c>
      <c r="T136" s="19">
        <f>INDEX(Scenarios!T:T,MATCH($A136,Scenarios!$G:$G,0))</f>
        <v>0</v>
      </c>
      <c r="U136" s="19">
        <f>INDEX(Scenarios!U:U,MATCH($A136,Scenarios!$G:$G,0))</f>
        <v>0</v>
      </c>
      <c r="V136" s="19">
        <f>INDEX(Scenarios!V:V,MATCH($A136,Scenarios!$G:$G,0))</f>
        <v>0</v>
      </c>
      <c r="W136" s="19">
        <f>INDEX(Scenarios!W:W,MATCH($A136,Scenarios!$G:$G,0))</f>
        <v>0</v>
      </c>
      <c r="X136" s="19">
        <f>INDEX(Scenarios!X:X,MATCH($A136,Scenarios!$G:$G,0))</f>
        <v>0</v>
      </c>
      <c r="Y136" s="19">
        <f>INDEX(Scenarios!Y:Y,MATCH($A136,Scenarios!$G:$G,0))</f>
        <v>0</v>
      </c>
      <c r="Z136" s="19">
        <f>INDEX(Scenarios!Z:Z,MATCH($A136,Scenarios!$G:$G,0))</f>
        <v>0</v>
      </c>
      <c r="AA136" s="19">
        <f>INDEX(Scenarios!AA:AA,MATCH($A136,Scenarios!$G:$G,0))</f>
        <v>0</v>
      </c>
      <c r="AB136" s="19">
        <f>INDEX(Scenarios!AB:AB,MATCH($A136,Scenarios!$G:$G,0))</f>
        <v>0</v>
      </c>
      <c r="AC136" s="19">
        <f>INDEX(Scenarios!AC:AC,MATCH($A136,Scenarios!$G:$G,0))</f>
        <v>0</v>
      </c>
      <c r="AD136" s="19">
        <f>INDEX(Scenarios!AD:AD,MATCH($A136,Scenarios!$G:$G,0))</f>
        <v>0</v>
      </c>
      <c r="AE136" s="19">
        <f>INDEX(Scenarios!AE:AE,MATCH($A136,Scenarios!$G:$G,0))</f>
        <v>0</v>
      </c>
    </row>
    <row r="137" spans="1:31" x14ac:dyDescent="0.45">
      <c r="A137" s="28" t="s">
        <v>1805</v>
      </c>
      <c r="B137" s="5" t="s">
        <v>77</v>
      </c>
      <c r="C137" s="5" t="s">
        <v>1413</v>
      </c>
      <c r="D137" s="5" t="s">
        <v>1803</v>
      </c>
      <c r="E137" s="5">
        <v>2</v>
      </c>
      <c r="F137" s="5" t="s">
        <v>1415</v>
      </c>
      <c r="G137" s="5" t="s">
        <v>1804</v>
      </c>
      <c r="H137" s="5" t="s">
        <v>1789</v>
      </c>
      <c r="I137" s="28" t="s">
        <v>1805</v>
      </c>
      <c r="J137" t="s">
        <v>1726</v>
      </c>
      <c r="K137" s="19"/>
      <c r="L137" s="19">
        <f>INDEX(Scenarios!L:L,MATCH($A137,Scenarios!$G:$G,0))</f>
        <v>0</v>
      </c>
      <c r="M137" s="19">
        <f>INDEX(Scenarios!M:M,MATCH($A137,Scenarios!$G:$G,0))</f>
        <v>0</v>
      </c>
      <c r="N137" s="19">
        <f>INDEX(Scenarios!N:N,MATCH($A137,Scenarios!$G:$G,0))</f>
        <v>0</v>
      </c>
      <c r="O137" s="19">
        <f>INDEX(Scenarios!O:O,MATCH($A137,Scenarios!$G:$G,0))</f>
        <v>0</v>
      </c>
      <c r="P137" s="19">
        <f>INDEX(Scenarios!P:P,MATCH($A137,Scenarios!$G:$G,0))</f>
        <v>0</v>
      </c>
      <c r="Q137" s="19">
        <f>INDEX(Scenarios!Q:Q,MATCH($A137,Scenarios!$G:$G,0))</f>
        <v>0</v>
      </c>
      <c r="R137" s="19">
        <f>INDEX(Scenarios!R:R,MATCH($A137,Scenarios!$G:$G,0))</f>
        <v>0</v>
      </c>
      <c r="S137" s="19">
        <f>INDEX(Scenarios!S:S,MATCH($A137,Scenarios!$G:$G,0))</f>
        <v>0</v>
      </c>
      <c r="T137" s="19">
        <f>INDEX(Scenarios!T:T,MATCH($A137,Scenarios!$G:$G,0))</f>
        <v>0</v>
      </c>
      <c r="U137" s="19">
        <f>INDEX(Scenarios!U:U,MATCH($A137,Scenarios!$G:$G,0))</f>
        <v>0</v>
      </c>
      <c r="V137" s="19">
        <f>INDEX(Scenarios!V:V,MATCH($A137,Scenarios!$G:$G,0))</f>
        <v>0</v>
      </c>
      <c r="W137" s="19">
        <f>INDEX(Scenarios!W:W,MATCH($A137,Scenarios!$G:$G,0))</f>
        <v>0</v>
      </c>
      <c r="X137" s="19">
        <f>INDEX(Scenarios!X:X,MATCH($A137,Scenarios!$G:$G,0))</f>
        <v>0</v>
      </c>
      <c r="Y137" s="19">
        <f>INDEX(Scenarios!Y:Y,MATCH($A137,Scenarios!$G:$G,0))</f>
        <v>0</v>
      </c>
      <c r="Z137" s="19">
        <f>INDEX(Scenarios!Z:Z,MATCH($A137,Scenarios!$G:$G,0))</f>
        <v>0</v>
      </c>
      <c r="AA137" s="19">
        <f>INDEX(Scenarios!AA:AA,MATCH($A137,Scenarios!$G:$G,0))</f>
        <v>0</v>
      </c>
      <c r="AB137" s="19">
        <f>INDEX(Scenarios!AB:AB,MATCH($A137,Scenarios!$G:$G,0))</f>
        <v>0</v>
      </c>
      <c r="AC137" s="19">
        <f>INDEX(Scenarios!AC:AC,MATCH($A137,Scenarios!$G:$G,0))</f>
        <v>0</v>
      </c>
      <c r="AD137" s="19">
        <f>INDEX(Scenarios!AD:AD,MATCH($A137,Scenarios!$G:$G,0))</f>
        <v>0</v>
      </c>
      <c r="AE137" s="19">
        <f>INDEX(Scenarios!AE:AE,MATCH($A137,Scenarios!$G:$G,0))</f>
        <v>0</v>
      </c>
    </row>
    <row r="138" spans="1:31" x14ac:dyDescent="0.45">
      <c r="A138" s="28" t="s">
        <v>1809</v>
      </c>
      <c r="B138" s="5" t="s">
        <v>77</v>
      </c>
      <c r="C138" s="5" t="s">
        <v>1413</v>
      </c>
      <c r="D138" s="5" t="s">
        <v>1806</v>
      </c>
      <c r="E138" s="5">
        <v>2</v>
      </c>
      <c r="F138" s="5" t="s">
        <v>79</v>
      </c>
      <c r="G138" s="5" t="s">
        <v>1807</v>
      </c>
      <c r="H138" s="5" t="s">
        <v>1789</v>
      </c>
      <c r="I138" s="28" t="s">
        <v>1809</v>
      </c>
      <c r="J138" t="s">
        <v>1726</v>
      </c>
      <c r="K138" s="19"/>
      <c r="L138" s="19">
        <f>INDEX(Scenarios!L:L,MATCH($A138,Scenarios!$G:$G,0))</f>
        <v>0</v>
      </c>
      <c r="M138" s="19">
        <f>INDEX(Scenarios!M:M,MATCH($A138,Scenarios!$G:$G,0))</f>
        <v>0</v>
      </c>
      <c r="N138" s="19">
        <f>INDEX(Scenarios!N:N,MATCH($A138,Scenarios!$G:$G,0))</f>
        <v>0</v>
      </c>
      <c r="O138" s="19">
        <f>INDEX(Scenarios!O:O,MATCH($A138,Scenarios!$G:$G,0))</f>
        <v>0</v>
      </c>
      <c r="P138" s="19">
        <f>INDEX(Scenarios!P:P,MATCH($A138,Scenarios!$G:$G,0))</f>
        <v>0</v>
      </c>
      <c r="Q138" s="19">
        <f>INDEX(Scenarios!Q:Q,MATCH($A138,Scenarios!$G:$G,0))</f>
        <v>0</v>
      </c>
      <c r="R138" s="19">
        <f>INDEX(Scenarios!R:R,MATCH($A138,Scenarios!$G:$G,0))</f>
        <v>0</v>
      </c>
      <c r="S138" s="19">
        <f>INDEX(Scenarios!S:S,MATCH($A138,Scenarios!$G:$G,0))</f>
        <v>0</v>
      </c>
      <c r="T138" s="19">
        <f>INDEX(Scenarios!T:T,MATCH($A138,Scenarios!$G:$G,0))</f>
        <v>0</v>
      </c>
      <c r="U138" s="19">
        <f>INDEX(Scenarios!U:U,MATCH($A138,Scenarios!$G:$G,0))</f>
        <v>0</v>
      </c>
      <c r="V138" s="19">
        <f>INDEX(Scenarios!V:V,MATCH($A138,Scenarios!$G:$G,0))</f>
        <v>0</v>
      </c>
      <c r="W138" s="19">
        <f>INDEX(Scenarios!W:W,MATCH($A138,Scenarios!$G:$G,0))</f>
        <v>0</v>
      </c>
      <c r="X138" s="19">
        <f>INDEX(Scenarios!X:X,MATCH($A138,Scenarios!$G:$G,0))</f>
        <v>0</v>
      </c>
      <c r="Y138" s="19">
        <f>INDEX(Scenarios!Y:Y,MATCH($A138,Scenarios!$G:$G,0))</f>
        <v>0</v>
      </c>
      <c r="Z138" s="19">
        <f>INDEX(Scenarios!Z:Z,MATCH($A138,Scenarios!$G:$G,0))</f>
        <v>0</v>
      </c>
      <c r="AA138" s="19">
        <f>INDEX(Scenarios!AA:AA,MATCH($A138,Scenarios!$G:$G,0))</f>
        <v>0</v>
      </c>
      <c r="AB138" s="19">
        <f>INDEX(Scenarios!AB:AB,MATCH($A138,Scenarios!$G:$G,0))</f>
        <v>0</v>
      </c>
      <c r="AC138" s="19">
        <f>INDEX(Scenarios!AC:AC,MATCH($A138,Scenarios!$G:$G,0))</f>
        <v>0</v>
      </c>
      <c r="AD138" s="19">
        <f>INDEX(Scenarios!AD:AD,MATCH($A138,Scenarios!$G:$G,0))</f>
        <v>0</v>
      </c>
      <c r="AE138" s="19">
        <f>INDEX(Scenarios!AE:AE,MATCH($A138,Scenarios!$G:$G,0))</f>
        <v>0</v>
      </c>
    </row>
    <row r="139" spans="1:31" x14ac:dyDescent="0.45">
      <c r="A139" s="28" t="s">
        <v>1813</v>
      </c>
      <c r="B139" s="5" t="s">
        <v>77</v>
      </c>
      <c r="C139" s="5" t="s">
        <v>1413</v>
      </c>
      <c r="D139" s="5" t="s">
        <v>1810</v>
      </c>
      <c r="E139" s="5">
        <v>2</v>
      </c>
      <c r="F139" s="5" t="s">
        <v>1415</v>
      </c>
      <c r="G139" s="5" t="s">
        <v>1811</v>
      </c>
      <c r="H139" s="5" t="s">
        <v>1789</v>
      </c>
      <c r="I139" s="28" t="s">
        <v>1813</v>
      </c>
      <c r="J139" t="s">
        <v>1726</v>
      </c>
      <c r="K139" s="19"/>
      <c r="L139" s="19">
        <f>INDEX(Scenarios!L:L,MATCH($A139,Scenarios!$G:$G,0))</f>
        <v>0</v>
      </c>
      <c r="M139" s="19">
        <f>INDEX(Scenarios!M:M,MATCH($A139,Scenarios!$G:$G,0))</f>
        <v>0</v>
      </c>
      <c r="N139" s="19">
        <f>INDEX(Scenarios!N:N,MATCH($A139,Scenarios!$G:$G,0))</f>
        <v>0</v>
      </c>
      <c r="O139" s="19">
        <f>INDEX(Scenarios!O:O,MATCH($A139,Scenarios!$G:$G,0))</f>
        <v>0</v>
      </c>
      <c r="P139" s="19">
        <f>INDEX(Scenarios!P:P,MATCH($A139,Scenarios!$G:$G,0))</f>
        <v>0</v>
      </c>
      <c r="Q139" s="19">
        <f>INDEX(Scenarios!Q:Q,MATCH($A139,Scenarios!$G:$G,0))</f>
        <v>0</v>
      </c>
      <c r="R139" s="19">
        <f>INDEX(Scenarios!R:R,MATCH($A139,Scenarios!$G:$G,0))</f>
        <v>0</v>
      </c>
      <c r="S139" s="19">
        <f>INDEX(Scenarios!S:S,MATCH($A139,Scenarios!$G:$G,0))</f>
        <v>0</v>
      </c>
      <c r="T139" s="19">
        <f>INDEX(Scenarios!T:T,MATCH($A139,Scenarios!$G:$G,0))</f>
        <v>0</v>
      </c>
      <c r="U139" s="19">
        <f>INDEX(Scenarios!U:U,MATCH($A139,Scenarios!$G:$G,0))</f>
        <v>0</v>
      </c>
      <c r="V139" s="19">
        <f>INDEX(Scenarios!V:V,MATCH($A139,Scenarios!$G:$G,0))</f>
        <v>0</v>
      </c>
      <c r="W139" s="19">
        <f>INDEX(Scenarios!W:W,MATCH($A139,Scenarios!$G:$G,0))</f>
        <v>0</v>
      </c>
      <c r="X139" s="19">
        <f>INDEX(Scenarios!X:X,MATCH($A139,Scenarios!$G:$G,0))</f>
        <v>0</v>
      </c>
      <c r="Y139" s="19">
        <f>INDEX(Scenarios!Y:Y,MATCH($A139,Scenarios!$G:$G,0))</f>
        <v>0</v>
      </c>
      <c r="Z139" s="19">
        <f>INDEX(Scenarios!Z:Z,MATCH($A139,Scenarios!$G:$G,0))</f>
        <v>0</v>
      </c>
      <c r="AA139" s="19">
        <f>INDEX(Scenarios!AA:AA,MATCH($A139,Scenarios!$G:$G,0))</f>
        <v>0</v>
      </c>
      <c r="AB139" s="19">
        <f>INDEX(Scenarios!AB:AB,MATCH($A139,Scenarios!$G:$G,0))</f>
        <v>0</v>
      </c>
      <c r="AC139" s="19">
        <f>INDEX(Scenarios!AC:AC,MATCH($A139,Scenarios!$G:$G,0))</f>
        <v>0</v>
      </c>
      <c r="AD139" s="19">
        <f>INDEX(Scenarios!AD:AD,MATCH($A139,Scenarios!$G:$G,0))</f>
        <v>0</v>
      </c>
      <c r="AE139" s="19">
        <f>INDEX(Scenarios!AE:AE,MATCH($A139,Scenarios!$G:$G,0))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1" width="26" customWidth="1"/>
    <col min="4" max="4" width="60" customWidth="1"/>
  </cols>
  <sheetData>
    <row r="1" spans="1:35" x14ac:dyDescent="0.45">
      <c r="A1" s="50" t="s">
        <v>929</v>
      </c>
      <c r="B1" s="50" t="s">
        <v>931</v>
      </c>
      <c r="C1" s="50" t="s">
        <v>47</v>
      </c>
      <c r="D1" s="50" t="s">
        <v>34</v>
      </c>
      <c r="E1" s="50" t="s">
        <v>932</v>
      </c>
      <c r="F1" s="50"/>
      <c r="G1" s="50"/>
      <c r="H1" s="50"/>
      <c r="I1" s="50"/>
      <c r="J1" s="50"/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1103</v>
      </c>
      <c r="B2" s="5" t="s">
        <v>85</v>
      </c>
      <c r="C2" s="5">
        <v>1</v>
      </c>
      <c r="D2" s="5" t="s">
        <v>83</v>
      </c>
      <c r="E2" s="5">
        <v>2446</v>
      </c>
      <c r="K2" s="20"/>
      <c r="L2" s="20">
        <v>6.6513450000000002E-2</v>
      </c>
      <c r="M2" s="20">
        <v>3.760281E-2</v>
      </c>
      <c r="N2" s="20">
        <v>2.3988010000000001E-2</v>
      </c>
      <c r="O2" s="20">
        <v>4.3923869999999997E-2</v>
      </c>
      <c r="P2" s="20">
        <v>4.239706E-2</v>
      </c>
      <c r="Q2" s="20">
        <v>4.8292179999999997E-2</v>
      </c>
      <c r="R2" s="20">
        <v>5.5353159999999998E-2</v>
      </c>
      <c r="S2" s="20">
        <v>5.2266060000000003E-2</v>
      </c>
      <c r="T2" s="20">
        <v>4.841877E-2</v>
      </c>
      <c r="U2" s="20">
        <v>4.7887359999999997E-2</v>
      </c>
      <c r="V2" s="20">
        <v>4.7355950000000001E-2</v>
      </c>
      <c r="W2" s="20">
        <v>4.6824539999999998E-2</v>
      </c>
      <c r="X2" s="20">
        <v>4.6293130000000002E-2</v>
      </c>
      <c r="Y2" s="20">
        <v>4.5761719999999999E-2</v>
      </c>
      <c r="Z2" s="20">
        <v>4.5230310000000003E-2</v>
      </c>
      <c r="AA2" s="20">
        <v>4.46989E-2</v>
      </c>
      <c r="AB2" s="20">
        <v>4.4167489999999997E-2</v>
      </c>
      <c r="AC2" s="20">
        <v>4.3636080000000001E-2</v>
      </c>
      <c r="AD2" s="20">
        <v>4.3104669999999998E-2</v>
      </c>
      <c r="AE2" s="20">
        <v>4.2573260000000002E-2</v>
      </c>
    </row>
    <row r="3" spans="1:35" x14ac:dyDescent="0.45">
      <c r="A3" s="28" t="s">
        <v>1104</v>
      </c>
      <c r="B3" s="5" t="s">
        <v>88</v>
      </c>
      <c r="C3" s="5">
        <v>1</v>
      </c>
      <c r="D3" s="5" t="s">
        <v>1105</v>
      </c>
      <c r="E3" s="5">
        <v>2433</v>
      </c>
      <c r="K3" s="19"/>
      <c r="L3" s="19">
        <v>1.02715172471961</v>
      </c>
      <c r="M3" s="19">
        <v>1.02715172471961</v>
      </c>
      <c r="N3" s="19">
        <v>1.0205698358851201</v>
      </c>
      <c r="O3" s="19">
        <v>1.01733442885234</v>
      </c>
      <c r="P3" s="19">
        <v>1.00766833225382</v>
      </c>
      <c r="Q3" s="19">
        <v>1.0007442871755301</v>
      </c>
      <c r="R3" s="19">
        <v>0.99188648901185805</v>
      </c>
      <c r="S3" s="19">
        <v>0.98065540330043</v>
      </c>
      <c r="T3" s="19">
        <v>0.97020940399244304</v>
      </c>
      <c r="U3" s="19">
        <v>0.96419265907710505</v>
      </c>
      <c r="V3" s="19">
        <v>0.961612871227152</v>
      </c>
      <c r="W3" s="19">
        <v>0.95919844785404995</v>
      </c>
      <c r="X3" s="19">
        <v>0.95695125444519602</v>
      </c>
      <c r="Y3" s="19">
        <v>0.95487297859577702</v>
      </c>
      <c r="Z3" s="19">
        <v>0.95296514086144901</v>
      </c>
      <c r="AA3" s="19">
        <v>0.95122910490338497</v>
      </c>
      <c r="AB3" s="19">
        <v>0.94966608689229304</v>
      </c>
      <c r="AC3" s="19">
        <v>0.94827716413797603</v>
      </c>
      <c r="AD3" s="19">
        <v>0.94706328291559205</v>
      </c>
      <c r="AE3" s="19">
        <v>0.94602526545851295</v>
      </c>
    </row>
    <row r="4" spans="1:35" x14ac:dyDescent="0.45">
      <c r="A4" s="28" t="s">
        <v>1106</v>
      </c>
      <c r="B4" s="5" t="s">
        <v>90</v>
      </c>
      <c r="C4" s="5">
        <v>1</v>
      </c>
      <c r="D4" s="5" t="s">
        <v>1107</v>
      </c>
      <c r="E4" s="5">
        <v>2439</v>
      </c>
      <c r="K4" s="19">
        <v>0</v>
      </c>
      <c r="L4" s="19">
        <v>0</v>
      </c>
      <c r="M4" s="19">
        <v>-0.20813308302044201</v>
      </c>
      <c r="N4" s="19">
        <v>9.2371428571428604E-2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</row>
    <row r="5" spans="1:35" x14ac:dyDescent="0.45">
      <c r="A5" s="28" t="s">
        <v>1108</v>
      </c>
      <c r="B5" s="5" t="s">
        <v>85</v>
      </c>
      <c r="C5" s="5">
        <v>2</v>
      </c>
      <c r="D5" s="5" t="s">
        <v>83</v>
      </c>
      <c r="E5" s="5">
        <v>8777</v>
      </c>
      <c r="K5" s="20"/>
      <c r="L5" s="20">
        <v>6.6513450000000002E-2</v>
      </c>
      <c r="M5" s="20">
        <v>3.760281E-2</v>
      </c>
      <c r="N5" s="20">
        <v>2.3988010000000001E-2</v>
      </c>
      <c r="O5" s="20">
        <v>4.3923869999999997E-2</v>
      </c>
      <c r="P5" s="20">
        <v>4.239706E-2</v>
      </c>
      <c r="Q5" s="20">
        <v>4.8298383783007597E-2</v>
      </c>
      <c r="R5" s="20">
        <v>5.55905477124225E-2</v>
      </c>
      <c r="S5" s="20">
        <v>5.2137235389631401E-2</v>
      </c>
      <c r="T5" s="20">
        <v>4.8124907491929901E-2</v>
      </c>
      <c r="U5" s="20">
        <v>4.7208796526521303E-2</v>
      </c>
      <c r="V5" s="20">
        <v>4.66890433006764E-2</v>
      </c>
      <c r="W5" s="20">
        <v>4.6632750147029202E-2</v>
      </c>
      <c r="X5" s="20">
        <v>4.6872723264421497E-2</v>
      </c>
      <c r="Y5" s="20">
        <v>4.7469921753048698E-2</v>
      </c>
      <c r="Z5" s="20">
        <v>4.8590713024029002E-2</v>
      </c>
      <c r="AA5" s="20">
        <v>4.9941182078066401E-2</v>
      </c>
      <c r="AB5" s="20">
        <v>5.13941835424786E-2</v>
      </c>
      <c r="AC5" s="20">
        <v>5.2681763019776701E-2</v>
      </c>
      <c r="AD5" s="20">
        <v>5.3800711336350303E-2</v>
      </c>
      <c r="AE5" s="20">
        <v>5.4789398044337599E-2</v>
      </c>
    </row>
    <row r="6" spans="1:35" x14ac:dyDescent="0.45">
      <c r="A6" s="28" t="s">
        <v>1109</v>
      </c>
      <c r="B6" s="5" t="s">
        <v>88</v>
      </c>
      <c r="C6" s="5">
        <v>2</v>
      </c>
      <c r="D6" s="5" t="s">
        <v>1105</v>
      </c>
      <c r="E6" s="5">
        <v>8764</v>
      </c>
      <c r="K6" s="19"/>
      <c r="L6" s="19">
        <v>1.02715172471961</v>
      </c>
      <c r="M6" s="19">
        <v>1.02715172471961</v>
      </c>
      <c r="N6" s="19">
        <v>1.0205698358851201</v>
      </c>
      <c r="O6" s="19">
        <v>1.01733442885234</v>
      </c>
      <c r="P6" s="19">
        <v>1.00766833225382</v>
      </c>
      <c r="Q6" s="19">
        <v>1.0007442871755301</v>
      </c>
      <c r="R6" s="19">
        <v>0.99188455719464297</v>
      </c>
      <c r="S6" s="19">
        <v>0.98058056507860303</v>
      </c>
      <c r="T6" s="19">
        <v>0.970250789717781</v>
      </c>
      <c r="U6" s="19">
        <v>0.964288208159648</v>
      </c>
      <c r="V6" s="19">
        <v>0.96183439341951105</v>
      </c>
      <c r="W6" s="19">
        <v>0.95941695116164405</v>
      </c>
      <c r="X6" s="19">
        <v>0.95701429252188397</v>
      </c>
      <c r="Y6" s="19">
        <v>0.95468193722552197</v>
      </c>
      <c r="Z6" s="19">
        <v>0.95240071158774597</v>
      </c>
      <c r="AA6" s="19">
        <v>0.95011647499405505</v>
      </c>
      <c r="AB6" s="19">
        <v>0.947927358499145</v>
      </c>
      <c r="AC6" s="19">
        <v>0.94587674776299702</v>
      </c>
      <c r="AD6" s="19">
        <v>0.94405480582839296</v>
      </c>
      <c r="AE6" s="19">
        <v>0.94246391225206505</v>
      </c>
    </row>
    <row r="7" spans="1:35" x14ac:dyDescent="0.45">
      <c r="A7" s="28" t="s">
        <v>1110</v>
      </c>
      <c r="B7" s="5" t="s">
        <v>90</v>
      </c>
      <c r="C7" s="5">
        <v>2</v>
      </c>
      <c r="D7" s="5" t="s">
        <v>1107</v>
      </c>
      <c r="E7" s="5">
        <v>8770</v>
      </c>
      <c r="K7" s="19">
        <v>0</v>
      </c>
      <c r="L7" s="19">
        <v>0</v>
      </c>
      <c r="M7" s="19">
        <v>-0.20813308302044201</v>
      </c>
      <c r="N7" s="19">
        <v>9.2371428571428604E-2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zoomScaleNormal="100" workbookViewId="0"/>
  </sheetViews>
  <sheetFormatPr defaultColWidth="8.6640625" defaultRowHeight="14.25" x14ac:dyDescent="0.45"/>
  <cols>
    <col min="1" max="1" width="14" customWidth="1"/>
    <col min="10" max="10" width="16" customWidth="1"/>
    <col min="11" max="11" width="12" customWidth="1"/>
  </cols>
  <sheetData>
    <row r="1" spans="1:11" x14ac:dyDescent="0.45">
      <c r="A1" s="50" t="s">
        <v>929</v>
      </c>
      <c r="B1" s="50" t="s">
        <v>1111</v>
      </c>
      <c r="C1" s="50" t="s">
        <v>1112</v>
      </c>
      <c r="D1" s="50" t="s">
        <v>230</v>
      </c>
      <c r="E1" s="50" t="s">
        <v>232</v>
      </c>
      <c r="F1" s="50" t="s">
        <v>7</v>
      </c>
      <c r="G1" s="50" t="s">
        <v>1113</v>
      </c>
      <c r="H1" s="50"/>
      <c r="I1" s="50" t="s">
        <v>32</v>
      </c>
      <c r="J1" s="50" t="s">
        <v>1114</v>
      </c>
      <c r="K1" s="50" t="s">
        <v>1115</v>
      </c>
    </row>
    <row r="2" spans="1:11" x14ac:dyDescent="0.45">
      <c r="A2" s="28" t="s">
        <v>1116</v>
      </c>
      <c r="B2" s="5" t="s">
        <v>642</v>
      </c>
      <c r="C2" s="5" t="s">
        <v>49</v>
      </c>
      <c r="D2" s="23">
        <v>0</v>
      </c>
      <c r="E2" s="23">
        <v>0.3</v>
      </c>
      <c r="F2" s="23">
        <v>0.5</v>
      </c>
      <c r="G2" s="23">
        <v>0.7</v>
      </c>
      <c r="I2" s="2" t="s">
        <v>49</v>
      </c>
      <c r="J2" t="s">
        <v>49</v>
      </c>
      <c r="K2" t="s">
        <v>49</v>
      </c>
    </row>
    <row r="3" spans="1:11" x14ac:dyDescent="0.45">
      <c r="A3" s="28" t="s">
        <v>1117</v>
      </c>
      <c r="B3" s="5" t="s">
        <v>642</v>
      </c>
      <c r="C3" s="5" t="s">
        <v>53</v>
      </c>
      <c r="D3" s="23">
        <v>0.5</v>
      </c>
      <c r="E3" s="23">
        <v>0.3</v>
      </c>
      <c r="F3" s="23">
        <v>1</v>
      </c>
      <c r="G3" s="23">
        <v>1</v>
      </c>
      <c r="I3" s="2" t="s">
        <v>53</v>
      </c>
      <c r="J3" t="s">
        <v>53</v>
      </c>
      <c r="K3" t="s">
        <v>53</v>
      </c>
    </row>
    <row r="4" spans="1:11" x14ac:dyDescent="0.45">
      <c r="A4" s="28" t="s">
        <v>1118</v>
      </c>
      <c r="B4" s="5" t="s">
        <v>642</v>
      </c>
      <c r="C4" s="5" t="s">
        <v>55</v>
      </c>
      <c r="D4" s="23">
        <v>0.7</v>
      </c>
      <c r="E4" s="23">
        <v>0.5</v>
      </c>
      <c r="F4" s="23">
        <v>0.5</v>
      </c>
      <c r="G4" s="23">
        <v>0.5</v>
      </c>
      <c r="I4" s="2" t="s">
        <v>55</v>
      </c>
      <c r="J4" t="s">
        <v>55</v>
      </c>
      <c r="K4" t="s">
        <v>1119</v>
      </c>
    </row>
    <row r="5" spans="1:11" x14ac:dyDescent="0.45">
      <c r="A5" s="28" t="s">
        <v>1120</v>
      </c>
      <c r="B5" s="5" t="s">
        <v>642</v>
      </c>
      <c r="C5" s="5" t="s">
        <v>58</v>
      </c>
      <c r="D5" s="23">
        <v>0.6</v>
      </c>
      <c r="E5" s="23">
        <v>0.5</v>
      </c>
      <c r="F5" s="23">
        <v>0.5</v>
      </c>
      <c r="G5" s="23">
        <v>0.5</v>
      </c>
      <c r="I5" s="2" t="s">
        <v>58</v>
      </c>
      <c r="J5" t="s">
        <v>58</v>
      </c>
      <c r="K5" t="s">
        <v>1119</v>
      </c>
    </row>
    <row r="6" spans="1:11" x14ac:dyDescent="0.45">
      <c r="A6" s="28" t="s">
        <v>1121</v>
      </c>
      <c r="B6" s="5" t="s">
        <v>642</v>
      </c>
      <c r="C6" s="5" t="s">
        <v>1119</v>
      </c>
      <c r="D6" s="23">
        <v>0.8</v>
      </c>
      <c r="E6" s="23">
        <v>0.5</v>
      </c>
      <c r="F6" s="23">
        <v>0.8</v>
      </c>
      <c r="G6" s="23">
        <v>1.2</v>
      </c>
      <c r="I6" s="2" t="s">
        <v>60</v>
      </c>
      <c r="J6" t="s">
        <v>1119</v>
      </c>
      <c r="K6" t="s">
        <v>1119</v>
      </c>
    </row>
    <row r="7" spans="1:11" x14ac:dyDescent="0.45">
      <c r="A7" s="28" t="s">
        <v>1122</v>
      </c>
      <c r="B7" s="5" t="s">
        <v>642</v>
      </c>
      <c r="C7" s="5" t="s">
        <v>67</v>
      </c>
      <c r="D7" s="23">
        <v>0</v>
      </c>
      <c r="E7" s="23">
        <v>0.1</v>
      </c>
      <c r="F7" s="23">
        <v>0.1</v>
      </c>
      <c r="G7" s="23">
        <v>0.1</v>
      </c>
      <c r="I7" s="2" t="s">
        <v>62</v>
      </c>
      <c r="J7" t="s">
        <v>1119</v>
      </c>
      <c r="K7" t="s">
        <v>1119</v>
      </c>
    </row>
    <row r="8" spans="1:11" x14ac:dyDescent="0.45">
      <c r="A8" s="28" t="s">
        <v>1123</v>
      </c>
      <c r="B8" s="5" t="s">
        <v>642</v>
      </c>
      <c r="C8" s="5" t="s">
        <v>69</v>
      </c>
      <c r="D8" s="23">
        <v>1</v>
      </c>
      <c r="E8" s="23">
        <v>0.8</v>
      </c>
      <c r="F8" s="23">
        <v>0.8</v>
      </c>
      <c r="G8" s="23">
        <v>1</v>
      </c>
      <c r="I8" s="2" t="s">
        <v>64</v>
      </c>
      <c r="J8" t="s">
        <v>1119</v>
      </c>
      <c r="K8" t="s">
        <v>1119</v>
      </c>
    </row>
    <row r="9" spans="1:11" x14ac:dyDescent="0.45">
      <c r="A9" s="28" t="s">
        <v>1124</v>
      </c>
      <c r="B9" s="5" t="s">
        <v>642</v>
      </c>
      <c r="C9" s="5" t="s">
        <v>1125</v>
      </c>
      <c r="D9" s="23">
        <v>1.2</v>
      </c>
      <c r="E9" s="23">
        <v>0.8</v>
      </c>
      <c r="F9" s="23">
        <v>0.8</v>
      </c>
      <c r="G9" s="23">
        <v>1.1000000000000001</v>
      </c>
      <c r="I9" s="2" t="s">
        <v>67</v>
      </c>
      <c r="J9" t="s">
        <v>67</v>
      </c>
      <c r="K9" t="s">
        <v>67</v>
      </c>
    </row>
    <row r="10" spans="1:11" x14ac:dyDescent="0.45">
      <c r="A10" s="28" t="s">
        <v>1126</v>
      </c>
      <c r="B10" s="5" t="s">
        <v>1127</v>
      </c>
      <c r="C10" s="5" t="s">
        <v>49</v>
      </c>
      <c r="D10" s="23">
        <v>-0.3</v>
      </c>
      <c r="E10" s="23">
        <v>-0.3</v>
      </c>
      <c r="F10" s="23">
        <v>-0.3</v>
      </c>
      <c r="G10" s="23">
        <v>-0.4</v>
      </c>
      <c r="I10" s="2" t="s">
        <v>69</v>
      </c>
      <c r="J10" t="s">
        <v>69</v>
      </c>
      <c r="K10" t="s">
        <v>69</v>
      </c>
    </row>
    <row r="11" spans="1:11" x14ac:dyDescent="0.45">
      <c r="A11" s="28" t="s">
        <v>1128</v>
      </c>
      <c r="B11" s="5" t="s">
        <v>1127</v>
      </c>
      <c r="C11" s="5" t="s">
        <v>53</v>
      </c>
      <c r="D11" s="23">
        <v>-0.5</v>
      </c>
      <c r="E11" s="23">
        <v>-0.4</v>
      </c>
      <c r="F11" s="23">
        <v>-0.5</v>
      </c>
      <c r="G11" s="23">
        <v>-0.6</v>
      </c>
    </row>
    <row r="12" spans="1:11" x14ac:dyDescent="0.45">
      <c r="A12" s="28" t="s">
        <v>1129</v>
      </c>
      <c r="B12" s="5" t="s">
        <v>1127</v>
      </c>
      <c r="C12" s="5" t="s">
        <v>55</v>
      </c>
      <c r="D12" s="23">
        <v>-0.4</v>
      </c>
      <c r="E12" s="23">
        <v>-0.5</v>
      </c>
      <c r="F12" s="23">
        <v>-0.4</v>
      </c>
      <c r="G12" s="23">
        <v>-0.6</v>
      </c>
    </row>
    <row r="13" spans="1:11" x14ac:dyDescent="0.45">
      <c r="A13" s="28" t="s">
        <v>1130</v>
      </c>
      <c r="B13" s="5" t="s">
        <v>1127</v>
      </c>
      <c r="C13" s="5" t="s">
        <v>58</v>
      </c>
      <c r="D13" s="23">
        <v>-0.3</v>
      </c>
      <c r="E13" s="23">
        <v>-0.3</v>
      </c>
      <c r="F13" s="23">
        <v>-0.7</v>
      </c>
      <c r="G13" s="23">
        <v>-0.5</v>
      </c>
    </row>
    <row r="14" spans="1:11" x14ac:dyDescent="0.45">
      <c r="A14" s="28" t="s">
        <v>1131</v>
      </c>
      <c r="B14" s="5" t="s">
        <v>1127</v>
      </c>
      <c r="C14" s="5" t="s">
        <v>1119</v>
      </c>
      <c r="D14" s="23">
        <v>-0.3</v>
      </c>
      <c r="E14" s="23">
        <v>-0.3</v>
      </c>
      <c r="F14" s="23">
        <v>-0.4</v>
      </c>
      <c r="G14" s="23">
        <v>-0.5</v>
      </c>
    </row>
    <row r="15" spans="1:11" x14ac:dyDescent="0.45">
      <c r="A15" s="28" t="s">
        <v>1132</v>
      </c>
      <c r="B15" s="5" t="s">
        <v>1127</v>
      </c>
      <c r="C15" s="5" t="s">
        <v>67</v>
      </c>
      <c r="D15" s="23">
        <v>-0.3</v>
      </c>
      <c r="E15" s="23">
        <v>-0.3</v>
      </c>
      <c r="F15" s="23">
        <v>-0.3</v>
      </c>
      <c r="G15" s="23">
        <v>-0.4</v>
      </c>
    </row>
    <row r="16" spans="1:11" x14ac:dyDescent="0.45">
      <c r="A16" s="28" t="s">
        <v>1133</v>
      </c>
      <c r="B16" s="5" t="s">
        <v>1127</v>
      </c>
      <c r="C16" s="5" t="s">
        <v>69</v>
      </c>
      <c r="D16" s="23">
        <v>-0.5</v>
      </c>
      <c r="E16" s="23">
        <v>-0.5</v>
      </c>
      <c r="F16" s="23">
        <v>-0.5</v>
      </c>
      <c r="G16" s="23">
        <v>-0.7</v>
      </c>
    </row>
    <row r="17" spans="1:7" x14ac:dyDescent="0.45">
      <c r="A17" s="28" t="s">
        <v>1134</v>
      </c>
      <c r="B17" s="5" t="s">
        <v>1127</v>
      </c>
      <c r="C17" s="5" t="s">
        <v>1125</v>
      </c>
      <c r="D17" s="23">
        <v>-0.2</v>
      </c>
      <c r="E17" s="23">
        <v>-0.3</v>
      </c>
      <c r="F17" s="23">
        <v>-0.3</v>
      </c>
      <c r="G17" s="23">
        <v>-0.5</v>
      </c>
    </row>
    <row r="18" spans="1:7" x14ac:dyDescent="0.45">
      <c r="A18" s="28" t="s">
        <v>1135</v>
      </c>
      <c r="B18" s="5" t="s">
        <v>1136</v>
      </c>
      <c r="C18" s="5" t="s">
        <v>49</v>
      </c>
      <c r="D18" s="23">
        <v>-0.4</v>
      </c>
      <c r="E18" s="23">
        <v>-0.4</v>
      </c>
      <c r="F18" s="23">
        <v>-0.4</v>
      </c>
      <c r="G18" s="23">
        <v>-0.6</v>
      </c>
    </row>
    <row r="19" spans="1:7" x14ac:dyDescent="0.45">
      <c r="A19" s="28" t="s">
        <v>1137</v>
      </c>
      <c r="B19" s="5" t="s">
        <v>1136</v>
      </c>
      <c r="C19" s="5" t="s">
        <v>53</v>
      </c>
      <c r="D19" s="23">
        <v>-0.4</v>
      </c>
      <c r="E19" s="23">
        <v>-0.5</v>
      </c>
      <c r="F19" s="23">
        <v>-0.5</v>
      </c>
      <c r="G19" s="23">
        <v>-1</v>
      </c>
    </row>
    <row r="20" spans="1:7" x14ac:dyDescent="0.45">
      <c r="A20" s="28" t="s">
        <v>1138</v>
      </c>
      <c r="B20" s="5" t="s">
        <v>1136</v>
      </c>
      <c r="C20" s="5" t="s">
        <v>55</v>
      </c>
      <c r="D20" s="23">
        <v>-0.4</v>
      </c>
      <c r="E20" s="23">
        <v>-0.6</v>
      </c>
      <c r="F20" s="23">
        <v>-0.7</v>
      </c>
      <c r="G20" s="23">
        <v>-1.1000000000000001</v>
      </c>
    </row>
    <row r="21" spans="1:7" x14ac:dyDescent="0.45">
      <c r="A21" s="28" t="s">
        <v>1139</v>
      </c>
      <c r="B21" s="5" t="s">
        <v>1136</v>
      </c>
      <c r="C21" s="5" t="s">
        <v>58</v>
      </c>
      <c r="D21" s="23">
        <v>-0.3</v>
      </c>
      <c r="E21" s="23">
        <v>-0.3</v>
      </c>
      <c r="F21" s="23">
        <v>-1.2</v>
      </c>
      <c r="G21" s="23">
        <v>-0.4</v>
      </c>
    </row>
    <row r="22" spans="1:7" x14ac:dyDescent="0.45">
      <c r="A22" s="28" t="s">
        <v>1140</v>
      </c>
      <c r="B22" s="5" t="s">
        <v>1136</v>
      </c>
      <c r="C22" s="5" t="s">
        <v>1119</v>
      </c>
      <c r="D22" s="23">
        <v>-0.4</v>
      </c>
      <c r="E22" s="23">
        <v>-0.4</v>
      </c>
      <c r="F22" s="23">
        <v>-0.4</v>
      </c>
      <c r="G22" s="23">
        <v>-0.6</v>
      </c>
    </row>
    <row r="23" spans="1:7" x14ac:dyDescent="0.45">
      <c r="A23" s="28" t="s">
        <v>1141</v>
      </c>
      <c r="B23" s="5" t="s">
        <v>1136</v>
      </c>
      <c r="C23" s="5" t="s">
        <v>67</v>
      </c>
      <c r="D23" s="23">
        <v>-0.2</v>
      </c>
      <c r="E23" s="23">
        <v>-0.2</v>
      </c>
      <c r="F23" s="23">
        <v>-0.2</v>
      </c>
      <c r="G23" s="23">
        <v>-0.3</v>
      </c>
    </row>
    <row r="24" spans="1:7" x14ac:dyDescent="0.45">
      <c r="A24" s="28" t="s">
        <v>1142</v>
      </c>
      <c r="B24" s="5" t="s">
        <v>1136</v>
      </c>
      <c r="C24" s="5" t="s">
        <v>69</v>
      </c>
      <c r="D24" s="23">
        <v>-0.4</v>
      </c>
      <c r="E24" s="23">
        <v>-0.4</v>
      </c>
      <c r="F24" s="23">
        <v>-0.4</v>
      </c>
      <c r="G24" s="23">
        <v>-0.6</v>
      </c>
    </row>
    <row r="25" spans="1:7" x14ac:dyDescent="0.45">
      <c r="A25" s="28" t="s">
        <v>1143</v>
      </c>
      <c r="B25" s="5" t="s">
        <v>1136</v>
      </c>
      <c r="C25" s="5" t="s">
        <v>1125</v>
      </c>
      <c r="D25" s="23">
        <v>-0.2</v>
      </c>
      <c r="E25" s="23">
        <v>-0.2</v>
      </c>
      <c r="F25" s="23">
        <v>-0.2</v>
      </c>
      <c r="G25" s="23">
        <v>-0.4</v>
      </c>
    </row>
    <row r="26" spans="1:7" x14ac:dyDescent="0.45">
      <c r="A26" s="28" t="s">
        <v>1144</v>
      </c>
      <c r="B26" s="5" t="s">
        <v>1145</v>
      </c>
      <c r="C26" s="5" t="s">
        <v>49</v>
      </c>
      <c r="D26" s="23">
        <v>0.01</v>
      </c>
      <c r="E26" s="23">
        <v>5.0000000000000001E-3</v>
      </c>
      <c r="F26" s="23">
        <v>5.0000000000000001E-3</v>
      </c>
      <c r="G26" s="23">
        <v>5.0000000000000001E-3</v>
      </c>
    </row>
    <row r="27" spans="1:7" x14ac:dyDescent="0.45">
      <c r="A27" s="28" t="s">
        <v>1146</v>
      </c>
      <c r="B27" s="5" t="s">
        <v>1145</v>
      </c>
      <c r="C27" s="5" t="s">
        <v>53</v>
      </c>
      <c r="D27" s="23">
        <v>0.01</v>
      </c>
      <c r="E27" s="23">
        <v>0.01</v>
      </c>
      <c r="F27" s="23">
        <v>0.01</v>
      </c>
      <c r="G27" s="23">
        <v>0.01</v>
      </c>
    </row>
    <row r="28" spans="1:7" x14ac:dyDescent="0.45">
      <c r="A28" s="28" t="s">
        <v>1147</v>
      </c>
      <c r="B28" s="5" t="s">
        <v>1145</v>
      </c>
      <c r="C28" s="5" t="s">
        <v>1119</v>
      </c>
      <c r="D28" s="23">
        <v>0.01</v>
      </c>
      <c r="E28" s="23">
        <v>5.0000000000000001E-3</v>
      </c>
      <c r="F28" s="23">
        <v>5.0000000000000001E-3</v>
      </c>
      <c r="G28" s="23">
        <v>5.0000000000000001E-3</v>
      </c>
    </row>
    <row r="29" spans="1:7" x14ac:dyDescent="0.45">
      <c r="A29" s="28" t="s">
        <v>1148</v>
      </c>
      <c r="B29" s="5" t="s">
        <v>1145</v>
      </c>
      <c r="C29" s="5" t="s">
        <v>67</v>
      </c>
      <c r="D29" s="23">
        <v>0.01</v>
      </c>
      <c r="E29" s="23">
        <v>5.0000000000000001E-3</v>
      </c>
      <c r="F29" s="23">
        <v>5.0000000000000001E-3</v>
      </c>
      <c r="G29" s="23">
        <v>5.0000000000000001E-3</v>
      </c>
    </row>
    <row r="30" spans="1:7" x14ac:dyDescent="0.45">
      <c r="A30" s="28" t="s">
        <v>1149</v>
      </c>
      <c r="B30" s="5" t="s">
        <v>1145</v>
      </c>
      <c r="C30" s="5" t="s">
        <v>69</v>
      </c>
      <c r="D30" s="23">
        <v>0.01</v>
      </c>
      <c r="E30" s="23">
        <v>5.0000000000000001E-3</v>
      </c>
      <c r="F30" s="23">
        <v>5.0000000000000001E-3</v>
      </c>
      <c r="G30" s="23">
        <v>5.0000000000000001E-3</v>
      </c>
    </row>
    <row r="31" spans="1:7" x14ac:dyDescent="0.45">
      <c r="A31" s="28" t="s">
        <v>1150</v>
      </c>
      <c r="B31" s="5" t="s">
        <v>1145</v>
      </c>
      <c r="C31" s="5" t="s">
        <v>1125</v>
      </c>
      <c r="D31" s="23">
        <v>0.01</v>
      </c>
      <c r="E31" s="23">
        <v>5.0000000000000001E-3</v>
      </c>
      <c r="F31" s="23">
        <v>5.0000000000000001E-3</v>
      </c>
      <c r="G31" s="23">
        <v>5.0000000000000001E-3</v>
      </c>
    </row>
    <row r="33" spans="1:1" x14ac:dyDescent="0.45">
      <c r="A33" s="3" t="s">
        <v>1151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3D98-C96F-4C99-97E9-0D9C2C5EC0D8}">
  <dimension ref="A1:K23"/>
  <sheetViews>
    <sheetView workbookViewId="0"/>
  </sheetViews>
  <sheetFormatPr defaultRowHeight="13.5" x14ac:dyDescent="0.35"/>
  <cols>
    <col min="1" max="1" width="22.59765625" style="101" customWidth="1"/>
    <col min="2" max="2" width="24.59765625" style="101" customWidth="1"/>
    <col min="3" max="3" width="6.59765625" style="101" customWidth="1"/>
    <col min="4" max="7" width="12.59765625" style="101" customWidth="1"/>
    <col min="8" max="8" width="14.59765625" style="101" customWidth="1"/>
    <col min="9" max="9" width="10.59765625" style="101" customWidth="1"/>
    <col min="10" max="10" width="22.59765625" style="101" customWidth="1"/>
    <col min="11" max="11" width="90.59765625" style="101" customWidth="1"/>
    <col min="12" max="16384" width="9.06640625" style="101"/>
  </cols>
  <sheetData>
    <row r="1" spans="1:11" ht="13.9" x14ac:dyDescent="0.4">
      <c r="A1" s="102" t="s">
        <v>1927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11" x14ac:dyDescent="0.35">
      <c r="A2" s="101" t="s">
        <v>1928</v>
      </c>
    </row>
    <row r="3" spans="1:11" ht="13.9" x14ac:dyDescent="0.4">
      <c r="A3" s="104" t="s">
        <v>877</v>
      </c>
      <c r="B3" s="104" t="s">
        <v>32</v>
      </c>
      <c r="C3" s="104" t="s">
        <v>878</v>
      </c>
      <c r="D3" s="104" t="s">
        <v>1929</v>
      </c>
      <c r="E3" s="104" t="s">
        <v>1930</v>
      </c>
      <c r="F3" s="104" t="s">
        <v>1931</v>
      </c>
      <c r="G3" s="104" t="s">
        <v>1932</v>
      </c>
      <c r="H3" s="104" t="s">
        <v>1933</v>
      </c>
      <c r="I3" s="104" t="s">
        <v>1934</v>
      </c>
      <c r="J3" s="104" t="s">
        <v>1935</v>
      </c>
      <c r="K3" s="104" t="s">
        <v>1936</v>
      </c>
    </row>
    <row r="4" spans="1:11" x14ac:dyDescent="0.35">
      <c r="A4" s="105" t="str">
        <f>Settings!$B$3&amp;".mit.efc."&amp;C4</f>
        <v>egy.mit.efc.coa</v>
      </c>
      <c r="B4" s="101" t="s">
        <v>50</v>
      </c>
      <c r="C4" s="101" t="s">
        <v>49</v>
      </c>
      <c r="D4" s="106">
        <v>0.1</v>
      </c>
      <c r="E4" s="107">
        <f t="shared" ref="E4:E12" si="0">D4*$D$17</f>
        <v>4186.8</v>
      </c>
      <c r="F4" s="107">
        <f t="shared" ref="F4:F12" si="1">$D$21</f>
        <v>0.92961501403768609</v>
      </c>
      <c r="G4" s="107">
        <f t="shared" ref="G4:G12" si="2">E4*F4</f>
        <v>3892.1121407729843</v>
      </c>
      <c r="H4" s="108">
        <v>3892.1121407729843</v>
      </c>
      <c r="I4" s="109">
        <f t="shared" ref="I4:I12" si="3">G4-H4</f>
        <v>0</v>
      </c>
      <c r="J4" s="101" t="s">
        <v>1937</v>
      </c>
      <c r="K4" s="101" t="s">
        <v>1938</v>
      </c>
    </row>
    <row r="5" spans="1:11" x14ac:dyDescent="0.35">
      <c r="A5" s="105" t="str">
        <f>Settings!$B$3&amp;".mit.efc."&amp;C5</f>
        <v>egy.mit.efc.nga</v>
      </c>
      <c r="B5" s="101" t="s">
        <v>54</v>
      </c>
      <c r="C5" s="101" t="s">
        <v>53</v>
      </c>
      <c r="D5" s="106">
        <v>5.5799999999999995E-2</v>
      </c>
      <c r="E5" s="107">
        <f t="shared" si="0"/>
        <v>2336.2343999999998</v>
      </c>
      <c r="F5" s="107">
        <f t="shared" si="1"/>
        <v>0.92961501403768609</v>
      </c>
      <c r="G5" s="107">
        <f t="shared" si="2"/>
        <v>2171.7985745513251</v>
      </c>
      <c r="H5" s="108">
        <v>2171.7985745513251</v>
      </c>
      <c r="I5" s="109">
        <f t="shared" si="3"/>
        <v>0</v>
      </c>
      <c r="J5" s="101" t="s">
        <v>1939</v>
      </c>
      <c r="K5" s="101" t="s">
        <v>1940</v>
      </c>
    </row>
    <row r="6" spans="1:11" x14ac:dyDescent="0.35">
      <c r="A6" s="105" t="str">
        <f>Settings!$B$3&amp;".mit.efc."&amp;C6</f>
        <v>egy.mit.efc.gso</v>
      </c>
      <c r="B6" s="101" t="s">
        <v>56</v>
      </c>
      <c r="C6" s="101" t="s">
        <v>55</v>
      </c>
      <c r="D6" s="106">
        <v>6.7793000000000006E-2</v>
      </c>
      <c r="E6" s="107">
        <f t="shared" si="0"/>
        <v>2838.3573240000001</v>
      </c>
      <c r="F6" s="107">
        <f t="shared" si="1"/>
        <v>0.92961501403768609</v>
      </c>
      <c r="G6" s="107">
        <f t="shared" si="2"/>
        <v>2638.579583594229</v>
      </c>
      <c r="H6" s="108">
        <v>2638.579583594229</v>
      </c>
      <c r="I6" s="109">
        <f t="shared" si="3"/>
        <v>0</v>
      </c>
      <c r="J6" s="101" t="s">
        <v>1941</v>
      </c>
      <c r="K6" s="101" t="s">
        <v>1942</v>
      </c>
    </row>
    <row r="7" spans="1:11" x14ac:dyDescent="0.35">
      <c r="A7" s="105" t="str">
        <f>Settings!$B$3&amp;".mit.efc."&amp;C7</f>
        <v>egy.mit.efc.die</v>
      </c>
      <c r="B7" s="101" t="s">
        <v>59</v>
      </c>
      <c r="C7" s="101" t="s">
        <v>58</v>
      </c>
      <c r="D7" s="106">
        <v>7.1844999999999992E-2</v>
      </c>
      <c r="E7" s="107">
        <f t="shared" si="0"/>
        <v>3008.0064599999996</v>
      </c>
      <c r="F7" s="107">
        <f t="shared" si="1"/>
        <v>0.92961501403768609</v>
      </c>
      <c r="G7" s="107">
        <f t="shared" si="2"/>
        <v>2796.2879675383501</v>
      </c>
      <c r="H7" s="108">
        <v>2796.2879675383501</v>
      </c>
      <c r="I7" s="109">
        <f t="shared" si="3"/>
        <v>0</v>
      </c>
      <c r="J7" s="101" t="s">
        <v>1943</v>
      </c>
      <c r="K7" s="101" t="s">
        <v>1944</v>
      </c>
    </row>
    <row r="8" spans="1:11" x14ac:dyDescent="0.35">
      <c r="A8" s="105" t="str">
        <f>Settings!$B$3&amp;".mit.efc."&amp;C8</f>
        <v>egy.mit.efc.lpg</v>
      </c>
      <c r="B8" s="101" t="s">
        <v>61</v>
      </c>
      <c r="C8" s="101" t="s">
        <v>60</v>
      </c>
      <c r="D8" s="106">
        <v>6.8599999999999994E-2</v>
      </c>
      <c r="E8" s="107">
        <f t="shared" si="0"/>
        <v>2872.1447999999996</v>
      </c>
      <c r="F8" s="107">
        <f t="shared" si="1"/>
        <v>0.92961501403768609</v>
      </c>
      <c r="G8" s="107">
        <f t="shared" si="2"/>
        <v>2669.9889285702666</v>
      </c>
      <c r="H8" s="108">
        <v>2669.9889285702666</v>
      </c>
      <c r="I8" s="109">
        <f t="shared" si="3"/>
        <v>0</v>
      </c>
      <c r="J8" s="101" t="s">
        <v>1945</v>
      </c>
      <c r="K8" s="101" t="s">
        <v>1946</v>
      </c>
    </row>
    <row r="9" spans="1:11" x14ac:dyDescent="0.35">
      <c r="A9" s="105" t="str">
        <f>Settings!$B$3&amp;".mit.efc."&amp;C9</f>
        <v>egy.mit.efc.ker</v>
      </c>
      <c r="B9" s="101" t="s">
        <v>63</v>
      </c>
      <c r="C9" s="101" t="s">
        <v>62</v>
      </c>
      <c r="D9" s="106">
        <v>6.7793000000000006E-2</v>
      </c>
      <c r="E9" s="107">
        <f t="shared" si="0"/>
        <v>2838.3573240000001</v>
      </c>
      <c r="F9" s="107">
        <f t="shared" si="1"/>
        <v>0.92961501403768609</v>
      </c>
      <c r="G9" s="107">
        <f t="shared" si="2"/>
        <v>2638.579583594229</v>
      </c>
      <c r="H9" s="108">
        <v>2638.579583594229</v>
      </c>
      <c r="I9" s="109">
        <f t="shared" si="3"/>
        <v>0</v>
      </c>
      <c r="J9" s="101" t="s">
        <v>1947</v>
      </c>
      <c r="K9" s="101" t="s">
        <v>1948</v>
      </c>
    </row>
    <row r="10" spans="1:11" x14ac:dyDescent="0.35">
      <c r="A10" s="105" t="str">
        <f>Settings!$B$3&amp;".mit.efc."&amp;C10</f>
        <v>egy.mit.efc.oop</v>
      </c>
      <c r="B10" s="101" t="s">
        <v>65</v>
      </c>
      <c r="C10" s="101" t="s">
        <v>64</v>
      </c>
      <c r="D10" s="106">
        <v>7.6700000000000004E-2</v>
      </c>
      <c r="E10" s="107">
        <f t="shared" si="0"/>
        <v>3211.2756000000004</v>
      </c>
      <c r="F10" s="107">
        <f t="shared" si="1"/>
        <v>0.92961501403768609</v>
      </c>
      <c r="G10" s="107">
        <f t="shared" si="2"/>
        <v>2985.2500119728793</v>
      </c>
      <c r="H10" s="108">
        <v>2985.2500119728793</v>
      </c>
      <c r="I10" s="109">
        <f t="shared" si="3"/>
        <v>0</v>
      </c>
      <c r="J10" s="101" t="s">
        <v>1949</v>
      </c>
      <c r="K10" s="101" t="s">
        <v>1950</v>
      </c>
    </row>
    <row r="11" spans="1:11" x14ac:dyDescent="0.35">
      <c r="A11" s="105" t="str">
        <f>Settings!$B$3&amp;".mit.efc."&amp;C11</f>
        <v>egy.mit.efc.bio</v>
      </c>
      <c r="B11" s="101" t="s">
        <v>68</v>
      </c>
      <c r="C11" s="101" t="s">
        <v>67</v>
      </c>
      <c r="D11" s="106">
        <v>0</v>
      </c>
      <c r="E11" s="107">
        <f t="shared" si="0"/>
        <v>0</v>
      </c>
      <c r="F11" s="107">
        <f t="shared" si="1"/>
        <v>0.92961501403768609</v>
      </c>
      <c r="G11" s="107">
        <f t="shared" si="2"/>
        <v>0</v>
      </c>
      <c r="H11" s="108">
        <v>0</v>
      </c>
      <c r="I11" s="109">
        <f t="shared" si="3"/>
        <v>0</v>
      </c>
      <c r="K11" s="101" t="s">
        <v>1951</v>
      </c>
    </row>
    <row r="12" spans="1:11" x14ac:dyDescent="0.35">
      <c r="A12" s="105" t="str">
        <f>Settings!$B$3&amp;".mit.efc."&amp;C12</f>
        <v>egy.mit.efc.ren</v>
      </c>
      <c r="B12" s="101" t="s">
        <v>70</v>
      </c>
      <c r="C12" s="101" t="s">
        <v>69</v>
      </c>
      <c r="D12" s="106">
        <v>0</v>
      </c>
      <c r="E12" s="107">
        <f t="shared" si="0"/>
        <v>0</v>
      </c>
      <c r="F12" s="107">
        <f t="shared" si="1"/>
        <v>0.92961501403768609</v>
      </c>
      <c r="G12" s="107">
        <f t="shared" si="2"/>
        <v>0</v>
      </c>
      <c r="H12" s="108">
        <v>0</v>
      </c>
      <c r="I12" s="109">
        <f t="shared" si="3"/>
        <v>0</v>
      </c>
      <c r="K12" s="101" t="s">
        <v>1952</v>
      </c>
    </row>
    <row r="16" spans="1:11" ht="13.9" x14ac:dyDescent="0.4">
      <c r="A16" s="110" t="s">
        <v>125</v>
      </c>
    </row>
    <row r="17" spans="1:11" x14ac:dyDescent="0.35">
      <c r="A17" s="101" t="s">
        <v>1953</v>
      </c>
      <c r="D17" s="103">
        <v>41868</v>
      </c>
      <c r="K17" s="101" t="s">
        <v>1954</v>
      </c>
    </row>
    <row r="18" spans="1:11" x14ac:dyDescent="0.35">
      <c r="A18" s="101" t="s">
        <v>1955</v>
      </c>
      <c r="D18" s="101" t="str">
        <f>INDEX(MTInputs!$F$8:$F$415,MATCH("EmissionsFactCO2",MTInputs!$H$8:$H$415,0))</f>
        <v>IIASA*</v>
      </c>
      <c r="K18" s="113" t="s">
        <v>1956</v>
      </c>
    </row>
    <row r="19" spans="1:11" x14ac:dyDescent="0.35">
      <c r="A19" s="101" t="s">
        <v>1957</v>
      </c>
      <c r="D19" s="101" t="str">
        <f>INDEX(MTInputs!$F$8:$F$415,MATCH("EFsAdjustmentNonAnnexI",MTInputs!$H$8:$H$415,0))</f>
        <v>Yes*</v>
      </c>
      <c r="K19" s="101" t="s">
        <v>1958</v>
      </c>
    </row>
    <row r="20" spans="1:11" x14ac:dyDescent="0.35">
      <c r="A20" s="101" t="s">
        <v>1959</v>
      </c>
      <c r="D20" s="111">
        <v>0.92961501403768609</v>
      </c>
      <c r="K20" s="101" t="s">
        <v>1960</v>
      </c>
    </row>
    <row r="21" spans="1:11" x14ac:dyDescent="0.35">
      <c r="A21" s="101" t="s">
        <v>1961</v>
      </c>
      <c r="D21" s="112">
        <f>IF(LEFT(D19,3)="Yes",D20,1)</f>
        <v>0.92961501403768609</v>
      </c>
      <c r="K21" s="101" t="s">
        <v>1962</v>
      </c>
    </row>
    <row r="23" spans="1:11" x14ac:dyDescent="0.35">
      <c r="A23" s="101" t="s">
        <v>1963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771"/>
  <sheetViews>
    <sheetView zoomScaleNormal="100" workbookViewId="0">
      <pane xSplit="5" ySplit="5" topLeftCell="F1598" activePane="bottomRight" state="frozen"/>
      <selection pane="topRight" activeCell="F1" sqref="F1"/>
      <selection pane="bottomLeft" activeCell="A6" sqref="A6"/>
      <selection pane="bottomRight" activeCell="A1612" sqref="A1612:XFD1612"/>
    </sheetView>
  </sheetViews>
  <sheetFormatPr defaultColWidth="8.6640625" defaultRowHeight="14.25" x14ac:dyDescent="0.45"/>
  <cols>
    <col min="1" max="1" width="30" customWidth="1"/>
    <col min="5" max="5" width="10" customWidth="1"/>
    <col min="11" max="35" width="11" customWidth="1"/>
  </cols>
  <sheetData>
    <row r="1" spans="1:35" ht="15.4" x14ac:dyDescent="0.45">
      <c r="A1" s="29" t="s">
        <v>1152</v>
      </c>
    </row>
    <row r="2" spans="1:35" x14ac:dyDescent="0.45">
      <c r="A2" s="2" t="s">
        <v>1153</v>
      </c>
      <c r="D2" s="30">
        <f>MAX(F8,F12,F16,F20,F24,F28,F32,F36,F40,F44,F48,F52,F56,F60,F64,F68,F72,F76,F80,F84,F88,F92,F96,F100,F104,F108,F112,F116,F120,F124,F128,F132,F136,F140,F144,F148)</f>
        <v>1.0913936421275139E-11</v>
      </c>
    </row>
    <row r="3" spans="1:35" x14ac:dyDescent="0.45">
      <c r="A3" s="2" t="s">
        <v>1154</v>
      </c>
      <c r="D3" s="30">
        <f>MAX(F152,F156,F160,F164,F168,F172,F176,F180,F184,F188,F192,F196,F200,F204,F208,F212,F216,F220,F224,F228,F232,F236,F240,F244,F248,F252,F256,F260,F264,F268,F272,F276,F280,F284,F288,F292)</f>
        <v>7.9580786405131221E-12</v>
      </c>
    </row>
    <row r="4" spans="1:35" x14ac:dyDescent="0.45">
      <c r="A4" s="2" t="s">
        <v>1155</v>
      </c>
      <c r="D4" s="30">
        <f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>5.6843418860808015E-14</v>
      </c>
    </row>
    <row r="5" spans="1:35" x14ac:dyDescent="0.45">
      <c r="A5" s="50" t="s">
        <v>38</v>
      </c>
      <c r="B5" s="50" t="s">
        <v>32</v>
      </c>
      <c r="C5" s="50" t="s">
        <v>33</v>
      </c>
      <c r="D5" s="50" t="s">
        <v>47</v>
      </c>
      <c r="E5" s="50" t="s">
        <v>1156</v>
      </c>
      <c r="F5" s="50" t="s">
        <v>1157</v>
      </c>
      <c r="G5" s="50"/>
      <c r="H5" s="50"/>
      <c r="I5" s="50"/>
      <c r="J5" s="50"/>
      <c r="K5" s="50">
        <v>2021</v>
      </c>
      <c r="L5" s="50">
        <v>2022</v>
      </c>
      <c r="M5" s="50">
        <v>2023</v>
      </c>
      <c r="N5" s="50">
        <v>2024</v>
      </c>
      <c r="O5" s="50">
        <v>2025</v>
      </c>
      <c r="P5" s="50">
        <v>2026</v>
      </c>
      <c r="Q5" s="50">
        <v>2027</v>
      </c>
      <c r="R5" s="50">
        <v>2028</v>
      </c>
      <c r="S5" s="50">
        <v>2029</v>
      </c>
      <c r="T5" s="50">
        <v>2030</v>
      </c>
      <c r="U5" s="50">
        <v>2031</v>
      </c>
      <c r="V5" s="50">
        <v>2032</v>
      </c>
      <c r="W5" s="50">
        <v>2033</v>
      </c>
      <c r="X5" s="50">
        <v>2034</v>
      </c>
      <c r="Y5" s="50">
        <v>2035</v>
      </c>
      <c r="Z5" s="50">
        <v>2036</v>
      </c>
      <c r="AA5" s="50">
        <v>2037</v>
      </c>
      <c r="AB5" s="50">
        <v>2038</v>
      </c>
      <c r="AC5" s="50">
        <v>2039</v>
      </c>
      <c r="AD5" s="50">
        <v>2040</v>
      </c>
      <c r="AE5" s="50">
        <v>2041</v>
      </c>
      <c r="AF5" s="50">
        <v>2042</v>
      </c>
      <c r="AG5" s="50">
        <v>2043</v>
      </c>
      <c r="AH5" s="50">
        <v>2044</v>
      </c>
      <c r="AI5" s="50">
        <v>2045</v>
      </c>
    </row>
    <row r="6" spans="1:35" x14ac:dyDescent="0.45">
      <c r="A6" s="28" t="s">
        <v>1158</v>
      </c>
      <c r="B6" s="5" t="s">
        <v>49</v>
      </c>
      <c r="C6" s="5" t="s">
        <v>43</v>
      </c>
      <c r="D6" s="5">
        <v>1</v>
      </c>
      <c r="E6" s="5" t="s">
        <v>1159</v>
      </c>
      <c r="K6" s="24">
        <v>0.19124790539894401</v>
      </c>
      <c r="L6" s="24">
        <v>232.65735477013101</v>
      </c>
      <c r="M6" s="24">
        <v>189.45265610688699</v>
      </c>
      <c r="N6" s="24">
        <v>217.728838709141</v>
      </c>
      <c r="O6" s="24">
        <v>237.897930150489</v>
      </c>
      <c r="P6" s="24">
        <v>232.65006903124501</v>
      </c>
      <c r="Q6" s="24">
        <v>235.34294021003601</v>
      </c>
      <c r="R6" s="24">
        <v>241.85374047418901</v>
      </c>
      <c r="S6" s="24">
        <v>248.19368529175699</v>
      </c>
      <c r="T6" s="24">
        <v>254.267796740139</v>
      </c>
      <c r="U6" s="24">
        <v>260.35638985714399</v>
      </c>
      <c r="V6" s="24">
        <v>265.28547286301603</v>
      </c>
      <c r="W6" s="24">
        <v>270.22699380634299</v>
      </c>
      <c r="X6" s="24">
        <v>275.17954419786003</v>
      </c>
      <c r="Y6" s="24">
        <v>280.141727960992</v>
      </c>
      <c r="Z6" s="24">
        <v>285.11216024955399</v>
      </c>
      <c r="AA6" s="24">
        <v>290.089466138538</v>
      </c>
      <c r="AB6" s="24">
        <v>295.07227919448798</v>
      </c>
      <c r="AC6" s="24">
        <v>300.05923993157501</v>
      </c>
      <c r="AD6" s="24">
        <v>305.048994159046</v>
      </c>
      <c r="AE6" s="24">
        <v>310.04019122530298</v>
      </c>
    </row>
    <row r="7" spans="1:35" x14ac:dyDescent="0.45">
      <c r="A7" s="28" t="s">
        <v>1158</v>
      </c>
      <c r="B7" s="5" t="s">
        <v>49</v>
      </c>
      <c r="C7" s="5" t="s">
        <v>43</v>
      </c>
      <c r="D7" s="5">
        <v>1</v>
      </c>
      <c r="E7" s="5" t="s">
        <v>1160</v>
      </c>
      <c r="K7" s="24">
        <f>INDEX(Mitigation_Industry!K:K,MATCH($A7,Mitigation_Industry!$H:$H,0))</f>
        <v>0</v>
      </c>
      <c r="L7" s="24">
        <f>INDEX(Mitigation_Industry!L:L,MATCH($A7,Mitigation_Industry!$H:$H,0))</f>
        <v>232.65735477013101</v>
      </c>
      <c r="M7" s="24">
        <f>INDEX(Mitigation_Industry!M:M,MATCH($A7,Mitigation_Industry!$H:$H,0))</f>
        <v>189.45265610688699</v>
      </c>
      <c r="N7" s="24">
        <f>INDEX(Mitigation_Industry!N:N,MATCH($A7,Mitigation_Industry!$H:$H,0))</f>
        <v>217.72883870914094</v>
      </c>
      <c r="O7" s="24">
        <f>INDEX(Mitigation_Industry!O:O,MATCH($A7,Mitigation_Industry!$H:$H,0))</f>
        <v>237.89793015048883</v>
      </c>
      <c r="P7" s="24">
        <f>INDEX(Mitigation_Industry!P:P,MATCH($A7,Mitigation_Industry!$H:$H,0))</f>
        <v>232.65006903124424</v>
      </c>
      <c r="Q7" s="24">
        <f>INDEX(Mitigation_Industry!Q:Q,MATCH($A7,Mitigation_Industry!$H:$H,0))</f>
        <v>235.34294021003569</v>
      </c>
      <c r="R7" s="24">
        <f>INDEX(Mitigation_Industry!R:R,MATCH($A7,Mitigation_Industry!$H:$H,0))</f>
        <v>241.85374047418856</v>
      </c>
      <c r="S7" s="24">
        <f>INDEX(Mitigation_Industry!S:S,MATCH($A7,Mitigation_Industry!$H:$H,0))</f>
        <v>248.19368529175608</v>
      </c>
      <c r="T7" s="24">
        <f>INDEX(Mitigation_Industry!T:T,MATCH($A7,Mitigation_Industry!$H:$H,0))</f>
        <v>254.26779674013815</v>
      </c>
      <c r="U7" s="24">
        <f>INDEX(Mitigation_Industry!U:U,MATCH($A7,Mitigation_Industry!$H:$H,0))</f>
        <v>260.35638985714291</v>
      </c>
      <c r="V7" s="24">
        <f>INDEX(Mitigation_Industry!V:V,MATCH($A7,Mitigation_Industry!$H:$H,0))</f>
        <v>265.28547286301517</v>
      </c>
      <c r="W7" s="24">
        <f>INDEX(Mitigation_Industry!W:W,MATCH($A7,Mitigation_Industry!$H:$H,0))</f>
        <v>270.22699380634242</v>
      </c>
      <c r="X7" s="24">
        <f>INDEX(Mitigation_Industry!X:X,MATCH($A7,Mitigation_Industry!$H:$H,0))</f>
        <v>275.17954419785963</v>
      </c>
      <c r="Y7" s="24">
        <f>INDEX(Mitigation_Industry!Y:Y,MATCH($A7,Mitigation_Industry!$H:$H,0))</f>
        <v>280.1417279609912</v>
      </c>
      <c r="Z7" s="24">
        <f>INDEX(Mitigation_Industry!Z:Z,MATCH($A7,Mitigation_Industry!$H:$H,0))</f>
        <v>285.11216024955354</v>
      </c>
      <c r="AA7" s="24">
        <f>INDEX(Mitigation_Industry!AA:AA,MATCH($A7,Mitigation_Industry!$H:$H,0))</f>
        <v>290.08946613853749</v>
      </c>
      <c r="AB7" s="24">
        <f>INDEX(Mitigation_Industry!AB:AB,MATCH($A7,Mitigation_Industry!$H:$H,0))</f>
        <v>295.07227919448746</v>
      </c>
      <c r="AC7" s="24">
        <f>INDEX(Mitigation_Industry!AC:AC,MATCH($A7,Mitigation_Industry!$H:$H,0))</f>
        <v>300.0592399315745</v>
      </c>
      <c r="AD7" s="24">
        <f>INDEX(Mitigation_Industry!AD:AD,MATCH($A7,Mitigation_Industry!$H:$H,0))</f>
        <v>305.04899415904566</v>
      </c>
      <c r="AE7" s="24">
        <f>INDEX(Mitigation_Industry!AE:AE,MATCH($A7,Mitigation_Industry!$H:$H,0))</f>
        <v>310.04019122530246</v>
      </c>
    </row>
    <row r="8" spans="1:35" x14ac:dyDescent="0.45">
      <c r="A8" s="28" t="s">
        <v>1158</v>
      </c>
      <c r="B8" s="5" t="s">
        <v>49</v>
      </c>
      <c r="C8" s="5" t="s">
        <v>43</v>
      </c>
      <c r="D8" s="5">
        <v>1</v>
      </c>
      <c r="E8" s="2" t="s">
        <v>1161</v>
      </c>
      <c r="F8" s="31">
        <f>MAX(MAX(L8:AE8),-MIN(L8:AE8))</f>
        <v>1.0800249583553523E-12</v>
      </c>
      <c r="K8" s="32">
        <f t="shared" ref="K8:AE8" si="0">IF(ISNUMBER(K6),IF(ISNUMBER(K7),K7-K6,999999),0)</f>
        <v>-0.19124790539894401</v>
      </c>
      <c r="L8" s="32">
        <f t="shared" si="0"/>
        <v>0</v>
      </c>
      <c r="M8" s="32">
        <f t="shared" si="0"/>
        <v>0</v>
      </c>
      <c r="N8" s="32">
        <f t="shared" si="0"/>
        <v>-5.6843418860808015E-14</v>
      </c>
      <c r="O8" s="32">
        <f t="shared" si="0"/>
        <v>-1.7053025658242404E-13</v>
      </c>
      <c r="P8" s="32">
        <f t="shared" si="0"/>
        <v>-7.673861546209082E-13</v>
      </c>
      <c r="Q8" s="32">
        <f t="shared" si="0"/>
        <v>-3.1263880373444408E-13</v>
      </c>
      <c r="R8" s="32">
        <f t="shared" si="0"/>
        <v>-4.5474735088646412E-13</v>
      </c>
      <c r="S8" s="32">
        <f t="shared" si="0"/>
        <v>-9.0949470177292824E-13</v>
      </c>
      <c r="T8" s="32">
        <f t="shared" si="0"/>
        <v>-8.5265128291212022E-13</v>
      </c>
      <c r="U8" s="32">
        <f t="shared" si="0"/>
        <v>-1.0800249583553523E-12</v>
      </c>
      <c r="V8" s="32">
        <f t="shared" si="0"/>
        <v>-8.5265128291212022E-13</v>
      </c>
      <c r="W8" s="32">
        <f t="shared" si="0"/>
        <v>-5.6843418860808015E-13</v>
      </c>
      <c r="X8" s="32">
        <f t="shared" si="0"/>
        <v>-3.979039320256561E-13</v>
      </c>
      <c r="Y8" s="32">
        <f t="shared" si="0"/>
        <v>-7.9580786405131221E-13</v>
      </c>
      <c r="Z8" s="32">
        <f t="shared" si="0"/>
        <v>-4.5474735088646412E-13</v>
      </c>
      <c r="AA8" s="32">
        <f t="shared" si="0"/>
        <v>-5.1159076974727213E-13</v>
      </c>
      <c r="AB8" s="32">
        <f t="shared" si="0"/>
        <v>-5.1159076974727213E-13</v>
      </c>
      <c r="AC8" s="32">
        <f t="shared" si="0"/>
        <v>-5.1159076974727213E-13</v>
      </c>
      <c r="AD8" s="32">
        <f t="shared" si="0"/>
        <v>-3.4106051316484809E-13</v>
      </c>
      <c r="AE8" s="32">
        <f t="shared" si="0"/>
        <v>-5.1159076974727213E-13</v>
      </c>
    </row>
    <row r="10" spans="1:35" x14ac:dyDescent="0.45">
      <c r="A10" s="28" t="s">
        <v>1162</v>
      </c>
      <c r="B10" s="5" t="s">
        <v>53</v>
      </c>
      <c r="C10" s="5" t="s">
        <v>43</v>
      </c>
      <c r="D10" s="5">
        <v>1</v>
      </c>
      <c r="E10" s="5" t="s">
        <v>1159</v>
      </c>
      <c r="K10" s="24">
        <v>0.80875209460105602</v>
      </c>
      <c r="L10" s="24">
        <v>1669.05671904213</v>
      </c>
      <c r="M10" s="24">
        <v>1431.7775208824801</v>
      </c>
      <c r="N10" s="24">
        <v>1603.1180815212299</v>
      </c>
      <c r="O10" s="24">
        <v>1666.46910747486</v>
      </c>
      <c r="P10" s="24">
        <v>1729.0519522219899</v>
      </c>
      <c r="Q10" s="24">
        <v>1803.6196014388599</v>
      </c>
      <c r="R10" s="24">
        <v>1893.1814307796601</v>
      </c>
      <c r="S10" s="24">
        <v>1980.2914020527001</v>
      </c>
      <c r="T10" s="24">
        <v>2062.9630959218898</v>
      </c>
      <c r="U10" s="24">
        <v>2147.4247884614902</v>
      </c>
      <c r="V10" s="24">
        <v>2233.9848148462802</v>
      </c>
      <c r="W10" s="24">
        <v>2322.6434118442598</v>
      </c>
      <c r="X10" s="24">
        <v>2413.3992465193601</v>
      </c>
      <c r="Y10" s="24">
        <v>2506.2493925354502</v>
      </c>
      <c r="Z10" s="24">
        <v>2601.1893032263902</v>
      </c>
      <c r="AA10" s="24">
        <v>2698.2127811658602</v>
      </c>
      <c r="AB10" s="24">
        <v>2797.3119439811398</v>
      </c>
      <c r="AC10" s="24">
        <v>2898.4771861653198</v>
      </c>
      <c r="AD10" s="24">
        <v>3001.6971366522098</v>
      </c>
      <c r="AE10" s="24">
        <v>3106.9586119280402</v>
      </c>
    </row>
    <row r="11" spans="1:35" x14ac:dyDescent="0.45">
      <c r="A11" s="28" t="s">
        <v>1162</v>
      </c>
      <c r="B11" s="5" t="s">
        <v>53</v>
      </c>
      <c r="C11" s="5" t="s">
        <v>43</v>
      </c>
      <c r="D11" s="5">
        <v>1</v>
      </c>
      <c r="E11" s="5" t="s">
        <v>1160</v>
      </c>
      <c r="K11" s="24">
        <f>INDEX(Mitigation_Industry!K:K,MATCH($A11,Mitigation_Industry!$H:$H,0))</f>
        <v>0</v>
      </c>
      <c r="L11" s="24">
        <f>INDEX(Mitigation_Industry!L:L,MATCH($A11,Mitigation_Industry!$H:$H,0))</f>
        <v>1669.05671904213</v>
      </c>
      <c r="M11" s="24">
        <f>INDEX(Mitigation_Industry!M:M,MATCH($A11,Mitigation_Industry!$H:$H,0))</f>
        <v>1431.7775208824874</v>
      </c>
      <c r="N11" s="24">
        <f>INDEX(Mitigation_Industry!N:N,MATCH($A11,Mitigation_Industry!$H:$H,0))</f>
        <v>1603.1180815212331</v>
      </c>
      <c r="O11" s="24">
        <f>INDEX(Mitigation_Industry!O:O,MATCH($A11,Mitigation_Industry!$H:$H,0))</f>
        <v>1666.4691074748598</v>
      </c>
      <c r="P11" s="24">
        <f>INDEX(Mitigation_Industry!P:P,MATCH($A11,Mitigation_Industry!$H:$H,0))</f>
        <v>1729.0519522219979</v>
      </c>
      <c r="Q11" s="24">
        <f>INDEX(Mitigation_Industry!Q:Q,MATCH($A11,Mitigation_Industry!$H:$H,0))</f>
        <v>1803.6196014388593</v>
      </c>
      <c r="R11" s="24">
        <f>INDEX(Mitigation_Industry!R:R,MATCH($A11,Mitigation_Industry!$H:$H,0))</f>
        <v>1893.1814307796642</v>
      </c>
      <c r="S11" s="24">
        <f>INDEX(Mitigation_Industry!S:S,MATCH($A11,Mitigation_Industry!$H:$H,0))</f>
        <v>1980.291402052703</v>
      </c>
      <c r="T11" s="24">
        <f>INDEX(Mitigation_Industry!T:T,MATCH($A11,Mitigation_Industry!$H:$H,0))</f>
        <v>2062.9630959218939</v>
      </c>
      <c r="U11" s="24">
        <f>INDEX(Mitigation_Industry!U:U,MATCH($A11,Mitigation_Industry!$H:$H,0))</f>
        <v>2147.4247884614956</v>
      </c>
      <c r="V11" s="24">
        <f>INDEX(Mitigation_Industry!V:V,MATCH($A11,Mitigation_Industry!$H:$H,0))</f>
        <v>2233.9848148462875</v>
      </c>
      <c r="W11" s="24">
        <f>INDEX(Mitigation_Industry!W:W,MATCH($A11,Mitigation_Industry!$H:$H,0))</f>
        <v>2322.6434118442621</v>
      </c>
      <c r="X11" s="24">
        <f>INDEX(Mitigation_Industry!X:X,MATCH($A11,Mitigation_Industry!$H:$H,0))</f>
        <v>2413.3992465193619</v>
      </c>
      <c r="Y11" s="24">
        <f>INDEX(Mitigation_Industry!Y:Y,MATCH($A11,Mitigation_Industry!$H:$H,0))</f>
        <v>2506.2493925354538</v>
      </c>
      <c r="Z11" s="24">
        <f>INDEX(Mitigation_Industry!Z:Z,MATCH($A11,Mitigation_Industry!$H:$H,0))</f>
        <v>2601.1893032264006</v>
      </c>
      <c r="AA11" s="24">
        <f>INDEX(Mitigation_Industry!AA:AA,MATCH($A11,Mitigation_Industry!$H:$H,0))</f>
        <v>2698.2127811658702</v>
      </c>
      <c r="AB11" s="24">
        <f>INDEX(Mitigation_Industry!AB:AB,MATCH($A11,Mitigation_Industry!$H:$H,0))</f>
        <v>2797.3119439811508</v>
      </c>
      <c r="AC11" s="24">
        <f>INDEX(Mitigation_Industry!AC:AC,MATCH($A11,Mitigation_Industry!$H:$H,0))</f>
        <v>2898.4771861653253</v>
      </c>
      <c r="AD11" s="24">
        <f>INDEX(Mitigation_Industry!AD:AD,MATCH($A11,Mitigation_Industry!$H:$H,0))</f>
        <v>3001.6971366522166</v>
      </c>
      <c r="AE11" s="24">
        <f>INDEX(Mitigation_Industry!AE:AE,MATCH($A11,Mitigation_Industry!$H:$H,0))</f>
        <v>3106.9586119280443</v>
      </c>
    </row>
    <row r="12" spans="1:35" x14ac:dyDescent="0.45">
      <c r="A12" s="28" t="s">
        <v>1162</v>
      </c>
      <c r="B12" s="5" t="s">
        <v>53</v>
      </c>
      <c r="C12" s="5" t="s">
        <v>43</v>
      </c>
      <c r="D12" s="5">
        <v>1</v>
      </c>
      <c r="E12" s="2" t="s">
        <v>1161</v>
      </c>
      <c r="F12" s="31">
        <f>MAX(MAX(L12:AE12),-MIN(L12:AE12))</f>
        <v>1.0913936421275139E-11</v>
      </c>
      <c r="K12" s="32">
        <f t="shared" ref="K12:AE12" si="1">IF(ISNUMBER(K10),IF(ISNUMBER(K11),K11-K10,999999),0)</f>
        <v>-0.80875209460105602</v>
      </c>
      <c r="L12" s="32">
        <f t="shared" si="1"/>
        <v>0</v>
      </c>
      <c r="M12" s="32">
        <f t="shared" si="1"/>
        <v>7.2759576141834259E-12</v>
      </c>
      <c r="N12" s="32">
        <f t="shared" si="1"/>
        <v>3.1832314562052488E-12</v>
      </c>
      <c r="O12" s="32">
        <f t="shared" si="1"/>
        <v>-2.2737367544323206E-13</v>
      </c>
      <c r="P12" s="32">
        <f t="shared" si="1"/>
        <v>7.9580786405131221E-12</v>
      </c>
      <c r="Q12" s="32">
        <f t="shared" si="1"/>
        <v>-6.8212102632969618E-13</v>
      </c>
      <c r="R12" s="32">
        <f t="shared" si="1"/>
        <v>4.0927261579781771E-12</v>
      </c>
      <c r="S12" s="32">
        <f t="shared" si="1"/>
        <v>2.9558577807620168E-12</v>
      </c>
      <c r="T12" s="32">
        <f t="shared" si="1"/>
        <v>4.0927261579781771E-12</v>
      </c>
      <c r="U12" s="32">
        <f t="shared" si="1"/>
        <v>5.4569682106375694E-12</v>
      </c>
      <c r="V12" s="32">
        <f t="shared" si="1"/>
        <v>7.2759576141834259E-12</v>
      </c>
      <c r="W12" s="32">
        <f t="shared" si="1"/>
        <v>2.2737367544323206E-12</v>
      </c>
      <c r="X12" s="32">
        <f t="shared" si="1"/>
        <v>1.8189894035458565E-12</v>
      </c>
      <c r="Y12" s="32">
        <f t="shared" si="1"/>
        <v>3.637978807091713E-12</v>
      </c>
      <c r="Z12" s="32">
        <f t="shared" si="1"/>
        <v>1.0459189070388675E-11</v>
      </c>
      <c r="AA12" s="32">
        <f t="shared" si="1"/>
        <v>1.0004441719502211E-11</v>
      </c>
      <c r="AB12" s="32">
        <f t="shared" si="1"/>
        <v>1.0913936421275139E-11</v>
      </c>
      <c r="AC12" s="32">
        <f t="shared" si="1"/>
        <v>5.4569682106375694E-12</v>
      </c>
      <c r="AD12" s="32">
        <f t="shared" si="1"/>
        <v>6.8212102632969618E-12</v>
      </c>
      <c r="AE12" s="32">
        <f t="shared" si="1"/>
        <v>4.0927261579781771E-12</v>
      </c>
    </row>
    <row r="14" spans="1:35" x14ac:dyDescent="0.45">
      <c r="A14" s="28" t="s">
        <v>1163</v>
      </c>
      <c r="B14" s="5" t="s">
        <v>55</v>
      </c>
      <c r="C14" s="5" t="s">
        <v>43</v>
      </c>
      <c r="D14" s="5">
        <v>1</v>
      </c>
      <c r="E14" s="5" t="s">
        <v>1159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</row>
    <row r="15" spans="1:35" x14ac:dyDescent="0.45">
      <c r="A15" s="28" t="s">
        <v>1163</v>
      </c>
      <c r="B15" s="5" t="s">
        <v>55</v>
      </c>
      <c r="C15" s="5" t="s">
        <v>43</v>
      </c>
      <c r="D15" s="5">
        <v>1</v>
      </c>
      <c r="E15" s="5" t="s">
        <v>1160</v>
      </c>
      <c r="K15" s="24">
        <f>INDEX(Mitigation_Industry!K:K,MATCH($A15,Mitigation_Industry!$H:$H,0))</f>
        <v>0</v>
      </c>
      <c r="L15" s="24">
        <f>INDEX(Mitigation_Industry!L:L,MATCH($A15,Mitigation_Industry!$H:$H,0))</f>
        <v>0</v>
      </c>
      <c r="M15" s="24">
        <f>INDEX(Mitigation_Industry!M:M,MATCH($A15,Mitigation_Industry!$H:$H,0))</f>
        <v>0</v>
      </c>
      <c r="N15" s="24">
        <f>INDEX(Mitigation_Industry!N:N,MATCH($A15,Mitigation_Industry!$H:$H,0))</f>
        <v>0</v>
      </c>
      <c r="O15" s="24">
        <f>INDEX(Mitigation_Industry!O:O,MATCH($A15,Mitigation_Industry!$H:$H,0))</f>
        <v>0</v>
      </c>
      <c r="P15" s="24">
        <f>INDEX(Mitigation_Industry!P:P,MATCH($A15,Mitigation_Industry!$H:$H,0))</f>
        <v>0</v>
      </c>
      <c r="Q15" s="24">
        <f>INDEX(Mitigation_Industry!Q:Q,MATCH($A15,Mitigation_Industry!$H:$H,0))</f>
        <v>0</v>
      </c>
      <c r="R15" s="24">
        <f>INDEX(Mitigation_Industry!R:R,MATCH($A15,Mitigation_Industry!$H:$H,0))</f>
        <v>0</v>
      </c>
      <c r="S15" s="24">
        <f>INDEX(Mitigation_Industry!S:S,MATCH($A15,Mitigation_Industry!$H:$H,0))</f>
        <v>0</v>
      </c>
      <c r="T15" s="24">
        <f>INDEX(Mitigation_Industry!T:T,MATCH($A15,Mitigation_Industry!$H:$H,0))</f>
        <v>0</v>
      </c>
      <c r="U15" s="24">
        <f>INDEX(Mitigation_Industry!U:U,MATCH($A15,Mitigation_Industry!$H:$H,0))</f>
        <v>0</v>
      </c>
      <c r="V15" s="24">
        <f>INDEX(Mitigation_Industry!V:V,MATCH($A15,Mitigation_Industry!$H:$H,0))</f>
        <v>0</v>
      </c>
      <c r="W15" s="24">
        <f>INDEX(Mitigation_Industry!W:W,MATCH($A15,Mitigation_Industry!$H:$H,0))</f>
        <v>0</v>
      </c>
      <c r="X15" s="24">
        <f>INDEX(Mitigation_Industry!X:X,MATCH($A15,Mitigation_Industry!$H:$H,0))</f>
        <v>0</v>
      </c>
      <c r="Y15" s="24">
        <f>INDEX(Mitigation_Industry!Y:Y,MATCH($A15,Mitigation_Industry!$H:$H,0))</f>
        <v>0</v>
      </c>
      <c r="Z15" s="24">
        <f>INDEX(Mitigation_Industry!Z:Z,MATCH($A15,Mitigation_Industry!$H:$H,0))</f>
        <v>0</v>
      </c>
      <c r="AA15" s="24">
        <f>INDEX(Mitigation_Industry!AA:AA,MATCH($A15,Mitigation_Industry!$H:$H,0))</f>
        <v>0</v>
      </c>
      <c r="AB15" s="24">
        <f>INDEX(Mitigation_Industry!AB:AB,MATCH($A15,Mitigation_Industry!$H:$H,0))</f>
        <v>0</v>
      </c>
      <c r="AC15" s="24">
        <f>INDEX(Mitigation_Industry!AC:AC,MATCH($A15,Mitigation_Industry!$H:$H,0))</f>
        <v>0</v>
      </c>
      <c r="AD15" s="24">
        <f>INDEX(Mitigation_Industry!AD:AD,MATCH($A15,Mitigation_Industry!$H:$H,0))</f>
        <v>0</v>
      </c>
      <c r="AE15" s="24">
        <f>INDEX(Mitigation_Industry!AE:AE,MATCH($A15,Mitigation_Industry!$H:$H,0))</f>
        <v>0</v>
      </c>
    </row>
    <row r="16" spans="1:35" x14ac:dyDescent="0.45">
      <c r="A16" s="28" t="s">
        <v>1163</v>
      </c>
      <c r="B16" s="5" t="s">
        <v>55</v>
      </c>
      <c r="C16" s="5" t="s">
        <v>43</v>
      </c>
      <c r="D16" s="5">
        <v>1</v>
      </c>
      <c r="E16" s="2" t="s">
        <v>1161</v>
      </c>
      <c r="F16" s="31">
        <f>MAX(MAX(L16:AE16),-MIN(L16:AE16))</f>
        <v>0</v>
      </c>
      <c r="K16" s="32">
        <f t="shared" ref="K16:AE16" si="2">IF(ISNUMBER(K14),IF(ISNUMBER(K15),K15-K14,999999),0)</f>
        <v>0</v>
      </c>
      <c r="L16" s="32">
        <f t="shared" si="2"/>
        <v>0</v>
      </c>
      <c r="M16" s="32">
        <f t="shared" si="2"/>
        <v>0</v>
      </c>
      <c r="N16" s="32">
        <f t="shared" si="2"/>
        <v>0</v>
      </c>
      <c r="O16" s="32">
        <f t="shared" si="2"/>
        <v>0</v>
      </c>
      <c r="P16" s="32">
        <f t="shared" si="2"/>
        <v>0</v>
      </c>
      <c r="Q16" s="32">
        <f t="shared" si="2"/>
        <v>0</v>
      </c>
      <c r="R16" s="32">
        <f t="shared" si="2"/>
        <v>0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2"/>
        <v>0</v>
      </c>
      <c r="AE16" s="32">
        <f t="shared" si="2"/>
        <v>0</v>
      </c>
    </row>
    <row r="18" spans="1:31" x14ac:dyDescent="0.45">
      <c r="A18" s="28" t="s">
        <v>1164</v>
      </c>
      <c r="B18" s="5" t="s">
        <v>58</v>
      </c>
      <c r="C18" s="5" t="s">
        <v>43</v>
      </c>
      <c r="D18" s="5">
        <v>1</v>
      </c>
      <c r="E18" s="5" t="s">
        <v>1159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</row>
    <row r="19" spans="1:31" x14ac:dyDescent="0.45">
      <c r="A19" s="28" t="s">
        <v>1164</v>
      </c>
      <c r="B19" s="5" t="s">
        <v>58</v>
      </c>
      <c r="C19" s="5" t="s">
        <v>43</v>
      </c>
      <c r="D19" s="5">
        <v>1</v>
      </c>
      <c r="E19" s="5" t="s">
        <v>1160</v>
      </c>
      <c r="K19" s="24">
        <f>INDEX(Mitigation_Industry!K:K,MATCH($A19,Mitigation_Industry!$H:$H,0))</f>
        <v>0</v>
      </c>
      <c r="L19" s="24">
        <f>INDEX(Mitigation_Industry!L:L,MATCH($A19,Mitigation_Industry!$H:$H,0))</f>
        <v>0</v>
      </c>
      <c r="M19" s="24">
        <f>INDEX(Mitigation_Industry!M:M,MATCH($A19,Mitigation_Industry!$H:$H,0))</f>
        <v>0</v>
      </c>
      <c r="N19" s="24">
        <f>INDEX(Mitigation_Industry!N:N,MATCH($A19,Mitigation_Industry!$H:$H,0))</f>
        <v>0</v>
      </c>
      <c r="O19" s="24">
        <f>INDEX(Mitigation_Industry!O:O,MATCH($A19,Mitigation_Industry!$H:$H,0))</f>
        <v>0</v>
      </c>
      <c r="P19" s="24">
        <f>INDEX(Mitigation_Industry!P:P,MATCH($A19,Mitigation_Industry!$H:$H,0))</f>
        <v>0</v>
      </c>
      <c r="Q19" s="24">
        <f>INDEX(Mitigation_Industry!Q:Q,MATCH($A19,Mitigation_Industry!$H:$H,0))</f>
        <v>0</v>
      </c>
      <c r="R19" s="24">
        <f>INDEX(Mitigation_Industry!R:R,MATCH($A19,Mitigation_Industry!$H:$H,0))</f>
        <v>0</v>
      </c>
      <c r="S19" s="24">
        <f>INDEX(Mitigation_Industry!S:S,MATCH($A19,Mitigation_Industry!$H:$H,0))</f>
        <v>0</v>
      </c>
      <c r="T19" s="24">
        <f>INDEX(Mitigation_Industry!T:T,MATCH($A19,Mitigation_Industry!$H:$H,0))</f>
        <v>0</v>
      </c>
      <c r="U19" s="24">
        <f>INDEX(Mitigation_Industry!U:U,MATCH($A19,Mitigation_Industry!$H:$H,0))</f>
        <v>0</v>
      </c>
      <c r="V19" s="24">
        <f>INDEX(Mitigation_Industry!V:V,MATCH($A19,Mitigation_Industry!$H:$H,0))</f>
        <v>0</v>
      </c>
      <c r="W19" s="24">
        <f>INDEX(Mitigation_Industry!W:W,MATCH($A19,Mitigation_Industry!$H:$H,0))</f>
        <v>0</v>
      </c>
      <c r="X19" s="24">
        <f>INDEX(Mitigation_Industry!X:X,MATCH($A19,Mitigation_Industry!$H:$H,0))</f>
        <v>0</v>
      </c>
      <c r="Y19" s="24">
        <f>INDEX(Mitigation_Industry!Y:Y,MATCH($A19,Mitigation_Industry!$H:$H,0))</f>
        <v>0</v>
      </c>
      <c r="Z19" s="24">
        <f>INDEX(Mitigation_Industry!Z:Z,MATCH($A19,Mitigation_Industry!$H:$H,0))</f>
        <v>0</v>
      </c>
      <c r="AA19" s="24">
        <f>INDEX(Mitigation_Industry!AA:AA,MATCH($A19,Mitigation_Industry!$H:$H,0))</f>
        <v>0</v>
      </c>
      <c r="AB19" s="24">
        <f>INDEX(Mitigation_Industry!AB:AB,MATCH($A19,Mitigation_Industry!$H:$H,0))</f>
        <v>0</v>
      </c>
      <c r="AC19" s="24">
        <f>INDEX(Mitigation_Industry!AC:AC,MATCH($A19,Mitigation_Industry!$H:$H,0))</f>
        <v>0</v>
      </c>
      <c r="AD19" s="24">
        <f>INDEX(Mitigation_Industry!AD:AD,MATCH($A19,Mitigation_Industry!$H:$H,0))</f>
        <v>0</v>
      </c>
      <c r="AE19" s="24">
        <f>INDEX(Mitigation_Industry!AE:AE,MATCH($A19,Mitigation_Industry!$H:$H,0))</f>
        <v>0</v>
      </c>
    </row>
    <row r="20" spans="1:31" x14ac:dyDescent="0.45">
      <c r="A20" s="28" t="s">
        <v>1164</v>
      </c>
      <c r="B20" s="5" t="s">
        <v>58</v>
      </c>
      <c r="C20" s="5" t="s">
        <v>43</v>
      </c>
      <c r="D20" s="5">
        <v>1</v>
      </c>
      <c r="E20" s="2" t="s">
        <v>1161</v>
      </c>
      <c r="F20" s="31">
        <f>MAX(MAX(L20:AE20),-MIN(L20:AE20))</f>
        <v>0</v>
      </c>
      <c r="K20" s="32">
        <f t="shared" ref="K20:AE20" si="3">IF(ISNUMBER(K18),IF(ISNUMBER(K19),K19-K18,999999),0)</f>
        <v>0</v>
      </c>
      <c r="L20" s="32">
        <f t="shared" si="3"/>
        <v>0</v>
      </c>
      <c r="M20" s="32">
        <f t="shared" si="3"/>
        <v>0</v>
      </c>
      <c r="N20" s="32">
        <f t="shared" si="3"/>
        <v>0</v>
      </c>
      <c r="O20" s="32">
        <f t="shared" si="3"/>
        <v>0</v>
      </c>
      <c r="P20" s="32">
        <f t="shared" si="3"/>
        <v>0</v>
      </c>
      <c r="Q20" s="32">
        <f t="shared" si="3"/>
        <v>0</v>
      </c>
      <c r="R20" s="32">
        <f t="shared" si="3"/>
        <v>0</v>
      </c>
      <c r="S20" s="32">
        <f t="shared" si="3"/>
        <v>0</v>
      </c>
      <c r="T20" s="32">
        <f t="shared" si="3"/>
        <v>0</v>
      </c>
      <c r="U20" s="32">
        <f t="shared" si="3"/>
        <v>0</v>
      </c>
      <c r="V20" s="32">
        <f t="shared" si="3"/>
        <v>0</v>
      </c>
      <c r="W20" s="32">
        <f t="shared" si="3"/>
        <v>0</v>
      </c>
      <c r="X20" s="32">
        <f t="shared" si="3"/>
        <v>0</v>
      </c>
      <c r="Y20" s="32">
        <f t="shared" si="3"/>
        <v>0</v>
      </c>
      <c r="Z20" s="32">
        <f t="shared" si="3"/>
        <v>0</v>
      </c>
      <c r="AA20" s="32">
        <f t="shared" si="3"/>
        <v>0</v>
      </c>
      <c r="AB20" s="32">
        <f t="shared" si="3"/>
        <v>0</v>
      </c>
      <c r="AC20" s="32">
        <f t="shared" si="3"/>
        <v>0</v>
      </c>
      <c r="AD20" s="32">
        <f t="shared" si="3"/>
        <v>0</v>
      </c>
      <c r="AE20" s="32">
        <f t="shared" si="3"/>
        <v>0</v>
      </c>
    </row>
    <row r="22" spans="1:31" x14ac:dyDescent="0.45">
      <c r="A22" s="28" t="s">
        <v>1165</v>
      </c>
      <c r="B22" s="5" t="s">
        <v>60</v>
      </c>
      <c r="C22" s="5" t="s">
        <v>43</v>
      </c>
      <c r="D22" s="5">
        <v>1</v>
      </c>
      <c r="E22" s="5" t="s">
        <v>1159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</row>
    <row r="23" spans="1:31" x14ac:dyDescent="0.45">
      <c r="A23" s="28" t="s">
        <v>1165</v>
      </c>
      <c r="B23" s="5" t="s">
        <v>60</v>
      </c>
      <c r="C23" s="5" t="s">
        <v>43</v>
      </c>
      <c r="D23" s="5">
        <v>1</v>
      </c>
      <c r="E23" s="5" t="s">
        <v>1160</v>
      </c>
      <c r="K23" s="24">
        <f>INDEX(Mitigation_Industry!K:K,MATCH($A23,Mitigation_Industry!$H:$H,0))</f>
        <v>0</v>
      </c>
      <c r="L23" s="24">
        <f>INDEX(Mitigation_Industry!L:L,MATCH($A23,Mitigation_Industry!$H:$H,0))</f>
        <v>0</v>
      </c>
      <c r="M23" s="24">
        <f>INDEX(Mitigation_Industry!M:M,MATCH($A23,Mitigation_Industry!$H:$H,0))</f>
        <v>0</v>
      </c>
      <c r="N23" s="24">
        <f>INDEX(Mitigation_Industry!N:N,MATCH($A23,Mitigation_Industry!$H:$H,0))</f>
        <v>0</v>
      </c>
      <c r="O23" s="24">
        <f>INDEX(Mitigation_Industry!O:O,MATCH($A23,Mitigation_Industry!$H:$H,0))</f>
        <v>0</v>
      </c>
      <c r="P23" s="24">
        <f>INDEX(Mitigation_Industry!P:P,MATCH($A23,Mitigation_Industry!$H:$H,0))</f>
        <v>0</v>
      </c>
      <c r="Q23" s="24">
        <f>INDEX(Mitigation_Industry!Q:Q,MATCH($A23,Mitigation_Industry!$H:$H,0))</f>
        <v>0</v>
      </c>
      <c r="R23" s="24">
        <f>INDEX(Mitigation_Industry!R:R,MATCH($A23,Mitigation_Industry!$H:$H,0))</f>
        <v>0</v>
      </c>
      <c r="S23" s="24">
        <f>INDEX(Mitigation_Industry!S:S,MATCH($A23,Mitigation_Industry!$H:$H,0))</f>
        <v>0</v>
      </c>
      <c r="T23" s="24">
        <f>INDEX(Mitigation_Industry!T:T,MATCH($A23,Mitigation_Industry!$H:$H,0))</f>
        <v>0</v>
      </c>
      <c r="U23" s="24">
        <f>INDEX(Mitigation_Industry!U:U,MATCH($A23,Mitigation_Industry!$H:$H,0))</f>
        <v>0</v>
      </c>
      <c r="V23" s="24">
        <f>INDEX(Mitigation_Industry!V:V,MATCH($A23,Mitigation_Industry!$H:$H,0))</f>
        <v>0</v>
      </c>
      <c r="W23" s="24">
        <f>INDEX(Mitigation_Industry!W:W,MATCH($A23,Mitigation_Industry!$H:$H,0))</f>
        <v>0</v>
      </c>
      <c r="X23" s="24">
        <f>INDEX(Mitigation_Industry!X:X,MATCH($A23,Mitigation_Industry!$H:$H,0))</f>
        <v>0</v>
      </c>
      <c r="Y23" s="24">
        <f>INDEX(Mitigation_Industry!Y:Y,MATCH($A23,Mitigation_Industry!$H:$H,0))</f>
        <v>0</v>
      </c>
      <c r="Z23" s="24">
        <f>INDEX(Mitigation_Industry!Z:Z,MATCH($A23,Mitigation_Industry!$H:$H,0))</f>
        <v>0</v>
      </c>
      <c r="AA23" s="24">
        <f>INDEX(Mitigation_Industry!AA:AA,MATCH($A23,Mitigation_Industry!$H:$H,0))</f>
        <v>0</v>
      </c>
      <c r="AB23" s="24">
        <f>INDEX(Mitigation_Industry!AB:AB,MATCH($A23,Mitigation_Industry!$H:$H,0))</f>
        <v>0</v>
      </c>
      <c r="AC23" s="24">
        <f>INDEX(Mitigation_Industry!AC:AC,MATCH($A23,Mitigation_Industry!$H:$H,0))</f>
        <v>0</v>
      </c>
      <c r="AD23" s="24">
        <f>INDEX(Mitigation_Industry!AD:AD,MATCH($A23,Mitigation_Industry!$H:$H,0))</f>
        <v>0</v>
      </c>
      <c r="AE23" s="24">
        <f>INDEX(Mitigation_Industry!AE:AE,MATCH($A23,Mitigation_Industry!$H:$H,0))</f>
        <v>0</v>
      </c>
    </row>
    <row r="24" spans="1:31" x14ac:dyDescent="0.45">
      <c r="A24" s="28" t="s">
        <v>1165</v>
      </c>
      <c r="B24" s="5" t="s">
        <v>60</v>
      </c>
      <c r="C24" s="5" t="s">
        <v>43</v>
      </c>
      <c r="D24" s="5">
        <v>1</v>
      </c>
      <c r="E24" s="2" t="s">
        <v>1161</v>
      </c>
      <c r="F24" s="31">
        <f>MAX(MAX(L24:AE24),-MIN(L24:AE24))</f>
        <v>0</v>
      </c>
      <c r="K24" s="32">
        <f t="shared" ref="K24:AE24" si="4">IF(ISNUMBER(K22),IF(ISNUMBER(K23),K23-K22,999999),0)</f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4"/>
        <v>0</v>
      </c>
      <c r="S24" s="32">
        <f t="shared" si="4"/>
        <v>0</v>
      </c>
      <c r="T24" s="32">
        <f t="shared" si="4"/>
        <v>0</v>
      </c>
      <c r="U24" s="32">
        <f t="shared" si="4"/>
        <v>0</v>
      </c>
      <c r="V24" s="32">
        <f t="shared" si="4"/>
        <v>0</v>
      </c>
      <c r="W24" s="32">
        <f t="shared" si="4"/>
        <v>0</v>
      </c>
      <c r="X24" s="32">
        <f t="shared" si="4"/>
        <v>0</v>
      </c>
      <c r="Y24" s="32">
        <f t="shared" si="4"/>
        <v>0</v>
      </c>
      <c r="Z24" s="32">
        <f t="shared" si="4"/>
        <v>0</v>
      </c>
      <c r="AA24" s="32">
        <f t="shared" si="4"/>
        <v>0</v>
      </c>
      <c r="AB24" s="32">
        <f t="shared" si="4"/>
        <v>0</v>
      </c>
      <c r="AC24" s="32">
        <f t="shared" si="4"/>
        <v>0</v>
      </c>
      <c r="AD24" s="32">
        <f t="shared" si="4"/>
        <v>0</v>
      </c>
      <c r="AE24" s="32">
        <f t="shared" si="4"/>
        <v>0</v>
      </c>
    </row>
    <row r="26" spans="1:31" x14ac:dyDescent="0.45">
      <c r="A26" s="28" t="s">
        <v>1166</v>
      </c>
      <c r="B26" s="5" t="s">
        <v>62</v>
      </c>
      <c r="C26" s="5" t="s">
        <v>43</v>
      </c>
      <c r="D26" s="5">
        <v>1</v>
      </c>
      <c r="E26" s="5" t="s">
        <v>1159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</row>
    <row r="27" spans="1:31" x14ac:dyDescent="0.45">
      <c r="A27" s="28" t="s">
        <v>1166</v>
      </c>
      <c r="B27" s="5" t="s">
        <v>62</v>
      </c>
      <c r="C27" s="5" t="s">
        <v>43</v>
      </c>
      <c r="D27" s="5">
        <v>1</v>
      </c>
      <c r="E27" s="5" t="s">
        <v>1160</v>
      </c>
      <c r="K27" s="24">
        <f>INDEX(Mitigation_Industry!K:K,MATCH($A27,Mitigation_Industry!$H:$H,0))</f>
        <v>0</v>
      </c>
      <c r="L27" s="24">
        <f>INDEX(Mitigation_Industry!L:L,MATCH($A27,Mitigation_Industry!$H:$H,0))</f>
        <v>0</v>
      </c>
      <c r="M27" s="24">
        <f>INDEX(Mitigation_Industry!M:M,MATCH($A27,Mitigation_Industry!$H:$H,0))</f>
        <v>0</v>
      </c>
      <c r="N27" s="24">
        <f>INDEX(Mitigation_Industry!N:N,MATCH($A27,Mitigation_Industry!$H:$H,0))</f>
        <v>0</v>
      </c>
      <c r="O27" s="24">
        <f>INDEX(Mitigation_Industry!O:O,MATCH($A27,Mitigation_Industry!$H:$H,0))</f>
        <v>0</v>
      </c>
      <c r="P27" s="24">
        <f>INDEX(Mitigation_Industry!P:P,MATCH($A27,Mitigation_Industry!$H:$H,0))</f>
        <v>0</v>
      </c>
      <c r="Q27" s="24">
        <f>INDEX(Mitigation_Industry!Q:Q,MATCH($A27,Mitigation_Industry!$H:$H,0))</f>
        <v>0</v>
      </c>
      <c r="R27" s="24">
        <f>INDEX(Mitigation_Industry!R:R,MATCH($A27,Mitigation_Industry!$H:$H,0))</f>
        <v>0</v>
      </c>
      <c r="S27" s="24">
        <f>INDEX(Mitigation_Industry!S:S,MATCH($A27,Mitigation_Industry!$H:$H,0))</f>
        <v>0</v>
      </c>
      <c r="T27" s="24">
        <f>INDEX(Mitigation_Industry!T:T,MATCH($A27,Mitigation_Industry!$H:$H,0))</f>
        <v>0</v>
      </c>
      <c r="U27" s="24">
        <f>INDEX(Mitigation_Industry!U:U,MATCH($A27,Mitigation_Industry!$H:$H,0))</f>
        <v>0</v>
      </c>
      <c r="V27" s="24">
        <f>INDEX(Mitigation_Industry!V:V,MATCH($A27,Mitigation_Industry!$H:$H,0))</f>
        <v>0</v>
      </c>
      <c r="W27" s="24">
        <f>INDEX(Mitigation_Industry!W:W,MATCH($A27,Mitigation_Industry!$H:$H,0))</f>
        <v>0</v>
      </c>
      <c r="X27" s="24">
        <f>INDEX(Mitigation_Industry!X:X,MATCH($A27,Mitigation_Industry!$H:$H,0))</f>
        <v>0</v>
      </c>
      <c r="Y27" s="24">
        <f>INDEX(Mitigation_Industry!Y:Y,MATCH($A27,Mitigation_Industry!$H:$H,0))</f>
        <v>0</v>
      </c>
      <c r="Z27" s="24">
        <f>INDEX(Mitigation_Industry!Z:Z,MATCH($A27,Mitigation_Industry!$H:$H,0))</f>
        <v>0</v>
      </c>
      <c r="AA27" s="24">
        <f>INDEX(Mitigation_Industry!AA:AA,MATCH($A27,Mitigation_Industry!$H:$H,0))</f>
        <v>0</v>
      </c>
      <c r="AB27" s="24">
        <f>INDEX(Mitigation_Industry!AB:AB,MATCH($A27,Mitigation_Industry!$H:$H,0))</f>
        <v>0</v>
      </c>
      <c r="AC27" s="24">
        <f>INDEX(Mitigation_Industry!AC:AC,MATCH($A27,Mitigation_Industry!$H:$H,0))</f>
        <v>0</v>
      </c>
      <c r="AD27" s="24">
        <f>INDEX(Mitigation_Industry!AD:AD,MATCH($A27,Mitigation_Industry!$H:$H,0))</f>
        <v>0</v>
      </c>
      <c r="AE27" s="24">
        <f>INDEX(Mitigation_Industry!AE:AE,MATCH($A27,Mitigation_Industry!$H:$H,0))</f>
        <v>0</v>
      </c>
    </row>
    <row r="28" spans="1:31" x14ac:dyDescent="0.45">
      <c r="A28" s="28" t="s">
        <v>1166</v>
      </c>
      <c r="B28" s="5" t="s">
        <v>62</v>
      </c>
      <c r="C28" s="5" t="s">
        <v>43</v>
      </c>
      <c r="D28" s="5">
        <v>1</v>
      </c>
      <c r="E28" s="2" t="s">
        <v>1161</v>
      </c>
      <c r="F28" s="31">
        <f>MAX(MAX(L28:AE28),-MIN(L28:AE28))</f>
        <v>0</v>
      </c>
      <c r="K28" s="32">
        <f t="shared" ref="K28:AE28" si="5">IF(ISNUMBER(K26),IF(ISNUMBER(K27),K27-K26,999999),0)</f>
        <v>0</v>
      </c>
      <c r="L28" s="32">
        <f t="shared" si="5"/>
        <v>0</v>
      </c>
      <c r="M28" s="32">
        <f t="shared" si="5"/>
        <v>0</v>
      </c>
      <c r="N28" s="32">
        <f t="shared" si="5"/>
        <v>0</v>
      </c>
      <c r="O28" s="32">
        <f t="shared" si="5"/>
        <v>0</v>
      </c>
      <c r="P28" s="32">
        <f t="shared" si="5"/>
        <v>0</v>
      </c>
      <c r="Q28" s="32">
        <f t="shared" si="5"/>
        <v>0</v>
      </c>
      <c r="R28" s="32">
        <f t="shared" si="5"/>
        <v>0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0</v>
      </c>
      <c r="AB28" s="32">
        <f t="shared" si="5"/>
        <v>0</v>
      </c>
      <c r="AC28" s="32">
        <f t="shared" si="5"/>
        <v>0</v>
      </c>
      <c r="AD28" s="32">
        <f t="shared" si="5"/>
        <v>0</v>
      </c>
      <c r="AE28" s="32">
        <f t="shared" si="5"/>
        <v>0</v>
      </c>
    </row>
    <row r="30" spans="1:31" x14ac:dyDescent="0.45">
      <c r="A30" s="28" t="s">
        <v>1167</v>
      </c>
      <c r="B30" s="5" t="s">
        <v>64</v>
      </c>
      <c r="C30" s="5" t="s">
        <v>43</v>
      </c>
      <c r="D30" s="5">
        <v>1</v>
      </c>
      <c r="E30" s="5" t="s">
        <v>1159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</row>
    <row r="31" spans="1:31" x14ac:dyDescent="0.45">
      <c r="A31" s="28" t="s">
        <v>1167</v>
      </c>
      <c r="B31" s="5" t="s">
        <v>64</v>
      </c>
      <c r="C31" s="5" t="s">
        <v>43</v>
      </c>
      <c r="D31" s="5">
        <v>1</v>
      </c>
      <c r="E31" s="5" t="s">
        <v>1160</v>
      </c>
      <c r="K31" s="24">
        <f>INDEX(Mitigation_Industry!K:K,MATCH($A31,Mitigation_Industry!$H:$H,0))</f>
        <v>0</v>
      </c>
      <c r="L31" s="24">
        <f>INDEX(Mitigation_Industry!L:L,MATCH($A31,Mitigation_Industry!$H:$H,0))</f>
        <v>0</v>
      </c>
      <c r="M31" s="24">
        <f>INDEX(Mitigation_Industry!M:M,MATCH($A31,Mitigation_Industry!$H:$H,0))</f>
        <v>0</v>
      </c>
      <c r="N31" s="24">
        <f>INDEX(Mitigation_Industry!N:N,MATCH($A31,Mitigation_Industry!$H:$H,0))</f>
        <v>0</v>
      </c>
      <c r="O31" s="24">
        <f>INDEX(Mitigation_Industry!O:O,MATCH($A31,Mitigation_Industry!$H:$H,0))</f>
        <v>0</v>
      </c>
      <c r="P31" s="24">
        <f>INDEX(Mitigation_Industry!P:P,MATCH($A31,Mitigation_Industry!$H:$H,0))</f>
        <v>0</v>
      </c>
      <c r="Q31" s="24">
        <f>INDEX(Mitigation_Industry!Q:Q,MATCH($A31,Mitigation_Industry!$H:$H,0))</f>
        <v>0</v>
      </c>
      <c r="R31" s="24">
        <f>INDEX(Mitigation_Industry!R:R,MATCH($A31,Mitigation_Industry!$H:$H,0))</f>
        <v>0</v>
      </c>
      <c r="S31" s="24">
        <f>INDEX(Mitigation_Industry!S:S,MATCH($A31,Mitigation_Industry!$H:$H,0))</f>
        <v>0</v>
      </c>
      <c r="T31" s="24">
        <f>INDEX(Mitigation_Industry!T:T,MATCH($A31,Mitigation_Industry!$H:$H,0))</f>
        <v>0</v>
      </c>
      <c r="U31" s="24">
        <f>INDEX(Mitigation_Industry!U:U,MATCH($A31,Mitigation_Industry!$H:$H,0))</f>
        <v>0</v>
      </c>
      <c r="V31" s="24">
        <f>INDEX(Mitigation_Industry!V:V,MATCH($A31,Mitigation_Industry!$H:$H,0))</f>
        <v>0</v>
      </c>
      <c r="W31" s="24">
        <f>INDEX(Mitigation_Industry!W:W,MATCH($A31,Mitigation_Industry!$H:$H,0))</f>
        <v>0</v>
      </c>
      <c r="X31" s="24">
        <f>INDEX(Mitigation_Industry!X:X,MATCH($A31,Mitigation_Industry!$H:$H,0))</f>
        <v>0</v>
      </c>
      <c r="Y31" s="24">
        <f>INDEX(Mitigation_Industry!Y:Y,MATCH($A31,Mitigation_Industry!$H:$H,0))</f>
        <v>0</v>
      </c>
      <c r="Z31" s="24">
        <f>INDEX(Mitigation_Industry!Z:Z,MATCH($A31,Mitigation_Industry!$H:$H,0))</f>
        <v>0</v>
      </c>
      <c r="AA31" s="24">
        <f>INDEX(Mitigation_Industry!AA:AA,MATCH($A31,Mitigation_Industry!$H:$H,0))</f>
        <v>0</v>
      </c>
      <c r="AB31" s="24">
        <f>INDEX(Mitigation_Industry!AB:AB,MATCH($A31,Mitigation_Industry!$H:$H,0))</f>
        <v>0</v>
      </c>
      <c r="AC31" s="24">
        <f>INDEX(Mitigation_Industry!AC:AC,MATCH($A31,Mitigation_Industry!$H:$H,0))</f>
        <v>0</v>
      </c>
      <c r="AD31" s="24">
        <f>INDEX(Mitigation_Industry!AD:AD,MATCH($A31,Mitigation_Industry!$H:$H,0))</f>
        <v>0</v>
      </c>
      <c r="AE31" s="24">
        <f>INDEX(Mitigation_Industry!AE:AE,MATCH($A31,Mitigation_Industry!$H:$H,0))</f>
        <v>0</v>
      </c>
    </row>
    <row r="32" spans="1:31" x14ac:dyDescent="0.45">
      <c r="A32" s="28" t="s">
        <v>1167</v>
      </c>
      <c r="B32" s="5" t="s">
        <v>64</v>
      </c>
      <c r="C32" s="5" t="s">
        <v>43</v>
      </c>
      <c r="D32" s="5">
        <v>1</v>
      </c>
      <c r="E32" s="2" t="s">
        <v>1161</v>
      </c>
      <c r="F32" s="31">
        <f>MAX(MAX(L32:AE32),-MIN(L32:AE32))</f>
        <v>0</v>
      </c>
      <c r="K32" s="32">
        <f t="shared" ref="K32:AE32" si="6">IF(ISNUMBER(K30),IF(ISNUMBER(K31),K31-K30,999999),0)</f>
        <v>0</v>
      </c>
      <c r="L32" s="32">
        <f t="shared" si="6"/>
        <v>0</v>
      </c>
      <c r="M32" s="32">
        <f t="shared" si="6"/>
        <v>0</v>
      </c>
      <c r="N32" s="32">
        <f t="shared" si="6"/>
        <v>0</v>
      </c>
      <c r="O32" s="32">
        <f t="shared" si="6"/>
        <v>0</v>
      </c>
      <c r="P32" s="32">
        <f t="shared" si="6"/>
        <v>0</v>
      </c>
      <c r="Q32" s="32">
        <f t="shared" si="6"/>
        <v>0</v>
      </c>
      <c r="R32" s="32">
        <f t="shared" si="6"/>
        <v>0</v>
      </c>
      <c r="S32" s="32">
        <f t="shared" si="6"/>
        <v>0</v>
      </c>
      <c r="T32" s="32">
        <f t="shared" si="6"/>
        <v>0</v>
      </c>
      <c r="U32" s="32">
        <f t="shared" si="6"/>
        <v>0</v>
      </c>
      <c r="V32" s="32">
        <f t="shared" si="6"/>
        <v>0</v>
      </c>
      <c r="W32" s="32">
        <f t="shared" si="6"/>
        <v>0</v>
      </c>
      <c r="X32" s="32">
        <f t="shared" si="6"/>
        <v>0</v>
      </c>
      <c r="Y32" s="32">
        <f t="shared" si="6"/>
        <v>0</v>
      </c>
      <c r="Z32" s="32">
        <f t="shared" si="6"/>
        <v>0</v>
      </c>
      <c r="AA32" s="32">
        <f t="shared" si="6"/>
        <v>0</v>
      </c>
      <c r="AB32" s="32">
        <f t="shared" si="6"/>
        <v>0</v>
      </c>
      <c r="AC32" s="32">
        <f t="shared" si="6"/>
        <v>0</v>
      </c>
      <c r="AD32" s="32">
        <f t="shared" si="6"/>
        <v>0</v>
      </c>
      <c r="AE32" s="32">
        <f t="shared" si="6"/>
        <v>0</v>
      </c>
    </row>
    <row r="34" spans="1:31" x14ac:dyDescent="0.45">
      <c r="A34" s="28" t="s">
        <v>1168</v>
      </c>
      <c r="B34" s="5" t="s">
        <v>67</v>
      </c>
      <c r="C34" s="5" t="s">
        <v>43</v>
      </c>
      <c r="D34" s="5">
        <v>1</v>
      </c>
      <c r="E34" s="5" t="s">
        <v>1159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</row>
    <row r="35" spans="1:31" x14ac:dyDescent="0.45">
      <c r="A35" s="28" t="s">
        <v>1168</v>
      </c>
      <c r="B35" s="5" t="s">
        <v>67</v>
      </c>
      <c r="C35" s="5" t="s">
        <v>43</v>
      </c>
      <c r="D35" s="5">
        <v>1</v>
      </c>
      <c r="E35" s="5" t="s">
        <v>1160</v>
      </c>
      <c r="K35" s="24">
        <f>INDEX(Mitigation_Industry!K:K,MATCH($A35,Mitigation_Industry!$H:$H,0))</f>
        <v>0</v>
      </c>
      <c r="L35" s="24">
        <f>INDEX(Mitigation_Industry!L:L,MATCH($A35,Mitigation_Industry!$H:$H,0))</f>
        <v>0</v>
      </c>
      <c r="M35" s="24">
        <f>INDEX(Mitigation_Industry!M:M,MATCH($A35,Mitigation_Industry!$H:$H,0))</f>
        <v>0</v>
      </c>
      <c r="N35" s="24">
        <f>INDEX(Mitigation_Industry!N:N,MATCH($A35,Mitigation_Industry!$H:$H,0))</f>
        <v>0</v>
      </c>
      <c r="O35" s="24">
        <f>INDEX(Mitigation_Industry!O:O,MATCH($A35,Mitigation_Industry!$H:$H,0))</f>
        <v>0</v>
      </c>
      <c r="P35" s="24">
        <f>INDEX(Mitigation_Industry!P:P,MATCH($A35,Mitigation_Industry!$H:$H,0))</f>
        <v>0</v>
      </c>
      <c r="Q35" s="24">
        <f>INDEX(Mitigation_Industry!Q:Q,MATCH($A35,Mitigation_Industry!$H:$H,0))</f>
        <v>0</v>
      </c>
      <c r="R35" s="24">
        <f>INDEX(Mitigation_Industry!R:R,MATCH($A35,Mitigation_Industry!$H:$H,0))</f>
        <v>0</v>
      </c>
      <c r="S35" s="24">
        <f>INDEX(Mitigation_Industry!S:S,MATCH($A35,Mitigation_Industry!$H:$H,0))</f>
        <v>0</v>
      </c>
      <c r="T35" s="24">
        <f>INDEX(Mitigation_Industry!T:T,MATCH($A35,Mitigation_Industry!$H:$H,0))</f>
        <v>0</v>
      </c>
      <c r="U35" s="24">
        <f>INDEX(Mitigation_Industry!U:U,MATCH($A35,Mitigation_Industry!$H:$H,0))</f>
        <v>0</v>
      </c>
      <c r="V35" s="24">
        <f>INDEX(Mitigation_Industry!V:V,MATCH($A35,Mitigation_Industry!$H:$H,0))</f>
        <v>0</v>
      </c>
      <c r="W35" s="24">
        <f>INDEX(Mitigation_Industry!W:W,MATCH($A35,Mitigation_Industry!$H:$H,0))</f>
        <v>0</v>
      </c>
      <c r="X35" s="24">
        <f>INDEX(Mitigation_Industry!X:X,MATCH($A35,Mitigation_Industry!$H:$H,0))</f>
        <v>0</v>
      </c>
      <c r="Y35" s="24">
        <f>INDEX(Mitigation_Industry!Y:Y,MATCH($A35,Mitigation_Industry!$H:$H,0))</f>
        <v>0</v>
      </c>
      <c r="Z35" s="24">
        <f>INDEX(Mitigation_Industry!Z:Z,MATCH($A35,Mitigation_Industry!$H:$H,0))</f>
        <v>0</v>
      </c>
      <c r="AA35" s="24">
        <f>INDEX(Mitigation_Industry!AA:AA,MATCH($A35,Mitigation_Industry!$H:$H,0))</f>
        <v>0</v>
      </c>
      <c r="AB35" s="24">
        <f>INDEX(Mitigation_Industry!AB:AB,MATCH($A35,Mitigation_Industry!$H:$H,0))</f>
        <v>0</v>
      </c>
      <c r="AC35" s="24">
        <f>INDEX(Mitigation_Industry!AC:AC,MATCH($A35,Mitigation_Industry!$H:$H,0))</f>
        <v>0</v>
      </c>
      <c r="AD35" s="24">
        <f>INDEX(Mitigation_Industry!AD:AD,MATCH($A35,Mitigation_Industry!$H:$H,0))</f>
        <v>0</v>
      </c>
      <c r="AE35" s="24">
        <f>INDEX(Mitigation_Industry!AE:AE,MATCH($A35,Mitigation_Industry!$H:$H,0))</f>
        <v>0</v>
      </c>
    </row>
    <row r="36" spans="1:31" x14ac:dyDescent="0.45">
      <c r="A36" s="28" t="s">
        <v>1168</v>
      </c>
      <c r="B36" s="5" t="s">
        <v>67</v>
      </c>
      <c r="C36" s="5" t="s">
        <v>43</v>
      </c>
      <c r="D36" s="5">
        <v>1</v>
      </c>
      <c r="E36" s="2" t="s">
        <v>1161</v>
      </c>
      <c r="F36" s="31">
        <f>MAX(MAX(L36:AE36),-MIN(L36:AE36))</f>
        <v>0</v>
      </c>
      <c r="K36" s="32">
        <f t="shared" ref="K36:AE36" si="7">IF(ISNUMBER(K34),IF(ISNUMBER(K35),K35-K34,999999),0)</f>
        <v>0</v>
      </c>
      <c r="L36" s="32">
        <f t="shared" si="7"/>
        <v>0</v>
      </c>
      <c r="M36" s="32">
        <f t="shared" si="7"/>
        <v>0</v>
      </c>
      <c r="N36" s="32">
        <f t="shared" si="7"/>
        <v>0</v>
      </c>
      <c r="O36" s="32">
        <f t="shared" si="7"/>
        <v>0</v>
      </c>
      <c r="P36" s="32">
        <f t="shared" si="7"/>
        <v>0</v>
      </c>
      <c r="Q36" s="32">
        <f t="shared" si="7"/>
        <v>0</v>
      </c>
      <c r="R36" s="32">
        <f t="shared" si="7"/>
        <v>0</v>
      </c>
      <c r="S36" s="32">
        <f t="shared" si="7"/>
        <v>0</v>
      </c>
      <c r="T36" s="32">
        <f t="shared" si="7"/>
        <v>0</v>
      </c>
      <c r="U36" s="32">
        <f t="shared" si="7"/>
        <v>0</v>
      </c>
      <c r="V36" s="32">
        <f t="shared" si="7"/>
        <v>0</v>
      </c>
      <c r="W36" s="32">
        <f t="shared" si="7"/>
        <v>0</v>
      </c>
      <c r="X36" s="32">
        <f t="shared" si="7"/>
        <v>0</v>
      </c>
      <c r="Y36" s="32">
        <f t="shared" si="7"/>
        <v>0</v>
      </c>
      <c r="Z36" s="32">
        <f t="shared" si="7"/>
        <v>0</v>
      </c>
      <c r="AA36" s="32">
        <f t="shared" si="7"/>
        <v>0</v>
      </c>
      <c r="AB36" s="32">
        <f t="shared" si="7"/>
        <v>0</v>
      </c>
      <c r="AC36" s="32">
        <f t="shared" si="7"/>
        <v>0</v>
      </c>
      <c r="AD36" s="32">
        <f t="shared" si="7"/>
        <v>0</v>
      </c>
      <c r="AE36" s="32">
        <f t="shared" si="7"/>
        <v>0</v>
      </c>
    </row>
    <row r="38" spans="1:31" x14ac:dyDescent="0.45">
      <c r="A38" s="28" t="s">
        <v>1169</v>
      </c>
      <c r="B38" s="5" t="s">
        <v>69</v>
      </c>
      <c r="C38" s="5" t="s">
        <v>43</v>
      </c>
      <c r="D38" s="5">
        <v>1</v>
      </c>
      <c r="E38" s="5" t="s">
        <v>1159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</row>
    <row r="39" spans="1:31" x14ac:dyDescent="0.45">
      <c r="A39" s="28" t="s">
        <v>1169</v>
      </c>
      <c r="B39" s="5" t="s">
        <v>69</v>
      </c>
      <c r="C39" s="5" t="s">
        <v>43</v>
      </c>
      <c r="D39" s="5">
        <v>1</v>
      </c>
      <c r="E39" s="5" t="s">
        <v>1160</v>
      </c>
      <c r="K39" s="24">
        <f>INDEX(Mitigation_Industry!K:K,MATCH($A39,Mitigation_Industry!$H:$H,0))</f>
        <v>0</v>
      </c>
      <c r="L39" s="24">
        <f>INDEX(Mitigation_Industry!L:L,MATCH($A39,Mitigation_Industry!$H:$H,0))</f>
        <v>0</v>
      </c>
      <c r="M39" s="24">
        <f>INDEX(Mitigation_Industry!M:M,MATCH($A39,Mitigation_Industry!$H:$H,0))</f>
        <v>0</v>
      </c>
      <c r="N39" s="24">
        <f>INDEX(Mitigation_Industry!N:N,MATCH($A39,Mitigation_Industry!$H:$H,0))</f>
        <v>0</v>
      </c>
      <c r="O39" s="24">
        <f>INDEX(Mitigation_Industry!O:O,MATCH($A39,Mitigation_Industry!$H:$H,0))</f>
        <v>0</v>
      </c>
      <c r="P39" s="24">
        <f>INDEX(Mitigation_Industry!P:P,MATCH($A39,Mitigation_Industry!$H:$H,0))</f>
        <v>0</v>
      </c>
      <c r="Q39" s="24">
        <f>INDEX(Mitigation_Industry!Q:Q,MATCH($A39,Mitigation_Industry!$H:$H,0))</f>
        <v>0</v>
      </c>
      <c r="R39" s="24">
        <f>INDEX(Mitigation_Industry!R:R,MATCH($A39,Mitigation_Industry!$H:$H,0))</f>
        <v>0</v>
      </c>
      <c r="S39" s="24">
        <f>INDEX(Mitigation_Industry!S:S,MATCH($A39,Mitigation_Industry!$H:$H,0))</f>
        <v>0</v>
      </c>
      <c r="T39" s="24">
        <f>INDEX(Mitigation_Industry!T:T,MATCH($A39,Mitigation_Industry!$H:$H,0))</f>
        <v>0</v>
      </c>
      <c r="U39" s="24">
        <f>INDEX(Mitigation_Industry!U:U,MATCH($A39,Mitigation_Industry!$H:$H,0))</f>
        <v>0</v>
      </c>
      <c r="V39" s="24">
        <f>INDEX(Mitigation_Industry!V:V,MATCH($A39,Mitigation_Industry!$H:$H,0))</f>
        <v>0</v>
      </c>
      <c r="W39" s="24">
        <f>INDEX(Mitigation_Industry!W:W,MATCH($A39,Mitigation_Industry!$H:$H,0))</f>
        <v>0</v>
      </c>
      <c r="X39" s="24">
        <f>INDEX(Mitigation_Industry!X:X,MATCH($A39,Mitigation_Industry!$H:$H,0))</f>
        <v>0</v>
      </c>
      <c r="Y39" s="24">
        <f>INDEX(Mitigation_Industry!Y:Y,MATCH($A39,Mitigation_Industry!$H:$H,0))</f>
        <v>0</v>
      </c>
      <c r="Z39" s="24">
        <f>INDEX(Mitigation_Industry!Z:Z,MATCH($A39,Mitigation_Industry!$H:$H,0))</f>
        <v>0</v>
      </c>
      <c r="AA39" s="24">
        <f>INDEX(Mitigation_Industry!AA:AA,MATCH($A39,Mitigation_Industry!$H:$H,0))</f>
        <v>0</v>
      </c>
      <c r="AB39" s="24">
        <f>INDEX(Mitigation_Industry!AB:AB,MATCH($A39,Mitigation_Industry!$H:$H,0))</f>
        <v>0</v>
      </c>
      <c r="AC39" s="24">
        <f>INDEX(Mitigation_Industry!AC:AC,MATCH($A39,Mitigation_Industry!$H:$H,0))</f>
        <v>0</v>
      </c>
      <c r="AD39" s="24">
        <f>INDEX(Mitigation_Industry!AD:AD,MATCH($A39,Mitigation_Industry!$H:$H,0))</f>
        <v>0</v>
      </c>
      <c r="AE39" s="24">
        <f>INDEX(Mitigation_Industry!AE:AE,MATCH($A39,Mitigation_Industry!$H:$H,0))</f>
        <v>0</v>
      </c>
    </row>
    <row r="40" spans="1:31" x14ac:dyDescent="0.45">
      <c r="A40" s="28" t="s">
        <v>1169</v>
      </c>
      <c r="B40" s="5" t="s">
        <v>69</v>
      </c>
      <c r="C40" s="5" t="s">
        <v>43</v>
      </c>
      <c r="D40" s="5">
        <v>1</v>
      </c>
      <c r="E40" s="2" t="s">
        <v>1161</v>
      </c>
      <c r="F40" s="31">
        <f>MAX(MAX(L40:AE40),-MIN(L40:AE40))</f>
        <v>0</v>
      </c>
      <c r="K40" s="32">
        <f t="shared" ref="K40:AE40" si="8">IF(ISNUMBER(K38),IF(ISNUMBER(K39),K39-K38,999999),0)</f>
        <v>0</v>
      </c>
      <c r="L40" s="32">
        <f t="shared" si="8"/>
        <v>0</v>
      </c>
      <c r="M40" s="32">
        <f t="shared" si="8"/>
        <v>0</v>
      </c>
      <c r="N40" s="32">
        <f t="shared" si="8"/>
        <v>0</v>
      </c>
      <c r="O40" s="32">
        <f t="shared" si="8"/>
        <v>0</v>
      </c>
      <c r="P40" s="32">
        <f t="shared" si="8"/>
        <v>0</v>
      </c>
      <c r="Q40" s="32">
        <f t="shared" si="8"/>
        <v>0</v>
      </c>
      <c r="R40" s="32">
        <f t="shared" si="8"/>
        <v>0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0</v>
      </c>
      <c r="AB40" s="32">
        <f t="shared" si="8"/>
        <v>0</v>
      </c>
      <c r="AC40" s="32">
        <f t="shared" si="8"/>
        <v>0</v>
      </c>
      <c r="AD40" s="32">
        <f t="shared" si="8"/>
        <v>0</v>
      </c>
      <c r="AE40" s="32">
        <f t="shared" si="8"/>
        <v>0</v>
      </c>
    </row>
    <row r="42" spans="1:31" x14ac:dyDescent="0.45">
      <c r="A42" s="28" t="s">
        <v>1170</v>
      </c>
      <c r="B42" s="5" t="s">
        <v>49</v>
      </c>
      <c r="C42" s="5" t="s">
        <v>113</v>
      </c>
      <c r="D42" s="5">
        <v>1</v>
      </c>
      <c r="E42" s="5" t="s">
        <v>1159</v>
      </c>
      <c r="K42" s="24"/>
      <c r="L42" s="24">
        <v>1463.05522446279</v>
      </c>
      <c r="M42" s="24">
        <v>1191.36443625172</v>
      </c>
      <c r="N42" s="24">
        <v>1369.1779282213399</v>
      </c>
      <c r="O42" s="24">
        <v>1496.01034508212</v>
      </c>
      <c r="P42" s="24">
        <v>1463.0094084242101</v>
      </c>
      <c r="Q42" s="24">
        <v>1479.94340671035</v>
      </c>
      <c r="R42" s="24">
        <v>1520.88627890674</v>
      </c>
      <c r="S42" s="24">
        <v>1560.75473437556</v>
      </c>
      <c r="T42" s="24">
        <v>1598.95150875781</v>
      </c>
      <c r="U42" s="24">
        <v>1637.23935045645</v>
      </c>
      <c r="V42" s="24">
        <v>1668.235665405</v>
      </c>
      <c r="W42" s="24">
        <v>1699.31019575918</v>
      </c>
      <c r="X42" s="24">
        <v>1730.45408429811</v>
      </c>
      <c r="Y42" s="24">
        <v>1761.65855185757</v>
      </c>
      <c r="Z42" s="24">
        <v>1792.91488989513</v>
      </c>
      <c r="AA42" s="24">
        <v>1824.21445225722</v>
      </c>
      <c r="AB42" s="24">
        <v>1855.54864618903</v>
      </c>
      <c r="AC42" s="24">
        <v>1886.9089226255701</v>
      </c>
      <c r="AD42" s="24">
        <v>1918.2867657997101</v>
      </c>
      <c r="AE42" s="24">
        <v>1949.6736822001201</v>
      </c>
    </row>
    <row r="43" spans="1:31" x14ac:dyDescent="0.45">
      <c r="A43" s="28" t="s">
        <v>1170</v>
      </c>
      <c r="B43" s="5" t="s">
        <v>49</v>
      </c>
      <c r="C43" s="5" t="s">
        <v>113</v>
      </c>
      <c r="D43" s="5">
        <v>1</v>
      </c>
      <c r="E43" s="5" t="s">
        <v>1160</v>
      </c>
      <c r="K43" s="24">
        <f>INDEX(Mitigation_Industry!K:K,MATCH($A43,Mitigation_Industry!$H:$H,0))</f>
        <v>0</v>
      </c>
      <c r="L43" s="24">
        <f>INDEX(Mitigation_Industry!L:L,MATCH($A43,Mitigation_Industry!$H:$H,0))</f>
        <v>1463.05522446279</v>
      </c>
      <c r="M43" s="24">
        <f>INDEX(Mitigation_Industry!M:M,MATCH($A43,Mitigation_Industry!$H:$H,0))</f>
        <v>1191.3644362517186</v>
      </c>
      <c r="N43" s="24">
        <f>INDEX(Mitigation_Industry!N:N,MATCH($A43,Mitigation_Industry!$H:$H,0))</f>
        <v>1369.1779282213379</v>
      </c>
      <c r="O43" s="24">
        <f>INDEX(Mitigation_Industry!O:O,MATCH($A43,Mitigation_Industry!$H:$H,0))</f>
        <v>1496.0103450821184</v>
      </c>
      <c r="P43" s="24">
        <f>INDEX(Mitigation_Industry!P:P,MATCH($A43,Mitigation_Industry!$H:$H,0))</f>
        <v>1463.0094084242087</v>
      </c>
      <c r="Q43" s="24">
        <f>INDEX(Mitigation_Industry!Q:Q,MATCH($A43,Mitigation_Industry!$H:$H,0))</f>
        <v>1479.9434067103523</v>
      </c>
      <c r="R43" s="24">
        <f>INDEX(Mitigation_Industry!R:R,MATCH($A43,Mitigation_Industry!$H:$H,0))</f>
        <v>1520.8862789067375</v>
      </c>
      <c r="S43" s="24">
        <f>INDEX(Mitigation_Industry!S:S,MATCH($A43,Mitigation_Industry!$H:$H,0))</f>
        <v>1560.7547343755641</v>
      </c>
      <c r="T43" s="24">
        <f>INDEX(Mitigation_Industry!T:T,MATCH($A43,Mitigation_Industry!$H:$H,0))</f>
        <v>1598.9515087578091</v>
      </c>
      <c r="U43" s="24">
        <f>INDEX(Mitigation_Industry!U:U,MATCH($A43,Mitigation_Industry!$H:$H,0))</f>
        <v>1637.2393504564443</v>
      </c>
      <c r="V43" s="24">
        <f>INDEX(Mitigation_Industry!V:V,MATCH($A43,Mitigation_Industry!$H:$H,0))</f>
        <v>1668.235665404997</v>
      </c>
      <c r="W43" s="24">
        <f>INDEX(Mitigation_Industry!W:W,MATCH($A43,Mitigation_Industry!$H:$H,0))</f>
        <v>1699.3101957591753</v>
      </c>
      <c r="X43" s="24">
        <f>INDEX(Mitigation_Industry!X:X,MATCH($A43,Mitigation_Industry!$H:$H,0))</f>
        <v>1730.4540842981107</v>
      </c>
      <c r="Y43" s="24">
        <f>INDEX(Mitigation_Industry!Y:Y,MATCH($A43,Mitigation_Industry!$H:$H,0))</f>
        <v>1761.6585518575694</v>
      </c>
      <c r="Z43" s="24">
        <f>INDEX(Mitigation_Industry!Z:Z,MATCH($A43,Mitigation_Industry!$H:$H,0))</f>
        <v>1792.9148898951291</v>
      </c>
      <c r="AA43" s="24">
        <f>INDEX(Mitigation_Industry!AA:AA,MATCH($A43,Mitigation_Industry!$H:$H,0))</f>
        <v>1824.2144522572223</v>
      </c>
      <c r="AB43" s="24">
        <f>INDEX(Mitigation_Industry!AB:AB,MATCH($A43,Mitigation_Industry!$H:$H,0))</f>
        <v>1855.5486461890316</v>
      </c>
      <c r="AC43" s="24">
        <f>INDEX(Mitigation_Industry!AC:AC,MATCH($A43,Mitigation_Industry!$H:$H,0))</f>
        <v>1886.9089226255737</v>
      </c>
      <c r="AD43" s="24">
        <f>INDEX(Mitigation_Industry!AD:AD,MATCH($A43,Mitigation_Industry!$H:$H,0))</f>
        <v>1918.2867657997119</v>
      </c>
      <c r="AE43" s="24">
        <f>INDEX(Mitigation_Industry!AE:AE,MATCH($A43,Mitigation_Industry!$H:$H,0))</f>
        <v>1949.6736822001205</v>
      </c>
    </row>
    <row r="44" spans="1:31" x14ac:dyDescent="0.45">
      <c r="A44" s="28" t="s">
        <v>1170</v>
      </c>
      <c r="B44" s="5" t="s">
        <v>49</v>
      </c>
      <c r="C44" s="5" t="s">
        <v>113</v>
      </c>
      <c r="D44" s="5">
        <v>1</v>
      </c>
      <c r="E44" s="2" t="s">
        <v>1161</v>
      </c>
      <c r="F44" s="31">
        <f>MAX(MAX(L44:AE44),-MIN(L44:AE44))</f>
        <v>5.6843418860808015E-12</v>
      </c>
      <c r="K44" s="32">
        <f t="shared" ref="K44:AE44" si="9">IF(ISNUMBER(K42),IF(ISNUMBER(K43),K43-K42,999999),0)</f>
        <v>0</v>
      </c>
      <c r="L44" s="32">
        <f t="shared" si="9"/>
        <v>0</v>
      </c>
      <c r="M44" s="32">
        <f t="shared" si="9"/>
        <v>-1.3642420526593924E-12</v>
      </c>
      <c r="N44" s="32">
        <f t="shared" si="9"/>
        <v>-2.0463630789890885E-12</v>
      </c>
      <c r="O44" s="32">
        <f t="shared" si="9"/>
        <v>-1.5916157281026244E-12</v>
      </c>
      <c r="P44" s="32">
        <f t="shared" si="9"/>
        <v>-1.3642420526593924E-12</v>
      </c>
      <c r="Q44" s="32">
        <f t="shared" si="9"/>
        <v>2.2737367544323206E-12</v>
      </c>
      <c r="R44" s="32">
        <f t="shared" si="9"/>
        <v>-2.5011104298755527E-12</v>
      </c>
      <c r="S44" s="32">
        <f t="shared" si="9"/>
        <v>4.0927261579781771E-12</v>
      </c>
      <c r="T44" s="32">
        <f t="shared" si="9"/>
        <v>-9.0949470177292824E-13</v>
      </c>
      <c r="U44" s="32">
        <f t="shared" si="9"/>
        <v>-5.6843418860808015E-12</v>
      </c>
      <c r="V44" s="32">
        <f t="shared" si="9"/>
        <v>-2.9558577807620168E-12</v>
      </c>
      <c r="W44" s="32">
        <f t="shared" si="9"/>
        <v>-4.7748471843078732E-12</v>
      </c>
      <c r="X44" s="32">
        <f t="shared" si="9"/>
        <v>6.8212102632969618E-13</v>
      </c>
      <c r="Y44" s="32">
        <f t="shared" si="9"/>
        <v>-6.8212102632969618E-13</v>
      </c>
      <c r="Z44" s="32">
        <f t="shared" si="9"/>
        <v>-9.0949470177292824E-13</v>
      </c>
      <c r="AA44" s="32">
        <f t="shared" si="9"/>
        <v>2.2737367544323206E-12</v>
      </c>
      <c r="AB44" s="32">
        <f t="shared" si="9"/>
        <v>1.5916157281026244E-12</v>
      </c>
      <c r="AC44" s="32">
        <f t="shared" si="9"/>
        <v>3.637978807091713E-12</v>
      </c>
      <c r="AD44" s="32">
        <f t="shared" si="9"/>
        <v>1.8189894035458565E-12</v>
      </c>
      <c r="AE44" s="32">
        <f t="shared" si="9"/>
        <v>4.5474735088646412E-13</v>
      </c>
    </row>
    <row r="46" spans="1:31" x14ac:dyDescent="0.45">
      <c r="A46" s="28" t="s">
        <v>1171</v>
      </c>
      <c r="B46" s="5" t="s">
        <v>53</v>
      </c>
      <c r="C46" s="5" t="s">
        <v>113</v>
      </c>
      <c r="D46" s="5">
        <v>1</v>
      </c>
      <c r="E46" s="5" t="s">
        <v>1159</v>
      </c>
      <c r="K46" s="24"/>
      <c r="L46" s="24">
        <v>1747.39153476208</v>
      </c>
      <c r="M46" s="24">
        <v>1498.9759731403999</v>
      </c>
      <c r="N46" s="24">
        <v>1678.3581605794</v>
      </c>
      <c r="O46" s="24">
        <v>1744.6824773068599</v>
      </c>
      <c r="P46" s="24">
        <v>1810.2025593297401</v>
      </c>
      <c r="Q46" s="24">
        <v>1888.26993566398</v>
      </c>
      <c r="R46" s="24">
        <v>1982.03522275246</v>
      </c>
      <c r="S46" s="24">
        <v>2073.23357728365</v>
      </c>
      <c r="T46" s="24">
        <v>2159.7853501403401</v>
      </c>
      <c r="U46" s="24">
        <v>2248.2111327225398</v>
      </c>
      <c r="V46" s="24">
        <v>2338.8337314802202</v>
      </c>
      <c r="W46" s="24">
        <v>2431.6533942937499</v>
      </c>
      <c r="X46" s="24">
        <v>2526.6687256676</v>
      </c>
      <c r="Y46" s="24">
        <v>2623.8766619221901</v>
      </c>
      <c r="Z46" s="24">
        <v>2723.2724430000399</v>
      </c>
      <c r="AA46" s="24">
        <v>2824.8495806073802</v>
      </c>
      <c r="AB46" s="24">
        <v>2928.5998224235</v>
      </c>
      <c r="AC46" s="24">
        <v>3034.51311212059</v>
      </c>
      <c r="AD46" s="24">
        <v>3142.57754494757</v>
      </c>
      <c r="AE46" s="24">
        <v>3252.7793186411</v>
      </c>
    </row>
    <row r="47" spans="1:31" x14ac:dyDescent="0.45">
      <c r="A47" s="28" t="s">
        <v>1171</v>
      </c>
      <c r="B47" s="5" t="s">
        <v>53</v>
      </c>
      <c r="C47" s="5" t="s">
        <v>113</v>
      </c>
      <c r="D47" s="5">
        <v>1</v>
      </c>
      <c r="E47" s="5" t="s">
        <v>1160</v>
      </c>
      <c r="K47" s="24">
        <f>INDEX(Mitigation_Industry!K:K,MATCH($A47,Mitigation_Industry!$H:$H,0))</f>
        <v>0</v>
      </c>
      <c r="L47" s="24">
        <f>INDEX(Mitigation_Industry!L:L,MATCH($A47,Mitigation_Industry!$H:$H,0))</f>
        <v>1747.39153476208</v>
      </c>
      <c r="M47" s="24">
        <f>INDEX(Mitigation_Industry!M:M,MATCH($A47,Mitigation_Industry!$H:$H,0))</f>
        <v>1498.9759731403976</v>
      </c>
      <c r="N47" s="24">
        <f>INDEX(Mitigation_Industry!N:N,MATCH($A47,Mitigation_Industry!$H:$H,0))</f>
        <v>1678.358160579395</v>
      </c>
      <c r="O47" s="24">
        <f>INDEX(Mitigation_Industry!O:O,MATCH($A47,Mitigation_Industry!$H:$H,0))</f>
        <v>1744.6824773068638</v>
      </c>
      <c r="P47" s="24">
        <f>INDEX(Mitigation_Industry!P:P,MATCH($A47,Mitigation_Industry!$H:$H,0))</f>
        <v>1810.2025593297435</v>
      </c>
      <c r="Q47" s="24">
        <f>INDEX(Mitigation_Industry!Q:Q,MATCH($A47,Mitigation_Industry!$H:$H,0))</f>
        <v>1888.2699356639823</v>
      </c>
      <c r="R47" s="24">
        <f>INDEX(Mitigation_Industry!R:R,MATCH($A47,Mitigation_Industry!$H:$H,0))</f>
        <v>1982.0352227524543</v>
      </c>
      <c r="S47" s="24">
        <f>INDEX(Mitigation_Industry!S:S,MATCH($A47,Mitigation_Industry!$H:$H,0))</f>
        <v>2073.2335772836482</v>
      </c>
      <c r="T47" s="24">
        <f>INDEX(Mitigation_Industry!T:T,MATCH($A47,Mitigation_Industry!$H:$H,0))</f>
        <v>2159.7853501403379</v>
      </c>
      <c r="U47" s="24">
        <f>INDEX(Mitigation_Industry!U:U,MATCH($A47,Mitigation_Industry!$H:$H,0))</f>
        <v>2248.2111327225371</v>
      </c>
      <c r="V47" s="24">
        <f>INDEX(Mitigation_Industry!V:V,MATCH($A47,Mitigation_Industry!$H:$H,0))</f>
        <v>2338.8337314802193</v>
      </c>
      <c r="W47" s="24">
        <f>INDEX(Mitigation_Industry!W:W,MATCH($A47,Mitigation_Industry!$H:$H,0))</f>
        <v>2431.6533942937472</v>
      </c>
      <c r="X47" s="24">
        <f>INDEX(Mitigation_Industry!X:X,MATCH($A47,Mitigation_Industry!$H:$H,0))</f>
        <v>2526.6687256675955</v>
      </c>
      <c r="Y47" s="24">
        <f>INDEX(Mitigation_Industry!Y:Y,MATCH($A47,Mitigation_Industry!$H:$H,0))</f>
        <v>2623.8766619221847</v>
      </c>
      <c r="Z47" s="24">
        <f>INDEX(Mitigation_Industry!Z:Z,MATCH($A47,Mitigation_Industry!$H:$H,0))</f>
        <v>2723.2724430000362</v>
      </c>
      <c r="AA47" s="24">
        <f>INDEX(Mitigation_Industry!AA:AA,MATCH($A47,Mitigation_Industry!$H:$H,0))</f>
        <v>2824.8495806073797</v>
      </c>
      <c r="AB47" s="24">
        <f>INDEX(Mitigation_Industry!AB:AB,MATCH($A47,Mitigation_Industry!$H:$H,0))</f>
        <v>2928.5998224234936</v>
      </c>
      <c r="AC47" s="24">
        <f>INDEX(Mitigation_Industry!AC:AC,MATCH($A47,Mitigation_Industry!$H:$H,0))</f>
        <v>3034.5131121205823</v>
      </c>
      <c r="AD47" s="24">
        <f>INDEX(Mitigation_Industry!AD:AD,MATCH($A47,Mitigation_Industry!$H:$H,0))</f>
        <v>3142.5775449475668</v>
      </c>
      <c r="AE47" s="24">
        <f>INDEX(Mitigation_Industry!AE:AE,MATCH($A47,Mitigation_Industry!$H:$H,0))</f>
        <v>3252.7793186410991</v>
      </c>
    </row>
    <row r="48" spans="1:31" x14ac:dyDescent="0.45">
      <c r="A48" s="28" t="s">
        <v>1171</v>
      </c>
      <c r="B48" s="5" t="s">
        <v>53</v>
      </c>
      <c r="C48" s="5" t="s">
        <v>113</v>
      </c>
      <c r="D48" s="5">
        <v>1</v>
      </c>
      <c r="E48" s="2" t="s">
        <v>1161</v>
      </c>
      <c r="F48" s="31">
        <f>MAX(MAX(L48:AE48),-MIN(L48:AE48))</f>
        <v>7.73070496506989E-12</v>
      </c>
      <c r="K48" s="32">
        <f t="shared" ref="K48:AE48" si="10">IF(ISNUMBER(K46),IF(ISNUMBER(K47),K47-K46,999999),0)</f>
        <v>0</v>
      </c>
      <c r="L48" s="32">
        <f t="shared" si="10"/>
        <v>0</v>
      </c>
      <c r="M48" s="32">
        <f t="shared" si="10"/>
        <v>-2.2737367544323206E-12</v>
      </c>
      <c r="N48" s="32">
        <f t="shared" si="10"/>
        <v>-5.0022208597511053E-12</v>
      </c>
      <c r="O48" s="32">
        <f t="shared" si="10"/>
        <v>3.865352482534945E-12</v>
      </c>
      <c r="P48" s="32">
        <f t="shared" si="10"/>
        <v>3.4106051316484809E-12</v>
      </c>
      <c r="Q48" s="32">
        <f t="shared" si="10"/>
        <v>2.2737367544323206E-12</v>
      </c>
      <c r="R48" s="32">
        <f t="shared" si="10"/>
        <v>-5.6843418860808015E-12</v>
      </c>
      <c r="S48" s="32">
        <f t="shared" si="10"/>
        <v>-1.8189894035458565E-12</v>
      </c>
      <c r="T48" s="32">
        <f t="shared" si="10"/>
        <v>-2.2737367544323206E-12</v>
      </c>
      <c r="U48" s="32">
        <f t="shared" si="10"/>
        <v>-2.7284841053187847E-12</v>
      </c>
      <c r="V48" s="32">
        <f t="shared" si="10"/>
        <v>-9.0949470177292824E-13</v>
      </c>
      <c r="W48" s="32">
        <f t="shared" si="10"/>
        <v>-2.7284841053187847E-12</v>
      </c>
      <c r="X48" s="32">
        <f t="shared" si="10"/>
        <v>-4.5474735088646412E-12</v>
      </c>
      <c r="Y48" s="32">
        <f t="shared" si="10"/>
        <v>-5.4569682106375694E-12</v>
      </c>
      <c r="Z48" s="32">
        <f t="shared" si="10"/>
        <v>-3.637978807091713E-12</v>
      </c>
      <c r="AA48" s="32">
        <f t="shared" si="10"/>
        <v>-4.5474735088646412E-13</v>
      </c>
      <c r="AB48" s="32">
        <f t="shared" si="10"/>
        <v>-6.3664629124104977E-12</v>
      </c>
      <c r="AC48" s="32">
        <f t="shared" si="10"/>
        <v>-7.73070496506989E-12</v>
      </c>
      <c r="AD48" s="32">
        <f t="shared" si="10"/>
        <v>-3.1832314562052488E-12</v>
      </c>
      <c r="AE48" s="32">
        <f t="shared" si="10"/>
        <v>-9.0949470177292824E-13</v>
      </c>
    </row>
    <row r="50" spans="1:31" x14ac:dyDescent="0.45">
      <c r="A50" s="28" t="s">
        <v>1172</v>
      </c>
      <c r="B50" s="5" t="s">
        <v>55</v>
      </c>
      <c r="C50" s="5" t="s">
        <v>113</v>
      </c>
      <c r="D50" s="5">
        <v>1</v>
      </c>
      <c r="E50" s="5" t="s">
        <v>1159</v>
      </c>
      <c r="K50" s="24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</row>
    <row r="51" spans="1:31" x14ac:dyDescent="0.45">
      <c r="A51" s="28" t="s">
        <v>1172</v>
      </c>
      <c r="B51" s="5" t="s">
        <v>55</v>
      </c>
      <c r="C51" s="5" t="s">
        <v>113</v>
      </c>
      <c r="D51" s="5">
        <v>1</v>
      </c>
      <c r="E51" s="5" t="s">
        <v>1160</v>
      </c>
      <c r="K51" s="24">
        <f>INDEX(Mitigation_Industry!K:K,MATCH($A51,Mitigation_Industry!$H:$H,0))</f>
        <v>0</v>
      </c>
      <c r="L51" s="24">
        <f>INDEX(Mitigation_Industry!L:L,MATCH($A51,Mitigation_Industry!$H:$H,0))</f>
        <v>0</v>
      </c>
      <c r="M51" s="24">
        <f>INDEX(Mitigation_Industry!M:M,MATCH($A51,Mitigation_Industry!$H:$H,0))</f>
        <v>0</v>
      </c>
      <c r="N51" s="24">
        <f>INDEX(Mitigation_Industry!N:N,MATCH($A51,Mitigation_Industry!$H:$H,0))</f>
        <v>0</v>
      </c>
      <c r="O51" s="24">
        <f>INDEX(Mitigation_Industry!O:O,MATCH($A51,Mitigation_Industry!$H:$H,0))</f>
        <v>0</v>
      </c>
      <c r="P51" s="24">
        <f>INDEX(Mitigation_Industry!P:P,MATCH($A51,Mitigation_Industry!$H:$H,0))</f>
        <v>0</v>
      </c>
      <c r="Q51" s="24">
        <f>INDEX(Mitigation_Industry!Q:Q,MATCH($A51,Mitigation_Industry!$H:$H,0))</f>
        <v>0</v>
      </c>
      <c r="R51" s="24">
        <f>INDEX(Mitigation_Industry!R:R,MATCH($A51,Mitigation_Industry!$H:$H,0))</f>
        <v>0</v>
      </c>
      <c r="S51" s="24">
        <f>INDEX(Mitigation_Industry!S:S,MATCH($A51,Mitigation_Industry!$H:$H,0))</f>
        <v>0</v>
      </c>
      <c r="T51" s="24">
        <f>INDEX(Mitigation_Industry!T:T,MATCH($A51,Mitigation_Industry!$H:$H,0))</f>
        <v>0</v>
      </c>
      <c r="U51" s="24">
        <f>INDEX(Mitigation_Industry!U:U,MATCH($A51,Mitigation_Industry!$H:$H,0))</f>
        <v>0</v>
      </c>
      <c r="V51" s="24">
        <f>INDEX(Mitigation_Industry!V:V,MATCH($A51,Mitigation_Industry!$H:$H,0))</f>
        <v>0</v>
      </c>
      <c r="W51" s="24">
        <f>INDEX(Mitigation_Industry!W:W,MATCH($A51,Mitigation_Industry!$H:$H,0))</f>
        <v>0</v>
      </c>
      <c r="X51" s="24">
        <f>INDEX(Mitigation_Industry!X:X,MATCH($A51,Mitigation_Industry!$H:$H,0))</f>
        <v>0</v>
      </c>
      <c r="Y51" s="24">
        <f>INDEX(Mitigation_Industry!Y:Y,MATCH($A51,Mitigation_Industry!$H:$H,0))</f>
        <v>0</v>
      </c>
      <c r="Z51" s="24">
        <f>INDEX(Mitigation_Industry!Z:Z,MATCH($A51,Mitigation_Industry!$H:$H,0))</f>
        <v>0</v>
      </c>
      <c r="AA51" s="24">
        <f>INDEX(Mitigation_Industry!AA:AA,MATCH($A51,Mitigation_Industry!$H:$H,0))</f>
        <v>0</v>
      </c>
      <c r="AB51" s="24">
        <f>INDEX(Mitigation_Industry!AB:AB,MATCH($A51,Mitigation_Industry!$H:$H,0))</f>
        <v>0</v>
      </c>
      <c r="AC51" s="24">
        <f>INDEX(Mitigation_Industry!AC:AC,MATCH($A51,Mitigation_Industry!$H:$H,0))</f>
        <v>0</v>
      </c>
      <c r="AD51" s="24">
        <f>INDEX(Mitigation_Industry!AD:AD,MATCH($A51,Mitigation_Industry!$H:$H,0))</f>
        <v>0</v>
      </c>
      <c r="AE51" s="24">
        <f>INDEX(Mitigation_Industry!AE:AE,MATCH($A51,Mitigation_Industry!$H:$H,0))</f>
        <v>0</v>
      </c>
    </row>
    <row r="52" spans="1:31" x14ac:dyDescent="0.45">
      <c r="A52" s="28" t="s">
        <v>1172</v>
      </c>
      <c r="B52" s="5" t="s">
        <v>55</v>
      </c>
      <c r="C52" s="5" t="s">
        <v>113</v>
      </c>
      <c r="D52" s="5">
        <v>1</v>
      </c>
      <c r="E52" s="2" t="s">
        <v>1161</v>
      </c>
      <c r="F52" s="31">
        <f>MAX(MAX(L52:AE52),-MIN(L52:AE52))</f>
        <v>0</v>
      </c>
      <c r="K52" s="32">
        <f t="shared" ref="K52:AE52" si="11">IF(ISNUMBER(K50),IF(ISNUMBER(K51),K51-K50,999999),0)</f>
        <v>0</v>
      </c>
      <c r="L52" s="32">
        <f t="shared" si="11"/>
        <v>0</v>
      </c>
      <c r="M52" s="32">
        <f t="shared" si="11"/>
        <v>0</v>
      </c>
      <c r="N52" s="32">
        <f t="shared" si="11"/>
        <v>0</v>
      </c>
      <c r="O52" s="32">
        <f t="shared" si="11"/>
        <v>0</v>
      </c>
      <c r="P52" s="32">
        <f t="shared" si="11"/>
        <v>0</v>
      </c>
      <c r="Q52" s="32">
        <f t="shared" si="11"/>
        <v>0</v>
      </c>
      <c r="R52" s="32">
        <f t="shared" si="11"/>
        <v>0</v>
      </c>
      <c r="S52" s="32">
        <f t="shared" si="11"/>
        <v>0</v>
      </c>
      <c r="T52" s="32">
        <f t="shared" si="11"/>
        <v>0</v>
      </c>
      <c r="U52" s="32">
        <f t="shared" si="11"/>
        <v>0</v>
      </c>
      <c r="V52" s="32">
        <f t="shared" si="11"/>
        <v>0</v>
      </c>
      <c r="W52" s="32">
        <f t="shared" si="11"/>
        <v>0</v>
      </c>
      <c r="X52" s="32">
        <f t="shared" si="11"/>
        <v>0</v>
      </c>
      <c r="Y52" s="32">
        <f t="shared" si="11"/>
        <v>0</v>
      </c>
      <c r="Z52" s="32">
        <f t="shared" si="11"/>
        <v>0</v>
      </c>
      <c r="AA52" s="32">
        <f t="shared" si="11"/>
        <v>0</v>
      </c>
      <c r="AB52" s="32">
        <f t="shared" si="11"/>
        <v>0</v>
      </c>
      <c r="AC52" s="32">
        <f t="shared" si="11"/>
        <v>0</v>
      </c>
      <c r="AD52" s="32">
        <f t="shared" si="11"/>
        <v>0</v>
      </c>
      <c r="AE52" s="32">
        <f t="shared" si="11"/>
        <v>0</v>
      </c>
    </row>
    <row r="54" spans="1:31" x14ac:dyDescent="0.45">
      <c r="A54" s="28" t="s">
        <v>1173</v>
      </c>
      <c r="B54" s="5" t="s">
        <v>58</v>
      </c>
      <c r="C54" s="5" t="s">
        <v>113</v>
      </c>
      <c r="D54" s="5">
        <v>1</v>
      </c>
      <c r="E54" s="5" t="s">
        <v>1159</v>
      </c>
      <c r="K54" s="24"/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</row>
    <row r="55" spans="1:31" x14ac:dyDescent="0.45">
      <c r="A55" s="28" t="s">
        <v>1173</v>
      </c>
      <c r="B55" s="5" t="s">
        <v>58</v>
      </c>
      <c r="C55" s="5" t="s">
        <v>113</v>
      </c>
      <c r="D55" s="5">
        <v>1</v>
      </c>
      <c r="E55" s="5" t="s">
        <v>1160</v>
      </c>
      <c r="K55" s="24">
        <f>INDEX(Mitigation_Industry!K:K,MATCH($A55,Mitigation_Industry!$H:$H,0))</f>
        <v>0</v>
      </c>
      <c r="L55" s="24">
        <f>INDEX(Mitigation_Industry!L:L,MATCH($A55,Mitigation_Industry!$H:$H,0))</f>
        <v>0</v>
      </c>
      <c r="M55" s="24">
        <f>INDEX(Mitigation_Industry!M:M,MATCH($A55,Mitigation_Industry!$H:$H,0))</f>
        <v>0</v>
      </c>
      <c r="N55" s="24">
        <f>INDEX(Mitigation_Industry!N:N,MATCH($A55,Mitigation_Industry!$H:$H,0))</f>
        <v>0</v>
      </c>
      <c r="O55" s="24">
        <f>INDEX(Mitigation_Industry!O:O,MATCH($A55,Mitigation_Industry!$H:$H,0))</f>
        <v>0</v>
      </c>
      <c r="P55" s="24">
        <f>INDEX(Mitigation_Industry!P:P,MATCH($A55,Mitigation_Industry!$H:$H,0))</f>
        <v>0</v>
      </c>
      <c r="Q55" s="24">
        <f>INDEX(Mitigation_Industry!Q:Q,MATCH($A55,Mitigation_Industry!$H:$H,0))</f>
        <v>0</v>
      </c>
      <c r="R55" s="24">
        <f>INDEX(Mitigation_Industry!R:R,MATCH($A55,Mitigation_Industry!$H:$H,0))</f>
        <v>0</v>
      </c>
      <c r="S55" s="24">
        <f>INDEX(Mitigation_Industry!S:S,MATCH($A55,Mitigation_Industry!$H:$H,0))</f>
        <v>0</v>
      </c>
      <c r="T55" s="24">
        <f>INDEX(Mitigation_Industry!T:T,MATCH($A55,Mitigation_Industry!$H:$H,0))</f>
        <v>0</v>
      </c>
      <c r="U55" s="24">
        <f>INDEX(Mitigation_Industry!U:U,MATCH($A55,Mitigation_Industry!$H:$H,0))</f>
        <v>0</v>
      </c>
      <c r="V55" s="24">
        <f>INDEX(Mitigation_Industry!V:V,MATCH($A55,Mitigation_Industry!$H:$H,0))</f>
        <v>0</v>
      </c>
      <c r="W55" s="24">
        <f>INDEX(Mitigation_Industry!W:W,MATCH($A55,Mitigation_Industry!$H:$H,0))</f>
        <v>0</v>
      </c>
      <c r="X55" s="24">
        <f>INDEX(Mitigation_Industry!X:X,MATCH($A55,Mitigation_Industry!$H:$H,0))</f>
        <v>0</v>
      </c>
      <c r="Y55" s="24">
        <f>INDEX(Mitigation_Industry!Y:Y,MATCH($A55,Mitigation_Industry!$H:$H,0))</f>
        <v>0</v>
      </c>
      <c r="Z55" s="24">
        <f>INDEX(Mitigation_Industry!Z:Z,MATCH($A55,Mitigation_Industry!$H:$H,0))</f>
        <v>0</v>
      </c>
      <c r="AA55" s="24">
        <f>INDEX(Mitigation_Industry!AA:AA,MATCH($A55,Mitigation_Industry!$H:$H,0))</f>
        <v>0</v>
      </c>
      <c r="AB55" s="24">
        <f>INDEX(Mitigation_Industry!AB:AB,MATCH($A55,Mitigation_Industry!$H:$H,0))</f>
        <v>0</v>
      </c>
      <c r="AC55" s="24">
        <f>INDEX(Mitigation_Industry!AC:AC,MATCH($A55,Mitigation_Industry!$H:$H,0))</f>
        <v>0</v>
      </c>
      <c r="AD55" s="24">
        <f>INDEX(Mitigation_Industry!AD:AD,MATCH($A55,Mitigation_Industry!$H:$H,0))</f>
        <v>0</v>
      </c>
      <c r="AE55" s="24">
        <f>INDEX(Mitigation_Industry!AE:AE,MATCH($A55,Mitigation_Industry!$H:$H,0))</f>
        <v>0</v>
      </c>
    </row>
    <row r="56" spans="1:31" x14ac:dyDescent="0.45">
      <c r="A56" s="28" t="s">
        <v>1173</v>
      </c>
      <c r="B56" s="5" t="s">
        <v>58</v>
      </c>
      <c r="C56" s="5" t="s">
        <v>113</v>
      </c>
      <c r="D56" s="5">
        <v>1</v>
      </c>
      <c r="E56" s="2" t="s">
        <v>1161</v>
      </c>
      <c r="F56" s="31">
        <f>MAX(MAX(L56:AE56),-MIN(L56:AE56))</f>
        <v>0</v>
      </c>
      <c r="K56" s="32">
        <f t="shared" ref="K56:AE56" si="12">IF(ISNUMBER(K54),IF(ISNUMBER(K55),K55-K54,999999),0)</f>
        <v>0</v>
      </c>
      <c r="L56" s="32">
        <f t="shared" si="12"/>
        <v>0</v>
      </c>
      <c r="M56" s="32">
        <f t="shared" si="12"/>
        <v>0</v>
      </c>
      <c r="N56" s="32">
        <f t="shared" si="12"/>
        <v>0</v>
      </c>
      <c r="O56" s="32">
        <f t="shared" si="12"/>
        <v>0</v>
      </c>
      <c r="P56" s="32">
        <f t="shared" si="12"/>
        <v>0</v>
      </c>
      <c r="Q56" s="32">
        <f t="shared" si="12"/>
        <v>0</v>
      </c>
      <c r="R56" s="32">
        <f t="shared" si="12"/>
        <v>0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0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12"/>
        <v>0</v>
      </c>
      <c r="AE56" s="32">
        <f t="shared" si="12"/>
        <v>0</v>
      </c>
    </row>
    <row r="58" spans="1:31" x14ac:dyDescent="0.45">
      <c r="A58" s="28" t="s">
        <v>1174</v>
      </c>
      <c r="B58" s="5" t="s">
        <v>60</v>
      </c>
      <c r="C58" s="5" t="s">
        <v>113</v>
      </c>
      <c r="D58" s="5">
        <v>1</v>
      </c>
      <c r="E58" s="5" t="s">
        <v>1159</v>
      </c>
      <c r="K58" s="24"/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</row>
    <row r="59" spans="1:31" x14ac:dyDescent="0.45">
      <c r="A59" s="28" t="s">
        <v>1174</v>
      </c>
      <c r="B59" s="5" t="s">
        <v>60</v>
      </c>
      <c r="C59" s="5" t="s">
        <v>113</v>
      </c>
      <c r="D59" s="5">
        <v>1</v>
      </c>
      <c r="E59" s="5" t="s">
        <v>1160</v>
      </c>
      <c r="K59" s="24">
        <f>INDEX(Mitigation_Industry!K:K,MATCH($A59,Mitigation_Industry!$H:$H,0))</f>
        <v>0</v>
      </c>
      <c r="L59" s="24">
        <f>INDEX(Mitigation_Industry!L:L,MATCH($A59,Mitigation_Industry!$H:$H,0))</f>
        <v>0</v>
      </c>
      <c r="M59" s="24">
        <f>INDEX(Mitigation_Industry!M:M,MATCH($A59,Mitigation_Industry!$H:$H,0))</f>
        <v>0</v>
      </c>
      <c r="N59" s="24">
        <f>INDEX(Mitigation_Industry!N:N,MATCH($A59,Mitigation_Industry!$H:$H,0))</f>
        <v>0</v>
      </c>
      <c r="O59" s="24">
        <f>INDEX(Mitigation_Industry!O:O,MATCH($A59,Mitigation_Industry!$H:$H,0))</f>
        <v>0</v>
      </c>
      <c r="P59" s="24">
        <f>INDEX(Mitigation_Industry!P:P,MATCH($A59,Mitigation_Industry!$H:$H,0))</f>
        <v>0</v>
      </c>
      <c r="Q59" s="24">
        <f>INDEX(Mitigation_Industry!Q:Q,MATCH($A59,Mitigation_Industry!$H:$H,0))</f>
        <v>0</v>
      </c>
      <c r="R59" s="24">
        <f>INDEX(Mitigation_Industry!R:R,MATCH($A59,Mitigation_Industry!$H:$H,0))</f>
        <v>0</v>
      </c>
      <c r="S59" s="24">
        <f>INDEX(Mitigation_Industry!S:S,MATCH($A59,Mitigation_Industry!$H:$H,0))</f>
        <v>0</v>
      </c>
      <c r="T59" s="24">
        <f>INDEX(Mitigation_Industry!T:T,MATCH($A59,Mitigation_Industry!$H:$H,0))</f>
        <v>0</v>
      </c>
      <c r="U59" s="24">
        <f>INDEX(Mitigation_Industry!U:U,MATCH($A59,Mitigation_Industry!$H:$H,0))</f>
        <v>0</v>
      </c>
      <c r="V59" s="24">
        <f>INDEX(Mitigation_Industry!V:V,MATCH($A59,Mitigation_Industry!$H:$H,0))</f>
        <v>0</v>
      </c>
      <c r="W59" s="24">
        <f>INDEX(Mitigation_Industry!W:W,MATCH($A59,Mitigation_Industry!$H:$H,0))</f>
        <v>0</v>
      </c>
      <c r="X59" s="24">
        <f>INDEX(Mitigation_Industry!X:X,MATCH($A59,Mitigation_Industry!$H:$H,0))</f>
        <v>0</v>
      </c>
      <c r="Y59" s="24">
        <f>INDEX(Mitigation_Industry!Y:Y,MATCH($A59,Mitigation_Industry!$H:$H,0))</f>
        <v>0</v>
      </c>
      <c r="Z59" s="24">
        <f>INDEX(Mitigation_Industry!Z:Z,MATCH($A59,Mitigation_Industry!$H:$H,0))</f>
        <v>0</v>
      </c>
      <c r="AA59" s="24">
        <f>INDEX(Mitigation_Industry!AA:AA,MATCH($A59,Mitigation_Industry!$H:$H,0))</f>
        <v>0</v>
      </c>
      <c r="AB59" s="24">
        <f>INDEX(Mitigation_Industry!AB:AB,MATCH($A59,Mitigation_Industry!$H:$H,0))</f>
        <v>0</v>
      </c>
      <c r="AC59" s="24">
        <f>INDEX(Mitigation_Industry!AC:AC,MATCH($A59,Mitigation_Industry!$H:$H,0))</f>
        <v>0</v>
      </c>
      <c r="AD59" s="24">
        <f>INDEX(Mitigation_Industry!AD:AD,MATCH($A59,Mitigation_Industry!$H:$H,0))</f>
        <v>0</v>
      </c>
      <c r="AE59" s="24">
        <f>INDEX(Mitigation_Industry!AE:AE,MATCH($A59,Mitigation_Industry!$H:$H,0))</f>
        <v>0</v>
      </c>
    </row>
    <row r="60" spans="1:31" x14ac:dyDescent="0.45">
      <c r="A60" s="28" t="s">
        <v>1174</v>
      </c>
      <c r="B60" s="5" t="s">
        <v>60</v>
      </c>
      <c r="C60" s="5" t="s">
        <v>113</v>
      </c>
      <c r="D60" s="5">
        <v>1</v>
      </c>
      <c r="E60" s="2" t="s">
        <v>1161</v>
      </c>
      <c r="F60" s="31">
        <f>MAX(MAX(L60:AE60),-MIN(L60:AE60))</f>
        <v>0</v>
      </c>
      <c r="K60" s="32">
        <f t="shared" ref="K60:AE60" si="13">IF(ISNUMBER(K58),IF(ISNUMBER(K59),K59-K58,999999),0)</f>
        <v>0</v>
      </c>
      <c r="L60" s="32">
        <f t="shared" si="13"/>
        <v>0</v>
      </c>
      <c r="M60" s="32">
        <f t="shared" si="13"/>
        <v>0</v>
      </c>
      <c r="N60" s="32">
        <f t="shared" si="13"/>
        <v>0</v>
      </c>
      <c r="O60" s="32">
        <f t="shared" si="13"/>
        <v>0</v>
      </c>
      <c r="P60" s="32">
        <f t="shared" si="13"/>
        <v>0</v>
      </c>
      <c r="Q60" s="32">
        <f t="shared" si="13"/>
        <v>0</v>
      </c>
      <c r="R60" s="32">
        <f t="shared" si="13"/>
        <v>0</v>
      </c>
      <c r="S60" s="32">
        <f t="shared" si="13"/>
        <v>0</v>
      </c>
      <c r="T60" s="32">
        <f t="shared" si="13"/>
        <v>0</v>
      </c>
      <c r="U60" s="32">
        <f t="shared" si="13"/>
        <v>0</v>
      </c>
      <c r="V60" s="32">
        <f t="shared" si="13"/>
        <v>0</v>
      </c>
      <c r="W60" s="32">
        <f t="shared" si="13"/>
        <v>0</v>
      </c>
      <c r="X60" s="32">
        <f t="shared" si="13"/>
        <v>0</v>
      </c>
      <c r="Y60" s="32">
        <f t="shared" si="13"/>
        <v>0</v>
      </c>
      <c r="Z60" s="32">
        <f t="shared" si="13"/>
        <v>0</v>
      </c>
      <c r="AA60" s="32">
        <f t="shared" si="13"/>
        <v>0</v>
      </c>
      <c r="AB60" s="32">
        <f t="shared" si="13"/>
        <v>0</v>
      </c>
      <c r="AC60" s="32">
        <f t="shared" si="13"/>
        <v>0</v>
      </c>
      <c r="AD60" s="32">
        <f t="shared" si="13"/>
        <v>0</v>
      </c>
      <c r="AE60" s="32">
        <f t="shared" si="13"/>
        <v>0</v>
      </c>
    </row>
    <row r="62" spans="1:31" x14ac:dyDescent="0.45">
      <c r="A62" s="28" t="s">
        <v>1175</v>
      </c>
      <c r="B62" s="5" t="s">
        <v>62</v>
      </c>
      <c r="C62" s="5" t="s">
        <v>113</v>
      </c>
      <c r="D62" s="5">
        <v>1</v>
      </c>
      <c r="E62" s="5" t="s">
        <v>1159</v>
      </c>
      <c r="K62" s="24"/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</row>
    <row r="63" spans="1:31" x14ac:dyDescent="0.45">
      <c r="A63" s="28" t="s">
        <v>1175</v>
      </c>
      <c r="B63" s="5" t="s">
        <v>62</v>
      </c>
      <c r="C63" s="5" t="s">
        <v>113</v>
      </c>
      <c r="D63" s="5">
        <v>1</v>
      </c>
      <c r="E63" s="5" t="s">
        <v>1160</v>
      </c>
      <c r="K63" s="24">
        <f>INDEX(Mitigation_Industry!K:K,MATCH($A63,Mitigation_Industry!$H:$H,0))</f>
        <v>0</v>
      </c>
      <c r="L63" s="24">
        <f>INDEX(Mitigation_Industry!L:L,MATCH($A63,Mitigation_Industry!$H:$H,0))</f>
        <v>0</v>
      </c>
      <c r="M63" s="24">
        <f>INDEX(Mitigation_Industry!M:M,MATCH($A63,Mitigation_Industry!$H:$H,0))</f>
        <v>0</v>
      </c>
      <c r="N63" s="24">
        <f>INDEX(Mitigation_Industry!N:N,MATCH($A63,Mitigation_Industry!$H:$H,0))</f>
        <v>0</v>
      </c>
      <c r="O63" s="24">
        <f>INDEX(Mitigation_Industry!O:O,MATCH($A63,Mitigation_Industry!$H:$H,0))</f>
        <v>0</v>
      </c>
      <c r="P63" s="24">
        <f>INDEX(Mitigation_Industry!P:P,MATCH($A63,Mitigation_Industry!$H:$H,0))</f>
        <v>0</v>
      </c>
      <c r="Q63" s="24">
        <f>INDEX(Mitigation_Industry!Q:Q,MATCH($A63,Mitigation_Industry!$H:$H,0))</f>
        <v>0</v>
      </c>
      <c r="R63" s="24">
        <f>INDEX(Mitigation_Industry!R:R,MATCH($A63,Mitigation_Industry!$H:$H,0))</f>
        <v>0</v>
      </c>
      <c r="S63" s="24">
        <f>INDEX(Mitigation_Industry!S:S,MATCH($A63,Mitigation_Industry!$H:$H,0))</f>
        <v>0</v>
      </c>
      <c r="T63" s="24">
        <f>INDEX(Mitigation_Industry!T:T,MATCH($A63,Mitigation_Industry!$H:$H,0))</f>
        <v>0</v>
      </c>
      <c r="U63" s="24">
        <f>INDEX(Mitigation_Industry!U:U,MATCH($A63,Mitigation_Industry!$H:$H,0))</f>
        <v>0</v>
      </c>
      <c r="V63" s="24">
        <f>INDEX(Mitigation_Industry!V:V,MATCH($A63,Mitigation_Industry!$H:$H,0))</f>
        <v>0</v>
      </c>
      <c r="W63" s="24">
        <f>INDEX(Mitigation_Industry!W:W,MATCH($A63,Mitigation_Industry!$H:$H,0))</f>
        <v>0</v>
      </c>
      <c r="X63" s="24">
        <f>INDEX(Mitigation_Industry!X:X,MATCH($A63,Mitigation_Industry!$H:$H,0))</f>
        <v>0</v>
      </c>
      <c r="Y63" s="24">
        <f>INDEX(Mitigation_Industry!Y:Y,MATCH($A63,Mitigation_Industry!$H:$H,0))</f>
        <v>0</v>
      </c>
      <c r="Z63" s="24">
        <f>INDEX(Mitigation_Industry!Z:Z,MATCH($A63,Mitigation_Industry!$H:$H,0))</f>
        <v>0</v>
      </c>
      <c r="AA63" s="24">
        <f>INDEX(Mitigation_Industry!AA:AA,MATCH($A63,Mitigation_Industry!$H:$H,0))</f>
        <v>0</v>
      </c>
      <c r="AB63" s="24">
        <f>INDEX(Mitigation_Industry!AB:AB,MATCH($A63,Mitigation_Industry!$H:$H,0))</f>
        <v>0</v>
      </c>
      <c r="AC63" s="24">
        <f>INDEX(Mitigation_Industry!AC:AC,MATCH($A63,Mitigation_Industry!$H:$H,0))</f>
        <v>0</v>
      </c>
      <c r="AD63" s="24">
        <f>INDEX(Mitigation_Industry!AD:AD,MATCH($A63,Mitigation_Industry!$H:$H,0))</f>
        <v>0</v>
      </c>
      <c r="AE63" s="24">
        <f>INDEX(Mitigation_Industry!AE:AE,MATCH($A63,Mitigation_Industry!$H:$H,0))</f>
        <v>0</v>
      </c>
    </row>
    <row r="64" spans="1:31" x14ac:dyDescent="0.45">
      <c r="A64" s="28" t="s">
        <v>1175</v>
      </c>
      <c r="B64" s="5" t="s">
        <v>62</v>
      </c>
      <c r="C64" s="5" t="s">
        <v>113</v>
      </c>
      <c r="D64" s="5">
        <v>1</v>
      </c>
      <c r="E64" s="2" t="s">
        <v>1161</v>
      </c>
      <c r="F64" s="31">
        <f>MAX(MAX(L64:AE64),-MIN(L64:AE64))</f>
        <v>0</v>
      </c>
      <c r="K64" s="32">
        <f t="shared" ref="K64:AE64" si="14">IF(ISNUMBER(K62),IF(ISNUMBER(K63),K63-K62,999999),0)</f>
        <v>0</v>
      </c>
      <c r="L64" s="32">
        <f t="shared" si="14"/>
        <v>0</v>
      </c>
      <c r="M64" s="32">
        <f t="shared" si="14"/>
        <v>0</v>
      </c>
      <c r="N64" s="32">
        <f t="shared" si="14"/>
        <v>0</v>
      </c>
      <c r="O64" s="32">
        <f t="shared" si="14"/>
        <v>0</v>
      </c>
      <c r="P64" s="32">
        <f t="shared" si="14"/>
        <v>0</v>
      </c>
      <c r="Q64" s="32">
        <f t="shared" si="14"/>
        <v>0</v>
      </c>
      <c r="R64" s="32">
        <f t="shared" si="14"/>
        <v>0</v>
      </c>
      <c r="S64" s="32">
        <f t="shared" si="14"/>
        <v>0</v>
      </c>
      <c r="T64" s="32">
        <f t="shared" si="14"/>
        <v>0</v>
      </c>
      <c r="U64" s="32">
        <f t="shared" si="14"/>
        <v>0</v>
      </c>
      <c r="V64" s="32">
        <f t="shared" si="14"/>
        <v>0</v>
      </c>
      <c r="W64" s="32">
        <f t="shared" si="14"/>
        <v>0</v>
      </c>
      <c r="X64" s="32">
        <f t="shared" si="14"/>
        <v>0</v>
      </c>
      <c r="Y64" s="32">
        <f t="shared" si="14"/>
        <v>0</v>
      </c>
      <c r="Z64" s="32">
        <f t="shared" si="14"/>
        <v>0</v>
      </c>
      <c r="AA64" s="32">
        <f t="shared" si="14"/>
        <v>0</v>
      </c>
      <c r="AB64" s="32">
        <f t="shared" si="14"/>
        <v>0</v>
      </c>
      <c r="AC64" s="32">
        <f t="shared" si="14"/>
        <v>0</v>
      </c>
      <c r="AD64" s="32">
        <f t="shared" si="14"/>
        <v>0</v>
      </c>
      <c r="AE64" s="32">
        <f t="shared" si="14"/>
        <v>0</v>
      </c>
    </row>
    <row r="66" spans="1:31" x14ac:dyDescent="0.45">
      <c r="A66" s="28" t="s">
        <v>1176</v>
      </c>
      <c r="B66" s="5" t="s">
        <v>64</v>
      </c>
      <c r="C66" s="5" t="s">
        <v>113</v>
      </c>
      <c r="D66" s="5">
        <v>1</v>
      </c>
      <c r="E66" s="5" t="s">
        <v>1159</v>
      </c>
      <c r="K66" s="24"/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</row>
    <row r="67" spans="1:31" x14ac:dyDescent="0.45">
      <c r="A67" s="28" t="s">
        <v>1176</v>
      </c>
      <c r="B67" s="5" t="s">
        <v>64</v>
      </c>
      <c r="C67" s="5" t="s">
        <v>113</v>
      </c>
      <c r="D67" s="5">
        <v>1</v>
      </c>
      <c r="E67" s="5" t="s">
        <v>1160</v>
      </c>
      <c r="K67" s="24">
        <f>INDEX(Mitigation_Industry!K:K,MATCH($A67,Mitigation_Industry!$H:$H,0))</f>
        <v>0</v>
      </c>
      <c r="L67" s="24">
        <f>INDEX(Mitigation_Industry!L:L,MATCH($A67,Mitigation_Industry!$H:$H,0))</f>
        <v>0</v>
      </c>
      <c r="M67" s="24">
        <f>INDEX(Mitigation_Industry!M:M,MATCH($A67,Mitigation_Industry!$H:$H,0))</f>
        <v>0</v>
      </c>
      <c r="N67" s="24">
        <f>INDEX(Mitigation_Industry!N:N,MATCH($A67,Mitigation_Industry!$H:$H,0))</f>
        <v>0</v>
      </c>
      <c r="O67" s="24">
        <f>INDEX(Mitigation_Industry!O:O,MATCH($A67,Mitigation_Industry!$H:$H,0))</f>
        <v>0</v>
      </c>
      <c r="P67" s="24">
        <f>INDEX(Mitigation_Industry!P:P,MATCH($A67,Mitigation_Industry!$H:$H,0))</f>
        <v>0</v>
      </c>
      <c r="Q67" s="24">
        <f>INDEX(Mitigation_Industry!Q:Q,MATCH($A67,Mitigation_Industry!$H:$H,0))</f>
        <v>0</v>
      </c>
      <c r="R67" s="24">
        <f>INDEX(Mitigation_Industry!R:R,MATCH($A67,Mitigation_Industry!$H:$H,0))</f>
        <v>0</v>
      </c>
      <c r="S67" s="24">
        <f>INDEX(Mitigation_Industry!S:S,MATCH($A67,Mitigation_Industry!$H:$H,0))</f>
        <v>0</v>
      </c>
      <c r="T67" s="24">
        <f>INDEX(Mitigation_Industry!T:T,MATCH($A67,Mitigation_Industry!$H:$H,0))</f>
        <v>0</v>
      </c>
      <c r="U67" s="24">
        <f>INDEX(Mitigation_Industry!U:U,MATCH($A67,Mitigation_Industry!$H:$H,0))</f>
        <v>0</v>
      </c>
      <c r="V67" s="24">
        <f>INDEX(Mitigation_Industry!V:V,MATCH($A67,Mitigation_Industry!$H:$H,0))</f>
        <v>0</v>
      </c>
      <c r="W67" s="24">
        <f>INDEX(Mitigation_Industry!W:W,MATCH($A67,Mitigation_Industry!$H:$H,0))</f>
        <v>0</v>
      </c>
      <c r="X67" s="24">
        <f>INDEX(Mitigation_Industry!X:X,MATCH($A67,Mitigation_Industry!$H:$H,0))</f>
        <v>0</v>
      </c>
      <c r="Y67" s="24">
        <f>INDEX(Mitigation_Industry!Y:Y,MATCH($A67,Mitigation_Industry!$H:$H,0))</f>
        <v>0</v>
      </c>
      <c r="Z67" s="24">
        <f>INDEX(Mitigation_Industry!Z:Z,MATCH($A67,Mitigation_Industry!$H:$H,0))</f>
        <v>0</v>
      </c>
      <c r="AA67" s="24">
        <f>INDEX(Mitigation_Industry!AA:AA,MATCH($A67,Mitigation_Industry!$H:$H,0))</f>
        <v>0</v>
      </c>
      <c r="AB67" s="24">
        <f>INDEX(Mitigation_Industry!AB:AB,MATCH($A67,Mitigation_Industry!$H:$H,0))</f>
        <v>0</v>
      </c>
      <c r="AC67" s="24">
        <f>INDEX(Mitigation_Industry!AC:AC,MATCH($A67,Mitigation_Industry!$H:$H,0))</f>
        <v>0</v>
      </c>
      <c r="AD67" s="24">
        <f>INDEX(Mitigation_Industry!AD:AD,MATCH($A67,Mitigation_Industry!$H:$H,0))</f>
        <v>0</v>
      </c>
      <c r="AE67" s="24">
        <f>INDEX(Mitigation_Industry!AE:AE,MATCH($A67,Mitigation_Industry!$H:$H,0))</f>
        <v>0</v>
      </c>
    </row>
    <row r="68" spans="1:31" x14ac:dyDescent="0.45">
      <c r="A68" s="28" t="s">
        <v>1176</v>
      </c>
      <c r="B68" s="5" t="s">
        <v>64</v>
      </c>
      <c r="C68" s="5" t="s">
        <v>113</v>
      </c>
      <c r="D68" s="5">
        <v>1</v>
      </c>
      <c r="E68" s="2" t="s">
        <v>1161</v>
      </c>
      <c r="F68" s="31">
        <f>MAX(MAX(L68:AE68),-MIN(L68:AE68))</f>
        <v>0</v>
      </c>
      <c r="K68" s="32">
        <f t="shared" ref="K68:AE68" si="15">IF(ISNUMBER(K66),IF(ISNUMBER(K67),K67-K66,999999),0)</f>
        <v>0</v>
      </c>
      <c r="L68" s="32">
        <f t="shared" si="15"/>
        <v>0</v>
      </c>
      <c r="M68" s="32">
        <f t="shared" si="15"/>
        <v>0</v>
      </c>
      <c r="N68" s="32">
        <f t="shared" si="15"/>
        <v>0</v>
      </c>
      <c r="O68" s="32">
        <f t="shared" si="15"/>
        <v>0</v>
      </c>
      <c r="P68" s="32">
        <f t="shared" si="15"/>
        <v>0</v>
      </c>
      <c r="Q68" s="32">
        <f t="shared" si="15"/>
        <v>0</v>
      </c>
      <c r="R68" s="32">
        <f t="shared" si="15"/>
        <v>0</v>
      </c>
      <c r="S68" s="32">
        <f t="shared" si="15"/>
        <v>0</v>
      </c>
      <c r="T68" s="32">
        <f t="shared" si="15"/>
        <v>0</v>
      </c>
      <c r="U68" s="32">
        <f t="shared" si="15"/>
        <v>0</v>
      </c>
      <c r="V68" s="32">
        <f t="shared" si="15"/>
        <v>0</v>
      </c>
      <c r="W68" s="32">
        <f t="shared" si="15"/>
        <v>0</v>
      </c>
      <c r="X68" s="32">
        <f t="shared" si="15"/>
        <v>0</v>
      </c>
      <c r="Y68" s="32">
        <f t="shared" si="15"/>
        <v>0</v>
      </c>
      <c r="Z68" s="32">
        <f t="shared" si="15"/>
        <v>0</v>
      </c>
      <c r="AA68" s="32">
        <f t="shared" si="15"/>
        <v>0</v>
      </c>
      <c r="AB68" s="32">
        <f t="shared" si="15"/>
        <v>0</v>
      </c>
      <c r="AC68" s="32">
        <f t="shared" si="15"/>
        <v>0</v>
      </c>
      <c r="AD68" s="32">
        <f t="shared" si="15"/>
        <v>0</v>
      </c>
      <c r="AE68" s="32">
        <f t="shared" si="15"/>
        <v>0</v>
      </c>
    </row>
    <row r="70" spans="1:31" x14ac:dyDescent="0.45">
      <c r="A70" s="28" t="s">
        <v>1177</v>
      </c>
      <c r="B70" s="5" t="s">
        <v>67</v>
      </c>
      <c r="C70" s="5" t="s">
        <v>113</v>
      </c>
      <c r="D70" s="5">
        <v>1</v>
      </c>
      <c r="E70" s="5" t="s">
        <v>1159</v>
      </c>
      <c r="K70" s="24"/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</row>
    <row r="71" spans="1:31" x14ac:dyDescent="0.45">
      <c r="A71" s="28" t="s">
        <v>1177</v>
      </c>
      <c r="B71" s="5" t="s">
        <v>67</v>
      </c>
      <c r="C71" s="5" t="s">
        <v>113</v>
      </c>
      <c r="D71" s="5">
        <v>1</v>
      </c>
      <c r="E71" s="5" t="s">
        <v>1160</v>
      </c>
      <c r="K71" s="24">
        <f>INDEX(Mitigation_Industry!K:K,MATCH($A71,Mitigation_Industry!$H:$H,0))</f>
        <v>0</v>
      </c>
      <c r="L71" s="24">
        <f>INDEX(Mitigation_Industry!L:L,MATCH($A71,Mitigation_Industry!$H:$H,0))</f>
        <v>0</v>
      </c>
      <c r="M71" s="24">
        <f>INDEX(Mitigation_Industry!M:M,MATCH($A71,Mitigation_Industry!$H:$H,0))</f>
        <v>0</v>
      </c>
      <c r="N71" s="24">
        <f>INDEX(Mitigation_Industry!N:N,MATCH($A71,Mitigation_Industry!$H:$H,0))</f>
        <v>0</v>
      </c>
      <c r="O71" s="24">
        <f>INDEX(Mitigation_Industry!O:O,MATCH($A71,Mitigation_Industry!$H:$H,0))</f>
        <v>0</v>
      </c>
      <c r="P71" s="24">
        <f>INDEX(Mitigation_Industry!P:P,MATCH($A71,Mitigation_Industry!$H:$H,0))</f>
        <v>0</v>
      </c>
      <c r="Q71" s="24">
        <f>INDEX(Mitigation_Industry!Q:Q,MATCH($A71,Mitigation_Industry!$H:$H,0))</f>
        <v>0</v>
      </c>
      <c r="R71" s="24">
        <f>INDEX(Mitigation_Industry!R:R,MATCH($A71,Mitigation_Industry!$H:$H,0))</f>
        <v>0</v>
      </c>
      <c r="S71" s="24">
        <f>INDEX(Mitigation_Industry!S:S,MATCH($A71,Mitigation_Industry!$H:$H,0))</f>
        <v>0</v>
      </c>
      <c r="T71" s="24">
        <f>INDEX(Mitigation_Industry!T:T,MATCH($A71,Mitigation_Industry!$H:$H,0))</f>
        <v>0</v>
      </c>
      <c r="U71" s="24">
        <f>INDEX(Mitigation_Industry!U:U,MATCH($A71,Mitigation_Industry!$H:$H,0))</f>
        <v>0</v>
      </c>
      <c r="V71" s="24">
        <f>INDEX(Mitigation_Industry!V:V,MATCH($A71,Mitigation_Industry!$H:$H,0))</f>
        <v>0</v>
      </c>
      <c r="W71" s="24">
        <f>INDEX(Mitigation_Industry!W:W,MATCH($A71,Mitigation_Industry!$H:$H,0))</f>
        <v>0</v>
      </c>
      <c r="X71" s="24">
        <f>INDEX(Mitigation_Industry!X:X,MATCH($A71,Mitigation_Industry!$H:$H,0))</f>
        <v>0</v>
      </c>
      <c r="Y71" s="24">
        <f>INDEX(Mitigation_Industry!Y:Y,MATCH($A71,Mitigation_Industry!$H:$H,0))</f>
        <v>0</v>
      </c>
      <c r="Z71" s="24">
        <f>INDEX(Mitigation_Industry!Z:Z,MATCH($A71,Mitigation_Industry!$H:$H,0))</f>
        <v>0</v>
      </c>
      <c r="AA71" s="24">
        <f>INDEX(Mitigation_Industry!AA:AA,MATCH($A71,Mitigation_Industry!$H:$H,0))</f>
        <v>0</v>
      </c>
      <c r="AB71" s="24">
        <f>INDEX(Mitigation_Industry!AB:AB,MATCH($A71,Mitigation_Industry!$H:$H,0))</f>
        <v>0</v>
      </c>
      <c r="AC71" s="24">
        <f>INDEX(Mitigation_Industry!AC:AC,MATCH($A71,Mitigation_Industry!$H:$H,0))</f>
        <v>0</v>
      </c>
      <c r="AD71" s="24">
        <f>INDEX(Mitigation_Industry!AD:AD,MATCH($A71,Mitigation_Industry!$H:$H,0))</f>
        <v>0</v>
      </c>
      <c r="AE71" s="24">
        <f>INDEX(Mitigation_Industry!AE:AE,MATCH($A71,Mitigation_Industry!$H:$H,0))</f>
        <v>0</v>
      </c>
    </row>
    <row r="72" spans="1:31" x14ac:dyDescent="0.45">
      <c r="A72" s="28" t="s">
        <v>1177</v>
      </c>
      <c r="B72" s="5" t="s">
        <v>67</v>
      </c>
      <c r="C72" s="5" t="s">
        <v>113</v>
      </c>
      <c r="D72" s="5">
        <v>1</v>
      </c>
      <c r="E72" s="2" t="s">
        <v>1161</v>
      </c>
      <c r="F72" s="31">
        <f>MAX(MAX(L72:AE72),-MIN(L72:AE72))</f>
        <v>0</v>
      </c>
      <c r="K72" s="32">
        <f t="shared" ref="K72:AE72" si="16">IF(ISNUMBER(K70),IF(ISNUMBER(K71),K71-K70,999999),0)</f>
        <v>0</v>
      </c>
      <c r="L72" s="32">
        <f t="shared" si="16"/>
        <v>0</v>
      </c>
      <c r="M72" s="32">
        <f t="shared" si="16"/>
        <v>0</v>
      </c>
      <c r="N72" s="32">
        <f t="shared" si="16"/>
        <v>0</v>
      </c>
      <c r="O72" s="32">
        <f t="shared" si="16"/>
        <v>0</v>
      </c>
      <c r="P72" s="32">
        <f t="shared" si="16"/>
        <v>0</v>
      </c>
      <c r="Q72" s="32">
        <f t="shared" si="16"/>
        <v>0</v>
      </c>
      <c r="R72" s="32">
        <f t="shared" si="16"/>
        <v>0</v>
      </c>
      <c r="S72" s="32">
        <f t="shared" si="16"/>
        <v>0</v>
      </c>
      <c r="T72" s="32">
        <f t="shared" si="16"/>
        <v>0</v>
      </c>
      <c r="U72" s="32">
        <f t="shared" si="16"/>
        <v>0</v>
      </c>
      <c r="V72" s="32">
        <f t="shared" si="16"/>
        <v>0</v>
      </c>
      <c r="W72" s="32">
        <f t="shared" si="16"/>
        <v>0</v>
      </c>
      <c r="X72" s="32">
        <f t="shared" si="16"/>
        <v>0</v>
      </c>
      <c r="Y72" s="32">
        <f t="shared" si="16"/>
        <v>0</v>
      </c>
      <c r="Z72" s="32">
        <f t="shared" si="16"/>
        <v>0</v>
      </c>
      <c r="AA72" s="32">
        <f t="shared" si="16"/>
        <v>0</v>
      </c>
      <c r="AB72" s="32">
        <f t="shared" si="16"/>
        <v>0</v>
      </c>
      <c r="AC72" s="32">
        <f t="shared" si="16"/>
        <v>0</v>
      </c>
      <c r="AD72" s="32">
        <f t="shared" si="16"/>
        <v>0</v>
      </c>
      <c r="AE72" s="32">
        <f t="shared" si="16"/>
        <v>0</v>
      </c>
    </row>
    <row r="74" spans="1:31" x14ac:dyDescent="0.45">
      <c r="A74" s="28" t="s">
        <v>1178</v>
      </c>
      <c r="B74" s="5" t="s">
        <v>69</v>
      </c>
      <c r="C74" s="5" t="s">
        <v>113</v>
      </c>
      <c r="D74" s="5">
        <v>1</v>
      </c>
      <c r="E74" s="5" t="s">
        <v>1159</v>
      </c>
      <c r="K74" s="24"/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</row>
    <row r="75" spans="1:31" x14ac:dyDescent="0.45">
      <c r="A75" s="28" t="s">
        <v>1178</v>
      </c>
      <c r="B75" s="5" t="s">
        <v>69</v>
      </c>
      <c r="C75" s="5" t="s">
        <v>113</v>
      </c>
      <c r="D75" s="5">
        <v>1</v>
      </c>
      <c r="E75" s="5" t="s">
        <v>1160</v>
      </c>
      <c r="K75" s="24">
        <f>INDEX(Mitigation_Industry!K:K,MATCH($A75,Mitigation_Industry!$H:$H,0))</f>
        <v>0</v>
      </c>
      <c r="L75" s="24">
        <f>INDEX(Mitigation_Industry!L:L,MATCH($A75,Mitigation_Industry!$H:$H,0))</f>
        <v>0</v>
      </c>
      <c r="M75" s="24">
        <f>INDEX(Mitigation_Industry!M:M,MATCH($A75,Mitigation_Industry!$H:$H,0))</f>
        <v>0</v>
      </c>
      <c r="N75" s="24">
        <f>INDEX(Mitigation_Industry!N:N,MATCH($A75,Mitigation_Industry!$H:$H,0))</f>
        <v>0</v>
      </c>
      <c r="O75" s="24">
        <f>INDEX(Mitigation_Industry!O:O,MATCH($A75,Mitigation_Industry!$H:$H,0))</f>
        <v>0</v>
      </c>
      <c r="P75" s="24">
        <f>INDEX(Mitigation_Industry!P:P,MATCH($A75,Mitigation_Industry!$H:$H,0))</f>
        <v>0</v>
      </c>
      <c r="Q75" s="24">
        <f>INDEX(Mitigation_Industry!Q:Q,MATCH($A75,Mitigation_Industry!$H:$H,0))</f>
        <v>0</v>
      </c>
      <c r="R75" s="24">
        <f>INDEX(Mitigation_Industry!R:R,MATCH($A75,Mitigation_Industry!$H:$H,0))</f>
        <v>0</v>
      </c>
      <c r="S75" s="24">
        <f>INDEX(Mitigation_Industry!S:S,MATCH($A75,Mitigation_Industry!$H:$H,0))</f>
        <v>0</v>
      </c>
      <c r="T75" s="24">
        <f>INDEX(Mitigation_Industry!T:T,MATCH($A75,Mitigation_Industry!$H:$H,0))</f>
        <v>0</v>
      </c>
      <c r="U75" s="24">
        <f>INDEX(Mitigation_Industry!U:U,MATCH($A75,Mitigation_Industry!$H:$H,0))</f>
        <v>0</v>
      </c>
      <c r="V75" s="24">
        <f>INDEX(Mitigation_Industry!V:V,MATCH($A75,Mitigation_Industry!$H:$H,0))</f>
        <v>0</v>
      </c>
      <c r="W75" s="24">
        <f>INDEX(Mitigation_Industry!W:W,MATCH($A75,Mitigation_Industry!$H:$H,0))</f>
        <v>0</v>
      </c>
      <c r="X75" s="24">
        <f>INDEX(Mitigation_Industry!X:X,MATCH($A75,Mitigation_Industry!$H:$H,0))</f>
        <v>0</v>
      </c>
      <c r="Y75" s="24">
        <f>INDEX(Mitigation_Industry!Y:Y,MATCH($A75,Mitigation_Industry!$H:$H,0))</f>
        <v>0</v>
      </c>
      <c r="Z75" s="24">
        <f>INDEX(Mitigation_Industry!Z:Z,MATCH($A75,Mitigation_Industry!$H:$H,0))</f>
        <v>0</v>
      </c>
      <c r="AA75" s="24">
        <f>INDEX(Mitigation_Industry!AA:AA,MATCH($A75,Mitigation_Industry!$H:$H,0))</f>
        <v>0</v>
      </c>
      <c r="AB75" s="24">
        <f>INDEX(Mitigation_Industry!AB:AB,MATCH($A75,Mitigation_Industry!$H:$H,0))</f>
        <v>0</v>
      </c>
      <c r="AC75" s="24">
        <f>INDEX(Mitigation_Industry!AC:AC,MATCH($A75,Mitigation_Industry!$H:$H,0))</f>
        <v>0</v>
      </c>
      <c r="AD75" s="24">
        <f>INDEX(Mitigation_Industry!AD:AD,MATCH($A75,Mitigation_Industry!$H:$H,0))</f>
        <v>0</v>
      </c>
      <c r="AE75" s="24">
        <f>INDEX(Mitigation_Industry!AE:AE,MATCH($A75,Mitigation_Industry!$H:$H,0))</f>
        <v>0</v>
      </c>
    </row>
    <row r="76" spans="1:31" x14ac:dyDescent="0.45">
      <c r="A76" s="28" t="s">
        <v>1178</v>
      </c>
      <c r="B76" s="5" t="s">
        <v>69</v>
      </c>
      <c r="C76" s="5" t="s">
        <v>113</v>
      </c>
      <c r="D76" s="5">
        <v>1</v>
      </c>
      <c r="E76" s="2" t="s">
        <v>1161</v>
      </c>
      <c r="F76" s="31">
        <f>MAX(MAX(L76:AE76),-MIN(L76:AE76))</f>
        <v>0</v>
      </c>
      <c r="K76" s="32">
        <f t="shared" ref="K76:AE76" si="17">IF(ISNUMBER(K74),IF(ISNUMBER(K75),K75-K74,999999),0)</f>
        <v>0</v>
      </c>
      <c r="L76" s="32">
        <f t="shared" si="17"/>
        <v>0</v>
      </c>
      <c r="M76" s="32">
        <f t="shared" si="17"/>
        <v>0</v>
      </c>
      <c r="N76" s="32">
        <f t="shared" si="17"/>
        <v>0</v>
      </c>
      <c r="O76" s="32">
        <f t="shared" si="17"/>
        <v>0</v>
      </c>
      <c r="P76" s="32">
        <f t="shared" si="17"/>
        <v>0</v>
      </c>
      <c r="Q76" s="32">
        <f t="shared" si="17"/>
        <v>0</v>
      </c>
      <c r="R76" s="32">
        <f t="shared" si="17"/>
        <v>0</v>
      </c>
      <c r="S76" s="32">
        <f t="shared" si="17"/>
        <v>0</v>
      </c>
      <c r="T76" s="32">
        <f t="shared" si="17"/>
        <v>0</v>
      </c>
      <c r="U76" s="32">
        <f t="shared" si="17"/>
        <v>0</v>
      </c>
      <c r="V76" s="32">
        <f t="shared" si="17"/>
        <v>0</v>
      </c>
      <c r="W76" s="32">
        <f t="shared" si="17"/>
        <v>0</v>
      </c>
      <c r="X76" s="32">
        <f t="shared" si="17"/>
        <v>0</v>
      </c>
      <c r="Y76" s="32">
        <f t="shared" si="17"/>
        <v>0</v>
      </c>
      <c r="Z76" s="32">
        <f t="shared" si="17"/>
        <v>0</v>
      </c>
      <c r="AA76" s="32">
        <f t="shared" si="17"/>
        <v>0</v>
      </c>
      <c r="AB76" s="32">
        <f t="shared" si="17"/>
        <v>0</v>
      </c>
      <c r="AC76" s="32">
        <f t="shared" si="17"/>
        <v>0</v>
      </c>
      <c r="AD76" s="32">
        <f t="shared" si="17"/>
        <v>0</v>
      </c>
      <c r="AE76" s="32">
        <f t="shared" si="17"/>
        <v>0</v>
      </c>
    </row>
    <row r="78" spans="1:31" x14ac:dyDescent="0.45">
      <c r="A78" s="28" t="s">
        <v>1179</v>
      </c>
      <c r="B78" s="5" t="s">
        <v>49</v>
      </c>
      <c r="C78" s="5" t="s">
        <v>115</v>
      </c>
      <c r="D78" s="5">
        <v>1</v>
      </c>
      <c r="E78" s="5" t="s">
        <v>1159</v>
      </c>
      <c r="K78" s="24"/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</row>
    <row r="79" spans="1:31" x14ac:dyDescent="0.45">
      <c r="A79" s="28" t="s">
        <v>1179</v>
      </c>
      <c r="B79" s="5" t="s">
        <v>49</v>
      </c>
      <c r="C79" s="5" t="s">
        <v>115</v>
      </c>
      <c r="D79" s="5">
        <v>1</v>
      </c>
      <c r="E79" s="5" t="s">
        <v>1160</v>
      </c>
      <c r="K79" s="24">
        <f>INDEX(Mitigation_Industry!K:K,MATCH($A79,Mitigation_Industry!$H:$H,0))</f>
        <v>0</v>
      </c>
      <c r="L79" s="24">
        <f>INDEX(Mitigation_Industry!L:L,MATCH($A79,Mitigation_Industry!$H:$H,0))</f>
        <v>0</v>
      </c>
      <c r="M79" s="24">
        <f>INDEX(Mitigation_Industry!M:M,MATCH($A79,Mitigation_Industry!$H:$H,0))</f>
        <v>0</v>
      </c>
      <c r="N79" s="24">
        <f>INDEX(Mitigation_Industry!N:N,MATCH($A79,Mitigation_Industry!$H:$H,0))</f>
        <v>0</v>
      </c>
      <c r="O79" s="24">
        <f>INDEX(Mitigation_Industry!O:O,MATCH($A79,Mitigation_Industry!$H:$H,0))</f>
        <v>0</v>
      </c>
      <c r="P79" s="24">
        <f>INDEX(Mitigation_Industry!P:P,MATCH($A79,Mitigation_Industry!$H:$H,0))</f>
        <v>0</v>
      </c>
      <c r="Q79" s="24">
        <f>INDEX(Mitigation_Industry!Q:Q,MATCH($A79,Mitigation_Industry!$H:$H,0))</f>
        <v>0</v>
      </c>
      <c r="R79" s="24">
        <f>INDEX(Mitigation_Industry!R:R,MATCH($A79,Mitigation_Industry!$H:$H,0))</f>
        <v>0</v>
      </c>
      <c r="S79" s="24">
        <f>INDEX(Mitigation_Industry!S:S,MATCH($A79,Mitigation_Industry!$H:$H,0))</f>
        <v>0</v>
      </c>
      <c r="T79" s="24">
        <f>INDEX(Mitigation_Industry!T:T,MATCH($A79,Mitigation_Industry!$H:$H,0))</f>
        <v>0</v>
      </c>
      <c r="U79" s="24">
        <f>INDEX(Mitigation_Industry!U:U,MATCH($A79,Mitigation_Industry!$H:$H,0))</f>
        <v>0</v>
      </c>
      <c r="V79" s="24">
        <f>INDEX(Mitigation_Industry!V:V,MATCH($A79,Mitigation_Industry!$H:$H,0))</f>
        <v>0</v>
      </c>
      <c r="W79" s="24">
        <f>INDEX(Mitigation_Industry!W:W,MATCH($A79,Mitigation_Industry!$H:$H,0))</f>
        <v>0</v>
      </c>
      <c r="X79" s="24">
        <f>INDEX(Mitigation_Industry!X:X,MATCH($A79,Mitigation_Industry!$H:$H,0))</f>
        <v>0</v>
      </c>
      <c r="Y79" s="24">
        <f>INDEX(Mitigation_Industry!Y:Y,MATCH($A79,Mitigation_Industry!$H:$H,0))</f>
        <v>0</v>
      </c>
      <c r="Z79" s="24">
        <f>INDEX(Mitigation_Industry!Z:Z,MATCH($A79,Mitigation_Industry!$H:$H,0))</f>
        <v>0</v>
      </c>
      <c r="AA79" s="24">
        <f>INDEX(Mitigation_Industry!AA:AA,MATCH($A79,Mitigation_Industry!$H:$H,0))</f>
        <v>0</v>
      </c>
      <c r="AB79" s="24">
        <f>INDEX(Mitigation_Industry!AB:AB,MATCH($A79,Mitigation_Industry!$H:$H,0))</f>
        <v>0</v>
      </c>
      <c r="AC79" s="24">
        <f>INDEX(Mitigation_Industry!AC:AC,MATCH($A79,Mitigation_Industry!$H:$H,0))</f>
        <v>0</v>
      </c>
      <c r="AD79" s="24">
        <f>INDEX(Mitigation_Industry!AD:AD,MATCH($A79,Mitigation_Industry!$H:$H,0))</f>
        <v>0</v>
      </c>
      <c r="AE79" s="24">
        <f>INDEX(Mitigation_Industry!AE:AE,MATCH($A79,Mitigation_Industry!$H:$H,0))</f>
        <v>0</v>
      </c>
    </row>
    <row r="80" spans="1:31" x14ac:dyDescent="0.45">
      <c r="A80" s="28" t="s">
        <v>1179</v>
      </c>
      <c r="B80" s="5" t="s">
        <v>49</v>
      </c>
      <c r="C80" s="5" t="s">
        <v>115</v>
      </c>
      <c r="D80" s="5">
        <v>1</v>
      </c>
      <c r="E80" s="2" t="s">
        <v>1161</v>
      </c>
      <c r="F80" s="31">
        <f>MAX(MAX(L80:AE80),-MIN(L80:AE80))</f>
        <v>0</v>
      </c>
      <c r="K80" s="32">
        <f t="shared" ref="K80:AE80" si="18">IF(ISNUMBER(K78),IF(ISNUMBER(K79),K79-K78,999999),0)</f>
        <v>0</v>
      </c>
      <c r="L80" s="32">
        <f t="shared" si="18"/>
        <v>0</v>
      </c>
      <c r="M80" s="32">
        <f t="shared" si="18"/>
        <v>0</v>
      </c>
      <c r="N80" s="32">
        <f t="shared" si="18"/>
        <v>0</v>
      </c>
      <c r="O80" s="32">
        <f t="shared" si="18"/>
        <v>0</v>
      </c>
      <c r="P80" s="32">
        <f t="shared" si="18"/>
        <v>0</v>
      </c>
      <c r="Q80" s="32">
        <f t="shared" si="18"/>
        <v>0</v>
      </c>
      <c r="R80" s="32">
        <f t="shared" si="18"/>
        <v>0</v>
      </c>
      <c r="S80" s="32">
        <f t="shared" si="18"/>
        <v>0</v>
      </c>
      <c r="T80" s="32">
        <f t="shared" si="18"/>
        <v>0</v>
      </c>
      <c r="U80" s="32">
        <f t="shared" si="18"/>
        <v>0</v>
      </c>
      <c r="V80" s="32">
        <f t="shared" si="18"/>
        <v>0</v>
      </c>
      <c r="W80" s="32">
        <f t="shared" si="18"/>
        <v>0</v>
      </c>
      <c r="X80" s="32">
        <f t="shared" si="18"/>
        <v>0</v>
      </c>
      <c r="Y80" s="32">
        <f t="shared" si="18"/>
        <v>0</v>
      </c>
      <c r="Z80" s="32">
        <f t="shared" si="18"/>
        <v>0</v>
      </c>
      <c r="AA80" s="32">
        <f t="shared" si="18"/>
        <v>0</v>
      </c>
      <c r="AB80" s="32">
        <f t="shared" si="18"/>
        <v>0</v>
      </c>
      <c r="AC80" s="32">
        <f t="shared" si="18"/>
        <v>0</v>
      </c>
      <c r="AD80" s="32">
        <f t="shared" si="18"/>
        <v>0</v>
      </c>
      <c r="AE80" s="32">
        <f t="shared" si="18"/>
        <v>0</v>
      </c>
    </row>
    <row r="82" spans="1:31" x14ac:dyDescent="0.45">
      <c r="A82" s="28" t="s">
        <v>1180</v>
      </c>
      <c r="B82" s="5" t="s">
        <v>53</v>
      </c>
      <c r="C82" s="5" t="s">
        <v>115</v>
      </c>
      <c r="D82" s="5">
        <v>1</v>
      </c>
      <c r="E82" s="5" t="s">
        <v>1159</v>
      </c>
      <c r="K82" s="24"/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</row>
    <row r="83" spans="1:31" x14ac:dyDescent="0.45">
      <c r="A83" s="28" t="s">
        <v>1180</v>
      </c>
      <c r="B83" s="5" t="s">
        <v>53</v>
      </c>
      <c r="C83" s="5" t="s">
        <v>115</v>
      </c>
      <c r="D83" s="5">
        <v>1</v>
      </c>
      <c r="E83" s="5" t="s">
        <v>1160</v>
      </c>
      <c r="K83" s="24">
        <f>INDEX(Mitigation_Industry!K:K,MATCH($A83,Mitigation_Industry!$H:$H,0))</f>
        <v>0</v>
      </c>
      <c r="L83" s="24">
        <f>INDEX(Mitigation_Industry!L:L,MATCH($A83,Mitigation_Industry!$H:$H,0))</f>
        <v>0</v>
      </c>
      <c r="M83" s="24">
        <f>INDEX(Mitigation_Industry!M:M,MATCH($A83,Mitigation_Industry!$H:$H,0))</f>
        <v>0</v>
      </c>
      <c r="N83" s="24">
        <f>INDEX(Mitigation_Industry!N:N,MATCH($A83,Mitigation_Industry!$H:$H,0))</f>
        <v>0</v>
      </c>
      <c r="O83" s="24">
        <f>INDEX(Mitigation_Industry!O:O,MATCH($A83,Mitigation_Industry!$H:$H,0))</f>
        <v>0</v>
      </c>
      <c r="P83" s="24">
        <f>INDEX(Mitigation_Industry!P:P,MATCH($A83,Mitigation_Industry!$H:$H,0))</f>
        <v>0</v>
      </c>
      <c r="Q83" s="24">
        <f>INDEX(Mitigation_Industry!Q:Q,MATCH($A83,Mitigation_Industry!$H:$H,0))</f>
        <v>0</v>
      </c>
      <c r="R83" s="24">
        <f>INDEX(Mitigation_Industry!R:R,MATCH($A83,Mitigation_Industry!$H:$H,0))</f>
        <v>0</v>
      </c>
      <c r="S83" s="24">
        <f>INDEX(Mitigation_Industry!S:S,MATCH($A83,Mitigation_Industry!$H:$H,0))</f>
        <v>0</v>
      </c>
      <c r="T83" s="24">
        <f>INDEX(Mitigation_Industry!T:T,MATCH($A83,Mitigation_Industry!$H:$H,0))</f>
        <v>0</v>
      </c>
      <c r="U83" s="24">
        <f>INDEX(Mitigation_Industry!U:U,MATCH($A83,Mitigation_Industry!$H:$H,0))</f>
        <v>0</v>
      </c>
      <c r="V83" s="24">
        <f>INDEX(Mitigation_Industry!V:V,MATCH($A83,Mitigation_Industry!$H:$H,0))</f>
        <v>0</v>
      </c>
      <c r="W83" s="24">
        <f>INDEX(Mitigation_Industry!W:W,MATCH($A83,Mitigation_Industry!$H:$H,0))</f>
        <v>0</v>
      </c>
      <c r="X83" s="24">
        <f>INDEX(Mitigation_Industry!X:X,MATCH($A83,Mitigation_Industry!$H:$H,0))</f>
        <v>0</v>
      </c>
      <c r="Y83" s="24">
        <f>INDEX(Mitigation_Industry!Y:Y,MATCH($A83,Mitigation_Industry!$H:$H,0))</f>
        <v>0</v>
      </c>
      <c r="Z83" s="24">
        <f>INDEX(Mitigation_Industry!Z:Z,MATCH($A83,Mitigation_Industry!$H:$H,0))</f>
        <v>0</v>
      </c>
      <c r="AA83" s="24">
        <f>INDEX(Mitigation_Industry!AA:AA,MATCH($A83,Mitigation_Industry!$H:$H,0))</f>
        <v>0</v>
      </c>
      <c r="AB83" s="24">
        <f>INDEX(Mitigation_Industry!AB:AB,MATCH($A83,Mitigation_Industry!$H:$H,0))</f>
        <v>0</v>
      </c>
      <c r="AC83" s="24">
        <f>INDEX(Mitigation_Industry!AC:AC,MATCH($A83,Mitigation_Industry!$H:$H,0))</f>
        <v>0</v>
      </c>
      <c r="AD83" s="24">
        <f>INDEX(Mitigation_Industry!AD:AD,MATCH($A83,Mitigation_Industry!$H:$H,0))</f>
        <v>0</v>
      </c>
      <c r="AE83" s="24">
        <f>INDEX(Mitigation_Industry!AE:AE,MATCH($A83,Mitigation_Industry!$H:$H,0))</f>
        <v>0</v>
      </c>
    </row>
    <row r="84" spans="1:31" x14ac:dyDescent="0.45">
      <c r="A84" s="28" t="s">
        <v>1180</v>
      </c>
      <c r="B84" s="5" t="s">
        <v>53</v>
      </c>
      <c r="C84" s="5" t="s">
        <v>115</v>
      </c>
      <c r="D84" s="5">
        <v>1</v>
      </c>
      <c r="E84" s="2" t="s">
        <v>1161</v>
      </c>
      <c r="F84" s="31">
        <f>MAX(MAX(L84:AE84),-MIN(L84:AE84))</f>
        <v>0</v>
      </c>
      <c r="K84" s="32">
        <f t="shared" ref="K84:AE84" si="19">IF(ISNUMBER(K82),IF(ISNUMBER(K83),K83-K82,999999),0)</f>
        <v>0</v>
      </c>
      <c r="L84" s="32">
        <f t="shared" si="19"/>
        <v>0</v>
      </c>
      <c r="M84" s="32">
        <f t="shared" si="19"/>
        <v>0</v>
      </c>
      <c r="N84" s="32">
        <f t="shared" si="19"/>
        <v>0</v>
      </c>
      <c r="O84" s="32">
        <f t="shared" si="19"/>
        <v>0</v>
      </c>
      <c r="P84" s="32">
        <f t="shared" si="19"/>
        <v>0</v>
      </c>
      <c r="Q84" s="32">
        <f t="shared" si="19"/>
        <v>0</v>
      </c>
      <c r="R84" s="32">
        <f t="shared" si="19"/>
        <v>0</v>
      </c>
      <c r="S84" s="32">
        <f t="shared" si="19"/>
        <v>0</v>
      </c>
      <c r="T84" s="32">
        <f t="shared" si="19"/>
        <v>0</v>
      </c>
      <c r="U84" s="32">
        <f t="shared" si="19"/>
        <v>0</v>
      </c>
      <c r="V84" s="32">
        <f t="shared" si="19"/>
        <v>0</v>
      </c>
      <c r="W84" s="32">
        <f t="shared" si="19"/>
        <v>0</v>
      </c>
      <c r="X84" s="32">
        <f t="shared" si="19"/>
        <v>0</v>
      </c>
      <c r="Y84" s="32">
        <f t="shared" si="19"/>
        <v>0</v>
      </c>
      <c r="Z84" s="32">
        <f t="shared" si="19"/>
        <v>0</v>
      </c>
      <c r="AA84" s="32">
        <f t="shared" si="19"/>
        <v>0</v>
      </c>
      <c r="AB84" s="32">
        <f t="shared" si="19"/>
        <v>0</v>
      </c>
      <c r="AC84" s="32">
        <f t="shared" si="19"/>
        <v>0</v>
      </c>
      <c r="AD84" s="32">
        <f t="shared" si="19"/>
        <v>0</v>
      </c>
      <c r="AE84" s="32">
        <f t="shared" si="19"/>
        <v>0</v>
      </c>
    </row>
    <row r="86" spans="1:31" x14ac:dyDescent="0.45">
      <c r="A86" s="28" t="s">
        <v>1181</v>
      </c>
      <c r="B86" s="5" t="s">
        <v>55</v>
      </c>
      <c r="C86" s="5" t="s">
        <v>115</v>
      </c>
      <c r="D86" s="5">
        <v>1</v>
      </c>
      <c r="E86" s="5" t="s">
        <v>1159</v>
      </c>
      <c r="K86" s="24"/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</row>
    <row r="87" spans="1:31" x14ac:dyDescent="0.45">
      <c r="A87" s="28" t="s">
        <v>1181</v>
      </c>
      <c r="B87" s="5" t="s">
        <v>55</v>
      </c>
      <c r="C87" s="5" t="s">
        <v>115</v>
      </c>
      <c r="D87" s="5">
        <v>1</v>
      </c>
      <c r="E87" s="5" t="s">
        <v>1160</v>
      </c>
      <c r="K87" s="24">
        <f>INDEX(Mitigation_Industry!K:K,MATCH($A87,Mitigation_Industry!$H:$H,0))</f>
        <v>0</v>
      </c>
      <c r="L87" s="24">
        <f>INDEX(Mitigation_Industry!L:L,MATCH($A87,Mitigation_Industry!$H:$H,0))</f>
        <v>0</v>
      </c>
      <c r="M87" s="24">
        <f>INDEX(Mitigation_Industry!M:M,MATCH($A87,Mitigation_Industry!$H:$H,0))</f>
        <v>0</v>
      </c>
      <c r="N87" s="24">
        <f>INDEX(Mitigation_Industry!N:N,MATCH($A87,Mitigation_Industry!$H:$H,0))</f>
        <v>0</v>
      </c>
      <c r="O87" s="24">
        <f>INDEX(Mitigation_Industry!O:O,MATCH($A87,Mitigation_Industry!$H:$H,0))</f>
        <v>0</v>
      </c>
      <c r="P87" s="24">
        <f>INDEX(Mitigation_Industry!P:P,MATCH($A87,Mitigation_Industry!$H:$H,0))</f>
        <v>0</v>
      </c>
      <c r="Q87" s="24">
        <f>INDEX(Mitigation_Industry!Q:Q,MATCH($A87,Mitigation_Industry!$H:$H,0))</f>
        <v>0</v>
      </c>
      <c r="R87" s="24">
        <f>INDEX(Mitigation_Industry!R:R,MATCH($A87,Mitigation_Industry!$H:$H,0))</f>
        <v>0</v>
      </c>
      <c r="S87" s="24">
        <f>INDEX(Mitigation_Industry!S:S,MATCH($A87,Mitigation_Industry!$H:$H,0))</f>
        <v>0</v>
      </c>
      <c r="T87" s="24">
        <f>INDEX(Mitigation_Industry!T:T,MATCH($A87,Mitigation_Industry!$H:$H,0))</f>
        <v>0</v>
      </c>
      <c r="U87" s="24">
        <f>INDEX(Mitigation_Industry!U:U,MATCH($A87,Mitigation_Industry!$H:$H,0))</f>
        <v>0</v>
      </c>
      <c r="V87" s="24">
        <f>INDEX(Mitigation_Industry!V:V,MATCH($A87,Mitigation_Industry!$H:$H,0))</f>
        <v>0</v>
      </c>
      <c r="W87" s="24">
        <f>INDEX(Mitigation_Industry!W:W,MATCH($A87,Mitigation_Industry!$H:$H,0))</f>
        <v>0</v>
      </c>
      <c r="X87" s="24">
        <f>INDEX(Mitigation_Industry!X:X,MATCH($A87,Mitigation_Industry!$H:$H,0))</f>
        <v>0</v>
      </c>
      <c r="Y87" s="24">
        <f>INDEX(Mitigation_Industry!Y:Y,MATCH($A87,Mitigation_Industry!$H:$H,0))</f>
        <v>0</v>
      </c>
      <c r="Z87" s="24">
        <f>INDEX(Mitigation_Industry!Z:Z,MATCH($A87,Mitigation_Industry!$H:$H,0))</f>
        <v>0</v>
      </c>
      <c r="AA87" s="24">
        <f>INDEX(Mitigation_Industry!AA:AA,MATCH($A87,Mitigation_Industry!$H:$H,0))</f>
        <v>0</v>
      </c>
      <c r="AB87" s="24">
        <f>INDEX(Mitigation_Industry!AB:AB,MATCH($A87,Mitigation_Industry!$H:$H,0))</f>
        <v>0</v>
      </c>
      <c r="AC87" s="24">
        <f>INDEX(Mitigation_Industry!AC:AC,MATCH($A87,Mitigation_Industry!$H:$H,0))</f>
        <v>0</v>
      </c>
      <c r="AD87" s="24">
        <f>INDEX(Mitigation_Industry!AD:AD,MATCH($A87,Mitigation_Industry!$H:$H,0))</f>
        <v>0</v>
      </c>
      <c r="AE87" s="24">
        <f>INDEX(Mitigation_Industry!AE:AE,MATCH($A87,Mitigation_Industry!$H:$H,0))</f>
        <v>0</v>
      </c>
    </row>
    <row r="88" spans="1:31" x14ac:dyDescent="0.45">
      <c r="A88" s="28" t="s">
        <v>1181</v>
      </c>
      <c r="B88" s="5" t="s">
        <v>55</v>
      </c>
      <c r="C88" s="5" t="s">
        <v>115</v>
      </c>
      <c r="D88" s="5">
        <v>1</v>
      </c>
      <c r="E88" s="2" t="s">
        <v>1161</v>
      </c>
      <c r="F88" s="31">
        <f>MAX(MAX(L88:AE88),-MIN(L88:AE88))</f>
        <v>0</v>
      </c>
      <c r="K88" s="32">
        <f t="shared" ref="K88:AE88" si="20">IF(ISNUMBER(K86),IF(ISNUMBER(K87),K87-K86,999999),0)</f>
        <v>0</v>
      </c>
      <c r="L88" s="32">
        <f t="shared" si="20"/>
        <v>0</v>
      </c>
      <c r="M88" s="32">
        <f t="shared" si="20"/>
        <v>0</v>
      </c>
      <c r="N88" s="32">
        <f t="shared" si="20"/>
        <v>0</v>
      </c>
      <c r="O88" s="32">
        <f t="shared" si="20"/>
        <v>0</v>
      </c>
      <c r="P88" s="32">
        <f t="shared" si="20"/>
        <v>0</v>
      </c>
      <c r="Q88" s="32">
        <f t="shared" si="20"/>
        <v>0</v>
      </c>
      <c r="R88" s="32">
        <f t="shared" si="20"/>
        <v>0</v>
      </c>
      <c r="S88" s="32">
        <f t="shared" si="20"/>
        <v>0</v>
      </c>
      <c r="T88" s="32">
        <f t="shared" si="20"/>
        <v>0</v>
      </c>
      <c r="U88" s="32">
        <f t="shared" si="20"/>
        <v>0</v>
      </c>
      <c r="V88" s="32">
        <f t="shared" si="20"/>
        <v>0</v>
      </c>
      <c r="W88" s="32">
        <f t="shared" si="20"/>
        <v>0</v>
      </c>
      <c r="X88" s="32">
        <f t="shared" si="20"/>
        <v>0</v>
      </c>
      <c r="Y88" s="32">
        <f t="shared" si="20"/>
        <v>0</v>
      </c>
      <c r="Z88" s="32">
        <f t="shared" si="20"/>
        <v>0</v>
      </c>
      <c r="AA88" s="32">
        <f t="shared" si="20"/>
        <v>0</v>
      </c>
      <c r="AB88" s="32">
        <f t="shared" si="20"/>
        <v>0</v>
      </c>
      <c r="AC88" s="32">
        <f t="shared" si="20"/>
        <v>0</v>
      </c>
      <c r="AD88" s="32">
        <f t="shared" si="20"/>
        <v>0</v>
      </c>
      <c r="AE88" s="32">
        <f t="shared" si="20"/>
        <v>0</v>
      </c>
    </row>
    <row r="90" spans="1:31" x14ac:dyDescent="0.45">
      <c r="A90" s="28" t="s">
        <v>1182</v>
      </c>
      <c r="B90" s="5" t="s">
        <v>58</v>
      </c>
      <c r="C90" s="5" t="s">
        <v>115</v>
      </c>
      <c r="D90" s="5">
        <v>1</v>
      </c>
      <c r="E90" s="5" t="s">
        <v>1159</v>
      </c>
      <c r="K90" s="24"/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</row>
    <row r="91" spans="1:31" x14ac:dyDescent="0.45">
      <c r="A91" s="28" t="s">
        <v>1182</v>
      </c>
      <c r="B91" s="5" t="s">
        <v>58</v>
      </c>
      <c r="C91" s="5" t="s">
        <v>115</v>
      </c>
      <c r="D91" s="5">
        <v>1</v>
      </c>
      <c r="E91" s="5" t="s">
        <v>1160</v>
      </c>
      <c r="K91" s="24">
        <f>INDEX(Mitigation_Industry!K:K,MATCH($A91,Mitigation_Industry!$H:$H,0))</f>
        <v>0</v>
      </c>
      <c r="L91" s="24">
        <f>INDEX(Mitigation_Industry!L:L,MATCH($A91,Mitigation_Industry!$H:$H,0))</f>
        <v>0</v>
      </c>
      <c r="M91" s="24">
        <f>INDEX(Mitigation_Industry!M:M,MATCH($A91,Mitigation_Industry!$H:$H,0))</f>
        <v>0</v>
      </c>
      <c r="N91" s="24">
        <f>INDEX(Mitigation_Industry!N:N,MATCH($A91,Mitigation_Industry!$H:$H,0))</f>
        <v>0</v>
      </c>
      <c r="O91" s="24">
        <f>INDEX(Mitigation_Industry!O:O,MATCH($A91,Mitigation_Industry!$H:$H,0))</f>
        <v>0</v>
      </c>
      <c r="P91" s="24">
        <f>INDEX(Mitigation_Industry!P:P,MATCH($A91,Mitigation_Industry!$H:$H,0))</f>
        <v>0</v>
      </c>
      <c r="Q91" s="24">
        <f>INDEX(Mitigation_Industry!Q:Q,MATCH($A91,Mitigation_Industry!$H:$H,0))</f>
        <v>0</v>
      </c>
      <c r="R91" s="24">
        <f>INDEX(Mitigation_Industry!R:R,MATCH($A91,Mitigation_Industry!$H:$H,0))</f>
        <v>0</v>
      </c>
      <c r="S91" s="24">
        <f>INDEX(Mitigation_Industry!S:S,MATCH($A91,Mitigation_Industry!$H:$H,0))</f>
        <v>0</v>
      </c>
      <c r="T91" s="24">
        <f>INDEX(Mitigation_Industry!T:T,MATCH($A91,Mitigation_Industry!$H:$H,0))</f>
        <v>0</v>
      </c>
      <c r="U91" s="24">
        <f>INDEX(Mitigation_Industry!U:U,MATCH($A91,Mitigation_Industry!$H:$H,0))</f>
        <v>0</v>
      </c>
      <c r="V91" s="24">
        <f>INDEX(Mitigation_Industry!V:V,MATCH($A91,Mitigation_Industry!$H:$H,0))</f>
        <v>0</v>
      </c>
      <c r="W91" s="24">
        <f>INDEX(Mitigation_Industry!W:W,MATCH($A91,Mitigation_Industry!$H:$H,0))</f>
        <v>0</v>
      </c>
      <c r="X91" s="24">
        <f>INDEX(Mitigation_Industry!X:X,MATCH($A91,Mitigation_Industry!$H:$H,0))</f>
        <v>0</v>
      </c>
      <c r="Y91" s="24">
        <f>INDEX(Mitigation_Industry!Y:Y,MATCH($A91,Mitigation_Industry!$H:$H,0))</f>
        <v>0</v>
      </c>
      <c r="Z91" s="24">
        <f>INDEX(Mitigation_Industry!Z:Z,MATCH($A91,Mitigation_Industry!$H:$H,0))</f>
        <v>0</v>
      </c>
      <c r="AA91" s="24">
        <f>INDEX(Mitigation_Industry!AA:AA,MATCH($A91,Mitigation_Industry!$H:$H,0))</f>
        <v>0</v>
      </c>
      <c r="AB91" s="24">
        <f>INDEX(Mitigation_Industry!AB:AB,MATCH($A91,Mitigation_Industry!$H:$H,0))</f>
        <v>0</v>
      </c>
      <c r="AC91" s="24">
        <f>INDEX(Mitigation_Industry!AC:AC,MATCH($A91,Mitigation_Industry!$H:$H,0))</f>
        <v>0</v>
      </c>
      <c r="AD91" s="24">
        <f>INDEX(Mitigation_Industry!AD:AD,MATCH($A91,Mitigation_Industry!$H:$H,0))</f>
        <v>0</v>
      </c>
      <c r="AE91" s="24">
        <f>INDEX(Mitigation_Industry!AE:AE,MATCH($A91,Mitigation_Industry!$H:$H,0))</f>
        <v>0</v>
      </c>
    </row>
    <row r="92" spans="1:31" x14ac:dyDescent="0.45">
      <c r="A92" s="28" t="s">
        <v>1182</v>
      </c>
      <c r="B92" s="5" t="s">
        <v>58</v>
      </c>
      <c r="C92" s="5" t="s">
        <v>115</v>
      </c>
      <c r="D92" s="5">
        <v>1</v>
      </c>
      <c r="E92" s="2" t="s">
        <v>1161</v>
      </c>
      <c r="F92" s="31">
        <f>MAX(MAX(L92:AE92),-MIN(L92:AE92))</f>
        <v>0</v>
      </c>
      <c r="K92" s="32">
        <f t="shared" ref="K92:AE92" si="21">IF(ISNUMBER(K90),IF(ISNUMBER(K91),K91-K90,999999),0)</f>
        <v>0</v>
      </c>
      <c r="L92" s="32">
        <f t="shared" si="21"/>
        <v>0</v>
      </c>
      <c r="M92" s="32">
        <f t="shared" si="21"/>
        <v>0</v>
      </c>
      <c r="N92" s="32">
        <f t="shared" si="21"/>
        <v>0</v>
      </c>
      <c r="O92" s="32">
        <f t="shared" si="21"/>
        <v>0</v>
      </c>
      <c r="P92" s="32">
        <f t="shared" si="21"/>
        <v>0</v>
      </c>
      <c r="Q92" s="32">
        <f t="shared" si="21"/>
        <v>0</v>
      </c>
      <c r="R92" s="32">
        <f t="shared" si="21"/>
        <v>0</v>
      </c>
      <c r="S92" s="32">
        <f t="shared" si="21"/>
        <v>0</v>
      </c>
      <c r="T92" s="32">
        <f t="shared" si="21"/>
        <v>0</v>
      </c>
      <c r="U92" s="32">
        <f t="shared" si="21"/>
        <v>0</v>
      </c>
      <c r="V92" s="32">
        <f t="shared" si="21"/>
        <v>0</v>
      </c>
      <c r="W92" s="32">
        <f t="shared" si="21"/>
        <v>0</v>
      </c>
      <c r="X92" s="32">
        <f t="shared" si="21"/>
        <v>0</v>
      </c>
      <c r="Y92" s="32">
        <f t="shared" si="21"/>
        <v>0</v>
      </c>
      <c r="Z92" s="32">
        <f t="shared" si="21"/>
        <v>0</v>
      </c>
      <c r="AA92" s="32">
        <f t="shared" si="21"/>
        <v>0</v>
      </c>
      <c r="AB92" s="32">
        <f t="shared" si="21"/>
        <v>0</v>
      </c>
      <c r="AC92" s="32">
        <f t="shared" si="21"/>
        <v>0</v>
      </c>
      <c r="AD92" s="32">
        <f t="shared" si="21"/>
        <v>0</v>
      </c>
      <c r="AE92" s="32">
        <f t="shared" si="21"/>
        <v>0</v>
      </c>
    </row>
    <row r="94" spans="1:31" x14ac:dyDescent="0.45">
      <c r="A94" s="28" t="s">
        <v>1183</v>
      </c>
      <c r="B94" s="5" t="s">
        <v>60</v>
      </c>
      <c r="C94" s="5" t="s">
        <v>115</v>
      </c>
      <c r="D94" s="5">
        <v>1</v>
      </c>
      <c r="E94" s="5" t="s">
        <v>1159</v>
      </c>
      <c r="K94" s="24"/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</row>
    <row r="95" spans="1:31" x14ac:dyDescent="0.45">
      <c r="A95" s="28" t="s">
        <v>1183</v>
      </c>
      <c r="B95" s="5" t="s">
        <v>60</v>
      </c>
      <c r="C95" s="5" t="s">
        <v>115</v>
      </c>
      <c r="D95" s="5">
        <v>1</v>
      </c>
      <c r="E95" s="5" t="s">
        <v>1160</v>
      </c>
      <c r="K95" s="24">
        <f>INDEX(Mitigation_Industry!K:K,MATCH($A95,Mitigation_Industry!$H:$H,0))</f>
        <v>0</v>
      </c>
      <c r="L95" s="24">
        <f>INDEX(Mitigation_Industry!L:L,MATCH($A95,Mitigation_Industry!$H:$H,0))</f>
        <v>0</v>
      </c>
      <c r="M95" s="24">
        <f>INDEX(Mitigation_Industry!M:M,MATCH($A95,Mitigation_Industry!$H:$H,0))</f>
        <v>0</v>
      </c>
      <c r="N95" s="24">
        <f>INDEX(Mitigation_Industry!N:N,MATCH($A95,Mitigation_Industry!$H:$H,0))</f>
        <v>0</v>
      </c>
      <c r="O95" s="24">
        <f>INDEX(Mitigation_Industry!O:O,MATCH($A95,Mitigation_Industry!$H:$H,0))</f>
        <v>0</v>
      </c>
      <c r="P95" s="24">
        <f>INDEX(Mitigation_Industry!P:P,MATCH($A95,Mitigation_Industry!$H:$H,0))</f>
        <v>0</v>
      </c>
      <c r="Q95" s="24">
        <f>INDEX(Mitigation_Industry!Q:Q,MATCH($A95,Mitigation_Industry!$H:$H,0))</f>
        <v>0</v>
      </c>
      <c r="R95" s="24">
        <f>INDEX(Mitigation_Industry!R:R,MATCH($A95,Mitigation_Industry!$H:$H,0))</f>
        <v>0</v>
      </c>
      <c r="S95" s="24">
        <f>INDEX(Mitigation_Industry!S:S,MATCH($A95,Mitigation_Industry!$H:$H,0))</f>
        <v>0</v>
      </c>
      <c r="T95" s="24">
        <f>INDEX(Mitigation_Industry!T:T,MATCH($A95,Mitigation_Industry!$H:$H,0))</f>
        <v>0</v>
      </c>
      <c r="U95" s="24">
        <f>INDEX(Mitigation_Industry!U:U,MATCH($A95,Mitigation_Industry!$H:$H,0))</f>
        <v>0</v>
      </c>
      <c r="V95" s="24">
        <f>INDEX(Mitigation_Industry!V:V,MATCH($A95,Mitigation_Industry!$H:$H,0))</f>
        <v>0</v>
      </c>
      <c r="W95" s="24">
        <f>INDEX(Mitigation_Industry!W:W,MATCH($A95,Mitigation_Industry!$H:$H,0))</f>
        <v>0</v>
      </c>
      <c r="X95" s="24">
        <f>INDEX(Mitigation_Industry!X:X,MATCH($A95,Mitigation_Industry!$H:$H,0))</f>
        <v>0</v>
      </c>
      <c r="Y95" s="24">
        <f>INDEX(Mitigation_Industry!Y:Y,MATCH($A95,Mitigation_Industry!$H:$H,0))</f>
        <v>0</v>
      </c>
      <c r="Z95" s="24">
        <f>INDEX(Mitigation_Industry!Z:Z,MATCH($A95,Mitigation_Industry!$H:$H,0))</f>
        <v>0</v>
      </c>
      <c r="AA95" s="24">
        <f>INDEX(Mitigation_Industry!AA:AA,MATCH($A95,Mitigation_Industry!$H:$H,0))</f>
        <v>0</v>
      </c>
      <c r="AB95" s="24">
        <f>INDEX(Mitigation_Industry!AB:AB,MATCH($A95,Mitigation_Industry!$H:$H,0))</f>
        <v>0</v>
      </c>
      <c r="AC95" s="24">
        <f>INDEX(Mitigation_Industry!AC:AC,MATCH($A95,Mitigation_Industry!$H:$H,0))</f>
        <v>0</v>
      </c>
      <c r="AD95" s="24">
        <f>INDEX(Mitigation_Industry!AD:AD,MATCH($A95,Mitigation_Industry!$H:$H,0))</f>
        <v>0</v>
      </c>
      <c r="AE95" s="24">
        <f>INDEX(Mitigation_Industry!AE:AE,MATCH($A95,Mitigation_Industry!$H:$H,0))</f>
        <v>0</v>
      </c>
    </row>
    <row r="96" spans="1:31" x14ac:dyDescent="0.45">
      <c r="A96" s="28" t="s">
        <v>1183</v>
      </c>
      <c r="B96" s="5" t="s">
        <v>60</v>
      </c>
      <c r="C96" s="5" t="s">
        <v>115</v>
      </c>
      <c r="D96" s="5">
        <v>1</v>
      </c>
      <c r="E96" s="2" t="s">
        <v>1161</v>
      </c>
      <c r="F96" s="31">
        <f>MAX(MAX(L96:AE96),-MIN(L96:AE96))</f>
        <v>0</v>
      </c>
      <c r="K96" s="32">
        <f t="shared" ref="K96:AE96" si="22">IF(ISNUMBER(K94),IF(ISNUMBER(K95),K95-K94,999999),0)</f>
        <v>0</v>
      </c>
      <c r="L96" s="32">
        <f t="shared" si="22"/>
        <v>0</v>
      </c>
      <c r="M96" s="32">
        <f t="shared" si="22"/>
        <v>0</v>
      </c>
      <c r="N96" s="32">
        <f t="shared" si="22"/>
        <v>0</v>
      </c>
      <c r="O96" s="32">
        <f t="shared" si="22"/>
        <v>0</v>
      </c>
      <c r="P96" s="32">
        <f t="shared" si="22"/>
        <v>0</v>
      </c>
      <c r="Q96" s="32">
        <f t="shared" si="22"/>
        <v>0</v>
      </c>
      <c r="R96" s="32">
        <f t="shared" si="22"/>
        <v>0</v>
      </c>
      <c r="S96" s="32">
        <f t="shared" si="22"/>
        <v>0</v>
      </c>
      <c r="T96" s="32">
        <f t="shared" si="22"/>
        <v>0</v>
      </c>
      <c r="U96" s="32">
        <f t="shared" si="22"/>
        <v>0</v>
      </c>
      <c r="V96" s="32">
        <f t="shared" si="22"/>
        <v>0</v>
      </c>
      <c r="W96" s="32">
        <f t="shared" si="22"/>
        <v>0</v>
      </c>
      <c r="X96" s="32">
        <f t="shared" si="22"/>
        <v>0</v>
      </c>
      <c r="Y96" s="32">
        <f t="shared" si="22"/>
        <v>0</v>
      </c>
      <c r="Z96" s="32">
        <f t="shared" si="22"/>
        <v>0</v>
      </c>
      <c r="AA96" s="32">
        <f t="shared" si="22"/>
        <v>0</v>
      </c>
      <c r="AB96" s="32">
        <f t="shared" si="22"/>
        <v>0</v>
      </c>
      <c r="AC96" s="32">
        <f t="shared" si="22"/>
        <v>0</v>
      </c>
      <c r="AD96" s="32">
        <f t="shared" si="22"/>
        <v>0</v>
      </c>
      <c r="AE96" s="32">
        <f t="shared" si="22"/>
        <v>0</v>
      </c>
    </row>
    <row r="98" spans="1:31" x14ac:dyDescent="0.45">
      <c r="A98" s="28" t="s">
        <v>1184</v>
      </c>
      <c r="B98" s="5" t="s">
        <v>62</v>
      </c>
      <c r="C98" s="5" t="s">
        <v>115</v>
      </c>
      <c r="D98" s="5">
        <v>1</v>
      </c>
      <c r="E98" s="5" t="s">
        <v>1159</v>
      </c>
      <c r="K98" s="24"/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</row>
    <row r="99" spans="1:31" x14ac:dyDescent="0.45">
      <c r="A99" s="28" t="s">
        <v>1184</v>
      </c>
      <c r="B99" s="5" t="s">
        <v>62</v>
      </c>
      <c r="C99" s="5" t="s">
        <v>115</v>
      </c>
      <c r="D99" s="5">
        <v>1</v>
      </c>
      <c r="E99" s="5" t="s">
        <v>1160</v>
      </c>
      <c r="K99" s="24">
        <f>INDEX(Mitigation_Industry!K:K,MATCH($A99,Mitigation_Industry!$H:$H,0))</f>
        <v>0</v>
      </c>
      <c r="L99" s="24">
        <f>INDEX(Mitigation_Industry!L:L,MATCH($A99,Mitigation_Industry!$H:$H,0))</f>
        <v>0</v>
      </c>
      <c r="M99" s="24">
        <f>INDEX(Mitigation_Industry!M:M,MATCH($A99,Mitigation_Industry!$H:$H,0))</f>
        <v>0</v>
      </c>
      <c r="N99" s="24">
        <f>INDEX(Mitigation_Industry!N:N,MATCH($A99,Mitigation_Industry!$H:$H,0))</f>
        <v>0</v>
      </c>
      <c r="O99" s="24">
        <f>INDEX(Mitigation_Industry!O:O,MATCH($A99,Mitigation_Industry!$H:$H,0))</f>
        <v>0</v>
      </c>
      <c r="P99" s="24">
        <f>INDEX(Mitigation_Industry!P:P,MATCH($A99,Mitigation_Industry!$H:$H,0))</f>
        <v>0</v>
      </c>
      <c r="Q99" s="24">
        <f>INDEX(Mitigation_Industry!Q:Q,MATCH($A99,Mitigation_Industry!$H:$H,0))</f>
        <v>0</v>
      </c>
      <c r="R99" s="24">
        <f>INDEX(Mitigation_Industry!R:R,MATCH($A99,Mitigation_Industry!$H:$H,0))</f>
        <v>0</v>
      </c>
      <c r="S99" s="24">
        <f>INDEX(Mitigation_Industry!S:S,MATCH($A99,Mitigation_Industry!$H:$H,0))</f>
        <v>0</v>
      </c>
      <c r="T99" s="24">
        <f>INDEX(Mitigation_Industry!T:T,MATCH($A99,Mitigation_Industry!$H:$H,0))</f>
        <v>0</v>
      </c>
      <c r="U99" s="24">
        <f>INDEX(Mitigation_Industry!U:U,MATCH($A99,Mitigation_Industry!$H:$H,0))</f>
        <v>0</v>
      </c>
      <c r="V99" s="24">
        <f>INDEX(Mitigation_Industry!V:V,MATCH($A99,Mitigation_Industry!$H:$H,0))</f>
        <v>0</v>
      </c>
      <c r="W99" s="24">
        <f>INDEX(Mitigation_Industry!W:W,MATCH($A99,Mitigation_Industry!$H:$H,0))</f>
        <v>0</v>
      </c>
      <c r="X99" s="24">
        <f>INDEX(Mitigation_Industry!X:X,MATCH($A99,Mitigation_Industry!$H:$H,0))</f>
        <v>0</v>
      </c>
      <c r="Y99" s="24">
        <f>INDEX(Mitigation_Industry!Y:Y,MATCH($A99,Mitigation_Industry!$H:$H,0))</f>
        <v>0</v>
      </c>
      <c r="Z99" s="24">
        <f>INDEX(Mitigation_Industry!Z:Z,MATCH($A99,Mitigation_Industry!$H:$H,0))</f>
        <v>0</v>
      </c>
      <c r="AA99" s="24">
        <f>INDEX(Mitigation_Industry!AA:AA,MATCH($A99,Mitigation_Industry!$H:$H,0))</f>
        <v>0</v>
      </c>
      <c r="AB99" s="24">
        <f>INDEX(Mitigation_Industry!AB:AB,MATCH($A99,Mitigation_Industry!$H:$H,0))</f>
        <v>0</v>
      </c>
      <c r="AC99" s="24">
        <f>INDEX(Mitigation_Industry!AC:AC,MATCH($A99,Mitigation_Industry!$H:$H,0))</f>
        <v>0</v>
      </c>
      <c r="AD99" s="24">
        <f>INDEX(Mitigation_Industry!AD:AD,MATCH($A99,Mitigation_Industry!$H:$H,0))</f>
        <v>0</v>
      </c>
      <c r="AE99" s="24">
        <f>INDEX(Mitigation_Industry!AE:AE,MATCH($A99,Mitigation_Industry!$H:$H,0))</f>
        <v>0</v>
      </c>
    </row>
    <row r="100" spans="1:31" x14ac:dyDescent="0.45">
      <c r="A100" s="28" t="s">
        <v>1184</v>
      </c>
      <c r="B100" s="5" t="s">
        <v>62</v>
      </c>
      <c r="C100" s="5" t="s">
        <v>115</v>
      </c>
      <c r="D100" s="5">
        <v>1</v>
      </c>
      <c r="E100" s="2" t="s">
        <v>1161</v>
      </c>
      <c r="F100" s="31">
        <f>MAX(MAX(L100:AE100),-MIN(L100:AE100))</f>
        <v>0</v>
      </c>
      <c r="K100" s="32">
        <f t="shared" ref="K100:AE100" si="23">IF(ISNUMBER(K98),IF(ISNUMBER(K99),K99-K98,999999),0)</f>
        <v>0</v>
      </c>
      <c r="L100" s="32">
        <f t="shared" si="23"/>
        <v>0</v>
      </c>
      <c r="M100" s="32">
        <f t="shared" si="23"/>
        <v>0</v>
      </c>
      <c r="N100" s="32">
        <f t="shared" si="23"/>
        <v>0</v>
      </c>
      <c r="O100" s="32">
        <f t="shared" si="23"/>
        <v>0</v>
      </c>
      <c r="P100" s="32">
        <f t="shared" si="23"/>
        <v>0</v>
      </c>
      <c r="Q100" s="32">
        <f t="shared" si="23"/>
        <v>0</v>
      </c>
      <c r="R100" s="32">
        <f t="shared" si="23"/>
        <v>0</v>
      </c>
      <c r="S100" s="32">
        <f t="shared" si="23"/>
        <v>0</v>
      </c>
      <c r="T100" s="32">
        <f t="shared" si="23"/>
        <v>0</v>
      </c>
      <c r="U100" s="32">
        <f t="shared" si="23"/>
        <v>0</v>
      </c>
      <c r="V100" s="32">
        <f t="shared" si="23"/>
        <v>0</v>
      </c>
      <c r="W100" s="32">
        <f t="shared" si="23"/>
        <v>0</v>
      </c>
      <c r="X100" s="32">
        <f t="shared" si="23"/>
        <v>0</v>
      </c>
      <c r="Y100" s="32">
        <f t="shared" si="23"/>
        <v>0</v>
      </c>
      <c r="Z100" s="32">
        <f t="shared" si="23"/>
        <v>0</v>
      </c>
      <c r="AA100" s="32">
        <f t="shared" si="23"/>
        <v>0</v>
      </c>
      <c r="AB100" s="32">
        <f t="shared" si="23"/>
        <v>0</v>
      </c>
      <c r="AC100" s="32">
        <f t="shared" si="23"/>
        <v>0</v>
      </c>
      <c r="AD100" s="32">
        <f t="shared" si="23"/>
        <v>0</v>
      </c>
      <c r="AE100" s="32">
        <f t="shared" si="23"/>
        <v>0</v>
      </c>
    </row>
    <row r="102" spans="1:31" x14ac:dyDescent="0.45">
      <c r="A102" s="28" t="s">
        <v>1185</v>
      </c>
      <c r="B102" s="5" t="s">
        <v>64</v>
      </c>
      <c r="C102" s="5" t="s">
        <v>115</v>
      </c>
      <c r="D102" s="5">
        <v>1</v>
      </c>
      <c r="E102" s="5" t="s">
        <v>1159</v>
      </c>
      <c r="K102" s="24"/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</row>
    <row r="103" spans="1:31" x14ac:dyDescent="0.45">
      <c r="A103" s="28" t="s">
        <v>1185</v>
      </c>
      <c r="B103" s="5" t="s">
        <v>64</v>
      </c>
      <c r="C103" s="5" t="s">
        <v>115</v>
      </c>
      <c r="D103" s="5">
        <v>1</v>
      </c>
      <c r="E103" s="5" t="s">
        <v>1160</v>
      </c>
      <c r="K103" s="24">
        <f>INDEX(Mitigation_Industry!K:K,MATCH($A103,Mitigation_Industry!$H:$H,0))</f>
        <v>0</v>
      </c>
      <c r="L103" s="24">
        <f>INDEX(Mitigation_Industry!L:L,MATCH($A103,Mitigation_Industry!$H:$H,0))</f>
        <v>0</v>
      </c>
      <c r="M103" s="24">
        <f>INDEX(Mitigation_Industry!M:M,MATCH($A103,Mitigation_Industry!$H:$H,0))</f>
        <v>0</v>
      </c>
      <c r="N103" s="24">
        <f>INDEX(Mitigation_Industry!N:N,MATCH($A103,Mitigation_Industry!$H:$H,0))</f>
        <v>0</v>
      </c>
      <c r="O103" s="24">
        <f>INDEX(Mitigation_Industry!O:O,MATCH($A103,Mitigation_Industry!$H:$H,0))</f>
        <v>0</v>
      </c>
      <c r="P103" s="24">
        <f>INDEX(Mitigation_Industry!P:P,MATCH($A103,Mitigation_Industry!$H:$H,0))</f>
        <v>0</v>
      </c>
      <c r="Q103" s="24">
        <f>INDEX(Mitigation_Industry!Q:Q,MATCH($A103,Mitigation_Industry!$H:$H,0))</f>
        <v>0</v>
      </c>
      <c r="R103" s="24">
        <f>INDEX(Mitigation_Industry!R:R,MATCH($A103,Mitigation_Industry!$H:$H,0))</f>
        <v>0</v>
      </c>
      <c r="S103" s="24">
        <f>INDEX(Mitigation_Industry!S:S,MATCH($A103,Mitigation_Industry!$H:$H,0))</f>
        <v>0</v>
      </c>
      <c r="T103" s="24">
        <f>INDEX(Mitigation_Industry!T:T,MATCH($A103,Mitigation_Industry!$H:$H,0))</f>
        <v>0</v>
      </c>
      <c r="U103" s="24">
        <f>INDEX(Mitigation_Industry!U:U,MATCH($A103,Mitigation_Industry!$H:$H,0))</f>
        <v>0</v>
      </c>
      <c r="V103" s="24">
        <f>INDEX(Mitigation_Industry!V:V,MATCH($A103,Mitigation_Industry!$H:$H,0))</f>
        <v>0</v>
      </c>
      <c r="W103" s="24">
        <f>INDEX(Mitigation_Industry!W:W,MATCH($A103,Mitigation_Industry!$H:$H,0))</f>
        <v>0</v>
      </c>
      <c r="X103" s="24">
        <f>INDEX(Mitigation_Industry!X:X,MATCH($A103,Mitigation_Industry!$H:$H,0))</f>
        <v>0</v>
      </c>
      <c r="Y103" s="24">
        <f>INDEX(Mitigation_Industry!Y:Y,MATCH($A103,Mitigation_Industry!$H:$H,0))</f>
        <v>0</v>
      </c>
      <c r="Z103" s="24">
        <f>INDEX(Mitigation_Industry!Z:Z,MATCH($A103,Mitigation_Industry!$H:$H,0))</f>
        <v>0</v>
      </c>
      <c r="AA103" s="24">
        <f>INDEX(Mitigation_Industry!AA:AA,MATCH($A103,Mitigation_Industry!$H:$H,0))</f>
        <v>0</v>
      </c>
      <c r="AB103" s="24">
        <f>INDEX(Mitigation_Industry!AB:AB,MATCH($A103,Mitigation_Industry!$H:$H,0))</f>
        <v>0</v>
      </c>
      <c r="AC103" s="24">
        <f>INDEX(Mitigation_Industry!AC:AC,MATCH($A103,Mitigation_Industry!$H:$H,0))</f>
        <v>0</v>
      </c>
      <c r="AD103" s="24">
        <f>INDEX(Mitigation_Industry!AD:AD,MATCH($A103,Mitigation_Industry!$H:$H,0))</f>
        <v>0</v>
      </c>
      <c r="AE103" s="24">
        <f>INDEX(Mitigation_Industry!AE:AE,MATCH($A103,Mitigation_Industry!$H:$H,0))</f>
        <v>0</v>
      </c>
    </row>
    <row r="104" spans="1:31" x14ac:dyDescent="0.45">
      <c r="A104" s="28" t="s">
        <v>1185</v>
      </c>
      <c r="B104" s="5" t="s">
        <v>64</v>
      </c>
      <c r="C104" s="5" t="s">
        <v>115</v>
      </c>
      <c r="D104" s="5">
        <v>1</v>
      </c>
      <c r="E104" s="2" t="s">
        <v>1161</v>
      </c>
      <c r="F104" s="31">
        <f>MAX(MAX(L104:AE104),-MIN(L104:AE104))</f>
        <v>0</v>
      </c>
      <c r="K104" s="32">
        <f t="shared" ref="K104:AE104" si="24">IF(ISNUMBER(K102),IF(ISNUMBER(K103),K103-K102,999999),0)</f>
        <v>0</v>
      </c>
      <c r="L104" s="32">
        <f t="shared" si="24"/>
        <v>0</v>
      </c>
      <c r="M104" s="32">
        <f t="shared" si="24"/>
        <v>0</v>
      </c>
      <c r="N104" s="32">
        <f t="shared" si="24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32">
        <f t="shared" si="24"/>
        <v>0</v>
      </c>
      <c r="S104" s="32">
        <f t="shared" si="24"/>
        <v>0</v>
      </c>
      <c r="T104" s="32">
        <f t="shared" si="24"/>
        <v>0</v>
      </c>
      <c r="U104" s="32">
        <f t="shared" si="24"/>
        <v>0</v>
      </c>
      <c r="V104" s="32">
        <f t="shared" si="24"/>
        <v>0</v>
      </c>
      <c r="W104" s="32">
        <f t="shared" si="24"/>
        <v>0</v>
      </c>
      <c r="X104" s="32">
        <f t="shared" si="24"/>
        <v>0</v>
      </c>
      <c r="Y104" s="32">
        <f t="shared" si="24"/>
        <v>0</v>
      </c>
      <c r="Z104" s="32">
        <f t="shared" si="24"/>
        <v>0</v>
      </c>
      <c r="AA104" s="32">
        <f t="shared" si="24"/>
        <v>0</v>
      </c>
      <c r="AB104" s="32">
        <f t="shared" si="24"/>
        <v>0</v>
      </c>
      <c r="AC104" s="32">
        <f t="shared" si="24"/>
        <v>0</v>
      </c>
      <c r="AD104" s="32">
        <f t="shared" si="24"/>
        <v>0</v>
      </c>
      <c r="AE104" s="32">
        <f t="shared" si="24"/>
        <v>0</v>
      </c>
    </row>
    <row r="106" spans="1:31" x14ac:dyDescent="0.45">
      <c r="A106" s="28" t="s">
        <v>1186</v>
      </c>
      <c r="B106" s="5" t="s">
        <v>67</v>
      </c>
      <c r="C106" s="5" t="s">
        <v>115</v>
      </c>
      <c r="D106" s="5">
        <v>1</v>
      </c>
      <c r="E106" s="5" t="s">
        <v>1159</v>
      </c>
      <c r="K106" s="24"/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</row>
    <row r="107" spans="1:31" x14ac:dyDescent="0.45">
      <c r="A107" s="28" t="s">
        <v>1186</v>
      </c>
      <c r="B107" s="5" t="s">
        <v>67</v>
      </c>
      <c r="C107" s="5" t="s">
        <v>115</v>
      </c>
      <c r="D107" s="5">
        <v>1</v>
      </c>
      <c r="E107" s="5" t="s">
        <v>1160</v>
      </c>
      <c r="K107" s="24">
        <f>INDEX(Mitigation_Industry!K:K,MATCH($A107,Mitigation_Industry!$H:$H,0))</f>
        <v>0</v>
      </c>
      <c r="L107" s="24">
        <f>INDEX(Mitigation_Industry!L:L,MATCH($A107,Mitigation_Industry!$H:$H,0))</f>
        <v>0</v>
      </c>
      <c r="M107" s="24">
        <f>INDEX(Mitigation_Industry!M:M,MATCH($A107,Mitigation_Industry!$H:$H,0))</f>
        <v>0</v>
      </c>
      <c r="N107" s="24">
        <f>INDEX(Mitigation_Industry!N:N,MATCH($A107,Mitigation_Industry!$H:$H,0))</f>
        <v>0</v>
      </c>
      <c r="O107" s="24">
        <f>INDEX(Mitigation_Industry!O:O,MATCH($A107,Mitigation_Industry!$H:$H,0))</f>
        <v>0</v>
      </c>
      <c r="P107" s="24">
        <f>INDEX(Mitigation_Industry!P:P,MATCH($A107,Mitigation_Industry!$H:$H,0))</f>
        <v>0</v>
      </c>
      <c r="Q107" s="24">
        <f>INDEX(Mitigation_Industry!Q:Q,MATCH($A107,Mitigation_Industry!$H:$H,0))</f>
        <v>0</v>
      </c>
      <c r="R107" s="24">
        <f>INDEX(Mitigation_Industry!R:R,MATCH($A107,Mitigation_Industry!$H:$H,0))</f>
        <v>0</v>
      </c>
      <c r="S107" s="24">
        <f>INDEX(Mitigation_Industry!S:S,MATCH($A107,Mitigation_Industry!$H:$H,0))</f>
        <v>0</v>
      </c>
      <c r="T107" s="24">
        <f>INDEX(Mitigation_Industry!T:T,MATCH($A107,Mitigation_Industry!$H:$H,0))</f>
        <v>0</v>
      </c>
      <c r="U107" s="24">
        <f>INDEX(Mitigation_Industry!U:U,MATCH($A107,Mitigation_Industry!$H:$H,0))</f>
        <v>0</v>
      </c>
      <c r="V107" s="24">
        <f>INDEX(Mitigation_Industry!V:V,MATCH($A107,Mitigation_Industry!$H:$H,0))</f>
        <v>0</v>
      </c>
      <c r="W107" s="24">
        <f>INDEX(Mitigation_Industry!W:W,MATCH($A107,Mitigation_Industry!$H:$H,0))</f>
        <v>0</v>
      </c>
      <c r="X107" s="24">
        <f>INDEX(Mitigation_Industry!X:X,MATCH($A107,Mitigation_Industry!$H:$H,0))</f>
        <v>0</v>
      </c>
      <c r="Y107" s="24">
        <f>INDEX(Mitigation_Industry!Y:Y,MATCH($A107,Mitigation_Industry!$H:$H,0))</f>
        <v>0</v>
      </c>
      <c r="Z107" s="24">
        <f>INDEX(Mitigation_Industry!Z:Z,MATCH($A107,Mitigation_Industry!$H:$H,0))</f>
        <v>0</v>
      </c>
      <c r="AA107" s="24">
        <f>INDEX(Mitigation_Industry!AA:AA,MATCH($A107,Mitigation_Industry!$H:$H,0))</f>
        <v>0</v>
      </c>
      <c r="AB107" s="24">
        <f>INDEX(Mitigation_Industry!AB:AB,MATCH($A107,Mitigation_Industry!$H:$H,0))</f>
        <v>0</v>
      </c>
      <c r="AC107" s="24">
        <f>INDEX(Mitigation_Industry!AC:AC,MATCH($A107,Mitigation_Industry!$H:$H,0))</f>
        <v>0</v>
      </c>
      <c r="AD107" s="24">
        <f>INDEX(Mitigation_Industry!AD:AD,MATCH($A107,Mitigation_Industry!$H:$H,0))</f>
        <v>0</v>
      </c>
      <c r="AE107" s="24">
        <f>INDEX(Mitigation_Industry!AE:AE,MATCH($A107,Mitigation_Industry!$H:$H,0))</f>
        <v>0</v>
      </c>
    </row>
    <row r="108" spans="1:31" x14ac:dyDescent="0.45">
      <c r="A108" s="28" t="s">
        <v>1186</v>
      </c>
      <c r="B108" s="5" t="s">
        <v>67</v>
      </c>
      <c r="C108" s="5" t="s">
        <v>115</v>
      </c>
      <c r="D108" s="5">
        <v>1</v>
      </c>
      <c r="E108" s="2" t="s">
        <v>1161</v>
      </c>
      <c r="F108" s="31">
        <f>MAX(MAX(L108:AE108),-MIN(L108:AE108))</f>
        <v>0</v>
      </c>
      <c r="K108" s="32">
        <f t="shared" ref="K108:AE108" si="25">IF(ISNUMBER(K106),IF(ISNUMBER(K107),K107-K106,999999),0)</f>
        <v>0</v>
      </c>
      <c r="L108" s="32">
        <f t="shared" si="25"/>
        <v>0</v>
      </c>
      <c r="M108" s="32">
        <f t="shared" si="25"/>
        <v>0</v>
      </c>
      <c r="N108" s="32">
        <f t="shared" si="25"/>
        <v>0</v>
      </c>
      <c r="O108" s="32">
        <f t="shared" si="25"/>
        <v>0</v>
      </c>
      <c r="P108" s="32">
        <f t="shared" si="25"/>
        <v>0</v>
      </c>
      <c r="Q108" s="32">
        <f t="shared" si="25"/>
        <v>0</v>
      </c>
      <c r="R108" s="32">
        <f t="shared" si="25"/>
        <v>0</v>
      </c>
      <c r="S108" s="32">
        <f t="shared" si="25"/>
        <v>0</v>
      </c>
      <c r="T108" s="32">
        <f t="shared" si="25"/>
        <v>0</v>
      </c>
      <c r="U108" s="32">
        <f t="shared" si="25"/>
        <v>0</v>
      </c>
      <c r="V108" s="32">
        <f t="shared" si="25"/>
        <v>0</v>
      </c>
      <c r="W108" s="32">
        <f t="shared" si="25"/>
        <v>0</v>
      </c>
      <c r="X108" s="32">
        <f t="shared" si="25"/>
        <v>0</v>
      </c>
      <c r="Y108" s="32">
        <f t="shared" si="25"/>
        <v>0</v>
      </c>
      <c r="Z108" s="32">
        <f t="shared" si="25"/>
        <v>0</v>
      </c>
      <c r="AA108" s="32">
        <f t="shared" si="25"/>
        <v>0</v>
      </c>
      <c r="AB108" s="32">
        <f t="shared" si="25"/>
        <v>0</v>
      </c>
      <c r="AC108" s="32">
        <f t="shared" si="25"/>
        <v>0</v>
      </c>
      <c r="AD108" s="32">
        <f t="shared" si="25"/>
        <v>0</v>
      </c>
      <c r="AE108" s="32">
        <f t="shared" si="25"/>
        <v>0</v>
      </c>
    </row>
    <row r="110" spans="1:31" x14ac:dyDescent="0.45">
      <c r="A110" s="28" t="s">
        <v>1187</v>
      </c>
      <c r="B110" s="5" t="s">
        <v>69</v>
      </c>
      <c r="C110" s="5" t="s">
        <v>115</v>
      </c>
      <c r="D110" s="5">
        <v>1</v>
      </c>
      <c r="E110" s="5" t="s">
        <v>1159</v>
      </c>
      <c r="K110" s="24"/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</row>
    <row r="111" spans="1:31" x14ac:dyDescent="0.45">
      <c r="A111" s="28" t="s">
        <v>1187</v>
      </c>
      <c r="B111" s="5" t="s">
        <v>69</v>
      </c>
      <c r="C111" s="5" t="s">
        <v>115</v>
      </c>
      <c r="D111" s="5">
        <v>1</v>
      </c>
      <c r="E111" s="5" t="s">
        <v>1160</v>
      </c>
      <c r="K111" s="24">
        <f>INDEX(Mitigation_Industry!K:K,MATCH($A111,Mitigation_Industry!$H:$H,0))</f>
        <v>0</v>
      </c>
      <c r="L111" s="24">
        <f>INDEX(Mitigation_Industry!L:L,MATCH($A111,Mitigation_Industry!$H:$H,0))</f>
        <v>0</v>
      </c>
      <c r="M111" s="24">
        <f>INDEX(Mitigation_Industry!M:M,MATCH($A111,Mitigation_Industry!$H:$H,0))</f>
        <v>0</v>
      </c>
      <c r="N111" s="24">
        <f>INDEX(Mitigation_Industry!N:N,MATCH($A111,Mitigation_Industry!$H:$H,0))</f>
        <v>0</v>
      </c>
      <c r="O111" s="24">
        <f>INDEX(Mitigation_Industry!O:O,MATCH($A111,Mitigation_Industry!$H:$H,0))</f>
        <v>0</v>
      </c>
      <c r="P111" s="24">
        <f>INDEX(Mitigation_Industry!P:P,MATCH($A111,Mitigation_Industry!$H:$H,0))</f>
        <v>0</v>
      </c>
      <c r="Q111" s="24">
        <f>INDEX(Mitigation_Industry!Q:Q,MATCH($A111,Mitigation_Industry!$H:$H,0))</f>
        <v>0</v>
      </c>
      <c r="R111" s="24">
        <f>INDEX(Mitigation_Industry!R:R,MATCH($A111,Mitigation_Industry!$H:$H,0))</f>
        <v>0</v>
      </c>
      <c r="S111" s="24">
        <f>INDEX(Mitigation_Industry!S:S,MATCH($A111,Mitigation_Industry!$H:$H,0))</f>
        <v>0</v>
      </c>
      <c r="T111" s="24">
        <f>INDEX(Mitigation_Industry!T:T,MATCH($A111,Mitigation_Industry!$H:$H,0))</f>
        <v>0</v>
      </c>
      <c r="U111" s="24">
        <f>INDEX(Mitigation_Industry!U:U,MATCH($A111,Mitigation_Industry!$H:$H,0))</f>
        <v>0</v>
      </c>
      <c r="V111" s="24">
        <f>INDEX(Mitigation_Industry!V:V,MATCH($A111,Mitigation_Industry!$H:$H,0))</f>
        <v>0</v>
      </c>
      <c r="W111" s="24">
        <f>INDEX(Mitigation_Industry!W:W,MATCH($A111,Mitigation_Industry!$H:$H,0))</f>
        <v>0</v>
      </c>
      <c r="X111" s="24">
        <f>INDEX(Mitigation_Industry!X:X,MATCH($A111,Mitigation_Industry!$H:$H,0))</f>
        <v>0</v>
      </c>
      <c r="Y111" s="24">
        <f>INDEX(Mitigation_Industry!Y:Y,MATCH($A111,Mitigation_Industry!$H:$H,0))</f>
        <v>0</v>
      </c>
      <c r="Z111" s="24">
        <f>INDEX(Mitigation_Industry!Z:Z,MATCH($A111,Mitigation_Industry!$H:$H,0))</f>
        <v>0</v>
      </c>
      <c r="AA111" s="24">
        <f>INDEX(Mitigation_Industry!AA:AA,MATCH($A111,Mitigation_Industry!$H:$H,0))</f>
        <v>0</v>
      </c>
      <c r="AB111" s="24">
        <f>INDEX(Mitigation_Industry!AB:AB,MATCH($A111,Mitigation_Industry!$H:$H,0))</f>
        <v>0</v>
      </c>
      <c r="AC111" s="24">
        <f>INDEX(Mitigation_Industry!AC:AC,MATCH($A111,Mitigation_Industry!$H:$H,0))</f>
        <v>0</v>
      </c>
      <c r="AD111" s="24">
        <f>INDEX(Mitigation_Industry!AD:AD,MATCH($A111,Mitigation_Industry!$H:$H,0))</f>
        <v>0</v>
      </c>
      <c r="AE111" s="24">
        <f>INDEX(Mitigation_Industry!AE:AE,MATCH($A111,Mitigation_Industry!$H:$H,0))</f>
        <v>0</v>
      </c>
    </row>
    <row r="112" spans="1:31" x14ac:dyDescent="0.45">
      <c r="A112" s="28" t="s">
        <v>1187</v>
      </c>
      <c r="B112" s="5" t="s">
        <v>69</v>
      </c>
      <c r="C112" s="5" t="s">
        <v>115</v>
      </c>
      <c r="D112" s="5">
        <v>1</v>
      </c>
      <c r="E112" s="2" t="s">
        <v>1161</v>
      </c>
      <c r="F112" s="31">
        <f>MAX(MAX(L112:AE112),-MIN(L112:AE112))</f>
        <v>0</v>
      </c>
      <c r="K112" s="32">
        <f t="shared" ref="K112:AE112" si="26">IF(ISNUMBER(K110),IF(ISNUMBER(K111),K111-K110,999999),0)</f>
        <v>0</v>
      </c>
      <c r="L112" s="32">
        <f t="shared" si="26"/>
        <v>0</v>
      </c>
      <c r="M112" s="32">
        <f t="shared" si="26"/>
        <v>0</v>
      </c>
      <c r="N112" s="32">
        <f t="shared" si="26"/>
        <v>0</v>
      </c>
      <c r="O112" s="32">
        <f t="shared" si="26"/>
        <v>0</v>
      </c>
      <c r="P112" s="32">
        <f t="shared" si="26"/>
        <v>0</v>
      </c>
      <c r="Q112" s="32">
        <f t="shared" si="26"/>
        <v>0</v>
      </c>
      <c r="R112" s="32">
        <f t="shared" si="26"/>
        <v>0</v>
      </c>
      <c r="S112" s="32">
        <f t="shared" si="26"/>
        <v>0</v>
      </c>
      <c r="T112" s="32">
        <f t="shared" si="26"/>
        <v>0</v>
      </c>
      <c r="U112" s="32">
        <f t="shared" si="26"/>
        <v>0</v>
      </c>
      <c r="V112" s="32">
        <f t="shared" si="26"/>
        <v>0</v>
      </c>
      <c r="W112" s="32">
        <f t="shared" si="26"/>
        <v>0</v>
      </c>
      <c r="X112" s="32">
        <f t="shared" si="26"/>
        <v>0</v>
      </c>
      <c r="Y112" s="32">
        <f t="shared" si="26"/>
        <v>0</v>
      </c>
      <c r="Z112" s="32">
        <f t="shared" si="26"/>
        <v>0</v>
      </c>
      <c r="AA112" s="32">
        <f t="shared" si="26"/>
        <v>0</v>
      </c>
      <c r="AB112" s="32">
        <f t="shared" si="26"/>
        <v>0</v>
      </c>
      <c r="AC112" s="32">
        <f t="shared" si="26"/>
        <v>0</v>
      </c>
      <c r="AD112" s="32">
        <f t="shared" si="26"/>
        <v>0</v>
      </c>
      <c r="AE112" s="32">
        <f t="shared" si="26"/>
        <v>0</v>
      </c>
    </row>
    <row r="114" spans="1:31" x14ac:dyDescent="0.45">
      <c r="A114" s="28" t="s">
        <v>1188</v>
      </c>
      <c r="B114" s="5" t="s">
        <v>49</v>
      </c>
      <c r="C114" s="5" t="s">
        <v>117</v>
      </c>
      <c r="D114" s="5">
        <v>1</v>
      </c>
      <c r="E114" s="5" t="s">
        <v>1159</v>
      </c>
      <c r="K114" s="24"/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</row>
    <row r="115" spans="1:31" x14ac:dyDescent="0.45">
      <c r="A115" s="28" t="s">
        <v>1188</v>
      </c>
      <c r="B115" s="5" t="s">
        <v>49</v>
      </c>
      <c r="C115" s="5" t="s">
        <v>117</v>
      </c>
      <c r="D115" s="5">
        <v>1</v>
      </c>
      <c r="E115" s="5" t="s">
        <v>1160</v>
      </c>
      <c r="K115" s="24">
        <f>INDEX(Mitigation_Industry!K:K,MATCH($A115,Mitigation_Industry!$H:$H,0))</f>
        <v>0</v>
      </c>
      <c r="L115" s="24">
        <f>INDEX(Mitigation_Industry!L:L,MATCH($A115,Mitigation_Industry!$H:$H,0))</f>
        <v>0</v>
      </c>
      <c r="M115" s="24">
        <f>INDEX(Mitigation_Industry!M:M,MATCH($A115,Mitigation_Industry!$H:$H,0))</f>
        <v>0</v>
      </c>
      <c r="N115" s="24">
        <f>INDEX(Mitigation_Industry!N:N,MATCH($A115,Mitigation_Industry!$H:$H,0))</f>
        <v>0</v>
      </c>
      <c r="O115" s="24">
        <f>INDEX(Mitigation_Industry!O:O,MATCH($A115,Mitigation_Industry!$H:$H,0))</f>
        <v>0</v>
      </c>
      <c r="P115" s="24">
        <f>INDEX(Mitigation_Industry!P:P,MATCH($A115,Mitigation_Industry!$H:$H,0))</f>
        <v>0</v>
      </c>
      <c r="Q115" s="24">
        <f>INDEX(Mitigation_Industry!Q:Q,MATCH($A115,Mitigation_Industry!$H:$H,0))</f>
        <v>0</v>
      </c>
      <c r="R115" s="24">
        <f>INDEX(Mitigation_Industry!R:R,MATCH($A115,Mitigation_Industry!$H:$H,0))</f>
        <v>0</v>
      </c>
      <c r="S115" s="24">
        <f>INDEX(Mitigation_Industry!S:S,MATCH($A115,Mitigation_Industry!$H:$H,0))</f>
        <v>0</v>
      </c>
      <c r="T115" s="24">
        <f>INDEX(Mitigation_Industry!T:T,MATCH($A115,Mitigation_Industry!$H:$H,0))</f>
        <v>0</v>
      </c>
      <c r="U115" s="24">
        <f>INDEX(Mitigation_Industry!U:U,MATCH($A115,Mitigation_Industry!$H:$H,0))</f>
        <v>0</v>
      </c>
      <c r="V115" s="24">
        <f>INDEX(Mitigation_Industry!V:V,MATCH($A115,Mitigation_Industry!$H:$H,0))</f>
        <v>0</v>
      </c>
      <c r="W115" s="24">
        <f>INDEX(Mitigation_Industry!W:W,MATCH($A115,Mitigation_Industry!$H:$H,0))</f>
        <v>0</v>
      </c>
      <c r="X115" s="24">
        <f>INDEX(Mitigation_Industry!X:X,MATCH($A115,Mitigation_Industry!$H:$H,0))</f>
        <v>0</v>
      </c>
      <c r="Y115" s="24">
        <f>INDEX(Mitigation_Industry!Y:Y,MATCH($A115,Mitigation_Industry!$H:$H,0))</f>
        <v>0</v>
      </c>
      <c r="Z115" s="24">
        <f>INDEX(Mitigation_Industry!Z:Z,MATCH($A115,Mitigation_Industry!$H:$H,0))</f>
        <v>0</v>
      </c>
      <c r="AA115" s="24">
        <f>INDEX(Mitigation_Industry!AA:AA,MATCH($A115,Mitigation_Industry!$H:$H,0))</f>
        <v>0</v>
      </c>
      <c r="AB115" s="24">
        <f>INDEX(Mitigation_Industry!AB:AB,MATCH($A115,Mitigation_Industry!$H:$H,0))</f>
        <v>0</v>
      </c>
      <c r="AC115" s="24">
        <f>INDEX(Mitigation_Industry!AC:AC,MATCH($A115,Mitigation_Industry!$H:$H,0))</f>
        <v>0</v>
      </c>
      <c r="AD115" s="24">
        <f>INDEX(Mitigation_Industry!AD:AD,MATCH($A115,Mitigation_Industry!$H:$H,0))</f>
        <v>0</v>
      </c>
      <c r="AE115" s="24">
        <f>INDEX(Mitigation_Industry!AE:AE,MATCH($A115,Mitigation_Industry!$H:$H,0))</f>
        <v>0</v>
      </c>
    </row>
    <row r="116" spans="1:31" x14ac:dyDescent="0.45">
      <c r="A116" s="28" t="s">
        <v>1188</v>
      </c>
      <c r="B116" s="5" t="s">
        <v>49</v>
      </c>
      <c r="C116" s="5" t="s">
        <v>117</v>
      </c>
      <c r="D116" s="5">
        <v>1</v>
      </c>
      <c r="E116" s="2" t="s">
        <v>1161</v>
      </c>
      <c r="F116" s="31">
        <f>MAX(MAX(L116:AE116),-MIN(L116:AE116))</f>
        <v>0</v>
      </c>
      <c r="K116" s="32">
        <f t="shared" ref="K116:AE116" si="27">IF(ISNUMBER(K114),IF(ISNUMBER(K115),K115-K114,999999),0)</f>
        <v>0</v>
      </c>
      <c r="L116" s="32">
        <f t="shared" si="27"/>
        <v>0</v>
      </c>
      <c r="M116" s="32">
        <f t="shared" si="27"/>
        <v>0</v>
      </c>
      <c r="N116" s="32">
        <f t="shared" si="27"/>
        <v>0</v>
      </c>
      <c r="O116" s="32">
        <f t="shared" si="27"/>
        <v>0</v>
      </c>
      <c r="P116" s="32">
        <f t="shared" si="27"/>
        <v>0</v>
      </c>
      <c r="Q116" s="32">
        <f t="shared" si="27"/>
        <v>0</v>
      </c>
      <c r="R116" s="32">
        <f t="shared" si="27"/>
        <v>0</v>
      </c>
      <c r="S116" s="32">
        <f t="shared" si="27"/>
        <v>0</v>
      </c>
      <c r="T116" s="32">
        <f t="shared" si="27"/>
        <v>0</v>
      </c>
      <c r="U116" s="32">
        <f t="shared" si="27"/>
        <v>0</v>
      </c>
      <c r="V116" s="32">
        <f t="shared" si="27"/>
        <v>0</v>
      </c>
      <c r="W116" s="32">
        <f t="shared" si="27"/>
        <v>0</v>
      </c>
      <c r="X116" s="32">
        <f t="shared" si="27"/>
        <v>0</v>
      </c>
      <c r="Y116" s="32">
        <f t="shared" si="27"/>
        <v>0</v>
      </c>
      <c r="Z116" s="32">
        <f t="shared" si="27"/>
        <v>0</v>
      </c>
      <c r="AA116" s="32">
        <f t="shared" si="27"/>
        <v>0</v>
      </c>
      <c r="AB116" s="32">
        <f t="shared" si="27"/>
        <v>0</v>
      </c>
      <c r="AC116" s="32">
        <f t="shared" si="27"/>
        <v>0</v>
      </c>
      <c r="AD116" s="32">
        <f t="shared" si="27"/>
        <v>0</v>
      </c>
      <c r="AE116" s="32">
        <f t="shared" si="27"/>
        <v>0</v>
      </c>
    </row>
    <row r="118" spans="1:31" x14ac:dyDescent="0.45">
      <c r="A118" s="28" t="s">
        <v>1189</v>
      </c>
      <c r="B118" s="5" t="s">
        <v>53</v>
      </c>
      <c r="C118" s="5" t="s">
        <v>117</v>
      </c>
      <c r="D118" s="5">
        <v>1</v>
      </c>
      <c r="E118" s="5" t="s">
        <v>1159</v>
      </c>
      <c r="K118" s="24"/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</row>
    <row r="119" spans="1:31" x14ac:dyDescent="0.45">
      <c r="A119" s="28" t="s">
        <v>1189</v>
      </c>
      <c r="B119" s="5" t="s">
        <v>53</v>
      </c>
      <c r="C119" s="5" t="s">
        <v>117</v>
      </c>
      <c r="D119" s="5">
        <v>1</v>
      </c>
      <c r="E119" s="5" t="s">
        <v>1160</v>
      </c>
      <c r="K119" s="24">
        <f>INDEX(Mitigation_Industry!K:K,MATCH($A119,Mitigation_Industry!$H:$H,0))</f>
        <v>0</v>
      </c>
      <c r="L119" s="24">
        <f>INDEX(Mitigation_Industry!L:L,MATCH($A119,Mitigation_Industry!$H:$H,0))</f>
        <v>0</v>
      </c>
      <c r="M119" s="24">
        <f>INDEX(Mitigation_Industry!M:M,MATCH($A119,Mitigation_Industry!$H:$H,0))</f>
        <v>0</v>
      </c>
      <c r="N119" s="24">
        <f>INDEX(Mitigation_Industry!N:N,MATCH($A119,Mitigation_Industry!$H:$H,0))</f>
        <v>0</v>
      </c>
      <c r="O119" s="24">
        <f>INDEX(Mitigation_Industry!O:O,MATCH($A119,Mitigation_Industry!$H:$H,0))</f>
        <v>0</v>
      </c>
      <c r="P119" s="24">
        <f>INDEX(Mitigation_Industry!P:P,MATCH($A119,Mitigation_Industry!$H:$H,0))</f>
        <v>0</v>
      </c>
      <c r="Q119" s="24">
        <f>INDEX(Mitigation_Industry!Q:Q,MATCH($A119,Mitigation_Industry!$H:$H,0))</f>
        <v>0</v>
      </c>
      <c r="R119" s="24">
        <f>INDEX(Mitigation_Industry!R:R,MATCH($A119,Mitigation_Industry!$H:$H,0))</f>
        <v>0</v>
      </c>
      <c r="S119" s="24">
        <f>INDEX(Mitigation_Industry!S:S,MATCH($A119,Mitigation_Industry!$H:$H,0))</f>
        <v>0</v>
      </c>
      <c r="T119" s="24">
        <f>INDEX(Mitigation_Industry!T:T,MATCH($A119,Mitigation_Industry!$H:$H,0))</f>
        <v>0</v>
      </c>
      <c r="U119" s="24">
        <f>INDEX(Mitigation_Industry!U:U,MATCH($A119,Mitigation_Industry!$H:$H,0))</f>
        <v>0</v>
      </c>
      <c r="V119" s="24">
        <f>INDEX(Mitigation_Industry!V:V,MATCH($A119,Mitigation_Industry!$H:$H,0))</f>
        <v>0</v>
      </c>
      <c r="W119" s="24">
        <f>INDEX(Mitigation_Industry!W:W,MATCH($A119,Mitigation_Industry!$H:$H,0))</f>
        <v>0</v>
      </c>
      <c r="X119" s="24">
        <f>INDEX(Mitigation_Industry!X:X,MATCH($A119,Mitigation_Industry!$H:$H,0))</f>
        <v>0</v>
      </c>
      <c r="Y119" s="24">
        <f>INDEX(Mitigation_Industry!Y:Y,MATCH($A119,Mitigation_Industry!$H:$H,0))</f>
        <v>0</v>
      </c>
      <c r="Z119" s="24">
        <f>INDEX(Mitigation_Industry!Z:Z,MATCH($A119,Mitigation_Industry!$H:$H,0))</f>
        <v>0</v>
      </c>
      <c r="AA119" s="24">
        <f>INDEX(Mitigation_Industry!AA:AA,MATCH($A119,Mitigation_Industry!$H:$H,0))</f>
        <v>0</v>
      </c>
      <c r="AB119" s="24">
        <f>INDEX(Mitigation_Industry!AB:AB,MATCH($A119,Mitigation_Industry!$H:$H,0))</f>
        <v>0</v>
      </c>
      <c r="AC119" s="24">
        <f>INDEX(Mitigation_Industry!AC:AC,MATCH($A119,Mitigation_Industry!$H:$H,0))</f>
        <v>0</v>
      </c>
      <c r="AD119" s="24">
        <f>INDEX(Mitigation_Industry!AD:AD,MATCH($A119,Mitigation_Industry!$H:$H,0))</f>
        <v>0</v>
      </c>
      <c r="AE119" s="24">
        <f>INDEX(Mitigation_Industry!AE:AE,MATCH($A119,Mitigation_Industry!$H:$H,0))</f>
        <v>0</v>
      </c>
    </row>
    <row r="120" spans="1:31" x14ac:dyDescent="0.45">
      <c r="A120" s="28" t="s">
        <v>1189</v>
      </c>
      <c r="B120" s="5" t="s">
        <v>53</v>
      </c>
      <c r="C120" s="5" t="s">
        <v>117</v>
      </c>
      <c r="D120" s="5">
        <v>1</v>
      </c>
      <c r="E120" s="2" t="s">
        <v>1161</v>
      </c>
      <c r="F120" s="31">
        <f>MAX(MAX(L120:AE120),-MIN(L120:AE120))</f>
        <v>0</v>
      </c>
      <c r="K120" s="32">
        <f t="shared" ref="K120:AE120" si="28">IF(ISNUMBER(K118),IF(ISNUMBER(K119),K119-K118,999999),0)</f>
        <v>0</v>
      </c>
      <c r="L120" s="32">
        <f t="shared" si="28"/>
        <v>0</v>
      </c>
      <c r="M120" s="32">
        <f t="shared" si="28"/>
        <v>0</v>
      </c>
      <c r="N120" s="32">
        <f t="shared" si="28"/>
        <v>0</v>
      </c>
      <c r="O120" s="32">
        <f t="shared" si="28"/>
        <v>0</v>
      </c>
      <c r="P120" s="32">
        <f t="shared" si="28"/>
        <v>0</v>
      </c>
      <c r="Q120" s="32">
        <f t="shared" si="28"/>
        <v>0</v>
      </c>
      <c r="R120" s="32">
        <f t="shared" si="28"/>
        <v>0</v>
      </c>
      <c r="S120" s="32">
        <f t="shared" si="28"/>
        <v>0</v>
      </c>
      <c r="T120" s="32">
        <f t="shared" si="28"/>
        <v>0</v>
      </c>
      <c r="U120" s="32">
        <f t="shared" si="28"/>
        <v>0</v>
      </c>
      <c r="V120" s="32">
        <f t="shared" si="28"/>
        <v>0</v>
      </c>
      <c r="W120" s="32">
        <f t="shared" si="28"/>
        <v>0</v>
      </c>
      <c r="X120" s="32">
        <f t="shared" si="28"/>
        <v>0</v>
      </c>
      <c r="Y120" s="32">
        <f t="shared" si="28"/>
        <v>0</v>
      </c>
      <c r="Z120" s="32">
        <f t="shared" si="28"/>
        <v>0</v>
      </c>
      <c r="AA120" s="32">
        <f t="shared" si="28"/>
        <v>0</v>
      </c>
      <c r="AB120" s="32">
        <f t="shared" si="28"/>
        <v>0</v>
      </c>
      <c r="AC120" s="32">
        <f t="shared" si="28"/>
        <v>0</v>
      </c>
      <c r="AD120" s="32">
        <f t="shared" si="28"/>
        <v>0</v>
      </c>
      <c r="AE120" s="32">
        <f t="shared" si="28"/>
        <v>0</v>
      </c>
    </row>
    <row r="122" spans="1:31" x14ac:dyDescent="0.45">
      <c r="A122" s="28" t="s">
        <v>1190</v>
      </c>
      <c r="B122" s="5" t="s">
        <v>55</v>
      </c>
      <c r="C122" s="5" t="s">
        <v>117</v>
      </c>
      <c r="D122" s="5">
        <v>1</v>
      </c>
      <c r="E122" s="5" t="s">
        <v>1159</v>
      </c>
      <c r="K122" s="24"/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</row>
    <row r="123" spans="1:31" x14ac:dyDescent="0.45">
      <c r="A123" s="28" t="s">
        <v>1190</v>
      </c>
      <c r="B123" s="5" t="s">
        <v>55</v>
      </c>
      <c r="C123" s="5" t="s">
        <v>117</v>
      </c>
      <c r="D123" s="5">
        <v>1</v>
      </c>
      <c r="E123" s="5" t="s">
        <v>1160</v>
      </c>
      <c r="K123" s="24">
        <f>INDEX(Mitigation_Industry!K:K,MATCH($A123,Mitigation_Industry!$H:$H,0))</f>
        <v>0</v>
      </c>
      <c r="L123" s="24">
        <f>INDEX(Mitigation_Industry!L:L,MATCH($A123,Mitigation_Industry!$H:$H,0))</f>
        <v>0</v>
      </c>
      <c r="M123" s="24">
        <f>INDEX(Mitigation_Industry!M:M,MATCH($A123,Mitigation_Industry!$H:$H,0))</f>
        <v>0</v>
      </c>
      <c r="N123" s="24">
        <f>INDEX(Mitigation_Industry!N:N,MATCH($A123,Mitigation_Industry!$H:$H,0))</f>
        <v>0</v>
      </c>
      <c r="O123" s="24">
        <f>INDEX(Mitigation_Industry!O:O,MATCH($A123,Mitigation_Industry!$H:$H,0))</f>
        <v>0</v>
      </c>
      <c r="P123" s="24">
        <f>INDEX(Mitigation_Industry!P:P,MATCH($A123,Mitigation_Industry!$H:$H,0))</f>
        <v>0</v>
      </c>
      <c r="Q123" s="24">
        <f>INDEX(Mitigation_Industry!Q:Q,MATCH($A123,Mitigation_Industry!$H:$H,0))</f>
        <v>0</v>
      </c>
      <c r="R123" s="24">
        <f>INDEX(Mitigation_Industry!R:R,MATCH($A123,Mitigation_Industry!$H:$H,0))</f>
        <v>0</v>
      </c>
      <c r="S123" s="24">
        <f>INDEX(Mitigation_Industry!S:S,MATCH($A123,Mitigation_Industry!$H:$H,0))</f>
        <v>0</v>
      </c>
      <c r="T123" s="24">
        <f>INDEX(Mitigation_Industry!T:T,MATCH($A123,Mitigation_Industry!$H:$H,0))</f>
        <v>0</v>
      </c>
      <c r="U123" s="24">
        <f>INDEX(Mitigation_Industry!U:U,MATCH($A123,Mitigation_Industry!$H:$H,0))</f>
        <v>0</v>
      </c>
      <c r="V123" s="24">
        <f>INDEX(Mitigation_Industry!V:V,MATCH($A123,Mitigation_Industry!$H:$H,0))</f>
        <v>0</v>
      </c>
      <c r="W123" s="24">
        <f>INDEX(Mitigation_Industry!W:W,MATCH($A123,Mitigation_Industry!$H:$H,0))</f>
        <v>0</v>
      </c>
      <c r="X123" s="24">
        <f>INDEX(Mitigation_Industry!X:X,MATCH($A123,Mitigation_Industry!$H:$H,0))</f>
        <v>0</v>
      </c>
      <c r="Y123" s="24">
        <f>INDEX(Mitigation_Industry!Y:Y,MATCH($A123,Mitigation_Industry!$H:$H,0))</f>
        <v>0</v>
      </c>
      <c r="Z123" s="24">
        <f>INDEX(Mitigation_Industry!Z:Z,MATCH($A123,Mitigation_Industry!$H:$H,0))</f>
        <v>0</v>
      </c>
      <c r="AA123" s="24">
        <f>INDEX(Mitigation_Industry!AA:AA,MATCH($A123,Mitigation_Industry!$H:$H,0))</f>
        <v>0</v>
      </c>
      <c r="AB123" s="24">
        <f>INDEX(Mitigation_Industry!AB:AB,MATCH($A123,Mitigation_Industry!$H:$H,0))</f>
        <v>0</v>
      </c>
      <c r="AC123" s="24">
        <f>INDEX(Mitigation_Industry!AC:AC,MATCH($A123,Mitigation_Industry!$H:$H,0))</f>
        <v>0</v>
      </c>
      <c r="AD123" s="24">
        <f>INDEX(Mitigation_Industry!AD:AD,MATCH($A123,Mitigation_Industry!$H:$H,0))</f>
        <v>0</v>
      </c>
      <c r="AE123" s="24">
        <f>INDEX(Mitigation_Industry!AE:AE,MATCH($A123,Mitigation_Industry!$H:$H,0))</f>
        <v>0</v>
      </c>
    </row>
    <row r="124" spans="1:31" x14ac:dyDescent="0.45">
      <c r="A124" s="28" t="s">
        <v>1190</v>
      </c>
      <c r="B124" s="5" t="s">
        <v>55</v>
      </c>
      <c r="C124" s="5" t="s">
        <v>117</v>
      </c>
      <c r="D124" s="5">
        <v>1</v>
      </c>
      <c r="E124" s="2" t="s">
        <v>1161</v>
      </c>
      <c r="F124" s="31">
        <f>MAX(MAX(L124:AE124),-MIN(L124:AE124))</f>
        <v>0</v>
      </c>
      <c r="K124" s="32">
        <f t="shared" ref="K124:AE124" si="29">IF(ISNUMBER(K122),IF(ISNUMBER(K123),K123-K122,999999),0)</f>
        <v>0</v>
      </c>
      <c r="L124" s="32">
        <f t="shared" si="29"/>
        <v>0</v>
      </c>
      <c r="M124" s="32">
        <f t="shared" si="29"/>
        <v>0</v>
      </c>
      <c r="N124" s="32">
        <f t="shared" si="29"/>
        <v>0</v>
      </c>
      <c r="O124" s="32">
        <f t="shared" si="29"/>
        <v>0</v>
      </c>
      <c r="P124" s="32">
        <f t="shared" si="29"/>
        <v>0</v>
      </c>
      <c r="Q124" s="32">
        <f t="shared" si="29"/>
        <v>0</v>
      </c>
      <c r="R124" s="32">
        <f t="shared" si="29"/>
        <v>0</v>
      </c>
      <c r="S124" s="32">
        <f t="shared" si="29"/>
        <v>0</v>
      </c>
      <c r="T124" s="32">
        <f t="shared" si="29"/>
        <v>0</v>
      </c>
      <c r="U124" s="32">
        <f t="shared" si="29"/>
        <v>0</v>
      </c>
      <c r="V124" s="32">
        <f t="shared" si="29"/>
        <v>0</v>
      </c>
      <c r="W124" s="32">
        <f t="shared" si="29"/>
        <v>0</v>
      </c>
      <c r="X124" s="32">
        <f t="shared" si="29"/>
        <v>0</v>
      </c>
      <c r="Y124" s="32">
        <f t="shared" si="29"/>
        <v>0</v>
      </c>
      <c r="Z124" s="32">
        <f t="shared" si="29"/>
        <v>0</v>
      </c>
      <c r="AA124" s="32">
        <f t="shared" si="29"/>
        <v>0</v>
      </c>
      <c r="AB124" s="32">
        <f t="shared" si="29"/>
        <v>0</v>
      </c>
      <c r="AC124" s="32">
        <f t="shared" si="29"/>
        <v>0</v>
      </c>
      <c r="AD124" s="32">
        <f t="shared" si="29"/>
        <v>0</v>
      </c>
      <c r="AE124" s="32">
        <f t="shared" si="29"/>
        <v>0</v>
      </c>
    </row>
    <row r="126" spans="1:31" x14ac:dyDescent="0.45">
      <c r="A126" s="28" t="s">
        <v>1191</v>
      </c>
      <c r="B126" s="5" t="s">
        <v>58</v>
      </c>
      <c r="C126" s="5" t="s">
        <v>117</v>
      </c>
      <c r="D126" s="5">
        <v>1</v>
      </c>
      <c r="E126" s="5" t="s">
        <v>1159</v>
      </c>
      <c r="K126" s="24"/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</row>
    <row r="127" spans="1:31" x14ac:dyDescent="0.45">
      <c r="A127" s="28" t="s">
        <v>1191</v>
      </c>
      <c r="B127" s="5" t="s">
        <v>58</v>
      </c>
      <c r="C127" s="5" t="s">
        <v>117</v>
      </c>
      <c r="D127" s="5">
        <v>1</v>
      </c>
      <c r="E127" s="5" t="s">
        <v>1160</v>
      </c>
      <c r="K127" s="24">
        <f>INDEX(Mitigation_Industry!K:K,MATCH($A127,Mitigation_Industry!$H:$H,0))</f>
        <v>0</v>
      </c>
      <c r="L127" s="24">
        <f>INDEX(Mitigation_Industry!L:L,MATCH($A127,Mitigation_Industry!$H:$H,0))</f>
        <v>0</v>
      </c>
      <c r="M127" s="24">
        <f>INDEX(Mitigation_Industry!M:M,MATCH($A127,Mitigation_Industry!$H:$H,0))</f>
        <v>0</v>
      </c>
      <c r="N127" s="24">
        <f>INDEX(Mitigation_Industry!N:N,MATCH($A127,Mitigation_Industry!$H:$H,0))</f>
        <v>0</v>
      </c>
      <c r="O127" s="24">
        <f>INDEX(Mitigation_Industry!O:O,MATCH($A127,Mitigation_Industry!$H:$H,0))</f>
        <v>0</v>
      </c>
      <c r="P127" s="24">
        <f>INDEX(Mitigation_Industry!P:P,MATCH($A127,Mitigation_Industry!$H:$H,0))</f>
        <v>0</v>
      </c>
      <c r="Q127" s="24">
        <f>INDEX(Mitigation_Industry!Q:Q,MATCH($A127,Mitigation_Industry!$H:$H,0))</f>
        <v>0</v>
      </c>
      <c r="R127" s="24">
        <f>INDEX(Mitigation_Industry!R:R,MATCH($A127,Mitigation_Industry!$H:$H,0))</f>
        <v>0</v>
      </c>
      <c r="S127" s="24">
        <f>INDEX(Mitigation_Industry!S:S,MATCH($A127,Mitigation_Industry!$H:$H,0))</f>
        <v>0</v>
      </c>
      <c r="T127" s="24">
        <f>INDEX(Mitigation_Industry!T:T,MATCH($A127,Mitigation_Industry!$H:$H,0))</f>
        <v>0</v>
      </c>
      <c r="U127" s="24">
        <f>INDEX(Mitigation_Industry!U:U,MATCH($A127,Mitigation_Industry!$H:$H,0))</f>
        <v>0</v>
      </c>
      <c r="V127" s="24">
        <f>INDEX(Mitigation_Industry!V:V,MATCH($A127,Mitigation_Industry!$H:$H,0))</f>
        <v>0</v>
      </c>
      <c r="W127" s="24">
        <f>INDEX(Mitigation_Industry!W:W,MATCH($A127,Mitigation_Industry!$H:$H,0))</f>
        <v>0</v>
      </c>
      <c r="X127" s="24">
        <f>INDEX(Mitigation_Industry!X:X,MATCH($A127,Mitigation_Industry!$H:$H,0))</f>
        <v>0</v>
      </c>
      <c r="Y127" s="24">
        <f>INDEX(Mitigation_Industry!Y:Y,MATCH($A127,Mitigation_Industry!$H:$H,0))</f>
        <v>0</v>
      </c>
      <c r="Z127" s="24">
        <f>INDEX(Mitigation_Industry!Z:Z,MATCH($A127,Mitigation_Industry!$H:$H,0))</f>
        <v>0</v>
      </c>
      <c r="AA127" s="24">
        <f>INDEX(Mitigation_Industry!AA:AA,MATCH($A127,Mitigation_Industry!$H:$H,0))</f>
        <v>0</v>
      </c>
      <c r="AB127" s="24">
        <f>INDEX(Mitigation_Industry!AB:AB,MATCH($A127,Mitigation_Industry!$H:$H,0))</f>
        <v>0</v>
      </c>
      <c r="AC127" s="24">
        <f>INDEX(Mitigation_Industry!AC:AC,MATCH($A127,Mitigation_Industry!$H:$H,0))</f>
        <v>0</v>
      </c>
      <c r="AD127" s="24">
        <f>INDEX(Mitigation_Industry!AD:AD,MATCH($A127,Mitigation_Industry!$H:$H,0))</f>
        <v>0</v>
      </c>
      <c r="AE127" s="24">
        <f>INDEX(Mitigation_Industry!AE:AE,MATCH($A127,Mitigation_Industry!$H:$H,0))</f>
        <v>0</v>
      </c>
    </row>
    <row r="128" spans="1:31" x14ac:dyDescent="0.45">
      <c r="A128" s="28" t="s">
        <v>1191</v>
      </c>
      <c r="B128" s="5" t="s">
        <v>58</v>
      </c>
      <c r="C128" s="5" t="s">
        <v>117</v>
      </c>
      <c r="D128" s="5">
        <v>1</v>
      </c>
      <c r="E128" s="2" t="s">
        <v>1161</v>
      </c>
      <c r="F128" s="31">
        <f>MAX(MAX(L128:AE128),-MIN(L128:AE128))</f>
        <v>0</v>
      </c>
      <c r="K128" s="32">
        <f t="shared" ref="K128:AE128" si="30">IF(ISNUMBER(K126),IF(ISNUMBER(K127),K127-K126,999999),0)</f>
        <v>0</v>
      </c>
      <c r="L128" s="32">
        <f t="shared" si="30"/>
        <v>0</v>
      </c>
      <c r="M128" s="32">
        <f t="shared" si="30"/>
        <v>0</v>
      </c>
      <c r="N128" s="32">
        <f t="shared" si="30"/>
        <v>0</v>
      </c>
      <c r="O128" s="32">
        <f t="shared" si="30"/>
        <v>0</v>
      </c>
      <c r="P128" s="32">
        <f t="shared" si="30"/>
        <v>0</v>
      </c>
      <c r="Q128" s="32">
        <f t="shared" si="30"/>
        <v>0</v>
      </c>
      <c r="R128" s="32">
        <f t="shared" si="30"/>
        <v>0</v>
      </c>
      <c r="S128" s="32">
        <f t="shared" si="30"/>
        <v>0</v>
      </c>
      <c r="T128" s="32">
        <f t="shared" si="30"/>
        <v>0</v>
      </c>
      <c r="U128" s="32">
        <f t="shared" si="30"/>
        <v>0</v>
      </c>
      <c r="V128" s="32">
        <f t="shared" si="30"/>
        <v>0</v>
      </c>
      <c r="W128" s="32">
        <f t="shared" si="30"/>
        <v>0</v>
      </c>
      <c r="X128" s="32">
        <f t="shared" si="30"/>
        <v>0</v>
      </c>
      <c r="Y128" s="32">
        <f t="shared" si="30"/>
        <v>0</v>
      </c>
      <c r="Z128" s="32">
        <f t="shared" si="30"/>
        <v>0</v>
      </c>
      <c r="AA128" s="32">
        <f t="shared" si="30"/>
        <v>0</v>
      </c>
      <c r="AB128" s="32">
        <f t="shared" si="30"/>
        <v>0</v>
      </c>
      <c r="AC128" s="32">
        <f t="shared" si="30"/>
        <v>0</v>
      </c>
      <c r="AD128" s="32">
        <f t="shared" si="30"/>
        <v>0</v>
      </c>
      <c r="AE128" s="32">
        <f t="shared" si="30"/>
        <v>0</v>
      </c>
    </row>
    <row r="130" spans="1:31" x14ac:dyDescent="0.45">
      <c r="A130" s="28" t="s">
        <v>1192</v>
      </c>
      <c r="B130" s="5" t="s">
        <v>60</v>
      </c>
      <c r="C130" s="5" t="s">
        <v>117</v>
      </c>
      <c r="D130" s="5">
        <v>1</v>
      </c>
      <c r="E130" s="5" t="s">
        <v>1159</v>
      </c>
      <c r="K130" s="24"/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</row>
    <row r="131" spans="1:31" x14ac:dyDescent="0.45">
      <c r="A131" s="28" t="s">
        <v>1192</v>
      </c>
      <c r="B131" s="5" t="s">
        <v>60</v>
      </c>
      <c r="C131" s="5" t="s">
        <v>117</v>
      </c>
      <c r="D131" s="5">
        <v>1</v>
      </c>
      <c r="E131" s="5" t="s">
        <v>1160</v>
      </c>
      <c r="K131" s="24">
        <f>INDEX(Mitigation_Industry!K:K,MATCH($A131,Mitigation_Industry!$H:$H,0))</f>
        <v>0</v>
      </c>
      <c r="L131" s="24">
        <f>INDEX(Mitigation_Industry!L:L,MATCH($A131,Mitigation_Industry!$H:$H,0))</f>
        <v>0</v>
      </c>
      <c r="M131" s="24">
        <f>INDEX(Mitigation_Industry!M:M,MATCH($A131,Mitigation_Industry!$H:$H,0))</f>
        <v>0</v>
      </c>
      <c r="N131" s="24">
        <f>INDEX(Mitigation_Industry!N:N,MATCH($A131,Mitigation_Industry!$H:$H,0))</f>
        <v>0</v>
      </c>
      <c r="O131" s="24">
        <f>INDEX(Mitigation_Industry!O:O,MATCH($A131,Mitigation_Industry!$H:$H,0))</f>
        <v>0</v>
      </c>
      <c r="P131" s="24">
        <f>INDEX(Mitigation_Industry!P:P,MATCH($A131,Mitigation_Industry!$H:$H,0))</f>
        <v>0</v>
      </c>
      <c r="Q131" s="24">
        <f>INDEX(Mitigation_Industry!Q:Q,MATCH($A131,Mitigation_Industry!$H:$H,0))</f>
        <v>0</v>
      </c>
      <c r="R131" s="24">
        <f>INDEX(Mitigation_Industry!R:R,MATCH($A131,Mitigation_Industry!$H:$H,0))</f>
        <v>0</v>
      </c>
      <c r="S131" s="24">
        <f>INDEX(Mitigation_Industry!S:S,MATCH($A131,Mitigation_Industry!$H:$H,0))</f>
        <v>0</v>
      </c>
      <c r="T131" s="24">
        <f>INDEX(Mitigation_Industry!T:T,MATCH($A131,Mitigation_Industry!$H:$H,0))</f>
        <v>0</v>
      </c>
      <c r="U131" s="24">
        <f>INDEX(Mitigation_Industry!U:U,MATCH($A131,Mitigation_Industry!$H:$H,0))</f>
        <v>0</v>
      </c>
      <c r="V131" s="24">
        <f>INDEX(Mitigation_Industry!V:V,MATCH($A131,Mitigation_Industry!$H:$H,0))</f>
        <v>0</v>
      </c>
      <c r="W131" s="24">
        <f>INDEX(Mitigation_Industry!W:W,MATCH($A131,Mitigation_Industry!$H:$H,0))</f>
        <v>0</v>
      </c>
      <c r="X131" s="24">
        <f>INDEX(Mitigation_Industry!X:X,MATCH($A131,Mitigation_Industry!$H:$H,0))</f>
        <v>0</v>
      </c>
      <c r="Y131" s="24">
        <f>INDEX(Mitigation_Industry!Y:Y,MATCH($A131,Mitigation_Industry!$H:$H,0))</f>
        <v>0</v>
      </c>
      <c r="Z131" s="24">
        <f>INDEX(Mitigation_Industry!Z:Z,MATCH($A131,Mitigation_Industry!$H:$H,0))</f>
        <v>0</v>
      </c>
      <c r="AA131" s="24">
        <f>INDEX(Mitigation_Industry!AA:AA,MATCH($A131,Mitigation_Industry!$H:$H,0))</f>
        <v>0</v>
      </c>
      <c r="AB131" s="24">
        <f>INDEX(Mitigation_Industry!AB:AB,MATCH($A131,Mitigation_Industry!$H:$H,0))</f>
        <v>0</v>
      </c>
      <c r="AC131" s="24">
        <f>INDEX(Mitigation_Industry!AC:AC,MATCH($A131,Mitigation_Industry!$H:$H,0))</f>
        <v>0</v>
      </c>
      <c r="AD131" s="24">
        <f>INDEX(Mitigation_Industry!AD:AD,MATCH($A131,Mitigation_Industry!$H:$H,0))</f>
        <v>0</v>
      </c>
      <c r="AE131" s="24">
        <f>INDEX(Mitigation_Industry!AE:AE,MATCH($A131,Mitigation_Industry!$H:$H,0))</f>
        <v>0</v>
      </c>
    </row>
    <row r="132" spans="1:31" x14ac:dyDescent="0.45">
      <c r="A132" s="28" t="s">
        <v>1192</v>
      </c>
      <c r="B132" s="5" t="s">
        <v>60</v>
      </c>
      <c r="C132" s="5" t="s">
        <v>117</v>
      </c>
      <c r="D132" s="5">
        <v>1</v>
      </c>
      <c r="E132" s="2" t="s">
        <v>1161</v>
      </c>
      <c r="F132" s="31">
        <f>MAX(MAX(L132:AE132),-MIN(L132:AE132))</f>
        <v>0</v>
      </c>
      <c r="K132" s="32">
        <f t="shared" ref="K132:AE132" si="31">IF(ISNUMBER(K130),IF(ISNUMBER(K131),K131-K130,999999),0)</f>
        <v>0</v>
      </c>
      <c r="L132" s="32">
        <f t="shared" si="31"/>
        <v>0</v>
      </c>
      <c r="M132" s="32">
        <f t="shared" si="31"/>
        <v>0</v>
      </c>
      <c r="N132" s="32">
        <f t="shared" si="31"/>
        <v>0</v>
      </c>
      <c r="O132" s="32">
        <f t="shared" si="31"/>
        <v>0</v>
      </c>
      <c r="P132" s="32">
        <f t="shared" si="31"/>
        <v>0</v>
      </c>
      <c r="Q132" s="32">
        <f t="shared" si="31"/>
        <v>0</v>
      </c>
      <c r="R132" s="32">
        <f t="shared" si="31"/>
        <v>0</v>
      </c>
      <c r="S132" s="32">
        <f t="shared" si="31"/>
        <v>0</v>
      </c>
      <c r="T132" s="32">
        <f t="shared" si="31"/>
        <v>0</v>
      </c>
      <c r="U132" s="32">
        <f t="shared" si="31"/>
        <v>0</v>
      </c>
      <c r="V132" s="32">
        <f t="shared" si="31"/>
        <v>0</v>
      </c>
      <c r="W132" s="32">
        <f t="shared" si="31"/>
        <v>0</v>
      </c>
      <c r="X132" s="32">
        <f t="shared" si="31"/>
        <v>0</v>
      </c>
      <c r="Y132" s="32">
        <f t="shared" si="31"/>
        <v>0</v>
      </c>
      <c r="Z132" s="32">
        <f t="shared" si="31"/>
        <v>0</v>
      </c>
      <c r="AA132" s="32">
        <f t="shared" si="31"/>
        <v>0</v>
      </c>
      <c r="AB132" s="32">
        <f t="shared" si="31"/>
        <v>0</v>
      </c>
      <c r="AC132" s="32">
        <f t="shared" si="31"/>
        <v>0</v>
      </c>
      <c r="AD132" s="32">
        <f t="shared" si="31"/>
        <v>0</v>
      </c>
      <c r="AE132" s="32">
        <f t="shared" si="31"/>
        <v>0</v>
      </c>
    </row>
    <row r="134" spans="1:31" x14ac:dyDescent="0.45">
      <c r="A134" s="28" t="s">
        <v>1193</v>
      </c>
      <c r="B134" s="5" t="s">
        <v>62</v>
      </c>
      <c r="C134" s="5" t="s">
        <v>117</v>
      </c>
      <c r="D134" s="5">
        <v>1</v>
      </c>
      <c r="E134" s="5" t="s">
        <v>1159</v>
      </c>
      <c r="K134" s="24"/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</row>
    <row r="135" spans="1:31" x14ac:dyDescent="0.45">
      <c r="A135" s="28" t="s">
        <v>1193</v>
      </c>
      <c r="B135" s="5" t="s">
        <v>62</v>
      </c>
      <c r="C135" s="5" t="s">
        <v>117</v>
      </c>
      <c r="D135" s="5">
        <v>1</v>
      </c>
      <c r="E135" s="5" t="s">
        <v>1160</v>
      </c>
      <c r="K135" s="24">
        <f>INDEX(Mitigation_Industry!K:K,MATCH($A135,Mitigation_Industry!$H:$H,0))</f>
        <v>0</v>
      </c>
      <c r="L135" s="24">
        <f>INDEX(Mitigation_Industry!L:L,MATCH($A135,Mitigation_Industry!$H:$H,0))</f>
        <v>0</v>
      </c>
      <c r="M135" s="24">
        <f>INDEX(Mitigation_Industry!M:M,MATCH($A135,Mitigation_Industry!$H:$H,0))</f>
        <v>0</v>
      </c>
      <c r="N135" s="24">
        <f>INDEX(Mitigation_Industry!N:N,MATCH($A135,Mitigation_Industry!$H:$H,0))</f>
        <v>0</v>
      </c>
      <c r="O135" s="24">
        <f>INDEX(Mitigation_Industry!O:O,MATCH($A135,Mitigation_Industry!$H:$H,0))</f>
        <v>0</v>
      </c>
      <c r="P135" s="24">
        <f>INDEX(Mitigation_Industry!P:P,MATCH($A135,Mitigation_Industry!$H:$H,0))</f>
        <v>0</v>
      </c>
      <c r="Q135" s="24">
        <f>INDEX(Mitigation_Industry!Q:Q,MATCH($A135,Mitigation_Industry!$H:$H,0))</f>
        <v>0</v>
      </c>
      <c r="R135" s="24">
        <f>INDEX(Mitigation_Industry!R:R,MATCH($A135,Mitigation_Industry!$H:$H,0))</f>
        <v>0</v>
      </c>
      <c r="S135" s="24">
        <f>INDEX(Mitigation_Industry!S:S,MATCH($A135,Mitigation_Industry!$H:$H,0))</f>
        <v>0</v>
      </c>
      <c r="T135" s="24">
        <f>INDEX(Mitigation_Industry!T:T,MATCH($A135,Mitigation_Industry!$H:$H,0))</f>
        <v>0</v>
      </c>
      <c r="U135" s="24">
        <f>INDEX(Mitigation_Industry!U:U,MATCH($A135,Mitigation_Industry!$H:$H,0))</f>
        <v>0</v>
      </c>
      <c r="V135" s="24">
        <f>INDEX(Mitigation_Industry!V:V,MATCH($A135,Mitigation_Industry!$H:$H,0))</f>
        <v>0</v>
      </c>
      <c r="W135" s="24">
        <f>INDEX(Mitigation_Industry!W:W,MATCH($A135,Mitigation_Industry!$H:$H,0))</f>
        <v>0</v>
      </c>
      <c r="X135" s="24">
        <f>INDEX(Mitigation_Industry!X:X,MATCH($A135,Mitigation_Industry!$H:$H,0))</f>
        <v>0</v>
      </c>
      <c r="Y135" s="24">
        <f>INDEX(Mitigation_Industry!Y:Y,MATCH($A135,Mitigation_Industry!$H:$H,0))</f>
        <v>0</v>
      </c>
      <c r="Z135" s="24">
        <f>INDEX(Mitigation_Industry!Z:Z,MATCH($A135,Mitigation_Industry!$H:$H,0))</f>
        <v>0</v>
      </c>
      <c r="AA135" s="24">
        <f>INDEX(Mitigation_Industry!AA:AA,MATCH($A135,Mitigation_Industry!$H:$H,0))</f>
        <v>0</v>
      </c>
      <c r="AB135" s="24">
        <f>INDEX(Mitigation_Industry!AB:AB,MATCH($A135,Mitigation_Industry!$H:$H,0))</f>
        <v>0</v>
      </c>
      <c r="AC135" s="24">
        <f>INDEX(Mitigation_Industry!AC:AC,MATCH($A135,Mitigation_Industry!$H:$H,0))</f>
        <v>0</v>
      </c>
      <c r="AD135" s="24">
        <f>INDEX(Mitigation_Industry!AD:AD,MATCH($A135,Mitigation_Industry!$H:$H,0))</f>
        <v>0</v>
      </c>
      <c r="AE135" s="24">
        <f>INDEX(Mitigation_Industry!AE:AE,MATCH($A135,Mitigation_Industry!$H:$H,0))</f>
        <v>0</v>
      </c>
    </row>
    <row r="136" spans="1:31" x14ac:dyDescent="0.45">
      <c r="A136" s="28" t="s">
        <v>1193</v>
      </c>
      <c r="B136" s="5" t="s">
        <v>62</v>
      </c>
      <c r="C136" s="5" t="s">
        <v>117</v>
      </c>
      <c r="D136" s="5">
        <v>1</v>
      </c>
      <c r="E136" s="2" t="s">
        <v>1161</v>
      </c>
      <c r="F136" s="31">
        <f>MAX(MAX(L136:AE136),-MIN(L136:AE136))</f>
        <v>0</v>
      </c>
      <c r="K136" s="32">
        <f t="shared" ref="K136:AE136" si="32">IF(ISNUMBER(K134),IF(ISNUMBER(K135),K135-K134,999999),0)</f>
        <v>0</v>
      </c>
      <c r="L136" s="32">
        <f t="shared" si="32"/>
        <v>0</v>
      </c>
      <c r="M136" s="32">
        <f t="shared" si="32"/>
        <v>0</v>
      </c>
      <c r="N136" s="32">
        <f t="shared" si="32"/>
        <v>0</v>
      </c>
      <c r="O136" s="32">
        <f t="shared" si="32"/>
        <v>0</v>
      </c>
      <c r="P136" s="32">
        <f t="shared" si="32"/>
        <v>0</v>
      </c>
      <c r="Q136" s="32">
        <f t="shared" si="32"/>
        <v>0</v>
      </c>
      <c r="R136" s="32">
        <f t="shared" si="32"/>
        <v>0</v>
      </c>
      <c r="S136" s="32">
        <f t="shared" si="32"/>
        <v>0</v>
      </c>
      <c r="T136" s="32">
        <f t="shared" si="32"/>
        <v>0</v>
      </c>
      <c r="U136" s="32">
        <f t="shared" si="32"/>
        <v>0</v>
      </c>
      <c r="V136" s="32">
        <f t="shared" si="32"/>
        <v>0</v>
      </c>
      <c r="W136" s="32">
        <f t="shared" si="32"/>
        <v>0</v>
      </c>
      <c r="X136" s="32">
        <f t="shared" si="32"/>
        <v>0</v>
      </c>
      <c r="Y136" s="32">
        <f t="shared" si="32"/>
        <v>0</v>
      </c>
      <c r="Z136" s="32">
        <f t="shared" si="32"/>
        <v>0</v>
      </c>
      <c r="AA136" s="32">
        <f t="shared" si="32"/>
        <v>0</v>
      </c>
      <c r="AB136" s="32">
        <f t="shared" si="32"/>
        <v>0</v>
      </c>
      <c r="AC136" s="32">
        <f t="shared" si="32"/>
        <v>0</v>
      </c>
      <c r="AD136" s="32">
        <f t="shared" si="32"/>
        <v>0</v>
      </c>
      <c r="AE136" s="32">
        <f t="shared" si="32"/>
        <v>0</v>
      </c>
    </row>
    <row r="138" spans="1:31" x14ac:dyDescent="0.45">
      <c r="A138" s="28" t="s">
        <v>1194</v>
      </c>
      <c r="B138" s="5" t="s">
        <v>64</v>
      </c>
      <c r="C138" s="5" t="s">
        <v>117</v>
      </c>
      <c r="D138" s="5">
        <v>1</v>
      </c>
      <c r="E138" s="5" t="s">
        <v>1159</v>
      </c>
      <c r="K138" s="24"/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</row>
    <row r="139" spans="1:31" x14ac:dyDescent="0.45">
      <c r="A139" s="28" t="s">
        <v>1194</v>
      </c>
      <c r="B139" s="5" t="s">
        <v>64</v>
      </c>
      <c r="C139" s="5" t="s">
        <v>117</v>
      </c>
      <c r="D139" s="5">
        <v>1</v>
      </c>
      <c r="E139" s="5" t="s">
        <v>1160</v>
      </c>
      <c r="K139" s="24">
        <f>INDEX(Mitigation_Industry!K:K,MATCH($A139,Mitigation_Industry!$H:$H,0))</f>
        <v>0</v>
      </c>
      <c r="L139" s="24">
        <f>INDEX(Mitigation_Industry!L:L,MATCH($A139,Mitigation_Industry!$H:$H,0))</f>
        <v>0</v>
      </c>
      <c r="M139" s="24">
        <f>INDEX(Mitigation_Industry!M:M,MATCH($A139,Mitigation_Industry!$H:$H,0))</f>
        <v>0</v>
      </c>
      <c r="N139" s="24">
        <f>INDEX(Mitigation_Industry!N:N,MATCH($A139,Mitigation_Industry!$H:$H,0))</f>
        <v>0</v>
      </c>
      <c r="O139" s="24">
        <f>INDEX(Mitigation_Industry!O:O,MATCH($A139,Mitigation_Industry!$H:$H,0))</f>
        <v>0</v>
      </c>
      <c r="P139" s="24">
        <f>INDEX(Mitigation_Industry!P:P,MATCH($A139,Mitigation_Industry!$H:$H,0))</f>
        <v>0</v>
      </c>
      <c r="Q139" s="24">
        <f>INDEX(Mitigation_Industry!Q:Q,MATCH($A139,Mitigation_Industry!$H:$H,0))</f>
        <v>0</v>
      </c>
      <c r="R139" s="24">
        <f>INDEX(Mitigation_Industry!R:R,MATCH($A139,Mitigation_Industry!$H:$H,0))</f>
        <v>0</v>
      </c>
      <c r="S139" s="24">
        <f>INDEX(Mitigation_Industry!S:S,MATCH($A139,Mitigation_Industry!$H:$H,0))</f>
        <v>0</v>
      </c>
      <c r="T139" s="24">
        <f>INDEX(Mitigation_Industry!T:T,MATCH($A139,Mitigation_Industry!$H:$H,0))</f>
        <v>0</v>
      </c>
      <c r="U139" s="24">
        <f>INDEX(Mitigation_Industry!U:U,MATCH($A139,Mitigation_Industry!$H:$H,0))</f>
        <v>0</v>
      </c>
      <c r="V139" s="24">
        <f>INDEX(Mitigation_Industry!V:V,MATCH($A139,Mitigation_Industry!$H:$H,0))</f>
        <v>0</v>
      </c>
      <c r="W139" s="24">
        <f>INDEX(Mitigation_Industry!W:W,MATCH($A139,Mitigation_Industry!$H:$H,0))</f>
        <v>0</v>
      </c>
      <c r="X139" s="24">
        <f>INDEX(Mitigation_Industry!X:X,MATCH($A139,Mitigation_Industry!$H:$H,0))</f>
        <v>0</v>
      </c>
      <c r="Y139" s="24">
        <f>INDEX(Mitigation_Industry!Y:Y,MATCH($A139,Mitigation_Industry!$H:$H,0))</f>
        <v>0</v>
      </c>
      <c r="Z139" s="24">
        <f>INDEX(Mitigation_Industry!Z:Z,MATCH($A139,Mitigation_Industry!$H:$H,0))</f>
        <v>0</v>
      </c>
      <c r="AA139" s="24">
        <f>INDEX(Mitigation_Industry!AA:AA,MATCH($A139,Mitigation_Industry!$H:$H,0))</f>
        <v>0</v>
      </c>
      <c r="AB139" s="24">
        <f>INDEX(Mitigation_Industry!AB:AB,MATCH($A139,Mitigation_Industry!$H:$H,0))</f>
        <v>0</v>
      </c>
      <c r="AC139" s="24">
        <f>INDEX(Mitigation_Industry!AC:AC,MATCH($A139,Mitigation_Industry!$H:$H,0))</f>
        <v>0</v>
      </c>
      <c r="AD139" s="24">
        <f>INDEX(Mitigation_Industry!AD:AD,MATCH($A139,Mitigation_Industry!$H:$H,0))</f>
        <v>0</v>
      </c>
      <c r="AE139" s="24">
        <f>INDEX(Mitigation_Industry!AE:AE,MATCH($A139,Mitigation_Industry!$H:$H,0))</f>
        <v>0</v>
      </c>
    </row>
    <row r="140" spans="1:31" x14ac:dyDescent="0.45">
      <c r="A140" s="28" t="s">
        <v>1194</v>
      </c>
      <c r="B140" s="5" t="s">
        <v>64</v>
      </c>
      <c r="C140" s="5" t="s">
        <v>117</v>
      </c>
      <c r="D140" s="5">
        <v>1</v>
      </c>
      <c r="E140" s="2" t="s">
        <v>1161</v>
      </c>
      <c r="F140" s="31">
        <f>MAX(MAX(L140:AE140),-MIN(L140:AE140))</f>
        <v>0</v>
      </c>
      <c r="K140" s="32">
        <f t="shared" ref="K140:AE140" si="33">IF(ISNUMBER(K138),IF(ISNUMBER(K139),K139-K138,999999),0)</f>
        <v>0</v>
      </c>
      <c r="L140" s="32">
        <f t="shared" si="33"/>
        <v>0</v>
      </c>
      <c r="M140" s="32">
        <f t="shared" si="33"/>
        <v>0</v>
      </c>
      <c r="N140" s="32">
        <f t="shared" si="33"/>
        <v>0</v>
      </c>
      <c r="O140" s="32">
        <f t="shared" si="33"/>
        <v>0</v>
      </c>
      <c r="P140" s="32">
        <f t="shared" si="33"/>
        <v>0</v>
      </c>
      <c r="Q140" s="32">
        <f t="shared" si="33"/>
        <v>0</v>
      </c>
      <c r="R140" s="32">
        <f t="shared" si="33"/>
        <v>0</v>
      </c>
      <c r="S140" s="32">
        <f t="shared" si="33"/>
        <v>0</v>
      </c>
      <c r="T140" s="32">
        <f t="shared" si="33"/>
        <v>0</v>
      </c>
      <c r="U140" s="32">
        <f t="shared" si="33"/>
        <v>0</v>
      </c>
      <c r="V140" s="32">
        <f t="shared" si="33"/>
        <v>0</v>
      </c>
      <c r="W140" s="32">
        <f t="shared" si="33"/>
        <v>0</v>
      </c>
      <c r="X140" s="32">
        <f t="shared" si="33"/>
        <v>0</v>
      </c>
      <c r="Y140" s="32">
        <f t="shared" si="33"/>
        <v>0</v>
      </c>
      <c r="Z140" s="32">
        <f t="shared" si="33"/>
        <v>0</v>
      </c>
      <c r="AA140" s="32">
        <f t="shared" si="33"/>
        <v>0</v>
      </c>
      <c r="AB140" s="32">
        <f t="shared" si="33"/>
        <v>0</v>
      </c>
      <c r="AC140" s="32">
        <f t="shared" si="33"/>
        <v>0</v>
      </c>
      <c r="AD140" s="32">
        <f t="shared" si="33"/>
        <v>0</v>
      </c>
      <c r="AE140" s="32">
        <f t="shared" si="33"/>
        <v>0</v>
      </c>
    </row>
    <row r="142" spans="1:31" x14ac:dyDescent="0.45">
      <c r="A142" s="28" t="s">
        <v>1195</v>
      </c>
      <c r="B142" s="5" t="s">
        <v>67</v>
      </c>
      <c r="C142" s="5" t="s">
        <v>117</v>
      </c>
      <c r="D142" s="5">
        <v>1</v>
      </c>
      <c r="E142" s="5" t="s">
        <v>1159</v>
      </c>
      <c r="K142" s="24"/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</row>
    <row r="143" spans="1:31" x14ac:dyDescent="0.45">
      <c r="A143" s="28" t="s">
        <v>1195</v>
      </c>
      <c r="B143" s="5" t="s">
        <v>67</v>
      </c>
      <c r="C143" s="5" t="s">
        <v>117</v>
      </c>
      <c r="D143" s="5">
        <v>1</v>
      </c>
      <c r="E143" s="5" t="s">
        <v>1160</v>
      </c>
      <c r="K143" s="24">
        <f>INDEX(Mitigation_Industry!K:K,MATCH($A143,Mitigation_Industry!$H:$H,0))</f>
        <v>0</v>
      </c>
      <c r="L143" s="24">
        <f>INDEX(Mitigation_Industry!L:L,MATCH($A143,Mitigation_Industry!$H:$H,0))</f>
        <v>0</v>
      </c>
      <c r="M143" s="24">
        <f>INDEX(Mitigation_Industry!M:M,MATCH($A143,Mitigation_Industry!$H:$H,0))</f>
        <v>0</v>
      </c>
      <c r="N143" s="24">
        <f>INDEX(Mitigation_Industry!N:N,MATCH($A143,Mitigation_Industry!$H:$H,0))</f>
        <v>0</v>
      </c>
      <c r="O143" s="24">
        <f>INDEX(Mitigation_Industry!O:O,MATCH($A143,Mitigation_Industry!$H:$H,0))</f>
        <v>0</v>
      </c>
      <c r="P143" s="24">
        <f>INDEX(Mitigation_Industry!P:P,MATCH($A143,Mitigation_Industry!$H:$H,0))</f>
        <v>0</v>
      </c>
      <c r="Q143" s="24">
        <f>INDEX(Mitigation_Industry!Q:Q,MATCH($A143,Mitigation_Industry!$H:$H,0))</f>
        <v>0</v>
      </c>
      <c r="R143" s="24">
        <f>INDEX(Mitigation_Industry!R:R,MATCH($A143,Mitigation_Industry!$H:$H,0))</f>
        <v>0</v>
      </c>
      <c r="S143" s="24">
        <f>INDEX(Mitigation_Industry!S:S,MATCH($A143,Mitigation_Industry!$H:$H,0))</f>
        <v>0</v>
      </c>
      <c r="T143" s="24">
        <f>INDEX(Mitigation_Industry!T:T,MATCH($A143,Mitigation_Industry!$H:$H,0))</f>
        <v>0</v>
      </c>
      <c r="U143" s="24">
        <f>INDEX(Mitigation_Industry!U:U,MATCH($A143,Mitigation_Industry!$H:$H,0))</f>
        <v>0</v>
      </c>
      <c r="V143" s="24">
        <f>INDEX(Mitigation_Industry!V:V,MATCH($A143,Mitigation_Industry!$H:$H,0))</f>
        <v>0</v>
      </c>
      <c r="W143" s="24">
        <f>INDEX(Mitigation_Industry!W:W,MATCH($A143,Mitigation_Industry!$H:$H,0))</f>
        <v>0</v>
      </c>
      <c r="X143" s="24">
        <f>INDEX(Mitigation_Industry!X:X,MATCH($A143,Mitigation_Industry!$H:$H,0))</f>
        <v>0</v>
      </c>
      <c r="Y143" s="24">
        <f>INDEX(Mitigation_Industry!Y:Y,MATCH($A143,Mitigation_Industry!$H:$H,0))</f>
        <v>0</v>
      </c>
      <c r="Z143" s="24">
        <f>INDEX(Mitigation_Industry!Z:Z,MATCH($A143,Mitigation_Industry!$H:$H,0))</f>
        <v>0</v>
      </c>
      <c r="AA143" s="24">
        <f>INDEX(Mitigation_Industry!AA:AA,MATCH($A143,Mitigation_Industry!$H:$H,0))</f>
        <v>0</v>
      </c>
      <c r="AB143" s="24">
        <f>INDEX(Mitigation_Industry!AB:AB,MATCH($A143,Mitigation_Industry!$H:$H,0))</f>
        <v>0</v>
      </c>
      <c r="AC143" s="24">
        <f>INDEX(Mitigation_Industry!AC:AC,MATCH($A143,Mitigation_Industry!$H:$H,0))</f>
        <v>0</v>
      </c>
      <c r="AD143" s="24">
        <f>INDEX(Mitigation_Industry!AD:AD,MATCH($A143,Mitigation_Industry!$H:$H,0))</f>
        <v>0</v>
      </c>
      <c r="AE143" s="24">
        <f>INDEX(Mitigation_Industry!AE:AE,MATCH($A143,Mitigation_Industry!$H:$H,0))</f>
        <v>0</v>
      </c>
    </row>
    <row r="144" spans="1:31" x14ac:dyDescent="0.45">
      <c r="A144" s="28" t="s">
        <v>1195</v>
      </c>
      <c r="B144" s="5" t="s">
        <v>67</v>
      </c>
      <c r="C144" s="5" t="s">
        <v>117</v>
      </c>
      <c r="D144" s="5">
        <v>1</v>
      </c>
      <c r="E144" s="2" t="s">
        <v>1161</v>
      </c>
      <c r="F144" s="31">
        <f>MAX(MAX(L144:AE144),-MIN(L144:AE144))</f>
        <v>0</v>
      </c>
      <c r="K144" s="32">
        <f t="shared" ref="K144:AE144" si="34">IF(ISNUMBER(K142),IF(ISNUMBER(K143),K143-K142,999999),0)</f>
        <v>0</v>
      </c>
      <c r="L144" s="32">
        <f t="shared" si="34"/>
        <v>0</v>
      </c>
      <c r="M144" s="32">
        <f t="shared" si="34"/>
        <v>0</v>
      </c>
      <c r="N144" s="32">
        <f t="shared" si="34"/>
        <v>0</v>
      </c>
      <c r="O144" s="32">
        <f t="shared" si="34"/>
        <v>0</v>
      </c>
      <c r="P144" s="32">
        <f t="shared" si="34"/>
        <v>0</v>
      </c>
      <c r="Q144" s="32">
        <f t="shared" si="34"/>
        <v>0</v>
      </c>
      <c r="R144" s="32">
        <f t="shared" si="34"/>
        <v>0</v>
      </c>
      <c r="S144" s="32">
        <f t="shared" si="34"/>
        <v>0</v>
      </c>
      <c r="T144" s="32">
        <f t="shared" si="34"/>
        <v>0</v>
      </c>
      <c r="U144" s="32">
        <f t="shared" si="34"/>
        <v>0</v>
      </c>
      <c r="V144" s="32">
        <f t="shared" si="34"/>
        <v>0</v>
      </c>
      <c r="W144" s="32">
        <f t="shared" si="34"/>
        <v>0</v>
      </c>
      <c r="X144" s="32">
        <f t="shared" si="34"/>
        <v>0</v>
      </c>
      <c r="Y144" s="32">
        <f t="shared" si="34"/>
        <v>0</v>
      </c>
      <c r="Z144" s="32">
        <f t="shared" si="34"/>
        <v>0</v>
      </c>
      <c r="AA144" s="32">
        <f t="shared" si="34"/>
        <v>0</v>
      </c>
      <c r="AB144" s="32">
        <f t="shared" si="34"/>
        <v>0</v>
      </c>
      <c r="AC144" s="32">
        <f t="shared" si="34"/>
        <v>0</v>
      </c>
      <c r="AD144" s="32">
        <f t="shared" si="34"/>
        <v>0</v>
      </c>
      <c r="AE144" s="32">
        <f t="shared" si="34"/>
        <v>0</v>
      </c>
    </row>
    <row r="146" spans="1:31" x14ac:dyDescent="0.45">
      <c r="A146" s="28" t="s">
        <v>1196</v>
      </c>
      <c r="B146" s="5" t="s">
        <v>69</v>
      </c>
      <c r="C146" s="5" t="s">
        <v>117</v>
      </c>
      <c r="D146" s="5">
        <v>1</v>
      </c>
      <c r="E146" s="5" t="s">
        <v>1159</v>
      </c>
      <c r="K146" s="24"/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</row>
    <row r="147" spans="1:31" x14ac:dyDescent="0.45">
      <c r="A147" s="28" t="s">
        <v>1196</v>
      </c>
      <c r="B147" s="5" t="s">
        <v>69</v>
      </c>
      <c r="C147" s="5" t="s">
        <v>117</v>
      </c>
      <c r="D147" s="5">
        <v>1</v>
      </c>
      <c r="E147" s="5" t="s">
        <v>1160</v>
      </c>
      <c r="K147" s="24">
        <f>INDEX(Mitigation_Industry!K:K,MATCH($A147,Mitigation_Industry!$H:$H,0))</f>
        <v>0</v>
      </c>
      <c r="L147" s="24">
        <f>INDEX(Mitigation_Industry!L:L,MATCH($A147,Mitigation_Industry!$H:$H,0))</f>
        <v>0</v>
      </c>
      <c r="M147" s="24">
        <f>INDEX(Mitigation_Industry!M:M,MATCH($A147,Mitigation_Industry!$H:$H,0))</f>
        <v>0</v>
      </c>
      <c r="N147" s="24">
        <f>INDEX(Mitigation_Industry!N:N,MATCH($A147,Mitigation_Industry!$H:$H,0))</f>
        <v>0</v>
      </c>
      <c r="O147" s="24">
        <f>INDEX(Mitigation_Industry!O:O,MATCH($A147,Mitigation_Industry!$H:$H,0))</f>
        <v>0</v>
      </c>
      <c r="P147" s="24">
        <f>INDEX(Mitigation_Industry!P:P,MATCH($A147,Mitigation_Industry!$H:$H,0))</f>
        <v>0</v>
      </c>
      <c r="Q147" s="24">
        <f>INDEX(Mitigation_Industry!Q:Q,MATCH($A147,Mitigation_Industry!$H:$H,0))</f>
        <v>0</v>
      </c>
      <c r="R147" s="24">
        <f>INDEX(Mitigation_Industry!R:R,MATCH($A147,Mitigation_Industry!$H:$H,0))</f>
        <v>0</v>
      </c>
      <c r="S147" s="24">
        <f>INDEX(Mitigation_Industry!S:S,MATCH($A147,Mitigation_Industry!$H:$H,0))</f>
        <v>0</v>
      </c>
      <c r="T147" s="24">
        <f>INDEX(Mitigation_Industry!T:T,MATCH($A147,Mitigation_Industry!$H:$H,0))</f>
        <v>0</v>
      </c>
      <c r="U147" s="24">
        <f>INDEX(Mitigation_Industry!U:U,MATCH($A147,Mitigation_Industry!$H:$H,0))</f>
        <v>0</v>
      </c>
      <c r="V147" s="24">
        <f>INDEX(Mitigation_Industry!V:V,MATCH($A147,Mitigation_Industry!$H:$H,0))</f>
        <v>0</v>
      </c>
      <c r="W147" s="24">
        <f>INDEX(Mitigation_Industry!W:W,MATCH($A147,Mitigation_Industry!$H:$H,0))</f>
        <v>0</v>
      </c>
      <c r="X147" s="24">
        <f>INDEX(Mitigation_Industry!X:X,MATCH($A147,Mitigation_Industry!$H:$H,0))</f>
        <v>0</v>
      </c>
      <c r="Y147" s="24">
        <f>INDEX(Mitigation_Industry!Y:Y,MATCH($A147,Mitigation_Industry!$H:$H,0))</f>
        <v>0</v>
      </c>
      <c r="Z147" s="24">
        <f>INDEX(Mitigation_Industry!Z:Z,MATCH($A147,Mitigation_Industry!$H:$H,0))</f>
        <v>0</v>
      </c>
      <c r="AA147" s="24">
        <f>INDEX(Mitigation_Industry!AA:AA,MATCH($A147,Mitigation_Industry!$H:$H,0))</f>
        <v>0</v>
      </c>
      <c r="AB147" s="24">
        <f>INDEX(Mitigation_Industry!AB:AB,MATCH($A147,Mitigation_Industry!$H:$H,0))</f>
        <v>0</v>
      </c>
      <c r="AC147" s="24">
        <f>INDEX(Mitigation_Industry!AC:AC,MATCH($A147,Mitigation_Industry!$H:$H,0))</f>
        <v>0</v>
      </c>
      <c r="AD147" s="24">
        <f>INDEX(Mitigation_Industry!AD:AD,MATCH($A147,Mitigation_Industry!$H:$H,0))</f>
        <v>0</v>
      </c>
      <c r="AE147" s="24">
        <f>INDEX(Mitigation_Industry!AE:AE,MATCH($A147,Mitigation_Industry!$H:$H,0))</f>
        <v>0</v>
      </c>
    </row>
    <row r="148" spans="1:31" x14ac:dyDescent="0.45">
      <c r="A148" s="28" t="s">
        <v>1196</v>
      </c>
      <c r="B148" s="5" t="s">
        <v>69</v>
      </c>
      <c r="C148" s="5" t="s">
        <v>117</v>
      </c>
      <c r="D148" s="5">
        <v>1</v>
      </c>
      <c r="E148" s="2" t="s">
        <v>1161</v>
      </c>
      <c r="F148" s="31">
        <f>MAX(MAX(L148:AE148),-MIN(L148:AE148))</f>
        <v>0</v>
      </c>
      <c r="K148" s="32">
        <f t="shared" ref="K148:AE148" si="35">IF(ISNUMBER(K146),IF(ISNUMBER(K147),K147-K146,999999),0)</f>
        <v>0</v>
      </c>
      <c r="L148" s="32">
        <f t="shared" si="35"/>
        <v>0</v>
      </c>
      <c r="M148" s="32">
        <f t="shared" si="35"/>
        <v>0</v>
      </c>
      <c r="N148" s="32">
        <f t="shared" si="35"/>
        <v>0</v>
      </c>
      <c r="O148" s="32">
        <f t="shared" si="35"/>
        <v>0</v>
      </c>
      <c r="P148" s="32">
        <f t="shared" si="35"/>
        <v>0</v>
      </c>
      <c r="Q148" s="32">
        <f t="shared" si="35"/>
        <v>0</v>
      </c>
      <c r="R148" s="32">
        <f t="shared" si="35"/>
        <v>0</v>
      </c>
      <c r="S148" s="32">
        <f t="shared" si="35"/>
        <v>0</v>
      </c>
      <c r="T148" s="32">
        <f t="shared" si="35"/>
        <v>0</v>
      </c>
      <c r="U148" s="32">
        <f t="shared" si="35"/>
        <v>0</v>
      </c>
      <c r="V148" s="32">
        <f t="shared" si="35"/>
        <v>0</v>
      </c>
      <c r="W148" s="32">
        <f t="shared" si="35"/>
        <v>0</v>
      </c>
      <c r="X148" s="32">
        <f t="shared" si="35"/>
        <v>0</v>
      </c>
      <c r="Y148" s="32">
        <f t="shared" si="35"/>
        <v>0</v>
      </c>
      <c r="Z148" s="32">
        <f t="shared" si="35"/>
        <v>0</v>
      </c>
      <c r="AA148" s="32">
        <f t="shared" si="35"/>
        <v>0</v>
      </c>
      <c r="AB148" s="32">
        <f t="shared" si="35"/>
        <v>0</v>
      </c>
      <c r="AC148" s="32">
        <f t="shared" si="35"/>
        <v>0</v>
      </c>
      <c r="AD148" s="32">
        <f t="shared" si="35"/>
        <v>0</v>
      </c>
      <c r="AE148" s="32">
        <f t="shared" si="35"/>
        <v>0</v>
      </c>
    </row>
    <row r="150" spans="1:31" x14ac:dyDescent="0.45">
      <c r="A150" s="28" t="s">
        <v>1197</v>
      </c>
      <c r="B150" s="5" t="s">
        <v>49</v>
      </c>
      <c r="C150" s="5" t="s">
        <v>43</v>
      </c>
      <c r="D150" s="5">
        <v>2</v>
      </c>
      <c r="E150" s="5" t="s">
        <v>1159</v>
      </c>
      <c r="K150" s="24"/>
      <c r="L150" s="24">
        <v>232.65735477013101</v>
      </c>
      <c r="M150" s="24">
        <v>189.45265610688699</v>
      </c>
      <c r="N150" s="24">
        <v>217.728838709141</v>
      </c>
      <c r="O150" s="24">
        <v>237.897930150489</v>
      </c>
      <c r="P150" s="24">
        <v>232.65006903124501</v>
      </c>
      <c r="Q150" s="24">
        <v>218.618471368115</v>
      </c>
      <c r="R150" s="24">
        <v>210.28498690349599</v>
      </c>
      <c r="S150" s="24">
        <v>203.14643963897601</v>
      </c>
      <c r="T150" s="24">
        <v>196.84230886321799</v>
      </c>
      <c r="U150" s="24">
        <v>191.39075749538</v>
      </c>
      <c r="V150" s="24">
        <v>186.21788114925701</v>
      </c>
      <c r="W150" s="24">
        <v>181.78008799508299</v>
      </c>
      <c r="X150" s="24">
        <v>177.97349187208499</v>
      </c>
      <c r="Y150" s="24">
        <v>174.72635256308399</v>
      </c>
      <c r="Z150" s="24">
        <v>171.999286703688</v>
      </c>
      <c r="AA150" s="24">
        <v>169.74391219112101</v>
      </c>
      <c r="AB150" s="24">
        <v>167.91465652501799</v>
      </c>
      <c r="AC150" s="24">
        <v>166.45600964782699</v>
      </c>
      <c r="AD150" s="24">
        <v>165.321234711665</v>
      </c>
      <c r="AE150" s="24">
        <v>164.473168735152</v>
      </c>
    </row>
    <row r="151" spans="1:31" x14ac:dyDescent="0.45">
      <c r="A151" s="28" t="s">
        <v>1197</v>
      </c>
      <c r="B151" s="5" t="s">
        <v>49</v>
      </c>
      <c r="C151" s="5" t="s">
        <v>43</v>
      </c>
      <c r="D151" s="5">
        <v>2</v>
      </c>
      <c r="E151" s="5" t="s">
        <v>1160</v>
      </c>
      <c r="K151" s="24">
        <f>INDEX(Mitigation_Industry!K:K,MATCH($A151,Mitigation_Industry!$H:$H,0))</f>
        <v>0</v>
      </c>
      <c r="L151" s="24">
        <f>INDEX(Mitigation_Industry!L:L,MATCH($A151,Mitigation_Industry!$H:$H,0))</f>
        <v>232.65735477013101</v>
      </c>
      <c r="M151" s="24">
        <f>INDEX(Mitigation_Industry!M:M,MATCH($A151,Mitigation_Industry!$H:$H,0))</f>
        <v>189.45265610688699</v>
      </c>
      <c r="N151" s="24">
        <f>INDEX(Mitigation_Industry!N:N,MATCH($A151,Mitigation_Industry!$H:$H,0))</f>
        <v>217.72883870914094</v>
      </c>
      <c r="O151" s="24">
        <f>INDEX(Mitigation_Industry!O:O,MATCH($A151,Mitigation_Industry!$H:$H,0))</f>
        <v>237.89793015048883</v>
      </c>
      <c r="P151" s="24">
        <f>INDEX(Mitigation_Industry!P:P,MATCH($A151,Mitigation_Industry!$H:$H,0))</f>
        <v>232.65006903124424</v>
      </c>
      <c r="Q151" s="24">
        <f>INDEX(Mitigation_Industry!Q:Q,MATCH($A151,Mitigation_Industry!$H:$H,0))</f>
        <v>218.61847136811463</v>
      </c>
      <c r="R151" s="24">
        <f>INDEX(Mitigation_Industry!R:R,MATCH($A151,Mitigation_Industry!$H:$H,0))</f>
        <v>210.28498690349488</v>
      </c>
      <c r="S151" s="24">
        <f>INDEX(Mitigation_Industry!S:S,MATCH($A151,Mitigation_Industry!$H:$H,0))</f>
        <v>203.14643963897521</v>
      </c>
      <c r="T151" s="24">
        <f>INDEX(Mitigation_Industry!T:T,MATCH($A151,Mitigation_Industry!$H:$H,0))</f>
        <v>196.84230886321788</v>
      </c>
      <c r="U151" s="24">
        <f>INDEX(Mitigation_Industry!U:U,MATCH($A151,Mitigation_Industry!$H:$H,0))</f>
        <v>191.39075749537983</v>
      </c>
      <c r="V151" s="24">
        <f>INDEX(Mitigation_Industry!V:V,MATCH($A151,Mitigation_Industry!$H:$H,0))</f>
        <v>186.2178811492559</v>
      </c>
      <c r="W151" s="24">
        <f>INDEX(Mitigation_Industry!W:W,MATCH($A151,Mitigation_Industry!$H:$H,0))</f>
        <v>181.78008799508211</v>
      </c>
      <c r="X151" s="24">
        <f>INDEX(Mitigation_Industry!X:X,MATCH($A151,Mitigation_Industry!$H:$H,0))</f>
        <v>177.97349187208462</v>
      </c>
      <c r="Y151" s="24">
        <f>INDEX(Mitigation_Industry!Y:Y,MATCH($A151,Mitigation_Industry!$H:$H,0))</f>
        <v>174.72635256308322</v>
      </c>
      <c r="Z151" s="24">
        <f>INDEX(Mitigation_Industry!Z:Z,MATCH($A151,Mitigation_Industry!$H:$H,0))</f>
        <v>171.99928670368777</v>
      </c>
      <c r="AA151" s="24">
        <f>INDEX(Mitigation_Industry!AA:AA,MATCH($A151,Mitigation_Industry!$H:$H,0))</f>
        <v>169.74391219112042</v>
      </c>
      <c r="AB151" s="24">
        <f>INDEX(Mitigation_Industry!AB:AB,MATCH($A151,Mitigation_Industry!$H:$H,0))</f>
        <v>167.91465652501745</v>
      </c>
      <c r="AC151" s="24">
        <f>INDEX(Mitigation_Industry!AC:AC,MATCH($A151,Mitigation_Industry!$H:$H,0))</f>
        <v>166.45600964782685</v>
      </c>
      <c r="AD151" s="24">
        <f>INDEX(Mitigation_Industry!AD:AD,MATCH($A151,Mitigation_Industry!$H:$H,0))</f>
        <v>165.32123471166477</v>
      </c>
      <c r="AE151" s="24">
        <f>INDEX(Mitigation_Industry!AE:AE,MATCH($A151,Mitigation_Industry!$H:$H,0))</f>
        <v>164.47316873515103</v>
      </c>
    </row>
    <row r="152" spans="1:31" x14ac:dyDescent="0.45">
      <c r="A152" s="28" t="s">
        <v>1197</v>
      </c>
      <c r="B152" s="5" t="s">
        <v>49</v>
      </c>
      <c r="C152" s="5" t="s">
        <v>43</v>
      </c>
      <c r="D152" s="5">
        <v>2</v>
      </c>
      <c r="E152" s="2" t="s">
        <v>1161</v>
      </c>
      <c r="F152" s="31">
        <f>MAX(MAX(L152:AE152),-MIN(L152:AE152))</f>
        <v>1.1084466677857563E-12</v>
      </c>
      <c r="K152" s="32">
        <f t="shared" ref="K152:AE152" si="36">IF(ISNUMBER(K150),IF(ISNUMBER(K151),K151-K150,999999),0)</f>
        <v>0</v>
      </c>
      <c r="L152" s="32">
        <f t="shared" si="36"/>
        <v>0</v>
      </c>
      <c r="M152" s="32">
        <f t="shared" si="36"/>
        <v>0</v>
      </c>
      <c r="N152" s="32">
        <f t="shared" si="36"/>
        <v>-5.6843418860808015E-14</v>
      </c>
      <c r="O152" s="32">
        <f t="shared" si="36"/>
        <v>-1.7053025658242404E-13</v>
      </c>
      <c r="P152" s="32">
        <f t="shared" si="36"/>
        <v>-7.673861546209082E-13</v>
      </c>
      <c r="Q152" s="32">
        <f t="shared" si="36"/>
        <v>-3.694822225952521E-13</v>
      </c>
      <c r="R152" s="32">
        <f t="shared" si="36"/>
        <v>-1.1084466677857563E-12</v>
      </c>
      <c r="S152" s="32">
        <f t="shared" si="36"/>
        <v>-7.9580786405131221E-13</v>
      </c>
      <c r="T152" s="32">
        <f t="shared" si="36"/>
        <v>-1.1368683772161603E-13</v>
      </c>
      <c r="U152" s="32">
        <f t="shared" si="36"/>
        <v>-1.7053025658242404E-13</v>
      </c>
      <c r="V152" s="32">
        <f t="shared" si="36"/>
        <v>-1.1084466677857563E-12</v>
      </c>
      <c r="W152" s="32">
        <f t="shared" si="36"/>
        <v>-8.8107299234252423E-13</v>
      </c>
      <c r="X152" s="32">
        <f t="shared" si="36"/>
        <v>-3.694822225952521E-13</v>
      </c>
      <c r="Y152" s="32">
        <f t="shared" si="36"/>
        <v>-7.673861546209082E-13</v>
      </c>
      <c r="Z152" s="32">
        <f t="shared" si="36"/>
        <v>-2.2737367544323206E-13</v>
      </c>
      <c r="AA152" s="32">
        <f t="shared" si="36"/>
        <v>-5.9685589803848416E-13</v>
      </c>
      <c r="AB152" s="32">
        <f t="shared" si="36"/>
        <v>-5.4001247917767614E-13</v>
      </c>
      <c r="AC152" s="32">
        <f t="shared" si="36"/>
        <v>-1.4210854715202004E-13</v>
      </c>
      <c r="AD152" s="32">
        <f t="shared" si="36"/>
        <v>-2.2737367544323206E-13</v>
      </c>
      <c r="AE152" s="32">
        <f t="shared" si="36"/>
        <v>-9.6633812063373625E-13</v>
      </c>
    </row>
    <row r="154" spans="1:31" x14ac:dyDescent="0.45">
      <c r="A154" s="28" t="s">
        <v>1198</v>
      </c>
      <c r="B154" s="5" t="s">
        <v>53</v>
      </c>
      <c r="C154" s="5" t="s">
        <v>43</v>
      </c>
      <c r="D154" s="5">
        <v>2</v>
      </c>
      <c r="E154" s="5" t="s">
        <v>1159</v>
      </c>
      <c r="K154" s="24"/>
      <c r="L154" s="24">
        <v>1669.05671904213</v>
      </c>
      <c r="M154" s="24">
        <v>1431.7775208824801</v>
      </c>
      <c r="N154" s="24">
        <v>1603.1180815212299</v>
      </c>
      <c r="O154" s="24">
        <v>1666.46910747486</v>
      </c>
      <c r="P154" s="24">
        <v>1729.0519522219899</v>
      </c>
      <c r="Q154" s="24">
        <v>1637.7863258003899</v>
      </c>
      <c r="R154" s="24">
        <v>1578.66423029268</v>
      </c>
      <c r="S154" s="24">
        <v>1529.1864264578501</v>
      </c>
      <c r="T154" s="24">
        <v>1485.5462441642101</v>
      </c>
      <c r="U154" s="24">
        <v>1450.0773513762699</v>
      </c>
      <c r="V154" s="24">
        <v>1421.68890759584</v>
      </c>
      <c r="W154" s="24">
        <v>1399.58115789727</v>
      </c>
      <c r="X154" s="24">
        <v>1383.05404578153</v>
      </c>
      <c r="Y154" s="24">
        <v>1371.7254363433001</v>
      </c>
      <c r="Z154" s="24">
        <v>1365.5951108489801</v>
      </c>
      <c r="AA154" s="24">
        <v>1364.43418952399</v>
      </c>
      <c r="AB154" s="24">
        <v>1367.9863527047901</v>
      </c>
      <c r="AC154" s="24">
        <v>1375.7703000424301</v>
      </c>
      <c r="AD154" s="24">
        <v>1387.3865840128001</v>
      </c>
      <c r="AE154" s="24">
        <v>1402.5434936424001</v>
      </c>
    </row>
    <row r="155" spans="1:31" x14ac:dyDescent="0.45">
      <c r="A155" s="28" t="s">
        <v>1198</v>
      </c>
      <c r="B155" s="5" t="s">
        <v>53</v>
      </c>
      <c r="C155" s="5" t="s">
        <v>43</v>
      </c>
      <c r="D155" s="5">
        <v>2</v>
      </c>
      <c r="E155" s="5" t="s">
        <v>1160</v>
      </c>
      <c r="K155" s="24">
        <f>INDEX(Mitigation_Industry!K:K,MATCH($A155,Mitigation_Industry!$H:$H,0))</f>
        <v>0</v>
      </c>
      <c r="L155" s="24">
        <f>INDEX(Mitigation_Industry!L:L,MATCH($A155,Mitigation_Industry!$H:$H,0))</f>
        <v>1669.05671904213</v>
      </c>
      <c r="M155" s="24">
        <f>INDEX(Mitigation_Industry!M:M,MATCH($A155,Mitigation_Industry!$H:$H,0))</f>
        <v>1431.7775208824874</v>
      </c>
      <c r="N155" s="24">
        <f>INDEX(Mitigation_Industry!N:N,MATCH($A155,Mitigation_Industry!$H:$H,0))</f>
        <v>1603.1180815212331</v>
      </c>
      <c r="O155" s="24">
        <f>INDEX(Mitigation_Industry!O:O,MATCH($A155,Mitigation_Industry!$H:$H,0))</f>
        <v>1666.4691074748598</v>
      </c>
      <c r="P155" s="24">
        <f>INDEX(Mitigation_Industry!P:P,MATCH($A155,Mitigation_Industry!$H:$H,0))</f>
        <v>1729.0519522219979</v>
      </c>
      <c r="Q155" s="24">
        <f>INDEX(Mitigation_Industry!Q:Q,MATCH($A155,Mitigation_Industry!$H:$H,0))</f>
        <v>1637.7863258003924</v>
      </c>
      <c r="R155" s="24">
        <f>INDEX(Mitigation_Industry!R:R,MATCH($A155,Mitigation_Industry!$H:$H,0))</f>
        <v>1578.6642302926864</v>
      </c>
      <c r="S155" s="24">
        <f>INDEX(Mitigation_Industry!S:S,MATCH($A155,Mitigation_Industry!$H:$H,0))</f>
        <v>1529.186426457856</v>
      </c>
      <c r="T155" s="24">
        <f>INDEX(Mitigation_Industry!T:T,MATCH($A155,Mitigation_Industry!$H:$H,0))</f>
        <v>1485.5462441642121</v>
      </c>
      <c r="U155" s="24">
        <f>INDEX(Mitigation_Industry!U:U,MATCH($A155,Mitigation_Industry!$H:$H,0))</f>
        <v>1450.0773513762758</v>
      </c>
      <c r="V155" s="24">
        <f>INDEX(Mitigation_Industry!V:V,MATCH($A155,Mitigation_Industry!$H:$H,0))</f>
        <v>1421.68890759584</v>
      </c>
      <c r="W155" s="24">
        <f>INDEX(Mitigation_Industry!W:W,MATCH($A155,Mitigation_Industry!$H:$H,0))</f>
        <v>1399.5811578972732</v>
      </c>
      <c r="X155" s="24">
        <f>INDEX(Mitigation_Industry!X:X,MATCH($A155,Mitigation_Industry!$H:$H,0))</f>
        <v>1383.0540457815339</v>
      </c>
      <c r="Y155" s="24">
        <f>INDEX(Mitigation_Industry!Y:Y,MATCH($A155,Mitigation_Industry!$H:$H,0))</f>
        <v>1371.7254363432983</v>
      </c>
      <c r="Z155" s="24">
        <f>INDEX(Mitigation_Industry!Z:Z,MATCH($A155,Mitigation_Industry!$H:$H,0))</f>
        <v>1365.5951108489835</v>
      </c>
      <c r="AA155" s="24">
        <f>INDEX(Mitigation_Industry!AA:AA,MATCH($A155,Mitigation_Industry!$H:$H,0))</f>
        <v>1364.4341895239882</v>
      </c>
      <c r="AB155" s="24">
        <f>INDEX(Mitigation_Industry!AB:AB,MATCH($A155,Mitigation_Industry!$H:$H,0))</f>
        <v>1367.9863527047892</v>
      </c>
      <c r="AC155" s="24">
        <f>INDEX(Mitigation_Industry!AC:AC,MATCH($A155,Mitigation_Industry!$H:$H,0))</f>
        <v>1375.7703000424308</v>
      </c>
      <c r="AD155" s="24">
        <f>INDEX(Mitigation_Industry!AD:AD,MATCH($A155,Mitigation_Industry!$H:$H,0))</f>
        <v>1387.3865840128042</v>
      </c>
      <c r="AE155" s="24">
        <f>INDEX(Mitigation_Industry!AE:AE,MATCH($A155,Mitigation_Industry!$H:$H,0))</f>
        <v>1402.5434936424028</v>
      </c>
    </row>
    <row r="156" spans="1:31" x14ac:dyDescent="0.45">
      <c r="A156" s="28" t="s">
        <v>1198</v>
      </c>
      <c r="B156" s="5" t="s">
        <v>53</v>
      </c>
      <c r="C156" s="5" t="s">
        <v>43</v>
      </c>
      <c r="D156" s="5">
        <v>2</v>
      </c>
      <c r="E156" s="2" t="s">
        <v>1161</v>
      </c>
      <c r="F156" s="31">
        <f>MAX(MAX(L156:AE156),-MIN(L156:AE156))</f>
        <v>7.9580786405131221E-12</v>
      </c>
      <c r="K156" s="32">
        <f t="shared" ref="K156:AE156" si="37">IF(ISNUMBER(K154),IF(ISNUMBER(K155),K155-K154,999999),0)</f>
        <v>0</v>
      </c>
      <c r="L156" s="32">
        <f t="shared" si="37"/>
        <v>0</v>
      </c>
      <c r="M156" s="32">
        <f t="shared" si="37"/>
        <v>7.2759576141834259E-12</v>
      </c>
      <c r="N156" s="32">
        <f t="shared" si="37"/>
        <v>3.1832314562052488E-12</v>
      </c>
      <c r="O156" s="32">
        <f t="shared" si="37"/>
        <v>-2.2737367544323206E-13</v>
      </c>
      <c r="P156" s="32">
        <f t="shared" si="37"/>
        <v>7.9580786405131221E-12</v>
      </c>
      <c r="Q156" s="32">
        <f t="shared" si="37"/>
        <v>2.5011104298755527E-12</v>
      </c>
      <c r="R156" s="32">
        <f t="shared" si="37"/>
        <v>6.3664629124104977E-12</v>
      </c>
      <c r="S156" s="32">
        <f t="shared" si="37"/>
        <v>5.9117155615240335E-12</v>
      </c>
      <c r="T156" s="32">
        <f t="shared" si="37"/>
        <v>2.0463630789890885E-12</v>
      </c>
      <c r="U156" s="32">
        <f t="shared" si="37"/>
        <v>5.9117155615240335E-12</v>
      </c>
      <c r="V156" s="32">
        <f t="shared" si="37"/>
        <v>0</v>
      </c>
      <c r="W156" s="32">
        <f t="shared" si="37"/>
        <v>3.1832314562052488E-12</v>
      </c>
      <c r="X156" s="32">
        <f t="shared" si="37"/>
        <v>3.865352482534945E-12</v>
      </c>
      <c r="Y156" s="32">
        <f t="shared" si="37"/>
        <v>-1.8189894035458565E-12</v>
      </c>
      <c r="Z156" s="32">
        <f t="shared" si="37"/>
        <v>3.4106051316484809E-12</v>
      </c>
      <c r="AA156" s="32">
        <f t="shared" si="37"/>
        <v>-1.8189894035458565E-12</v>
      </c>
      <c r="AB156" s="32">
        <f t="shared" si="37"/>
        <v>-9.0949470177292824E-13</v>
      </c>
      <c r="AC156" s="32">
        <f t="shared" si="37"/>
        <v>6.8212102632969618E-13</v>
      </c>
      <c r="AD156" s="32">
        <f t="shared" si="37"/>
        <v>4.0927261579781771E-12</v>
      </c>
      <c r="AE156" s="32">
        <f t="shared" si="37"/>
        <v>2.7284841053187847E-12</v>
      </c>
    </row>
    <row r="158" spans="1:31" x14ac:dyDescent="0.45">
      <c r="A158" s="28" t="s">
        <v>1199</v>
      </c>
      <c r="B158" s="5" t="s">
        <v>55</v>
      </c>
      <c r="C158" s="5" t="s">
        <v>43</v>
      </c>
      <c r="D158" s="5">
        <v>2</v>
      </c>
      <c r="E158" s="5" t="s">
        <v>1159</v>
      </c>
      <c r="K158" s="24"/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</row>
    <row r="159" spans="1:31" x14ac:dyDescent="0.45">
      <c r="A159" s="28" t="s">
        <v>1199</v>
      </c>
      <c r="B159" s="5" t="s">
        <v>55</v>
      </c>
      <c r="C159" s="5" t="s">
        <v>43</v>
      </c>
      <c r="D159" s="5">
        <v>2</v>
      </c>
      <c r="E159" s="5" t="s">
        <v>1160</v>
      </c>
      <c r="K159" s="24">
        <f>INDEX(Mitigation_Industry!K:K,MATCH($A159,Mitigation_Industry!$H:$H,0))</f>
        <v>0</v>
      </c>
      <c r="L159" s="24">
        <f>INDEX(Mitigation_Industry!L:L,MATCH($A159,Mitigation_Industry!$H:$H,0))</f>
        <v>0</v>
      </c>
      <c r="M159" s="24">
        <f>INDEX(Mitigation_Industry!M:M,MATCH($A159,Mitigation_Industry!$H:$H,0))</f>
        <v>0</v>
      </c>
      <c r="N159" s="24">
        <f>INDEX(Mitigation_Industry!N:N,MATCH($A159,Mitigation_Industry!$H:$H,0))</f>
        <v>0</v>
      </c>
      <c r="O159" s="24">
        <f>INDEX(Mitigation_Industry!O:O,MATCH($A159,Mitigation_Industry!$H:$H,0))</f>
        <v>0</v>
      </c>
      <c r="P159" s="24">
        <f>INDEX(Mitigation_Industry!P:P,MATCH($A159,Mitigation_Industry!$H:$H,0))</f>
        <v>0</v>
      </c>
      <c r="Q159" s="24">
        <f>INDEX(Mitigation_Industry!Q:Q,MATCH($A159,Mitigation_Industry!$H:$H,0))</f>
        <v>0</v>
      </c>
      <c r="R159" s="24">
        <f>INDEX(Mitigation_Industry!R:R,MATCH($A159,Mitigation_Industry!$H:$H,0))</f>
        <v>0</v>
      </c>
      <c r="S159" s="24">
        <f>INDEX(Mitigation_Industry!S:S,MATCH($A159,Mitigation_Industry!$H:$H,0))</f>
        <v>0</v>
      </c>
      <c r="T159" s="24">
        <f>INDEX(Mitigation_Industry!T:T,MATCH($A159,Mitigation_Industry!$H:$H,0))</f>
        <v>0</v>
      </c>
      <c r="U159" s="24">
        <f>INDEX(Mitigation_Industry!U:U,MATCH($A159,Mitigation_Industry!$H:$H,0))</f>
        <v>0</v>
      </c>
      <c r="V159" s="24">
        <f>INDEX(Mitigation_Industry!V:V,MATCH($A159,Mitigation_Industry!$H:$H,0))</f>
        <v>0</v>
      </c>
      <c r="W159" s="24">
        <f>INDEX(Mitigation_Industry!W:W,MATCH($A159,Mitigation_Industry!$H:$H,0))</f>
        <v>0</v>
      </c>
      <c r="X159" s="24">
        <f>INDEX(Mitigation_Industry!X:X,MATCH($A159,Mitigation_Industry!$H:$H,0))</f>
        <v>0</v>
      </c>
      <c r="Y159" s="24">
        <f>INDEX(Mitigation_Industry!Y:Y,MATCH($A159,Mitigation_Industry!$H:$H,0))</f>
        <v>0</v>
      </c>
      <c r="Z159" s="24">
        <f>INDEX(Mitigation_Industry!Z:Z,MATCH($A159,Mitigation_Industry!$H:$H,0))</f>
        <v>0</v>
      </c>
      <c r="AA159" s="24">
        <f>INDEX(Mitigation_Industry!AA:AA,MATCH($A159,Mitigation_Industry!$H:$H,0))</f>
        <v>0</v>
      </c>
      <c r="AB159" s="24">
        <f>INDEX(Mitigation_Industry!AB:AB,MATCH($A159,Mitigation_Industry!$H:$H,0))</f>
        <v>0</v>
      </c>
      <c r="AC159" s="24">
        <f>INDEX(Mitigation_Industry!AC:AC,MATCH($A159,Mitigation_Industry!$H:$H,0))</f>
        <v>0</v>
      </c>
      <c r="AD159" s="24">
        <f>INDEX(Mitigation_Industry!AD:AD,MATCH($A159,Mitigation_Industry!$H:$H,0))</f>
        <v>0</v>
      </c>
      <c r="AE159" s="24">
        <f>INDEX(Mitigation_Industry!AE:AE,MATCH($A159,Mitigation_Industry!$H:$H,0))</f>
        <v>0</v>
      </c>
    </row>
    <row r="160" spans="1:31" x14ac:dyDescent="0.45">
      <c r="A160" s="28" t="s">
        <v>1199</v>
      </c>
      <c r="B160" s="5" t="s">
        <v>55</v>
      </c>
      <c r="C160" s="5" t="s">
        <v>43</v>
      </c>
      <c r="D160" s="5">
        <v>2</v>
      </c>
      <c r="E160" s="2" t="s">
        <v>1161</v>
      </c>
      <c r="F160" s="31">
        <f>MAX(MAX(L160:AE160),-MIN(L160:AE160))</f>
        <v>0</v>
      </c>
      <c r="K160" s="32">
        <f t="shared" ref="K160:AE160" si="38">IF(ISNUMBER(K158),IF(ISNUMBER(K159),K159-K158,999999),0)</f>
        <v>0</v>
      </c>
      <c r="L160" s="32">
        <f t="shared" si="38"/>
        <v>0</v>
      </c>
      <c r="M160" s="32">
        <f t="shared" si="38"/>
        <v>0</v>
      </c>
      <c r="N160" s="32">
        <f t="shared" si="38"/>
        <v>0</v>
      </c>
      <c r="O160" s="32">
        <f t="shared" si="38"/>
        <v>0</v>
      </c>
      <c r="P160" s="32">
        <f t="shared" si="38"/>
        <v>0</v>
      </c>
      <c r="Q160" s="32">
        <f t="shared" si="38"/>
        <v>0</v>
      </c>
      <c r="R160" s="32">
        <f t="shared" si="38"/>
        <v>0</v>
      </c>
      <c r="S160" s="32">
        <f t="shared" si="38"/>
        <v>0</v>
      </c>
      <c r="T160" s="32">
        <f t="shared" si="38"/>
        <v>0</v>
      </c>
      <c r="U160" s="32">
        <f t="shared" si="38"/>
        <v>0</v>
      </c>
      <c r="V160" s="32">
        <f t="shared" si="38"/>
        <v>0</v>
      </c>
      <c r="W160" s="32">
        <f t="shared" si="38"/>
        <v>0</v>
      </c>
      <c r="X160" s="32">
        <f t="shared" si="38"/>
        <v>0</v>
      </c>
      <c r="Y160" s="32">
        <f t="shared" si="38"/>
        <v>0</v>
      </c>
      <c r="Z160" s="32">
        <f t="shared" si="38"/>
        <v>0</v>
      </c>
      <c r="AA160" s="32">
        <f t="shared" si="38"/>
        <v>0</v>
      </c>
      <c r="AB160" s="32">
        <f t="shared" si="38"/>
        <v>0</v>
      </c>
      <c r="AC160" s="32">
        <f t="shared" si="38"/>
        <v>0</v>
      </c>
      <c r="AD160" s="32">
        <f t="shared" si="38"/>
        <v>0</v>
      </c>
      <c r="AE160" s="32">
        <f t="shared" si="38"/>
        <v>0</v>
      </c>
    </row>
    <row r="162" spans="1:31" x14ac:dyDescent="0.45">
      <c r="A162" s="28" t="s">
        <v>1200</v>
      </c>
      <c r="B162" s="5" t="s">
        <v>58</v>
      </c>
      <c r="C162" s="5" t="s">
        <v>43</v>
      </c>
      <c r="D162" s="5">
        <v>2</v>
      </c>
      <c r="E162" s="5" t="s">
        <v>1159</v>
      </c>
      <c r="K162" s="24"/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</row>
    <row r="163" spans="1:31" x14ac:dyDescent="0.45">
      <c r="A163" s="28" t="s">
        <v>1200</v>
      </c>
      <c r="B163" s="5" t="s">
        <v>58</v>
      </c>
      <c r="C163" s="5" t="s">
        <v>43</v>
      </c>
      <c r="D163" s="5">
        <v>2</v>
      </c>
      <c r="E163" s="5" t="s">
        <v>1160</v>
      </c>
      <c r="K163" s="24">
        <f>INDEX(Mitigation_Industry!K:K,MATCH($A163,Mitigation_Industry!$H:$H,0))</f>
        <v>0</v>
      </c>
      <c r="L163" s="24">
        <f>INDEX(Mitigation_Industry!L:L,MATCH($A163,Mitigation_Industry!$H:$H,0))</f>
        <v>0</v>
      </c>
      <c r="M163" s="24">
        <f>INDEX(Mitigation_Industry!M:M,MATCH($A163,Mitigation_Industry!$H:$H,0))</f>
        <v>0</v>
      </c>
      <c r="N163" s="24">
        <f>INDEX(Mitigation_Industry!N:N,MATCH($A163,Mitigation_Industry!$H:$H,0))</f>
        <v>0</v>
      </c>
      <c r="O163" s="24">
        <f>INDEX(Mitigation_Industry!O:O,MATCH($A163,Mitigation_Industry!$H:$H,0))</f>
        <v>0</v>
      </c>
      <c r="P163" s="24">
        <f>INDEX(Mitigation_Industry!P:P,MATCH($A163,Mitigation_Industry!$H:$H,0))</f>
        <v>0</v>
      </c>
      <c r="Q163" s="24">
        <f>INDEX(Mitigation_Industry!Q:Q,MATCH($A163,Mitigation_Industry!$H:$H,0))</f>
        <v>0</v>
      </c>
      <c r="R163" s="24">
        <f>INDEX(Mitigation_Industry!R:R,MATCH($A163,Mitigation_Industry!$H:$H,0))</f>
        <v>0</v>
      </c>
      <c r="S163" s="24">
        <f>INDEX(Mitigation_Industry!S:S,MATCH($A163,Mitigation_Industry!$H:$H,0))</f>
        <v>0</v>
      </c>
      <c r="T163" s="24">
        <f>INDEX(Mitigation_Industry!T:T,MATCH($A163,Mitigation_Industry!$H:$H,0))</f>
        <v>0</v>
      </c>
      <c r="U163" s="24">
        <f>INDEX(Mitigation_Industry!U:U,MATCH($A163,Mitigation_Industry!$H:$H,0))</f>
        <v>0</v>
      </c>
      <c r="V163" s="24">
        <f>INDEX(Mitigation_Industry!V:V,MATCH($A163,Mitigation_Industry!$H:$H,0))</f>
        <v>0</v>
      </c>
      <c r="W163" s="24">
        <f>INDEX(Mitigation_Industry!W:W,MATCH($A163,Mitigation_Industry!$H:$H,0))</f>
        <v>0</v>
      </c>
      <c r="X163" s="24">
        <f>INDEX(Mitigation_Industry!X:X,MATCH($A163,Mitigation_Industry!$H:$H,0))</f>
        <v>0</v>
      </c>
      <c r="Y163" s="24">
        <f>INDEX(Mitigation_Industry!Y:Y,MATCH($A163,Mitigation_Industry!$H:$H,0))</f>
        <v>0</v>
      </c>
      <c r="Z163" s="24">
        <f>INDEX(Mitigation_Industry!Z:Z,MATCH($A163,Mitigation_Industry!$H:$H,0))</f>
        <v>0</v>
      </c>
      <c r="AA163" s="24">
        <f>INDEX(Mitigation_Industry!AA:AA,MATCH($A163,Mitigation_Industry!$H:$H,0))</f>
        <v>0</v>
      </c>
      <c r="AB163" s="24">
        <f>INDEX(Mitigation_Industry!AB:AB,MATCH($A163,Mitigation_Industry!$H:$H,0))</f>
        <v>0</v>
      </c>
      <c r="AC163" s="24">
        <f>INDEX(Mitigation_Industry!AC:AC,MATCH($A163,Mitigation_Industry!$H:$H,0))</f>
        <v>0</v>
      </c>
      <c r="AD163" s="24">
        <f>INDEX(Mitigation_Industry!AD:AD,MATCH($A163,Mitigation_Industry!$H:$H,0))</f>
        <v>0</v>
      </c>
      <c r="AE163" s="24">
        <f>INDEX(Mitigation_Industry!AE:AE,MATCH($A163,Mitigation_Industry!$H:$H,0))</f>
        <v>0</v>
      </c>
    </row>
    <row r="164" spans="1:31" x14ac:dyDescent="0.45">
      <c r="A164" s="28" t="s">
        <v>1200</v>
      </c>
      <c r="B164" s="5" t="s">
        <v>58</v>
      </c>
      <c r="C164" s="5" t="s">
        <v>43</v>
      </c>
      <c r="D164" s="5">
        <v>2</v>
      </c>
      <c r="E164" s="2" t="s">
        <v>1161</v>
      </c>
      <c r="F164" s="31">
        <f>MAX(MAX(L164:AE164),-MIN(L164:AE164))</f>
        <v>0</v>
      </c>
      <c r="K164" s="32">
        <f t="shared" ref="K164:AE164" si="39">IF(ISNUMBER(K162),IF(ISNUMBER(K163),K163-K162,999999),0)</f>
        <v>0</v>
      </c>
      <c r="L164" s="32">
        <f t="shared" si="39"/>
        <v>0</v>
      </c>
      <c r="M164" s="32">
        <f t="shared" si="39"/>
        <v>0</v>
      </c>
      <c r="N164" s="32">
        <f t="shared" si="39"/>
        <v>0</v>
      </c>
      <c r="O164" s="32">
        <f t="shared" si="39"/>
        <v>0</v>
      </c>
      <c r="P164" s="32">
        <f t="shared" si="39"/>
        <v>0</v>
      </c>
      <c r="Q164" s="32">
        <f t="shared" si="39"/>
        <v>0</v>
      </c>
      <c r="R164" s="32">
        <f t="shared" si="39"/>
        <v>0</v>
      </c>
      <c r="S164" s="32">
        <f t="shared" si="39"/>
        <v>0</v>
      </c>
      <c r="T164" s="32">
        <f t="shared" si="39"/>
        <v>0</v>
      </c>
      <c r="U164" s="32">
        <f t="shared" si="39"/>
        <v>0</v>
      </c>
      <c r="V164" s="32">
        <f t="shared" si="39"/>
        <v>0</v>
      </c>
      <c r="W164" s="32">
        <f t="shared" si="39"/>
        <v>0</v>
      </c>
      <c r="X164" s="32">
        <f t="shared" si="39"/>
        <v>0</v>
      </c>
      <c r="Y164" s="32">
        <f t="shared" si="39"/>
        <v>0</v>
      </c>
      <c r="Z164" s="32">
        <f t="shared" si="39"/>
        <v>0</v>
      </c>
      <c r="AA164" s="32">
        <f t="shared" si="39"/>
        <v>0</v>
      </c>
      <c r="AB164" s="32">
        <f t="shared" si="39"/>
        <v>0</v>
      </c>
      <c r="AC164" s="32">
        <f t="shared" si="39"/>
        <v>0</v>
      </c>
      <c r="AD164" s="32">
        <f t="shared" si="39"/>
        <v>0</v>
      </c>
      <c r="AE164" s="32">
        <f t="shared" si="39"/>
        <v>0</v>
      </c>
    </row>
    <row r="166" spans="1:31" x14ac:dyDescent="0.45">
      <c r="A166" s="28" t="s">
        <v>1201</v>
      </c>
      <c r="B166" s="5" t="s">
        <v>60</v>
      </c>
      <c r="C166" s="5" t="s">
        <v>43</v>
      </c>
      <c r="D166" s="5">
        <v>2</v>
      </c>
      <c r="E166" s="5" t="s">
        <v>1159</v>
      </c>
      <c r="K166" s="24"/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</row>
    <row r="167" spans="1:31" x14ac:dyDescent="0.45">
      <c r="A167" s="28" t="s">
        <v>1201</v>
      </c>
      <c r="B167" s="5" t="s">
        <v>60</v>
      </c>
      <c r="C167" s="5" t="s">
        <v>43</v>
      </c>
      <c r="D167" s="5">
        <v>2</v>
      </c>
      <c r="E167" s="5" t="s">
        <v>1160</v>
      </c>
      <c r="K167" s="24">
        <f>INDEX(Mitigation_Industry!K:K,MATCH($A167,Mitigation_Industry!$H:$H,0))</f>
        <v>0</v>
      </c>
      <c r="L167" s="24">
        <f>INDEX(Mitigation_Industry!L:L,MATCH($A167,Mitigation_Industry!$H:$H,0))</f>
        <v>0</v>
      </c>
      <c r="M167" s="24">
        <f>INDEX(Mitigation_Industry!M:M,MATCH($A167,Mitigation_Industry!$H:$H,0))</f>
        <v>0</v>
      </c>
      <c r="N167" s="24">
        <f>INDEX(Mitigation_Industry!N:N,MATCH($A167,Mitigation_Industry!$H:$H,0))</f>
        <v>0</v>
      </c>
      <c r="O167" s="24">
        <f>INDEX(Mitigation_Industry!O:O,MATCH($A167,Mitigation_Industry!$H:$H,0))</f>
        <v>0</v>
      </c>
      <c r="P167" s="24">
        <f>INDEX(Mitigation_Industry!P:P,MATCH($A167,Mitigation_Industry!$H:$H,0))</f>
        <v>0</v>
      </c>
      <c r="Q167" s="24">
        <f>INDEX(Mitigation_Industry!Q:Q,MATCH($A167,Mitigation_Industry!$H:$H,0))</f>
        <v>0</v>
      </c>
      <c r="R167" s="24">
        <f>INDEX(Mitigation_Industry!R:R,MATCH($A167,Mitigation_Industry!$H:$H,0))</f>
        <v>0</v>
      </c>
      <c r="S167" s="24">
        <f>INDEX(Mitigation_Industry!S:S,MATCH($A167,Mitigation_Industry!$H:$H,0))</f>
        <v>0</v>
      </c>
      <c r="T167" s="24">
        <f>INDEX(Mitigation_Industry!T:T,MATCH($A167,Mitigation_Industry!$H:$H,0))</f>
        <v>0</v>
      </c>
      <c r="U167" s="24">
        <f>INDEX(Mitigation_Industry!U:U,MATCH($A167,Mitigation_Industry!$H:$H,0))</f>
        <v>0</v>
      </c>
      <c r="V167" s="24">
        <f>INDEX(Mitigation_Industry!V:V,MATCH($A167,Mitigation_Industry!$H:$H,0))</f>
        <v>0</v>
      </c>
      <c r="W167" s="24">
        <f>INDEX(Mitigation_Industry!W:W,MATCH($A167,Mitigation_Industry!$H:$H,0))</f>
        <v>0</v>
      </c>
      <c r="X167" s="24">
        <f>INDEX(Mitigation_Industry!X:X,MATCH($A167,Mitigation_Industry!$H:$H,0))</f>
        <v>0</v>
      </c>
      <c r="Y167" s="24">
        <f>INDEX(Mitigation_Industry!Y:Y,MATCH($A167,Mitigation_Industry!$H:$H,0))</f>
        <v>0</v>
      </c>
      <c r="Z167" s="24">
        <f>INDEX(Mitigation_Industry!Z:Z,MATCH($A167,Mitigation_Industry!$H:$H,0))</f>
        <v>0</v>
      </c>
      <c r="AA167" s="24">
        <f>INDEX(Mitigation_Industry!AA:AA,MATCH($A167,Mitigation_Industry!$H:$H,0))</f>
        <v>0</v>
      </c>
      <c r="AB167" s="24">
        <f>INDEX(Mitigation_Industry!AB:AB,MATCH($A167,Mitigation_Industry!$H:$H,0))</f>
        <v>0</v>
      </c>
      <c r="AC167" s="24">
        <f>INDEX(Mitigation_Industry!AC:AC,MATCH($A167,Mitigation_Industry!$H:$H,0))</f>
        <v>0</v>
      </c>
      <c r="AD167" s="24">
        <f>INDEX(Mitigation_Industry!AD:AD,MATCH($A167,Mitigation_Industry!$H:$H,0))</f>
        <v>0</v>
      </c>
      <c r="AE167" s="24">
        <f>INDEX(Mitigation_Industry!AE:AE,MATCH($A167,Mitigation_Industry!$H:$H,0))</f>
        <v>0</v>
      </c>
    </row>
    <row r="168" spans="1:31" x14ac:dyDescent="0.45">
      <c r="A168" s="28" t="s">
        <v>1201</v>
      </c>
      <c r="B168" s="5" t="s">
        <v>60</v>
      </c>
      <c r="C168" s="5" t="s">
        <v>43</v>
      </c>
      <c r="D168" s="5">
        <v>2</v>
      </c>
      <c r="E168" s="2" t="s">
        <v>1161</v>
      </c>
      <c r="F168" s="31">
        <f>MAX(MAX(L168:AE168),-MIN(L168:AE168))</f>
        <v>0</v>
      </c>
      <c r="K168" s="32">
        <f t="shared" ref="K168:AE168" si="40">IF(ISNUMBER(K166),IF(ISNUMBER(K167),K167-K166,999999),0)</f>
        <v>0</v>
      </c>
      <c r="L168" s="32">
        <f t="shared" si="40"/>
        <v>0</v>
      </c>
      <c r="M168" s="32">
        <f t="shared" si="40"/>
        <v>0</v>
      </c>
      <c r="N168" s="32">
        <f t="shared" si="40"/>
        <v>0</v>
      </c>
      <c r="O168" s="32">
        <f t="shared" si="40"/>
        <v>0</v>
      </c>
      <c r="P168" s="32">
        <f t="shared" si="40"/>
        <v>0</v>
      </c>
      <c r="Q168" s="32">
        <f t="shared" si="40"/>
        <v>0</v>
      </c>
      <c r="R168" s="32">
        <f t="shared" si="40"/>
        <v>0</v>
      </c>
      <c r="S168" s="32">
        <f t="shared" si="40"/>
        <v>0</v>
      </c>
      <c r="T168" s="32">
        <f t="shared" si="40"/>
        <v>0</v>
      </c>
      <c r="U168" s="32">
        <f t="shared" si="40"/>
        <v>0</v>
      </c>
      <c r="V168" s="32">
        <f t="shared" si="40"/>
        <v>0</v>
      </c>
      <c r="W168" s="32">
        <f t="shared" si="40"/>
        <v>0</v>
      </c>
      <c r="X168" s="32">
        <f t="shared" si="40"/>
        <v>0</v>
      </c>
      <c r="Y168" s="32">
        <f t="shared" si="40"/>
        <v>0</v>
      </c>
      <c r="Z168" s="32">
        <f t="shared" si="40"/>
        <v>0</v>
      </c>
      <c r="AA168" s="32">
        <f t="shared" si="40"/>
        <v>0</v>
      </c>
      <c r="AB168" s="32">
        <f t="shared" si="40"/>
        <v>0</v>
      </c>
      <c r="AC168" s="32">
        <f t="shared" si="40"/>
        <v>0</v>
      </c>
      <c r="AD168" s="32">
        <f t="shared" si="40"/>
        <v>0</v>
      </c>
      <c r="AE168" s="32">
        <f t="shared" si="40"/>
        <v>0</v>
      </c>
    </row>
    <row r="170" spans="1:31" x14ac:dyDescent="0.45">
      <c r="A170" s="28" t="s">
        <v>1202</v>
      </c>
      <c r="B170" s="5" t="s">
        <v>62</v>
      </c>
      <c r="C170" s="5" t="s">
        <v>43</v>
      </c>
      <c r="D170" s="5">
        <v>2</v>
      </c>
      <c r="E170" s="5" t="s">
        <v>1159</v>
      </c>
      <c r="K170" s="24"/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</row>
    <row r="171" spans="1:31" x14ac:dyDescent="0.45">
      <c r="A171" s="28" t="s">
        <v>1202</v>
      </c>
      <c r="B171" s="5" t="s">
        <v>62</v>
      </c>
      <c r="C171" s="5" t="s">
        <v>43</v>
      </c>
      <c r="D171" s="5">
        <v>2</v>
      </c>
      <c r="E171" s="5" t="s">
        <v>1160</v>
      </c>
      <c r="K171" s="24">
        <f>INDEX(Mitigation_Industry!K:K,MATCH($A171,Mitigation_Industry!$H:$H,0))</f>
        <v>0</v>
      </c>
      <c r="L171" s="24">
        <f>INDEX(Mitigation_Industry!L:L,MATCH($A171,Mitigation_Industry!$H:$H,0))</f>
        <v>0</v>
      </c>
      <c r="M171" s="24">
        <f>INDEX(Mitigation_Industry!M:M,MATCH($A171,Mitigation_Industry!$H:$H,0))</f>
        <v>0</v>
      </c>
      <c r="N171" s="24">
        <f>INDEX(Mitigation_Industry!N:N,MATCH($A171,Mitigation_Industry!$H:$H,0))</f>
        <v>0</v>
      </c>
      <c r="O171" s="24">
        <f>INDEX(Mitigation_Industry!O:O,MATCH($A171,Mitigation_Industry!$H:$H,0))</f>
        <v>0</v>
      </c>
      <c r="P171" s="24">
        <f>INDEX(Mitigation_Industry!P:P,MATCH($A171,Mitigation_Industry!$H:$H,0))</f>
        <v>0</v>
      </c>
      <c r="Q171" s="24">
        <f>INDEX(Mitigation_Industry!Q:Q,MATCH($A171,Mitigation_Industry!$H:$H,0))</f>
        <v>0</v>
      </c>
      <c r="R171" s="24">
        <f>INDEX(Mitigation_Industry!R:R,MATCH($A171,Mitigation_Industry!$H:$H,0))</f>
        <v>0</v>
      </c>
      <c r="S171" s="24">
        <f>INDEX(Mitigation_Industry!S:S,MATCH($A171,Mitigation_Industry!$H:$H,0))</f>
        <v>0</v>
      </c>
      <c r="T171" s="24">
        <f>INDEX(Mitigation_Industry!T:T,MATCH($A171,Mitigation_Industry!$H:$H,0))</f>
        <v>0</v>
      </c>
      <c r="U171" s="24">
        <f>INDEX(Mitigation_Industry!U:U,MATCH($A171,Mitigation_Industry!$H:$H,0))</f>
        <v>0</v>
      </c>
      <c r="V171" s="24">
        <f>INDEX(Mitigation_Industry!V:V,MATCH($A171,Mitigation_Industry!$H:$H,0))</f>
        <v>0</v>
      </c>
      <c r="W171" s="24">
        <f>INDEX(Mitigation_Industry!W:W,MATCH($A171,Mitigation_Industry!$H:$H,0))</f>
        <v>0</v>
      </c>
      <c r="X171" s="24">
        <f>INDEX(Mitigation_Industry!X:X,MATCH($A171,Mitigation_Industry!$H:$H,0))</f>
        <v>0</v>
      </c>
      <c r="Y171" s="24">
        <f>INDEX(Mitigation_Industry!Y:Y,MATCH($A171,Mitigation_Industry!$H:$H,0))</f>
        <v>0</v>
      </c>
      <c r="Z171" s="24">
        <f>INDEX(Mitigation_Industry!Z:Z,MATCH($A171,Mitigation_Industry!$H:$H,0))</f>
        <v>0</v>
      </c>
      <c r="AA171" s="24">
        <f>INDEX(Mitigation_Industry!AA:AA,MATCH($A171,Mitigation_Industry!$H:$H,0))</f>
        <v>0</v>
      </c>
      <c r="AB171" s="24">
        <f>INDEX(Mitigation_Industry!AB:AB,MATCH($A171,Mitigation_Industry!$H:$H,0))</f>
        <v>0</v>
      </c>
      <c r="AC171" s="24">
        <f>INDEX(Mitigation_Industry!AC:AC,MATCH($A171,Mitigation_Industry!$H:$H,0))</f>
        <v>0</v>
      </c>
      <c r="AD171" s="24">
        <f>INDEX(Mitigation_Industry!AD:AD,MATCH($A171,Mitigation_Industry!$H:$H,0))</f>
        <v>0</v>
      </c>
      <c r="AE171" s="24">
        <f>INDEX(Mitigation_Industry!AE:AE,MATCH($A171,Mitigation_Industry!$H:$H,0))</f>
        <v>0</v>
      </c>
    </row>
    <row r="172" spans="1:31" x14ac:dyDescent="0.45">
      <c r="A172" s="28" t="s">
        <v>1202</v>
      </c>
      <c r="B172" s="5" t="s">
        <v>62</v>
      </c>
      <c r="C172" s="5" t="s">
        <v>43</v>
      </c>
      <c r="D172" s="5">
        <v>2</v>
      </c>
      <c r="E172" s="2" t="s">
        <v>1161</v>
      </c>
      <c r="F172" s="31">
        <f>MAX(MAX(L172:AE172),-MIN(L172:AE172))</f>
        <v>0</v>
      </c>
      <c r="K172" s="32">
        <f t="shared" ref="K172:AE172" si="41">IF(ISNUMBER(K170),IF(ISNUMBER(K171),K171-K170,999999),0)</f>
        <v>0</v>
      </c>
      <c r="L172" s="32">
        <f t="shared" si="41"/>
        <v>0</v>
      </c>
      <c r="M172" s="32">
        <f t="shared" si="41"/>
        <v>0</v>
      </c>
      <c r="N172" s="32">
        <f t="shared" si="41"/>
        <v>0</v>
      </c>
      <c r="O172" s="32">
        <f t="shared" si="41"/>
        <v>0</v>
      </c>
      <c r="P172" s="32">
        <f t="shared" si="41"/>
        <v>0</v>
      </c>
      <c r="Q172" s="32">
        <f t="shared" si="41"/>
        <v>0</v>
      </c>
      <c r="R172" s="32">
        <f t="shared" si="41"/>
        <v>0</v>
      </c>
      <c r="S172" s="32">
        <f t="shared" si="41"/>
        <v>0</v>
      </c>
      <c r="T172" s="32">
        <f t="shared" si="41"/>
        <v>0</v>
      </c>
      <c r="U172" s="32">
        <f t="shared" si="41"/>
        <v>0</v>
      </c>
      <c r="V172" s="32">
        <f t="shared" si="41"/>
        <v>0</v>
      </c>
      <c r="W172" s="32">
        <f t="shared" si="41"/>
        <v>0</v>
      </c>
      <c r="X172" s="32">
        <f t="shared" si="41"/>
        <v>0</v>
      </c>
      <c r="Y172" s="32">
        <f t="shared" si="41"/>
        <v>0</v>
      </c>
      <c r="Z172" s="32">
        <f t="shared" si="41"/>
        <v>0</v>
      </c>
      <c r="AA172" s="32">
        <f t="shared" si="41"/>
        <v>0</v>
      </c>
      <c r="AB172" s="32">
        <f t="shared" si="41"/>
        <v>0</v>
      </c>
      <c r="AC172" s="32">
        <f t="shared" si="41"/>
        <v>0</v>
      </c>
      <c r="AD172" s="32">
        <f t="shared" si="41"/>
        <v>0</v>
      </c>
      <c r="AE172" s="32">
        <f t="shared" si="41"/>
        <v>0</v>
      </c>
    </row>
    <row r="174" spans="1:31" x14ac:dyDescent="0.45">
      <c r="A174" s="28" t="s">
        <v>1203</v>
      </c>
      <c r="B174" s="5" t="s">
        <v>64</v>
      </c>
      <c r="C174" s="5" t="s">
        <v>43</v>
      </c>
      <c r="D174" s="5">
        <v>2</v>
      </c>
      <c r="E174" s="5" t="s">
        <v>1159</v>
      </c>
      <c r="K174" s="24"/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</row>
    <row r="175" spans="1:31" x14ac:dyDescent="0.45">
      <c r="A175" s="28" t="s">
        <v>1203</v>
      </c>
      <c r="B175" s="5" t="s">
        <v>64</v>
      </c>
      <c r="C175" s="5" t="s">
        <v>43</v>
      </c>
      <c r="D175" s="5">
        <v>2</v>
      </c>
      <c r="E175" s="5" t="s">
        <v>1160</v>
      </c>
      <c r="K175" s="24">
        <f>INDEX(Mitigation_Industry!K:K,MATCH($A175,Mitigation_Industry!$H:$H,0))</f>
        <v>0</v>
      </c>
      <c r="L175" s="24">
        <f>INDEX(Mitigation_Industry!L:L,MATCH($A175,Mitigation_Industry!$H:$H,0))</f>
        <v>0</v>
      </c>
      <c r="M175" s="24">
        <f>INDEX(Mitigation_Industry!M:M,MATCH($A175,Mitigation_Industry!$H:$H,0))</f>
        <v>0</v>
      </c>
      <c r="N175" s="24">
        <f>INDEX(Mitigation_Industry!N:N,MATCH($A175,Mitigation_Industry!$H:$H,0))</f>
        <v>0</v>
      </c>
      <c r="O175" s="24">
        <f>INDEX(Mitigation_Industry!O:O,MATCH($A175,Mitigation_Industry!$H:$H,0))</f>
        <v>0</v>
      </c>
      <c r="P175" s="24">
        <f>INDEX(Mitigation_Industry!P:P,MATCH($A175,Mitigation_Industry!$H:$H,0))</f>
        <v>0</v>
      </c>
      <c r="Q175" s="24">
        <f>INDEX(Mitigation_Industry!Q:Q,MATCH($A175,Mitigation_Industry!$H:$H,0))</f>
        <v>0</v>
      </c>
      <c r="R175" s="24">
        <f>INDEX(Mitigation_Industry!R:R,MATCH($A175,Mitigation_Industry!$H:$H,0))</f>
        <v>0</v>
      </c>
      <c r="S175" s="24">
        <f>INDEX(Mitigation_Industry!S:S,MATCH($A175,Mitigation_Industry!$H:$H,0))</f>
        <v>0</v>
      </c>
      <c r="T175" s="24">
        <f>INDEX(Mitigation_Industry!T:T,MATCH($A175,Mitigation_Industry!$H:$H,0))</f>
        <v>0</v>
      </c>
      <c r="U175" s="24">
        <f>INDEX(Mitigation_Industry!U:U,MATCH($A175,Mitigation_Industry!$H:$H,0))</f>
        <v>0</v>
      </c>
      <c r="V175" s="24">
        <f>INDEX(Mitigation_Industry!V:V,MATCH($A175,Mitigation_Industry!$H:$H,0))</f>
        <v>0</v>
      </c>
      <c r="W175" s="24">
        <f>INDEX(Mitigation_Industry!W:W,MATCH($A175,Mitigation_Industry!$H:$H,0))</f>
        <v>0</v>
      </c>
      <c r="X175" s="24">
        <f>INDEX(Mitigation_Industry!X:X,MATCH($A175,Mitigation_Industry!$H:$H,0))</f>
        <v>0</v>
      </c>
      <c r="Y175" s="24">
        <f>INDEX(Mitigation_Industry!Y:Y,MATCH($A175,Mitigation_Industry!$H:$H,0))</f>
        <v>0</v>
      </c>
      <c r="Z175" s="24">
        <f>INDEX(Mitigation_Industry!Z:Z,MATCH($A175,Mitigation_Industry!$H:$H,0))</f>
        <v>0</v>
      </c>
      <c r="AA175" s="24">
        <f>INDEX(Mitigation_Industry!AA:AA,MATCH($A175,Mitigation_Industry!$H:$H,0))</f>
        <v>0</v>
      </c>
      <c r="AB175" s="24">
        <f>INDEX(Mitigation_Industry!AB:AB,MATCH($A175,Mitigation_Industry!$H:$H,0))</f>
        <v>0</v>
      </c>
      <c r="AC175" s="24">
        <f>INDEX(Mitigation_Industry!AC:AC,MATCH($A175,Mitigation_Industry!$H:$H,0))</f>
        <v>0</v>
      </c>
      <c r="AD175" s="24">
        <f>INDEX(Mitigation_Industry!AD:AD,MATCH($A175,Mitigation_Industry!$H:$H,0))</f>
        <v>0</v>
      </c>
      <c r="AE175" s="24">
        <f>INDEX(Mitigation_Industry!AE:AE,MATCH($A175,Mitigation_Industry!$H:$H,0))</f>
        <v>0</v>
      </c>
    </row>
    <row r="176" spans="1:31" x14ac:dyDescent="0.45">
      <c r="A176" s="28" t="s">
        <v>1203</v>
      </c>
      <c r="B176" s="5" t="s">
        <v>64</v>
      </c>
      <c r="C176" s="5" t="s">
        <v>43</v>
      </c>
      <c r="D176" s="5">
        <v>2</v>
      </c>
      <c r="E176" s="2" t="s">
        <v>1161</v>
      </c>
      <c r="F176" s="31">
        <f>MAX(MAX(L176:AE176),-MIN(L176:AE176))</f>
        <v>0</v>
      </c>
      <c r="K176" s="32">
        <f t="shared" ref="K176:AE176" si="42">IF(ISNUMBER(K174),IF(ISNUMBER(K175),K175-K174,999999),0)</f>
        <v>0</v>
      </c>
      <c r="L176" s="32">
        <f t="shared" si="42"/>
        <v>0</v>
      </c>
      <c r="M176" s="32">
        <f t="shared" si="42"/>
        <v>0</v>
      </c>
      <c r="N176" s="32">
        <f t="shared" si="42"/>
        <v>0</v>
      </c>
      <c r="O176" s="32">
        <f t="shared" si="42"/>
        <v>0</v>
      </c>
      <c r="P176" s="32">
        <f t="shared" si="42"/>
        <v>0</v>
      </c>
      <c r="Q176" s="32">
        <f t="shared" si="42"/>
        <v>0</v>
      </c>
      <c r="R176" s="32">
        <f t="shared" si="42"/>
        <v>0</v>
      </c>
      <c r="S176" s="32">
        <f t="shared" si="42"/>
        <v>0</v>
      </c>
      <c r="T176" s="32">
        <f t="shared" si="42"/>
        <v>0</v>
      </c>
      <c r="U176" s="32">
        <f t="shared" si="42"/>
        <v>0</v>
      </c>
      <c r="V176" s="32">
        <f t="shared" si="42"/>
        <v>0</v>
      </c>
      <c r="W176" s="32">
        <f t="shared" si="42"/>
        <v>0</v>
      </c>
      <c r="X176" s="32">
        <f t="shared" si="42"/>
        <v>0</v>
      </c>
      <c r="Y176" s="32">
        <f t="shared" si="42"/>
        <v>0</v>
      </c>
      <c r="Z176" s="32">
        <f t="shared" si="42"/>
        <v>0</v>
      </c>
      <c r="AA176" s="32">
        <f t="shared" si="42"/>
        <v>0</v>
      </c>
      <c r="AB176" s="32">
        <f t="shared" si="42"/>
        <v>0</v>
      </c>
      <c r="AC176" s="32">
        <f t="shared" si="42"/>
        <v>0</v>
      </c>
      <c r="AD176" s="32">
        <f t="shared" si="42"/>
        <v>0</v>
      </c>
      <c r="AE176" s="32">
        <f t="shared" si="42"/>
        <v>0</v>
      </c>
    </row>
    <row r="178" spans="1:31" x14ac:dyDescent="0.45">
      <c r="A178" s="28" t="s">
        <v>1204</v>
      </c>
      <c r="B178" s="5" t="s">
        <v>67</v>
      </c>
      <c r="C178" s="5" t="s">
        <v>43</v>
      </c>
      <c r="D178" s="5">
        <v>2</v>
      </c>
      <c r="E178" s="5" t="s">
        <v>1159</v>
      </c>
      <c r="K178" s="24"/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</row>
    <row r="179" spans="1:31" x14ac:dyDescent="0.45">
      <c r="A179" s="28" t="s">
        <v>1204</v>
      </c>
      <c r="B179" s="5" t="s">
        <v>67</v>
      </c>
      <c r="C179" s="5" t="s">
        <v>43</v>
      </c>
      <c r="D179" s="5">
        <v>2</v>
      </c>
      <c r="E179" s="5" t="s">
        <v>1160</v>
      </c>
      <c r="K179" s="24">
        <f>INDEX(Mitigation_Industry!K:K,MATCH($A179,Mitigation_Industry!$H:$H,0))</f>
        <v>0</v>
      </c>
      <c r="L179" s="24">
        <f>INDEX(Mitigation_Industry!L:L,MATCH($A179,Mitigation_Industry!$H:$H,0))</f>
        <v>0</v>
      </c>
      <c r="M179" s="24">
        <f>INDEX(Mitigation_Industry!M:M,MATCH($A179,Mitigation_Industry!$H:$H,0))</f>
        <v>0</v>
      </c>
      <c r="N179" s="24">
        <f>INDEX(Mitigation_Industry!N:N,MATCH($A179,Mitigation_Industry!$H:$H,0))</f>
        <v>0</v>
      </c>
      <c r="O179" s="24">
        <f>INDEX(Mitigation_Industry!O:O,MATCH($A179,Mitigation_Industry!$H:$H,0))</f>
        <v>0</v>
      </c>
      <c r="P179" s="24">
        <f>INDEX(Mitigation_Industry!P:P,MATCH($A179,Mitigation_Industry!$H:$H,0))</f>
        <v>0</v>
      </c>
      <c r="Q179" s="24">
        <f>INDEX(Mitigation_Industry!Q:Q,MATCH($A179,Mitigation_Industry!$H:$H,0))</f>
        <v>0</v>
      </c>
      <c r="R179" s="24">
        <f>INDEX(Mitigation_Industry!R:R,MATCH($A179,Mitigation_Industry!$H:$H,0))</f>
        <v>0</v>
      </c>
      <c r="S179" s="24">
        <f>INDEX(Mitigation_Industry!S:S,MATCH($A179,Mitigation_Industry!$H:$H,0))</f>
        <v>0</v>
      </c>
      <c r="T179" s="24">
        <f>INDEX(Mitigation_Industry!T:T,MATCH($A179,Mitigation_Industry!$H:$H,0))</f>
        <v>0</v>
      </c>
      <c r="U179" s="24">
        <f>INDEX(Mitigation_Industry!U:U,MATCH($A179,Mitigation_Industry!$H:$H,0))</f>
        <v>0</v>
      </c>
      <c r="V179" s="24">
        <f>INDEX(Mitigation_Industry!V:V,MATCH($A179,Mitigation_Industry!$H:$H,0))</f>
        <v>0</v>
      </c>
      <c r="W179" s="24">
        <f>INDEX(Mitigation_Industry!W:W,MATCH($A179,Mitigation_Industry!$H:$H,0))</f>
        <v>0</v>
      </c>
      <c r="X179" s="24">
        <f>INDEX(Mitigation_Industry!X:X,MATCH($A179,Mitigation_Industry!$H:$H,0))</f>
        <v>0</v>
      </c>
      <c r="Y179" s="24">
        <f>INDEX(Mitigation_Industry!Y:Y,MATCH($A179,Mitigation_Industry!$H:$H,0))</f>
        <v>0</v>
      </c>
      <c r="Z179" s="24">
        <f>INDEX(Mitigation_Industry!Z:Z,MATCH($A179,Mitigation_Industry!$H:$H,0))</f>
        <v>0</v>
      </c>
      <c r="AA179" s="24">
        <f>INDEX(Mitigation_Industry!AA:AA,MATCH($A179,Mitigation_Industry!$H:$H,0))</f>
        <v>0</v>
      </c>
      <c r="AB179" s="24">
        <f>INDEX(Mitigation_Industry!AB:AB,MATCH($A179,Mitigation_Industry!$H:$H,0))</f>
        <v>0</v>
      </c>
      <c r="AC179" s="24">
        <f>INDEX(Mitigation_Industry!AC:AC,MATCH($A179,Mitigation_Industry!$H:$H,0))</f>
        <v>0</v>
      </c>
      <c r="AD179" s="24">
        <f>INDEX(Mitigation_Industry!AD:AD,MATCH($A179,Mitigation_Industry!$H:$H,0))</f>
        <v>0</v>
      </c>
      <c r="AE179" s="24">
        <f>INDEX(Mitigation_Industry!AE:AE,MATCH($A179,Mitigation_Industry!$H:$H,0))</f>
        <v>0</v>
      </c>
    </row>
    <row r="180" spans="1:31" x14ac:dyDescent="0.45">
      <c r="A180" s="28" t="s">
        <v>1204</v>
      </c>
      <c r="B180" s="5" t="s">
        <v>67</v>
      </c>
      <c r="C180" s="5" t="s">
        <v>43</v>
      </c>
      <c r="D180" s="5">
        <v>2</v>
      </c>
      <c r="E180" s="2" t="s">
        <v>1161</v>
      </c>
      <c r="F180" s="31">
        <f>MAX(MAX(L180:AE180),-MIN(L180:AE180))</f>
        <v>0</v>
      </c>
      <c r="K180" s="32">
        <f t="shared" ref="K180:AE180" si="43">IF(ISNUMBER(K178),IF(ISNUMBER(K179),K179-K178,999999),0)</f>
        <v>0</v>
      </c>
      <c r="L180" s="32">
        <f t="shared" si="43"/>
        <v>0</v>
      </c>
      <c r="M180" s="32">
        <f t="shared" si="43"/>
        <v>0</v>
      </c>
      <c r="N180" s="32">
        <f t="shared" si="43"/>
        <v>0</v>
      </c>
      <c r="O180" s="32">
        <f t="shared" si="43"/>
        <v>0</v>
      </c>
      <c r="P180" s="32">
        <f t="shared" si="43"/>
        <v>0</v>
      </c>
      <c r="Q180" s="32">
        <f t="shared" si="43"/>
        <v>0</v>
      </c>
      <c r="R180" s="32">
        <f t="shared" si="43"/>
        <v>0</v>
      </c>
      <c r="S180" s="32">
        <f t="shared" si="43"/>
        <v>0</v>
      </c>
      <c r="T180" s="32">
        <f t="shared" si="43"/>
        <v>0</v>
      </c>
      <c r="U180" s="32">
        <f t="shared" si="43"/>
        <v>0</v>
      </c>
      <c r="V180" s="32">
        <f t="shared" si="43"/>
        <v>0</v>
      </c>
      <c r="W180" s="32">
        <f t="shared" si="43"/>
        <v>0</v>
      </c>
      <c r="X180" s="32">
        <f t="shared" si="43"/>
        <v>0</v>
      </c>
      <c r="Y180" s="32">
        <f t="shared" si="43"/>
        <v>0</v>
      </c>
      <c r="Z180" s="32">
        <f t="shared" si="43"/>
        <v>0</v>
      </c>
      <c r="AA180" s="32">
        <f t="shared" si="43"/>
        <v>0</v>
      </c>
      <c r="AB180" s="32">
        <f t="shared" si="43"/>
        <v>0</v>
      </c>
      <c r="AC180" s="32">
        <f t="shared" si="43"/>
        <v>0</v>
      </c>
      <c r="AD180" s="32">
        <f t="shared" si="43"/>
        <v>0</v>
      </c>
      <c r="AE180" s="32">
        <f t="shared" si="43"/>
        <v>0</v>
      </c>
    </row>
    <row r="182" spans="1:31" x14ac:dyDescent="0.45">
      <c r="A182" s="28" t="s">
        <v>1205</v>
      </c>
      <c r="B182" s="5" t="s">
        <v>69</v>
      </c>
      <c r="C182" s="5" t="s">
        <v>43</v>
      </c>
      <c r="D182" s="5">
        <v>2</v>
      </c>
      <c r="E182" s="5" t="s">
        <v>1159</v>
      </c>
      <c r="K182" s="24"/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</row>
    <row r="183" spans="1:31" x14ac:dyDescent="0.45">
      <c r="A183" s="28" t="s">
        <v>1205</v>
      </c>
      <c r="B183" s="5" t="s">
        <v>69</v>
      </c>
      <c r="C183" s="5" t="s">
        <v>43</v>
      </c>
      <c r="D183" s="5">
        <v>2</v>
      </c>
      <c r="E183" s="5" t="s">
        <v>1160</v>
      </c>
      <c r="K183" s="24">
        <f>INDEX(Mitigation_Industry!K:K,MATCH($A183,Mitigation_Industry!$H:$H,0))</f>
        <v>0</v>
      </c>
      <c r="L183" s="24">
        <f>INDEX(Mitigation_Industry!L:L,MATCH($A183,Mitigation_Industry!$H:$H,0))</f>
        <v>0</v>
      </c>
      <c r="M183" s="24">
        <f>INDEX(Mitigation_Industry!M:M,MATCH($A183,Mitigation_Industry!$H:$H,0))</f>
        <v>0</v>
      </c>
      <c r="N183" s="24">
        <f>INDEX(Mitigation_Industry!N:N,MATCH($A183,Mitigation_Industry!$H:$H,0))</f>
        <v>0</v>
      </c>
      <c r="O183" s="24">
        <f>INDEX(Mitigation_Industry!O:O,MATCH($A183,Mitigation_Industry!$H:$H,0))</f>
        <v>0</v>
      </c>
      <c r="P183" s="24">
        <f>INDEX(Mitigation_Industry!P:P,MATCH($A183,Mitigation_Industry!$H:$H,0))</f>
        <v>0</v>
      </c>
      <c r="Q183" s="24">
        <f>INDEX(Mitigation_Industry!Q:Q,MATCH($A183,Mitigation_Industry!$H:$H,0))</f>
        <v>0</v>
      </c>
      <c r="R183" s="24">
        <f>INDEX(Mitigation_Industry!R:R,MATCH($A183,Mitigation_Industry!$H:$H,0))</f>
        <v>0</v>
      </c>
      <c r="S183" s="24">
        <f>INDEX(Mitigation_Industry!S:S,MATCH($A183,Mitigation_Industry!$H:$H,0))</f>
        <v>0</v>
      </c>
      <c r="T183" s="24">
        <f>INDEX(Mitigation_Industry!T:T,MATCH($A183,Mitigation_Industry!$H:$H,0))</f>
        <v>0</v>
      </c>
      <c r="U183" s="24">
        <f>INDEX(Mitigation_Industry!U:U,MATCH($A183,Mitigation_Industry!$H:$H,0))</f>
        <v>0</v>
      </c>
      <c r="V183" s="24">
        <f>INDEX(Mitigation_Industry!V:V,MATCH($A183,Mitigation_Industry!$H:$H,0))</f>
        <v>0</v>
      </c>
      <c r="W183" s="24">
        <f>INDEX(Mitigation_Industry!W:W,MATCH($A183,Mitigation_Industry!$H:$H,0))</f>
        <v>0</v>
      </c>
      <c r="X183" s="24">
        <f>INDEX(Mitigation_Industry!X:X,MATCH($A183,Mitigation_Industry!$H:$H,0))</f>
        <v>0</v>
      </c>
      <c r="Y183" s="24">
        <f>INDEX(Mitigation_Industry!Y:Y,MATCH($A183,Mitigation_Industry!$H:$H,0))</f>
        <v>0</v>
      </c>
      <c r="Z183" s="24">
        <f>INDEX(Mitigation_Industry!Z:Z,MATCH($A183,Mitigation_Industry!$H:$H,0))</f>
        <v>0</v>
      </c>
      <c r="AA183" s="24">
        <f>INDEX(Mitigation_Industry!AA:AA,MATCH($A183,Mitigation_Industry!$H:$H,0))</f>
        <v>0</v>
      </c>
      <c r="AB183" s="24">
        <f>INDEX(Mitigation_Industry!AB:AB,MATCH($A183,Mitigation_Industry!$H:$H,0))</f>
        <v>0</v>
      </c>
      <c r="AC183" s="24">
        <f>INDEX(Mitigation_Industry!AC:AC,MATCH($A183,Mitigation_Industry!$H:$H,0))</f>
        <v>0</v>
      </c>
      <c r="AD183" s="24">
        <f>INDEX(Mitigation_Industry!AD:AD,MATCH($A183,Mitigation_Industry!$H:$H,0))</f>
        <v>0</v>
      </c>
      <c r="AE183" s="24">
        <f>INDEX(Mitigation_Industry!AE:AE,MATCH($A183,Mitigation_Industry!$H:$H,0))</f>
        <v>0</v>
      </c>
    </row>
    <row r="184" spans="1:31" x14ac:dyDescent="0.45">
      <c r="A184" s="28" t="s">
        <v>1205</v>
      </c>
      <c r="B184" s="5" t="s">
        <v>69</v>
      </c>
      <c r="C184" s="5" t="s">
        <v>43</v>
      </c>
      <c r="D184" s="5">
        <v>2</v>
      </c>
      <c r="E184" s="2" t="s">
        <v>1161</v>
      </c>
      <c r="F184" s="31">
        <f>MAX(MAX(L184:AE184),-MIN(L184:AE184))</f>
        <v>0</v>
      </c>
      <c r="K184" s="32">
        <f t="shared" ref="K184:AE184" si="44">IF(ISNUMBER(K182),IF(ISNUMBER(K183),K183-K182,999999),0)</f>
        <v>0</v>
      </c>
      <c r="L184" s="32">
        <f t="shared" si="44"/>
        <v>0</v>
      </c>
      <c r="M184" s="32">
        <f t="shared" si="44"/>
        <v>0</v>
      </c>
      <c r="N184" s="32">
        <f t="shared" si="44"/>
        <v>0</v>
      </c>
      <c r="O184" s="32">
        <f t="shared" si="44"/>
        <v>0</v>
      </c>
      <c r="P184" s="32">
        <f t="shared" si="44"/>
        <v>0</v>
      </c>
      <c r="Q184" s="32">
        <f t="shared" si="44"/>
        <v>0</v>
      </c>
      <c r="R184" s="32">
        <f t="shared" si="44"/>
        <v>0</v>
      </c>
      <c r="S184" s="32">
        <f t="shared" si="44"/>
        <v>0</v>
      </c>
      <c r="T184" s="32">
        <f t="shared" si="44"/>
        <v>0</v>
      </c>
      <c r="U184" s="32">
        <f t="shared" si="44"/>
        <v>0</v>
      </c>
      <c r="V184" s="32">
        <f t="shared" si="44"/>
        <v>0</v>
      </c>
      <c r="W184" s="32">
        <f t="shared" si="44"/>
        <v>0</v>
      </c>
      <c r="X184" s="32">
        <f t="shared" si="44"/>
        <v>0</v>
      </c>
      <c r="Y184" s="32">
        <f t="shared" si="44"/>
        <v>0</v>
      </c>
      <c r="Z184" s="32">
        <f t="shared" si="44"/>
        <v>0</v>
      </c>
      <c r="AA184" s="32">
        <f t="shared" si="44"/>
        <v>0</v>
      </c>
      <c r="AB184" s="32">
        <f t="shared" si="44"/>
        <v>0</v>
      </c>
      <c r="AC184" s="32">
        <f t="shared" si="44"/>
        <v>0</v>
      </c>
      <c r="AD184" s="32">
        <f t="shared" si="44"/>
        <v>0</v>
      </c>
      <c r="AE184" s="32">
        <f t="shared" si="44"/>
        <v>0</v>
      </c>
    </row>
    <row r="186" spans="1:31" x14ac:dyDescent="0.45">
      <c r="A186" s="28" t="s">
        <v>1206</v>
      </c>
      <c r="B186" s="5" t="s">
        <v>49</v>
      </c>
      <c r="C186" s="5" t="s">
        <v>113</v>
      </c>
      <c r="D186" s="5">
        <v>2</v>
      </c>
      <c r="E186" s="5" t="s">
        <v>1159</v>
      </c>
      <c r="K186" s="24"/>
      <c r="L186" s="24">
        <v>1463.05522446279</v>
      </c>
      <c r="M186" s="24">
        <v>1191.36443625172</v>
      </c>
      <c r="N186" s="24">
        <v>1369.1779282213399</v>
      </c>
      <c r="O186" s="24">
        <v>1496.01034508212</v>
      </c>
      <c r="P186" s="24">
        <v>1463.0094084242101</v>
      </c>
      <c r="Q186" s="24">
        <v>1374.77234285246</v>
      </c>
      <c r="R186" s="24">
        <v>1322.3676037201501</v>
      </c>
      <c r="S186" s="24">
        <v>1277.4771729802801</v>
      </c>
      <c r="T186" s="24">
        <v>1237.8339324892099</v>
      </c>
      <c r="U186" s="24">
        <v>1203.5520989403699</v>
      </c>
      <c r="V186" s="24">
        <v>1171.02270062768</v>
      </c>
      <c r="W186" s="24">
        <v>1143.11583963154</v>
      </c>
      <c r="X186" s="24">
        <v>1119.17823254117</v>
      </c>
      <c r="Y186" s="24">
        <v>1098.7587442542599</v>
      </c>
      <c r="Z186" s="24">
        <v>1081.60971426986</v>
      </c>
      <c r="AA186" s="24">
        <v>1067.4268939287999</v>
      </c>
      <c r="AB186" s="24">
        <v>1055.9237026292401</v>
      </c>
      <c r="AC186" s="24">
        <v>1046.7510678916501</v>
      </c>
      <c r="AD186" s="24">
        <v>1039.61508716763</v>
      </c>
      <c r="AE186" s="24">
        <v>1034.28206273411</v>
      </c>
    </row>
    <row r="187" spans="1:31" x14ac:dyDescent="0.45">
      <c r="A187" s="28" t="s">
        <v>1206</v>
      </c>
      <c r="B187" s="5" t="s">
        <v>49</v>
      </c>
      <c r="C187" s="5" t="s">
        <v>113</v>
      </c>
      <c r="D187" s="5">
        <v>2</v>
      </c>
      <c r="E187" s="5" t="s">
        <v>1160</v>
      </c>
      <c r="K187" s="24">
        <f>INDEX(Mitigation_Industry!K:K,MATCH($A187,Mitigation_Industry!$H:$H,0))</f>
        <v>0</v>
      </c>
      <c r="L187" s="24">
        <f>INDEX(Mitigation_Industry!L:L,MATCH($A187,Mitigation_Industry!$H:$H,0))</f>
        <v>1463.05522446279</v>
      </c>
      <c r="M187" s="24">
        <f>INDEX(Mitigation_Industry!M:M,MATCH($A187,Mitigation_Industry!$H:$H,0))</f>
        <v>1191.3644362517186</v>
      </c>
      <c r="N187" s="24">
        <f>INDEX(Mitigation_Industry!N:N,MATCH($A187,Mitigation_Industry!$H:$H,0))</f>
        <v>1369.1779282213379</v>
      </c>
      <c r="O187" s="24">
        <f>INDEX(Mitigation_Industry!O:O,MATCH($A187,Mitigation_Industry!$H:$H,0))</f>
        <v>1496.0103450821184</v>
      </c>
      <c r="P187" s="24">
        <f>INDEX(Mitigation_Industry!P:P,MATCH($A187,Mitigation_Industry!$H:$H,0))</f>
        <v>1463.0094084242087</v>
      </c>
      <c r="Q187" s="24">
        <f>INDEX(Mitigation_Industry!Q:Q,MATCH($A187,Mitigation_Industry!$H:$H,0))</f>
        <v>1374.7723428524598</v>
      </c>
      <c r="R187" s="24">
        <f>INDEX(Mitigation_Industry!R:R,MATCH($A187,Mitigation_Industry!$H:$H,0))</f>
        <v>1322.3676037201524</v>
      </c>
      <c r="S187" s="24">
        <f>INDEX(Mitigation_Industry!S:S,MATCH($A187,Mitigation_Industry!$H:$H,0))</f>
        <v>1277.4771729802817</v>
      </c>
      <c r="T187" s="24">
        <f>INDEX(Mitigation_Industry!T:T,MATCH($A187,Mitigation_Industry!$H:$H,0))</f>
        <v>1237.8339324892117</v>
      </c>
      <c r="U187" s="24">
        <f>INDEX(Mitigation_Industry!U:U,MATCH($A187,Mitigation_Industry!$H:$H,0))</f>
        <v>1203.5520989403735</v>
      </c>
      <c r="V187" s="24">
        <f>INDEX(Mitigation_Industry!V:V,MATCH($A187,Mitigation_Industry!$H:$H,0))</f>
        <v>1171.0227006276741</v>
      </c>
      <c r="W187" s="24">
        <f>INDEX(Mitigation_Industry!W:W,MATCH($A187,Mitigation_Industry!$H:$H,0))</f>
        <v>1143.1158396315363</v>
      </c>
      <c r="X187" s="24">
        <f>INDEX(Mitigation_Industry!X:X,MATCH($A187,Mitigation_Industry!$H:$H,0))</f>
        <v>1119.1782325411702</v>
      </c>
      <c r="Y187" s="24">
        <f>INDEX(Mitigation_Industry!Y:Y,MATCH($A187,Mitigation_Industry!$H:$H,0))</f>
        <v>1098.7587442542565</v>
      </c>
      <c r="Z187" s="24">
        <f>INDEX(Mitigation_Industry!Z:Z,MATCH($A187,Mitigation_Industry!$H:$H,0))</f>
        <v>1081.6097142698629</v>
      </c>
      <c r="AA187" s="24">
        <f>INDEX(Mitigation_Industry!AA:AA,MATCH($A187,Mitigation_Industry!$H:$H,0))</f>
        <v>1067.4268939287992</v>
      </c>
      <c r="AB187" s="24">
        <f>INDEX(Mitigation_Industry!AB:AB,MATCH($A187,Mitigation_Industry!$H:$H,0))</f>
        <v>1055.9237026292408</v>
      </c>
      <c r="AC187" s="24">
        <f>INDEX(Mitigation_Industry!AC:AC,MATCH($A187,Mitigation_Industry!$H:$H,0))</f>
        <v>1046.7510678916517</v>
      </c>
      <c r="AD187" s="24">
        <f>INDEX(Mitigation_Industry!AD:AD,MATCH($A187,Mitigation_Industry!$H:$H,0))</f>
        <v>1039.6150871676307</v>
      </c>
      <c r="AE187" s="24">
        <f>INDEX(Mitigation_Industry!AE:AE,MATCH($A187,Mitigation_Industry!$H:$H,0))</f>
        <v>1034.2820627341093</v>
      </c>
    </row>
    <row r="188" spans="1:31" x14ac:dyDescent="0.45">
      <c r="A188" s="28" t="s">
        <v>1206</v>
      </c>
      <c r="B188" s="5" t="s">
        <v>49</v>
      </c>
      <c r="C188" s="5" t="s">
        <v>113</v>
      </c>
      <c r="D188" s="5">
        <v>2</v>
      </c>
      <c r="E188" s="2" t="s">
        <v>1161</v>
      </c>
      <c r="F188" s="31">
        <f>MAX(MAX(L188:AE188),-MIN(L188:AE188))</f>
        <v>5.9117155615240335E-12</v>
      </c>
      <c r="K188" s="32">
        <f t="shared" ref="K188:AE188" si="45">IF(ISNUMBER(K186),IF(ISNUMBER(K187),K187-K186,999999),0)</f>
        <v>0</v>
      </c>
      <c r="L188" s="32">
        <f t="shared" si="45"/>
        <v>0</v>
      </c>
      <c r="M188" s="32">
        <f t="shared" si="45"/>
        <v>-1.3642420526593924E-12</v>
      </c>
      <c r="N188" s="32">
        <f t="shared" si="45"/>
        <v>-2.0463630789890885E-12</v>
      </c>
      <c r="O188" s="32">
        <f t="shared" si="45"/>
        <v>-1.5916157281026244E-12</v>
      </c>
      <c r="P188" s="32">
        <f t="shared" si="45"/>
        <v>-1.3642420526593924E-12</v>
      </c>
      <c r="Q188" s="32">
        <f t="shared" si="45"/>
        <v>-2.2737367544323206E-13</v>
      </c>
      <c r="R188" s="32">
        <f t="shared" si="45"/>
        <v>2.2737367544323206E-12</v>
      </c>
      <c r="S188" s="32">
        <f t="shared" si="45"/>
        <v>1.5916157281026244E-12</v>
      </c>
      <c r="T188" s="32">
        <f t="shared" si="45"/>
        <v>1.8189894035458565E-12</v>
      </c>
      <c r="U188" s="32">
        <f t="shared" si="45"/>
        <v>3.637978807091713E-12</v>
      </c>
      <c r="V188" s="32">
        <f t="shared" si="45"/>
        <v>-5.9117155615240335E-12</v>
      </c>
      <c r="W188" s="32">
        <f t="shared" si="45"/>
        <v>-3.637978807091713E-12</v>
      </c>
      <c r="X188" s="32">
        <f t="shared" si="45"/>
        <v>2.2737367544323206E-13</v>
      </c>
      <c r="Y188" s="32">
        <f t="shared" si="45"/>
        <v>-3.4106051316484809E-12</v>
      </c>
      <c r="Z188" s="32">
        <f t="shared" si="45"/>
        <v>2.9558577807620168E-12</v>
      </c>
      <c r="AA188" s="32">
        <f t="shared" si="45"/>
        <v>-6.8212102632969618E-13</v>
      </c>
      <c r="AB188" s="32">
        <f t="shared" si="45"/>
        <v>6.8212102632969618E-13</v>
      </c>
      <c r="AC188" s="32">
        <f t="shared" si="45"/>
        <v>1.5916157281026244E-12</v>
      </c>
      <c r="AD188" s="32">
        <f t="shared" si="45"/>
        <v>6.8212102632969618E-13</v>
      </c>
      <c r="AE188" s="32">
        <f t="shared" si="45"/>
        <v>-6.8212102632969618E-13</v>
      </c>
    </row>
    <row r="190" spans="1:31" x14ac:dyDescent="0.45">
      <c r="A190" s="28" t="s">
        <v>1207</v>
      </c>
      <c r="B190" s="5" t="s">
        <v>53</v>
      </c>
      <c r="C190" s="5" t="s">
        <v>113</v>
      </c>
      <c r="D190" s="5">
        <v>2</v>
      </c>
      <c r="E190" s="5" t="s">
        <v>1159</v>
      </c>
      <c r="K190" s="24"/>
      <c r="L190" s="24">
        <v>1747.39153476208</v>
      </c>
      <c r="M190" s="24">
        <v>1498.9759731403999</v>
      </c>
      <c r="N190" s="24">
        <v>1678.3581605794</v>
      </c>
      <c r="O190" s="24">
        <v>1744.6824773068599</v>
      </c>
      <c r="P190" s="24">
        <v>1810.2025593297401</v>
      </c>
      <c r="Q190" s="24">
        <v>1714.65350985502</v>
      </c>
      <c r="R190" s="24">
        <v>1652.75660244085</v>
      </c>
      <c r="S190" s="24">
        <v>1600.95662788443</v>
      </c>
      <c r="T190" s="24">
        <v>1555.2682553771399</v>
      </c>
      <c r="U190" s="24">
        <v>1518.1346802877399</v>
      </c>
      <c r="V190" s="24">
        <v>1488.41386506255</v>
      </c>
      <c r="W190" s="24">
        <v>1465.26851941002</v>
      </c>
      <c r="X190" s="24">
        <v>1447.96573066975</v>
      </c>
      <c r="Y190" s="24">
        <v>1436.1054289752999</v>
      </c>
      <c r="Z190" s="24">
        <v>1429.68738532712</v>
      </c>
      <c r="AA190" s="24">
        <v>1428.4719778022099</v>
      </c>
      <c r="AB190" s="24">
        <v>1432.19085673629</v>
      </c>
      <c r="AC190" s="24">
        <v>1440.34013262946</v>
      </c>
      <c r="AD190" s="24">
        <v>1452.5016104532201</v>
      </c>
      <c r="AE190" s="24">
        <v>1468.3698881922201</v>
      </c>
    </row>
    <row r="191" spans="1:31" x14ac:dyDescent="0.45">
      <c r="A191" s="28" t="s">
        <v>1207</v>
      </c>
      <c r="B191" s="5" t="s">
        <v>53</v>
      </c>
      <c r="C191" s="5" t="s">
        <v>113</v>
      </c>
      <c r="D191" s="5">
        <v>2</v>
      </c>
      <c r="E191" s="5" t="s">
        <v>1160</v>
      </c>
      <c r="K191" s="24">
        <f>INDEX(Mitigation_Industry!K:K,MATCH($A191,Mitigation_Industry!$H:$H,0))</f>
        <v>0</v>
      </c>
      <c r="L191" s="24">
        <f>INDEX(Mitigation_Industry!L:L,MATCH($A191,Mitigation_Industry!$H:$H,0))</f>
        <v>1747.39153476208</v>
      </c>
      <c r="M191" s="24">
        <f>INDEX(Mitigation_Industry!M:M,MATCH($A191,Mitigation_Industry!$H:$H,0))</f>
        <v>1498.9759731403976</v>
      </c>
      <c r="N191" s="24">
        <f>INDEX(Mitigation_Industry!N:N,MATCH($A191,Mitigation_Industry!$H:$H,0))</f>
        <v>1678.358160579395</v>
      </c>
      <c r="O191" s="24">
        <f>INDEX(Mitigation_Industry!O:O,MATCH($A191,Mitigation_Industry!$H:$H,0))</f>
        <v>1744.6824773068638</v>
      </c>
      <c r="P191" s="24">
        <f>INDEX(Mitigation_Industry!P:P,MATCH($A191,Mitigation_Industry!$H:$H,0))</f>
        <v>1810.2025593297435</v>
      </c>
      <c r="Q191" s="24">
        <f>INDEX(Mitigation_Industry!Q:Q,MATCH($A191,Mitigation_Industry!$H:$H,0))</f>
        <v>1714.6535098550225</v>
      </c>
      <c r="R191" s="24">
        <f>INDEX(Mitigation_Industry!R:R,MATCH($A191,Mitigation_Industry!$H:$H,0))</f>
        <v>1652.7566024408457</v>
      </c>
      <c r="S191" s="24">
        <f>INDEX(Mitigation_Industry!S:S,MATCH($A191,Mitigation_Industry!$H:$H,0))</f>
        <v>1600.9566278844272</v>
      </c>
      <c r="T191" s="24">
        <f>INDEX(Mitigation_Industry!T:T,MATCH($A191,Mitigation_Industry!$H:$H,0))</f>
        <v>1555.2682553771401</v>
      </c>
      <c r="U191" s="24">
        <f>INDEX(Mitigation_Industry!U:U,MATCH($A191,Mitigation_Industry!$H:$H,0))</f>
        <v>1518.134680287737</v>
      </c>
      <c r="V191" s="24">
        <f>INDEX(Mitigation_Industry!V:V,MATCH($A191,Mitigation_Industry!$H:$H,0))</f>
        <v>1488.4138650625532</v>
      </c>
      <c r="W191" s="24">
        <f>INDEX(Mitigation_Industry!W:W,MATCH($A191,Mitigation_Industry!$H:$H,0))</f>
        <v>1465.2685194100193</v>
      </c>
      <c r="X191" s="24">
        <f>INDEX(Mitigation_Industry!X:X,MATCH($A191,Mitigation_Industry!$H:$H,0))</f>
        <v>1447.9657306697538</v>
      </c>
      <c r="Y191" s="24">
        <f>INDEX(Mitigation_Industry!Y:Y,MATCH($A191,Mitigation_Industry!$H:$H,0))</f>
        <v>1436.1054289752974</v>
      </c>
      <c r="Z191" s="24">
        <f>INDEX(Mitigation_Industry!Z:Z,MATCH($A191,Mitigation_Industry!$H:$H,0))</f>
        <v>1429.6873853271168</v>
      </c>
      <c r="AA191" s="24">
        <f>INDEX(Mitigation_Industry!AA:AA,MATCH($A191,Mitigation_Industry!$H:$H,0))</f>
        <v>1428.4719778022093</v>
      </c>
      <c r="AB191" s="24">
        <f>INDEX(Mitigation_Industry!AB:AB,MATCH($A191,Mitigation_Industry!$H:$H,0))</f>
        <v>1432.1908567362859</v>
      </c>
      <c r="AC191" s="24">
        <f>INDEX(Mitigation_Industry!AC:AC,MATCH($A191,Mitigation_Industry!$H:$H,0))</f>
        <v>1440.340132629459</v>
      </c>
      <c r="AD191" s="24">
        <f>INDEX(Mitigation_Industry!AD:AD,MATCH($A191,Mitigation_Industry!$H:$H,0))</f>
        <v>1452.5016104532156</v>
      </c>
      <c r="AE191" s="24">
        <f>INDEX(Mitigation_Industry!AE:AE,MATCH($A191,Mitigation_Industry!$H:$H,0))</f>
        <v>1468.3698881922217</v>
      </c>
    </row>
    <row r="192" spans="1:31" x14ac:dyDescent="0.45">
      <c r="A192" s="28" t="s">
        <v>1207</v>
      </c>
      <c r="B192" s="5" t="s">
        <v>53</v>
      </c>
      <c r="C192" s="5" t="s">
        <v>113</v>
      </c>
      <c r="D192" s="5">
        <v>2</v>
      </c>
      <c r="E192" s="2" t="s">
        <v>1161</v>
      </c>
      <c r="F192" s="31">
        <f>MAX(MAX(L192:AE192),-MIN(L192:AE192))</f>
        <v>5.0022208597511053E-12</v>
      </c>
      <c r="K192" s="32">
        <f t="shared" ref="K192:AE192" si="46">IF(ISNUMBER(K190),IF(ISNUMBER(K191),K191-K190,999999),0)</f>
        <v>0</v>
      </c>
      <c r="L192" s="32">
        <f t="shared" si="46"/>
        <v>0</v>
      </c>
      <c r="M192" s="32">
        <f t="shared" si="46"/>
        <v>-2.2737367544323206E-12</v>
      </c>
      <c r="N192" s="32">
        <f t="shared" si="46"/>
        <v>-5.0022208597511053E-12</v>
      </c>
      <c r="O192" s="32">
        <f t="shared" si="46"/>
        <v>3.865352482534945E-12</v>
      </c>
      <c r="P192" s="32">
        <f t="shared" si="46"/>
        <v>3.4106051316484809E-12</v>
      </c>
      <c r="Q192" s="32">
        <f t="shared" si="46"/>
        <v>2.5011104298755527E-12</v>
      </c>
      <c r="R192" s="32">
        <f t="shared" si="46"/>
        <v>-4.3200998334214091E-12</v>
      </c>
      <c r="S192" s="32">
        <f t="shared" si="46"/>
        <v>-2.7284841053187847E-12</v>
      </c>
      <c r="T192" s="32">
        <f t="shared" si="46"/>
        <v>2.2737367544323206E-13</v>
      </c>
      <c r="U192" s="32">
        <f t="shared" si="46"/>
        <v>-2.9558577807620168E-12</v>
      </c>
      <c r="V192" s="32">
        <f t="shared" si="46"/>
        <v>3.1832314562052488E-12</v>
      </c>
      <c r="W192" s="32">
        <f t="shared" si="46"/>
        <v>-6.8212102632969618E-13</v>
      </c>
      <c r="X192" s="32">
        <f t="shared" si="46"/>
        <v>3.865352482534945E-12</v>
      </c>
      <c r="Y192" s="32">
        <f t="shared" si="46"/>
        <v>-2.5011104298755527E-12</v>
      </c>
      <c r="Z192" s="32">
        <f t="shared" si="46"/>
        <v>-3.1832314562052488E-12</v>
      </c>
      <c r="AA192" s="32">
        <f t="shared" si="46"/>
        <v>-6.8212102632969618E-13</v>
      </c>
      <c r="AB192" s="32">
        <f t="shared" si="46"/>
        <v>-4.0927261579781771E-12</v>
      </c>
      <c r="AC192" s="32">
        <f t="shared" si="46"/>
        <v>-9.0949470177292824E-13</v>
      </c>
      <c r="AD192" s="32">
        <f t="shared" si="46"/>
        <v>-4.5474735088646412E-12</v>
      </c>
      <c r="AE192" s="32">
        <f t="shared" si="46"/>
        <v>1.5916157281026244E-12</v>
      </c>
    </row>
    <row r="194" spans="1:31" x14ac:dyDescent="0.45">
      <c r="A194" s="28" t="s">
        <v>1208</v>
      </c>
      <c r="B194" s="5" t="s">
        <v>55</v>
      </c>
      <c r="C194" s="5" t="s">
        <v>113</v>
      </c>
      <c r="D194" s="5">
        <v>2</v>
      </c>
      <c r="E194" s="5" t="s">
        <v>1159</v>
      </c>
      <c r="K194" s="24"/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</row>
    <row r="195" spans="1:31" x14ac:dyDescent="0.45">
      <c r="A195" s="28" t="s">
        <v>1208</v>
      </c>
      <c r="B195" s="5" t="s">
        <v>55</v>
      </c>
      <c r="C195" s="5" t="s">
        <v>113</v>
      </c>
      <c r="D195" s="5">
        <v>2</v>
      </c>
      <c r="E195" s="5" t="s">
        <v>1160</v>
      </c>
      <c r="K195" s="24">
        <f>INDEX(Mitigation_Industry!K:K,MATCH($A195,Mitigation_Industry!$H:$H,0))</f>
        <v>0</v>
      </c>
      <c r="L195" s="24">
        <f>INDEX(Mitigation_Industry!L:L,MATCH($A195,Mitigation_Industry!$H:$H,0))</f>
        <v>0</v>
      </c>
      <c r="M195" s="24">
        <f>INDEX(Mitigation_Industry!M:M,MATCH($A195,Mitigation_Industry!$H:$H,0))</f>
        <v>0</v>
      </c>
      <c r="N195" s="24">
        <f>INDEX(Mitigation_Industry!N:N,MATCH($A195,Mitigation_Industry!$H:$H,0))</f>
        <v>0</v>
      </c>
      <c r="O195" s="24">
        <f>INDEX(Mitigation_Industry!O:O,MATCH($A195,Mitigation_Industry!$H:$H,0))</f>
        <v>0</v>
      </c>
      <c r="P195" s="24">
        <f>INDEX(Mitigation_Industry!P:P,MATCH($A195,Mitigation_Industry!$H:$H,0))</f>
        <v>0</v>
      </c>
      <c r="Q195" s="24">
        <f>INDEX(Mitigation_Industry!Q:Q,MATCH($A195,Mitigation_Industry!$H:$H,0))</f>
        <v>0</v>
      </c>
      <c r="R195" s="24">
        <f>INDEX(Mitigation_Industry!R:R,MATCH($A195,Mitigation_Industry!$H:$H,0))</f>
        <v>0</v>
      </c>
      <c r="S195" s="24">
        <f>INDEX(Mitigation_Industry!S:S,MATCH($A195,Mitigation_Industry!$H:$H,0))</f>
        <v>0</v>
      </c>
      <c r="T195" s="24">
        <f>INDEX(Mitigation_Industry!T:T,MATCH($A195,Mitigation_Industry!$H:$H,0))</f>
        <v>0</v>
      </c>
      <c r="U195" s="24">
        <f>INDEX(Mitigation_Industry!U:U,MATCH($A195,Mitigation_Industry!$H:$H,0))</f>
        <v>0</v>
      </c>
      <c r="V195" s="24">
        <f>INDEX(Mitigation_Industry!V:V,MATCH($A195,Mitigation_Industry!$H:$H,0))</f>
        <v>0</v>
      </c>
      <c r="W195" s="24">
        <f>INDEX(Mitigation_Industry!W:W,MATCH($A195,Mitigation_Industry!$H:$H,0))</f>
        <v>0</v>
      </c>
      <c r="X195" s="24">
        <f>INDEX(Mitigation_Industry!X:X,MATCH($A195,Mitigation_Industry!$H:$H,0))</f>
        <v>0</v>
      </c>
      <c r="Y195" s="24">
        <f>INDEX(Mitigation_Industry!Y:Y,MATCH($A195,Mitigation_Industry!$H:$H,0))</f>
        <v>0</v>
      </c>
      <c r="Z195" s="24">
        <f>INDEX(Mitigation_Industry!Z:Z,MATCH($A195,Mitigation_Industry!$H:$H,0))</f>
        <v>0</v>
      </c>
      <c r="AA195" s="24">
        <f>INDEX(Mitigation_Industry!AA:AA,MATCH($A195,Mitigation_Industry!$H:$H,0))</f>
        <v>0</v>
      </c>
      <c r="AB195" s="24">
        <f>INDEX(Mitigation_Industry!AB:AB,MATCH($A195,Mitigation_Industry!$H:$H,0))</f>
        <v>0</v>
      </c>
      <c r="AC195" s="24">
        <f>INDEX(Mitigation_Industry!AC:AC,MATCH($A195,Mitigation_Industry!$H:$H,0))</f>
        <v>0</v>
      </c>
      <c r="AD195" s="24">
        <f>INDEX(Mitigation_Industry!AD:AD,MATCH($A195,Mitigation_Industry!$H:$H,0))</f>
        <v>0</v>
      </c>
      <c r="AE195" s="24">
        <f>INDEX(Mitigation_Industry!AE:AE,MATCH($A195,Mitigation_Industry!$H:$H,0))</f>
        <v>0</v>
      </c>
    </row>
    <row r="196" spans="1:31" x14ac:dyDescent="0.45">
      <c r="A196" s="28" t="s">
        <v>1208</v>
      </c>
      <c r="B196" s="5" t="s">
        <v>55</v>
      </c>
      <c r="C196" s="5" t="s">
        <v>113</v>
      </c>
      <c r="D196" s="5">
        <v>2</v>
      </c>
      <c r="E196" s="2" t="s">
        <v>1161</v>
      </c>
      <c r="F196" s="31">
        <f>MAX(MAX(L196:AE196),-MIN(L196:AE196))</f>
        <v>0</v>
      </c>
      <c r="K196" s="32">
        <f t="shared" ref="K196:AE196" si="47">IF(ISNUMBER(K194),IF(ISNUMBER(K195),K195-K194,999999),0)</f>
        <v>0</v>
      </c>
      <c r="L196" s="32">
        <f t="shared" si="47"/>
        <v>0</v>
      </c>
      <c r="M196" s="32">
        <f t="shared" si="47"/>
        <v>0</v>
      </c>
      <c r="N196" s="32">
        <f t="shared" si="47"/>
        <v>0</v>
      </c>
      <c r="O196" s="32">
        <f t="shared" si="47"/>
        <v>0</v>
      </c>
      <c r="P196" s="32">
        <f t="shared" si="47"/>
        <v>0</v>
      </c>
      <c r="Q196" s="32">
        <f t="shared" si="47"/>
        <v>0</v>
      </c>
      <c r="R196" s="32">
        <f t="shared" si="47"/>
        <v>0</v>
      </c>
      <c r="S196" s="32">
        <f t="shared" si="47"/>
        <v>0</v>
      </c>
      <c r="T196" s="32">
        <f t="shared" si="47"/>
        <v>0</v>
      </c>
      <c r="U196" s="32">
        <f t="shared" si="47"/>
        <v>0</v>
      </c>
      <c r="V196" s="32">
        <f t="shared" si="47"/>
        <v>0</v>
      </c>
      <c r="W196" s="32">
        <f t="shared" si="47"/>
        <v>0</v>
      </c>
      <c r="X196" s="32">
        <f t="shared" si="47"/>
        <v>0</v>
      </c>
      <c r="Y196" s="32">
        <f t="shared" si="47"/>
        <v>0</v>
      </c>
      <c r="Z196" s="32">
        <f t="shared" si="47"/>
        <v>0</v>
      </c>
      <c r="AA196" s="32">
        <f t="shared" si="47"/>
        <v>0</v>
      </c>
      <c r="AB196" s="32">
        <f t="shared" si="47"/>
        <v>0</v>
      </c>
      <c r="AC196" s="32">
        <f t="shared" si="47"/>
        <v>0</v>
      </c>
      <c r="AD196" s="32">
        <f t="shared" si="47"/>
        <v>0</v>
      </c>
      <c r="AE196" s="32">
        <f t="shared" si="47"/>
        <v>0</v>
      </c>
    </row>
    <row r="198" spans="1:31" x14ac:dyDescent="0.45">
      <c r="A198" s="28" t="s">
        <v>1209</v>
      </c>
      <c r="B198" s="5" t="s">
        <v>58</v>
      </c>
      <c r="C198" s="5" t="s">
        <v>113</v>
      </c>
      <c r="D198" s="5">
        <v>2</v>
      </c>
      <c r="E198" s="5" t="s">
        <v>1159</v>
      </c>
      <c r="K198" s="24"/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</row>
    <row r="199" spans="1:31" x14ac:dyDescent="0.45">
      <c r="A199" s="28" t="s">
        <v>1209</v>
      </c>
      <c r="B199" s="5" t="s">
        <v>58</v>
      </c>
      <c r="C199" s="5" t="s">
        <v>113</v>
      </c>
      <c r="D199" s="5">
        <v>2</v>
      </c>
      <c r="E199" s="5" t="s">
        <v>1160</v>
      </c>
      <c r="K199" s="24">
        <f>INDEX(Mitigation_Industry!K:K,MATCH($A199,Mitigation_Industry!$H:$H,0))</f>
        <v>0</v>
      </c>
      <c r="L199" s="24">
        <f>INDEX(Mitigation_Industry!L:L,MATCH($A199,Mitigation_Industry!$H:$H,0))</f>
        <v>0</v>
      </c>
      <c r="M199" s="24">
        <f>INDEX(Mitigation_Industry!M:M,MATCH($A199,Mitigation_Industry!$H:$H,0))</f>
        <v>0</v>
      </c>
      <c r="N199" s="24">
        <f>INDEX(Mitigation_Industry!N:N,MATCH($A199,Mitigation_Industry!$H:$H,0))</f>
        <v>0</v>
      </c>
      <c r="O199" s="24">
        <f>INDEX(Mitigation_Industry!O:O,MATCH($A199,Mitigation_Industry!$H:$H,0))</f>
        <v>0</v>
      </c>
      <c r="P199" s="24">
        <f>INDEX(Mitigation_Industry!P:P,MATCH($A199,Mitigation_Industry!$H:$H,0))</f>
        <v>0</v>
      </c>
      <c r="Q199" s="24">
        <f>INDEX(Mitigation_Industry!Q:Q,MATCH($A199,Mitigation_Industry!$H:$H,0))</f>
        <v>0</v>
      </c>
      <c r="R199" s="24">
        <f>INDEX(Mitigation_Industry!R:R,MATCH($A199,Mitigation_Industry!$H:$H,0))</f>
        <v>0</v>
      </c>
      <c r="S199" s="24">
        <f>INDEX(Mitigation_Industry!S:S,MATCH($A199,Mitigation_Industry!$H:$H,0))</f>
        <v>0</v>
      </c>
      <c r="T199" s="24">
        <f>INDEX(Mitigation_Industry!T:T,MATCH($A199,Mitigation_Industry!$H:$H,0))</f>
        <v>0</v>
      </c>
      <c r="U199" s="24">
        <f>INDEX(Mitigation_Industry!U:U,MATCH($A199,Mitigation_Industry!$H:$H,0))</f>
        <v>0</v>
      </c>
      <c r="V199" s="24">
        <f>INDEX(Mitigation_Industry!V:V,MATCH($A199,Mitigation_Industry!$H:$H,0))</f>
        <v>0</v>
      </c>
      <c r="W199" s="24">
        <f>INDEX(Mitigation_Industry!W:W,MATCH($A199,Mitigation_Industry!$H:$H,0))</f>
        <v>0</v>
      </c>
      <c r="X199" s="24">
        <f>INDEX(Mitigation_Industry!X:X,MATCH($A199,Mitigation_Industry!$H:$H,0))</f>
        <v>0</v>
      </c>
      <c r="Y199" s="24">
        <f>INDEX(Mitigation_Industry!Y:Y,MATCH($A199,Mitigation_Industry!$H:$H,0))</f>
        <v>0</v>
      </c>
      <c r="Z199" s="24">
        <f>INDEX(Mitigation_Industry!Z:Z,MATCH($A199,Mitigation_Industry!$H:$H,0))</f>
        <v>0</v>
      </c>
      <c r="AA199" s="24">
        <f>INDEX(Mitigation_Industry!AA:AA,MATCH($A199,Mitigation_Industry!$H:$H,0))</f>
        <v>0</v>
      </c>
      <c r="AB199" s="24">
        <f>INDEX(Mitigation_Industry!AB:AB,MATCH($A199,Mitigation_Industry!$H:$H,0))</f>
        <v>0</v>
      </c>
      <c r="AC199" s="24">
        <f>INDEX(Mitigation_Industry!AC:AC,MATCH($A199,Mitigation_Industry!$H:$H,0))</f>
        <v>0</v>
      </c>
      <c r="AD199" s="24">
        <f>INDEX(Mitigation_Industry!AD:AD,MATCH($A199,Mitigation_Industry!$H:$H,0))</f>
        <v>0</v>
      </c>
      <c r="AE199" s="24">
        <f>INDEX(Mitigation_Industry!AE:AE,MATCH($A199,Mitigation_Industry!$H:$H,0))</f>
        <v>0</v>
      </c>
    </row>
    <row r="200" spans="1:31" x14ac:dyDescent="0.45">
      <c r="A200" s="28" t="s">
        <v>1209</v>
      </c>
      <c r="B200" s="5" t="s">
        <v>58</v>
      </c>
      <c r="C200" s="5" t="s">
        <v>113</v>
      </c>
      <c r="D200" s="5">
        <v>2</v>
      </c>
      <c r="E200" s="2" t="s">
        <v>1161</v>
      </c>
      <c r="F200" s="31">
        <f>MAX(MAX(L200:AE200),-MIN(L200:AE200))</f>
        <v>0</v>
      </c>
      <c r="K200" s="32">
        <f t="shared" ref="K200:AE200" si="48">IF(ISNUMBER(K198),IF(ISNUMBER(K199),K199-K198,999999),0)</f>
        <v>0</v>
      </c>
      <c r="L200" s="32">
        <f t="shared" si="48"/>
        <v>0</v>
      </c>
      <c r="M200" s="32">
        <f t="shared" si="48"/>
        <v>0</v>
      </c>
      <c r="N200" s="32">
        <f t="shared" si="48"/>
        <v>0</v>
      </c>
      <c r="O200" s="32">
        <f t="shared" si="48"/>
        <v>0</v>
      </c>
      <c r="P200" s="32">
        <f t="shared" si="48"/>
        <v>0</v>
      </c>
      <c r="Q200" s="32">
        <f t="shared" si="48"/>
        <v>0</v>
      </c>
      <c r="R200" s="32">
        <f t="shared" si="48"/>
        <v>0</v>
      </c>
      <c r="S200" s="32">
        <f t="shared" si="48"/>
        <v>0</v>
      </c>
      <c r="T200" s="32">
        <f t="shared" si="48"/>
        <v>0</v>
      </c>
      <c r="U200" s="32">
        <f t="shared" si="48"/>
        <v>0</v>
      </c>
      <c r="V200" s="32">
        <f t="shared" si="48"/>
        <v>0</v>
      </c>
      <c r="W200" s="32">
        <f t="shared" si="48"/>
        <v>0</v>
      </c>
      <c r="X200" s="32">
        <f t="shared" si="48"/>
        <v>0</v>
      </c>
      <c r="Y200" s="32">
        <f t="shared" si="48"/>
        <v>0</v>
      </c>
      <c r="Z200" s="32">
        <f t="shared" si="48"/>
        <v>0</v>
      </c>
      <c r="AA200" s="32">
        <f t="shared" si="48"/>
        <v>0</v>
      </c>
      <c r="AB200" s="32">
        <f t="shared" si="48"/>
        <v>0</v>
      </c>
      <c r="AC200" s="32">
        <f t="shared" si="48"/>
        <v>0</v>
      </c>
      <c r="AD200" s="32">
        <f t="shared" si="48"/>
        <v>0</v>
      </c>
      <c r="AE200" s="32">
        <f t="shared" si="48"/>
        <v>0</v>
      </c>
    </row>
    <row r="202" spans="1:31" x14ac:dyDescent="0.45">
      <c r="A202" s="28" t="s">
        <v>1210</v>
      </c>
      <c r="B202" s="5" t="s">
        <v>60</v>
      </c>
      <c r="C202" s="5" t="s">
        <v>113</v>
      </c>
      <c r="D202" s="5">
        <v>2</v>
      </c>
      <c r="E202" s="5" t="s">
        <v>1159</v>
      </c>
      <c r="K202" s="24"/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</row>
    <row r="203" spans="1:31" x14ac:dyDescent="0.45">
      <c r="A203" s="28" t="s">
        <v>1210</v>
      </c>
      <c r="B203" s="5" t="s">
        <v>60</v>
      </c>
      <c r="C203" s="5" t="s">
        <v>113</v>
      </c>
      <c r="D203" s="5">
        <v>2</v>
      </c>
      <c r="E203" s="5" t="s">
        <v>1160</v>
      </c>
      <c r="K203" s="24">
        <f>INDEX(Mitigation_Industry!K:K,MATCH($A203,Mitigation_Industry!$H:$H,0))</f>
        <v>0</v>
      </c>
      <c r="L203" s="24">
        <f>INDEX(Mitigation_Industry!L:L,MATCH($A203,Mitigation_Industry!$H:$H,0))</f>
        <v>0</v>
      </c>
      <c r="M203" s="24">
        <f>INDEX(Mitigation_Industry!M:M,MATCH($A203,Mitigation_Industry!$H:$H,0))</f>
        <v>0</v>
      </c>
      <c r="N203" s="24">
        <f>INDEX(Mitigation_Industry!N:N,MATCH($A203,Mitigation_Industry!$H:$H,0))</f>
        <v>0</v>
      </c>
      <c r="O203" s="24">
        <f>INDEX(Mitigation_Industry!O:O,MATCH($A203,Mitigation_Industry!$H:$H,0))</f>
        <v>0</v>
      </c>
      <c r="P203" s="24">
        <f>INDEX(Mitigation_Industry!P:P,MATCH($A203,Mitigation_Industry!$H:$H,0))</f>
        <v>0</v>
      </c>
      <c r="Q203" s="24">
        <f>INDEX(Mitigation_Industry!Q:Q,MATCH($A203,Mitigation_Industry!$H:$H,0))</f>
        <v>0</v>
      </c>
      <c r="R203" s="24">
        <f>INDEX(Mitigation_Industry!R:R,MATCH($A203,Mitigation_Industry!$H:$H,0))</f>
        <v>0</v>
      </c>
      <c r="S203" s="24">
        <f>INDEX(Mitigation_Industry!S:S,MATCH($A203,Mitigation_Industry!$H:$H,0))</f>
        <v>0</v>
      </c>
      <c r="T203" s="24">
        <f>INDEX(Mitigation_Industry!T:T,MATCH($A203,Mitigation_Industry!$H:$H,0))</f>
        <v>0</v>
      </c>
      <c r="U203" s="24">
        <f>INDEX(Mitigation_Industry!U:U,MATCH($A203,Mitigation_Industry!$H:$H,0))</f>
        <v>0</v>
      </c>
      <c r="V203" s="24">
        <f>INDEX(Mitigation_Industry!V:V,MATCH($A203,Mitigation_Industry!$H:$H,0))</f>
        <v>0</v>
      </c>
      <c r="W203" s="24">
        <f>INDEX(Mitigation_Industry!W:W,MATCH($A203,Mitigation_Industry!$H:$H,0))</f>
        <v>0</v>
      </c>
      <c r="X203" s="24">
        <f>INDEX(Mitigation_Industry!X:X,MATCH($A203,Mitigation_Industry!$H:$H,0))</f>
        <v>0</v>
      </c>
      <c r="Y203" s="24">
        <f>INDEX(Mitigation_Industry!Y:Y,MATCH($A203,Mitigation_Industry!$H:$H,0))</f>
        <v>0</v>
      </c>
      <c r="Z203" s="24">
        <f>INDEX(Mitigation_Industry!Z:Z,MATCH($A203,Mitigation_Industry!$H:$H,0))</f>
        <v>0</v>
      </c>
      <c r="AA203" s="24">
        <f>INDEX(Mitigation_Industry!AA:AA,MATCH($A203,Mitigation_Industry!$H:$H,0))</f>
        <v>0</v>
      </c>
      <c r="AB203" s="24">
        <f>INDEX(Mitigation_Industry!AB:AB,MATCH($A203,Mitigation_Industry!$H:$H,0))</f>
        <v>0</v>
      </c>
      <c r="AC203" s="24">
        <f>INDEX(Mitigation_Industry!AC:AC,MATCH($A203,Mitigation_Industry!$H:$H,0))</f>
        <v>0</v>
      </c>
      <c r="AD203" s="24">
        <f>INDEX(Mitigation_Industry!AD:AD,MATCH($A203,Mitigation_Industry!$H:$H,0))</f>
        <v>0</v>
      </c>
      <c r="AE203" s="24">
        <f>INDEX(Mitigation_Industry!AE:AE,MATCH($A203,Mitigation_Industry!$H:$H,0))</f>
        <v>0</v>
      </c>
    </row>
    <row r="204" spans="1:31" x14ac:dyDescent="0.45">
      <c r="A204" s="28" t="s">
        <v>1210</v>
      </c>
      <c r="B204" s="5" t="s">
        <v>60</v>
      </c>
      <c r="C204" s="5" t="s">
        <v>113</v>
      </c>
      <c r="D204" s="5">
        <v>2</v>
      </c>
      <c r="E204" s="2" t="s">
        <v>1161</v>
      </c>
      <c r="F204" s="31">
        <f>MAX(MAX(L204:AE204),-MIN(L204:AE204))</f>
        <v>0</v>
      </c>
      <c r="K204" s="32">
        <f t="shared" ref="K204:AE204" si="49">IF(ISNUMBER(K202),IF(ISNUMBER(K203),K203-K202,999999),0)</f>
        <v>0</v>
      </c>
      <c r="L204" s="32">
        <f t="shared" si="49"/>
        <v>0</v>
      </c>
      <c r="M204" s="32">
        <f t="shared" si="49"/>
        <v>0</v>
      </c>
      <c r="N204" s="32">
        <f t="shared" si="49"/>
        <v>0</v>
      </c>
      <c r="O204" s="32">
        <f t="shared" si="49"/>
        <v>0</v>
      </c>
      <c r="P204" s="32">
        <f t="shared" si="49"/>
        <v>0</v>
      </c>
      <c r="Q204" s="32">
        <f t="shared" si="49"/>
        <v>0</v>
      </c>
      <c r="R204" s="32">
        <f t="shared" si="49"/>
        <v>0</v>
      </c>
      <c r="S204" s="32">
        <f t="shared" si="49"/>
        <v>0</v>
      </c>
      <c r="T204" s="32">
        <f t="shared" si="49"/>
        <v>0</v>
      </c>
      <c r="U204" s="32">
        <f t="shared" si="49"/>
        <v>0</v>
      </c>
      <c r="V204" s="32">
        <f t="shared" si="49"/>
        <v>0</v>
      </c>
      <c r="W204" s="32">
        <f t="shared" si="49"/>
        <v>0</v>
      </c>
      <c r="X204" s="32">
        <f t="shared" si="49"/>
        <v>0</v>
      </c>
      <c r="Y204" s="32">
        <f t="shared" si="49"/>
        <v>0</v>
      </c>
      <c r="Z204" s="32">
        <f t="shared" si="49"/>
        <v>0</v>
      </c>
      <c r="AA204" s="32">
        <f t="shared" si="49"/>
        <v>0</v>
      </c>
      <c r="AB204" s="32">
        <f t="shared" si="49"/>
        <v>0</v>
      </c>
      <c r="AC204" s="32">
        <f t="shared" si="49"/>
        <v>0</v>
      </c>
      <c r="AD204" s="32">
        <f t="shared" si="49"/>
        <v>0</v>
      </c>
      <c r="AE204" s="32">
        <f t="shared" si="49"/>
        <v>0</v>
      </c>
    </row>
    <row r="206" spans="1:31" x14ac:dyDescent="0.45">
      <c r="A206" s="28" t="s">
        <v>1211</v>
      </c>
      <c r="B206" s="5" t="s">
        <v>62</v>
      </c>
      <c r="C206" s="5" t="s">
        <v>113</v>
      </c>
      <c r="D206" s="5">
        <v>2</v>
      </c>
      <c r="E206" s="5" t="s">
        <v>1159</v>
      </c>
      <c r="K206" s="24"/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</row>
    <row r="207" spans="1:31" x14ac:dyDescent="0.45">
      <c r="A207" s="28" t="s">
        <v>1211</v>
      </c>
      <c r="B207" s="5" t="s">
        <v>62</v>
      </c>
      <c r="C207" s="5" t="s">
        <v>113</v>
      </c>
      <c r="D207" s="5">
        <v>2</v>
      </c>
      <c r="E207" s="5" t="s">
        <v>1160</v>
      </c>
      <c r="K207" s="24">
        <f>INDEX(Mitigation_Industry!K:K,MATCH($A207,Mitigation_Industry!$H:$H,0))</f>
        <v>0</v>
      </c>
      <c r="L207" s="24">
        <f>INDEX(Mitigation_Industry!L:L,MATCH($A207,Mitigation_Industry!$H:$H,0))</f>
        <v>0</v>
      </c>
      <c r="M207" s="24">
        <f>INDEX(Mitigation_Industry!M:M,MATCH($A207,Mitigation_Industry!$H:$H,0))</f>
        <v>0</v>
      </c>
      <c r="N207" s="24">
        <f>INDEX(Mitigation_Industry!N:N,MATCH($A207,Mitigation_Industry!$H:$H,0))</f>
        <v>0</v>
      </c>
      <c r="O207" s="24">
        <f>INDEX(Mitigation_Industry!O:O,MATCH($A207,Mitigation_Industry!$H:$H,0))</f>
        <v>0</v>
      </c>
      <c r="P207" s="24">
        <f>INDEX(Mitigation_Industry!P:P,MATCH($A207,Mitigation_Industry!$H:$H,0))</f>
        <v>0</v>
      </c>
      <c r="Q207" s="24">
        <f>INDEX(Mitigation_Industry!Q:Q,MATCH($A207,Mitigation_Industry!$H:$H,0))</f>
        <v>0</v>
      </c>
      <c r="R207" s="24">
        <f>INDEX(Mitigation_Industry!R:R,MATCH($A207,Mitigation_Industry!$H:$H,0))</f>
        <v>0</v>
      </c>
      <c r="S207" s="24">
        <f>INDEX(Mitigation_Industry!S:S,MATCH($A207,Mitigation_Industry!$H:$H,0))</f>
        <v>0</v>
      </c>
      <c r="T207" s="24">
        <f>INDEX(Mitigation_Industry!T:T,MATCH($A207,Mitigation_Industry!$H:$H,0))</f>
        <v>0</v>
      </c>
      <c r="U207" s="24">
        <f>INDEX(Mitigation_Industry!U:U,MATCH($A207,Mitigation_Industry!$H:$H,0))</f>
        <v>0</v>
      </c>
      <c r="V207" s="24">
        <f>INDEX(Mitigation_Industry!V:V,MATCH($A207,Mitigation_Industry!$H:$H,0))</f>
        <v>0</v>
      </c>
      <c r="W207" s="24">
        <f>INDEX(Mitigation_Industry!W:W,MATCH($A207,Mitigation_Industry!$H:$H,0))</f>
        <v>0</v>
      </c>
      <c r="X207" s="24">
        <f>INDEX(Mitigation_Industry!X:X,MATCH($A207,Mitigation_Industry!$H:$H,0))</f>
        <v>0</v>
      </c>
      <c r="Y207" s="24">
        <f>INDEX(Mitigation_Industry!Y:Y,MATCH($A207,Mitigation_Industry!$H:$H,0))</f>
        <v>0</v>
      </c>
      <c r="Z207" s="24">
        <f>INDEX(Mitigation_Industry!Z:Z,MATCH($A207,Mitigation_Industry!$H:$H,0))</f>
        <v>0</v>
      </c>
      <c r="AA207" s="24">
        <f>INDEX(Mitigation_Industry!AA:AA,MATCH($A207,Mitigation_Industry!$H:$H,0))</f>
        <v>0</v>
      </c>
      <c r="AB207" s="24">
        <f>INDEX(Mitigation_Industry!AB:AB,MATCH($A207,Mitigation_Industry!$H:$H,0))</f>
        <v>0</v>
      </c>
      <c r="AC207" s="24">
        <f>INDEX(Mitigation_Industry!AC:AC,MATCH($A207,Mitigation_Industry!$H:$H,0))</f>
        <v>0</v>
      </c>
      <c r="AD207" s="24">
        <f>INDEX(Mitigation_Industry!AD:AD,MATCH($A207,Mitigation_Industry!$H:$H,0))</f>
        <v>0</v>
      </c>
      <c r="AE207" s="24">
        <f>INDEX(Mitigation_Industry!AE:AE,MATCH($A207,Mitigation_Industry!$H:$H,0))</f>
        <v>0</v>
      </c>
    </row>
    <row r="208" spans="1:31" x14ac:dyDescent="0.45">
      <c r="A208" s="28" t="s">
        <v>1211</v>
      </c>
      <c r="B208" s="5" t="s">
        <v>62</v>
      </c>
      <c r="C208" s="5" t="s">
        <v>113</v>
      </c>
      <c r="D208" s="5">
        <v>2</v>
      </c>
      <c r="E208" s="2" t="s">
        <v>1161</v>
      </c>
      <c r="F208" s="31">
        <f>MAX(MAX(L208:AE208),-MIN(L208:AE208))</f>
        <v>0</v>
      </c>
      <c r="K208" s="32">
        <f t="shared" ref="K208:AE208" si="50">IF(ISNUMBER(K206),IF(ISNUMBER(K207),K207-K206,999999),0)</f>
        <v>0</v>
      </c>
      <c r="L208" s="32">
        <f t="shared" si="50"/>
        <v>0</v>
      </c>
      <c r="M208" s="32">
        <f t="shared" si="50"/>
        <v>0</v>
      </c>
      <c r="N208" s="32">
        <f t="shared" si="50"/>
        <v>0</v>
      </c>
      <c r="O208" s="32">
        <f t="shared" si="50"/>
        <v>0</v>
      </c>
      <c r="P208" s="32">
        <f t="shared" si="50"/>
        <v>0</v>
      </c>
      <c r="Q208" s="32">
        <f t="shared" si="50"/>
        <v>0</v>
      </c>
      <c r="R208" s="32">
        <f t="shared" si="50"/>
        <v>0</v>
      </c>
      <c r="S208" s="32">
        <f t="shared" si="50"/>
        <v>0</v>
      </c>
      <c r="T208" s="32">
        <f t="shared" si="50"/>
        <v>0</v>
      </c>
      <c r="U208" s="32">
        <f t="shared" si="50"/>
        <v>0</v>
      </c>
      <c r="V208" s="32">
        <f t="shared" si="50"/>
        <v>0</v>
      </c>
      <c r="W208" s="32">
        <f t="shared" si="50"/>
        <v>0</v>
      </c>
      <c r="X208" s="32">
        <f t="shared" si="50"/>
        <v>0</v>
      </c>
      <c r="Y208" s="32">
        <f t="shared" si="50"/>
        <v>0</v>
      </c>
      <c r="Z208" s="32">
        <f t="shared" si="50"/>
        <v>0</v>
      </c>
      <c r="AA208" s="32">
        <f t="shared" si="50"/>
        <v>0</v>
      </c>
      <c r="AB208" s="32">
        <f t="shared" si="50"/>
        <v>0</v>
      </c>
      <c r="AC208" s="32">
        <f t="shared" si="50"/>
        <v>0</v>
      </c>
      <c r="AD208" s="32">
        <f t="shared" si="50"/>
        <v>0</v>
      </c>
      <c r="AE208" s="32">
        <f t="shared" si="50"/>
        <v>0</v>
      </c>
    </row>
    <row r="210" spans="1:31" x14ac:dyDescent="0.45">
      <c r="A210" s="28" t="s">
        <v>1212</v>
      </c>
      <c r="B210" s="5" t="s">
        <v>64</v>
      </c>
      <c r="C210" s="5" t="s">
        <v>113</v>
      </c>
      <c r="D210" s="5">
        <v>2</v>
      </c>
      <c r="E210" s="5" t="s">
        <v>1159</v>
      </c>
      <c r="K210" s="24"/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</row>
    <row r="211" spans="1:31" x14ac:dyDescent="0.45">
      <c r="A211" s="28" t="s">
        <v>1212</v>
      </c>
      <c r="B211" s="5" t="s">
        <v>64</v>
      </c>
      <c r="C211" s="5" t="s">
        <v>113</v>
      </c>
      <c r="D211" s="5">
        <v>2</v>
      </c>
      <c r="E211" s="5" t="s">
        <v>1160</v>
      </c>
      <c r="K211" s="24">
        <f>INDEX(Mitigation_Industry!K:K,MATCH($A211,Mitigation_Industry!$H:$H,0))</f>
        <v>0</v>
      </c>
      <c r="L211" s="24">
        <f>INDEX(Mitigation_Industry!L:L,MATCH($A211,Mitigation_Industry!$H:$H,0))</f>
        <v>0</v>
      </c>
      <c r="M211" s="24">
        <f>INDEX(Mitigation_Industry!M:M,MATCH($A211,Mitigation_Industry!$H:$H,0))</f>
        <v>0</v>
      </c>
      <c r="N211" s="24">
        <f>INDEX(Mitigation_Industry!N:N,MATCH($A211,Mitigation_Industry!$H:$H,0))</f>
        <v>0</v>
      </c>
      <c r="O211" s="24">
        <f>INDEX(Mitigation_Industry!O:O,MATCH($A211,Mitigation_Industry!$H:$H,0))</f>
        <v>0</v>
      </c>
      <c r="P211" s="24">
        <f>INDEX(Mitigation_Industry!P:P,MATCH($A211,Mitigation_Industry!$H:$H,0))</f>
        <v>0</v>
      </c>
      <c r="Q211" s="24">
        <f>INDEX(Mitigation_Industry!Q:Q,MATCH($A211,Mitigation_Industry!$H:$H,0))</f>
        <v>0</v>
      </c>
      <c r="R211" s="24">
        <f>INDEX(Mitigation_Industry!R:R,MATCH($A211,Mitigation_Industry!$H:$H,0))</f>
        <v>0</v>
      </c>
      <c r="S211" s="24">
        <f>INDEX(Mitigation_Industry!S:S,MATCH($A211,Mitigation_Industry!$H:$H,0))</f>
        <v>0</v>
      </c>
      <c r="T211" s="24">
        <f>INDEX(Mitigation_Industry!T:T,MATCH($A211,Mitigation_Industry!$H:$H,0))</f>
        <v>0</v>
      </c>
      <c r="U211" s="24">
        <f>INDEX(Mitigation_Industry!U:U,MATCH($A211,Mitigation_Industry!$H:$H,0))</f>
        <v>0</v>
      </c>
      <c r="V211" s="24">
        <f>INDEX(Mitigation_Industry!V:V,MATCH($A211,Mitigation_Industry!$H:$H,0))</f>
        <v>0</v>
      </c>
      <c r="W211" s="24">
        <f>INDEX(Mitigation_Industry!W:W,MATCH($A211,Mitigation_Industry!$H:$H,0))</f>
        <v>0</v>
      </c>
      <c r="X211" s="24">
        <f>INDEX(Mitigation_Industry!X:X,MATCH($A211,Mitigation_Industry!$H:$H,0))</f>
        <v>0</v>
      </c>
      <c r="Y211" s="24">
        <f>INDEX(Mitigation_Industry!Y:Y,MATCH($A211,Mitigation_Industry!$H:$H,0))</f>
        <v>0</v>
      </c>
      <c r="Z211" s="24">
        <f>INDEX(Mitigation_Industry!Z:Z,MATCH($A211,Mitigation_Industry!$H:$H,0))</f>
        <v>0</v>
      </c>
      <c r="AA211" s="24">
        <f>INDEX(Mitigation_Industry!AA:AA,MATCH($A211,Mitigation_Industry!$H:$H,0))</f>
        <v>0</v>
      </c>
      <c r="AB211" s="24">
        <f>INDEX(Mitigation_Industry!AB:AB,MATCH($A211,Mitigation_Industry!$H:$H,0))</f>
        <v>0</v>
      </c>
      <c r="AC211" s="24">
        <f>INDEX(Mitigation_Industry!AC:AC,MATCH($A211,Mitigation_Industry!$H:$H,0))</f>
        <v>0</v>
      </c>
      <c r="AD211" s="24">
        <f>INDEX(Mitigation_Industry!AD:AD,MATCH($A211,Mitigation_Industry!$H:$H,0))</f>
        <v>0</v>
      </c>
      <c r="AE211" s="24">
        <f>INDEX(Mitigation_Industry!AE:AE,MATCH($A211,Mitigation_Industry!$H:$H,0))</f>
        <v>0</v>
      </c>
    </row>
    <row r="212" spans="1:31" x14ac:dyDescent="0.45">
      <c r="A212" s="28" t="s">
        <v>1212</v>
      </c>
      <c r="B212" s="5" t="s">
        <v>64</v>
      </c>
      <c r="C212" s="5" t="s">
        <v>113</v>
      </c>
      <c r="D212" s="5">
        <v>2</v>
      </c>
      <c r="E212" s="2" t="s">
        <v>1161</v>
      </c>
      <c r="F212" s="31">
        <f>MAX(MAX(L212:AE212),-MIN(L212:AE212))</f>
        <v>0</v>
      </c>
      <c r="K212" s="32">
        <f t="shared" ref="K212:AE212" si="51">IF(ISNUMBER(K210),IF(ISNUMBER(K211),K211-K210,999999),0)</f>
        <v>0</v>
      </c>
      <c r="L212" s="32">
        <f t="shared" si="51"/>
        <v>0</v>
      </c>
      <c r="M212" s="32">
        <f t="shared" si="51"/>
        <v>0</v>
      </c>
      <c r="N212" s="32">
        <f t="shared" si="51"/>
        <v>0</v>
      </c>
      <c r="O212" s="32">
        <f t="shared" si="51"/>
        <v>0</v>
      </c>
      <c r="P212" s="32">
        <f t="shared" si="51"/>
        <v>0</v>
      </c>
      <c r="Q212" s="32">
        <f t="shared" si="51"/>
        <v>0</v>
      </c>
      <c r="R212" s="32">
        <f t="shared" si="51"/>
        <v>0</v>
      </c>
      <c r="S212" s="32">
        <f t="shared" si="51"/>
        <v>0</v>
      </c>
      <c r="T212" s="32">
        <f t="shared" si="51"/>
        <v>0</v>
      </c>
      <c r="U212" s="32">
        <f t="shared" si="51"/>
        <v>0</v>
      </c>
      <c r="V212" s="32">
        <f t="shared" si="51"/>
        <v>0</v>
      </c>
      <c r="W212" s="32">
        <f t="shared" si="51"/>
        <v>0</v>
      </c>
      <c r="X212" s="32">
        <f t="shared" si="51"/>
        <v>0</v>
      </c>
      <c r="Y212" s="32">
        <f t="shared" si="51"/>
        <v>0</v>
      </c>
      <c r="Z212" s="32">
        <f t="shared" si="51"/>
        <v>0</v>
      </c>
      <c r="AA212" s="32">
        <f t="shared" si="51"/>
        <v>0</v>
      </c>
      <c r="AB212" s="32">
        <f t="shared" si="51"/>
        <v>0</v>
      </c>
      <c r="AC212" s="32">
        <f t="shared" si="51"/>
        <v>0</v>
      </c>
      <c r="AD212" s="32">
        <f t="shared" si="51"/>
        <v>0</v>
      </c>
      <c r="AE212" s="32">
        <f t="shared" si="51"/>
        <v>0</v>
      </c>
    </row>
    <row r="214" spans="1:31" x14ac:dyDescent="0.45">
      <c r="A214" s="28" t="s">
        <v>1213</v>
      </c>
      <c r="B214" s="5" t="s">
        <v>67</v>
      </c>
      <c r="C214" s="5" t="s">
        <v>113</v>
      </c>
      <c r="D214" s="5">
        <v>2</v>
      </c>
      <c r="E214" s="5" t="s">
        <v>1159</v>
      </c>
      <c r="K214" s="24"/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</row>
    <row r="215" spans="1:31" x14ac:dyDescent="0.45">
      <c r="A215" s="28" t="s">
        <v>1213</v>
      </c>
      <c r="B215" s="5" t="s">
        <v>67</v>
      </c>
      <c r="C215" s="5" t="s">
        <v>113</v>
      </c>
      <c r="D215" s="5">
        <v>2</v>
      </c>
      <c r="E215" s="5" t="s">
        <v>1160</v>
      </c>
      <c r="K215" s="24">
        <f>INDEX(Mitigation_Industry!K:K,MATCH($A215,Mitigation_Industry!$H:$H,0))</f>
        <v>0</v>
      </c>
      <c r="L215" s="24">
        <f>INDEX(Mitigation_Industry!L:L,MATCH($A215,Mitigation_Industry!$H:$H,0))</f>
        <v>0</v>
      </c>
      <c r="M215" s="24">
        <f>INDEX(Mitigation_Industry!M:M,MATCH($A215,Mitigation_Industry!$H:$H,0))</f>
        <v>0</v>
      </c>
      <c r="N215" s="24">
        <f>INDEX(Mitigation_Industry!N:N,MATCH($A215,Mitigation_Industry!$H:$H,0))</f>
        <v>0</v>
      </c>
      <c r="O215" s="24">
        <f>INDEX(Mitigation_Industry!O:O,MATCH($A215,Mitigation_Industry!$H:$H,0))</f>
        <v>0</v>
      </c>
      <c r="P215" s="24">
        <f>INDEX(Mitigation_Industry!P:P,MATCH($A215,Mitigation_Industry!$H:$H,0))</f>
        <v>0</v>
      </c>
      <c r="Q215" s="24">
        <f>INDEX(Mitigation_Industry!Q:Q,MATCH($A215,Mitigation_Industry!$H:$H,0))</f>
        <v>0</v>
      </c>
      <c r="R215" s="24">
        <f>INDEX(Mitigation_Industry!R:R,MATCH($A215,Mitigation_Industry!$H:$H,0))</f>
        <v>0</v>
      </c>
      <c r="S215" s="24">
        <f>INDEX(Mitigation_Industry!S:S,MATCH($A215,Mitigation_Industry!$H:$H,0))</f>
        <v>0</v>
      </c>
      <c r="T215" s="24">
        <f>INDEX(Mitigation_Industry!T:T,MATCH($A215,Mitigation_Industry!$H:$H,0))</f>
        <v>0</v>
      </c>
      <c r="U215" s="24">
        <f>INDEX(Mitigation_Industry!U:U,MATCH($A215,Mitigation_Industry!$H:$H,0))</f>
        <v>0</v>
      </c>
      <c r="V215" s="24">
        <f>INDEX(Mitigation_Industry!V:V,MATCH($A215,Mitigation_Industry!$H:$H,0))</f>
        <v>0</v>
      </c>
      <c r="W215" s="24">
        <f>INDEX(Mitigation_Industry!W:W,MATCH($A215,Mitigation_Industry!$H:$H,0))</f>
        <v>0</v>
      </c>
      <c r="X215" s="24">
        <f>INDEX(Mitigation_Industry!X:X,MATCH($A215,Mitigation_Industry!$H:$H,0))</f>
        <v>0</v>
      </c>
      <c r="Y215" s="24">
        <f>INDEX(Mitigation_Industry!Y:Y,MATCH($A215,Mitigation_Industry!$H:$H,0))</f>
        <v>0</v>
      </c>
      <c r="Z215" s="24">
        <f>INDEX(Mitigation_Industry!Z:Z,MATCH($A215,Mitigation_Industry!$H:$H,0))</f>
        <v>0</v>
      </c>
      <c r="AA215" s="24">
        <f>INDEX(Mitigation_Industry!AA:AA,MATCH($A215,Mitigation_Industry!$H:$H,0))</f>
        <v>0</v>
      </c>
      <c r="AB215" s="24">
        <f>INDEX(Mitigation_Industry!AB:AB,MATCH($A215,Mitigation_Industry!$H:$H,0))</f>
        <v>0</v>
      </c>
      <c r="AC215" s="24">
        <f>INDEX(Mitigation_Industry!AC:AC,MATCH($A215,Mitigation_Industry!$H:$H,0))</f>
        <v>0</v>
      </c>
      <c r="AD215" s="24">
        <f>INDEX(Mitigation_Industry!AD:AD,MATCH($A215,Mitigation_Industry!$H:$H,0))</f>
        <v>0</v>
      </c>
      <c r="AE215" s="24">
        <f>INDEX(Mitigation_Industry!AE:AE,MATCH($A215,Mitigation_Industry!$H:$H,0))</f>
        <v>0</v>
      </c>
    </row>
    <row r="216" spans="1:31" x14ac:dyDescent="0.45">
      <c r="A216" s="28" t="s">
        <v>1213</v>
      </c>
      <c r="B216" s="5" t="s">
        <v>67</v>
      </c>
      <c r="C216" s="5" t="s">
        <v>113</v>
      </c>
      <c r="D216" s="5">
        <v>2</v>
      </c>
      <c r="E216" s="2" t="s">
        <v>1161</v>
      </c>
      <c r="F216" s="31">
        <f>MAX(MAX(L216:AE216),-MIN(L216:AE216))</f>
        <v>0</v>
      </c>
      <c r="K216" s="32">
        <f t="shared" ref="K216:AE216" si="52">IF(ISNUMBER(K214),IF(ISNUMBER(K215),K215-K214,999999),0)</f>
        <v>0</v>
      </c>
      <c r="L216" s="32">
        <f t="shared" si="52"/>
        <v>0</v>
      </c>
      <c r="M216" s="32">
        <f t="shared" si="52"/>
        <v>0</v>
      </c>
      <c r="N216" s="32">
        <f t="shared" si="52"/>
        <v>0</v>
      </c>
      <c r="O216" s="32">
        <f t="shared" si="52"/>
        <v>0</v>
      </c>
      <c r="P216" s="32">
        <f t="shared" si="52"/>
        <v>0</v>
      </c>
      <c r="Q216" s="32">
        <f t="shared" si="52"/>
        <v>0</v>
      </c>
      <c r="R216" s="32">
        <f t="shared" si="52"/>
        <v>0</v>
      </c>
      <c r="S216" s="32">
        <f t="shared" si="52"/>
        <v>0</v>
      </c>
      <c r="T216" s="32">
        <f t="shared" si="52"/>
        <v>0</v>
      </c>
      <c r="U216" s="32">
        <f t="shared" si="52"/>
        <v>0</v>
      </c>
      <c r="V216" s="32">
        <f t="shared" si="52"/>
        <v>0</v>
      </c>
      <c r="W216" s="32">
        <f t="shared" si="52"/>
        <v>0</v>
      </c>
      <c r="X216" s="32">
        <f t="shared" si="52"/>
        <v>0</v>
      </c>
      <c r="Y216" s="32">
        <f t="shared" si="52"/>
        <v>0</v>
      </c>
      <c r="Z216" s="32">
        <f t="shared" si="52"/>
        <v>0</v>
      </c>
      <c r="AA216" s="32">
        <f t="shared" si="52"/>
        <v>0</v>
      </c>
      <c r="AB216" s="32">
        <f t="shared" si="52"/>
        <v>0</v>
      </c>
      <c r="AC216" s="32">
        <f t="shared" si="52"/>
        <v>0</v>
      </c>
      <c r="AD216" s="32">
        <f t="shared" si="52"/>
        <v>0</v>
      </c>
      <c r="AE216" s="32">
        <f t="shared" si="52"/>
        <v>0</v>
      </c>
    </row>
    <row r="218" spans="1:31" x14ac:dyDescent="0.45">
      <c r="A218" s="28" t="s">
        <v>1214</v>
      </c>
      <c r="B218" s="5" t="s">
        <v>69</v>
      </c>
      <c r="C218" s="5" t="s">
        <v>113</v>
      </c>
      <c r="D218" s="5">
        <v>2</v>
      </c>
      <c r="E218" s="5" t="s">
        <v>1159</v>
      </c>
      <c r="K218" s="24"/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</row>
    <row r="219" spans="1:31" x14ac:dyDescent="0.45">
      <c r="A219" s="28" t="s">
        <v>1214</v>
      </c>
      <c r="B219" s="5" t="s">
        <v>69</v>
      </c>
      <c r="C219" s="5" t="s">
        <v>113</v>
      </c>
      <c r="D219" s="5">
        <v>2</v>
      </c>
      <c r="E219" s="5" t="s">
        <v>1160</v>
      </c>
      <c r="K219" s="24">
        <f>INDEX(Mitigation_Industry!K:K,MATCH($A219,Mitigation_Industry!$H:$H,0))</f>
        <v>0</v>
      </c>
      <c r="L219" s="24">
        <f>INDEX(Mitigation_Industry!L:L,MATCH($A219,Mitigation_Industry!$H:$H,0))</f>
        <v>0</v>
      </c>
      <c r="M219" s="24">
        <f>INDEX(Mitigation_Industry!M:M,MATCH($A219,Mitigation_Industry!$H:$H,0))</f>
        <v>0</v>
      </c>
      <c r="N219" s="24">
        <f>INDEX(Mitigation_Industry!N:N,MATCH($A219,Mitigation_Industry!$H:$H,0))</f>
        <v>0</v>
      </c>
      <c r="O219" s="24">
        <f>INDEX(Mitigation_Industry!O:O,MATCH($A219,Mitigation_Industry!$H:$H,0))</f>
        <v>0</v>
      </c>
      <c r="P219" s="24">
        <f>INDEX(Mitigation_Industry!P:P,MATCH($A219,Mitigation_Industry!$H:$H,0))</f>
        <v>0</v>
      </c>
      <c r="Q219" s="24">
        <f>INDEX(Mitigation_Industry!Q:Q,MATCH($A219,Mitigation_Industry!$H:$H,0))</f>
        <v>0</v>
      </c>
      <c r="R219" s="24">
        <f>INDEX(Mitigation_Industry!R:R,MATCH($A219,Mitigation_Industry!$H:$H,0))</f>
        <v>0</v>
      </c>
      <c r="S219" s="24">
        <f>INDEX(Mitigation_Industry!S:S,MATCH($A219,Mitigation_Industry!$H:$H,0))</f>
        <v>0</v>
      </c>
      <c r="T219" s="24">
        <f>INDEX(Mitigation_Industry!T:T,MATCH($A219,Mitigation_Industry!$H:$H,0))</f>
        <v>0</v>
      </c>
      <c r="U219" s="24">
        <f>INDEX(Mitigation_Industry!U:U,MATCH($A219,Mitigation_Industry!$H:$H,0))</f>
        <v>0</v>
      </c>
      <c r="V219" s="24">
        <f>INDEX(Mitigation_Industry!V:V,MATCH($A219,Mitigation_Industry!$H:$H,0))</f>
        <v>0</v>
      </c>
      <c r="W219" s="24">
        <f>INDEX(Mitigation_Industry!W:W,MATCH($A219,Mitigation_Industry!$H:$H,0))</f>
        <v>0</v>
      </c>
      <c r="X219" s="24">
        <f>INDEX(Mitigation_Industry!X:X,MATCH($A219,Mitigation_Industry!$H:$H,0))</f>
        <v>0</v>
      </c>
      <c r="Y219" s="24">
        <f>INDEX(Mitigation_Industry!Y:Y,MATCH($A219,Mitigation_Industry!$H:$H,0))</f>
        <v>0</v>
      </c>
      <c r="Z219" s="24">
        <f>INDEX(Mitigation_Industry!Z:Z,MATCH($A219,Mitigation_Industry!$H:$H,0))</f>
        <v>0</v>
      </c>
      <c r="AA219" s="24">
        <f>INDEX(Mitigation_Industry!AA:AA,MATCH($A219,Mitigation_Industry!$H:$H,0))</f>
        <v>0</v>
      </c>
      <c r="AB219" s="24">
        <f>INDEX(Mitigation_Industry!AB:AB,MATCH($A219,Mitigation_Industry!$H:$H,0))</f>
        <v>0</v>
      </c>
      <c r="AC219" s="24">
        <f>INDEX(Mitigation_Industry!AC:AC,MATCH($A219,Mitigation_Industry!$H:$H,0))</f>
        <v>0</v>
      </c>
      <c r="AD219" s="24">
        <f>INDEX(Mitigation_Industry!AD:AD,MATCH($A219,Mitigation_Industry!$H:$H,0))</f>
        <v>0</v>
      </c>
      <c r="AE219" s="24">
        <f>INDEX(Mitigation_Industry!AE:AE,MATCH($A219,Mitigation_Industry!$H:$H,0))</f>
        <v>0</v>
      </c>
    </row>
    <row r="220" spans="1:31" x14ac:dyDescent="0.45">
      <c r="A220" s="28" t="s">
        <v>1214</v>
      </c>
      <c r="B220" s="5" t="s">
        <v>69</v>
      </c>
      <c r="C220" s="5" t="s">
        <v>113</v>
      </c>
      <c r="D220" s="5">
        <v>2</v>
      </c>
      <c r="E220" s="2" t="s">
        <v>1161</v>
      </c>
      <c r="F220" s="31">
        <f>MAX(MAX(L220:AE220),-MIN(L220:AE220))</f>
        <v>0</v>
      </c>
      <c r="K220" s="32">
        <f t="shared" ref="K220:AE220" si="53">IF(ISNUMBER(K218),IF(ISNUMBER(K219),K219-K218,999999),0)</f>
        <v>0</v>
      </c>
      <c r="L220" s="32">
        <f t="shared" si="53"/>
        <v>0</v>
      </c>
      <c r="M220" s="32">
        <f t="shared" si="53"/>
        <v>0</v>
      </c>
      <c r="N220" s="32">
        <f t="shared" si="53"/>
        <v>0</v>
      </c>
      <c r="O220" s="32">
        <f t="shared" si="53"/>
        <v>0</v>
      </c>
      <c r="P220" s="32">
        <f t="shared" si="53"/>
        <v>0</v>
      </c>
      <c r="Q220" s="32">
        <f t="shared" si="53"/>
        <v>0</v>
      </c>
      <c r="R220" s="32">
        <f t="shared" si="53"/>
        <v>0</v>
      </c>
      <c r="S220" s="32">
        <f t="shared" si="53"/>
        <v>0</v>
      </c>
      <c r="T220" s="32">
        <f t="shared" si="53"/>
        <v>0</v>
      </c>
      <c r="U220" s="32">
        <f t="shared" si="53"/>
        <v>0</v>
      </c>
      <c r="V220" s="32">
        <f t="shared" si="53"/>
        <v>0</v>
      </c>
      <c r="W220" s="32">
        <f t="shared" si="53"/>
        <v>0</v>
      </c>
      <c r="X220" s="32">
        <f t="shared" si="53"/>
        <v>0</v>
      </c>
      <c r="Y220" s="32">
        <f t="shared" si="53"/>
        <v>0</v>
      </c>
      <c r="Z220" s="32">
        <f t="shared" si="53"/>
        <v>0</v>
      </c>
      <c r="AA220" s="32">
        <f t="shared" si="53"/>
        <v>0</v>
      </c>
      <c r="AB220" s="32">
        <f t="shared" si="53"/>
        <v>0</v>
      </c>
      <c r="AC220" s="32">
        <f t="shared" si="53"/>
        <v>0</v>
      </c>
      <c r="AD220" s="32">
        <f t="shared" si="53"/>
        <v>0</v>
      </c>
      <c r="AE220" s="32">
        <f t="shared" si="53"/>
        <v>0</v>
      </c>
    </row>
    <row r="222" spans="1:31" x14ac:dyDescent="0.45">
      <c r="A222" s="28" t="s">
        <v>1215</v>
      </c>
      <c r="B222" s="5" t="s">
        <v>49</v>
      </c>
      <c r="C222" s="5" t="s">
        <v>115</v>
      </c>
      <c r="D222" s="5">
        <v>2</v>
      </c>
      <c r="E222" s="5" t="s">
        <v>1159</v>
      </c>
      <c r="K222" s="24"/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</row>
    <row r="223" spans="1:31" x14ac:dyDescent="0.45">
      <c r="A223" s="28" t="s">
        <v>1215</v>
      </c>
      <c r="B223" s="5" t="s">
        <v>49</v>
      </c>
      <c r="C223" s="5" t="s">
        <v>115</v>
      </c>
      <c r="D223" s="5">
        <v>2</v>
      </c>
      <c r="E223" s="5" t="s">
        <v>1160</v>
      </c>
      <c r="K223" s="24">
        <f>INDEX(Mitigation_Industry!K:K,MATCH($A223,Mitigation_Industry!$H:$H,0))</f>
        <v>0</v>
      </c>
      <c r="L223" s="24">
        <f>INDEX(Mitigation_Industry!L:L,MATCH($A223,Mitigation_Industry!$H:$H,0))</f>
        <v>0</v>
      </c>
      <c r="M223" s="24">
        <f>INDEX(Mitigation_Industry!M:M,MATCH($A223,Mitigation_Industry!$H:$H,0))</f>
        <v>0</v>
      </c>
      <c r="N223" s="24">
        <f>INDEX(Mitigation_Industry!N:N,MATCH($A223,Mitigation_Industry!$H:$H,0))</f>
        <v>0</v>
      </c>
      <c r="O223" s="24">
        <f>INDEX(Mitigation_Industry!O:O,MATCH($A223,Mitigation_Industry!$H:$H,0))</f>
        <v>0</v>
      </c>
      <c r="P223" s="24">
        <f>INDEX(Mitigation_Industry!P:P,MATCH($A223,Mitigation_Industry!$H:$H,0))</f>
        <v>0</v>
      </c>
      <c r="Q223" s="24">
        <f>INDEX(Mitigation_Industry!Q:Q,MATCH($A223,Mitigation_Industry!$H:$H,0))</f>
        <v>0</v>
      </c>
      <c r="R223" s="24">
        <f>INDEX(Mitigation_Industry!R:R,MATCH($A223,Mitigation_Industry!$H:$H,0))</f>
        <v>0</v>
      </c>
      <c r="S223" s="24">
        <f>INDEX(Mitigation_Industry!S:S,MATCH($A223,Mitigation_Industry!$H:$H,0))</f>
        <v>0</v>
      </c>
      <c r="T223" s="24">
        <f>INDEX(Mitigation_Industry!T:T,MATCH($A223,Mitigation_Industry!$H:$H,0))</f>
        <v>0</v>
      </c>
      <c r="U223" s="24">
        <f>INDEX(Mitigation_Industry!U:U,MATCH($A223,Mitigation_Industry!$H:$H,0))</f>
        <v>0</v>
      </c>
      <c r="V223" s="24">
        <f>INDEX(Mitigation_Industry!V:V,MATCH($A223,Mitigation_Industry!$H:$H,0))</f>
        <v>0</v>
      </c>
      <c r="W223" s="24">
        <f>INDEX(Mitigation_Industry!W:W,MATCH($A223,Mitigation_Industry!$H:$H,0))</f>
        <v>0</v>
      </c>
      <c r="X223" s="24">
        <f>INDEX(Mitigation_Industry!X:X,MATCH($A223,Mitigation_Industry!$H:$H,0))</f>
        <v>0</v>
      </c>
      <c r="Y223" s="24">
        <f>INDEX(Mitigation_Industry!Y:Y,MATCH($A223,Mitigation_Industry!$H:$H,0))</f>
        <v>0</v>
      </c>
      <c r="Z223" s="24">
        <f>INDEX(Mitigation_Industry!Z:Z,MATCH($A223,Mitigation_Industry!$H:$H,0))</f>
        <v>0</v>
      </c>
      <c r="AA223" s="24">
        <f>INDEX(Mitigation_Industry!AA:AA,MATCH($A223,Mitigation_Industry!$H:$H,0))</f>
        <v>0</v>
      </c>
      <c r="AB223" s="24">
        <f>INDEX(Mitigation_Industry!AB:AB,MATCH($A223,Mitigation_Industry!$H:$H,0))</f>
        <v>0</v>
      </c>
      <c r="AC223" s="24">
        <f>INDEX(Mitigation_Industry!AC:AC,MATCH($A223,Mitigation_Industry!$H:$H,0))</f>
        <v>0</v>
      </c>
      <c r="AD223" s="24">
        <f>INDEX(Mitigation_Industry!AD:AD,MATCH($A223,Mitigation_Industry!$H:$H,0))</f>
        <v>0</v>
      </c>
      <c r="AE223" s="24">
        <f>INDEX(Mitigation_Industry!AE:AE,MATCH($A223,Mitigation_Industry!$H:$H,0))</f>
        <v>0</v>
      </c>
    </row>
    <row r="224" spans="1:31" x14ac:dyDescent="0.45">
      <c r="A224" s="28" t="s">
        <v>1215</v>
      </c>
      <c r="B224" s="5" t="s">
        <v>49</v>
      </c>
      <c r="C224" s="5" t="s">
        <v>115</v>
      </c>
      <c r="D224" s="5">
        <v>2</v>
      </c>
      <c r="E224" s="2" t="s">
        <v>1161</v>
      </c>
      <c r="F224" s="31">
        <f>MAX(MAX(L224:AE224),-MIN(L224:AE224))</f>
        <v>0</v>
      </c>
      <c r="K224" s="32">
        <f t="shared" ref="K224:AE224" si="54">IF(ISNUMBER(K222),IF(ISNUMBER(K223),K223-K222,999999),0)</f>
        <v>0</v>
      </c>
      <c r="L224" s="32">
        <f t="shared" si="54"/>
        <v>0</v>
      </c>
      <c r="M224" s="32">
        <f t="shared" si="54"/>
        <v>0</v>
      </c>
      <c r="N224" s="32">
        <f t="shared" si="54"/>
        <v>0</v>
      </c>
      <c r="O224" s="32">
        <f t="shared" si="54"/>
        <v>0</v>
      </c>
      <c r="P224" s="32">
        <f t="shared" si="54"/>
        <v>0</v>
      </c>
      <c r="Q224" s="32">
        <f t="shared" si="54"/>
        <v>0</v>
      </c>
      <c r="R224" s="32">
        <f t="shared" si="54"/>
        <v>0</v>
      </c>
      <c r="S224" s="32">
        <f t="shared" si="54"/>
        <v>0</v>
      </c>
      <c r="T224" s="32">
        <f t="shared" si="54"/>
        <v>0</v>
      </c>
      <c r="U224" s="32">
        <f t="shared" si="54"/>
        <v>0</v>
      </c>
      <c r="V224" s="32">
        <f t="shared" si="54"/>
        <v>0</v>
      </c>
      <c r="W224" s="32">
        <f t="shared" si="54"/>
        <v>0</v>
      </c>
      <c r="X224" s="32">
        <f t="shared" si="54"/>
        <v>0</v>
      </c>
      <c r="Y224" s="32">
        <f t="shared" si="54"/>
        <v>0</v>
      </c>
      <c r="Z224" s="32">
        <f t="shared" si="54"/>
        <v>0</v>
      </c>
      <c r="AA224" s="32">
        <f t="shared" si="54"/>
        <v>0</v>
      </c>
      <c r="AB224" s="32">
        <f t="shared" si="54"/>
        <v>0</v>
      </c>
      <c r="AC224" s="32">
        <f t="shared" si="54"/>
        <v>0</v>
      </c>
      <c r="AD224" s="32">
        <f t="shared" si="54"/>
        <v>0</v>
      </c>
      <c r="AE224" s="32">
        <f t="shared" si="54"/>
        <v>0</v>
      </c>
    </row>
    <row r="226" spans="1:31" x14ac:dyDescent="0.45">
      <c r="A226" s="28" t="s">
        <v>1216</v>
      </c>
      <c r="B226" s="5" t="s">
        <v>53</v>
      </c>
      <c r="C226" s="5" t="s">
        <v>115</v>
      </c>
      <c r="D226" s="5">
        <v>2</v>
      </c>
      <c r="E226" s="5" t="s">
        <v>1159</v>
      </c>
      <c r="K226" s="24"/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</row>
    <row r="227" spans="1:31" x14ac:dyDescent="0.45">
      <c r="A227" s="28" t="s">
        <v>1216</v>
      </c>
      <c r="B227" s="5" t="s">
        <v>53</v>
      </c>
      <c r="C227" s="5" t="s">
        <v>115</v>
      </c>
      <c r="D227" s="5">
        <v>2</v>
      </c>
      <c r="E227" s="5" t="s">
        <v>1160</v>
      </c>
      <c r="K227" s="24">
        <f>INDEX(Mitigation_Industry!K:K,MATCH($A227,Mitigation_Industry!$H:$H,0))</f>
        <v>0</v>
      </c>
      <c r="L227" s="24">
        <f>INDEX(Mitigation_Industry!L:L,MATCH($A227,Mitigation_Industry!$H:$H,0))</f>
        <v>0</v>
      </c>
      <c r="M227" s="24">
        <f>INDEX(Mitigation_Industry!M:M,MATCH($A227,Mitigation_Industry!$H:$H,0))</f>
        <v>0</v>
      </c>
      <c r="N227" s="24">
        <f>INDEX(Mitigation_Industry!N:N,MATCH($A227,Mitigation_Industry!$H:$H,0))</f>
        <v>0</v>
      </c>
      <c r="O227" s="24">
        <f>INDEX(Mitigation_Industry!O:O,MATCH($A227,Mitigation_Industry!$H:$H,0))</f>
        <v>0</v>
      </c>
      <c r="P227" s="24">
        <f>INDEX(Mitigation_Industry!P:P,MATCH($A227,Mitigation_Industry!$H:$H,0))</f>
        <v>0</v>
      </c>
      <c r="Q227" s="24">
        <f>INDEX(Mitigation_Industry!Q:Q,MATCH($A227,Mitigation_Industry!$H:$H,0))</f>
        <v>0</v>
      </c>
      <c r="R227" s="24">
        <f>INDEX(Mitigation_Industry!R:R,MATCH($A227,Mitigation_Industry!$H:$H,0))</f>
        <v>0</v>
      </c>
      <c r="S227" s="24">
        <f>INDEX(Mitigation_Industry!S:S,MATCH($A227,Mitigation_Industry!$H:$H,0))</f>
        <v>0</v>
      </c>
      <c r="T227" s="24">
        <f>INDEX(Mitigation_Industry!T:T,MATCH($A227,Mitigation_Industry!$H:$H,0))</f>
        <v>0</v>
      </c>
      <c r="U227" s="24">
        <f>INDEX(Mitigation_Industry!U:U,MATCH($A227,Mitigation_Industry!$H:$H,0))</f>
        <v>0</v>
      </c>
      <c r="V227" s="24">
        <f>INDEX(Mitigation_Industry!V:V,MATCH($A227,Mitigation_Industry!$H:$H,0))</f>
        <v>0</v>
      </c>
      <c r="W227" s="24">
        <f>INDEX(Mitigation_Industry!W:W,MATCH($A227,Mitigation_Industry!$H:$H,0))</f>
        <v>0</v>
      </c>
      <c r="X227" s="24">
        <f>INDEX(Mitigation_Industry!X:X,MATCH($A227,Mitigation_Industry!$H:$H,0))</f>
        <v>0</v>
      </c>
      <c r="Y227" s="24">
        <f>INDEX(Mitigation_Industry!Y:Y,MATCH($A227,Mitigation_Industry!$H:$H,0))</f>
        <v>0</v>
      </c>
      <c r="Z227" s="24">
        <f>INDEX(Mitigation_Industry!Z:Z,MATCH($A227,Mitigation_Industry!$H:$H,0))</f>
        <v>0</v>
      </c>
      <c r="AA227" s="24">
        <f>INDEX(Mitigation_Industry!AA:AA,MATCH($A227,Mitigation_Industry!$H:$H,0))</f>
        <v>0</v>
      </c>
      <c r="AB227" s="24">
        <f>INDEX(Mitigation_Industry!AB:AB,MATCH($A227,Mitigation_Industry!$H:$H,0))</f>
        <v>0</v>
      </c>
      <c r="AC227" s="24">
        <f>INDEX(Mitigation_Industry!AC:AC,MATCH($A227,Mitigation_Industry!$H:$H,0))</f>
        <v>0</v>
      </c>
      <c r="AD227" s="24">
        <f>INDEX(Mitigation_Industry!AD:AD,MATCH($A227,Mitigation_Industry!$H:$H,0))</f>
        <v>0</v>
      </c>
      <c r="AE227" s="24">
        <f>INDEX(Mitigation_Industry!AE:AE,MATCH($A227,Mitigation_Industry!$H:$H,0))</f>
        <v>0</v>
      </c>
    </row>
    <row r="228" spans="1:31" x14ac:dyDescent="0.45">
      <c r="A228" s="28" t="s">
        <v>1216</v>
      </c>
      <c r="B228" s="5" t="s">
        <v>53</v>
      </c>
      <c r="C228" s="5" t="s">
        <v>115</v>
      </c>
      <c r="D228" s="5">
        <v>2</v>
      </c>
      <c r="E228" s="2" t="s">
        <v>1161</v>
      </c>
      <c r="F228" s="31">
        <f>MAX(MAX(L228:AE228),-MIN(L228:AE228))</f>
        <v>0</v>
      </c>
      <c r="K228" s="32">
        <f t="shared" ref="K228:AE228" si="55">IF(ISNUMBER(K226),IF(ISNUMBER(K227),K227-K226,999999),0)</f>
        <v>0</v>
      </c>
      <c r="L228" s="32">
        <f t="shared" si="55"/>
        <v>0</v>
      </c>
      <c r="M228" s="32">
        <f t="shared" si="55"/>
        <v>0</v>
      </c>
      <c r="N228" s="32">
        <f t="shared" si="55"/>
        <v>0</v>
      </c>
      <c r="O228" s="32">
        <f t="shared" si="55"/>
        <v>0</v>
      </c>
      <c r="P228" s="32">
        <f t="shared" si="55"/>
        <v>0</v>
      </c>
      <c r="Q228" s="32">
        <f t="shared" si="55"/>
        <v>0</v>
      </c>
      <c r="R228" s="32">
        <f t="shared" si="55"/>
        <v>0</v>
      </c>
      <c r="S228" s="32">
        <f t="shared" si="55"/>
        <v>0</v>
      </c>
      <c r="T228" s="32">
        <f t="shared" si="55"/>
        <v>0</v>
      </c>
      <c r="U228" s="32">
        <f t="shared" si="55"/>
        <v>0</v>
      </c>
      <c r="V228" s="32">
        <f t="shared" si="55"/>
        <v>0</v>
      </c>
      <c r="W228" s="32">
        <f t="shared" si="55"/>
        <v>0</v>
      </c>
      <c r="X228" s="32">
        <f t="shared" si="55"/>
        <v>0</v>
      </c>
      <c r="Y228" s="32">
        <f t="shared" si="55"/>
        <v>0</v>
      </c>
      <c r="Z228" s="32">
        <f t="shared" si="55"/>
        <v>0</v>
      </c>
      <c r="AA228" s="32">
        <f t="shared" si="55"/>
        <v>0</v>
      </c>
      <c r="AB228" s="32">
        <f t="shared" si="55"/>
        <v>0</v>
      </c>
      <c r="AC228" s="32">
        <f t="shared" si="55"/>
        <v>0</v>
      </c>
      <c r="AD228" s="32">
        <f t="shared" si="55"/>
        <v>0</v>
      </c>
      <c r="AE228" s="32">
        <f t="shared" si="55"/>
        <v>0</v>
      </c>
    </row>
    <row r="230" spans="1:31" x14ac:dyDescent="0.45">
      <c r="A230" s="28" t="s">
        <v>1217</v>
      </c>
      <c r="B230" s="5" t="s">
        <v>55</v>
      </c>
      <c r="C230" s="5" t="s">
        <v>115</v>
      </c>
      <c r="D230" s="5">
        <v>2</v>
      </c>
      <c r="E230" s="5" t="s">
        <v>1159</v>
      </c>
      <c r="K230" s="24"/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</row>
    <row r="231" spans="1:31" x14ac:dyDescent="0.45">
      <c r="A231" s="28" t="s">
        <v>1217</v>
      </c>
      <c r="B231" s="5" t="s">
        <v>55</v>
      </c>
      <c r="C231" s="5" t="s">
        <v>115</v>
      </c>
      <c r="D231" s="5">
        <v>2</v>
      </c>
      <c r="E231" s="5" t="s">
        <v>1160</v>
      </c>
      <c r="K231" s="24">
        <f>INDEX(Mitigation_Industry!K:K,MATCH($A231,Mitigation_Industry!$H:$H,0))</f>
        <v>0</v>
      </c>
      <c r="L231" s="24">
        <f>INDEX(Mitigation_Industry!L:L,MATCH($A231,Mitigation_Industry!$H:$H,0))</f>
        <v>0</v>
      </c>
      <c r="M231" s="24">
        <f>INDEX(Mitigation_Industry!M:M,MATCH($A231,Mitigation_Industry!$H:$H,0))</f>
        <v>0</v>
      </c>
      <c r="N231" s="24">
        <f>INDEX(Mitigation_Industry!N:N,MATCH($A231,Mitigation_Industry!$H:$H,0))</f>
        <v>0</v>
      </c>
      <c r="O231" s="24">
        <f>INDEX(Mitigation_Industry!O:O,MATCH($A231,Mitigation_Industry!$H:$H,0))</f>
        <v>0</v>
      </c>
      <c r="P231" s="24">
        <f>INDEX(Mitigation_Industry!P:P,MATCH($A231,Mitigation_Industry!$H:$H,0))</f>
        <v>0</v>
      </c>
      <c r="Q231" s="24">
        <f>INDEX(Mitigation_Industry!Q:Q,MATCH($A231,Mitigation_Industry!$H:$H,0))</f>
        <v>0</v>
      </c>
      <c r="R231" s="24">
        <f>INDEX(Mitigation_Industry!R:R,MATCH($A231,Mitigation_Industry!$H:$H,0))</f>
        <v>0</v>
      </c>
      <c r="S231" s="24">
        <f>INDEX(Mitigation_Industry!S:S,MATCH($A231,Mitigation_Industry!$H:$H,0))</f>
        <v>0</v>
      </c>
      <c r="T231" s="24">
        <f>INDEX(Mitigation_Industry!T:T,MATCH($A231,Mitigation_Industry!$H:$H,0))</f>
        <v>0</v>
      </c>
      <c r="U231" s="24">
        <f>INDEX(Mitigation_Industry!U:U,MATCH($A231,Mitigation_Industry!$H:$H,0))</f>
        <v>0</v>
      </c>
      <c r="V231" s="24">
        <f>INDEX(Mitigation_Industry!V:V,MATCH($A231,Mitigation_Industry!$H:$H,0))</f>
        <v>0</v>
      </c>
      <c r="W231" s="24">
        <f>INDEX(Mitigation_Industry!W:W,MATCH($A231,Mitigation_Industry!$H:$H,0))</f>
        <v>0</v>
      </c>
      <c r="X231" s="24">
        <f>INDEX(Mitigation_Industry!X:X,MATCH($A231,Mitigation_Industry!$H:$H,0))</f>
        <v>0</v>
      </c>
      <c r="Y231" s="24">
        <f>INDEX(Mitigation_Industry!Y:Y,MATCH($A231,Mitigation_Industry!$H:$H,0))</f>
        <v>0</v>
      </c>
      <c r="Z231" s="24">
        <f>INDEX(Mitigation_Industry!Z:Z,MATCH($A231,Mitigation_Industry!$H:$H,0))</f>
        <v>0</v>
      </c>
      <c r="AA231" s="24">
        <f>INDEX(Mitigation_Industry!AA:AA,MATCH($A231,Mitigation_Industry!$H:$H,0))</f>
        <v>0</v>
      </c>
      <c r="AB231" s="24">
        <f>INDEX(Mitigation_Industry!AB:AB,MATCH($A231,Mitigation_Industry!$H:$H,0))</f>
        <v>0</v>
      </c>
      <c r="AC231" s="24">
        <f>INDEX(Mitigation_Industry!AC:AC,MATCH($A231,Mitigation_Industry!$H:$H,0))</f>
        <v>0</v>
      </c>
      <c r="AD231" s="24">
        <f>INDEX(Mitigation_Industry!AD:AD,MATCH($A231,Mitigation_Industry!$H:$H,0))</f>
        <v>0</v>
      </c>
      <c r="AE231" s="24">
        <f>INDEX(Mitigation_Industry!AE:AE,MATCH($A231,Mitigation_Industry!$H:$H,0))</f>
        <v>0</v>
      </c>
    </row>
    <row r="232" spans="1:31" x14ac:dyDescent="0.45">
      <c r="A232" s="28" t="s">
        <v>1217</v>
      </c>
      <c r="B232" s="5" t="s">
        <v>55</v>
      </c>
      <c r="C232" s="5" t="s">
        <v>115</v>
      </c>
      <c r="D232" s="5">
        <v>2</v>
      </c>
      <c r="E232" s="2" t="s">
        <v>1161</v>
      </c>
      <c r="F232" s="31">
        <f>MAX(MAX(L232:AE232),-MIN(L232:AE232))</f>
        <v>0</v>
      </c>
      <c r="K232" s="32">
        <f t="shared" ref="K232:AE232" si="56">IF(ISNUMBER(K230),IF(ISNUMBER(K231),K231-K230,999999),0)</f>
        <v>0</v>
      </c>
      <c r="L232" s="32">
        <f t="shared" si="56"/>
        <v>0</v>
      </c>
      <c r="M232" s="32">
        <f t="shared" si="56"/>
        <v>0</v>
      </c>
      <c r="N232" s="32">
        <f t="shared" si="56"/>
        <v>0</v>
      </c>
      <c r="O232" s="32">
        <f t="shared" si="56"/>
        <v>0</v>
      </c>
      <c r="P232" s="32">
        <f t="shared" si="56"/>
        <v>0</v>
      </c>
      <c r="Q232" s="32">
        <f t="shared" si="56"/>
        <v>0</v>
      </c>
      <c r="R232" s="32">
        <f t="shared" si="56"/>
        <v>0</v>
      </c>
      <c r="S232" s="32">
        <f t="shared" si="56"/>
        <v>0</v>
      </c>
      <c r="T232" s="32">
        <f t="shared" si="56"/>
        <v>0</v>
      </c>
      <c r="U232" s="32">
        <f t="shared" si="56"/>
        <v>0</v>
      </c>
      <c r="V232" s="32">
        <f t="shared" si="56"/>
        <v>0</v>
      </c>
      <c r="W232" s="32">
        <f t="shared" si="56"/>
        <v>0</v>
      </c>
      <c r="X232" s="32">
        <f t="shared" si="56"/>
        <v>0</v>
      </c>
      <c r="Y232" s="32">
        <f t="shared" si="56"/>
        <v>0</v>
      </c>
      <c r="Z232" s="32">
        <f t="shared" si="56"/>
        <v>0</v>
      </c>
      <c r="AA232" s="32">
        <f t="shared" si="56"/>
        <v>0</v>
      </c>
      <c r="AB232" s="32">
        <f t="shared" si="56"/>
        <v>0</v>
      </c>
      <c r="AC232" s="32">
        <f t="shared" si="56"/>
        <v>0</v>
      </c>
      <c r="AD232" s="32">
        <f t="shared" si="56"/>
        <v>0</v>
      </c>
      <c r="AE232" s="32">
        <f t="shared" si="56"/>
        <v>0</v>
      </c>
    </row>
    <row r="234" spans="1:31" x14ac:dyDescent="0.45">
      <c r="A234" s="28" t="s">
        <v>1218</v>
      </c>
      <c r="B234" s="5" t="s">
        <v>58</v>
      </c>
      <c r="C234" s="5" t="s">
        <v>115</v>
      </c>
      <c r="D234" s="5">
        <v>2</v>
      </c>
      <c r="E234" s="5" t="s">
        <v>1159</v>
      </c>
      <c r="K234" s="24"/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</row>
    <row r="235" spans="1:31" x14ac:dyDescent="0.45">
      <c r="A235" s="28" t="s">
        <v>1218</v>
      </c>
      <c r="B235" s="5" t="s">
        <v>58</v>
      </c>
      <c r="C235" s="5" t="s">
        <v>115</v>
      </c>
      <c r="D235" s="5">
        <v>2</v>
      </c>
      <c r="E235" s="5" t="s">
        <v>1160</v>
      </c>
      <c r="K235" s="24">
        <f>INDEX(Mitigation_Industry!K:K,MATCH($A235,Mitigation_Industry!$H:$H,0))</f>
        <v>0</v>
      </c>
      <c r="L235" s="24">
        <f>INDEX(Mitigation_Industry!L:L,MATCH($A235,Mitigation_Industry!$H:$H,0))</f>
        <v>0</v>
      </c>
      <c r="M235" s="24">
        <f>INDEX(Mitigation_Industry!M:M,MATCH($A235,Mitigation_Industry!$H:$H,0))</f>
        <v>0</v>
      </c>
      <c r="N235" s="24">
        <f>INDEX(Mitigation_Industry!N:N,MATCH($A235,Mitigation_Industry!$H:$H,0))</f>
        <v>0</v>
      </c>
      <c r="O235" s="24">
        <f>INDEX(Mitigation_Industry!O:O,MATCH($A235,Mitigation_Industry!$H:$H,0))</f>
        <v>0</v>
      </c>
      <c r="P235" s="24">
        <f>INDEX(Mitigation_Industry!P:P,MATCH($A235,Mitigation_Industry!$H:$H,0))</f>
        <v>0</v>
      </c>
      <c r="Q235" s="24">
        <f>INDEX(Mitigation_Industry!Q:Q,MATCH($A235,Mitigation_Industry!$H:$H,0))</f>
        <v>0</v>
      </c>
      <c r="R235" s="24">
        <f>INDEX(Mitigation_Industry!R:R,MATCH($A235,Mitigation_Industry!$H:$H,0))</f>
        <v>0</v>
      </c>
      <c r="S235" s="24">
        <f>INDEX(Mitigation_Industry!S:S,MATCH($A235,Mitigation_Industry!$H:$H,0))</f>
        <v>0</v>
      </c>
      <c r="T235" s="24">
        <f>INDEX(Mitigation_Industry!T:T,MATCH($A235,Mitigation_Industry!$H:$H,0))</f>
        <v>0</v>
      </c>
      <c r="U235" s="24">
        <f>INDEX(Mitigation_Industry!U:U,MATCH($A235,Mitigation_Industry!$H:$H,0))</f>
        <v>0</v>
      </c>
      <c r="V235" s="24">
        <f>INDEX(Mitigation_Industry!V:V,MATCH($A235,Mitigation_Industry!$H:$H,0))</f>
        <v>0</v>
      </c>
      <c r="W235" s="24">
        <f>INDEX(Mitigation_Industry!W:W,MATCH($A235,Mitigation_Industry!$H:$H,0))</f>
        <v>0</v>
      </c>
      <c r="X235" s="24">
        <f>INDEX(Mitigation_Industry!X:X,MATCH($A235,Mitigation_Industry!$H:$H,0))</f>
        <v>0</v>
      </c>
      <c r="Y235" s="24">
        <f>INDEX(Mitigation_Industry!Y:Y,MATCH($A235,Mitigation_Industry!$H:$H,0))</f>
        <v>0</v>
      </c>
      <c r="Z235" s="24">
        <f>INDEX(Mitigation_Industry!Z:Z,MATCH($A235,Mitigation_Industry!$H:$H,0))</f>
        <v>0</v>
      </c>
      <c r="AA235" s="24">
        <f>INDEX(Mitigation_Industry!AA:AA,MATCH($A235,Mitigation_Industry!$H:$H,0))</f>
        <v>0</v>
      </c>
      <c r="AB235" s="24">
        <f>INDEX(Mitigation_Industry!AB:AB,MATCH($A235,Mitigation_Industry!$H:$H,0))</f>
        <v>0</v>
      </c>
      <c r="AC235" s="24">
        <f>INDEX(Mitigation_Industry!AC:AC,MATCH($A235,Mitigation_Industry!$H:$H,0))</f>
        <v>0</v>
      </c>
      <c r="AD235" s="24">
        <f>INDEX(Mitigation_Industry!AD:AD,MATCH($A235,Mitigation_Industry!$H:$H,0))</f>
        <v>0</v>
      </c>
      <c r="AE235" s="24">
        <f>INDEX(Mitigation_Industry!AE:AE,MATCH($A235,Mitigation_Industry!$H:$H,0))</f>
        <v>0</v>
      </c>
    </row>
    <row r="236" spans="1:31" x14ac:dyDescent="0.45">
      <c r="A236" s="28" t="s">
        <v>1218</v>
      </c>
      <c r="B236" s="5" t="s">
        <v>58</v>
      </c>
      <c r="C236" s="5" t="s">
        <v>115</v>
      </c>
      <c r="D236" s="5">
        <v>2</v>
      </c>
      <c r="E236" s="2" t="s">
        <v>1161</v>
      </c>
      <c r="F236" s="31">
        <f>MAX(MAX(L236:AE236),-MIN(L236:AE236))</f>
        <v>0</v>
      </c>
      <c r="K236" s="32">
        <f t="shared" ref="K236:AE236" si="57">IF(ISNUMBER(K234),IF(ISNUMBER(K235),K235-K234,999999),0)</f>
        <v>0</v>
      </c>
      <c r="L236" s="32">
        <f t="shared" si="57"/>
        <v>0</v>
      </c>
      <c r="M236" s="32">
        <f t="shared" si="57"/>
        <v>0</v>
      </c>
      <c r="N236" s="32">
        <f t="shared" si="57"/>
        <v>0</v>
      </c>
      <c r="O236" s="32">
        <f t="shared" si="57"/>
        <v>0</v>
      </c>
      <c r="P236" s="32">
        <f t="shared" si="57"/>
        <v>0</v>
      </c>
      <c r="Q236" s="32">
        <f t="shared" si="57"/>
        <v>0</v>
      </c>
      <c r="R236" s="32">
        <f t="shared" si="57"/>
        <v>0</v>
      </c>
      <c r="S236" s="32">
        <f t="shared" si="57"/>
        <v>0</v>
      </c>
      <c r="T236" s="32">
        <f t="shared" si="57"/>
        <v>0</v>
      </c>
      <c r="U236" s="32">
        <f t="shared" si="57"/>
        <v>0</v>
      </c>
      <c r="V236" s="32">
        <f t="shared" si="57"/>
        <v>0</v>
      </c>
      <c r="W236" s="32">
        <f t="shared" si="57"/>
        <v>0</v>
      </c>
      <c r="X236" s="32">
        <f t="shared" si="57"/>
        <v>0</v>
      </c>
      <c r="Y236" s="32">
        <f t="shared" si="57"/>
        <v>0</v>
      </c>
      <c r="Z236" s="32">
        <f t="shared" si="57"/>
        <v>0</v>
      </c>
      <c r="AA236" s="32">
        <f t="shared" si="57"/>
        <v>0</v>
      </c>
      <c r="AB236" s="32">
        <f t="shared" si="57"/>
        <v>0</v>
      </c>
      <c r="AC236" s="32">
        <f t="shared" si="57"/>
        <v>0</v>
      </c>
      <c r="AD236" s="32">
        <f t="shared" si="57"/>
        <v>0</v>
      </c>
      <c r="AE236" s="32">
        <f t="shared" si="57"/>
        <v>0</v>
      </c>
    </row>
    <row r="238" spans="1:31" x14ac:dyDescent="0.45">
      <c r="A238" s="28" t="s">
        <v>1219</v>
      </c>
      <c r="B238" s="5" t="s">
        <v>60</v>
      </c>
      <c r="C238" s="5" t="s">
        <v>115</v>
      </c>
      <c r="D238" s="5">
        <v>2</v>
      </c>
      <c r="E238" s="5" t="s">
        <v>1159</v>
      </c>
      <c r="K238" s="24"/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</row>
    <row r="239" spans="1:31" x14ac:dyDescent="0.45">
      <c r="A239" s="28" t="s">
        <v>1219</v>
      </c>
      <c r="B239" s="5" t="s">
        <v>60</v>
      </c>
      <c r="C239" s="5" t="s">
        <v>115</v>
      </c>
      <c r="D239" s="5">
        <v>2</v>
      </c>
      <c r="E239" s="5" t="s">
        <v>1160</v>
      </c>
      <c r="K239" s="24">
        <f>INDEX(Mitigation_Industry!K:K,MATCH($A239,Mitigation_Industry!$H:$H,0))</f>
        <v>0</v>
      </c>
      <c r="L239" s="24">
        <f>INDEX(Mitigation_Industry!L:L,MATCH($A239,Mitigation_Industry!$H:$H,0))</f>
        <v>0</v>
      </c>
      <c r="M239" s="24">
        <f>INDEX(Mitigation_Industry!M:M,MATCH($A239,Mitigation_Industry!$H:$H,0))</f>
        <v>0</v>
      </c>
      <c r="N239" s="24">
        <f>INDEX(Mitigation_Industry!N:N,MATCH($A239,Mitigation_Industry!$H:$H,0))</f>
        <v>0</v>
      </c>
      <c r="O239" s="24">
        <f>INDEX(Mitigation_Industry!O:O,MATCH($A239,Mitigation_Industry!$H:$H,0))</f>
        <v>0</v>
      </c>
      <c r="P239" s="24">
        <f>INDEX(Mitigation_Industry!P:P,MATCH($A239,Mitigation_Industry!$H:$H,0))</f>
        <v>0</v>
      </c>
      <c r="Q239" s="24">
        <f>INDEX(Mitigation_Industry!Q:Q,MATCH($A239,Mitigation_Industry!$H:$H,0))</f>
        <v>0</v>
      </c>
      <c r="R239" s="24">
        <f>INDEX(Mitigation_Industry!R:R,MATCH($A239,Mitigation_Industry!$H:$H,0))</f>
        <v>0</v>
      </c>
      <c r="S239" s="24">
        <f>INDEX(Mitigation_Industry!S:S,MATCH($A239,Mitigation_Industry!$H:$H,0))</f>
        <v>0</v>
      </c>
      <c r="T239" s="24">
        <f>INDEX(Mitigation_Industry!T:T,MATCH($A239,Mitigation_Industry!$H:$H,0))</f>
        <v>0</v>
      </c>
      <c r="U239" s="24">
        <f>INDEX(Mitigation_Industry!U:U,MATCH($A239,Mitigation_Industry!$H:$H,0))</f>
        <v>0</v>
      </c>
      <c r="V239" s="24">
        <f>INDEX(Mitigation_Industry!V:V,MATCH($A239,Mitigation_Industry!$H:$H,0))</f>
        <v>0</v>
      </c>
      <c r="W239" s="24">
        <f>INDEX(Mitigation_Industry!W:W,MATCH($A239,Mitigation_Industry!$H:$H,0))</f>
        <v>0</v>
      </c>
      <c r="X239" s="24">
        <f>INDEX(Mitigation_Industry!X:X,MATCH($A239,Mitigation_Industry!$H:$H,0))</f>
        <v>0</v>
      </c>
      <c r="Y239" s="24">
        <f>INDEX(Mitigation_Industry!Y:Y,MATCH($A239,Mitigation_Industry!$H:$H,0))</f>
        <v>0</v>
      </c>
      <c r="Z239" s="24">
        <f>INDEX(Mitigation_Industry!Z:Z,MATCH($A239,Mitigation_Industry!$H:$H,0))</f>
        <v>0</v>
      </c>
      <c r="AA239" s="24">
        <f>INDEX(Mitigation_Industry!AA:AA,MATCH($A239,Mitigation_Industry!$H:$H,0))</f>
        <v>0</v>
      </c>
      <c r="AB239" s="24">
        <f>INDEX(Mitigation_Industry!AB:AB,MATCH($A239,Mitigation_Industry!$H:$H,0))</f>
        <v>0</v>
      </c>
      <c r="AC239" s="24">
        <f>INDEX(Mitigation_Industry!AC:AC,MATCH($A239,Mitigation_Industry!$H:$H,0))</f>
        <v>0</v>
      </c>
      <c r="AD239" s="24">
        <f>INDEX(Mitigation_Industry!AD:AD,MATCH($A239,Mitigation_Industry!$H:$H,0))</f>
        <v>0</v>
      </c>
      <c r="AE239" s="24">
        <f>INDEX(Mitigation_Industry!AE:AE,MATCH($A239,Mitigation_Industry!$H:$H,0))</f>
        <v>0</v>
      </c>
    </row>
    <row r="240" spans="1:31" x14ac:dyDescent="0.45">
      <c r="A240" s="28" t="s">
        <v>1219</v>
      </c>
      <c r="B240" s="5" t="s">
        <v>60</v>
      </c>
      <c r="C240" s="5" t="s">
        <v>115</v>
      </c>
      <c r="D240" s="5">
        <v>2</v>
      </c>
      <c r="E240" s="2" t="s">
        <v>1161</v>
      </c>
      <c r="F240" s="31">
        <f>MAX(MAX(L240:AE240),-MIN(L240:AE240))</f>
        <v>0</v>
      </c>
      <c r="K240" s="32">
        <f t="shared" ref="K240:AE240" si="58">IF(ISNUMBER(K238),IF(ISNUMBER(K239),K239-K238,999999),0)</f>
        <v>0</v>
      </c>
      <c r="L240" s="32">
        <f t="shared" si="58"/>
        <v>0</v>
      </c>
      <c r="M240" s="32">
        <f t="shared" si="58"/>
        <v>0</v>
      </c>
      <c r="N240" s="32">
        <f t="shared" si="58"/>
        <v>0</v>
      </c>
      <c r="O240" s="32">
        <f t="shared" si="58"/>
        <v>0</v>
      </c>
      <c r="P240" s="32">
        <f t="shared" si="58"/>
        <v>0</v>
      </c>
      <c r="Q240" s="32">
        <f t="shared" si="58"/>
        <v>0</v>
      </c>
      <c r="R240" s="32">
        <f t="shared" si="58"/>
        <v>0</v>
      </c>
      <c r="S240" s="32">
        <f t="shared" si="58"/>
        <v>0</v>
      </c>
      <c r="T240" s="32">
        <f t="shared" si="58"/>
        <v>0</v>
      </c>
      <c r="U240" s="32">
        <f t="shared" si="58"/>
        <v>0</v>
      </c>
      <c r="V240" s="32">
        <f t="shared" si="58"/>
        <v>0</v>
      </c>
      <c r="W240" s="32">
        <f t="shared" si="58"/>
        <v>0</v>
      </c>
      <c r="X240" s="32">
        <f t="shared" si="58"/>
        <v>0</v>
      </c>
      <c r="Y240" s="32">
        <f t="shared" si="58"/>
        <v>0</v>
      </c>
      <c r="Z240" s="32">
        <f t="shared" si="58"/>
        <v>0</v>
      </c>
      <c r="AA240" s="32">
        <f t="shared" si="58"/>
        <v>0</v>
      </c>
      <c r="AB240" s="32">
        <f t="shared" si="58"/>
        <v>0</v>
      </c>
      <c r="AC240" s="32">
        <f t="shared" si="58"/>
        <v>0</v>
      </c>
      <c r="AD240" s="32">
        <f t="shared" si="58"/>
        <v>0</v>
      </c>
      <c r="AE240" s="32">
        <f t="shared" si="58"/>
        <v>0</v>
      </c>
    </row>
    <row r="242" spans="1:31" x14ac:dyDescent="0.45">
      <c r="A242" s="28" t="s">
        <v>1220</v>
      </c>
      <c r="B242" s="5" t="s">
        <v>62</v>
      </c>
      <c r="C242" s="5" t="s">
        <v>115</v>
      </c>
      <c r="D242" s="5">
        <v>2</v>
      </c>
      <c r="E242" s="5" t="s">
        <v>1159</v>
      </c>
      <c r="K242" s="24"/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</row>
    <row r="243" spans="1:31" x14ac:dyDescent="0.45">
      <c r="A243" s="28" t="s">
        <v>1220</v>
      </c>
      <c r="B243" s="5" t="s">
        <v>62</v>
      </c>
      <c r="C243" s="5" t="s">
        <v>115</v>
      </c>
      <c r="D243" s="5">
        <v>2</v>
      </c>
      <c r="E243" s="5" t="s">
        <v>1160</v>
      </c>
      <c r="K243" s="24">
        <f>INDEX(Mitigation_Industry!K:K,MATCH($A243,Mitigation_Industry!$H:$H,0))</f>
        <v>0</v>
      </c>
      <c r="L243" s="24">
        <f>INDEX(Mitigation_Industry!L:L,MATCH($A243,Mitigation_Industry!$H:$H,0))</f>
        <v>0</v>
      </c>
      <c r="M243" s="24">
        <f>INDEX(Mitigation_Industry!M:M,MATCH($A243,Mitigation_Industry!$H:$H,0))</f>
        <v>0</v>
      </c>
      <c r="N243" s="24">
        <f>INDEX(Mitigation_Industry!N:N,MATCH($A243,Mitigation_Industry!$H:$H,0))</f>
        <v>0</v>
      </c>
      <c r="O243" s="24">
        <f>INDEX(Mitigation_Industry!O:O,MATCH($A243,Mitigation_Industry!$H:$H,0))</f>
        <v>0</v>
      </c>
      <c r="P243" s="24">
        <f>INDEX(Mitigation_Industry!P:P,MATCH($A243,Mitigation_Industry!$H:$H,0))</f>
        <v>0</v>
      </c>
      <c r="Q243" s="24">
        <f>INDEX(Mitigation_Industry!Q:Q,MATCH($A243,Mitigation_Industry!$H:$H,0))</f>
        <v>0</v>
      </c>
      <c r="R243" s="24">
        <f>INDEX(Mitigation_Industry!R:R,MATCH($A243,Mitigation_Industry!$H:$H,0))</f>
        <v>0</v>
      </c>
      <c r="S243" s="24">
        <f>INDEX(Mitigation_Industry!S:S,MATCH($A243,Mitigation_Industry!$H:$H,0))</f>
        <v>0</v>
      </c>
      <c r="T243" s="24">
        <f>INDEX(Mitigation_Industry!T:T,MATCH($A243,Mitigation_Industry!$H:$H,0))</f>
        <v>0</v>
      </c>
      <c r="U243" s="24">
        <f>INDEX(Mitigation_Industry!U:U,MATCH($A243,Mitigation_Industry!$H:$H,0))</f>
        <v>0</v>
      </c>
      <c r="V243" s="24">
        <f>INDEX(Mitigation_Industry!V:V,MATCH($A243,Mitigation_Industry!$H:$H,0))</f>
        <v>0</v>
      </c>
      <c r="W243" s="24">
        <f>INDEX(Mitigation_Industry!W:W,MATCH($A243,Mitigation_Industry!$H:$H,0))</f>
        <v>0</v>
      </c>
      <c r="X243" s="24">
        <f>INDEX(Mitigation_Industry!X:X,MATCH($A243,Mitigation_Industry!$H:$H,0))</f>
        <v>0</v>
      </c>
      <c r="Y243" s="24">
        <f>INDEX(Mitigation_Industry!Y:Y,MATCH($A243,Mitigation_Industry!$H:$H,0))</f>
        <v>0</v>
      </c>
      <c r="Z243" s="24">
        <f>INDEX(Mitigation_Industry!Z:Z,MATCH($A243,Mitigation_Industry!$H:$H,0))</f>
        <v>0</v>
      </c>
      <c r="AA243" s="24">
        <f>INDEX(Mitigation_Industry!AA:AA,MATCH($A243,Mitigation_Industry!$H:$H,0))</f>
        <v>0</v>
      </c>
      <c r="AB243" s="24">
        <f>INDEX(Mitigation_Industry!AB:AB,MATCH($A243,Mitigation_Industry!$H:$H,0))</f>
        <v>0</v>
      </c>
      <c r="AC243" s="24">
        <f>INDEX(Mitigation_Industry!AC:AC,MATCH($A243,Mitigation_Industry!$H:$H,0))</f>
        <v>0</v>
      </c>
      <c r="AD243" s="24">
        <f>INDEX(Mitigation_Industry!AD:AD,MATCH($A243,Mitigation_Industry!$H:$H,0))</f>
        <v>0</v>
      </c>
      <c r="AE243" s="24">
        <f>INDEX(Mitigation_Industry!AE:AE,MATCH($A243,Mitigation_Industry!$H:$H,0))</f>
        <v>0</v>
      </c>
    </row>
    <row r="244" spans="1:31" x14ac:dyDescent="0.45">
      <c r="A244" s="28" t="s">
        <v>1220</v>
      </c>
      <c r="B244" s="5" t="s">
        <v>62</v>
      </c>
      <c r="C244" s="5" t="s">
        <v>115</v>
      </c>
      <c r="D244" s="5">
        <v>2</v>
      </c>
      <c r="E244" s="2" t="s">
        <v>1161</v>
      </c>
      <c r="F244" s="31">
        <f>MAX(MAX(L244:AE244),-MIN(L244:AE244))</f>
        <v>0</v>
      </c>
      <c r="K244" s="32">
        <f t="shared" ref="K244:AE244" si="59">IF(ISNUMBER(K242),IF(ISNUMBER(K243),K243-K242,999999),0)</f>
        <v>0</v>
      </c>
      <c r="L244" s="32">
        <f t="shared" si="59"/>
        <v>0</v>
      </c>
      <c r="M244" s="32">
        <f t="shared" si="59"/>
        <v>0</v>
      </c>
      <c r="N244" s="32">
        <f t="shared" si="59"/>
        <v>0</v>
      </c>
      <c r="O244" s="32">
        <f t="shared" si="59"/>
        <v>0</v>
      </c>
      <c r="P244" s="32">
        <f t="shared" si="59"/>
        <v>0</v>
      </c>
      <c r="Q244" s="32">
        <f t="shared" si="59"/>
        <v>0</v>
      </c>
      <c r="R244" s="32">
        <f t="shared" si="59"/>
        <v>0</v>
      </c>
      <c r="S244" s="32">
        <f t="shared" si="59"/>
        <v>0</v>
      </c>
      <c r="T244" s="32">
        <f t="shared" si="59"/>
        <v>0</v>
      </c>
      <c r="U244" s="32">
        <f t="shared" si="59"/>
        <v>0</v>
      </c>
      <c r="V244" s="32">
        <f t="shared" si="59"/>
        <v>0</v>
      </c>
      <c r="W244" s="32">
        <f t="shared" si="59"/>
        <v>0</v>
      </c>
      <c r="X244" s="32">
        <f t="shared" si="59"/>
        <v>0</v>
      </c>
      <c r="Y244" s="32">
        <f t="shared" si="59"/>
        <v>0</v>
      </c>
      <c r="Z244" s="32">
        <f t="shared" si="59"/>
        <v>0</v>
      </c>
      <c r="AA244" s="32">
        <f t="shared" si="59"/>
        <v>0</v>
      </c>
      <c r="AB244" s="32">
        <f t="shared" si="59"/>
        <v>0</v>
      </c>
      <c r="AC244" s="32">
        <f t="shared" si="59"/>
        <v>0</v>
      </c>
      <c r="AD244" s="32">
        <f t="shared" si="59"/>
        <v>0</v>
      </c>
      <c r="AE244" s="32">
        <f t="shared" si="59"/>
        <v>0</v>
      </c>
    </row>
    <row r="246" spans="1:31" x14ac:dyDescent="0.45">
      <c r="A246" s="28" t="s">
        <v>1221</v>
      </c>
      <c r="B246" s="5" t="s">
        <v>64</v>
      </c>
      <c r="C246" s="5" t="s">
        <v>115</v>
      </c>
      <c r="D246" s="5">
        <v>2</v>
      </c>
      <c r="E246" s="5" t="s">
        <v>1159</v>
      </c>
      <c r="K246" s="24"/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</row>
    <row r="247" spans="1:31" x14ac:dyDescent="0.45">
      <c r="A247" s="28" t="s">
        <v>1221</v>
      </c>
      <c r="B247" s="5" t="s">
        <v>64</v>
      </c>
      <c r="C247" s="5" t="s">
        <v>115</v>
      </c>
      <c r="D247" s="5">
        <v>2</v>
      </c>
      <c r="E247" s="5" t="s">
        <v>1160</v>
      </c>
      <c r="K247" s="24">
        <f>INDEX(Mitigation_Industry!K:K,MATCH($A247,Mitigation_Industry!$H:$H,0))</f>
        <v>0</v>
      </c>
      <c r="L247" s="24">
        <f>INDEX(Mitigation_Industry!L:L,MATCH($A247,Mitigation_Industry!$H:$H,0))</f>
        <v>0</v>
      </c>
      <c r="M247" s="24">
        <f>INDEX(Mitigation_Industry!M:M,MATCH($A247,Mitigation_Industry!$H:$H,0))</f>
        <v>0</v>
      </c>
      <c r="N247" s="24">
        <f>INDEX(Mitigation_Industry!N:N,MATCH($A247,Mitigation_Industry!$H:$H,0))</f>
        <v>0</v>
      </c>
      <c r="O247" s="24">
        <f>INDEX(Mitigation_Industry!O:O,MATCH($A247,Mitigation_Industry!$H:$H,0))</f>
        <v>0</v>
      </c>
      <c r="P247" s="24">
        <f>INDEX(Mitigation_Industry!P:P,MATCH($A247,Mitigation_Industry!$H:$H,0))</f>
        <v>0</v>
      </c>
      <c r="Q247" s="24">
        <f>INDEX(Mitigation_Industry!Q:Q,MATCH($A247,Mitigation_Industry!$H:$H,0))</f>
        <v>0</v>
      </c>
      <c r="R247" s="24">
        <f>INDEX(Mitigation_Industry!R:R,MATCH($A247,Mitigation_Industry!$H:$H,0))</f>
        <v>0</v>
      </c>
      <c r="S247" s="24">
        <f>INDEX(Mitigation_Industry!S:S,MATCH($A247,Mitigation_Industry!$H:$H,0))</f>
        <v>0</v>
      </c>
      <c r="T247" s="24">
        <f>INDEX(Mitigation_Industry!T:T,MATCH($A247,Mitigation_Industry!$H:$H,0))</f>
        <v>0</v>
      </c>
      <c r="U247" s="24">
        <f>INDEX(Mitigation_Industry!U:U,MATCH($A247,Mitigation_Industry!$H:$H,0))</f>
        <v>0</v>
      </c>
      <c r="V247" s="24">
        <f>INDEX(Mitigation_Industry!V:V,MATCH($A247,Mitigation_Industry!$H:$H,0))</f>
        <v>0</v>
      </c>
      <c r="W247" s="24">
        <f>INDEX(Mitigation_Industry!W:W,MATCH($A247,Mitigation_Industry!$H:$H,0))</f>
        <v>0</v>
      </c>
      <c r="X247" s="24">
        <f>INDEX(Mitigation_Industry!X:X,MATCH($A247,Mitigation_Industry!$H:$H,0))</f>
        <v>0</v>
      </c>
      <c r="Y247" s="24">
        <f>INDEX(Mitigation_Industry!Y:Y,MATCH($A247,Mitigation_Industry!$H:$H,0))</f>
        <v>0</v>
      </c>
      <c r="Z247" s="24">
        <f>INDEX(Mitigation_Industry!Z:Z,MATCH($A247,Mitigation_Industry!$H:$H,0))</f>
        <v>0</v>
      </c>
      <c r="AA247" s="24">
        <f>INDEX(Mitigation_Industry!AA:AA,MATCH($A247,Mitigation_Industry!$H:$H,0))</f>
        <v>0</v>
      </c>
      <c r="AB247" s="24">
        <f>INDEX(Mitigation_Industry!AB:AB,MATCH($A247,Mitigation_Industry!$H:$H,0))</f>
        <v>0</v>
      </c>
      <c r="AC247" s="24">
        <f>INDEX(Mitigation_Industry!AC:AC,MATCH($A247,Mitigation_Industry!$H:$H,0))</f>
        <v>0</v>
      </c>
      <c r="AD247" s="24">
        <f>INDEX(Mitigation_Industry!AD:AD,MATCH($A247,Mitigation_Industry!$H:$H,0))</f>
        <v>0</v>
      </c>
      <c r="AE247" s="24">
        <f>INDEX(Mitigation_Industry!AE:AE,MATCH($A247,Mitigation_Industry!$H:$H,0))</f>
        <v>0</v>
      </c>
    </row>
    <row r="248" spans="1:31" x14ac:dyDescent="0.45">
      <c r="A248" s="28" t="s">
        <v>1221</v>
      </c>
      <c r="B248" s="5" t="s">
        <v>64</v>
      </c>
      <c r="C248" s="5" t="s">
        <v>115</v>
      </c>
      <c r="D248" s="5">
        <v>2</v>
      </c>
      <c r="E248" s="2" t="s">
        <v>1161</v>
      </c>
      <c r="F248" s="31">
        <f>MAX(MAX(L248:AE248),-MIN(L248:AE248))</f>
        <v>0</v>
      </c>
      <c r="K248" s="32">
        <f t="shared" ref="K248:AE248" si="60">IF(ISNUMBER(K246),IF(ISNUMBER(K247),K247-K246,999999),0)</f>
        <v>0</v>
      </c>
      <c r="L248" s="32">
        <f t="shared" si="60"/>
        <v>0</v>
      </c>
      <c r="M248" s="32">
        <f t="shared" si="60"/>
        <v>0</v>
      </c>
      <c r="N248" s="32">
        <f t="shared" si="60"/>
        <v>0</v>
      </c>
      <c r="O248" s="32">
        <f t="shared" si="60"/>
        <v>0</v>
      </c>
      <c r="P248" s="32">
        <f t="shared" si="60"/>
        <v>0</v>
      </c>
      <c r="Q248" s="32">
        <f t="shared" si="60"/>
        <v>0</v>
      </c>
      <c r="R248" s="32">
        <f t="shared" si="60"/>
        <v>0</v>
      </c>
      <c r="S248" s="32">
        <f t="shared" si="60"/>
        <v>0</v>
      </c>
      <c r="T248" s="32">
        <f t="shared" si="60"/>
        <v>0</v>
      </c>
      <c r="U248" s="32">
        <f t="shared" si="60"/>
        <v>0</v>
      </c>
      <c r="V248" s="32">
        <f t="shared" si="60"/>
        <v>0</v>
      </c>
      <c r="W248" s="32">
        <f t="shared" si="60"/>
        <v>0</v>
      </c>
      <c r="X248" s="32">
        <f t="shared" si="60"/>
        <v>0</v>
      </c>
      <c r="Y248" s="32">
        <f t="shared" si="60"/>
        <v>0</v>
      </c>
      <c r="Z248" s="32">
        <f t="shared" si="60"/>
        <v>0</v>
      </c>
      <c r="AA248" s="32">
        <f t="shared" si="60"/>
        <v>0</v>
      </c>
      <c r="AB248" s="32">
        <f t="shared" si="60"/>
        <v>0</v>
      </c>
      <c r="AC248" s="32">
        <f t="shared" si="60"/>
        <v>0</v>
      </c>
      <c r="AD248" s="32">
        <f t="shared" si="60"/>
        <v>0</v>
      </c>
      <c r="AE248" s="32">
        <f t="shared" si="60"/>
        <v>0</v>
      </c>
    </row>
    <row r="250" spans="1:31" x14ac:dyDescent="0.45">
      <c r="A250" s="28" t="s">
        <v>1222</v>
      </c>
      <c r="B250" s="5" t="s">
        <v>67</v>
      </c>
      <c r="C250" s="5" t="s">
        <v>115</v>
      </c>
      <c r="D250" s="5">
        <v>2</v>
      </c>
      <c r="E250" s="5" t="s">
        <v>1159</v>
      </c>
      <c r="K250" s="24"/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</row>
    <row r="251" spans="1:31" x14ac:dyDescent="0.45">
      <c r="A251" s="28" t="s">
        <v>1222</v>
      </c>
      <c r="B251" s="5" t="s">
        <v>67</v>
      </c>
      <c r="C251" s="5" t="s">
        <v>115</v>
      </c>
      <c r="D251" s="5">
        <v>2</v>
      </c>
      <c r="E251" s="5" t="s">
        <v>1160</v>
      </c>
      <c r="K251" s="24">
        <f>INDEX(Mitigation_Industry!K:K,MATCH($A251,Mitigation_Industry!$H:$H,0))</f>
        <v>0</v>
      </c>
      <c r="L251" s="24">
        <f>INDEX(Mitigation_Industry!L:L,MATCH($A251,Mitigation_Industry!$H:$H,0))</f>
        <v>0</v>
      </c>
      <c r="M251" s="24">
        <f>INDEX(Mitigation_Industry!M:M,MATCH($A251,Mitigation_Industry!$H:$H,0))</f>
        <v>0</v>
      </c>
      <c r="N251" s="24">
        <f>INDEX(Mitigation_Industry!N:N,MATCH($A251,Mitigation_Industry!$H:$H,0))</f>
        <v>0</v>
      </c>
      <c r="O251" s="24">
        <f>INDEX(Mitigation_Industry!O:O,MATCH($A251,Mitigation_Industry!$H:$H,0))</f>
        <v>0</v>
      </c>
      <c r="P251" s="24">
        <f>INDEX(Mitigation_Industry!P:P,MATCH($A251,Mitigation_Industry!$H:$H,0))</f>
        <v>0</v>
      </c>
      <c r="Q251" s="24">
        <f>INDEX(Mitigation_Industry!Q:Q,MATCH($A251,Mitigation_Industry!$H:$H,0))</f>
        <v>0</v>
      </c>
      <c r="R251" s="24">
        <f>INDEX(Mitigation_Industry!R:R,MATCH($A251,Mitigation_Industry!$H:$H,0))</f>
        <v>0</v>
      </c>
      <c r="S251" s="24">
        <f>INDEX(Mitigation_Industry!S:S,MATCH($A251,Mitigation_Industry!$H:$H,0))</f>
        <v>0</v>
      </c>
      <c r="T251" s="24">
        <f>INDEX(Mitigation_Industry!T:T,MATCH($A251,Mitigation_Industry!$H:$H,0))</f>
        <v>0</v>
      </c>
      <c r="U251" s="24">
        <f>INDEX(Mitigation_Industry!U:U,MATCH($A251,Mitigation_Industry!$H:$H,0))</f>
        <v>0</v>
      </c>
      <c r="V251" s="24">
        <f>INDEX(Mitigation_Industry!V:V,MATCH($A251,Mitigation_Industry!$H:$H,0))</f>
        <v>0</v>
      </c>
      <c r="W251" s="24">
        <f>INDEX(Mitigation_Industry!W:W,MATCH($A251,Mitigation_Industry!$H:$H,0))</f>
        <v>0</v>
      </c>
      <c r="X251" s="24">
        <f>INDEX(Mitigation_Industry!X:X,MATCH($A251,Mitigation_Industry!$H:$H,0))</f>
        <v>0</v>
      </c>
      <c r="Y251" s="24">
        <f>INDEX(Mitigation_Industry!Y:Y,MATCH($A251,Mitigation_Industry!$H:$H,0))</f>
        <v>0</v>
      </c>
      <c r="Z251" s="24">
        <f>INDEX(Mitigation_Industry!Z:Z,MATCH($A251,Mitigation_Industry!$H:$H,0))</f>
        <v>0</v>
      </c>
      <c r="AA251" s="24">
        <f>INDEX(Mitigation_Industry!AA:AA,MATCH($A251,Mitigation_Industry!$H:$H,0))</f>
        <v>0</v>
      </c>
      <c r="AB251" s="24">
        <f>INDEX(Mitigation_Industry!AB:AB,MATCH($A251,Mitigation_Industry!$H:$H,0))</f>
        <v>0</v>
      </c>
      <c r="AC251" s="24">
        <f>INDEX(Mitigation_Industry!AC:AC,MATCH($A251,Mitigation_Industry!$H:$H,0))</f>
        <v>0</v>
      </c>
      <c r="AD251" s="24">
        <f>INDEX(Mitigation_Industry!AD:AD,MATCH($A251,Mitigation_Industry!$H:$H,0))</f>
        <v>0</v>
      </c>
      <c r="AE251" s="24">
        <f>INDEX(Mitigation_Industry!AE:AE,MATCH($A251,Mitigation_Industry!$H:$H,0))</f>
        <v>0</v>
      </c>
    </row>
    <row r="252" spans="1:31" x14ac:dyDescent="0.45">
      <c r="A252" s="28" t="s">
        <v>1222</v>
      </c>
      <c r="B252" s="5" t="s">
        <v>67</v>
      </c>
      <c r="C252" s="5" t="s">
        <v>115</v>
      </c>
      <c r="D252" s="5">
        <v>2</v>
      </c>
      <c r="E252" s="2" t="s">
        <v>1161</v>
      </c>
      <c r="F252" s="31">
        <f>MAX(MAX(L252:AE252),-MIN(L252:AE252))</f>
        <v>0</v>
      </c>
      <c r="K252" s="32">
        <f t="shared" ref="K252:AE252" si="61">IF(ISNUMBER(K250),IF(ISNUMBER(K251),K251-K250,999999),0)</f>
        <v>0</v>
      </c>
      <c r="L252" s="32">
        <f t="shared" si="61"/>
        <v>0</v>
      </c>
      <c r="M252" s="32">
        <f t="shared" si="61"/>
        <v>0</v>
      </c>
      <c r="N252" s="32">
        <f t="shared" si="61"/>
        <v>0</v>
      </c>
      <c r="O252" s="32">
        <f t="shared" si="61"/>
        <v>0</v>
      </c>
      <c r="P252" s="32">
        <f t="shared" si="61"/>
        <v>0</v>
      </c>
      <c r="Q252" s="32">
        <f t="shared" si="61"/>
        <v>0</v>
      </c>
      <c r="R252" s="32">
        <f t="shared" si="61"/>
        <v>0</v>
      </c>
      <c r="S252" s="32">
        <f t="shared" si="61"/>
        <v>0</v>
      </c>
      <c r="T252" s="32">
        <f t="shared" si="61"/>
        <v>0</v>
      </c>
      <c r="U252" s="32">
        <f t="shared" si="61"/>
        <v>0</v>
      </c>
      <c r="V252" s="32">
        <f t="shared" si="61"/>
        <v>0</v>
      </c>
      <c r="W252" s="32">
        <f t="shared" si="61"/>
        <v>0</v>
      </c>
      <c r="X252" s="32">
        <f t="shared" si="61"/>
        <v>0</v>
      </c>
      <c r="Y252" s="32">
        <f t="shared" si="61"/>
        <v>0</v>
      </c>
      <c r="Z252" s="32">
        <f t="shared" si="61"/>
        <v>0</v>
      </c>
      <c r="AA252" s="32">
        <f t="shared" si="61"/>
        <v>0</v>
      </c>
      <c r="AB252" s="32">
        <f t="shared" si="61"/>
        <v>0</v>
      </c>
      <c r="AC252" s="32">
        <f t="shared" si="61"/>
        <v>0</v>
      </c>
      <c r="AD252" s="32">
        <f t="shared" si="61"/>
        <v>0</v>
      </c>
      <c r="AE252" s="32">
        <f t="shared" si="61"/>
        <v>0</v>
      </c>
    </row>
    <row r="254" spans="1:31" x14ac:dyDescent="0.45">
      <c r="A254" s="28" t="s">
        <v>1223</v>
      </c>
      <c r="B254" s="5" t="s">
        <v>69</v>
      </c>
      <c r="C254" s="5" t="s">
        <v>115</v>
      </c>
      <c r="D254" s="5">
        <v>2</v>
      </c>
      <c r="E254" s="5" t="s">
        <v>1159</v>
      </c>
      <c r="K254" s="24"/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</row>
    <row r="255" spans="1:31" x14ac:dyDescent="0.45">
      <c r="A255" s="28" t="s">
        <v>1223</v>
      </c>
      <c r="B255" s="5" t="s">
        <v>69</v>
      </c>
      <c r="C255" s="5" t="s">
        <v>115</v>
      </c>
      <c r="D255" s="5">
        <v>2</v>
      </c>
      <c r="E255" s="5" t="s">
        <v>1160</v>
      </c>
      <c r="K255" s="24">
        <f>INDEX(Mitigation_Industry!K:K,MATCH($A255,Mitigation_Industry!$H:$H,0))</f>
        <v>0</v>
      </c>
      <c r="L255" s="24">
        <f>INDEX(Mitigation_Industry!L:L,MATCH($A255,Mitigation_Industry!$H:$H,0))</f>
        <v>0</v>
      </c>
      <c r="M255" s="24">
        <f>INDEX(Mitigation_Industry!M:M,MATCH($A255,Mitigation_Industry!$H:$H,0))</f>
        <v>0</v>
      </c>
      <c r="N255" s="24">
        <f>INDEX(Mitigation_Industry!N:N,MATCH($A255,Mitigation_Industry!$H:$H,0))</f>
        <v>0</v>
      </c>
      <c r="O255" s="24">
        <f>INDEX(Mitigation_Industry!O:O,MATCH($A255,Mitigation_Industry!$H:$H,0))</f>
        <v>0</v>
      </c>
      <c r="P255" s="24">
        <f>INDEX(Mitigation_Industry!P:P,MATCH($A255,Mitigation_Industry!$H:$H,0))</f>
        <v>0</v>
      </c>
      <c r="Q255" s="24">
        <f>INDEX(Mitigation_Industry!Q:Q,MATCH($A255,Mitigation_Industry!$H:$H,0))</f>
        <v>0</v>
      </c>
      <c r="R255" s="24">
        <f>INDEX(Mitigation_Industry!R:R,MATCH($A255,Mitigation_Industry!$H:$H,0))</f>
        <v>0</v>
      </c>
      <c r="S255" s="24">
        <f>INDEX(Mitigation_Industry!S:S,MATCH($A255,Mitigation_Industry!$H:$H,0))</f>
        <v>0</v>
      </c>
      <c r="T255" s="24">
        <f>INDEX(Mitigation_Industry!T:T,MATCH($A255,Mitigation_Industry!$H:$H,0))</f>
        <v>0</v>
      </c>
      <c r="U255" s="24">
        <f>INDEX(Mitigation_Industry!U:U,MATCH($A255,Mitigation_Industry!$H:$H,0))</f>
        <v>0</v>
      </c>
      <c r="V255" s="24">
        <f>INDEX(Mitigation_Industry!V:V,MATCH($A255,Mitigation_Industry!$H:$H,0))</f>
        <v>0</v>
      </c>
      <c r="W255" s="24">
        <f>INDEX(Mitigation_Industry!W:W,MATCH($A255,Mitigation_Industry!$H:$H,0))</f>
        <v>0</v>
      </c>
      <c r="X255" s="24">
        <f>INDEX(Mitigation_Industry!X:X,MATCH($A255,Mitigation_Industry!$H:$H,0))</f>
        <v>0</v>
      </c>
      <c r="Y255" s="24">
        <f>INDEX(Mitigation_Industry!Y:Y,MATCH($A255,Mitigation_Industry!$H:$H,0))</f>
        <v>0</v>
      </c>
      <c r="Z255" s="24">
        <f>INDEX(Mitigation_Industry!Z:Z,MATCH($A255,Mitigation_Industry!$H:$H,0))</f>
        <v>0</v>
      </c>
      <c r="AA255" s="24">
        <f>INDEX(Mitigation_Industry!AA:AA,MATCH($A255,Mitigation_Industry!$H:$H,0))</f>
        <v>0</v>
      </c>
      <c r="AB255" s="24">
        <f>INDEX(Mitigation_Industry!AB:AB,MATCH($A255,Mitigation_Industry!$H:$H,0))</f>
        <v>0</v>
      </c>
      <c r="AC255" s="24">
        <f>INDEX(Mitigation_Industry!AC:AC,MATCH($A255,Mitigation_Industry!$H:$H,0))</f>
        <v>0</v>
      </c>
      <c r="AD255" s="24">
        <f>INDEX(Mitigation_Industry!AD:AD,MATCH($A255,Mitigation_Industry!$H:$H,0))</f>
        <v>0</v>
      </c>
      <c r="AE255" s="24">
        <f>INDEX(Mitigation_Industry!AE:AE,MATCH($A255,Mitigation_Industry!$H:$H,0))</f>
        <v>0</v>
      </c>
    </row>
    <row r="256" spans="1:31" x14ac:dyDescent="0.45">
      <c r="A256" s="28" t="s">
        <v>1223</v>
      </c>
      <c r="B256" s="5" t="s">
        <v>69</v>
      </c>
      <c r="C256" s="5" t="s">
        <v>115</v>
      </c>
      <c r="D256" s="5">
        <v>2</v>
      </c>
      <c r="E256" s="2" t="s">
        <v>1161</v>
      </c>
      <c r="F256" s="31">
        <f>MAX(MAX(L256:AE256),-MIN(L256:AE256))</f>
        <v>0</v>
      </c>
      <c r="K256" s="32">
        <f t="shared" ref="K256:AE256" si="62">IF(ISNUMBER(K254),IF(ISNUMBER(K255),K255-K254,999999),0)</f>
        <v>0</v>
      </c>
      <c r="L256" s="32">
        <f t="shared" si="62"/>
        <v>0</v>
      </c>
      <c r="M256" s="32">
        <f t="shared" si="62"/>
        <v>0</v>
      </c>
      <c r="N256" s="32">
        <f t="shared" si="62"/>
        <v>0</v>
      </c>
      <c r="O256" s="32">
        <f t="shared" si="62"/>
        <v>0</v>
      </c>
      <c r="P256" s="32">
        <f t="shared" si="62"/>
        <v>0</v>
      </c>
      <c r="Q256" s="32">
        <f t="shared" si="62"/>
        <v>0</v>
      </c>
      <c r="R256" s="32">
        <f t="shared" si="62"/>
        <v>0</v>
      </c>
      <c r="S256" s="32">
        <f t="shared" si="62"/>
        <v>0</v>
      </c>
      <c r="T256" s="32">
        <f t="shared" si="62"/>
        <v>0</v>
      </c>
      <c r="U256" s="32">
        <f t="shared" si="62"/>
        <v>0</v>
      </c>
      <c r="V256" s="32">
        <f t="shared" si="62"/>
        <v>0</v>
      </c>
      <c r="W256" s="32">
        <f t="shared" si="62"/>
        <v>0</v>
      </c>
      <c r="X256" s="32">
        <f t="shared" si="62"/>
        <v>0</v>
      </c>
      <c r="Y256" s="32">
        <f t="shared" si="62"/>
        <v>0</v>
      </c>
      <c r="Z256" s="32">
        <f t="shared" si="62"/>
        <v>0</v>
      </c>
      <c r="AA256" s="32">
        <f t="shared" si="62"/>
        <v>0</v>
      </c>
      <c r="AB256" s="32">
        <f t="shared" si="62"/>
        <v>0</v>
      </c>
      <c r="AC256" s="32">
        <f t="shared" si="62"/>
        <v>0</v>
      </c>
      <c r="AD256" s="32">
        <f t="shared" si="62"/>
        <v>0</v>
      </c>
      <c r="AE256" s="32">
        <f t="shared" si="62"/>
        <v>0</v>
      </c>
    </row>
    <row r="258" spans="1:31" x14ac:dyDescent="0.45">
      <c r="A258" s="28" t="s">
        <v>1224</v>
      </c>
      <c r="B258" s="5" t="s">
        <v>49</v>
      </c>
      <c r="C258" s="5" t="s">
        <v>117</v>
      </c>
      <c r="D258" s="5">
        <v>2</v>
      </c>
      <c r="E258" s="5" t="s">
        <v>1159</v>
      </c>
      <c r="K258" s="24"/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</row>
    <row r="259" spans="1:31" x14ac:dyDescent="0.45">
      <c r="A259" s="28" t="s">
        <v>1224</v>
      </c>
      <c r="B259" s="5" t="s">
        <v>49</v>
      </c>
      <c r="C259" s="5" t="s">
        <v>117</v>
      </c>
      <c r="D259" s="5">
        <v>2</v>
      </c>
      <c r="E259" s="5" t="s">
        <v>1160</v>
      </c>
      <c r="K259" s="24">
        <f>INDEX(Mitigation_Industry!K:K,MATCH($A259,Mitigation_Industry!$H:$H,0))</f>
        <v>0</v>
      </c>
      <c r="L259" s="24">
        <f>INDEX(Mitigation_Industry!L:L,MATCH($A259,Mitigation_Industry!$H:$H,0))</f>
        <v>0</v>
      </c>
      <c r="M259" s="24">
        <f>INDEX(Mitigation_Industry!M:M,MATCH($A259,Mitigation_Industry!$H:$H,0))</f>
        <v>0</v>
      </c>
      <c r="N259" s="24">
        <f>INDEX(Mitigation_Industry!N:N,MATCH($A259,Mitigation_Industry!$H:$H,0))</f>
        <v>0</v>
      </c>
      <c r="O259" s="24">
        <f>INDEX(Mitigation_Industry!O:O,MATCH($A259,Mitigation_Industry!$H:$H,0))</f>
        <v>0</v>
      </c>
      <c r="P259" s="24">
        <f>INDEX(Mitigation_Industry!P:P,MATCH($A259,Mitigation_Industry!$H:$H,0))</f>
        <v>0</v>
      </c>
      <c r="Q259" s="24">
        <f>INDEX(Mitigation_Industry!Q:Q,MATCH($A259,Mitigation_Industry!$H:$H,0))</f>
        <v>0</v>
      </c>
      <c r="R259" s="24">
        <f>INDEX(Mitigation_Industry!R:R,MATCH($A259,Mitigation_Industry!$H:$H,0))</f>
        <v>0</v>
      </c>
      <c r="S259" s="24">
        <f>INDEX(Mitigation_Industry!S:S,MATCH($A259,Mitigation_Industry!$H:$H,0))</f>
        <v>0</v>
      </c>
      <c r="T259" s="24">
        <f>INDEX(Mitigation_Industry!T:T,MATCH($A259,Mitigation_Industry!$H:$H,0))</f>
        <v>0</v>
      </c>
      <c r="U259" s="24">
        <f>INDEX(Mitigation_Industry!U:U,MATCH($A259,Mitigation_Industry!$H:$H,0))</f>
        <v>0</v>
      </c>
      <c r="V259" s="24">
        <f>INDEX(Mitigation_Industry!V:V,MATCH($A259,Mitigation_Industry!$H:$H,0))</f>
        <v>0</v>
      </c>
      <c r="W259" s="24">
        <f>INDEX(Mitigation_Industry!W:W,MATCH($A259,Mitigation_Industry!$H:$H,0))</f>
        <v>0</v>
      </c>
      <c r="X259" s="24">
        <f>INDEX(Mitigation_Industry!X:X,MATCH($A259,Mitigation_Industry!$H:$H,0))</f>
        <v>0</v>
      </c>
      <c r="Y259" s="24">
        <f>INDEX(Mitigation_Industry!Y:Y,MATCH($A259,Mitigation_Industry!$H:$H,0))</f>
        <v>0</v>
      </c>
      <c r="Z259" s="24">
        <f>INDEX(Mitigation_Industry!Z:Z,MATCH($A259,Mitigation_Industry!$H:$H,0))</f>
        <v>0</v>
      </c>
      <c r="AA259" s="24">
        <f>INDEX(Mitigation_Industry!AA:AA,MATCH($A259,Mitigation_Industry!$H:$H,0))</f>
        <v>0</v>
      </c>
      <c r="AB259" s="24">
        <f>INDEX(Mitigation_Industry!AB:AB,MATCH($A259,Mitigation_Industry!$H:$H,0))</f>
        <v>0</v>
      </c>
      <c r="AC259" s="24">
        <f>INDEX(Mitigation_Industry!AC:AC,MATCH($A259,Mitigation_Industry!$H:$H,0))</f>
        <v>0</v>
      </c>
      <c r="AD259" s="24">
        <f>INDEX(Mitigation_Industry!AD:AD,MATCH($A259,Mitigation_Industry!$H:$H,0))</f>
        <v>0</v>
      </c>
      <c r="AE259" s="24">
        <f>INDEX(Mitigation_Industry!AE:AE,MATCH($A259,Mitigation_Industry!$H:$H,0))</f>
        <v>0</v>
      </c>
    </row>
    <row r="260" spans="1:31" x14ac:dyDescent="0.45">
      <c r="A260" s="28" t="s">
        <v>1224</v>
      </c>
      <c r="B260" s="5" t="s">
        <v>49</v>
      </c>
      <c r="C260" s="5" t="s">
        <v>117</v>
      </c>
      <c r="D260" s="5">
        <v>2</v>
      </c>
      <c r="E260" s="2" t="s">
        <v>1161</v>
      </c>
      <c r="F260" s="31">
        <f>MAX(MAX(L260:AE260),-MIN(L260:AE260))</f>
        <v>0</v>
      </c>
      <c r="K260" s="32">
        <f t="shared" ref="K260:AE260" si="63">IF(ISNUMBER(K258),IF(ISNUMBER(K259),K259-K258,999999),0)</f>
        <v>0</v>
      </c>
      <c r="L260" s="32">
        <f t="shared" si="63"/>
        <v>0</v>
      </c>
      <c r="M260" s="32">
        <f t="shared" si="63"/>
        <v>0</v>
      </c>
      <c r="N260" s="32">
        <f t="shared" si="63"/>
        <v>0</v>
      </c>
      <c r="O260" s="32">
        <f t="shared" si="63"/>
        <v>0</v>
      </c>
      <c r="P260" s="32">
        <f t="shared" si="63"/>
        <v>0</v>
      </c>
      <c r="Q260" s="32">
        <f t="shared" si="63"/>
        <v>0</v>
      </c>
      <c r="R260" s="32">
        <f t="shared" si="63"/>
        <v>0</v>
      </c>
      <c r="S260" s="32">
        <f t="shared" si="63"/>
        <v>0</v>
      </c>
      <c r="T260" s="32">
        <f t="shared" si="63"/>
        <v>0</v>
      </c>
      <c r="U260" s="32">
        <f t="shared" si="63"/>
        <v>0</v>
      </c>
      <c r="V260" s="32">
        <f t="shared" si="63"/>
        <v>0</v>
      </c>
      <c r="W260" s="32">
        <f t="shared" si="63"/>
        <v>0</v>
      </c>
      <c r="X260" s="32">
        <f t="shared" si="63"/>
        <v>0</v>
      </c>
      <c r="Y260" s="32">
        <f t="shared" si="63"/>
        <v>0</v>
      </c>
      <c r="Z260" s="32">
        <f t="shared" si="63"/>
        <v>0</v>
      </c>
      <c r="AA260" s="32">
        <f t="shared" si="63"/>
        <v>0</v>
      </c>
      <c r="AB260" s="32">
        <f t="shared" si="63"/>
        <v>0</v>
      </c>
      <c r="AC260" s="32">
        <f t="shared" si="63"/>
        <v>0</v>
      </c>
      <c r="AD260" s="32">
        <f t="shared" si="63"/>
        <v>0</v>
      </c>
      <c r="AE260" s="32">
        <f t="shared" si="63"/>
        <v>0</v>
      </c>
    </row>
    <row r="262" spans="1:31" x14ac:dyDescent="0.45">
      <c r="A262" s="28" t="s">
        <v>1225</v>
      </c>
      <c r="B262" s="5" t="s">
        <v>53</v>
      </c>
      <c r="C262" s="5" t="s">
        <v>117</v>
      </c>
      <c r="D262" s="5">
        <v>2</v>
      </c>
      <c r="E262" s="5" t="s">
        <v>1159</v>
      </c>
      <c r="K262" s="24"/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</row>
    <row r="263" spans="1:31" x14ac:dyDescent="0.45">
      <c r="A263" s="28" t="s">
        <v>1225</v>
      </c>
      <c r="B263" s="5" t="s">
        <v>53</v>
      </c>
      <c r="C263" s="5" t="s">
        <v>117</v>
      </c>
      <c r="D263" s="5">
        <v>2</v>
      </c>
      <c r="E263" s="5" t="s">
        <v>1160</v>
      </c>
      <c r="K263" s="24">
        <f>INDEX(Mitigation_Industry!K:K,MATCH($A263,Mitigation_Industry!$H:$H,0))</f>
        <v>0</v>
      </c>
      <c r="L263" s="24">
        <f>INDEX(Mitigation_Industry!L:L,MATCH($A263,Mitigation_Industry!$H:$H,0))</f>
        <v>0</v>
      </c>
      <c r="M263" s="24">
        <f>INDEX(Mitigation_Industry!M:M,MATCH($A263,Mitigation_Industry!$H:$H,0))</f>
        <v>0</v>
      </c>
      <c r="N263" s="24">
        <f>INDEX(Mitigation_Industry!N:N,MATCH($A263,Mitigation_Industry!$H:$H,0))</f>
        <v>0</v>
      </c>
      <c r="O263" s="24">
        <f>INDEX(Mitigation_Industry!O:O,MATCH($A263,Mitigation_Industry!$H:$H,0))</f>
        <v>0</v>
      </c>
      <c r="P263" s="24">
        <f>INDEX(Mitigation_Industry!P:P,MATCH($A263,Mitigation_Industry!$H:$H,0))</f>
        <v>0</v>
      </c>
      <c r="Q263" s="24">
        <f>INDEX(Mitigation_Industry!Q:Q,MATCH($A263,Mitigation_Industry!$H:$H,0))</f>
        <v>0</v>
      </c>
      <c r="R263" s="24">
        <f>INDEX(Mitigation_Industry!R:R,MATCH($A263,Mitigation_Industry!$H:$H,0))</f>
        <v>0</v>
      </c>
      <c r="S263" s="24">
        <f>INDEX(Mitigation_Industry!S:S,MATCH($A263,Mitigation_Industry!$H:$H,0))</f>
        <v>0</v>
      </c>
      <c r="T263" s="24">
        <f>INDEX(Mitigation_Industry!T:T,MATCH($A263,Mitigation_Industry!$H:$H,0))</f>
        <v>0</v>
      </c>
      <c r="U263" s="24">
        <f>INDEX(Mitigation_Industry!U:U,MATCH($A263,Mitigation_Industry!$H:$H,0))</f>
        <v>0</v>
      </c>
      <c r="V263" s="24">
        <f>INDEX(Mitigation_Industry!V:V,MATCH($A263,Mitigation_Industry!$H:$H,0))</f>
        <v>0</v>
      </c>
      <c r="W263" s="24">
        <f>INDEX(Mitigation_Industry!W:W,MATCH($A263,Mitigation_Industry!$H:$H,0))</f>
        <v>0</v>
      </c>
      <c r="X263" s="24">
        <f>INDEX(Mitigation_Industry!X:X,MATCH($A263,Mitigation_Industry!$H:$H,0))</f>
        <v>0</v>
      </c>
      <c r="Y263" s="24">
        <f>INDEX(Mitigation_Industry!Y:Y,MATCH($A263,Mitigation_Industry!$H:$H,0))</f>
        <v>0</v>
      </c>
      <c r="Z263" s="24">
        <f>INDEX(Mitigation_Industry!Z:Z,MATCH($A263,Mitigation_Industry!$H:$H,0))</f>
        <v>0</v>
      </c>
      <c r="AA263" s="24">
        <f>INDEX(Mitigation_Industry!AA:AA,MATCH($A263,Mitigation_Industry!$H:$H,0))</f>
        <v>0</v>
      </c>
      <c r="AB263" s="24">
        <f>INDEX(Mitigation_Industry!AB:AB,MATCH($A263,Mitigation_Industry!$H:$H,0))</f>
        <v>0</v>
      </c>
      <c r="AC263" s="24">
        <f>INDEX(Mitigation_Industry!AC:AC,MATCH($A263,Mitigation_Industry!$H:$H,0))</f>
        <v>0</v>
      </c>
      <c r="AD263" s="24">
        <f>INDEX(Mitigation_Industry!AD:AD,MATCH($A263,Mitigation_Industry!$H:$H,0))</f>
        <v>0</v>
      </c>
      <c r="AE263" s="24">
        <f>INDEX(Mitigation_Industry!AE:AE,MATCH($A263,Mitigation_Industry!$H:$H,0))</f>
        <v>0</v>
      </c>
    </row>
    <row r="264" spans="1:31" x14ac:dyDescent="0.45">
      <c r="A264" s="28" t="s">
        <v>1225</v>
      </c>
      <c r="B264" s="5" t="s">
        <v>53</v>
      </c>
      <c r="C264" s="5" t="s">
        <v>117</v>
      </c>
      <c r="D264" s="5">
        <v>2</v>
      </c>
      <c r="E264" s="2" t="s">
        <v>1161</v>
      </c>
      <c r="F264" s="31">
        <f>MAX(MAX(L264:AE264),-MIN(L264:AE264))</f>
        <v>0</v>
      </c>
      <c r="K264" s="32">
        <f t="shared" ref="K264:AE264" si="64">IF(ISNUMBER(K262),IF(ISNUMBER(K263),K263-K262,999999),0)</f>
        <v>0</v>
      </c>
      <c r="L264" s="32">
        <f t="shared" si="64"/>
        <v>0</v>
      </c>
      <c r="M264" s="32">
        <f t="shared" si="64"/>
        <v>0</v>
      </c>
      <c r="N264" s="32">
        <f t="shared" si="64"/>
        <v>0</v>
      </c>
      <c r="O264" s="32">
        <f t="shared" si="64"/>
        <v>0</v>
      </c>
      <c r="P264" s="32">
        <f t="shared" si="64"/>
        <v>0</v>
      </c>
      <c r="Q264" s="32">
        <f t="shared" si="64"/>
        <v>0</v>
      </c>
      <c r="R264" s="32">
        <f t="shared" si="64"/>
        <v>0</v>
      </c>
      <c r="S264" s="32">
        <f t="shared" si="64"/>
        <v>0</v>
      </c>
      <c r="T264" s="32">
        <f t="shared" si="64"/>
        <v>0</v>
      </c>
      <c r="U264" s="32">
        <f t="shared" si="64"/>
        <v>0</v>
      </c>
      <c r="V264" s="32">
        <f t="shared" si="64"/>
        <v>0</v>
      </c>
      <c r="W264" s="32">
        <f t="shared" si="64"/>
        <v>0</v>
      </c>
      <c r="X264" s="32">
        <f t="shared" si="64"/>
        <v>0</v>
      </c>
      <c r="Y264" s="32">
        <f t="shared" si="64"/>
        <v>0</v>
      </c>
      <c r="Z264" s="32">
        <f t="shared" si="64"/>
        <v>0</v>
      </c>
      <c r="AA264" s="32">
        <f t="shared" si="64"/>
        <v>0</v>
      </c>
      <c r="AB264" s="32">
        <f t="shared" si="64"/>
        <v>0</v>
      </c>
      <c r="AC264" s="32">
        <f t="shared" si="64"/>
        <v>0</v>
      </c>
      <c r="AD264" s="32">
        <f t="shared" si="64"/>
        <v>0</v>
      </c>
      <c r="AE264" s="32">
        <f t="shared" si="64"/>
        <v>0</v>
      </c>
    </row>
    <row r="266" spans="1:31" x14ac:dyDescent="0.45">
      <c r="A266" s="28" t="s">
        <v>1226</v>
      </c>
      <c r="B266" s="5" t="s">
        <v>55</v>
      </c>
      <c r="C266" s="5" t="s">
        <v>117</v>
      </c>
      <c r="D266" s="5">
        <v>2</v>
      </c>
      <c r="E266" s="5" t="s">
        <v>1159</v>
      </c>
      <c r="K266" s="24"/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</row>
    <row r="267" spans="1:31" x14ac:dyDescent="0.45">
      <c r="A267" s="28" t="s">
        <v>1226</v>
      </c>
      <c r="B267" s="5" t="s">
        <v>55</v>
      </c>
      <c r="C267" s="5" t="s">
        <v>117</v>
      </c>
      <c r="D267" s="5">
        <v>2</v>
      </c>
      <c r="E267" s="5" t="s">
        <v>1160</v>
      </c>
      <c r="K267" s="24">
        <f>INDEX(Mitigation_Industry!K:K,MATCH($A267,Mitigation_Industry!$H:$H,0))</f>
        <v>0</v>
      </c>
      <c r="L267" s="24">
        <f>INDEX(Mitigation_Industry!L:L,MATCH($A267,Mitigation_Industry!$H:$H,0))</f>
        <v>0</v>
      </c>
      <c r="M267" s="24">
        <f>INDEX(Mitigation_Industry!M:M,MATCH($A267,Mitigation_Industry!$H:$H,0))</f>
        <v>0</v>
      </c>
      <c r="N267" s="24">
        <f>INDEX(Mitigation_Industry!N:N,MATCH($A267,Mitigation_Industry!$H:$H,0))</f>
        <v>0</v>
      </c>
      <c r="O267" s="24">
        <f>INDEX(Mitigation_Industry!O:O,MATCH($A267,Mitigation_Industry!$H:$H,0))</f>
        <v>0</v>
      </c>
      <c r="P267" s="24">
        <f>INDEX(Mitigation_Industry!P:P,MATCH($A267,Mitigation_Industry!$H:$H,0))</f>
        <v>0</v>
      </c>
      <c r="Q267" s="24">
        <f>INDEX(Mitigation_Industry!Q:Q,MATCH($A267,Mitigation_Industry!$H:$H,0))</f>
        <v>0</v>
      </c>
      <c r="R267" s="24">
        <f>INDEX(Mitigation_Industry!R:R,MATCH($A267,Mitigation_Industry!$H:$H,0))</f>
        <v>0</v>
      </c>
      <c r="S267" s="24">
        <f>INDEX(Mitigation_Industry!S:S,MATCH($A267,Mitigation_Industry!$H:$H,0))</f>
        <v>0</v>
      </c>
      <c r="T267" s="24">
        <f>INDEX(Mitigation_Industry!T:T,MATCH($A267,Mitigation_Industry!$H:$H,0))</f>
        <v>0</v>
      </c>
      <c r="U267" s="24">
        <f>INDEX(Mitigation_Industry!U:U,MATCH($A267,Mitigation_Industry!$H:$H,0))</f>
        <v>0</v>
      </c>
      <c r="V267" s="24">
        <f>INDEX(Mitigation_Industry!V:V,MATCH($A267,Mitigation_Industry!$H:$H,0))</f>
        <v>0</v>
      </c>
      <c r="W267" s="24">
        <f>INDEX(Mitigation_Industry!W:W,MATCH($A267,Mitigation_Industry!$H:$H,0))</f>
        <v>0</v>
      </c>
      <c r="X267" s="24">
        <f>INDEX(Mitigation_Industry!X:X,MATCH($A267,Mitigation_Industry!$H:$H,0))</f>
        <v>0</v>
      </c>
      <c r="Y267" s="24">
        <f>INDEX(Mitigation_Industry!Y:Y,MATCH($A267,Mitigation_Industry!$H:$H,0))</f>
        <v>0</v>
      </c>
      <c r="Z267" s="24">
        <f>INDEX(Mitigation_Industry!Z:Z,MATCH($A267,Mitigation_Industry!$H:$H,0))</f>
        <v>0</v>
      </c>
      <c r="AA267" s="24">
        <f>INDEX(Mitigation_Industry!AA:AA,MATCH($A267,Mitigation_Industry!$H:$H,0))</f>
        <v>0</v>
      </c>
      <c r="AB267" s="24">
        <f>INDEX(Mitigation_Industry!AB:AB,MATCH($A267,Mitigation_Industry!$H:$H,0))</f>
        <v>0</v>
      </c>
      <c r="AC267" s="24">
        <f>INDEX(Mitigation_Industry!AC:AC,MATCH($A267,Mitigation_Industry!$H:$H,0))</f>
        <v>0</v>
      </c>
      <c r="AD267" s="24">
        <f>INDEX(Mitigation_Industry!AD:AD,MATCH($A267,Mitigation_Industry!$H:$H,0))</f>
        <v>0</v>
      </c>
      <c r="AE267" s="24">
        <f>INDEX(Mitigation_Industry!AE:AE,MATCH($A267,Mitigation_Industry!$H:$H,0))</f>
        <v>0</v>
      </c>
    </row>
    <row r="268" spans="1:31" x14ac:dyDescent="0.45">
      <c r="A268" s="28" t="s">
        <v>1226</v>
      </c>
      <c r="B268" s="5" t="s">
        <v>55</v>
      </c>
      <c r="C268" s="5" t="s">
        <v>117</v>
      </c>
      <c r="D268" s="5">
        <v>2</v>
      </c>
      <c r="E268" s="2" t="s">
        <v>1161</v>
      </c>
      <c r="F268" s="31">
        <f>MAX(MAX(L268:AE268),-MIN(L268:AE268))</f>
        <v>0</v>
      </c>
      <c r="K268" s="32">
        <f t="shared" ref="K268:AE268" si="65">IF(ISNUMBER(K266),IF(ISNUMBER(K267),K267-K266,999999),0)</f>
        <v>0</v>
      </c>
      <c r="L268" s="32">
        <f t="shared" si="65"/>
        <v>0</v>
      </c>
      <c r="M268" s="32">
        <f t="shared" si="65"/>
        <v>0</v>
      </c>
      <c r="N268" s="32">
        <f t="shared" si="65"/>
        <v>0</v>
      </c>
      <c r="O268" s="32">
        <f t="shared" si="65"/>
        <v>0</v>
      </c>
      <c r="P268" s="32">
        <f t="shared" si="65"/>
        <v>0</v>
      </c>
      <c r="Q268" s="32">
        <f t="shared" si="65"/>
        <v>0</v>
      </c>
      <c r="R268" s="32">
        <f t="shared" si="65"/>
        <v>0</v>
      </c>
      <c r="S268" s="32">
        <f t="shared" si="65"/>
        <v>0</v>
      </c>
      <c r="T268" s="32">
        <f t="shared" si="65"/>
        <v>0</v>
      </c>
      <c r="U268" s="32">
        <f t="shared" si="65"/>
        <v>0</v>
      </c>
      <c r="V268" s="32">
        <f t="shared" si="65"/>
        <v>0</v>
      </c>
      <c r="W268" s="32">
        <f t="shared" si="65"/>
        <v>0</v>
      </c>
      <c r="X268" s="32">
        <f t="shared" si="65"/>
        <v>0</v>
      </c>
      <c r="Y268" s="32">
        <f t="shared" si="65"/>
        <v>0</v>
      </c>
      <c r="Z268" s="32">
        <f t="shared" si="65"/>
        <v>0</v>
      </c>
      <c r="AA268" s="32">
        <f t="shared" si="65"/>
        <v>0</v>
      </c>
      <c r="AB268" s="32">
        <f t="shared" si="65"/>
        <v>0</v>
      </c>
      <c r="AC268" s="32">
        <f t="shared" si="65"/>
        <v>0</v>
      </c>
      <c r="AD268" s="32">
        <f t="shared" si="65"/>
        <v>0</v>
      </c>
      <c r="AE268" s="32">
        <f t="shared" si="65"/>
        <v>0</v>
      </c>
    </row>
    <row r="270" spans="1:31" x14ac:dyDescent="0.45">
      <c r="A270" s="28" t="s">
        <v>1227</v>
      </c>
      <c r="B270" s="5" t="s">
        <v>58</v>
      </c>
      <c r="C270" s="5" t="s">
        <v>117</v>
      </c>
      <c r="D270" s="5">
        <v>2</v>
      </c>
      <c r="E270" s="5" t="s">
        <v>1159</v>
      </c>
      <c r="K270" s="24"/>
      <c r="L270" s="24">
        <v>0</v>
      </c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</row>
    <row r="271" spans="1:31" x14ac:dyDescent="0.45">
      <c r="A271" s="28" t="s">
        <v>1227</v>
      </c>
      <c r="B271" s="5" t="s">
        <v>58</v>
      </c>
      <c r="C271" s="5" t="s">
        <v>117</v>
      </c>
      <c r="D271" s="5">
        <v>2</v>
      </c>
      <c r="E271" s="5" t="s">
        <v>1160</v>
      </c>
      <c r="K271" s="24">
        <f>INDEX(Mitigation_Industry!K:K,MATCH($A271,Mitigation_Industry!$H:$H,0))</f>
        <v>0</v>
      </c>
      <c r="L271" s="24">
        <f>INDEX(Mitigation_Industry!L:L,MATCH($A271,Mitigation_Industry!$H:$H,0))</f>
        <v>0</v>
      </c>
      <c r="M271" s="24">
        <f>INDEX(Mitigation_Industry!M:M,MATCH($A271,Mitigation_Industry!$H:$H,0))</f>
        <v>0</v>
      </c>
      <c r="N271" s="24">
        <f>INDEX(Mitigation_Industry!N:N,MATCH($A271,Mitigation_Industry!$H:$H,0))</f>
        <v>0</v>
      </c>
      <c r="O271" s="24">
        <f>INDEX(Mitigation_Industry!O:O,MATCH($A271,Mitigation_Industry!$H:$H,0))</f>
        <v>0</v>
      </c>
      <c r="P271" s="24">
        <f>INDEX(Mitigation_Industry!P:P,MATCH($A271,Mitigation_Industry!$H:$H,0))</f>
        <v>0</v>
      </c>
      <c r="Q271" s="24">
        <f>INDEX(Mitigation_Industry!Q:Q,MATCH($A271,Mitigation_Industry!$H:$H,0))</f>
        <v>0</v>
      </c>
      <c r="R271" s="24">
        <f>INDEX(Mitigation_Industry!R:R,MATCH($A271,Mitigation_Industry!$H:$H,0))</f>
        <v>0</v>
      </c>
      <c r="S271" s="24">
        <f>INDEX(Mitigation_Industry!S:S,MATCH($A271,Mitigation_Industry!$H:$H,0))</f>
        <v>0</v>
      </c>
      <c r="T271" s="24">
        <f>INDEX(Mitigation_Industry!T:T,MATCH($A271,Mitigation_Industry!$H:$H,0))</f>
        <v>0</v>
      </c>
      <c r="U271" s="24">
        <f>INDEX(Mitigation_Industry!U:U,MATCH($A271,Mitigation_Industry!$H:$H,0))</f>
        <v>0</v>
      </c>
      <c r="V271" s="24">
        <f>INDEX(Mitigation_Industry!V:V,MATCH($A271,Mitigation_Industry!$H:$H,0))</f>
        <v>0</v>
      </c>
      <c r="W271" s="24">
        <f>INDEX(Mitigation_Industry!W:W,MATCH($A271,Mitigation_Industry!$H:$H,0))</f>
        <v>0</v>
      </c>
      <c r="X271" s="24">
        <f>INDEX(Mitigation_Industry!X:X,MATCH($A271,Mitigation_Industry!$H:$H,0))</f>
        <v>0</v>
      </c>
      <c r="Y271" s="24">
        <f>INDEX(Mitigation_Industry!Y:Y,MATCH($A271,Mitigation_Industry!$H:$H,0))</f>
        <v>0</v>
      </c>
      <c r="Z271" s="24">
        <f>INDEX(Mitigation_Industry!Z:Z,MATCH($A271,Mitigation_Industry!$H:$H,0))</f>
        <v>0</v>
      </c>
      <c r="AA271" s="24">
        <f>INDEX(Mitigation_Industry!AA:AA,MATCH($A271,Mitigation_Industry!$H:$H,0))</f>
        <v>0</v>
      </c>
      <c r="AB271" s="24">
        <f>INDEX(Mitigation_Industry!AB:AB,MATCH($A271,Mitigation_Industry!$H:$H,0))</f>
        <v>0</v>
      </c>
      <c r="AC271" s="24">
        <f>INDEX(Mitigation_Industry!AC:AC,MATCH($A271,Mitigation_Industry!$H:$H,0))</f>
        <v>0</v>
      </c>
      <c r="AD271" s="24">
        <f>INDEX(Mitigation_Industry!AD:AD,MATCH($A271,Mitigation_Industry!$H:$H,0))</f>
        <v>0</v>
      </c>
      <c r="AE271" s="24">
        <f>INDEX(Mitigation_Industry!AE:AE,MATCH($A271,Mitigation_Industry!$H:$H,0))</f>
        <v>0</v>
      </c>
    </row>
    <row r="272" spans="1:31" x14ac:dyDescent="0.45">
      <c r="A272" s="28" t="s">
        <v>1227</v>
      </c>
      <c r="B272" s="5" t="s">
        <v>58</v>
      </c>
      <c r="C272" s="5" t="s">
        <v>117</v>
      </c>
      <c r="D272" s="5">
        <v>2</v>
      </c>
      <c r="E272" s="2" t="s">
        <v>1161</v>
      </c>
      <c r="F272" s="31">
        <f>MAX(MAX(L272:AE272),-MIN(L272:AE272))</f>
        <v>0</v>
      </c>
      <c r="K272" s="32">
        <f t="shared" ref="K272:AE272" si="66">IF(ISNUMBER(K270),IF(ISNUMBER(K271),K271-K270,999999),0)</f>
        <v>0</v>
      </c>
      <c r="L272" s="32">
        <f t="shared" si="66"/>
        <v>0</v>
      </c>
      <c r="M272" s="32">
        <f t="shared" si="66"/>
        <v>0</v>
      </c>
      <c r="N272" s="32">
        <f t="shared" si="66"/>
        <v>0</v>
      </c>
      <c r="O272" s="32">
        <f t="shared" si="66"/>
        <v>0</v>
      </c>
      <c r="P272" s="32">
        <f t="shared" si="66"/>
        <v>0</v>
      </c>
      <c r="Q272" s="32">
        <f t="shared" si="66"/>
        <v>0</v>
      </c>
      <c r="R272" s="32">
        <f t="shared" si="66"/>
        <v>0</v>
      </c>
      <c r="S272" s="32">
        <f t="shared" si="66"/>
        <v>0</v>
      </c>
      <c r="T272" s="32">
        <f t="shared" si="66"/>
        <v>0</v>
      </c>
      <c r="U272" s="32">
        <f t="shared" si="66"/>
        <v>0</v>
      </c>
      <c r="V272" s="32">
        <f t="shared" si="66"/>
        <v>0</v>
      </c>
      <c r="W272" s="32">
        <f t="shared" si="66"/>
        <v>0</v>
      </c>
      <c r="X272" s="32">
        <f t="shared" si="66"/>
        <v>0</v>
      </c>
      <c r="Y272" s="32">
        <f t="shared" si="66"/>
        <v>0</v>
      </c>
      <c r="Z272" s="32">
        <f t="shared" si="66"/>
        <v>0</v>
      </c>
      <c r="AA272" s="32">
        <f t="shared" si="66"/>
        <v>0</v>
      </c>
      <c r="AB272" s="32">
        <f t="shared" si="66"/>
        <v>0</v>
      </c>
      <c r="AC272" s="32">
        <f t="shared" si="66"/>
        <v>0</v>
      </c>
      <c r="AD272" s="32">
        <f t="shared" si="66"/>
        <v>0</v>
      </c>
      <c r="AE272" s="32">
        <f t="shared" si="66"/>
        <v>0</v>
      </c>
    </row>
    <row r="274" spans="1:31" x14ac:dyDescent="0.45">
      <c r="A274" s="28" t="s">
        <v>1228</v>
      </c>
      <c r="B274" s="5" t="s">
        <v>60</v>
      </c>
      <c r="C274" s="5" t="s">
        <v>117</v>
      </c>
      <c r="D274" s="5">
        <v>2</v>
      </c>
      <c r="E274" s="5" t="s">
        <v>1159</v>
      </c>
      <c r="K274" s="24"/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</row>
    <row r="275" spans="1:31" x14ac:dyDescent="0.45">
      <c r="A275" s="28" t="s">
        <v>1228</v>
      </c>
      <c r="B275" s="5" t="s">
        <v>60</v>
      </c>
      <c r="C275" s="5" t="s">
        <v>117</v>
      </c>
      <c r="D275" s="5">
        <v>2</v>
      </c>
      <c r="E275" s="5" t="s">
        <v>1160</v>
      </c>
      <c r="K275" s="24">
        <f>INDEX(Mitigation_Industry!K:K,MATCH($A275,Mitigation_Industry!$H:$H,0))</f>
        <v>0</v>
      </c>
      <c r="L275" s="24">
        <f>INDEX(Mitigation_Industry!L:L,MATCH($A275,Mitigation_Industry!$H:$H,0))</f>
        <v>0</v>
      </c>
      <c r="M275" s="24">
        <f>INDEX(Mitigation_Industry!M:M,MATCH($A275,Mitigation_Industry!$H:$H,0))</f>
        <v>0</v>
      </c>
      <c r="N275" s="24">
        <f>INDEX(Mitigation_Industry!N:N,MATCH($A275,Mitigation_Industry!$H:$H,0))</f>
        <v>0</v>
      </c>
      <c r="O275" s="24">
        <f>INDEX(Mitigation_Industry!O:O,MATCH($A275,Mitigation_Industry!$H:$H,0))</f>
        <v>0</v>
      </c>
      <c r="P275" s="24">
        <f>INDEX(Mitigation_Industry!P:P,MATCH($A275,Mitigation_Industry!$H:$H,0))</f>
        <v>0</v>
      </c>
      <c r="Q275" s="24">
        <f>INDEX(Mitigation_Industry!Q:Q,MATCH($A275,Mitigation_Industry!$H:$H,0))</f>
        <v>0</v>
      </c>
      <c r="R275" s="24">
        <f>INDEX(Mitigation_Industry!R:R,MATCH($A275,Mitigation_Industry!$H:$H,0))</f>
        <v>0</v>
      </c>
      <c r="S275" s="24">
        <f>INDEX(Mitigation_Industry!S:S,MATCH($A275,Mitigation_Industry!$H:$H,0))</f>
        <v>0</v>
      </c>
      <c r="T275" s="24">
        <f>INDEX(Mitigation_Industry!T:T,MATCH($A275,Mitigation_Industry!$H:$H,0))</f>
        <v>0</v>
      </c>
      <c r="U275" s="24">
        <f>INDEX(Mitigation_Industry!U:U,MATCH($A275,Mitigation_Industry!$H:$H,0))</f>
        <v>0</v>
      </c>
      <c r="V275" s="24">
        <f>INDEX(Mitigation_Industry!V:V,MATCH($A275,Mitigation_Industry!$H:$H,0))</f>
        <v>0</v>
      </c>
      <c r="W275" s="24">
        <f>INDEX(Mitigation_Industry!W:W,MATCH($A275,Mitigation_Industry!$H:$H,0))</f>
        <v>0</v>
      </c>
      <c r="X275" s="24">
        <f>INDEX(Mitigation_Industry!X:X,MATCH($A275,Mitigation_Industry!$H:$H,0))</f>
        <v>0</v>
      </c>
      <c r="Y275" s="24">
        <f>INDEX(Mitigation_Industry!Y:Y,MATCH($A275,Mitigation_Industry!$H:$H,0))</f>
        <v>0</v>
      </c>
      <c r="Z275" s="24">
        <f>INDEX(Mitigation_Industry!Z:Z,MATCH($A275,Mitigation_Industry!$H:$H,0))</f>
        <v>0</v>
      </c>
      <c r="AA275" s="24">
        <f>INDEX(Mitigation_Industry!AA:AA,MATCH($A275,Mitigation_Industry!$H:$H,0))</f>
        <v>0</v>
      </c>
      <c r="AB275" s="24">
        <f>INDEX(Mitigation_Industry!AB:AB,MATCH($A275,Mitigation_Industry!$H:$H,0))</f>
        <v>0</v>
      </c>
      <c r="AC275" s="24">
        <f>INDEX(Mitigation_Industry!AC:AC,MATCH($A275,Mitigation_Industry!$H:$H,0))</f>
        <v>0</v>
      </c>
      <c r="AD275" s="24">
        <f>INDEX(Mitigation_Industry!AD:AD,MATCH($A275,Mitigation_Industry!$H:$H,0))</f>
        <v>0</v>
      </c>
      <c r="AE275" s="24">
        <f>INDEX(Mitigation_Industry!AE:AE,MATCH($A275,Mitigation_Industry!$H:$H,0))</f>
        <v>0</v>
      </c>
    </row>
    <row r="276" spans="1:31" x14ac:dyDescent="0.45">
      <c r="A276" s="28" t="s">
        <v>1228</v>
      </c>
      <c r="B276" s="5" t="s">
        <v>60</v>
      </c>
      <c r="C276" s="5" t="s">
        <v>117</v>
      </c>
      <c r="D276" s="5">
        <v>2</v>
      </c>
      <c r="E276" s="2" t="s">
        <v>1161</v>
      </c>
      <c r="F276" s="31">
        <f>MAX(MAX(L276:AE276),-MIN(L276:AE276))</f>
        <v>0</v>
      </c>
      <c r="K276" s="32">
        <f t="shared" ref="K276:AE276" si="67">IF(ISNUMBER(K274),IF(ISNUMBER(K275),K275-K274,999999),0)</f>
        <v>0</v>
      </c>
      <c r="L276" s="32">
        <f t="shared" si="67"/>
        <v>0</v>
      </c>
      <c r="M276" s="32">
        <f t="shared" si="67"/>
        <v>0</v>
      </c>
      <c r="N276" s="32">
        <f t="shared" si="67"/>
        <v>0</v>
      </c>
      <c r="O276" s="32">
        <f t="shared" si="67"/>
        <v>0</v>
      </c>
      <c r="P276" s="32">
        <f t="shared" si="67"/>
        <v>0</v>
      </c>
      <c r="Q276" s="32">
        <f t="shared" si="67"/>
        <v>0</v>
      </c>
      <c r="R276" s="32">
        <f t="shared" si="67"/>
        <v>0</v>
      </c>
      <c r="S276" s="32">
        <f t="shared" si="67"/>
        <v>0</v>
      </c>
      <c r="T276" s="32">
        <f t="shared" si="67"/>
        <v>0</v>
      </c>
      <c r="U276" s="32">
        <f t="shared" si="67"/>
        <v>0</v>
      </c>
      <c r="V276" s="32">
        <f t="shared" si="67"/>
        <v>0</v>
      </c>
      <c r="W276" s="32">
        <f t="shared" si="67"/>
        <v>0</v>
      </c>
      <c r="X276" s="32">
        <f t="shared" si="67"/>
        <v>0</v>
      </c>
      <c r="Y276" s="32">
        <f t="shared" si="67"/>
        <v>0</v>
      </c>
      <c r="Z276" s="32">
        <f t="shared" si="67"/>
        <v>0</v>
      </c>
      <c r="AA276" s="32">
        <f t="shared" si="67"/>
        <v>0</v>
      </c>
      <c r="AB276" s="32">
        <f t="shared" si="67"/>
        <v>0</v>
      </c>
      <c r="AC276" s="32">
        <f t="shared" si="67"/>
        <v>0</v>
      </c>
      <c r="AD276" s="32">
        <f t="shared" si="67"/>
        <v>0</v>
      </c>
      <c r="AE276" s="32">
        <f t="shared" si="67"/>
        <v>0</v>
      </c>
    </row>
    <row r="278" spans="1:31" x14ac:dyDescent="0.45">
      <c r="A278" s="28" t="s">
        <v>1229</v>
      </c>
      <c r="B278" s="5" t="s">
        <v>62</v>
      </c>
      <c r="C278" s="5" t="s">
        <v>117</v>
      </c>
      <c r="D278" s="5">
        <v>2</v>
      </c>
      <c r="E278" s="5" t="s">
        <v>1159</v>
      </c>
      <c r="K278" s="24"/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</row>
    <row r="279" spans="1:31" x14ac:dyDescent="0.45">
      <c r="A279" s="28" t="s">
        <v>1229</v>
      </c>
      <c r="B279" s="5" t="s">
        <v>62</v>
      </c>
      <c r="C279" s="5" t="s">
        <v>117</v>
      </c>
      <c r="D279" s="5">
        <v>2</v>
      </c>
      <c r="E279" s="5" t="s">
        <v>1160</v>
      </c>
      <c r="K279" s="24">
        <f>INDEX(Mitigation_Industry!K:K,MATCH($A279,Mitigation_Industry!$H:$H,0))</f>
        <v>0</v>
      </c>
      <c r="L279" s="24">
        <f>INDEX(Mitigation_Industry!L:L,MATCH($A279,Mitigation_Industry!$H:$H,0))</f>
        <v>0</v>
      </c>
      <c r="M279" s="24">
        <f>INDEX(Mitigation_Industry!M:M,MATCH($A279,Mitigation_Industry!$H:$H,0))</f>
        <v>0</v>
      </c>
      <c r="N279" s="24">
        <f>INDEX(Mitigation_Industry!N:N,MATCH($A279,Mitigation_Industry!$H:$H,0))</f>
        <v>0</v>
      </c>
      <c r="O279" s="24">
        <f>INDEX(Mitigation_Industry!O:O,MATCH($A279,Mitigation_Industry!$H:$H,0))</f>
        <v>0</v>
      </c>
      <c r="P279" s="24">
        <f>INDEX(Mitigation_Industry!P:P,MATCH($A279,Mitigation_Industry!$H:$H,0))</f>
        <v>0</v>
      </c>
      <c r="Q279" s="24">
        <f>INDEX(Mitigation_Industry!Q:Q,MATCH($A279,Mitigation_Industry!$H:$H,0))</f>
        <v>0</v>
      </c>
      <c r="R279" s="24">
        <f>INDEX(Mitigation_Industry!R:R,MATCH($A279,Mitigation_Industry!$H:$H,0))</f>
        <v>0</v>
      </c>
      <c r="S279" s="24">
        <f>INDEX(Mitigation_Industry!S:S,MATCH($A279,Mitigation_Industry!$H:$H,0))</f>
        <v>0</v>
      </c>
      <c r="T279" s="24">
        <f>INDEX(Mitigation_Industry!T:T,MATCH($A279,Mitigation_Industry!$H:$H,0))</f>
        <v>0</v>
      </c>
      <c r="U279" s="24">
        <f>INDEX(Mitigation_Industry!U:U,MATCH($A279,Mitigation_Industry!$H:$H,0))</f>
        <v>0</v>
      </c>
      <c r="V279" s="24">
        <f>INDEX(Mitigation_Industry!V:V,MATCH($A279,Mitigation_Industry!$H:$H,0))</f>
        <v>0</v>
      </c>
      <c r="W279" s="24">
        <f>INDEX(Mitigation_Industry!W:W,MATCH($A279,Mitigation_Industry!$H:$H,0))</f>
        <v>0</v>
      </c>
      <c r="X279" s="24">
        <f>INDEX(Mitigation_Industry!X:X,MATCH($A279,Mitigation_Industry!$H:$H,0))</f>
        <v>0</v>
      </c>
      <c r="Y279" s="24">
        <f>INDEX(Mitigation_Industry!Y:Y,MATCH($A279,Mitigation_Industry!$H:$H,0))</f>
        <v>0</v>
      </c>
      <c r="Z279" s="24">
        <f>INDEX(Mitigation_Industry!Z:Z,MATCH($A279,Mitigation_Industry!$H:$H,0))</f>
        <v>0</v>
      </c>
      <c r="AA279" s="24">
        <f>INDEX(Mitigation_Industry!AA:AA,MATCH($A279,Mitigation_Industry!$H:$H,0))</f>
        <v>0</v>
      </c>
      <c r="AB279" s="24">
        <f>INDEX(Mitigation_Industry!AB:AB,MATCH($A279,Mitigation_Industry!$H:$H,0))</f>
        <v>0</v>
      </c>
      <c r="AC279" s="24">
        <f>INDEX(Mitigation_Industry!AC:AC,MATCH($A279,Mitigation_Industry!$H:$H,0))</f>
        <v>0</v>
      </c>
      <c r="AD279" s="24">
        <f>INDEX(Mitigation_Industry!AD:AD,MATCH($A279,Mitigation_Industry!$H:$H,0))</f>
        <v>0</v>
      </c>
      <c r="AE279" s="24">
        <f>INDEX(Mitigation_Industry!AE:AE,MATCH($A279,Mitigation_Industry!$H:$H,0))</f>
        <v>0</v>
      </c>
    </row>
    <row r="280" spans="1:31" x14ac:dyDescent="0.45">
      <c r="A280" s="28" t="s">
        <v>1229</v>
      </c>
      <c r="B280" s="5" t="s">
        <v>62</v>
      </c>
      <c r="C280" s="5" t="s">
        <v>117</v>
      </c>
      <c r="D280" s="5">
        <v>2</v>
      </c>
      <c r="E280" s="2" t="s">
        <v>1161</v>
      </c>
      <c r="F280" s="31">
        <f>MAX(MAX(L280:AE280),-MIN(L280:AE280))</f>
        <v>0</v>
      </c>
      <c r="K280" s="32">
        <f t="shared" ref="K280:AE280" si="68">IF(ISNUMBER(K278),IF(ISNUMBER(K279),K279-K278,999999),0)</f>
        <v>0</v>
      </c>
      <c r="L280" s="32">
        <f t="shared" si="68"/>
        <v>0</v>
      </c>
      <c r="M280" s="32">
        <f t="shared" si="68"/>
        <v>0</v>
      </c>
      <c r="N280" s="32">
        <f t="shared" si="68"/>
        <v>0</v>
      </c>
      <c r="O280" s="32">
        <f t="shared" si="68"/>
        <v>0</v>
      </c>
      <c r="P280" s="32">
        <f t="shared" si="68"/>
        <v>0</v>
      </c>
      <c r="Q280" s="32">
        <f t="shared" si="68"/>
        <v>0</v>
      </c>
      <c r="R280" s="32">
        <f t="shared" si="68"/>
        <v>0</v>
      </c>
      <c r="S280" s="32">
        <f t="shared" si="68"/>
        <v>0</v>
      </c>
      <c r="T280" s="32">
        <f t="shared" si="68"/>
        <v>0</v>
      </c>
      <c r="U280" s="32">
        <f t="shared" si="68"/>
        <v>0</v>
      </c>
      <c r="V280" s="32">
        <f t="shared" si="68"/>
        <v>0</v>
      </c>
      <c r="W280" s="32">
        <f t="shared" si="68"/>
        <v>0</v>
      </c>
      <c r="X280" s="32">
        <f t="shared" si="68"/>
        <v>0</v>
      </c>
      <c r="Y280" s="32">
        <f t="shared" si="68"/>
        <v>0</v>
      </c>
      <c r="Z280" s="32">
        <f t="shared" si="68"/>
        <v>0</v>
      </c>
      <c r="AA280" s="32">
        <f t="shared" si="68"/>
        <v>0</v>
      </c>
      <c r="AB280" s="32">
        <f t="shared" si="68"/>
        <v>0</v>
      </c>
      <c r="AC280" s="32">
        <f t="shared" si="68"/>
        <v>0</v>
      </c>
      <c r="AD280" s="32">
        <f t="shared" si="68"/>
        <v>0</v>
      </c>
      <c r="AE280" s="32">
        <f t="shared" si="68"/>
        <v>0</v>
      </c>
    </row>
    <row r="282" spans="1:31" x14ac:dyDescent="0.45">
      <c r="A282" s="28" t="s">
        <v>1230</v>
      </c>
      <c r="B282" s="5" t="s">
        <v>64</v>
      </c>
      <c r="C282" s="5" t="s">
        <v>117</v>
      </c>
      <c r="D282" s="5">
        <v>2</v>
      </c>
      <c r="E282" s="5" t="s">
        <v>1159</v>
      </c>
      <c r="K282" s="24"/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</row>
    <row r="283" spans="1:31" x14ac:dyDescent="0.45">
      <c r="A283" s="28" t="s">
        <v>1230</v>
      </c>
      <c r="B283" s="5" t="s">
        <v>64</v>
      </c>
      <c r="C283" s="5" t="s">
        <v>117</v>
      </c>
      <c r="D283" s="5">
        <v>2</v>
      </c>
      <c r="E283" s="5" t="s">
        <v>1160</v>
      </c>
      <c r="K283" s="24">
        <f>INDEX(Mitigation_Industry!K:K,MATCH($A283,Mitigation_Industry!$H:$H,0))</f>
        <v>0</v>
      </c>
      <c r="L283" s="24">
        <f>INDEX(Mitigation_Industry!L:L,MATCH($A283,Mitigation_Industry!$H:$H,0))</f>
        <v>0</v>
      </c>
      <c r="M283" s="24">
        <f>INDEX(Mitigation_Industry!M:M,MATCH($A283,Mitigation_Industry!$H:$H,0))</f>
        <v>0</v>
      </c>
      <c r="N283" s="24">
        <f>INDEX(Mitigation_Industry!N:N,MATCH($A283,Mitigation_Industry!$H:$H,0))</f>
        <v>0</v>
      </c>
      <c r="O283" s="24">
        <f>INDEX(Mitigation_Industry!O:O,MATCH($A283,Mitigation_Industry!$H:$H,0))</f>
        <v>0</v>
      </c>
      <c r="P283" s="24">
        <f>INDEX(Mitigation_Industry!P:P,MATCH($A283,Mitigation_Industry!$H:$H,0))</f>
        <v>0</v>
      </c>
      <c r="Q283" s="24">
        <f>INDEX(Mitigation_Industry!Q:Q,MATCH($A283,Mitigation_Industry!$H:$H,0))</f>
        <v>0</v>
      </c>
      <c r="R283" s="24">
        <f>INDEX(Mitigation_Industry!R:R,MATCH($A283,Mitigation_Industry!$H:$H,0))</f>
        <v>0</v>
      </c>
      <c r="S283" s="24">
        <f>INDEX(Mitigation_Industry!S:S,MATCH($A283,Mitigation_Industry!$H:$H,0))</f>
        <v>0</v>
      </c>
      <c r="T283" s="24">
        <f>INDEX(Mitigation_Industry!T:T,MATCH($A283,Mitigation_Industry!$H:$H,0))</f>
        <v>0</v>
      </c>
      <c r="U283" s="24">
        <f>INDEX(Mitigation_Industry!U:U,MATCH($A283,Mitigation_Industry!$H:$H,0))</f>
        <v>0</v>
      </c>
      <c r="V283" s="24">
        <f>INDEX(Mitigation_Industry!V:V,MATCH($A283,Mitigation_Industry!$H:$H,0))</f>
        <v>0</v>
      </c>
      <c r="W283" s="24">
        <f>INDEX(Mitigation_Industry!W:W,MATCH($A283,Mitigation_Industry!$H:$H,0))</f>
        <v>0</v>
      </c>
      <c r="X283" s="24">
        <f>INDEX(Mitigation_Industry!X:X,MATCH($A283,Mitigation_Industry!$H:$H,0))</f>
        <v>0</v>
      </c>
      <c r="Y283" s="24">
        <f>INDEX(Mitigation_Industry!Y:Y,MATCH($A283,Mitigation_Industry!$H:$H,0))</f>
        <v>0</v>
      </c>
      <c r="Z283" s="24">
        <f>INDEX(Mitigation_Industry!Z:Z,MATCH($A283,Mitigation_Industry!$H:$H,0))</f>
        <v>0</v>
      </c>
      <c r="AA283" s="24">
        <f>INDEX(Mitigation_Industry!AA:AA,MATCH($A283,Mitigation_Industry!$H:$H,0))</f>
        <v>0</v>
      </c>
      <c r="AB283" s="24">
        <f>INDEX(Mitigation_Industry!AB:AB,MATCH($A283,Mitigation_Industry!$H:$H,0))</f>
        <v>0</v>
      </c>
      <c r="AC283" s="24">
        <f>INDEX(Mitigation_Industry!AC:AC,MATCH($A283,Mitigation_Industry!$H:$H,0))</f>
        <v>0</v>
      </c>
      <c r="AD283" s="24">
        <f>INDEX(Mitigation_Industry!AD:AD,MATCH($A283,Mitigation_Industry!$H:$H,0))</f>
        <v>0</v>
      </c>
      <c r="AE283" s="24">
        <f>INDEX(Mitigation_Industry!AE:AE,MATCH($A283,Mitigation_Industry!$H:$H,0))</f>
        <v>0</v>
      </c>
    </row>
    <row r="284" spans="1:31" x14ac:dyDescent="0.45">
      <c r="A284" s="28" t="s">
        <v>1230</v>
      </c>
      <c r="B284" s="5" t="s">
        <v>64</v>
      </c>
      <c r="C284" s="5" t="s">
        <v>117</v>
      </c>
      <c r="D284" s="5">
        <v>2</v>
      </c>
      <c r="E284" s="2" t="s">
        <v>1161</v>
      </c>
      <c r="F284" s="31">
        <f>MAX(MAX(L284:AE284),-MIN(L284:AE284))</f>
        <v>0</v>
      </c>
      <c r="K284" s="32">
        <f t="shared" ref="K284:AE284" si="69">IF(ISNUMBER(K282),IF(ISNUMBER(K283),K283-K282,999999),0)</f>
        <v>0</v>
      </c>
      <c r="L284" s="32">
        <f t="shared" si="69"/>
        <v>0</v>
      </c>
      <c r="M284" s="32">
        <f t="shared" si="69"/>
        <v>0</v>
      </c>
      <c r="N284" s="32">
        <f t="shared" si="69"/>
        <v>0</v>
      </c>
      <c r="O284" s="32">
        <f t="shared" si="69"/>
        <v>0</v>
      </c>
      <c r="P284" s="32">
        <f t="shared" si="69"/>
        <v>0</v>
      </c>
      <c r="Q284" s="32">
        <f t="shared" si="69"/>
        <v>0</v>
      </c>
      <c r="R284" s="32">
        <f t="shared" si="69"/>
        <v>0</v>
      </c>
      <c r="S284" s="32">
        <f t="shared" si="69"/>
        <v>0</v>
      </c>
      <c r="T284" s="32">
        <f t="shared" si="69"/>
        <v>0</v>
      </c>
      <c r="U284" s="32">
        <f t="shared" si="69"/>
        <v>0</v>
      </c>
      <c r="V284" s="32">
        <f t="shared" si="69"/>
        <v>0</v>
      </c>
      <c r="W284" s="32">
        <f t="shared" si="69"/>
        <v>0</v>
      </c>
      <c r="X284" s="32">
        <f t="shared" si="69"/>
        <v>0</v>
      </c>
      <c r="Y284" s="32">
        <f t="shared" si="69"/>
        <v>0</v>
      </c>
      <c r="Z284" s="32">
        <f t="shared" si="69"/>
        <v>0</v>
      </c>
      <c r="AA284" s="32">
        <f t="shared" si="69"/>
        <v>0</v>
      </c>
      <c r="AB284" s="32">
        <f t="shared" si="69"/>
        <v>0</v>
      </c>
      <c r="AC284" s="32">
        <f t="shared" si="69"/>
        <v>0</v>
      </c>
      <c r="AD284" s="32">
        <f t="shared" si="69"/>
        <v>0</v>
      </c>
      <c r="AE284" s="32">
        <f t="shared" si="69"/>
        <v>0</v>
      </c>
    </row>
    <row r="286" spans="1:31" x14ac:dyDescent="0.45">
      <c r="A286" s="28" t="s">
        <v>1231</v>
      </c>
      <c r="B286" s="5" t="s">
        <v>67</v>
      </c>
      <c r="C286" s="5" t="s">
        <v>117</v>
      </c>
      <c r="D286" s="5">
        <v>2</v>
      </c>
      <c r="E286" s="5" t="s">
        <v>1159</v>
      </c>
      <c r="K286" s="24"/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</row>
    <row r="287" spans="1:31" x14ac:dyDescent="0.45">
      <c r="A287" s="28" t="s">
        <v>1231</v>
      </c>
      <c r="B287" s="5" t="s">
        <v>67</v>
      </c>
      <c r="C287" s="5" t="s">
        <v>117</v>
      </c>
      <c r="D287" s="5">
        <v>2</v>
      </c>
      <c r="E287" s="5" t="s">
        <v>1160</v>
      </c>
      <c r="K287" s="24">
        <f>INDEX(Mitigation_Industry!K:K,MATCH($A287,Mitigation_Industry!$H:$H,0))</f>
        <v>0</v>
      </c>
      <c r="L287" s="24">
        <f>INDEX(Mitigation_Industry!L:L,MATCH($A287,Mitigation_Industry!$H:$H,0))</f>
        <v>0</v>
      </c>
      <c r="M287" s="24">
        <f>INDEX(Mitigation_Industry!M:M,MATCH($A287,Mitigation_Industry!$H:$H,0))</f>
        <v>0</v>
      </c>
      <c r="N287" s="24">
        <f>INDEX(Mitigation_Industry!N:N,MATCH($A287,Mitigation_Industry!$H:$H,0))</f>
        <v>0</v>
      </c>
      <c r="O287" s="24">
        <f>INDEX(Mitigation_Industry!O:O,MATCH($A287,Mitigation_Industry!$H:$H,0))</f>
        <v>0</v>
      </c>
      <c r="P287" s="24">
        <f>INDEX(Mitigation_Industry!P:P,MATCH($A287,Mitigation_Industry!$H:$H,0))</f>
        <v>0</v>
      </c>
      <c r="Q287" s="24">
        <f>INDEX(Mitigation_Industry!Q:Q,MATCH($A287,Mitigation_Industry!$H:$H,0))</f>
        <v>0</v>
      </c>
      <c r="R287" s="24">
        <f>INDEX(Mitigation_Industry!R:R,MATCH($A287,Mitigation_Industry!$H:$H,0))</f>
        <v>0</v>
      </c>
      <c r="S287" s="24">
        <f>INDEX(Mitigation_Industry!S:S,MATCH($A287,Mitigation_Industry!$H:$H,0))</f>
        <v>0</v>
      </c>
      <c r="T287" s="24">
        <f>INDEX(Mitigation_Industry!T:T,MATCH($A287,Mitigation_Industry!$H:$H,0))</f>
        <v>0</v>
      </c>
      <c r="U287" s="24">
        <f>INDEX(Mitigation_Industry!U:U,MATCH($A287,Mitigation_Industry!$H:$H,0))</f>
        <v>0</v>
      </c>
      <c r="V287" s="24">
        <f>INDEX(Mitigation_Industry!V:V,MATCH($A287,Mitigation_Industry!$H:$H,0))</f>
        <v>0</v>
      </c>
      <c r="W287" s="24">
        <f>INDEX(Mitigation_Industry!W:W,MATCH($A287,Mitigation_Industry!$H:$H,0))</f>
        <v>0</v>
      </c>
      <c r="X287" s="24">
        <f>INDEX(Mitigation_Industry!X:X,MATCH($A287,Mitigation_Industry!$H:$H,0))</f>
        <v>0</v>
      </c>
      <c r="Y287" s="24">
        <f>INDEX(Mitigation_Industry!Y:Y,MATCH($A287,Mitigation_Industry!$H:$H,0))</f>
        <v>0</v>
      </c>
      <c r="Z287" s="24">
        <f>INDEX(Mitigation_Industry!Z:Z,MATCH($A287,Mitigation_Industry!$H:$H,0))</f>
        <v>0</v>
      </c>
      <c r="AA287" s="24">
        <f>INDEX(Mitigation_Industry!AA:AA,MATCH($A287,Mitigation_Industry!$H:$H,0))</f>
        <v>0</v>
      </c>
      <c r="AB287" s="24">
        <f>INDEX(Mitigation_Industry!AB:AB,MATCH($A287,Mitigation_Industry!$H:$H,0))</f>
        <v>0</v>
      </c>
      <c r="AC287" s="24">
        <f>INDEX(Mitigation_Industry!AC:AC,MATCH($A287,Mitigation_Industry!$H:$H,0))</f>
        <v>0</v>
      </c>
      <c r="AD287" s="24">
        <f>INDEX(Mitigation_Industry!AD:AD,MATCH($A287,Mitigation_Industry!$H:$H,0))</f>
        <v>0</v>
      </c>
      <c r="AE287" s="24">
        <f>INDEX(Mitigation_Industry!AE:AE,MATCH($A287,Mitigation_Industry!$H:$H,0))</f>
        <v>0</v>
      </c>
    </row>
    <row r="288" spans="1:31" x14ac:dyDescent="0.45">
      <c r="A288" s="28" t="s">
        <v>1231</v>
      </c>
      <c r="B288" s="5" t="s">
        <v>67</v>
      </c>
      <c r="C288" s="5" t="s">
        <v>117</v>
      </c>
      <c r="D288" s="5">
        <v>2</v>
      </c>
      <c r="E288" s="2" t="s">
        <v>1161</v>
      </c>
      <c r="F288" s="31">
        <f>MAX(MAX(L288:AE288),-MIN(L288:AE288))</f>
        <v>0</v>
      </c>
      <c r="K288" s="32">
        <f t="shared" ref="K288:AE288" si="70">IF(ISNUMBER(K286),IF(ISNUMBER(K287),K287-K286,999999),0)</f>
        <v>0</v>
      </c>
      <c r="L288" s="32">
        <f t="shared" si="70"/>
        <v>0</v>
      </c>
      <c r="M288" s="32">
        <f t="shared" si="70"/>
        <v>0</v>
      </c>
      <c r="N288" s="32">
        <f t="shared" si="70"/>
        <v>0</v>
      </c>
      <c r="O288" s="32">
        <f t="shared" si="70"/>
        <v>0</v>
      </c>
      <c r="P288" s="32">
        <f t="shared" si="70"/>
        <v>0</v>
      </c>
      <c r="Q288" s="32">
        <f t="shared" si="70"/>
        <v>0</v>
      </c>
      <c r="R288" s="32">
        <f t="shared" si="70"/>
        <v>0</v>
      </c>
      <c r="S288" s="32">
        <f t="shared" si="70"/>
        <v>0</v>
      </c>
      <c r="T288" s="32">
        <f t="shared" si="70"/>
        <v>0</v>
      </c>
      <c r="U288" s="32">
        <f t="shared" si="70"/>
        <v>0</v>
      </c>
      <c r="V288" s="32">
        <f t="shared" si="70"/>
        <v>0</v>
      </c>
      <c r="W288" s="32">
        <f t="shared" si="70"/>
        <v>0</v>
      </c>
      <c r="X288" s="32">
        <f t="shared" si="70"/>
        <v>0</v>
      </c>
      <c r="Y288" s="32">
        <f t="shared" si="70"/>
        <v>0</v>
      </c>
      <c r="Z288" s="32">
        <f t="shared" si="70"/>
        <v>0</v>
      </c>
      <c r="AA288" s="32">
        <f t="shared" si="70"/>
        <v>0</v>
      </c>
      <c r="AB288" s="32">
        <f t="shared" si="70"/>
        <v>0</v>
      </c>
      <c r="AC288" s="32">
        <f t="shared" si="70"/>
        <v>0</v>
      </c>
      <c r="AD288" s="32">
        <f t="shared" si="70"/>
        <v>0</v>
      </c>
      <c r="AE288" s="32">
        <f t="shared" si="70"/>
        <v>0</v>
      </c>
    </row>
    <row r="290" spans="1:31" x14ac:dyDescent="0.45">
      <c r="A290" s="28" t="s">
        <v>1232</v>
      </c>
      <c r="B290" s="5" t="s">
        <v>69</v>
      </c>
      <c r="C290" s="5" t="s">
        <v>117</v>
      </c>
      <c r="D290" s="5">
        <v>2</v>
      </c>
      <c r="E290" s="5" t="s">
        <v>1159</v>
      </c>
      <c r="K290" s="24"/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</row>
    <row r="291" spans="1:31" x14ac:dyDescent="0.45">
      <c r="A291" s="28" t="s">
        <v>1232</v>
      </c>
      <c r="B291" s="5" t="s">
        <v>69</v>
      </c>
      <c r="C291" s="5" t="s">
        <v>117</v>
      </c>
      <c r="D291" s="5">
        <v>2</v>
      </c>
      <c r="E291" s="5" t="s">
        <v>1160</v>
      </c>
      <c r="K291" s="24">
        <f>INDEX(Mitigation_Industry!K:K,MATCH($A291,Mitigation_Industry!$H:$H,0))</f>
        <v>0</v>
      </c>
      <c r="L291" s="24">
        <f>INDEX(Mitigation_Industry!L:L,MATCH($A291,Mitigation_Industry!$H:$H,0))</f>
        <v>0</v>
      </c>
      <c r="M291" s="24">
        <f>INDEX(Mitigation_Industry!M:M,MATCH($A291,Mitigation_Industry!$H:$H,0))</f>
        <v>0</v>
      </c>
      <c r="N291" s="24">
        <f>INDEX(Mitigation_Industry!N:N,MATCH($A291,Mitigation_Industry!$H:$H,0))</f>
        <v>0</v>
      </c>
      <c r="O291" s="24">
        <f>INDEX(Mitigation_Industry!O:O,MATCH($A291,Mitigation_Industry!$H:$H,0))</f>
        <v>0</v>
      </c>
      <c r="P291" s="24">
        <f>INDEX(Mitigation_Industry!P:P,MATCH($A291,Mitigation_Industry!$H:$H,0))</f>
        <v>0</v>
      </c>
      <c r="Q291" s="24">
        <f>INDEX(Mitigation_Industry!Q:Q,MATCH($A291,Mitigation_Industry!$H:$H,0))</f>
        <v>0</v>
      </c>
      <c r="R291" s="24">
        <f>INDEX(Mitigation_Industry!R:R,MATCH($A291,Mitigation_Industry!$H:$H,0))</f>
        <v>0</v>
      </c>
      <c r="S291" s="24">
        <f>INDEX(Mitigation_Industry!S:S,MATCH($A291,Mitigation_Industry!$H:$H,0))</f>
        <v>0</v>
      </c>
      <c r="T291" s="24">
        <f>INDEX(Mitigation_Industry!T:T,MATCH($A291,Mitigation_Industry!$H:$H,0))</f>
        <v>0</v>
      </c>
      <c r="U291" s="24">
        <f>INDEX(Mitigation_Industry!U:U,MATCH($A291,Mitigation_Industry!$H:$H,0))</f>
        <v>0</v>
      </c>
      <c r="V291" s="24">
        <f>INDEX(Mitigation_Industry!V:V,MATCH($A291,Mitigation_Industry!$H:$H,0))</f>
        <v>0</v>
      </c>
      <c r="W291" s="24">
        <f>INDEX(Mitigation_Industry!W:W,MATCH($A291,Mitigation_Industry!$H:$H,0))</f>
        <v>0</v>
      </c>
      <c r="X291" s="24">
        <f>INDEX(Mitigation_Industry!X:X,MATCH($A291,Mitigation_Industry!$H:$H,0))</f>
        <v>0</v>
      </c>
      <c r="Y291" s="24">
        <f>INDEX(Mitigation_Industry!Y:Y,MATCH($A291,Mitigation_Industry!$H:$H,0))</f>
        <v>0</v>
      </c>
      <c r="Z291" s="24">
        <f>INDEX(Mitigation_Industry!Z:Z,MATCH($A291,Mitigation_Industry!$H:$H,0))</f>
        <v>0</v>
      </c>
      <c r="AA291" s="24">
        <f>INDEX(Mitigation_Industry!AA:AA,MATCH($A291,Mitigation_Industry!$H:$H,0))</f>
        <v>0</v>
      </c>
      <c r="AB291" s="24">
        <f>INDEX(Mitigation_Industry!AB:AB,MATCH($A291,Mitigation_Industry!$H:$H,0))</f>
        <v>0</v>
      </c>
      <c r="AC291" s="24">
        <f>INDEX(Mitigation_Industry!AC:AC,MATCH($A291,Mitigation_Industry!$H:$H,0))</f>
        <v>0</v>
      </c>
      <c r="AD291" s="24">
        <f>INDEX(Mitigation_Industry!AD:AD,MATCH($A291,Mitigation_Industry!$H:$H,0))</f>
        <v>0</v>
      </c>
      <c r="AE291" s="24">
        <f>INDEX(Mitigation_Industry!AE:AE,MATCH($A291,Mitigation_Industry!$H:$H,0))</f>
        <v>0</v>
      </c>
    </row>
    <row r="292" spans="1:31" x14ac:dyDescent="0.45">
      <c r="A292" s="28" t="s">
        <v>1232</v>
      </c>
      <c r="B292" s="5" t="s">
        <v>69</v>
      </c>
      <c r="C292" s="5" t="s">
        <v>117</v>
      </c>
      <c r="D292" s="5">
        <v>2</v>
      </c>
      <c r="E292" s="2" t="s">
        <v>1161</v>
      </c>
      <c r="F292" s="31">
        <f>MAX(MAX(L292:AE292),-MIN(L292:AE292))</f>
        <v>0</v>
      </c>
      <c r="K292" s="32">
        <f t="shared" ref="K292:AE292" si="71">IF(ISNUMBER(K290),IF(ISNUMBER(K291),K291-K290,999999),0)</f>
        <v>0</v>
      </c>
      <c r="L292" s="32">
        <f t="shared" si="71"/>
        <v>0</v>
      </c>
      <c r="M292" s="32">
        <f t="shared" si="71"/>
        <v>0</v>
      </c>
      <c r="N292" s="32">
        <f t="shared" si="71"/>
        <v>0</v>
      </c>
      <c r="O292" s="32">
        <f t="shared" si="71"/>
        <v>0</v>
      </c>
      <c r="P292" s="32">
        <f t="shared" si="71"/>
        <v>0</v>
      </c>
      <c r="Q292" s="32">
        <f t="shared" si="71"/>
        <v>0</v>
      </c>
      <c r="R292" s="32">
        <f t="shared" si="71"/>
        <v>0</v>
      </c>
      <c r="S292" s="32">
        <f t="shared" si="71"/>
        <v>0</v>
      </c>
      <c r="T292" s="32">
        <f t="shared" si="71"/>
        <v>0</v>
      </c>
      <c r="U292" s="32">
        <f t="shared" si="71"/>
        <v>0</v>
      </c>
      <c r="V292" s="32">
        <f t="shared" si="71"/>
        <v>0</v>
      </c>
      <c r="W292" s="32">
        <f t="shared" si="71"/>
        <v>0</v>
      </c>
      <c r="X292" s="32">
        <f t="shared" si="71"/>
        <v>0</v>
      </c>
      <c r="Y292" s="32">
        <f t="shared" si="71"/>
        <v>0</v>
      </c>
      <c r="Z292" s="32">
        <f t="shared" si="71"/>
        <v>0</v>
      </c>
      <c r="AA292" s="32">
        <f t="shared" si="71"/>
        <v>0</v>
      </c>
      <c r="AB292" s="32">
        <f t="shared" si="71"/>
        <v>0</v>
      </c>
      <c r="AC292" s="32">
        <f t="shared" si="71"/>
        <v>0</v>
      </c>
      <c r="AD292" s="32">
        <f t="shared" si="71"/>
        <v>0</v>
      </c>
      <c r="AE292" s="32">
        <f t="shared" si="71"/>
        <v>0</v>
      </c>
    </row>
    <row r="294" spans="1:31" x14ac:dyDescent="0.45">
      <c r="A294" s="28" t="s">
        <v>1233</v>
      </c>
      <c r="B294" s="5" t="s">
        <v>49</v>
      </c>
      <c r="C294" s="5" t="s">
        <v>43</v>
      </c>
      <c r="D294" s="5">
        <v>1</v>
      </c>
      <c r="E294" s="5" t="s">
        <v>1159</v>
      </c>
      <c r="K294" s="18"/>
      <c r="L294" s="18">
        <v>10.5233613454312</v>
      </c>
      <c r="M294" s="18">
        <v>10.2995608274442</v>
      </c>
      <c r="N294" s="18">
        <v>9.5775283595382597</v>
      </c>
      <c r="O294" s="18">
        <v>8.4854782869580507</v>
      </c>
      <c r="P294" s="18">
        <v>9.0871922352498604</v>
      </c>
      <c r="Q294" s="18">
        <v>9.2229237289326793</v>
      </c>
      <c r="R294" s="18">
        <v>9.1585649555096893</v>
      </c>
      <c r="S294" s="18">
        <v>9.0895478773973792</v>
      </c>
      <c r="T294" s="18">
        <v>9.0156816660228305</v>
      </c>
      <c r="U294" s="18">
        <v>8.9443977655571096</v>
      </c>
      <c r="V294" s="18">
        <v>8.9443977655571096</v>
      </c>
      <c r="W294" s="18">
        <v>8.9443977655571096</v>
      </c>
      <c r="X294" s="18">
        <v>8.9443977655571096</v>
      </c>
      <c r="Y294" s="18">
        <v>8.9443977655571096</v>
      </c>
      <c r="Z294" s="18">
        <v>8.9443977655571096</v>
      </c>
      <c r="AA294" s="18">
        <v>8.9443977655571096</v>
      </c>
      <c r="AB294" s="18">
        <v>8.9443977655571096</v>
      </c>
      <c r="AC294" s="18">
        <v>8.9443977655571096</v>
      </c>
      <c r="AD294" s="18">
        <v>8.9443977655571096</v>
      </c>
      <c r="AE294" s="18">
        <v>8.9443977655571096</v>
      </c>
    </row>
    <row r="295" spans="1:31" x14ac:dyDescent="0.45">
      <c r="A295" s="28" t="s">
        <v>1233</v>
      </c>
      <c r="B295" s="5" t="s">
        <v>49</v>
      </c>
      <c r="C295" s="5" t="s">
        <v>43</v>
      </c>
      <c r="D295" s="5">
        <v>1</v>
      </c>
      <c r="E295" s="5" t="s">
        <v>1160</v>
      </c>
      <c r="K295" s="18">
        <f>INDEX(Mitigation_Industry!K:K,MATCH($A295,Mitigation_Industry!$H:$H,0))</f>
        <v>11.182901589243899</v>
      </c>
      <c r="L295" s="18">
        <f>INDEX(Mitigation_Industry!L:L,MATCH($A295,Mitigation_Industry!$H:$H,0))</f>
        <v>10.5233613454312</v>
      </c>
      <c r="M295" s="18">
        <f>INDEX(Mitigation_Industry!M:M,MATCH($A295,Mitigation_Industry!$H:$H,0))</f>
        <v>10.2995608274442</v>
      </c>
      <c r="N295" s="18">
        <f>INDEX(Mitigation_Industry!N:N,MATCH($A295,Mitigation_Industry!$H:$H,0))</f>
        <v>9.5775283595382597</v>
      </c>
      <c r="O295" s="18">
        <f>INDEX(Mitigation_Industry!O:O,MATCH($A295,Mitigation_Industry!$H:$H,0))</f>
        <v>8.4854782869580507</v>
      </c>
      <c r="P295" s="18">
        <f>INDEX(Mitigation_Industry!P:P,MATCH($A295,Mitigation_Industry!$H:$H,0))</f>
        <v>9.0871922352498604</v>
      </c>
      <c r="Q295" s="18">
        <f>INDEX(Mitigation_Industry!Q:Q,MATCH($A295,Mitigation_Industry!$H:$H,0))</f>
        <v>9.2229237289326793</v>
      </c>
      <c r="R295" s="18">
        <f>INDEX(Mitigation_Industry!R:R,MATCH($A295,Mitigation_Industry!$H:$H,0))</f>
        <v>9.1585649555096893</v>
      </c>
      <c r="S295" s="18">
        <f>INDEX(Mitigation_Industry!S:S,MATCH($A295,Mitigation_Industry!$H:$H,0))</f>
        <v>9.0895478773973792</v>
      </c>
      <c r="T295" s="18">
        <f>INDEX(Mitigation_Industry!T:T,MATCH($A295,Mitigation_Industry!$H:$H,0))</f>
        <v>9.0156816660228305</v>
      </c>
      <c r="U295" s="18">
        <f>INDEX(Mitigation_Industry!U:U,MATCH($A295,Mitigation_Industry!$H:$H,0))</f>
        <v>8.9443977655571096</v>
      </c>
      <c r="V295" s="18">
        <f>INDEX(Mitigation_Industry!V:V,MATCH($A295,Mitigation_Industry!$H:$H,0))</f>
        <v>8.9443977655571096</v>
      </c>
      <c r="W295" s="18">
        <f>INDEX(Mitigation_Industry!W:W,MATCH($A295,Mitigation_Industry!$H:$H,0))</f>
        <v>8.9443977655571096</v>
      </c>
      <c r="X295" s="18">
        <f>INDEX(Mitigation_Industry!X:X,MATCH($A295,Mitigation_Industry!$H:$H,0))</f>
        <v>8.9443977655571096</v>
      </c>
      <c r="Y295" s="18">
        <f>INDEX(Mitigation_Industry!Y:Y,MATCH($A295,Mitigation_Industry!$H:$H,0))</f>
        <v>8.9443977655571096</v>
      </c>
      <c r="Z295" s="18">
        <f>INDEX(Mitigation_Industry!Z:Z,MATCH($A295,Mitigation_Industry!$H:$H,0))</f>
        <v>8.9443977655571096</v>
      </c>
      <c r="AA295" s="18">
        <f>INDEX(Mitigation_Industry!AA:AA,MATCH($A295,Mitigation_Industry!$H:$H,0))</f>
        <v>8.9443977655571096</v>
      </c>
      <c r="AB295" s="18">
        <f>INDEX(Mitigation_Industry!AB:AB,MATCH($A295,Mitigation_Industry!$H:$H,0))</f>
        <v>8.9443977655571096</v>
      </c>
      <c r="AC295" s="18">
        <f>INDEX(Mitigation_Industry!AC:AC,MATCH($A295,Mitigation_Industry!$H:$H,0))</f>
        <v>8.9443977655571096</v>
      </c>
      <c r="AD295" s="18">
        <f>INDEX(Mitigation_Industry!AD:AD,MATCH($A295,Mitigation_Industry!$H:$H,0))</f>
        <v>8.9443977655571096</v>
      </c>
      <c r="AE295" s="18">
        <f>INDEX(Mitigation_Industry!AE:AE,MATCH($A295,Mitigation_Industry!$H:$H,0))</f>
        <v>8.9443977655571096</v>
      </c>
    </row>
    <row r="296" spans="1:31" x14ac:dyDescent="0.45">
      <c r="A296" s="28" t="s">
        <v>1233</v>
      </c>
      <c r="B296" s="5" t="s">
        <v>49</v>
      </c>
      <c r="C296" s="5" t="s">
        <v>43</v>
      </c>
      <c r="D296" s="5">
        <v>1</v>
      </c>
      <c r="E296" s="2" t="s">
        <v>1161</v>
      </c>
      <c r="F296" s="31">
        <f>MAX(MAX(L296:AE296),-MIN(L296:AE296))</f>
        <v>0</v>
      </c>
      <c r="K296" s="32">
        <f t="shared" ref="K296:AE296" si="72">IF(ISNUMBER(K294),IF(ISNUMBER(K295),K295-K294,999999),0)</f>
        <v>0</v>
      </c>
      <c r="L296" s="32">
        <f t="shared" si="72"/>
        <v>0</v>
      </c>
      <c r="M296" s="32">
        <f t="shared" si="72"/>
        <v>0</v>
      </c>
      <c r="N296" s="32">
        <f t="shared" si="72"/>
        <v>0</v>
      </c>
      <c r="O296" s="32">
        <f t="shared" si="72"/>
        <v>0</v>
      </c>
      <c r="P296" s="32">
        <f t="shared" si="72"/>
        <v>0</v>
      </c>
      <c r="Q296" s="32">
        <f t="shared" si="72"/>
        <v>0</v>
      </c>
      <c r="R296" s="32">
        <f t="shared" si="72"/>
        <v>0</v>
      </c>
      <c r="S296" s="32">
        <f t="shared" si="72"/>
        <v>0</v>
      </c>
      <c r="T296" s="32">
        <f t="shared" si="72"/>
        <v>0</v>
      </c>
      <c r="U296" s="32">
        <f t="shared" si="72"/>
        <v>0</v>
      </c>
      <c r="V296" s="32">
        <f t="shared" si="72"/>
        <v>0</v>
      </c>
      <c r="W296" s="32">
        <f t="shared" si="72"/>
        <v>0</v>
      </c>
      <c r="X296" s="32">
        <f t="shared" si="72"/>
        <v>0</v>
      </c>
      <c r="Y296" s="32">
        <f t="shared" si="72"/>
        <v>0</v>
      </c>
      <c r="Z296" s="32">
        <f t="shared" si="72"/>
        <v>0</v>
      </c>
      <c r="AA296" s="32">
        <f t="shared" si="72"/>
        <v>0</v>
      </c>
      <c r="AB296" s="32">
        <f t="shared" si="72"/>
        <v>0</v>
      </c>
      <c r="AC296" s="32">
        <f t="shared" si="72"/>
        <v>0</v>
      </c>
      <c r="AD296" s="32">
        <f t="shared" si="72"/>
        <v>0</v>
      </c>
      <c r="AE296" s="32">
        <f t="shared" si="72"/>
        <v>0</v>
      </c>
    </row>
    <row r="298" spans="1:31" x14ac:dyDescent="0.45">
      <c r="A298" s="28" t="s">
        <v>1234</v>
      </c>
      <c r="B298" s="5" t="s">
        <v>53</v>
      </c>
      <c r="C298" s="5" t="s">
        <v>43</v>
      </c>
      <c r="D298" s="5">
        <v>1</v>
      </c>
      <c r="E298" s="5" t="s">
        <v>1159</v>
      </c>
      <c r="K298" s="18"/>
      <c r="L298" s="18">
        <v>5.4510150816191896</v>
      </c>
      <c r="M298" s="18">
        <v>5.1193563062624801</v>
      </c>
      <c r="N298" s="18">
        <v>5.08218458640407</v>
      </c>
      <c r="O298" s="18">
        <v>5.08218458640407</v>
      </c>
      <c r="P298" s="18">
        <v>5.08218458640407</v>
      </c>
      <c r="Q298" s="18">
        <v>5.08218458640407</v>
      </c>
      <c r="R298" s="18">
        <v>5.08218458640407</v>
      </c>
      <c r="S298" s="18">
        <v>5.08218458640407</v>
      </c>
      <c r="T298" s="18">
        <v>5.08218458640407</v>
      </c>
      <c r="U298" s="18">
        <v>5.08218458640407</v>
      </c>
      <c r="V298" s="18">
        <v>5.08218458640407</v>
      </c>
      <c r="W298" s="18">
        <v>5.08218458640407</v>
      </c>
      <c r="X298" s="18">
        <v>5.08218458640407</v>
      </c>
      <c r="Y298" s="18">
        <v>5.08218458640407</v>
      </c>
      <c r="Z298" s="18">
        <v>5.08218458640407</v>
      </c>
      <c r="AA298" s="18">
        <v>5.08218458640407</v>
      </c>
      <c r="AB298" s="18">
        <v>5.08218458640407</v>
      </c>
      <c r="AC298" s="18">
        <v>5.08218458640407</v>
      </c>
      <c r="AD298" s="18">
        <v>5.08218458640407</v>
      </c>
      <c r="AE298" s="18">
        <v>5.08218458640407</v>
      </c>
    </row>
    <row r="299" spans="1:31" x14ac:dyDescent="0.45">
      <c r="A299" s="28" t="s">
        <v>1234</v>
      </c>
      <c r="B299" s="5" t="s">
        <v>53</v>
      </c>
      <c r="C299" s="5" t="s">
        <v>43</v>
      </c>
      <c r="D299" s="5">
        <v>1</v>
      </c>
      <c r="E299" s="5" t="s">
        <v>1160</v>
      </c>
      <c r="K299" s="18">
        <f>INDEX(Mitigation_Industry!K:K,MATCH($A299,Mitigation_Industry!$H:$H,0))</f>
        <v>6.0634636156729096</v>
      </c>
      <c r="L299" s="18">
        <f>INDEX(Mitigation_Industry!L:L,MATCH($A299,Mitigation_Industry!$H:$H,0))</f>
        <v>5.4510150816191896</v>
      </c>
      <c r="M299" s="18">
        <f>INDEX(Mitigation_Industry!M:M,MATCH($A299,Mitigation_Industry!$H:$H,0))</f>
        <v>5.1193563062624801</v>
      </c>
      <c r="N299" s="18">
        <f>INDEX(Mitigation_Industry!N:N,MATCH($A299,Mitigation_Industry!$H:$H,0))</f>
        <v>5.08218458640407</v>
      </c>
      <c r="O299" s="18">
        <f>INDEX(Mitigation_Industry!O:O,MATCH($A299,Mitigation_Industry!$H:$H,0))</f>
        <v>5.08218458640407</v>
      </c>
      <c r="P299" s="18">
        <f>INDEX(Mitigation_Industry!P:P,MATCH($A299,Mitigation_Industry!$H:$H,0))</f>
        <v>5.08218458640407</v>
      </c>
      <c r="Q299" s="18">
        <f>INDEX(Mitigation_Industry!Q:Q,MATCH($A299,Mitigation_Industry!$H:$H,0))</f>
        <v>5.08218458640407</v>
      </c>
      <c r="R299" s="18">
        <f>INDEX(Mitigation_Industry!R:R,MATCH($A299,Mitigation_Industry!$H:$H,0))</f>
        <v>5.08218458640407</v>
      </c>
      <c r="S299" s="18">
        <f>INDEX(Mitigation_Industry!S:S,MATCH($A299,Mitigation_Industry!$H:$H,0))</f>
        <v>5.08218458640407</v>
      </c>
      <c r="T299" s="18">
        <f>INDEX(Mitigation_Industry!T:T,MATCH($A299,Mitigation_Industry!$H:$H,0))</f>
        <v>5.08218458640407</v>
      </c>
      <c r="U299" s="18">
        <f>INDEX(Mitigation_Industry!U:U,MATCH($A299,Mitigation_Industry!$H:$H,0))</f>
        <v>5.08218458640407</v>
      </c>
      <c r="V299" s="18">
        <f>INDEX(Mitigation_Industry!V:V,MATCH($A299,Mitigation_Industry!$H:$H,0))</f>
        <v>5.08218458640407</v>
      </c>
      <c r="W299" s="18">
        <f>INDEX(Mitigation_Industry!W:W,MATCH($A299,Mitigation_Industry!$H:$H,0))</f>
        <v>5.08218458640407</v>
      </c>
      <c r="X299" s="18">
        <f>INDEX(Mitigation_Industry!X:X,MATCH($A299,Mitigation_Industry!$H:$H,0))</f>
        <v>5.08218458640407</v>
      </c>
      <c r="Y299" s="18">
        <f>INDEX(Mitigation_Industry!Y:Y,MATCH($A299,Mitigation_Industry!$H:$H,0))</f>
        <v>5.08218458640407</v>
      </c>
      <c r="Z299" s="18">
        <f>INDEX(Mitigation_Industry!Z:Z,MATCH($A299,Mitigation_Industry!$H:$H,0))</f>
        <v>5.08218458640407</v>
      </c>
      <c r="AA299" s="18">
        <f>INDEX(Mitigation_Industry!AA:AA,MATCH($A299,Mitigation_Industry!$H:$H,0))</f>
        <v>5.08218458640407</v>
      </c>
      <c r="AB299" s="18">
        <f>INDEX(Mitigation_Industry!AB:AB,MATCH($A299,Mitigation_Industry!$H:$H,0))</f>
        <v>5.08218458640407</v>
      </c>
      <c r="AC299" s="18">
        <f>INDEX(Mitigation_Industry!AC:AC,MATCH($A299,Mitigation_Industry!$H:$H,0))</f>
        <v>5.08218458640407</v>
      </c>
      <c r="AD299" s="18">
        <f>INDEX(Mitigation_Industry!AD:AD,MATCH($A299,Mitigation_Industry!$H:$H,0))</f>
        <v>5.08218458640407</v>
      </c>
      <c r="AE299" s="18">
        <f>INDEX(Mitigation_Industry!AE:AE,MATCH($A299,Mitigation_Industry!$H:$H,0))</f>
        <v>5.08218458640407</v>
      </c>
    </row>
    <row r="300" spans="1:31" x14ac:dyDescent="0.45">
      <c r="A300" s="28" t="s">
        <v>1234</v>
      </c>
      <c r="B300" s="5" t="s">
        <v>53</v>
      </c>
      <c r="C300" s="5" t="s">
        <v>43</v>
      </c>
      <c r="D300" s="5">
        <v>1</v>
      </c>
      <c r="E300" s="2" t="s">
        <v>1161</v>
      </c>
      <c r="F300" s="31">
        <f>MAX(MAX(L300:AE300),-MIN(L300:AE300))</f>
        <v>0</v>
      </c>
      <c r="K300" s="32">
        <f t="shared" ref="K300:AE300" si="73">IF(ISNUMBER(K298),IF(ISNUMBER(K299),K299-K298,999999),0)</f>
        <v>0</v>
      </c>
      <c r="L300" s="32">
        <f t="shared" si="73"/>
        <v>0</v>
      </c>
      <c r="M300" s="32">
        <f t="shared" si="73"/>
        <v>0</v>
      </c>
      <c r="N300" s="32">
        <f t="shared" si="73"/>
        <v>0</v>
      </c>
      <c r="O300" s="32">
        <f t="shared" si="73"/>
        <v>0</v>
      </c>
      <c r="P300" s="32">
        <f t="shared" si="73"/>
        <v>0</v>
      </c>
      <c r="Q300" s="32">
        <f t="shared" si="73"/>
        <v>0</v>
      </c>
      <c r="R300" s="32">
        <f t="shared" si="73"/>
        <v>0</v>
      </c>
      <c r="S300" s="32">
        <f t="shared" si="73"/>
        <v>0</v>
      </c>
      <c r="T300" s="32">
        <f t="shared" si="73"/>
        <v>0</v>
      </c>
      <c r="U300" s="32">
        <f t="shared" si="73"/>
        <v>0</v>
      </c>
      <c r="V300" s="32">
        <f t="shared" si="73"/>
        <v>0</v>
      </c>
      <c r="W300" s="32">
        <f t="shared" si="73"/>
        <v>0</v>
      </c>
      <c r="X300" s="32">
        <f t="shared" si="73"/>
        <v>0</v>
      </c>
      <c r="Y300" s="32">
        <f t="shared" si="73"/>
        <v>0</v>
      </c>
      <c r="Z300" s="32">
        <f t="shared" si="73"/>
        <v>0</v>
      </c>
      <c r="AA300" s="32">
        <f t="shared" si="73"/>
        <v>0</v>
      </c>
      <c r="AB300" s="32">
        <f t="shared" si="73"/>
        <v>0</v>
      </c>
      <c r="AC300" s="32">
        <f t="shared" si="73"/>
        <v>0</v>
      </c>
      <c r="AD300" s="32">
        <f t="shared" si="73"/>
        <v>0</v>
      </c>
      <c r="AE300" s="32">
        <f t="shared" si="73"/>
        <v>0</v>
      </c>
    </row>
    <row r="302" spans="1:31" x14ac:dyDescent="0.45">
      <c r="A302" s="28" t="s">
        <v>1235</v>
      </c>
      <c r="B302" s="5" t="s">
        <v>55</v>
      </c>
      <c r="C302" s="5" t="s">
        <v>43</v>
      </c>
      <c r="D302" s="5">
        <v>1</v>
      </c>
      <c r="E302" s="5" t="s">
        <v>1159</v>
      </c>
      <c r="K302" s="18"/>
      <c r="L302" s="18">
        <v>0.61197797679140598</v>
      </c>
      <c r="M302" s="18">
        <v>0.61180974964187596</v>
      </c>
      <c r="N302" s="18">
        <v>0.60358310017790595</v>
      </c>
      <c r="O302" s="18">
        <v>0.60358310017790595</v>
      </c>
      <c r="P302" s="18">
        <v>0.60358310017790595</v>
      </c>
      <c r="Q302" s="18">
        <v>0.60358310017790595</v>
      </c>
      <c r="R302" s="18">
        <v>0.60358310017790595</v>
      </c>
      <c r="S302" s="18">
        <v>0.60358310017790595</v>
      </c>
      <c r="T302" s="18">
        <v>0.60358310017790595</v>
      </c>
      <c r="U302" s="18">
        <v>0.60358310017790595</v>
      </c>
      <c r="V302" s="18">
        <v>0.60358310017790595</v>
      </c>
      <c r="W302" s="18">
        <v>0.60358310017790595</v>
      </c>
      <c r="X302" s="18">
        <v>0.60358310017790595</v>
      </c>
      <c r="Y302" s="18">
        <v>0.60358310017790595</v>
      </c>
      <c r="Z302" s="18">
        <v>0.60358310017790595</v>
      </c>
      <c r="AA302" s="18">
        <v>0.60358310017790595</v>
      </c>
      <c r="AB302" s="18">
        <v>0.60358310017790595</v>
      </c>
      <c r="AC302" s="18">
        <v>0.60358310017790595</v>
      </c>
      <c r="AD302" s="18">
        <v>0.60358310017790595</v>
      </c>
      <c r="AE302" s="18">
        <v>0.60358310017790595</v>
      </c>
    </row>
    <row r="303" spans="1:31" x14ac:dyDescent="0.45">
      <c r="A303" s="28" t="s">
        <v>1235</v>
      </c>
      <c r="B303" s="5" t="s">
        <v>55</v>
      </c>
      <c r="C303" s="5" t="s">
        <v>43</v>
      </c>
      <c r="D303" s="5">
        <v>1</v>
      </c>
      <c r="E303" s="5" t="s">
        <v>1160</v>
      </c>
      <c r="K303" s="18">
        <f>INDEX(Mitigation_Industry!K:K,MATCH($A303,Mitigation_Industry!$H:$H,0))</f>
        <v>0.67114653332181595</v>
      </c>
      <c r="L303" s="18">
        <f>INDEX(Mitigation_Industry!L:L,MATCH($A303,Mitigation_Industry!$H:$H,0))</f>
        <v>0.61197797679140598</v>
      </c>
      <c r="M303" s="18">
        <f>INDEX(Mitigation_Industry!M:M,MATCH($A303,Mitigation_Industry!$H:$H,0))</f>
        <v>0.61180974964187596</v>
      </c>
      <c r="N303" s="18">
        <f>INDEX(Mitigation_Industry!N:N,MATCH($A303,Mitigation_Industry!$H:$H,0))</f>
        <v>0.60358310017790595</v>
      </c>
      <c r="O303" s="18">
        <f>INDEX(Mitigation_Industry!O:O,MATCH($A303,Mitigation_Industry!$H:$H,0))</f>
        <v>0.60358310017790595</v>
      </c>
      <c r="P303" s="18">
        <f>INDEX(Mitigation_Industry!P:P,MATCH($A303,Mitigation_Industry!$H:$H,0))</f>
        <v>0.60358310017790595</v>
      </c>
      <c r="Q303" s="18">
        <f>INDEX(Mitigation_Industry!Q:Q,MATCH($A303,Mitigation_Industry!$H:$H,0))</f>
        <v>0.60358310017790595</v>
      </c>
      <c r="R303" s="18">
        <f>INDEX(Mitigation_Industry!R:R,MATCH($A303,Mitigation_Industry!$H:$H,0))</f>
        <v>0.60358310017790595</v>
      </c>
      <c r="S303" s="18">
        <f>INDEX(Mitigation_Industry!S:S,MATCH($A303,Mitigation_Industry!$H:$H,0))</f>
        <v>0.60358310017790595</v>
      </c>
      <c r="T303" s="18">
        <f>INDEX(Mitigation_Industry!T:T,MATCH($A303,Mitigation_Industry!$H:$H,0))</f>
        <v>0.60358310017790595</v>
      </c>
      <c r="U303" s="18">
        <f>INDEX(Mitigation_Industry!U:U,MATCH($A303,Mitigation_Industry!$H:$H,0))</f>
        <v>0.60358310017790595</v>
      </c>
      <c r="V303" s="18">
        <f>INDEX(Mitigation_Industry!V:V,MATCH($A303,Mitigation_Industry!$H:$H,0))</f>
        <v>0.60358310017790595</v>
      </c>
      <c r="W303" s="18">
        <f>INDEX(Mitigation_Industry!W:W,MATCH($A303,Mitigation_Industry!$H:$H,0))</f>
        <v>0.60358310017790595</v>
      </c>
      <c r="X303" s="18">
        <f>INDEX(Mitigation_Industry!X:X,MATCH($A303,Mitigation_Industry!$H:$H,0))</f>
        <v>0.60358310017790595</v>
      </c>
      <c r="Y303" s="18">
        <f>INDEX(Mitigation_Industry!Y:Y,MATCH($A303,Mitigation_Industry!$H:$H,0))</f>
        <v>0.60358310017790595</v>
      </c>
      <c r="Z303" s="18">
        <f>INDEX(Mitigation_Industry!Z:Z,MATCH($A303,Mitigation_Industry!$H:$H,0))</f>
        <v>0.60358310017790595</v>
      </c>
      <c r="AA303" s="18">
        <f>INDEX(Mitigation_Industry!AA:AA,MATCH($A303,Mitigation_Industry!$H:$H,0))</f>
        <v>0.60358310017790595</v>
      </c>
      <c r="AB303" s="18">
        <f>INDEX(Mitigation_Industry!AB:AB,MATCH($A303,Mitigation_Industry!$H:$H,0))</f>
        <v>0.60358310017790595</v>
      </c>
      <c r="AC303" s="18">
        <f>INDEX(Mitigation_Industry!AC:AC,MATCH($A303,Mitigation_Industry!$H:$H,0))</f>
        <v>0.60358310017790595</v>
      </c>
      <c r="AD303" s="18">
        <f>INDEX(Mitigation_Industry!AD:AD,MATCH($A303,Mitigation_Industry!$H:$H,0))</f>
        <v>0.60358310017790595</v>
      </c>
      <c r="AE303" s="18">
        <f>INDEX(Mitigation_Industry!AE:AE,MATCH($A303,Mitigation_Industry!$H:$H,0))</f>
        <v>0.60358310017790595</v>
      </c>
    </row>
    <row r="304" spans="1:31" x14ac:dyDescent="0.45">
      <c r="A304" s="28" t="s">
        <v>1235</v>
      </c>
      <c r="B304" s="5" t="s">
        <v>55</v>
      </c>
      <c r="C304" s="5" t="s">
        <v>43</v>
      </c>
      <c r="D304" s="5">
        <v>1</v>
      </c>
      <c r="E304" s="2" t="s">
        <v>1161</v>
      </c>
      <c r="F304" s="31">
        <f>MAX(MAX(L304:AE304),-MIN(L304:AE304))</f>
        <v>0</v>
      </c>
      <c r="K304" s="32">
        <f t="shared" ref="K304:AE304" si="74">IF(ISNUMBER(K302),IF(ISNUMBER(K303),K303-K302,999999),0)</f>
        <v>0</v>
      </c>
      <c r="L304" s="32">
        <f t="shared" si="74"/>
        <v>0</v>
      </c>
      <c r="M304" s="32">
        <f t="shared" si="74"/>
        <v>0</v>
      </c>
      <c r="N304" s="32">
        <f t="shared" si="74"/>
        <v>0</v>
      </c>
      <c r="O304" s="32">
        <f t="shared" si="74"/>
        <v>0</v>
      </c>
      <c r="P304" s="32">
        <f t="shared" si="74"/>
        <v>0</v>
      </c>
      <c r="Q304" s="32">
        <f t="shared" si="74"/>
        <v>0</v>
      </c>
      <c r="R304" s="32">
        <f t="shared" si="74"/>
        <v>0</v>
      </c>
      <c r="S304" s="32">
        <f t="shared" si="74"/>
        <v>0</v>
      </c>
      <c r="T304" s="32">
        <f t="shared" si="74"/>
        <v>0</v>
      </c>
      <c r="U304" s="32">
        <f t="shared" si="74"/>
        <v>0</v>
      </c>
      <c r="V304" s="32">
        <f t="shared" si="74"/>
        <v>0</v>
      </c>
      <c r="W304" s="32">
        <f t="shared" si="74"/>
        <v>0</v>
      </c>
      <c r="X304" s="32">
        <f t="shared" si="74"/>
        <v>0</v>
      </c>
      <c r="Y304" s="32">
        <f t="shared" si="74"/>
        <v>0</v>
      </c>
      <c r="Z304" s="32">
        <f t="shared" si="74"/>
        <v>0</v>
      </c>
      <c r="AA304" s="32">
        <f t="shared" si="74"/>
        <v>0</v>
      </c>
      <c r="AB304" s="32">
        <f t="shared" si="74"/>
        <v>0</v>
      </c>
      <c r="AC304" s="32">
        <f t="shared" si="74"/>
        <v>0</v>
      </c>
      <c r="AD304" s="32">
        <f t="shared" si="74"/>
        <v>0</v>
      </c>
      <c r="AE304" s="32">
        <f t="shared" si="74"/>
        <v>0</v>
      </c>
    </row>
    <row r="306" spans="1:31" x14ac:dyDescent="0.45">
      <c r="A306" s="28" t="s">
        <v>1236</v>
      </c>
      <c r="B306" s="5" t="s">
        <v>58</v>
      </c>
      <c r="C306" s="5" t="s">
        <v>43</v>
      </c>
      <c r="D306" s="5">
        <v>1</v>
      </c>
      <c r="E306" s="5" t="s">
        <v>1159</v>
      </c>
      <c r="K306" s="18"/>
      <c r="L306" s="18">
        <v>0.49458873084106802</v>
      </c>
      <c r="M306" s="18">
        <v>0.50778654720250105</v>
      </c>
      <c r="N306" s="18">
        <v>0.47043642679561698</v>
      </c>
      <c r="O306" s="18">
        <v>0.47043642679561698</v>
      </c>
      <c r="P306" s="18">
        <v>0.47043642679561698</v>
      </c>
      <c r="Q306" s="18">
        <v>0.47043642679561698</v>
      </c>
      <c r="R306" s="18">
        <v>0.47043642679561698</v>
      </c>
      <c r="S306" s="18">
        <v>0.47043642679561698</v>
      </c>
      <c r="T306" s="18">
        <v>0.47043642679561698</v>
      </c>
      <c r="U306" s="18">
        <v>0.47043642679561698</v>
      </c>
      <c r="V306" s="18">
        <v>0.47043642679561698</v>
      </c>
      <c r="W306" s="18">
        <v>0.47043642679561698</v>
      </c>
      <c r="X306" s="18">
        <v>0.47043642679561698</v>
      </c>
      <c r="Y306" s="18">
        <v>0.47043642679561698</v>
      </c>
      <c r="Z306" s="18">
        <v>0.47043642679561698</v>
      </c>
      <c r="AA306" s="18">
        <v>0.47043642679561698</v>
      </c>
      <c r="AB306" s="18">
        <v>0.47043642679561698</v>
      </c>
      <c r="AC306" s="18">
        <v>0.47043642679561698</v>
      </c>
      <c r="AD306" s="18">
        <v>0.47043642679561698</v>
      </c>
      <c r="AE306" s="18">
        <v>0.47043642679561698</v>
      </c>
    </row>
    <row r="307" spans="1:31" x14ac:dyDescent="0.45">
      <c r="A307" s="28" t="s">
        <v>1236</v>
      </c>
      <c r="B307" s="5" t="s">
        <v>58</v>
      </c>
      <c r="C307" s="5" t="s">
        <v>43</v>
      </c>
      <c r="D307" s="5">
        <v>1</v>
      </c>
      <c r="E307" s="5" t="s">
        <v>1160</v>
      </c>
      <c r="K307" s="18">
        <f>INDEX(Mitigation_Industry!K:K,MATCH($A307,Mitigation_Industry!$H:$H,0))</f>
        <v>0.55971121315568795</v>
      </c>
      <c r="L307" s="18">
        <f>INDEX(Mitigation_Industry!L:L,MATCH($A307,Mitigation_Industry!$H:$H,0))</f>
        <v>0.49458873084106802</v>
      </c>
      <c r="M307" s="18">
        <f>INDEX(Mitigation_Industry!M:M,MATCH($A307,Mitigation_Industry!$H:$H,0))</f>
        <v>0.50778654720250105</v>
      </c>
      <c r="N307" s="18">
        <f>INDEX(Mitigation_Industry!N:N,MATCH($A307,Mitigation_Industry!$H:$H,0))</f>
        <v>0.47043642679561698</v>
      </c>
      <c r="O307" s="18">
        <f>INDEX(Mitigation_Industry!O:O,MATCH($A307,Mitigation_Industry!$H:$H,0))</f>
        <v>0.47043642679561698</v>
      </c>
      <c r="P307" s="18">
        <f>INDEX(Mitigation_Industry!P:P,MATCH($A307,Mitigation_Industry!$H:$H,0))</f>
        <v>0.47043642679561698</v>
      </c>
      <c r="Q307" s="18">
        <f>INDEX(Mitigation_Industry!Q:Q,MATCH($A307,Mitigation_Industry!$H:$H,0))</f>
        <v>0.47043642679561698</v>
      </c>
      <c r="R307" s="18">
        <f>INDEX(Mitigation_Industry!R:R,MATCH($A307,Mitigation_Industry!$H:$H,0))</f>
        <v>0.47043642679561698</v>
      </c>
      <c r="S307" s="18">
        <f>INDEX(Mitigation_Industry!S:S,MATCH($A307,Mitigation_Industry!$H:$H,0))</f>
        <v>0.47043642679561698</v>
      </c>
      <c r="T307" s="18">
        <f>INDEX(Mitigation_Industry!T:T,MATCH($A307,Mitigation_Industry!$H:$H,0))</f>
        <v>0.47043642679561698</v>
      </c>
      <c r="U307" s="18">
        <f>INDEX(Mitigation_Industry!U:U,MATCH($A307,Mitigation_Industry!$H:$H,0))</f>
        <v>0.47043642679561698</v>
      </c>
      <c r="V307" s="18">
        <f>INDEX(Mitigation_Industry!V:V,MATCH($A307,Mitigation_Industry!$H:$H,0))</f>
        <v>0.47043642679561698</v>
      </c>
      <c r="W307" s="18">
        <f>INDEX(Mitigation_Industry!W:W,MATCH($A307,Mitigation_Industry!$H:$H,0))</f>
        <v>0.47043642679561698</v>
      </c>
      <c r="X307" s="18">
        <f>INDEX(Mitigation_Industry!X:X,MATCH($A307,Mitigation_Industry!$H:$H,0))</f>
        <v>0.47043642679561698</v>
      </c>
      <c r="Y307" s="18">
        <f>INDEX(Mitigation_Industry!Y:Y,MATCH($A307,Mitigation_Industry!$H:$H,0))</f>
        <v>0.47043642679561698</v>
      </c>
      <c r="Z307" s="18">
        <f>INDEX(Mitigation_Industry!Z:Z,MATCH($A307,Mitigation_Industry!$H:$H,0))</f>
        <v>0.47043642679561698</v>
      </c>
      <c r="AA307" s="18">
        <f>INDEX(Mitigation_Industry!AA:AA,MATCH($A307,Mitigation_Industry!$H:$H,0))</f>
        <v>0.47043642679561698</v>
      </c>
      <c r="AB307" s="18">
        <f>INDEX(Mitigation_Industry!AB:AB,MATCH($A307,Mitigation_Industry!$H:$H,0))</f>
        <v>0.47043642679561698</v>
      </c>
      <c r="AC307" s="18">
        <f>INDEX(Mitigation_Industry!AC:AC,MATCH($A307,Mitigation_Industry!$H:$H,0))</f>
        <v>0.47043642679561698</v>
      </c>
      <c r="AD307" s="18">
        <f>INDEX(Mitigation_Industry!AD:AD,MATCH($A307,Mitigation_Industry!$H:$H,0))</f>
        <v>0.47043642679561698</v>
      </c>
      <c r="AE307" s="18">
        <f>INDEX(Mitigation_Industry!AE:AE,MATCH($A307,Mitigation_Industry!$H:$H,0))</f>
        <v>0.47043642679561698</v>
      </c>
    </row>
    <row r="308" spans="1:31" x14ac:dyDescent="0.45">
      <c r="A308" s="28" t="s">
        <v>1236</v>
      </c>
      <c r="B308" s="5" t="s">
        <v>58</v>
      </c>
      <c r="C308" s="5" t="s">
        <v>43</v>
      </c>
      <c r="D308" s="5">
        <v>1</v>
      </c>
      <c r="E308" s="2" t="s">
        <v>1161</v>
      </c>
      <c r="F308" s="31">
        <f>MAX(MAX(L308:AE308),-MIN(L308:AE308))</f>
        <v>0</v>
      </c>
      <c r="K308" s="32">
        <f t="shared" ref="K308:AE308" si="75">IF(ISNUMBER(K306),IF(ISNUMBER(K307),K307-K306,999999),0)</f>
        <v>0</v>
      </c>
      <c r="L308" s="32">
        <f t="shared" si="75"/>
        <v>0</v>
      </c>
      <c r="M308" s="32">
        <f t="shared" si="75"/>
        <v>0</v>
      </c>
      <c r="N308" s="32">
        <f t="shared" si="75"/>
        <v>0</v>
      </c>
      <c r="O308" s="32">
        <f t="shared" si="75"/>
        <v>0</v>
      </c>
      <c r="P308" s="32">
        <f t="shared" si="75"/>
        <v>0</v>
      </c>
      <c r="Q308" s="32">
        <f t="shared" si="75"/>
        <v>0</v>
      </c>
      <c r="R308" s="32">
        <f t="shared" si="75"/>
        <v>0</v>
      </c>
      <c r="S308" s="32">
        <f t="shared" si="75"/>
        <v>0</v>
      </c>
      <c r="T308" s="32">
        <f t="shared" si="75"/>
        <v>0</v>
      </c>
      <c r="U308" s="32">
        <f t="shared" si="75"/>
        <v>0</v>
      </c>
      <c r="V308" s="32">
        <f t="shared" si="75"/>
        <v>0</v>
      </c>
      <c r="W308" s="32">
        <f t="shared" si="75"/>
        <v>0</v>
      </c>
      <c r="X308" s="32">
        <f t="shared" si="75"/>
        <v>0</v>
      </c>
      <c r="Y308" s="32">
        <f t="shared" si="75"/>
        <v>0</v>
      </c>
      <c r="Z308" s="32">
        <f t="shared" si="75"/>
        <v>0</v>
      </c>
      <c r="AA308" s="32">
        <f t="shared" si="75"/>
        <v>0</v>
      </c>
      <c r="AB308" s="32">
        <f t="shared" si="75"/>
        <v>0</v>
      </c>
      <c r="AC308" s="32">
        <f t="shared" si="75"/>
        <v>0</v>
      </c>
      <c r="AD308" s="32">
        <f t="shared" si="75"/>
        <v>0</v>
      </c>
      <c r="AE308" s="32">
        <f t="shared" si="75"/>
        <v>0</v>
      </c>
    </row>
    <row r="310" spans="1:31" x14ac:dyDescent="0.45">
      <c r="A310" s="28" t="s">
        <v>1237</v>
      </c>
      <c r="B310" s="5" t="s">
        <v>60</v>
      </c>
      <c r="C310" s="5" t="s">
        <v>43</v>
      </c>
      <c r="D310" s="5">
        <v>1</v>
      </c>
      <c r="E310" s="5" t="s">
        <v>1159</v>
      </c>
      <c r="K310" s="18"/>
      <c r="L310" s="18">
        <v>0.15734473625227399</v>
      </c>
      <c r="M310" s="18">
        <v>0.164484037759277</v>
      </c>
      <c r="N310" s="18">
        <v>0.15070907780704901</v>
      </c>
      <c r="O310" s="18">
        <v>0.15070907780704901</v>
      </c>
      <c r="P310" s="18">
        <v>0.15070907780704901</v>
      </c>
      <c r="Q310" s="18">
        <v>0.15070907780704901</v>
      </c>
      <c r="R310" s="18">
        <v>0.15070907780704901</v>
      </c>
      <c r="S310" s="18">
        <v>0.15070907780704901</v>
      </c>
      <c r="T310" s="18">
        <v>0.15070907780704901</v>
      </c>
      <c r="U310" s="18">
        <v>0.15070907780704901</v>
      </c>
      <c r="V310" s="18">
        <v>0.15070907780704901</v>
      </c>
      <c r="W310" s="18">
        <v>0.15070907780704901</v>
      </c>
      <c r="X310" s="18">
        <v>0.15070907780704901</v>
      </c>
      <c r="Y310" s="18">
        <v>0.15070907780704901</v>
      </c>
      <c r="Z310" s="18">
        <v>0.15070907780704901</v>
      </c>
      <c r="AA310" s="18">
        <v>0.15070907780704901</v>
      </c>
      <c r="AB310" s="18">
        <v>0.15070907780704901</v>
      </c>
      <c r="AC310" s="18">
        <v>0.15070907780704901</v>
      </c>
      <c r="AD310" s="18">
        <v>0.15070907780704901</v>
      </c>
      <c r="AE310" s="18">
        <v>0.15070907780704901</v>
      </c>
    </row>
    <row r="311" spans="1:31" x14ac:dyDescent="0.45">
      <c r="A311" s="28" t="s">
        <v>1237</v>
      </c>
      <c r="B311" s="5" t="s">
        <v>60</v>
      </c>
      <c r="C311" s="5" t="s">
        <v>43</v>
      </c>
      <c r="D311" s="5">
        <v>1</v>
      </c>
      <c r="E311" s="5" t="s">
        <v>1160</v>
      </c>
      <c r="K311" s="18">
        <f>INDEX(Mitigation_Industry!K:K,MATCH($A311,Mitigation_Industry!$H:$H,0))</f>
        <v>0.20036669112673799</v>
      </c>
      <c r="L311" s="18">
        <f>INDEX(Mitigation_Industry!L:L,MATCH($A311,Mitigation_Industry!$H:$H,0))</f>
        <v>0.15734473625227399</v>
      </c>
      <c r="M311" s="18">
        <f>INDEX(Mitigation_Industry!M:M,MATCH($A311,Mitigation_Industry!$H:$H,0))</f>
        <v>0.164484037759277</v>
      </c>
      <c r="N311" s="18">
        <f>INDEX(Mitigation_Industry!N:N,MATCH($A311,Mitigation_Industry!$H:$H,0))</f>
        <v>0.15070907780704901</v>
      </c>
      <c r="O311" s="18">
        <f>INDEX(Mitigation_Industry!O:O,MATCH($A311,Mitigation_Industry!$H:$H,0))</f>
        <v>0.15070907780704901</v>
      </c>
      <c r="P311" s="18">
        <f>INDEX(Mitigation_Industry!P:P,MATCH($A311,Mitigation_Industry!$H:$H,0))</f>
        <v>0.15070907780704901</v>
      </c>
      <c r="Q311" s="18">
        <f>INDEX(Mitigation_Industry!Q:Q,MATCH($A311,Mitigation_Industry!$H:$H,0))</f>
        <v>0.15070907780704901</v>
      </c>
      <c r="R311" s="18">
        <f>INDEX(Mitigation_Industry!R:R,MATCH($A311,Mitigation_Industry!$H:$H,0))</f>
        <v>0.15070907780704901</v>
      </c>
      <c r="S311" s="18">
        <f>INDEX(Mitigation_Industry!S:S,MATCH($A311,Mitigation_Industry!$H:$H,0))</f>
        <v>0.15070907780704901</v>
      </c>
      <c r="T311" s="18">
        <f>INDEX(Mitigation_Industry!T:T,MATCH($A311,Mitigation_Industry!$H:$H,0))</f>
        <v>0.15070907780704901</v>
      </c>
      <c r="U311" s="18">
        <f>INDEX(Mitigation_Industry!U:U,MATCH($A311,Mitigation_Industry!$H:$H,0))</f>
        <v>0.15070907780704901</v>
      </c>
      <c r="V311" s="18">
        <f>INDEX(Mitigation_Industry!V:V,MATCH($A311,Mitigation_Industry!$H:$H,0))</f>
        <v>0.15070907780704901</v>
      </c>
      <c r="W311" s="18">
        <f>INDEX(Mitigation_Industry!W:W,MATCH($A311,Mitigation_Industry!$H:$H,0))</f>
        <v>0.15070907780704901</v>
      </c>
      <c r="X311" s="18">
        <f>INDEX(Mitigation_Industry!X:X,MATCH($A311,Mitigation_Industry!$H:$H,0))</f>
        <v>0.15070907780704901</v>
      </c>
      <c r="Y311" s="18">
        <f>INDEX(Mitigation_Industry!Y:Y,MATCH($A311,Mitigation_Industry!$H:$H,0))</f>
        <v>0.15070907780704901</v>
      </c>
      <c r="Z311" s="18">
        <f>INDEX(Mitigation_Industry!Z:Z,MATCH($A311,Mitigation_Industry!$H:$H,0))</f>
        <v>0.15070907780704901</v>
      </c>
      <c r="AA311" s="18">
        <f>INDEX(Mitigation_Industry!AA:AA,MATCH($A311,Mitigation_Industry!$H:$H,0))</f>
        <v>0.15070907780704901</v>
      </c>
      <c r="AB311" s="18">
        <f>INDEX(Mitigation_Industry!AB:AB,MATCH($A311,Mitigation_Industry!$H:$H,0))</f>
        <v>0.15070907780704901</v>
      </c>
      <c r="AC311" s="18">
        <f>INDEX(Mitigation_Industry!AC:AC,MATCH($A311,Mitigation_Industry!$H:$H,0))</f>
        <v>0.15070907780704901</v>
      </c>
      <c r="AD311" s="18">
        <f>INDEX(Mitigation_Industry!AD:AD,MATCH($A311,Mitigation_Industry!$H:$H,0))</f>
        <v>0.15070907780704901</v>
      </c>
      <c r="AE311" s="18">
        <f>INDEX(Mitigation_Industry!AE:AE,MATCH($A311,Mitigation_Industry!$H:$H,0))</f>
        <v>0.15070907780704901</v>
      </c>
    </row>
    <row r="312" spans="1:31" x14ac:dyDescent="0.45">
      <c r="A312" s="28" t="s">
        <v>1237</v>
      </c>
      <c r="B312" s="5" t="s">
        <v>60</v>
      </c>
      <c r="C312" s="5" t="s">
        <v>43</v>
      </c>
      <c r="D312" s="5">
        <v>1</v>
      </c>
      <c r="E312" s="2" t="s">
        <v>1161</v>
      </c>
      <c r="F312" s="31">
        <f>MAX(MAX(L312:AE312),-MIN(L312:AE312))</f>
        <v>0</v>
      </c>
      <c r="K312" s="32">
        <f t="shared" ref="K312:AE312" si="76">IF(ISNUMBER(K310),IF(ISNUMBER(K311),K311-K310,999999),0)</f>
        <v>0</v>
      </c>
      <c r="L312" s="32">
        <f t="shared" si="76"/>
        <v>0</v>
      </c>
      <c r="M312" s="32">
        <f t="shared" si="76"/>
        <v>0</v>
      </c>
      <c r="N312" s="32">
        <f t="shared" si="76"/>
        <v>0</v>
      </c>
      <c r="O312" s="32">
        <f t="shared" si="76"/>
        <v>0</v>
      </c>
      <c r="P312" s="32">
        <f t="shared" si="76"/>
        <v>0</v>
      </c>
      <c r="Q312" s="32">
        <f t="shared" si="76"/>
        <v>0</v>
      </c>
      <c r="R312" s="32">
        <f t="shared" si="76"/>
        <v>0</v>
      </c>
      <c r="S312" s="32">
        <f t="shared" si="76"/>
        <v>0</v>
      </c>
      <c r="T312" s="32">
        <f t="shared" si="76"/>
        <v>0</v>
      </c>
      <c r="U312" s="32">
        <f t="shared" si="76"/>
        <v>0</v>
      </c>
      <c r="V312" s="32">
        <f t="shared" si="76"/>
        <v>0</v>
      </c>
      <c r="W312" s="32">
        <f t="shared" si="76"/>
        <v>0</v>
      </c>
      <c r="X312" s="32">
        <f t="shared" si="76"/>
        <v>0</v>
      </c>
      <c r="Y312" s="32">
        <f t="shared" si="76"/>
        <v>0</v>
      </c>
      <c r="Z312" s="32">
        <f t="shared" si="76"/>
        <v>0</v>
      </c>
      <c r="AA312" s="32">
        <f t="shared" si="76"/>
        <v>0</v>
      </c>
      <c r="AB312" s="32">
        <f t="shared" si="76"/>
        <v>0</v>
      </c>
      <c r="AC312" s="32">
        <f t="shared" si="76"/>
        <v>0</v>
      </c>
      <c r="AD312" s="32">
        <f t="shared" si="76"/>
        <v>0</v>
      </c>
      <c r="AE312" s="32">
        <f t="shared" si="76"/>
        <v>0</v>
      </c>
    </row>
    <row r="314" spans="1:31" x14ac:dyDescent="0.45">
      <c r="A314" s="28" t="s">
        <v>1238</v>
      </c>
      <c r="B314" s="5" t="s">
        <v>62</v>
      </c>
      <c r="C314" s="5" t="s">
        <v>43</v>
      </c>
      <c r="D314" s="5">
        <v>1</v>
      </c>
      <c r="E314" s="5" t="s">
        <v>1159</v>
      </c>
      <c r="K314" s="18"/>
      <c r="L314" s="18">
        <v>0.45642817050012802</v>
      </c>
      <c r="M314" s="18">
        <v>0.43168920195599497</v>
      </c>
      <c r="N314" s="18">
        <v>0.42507558395597</v>
      </c>
      <c r="O314" s="18">
        <v>0.42507558395597</v>
      </c>
      <c r="P314" s="18">
        <v>0.42507558395597</v>
      </c>
      <c r="Q314" s="18">
        <v>0.42507558395597</v>
      </c>
      <c r="R314" s="18">
        <v>0.42507558395597</v>
      </c>
      <c r="S314" s="18">
        <v>0.42507558395597</v>
      </c>
      <c r="T314" s="18">
        <v>0.42507558395597</v>
      </c>
      <c r="U314" s="18">
        <v>0.42507558395597</v>
      </c>
      <c r="V314" s="18">
        <v>0.42507558395597</v>
      </c>
      <c r="W314" s="18">
        <v>0.42507558395597</v>
      </c>
      <c r="X314" s="18">
        <v>0.42507558395597</v>
      </c>
      <c r="Y314" s="18">
        <v>0.42507558395597</v>
      </c>
      <c r="Z314" s="18">
        <v>0.42507558395597</v>
      </c>
      <c r="AA314" s="18">
        <v>0.42507558395597</v>
      </c>
      <c r="AB314" s="18">
        <v>0.42507558395597</v>
      </c>
      <c r="AC314" s="18">
        <v>0.42507558395597</v>
      </c>
      <c r="AD314" s="18">
        <v>0.42507558395597</v>
      </c>
      <c r="AE314" s="18">
        <v>0.42507558395597</v>
      </c>
    </row>
    <row r="315" spans="1:31" x14ac:dyDescent="0.45">
      <c r="A315" s="28" t="s">
        <v>1238</v>
      </c>
      <c r="B315" s="5" t="s">
        <v>62</v>
      </c>
      <c r="C315" s="5" t="s">
        <v>43</v>
      </c>
      <c r="D315" s="5">
        <v>1</v>
      </c>
      <c r="E315" s="5" t="s">
        <v>1160</v>
      </c>
      <c r="K315" s="18">
        <f>INDEX(Mitigation_Industry!K:K,MATCH($A315,Mitigation_Industry!$H:$H,0))</f>
        <v>0.48429424097343499</v>
      </c>
      <c r="L315" s="18">
        <f>INDEX(Mitigation_Industry!L:L,MATCH($A315,Mitigation_Industry!$H:$H,0))</f>
        <v>0.45642817050012802</v>
      </c>
      <c r="M315" s="18">
        <f>INDEX(Mitigation_Industry!M:M,MATCH($A315,Mitigation_Industry!$H:$H,0))</f>
        <v>0.43168920195599497</v>
      </c>
      <c r="N315" s="18">
        <f>INDEX(Mitigation_Industry!N:N,MATCH($A315,Mitigation_Industry!$H:$H,0))</f>
        <v>0.42507558395597</v>
      </c>
      <c r="O315" s="18">
        <f>INDEX(Mitigation_Industry!O:O,MATCH($A315,Mitigation_Industry!$H:$H,0))</f>
        <v>0.42507558395597</v>
      </c>
      <c r="P315" s="18">
        <f>INDEX(Mitigation_Industry!P:P,MATCH($A315,Mitigation_Industry!$H:$H,0))</f>
        <v>0.42507558395597</v>
      </c>
      <c r="Q315" s="18">
        <f>INDEX(Mitigation_Industry!Q:Q,MATCH($A315,Mitigation_Industry!$H:$H,0))</f>
        <v>0.42507558395597</v>
      </c>
      <c r="R315" s="18">
        <f>INDEX(Mitigation_Industry!R:R,MATCH($A315,Mitigation_Industry!$H:$H,0))</f>
        <v>0.42507558395597</v>
      </c>
      <c r="S315" s="18">
        <f>INDEX(Mitigation_Industry!S:S,MATCH($A315,Mitigation_Industry!$H:$H,0))</f>
        <v>0.42507558395597</v>
      </c>
      <c r="T315" s="18">
        <f>INDEX(Mitigation_Industry!T:T,MATCH($A315,Mitigation_Industry!$H:$H,0))</f>
        <v>0.42507558395597</v>
      </c>
      <c r="U315" s="18">
        <f>INDEX(Mitigation_Industry!U:U,MATCH($A315,Mitigation_Industry!$H:$H,0))</f>
        <v>0.42507558395597</v>
      </c>
      <c r="V315" s="18">
        <f>INDEX(Mitigation_Industry!V:V,MATCH($A315,Mitigation_Industry!$H:$H,0))</f>
        <v>0.42507558395597</v>
      </c>
      <c r="W315" s="18">
        <f>INDEX(Mitigation_Industry!W:W,MATCH($A315,Mitigation_Industry!$H:$H,0))</f>
        <v>0.42507558395597</v>
      </c>
      <c r="X315" s="18">
        <f>INDEX(Mitigation_Industry!X:X,MATCH($A315,Mitigation_Industry!$H:$H,0))</f>
        <v>0.42507558395597</v>
      </c>
      <c r="Y315" s="18">
        <f>INDEX(Mitigation_Industry!Y:Y,MATCH($A315,Mitigation_Industry!$H:$H,0))</f>
        <v>0.42507558395597</v>
      </c>
      <c r="Z315" s="18">
        <f>INDEX(Mitigation_Industry!Z:Z,MATCH($A315,Mitigation_Industry!$H:$H,0))</f>
        <v>0.42507558395597</v>
      </c>
      <c r="AA315" s="18">
        <f>INDEX(Mitigation_Industry!AA:AA,MATCH($A315,Mitigation_Industry!$H:$H,0))</f>
        <v>0.42507558395597</v>
      </c>
      <c r="AB315" s="18">
        <f>INDEX(Mitigation_Industry!AB:AB,MATCH($A315,Mitigation_Industry!$H:$H,0))</f>
        <v>0.42507558395597</v>
      </c>
      <c r="AC315" s="18">
        <f>INDEX(Mitigation_Industry!AC:AC,MATCH($A315,Mitigation_Industry!$H:$H,0))</f>
        <v>0.42507558395597</v>
      </c>
      <c r="AD315" s="18">
        <f>INDEX(Mitigation_Industry!AD:AD,MATCH($A315,Mitigation_Industry!$H:$H,0))</f>
        <v>0.42507558395597</v>
      </c>
      <c r="AE315" s="18">
        <f>INDEX(Mitigation_Industry!AE:AE,MATCH($A315,Mitigation_Industry!$H:$H,0))</f>
        <v>0.42507558395597</v>
      </c>
    </row>
    <row r="316" spans="1:31" x14ac:dyDescent="0.45">
      <c r="A316" s="28" t="s">
        <v>1238</v>
      </c>
      <c r="B316" s="5" t="s">
        <v>62</v>
      </c>
      <c r="C316" s="5" t="s">
        <v>43</v>
      </c>
      <c r="D316" s="5">
        <v>1</v>
      </c>
      <c r="E316" s="2" t="s">
        <v>1161</v>
      </c>
      <c r="F316" s="31">
        <f>MAX(MAX(L316:AE316),-MIN(L316:AE316))</f>
        <v>0</v>
      </c>
      <c r="K316" s="32">
        <f t="shared" ref="K316:AE316" si="77">IF(ISNUMBER(K314),IF(ISNUMBER(K315),K315-K314,999999),0)</f>
        <v>0</v>
      </c>
      <c r="L316" s="32">
        <f t="shared" si="77"/>
        <v>0</v>
      </c>
      <c r="M316" s="32">
        <f t="shared" si="77"/>
        <v>0</v>
      </c>
      <c r="N316" s="32">
        <f t="shared" si="77"/>
        <v>0</v>
      </c>
      <c r="O316" s="32">
        <f t="shared" si="77"/>
        <v>0</v>
      </c>
      <c r="P316" s="32">
        <f t="shared" si="77"/>
        <v>0</v>
      </c>
      <c r="Q316" s="32">
        <f t="shared" si="77"/>
        <v>0</v>
      </c>
      <c r="R316" s="32">
        <f t="shared" si="77"/>
        <v>0</v>
      </c>
      <c r="S316" s="32">
        <f t="shared" si="77"/>
        <v>0</v>
      </c>
      <c r="T316" s="32">
        <f t="shared" si="77"/>
        <v>0</v>
      </c>
      <c r="U316" s="32">
        <f t="shared" si="77"/>
        <v>0</v>
      </c>
      <c r="V316" s="32">
        <f t="shared" si="77"/>
        <v>0</v>
      </c>
      <c r="W316" s="32">
        <f t="shared" si="77"/>
        <v>0</v>
      </c>
      <c r="X316" s="32">
        <f t="shared" si="77"/>
        <v>0</v>
      </c>
      <c r="Y316" s="32">
        <f t="shared" si="77"/>
        <v>0</v>
      </c>
      <c r="Z316" s="32">
        <f t="shared" si="77"/>
        <v>0</v>
      </c>
      <c r="AA316" s="32">
        <f t="shared" si="77"/>
        <v>0</v>
      </c>
      <c r="AB316" s="32">
        <f t="shared" si="77"/>
        <v>0</v>
      </c>
      <c r="AC316" s="32">
        <f t="shared" si="77"/>
        <v>0</v>
      </c>
      <c r="AD316" s="32">
        <f t="shared" si="77"/>
        <v>0</v>
      </c>
      <c r="AE316" s="32">
        <f t="shared" si="77"/>
        <v>0</v>
      </c>
    </row>
    <row r="318" spans="1:31" x14ac:dyDescent="0.45">
      <c r="A318" s="28" t="s">
        <v>1239</v>
      </c>
      <c r="B318" s="5" t="s">
        <v>64</v>
      </c>
      <c r="C318" s="5" t="s">
        <v>43</v>
      </c>
      <c r="D318" s="5">
        <v>1</v>
      </c>
      <c r="E318" s="5" t="s">
        <v>1159</v>
      </c>
      <c r="K318" s="18"/>
      <c r="L318" s="18">
        <v>34.4153703043132</v>
      </c>
      <c r="M318" s="18">
        <v>37.368960690431997</v>
      </c>
      <c r="N318" s="18">
        <v>28.982761101477301</v>
      </c>
      <c r="O318" s="18">
        <v>15</v>
      </c>
      <c r="P318" s="18">
        <v>24.2586300842555</v>
      </c>
      <c r="Q318" s="18">
        <v>15</v>
      </c>
      <c r="R318" s="18">
        <v>15</v>
      </c>
      <c r="S318" s="18">
        <v>15</v>
      </c>
      <c r="T318" s="18">
        <v>15</v>
      </c>
      <c r="U318" s="18">
        <v>15</v>
      </c>
      <c r="V318" s="18">
        <v>15</v>
      </c>
      <c r="W318" s="18">
        <v>15</v>
      </c>
      <c r="X318" s="18">
        <v>15</v>
      </c>
      <c r="Y318" s="18">
        <v>15</v>
      </c>
      <c r="Z318" s="18">
        <v>15</v>
      </c>
      <c r="AA318" s="18">
        <v>15</v>
      </c>
      <c r="AB318" s="18">
        <v>15</v>
      </c>
      <c r="AC318" s="18">
        <v>15</v>
      </c>
      <c r="AD318" s="18">
        <v>15</v>
      </c>
      <c r="AE318" s="18">
        <v>15</v>
      </c>
    </row>
    <row r="319" spans="1:31" x14ac:dyDescent="0.45">
      <c r="A319" s="28" t="s">
        <v>1239</v>
      </c>
      <c r="B319" s="5" t="s">
        <v>64</v>
      </c>
      <c r="C319" s="5" t="s">
        <v>43</v>
      </c>
      <c r="D319" s="5">
        <v>1</v>
      </c>
      <c r="E319" s="5" t="s">
        <v>1160</v>
      </c>
      <c r="K319" s="18">
        <f>INDEX(Mitigation_Industry!K:K,MATCH($A319,Mitigation_Industry!$H:$H,0))</f>
        <v>41.500338498868402</v>
      </c>
      <c r="L319" s="18">
        <f>INDEX(Mitigation_Industry!L:L,MATCH($A319,Mitigation_Industry!$H:$H,0))</f>
        <v>34.4153703043132</v>
      </c>
      <c r="M319" s="18">
        <f>INDEX(Mitigation_Industry!M:M,MATCH($A319,Mitigation_Industry!$H:$H,0))</f>
        <v>37.368960690431997</v>
      </c>
      <c r="N319" s="18">
        <f>INDEX(Mitigation_Industry!N:N,MATCH($A319,Mitigation_Industry!$H:$H,0))</f>
        <v>28.982761101477301</v>
      </c>
      <c r="O319" s="18">
        <f>INDEX(Mitigation_Industry!O:O,MATCH($A319,Mitigation_Industry!$H:$H,0))</f>
        <v>15</v>
      </c>
      <c r="P319" s="18">
        <f>INDEX(Mitigation_Industry!P:P,MATCH($A319,Mitigation_Industry!$H:$H,0))</f>
        <v>24.2586300842555</v>
      </c>
      <c r="Q319" s="18">
        <f>INDEX(Mitigation_Industry!Q:Q,MATCH($A319,Mitigation_Industry!$H:$H,0))</f>
        <v>15</v>
      </c>
      <c r="R319" s="18">
        <f>INDEX(Mitigation_Industry!R:R,MATCH($A319,Mitigation_Industry!$H:$H,0))</f>
        <v>15</v>
      </c>
      <c r="S319" s="18">
        <f>INDEX(Mitigation_Industry!S:S,MATCH($A319,Mitigation_Industry!$H:$H,0))</f>
        <v>15</v>
      </c>
      <c r="T319" s="18">
        <f>INDEX(Mitigation_Industry!T:T,MATCH($A319,Mitigation_Industry!$H:$H,0))</f>
        <v>15</v>
      </c>
      <c r="U319" s="18">
        <f>INDEX(Mitigation_Industry!U:U,MATCH($A319,Mitigation_Industry!$H:$H,0))</f>
        <v>15</v>
      </c>
      <c r="V319" s="18">
        <f>INDEX(Mitigation_Industry!V:V,MATCH($A319,Mitigation_Industry!$H:$H,0))</f>
        <v>15</v>
      </c>
      <c r="W319" s="18">
        <f>INDEX(Mitigation_Industry!W:W,MATCH($A319,Mitigation_Industry!$H:$H,0))</f>
        <v>15</v>
      </c>
      <c r="X319" s="18">
        <f>INDEX(Mitigation_Industry!X:X,MATCH($A319,Mitigation_Industry!$H:$H,0))</f>
        <v>15</v>
      </c>
      <c r="Y319" s="18">
        <f>INDEX(Mitigation_Industry!Y:Y,MATCH($A319,Mitigation_Industry!$H:$H,0))</f>
        <v>15</v>
      </c>
      <c r="Z319" s="18">
        <f>INDEX(Mitigation_Industry!Z:Z,MATCH($A319,Mitigation_Industry!$H:$H,0))</f>
        <v>15</v>
      </c>
      <c r="AA319" s="18">
        <f>INDEX(Mitigation_Industry!AA:AA,MATCH($A319,Mitigation_Industry!$H:$H,0))</f>
        <v>15</v>
      </c>
      <c r="AB319" s="18">
        <f>INDEX(Mitigation_Industry!AB:AB,MATCH($A319,Mitigation_Industry!$H:$H,0))</f>
        <v>15</v>
      </c>
      <c r="AC319" s="18">
        <f>INDEX(Mitigation_Industry!AC:AC,MATCH($A319,Mitigation_Industry!$H:$H,0))</f>
        <v>15</v>
      </c>
      <c r="AD319" s="18">
        <f>INDEX(Mitigation_Industry!AD:AD,MATCH($A319,Mitigation_Industry!$H:$H,0))</f>
        <v>15</v>
      </c>
      <c r="AE319" s="18">
        <f>INDEX(Mitigation_Industry!AE:AE,MATCH($A319,Mitigation_Industry!$H:$H,0))</f>
        <v>15</v>
      </c>
    </row>
    <row r="320" spans="1:31" x14ac:dyDescent="0.45">
      <c r="A320" s="28" t="s">
        <v>1239</v>
      </c>
      <c r="B320" s="5" t="s">
        <v>64</v>
      </c>
      <c r="C320" s="5" t="s">
        <v>43</v>
      </c>
      <c r="D320" s="5">
        <v>1</v>
      </c>
      <c r="E320" s="2" t="s">
        <v>1161</v>
      </c>
      <c r="F320" s="31">
        <f>MAX(MAX(L320:AE320),-MIN(L320:AE320))</f>
        <v>0</v>
      </c>
      <c r="K320" s="32">
        <f t="shared" ref="K320:AE320" si="78">IF(ISNUMBER(K318),IF(ISNUMBER(K319),K319-K318,999999),0)</f>
        <v>0</v>
      </c>
      <c r="L320" s="32">
        <f t="shared" si="78"/>
        <v>0</v>
      </c>
      <c r="M320" s="32">
        <f t="shared" si="78"/>
        <v>0</v>
      </c>
      <c r="N320" s="32">
        <f t="shared" si="78"/>
        <v>0</v>
      </c>
      <c r="O320" s="32">
        <f t="shared" si="78"/>
        <v>0</v>
      </c>
      <c r="P320" s="32">
        <f t="shared" si="78"/>
        <v>0</v>
      </c>
      <c r="Q320" s="32">
        <f t="shared" si="78"/>
        <v>0</v>
      </c>
      <c r="R320" s="32">
        <f t="shared" si="78"/>
        <v>0</v>
      </c>
      <c r="S320" s="32">
        <f t="shared" si="78"/>
        <v>0</v>
      </c>
      <c r="T320" s="32">
        <f t="shared" si="78"/>
        <v>0</v>
      </c>
      <c r="U320" s="32">
        <f t="shared" si="78"/>
        <v>0</v>
      </c>
      <c r="V320" s="32">
        <f t="shared" si="78"/>
        <v>0</v>
      </c>
      <c r="W320" s="32">
        <f t="shared" si="78"/>
        <v>0</v>
      </c>
      <c r="X320" s="32">
        <f t="shared" si="78"/>
        <v>0</v>
      </c>
      <c r="Y320" s="32">
        <f t="shared" si="78"/>
        <v>0</v>
      </c>
      <c r="Z320" s="32">
        <f t="shared" si="78"/>
        <v>0</v>
      </c>
      <c r="AA320" s="32">
        <f t="shared" si="78"/>
        <v>0</v>
      </c>
      <c r="AB320" s="32">
        <f t="shared" si="78"/>
        <v>0</v>
      </c>
      <c r="AC320" s="32">
        <f t="shared" si="78"/>
        <v>0</v>
      </c>
      <c r="AD320" s="32">
        <f t="shared" si="78"/>
        <v>0</v>
      </c>
      <c r="AE320" s="32">
        <f t="shared" si="78"/>
        <v>0</v>
      </c>
    </row>
    <row r="322" spans="1:31" x14ac:dyDescent="0.45">
      <c r="A322" s="28" t="s">
        <v>1240</v>
      </c>
      <c r="B322" s="5" t="s">
        <v>67</v>
      </c>
      <c r="C322" s="5" t="s">
        <v>43</v>
      </c>
      <c r="D322" s="5">
        <v>1</v>
      </c>
      <c r="E322" s="5" t="s">
        <v>1159</v>
      </c>
      <c r="K322" s="18"/>
      <c r="L322" s="18">
        <v>14.199528390634899</v>
      </c>
      <c r="M322" s="18">
        <v>13.8404416133152</v>
      </c>
      <c r="N322" s="18">
        <v>13.5677269404465</v>
      </c>
      <c r="O322" s="18">
        <v>13.5677269404465</v>
      </c>
      <c r="P322" s="18">
        <v>13.5677269404465</v>
      </c>
      <c r="Q322" s="18">
        <v>13.5677269404465</v>
      </c>
      <c r="R322" s="18">
        <v>13.5677269404465</v>
      </c>
      <c r="S322" s="18">
        <v>13.5677269404465</v>
      </c>
      <c r="T322" s="18">
        <v>13.5677269404465</v>
      </c>
      <c r="U322" s="18">
        <v>13.5677269404465</v>
      </c>
      <c r="V322" s="18">
        <v>13.5677269404465</v>
      </c>
      <c r="W322" s="18">
        <v>13.5677269404465</v>
      </c>
      <c r="X322" s="18">
        <v>13.5677269404465</v>
      </c>
      <c r="Y322" s="18">
        <v>13.5677269404465</v>
      </c>
      <c r="Z322" s="18">
        <v>13.5677269404465</v>
      </c>
      <c r="AA322" s="18">
        <v>13.5677269404465</v>
      </c>
      <c r="AB322" s="18">
        <v>13.5677269404465</v>
      </c>
      <c r="AC322" s="18">
        <v>13.5677269404465</v>
      </c>
      <c r="AD322" s="18">
        <v>13.5677269404465</v>
      </c>
      <c r="AE322" s="18">
        <v>13.5677269404465</v>
      </c>
    </row>
    <row r="323" spans="1:31" x14ac:dyDescent="0.45">
      <c r="A323" s="28" t="s">
        <v>1240</v>
      </c>
      <c r="B323" s="5" t="s">
        <v>67</v>
      </c>
      <c r="C323" s="5" t="s">
        <v>43</v>
      </c>
      <c r="D323" s="5">
        <v>1</v>
      </c>
      <c r="E323" s="5" t="s">
        <v>1160</v>
      </c>
      <c r="K323" s="18">
        <f>INDEX(Mitigation_Industry!K:K,MATCH($A323,Mitigation_Industry!$H:$H,0))</f>
        <v>15.3345505293169</v>
      </c>
      <c r="L323" s="18">
        <f>INDEX(Mitigation_Industry!L:L,MATCH($A323,Mitigation_Industry!$H:$H,0))</f>
        <v>14.199528390634899</v>
      </c>
      <c r="M323" s="18">
        <f>INDEX(Mitigation_Industry!M:M,MATCH($A323,Mitigation_Industry!$H:$H,0))</f>
        <v>13.8404416133152</v>
      </c>
      <c r="N323" s="18">
        <f>INDEX(Mitigation_Industry!N:N,MATCH($A323,Mitigation_Industry!$H:$H,0))</f>
        <v>13.5677269404465</v>
      </c>
      <c r="O323" s="18">
        <f>INDEX(Mitigation_Industry!O:O,MATCH($A323,Mitigation_Industry!$H:$H,0))</f>
        <v>13.5677269404465</v>
      </c>
      <c r="P323" s="18">
        <f>INDEX(Mitigation_Industry!P:P,MATCH($A323,Mitigation_Industry!$H:$H,0))</f>
        <v>13.5677269404465</v>
      </c>
      <c r="Q323" s="18">
        <f>INDEX(Mitigation_Industry!Q:Q,MATCH($A323,Mitigation_Industry!$H:$H,0))</f>
        <v>13.5677269404465</v>
      </c>
      <c r="R323" s="18">
        <f>INDEX(Mitigation_Industry!R:R,MATCH($A323,Mitigation_Industry!$H:$H,0))</f>
        <v>13.5677269404465</v>
      </c>
      <c r="S323" s="18">
        <f>INDEX(Mitigation_Industry!S:S,MATCH($A323,Mitigation_Industry!$H:$H,0))</f>
        <v>13.5677269404465</v>
      </c>
      <c r="T323" s="18">
        <f>INDEX(Mitigation_Industry!T:T,MATCH($A323,Mitigation_Industry!$H:$H,0))</f>
        <v>13.5677269404465</v>
      </c>
      <c r="U323" s="18">
        <f>INDEX(Mitigation_Industry!U:U,MATCH($A323,Mitigation_Industry!$H:$H,0))</f>
        <v>13.5677269404465</v>
      </c>
      <c r="V323" s="18">
        <f>INDEX(Mitigation_Industry!V:V,MATCH($A323,Mitigation_Industry!$H:$H,0))</f>
        <v>13.5677269404465</v>
      </c>
      <c r="W323" s="18">
        <f>INDEX(Mitigation_Industry!W:W,MATCH($A323,Mitigation_Industry!$H:$H,0))</f>
        <v>13.5677269404465</v>
      </c>
      <c r="X323" s="18">
        <f>INDEX(Mitigation_Industry!X:X,MATCH($A323,Mitigation_Industry!$H:$H,0))</f>
        <v>13.5677269404465</v>
      </c>
      <c r="Y323" s="18">
        <f>INDEX(Mitigation_Industry!Y:Y,MATCH($A323,Mitigation_Industry!$H:$H,0))</f>
        <v>13.5677269404465</v>
      </c>
      <c r="Z323" s="18">
        <f>INDEX(Mitigation_Industry!Z:Z,MATCH($A323,Mitigation_Industry!$H:$H,0))</f>
        <v>13.5677269404465</v>
      </c>
      <c r="AA323" s="18">
        <f>INDEX(Mitigation_Industry!AA:AA,MATCH($A323,Mitigation_Industry!$H:$H,0))</f>
        <v>13.5677269404465</v>
      </c>
      <c r="AB323" s="18">
        <f>INDEX(Mitigation_Industry!AB:AB,MATCH($A323,Mitigation_Industry!$H:$H,0))</f>
        <v>13.5677269404465</v>
      </c>
      <c r="AC323" s="18">
        <f>INDEX(Mitigation_Industry!AC:AC,MATCH($A323,Mitigation_Industry!$H:$H,0))</f>
        <v>13.5677269404465</v>
      </c>
      <c r="AD323" s="18">
        <f>INDEX(Mitigation_Industry!AD:AD,MATCH($A323,Mitigation_Industry!$H:$H,0))</f>
        <v>13.5677269404465</v>
      </c>
      <c r="AE323" s="18">
        <f>INDEX(Mitigation_Industry!AE:AE,MATCH($A323,Mitigation_Industry!$H:$H,0))</f>
        <v>13.5677269404465</v>
      </c>
    </row>
    <row r="324" spans="1:31" x14ac:dyDescent="0.45">
      <c r="A324" s="28" t="s">
        <v>1240</v>
      </c>
      <c r="B324" s="5" t="s">
        <v>67</v>
      </c>
      <c r="C324" s="5" t="s">
        <v>43</v>
      </c>
      <c r="D324" s="5">
        <v>1</v>
      </c>
      <c r="E324" s="2" t="s">
        <v>1161</v>
      </c>
      <c r="F324" s="31">
        <f>MAX(MAX(L324:AE324),-MIN(L324:AE324))</f>
        <v>0</v>
      </c>
      <c r="K324" s="32">
        <f t="shared" ref="K324:AE324" si="79">IF(ISNUMBER(K322),IF(ISNUMBER(K323),K323-K322,999999),0)</f>
        <v>0</v>
      </c>
      <c r="L324" s="32">
        <f t="shared" si="79"/>
        <v>0</v>
      </c>
      <c r="M324" s="32">
        <f t="shared" si="79"/>
        <v>0</v>
      </c>
      <c r="N324" s="32">
        <f t="shared" si="79"/>
        <v>0</v>
      </c>
      <c r="O324" s="32">
        <f t="shared" si="79"/>
        <v>0</v>
      </c>
      <c r="P324" s="32">
        <f t="shared" si="79"/>
        <v>0</v>
      </c>
      <c r="Q324" s="32">
        <f t="shared" si="79"/>
        <v>0</v>
      </c>
      <c r="R324" s="32">
        <f t="shared" si="79"/>
        <v>0</v>
      </c>
      <c r="S324" s="32">
        <f t="shared" si="79"/>
        <v>0</v>
      </c>
      <c r="T324" s="32">
        <f t="shared" si="79"/>
        <v>0</v>
      </c>
      <c r="U324" s="32">
        <f t="shared" si="79"/>
        <v>0</v>
      </c>
      <c r="V324" s="32">
        <f t="shared" si="79"/>
        <v>0</v>
      </c>
      <c r="W324" s="32">
        <f t="shared" si="79"/>
        <v>0</v>
      </c>
      <c r="X324" s="32">
        <f t="shared" si="79"/>
        <v>0</v>
      </c>
      <c r="Y324" s="32">
        <f t="shared" si="79"/>
        <v>0</v>
      </c>
      <c r="Z324" s="32">
        <f t="shared" si="79"/>
        <v>0</v>
      </c>
      <c r="AA324" s="32">
        <f t="shared" si="79"/>
        <v>0</v>
      </c>
      <c r="AB324" s="32">
        <f t="shared" si="79"/>
        <v>0</v>
      </c>
      <c r="AC324" s="32">
        <f t="shared" si="79"/>
        <v>0</v>
      </c>
      <c r="AD324" s="32">
        <f t="shared" si="79"/>
        <v>0</v>
      </c>
      <c r="AE324" s="32">
        <f t="shared" si="79"/>
        <v>0</v>
      </c>
    </row>
    <row r="326" spans="1:31" x14ac:dyDescent="0.45">
      <c r="A326" s="28" t="s">
        <v>1241</v>
      </c>
      <c r="B326" s="5" t="s">
        <v>69</v>
      </c>
      <c r="C326" s="5" t="s">
        <v>43</v>
      </c>
      <c r="D326" s="5">
        <v>1</v>
      </c>
      <c r="E326" s="5" t="s">
        <v>1159</v>
      </c>
      <c r="K326" s="18"/>
      <c r="L326" s="18">
        <v>0.14404498679319799</v>
      </c>
      <c r="M326" s="18">
        <v>0.14102040965700399</v>
      </c>
      <c r="N326" s="18">
        <v>0.13511635959447599</v>
      </c>
      <c r="O326" s="18">
        <v>0.13098825698585601</v>
      </c>
      <c r="P326" s="18">
        <v>0.12790841608631801</v>
      </c>
      <c r="Q326" s="18">
        <v>0.124814310557813</v>
      </c>
      <c r="R326" s="18">
        <v>0.121460257122878</v>
      </c>
      <c r="S326" s="18">
        <v>0.117950744135786</v>
      </c>
      <c r="T326" s="18">
        <v>0.114199161044597</v>
      </c>
      <c r="U326" s="18">
        <v>0.113665100059665</v>
      </c>
      <c r="V326" s="18">
        <v>0.113016929625957</v>
      </c>
      <c r="W326" s="18">
        <v>0.112314070507636</v>
      </c>
      <c r="X326" s="18">
        <v>0.11142204273284299</v>
      </c>
      <c r="Y326" s="18">
        <v>0.110434123675809</v>
      </c>
      <c r="Z326" s="18">
        <v>0.109483973304471</v>
      </c>
      <c r="AA326" s="18">
        <v>0.10839192105294</v>
      </c>
      <c r="AB326" s="18">
        <v>0.10735443362670399</v>
      </c>
      <c r="AC326" s="18">
        <v>0.105168675441661</v>
      </c>
      <c r="AD326" s="18">
        <v>0.103057983256008</v>
      </c>
      <c r="AE326" s="18">
        <v>0.100931838990114</v>
      </c>
    </row>
    <row r="327" spans="1:31" x14ac:dyDescent="0.45">
      <c r="A327" s="28" t="s">
        <v>1241</v>
      </c>
      <c r="B327" s="5" t="s">
        <v>69</v>
      </c>
      <c r="C327" s="5" t="s">
        <v>43</v>
      </c>
      <c r="D327" s="5">
        <v>1</v>
      </c>
      <c r="E327" s="5" t="s">
        <v>1160</v>
      </c>
      <c r="K327" s="18">
        <f>INDEX(Mitigation_Industry!K:K,MATCH($A327,Mitigation_Industry!$H:$H,0))</f>
        <v>0</v>
      </c>
      <c r="L327" s="18">
        <f>INDEX(Mitigation_Industry!L:L,MATCH($A327,Mitigation_Industry!$H:$H,0))</f>
        <v>0.14404498679319799</v>
      </c>
      <c r="M327" s="18">
        <f>INDEX(Mitigation_Industry!M:M,MATCH($A327,Mitigation_Industry!$H:$H,0))</f>
        <v>0.14102040965700399</v>
      </c>
      <c r="N327" s="18">
        <f>INDEX(Mitigation_Industry!N:N,MATCH($A327,Mitigation_Industry!$H:$H,0))</f>
        <v>0.13511635959447599</v>
      </c>
      <c r="O327" s="18">
        <f>INDEX(Mitigation_Industry!O:O,MATCH($A327,Mitigation_Industry!$H:$H,0))</f>
        <v>0.13098825698585601</v>
      </c>
      <c r="P327" s="18">
        <f>INDEX(Mitigation_Industry!P:P,MATCH($A327,Mitigation_Industry!$H:$H,0))</f>
        <v>0.12790841608631801</v>
      </c>
      <c r="Q327" s="18">
        <f>INDEX(Mitigation_Industry!Q:Q,MATCH($A327,Mitigation_Industry!$H:$H,0))</f>
        <v>0.124814310557813</v>
      </c>
      <c r="R327" s="18">
        <f>INDEX(Mitigation_Industry!R:R,MATCH($A327,Mitigation_Industry!$H:$H,0))</f>
        <v>0.121460257122878</v>
      </c>
      <c r="S327" s="18">
        <f>INDEX(Mitigation_Industry!S:S,MATCH($A327,Mitigation_Industry!$H:$H,0))</f>
        <v>0.117950744135786</v>
      </c>
      <c r="T327" s="18">
        <f>INDEX(Mitigation_Industry!T:T,MATCH($A327,Mitigation_Industry!$H:$H,0))</f>
        <v>0.114199161044597</v>
      </c>
      <c r="U327" s="18">
        <f>INDEX(Mitigation_Industry!U:U,MATCH($A327,Mitigation_Industry!$H:$H,0))</f>
        <v>0.113665100059665</v>
      </c>
      <c r="V327" s="18">
        <f>INDEX(Mitigation_Industry!V:V,MATCH($A327,Mitigation_Industry!$H:$H,0))</f>
        <v>0.113016929625957</v>
      </c>
      <c r="W327" s="18">
        <f>INDEX(Mitigation_Industry!W:W,MATCH($A327,Mitigation_Industry!$H:$H,0))</f>
        <v>0.112314070507636</v>
      </c>
      <c r="X327" s="18">
        <f>INDEX(Mitigation_Industry!X:X,MATCH($A327,Mitigation_Industry!$H:$H,0))</f>
        <v>0.11142204273284299</v>
      </c>
      <c r="Y327" s="18">
        <f>INDEX(Mitigation_Industry!Y:Y,MATCH($A327,Mitigation_Industry!$H:$H,0))</f>
        <v>0.110434123675809</v>
      </c>
      <c r="Z327" s="18">
        <f>INDEX(Mitigation_Industry!Z:Z,MATCH($A327,Mitigation_Industry!$H:$H,0))</f>
        <v>0.109483973304471</v>
      </c>
      <c r="AA327" s="18">
        <f>INDEX(Mitigation_Industry!AA:AA,MATCH($A327,Mitigation_Industry!$H:$H,0))</f>
        <v>0.10839192105294</v>
      </c>
      <c r="AB327" s="18">
        <f>INDEX(Mitigation_Industry!AB:AB,MATCH($A327,Mitigation_Industry!$H:$H,0))</f>
        <v>0.10735443362670399</v>
      </c>
      <c r="AC327" s="18">
        <f>INDEX(Mitigation_Industry!AC:AC,MATCH($A327,Mitigation_Industry!$H:$H,0))</f>
        <v>0.105168675441661</v>
      </c>
      <c r="AD327" s="18">
        <f>INDEX(Mitigation_Industry!AD:AD,MATCH($A327,Mitigation_Industry!$H:$H,0))</f>
        <v>0.103057983256008</v>
      </c>
      <c r="AE327" s="18">
        <f>INDEX(Mitigation_Industry!AE:AE,MATCH($A327,Mitigation_Industry!$H:$H,0))</f>
        <v>0.100931838990114</v>
      </c>
    </row>
    <row r="328" spans="1:31" x14ac:dyDescent="0.45">
      <c r="A328" s="28" t="s">
        <v>1241</v>
      </c>
      <c r="B328" s="5" t="s">
        <v>69</v>
      </c>
      <c r="C328" s="5" t="s">
        <v>43</v>
      </c>
      <c r="D328" s="5">
        <v>1</v>
      </c>
      <c r="E328" s="2" t="s">
        <v>1161</v>
      </c>
      <c r="F328" s="31">
        <f>MAX(MAX(L328:AE328),-MIN(L328:AE328))</f>
        <v>0</v>
      </c>
      <c r="K328" s="32">
        <f t="shared" ref="K328:AE328" si="80">IF(ISNUMBER(K326),IF(ISNUMBER(K327),K327-K326,999999),0)</f>
        <v>0</v>
      </c>
      <c r="L328" s="32">
        <f t="shared" si="80"/>
        <v>0</v>
      </c>
      <c r="M328" s="32">
        <f t="shared" si="80"/>
        <v>0</v>
      </c>
      <c r="N328" s="32">
        <f t="shared" si="80"/>
        <v>0</v>
      </c>
      <c r="O328" s="32">
        <f t="shared" si="80"/>
        <v>0</v>
      </c>
      <c r="P328" s="32">
        <f t="shared" si="80"/>
        <v>0</v>
      </c>
      <c r="Q328" s="32">
        <f t="shared" si="80"/>
        <v>0</v>
      </c>
      <c r="R328" s="32">
        <f t="shared" si="80"/>
        <v>0</v>
      </c>
      <c r="S328" s="32">
        <f t="shared" si="80"/>
        <v>0</v>
      </c>
      <c r="T328" s="32">
        <f t="shared" si="80"/>
        <v>0</v>
      </c>
      <c r="U328" s="32">
        <f t="shared" si="80"/>
        <v>0</v>
      </c>
      <c r="V328" s="32">
        <f t="shared" si="80"/>
        <v>0</v>
      </c>
      <c r="W328" s="32">
        <f t="shared" si="80"/>
        <v>0</v>
      </c>
      <c r="X328" s="32">
        <f t="shared" si="80"/>
        <v>0</v>
      </c>
      <c r="Y328" s="32">
        <f t="shared" si="80"/>
        <v>0</v>
      </c>
      <c r="Z328" s="32">
        <f t="shared" si="80"/>
        <v>0</v>
      </c>
      <c r="AA328" s="32">
        <f t="shared" si="80"/>
        <v>0</v>
      </c>
      <c r="AB328" s="32">
        <f t="shared" si="80"/>
        <v>0</v>
      </c>
      <c r="AC328" s="32">
        <f t="shared" si="80"/>
        <v>0</v>
      </c>
      <c r="AD328" s="32">
        <f t="shared" si="80"/>
        <v>0</v>
      </c>
      <c r="AE328" s="32">
        <f t="shared" si="80"/>
        <v>0</v>
      </c>
    </row>
    <row r="330" spans="1:31" x14ac:dyDescent="0.45">
      <c r="A330" s="28" t="s">
        <v>1242</v>
      </c>
      <c r="B330" s="5" t="s">
        <v>49</v>
      </c>
      <c r="C330" s="5" t="s">
        <v>113</v>
      </c>
      <c r="D330" s="5">
        <v>1</v>
      </c>
      <c r="E330" s="5" t="s">
        <v>1159</v>
      </c>
      <c r="K330" s="18"/>
      <c r="L330" s="18">
        <v>10.5233613454312</v>
      </c>
      <c r="M330" s="18">
        <v>10.2995608274442</v>
      </c>
      <c r="N330" s="18">
        <v>9.5775283595382597</v>
      </c>
      <c r="O330" s="18">
        <v>8.4854782869580507</v>
      </c>
      <c r="P330" s="18">
        <v>9.0871922352498604</v>
      </c>
      <c r="Q330" s="18">
        <v>9.2229237289326793</v>
      </c>
      <c r="R330" s="18">
        <v>9.1585649555096893</v>
      </c>
      <c r="S330" s="18">
        <v>9.0895478773973792</v>
      </c>
      <c r="T330" s="18">
        <v>9.0156816660228305</v>
      </c>
      <c r="U330" s="18">
        <v>8.9443977655571096</v>
      </c>
      <c r="V330" s="18">
        <v>8.9443977655571096</v>
      </c>
      <c r="W330" s="18">
        <v>8.9443977655571096</v>
      </c>
      <c r="X330" s="18">
        <v>8.9443977655571096</v>
      </c>
      <c r="Y330" s="18">
        <v>8.9443977655571096</v>
      </c>
      <c r="Z330" s="18">
        <v>8.9443977655571096</v>
      </c>
      <c r="AA330" s="18">
        <v>8.9443977655571096</v>
      </c>
      <c r="AB330" s="18">
        <v>8.9443977655571096</v>
      </c>
      <c r="AC330" s="18">
        <v>8.9443977655571096</v>
      </c>
      <c r="AD330" s="18">
        <v>8.9443977655571096</v>
      </c>
      <c r="AE330" s="18">
        <v>8.9443977655571096</v>
      </c>
    </row>
    <row r="331" spans="1:31" x14ac:dyDescent="0.45">
      <c r="A331" s="28" t="s">
        <v>1242</v>
      </c>
      <c r="B331" s="5" t="s">
        <v>49</v>
      </c>
      <c r="C331" s="5" t="s">
        <v>113</v>
      </c>
      <c r="D331" s="5">
        <v>1</v>
      </c>
      <c r="E331" s="5" t="s">
        <v>1160</v>
      </c>
      <c r="K331" s="18">
        <f>INDEX(Mitigation_Industry!K:K,MATCH($A331,Mitigation_Industry!$H:$H,0))</f>
        <v>11.182901589243899</v>
      </c>
      <c r="L331" s="18">
        <f>INDEX(Mitigation_Industry!L:L,MATCH($A331,Mitigation_Industry!$H:$H,0))</f>
        <v>10.5233613454312</v>
      </c>
      <c r="M331" s="18">
        <f>INDEX(Mitigation_Industry!M:M,MATCH($A331,Mitigation_Industry!$H:$H,0))</f>
        <v>10.2995608274442</v>
      </c>
      <c r="N331" s="18">
        <f>INDEX(Mitigation_Industry!N:N,MATCH($A331,Mitigation_Industry!$H:$H,0))</f>
        <v>9.5775283595382597</v>
      </c>
      <c r="O331" s="18">
        <f>INDEX(Mitigation_Industry!O:O,MATCH($A331,Mitigation_Industry!$H:$H,0))</f>
        <v>8.4854782869580507</v>
      </c>
      <c r="P331" s="18">
        <f>INDEX(Mitigation_Industry!P:P,MATCH($A331,Mitigation_Industry!$H:$H,0))</f>
        <v>9.0871922352498604</v>
      </c>
      <c r="Q331" s="18">
        <f>INDEX(Mitigation_Industry!Q:Q,MATCH($A331,Mitigation_Industry!$H:$H,0))</f>
        <v>9.2229237289326793</v>
      </c>
      <c r="R331" s="18">
        <f>INDEX(Mitigation_Industry!R:R,MATCH($A331,Mitigation_Industry!$H:$H,0))</f>
        <v>9.1585649555096893</v>
      </c>
      <c r="S331" s="18">
        <f>INDEX(Mitigation_Industry!S:S,MATCH($A331,Mitigation_Industry!$H:$H,0))</f>
        <v>9.0895478773973792</v>
      </c>
      <c r="T331" s="18">
        <f>INDEX(Mitigation_Industry!T:T,MATCH($A331,Mitigation_Industry!$H:$H,0))</f>
        <v>9.0156816660228305</v>
      </c>
      <c r="U331" s="18">
        <f>INDEX(Mitigation_Industry!U:U,MATCH($A331,Mitigation_Industry!$H:$H,0))</f>
        <v>8.9443977655571096</v>
      </c>
      <c r="V331" s="18">
        <f>INDEX(Mitigation_Industry!V:V,MATCH($A331,Mitigation_Industry!$H:$H,0))</f>
        <v>8.9443977655571096</v>
      </c>
      <c r="W331" s="18">
        <f>INDEX(Mitigation_Industry!W:W,MATCH($A331,Mitigation_Industry!$H:$H,0))</f>
        <v>8.9443977655571096</v>
      </c>
      <c r="X331" s="18">
        <f>INDEX(Mitigation_Industry!X:X,MATCH($A331,Mitigation_Industry!$H:$H,0))</f>
        <v>8.9443977655571096</v>
      </c>
      <c r="Y331" s="18">
        <f>INDEX(Mitigation_Industry!Y:Y,MATCH($A331,Mitigation_Industry!$H:$H,0))</f>
        <v>8.9443977655571096</v>
      </c>
      <c r="Z331" s="18">
        <f>INDEX(Mitigation_Industry!Z:Z,MATCH($A331,Mitigation_Industry!$H:$H,0))</f>
        <v>8.9443977655571096</v>
      </c>
      <c r="AA331" s="18">
        <f>INDEX(Mitigation_Industry!AA:AA,MATCH($A331,Mitigation_Industry!$H:$H,0))</f>
        <v>8.9443977655571096</v>
      </c>
      <c r="AB331" s="18">
        <f>INDEX(Mitigation_Industry!AB:AB,MATCH($A331,Mitigation_Industry!$H:$H,0))</f>
        <v>8.9443977655571096</v>
      </c>
      <c r="AC331" s="18">
        <f>INDEX(Mitigation_Industry!AC:AC,MATCH($A331,Mitigation_Industry!$H:$H,0))</f>
        <v>8.9443977655571096</v>
      </c>
      <c r="AD331" s="18">
        <f>INDEX(Mitigation_Industry!AD:AD,MATCH($A331,Mitigation_Industry!$H:$H,0))</f>
        <v>8.9443977655571096</v>
      </c>
      <c r="AE331" s="18">
        <f>INDEX(Mitigation_Industry!AE:AE,MATCH($A331,Mitigation_Industry!$H:$H,0))</f>
        <v>8.9443977655571096</v>
      </c>
    </row>
    <row r="332" spans="1:31" x14ac:dyDescent="0.45">
      <c r="A332" s="28" t="s">
        <v>1242</v>
      </c>
      <c r="B332" s="5" t="s">
        <v>49</v>
      </c>
      <c r="C332" s="5" t="s">
        <v>113</v>
      </c>
      <c r="D332" s="5">
        <v>1</v>
      </c>
      <c r="E332" s="2" t="s">
        <v>1161</v>
      </c>
      <c r="F332" s="31">
        <f>MAX(MAX(L332:AE332),-MIN(L332:AE332))</f>
        <v>0</v>
      </c>
      <c r="K332" s="32">
        <f t="shared" ref="K332:AE332" si="81">IF(ISNUMBER(K330),IF(ISNUMBER(K331),K331-K330,999999),0)</f>
        <v>0</v>
      </c>
      <c r="L332" s="32">
        <f t="shared" si="81"/>
        <v>0</v>
      </c>
      <c r="M332" s="32">
        <f t="shared" si="81"/>
        <v>0</v>
      </c>
      <c r="N332" s="32">
        <f t="shared" si="81"/>
        <v>0</v>
      </c>
      <c r="O332" s="32">
        <f t="shared" si="81"/>
        <v>0</v>
      </c>
      <c r="P332" s="32">
        <f t="shared" si="81"/>
        <v>0</v>
      </c>
      <c r="Q332" s="32">
        <f t="shared" si="81"/>
        <v>0</v>
      </c>
      <c r="R332" s="32">
        <f t="shared" si="81"/>
        <v>0</v>
      </c>
      <c r="S332" s="32">
        <f t="shared" si="81"/>
        <v>0</v>
      </c>
      <c r="T332" s="32">
        <f t="shared" si="81"/>
        <v>0</v>
      </c>
      <c r="U332" s="32">
        <f t="shared" si="81"/>
        <v>0</v>
      </c>
      <c r="V332" s="32">
        <f t="shared" si="81"/>
        <v>0</v>
      </c>
      <c r="W332" s="32">
        <f t="shared" si="81"/>
        <v>0</v>
      </c>
      <c r="X332" s="32">
        <f t="shared" si="81"/>
        <v>0</v>
      </c>
      <c r="Y332" s="32">
        <f t="shared" si="81"/>
        <v>0</v>
      </c>
      <c r="Z332" s="32">
        <f t="shared" si="81"/>
        <v>0</v>
      </c>
      <c r="AA332" s="32">
        <f t="shared" si="81"/>
        <v>0</v>
      </c>
      <c r="AB332" s="32">
        <f t="shared" si="81"/>
        <v>0</v>
      </c>
      <c r="AC332" s="32">
        <f t="shared" si="81"/>
        <v>0</v>
      </c>
      <c r="AD332" s="32">
        <f t="shared" si="81"/>
        <v>0</v>
      </c>
      <c r="AE332" s="32">
        <f t="shared" si="81"/>
        <v>0</v>
      </c>
    </row>
    <row r="334" spans="1:31" x14ac:dyDescent="0.45">
      <c r="A334" s="28" t="s">
        <v>1243</v>
      </c>
      <c r="B334" s="5" t="s">
        <v>53</v>
      </c>
      <c r="C334" s="5" t="s">
        <v>113</v>
      </c>
      <c r="D334" s="5">
        <v>1</v>
      </c>
      <c r="E334" s="5" t="s">
        <v>1159</v>
      </c>
      <c r="K334" s="18"/>
      <c r="L334" s="18">
        <v>5.4510150816191896</v>
      </c>
      <c r="M334" s="18">
        <v>5.1193563062624801</v>
      </c>
      <c r="N334" s="18">
        <v>5.08218458640407</v>
      </c>
      <c r="O334" s="18">
        <v>5.08218458640407</v>
      </c>
      <c r="P334" s="18">
        <v>5.08218458640407</v>
      </c>
      <c r="Q334" s="18">
        <v>5.08218458640407</v>
      </c>
      <c r="R334" s="18">
        <v>5.08218458640407</v>
      </c>
      <c r="S334" s="18">
        <v>5.08218458640407</v>
      </c>
      <c r="T334" s="18">
        <v>5.08218458640407</v>
      </c>
      <c r="U334" s="18">
        <v>5.08218458640407</v>
      </c>
      <c r="V334" s="18">
        <v>5.08218458640407</v>
      </c>
      <c r="W334" s="18">
        <v>5.08218458640407</v>
      </c>
      <c r="X334" s="18">
        <v>5.08218458640407</v>
      </c>
      <c r="Y334" s="18">
        <v>5.08218458640407</v>
      </c>
      <c r="Z334" s="18">
        <v>5.08218458640407</v>
      </c>
      <c r="AA334" s="18">
        <v>5.08218458640407</v>
      </c>
      <c r="AB334" s="18">
        <v>5.08218458640407</v>
      </c>
      <c r="AC334" s="18">
        <v>5.08218458640407</v>
      </c>
      <c r="AD334" s="18">
        <v>5.08218458640407</v>
      </c>
      <c r="AE334" s="18">
        <v>5.08218458640407</v>
      </c>
    </row>
    <row r="335" spans="1:31" x14ac:dyDescent="0.45">
      <c r="A335" s="28" t="s">
        <v>1243</v>
      </c>
      <c r="B335" s="5" t="s">
        <v>53</v>
      </c>
      <c r="C335" s="5" t="s">
        <v>113</v>
      </c>
      <c r="D335" s="5">
        <v>1</v>
      </c>
      <c r="E335" s="5" t="s">
        <v>1160</v>
      </c>
      <c r="K335" s="18">
        <f>INDEX(Mitigation_Industry!K:K,MATCH($A335,Mitigation_Industry!$H:$H,0))</f>
        <v>6.0634636156729096</v>
      </c>
      <c r="L335" s="18">
        <f>INDEX(Mitigation_Industry!L:L,MATCH($A335,Mitigation_Industry!$H:$H,0))</f>
        <v>5.4510150816191896</v>
      </c>
      <c r="M335" s="18">
        <f>INDEX(Mitigation_Industry!M:M,MATCH($A335,Mitigation_Industry!$H:$H,0))</f>
        <v>5.1193563062624801</v>
      </c>
      <c r="N335" s="18">
        <f>INDEX(Mitigation_Industry!N:N,MATCH($A335,Mitigation_Industry!$H:$H,0))</f>
        <v>5.08218458640407</v>
      </c>
      <c r="O335" s="18">
        <f>INDEX(Mitigation_Industry!O:O,MATCH($A335,Mitigation_Industry!$H:$H,0))</f>
        <v>5.08218458640407</v>
      </c>
      <c r="P335" s="18">
        <f>INDEX(Mitigation_Industry!P:P,MATCH($A335,Mitigation_Industry!$H:$H,0))</f>
        <v>5.08218458640407</v>
      </c>
      <c r="Q335" s="18">
        <f>INDEX(Mitigation_Industry!Q:Q,MATCH($A335,Mitigation_Industry!$H:$H,0))</f>
        <v>5.08218458640407</v>
      </c>
      <c r="R335" s="18">
        <f>INDEX(Mitigation_Industry!R:R,MATCH($A335,Mitigation_Industry!$H:$H,0))</f>
        <v>5.08218458640407</v>
      </c>
      <c r="S335" s="18">
        <f>INDEX(Mitigation_Industry!S:S,MATCH($A335,Mitigation_Industry!$H:$H,0))</f>
        <v>5.08218458640407</v>
      </c>
      <c r="T335" s="18">
        <f>INDEX(Mitigation_Industry!T:T,MATCH($A335,Mitigation_Industry!$H:$H,0))</f>
        <v>5.08218458640407</v>
      </c>
      <c r="U335" s="18">
        <f>INDEX(Mitigation_Industry!U:U,MATCH($A335,Mitigation_Industry!$H:$H,0))</f>
        <v>5.08218458640407</v>
      </c>
      <c r="V335" s="18">
        <f>INDEX(Mitigation_Industry!V:V,MATCH($A335,Mitigation_Industry!$H:$H,0))</f>
        <v>5.08218458640407</v>
      </c>
      <c r="W335" s="18">
        <f>INDEX(Mitigation_Industry!W:W,MATCH($A335,Mitigation_Industry!$H:$H,0))</f>
        <v>5.08218458640407</v>
      </c>
      <c r="X335" s="18">
        <f>INDEX(Mitigation_Industry!X:X,MATCH($A335,Mitigation_Industry!$H:$H,0))</f>
        <v>5.08218458640407</v>
      </c>
      <c r="Y335" s="18">
        <f>INDEX(Mitigation_Industry!Y:Y,MATCH($A335,Mitigation_Industry!$H:$H,0))</f>
        <v>5.08218458640407</v>
      </c>
      <c r="Z335" s="18">
        <f>INDEX(Mitigation_Industry!Z:Z,MATCH($A335,Mitigation_Industry!$H:$H,0))</f>
        <v>5.08218458640407</v>
      </c>
      <c r="AA335" s="18">
        <f>INDEX(Mitigation_Industry!AA:AA,MATCH($A335,Mitigation_Industry!$H:$H,0))</f>
        <v>5.08218458640407</v>
      </c>
      <c r="AB335" s="18">
        <f>INDEX(Mitigation_Industry!AB:AB,MATCH($A335,Mitigation_Industry!$H:$H,0))</f>
        <v>5.08218458640407</v>
      </c>
      <c r="AC335" s="18">
        <f>INDEX(Mitigation_Industry!AC:AC,MATCH($A335,Mitigation_Industry!$H:$H,0))</f>
        <v>5.08218458640407</v>
      </c>
      <c r="AD335" s="18">
        <f>INDEX(Mitigation_Industry!AD:AD,MATCH($A335,Mitigation_Industry!$H:$H,0))</f>
        <v>5.08218458640407</v>
      </c>
      <c r="AE335" s="18">
        <f>INDEX(Mitigation_Industry!AE:AE,MATCH($A335,Mitigation_Industry!$H:$H,0))</f>
        <v>5.08218458640407</v>
      </c>
    </row>
    <row r="336" spans="1:31" x14ac:dyDescent="0.45">
      <c r="A336" s="28" t="s">
        <v>1243</v>
      </c>
      <c r="B336" s="5" t="s">
        <v>53</v>
      </c>
      <c r="C336" s="5" t="s">
        <v>113</v>
      </c>
      <c r="D336" s="5">
        <v>1</v>
      </c>
      <c r="E336" s="2" t="s">
        <v>1161</v>
      </c>
      <c r="F336" s="31">
        <f>MAX(MAX(L336:AE336),-MIN(L336:AE336))</f>
        <v>0</v>
      </c>
      <c r="K336" s="32">
        <f t="shared" ref="K336:AE336" si="82">IF(ISNUMBER(K334),IF(ISNUMBER(K335),K335-K334,999999),0)</f>
        <v>0</v>
      </c>
      <c r="L336" s="32">
        <f t="shared" si="82"/>
        <v>0</v>
      </c>
      <c r="M336" s="32">
        <f t="shared" si="82"/>
        <v>0</v>
      </c>
      <c r="N336" s="32">
        <f t="shared" si="82"/>
        <v>0</v>
      </c>
      <c r="O336" s="32">
        <f t="shared" si="82"/>
        <v>0</v>
      </c>
      <c r="P336" s="32">
        <f t="shared" si="82"/>
        <v>0</v>
      </c>
      <c r="Q336" s="32">
        <f t="shared" si="82"/>
        <v>0</v>
      </c>
      <c r="R336" s="32">
        <f t="shared" si="82"/>
        <v>0</v>
      </c>
      <c r="S336" s="32">
        <f t="shared" si="82"/>
        <v>0</v>
      </c>
      <c r="T336" s="32">
        <f t="shared" si="82"/>
        <v>0</v>
      </c>
      <c r="U336" s="32">
        <f t="shared" si="82"/>
        <v>0</v>
      </c>
      <c r="V336" s="32">
        <f t="shared" si="82"/>
        <v>0</v>
      </c>
      <c r="W336" s="32">
        <f t="shared" si="82"/>
        <v>0</v>
      </c>
      <c r="X336" s="32">
        <f t="shared" si="82"/>
        <v>0</v>
      </c>
      <c r="Y336" s="32">
        <f t="shared" si="82"/>
        <v>0</v>
      </c>
      <c r="Z336" s="32">
        <f t="shared" si="82"/>
        <v>0</v>
      </c>
      <c r="AA336" s="32">
        <f t="shared" si="82"/>
        <v>0</v>
      </c>
      <c r="AB336" s="32">
        <f t="shared" si="82"/>
        <v>0</v>
      </c>
      <c r="AC336" s="32">
        <f t="shared" si="82"/>
        <v>0</v>
      </c>
      <c r="AD336" s="32">
        <f t="shared" si="82"/>
        <v>0</v>
      </c>
      <c r="AE336" s="32">
        <f t="shared" si="82"/>
        <v>0</v>
      </c>
    </row>
    <row r="338" spans="1:31" x14ac:dyDescent="0.45">
      <c r="A338" s="28" t="s">
        <v>1244</v>
      </c>
      <c r="B338" s="5" t="s">
        <v>55</v>
      </c>
      <c r="C338" s="5" t="s">
        <v>113</v>
      </c>
      <c r="D338" s="5">
        <v>1</v>
      </c>
      <c r="E338" s="5" t="s">
        <v>1159</v>
      </c>
      <c r="K338" s="18"/>
      <c r="L338" s="18">
        <v>0.61197797679140598</v>
      </c>
      <c r="M338" s="18">
        <v>0.61180974964187596</v>
      </c>
      <c r="N338" s="18">
        <v>0.60358310017790595</v>
      </c>
      <c r="O338" s="18">
        <v>0.60358310017790595</v>
      </c>
      <c r="P338" s="18">
        <v>0.60358310017790595</v>
      </c>
      <c r="Q338" s="18">
        <v>0.60358310017790595</v>
      </c>
      <c r="R338" s="18">
        <v>0.60358310017790595</v>
      </c>
      <c r="S338" s="18">
        <v>0.60358310017790595</v>
      </c>
      <c r="T338" s="18">
        <v>0.60358310017790595</v>
      </c>
      <c r="U338" s="18">
        <v>0.60358310017790595</v>
      </c>
      <c r="V338" s="18">
        <v>0.60358310017790595</v>
      </c>
      <c r="W338" s="18">
        <v>0.60358310017790595</v>
      </c>
      <c r="X338" s="18">
        <v>0.60358310017790595</v>
      </c>
      <c r="Y338" s="18">
        <v>0.60358310017790595</v>
      </c>
      <c r="Z338" s="18">
        <v>0.60358310017790595</v>
      </c>
      <c r="AA338" s="18">
        <v>0.60358310017790595</v>
      </c>
      <c r="AB338" s="18">
        <v>0.60358310017790595</v>
      </c>
      <c r="AC338" s="18">
        <v>0.60358310017790595</v>
      </c>
      <c r="AD338" s="18">
        <v>0.60358310017790595</v>
      </c>
      <c r="AE338" s="18">
        <v>0.60358310017790595</v>
      </c>
    </row>
    <row r="339" spans="1:31" x14ac:dyDescent="0.45">
      <c r="A339" s="28" t="s">
        <v>1244</v>
      </c>
      <c r="B339" s="5" t="s">
        <v>55</v>
      </c>
      <c r="C339" s="5" t="s">
        <v>113</v>
      </c>
      <c r="D339" s="5">
        <v>1</v>
      </c>
      <c r="E339" s="5" t="s">
        <v>1160</v>
      </c>
      <c r="K339" s="18">
        <f>INDEX(Mitigation_Industry!K:K,MATCH($A339,Mitigation_Industry!$H:$H,0))</f>
        <v>0.67114653332181595</v>
      </c>
      <c r="L339" s="18">
        <f>INDEX(Mitigation_Industry!L:L,MATCH($A339,Mitigation_Industry!$H:$H,0))</f>
        <v>0.61197797679140598</v>
      </c>
      <c r="M339" s="18">
        <f>INDEX(Mitigation_Industry!M:M,MATCH($A339,Mitigation_Industry!$H:$H,0))</f>
        <v>0.61180974964187596</v>
      </c>
      <c r="N339" s="18">
        <f>INDEX(Mitigation_Industry!N:N,MATCH($A339,Mitigation_Industry!$H:$H,0))</f>
        <v>0.60358310017790595</v>
      </c>
      <c r="O339" s="18">
        <f>INDEX(Mitigation_Industry!O:O,MATCH($A339,Mitigation_Industry!$H:$H,0))</f>
        <v>0.60358310017790595</v>
      </c>
      <c r="P339" s="18">
        <f>INDEX(Mitigation_Industry!P:P,MATCH($A339,Mitigation_Industry!$H:$H,0))</f>
        <v>0.60358310017790595</v>
      </c>
      <c r="Q339" s="18">
        <f>INDEX(Mitigation_Industry!Q:Q,MATCH($A339,Mitigation_Industry!$H:$H,0))</f>
        <v>0.60358310017790595</v>
      </c>
      <c r="R339" s="18">
        <f>INDEX(Mitigation_Industry!R:R,MATCH($A339,Mitigation_Industry!$H:$H,0))</f>
        <v>0.60358310017790595</v>
      </c>
      <c r="S339" s="18">
        <f>INDEX(Mitigation_Industry!S:S,MATCH($A339,Mitigation_Industry!$H:$H,0))</f>
        <v>0.60358310017790595</v>
      </c>
      <c r="T339" s="18">
        <f>INDEX(Mitigation_Industry!T:T,MATCH($A339,Mitigation_Industry!$H:$H,0))</f>
        <v>0.60358310017790595</v>
      </c>
      <c r="U339" s="18">
        <f>INDEX(Mitigation_Industry!U:U,MATCH($A339,Mitigation_Industry!$H:$H,0))</f>
        <v>0.60358310017790595</v>
      </c>
      <c r="V339" s="18">
        <f>INDEX(Mitigation_Industry!V:V,MATCH($A339,Mitigation_Industry!$H:$H,0))</f>
        <v>0.60358310017790595</v>
      </c>
      <c r="W339" s="18">
        <f>INDEX(Mitigation_Industry!W:W,MATCH($A339,Mitigation_Industry!$H:$H,0))</f>
        <v>0.60358310017790595</v>
      </c>
      <c r="X339" s="18">
        <f>INDEX(Mitigation_Industry!X:X,MATCH($A339,Mitigation_Industry!$H:$H,0))</f>
        <v>0.60358310017790595</v>
      </c>
      <c r="Y339" s="18">
        <f>INDEX(Mitigation_Industry!Y:Y,MATCH($A339,Mitigation_Industry!$H:$H,0))</f>
        <v>0.60358310017790595</v>
      </c>
      <c r="Z339" s="18">
        <f>INDEX(Mitigation_Industry!Z:Z,MATCH($A339,Mitigation_Industry!$H:$H,0))</f>
        <v>0.60358310017790595</v>
      </c>
      <c r="AA339" s="18">
        <f>INDEX(Mitigation_Industry!AA:AA,MATCH($A339,Mitigation_Industry!$H:$H,0))</f>
        <v>0.60358310017790595</v>
      </c>
      <c r="AB339" s="18">
        <f>INDEX(Mitigation_Industry!AB:AB,MATCH($A339,Mitigation_Industry!$H:$H,0))</f>
        <v>0.60358310017790595</v>
      </c>
      <c r="AC339" s="18">
        <f>INDEX(Mitigation_Industry!AC:AC,MATCH($A339,Mitigation_Industry!$H:$H,0))</f>
        <v>0.60358310017790595</v>
      </c>
      <c r="AD339" s="18">
        <f>INDEX(Mitigation_Industry!AD:AD,MATCH($A339,Mitigation_Industry!$H:$H,0))</f>
        <v>0.60358310017790595</v>
      </c>
      <c r="AE339" s="18">
        <f>INDEX(Mitigation_Industry!AE:AE,MATCH($A339,Mitigation_Industry!$H:$H,0))</f>
        <v>0.60358310017790595</v>
      </c>
    </row>
    <row r="340" spans="1:31" x14ac:dyDescent="0.45">
      <c r="A340" s="28" t="s">
        <v>1244</v>
      </c>
      <c r="B340" s="5" t="s">
        <v>55</v>
      </c>
      <c r="C340" s="5" t="s">
        <v>113</v>
      </c>
      <c r="D340" s="5">
        <v>1</v>
      </c>
      <c r="E340" s="2" t="s">
        <v>1161</v>
      </c>
      <c r="F340" s="31">
        <f>MAX(MAX(L340:AE340),-MIN(L340:AE340))</f>
        <v>0</v>
      </c>
      <c r="K340" s="32">
        <f t="shared" ref="K340:AE340" si="83">IF(ISNUMBER(K338),IF(ISNUMBER(K339),K339-K338,999999),0)</f>
        <v>0</v>
      </c>
      <c r="L340" s="32">
        <f t="shared" si="83"/>
        <v>0</v>
      </c>
      <c r="M340" s="32">
        <f t="shared" si="83"/>
        <v>0</v>
      </c>
      <c r="N340" s="32">
        <f t="shared" si="83"/>
        <v>0</v>
      </c>
      <c r="O340" s="32">
        <f t="shared" si="83"/>
        <v>0</v>
      </c>
      <c r="P340" s="32">
        <f t="shared" si="83"/>
        <v>0</v>
      </c>
      <c r="Q340" s="32">
        <f t="shared" si="83"/>
        <v>0</v>
      </c>
      <c r="R340" s="32">
        <f t="shared" si="83"/>
        <v>0</v>
      </c>
      <c r="S340" s="32">
        <f t="shared" si="83"/>
        <v>0</v>
      </c>
      <c r="T340" s="32">
        <f t="shared" si="83"/>
        <v>0</v>
      </c>
      <c r="U340" s="32">
        <f t="shared" si="83"/>
        <v>0</v>
      </c>
      <c r="V340" s="32">
        <f t="shared" si="83"/>
        <v>0</v>
      </c>
      <c r="W340" s="32">
        <f t="shared" si="83"/>
        <v>0</v>
      </c>
      <c r="X340" s="32">
        <f t="shared" si="83"/>
        <v>0</v>
      </c>
      <c r="Y340" s="32">
        <f t="shared" si="83"/>
        <v>0</v>
      </c>
      <c r="Z340" s="32">
        <f t="shared" si="83"/>
        <v>0</v>
      </c>
      <c r="AA340" s="32">
        <f t="shared" si="83"/>
        <v>0</v>
      </c>
      <c r="AB340" s="32">
        <f t="shared" si="83"/>
        <v>0</v>
      </c>
      <c r="AC340" s="32">
        <f t="shared" si="83"/>
        <v>0</v>
      </c>
      <c r="AD340" s="32">
        <f t="shared" si="83"/>
        <v>0</v>
      </c>
      <c r="AE340" s="32">
        <f t="shared" si="83"/>
        <v>0</v>
      </c>
    </row>
    <row r="342" spans="1:31" x14ac:dyDescent="0.45">
      <c r="A342" s="28" t="s">
        <v>1245</v>
      </c>
      <c r="B342" s="5" t="s">
        <v>58</v>
      </c>
      <c r="C342" s="5" t="s">
        <v>113</v>
      </c>
      <c r="D342" s="5">
        <v>1</v>
      </c>
      <c r="E342" s="5" t="s">
        <v>1159</v>
      </c>
      <c r="K342" s="18"/>
      <c r="L342" s="18">
        <v>0.49458873084106802</v>
      </c>
      <c r="M342" s="18">
        <v>0.50778654720250105</v>
      </c>
      <c r="N342" s="18">
        <v>0.47043642679561698</v>
      </c>
      <c r="O342" s="18">
        <v>0.47043642679561698</v>
      </c>
      <c r="P342" s="18">
        <v>0.47043642679561698</v>
      </c>
      <c r="Q342" s="18">
        <v>0.47043642679561698</v>
      </c>
      <c r="R342" s="18">
        <v>0.47043642679561698</v>
      </c>
      <c r="S342" s="18">
        <v>0.47043642679561698</v>
      </c>
      <c r="T342" s="18">
        <v>0.47043642679561698</v>
      </c>
      <c r="U342" s="18">
        <v>0.47043642679561698</v>
      </c>
      <c r="V342" s="18">
        <v>0.47043642679561698</v>
      </c>
      <c r="W342" s="18">
        <v>0.47043642679561698</v>
      </c>
      <c r="X342" s="18">
        <v>0.47043642679561698</v>
      </c>
      <c r="Y342" s="18">
        <v>0.47043642679561698</v>
      </c>
      <c r="Z342" s="18">
        <v>0.47043642679561698</v>
      </c>
      <c r="AA342" s="18">
        <v>0.47043642679561698</v>
      </c>
      <c r="AB342" s="18">
        <v>0.47043642679561698</v>
      </c>
      <c r="AC342" s="18">
        <v>0.47043642679561698</v>
      </c>
      <c r="AD342" s="18">
        <v>0.47043642679561698</v>
      </c>
      <c r="AE342" s="18">
        <v>0.47043642679561698</v>
      </c>
    </row>
    <row r="343" spans="1:31" x14ac:dyDescent="0.45">
      <c r="A343" s="28" t="s">
        <v>1245</v>
      </c>
      <c r="B343" s="5" t="s">
        <v>58</v>
      </c>
      <c r="C343" s="5" t="s">
        <v>113</v>
      </c>
      <c r="D343" s="5">
        <v>1</v>
      </c>
      <c r="E343" s="5" t="s">
        <v>1160</v>
      </c>
      <c r="K343" s="18">
        <f>INDEX(Mitigation_Industry!K:K,MATCH($A343,Mitigation_Industry!$H:$H,0))</f>
        <v>0.55971121315568795</v>
      </c>
      <c r="L343" s="18">
        <f>INDEX(Mitigation_Industry!L:L,MATCH($A343,Mitigation_Industry!$H:$H,0))</f>
        <v>0.49458873084106802</v>
      </c>
      <c r="M343" s="18">
        <f>INDEX(Mitigation_Industry!M:M,MATCH($A343,Mitigation_Industry!$H:$H,0))</f>
        <v>0.50778654720250105</v>
      </c>
      <c r="N343" s="18">
        <f>INDEX(Mitigation_Industry!N:N,MATCH($A343,Mitigation_Industry!$H:$H,0))</f>
        <v>0.47043642679561698</v>
      </c>
      <c r="O343" s="18">
        <f>INDEX(Mitigation_Industry!O:O,MATCH($A343,Mitigation_Industry!$H:$H,0))</f>
        <v>0.47043642679561698</v>
      </c>
      <c r="P343" s="18">
        <f>INDEX(Mitigation_Industry!P:P,MATCH($A343,Mitigation_Industry!$H:$H,0))</f>
        <v>0.47043642679561698</v>
      </c>
      <c r="Q343" s="18">
        <f>INDEX(Mitigation_Industry!Q:Q,MATCH($A343,Mitigation_Industry!$H:$H,0))</f>
        <v>0.47043642679561698</v>
      </c>
      <c r="R343" s="18">
        <f>INDEX(Mitigation_Industry!R:R,MATCH($A343,Mitigation_Industry!$H:$H,0))</f>
        <v>0.47043642679561698</v>
      </c>
      <c r="S343" s="18">
        <f>INDEX(Mitigation_Industry!S:S,MATCH($A343,Mitigation_Industry!$H:$H,0))</f>
        <v>0.47043642679561698</v>
      </c>
      <c r="T343" s="18">
        <f>INDEX(Mitigation_Industry!T:T,MATCH($A343,Mitigation_Industry!$H:$H,0))</f>
        <v>0.47043642679561698</v>
      </c>
      <c r="U343" s="18">
        <f>INDEX(Mitigation_Industry!U:U,MATCH($A343,Mitigation_Industry!$H:$H,0))</f>
        <v>0.47043642679561698</v>
      </c>
      <c r="V343" s="18">
        <f>INDEX(Mitigation_Industry!V:V,MATCH($A343,Mitigation_Industry!$H:$H,0))</f>
        <v>0.47043642679561698</v>
      </c>
      <c r="W343" s="18">
        <f>INDEX(Mitigation_Industry!W:W,MATCH($A343,Mitigation_Industry!$H:$H,0))</f>
        <v>0.47043642679561698</v>
      </c>
      <c r="X343" s="18">
        <f>INDEX(Mitigation_Industry!X:X,MATCH($A343,Mitigation_Industry!$H:$H,0))</f>
        <v>0.47043642679561698</v>
      </c>
      <c r="Y343" s="18">
        <f>INDEX(Mitigation_Industry!Y:Y,MATCH($A343,Mitigation_Industry!$H:$H,0))</f>
        <v>0.47043642679561698</v>
      </c>
      <c r="Z343" s="18">
        <f>INDEX(Mitigation_Industry!Z:Z,MATCH($A343,Mitigation_Industry!$H:$H,0))</f>
        <v>0.47043642679561698</v>
      </c>
      <c r="AA343" s="18">
        <f>INDEX(Mitigation_Industry!AA:AA,MATCH($A343,Mitigation_Industry!$H:$H,0))</f>
        <v>0.47043642679561698</v>
      </c>
      <c r="AB343" s="18">
        <f>INDEX(Mitigation_Industry!AB:AB,MATCH($A343,Mitigation_Industry!$H:$H,0))</f>
        <v>0.47043642679561698</v>
      </c>
      <c r="AC343" s="18">
        <f>INDEX(Mitigation_Industry!AC:AC,MATCH($A343,Mitigation_Industry!$H:$H,0))</f>
        <v>0.47043642679561698</v>
      </c>
      <c r="AD343" s="18">
        <f>INDEX(Mitigation_Industry!AD:AD,MATCH($A343,Mitigation_Industry!$H:$H,0))</f>
        <v>0.47043642679561698</v>
      </c>
      <c r="AE343" s="18">
        <f>INDEX(Mitigation_Industry!AE:AE,MATCH($A343,Mitigation_Industry!$H:$H,0))</f>
        <v>0.47043642679561698</v>
      </c>
    </row>
    <row r="344" spans="1:31" x14ac:dyDescent="0.45">
      <c r="A344" s="28" t="s">
        <v>1245</v>
      </c>
      <c r="B344" s="5" t="s">
        <v>58</v>
      </c>
      <c r="C344" s="5" t="s">
        <v>113</v>
      </c>
      <c r="D344" s="5">
        <v>1</v>
      </c>
      <c r="E344" s="2" t="s">
        <v>1161</v>
      </c>
      <c r="F344" s="31">
        <f>MAX(MAX(L344:AE344),-MIN(L344:AE344))</f>
        <v>0</v>
      </c>
      <c r="K344" s="32">
        <f t="shared" ref="K344:AE344" si="84">IF(ISNUMBER(K342),IF(ISNUMBER(K343),K343-K342,999999),0)</f>
        <v>0</v>
      </c>
      <c r="L344" s="32">
        <f t="shared" si="84"/>
        <v>0</v>
      </c>
      <c r="M344" s="32">
        <f t="shared" si="84"/>
        <v>0</v>
      </c>
      <c r="N344" s="32">
        <f t="shared" si="84"/>
        <v>0</v>
      </c>
      <c r="O344" s="32">
        <f t="shared" si="84"/>
        <v>0</v>
      </c>
      <c r="P344" s="32">
        <f t="shared" si="84"/>
        <v>0</v>
      </c>
      <c r="Q344" s="32">
        <f t="shared" si="84"/>
        <v>0</v>
      </c>
      <c r="R344" s="32">
        <f t="shared" si="84"/>
        <v>0</v>
      </c>
      <c r="S344" s="32">
        <f t="shared" si="84"/>
        <v>0</v>
      </c>
      <c r="T344" s="32">
        <f t="shared" si="84"/>
        <v>0</v>
      </c>
      <c r="U344" s="32">
        <f t="shared" si="84"/>
        <v>0</v>
      </c>
      <c r="V344" s="32">
        <f t="shared" si="84"/>
        <v>0</v>
      </c>
      <c r="W344" s="32">
        <f t="shared" si="84"/>
        <v>0</v>
      </c>
      <c r="X344" s="32">
        <f t="shared" si="84"/>
        <v>0</v>
      </c>
      <c r="Y344" s="32">
        <f t="shared" si="84"/>
        <v>0</v>
      </c>
      <c r="Z344" s="32">
        <f t="shared" si="84"/>
        <v>0</v>
      </c>
      <c r="AA344" s="32">
        <f t="shared" si="84"/>
        <v>0</v>
      </c>
      <c r="AB344" s="32">
        <f t="shared" si="84"/>
        <v>0</v>
      </c>
      <c r="AC344" s="32">
        <f t="shared" si="84"/>
        <v>0</v>
      </c>
      <c r="AD344" s="32">
        <f t="shared" si="84"/>
        <v>0</v>
      </c>
      <c r="AE344" s="32">
        <f t="shared" si="84"/>
        <v>0</v>
      </c>
    </row>
    <row r="346" spans="1:31" x14ac:dyDescent="0.45">
      <c r="A346" s="28" t="s">
        <v>1246</v>
      </c>
      <c r="B346" s="5" t="s">
        <v>60</v>
      </c>
      <c r="C346" s="5" t="s">
        <v>113</v>
      </c>
      <c r="D346" s="5">
        <v>1</v>
      </c>
      <c r="E346" s="5" t="s">
        <v>1159</v>
      </c>
      <c r="K346" s="18"/>
      <c r="L346" s="18">
        <v>0.15734473625227399</v>
      </c>
      <c r="M346" s="18">
        <v>0.164484037759277</v>
      </c>
      <c r="N346" s="18">
        <v>0.15070907780704901</v>
      </c>
      <c r="O346" s="18">
        <v>0.15070907780704901</v>
      </c>
      <c r="P346" s="18">
        <v>0.15070907780704901</v>
      </c>
      <c r="Q346" s="18">
        <v>0.15070907780704901</v>
      </c>
      <c r="R346" s="18">
        <v>0.15070907780704901</v>
      </c>
      <c r="S346" s="18">
        <v>0.15070907780704901</v>
      </c>
      <c r="T346" s="18">
        <v>0.15070907780704901</v>
      </c>
      <c r="U346" s="18">
        <v>0.15070907780704901</v>
      </c>
      <c r="V346" s="18">
        <v>0.15070907780704901</v>
      </c>
      <c r="W346" s="18">
        <v>0.15070907780704901</v>
      </c>
      <c r="X346" s="18">
        <v>0.15070907780704901</v>
      </c>
      <c r="Y346" s="18">
        <v>0.15070907780704901</v>
      </c>
      <c r="Z346" s="18">
        <v>0.15070907780704901</v>
      </c>
      <c r="AA346" s="18">
        <v>0.15070907780704901</v>
      </c>
      <c r="AB346" s="18">
        <v>0.15070907780704901</v>
      </c>
      <c r="AC346" s="18">
        <v>0.15070907780704901</v>
      </c>
      <c r="AD346" s="18">
        <v>0.15070907780704901</v>
      </c>
      <c r="AE346" s="18">
        <v>0.15070907780704901</v>
      </c>
    </row>
    <row r="347" spans="1:31" x14ac:dyDescent="0.45">
      <c r="A347" s="28" t="s">
        <v>1246</v>
      </c>
      <c r="B347" s="5" t="s">
        <v>60</v>
      </c>
      <c r="C347" s="5" t="s">
        <v>113</v>
      </c>
      <c r="D347" s="5">
        <v>1</v>
      </c>
      <c r="E347" s="5" t="s">
        <v>1160</v>
      </c>
      <c r="K347" s="18">
        <f>INDEX(Mitigation_Industry!K:K,MATCH($A347,Mitigation_Industry!$H:$H,0))</f>
        <v>0.20036669112673799</v>
      </c>
      <c r="L347" s="18">
        <f>INDEX(Mitigation_Industry!L:L,MATCH($A347,Mitigation_Industry!$H:$H,0))</f>
        <v>0.15734473625227399</v>
      </c>
      <c r="M347" s="18">
        <f>INDEX(Mitigation_Industry!M:M,MATCH($A347,Mitigation_Industry!$H:$H,0))</f>
        <v>0.164484037759277</v>
      </c>
      <c r="N347" s="18">
        <f>INDEX(Mitigation_Industry!N:N,MATCH($A347,Mitigation_Industry!$H:$H,0))</f>
        <v>0.15070907780704901</v>
      </c>
      <c r="O347" s="18">
        <f>INDEX(Mitigation_Industry!O:O,MATCH($A347,Mitigation_Industry!$H:$H,0))</f>
        <v>0.15070907780704901</v>
      </c>
      <c r="P347" s="18">
        <f>INDEX(Mitigation_Industry!P:P,MATCH($A347,Mitigation_Industry!$H:$H,0))</f>
        <v>0.15070907780704901</v>
      </c>
      <c r="Q347" s="18">
        <f>INDEX(Mitigation_Industry!Q:Q,MATCH($A347,Mitigation_Industry!$H:$H,0))</f>
        <v>0.15070907780704901</v>
      </c>
      <c r="R347" s="18">
        <f>INDEX(Mitigation_Industry!R:R,MATCH($A347,Mitigation_Industry!$H:$H,0))</f>
        <v>0.15070907780704901</v>
      </c>
      <c r="S347" s="18">
        <f>INDEX(Mitigation_Industry!S:S,MATCH($A347,Mitigation_Industry!$H:$H,0))</f>
        <v>0.15070907780704901</v>
      </c>
      <c r="T347" s="18">
        <f>INDEX(Mitigation_Industry!T:T,MATCH($A347,Mitigation_Industry!$H:$H,0))</f>
        <v>0.15070907780704901</v>
      </c>
      <c r="U347" s="18">
        <f>INDEX(Mitigation_Industry!U:U,MATCH($A347,Mitigation_Industry!$H:$H,0))</f>
        <v>0.15070907780704901</v>
      </c>
      <c r="V347" s="18">
        <f>INDEX(Mitigation_Industry!V:V,MATCH($A347,Mitigation_Industry!$H:$H,0))</f>
        <v>0.15070907780704901</v>
      </c>
      <c r="W347" s="18">
        <f>INDEX(Mitigation_Industry!W:W,MATCH($A347,Mitigation_Industry!$H:$H,0))</f>
        <v>0.15070907780704901</v>
      </c>
      <c r="X347" s="18">
        <f>INDEX(Mitigation_Industry!X:X,MATCH($A347,Mitigation_Industry!$H:$H,0))</f>
        <v>0.15070907780704901</v>
      </c>
      <c r="Y347" s="18">
        <f>INDEX(Mitigation_Industry!Y:Y,MATCH($A347,Mitigation_Industry!$H:$H,0))</f>
        <v>0.15070907780704901</v>
      </c>
      <c r="Z347" s="18">
        <f>INDEX(Mitigation_Industry!Z:Z,MATCH($A347,Mitigation_Industry!$H:$H,0))</f>
        <v>0.15070907780704901</v>
      </c>
      <c r="AA347" s="18">
        <f>INDEX(Mitigation_Industry!AA:AA,MATCH($A347,Mitigation_Industry!$H:$H,0))</f>
        <v>0.15070907780704901</v>
      </c>
      <c r="AB347" s="18">
        <f>INDEX(Mitigation_Industry!AB:AB,MATCH($A347,Mitigation_Industry!$H:$H,0))</f>
        <v>0.15070907780704901</v>
      </c>
      <c r="AC347" s="18">
        <f>INDEX(Mitigation_Industry!AC:AC,MATCH($A347,Mitigation_Industry!$H:$H,0))</f>
        <v>0.15070907780704901</v>
      </c>
      <c r="AD347" s="18">
        <f>INDEX(Mitigation_Industry!AD:AD,MATCH($A347,Mitigation_Industry!$H:$H,0))</f>
        <v>0.15070907780704901</v>
      </c>
      <c r="AE347" s="18">
        <f>INDEX(Mitigation_Industry!AE:AE,MATCH($A347,Mitigation_Industry!$H:$H,0))</f>
        <v>0.15070907780704901</v>
      </c>
    </row>
    <row r="348" spans="1:31" x14ac:dyDescent="0.45">
      <c r="A348" s="28" t="s">
        <v>1246</v>
      </c>
      <c r="B348" s="5" t="s">
        <v>60</v>
      </c>
      <c r="C348" s="5" t="s">
        <v>113</v>
      </c>
      <c r="D348" s="5">
        <v>1</v>
      </c>
      <c r="E348" s="2" t="s">
        <v>1161</v>
      </c>
      <c r="F348" s="31">
        <f>MAX(MAX(L348:AE348),-MIN(L348:AE348))</f>
        <v>0</v>
      </c>
      <c r="K348" s="32">
        <f t="shared" ref="K348:AE348" si="85">IF(ISNUMBER(K346),IF(ISNUMBER(K347),K347-K346,999999),0)</f>
        <v>0</v>
      </c>
      <c r="L348" s="32">
        <f t="shared" si="85"/>
        <v>0</v>
      </c>
      <c r="M348" s="32">
        <f t="shared" si="85"/>
        <v>0</v>
      </c>
      <c r="N348" s="32">
        <f t="shared" si="85"/>
        <v>0</v>
      </c>
      <c r="O348" s="32">
        <f t="shared" si="85"/>
        <v>0</v>
      </c>
      <c r="P348" s="32">
        <f t="shared" si="85"/>
        <v>0</v>
      </c>
      <c r="Q348" s="32">
        <f t="shared" si="85"/>
        <v>0</v>
      </c>
      <c r="R348" s="32">
        <f t="shared" si="85"/>
        <v>0</v>
      </c>
      <c r="S348" s="32">
        <f t="shared" si="85"/>
        <v>0</v>
      </c>
      <c r="T348" s="32">
        <f t="shared" si="85"/>
        <v>0</v>
      </c>
      <c r="U348" s="32">
        <f t="shared" si="85"/>
        <v>0</v>
      </c>
      <c r="V348" s="32">
        <f t="shared" si="85"/>
        <v>0</v>
      </c>
      <c r="W348" s="32">
        <f t="shared" si="85"/>
        <v>0</v>
      </c>
      <c r="X348" s="32">
        <f t="shared" si="85"/>
        <v>0</v>
      </c>
      <c r="Y348" s="32">
        <f t="shared" si="85"/>
        <v>0</v>
      </c>
      <c r="Z348" s="32">
        <f t="shared" si="85"/>
        <v>0</v>
      </c>
      <c r="AA348" s="32">
        <f t="shared" si="85"/>
        <v>0</v>
      </c>
      <c r="AB348" s="32">
        <f t="shared" si="85"/>
        <v>0</v>
      </c>
      <c r="AC348" s="32">
        <f t="shared" si="85"/>
        <v>0</v>
      </c>
      <c r="AD348" s="32">
        <f t="shared" si="85"/>
        <v>0</v>
      </c>
      <c r="AE348" s="32">
        <f t="shared" si="85"/>
        <v>0</v>
      </c>
    </row>
    <row r="350" spans="1:31" x14ac:dyDescent="0.45">
      <c r="A350" s="28" t="s">
        <v>1247</v>
      </c>
      <c r="B350" s="5" t="s">
        <v>62</v>
      </c>
      <c r="C350" s="5" t="s">
        <v>113</v>
      </c>
      <c r="D350" s="5">
        <v>1</v>
      </c>
      <c r="E350" s="5" t="s">
        <v>1159</v>
      </c>
      <c r="K350" s="18"/>
      <c r="L350" s="18">
        <v>0.45642817050012802</v>
      </c>
      <c r="M350" s="18">
        <v>0.43168920195599497</v>
      </c>
      <c r="N350" s="18">
        <v>0.42507558395597</v>
      </c>
      <c r="O350" s="18">
        <v>0.42507558395597</v>
      </c>
      <c r="P350" s="18">
        <v>0.42507558395597</v>
      </c>
      <c r="Q350" s="18">
        <v>0.42507558395597</v>
      </c>
      <c r="R350" s="18">
        <v>0.42507558395597</v>
      </c>
      <c r="S350" s="18">
        <v>0.42507558395597</v>
      </c>
      <c r="T350" s="18">
        <v>0.42507558395597</v>
      </c>
      <c r="U350" s="18">
        <v>0.42507558395597</v>
      </c>
      <c r="V350" s="18">
        <v>0.42507558395597</v>
      </c>
      <c r="W350" s="18">
        <v>0.42507558395597</v>
      </c>
      <c r="X350" s="18">
        <v>0.42507558395597</v>
      </c>
      <c r="Y350" s="18">
        <v>0.42507558395597</v>
      </c>
      <c r="Z350" s="18">
        <v>0.42507558395597</v>
      </c>
      <c r="AA350" s="18">
        <v>0.42507558395597</v>
      </c>
      <c r="AB350" s="18">
        <v>0.42507558395597</v>
      </c>
      <c r="AC350" s="18">
        <v>0.42507558395597</v>
      </c>
      <c r="AD350" s="18">
        <v>0.42507558395597</v>
      </c>
      <c r="AE350" s="18">
        <v>0.42507558395597</v>
      </c>
    </row>
    <row r="351" spans="1:31" x14ac:dyDescent="0.45">
      <c r="A351" s="28" t="s">
        <v>1247</v>
      </c>
      <c r="B351" s="5" t="s">
        <v>62</v>
      </c>
      <c r="C351" s="5" t="s">
        <v>113</v>
      </c>
      <c r="D351" s="5">
        <v>1</v>
      </c>
      <c r="E351" s="5" t="s">
        <v>1160</v>
      </c>
      <c r="K351" s="18">
        <f>INDEX(Mitigation_Industry!K:K,MATCH($A351,Mitigation_Industry!$H:$H,0))</f>
        <v>0.48429424097343499</v>
      </c>
      <c r="L351" s="18">
        <f>INDEX(Mitigation_Industry!L:L,MATCH($A351,Mitigation_Industry!$H:$H,0))</f>
        <v>0.45642817050012802</v>
      </c>
      <c r="M351" s="18">
        <f>INDEX(Mitigation_Industry!M:M,MATCH($A351,Mitigation_Industry!$H:$H,0))</f>
        <v>0.43168920195599497</v>
      </c>
      <c r="N351" s="18">
        <f>INDEX(Mitigation_Industry!N:N,MATCH($A351,Mitigation_Industry!$H:$H,0))</f>
        <v>0.42507558395597</v>
      </c>
      <c r="O351" s="18">
        <f>INDEX(Mitigation_Industry!O:O,MATCH($A351,Mitigation_Industry!$H:$H,0))</f>
        <v>0.42507558395597</v>
      </c>
      <c r="P351" s="18">
        <f>INDEX(Mitigation_Industry!P:P,MATCH($A351,Mitigation_Industry!$H:$H,0))</f>
        <v>0.42507558395597</v>
      </c>
      <c r="Q351" s="18">
        <f>INDEX(Mitigation_Industry!Q:Q,MATCH($A351,Mitigation_Industry!$H:$H,0))</f>
        <v>0.42507558395597</v>
      </c>
      <c r="R351" s="18">
        <f>INDEX(Mitigation_Industry!R:R,MATCH($A351,Mitigation_Industry!$H:$H,0))</f>
        <v>0.42507558395597</v>
      </c>
      <c r="S351" s="18">
        <f>INDEX(Mitigation_Industry!S:S,MATCH($A351,Mitigation_Industry!$H:$H,0))</f>
        <v>0.42507558395597</v>
      </c>
      <c r="T351" s="18">
        <f>INDEX(Mitigation_Industry!T:T,MATCH($A351,Mitigation_Industry!$H:$H,0))</f>
        <v>0.42507558395597</v>
      </c>
      <c r="U351" s="18">
        <f>INDEX(Mitigation_Industry!U:U,MATCH($A351,Mitigation_Industry!$H:$H,0))</f>
        <v>0.42507558395597</v>
      </c>
      <c r="V351" s="18">
        <f>INDEX(Mitigation_Industry!V:V,MATCH($A351,Mitigation_Industry!$H:$H,0))</f>
        <v>0.42507558395597</v>
      </c>
      <c r="W351" s="18">
        <f>INDEX(Mitigation_Industry!W:W,MATCH($A351,Mitigation_Industry!$H:$H,0))</f>
        <v>0.42507558395597</v>
      </c>
      <c r="X351" s="18">
        <f>INDEX(Mitigation_Industry!X:X,MATCH($A351,Mitigation_Industry!$H:$H,0))</f>
        <v>0.42507558395597</v>
      </c>
      <c r="Y351" s="18">
        <f>INDEX(Mitigation_Industry!Y:Y,MATCH($A351,Mitigation_Industry!$H:$H,0))</f>
        <v>0.42507558395597</v>
      </c>
      <c r="Z351" s="18">
        <f>INDEX(Mitigation_Industry!Z:Z,MATCH($A351,Mitigation_Industry!$H:$H,0))</f>
        <v>0.42507558395597</v>
      </c>
      <c r="AA351" s="18">
        <f>INDEX(Mitigation_Industry!AA:AA,MATCH($A351,Mitigation_Industry!$H:$H,0))</f>
        <v>0.42507558395597</v>
      </c>
      <c r="AB351" s="18">
        <f>INDEX(Mitigation_Industry!AB:AB,MATCH($A351,Mitigation_Industry!$H:$H,0))</f>
        <v>0.42507558395597</v>
      </c>
      <c r="AC351" s="18">
        <f>INDEX(Mitigation_Industry!AC:AC,MATCH($A351,Mitigation_Industry!$H:$H,0))</f>
        <v>0.42507558395597</v>
      </c>
      <c r="AD351" s="18">
        <f>INDEX(Mitigation_Industry!AD:AD,MATCH($A351,Mitigation_Industry!$H:$H,0))</f>
        <v>0.42507558395597</v>
      </c>
      <c r="AE351" s="18">
        <f>INDEX(Mitigation_Industry!AE:AE,MATCH($A351,Mitigation_Industry!$H:$H,0))</f>
        <v>0.42507558395597</v>
      </c>
    </row>
    <row r="352" spans="1:31" x14ac:dyDescent="0.45">
      <c r="A352" s="28" t="s">
        <v>1247</v>
      </c>
      <c r="B352" s="5" t="s">
        <v>62</v>
      </c>
      <c r="C352" s="5" t="s">
        <v>113</v>
      </c>
      <c r="D352" s="5">
        <v>1</v>
      </c>
      <c r="E352" s="2" t="s">
        <v>1161</v>
      </c>
      <c r="F352" s="31">
        <f>MAX(MAX(L352:AE352),-MIN(L352:AE352))</f>
        <v>0</v>
      </c>
      <c r="K352" s="32">
        <f t="shared" ref="K352:AE352" si="86">IF(ISNUMBER(K350),IF(ISNUMBER(K351),K351-K350,999999),0)</f>
        <v>0</v>
      </c>
      <c r="L352" s="32">
        <f t="shared" si="86"/>
        <v>0</v>
      </c>
      <c r="M352" s="32">
        <f t="shared" si="86"/>
        <v>0</v>
      </c>
      <c r="N352" s="32">
        <f t="shared" si="86"/>
        <v>0</v>
      </c>
      <c r="O352" s="32">
        <f t="shared" si="86"/>
        <v>0</v>
      </c>
      <c r="P352" s="32">
        <f t="shared" si="86"/>
        <v>0</v>
      </c>
      <c r="Q352" s="32">
        <f t="shared" si="86"/>
        <v>0</v>
      </c>
      <c r="R352" s="32">
        <f t="shared" si="86"/>
        <v>0</v>
      </c>
      <c r="S352" s="32">
        <f t="shared" si="86"/>
        <v>0</v>
      </c>
      <c r="T352" s="32">
        <f t="shared" si="86"/>
        <v>0</v>
      </c>
      <c r="U352" s="32">
        <f t="shared" si="86"/>
        <v>0</v>
      </c>
      <c r="V352" s="32">
        <f t="shared" si="86"/>
        <v>0</v>
      </c>
      <c r="W352" s="32">
        <f t="shared" si="86"/>
        <v>0</v>
      </c>
      <c r="X352" s="32">
        <f t="shared" si="86"/>
        <v>0</v>
      </c>
      <c r="Y352" s="32">
        <f t="shared" si="86"/>
        <v>0</v>
      </c>
      <c r="Z352" s="32">
        <f t="shared" si="86"/>
        <v>0</v>
      </c>
      <c r="AA352" s="32">
        <f t="shared" si="86"/>
        <v>0</v>
      </c>
      <c r="AB352" s="32">
        <f t="shared" si="86"/>
        <v>0</v>
      </c>
      <c r="AC352" s="32">
        <f t="shared" si="86"/>
        <v>0</v>
      </c>
      <c r="AD352" s="32">
        <f t="shared" si="86"/>
        <v>0</v>
      </c>
      <c r="AE352" s="32">
        <f t="shared" si="86"/>
        <v>0</v>
      </c>
    </row>
    <row r="354" spans="1:31" x14ac:dyDescent="0.45">
      <c r="A354" s="28" t="s">
        <v>1248</v>
      </c>
      <c r="B354" s="5" t="s">
        <v>64</v>
      </c>
      <c r="C354" s="5" t="s">
        <v>113</v>
      </c>
      <c r="D354" s="5">
        <v>1</v>
      </c>
      <c r="E354" s="5" t="s">
        <v>1159</v>
      </c>
      <c r="K354" s="18"/>
      <c r="L354" s="18">
        <v>34.4153703043132</v>
      </c>
      <c r="M354" s="18">
        <v>37.368960690431997</v>
      </c>
      <c r="N354" s="18">
        <v>28.982761101477301</v>
      </c>
      <c r="O354" s="18">
        <v>15</v>
      </c>
      <c r="P354" s="18">
        <v>24.2586300842555</v>
      </c>
      <c r="Q354" s="18">
        <v>15</v>
      </c>
      <c r="R354" s="18">
        <v>15</v>
      </c>
      <c r="S354" s="18">
        <v>15</v>
      </c>
      <c r="T354" s="18">
        <v>15</v>
      </c>
      <c r="U354" s="18">
        <v>15</v>
      </c>
      <c r="V354" s="18">
        <v>15</v>
      </c>
      <c r="W354" s="18">
        <v>15</v>
      </c>
      <c r="X354" s="18">
        <v>15</v>
      </c>
      <c r="Y354" s="18">
        <v>15</v>
      </c>
      <c r="Z354" s="18">
        <v>15</v>
      </c>
      <c r="AA354" s="18">
        <v>15</v>
      </c>
      <c r="AB354" s="18">
        <v>15</v>
      </c>
      <c r="AC354" s="18">
        <v>15</v>
      </c>
      <c r="AD354" s="18">
        <v>15</v>
      </c>
      <c r="AE354" s="18">
        <v>15</v>
      </c>
    </row>
    <row r="355" spans="1:31" x14ac:dyDescent="0.45">
      <c r="A355" s="28" t="s">
        <v>1248</v>
      </c>
      <c r="B355" s="5" t="s">
        <v>64</v>
      </c>
      <c r="C355" s="5" t="s">
        <v>113</v>
      </c>
      <c r="D355" s="5">
        <v>1</v>
      </c>
      <c r="E355" s="5" t="s">
        <v>1160</v>
      </c>
      <c r="K355" s="18">
        <f>INDEX(Mitigation_Industry!K:K,MATCH($A355,Mitigation_Industry!$H:$H,0))</f>
        <v>41.500338498868402</v>
      </c>
      <c r="L355" s="18">
        <f>INDEX(Mitigation_Industry!L:L,MATCH($A355,Mitigation_Industry!$H:$H,0))</f>
        <v>34.4153703043132</v>
      </c>
      <c r="M355" s="18">
        <f>INDEX(Mitigation_Industry!M:M,MATCH($A355,Mitigation_Industry!$H:$H,0))</f>
        <v>37.368960690431997</v>
      </c>
      <c r="N355" s="18">
        <f>INDEX(Mitigation_Industry!N:N,MATCH($A355,Mitigation_Industry!$H:$H,0))</f>
        <v>28.982761101477301</v>
      </c>
      <c r="O355" s="18">
        <f>INDEX(Mitigation_Industry!O:O,MATCH($A355,Mitigation_Industry!$H:$H,0))</f>
        <v>15</v>
      </c>
      <c r="P355" s="18">
        <f>INDEX(Mitigation_Industry!P:P,MATCH($A355,Mitigation_Industry!$H:$H,0))</f>
        <v>24.2586300842555</v>
      </c>
      <c r="Q355" s="18">
        <f>INDEX(Mitigation_Industry!Q:Q,MATCH($A355,Mitigation_Industry!$H:$H,0))</f>
        <v>15</v>
      </c>
      <c r="R355" s="18">
        <f>INDEX(Mitigation_Industry!R:R,MATCH($A355,Mitigation_Industry!$H:$H,0))</f>
        <v>15</v>
      </c>
      <c r="S355" s="18">
        <f>INDEX(Mitigation_Industry!S:S,MATCH($A355,Mitigation_Industry!$H:$H,0))</f>
        <v>15</v>
      </c>
      <c r="T355" s="18">
        <f>INDEX(Mitigation_Industry!T:T,MATCH($A355,Mitigation_Industry!$H:$H,0))</f>
        <v>15</v>
      </c>
      <c r="U355" s="18">
        <f>INDEX(Mitigation_Industry!U:U,MATCH($A355,Mitigation_Industry!$H:$H,0))</f>
        <v>15</v>
      </c>
      <c r="V355" s="18">
        <f>INDEX(Mitigation_Industry!V:V,MATCH($A355,Mitigation_Industry!$H:$H,0))</f>
        <v>15</v>
      </c>
      <c r="W355" s="18">
        <f>INDEX(Mitigation_Industry!W:W,MATCH($A355,Mitigation_Industry!$H:$H,0))</f>
        <v>15</v>
      </c>
      <c r="X355" s="18">
        <f>INDEX(Mitigation_Industry!X:X,MATCH($A355,Mitigation_Industry!$H:$H,0))</f>
        <v>15</v>
      </c>
      <c r="Y355" s="18">
        <f>INDEX(Mitigation_Industry!Y:Y,MATCH($A355,Mitigation_Industry!$H:$H,0))</f>
        <v>15</v>
      </c>
      <c r="Z355" s="18">
        <f>INDEX(Mitigation_Industry!Z:Z,MATCH($A355,Mitigation_Industry!$H:$H,0))</f>
        <v>15</v>
      </c>
      <c r="AA355" s="18">
        <f>INDEX(Mitigation_Industry!AA:AA,MATCH($A355,Mitigation_Industry!$H:$H,0))</f>
        <v>15</v>
      </c>
      <c r="AB355" s="18">
        <f>INDEX(Mitigation_Industry!AB:AB,MATCH($A355,Mitigation_Industry!$H:$H,0))</f>
        <v>15</v>
      </c>
      <c r="AC355" s="18">
        <f>INDEX(Mitigation_Industry!AC:AC,MATCH($A355,Mitigation_Industry!$H:$H,0))</f>
        <v>15</v>
      </c>
      <c r="AD355" s="18">
        <f>INDEX(Mitigation_Industry!AD:AD,MATCH($A355,Mitigation_Industry!$H:$H,0))</f>
        <v>15</v>
      </c>
      <c r="AE355" s="18">
        <f>INDEX(Mitigation_Industry!AE:AE,MATCH($A355,Mitigation_Industry!$H:$H,0))</f>
        <v>15</v>
      </c>
    </row>
    <row r="356" spans="1:31" x14ac:dyDescent="0.45">
      <c r="A356" s="28" t="s">
        <v>1248</v>
      </c>
      <c r="B356" s="5" t="s">
        <v>64</v>
      </c>
      <c r="C356" s="5" t="s">
        <v>113</v>
      </c>
      <c r="D356" s="5">
        <v>1</v>
      </c>
      <c r="E356" s="2" t="s">
        <v>1161</v>
      </c>
      <c r="F356" s="31">
        <f>MAX(MAX(L356:AE356),-MIN(L356:AE356))</f>
        <v>0</v>
      </c>
      <c r="K356" s="32">
        <f t="shared" ref="K356:AE356" si="87">IF(ISNUMBER(K354),IF(ISNUMBER(K355),K355-K354,999999),0)</f>
        <v>0</v>
      </c>
      <c r="L356" s="32">
        <f t="shared" si="87"/>
        <v>0</v>
      </c>
      <c r="M356" s="32">
        <f t="shared" si="87"/>
        <v>0</v>
      </c>
      <c r="N356" s="32">
        <f t="shared" si="87"/>
        <v>0</v>
      </c>
      <c r="O356" s="32">
        <f t="shared" si="87"/>
        <v>0</v>
      </c>
      <c r="P356" s="32">
        <f t="shared" si="87"/>
        <v>0</v>
      </c>
      <c r="Q356" s="32">
        <f t="shared" si="87"/>
        <v>0</v>
      </c>
      <c r="R356" s="32">
        <f t="shared" si="87"/>
        <v>0</v>
      </c>
      <c r="S356" s="32">
        <f t="shared" si="87"/>
        <v>0</v>
      </c>
      <c r="T356" s="32">
        <f t="shared" si="87"/>
        <v>0</v>
      </c>
      <c r="U356" s="32">
        <f t="shared" si="87"/>
        <v>0</v>
      </c>
      <c r="V356" s="32">
        <f t="shared" si="87"/>
        <v>0</v>
      </c>
      <c r="W356" s="32">
        <f t="shared" si="87"/>
        <v>0</v>
      </c>
      <c r="X356" s="32">
        <f t="shared" si="87"/>
        <v>0</v>
      </c>
      <c r="Y356" s="32">
        <f t="shared" si="87"/>
        <v>0</v>
      </c>
      <c r="Z356" s="32">
        <f t="shared" si="87"/>
        <v>0</v>
      </c>
      <c r="AA356" s="32">
        <f t="shared" si="87"/>
        <v>0</v>
      </c>
      <c r="AB356" s="32">
        <f t="shared" si="87"/>
        <v>0</v>
      </c>
      <c r="AC356" s="32">
        <f t="shared" si="87"/>
        <v>0</v>
      </c>
      <c r="AD356" s="32">
        <f t="shared" si="87"/>
        <v>0</v>
      </c>
      <c r="AE356" s="32">
        <f t="shared" si="87"/>
        <v>0</v>
      </c>
    </row>
    <row r="358" spans="1:31" x14ac:dyDescent="0.45">
      <c r="A358" s="28" t="s">
        <v>1249</v>
      </c>
      <c r="B358" s="5" t="s">
        <v>67</v>
      </c>
      <c r="C358" s="5" t="s">
        <v>113</v>
      </c>
      <c r="D358" s="5">
        <v>1</v>
      </c>
      <c r="E358" s="5" t="s">
        <v>1159</v>
      </c>
      <c r="K358" s="18"/>
      <c r="L358" s="18">
        <v>14.199528390634899</v>
      </c>
      <c r="M358" s="18">
        <v>13.8404416133152</v>
      </c>
      <c r="N358" s="18">
        <v>13.5677269404465</v>
      </c>
      <c r="O358" s="18">
        <v>13.5677269404465</v>
      </c>
      <c r="P358" s="18">
        <v>13.5677269404465</v>
      </c>
      <c r="Q358" s="18">
        <v>13.5677269404465</v>
      </c>
      <c r="R358" s="18">
        <v>13.5677269404465</v>
      </c>
      <c r="S358" s="18">
        <v>13.5677269404465</v>
      </c>
      <c r="T358" s="18">
        <v>13.5677269404465</v>
      </c>
      <c r="U358" s="18">
        <v>13.5677269404465</v>
      </c>
      <c r="V358" s="18">
        <v>13.5677269404465</v>
      </c>
      <c r="W358" s="18">
        <v>13.5677269404465</v>
      </c>
      <c r="X358" s="18">
        <v>13.5677269404465</v>
      </c>
      <c r="Y358" s="18">
        <v>13.5677269404465</v>
      </c>
      <c r="Z358" s="18">
        <v>13.5677269404465</v>
      </c>
      <c r="AA358" s="18">
        <v>13.5677269404465</v>
      </c>
      <c r="AB358" s="18">
        <v>13.5677269404465</v>
      </c>
      <c r="AC358" s="18">
        <v>13.5677269404465</v>
      </c>
      <c r="AD358" s="18">
        <v>13.5677269404465</v>
      </c>
      <c r="AE358" s="18">
        <v>13.5677269404465</v>
      </c>
    </row>
    <row r="359" spans="1:31" x14ac:dyDescent="0.45">
      <c r="A359" s="28" t="s">
        <v>1249</v>
      </c>
      <c r="B359" s="5" t="s">
        <v>67</v>
      </c>
      <c r="C359" s="5" t="s">
        <v>113</v>
      </c>
      <c r="D359" s="5">
        <v>1</v>
      </c>
      <c r="E359" s="5" t="s">
        <v>1160</v>
      </c>
      <c r="K359" s="18">
        <f>INDEX(Mitigation_Industry!K:K,MATCH($A359,Mitigation_Industry!$H:$H,0))</f>
        <v>15.3345505293169</v>
      </c>
      <c r="L359" s="18">
        <f>INDEX(Mitigation_Industry!L:L,MATCH($A359,Mitigation_Industry!$H:$H,0))</f>
        <v>14.199528390634899</v>
      </c>
      <c r="M359" s="18">
        <f>INDEX(Mitigation_Industry!M:M,MATCH($A359,Mitigation_Industry!$H:$H,0))</f>
        <v>13.8404416133152</v>
      </c>
      <c r="N359" s="18">
        <f>INDEX(Mitigation_Industry!N:N,MATCH($A359,Mitigation_Industry!$H:$H,0))</f>
        <v>13.5677269404465</v>
      </c>
      <c r="O359" s="18">
        <f>INDEX(Mitigation_Industry!O:O,MATCH($A359,Mitigation_Industry!$H:$H,0))</f>
        <v>13.5677269404465</v>
      </c>
      <c r="P359" s="18">
        <f>INDEX(Mitigation_Industry!P:P,MATCH($A359,Mitigation_Industry!$H:$H,0))</f>
        <v>13.5677269404465</v>
      </c>
      <c r="Q359" s="18">
        <f>INDEX(Mitigation_Industry!Q:Q,MATCH($A359,Mitigation_Industry!$H:$H,0))</f>
        <v>13.5677269404465</v>
      </c>
      <c r="R359" s="18">
        <f>INDEX(Mitigation_Industry!R:R,MATCH($A359,Mitigation_Industry!$H:$H,0))</f>
        <v>13.5677269404465</v>
      </c>
      <c r="S359" s="18">
        <f>INDEX(Mitigation_Industry!S:S,MATCH($A359,Mitigation_Industry!$H:$H,0))</f>
        <v>13.5677269404465</v>
      </c>
      <c r="T359" s="18">
        <f>INDEX(Mitigation_Industry!T:T,MATCH($A359,Mitigation_Industry!$H:$H,0))</f>
        <v>13.5677269404465</v>
      </c>
      <c r="U359" s="18">
        <f>INDEX(Mitigation_Industry!U:U,MATCH($A359,Mitigation_Industry!$H:$H,0))</f>
        <v>13.5677269404465</v>
      </c>
      <c r="V359" s="18">
        <f>INDEX(Mitigation_Industry!V:V,MATCH($A359,Mitigation_Industry!$H:$H,0))</f>
        <v>13.5677269404465</v>
      </c>
      <c r="W359" s="18">
        <f>INDEX(Mitigation_Industry!W:W,MATCH($A359,Mitigation_Industry!$H:$H,0))</f>
        <v>13.5677269404465</v>
      </c>
      <c r="X359" s="18">
        <f>INDEX(Mitigation_Industry!X:X,MATCH($A359,Mitigation_Industry!$H:$H,0))</f>
        <v>13.5677269404465</v>
      </c>
      <c r="Y359" s="18">
        <f>INDEX(Mitigation_Industry!Y:Y,MATCH($A359,Mitigation_Industry!$H:$H,0))</f>
        <v>13.5677269404465</v>
      </c>
      <c r="Z359" s="18">
        <f>INDEX(Mitigation_Industry!Z:Z,MATCH($A359,Mitigation_Industry!$H:$H,0))</f>
        <v>13.5677269404465</v>
      </c>
      <c r="AA359" s="18">
        <f>INDEX(Mitigation_Industry!AA:AA,MATCH($A359,Mitigation_Industry!$H:$H,0))</f>
        <v>13.5677269404465</v>
      </c>
      <c r="AB359" s="18">
        <f>INDEX(Mitigation_Industry!AB:AB,MATCH($A359,Mitigation_Industry!$H:$H,0))</f>
        <v>13.5677269404465</v>
      </c>
      <c r="AC359" s="18">
        <f>INDEX(Mitigation_Industry!AC:AC,MATCH($A359,Mitigation_Industry!$H:$H,0))</f>
        <v>13.5677269404465</v>
      </c>
      <c r="AD359" s="18">
        <f>INDEX(Mitigation_Industry!AD:AD,MATCH($A359,Mitigation_Industry!$H:$H,0))</f>
        <v>13.5677269404465</v>
      </c>
      <c r="AE359" s="18">
        <f>INDEX(Mitigation_Industry!AE:AE,MATCH($A359,Mitigation_Industry!$H:$H,0))</f>
        <v>13.5677269404465</v>
      </c>
    </row>
    <row r="360" spans="1:31" x14ac:dyDescent="0.45">
      <c r="A360" s="28" t="s">
        <v>1249</v>
      </c>
      <c r="B360" s="5" t="s">
        <v>67</v>
      </c>
      <c r="C360" s="5" t="s">
        <v>113</v>
      </c>
      <c r="D360" s="5">
        <v>1</v>
      </c>
      <c r="E360" s="2" t="s">
        <v>1161</v>
      </c>
      <c r="F360" s="31">
        <f>MAX(MAX(L360:AE360),-MIN(L360:AE360))</f>
        <v>0</v>
      </c>
      <c r="K360" s="32">
        <f t="shared" ref="K360:AE360" si="88">IF(ISNUMBER(K358),IF(ISNUMBER(K359),K359-K358,999999),0)</f>
        <v>0</v>
      </c>
      <c r="L360" s="32">
        <f t="shared" si="88"/>
        <v>0</v>
      </c>
      <c r="M360" s="32">
        <f t="shared" si="88"/>
        <v>0</v>
      </c>
      <c r="N360" s="32">
        <f t="shared" si="88"/>
        <v>0</v>
      </c>
      <c r="O360" s="32">
        <f t="shared" si="88"/>
        <v>0</v>
      </c>
      <c r="P360" s="32">
        <f t="shared" si="88"/>
        <v>0</v>
      </c>
      <c r="Q360" s="32">
        <f t="shared" si="88"/>
        <v>0</v>
      </c>
      <c r="R360" s="32">
        <f t="shared" si="88"/>
        <v>0</v>
      </c>
      <c r="S360" s="32">
        <f t="shared" si="88"/>
        <v>0</v>
      </c>
      <c r="T360" s="32">
        <f t="shared" si="88"/>
        <v>0</v>
      </c>
      <c r="U360" s="32">
        <f t="shared" si="88"/>
        <v>0</v>
      </c>
      <c r="V360" s="32">
        <f t="shared" si="88"/>
        <v>0</v>
      </c>
      <c r="W360" s="32">
        <f t="shared" si="88"/>
        <v>0</v>
      </c>
      <c r="X360" s="32">
        <f t="shared" si="88"/>
        <v>0</v>
      </c>
      <c r="Y360" s="32">
        <f t="shared" si="88"/>
        <v>0</v>
      </c>
      <c r="Z360" s="32">
        <f t="shared" si="88"/>
        <v>0</v>
      </c>
      <c r="AA360" s="32">
        <f t="shared" si="88"/>
        <v>0</v>
      </c>
      <c r="AB360" s="32">
        <f t="shared" si="88"/>
        <v>0</v>
      </c>
      <c r="AC360" s="32">
        <f t="shared" si="88"/>
        <v>0</v>
      </c>
      <c r="AD360" s="32">
        <f t="shared" si="88"/>
        <v>0</v>
      </c>
      <c r="AE360" s="32">
        <f t="shared" si="88"/>
        <v>0</v>
      </c>
    </row>
    <row r="362" spans="1:31" x14ac:dyDescent="0.45">
      <c r="A362" s="28" t="s">
        <v>1250</v>
      </c>
      <c r="B362" s="5" t="s">
        <v>69</v>
      </c>
      <c r="C362" s="5" t="s">
        <v>113</v>
      </c>
      <c r="D362" s="5">
        <v>1</v>
      </c>
      <c r="E362" s="5" t="s">
        <v>1159</v>
      </c>
      <c r="K362" s="18"/>
      <c r="L362" s="18">
        <v>0.14404498679319799</v>
      </c>
      <c r="M362" s="18">
        <v>0.14102040965700399</v>
      </c>
      <c r="N362" s="18">
        <v>0.13511635959447599</v>
      </c>
      <c r="O362" s="18">
        <v>0.13098825698585601</v>
      </c>
      <c r="P362" s="18">
        <v>0.12790841608631801</v>
      </c>
      <c r="Q362" s="18">
        <v>0.124814310557813</v>
      </c>
      <c r="R362" s="18">
        <v>0.121460257122878</v>
      </c>
      <c r="S362" s="18">
        <v>0.117950744135786</v>
      </c>
      <c r="T362" s="18">
        <v>0.114199161044597</v>
      </c>
      <c r="U362" s="18">
        <v>0.113665100059665</v>
      </c>
      <c r="V362" s="18">
        <v>0.113016929625957</v>
      </c>
      <c r="W362" s="18">
        <v>0.112314070507636</v>
      </c>
      <c r="X362" s="18">
        <v>0.11142204273284299</v>
      </c>
      <c r="Y362" s="18">
        <v>0.110434123675809</v>
      </c>
      <c r="Z362" s="18">
        <v>0.109483973304471</v>
      </c>
      <c r="AA362" s="18">
        <v>0.10839192105294</v>
      </c>
      <c r="AB362" s="18">
        <v>0.10735443362670399</v>
      </c>
      <c r="AC362" s="18">
        <v>0.105168675441661</v>
      </c>
      <c r="AD362" s="18">
        <v>0.103057983256008</v>
      </c>
      <c r="AE362" s="18">
        <v>0.100931838990114</v>
      </c>
    </row>
    <row r="363" spans="1:31" x14ac:dyDescent="0.45">
      <c r="A363" s="28" t="s">
        <v>1250</v>
      </c>
      <c r="B363" s="5" t="s">
        <v>69</v>
      </c>
      <c r="C363" s="5" t="s">
        <v>113</v>
      </c>
      <c r="D363" s="5">
        <v>1</v>
      </c>
      <c r="E363" s="5" t="s">
        <v>1160</v>
      </c>
      <c r="K363" s="18">
        <f>INDEX(Mitigation_Industry!K:K,MATCH($A363,Mitigation_Industry!$H:$H,0))</f>
        <v>0</v>
      </c>
      <c r="L363" s="18">
        <f>INDEX(Mitigation_Industry!L:L,MATCH($A363,Mitigation_Industry!$H:$H,0))</f>
        <v>0.14404498679319799</v>
      </c>
      <c r="M363" s="18">
        <f>INDEX(Mitigation_Industry!M:M,MATCH($A363,Mitigation_Industry!$H:$H,0))</f>
        <v>0.14102040965700399</v>
      </c>
      <c r="N363" s="18">
        <f>INDEX(Mitigation_Industry!N:N,MATCH($A363,Mitigation_Industry!$H:$H,0))</f>
        <v>0.13511635959447599</v>
      </c>
      <c r="O363" s="18">
        <f>INDEX(Mitigation_Industry!O:O,MATCH($A363,Mitigation_Industry!$H:$H,0))</f>
        <v>0.13098825698585601</v>
      </c>
      <c r="P363" s="18">
        <f>INDEX(Mitigation_Industry!P:P,MATCH($A363,Mitigation_Industry!$H:$H,0))</f>
        <v>0.12790841608631801</v>
      </c>
      <c r="Q363" s="18">
        <f>INDEX(Mitigation_Industry!Q:Q,MATCH($A363,Mitigation_Industry!$H:$H,0))</f>
        <v>0.124814310557813</v>
      </c>
      <c r="R363" s="18">
        <f>INDEX(Mitigation_Industry!R:R,MATCH($A363,Mitigation_Industry!$H:$H,0))</f>
        <v>0.121460257122878</v>
      </c>
      <c r="S363" s="18">
        <f>INDEX(Mitigation_Industry!S:S,MATCH($A363,Mitigation_Industry!$H:$H,0))</f>
        <v>0.117950744135786</v>
      </c>
      <c r="T363" s="18">
        <f>INDEX(Mitigation_Industry!T:T,MATCH($A363,Mitigation_Industry!$H:$H,0))</f>
        <v>0.114199161044597</v>
      </c>
      <c r="U363" s="18">
        <f>INDEX(Mitigation_Industry!U:U,MATCH($A363,Mitigation_Industry!$H:$H,0))</f>
        <v>0.113665100059665</v>
      </c>
      <c r="V363" s="18">
        <f>INDEX(Mitigation_Industry!V:V,MATCH($A363,Mitigation_Industry!$H:$H,0))</f>
        <v>0.113016929625957</v>
      </c>
      <c r="W363" s="18">
        <f>INDEX(Mitigation_Industry!W:W,MATCH($A363,Mitigation_Industry!$H:$H,0))</f>
        <v>0.112314070507636</v>
      </c>
      <c r="X363" s="18">
        <f>INDEX(Mitigation_Industry!X:X,MATCH($A363,Mitigation_Industry!$H:$H,0))</f>
        <v>0.11142204273284299</v>
      </c>
      <c r="Y363" s="18">
        <f>INDEX(Mitigation_Industry!Y:Y,MATCH($A363,Mitigation_Industry!$H:$H,0))</f>
        <v>0.110434123675809</v>
      </c>
      <c r="Z363" s="18">
        <f>INDEX(Mitigation_Industry!Z:Z,MATCH($A363,Mitigation_Industry!$H:$H,0))</f>
        <v>0.109483973304471</v>
      </c>
      <c r="AA363" s="18">
        <f>INDEX(Mitigation_Industry!AA:AA,MATCH($A363,Mitigation_Industry!$H:$H,0))</f>
        <v>0.10839192105294</v>
      </c>
      <c r="AB363" s="18">
        <f>INDEX(Mitigation_Industry!AB:AB,MATCH($A363,Mitigation_Industry!$H:$H,0))</f>
        <v>0.10735443362670399</v>
      </c>
      <c r="AC363" s="18">
        <f>INDEX(Mitigation_Industry!AC:AC,MATCH($A363,Mitigation_Industry!$H:$H,0))</f>
        <v>0.105168675441661</v>
      </c>
      <c r="AD363" s="18">
        <f>INDEX(Mitigation_Industry!AD:AD,MATCH($A363,Mitigation_Industry!$H:$H,0))</f>
        <v>0.103057983256008</v>
      </c>
      <c r="AE363" s="18">
        <f>INDEX(Mitigation_Industry!AE:AE,MATCH($A363,Mitigation_Industry!$H:$H,0))</f>
        <v>0.100931838990114</v>
      </c>
    </row>
    <row r="364" spans="1:31" x14ac:dyDescent="0.45">
      <c r="A364" s="28" t="s">
        <v>1250</v>
      </c>
      <c r="B364" s="5" t="s">
        <v>69</v>
      </c>
      <c r="C364" s="5" t="s">
        <v>113</v>
      </c>
      <c r="D364" s="5">
        <v>1</v>
      </c>
      <c r="E364" s="2" t="s">
        <v>1161</v>
      </c>
      <c r="F364" s="31">
        <f>MAX(MAX(L364:AE364),-MIN(L364:AE364))</f>
        <v>0</v>
      </c>
      <c r="K364" s="32">
        <f t="shared" ref="K364:AE364" si="89">IF(ISNUMBER(K362),IF(ISNUMBER(K363),K363-K362,999999),0)</f>
        <v>0</v>
      </c>
      <c r="L364" s="32">
        <f t="shared" si="89"/>
        <v>0</v>
      </c>
      <c r="M364" s="32">
        <f t="shared" si="89"/>
        <v>0</v>
      </c>
      <c r="N364" s="32">
        <f t="shared" si="89"/>
        <v>0</v>
      </c>
      <c r="O364" s="32">
        <f t="shared" si="89"/>
        <v>0</v>
      </c>
      <c r="P364" s="32">
        <f t="shared" si="89"/>
        <v>0</v>
      </c>
      <c r="Q364" s="32">
        <f t="shared" si="89"/>
        <v>0</v>
      </c>
      <c r="R364" s="32">
        <f t="shared" si="89"/>
        <v>0</v>
      </c>
      <c r="S364" s="32">
        <f t="shared" si="89"/>
        <v>0</v>
      </c>
      <c r="T364" s="32">
        <f t="shared" si="89"/>
        <v>0</v>
      </c>
      <c r="U364" s="32">
        <f t="shared" si="89"/>
        <v>0</v>
      </c>
      <c r="V364" s="32">
        <f t="shared" si="89"/>
        <v>0</v>
      </c>
      <c r="W364" s="32">
        <f t="shared" si="89"/>
        <v>0</v>
      </c>
      <c r="X364" s="32">
        <f t="shared" si="89"/>
        <v>0</v>
      </c>
      <c r="Y364" s="32">
        <f t="shared" si="89"/>
        <v>0</v>
      </c>
      <c r="Z364" s="32">
        <f t="shared" si="89"/>
        <v>0</v>
      </c>
      <c r="AA364" s="32">
        <f t="shared" si="89"/>
        <v>0</v>
      </c>
      <c r="AB364" s="32">
        <f t="shared" si="89"/>
        <v>0</v>
      </c>
      <c r="AC364" s="32">
        <f t="shared" si="89"/>
        <v>0</v>
      </c>
      <c r="AD364" s="32">
        <f t="shared" si="89"/>
        <v>0</v>
      </c>
      <c r="AE364" s="32">
        <f t="shared" si="89"/>
        <v>0</v>
      </c>
    </row>
    <row r="366" spans="1:31" x14ac:dyDescent="0.45">
      <c r="A366" s="28" t="s">
        <v>1251</v>
      </c>
      <c r="B366" s="5" t="s">
        <v>49</v>
      </c>
      <c r="C366" s="5" t="s">
        <v>115</v>
      </c>
      <c r="D366" s="5">
        <v>1</v>
      </c>
      <c r="E366" s="5" t="s">
        <v>1159</v>
      </c>
      <c r="K366" s="18"/>
      <c r="L366" s="18">
        <v>10.5233613454312</v>
      </c>
      <c r="M366" s="18">
        <v>10.2995608274442</v>
      </c>
      <c r="N366" s="18">
        <v>9.5775283595382597</v>
      </c>
      <c r="O366" s="18">
        <v>8.4854782869580507</v>
      </c>
      <c r="P366" s="18">
        <v>9.0871922352498604</v>
      </c>
      <c r="Q366" s="18">
        <v>9.2229237289326793</v>
      </c>
      <c r="R366" s="18">
        <v>9.1585649555096893</v>
      </c>
      <c r="S366" s="18">
        <v>9.0895478773973792</v>
      </c>
      <c r="T366" s="18">
        <v>9.0156816660228305</v>
      </c>
      <c r="U366" s="18">
        <v>8.9443977655571096</v>
      </c>
      <c r="V366" s="18">
        <v>8.9443977655571096</v>
      </c>
      <c r="W366" s="18">
        <v>8.9443977655571096</v>
      </c>
      <c r="X366" s="18">
        <v>8.9443977655571096</v>
      </c>
      <c r="Y366" s="18">
        <v>8.9443977655571096</v>
      </c>
      <c r="Z366" s="18">
        <v>8.9443977655571096</v>
      </c>
      <c r="AA366" s="18">
        <v>8.9443977655571096</v>
      </c>
      <c r="AB366" s="18">
        <v>8.9443977655571096</v>
      </c>
      <c r="AC366" s="18">
        <v>8.9443977655571096</v>
      </c>
      <c r="AD366" s="18">
        <v>8.9443977655571096</v>
      </c>
      <c r="AE366" s="18">
        <v>8.9443977655571096</v>
      </c>
    </row>
    <row r="367" spans="1:31" x14ac:dyDescent="0.45">
      <c r="A367" s="28" t="s">
        <v>1251</v>
      </c>
      <c r="B367" s="5" t="s">
        <v>49</v>
      </c>
      <c r="C367" s="5" t="s">
        <v>115</v>
      </c>
      <c r="D367" s="5">
        <v>1</v>
      </c>
      <c r="E367" s="5" t="s">
        <v>1160</v>
      </c>
      <c r="K367" s="18">
        <f>INDEX(Mitigation_Industry!K:K,MATCH($A367,Mitigation_Industry!$H:$H,0))</f>
        <v>11.182901589243899</v>
      </c>
      <c r="L367" s="18">
        <f>INDEX(Mitigation_Industry!L:L,MATCH($A367,Mitigation_Industry!$H:$H,0))</f>
        <v>10.5233613454312</v>
      </c>
      <c r="M367" s="18">
        <f>INDEX(Mitigation_Industry!M:M,MATCH($A367,Mitigation_Industry!$H:$H,0))</f>
        <v>10.2995608274442</v>
      </c>
      <c r="N367" s="18">
        <f>INDEX(Mitigation_Industry!N:N,MATCH($A367,Mitigation_Industry!$H:$H,0))</f>
        <v>9.5775283595382597</v>
      </c>
      <c r="O367" s="18">
        <f>INDEX(Mitigation_Industry!O:O,MATCH($A367,Mitigation_Industry!$H:$H,0))</f>
        <v>8.4854782869580507</v>
      </c>
      <c r="P367" s="18">
        <f>INDEX(Mitigation_Industry!P:P,MATCH($A367,Mitigation_Industry!$H:$H,0))</f>
        <v>9.0871922352498604</v>
      </c>
      <c r="Q367" s="18">
        <f>INDEX(Mitigation_Industry!Q:Q,MATCH($A367,Mitigation_Industry!$H:$H,0))</f>
        <v>9.2229237289326793</v>
      </c>
      <c r="R367" s="18">
        <f>INDEX(Mitigation_Industry!R:R,MATCH($A367,Mitigation_Industry!$H:$H,0))</f>
        <v>9.1585649555096893</v>
      </c>
      <c r="S367" s="18">
        <f>INDEX(Mitigation_Industry!S:S,MATCH($A367,Mitigation_Industry!$H:$H,0))</f>
        <v>9.0895478773973792</v>
      </c>
      <c r="T367" s="18">
        <f>INDEX(Mitigation_Industry!T:T,MATCH($A367,Mitigation_Industry!$H:$H,0))</f>
        <v>9.0156816660228305</v>
      </c>
      <c r="U367" s="18">
        <f>INDEX(Mitigation_Industry!U:U,MATCH($A367,Mitigation_Industry!$H:$H,0))</f>
        <v>8.9443977655571096</v>
      </c>
      <c r="V367" s="18">
        <f>INDEX(Mitigation_Industry!V:V,MATCH($A367,Mitigation_Industry!$H:$H,0))</f>
        <v>8.9443977655571096</v>
      </c>
      <c r="W367" s="18">
        <f>INDEX(Mitigation_Industry!W:W,MATCH($A367,Mitigation_Industry!$H:$H,0))</f>
        <v>8.9443977655571096</v>
      </c>
      <c r="X367" s="18">
        <f>INDEX(Mitigation_Industry!X:X,MATCH($A367,Mitigation_Industry!$H:$H,0))</f>
        <v>8.9443977655571096</v>
      </c>
      <c r="Y367" s="18">
        <f>INDEX(Mitigation_Industry!Y:Y,MATCH($A367,Mitigation_Industry!$H:$H,0))</f>
        <v>8.9443977655571096</v>
      </c>
      <c r="Z367" s="18">
        <f>INDEX(Mitigation_Industry!Z:Z,MATCH($A367,Mitigation_Industry!$H:$H,0))</f>
        <v>8.9443977655571096</v>
      </c>
      <c r="AA367" s="18">
        <f>INDEX(Mitigation_Industry!AA:AA,MATCH($A367,Mitigation_Industry!$H:$H,0))</f>
        <v>8.9443977655571096</v>
      </c>
      <c r="AB367" s="18">
        <f>INDEX(Mitigation_Industry!AB:AB,MATCH($A367,Mitigation_Industry!$H:$H,0))</f>
        <v>8.9443977655571096</v>
      </c>
      <c r="AC367" s="18">
        <f>INDEX(Mitigation_Industry!AC:AC,MATCH($A367,Mitigation_Industry!$H:$H,0))</f>
        <v>8.9443977655571096</v>
      </c>
      <c r="AD367" s="18">
        <f>INDEX(Mitigation_Industry!AD:AD,MATCH($A367,Mitigation_Industry!$H:$H,0))</f>
        <v>8.9443977655571096</v>
      </c>
      <c r="AE367" s="18">
        <f>INDEX(Mitigation_Industry!AE:AE,MATCH($A367,Mitigation_Industry!$H:$H,0))</f>
        <v>8.9443977655571096</v>
      </c>
    </row>
    <row r="368" spans="1:31" x14ac:dyDescent="0.45">
      <c r="A368" s="28" t="s">
        <v>1251</v>
      </c>
      <c r="B368" s="5" t="s">
        <v>49</v>
      </c>
      <c r="C368" s="5" t="s">
        <v>115</v>
      </c>
      <c r="D368" s="5">
        <v>1</v>
      </c>
      <c r="E368" s="2" t="s">
        <v>1161</v>
      </c>
      <c r="F368" s="31">
        <f>MAX(MAX(L368:AE368),-MIN(L368:AE368))</f>
        <v>0</v>
      </c>
      <c r="K368" s="32">
        <f t="shared" ref="K368:AE368" si="90">IF(ISNUMBER(K366),IF(ISNUMBER(K367),K367-K366,999999),0)</f>
        <v>0</v>
      </c>
      <c r="L368" s="32">
        <f t="shared" si="90"/>
        <v>0</v>
      </c>
      <c r="M368" s="32">
        <f t="shared" si="90"/>
        <v>0</v>
      </c>
      <c r="N368" s="32">
        <f t="shared" si="90"/>
        <v>0</v>
      </c>
      <c r="O368" s="32">
        <f t="shared" si="90"/>
        <v>0</v>
      </c>
      <c r="P368" s="32">
        <f t="shared" si="90"/>
        <v>0</v>
      </c>
      <c r="Q368" s="32">
        <f t="shared" si="90"/>
        <v>0</v>
      </c>
      <c r="R368" s="32">
        <f t="shared" si="90"/>
        <v>0</v>
      </c>
      <c r="S368" s="32">
        <f t="shared" si="90"/>
        <v>0</v>
      </c>
      <c r="T368" s="32">
        <f t="shared" si="90"/>
        <v>0</v>
      </c>
      <c r="U368" s="32">
        <f t="shared" si="90"/>
        <v>0</v>
      </c>
      <c r="V368" s="32">
        <f t="shared" si="90"/>
        <v>0</v>
      </c>
      <c r="W368" s="32">
        <f t="shared" si="90"/>
        <v>0</v>
      </c>
      <c r="X368" s="32">
        <f t="shared" si="90"/>
        <v>0</v>
      </c>
      <c r="Y368" s="32">
        <f t="shared" si="90"/>
        <v>0</v>
      </c>
      <c r="Z368" s="32">
        <f t="shared" si="90"/>
        <v>0</v>
      </c>
      <c r="AA368" s="32">
        <f t="shared" si="90"/>
        <v>0</v>
      </c>
      <c r="AB368" s="32">
        <f t="shared" si="90"/>
        <v>0</v>
      </c>
      <c r="AC368" s="32">
        <f t="shared" si="90"/>
        <v>0</v>
      </c>
      <c r="AD368" s="32">
        <f t="shared" si="90"/>
        <v>0</v>
      </c>
      <c r="AE368" s="32">
        <f t="shared" si="90"/>
        <v>0</v>
      </c>
    </row>
    <row r="370" spans="1:31" x14ac:dyDescent="0.45">
      <c r="A370" s="28" t="s">
        <v>1252</v>
      </c>
      <c r="B370" s="5" t="s">
        <v>53</v>
      </c>
      <c r="C370" s="5" t="s">
        <v>115</v>
      </c>
      <c r="D370" s="5">
        <v>1</v>
      </c>
      <c r="E370" s="5" t="s">
        <v>1159</v>
      </c>
      <c r="K370" s="18"/>
      <c r="L370" s="18">
        <v>5.4510150816191896</v>
      </c>
      <c r="M370" s="18">
        <v>5.1193563062624801</v>
      </c>
      <c r="N370" s="18">
        <v>5.08218458640407</v>
      </c>
      <c r="O370" s="18">
        <v>5.08218458640407</v>
      </c>
      <c r="P370" s="18">
        <v>5.08218458640407</v>
      </c>
      <c r="Q370" s="18">
        <v>5.08218458640407</v>
      </c>
      <c r="R370" s="18">
        <v>5.08218458640407</v>
      </c>
      <c r="S370" s="18">
        <v>5.08218458640407</v>
      </c>
      <c r="T370" s="18">
        <v>5.08218458640407</v>
      </c>
      <c r="U370" s="18">
        <v>5.08218458640407</v>
      </c>
      <c r="V370" s="18">
        <v>5.08218458640407</v>
      </c>
      <c r="W370" s="18">
        <v>5.08218458640407</v>
      </c>
      <c r="X370" s="18">
        <v>5.08218458640407</v>
      </c>
      <c r="Y370" s="18">
        <v>5.08218458640407</v>
      </c>
      <c r="Z370" s="18">
        <v>5.08218458640407</v>
      </c>
      <c r="AA370" s="18">
        <v>5.08218458640407</v>
      </c>
      <c r="AB370" s="18">
        <v>5.08218458640407</v>
      </c>
      <c r="AC370" s="18">
        <v>5.08218458640407</v>
      </c>
      <c r="AD370" s="18">
        <v>5.08218458640407</v>
      </c>
      <c r="AE370" s="18">
        <v>5.08218458640407</v>
      </c>
    </row>
    <row r="371" spans="1:31" x14ac:dyDescent="0.45">
      <c r="A371" s="28" t="s">
        <v>1252</v>
      </c>
      <c r="B371" s="5" t="s">
        <v>53</v>
      </c>
      <c r="C371" s="5" t="s">
        <v>115</v>
      </c>
      <c r="D371" s="5">
        <v>1</v>
      </c>
      <c r="E371" s="5" t="s">
        <v>1160</v>
      </c>
      <c r="K371" s="18">
        <f>INDEX(Mitigation_Industry!K:K,MATCH($A371,Mitigation_Industry!$H:$H,0))</f>
        <v>6.0634636156729096</v>
      </c>
      <c r="L371" s="18">
        <f>INDEX(Mitigation_Industry!L:L,MATCH($A371,Mitigation_Industry!$H:$H,0))</f>
        <v>5.4510150816191896</v>
      </c>
      <c r="M371" s="18">
        <f>INDEX(Mitigation_Industry!M:M,MATCH($A371,Mitigation_Industry!$H:$H,0))</f>
        <v>5.1193563062624801</v>
      </c>
      <c r="N371" s="18">
        <f>INDEX(Mitigation_Industry!N:N,MATCH($A371,Mitigation_Industry!$H:$H,0))</f>
        <v>5.08218458640407</v>
      </c>
      <c r="O371" s="18">
        <f>INDEX(Mitigation_Industry!O:O,MATCH($A371,Mitigation_Industry!$H:$H,0))</f>
        <v>5.08218458640407</v>
      </c>
      <c r="P371" s="18">
        <f>INDEX(Mitigation_Industry!P:P,MATCH($A371,Mitigation_Industry!$H:$H,0))</f>
        <v>5.08218458640407</v>
      </c>
      <c r="Q371" s="18">
        <f>INDEX(Mitigation_Industry!Q:Q,MATCH($A371,Mitigation_Industry!$H:$H,0))</f>
        <v>5.08218458640407</v>
      </c>
      <c r="R371" s="18">
        <f>INDEX(Mitigation_Industry!R:R,MATCH($A371,Mitigation_Industry!$H:$H,0))</f>
        <v>5.08218458640407</v>
      </c>
      <c r="S371" s="18">
        <f>INDEX(Mitigation_Industry!S:S,MATCH($A371,Mitigation_Industry!$H:$H,0))</f>
        <v>5.08218458640407</v>
      </c>
      <c r="T371" s="18">
        <f>INDEX(Mitigation_Industry!T:T,MATCH($A371,Mitigation_Industry!$H:$H,0))</f>
        <v>5.08218458640407</v>
      </c>
      <c r="U371" s="18">
        <f>INDEX(Mitigation_Industry!U:U,MATCH($A371,Mitigation_Industry!$H:$H,0))</f>
        <v>5.08218458640407</v>
      </c>
      <c r="V371" s="18">
        <f>INDEX(Mitigation_Industry!V:V,MATCH($A371,Mitigation_Industry!$H:$H,0))</f>
        <v>5.08218458640407</v>
      </c>
      <c r="W371" s="18">
        <f>INDEX(Mitigation_Industry!W:W,MATCH($A371,Mitigation_Industry!$H:$H,0))</f>
        <v>5.08218458640407</v>
      </c>
      <c r="X371" s="18">
        <f>INDEX(Mitigation_Industry!X:X,MATCH($A371,Mitigation_Industry!$H:$H,0))</f>
        <v>5.08218458640407</v>
      </c>
      <c r="Y371" s="18">
        <f>INDEX(Mitigation_Industry!Y:Y,MATCH($A371,Mitigation_Industry!$H:$H,0))</f>
        <v>5.08218458640407</v>
      </c>
      <c r="Z371" s="18">
        <f>INDEX(Mitigation_Industry!Z:Z,MATCH($A371,Mitigation_Industry!$H:$H,0))</f>
        <v>5.08218458640407</v>
      </c>
      <c r="AA371" s="18">
        <f>INDEX(Mitigation_Industry!AA:AA,MATCH($A371,Mitigation_Industry!$H:$H,0))</f>
        <v>5.08218458640407</v>
      </c>
      <c r="AB371" s="18">
        <f>INDEX(Mitigation_Industry!AB:AB,MATCH($A371,Mitigation_Industry!$H:$H,0))</f>
        <v>5.08218458640407</v>
      </c>
      <c r="AC371" s="18">
        <f>INDEX(Mitigation_Industry!AC:AC,MATCH($A371,Mitigation_Industry!$H:$H,0))</f>
        <v>5.08218458640407</v>
      </c>
      <c r="AD371" s="18">
        <f>INDEX(Mitigation_Industry!AD:AD,MATCH($A371,Mitigation_Industry!$H:$H,0))</f>
        <v>5.08218458640407</v>
      </c>
      <c r="AE371" s="18">
        <f>INDEX(Mitigation_Industry!AE:AE,MATCH($A371,Mitigation_Industry!$H:$H,0))</f>
        <v>5.08218458640407</v>
      </c>
    </row>
    <row r="372" spans="1:31" x14ac:dyDescent="0.45">
      <c r="A372" s="28" t="s">
        <v>1252</v>
      </c>
      <c r="B372" s="5" t="s">
        <v>53</v>
      </c>
      <c r="C372" s="5" t="s">
        <v>115</v>
      </c>
      <c r="D372" s="5">
        <v>1</v>
      </c>
      <c r="E372" s="2" t="s">
        <v>1161</v>
      </c>
      <c r="F372" s="31">
        <f>MAX(MAX(L372:AE372),-MIN(L372:AE372))</f>
        <v>0</v>
      </c>
      <c r="K372" s="32">
        <f t="shared" ref="K372:AE372" si="91">IF(ISNUMBER(K370),IF(ISNUMBER(K371),K371-K370,999999),0)</f>
        <v>0</v>
      </c>
      <c r="L372" s="32">
        <f t="shared" si="91"/>
        <v>0</v>
      </c>
      <c r="M372" s="32">
        <f t="shared" si="91"/>
        <v>0</v>
      </c>
      <c r="N372" s="32">
        <f t="shared" si="91"/>
        <v>0</v>
      </c>
      <c r="O372" s="32">
        <f t="shared" si="91"/>
        <v>0</v>
      </c>
      <c r="P372" s="32">
        <f t="shared" si="91"/>
        <v>0</v>
      </c>
      <c r="Q372" s="32">
        <f t="shared" si="91"/>
        <v>0</v>
      </c>
      <c r="R372" s="32">
        <f t="shared" si="91"/>
        <v>0</v>
      </c>
      <c r="S372" s="32">
        <f t="shared" si="91"/>
        <v>0</v>
      </c>
      <c r="T372" s="32">
        <f t="shared" si="91"/>
        <v>0</v>
      </c>
      <c r="U372" s="32">
        <f t="shared" si="91"/>
        <v>0</v>
      </c>
      <c r="V372" s="32">
        <f t="shared" si="91"/>
        <v>0</v>
      </c>
      <c r="W372" s="32">
        <f t="shared" si="91"/>
        <v>0</v>
      </c>
      <c r="X372" s="32">
        <f t="shared" si="91"/>
        <v>0</v>
      </c>
      <c r="Y372" s="32">
        <f t="shared" si="91"/>
        <v>0</v>
      </c>
      <c r="Z372" s="32">
        <f t="shared" si="91"/>
        <v>0</v>
      </c>
      <c r="AA372" s="32">
        <f t="shared" si="91"/>
        <v>0</v>
      </c>
      <c r="AB372" s="32">
        <f t="shared" si="91"/>
        <v>0</v>
      </c>
      <c r="AC372" s="32">
        <f t="shared" si="91"/>
        <v>0</v>
      </c>
      <c r="AD372" s="32">
        <f t="shared" si="91"/>
        <v>0</v>
      </c>
      <c r="AE372" s="32">
        <f t="shared" si="91"/>
        <v>0</v>
      </c>
    </row>
    <row r="374" spans="1:31" x14ac:dyDescent="0.45">
      <c r="A374" s="28" t="s">
        <v>1253</v>
      </c>
      <c r="B374" s="5" t="s">
        <v>55</v>
      </c>
      <c r="C374" s="5" t="s">
        <v>115</v>
      </c>
      <c r="D374" s="5">
        <v>1</v>
      </c>
      <c r="E374" s="5" t="s">
        <v>1159</v>
      </c>
      <c r="K374" s="18"/>
      <c r="L374" s="18">
        <v>0.61197797679140598</v>
      </c>
      <c r="M374" s="18">
        <v>0.61180974964187596</v>
      </c>
      <c r="N374" s="18">
        <v>0.60358310017790595</v>
      </c>
      <c r="O374" s="18">
        <v>0.60358310017790595</v>
      </c>
      <c r="P374" s="18">
        <v>0.60358310017790595</v>
      </c>
      <c r="Q374" s="18">
        <v>0.60358310017790595</v>
      </c>
      <c r="R374" s="18">
        <v>0.60358310017790595</v>
      </c>
      <c r="S374" s="18">
        <v>0.60358310017790595</v>
      </c>
      <c r="T374" s="18">
        <v>0.60358310017790595</v>
      </c>
      <c r="U374" s="18">
        <v>0.60358310017790595</v>
      </c>
      <c r="V374" s="18">
        <v>0.60358310017790595</v>
      </c>
      <c r="W374" s="18">
        <v>0.60358310017790595</v>
      </c>
      <c r="X374" s="18">
        <v>0.60358310017790595</v>
      </c>
      <c r="Y374" s="18">
        <v>0.60358310017790595</v>
      </c>
      <c r="Z374" s="18">
        <v>0.60358310017790595</v>
      </c>
      <c r="AA374" s="18">
        <v>0.60358310017790595</v>
      </c>
      <c r="AB374" s="18">
        <v>0.60358310017790595</v>
      </c>
      <c r="AC374" s="18">
        <v>0.60358310017790595</v>
      </c>
      <c r="AD374" s="18">
        <v>0.60358310017790595</v>
      </c>
      <c r="AE374" s="18">
        <v>0.60358310017790595</v>
      </c>
    </row>
    <row r="375" spans="1:31" x14ac:dyDescent="0.45">
      <c r="A375" s="28" t="s">
        <v>1253</v>
      </c>
      <c r="B375" s="5" t="s">
        <v>55</v>
      </c>
      <c r="C375" s="5" t="s">
        <v>115</v>
      </c>
      <c r="D375" s="5">
        <v>1</v>
      </c>
      <c r="E375" s="5" t="s">
        <v>1160</v>
      </c>
      <c r="K375" s="18">
        <f>INDEX(Mitigation_Industry!K:K,MATCH($A375,Mitigation_Industry!$H:$H,0))</f>
        <v>0.67114653332181595</v>
      </c>
      <c r="L375" s="18">
        <f>INDEX(Mitigation_Industry!L:L,MATCH($A375,Mitigation_Industry!$H:$H,0))</f>
        <v>0.61197797679140598</v>
      </c>
      <c r="M375" s="18">
        <f>INDEX(Mitigation_Industry!M:M,MATCH($A375,Mitigation_Industry!$H:$H,0))</f>
        <v>0.61180974964187596</v>
      </c>
      <c r="N375" s="18">
        <f>INDEX(Mitigation_Industry!N:N,MATCH($A375,Mitigation_Industry!$H:$H,0))</f>
        <v>0.60358310017790595</v>
      </c>
      <c r="O375" s="18">
        <f>INDEX(Mitigation_Industry!O:O,MATCH($A375,Mitigation_Industry!$H:$H,0))</f>
        <v>0.60358310017790595</v>
      </c>
      <c r="P375" s="18">
        <f>INDEX(Mitigation_Industry!P:P,MATCH($A375,Mitigation_Industry!$H:$H,0))</f>
        <v>0.60358310017790595</v>
      </c>
      <c r="Q375" s="18">
        <f>INDEX(Mitigation_Industry!Q:Q,MATCH($A375,Mitigation_Industry!$H:$H,0))</f>
        <v>0.60358310017790595</v>
      </c>
      <c r="R375" s="18">
        <f>INDEX(Mitigation_Industry!R:R,MATCH($A375,Mitigation_Industry!$H:$H,0))</f>
        <v>0.60358310017790595</v>
      </c>
      <c r="S375" s="18">
        <f>INDEX(Mitigation_Industry!S:S,MATCH($A375,Mitigation_Industry!$H:$H,0))</f>
        <v>0.60358310017790595</v>
      </c>
      <c r="T375" s="18">
        <f>INDEX(Mitigation_Industry!T:T,MATCH($A375,Mitigation_Industry!$H:$H,0))</f>
        <v>0.60358310017790595</v>
      </c>
      <c r="U375" s="18">
        <f>INDEX(Mitigation_Industry!U:U,MATCH($A375,Mitigation_Industry!$H:$H,0))</f>
        <v>0.60358310017790595</v>
      </c>
      <c r="V375" s="18">
        <f>INDEX(Mitigation_Industry!V:V,MATCH($A375,Mitigation_Industry!$H:$H,0))</f>
        <v>0.60358310017790595</v>
      </c>
      <c r="W375" s="18">
        <f>INDEX(Mitigation_Industry!W:W,MATCH($A375,Mitigation_Industry!$H:$H,0))</f>
        <v>0.60358310017790595</v>
      </c>
      <c r="X375" s="18">
        <f>INDEX(Mitigation_Industry!X:X,MATCH($A375,Mitigation_Industry!$H:$H,0))</f>
        <v>0.60358310017790595</v>
      </c>
      <c r="Y375" s="18">
        <f>INDEX(Mitigation_Industry!Y:Y,MATCH($A375,Mitigation_Industry!$H:$H,0))</f>
        <v>0.60358310017790595</v>
      </c>
      <c r="Z375" s="18">
        <f>INDEX(Mitigation_Industry!Z:Z,MATCH($A375,Mitigation_Industry!$H:$H,0))</f>
        <v>0.60358310017790595</v>
      </c>
      <c r="AA375" s="18">
        <f>INDEX(Mitigation_Industry!AA:AA,MATCH($A375,Mitigation_Industry!$H:$H,0))</f>
        <v>0.60358310017790595</v>
      </c>
      <c r="AB375" s="18">
        <f>INDEX(Mitigation_Industry!AB:AB,MATCH($A375,Mitigation_Industry!$H:$H,0))</f>
        <v>0.60358310017790595</v>
      </c>
      <c r="AC375" s="18">
        <f>INDEX(Mitigation_Industry!AC:AC,MATCH($A375,Mitigation_Industry!$H:$H,0))</f>
        <v>0.60358310017790595</v>
      </c>
      <c r="AD375" s="18">
        <f>INDEX(Mitigation_Industry!AD:AD,MATCH($A375,Mitigation_Industry!$H:$H,0))</f>
        <v>0.60358310017790595</v>
      </c>
      <c r="AE375" s="18">
        <f>INDEX(Mitigation_Industry!AE:AE,MATCH($A375,Mitigation_Industry!$H:$H,0))</f>
        <v>0.60358310017790595</v>
      </c>
    </row>
    <row r="376" spans="1:31" x14ac:dyDescent="0.45">
      <c r="A376" s="28" t="s">
        <v>1253</v>
      </c>
      <c r="B376" s="5" t="s">
        <v>55</v>
      </c>
      <c r="C376" s="5" t="s">
        <v>115</v>
      </c>
      <c r="D376" s="5">
        <v>1</v>
      </c>
      <c r="E376" s="2" t="s">
        <v>1161</v>
      </c>
      <c r="F376" s="31">
        <f>MAX(MAX(L376:AE376),-MIN(L376:AE376))</f>
        <v>0</v>
      </c>
      <c r="K376" s="32">
        <f t="shared" ref="K376:AE376" si="92">IF(ISNUMBER(K374),IF(ISNUMBER(K375),K375-K374,999999),0)</f>
        <v>0</v>
      </c>
      <c r="L376" s="32">
        <f t="shared" si="92"/>
        <v>0</v>
      </c>
      <c r="M376" s="32">
        <f t="shared" si="92"/>
        <v>0</v>
      </c>
      <c r="N376" s="32">
        <f t="shared" si="92"/>
        <v>0</v>
      </c>
      <c r="O376" s="32">
        <f t="shared" si="92"/>
        <v>0</v>
      </c>
      <c r="P376" s="32">
        <f t="shared" si="92"/>
        <v>0</v>
      </c>
      <c r="Q376" s="32">
        <f t="shared" si="92"/>
        <v>0</v>
      </c>
      <c r="R376" s="32">
        <f t="shared" si="92"/>
        <v>0</v>
      </c>
      <c r="S376" s="32">
        <f t="shared" si="92"/>
        <v>0</v>
      </c>
      <c r="T376" s="32">
        <f t="shared" si="92"/>
        <v>0</v>
      </c>
      <c r="U376" s="32">
        <f t="shared" si="92"/>
        <v>0</v>
      </c>
      <c r="V376" s="32">
        <f t="shared" si="92"/>
        <v>0</v>
      </c>
      <c r="W376" s="32">
        <f t="shared" si="92"/>
        <v>0</v>
      </c>
      <c r="X376" s="32">
        <f t="shared" si="92"/>
        <v>0</v>
      </c>
      <c r="Y376" s="32">
        <f t="shared" si="92"/>
        <v>0</v>
      </c>
      <c r="Z376" s="32">
        <f t="shared" si="92"/>
        <v>0</v>
      </c>
      <c r="AA376" s="32">
        <f t="shared" si="92"/>
        <v>0</v>
      </c>
      <c r="AB376" s="32">
        <f t="shared" si="92"/>
        <v>0</v>
      </c>
      <c r="AC376" s="32">
        <f t="shared" si="92"/>
        <v>0</v>
      </c>
      <c r="AD376" s="32">
        <f t="shared" si="92"/>
        <v>0</v>
      </c>
      <c r="AE376" s="32">
        <f t="shared" si="92"/>
        <v>0</v>
      </c>
    </row>
    <row r="378" spans="1:31" x14ac:dyDescent="0.45">
      <c r="A378" s="28" t="s">
        <v>1254</v>
      </c>
      <c r="B378" s="5" t="s">
        <v>58</v>
      </c>
      <c r="C378" s="5" t="s">
        <v>115</v>
      </c>
      <c r="D378" s="5">
        <v>1</v>
      </c>
      <c r="E378" s="5" t="s">
        <v>1159</v>
      </c>
      <c r="K378" s="18"/>
      <c r="L378" s="18">
        <v>0.49458873084106802</v>
      </c>
      <c r="M378" s="18">
        <v>0.50778654720250105</v>
      </c>
      <c r="N378" s="18">
        <v>0.47043642679561698</v>
      </c>
      <c r="O378" s="18">
        <v>0.47043642679561698</v>
      </c>
      <c r="P378" s="18">
        <v>0.47043642679561698</v>
      </c>
      <c r="Q378" s="18">
        <v>0.47043642679561698</v>
      </c>
      <c r="R378" s="18">
        <v>0.47043642679561698</v>
      </c>
      <c r="S378" s="18">
        <v>0.47043642679561698</v>
      </c>
      <c r="T378" s="18">
        <v>0.47043642679561698</v>
      </c>
      <c r="U378" s="18">
        <v>0.47043642679561698</v>
      </c>
      <c r="V378" s="18">
        <v>0.47043642679561698</v>
      </c>
      <c r="W378" s="18">
        <v>0.47043642679561698</v>
      </c>
      <c r="X378" s="18">
        <v>0.47043642679561698</v>
      </c>
      <c r="Y378" s="18">
        <v>0.47043642679561698</v>
      </c>
      <c r="Z378" s="18">
        <v>0.47043642679561698</v>
      </c>
      <c r="AA378" s="18">
        <v>0.47043642679561698</v>
      </c>
      <c r="AB378" s="18">
        <v>0.47043642679561698</v>
      </c>
      <c r="AC378" s="18">
        <v>0.47043642679561698</v>
      </c>
      <c r="AD378" s="18">
        <v>0.47043642679561698</v>
      </c>
      <c r="AE378" s="18">
        <v>0.47043642679561698</v>
      </c>
    </row>
    <row r="379" spans="1:31" x14ac:dyDescent="0.45">
      <c r="A379" s="28" t="s">
        <v>1254</v>
      </c>
      <c r="B379" s="5" t="s">
        <v>58</v>
      </c>
      <c r="C379" s="5" t="s">
        <v>115</v>
      </c>
      <c r="D379" s="5">
        <v>1</v>
      </c>
      <c r="E379" s="5" t="s">
        <v>1160</v>
      </c>
      <c r="K379" s="18">
        <f>INDEX(Mitigation_Industry!K:K,MATCH($A379,Mitigation_Industry!$H:$H,0))</f>
        <v>0.55971121315568795</v>
      </c>
      <c r="L379" s="18">
        <f>INDEX(Mitigation_Industry!L:L,MATCH($A379,Mitigation_Industry!$H:$H,0))</f>
        <v>0.49458873084106802</v>
      </c>
      <c r="M379" s="18">
        <f>INDEX(Mitigation_Industry!M:M,MATCH($A379,Mitigation_Industry!$H:$H,0))</f>
        <v>0.50778654720250105</v>
      </c>
      <c r="N379" s="18">
        <f>INDEX(Mitigation_Industry!N:N,MATCH($A379,Mitigation_Industry!$H:$H,0))</f>
        <v>0.47043642679561698</v>
      </c>
      <c r="O379" s="18">
        <f>INDEX(Mitigation_Industry!O:O,MATCH($A379,Mitigation_Industry!$H:$H,0))</f>
        <v>0.47043642679561698</v>
      </c>
      <c r="P379" s="18">
        <f>INDEX(Mitigation_Industry!P:P,MATCH($A379,Mitigation_Industry!$H:$H,0))</f>
        <v>0.47043642679561698</v>
      </c>
      <c r="Q379" s="18">
        <f>INDEX(Mitigation_Industry!Q:Q,MATCH($A379,Mitigation_Industry!$H:$H,0))</f>
        <v>0.47043642679561698</v>
      </c>
      <c r="R379" s="18">
        <f>INDEX(Mitigation_Industry!R:R,MATCH($A379,Mitigation_Industry!$H:$H,0))</f>
        <v>0.47043642679561698</v>
      </c>
      <c r="S379" s="18">
        <f>INDEX(Mitigation_Industry!S:S,MATCH($A379,Mitigation_Industry!$H:$H,0))</f>
        <v>0.47043642679561698</v>
      </c>
      <c r="T379" s="18">
        <f>INDEX(Mitigation_Industry!T:T,MATCH($A379,Mitigation_Industry!$H:$H,0))</f>
        <v>0.47043642679561698</v>
      </c>
      <c r="U379" s="18">
        <f>INDEX(Mitigation_Industry!U:U,MATCH($A379,Mitigation_Industry!$H:$H,0))</f>
        <v>0.47043642679561698</v>
      </c>
      <c r="V379" s="18">
        <f>INDEX(Mitigation_Industry!V:V,MATCH($A379,Mitigation_Industry!$H:$H,0))</f>
        <v>0.47043642679561698</v>
      </c>
      <c r="W379" s="18">
        <f>INDEX(Mitigation_Industry!W:W,MATCH($A379,Mitigation_Industry!$H:$H,0))</f>
        <v>0.47043642679561698</v>
      </c>
      <c r="X379" s="18">
        <f>INDEX(Mitigation_Industry!X:X,MATCH($A379,Mitigation_Industry!$H:$H,0))</f>
        <v>0.47043642679561698</v>
      </c>
      <c r="Y379" s="18">
        <f>INDEX(Mitigation_Industry!Y:Y,MATCH($A379,Mitigation_Industry!$H:$H,0))</f>
        <v>0.47043642679561698</v>
      </c>
      <c r="Z379" s="18">
        <f>INDEX(Mitigation_Industry!Z:Z,MATCH($A379,Mitigation_Industry!$H:$H,0))</f>
        <v>0.47043642679561698</v>
      </c>
      <c r="AA379" s="18">
        <f>INDEX(Mitigation_Industry!AA:AA,MATCH($A379,Mitigation_Industry!$H:$H,0))</f>
        <v>0.47043642679561698</v>
      </c>
      <c r="AB379" s="18">
        <f>INDEX(Mitigation_Industry!AB:AB,MATCH($A379,Mitigation_Industry!$H:$H,0))</f>
        <v>0.47043642679561698</v>
      </c>
      <c r="AC379" s="18">
        <f>INDEX(Mitigation_Industry!AC:AC,MATCH($A379,Mitigation_Industry!$H:$H,0))</f>
        <v>0.47043642679561698</v>
      </c>
      <c r="AD379" s="18">
        <f>INDEX(Mitigation_Industry!AD:AD,MATCH($A379,Mitigation_Industry!$H:$H,0))</f>
        <v>0.47043642679561698</v>
      </c>
      <c r="AE379" s="18">
        <f>INDEX(Mitigation_Industry!AE:AE,MATCH($A379,Mitigation_Industry!$H:$H,0))</f>
        <v>0.47043642679561698</v>
      </c>
    </row>
    <row r="380" spans="1:31" x14ac:dyDescent="0.45">
      <c r="A380" s="28" t="s">
        <v>1254</v>
      </c>
      <c r="B380" s="5" t="s">
        <v>58</v>
      </c>
      <c r="C380" s="5" t="s">
        <v>115</v>
      </c>
      <c r="D380" s="5">
        <v>1</v>
      </c>
      <c r="E380" s="2" t="s">
        <v>1161</v>
      </c>
      <c r="F380" s="31">
        <f>MAX(MAX(L380:AE380),-MIN(L380:AE380))</f>
        <v>0</v>
      </c>
      <c r="K380" s="32">
        <f t="shared" ref="K380:AE380" si="93">IF(ISNUMBER(K378),IF(ISNUMBER(K379),K379-K378,999999),0)</f>
        <v>0</v>
      </c>
      <c r="L380" s="32">
        <f t="shared" si="93"/>
        <v>0</v>
      </c>
      <c r="M380" s="32">
        <f t="shared" si="93"/>
        <v>0</v>
      </c>
      <c r="N380" s="32">
        <f t="shared" si="93"/>
        <v>0</v>
      </c>
      <c r="O380" s="32">
        <f t="shared" si="93"/>
        <v>0</v>
      </c>
      <c r="P380" s="32">
        <f t="shared" si="93"/>
        <v>0</v>
      </c>
      <c r="Q380" s="32">
        <f t="shared" si="93"/>
        <v>0</v>
      </c>
      <c r="R380" s="32">
        <f t="shared" si="93"/>
        <v>0</v>
      </c>
      <c r="S380" s="32">
        <f t="shared" si="93"/>
        <v>0</v>
      </c>
      <c r="T380" s="32">
        <f t="shared" si="93"/>
        <v>0</v>
      </c>
      <c r="U380" s="32">
        <f t="shared" si="93"/>
        <v>0</v>
      </c>
      <c r="V380" s="32">
        <f t="shared" si="93"/>
        <v>0</v>
      </c>
      <c r="W380" s="32">
        <f t="shared" si="93"/>
        <v>0</v>
      </c>
      <c r="X380" s="32">
        <f t="shared" si="93"/>
        <v>0</v>
      </c>
      <c r="Y380" s="32">
        <f t="shared" si="93"/>
        <v>0</v>
      </c>
      <c r="Z380" s="32">
        <f t="shared" si="93"/>
        <v>0</v>
      </c>
      <c r="AA380" s="32">
        <f t="shared" si="93"/>
        <v>0</v>
      </c>
      <c r="AB380" s="32">
        <f t="shared" si="93"/>
        <v>0</v>
      </c>
      <c r="AC380" s="32">
        <f t="shared" si="93"/>
        <v>0</v>
      </c>
      <c r="AD380" s="32">
        <f t="shared" si="93"/>
        <v>0</v>
      </c>
      <c r="AE380" s="32">
        <f t="shared" si="93"/>
        <v>0</v>
      </c>
    </row>
    <row r="382" spans="1:31" x14ac:dyDescent="0.45">
      <c r="A382" s="28" t="s">
        <v>1255</v>
      </c>
      <c r="B382" s="5" t="s">
        <v>60</v>
      </c>
      <c r="C382" s="5" t="s">
        <v>115</v>
      </c>
      <c r="D382" s="5">
        <v>1</v>
      </c>
      <c r="E382" s="5" t="s">
        <v>1159</v>
      </c>
      <c r="K382" s="18"/>
      <c r="L382" s="18">
        <v>0.15734473625227399</v>
      </c>
      <c r="M382" s="18">
        <v>0.164484037759277</v>
      </c>
      <c r="N382" s="18">
        <v>0.15070907780704901</v>
      </c>
      <c r="O382" s="18">
        <v>0.15070907780704901</v>
      </c>
      <c r="P382" s="18">
        <v>0.15070907780704901</v>
      </c>
      <c r="Q382" s="18">
        <v>0.15070907780704901</v>
      </c>
      <c r="R382" s="18">
        <v>0.15070907780704901</v>
      </c>
      <c r="S382" s="18">
        <v>0.15070907780704901</v>
      </c>
      <c r="T382" s="18">
        <v>0.15070907780704901</v>
      </c>
      <c r="U382" s="18">
        <v>0.15070907780704901</v>
      </c>
      <c r="V382" s="18">
        <v>0.15070907780704901</v>
      </c>
      <c r="W382" s="18">
        <v>0.15070907780704901</v>
      </c>
      <c r="X382" s="18">
        <v>0.15070907780704901</v>
      </c>
      <c r="Y382" s="18">
        <v>0.15070907780704901</v>
      </c>
      <c r="Z382" s="18">
        <v>0.15070907780704901</v>
      </c>
      <c r="AA382" s="18">
        <v>0.15070907780704901</v>
      </c>
      <c r="AB382" s="18">
        <v>0.15070907780704901</v>
      </c>
      <c r="AC382" s="18">
        <v>0.15070907780704901</v>
      </c>
      <c r="AD382" s="18">
        <v>0.15070907780704901</v>
      </c>
      <c r="AE382" s="18">
        <v>0.15070907780704901</v>
      </c>
    </row>
    <row r="383" spans="1:31" x14ac:dyDescent="0.45">
      <c r="A383" s="28" t="s">
        <v>1255</v>
      </c>
      <c r="B383" s="5" t="s">
        <v>60</v>
      </c>
      <c r="C383" s="5" t="s">
        <v>115</v>
      </c>
      <c r="D383" s="5">
        <v>1</v>
      </c>
      <c r="E383" s="5" t="s">
        <v>1160</v>
      </c>
      <c r="K383" s="18">
        <f>INDEX(Mitigation_Industry!K:K,MATCH($A383,Mitigation_Industry!$H:$H,0))</f>
        <v>0.20036669112673799</v>
      </c>
      <c r="L383" s="18">
        <f>INDEX(Mitigation_Industry!L:L,MATCH($A383,Mitigation_Industry!$H:$H,0))</f>
        <v>0.15734473625227399</v>
      </c>
      <c r="M383" s="18">
        <f>INDEX(Mitigation_Industry!M:M,MATCH($A383,Mitigation_Industry!$H:$H,0))</f>
        <v>0.164484037759277</v>
      </c>
      <c r="N383" s="18">
        <f>INDEX(Mitigation_Industry!N:N,MATCH($A383,Mitigation_Industry!$H:$H,0))</f>
        <v>0.15070907780704901</v>
      </c>
      <c r="O383" s="18">
        <f>INDEX(Mitigation_Industry!O:O,MATCH($A383,Mitigation_Industry!$H:$H,0))</f>
        <v>0.15070907780704901</v>
      </c>
      <c r="P383" s="18">
        <f>INDEX(Mitigation_Industry!P:P,MATCH($A383,Mitigation_Industry!$H:$H,0))</f>
        <v>0.15070907780704901</v>
      </c>
      <c r="Q383" s="18">
        <f>INDEX(Mitigation_Industry!Q:Q,MATCH($A383,Mitigation_Industry!$H:$H,0))</f>
        <v>0.15070907780704901</v>
      </c>
      <c r="R383" s="18">
        <f>INDEX(Mitigation_Industry!R:R,MATCH($A383,Mitigation_Industry!$H:$H,0))</f>
        <v>0.15070907780704901</v>
      </c>
      <c r="S383" s="18">
        <f>INDEX(Mitigation_Industry!S:S,MATCH($A383,Mitigation_Industry!$H:$H,0))</f>
        <v>0.15070907780704901</v>
      </c>
      <c r="T383" s="18">
        <f>INDEX(Mitigation_Industry!T:T,MATCH($A383,Mitigation_Industry!$H:$H,0))</f>
        <v>0.15070907780704901</v>
      </c>
      <c r="U383" s="18">
        <f>INDEX(Mitigation_Industry!U:U,MATCH($A383,Mitigation_Industry!$H:$H,0))</f>
        <v>0.15070907780704901</v>
      </c>
      <c r="V383" s="18">
        <f>INDEX(Mitigation_Industry!V:V,MATCH($A383,Mitigation_Industry!$H:$H,0))</f>
        <v>0.15070907780704901</v>
      </c>
      <c r="W383" s="18">
        <f>INDEX(Mitigation_Industry!W:W,MATCH($A383,Mitigation_Industry!$H:$H,0))</f>
        <v>0.15070907780704901</v>
      </c>
      <c r="X383" s="18">
        <f>INDEX(Mitigation_Industry!X:X,MATCH($A383,Mitigation_Industry!$H:$H,0))</f>
        <v>0.15070907780704901</v>
      </c>
      <c r="Y383" s="18">
        <f>INDEX(Mitigation_Industry!Y:Y,MATCH($A383,Mitigation_Industry!$H:$H,0))</f>
        <v>0.15070907780704901</v>
      </c>
      <c r="Z383" s="18">
        <f>INDEX(Mitigation_Industry!Z:Z,MATCH($A383,Mitigation_Industry!$H:$H,0))</f>
        <v>0.15070907780704901</v>
      </c>
      <c r="AA383" s="18">
        <f>INDEX(Mitigation_Industry!AA:AA,MATCH($A383,Mitigation_Industry!$H:$H,0))</f>
        <v>0.15070907780704901</v>
      </c>
      <c r="AB383" s="18">
        <f>INDEX(Mitigation_Industry!AB:AB,MATCH($A383,Mitigation_Industry!$H:$H,0))</f>
        <v>0.15070907780704901</v>
      </c>
      <c r="AC383" s="18">
        <f>INDEX(Mitigation_Industry!AC:AC,MATCH($A383,Mitigation_Industry!$H:$H,0))</f>
        <v>0.15070907780704901</v>
      </c>
      <c r="AD383" s="18">
        <f>INDEX(Mitigation_Industry!AD:AD,MATCH($A383,Mitigation_Industry!$H:$H,0))</f>
        <v>0.15070907780704901</v>
      </c>
      <c r="AE383" s="18">
        <f>INDEX(Mitigation_Industry!AE:AE,MATCH($A383,Mitigation_Industry!$H:$H,0))</f>
        <v>0.15070907780704901</v>
      </c>
    </row>
    <row r="384" spans="1:31" x14ac:dyDescent="0.45">
      <c r="A384" s="28" t="s">
        <v>1255</v>
      </c>
      <c r="B384" s="5" t="s">
        <v>60</v>
      </c>
      <c r="C384" s="5" t="s">
        <v>115</v>
      </c>
      <c r="D384" s="5">
        <v>1</v>
      </c>
      <c r="E384" s="2" t="s">
        <v>1161</v>
      </c>
      <c r="F384" s="31">
        <f>MAX(MAX(L384:AE384),-MIN(L384:AE384))</f>
        <v>0</v>
      </c>
      <c r="K384" s="32">
        <f t="shared" ref="K384:AE384" si="94">IF(ISNUMBER(K382),IF(ISNUMBER(K383),K383-K382,999999),0)</f>
        <v>0</v>
      </c>
      <c r="L384" s="32">
        <f t="shared" si="94"/>
        <v>0</v>
      </c>
      <c r="M384" s="32">
        <f t="shared" si="94"/>
        <v>0</v>
      </c>
      <c r="N384" s="32">
        <f t="shared" si="94"/>
        <v>0</v>
      </c>
      <c r="O384" s="32">
        <f t="shared" si="94"/>
        <v>0</v>
      </c>
      <c r="P384" s="32">
        <f t="shared" si="94"/>
        <v>0</v>
      </c>
      <c r="Q384" s="32">
        <f t="shared" si="94"/>
        <v>0</v>
      </c>
      <c r="R384" s="32">
        <f t="shared" si="94"/>
        <v>0</v>
      </c>
      <c r="S384" s="32">
        <f t="shared" si="94"/>
        <v>0</v>
      </c>
      <c r="T384" s="32">
        <f t="shared" si="94"/>
        <v>0</v>
      </c>
      <c r="U384" s="32">
        <f t="shared" si="94"/>
        <v>0</v>
      </c>
      <c r="V384" s="32">
        <f t="shared" si="94"/>
        <v>0</v>
      </c>
      <c r="W384" s="32">
        <f t="shared" si="94"/>
        <v>0</v>
      </c>
      <c r="X384" s="32">
        <f t="shared" si="94"/>
        <v>0</v>
      </c>
      <c r="Y384" s="32">
        <f t="shared" si="94"/>
        <v>0</v>
      </c>
      <c r="Z384" s="32">
        <f t="shared" si="94"/>
        <v>0</v>
      </c>
      <c r="AA384" s="32">
        <f t="shared" si="94"/>
        <v>0</v>
      </c>
      <c r="AB384" s="32">
        <f t="shared" si="94"/>
        <v>0</v>
      </c>
      <c r="AC384" s="32">
        <f t="shared" si="94"/>
        <v>0</v>
      </c>
      <c r="AD384" s="32">
        <f t="shared" si="94"/>
        <v>0</v>
      </c>
      <c r="AE384" s="32">
        <f t="shared" si="94"/>
        <v>0</v>
      </c>
    </row>
    <row r="386" spans="1:31" x14ac:dyDescent="0.45">
      <c r="A386" s="28" t="s">
        <v>1256</v>
      </c>
      <c r="B386" s="5" t="s">
        <v>62</v>
      </c>
      <c r="C386" s="5" t="s">
        <v>115</v>
      </c>
      <c r="D386" s="5">
        <v>1</v>
      </c>
      <c r="E386" s="5" t="s">
        <v>1159</v>
      </c>
      <c r="K386" s="18"/>
      <c r="L386" s="18">
        <v>0.45642817050012802</v>
      </c>
      <c r="M386" s="18">
        <v>0.43168920195599497</v>
      </c>
      <c r="N386" s="18">
        <v>0.42507558395597</v>
      </c>
      <c r="O386" s="18">
        <v>0.42507558395597</v>
      </c>
      <c r="P386" s="18">
        <v>0.42507558395597</v>
      </c>
      <c r="Q386" s="18">
        <v>0.42507558395597</v>
      </c>
      <c r="R386" s="18">
        <v>0.42507558395597</v>
      </c>
      <c r="S386" s="18">
        <v>0.42507558395597</v>
      </c>
      <c r="T386" s="18">
        <v>0.42507558395597</v>
      </c>
      <c r="U386" s="18">
        <v>0.42507558395597</v>
      </c>
      <c r="V386" s="18">
        <v>0.42507558395597</v>
      </c>
      <c r="W386" s="18">
        <v>0.42507558395597</v>
      </c>
      <c r="X386" s="18">
        <v>0.42507558395597</v>
      </c>
      <c r="Y386" s="18">
        <v>0.42507558395597</v>
      </c>
      <c r="Z386" s="18">
        <v>0.42507558395597</v>
      </c>
      <c r="AA386" s="18">
        <v>0.42507558395597</v>
      </c>
      <c r="AB386" s="18">
        <v>0.42507558395597</v>
      </c>
      <c r="AC386" s="18">
        <v>0.42507558395597</v>
      </c>
      <c r="AD386" s="18">
        <v>0.42507558395597</v>
      </c>
      <c r="AE386" s="18">
        <v>0.42507558395597</v>
      </c>
    </row>
    <row r="387" spans="1:31" x14ac:dyDescent="0.45">
      <c r="A387" s="28" t="s">
        <v>1256</v>
      </c>
      <c r="B387" s="5" t="s">
        <v>62</v>
      </c>
      <c r="C387" s="5" t="s">
        <v>115</v>
      </c>
      <c r="D387" s="5">
        <v>1</v>
      </c>
      <c r="E387" s="5" t="s">
        <v>1160</v>
      </c>
      <c r="K387" s="18">
        <f>INDEX(Mitigation_Industry!K:K,MATCH($A387,Mitigation_Industry!$H:$H,0))</f>
        <v>0.48429424097343499</v>
      </c>
      <c r="L387" s="18">
        <f>INDEX(Mitigation_Industry!L:L,MATCH($A387,Mitigation_Industry!$H:$H,0))</f>
        <v>0.45642817050012802</v>
      </c>
      <c r="M387" s="18">
        <f>INDEX(Mitigation_Industry!M:M,MATCH($A387,Mitigation_Industry!$H:$H,0))</f>
        <v>0.43168920195599497</v>
      </c>
      <c r="N387" s="18">
        <f>INDEX(Mitigation_Industry!N:N,MATCH($A387,Mitigation_Industry!$H:$H,0))</f>
        <v>0.42507558395597</v>
      </c>
      <c r="O387" s="18">
        <f>INDEX(Mitigation_Industry!O:O,MATCH($A387,Mitigation_Industry!$H:$H,0))</f>
        <v>0.42507558395597</v>
      </c>
      <c r="P387" s="18">
        <f>INDEX(Mitigation_Industry!P:P,MATCH($A387,Mitigation_Industry!$H:$H,0))</f>
        <v>0.42507558395597</v>
      </c>
      <c r="Q387" s="18">
        <f>INDEX(Mitigation_Industry!Q:Q,MATCH($A387,Mitigation_Industry!$H:$H,0))</f>
        <v>0.42507558395597</v>
      </c>
      <c r="R387" s="18">
        <f>INDEX(Mitigation_Industry!R:R,MATCH($A387,Mitigation_Industry!$H:$H,0))</f>
        <v>0.42507558395597</v>
      </c>
      <c r="S387" s="18">
        <f>INDEX(Mitigation_Industry!S:S,MATCH($A387,Mitigation_Industry!$H:$H,0))</f>
        <v>0.42507558395597</v>
      </c>
      <c r="T387" s="18">
        <f>INDEX(Mitigation_Industry!T:T,MATCH($A387,Mitigation_Industry!$H:$H,0))</f>
        <v>0.42507558395597</v>
      </c>
      <c r="U387" s="18">
        <f>INDEX(Mitigation_Industry!U:U,MATCH($A387,Mitigation_Industry!$H:$H,0))</f>
        <v>0.42507558395597</v>
      </c>
      <c r="V387" s="18">
        <f>INDEX(Mitigation_Industry!V:V,MATCH($A387,Mitigation_Industry!$H:$H,0))</f>
        <v>0.42507558395597</v>
      </c>
      <c r="W387" s="18">
        <f>INDEX(Mitigation_Industry!W:W,MATCH($A387,Mitigation_Industry!$H:$H,0))</f>
        <v>0.42507558395597</v>
      </c>
      <c r="X387" s="18">
        <f>INDEX(Mitigation_Industry!X:X,MATCH($A387,Mitigation_Industry!$H:$H,0))</f>
        <v>0.42507558395597</v>
      </c>
      <c r="Y387" s="18">
        <f>INDEX(Mitigation_Industry!Y:Y,MATCH($A387,Mitigation_Industry!$H:$H,0))</f>
        <v>0.42507558395597</v>
      </c>
      <c r="Z387" s="18">
        <f>INDEX(Mitigation_Industry!Z:Z,MATCH($A387,Mitigation_Industry!$H:$H,0))</f>
        <v>0.42507558395597</v>
      </c>
      <c r="AA387" s="18">
        <f>INDEX(Mitigation_Industry!AA:AA,MATCH($A387,Mitigation_Industry!$H:$H,0))</f>
        <v>0.42507558395597</v>
      </c>
      <c r="AB387" s="18">
        <f>INDEX(Mitigation_Industry!AB:AB,MATCH($A387,Mitigation_Industry!$H:$H,0))</f>
        <v>0.42507558395597</v>
      </c>
      <c r="AC387" s="18">
        <f>INDEX(Mitigation_Industry!AC:AC,MATCH($A387,Mitigation_Industry!$H:$H,0))</f>
        <v>0.42507558395597</v>
      </c>
      <c r="AD387" s="18">
        <f>INDEX(Mitigation_Industry!AD:AD,MATCH($A387,Mitigation_Industry!$H:$H,0))</f>
        <v>0.42507558395597</v>
      </c>
      <c r="AE387" s="18">
        <f>INDEX(Mitigation_Industry!AE:AE,MATCH($A387,Mitigation_Industry!$H:$H,0))</f>
        <v>0.42507558395597</v>
      </c>
    </row>
    <row r="388" spans="1:31" x14ac:dyDescent="0.45">
      <c r="A388" s="28" t="s">
        <v>1256</v>
      </c>
      <c r="B388" s="5" t="s">
        <v>62</v>
      </c>
      <c r="C388" s="5" t="s">
        <v>115</v>
      </c>
      <c r="D388" s="5">
        <v>1</v>
      </c>
      <c r="E388" s="2" t="s">
        <v>1161</v>
      </c>
      <c r="F388" s="31">
        <f>MAX(MAX(L388:AE388),-MIN(L388:AE388))</f>
        <v>0</v>
      </c>
      <c r="K388" s="32">
        <f t="shared" ref="K388:AE388" si="95">IF(ISNUMBER(K386),IF(ISNUMBER(K387),K387-K386,999999),0)</f>
        <v>0</v>
      </c>
      <c r="L388" s="32">
        <f t="shared" si="95"/>
        <v>0</v>
      </c>
      <c r="M388" s="32">
        <f t="shared" si="95"/>
        <v>0</v>
      </c>
      <c r="N388" s="32">
        <f t="shared" si="95"/>
        <v>0</v>
      </c>
      <c r="O388" s="32">
        <f t="shared" si="95"/>
        <v>0</v>
      </c>
      <c r="P388" s="32">
        <f t="shared" si="95"/>
        <v>0</v>
      </c>
      <c r="Q388" s="32">
        <f t="shared" si="95"/>
        <v>0</v>
      </c>
      <c r="R388" s="32">
        <f t="shared" si="95"/>
        <v>0</v>
      </c>
      <c r="S388" s="32">
        <f t="shared" si="95"/>
        <v>0</v>
      </c>
      <c r="T388" s="32">
        <f t="shared" si="95"/>
        <v>0</v>
      </c>
      <c r="U388" s="32">
        <f t="shared" si="95"/>
        <v>0</v>
      </c>
      <c r="V388" s="32">
        <f t="shared" si="95"/>
        <v>0</v>
      </c>
      <c r="W388" s="32">
        <f t="shared" si="95"/>
        <v>0</v>
      </c>
      <c r="X388" s="32">
        <f t="shared" si="95"/>
        <v>0</v>
      </c>
      <c r="Y388" s="32">
        <f t="shared" si="95"/>
        <v>0</v>
      </c>
      <c r="Z388" s="32">
        <f t="shared" si="95"/>
        <v>0</v>
      </c>
      <c r="AA388" s="32">
        <f t="shared" si="95"/>
        <v>0</v>
      </c>
      <c r="AB388" s="32">
        <f t="shared" si="95"/>
        <v>0</v>
      </c>
      <c r="AC388" s="32">
        <f t="shared" si="95"/>
        <v>0</v>
      </c>
      <c r="AD388" s="32">
        <f t="shared" si="95"/>
        <v>0</v>
      </c>
      <c r="AE388" s="32">
        <f t="shared" si="95"/>
        <v>0</v>
      </c>
    </row>
    <row r="390" spans="1:31" x14ac:dyDescent="0.45">
      <c r="A390" s="28" t="s">
        <v>1257</v>
      </c>
      <c r="B390" s="5" t="s">
        <v>64</v>
      </c>
      <c r="C390" s="5" t="s">
        <v>115</v>
      </c>
      <c r="D390" s="5">
        <v>1</v>
      </c>
      <c r="E390" s="5" t="s">
        <v>1159</v>
      </c>
      <c r="K390" s="18"/>
      <c r="L390" s="18">
        <v>34.4153703043132</v>
      </c>
      <c r="M390" s="18">
        <v>37.368960690431997</v>
      </c>
      <c r="N390" s="18">
        <v>28.982761101477301</v>
      </c>
      <c r="O390" s="18">
        <v>15</v>
      </c>
      <c r="P390" s="18">
        <v>24.2586300842555</v>
      </c>
      <c r="Q390" s="18">
        <v>15</v>
      </c>
      <c r="R390" s="18">
        <v>15</v>
      </c>
      <c r="S390" s="18">
        <v>15</v>
      </c>
      <c r="T390" s="18">
        <v>15</v>
      </c>
      <c r="U390" s="18">
        <v>15</v>
      </c>
      <c r="V390" s="18">
        <v>15</v>
      </c>
      <c r="W390" s="18">
        <v>15</v>
      </c>
      <c r="X390" s="18">
        <v>15</v>
      </c>
      <c r="Y390" s="18">
        <v>15</v>
      </c>
      <c r="Z390" s="18">
        <v>15</v>
      </c>
      <c r="AA390" s="18">
        <v>15</v>
      </c>
      <c r="AB390" s="18">
        <v>15</v>
      </c>
      <c r="AC390" s="18">
        <v>15</v>
      </c>
      <c r="AD390" s="18">
        <v>15</v>
      </c>
      <c r="AE390" s="18">
        <v>15</v>
      </c>
    </row>
    <row r="391" spans="1:31" x14ac:dyDescent="0.45">
      <c r="A391" s="28" t="s">
        <v>1257</v>
      </c>
      <c r="B391" s="5" t="s">
        <v>64</v>
      </c>
      <c r="C391" s="5" t="s">
        <v>115</v>
      </c>
      <c r="D391" s="5">
        <v>1</v>
      </c>
      <c r="E391" s="5" t="s">
        <v>1160</v>
      </c>
      <c r="K391" s="18">
        <f>INDEX(Mitigation_Industry!K:K,MATCH($A391,Mitigation_Industry!$H:$H,0))</f>
        <v>41.500338498868402</v>
      </c>
      <c r="L391" s="18">
        <f>INDEX(Mitigation_Industry!L:L,MATCH($A391,Mitigation_Industry!$H:$H,0))</f>
        <v>34.4153703043132</v>
      </c>
      <c r="M391" s="18">
        <f>INDEX(Mitigation_Industry!M:M,MATCH($A391,Mitigation_Industry!$H:$H,0))</f>
        <v>37.368960690431997</v>
      </c>
      <c r="N391" s="18">
        <f>INDEX(Mitigation_Industry!N:N,MATCH($A391,Mitigation_Industry!$H:$H,0))</f>
        <v>28.982761101477301</v>
      </c>
      <c r="O391" s="18">
        <f>INDEX(Mitigation_Industry!O:O,MATCH($A391,Mitigation_Industry!$H:$H,0))</f>
        <v>15</v>
      </c>
      <c r="P391" s="18">
        <f>INDEX(Mitigation_Industry!P:P,MATCH($A391,Mitigation_Industry!$H:$H,0))</f>
        <v>24.2586300842555</v>
      </c>
      <c r="Q391" s="18">
        <f>INDEX(Mitigation_Industry!Q:Q,MATCH($A391,Mitigation_Industry!$H:$H,0))</f>
        <v>15</v>
      </c>
      <c r="R391" s="18">
        <f>INDEX(Mitigation_Industry!R:R,MATCH($A391,Mitigation_Industry!$H:$H,0))</f>
        <v>15</v>
      </c>
      <c r="S391" s="18">
        <f>INDEX(Mitigation_Industry!S:S,MATCH($A391,Mitigation_Industry!$H:$H,0))</f>
        <v>15</v>
      </c>
      <c r="T391" s="18">
        <f>INDEX(Mitigation_Industry!T:T,MATCH($A391,Mitigation_Industry!$H:$H,0))</f>
        <v>15</v>
      </c>
      <c r="U391" s="18">
        <f>INDEX(Mitigation_Industry!U:U,MATCH($A391,Mitigation_Industry!$H:$H,0))</f>
        <v>15</v>
      </c>
      <c r="V391" s="18">
        <f>INDEX(Mitigation_Industry!V:V,MATCH($A391,Mitigation_Industry!$H:$H,0))</f>
        <v>15</v>
      </c>
      <c r="W391" s="18">
        <f>INDEX(Mitigation_Industry!W:W,MATCH($A391,Mitigation_Industry!$H:$H,0))</f>
        <v>15</v>
      </c>
      <c r="X391" s="18">
        <f>INDEX(Mitigation_Industry!X:X,MATCH($A391,Mitigation_Industry!$H:$H,0))</f>
        <v>15</v>
      </c>
      <c r="Y391" s="18">
        <f>INDEX(Mitigation_Industry!Y:Y,MATCH($A391,Mitigation_Industry!$H:$H,0))</f>
        <v>15</v>
      </c>
      <c r="Z391" s="18">
        <f>INDEX(Mitigation_Industry!Z:Z,MATCH($A391,Mitigation_Industry!$H:$H,0))</f>
        <v>15</v>
      </c>
      <c r="AA391" s="18">
        <f>INDEX(Mitigation_Industry!AA:AA,MATCH($A391,Mitigation_Industry!$H:$H,0))</f>
        <v>15</v>
      </c>
      <c r="AB391" s="18">
        <f>INDEX(Mitigation_Industry!AB:AB,MATCH($A391,Mitigation_Industry!$H:$H,0))</f>
        <v>15</v>
      </c>
      <c r="AC391" s="18">
        <f>INDEX(Mitigation_Industry!AC:AC,MATCH($A391,Mitigation_Industry!$H:$H,0))</f>
        <v>15</v>
      </c>
      <c r="AD391" s="18">
        <f>INDEX(Mitigation_Industry!AD:AD,MATCH($A391,Mitigation_Industry!$H:$H,0))</f>
        <v>15</v>
      </c>
      <c r="AE391" s="18">
        <f>INDEX(Mitigation_Industry!AE:AE,MATCH($A391,Mitigation_Industry!$H:$H,0))</f>
        <v>15</v>
      </c>
    </row>
    <row r="392" spans="1:31" x14ac:dyDescent="0.45">
      <c r="A392" s="28" t="s">
        <v>1257</v>
      </c>
      <c r="B392" s="5" t="s">
        <v>64</v>
      </c>
      <c r="C392" s="5" t="s">
        <v>115</v>
      </c>
      <c r="D392" s="5">
        <v>1</v>
      </c>
      <c r="E392" s="2" t="s">
        <v>1161</v>
      </c>
      <c r="F392" s="31">
        <f>MAX(MAX(L392:AE392),-MIN(L392:AE392))</f>
        <v>0</v>
      </c>
      <c r="K392" s="32">
        <f t="shared" ref="K392:AE392" si="96">IF(ISNUMBER(K390),IF(ISNUMBER(K391),K391-K390,999999),0)</f>
        <v>0</v>
      </c>
      <c r="L392" s="32">
        <f t="shared" si="96"/>
        <v>0</v>
      </c>
      <c r="M392" s="32">
        <f t="shared" si="96"/>
        <v>0</v>
      </c>
      <c r="N392" s="32">
        <f t="shared" si="96"/>
        <v>0</v>
      </c>
      <c r="O392" s="32">
        <f t="shared" si="96"/>
        <v>0</v>
      </c>
      <c r="P392" s="32">
        <f t="shared" si="96"/>
        <v>0</v>
      </c>
      <c r="Q392" s="32">
        <f t="shared" si="96"/>
        <v>0</v>
      </c>
      <c r="R392" s="32">
        <f t="shared" si="96"/>
        <v>0</v>
      </c>
      <c r="S392" s="32">
        <f t="shared" si="96"/>
        <v>0</v>
      </c>
      <c r="T392" s="32">
        <f t="shared" si="96"/>
        <v>0</v>
      </c>
      <c r="U392" s="32">
        <f t="shared" si="96"/>
        <v>0</v>
      </c>
      <c r="V392" s="32">
        <f t="shared" si="96"/>
        <v>0</v>
      </c>
      <c r="W392" s="32">
        <f t="shared" si="96"/>
        <v>0</v>
      </c>
      <c r="X392" s="32">
        <f t="shared" si="96"/>
        <v>0</v>
      </c>
      <c r="Y392" s="32">
        <f t="shared" si="96"/>
        <v>0</v>
      </c>
      <c r="Z392" s="32">
        <f t="shared" si="96"/>
        <v>0</v>
      </c>
      <c r="AA392" s="32">
        <f t="shared" si="96"/>
        <v>0</v>
      </c>
      <c r="AB392" s="32">
        <f t="shared" si="96"/>
        <v>0</v>
      </c>
      <c r="AC392" s="32">
        <f t="shared" si="96"/>
        <v>0</v>
      </c>
      <c r="AD392" s="32">
        <f t="shared" si="96"/>
        <v>0</v>
      </c>
      <c r="AE392" s="32">
        <f t="shared" si="96"/>
        <v>0</v>
      </c>
    </row>
    <row r="394" spans="1:31" x14ac:dyDescent="0.45">
      <c r="A394" s="28" t="s">
        <v>1258</v>
      </c>
      <c r="B394" s="5" t="s">
        <v>67</v>
      </c>
      <c r="C394" s="5" t="s">
        <v>115</v>
      </c>
      <c r="D394" s="5">
        <v>1</v>
      </c>
      <c r="E394" s="5" t="s">
        <v>1159</v>
      </c>
      <c r="K394" s="18"/>
      <c r="L394" s="18">
        <v>14.199528390634899</v>
      </c>
      <c r="M394" s="18">
        <v>13.8404416133152</v>
      </c>
      <c r="N394" s="18">
        <v>13.5677269404465</v>
      </c>
      <c r="O394" s="18">
        <v>13.5677269404465</v>
      </c>
      <c r="P394" s="18">
        <v>13.5677269404465</v>
      </c>
      <c r="Q394" s="18">
        <v>13.5677269404465</v>
      </c>
      <c r="R394" s="18">
        <v>13.5677269404465</v>
      </c>
      <c r="S394" s="18">
        <v>13.5677269404465</v>
      </c>
      <c r="T394" s="18">
        <v>13.5677269404465</v>
      </c>
      <c r="U394" s="18">
        <v>13.5677269404465</v>
      </c>
      <c r="V394" s="18">
        <v>13.5677269404465</v>
      </c>
      <c r="W394" s="18">
        <v>13.5677269404465</v>
      </c>
      <c r="X394" s="18">
        <v>13.5677269404465</v>
      </c>
      <c r="Y394" s="18">
        <v>13.5677269404465</v>
      </c>
      <c r="Z394" s="18">
        <v>13.5677269404465</v>
      </c>
      <c r="AA394" s="18">
        <v>13.5677269404465</v>
      </c>
      <c r="AB394" s="18">
        <v>13.5677269404465</v>
      </c>
      <c r="AC394" s="18">
        <v>13.5677269404465</v>
      </c>
      <c r="AD394" s="18">
        <v>13.5677269404465</v>
      </c>
      <c r="AE394" s="18">
        <v>13.5677269404465</v>
      </c>
    </row>
    <row r="395" spans="1:31" x14ac:dyDescent="0.45">
      <c r="A395" s="28" t="s">
        <v>1258</v>
      </c>
      <c r="B395" s="5" t="s">
        <v>67</v>
      </c>
      <c r="C395" s="5" t="s">
        <v>115</v>
      </c>
      <c r="D395" s="5">
        <v>1</v>
      </c>
      <c r="E395" s="5" t="s">
        <v>1160</v>
      </c>
      <c r="K395" s="18">
        <f>INDEX(Mitigation_Industry!K:K,MATCH($A395,Mitigation_Industry!$H:$H,0))</f>
        <v>15.3345505293169</v>
      </c>
      <c r="L395" s="18">
        <f>INDEX(Mitigation_Industry!L:L,MATCH($A395,Mitigation_Industry!$H:$H,0))</f>
        <v>14.199528390634899</v>
      </c>
      <c r="M395" s="18">
        <f>INDEX(Mitigation_Industry!M:M,MATCH($A395,Mitigation_Industry!$H:$H,0))</f>
        <v>13.8404416133152</v>
      </c>
      <c r="N395" s="18">
        <f>INDEX(Mitigation_Industry!N:N,MATCH($A395,Mitigation_Industry!$H:$H,0))</f>
        <v>13.5677269404465</v>
      </c>
      <c r="O395" s="18">
        <f>INDEX(Mitigation_Industry!O:O,MATCH($A395,Mitigation_Industry!$H:$H,0))</f>
        <v>13.5677269404465</v>
      </c>
      <c r="P395" s="18">
        <f>INDEX(Mitigation_Industry!P:P,MATCH($A395,Mitigation_Industry!$H:$H,0))</f>
        <v>13.5677269404465</v>
      </c>
      <c r="Q395" s="18">
        <f>INDEX(Mitigation_Industry!Q:Q,MATCH($A395,Mitigation_Industry!$H:$H,0))</f>
        <v>13.5677269404465</v>
      </c>
      <c r="R395" s="18">
        <f>INDEX(Mitigation_Industry!R:R,MATCH($A395,Mitigation_Industry!$H:$H,0))</f>
        <v>13.5677269404465</v>
      </c>
      <c r="S395" s="18">
        <f>INDEX(Mitigation_Industry!S:S,MATCH($A395,Mitigation_Industry!$H:$H,0))</f>
        <v>13.5677269404465</v>
      </c>
      <c r="T395" s="18">
        <f>INDEX(Mitigation_Industry!T:T,MATCH($A395,Mitigation_Industry!$H:$H,0))</f>
        <v>13.5677269404465</v>
      </c>
      <c r="U395" s="18">
        <f>INDEX(Mitigation_Industry!U:U,MATCH($A395,Mitigation_Industry!$H:$H,0))</f>
        <v>13.5677269404465</v>
      </c>
      <c r="V395" s="18">
        <f>INDEX(Mitigation_Industry!V:V,MATCH($A395,Mitigation_Industry!$H:$H,0))</f>
        <v>13.5677269404465</v>
      </c>
      <c r="W395" s="18">
        <f>INDEX(Mitigation_Industry!W:W,MATCH($A395,Mitigation_Industry!$H:$H,0))</f>
        <v>13.5677269404465</v>
      </c>
      <c r="X395" s="18">
        <f>INDEX(Mitigation_Industry!X:X,MATCH($A395,Mitigation_Industry!$H:$H,0))</f>
        <v>13.5677269404465</v>
      </c>
      <c r="Y395" s="18">
        <f>INDEX(Mitigation_Industry!Y:Y,MATCH($A395,Mitigation_Industry!$H:$H,0))</f>
        <v>13.5677269404465</v>
      </c>
      <c r="Z395" s="18">
        <f>INDEX(Mitigation_Industry!Z:Z,MATCH($A395,Mitigation_Industry!$H:$H,0))</f>
        <v>13.5677269404465</v>
      </c>
      <c r="AA395" s="18">
        <f>INDEX(Mitigation_Industry!AA:AA,MATCH($A395,Mitigation_Industry!$H:$H,0))</f>
        <v>13.5677269404465</v>
      </c>
      <c r="AB395" s="18">
        <f>INDEX(Mitigation_Industry!AB:AB,MATCH($A395,Mitigation_Industry!$H:$H,0))</f>
        <v>13.5677269404465</v>
      </c>
      <c r="AC395" s="18">
        <f>INDEX(Mitigation_Industry!AC:AC,MATCH($A395,Mitigation_Industry!$H:$H,0))</f>
        <v>13.5677269404465</v>
      </c>
      <c r="AD395" s="18">
        <f>INDEX(Mitigation_Industry!AD:AD,MATCH($A395,Mitigation_Industry!$H:$H,0))</f>
        <v>13.5677269404465</v>
      </c>
      <c r="AE395" s="18">
        <f>INDEX(Mitigation_Industry!AE:AE,MATCH($A395,Mitigation_Industry!$H:$H,0))</f>
        <v>13.5677269404465</v>
      </c>
    </row>
    <row r="396" spans="1:31" x14ac:dyDescent="0.45">
      <c r="A396" s="28" t="s">
        <v>1258</v>
      </c>
      <c r="B396" s="5" t="s">
        <v>67</v>
      </c>
      <c r="C396" s="5" t="s">
        <v>115</v>
      </c>
      <c r="D396" s="5">
        <v>1</v>
      </c>
      <c r="E396" s="2" t="s">
        <v>1161</v>
      </c>
      <c r="F396" s="31">
        <f>MAX(MAX(L396:AE396),-MIN(L396:AE396))</f>
        <v>0</v>
      </c>
      <c r="K396" s="32">
        <f t="shared" ref="K396:AE396" si="97">IF(ISNUMBER(K394),IF(ISNUMBER(K395),K395-K394,999999),0)</f>
        <v>0</v>
      </c>
      <c r="L396" s="32">
        <f t="shared" si="97"/>
        <v>0</v>
      </c>
      <c r="M396" s="32">
        <f t="shared" si="97"/>
        <v>0</v>
      </c>
      <c r="N396" s="32">
        <f t="shared" si="97"/>
        <v>0</v>
      </c>
      <c r="O396" s="32">
        <f t="shared" si="97"/>
        <v>0</v>
      </c>
      <c r="P396" s="32">
        <f t="shared" si="97"/>
        <v>0</v>
      </c>
      <c r="Q396" s="32">
        <f t="shared" si="97"/>
        <v>0</v>
      </c>
      <c r="R396" s="32">
        <f t="shared" si="97"/>
        <v>0</v>
      </c>
      <c r="S396" s="32">
        <f t="shared" si="97"/>
        <v>0</v>
      </c>
      <c r="T396" s="32">
        <f t="shared" si="97"/>
        <v>0</v>
      </c>
      <c r="U396" s="32">
        <f t="shared" si="97"/>
        <v>0</v>
      </c>
      <c r="V396" s="32">
        <f t="shared" si="97"/>
        <v>0</v>
      </c>
      <c r="W396" s="32">
        <f t="shared" si="97"/>
        <v>0</v>
      </c>
      <c r="X396" s="32">
        <f t="shared" si="97"/>
        <v>0</v>
      </c>
      <c r="Y396" s="32">
        <f t="shared" si="97"/>
        <v>0</v>
      </c>
      <c r="Z396" s="32">
        <f t="shared" si="97"/>
        <v>0</v>
      </c>
      <c r="AA396" s="32">
        <f t="shared" si="97"/>
        <v>0</v>
      </c>
      <c r="AB396" s="32">
        <f t="shared" si="97"/>
        <v>0</v>
      </c>
      <c r="AC396" s="32">
        <f t="shared" si="97"/>
        <v>0</v>
      </c>
      <c r="AD396" s="32">
        <f t="shared" si="97"/>
        <v>0</v>
      </c>
      <c r="AE396" s="32">
        <f t="shared" si="97"/>
        <v>0</v>
      </c>
    </row>
    <row r="398" spans="1:31" x14ac:dyDescent="0.45">
      <c r="A398" s="28" t="s">
        <v>1259</v>
      </c>
      <c r="B398" s="5" t="s">
        <v>69</v>
      </c>
      <c r="C398" s="5" t="s">
        <v>115</v>
      </c>
      <c r="D398" s="5">
        <v>1</v>
      </c>
      <c r="E398" s="5" t="s">
        <v>1159</v>
      </c>
      <c r="K398" s="18"/>
      <c r="L398" s="18">
        <v>0.14404498679319799</v>
      </c>
      <c r="M398" s="18">
        <v>0.14102040965700399</v>
      </c>
      <c r="N398" s="18">
        <v>0.13511635959447599</v>
      </c>
      <c r="O398" s="18">
        <v>0.13098825698585601</v>
      </c>
      <c r="P398" s="18">
        <v>0.12790841608631801</v>
      </c>
      <c r="Q398" s="18">
        <v>0.124814310557813</v>
      </c>
      <c r="R398" s="18">
        <v>0.121460257122878</v>
      </c>
      <c r="S398" s="18">
        <v>0.117950744135786</v>
      </c>
      <c r="T398" s="18">
        <v>0.114199161044597</v>
      </c>
      <c r="U398" s="18">
        <v>0.113665100059665</v>
      </c>
      <c r="V398" s="18">
        <v>0.113016929625957</v>
      </c>
      <c r="W398" s="18">
        <v>0.112314070507636</v>
      </c>
      <c r="X398" s="18">
        <v>0.11142204273284299</v>
      </c>
      <c r="Y398" s="18">
        <v>0.110434123675809</v>
      </c>
      <c r="Z398" s="18">
        <v>0.109483973304471</v>
      </c>
      <c r="AA398" s="18">
        <v>0.10839192105294</v>
      </c>
      <c r="AB398" s="18">
        <v>0.10735443362670399</v>
      </c>
      <c r="AC398" s="18">
        <v>0.105168675441661</v>
      </c>
      <c r="AD398" s="18">
        <v>0.103057983256008</v>
      </c>
      <c r="AE398" s="18">
        <v>0.100931838990114</v>
      </c>
    </row>
    <row r="399" spans="1:31" x14ac:dyDescent="0.45">
      <c r="A399" s="28" t="s">
        <v>1259</v>
      </c>
      <c r="B399" s="5" t="s">
        <v>69</v>
      </c>
      <c r="C399" s="5" t="s">
        <v>115</v>
      </c>
      <c r="D399" s="5">
        <v>1</v>
      </c>
      <c r="E399" s="5" t="s">
        <v>1160</v>
      </c>
      <c r="K399" s="18">
        <f>INDEX(Mitigation_Industry!K:K,MATCH($A399,Mitigation_Industry!$H:$H,0))</f>
        <v>0</v>
      </c>
      <c r="L399" s="18">
        <f>INDEX(Mitigation_Industry!L:L,MATCH($A399,Mitigation_Industry!$H:$H,0))</f>
        <v>0.14404498679319799</v>
      </c>
      <c r="M399" s="18">
        <f>INDEX(Mitigation_Industry!M:M,MATCH($A399,Mitigation_Industry!$H:$H,0))</f>
        <v>0.14102040965700399</v>
      </c>
      <c r="N399" s="18">
        <f>INDEX(Mitigation_Industry!N:N,MATCH($A399,Mitigation_Industry!$H:$H,0))</f>
        <v>0.13511635959447599</v>
      </c>
      <c r="O399" s="18">
        <f>INDEX(Mitigation_Industry!O:O,MATCH($A399,Mitigation_Industry!$H:$H,0))</f>
        <v>0.13098825698585601</v>
      </c>
      <c r="P399" s="18">
        <f>INDEX(Mitigation_Industry!P:P,MATCH($A399,Mitigation_Industry!$H:$H,0))</f>
        <v>0.12790841608631801</v>
      </c>
      <c r="Q399" s="18">
        <f>INDEX(Mitigation_Industry!Q:Q,MATCH($A399,Mitigation_Industry!$H:$H,0))</f>
        <v>0.124814310557813</v>
      </c>
      <c r="R399" s="18">
        <f>INDEX(Mitigation_Industry!R:R,MATCH($A399,Mitigation_Industry!$H:$H,0))</f>
        <v>0.121460257122878</v>
      </c>
      <c r="S399" s="18">
        <f>INDEX(Mitigation_Industry!S:S,MATCH($A399,Mitigation_Industry!$H:$H,0))</f>
        <v>0.117950744135786</v>
      </c>
      <c r="T399" s="18">
        <f>INDEX(Mitigation_Industry!T:T,MATCH($A399,Mitigation_Industry!$H:$H,0))</f>
        <v>0.114199161044597</v>
      </c>
      <c r="U399" s="18">
        <f>INDEX(Mitigation_Industry!U:U,MATCH($A399,Mitigation_Industry!$H:$H,0))</f>
        <v>0.113665100059665</v>
      </c>
      <c r="V399" s="18">
        <f>INDEX(Mitigation_Industry!V:V,MATCH($A399,Mitigation_Industry!$H:$H,0))</f>
        <v>0.113016929625957</v>
      </c>
      <c r="W399" s="18">
        <f>INDEX(Mitigation_Industry!W:W,MATCH($A399,Mitigation_Industry!$H:$H,0))</f>
        <v>0.112314070507636</v>
      </c>
      <c r="X399" s="18">
        <f>INDEX(Mitigation_Industry!X:X,MATCH($A399,Mitigation_Industry!$H:$H,0))</f>
        <v>0.11142204273284299</v>
      </c>
      <c r="Y399" s="18">
        <f>INDEX(Mitigation_Industry!Y:Y,MATCH($A399,Mitigation_Industry!$H:$H,0))</f>
        <v>0.110434123675809</v>
      </c>
      <c r="Z399" s="18">
        <f>INDEX(Mitigation_Industry!Z:Z,MATCH($A399,Mitigation_Industry!$H:$H,0))</f>
        <v>0.109483973304471</v>
      </c>
      <c r="AA399" s="18">
        <f>INDEX(Mitigation_Industry!AA:AA,MATCH($A399,Mitigation_Industry!$H:$H,0))</f>
        <v>0.10839192105294</v>
      </c>
      <c r="AB399" s="18">
        <f>INDEX(Mitigation_Industry!AB:AB,MATCH($A399,Mitigation_Industry!$H:$H,0))</f>
        <v>0.10735443362670399</v>
      </c>
      <c r="AC399" s="18">
        <f>INDEX(Mitigation_Industry!AC:AC,MATCH($A399,Mitigation_Industry!$H:$H,0))</f>
        <v>0.105168675441661</v>
      </c>
      <c r="AD399" s="18">
        <f>INDEX(Mitigation_Industry!AD:AD,MATCH($A399,Mitigation_Industry!$H:$H,0))</f>
        <v>0.103057983256008</v>
      </c>
      <c r="AE399" s="18">
        <f>INDEX(Mitigation_Industry!AE:AE,MATCH($A399,Mitigation_Industry!$H:$H,0))</f>
        <v>0.100931838990114</v>
      </c>
    </row>
    <row r="400" spans="1:31" x14ac:dyDescent="0.45">
      <c r="A400" s="28" t="s">
        <v>1259</v>
      </c>
      <c r="B400" s="5" t="s">
        <v>69</v>
      </c>
      <c r="C400" s="5" t="s">
        <v>115</v>
      </c>
      <c r="D400" s="5">
        <v>1</v>
      </c>
      <c r="E400" s="2" t="s">
        <v>1161</v>
      </c>
      <c r="F400" s="31">
        <f>MAX(MAX(L400:AE400),-MIN(L400:AE400))</f>
        <v>0</v>
      </c>
      <c r="K400" s="32">
        <f t="shared" ref="K400:AE400" si="98">IF(ISNUMBER(K398),IF(ISNUMBER(K399),K399-K398,999999),0)</f>
        <v>0</v>
      </c>
      <c r="L400" s="32">
        <f t="shared" si="98"/>
        <v>0</v>
      </c>
      <c r="M400" s="32">
        <f t="shared" si="98"/>
        <v>0</v>
      </c>
      <c r="N400" s="32">
        <f t="shared" si="98"/>
        <v>0</v>
      </c>
      <c r="O400" s="32">
        <f t="shared" si="98"/>
        <v>0</v>
      </c>
      <c r="P400" s="32">
        <f t="shared" si="98"/>
        <v>0</v>
      </c>
      <c r="Q400" s="32">
        <f t="shared" si="98"/>
        <v>0</v>
      </c>
      <c r="R400" s="32">
        <f t="shared" si="98"/>
        <v>0</v>
      </c>
      <c r="S400" s="32">
        <f t="shared" si="98"/>
        <v>0</v>
      </c>
      <c r="T400" s="32">
        <f t="shared" si="98"/>
        <v>0</v>
      </c>
      <c r="U400" s="32">
        <f t="shared" si="98"/>
        <v>0</v>
      </c>
      <c r="V400" s="32">
        <f t="shared" si="98"/>
        <v>0</v>
      </c>
      <c r="W400" s="32">
        <f t="shared" si="98"/>
        <v>0</v>
      </c>
      <c r="X400" s="32">
        <f t="shared" si="98"/>
        <v>0</v>
      </c>
      <c r="Y400" s="32">
        <f t="shared" si="98"/>
        <v>0</v>
      </c>
      <c r="Z400" s="32">
        <f t="shared" si="98"/>
        <v>0</v>
      </c>
      <c r="AA400" s="32">
        <f t="shared" si="98"/>
        <v>0</v>
      </c>
      <c r="AB400" s="32">
        <f t="shared" si="98"/>
        <v>0</v>
      </c>
      <c r="AC400" s="32">
        <f t="shared" si="98"/>
        <v>0</v>
      </c>
      <c r="AD400" s="32">
        <f t="shared" si="98"/>
        <v>0</v>
      </c>
      <c r="AE400" s="32">
        <f t="shared" si="98"/>
        <v>0</v>
      </c>
    </row>
    <row r="402" spans="1:31" x14ac:dyDescent="0.45">
      <c r="A402" s="28" t="s">
        <v>1260</v>
      </c>
      <c r="B402" s="5" t="s">
        <v>49</v>
      </c>
      <c r="C402" s="5" t="s">
        <v>117</v>
      </c>
      <c r="D402" s="5">
        <v>1</v>
      </c>
      <c r="E402" s="5" t="s">
        <v>1159</v>
      </c>
      <c r="K402" s="18"/>
      <c r="L402" s="18">
        <v>10.5233613454312</v>
      </c>
      <c r="M402" s="18">
        <v>10.2995608274442</v>
      </c>
      <c r="N402" s="18">
        <v>9.5775283595382597</v>
      </c>
      <c r="O402" s="18">
        <v>8.4854782869580507</v>
      </c>
      <c r="P402" s="18">
        <v>9.0871922352498604</v>
      </c>
      <c r="Q402" s="18">
        <v>9.2229237289326793</v>
      </c>
      <c r="R402" s="18">
        <v>9.1585649555096893</v>
      </c>
      <c r="S402" s="18">
        <v>9.0895478773973792</v>
      </c>
      <c r="T402" s="18">
        <v>9.0156816660228305</v>
      </c>
      <c r="U402" s="18">
        <v>8.9443977655571096</v>
      </c>
      <c r="V402" s="18">
        <v>8.9443977655571096</v>
      </c>
      <c r="W402" s="18">
        <v>8.9443977655571096</v>
      </c>
      <c r="X402" s="18">
        <v>8.9443977655571096</v>
      </c>
      <c r="Y402" s="18">
        <v>8.9443977655571096</v>
      </c>
      <c r="Z402" s="18">
        <v>8.9443977655571096</v>
      </c>
      <c r="AA402" s="18">
        <v>8.9443977655571096</v>
      </c>
      <c r="AB402" s="18">
        <v>8.9443977655571096</v>
      </c>
      <c r="AC402" s="18">
        <v>8.9443977655571096</v>
      </c>
      <c r="AD402" s="18">
        <v>8.9443977655571096</v>
      </c>
      <c r="AE402" s="18">
        <v>8.9443977655571096</v>
      </c>
    </row>
    <row r="403" spans="1:31" x14ac:dyDescent="0.45">
      <c r="A403" s="28" t="s">
        <v>1260</v>
      </c>
      <c r="B403" s="5" t="s">
        <v>49</v>
      </c>
      <c r="C403" s="5" t="s">
        <v>117</v>
      </c>
      <c r="D403" s="5">
        <v>1</v>
      </c>
      <c r="E403" s="5" t="s">
        <v>1160</v>
      </c>
      <c r="K403" s="18">
        <f>INDEX(Mitigation_Industry!K:K,MATCH($A403,Mitigation_Industry!$H:$H,0))</f>
        <v>11.182901589243899</v>
      </c>
      <c r="L403" s="18">
        <f>INDEX(Mitigation_Industry!L:L,MATCH($A403,Mitigation_Industry!$H:$H,0))</f>
        <v>10.5233613454312</v>
      </c>
      <c r="M403" s="18">
        <f>INDEX(Mitigation_Industry!M:M,MATCH($A403,Mitigation_Industry!$H:$H,0))</f>
        <v>10.2995608274442</v>
      </c>
      <c r="N403" s="18">
        <f>INDEX(Mitigation_Industry!N:N,MATCH($A403,Mitigation_Industry!$H:$H,0))</f>
        <v>9.5775283595382597</v>
      </c>
      <c r="O403" s="18">
        <f>INDEX(Mitigation_Industry!O:O,MATCH($A403,Mitigation_Industry!$H:$H,0))</f>
        <v>8.4854782869580507</v>
      </c>
      <c r="P403" s="18">
        <f>INDEX(Mitigation_Industry!P:P,MATCH($A403,Mitigation_Industry!$H:$H,0))</f>
        <v>9.0871922352498604</v>
      </c>
      <c r="Q403" s="18">
        <f>INDEX(Mitigation_Industry!Q:Q,MATCH($A403,Mitigation_Industry!$H:$H,0))</f>
        <v>9.2229237289326793</v>
      </c>
      <c r="R403" s="18">
        <f>INDEX(Mitigation_Industry!R:R,MATCH($A403,Mitigation_Industry!$H:$H,0))</f>
        <v>9.1585649555096893</v>
      </c>
      <c r="S403" s="18">
        <f>INDEX(Mitigation_Industry!S:S,MATCH($A403,Mitigation_Industry!$H:$H,0))</f>
        <v>9.0895478773973792</v>
      </c>
      <c r="T403" s="18">
        <f>INDEX(Mitigation_Industry!T:T,MATCH($A403,Mitigation_Industry!$H:$H,0))</f>
        <v>9.0156816660228305</v>
      </c>
      <c r="U403" s="18">
        <f>INDEX(Mitigation_Industry!U:U,MATCH($A403,Mitigation_Industry!$H:$H,0))</f>
        <v>8.9443977655571096</v>
      </c>
      <c r="V403" s="18">
        <f>INDEX(Mitigation_Industry!V:V,MATCH($A403,Mitigation_Industry!$H:$H,0))</f>
        <v>8.9443977655571096</v>
      </c>
      <c r="W403" s="18">
        <f>INDEX(Mitigation_Industry!W:W,MATCH($A403,Mitigation_Industry!$H:$H,0))</f>
        <v>8.9443977655571096</v>
      </c>
      <c r="X403" s="18">
        <f>INDEX(Mitigation_Industry!X:X,MATCH($A403,Mitigation_Industry!$H:$H,0))</f>
        <v>8.9443977655571096</v>
      </c>
      <c r="Y403" s="18">
        <f>INDEX(Mitigation_Industry!Y:Y,MATCH($A403,Mitigation_Industry!$H:$H,0))</f>
        <v>8.9443977655571096</v>
      </c>
      <c r="Z403" s="18">
        <f>INDEX(Mitigation_Industry!Z:Z,MATCH($A403,Mitigation_Industry!$H:$H,0))</f>
        <v>8.9443977655571096</v>
      </c>
      <c r="AA403" s="18">
        <f>INDEX(Mitigation_Industry!AA:AA,MATCH($A403,Mitigation_Industry!$H:$H,0))</f>
        <v>8.9443977655571096</v>
      </c>
      <c r="AB403" s="18">
        <f>INDEX(Mitigation_Industry!AB:AB,MATCH($A403,Mitigation_Industry!$H:$H,0))</f>
        <v>8.9443977655571096</v>
      </c>
      <c r="AC403" s="18">
        <f>INDEX(Mitigation_Industry!AC:AC,MATCH($A403,Mitigation_Industry!$H:$H,0))</f>
        <v>8.9443977655571096</v>
      </c>
      <c r="AD403" s="18">
        <f>INDEX(Mitigation_Industry!AD:AD,MATCH($A403,Mitigation_Industry!$H:$H,0))</f>
        <v>8.9443977655571096</v>
      </c>
      <c r="AE403" s="18">
        <f>INDEX(Mitigation_Industry!AE:AE,MATCH($A403,Mitigation_Industry!$H:$H,0))</f>
        <v>8.9443977655571096</v>
      </c>
    </row>
    <row r="404" spans="1:31" x14ac:dyDescent="0.45">
      <c r="A404" s="28" t="s">
        <v>1260</v>
      </c>
      <c r="B404" s="5" t="s">
        <v>49</v>
      </c>
      <c r="C404" s="5" t="s">
        <v>117</v>
      </c>
      <c r="D404" s="5">
        <v>1</v>
      </c>
      <c r="E404" s="2" t="s">
        <v>1161</v>
      </c>
      <c r="F404" s="31">
        <f>MAX(MAX(L404:AE404),-MIN(L404:AE404))</f>
        <v>0</v>
      </c>
      <c r="K404" s="32">
        <f t="shared" ref="K404:AE404" si="99">IF(ISNUMBER(K402),IF(ISNUMBER(K403),K403-K402,999999),0)</f>
        <v>0</v>
      </c>
      <c r="L404" s="32">
        <f t="shared" si="99"/>
        <v>0</v>
      </c>
      <c r="M404" s="32">
        <f t="shared" si="99"/>
        <v>0</v>
      </c>
      <c r="N404" s="32">
        <f t="shared" si="99"/>
        <v>0</v>
      </c>
      <c r="O404" s="32">
        <f t="shared" si="99"/>
        <v>0</v>
      </c>
      <c r="P404" s="32">
        <f t="shared" si="99"/>
        <v>0</v>
      </c>
      <c r="Q404" s="32">
        <f t="shared" si="99"/>
        <v>0</v>
      </c>
      <c r="R404" s="32">
        <f t="shared" si="99"/>
        <v>0</v>
      </c>
      <c r="S404" s="32">
        <f t="shared" si="99"/>
        <v>0</v>
      </c>
      <c r="T404" s="32">
        <f t="shared" si="99"/>
        <v>0</v>
      </c>
      <c r="U404" s="32">
        <f t="shared" si="99"/>
        <v>0</v>
      </c>
      <c r="V404" s="32">
        <f t="shared" si="99"/>
        <v>0</v>
      </c>
      <c r="W404" s="32">
        <f t="shared" si="99"/>
        <v>0</v>
      </c>
      <c r="X404" s="32">
        <f t="shared" si="99"/>
        <v>0</v>
      </c>
      <c r="Y404" s="32">
        <f t="shared" si="99"/>
        <v>0</v>
      </c>
      <c r="Z404" s="32">
        <f t="shared" si="99"/>
        <v>0</v>
      </c>
      <c r="AA404" s="32">
        <f t="shared" si="99"/>
        <v>0</v>
      </c>
      <c r="AB404" s="32">
        <f t="shared" si="99"/>
        <v>0</v>
      </c>
      <c r="AC404" s="32">
        <f t="shared" si="99"/>
        <v>0</v>
      </c>
      <c r="AD404" s="32">
        <f t="shared" si="99"/>
        <v>0</v>
      </c>
      <c r="AE404" s="32">
        <f t="shared" si="99"/>
        <v>0</v>
      </c>
    </row>
    <row r="406" spans="1:31" x14ac:dyDescent="0.45">
      <c r="A406" s="28" t="s">
        <v>1261</v>
      </c>
      <c r="B406" s="5" t="s">
        <v>53</v>
      </c>
      <c r="C406" s="5" t="s">
        <v>117</v>
      </c>
      <c r="D406" s="5">
        <v>1</v>
      </c>
      <c r="E406" s="5" t="s">
        <v>1159</v>
      </c>
      <c r="K406" s="18"/>
      <c r="L406" s="18">
        <v>5.4510150816191896</v>
      </c>
      <c r="M406" s="18">
        <v>5.1193563062624801</v>
      </c>
      <c r="N406" s="18">
        <v>5.08218458640407</v>
      </c>
      <c r="O406" s="18">
        <v>5.08218458640407</v>
      </c>
      <c r="P406" s="18">
        <v>5.08218458640407</v>
      </c>
      <c r="Q406" s="18">
        <v>5.08218458640407</v>
      </c>
      <c r="R406" s="18">
        <v>5.08218458640407</v>
      </c>
      <c r="S406" s="18">
        <v>5.08218458640407</v>
      </c>
      <c r="T406" s="18">
        <v>5.08218458640407</v>
      </c>
      <c r="U406" s="18">
        <v>5.08218458640407</v>
      </c>
      <c r="V406" s="18">
        <v>5.08218458640407</v>
      </c>
      <c r="W406" s="18">
        <v>5.08218458640407</v>
      </c>
      <c r="X406" s="18">
        <v>5.08218458640407</v>
      </c>
      <c r="Y406" s="18">
        <v>5.08218458640407</v>
      </c>
      <c r="Z406" s="18">
        <v>5.08218458640407</v>
      </c>
      <c r="AA406" s="18">
        <v>5.08218458640407</v>
      </c>
      <c r="AB406" s="18">
        <v>5.08218458640407</v>
      </c>
      <c r="AC406" s="18">
        <v>5.08218458640407</v>
      </c>
      <c r="AD406" s="18">
        <v>5.08218458640407</v>
      </c>
      <c r="AE406" s="18">
        <v>5.08218458640407</v>
      </c>
    </row>
    <row r="407" spans="1:31" x14ac:dyDescent="0.45">
      <c r="A407" s="28" t="s">
        <v>1261</v>
      </c>
      <c r="B407" s="5" t="s">
        <v>53</v>
      </c>
      <c r="C407" s="5" t="s">
        <v>117</v>
      </c>
      <c r="D407" s="5">
        <v>1</v>
      </c>
      <c r="E407" s="5" t="s">
        <v>1160</v>
      </c>
      <c r="K407" s="18">
        <f>INDEX(Mitigation_Industry!K:K,MATCH($A407,Mitigation_Industry!$H:$H,0))</f>
        <v>6.0634636156729096</v>
      </c>
      <c r="L407" s="18">
        <f>INDEX(Mitigation_Industry!L:L,MATCH($A407,Mitigation_Industry!$H:$H,0))</f>
        <v>5.4510150816191896</v>
      </c>
      <c r="M407" s="18">
        <f>INDEX(Mitigation_Industry!M:M,MATCH($A407,Mitigation_Industry!$H:$H,0))</f>
        <v>5.1193563062624801</v>
      </c>
      <c r="N407" s="18">
        <f>INDEX(Mitigation_Industry!N:N,MATCH($A407,Mitigation_Industry!$H:$H,0))</f>
        <v>5.08218458640407</v>
      </c>
      <c r="O407" s="18">
        <f>INDEX(Mitigation_Industry!O:O,MATCH($A407,Mitigation_Industry!$H:$H,0))</f>
        <v>5.08218458640407</v>
      </c>
      <c r="P407" s="18">
        <f>INDEX(Mitigation_Industry!P:P,MATCH($A407,Mitigation_Industry!$H:$H,0))</f>
        <v>5.08218458640407</v>
      </c>
      <c r="Q407" s="18">
        <f>INDEX(Mitigation_Industry!Q:Q,MATCH($A407,Mitigation_Industry!$H:$H,0))</f>
        <v>5.08218458640407</v>
      </c>
      <c r="R407" s="18">
        <f>INDEX(Mitigation_Industry!R:R,MATCH($A407,Mitigation_Industry!$H:$H,0))</f>
        <v>5.08218458640407</v>
      </c>
      <c r="S407" s="18">
        <f>INDEX(Mitigation_Industry!S:S,MATCH($A407,Mitigation_Industry!$H:$H,0))</f>
        <v>5.08218458640407</v>
      </c>
      <c r="T407" s="18">
        <f>INDEX(Mitigation_Industry!T:T,MATCH($A407,Mitigation_Industry!$H:$H,0))</f>
        <v>5.08218458640407</v>
      </c>
      <c r="U407" s="18">
        <f>INDEX(Mitigation_Industry!U:U,MATCH($A407,Mitigation_Industry!$H:$H,0))</f>
        <v>5.08218458640407</v>
      </c>
      <c r="V407" s="18">
        <f>INDEX(Mitigation_Industry!V:V,MATCH($A407,Mitigation_Industry!$H:$H,0))</f>
        <v>5.08218458640407</v>
      </c>
      <c r="W407" s="18">
        <f>INDEX(Mitigation_Industry!W:W,MATCH($A407,Mitigation_Industry!$H:$H,0))</f>
        <v>5.08218458640407</v>
      </c>
      <c r="X407" s="18">
        <f>INDEX(Mitigation_Industry!X:X,MATCH($A407,Mitigation_Industry!$H:$H,0))</f>
        <v>5.08218458640407</v>
      </c>
      <c r="Y407" s="18">
        <f>INDEX(Mitigation_Industry!Y:Y,MATCH($A407,Mitigation_Industry!$H:$H,0))</f>
        <v>5.08218458640407</v>
      </c>
      <c r="Z407" s="18">
        <f>INDEX(Mitigation_Industry!Z:Z,MATCH($A407,Mitigation_Industry!$H:$H,0))</f>
        <v>5.08218458640407</v>
      </c>
      <c r="AA407" s="18">
        <f>INDEX(Mitigation_Industry!AA:AA,MATCH($A407,Mitigation_Industry!$H:$H,0))</f>
        <v>5.08218458640407</v>
      </c>
      <c r="AB407" s="18">
        <f>INDEX(Mitigation_Industry!AB:AB,MATCH($A407,Mitigation_Industry!$H:$H,0))</f>
        <v>5.08218458640407</v>
      </c>
      <c r="AC407" s="18">
        <f>INDEX(Mitigation_Industry!AC:AC,MATCH($A407,Mitigation_Industry!$H:$H,0))</f>
        <v>5.08218458640407</v>
      </c>
      <c r="AD407" s="18">
        <f>INDEX(Mitigation_Industry!AD:AD,MATCH($A407,Mitigation_Industry!$H:$H,0))</f>
        <v>5.08218458640407</v>
      </c>
      <c r="AE407" s="18">
        <f>INDEX(Mitigation_Industry!AE:AE,MATCH($A407,Mitigation_Industry!$H:$H,0))</f>
        <v>5.08218458640407</v>
      </c>
    </row>
    <row r="408" spans="1:31" x14ac:dyDescent="0.45">
      <c r="A408" s="28" t="s">
        <v>1261</v>
      </c>
      <c r="B408" s="5" t="s">
        <v>53</v>
      </c>
      <c r="C408" s="5" t="s">
        <v>117</v>
      </c>
      <c r="D408" s="5">
        <v>1</v>
      </c>
      <c r="E408" s="2" t="s">
        <v>1161</v>
      </c>
      <c r="F408" s="31">
        <f>MAX(MAX(L408:AE408),-MIN(L408:AE408))</f>
        <v>0</v>
      </c>
      <c r="K408" s="32">
        <f t="shared" ref="K408:AE408" si="100">IF(ISNUMBER(K406),IF(ISNUMBER(K407),K407-K406,999999),0)</f>
        <v>0</v>
      </c>
      <c r="L408" s="32">
        <f t="shared" si="100"/>
        <v>0</v>
      </c>
      <c r="M408" s="32">
        <f t="shared" si="100"/>
        <v>0</v>
      </c>
      <c r="N408" s="32">
        <f t="shared" si="100"/>
        <v>0</v>
      </c>
      <c r="O408" s="32">
        <f t="shared" si="100"/>
        <v>0</v>
      </c>
      <c r="P408" s="32">
        <f t="shared" si="100"/>
        <v>0</v>
      </c>
      <c r="Q408" s="32">
        <f t="shared" si="100"/>
        <v>0</v>
      </c>
      <c r="R408" s="32">
        <f t="shared" si="100"/>
        <v>0</v>
      </c>
      <c r="S408" s="32">
        <f t="shared" si="100"/>
        <v>0</v>
      </c>
      <c r="T408" s="32">
        <f t="shared" si="100"/>
        <v>0</v>
      </c>
      <c r="U408" s="32">
        <f t="shared" si="100"/>
        <v>0</v>
      </c>
      <c r="V408" s="32">
        <f t="shared" si="100"/>
        <v>0</v>
      </c>
      <c r="W408" s="32">
        <f t="shared" si="100"/>
        <v>0</v>
      </c>
      <c r="X408" s="32">
        <f t="shared" si="100"/>
        <v>0</v>
      </c>
      <c r="Y408" s="32">
        <f t="shared" si="100"/>
        <v>0</v>
      </c>
      <c r="Z408" s="32">
        <f t="shared" si="100"/>
        <v>0</v>
      </c>
      <c r="AA408" s="32">
        <f t="shared" si="100"/>
        <v>0</v>
      </c>
      <c r="AB408" s="32">
        <f t="shared" si="100"/>
        <v>0</v>
      </c>
      <c r="AC408" s="32">
        <f t="shared" si="100"/>
        <v>0</v>
      </c>
      <c r="AD408" s="32">
        <f t="shared" si="100"/>
        <v>0</v>
      </c>
      <c r="AE408" s="32">
        <f t="shared" si="100"/>
        <v>0</v>
      </c>
    </row>
    <row r="410" spans="1:31" x14ac:dyDescent="0.45">
      <c r="A410" s="28" t="s">
        <v>1262</v>
      </c>
      <c r="B410" s="5" t="s">
        <v>55</v>
      </c>
      <c r="C410" s="5" t="s">
        <v>117</v>
      </c>
      <c r="D410" s="5">
        <v>1</v>
      </c>
      <c r="E410" s="5" t="s">
        <v>1159</v>
      </c>
      <c r="K410" s="18"/>
      <c r="L410" s="18">
        <v>0.61197797679140598</v>
      </c>
      <c r="M410" s="18">
        <v>0.61180974964187596</v>
      </c>
      <c r="N410" s="18">
        <v>0.60358310017790595</v>
      </c>
      <c r="O410" s="18">
        <v>0.60358310017790595</v>
      </c>
      <c r="P410" s="18">
        <v>0.60358310017790595</v>
      </c>
      <c r="Q410" s="18">
        <v>0.60358310017790595</v>
      </c>
      <c r="R410" s="18">
        <v>0.60358310017790595</v>
      </c>
      <c r="S410" s="18">
        <v>0.60358310017790595</v>
      </c>
      <c r="T410" s="18">
        <v>0.60358310017790595</v>
      </c>
      <c r="U410" s="18">
        <v>0.60358310017790595</v>
      </c>
      <c r="V410" s="18">
        <v>0.60358310017790595</v>
      </c>
      <c r="W410" s="18">
        <v>0.60358310017790595</v>
      </c>
      <c r="X410" s="18">
        <v>0.60358310017790595</v>
      </c>
      <c r="Y410" s="18">
        <v>0.60358310017790595</v>
      </c>
      <c r="Z410" s="18">
        <v>0.60358310017790595</v>
      </c>
      <c r="AA410" s="18">
        <v>0.60358310017790595</v>
      </c>
      <c r="AB410" s="18">
        <v>0.60358310017790595</v>
      </c>
      <c r="AC410" s="18">
        <v>0.60358310017790595</v>
      </c>
      <c r="AD410" s="18">
        <v>0.60358310017790595</v>
      </c>
      <c r="AE410" s="18">
        <v>0.60358310017790595</v>
      </c>
    </row>
    <row r="411" spans="1:31" x14ac:dyDescent="0.45">
      <c r="A411" s="28" t="s">
        <v>1262</v>
      </c>
      <c r="B411" s="5" t="s">
        <v>55</v>
      </c>
      <c r="C411" s="5" t="s">
        <v>117</v>
      </c>
      <c r="D411" s="5">
        <v>1</v>
      </c>
      <c r="E411" s="5" t="s">
        <v>1160</v>
      </c>
      <c r="K411" s="18">
        <f>INDEX(Mitigation_Industry!K:K,MATCH($A411,Mitigation_Industry!$H:$H,0))</f>
        <v>0.67114653332181595</v>
      </c>
      <c r="L411" s="18">
        <f>INDEX(Mitigation_Industry!L:L,MATCH($A411,Mitigation_Industry!$H:$H,0))</f>
        <v>0.61197797679140598</v>
      </c>
      <c r="M411" s="18">
        <f>INDEX(Mitigation_Industry!M:M,MATCH($A411,Mitigation_Industry!$H:$H,0))</f>
        <v>0.61180974964187596</v>
      </c>
      <c r="N411" s="18">
        <f>INDEX(Mitigation_Industry!N:N,MATCH($A411,Mitigation_Industry!$H:$H,0))</f>
        <v>0.60358310017790595</v>
      </c>
      <c r="O411" s="18">
        <f>INDEX(Mitigation_Industry!O:O,MATCH($A411,Mitigation_Industry!$H:$H,0))</f>
        <v>0.60358310017790595</v>
      </c>
      <c r="P411" s="18">
        <f>INDEX(Mitigation_Industry!P:P,MATCH($A411,Mitigation_Industry!$H:$H,0))</f>
        <v>0.60358310017790595</v>
      </c>
      <c r="Q411" s="18">
        <f>INDEX(Mitigation_Industry!Q:Q,MATCH($A411,Mitigation_Industry!$H:$H,0))</f>
        <v>0.60358310017790595</v>
      </c>
      <c r="R411" s="18">
        <f>INDEX(Mitigation_Industry!R:R,MATCH($A411,Mitigation_Industry!$H:$H,0))</f>
        <v>0.60358310017790595</v>
      </c>
      <c r="S411" s="18">
        <f>INDEX(Mitigation_Industry!S:S,MATCH($A411,Mitigation_Industry!$H:$H,0))</f>
        <v>0.60358310017790595</v>
      </c>
      <c r="T411" s="18">
        <f>INDEX(Mitigation_Industry!T:T,MATCH($A411,Mitigation_Industry!$H:$H,0))</f>
        <v>0.60358310017790595</v>
      </c>
      <c r="U411" s="18">
        <f>INDEX(Mitigation_Industry!U:U,MATCH($A411,Mitigation_Industry!$H:$H,0))</f>
        <v>0.60358310017790595</v>
      </c>
      <c r="V411" s="18">
        <f>INDEX(Mitigation_Industry!V:V,MATCH($A411,Mitigation_Industry!$H:$H,0))</f>
        <v>0.60358310017790595</v>
      </c>
      <c r="W411" s="18">
        <f>INDEX(Mitigation_Industry!W:W,MATCH($A411,Mitigation_Industry!$H:$H,0))</f>
        <v>0.60358310017790595</v>
      </c>
      <c r="X411" s="18">
        <f>INDEX(Mitigation_Industry!X:X,MATCH($A411,Mitigation_Industry!$H:$H,0))</f>
        <v>0.60358310017790595</v>
      </c>
      <c r="Y411" s="18">
        <f>INDEX(Mitigation_Industry!Y:Y,MATCH($A411,Mitigation_Industry!$H:$H,0))</f>
        <v>0.60358310017790595</v>
      </c>
      <c r="Z411" s="18">
        <f>INDEX(Mitigation_Industry!Z:Z,MATCH($A411,Mitigation_Industry!$H:$H,0))</f>
        <v>0.60358310017790595</v>
      </c>
      <c r="AA411" s="18">
        <f>INDEX(Mitigation_Industry!AA:AA,MATCH($A411,Mitigation_Industry!$H:$H,0))</f>
        <v>0.60358310017790595</v>
      </c>
      <c r="AB411" s="18">
        <f>INDEX(Mitigation_Industry!AB:AB,MATCH($A411,Mitigation_Industry!$H:$H,0))</f>
        <v>0.60358310017790595</v>
      </c>
      <c r="AC411" s="18">
        <f>INDEX(Mitigation_Industry!AC:AC,MATCH($A411,Mitigation_Industry!$H:$H,0))</f>
        <v>0.60358310017790595</v>
      </c>
      <c r="AD411" s="18">
        <f>INDEX(Mitigation_Industry!AD:AD,MATCH($A411,Mitigation_Industry!$H:$H,0))</f>
        <v>0.60358310017790595</v>
      </c>
      <c r="AE411" s="18">
        <f>INDEX(Mitigation_Industry!AE:AE,MATCH($A411,Mitigation_Industry!$H:$H,0))</f>
        <v>0.60358310017790595</v>
      </c>
    </row>
    <row r="412" spans="1:31" x14ac:dyDescent="0.45">
      <c r="A412" s="28" t="s">
        <v>1262</v>
      </c>
      <c r="B412" s="5" t="s">
        <v>55</v>
      </c>
      <c r="C412" s="5" t="s">
        <v>117</v>
      </c>
      <c r="D412" s="5">
        <v>1</v>
      </c>
      <c r="E412" s="2" t="s">
        <v>1161</v>
      </c>
      <c r="F412" s="31">
        <f>MAX(MAX(L412:AE412),-MIN(L412:AE412))</f>
        <v>0</v>
      </c>
      <c r="K412" s="32">
        <f t="shared" ref="K412:AE412" si="101">IF(ISNUMBER(K410),IF(ISNUMBER(K411),K411-K410,999999),0)</f>
        <v>0</v>
      </c>
      <c r="L412" s="32">
        <f t="shared" si="101"/>
        <v>0</v>
      </c>
      <c r="M412" s="32">
        <f t="shared" si="101"/>
        <v>0</v>
      </c>
      <c r="N412" s="32">
        <f t="shared" si="101"/>
        <v>0</v>
      </c>
      <c r="O412" s="32">
        <f t="shared" si="101"/>
        <v>0</v>
      </c>
      <c r="P412" s="32">
        <f t="shared" si="101"/>
        <v>0</v>
      </c>
      <c r="Q412" s="32">
        <f t="shared" si="101"/>
        <v>0</v>
      </c>
      <c r="R412" s="32">
        <f t="shared" si="101"/>
        <v>0</v>
      </c>
      <c r="S412" s="32">
        <f t="shared" si="101"/>
        <v>0</v>
      </c>
      <c r="T412" s="32">
        <f t="shared" si="101"/>
        <v>0</v>
      </c>
      <c r="U412" s="32">
        <f t="shared" si="101"/>
        <v>0</v>
      </c>
      <c r="V412" s="32">
        <f t="shared" si="101"/>
        <v>0</v>
      </c>
      <c r="W412" s="32">
        <f t="shared" si="101"/>
        <v>0</v>
      </c>
      <c r="X412" s="32">
        <f t="shared" si="101"/>
        <v>0</v>
      </c>
      <c r="Y412" s="32">
        <f t="shared" si="101"/>
        <v>0</v>
      </c>
      <c r="Z412" s="32">
        <f t="shared" si="101"/>
        <v>0</v>
      </c>
      <c r="AA412" s="32">
        <f t="shared" si="101"/>
        <v>0</v>
      </c>
      <c r="AB412" s="32">
        <f t="shared" si="101"/>
        <v>0</v>
      </c>
      <c r="AC412" s="32">
        <f t="shared" si="101"/>
        <v>0</v>
      </c>
      <c r="AD412" s="32">
        <f t="shared" si="101"/>
        <v>0</v>
      </c>
      <c r="AE412" s="32">
        <f t="shared" si="101"/>
        <v>0</v>
      </c>
    </row>
    <row r="414" spans="1:31" x14ac:dyDescent="0.45">
      <c r="A414" s="28" t="s">
        <v>1263</v>
      </c>
      <c r="B414" s="5" t="s">
        <v>58</v>
      </c>
      <c r="C414" s="5" t="s">
        <v>117</v>
      </c>
      <c r="D414" s="5">
        <v>1</v>
      </c>
      <c r="E414" s="5" t="s">
        <v>1159</v>
      </c>
      <c r="K414" s="18"/>
      <c r="L414" s="18">
        <v>0.49458873084106802</v>
      </c>
      <c r="M414" s="18">
        <v>0.50778654720250105</v>
      </c>
      <c r="N414" s="18">
        <v>0.47043642679561698</v>
      </c>
      <c r="O414" s="18">
        <v>0.47043642679561698</v>
      </c>
      <c r="P414" s="18">
        <v>0.47043642679561698</v>
      </c>
      <c r="Q414" s="18">
        <v>0.47043642679561698</v>
      </c>
      <c r="R414" s="18">
        <v>0.47043642679561698</v>
      </c>
      <c r="S414" s="18">
        <v>0.47043642679561698</v>
      </c>
      <c r="T414" s="18">
        <v>0.47043642679561698</v>
      </c>
      <c r="U414" s="18">
        <v>0.47043642679561698</v>
      </c>
      <c r="V414" s="18">
        <v>0.47043642679561698</v>
      </c>
      <c r="W414" s="18">
        <v>0.47043642679561698</v>
      </c>
      <c r="X414" s="18">
        <v>0.47043642679561698</v>
      </c>
      <c r="Y414" s="18">
        <v>0.47043642679561698</v>
      </c>
      <c r="Z414" s="18">
        <v>0.47043642679561698</v>
      </c>
      <c r="AA414" s="18">
        <v>0.47043642679561698</v>
      </c>
      <c r="AB414" s="18">
        <v>0.47043642679561698</v>
      </c>
      <c r="AC414" s="18">
        <v>0.47043642679561698</v>
      </c>
      <c r="AD414" s="18">
        <v>0.47043642679561698</v>
      </c>
      <c r="AE414" s="18">
        <v>0.47043642679561698</v>
      </c>
    </row>
    <row r="415" spans="1:31" x14ac:dyDescent="0.45">
      <c r="A415" s="28" t="s">
        <v>1263</v>
      </c>
      <c r="B415" s="5" t="s">
        <v>58</v>
      </c>
      <c r="C415" s="5" t="s">
        <v>117</v>
      </c>
      <c r="D415" s="5">
        <v>1</v>
      </c>
      <c r="E415" s="5" t="s">
        <v>1160</v>
      </c>
      <c r="K415" s="18">
        <f>INDEX(Mitigation_Industry!K:K,MATCH($A415,Mitigation_Industry!$H:$H,0))</f>
        <v>0.55971121315568795</v>
      </c>
      <c r="L415" s="18">
        <f>INDEX(Mitigation_Industry!L:L,MATCH($A415,Mitigation_Industry!$H:$H,0))</f>
        <v>0.49458873084106802</v>
      </c>
      <c r="M415" s="18">
        <f>INDEX(Mitigation_Industry!M:M,MATCH($A415,Mitigation_Industry!$H:$H,0))</f>
        <v>0.50778654720250105</v>
      </c>
      <c r="N415" s="18">
        <f>INDEX(Mitigation_Industry!N:N,MATCH($A415,Mitigation_Industry!$H:$H,0))</f>
        <v>0.47043642679561698</v>
      </c>
      <c r="O415" s="18">
        <f>INDEX(Mitigation_Industry!O:O,MATCH($A415,Mitigation_Industry!$H:$H,0))</f>
        <v>0.47043642679561698</v>
      </c>
      <c r="P415" s="18">
        <f>INDEX(Mitigation_Industry!P:P,MATCH($A415,Mitigation_Industry!$H:$H,0))</f>
        <v>0.47043642679561698</v>
      </c>
      <c r="Q415" s="18">
        <f>INDEX(Mitigation_Industry!Q:Q,MATCH($A415,Mitigation_Industry!$H:$H,0))</f>
        <v>0.47043642679561698</v>
      </c>
      <c r="R415" s="18">
        <f>INDEX(Mitigation_Industry!R:R,MATCH($A415,Mitigation_Industry!$H:$H,0))</f>
        <v>0.47043642679561698</v>
      </c>
      <c r="S415" s="18">
        <f>INDEX(Mitigation_Industry!S:S,MATCH($A415,Mitigation_Industry!$H:$H,0))</f>
        <v>0.47043642679561698</v>
      </c>
      <c r="T415" s="18">
        <f>INDEX(Mitigation_Industry!T:T,MATCH($A415,Mitigation_Industry!$H:$H,0))</f>
        <v>0.47043642679561698</v>
      </c>
      <c r="U415" s="18">
        <f>INDEX(Mitigation_Industry!U:U,MATCH($A415,Mitigation_Industry!$H:$H,0))</f>
        <v>0.47043642679561698</v>
      </c>
      <c r="V415" s="18">
        <f>INDEX(Mitigation_Industry!V:V,MATCH($A415,Mitigation_Industry!$H:$H,0))</f>
        <v>0.47043642679561698</v>
      </c>
      <c r="W415" s="18">
        <f>INDEX(Mitigation_Industry!W:W,MATCH($A415,Mitigation_Industry!$H:$H,0))</f>
        <v>0.47043642679561698</v>
      </c>
      <c r="X415" s="18">
        <f>INDEX(Mitigation_Industry!X:X,MATCH($A415,Mitigation_Industry!$H:$H,0))</f>
        <v>0.47043642679561698</v>
      </c>
      <c r="Y415" s="18">
        <f>INDEX(Mitigation_Industry!Y:Y,MATCH($A415,Mitigation_Industry!$H:$H,0))</f>
        <v>0.47043642679561698</v>
      </c>
      <c r="Z415" s="18">
        <f>INDEX(Mitigation_Industry!Z:Z,MATCH($A415,Mitigation_Industry!$H:$H,0))</f>
        <v>0.47043642679561698</v>
      </c>
      <c r="AA415" s="18">
        <f>INDEX(Mitigation_Industry!AA:AA,MATCH($A415,Mitigation_Industry!$H:$H,0))</f>
        <v>0.47043642679561698</v>
      </c>
      <c r="AB415" s="18">
        <f>INDEX(Mitigation_Industry!AB:AB,MATCH($A415,Mitigation_Industry!$H:$H,0))</f>
        <v>0.47043642679561698</v>
      </c>
      <c r="AC415" s="18">
        <f>INDEX(Mitigation_Industry!AC:AC,MATCH($A415,Mitigation_Industry!$H:$H,0))</f>
        <v>0.47043642679561698</v>
      </c>
      <c r="AD415" s="18">
        <f>INDEX(Mitigation_Industry!AD:AD,MATCH($A415,Mitigation_Industry!$H:$H,0))</f>
        <v>0.47043642679561698</v>
      </c>
      <c r="AE415" s="18">
        <f>INDEX(Mitigation_Industry!AE:AE,MATCH($A415,Mitigation_Industry!$H:$H,0))</f>
        <v>0.47043642679561698</v>
      </c>
    </row>
    <row r="416" spans="1:31" x14ac:dyDescent="0.45">
      <c r="A416" s="28" t="s">
        <v>1263</v>
      </c>
      <c r="B416" s="5" t="s">
        <v>58</v>
      </c>
      <c r="C416" s="5" t="s">
        <v>117</v>
      </c>
      <c r="D416" s="5">
        <v>1</v>
      </c>
      <c r="E416" s="2" t="s">
        <v>1161</v>
      </c>
      <c r="F416" s="31">
        <f>MAX(MAX(L416:AE416),-MIN(L416:AE416))</f>
        <v>0</v>
      </c>
      <c r="K416" s="32">
        <f t="shared" ref="K416:AE416" si="102">IF(ISNUMBER(K414),IF(ISNUMBER(K415),K415-K414,999999),0)</f>
        <v>0</v>
      </c>
      <c r="L416" s="32">
        <f t="shared" si="102"/>
        <v>0</v>
      </c>
      <c r="M416" s="32">
        <f t="shared" si="102"/>
        <v>0</v>
      </c>
      <c r="N416" s="32">
        <f t="shared" si="102"/>
        <v>0</v>
      </c>
      <c r="O416" s="32">
        <f t="shared" si="102"/>
        <v>0</v>
      </c>
      <c r="P416" s="32">
        <f t="shared" si="102"/>
        <v>0</v>
      </c>
      <c r="Q416" s="32">
        <f t="shared" si="102"/>
        <v>0</v>
      </c>
      <c r="R416" s="32">
        <f t="shared" si="102"/>
        <v>0</v>
      </c>
      <c r="S416" s="32">
        <f t="shared" si="102"/>
        <v>0</v>
      </c>
      <c r="T416" s="32">
        <f t="shared" si="102"/>
        <v>0</v>
      </c>
      <c r="U416" s="32">
        <f t="shared" si="102"/>
        <v>0</v>
      </c>
      <c r="V416" s="32">
        <f t="shared" si="102"/>
        <v>0</v>
      </c>
      <c r="W416" s="32">
        <f t="shared" si="102"/>
        <v>0</v>
      </c>
      <c r="X416" s="32">
        <f t="shared" si="102"/>
        <v>0</v>
      </c>
      <c r="Y416" s="32">
        <f t="shared" si="102"/>
        <v>0</v>
      </c>
      <c r="Z416" s="32">
        <f t="shared" si="102"/>
        <v>0</v>
      </c>
      <c r="AA416" s="32">
        <f t="shared" si="102"/>
        <v>0</v>
      </c>
      <c r="AB416" s="32">
        <f t="shared" si="102"/>
        <v>0</v>
      </c>
      <c r="AC416" s="32">
        <f t="shared" si="102"/>
        <v>0</v>
      </c>
      <c r="AD416" s="32">
        <f t="shared" si="102"/>
        <v>0</v>
      </c>
      <c r="AE416" s="32">
        <f t="shared" si="102"/>
        <v>0</v>
      </c>
    </row>
    <row r="418" spans="1:31" x14ac:dyDescent="0.45">
      <c r="A418" s="28" t="s">
        <v>1264</v>
      </c>
      <c r="B418" s="5" t="s">
        <v>60</v>
      </c>
      <c r="C418" s="5" t="s">
        <v>117</v>
      </c>
      <c r="D418" s="5">
        <v>1</v>
      </c>
      <c r="E418" s="5" t="s">
        <v>1159</v>
      </c>
      <c r="K418" s="18"/>
      <c r="L418" s="18">
        <v>0.15734473625227399</v>
      </c>
      <c r="M418" s="18">
        <v>0.164484037759277</v>
      </c>
      <c r="N418" s="18">
        <v>0.15070907780704901</v>
      </c>
      <c r="O418" s="18">
        <v>0.15070907780704901</v>
      </c>
      <c r="P418" s="18">
        <v>0.15070907780704901</v>
      </c>
      <c r="Q418" s="18">
        <v>0.15070907780704901</v>
      </c>
      <c r="R418" s="18">
        <v>0.15070907780704901</v>
      </c>
      <c r="S418" s="18">
        <v>0.15070907780704901</v>
      </c>
      <c r="T418" s="18">
        <v>0.15070907780704901</v>
      </c>
      <c r="U418" s="18">
        <v>0.15070907780704901</v>
      </c>
      <c r="V418" s="18">
        <v>0.15070907780704901</v>
      </c>
      <c r="W418" s="18">
        <v>0.15070907780704901</v>
      </c>
      <c r="X418" s="18">
        <v>0.15070907780704901</v>
      </c>
      <c r="Y418" s="18">
        <v>0.15070907780704901</v>
      </c>
      <c r="Z418" s="18">
        <v>0.15070907780704901</v>
      </c>
      <c r="AA418" s="18">
        <v>0.15070907780704901</v>
      </c>
      <c r="AB418" s="18">
        <v>0.15070907780704901</v>
      </c>
      <c r="AC418" s="18">
        <v>0.15070907780704901</v>
      </c>
      <c r="AD418" s="18">
        <v>0.15070907780704901</v>
      </c>
      <c r="AE418" s="18">
        <v>0.15070907780704901</v>
      </c>
    </row>
    <row r="419" spans="1:31" x14ac:dyDescent="0.45">
      <c r="A419" s="28" t="s">
        <v>1264</v>
      </c>
      <c r="B419" s="5" t="s">
        <v>60</v>
      </c>
      <c r="C419" s="5" t="s">
        <v>117</v>
      </c>
      <c r="D419" s="5">
        <v>1</v>
      </c>
      <c r="E419" s="5" t="s">
        <v>1160</v>
      </c>
      <c r="K419" s="18">
        <f>INDEX(Mitigation_Industry!K:K,MATCH($A419,Mitigation_Industry!$H:$H,0))</f>
        <v>0.20036669112673799</v>
      </c>
      <c r="L419" s="18">
        <f>INDEX(Mitigation_Industry!L:L,MATCH($A419,Mitigation_Industry!$H:$H,0))</f>
        <v>0.15734473625227399</v>
      </c>
      <c r="M419" s="18">
        <f>INDEX(Mitigation_Industry!M:M,MATCH($A419,Mitigation_Industry!$H:$H,0))</f>
        <v>0.164484037759277</v>
      </c>
      <c r="N419" s="18">
        <f>INDEX(Mitigation_Industry!N:N,MATCH($A419,Mitigation_Industry!$H:$H,0))</f>
        <v>0.15070907780704901</v>
      </c>
      <c r="O419" s="18">
        <f>INDEX(Mitigation_Industry!O:O,MATCH($A419,Mitigation_Industry!$H:$H,0))</f>
        <v>0.15070907780704901</v>
      </c>
      <c r="P419" s="18">
        <f>INDEX(Mitigation_Industry!P:P,MATCH($A419,Mitigation_Industry!$H:$H,0))</f>
        <v>0.15070907780704901</v>
      </c>
      <c r="Q419" s="18">
        <f>INDEX(Mitigation_Industry!Q:Q,MATCH($A419,Mitigation_Industry!$H:$H,0))</f>
        <v>0.15070907780704901</v>
      </c>
      <c r="R419" s="18">
        <f>INDEX(Mitigation_Industry!R:R,MATCH($A419,Mitigation_Industry!$H:$H,0))</f>
        <v>0.15070907780704901</v>
      </c>
      <c r="S419" s="18">
        <f>INDEX(Mitigation_Industry!S:S,MATCH($A419,Mitigation_Industry!$H:$H,0))</f>
        <v>0.15070907780704901</v>
      </c>
      <c r="T419" s="18">
        <f>INDEX(Mitigation_Industry!T:T,MATCH($A419,Mitigation_Industry!$H:$H,0))</f>
        <v>0.15070907780704901</v>
      </c>
      <c r="U419" s="18">
        <f>INDEX(Mitigation_Industry!U:U,MATCH($A419,Mitigation_Industry!$H:$H,0))</f>
        <v>0.15070907780704901</v>
      </c>
      <c r="V419" s="18">
        <f>INDEX(Mitigation_Industry!V:V,MATCH($A419,Mitigation_Industry!$H:$H,0))</f>
        <v>0.15070907780704901</v>
      </c>
      <c r="W419" s="18">
        <f>INDEX(Mitigation_Industry!W:W,MATCH($A419,Mitigation_Industry!$H:$H,0))</f>
        <v>0.15070907780704901</v>
      </c>
      <c r="X419" s="18">
        <f>INDEX(Mitigation_Industry!X:X,MATCH($A419,Mitigation_Industry!$H:$H,0))</f>
        <v>0.15070907780704901</v>
      </c>
      <c r="Y419" s="18">
        <f>INDEX(Mitigation_Industry!Y:Y,MATCH($A419,Mitigation_Industry!$H:$H,0))</f>
        <v>0.15070907780704901</v>
      </c>
      <c r="Z419" s="18">
        <f>INDEX(Mitigation_Industry!Z:Z,MATCH($A419,Mitigation_Industry!$H:$H,0))</f>
        <v>0.15070907780704901</v>
      </c>
      <c r="AA419" s="18">
        <f>INDEX(Mitigation_Industry!AA:AA,MATCH($A419,Mitigation_Industry!$H:$H,0))</f>
        <v>0.15070907780704901</v>
      </c>
      <c r="AB419" s="18">
        <f>INDEX(Mitigation_Industry!AB:AB,MATCH($A419,Mitigation_Industry!$H:$H,0))</f>
        <v>0.15070907780704901</v>
      </c>
      <c r="AC419" s="18">
        <f>INDEX(Mitigation_Industry!AC:AC,MATCH($A419,Mitigation_Industry!$H:$H,0))</f>
        <v>0.15070907780704901</v>
      </c>
      <c r="AD419" s="18">
        <f>INDEX(Mitigation_Industry!AD:AD,MATCH($A419,Mitigation_Industry!$H:$H,0))</f>
        <v>0.15070907780704901</v>
      </c>
      <c r="AE419" s="18">
        <f>INDEX(Mitigation_Industry!AE:AE,MATCH($A419,Mitigation_Industry!$H:$H,0))</f>
        <v>0.15070907780704901</v>
      </c>
    </row>
    <row r="420" spans="1:31" x14ac:dyDescent="0.45">
      <c r="A420" s="28" t="s">
        <v>1264</v>
      </c>
      <c r="B420" s="5" t="s">
        <v>60</v>
      </c>
      <c r="C420" s="5" t="s">
        <v>117</v>
      </c>
      <c r="D420" s="5">
        <v>1</v>
      </c>
      <c r="E420" s="2" t="s">
        <v>1161</v>
      </c>
      <c r="F420" s="31">
        <f>MAX(MAX(L420:AE420),-MIN(L420:AE420))</f>
        <v>0</v>
      </c>
      <c r="K420" s="32">
        <f t="shared" ref="K420:AE420" si="103">IF(ISNUMBER(K418),IF(ISNUMBER(K419),K419-K418,999999),0)</f>
        <v>0</v>
      </c>
      <c r="L420" s="32">
        <f t="shared" si="103"/>
        <v>0</v>
      </c>
      <c r="M420" s="32">
        <f t="shared" si="103"/>
        <v>0</v>
      </c>
      <c r="N420" s="32">
        <f t="shared" si="103"/>
        <v>0</v>
      </c>
      <c r="O420" s="32">
        <f t="shared" si="103"/>
        <v>0</v>
      </c>
      <c r="P420" s="32">
        <f t="shared" si="103"/>
        <v>0</v>
      </c>
      <c r="Q420" s="32">
        <f t="shared" si="103"/>
        <v>0</v>
      </c>
      <c r="R420" s="32">
        <f t="shared" si="103"/>
        <v>0</v>
      </c>
      <c r="S420" s="32">
        <f t="shared" si="103"/>
        <v>0</v>
      </c>
      <c r="T420" s="32">
        <f t="shared" si="103"/>
        <v>0</v>
      </c>
      <c r="U420" s="32">
        <f t="shared" si="103"/>
        <v>0</v>
      </c>
      <c r="V420" s="32">
        <f t="shared" si="103"/>
        <v>0</v>
      </c>
      <c r="W420" s="32">
        <f t="shared" si="103"/>
        <v>0</v>
      </c>
      <c r="X420" s="32">
        <f t="shared" si="103"/>
        <v>0</v>
      </c>
      <c r="Y420" s="32">
        <f t="shared" si="103"/>
        <v>0</v>
      </c>
      <c r="Z420" s="32">
        <f t="shared" si="103"/>
        <v>0</v>
      </c>
      <c r="AA420" s="32">
        <f t="shared" si="103"/>
        <v>0</v>
      </c>
      <c r="AB420" s="32">
        <f t="shared" si="103"/>
        <v>0</v>
      </c>
      <c r="AC420" s="32">
        <f t="shared" si="103"/>
        <v>0</v>
      </c>
      <c r="AD420" s="32">
        <f t="shared" si="103"/>
        <v>0</v>
      </c>
      <c r="AE420" s="32">
        <f t="shared" si="103"/>
        <v>0</v>
      </c>
    </row>
    <row r="422" spans="1:31" x14ac:dyDescent="0.45">
      <c r="A422" s="28" t="s">
        <v>1265</v>
      </c>
      <c r="B422" s="5" t="s">
        <v>62</v>
      </c>
      <c r="C422" s="5" t="s">
        <v>117</v>
      </c>
      <c r="D422" s="5">
        <v>1</v>
      </c>
      <c r="E422" s="5" t="s">
        <v>1159</v>
      </c>
      <c r="K422" s="18"/>
      <c r="L422" s="18">
        <v>0.45642817050012802</v>
      </c>
      <c r="M422" s="18">
        <v>0.43168920195599497</v>
      </c>
      <c r="N422" s="18">
        <v>0.42507558395597</v>
      </c>
      <c r="O422" s="18">
        <v>0.42507558395597</v>
      </c>
      <c r="P422" s="18">
        <v>0.42507558395597</v>
      </c>
      <c r="Q422" s="18">
        <v>0.42507558395597</v>
      </c>
      <c r="R422" s="18">
        <v>0.42507558395597</v>
      </c>
      <c r="S422" s="18">
        <v>0.42507558395597</v>
      </c>
      <c r="T422" s="18">
        <v>0.42507558395597</v>
      </c>
      <c r="U422" s="18">
        <v>0.42507558395597</v>
      </c>
      <c r="V422" s="18">
        <v>0.42507558395597</v>
      </c>
      <c r="W422" s="18">
        <v>0.42507558395597</v>
      </c>
      <c r="X422" s="18">
        <v>0.42507558395597</v>
      </c>
      <c r="Y422" s="18">
        <v>0.42507558395597</v>
      </c>
      <c r="Z422" s="18">
        <v>0.42507558395597</v>
      </c>
      <c r="AA422" s="18">
        <v>0.42507558395597</v>
      </c>
      <c r="AB422" s="18">
        <v>0.42507558395597</v>
      </c>
      <c r="AC422" s="18">
        <v>0.42507558395597</v>
      </c>
      <c r="AD422" s="18">
        <v>0.42507558395597</v>
      </c>
      <c r="AE422" s="18">
        <v>0.42507558395597</v>
      </c>
    </row>
    <row r="423" spans="1:31" x14ac:dyDescent="0.45">
      <c r="A423" s="28" t="s">
        <v>1265</v>
      </c>
      <c r="B423" s="5" t="s">
        <v>62</v>
      </c>
      <c r="C423" s="5" t="s">
        <v>117</v>
      </c>
      <c r="D423" s="5">
        <v>1</v>
      </c>
      <c r="E423" s="5" t="s">
        <v>1160</v>
      </c>
      <c r="K423" s="18">
        <f>INDEX(Mitigation_Industry!K:K,MATCH($A423,Mitigation_Industry!$H:$H,0))</f>
        <v>0.48429424097343499</v>
      </c>
      <c r="L423" s="18">
        <f>INDEX(Mitigation_Industry!L:L,MATCH($A423,Mitigation_Industry!$H:$H,0))</f>
        <v>0.45642817050012802</v>
      </c>
      <c r="M423" s="18">
        <f>INDEX(Mitigation_Industry!M:M,MATCH($A423,Mitigation_Industry!$H:$H,0))</f>
        <v>0.43168920195599497</v>
      </c>
      <c r="N423" s="18">
        <f>INDEX(Mitigation_Industry!N:N,MATCH($A423,Mitigation_Industry!$H:$H,0))</f>
        <v>0.42507558395597</v>
      </c>
      <c r="O423" s="18">
        <f>INDEX(Mitigation_Industry!O:O,MATCH($A423,Mitigation_Industry!$H:$H,0))</f>
        <v>0.42507558395597</v>
      </c>
      <c r="P423" s="18">
        <f>INDEX(Mitigation_Industry!P:P,MATCH($A423,Mitigation_Industry!$H:$H,0))</f>
        <v>0.42507558395597</v>
      </c>
      <c r="Q423" s="18">
        <f>INDEX(Mitigation_Industry!Q:Q,MATCH($A423,Mitigation_Industry!$H:$H,0))</f>
        <v>0.42507558395597</v>
      </c>
      <c r="R423" s="18">
        <f>INDEX(Mitigation_Industry!R:R,MATCH($A423,Mitigation_Industry!$H:$H,0))</f>
        <v>0.42507558395597</v>
      </c>
      <c r="S423" s="18">
        <f>INDEX(Mitigation_Industry!S:S,MATCH($A423,Mitigation_Industry!$H:$H,0))</f>
        <v>0.42507558395597</v>
      </c>
      <c r="T423" s="18">
        <f>INDEX(Mitigation_Industry!T:T,MATCH($A423,Mitigation_Industry!$H:$H,0))</f>
        <v>0.42507558395597</v>
      </c>
      <c r="U423" s="18">
        <f>INDEX(Mitigation_Industry!U:U,MATCH($A423,Mitigation_Industry!$H:$H,0))</f>
        <v>0.42507558395597</v>
      </c>
      <c r="V423" s="18">
        <f>INDEX(Mitigation_Industry!V:V,MATCH($A423,Mitigation_Industry!$H:$H,0))</f>
        <v>0.42507558395597</v>
      </c>
      <c r="W423" s="18">
        <f>INDEX(Mitigation_Industry!W:W,MATCH($A423,Mitigation_Industry!$H:$H,0))</f>
        <v>0.42507558395597</v>
      </c>
      <c r="X423" s="18">
        <f>INDEX(Mitigation_Industry!X:X,MATCH($A423,Mitigation_Industry!$H:$H,0))</f>
        <v>0.42507558395597</v>
      </c>
      <c r="Y423" s="18">
        <f>INDEX(Mitigation_Industry!Y:Y,MATCH($A423,Mitigation_Industry!$H:$H,0))</f>
        <v>0.42507558395597</v>
      </c>
      <c r="Z423" s="18">
        <f>INDEX(Mitigation_Industry!Z:Z,MATCH($A423,Mitigation_Industry!$H:$H,0))</f>
        <v>0.42507558395597</v>
      </c>
      <c r="AA423" s="18">
        <f>INDEX(Mitigation_Industry!AA:AA,MATCH($A423,Mitigation_Industry!$H:$H,0))</f>
        <v>0.42507558395597</v>
      </c>
      <c r="AB423" s="18">
        <f>INDEX(Mitigation_Industry!AB:AB,MATCH($A423,Mitigation_Industry!$H:$H,0))</f>
        <v>0.42507558395597</v>
      </c>
      <c r="AC423" s="18">
        <f>INDEX(Mitigation_Industry!AC:AC,MATCH($A423,Mitigation_Industry!$H:$H,0))</f>
        <v>0.42507558395597</v>
      </c>
      <c r="AD423" s="18">
        <f>INDEX(Mitigation_Industry!AD:AD,MATCH($A423,Mitigation_Industry!$H:$H,0))</f>
        <v>0.42507558395597</v>
      </c>
      <c r="AE423" s="18">
        <f>INDEX(Mitigation_Industry!AE:AE,MATCH($A423,Mitigation_Industry!$H:$H,0))</f>
        <v>0.42507558395597</v>
      </c>
    </row>
    <row r="424" spans="1:31" x14ac:dyDescent="0.45">
      <c r="A424" s="28" t="s">
        <v>1265</v>
      </c>
      <c r="B424" s="5" t="s">
        <v>62</v>
      </c>
      <c r="C424" s="5" t="s">
        <v>117</v>
      </c>
      <c r="D424" s="5">
        <v>1</v>
      </c>
      <c r="E424" s="2" t="s">
        <v>1161</v>
      </c>
      <c r="F424" s="31">
        <f>MAX(MAX(L424:AE424),-MIN(L424:AE424))</f>
        <v>0</v>
      </c>
      <c r="K424" s="32">
        <f t="shared" ref="K424:AE424" si="104">IF(ISNUMBER(K422),IF(ISNUMBER(K423),K423-K422,999999),0)</f>
        <v>0</v>
      </c>
      <c r="L424" s="32">
        <f t="shared" si="104"/>
        <v>0</v>
      </c>
      <c r="M424" s="32">
        <f t="shared" si="104"/>
        <v>0</v>
      </c>
      <c r="N424" s="32">
        <f t="shared" si="104"/>
        <v>0</v>
      </c>
      <c r="O424" s="32">
        <f t="shared" si="104"/>
        <v>0</v>
      </c>
      <c r="P424" s="32">
        <f t="shared" si="104"/>
        <v>0</v>
      </c>
      <c r="Q424" s="32">
        <f t="shared" si="104"/>
        <v>0</v>
      </c>
      <c r="R424" s="32">
        <f t="shared" si="104"/>
        <v>0</v>
      </c>
      <c r="S424" s="32">
        <f t="shared" si="104"/>
        <v>0</v>
      </c>
      <c r="T424" s="32">
        <f t="shared" si="104"/>
        <v>0</v>
      </c>
      <c r="U424" s="32">
        <f t="shared" si="104"/>
        <v>0</v>
      </c>
      <c r="V424" s="32">
        <f t="shared" si="104"/>
        <v>0</v>
      </c>
      <c r="W424" s="32">
        <f t="shared" si="104"/>
        <v>0</v>
      </c>
      <c r="X424" s="32">
        <f t="shared" si="104"/>
        <v>0</v>
      </c>
      <c r="Y424" s="32">
        <f t="shared" si="104"/>
        <v>0</v>
      </c>
      <c r="Z424" s="32">
        <f t="shared" si="104"/>
        <v>0</v>
      </c>
      <c r="AA424" s="32">
        <f t="shared" si="104"/>
        <v>0</v>
      </c>
      <c r="AB424" s="32">
        <f t="shared" si="104"/>
        <v>0</v>
      </c>
      <c r="AC424" s="32">
        <f t="shared" si="104"/>
        <v>0</v>
      </c>
      <c r="AD424" s="32">
        <f t="shared" si="104"/>
        <v>0</v>
      </c>
      <c r="AE424" s="32">
        <f t="shared" si="104"/>
        <v>0</v>
      </c>
    </row>
    <row r="426" spans="1:31" x14ac:dyDescent="0.45">
      <c r="A426" s="28" t="s">
        <v>1266</v>
      </c>
      <c r="B426" s="5" t="s">
        <v>64</v>
      </c>
      <c r="C426" s="5" t="s">
        <v>117</v>
      </c>
      <c r="D426" s="5">
        <v>1</v>
      </c>
      <c r="E426" s="5" t="s">
        <v>1159</v>
      </c>
      <c r="K426" s="18"/>
      <c r="L426" s="18">
        <v>34.4153703043132</v>
      </c>
      <c r="M426" s="18">
        <v>37.368960690431997</v>
      </c>
      <c r="N426" s="18">
        <v>28.982761101477301</v>
      </c>
      <c r="O426" s="18">
        <v>15</v>
      </c>
      <c r="P426" s="18">
        <v>24.2586300842555</v>
      </c>
      <c r="Q426" s="18">
        <v>15</v>
      </c>
      <c r="R426" s="18">
        <v>15</v>
      </c>
      <c r="S426" s="18">
        <v>15</v>
      </c>
      <c r="T426" s="18">
        <v>15</v>
      </c>
      <c r="U426" s="18">
        <v>15</v>
      </c>
      <c r="V426" s="18">
        <v>15</v>
      </c>
      <c r="W426" s="18">
        <v>15</v>
      </c>
      <c r="X426" s="18">
        <v>15</v>
      </c>
      <c r="Y426" s="18">
        <v>15</v>
      </c>
      <c r="Z426" s="18">
        <v>15</v>
      </c>
      <c r="AA426" s="18">
        <v>15</v>
      </c>
      <c r="AB426" s="18">
        <v>15</v>
      </c>
      <c r="AC426" s="18">
        <v>15</v>
      </c>
      <c r="AD426" s="18">
        <v>15</v>
      </c>
      <c r="AE426" s="18">
        <v>15</v>
      </c>
    </row>
    <row r="427" spans="1:31" x14ac:dyDescent="0.45">
      <c r="A427" s="28" t="s">
        <v>1266</v>
      </c>
      <c r="B427" s="5" t="s">
        <v>64</v>
      </c>
      <c r="C427" s="5" t="s">
        <v>117</v>
      </c>
      <c r="D427" s="5">
        <v>1</v>
      </c>
      <c r="E427" s="5" t="s">
        <v>1160</v>
      </c>
      <c r="K427" s="18">
        <f>INDEX(Mitigation_Industry!K:K,MATCH($A427,Mitigation_Industry!$H:$H,0))</f>
        <v>41.500338498868402</v>
      </c>
      <c r="L427" s="18">
        <f>INDEX(Mitigation_Industry!L:L,MATCH($A427,Mitigation_Industry!$H:$H,0))</f>
        <v>34.4153703043132</v>
      </c>
      <c r="M427" s="18">
        <f>INDEX(Mitigation_Industry!M:M,MATCH($A427,Mitigation_Industry!$H:$H,0))</f>
        <v>37.368960690431997</v>
      </c>
      <c r="N427" s="18">
        <f>INDEX(Mitigation_Industry!N:N,MATCH($A427,Mitigation_Industry!$H:$H,0))</f>
        <v>28.982761101477301</v>
      </c>
      <c r="O427" s="18">
        <f>INDEX(Mitigation_Industry!O:O,MATCH($A427,Mitigation_Industry!$H:$H,0))</f>
        <v>15</v>
      </c>
      <c r="P427" s="18">
        <f>INDEX(Mitigation_Industry!P:P,MATCH($A427,Mitigation_Industry!$H:$H,0))</f>
        <v>24.2586300842555</v>
      </c>
      <c r="Q427" s="18">
        <f>INDEX(Mitigation_Industry!Q:Q,MATCH($A427,Mitigation_Industry!$H:$H,0))</f>
        <v>15</v>
      </c>
      <c r="R427" s="18">
        <f>INDEX(Mitigation_Industry!R:R,MATCH($A427,Mitigation_Industry!$H:$H,0))</f>
        <v>15</v>
      </c>
      <c r="S427" s="18">
        <f>INDEX(Mitigation_Industry!S:S,MATCH($A427,Mitigation_Industry!$H:$H,0))</f>
        <v>15</v>
      </c>
      <c r="T427" s="18">
        <f>INDEX(Mitigation_Industry!T:T,MATCH($A427,Mitigation_Industry!$H:$H,0))</f>
        <v>15</v>
      </c>
      <c r="U427" s="18">
        <f>INDEX(Mitigation_Industry!U:U,MATCH($A427,Mitigation_Industry!$H:$H,0))</f>
        <v>15</v>
      </c>
      <c r="V427" s="18">
        <f>INDEX(Mitigation_Industry!V:V,MATCH($A427,Mitigation_Industry!$H:$H,0))</f>
        <v>15</v>
      </c>
      <c r="W427" s="18">
        <f>INDEX(Mitigation_Industry!W:W,MATCH($A427,Mitigation_Industry!$H:$H,0))</f>
        <v>15</v>
      </c>
      <c r="X427" s="18">
        <f>INDEX(Mitigation_Industry!X:X,MATCH($A427,Mitigation_Industry!$H:$H,0))</f>
        <v>15</v>
      </c>
      <c r="Y427" s="18">
        <f>INDEX(Mitigation_Industry!Y:Y,MATCH($A427,Mitigation_Industry!$H:$H,0))</f>
        <v>15</v>
      </c>
      <c r="Z427" s="18">
        <f>INDEX(Mitigation_Industry!Z:Z,MATCH($A427,Mitigation_Industry!$H:$H,0))</f>
        <v>15</v>
      </c>
      <c r="AA427" s="18">
        <f>INDEX(Mitigation_Industry!AA:AA,MATCH($A427,Mitigation_Industry!$H:$H,0))</f>
        <v>15</v>
      </c>
      <c r="AB427" s="18">
        <f>INDEX(Mitigation_Industry!AB:AB,MATCH($A427,Mitigation_Industry!$H:$H,0))</f>
        <v>15</v>
      </c>
      <c r="AC427" s="18">
        <f>INDEX(Mitigation_Industry!AC:AC,MATCH($A427,Mitigation_Industry!$H:$H,0))</f>
        <v>15</v>
      </c>
      <c r="AD427" s="18">
        <f>INDEX(Mitigation_Industry!AD:AD,MATCH($A427,Mitigation_Industry!$H:$H,0))</f>
        <v>15</v>
      </c>
      <c r="AE427" s="18">
        <f>INDEX(Mitigation_Industry!AE:AE,MATCH($A427,Mitigation_Industry!$H:$H,0))</f>
        <v>15</v>
      </c>
    </row>
    <row r="428" spans="1:31" x14ac:dyDescent="0.45">
      <c r="A428" s="28" t="s">
        <v>1266</v>
      </c>
      <c r="B428" s="5" t="s">
        <v>64</v>
      </c>
      <c r="C428" s="5" t="s">
        <v>117</v>
      </c>
      <c r="D428" s="5">
        <v>1</v>
      </c>
      <c r="E428" s="2" t="s">
        <v>1161</v>
      </c>
      <c r="F428" s="31">
        <f>MAX(MAX(L428:AE428),-MIN(L428:AE428))</f>
        <v>0</v>
      </c>
      <c r="K428" s="32">
        <f t="shared" ref="K428:AE428" si="105">IF(ISNUMBER(K426),IF(ISNUMBER(K427),K427-K426,999999),0)</f>
        <v>0</v>
      </c>
      <c r="L428" s="32">
        <f t="shared" si="105"/>
        <v>0</v>
      </c>
      <c r="M428" s="32">
        <f t="shared" si="105"/>
        <v>0</v>
      </c>
      <c r="N428" s="32">
        <f t="shared" si="105"/>
        <v>0</v>
      </c>
      <c r="O428" s="32">
        <f t="shared" si="105"/>
        <v>0</v>
      </c>
      <c r="P428" s="32">
        <f t="shared" si="105"/>
        <v>0</v>
      </c>
      <c r="Q428" s="32">
        <f t="shared" si="105"/>
        <v>0</v>
      </c>
      <c r="R428" s="32">
        <f t="shared" si="105"/>
        <v>0</v>
      </c>
      <c r="S428" s="32">
        <f t="shared" si="105"/>
        <v>0</v>
      </c>
      <c r="T428" s="32">
        <f t="shared" si="105"/>
        <v>0</v>
      </c>
      <c r="U428" s="32">
        <f t="shared" si="105"/>
        <v>0</v>
      </c>
      <c r="V428" s="32">
        <f t="shared" si="105"/>
        <v>0</v>
      </c>
      <c r="W428" s="32">
        <f t="shared" si="105"/>
        <v>0</v>
      </c>
      <c r="X428" s="32">
        <f t="shared" si="105"/>
        <v>0</v>
      </c>
      <c r="Y428" s="32">
        <f t="shared" si="105"/>
        <v>0</v>
      </c>
      <c r="Z428" s="32">
        <f t="shared" si="105"/>
        <v>0</v>
      </c>
      <c r="AA428" s="32">
        <f t="shared" si="105"/>
        <v>0</v>
      </c>
      <c r="AB428" s="32">
        <f t="shared" si="105"/>
        <v>0</v>
      </c>
      <c r="AC428" s="32">
        <f t="shared" si="105"/>
        <v>0</v>
      </c>
      <c r="AD428" s="32">
        <f t="shared" si="105"/>
        <v>0</v>
      </c>
      <c r="AE428" s="32">
        <f t="shared" si="105"/>
        <v>0</v>
      </c>
    </row>
    <row r="430" spans="1:31" x14ac:dyDescent="0.45">
      <c r="A430" s="28" t="s">
        <v>1267</v>
      </c>
      <c r="B430" s="5" t="s">
        <v>67</v>
      </c>
      <c r="C430" s="5" t="s">
        <v>117</v>
      </c>
      <c r="D430" s="5">
        <v>1</v>
      </c>
      <c r="E430" s="5" t="s">
        <v>1159</v>
      </c>
      <c r="K430" s="18"/>
      <c r="L430" s="18">
        <v>14.199528390634899</v>
      </c>
      <c r="M430" s="18">
        <v>13.8404416133152</v>
      </c>
      <c r="N430" s="18">
        <v>13.5677269404465</v>
      </c>
      <c r="O430" s="18">
        <v>13.5677269404465</v>
      </c>
      <c r="P430" s="18">
        <v>13.5677269404465</v>
      </c>
      <c r="Q430" s="18">
        <v>13.5677269404465</v>
      </c>
      <c r="R430" s="18">
        <v>13.5677269404465</v>
      </c>
      <c r="S430" s="18">
        <v>13.5677269404465</v>
      </c>
      <c r="T430" s="18">
        <v>13.5677269404465</v>
      </c>
      <c r="U430" s="18">
        <v>13.5677269404465</v>
      </c>
      <c r="V430" s="18">
        <v>13.5677269404465</v>
      </c>
      <c r="W430" s="18">
        <v>13.5677269404465</v>
      </c>
      <c r="X430" s="18">
        <v>13.5677269404465</v>
      </c>
      <c r="Y430" s="18">
        <v>13.5677269404465</v>
      </c>
      <c r="Z430" s="18">
        <v>13.5677269404465</v>
      </c>
      <c r="AA430" s="18">
        <v>13.5677269404465</v>
      </c>
      <c r="AB430" s="18">
        <v>13.5677269404465</v>
      </c>
      <c r="AC430" s="18">
        <v>13.5677269404465</v>
      </c>
      <c r="AD430" s="18">
        <v>13.5677269404465</v>
      </c>
      <c r="AE430" s="18">
        <v>13.5677269404465</v>
      </c>
    </row>
    <row r="431" spans="1:31" x14ac:dyDescent="0.45">
      <c r="A431" s="28" t="s">
        <v>1267</v>
      </c>
      <c r="B431" s="5" t="s">
        <v>67</v>
      </c>
      <c r="C431" s="5" t="s">
        <v>117</v>
      </c>
      <c r="D431" s="5">
        <v>1</v>
      </c>
      <c r="E431" s="5" t="s">
        <v>1160</v>
      </c>
      <c r="K431" s="18">
        <f>INDEX(Mitigation_Industry!K:K,MATCH($A431,Mitigation_Industry!$H:$H,0))</f>
        <v>15.3345505293169</v>
      </c>
      <c r="L431" s="18">
        <f>INDEX(Mitigation_Industry!L:L,MATCH($A431,Mitigation_Industry!$H:$H,0))</f>
        <v>14.199528390634899</v>
      </c>
      <c r="M431" s="18">
        <f>INDEX(Mitigation_Industry!M:M,MATCH($A431,Mitigation_Industry!$H:$H,0))</f>
        <v>13.8404416133152</v>
      </c>
      <c r="N431" s="18">
        <f>INDEX(Mitigation_Industry!N:N,MATCH($A431,Mitigation_Industry!$H:$H,0))</f>
        <v>13.5677269404465</v>
      </c>
      <c r="O431" s="18">
        <f>INDEX(Mitigation_Industry!O:O,MATCH($A431,Mitigation_Industry!$H:$H,0))</f>
        <v>13.5677269404465</v>
      </c>
      <c r="P431" s="18">
        <f>INDEX(Mitigation_Industry!P:P,MATCH($A431,Mitigation_Industry!$H:$H,0))</f>
        <v>13.5677269404465</v>
      </c>
      <c r="Q431" s="18">
        <f>INDEX(Mitigation_Industry!Q:Q,MATCH($A431,Mitigation_Industry!$H:$H,0))</f>
        <v>13.5677269404465</v>
      </c>
      <c r="R431" s="18">
        <f>INDEX(Mitigation_Industry!R:R,MATCH($A431,Mitigation_Industry!$H:$H,0))</f>
        <v>13.5677269404465</v>
      </c>
      <c r="S431" s="18">
        <f>INDEX(Mitigation_Industry!S:S,MATCH($A431,Mitigation_Industry!$H:$H,0))</f>
        <v>13.5677269404465</v>
      </c>
      <c r="T431" s="18">
        <f>INDEX(Mitigation_Industry!T:T,MATCH($A431,Mitigation_Industry!$H:$H,0))</f>
        <v>13.5677269404465</v>
      </c>
      <c r="U431" s="18">
        <f>INDEX(Mitigation_Industry!U:U,MATCH($A431,Mitigation_Industry!$H:$H,0))</f>
        <v>13.5677269404465</v>
      </c>
      <c r="V431" s="18">
        <f>INDEX(Mitigation_Industry!V:V,MATCH($A431,Mitigation_Industry!$H:$H,0))</f>
        <v>13.5677269404465</v>
      </c>
      <c r="W431" s="18">
        <f>INDEX(Mitigation_Industry!W:W,MATCH($A431,Mitigation_Industry!$H:$H,0))</f>
        <v>13.5677269404465</v>
      </c>
      <c r="X431" s="18">
        <f>INDEX(Mitigation_Industry!X:X,MATCH($A431,Mitigation_Industry!$H:$H,0))</f>
        <v>13.5677269404465</v>
      </c>
      <c r="Y431" s="18">
        <f>INDEX(Mitigation_Industry!Y:Y,MATCH($A431,Mitigation_Industry!$H:$H,0))</f>
        <v>13.5677269404465</v>
      </c>
      <c r="Z431" s="18">
        <f>INDEX(Mitigation_Industry!Z:Z,MATCH($A431,Mitigation_Industry!$H:$H,0))</f>
        <v>13.5677269404465</v>
      </c>
      <c r="AA431" s="18">
        <f>INDEX(Mitigation_Industry!AA:AA,MATCH($A431,Mitigation_Industry!$H:$H,0))</f>
        <v>13.5677269404465</v>
      </c>
      <c r="AB431" s="18">
        <f>INDEX(Mitigation_Industry!AB:AB,MATCH($A431,Mitigation_Industry!$H:$H,0))</f>
        <v>13.5677269404465</v>
      </c>
      <c r="AC431" s="18">
        <f>INDEX(Mitigation_Industry!AC:AC,MATCH($A431,Mitigation_Industry!$H:$H,0))</f>
        <v>13.5677269404465</v>
      </c>
      <c r="AD431" s="18">
        <f>INDEX(Mitigation_Industry!AD:AD,MATCH($A431,Mitigation_Industry!$H:$H,0))</f>
        <v>13.5677269404465</v>
      </c>
      <c r="AE431" s="18">
        <f>INDEX(Mitigation_Industry!AE:AE,MATCH($A431,Mitigation_Industry!$H:$H,0))</f>
        <v>13.5677269404465</v>
      </c>
    </row>
    <row r="432" spans="1:31" x14ac:dyDescent="0.45">
      <c r="A432" s="28" t="s">
        <v>1267</v>
      </c>
      <c r="B432" s="5" t="s">
        <v>67</v>
      </c>
      <c r="C432" s="5" t="s">
        <v>117</v>
      </c>
      <c r="D432" s="5">
        <v>1</v>
      </c>
      <c r="E432" s="2" t="s">
        <v>1161</v>
      </c>
      <c r="F432" s="31">
        <f>MAX(MAX(L432:AE432),-MIN(L432:AE432))</f>
        <v>0</v>
      </c>
      <c r="K432" s="32">
        <f t="shared" ref="K432:AE432" si="106">IF(ISNUMBER(K430),IF(ISNUMBER(K431),K431-K430,999999),0)</f>
        <v>0</v>
      </c>
      <c r="L432" s="32">
        <f t="shared" si="106"/>
        <v>0</v>
      </c>
      <c r="M432" s="32">
        <f t="shared" si="106"/>
        <v>0</v>
      </c>
      <c r="N432" s="32">
        <f t="shared" si="106"/>
        <v>0</v>
      </c>
      <c r="O432" s="32">
        <f t="shared" si="106"/>
        <v>0</v>
      </c>
      <c r="P432" s="32">
        <f t="shared" si="106"/>
        <v>0</v>
      </c>
      <c r="Q432" s="32">
        <f t="shared" si="106"/>
        <v>0</v>
      </c>
      <c r="R432" s="32">
        <f t="shared" si="106"/>
        <v>0</v>
      </c>
      <c r="S432" s="32">
        <f t="shared" si="106"/>
        <v>0</v>
      </c>
      <c r="T432" s="32">
        <f t="shared" si="106"/>
        <v>0</v>
      </c>
      <c r="U432" s="32">
        <f t="shared" si="106"/>
        <v>0</v>
      </c>
      <c r="V432" s="32">
        <f t="shared" si="106"/>
        <v>0</v>
      </c>
      <c r="W432" s="32">
        <f t="shared" si="106"/>
        <v>0</v>
      </c>
      <c r="X432" s="32">
        <f t="shared" si="106"/>
        <v>0</v>
      </c>
      <c r="Y432" s="32">
        <f t="shared" si="106"/>
        <v>0</v>
      </c>
      <c r="Z432" s="32">
        <f t="shared" si="106"/>
        <v>0</v>
      </c>
      <c r="AA432" s="32">
        <f t="shared" si="106"/>
        <v>0</v>
      </c>
      <c r="AB432" s="32">
        <f t="shared" si="106"/>
        <v>0</v>
      </c>
      <c r="AC432" s="32">
        <f t="shared" si="106"/>
        <v>0</v>
      </c>
      <c r="AD432" s="32">
        <f t="shared" si="106"/>
        <v>0</v>
      </c>
      <c r="AE432" s="32">
        <f t="shared" si="106"/>
        <v>0</v>
      </c>
    </row>
    <row r="434" spans="1:31" x14ac:dyDescent="0.45">
      <c r="A434" s="28" t="s">
        <v>1268</v>
      </c>
      <c r="B434" s="5" t="s">
        <v>69</v>
      </c>
      <c r="C434" s="5" t="s">
        <v>117</v>
      </c>
      <c r="D434" s="5">
        <v>1</v>
      </c>
      <c r="E434" s="5" t="s">
        <v>1159</v>
      </c>
      <c r="K434" s="18"/>
      <c r="L434" s="18">
        <v>0.14404498679319799</v>
      </c>
      <c r="M434" s="18">
        <v>0.14102040965700399</v>
      </c>
      <c r="N434" s="18">
        <v>0.13511635959447599</v>
      </c>
      <c r="O434" s="18">
        <v>0.13098825698585601</v>
      </c>
      <c r="P434" s="18">
        <v>0.12790841608631801</v>
      </c>
      <c r="Q434" s="18">
        <v>0.124814310557813</v>
      </c>
      <c r="R434" s="18">
        <v>0.121460257122878</v>
      </c>
      <c r="S434" s="18">
        <v>0.117950744135786</v>
      </c>
      <c r="T434" s="18">
        <v>0.114199161044597</v>
      </c>
      <c r="U434" s="18">
        <v>0.113665100059665</v>
      </c>
      <c r="V434" s="18">
        <v>0.113016929625957</v>
      </c>
      <c r="W434" s="18">
        <v>0.112314070507636</v>
      </c>
      <c r="X434" s="18">
        <v>0.11142204273284299</v>
      </c>
      <c r="Y434" s="18">
        <v>0.110434123675809</v>
      </c>
      <c r="Z434" s="18">
        <v>0.109483973304471</v>
      </c>
      <c r="AA434" s="18">
        <v>0.10839192105294</v>
      </c>
      <c r="AB434" s="18">
        <v>0.10735443362670399</v>
      </c>
      <c r="AC434" s="18">
        <v>0.105168675441661</v>
      </c>
      <c r="AD434" s="18">
        <v>0.103057983256008</v>
      </c>
      <c r="AE434" s="18">
        <v>0.100931838990114</v>
      </c>
    </row>
    <row r="435" spans="1:31" x14ac:dyDescent="0.45">
      <c r="A435" s="28" t="s">
        <v>1268</v>
      </c>
      <c r="B435" s="5" t="s">
        <v>69</v>
      </c>
      <c r="C435" s="5" t="s">
        <v>117</v>
      </c>
      <c r="D435" s="5">
        <v>1</v>
      </c>
      <c r="E435" s="5" t="s">
        <v>1160</v>
      </c>
      <c r="K435" s="18">
        <f>INDEX(Mitigation_Industry!K:K,MATCH($A435,Mitigation_Industry!$H:$H,0))</f>
        <v>0</v>
      </c>
      <c r="L435" s="18">
        <f>INDEX(Mitigation_Industry!L:L,MATCH($A435,Mitigation_Industry!$H:$H,0))</f>
        <v>0.14404498679319799</v>
      </c>
      <c r="M435" s="18">
        <f>INDEX(Mitigation_Industry!M:M,MATCH($A435,Mitigation_Industry!$H:$H,0))</f>
        <v>0.14102040965700399</v>
      </c>
      <c r="N435" s="18">
        <f>INDEX(Mitigation_Industry!N:N,MATCH($A435,Mitigation_Industry!$H:$H,0))</f>
        <v>0.13511635959447599</v>
      </c>
      <c r="O435" s="18">
        <f>INDEX(Mitigation_Industry!O:O,MATCH($A435,Mitigation_Industry!$H:$H,0))</f>
        <v>0.13098825698585601</v>
      </c>
      <c r="P435" s="18">
        <f>INDEX(Mitigation_Industry!P:P,MATCH($A435,Mitigation_Industry!$H:$H,0))</f>
        <v>0.12790841608631801</v>
      </c>
      <c r="Q435" s="18">
        <f>INDEX(Mitigation_Industry!Q:Q,MATCH($A435,Mitigation_Industry!$H:$H,0))</f>
        <v>0.124814310557813</v>
      </c>
      <c r="R435" s="18">
        <f>INDEX(Mitigation_Industry!R:R,MATCH($A435,Mitigation_Industry!$H:$H,0))</f>
        <v>0.121460257122878</v>
      </c>
      <c r="S435" s="18">
        <f>INDEX(Mitigation_Industry!S:S,MATCH($A435,Mitigation_Industry!$H:$H,0))</f>
        <v>0.117950744135786</v>
      </c>
      <c r="T435" s="18">
        <f>INDEX(Mitigation_Industry!T:T,MATCH($A435,Mitigation_Industry!$H:$H,0))</f>
        <v>0.114199161044597</v>
      </c>
      <c r="U435" s="18">
        <f>INDEX(Mitigation_Industry!U:U,MATCH($A435,Mitigation_Industry!$H:$H,0))</f>
        <v>0.113665100059665</v>
      </c>
      <c r="V435" s="18">
        <f>INDEX(Mitigation_Industry!V:V,MATCH($A435,Mitigation_Industry!$H:$H,0))</f>
        <v>0.113016929625957</v>
      </c>
      <c r="W435" s="18">
        <f>INDEX(Mitigation_Industry!W:W,MATCH($A435,Mitigation_Industry!$H:$H,0))</f>
        <v>0.112314070507636</v>
      </c>
      <c r="X435" s="18">
        <f>INDEX(Mitigation_Industry!X:X,MATCH($A435,Mitigation_Industry!$H:$H,0))</f>
        <v>0.11142204273284299</v>
      </c>
      <c r="Y435" s="18">
        <f>INDEX(Mitigation_Industry!Y:Y,MATCH($A435,Mitigation_Industry!$H:$H,0))</f>
        <v>0.110434123675809</v>
      </c>
      <c r="Z435" s="18">
        <f>INDEX(Mitigation_Industry!Z:Z,MATCH($A435,Mitigation_Industry!$H:$H,0))</f>
        <v>0.109483973304471</v>
      </c>
      <c r="AA435" s="18">
        <f>INDEX(Mitigation_Industry!AA:AA,MATCH($A435,Mitigation_Industry!$H:$H,0))</f>
        <v>0.10839192105294</v>
      </c>
      <c r="AB435" s="18">
        <f>INDEX(Mitigation_Industry!AB:AB,MATCH($A435,Mitigation_Industry!$H:$H,0))</f>
        <v>0.10735443362670399</v>
      </c>
      <c r="AC435" s="18">
        <f>INDEX(Mitigation_Industry!AC:AC,MATCH($A435,Mitigation_Industry!$H:$H,0))</f>
        <v>0.105168675441661</v>
      </c>
      <c r="AD435" s="18">
        <f>INDEX(Mitigation_Industry!AD:AD,MATCH($A435,Mitigation_Industry!$H:$H,0))</f>
        <v>0.103057983256008</v>
      </c>
      <c r="AE435" s="18">
        <f>INDEX(Mitigation_Industry!AE:AE,MATCH($A435,Mitigation_Industry!$H:$H,0))</f>
        <v>0.100931838990114</v>
      </c>
    </row>
    <row r="436" spans="1:31" x14ac:dyDescent="0.45">
      <c r="A436" s="28" t="s">
        <v>1268</v>
      </c>
      <c r="B436" s="5" t="s">
        <v>69</v>
      </c>
      <c r="C436" s="5" t="s">
        <v>117</v>
      </c>
      <c r="D436" s="5">
        <v>1</v>
      </c>
      <c r="E436" s="2" t="s">
        <v>1161</v>
      </c>
      <c r="F436" s="31">
        <f>MAX(MAX(L436:AE436),-MIN(L436:AE436))</f>
        <v>0</v>
      </c>
      <c r="K436" s="32">
        <f t="shared" ref="K436:AE436" si="107">IF(ISNUMBER(K434),IF(ISNUMBER(K435),K435-K434,999999),0)</f>
        <v>0</v>
      </c>
      <c r="L436" s="32">
        <f t="shared" si="107"/>
        <v>0</v>
      </c>
      <c r="M436" s="32">
        <f t="shared" si="107"/>
        <v>0</v>
      </c>
      <c r="N436" s="32">
        <f t="shared" si="107"/>
        <v>0</v>
      </c>
      <c r="O436" s="32">
        <f t="shared" si="107"/>
        <v>0</v>
      </c>
      <c r="P436" s="32">
        <f t="shared" si="107"/>
        <v>0</v>
      </c>
      <c r="Q436" s="32">
        <f t="shared" si="107"/>
        <v>0</v>
      </c>
      <c r="R436" s="32">
        <f t="shared" si="107"/>
        <v>0</v>
      </c>
      <c r="S436" s="32">
        <f t="shared" si="107"/>
        <v>0</v>
      </c>
      <c r="T436" s="32">
        <f t="shared" si="107"/>
        <v>0</v>
      </c>
      <c r="U436" s="32">
        <f t="shared" si="107"/>
        <v>0</v>
      </c>
      <c r="V436" s="32">
        <f t="shared" si="107"/>
        <v>0</v>
      </c>
      <c r="W436" s="32">
        <f t="shared" si="107"/>
        <v>0</v>
      </c>
      <c r="X436" s="32">
        <f t="shared" si="107"/>
        <v>0</v>
      </c>
      <c r="Y436" s="32">
        <f t="shared" si="107"/>
        <v>0</v>
      </c>
      <c r="Z436" s="32">
        <f t="shared" si="107"/>
        <v>0</v>
      </c>
      <c r="AA436" s="32">
        <f t="shared" si="107"/>
        <v>0</v>
      </c>
      <c r="AB436" s="32">
        <f t="shared" si="107"/>
        <v>0</v>
      </c>
      <c r="AC436" s="32">
        <f t="shared" si="107"/>
        <v>0</v>
      </c>
      <c r="AD436" s="32">
        <f t="shared" si="107"/>
        <v>0</v>
      </c>
      <c r="AE436" s="32">
        <f t="shared" si="107"/>
        <v>0</v>
      </c>
    </row>
    <row r="438" spans="1:31" x14ac:dyDescent="0.45">
      <c r="A438" s="28" t="s">
        <v>1269</v>
      </c>
      <c r="B438" s="5" t="s">
        <v>49</v>
      </c>
      <c r="C438" s="5" t="s">
        <v>43</v>
      </c>
      <c r="D438" s="5">
        <v>2</v>
      </c>
      <c r="E438" s="5" t="s">
        <v>1159</v>
      </c>
      <c r="K438" s="18"/>
      <c r="L438" s="18">
        <v>10.5233613454312</v>
      </c>
      <c r="M438" s="18">
        <v>10.2995608274442</v>
      </c>
      <c r="N438" s="18">
        <v>9.5775283595382597</v>
      </c>
      <c r="O438" s="18">
        <v>8.4854782869580507</v>
      </c>
      <c r="P438" s="18">
        <v>9.0871922352498604</v>
      </c>
      <c r="Q438" s="18">
        <v>10.472923728932701</v>
      </c>
      <c r="R438" s="18">
        <v>11.6585649555097</v>
      </c>
      <c r="S438" s="18">
        <v>12.839547877397401</v>
      </c>
      <c r="T438" s="18">
        <v>14.0156816660228</v>
      </c>
      <c r="U438" s="18">
        <v>15.194397765557101</v>
      </c>
      <c r="V438" s="18">
        <v>16.444397765557099</v>
      </c>
      <c r="W438" s="18">
        <v>17.694397765557099</v>
      </c>
      <c r="X438" s="18">
        <v>18.944397765557099</v>
      </c>
      <c r="Y438" s="18">
        <v>20.194397765557099</v>
      </c>
      <c r="Z438" s="18">
        <v>21.444397765557099</v>
      </c>
      <c r="AA438" s="18">
        <v>22.694397765557099</v>
      </c>
      <c r="AB438" s="18">
        <v>23.944397765557099</v>
      </c>
      <c r="AC438" s="18">
        <v>25.194397765557099</v>
      </c>
      <c r="AD438" s="18">
        <v>26.444397765557099</v>
      </c>
      <c r="AE438" s="18">
        <v>27.694397765557099</v>
      </c>
    </row>
    <row r="439" spans="1:31" x14ac:dyDescent="0.45">
      <c r="A439" s="28" t="s">
        <v>1269</v>
      </c>
      <c r="B439" s="5" t="s">
        <v>49</v>
      </c>
      <c r="C439" s="5" t="s">
        <v>43</v>
      </c>
      <c r="D439" s="5">
        <v>2</v>
      </c>
      <c r="E439" s="5" t="s">
        <v>1160</v>
      </c>
      <c r="K439" s="18">
        <f>INDEX(Mitigation_Industry!K:K,MATCH($A439,Mitigation_Industry!$H:$H,0))</f>
        <v>11.182901589243899</v>
      </c>
      <c r="L439" s="18">
        <f>INDEX(Mitigation_Industry!L:L,MATCH($A439,Mitigation_Industry!$H:$H,0))</f>
        <v>10.5233613454312</v>
      </c>
      <c r="M439" s="18">
        <f>INDEX(Mitigation_Industry!M:M,MATCH($A439,Mitigation_Industry!$H:$H,0))</f>
        <v>10.2995608274442</v>
      </c>
      <c r="N439" s="18">
        <f>INDEX(Mitigation_Industry!N:N,MATCH($A439,Mitigation_Industry!$H:$H,0))</f>
        <v>9.5775283595382597</v>
      </c>
      <c r="O439" s="18">
        <f>INDEX(Mitigation_Industry!O:O,MATCH($A439,Mitigation_Industry!$H:$H,0))</f>
        <v>8.4854782869580507</v>
      </c>
      <c r="P439" s="18">
        <f>INDEX(Mitigation_Industry!P:P,MATCH($A439,Mitigation_Industry!$H:$H,0))</f>
        <v>9.0871922352498604</v>
      </c>
      <c r="Q439" s="18">
        <f>INDEX(Mitigation_Industry!Q:Q,MATCH($A439,Mitigation_Industry!$H:$H,0))</f>
        <v>10.472923728932679</v>
      </c>
      <c r="R439" s="18">
        <f>INDEX(Mitigation_Industry!R:R,MATCH($A439,Mitigation_Industry!$H:$H,0))</f>
        <v>11.658564955509689</v>
      </c>
      <c r="S439" s="18">
        <f>INDEX(Mitigation_Industry!S:S,MATCH($A439,Mitigation_Industry!$H:$H,0))</f>
        <v>12.839547877397379</v>
      </c>
      <c r="T439" s="18">
        <f>INDEX(Mitigation_Industry!T:T,MATCH($A439,Mitigation_Industry!$H:$H,0))</f>
        <v>14.01568166602283</v>
      </c>
      <c r="U439" s="18">
        <f>INDEX(Mitigation_Industry!U:U,MATCH($A439,Mitigation_Industry!$H:$H,0))</f>
        <v>15.19439776555711</v>
      </c>
      <c r="V439" s="18">
        <f>INDEX(Mitigation_Industry!V:V,MATCH($A439,Mitigation_Industry!$H:$H,0))</f>
        <v>16.44439776555711</v>
      </c>
      <c r="W439" s="18">
        <f>INDEX(Mitigation_Industry!W:W,MATCH($A439,Mitigation_Industry!$H:$H,0))</f>
        <v>17.69439776555711</v>
      </c>
      <c r="X439" s="18">
        <f>INDEX(Mitigation_Industry!X:X,MATCH($A439,Mitigation_Industry!$H:$H,0))</f>
        <v>18.94439776555711</v>
      </c>
      <c r="Y439" s="18">
        <f>INDEX(Mitigation_Industry!Y:Y,MATCH($A439,Mitigation_Industry!$H:$H,0))</f>
        <v>20.19439776555711</v>
      </c>
      <c r="Z439" s="18">
        <f>INDEX(Mitigation_Industry!Z:Z,MATCH($A439,Mitigation_Industry!$H:$H,0))</f>
        <v>21.44439776555711</v>
      </c>
      <c r="AA439" s="18">
        <f>INDEX(Mitigation_Industry!AA:AA,MATCH($A439,Mitigation_Industry!$H:$H,0))</f>
        <v>22.69439776555711</v>
      </c>
      <c r="AB439" s="18">
        <f>INDEX(Mitigation_Industry!AB:AB,MATCH($A439,Mitigation_Industry!$H:$H,0))</f>
        <v>23.94439776555711</v>
      </c>
      <c r="AC439" s="18">
        <f>INDEX(Mitigation_Industry!AC:AC,MATCH($A439,Mitigation_Industry!$H:$H,0))</f>
        <v>25.19439776555711</v>
      </c>
      <c r="AD439" s="18">
        <f>INDEX(Mitigation_Industry!AD:AD,MATCH($A439,Mitigation_Industry!$H:$H,0))</f>
        <v>26.44439776555711</v>
      </c>
      <c r="AE439" s="18">
        <f>INDEX(Mitigation_Industry!AE:AE,MATCH($A439,Mitigation_Industry!$H:$H,0))</f>
        <v>27.69439776555711</v>
      </c>
    </row>
    <row r="440" spans="1:31" x14ac:dyDescent="0.45">
      <c r="A440" s="28" t="s">
        <v>1269</v>
      </c>
      <c r="B440" s="5" t="s">
        <v>49</v>
      </c>
      <c r="C440" s="5" t="s">
        <v>43</v>
      </c>
      <c r="D440" s="5">
        <v>2</v>
      </c>
      <c r="E440" s="2" t="s">
        <v>1161</v>
      </c>
      <c r="F440" s="31">
        <f>MAX(MAX(L440:AE440),-MIN(L440:AE440))</f>
        <v>3.0198066269804258E-14</v>
      </c>
      <c r="K440" s="32">
        <f t="shared" ref="K440:AE440" si="108">IF(ISNUMBER(K438),IF(ISNUMBER(K439),K439-K438,999999),0)</f>
        <v>0</v>
      </c>
      <c r="L440" s="32">
        <f t="shared" si="108"/>
        <v>0</v>
      </c>
      <c r="M440" s="32">
        <f t="shared" si="108"/>
        <v>0</v>
      </c>
      <c r="N440" s="32">
        <f t="shared" si="108"/>
        <v>0</v>
      </c>
      <c r="O440" s="32">
        <f t="shared" si="108"/>
        <v>0</v>
      </c>
      <c r="P440" s="32">
        <f t="shared" si="108"/>
        <v>0</v>
      </c>
      <c r="Q440" s="32">
        <f t="shared" si="108"/>
        <v>-2.1316282072803006E-14</v>
      </c>
      <c r="R440" s="32">
        <f t="shared" si="108"/>
        <v>-1.0658141036401503E-14</v>
      </c>
      <c r="S440" s="32">
        <f t="shared" si="108"/>
        <v>-2.1316282072803006E-14</v>
      </c>
      <c r="T440" s="32">
        <f t="shared" si="108"/>
        <v>3.0198066269804258E-14</v>
      </c>
      <c r="U440" s="32">
        <f t="shared" si="108"/>
        <v>8.8817841970012523E-15</v>
      </c>
      <c r="V440" s="32">
        <f t="shared" si="108"/>
        <v>1.0658141036401503E-14</v>
      </c>
      <c r="W440" s="32">
        <f t="shared" si="108"/>
        <v>1.0658141036401503E-14</v>
      </c>
      <c r="X440" s="32">
        <f t="shared" si="108"/>
        <v>1.0658141036401503E-14</v>
      </c>
      <c r="Y440" s="32">
        <f t="shared" si="108"/>
        <v>1.0658141036401503E-14</v>
      </c>
      <c r="Z440" s="32">
        <f t="shared" si="108"/>
        <v>1.0658141036401503E-14</v>
      </c>
      <c r="AA440" s="32">
        <f t="shared" si="108"/>
        <v>1.0658141036401503E-14</v>
      </c>
      <c r="AB440" s="32">
        <f t="shared" si="108"/>
        <v>1.0658141036401503E-14</v>
      </c>
      <c r="AC440" s="32">
        <f t="shared" si="108"/>
        <v>1.0658141036401503E-14</v>
      </c>
      <c r="AD440" s="32">
        <f t="shared" si="108"/>
        <v>1.0658141036401503E-14</v>
      </c>
      <c r="AE440" s="32">
        <f t="shared" si="108"/>
        <v>1.0658141036401503E-14</v>
      </c>
    </row>
    <row r="442" spans="1:31" x14ac:dyDescent="0.45">
      <c r="A442" s="28" t="s">
        <v>1270</v>
      </c>
      <c r="B442" s="5" t="s">
        <v>53</v>
      </c>
      <c r="C442" s="5" t="s">
        <v>43</v>
      </c>
      <c r="D442" s="5">
        <v>2</v>
      </c>
      <c r="E442" s="5" t="s">
        <v>1159</v>
      </c>
      <c r="K442" s="18"/>
      <c r="L442" s="18">
        <v>5.4510150816191896</v>
      </c>
      <c r="M442" s="18">
        <v>5.1193563062624801</v>
      </c>
      <c r="N442" s="18">
        <v>5.08218458640407</v>
      </c>
      <c r="O442" s="18">
        <v>5.08218458640407</v>
      </c>
      <c r="P442" s="18">
        <v>5.08218458640407</v>
      </c>
      <c r="Q442" s="18">
        <v>5.7796845864040698</v>
      </c>
      <c r="R442" s="18">
        <v>6.4771845864040696</v>
      </c>
      <c r="S442" s="18">
        <v>7.1746845864040703</v>
      </c>
      <c r="T442" s="18">
        <v>7.87218458640407</v>
      </c>
      <c r="U442" s="18">
        <v>8.5696845864040707</v>
      </c>
      <c r="V442" s="18">
        <v>9.2671845864040705</v>
      </c>
      <c r="W442" s="18">
        <v>9.9646845864040703</v>
      </c>
      <c r="X442" s="18">
        <v>10.6621845864041</v>
      </c>
      <c r="Y442" s="18">
        <v>11.3596845864041</v>
      </c>
      <c r="Z442" s="18">
        <v>12.0571845864041</v>
      </c>
      <c r="AA442" s="18">
        <v>12.7546845864041</v>
      </c>
      <c r="AB442" s="18">
        <v>13.452184586404099</v>
      </c>
      <c r="AC442" s="18">
        <v>14.149684586404099</v>
      </c>
      <c r="AD442" s="18">
        <v>14.847184586404101</v>
      </c>
      <c r="AE442" s="18">
        <v>15.544684586404101</v>
      </c>
    </row>
    <row r="443" spans="1:31" x14ac:dyDescent="0.45">
      <c r="A443" s="28" t="s">
        <v>1270</v>
      </c>
      <c r="B443" s="5" t="s">
        <v>53</v>
      </c>
      <c r="C443" s="5" t="s">
        <v>43</v>
      </c>
      <c r="D443" s="5">
        <v>2</v>
      </c>
      <c r="E443" s="5" t="s">
        <v>1160</v>
      </c>
      <c r="K443" s="18">
        <f>INDEX(Mitigation_Industry!K:K,MATCH($A443,Mitigation_Industry!$H:$H,0))</f>
        <v>6.0634636156729096</v>
      </c>
      <c r="L443" s="18">
        <f>INDEX(Mitigation_Industry!L:L,MATCH($A443,Mitigation_Industry!$H:$H,0))</f>
        <v>5.4510150816191896</v>
      </c>
      <c r="M443" s="18">
        <f>INDEX(Mitigation_Industry!M:M,MATCH($A443,Mitigation_Industry!$H:$H,0))</f>
        <v>5.1193563062624801</v>
      </c>
      <c r="N443" s="18">
        <f>INDEX(Mitigation_Industry!N:N,MATCH($A443,Mitigation_Industry!$H:$H,0))</f>
        <v>5.08218458640407</v>
      </c>
      <c r="O443" s="18">
        <f>INDEX(Mitigation_Industry!O:O,MATCH($A443,Mitigation_Industry!$H:$H,0))</f>
        <v>5.08218458640407</v>
      </c>
      <c r="P443" s="18">
        <f>INDEX(Mitigation_Industry!P:P,MATCH($A443,Mitigation_Industry!$H:$H,0))</f>
        <v>5.08218458640407</v>
      </c>
      <c r="Q443" s="18">
        <f>INDEX(Mitigation_Industry!Q:Q,MATCH($A443,Mitigation_Industry!$H:$H,0))</f>
        <v>5.7796845864040698</v>
      </c>
      <c r="R443" s="18">
        <f>INDEX(Mitigation_Industry!R:R,MATCH($A443,Mitigation_Industry!$H:$H,0))</f>
        <v>6.4771845864040696</v>
      </c>
      <c r="S443" s="18">
        <f>INDEX(Mitigation_Industry!S:S,MATCH($A443,Mitigation_Industry!$H:$H,0))</f>
        <v>7.1746845864040703</v>
      </c>
      <c r="T443" s="18">
        <f>INDEX(Mitigation_Industry!T:T,MATCH($A443,Mitigation_Industry!$H:$H,0))</f>
        <v>7.87218458640407</v>
      </c>
      <c r="U443" s="18">
        <f>INDEX(Mitigation_Industry!U:U,MATCH($A443,Mitigation_Industry!$H:$H,0))</f>
        <v>8.5696845864040707</v>
      </c>
      <c r="V443" s="18">
        <f>INDEX(Mitigation_Industry!V:V,MATCH($A443,Mitigation_Industry!$H:$H,0))</f>
        <v>9.2671845864040705</v>
      </c>
      <c r="W443" s="18">
        <f>INDEX(Mitigation_Industry!W:W,MATCH($A443,Mitigation_Industry!$H:$H,0))</f>
        <v>9.9646845864040703</v>
      </c>
      <c r="X443" s="18">
        <f>INDEX(Mitigation_Industry!X:X,MATCH($A443,Mitigation_Industry!$H:$H,0))</f>
        <v>10.66218458640407</v>
      </c>
      <c r="Y443" s="18">
        <f>INDEX(Mitigation_Industry!Y:Y,MATCH($A443,Mitigation_Industry!$H:$H,0))</f>
        <v>11.35968458640407</v>
      </c>
      <c r="Z443" s="18">
        <f>INDEX(Mitigation_Industry!Z:Z,MATCH($A443,Mitigation_Industry!$H:$H,0))</f>
        <v>12.05718458640407</v>
      </c>
      <c r="AA443" s="18">
        <f>INDEX(Mitigation_Industry!AA:AA,MATCH($A443,Mitigation_Industry!$H:$H,0))</f>
        <v>12.754684586404071</v>
      </c>
      <c r="AB443" s="18">
        <f>INDEX(Mitigation_Industry!AB:AB,MATCH($A443,Mitigation_Industry!$H:$H,0))</f>
        <v>13.452184586404071</v>
      </c>
      <c r="AC443" s="18">
        <f>INDEX(Mitigation_Industry!AC:AC,MATCH($A443,Mitigation_Industry!$H:$H,0))</f>
        <v>14.149684586404071</v>
      </c>
      <c r="AD443" s="18">
        <f>INDEX(Mitigation_Industry!AD:AD,MATCH($A443,Mitigation_Industry!$H:$H,0))</f>
        <v>14.847184586404071</v>
      </c>
      <c r="AE443" s="18">
        <f>INDEX(Mitigation_Industry!AE:AE,MATCH($A443,Mitigation_Industry!$H:$H,0))</f>
        <v>15.54468458640407</v>
      </c>
    </row>
    <row r="444" spans="1:31" x14ac:dyDescent="0.45">
      <c r="A444" s="28" t="s">
        <v>1270</v>
      </c>
      <c r="B444" s="5" t="s">
        <v>53</v>
      </c>
      <c r="C444" s="5" t="s">
        <v>43</v>
      </c>
      <c r="D444" s="5">
        <v>2</v>
      </c>
      <c r="E444" s="2" t="s">
        <v>1161</v>
      </c>
      <c r="F444" s="31">
        <f>MAX(MAX(L444:AE444),-MIN(L444:AE444))</f>
        <v>3.0198066269804258E-14</v>
      </c>
      <c r="K444" s="32">
        <f t="shared" ref="K444:AE444" si="109">IF(ISNUMBER(K442),IF(ISNUMBER(K443),K443-K442,999999),0)</f>
        <v>0</v>
      </c>
      <c r="L444" s="32">
        <f t="shared" si="109"/>
        <v>0</v>
      </c>
      <c r="M444" s="32">
        <f t="shared" si="109"/>
        <v>0</v>
      </c>
      <c r="N444" s="32">
        <f t="shared" si="109"/>
        <v>0</v>
      </c>
      <c r="O444" s="32">
        <f t="shared" si="109"/>
        <v>0</v>
      </c>
      <c r="P444" s="32">
        <f t="shared" si="109"/>
        <v>0</v>
      </c>
      <c r="Q444" s="32">
        <f t="shared" si="109"/>
        <v>0</v>
      </c>
      <c r="R444" s="32">
        <f t="shared" si="109"/>
        <v>0</v>
      </c>
      <c r="S444" s="32">
        <f t="shared" si="109"/>
        <v>0</v>
      </c>
      <c r="T444" s="32">
        <f t="shared" si="109"/>
        <v>0</v>
      </c>
      <c r="U444" s="32">
        <f t="shared" si="109"/>
        <v>0</v>
      </c>
      <c r="V444" s="32">
        <f t="shared" si="109"/>
        <v>0</v>
      </c>
      <c r="W444" s="32">
        <f t="shared" si="109"/>
        <v>0</v>
      </c>
      <c r="X444" s="32">
        <f t="shared" si="109"/>
        <v>-3.0198066269804258E-14</v>
      </c>
      <c r="Y444" s="32">
        <f t="shared" si="109"/>
        <v>-3.0198066269804258E-14</v>
      </c>
      <c r="Z444" s="32">
        <f t="shared" si="109"/>
        <v>-3.0198066269804258E-14</v>
      </c>
      <c r="AA444" s="32">
        <f t="shared" si="109"/>
        <v>-2.8421709430404007E-14</v>
      </c>
      <c r="AB444" s="32">
        <f t="shared" si="109"/>
        <v>-2.8421709430404007E-14</v>
      </c>
      <c r="AC444" s="32">
        <f t="shared" si="109"/>
        <v>-2.8421709430404007E-14</v>
      </c>
      <c r="AD444" s="32">
        <f t="shared" si="109"/>
        <v>-3.0198066269804258E-14</v>
      </c>
      <c r="AE444" s="32">
        <f t="shared" si="109"/>
        <v>-3.0198066269804258E-14</v>
      </c>
    </row>
    <row r="446" spans="1:31" x14ac:dyDescent="0.45">
      <c r="A446" s="28" t="s">
        <v>1271</v>
      </c>
      <c r="B446" s="5" t="s">
        <v>55</v>
      </c>
      <c r="C446" s="5" t="s">
        <v>43</v>
      </c>
      <c r="D446" s="5">
        <v>2</v>
      </c>
      <c r="E446" s="5" t="s">
        <v>1159</v>
      </c>
      <c r="K446" s="18"/>
      <c r="L446" s="18">
        <v>0.61197797679140598</v>
      </c>
      <c r="M446" s="18">
        <v>0.61180974964187596</v>
      </c>
      <c r="N446" s="18">
        <v>0.60358310017790595</v>
      </c>
      <c r="O446" s="18">
        <v>0.60358310017790595</v>
      </c>
      <c r="P446" s="18">
        <v>0.60358310017790595</v>
      </c>
      <c r="Q446" s="18">
        <v>0.63251094334940605</v>
      </c>
      <c r="R446" s="18">
        <v>0.66143878652090604</v>
      </c>
      <c r="S446" s="18">
        <v>0.69036662969240603</v>
      </c>
      <c r="T446" s="18">
        <v>0.71929447286390602</v>
      </c>
      <c r="U446" s="18">
        <v>0.74822231603540601</v>
      </c>
      <c r="V446" s="18">
        <v>0.777150159206906</v>
      </c>
      <c r="W446" s="18">
        <v>0.80607800237840599</v>
      </c>
      <c r="X446" s="18">
        <v>0.83500584554990598</v>
      </c>
      <c r="Y446" s="18">
        <v>0.86393368872140597</v>
      </c>
      <c r="Z446" s="18">
        <v>0.89286153189290596</v>
      </c>
      <c r="AA446" s="18">
        <v>0.92178937506440595</v>
      </c>
      <c r="AB446" s="18">
        <v>0.95071721823590605</v>
      </c>
      <c r="AC446" s="18">
        <v>0.97964506140740604</v>
      </c>
      <c r="AD446" s="18">
        <v>1.00857290457891</v>
      </c>
      <c r="AE446" s="18">
        <v>1.0375007477504099</v>
      </c>
    </row>
    <row r="447" spans="1:31" x14ac:dyDescent="0.45">
      <c r="A447" s="28" t="s">
        <v>1271</v>
      </c>
      <c r="B447" s="5" t="s">
        <v>55</v>
      </c>
      <c r="C447" s="5" t="s">
        <v>43</v>
      </c>
      <c r="D447" s="5">
        <v>2</v>
      </c>
      <c r="E447" s="5" t="s">
        <v>1160</v>
      </c>
      <c r="K447" s="18">
        <f>INDEX(Mitigation_Industry!K:K,MATCH($A447,Mitigation_Industry!$H:$H,0))</f>
        <v>0.67114653332181595</v>
      </c>
      <c r="L447" s="18">
        <f>INDEX(Mitigation_Industry!L:L,MATCH($A447,Mitigation_Industry!$H:$H,0))</f>
        <v>0.61197797679140598</v>
      </c>
      <c r="M447" s="18">
        <f>INDEX(Mitigation_Industry!M:M,MATCH($A447,Mitigation_Industry!$H:$H,0))</f>
        <v>0.61180974964187596</v>
      </c>
      <c r="N447" s="18">
        <f>INDEX(Mitigation_Industry!N:N,MATCH($A447,Mitigation_Industry!$H:$H,0))</f>
        <v>0.60358310017790595</v>
      </c>
      <c r="O447" s="18">
        <f>INDEX(Mitigation_Industry!O:O,MATCH($A447,Mitigation_Industry!$H:$H,0))</f>
        <v>0.60358310017790595</v>
      </c>
      <c r="P447" s="18">
        <f>INDEX(Mitigation_Industry!P:P,MATCH($A447,Mitigation_Industry!$H:$H,0))</f>
        <v>0.60358310017790595</v>
      </c>
      <c r="Q447" s="18">
        <f>INDEX(Mitigation_Industry!Q:Q,MATCH($A447,Mitigation_Industry!$H:$H,0))</f>
        <v>0.63251094334940594</v>
      </c>
      <c r="R447" s="18">
        <f>INDEX(Mitigation_Industry!R:R,MATCH($A447,Mitigation_Industry!$H:$H,0))</f>
        <v>0.66143878652090593</v>
      </c>
      <c r="S447" s="18">
        <f>INDEX(Mitigation_Industry!S:S,MATCH($A447,Mitigation_Industry!$H:$H,0))</f>
        <v>0.69036662969240592</v>
      </c>
      <c r="T447" s="18">
        <f>INDEX(Mitigation_Industry!T:T,MATCH($A447,Mitigation_Industry!$H:$H,0))</f>
        <v>0.71929447286390591</v>
      </c>
      <c r="U447" s="18">
        <f>INDEX(Mitigation_Industry!U:U,MATCH($A447,Mitigation_Industry!$H:$H,0))</f>
        <v>0.74822231603540601</v>
      </c>
      <c r="V447" s="18">
        <f>INDEX(Mitigation_Industry!V:V,MATCH($A447,Mitigation_Industry!$H:$H,0))</f>
        <v>0.777150159206906</v>
      </c>
      <c r="W447" s="18">
        <f>INDEX(Mitigation_Industry!W:W,MATCH($A447,Mitigation_Industry!$H:$H,0))</f>
        <v>0.80607800237840599</v>
      </c>
      <c r="X447" s="18">
        <f>INDEX(Mitigation_Industry!X:X,MATCH($A447,Mitigation_Industry!$H:$H,0))</f>
        <v>0.83500584554990598</v>
      </c>
      <c r="Y447" s="18">
        <f>INDEX(Mitigation_Industry!Y:Y,MATCH($A447,Mitigation_Industry!$H:$H,0))</f>
        <v>0.86393368872140597</v>
      </c>
      <c r="Z447" s="18">
        <f>INDEX(Mitigation_Industry!Z:Z,MATCH($A447,Mitigation_Industry!$H:$H,0))</f>
        <v>0.89286153189290596</v>
      </c>
      <c r="AA447" s="18">
        <f>INDEX(Mitigation_Industry!AA:AA,MATCH($A447,Mitigation_Industry!$H:$H,0))</f>
        <v>0.92178937506440595</v>
      </c>
      <c r="AB447" s="18">
        <f>INDEX(Mitigation_Industry!AB:AB,MATCH($A447,Mitigation_Industry!$H:$H,0))</f>
        <v>0.95071721823590605</v>
      </c>
      <c r="AC447" s="18">
        <f>INDEX(Mitigation_Industry!AC:AC,MATCH($A447,Mitigation_Industry!$H:$H,0))</f>
        <v>0.97964506140740593</v>
      </c>
      <c r="AD447" s="18">
        <f>INDEX(Mitigation_Industry!AD:AD,MATCH($A447,Mitigation_Industry!$H:$H,0))</f>
        <v>1.008572904578906</v>
      </c>
      <c r="AE447" s="18">
        <f>INDEX(Mitigation_Industry!AE:AE,MATCH($A447,Mitigation_Industry!$H:$H,0))</f>
        <v>1.0375007477504061</v>
      </c>
    </row>
    <row r="448" spans="1:31" x14ac:dyDescent="0.45">
      <c r="A448" s="28" t="s">
        <v>1271</v>
      </c>
      <c r="B448" s="5" t="s">
        <v>55</v>
      </c>
      <c r="C448" s="5" t="s">
        <v>43</v>
      </c>
      <c r="D448" s="5">
        <v>2</v>
      </c>
      <c r="E448" s="2" t="s">
        <v>1161</v>
      </c>
      <c r="F448" s="31">
        <f>MAX(MAX(L448:AE448),-MIN(L448:AE448))</f>
        <v>3.9968028886505635E-15</v>
      </c>
      <c r="K448" s="32">
        <f t="shared" ref="K448:AE448" si="110">IF(ISNUMBER(K446),IF(ISNUMBER(K447),K447-K446,999999),0)</f>
        <v>0</v>
      </c>
      <c r="L448" s="32">
        <f t="shared" si="110"/>
        <v>0</v>
      </c>
      <c r="M448" s="32">
        <f t="shared" si="110"/>
        <v>0</v>
      </c>
      <c r="N448" s="32">
        <f t="shared" si="110"/>
        <v>0</v>
      </c>
      <c r="O448" s="32">
        <f t="shared" si="110"/>
        <v>0</v>
      </c>
      <c r="P448" s="32">
        <f t="shared" si="110"/>
        <v>0</v>
      </c>
      <c r="Q448" s="32">
        <f t="shared" si="110"/>
        <v>-1.1102230246251565E-16</v>
      </c>
      <c r="R448" s="32">
        <f t="shared" si="110"/>
        <v>-1.1102230246251565E-16</v>
      </c>
      <c r="S448" s="32">
        <f t="shared" si="110"/>
        <v>-1.1102230246251565E-16</v>
      </c>
      <c r="T448" s="32">
        <f t="shared" si="110"/>
        <v>-1.1102230246251565E-16</v>
      </c>
      <c r="U448" s="32">
        <f t="shared" si="110"/>
        <v>0</v>
      </c>
      <c r="V448" s="32">
        <f t="shared" si="110"/>
        <v>0</v>
      </c>
      <c r="W448" s="32">
        <f t="shared" si="110"/>
        <v>0</v>
      </c>
      <c r="X448" s="32">
        <f t="shared" si="110"/>
        <v>0</v>
      </c>
      <c r="Y448" s="32">
        <f t="shared" si="110"/>
        <v>0</v>
      </c>
      <c r="Z448" s="32">
        <f t="shared" si="110"/>
        <v>0</v>
      </c>
      <c r="AA448" s="32">
        <f t="shared" si="110"/>
        <v>0</v>
      </c>
      <c r="AB448" s="32">
        <f t="shared" si="110"/>
        <v>0</v>
      </c>
      <c r="AC448" s="32">
        <f t="shared" si="110"/>
        <v>-1.1102230246251565E-16</v>
      </c>
      <c r="AD448" s="32">
        <f t="shared" si="110"/>
        <v>-3.9968028886505635E-15</v>
      </c>
      <c r="AE448" s="32">
        <f t="shared" si="110"/>
        <v>-3.7747582837255322E-15</v>
      </c>
    </row>
    <row r="450" spans="1:31" x14ac:dyDescent="0.45">
      <c r="A450" s="28" t="s">
        <v>1272</v>
      </c>
      <c r="B450" s="5" t="s">
        <v>58</v>
      </c>
      <c r="C450" s="5" t="s">
        <v>43</v>
      </c>
      <c r="D450" s="5">
        <v>2</v>
      </c>
      <c r="E450" s="5" t="s">
        <v>1159</v>
      </c>
      <c r="K450" s="18"/>
      <c r="L450" s="18">
        <v>0.49458873084106802</v>
      </c>
      <c r="M450" s="18">
        <v>0.50778654720250105</v>
      </c>
      <c r="N450" s="18">
        <v>0.47043642679561698</v>
      </c>
      <c r="O450" s="18">
        <v>0.47043642679561698</v>
      </c>
      <c r="P450" s="18">
        <v>0.47043642679561698</v>
      </c>
      <c r="Q450" s="18">
        <v>0.50344686565449204</v>
      </c>
      <c r="R450" s="18">
        <v>0.53645730451336704</v>
      </c>
      <c r="S450" s="18">
        <v>0.56946774337224204</v>
      </c>
      <c r="T450" s="18">
        <v>0.60247818223111704</v>
      </c>
      <c r="U450" s="18">
        <v>0.63548862108999205</v>
      </c>
      <c r="V450" s="18">
        <v>0.66849905994886705</v>
      </c>
      <c r="W450" s="18">
        <v>0.70150949880774205</v>
      </c>
      <c r="X450" s="18">
        <v>0.73451993766661705</v>
      </c>
      <c r="Y450" s="18">
        <v>0.76753037652549205</v>
      </c>
      <c r="Z450" s="18">
        <v>0.80054081538436705</v>
      </c>
      <c r="AA450" s="18">
        <v>0.83355125424324195</v>
      </c>
      <c r="AB450" s="18">
        <v>0.86656169310211695</v>
      </c>
      <c r="AC450" s="18">
        <v>0.89957213196099195</v>
      </c>
      <c r="AD450" s="18">
        <v>0.93258257081986695</v>
      </c>
      <c r="AE450" s="18">
        <v>0.96559300967874195</v>
      </c>
    </row>
    <row r="451" spans="1:31" x14ac:dyDescent="0.45">
      <c r="A451" s="28" t="s">
        <v>1272</v>
      </c>
      <c r="B451" s="5" t="s">
        <v>58</v>
      </c>
      <c r="C451" s="5" t="s">
        <v>43</v>
      </c>
      <c r="D451" s="5">
        <v>2</v>
      </c>
      <c r="E451" s="5" t="s">
        <v>1160</v>
      </c>
      <c r="K451" s="18">
        <f>INDEX(Mitigation_Industry!K:K,MATCH($A451,Mitigation_Industry!$H:$H,0))</f>
        <v>0.55971121315568795</v>
      </c>
      <c r="L451" s="18">
        <f>INDEX(Mitigation_Industry!L:L,MATCH($A451,Mitigation_Industry!$H:$H,0))</f>
        <v>0.49458873084106802</v>
      </c>
      <c r="M451" s="18">
        <f>INDEX(Mitigation_Industry!M:M,MATCH($A451,Mitigation_Industry!$H:$H,0))</f>
        <v>0.50778654720250105</v>
      </c>
      <c r="N451" s="18">
        <f>INDEX(Mitigation_Industry!N:N,MATCH($A451,Mitigation_Industry!$H:$H,0))</f>
        <v>0.47043642679561698</v>
      </c>
      <c r="O451" s="18">
        <f>INDEX(Mitigation_Industry!O:O,MATCH($A451,Mitigation_Industry!$H:$H,0))</f>
        <v>0.47043642679561698</v>
      </c>
      <c r="P451" s="18">
        <f>INDEX(Mitigation_Industry!P:P,MATCH($A451,Mitigation_Industry!$H:$H,0))</f>
        <v>0.47043642679561698</v>
      </c>
      <c r="Q451" s="18">
        <f>INDEX(Mitigation_Industry!Q:Q,MATCH($A451,Mitigation_Industry!$H:$H,0))</f>
        <v>0.50344686565449193</v>
      </c>
      <c r="R451" s="18">
        <f>INDEX(Mitigation_Industry!R:R,MATCH($A451,Mitigation_Industry!$H:$H,0))</f>
        <v>0.53645730451336693</v>
      </c>
      <c r="S451" s="18">
        <f>INDEX(Mitigation_Industry!S:S,MATCH($A451,Mitigation_Industry!$H:$H,0))</f>
        <v>0.56946774337224193</v>
      </c>
      <c r="T451" s="18">
        <f>INDEX(Mitigation_Industry!T:T,MATCH($A451,Mitigation_Industry!$H:$H,0))</f>
        <v>0.60247818223111693</v>
      </c>
      <c r="U451" s="18">
        <f>INDEX(Mitigation_Industry!U:U,MATCH($A451,Mitigation_Industry!$H:$H,0))</f>
        <v>0.63548862108999193</v>
      </c>
      <c r="V451" s="18">
        <f>INDEX(Mitigation_Industry!V:V,MATCH($A451,Mitigation_Industry!$H:$H,0))</f>
        <v>0.66849905994886694</v>
      </c>
      <c r="W451" s="18">
        <f>INDEX(Mitigation_Industry!W:W,MATCH($A451,Mitigation_Industry!$H:$H,0))</f>
        <v>0.70150949880774194</v>
      </c>
      <c r="X451" s="18">
        <f>INDEX(Mitigation_Industry!X:X,MATCH($A451,Mitigation_Industry!$H:$H,0))</f>
        <v>0.73451993766661694</v>
      </c>
      <c r="Y451" s="18">
        <f>INDEX(Mitigation_Industry!Y:Y,MATCH($A451,Mitigation_Industry!$H:$H,0))</f>
        <v>0.76753037652549194</v>
      </c>
      <c r="Z451" s="18">
        <f>INDEX(Mitigation_Industry!Z:Z,MATCH($A451,Mitigation_Industry!$H:$H,0))</f>
        <v>0.80054081538436694</v>
      </c>
      <c r="AA451" s="18">
        <f>INDEX(Mitigation_Industry!AA:AA,MATCH($A451,Mitigation_Industry!$H:$H,0))</f>
        <v>0.83355125424324195</v>
      </c>
      <c r="AB451" s="18">
        <f>INDEX(Mitigation_Industry!AB:AB,MATCH($A451,Mitigation_Industry!$H:$H,0))</f>
        <v>0.86656169310211695</v>
      </c>
      <c r="AC451" s="18">
        <f>INDEX(Mitigation_Industry!AC:AC,MATCH($A451,Mitigation_Industry!$H:$H,0))</f>
        <v>0.89957213196099195</v>
      </c>
      <c r="AD451" s="18">
        <f>INDEX(Mitigation_Industry!AD:AD,MATCH($A451,Mitigation_Industry!$H:$H,0))</f>
        <v>0.93258257081986695</v>
      </c>
      <c r="AE451" s="18">
        <f>INDEX(Mitigation_Industry!AE:AE,MATCH($A451,Mitigation_Industry!$H:$H,0))</f>
        <v>0.96559300967874195</v>
      </c>
    </row>
    <row r="452" spans="1:31" x14ac:dyDescent="0.45">
      <c r="A452" s="28" t="s">
        <v>1272</v>
      </c>
      <c r="B452" s="5" t="s">
        <v>58</v>
      </c>
      <c r="C452" s="5" t="s">
        <v>43</v>
      </c>
      <c r="D452" s="5">
        <v>2</v>
      </c>
      <c r="E452" s="2" t="s">
        <v>1161</v>
      </c>
      <c r="F452" s="31">
        <f>MAX(MAX(L452:AE452),-MIN(L452:AE452))</f>
        <v>1.1102230246251565E-16</v>
      </c>
      <c r="K452" s="32">
        <f t="shared" ref="K452:AE452" si="111">IF(ISNUMBER(K450),IF(ISNUMBER(K451),K451-K450,999999),0)</f>
        <v>0</v>
      </c>
      <c r="L452" s="32">
        <f t="shared" si="111"/>
        <v>0</v>
      </c>
      <c r="M452" s="32">
        <f t="shared" si="111"/>
        <v>0</v>
      </c>
      <c r="N452" s="32">
        <f t="shared" si="111"/>
        <v>0</v>
      </c>
      <c r="O452" s="32">
        <f t="shared" si="111"/>
        <v>0</v>
      </c>
      <c r="P452" s="32">
        <f t="shared" si="111"/>
        <v>0</v>
      </c>
      <c r="Q452" s="32">
        <f t="shared" si="111"/>
        <v>-1.1102230246251565E-16</v>
      </c>
      <c r="R452" s="32">
        <f t="shared" si="111"/>
        <v>-1.1102230246251565E-16</v>
      </c>
      <c r="S452" s="32">
        <f t="shared" si="111"/>
        <v>-1.1102230246251565E-16</v>
      </c>
      <c r="T452" s="32">
        <f t="shared" si="111"/>
        <v>-1.1102230246251565E-16</v>
      </c>
      <c r="U452" s="32">
        <f t="shared" si="111"/>
        <v>-1.1102230246251565E-16</v>
      </c>
      <c r="V452" s="32">
        <f t="shared" si="111"/>
        <v>-1.1102230246251565E-16</v>
      </c>
      <c r="W452" s="32">
        <f t="shared" si="111"/>
        <v>-1.1102230246251565E-16</v>
      </c>
      <c r="X452" s="32">
        <f t="shared" si="111"/>
        <v>-1.1102230246251565E-16</v>
      </c>
      <c r="Y452" s="32">
        <f t="shared" si="111"/>
        <v>-1.1102230246251565E-16</v>
      </c>
      <c r="Z452" s="32">
        <f t="shared" si="111"/>
        <v>-1.1102230246251565E-16</v>
      </c>
      <c r="AA452" s="32">
        <f t="shared" si="111"/>
        <v>0</v>
      </c>
      <c r="AB452" s="32">
        <f t="shared" si="111"/>
        <v>0</v>
      </c>
      <c r="AC452" s="32">
        <f t="shared" si="111"/>
        <v>0</v>
      </c>
      <c r="AD452" s="32">
        <f t="shared" si="111"/>
        <v>0</v>
      </c>
      <c r="AE452" s="32">
        <f t="shared" si="111"/>
        <v>0</v>
      </c>
    </row>
    <row r="454" spans="1:31" x14ac:dyDescent="0.45">
      <c r="A454" s="28" t="s">
        <v>1273</v>
      </c>
      <c r="B454" s="5" t="s">
        <v>60</v>
      </c>
      <c r="C454" s="5" t="s">
        <v>43</v>
      </c>
      <c r="D454" s="5">
        <v>2</v>
      </c>
      <c r="E454" s="5" t="s">
        <v>1159</v>
      </c>
      <c r="K454" s="18"/>
      <c r="L454" s="18">
        <v>0.15734473625227399</v>
      </c>
      <c r="M454" s="18">
        <v>0.164484037759277</v>
      </c>
      <c r="N454" s="18">
        <v>0.15070907780704901</v>
      </c>
      <c r="O454" s="18">
        <v>0.15070907780704901</v>
      </c>
      <c r="P454" s="18">
        <v>0.15070907780704901</v>
      </c>
      <c r="Q454" s="18">
        <v>0.172815160734345</v>
      </c>
      <c r="R454" s="18">
        <v>0.19492124366163999</v>
      </c>
      <c r="S454" s="18">
        <v>0.217027326588936</v>
      </c>
      <c r="T454" s="18">
        <v>0.23913340951623199</v>
      </c>
      <c r="U454" s="18">
        <v>0.26123949244352701</v>
      </c>
      <c r="V454" s="18">
        <v>0.283345575370823</v>
      </c>
      <c r="W454" s="18">
        <v>0.30545165829811899</v>
      </c>
      <c r="X454" s="18">
        <v>0.32755774122541498</v>
      </c>
      <c r="Y454" s="18">
        <v>0.34966382415271002</v>
      </c>
      <c r="Z454" s="18">
        <v>0.37176990708000601</v>
      </c>
      <c r="AA454" s="18">
        <v>0.393875990007302</v>
      </c>
      <c r="AB454" s="18">
        <v>0.41598207293459699</v>
      </c>
      <c r="AC454" s="18">
        <v>0.43808815586189298</v>
      </c>
      <c r="AD454" s="18">
        <v>0.46019423878918903</v>
      </c>
      <c r="AE454" s="18">
        <v>0.48230032171648402</v>
      </c>
    </row>
    <row r="455" spans="1:31" x14ac:dyDescent="0.45">
      <c r="A455" s="28" t="s">
        <v>1273</v>
      </c>
      <c r="B455" s="5" t="s">
        <v>60</v>
      </c>
      <c r="C455" s="5" t="s">
        <v>43</v>
      </c>
      <c r="D455" s="5">
        <v>2</v>
      </c>
      <c r="E455" s="5" t="s">
        <v>1160</v>
      </c>
      <c r="K455" s="18">
        <f>INDEX(Mitigation_Industry!K:K,MATCH($A455,Mitigation_Industry!$H:$H,0))</f>
        <v>0.20036669112673799</v>
      </c>
      <c r="L455" s="18">
        <f>INDEX(Mitigation_Industry!L:L,MATCH($A455,Mitigation_Industry!$H:$H,0))</f>
        <v>0.15734473625227399</v>
      </c>
      <c r="M455" s="18">
        <f>INDEX(Mitigation_Industry!M:M,MATCH($A455,Mitigation_Industry!$H:$H,0))</f>
        <v>0.164484037759277</v>
      </c>
      <c r="N455" s="18">
        <f>INDEX(Mitigation_Industry!N:N,MATCH($A455,Mitigation_Industry!$H:$H,0))</f>
        <v>0.15070907780704901</v>
      </c>
      <c r="O455" s="18">
        <f>INDEX(Mitigation_Industry!O:O,MATCH($A455,Mitigation_Industry!$H:$H,0))</f>
        <v>0.15070907780704901</v>
      </c>
      <c r="P455" s="18">
        <f>INDEX(Mitigation_Industry!P:P,MATCH($A455,Mitigation_Industry!$H:$H,0))</f>
        <v>0.15070907780704901</v>
      </c>
      <c r="Q455" s="18">
        <f>INDEX(Mitigation_Industry!Q:Q,MATCH($A455,Mitigation_Industry!$H:$H,0))</f>
        <v>0.17281516073434466</v>
      </c>
      <c r="R455" s="18">
        <f>INDEX(Mitigation_Industry!R:R,MATCH($A455,Mitigation_Industry!$H:$H,0))</f>
        <v>0.19492124366164035</v>
      </c>
      <c r="S455" s="18">
        <f>INDEX(Mitigation_Industry!S:S,MATCH($A455,Mitigation_Industry!$H:$H,0))</f>
        <v>0.217027326588936</v>
      </c>
      <c r="T455" s="18">
        <f>INDEX(Mitigation_Industry!T:T,MATCH($A455,Mitigation_Industry!$H:$H,0))</f>
        <v>0.23913340951623169</v>
      </c>
      <c r="U455" s="18">
        <f>INDEX(Mitigation_Industry!U:U,MATCH($A455,Mitigation_Industry!$H:$H,0))</f>
        <v>0.26123949244352734</v>
      </c>
      <c r="V455" s="18">
        <f>INDEX(Mitigation_Industry!V:V,MATCH($A455,Mitigation_Industry!$H:$H,0))</f>
        <v>0.283345575370823</v>
      </c>
      <c r="W455" s="18">
        <f>INDEX(Mitigation_Industry!W:W,MATCH($A455,Mitigation_Industry!$H:$H,0))</f>
        <v>0.30545165829811871</v>
      </c>
      <c r="X455" s="18">
        <f>INDEX(Mitigation_Industry!X:X,MATCH($A455,Mitigation_Industry!$H:$H,0))</f>
        <v>0.32755774122541437</v>
      </c>
      <c r="Y455" s="18">
        <f>INDEX(Mitigation_Industry!Y:Y,MATCH($A455,Mitigation_Industry!$H:$H,0))</f>
        <v>0.34966382415271002</v>
      </c>
      <c r="Z455" s="18">
        <f>INDEX(Mitigation_Industry!Z:Z,MATCH($A455,Mitigation_Industry!$H:$H,0))</f>
        <v>0.37176990708000568</v>
      </c>
      <c r="AA455" s="18">
        <f>INDEX(Mitigation_Industry!AA:AA,MATCH($A455,Mitigation_Industry!$H:$H,0))</f>
        <v>0.39387599000730134</v>
      </c>
      <c r="AB455" s="18">
        <f>INDEX(Mitigation_Industry!AB:AB,MATCH($A455,Mitigation_Industry!$H:$H,0))</f>
        <v>0.41598207293459699</v>
      </c>
      <c r="AC455" s="18">
        <f>INDEX(Mitigation_Industry!AC:AC,MATCH($A455,Mitigation_Industry!$H:$H,0))</f>
        <v>0.4380881558618927</v>
      </c>
      <c r="AD455" s="18">
        <f>INDEX(Mitigation_Industry!AD:AD,MATCH($A455,Mitigation_Industry!$H:$H,0))</f>
        <v>0.46019423878918836</v>
      </c>
      <c r="AE455" s="18">
        <f>INDEX(Mitigation_Industry!AE:AE,MATCH($A455,Mitigation_Industry!$H:$H,0))</f>
        <v>0.48230032171648402</v>
      </c>
    </row>
    <row r="456" spans="1:31" x14ac:dyDescent="0.45">
      <c r="A456" s="28" t="s">
        <v>1273</v>
      </c>
      <c r="B456" s="5" t="s">
        <v>60</v>
      </c>
      <c r="C456" s="5" t="s">
        <v>43</v>
      </c>
      <c r="D456" s="5">
        <v>2</v>
      </c>
      <c r="E456" s="2" t="s">
        <v>1161</v>
      </c>
      <c r="F456" s="31">
        <f>MAX(MAX(L456:AE456),-MIN(L456:AE456))</f>
        <v>6.6613381477509392E-16</v>
      </c>
      <c r="K456" s="32">
        <f t="shared" ref="K456:AE456" si="112">IF(ISNUMBER(K454),IF(ISNUMBER(K455),K455-K454,999999),0)</f>
        <v>0</v>
      </c>
      <c r="L456" s="32">
        <f t="shared" si="112"/>
        <v>0</v>
      </c>
      <c r="M456" s="32">
        <f t="shared" si="112"/>
        <v>0</v>
      </c>
      <c r="N456" s="32">
        <f t="shared" si="112"/>
        <v>0</v>
      </c>
      <c r="O456" s="32">
        <f t="shared" si="112"/>
        <v>0</v>
      </c>
      <c r="P456" s="32">
        <f t="shared" si="112"/>
        <v>0</v>
      </c>
      <c r="Q456" s="32">
        <f t="shared" si="112"/>
        <v>-3.3306690738754696E-16</v>
      </c>
      <c r="R456" s="32">
        <f t="shared" si="112"/>
        <v>3.6082248300317588E-16</v>
      </c>
      <c r="S456" s="32">
        <f t="shared" si="112"/>
        <v>0</v>
      </c>
      <c r="T456" s="32">
        <f t="shared" si="112"/>
        <v>-3.0531133177191805E-16</v>
      </c>
      <c r="U456" s="32">
        <f t="shared" si="112"/>
        <v>3.3306690738754696E-16</v>
      </c>
      <c r="V456" s="32">
        <f t="shared" si="112"/>
        <v>0</v>
      </c>
      <c r="W456" s="32">
        <f t="shared" si="112"/>
        <v>-2.7755575615628914E-16</v>
      </c>
      <c r="X456" s="32">
        <f t="shared" si="112"/>
        <v>-6.106226635438361E-16</v>
      </c>
      <c r="Y456" s="32">
        <f t="shared" si="112"/>
        <v>0</v>
      </c>
      <c r="Z456" s="32">
        <f t="shared" si="112"/>
        <v>-3.3306690738754696E-16</v>
      </c>
      <c r="AA456" s="32">
        <f t="shared" si="112"/>
        <v>-6.6613381477509392E-16</v>
      </c>
      <c r="AB456" s="32">
        <f t="shared" si="112"/>
        <v>0</v>
      </c>
      <c r="AC456" s="32">
        <f t="shared" si="112"/>
        <v>-2.7755575615628914E-16</v>
      </c>
      <c r="AD456" s="32">
        <f t="shared" si="112"/>
        <v>-6.6613381477509392E-16</v>
      </c>
      <c r="AE456" s="32">
        <f t="shared" si="112"/>
        <v>0</v>
      </c>
    </row>
    <row r="458" spans="1:31" x14ac:dyDescent="0.45">
      <c r="A458" s="28" t="s">
        <v>1274</v>
      </c>
      <c r="B458" s="5" t="s">
        <v>62</v>
      </c>
      <c r="C458" s="5" t="s">
        <v>43</v>
      </c>
      <c r="D458" s="5">
        <v>2</v>
      </c>
      <c r="E458" s="5" t="s">
        <v>1159</v>
      </c>
      <c r="K458" s="18"/>
      <c r="L458" s="18">
        <v>0.45642817050012802</v>
      </c>
      <c r="M458" s="18">
        <v>0.43168920195599497</v>
      </c>
      <c r="N458" s="18">
        <v>0.42507558395597</v>
      </c>
      <c r="O458" s="18">
        <v>0.42507558395597</v>
      </c>
      <c r="P458" s="18">
        <v>0.42507558395597</v>
      </c>
      <c r="Q458" s="18">
        <v>0.45706441406607901</v>
      </c>
      <c r="R458" s="18">
        <v>0.48905324417618701</v>
      </c>
      <c r="S458" s="18">
        <v>0.52104207428629601</v>
      </c>
      <c r="T458" s="18">
        <v>0.55303090439640401</v>
      </c>
      <c r="U458" s="18">
        <v>0.58501973450651301</v>
      </c>
      <c r="V458" s="18">
        <v>0.61700856461662101</v>
      </c>
      <c r="W458" s="18">
        <v>0.64899739472672902</v>
      </c>
      <c r="X458" s="18">
        <v>0.68098622483683802</v>
      </c>
      <c r="Y458" s="18">
        <v>0.71297505494694702</v>
      </c>
      <c r="Z458" s="18">
        <v>0.74496388505705502</v>
      </c>
      <c r="AA458" s="18">
        <v>0.77695271516716302</v>
      </c>
      <c r="AB458" s="18">
        <v>0.80894154527727202</v>
      </c>
      <c r="AC458" s="18">
        <v>0.84093037538738002</v>
      </c>
      <c r="AD458" s="18">
        <v>0.87291920549748903</v>
      </c>
      <c r="AE458" s="18">
        <v>0.90490803560759703</v>
      </c>
    </row>
    <row r="459" spans="1:31" x14ac:dyDescent="0.45">
      <c r="A459" s="28" t="s">
        <v>1274</v>
      </c>
      <c r="B459" s="5" t="s">
        <v>62</v>
      </c>
      <c r="C459" s="5" t="s">
        <v>43</v>
      </c>
      <c r="D459" s="5">
        <v>2</v>
      </c>
      <c r="E459" s="5" t="s">
        <v>1160</v>
      </c>
      <c r="K459" s="18">
        <f>INDEX(Mitigation_Industry!K:K,MATCH($A459,Mitigation_Industry!$H:$H,0))</f>
        <v>0.48429424097343499</v>
      </c>
      <c r="L459" s="18">
        <f>INDEX(Mitigation_Industry!L:L,MATCH($A459,Mitigation_Industry!$H:$H,0))</f>
        <v>0.45642817050012802</v>
      </c>
      <c r="M459" s="18">
        <f>INDEX(Mitigation_Industry!M:M,MATCH($A459,Mitigation_Industry!$H:$H,0))</f>
        <v>0.43168920195599497</v>
      </c>
      <c r="N459" s="18">
        <f>INDEX(Mitigation_Industry!N:N,MATCH($A459,Mitigation_Industry!$H:$H,0))</f>
        <v>0.42507558395597</v>
      </c>
      <c r="O459" s="18">
        <f>INDEX(Mitigation_Industry!O:O,MATCH($A459,Mitigation_Industry!$H:$H,0))</f>
        <v>0.42507558395597</v>
      </c>
      <c r="P459" s="18">
        <f>INDEX(Mitigation_Industry!P:P,MATCH($A459,Mitigation_Industry!$H:$H,0))</f>
        <v>0.42507558395597</v>
      </c>
      <c r="Q459" s="18">
        <f>INDEX(Mitigation_Industry!Q:Q,MATCH($A459,Mitigation_Industry!$H:$H,0))</f>
        <v>0.45706441406607845</v>
      </c>
      <c r="R459" s="18">
        <f>INDEX(Mitigation_Industry!R:R,MATCH($A459,Mitigation_Industry!$H:$H,0))</f>
        <v>0.48905324417618695</v>
      </c>
      <c r="S459" s="18">
        <f>INDEX(Mitigation_Industry!S:S,MATCH($A459,Mitigation_Industry!$H:$H,0))</f>
        <v>0.52104207428629534</v>
      </c>
      <c r="T459" s="18">
        <f>INDEX(Mitigation_Industry!T:T,MATCH($A459,Mitigation_Industry!$H:$H,0))</f>
        <v>0.5530309043964039</v>
      </c>
      <c r="U459" s="18">
        <f>INDEX(Mitigation_Industry!U:U,MATCH($A459,Mitigation_Industry!$H:$H,0))</f>
        <v>0.58501973450651235</v>
      </c>
      <c r="V459" s="18">
        <f>INDEX(Mitigation_Industry!V:V,MATCH($A459,Mitigation_Industry!$H:$H,0))</f>
        <v>0.61700856461662079</v>
      </c>
      <c r="W459" s="18">
        <f>INDEX(Mitigation_Industry!W:W,MATCH($A459,Mitigation_Industry!$H:$H,0))</f>
        <v>0.64899739472672924</v>
      </c>
      <c r="X459" s="18">
        <f>INDEX(Mitigation_Industry!X:X,MATCH($A459,Mitigation_Industry!$H:$H,0))</f>
        <v>0.68098622483683768</v>
      </c>
      <c r="Y459" s="18">
        <f>INDEX(Mitigation_Industry!Y:Y,MATCH($A459,Mitigation_Industry!$H:$H,0))</f>
        <v>0.71297505494694624</v>
      </c>
      <c r="Z459" s="18">
        <f>INDEX(Mitigation_Industry!Z:Z,MATCH($A459,Mitigation_Industry!$H:$H,0))</f>
        <v>0.74496388505705469</v>
      </c>
      <c r="AA459" s="18">
        <f>INDEX(Mitigation_Industry!AA:AA,MATCH($A459,Mitigation_Industry!$H:$H,0))</f>
        <v>0.77695271516716313</v>
      </c>
      <c r="AB459" s="18">
        <f>INDEX(Mitigation_Industry!AB:AB,MATCH($A459,Mitigation_Industry!$H:$H,0))</f>
        <v>0.80894154527727158</v>
      </c>
      <c r="AC459" s="18">
        <f>INDEX(Mitigation_Industry!AC:AC,MATCH($A459,Mitigation_Industry!$H:$H,0))</f>
        <v>0.84093037538738002</v>
      </c>
      <c r="AD459" s="18">
        <f>INDEX(Mitigation_Industry!AD:AD,MATCH($A459,Mitigation_Industry!$H:$H,0))</f>
        <v>0.87291920549748858</v>
      </c>
      <c r="AE459" s="18">
        <f>INDEX(Mitigation_Industry!AE:AE,MATCH($A459,Mitigation_Industry!$H:$H,0))</f>
        <v>0.90490803560759692</v>
      </c>
    </row>
    <row r="460" spans="1:31" x14ac:dyDescent="0.45">
      <c r="A460" s="28" t="s">
        <v>1274</v>
      </c>
      <c r="B460" s="5" t="s">
        <v>62</v>
      </c>
      <c r="C460" s="5" t="s">
        <v>43</v>
      </c>
      <c r="D460" s="5">
        <v>2</v>
      </c>
      <c r="E460" s="2" t="s">
        <v>1161</v>
      </c>
      <c r="F460" s="31">
        <f>MAX(MAX(L460:AE460),-MIN(L460:AE460))</f>
        <v>7.7715611723760958E-16</v>
      </c>
      <c r="K460" s="32">
        <f t="shared" ref="K460:AE460" si="113">IF(ISNUMBER(K458),IF(ISNUMBER(K459),K459-K458,999999),0)</f>
        <v>0</v>
      </c>
      <c r="L460" s="32">
        <f t="shared" si="113"/>
        <v>0</v>
      </c>
      <c r="M460" s="32">
        <f t="shared" si="113"/>
        <v>0</v>
      </c>
      <c r="N460" s="32">
        <f t="shared" si="113"/>
        <v>0</v>
      </c>
      <c r="O460" s="32">
        <f t="shared" si="113"/>
        <v>0</v>
      </c>
      <c r="P460" s="32">
        <f t="shared" si="113"/>
        <v>0</v>
      </c>
      <c r="Q460" s="32">
        <f t="shared" si="113"/>
        <v>-5.5511151231257827E-16</v>
      </c>
      <c r="R460" s="32">
        <f t="shared" si="113"/>
        <v>-5.5511151231257827E-17</v>
      </c>
      <c r="S460" s="32">
        <f t="shared" si="113"/>
        <v>-6.6613381477509392E-16</v>
      </c>
      <c r="T460" s="32">
        <f t="shared" si="113"/>
        <v>-1.1102230246251565E-16</v>
      </c>
      <c r="U460" s="32">
        <f t="shared" si="113"/>
        <v>-6.6613381477509392E-16</v>
      </c>
      <c r="V460" s="32">
        <f t="shared" si="113"/>
        <v>-2.2204460492503131E-16</v>
      </c>
      <c r="W460" s="32">
        <f t="shared" si="113"/>
        <v>2.2204460492503131E-16</v>
      </c>
      <c r="X460" s="32">
        <f t="shared" si="113"/>
        <v>-3.3306690738754696E-16</v>
      </c>
      <c r="Y460" s="32">
        <f t="shared" si="113"/>
        <v>-7.7715611723760958E-16</v>
      </c>
      <c r="Z460" s="32">
        <f t="shared" si="113"/>
        <v>-3.3306690738754696E-16</v>
      </c>
      <c r="AA460" s="32">
        <f t="shared" si="113"/>
        <v>1.1102230246251565E-16</v>
      </c>
      <c r="AB460" s="32">
        <f t="shared" si="113"/>
        <v>-4.4408920985006262E-16</v>
      </c>
      <c r="AC460" s="32">
        <f t="shared" si="113"/>
        <v>0</v>
      </c>
      <c r="AD460" s="32">
        <f t="shared" si="113"/>
        <v>-4.4408920985006262E-16</v>
      </c>
      <c r="AE460" s="32">
        <f t="shared" si="113"/>
        <v>-1.1102230246251565E-16</v>
      </c>
    </row>
    <row r="462" spans="1:31" x14ac:dyDescent="0.45">
      <c r="A462" s="28" t="s">
        <v>1275</v>
      </c>
      <c r="B462" s="5" t="s">
        <v>64</v>
      </c>
      <c r="C462" s="5" t="s">
        <v>43</v>
      </c>
      <c r="D462" s="5">
        <v>2</v>
      </c>
      <c r="E462" s="5" t="s">
        <v>1159</v>
      </c>
      <c r="K462" s="18"/>
      <c r="L462" s="18">
        <v>34.4153703043132</v>
      </c>
      <c r="M462" s="18">
        <v>37.368960690431997</v>
      </c>
      <c r="N462" s="18">
        <v>28.982761101477301</v>
      </c>
      <c r="O462" s="18">
        <v>15</v>
      </c>
      <c r="P462" s="18">
        <v>24.2586300842555</v>
      </c>
      <c r="Q462" s="18">
        <v>18.963758196132499</v>
      </c>
      <c r="R462" s="18">
        <v>21.760345114010601</v>
      </c>
      <c r="S462" s="18">
        <v>26.079880691373599</v>
      </c>
      <c r="T462" s="18">
        <v>30.5936824452092</v>
      </c>
      <c r="U462" s="18">
        <v>34.990509739410101</v>
      </c>
      <c r="V462" s="18">
        <v>40.858059739410102</v>
      </c>
      <c r="W462" s="18">
        <v>46.725609739410103</v>
      </c>
      <c r="X462" s="18">
        <v>52.593159739410098</v>
      </c>
      <c r="Y462" s="18">
        <v>58.460709739410099</v>
      </c>
      <c r="Z462" s="18">
        <v>64.3282597394101</v>
      </c>
      <c r="AA462" s="18">
        <v>70.195809739410095</v>
      </c>
      <c r="AB462" s="18">
        <v>76.063359739410103</v>
      </c>
      <c r="AC462" s="18">
        <v>81.930909739410097</v>
      </c>
      <c r="AD462" s="18">
        <v>87.798459739410106</v>
      </c>
      <c r="AE462" s="18">
        <v>93.6660097394101</v>
      </c>
    </row>
    <row r="463" spans="1:31" x14ac:dyDescent="0.45">
      <c r="A463" s="28" t="s">
        <v>1275</v>
      </c>
      <c r="B463" s="5" t="s">
        <v>64</v>
      </c>
      <c r="C463" s="5" t="s">
        <v>43</v>
      </c>
      <c r="D463" s="5">
        <v>2</v>
      </c>
      <c r="E463" s="5" t="s">
        <v>1160</v>
      </c>
      <c r="K463" s="18">
        <f>INDEX(Mitigation_Industry!K:K,MATCH($A463,Mitigation_Industry!$H:$H,0))</f>
        <v>41.500338498868402</v>
      </c>
      <c r="L463" s="18">
        <f>INDEX(Mitigation_Industry!L:L,MATCH($A463,Mitigation_Industry!$H:$H,0))</f>
        <v>34.4153703043132</v>
      </c>
      <c r="M463" s="18">
        <f>INDEX(Mitigation_Industry!M:M,MATCH($A463,Mitigation_Industry!$H:$H,0))</f>
        <v>37.368960690431997</v>
      </c>
      <c r="N463" s="18">
        <f>INDEX(Mitigation_Industry!N:N,MATCH($A463,Mitigation_Industry!$H:$H,0))</f>
        <v>28.982761101477301</v>
      </c>
      <c r="O463" s="18">
        <f>INDEX(Mitigation_Industry!O:O,MATCH($A463,Mitigation_Industry!$H:$H,0))</f>
        <v>15</v>
      </c>
      <c r="P463" s="18">
        <f>INDEX(Mitigation_Industry!P:P,MATCH($A463,Mitigation_Industry!$H:$H,0))</f>
        <v>24.2586300842555</v>
      </c>
      <c r="Q463" s="18">
        <f>INDEX(Mitigation_Industry!Q:Q,MATCH($A463,Mitigation_Industry!$H:$H,0))</f>
        <v>18.963758196132499</v>
      </c>
      <c r="R463" s="18">
        <f>INDEX(Mitigation_Industry!R:R,MATCH($A463,Mitigation_Industry!$H:$H,0))</f>
        <v>21.760345114010597</v>
      </c>
      <c r="S463" s="18">
        <f>INDEX(Mitigation_Industry!S:S,MATCH($A463,Mitigation_Industry!$H:$H,0))</f>
        <v>26.079880691373621</v>
      </c>
      <c r="T463" s="18">
        <f>INDEX(Mitigation_Industry!T:T,MATCH($A463,Mitigation_Industry!$H:$H,0))</f>
        <v>30.593682445209218</v>
      </c>
      <c r="U463" s="18">
        <f>INDEX(Mitigation_Industry!U:U,MATCH($A463,Mitigation_Industry!$H:$H,0))</f>
        <v>34.990509739410058</v>
      </c>
      <c r="V463" s="18">
        <f>INDEX(Mitigation_Industry!V:V,MATCH($A463,Mitigation_Industry!$H:$H,0))</f>
        <v>40.858059739410059</v>
      </c>
      <c r="W463" s="18">
        <f>INDEX(Mitigation_Industry!W:W,MATCH($A463,Mitigation_Industry!$H:$H,0))</f>
        <v>46.725609739410054</v>
      </c>
      <c r="X463" s="18">
        <f>INDEX(Mitigation_Industry!X:X,MATCH($A463,Mitigation_Industry!$H:$H,0))</f>
        <v>52.593159739410055</v>
      </c>
      <c r="Y463" s="18">
        <f>INDEX(Mitigation_Industry!Y:Y,MATCH($A463,Mitigation_Industry!$H:$H,0))</f>
        <v>58.460709739410056</v>
      </c>
      <c r="Z463" s="18">
        <f>INDEX(Mitigation_Industry!Z:Z,MATCH($A463,Mitigation_Industry!$H:$H,0))</f>
        <v>64.328259739410072</v>
      </c>
      <c r="AA463" s="18">
        <f>INDEX(Mitigation_Industry!AA:AA,MATCH($A463,Mitigation_Industry!$H:$H,0))</f>
        <v>70.195809739410052</v>
      </c>
      <c r="AB463" s="18">
        <f>INDEX(Mitigation_Industry!AB:AB,MATCH($A463,Mitigation_Industry!$H:$H,0))</f>
        <v>76.06335973941006</v>
      </c>
      <c r="AC463" s="18">
        <f>INDEX(Mitigation_Industry!AC:AC,MATCH($A463,Mitigation_Industry!$H:$H,0))</f>
        <v>81.930909739410041</v>
      </c>
      <c r="AD463" s="18">
        <f>INDEX(Mitigation_Industry!AD:AD,MATCH($A463,Mitigation_Industry!$H:$H,0))</f>
        <v>87.798459739410049</v>
      </c>
      <c r="AE463" s="18">
        <f>INDEX(Mitigation_Industry!AE:AE,MATCH($A463,Mitigation_Industry!$H:$H,0))</f>
        <v>93.666009739410043</v>
      </c>
    </row>
    <row r="464" spans="1:31" x14ac:dyDescent="0.45">
      <c r="A464" s="28" t="s">
        <v>1275</v>
      </c>
      <c r="B464" s="5" t="s">
        <v>64</v>
      </c>
      <c r="C464" s="5" t="s">
        <v>43</v>
      </c>
      <c r="D464" s="5">
        <v>2</v>
      </c>
      <c r="E464" s="2" t="s">
        <v>1161</v>
      </c>
      <c r="F464" s="31">
        <f>MAX(MAX(L464:AE464),-MIN(L464:AE464))</f>
        <v>5.6843418860808015E-14</v>
      </c>
      <c r="K464" s="32">
        <f t="shared" ref="K464:AE464" si="114">IF(ISNUMBER(K462),IF(ISNUMBER(K463),K463-K462,999999),0)</f>
        <v>0</v>
      </c>
      <c r="L464" s="32">
        <f t="shared" si="114"/>
        <v>0</v>
      </c>
      <c r="M464" s="32">
        <f t="shared" si="114"/>
        <v>0</v>
      </c>
      <c r="N464" s="32">
        <f t="shared" si="114"/>
        <v>0</v>
      </c>
      <c r="O464" s="32">
        <f t="shared" si="114"/>
        <v>0</v>
      </c>
      <c r="P464" s="32">
        <f t="shared" si="114"/>
        <v>0</v>
      </c>
      <c r="Q464" s="32">
        <f t="shared" si="114"/>
        <v>0</v>
      </c>
      <c r="R464" s="32">
        <f t="shared" si="114"/>
        <v>-3.5527136788005009E-15</v>
      </c>
      <c r="S464" s="32">
        <f t="shared" si="114"/>
        <v>2.1316282072803006E-14</v>
      </c>
      <c r="T464" s="32">
        <f t="shared" si="114"/>
        <v>1.7763568394002505E-14</v>
      </c>
      <c r="U464" s="32">
        <f t="shared" si="114"/>
        <v>-4.2632564145606011E-14</v>
      </c>
      <c r="V464" s="32">
        <f t="shared" si="114"/>
        <v>-4.2632564145606011E-14</v>
      </c>
      <c r="W464" s="32">
        <f t="shared" si="114"/>
        <v>-4.9737991503207013E-14</v>
      </c>
      <c r="X464" s="32">
        <f t="shared" si="114"/>
        <v>-4.2632564145606011E-14</v>
      </c>
      <c r="Y464" s="32">
        <f t="shared" si="114"/>
        <v>-4.2632564145606011E-14</v>
      </c>
      <c r="Z464" s="32">
        <f t="shared" si="114"/>
        <v>-2.8421709430404007E-14</v>
      </c>
      <c r="AA464" s="32">
        <f t="shared" si="114"/>
        <v>-4.2632564145606011E-14</v>
      </c>
      <c r="AB464" s="32">
        <f t="shared" si="114"/>
        <v>-4.2632564145606011E-14</v>
      </c>
      <c r="AC464" s="32">
        <f t="shared" si="114"/>
        <v>-5.6843418860808015E-14</v>
      </c>
      <c r="AD464" s="32">
        <f t="shared" si="114"/>
        <v>-5.6843418860808015E-14</v>
      </c>
      <c r="AE464" s="32">
        <f t="shared" si="114"/>
        <v>-5.6843418860808015E-14</v>
      </c>
    </row>
    <row r="466" spans="1:31" x14ac:dyDescent="0.45">
      <c r="A466" s="28" t="s">
        <v>1276</v>
      </c>
      <c r="B466" s="5" t="s">
        <v>67</v>
      </c>
      <c r="C466" s="5" t="s">
        <v>43</v>
      </c>
      <c r="D466" s="5">
        <v>2</v>
      </c>
      <c r="E466" s="5" t="s">
        <v>1159</v>
      </c>
      <c r="K466" s="18"/>
      <c r="L466" s="18">
        <v>14.199528390634899</v>
      </c>
      <c r="M466" s="18">
        <v>13.8404416133152</v>
      </c>
      <c r="N466" s="18">
        <v>13.5677269404465</v>
      </c>
      <c r="O466" s="18">
        <v>13.5677269404465</v>
      </c>
      <c r="P466" s="18">
        <v>13.5677269404465</v>
      </c>
      <c r="Q466" s="18">
        <v>13.5677269404465</v>
      </c>
      <c r="R466" s="18">
        <v>13.5677269404465</v>
      </c>
      <c r="S466" s="18">
        <v>13.5677269404465</v>
      </c>
      <c r="T466" s="18">
        <v>13.5677269404465</v>
      </c>
      <c r="U466" s="18">
        <v>13.5677269404465</v>
      </c>
      <c r="V466" s="18">
        <v>13.5677269404465</v>
      </c>
      <c r="W466" s="18">
        <v>13.5677269404465</v>
      </c>
      <c r="X466" s="18">
        <v>13.5677269404465</v>
      </c>
      <c r="Y466" s="18">
        <v>13.5677269404465</v>
      </c>
      <c r="Z466" s="18">
        <v>13.5677269404465</v>
      </c>
      <c r="AA466" s="18">
        <v>13.5677269404465</v>
      </c>
      <c r="AB466" s="18">
        <v>13.5677269404465</v>
      </c>
      <c r="AC466" s="18">
        <v>13.5677269404465</v>
      </c>
      <c r="AD466" s="18">
        <v>13.5677269404465</v>
      </c>
      <c r="AE466" s="18">
        <v>13.5677269404465</v>
      </c>
    </row>
    <row r="467" spans="1:31" x14ac:dyDescent="0.45">
      <c r="A467" s="28" t="s">
        <v>1276</v>
      </c>
      <c r="B467" s="5" t="s">
        <v>67</v>
      </c>
      <c r="C467" s="5" t="s">
        <v>43</v>
      </c>
      <c r="D467" s="5">
        <v>2</v>
      </c>
      <c r="E467" s="5" t="s">
        <v>1160</v>
      </c>
      <c r="K467" s="18">
        <f>INDEX(Mitigation_Industry!K:K,MATCH($A467,Mitigation_Industry!$H:$H,0))</f>
        <v>15.3345505293169</v>
      </c>
      <c r="L467" s="18">
        <f>INDEX(Mitigation_Industry!L:L,MATCH($A467,Mitigation_Industry!$H:$H,0))</f>
        <v>14.199528390634899</v>
      </c>
      <c r="M467" s="18">
        <f>INDEX(Mitigation_Industry!M:M,MATCH($A467,Mitigation_Industry!$H:$H,0))</f>
        <v>13.8404416133152</v>
      </c>
      <c r="N467" s="18">
        <f>INDEX(Mitigation_Industry!N:N,MATCH($A467,Mitigation_Industry!$H:$H,0))</f>
        <v>13.5677269404465</v>
      </c>
      <c r="O467" s="18">
        <f>INDEX(Mitigation_Industry!O:O,MATCH($A467,Mitigation_Industry!$H:$H,0))</f>
        <v>13.5677269404465</v>
      </c>
      <c r="P467" s="18">
        <f>INDEX(Mitigation_Industry!P:P,MATCH($A467,Mitigation_Industry!$H:$H,0))</f>
        <v>13.5677269404465</v>
      </c>
      <c r="Q467" s="18">
        <f>INDEX(Mitigation_Industry!Q:Q,MATCH($A467,Mitigation_Industry!$H:$H,0))</f>
        <v>13.5677269404465</v>
      </c>
      <c r="R467" s="18">
        <f>INDEX(Mitigation_Industry!R:R,MATCH($A467,Mitigation_Industry!$H:$H,0))</f>
        <v>13.5677269404465</v>
      </c>
      <c r="S467" s="18">
        <f>INDEX(Mitigation_Industry!S:S,MATCH($A467,Mitigation_Industry!$H:$H,0))</f>
        <v>13.5677269404465</v>
      </c>
      <c r="T467" s="18">
        <f>INDEX(Mitigation_Industry!T:T,MATCH($A467,Mitigation_Industry!$H:$H,0))</f>
        <v>13.5677269404465</v>
      </c>
      <c r="U467" s="18">
        <f>INDEX(Mitigation_Industry!U:U,MATCH($A467,Mitigation_Industry!$H:$H,0))</f>
        <v>13.5677269404465</v>
      </c>
      <c r="V467" s="18">
        <f>INDEX(Mitigation_Industry!V:V,MATCH($A467,Mitigation_Industry!$H:$H,0))</f>
        <v>13.5677269404465</v>
      </c>
      <c r="W467" s="18">
        <f>INDEX(Mitigation_Industry!W:W,MATCH($A467,Mitigation_Industry!$H:$H,0))</f>
        <v>13.5677269404465</v>
      </c>
      <c r="X467" s="18">
        <f>INDEX(Mitigation_Industry!X:X,MATCH($A467,Mitigation_Industry!$H:$H,0))</f>
        <v>13.5677269404465</v>
      </c>
      <c r="Y467" s="18">
        <f>INDEX(Mitigation_Industry!Y:Y,MATCH($A467,Mitigation_Industry!$H:$H,0))</f>
        <v>13.5677269404465</v>
      </c>
      <c r="Z467" s="18">
        <f>INDEX(Mitigation_Industry!Z:Z,MATCH($A467,Mitigation_Industry!$H:$H,0))</f>
        <v>13.5677269404465</v>
      </c>
      <c r="AA467" s="18">
        <f>INDEX(Mitigation_Industry!AA:AA,MATCH($A467,Mitigation_Industry!$H:$H,0))</f>
        <v>13.5677269404465</v>
      </c>
      <c r="AB467" s="18">
        <f>INDEX(Mitigation_Industry!AB:AB,MATCH($A467,Mitigation_Industry!$H:$H,0))</f>
        <v>13.5677269404465</v>
      </c>
      <c r="AC467" s="18">
        <f>INDEX(Mitigation_Industry!AC:AC,MATCH($A467,Mitigation_Industry!$H:$H,0))</f>
        <v>13.5677269404465</v>
      </c>
      <c r="AD467" s="18">
        <f>INDEX(Mitigation_Industry!AD:AD,MATCH($A467,Mitigation_Industry!$H:$H,0))</f>
        <v>13.5677269404465</v>
      </c>
      <c r="AE467" s="18">
        <f>INDEX(Mitigation_Industry!AE:AE,MATCH($A467,Mitigation_Industry!$H:$H,0))</f>
        <v>13.5677269404465</v>
      </c>
    </row>
    <row r="468" spans="1:31" x14ac:dyDescent="0.45">
      <c r="A468" s="28" t="s">
        <v>1276</v>
      </c>
      <c r="B468" s="5" t="s">
        <v>67</v>
      </c>
      <c r="C468" s="5" t="s">
        <v>43</v>
      </c>
      <c r="D468" s="5">
        <v>2</v>
      </c>
      <c r="E468" s="2" t="s">
        <v>1161</v>
      </c>
      <c r="F468" s="31">
        <f>MAX(MAX(L468:AE468),-MIN(L468:AE468))</f>
        <v>0</v>
      </c>
      <c r="K468" s="32">
        <f t="shared" ref="K468:AE468" si="115">IF(ISNUMBER(K466),IF(ISNUMBER(K467),K467-K466,999999),0)</f>
        <v>0</v>
      </c>
      <c r="L468" s="32">
        <f t="shared" si="115"/>
        <v>0</v>
      </c>
      <c r="M468" s="32">
        <f t="shared" si="115"/>
        <v>0</v>
      </c>
      <c r="N468" s="32">
        <f t="shared" si="115"/>
        <v>0</v>
      </c>
      <c r="O468" s="32">
        <f t="shared" si="115"/>
        <v>0</v>
      </c>
      <c r="P468" s="32">
        <f t="shared" si="115"/>
        <v>0</v>
      </c>
      <c r="Q468" s="32">
        <f t="shared" si="115"/>
        <v>0</v>
      </c>
      <c r="R468" s="32">
        <f t="shared" si="115"/>
        <v>0</v>
      </c>
      <c r="S468" s="32">
        <f t="shared" si="115"/>
        <v>0</v>
      </c>
      <c r="T468" s="32">
        <f t="shared" si="115"/>
        <v>0</v>
      </c>
      <c r="U468" s="32">
        <f t="shared" si="115"/>
        <v>0</v>
      </c>
      <c r="V468" s="32">
        <f t="shared" si="115"/>
        <v>0</v>
      </c>
      <c r="W468" s="32">
        <f t="shared" si="115"/>
        <v>0</v>
      </c>
      <c r="X468" s="32">
        <f t="shared" si="115"/>
        <v>0</v>
      </c>
      <c r="Y468" s="32">
        <f t="shared" si="115"/>
        <v>0</v>
      </c>
      <c r="Z468" s="32">
        <f t="shared" si="115"/>
        <v>0</v>
      </c>
      <c r="AA468" s="32">
        <f t="shared" si="115"/>
        <v>0</v>
      </c>
      <c r="AB468" s="32">
        <f t="shared" si="115"/>
        <v>0</v>
      </c>
      <c r="AC468" s="32">
        <f t="shared" si="115"/>
        <v>0</v>
      </c>
      <c r="AD468" s="32">
        <f t="shared" si="115"/>
        <v>0</v>
      </c>
      <c r="AE468" s="32">
        <f t="shared" si="115"/>
        <v>0</v>
      </c>
    </row>
    <row r="470" spans="1:31" x14ac:dyDescent="0.45">
      <c r="A470" s="28" t="s">
        <v>1277</v>
      </c>
      <c r="B470" s="5" t="s">
        <v>69</v>
      </c>
      <c r="C470" s="5" t="s">
        <v>43</v>
      </c>
      <c r="D470" s="5">
        <v>2</v>
      </c>
      <c r="E470" s="5" t="s">
        <v>1159</v>
      </c>
      <c r="K470" s="18"/>
      <c r="L470" s="18">
        <v>0.14404498679319799</v>
      </c>
      <c r="M470" s="18">
        <v>0.141386241751359</v>
      </c>
      <c r="N470" s="18">
        <v>0.13539756544373099</v>
      </c>
      <c r="O470" s="18">
        <v>0.13152288542065099</v>
      </c>
      <c r="P470" s="18">
        <v>0.12882610848523099</v>
      </c>
      <c r="Q470" s="18">
        <v>0.12594200976473999</v>
      </c>
      <c r="R470" s="18">
        <v>0.123113265701861</v>
      </c>
      <c r="S470" s="18">
        <v>0.119391738089068</v>
      </c>
      <c r="T470" s="18">
        <v>0.11554419046792</v>
      </c>
      <c r="U470" s="18">
        <v>0.11492423065415899</v>
      </c>
      <c r="V470" s="18">
        <v>0.114346912116736</v>
      </c>
      <c r="W470" s="18">
        <v>0.113738711172664</v>
      </c>
      <c r="X470" s="18">
        <v>0.112999900487521</v>
      </c>
      <c r="Y470" s="18">
        <v>0.112177685835534</v>
      </c>
      <c r="Z470" s="18">
        <v>0.111417903250404</v>
      </c>
      <c r="AA470" s="18">
        <v>0.11052581998545399</v>
      </c>
      <c r="AB470" s="18">
        <v>0.109699565234896</v>
      </c>
      <c r="AC470" s="18">
        <v>0.10772678896394899</v>
      </c>
      <c r="AD470" s="18">
        <v>0.10582092445093499</v>
      </c>
      <c r="AE470" s="18">
        <v>0.103855595705721</v>
      </c>
    </row>
    <row r="471" spans="1:31" x14ac:dyDescent="0.45">
      <c r="A471" s="28" t="s">
        <v>1277</v>
      </c>
      <c r="B471" s="5" t="s">
        <v>69</v>
      </c>
      <c r="C471" s="5" t="s">
        <v>43</v>
      </c>
      <c r="D471" s="5">
        <v>2</v>
      </c>
      <c r="E471" s="5" t="s">
        <v>1160</v>
      </c>
      <c r="K471" s="18">
        <f>INDEX(Mitigation_Industry!K:K,MATCH($A471,Mitigation_Industry!$H:$H,0))</f>
        <v>0</v>
      </c>
      <c r="L471" s="18">
        <f>INDEX(Mitigation_Industry!L:L,MATCH($A471,Mitigation_Industry!$H:$H,0))</f>
        <v>0.14404498679319799</v>
      </c>
      <c r="M471" s="18">
        <f>INDEX(Mitigation_Industry!M:M,MATCH($A471,Mitigation_Industry!$H:$H,0))</f>
        <v>0.141386241751359</v>
      </c>
      <c r="N471" s="18">
        <f>INDEX(Mitigation_Industry!N:N,MATCH($A471,Mitigation_Industry!$H:$H,0))</f>
        <v>0.13539756544373099</v>
      </c>
      <c r="O471" s="18">
        <f>INDEX(Mitigation_Industry!O:O,MATCH($A471,Mitigation_Industry!$H:$H,0))</f>
        <v>0.13152288542065099</v>
      </c>
      <c r="P471" s="18">
        <f>INDEX(Mitigation_Industry!P:P,MATCH($A471,Mitigation_Industry!$H:$H,0))</f>
        <v>0.12882610848523099</v>
      </c>
      <c r="Q471" s="18">
        <f>INDEX(Mitigation_Industry!Q:Q,MATCH($A471,Mitigation_Industry!$H:$H,0))</f>
        <v>0.12594200976473999</v>
      </c>
      <c r="R471" s="18">
        <f>INDEX(Mitigation_Industry!R:R,MATCH($A471,Mitigation_Industry!$H:$H,0))</f>
        <v>0.123113265701861</v>
      </c>
      <c r="S471" s="18">
        <f>INDEX(Mitigation_Industry!S:S,MATCH($A471,Mitigation_Industry!$H:$H,0))</f>
        <v>0.119391738089068</v>
      </c>
      <c r="T471" s="18">
        <f>INDEX(Mitigation_Industry!T:T,MATCH($A471,Mitigation_Industry!$H:$H,0))</f>
        <v>0.11554419046792</v>
      </c>
      <c r="U471" s="18">
        <f>INDEX(Mitigation_Industry!U:U,MATCH($A471,Mitigation_Industry!$H:$H,0))</f>
        <v>0.11492423065415899</v>
      </c>
      <c r="V471" s="18">
        <f>INDEX(Mitigation_Industry!V:V,MATCH($A471,Mitigation_Industry!$H:$H,0))</f>
        <v>0.114346912116736</v>
      </c>
      <c r="W471" s="18">
        <f>INDEX(Mitigation_Industry!W:W,MATCH($A471,Mitigation_Industry!$H:$H,0))</f>
        <v>0.113738711172664</v>
      </c>
      <c r="X471" s="18">
        <f>INDEX(Mitigation_Industry!X:X,MATCH($A471,Mitigation_Industry!$H:$H,0))</f>
        <v>0.112999900487521</v>
      </c>
      <c r="Y471" s="18">
        <f>INDEX(Mitigation_Industry!Y:Y,MATCH($A471,Mitigation_Industry!$H:$H,0))</f>
        <v>0.112177685835534</v>
      </c>
      <c r="Z471" s="18">
        <f>INDEX(Mitigation_Industry!Z:Z,MATCH($A471,Mitigation_Industry!$H:$H,0))</f>
        <v>0.111417903250404</v>
      </c>
      <c r="AA471" s="18">
        <f>INDEX(Mitigation_Industry!AA:AA,MATCH($A471,Mitigation_Industry!$H:$H,0))</f>
        <v>0.11052581998545399</v>
      </c>
      <c r="AB471" s="18">
        <f>INDEX(Mitigation_Industry!AB:AB,MATCH($A471,Mitigation_Industry!$H:$H,0))</f>
        <v>0.109699565234896</v>
      </c>
      <c r="AC471" s="18">
        <f>INDEX(Mitigation_Industry!AC:AC,MATCH($A471,Mitigation_Industry!$H:$H,0))</f>
        <v>0.10772678896394899</v>
      </c>
      <c r="AD471" s="18">
        <f>INDEX(Mitigation_Industry!AD:AD,MATCH($A471,Mitigation_Industry!$H:$H,0))</f>
        <v>0.10582092445093499</v>
      </c>
      <c r="AE471" s="18">
        <f>INDEX(Mitigation_Industry!AE:AE,MATCH($A471,Mitigation_Industry!$H:$H,0))</f>
        <v>0.103855595705721</v>
      </c>
    </row>
    <row r="472" spans="1:31" x14ac:dyDescent="0.45">
      <c r="A472" s="28" t="s">
        <v>1277</v>
      </c>
      <c r="B472" s="5" t="s">
        <v>69</v>
      </c>
      <c r="C472" s="5" t="s">
        <v>43</v>
      </c>
      <c r="D472" s="5">
        <v>2</v>
      </c>
      <c r="E472" s="2" t="s">
        <v>1161</v>
      </c>
      <c r="F472" s="31">
        <f>MAX(MAX(L472:AE472),-MIN(L472:AE472))</f>
        <v>0</v>
      </c>
      <c r="K472" s="32">
        <f t="shared" ref="K472:AE472" si="116">IF(ISNUMBER(K470),IF(ISNUMBER(K471),K471-K470,999999),0)</f>
        <v>0</v>
      </c>
      <c r="L472" s="32">
        <f t="shared" si="116"/>
        <v>0</v>
      </c>
      <c r="M472" s="32">
        <f t="shared" si="116"/>
        <v>0</v>
      </c>
      <c r="N472" s="32">
        <f t="shared" si="116"/>
        <v>0</v>
      </c>
      <c r="O472" s="32">
        <f t="shared" si="116"/>
        <v>0</v>
      </c>
      <c r="P472" s="32">
        <f t="shared" si="116"/>
        <v>0</v>
      </c>
      <c r="Q472" s="32">
        <f t="shared" si="116"/>
        <v>0</v>
      </c>
      <c r="R472" s="32">
        <f t="shared" si="116"/>
        <v>0</v>
      </c>
      <c r="S472" s="32">
        <f t="shared" si="116"/>
        <v>0</v>
      </c>
      <c r="T472" s="32">
        <f t="shared" si="116"/>
        <v>0</v>
      </c>
      <c r="U472" s="32">
        <f t="shared" si="116"/>
        <v>0</v>
      </c>
      <c r="V472" s="32">
        <f t="shared" si="116"/>
        <v>0</v>
      </c>
      <c r="W472" s="32">
        <f t="shared" si="116"/>
        <v>0</v>
      </c>
      <c r="X472" s="32">
        <f t="shared" si="116"/>
        <v>0</v>
      </c>
      <c r="Y472" s="32">
        <f t="shared" si="116"/>
        <v>0</v>
      </c>
      <c r="Z472" s="32">
        <f t="shared" si="116"/>
        <v>0</v>
      </c>
      <c r="AA472" s="32">
        <f t="shared" si="116"/>
        <v>0</v>
      </c>
      <c r="AB472" s="32">
        <f t="shared" si="116"/>
        <v>0</v>
      </c>
      <c r="AC472" s="32">
        <f t="shared" si="116"/>
        <v>0</v>
      </c>
      <c r="AD472" s="32">
        <f t="shared" si="116"/>
        <v>0</v>
      </c>
      <c r="AE472" s="32">
        <f t="shared" si="116"/>
        <v>0</v>
      </c>
    </row>
    <row r="474" spans="1:31" x14ac:dyDescent="0.45">
      <c r="A474" s="28" t="s">
        <v>1278</v>
      </c>
      <c r="B474" s="5" t="s">
        <v>49</v>
      </c>
      <c r="C474" s="5" t="s">
        <v>113</v>
      </c>
      <c r="D474" s="5">
        <v>2</v>
      </c>
      <c r="E474" s="5" t="s">
        <v>1159</v>
      </c>
      <c r="K474" s="18"/>
      <c r="L474" s="18">
        <v>10.5233613454312</v>
      </c>
      <c r="M474" s="18">
        <v>10.2995608274442</v>
      </c>
      <c r="N474" s="18">
        <v>9.5775283595382597</v>
      </c>
      <c r="O474" s="18">
        <v>8.4854782869580507</v>
      </c>
      <c r="P474" s="18">
        <v>9.0871922352498604</v>
      </c>
      <c r="Q474" s="18">
        <v>10.472923728932701</v>
      </c>
      <c r="R474" s="18">
        <v>11.6585649555097</v>
      </c>
      <c r="S474" s="18">
        <v>12.839547877397401</v>
      </c>
      <c r="T474" s="18">
        <v>14.0156816660228</v>
      </c>
      <c r="U474" s="18">
        <v>15.194397765557101</v>
      </c>
      <c r="V474" s="18">
        <v>16.444397765557099</v>
      </c>
      <c r="W474" s="18">
        <v>17.694397765557099</v>
      </c>
      <c r="X474" s="18">
        <v>18.944397765557099</v>
      </c>
      <c r="Y474" s="18">
        <v>20.194397765557099</v>
      </c>
      <c r="Z474" s="18">
        <v>21.444397765557099</v>
      </c>
      <c r="AA474" s="18">
        <v>22.694397765557099</v>
      </c>
      <c r="AB474" s="18">
        <v>23.944397765557099</v>
      </c>
      <c r="AC474" s="18">
        <v>25.194397765557099</v>
      </c>
      <c r="AD474" s="18">
        <v>26.444397765557099</v>
      </c>
      <c r="AE474" s="18">
        <v>27.694397765557099</v>
      </c>
    </row>
    <row r="475" spans="1:31" x14ac:dyDescent="0.45">
      <c r="A475" s="28" t="s">
        <v>1278</v>
      </c>
      <c r="B475" s="5" t="s">
        <v>49</v>
      </c>
      <c r="C475" s="5" t="s">
        <v>113</v>
      </c>
      <c r="D475" s="5">
        <v>2</v>
      </c>
      <c r="E475" s="5" t="s">
        <v>1160</v>
      </c>
      <c r="K475" s="18">
        <f>INDEX(Mitigation_Industry!K:K,MATCH($A475,Mitigation_Industry!$H:$H,0))</f>
        <v>11.182901589243899</v>
      </c>
      <c r="L475" s="18">
        <f>INDEX(Mitigation_Industry!L:L,MATCH($A475,Mitigation_Industry!$H:$H,0))</f>
        <v>10.5233613454312</v>
      </c>
      <c r="M475" s="18">
        <f>INDEX(Mitigation_Industry!M:M,MATCH($A475,Mitigation_Industry!$H:$H,0))</f>
        <v>10.2995608274442</v>
      </c>
      <c r="N475" s="18">
        <f>INDEX(Mitigation_Industry!N:N,MATCH($A475,Mitigation_Industry!$H:$H,0))</f>
        <v>9.5775283595382597</v>
      </c>
      <c r="O475" s="18">
        <f>INDEX(Mitigation_Industry!O:O,MATCH($A475,Mitigation_Industry!$H:$H,0))</f>
        <v>8.4854782869580507</v>
      </c>
      <c r="P475" s="18">
        <f>INDEX(Mitigation_Industry!P:P,MATCH($A475,Mitigation_Industry!$H:$H,0))</f>
        <v>9.0871922352498604</v>
      </c>
      <c r="Q475" s="18">
        <f>INDEX(Mitigation_Industry!Q:Q,MATCH($A475,Mitigation_Industry!$H:$H,0))</f>
        <v>10.472923728932679</v>
      </c>
      <c r="R475" s="18">
        <f>INDEX(Mitigation_Industry!R:R,MATCH($A475,Mitigation_Industry!$H:$H,0))</f>
        <v>11.658564955509689</v>
      </c>
      <c r="S475" s="18">
        <f>INDEX(Mitigation_Industry!S:S,MATCH($A475,Mitigation_Industry!$H:$H,0))</f>
        <v>12.839547877397379</v>
      </c>
      <c r="T475" s="18">
        <f>INDEX(Mitigation_Industry!T:T,MATCH($A475,Mitigation_Industry!$H:$H,0))</f>
        <v>14.01568166602283</v>
      </c>
      <c r="U475" s="18">
        <f>INDEX(Mitigation_Industry!U:U,MATCH($A475,Mitigation_Industry!$H:$H,0))</f>
        <v>15.19439776555711</v>
      </c>
      <c r="V475" s="18">
        <f>INDEX(Mitigation_Industry!V:V,MATCH($A475,Mitigation_Industry!$H:$H,0))</f>
        <v>16.44439776555711</v>
      </c>
      <c r="W475" s="18">
        <f>INDEX(Mitigation_Industry!W:W,MATCH($A475,Mitigation_Industry!$H:$H,0))</f>
        <v>17.69439776555711</v>
      </c>
      <c r="X475" s="18">
        <f>INDEX(Mitigation_Industry!X:X,MATCH($A475,Mitigation_Industry!$H:$H,0))</f>
        <v>18.94439776555711</v>
      </c>
      <c r="Y475" s="18">
        <f>INDEX(Mitigation_Industry!Y:Y,MATCH($A475,Mitigation_Industry!$H:$H,0))</f>
        <v>20.19439776555711</v>
      </c>
      <c r="Z475" s="18">
        <f>INDEX(Mitigation_Industry!Z:Z,MATCH($A475,Mitigation_Industry!$H:$H,0))</f>
        <v>21.44439776555711</v>
      </c>
      <c r="AA475" s="18">
        <f>INDEX(Mitigation_Industry!AA:AA,MATCH($A475,Mitigation_Industry!$H:$H,0))</f>
        <v>22.69439776555711</v>
      </c>
      <c r="AB475" s="18">
        <f>INDEX(Mitigation_Industry!AB:AB,MATCH($A475,Mitigation_Industry!$H:$H,0))</f>
        <v>23.94439776555711</v>
      </c>
      <c r="AC475" s="18">
        <f>INDEX(Mitigation_Industry!AC:AC,MATCH($A475,Mitigation_Industry!$H:$H,0))</f>
        <v>25.19439776555711</v>
      </c>
      <c r="AD475" s="18">
        <f>INDEX(Mitigation_Industry!AD:AD,MATCH($A475,Mitigation_Industry!$H:$H,0))</f>
        <v>26.44439776555711</v>
      </c>
      <c r="AE475" s="18">
        <f>INDEX(Mitigation_Industry!AE:AE,MATCH($A475,Mitigation_Industry!$H:$H,0))</f>
        <v>27.69439776555711</v>
      </c>
    </row>
    <row r="476" spans="1:31" x14ac:dyDescent="0.45">
      <c r="A476" s="28" t="s">
        <v>1278</v>
      </c>
      <c r="B476" s="5" t="s">
        <v>49</v>
      </c>
      <c r="C476" s="5" t="s">
        <v>113</v>
      </c>
      <c r="D476" s="5">
        <v>2</v>
      </c>
      <c r="E476" s="2" t="s">
        <v>1161</v>
      </c>
      <c r="F476" s="31">
        <f>MAX(MAX(L476:AE476),-MIN(L476:AE476))</f>
        <v>3.0198066269804258E-14</v>
      </c>
      <c r="K476" s="32">
        <f t="shared" ref="K476:AE476" si="117">IF(ISNUMBER(K474),IF(ISNUMBER(K475),K475-K474,999999),0)</f>
        <v>0</v>
      </c>
      <c r="L476" s="32">
        <f t="shared" si="117"/>
        <v>0</v>
      </c>
      <c r="M476" s="32">
        <f t="shared" si="117"/>
        <v>0</v>
      </c>
      <c r="N476" s="32">
        <f t="shared" si="117"/>
        <v>0</v>
      </c>
      <c r="O476" s="32">
        <f t="shared" si="117"/>
        <v>0</v>
      </c>
      <c r="P476" s="32">
        <f t="shared" si="117"/>
        <v>0</v>
      </c>
      <c r="Q476" s="32">
        <f t="shared" si="117"/>
        <v>-2.1316282072803006E-14</v>
      </c>
      <c r="R476" s="32">
        <f t="shared" si="117"/>
        <v>-1.0658141036401503E-14</v>
      </c>
      <c r="S476" s="32">
        <f t="shared" si="117"/>
        <v>-2.1316282072803006E-14</v>
      </c>
      <c r="T476" s="32">
        <f t="shared" si="117"/>
        <v>3.0198066269804258E-14</v>
      </c>
      <c r="U476" s="32">
        <f t="shared" si="117"/>
        <v>8.8817841970012523E-15</v>
      </c>
      <c r="V476" s="32">
        <f t="shared" si="117"/>
        <v>1.0658141036401503E-14</v>
      </c>
      <c r="W476" s="32">
        <f t="shared" si="117"/>
        <v>1.0658141036401503E-14</v>
      </c>
      <c r="X476" s="32">
        <f t="shared" si="117"/>
        <v>1.0658141036401503E-14</v>
      </c>
      <c r="Y476" s="32">
        <f t="shared" si="117"/>
        <v>1.0658141036401503E-14</v>
      </c>
      <c r="Z476" s="32">
        <f t="shared" si="117"/>
        <v>1.0658141036401503E-14</v>
      </c>
      <c r="AA476" s="32">
        <f t="shared" si="117"/>
        <v>1.0658141036401503E-14</v>
      </c>
      <c r="AB476" s="32">
        <f t="shared" si="117"/>
        <v>1.0658141036401503E-14</v>
      </c>
      <c r="AC476" s="32">
        <f t="shared" si="117"/>
        <v>1.0658141036401503E-14</v>
      </c>
      <c r="AD476" s="32">
        <f t="shared" si="117"/>
        <v>1.0658141036401503E-14</v>
      </c>
      <c r="AE476" s="32">
        <f t="shared" si="117"/>
        <v>1.0658141036401503E-14</v>
      </c>
    </row>
    <row r="478" spans="1:31" x14ac:dyDescent="0.45">
      <c r="A478" s="28" t="s">
        <v>1279</v>
      </c>
      <c r="B478" s="5" t="s">
        <v>53</v>
      </c>
      <c r="C478" s="5" t="s">
        <v>113</v>
      </c>
      <c r="D478" s="5">
        <v>2</v>
      </c>
      <c r="E478" s="5" t="s">
        <v>1159</v>
      </c>
      <c r="K478" s="18"/>
      <c r="L478" s="18">
        <v>5.4510150816191896</v>
      </c>
      <c r="M478" s="18">
        <v>5.1193563062624801</v>
      </c>
      <c r="N478" s="18">
        <v>5.08218458640407</v>
      </c>
      <c r="O478" s="18">
        <v>5.08218458640407</v>
      </c>
      <c r="P478" s="18">
        <v>5.08218458640407</v>
      </c>
      <c r="Q478" s="18">
        <v>5.7796845864040698</v>
      </c>
      <c r="R478" s="18">
        <v>6.4771845864040696</v>
      </c>
      <c r="S478" s="18">
        <v>7.1746845864040703</v>
      </c>
      <c r="T478" s="18">
        <v>7.87218458640407</v>
      </c>
      <c r="U478" s="18">
        <v>8.5696845864040707</v>
      </c>
      <c r="V478" s="18">
        <v>9.2671845864040705</v>
      </c>
      <c r="W478" s="18">
        <v>9.9646845864040703</v>
      </c>
      <c r="X478" s="18">
        <v>10.6621845864041</v>
      </c>
      <c r="Y478" s="18">
        <v>11.3596845864041</v>
      </c>
      <c r="Z478" s="18">
        <v>12.0571845864041</v>
      </c>
      <c r="AA478" s="18">
        <v>12.7546845864041</v>
      </c>
      <c r="AB478" s="18">
        <v>13.452184586404099</v>
      </c>
      <c r="AC478" s="18">
        <v>14.149684586404099</v>
      </c>
      <c r="AD478" s="18">
        <v>14.847184586404101</v>
      </c>
      <c r="AE478" s="18">
        <v>15.544684586404101</v>
      </c>
    </row>
    <row r="479" spans="1:31" x14ac:dyDescent="0.45">
      <c r="A479" s="28" t="s">
        <v>1279</v>
      </c>
      <c r="B479" s="5" t="s">
        <v>53</v>
      </c>
      <c r="C479" s="5" t="s">
        <v>113</v>
      </c>
      <c r="D479" s="5">
        <v>2</v>
      </c>
      <c r="E479" s="5" t="s">
        <v>1160</v>
      </c>
      <c r="K479" s="18">
        <f>INDEX(Mitigation_Industry!K:K,MATCH($A479,Mitigation_Industry!$H:$H,0))</f>
        <v>6.0634636156729096</v>
      </c>
      <c r="L479" s="18">
        <f>INDEX(Mitigation_Industry!L:L,MATCH($A479,Mitigation_Industry!$H:$H,0))</f>
        <v>5.4510150816191896</v>
      </c>
      <c r="M479" s="18">
        <f>INDEX(Mitigation_Industry!M:M,MATCH($A479,Mitigation_Industry!$H:$H,0))</f>
        <v>5.1193563062624801</v>
      </c>
      <c r="N479" s="18">
        <f>INDEX(Mitigation_Industry!N:N,MATCH($A479,Mitigation_Industry!$H:$H,0))</f>
        <v>5.08218458640407</v>
      </c>
      <c r="O479" s="18">
        <f>INDEX(Mitigation_Industry!O:O,MATCH($A479,Mitigation_Industry!$H:$H,0))</f>
        <v>5.08218458640407</v>
      </c>
      <c r="P479" s="18">
        <f>INDEX(Mitigation_Industry!P:P,MATCH($A479,Mitigation_Industry!$H:$H,0))</f>
        <v>5.08218458640407</v>
      </c>
      <c r="Q479" s="18">
        <f>INDEX(Mitigation_Industry!Q:Q,MATCH($A479,Mitigation_Industry!$H:$H,0))</f>
        <v>5.7796845864040698</v>
      </c>
      <c r="R479" s="18">
        <f>INDEX(Mitigation_Industry!R:R,MATCH($A479,Mitigation_Industry!$H:$H,0))</f>
        <v>6.4771845864040696</v>
      </c>
      <c r="S479" s="18">
        <f>INDEX(Mitigation_Industry!S:S,MATCH($A479,Mitigation_Industry!$H:$H,0))</f>
        <v>7.1746845864040703</v>
      </c>
      <c r="T479" s="18">
        <f>INDEX(Mitigation_Industry!T:T,MATCH($A479,Mitigation_Industry!$H:$H,0))</f>
        <v>7.87218458640407</v>
      </c>
      <c r="U479" s="18">
        <f>INDEX(Mitigation_Industry!U:U,MATCH($A479,Mitigation_Industry!$H:$H,0))</f>
        <v>8.5696845864040707</v>
      </c>
      <c r="V479" s="18">
        <f>INDEX(Mitigation_Industry!V:V,MATCH($A479,Mitigation_Industry!$H:$H,0))</f>
        <v>9.2671845864040705</v>
      </c>
      <c r="W479" s="18">
        <f>INDEX(Mitigation_Industry!W:W,MATCH($A479,Mitigation_Industry!$H:$H,0))</f>
        <v>9.9646845864040703</v>
      </c>
      <c r="X479" s="18">
        <f>INDEX(Mitigation_Industry!X:X,MATCH($A479,Mitigation_Industry!$H:$H,0))</f>
        <v>10.66218458640407</v>
      </c>
      <c r="Y479" s="18">
        <f>INDEX(Mitigation_Industry!Y:Y,MATCH($A479,Mitigation_Industry!$H:$H,0))</f>
        <v>11.35968458640407</v>
      </c>
      <c r="Z479" s="18">
        <f>INDEX(Mitigation_Industry!Z:Z,MATCH($A479,Mitigation_Industry!$H:$H,0))</f>
        <v>12.05718458640407</v>
      </c>
      <c r="AA479" s="18">
        <f>INDEX(Mitigation_Industry!AA:AA,MATCH($A479,Mitigation_Industry!$H:$H,0))</f>
        <v>12.754684586404071</v>
      </c>
      <c r="AB479" s="18">
        <f>INDEX(Mitigation_Industry!AB:AB,MATCH($A479,Mitigation_Industry!$H:$H,0))</f>
        <v>13.452184586404071</v>
      </c>
      <c r="AC479" s="18">
        <f>INDEX(Mitigation_Industry!AC:AC,MATCH($A479,Mitigation_Industry!$H:$H,0))</f>
        <v>14.149684586404071</v>
      </c>
      <c r="AD479" s="18">
        <f>INDEX(Mitigation_Industry!AD:AD,MATCH($A479,Mitigation_Industry!$H:$H,0))</f>
        <v>14.847184586404071</v>
      </c>
      <c r="AE479" s="18">
        <f>INDEX(Mitigation_Industry!AE:AE,MATCH($A479,Mitigation_Industry!$H:$H,0))</f>
        <v>15.54468458640407</v>
      </c>
    </row>
    <row r="480" spans="1:31" x14ac:dyDescent="0.45">
      <c r="A480" s="28" t="s">
        <v>1279</v>
      </c>
      <c r="B480" s="5" t="s">
        <v>53</v>
      </c>
      <c r="C480" s="5" t="s">
        <v>113</v>
      </c>
      <c r="D480" s="5">
        <v>2</v>
      </c>
      <c r="E480" s="2" t="s">
        <v>1161</v>
      </c>
      <c r="F480" s="31">
        <f>MAX(MAX(L480:AE480),-MIN(L480:AE480))</f>
        <v>3.0198066269804258E-14</v>
      </c>
      <c r="K480" s="32">
        <f t="shared" ref="K480:AE480" si="118">IF(ISNUMBER(K478),IF(ISNUMBER(K479),K479-K478,999999),0)</f>
        <v>0</v>
      </c>
      <c r="L480" s="32">
        <f t="shared" si="118"/>
        <v>0</v>
      </c>
      <c r="M480" s="32">
        <f t="shared" si="118"/>
        <v>0</v>
      </c>
      <c r="N480" s="32">
        <f t="shared" si="118"/>
        <v>0</v>
      </c>
      <c r="O480" s="32">
        <f t="shared" si="118"/>
        <v>0</v>
      </c>
      <c r="P480" s="32">
        <f t="shared" si="118"/>
        <v>0</v>
      </c>
      <c r="Q480" s="32">
        <f t="shared" si="118"/>
        <v>0</v>
      </c>
      <c r="R480" s="32">
        <f t="shared" si="118"/>
        <v>0</v>
      </c>
      <c r="S480" s="32">
        <f t="shared" si="118"/>
        <v>0</v>
      </c>
      <c r="T480" s="32">
        <f t="shared" si="118"/>
        <v>0</v>
      </c>
      <c r="U480" s="32">
        <f t="shared" si="118"/>
        <v>0</v>
      </c>
      <c r="V480" s="32">
        <f t="shared" si="118"/>
        <v>0</v>
      </c>
      <c r="W480" s="32">
        <f t="shared" si="118"/>
        <v>0</v>
      </c>
      <c r="X480" s="32">
        <f t="shared" si="118"/>
        <v>-3.0198066269804258E-14</v>
      </c>
      <c r="Y480" s="32">
        <f t="shared" si="118"/>
        <v>-3.0198066269804258E-14</v>
      </c>
      <c r="Z480" s="32">
        <f t="shared" si="118"/>
        <v>-3.0198066269804258E-14</v>
      </c>
      <c r="AA480" s="32">
        <f t="shared" si="118"/>
        <v>-2.8421709430404007E-14</v>
      </c>
      <c r="AB480" s="32">
        <f t="shared" si="118"/>
        <v>-2.8421709430404007E-14</v>
      </c>
      <c r="AC480" s="32">
        <f t="shared" si="118"/>
        <v>-2.8421709430404007E-14</v>
      </c>
      <c r="AD480" s="32">
        <f t="shared" si="118"/>
        <v>-3.0198066269804258E-14</v>
      </c>
      <c r="AE480" s="32">
        <f t="shared" si="118"/>
        <v>-3.0198066269804258E-14</v>
      </c>
    </row>
    <row r="482" spans="1:31" x14ac:dyDescent="0.45">
      <c r="A482" s="28" t="s">
        <v>1280</v>
      </c>
      <c r="B482" s="5" t="s">
        <v>55</v>
      </c>
      <c r="C482" s="5" t="s">
        <v>113</v>
      </c>
      <c r="D482" s="5">
        <v>2</v>
      </c>
      <c r="E482" s="5" t="s">
        <v>1159</v>
      </c>
      <c r="K482" s="18"/>
      <c r="L482" s="18">
        <v>0.61197797679140598</v>
      </c>
      <c r="M482" s="18">
        <v>0.61180974964187596</v>
      </c>
      <c r="N482" s="18">
        <v>0.60358310017790595</v>
      </c>
      <c r="O482" s="18">
        <v>0.60358310017790595</v>
      </c>
      <c r="P482" s="18">
        <v>0.60358310017790595</v>
      </c>
      <c r="Q482" s="18">
        <v>0.63251094334940605</v>
      </c>
      <c r="R482" s="18">
        <v>0.66143878652090604</v>
      </c>
      <c r="S482" s="18">
        <v>0.69036662969240603</v>
      </c>
      <c r="T482" s="18">
        <v>0.71929447286390602</v>
      </c>
      <c r="U482" s="18">
        <v>0.74822231603540601</v>
      </c>
      <c r="V482" s="18">
        <v>0.777150159206906</v>
      </c>
      <c r="W482" s="18">
        <v>0.80607800237840599</v>
      </c>
      <c r="X482" s="18">
        <v>0.83500584554990598</v>
      </c>
      <c r="Y482" s="18">
        <v>0.86393368872140597</v>
      </c>
      <c r="Z482" s="18">
        <v>0.89286153189290596</v>
      </c>
      <c r="AA482" s="18">
        <v>0.92178937506440595</v>
      </c>
      <c r="AB482" s="18">
        <v>0.95071721823590605</v>
      </c>
      <c r="AC482" s="18">
        <v>0.97964506140740604</v>
      </c>
      <c r="AD482" s="18">
        <v>1.00857290457891</v>
      </c>
      <c r="AE482" s="18">
        <v>1.0375007477504099</v>
      </c>
    </row>
    <row r="483" spans="1:31" x14ac:dyDescent="0.45">
      <c r="A483" s="28" t="s">
        <v>1280</v>
      </c>
      <c r="B483" s="5" t="s">
        <v>55</v>
      </c>
      <c r="C483" s="5" t="s">
        <v>113</v>
      </c>
      <c r="D483" s="5">
        <v>2</v>
      </c>
      <c r="E483" s="5" t="s">
        <v>1160</v>
      </c>
      <c r="K483" s="18">
        <f>INDEX(Mitigation_Industry!K:K,MATCH($A483,Mitigation_Industry!$H:$H,0))</f>
        <v>0.67114653332181595</v>
      </c>
      <c r="L483" s="18">
        <f>INDEX(Mitigation_Industry!L:L,MATCH($A483,Mitigation_Industry!$H:$H,0))</f>
        <v>0.61197797679140598</v>
      </c>
      <c r="M483" s="18">
        <f>INDEX(Mitigation_Industry!M:M,MATCH($A483,Mitigation_Industry!$H:$H,0))</f>
        <v>0.61180974964187596</v>
      </c>
      <c r="N483" s="18">
        <f>INDEX(Mitigation_Industry!N:N,MATCH($A483,Mitigation_Industry!$H:$H,0))</f>
        <v>0.60358310017790595</v>
      </c>
      <c r="O483" s="18">
        <f>INDEX(Mitigation_Industry!O:O,MATCH($A483,Mitigation_Industry!$H:$H,0))</f>
        <v>0.60358310017790595</v>
      </c>
      <c r="P483" s="18">
        <f>INDEX(Mitigation_Industry!P:P,MATCH($A483,Mitigation_Industry!$H:$H,0))</f>
        <v>0.60358310017790595</v>
      </c>
      <c r="Q483" s="18">
        <f>INDEX(Mitigation_Industry!Q:Q,MATCH($A483,Mitigation_Industry!$H:$H,0))</f>
        <v>0.63251094334940594</v>
      </c>
      <c r="R483" s="18">
        <f>INDEX(Mitigation_Industry!R:R,MATCH($A483,Mitigation_Industry!$H:$H,0))</f>
        <v>0.66143878652090593</v>
      </c>
      <c r="S483" s="18">
        <f>INDEX(Mitigation_Industry!S:S,MATCH($A483,Mitigation_Industry!$H:$H,0))</f>
        <v>0.69036662969240592</v>
      </c>
      <c r="T483" s="18">
        <f>INDEX(Mitigation_Industry!T:T,MATCH($A483,Mitigation_Industry!$H:$H,0))</f>
        <v>0.71929447286390591</v>
      </c>
      <c r="U483" s="18">
        <f>INDEX(Mitigation_Industry!U:U,MATCH($A483,Mitigation_Industry!$H:$H,0))</f>
        <v>0.74822231603540601</v>
      </c>
      <c r="V483" s="18">
        <f>INDEX(Mitigation_Industry!V:V,MATCH($A483,Mitigation_Industry!$H:$H,0))</f>
        <v>0.777150159206906</v>
      </c>
      <c r="W483" s="18">
        <f>INDEX(Mitigation_Industry!W:W,MATCH($A483,Mitigation_Industry!$H:$H,0))</f>
        <v>0.80607800237840599</v>
      </c>
      <c r="X483" s="18">
        <f>INDEX(Mitigation_Industry!X:X,MATCH($A483,Mitigation_Industry!$H:$H,0))</f>
        <v>0.83500584554990598</v>
      </c>
      <c r="Y483" s="18">
        <f>INDEX(Mitigation_Industry!Y:Y,MATCH($A483,Mitigation_Industry!$H:$H,0))</f>
        <v>0.86393368872140597</v>
      </c>
      <c r="Z483" s="18">
        <f>INDEX(Mitigation_Industry!Z:Z,MATCH($A483,Mitigation_Industry!$H:$H,0))</f>
        <v>0.89286153189290596</v>
      </c>
      <c r="AA483" s="18">
        <f>INDEX(Mitigation_Industry!AA:AA,MATCH($A483,Mitigation_Industry!$H:$H,0))</f>
        <v>0.92178937506440595</v>
      </c>
      <c r="AB483" s="18">
        <f>INDEX(Mitigation_Industry!AB:AB,MATCH($A483,Mitigation_Industry!$H:$H,0))</f>
        <v>0.95071721823590605</v>
      </c>
      <c r="AC483" s="18">
        <f>INDEX(Mitigation_Industry!AC:AC,MATCH($A483,Mitigation_Industry!$H:$H,0))</f>
        <v>0.97964506140740593</v>
      </c>
      <c r="AD483" s="18">
        <f>INDEX(Mitigation_Industry!AD:AD,MATCH($A483,Mitigation_Industry!$H:$H,0))</f>
        <v>1.008572904578906</v>
      </c>
      <c r="AE483" s="18">
        <f>INDEX(Mitigation_Industry!AE:AE,MATCH($A483,Mitigation_Industry!$H:$H,0))</f>
        <v>1.0375007477504061</v>
      </c>
    </row>
    <row r="484" spans="1:31" x14ac:dyDescent="0.45">
      <c r="A484" s="28" t="s">
        <v>1280</v>
      </c>
      <c r="B484" s="5" t="s">
        <v>55</v>
      </c>
      <c r="C484" s="5" t="s">
        <v>113</v>
      </c>
      <c r="D484" s="5">
        <v>2</v>
      </c>
      <c r="E484" s="2" t="s">
        <v>1161</v>
      </c>
      <c r="F484" s="31">
        <f>MAX(MAX(L484:AE484),-MIN(L484:AE484))</f>
        <v>3.9968028886505635E-15</v>
      </c>
      <c r="K484" s="32">
        <f t="shared" ref="K484:AE484" si="119">IF(ISNUMBER(K482),IF(ISNUMBER(K483),K483-K482,999999),0)</f>
        <v>0</v>
      </c>
      <c r="L484" s="32">
        <f t="shared" si="119"/>
        <v>0</v>
      </c>
      <c r="M484" s="32">
        <f t="shared" si="119"/>
        <v>0</v>
      </c>
      <c r="N484" s="32">
        <f t="shared" si="119"/>
        <v>0</v>
      </c>
      <c r="O484" s="32">
        <f t="shared" si="119"/>
        <v>0</v>
      </c>
      <c r="P484" s="32">
        <f t="shared" si="119"/>
        <v>0</v>
      </c>
      <c r="Q484" s="32">
        <f t="shared" si="119"/>
        <v>-1.1102230246251565E-16</v>
      </c>
      <c r="R484" s="32">
        <f t="shared" si="119"/>
        <v>-1.1102230246251565E-16</v>
      </c>
      <c r="S484" s="32">
        <f t="shared" si="119"/>
        <v>-1.1102230246251565E-16</v>
      </c>
      <c r="T484" s="32">
        <f t="shared" si="119"/>
        <v>-1.1102230246251565E-16</v>
      </c>
      <c r="U484" s="32">
        <f t="shared" si="119"/>
        <v>0</v>
      </c>
      <c r="V484" s="32">
        <f t="shared" si="119"/>
        <v>0</v>
      </c>
      <c r="W484" s="32">
        <f t="shared" si="119"/>
        <v>0</v>
      </c>
      <c r="X484" s="32">
        <f t="shared" si="119"/>
        <v>0</v>
      </c>
      <c r="Y484" s="32">
        <f t="shared" si="119"/>
        <v>0</v>
      </c>
      <c r="Z484" s="32">
        <f t="shared" si="119"/>
        <v>0</v>
      </c>
      <c r="AA484" s="32">
        <f t="shared" si="119"/>
        <v>0</v>
      </c>
      <c r="AB484" s="32">
        <f t="shared" si="119"/>
        <v>0</v>
      </c>
      <c r="AC484" s="32">
        <f t="shared" si="119"/>
        <v>-1.1102230246251565E-16</v>
      </c>
      <c r="AD484" s="32">
        <f t="shared" si="119"/>
        <v>-3.9968028886505635E-15</v>
      </c>
      <c r="AE484" s="32">
        <f t="shared" si="119"/>
        <v>-3.7747582837255322E-15</v>
      </c>
    </row>
    <row r="486" spans="1:31" x14ac:dyDescent="0.45">
      <c r="A486" s="28" t="s">
        <v>1281</v>
      </c>
      <c r="B486" s="5" t="s">
        <v>58</v>
      </c>
      <c r="C486" s="5" t="s">
        <v>113</v>
      </c>
      <c r="D486" s="5">
        <v>2</v>
      </c>
      <c r="E486" s="5" t="s">
        <v>1159</v>
      </c>
      <c r="K486" s="18"/>
      <c r="L486" s="18">
        <v>0.49458873084106802</v>
      </c>
      <c r="M486" s="18">
        <v>0.50778654720250105</v>
      </c>
      <c r="N486" s="18">
        <v>0.47043642679561698</v>
      </c>
      <c r="O486" s="18">
        <v>0.47043642679561698</v>
      </c>
      <c r="P486" s="18">
        <v>0.47043642679561698</v>
      </c>
      <c r="Q486" s="18">
        <v>0.50344686565449204</v>
      </c>
      <c r="R486" s="18">
        <v>0.53645730451336704</v>
      </c>
      <c r="S486" s="18">
        <v>0.56946774337224204</v>
      </c>
      <c r="T486" s="18">
        <v>0.60247818223111704</v>
      </c>
      <c r="U486" s="18">
        <v>0.63548862108999205</v>
      </c>
      <c r="V486" s="18">
        <v>0.66849905994886705</v>
      </c>
      <c r="W486" s="18">
        <v>0.70150949880774205</v>
      </c>
      <c r="X486" s="18">
        <v>0.73451993766661705</v>
      </c>
      <c r="Y486" s="18">
        <v>0.76753037652549205</v>
      </c>
      <c r="Z486" s="18">
        <v>0.80054081538436705</v>
      </c>
      <c r="AA486" s="18">
        <v>0.83355125424324195</v>
      </c>
      <c r="AB486" s="18">
        <v>0.86656169310211695</v>
      </c>
      <c r="AC486" s="18">
        <v>0.89957213196099195</v>
      </c>
      <c r="AD486" s="18">
        <v>0.93258257081986695</v>
      </c>
      <c r="AE486" s="18">
        <v>0.96559300967874195</v>
      </c>
    </row>
    <row r="487" spans="1:31" x14ac:dyDescent="0.45">
      <c r="A487" s="28" t="s">
        <v>1281</v>
      </c>
      <c r="B487" s="5" t="s">
        <v>58</v>
      </c>
      <c r="C487" s="5" t="s">
        <v>113</v>
      </c>
      <c r="D487" s="5">
        <v>2</v>
      </c>
      <c r="E487" s="5" t="s">
        <v>1160</v>
      </c>
      <c r="K487" s="18">
        <f>INDEX(Mitigation_Industry!K:K,MATCH($A487,Mitigation_Industry!$H:$H,0))</f>
        <v>0.55971121315568795</v>
      </c>
      <c r="L487" s="18">
        <f>INDEX(Mitigation_Industry!L:L,MATCH($A487,Mitigation_Industry!$H:$H,0))</f>
        <v>0.49458873084106802</v>
      </c>
      <c r="M487" s="18">
        <f>INDEX(Mitigation_Industry!M:M,MATCH($A487,Mitigation_Industry!$H:$H,0))</f>
        <v>0.50778654720250105</v>
      </c>
      <c r="N487" s="18">
        <f>INDEX(Mitigation_Industry!N:N,MATCH($A487,Mitigation_Industry!$H:$H,0))</f>
        <v>0.47043642679561698</v>
      </c>
      <c r="O487" s="18">
        <f>INDEX(Mitigation_Industry!O:O,MATCH($A487,Mitigation_Industry!$H:$H,0))</f>
        <v>0.47043642679561698</v>
      </c>
      <c r="P487" s="18">
        <f>INDEX(Mitigation_Industry!P:P,MATCH($A487,Mitigation_Industry!$H:$H,0))</f>
        <v>0.47043642679561698</v>
      </c>
      <c r="Q487" s="18">
        <f>INDEX(Mitigation_Industry!Q:Q,MATCH($A487,Mitigation_Industry!$H:$H,0))</f>
        <v>0.50344686565449193</v>
      </c>
      <c r="R487" s="18">
        <f>INDEX(Mitigation_Industry!R:R,MATCH($A487,Mitigation_Industry!$H:$H,0))</f>
        <v>0.53645730451336693</v>
      </c>
      <c r="S487" s="18">
        <f>INDEX(Mitigation_Industry!S:S,MATCH($A487,Mitigation_Industry!$H:$H,0))</f>
        <v>0.56946774337224193</v>
      </c>
      <c r="T487" s="18">
        <f>INDEX(Mitigation_Industry!T:T,MATCH($A487,Mitigation_Industry!$H:$H,0))</f>
        <v>0.60247818223111693</v>
      </c>
      <c r="U487" s="18">
        <f>INDEX(Mitigation_Industry!U:U,MATCH($A487,Mitigation_Industry!$H:$H,0))</f>
        <v>0.63548862108999193</v>
      </c>
      <c r="V487" s="18">
        <f>INDEX(Mitigation_Industry!V:V,MATCH($A487,Mitigation_Industry!$H:$H,0))</f>
        <v>0.66849905994886694</v>
      </c>
      <c r="W487" s="18">
        <f>INDEX(Mitigation_Industry!W:W,MATCH($A487,Mitigation_Industry!$H:$H,0))</f>
        <v>0.70150949880774194</v>
      </c>
      <c r="X487" s="18">
        <f>INDEX(Mitigation_Industry!X:X,MATCH($A487,Mitigation_Industry!$H:$H,0))</f>
        <v>0.73451993766661694</v>
      </c>
      <c r="Y487" s="18">
        <f>INDEX(Mitigation_Industry!Y:Y,MATCH($A487,Mitigation_Industry!$H:$H,0))</f>
        <v>0.76753037652549194</v>
      </c>
      <c r="Z487" s="18">
        <f>INDEX(Mitigation_Industry!Z:Z,MATCH($A487,Mitigation_Industry!$H:$H,0))</f>
        <v>0.80054081538436694</v>
      </c>
      <c r="AA487" s="18">
        <f>INDEX(Mitigation_Industry!AA:AA,MATCH($A487,Mitigation_Industry!$H:$H,0))</f>
        <v>0.83355125424324195</v>
      </c>
      <c r="AB487" s="18">
        <f>INDEX(Mitigation_Industry!AB:AB,MATCH($A487,Mitigation_Industry!$H:$H,0))</f>
        <v>0.86656169310211695</v>
      </c>
      <c r="AC487" s="18">
        <f>INDEX(Mitigation_Industry!AC:AC,MATCH($A487,Mitigation_Industry!$H:$H,0))</f>
        <v>0.89957213196099195</v>
      </c>
      <c r="AD487" s="18">
        <f>INDEX(Mitigation_Industry!AD:AD,MATCH($A487,Mitigation_Industry!$H:$H,0))</f>
        <v>0.93258257081986695</v>
      </c>
      <c r="AE487" s="18">
        <f>INDEX(Mitigation_Industry!AE:AE,MATCH($A487,Mitigation_Industry!$H:$H,0))</f>
        <v>0.96559300967874195</v>
      </c>
    </row>
    <row r="488" spans="1:31" x14ac:dyDescent="0.45">
      <c r="A488" s="28" t="s">
        <v>1281</v>
      </c>
      <c r="B488" s="5" t="s">
        <v>58</v>
      </c>
      <c r="C488" s="5" t="s">
        <v>113</v>
      </c>
      <c r="D488" s="5">
        <v>2</v>
      </c>
      <c r="E488" s="2" t="s">
        <v>1161</v>
      </c>
      <c r="F488" s="31">
        <f>MAX(MAX(L488:AE488),-MIN(L488:AE488))</f>
        <v>1.1102230246251565E-16</v>
      </c>
      <c r="K488" s="32">
        <f t="shared" ref="K488:AE488" si="120">IF(ISNUMBER(K486),IF(ISNUMBER(K487),K487-K486,999999),0)</f>
        <v>0</v>
      </c>
      <c r="L488" s="32">
        <f t="shared" si="120"/>
        <v>0</v>
      </c>
      <c r="M488" s="32">
        <f t="shared" si="120"/>
        <v>0</v>
      </c>
      <c r="N488" s="32">
        <f t="shared" si="120"/>
        <v>0</v>
      </c>
      <c r="O488" s="32">
        <f t="shared" si="120"/>
        <v>0</v>
      </c>
      <c r="P488" s="32">
        <f t="shared" si="120"/>
        <v>0</v>
      </c>
      <c r="Q488" s="32">
        <f t="shared" si="120"/>
        <v>-1.1102230246251565E-16</v>
      </c>
      <c r="R488" s="32">
        <f t="shared" si="120"/>
        <v>-1.1102230246251565E-16</v>
      </c>
      <c r="S488" s="32">
        <f t="shared" si="120"/>
        <v>-1.1102230246251565E-16</v>
      </c>
      <c r="T488" s="32">
        <f t="shared" si="120"/>
        <v>-1.1102230246251565E-16</v>
      </c>
      <c r="U488" s="32">
        <f t="shared" si="120"/>
        <v>-1.1102230246251565E-16</v>
      </c>
      <c r="V488" s="32">
        <f t="shared" si="120"/>
        <v>-1.1102230246251565E-16</v>
      </c>
      <c r="W488" s="32">
        <f t="shared" si="120"/>
        <v>-1.1102230246251565E-16</v>
      </c>
      <c r="X488" s="32">
        <f t="shared" si="120"/>
        <v>-1.1102230246251565E-16</v>
      </c>
      <c r="Y488" s="32">
        <f t="shared" si="120"/>
        <v>-1.1102230246251565E-16</v>
      </c>
      <c r="Z488" s="32">
        <f t="shared" si="120"/>
        <v>-1.1102230246251565E-16</v>
      </c>
      <c r="AA488" s="32">
        <f t="shared" si="120"/>
        <v>0</v>
      </c>
      <c r="AB488" s="32">
        <f t="shared" si="120"/>
        <v>0</v>
      </c>
      <c r="AC488" s="32">
        <f t="shared" si="120"/>
        <v>0</v>
      </c>
      <c r="AD488" s="32">
        <f t="shared" si="120"/>
        <v>0</v>
      </c>
      <c r="AE488" s="32">
        <f t="shared" si="120"/>
        <v>0</v>
      </c>
    </row>
    <row r="490" spans="1:31" x14ac:dyDescent="0.45">
      <c r="A490" s="28" t="s">
        <v>1282</v>
      </c>
      <c r="B490" s="5" t="s">
        <v>60</v>
      </c>
      <c r="C490" s="5" t="s">
        <v>113</v>
      </c>
      <c r="D490" s="5">
        <v>2</v>
      </c>
      <c r="E490" s="5" t="s">
        <v>1159</v>
      </c>
      <c r="K490" s="18"/>
      <c r="L490" s="18">
        <v>0.15734473625227399</v>
      </c>
      <c r="M490" s="18">
        <v>0.164484037759277</v>
      </c>
      <c r="N490" s="18">
        <v>0.15070907780704901</v>
      </c>
      <c r="O490" s="18">
        <v>0.15070907780704901</v>
      </c>
      <c r="P490" s="18">
        <v>0.15070907780704901</v>
      </c>
      <c r="Q490" s="18">
        <v>0.172815160734345</v>
      </c>
      <c r="R490" s="18">
        <v>0.19492124366163999</v>
      </c>
      <c r="S490" s="18">
        <v>0.217027326588936</v>
      </c>
      <c r="T490" s="18">
        <v>0.23913340951623199</v>
      </c>
      <c r="U490" s="18">
        <v>0.26123949244352701</v>
      </c>
      <c r="V490" s="18">
        <v>0.283345575370823</v>
      </c>
      <c r="W490" s="18">
        <v>0.30545165829811899</v>
      </c>
      <c r="X490" s="18">
        <v>0.32755774122541498</v>
      </c>
      <c r="Y490" s="18">
        <v>0.34966382415271002</v>
      </c>
      <c r="Z490" s="18">
        <v>0.37176990708000601</v>
      </c>
      <c r="AA490" s="18">
        <v>0.393875990007302</v>
      </c>
      <c r="AB490" s="18">
        <v>0.41598207293459699</v>
      </c>
      <c r="AC490" s="18">
        <v>0.43808815586189298</v>
      </c>
      <c r="AD490" s="18">
        <v>0.46019423878918903</v>
      </c>
      <c r="AE490" s="18">
        <v>0.48230032171648402</v>
      </c>
    </row>
    <row r="491" spans="1:31" x14ac:dyDescent="0.45">
      <c r="A491" s="28" t="s">
        <v>1282</v>
      </c>
      <c r="B491" s="5" t="s">
        <v>60</v>
      </c>
      <c r="C491" s="5" t="s">
        <v>113</v>
      </c>
      <c r="D491" s="5">
        <v>2</v>
      </c>
      <c r="E491" s="5" t="s">
        <v>1160</v>
      </c>
      <c r="K491" s="18">
        <f>INDEX(Mitigation_Industry!K:K,MATCH($A491,Mitigation_Industry!$H:$H,0))</f>
        <v>0.20036669112673799</v>
      </c>
      <c r="L491" s="18">
        <f>INDEX(Mitigation_Industry!L:L,MATCH($A491,Mitigation_Industry!$H:$H,0))</f>
        <v>0.15734473625227399</v>
      </c>
      <c r="M491" s="18">
        <f>INDEX(Mitigation_Industry!M:M,MATCH($A491,Mitigation_Industry!$H:$H,0))</f>
        <v>0.164484037759277</v>
      </c>
      <c r="N491" s="18">
        <f>INDEX(Mitigation_Industry!N:N,MATCH($A491,Mitigation_Industry!$H:$H,0))</f>
        <v>0.15070907780704901</v>
      </c>
      <c r="O491" s="18">
        <f>INDEX(Mitigation_Industry!O:O,MATCH($A491,Mitigation_Industry!$H:$H,0))</f>
        <v>0.15070907780704901</v>
      </c>
      <c r="P491" s="18">
        <f>INDEX(Mitigation_Industry!P:P,MATCH($A491,Mitigation_Industry!$H:$H,0))</f>
        <v>0.15070907780704901</v>
      </c>
      <c r="Q491" s="18">
        <f>INDEX(Mitigation_Industry!Q:Q,MATCH($A491,Mitigation_Industry!$H:$H,0))</f>
        <v>0.17281516073434466</v>
      </c>
      <c r="R491" s="18">
        <f>INDEX(Mitigation_Industry!R:R,MATCH($A491,Mitigation_Industry!$H:$H,0))</f>
        <v>0.19492124366164035</v>
      </c>
      <c r="S491" s="18">
        <f>INDEX(Mitigation_Industry!S:S,MATCH($A491,Mitigation_Industry!$H:$H,0))</f>
        <v>0.217027326588936</v>
      </c>
      <c r="T491" s="18">
        <f>INDEX(Mitigation_Industry!T:T,MATCH($A491,Mitigation_Industry!$H:$H,0))</f>
        <v>0.23913340951623169</v>
      </c>
      <c r="U491" s="18">
        <f>INDEX(Mitigation_Industry!U:U,MATCH($A491,Mitigation_Industry!$H:$H,0))</f>
        <v>0.26123949244352734</v>
      </c>
      <c r="V491" s="18">
        <f>INDEX(Mitigation_Industry!V:V,MATCH($A491,Mitigation_Industry!$H:$H,0))</f>
        <v>0.283345575370823</v>
      </c>
      <c r="W491" s="18">
        <f>INDEX(Mitigation_Industry!W:W,MATCH($A491,Mitigation_Industry!$H:$H,0))</f>
        <v>0.30545165829811871</v>
      </c>
      <c r="X491" s="18">
        <f>INDEX(Mitigation_Industry!X:X,MATCH($A491,Mitigation_Industry!$H:$H,0))</f>
        <v>0.32755774122541437</v>
      </c>
      <c r="Y491" s="18">
        <f>INDEX(Mitigation_Industry!Y:Y,MATCH($A491,Mitigation_Industry!$H:$H,0))</f>
        <v>0.34966382415271002</v>
      </c>
      <c r="Z491" s="18">
        <f>INDEX(Mitigation_Industry!Z:Z,MATCH($A491,Mitigation_Industry!$H:$H,0))</f>
        <v>0.37176990708000568</v>
      </c>
      <c r="AA491" s="18">
        <f>INDEX(Mitigation_Industry!AA:AA,MATCH($A491,Mitigation_Industry!$H:$H,0))</f>
        <v>0.39387599000730134</v>
      </c>
      <c r="AB491" s="18">
        <f>INDEX(Mitigation_Industry!AB:AB,MATCH($A491,Mitigation_Industry!$H:$H,0))</f>
        <v>0.41598207293459699</v>
      </c>
      <c r="AC491" s="18">
        <f>INDEX(Mitigation_Industry!AC:AC,MATCH($A491,Mitigation_Industry!$H:$H,0))</f>
        <v>0.4380881558618927</v>
      </c>
      <c r="AD491" s="18">
        <f>INDEX(Mitigation_Industry!AD:AD,MATCH($A491,Mitigation_Industry!$H:$H,0))</f>
        <v>0.46019423878918836</v>
      </c>
      <c r="AE491" s="18">
        <f>INDEX(Mitigation_Industry!AE:AE,MATCH($A491,Mitigation_Industry!$H:$H,0))</f>
        <v>0.48230032171648402</v>
      </c>
    </row>
    <row r="492" spans="1:31" x14ac:dyDescent="0.45">
      <c r="A492" s="28" t="s">
        <v>1282</v>
      </c>
      <c r="B492" s="5" t="s">
        <v>60</v>
      </c>
      <c r="C492" s="5" t="s">
        <v>113</v>
      </c>
      <c r="D492" s="5">
        <v>2</v>
      </c>
      <c r="E492" s="2" t="s">
        <v>1161</v>
      </c>
      <c r="F492" s="31">
        <f>MAX(MAX(L492:AE492),-MIN(L492:AE492))</f>
        <v>6.6613381477509392E-16</v>
      </c>
      <c r="K492" s="32">
        <f t="shared" ref="K492:AE492" si="121">IF(ISNUMBER(K490),IF(ISNUMBER(K491),K491-K490,999999),0)</f>
        <v>0</v>
      </c>
      <c r="L492" s="32">
        <f t="shared" si="121"/>
        <v>0</v>
      </c>
      <c r="M492" s="32">
        <f t="shared" si="121"/>
        <v>0</v>
      </c>
      <c r="N492" s="32">
        <f t="shared" si="121"/>
        <v>0</v>
      </c>
      <c r="O492" s="32">
        <f t="shared" si="121"/>
        <v>0</v>
      </c>
      <c r="P492" s="32">
        <f t="shared" si="121"/>
        <v>0</v>
      </c>
      <c r="Q492" s="32">
        <f t="shared" si="121"/>
        <v>-3.3306690738754696E-16</v>
      </c>
      <c r="R492" s="32">
        <f t="shared" si="121"/>
        <v>3.6082248300317588E-16</v>
      </c>
      <c r="S492" s="32">
        <f t="shared" si="121"/>
        <v>0</v>
      </c>
      <c r="T492" s="32">
        <f t="shared" si="121"/>
        <v>-3.0531133177191805E-16</v>
      </c>
      <c r="U492" s="32">
        <f t="shared" si="121"/>
        <v>3.3306690738754696E-16</v>
      </c>
      <c r="V492" s="32">
        <f t="shared" si="121"/>
        <v>0</v>
      </c>
      <c r="W492" s="32">
        <f t="shared" si="121"/>
        <v>-2.7755575615628914E-16</v>
      </c>
      <c r="X492" s="32">
        <f t="shared" si="121"/>
        <v>-6.106226635438361E-16</v>
      </c>
      <c r="Y492" s="32">
        <f t="shared" si="121"/>
        <v>0</v>
      </c>
      <c r="Z492" s="32">
        <f t="shared" si="121"/>
        <v>-3.3306690738754696E-16</v>
      </c>
      <c r="AA492" s="32">
        <f t="shared" si="121"/>
        <v>-6.6613381477509392E-16</v>
      </c>
      <c r="AB492" s="32">
        <f t="shared" si="121"/>
        <v>0</v>
      </c>
      <c r="AC492" s="32">
        <f t="shared" si="121"/>
        <v>-2.7755575615628914E-16</v>
      </c>
      <c r="AD492" s="32">
        <f t="shared" si="121"/>
        <v>-6.6613381477509392E-16</v>
      </c>
      <c r="AE492" s="32">
        <f t="shared" si="121"/>
        <v>0</v>
      </c>
    </row>
    <row r="494" spans="1:31" x14ac:dyDescent="0.45">
      <c r="A494" s="28" t="s">
        <v>1283</v>
      </c>
      <c r="B494" s="5" t="s">
        <v>62</v>
      </c>
      <c r="C494" s="5" t="s">
        <v>113</v>
      </c>
      <c r="D494" s="5">
        <v>2</v>
      </c>
      <c r="E494" s="5" t="s">
        <v>1159</v>
      </c>
      <c r="K494" s="18"/>
      <c r="L494" s="18">
        <v>0.45642817050012802</v>
      </c>
      <c r="M494" s="18">
        <v>0.43168920195599497</v>
      </c>
      <c r="N494" s="18">
        <v>0.42507558395597</v>
      </c>
      <c r="O494" s="18">
        <v>0.42507558395597</v>
      </c>
      <c r="P494" s="18">
        <v>0.42507558395597</v>
      </c>
      <c r="Q494" s="18">
        <v>0.45706441406607901</v>
      </c>
      <c r="R494" s="18">
        <v>0.48905324417618701</v>
      </c>
      <c r="S494" s="18">
        <v>0.52104207428629601</v>
      </c>
      <c r="T494" s="18">
        <v>0.55303090439640401</v>
      </c>
      <c r="U494" s="18">
        <v>0.58501973450651301</v>
      </c>
      <c r="V494" s="18">
        <v>0.61700856461662101</v>
      </c>
      <c r="W494" s="18">
        <v>0.64899739472672902</v>
      </c>
      <c r="X494" s="18">
        <v>0.68098622483683802</v>
      </c>
      <c r="Y494" s="18">
        <v>0.71297505494694702</v>
      </c>
      <c r="Z494" s="18">
        <v>0.74496388505705502</v>
      </c>
      <c r="AA494" s="18">
        <v>0.77695271516716302</v>
      </c>
      <c r="AB494" s="18">
        <v>0.80894154527727202</v>
      </c>
      <c r="AC494" s="18">
        <v>0.84093037538738002</v>
      </c>
      <c r="AD494" s="18">
        <v>0.87291920549748903</v>
      </c>
      <c r="AE494" s="18">
        <v>0.90490803560759703</v>
      </c>
    </row>
    <row r="495" spans="1:31" x14ac:dyDescent="0.45">
      <c r="A495" s="28" t="s">
        <v>1283</v>
      </c>
      <c r="B495" s="5" t="s">
        <v>62</v>
      </c>
      <c r="C495" s="5" t="s">
        <v>113</v>
      </c>
      <c r="D495" s="5">
        <v>2</v>
      </c>
      <c r="E495" s="5" t="s">
        <v>1160</v>
      </c>
      <c r="K495" s="18">
        <f>INDEX(Mitigation_Industry!K:K,MATCH($A495,Mitigation_Industry!$H:$H,0))</f>
        <v>0.48429424097343499</v>
      </c>
      <c r="L495" s="18">
        <f>INDEX(Mitigation_Industry!L:L,MATCH($A495,Mitigation_Industry!$H:$H,0))</f>
        <v>0.45642817050012802</v>
      </c>
      <c r="M495" s="18">
        <f>INDEX(Mitigation_Industry!M:M,MATCH($A495,Mitigation_Industry!$H:$H,0))</f>
        <v>0.43168920195599497</v>
      </c>
      <c r="N495" s="18">
        <f>INDEX(Mitigation_Industry!N:N,MATCH($A495,Mitigation_Industry!$H:$H,0))</f>
        <v>0.42507558395597</v>
      </c>
      <c r="O495" s="18">
        <f>INDEX(Mitigation_Industry!O:O,MATCH($A495,Mitigation_Industry!$H:$H,0))</f>
        <v>0.42507558395597</v>
      </c>
      <c r="P495" s="18">
        <f>INDEX(Mitigation_Industry!P:P,MATCH($A495,Mitigation_Industry!$H:$H,0))</f>
        <v>0.42507558395597</v>
      </c>
      <c r="Q495" s="18">
        <f>INDEX(Mitigation_Industry!Q:Q,MATCH($A495,Mitigation_Industry!$H:$H,0))</f>
        <v>0.45706441406607845</v>
      </c>
      <c r="R495" s="18">
        <f>INDEX(Mitigation_Industry!R:R,MATCH($A495,Mitigation_Industry!$H:$H,0))</f>
        <v>0.48905324417618695</v>
      </c>
      <c r="S495" s="18">
        <f>INDEX(Mitigation_Industry!S:S,MATCH($A495,Mitigation_Industry!$H:$H,0))</f>
        <v>0.52104207428629534</v>
      </c>
      <c r="T495" s="18">
        <f>INDEX(Mitigation_Industry!T:T,MATCH($A495,Mitigation_Industry!$H:$H,0))</f>
        <v>0.5530309043964039</v>
      </c>
      <c r="U495" s="18">
        <f>INDEX(Mitigation_Industry!U:U,MATCH($A495,Mitigation_Industry!$H:$H,0))</f>
        <v>0.58501973450651235</v>
      </c>
      <c r="V495" s="18">
        <f>INDEX(Mitigation_Industry!V:V,MATCH($A495,Mitigation_Industry!$H:$H,0))</f>
        <v>0.61700856461662079</v>
      </c>
      <c r="W495" s="18">
        <f>INDEX(Mitigation_Industry!W:W,MATCH($A495,Mitigation_Industry!$H:$H,0))</f>
        <v>0.64899739472672924</v>
      </c>
      <c r="X495" s="18">
        <f>INDEX(Mitigation_Industry!X:X,MATCH($A495,Mitigation_Industry!$H:$H,0))</f>
        <v>0.68098622483683768</v>
      </c>
      <c r="Y495" s="18">
        <f>INDEX(Mitigation_Industry!Y:Y,MATCH($A495,Mitigation_Industry!$H:$H,0))</f>
        <v>0.71297505494694624</v>
      </c>
      <c r="Z495" s="18">
        <f>INDEX(Mitigation_Industry!Z:Z,MATCH($A495,Mitigation_Industry!$H:$H,0))</f>
        <v>0.74496388505705469</v>
      </c>
      <c r="AA495" s="18">
        <f>INDEX(Mitigation_Industry!AA:AA,MATCH($A495,Mitigation_Industry!$H:$H,0))</f>
        <v>0.77695271516716313</v>
      </c>
      <c r="AB495" s="18">
        <f>INDEX(Mitigation_Industry!AB:AB,MATCH($A495,Mitigation_Industry!$H:$H,0))</f>
        <v>0.80894154527727158</v>
      </c>
      <c r="AC495" s="18">
        <f>INDEX(Mitigation_Industry!AC:AC,MATCH($A495,Mitigation_Industry!$H:$H,0))</f>
        <v>0.84093037538738002</v>
      </c>
      <c r="AD495" s="18">
        <f>INDEX(Mitigation_Industry!AD:AD,MATCH($A495,Mitigation_Industry!$H:$H,0))</f>
        <v>0.87291920549748858</v>
      </c>
      <c r="AE495" s="18">
        <f>INDEX(Mitigation_Industry!AE:AE,MATCH($A495,Mitigation_Industry!$H:$H,0))</f>
        <v>0.90490803560759692</v>
      </c>
    </row>
    <row r="496" spans="1:31" x14ac:dyDescent="0.45">
      <c r="A496" s="28" t="s">
        <v>1283</v>
      </c>
      <c r="B496" s="5" t="s">
        <v>62</v>
      </c>
      <c r="C496" s="5" t="s">
        <v>113</v>
      </c>
      <c r="D496" s="5">
        <v>2</v>
      </c>
      <c r="E496" s="2" t="s">
        <v>1161</v>
      </c>
      <c r="F496" s="31">
        <f>MAX(MAX(L496:AE496),-MIN(L496:AE496))</f>
        <v>7.7715611723760958E-16</v>
      </c>
      <c r="K496" s="32">
        <f t="shared" ref="K496:AE496" si="122">IF(ISNUMBER(K494),IF(ISNUMBER(K495),K495-K494,999999),0)</f>
        <v>0</v>
      </c>
      <c r="L496" s="32">
        <f t="shared" si="122"/>
        <v>0</v>
      </c>
      <c r="M496" s="32">
        <f t="shared" si="122"/>
        <v>0</v>
      </c>
      <c r="N496" s="32">
        <f t="shared" si="122"/>
        <v>0</v>
      </c>
      <c r="O496" s="32">
        <f t="shared" si="122"/>
        <v>0</v>
      </c>
      <c r="P496" s="32">
        <f t="shared" si="122"/>
        <v>0</v>
      </c>
      <c r="Q496" s="32">
        <f t="shared" si="122"/>
        <v>-5.5511151231257827E-16</v>
      </c>
      <c r="R496" s="32">
        <f t="shared" si="122"/>
        <v>-5.5511151231257827E-17</v>
      </c>
      <c r="S496" s="32">
        <f t="shared" si="122"/>
        <v>-6.6613381477509392E-16</v>
      </c>
      <c r="T496" s="32">
        <f t="shared" si="122"/>
        <v>-1.1102230246251565E-16</v>
      </c>
      <c r="U496" s="32">
        <f t="shared" si="122"/>
        <v>-6.6613381477509392E-16</v>
      </c>
      <c r="V496" s="32">
        <f t="shared" si="122"/>
        <v>-2.2204460492503131E-16</v>
      </c>
      <c r="W496" s="32">
        <f t="shared" si="122"/>
        <v>2.2204460492503131E-16</v>
      </c>
      <c r="X496" s="32">
        <f t="shared" si="122"/>
        <v>-3.3306690738754696E-16</v>
      </c>
      <c r="Y496" s="32">
        <f t="shared" si="122"/>
        <v>-7.7715611723760958E-16</v>
      </c>
      <c r="Z496" s="32">
        <f t="shared" si="122"/>
        <v>-3.3306690738754696E-16</v>
      </c>
      <c r="AA496" s="32">
        <f t="shared" si="122"/>
        <v>1.1102230246251565E-16</v>
      </c>
      <c r="AB496" s="32">
        <f t="shared" si="122"/>
        <v>-4.4408920985006262E-16</v>
      </c>
      <c r="AC496" s="32">
        <f t="shared" si="122"/>
        <v>0</v>
      </c>
      <c r="AD496" s="32">
        <f t="shared" si="122"/>
        <v>-4.4408920985006262E-16</v>
      </c>
      <c r="AE496" s="32">
        <f t="shared" si="122"/>
        <v>-1.1102230246251565E-16</v>
      </c>
    </row>
    <row r="498" spans="1:31" x14ac:dyDescent="0.45">
      <c r="A498" s="28" t="s">
        <v>1284</v>
      </c>
      <c r="B498" s="5" t="s">
        <v>64</v>
      </c>
      <c r="C498" s="5" t="s">
        <v>113</v>
      </c>
      <c r="D498" s="5">
        <v>2</v>
      </c>
      <c r="E498" s="5" t="s">
        <v>1159</v>
      </c>
      <c r="K498" s="18"/>
      <c r="L498" s="18">
        <v>34.4153703043132</v>
      </c>
      <c r="M498" s="18">
        <v>37.368960690431997</v>
      </c>
      <c r="N498" s="18">
        <v>28.982761101477301</v>
      </c>
      <c r="O498" s="18">
        <v>15</v>
      </c>
      <c r="P498" s="18">
        <v>24.2586300842555</v>
      </c>
      <c r="Q498" s="18">
        <v>18.963758196132499</v>
      </c>
      <c r="R498" s="18">
        <v>21.760345114010601</v>
      </c>
      <c r="S498" s="18">
        <v>26.079880691373599</v>
      </c>
      <c r="T498" s="18">
        <v>30.5936824452092</v>
      </c>
      <c r="U498" s="18">
        <v>34.990509739410101</v>
      </c>
      <c r="V498" s="18">
        <v>40.858059739410102</v>
      </c>
      <c r="W498" s="18">
        <v>46.725609739410103</v>
      </c>
      <c r="X498" s="18">
        <v>52.593159739410098</v>
      </c>
      <c r="Y498" s="18">
        <v>58.460709739410099</v>
      </c>
      <c r="Z498" s="18">
        <v>64.3282597394101</v>
      </c>
      <c r="AA498" s="18">
        <v>70.195809739410095</v>
      </c>
      <c r="AB498" s="18">
        <v>76.063359739410103</v>
      </c>
      <c r="AC498" s="18">
        <v>81.930909739410097</v>
      </c>
      <c r="AD498" s="18">
        <v>87.798459739410106</v>
      </c>
      <c r="AE498" s="18">
        <v>93.6660097394101</v>
      </c>
    </row>
    <row r="499" spans="1:31" x14ac:dyDescent="0.45">
      <c r="A499" s="28" t="s">
        <v>1284</v>
      </c>
      <c r="B499" s="5" t="s">
        <v>64</v>
      </c>
      <c r="C499" s="5" t="s">
        <v>113</v>
      </c>
      <c r="D499" s="5">
        <v>2</v>
      </c>
      <c r="E499" s="5" t="s">
        <v>1160</v>
      </c>
      <c r="K499" s="18">
        <f>INDEX(Mitigation_Industry!K:K,MATCH($A499,Mitigation_Industry!$H:$H,0))</f>
        <v>41.500338498868402</v>
      </c>
      <c r="L499" s="18">
        <f>INDEX(Mitigation_Industry!L:L,MATCH($A499,Mitigation_Industry!$H:$H,0))</f>
        <v>34.4153703043132</v>
      </c>
      <c r="M499" s="18">
        <f>INDEX(Mitigation_Industry!M:M,MATCH($A499,Mitigation_Industry!$H:$H,0))</f>
        <v>37.368960690431997</v>
      </c>
      <c r="N499" s="18">
        <f>INDEX(Mitigation_Industry!N:N,MATCH($A499,Mitigation_Industry!$H:$H,0))</f>
        <v>28.982761101477301</v>
      </c>
      <c r="O499" s="18">
        <f>INDEX(Mitigation_Industry!O:O,MATCH($A499,Mitigation_Industry!$H:$H,0))</f>
        <v>15</v>
      </c>
      <c r="P499" s="18">
        <f>INDEX(Mitigation_Industry!P:P,MATCH($A499,Mitigation_Industry!$H:$H,0))</f>
        <v>24.2586300842555</v>
      </c>
      <c r="Q499" s="18">
        <f>INDEX(Mitigation_Industry!Q:Q,MATCH($A499,Mitigation_Industry!$H:$H,0))</f>
        <v>18.963758196132499</v>
      </c>
      <c r="R499" s="18">
        <f>INDEX(Mitigation_Industry!R:R,MATCH($A499,Mitigation_Industry!$H:$H,0))</f>
        <v>21.760345114010597</v>
      </c>
      <c r="S499" s="18">
        <f>INDEX(Mitigation_Industry!S:S,MATCH($A499,Mitigation_Industry!$H:$H,0))</f>
        <v>26.079880691373621</v>
      </c>
      <c r="T499" s="18">
        <f>INDEX(Mitigation_Industry!T:T,MATCH($A499,Mitigation_Industry!$H:$H,0))</f>
        <v>30.593682445209218</v>
      </c>
      <c r="U499" s="18">
        <f>INDEX(Mitigation_Industry!U:U,MATCH($A499,Mitigation_Industry!$H:$H,0))</f>
        <v>34.990509739410058</v>
      </c>
      <c r="V499" s="18">
        <f>INDEX(Mitigation_Industry!V:V,MATCH($A499,Mitigation_Industry!$H:$H,0))</f>
        <v>40.858059739410059</v>
      </c>
      <c r="W499" s="18">
        <f>INDEX(Mitigation_Industry!W:W,MATCH($A499,Mitigation_Industry!$H:$H,0))</f>
        <v>46.725609739410054</v>
      </c>
      <c r="X499" s="18">
        <f>INDEX(Mitigation_Industry!X:X,MATCH($A499,Mitigation_Industry!$H:$H,0))</f>
        <v>52.593159739410055</v>
      </c>
      <c r="Y499" s="18">
        <f>INDEX(Mitigation_Industry!Y:Y,MATCH($A499,Mitigation_Industry!$H:$H,0))</f>
        <v>58.460709739410056</v>
      </c>
      <c r="Z499" s="18">
        <f>INDEX(Mitigation_Industry!Z:Z,MATCH($A499,Mitigation_Industry!$H:$H,0))</f>
        <v>64.328259739410072</v>
      </c>
      <c r="AA499" s="18">
        <f>INDEX(Mitigation_Industry!AA:AA,MATCH($A499,Mitigation_Industry!$H:$H,0))</f>
        <v>70.195809739410052</v>
      </c>
      <c r="AB499" s="18">
        <f>INDEX(Mitigation_Industry!AB:AB,MATCH($A499,Mitigation_Industry!$H:$H,0))</f>
        <v>76.06335973941006</v>
      </c>
      <c r="AC499" s="18">
        <f>INDEX(Mitigation_Industry!AC:AC,MATCH($A499,Mitigation_Industry!$H:$H,0))</f>
        <v>81.930909739410041</v>
      </c>
      <c r="AD499" s="18">
        <f>INDEX(Mitigation_Industry!AD:AD,MATCH($A499,Mitigation_Industry!$H:$H,0))</f>
        <v>87.798459739410049</v>
      </c>
      <c r="AE499" s="18">
        <f>INDEX(Mitigation_Industry!AE:AE,MATCH($A499,Mitigation_Industry!$H:$H,0))</f>
        <v>93.666009739410043</v>
      </c>
    </row>
    <row r="500" spans="1:31" x14ac:dyDescent="0.45">
      <c r="A500" s="28" t="s">
        <v>1284</v>
      </c>
      <c r="B500" s="5" t="s">
        <v>64</v>
      </c>
      <c r="C500" s="5" t="s">
        <v>113</v>
      </c>
      <c r="D500" s="5">
        <v>2</v>
      </c>
      <c r="E500" s="2" t="s">
        <v>1161</v>
      </c>
      <c r="F500" s="31">
        <f>MAX(MAX(L500:AE500),-MIN(L500:AE500))</f>
        <v>5.6843418860808015E-14</v>
      </c>
      <c r="K500" s="32">
        <f t="shared" ref="K500:AE500" si="123">IF(ISNUMBER(K498),IF(ISNUMBER(K499),K499-K498,999999),0)</f>
        <v>0</v>
      </c>
      <c r="L500" s="32">
        <f t="shared" si="123"/>
        <v>0</v>
      </c>
      <c r="M500" s="32">
        <f t="shared" si="123"/>
        <v>0</v>
      </c>
      <c r="N500" s="32">
        <f t="shared" si="123"/>
        <v>0</v>
      </c>
      <c r="O500" s="32">
        <f t="shared" si="123"/>
        <v>0</v>
      </c>
      <c r="P500" s="32">
        <f t="shared" si="123"/>
        <v>0</v>
      </c>
      <c r="Q500" s="32">
        <f t="shared" si="123"/>
        <v>0</v>
      </c>
      <c r="R500" s="32">
        <f t="shared" si="123"/>
        <v>-3.5527136788005009E-15</v>
      </c>
      <c r="S500" s="32">
        <f t="shared" si="123"/>
        <v>2.1316282072803006E-14</v>
      </c>
      <c r="T500" s="32">
        <f t="shared" si="123"/>
        <v>1.7763568394002505E-14</v>
      </c>
      <c r="U500" s="32">
        <f t="shared" si="123"/>
        <v>-4.2632564145606011E-14</v>
      </c>
      <c r="V500" s="32">
        <f t="shared" si="123"/>
        <v>-4.2632564145606011E-14</v>
      </c>
      <c r="W500" s="32">
        <f t="shared" si="123"/>
        <v>-4.9737991503207013E-14</v>
      </c>
      <c r="X500" s="32">
        <f t="shared" si="123"/>
        <v>-4.2632564145606011E-14</v>
      </c>
      <c r="Y500" s="32">
        <f t="shared" si="123"/>
        <v>-4.2632564145606011E-14</v>
      </c>
      <c r="Z500" s="32">
        <f t="shared" si="123"/>
        <v>-2.8421709430404007E-14</v>
      </c>
      <c r="AA500" s="32">
        <f t="shared" si="123"/>
        <v>-4.2632564145606011E-14</v>
      </c>
      <c r="AB500" s="32">
        <f t="shared" si="123"/>
        <v>-4.2632564145606011E-14</v>
      </c>
      <c r="AC500" s="32">
        <f t="shared" si="123"/>
        <v>-5.6843418860808015E-14</v>
      </c>
      <c r="AD500" s="32">
        <f t="shared" si="123"/>
        <v>-5.6843418860808015E-14</v>
      </c>
      <c r="AE500" s="32">
        <f t="shared" si="123"/>
        <v>-5.6843418860808015E-14</v>
      </c>
    </row>
    <row r="502" spans="1:31" x14ac:dyDescent="0.45">
      <c r="A502" s="28" t="s">
        <v>1285</v>
      </c>
      <c r="B502" s="5" t="s">
        <v>67</v>
      </c>
      <c r="C502" s="5" t="s">
        <v>113</v>
      </c>
      <c r="D502" s="5">
        <v>2</v>
      </c>
      <c r="E502" s="5" t="s">
        <v>1159</v>
      </c>
      <c r="K502" s="18"/>
      <c r="L502" s="18">
        <v>14.199528390634899</v>
      </c>
      <c r="M502" s="18">
        <v>13.8404416133152</v>
      </c>
      <c r="N502" s="18">
        <v>13.5677269404465</v>
      </c>
      <c r="O502" s="18">
        <v>13.5677269404465</v>
      </c>
      <c r="P502" s="18">
        <v>13.5677269404465</v>
      </c>
      <c r="Q502" s="18">
        <v>13.5677269404465</v>
      </c>
      <c r="R502" s="18">
        <v>13.5677269404465</v>
      </c>
      <c r="S502" s="18">
        <v>13.5677269404465</v>
      </c>
      <c r="T502" s="18">
        <v>13.5677269404465</v>
      </c>
      <c r="U502" s="18">
        <v>13.5677269404465</v>
      </c>
      <c r="V502" s="18">
        <v>13.5677269404465</v>
      </c>
      <c r="W502" s="18">
        <v>13.5677269404465</v>
      </c>
      <c r="X502" s="18">
        <v>13.5677269404465</v>
      </c>
      <c r="Y502" s="18">
        <v>13.5677269404465</v>
      </c>
      <c r="Z502" s="18">
        <v>13.5677269404465</v>
      </c>
      <c r="AA502" s="18">
        <v>13.5677269404465</v>
      </c>
      <c r="AB502" s="18">
        <v>13.5677269404465</v>
      </c>
      <c r="AC502" s="18">
        <v>13.5677269404465</v>
      </c>
      <c r="AD502" s="18">
        <v>13.5677269404465</v>
      </c>
      <c r="AE502" s="18">
        <v>13.5677269404465</v>
      </c>
    </row>
    <row r="503" spans="1:31" x14ac:dyDescent="0.45">
      <c r="A503" s="28" t="s">
        <v>1285</v>
      </c>
      <c r="B503" s="5" t="s">
        <v>67</v>
      </c>
      <c r="C503" s="5" t="s">
        <v>113</v>
      </c>
      <c r="D503" s="5">
        <v>2</v>
      </c>
      <c r="E503" s="5" t="s">
        <v>1160</v>
      </c>
      <c r="K503" s="18">
        <f>INDEX(Mitigation_Industry!K:K,MATCH($A503,Mitigation_Industry!$H:$H,0))</f>
        <v>15.3345505293169</v>
      </c>
      <c r="L503" s="18">
        <f>INDEX(Mitigation_Industry!L:L,MATCH($A503,Mitigation_Industry!$H:$H,0))</f>
        <v>14.199528390634899</v>
      </c>
      <c r="M503" s="18">
        <f>INDEX(Mitigation_Industry!M:M,MATCH($A503,Mitigation_Industry!$H:$H,0))</f>
        <v>13.8404416133152</v>
      </c>
      <c r="N503" s="18">
        <f>INDEX(Mitigation_Industry!N:N,MATCH($A503,Mitigation_Industry!$H:$H,0))</f>
        <v>13.5677269404465</v>
      </c>
      <c r="O503" s="18">
        <f>INDEX(Mitigation_Industry!O:O,MATCH($A503,Mitigation_Industry!$H:$H,0))</f>
        <v>13.5677269404465</v>
      </c>
      <c r="P503" s="18">
        <f>INDEX(Mitigation_Industry!P:P,MATCH($A503,Mitigation_Industry!$H:$H,0))</f>
        <v>13.5677269404465</v>
      </c>
      <c r="Q503" s="18">
        <f>INDEX(Mitigation_Industry!Q:Q,MATCH($A503,Mitigation_Industry!$H:$H,0))</f>
        <v>13.5677269404465</v>
      </c>
      <c r="R503" s="18">
        <f>INDEX(Mitigation_Industry!R:R,MATCH($A503,Mitigation_Industry!$H:$H,0))</f>
        <v>13.5677269404465</v>
      </c>
      <c r="S503" s="18">
        <f>INDEX(Mitigation_Industry!S:S,MATCH($A503,Mitigation_Industry!$H:$H,0))</f>
        <v>13.5677269404465</v>
      </c>
      <c r="T503" s="18">
        <f>INDEX(Mitigation_Industry!T:T,MATCH($A503,Mitigation_Industry!$H:$H,0))</f>
        <v>13.5677269404465</v>
      </c>
      <c r="U503" s="18">
        <f>INDEX(Mitigation_Industry!U:U,MATCH($A503,Mitigation_Industry!$H:$H,0))</f>
        <v>13.5677269404465</v>
      </c>
      <c r="V503" s="18">
        <f>INDEX(Mitigation_Industry!V:V,MATCH($A503,Mitigation_Industry!$H:$H,0))</f>
        <v>13.5677269404465</v>
      </c>
      <c r="W503" s="18">
        <f>INDEX(Mitigation_Industry!W:W,MATCH($A503,Mitigation_Industry!$H:$H,0))</f>
        <v>13.5677269404465</v>
      </c>
      <c r="X503" s="18">
        <f>INDEX(Mitigation_Industry!X:X,MATCH($A503,Mitigation_Industry!$H:$H,0))</f>
        <v>13.5677269404465</v>
      </c>
      <c r="Y503" s="18">
        <f>INDEX(Mitigation_Industry!Y:Y,MATCH($A503,Mitigation_Industry!$H:$H,0))</f>
        <v>13.5677269404465</v>
      </c>
      <c r="Z503" s="18">
        <f>INDEX(Mitigation_Industry!Z:Z,MATCH($A503,Mitigation_Industry!$H:$H,0))</f>
        <v>13.5677269404465</v>
      </c>
      <c r="AA503" s="18">
        <f>INDEX(Mitigation_Industry!AA:AA,MATCH($A503,Mitigation_Industry!$H:$H,0))</f>
        <v>13.5677269404465</v>
      </c>
      <c r="AB503" s="18">
        <f>INDEX(Mitigation_Industry!AB:AB,MATCH($A503,Mitigation_Industry!$H:$H,0))</f>
        <v>13.5677269404465</v>
      </c>
      <c r="AC503" s="18">
        <f>INDEX(Mitigation_Industry!AC:AC,MATCH($A503,Mitigation_Industry!$H:$H,0))</f>
        <v>13.5677269404465</v>
      </c>
      <c r="AD503" s="18">
        <f>INDEX(Mitigation_Industry!AD:AD,MATCH($A503,Mitigation_Industry!$H:$H,0))</f>
        <v>13.5677269404465</v>
      </c>
      <c r="AE503" s="18">
        <f>INDEX(Mitigation_Industry!AE:AE,MATCH($A503,Mitigation_Industry!$H:$H,0))</f>
        <v>13.5677269404465</v>
      </c>
    </row>
    <row r="504" spans="1:31" x14ac:dyDescent="0.45">
      <c r="A504" s="28" t="s">
        <v>1285</v>
      </c>
      <c r="B504" s="5" t="s">
        <v>67</v>
      </c>
      <c r="C504" s="5" t="s">
        <v>113</v>
      </c>
      <c r="D504" s="5">
        <v>2</v>
      </c>
      <c r="E504" s="2" t="s">
        <v>1161</v>
      </c>
      <c r="F504" s="31">
        <f>MAX(MAX(L504:AE504),-MIN(L504:AE504))</f>
        <v>0</v>
      </c>
      <c r="K504" s="32">
        <f t="shared" ref="K504:AE504" si="124">IF(ISNUMBER(K502),IF(ISNUMBER(K503),K503-K502,999999),0)</f>
        <v>0</v>
      </c>
      <c r="L504" s="32">
        <f t="shared" si="124"/>
        <v>0</v>
      </c>
      <c r="M504" s="32">
        <f t="shared" si="124"/>
        <v>0</v>
      </c>
      <c r="N504" s="32">
        <f t="shared" si="124"/>
        <v>0</v>
      </c>
      <c r="O504" s="32">
        <f t="shared" si="124"/>
        <v>0</v>
      </c>
      <c r="P504" s="32">
        <f t="shared" si="124"/>
        <v>0</v>
      </c>
      <c r="Q504" s="32">
        <f t="shared" si="124"/>
        <v>0</v>
      </c>
      <c r="R504" s="32">
        <f t="shared" si="124"/>
        <v>0</v>
      </c>
      <c r="S504" s="32">
        <f t="shared" si="124"/>
        <v>0</v>
      </c>
      <c r="T504" s="32">
        <f t="shared" si="124"/>
        <v>0</v>
      </c>
      <c r="U504" s="32">
        <f t="shared" si="124"/>
        <v>0</v>
      </c>
      <c r="V504" s="32">
        <f t="shared" si="124"/>
        <v>0</v>
      </c>
      <c r="W504" s="32">
        <f t="shared" si="124"/>
        <v>0</v>
      </c>
      <c r="X504" s="32">
        <f t="shared" si="124"/>
        <v>0</v>
      </c>
      <c r="Y504" s="32">
        <f t="shared" si="124"/>
        <v>0</v>
      </c>
      <c r="Z504" s="32">
        <f t="shared" si="124"/>
        <v>0</v>
      </c>
      <c r="AA504" s="32">
        <f t="shared" si="124"/>
        <v>0</v>
      </c>
      <c r="AB504" s="32">
        <f t="shared" si="124"/>
        <v>0</v>
      </c>
      <c r="AC504" s="32">
        <f t="shared" si="124"/>
        <v>0</v>
      </c>
      <c r="AD504" s="32">
        <f t="shared" si="124"/>
        <v>0</v>
      </c>
      <c r="AE504" s="32">
        <f t="shared" si="124"/>
        <v>0</v>
      </c>
    </row>
    <row r="506" spans="1:31" x14ac:dyDescent="0.45">
      <c r="A506" s="28" t="s">
        <v>1286</v>
      </c>
      <c r="B506" s="5" t="s">
        <v>69</v>
      </c>
      <c r="C506" s="5" t="s">
        <v>113</v>
      </c>
      <c r="D506" s="5">
        <v>2</v>
      </c>
      <c r="E506" s="5" t="s">
        <v>1159</v>
      </c>
      <c r="K506" s="18"/>
      <c r="L506" s="18">
        <v>0.14404498679319799</v>
      </c>
      <c r="M506" s="18">
        <v>0.141386241751359</v>
      </c>
      <c r="N506" s="18">
        <v>0.13539756544373099</v>
      </c>
      <c r="O506" s="18">
        <v>0.13152288542065099</v>
      </c>
      <c r="P506" s="18">
        <v>0.12882610848523099</v>
      </c>
      <c r="Q506" s="18">
        <v>0.12594200976473999</v>
      </c>
      <c r="R506" s="18">
        <v>0.123113265701861</v>
      </c>
      <c r="S506" s="18">
        <v>0.119391738089068</v>
      </c>
      <c r="T506" s="18">
        <v>0.11554419046792</v>
      </c>
      <c r="U506" s="18">
        <v>0.11492423065415899</v>
      </c>
      <c r="V506" s="18">
        <v>0.114346912116736</v>
      </c>
      <c r="W506" s="18">
        <v>0.113738711172664</v>
      </c>
      <c r="X506" s="18">
        <v>0.112999900487521</v>
      </c>
      <c r="Y506" s="18">
        <v>0.112177685835534</v>
      </c>
      <c r="Z506" s="18">
        <v>0.111417903250404</v>
      </c>
      <c r="AA506" s="18">
        <v>0.11052581998545399</v>
      </c>
      <c r="AB506" s="18">
        <v>0.109699565234896</v>
      </c>
      <c r="AC506" s="18">
        <v>0.10772678896394899</v>
      </c>
      <c r="AD506" s="18">
        <v>0.10582092445093499</v>
      </c>
      <c r="AE506" s="18">
        <v>0.103855595705721</v>
      </c>
    </row>
    <row r="507" spans="1:31" x14ac:dyDescent="0.45">
      <c r="A507" s="28" t="s">
        <v>1286</v>
      </c>
      <c r="B507" s="5" t="s">
        <v>69</v>
      </c>
      <c r="C507" s="5" t="s">
        <v>113</v>
      </c>
      <c r="D507" s="5">
        <v>2</v>
      </c>
      <c r="E507" s="5" t="s">
        <v>1160</v>
      </c>
      <c r="K507" s="18">
        <f>INDEX(Mitigation_Industry!K:K,MATCH($A507,Mitigation_Industry!$H:$H,0))</f>
        <v>0</v>
      </c>
      <c r="L507" s="18">
        <f>INDEX(Mitigation_Industry!L:L,MATCH($A507,Mitigation_Industry!$H:$H,0))</f>
        <v>0.14404498679319799</v>
      </c>
      <c r="M507" s="18">
        <f>INDEX(Mitigation_Industry!M:M,MATCH($A507,Mitigation_Industry!$H:$H,0))</f>
        <v>0.141386241751359</v>
      </c>
      <c r="N507" s="18">
        <f>INDEX(Mitigation_Industry!N:N,MATCH($A507,Mitigation_Industry!$H:$H,0))</f>
        <v>0.13539756544373099</v>
      </c>
      <c r="O507" s="18">
        <f>INDEX(Mitigation_Industry!O:O,MATCH($A507,Mitigation_Industry!$H:$H,0))</f>
        <v>0.13152288542065099</v>
      </c>
      <c r="P507" s="18">
        <f>INDEX(Mitigation_Industry!P:P,MATCH($A507,Mitigation_Industry!$H:$H,0))</f>
        <v>0.12882610848523099</v>
      </c>
      <c r="Q507" s="18">
        <f>INDEX(Mitigation_Industry!Q:Q,MATCH($A507,Mitigation_Industry!$H:$H,0))</f>
        <v>0.12594200976473999</v>
      </c>
      <c r="R507" s="18">
        <f>INDEX(Mitigation_Industry!R:R,MATCH($A507,Mitigation_Industry!$H:$H,0))</f>
        <v>0.123113265701861</v>
      </c>
      <c r="S507" s="18">
        <f>INDEX(Mitigation_Industry!S:S,MATCH($A507,Mitigation_Industry!$H:$H,0))</f>
        <v>0.119391738089068</v>
      </c>
      <c r="T507" s="18">
        <f>INDEX(Mitigation_Industry!T:T,MATCH($A507,Mitigation_Industry!$H:$H,0))</f>
        <v>0.11554419046792</v>
      </c>
      <c r="U507" s="18">
        <f>INDEX(Mitigation_Industry!U:U,MATCH($A507,Mitigation_Industry!$H:$H,0))</f>
        <v>0.11492423065415899</v>
      </c>
      <c r="V507" s="18">
        <f>INDEX(Mitigation_Industry!V:V,MATCH($A507,Mitigation_Industry!$H:$H,0))</f>
        <v>0.114346912116736</v>
      </c>
      <c r="W507" s="18">
        <f>INDEX(Mitigation_Industry!W:W,MATCH($A507,Mitigation_Industry!$H:$H,0))</f>
        <v>0.113738711172664</v>
      </c>
      <c r="X507" s="18">
        <f>INDEX(Mitigation_Industry!X:X,MATCH($A507,Mitigation_Industry!$H:$H,0))</f>
        <v>0.112999900487521</v>
      </c>
      <c r="Y507" s="18">
        <f>INDEX(Mitigation_Industry!Y:Y,MATCH($A507,Mitigation_Industry!$H:$H,0))</f>
        <v>0.112177685835534</v>
      </c>
      <c r="Z507" s="18">
        <f>INDEX(Mitigation_Industry!Z:Z,MATCH($A507,Mitigation_Industry!$H:$H,0))</f>
        <v>0.111417903250404</v>
      </c>
      <c r="AA507" s="18">
        <f>INDEX(Mitigation_Industry!AA:AA,MATCH($A507,Mitigation_Industry!$H:$H,0))</f>
        <v>0.11052581998545399</v>
      </c>
      <c r="AB507" s="18">
        <f>INDEX(Mitigation_Industry!AB:AB,MATCH($A507,Mitigation_Industry!$H:$H,0))</f>
        <v>0.109699565234896</v>
      </c>
      <c r="AC507" s="18">
        <f>INDEX(Mitigation_Industry!AC:AC,MATCH($A507,Mitigation_Industry!$H:$H,0))</f>
        <v>0.10772678896394899</v>
      </c>
      <c r="AD507" s="18">
        <f>INDEX(Mitigation_Industry!AD:AD,MATCH($A507,Mitigation_Industry!$H:$H,0))</f>
        <v>0.10582092445093499</v>
      </c>
      <c r="AE507" s="18">
        <f>INDEX(Mitigation_Industry!AE:AE,MATCH($A507,Mitigation_Industry!$H:$H,0))</f>
        <v>0.103855595705721</v>
      </c>
    </row>
    <row r="508" spans="1:31" x14ac:dyDescent="0.45">
      <c r="A508" s="28" t="s">
        <v>1286</v>
      </c>
      <c r="B508" s="5" t="s">
        <v>69</v>
      </c>
      <c r="C508" s="5" t="s">
        <v>113</v>
      </c>
      <c r="D508" s="5">
        <v>2</v>
      </c>
      <c r="E508" s="2" t="s">
        <v>1161</v>
      </c>
      <c r="F508" s="31">
        <f>MAX(MAX(L508:AE508),-MIN(L508:AE508))</f>
        <v>0</v>
      </c>
      <c r="K508" s="32">
        <f t="shared" ref="K508:AE508" si="125">IF(ISNUMBER(K506),IF(ISNUMBER(K507),K507-K506,999999),0)</f>
        <v>0</v>
      </c>
      <c r="L508" s="32">
        <f t="shared" si="125"/>
        <v>0</v>
      </c>
      <c r="M508" s="32">
        <f t="shared" si="125"/>
        <v>0</v>
      </c>
      <c r="N508" s="32">
        <f t="shared" si="125"/>
        <v>0</v>
      </c>
      <c r="O508" s="32">
        <f t="shared" si="125"/>
        <v>0</v>
      </c>
      <c r="P508" s="32">
        <f t="shared" si="125"/>
        <v>0</v>
      </c>
      <c r="Q508" s="32">
        <f t="shared" si="125"/>
        <v>0</v>
      </c>
      <c r="R508" s="32">
        <f t="shared" si="125"/>
        <v>0</v>
      </c>
      <c r="S508" s="32">
        <f t="shared" si="125"/>
        <v>0</v>
      </c>
      <c r="T508" s="32">
        <f t="shared" si="125"/>
        <v>0</v>
      </c>
      <c r="U508" s="32">
        <f t="shared" si="125"/>
        <v>0</v>
      </c>
      <c r="V508" s="32">
        <f t="shared" si="125"/>
        <v>0</v>
      </c>
      <c r="W508" s="32">
        <f t="shared" si="125"/>
        <v>0</v>
      </c>
      <c r="X508" s="32">
        <f t="shared" si="125"/>
        <v>0</v>
      </c>
      <c r="Y508" s="32">
        <f t="shared" si="125"/>
        <v>0</v>
      </c>
      <c r="Z508" s="32">
        <f t="shared" si="125"/>
        <v>0</v>
      </c>
      <c r="AA508" s="32">
        <f t="shared" si="125"/>
        <v>0</v>
      </c>
      <c r="AB508" s="32">
        <f t="shared" si="125"/>
        <v>0</v>
      </c>
      <c r="AC508" s="32">
        <f t="shared" si="125"/>
        <v>0</v>
      </c>
      <c r="AD508" s="32">
        <f t="shared" si="125"/>
        <v>0</v>
      </c>
      <c r="AE508" s="32">
        <f t="shared" si="125"/>
        <v>0</v>
      </c>
    </row>
    <row r="510" spans="1:31" x14ac:dyDescent="0.45">
      <c r="A510" s="28" t="s">
        <v>1287</v>
      </c>
      <c r="B510" s="5" t="s">
        <v>49</v>
      </c>
      <c r="C510" s="5" t="s">
        <v>115</v>
      </c>
      <c r="D510" s="5">
        <v>2</v>
      </c>
      <c r="E510" s="5" t="s">
        <v>1159</v>
      </c>
      <c r="K510" s="18"/>
      <c r="L510" s="18">
        <v>10.5233613454312</v>
      </c>
      <c r="M510" s="18">
        <v>10.2995608274442</v>
      </c>
      <c r="N510" s="18">
        <v>9.5775283595382597</v>
      </c>
      <c r="O510" s="18">
        <v>8.4854782869580507</v>
      </c>
      <c r="P510" s="18">
        <v>9.0871922352498604</v>
      </c>
      <c r="Q510" s="18">
        <v>10.472923728932701</v>
      </c>
      <c r="R510" s="18">
        <v>11.6585649555097</v>
      </c>
      <c r="S510" s="18">
        <v>12.839547877397401</v>
      </c>
      <c r="T510" s="18">
        <v>14.0156816660228</v>
      </c>
      <c r="U510" s="18">
        <v>15.194397765557101</v>
      </c>
      <c r="V510" s="18">
        <v>16.444397765557099</v>
      </c>
      <c r="W510" s="18">
        <v>17.694397765557099</v>
      </c>
      <c r="X510" s="18">
        <v>18.944397765557099</v>
      </c>
      <c r="Y510" s="18">
        <v>20.194397765557099</v>
      </c>
      <c r="Z510" s="18">
        <v>21.444397765557099</v>
      </c>
      <c r="AA510" s="18">
        <v>22.694397765557099</v>
      </c>
      <c r="AB510" s="18">
        <v>23.944397765557099</v>
      </c>
      <c r="AC510" s="18">
        <v>25.194397765557099</v>
      </c>
      <c r="AD510" s="18">
        <v>26.444397765557099</v>
      </c>
      <c r="AE510" s="18">
        <v>27.694397765557099</v>
      </c>
    </row>
    <row r="511" spans="1:31" x14ac:dyDescent="0.45">
      <c r="A511" s="28" t="s">
        <v>1287</v>
      </c>
      <c r="B511" s="5" t="s">
        <v>49</v>
      </c>
      <c r="C511" s="5" t="s">
        <v>115</v>
      </c>
      <c r="D511" s="5">
        <v>2</v>
      </c>
      <c r="E511" s="5" t="s">
        <v>1160</v>
      </c>
      <c r="K511" s="18">
        <f>INDEX(Mitigation_Industry!K:K,MATCH($A511,Mitigation_Industry!$H:$H,0))</f>
        <v>11.182901589243899</v>
      </c>
      <c r="L511" s="18">
        <f>INDEX(Mitigation_Industry!L:L,MATCH($A511,Mitigation_Industry!$H:$H,0))</f>
        <v>10.5233613454312</v>
      </c>
      <c r="M511" s="18">
        <f>INDEX(Mitigation_Industry!M:M,MATCH($A511,Mitigation_Industry!$H:$H,0))</f>
        <v>10.2995608274442</v>
      </c>
      <c r="N511" s="18">
        <f>INDEX(Mitigation_Industry!N:N,MATCH($A511,Mitigation_Industry!$H:$H,0))</f>
        <v>9.5775283595382597</v>
      </c>
      <c r="O511" s="18">
        <f>INDEX(Mitigation_Industry!O:O,MATCH($A511,Mitigation_Industry!$H:$H,0))</f>
        <v>8.4854782869580507</v>
      </c>
      <c r="P511" s="18">
        <f>INDEX(Mitigation_Industry!P:P,MATCH($A511,Mitigation_Industry!$H:$H,0))</f>
        <v>9.0871922352498604</v>
      </c>
      <c r="Q511" s="18">
        <f>INDEX(Mitigation_Industry!Q:Q,MATCH($A511,Mitigation_Industry!$H:$H,0))</f>
        <v>10.472923728932679</v>
      </c>
      <c r="R511" s="18">
        <f>INDEX(Mitigation_Industry!R:R,MATCH($A511,Mitigation_Industry!$H:$H,0))</f>
        <v>11.658564955509689</v>
      </c>
      <c r="S511" s="18">
        <f>INDEX(Mitigation_Industry!S:S,MATCH($A511,Mitigation_Industry!$H:$H,0))</f>
        <v>12.839547877397379</v>
      </c>
      <c r="T511" s="18">
        <f>INDEX(Mitigation_Industry!T:T,MATCH($A511,Mitigation_Industry!$H:$H,0))</f>
        <v>14.01568166602283</v>
      </c>
      <c r="U511" s="18">
        <f>INDEX(Mitigation_Industry!U:U,MATCH($A511,Mitigation_Industry!$H:$H,0))</f>
        <v>15.19439776555711</v>
      </c>
      <c r="V511" s="18">
        <f>INDEX(Mitigation_Industry!V:V,MATCH($A511,Mitigation_Industry!$H:$H,0))</f>
        <v>16.44439776555711</v>
      </c>
      <c r="W511" s="18">
        <f>INDEX(Mitigation_Industry!W:W,MATCH($A511,Mitigation_Industry!$H:$H,0))</f>
        <v>17.69439776555711</v>
      </c>
      <c r="X511" s="18">
        <f>INDEX(Mitigation_Industry!X:X,MATCH($A511,Mitigation_Industry!$H:$H,0))</f>
        <v>18.94439776555711</v>
      </c>
      <c r="Y511" s="18">
        <f>INDEX(Mitigation_Industry!Y:Y,MATCH($A511,Mitigation_Industry!$H:$H,0))</f>
        <v>20.19439776555711</v>
      </c>
      <c r="Z511" s="18">
        <f>INDEX(Mitigation_Industry!Z:Z,MATCH($A511,Mitigation_Industry!$H:$H,0))</f>
        <v>21.44439776555711</v>
      </c>
      <c r="AA511" s="18">
        <f>INDEX(Mitigation_Industry!AA:AA,MATCH($A511,Mitigation_Industry!$H:$H,0))</f>
        <v>22.69439776555711</v>
      </c>
      <c r="AB511" s="18">
        <f>INDEX(Mitigation_Industry!AB:AB,MATCH($A511,Mitigation_Industry!$H:$H,0))</f>
        <v>23.94439776555711</v>
      </c>
      <c r="AC511" s="18">
        <f>INDEX(Mitigation_Industry!AC:AC,MATCH($A511,Mitigation_Industry!$H:$H,0))</f>
        <v>25.19439776555711</v>
      </c>
      <c r="AD511" s="18">
        <f>INDEX(Mitigation_Industry!AD:AD,MATCH($A511,Mitigation_Industry!$H:$H,0))</f>
        <v>26.44439776555711</v>
      </c>
      <c r="AE511" s="18">
        <f>INDEX(Mitigation_Industry!AE:AE,MATCH($A511,Mitigation_Industry!$H:$H,0))</f>
        <v>27.69439776555711</v>
      </c>
    </row>
    <row r="512" spans="1:31" x14ac:dyDescent="0.45">
      <c r="A512" s="28" t="s">
        <v>1287</v>
      </c>
      <c r="B512" s="5" t="s">
        <v>49</v>
      </c>
      <c r="C512" s="5" t="s">
        <v>115</v>
      </c>
      <c r="D512" s="5">
        <v>2</v>
      </c>
      <c r="E512" s="2" t="s">
        <v>1161</v>
      </c>
      <c r="F512" s="31">
        <f>MAX(MAX(L512:AE512),-MIN(L512:AE512))</f>
        <v>3.0198066269804258E-14</v>
      </c>
      <c r="K512" s="32">
        <f t="shared" ref="K512:AE512" si="126">IF(ISNUMBER(K510),IF(ISNUMBER(K511),K511-K510,999999),0)</f>
        <v>0</v>
      </c>
      <c r="L512" s="32">
        <f t="shared" si="126"/>
        <v>0</v>
      </c>
      <c r="M512" s="32">
        <f t="shared" si="126"/>
        <v>0</v>
      </c>
      <c r="N512" s="32">
        <f t="shared" si="126"/>
        <v>0</v>
      </c>
      <c r="O512" s="32">
        <f t="shared" si="126"/>
        <v>0</v>
      </c>
      <c r="P512" s="32">
        <f t="shared" si="126"/>
        <v>0</v>
      </c>
      <c r="Q512" s="32">
        <f t="shared" si="126"/>
        <v>-2.1316282072803006E-14</v>
      </c>
      <c r="R512" s="32">
        <f t="shared" si="126"/>
        <v>-1.0658141036401503E-14</v>
      </c>
      <c r="S512" s="32">
        <f t="shared" si="126"/>
        <v>-2.1316282072803006E-14</v>
      </c>
      <c r="T512" s="32">
        <f t="shared" si="126"/>
        <v>3.0198066269804258E-14</v>
      </c>
      <c r="U512" s="32">
        <f t="shared" si="126"/>
        <v>8.8817841970012523E-15</v>
      </c>
      <c r="V512" s="32">
        <f t="shared" si="126"/>
        <v>1.0658141036401503E-14</v>
      </c>
      <c r="W512" s="32">
        <f t="shared" si="126"/>
        <v>1.0658141036401503E-14</v>
      </c>
      <c r="X512" s="32">
        <f t="shared" si="126"/>
        <v>1.0658141036401503E-14</v>
      </c>
      <c r="Y512" s="32">
        <f t="shared" si="126"/>
        <v>1.0658141036401503E-14</v>
      </c>
      <c r="Z512" s="32">
        <f t="shared" si="126"/>
        <v>1.0658141036401503E-14</v>
      </c>
      <c r="AA512" s="32">
        <f t="shared" si="126"/>
        <v>1.0658141036401503E-14</v>
      </c>
      <c r="AB512" s="32">
        <f t="shared" si="126"/>
        <v>1.0658141036401503E-14</v>
      </c>
      <c r="AC512" s="32">
        <f t="shared" si="126"/>
        <v>1.0658141036401503E-14</v>
      </c>
      <c r="AD512" s="32">
        <f t="shared" si="126"/>
        <v>1.0658141036401503E-14</v>
      </c>
      <c r="AE512" s="32">
        <f t="shared" si="126"/>
        <v>1.0658141036401503E-14</v>
      </c>
    </row>
    <row r="514" spans="1:31" x14ac:dyDescent="0.45">
      <c r="A514" s="28" t="s">
        <v>1288</v>
      </c>
      <c r="B514" s="5" t="s">
        <v>53</v>
      </c>
      <c r="C514" s="5" t="s">
        <v>115</v>
      </c>
      <c r="D514" s="5">
        <v>2</v>
      </c>
      <c r="E514" s="5" t="s">
        <v>1159</v>
      </c>
      <c r="K514" s="18"/>
      <c r="L514" s="18">
        <v>5.4510150816191896</v>
      </c>
      <c r="M514" s="18">
        <v>5.1193563062624801</v>
      </c>
      <c r="N514" s="18">
        <v>5.08218458640407</v>
      </c>
      <c r="O514" s="18">
        <v>5.08218458640407</v>
      </c>
      <c r="P514" s="18">
        <v>5.08218458640407</v>
      </c>
      <c r="Q514" s="18">
        <v>5.7796845864040698</v>
      </c>
      <c r="R514" s="18">
        <v>6.4771845864040696</v>
      </c>
      <c r="S514" s="18">
        <v>7.1746845864040703</v>
      </c>
      <c r="T514" s="18">
        <v>7.87218458640407</v>
      </c>
      <c r="U514" s="18">
        <v>8.5696845864040707</v>
      </c>
      <c r="V514" s="18">
        <v>9.2671845864040705</v>
      </c>
      <c r="W514" s="18">
        <v>9.9646845864040703</v>
      </c>
      <c r="X514" s="18">
        <v>10.6621845864041</v>
      </c>
      <c r="Y514" s="18">
        <v>11.3596845864041</v>
      </c>
      <c r="Z514" s="18">
        <v>12.0571845864041</v>
      </c>
      <c r="AA514" s="18">
        <v>12.7546845864041</v>
      </c>
      <c r="AB514" s="18">
        <v>13.452184586404099</v>
      </c>
      <c r="AC514" s="18">
        <v>14.149684586404099</v>
      </c>
      <c r="AD514" s="18">
        <v>14.847184586404101</v>
      </c>
      <c r="AE514" s="18">
        <v>15.544684586404101</v>
      </c>
    </row>
    <row r="515" spans="1:31" x14ac:dyDescent="0.45">
      <c r="A515" s="28" t="s">
        <v>1288</v>
      </c>
      <c r="B515" s="5" t="s">
        <v>53</v>
      </c>
      <c r="C515" s="5" t="s">
        <v>115</v>
      </c>
      <c r="D515" s="5">
        <v>2</v>
      </c>
      <c r="E515" s="5" t="s">
        <v>1160</v>
      </c>
      <c r="K515" s="18">
        <f>INDEX(Mitigation_Industry!K:K,MATCH($A515,Mitigation_Industry!$H:$H,0))</f>
        <v>6.0634636156729096</v>
      </c>
      <c r="L515" s="18">
        <f>INDEX(Mitigation_Industry!L:L,MATCH($A515,Mitigation_Industry!$H:$H,0))</f>
        <v>5.4510150816191896</v>
      </c>
      <c r="M515" s="18">
        <f>INDEX(Mitigation_Industry!M:M,MATCH($A515,Mitigation_Industry!$H:$H,0))</f>
        <v>5.1193563062624801</v>
      </c>
      <c r="N515" s="18">
        <f>INDEX(Mitigation_Industry!N:N,MATCH($A515,Mitigation_Industry!$H:$H,0))</f>
        <v>5.08218458640407</v>
      </c>
      <c r="O515" s="18">
        <f>INDEX(Mitigation_Industry!O:O,MATCH($A515,Mitigation_Industry!$H:$H,0))</f>
        <v>5.08218458640407</v>
      </c>
      <c r="P515" s="18">
        <f>INDEX(Mitigation_Industry!P:P,MATCH($A515,Mitigation_Industry!$H:$H,0))</f>
        <v>5.08218458640407</v>
      </c>
      <c r="Q515" s="18">
        <f>INDEX(Mitigation_Industry!Q:Q,MATCH($A515,Mitigation_Industry!$H:$H,0))</f>
        <v>5.7796845864040698</v>
      </c>
      <c r="R515" s="18">
        <f>INDEX(Mitigation_Industry!R:R,MATCH($A515,Mitigation_Industry!$H:$H,0))</f>
        <v>6.4771845864040696</v>
      </c>
      <c r="S515" s="18">
        <f>INDEX(Mitigation_Industry!S:S,MATCH($A515,Mitigation_Industry!$H:$H,0))</f>
        <v>7.1746845864040703</v>
      </c>
      <c r="T515" s="18">
        <f>INDEX(Mitigation_Industry!T:T,MATCH($A515,Mitigation_Industry!$H:$H,0))</f>
        <v>7.87218458640407</v>
      </c>
      <c r="U515" s="18">
        <f>INDEX(Mitigation_Industry!U:U,MATCH($A515,Mitigation_Industry!$H:$H,0))</f>
        <v>8.5696845864040707</v>
      </c>
      <c r="V515" s="18">
        <f>INDEX(Mitigation_Industry!V:V,MATCH($A515,Mitigation_Industry!$H:$H,0))</f>
        <v>9.2671845864040705</v>
      </c>
      <c r="W515" s="18">
        <f>INDEX(Mitigation_Industry!W:W,MATCH($A515,Mitigation_Industry!$H:$H,0))</f>
        <v>9.9646845864040703</v>
      </c>
      <c r="X515" s="18">
        <f>INDEX(Mitigation_Industry!X:X,MATCH($A515,Mitigation_Industry!$H:$H,0))</f>
        <v>10.66218458640407</v>
      </c>
      <c r="Y515" s="18">
        <f>INDEX(Mitigation_Industry!Y:Y,MATCH($A515,Mitigation_Industry!$H:$H,0))</f>
        <v>11.35968458640407</v>
      </c>
      <c r="Z515" s="18">
        <f>INDEX(Mitigation_Industry!Z:Z,MATCH($A515,Mitigation_Industry!$H:$H,0))</f>
        <v>12.05718458640407</v>
      </c>
      <c r="AA515" s="18">
        <f>INDEX(Mitigation_Industry!AA:AA,MATCH($A515,Mitigation_Industry!$H:$H,0))</f>
        <v>12.754684586404071</v>
      </c>
      <c r="AB515" s="18">
        <f>INDEX(Mitigation_Industry!AB:AB,MATCH($A515,Mitigation_Industry!$H:$H,0))</f>
        <v>13.452184586404071</v>
      </c>
      <c r="AC515" s="18">
        <f>INDEX(Mitigation_Industry!AC:AC,MATCH($A515,Mitigation_Industry!$H:$H,0))</f>
        <v>14.149684586404071</v>
      </c>
      <c r="AD515" s="18">
        <f>INDEX(Mitigation_Industry!AD:AD,MATCH($A515,Mitigation_Industry!$H:$H,0))</f>
        <v>14.847184586404071</v>
      </c>
      <c r="AE515" s="18">
        <f>INDEX(Mitigation_Industry!AE:AE,MATCH($A515,Mitigation_Industry!$H:$H,0))</f>
        <v>15.54468458640407</v>
      </c>
    </row>
    <row r="516" spans="1:31" x14ac:dyDescent="0.45">
      <c r="A516" s="28" t="s">
        <v>1288</v>
      </c>
      <c r="B516" s="5" t="s">
        <v>53</v>
      </c>
      <c r="C516" s="5" t="s">
        <v>115</v>
      </c>
      <c r="D516" s="5">
        <v>2</v>
      </c>
      <c r="E516" s="2" t="s">
        <v>1161</v>
      </c>
      <c r="F516" s="31">
        <f>MAX(MAX(L516:AE516),-MIN(L516:AE516))</f>
        <v>3.0198066269804258E-14</v>
      </c>
      <c r="K516" s="32">
        <f t="shared" ref="K516:AE516" si="127">IF(ISNUMBER(K514),IF(ISNUMBER(K515),K515-K514,999999),0)</f>
        <v>0</v>
      </c>
      <c r="L516" s="32">
        <f t="shared" si="127"/>
        <v>0</v>
      </c>
      <c r="M516" s="32">
        <f t="shared" si="127"/>
        <v>0</v>
      </c>
      <c r="N516" s="32">
        <f t="shared" si="127"/>
        <v>0</v>
      </c>
      <c r="O516" s="32">
        <f t="shared" si="127"/>
        <v>0</v>
      </c>
      <c r="P516" s="32">
        <f t="shared" si="127"/>
        <v>0</v>
      </c>
      <c r="Q516" s="32">
        <f t="shared" si="127"/>
        <v>0</v>
      </c>
      <c r="R516" s="32">
        <f t="shared" si="127"/>
        <v>0</v>
      </c>
      <c r="S516" s="32">
        <f t="shared" si="127"/>
        <v>0</v>
      </c>
      <c r="T516" s="32">
        <f t="shared" si="127"/>
        <v>0</v>
      </c>
      <c r="U516" s="32">
        <f t="shared" si="127"/>
        <v>0</v>
      </c>
      <c r="V516" s="32">
        <f t="shared" si="127"/>
        <v>0</v>
      </c>
      <c r="W516" s="32">
        <f t="shared" si="127"/>
        <v>0</v>
      </c>
      <c r="X516" s="32">
        <f t="shared" si="127"/>
        <v>-3.0198066269804258E-14</v>
      </c>
      <c r="Y516" s="32">
        <f t="shared" si="127"/>
        <v>-3.0198066269804258E-14</v>
      </c>
      <c r="Z516" s="32">
        <f t="shared" si="127"/>
        <v>-3.0198066269804258E-14</v>
      </c>
      <c r="AA516" s="32">
        <f t="shared" si="127"/>
        <v>-2.8421709430404007E-14</v>
      </c>
      <c r="AB516" s="32">
        <f t="shared" si="127"/>
        <v>-2.8421709430404007E-14</v>
      </c>
      <c r="AC516" s="32">
        <f t="shared" si="127"/>
        <v>-2.8421709430404007E-14</v>
      </c>
      <c r="AD516" s="32">
        <f t="shared" si="127"/>
        <v>-3.0198066269804258E-14</v>
      </c>
      <c r="AE516" s="32">
        <f t="shared" si="127"/>
        <v>-3.0198066269804258E-14</v>
      </c>
    </row>
    <row r="518" spans="1:31" x14ac:dyDescent="0.45">
      <c r="A518" s="28" t="s">
        <v>1289</v>
      </c>
      <c r="B518" s="5" t="s">
        <v>55</v>
      </c>
      <c r="C518" s="5" t="s">
        <v>115</v>
      </c>
      <c r="D518" s="5">
        <v>2</v>
      </c>
      <c r="E518" s="5" t="s">
        <v>1159</v>
      </c>
      <c r="K518" s="18"/>
      <c r="L518" s="18">
        <v>0.61197797679140598</v>
      </c>
      <c r="M518" s="18">
        <v>0.61180974964187596</v>
      </c>
      <c r="N518" s="18">
        <v>0.60358310017790595</v>
      </c>
      <c r="O518" s="18">
        <v>0.60358310017790595</v>
      </c>
      <c r="P518" s="18">
        <v>0.60358310017790595</v>
      </c>
      <c r="Q518" s="18">
        <v>0.63251094334940605</v>
      </c>
      <c r="R518" s="18">
        <v>0.66143878652090604</v>
      </c>
      <c r="S518" s="18">
        <v>0.69036662969240603</v>
      </c>
      <c r="T518" s="18">
        <v>0.71929447286390602</v>
      </c>
      <c r="U518" s="18">
        <v>0.74822231603540601</v>
      </c>
      <c r="V518" s="18">
        <v>0.777150159206906</v>
      </c>
      <c r="W518" s="18">
        <v>0.80607800237840599</v>
      </c>
      <c r="X518" s="18">
        <v>0.83500584554990598</v>
      </c>
      <c r="Y518" s="18">
        <v>0.86393368872140597</v>
      </c>
      <c r="Z518" s="18">
        <v>0.89286153189290596</v>
      </c>
      <c r="AA518" s="18">
        <v>0.92178937506440595</v>
      </c>
      <c r="AB518" s="18">
        <v>0.95071721823590605</v>
      </c>
      <c r="AC518" s="18">
        <v>0.97964506140740604</v>
      </c>
      <c r="AD518" s="18">
        <v>1.00857290457891</v>
      </c>
      <c r="AE518" s="18">
        <v>1.0375007477504099</v>
      </c>
    </row>
    <row r="519" spans="1:31" x14ac:dyDescent="0.45">
      <c r="A519" s="28" t="s">
        <v>1289</v>
      </c>
      <c r="B519" s="5" t="s">
        <v>55</v>
      </c>
      <c r="C519" s="5" t="s">
        <v>115</v>
      </c>
      <c r="D519" s="5">
        <v>2</v>
      </c>
      <c r="E519" s="5" t="s">
        <v>1160</v>
      </c>
      <c r="K519" s="18">
        <f>INDEX(Mitigation_Industry!K:K,MATCH($A519,Mitigation_Industry!$H:$H,0))</f>
        <v>0.67114653332181595</v>
      </c>
      <c r="L519" s="18">
        <f>INDEX(Mitigation_Industry!L:L,MATCH($A519,Mitigation_Industry!$H:$H,0))</f>
        <v>0.61197797679140598</v>
      </c>
      <c r="M519" s="18">
        <f>INDEX(Mitigation_Industry!M:M,MATCH($A519,Mitigation_Industry!$H:$H,0))</f>
        <v>0.61180974964187596</v>
      </c>
      <c r="N519" s="18">
        <f>INDEX(Mitigation_Industry!N:N,MATCH($A519,Mitigation_Industry!$H:$H,0))</f>
        <v>0.60358310017790595</v>
      </c>
      <c r="O519" s="18">
        <f>INDEX(Mitigation_Industry!O:O,MATCH($A519,Mitigation_Industry!$H:$H,0))</f>
        <v>0.60358310017790595</v>
      </c>
      <c r="P519" s="18">
        <f>INDEX(Mitigation_Industry!P:P,MATCH($A519,Mitigation_Industry!$H:$H,0))</f>
        <v>0.60358310017790595</v>
      </c>
      <c r="Q519" s="18">
        <f>INDEX(Mitigation_Industry!Q:Q,MATCH($A519,Mitigation_Industry!$H:$H,0))</f>
        <v>0.63251094334940594</v>
      </c>
      <c r="R519" s="18">
        <f>INDEX(Mitigation_Industry!R:R,MATCH($A519,Mitigation_Industry!$H:$H,0))</f>
        <v>0.66143878652090593</v>
      </c>
      <c r="S519" s="18">
        <f>INDEX(Mitigation_Industry!S:S,MATCH($A519,Mitigation_Industry!$H:$H,0))</f>
        <v>0.69036662969240592</v>
      </c>
      <c r="T519" s="18">
        <f>INDEX(Mitigation_Industry!T:T,MATCH($A519,Mitigation_Industry!$H:$H,0))</f>
        <v>0.71929447286390591</v>
      </c>
      <c r="U519" s="18">
        <f>INDEX(Mitigation_Industry!U:U,MATCH($A519,Mitigation_Industry!$H:$H,0))</f>
        <v>0.74822231603540601</v>
      </c>
      <c r="V519" s="18">
        <f>INDEX(Mitigation_Industry!V:V,MATCH($A519,Mitigation_Industry!$H:$H,0))</f>
        <v>0.777150159206906</v>
      </c>
      <c r="W519" s="18">
        <f>INDEX(Mitigation_Industry!W:W,MATCH($A519,Mitigation_Industry!$H:$H,0))</f>
        <v>0.80607800237840599</v>
      </c>
      <c r="X519" s="18">
        <f>INDEX(Mitigation_Industry!X:X,MATCH($A519,Mitigation_Industry!$H:$H,0))</f>
        <v>0.83500584554990598</v>
      </c>
      <c r="Y519" s="18">
        <f>INDEX(Mitigation_Industry!Y:Y,MATCH($A519,Mitigation_Industry!$H:$H,0))</f>
        <v>0.86393368872140597</v>
      </c>
      <c r="Z519" s="18">
        <f>INDEX(Mitigation_Industry!Z:Z,MATCH($A519,Mitigation_Industry!$H:$H,0))</f>
        <v>0.89286153189290596</v>
      </c>
      <c r="AA519" s="18">
        <f>INDEX(Mitigation_Industry!AA:AA,MATCH($A519,Mitigation_Industry!$H:$H,0))</f>
        <v>0.92178937506440595</v>
      </c>
      <c r="AB519" s="18">
        <f>INDEX(Mitigation_Industry!AB:AB,MATCH($A519,Mitigation_Industry!$H:$H,0))</f>
        <v>0.95071721823590605</v>
      </c>
      <c r="AC519" s="18">
        <f>INDEX(Mitigation_Industry!AC:AC,MATCH($A519,Mitigation_Industry!$H:$H,0))</f>
        <v>0.97964506140740593</v>
      </c>
      <c r="AD519" s="18">
        <f>INDEX(Mitigation_Industry!AD:AD,MATCH($A519,Mitigation_Industry!$H:$H,0))</f>
        <v>1.008572904578906</v>
      </c>
      <c r="AE519" s="18">
        <f>INDEX(Mitigation_Industry!AE:AE,MATCH($A519,Mitigation_Industry!$H:$H,0))</f>
        <v>1.0375007477504061</v>
      </c>
    </row>
    <row r="520" spans="1:31" x14ac:dyDescent="0.45">
      <c r="A520" s="28" t="s">
        <v>1289</v>
      </c>
      <c r="B520" s="5" t="s">
        <v>55</v>
      </c>
      <c r="C520" s="5" t="s">
        <v>115</v>
      </c>
      <c r="D520" s="5">
        <v>2</v>
      </c>
      <c r="E520" s="2" t="s">
        <v>1161</v>
      </c>
      <c r="F520" s="31">
        <f>MAX(MAX(L520:AE520),-MIN(L520:AE520))</f>
        <v>3.9968028886505635E-15</v>
      </c>
      <c r="K520" s="32">
        <f t="shared" ref="K520:AE520" si="128">IF(ISNUMBER(K518),IF(ISNUMBER(K519),K519-K518,999999),0)</f>
        <v>0</v>
      </c>
      <c r="L520" s="32">
        <f t="shared" si="128"/>
        <v>0</v>
      </c>
      <c r="M520" s="32">
        <f t="shared" si="128"/>
        <v>0</v>
      </c>
      <c r="N520" s="32">
        <f t="shared" si="128"/>
        <v>0</v>
      </c>
      <c r="O520" s="32">
        <f t="shared" si="128"/>
        <v>0</v>
      </c>
      <c r="P520" s="32">
        <f t="shared" si="128"/>
        <v>0</v>
      </c>
      <c r="Q520" s="32">
        <f t="shared" si="128"/>
        <v>-1.1102230246251565E-16</v>
      </c>
      <c r="R520" s="32">
        <f t="shared" si="128"/>
        <v>-1.1102230246251565E-16</v>
      </c>
      <c r="S520" s="32">
        <f t="shared" si="128"/>
        <v>-1.1102230246251565E-16</v>
      </c>
      <c r="T520" s="32">
        <f t="shared" si="128"/>
        <v>-1.1102230246251565E-16</v>
      </c>
      <c r="U520" s="32">
        <f t="shared" si="128"/>
        <v>0</v>
      </c>
      <c r="V520" s="32">
        <f t="shared" si="128"/>
        <v>0</v>
      </c>
      <c r="W520" s="32">
        <f t="shared" si="128"/>
        <v>0</v>
      </c>
      <c r="X520" s="32">
        <f t="shared" si="128"/>
        <v>0</v>
      </c>
      <c r="Y520" s="32">
        <f t="shared" si="128"/>
        <v>0</v>
      </c>
      <c r="Z520" s="32">
        <f t="shared" si="128"/>
        <v>0</v>
      </c>
      <c r="AA520" s="32">
        <f t="shared" si="128"/>
        <v>0</v>
      </c>
      <c r="AB520" s="32">
        <f t="shared" si="128"/>
        <v>0</v>
      </c>
      <c r="AC520" s="32">
        <f t="shared" si="128"/>
        <v>-1.1102230246251565E-16</v>
      </c>
      <c r="AD520" s="32">
        <f t="shared" si="128"/>
        <v>-3.9968028886505635E-15</v>
      </c>
      <c r="AE520" s="32">
        <f t="shared" si="128"/>
        <v>-3.7747582837255322E-15</v>
      </c>
    </row>
    <row r="522" spans="1:31" x14ac:dyDescent="0.45">
      <c r="A522" s="28" t="s">
        <v>1290</v>
      </c>
      <c r="B522" s="5" t="s">
        <v>58</v>
      </c>
      <c r="C522" s="5" t="s">
        <v>115</v>
      </c>
      <c r="D522" s="5">
        <v>2</v>
      </c>
      <c r="E522" s="5" t="s">
        <v>1159</v>
      </c>
      <c r="K522" s="18"/>
      <c r="L522" s="18">
        <v>0.49458873084106802</v>
      </c>
      <c r="M522" s="18">
        <v>0.50778654720250105</v>
      </c>
      <c r="N522" s="18">
        <v>0.47043642679561698</v>
      </c>
      <c r="O522" s="18">
        <v>0.47043642679561698</v>
      </c>
      <c r="P522" s="18">
        <v>0.47043642679561698</v>
      </c>
      <c r="Q522" s="18">
        <v>0.50344686565449204</v>
      </c>
      <c r="R522" s="18">
        <v>0.53645730451336704</v>
      </c>
      <c r="S522" s="18">
        <v>0.56946774337224204</v>
      </c>
      <c r="T522" s="18">
        <v>0.60247818223111704</v>
      </c>
      <c r="U522" s="18">
        <v>0.63548862108999205</v>
      </c>
      <c r="V522" s="18">
        <v>0.66849905994886705</v>
      </c>
      <c r="W522" s="18">
        <v>0.70150949880774205</v>
      </c>
      <c r="X522" s="18">
        <v>0.73451993766661705</v>
      </c>
      <c r="Y522" s="18">
        <v>0.76753037652549205</v>
      </c>
      <c r="Z522" s="18">
        <v>0.80054081538436705</v>
      </c>
      <c r="AA522" s="18">
        <v>0.83355125424324195</v>
      </c>
      <c r="AB522" s="18">
        <v>0.86656169310211695</v>
      </c>
      <c r="AC522" s="18">
        <v>0.89957213196099195</v>
      </c>
      <c r="AD522" s="18">
        <v>0.93258257081986695</v>
      </c>
      <c r="AE522" s="18">
        <v>0.96559300967874195</v>
      </c>
    </row>
    <row r="523" spans="1:31" x14ac:dyDescent="0.45">
      <c r="A523" s="28" t="s">
        <v>1290</v>
      </c>
      <c r="B523" s="5" t="s">
        <v>58</v>
      </c>
      <c r="C523" s="5" t="s">
        <v>115</v>
      </c>
      <c r="D523" s="5">
        <v>2</v>
      </c>
      <c r="E523" s="5" t="s">
        <v>1160</v>
      </c>
      <c r="K523" s="18">
        <f>INDEX(Mitigation_Industry!K:K,MATCH($A523,Mitigation_Industry!$H:$H,0))</f>
        <v>0.55971121315568795</v>
      </c>
      <c r="L523" s="18">
        <f>INDEX(Mitigation_Industry!L:L,MATCH($A523,Mitigation_Industry!$H:$H,0))</f>
        <v>0.49458873084106802</v>
      </c>
      <c r="M523" s="18">
        <f>INDEX(Mitigation_Industry!M:M,MATCH($A523,Mitigation_Industry!$H:$H,0))</f>
        <v>0.50778654720250105</v>
      </c>
      <c r="N523" s="18">
        <f>INDEX(Mitigation_Industry!N:N,MATCH($A523,Mitigation_Industry!$H:$H,0))</f>
        <v>0.47043642679561698</v>
      </c>
      <c r="O523" s="18">
        <f>INDEX(Mitigation_Industry!O:O,MATCH($A523,Mitigation_Industry!$H:$H,0))</f>
        <v>0.47043642679561698</v>
      </c>
      <c r="P523" s="18">
        <f>INDEX(Mitigation_Industry!P:P,MATCH($A523,Mitigation_Industry!$H:$H,0))</f>
        <v>0.47043642679561698</v>
      </c>
      <c r="Q523" s="18">
        <f>INDEX(Mitigation_Industry!Q:Q,MATCH($A523,Mitigation_Industry!$H:$H,0))</f>
        <v>0.50344686565449193</v>
      </c>
      <c r="R523" s="18">
        <f>INDEX(Mitigation_Industry!R:R,MATCH($A523,Mitigation_Industry!$H:$H,0))</f>
        <v>0.53645730451336693</v>
      </c>
      <c r="S523" s="18">
        <f>INDEX(Mitigation_Industry!S:S,MATCH($A523,Mitigation_Industry!$H:$H,0))</f>
        <v>0.56946774337224193</v>
      </c>
      <c r="T523" s="18">
        <f>INDEX(Mitigation_Industry!T:T,MATCH($A523,Mitigation_Industry!$H:$H,0))</f>
        <v>0.60247818223111693</v>
      </c>
      <c r="U523" s="18">
        <f>INDEX(Mitigation_Industry!U:U,MATCH($A523,Mitigation_Industry!$H:$H,0))</f>
        <v>0.63548862108999193</v>
      </c>
      <c r="V523" s="18">
        <f>INDEX(Mitigation_Industry!V:V,MATCH($A523,Mitigation_Industry!$H:$H,0))</f>
        <v>0.66849905994886694</v>
      </c>
      <c r="W523" s="18">
        <f>INDEX(Mitigation_Industry!W:W,MATCH($A523,Mitigation_Industry!$H:$H,0))</f>
        <v>0.70150949880774194</v>
      </c>
      <c r="X523" s="18">
        <f>INDEX(Mitigation_Industry!X:X,MATCH($A523,Mitigation_Industry!$H:$H,0))</f>
        <v>0.73451993766661694</v>
      </c>
      <c r="Y523" s="18">
        <f>INDEX(Mitigation_Industry!Y:Y,MATCH($A523,Mitigation_Industry!$H:$H,0))</f>
        <v>0.76753037652549194</v>
      </c>
      <c r="Z523" s="18">
        <f>INDEX(Mitigation_Industry!Z:Z,MATCH($A523,Mitigation_Industry!$H:$H,0))</f>
        <v>0.80054081538436694</v>
      </c>
      <c r="AA523" s="18">
        <f>INDEX(Mitigation_Industry!AA:AA,MATCH($A523,Mitigation_Industry!$H:$H,0))</f>
        <v>0.83355125424324195</v>
      </c>
      <c r="AB523" s="18">
        <f>INDEX(Mitigation_Industry!AB:AB,MATCH($A523,Mitigation_Industry!$H:$H,0))</f>
        <v>0.86656169310211695</v>
      </c>
      <c r="AC523" s="18">
        <f>INDEX(Mitigation_Industry!AC:AC,MATCH($A523,Mitigation_Industry!$H:$H,0))</f>
        <v>0.89957213196099195</v>
      </c>
      <c r="AD523" s="18">
        <f>INDEX(Mitigation_Industry!AD:AD,MATCH($A523,Mitigation_Industry!$H:$H,0))</f>
        <v>0.93258257081986695</v>
      </c>
      <c r="AE523" s="18">
        <f>INDEX(Mitigation_Industry!AE:AE,MATCH($A523,Mitigation_Industry!$H:$H,0))</f>
        <v>0.96559300967874195</v>
      </c>
    </row>
    <row r="524" spans="1:31" x14ac:dyDescent="0.45">
      <c r="A524" s="28" t="s">
        <v>1290</v>
      </c>
      <c r="B524" s="5" t="s">
        <v>58</v>
      </c>
      <c r="C524" s="5" t="s">
        <v>115</v>
      </c>
      <c r="D524" s="5">
        <v>2</v>
      </c>
      <c r="E524" s="2" t="s">
        <v>1161</v>
      </c>
      <c r="F524" s="31">
        <f>MAX(MAX(L524:AE524),-MIN(L524:AE524))</f>
        <v>1.1102230246251565E-16</v>
      </c>
      <c r="K524" s="32">
        <f t="shared" ref="K524:AE524" si="129">IF(ISNUMBER(K522),IF(ISNUMBER(K523),K523-K522,999999),0)</f>
        <v>0</v>
      </c>
      <c r="L524" s="32">
        <f t="shared" si="129"/>
        <v>0</v>
      </c>
      <c r="M524" s="32">
        <f t="shared" si="129"/>
        <v>0</v>
      </c>
      <c r="N524" s="32">
        <f t="shared" si="129"/>
        <v>0</v>
      </c>
      <c r="O524" s="32">
        <f t="shared" si="129"/>
        <v>0</v>
      </c>
      <c r="P524" s="32">
        <f t="shared" si="129"/>
        <v>0</v>
      </c>
      <c r="Q524" s="32">
        <f t="shared" si="129"/>
        <v>-1.1102230246251565E-16</v>
      </c>
      <c r="R524" s="32">
        <f t="shared" si="129"/>
        <v>-1.1102230246251565E-16</v>
      </c>
      <c r="S524" s="32">
        <f t="shared" si="129"/>
        <v>-1.1102230246251565E-16</v>
      </c>
      <c r="T524" s="32">
        <f t="shared" si="129"/>
        <v>-1.1102230246251565E-16</v>
      </c>
      <c r="U524" s="32">
        <f t="shared" si="129"/>
        <v>-1.1102230246251565E-16</v>
      </c>
      <c r="V524" s="32">
        <f t="shared" si="129"/>
        <v>-1.1102230246251565E-16</v>
      </c>
      <c r="W524" s="32">
        <f t="shared" si="129"/>
        <v>-1.1102230246251565E-16</v>
      </c>
      <c r="X524" s="32">
        <f t="shared" si="129"/>
        <v>-1.1102230246251565E-16</v>
      </c>
      <c r="Y524" s="32">
        <f t="shared" si="129"/>
        <v>-1.1102230246251565E-16</v>
      </c>
      <c r="Z524" s="32">
        <f t="shared" si="129"/>
        <v>-1.1102230246251565E-16</v>
      </c>
      <c r="AA524" s="32">
        <f t="shared" si="129"/>
        <v>0</v>
      </c>
      <c r="AB524" s="32">
        <f t="shared" si="129"/>
        <v>0</v>
      </c>
      <c r="AC524" s="32">
        <f t="shared" si="129"/>
        <v>0</v>
      </c>
      <c r="AD524" s="32">
        <f t="shared" si="129"/>
        <v>0</v>
      </c>
      <c r="AE524" s="32">
        <f t="shared" si="129"/>
        <v>0</v>
      </c>
    </row>
    <row r="526" spans="1:31" x14ac:dyDescent="0.45">
      <c r="A526" s="28" t="s">
        <v>1291</v>
      </c>
      <c r="B526" s="5" t="s">
        <v>60</v>
      </c>
      <c r="C526" s="5" t="s">
        <v>115</v>
      </c>
      <c r="D526" s="5">
        <v>2</v>
      </c>
      <c r="E526" s="5" t="s">
        <v>1159</v>
      </c>
      <c r="K526" s="18"/>
      <c r="L526" s="18">
        <v>0.15734473625227399</v>
      </c>
      <c r="M526" s="18">
        <v>0.164484037759277</v>
      </c>
      <c r="N526" s="18">
        <v>0.15070907780704901</v>
      </c>
      <c r="O526" s="18">
        <v>0.15070907780704901</v>
      </c>
      <c r="P526" s="18">
        <v>0.15070907780704901</v>
      </c>
      <c r="Q526" s="18">
        <v>0.172815160734345</v>
      </c>
      <c r="R526" s="18">
        <v>0.19492124366163999</v>
      </c>
      <c r="S526" s="18">
        <v>0.217027326588936</v>
      </c>
      <c r="T526" s="18">
        <v>0.23913340951623199</v>
      </c>
      <c r="U526" s="18">
        <v>0.26123949244352701</v>
      </c>
      <c r="V526" s="18">
        <v>0.283345575370823</v>
      </c>
      <c r="W526" s="18">
        <v>0.30545165829811899</v>
      </c>
      <c r="X526" s="18">
        <v>0.32755774122541498</v>
      </c>
      <c r="Y526" s="18">
        <v>0.34966382415271002</v>
      </c>
      <c r="Z526" s="18">
        <v>0.37176990708000601</v>
      </c>
      <c r="AA526" s="18">
        <v>0.393875990007302</v>
      </c>
      <c r="AB526" s="18">
        <v>0.41598207293459699</v>
      </c>
      <c r="AC526" s="18">
        <v>0.43808815586189298</v>
      </c>
      <c r="AD526" s="18">
        <v>0.46019423878918903</v>
      </c>
      <c r="AE526" s="18">
        <v>0.48230032171648402</v>
      </c>
    </row>
    <row r="527" spans="1:31" x14ac:dyDescent="0.45">
      <c r="A527" s="28" t="s">
        <v>1291</v>
      </c>
      <c r="B527" s="5" t="s">
        <v>60</v>
      </c>
      <c r="C527" s="5" t="s">
        <v>115</v>
      </c>
      <c r="D527" s="5">
        <v>2</v>
      </c>
      <c r="E527" s="5" t="s">
        <v>1160</v>
      </c>
      <c r="K527" s="18">
        <f>INDEX(Mitigation_Industry!K:K,MATCH($A527,Mitigation_Industry!$H:$H,0))</f>
        <v>0.20036669112673799</v>
      </c>
      <c r="L527" s="18">
        <f>INDEX(Mitigation_Industry!L:L,MATCH($A527,Mitigation_Industry!$H:$H,0))</f>
        <v>0.15734473625227399</v>
      </c>
      <c r="M527" s="18">
        <f>INDEX(Mitigation_Industry!M:M,MATCH($A527,Mitigation_Industry!$H:$H,0))</f>
        <v>0.164484037759277</v>
      </c>
      <c r="N527" s="18">
        <f>INDEX(Mitigation_Industry!N:N,MATCH($A527,Mitigation_Industry!$H:$H,0))</f>
        <v>0.15070907780704901</v>
      </c>
      <c r="O527" s="18">
        <f>INDEX(Mitigation_Industry!O:O,MATCH($A527,Mitigation_Industry!$H:$H,0))</f>
        <v>0.15070907780704901</v>
      </c>
      <c r="P527" s="18">
        <f>INDEX(Mitigation_Industry!P:P,MATCH($A527,Mitigation_Industry!$H:$H,0))</f>
        <v>0.15070907780704901</v>
      </c>
      <c r="Q527" s="18">
        <f>INDEX(Mitigation_Industry!Q:Q,MATCH($A527,Mitigation_Industry!$H:$H,0))</f>
        <v>0.17281516073434466</v>
      </c>
      <c r="R527" s="18">
        <f>INDEX(Mitigation_Industry!R:R,MATCH($A527,Mitigation_Industry!$H:$H,0))</f>
        <v>0.19492124366164035</v>
      </c>
      <c r="S527" s="18">
        <f>INDEX(Mitigation_Industry!S:S,MATCH($A527,Mitigation_Industry!$H:$H,0))</f>
        <v>0.217027326588936</v>
      </c>
      <c r="T527" s="18">
        <f>INDEX(Mitigation_Industry!T:T,MATCH($A527,Mitigation_Industry!$H:$H,0))</f>
        <v>0.23913340951623169</v>
      </c>
      <c r="U527" s="18">
        <f>INDEX(Mitigation_Industry!U:U,MATCH($A527,Mitigation_Industry!$H:$H,0))</f>
        <v>0.26123949244352734</v>
      </c>
      <c r="V527" s="18">
        <f>INDEX(Mitigation_Industry!V:V,MATCH($A527,Mitigation_Industry!$H:$H,0))</f>
        <v>0.283345575370823</v>
      </c>
      <c r="W527" s="18">
        <f>INDEX(Mitigation_Industry!W:W,MATCH($A527,Mitigation_Industry!$H:$H,0))</f>
        <v>0.30545165829811871</v>
      </c>
      <c r="X527" s="18">
        <f>INDEX(Mitigation_Industry!X:X,MATCH($A527,Mitigation_Industry!$H:$H,0))</f>
        <v>0.32755774122541437</v>
      </c>
      <c r="Y527" s="18">
        <f>INDEX(Mitigation_Industry!Y:Y,MATCH($A527,Mitigation_Industry!$H:$H,0))</f>
        <v>0.34966382415271002</v>
      </c>
      <c r="Z527" s="18">
        <f>INDEX(Mitigation_Industry!Z:Z,MATCH($A527,Mitigation_Industry!$H:$H,0))</f>
        <v>0.37176990708000568</v>
      </c>
      <c r="AA527" s="18">
        <f>INDEX(Mitigation_Industry!AA:AA,MATCH($A527,Mitigation_Industry!$H:$H,0))</f>
        <v>0.39387599000730134</v>
      </c>
      <c r="AB527" s="18">
        <f>INDEX(Mitigation_Industry!AB:AB,MATCH($A527,Mitigation_Industry!$H:$H,0))</f>
        <v>0.41598207293459699</v>
      </c>
      <c r="AC527" s="18">
        <f>INDEX(Mitigation_Industry!AC:AC,MATCH($A527,Mitigation_Industry!$H:$H,0))</f>
        <v>0.4380881558618927</v>
      </c>
      <c r="AD527" s="18">
        <f>INDEX(Mitigation_Industry!AD:AD,MATCH($A527,Mitigation_Industry!$H:$H,0))</f>
        <v>0.46019423878918836</v>
      </c>
      <c r="AE527" s="18">
        <f>INDEX(Mitigation_Industry!AE:AE,MATCH($A527,Mitigation_Industry!$H:$H,0))</f>
        <v>0.48230032171648402</v>
      </c>
    </row>
    <row r="528" spans="1:31" x14ac:dyDescent="0.45">
      <c r="A528" s="28" t="s">
        <v>1291</v>
      </c>
      <c r="B528" s="5" t="s">
        <v>60</v>
      </c>
      <c r="C528" s="5" t="s">
        <v>115</v>
      </c>
      <c r="D528" s="5">
        <v>2</v>
      </c>
      <c r="E528" s="2" t="s">
        <v>1161</v>
      </c>
      <c r="F528" s="31">
        <f>MAX(MAX(L528:AE528),-MIN(L528:AE528))</f>
        <v>6.6613381477509392E-16</v>
      </c>
      <c r="K528" s="32">
        <f t="shared" ref="K528:AE528" si="130">IF(ISNUMBER(K526),IF(ISNUMBER(K527),K527-K526,999999),0)</f>
        <v>0</v>
      </c>
      <c r="L528" s="32">
        <f t="shared" si="130"/>
        <v>0</v>
      </c>
      <c r="M528" s="32">
        <f t="shared" si="130"/>
        <v>0</v>
      </c>
      <c r="N528" s="32">
        <f t="shared" si="130"/>
        <v>0</v>
      </c>
      <c r="O528" s="32">
        <f t="shared" si="130"/>
        <v>0</v>
      </c>
      <c r="P528" s="32">
        <f t="shared" si="130"/>
        <v>0</v>
      </c>
      <c r="Q528" s="32">
        <f t="shared" si="130"/>
        <v>-3.3306690738754696E-16</v>
      </c>
      <c r="R528" s="32">
        <f t="shared" si="130"/>
        <v>3.6082248300317588E-16</v>
      </c>
      <c r="S528" s="32">
        <f t="shared" si="130"/>
        <v>0</v>
      </c>
      <c r="T528" s="32">
        <f t="shared" si="130"/>
        <v>-3.0531133177191805E-16</v>
      </c>
      <c r="U528" s="32">
        <f t="shared" si="130"/>
        <v>3.3306690738754696E-16</v>
      </c>
      <c r="V528" s="32">
        <f t="shared" si="130"/>
        <v>0</v>
      </c>
      <c r="W528" s="32">
        <f t="shared" si="130"/>
        <v>-2.7755575615628914E-16</v>
      </c>
      <c r="X528" s="32">
        <f t="shared" si="130"/>
        <v>-6.106226635438361E-16</v>
      </c>
      <c r="Y528" s="32">
        <f t="shared" si="130"/>
        <v>0</v>
      </c>
      <c r="Z528" s="32">
        <f t="shared" si="130"/>
        <v>-3.3306690738754696E-16</v>
      </c>
      <c r="AA528" s="32">
        <f t="shared" si="130"/>
        <v>-6.6613381477509392E-16</v>
      </c>
      <c r="AB528" s="32">
        <f t="shared" si="130"/>
        <v>0</v>
      </c>
      <c r="AC528" s="32">
        <f t="shared" si="130"/>
        <v>-2.7755575615628914E-16</v>
      </c>
      <c r="AD528" s="32">
        <f t="shared" si="130"/>
        <v>-6.6613381477509392E-16</v>
      </c>
      <c r="AE528" s="32">
        <f t="shared" si="130"/>
        <v>0</v>
      </c>
    </row>
    <row r="530" spans="1:31" x14ac:dyDescent="0.45">
      <c r="A530" s="28" t="s">
        <v>1292</v>
      </c>
      <c r="B530" s="5" t="s">
        <v>62</v>
      </c>
      <c r="C530" s="5" t="s">
        <v>115</v>
      </c>
      <c r="D530" s="5">
        <v>2</v>
      </c>
      <c r="E530" s="5" t="s">
        <v>1159</v>
      </c>
      <c r="K530" s="18"/>
      <c r="L530" s="18">
        <v>0.45642817050012802</v>
      </c>
      <c r="M530" s="18">
        <v>0.43168920195599497</v>
      </c>
      <c r="N530" s="18">
        <v>0.42507558395597</v>
      </c>
      <c r="O530" s="18">
        <v>0.42507558395597</v>
      </c>
      <c r="P530" s="18">
        <v>0.42507558395597</v>
      </c>
      <c r="Q530" s="18">
        <v>0.45706441406607901</v>
      </c>
      <c r="R530" s="18">
        <v>0.48905324417618701</v>
      </c>
      <c r="S530" s="18">
        <v>0.52104207428629601</v>
      </c>
      <c r="T530" s="18">
        <v>0.55303090439640401</v>
      </c>
      <c r="U530" s="18">
        <v>0.58501973450651301</v>
      </c>
      <c r="V530" s="18">
        <v>0.61700856461662101</v>
      </c>
      <c r="W530" s="18">
        <v>0.64899739472672902</v>
      </c>
      <c r="X530" s="18">
        <v>0.68098622483683802</v>
      </c>
      <c r="Y530" s="18">
        <v>0.71297505494694702</v>
      </c>
      <c r="Z530" s="18">
        <v>0.74496388505705502</v>
      </c>
      <c r="AA530" s="18">
        <v>0.77695271516716302</v>
      </c>
      <c r="AB530" s="18">
        <v>0.80894154527727202</v>
      </c>
      <c r="AC530" s="18">
        <v>0.84093037538738002</v>
      </c>
      <c r="AD530" s="18">
        <v>0.87291920549748903</v>
      </c>
      <c r="AE530" s="18">
        <v>0.90490803560759703</v>
      </c>
    </row>
    <row r="531" spans="1:31" x14ac:dyDescent="0.45">
      <c r="A531" s="28" t="s">
        <v>1292</v>
      </c>
      <c r="B531" s="5" t="s">
        <v>62</v>
      </c>
      <c r="C531" s="5" t="s">
        <v>115</v>
      </c>
      <c r="D531" s="5">
        <v>2</v>
      </c>
      <c r="E531" s="5" t="s">
        <v>1160</v>
      </c>
      <c r="K531" s="18">
        <f>INDEX(Mitigation_Industry!K:K,MATCH($A531,Mitigation_Industry!$H:$H,0))</f>
        <v>0.48429424097343499</v>
      </c>
      <c r="L531" s="18">
        <f>INDEX(Mitigation_Industry!L:L,MATCH($A531,Mitigation_Industry!$H:$H,0))</f>
        <v>0.45642817050012802</v>
      </c>
      <c r="M531" s="18">
        <f>INDEX(Mitigation_Industry!M:M,MATCH($A531,Mitigation_Industry!$H:$H,0))</f>
        <v>0.43168920195599497</v>
      </c>
      <c r="N531" s="18">
        <f>INDEX(Mitigation_Industry!N:N,MATCH($A531,Mitigation_Industry!$H:$H,0))</f>
        <v>0.42507558395597</v>
      </c>
      <c r="O531" s="18">
        <f>INDEX(Mitigation_Industry!O:O,MATCH($A531,Mitigation_Industry!$H:$H,0))</f>
        <v>0.42507558395597</v>
      </c>
      <c r="P531" s="18">
        <f>INDEX(Mitigation_Industry!P:P,MATCH($A531,Mitigation_Industry!$H:$H,0))</f>
        <v>0.42507558395597</v>
      </c>
      <c r="Q531" s="18">
        <f>INDEX(Mitigation_Industry!Q:Q,MATCH($A531,Mitigation_Industry!$H:$H,0))</f>
        <v>0.45706441406607845</v>
      </c>
      <c r="R531" s="18">
        <f>INDEX(Mitigation_Industry!R:R,MATCH($A531,Mitigation_Industry!$H:$H,0))</f>
        <v>0.48905324417618695</v>
      </c>
      <c r="S531" s="18">
        <f>INDEX(Mitigation_Industry!S:S,MATCH($A531,Mitigation_Industry!$H:$H,0))</f>
        <v>0.52104207428629534</v>
      </c>
      <c r="T531" s="18">
        <f>INDEX(Mitigation_Industry!T:T,MATCH($A531,Mitigation_Industry!$H:$H,0))</f>
        <v>0.5530309043964039</v>
      </c>
      <c r="U531" s="18">
        <f>INDEX(Mitigation_Industry!U:U,MATCH($A531,Mitigation_Industry!$H:$H,0))</f>
        <v>0.58501973450651235</v>
      </c>
      <c r="V531" s="18">
        <f>INDEX(Mitigation_Industry!V:V,MATCH($A531,Mitigation_Industry!$H:$H,0))</f>
        <v>0.61700856461662079</v>
      </c>
      <c r="W531" s="18">
        <f>INDEX(Mitigation_Industry!W:W,MATCH($A531,Mitigation_Industry!$H:$H,0))</f>
        <v>0.64899739472672924</v>
      </c>
      <c r="X531" s="18">
        <f>INDEX(Mitigation_Industry!X:X,MATCH($A531,Mitigation_Industry!$H:$H,0))</f>
        <v>0.68098622483683768</v>
      </c>
      <c r="Y531" s="18">
        <f>INDEX(Mitigation_Industry!Y:Y,MATCH($A531,Mitigation_Industry!$H:$H,0))</f>
        <v>0.71297505494694624</v>
      </c>
      <c r="Z531" s="18">
        <f>INDEX(Mitigation_Industry!Z:Z,MATCH($A531,Mitigation_Industry!$H:$H,0))</f>
        <v>0.74496388505705469</v>
      </c>
      <c r="AA531" s="18">
        <f>INDEX(Mitigation_Industry!AA:AA,MATCH($A531,Mitigation_Industry!$H:$H,0))</f>
        <v>0.77695271516716313</v>
      </c>
      <c r="AB531" s="18">
        <f>INDEX(Mitigation_Industry!AB:AB,MATCH($A531,Mitigation_Industry!$H:$H,0))</f>
        <v>0.80894154527727158</v>
      </c>
      <c r="AC531" s="18">
        <f>INDEX(Mitigation_Industry!AC:AC,MATCH($A531,Mitigation_Industry!$H:$H,0))</f>
        <v>0.84093037538738002</v>
      </c>
      <c r="AD531" s="18">
        <f>INDEX(Mitigation_Industry!AD:AD,MATCH($A531,Mitigation_Industry!$H:$H,0))</f>
        <v>0.87291920549748858</v>
      </c>
      <c r="AE531" s="18">
        <f>INDEX(Mitigation_Industry!AE:AE,MATCH($A531,Mitigation_Industry!$H:$H,0))</f>
        <v>0.90490803560759692</v>
      </c>
    </row>
    <row r="532" spans="1:31" x14ac:dyDescent="0.45">
      <c r="A532" s="28" t="s">
        <v>1292</v>
      </c>
      <c r="B532" s="5" t="s">
        <v>62</v>
      </c>
      <c r="C532" s="5" t="s">
        <v>115</v>
      </c>
      <c r="D532" s="5">
        <v>2</v>
      </c>
      <c r="E532" s="2" t="s">
        <v>1161</v>
      </c>
      <c r="F532" s="31">
        <f>MAX(MAX(L532:AE532),-MIN(L532:AE532))</f>
        <v>7.7715611723760958E-16</v>
      </c>
      <c r="K532" s="32">
        <f t="shared" ref="K532:AE532" si="131">IF(ISNUMBER(K530),IF(ISNUMBER(K531),K531-K530,999999),0)</f>
        <v>0</v>
      </c>
      <c r="L532" s="32">
        <f t="shared" si="131"/>
        <v>0</v>
      </c>
      <c r="M532" s="32">
        <f t="shared" si="131"/>
        <v>0</v>
      </c>
      <c r="N532" s="32">
        <f t="shared" si="131"/>
        <v>0</v>
      </c>
      <c r="O532" s="32">
        <f t="shared" si="131"/>
        <v>0</v>
      </c>
      <c r="P532" s="32">
        <f t="shared" si="131"/>
        <v>0</v>
      </c>
      <c r="Q532" s="32">
        <f t="shared" si="131"/>
        <v>-5.5511151231257827E-16</v>
      </c>
      <c r="R532" s="32">
        <f t="shared" si="131"/>
        <v>-5.5511151231257827E-17</v>
      </c>
      <c r="S532" s="32">
        <f t="shared" si="131"/>
        <v>-6.6613381477509392E-16</v>
      </c>
      <c r="T532" s="32">
        <f t="shared" si="131"/>
        <v>-1.1102230246251565E-16</v>
      </c>
      <c r="U532" s="32">
        <f t="shared" si="131"/>
        <v>-6.6613381477509392E-16</v>
      </c>
      <c r="V532" s="32">
        <f t="shared" si="131"/>
        <v>-2.2204460492503131E-16</v>
      </c>
      <c r="W532" s="32">
        <f t="shared" si="131"/>
        <v>2.2204460492503131E-16</v>
      </c>
      <c r="X532" s="32">
        <f t="shared" si="131"/>
        <v>-3.3306690738754696E-16</v>
      </c>
      <c r="Y532" s="32">
        <f t="shared" si="131"/>
        <v>-7.7715611723760958E-16</v>
      </c>
      <c r="Z532" s="32">
        <f t="shared" si="131"/>
        <v>-3.3306690738754696E-16</v>
      </c>
      <c r="AA532" s="32">
        <f t="shared" si="131"/>
        <v>1.1102230246251565E-16</v>
      </c>
      <c r="AB532" s="32">
        <f t="shared" si="131"/>
        <v>-4.4408920985006262E-16</v>
      </c>
      <c r="AC532" s="32">
        <f t="shared" si="131"/>
        <v>0</v>
      </c>
      <c r="AD532" s="32">
        <f t="shared" si="131"/>
        <v>-4.4408920985006262E-16</v>
      </c>
      <c r="AE532" s="32">
        <f t="shared" si="131"/>
        <v>-1.1102230246251565E-16</v>
      </c>
    </row>
    <row r="534" spans="1:31" x14ac:dyDescent="0.45">
      <c r="A534" s="28" t="s">
        <v>1293</v>
      </c>
      <c r="B534" s="5" t="s">
        <v>64</v>
      </c>
      <c r="C534" s="5" t="s">
        <v>115</v>
      </c>
      <c r="D534" s="5">
        <v>2</v>
      </c>
      <c r="E534" s="5" t="s">
        <v>1159</v>
      </c>
      <c r="K534" s="18"/>
      <c r="L534" s="18">
        <v>34.4153703043132</v>
      </c>
      <c r="M534" s="18">
        <v>37.368960690431997</v>
      </c>
      <c r="N534" s="18">
        <v>28.982761101477301</v>
      </c>
      <c r="O534" s="18">
        <v>15</v>
      </c>
      <c r="P534" s="18">
        <v>24.2586300842555</v>
      </c>
      <c r="Q534" s="18">
        <v>18.963758196132499</v>
      </c>
      <c r="R534" s="18">
        <v>21.760345114010601</v>
      </c>
      <c r="S534" s="18">
        <v>26.079880691373599</v>
      </c>
      <c r="T534" s="18">
        <v>30.5936824452092</v>
      </c>
      <c r="U534" s="18">
        <v>34.990509739410101</v>
      </c>
      <c r="V534" s="18">
        <v>40.858059739410102</v>
      </c>
      <c r="W534" s="18">
        <v>46.725609739410103</v>
      </c>
      <c r="X534" s="18">
        <v>52.593159739410098</v>
      </c>
      <c r="Y534" s="18">
        <v>58.460709739410099</v>
      </c>
      <c r="Z534" s="18">
        <v>64.3282597394101</v>
      </c>
      <c r="AA534" s="18">
        <v>70.195809739410095</v>
      </c>
      <c r="AB534" s="18">
        <v>76.063359739410103</v>
      </c>
      <c r="AC534" s="18">
        <v>81.930909739410097</v>
      </c>
      <c r="AD534" s="18">
        <v>87.798459739410106</v>
      </c>
      <c r="AE534" s="18">
        <v>93.6660097394101</v>
      </c>
    </row>
    <row r="535" spans="1:31" x14ac:dyDescent="0.45">
      <c r="A535" s="28" t="s">
        <v>1293</v>
      </c>
      <c r="B535" s="5" t="s">
        <v>64</v>
      </c>
      <c r="C535" s="5" t="s">
        <v>115</v>
      </c>
      <c r="D535" s="5">
        <v>2</v>
      </c>
      <c r="E535" s="5" t="s">
        <v>1160</v>
      </c>
      <c r="K535" s="18">
        <f>INDEX(Mitigation_Industry!K:K,MATCH($A535,Mitigation_Industry!$H:$H,0))</f>
        <v>41.500338498868402</v>
      </c>
      <c r="L535" s="18">
        <f>INDEX(Mitigation_Industry!L:L,MATCH($A535,Mitigation_Industry!$H:$H,0))</f>
        <v>34.4153703043132</v>
      </c>
      <c r="M535" s="18">
        <f>INDEX(Mitigation_Industry!M:M,MATCH($A535,Mitigation_Industry!$H:$H,0))</f>
        <v>37.368960690431997</v>
      </c>
      <c r="N535" s="18">
        <f>INDEX(Mitigation_Industry!N:N,MATCH($A535,Mitigation_Industry!$H:$H,0))</f>
        <v>28.982761101477301</v>
      </c>
      <c r="O535" s="18">
        <f>INDEX(Mitigation_Industry!O:O,MATCH($A535,Mitigation_Industry!$H:$H,0))</f>
        <v>15</v>
      </c>
      <c r="P535" s="18">
        <f>INDEX(Mitigation_Industry!P:P,MATCH($A535,Mitigation_Industry!$H:$H,0))</f>
        <v>24.2586300842555</v>
      </c>
      <c r="Q535" s="18">
        <f>INDEX(Mitigation_Industry!Q:Q,MATCH($A535,Mitigation_Industry!$H:$H,0))</f>
        <v>18.963758196132499</v>
      </c>
      <c r="R535" s="18">
        <f>INDEX(Mitigation_Industry!R:R,MATCH($A535,Mitigation_Industry!$H:$H,0))</f>
        <v>21.760345114010597</v>
      </c>
      <c r="S535" s="18">
        <f>INDEX(Mitigation_Industry!S:S,MATCH($A535,Mitigation_Industry!$H:$H,0))</f>
        <v>26.079880691373621</v>
      </c>
      <c r="T535" s="18">
        <f>INDEX(Mitigation_Industry!T:T,MATCH($A535,Mitigation_Industry!$H:$H,0))</f>
        <v>30.593682445209218</v>
      </c>
      <c r="U535" s="18">
        <f>INDEX(Mitigation_Industry!U:U,MATCH($A535,Mitigation_Industry!$H:$H,0))</f>
        <v>34.990509739410058</v>
      </c>
      <c r="V535" s="18">
        <f>INDEX(Mitigation_Industry!V:V,MATCH($A535,Mitigation_Industry!$H:$H,0))</f>
        <v>40.858059739410059</v>
      </c>
      <c r="W535" s="18">
        <f>INDEX(Mitigation_Industry!W:W,MATCH($A535,Mitigation_Industry!$H:$H,0))</f>
        <v>46.725609739410054</v>
      </c>
      <c r="X535" s="18">
        <f>INDEX(Mitigation_Industry!X:X,MATCH($A535,Mitigation_Industry!$H:$H,0))</f>
        <v>52.593159739410055</v>
      </c>
      <c r="Y535" s="18">
        <f>INDEX(Mitigation_Industry!Y:Y,MATCH($A535,Mitigation_Industry!$H:$H,0))</f>
        <v>58.460709739410056</v>
      </c>
      <c r="Z535" s="18">
        <f>INDEX(Mitigation_Industry!Z:Z,MATCH($A535,Mitigation_Industry!$H:$H,0))</f>
        <v>64.328259739410072</v>
      </c>
      <c r="AA535" s="18">
        <f>INDEX(Mitigation_Industry!AA:AA,MATCH($A535,Mitigation_Industry!$H:$H,0))</f>
        <v>70.195809739410052</v>
      </c>
      <c r="AB535" s="18">
        <f>INDEX(Mitigation_Industry!AB:AB,MATCH($A535,Mitigation_Industry!$H:$H,0))</f>
        <v>76.06335973941006</v>
      </c>
      <c r="AC535" s="18">
        <f>INDEX(Mitigation_Industry!AC:AC,MATCH($A535,Mitigation_Industry!$H:$H,0))</f>
        <v>81.930909739410041</v>
      </c>
      <c r="AD535" s="18">
        <f>INDEX(Mitigation_Industry!AD:AD,MATCH($A535,Mitigation_Industry!$H:$H,0))</f>
        <v>87.798459739410049</v>
      </c>
      <c r="AE535" s="18">
        <f>INDEX(Mitigation_Industry!AE:AE,MATCH($A535,Mitigation_Industry!$H:$H,0))</f>
        <v>93.666009739410043</v>
      </c>
    </row>
    <row r="536" spans="1:31" x14ac:dyDescent="0.45">
      <c r="A536" s="28" t="s">
        <v>1293</v>
      </c>
      <c r="B536" s="5" t="s">
        <v>64</v>
      </c>
      <c r="C536" s="5" t="s">
        <v>115</v>
      </c>
      <c r="D536" s="5">
        <v>2</v>
      </c>
      <c r="E536" s="2" t="s">
        <v>1161</v>
      </c>
      <c r="F536" s="31">
        <f>MAX(MAX(L536:AE536),-MIN(L536:AE536))</f>
        <v>5.6843418860808015E-14</v>
      </c>
      <c r="K536" s="32">
        <f t="shared" ref="K536:AE536" si="132">IF(ISNUMBER(K534),IF(ISNUMBER(K535),K535-K534,999999),0)</f>
        <v>0</v>
      </c>
      <c r="L536" s="32">
        <f t="shared" si="132"/>
        <v>0</v>
      </c>
      <c r="M536" s="32">
        <f t="shared" si="132"/>
        <v>0</v>
      </c>
      <c r="N536" s="32">
        <f t="shared" si="132"/>
        <v>0</v>
      </c>
      <c r="O536" s="32">
        <f t="shared" si="132"/>
        <v>0</v>
      </c>
      <c r="P536" s="32">
        <f t="shared" si="132"/>
        <v>0</v>
      </c>
      <c r="Q536" s="32">
        <f t="shared" si="132"/>
        <v>0</v>
      </c>
      <c r="R536" s="32">
        <f t="shared" si="132"/>
        <v>-3.5527136788005009E-15</v>
      </c>
      <c r="S536" s="32">
        <f t="shared" si="132"/>
        <v>2.1316282072803006E-14</v>
      </c>
      <c r="T536" s="32">
        <f t="shared" si="132"/>
        <v>1.7763568394002505E-14</v>
      </c>
      <c r="U536" s="32">
        <f t="shared" si="132"/>
        <v>-4.2632564145606011E-14</v>
      </c>
      <c r="V536" s="32">
        <f t="shared" si="132"/>
        <v>-4.2632564145606011E-14</v>
      </c>
      <c r="W536" s="32">
        <f t="shared" si="132"/>
        <v>-4.9737991503207013E-14</v>
      </c>
      <c r="X536" s="32">
        <f t="shared" si="132"/>
        <v>-4.2632564145606011E-14</v>
      </c>
      <c r="Y536" s="32">
        <f t="shared" si="132"/>
        <v>-4.2632564145606011E-14</v>
      </c>
      <c r="Z536" s="32">
        <f t="shared" si="132"/>
        <v>-2.8421709430404007E-14</v>
      </c>
      <c r="AA536" s="32">
        <f t="shared" si="132"/>
        <v>-4.2632564145606011E-14</v>
      </c>
      <c r="AB536" s="32">
        <f t="shared" si="132"/>
        <v>-4.2632564145606011E-14</v>
      </c>
      <c r="AC536" s="32">
        <f t="shared" si="132"/>
        <v>-5.6843418860808015E-14</v>
      </c>
      <c r="AD536" s="32">
        <f t="shared" si="132"/>
        <v>-5.6843418860808015E-14</v>
      </c>
      <c r="AE536" s="32">
        <f t="shared" si="132"/>
        <v>-5.6843418860808015E-14</v>
      </c>
    </row>
    <row r="538" spans="1:31" x14ac:dyDescent="0.45">
      <c r="A538" s="28" t="s">
        <v>1294</v>
      </c>
      <c r="B538" s="5" t="s">
        <v>67</v>
      </c>
      <c r="C538" s="5" t="s">
        <v>115</v>
      </c>
      <c r="D538" s="5">
        <v>2</v>
      </c>
      <c r="E538" s="5" t="s">
        <v>1159</v>
      </c>
      <c r="K538" s="18"/>
      <c r="L538" s="18">
        <v>14.199528390634899</v>
      </c>
      <c r="M538" s="18">
        <v>13.8404416133152</v>
      </c>
      <c r="N538" s="18">
        <v>13.5677269404465</v>
      </c>
      <c r="O538" s="18">
        <v>13.5677269404465</v>
      </c>
      <c r="P538" s="18">
        <v>13.5677269404465</v>
      </c>
      <c r="Q538" s="18">
        <v>13.5677269404465</v>
      </c>
      <c r="R538" s="18">
        <v>13.5677269404465</v>
      </c>
      <c r="S538" s="18">
        <v>13.5677269404465</v>
      </c>
      <c r="T538" s="18">
        <v>13.5677269404465</v>
      </c>
      <c r="U538" s="18">
        <v>13.5677269404465</v>
      </c>
      <c r="V538" s="18">
        <v>13.5677269404465</v>
      </c>
      <c r="W538" s="18">
        <v>13.5677269404465</v>
      </c>
      <c r="X538" s="18">
        <v>13.5677269404465</v>
      </c>
      <c r="Y538" s="18">
        <v>13.5677269404465</v>
      </c>
      <c r="Z538" s="18">
        <v>13.5677269404465</v>
      </c>
      <c r="AA538" s="18">
        <v>13.5677269404465</v>
      </c>
      <c r="AB538" s="18">
        <v>13.5677269404465</v>
      </c>
      <c r="AC538" s="18">
        <v>13.5677269404465</v>
      </c>
      <c r="AD538" s="18">
        <v>13.5677269404465</v>
      </c>
      <c r="AE538" s="18">
        <v>13.5677269404465</v>
      </c>
    </row>
    <row r="539" spans="1:31" x14ac:dyDescent="0.45">
      <c r="A539" s="28" t="s">
        <v>1294</v>
      </c>
      <c r="B539" s="5" t="s">
        <v>67</v>
      </c>
      <c r="C539" s="5" t="s">
        <v>115</v>
      </c>
      <c r="D539" s="5">
        <v>2</v>
      </c>
      <c r="E539" s="5" t="s">
        <v>1160</v>
      </c>
      <c r="K539" s="18">
        <f>INDEX(Mitigation_Industry!K:K,MATCH($A539,Mitigation_Industry!$H:$H,0))</f>
        <v>15.3345505293169</v>
      </c>
      <c r="L539" s="18">
        <f>INDEX(Mitigation_Industry!L:L,MATCH($A539,Mitigation_Industry!$H:$H,0))</f>
        <v>14.199528390634899</v>
      </c>
      <c r="M539" s="18">
        <f>INDEX(Mitigation_Industry!M:M,MATCH($A539,Mitigation_Industry!$H:$H,0))</f>
        <v>13.8404416133152</v>
      </c>
      <c r="N539" s="18">
        <f>INDEX(Mitigation_Industry!N:N,MATCH($A539,Mitigation_Industry!$H:$H,0))</f>
        <v>13.5677269404465</v>
      </c>
      <c r="O539" s="18">
        <f>INDEX(Mitigation_Industry!O:O,MATCH($A539,Mitigation_Industry!$H:$H,0))</f>
        <v>13.5677269404465</v>
      </c>
      <c r="P539" s="18">
        <f>INDEX(Mitigation_Industry!P:P,MATCH($A539,Mitigation_Industry!$H:$H,0))</f>
        <v>13.5677269404465</v>
      </c>
      <c r="Q539" s="18">
        <f>INDEX(Mitigation_Industry!Q:Q,MATCH($A539,Mitigation_Industry!$H:$H,0))</f>
        <v>13.5677269404465</v>
      </c>
      <c r="R539" s="18">
        <f>INDEX(Mitigation_Industry!R:R,MATCH($A539,Mitigation_Industry!$H:$H,0))</f>
        <v>13.5677269404465</v>
      </c>
      <c r="S539" s="18">
        <f>INDEX(Mitigation_Industry!S:S,MATCH($A539,Mitigation_Industry!$H:$H,0))</f>
        <v>13.5677269404465</v>
      </c>
      <c r="T539" s="18">
        <f>INDEX(Mitigation_Industry!T:T,MATCH($A539,Mitigation_Industry!$H:$H,0))</f>
        <v>13.5677269404465</v>
      </c>
      <c r="U539" s="18">
        <f>INDEX(Mitigation_Industry!U:U,MATCH($A539,Mitigation_Industry!$H:$H,0))</f>
        <v>13.5677269404465</v>
      </c>
      <c r="V539" s="18">
        <f>INDEX(Mitigation_Industry!V:V,MATCH($A539,Mitigation_Industry!$H:$H,0))</f>
        <v>13.5677269404465</v>
      </c>
      <c r="W539" s="18">
        <f>INDEX(Mitigation_Industry!W:W,MATCH($A539,Mitigation_Industry!$H:$H,0))</f>
        <v>13.5677269404465</v>
      </c>
      <c r="X539" s="18">
        <f>INDEX(Mitigation_Industry!X:X,MATCH($A539,Mitigation_Industry!$H:$H,0))</f>
        <v>13.5677269404465</v>
      </c>
      <c r="Y539" s="18">
        <f>INDEX(Mitigation_Industry!Y:Y,MATCH($A539,Mitigation_Industry!$H:$H,0))</f>
        <v>13.5677269404465</v>
      </c>
      <c r="Z539" s="18">
        <f>INDEX(Mitigation_Industry!Z:Z,MATCH($A539,Mitigation_Industry!$H:$H,0))</f>
        <v>13.5677269404465</v>
      </c>
      <c r="AA539" s="18">
        <f>INDEX(Mitigation_Industry!AA:AA,MATCH($A539,Mitigation_Industry!$H:$H,0))</f>
        <v>13.5677269404465</v>
      </c>
      <c r="AB539" s="18">
        <f>INDEX(Mitigation_Industry!AB:AB,MATCH($A539,Mitigation_Industry!$H:$H,0))</f>
        <v>13.5677269404465</v>
      </c>
      <c r="AC539" s="18">
        <f>INDEX(Mitigation_Industry!AC:AC,MATCH($A539,Mitigation_Industry!$H:$H,0))</f>
        <v>13.5677269404465</v>
      </c>
      <c r="AD539" s="18">
        <f>INDEX(Mitigation_Industry!AD:AD,MATCH($A539,Mitigation_Industry!$H:$H,0))</f>
        <v>13.5677269404465</v>
      </c>
      <c r="AE539" s="18">
        <f>INDEX(Mitigation_Industry!AE:AE,MATCH($A539,Mitigation_Industry!$H:$H,0))</f>
        <v>13.5677269404465</v>
      </c>
    </row>
    <row r="540" spans="1:31" x14ac:dyDescent="0.45">
      <c r="A540" s="28" t="s">
        <v>1294</v>
      </c>
      <c r="B540" s="5" t="s">
        <v>67</v>
      </c>
      <c r="C540" s="5" t="s">
        <v>115</v>
      </c>
      <c r="D540" s="5">
        <v>2</v>
      </c>
      <c r="E540" s="2" t="s">
        <v>1161</v>
      </c>
      <c r="F540" s="31">
        <f>MAX(MAX(L540:AE540),-MIN(L540:AE540))</f>
        <v>0</v>
      </c>
      <c r="K540" s="32">
        <f t="shared" ref="K540:AE540" si="133">IF(ISNUMBER(K538),IF(ISNUMBER(K539),K539-K538,999999),0)</f>
        <v>0</v>
      </c>
      <c r="L540" s="32">
        <f t="shared" si="133"/>
        <v>0</v>
      </c>
      <c r="M540" s="32">
        <f t="shared" si="133"/>
        <v>0</v>
      </c>
      <c r="N540" s="32">
        <f t="shared" si="133"/>
        <v>0</v>
      </c>
      <c r="O540" s="32">
        <f t="shared" si="133"/>
        <v>0</v>
      </c>
      <c r="P540" s="32">
        <f t="shared" si="133"/>
        <v>0</v>
      </c>
      <c r="Q540" s="32">
        <f t="shared" si="133"/>
        <v>0</v>
      </c>
      <c r="R540" s="32">
        <f t="shared" si="133"/>
        <v>0</v>
      </c>
      <c r="S540" s="32">
        <f t="shared" si="133"/>
        <v>0</v>
      </c>
      <c r="T540" s="32">
        <f t="shared" si="133"/>
        <v>0</v>
      </c>
      <c r="U540" s="32">
        <f t="shared" si="133"/>
        <v>0</v>
      </c>
      <c r="V540" s="32">
        <f t="shared" si="133"/>
        <v>0</v>
      </c>
      <c r="W540" s="32">
        <f t="shared" si="133"/>
        <v>0</v>
      </c>
      <c r="X540" s="32">
        <f t="shared" si="133"/>
        <v>0</v>
      </c>
      <c r="Y540" s="32">
        <f t="shared" si="133"/>
        <v>0</v>
      </c>
      <c r="Z540" s="32">
        <f t="shared" si="133"/>
        <v>0</v>
      </c>
      <c r="AA540" s="32">
        <f t="shared" si="133"/>
        <v>0</v>
      </c>
      <c r="AB540" s="32">
        <f t="shared" si="133"/>
        <v>0</v>
      </c>
      <c r="AC540" s="32">
        <f t="shared" si="133"/>
        <v>0</v>
      </c>
      <c r="AD540" s="32">
        <f t="shared" si="133"/>
        <v>0</v>
      </c>
      <c r="AE540" s="32">
        <f t="shared" si="133"/>
        <v>0</v>
      </c>
    </row>
    <row r="542" spans="1:31" x14ac:dyDescent="0.45">
      <c r="A542" s="28" t="s">
        <v>1295</v>
      </c>
      <c r="B542" s="5" t="s">
        <v>69</v>
      </c>
      <c r="C542" s="5" t="s">
        <v>115</v>
      </c>
      <c r="D542" s="5">
        <v>2</v>
      </c>
      <c r="E542" s="5" t="s">
        <v>1159</v>
      </c>
      <c r="K542" s="18"/>
      <c r="L542" s="18">
        <v>0.14404498679319799</v>
      </c>
      <c r="M542" s="18">
        <v>0.141386241751359</v>
      </c>
      <c r="N542" s="18">
        <v>0.13539756544373099</v>
      </c>
      <c r="O542" s="18">
        <v>0.13152288542065099</v>
      </c>
      <c r="P542" s="18">
        <v>0.12882610848523099</v>
      </c>
      <c r="Q542" s="18">
        <v>0.12594200976473999</v>
      </c>
      <c r="R542" s="18">
        <v>0.123113265701861</v>
      </c>
      <c r="S542" s="18">
        <v>0.119391738089068</v>
      </c>
      <c r="T542" s="18">
        <v>0.11554419046792</v>
      </c>
      <c r="U542" s="18">
        <v>0.11492423065415899</v>
      </c>
      <c r="V542" s="18">
        <v>0.114346912116736</v>
      </c>
      <c r="W542" s="18">
        <v>0.113738711172664</v>
      </c>
      <c r="X542" s="18">
        <v>0.112999900487521</v>
      </c>
      <c r="Y542" s="18">
        <v>0.112177685835534</v>
      </c>
      <c r="Z542" s="18">
        <v>0.111417903250404</v>
      </c>
      <c r="AA542" s="18">
        <v>0.11052581998545399</v>
      </c>
      <c r="AB542" s="18">
        <v>0.109699565234896</v>
      </c>
      <c r="AC542" s="18">
        <v>0.10772678896394899</v>
      </c>
      <c r="AD542" s="18">
        <v>0.10582092445093499</v>
      </c>
      <c r="AE542" s="18">
        <v>0.103855595705721</v>
      </c>
    </row>
    <row r="543" spans="1:31" x14ac:dyDescent="0.45">
      <c r="A543" s="28" t="s">
        <v>1295</v>
      </c>
      <c r="B543" s="5" t="s">
        <v>69</v>
      </c>
      <c r="C543" s="5" t="s">
        <v>115</v>
      </c>
      <c r="D543" s="5">
        <v>2</v>
      </c>
      <c r="E543" s="5" t="s">
        <v>1160</v>
      </c>
      <c r="K543" s="18">
        <f>INDEX(Mitigation_Industry!K:K,MATCH($A543,Mitigation_Industry!$H:$H,0))</f>
        <v>0</v>
      </c>
      <c r="L543" s="18">
        <f>INDEX(Mitigation_Industry!L:L,MATCH($A543,Mitigation_Industry!$H:$H,0))</f>
        <v>0.14404498679319799</v>
      </c>
      <c r="M543" s="18">
        <f>INDEX(Mitigation_Industry!M:M,MATCH($A543,Mitigation_Industry!$H:$H,0))</f>
        <v>0.141386241751359</v>
      </c>
      <c r="N543" s="18">
        <f>INDEX(Mitigation_Industry!N:N,MATCH($A543,Mitigation_Industry!$H:$H,0))</f>
        <v>0.13539756544373099</v>
      </c>
      <c r="O543" s="18">
        <f>INDEX(Mitigation_Industry!O:O,MATCH($A543,Mitigation_Industry!$H:$H,0))</f>
        <v>0.13152288542065099</v>
      </c>
      <c r="P543" s="18">
        <f>INDEX(Mitigation_Industry!P:P,MATCH($A543,Mitigation_Industry!$H:$H,0))</f>
        <v>0.12882610848523099</v>
      </c>
      <c r="Q543" s="18">
        <f>INDEX(Mitigation_Industry!Q:Q,MATCH($A543,Mitigation_Industry!$H:$H,0))</f>
        <v>0.12594200976473999</v>
      </c>
      <c r="R543" s="18">
        <f>INDEX(Mitigation_Industry!R:R,MATCH($A543,Mitigation_Industry!$H:$H,0))</f>
        <v>0.123113265701861</v>
      </c>
      <c r="S543" s="18">
        <f>INDEX(Mitigation_Industry!S:S,MATCH($A543,Mitigation_Industry!$H:$H,0))</f>
        <v>0.119391738089068</v>
      </c>
      <c r="T543" s="18">
        <f>INDEX(Mitigation_Industry!T:T,MATCH($A543,Mitigation_Industry!$H:$H,0))</f>
        <v>0.11554419046792</v>
      </c>
      <c r="U543" s="18">
        <f>INDEX(Mitigation_Industry!U:U,MATCH($A543,Mitigation_Industry!$H:$H,0))</f>
        <v>0.11492423065415899</v>
      </c>
      <c r="V543" s="18">
        <f>INDEX(Mitigation_Industry!V:V,MATCH($A543,Mitigation_Industry!$H:$H,0))</f>
        <v>0.114346912116736</v>
      </c>
      <c r="W543" s="18">
        <f>INDEX(Mitigation_Industry!W:W,MATCH($A543,Mitigation_Industry!$H:$H,0))</f>
        <v>0.113738711172664</v>
      </c>
      <c r="X543" s="18">
        <f>INDEX(Mitigation_Industry!X:X,MATCH($A543,Mitigation_Industry!$H:$H,0))</f>
        <v>0.112999900487521</v>
      </c>
      <c r="Y543" s="18">
        <f>INDEX(Mitigation_Industry!Y:Y,MATCH($A543,Mitigation_Industry!$H:$H,0))</f>
        <v>0.112177685835534</v>
      </c>
      <c r="Z543" s="18">
        <f>INDEX(Mitigation_Industry!Z:Z,MATCH($A543,Mitigation_Industry!$H:$H,0))</f>
        <v>0.111417903250404</v>
      </c>
      <c r="AA543" s="18">
        <f>INDEX(Mitigation_Industry!AA:AA,MATCH($A543,Mitigation_Industry!$H:$H,0))</f>
        <v>0.11052581998545399</v>
      </c>
      <c r="AB543" s="18">
        <f>INDEX(Mitigation_Industry!AB:AB,MATCH($A543,Mitigation_Industry!$H:$H,0))</f>
        <v>0.109699565234896</v>
      </c>
      <c r="AC543" s="18">
        <f>INDEX(Mitigation_Industry!AC:AC,MATCH($A543,Mitigation_Industry!$H:$H,0))</f>
        <v>0.10772678896394899</v>
      </c>
      <c r="AD543" s="18">
        <f>INDEX(Mitigation_Industry!AD:AD,MATCH($A543,Mitigation_Industry!$H:$H,0))</f>
        <v>0.10582092445093499</v>
      </c>
      <c r="AE543" s="18">
        <f>INDEX(Mitigation_Industry!AE:AE,MATCH($A543,Mitigation_Industry!$H:$H,0))</f>
        <v>0.103855595705721</v>
      </c>
    </row>
    <row r="544" spans="1:31" x14ac:dyDescent="0.45">
      <c r="A544" s="28" t="s">
        <v>1295</v>
      </c>
      <c r="B544" s="5" t="s">
        <v>69</v>
      </c>
      <c r="C544" s="5" t="s">
        <v>115</v>
      </c>
      <c r="D544" s="5">
        <v>2</v>
      </c>
      <c r="E544" s="2" t="s">
        <v>1161</v>
      </c>
      <c r="F544" s="31">
        <f>MAX(MAX(L544:AE544),-MIN(L544:AE544))</f>
        <v>0</v>
      </c>
      <c r="K544" s="32">
        <f t="shared" ref="K544:AE544" si="134">IF(ISNUMBER(K542),IF(ISNUMBER(K543),K543-K542,999999),0)</f>
        <v>0</v>
      </c>
      <c r="L544" s="32">
        <f t="shared" si="134"/>
        <v>0</v>
      </c>
      <c r="M544" s="32">
        <f t="shared" si="134"/>
        <v>0</v>
      </c>
      <c r="N544" s="32">
        <f t="shared" si="134"/>
        <v>0</v>
      </c>
      <c r="O544" s="32">
        <f t="shared" si="134"/>
        <v>0</v>
      </c>
      <c r="P544" s="32">
        <f t="shared" si="134"/>
        <v>0</v>
      </c>
      <c r="Q544" s="32">
        <f t="shared" si="134"/>
        <v>0</v>
      </c>
      <c r="R544" s="32">
        <f t="shared" si="134"/>
        <v>0</v>
      </c>
      <c r="S544" s="32">
        <f t="shared" si="134"/>
        <v>0</v>
      </c>
      <c r="T544" s="32">
        <f t="shared" si="134"/>
        <v>0</v>
      </c>
      <c r="U544" s="32">
        <f t="shared" si="134"/>
        <v>0</v>
      </c>
      <c r="V544" s="32">
        <f t="shared" si="134"/>
        <v>0</v>
      </c>
      <c r="W544" s="32">
        <f t="shared" si="134"/>
        <v>0</v>
      </c>
      <c r="X544" s="32">
        <f t="shared" si="134"/>
        <v>0</v>
      </c>
      <c r="Y544" s="32">
        <f t="shared" si="134"/>
        <v>0</v>
      </c>
      <c r="Z544" s="32">
        <f t="shared" si="134"/>
        <v>0</v>
      </c>
      <c r="AA544" s="32">
        <f t="shared" si="134"/>
        <v>0</v>
      </c>
      <c r="AB544" s="32">
        <f t="shared" si="134"/>
        <v>0</v>
      </c>
      <c r="AC544" s="32">
        <f t="shared" si="134"/>
        <v>0</v>
      </c>
      <c r="AD544" s="32">
        <f t="shared" si="134"/>
        <v>0</v>
      </c>
      <c r="AE544" s="32">
        <f t="shared" si="134"/>
        <v>0</v>
      </c>
    </row>
    <row r="546" spans="1:31" x14ac:dyDescent="0.45">
      <c r="A546" s="28" t="s">
        <v>1296</v>
      </c>
      <c r="B546" s="5" t="s">
        <v>49</v>
      </c>
      <c r="C546" s="5" t="s">
        <v>117</v>
      </c>
      <c r="D546" s="5">
        <v>2</v>
      </c>
      <c r="E546" s="5" t="s">
        <v>1159</v>
      </c>
      <c r="K546" s="18"/>
      <c r="L546" s="18">
        <v>10.5233613454312</v>
      </c>
      <c r="M546" s="18">
        <v>10.2995608274442</v>
      </c>
      <c r="N546" s="18">
        <v>9.5775283595382597</v>
      </c>
      <c r="O546" s="18">
        <v>8.4854782869580507</v>
      </c>
      <c r="P546" s="18">
        <v>9.0871922352498604</v>
      </c>
      <c r="Q546" s="18">
        <v>10.472923728932701</v>
      </c>
      <c r="R546" s="18">
        <v>11.6585649555097</v>
      </c>
      <c r="S546" s="18">
        <v>12.839547877397401</v>
      </c>
      <c r="T546" s="18">
        <v>14.0156816660228</v>
      </c>
      <c r="U546" s="18">
        <v>15.194397765557101</v>
      </c>
      <c r="V546" s="18">
        <v>16.444397765557099</v>
      </c>
      <c r="W546" s="18">
        <v>17.694397765557099</v>
      </c>
      <c r="X546" s="18">
        <v>18.944397765557099</v>
      </c>
      <c r="Y546" s="18">
        <v>20.194397765557099</v>
      </c>
      <c r="Z546" s="18">
        <v>21.444397765557099</v>
      </c>
      <c r="AA546" s="18">
        <v>22.694397765557099</v>
      </c>
      <c r="AB546" s="18">
        <v>23.944397765557099</v>
      </c>
      <c r="AC546" s="18">
        <v>25.194397765557099</v>
      </c>
      <c r="AD546" s="18">
        <v>26.444397765557099</v>
      </c>
      <c r="AE546" s="18">
        <v>27.694397765557099</v>
      </c>
    </row>
    <row r="547" spans="1:31" x14ac:dyDescent="0.45">
      <c r="A547" s="28" t="s">
        <v>1296</v>
      </c>
      <c r="B547" s="5" t="s">
        <v>49</v>
      </c>
      <c r="C547" s="5" t="s">
        <v>117</v>
      </c>
      <c r="D547" s="5">
        <v>2</v>
      </c>
      <c r="E547" s="5" t="s">
        <v>1160</v>
      </c>
      <c r="K547" s="18">
        <f>INDEX(Mitigation_Industry!K:K,MATCH($A547,Mitigation_Industry!$H:$H,0))</f>
        <v>11.182901589243899</v>
      </c>
      <c r="L547" s="18">
        <f>INDEX(Mitigation_Industry!L:L,MATCH($A547,Mitigation_Industry!$H:$H,0))</f>
        <v>10.5233613454312</v>
      </c>
      <c r="M547" s="18">
        <f>INDEX(Mitigation_Industry!M:M,MATCH($A547,Mitigation_Industry!$H:$H,0))</f>
        <v>10.2995608274442</v>
      </c>
      <c r="N547" s="18">
        <f>INDEX(Mitigation_Industry!N:N,MATCH($A547,Mitigation_Industry!$H:$H,0))</f>
        <v>9.5775283595382597</v>
      </c>
      <c r="O547" s="18">
        <f>INDEX(Mitigation_Industry!O:O,MATCH($A547,Mitigation_Industry!$H:$H,0))</f>
        <v>8.4854782869580507</v>
      </c>
      <c r="P547" s="18">
        <f>INDEX(Mitigation_Industry!P:P,MATCH($A547,Mitigation_Industry!$H:$H,0))</f>
        <v>9.0871922352498604</v>
      </c>
      <c r="Q547" s="18">
        <f>INDEX(Mitigation_Industry!Q:Q,MATCH($A547,Mitigation_Industry!$H:$H,0))</f>
        <v>10.472923728932679</v>
      </c>
      <c r="R547" s="18">
        <f>INDEX(Mitigation_Industry!R:R,MATCH($A547,Mitigation_Industry!$H:$H,0))</f>
        <v>11.658564955509689</v>
      </c>
      <c r="S547" s="18">
        <f>INDEX(Mitigation_Industry!S:S,MATCH($A547,Mitigation_Industry!$H:$H,0))</f>
        <v>12.839547877397379</v>
      </c>
      <c r="T547" s="18">
        <f>INDEX(Mitigation_Industry!T:T,MATCH($A547,Mitigation_Industry!$H:$H,0))</f>
        <v>14.01568166602283</v>
      </c>
      <c r="U547" s="18">
        <f>INDEX(Mitigation_Industry!U:U,MATCH($A547,Mitigation_Industry!$H:$H,0))</f>
        <v>15.19439776555711</v>
      </c>
      <c r="V547" s="18">
        <f>INDEX(Mitigation_Industry!V:V,MATCH($A547,Mitigation_Industry!$H:$H,0))</f>
        <v>16.44439776555711</v>
      </c>
      <c r="W547" s="18">
        <f>INDEX(Mitigation_Industry!W:W,MATCH($A547,Mitigation_Industry!$H:$H,0))</f>
        <v>17.69439776555711</v>
      </c>
      <c r="X547" s="18">
        <f>INDEX(Mitigation_Industry!X:X,MATCH($A547,Mitigation_Industry!$H:$H,0))</f>
        <v>18.94439776555711</v>
      </c>
      <c r="Y547" s="18">
        <f>INDEX(Mitigation_Industry!Y:Y,MATCH($A547,Mitigation_Industry!$H:$H,0))</f>
        <v>20.19439776555711</v>
      </c>
      <c r="Z547" s="18">
        <f>INDEX(Mitigation_Industry!Z:Z,MATCH($A547,Mitigation_Industry!$H:$H,0))</f>
        <v>21.44439776555711</v>
      </c>
      <c r="AA547" s="18">
        <f>INDEX(Mitigation_Industry!AA:AA,MATCH($A547,Mitigation_Industry!$H:$H,0))</f>
        <v>22.69439776555711</v>
      </c>
      <c r="AB547" s="18">
        <f>INDEX(Mitigation_Industry!AB:AB,MATCH($A547,Mitigation_Industry!$H:$H,0))</f>
        <v>23.94439776555711</v>
      </c>
      <c r="AC547" s="18">
        <f>INDEX(Mitigation_Industry!AC:AC,MATCH($A547,Mitigation_Industry!$H:$H,0))</f>
        <v>25.19439776555711</v>
      </c>
      <c r="AD547" s="18">
        <f>INDEX(Mitigation_Industry!AD:AD,MATCH($A547,Mitigation_Industry!$H:$H,0))</f>
        <v>26.44439776555711</v>
      </c>
      <c r="AE547" s="18">
        <f>INDEX(Mitigation_Industry!AE:AE,MATCH($A547,Mitigation_Industry!$H:$H,0))</f>
        <v>27.69439776555711</v>
      </c>
    </row>
    <row r="548" spans="1:31" x14ac:dyDescent="0.45">
      <c r="A548" s="28" t="s">
        <v>1296</v>
      </c>
      <c r="B548" s="5" t="s">
        <v>49</v>
      </c>
      <c r="C548" s="5" t="s">
        <v>117</v>
      </c>
      <c r="D548" s="5">
        <v>2</v>
      </c>
      <c r="E548" s="2" t="s">
        <v>1161</v>
      </c>
      <c r="F548" s="31">
        <f>MAX(MAX(L548:AE548),-MIN(L548:AE548))</f>
        <v>3.0198066269804258E-14</v>
      </c>
      <c r="K548" s="32">
        <f t="shared" ref="K548:AE548" si="135">IF(ISNUMBER(K546),IF(ISNUMBER(K547),K547-K546,999999),0)</f>
        <v>0</v>
      </c>
      <c r="L548" s="32">
        <f t="shared" si="135"/>
        <v>0</v>
      </c>
      <c r="M548" s="32">
        <f t="shared" si="135"/>
        <v>0</v>
      </c>
      <c r="N548" s="32">
        <f t="shared" si="135"/>
        <v>0</v>
      </c>
      <c r="O548" s="32">
        <f t="shared" si="135"/>
        <v>0</v>
      </c>
      <c r="P548" s="32">
        <f t="shared" si="135"/>
        <v>0</v>
      </c>
      <c r="Q548" s="32">
        <f t="shared" si="135"/>
        <v>-2.1316282072803006E-14</v>
      </c>
      <c r="R548" s="32">
        <f t="shared" si="135"/>
        <v>-1.0658141036401503E-14</v>
      </c>
      <c r="S548" s="32">
        <f t="shared" si="135"/>
        <v>-2.1316282072803006E-14</v>
      </c>
      <c r="T548" s="32">
        <f t="shared" si="135"/>
        <v>3.0198066269804258E-14</v>
      </c>
      <c r="U548" s="32">
        <f t="shared" si="135"/>
        <v>8.8817841970012523E-15</v>
      </c>
      <c r="V548" s="32">
        <f t="shared" si="135"/>
        <v>1.0658141036401503E-14</v>
      </c>
      <c r="W548" s="32">
        <f t="shared" si="135"/>
        <v>1.0658141036401503E-14</v>
      </c>
      <c r="X548" s="32">
        <f t="shared" si="135"/>
        <v>1.0658141036401503E-14</v>
      </c>
      <c r="Y548" s="32">
        <f t="shared" si="135"/>
        <v>1.0658141036401503E-14</v>
      </c>
      <c r="Z548" s="32">
        <f t="shared" si="135"/>
        <v>1.0658141036401503E-14</v>
      </c>
      <c r="AA548" s="32">
        <f t="shared" si="135"/>
        <v>1.0658141036401503E-14</v>
      </c>
      <c r="AB548" s="32">
        <f t="shared" si="135"/>
        <v>1.0658141036401503E-14</v>
      </c>
      <c r="AC548" s="32">
        <f t="shared" si="135"/>
        <v>1.0658141036401503E-14</v>
      </c>
      <c r="AD548" s="32">
        <f t="shared" si="135"/>
        <v>1.0658141036401503E-14</v>
      </c>
      <c r="AE548" s="32">
        <f t="shared" si="135"/>
        <v>1.0658141036401503E-14</v>
      </c>
    </row>
    <row r="550" spans="1:31" x14ac:dyDescent="0.45">
      <c r="A550" s="28" t="s">
        <v>1297</v>
      </c>
      <c r="B550" s="5" t="s">
        <v>53</v>
      </c>
      <c r="C550" s="5" t="s">
        <v>117</v>
      </c>
      <c r="D550" s="5">
        <v>2</v>
      </c>
      <c r="E550" s="5" t="s">
        <v>1159</v>
      </c>
      <c r="K550" s="18"/>
      <c r="L550" s="18">
        <v>5.4510150816191896</v>
      </c>
      <c r="M550" s="18">
        <v>5.1193563062624801</v>
      </c>
      <c r="N550" s="18">
        <v>5.08218458640407</v>
      </c>
      <c r="O550" s="18">
        <v>5.08218458640407</v>
      </c>
      <c r="P550" s="18">
        <v>5.08218458640407</v>
      </c>
      <c r="Q550" s="18">
        <v>5.7796845864040698</v>
      </c>
      <c r="R550" s="18">
        <v>6.4771845864040696</v>
      </c>
      <c r="S550" s="18">
        <v>7.1746845864040703</v>
      </c>
      <c r="T550" s="18">
        <v>7.87218458640407</v>
      </c>
      <c r="U550" s="18">
        <v>8.5696845864040707</v>
      </c>
      <c r="V550" s="18">
        <v>9.2671845864040705</v>
      </c>
      <c r="W550" s="18">
        <v>9.9646845864040703</v>
      </c>
      <c r="X550" s="18">
        <v>10.6621845864041</v>
      </c>
      <c r="Y550" s="18">
        <v>11.3596845864041</v>
      </c>
      <c r="Z550" s="18">
        <v>12.0571845864041</v>
      </c>
      <c r="AA550" s="18">
        <v>12.7546845864041</v>
      </c>
      <c r="AB550" s="18">
        <v>13.452184586404099</v>
      </c>
      <c r="AC550" s="18">
        <v>14.149684586404099</v>
      </c>
      <c r="AD550" s="18">
        <v>14.847184586404101</v>
      </c>
      <c r="AE550" s="18">
        <v>15.544684586404101</v>
      </c>
    </row>
    <row r="551" spans="1:31" x14ac:dyDescent="0.45">
      <c r="A551" s="28" t="s">
        <v>1297</v>
      </c>
      <c r="B551" s="5" t="s">
        <v>53</v>
      </c>
      <c r="C551" s="5" t="s">
        <v>117</v>
      </c>
      <c r="D551" s="5">
        <v>2</v>
      </c>
      <c r="E551" s="5" t="s">
        <v>1160</v>
      </c>
      <c r="K551" s="18">
        <f>INDEX(Mitigation_Industry!K:K,MATCH($A551,Mitigation_Industry!$H:$H,0))</f>
        <v>6.0634636156729096</v>
      </c>
      <c r="L551" s="18">
        <f>INDEX(Mitigation_Industry!L:L,MATCH($A551,Mitigation_Industry!$H:$H,0))</f>
        <v>5.4510150816191896</v>
      </c>
      <c r="M551" s="18">
        <f>INDEX(Mitigation_Industry!M:M,MATCH($A551,Mitigation_Industry!$H:$H,0))</f>
        <v>5.1193563062624801</v>
      </c>
      <c r="N551" s="18">
        <f>INDEX(Mitigation_Industry!N:N,MATCH($A551,Mitigation_Industry!$H:$H,0))</f>
        <v>5.08218458640407</v>
      </c>
      <c r="O551" s="18">
        <f>INDEX(Mitigation_Industry!O:O,MATCH($A551,Mitigation_Industry!$H:$H,0))</f>
        <v>5.08218458640407</v>
      </c>
      <c r="P551" s="18">
        <f>INDEX(Mitigation_Industry!P:P,MATCH($A551,Mitigation_Industry!$H:$H,0))</f>
        <v>5.08218458640407</v>
      </c>
      <c r="Q551" s="18">
        <f>INDEX(Mitigation_Industry!Q:Q,MATCH($A551,Mitigation_Industry!$H:$H,0))</f>
        <v>5.7796845864040698</v>
      </c>
      <c r="R551" s="18">
        <f>INDEX(Mitigation_Industry!R:R,MATCH($A551,Mitigation_Industry!$H:$H,0))</f>
        <v>6.4771845864040696</v>
      </c>
      <c r="S551" s="18">
        <f>INDEX(Mitigation_Industry!S:S,MATCH($A551,Mitigation_Industry!$H:$H,0))</f>
        <v>7.1746845864040703</v>
      </c>
      <c r="T551" s="18">
        <f>INDEX(Mitigation_Industry!T:T,MATCH($A551,Mitigation_Industry!$H:$H,0))</f>
        <v>7.87218458640407</v>
      </c>
      <c r="U551" s="18">
        <f>INDEX(Mitigation_Industry!U:U,MATCH($A551,Mitigation_Industry!$H:$H,0))</f>
        <v>8.5696845864040707</v>
      </c>
      <c r="V551" s="18">
        <f>INDEX(Mitigation_Industry!V:V,MATCH($A551,Mitigation_Industry!$H:$H,0))</f>
        <v>9.2671845864040705</v>
      </c>
      <c r="W551" s="18">
        <f>INDEX(Mitigation_Industry!W:W,MATCH($A551,Mitigation_Industry!$H:$H,0))</f>
        <v>9.9646845864040703</v>
      </c>
      <c r="X551" s="18">
        <f>INDEX(Mitigation_Industry!X:X,MATCH($A551,Mitigation_Industry!$H:$H,0))</f>
        <v>10.66218458640407</v>
      </c>
      <c r="Y551" s="18">
        <f>INDEX(Mitigation_Industry!Y:Y,MATCH($A551,Mitigation_Industry!$H:$H,0))</f>
        <v>11.35968458640407</v>
      </c>
      <c r="Z551" s="18">
        <f>INDEX(Mitigation_Industry!Z:Z,MATCH($A551,Mitigation_Industry!$H:$H,0))</f>
        <v>12.05718458640407</v>
      </c>
      <c r="AA551" s="18">
        <f>INDEX(Mitigation_Industry!AA:AA,MATCH($A551,Mitigation_Industry!$H:$H,0))</f>
        <v>12.754684586404071</v>
      </c>
      <c r="AB551" s="18">
        <f>INDEX(Mitigation_Industry!AB:AB,MATCH($A551,Mitigation_Industry!$H:$H,0))</f>
        <v>13.452184586404071</v>
      </c>
      <c r="AC551" s="18">
        <f>INDEX(Mitigation_Industry!AC:AC,MATCH($A551,Mitigation_Industry!$H:$H,0))</f>
        <v>14.149684586404071</v>
      </c>
      <c r="AD551" s="18">
        <f>INDEX(Mitigation_Industry!AD:AD,MATCH($A551,Mitigation_Industry!$H:$H,0))</f>
        <v>14.847184586404071</v>
      </c>
      <c r="AE551" s="18">
        <f>INDEX(Mitigation_Industry!AE:AE,MATCH($A551,Mitigation_Industry!$H:$H,0))</f>
        <v>15.54468458640407</v>
      </c>
    </row>
    <row r="552" spans="1:31" x14ac:dyDescent="0.45">
      <c r="A552" s="28" t="s">
        <v>1297</v>
      </c>
      <c r="B552" s="5" t="s">
        <v>53</v>
      </c>
      <c r="C552" s="5" t="s">
        <v>117</v>
      </c>
      <c r="D552" s="5">
        <v>2</v>
      </c>
      <c r="E552" s="2" t="s">
        <v>1161</v>
      </c>
      <c r="F552" s="31">
        <f>MAX(MAX(L552:AE552),-MIN(L552:AE552))</f>
        <v>3.0198066269804258E-14</v>
      </c>
      <c r="K552" s="32">
        <f t="shared" ref="K552:AE552" si="136">IF(ISNUMBER(K550),IF(ISNUMBER(K551),K551-K550,999999),0)</f>
        <v>0</v>
      </c>
      <c r="L552" s="32">
        <f t="shared" si="136"/>
        <v>0</v>
      </c>
      <c r="M552" s="32">
        <f t="shared" si="136"/>
        <v>0</v>
      </c>
      <c r="N552" s="32">
        <f t="shared" si="136"/>
        <v>0</v>
      </c>
      <c r="O552" s="32">
        <f t="shared" si="136"/>
        <v>0</v>
      </c>
      <c r="P552" s="32">
        <f t="shared" si="136"/>
        <v>0</v>
      </c>
      <c r="Q552" s="32">
        <f t="shared" si="136"/>
        <v>0</v>
      </c>
      <c r="R552" s="32">
        <f t="shared" si="136"/>
        <v>0</v>
      </c>
      <c r="S552" s="32">
        <f t="shared" si="136"/>
        <v>0</v>
      </c>
      <c r="T552" s="32">
        <f t="shared" si="136"/>
        <v>0</v>
      </c>
      <c r="U552" s="32">
        <f t="shared" si="136"/>
        <v>0</v>
      </c>
      <c r="V552" s="32">
        <f t="shared" si="136"/>
        <v>0</v>
      </c>
      <c r="W552" s="32">
        <f t="shared" si="136"/>
        <v>0</v>
      </c>
      <c r="X552" s="32">
        <f t="shared" si="136"/>
        <v>-3.0198066269804258E-14</v>
      </c>
      <c r="Y552" s="32">
        <f t="shared" si="136"/>
        <v>-3.0198066269804258E-14</v>
      </c>
      <c r="Z552" s="32">
        <f t="shared" si="136"/>
        <v>-3.0198066269804258E-14</v>
      </c>
      <c r="AA552" s="32">
        <f t="shared" si="136"/>
        <v>-2.8421709430404007E-14</v>
      </c>
      <c r="AB552" s="32">
        <f t="shared" si="136"/>
        <v>-2.8421709430404007E-14</v>
      </c>
      <c r="AC552" s="32">
        <f t="shared" si="136"/>
        <v>-2.8421709430404007E-14</v>
      </c>
      <c r="AD552" s="32">
        <f t="shared" si="136"/>
        <v>-3.0198066269804258E-14</v>
      </c>
      <c r="AE552" s="32">
        <f t="shared" si="136"/>
        <v>-3.0198066269804258E-14</v>
      </c>
    </row>
    <row r="554" spans="1:31" x14ac:dyDescent="0.45">
      <c r="A554" s="28" t="s">
        <v>1298</v>
      </c>
      <c r="B554" s="5" t="s">
        <v>55</v>
      </c>
      <c r="C554" s="5" t="s">
        <v>117</v>
      </c>
      <c r="D554" s="5">
        <v>2</v>
      </c>
      <c r="E554" s="5" t="s">
        <v>1159</v>
      </c>
      <c r="K554" s="18"/>
      <c r="L554" s="18">
        <v>0.61197797679140598</v>
      </c>
      <c r="M554" s="18">
        <v>0.61180974964187596</v>
      </c>
      <c r="N554" s="18">
        <v>0.60358310017790595</v>
      </c>
      <c r="O554" s="18">
        <v>0.60358310017790595</v>
      </c>
      <c r="P554" s="18">
        <v>0.60358310017790595</v>
      </c>
      <c r="Q554" s="18">
        <v>0.63251094334940605</v>
      </c>
      <c r="R554" s="18">
        <v>0.66143878652090604</v>
      </c>
      <c r="S554" s="18">
        <v>0.69036662969240603</v>
      </c>
      <c r="T554" s="18">
        <v>0.71929447286390602</v>
      </c>
      <c r="U554" s="18">
        <v>0.74822231603540601</v>
      </c>
      <c r="V554" s="18">
        <v>0.777150159206906</v>
      </c>
      <c r="W554" s="18">
        <v>0.80607800237840599</v>
      </c>
      <c r="X554" s="18">
        <v>0.83500584554990598</v>
      </c>
      <c r="Y554" s="18">
        <v>0.86393368872140597</v>
      </c>
      <c r="Z554" s="18">
        <v>0.89286153189290596</v>
      </c>
      <c r="AA554" s="18">
        <v>0.92178937506440595</v>
      </c>
      <c r="AB554" s="18">
        <v>0.95071721823590605</v>
      </c>
      <c r="AC554" s="18">
        <v>0.97964506140740604</v>
      </c>
      <c r="AD554" s="18">
        <v>1.00857290457891</v>
      </c>
      <c r="AE554" s="18">
        <v>1.0375007477504099</v>
      </c>
    </row>
    <row r="555" spans="1:31" x14ac:dyDescent="0.45">
      <c r="A555" s="28" t="s">
        <v>1298</v>
      </c>
      <c r="B555" s="5" t="s">
        <v>55</v>
      </c>
      <c r="C555" s="5" t="s">
        <v>117</v>
      </c>
      <c r="D555" s="5">
        <v>2</v>
      </c>
      <c r="E555" s="5" t="s">
        <v>1160</v>
      </c>
      <c r="K555" s="18">
        <f>INDEX(Mitigation_Industry!K:K,MATCH($A555,Mitigation_Industry!$H:$H,0))</f>
        <v>0.67114653332181595</v>
      </c>
      <c r="L555" s="18">
        <f>INDEX(Mitigation_Industry!L:L,MATCH($A555,Mitigation_Industry!$H:$H,0))</f>
        <v>0.61197797679140598</v>
      </c>
      <c r="M555" s="18">
        <f>INDEX(Mitigation_Industry!M:M,MATCH($A555,Mitigation_Industry!$H:$H,0))</f>
        <v>0.61180974964187596</v>
      </c>
      <c r="N555" s="18">
        <f>INDEX(Mitigation_Industry!N:N,MATCH($A555,Mitigation_Industry!$H:$H,0))</f>
        <v>0.60358310017790595</v>
      </c>
      <c r="O555" s="18">
        <f>INDEX(Mitigation_Industry!O:O,MATCH($A555,Mitigation_Industry!$H:$H,0))</f>
        <v>0.60358310017790595</v>
      </c>
      <c r="P555" s="18">
        <f>INDEX(Mitigation_Industry!P:P,MATCH($A555,Mitigation_Industry!$H:$H,0))</f>
        <v>0.60358310017790595</v>
      </c>
      <c r="Q555" s="18">
        <f>INDEX(Mitigation_Industry!Q:Q,MATCH($A555,Mitigation_Industry!$H:$H,0))</f>
        <v>0.63251094334940594</v>
      </c>
      <c r="R555" s="18">
        <f>INDEX(Mitigation_Industry!R:R,MATCH($A555,Mitigation_Industry!$H:$H,0))</f>
        <v>0.66143878652090593</v>
      </c>
      <c r="S555" s="18">
        <f>INDEX(Mitigation_Industry!S:S,MATCH($A555,Mitigation_Industry!$H:$H,0))</f>
        <v>0.69036662969240592</v>
      </c>
      <c r="T555" s="18">
        <f>INDEX(Mitigation_Industry!T:T,MATCH($A555,Mitigation_Industry!$H:$H,0))</f>
        <v>0.71929447286390591</v>
      </c>
      <c r="U555" s="18">
        <f>INDEX(Mitigation_Industry!U:U,MATCH($A555,Mitigation_Industry!$H:$H,0))</f>
        <v>0.74822231603540601</v>
      </c>
      <c r="V555" s="18">
        <f>INDEX(Mitigation_Industry!V:V,MATCH($A555,Mitigation_Industry!$H:$H,0))</f>
        <v>0.777150159206906</v>
      </c>
      <c r="W555" s="18">
        <f>INDEX(Mitigation_Industry!W:W,MATCH($A555,Mitigation_Industry!$H:$H,0))</f>
        <v>0.80607800237840599</v>
      </c>
      <c r="X555" s="18">
        <f>INDEX(Mitigation_Industry!X:X,MATCH($A555,Mitigation_Industry!$H:$H,0))</f>
        <v>0.83500584554990598</v>
      </c>
      <c r="Y555" s="18">
        <f>INDEX(Mitigation_Industry!Y:Y,MATCH($A555,Mitigation_Industry!$H:$H,0))</f>
        <v>0.86393368872140597</v>
      </c>
      <c r="Z555" s="18">
        <f>INDEX(Mitigation_Industry!Z:Z,MATCH($A555,Mitigation_Industry!$H:$H,0))</f>
        <v>0.89286153189290596</v>
      </c>
      <c r="AA555" s="18">
        <f>INDEX(Mitigation_Industry!AA:AA,MATCH($A555,Mitigation_Industry!$H:$H,0))</f>
        <v>0.92178937506440595</v>
      </c>
      <c r="AB555" s="18">
        <f>INDEX(Mitigation_Industry!AB:AB,MATCH($A555,Mitigation_Industry!$H:$H,0))</f>
        <v>0.95071721823590605</v>
      </c>
      <c r="AC555" s="18">
        <f>INDEX(Mitigation_Industry!AC:AC,MATCH($A555,Mitigation_Industry!$H:$H,0))</f>
        <v>0.97964506140740593</v>
      </c>
      <c r="AD555" s="18">
        <f>INDEX(Mitigation_Industry!AD:AD,MATCH($A555,Mitigation_Industry!$H:$H,0))</f>
        <v>1.008572904578906</v>
      </c>
      <c r="AE555" s="18">
        <f>INDEX(Mitigation_Industry!AE:AE,MATCH($A555,Mitigation_Industry!$H:$H,0))</f>
        <v>1.0375007477504061</v>
      </c>
    </row>
    <row r="556" spans="1:31" x14ac:dyDescent="0.45">
      <c r="A556" s="28" t="s">
        <v>1298</v>
      </c>
      <c r="B556" s="5" t="s">
        <v>55</v>
      </c>
      <c r="C556" s="5" t="s">
        <v>117</v>
      </c>
      <c r="D556" s="5">
        <v>2</v>
      </c>
      <c r="E556" s="2" t="s">
        <v>1161</v>
      </c>
      <c r="F556" s="31">
        <f>MAX(MAX(L556:AE556),-MIN(L556:AE556))</f>
        <v>3.9968028886505635E-15</v>
      </c>
      <c r="K556" s="32">
        <f t="shared" ref="K556:AE556" si="137">IF(ISNUMBER(K554),IF(ISNUMBER(K555),K555-K554,999999),0)</f>
        <v>0</v>
      </c>
      <c r="L556" s="32">
        <f t="shared" si="137"/>
        <v>0</v>
      </c>
      <c r="M556" s="32">
        <f t="shared" si="137"/>
        <v>0</v>
      </c>
      <c r="N556" s="32">
        <f t="shared" si="137"/>
        <v>0</v>
      </c>
      <c r="O556" s="32">
        <f t="shared" si="137"/>
        <v>0</v>
      </c>
      <c r="P556" s="32">
        <f t="shared" si="137"/>
        <v>0</v>
      </c>
      <c r="Q556" s="32">
        <f t="shared" si="137"/>
        <v>-1.1102230246251565E-16</v>
      </c>
      <c r="R556" s="32">
        <f t="shared" si="137"/>
        <v>-1.1102230246251565E-16</v>
      </c>
      <c r="S556" s="32">
        <f t="shared" si="137"/>
        <v>-1.1102230246251565E-16</v>
      </c>
      <c r="T556" s="32">
        <f t="shared" si="137"/>
        <v>-1.1102230246251565E-16</v>
      </c>
      <c r="U556" s="32">
        <f t="shared" si="137"/>
        <v>0</v>
      </c>
      <c r="V556" s="32">
        <f t="shared" si="137"/>
        <v>0</v>
      </c>
      <c r="W556" s="32">
        <f t="shared" si="137"/>
        <v>0</v>
      </c>
      <c r="X556" s="32">
        <f t="shared" si="137"/>
        <v>0</v>
      </c>
      <c r="Y556" s="32">
        <f t="shared" si="137"/>
        <v>0</v>
      </c>
      <c r="Z556" s="32">
        <f t="shared" si="137"/>
        <v>0</v>
      </c>
      <c r="AA556" s="32">
        <f t="shared" si="137"/>
        <v>0</v>
      </c>
      <c r="AB556" s="32">
        <f t="shared" si="137"/>
        <v>0</v>
      </c>
      <c r="AC556" s="32">
        <f t="shared" si="137"/>
        <v>-1.1102230246251565E-16</v>
      </c>
      <c r="AD556" s="32">
        <f t="shared" si="137"/>
        <v>-3.9968028886505635E-15</v>
      </c>
      <c r="AE556" s="32">
        <f t="shared" si="137"/>
        <v>-3.7747582837255322E-15</v>
      </c>
    </row>
    <row r="558" spans="1:31" x14ac:dyDescent="0.45">
      <c r="A558" s="28" t="s">
        <v>1299</v>
      </c>
      <c r="B558" s="5" t="s">
        <v>58</v>
      </c>
      <c r="C558" s="5" t="s">
        <v>117</v>
      </c>
      <c r="D558" s="5">
        <v>2</v>
      </c>
      <c r="E558" s="5" t="s">
        <v>1159</v>
      </c>
      <c r="K558" s="18"/>
      <c r="L558" s="18">
        <v>0.49458873084106802</v>
      </c>
      <c r="M558" s="18">
        <v>0.50778654720250105</v>
      </c>
      <c r="N558" s="18">
        <v>0.47043642679561698</v>
      </c>
      <c r="O558" s="18">
        <v>0.47043642679561698</v>
      </c>
      <c r="P558" s="18">
        <v>0.47043642679561698</v>
      </c>
      <c r="Q558" s="18">
        <v>0.50344686565449204</v>
      </c>
      <c r="R558" s="18">
        <v>0.53645730451336704</v>
      </c>
      <c r="S558" s="18">
        <v>0.56946774337224204</v>
      </c>
      <c r="T558" s="18">
        <v>0.60247818223111704</v>
      </c>
      <c r="U558" s="18">
        <v>0.63548862108999205</v>
      </c>
      <c r="V558" s="18">
        <v>0.66849905994886705</v>
      </c>
      <c r="W558" s="18">
        <v>0.70150949880774205</v>
      </c>
      <c r="X558" s="18">
        <v>0.73451993766661705</v>
      </c>
      <c r="Y558" s="18">
        <v>0.76753037652549205</v>
      </c>
      <c r="Z558" s="18">
        <v>0.80054081538436705</v>
      </c>
      <c r="AA558" s="18">
        <v>0.83355125424324195</v>
      </c>
      <c r="AB558" s="18">
        <v>0.86656169310211695</v>
      </c>
      <c r="AC558" s="18">
        <v>0.89957213196099195</v>
      </c>
      <c r="AD558" s="18">
        <v>0.93258257081986695</v>
      </c>
      <c r="AE558" s="18">
        <v>0.96559300967874195</v>
      </c>
    </row>
    <row r="559" spans="1:31" x14ac:dyDescent="0.45">
      <c r="A559" s="28" t="s">
        <v>1299</v>
      </c>
      <c r="B559" s="5" t="s">
        <v>58</v>
      </c>
      <c r="C559" s="5" t="s">
        <v>117</v>
      </c>
      <c r="D559" s="5">
        <v>2</v>
      </c>
      <c r="E559" s="5" t="s">
        <v>1160</v>
      </c>
      <c r="K559" s="18">
        <f>INDEX(Mitigation_Industry!K:K,MATCH($A559,Mitigation_Industry!$H:$H,0))</f>
        <v>0.55971121315568795</v>
      </c>
      <c r="L559" s="18">
        <f>INDEX(Mitigation_Industry!L:L,MATCH($A559,Mitigation_Industry!$H:$H,0))</f>
        <v>0.49458873084106802</v>
      </c>
      <c r="M559" s="18">
        <f>INDEX(Mitigation_Industry!M:M,MATCH($A559,Mitigation_Industry!$H:$H,0))</f>
        <v>0.50778654720250105</v>
      </c>
      <c r="N559" s="18">
        <f>INDEX(Mitigation_Industry!N:N,MATCH($A559,Mitigation_Industry!$H:$H,0))</f>
        <v>0.47043642679561698</v>
      </c>
      <c r="O559" s="18">
        <f>INDEX(Mitigation_Industry!O:O,MATCH($A559,Mitigation_Industry!$H:$H,0))</f>
        <v>0.47043642679561698</v>
      </c>
      <c r="P559" s="18">
        <f>INDEX(Mitigation_Industry!P:P,MATCH($A559,Mitigation_Industry!$H:$H,0))</f>
        <v>0.47043642679561698</v>
      </c>
      <c r="Q559" s="18">
        <f>INDEX(Mitigation_Industry!Q:Q,MATCH($A559,Mitigation_Industry!$H:$H,0))</f>
        <v>0.50344686565449193</v>
      </c>
      <c r="R559" s="18">
        <f>INDEX(Mitigation_Industry!R:R,MATCH($A559,Mitigation_Industry!$H:$H,0))</f>
        <v>0.53645730451336693</v>
      </c>
      <c r="S559" s="18">
        <f>INDEX(Mitigation_Industry!S:S,MATCH($A559,Mitigation_Industry!$H:$H,0))</f>
        <v>0.56946774337224193</v>
      </c>
      <c r="T559" s="18">
        <f>INDEX(Mitigation_Industry!T:T,MATCH($A559,Mitigation_Industry!$H:$H,0))</f>
        <v>0.60247818223111693</v>
      </c>
      <c r="U559" s="18">
        <f>INDEX(Mitigation_Industry!U:U,MATCH($A559,Mitigation_Industry!$H:$H,0))</f>
        <v>0.63548862108999193</v>
      </c>
      <c r="V559" s="18">
        <f>INDEX(Mitigation_Industry!V:V,MATCH($A559,Mitigation_Industry!$H:$H,0))</f>
        <v>0.66849905994886694</v>
      </c>
      <c r="W559" s="18">
        <f>INDEX(Mitigation_Industry!W:W,MATCH($A559,Mitigation_Industry!$H:$H,0))</f>
        <v>0.70150949880774194</v>
      </c>
      <c r="X559" s="18">
        <f>INDEX(Mitigation_Industry!X:X,MATCH($A559,Mitigation_Industry!$H:$H,0))</f>
        <v>0.73451993766661694</v>
      </c>
      <c r="Y559" s="18">
        <f>INDEX(Mitigation_Industry!Y:Y,MATCH($A559,Mitigation_Industry!$H:$H,0))</f>
        <v>0.76753037652549194</v>
      </c>
      <c r="Z559" s="18">
        <f>INDEX(Mitigation_Industry!Z:Z,MATCH($A559,Mitigation_Industry!$H:$H,0))</f>
        <v>0.80054081538436694</v>
      </c>
      <c r="AA559" s="18">
        <f>INDEX(Mitigation_Industry!AA:AA,MATCH($A559,Mitigation_Industry!$H:$H,0))</f>
        <v>0.83355125424324195</v>
      </c>
      <c r="AB559" s="18">
        <f>INDEX(Mitigation_Industry!AB:AB,MATCH($A559,Mitigation_Industry!$H:$H,0))</f>
        <v>0.86656169310211695</v>
      </c>
      <c r="AC559" s="18">
        <f>INDEX(Mitigation_Industry!AC:AC,MATCH($A559,Mitigation_Industry!$H:$H,0))</f>
        <v>0.89957213196099195</v>
      </c>
      <c r="AD559" s="18">
        <f>INDEX(Mitigation_Industry!AD:AD,MATCH($A559,Mitigation_Industry!$H:$H,0))</f>
        <v>0.93258257081986695</v>
      </c>
      <c r="AE559" s="18">
        <f>INDEX(Mitigation_Industry!AE:AE,MATCH($A559,Mitigation_Industry!$H:$H,0))</f>
        <v>0.96559300967874195</v>
      </c>
    </row>
    <row r="560" spans="1:31" x14ac:dyDescent="0.45">
      <c r="A560" s="28" t="s">
        <v>1299</v>
      </c>
      <c r="B560" s="5" t="s">
        <v>58</v>
      </c>
      <c r="C560" s="5" t="s">
        <v>117</v>
      </c>
      <c r="D560" s="5">
        <v>2</v>
      </c>
      <c r="E560" s="2" t="s">
        <v>1161</v>
      </c>
      <c r="F560" s="31">
        <f>MAX(MAX(L560:AE560),-MIN(L560:AE560))</f>
        <v>1.1102230246251565E-16</v>
      </c>
      <c r="K560" s="32">
        <f t="shared" ref="K560:AE560" si="138">IF(ISNUMBER(K558),IF(ISNUMBER(K559),K559-K558,999999),0)</f>
        <v>0</v>
      </c>
      <c r="L560" s="32">
        <f t="shared" si="138"/>
        <v>0</v>
      </c>
      <c r="M560" s="32">
        <f t="shared" si="138"/>
        <v>0</v>
      </c>
      <c r="N560" s="32">
        <f t="shared" si="138"/>
        <v>0</v>
      </c>
      <c r="O560" s="32">
        <f t="shared" si="138"/>
        <v>0</v>
      </c>
      <c r="P560" s="32">
        <f t="shared" si="138"/>
        <v>0</v>
      </c>
      <c r="Q560" s="32">
        <f t="shared" si="138"/>
        <v>-1.1102230246251565E-16</v>
      </c>
      <c r="R560" s="32">
        <f t="shared" si="138"/>
        <v>-1.1102230246251565E-16</v>
      </c>
      <c r="S560" s="32">
        <f t="shared" si="138"/>
        <v>-1.1102230246251565E-16</v>
      </c>
      <c r="T560" s="32">
        <f t="shared" si="138"/>
        <v>-1.1102230246251565E-16</v>
      </c>
      <c r="U560" s="32">
        <f t="shared" si="138"/>
        <v>-1.1102230246251565E-16</v>
      </c>
      <c r="V560" s="32">
        <f t="shared" si="138"/>
        <v>-1.1102230246251565E-16</v>
      </c>
      <c r="W560" s="32">
        <f t="shared" si="138"/>
        <v>-1.1102230246251565E-16</v>
      </c>
      <c r="X560" s="32">
        <f t="shared" si="138"/>
        <v>-1.1102230246251565E-16</v>
      </c>
      <c r="Y560" s="32">
        <f t="shared" si="138"/>
        <v>-1.1102230246251565E-16</v>
      </c>
      <c r="Z560" s="32">
        <f t="shared" si="138"/>
        <v>-1.1102230246251565E-16</v>
      </c>
      <c r="AA560" s="32">
        <f t="shared" si="138"/>
        <v>0</v>
      </c>
      <c r="AB560" s="32">
        <f t="shared" si="138"/>
        <v>0</v>
      </c>
      <c r="AC560" s="32">
        <f t="shared" si="138"/>
        <v>0</v>
      </c>
      <c r="AD560" s="32">
        <f t="shared" si="138"/>
        <v>0</v>
      </c>
      <c r="AE560" s="32">
        <f t="shared" si="138"/>
        <v>0</v>
      </c>
    </row>
    <row r="562" spans="1:31" x14ac:dyDescent="0.45">
      <c r="A562" s="28" t="s">
        <v>1300</v>
      </c>
      <c r="B562" s="5" t="s">
        <v>60</v>
      </c>
      <c r="C562" s="5" t="s">
        <v>117</v>
      </c>
      <c r="D562" s="5">
        <v>2</v>
      </c>
      <c r="E562" s="5" t="s">
        <v>1159</v>
      </c>
      <c r="K562" s="18"/>
      <c r="L562" s="18">
        <v>0.15734473625227399</v>
      </c>
      <c r="M562" s="18">
        <v>0.164484037759277</v>
      </c>
      <c r="N562" s="18">
        <v>0.15070907780704901</v>
      </c>
      <c r="O562" s="18">
        <v>0.15070907780704901</v>
      </c>
      <c r="P562" s="18">
        <v>0.15070907780704901</v>
      </c>
      <c r="Q562" s="18">
        <v>0.172815160734345</v>
      </c>
      <c r="R562" s="18">
        <v>0.19492124366163999</v>
      </c>
      <c r="S562" s="18">
        <v>0.217027326588936</v>
      </c>
      <c r="T562" s="18">
        <v>0.23913340951623199</v>
      </c>
      <c r="U562" s="18">
        <v>0.26123949244352701</v>
      </c>
      <c r="V562" s="18">
        <v>0.283345575370823</v>
      </c>
      <c r="W562" s="18">
        <v>0.30545165829811899</v>
      </c>
      <c r="X562" s="18">
        <v>0.32755774122541498</v>
      </c>
      <c r="Y562" s="18">
        <v>0.34966382415271002</v>
      </c>
      <c r="Z562" s="18">
        <v>0.37176990708000601</v>
      </c>
      <c r="AA562" s="18">
        <v>0.393875990007302</v>
      </c>
      <c r="AB562" s="18">
        <v>0.41598207293459699</v>
      </c>
      <c r="AC562" s="18">
        <v>0.43808815586189298</v>
      </c>
      <c r="AD562" s="18">
        <v>0.46019423878918903</v>
      </c>
      <c r="AE562" s="18">
        <v>0.48230032171648402</v>
      </c>
    </row>
    <row r="563" spans="1:31" x14ac:dyDescent="0.45">
      <c r="A563" s="28" t="s">
        <v>1300</v>
      </c>
      <c r="B563" s="5" t="s">
        <v>60</v>
      </c>
      <c r="C563" s="5" t="s">
        <v>117</v>
      </c>
      <c r="D563" s="5">
        <v>2</v>
      </c>
      <c r="E563" s="5" t="s">
        <v>1160</v>
      </c>
      <c r="K563" s="18">
        <f>INDEX(Mitigation_Industry!K:K,MATCH($A563,Mitigation_Industry!$H:$H,0))</f>
        <v>0.20036669112673799</v>
      </c>
      <c r="L563" s="18">
        <f>INDEX(Mitigation_Industry!L:L,MATCH($A563,Mitigation_Industry!$H:$H,0))</f>
        <v>0.15734473625227399</v>
      </c>
      <c r="M563" s="18">
        <f>INDEX(Mitigation_Industry!M:M,MATCH($A563,Mitigation_Industry!$H:$H,0))</f>
        <v>0.164484037759277</v>
      </c>
      <c r="N563" s="18">
        <f>INDEX(Mitigation_Industry!N:N,MATCH($A563,Mitigation_Industry!$H:$H,0))</f>
        <v>0.15070907780704901</v>
      </c>
      <c r="O563" s="18">
        <f>INDEX(Mitigation_Industry!O:O,MATCH($A563,Mitigation_Industry!$H:$H,0))</f>
        <v>0.15070907780704901</v>
      </c>
      <c r="P563" s="18">
        <f>INDEX(Mitigation_Industry!P:P,MATCH($A563,Mitigation_Industry!$H:$H,0))</f>
        <v>0.15070907780704901</v>
      </c>
      <c r="Q563" s="18">
        <f>INDEX(Mitigation_Industry!Q:Q,MATCH($A563,Mitigation_Industry!$H:$H,0))</f>
        <v>0.17281516073434466</v>
      </c>
      <c r="R563" s="18">
        <f>INDEX(Mitigation_Industry!R:R,MATCH($A563,Mitigation_Industry!$H:$H,0))</f>
        <v>0.19492124366164035</v>
      </c>
      <c r="S563" s="18">
        <f>INDEX(Mitigation_Industry!S:S,MATCH($A563,Mitigation_Industry!$H:$H,0))</f>
        <v>0.217027326588936</v>
      </c>
      <c r="T563" s="18">
        <f>INDEX(Mitigation_Industry!T:T,MATCH($A563,Mitigation_Industry!$H:$H,0))</f>
        <v>0.23913340951623169</v>
      </c>
      <c r="U563" s="18">
        <f>INDEX(Mitigation_Industry!U:U,MATCH($A563,Mitigation_Industry!$H:$H,0))</f>
        <v>0.26123949244352734</v>
      </c>
      <c r="V563" s="18">
        <f>INDEX(Mitigation_Industry!V:V,MATCH($A563,Mitigation_Industry!$H:$H,0))</f>
        <v>0.283345575370823</v>
      </c>
      <c r="W563" s="18">
        <f>INDEX(Mitigation_Industry!W:W,MATCH($A563,Mitigation_Industry!$H:$H,0))</f>
        <v>0.30545165829811871</v>
      </c>
      <c r="X563" s="18">
        <f>INDEX(Mitigation_Industry!X:X,MATCH($A563,Mitigation_Industry!$H:$H,0))</f>
        <v>0.32755774122541437</v>
      </c>
      <c r="Y563" s="18">
        <f>INDEX(Mitigation_Industry!Y:Y,MATCH($A563,Mitigation_Industry!$H:$H,0))</f>
        <v>0.34966382415271002</v>
      </c>
      <c r="Z563" s="18">
        <f>INDEX(Mitigation_Industry!Z:Z,MATCH($A563,Mitigation_Industry!$H:$H,0))</f>
        <v>0.37176990708000568</v>
      </c>
      <c r="AA563" s="18">
        <f>INDEX(Mitigation_Industry!AA:AA,MATCH($A563,Mitigation_Industry!$H:$H,0))</f>
        <v>0.39387599000730134</v>
      </c>
      <c r="AB563" s="18">
        <f>INDEX(Mitigation_Industry!AB:AB,MATCH($A563,Mitigation_Industry!$H:$H,0))</f>
        <v>0.41598207293459699</v>
      </c>
      <c r="AC563" s="18">
        <f>INDEX(Mitigation_Industry!AC:AC,MATCH($A563,Mitigation_Industry!$H:$H,0))</f>
        <v>0.4380881558618927</v>
      </c>
      <c r="AD563" s="18">
        <f>INDEX(Mitigation_Industry!AD:AD,MATCH($A563,Mitigation_Industry!$H:$H,0))</f>
        <v>0.46019423878918836</v>
      </c>
      <c r="AE563" s="18">
        <f>INDEX(Mitigation_Industry!AE:AE,MATCH($A563,Mitigation_Industry!$H:$H,0))</f>
        <v>0.48230032171648402</v>
      </c>
    </row>
    <row r="564" spans="1:31" x14ac:dyDescent="0.45">
      <c r="A564" s="28" t="s">
        <v>1300</v>
      </c>
      <c r="B564" s="5" t="s">
        <v>60</v>
      </c>
      <c r="C564" s="5" t="s">
        <v>117</v>
      </c>
      <c r="D564" s="5">
        <v>2</v>
      </c>
      <c r="E564" s="2" t="s">
        <v>1161</v>
      </c>
      <c r="F564" s="31">
        <f>MAX(MAX(L564:AE564),-MIN(L564:AE564))</f>
        <v>6.6613381477509392E-16</v>
      </c>
      <c r="K564" s="32">
        <f t="shared" ref="K564:AE564" si="139">IF(ISNUMBER(K562),IF(ISNUMBER(K563),K563-K562,999999),0)</f>
        <v>0</v>
      </c>
      <c r="L564" s="32">
        <f t="shared" si="139"/>
        <v>0</v>
      </c>
      <c r="M564" s="32">
        <f t="shared" si="139"/>
        <v>0</v>
      </c>
      <c r="N564" s="32">
        <f t="shared" si="139"/>
        <v>0</v>
      </c>
      <c r="O564" s="32">
        <f t="shared" si="139"/>
        <v>0</v>
      </c>
      <c r="P564" s="32">
        <f t="shared" si="139"/>
        <v>0</v>
      </c>
      <c r="Q564" s="32">
        <f t="shared" si="139"/>
        <v>-3.3306690738754696E-16</v>
      </c>
      <c r="R564" s="32">
        <f t="shared" si="139"/>
        <v>3.6082248300317588E-16</v>
      </c>
      <c r="S564" s="32">
        <f t="shared" si="139"/>
        <v>0</v>
      </c>
      <c r="T564" s="32">
        <f t="shared" si="139"/>
        <v>-3.0531133177191805E-16</v>
      </c>
      <c r="U564" s="32">
        <f t="shared" si="139"/>
        <v>3.3306690738754696E-16</v>
      </c>
      <c r="V564" s="32">
        <f t="shared" si="139"/>
        <v>0</v>
      </c>
      <c r="W564" s="32">
        <f t="shared" si="139"/>
        <v>-2.7755575615628914E-16</v>
      </c>
      <c r="X564" s="32">
        <f t="shared" si="139"/>
        <v>-6.106226635438361E-16</v>
      </c>
      <c r="Y564" s="32">
        <f t="shared" si="139"/>
        <v>0</v>
      </c>
      <c r="Z564" s="32">
        <f t="shared" si="139"/>
        <v>-3.3306690738754696E-16</v>
      </c>
      <c r="AA564" s="32">
        <f t="shared" si="139"/>
        <v>-6.6613381477509392E-16</v>
      </c>
      <c r="AB564" s="32">
        <f t="shared" si="139"/>
        <v>0</v>
      </c>
      <c r="AC564" s="32">
        <f t="shared" si="139"/>
        <v>-2.7755575615628914E-16</v>
      </c>
      <c r="AD564" s="32">
        <f t="shared" si="139"/>
        <v>-6.6613381477509392E-16</v>
      </c>
      <c r="AE564" s="32">
        <f t="shared" si="139"/>
        <v>0</v>
      </c>
    </row>
    <row r="566" spans="1:31" x14ac:dyDescent="0.45">
      <c r="A566" s="28" t="s">
        <v>1301</v>
      </c>
      <c r="B566" s="5" t="s">
        <v>62</v>
      </c>
      <c r="C566" s="5" t="s">
        <v>117</v>
      </c>
      <c r="D566" s="5">
        <v>2</v>
      </c>
      <c r="E566" s="5" t="s">
        <v>1159</v>
      </c>
      <c r="K566" s="18"/>
      <c r="L566" s="18">
        <v>0.45642817050012802</v>
      </c>
      <c r="M566" s="18">
        <v>0.43168920195599497</v>
      </c>
      <c r="N566" s="18">
        <v>0.42507558395597</v>
      </c>
      <c r="O566" s="18">
        <v>0.42507558395597</v>
      </c>
      <c r="P566" s="18">
        <v>0.42507558395597</v>
      </c>
      <c r="Q566" s="18">
        <v>0.45706441406607901</v>
      </c>
      <c r="R566" s="18">
        <v>0.48905324417618701</v>
      </c>
      <c r="S566" s="18">
        <v>0.52104207428629601</v>
      </c>
      <c r="T566" s="18">
        <v>0.55303090439640401</v>
      </c>
      <c r="U566" s="18">
        <v>0.58501973450651301</v>
      </c>
      <c r="V566" s="18">
        <v>0.61700856461662101</v>
      </c>
      <c r="W566" s="18">
        <v>0.64899739472672902</v>
      </c>
      <c r="X566" s="18">
        <v>0.68098622483683802</v>
      </c>
      <c r="Y566" s="18">
        <v>0.71297505494694702</v>
      </c>
      <c r="Z566" s="18">
        <v>0.74496388505705502</v>
      </c>
      <c r="AA566" s="18">
        <v>0.77695271516716302</v>
      </c>
      <c r="AB566" s="18">
        <v>0.80894154527727202</v>
      </c>
      <c r="AC566" s="18">
        <v>0.84093037538738002</v>
      </c>
      <c r="AD566" s="18">
        <v>0.87291920549748903</v>
      </c>
      <c r="AE566" s="18">
        <v>0.90490803560759703</v>
      </c>
    </row>
    <row r="567" spans="1:31" x14ac:dyDescent="0.45">
      <c r="A567" s="28" t="s">
        <v>1301</v>
      </c>
      <c r="B567" s="5" t="s">
        <v>62</v>
      </c>
      <c r="C567" s="5" t="s">
        <v>117</v>
      </c>
      <c r="D567" s="5">
        <v>2</v>
      </c>
      <c r="E567" s="5" t="s">
        <v>1160</v>
      </c>
      <c r="K567" s="18">
        <f>INDEX(Mitigation_Industry!K:K,MATCH($A567,Mitigation_Industry!$H:$H,0))</f>
        <v>0.48429424097343499</v>
      </c>
      <c r="L567" s="18">
        <f>INDEX(Mitigation_Industry!L:L,MATCH($A567,Mitigation_Industry!$H:$H,0))</f>
        <v>0.45642817050012802</v>
      </c>
      <c r="M567" s="18">
        <f>INDEX(Mitigation_Industry!M:M,MATCH($A567,Mitigation_Industry!$H:$H,0))</f>
        <v>0.43168920195599497</v>
      </c>
      <c r="N567" s="18">
        <f>INDEX(Mitigation_Industry!N:N,MATCH($A567,Mitigation_Industry!$H:$H,0))</f>
        <v>0.42507558395597</v>
      </c>
      <c r="O567" s="18">
        <f>INDEX(Mitigation_Industry!O:O,MATCH($A567,Mitigation_Industry!$H:$H,0))</f>
        <v>0.42507558395597</v>
      </c>
      <c r="P567" s="18">
        <f>INDEX(Mitigation_Industry!P:P,MATCH($A567,Mitigation_Industry!$H:$H,0))</f>
        <v>0.42507558395597</v>
      </c>
      <c r="Q567" s="18">
        <f>INDEX(Mitigation_Industry!Q:Q,MATCH($A567,Mitigation_Industry!$H:$H,0))</f>
        <v>0.45706441406607845</v>
      </c>
      <c r="R567" s="18">
        <f>INDEX(Mitigation_Industry!R:R,MATCH($A567,Mitigation_Industry!$H:$H,0))</f>
        <v>0.48905324417618695</v>
      </c>
      <c r="S567" s="18">
        <f>INDEX(Mitigation_Industry!S:S,MATCH($A567,Mitigation_Industry!$H:$H,0))</f>
        <v>0.52104207428629534</v>
      </c>
      <c r="T567" s="18">
        <f>INDEX(Mitigation_Industry!T:T,MATCH($A567,Mitigation_Industry!$H:$H,0))</f>
        <v>0.5530309043964039</v>
      </c>
      <c r="U567" s="18">
        <f>INDEX(Mitigation_Industry!U:U,MATCH($A567,Mitigation_Industry!$H:$H,0))</f>
        <v>0.58501973450651235</v>
      </c>
      <c r="V567" s="18">
        <f>INDEX(Mitigation_Industry!V:V,MATCH($A567,Mitigation_Industry!$H:$H,0))</f>
        <v>0.61700856461662079</v>
      </c>
      <c r="W567" s="18">
        <f>INDEX(Mitigation_Industry!W:W,MATCH($A567,Mitigation_Industry!$H:$H,0))</f>
        <v>0.64899739472672924</v>
      </c>
      <c r="X567" s="18">
        <f>INDEX(Mitigation_Industry!X:X,MATCH($A567,Mitigation_Industry!$H:$H,0))</f>
        <v>0.68098622483683768</v>
      </c>
      <c r="Y567" s="18">
        <f>INDEX(Mitigation_Industry!Y:Y,MATCH($A567,Mitigation_Industry!$H:$H,0))</f>
        <v>0.71297505494694624</v>
      </c>
      <c r="Z567" s="18">
        <f>INDEX(Mitigation_Industry!Z:Z,MATCH($A567,Mitigation_Industry!$H:$H,0))</f>
        <v>0.74496388505705469</v>
      </c>
      <c r="AA567" s="18">
        <f>INDEX(Mitigation_Industry!AA:AA,MATCH($A567,Mitigation_Industry!$H:$H,0))</f>
        <v>0.77695271516716313</v>
      </c>
      <c r="AB567" s="18">
        <f>INDEX(Mitigation_Industry!AB:AB,MATCH($A567,Mitigation_Industry!$H:$H,0))</f>
        <v>0.80894154527727158</v>
      </c>
      <c r="AC567" s="18">
        <f>INDEX(Mitigation_Industry!AC:AC,MATCH($A567,Mitigation_Industry!$H:$H,0))</f>
        <v>0.84093037538738002</v>
      </c>
      <c r="AD567" s="18">
        <f>INDEX(Mitigation_Industry!AD:AD,MATCH($A567,Mitigation_Industry!$H:$H,0))</f>
        <v>0.87291920549748858</v>
      </c>
      <c r="AE567" s="18">
        <f>INDEX(Mitigation_Industry!AE:AE,MATCH($A567,Mitigation_Industry!$H:$H,0))</f>
        <v>0.90490803560759692</v>
      </c>
    </row>
    <row r="568" spans="1:31" x14ac:dyDescent="0.45">
      <c r="A568" s="28" t="s">
        <v>1301</v>
      </c>
      <c r="B568" s="5" t="s">
        <v>62</v>
      </c>
      <c r="C568" s="5" t="s">
        <v>117</v>
      </c>
      <c r="D568" s="5">
        <v>2</v>
      </c>
      <c r="E568" s="2" t="s">
        <v>1161</v>
      </c>
      <c r="F568" s="31">
        <f>MAX(MAX(L568:AE568),-MIN(L568:AE568))</f>
        <v>7.7715611723760958E-16</v>
      </c>
      <c r="K568" s="32">
        <f t="shared" ref="K568:AE568" si="140">IF(ISNUMBER(K566),IF(ISNUMBER(K567),K567-K566,999999),0)</f>
        <v>0</v>
      </c>
      <c r="L568" s="32">
        <f t="shared" si="140"/>
        <v>0</v>
      </c>
      <c r="M568" s="32">
        <f t="shared" si="140"/>
        <v>0</v>
      </c>
      <c r="N568" s="32">
        <f t="shared" si="140"/>
        <v>0</v>
      </c>
      <c r="O568" s="32">
        <f t="shared" si="140"/>
        <v>0</v>
      </c>
      <c r="P568" s="32">
        <f t="shared" si="140"/>
        <v>0</v>
      </c>
      <c r="Q568" s="32">
        <f t="shared" si="140"/>
        <v>-5.5511151231257827E-16</v>
      </c>
      <c r="R568" s="32">
        <f t="shared" si="140"/>
        <v>-5.5511151231257827E-17</v>
      </c>
      <c r="S568" s="32">
        <f t="shared" si="140"/>
        <v>-6.6613381477509392E-16</v>
      </c>
      <c r="T568" s="32">
        <f t="shared" si="140"/>
        <v>-1.1102230246251565E-16</v>
      </c>
      <c r="U568" s="32">
        <f t="shared" si="140"/>
        <v>-6.6613381477509392E-16</v>
      </c>
      <c r="V568" s="32">
        <f t="shared" si="140"/>
        <v>-2.2204460492503131E-16</v>
      </c>
      <c r="W568" s="32">
        <f t="shared" si="140"/>
        <v>2.2204460492503131E-16</v>
      </c>
      <c r="X568" s="32">
        <f t="shared" si="140"/>
        <v>-3.3306690738754696E-16</v>
      </c>
      <c r="Y568" s="32">
        <f t="shared" si="140"/>
        <v>-7.7715611723760958E-16</v>
      </c>
      <c r="Z568" s="32">
        <f t="shared" si="140"/>
        <v>-3.3306690738754696E-16</v>
      </c>
      <c r="AA568" s="32">
        <f t="shared" si="140"/>
        <v>1.1102230246251565E-16</v>
      </c>
      <c r="AB568" s="32">
        <f t="shared" si="140"/>
        <v>-4.4408920985006262E-16</v>
      </c>
      <c r="AC568" s="32">
        <f t="shared" si="140"/>
        <v>0</v>
      </c>
      <c r="AD568" s="32">
        <f t="shared" si="140"/>
        <v>-4.4408920985006262E-16</v>
      </c>
      <c r="AE568" s="32">
        <f t="shared" si="140"/>
        <v>-1.1102230246251565E-16</v>
      </c>
    </row>
    <row r="570" spans="1:31" x14ac:dyDescent="0.45">
      <c r="A570" s="28" t="s">
        <v>1302</v>
      </c>
      <c r="B570" s="5" t="s">
        <v>64</v>
      </c>
      <c r="C570" s="5" t="s">
        <v>117</v>
      </c>
      <c r="D570" s="5">
        <v>2</v>
      </c>
      <c r="E570" s="5" t="s">
        <v>1159</v>
      </c>
      <c r="K570" s="18"/>
      <c r="L570" s="18">
        <v>34.4153703043132</v>
      </c>
      <c r="M570" s="18">
        <v>37.368960690431997</v>
      </c>
      <c r="N570" s="18">
        <v>28.982761101477301</v>
      </c>
      <c r="O570" s="18">
        <v>15</v>
      </c>
      <c r="P570" s="18">
        <v>24.2586300842555</v>
      </c>
      <c r="Q570" s="18">
        <v>18.963758196132499</v>
      </c>
      <c r="R570" s="18">
        <v>21.760345114010601</v>
      </c>
      <c r="S570" s="18">
        <v>26.079880691373599</v>
      </c>
      <c r="T570" s="18">
        <v>30.5936824452092</v>
      </c>
      <c r="U570" s="18">
        <v>34.990509739410101</v>
      </c>
      <c r="V570" s="18">
        <v>40.858059739410102</v>
      </c>
      <c r="W570" s="18">
        <v>46.725609739410103</v>
      </c>
      <c r="X570" s="18">
        <v>52.593159739410098</v>
      </c>
      <c r="Y570" s="18">
        <v>58.460709739410099</v>
      </c>
      <c r="Z570" s="18">
        <v>64.3282597394101</v>
      </c>
      <c r="AA570" s="18">
        <v>70.195809739410095</v>
      </c>
      <c r="AB570" s="18">
        <v>76.063359739410103</v>
      </c>
      <c r="AC570" s="18">
        <v>81.930909739410097</v>
      </c>
      <c r="AD570" s="18">
        <v>87.798459739410106</v>
      </c>
      <c r="AE570" s="18">
        <v>93.6660097394101</v>
      </c>
    </row>
    <row r="571" spans="1:31" x14ac:dyDescent="0.45">
      <c r="A571" s="28" t="s">
        <v>1302</v>
      </c>
      <c r="B571" s="5" t="s">
        <v>64</v>
      </c>
      <c r="C571" s="5" t="s">
        <v>117</v>
      </c>
      <c r="D571" s="5">
        <v>2</v>
      </c>
      <c r="E571" s="5" t="s">
        <v>1160</v>
      </c>
      <c r="K571" s="18">
        <f>INDEX(Mitigation_Industry!K:K,MATCH($A571,Mitigation_Industry!$H:$H,0))</f>
        <v>41.500338498868402</v>
      </c>
      <c r="L571" s="18">
        <f>INDEX(Mitigation_Industry!L:L,MATCH($A571,Mitigation_Industry!$H:$H,0))</f>
        <v>34.4153703043132</v>
      </c>
      <c r="M571" s="18">
        <f>INDEX(Mitigation_Industry!M:M,MATCH($A571,Mitigation_Industry!$H:$H,0))</f>
        <v>37.368960690431997</v>
      </c>
      <c r="N571" s="18">
        <f>INDEX(Mitigation_Industry!N:N,MATCH($A571,Mitigation_Industry!$H:$H,0))</f>
        <v>28.982761101477301</v>
      </c>
      <c r="O571" s="18">
        <f>INDEX(Mitigation_Industry!O:O,MATCH($A571,Mitigation_Industry!$H:$H,0))</f>
        <v>15</v>
      </c>
      <c r="P571" s="18">
        <f>INDEX(Mitigation_Industry!P:P,MATCH($A571,Mitigation_Industry!$H:$H,0))</f>
        <v>24.2586300842555</v>
      </c>
      <c r="Q571" s="18">
        <f>INDEX(Mitigation_Industry!Q:Q,MATCH($A571,Mitigation_Industry!$H:$H,0))</f>
        <v>18.963758196132499</v>
      </c>
      <c r="R571" s="18">
        <f>INDEX(Mitigation_Industry!R:R,MATCH($A571,Mitigation_Industry!$H:$H,0))</f>
        <v>21.760345114010597</v>
      </c>
      <c r="S571" s="18">
        <f>INDEX(Mitigation_Industry!S:S,MATCH($A571,Mitigation_Industry!$H:$H,0))</f>
        <v>26.079880691373621</v>
      </c>
      <c r="T571" s="18">
        <f>INDEX(Mitigation_Industry!T:T,MATCH($A571,Mitigation_Industry!$H:$H,0))</f>
        <v>30.593682445209218</v>
      </c>
      <c r="U571" s="18">
        <f>INDEX(Mitigation_Industry!U:U,MATCH($A571,Mitigation_Industry!$H:$H,0))</f>
        <v>34.990509739410058</v>
      </c>
      <c r="V571" s="18">
        <f>INDEX(Mitigation_Industry!V:V,MATCH($A571,Mitigation_Industry!$H:$H,0))</f>
        <v>40.858059739410059</v>
      </c>
      <c r="W571" s="18">
        <f>INDEX(Mitigation_Industry!W:W,MATCH($A571,Mitigation_Industry!$H:$H,0))</f>
        <v>46.725609739410054</v>
      </c>
      <c r="X571" s="18">
        <f>INDEX(Mitigation_Industry!X:X,MATCH($A571,Mitigation_Industry!$H:$H,0))</f>
        <v>52.593159739410055</v>
      </c>
      <c r="Y571" s="18">
        <f>INDEX(Mitigation_Industry!Y:Y,MATCH($A571,Mitigation_Industry!$H:$H,0))</f>
        <v>58.460709739410056</v>
      </c>
      <c r="Z571" s="18">
        <f>INDEX(Mitigation_Industry!Z:Z,MATCH($A571,Mitigation_Industry!$H:$H,0))</f>
        <v>64.328259739410072</v>
      </c>
      <c r="AA571" s="18">
        <f>INDEX(Mitigation_Industry!AA:AA,MATCH($A571,Mitigation_Industry!$H:$H,0))</f>
        <v>70.195809739410052</v>
      </c>
      <c r="AB571" s="18">
        <f>INDEX(Mitigation_Industry!AB:AB,MATCH($A571,Mitigation_Industry!$H:$H,0))</f>
        <v>76.06335973941006</v>
      </c>
      <c r="AC571" s="18">
        <f>INDEX(Mitigation_Industry!AC:AC,MATCH($A571,Mitigation_Industry!$H:$H,0))</f>
        <v>81.930909739410041</v>
      </c>
      <c r="AD571" s="18">
        <f>INDEX(Mitigation_Industry!AD:AD,MATCH($A571,Mitigation_Industry!$H:$H,0))</f>
        <v>87.798459739410049</v>
      </c>
      <c r="AE571" s="18">
        <f>INDEX(Mitigation_Industry!AE:AE,MATCH($A571,Mitigation_Industry!$H:$H,0))</f>
        <v>93.666009739410043</v>
      </c>
    </row>
    <row r="572" spans="1:31" x14ac:dyDescent="0.45">
      <c r="A572" s="28" t="s">
        <v>1302</v>
      </c>
      <c r="B572" s="5" t="s">
        <v>64</v>
      </c>
      <c r="C572" s="5" t="s">
        <v>117</v>
      </c>
      <c r="D572" s="5">
        <v>2</v>
      </c>
      <c r="E572" s="2" t="s">
        <v>1161</v>
      </c>
      <c r="F572" s="31">
        <f>MAX(MAX(L572:AE572),-MIN(L572:AE572))</f>
        <v>5.6843418860808015E-14</v>
      </c>
      <c r="K572" s="32">
        <f t="shared" ref="K572:AE572" si="141">IF(ISNUMBER(K570),IF(ISNUMBER(K571),K571-K570,999999),0)</f>
        <v>0</v>
      </c>
      <c r="L572" s="32">
        <f t="shared" si="141"/>
        <v>0</v>
      </c>
      <c r="M572" s="32">
        <f t="shared" si="141"/>
        <v>0</v>
      </c>
      <c r="N572" s="32">
        <f t="shared" si="141"/>
        <v>0</v>
      </c>
      <c r="O572" s="32">
        <f t="shared" si="141"/>
        <v>0</v>
      </c>
      <c r="P572" s="32">
        <f t="shared" si="141"/>
        <v>0</v>
      </c>
      <c r="Q572" s="32">
        <f t="shared" si="141"/>
        <v>0</v>
      </c>
      <c r="R572" s="32">
        <f t="shared" si="141"/>
        <v>-3.5527136788005009E-15</v>
      </c>
      <c r="S572" s="32">
        <f t="shared" si="141"/>
        <v>2.1316282072803006E-14</v>
      </c>
      <c r="T572" s="32">
        <f t="shared" si="141"/>
        <v>1.7763568394002505E-14</v>
      </c>
      <c r="U572" s="32">
        <f t="shared" si="141"/>
        <v>-4.2632564145606011E-14</v>
      </c>
      <c r="V572" s="32">
        <f t="shared" si="141"/>
        <v>-4.2632564145606011E-14</v>
      </c>
      <c r="W572" s="32">
        <f t="shared" si="141"/>
        <v>-4.9737991503207013E-14</v>
      </c>
      <c r="X572" s="32">
        <f t="shared" si="141"/>
        <v>-4.2632564145606011E-14</v>
      </c>
      <c r="Y572" s="32">
        <f t="shared" si="141"/>
        <v>-4.2632564145606011E-14</v>
      </c>
      <c r="Z572" s="32">
        <f t="shared" si="141"/>
        <v>-2.8421709430404007E-14</v>
      </c>
      <c r="AA572" s="32">
        <f t="shared" si="141"/>
        <v>-4.2632564145606011E-14</v>
      </c>
      <c r="AB572" s="32">
        <f t="shared" si="141"/>
        <v>-4.2632564145606011E-14</v>
      </c>
      <c r="AC572" s="32">
        <f t="shared" si="141"/>
        <v>-5.6843418860808015E-14</v>
      </c>
      <c r="AD572" s="32">
        <f t="shared" si="141"/>
        <v>-5.6843418860808015E-14</v>
      </c>
      <c r="AE572" s="32">
        <f t="shared" si="141"/>
        <v>-5.6843418860808015E-14</v>
      </c>
    </row>
    <row r="574" spans="1:31" x14ac:dyDescent="0.45">
      <c r="A574" s="28" t="s">
        <v>1303</v>
      </c>
      <c r="B574" s="5" t="s">
        <v>67</v>
      </c>
      <c r="C574" s="5" t="s">
        <v>117</v>
      </c>
      <c r="D574" s="5">
        <v>2</v>
      </c>
      <c r="E574" s="5" t="s">
        <v>1159</v>
      </c>
      <c r="K574" s="18"/>
      <c r="L574" s="18">
        <v>14.199528390634899</v>
      </c>
      <c r="M574" s="18">
        <v>13.8404416133152</v>
      </c>
      <c r="N574" s="18">
        <v>13.5677269404465</v>
      </c>
      <c r="O574" s="18">
        <v>13.5677269404465</v>
      </c>
      <c r="P574" s="18">
        <v>13.5677269404465</v>
      </c>
      <c r="Q574" s="18">
        <v>13.5677269404465</v>
      </c>
      <c r="R574" s="18">
        <v>13.5677269404465</v>
      </c>
      <c r="S574" s="18">
        <v>13.5677269404465</v>
      </c>
      <c r="T574" s="18">
        <v>13.5677269404465</v>
      </c>
      <c r="U574" s="18">
        <v>13.5677269404465</v>
      </c>
      <c r="V574" s="18">
        <v>13.5677269404465</v>
      </c>
      <c r="W574" s="18">
        <v>13.5677269404465</v>
      </c>
      <c r="X574" s="18">
        <v>13.5677269404465</v>
      </c>
      <c r="Y574" s="18">
        <v>13.5677269404465</v>
      </c>
      <c r="Z574" s="18">
        <v>13.5677269404465</v>
      </c>
      <c r="AA574" s="18">
        <v>13.5677269404465</v>
      </c>
      <c r="AB574" s="18">
        <v>13.5677269404465</v>
      </c>
      <c r="AC574" s="18">
        <v>13.5677269404465</v>
      </c>
      <c r="AD574" s="18">
        <v>13.5677269404465</v>
      </c>
      <c r="AE574" s="18">
        <v>13.5677269404465</v>
      </c>
    </row>
    <row r="575" spans="1:31" x14ac:dyDescent="0.45">
      <c r="A575" s="28" t="s">
        <v>1303</v>
      </c>
      <c r="B575" s="5" t="s">
        <v>67</v>
      </c>
      <c r="C575" s="5" t="s">
        <v>117</v>
      </c>
      <c r="D575" s="5">
        <v>2</v>
      </c>
      <c r="E575" s="5" t="s">
        <v>1160</v>
      </c>
      <c r="K575" s="18">
        <f>INDEX(Mitigation_Industry!K:K,MATCH($A575,Mitigation_Industry!$H:$H,0))</f>
        <v>15.3345505293169</v>
      </c>
      <c r="L575" s="18">
        <f>INDEX(Mitigation_Industry!L:L,MATCH($A575,Mitigation_Industry!$H:$H,0))</f>
        <v>14.199528390634899</v>
      </c>
      <c r="M575" s="18">
        <f>INDEX(Mitigation_Industry!M:M,MATCH($A575,Mitigation_Industry!$H:$H,0))</f>
        <v>13.8404416133152</v>
      </c>
      <c r="N575" s="18">
        <f>INDEX(Mitigation_Industry!N:N,MATCH($A575,Mitigation_Industry!$H:$H,0))</f>
        <v>13.5677269404465</v>
      </c>
      <c r="O575" s="18">
        <f>INDEX(Mitigation_Industry!O:O,MATCH($A575,Mitigation_Industry!$H:$H,0))</f>
        <v>13.5677269404465</v>
      </c>
      <c r="P575" s="18">
        <f>INDEX(Mitigation_Industry!P:P,MATCH($A575,Mitigation_Industry!$H:$H,0))</f>
        <v>13.5677269404465</v>
      </c>
      <c r="Q575" s="18">
        <f>INDEX(Mitigation_Industry!Q:Q,MATCH($A575,Mitigation_Industry!$H:$H,0))</f>
        <v>13.5677269404465</v>
      </c>
      <c r="R575" s="18">
        <f>INDEX(Mitigation_Industry!R:R,MATCH($A575,Mitigation_Industry!$H:$H,0))</f>
        <v>13.5677269404465</v>
      </c>
      <c r="S575" s="18">
        <f>INDEX(Mitigation_Industry!S:S,MATCH($A575,Mitigation_Industry!$H:$H,0))</f>
        <v>13.5677269404465</v>
      </c>
      <c r="T575" s="18">
        <f>INDEX(Mitigation_Industry!T:T,MATCH($A575,Mitigation_Industry!$H:$H,0))</f>
        <v>13.5677269404465</v>
      </c>
      <c r="U575" s="18">
        <f>INDEX(Mitigation_Industry!U:U,MATCH($A575,Mitigation_Industry!$H:$H,0))</f>
        <v>13.5677269404465</v>
      </c>
      <c r="V575" s="18">
        <f>INDEX(Mitigation_Industry!V:V,MATCH($A575,Mitigation_Industry!$H:$H,0))</f>
        <v>13.5677269404465</v>
      </c>
      <c r="W575" s="18">
        <f>INDEX(Mitigation_Industry!W:W,MATCH($A575,Mitigation_Industry!$H:$H,0))</f>
        <v>13.5677269404465</v>
      </c>
      <c r="X575" s="18">
        <f>INDEX(Mitigation_Industry!X:X,MATCH($A575,Mitigation_Industry!$H:$H,0))</f>
        <v>13.5677269404465</v>
      </c>
      <c r="Y575" s="18">
        <f>INDEX(Mitigation_Industry!Y:Y,MATCH($A575,Mitigation_Industry!$H:$H,0))</f>
        <v>13.5677269404465</v>
      </c>
      <c r="Z575" s="18">
        <f>INDEX(Mitigation_Industry!Z:Z,MATCH($A575,Mitigation_Industry!$H:$H,0))</f>
        <v>13.5677269404465</v>
      </c>
      <c r="AA575" s="18">
        <f>INDEX(Mitigation_Industry!AA:AA,MATCH($A575,Mitigation_Industry!$H:$H,0))</f>
        <v>13.5677269404465</v>
      </c>
      <c r="AB575" s="18">
        <f>INDEX(Mitigation_Industry!AB:AB,MATCH($A575,Mitigation_Industry!$H:$H,0))</f>
        <v>13.5677269404465</v>
      </c>
      <c r="AC575" s="18">
        <f>INDEX(Mitigation_Industry!AC:AC,MATCH($A575,Mitigation_Industry!$H:$H,0))</f>
        <v>13.5677269404465</v>
      </c>
      <c r="AD575" s="18">
        <f>INDEX(Mitigation_Industry!AD:AD,MATCH($A575,Mitigation_Industry!$H:$H,0))</f>
        <v>13.5677269404465</v>
      </c>
      <c r="AE575" s="18">
        <f>INDEX(Mitigation_Industry!AE:AE,MATCH($A575,Mitigation_Industry!$H:$H,0))</f>
        <v>13.5677269404465</v>
      </c>
    </row>
    <row r="576" spans="1:31" x14ac:dyDescent="0.45">
      <c r="A576" s="28" t="s">
        <v>1303</v>
      </c>
      <c r="B576" s="5" t="s">
        <v>67</v>
      </c>
      <c r="C576" s="5" t="s">
        <v>117</v>
      </c>
      <c r="D576" s="5">
        <v>2</v>
      </c>
      <c r="E576" s="2" t="s">
        <v>1161</v>
      </c>
      <c r="F576" s="31">
        <f>MAX(MAX(L576:AE576),-MIN(L576:AE576))</f>
        <v>0</v>
      </c>
      <c r="K576" s="32">
        <f t="shared" ref="K576:AE576" si="142">IF(ISNUMBER(K574),IF(ISNUMBER(K575),K575-K574,999999),0)</f>
        <v>0</v>
      </c>
      <c r="L576" s="32">
        <f t="shared" si="142"/>
        <v>0</v>
      </c>
      <c r="M576" s="32">
        <f t="shared" si="142"/>
        <v>0</v>
      </c>
      <c r="N576" s="32">
        <f t="shared" si="142"/>
        <v>0</v>
      </c>
      <c r="O576" s="32">
        <f t="shared" si="142"/>
        <v>0</v>
      </c>
      <c r="P576" s="32">
        <f t="shared" si="142"/>
        <v>0</v>
      </c>
      <c r="Q576" s="32">
        <f t="shared" si="142"/>
        <v>0</v>
      </c>
      <c r="R576" s="32">
        <f t="shared" si="142"/>
        <v>0</v>
      </c>
      <c r="S576" s="32">
        <f t="shared" si="142"/>
        <v>0</v>
      </c>
      <c r="T576" s="32">
        <f t="shared" si="142"/>
        <v>0</v>
      </c>
      <c r="U576" s="32">
        <f t="shared" si="142"/>
        <v>0</v>
      </c>
      <c r="V576" s="32">
        <f t="shared" si="142"/>
        <v>0</v>
      </c>
      <c r="W576" s="32">
        <f t="shared" si="142"/>
        <v>0</v>
      </c>
      <c r="X576" s="32">
        <f t="shared" si="142"/>
        <v>0</v>
      </c>
      <c r="Y576" s="32">
        <f t="shared" si="142"/>
        <v>0</v>
      </c>
      <c r="Z576" s="32">
        <f t="shared" si="142"/>
        <v>0</v>
      </c>
      <c r="AA576" s="32">
        <f t="shared" si="142"/>
        <v>0</v>
      </c>
      <c r="AB576" s="32">
        <f t="shared" si="142"/>
        <v>0</v>
      </c>
      <c r="AC576" s="32">
        <f t="shared" si="142"/>
        <v>0</v>
      </c>
      <c r="AD576" s="32">
        <f t="shared" si="142"/>
        <v>0</v>
      </c>
      <c r="AE576" s="32">
        <f t="shared" si="142"/>
        <v>0</v>
      </c>
    </row>
    <row r="578" spans="1:35" x14ac:dyDescent="0.45">
      <c r="A578" s="28" t="s">
        <v>1304</v>
      </c>
      <c r="B578" s="5" t="s">
        <v>69</v>
      </c>
      <c r="C578" s="5" t="s">
        <v>117</v>
      </c>
      <c r="D578" s="5">
        <v>2</v>
      </c>
      <c r="E578" s="5" t="s">
        <v>1159</v>
      </c>
      <c r="K578" s="18"/>
      <c r="L578" s="18">
        <v>0.14404498679319799</v>
      </c>
      <c r="M578" s="18">
        <v>0.141386241751359</v>
      </c>
      <c r="N578" s="18">
        <v>0.13539756544373099</v>
      </c>
      <c r="O578" s="18">
        <v>0.13152288542065099</v>
      </c>
      <c r="P578" s="18">
        <v>0.12882610848523099</v>
      </c>
      <c r="Q578" s="18">
        <v>0.12594200976473999</v>
      </c>
      <c r="R578" s="18">
        <v>0.123113265701861</v>
      </c>
      <c r="S578" s="18">
        <v>0.119391738089068</v>
      </c>
      <c r="T578" s="18">
        <v>0.11554419046792</v>
      </c>
      <c r="U578" s="18">
        <v>0.11492423065415899</v>
      </c>
      <c r="V578" s="18">
        <v>0.114346912116736</v>
      </c>
      <c r="W578" s="18">
        <v>0.113738711172664</v>
      </c>
      <c r="X578" s="18">
        <v>0.112999900487521</v>
      </c>
      <c r="Y578" s="18">
        <v>0.112177685835534</v>
      </c>
      <c r="Z578" s="18">
        <v>0.111417903250404</v>
      </c>
      <c r="AA578" s="18">
        <v>0.11052581998545399</v>
      </c>
      <c r="AB578" s="18">
        <v>0.109699565234896</v>
      </c>
      <c r="AC578" s="18">
        <v>0.10772678896394899</v>
      </c>
      <c r="AD578" s="18">
        <v>0.10582092445093499</v>
      </c>
      <c r="AE578" s="18">
        <v>0.103855595705721</v>
      </c>
    </row>
    <row r="579" spans="1:35" x14ac:dyDescent="0.45">
      <c r="A579" s="28" t="s">
        <v>1304</v>
      </c>
      <c r="B579" s="5" t="s">
        <v>69</v>
      </c>
      <c r="C579" s="5" t="s">
        <v>117</v>
      </c>
      <c r="D579" s="5">
        <v>2</v>
      </c>
      <c r="E579" s="5" t="s">
        <v>1160</v>
      </c>
      <c r="K579" s="18">
        <f>INDEX(Mitigation_Industry!K:K,MATCH($A579,Mitigation_Industry!$H:$H,0))</f>
        <v>0</v>
      </c>
      <c r="L579" s="18">
        <f>INDEX(Mitigation_Industry!L:L,MATCH($A579,Mitigation_Industry!$H:$H,0))</f>
        <v>0.14404498679319799</v>
      </c>
      <c r="M579" s="18">
        <f>INDEX(Mitigation_Industry!M:M,MATCH($A579,Mitigation_Industry!$H:$H,0))</f>
        <v>0.141386241751359</v>
      </c>
      <c r="N579" s="18">
        <f>INDEX(Mitigation_Industry!N:N,MATCH($A579,Mitigation_Industry!$H:$H,0))</f>
        <v>0.13539756544373099</v>
      </c>
      <c r="O579" s="18">
        <f>INDEX(Mitigation_Industry!O:O,MATCH($A579,Mitigation_Industry!$H:$H,0))</f>
        <v>0.13152288542065099</v>
      </c>
      <c r="P579" s="18">
        <f>INDEX(Mitigation_Industry!P:P,MATCH($A579,Mitigation_Industry!$H:$H,0))</f>
        <v>0.12882610848523099</v>
      </c>
      <c r="Q579" s="18">
        <f>INDEX(Mitigation_Industry!Q:Q,MATCH($A579,Mitigation_Industry!$H:$H,0))</f>
        <v>0.12594200976473999</v>
      </c>
      <c r="R579" s="18">
        <f>INDEX(Mitigation_Industry!R:R,MATCH($A579,Mitigation_Industry!$H:$H,0))</f>
        <v>0.123113265701861</v>
      </c>
      <c r="S579" s="18">
        <f>INDEX(Mitigation_Industry!S:S,MATCH($A579,Mitigation_Industry!$H:$H,0))</f>
        <v>0.119391738089068</v>
      </c>
      <c r="T579" s="18">
        <f>INDEX(Mitigation_Industry!T:T,MATCH($A579,Mitigation_Industry!$H:$H,0))</f>
        <v>0.11554419046792</v>
      </c>
      <c r="U579" s="18">
        <f>INDEX(Mitigation_Industry!U:U,MATCH($A579,Mitigation_Industry!$H:$H,0))</f>
        <v>0.11492423065415899</v>
      </c>
      <c r="V579" s="18">
        <f>INDEX(Mitigation_Industry!V:V,MATCH($A579,Mitigation_Industry!$H:$H,0))</f>
        <v>0.114346912116736</v>
      </c>
      <c r="W579" s="18">
        <f>INDEX(Mitigation_Industry!W:W,MATCH($A579,Mitigation_Industry!$H:$H,0))</f>
        <v>0.113738711172664</v>
      </c>
      <c r="X579" s="18">
        <f>INDEX(Mitigation_Industry!X:X,MATCH($A579,Mitigation_Industry!$H:$H,0))</f>
        <v>0.112999900487521</v>
      </c>
      <c r="Y579" s="18">
        <f>INDEX(Mitigation_Industry!Y:Y,MATCH($A579,Mitigation_Industry!$H:$H,0))</f>
        <v>0.112177685835534</v>
      </c>
      <c r="Z579" s="18">
        <f>INDEX(Mitigation_Industry!Z:Z,MATCH($A579,Mitigation_Industry!$H:$H,0))</f>
        <v>0.111417903250404</v>
      </c>
      <c r="AA579" s="18">
        <f>INDEX(Mitigation_Industry!AA:AA,MATCH($A579,Mitigation_Industry!$H:$H,0))</f>
        <v>0.11052581998545399</v>
      </c>
      <c r="AB579" s="18">
        <f>INDEX(Mitigation_Industry!AB:AB,MATCH($A579,Mitigation_Industry!$H:$H,0))</f>
        <v>0.109699565234896</v>
      </c>
      <c r="AC579" s="18">
        <f>INDEX(Mitigation_Industry!AC:AC,MATCH($A579,Mitigation_Industry!$H:$H,0))</f>
        <v>0.10772678896394899</v>
      </c>
      <c r="AD579" s="18">
        <f>INDEX(Mitigation_Industry!AD:AD,MATCH($A579,Mitigation_Industry!$H:$H,0))</f>
        <v>0.10582092445093499</v>
      </c>
      <c r="AE579" s="18">
        <f>INDEX(Mitigation_Industry!AE:AE,MATCH($A579,Mitigation_Industry!$H:$H,0))</f>
        <v>0.103855595705721</v>
      </c>
    </row>
    <row r="580" spans="1:35" x14ac:dyDescent="0.45">
      <c r="A580" s="28" t="s">
        <v>1304</v>
      </c>
      <c r="B580" s="5" t="s">
        <v>69</v>
      </c>
      <c r="C580" s="5" t="s">
        <v>117</v>
      </c>
      <c r="D580" s="5">
        <v>2</v>
      </c>
      <c r="E580" s="2" t="s">
        <v>1161</v>
      </c>
      <c r="F580" s="31">
        <f>MAX(MAX(L580:AE580),-MIN(L580:AE580))</f>
        <v>0</v>
      </c>
      <c r="K580" s="32">
        <f t="shared" ref="K580:AE580" si="143">IF(ISNUMBER(K578),IF(ISNUMBER(K579),K579-K578,999999),0)</f>
        <v>0</v>
      </c>
      <c r="L580" s="32">
        <f t="shared" si="143"/>
        <v>0</v>
      </c>
      <c r="M580" s="32">
        <f t="shared" si="143"/>
        <v>0</v>
      </c>
      <c r="N580" s="32">
        <f t="shared" si="143"/>
        <v>0</v>
      </c>
      <c r="O580" s="32">
        <f t="shared" si="143"/>
        <v>0</v>
      </c>
      <c r="P580" s="32">
        <f t="shared" si="143"/>
        <v>0</v>
      </c>
      <c r="Q580" s="32">
        <f t="shared" si="143"/>
        <v>0</v>
      </c>
      <c r="R580" s="32">
        <f t="shared" si="143"/>
        <v>0</v>
      </c>
      <c r="S580" s="32">
        <f t="shared" si="143"/>
        <v>0</v>
      </c>
      <c r="T580" s="32">
        <f t="shared" si="143"/>
        <v>0</v>
      </c>
      <c r="U580" s="32">
        <f t="shared" si="143"/>
        <v>0</v>
      </c>
      <c r="V580" s="32">
        <f t="shared" si="143"/>
        <v>0</v>
      </c>
      <c r="W580" s="32">
        <f t="shared" si="143"/>
        <v>0</v>
      </c>
      <c r="X580" s="32">
        <f t="shared" si="143"/>
        <v>0</v>
      </c>
      <c r="Y580" s="32">
        <f t="shared" si="143"/>
        <v>0</v>
      </c>
      <c r="Z580" s="32">
        <f t="shared" si="143"/>
        <v>0</v>
      </c>
      <c r="AA580" s="32">
        <f t="shared" si="143"/>
        <v>0</v>
      </c>
      <c r="AB580" s="32">
        <f t="shared" si="143"/>
        <v>0</v>
      </c>
      <c r="AC580" s="32">
        <f t="shared" si="143"/>
        <v>0</v>
      </c>
      <c r="AD580" s="32">
        <f t="shared" si="143"/>
        <v>0</v>
      </c>
      <c r="AE580" s="32">
        <f t="shared" si="143"/>
        <v>0</v>
      </c>
    </row>
    <row r="583" spans="1:35" x14ac:dyDescent="0.45">
      <c r="A583" s="52" t="s">
        <v>1502</v>
      </c>
    </row>
    <row r="584" spans="1:35" x14ac:dyDescent="0.45">
      <c r="A584" t="s">
        <v>1711</v>
      </c>
      <c r="D584" s="92">
        <f>SUMPRODUCT(MAX((I587:I1378="same")    *F587:F1378))</f>
        <v>7.1054273576010019E-15</v>
      </c>
    </row>
    <row r="585" spans="1:35" x14ac:dyDescent="0.45">
      <c r="A585" t="s">
        <v>1712</v>
      </c>
      <c r="D585" s="92">
        <f>SUMPRODUCT(MAX((I587:I1378="changed")*F587:F1378))</f>
        <v>7350.5289918043609</v>
      </c>
    </row>
    <row r="586" spans="1:35" x14ac:dyDescent="0.45">
      <c r="A586" s="50" t="s">
        <v>1503</v>
      </c>
      <c r="B586" s="50" t="s">
        <v>1504</v>
      </c>
      <c r="C586" s="50" t="s">
        <v>1505</v>
      </c>
      <c r="D586" s="50" t="s">
        <v>47</v>
      </c>
      <c r="E586" s="50" t="s">
        <v>1156</v>
      </c>
      <c r="F586" s="50" t="s">
        <v>1157</v>
      </c>
      <c r="G586" s="50"/>
      <c r="H586" s="50"/>
      <c r="I586" s="50" t="s">
        <v>1506</v>
      </c>
      <c r="J586" s="50" t="s">
        <v>1507</v>
      </c>
      <c r="K586" s="50">
        <v>2021</v>
      </c>
      <c r="L586" s="50">
        <v>2022</v>
      </c>
      <c r="M586" s="50">
        <v>2023</v>
      </c>
      <c r="N586" s="50">
        <v>2024</v>
      </c>
      <c r="O586" s="50">
        <v>2025</v>
      </c>
      <c r="P586" s="50">
        <v>2026</v>
      </c>
      <c r="Q586" s="50">
        <v>2027</v>
      </c>
      <c r="R586" s="50">
        <v>2028</v>
      </c>
      <c r="S586" s="50">
        <v>2029</v>
      </c>
      <c r="T586" s="50">
        <v>2030</v>
      </c>
      <c r="U586" s="50">
        <v>2031</v>
      </c>
      <c r="V586" s="50">
        <v>2032</v>
      </c>
      <c r="W586" s="50">
        <v>2033</v>
      </c>
      <c r="X586" s="50">
        <v>2034</v>
      </c>
      <c r="Y586" s="50">
        <v>2035</v>
      </c>
      <c r="Z586" s="50">
        <v>2036</v>
      </c>
      <c r="AA586" s="50">
        <v>2037</v>
      </c>
      <c r="AB586" s="50">
        <v>2038</v>
      </c>
      <c r="AC586" s="50">
        <v>2039</v>
      </c>
      <c r="AD586" s="50">
        <v>2040</v>
      </c>
      <c r="AE586" s="50">
        <v>2041</v>
      </c>
      <c r="AF586" s="50">
        <v>2042</v>
      </c>
      <c r="AG586" s="50">
        <v>2043</v>
      </c>
      <c r="AH586" s="50">
        <v>2044</v>
      </c>
      <c r="AI586" s="50">
        <v>2045</v>
      </c>
    </row>
    <row r="587" spans="1:35" x14ac:dyDescent="0.45">
      <c r="A587" t="s">
        <v>1508</v>
      </c>
      <c r="B587" t="s">
        <v>1423</v>
      </c>
      <c r="C587" t="s">
        <v>1424</v>
      </c>
      <c r="D587">
        <v>1</v>
      </c>
      <c r="E587" t="s">
        <v>1159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5" x14ac:dyDescent="0.45">
      <c r="A588" t="s">
        <v>1508</v>
      </c>
      <c r="B588" t="s">
        <v>1423</v>
      </c>
      <c r="C588" t="s">
        <v>1424</v>
      </c>
      <c r="D588">
        <v>1</v>
      </c>
      <c r="E588" t="s">
        <v>1160</v>
      </c>
      <c r="K588" t="str">
        <f>IF(ISBLANK(Mitigation_Industry!K247),"",Mitigation_Industry!K247)</f>
        <v/>
      </c>
      <c r="L588">
        <f>IF(ISBLANK(Mitigation_Industry!L247),"",Mitigation_Industry!L247)</f>
        <v>0</v>
      </c>
      <c r="M588">
        <f>IF(ISBLANK(Mitigation_Industry!M247),"",Mitigation_Industry!M247)</f>
        <v>0</v>
      </c>
      <c r="N588">
        <f>IF(ISBLANK(Mitigation_Industry!N247),"",Mitigation_Industry!N247)</f>
        <v>0</v>
      </c>
      <c r="O588">
        <f>IF(ISBLANK(Mitigation_Industry!O247),"",Mitigation_Industry!O247)</f>
        <v>0</v>
      </c>
      <c r="P588">
        <f>IF(ISBLANK(Mitigation_Industry!P247),"",Mitigation_Industry!P247)</f>
        <v>0</v>
      </c>
      <c r="Q588">
        <f>IF(ISBLANK(Mitigation_Industry!Q247),"",Mitigation_Industry!Q247)</f>
        <v>0</v>
      </c>
      <c r="R588">
        <f>IF(ISBLANK(Mitigation_Industry!R247),"",Mitigation_Industry!R247)</f>
        <v>0</v>
      </c>
      <c r="S588">
        <f>IF(ISBLANK(Mitigation_Industry!S247),"",Mitigation_Industry!S247)</f>
        <v>0</v>
      </c>
      <c r="T588">
        <f>IF(ISBLANK(Mitigation_Industry!T247),"",Mitigation_Industry!T247)</f>
        <v>0</v>
      </c>
      <c r="U588">
        <f>IF(ISBLANK(Mitigation_Industry!U247),"",Mitigation_Industry!U247)</f>
        <v>0</v>
      </c>
      <c r="V588">
        <f>IF(ISBLANK(Mitigation_Industry!V247),"",Mitigation_Industry!V247)</f>
        <v>0</v>
      </c>
      <c r="W588">
        <f>IF(ISBLANK(Mitigation_Industry!W247),"",Mitigation_Industry!W247)</f>
        <v>0</v>
      </c>
      <c r="X588">
        <f>IF(ISBLANK(Mitigation_Industry!X247),"",Mitigation_Industry!X247)</f>
        <v>0</v>
      </c>
      <c r="Y588">
        <f>IF(ISBLANK(Mitigation_Industry!Y247),"",Mitigation_Industry!Y247)</f>
        <v>0</v>
      </c>
      <c r="Z588">
        <f>IF(ISBLANK(Mitigation_Industry!Z247),"",Mitigation_Industry!Z247)</f>
        <v>0</v>
      </c>
      <c r="AA588">
        <f>IF(ISBLANK(Mitigation_Industry!AA247),"",Mitigation_Industry!AA247)</f>
        <v>0</v>
      </c>
      <c r="AB588">
        <f>IF(ISBLANK(Mitigation_Industry!AB247),"",Mitigation_Industry!AB247)</f>
        <v>0</v>
      </c>
      <c r="AC588">
        <f>IF(ISBLANK(Mitigation_Industry!AC247),"",Mitigation_Industry!AC247)</f>
        <v>0</v>
      </c>
      <c r="AD588">
        <f>IF(ISBLANK(Mitigation_Industry!AD247),"",Mitigation_Industry!AD247)</f>
        <v>0</v>
      </c>
      <c r="AE588">
        <f>IF(ISBLANK(Mitigation_Industry!AE247),"",Mitigation_Industry!AE247)</f>
        <v>0</v>
      </c>
    </row>
    <row r="589" spans="1:35" x14ac:dyDescent="0.45">
      <c r="A589" t="s">
        <v>1508</v>
      </c>
      <c r="B589" t="s">
        <v>1423</v>
      </c>
      <c r="C589" t="s">
        <v>1424</v>
      </c>
      <c r="D589">
        <v>1</v>
      </c>
      <c r="E589" t="s">
        <v>1161</v>
      </c>
      <c r="F589">
        <f>MAX(MAX(L589:AE589),-MIN(L589:AE589))</f>
        <v>0</v>
      </c>
      <c r="I589" t="s">
        <v>1509</v>
      </c>
      <c r="K589">
        <f t="shared" ref="K589:AE589" si="144">IF(ISNUMBER(K587),IF(ISNUMBER(K588),K588-K587,999999),0)</f>
        <v>0</v>
      </c>
      <c r="L589">
        <f t="shared" si="144"/>
        <v>0</v>
      </c>
      <c r="M589">
        <f t="shared" si="144"/>
        <v>0</v>
      </c>
      <c r="N589">
        <f t="shared" si="144"/>
        <v>0</v>
      </c>
      <c r="O589">
        <f t="shared" si="144"/>
        <v>0</v>
      </c>
      <c r="P589">
        <f t="shared" si="144"/>
        <v>0</v>
      </c>
      <c r="Q589">
        <f t="shared" si="144"/>
        <v>0</v>
      </c>
      <c r="R589">
        <f t="shared" si="144"/>
        <v>0</v>
      </c>
      <c r="S589">
        <f t="shared" si="144"/>
        <v>0</v>
      </c>
      <c r="T589">
        <f t="shared" si="144"/>
        <v>0</v>
      </c>
      <c r="U589">
        <f t="shared" si="144"/>
        <v>0</v>
      </c>
      <c r="V589">
        <f t="shared" si="144"/>
        <v>0</v>
      </c>
      <c r="W589">
        <f t="shared" si="144"/>
        <v>0</v>
      </c>
      <c r="X589">
        <f t="shared" si="144"/>
        <v>0</v>
      </c>
      <c r="Y589">
        <f t="shared" si="144"/>
        <v>0</v>
      </c>
      <c r="Z589">
        <f t="shared" si="144"/>
        <v>0</v>
      </c>
      <c r="AA589">
        <f t="shared" si="144"/>
        <v>0</v>
      </c>
      <c r="AB589">
        <f t="shared" si="144"/>
        <v>0</v>
      </c>
      <c r="AC589">
        <f t="shared" si="144"/>
        <v>0</v>
      </c>
      <c r="AD589">
        <f t="shared" si="144"/>
        <v>0</v>
      </c>
      <c r="AE589">
        <f t="shared" si="144"/>
        <v>0</v>
      </c>
    </row>
    <row r="591" spans="1:35" x14ac:dyDescent="0.45">
      <c r="A591" t="s">
        <v>1510</v>
      </c>
      <c r="B591" t="s">
        <v>1423</v>
      </c>
      <c r="C591" t="s">
        <v>1425</v>
      </c>
      <c r="D591">
        <v>1</v>
      </c>
      <c r="E591" t="s">
        <v>1159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5" x14ac:dyDescent="0.45">
      <c r="A592" t="s">
        <v>1510</v>
      </c>
      <c r="B592" t="s">
        <v>1423</v>
      </c>
      <c r="C592" t="s">
        <v>1425</v>
      </c>
      <c r="D592">
        <v>1</v>
      </c>
      <c r="E592" t="s">
        <v>1160</v>
      </c>
      <c r="K592" t="str">
        <f>IF(ISBLANK(Mitigation_Industry!K248),"",Mitigation_Industry!K248)</f>
        <v/>
      </c>
      <c r="L592">
        <f>IF(ISBLANK(Mitigation_Industry!L248),"",Mitigation_Industry!L248)</f>
        <v>0</v>
      </c>
      <c r="M592">
        <f>IF(ISBLANK(Mitigation_Industry!M248),"",Mitigation_Industry!M248)</f>
        <v>0</v>
      </c>
      <c r="N592">
        <f>IF(ISBLANK(Mitigation_Industry!N248),"",Mitigation_Industry!N248)</f>
        <v>0</v>
      </c>
      <c r="O592">
        <f>IF(ISBLANK(Mitigation_Industry!O248),"",Mitigation_Industry!O248)</f>
        <v>0</v>
      </c>
      <c r="P592">
        <f>IF(ISBLANK(Mitigation_Industry!P248),"",Mitigation_Industry!P248)</f>
        <v>0</v>
      </c>
      <c r="Q592">
        <f>IF(ISBLANK(Mitigation_Industry!Q248),"",Mitigation_Industry!Q248)</f>
        <v>0</v>
      </c>
      <c r="R592">
        <f>IF(ISBLANK(Mitigation_Industry!R248),"",Mitigation_Industry!R248)</f>
        <v>0</v>
      </c>
      <c r="S592">
        <f>IF(ISBLANK(Mitigation_Industry!S248),"",Mitigation_Industry!S248)</f>
        <v>0</v>
      </c>
      <c r="T592">
        <f>IF(ISBLANK(Mitigation_Industry!T248),"",Mitigation_Industry!T248)</f>
        <v>0</v>
      </c>
      <c r="U592">
        <f>IF(ISBLANK(Mitigation_Industry!U248),"",Mitigation_Industry!U248)</f>
        <v>0</v>
      </c>
      <c r="V592">
        <f>IF(ISBLANK(Mitigation_Industry!V248),"",Mitigation_Industry!V248)</f>
        <v>0</v>
      </c>
      <c r="W592">
        <f>IF(ISBLANK(Mitigation_Industry!W248),"",Mitigation_Industry!W248)</f>
        <v>0</v>
      </c>
      <c r="X592">
        <f>IF(ISBLANK(Mitigation_Industry!X248),"",Mitigation_Industry!X248)</f>
        <v>0</v>
      </c>
      <c r="Y592">
        <f>IF(ISBLANK(Mitigation_Industry!Y248),"",Mitigation_Industry!Y248)</f>
        <v>0</v>
      </c>
      <c r="Z592">
        <f>IF(ISBLANK(Mitigation_Industry!Z248),"",Mitigation_Industry!Z248)</f>
        <v>0</v>
      </c>
      <c r="AA592">
        <f>IF(ISBLANK(Mitigation_Industry!AA248),"",Mitigation_Industry!AA248)</f>
        <v>0</v>
      </c>
      <c r="AB592">
        <f>IF(ISBLANK(Mitigation_Industry!AB248),"",Mitigation_Industry!AB248)</f>
        <v>0</v>
      </c>
      <c r="AC592">
        <f>IF(ISBLANK(Mitigation_Industry!AC248),"",Mitigation_Industry!AC248)</f>
        <v>0</v>
      </c>
      <c r="AD592">
        <f>IF(ISBLANK(Mitigation_Industry!AD248),"",Mitigation_Industry!AD248)</f>
        <v>0</v>
      </c>
      <c r="AE592">
        <f>IF(ISBLANK(Mitigation_Industry!AE248),"",Mitigation_Industry!AE248)</f>
        <v>0</v>
      </c>
    </row>
    <row r="593" spans="1:31" x14ac:dyDescent="0.45">
      <c r="A593" t="s">
        <v>1510</v>
      </c>
      <c r="B593" t="s">
        <v>1423</v>
      </c>
      <c r="C593" t="s">
        <v>1425</v>
      </c>
      <c r="D593">
        <v>1</v>
      </c>
      <c r="E593" t="s">
        <v>1161</v>
      </c>
      <c r="F593">
        <f>MAX(MAX(L593:AE593),-MIN(L593:AE593))</f>
        <v>0</v>
      </c>
      <c r="I593" t="s">
        <v>1509</v>
      </c>
      <c r="K593">
        <f t="shared" ref="K593:AE593" si="145">IF(ISNUMBER(K591),IF(ISNUMBER(K592),K592-K591,999999),0)</f>
        <v>0</v>
      </c>
      <c r="L593">
        <f t="shared" si="145"/>
        <v>0</v>
      </c>
      <c r="M593">
        <f t="shared" si="145"/>
        <v>0</v>
      </c>
      <c r="N593">
        <f t="shared" si="145"/>
        <v>0</v>
      </c>
      <c r="O593">
        <f t="shared" si="145"/>
        <v>0</v>
      </c>
      <c r="P593">
        <f t="shared" si="145"/>
        <v>0</v>
      </c>
      <c r="Q593">
        <f t="shared" si="145"/>
        <v>0</v>
      </c>
      <c r="R593">
        <f t="shared" si="145"/>
        <v>0</v>
      </c>
      <c r="S593">
        <f t="shared" si="145"/>
        <v>0</v>
      </c>
      <c r="T593">
        <f t="shared" si="145"/>
        <v>0</v>
      </c>
      <c r="U593">
        <f t="shared" si="145"/>
        <v>0</v>
      </c>
      <c r="V593">
        <f t="shared" si="145"/>
        <v>0</v>
      </c>
      <c r="W593">
        <f t="shared" si="145"/>
        <v>0</v>
      </c>
      <c r="X593">
        <f t="shared" si="145"/>
        <v>0</v>
      </c>
      <c r="Y593">
        <f t="shared" si="145"/>
        <v>0</v>
      </c>
      <c r="Z593">
        <f t="shared" si="145"/>
        <v>0</v>
      </c>
      <c r="AA593">
        <f t="shared" si="145"/>
        <v>0</v>
      </c>
      <c r="AB593">
        <f t="shared" si="145"/>
        <v>0</v>
      </c>
      <c r="AC593">
        <f t="shared" si="145"/>
        <v>0</v>
      </c>
      <c r="AD593">
        <f t="shared" si="145"/>
        <v>0</v>
      </c>
      <c r="AE593">
        <f t="shared" si="145"/>
        <v>0</v>
      </c>
    </row>
    <row r="595" spans="1:31" x14ac:dyDescent="0.45">
      <c r="A595" t="s">
        <v>1511</v>
      </c>
      <c r="B595" t="s">
        <v>1434</v>
      </c>
      <c r="C595" t="s">
        <v>1350</v>
      </c>
      <c r="D595">
        <v>1</v>
      </c>
      <c r="E595" t="s">
        <v>1159</v>
      </c>
      <c r="L595">
        <v>4679.1738230501605</v>
      </c>
      <c r="M595">
        <v>4885.0574712643675</v>
      </c>
      <c r="N595">
        <v>5100</v>
      </c>
      <c r="O595">
        <v>5324.4000000000005</v>
      </c>
      <c r="P595">
        <v>5558.673600000001</v>
      </c>
      <c r="Q595">
        <v>5803.255238400001</v>
      </c>
      <c r="R595">
        <v>6058.5984688896015</v>
      </c>
      <c r="S595">
        <v>6325.1768015207444</v>
      </c>
      <c r="T595">
        <v>6603.4845807876573</v>
      </c>
      <c r="U595">
        <v>6894.0379023423147</v>
      </c>
      <c r="V595">
        <v>7197.3755700453767</v>
      </c>
      <c r="W595">
        <v>7514.0600951273736</v>
      </c>
      <c r="X595">
        <v>7844.678739312978</v>
      </c>
      <c r="Y595">
        <v>8189.8446038427492</v>
      </c>
      <c r="Z595">
        <v>8550.1977664118313</v>
      </c>
      <c r="AA595">
        <v>8926.4064681339514</v>
      </c>
      <c r="AB595">
        <v>9319.1683527318455</v>
      </c>
      <c r="AC595">
        <v>9729.2117602520466</v>
      </c>
      <c r="AD595">
        <v>10157.297077703137</v>
      </c>
      <c r="AE595">
        <v>10604.218149122074</v>
      </c>
    </row>
    <row r="596" spans="1:31" x14ac:dyDescent="0.45">
      <c r="A596" t="s">
        <v>1511</v>
      </c>
      <c r="B596" t="s">
        <v>1434</v>
      </c>
      <c r="C596" t="s">
        <v>1350</v>
      </c>
      <c r="D596">
        <v>1</v>
      </c>
      <c r="E596" t="s">
        <v>1160</v>
      </c>
      <c r="K596" t="str">
        <f>IF(ISBLANK(Mitigation_Industry!K276),"",Mitigation_Industry!K276)</f>
        <v/>
      </c>
      <c r="L596">
        <f>IF(ISBLANK(Mitigation_Industry!L276),"",Mitigation_Industry!L276)</f>
        <v>4679.1738230501605</v>
      </c>
      <c r="M596">
        <f>IF(ISBLANK(Mitigation_Industry!M276),"",Mitigation_Industry!M276)</f>
        <v>4885.0574712643675</v>
      </c>
      <c r="N596">
        <f>IF(ISBLANK(Mitigation_Industry!N276),"",Mitigation_Industry!N276)</f>
        <v>5100</v>
      </c>
      <c r="O596">
        <f>IF(ISBLANK(Mitigation_Industry!O276),"",Mitigation_Industry!O276)</f>
        <v>5324.4000000000005</v>
      </c>
      <c r="P596">
        <f>IF(ISBLANK(Mitigation_Industry!P276),"",Mitigation_Industry!P276)</f>
        <v>5558.673600000001</v>
      </c>
      <c r="Q596">
        <f>IF(ISBLANK(Mitigation_Industry!Q276),"",Mitigation_Industry!Q276)</f>
        <v>5803.255238400001</v>
      </c>
      <c r="R596">
        <f>IF(ISBLANK(Mitigation_Industry!R276),"",Mitigation_Industry!R276)</f>
        <v>6058.5984688896015</v>
      </c>
      <c r="S596">
        <f>IF(ISBLANK(Mitigation_Industry!S276),"",Mitigation_Industry!S276)</f>
        <v>6325.1768015207444</v>
      </c>
      <c r="T596">
        <f>IF(ISBLANK(Mitigation_Industry!T276),"",Mitigation_Industry!T276)</f>
        <v>6603.4845807876573</v>
      </c>
      <c r="U596">
        <f>IF(ISBLANK(Mitigation_Industry!U276),"",Mitigation_Industry!U276)</f>
        <v>6894.0379023423147</v>
      </c>
      <c r="V596">
        <f>IF(ISBLANK(Mitigation_Industry!V276),"",Mitigation_Industry!V276)</f>
        <v>7197.3755700453767</v>
      </c>
      <c r="W596">
        <f>IF(ISBLANK(Mitigation_Industry!W276),"",Mitigation_Industry!W276)</f>
        <v>7514.0600951273736</v>
      </c>
      <c r="X596">
        <f>IF(ISBLANK(Mitigation_Industry!X276),"",Mitigation_Industry!X276)</f>
        <v>7844.678739312978</v>
      </c>
      <c r="Y596">
        <f>IF(ISBLANK(Mitigation_Industry!Y276),"",Mitigation_Industry!Y276)</f>
        <v>8189.8446038427492</v>
      </c>
      <c r="Z596">
        <f>IF(ISBLANK(Mitigation_Industry!Z276),"",Mitigation_Industry!Z276)</f>
        <v>8550.1977664118313</v>
      </c>
      <c r="AA596">
        <f>IF(ISBLANK(Mitigation_Industry!AA276),"",Mitigation_Industry!AA276)</f>
        <v>8926.4064681339514</v>
      </c>
      <c r="AB596">
        <f>IF(ISBLANK(Mitigation_Industry!AB276),"",Mitigation_Industry!AB276)</f>
        <v>9319.1683527318455</v>
      </c>
      <c r="AC596">
        <f>IF(ISBLANK(Mitigation_Industry!AC276),"",Mitigation_Industry!AC276)</f>
        <v>9729.2117602520466</v>
      </c>
      <c r="AD596">
        <f>IF(ISBLANK(Mitigation_Industry!AD276),"",Mitigation_Industry!AD276)</f>
        <v>10157.297077703137</v>
      </c>
      <c r="AE596">
        <f>IF(ISBLANK(Mitigation_Industry!AE276),"",Mitigation_Industry!AE276)</f>
        <v>10604.218149122074</v>
      </c>
    </row>
    <row r="597" spans="1:31" x14ac:dyDescent="0.45">
      <c r="A597" t="s">
        <v>1511</v>
      </c>
      <c r="B597" t="s">
        <v>1434</v>
      </c>
      <c r="C597" t="s">
        <v>1350</v>
      </c>
      <c r="D597">
        <v>1</v>
      </c>
      <c r="E597" t="s">
        <v>1161</v>
      </c>
      <c r="F597">
        <f>MAX(MAX(L597:AE597),-MIN(L597:AE597))</f>
        <v>0</v>
      </c>
      <c r="I597" t="s">
        <v>1509</v>
      </c>
      <c r="K597">
        <f t="shared" ref="K597:AE597" si="146">IF(ISNUMBER(K595),IF(ISNUMBER(K596),K596-K595,999999),0)</f>
        <v>0</v>
      </c>
      <c r="L597">
        <f t="shared" si="146"/>
        <v>0</v>
      </c>
      <c r="M597">
        <f t="shared" si="146"/>
        <v>0</v>
      </c>
      <c r="N597">
        <f t="shared" si="146"/>
        <v>0</v>
      </c>
      <c r="O597">
        <f t="shared" si="146"/>
        <v>0</v>
      </c>
      <c r="P597">
        <f t="shared" si="146"/>
        <v>0</v>
      </c>
      <c r="Q597">
        <f t="shared" si="146"/>
        <v>0</v>
      </c>
      <c r="R597">
        <f t="shared" si="146"/>
        <v>0</v>
      </c>
      <c r="S597">
        <f t="shared" si="146"/>
        <v>0</v>
      </c>
      <c r="T597">
        <f t="shared" si="146"/>
        <v>0</v>
      </c>
      <c r="U597">
        <f t="shared" si="146"/>
        <v>0</v>
      </c>
      <c r="V597">
        <f t="shared" si="146"/>
        <v>0</v>
      </c>
      <c r="W597">
        <f t="shared" si="146"/>
        <v>0</v>
      </c>
      <c r="X597">
        <f t="shared" si="146"/>
        <v>0</v>
      </c>
      <c r="Y597">
        <f t="shared" si="146"/>
        <v>0</v>
      </c>
      <c r="Z597">
        <f t="shared" si="146"/>
        <v>0</v>
      </c>
      <c r="AA597">
        <f t="shared" si="146"/>
        <v>0</v>
      </c>
      <c r="AB597">
        <f t="shared" si="146"/>
        <v>0</v>
      </c>
      <c r="AC597">
        <f t="shared" si="146"/>
        <v>0</v>
      </c>
      <c r="AD597">
        <f t="shared" si="146"/>
        <v>0</v>
      </c>
      <c r="AE597">
        <f t="shared" si="146"/>
        <v>0</v>
      </c>
    </row>
    <row r="599" spans="1:31" x14ac:dyDescent="0.45">
      <c r="A599" t="s">
        <v>1512</v>
      </c>
      <c r="B599" t="s">
        <v>1434</v>
      </c>
      <c r="C599" t="s">
        <v>1357</v>
      </c>
      <c r="D599">
        <v>1</v>
      </c>
      <c r="E599" t="s">
        <v>1159</v>
      </c>
      <c r="L599">
        <v>4403.9283040472101</v>
      </c>
      <c r="M599">
        <v>4597.7011494252874</v>
      </c>
      <c r="N599">
        <v>4800</v>
      </c>
      <c r="O599">
        <v>5011.2</v>
      </c>
      <c r="P599">
        <v>5231.6927999999998</v>
      </c>
      <c r="Q599">
        <v>5461.8872831999997</v>
      </c>
      <c r="R599">
        <v>5702.2103236608</v>
      </c>
      <c r="S599">
        <v>5953.1075779018756</v>
      </c>
      <c r="T599">
        <v>6215.0443113295587</v>
      </c>
      <c r="U599">
        <v>6488.5062610280593</v>
      </c>
      <c r="V599">
        <v>6774.0005365132938</v>
      </c>
      <c r="W599">
        <v>7072.0565601198787</v>
      </c>
      <c r="X599">
        <v>7383.227048765154</v>
      </c>
      <c r="Y599">
        <v>7708.0890389108208</v>
      </c>
      <c r="Z599">
        <v>8047.244956622897</v>
      </c>
      <c r="AA599">
        <v>8401.323734714304</v>
      </c>
      <c r="AB599">
        <v>8770.9819790417332</v>
      </c>
      <c r="AC599">
        <v>9156.9051861195694</v>
      </c>
      <c r="AD599">
        <v>9559.8090143088302</v>
      </c>
      <c r="AE599">
        <v>9980.4406109384199</v>
      </c>
    </row>
    <row r="600" spans="1:31" x14ac:dyDescent="0.45">
      <c r="A600" t="s">
        <v>1512</v>
      </c>
      <c r="B600" t="s">
        <v>1434</v>
      </c>
      <c r="C600" t="s">
        <v>1357</v>
      </c>
      <c r="D600">
        <v>1</v>
      </c>
      <c r="E600" t="s">
        <v>1160</v>
      </c>
      <c r="K600" t="str">
        <f>IF(ISBLANK(Mitigation_Industry!K277),"",Mitigation_Industry!K277)</f>
        <v/>
      </c>
      <c r="L600">
        <f>IF(ISBLANK(Mitigation_Industry!L277),"",Mitigation_Industry!L277)</f>
        <v>4403.9283040472101</v>
      </c>
      <c r="M600">
        <f>IF(ISBLANK(Mitigation_Industry!M277),"",Mitigation_Industry!M277)</f>
        <v>4597.7011494252874</v>
      </c>
      <c r="N600">
        <f>IF(ISBLANK(Mitigation_Industry!N277),"",Mitigation_Industry!N277)</f>
        <v>4800</v>
      </c>
      <c r="O600">
        <f>IF(ISBLANK(Mitigation_Industry!O277),"",Mitigation_Industry!O277)</f>
        <v>5011.2</v>
      </c>
      <c r="P600">
        <f>IF(ISBLANK(Mitigation_Industry!P277),"",Mitigation_Industry!P277)</f>
        <v>5231.6927999999998</v>
      </c>
      <c r="Q600">
        <f>IF(ISBLANK(Mitigation_Industry!Q277),"",Mitigation_Industry!Q277)</f>
        <v>5461.8872831999997</v>
      </c>
      <c r="R600">
        <f>IF(ISBLANK(Mitigation_Industry!R277),"",Mitigation_Industry!R277)</f>
        <v>5702.2103236608</v>
      </c>
      <c r="S600">
        <f>IF(ISBLANK(Mitigation_Industry!S277),"",Mitigation_Industry!S277)</f>
        <v>5953.1075779018756</v>
      </c>
      <c r="T600">
        <f>IF(ISBLANK(Mitigation_Industry!T277),"",Mitigation_Industry!T277)</f>
        <v>6215.0443113295587</v>
      </c>
      <c r="U600">
        <f>IF(ISBLANK(Mitigation_Industry!U277),"",Mitigation_Industry!U277)</f>
        <v>6488.5062610280593</v>
      </c>
      <c r="V600">
        <f>IF(ISBLANK(Mitigation_Industry!V277),"",Mitigation_Industry!V277)</f>
        <v>6774.0005365132938</v>
      </c>
      <c r="W600">
        <f>IF(ISBLANK(Mitigation_Industry!W277),"",Mitigation_Industry!W277)</f>
        <v>7072.0565601198787</v>
      </c>
      <c r="X600">
        <f>IF(ISBLANK(Mitigation_Industry!X277),"",Mitigation_Industry!X277)</f>
        <v>7383.227048765154</v>
      </c>
      <c r="Y600">
        <f>IF(ISBLANK(Mitigation_Industry!Y277),"",Mitigation_Industry!Y277)</f>
        <v>7708.0890389108208</v>
      </c>
      <c r="Z600">
        <f>IF(ISBLANK(Mitigation_Industry!Z277),"",Mitigation_Industry!Z277)</f>
        <v>8047.244956622897</v>
      </c>
      <c r="AA600">
        <f>IF(ISBLANK(Mitigation_Industry!AA277),"",Mitigation_Industry!AA277)</f>
        <v>8401.323734714304</v>
      </c>
      <c r="AB600">
        <f>IF(ISBLANK(Mitigation_Industry!AB277),"",Mitigation_Industry!AB277)</f>
        <v>8770.9819790417332</v>
      </c>
      <c r="AC600">
        <f>IF(ISBLANK(Mitigation_Industry!AC277),"",Mitigation_Industry!AC277)</f>
        <v>9156.9051861195694</v>
      </c>
      <c r="AD600">
        <f>IF(ISBLANK(Mitigation_Industry!AD277),"",Mitigation_Industry!AD277)</f>
        <v>9559.8090143088302</v>
      </c>
      <c r="AE600">
        <f>IF(ISBLANK(Mitigation_Industry!AE277),"",Mitigation_Industry!AE277)</f>
        <v>9980.4406109384199</v>
      </c>
    </row>
    <row r="601" spans="1:31" x14ac:dyDescent="0.45">
      <c r="A601" t="s">
        <v>1512</v>
      </c>
      <c r="B601" t="s">
        <v>1434</v>
      </c>
      <c r="C601" t="s">
        <v>1357</v>
      </c>
      <c r="D601">
        <v>1</v>
      </c>
      <c r="E601" t="s">
        <v>1161</v>
      </c>
      <c r="F601">
        <f>MAX(MAX(L601:AE601),-MIN(L601:AE601))</f>
        <v>0</v>
      </c>
      <c r="I601" t="s">
        <v>1509</v>
      </c>
      <c r="K601">
        <f t="shared" ref="K601:AE601" si="147">IF(ISNUMBER(K599),IF(ISNUMBER(K600),K600-K599,999999),0)</f>
        <v>0</v>
      </c>
      <c r="L601">
        <f t="shared" si="147"/>
        <v>0</v>
      </c>
      <c r="M601">
        <f t="shared" si="147"/>
        <v>0</v>
      </c>
      <c r="N601">
        <f t="shared" si="147"/>
        <v>0</v>
      </c>
      <c r="O601">
        <f t="shared" si="147"/>
        <v>0</v>
      </c>
      <c r="P601">
        <f t="shared" si="147"/>
        <v>0</v>
      </c>
      <c r="Q601">
        <f t="shared" si="147"/>
        <v>0</v>
      </c>
      <c r="R601">
        <f t="shared" si="147"/>
        <v>0</v>
      </c>
      <c r="S601">
        <f t="shared" si="147"/>
        <v>0</v>
      </c>
      <c r="T601">
        <f t="shared" si="147"/>
        <v>0</v>
      </c>
      <c r="U601">
        <f t="shared" si="147"/>
        <v>0</v>
      </c>
      <c r="V601">
        <f t="shared" si="147"/>
        <v>0</v>
      </c>
      <c r="W601">
        <f t="shared" si="147"/>
        <v>0</v>
      </c>
      <c r="X601">
        <f t="shared" si="147"/>
        <v>0</v>
      </c>
      <c r="Y601">
        <f t="shared" si="147"/>
        <v>0</v>
      </c>
      <c r="Z601">
        <f t="shared" si="147"/>
        <v>0</v>
      </c>
      <c r="AA601">
        <f t="shared" si="147"/>
        <v>0</v>
      </c>
      <c r="AB601">
        <f t="shared" si="147"/>
        <v>0</v>
      </c>
      <c r="AC601">
        <f t="shared" si="147"/>
        <v>0</v>
      </c>
      <c r="AD601">
        <f t="shared" si="147"/>
        <v>0</v>
      </c>
      <c r="AE601">
        <f t="shared" si="147"/>
        <v>0</v>
      </c>
    </row>
    <row r="603" spans="1:31" x14ac:dyDescent="0.45">
      <c r="A603" t="s">
        <v>1513</v>
      </c>
      <c r="B603" t="s">
        <v>1434</v>
      </c>
      <c r="C603" t="s">
        <v>1363</v>
      </c>
      <c r="D603">
        <v>1</v>
      </c>
      <c r="E603" t="s">
        <v>1159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45">
      <c r="A604" t="s">
        <v>1513</v>
      </c>
      <c r="B604" t="s">
        <v>1434</v>
      </c>
      <c r="C604" t="s">
        <v>1363</v>
      </c>
      <c r="D604">
        <v>1</v>
      </c>
      <c r="E604" t="s">
        <v>1160</v>
      </c>
      <c r="K604" t="str">
        <f>IF(ISBLANK(Mitigation_Industry!K278),"",Mitigation_Industry!K278)</f>
        <v/>
      </c>
      <c r="L604">
        <f>IF(ISBLANK(Mitigation_Industry!L278),"",Mitigation_Industry!L278)</f>
        <v>0</v>
      </c>
      <c r="M604">
        <f>IF(ISBLANK(Mitigation_Industry!M278),"",Mitigation_Industry!M278)</f>
        <v>0</v>
      </c>
      <c r="N604">
        <f>IF(ISBLANK(Mitigation_Industry!N278),"",Mitigation_Industry!N278)</f>
        <v>0</v>
      </c>
      <c r="O604">
        <f>IF(ISBLANK(Mitigation_Industry!O278),"",Mitigation_Industry!O278)</f>
        <v>0</v>
      </c>
      <c r="P604">
        <f>IF(ISBLANK(Mitigation_Industry!P278),"",Mitigation_Industry!P278)</f>
        <v>0</v>
      </c>
      <c r="Q604">
        <f>IF(ISBLANK(Mitigation_Industry!Q278),"",Mitigation_Industry!Q278)</f>
        <v>0</v>
      </c>
      <c r="R604">
        <f>IF(ISBLANK(Mitigation_Industry!R278),"",Mitigation_Industry!R278)</f>
        <v>0</v>
      </c>
      <c r="S604">
        <f>IF(ISBLANK(Mitigation_Industry!S278),"",Mitigation_Industry!S278)</f>
        <v>0</v>
      </c>
      <c r="T604">
        <f>IF(ISBLANK(Mitigation_Industry!T278),"",Mitigation_Industry!T278)</f>
        <v>0</v>
      </c>
      <c r="U604">
        <f>IF(ISBLANK(Mitigation_Industry!U278),"",Mitigation_Industry!U278)</f>
        <v>0</v>
      </c>
      <c r="V604">
        <f>IF(ISBLANK(Mitigation_Industry!V278),"",Mitigation_Industry!V278)</f>
        <v>0</v>
      </c>
      <c r="W604">
        <f>IF(ISBLANK(Mitigation_Industry!W278),"",Mitigation_Industry!W278)</f>
        <v>0</v>
      </c>
      <c r="X604">
        <f>IF(ISBLANK(Mitigation_Industry!X278),"",Mitigation_Industry!X278)</f>
        <v>0</v>
      </c>
      <c r="Y604">
        <f>IF(ISBLANK(Mitigation_Industry!Y278),"",Mitigation_Industry!Y278)</f>
        <v>0</v>
      </c>
      <c r="Z604">
        <f>IF(ISBLANK(Mitigation_Industry!Z278),"",Mitigation_Industry!Z278)</f>
        <v>0</v>
      </c>
      <c r="AA604">
        <f>IF(ISBLANK(Mitigation_Industry!AA278),"",Mitigation_Industry!AA278)</f>
        <v>0</v>
      </c>
      <c r="AB604">
        <f>IF(ISBLANK(Mitigation_Industry!AB278),"",Mitigation_Industry!AB278)</f>
        <v>0</v>
      </c>
      <c r="AC604">
        <f>IF(ISBLANK(Mitigation_Industry!AC278),"",Mitigation_Industry!AC278)</f>
        <v>0</v>
      </c>
      <c r="AD604">
        <f>IF(ISBLANK(Mitigation_Industry!AD278),"",Mitigation_Industry!AD278)</f>
        <v>0</v>
      </c>
      <c r="AE604">
        <f>IF(ISBLANK(Mitigation_Industry!AE278),"",Mitigation_Industry!AE278)</f>
        <v>0</v>
      </c>
    </row>
    <row r="605" spans="1:31" x14ac:dyDescent="0.45">
      <c r="A605" t="s">
        <v>1513</v>
      </c>
      <c r="B605" t="s">
        <v>1434</v>
      </c>
      <c r="C605" t="s">
        <v>1363</v>
      </c>
      <c r="D605">
        <v>1</v>
      </c>
      <c r="E605" t="s">
        <v>1161</v>
      </c>
      <c r="F605">
        <f>MAX(MAX(L605:AE605),-MIN(L605:AE605))</f>
        <v>0</v>
      </c>
      <c r="I605" t="s">
        <v>1509</v>
      </c>
      <c r="K605">
        <f t="shared" ref="K605:AE605" si="148">IF(ISNUMBER(K603),IF(ISNUMBER(K604),K604-K603,999999),0)</f>
        <v>0</v>
      </c>
      <c r="L605">
        <f t="shared" si="148"/>
        <v>0</v>
      </c>
      <c r="M605">
        <f t="shared" si="148"/>
        <v>0</v>
      </c>
      <c r="N605">
        <f t="shared" si="148"/>
        <v>0</v>
      </c>
      <c r="O605">
        <f t="shared" si="148"/>
        <v>0</v>
      </c>
      <c r="P605">
        <f t="shared" si="148"/>
        <v>0</v>
      </c>
      <c r="Q605">
        <f t="shared" si="148"/>
        <v>0</v>
      </c>
      <c r="R605">
        <f t="shared" si="148"/>
        <v>0</v>
      </c>
      <c r="S605">
        <f t="shared" si="148"/>
        <v>0</v>
      </c>
      <c r="T605">
        <f t="shared" si="148"/>
        <v>0</v>
      </c>
      <c r="U605">
        <f t="shared" si="148"/>
        <v>0</v>
      </c>
      <c r="V605">
        <f t="shared" si="148"/>
        <v>0</v>
      </c>
      <c r="W605">
        <f t="shared" si="148"/>
        <v>0</v>
      </c>
      <c r="X605">
        <f t="shared" si="148"/>
        <v>0</v>
      </c>
      <c r="Y605">
        <f t="shared" si="148"/>
        <v>0</v>
      </c>
      <c r="Z605">
        <f t="shared" si="148"/>
        <v>0</v>
      </c>
      <c r="AA605">
        <f t="shared" si="148"/>
        <v>0</v>
      </c>
      <c r="AB605">
        <f t="shared" si="148"/>
        <v>0</v>
      </c>
      <c r="AC605">
        <f t="shared" si="148"/>
        <v>0</v>
      </c>
      <c r="AD605">
        <f t="shared" si="148"/>
        <v>0</v>
      </c>
      <c r="AE605">
        <f t="shared" si="148"/>
        <v>0</v>
      </c>
    </row>
    <row r="607" spans="1:31" x14ac:dyDescent="0.45">
      <c r="A607" t="s">
        <v>1514</v>
      </c>
      <c r="B607" t="s">
        <v>1434</v>
      </c>
      <c r="C607" t="s">
        <v>1369</v>
      </c>
      <c r="D607">
        <v>1</v>
      </c>
      <c r="E607" t="s">
        <v>1159</v>
      </c>
      <c r="L607">
        <v>46856.447775209017</v>
      </c>
      <c r="M607">
        <v>48402.710551790908</v>
      </c>
      <c r="N607">
        <v>50000</v>
      </c>
      <c r="O607">
        <v>51649.999999999993</v>
      </c>
      <c r="P607">
        <v>53354.44999999999</v>
      </c>
      <c r="Q607">
        <v>55115.146849999983</v>
      </c>
      <c r="R607">
        <v>56933.946696049978</v>
      </c>
      <c r="S607">
        <v>58812.766937019624</v>
      </c>
      <c r="T607">
        <v>60753.588245941268</v>
      </c>
      <c r="U607">
        <v>62758.456658057323</v>
      </c>
      <c r="V607">
        <v>64829.485727773208</v>
      </c>
      <c r="W607">
        <v>66968.858756789719</v>
      </c>
      <c r="X607">
        <v>69178.831095763773</v>
      </c>
      <c r="Y607">
        <v>71461.732521923972</v>
      </c>
      <c r="Z607">
        <v>73819.969695147462</v>
      </c>
      <c r="AA607">
        <v>76256.028695087327</v>
      </c>
      <c r="AB607">
        <v>78772.477642025202</v>
      </c>
      <c r="AC607">
        <v>81371.969404212025</v>
      </c>
      <c r="AD607">
        <v>84057.244394551017</v>
      </c>
      <c r="AE607">
        <v>86831.133459571196</v>
      </c>
    </row>
    <row r="608" spans="1:31" x14ac:dyDescent="0.45">
      <c r="A608" t="s">
        <v>1514</v>
      </c>
      <c r="B608" t="s">
        <v>1434</v>
      </c>
      <c r="C608" t="s">
        <v>1369</v>
      </c>
      <c r="D608">
        <v>1</v>
      </c>
      <c r="E608" t="s">
        <v>1160</v>
      </c>
      <c r="K608" t="str">
        <f>IF(ISBLANK(Mitigation_Industry!K279),"",Mitigation_Industry!K279)</f>
        <v/>
      </c>
      <c r="L608">
        <f>IF(ISBLANK(Mitigation_Industry!L279),"",Mitigation_Industry!L279)</f>
        <v>46856.447775209017</v>
      </c>
      <c r="M608">
        <f>IF(ISBLANK(Mitigation_Industry!M279),"",Mitigation_Industry!M279)</f>
        <v>48402.710551790908</v>
      </c>
      <c r="N608">
        <f>IF(ISBLANK(Mitigation_Industry!N279),"",Mitigation_Industry!N279)</f>
        <v>50000</v>
      </c>
      <c r="O608">
        <f>IF(ISBLANK(Mitigation_Industry!O279),"",Mitigation_Industry!O279)</f>
        <v>51649.999999999993</v>
      </c>
      <c r="P608">
        <f>IF(ISBLANK(Mitigation_Industry!P279),"",Mitigation_Industry!P279)</f>
        <v>53354.44999999999</v>
      </c>
      <c r="Q608">
        <f>IF(ISBLANK(Mitigation_Industry!Q279),"",Mitigation_Industry!Q279)</f>
        <v>55115.146849999983</v>
      </c>
      <c r="R608">
        <f>IF(ISBLANK(Mitigation_Industry!R279),"",Mitigation_Industry!R279)</f>
        <v>56933.946696049978</v>
      </c>
      <c r="S608">
        <f>IF(ISBLANK(Mitigation_Industry!S279),"",Mitigation_Industry!S279)</f>
        <v>58812.766937019624</v>
      </c>
      <c r="T608">
        <f>IF(ISBLANK(Mitigation_Industry!T279),"",Mitigation_Industry!T279)</f>
        <v>60753.588245941268</v>
      </c>
      <c r="U608">
        <f>IF(ISBLANK(Mitigation_Industry!U279),"",Mitigation_Industry!U279)</f>
        <v>62758.456658057323</v>
      </c>
      <c r="V608">
        <f>IF(ISBLANK(Mitigation_Industry!V279),"",Mitigation_Industry!V279)</f>
        <v>64829.485727773208</v>
      </c>
      <c r="W608">
        <f>IF(ISBLANK(Mitigation_Industry!W279),"",Mitigation_Industry!W279)</f>
        <v>66968.858756789719</v>
      </c>
      <c r="X608">
        <f>IF(ISBLANK(Mitigation_Industry!X279),"",Mitigation_Industry!X279)</f>
        <v>69178.831095763773</v>
      </c>
      <c r="Y608">
        <f>IF(ISBLANK(Mitigation_Industry!Y279),"",Mitigation_Industry!Y279)</f>
        <v>71461.732521923972</v>
      </c>
      <c r="Z608">
        <f>IF(ISBLANK(Mitigation_Industry!Z279),"",Mitigation_Industry!Z279)</f>
        <v>73819.969695147462</v>
      </c>
      <c r="AA608">
        <f>IF(ISBLANK(Mitigation_Industry!AA279),"",Mitigation_Industry!AA279)</f>
        <v>76256.028695087327</v>
      </c>
      <c r="AB608">
        <f>IF(ISBLANK(Mitigation_Industry!AB279),"",Mitigation_Industry!AB279)</f>
        <v>78772.477642025202</v>
      </c>
      <c r="AC608">
        <f>IF(ISBLANK(Mitigation_Industry!AC279),"",Mitigation_Industry!AC279)</f>
        <v>81371.969404212025</v>
      </c>
      <c r="AD608">
        <f>IF(ISBLANK(Mitigation_Industry!AD279),"",Mitigation_Industry!AD279)</f>
        <v>84057.244394551017</v>
      </c>
      <c r="AE608">
        <f>IF(ISBLANK(Mitigation_Industry!AE279),"",Mitigation_Industry!AE279)</f>
        <v>86831.133459571196</v>
      </c>
    </row>
    <row r="609" spans="1:31" x14ac:dyDescent="0.45">
      <c r="A609" t="s">
        <v>1514</v>
      </c>
      <c r="B609" t="s">
        <v>1434</v>
      </c>
      <c r="C609" t="s">
        <v>1369</v>
      </c>
      <c r="D609">
        <v>1</v>
      </c>
      <c r="E609" t="s">
        <v>1161</v>
      </c>
      <c r="F609">
        <f>MAX(MAX(L609:AE609),-MIN(L609:AE609))</f>
        <v>0</v>
      </c>
      <c r="I609" t="s">
        <v>1509</v>
      </c>
      <c r="K609">
        <f t="shared" ref="K609:AE609" si="149">IF(ISNUMBER(K607),IF(ISNUMBER(K608),K608-K607,999999),0)</f>
        <v>0</v>
      </c>
      <c r="L609">
        <f t="shared" si="149"/>
        <v>0</v>
      </c>
      <c r="M609">
        <f t="shared" si="149"/>
        <v>0</v>
      </c>
      <c r="N609">
        <f t="shared" si="149"/>
        <v>0</v>
      </c>
      <c r="O609">
        <f t="shared" si="149"/>
        <v>0</v>
      </c>
      <c r="P609">
        <f t="shared" si="149"/>
        <v>0</v>
      </c>
      <c r="Q609">
        <f t="shared" si="149"/>
        <v>0</v>
      </c>
      <c r="R609">
        <f t="shared" si="149"/>
        <v>0</v>
      </c>
      <c r="S609">
        <f t="shared" si="149"/>
        <v>0</v>
      </c>
      <c r="T609">
        <f t="shared" si="149"/>
        <v>0</v>
      </c>
      <c r="U609">
        <f t="shared" si="149"/>
        <v>0</v>
      </c>
      <c r="V609">
        <f t="shared" si="149"/>
        <v>0</v>
      </c>
      <c r="W609">
        <f t="shared" si="149"/>
        <v>0</v>
      </c>
      <c r="X609">
        <f t="shared" si="149"/>
        <v>0</v>
      </c>
      <c r="Y609">
        <f t="shared" si="149"/>
        <v>0</v>
      </c>
      <c r="Z609">
        <f t="shared" si="149"/>
        <v>0</v>
      </c>
      <c r="AA609">
        <f t="shared" si="149"/>
        <v>0</v>
      </c>
      <c r="AB609">
        <f t="shared" si="149"/>
        <v>0</v>
      </c>
      <c r="AC609">
        <f t="shared" si="149"/>
        <v>0</v>
      </c>
      <c r="AD609">
        <f t="shared" si="149"/>
        <v>0</v>
      </c>
      <c r="AE609">
        <f t="shared" si="149"/>
        <v>0</v>
      </c>
    </row>
    <row r="611" spans="1:31" x14ac:dyDescent="0.45">
      <c r="A611" t="s">
        <v>1515</v>
      </c>
      <c r="B611" t="s">
        <v>1434</v>
      </c>
      <c r="C611" t="s">
        <v>1442</v>
      </c>
      <c r="D611">
        <v>1</v>
      </c>
      <c r="E611" t="s">
        <v>1159</v>
      </c>
      <c r="L611">
        <v>1708.9778302013242</v>
      </c>
      <c r="M611">
        <v>1746.5753424657535</v>
      </c>
      <c r="N611">
        <v>1785</v>
      </c>
      <c r="O611">
        <v>1824.27</v>
      </c>
      <c r="P611">
        <v>1864.4039399999999</v>
      </c>
      <c r="Q611">
        <v>1905.4208266799999</v>
      </c>
      <c r="R611">
        <v>1947.3400848669598</v>
      </c>
      <c r="S611">
        <v>1990.1815667340329</v>
      </c>
      <c r="T611">
        <v>2033.9655612021818</v>
      </c>
      <c r="U611">
        <v>2078.7128035486298</v>
      </c>
      <c r="V611">
        <v>2124.4444852266997</v>
      </c>
      <c r="W611">
        <v>2171.1822639016873</v>
      </c>
      <c r="X611">
        <v>2218.9482737075245</v>
      </c>
      <c r="Y611">
        <v>2267.7651357290902</v>
      </c>
      <c r="Z611">
        <v>2317.6559687151303</v>
      </c>
      <c r="AA611">
        <v>2368.644400026863</v>
      </c>
      <c r="AB611">
        <v>2420.754576827454</v>
      </c>
      <c r="AC611">
        <v>2474.0111775176579</v>
      </c>
      <c r="AD611">
        <v>2528.4394234230463</v>
      </c>
      <c r="AE611">
        <v>2584.0650907383533</v>
      </c>
    </row>
    <row r="612" spans="1:31" x14ac:dyDescent="0.45">
      <c r="A612" t="s">
        <v>1515</v>
      </c>
      <c r="B612" t="s">
        <v>1434</v>
      </c>
      <c r="C612" t="s">
        <v>1442</v>
      </c>
      <c r="D612">
        <v>1</v>
      </c>
      <c r="E612" t="s">
        <v>1160</v>
      </c>
      <c r="K612" t="str">
        <f>IF(ISBLANK(Mitigation_Industry!K280),"",Mitigation_Industry!K280)</f>
        <v/>
      </c>
      <c r="L612">
        <f>IF(ISBLANK(Mitigation_Industry!L280),"",Mitigation_Industry!L280)</f>
        <v>1708.9778302013242</v>
      </c>
      <c r="M612">
        <f>IF(ISBLANK(Mitigation_Industry!M280),"",Mitigation_Industry!M280)</f>
        <v>1746.5753424657535</v>
      </c>
      <c r="N612">
        <f>IF(ISBLANK(Mitigation_Industry!N280),"",Mitigation_Industry!N280)</f>
        <v>1785</v>
      </c>
      <c r="O612">
        <f>IF(ISBLANK(Mitigation_Industry!O280),"",Mitigation_Industry!O280)</f>
        <v>1824.27</v>
      </c>
      <c r="P612">
        <f>IF(ISBLANK(Mitigation_Industry!P280),"",Mitigation_Industry!P280)</f>
        <v>1864.4039399999999</v>
      </c>
      <c r="Q612">
        <f>IF(ISBLANK(Mitigation_Industry!Q280),"",Mitigation_Industry!Q280)</f>
        <v>1905.4208266799999</v>
      </c>
      <c r="R612">
        <f>IF(ISBLANK(Mitigation_Industry!R280),"",Mitigation_Industry!R280)</f>
        <v>1947.3400848669598</v>
      </c>
      <c r="S612">
        <f>IF(ISBLANK(Mitigation_Industry!S280),"",Mitigation_Industry!S280)</f>
        <v>1990.1815667340329</v>
      </c>
      <c r="T612">
        <f>IF(ISBLANK(Mitigation_Industry!T280),"",Mitigation_Industry!T280)</f>
        <v>2033.9655612021818</v>
      </c>
      <c r="U612">
        <f>IF(ISBLANK(Mitigation_Industry!U280),"",Mitigation_Industry!U280)</f>
        <v>2078.7128035486298</v>
      </c>
      <c r="V612">
        <f>IF(ISBLANK(Mitigation_Industry!V280),"",Mitigation_Industry!V280)</f>
        <v>2124.4444852266997</v>
      </c>
      <c r="W612">
        <f>IF(ISBLANK(Mitigation_Industry!W280),"",Mitigation_Industry!W280)</f>
        <v>2171.1822639016873</v>
      </c>
      <c r="X612">
        <f>IF(ISBLANK(Mitigation_Industry!X280),"",Mitigation_Industry!X280)</f>
        <v>2218.9482737075245</v>
      </c>
      <c r="Y612">
        <f>IF(ISBLANK(Mitigation_Industry!Y280),"",Mitigation_Industry!Y280)</f>
        <v>2267.7651357290902</v>
      </c>
      <c r="Z612">
        <f>IF(ISBLANK(Mitigation_Industry!Z280),"",Mitigation_Industry!Z280)</f>
        <v>2317.6559687151303</v>
      </c>
      <c r="AA612">
        <f>IF(ISBLANK(Mitigation_Industry!AA280),"",Mitigation_Industry!AA280)</f>
        <v>2368.644400026863</v>
      </c>
      <c r="AB612">
        <f>IF(ISBLANK(Mitigation_Industry!AB280),"",Mitigation_Industry!AB280)</f>
        <v>2420.754576827454</v>
      </c>
      <c r="AC612">
        <f>IF(ISBLANK(Mitigation_Industry!AC280),"",Mitigation_Industry!AC280)</f>
        <v>2474.0111775176579</v>
      </c>
      <c r="AD612">
        <f>IF(ISBLANK(Mitigation_Industry!AD280),"",Mitigation_Industry!AD280)</f>
        <v>2528.4394234230463</v>
      </c>
      <c r="AE612">
        <f>IF(ISBLANK(Mitigation_Industry!AE280),"",Mitigation_Industry!AE280)</f>
        <v>2584.0650907383533</v>
      </c>
    </row>
    <row r="613" spans="1:31" x14ac:dyDescent="0.45">
      <c r="A613" t="s">
        <v>1515</v>
      </c>
      <c r="B613" t="s">
        <v>1434</v>
      </c>
      <c r="C613" t="s">
        <v>1442</v>
      </c>
      <c r="D613">
        <v>1</v>
      </c>
      <c r="E613" t="s">
        <v>1161</v>
      </c>
      <c r="F613">
        <f>MAX(MAX(L613:AE613),-MIN(L613:AE613))</f>
        <v>0</v>
      </c>
      <c r="I613" t="s">
        <v>1509</v>
      </c>
      <c r="K613">
        <f t="shared" ref="K613:AE613" si="150">IF(ISNUMBER(K611),IF(ISNUMBER(K612),K612-K611,999999),0)</f>
        <v>0</v>
      </c>
      <c r="L613">
        <f t="shared" si="150"/>
        <v>0</v>
      </c>
      <c r="M613">
        <f t="shared" si="150"/>
        <v>0</v>
      </c>
      <c r="N613">
        <f t="shared" si="150"/>
        <v>0</v>
      </c>
      <c r="O613">
        <f t="shared" si="150"/>
        <v>0</v>
      </c>
      <c r="P613">
        <f t="shared" si="150"/>
        <v>0</v>
      </c>
      <c r="Q613">
        <f t="shared" si="150"/>
        <v>0</v>
      </c>
      <c r="R613">
        <f t="shared" si="150"/>
        <v>0</v>
      </c>
      <c r="S613">
        <f t="shared" si="150"/>
        <v>0</v>
      </c>
      <c r="T613">
        <f t="shared" si="150"/>
        <v>0</v>
      </c>
      <c r="U613">
        <f t="shared" si="150"/>
        <v>0</v>
      </c>
      <c r="V613">
        <f t="shared" si="150"/>
        <v>0</v>
      </c>
      <c r="W613">
        <f t="shared" si="150"/>
        <v>0</v>
      </c>
      <c r="X613">
        <f t="shared" si="150"/>
        <v>0</v>
      </c>
      <c r="Y613">
        <f t="shared" si="150"/>
        <v>0</v>
      </c>
      <c r="Z613">
        <f t="shared" si="150"/>
        <v>0</v>
      </c>
      <c r="AA613">
        <f t="shared" si="150"/>
        <v>0</v>
      </c>
      <c r="AB613">
        <f t="shared" si="150"/>
        <v>0</v>
      </c>
      <c r="AC613">
        <f t="shared" si="150"/>
        <v>0</v>
      </c>
      <c r="AD613">
        <f t="shared" si="150"/>
        <v>0</v>
      </c>
      <c r="AE613">
        <f t="shared" si="150"/>
        <v>0</v>
      </c>
    </row>
    <row r="615" spans="1:31" x14ac:dyDescent="0.45">
      <c r="A615" t="s">
        <v>1516</v>
      </c>
      <c r="B615" t="s">
        <v>1434</v>
      </c>
      <c r="C615" t="s">
        <v>1383</v>
      </c>
      <c r="D615">
        <v>1</v>
      </c>
      <c r="E615" t="s">
        <v>1159</v>
      </c>
      <c r="L615">
        <v>2680.7495375707044</v>
      </c>
      <c r="M615">
        <v>2739.7260273972602</v>
      </c>
      <c r="N615">
        <v>2800</v>
      </c>
      <c r="O615">
        <v>2861.6</v>
      </c>
      <c r="P615">
        <v>2924.5551999999998</v>
      </c>
      <c r="Q615">
        <v>2988.8954143999999</v>
      </c>
      <c r="R615">
        <v>3054.6511135167998</v>
      </c>
      <c r="S615">
        <v>3121.8534380141696</v>
      </c>
      <c r="T615">
        <v>3190.5342136504814</v>
      </c>
      <c r="U615">
        <v>3260.7259663507921</v>
      </c>
      <c r="V615">
        <v>3332.4619376105097</v>
      </c>
      <c r="W615">
        <v>3405.7761002379411</v>
      </c>
      <c r="X615">
        <v>3480.7031744431761</v>
      </c>
      <c r="Y615">
        <v>3557.2786442809261</v>
      </c>
      <c r="Z615">
        <v>3635.5387744551067</v>
      </c>
      <c r="AA615">
        <v>3715.5206274931193</v>
      </c>
      <c r="AB615">
        <v>3797.2620812979681</v>
      </c>
      <c r="AC615">
        <v>3880.8018470865236</v>
      </c>
      <c r="AD615">
        <v>3966.179487722427</v>
      </c>
      <c r="AE615">
        <v>4053.4354364523206</v>
      </c>
    </row>
    <row r="616" spans="1:31" x14ac:dyDescent="0.45">
      <c r="A616" t="s">
        <v>1516</v>
      </c>
      <c r="B616" t="s">
        <v>1434</v>
      </c>
      <c r="C616" t="s">
        <v>1383</v>
      </c>
      <c r="D616">
        <v>1</v>
      </c>
      <c r="E616" t="s">
        <v>1160</v>
      </c>
      <c r="K616" t="str">
        <f>IF(ISBLANK(Mitigation_Industry!K281),"",Mitigation_Industry!K281)</f>
        <v/>
      </c>
      <c r="L616">
        <f>IF(ISBLANK(Mitigation_Industry!L281),"",Mitigation_Industry!L281)</f>
        <v>2680.7495375707044</v>
      </c>
      <c r="M616">
        <f>IF(ISBLANK(Mitigation_Industry!M281),"",Mitigation_Industry!M281)</f>
        <v>2739.7260273972602</v>
      </c>
      <c r="N616">
        <f>IF(ISBLANK(Mitigation_Industry!N281),"",Mitigation_Industry!N281)</f>
        <v>2800</v>
      </c>
      <c r="O616">
        <f>IF(ISBLANK(Mitigation_Industry!O281),"",Mitigation_Industry!O281)</f>
        <v>2861.6</v>
      </c>
      <c r="P616">
        <f>IF(ISBLANK(Mitigation_Industry!P281),"",Mitigation_Industry!P281)</f>
        <v>2924.5551999999998</v>
      </c>
      <c r="Q616">
        <f>IF(ISBLANK(Mitigation_Industry!Q281),"",Mitigation_Industry!Q281)</f>
        <v>2988.8954143999999</v>
      </c>
      <c r="R616">
        <f>IF(ISBLANK(Mitigation_Industry!R281),"",Mitigation_Industry!R281)</f>
        <v>3054.6511135167998</v>
      </c>
      <c r="S616">
        <f>IF(ISBLANK(Mitigation_Industry!S281),"",Mitigation_Industry!S281)</f>
        <v>3121.8534380141696</v>
      </c>
      <c r="T616">
        <f>IF(ISBLANK(Mitigation_Industry!T281),"",Mitigation_Industry!T281)</f>
        <v>3190.5342136504814</v>
      </c>
      <c r="U616">
        <f>IF(ISBLANK(Mitigation_Industry!U281),"",Mitigation_Industry!U281)</f>
        <v>3260.7259663507921</v>
      </c>
      <c r="V616">
        <f>IF(ISBLANK(Mitigation_Industry!V281),"",Mitigation_Industry!V281)</f>
        <v>3332.4619376105097</v>
      </c>
      <c r="W616">
        <f>IF(ISBLANK(Mitigation_Industry!W281),"",Mitigation_Industry!W281)</f>
        <v>3405.7761002379411</v>
      </c>
      <c r="X616">
        <f>IF(ISBLANK(Mitigation_Industry!X281),"",Mitigation_Industry!X281)</f>
        <v>3480.7031744431761</v>
      </c>
      <c r="Y616">
        <f>IF(ISBLANK(Mitigation_Industry!Y281),"",Mitigation_Industry!Y281)</f>
        <v>3557.2786442809261</v>
      </c>
      <c r="Z616">
        <f>IF(ISBLANK(Mitigation_Industry!Z281),"",Mitigation_Industry!Z281)</f>
        <v>3635.5387744551067</v>
      </c>
      <c r="AA616">
        <f>IF(ISBLANK(Mitigation_Industry!AA281),"",Mitigation_Industry!AA281)</f>
        <v>3715.5206274931193</v>
      </c>
      <c r="AB616">
        <f>IF(ISBLANK(Mitigation_Industry!AB281),"",Mitigation_Industry!AB281)</f>
        <v>3797.2620812979681</v>
      </c>
      <c r="AC616">
        <f>IF(ISBLANK(Mitigation_Industry!AC281),"",Mitigation_Industry!AC281)</f>
        <v>3880.8018470865236</v>
      </c>
      <c r="AD616">
        <f>IF(ISBLANK(Mitigation_Industry!AD281),"",Mitigation_Industry!AD281)</f>
        <v>3966.179487722427</v>
      </c>
      <c r="AE616">
        <f>IF(ISBLANK(Mitigation_Industry!AE281),"",Mitigation_Industry!AE281)</f>
        <v>4053.4354364523206</v>
      </c>
    </row>
    <row r="617" spans="1:31" x14ac:dyDescent="0.45">
      <c r="A617" t="s">
        <v>1516</v>
      </c>
      <c r="B617" t="s">
        <v>1434</v>
      </c>
      <c r="C617" t="s">
        <v>1383</v>
      </c>
      <c r="D617">
        <v>1</v>
      </c>
      <c r="E617" t="s">
        <v>1161</v>
      </c>
      <c r="F617">
        <f>MAX(MAX(L617:AE617),-MIN(L617:AE617))</f>
        <v>0</v>
      </c>
      <c r="I617" t="s">
        <v>1509</v>
      </c>
      <c r="K617">
        <f t="shared" ref="K617:AE617" si="151">IF(ISNUMBER(K615),IF(ISNUMBER(K616),K616-K615,999999),0)</f>
        <v>0</v>
      </c>
      <c r="L617">
        <f t="shared" si="151"/>
        <v>0</v>
      </c>
      <c r="M617">
        <f t="shared" si="151"/>
        <v>0</v>
      </c>
      <c r="N617">
        <f t="shared" si="151"/>
        <v>0</v>
      </c>
      <c r="O617">
        <f t="shared" si="151"/>
        <v>0</v>
      </c>
      <c r="P617">
        <f t="shared" si="151"/>
        <v>0</v>
      </c>
      <c r="Q617">
        <f t="shared" si="151"/>
        <v>0</v>
      </c>
      <c r="R617">
        <f t="shared" si="151"/>
        <v>0</v>
      </c>
      <c r="S617">
        <f t="shared" si="151"/>
        <v>0</v>
      </c>
      <c r="T617">
        <f t="shared" si="151"/>
        <v>0</v>
      </c>
      <c r="U617">
        <f t="shared" si="151"/>
        <v>0</v>
      </c>
      <c r="V617">
        <f t="shared" si="151"/>
        <v>0</v>
      </c>
      <c r="W617">
        <f t="shared" si="151"/>
        <v>0</v>
      </c>
      <c r="X617">
        <f t="shared" si="151"/>
        <v>0</v>
      </c>
      <c r="Y617">
        <f t="shared" si="151"/>
        <v>0</v>
      </c>
      <c r="Z617">
        <f t="shared" si="151"/>
        <v>0</v>
      </c>
      <c r="AA617">
        <f t="shared" si="151"/>
        <v>0</v>
      </c>
      <c r="AB617">
        <f t="shared" si="151"/>
        <v>0</v>
      </c>
      <c r="AC617">
        <f t="shared" si="151"/>
        <v>0</v>
      </c>
      <c r="AD617">
        <f t="shared" si="151"/>
        <v>0</v>
      </c>
      <c r="AE617">
        <f t="shared" si="151"/>
        <v>0</v>
      </c>
    </row>
    <row r="619" spans="1:31" x14ac:dyDescent="0.45">
      <c r="A619" t="s">
        <v>1517</v>
      </c>
      <c r="B619" t="s">
        <v>1434</v>
      </c>
      <c r="C619" t="s">
        <v>1390</v>
      </c>
      <c r="D619">
        <v>1</v>
      </c>
      <c r="E619" t="s">
        <v>1159</v>
      </c>
      <c r="L619">
        <v>574.44632947943671</v>
      </c>
      <c r="M619">
        <v>587.08414872798437</v>
      </c>
      <c r="N619">
        <v>600</v>
      </c>
      <c r="O619">
        <v>613.20000000000005</v>
      </c>
      <c r="P619">
        <v>626.69040000000007</v>
      </c>
      <c r="Q619">
        <v>640.47758880000004</v>
      </c>
      <c r="R619">
        <v>654.56809575360001</v>
      </c>
      <c r="S619">
        <v>668.96859386017923</v>
      </c>
      <c r="T619">
        <v>683.68590292510316</v>
      </c>
      <c r="U619">
        <v>698.72699278945549</v>
      </c>
      <c r="V619">
        <v>714.09898663082356</v>
      </c>
      <c r="W619">
        <v>729.80916433670166</v>
      </c>
      <c r="X619">
        <v>745.86496595210906</v>
      </c>
      <c r="Y619">
        <v>762.27399520305551</v>
      </c>
      <c r="Z619">
        <v>779.04402309752277</v>
      </c>
      <c r="AA619">
        <v>796.18299160566824</v>
      </c>
      <c r="AB619">
        <v>813.69901742099296</v>
      </c>
      <c r="AC619">
        <v>831.60039580425484</v>
      </c>
      <c r="AD619">
        <v>849.89560451194848</v>
      </c>
      <c r="AE619">
        <v>868.59330781121139</v>
      </c>
    </row>
    <row r="620" spans="1:31" x14ac:dyDescent="0.45">
      <c r="A620" t="s">
        <v>1517</v>
      </c>
      <c r="B620" t="s">
        <v>1434</v>
      </c>
      <c r="C620" t="s">
        <v>1390</v>
      </c>
      <c r="D620">
        <v>1</v>
      </c>
      <c r="E620" t="s">
        <v>1160</v>
      </c>
      <c r="K620" t="str">
        <f>IF(ISBLANK(Mitigation_Industry!K282),"",Mitigation_Industry!K282)</f>
        <v/>
      </c>
      <c r="L620">
        <f>IF(ISBLANK(Mitigation_Industry!L282),"",Mitigation_Industry!L282)</f>
        <v>574.44632947943671</v>
      </c>
      <c r="M620">
        <f>IF(ISBLANK(Mitigation_Industry!M282),"",Mitigation_Industry!M282)</f>
        <v>587.08414872798437</v>
      </c>
      <c r="N620">
        <f>IF(ISBLANK(Mitigation_Industry!N282),"",Mitigation_Industry!N282)</f>
        <v>600</v>
      </c>
      <c r="O620">
        <f>IF(ISBLANK(Mitigation_Industry!O282),"",Mitigation_Industry!O282)</f>
        <v>613.20000000000005</v>
      </c>
      <c r="P620">
        <f>IF(ISBLANK(Mitigation_Industry!P282),"",Mitigation_Industry!P282)</f>
        <v>626.69040000000007</v>
      </c>
      <c r="Q620">
        <f>IF(ISBLANK(Mitigation_Industry!Q282),"",Mitigation_Industry!Q282)</f>
        <v>640.47758880000004</v>
      </c>
      <c r="R620">
        <f>IF(ISBLANK(Mitigation_Industry!R282),"",Mitigation_Industry!R282)</f>
        <v>654.56809575360001</v>
      </c>
      <c r="S620">
        <f>IF(ISBLANK(Mitigation_Industry!S282),"",Mitigation_Industry!S282)</f>
        <v>668.96859386017923</v>
      </c>
      <c r="T620">
        <f>IF(ISBLANK(Mitigation_Industry!T282),"",Mitigation_Industry!T282)</f>
        <v>683.68590292510316</v>
      </c>
      <c r="U620">
        <f>IF(ISBLANK(Mitigation_Industry!U282),"",Mitigation_Industry!U282)</f>
        <v>698.72699278945549</v>
      </c>
      <c r="V620">
        <f>IF(ISBLANK(Mitigation_Industry!V282),"",Mitigation_Industry!V282)</f>
        <v>714.09898663082356</v>
      </c>
      <c r="W620">
        <f>IF(ISBLANK(Mitigation_Industry!W282),"",Mitigation_Industry!W282)</f>
        <v>729.80916433670166</v>
      </c>
      <c r="X620">
        <f>IF(ISBLANK(Mitigation_Industry!X282),"",Mitigation_Industry!X282)</f>
        <v>745.86496595210906</v>
      </c>
      <c r="Y620">
        <f>IF(ISBLANK(Mitigation_Industry!Y282),"",Mitigation_Industry!Y282)</f>
        <v>762.27399520305551</v>
      </c>
      <c r="Z620">
        <f>IF(ISBLANK(Mitigation_Industry!Z282),"",Mitigation_Industry!Z282)</f>
        <v>779.04402309752277</v>
      </c>
      <c r="AA620">
        <f>IF(ISBLANK(Mitigation_Industry!AA282),"",Mitigation_Industry!AA282)</f>
        <v>796.18299160566824</v>
      </c>
      <c r="AB620">
        <f>IF(ISBLANK(Mitigation_Industry!AB282),"",Mitigation_Industry!AB282)</f>
        <v>813.69901742099296</v>
      </c>
      <c r="AC620">
        <f>IF(ISBLANK(Mitigation_Industry!AC282),"",Mitigation_Industry!AC282)</f>
        <v>831.60039580425484</v>
      </c>
      <c r="AD620">
        <f>IF(ISBLANK(Mitigation_Industry!AD282),"",Mitigation_Industry!AD282)</f>
        <v>849.89560451194848</v>
      </c>
      <c r="AE620">
        <f>IF(ISBLANK(Mitigation_Industry!AE282),"",Mitigation_Industry!AE282)</f>
        <v>868.59330781121139</v>
      </c>
    </row>
    <row r="621" spans="1:31" x14ac:dyDescent="0.45">
      <c r="A621" t="s">
        <v>1517</v>
      </c>
      <c r="B621" t="s">
        <v>1434</v>
      </c>
      <c r="C621" t="s">
        <v>1390</v>
      </c>
      <c r="D621">
        <v>1</v>
      </c>
      <c r="E621" t="s">
        <v>1161</v>
      </c>
      <c r="F621">
        <f>MAX(MAX(L621:AE621),-MIN(L621:AE621))</f>
        <v>0</v>
      </c>
      <c r="I621" t="s">
        <v>1509</v>
      </c>
      <c r="K621">
        <f t="shared" ref="K621:AE621" si="152">IF(ISNUMBER(K619),IF(ISNUMBER(K620),K620-K619,999999),0)</f>
        <v>0</v>
      </c>
      <c r="L621">
        <f t="shared" si="152"/>
        <v>0</v>
      </c>
      <c r="M621">
        <f t="shared" si="152"/>
        <v>0</v>
      </c>
      <c r="N621">
        <f t="shared" si="152"/>
        <v>0</v>
      </c>
      <c r="O621">
        <f t="shared" si="152"/>
        <v>0</v>
      </c>
      <c r="P621">
        <f t="shared" si="152"/>
        <v>0</v>
      </c>
      <c r="Q621">
        <f t="shared" si="152"/>
        <v>0</v>
      </c>
      <c r="R621">
        <f t="shared" si="152"/>
        <v>0</v>
      </c>
      <c r="S621">
        <f t="shared" si="152"/>
        <v>0</v>
      </c>
      <c r="T621">
        <f t="shared" si="152"/>
        <v>0</v>
      </c>
      <c r="U621">
        <f t="shared" si="152"/>
        <v>0</v>
      </c>
      <c r="V621">
        <f t="shared" si="152"/>
        <v>0</v>
      </c>
      <c r="W621">
        <f t="shared" si="152"/>
        <v>0</v>
      </c>
      <c r="X621">
        <f t="shared" si="152"/>
        <v>0</v>
      </c>
      <c r="Y621">
        <f t="shared" si="152"/>
        <v>0</v>
      </c>
      <c r="Z621">
        <f t="shared" si="152"/>
        <v>0</v>
      </c>
      <c r="AA621">
        <f t="shared" si="152"/>
        <v>0</v>
      </c>
      <c r="AB621">
        <f t="shared" si="152"/>
        <v>0</v>
      </c>
      <c r="AC621">
        <f t="shared" si="152"/>
        <v>0</v>
      </c>
      <c r="AD621">
        <f t="shared" si="152"/>
        <v>0</v>
      </c>
      <c r="AE621">
        <f t="shared" si="152"/>
        <v>0</v>
      </c>
    </row>
    <row r="623" spans="1:31" x14ac:dyDescent="0.45">
      <c r="A623" t="s">
        <v>1518</v>
      </c>
      <c r="B623" t="s">
        <v>1434</v>
      </c>
      <c r="C623" t="s">
        <v>1397</v>
      </c>
      <c r="D623">
        <v>1</v>
      </c>
      <c r="E623" t="s">
        <v>1159</v>
      </c>
      <c r="L623">
        <v>269.53572471417982</v>
      </c>
      <c r="M623">
        <v>284.36018957345971</v>
      </c>
      <c r="N623">
        <v>300</v>
      </c>
      <c r="O623">
        <v>316.5</v>
      </c>
      <c r="P623">
        <v>333.90749999999997</v>
      </c>
      <c r="Q623">
        <v>352.27241249999997</v>
      </c>
      <c r="R623">
        <v>371.64739518749997</v>
      </c>
      <c r="S623">
        <v>392.08800192281245</v>
      </c>
      <c r="T623">
        <v>413.65284202856714</v>
      </c>
      <c r="U623">
        <v>436.40374834013829</v>
      </c>
      <c r="V623">
        <v>460.40595449884586</v>
      </c>
      <c r="W623">
        <v>485.72828199628236</v>
      </c>
      <c r="X623">
        <v>512.44333750607791</v>
      </c>
      <c r="Y623">
        <v>540.62772106891214</v>
      </c>
      <c r="Z623">
        <v>570.36224572770232</v>
      </c>
      <c r="AA623">
        <v>601.73216924272594</v>
      </c>
      <c r="AB623">
        <v>634.82743855107583</v>
      </c>
      <c r="AC623">
        <v>669.74294767138497</v>
      </c>
      <c r="AD623">
        <v>706.57880979331105</v>
      </c>
      <c r="AE623">
        <v>745.44064433194308</v>
      </c>
    </row>
    <row r="624" spans="1:31" x14ac:dyDescent="0.45">
      <c r="A624" t="s">
        <v>1518</v>
      </c>
      <c r="B624" t="s">
        <v>1434</v>
      </c>
      <c r="C624" t="s">
        <v>1397</v>
      </c>
      <c r="D624">
        <v>1</v>
      </c>
      <c r="E624" t="s">
        <v>1160</v>
      </c>
      <c r="K624" t="str">
        <f>IF(ISBLANK(Mitigation_Industry!K283),"",Mitigation_Industry!K283)</f>
        <v/>
      </c>
      <c r="L624">
        <f>IF(ISBLANK(Mitigation_Industry!L283),"",Mitigation_Industry!L283)</f>
        <v>269.53572471417982</v>
      </c>
      <c r="M624">
        <f>IF(ISBLANK(Mitigation_Industry!M283),"",Mitigation_Industry!M283)</f>
        <v>284.36018957345971</v>
      </c>
      <c r="N624">
        <f>IF(ISBLANK(Mitigation_Industry!N283),"",Mitigation_Industry!N283)</f>
        <v>300</v>
      </c>
      <c r="O624">
        <f>IF(ISBLANK(Mitigation_Industry!O283),"",Mitigation_Industry!O283)</f>
        <v>316.5</v>
      </c>
      <c r="P624">
        <f>IF(ISBLANK(Mitigation_Industry!P283),"",Mitigation_Industry!P283)</f>
        <v>333.90749999999997</v>
      </c>
      <c r="Q624">
        <f>IF(ISBLANK(Mitigation_Industry!Q283),"",Mitigation_Industry!Q283)</f>
        <v>352.27241249999997</v>
      </c>
      <c r="R624">
        <f>IF(ISBLANK(Mitigation_Industry!R283),"",Mitigation_Industry!R283)</f>
        <v>371.64739518749997</v>
      </c>
      <c r="S624">
        <f>IF(ISBLANK(Mitigation_Industry!S283),"",Mitigation_Industry!S283)</f>
        <v>392.08800192281245</v>
      </c>
      <c r="T624">
        <f>IF(ISBLANK(Mitigation_Industry!T283),"",Mitigation_Industry!T283)</f>
        <v>413.65284202856714</v>
      </c>
      <c r="U624">
        <f>IF(ISBLANK(Mitigation_Industry!U283),"",Mitigation_Industry!U283)</f>
        <v>436.40374834013829</v>
      </c>
      <c r="V624">
        <f>IF(ISBLANK(Mitigation_Industry!V283),"",Mitigation_Industry!V283)</f>
        <v>460.40595449884586</v>
      </c>
      <c r="W624">
        <f>IF(ISBLANK(Mitigation_Industry!W283),"",Mitigation_Industry!W283)</f>
        <v>485.72828199628236</v>
      </c>
      <c r="X624">
        <f>IF(ISBLANK(Mitigation_Industry!X283),"",Mitigation_Industry!X283)</f>
        <v>512.44333750607791</v>
      </c>
      <c r="Y624">
        <f>IF(ISBLANK(Mitigation_Industry!Y283),"",Mitigation_Industry!Y283)</f>
        <v>540.62772106891214</v>
      </c>
      <c r="Z624">
        <f>IF(ISBLANK(Mitigation_Industry!Z283),"",Mitigation_Industry!Z283)</f>
        <v>570.36224572770232</v>
      </c>
      <c r="AA624">
        <f>IF(ISBLANK(Mitigation_Industry!AA283),"",Mitigation_Industry!AA283)</f>
        <v>601.73216924272594</v>
      </c>
      <c r="AB624">
        <f>IF(ISBLANK(Mitigation_Industry!AB283),"",Mitigation_Industry!AB283)</f>
        <v>634.82743855107583</v>
      </c>
      <c r="AC624">
        <f>IF(ISBLANK(Mitigation_Industry!AC283),"",Mitigation_Industry!AC283)</f>
        <v>669.74294767138497</v>
      </c>
      <c r="AD624">
        <f>IF(ISBLANK(Mitigation_Industry!AD283),"",Mitigation_Industry!AD283)</f>
        <v>706.57880979331105</v>
      </c>
      <c r="AE624">
        <f>IF(ISBLANK(Mitigation_Industry!AE283),"",Mitigation_Industry!AE283)</f>
        <v>745.44064433194308</v>
      </c>
    </row>
    <row r="625" spans="1:31" x14ac:dyDescent="0.45">
      <c r="A625" t="s">
        <v>1518</v>
      </c>
      <c r="B625" t="s">
        <v>1434</v>
      </c>
      <c r="C625" t="s">
        <v>1397</v>
      </c>
      <c r="D625">
        <v>1</v>
      </c>
      <c r="E625" t="s">
        <v>1161</v>
      </c>
      <c r="F625">
        <f>MAX(MAX(L625:AE625),-MIN(L625:AE625))</f>
        <v>0</v>
      </c>
      <c r="I625" t="s">
        <v>1509</v>
      </c>
      <c r="K625">
        <f t="shared" ref="K625:AE625" si="153">IF(ISNUMBER(K623),IF(ISNUMBER(K624),K624-K623,999999),0)</f>
        <v>0</v>
      </c>
      <c r="L625">
        <f t="shared" si="153"/>
        <v>0</v>
      </c>
      <c r="M625">
        <f t="shared" si="153"/>
        <v>0</v>
      </c>
      <c r="N625">
        <f t="shared" si="153"/>
        <v>0</v>
      </c>
      <c r="O625">
        <f t="shared" si="153"/>
        <v>0</v>
      </c>
      <c r="P625">
        <f t="shared" si="153"/>
        <v>0</v>
      </c>
      <c r="Q625">
        <f t="shared" si="153"/>
        <v>0</v>
      </c>
      <c r="R625">
        <f t="shared" si="153"/>
        <v>0</v>
      </c>
      <c r="S625">
        <f t="shared" si="153"/>
        <v>0</v>
      </c>
      <c r="T625">
        <f t="shared" si="153"/>
        <v>0</v>
      </c>
      <c r="U625">
        <f t="shared" si="153"/>
        <v>0</v>
      </c>
      <c r="V625">
        <f t="shared" si="153"/>
        <v>0</v>
      </c>
      <c r="W625">
        <f t="shared" si="153"/>
        <v>0</v>
      </c>
      <c r="X625">
        <f t="shared" si="153"/>
        <v>0</v>
      </c>
      <c r="Y625">
        <f t="shared" si="153"/>
        <v>0</v>
      </c>
      <c r="Z625">
        <f t="shared" si="153"/>
        <v>0</v>
      </c>
      <c r="AA625">
        <f t="shared" si="153"/>
        <v>0</v>
      </c>
      <c r="AB625">
        <f t="shared" si="153"/>
        <v>0</v>
      </c>
      <c r="AC625">
        <f t="shared" si="153"/>
        <v>0</v>
      </c>
      <c r="AD625">
        <f t="shared" si="153"/>
        <v>0</v>
      </c>
      <c r="AE625">
        <f t="shared" si="153"/>
        <v>0</v>
      </c>
    </row>
    <row r="627" spans="1:31" x14ac:dyDescent="0.45">
      <c r="A627" t="s">
        <v>1519</v>
      </c>
      <c r="B627" t="s">
        <v>1447</v>
      </c>
      <c r="C627" t="s">
        <v>1450</v>
      </c>
      <c r="D627">
        <v>1</v>
      </c>
      <c r="E627" t="s">
        <v>1159</v>
      </c>
      <c r="L627">
        <v>750</v>
      </c>
      <c r="M627">
        <v>750</v>
      </c>
      <c r="N627">
        <v>750</v>
      </c>
      <c r="O627">
        <v>750</v>
      </c>
      <c r="P627">
        <v>750</v>
      </c>
      <c r="Q627">
        <v>750</v>
      </c>
      <c r="R627">
        <v>750</v>
      </c>
      <c r="S627">
        <v>750</v>
      </c>
      <c r="T627">
        <v>750</v>
      </c>
      <c r="U627">
        <v>750</v>
      </c>
      <c r="V627">
        <v>750</v>
      </c>
      <c r="W627">
        <v>750</v>
      </c>
      <c r="X627">
        <v>750</v>
      </c>
      <c r="Y627">
        <v>750</v>
      </c>
      <c r="Z627">
        <v>750</v>
      </c>
      <c r="AA627">
        <v>750</v>
      </c>
      <c r="AB627">
        <v>750</v>
      </c>
      <c r="AC627">
        <v>750</v>
      </c>
      <c r="AD627">
        <v>750</v>
      </c>
      <c r="AE627">
        <v>750</v>
      </c>
    </row>
    <row r="628" spans="1:31" x14ac:dyDescent="0.45">
      <c r="A628" t="s">
        <v>1519</v>
      </c>
      <c r="B628" t="s">
        <v>1447</v>
      </c>
      <c r="C628" t="s">
        <v>1450</v>
      </c>
      <c r="D628">
        <v>1</v>
      </c>
      <c r="E628" t="s">
        <v>1160</v>
      </c>
      <c r="K628" t="str">
        <f>IF(ISBLANK(Mitigation_Industry!K288),"",Mitigation_Industry!K288)</f>
        <v/>
      </c>
      <c r="L628">
        <f>IF(ISBLANK(Mitigation_Industry!L288),"",Mitigation_Industry!L288)</f>
        <v>750</v>
      </c>
      <c r="M628">
        <f>IF(ISBLANK(Mitigation_Industry!M288),"",Mitigation_Industry!M288)</f>
        <v>750</v>
      </c>
      <c r="N628">
        <f>IF(ISBLANK(Mitigation_Industry!N288),"",Mitigation_Industry!N288)</f>
        <v>750</v>
      </c>
      <c r="O628">
        <f>IF(ISBLANK(Mitigation_Industry!O288),"",Mitigation_Industry!O288)</f>
        <v>750</v>
      </c>
      <c r="P628">
        <f>IF(ISBLANK(Mitigation_Industry!P288),"",Mitigation_Industry!P288)</f>
        <v>750</v>
      </c>
      <c r="Q628">
        <f>IF(ISBLANK(Mitigation_Industry!Q288),"",Mitigation_Industry!Q288)</f>
        <v>750</v>
      </c>
      <c r="R628">
        <f>IF(ISBLANK(Mitigation_Industry!R288),"",Mitigation_Industry!R288)</f>
        <v>750</v>
      </c>
      <c r="S628">
        <f>IF(ISBLANK(Mitigation_Industry!S288),"",Mitigation_Industry!S288)</f>
        <v>750</v>
      </c>
      <c r="T628">
        <f>IF(ISBLANK(Mitigation_Industry!T288),"",Mitigation_Industry!T288)</f>
        <v>750</v>
      </c>
      <c r="U628">
        <f>IF(ISBLANK(Mitigation_Industry!U288),"",Mitigation_Industry!U288)</f>
        <v>750</v>
      </c>
      <c r="V628">
        <f>IF(ISBLANK(Mitigation_Industry!V288),"",Mitigation_Industry!V288)</f>
        <v>750</v>
      </c>
      <c r="W628">
        <f>IF(ISBLANK(Mitigation_Industry!W288),"",Mitigation_Industry!W288)</f>
        <v>750</v>
      </c>
      <c r="X628">
        <f>IF(ISBLANK(Mitigation_Industry!X288),"",Mitigation_Industry!X288)</f>
        <v>750</v>
      </c>
      <c r="Y628">
        <f>IF(ISBLANK(Mitigation_Industry!Y288),"",Mitigation_Industry!Y288)</f>
        <v>750</v>
      </c>
      <c r="Z628">
        <f>IF(ISBLANK(Mitigation_Industry!Z288),"",Mitigation_Industry!Z288)</f>
        <v>750</v>
      </c>
      <c r="AA628">
        <f>IF(ISBLANK(Mitigation_Industry!AA288),"",Mitigation_Industry!AA288)</f>
        <v>750</v>
      </c>
      <c r="AB628">
        <f>IF(ISBLANK(Mitigation_Industry!AB288),"",Mitigation_Industry!AB288)</f>
        <v>750</v>
      </c>
      <c r="AC628">
        <f>IF(ISBLANK(Mitigation_Industry!AC288),"",Mitigation_Industry!AC288)</f>
        <v>750</v>
      </c>
      <c r="AD628">
        <f>IF(ISBLANK(Mitigation_Industry!AD288),"",Mitigation_Industry!AD288)</f>
        <v>750</v>
      </c>
      <c r="AE628">
        <f>IF(ISBLANK(Mitigation_Industry!AE288),"",Mitigation_Industry!AE288)</f>
        <v>750</v>
      </c>
    </row>
    <row r="629" spans="1:31" x14ac:dyDescent="0.45">
      <c r="A629" t="s">
        <v>1519</v>
      </c>
      <c r="B629" t="s">
        <v>1447</v>
      </c>
      <c r="C629" t="s">
        <v>1450</v>
      </c>
      <c r="D629">
        <v>1</v>
      </c>
      <c r="E629" t="s">
        <v>1161</v>
      </c>
      <c r="F629">
        <f>MAX(MAX(L629:AE629),-MIN(L629:AE629))</f>
        <v>0</v>
      </c>
      <c r="I629" t="s">
        <v>1509</v>
      </c>
      <c r="K629">
        <f t="shared" ref="K629:AE629" si="154">IF(ISNUMBER(K627),IF(ISNUMBER(K628),K628-K627,999999),0)</f>
        <v>0</v>
      </c>
      <c r="L629">
        <f t="shared" si="154"/>
        <v>0</v>
      </c>
      <c r="M629">
        <f t="shared" si="154"/>
        <v>0</v>
      </c>
      <c r="N629">
        <f t="shared" si="154"/>
        <v>0</v>
      </c>
      <c r="O629">
        <f t="shared" si="154"/>
        <v>0</v>
      </c>
      <c r="P629">
        <f t="shared" si="154"/>
        <v>0</v>
      </c>
      <c r="Q629">
        <f t="shared" si="154"/>
        <v>0</v>
      </c>
      <c r="R629">
        <f t="shared" si="154"/>
        <v>0</v>
      </c>
      <c r="S629">
        <f t="shared" si="154"/>
        <v>0</v>
      </c>
      <c r="T629">
        <f t="shared" si="154"/>
        <v>0</v>
      </c>
      <c r="U629">
        <f t="shared" si="154"/>
        <v>0</v>
      </c>
      <c r="V629">
        <f t="shared" si="154"/>
        <v>0</v>
      </c>
      <c r="W629">
        <f t="shared" si="154"/>
        <v>0</v>
      </c>
      <c r="X629">
        <f t="shared" si="154"/>
        <v>0</v>
      </c>
      <c r="Y629">
        <f t="shared" si="154"/>
        <v>0</v>
      </c>
      <c r="Z629">
        <f t="shared" si="154"/>
        <v>0</v>
      </c>
      <c r="AA629">
        <f t="shared" si="154"/>
        <v>0</v>
      </c>
      <c r="AB629">
        <f t="shared" si="154"/>
        <v>0</v>
      </c>
      <c r="AC629">
        <f t="shared" si="154"/>
        <v>0</v>
      </c>
      <c r="AD629">
        <f t="shared" si="154"/>
        <v>0</v>
      </c>
      <c r="AE629">
        <f t="shared" si="154"/>
        <v>0</v>
      </c>
    </row>
    <row r="631" spans="1:31" x14ac:dyDescent="0.45">
      <c r="A631" t="s">
        <v>1520</v>
      </c>
      <c r="B631" t="s">
        <v>1447</v>
      </c>
      <c r="C631" t="s">
        <v>1453</v>
      </c>
      <c r="D631">
        <v>1</v>
      </c>
      <c r="E631" t="s">
        <v>1159</v>
      </c>
      <c r="L631">
        <v>680</v>
      </c>
      <c r="M631">
        <v>680</v>
      </c>
      <c r="N631">
        <v>680</v>
      </c>
      <c r="O631">
        <v>680</v>
      </c>
      <c r="P631">
        <v>680</v>
      </c>
      <c r="Q631">
        <v>680</v>
      </c>
      <c r="R631">
        <v>680</v>
      </c>
      <c r="S631">
        <v>680</v>
      </c>
      <c r="T631">
        <v>680</v>
      </c>
      <c r="U631">
        <v>680</v>
      </c>
      <c r="V631">
        <v>680</v>
      </c>
      <c r="W631">
        <v>680</v>
      </c>
      <c r="X631">
        <v>680</v>
      </c>
      <c r="Y631">
        <v>680</v>
      </c>
      <c r="Z631">
        <v>680</v>
      </c>
      <c r="AA631">
        <v>680</v>
      </c>
      <c r="AB631">
        <v>680</v>
      </c>
      <c r="AC631">
        <v>680</v>
      </c>
      <c r="AD631">
        <v>680</v>
      </c>
      <c r="AE631">
        <v>680</v>
      </c>
    </row>
    <row r="632" spans="1:31" x14ac:dyDescent="0.45">
      <c r="A632" t="s">
        <v>1520</v>
      </c>
      <c r="B632" t="s">
        <v>1447</v>
      </c>
      <c r="C632" t="s">
        <v>1453</v>
      </c>
      <c r="D632">
        <v>1</v>
      </c>
      <c r="E632" t="s">
        <v>1160</v>
      </c>
      <c r="K632" t="str">
        <f>IF(ISBLANK(Mitigation_Industry!K289),"",Mitigation_Industry!K289)</f>
        <v/>
      </c>
      <c r="L632">
        <f>IF(ISBLANK(Mitigation_Industry!L289),"",Mitigation_Industry!L289)</f>
        <v>680</v>
      </c>
      <c r="M632">
        <f>IF(ISBLANK(Mitigation_Industry!M289),"",Mitigation_Industry!M289)</f>
        <v>680</v>
      </c>
      <c r="N632">
        <f>IF(ISBLANK(Mitigation_Industry!N289),"",Mitigation_Industry!N289)</f>
        <v>680</v>
      </c>
      <c r="O632">
        <f>IF(ISBLANK(Mitigation_Industry!O289),"",Mitigation_Industry!O289)</f>
        <v>680</v>
      </c>
      <c r="P632">
        <f>IF(ISBLANK(Mitigation_Industry!P289),"",Mitigation_Industry!P289)</f>
        <v>680</v>
      </c>
      <c r="Q632">
        <f>IF(ISBLANK(Mitigation_Industry!Q289),"",Mitigation_Industry!Q289)</f>
        <v>680</v>
      </c>
      <c r="R632">
        <f>IF(ISBLANK(Mitigation_Industry!R289),"",Mitigation_Industry!R289)</f>
        <v>680</v>
      </c>
      <c r="S632">
        <f>IF(ISBLANK(Mitigation_Industry!S289),"",Mitigation_Industry!S289)</f>
        <v>680</v>
      </c>
      <c r="T632">
        <f>IF(ISBLANK(Mitigation_Industry!T289),"",Mitigation_Industry!T289)</f>
        <v>680</v>
      </c>
      <c r="U632">
        <f>IF(ISBLANK(Mitigation_Industry!U289),"",Mitigation_Industry!U289)</f>
        <v>680</v>
      </c>
      <c r="V632">
        <f>IF(ISBLANK(Mitigation_Industry!V289),"",Mitigation_Industry!V289)</f>
        <v>680</v>
      </c>
      <c r="W632">
        <f>IF(ISBLANK(Mitigation_Industry!W289),"",Mitigation_Industry!W289)</f>
        <v>680</v>
      </c>
      <c r="X632">
        <f>IF(ISBLANK(Mitigation_Industry!X289),"",Mitigation_Industry!X289)</f>
        <v>680</v>
      </c>
      <c r="Y632">
        <f>IF(ISBLANK(Mitigation_Industry!Y289),"",Mitigation_Industry!Y289)</f>
        <v>680</v>
      </c>
      <c r="Z632">
        <f>IF(ISBLANK(Mitigation_Industry!Z289),"",Mitigation_Industry!Z289)</f>
        <v>680</v>
      </c>
      <c r="AA632">
        <f>IF(ISBLANK(Mitigation_Industry!AA289),"",Mitigation_Industry!AA289)</f>
        <v>680</v>
      </c>
      <c r="AB632">
        <f>IF(ISBLANK(Mitigation_Industry!AB289),"",Mitigation_Industry!AB289)</f>
        <v>680</v>
      </c>
      <c r="AC632">
        <f>IF(ISBLANK(Mitigation_Industry!AC289),"",Mitigation_Industry!AC289)</f>
        <v>680</v>
      </c>
      <c r="AD632">
        <f>IF(ISBLANK(Mitigation_Industry!AD289),"",Mitigation_Industry!AD289)</f>
        <v>680</v>
      </c>
      <c r="AE632">
        <f>IF(ISBLANK(Mitigation_Industry!AE289),"",Mitigation_Industry!AE289)</f>
        <v>680</v>
      </c>
    </row>
    <row r="633" spans="1:31" x14ac:dyDescent="0.45">
      <c r="A633" t="s">
        <v>1520</v>
      </c>
      <c r="B633" t="s">
        <v>1447</v>
      </c>
      <c r="C633" t="s">
        <v>1453</v>
      </c>
      <c r="D633">
        <v>1</v>
      </c>
      <c r="E633" t="s">
        <v>1161</v>
      </c>
      <c r="F633">
        <f>MAX(MAX(L633:AE633),-MIN(L633:AE633))</f>
        <v>0</v>
      </c>
      <c r="I633" t="s">
        <v>1509</v>
      </c>
      <c r="K633">
        <f t="shared" ref="K633:AE633" si="155">IF(ISNUMBER(K631),IF(ISNUMBER(K632),K632-K631,999999),0)</f>
        <v>0</v>
      </c>
      <c r="L633">
        <f t="shared" si="155"/>
        <v>0</v>
      </c>
      <c r="M633">
        <f t="shared" si="155"/>
        <v>0</v>
      </c>
      <c r="N633">
        <f t="shared" si="155"/>
        <v>0</v>
      </c>
      <c r="O633">
        <f t="shared" si="155"/>
        <v>0</v>
      </c>
      <c r="P633">
        <f t="shared" si="155"/>
        <v>0</v>
      </c>
      <c r="Q633">
        <f t="shared" si="155"/>
        <v>0</v>
      </c>
      <c r="R633">
        <f t="shared" si="155"/>
        <v>0</v>
      </c>
      <c r="S633">
        <f t="shared" si="155"/>
        <v>0</v>
      </c>
      <c r="T633">
        <f t="shared" si="155"/>
        <v>0</v>
      </c>
      <c r="U633">
        <f t="shared" si="155"/>
        <v>0</v>
      </c>
      <c r="V633">
        <f t="shared" si="155"/>
        <v>0</v>
      </c>
      <c r="W633">
        <f t="shared" si="155"/>
        <v>0</v>
      </c>
      <c r="X633">
        <f t="shared" si="155"/>
        <v>0</v>
      </c>
      <c r="Y633">
        <f t="shared" si="155"/>
        <v>0</v>
      </c>
      <c r="Z633">
        <f t="shared" si="155"/>
        <v>0</v>
      </c>
      <c r="AA633">
        <f t="shared" si="155"/>
        <v>0</v>
      </c>
      <c r="AB633">
        <f t="shared" si="155"/>
        <v>0</v>
      </c>
      <c r="AC633">
        <f t="shared" si="155"/>
        <v>0</v>
      </c>
      <c r="AD633">
        <f t="shared" si="155"/>
        <v>0</v>
      </c>
      <c r="AE633">
        <f t="shared" si="155"/>
        <v>0</v>
      </c>
    </row>
    <row r="635" spans="1:31" x14ac:dyDescent="0.45">
      <c r="A635" t="s">
        <v>1521</v>
      </c>
      <c r="B635" t="s">
        <v>1447</v>
      </c>
      <c r="C635" t="s">
        <v>1456</v>
      </c>
      <c r="D635">
        <v>1</v>
      </c>
      <c r="E635" t="s">
        <v>1159</v>
      </c>
      <c r="L635">
        <v>620</v>
      </c>
      <c r="M635">
        <v>620</v>
      </c>
      <c r="N635">
        <v>620</v>
      </c>
      <c r="O635">
        <v>620</v>
      </c>
      <c r="P635">
        <v>620</v>
      </c>
      <c r="Q635">
        <v>620</v>
      </c>
      <c r="R635">
        <v>620</v>
      </c>
      <c r="S635">
        <v>620</v>
      </c>
      <c r="T635">
        <v>620</v>
      </c>
      <c r="U635">
        <v>620</v>
      </c>
      <c r="V635">
        <v>620</v>
      </c>
      <c r="W635">
        <v>620</v>
      </c>
      <c r="X635">
        <v>620</v>
      </c>
      <c r="Y635">
        <v>620</v>
      </c>
      <c r="Z635">
        <v>620</v>
      </c>
      <c r="AA635">
        <v>620</v>
      </c>
      <c r="AB635">
        <v>620</v>
      </c>
      <c r="AC635">
        <v>620</v>
      </c>
      <c r="AD635">
        <v>620</v>
      </c>
      <c r="AE635">
        <v>620</v>
      </c>
    </row>
    <row r="636" spans="1:31" x14ac:dyDescent="0.45">
      <c r="A636" t="s">
        <v>1521</v>
      </c>
      <c r="B636" t="s">
        <v>1447</v>
      </c>
      <c r="C636" t="s">
        <v>1456</v>
      </c>
      <c r="D636">
        <v>1</v>
      </c>
      <c r="E636" t="s">
        <v>1160</v>
      </c>
      <c r="K636" t="str">
        <f>IF(ISBLANK(Mitigation_Industry!K290),"",Mitigation_Industry!K290)</f>
        <v/>
      </c>
      <c r="L636">
        <f>IF(ISBLANK(Mitigation_Industry!L290),"",Mitigation_Industry!L290)</f>
        <v>620</v>
      </c>
      <c r="M636">
        <f>IF(ISBLANK(Mitigation_Industry!M290),"",Mitigation_Industry!M290)</f>
        <v>620</v>
      </c>
      <c r="N636">
        <f>IF(ISBLANK(Mitigation_Industry!N290),"",Mitigation_Industry!N290)</f>
        <v>620</v>
      </c>
      <c r="O636">
        <f>IF(ISBLANK(Mitigation_Industry!O290),"",Mitigation_Industry!O290)</f>
        <v>620</v>
      </c>
      <c r="P636">
        <f>IF(ISBLANK(Mitigation_Industry!P290),"",Mitigation_Industry!P290)</f>
        <v>620</v>
      </c>
      <c r="Q636">
        <f>IF(ISBLANK(Mitigation_Industry!Q290),"",Mitigation_Industry!Q290)</f>
        <v>620</v>
      </c>
      <c r="R636">
        <f>IF(ISBLANK(Mitigation_Industry!R290),"",Mitigation_Industry!R290)</f>
        <v>620</v>
      </c>
      <c r="S636">
        <f>IF(ISBLANK(Mitigation_Industry!S290),"",Mitigation_Industry!S290)</f>
        <v>620</v>
      </c>
      <c r="T636">
        <f>IF(ISBLANK(Mitigation_Industry!T290),"",Mitigation_Industry!T290)</f>
        <v>620</v>
      </c>
      <c r="U636">
        <f>IF(ISBLANK(Mitigation_Industry!U290),"",Mitigation_Industry!U290)</f>
        <v>620</v>
      </c>
      <c r="V636">
        <f>IF(ISBLANK(Mitigation_Industry!V290),"",Mitigation_Industry!V290)</f>
        <v>620</v>
      </c>
      <c r="W636">
        <f>IF(ISBLANK(Mitigation_Industry!W290),"",Mitigation_Industry!W290)</f>
        <v>620</v>
      </c>
      <c r="X636">
        <f>IF(ISBLANK(Mitigation_Industry!X290),"",Mitigation_Industry!X290)</f>
        <v>620</v>
      </c>
      <c r="Y636">
        <f>IF(ISBLANK(Mitigation_Industry!Y290),"",Mitigation_Industry!Y290)</f>
        <v>620</v>
      </c>
      <c r="Z636">
        <f>IF(ISBLANK(Mitigation_Industry!Z290),"",Mitigation_Industry!Z290)</f>
        <v>620</v>
      </c>
      <c r="AA636">
        <f>IF(ISBLANK(Mitigation_Industry!AA290),"",Mitigation_Industry!AA290)</f>
        <v>620</v>
      </c>
      <c r="AB636">
        <f>IF(ISBLANK(Mitigation_Industry!AB290),"",Mitigation_Industry!AB290)</f>
        <v>620</v>
      </c>
      <c r="AC636">
        <f>IF(ISBLANK(Mitigation_Industry!AC290),"",Mitigation_Industry!AC290)</f>
        <v>620</v>
      </c>
      <c r="AD636">
        <f>IF(ISBLANK(Mitigation_Industry!AD290),"",Mitigation_Industry!AD290)</f>
        <v>620</v>
      </c>
      <c r="AE636">
        <f>IF(ISBLANK(Mitigation_Industry!AE290),"",Mitigation_Industry!AE290)</f>
        <v>620</v>
      </c>
    </row>
    <row r="637" spans="1:31" x14ac:dyDescent="0.45">
      <c r="A637" t="s">
        <v>1521</v>
      </c>
      <c r="B637" t="s">
        <v>1447</v>
      </c>
      <c r="C637" t="s">
        <v>1456</v>
      </c>
      <c r="D637">
        <v>1</v>
      </c>
      <c r="E637" t="s">
        <v>1161</v>
      </c>
      <c r="F637">
        <f>MAX(MAX(L637:AE637),-MIN(L637:AE637))</f>
        <v>0</v>
      </c>
      <c r="I637" t="s">
        <v>1509</v>
      </c>
      <c r="K637">
        <f t="shared" ref="K637:AE637" si="156">IF(ISNUMBER(K635),IF(ISNUMBER(K636),K636-K635,999999),0)</f>
        <v>0</v>
      </c>
      <c r="L637">
        <f t="shared" si="156"/>
        <v>0</v>
      </c>
      <c r="M637">
        <f t="shared" si="156"/>
        <v>0</v>
      </c>
      <c r="N637">
        <f t="shared" si="156"/>
        <v>0</v>
      </c>
      <c r="O637">
        <f t="shared" si="156"/>
        <v>0</v>
      </c>
      <c r="P637">
        <f t="shared" si="156"/>
        <v>0</v>
      </c>
      <c r="Q637">
        <f t="shared" si="156"/>
        <v>0</v>
      </c>
      <c r="R637">
        <f t="shared" si="156"/>
        <v>0</v>
      </c>
      <c r="S637">
        <f t="shared" si="156"/>
        <v>0</v>
      </c>
      <c r="T637">
        <f t="shared" si="156"/>
        <v>0</v>
      </c>
      <c r="U637">
        <f t="shared" si="156"/>
        <v>0</v>
      </c>
      <c r="V637">
        <f t="shared" si="156"/>
        <v>0</v>
      </c>
      <c r="W637">
        <f t="shared" si="156"/>
        <v>0</v>
      </c>
      <c r="X637">
        <f t="shared" si="156"/>
        <v>0</v>
      </c>
      <c r="Y637">
        <f t="shared" si="156"/>
        <v>0</v>
      </c>
      <c r="Z637">
        <f t="shared" si="156"/>
        <v>0</v>
      </c>
      <c r="AA637">
        <f t="shared" si="156"/>
        <v>0</v>
      </c>
      <c r="AB637">
        <f t="shared" si="156"/>
        <v>0</v>
      </c>
      <c r="AC637">
        <f t="shared" si="156"/>
        <v>0</v>
      </c>
      <c r="AD637">
        <f t="shared" si="156"/>
        <v>0</v>
      </c>
      <c r="AE637">
        <f t="shared" si="156"/>
        <v>0</v>
      </c>
    </row>
    <row r="639" spans="1:31" x14ac:dyDescent="0.45">
      <c r="A639" t="s">
        <v>1522</v>
      </c>
      <c r="B639" t="s">
        <v>1447</v>
      </c>
      <c r="C639" t="s">
        <v>1459</v>
      </c>
      <c r="D639">
        <v>1</v>
      </c>
      <c r="E639" t="s">
        <v>1159</v>
      </c>
      <c r="L639">
        <v>110</v>
      </c>
      <c r="M639">
        <v>110</v>
      </c>
      <c r="N639">
        <v>110</v>
      </c>
      <c r="O639">
        <v>110</v>
      </c>
      <c r="P639">
        <v>110</v>
      </c>
      <c r="Q639">
        <v>110</v>
      </c>
      <c r="R639">
        <v>110</v>
      </c>
      <c r="S639">
        <v>110</v>
      </c>
      <c r="T639">
        <v>110</v>
      </c>
      <c r="U639">
        <v>110</v>
      </c>
      <c r="V639">
        <v>110</v>
      </c>
      <c r="W639">
        <v>110</v>
      </c>
      <c r="X639">
        <v>110</v>
      </c>
      <c r="Y639">
        <v>110</v>
      </c>
      <c r="Z639">
        <v>110</v>
      </c>
      <c r="AA639">
        <v>110</v>
      </c>
      <c r="AB639">
        <v>110</v>
      </c>
      <c r="AC639">
        <v>110</v>
      </c>
      <c r="AD639">
        <v>110</v>
      </c>
      <c r="AE639">
        <v>110</v>
      </c>
    </row>
    <row r="640" spans="1:31" x14ac:dyDescent="0.45">
      <c r="A640" t="s">
        <v>1522</v>
      </c>
      <c r="B640" t="s">
        <v>1447</v>
      </c>
      <c r="C640" t="s">
        <v>1459</v>
      </c>
      <c r="D640">
        <v>1</v>
      </c>
      <c r="E640" t="s">
        <v>1160</v>
      </c>
      <c r="K640" t="str">
        <f>IF(ISBLANK(Mitigation_Industry!K291),"",Mitigation_Industry!K291)</f>
        <v/>
      </c>
      <c r="L640">
        <f>IF(ISBLANK(Mitigation_Industry!L291),"",Mitigation_Industry!L291)</f>
        <v>110</v>
      </c>
      <c r="M640">
        <f>IF(ISBLANK(Mitigation_Industry!M291),"",Mitigation_Industry!M291)</f>
        <v>110</v>
      </c>
      <c r="N640">
        <f>IF(ISBLANK(Mitigation_Industry!N291),"",Mitigation_Industry!N291)</f>
        <v>110</v>
      </c>
      <c r="O640">
        <f>IF(ISBLANK(Mitigation_Industry!O291),"",Mitigation_Industry!O291)</f>
        <v>110</v>
      </c>
      <c r="P640">
        <f>IF(ISBLANK(Mitigation_Industry!P291),"",Mitigation_Industry!P291)</f>
        <v>110</v>
      </c>
      <c r="Q640">
        <f>IF(ISBLANK(Mitigation_Industry!Q291),"",Mitigation_Industry!Q291)</f>
        <v>110</v>
      </c>
      <c r="R640">
        <f>IF(ISBLANK(Mitigation_Industry!R291),"",Mitigation_Industry!R291)</f>
        <v>110</v>
      </c>
      <c r="S640">
        <f>IF(ISBLANK(Mitigation_Industry!S291),"",Mitigation_Industry!S291)</f>
        <v>110</v>
      </c>
      <c r="T640">
        <f>IF(ISBLANK(Mitigation_Industry!T291),"",Mitigation_Industry!T291)</f>
        <v>110</v>
      </c>
      <c r="U640">
        <f>IF(ISBLANK(Mitigation_Industry!U291),"",Mitigation_Industry!U291)</f>
        <v>110</v>
      </c>
      <c r="V640">
        <f>IF(ISBLANK(Mitigation_Industry!V291),"",Mitigation_Industry!V291)</f>
        <v>110</v>
      </c>
      <c r="W640">
        <f>IF(ISBLANK(Mitigation_Industry!W291),"",Mitigation_Industry!W291)</f>
        <v>110</v>
      </c>
      <c r="X640">
        <f>IF(ISBLANK(Mitigation_Industry!X291),"",Mitigation_Industry!X291)</f>
        <v>110</v>
      </c>
      <c r="Y640">
        <f>IF(ISBLANK(Mitigation_Industry!Y291),"",Mitigation_Industry!Y291)</f>
        <v>110</v>
      </c>
      <c r="Z640">
        <f>IF(ISBLANK(Mitigation_Industry!Z291),"",Mitigation_Industry!Z291)</f>
        <v>110</v>
      </c>
      <c r="AA640">
        <f>IF(ISBLANK(Mitigation_Industry!AA291),"",Mitigation_Industry!AA291)</f>
        <v>110</v>
      </c>
      <c r="AB640">
        <f>IF(ISBLANK(Mitigation_Industry!AB291),"",Mitigation_Industry!AB291)</f>
        <v>110</v>
      </c>
      <c r="AC640">
        <f>IF(ISBLANK(Mitigation_Industry!AC291),"",Mitigation_Industry!AC291)</f>
        <v>110</v>
      </c>
      <c r="AD640">
        <f>IF(ISBLANK(Mitigation_Industry!AD291),"",Mitigation_Industry!AD291)</f>
        <v>110</v>
      </c>
      <c r="AE640">
        <f>IF(ISBLANK(Mitigation_Industry!AE291),"",Mitigation_Industry!AE291)</f>
        <v>110</v>
      </c>
    </row>
    <row r="641" spans="1:31" x14ac:dyDescent="0.45">
      <c r="A641" t="s">
        <v>1522</v>
      </c>
      <c r="B641" t="s">
        <v>1447</v>
      </c>
      <c r="C641" t="s">
        <v>1459</v>
      </c>
      <c r="D641">
        <v>1</v>
      </c>
      <c r="E641" t="s">
        <v>1161</v>
      </c>
      <c r="F641">
        <f>MAX(MAX(L641:AE641),-MIN(L641:AE641))</f>
        <v>0</v>
      </c>
      <c r="I641" t="s">
        <v>1509</v>
      </c>
      <c r="K641">
        <f t="shared" ref="K641:AE641" si="157">IF(ISNUMBER(K639),IF(ISNUMBER(K640),K640-K639,999999),0)</f>
        <v>0</v>
      </c>
      <c r="L641">
        <f t="shared" si="157"/>
        <v>0</v>
      </c>
      <c r="M641">
        <f t="shared" si="157"/>
        <v>0</v>
      </c>
      <c r="N641">
        <f t="shared" si="157"/>
        <v>0</v>
      </c>
      <c r="O641">
        <f t="shared" si="157"/>
        <v>0</v>
      </c>
      <c r="P641">
        <f t="shared" si="157"/>
        <v>0</v>
      </c>
      <c r="Q641">
        <f t="shared" si="157"/>
        <v>0</v>
      </c>
      <c r="R641">
        <f t="shared" si="157"/>
        <v>0</v>
      </c>
      <c r="S641">
        <f t="shared" si="157"/>
        <v>0</v>
      </c>
      <c r="T641">
        <f t="shared" si="157"/>
        <v>0</v>
      </c>
      <c r="U641">
        <f t="shared" si="157"/>
        <v>0</v>
      </c>
      <c r="V641">
        <f t="shared" si="157"/>
        <v>0</v>
      </c>
      <c r="W641">
        <f t="shared" si="157"/>
        <v>0</v>
      </c>
      <c r="X641">
        <f t="shared" si="157"/>
        <v>0</v>
      </c>
      <c r="Y641">
        <f t="shared" si="157"/>
        <v>0</v>
      </c>
      <c r="Z641">
        <f t="shared" si="157"/>
        <v>0</v>
      </c>
      <c r="AA641">
        <f t="shared" si="157"/>
        <v>0</v>
      </c>
      <c r="AB641">
        <f t="shared" si="157"/>
        <v>0</v>
      </c>
      <c r="AC641">
        <f t="shared" si="157"/>
        <v>0</v>
      </c>
      <c r="AD641">
        <f t="shared" si="157"/>
        <v>0</v>
      </c>
      <c r="AE641">
        <f t="shared" si="157"/>
        <v>0</v>
      </c>
    </row>
    <row r="643" spans="1:31" x14ac:dyDescent="0.45">
      <c r="A643" t="s">
        <v>1523</v>
      </c>
      <c r="B643" t="s">
        <v>1447</v>
      </c>
      <c r="C643" t="s">
        <v>1462</v>
      </c>
      <c r="D643">
        <v>1</v>
      </c>
      <c r="E643" t="s">
        <v>1159</v>
      </c>
      <c r="L643">
        <v>450</v>
      </c>
      <c r="M643">
        <v>450</v>
      </c>
      <c r="N643">
        <v>450</v>
      </c>
      <c r="O643">
        <v>450</v>
      </c>
      <c r="P643">
        <v>450</v>
      </c>
      <c r="Q643">
        <v>450</v>
      </c>
      <c r="R643">
        <v>450</v>
      </c>
      <c r="S643">
        <v>450</v>
      </c>
      <c r="T643">
        <v>450</v>
      </c>
      <c r="U643">
        <v>450</v>
      </c>
      <c r="V643">
        <v>450</v>
      </c>
      <c r="W643">
        <v>450</v>
      </c>
      <c r="X643">
        <v>450</v>
      </c>
      <c r="Y643">
        <v>450</v>
      </c>
      <c r="Z643">
        <v>450</v>
      </c>
      <c r="AA643">
        <v>450</v>
      </c>
      <c r="AB643">
        <v>450</v>
      </c>
      <c r="AC643">
        <v>450</v>
      </c>
      <c r="AD643">
        <v>450</v>
      </c>
      <c r="AE643">
        <v>450</v>
      </c>
    </row>
    <row r="644" spans="1:31" x14ac:dyDescent="0.45">
      <c r="A644" t="s">
        <v>1523</v>
      </c>
      <c r="B644" t="s">
        <v>1447</v>
      </c>
      <c r="C644" t="s">
        <v>1462</v>
      </c>
      <c r="D644">
        <v>1</v>
      </c>
      <c r="E644" t="s">
        <v>1160</v>
      </c>
      <c r="K644" t="str">
        <f>IF(ISBLANK(Mitigation_Industry!K292),"",Mitigation_Industry!K292)</f>
        <v/>
      </c>
      <c r="L644">
        <f>IF(ISBLANK(Mitigation_Industry!L292),"",Mitigation_Industry!L292)</f>
        <v>450</v>
      </c>
      <c r="M644">
        <f>IF(ISBLANK(Mitigation_Industry!M292),"",Mitigation_Industry!M292)</f>
        <v>450</v>
      </c>
      <c r="N644">
        <f>IF(ISBLANK(Mitigation_Industry!N292),"",Mitigation_Industry!N292)</f>
        <v>450</v>
      </c>
      <c r="O644">
        <f>IF(ISBLANK(Mitigation_Industry!O292),"",Mitigation_Industry!O292)</f>
        <v>450</v>
      </c>
      <c r="P644">
        <f>IF(ISBLANK(Mitigation_Industry!P292),"",Mitigation_Industry!P292)</f>
        <v>450</v>
      </c>
      <c r="Q644">
        <f>IF(ISBLANK(Mitigation_Industry!Q292),"",Mitigation_Industry!Q292)</f>
        <v>450</v>
      </c>
      <c r="R644">
        <f>IF(ISBLANK(Mitigation_Industry!R292),"",Mitigation_Industry!R292)</f>
        <v>450</v>
      </c>
      <c r="S644">
        <f>IF(ISBLANK(Mitigation_Industry!S292),"",Mitigation_Industry!S292)</f>
        <v>450</v>
      </c>
      <c r="T644">
        <f>IF(ISBLANK(Mitigation_Industry!T292),"",Mitigation_Industry!T292)</f>
        <v>450</v>
      </c>
      <c r="U644">
        <f>IF(ISBLANK(Mitigation_Industry!U292),"",Mitigation_Industry!U292)</f>
        <v>450</v>
      </c>
      <c r="V644">
        <f>IF(ISBLANK(Mitigation_Industry!V292),"",Mitigation_Industry!V292)</f>
        <v>450</v>
      </c>
      <c r="W644">
        <f>IF(ISBLANK(Mitigation_Industry!W292),"",Mitigation_Industry!W292)</f>
        <v>450</v>
      </c>
      <c r="X644">
        <f>IF(ISBLANK(Mitigation_Industry!X292),"",Mitigation_Industry!X292)</f>
        <v>450</v>
      </c>
      <c r="Y644">
        <f>IF(ISBLANK(Mitigation_Industry!Y292),"",Mitigation_Industry!Y292)</f>
        <v>450</v>
      </c>
      <c r="Z644">
        <f>IF(ISBLANK(Mitigation_Industry!Z292),"",Mitigation_Industry!Z292)</f>
        <v>450</v>
      </c>
      <c r="AA644">
        <f>IF(ISBLANK(Mitigation_Industry!AA292),"",Mitigation_Industry!AA292)</f>
        <v>450</v>
      </c>
      <c r="AB644">
        <f>IF(ISBLANK(Mitigation_Industry!AB292),"",Mitigation_Industry!AB292)</f>
        <v>450</v>
      </c>
      <c r="AC644">
        <f>IF(ISBLANK(Mitigation_Industry!AC292),"",Mitigation_Industry!AC292)</f>
        <v>450</v>
      </c>
      <c r="AD644">
        <f>IF(ISBLANK(Mitigation_Industry!AD292),"",Mitigation_Industry!AD292)</f>
        <v>450</v>
      </c>
      <c r="AE644">
        <f>IF(ISBLANK(Mitigation_Industry!AE292),"",Mitigation_Industry!AE292)</f>
        <v>450</v>
      </c>
    </row>
    <row r="645" spans="1:31" x14ac:dyDescent="0.45">
      <c r="A645" t="s">
        <v>1523</v>
      </c>
      <c r="B645" t="s">
        <v>1447</v>
      </c>
      <c r="C645" t="s">
        <v>1462</v>
      </c>
      <c r="D645">
        <v>1</v>
      </c>
      <c r="E645" t="s">
        <v>1161</v>
      </c>
      <c r="F645">
        <f>MAX(MAX(L645:AE645),-MIN(L645:AE645))</f>
        <v>0</v>
      </c>
      <c r="I645" t="s">
        <v>1509</v>
      </c>
      <c r="K645">
        <f t="shared" ref="K645:AE645" si="158">IF(ISNUMBER(K643),IF(ISNUMBER(K644),K644-K643,999999),0)</f>
        <v>0</v>
      </c>
      <c r="L645">
        <f t="shared" si="158"/>
        <v>0</v>
      </c>
      <c r="M645">
        <f t="shared" si="158"/>
        <v>0</v>
      </c>
      <c r="N645">
        <f t="shared" si="158"/>
        <v>0</v>
      </c>
      <c r="O645">
        <f t="shared" si="158"/>
        <v>0</v>
      </c>
      <c r="P645">
        <f t="shared" si="158"/>
        <v>0</v>
      </c>
      <c r="Q645">
        <f t="shared" si="158"/>
        <v>0</v>
      </c>
      <c r="R645">
        <f t="shared" si="158"/>
        <v>0</v>
      </c>
      <c r="S645">
        <f t="shared" si="158"/>
        <v>0</v>
      </c>
      <c r="T645">
        <f t="shared" si="158"/>
        <v>0</v>
      </c>
      <c r="U645">
        <f t="shared" si="158"/>
        <v>0</v>
      </c>
      <c r="V645">
        <f t="shared" si="158"/>
        <v>0</v>
      </c>
      <c r="W645">
        <f t="shared" si="158"/>
        <v>0</v>
      </c>
      <c r="X645">
        <f t="shared" si="158"/>
        <v>0</v>
      </c>
      <c r="Y645">
        <f t="shared" si="158"/>
        <v>0</v>
      </c>
      <c r="Z645">
        <f t="shared" si="158"/>
        <v>0</v>
      </c>
      <c r="AA645">
        <f t="shared" si="158"/>
        <v>0</v>
      </c>
      <c r="AB645">
        <f t="shared" si="158"/>
        <v>0</v>
      </c>
      <c r="AC645">
        <f t="shared" si="158"/>
        <v>0</v>
      </c>
      <c r="AD645">
        <f t="shared" si="158"/>
        <v>0</v>
      </c>
      <c r="AE645">
        <f t="shared" si="158"/>
        <v>0</v>
      </c>
    </row>
    <row r="647" spans="1:31" x14ac:dyDescent="0.45">
      <c r="A647" t="s">
        <v>1524</v>
      </c>
      <c r="B647" t="s">
        <v>1447</v>
      </c>
      <c r="C647" t="s">
        <v>1465</v>
      </c>
      <c r="D647">
        <v>1</v>
      </c>
      <c r="E647" t="s">
        <v>1159</v>
      </c>
      <c r="L647">
        <v>380</v>
      </c>
      <c r="M647">
        <v>380</v>
      </c>
      <c r="N647">
        <v>380</v>
      </c>
      <c r="O647">
        <v>380</v>
      </c>
      <c r="P647">
        <v>380</v>
      </c>
      <c r="Q647">
        <v>380</v>
      </c>
      <c r="R647">
        <v>380</v>
      </c>
      <c r="S647">
        <v>380</v>
      </c>
      <c r="T647">
        <v>380</v>
      </c>
      <c r="U647">
        <v>380</v>
      </c>
      <c r="V647">
        <v>380</v>
      </c>
      <c r="W647">
        <v>380</v>
      </c>
      <c r="X647">
        <v>380</v>
      </c>
      <c r="Y647">
        <v>380</v>
      </c>
      <c r="Z647">
        <v>380</v>
      </c>
      <c r="AA647">
        <v>380</v>
      </c>
      <c r="AB647">
        <v>380</v>
      </c>
      <c r="AC647">
        <v>380</v>
      </c>
      <c r="AD647">
        <v>380</v>
      </c>
      <c r="AE647">
        <v>380</v>
      </c>
    </row>
    <row r="648" spans="1:31" x14ac:dyDescent="0.45">
      <c r="A648" t="s">
        <v>1524</v>
      </c>
      <c r="B648" t="s">
        <v>1447</v>
      </c>
      <c r="C648" t="s">
        <v>1465</v>
      </c>
      <c r="D648">
        <v>1</v>
      </c>
      <c r="E648" t="s">
        <v>1160</v>
      </c>
      <c r="K648" t="str">
        <f>IF(ISBLANK(Mitigation_Industry!K293),"",Mitigation_Industry!K293)</f>
        <v/>
      </c>
      <c r="L648">
        <f>IF(ISBLANK(Mitigation_Industry!L293),"",Mitigation_Industry!L293)</f>
        <v>380</v>
      </c>
      <c r="M648">
        <f>IF(ISBLANK(Mitigation_Industry!M293),"",Mitigation_Industry!M293)</f>
        <v>380</v>
      </c>
      <c r="N648">
        <f>IF(ISBLANK(Mitigation_Industry!N293),"",Mitigation_Industry!N293)</f>
        <v>380</v>
      </c>
      <c r="O648">
        <f>IF(ISBLANK(Mitigation_Industry!O293),"",Mitigation_Industry!O293)</f>
        <v>380</v>
      </c>
      <c r="P648">
        <f>IF(ISBLANK(Mitigation_Industry!P293),"",Mitigation_Industry!P293)</f>
        <v>380</v>
      </c>
      <c r="Q648">
        <f>IF(ISBLANK(Mitigation_Industry!Q293),"",Mitigation_Industry!Q293)</f>
        <v>380</v>
      </c>
      <c r="R648">
        <f>IF(ISBLANK(Mitigation_Industry!R293),"",Mitigation_Industry!R293)</f>
        <v>380</v>
      </c>
      <c r="S648">
        <f>IF(ISBLANK(Mitigation_Industry!S293),"",Mitigation_Industry!S293)</f>
        <v>380</v>
      </c>
      <c r="T648">
        <f>IF(ISBLANK(Mitigation_Industry!T293),"",Mitigation_Industry!T293)</f>
        <v>380</v>
      </c>
      <c r="U648">
        <f>IF(ISBLANK(Mitigation_Industry!U293),"",Mitigation_Industry!U293)</f>
        <v>380</v>
      </c>
      <c r="V648">
        <f>IF(ISBLANK(Mitigation_Industry!V293),"",Mitigation_Industry!V293)</f>
        <v>380</v>
      </c>
      <c r="W648">
        <f>IF(ISBLANK(Mitigation_Industry!W293),"",Mitigation_Industry!W293)</f>
        <v>380</v>
      </c>
      <c r="X648">
        <f>IF(ISBLANK(Mitigation_Industry!X293),"",Mitigation_Industry!X293)</f>
        <v>380</v>
      </c>
      <c r="Y648">
        <f>IF(ISBLANK(Mitigation_Industry!Y293),"",Mitigation_Industry!Y293)</f>
        <v>380</v>
      </c>
      <c r="Z648">
        <f>IF(ISBLANK(Mitigation_Industry!Z293),"",Mitigation_Industry!Z293)</f>
        <v>380</v>
      </c>
      <c r="AA648">
        <f>IF(ISBLANK(Mitigation_Industry!AA293),"",Mitigation_Industry!AA293)</f>
        <v>380</v>
      </c>
      <c r="AB648">
        <f>IF(ISBLANK(Mitigation_Industry!AB293),"",Mitigation_Industry!AB293)</f>
        <v>380</v>
      </c>
      <c r="AC648">
        <f>IF(ISBLANK(Mitigation_Industry!AC293),"",Mitigation_Industry!AC293)</f>
        <v>380</v>
      </c>
      <c r="AD648">
        <f>IF(ISBLANK(Mitigation_Industry!AD293),"",Mitigation_Industry!AD293)</f>
        <v>380</v>
      </c>
      <c r="AE648">
        <f>IF(ISBLANK(Mitigation_Industry!AE293),"",Mitigation_Industry!AE293)</f>
        <v>380</v>
      </c>
    </row>
    <row r="649" spans="1:31" x14ac:dyDescent="0.45">
      <c r="A649" t="s">
        <v>1524</v>
      </c>
      <c r="B649" t="s">
        <v>1447</v>
      </c>
      <c r="C649" t="s">
        <v>1465</v>
      </c>
      <c r="D649">
        <v>1</v>
      </c>
      <c r="E649" t="s">
        <v>1161</v>
      </c>
      <c r="F649">
        <f>MAX(MAX(L649:AE649),-MIN(L649:AE649))</f>
        <v>0</v>
      </c>
      <c r="I649" t="s">
        <v>1509</v>
      </c>
      <c r="K649">
        <f t="shared" ref="K649:AE649" si="159">IF(ISNUMBER(K647),IF(ISNUMBER(K648),K648-K647,999999),0)</f>
        <v>0</v>
      </c>
      <c r="L649">
        <f t="shared" si="159"/>
        <v>0</v>
      </c>
      <c r="M649">
        <f t="shared" si="159"/>
        <v>0</v>
      </c>
      <c r="N649">
        <f t="shared" si="159"/>
        <v>0</v>
      </c>
      <c r="O649">
        <f t="shared" si="159"/>
        <v>0</v>
      </c>
      <c r="P649">
        <f t="shared" si="159"/>
        <v>0</v>
      </c>
      <c r="Q649">
        <f t="shared" si="159"/>
        <v>0</v>
      </c>
      <c r="R649">
        <f t="shared" si="159"/>
        <v>0</v>
      </c>
      <c r="S649">
        <f t="shared" si="159"/>
        <v>0</v>
      </c>
      <c r="T649">
        <f t="shared" si="159"/>
        <v>0</v>
      </c>
      <c r="U649">
        <f t="shared" si="159"/>
        <v>0</v>
      </c>
      <c r="V649">
        <f t="shared" si="159"/>
        <v>0</v>
      </c>
      <c r="W649">
        <f t="shared" si="159"/>
        <v>0</v>
      </c>
      <c r="X649">
        <f t="shared" si="159"/>
        <v>0</v>
      </c>
      <c r="Y649">
        <f t="shared" si="159"/>
        <v>0</v>
      </c>
      <c r="Z649">
        <f t="shared" si="159"/>
        <v>0</v>
      </c>
      <c r="AA649">
        <f t="shared" si="159"/>
        <v>0</v>
      </c>
      <c r="AB649">
        <f t="shared" si="159"/>
        <v>0</v>
      </c>
      <c r="AC649">
        <f t="shared" si="159"/>
        <v>0</v>
      </c>
      <c r="AD649">
        <f t="shared" si="159"/>
        <v>0</v>
      </c>
      <c r="AE649">
        <f t="shared" si="159"/>
        <v>0</v>
      </c>
    </row>
    <row r="651" spans="1:31" x14ac:dyDescent="0.45">
      <c r="A651" t="s">
        <v>1525</v>
      </c>
      <c r="B651" t="s">
        <v>1447</v>
      </c>
      <c r="C651" t="s">
        <v>1468</v>
      </c>
      <c r="D651">
        <v>1</v>
      </c>
      <c r="E651" t="s">
        <v>1159</v>
      </c>
      <c r="L651">
        <v>320</v>
      </c>
      <c r="M651">
        <v>320</v>
      </c>
      <c r="N651">
        <v>320</v>
      </c>
      <c r="O651">
        <v>320</v>
      </c>
      <c r="P651">
        <v>320</v>
      </c>
      <c r="Q651">
        <v>320</v>
      </c>
      <c r="R651">
        <v>320</v>
      </c>
      <c r="S651">
        <v>320</v>
      </c>
      <c r="T651">
        <v>320</v>
      </c>
      <c r="U651">
        <v>320</v>
      </c>
      <c r="V651">
        <v>320</v>
      </c>
      <c r="W651">
        <v>320</v>
      </c>
      <c r="X651">
        <v>320</v>
      </c>
      <c r="Y651">
        <v>320</v>
      </c>
      <c r="Z651">
        <v>320</v>
      </c>
      <c r="AA651">
        <v>320</v>
      </c>
      <c r="AB651">
        <v>320</v>
      </c>
      <c r="AC651">
        <v>320</v>
      </c>
      <c r="AD651">
        <v>320</v>
      </c>
      <c r="AE651">
        <v>320</v>
      </c>
    </row>
    <row r="652" spans="1:31" x14ac:dyDescent="0.45">
      <c r="A652" t="s">
        <v>1525</v>
      </c>
      <c r="B652" t="s">
        <v>1447</v>
      </c>
      <c r="C652" t="s">
        <v>1468</v>
      </c>
      <c r="D652">
        <v>1</v>
      </c>
      <c r="E652" t="s">
        <v>1160</v>
      </c>
      <c r="K652" t="str">
        <f>IF(ISBLANK(Mitigation_Industry!K294),"",Mitigation_Industry!K294)</f>
        <v/>
      </c>
      <c r="L652">
        <f>IF(ISBLANK(Mitigation_Industry!L294),"",Mitigation_Industry!L294)</f>
        <v>320</v>
      </c>
      <c r="M652">
        <f>IF(ISBLANK(Mitigation_Industry!M294),"",Mitigation_Industry!M294)</f>
        <v>320</v>
      </c>
      <c r="N652">
        <f>IF(ISBLANK(Mitigation_Industry!N294),"",Mitigation_Industry!N294)</f>
        <v>320</v>
      </c>
      <c r="O652">
        <f>IF(ISBLANK(Mitigation_Industry!O294),"",Mitigation_Industry!O294)</f>
        <v>320</v>
      </c>
      <c r="P652">
        <f>IF(ISBLANK(Mitigation_Industry!P294),"",Mitigation_Industry!P294)</f>
        <v>320</v>
      </c>
      <c r="Q652">
        <f>IF(ISBLANK(Mitigation_Industry!Q294),"",Mitigation_Industry!Q294)</f>
        <v>320</v>
      </c>
      <c r="R652">
        <f>IF(ISBLANK(Mitigation_Industry!R294),"",Mitigation_Industry!R294)</f>
        <v>320</v>
      </c>
      <c r="S652">
        <f>IF(ISBLANK(Mitigation_Industry!S294),"",Mitigation_Industry!S294)</f>
        <v>320</v>
      </c>
      <c r="T652">
        <f>IF(ISBLANK(Mitigation_Industry!T294),"",Mitigation_Industry!T294)</f>
        <v>320</v>
      </c>
      <c r="U652">
        <f>IF(ISBLANK(Mitigation_Industry!U294),"",Mitigation_Industry!U294)</f>
        <v>320</v>
      </c>
      <c r="V652">
        <f>IF(ISBLANK(Mitigation_Industry!V294),"",Mitigation_Industry!V294)</f>
        <v>320</v>
      </c>
      <c r="W652">
        <f>IF(ISBLANK(Mitigation_Industry!W294),"",Mitigation_Industry!W294)</f>
        <v>320</v>
      </c>
      <c r="X652">
        <f>IF(ISBLANK(Mitigation_Industry!X294),"",Mitigation_Industry!X294)</f>
        <v>320</v>
      </c>
      <c r="Y652">
        <f>IF(ISBLANK(Mitigation_Industry!Y294),"",Mitigation_Industry!Y294)</f>
        <v>320</v>
      </c>
      <c r="Z652">
        <f>IF(ISBLANK(Mitigation_Industry!Z294),"",Mitigation_Industry!Z294)</f>
        <v>320</v>
      </c>
      <c r="AA652">
        <f>IF(ISBLANK(Mitigation_Industry!AA294),"",Mitigation_Industry!AA294)</f>
        <v>320</v>
      </c>
      <c r="AB652">
        <f>IF(ISBLANK(Mitigation_Industry!AB294),"",Mitigation_Industry!AB294)</f>
        <v>320</v>
      </c>
      <c r="AC652">
        <f>IF(ISBLANK(Mitigation_Industry!AC294),"",Mitigation_Industry!AC294)</f>
        <v>320</v>
      </c>
      <c r="AD652">
        <f>IF(ISBLANK(Mitigation_Industry!AD294),"",Mitigation_Industry!AD294)</f>
        <v>320</v>
      </c>
      <c r="AE652">
        <f>IF(ISBLANK(Mitigation_Industry!AE294),"",Mitigation_Industry!AE294)</f>
        <v>320</v>
      </c>
    </row>
    <row r="653" spans="1:31" x14ac:dyDescent="0.45">
      <c r="A653" t="s">
        <v>1525</v>
      </c>
      <c r="B653" t="s">
        <v>1447</v>
      </c>
      <c r="C653" t="s">
        <v>1468</v>
      </c>
      <c r="D653">
        <v>1</v>
      </c>
      <c r="E653" t="s">
        <v>1161</v>
      </c>
      <c r="F653">
        <f>MAX(MAX(L653:AE653),-MIN(L653:AE653))</f>
        <v>0</v>
      </c>
      <c r="I653" t="s">
        <v>1509</v>
      </c>
      <c r="K653">
        <f t="shared" ref="K653:AE653" si="160">IF(ISNUMBER(K651),IF(ISNUMBER(K652),K652-K651,999999),0)</f>
        <v>0</v>
      </c>
      <c r="L653">
        <f t="shared" si="160"/>
        <v>0</v>
      </c>
      <c r="M653">
        <f t="shared" si="160"/>
        <v>0</v>
      </c>
      <c r="N653">
        <f t="shared" si="160"/>
        <v>0</v>
      </c>
      <c r="O653">
        <f t="shared" si="160"/>
        <v>0</v>
      </c>
      <c r="P653">
        <f t="shared" si="160"/>
        <v>0</v>
      </c>
      <c r="Q653">
        <f t="shared" si="160"/>
        <v>0</v>
      </c>
      <c r="R653">
        <f t="shared" si="160"/>
        <v>0</v>
      </c>
      <c r="S653">
        <f t="shared" si="160"/>
        <v>0</v>
      </c>
      <c r="T653">
        <f t="shared" si="160"/>
        <v>0</v>
      </c>
      <c r="U653">
        <f t="shared" si="160"/>
        <v>0</v>
      </c>
      <c r="V653">
        <f t="shared" si="160"/>
        <v>0</v>
      </c>
      <c r="W653">
        <f t="shared" si="160"/>
        <v>0</v>
      </c>
      <c r="X653">
        <f t="shared" si="160"/>
        <v>0</v>
      </c>
      <c r="Y653">
        <f t="shared" si="160"/>
        <v>0</v>
      </c>
      <c r="Z653">
        <f t="shared" si="160"/>
        <v>0</v>
      </c>
      <c r="AA653">
        <f t="shared" si="160"/>
        <v>0</v>
      </c>
      <c r="AB653">
        <f t="shared" si="160"/>
        <v>0</v>
      </c>
      <c r="AC653">
        <f t="shared" si="160"/>
        <v>0</v>
      </c>
      <c r="AD653">
        <f t="shared" si="160"/>
        <v>0</v>
      </c>
      <c r="AE653">
        <f t="shared" si="160"/>
        <v>0</v>
      </c>
    </row>
    <row r="655" spans="1:31" x14ac:dyDescent="0.45">
      <c r="A655" t="s">
        <v>1526</v>
      </c>
      <c r="B655" t="s">
        <v>1447</v>
      </c>
      <c r="C655" t="s">
        <v>1471</v>
      </c>
      <c r="D655">
        <v>1</v>
      </c>
      <c r="E655" t="s">
        <v>1159</v>
      </c>
      <c r="L655">
        <v>2400</v>
      </c>
      <c r="M655">
        <v>2400</v>
      </c>
      <c r="N655">
        <v>2400</v>
      </c>
      <c r="O655">
        <v>2400</v>
      </c>
      <c r="P655">
        <v>2400</v>
      </c>
      <c r="Q655">
        <v>2400</v>
      </c>
      <c r="R655">
        <v>2400</v>
      </c>
      <c r="S655">
        <v>2400</v>
      </c>
      <c r="T655">
        <v>2400</v>
      </c>
      <c r="U655">
        <v>2400</v>
      </c>
      <c r="V655">
        <v>2400</v>
      </c>
      <c r="W655">
        <v>2400</v>
      </c>
      <c r="X655">
        <v>2400</v>
      </c>
      <c r="Y655">
        <v>2400</v>
      </c>
      <c r="Z655">
        <v>2400</v>
      </c>
      <c r="AA655">
        <v>2400</v>
      </c>
      <c r="AB655">
        <v>2400</v>
      </c>
      <c r="AC655">
        <v>2400</v>
      </c>
      <c r="AD655">
        <v>2400</v>
      </c>
      <c r="AE655">
        <v>2400</v>
      </c>
    </row>
    <row r="656" spans="1:31" x14ac:dyDescent="0.45">
      <c r="A656" t="s">
        <v>1526</v>
      </c>
      <c r="B656" t="s">
        <v>1447</v>
      </c>
      <c r="C656" t="s">
        <v>1471</v>
      </c>
      <c r="D656">
        <v>1</v>
      </c>
      <c r="E656" t="s">
        <v>1160</v>
      </c>
      <c r="K656" t="str">
        <f>IF(ISBLANK(Mitigation_Industry!K295),"",Mitigation_Industry!K295)</f>
        <v/>
      </c>
      <c r="L656">
        <f>IF(ISBLANK(Mitigation_Industry!L295),"",Mitigation_Industry!L295)</f>
        <v>2400</v>
      </c>
      <c r="M656">
        <f>IF(ISBLANK(Mitigation_Industry!M295),"",Mitigation_Industry!M295)</f>
        <v>2400</v>
      </c>
      <c r="N656">
        <f>IF(ISBLANK(Mitigation_Industry!N295),"",Mitigation_Industry!N295)</f>
        <v>2400</v>
      </c>
      <c r="O656">
        <f>IF(ISBLANK(Mitigation_Industry!O295),"",Mitigation_Industry!O295)</f>
        <v>2400</v>
      </c>
      <c r="P656">
        <f>IF(ISBLANK(Mitigation_Industry!P295),"",Mitigation_Industry!P295)</f>
        <v>2400</v>
      </c>
      <c r="Q656">
        <f>IF(ISBLANK(Mitigation_Industry!Q295),"",Mitigation_Industry!Q295)</f>
        <v>2400</v>
      </c>
      <c r="R656">
        <f>IF(ISBLANK(Mitigation_Industry!R295),"",Mitigation_Industry!R295)</f>
        <v>2400</v>
      </c>
      <c r="S656">
        <f>IF(ISBLANK(Mitigation_Industry!S295),"",Mitigation_Industry!S295)</f>
        <v>2400</v>
      </c>
      <c r="T656">
        <f>IF(ISBLANK(Mitigation_Industry!T295),"",Mitigation_Industry!T295)</f>
        <v>2400</v>
      </c>
      <c r="U656">
        <f>IF(ISBLANK(Mitigation_Industry!U295),"",Mitigation_Industry!U295)</f>
        <v>2400</v>
      </c>
      <c r="V656">
        <f>IF(ISBLANK(Mitigation_Industry!V295),"",Mitigation_Industry!V295)</f>
        <v>2400</v>
      </c>
      <c r="W656">
        <f>IF(ISBLANK(Mitigation_Industry!W295),"",Mitigation_Industry!W295)</f>
        <v>2400</v>
      </c>
      <c r="X656">
        <f>IF(ISBLANK(Mitigation_Industry!X295),"",Mitigation_Industry!X295)</f>
        <v>2400</v>
      </c>
      <c r="Y656">
        <f>IF(ISBLANK(Mitigation_Industry!Y295),"",Mitigation_Industry!Y295)</f>
        <v>2400</v>
      </c>
      <c r="Z656">
        <f>IF(ISBLANK(Mitigation_Industry!Z295),"",Mitigation_Industry!Z295)</f>
        <v>2400</v>
      </c>
      <c r="AA656">
        <f>IF(ISBLANK(Mitigation_Industry!AA295),"",Mitigation_Industry!AA295)</f>
        <v>2400</v>
      </c>
      <c r="AB656">
        <f>IF(ISBLANK(Mitigation_Industry!AB295),"",Mitigation_Industry!AB295)</f>
        <v>2400</v>
      </c>
      <c r="AC656">
        <f>IF(ISBLANK(Mitigation_Industry!AC295),"",Mitigation_Industry!AC295)</f>
        <v>2400</v>
      </c>
      <c r="AD656">
        <f>IF(ISBLANK(Mitigation_Industry!AD295),"",Mitigation_Industry!AD295)</f>
        <v>2400</v>
      </c>
      <c r="AE656">
        <f>IF(ISBLANK(Mitigation_Industry!AE295),"",Mitigation_Industry!AE295)</f>
        <v>2400</v>
      </c>
    </row>
    <row r="657" spans="1:31" x14ac:dyDescent="0.45">
      <c r="A657" t="s">
        <v>1526</v>
      </c>
      <c r="B657" t="s">
        <v>1447</v>
      </c>
      <c r="C657" t="s">
        <v>1471</v>
      </c>
      <c r="D657">
        <v>1</v>
      </c>
      <c r="E657" t="s">
        <v>1161</v>
      </c>
      <c r="F657">
        <f>MAX(MAX(L657:AE657),-MIN(L657:AE657))</f>
        <v>0</v>
      </c>
      <c r="I657" t="s">
        <v>1509</v>
      </c>
      <c r="K657">
        <f t="shared" ref="K657:AE657" si="161">IF(ISNUMBER(K655),IF(ISNUMBER(K656),K656-K655,999999),0)</f>
        <v>0</v>
      </c>
      <c r="L657">
        <f t="shared" si="161"/>
        <v>0</v>
      </c>
      <c r="M657">
        <f t="shared" si="161"/>
        <v>0</v>
      </c>
      <c r="N657">
        <f t="shared" si="161"/>
        <v>0</v>
      </c>
      <c r="O657">
        <f t="shared" si="161"/>
        <v>0</v>
      </c>
      <c r="P657">
        <f t="shared" si="161"/>
        <v>0</v>
      </c>
      <c r="Q657">
        <f t="shared" si="161"/>
        <v>0</v>
      </c>
      <c r="R657">
        <f t="shared" si="161"/>
        <v>0</v>
      </c>
      <c r="S657">
        <f t="shared" si="161"/>
        <v>0</v>
      </c>
      <c r="T657">
        <f t="shared" si="161"/>
        <v>0</v>
      </c>
      <c r="U657">
        <f t="shared" si="161"/>
        <v>0</v>
      </c>
      <c r="V657">
        <f t="shared" si="161"/>
        <v>0</v>
      </c>
      <c r="W657">
        <f t="shared" si="161"/>
        <v>0</v>
      </c>
      <c r="X657">
        <f t="shared" si="161"/>
        <v>0</v>
      </c>
      <c r="Y657">
        <f t="shared" si="161"/>
        <v>0</v>
      </c>
      <c r="Z657">
        <f t="shared" si="161"/>
        <v>0</v>
      </c>
      <c r="AA657">
        <f t="shared" si="161"/>
        <v>0</v>
      </c>
      <c r="AB657">
        <f t="shared" si="161"/>
        <v>0</v>
      </c>
      <c r="AC657">
        <f t="shared" si="161"/>
        <v>0</v>
      </c>
      <c r="AD657">
        <f t="shared" si="161"/>
        <v>0</v>
      </c>
      <c r="AE657">
        <f t="shared" si="161"/>
        <v>0</v>
      </c>
    </row>
    <row r="659" spans="1:31" x14ac:dyDescent="0.45">
      <c r="A659" t="s">
        <v>1527</v>
      </c>
      <c r="B659" t="s">
        <v>1474</v>
      </c>
      <c r="C659" t="s">
        <v>1450</v>
      </c>
      <c r="D659">
        <v>1</v>
      </c>
      <c r="E659" t="s">
        <v>1159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45">
      <c r="A660" t="s">
        <v>1527</v>
      </c>
      <c r="B660" t="s">
        <v>1474</v>
      </c>
      <c r="C660" t="s">
        <v>1450</v>
      </c>
      <c r="D660">
        <v>1</v>
      </c>
      <c r="E660" t="s">
        <v>1160</v>
      </c>
      <c r="K660" t="str">
        <f>IF(ISBLANK(Mitigation_Industry!K299),"",Mitigation_Industry!K299)</f>
        <v/>
      </c>
      <c r="L660">
        <f>IF(ISBLANK(Mitigation_Industry!L299),"",Mitigation_Industry!L299)</f>
        <v>0</v>
      </c>
      <c r="M660">
        <f>IF(ISBLANK(Mitigation_Industry!M299),"",Mitigation_Industry!M299)</f>
        <v>0</v>
      </c>
      <c r="N660">
        <f>IF(ISBLANK(Mitigation_Industry!N299),"",Mitigation_Industry!N299)</f>
        <v>0</v>
      </c>
      <c r="O660">
        <f>IF(ISBLANK(Mitigation_Industry!O299),"",Mitigation_Industry!O299)</f>
        <v>0</v>
      </c>
      <c r="P660">
        <f>IF(ISBLANK(Mitigation_Industry!P299),"",Mitigation_Industry!P299)</f>
        <v>0</v>
      </c>
      <c r="Q660">
        <f>IF(ISBLANK(Mitigation_Industry!Q299),"",Mitigation_Industry!Q299)</f>
        <v>0</v>
      </c>
      <c r="R660">
        <f>IF(ISBLANK(Mitigation_Industry!R299),"",Mitigation_Industry!R299)</f>
        <v>0</v>
      </c>
      <c r="S660">
        <f>IF(ISBLANK(Mitigation_Industry!S299),"",Mitigation_Industry!S299)</f>
        <v>0</v>
      </c>
      <c r="T660">
        <f>IF(ISBLANK(Mitigation_Industry!T299),"",Mitigation_Industry!T299)</f>
        <v>0</v>
      </c>
      <c r="U660">
        <f>IF(ISBLANK(Mitigation_Industry!U299),"",Mitigation_Industry!U299)</f>
        <v>0</v>
      </c>
      <c r="V660">
        <f>IF(ISBLANK(Mitigation_Industry!V299),"",Mitigation_Industry!V299)</f>
        <v>0</v>
      </c>
      <c r="W660">
        <f>IF(ISBLANK(Mitigation_Industry!W299),"",Mitigation_Industry!W299)</f>
        <v>0</v>
      </c>
      <c r="X660">
        <f>IF(ISBLANK(Mitigation_Industry!X299),"",Mitigation_Industry!X299)</f>
        <v>0</v>
      </c>
      <c r="Y660">
        <f>IF(ISBLANK(Mitigation_Industry!Y299),"",Mitigation_Industry!Y299)</f>
        <v>0</v>
      </c>
      <c r="Z660">
        <f>IF(ISBLANK(Mitigation_Industry!Z299),"",Mitigation_Industry!Z299)</f>
        <v>0</v>
      </c>
      <c r="AA660">
        <f>IF(ISBLANK(Mitigation_Industry!AA299),"",Mitigation_Industry!AA299)</f>
        <v>0</v>
      </c>
      <c r="AB660">
        <f>IF(ISBLANK(Mitigation_Industry!AB299),"",Mitigation_Industry!AB299)</f>
        <v>0</v>
      </c>
      <c r="AC660">
        <f>IF(ISBLANK(Mitigation_Industry!AC299),"",Mitigation_Industry!AC299)</f>
        <v>0</v>
      </c>
      <c r="AD660">
        <f>IF(ISBLANK(Mitigation_Industry!AD299),"",Mitigation_Industry!AD299)</f>
        <v>0</v>
      </c>
      <c r="AE660">
        <f>IF(ISBLANK(Mitigation_Industry!AE299),"",Mitigation_Industry!AE299)</f>
        <v>0</v>
      </c>
    </row>
    <row r="661" spans="1:31" x14ac:dyDescent="0.45">
      <c r="A661" t="s">
        <v>1527</v>
      </c>
      <c r="B661" t="s">
        <v>1474</v>
      </c>
      <c r="C661" t="s">
        <v>1450</v>
      </c>
      <c r="D661">
        <v>1</v>
      </c>
      <c r="E661" t="s">
        <v>1161</v>
      </c>
      <c r="F661">
        <f>MAX(MAX(L661:AE661),-MIN(L661:AE661))</f>
        <v>0</v>
      </c>
      <c r="I661" t="s">
        <v>1509</v>
      </c>
      <c r="K661">
        <f t="shared" ref="K661:AE661" si="162">IF(ISNUMBER(K659),IF(ISNUMBER(K660),K660-K659,999999),0)</f>
        <v>0</v>
      </c>
      <c r="L661">
        <f t="shared" si="162"/>
        <v>0</v>
      </c>
      <c r="M661">
        <f t="shared" si="162"/>
        <v>0</v>
      </c>
      <c r="N661">
        <f t="shared" si="162"/>
        <v>0</v>
      </c>
      <c r="O661">
        <f t="shared" si="162"/>
        <v>0</v>
      </c>
      <c r="P661">
        <f t="shared" si="162"/>
        <v>0</v>
      </c>
      <c r="Q661">
        <f t="shared" si="162"/>
        <v>0</v>
      </c>
      <c r="R661">
        <f t="shared" si="162"/>
        <v>0</v>
      </c>
      <c r="S661">
        <f t="shared" si="162"/>
        <v>0</v>
      </c>
      <c r="T661">
        <f t="shared" si="162"/>
        <v>0</v>
      </c>
      <c r="U661">
        <f t="shared" si="162"/>
        <v>0</v>
      </c>
      <c r="V661">
        <f t="shared" si="162"/>
        <v>0</v>
      </c>
      <c r="W661">
        <f t="shared" si="162"/>
        <v>0</v>
      </c>
      <c r="X661">
        <f t="shared" si="162"/>
        <v>0</v>
      </c>
      <c r="Y661">
        <f t="shared" si="162"/>
        <v>0</v>
      </c>
      <c r="Z661">
        <f t="shared" si="162"/>
        <v>0</v>
      </c>
      <c r="AA661">
        <f t="shared" si="162"/>
        <v>0</v>
      </c>
      <c r="AB661">
        <f t="shared" si="162"/>
        <v>0</v>
      </c>
      <c r="AC661">
        <f t="shared" si="162"/>
        <v>0</v>
      </c>
      <c r="AD661">
        <f t="shared" si="162"/>
        <v>0</v>
      </c>
      <c r="AE661">
        <f t="shared" si="162"/>
        <v>0</v>
      </c>
    </row>
    <row r="663" spans="1:31" x14ac:dyDescent="0.45">
      <c r="A663" t="s">
        <v>1528</v>
      </c>
      <c r="B663" t="s">
        <v>1474</v>
      </c>
      <c r="C663" t="s">
        <v>1453</v>
      </c>
      <c r="D663">
        <v>1</v>
      </c>
      <c r="E663" t="s">
        <v>1159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45">
      <c r="A664" t="s">
        <v>1528</v>
      </c>
      <c r="B664" t="s">
        <v>1474</v>
      </c>
      <c r="C664" t="s">
        <v>1453</v>
      </c>
      <c r="D664">
        <v>1</v>
      </c>
      <c r="E664" t="s">
        <v>1160</v>
      </c>
      <c r="K664" t="str">
        <f>IF(ISBLANK(Mitigation_Industry!K300),"",Mitigation_Industry!K300)</f>
        <v/>
      </c>
      <c r="L664">
        <f>IF(ISBLANK(Mitigation_Industry!L300),"",Mitigation_Industry!L300)</f>
        <v>0</v>
      </c>
      <c r="M664">
        <f>IF(ISBLANK(Mitigation_Industry!M300),"",Mitigation_Industry!M300)</f>
        <v>0</v>
      </c>
      <c r="N664">
        <f>IF(ISBLANK(Mitigation_Industry!N300),"",Mitigation_Industry!N300)</f>
        <v>0</v>
      </c>
      <c r="O664">
        <f>IF(ISBLANK(Mitigation_Industry!O300),"",Mitigation_Industry!O300)</f>
        <v>0</v>
      </c>
      <c r="P664">
        <f>IF(ISBLANK(Mitigation_Industry!P300),"",Mitigation_Industry!P300)</f>
        <v>0</v>
      </c>
      <c r="Q664">
        <f>IF(ISBLANK(Mitigation_Industry!Q300),"",Mitigation_Industry!Q300)</f>
        <v>0</v>
      </c>
      <c r="R664">
        <f>IF(ISBLANK(Mitigation_Industry!R300),"",Mitigation_Industry!R300)</f>
        <v>0</v>
      </c>
      <c r="S664">
        <f>IF(ISBLANK(Mitigation_Industry!S300),"",Mitigation_Industry!S300)</f>
        <v>0</v>
      </c>
      <c r="T664">
        <f>IF(ISBLANK(Mitigation_Industry!T300),"",Mitigation_Industry!T300)</f>
        <v>0</v>
      </c>
      <c r="U664">
        <f>IF(ISBLANK(Mitigation_Industry!U300),"",Mitigation_Industry!U300)</f>
        <v>0</v>
      </c>
      <c r="V664">
        <f>IF(ISBLANK(Mitigation_Industry!V300),"",Mitigation_Industry!V300)</f>
        <v>0</v>
      </c>
      <c r="W664">
        <f>IF(ISBLANK(Mitigation_Industry!W300),"",Mitigation_Industry!W300)</f>
        <v>0</v>
      </c>
      <c r="X664">
        <f>IF(ISBLANK(Mitigation_Industry!X300),"",Mitigation_Industry!X300)</f>
        <v>0</v>
      </c>
      <c r="Y664">
        <f>IF(ISBLANK(Mitigation_Industry!Y300),"",Mitigation_Industry!Y300)</f>
        <v>0</v>
      </c>
      <c r="Z664">
        <f>IF(ISBLANK(Mitigation_Industry!Z300),"",Mitigation_Industry!Z300)</f>
        <v>0</v>
      </c>
      <c r="AA664">
        <f>IF(ISBLANK(Mitigation_Industry!AA300),"",Mitigation_Industry!AA300)</f>
        <v>0</v>
      </c>
      <c r="AB664">
        <f>IF(ISBLANK(Mitigation_Industry!AB300),"",Mitigation_Industry!AB300)</f>
        <v>0</v>
      </c>
      <c r="AC664">
        <f>IF(ISBLANK(Mitigation_Industry!AC300),"",Mitigation_Industry!AC300)</f>
        <v>0</v>
      </c>
      <c r="AD664">
        <f>IF(ISBLANK(Mitigation_Industry!AD300),"",Mitigation_Industry!AD300)</f>
        <v>0</v>
      </c>
      <c r="AE664">
        <f>IF(ISBLANK(Mitigation_Industry!AE300),"",Mitigation_Industry!AE300)</f>
        <v>0</v>
      </c>
    </row>
    <row r="665" spans="1:31" x14ac:dyDescent="0.45">
      <c r="A665" t="s">
        <v>1528</v>
      </c>
      <c r="B665" t="s">
        <v>1474</v>
      </c>
      <c r="C665" t="s">
        <v>1453</v>
      </c>
      <c r="D665">
        <v>1</v>
      </c>
      <c r="E665" t="s">
        <v>1161</v>
      </c>
      <c r="F665">
        <f>MAX(MAX(L665:AE665),-MIN(L665:AE665))</f>
        <v>0</v>
      </c>
      <c r="I665" t="s">
        <v>1509</v>
      </c>
      <c r="K665">
        <f t="shared" ref="K665:AE665" si="163">IF(ISNUMBER(K663),IF(ISNUMBER(K664),K664-K663,999999),0)</f>
        <v>0</v>
      </c>
      <c r="L665">
        <f t="shared" si="163"/>
        <v>0</v>
      </c>
      <c r="M665">
        <f t="shared" si="163"/>
        <v>0</v>
      </c>
      <c r="N665">
        <f t="shared" si="163"/>
        <v>0</v>
      </c>
      <c r="O665">
        <f t="shared" si="163"/>
        <v>0</v>
      </c>
      <c r="P665">
        <f t="shared" si="163"/>
        <v>0</v>
      </c>
      <c r="Q665">
        <f t="shared" si="163"/>
        <v>0</v>
      </c>
      <c r="R665">
        <f t="shared" si="163"/>
        <v>0</v>
      </c>
      <c r="S665">
        <f t="shared" si="163"/>
        <v>0</v>
      </c>
      <c r="T665">
        <f t="shared" si="163"/>
        <v>0</v>
      </c>
      <c r="U665">
        <f t="shared" si="163"/>
        <v>0</v>
      </c>
      <c r="V665">
        <f t="shared" si="163"/>
        <v>0</v>
      </c>
      <c r="W665">
        <f t="shared" si="163"/>
        <v>0</v>
      </c>
      <c r="X665">
        <f t="shared" si="163"/>
        <v>0</v>
      </c>
      <c r="Y665">
        <f t="shared" si="163"/>
        <v>0</v>
      </c>
      <c r="Z665">
        <f t="shared" si="163"/>
        <v>0</v>
      </c>
      <c r="AA665">
        <f t="shared" si="163"/>
        <v>0</v>
      </c>
      <c r="AB665">
        <f t="shared" si="163"/>
        <v>0</v>
      </c>
      <c r="AC665">
        <f t="shared" si="163"/>
        <v>0</v>
      </c>
      <c r="AD665">
        <f t="shared" si="163"/>
        <v>0</v>
      </c>
      <c r="AE665">
        <f t="shared" si="163"/>
        <v>0</v>
      </c>
    </row>
    <row r="667" spans="1:31" x14ac:dyDescent="0.45">
      <c r="A667" t="s">
        <v>1529</v>
      </c>
      <c r="B667" t="s">
        <v>1474</v>
      </c>
      <c r="C667" t="s">
        <v>1456</v>
      </c>
      <c r="D667">
        <v>1</v>
      </c>
      <c r="E667" t="s">
        <v>1159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45">
      <c r="A668" t="s">
        <v>1529</v>
      </c>
      <c r="B668" t="s">
        <v>1474</v>
      </c>
      <c r="C668" t="s">
        <v>1456</v>
      </c>
      <c r="D668">
        <v>1</v>
      </c>
      <c r="E668" t="s">
        <v>1160</v>
      </c>
      <c r="K668" t="str">
        <f>IF(ISBLANK(Mitigation_Industry!K301),"",Mitigation_Industry!K301)</f>
        <v/>
      </c>
      <c r="L668">
        <f>IF(ISBLANK(Mitigation_Industry!L301),"",Mitigation_Industry!L301)</f>
        <v>0</v>
      </c>
      <c r="M668">
        <f>IF(ISBLANK(Mitigation_Industry!M301),"",Mitigation_Industry!M301)</f>
        <v>0</v>
      </c>
      <c r="N668">
        <f>IF(ISBLANK(Mitigation_Industry!N301),"",Mitigation_Industry!N301)</f>
        <v>0</v>
      </c>
      <c r="O668">
        <f>IF(ISBLANK(Mitigation_Industry!O301),"",Mitigation_Industry!O301)</f>
        <v>0</v>
      </c>
      <c r="P668">
        <f>IF(ISBLANK(Mitigation_Industry!P301),"",Mitigation_Industry!P301)</f>
        <v>0</v>
      </c>
      <c r="Q668">
        <f>IF(ISBLANK(Mitigation_Industry!Q301),"",Mitigation_Industry!Q301)</f>
        <v>0</v>
      </c>
      <c r="R668">
        <f>IF(ISBLANK(Mitigation_Industry!R301),"",Mitigation_Industry!R301)</f>
        <v>0</v>
      </c>
      <c r="S668">
        <f>IF(ISBLANK(Mitigation_Industry!S301),"",Mitigation_Industry!S301)</f>
        <v>0</v>
      </c>
      <c r="T668">
        <f>IF(ISBLANK(Mitigation_Industry!T301),"",Mitigation_Industry!T301)</f>
        <v>0</v>
      </c>
      <c r="U668">
        <f>IF(ISBLANK(Mitigation_Industry!U301),"",Mitigation_Industry!U301)</f>
        <v>0</v>
      </c>
      <c r="V668">
        <f>IF(ISBLANK(Mitigation_Industry!V301),"",Mitigation_Industry!V301)</f>
        <v>0</v>
      </c>
      <c r="W668">
        <f>IF(ISBLANK(Mitigation_Industry!W301),"",Mitigation_Industry!W301)</f>
        <v>0</v>
      </c>
      <c r="X668">
        <f>IF(ISBLANK(Mitigation_Industry!X301),"",Mitigation_Industry!X301)</f>
        <v>0</v>
      </c>
      <c r="Y668">
        <f>IF(ISBLANK(Mitigation_Industry!Y301),"",Mitigation_Industry!Y301)</f>
        <v>0</v>
      </c>
      <c r="Z668">
        <f>IF(ISBLANK(Mitigation_Industry!Z301),"",Mitigation_Industry!Z301)</f>
        <v>0</v>
      </c>
      <c r="AA668">
        <f>IF(ISBLANK(Mitigation_Industry!AA301),"",Mitigation_Industry!AA301)</f>
        <v>0</v>
      </c>
      <c r="AB668">
        <f>IF(ISBLANK(Mitigation_Industry!AB301),"",Mitigation_Industry!AB301)</f>
        <v>0</v>
      </c>
      <c r="AC668">
        <f>IF(ISBLANK(Mitigation_Industry!AC301),"",Mitigation_Industry!AC301)</f>
        <v>0</v>
      </c>
      <c r="AD668">
        <f>IF(ISBLANK(Mitigation_Industry!AD301),"",Mitigation_Industry!AD301)</f>
        <v>0</v>
      </c>
      <c r="AE668">
        <f>IF(ISBLANK(Mitigation_Industry!AE301),"",Mitigation_Industry!AE301)</f>
        <v>0</v>
      </c>
    </row>
    <row r="669" spans="1:31" x14ac:dyDescent="0.45">
      <c r="A669" t="s">
        <v>1529</v>
      </c>
      <c r="B669" t="s">
        <v>1474</v>
      </c>
      <c r="C669" t="s">
        <v>1456</v>
      </c>
      <c r="D669">
        <v>1</v>
      </c>
      <c r="E669" t="s">
        <v>1161</v>
      </c>
      <c r="F669">
        <f>MAX(MAX(L669:AE669),-MIN(L669:AE669))</f>
        <v>0</v>
      </c>
      <c r="I669" t="s">
        <v>1509</v>
      </c>
      <c r="K669">
        <f t="shared" ref="K669:AE669" si="164">IF(ISNUMBER(K667),IF(ISNUMBER(K668),K668-K667,999999),0)</f>
        <v>0</v>
      </c>
      <c r="L669">
        <f t="shared" si="164"/>
        <v>0</v>
      </c>
      <c r="M669">
        <f t="shared" si="164"/>
        <v>0</v>
      </c>
      <c r="N669">
        <f t="shared" si="164"/>
        <v>0</v>
      </c>
      <c r="O669">
        <f t="shared" si="164"/>
        <v>0</v>
      </c>
      <c r="P669">
        <f t="shared" si="164"/>
        <v>0</v>
      </c>
      <c r="Q669">
        <f t="shared" si="164"/>
        <v>0</v>
      </c>
      <c r="R669">
        <f t="shared" si="164"/>
        <v>0</v>
      </c>
      <c r="S669">
        <f t="shared" si="164"/>
        <v>0</v>
      </c>
      <c r="T669">
        <f t="shared" si="164"/>
        <v>0</v>
      </c>
      <c r="U669">
        <f t="shared" si="164"/>
        <v>0</v>
      </c>
      <c r="V669">
        <f t="shared" si="164"/>
        <v>0</v>
      </c>
      <c r="W669">
        <f t="shared" si="164"/>
        <v>0</v>
      </c>
      <c r="X669">
        <f t="shared" si="164"/>
        <v>0</v>
      </c>
      <c r="Y669">
        <f t="shared" si="164"/>
        <v>0</v>
      </c>
      <c r="Z669">
        <f t="shared" si="164"/>
        <v>0</v>
      </c>
      <c r="AA669">
        <f t="shared" si="164"/>
        <v>0</v>
      </c>
      <c r="AB669">
        <f t="shared" si="164"/>
        <v>0</v>
      </c>
      <c r="AC669">
        <f t="shared" si="164"/>
        <v>0</v>
      </c>
      <c r="AD669">
        <f t="shared" si="164"/>
        <v>0</v>
      </c>
      <c r="AE669">
        <f t="shared" si="164"/>
        <v>0</v>
      </c>
    </row>
    <row r="671" spans="1:31" x14ac:dyDescent="0.45">
      <c r="A671" t="s">
        <v>1530</v>
      </c>
      <c r="B671" t="s">
        <v>1474</v>
      </c>
      <c r="C671" t="s">
        <v>1459</v>
      </c>
      <c r="D671">
        <v>1</v>
      </c>
      <c r="E671" t="s">
        <v>1159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45">
      <c r="A672" t="s">
        <v>1530</v>
      </c>
      <c r="B672" t="s">
        <v>1474</v>
      </c>
      <c r="C672" t="s">
        <v>1459</v>
      </c>
      <c r="D672">
        <v>1</v>
      </c>
      <c r="E672" t="s">
        <v>1160</v>
      </c>
      <c r="K672" t="str">
        <f>IF(ISBLANK(Mitigation_Industry!K302),"",Mitigation_Industry!K302)</f>
        <v/>
      </c>
      <c r="L672">
        <f>IF(ISBLANK(Mitigation_Industry!L302),"",Mitigation_Industry!L302)</f>
        <v>0</v>
      </c>
      <c r="M672">
        <f>IF(ISBLANK(Mitigation_Industry!M302),"",Mitigation_Industry!M302)</f>
        <v>0</v>
      </c>
      <c r="N672">
        <f>IF(ISBLANK(Mitigation_Industry!N302),"",Mitigation_Industry!N302)</f>
        <v>0</v>
      </c>
      <c r="O672">
        <f>IF(ISBLANK(Mitigation_Industry!O302),"",Mitigation_Industry!O302)</f>
        <v>0</v>
      </c>
      <c r="P672">
        <f>IF(ISBLANK(Mitigation_Industry!P302),"",Mitigation_Industry!P302)</f>
        <v>0</v>
      </c>
      <c r="Q672">
        <f>IF(ISBLANK(Mitigation_Industry!Q302),"",Mitigation_Industry!Q302)</f>
        <v>0</v>
      </c>
      <c r="R672">
        <f>IF(ISBLANK(Mitigation_Industry!R302),"",Mitigation_Industry!R302)</f>
        <v>0</v>
      </c>
      <c r="S672">
        <f>IF(ISBLANK(Mitigation_Industry!S302),"",Mitigation_Industry!S302)</f>
        <v>0</v>
      </c>
      <c r="T672">
        <f>IF(ISBLANK(Mitigation_Industry!T302),"",Mitigation_Industry!T302)</f>
        <v>0</v>
      </c>
      <c r="U672">
        <f>IF(ISBLANK(Mitigation_Industry!U302),"",Mitigation_Industry!U302)</f>
        <v>0</v>
      </c>
      <c r="V672">
        <f>IF(ISBLANK(Mitigation_Industry!V302),"",Mitigation_Industry!V302)</f>
        <v>0</v>
      </c>
      <c r="W672">
        <f>IF(ISBLANK(Mitigation_Industry!W302),"",Mitigation_Industry!W302)</f>
        <v>0</v>
      </c>
      <c r="X672">
        <f>IF(ISBLANK(Mitigation_Industry!X302),"",Mitigation_Industry!X302)</f>
        <v>0</v>
      </c>
      <c r="Y672">
        <f>IF(ISBLANK(Mitigation_Industry!Y302),"",Mitigation_Industry!Y302)</f>
        <v>0</v>
      </c>
      <c r="Z672">
        <f>IF(ISBLANK(Mitigation_Industry!Z302),"",Mitigation_Industry!Z302)</f>
        <v>0</v>
      </c>
      <c r="AA672">
        <f>IF(ISBLANK(Mitigation_Industry!AA302),"",Mitigation_Industry!AA302)</f>
        <v>0</v>
      </c>
      <c r="AB672">
        <f>IF(ISBLANK(Mitigation_Industry!AB302),"",Mitigation_Industry!AB302)</f>
        <v>0</v>
      </c>
      <c r="AC672">
        <f>IF(ISBLANK(Mitigation_Industry!AC302),"",Mitigation_Industry!AC302)</f>
        <v>0</v>
      </c>
      <c r="AD672">
        <f>IF(ISBLANK(Mitigation_Industry!AD302),"",Mitigation_Industry!AD302)</f>
        <v>0</v>
      </c>
      <c r="AE672">
        <f>IF(ISBLANK(Mitigation_Industry!AE302),"",Mitigation_Industry!AE302)</f>
        <v>0</v>
      </c>
    </row>
    <row r="673" spans="1:31" x14ac:dyDescent="0.45">
      <c r="A673" t="s">
        <v>1530</v>
      </c>
      <c r="B673" t="s">
        <v>1474</v>
      </c>
      <c r="C673" t="s">
        <v>1459</v>
      </c>
      <c r="D673">
        <v>1</v>
      </c>
      <c r="E673" t="s">
        <v>1161</v>
      </c>
      <c r="F673">
        <f>MAX(MAX(L673:AE673),-MIN(L673:AE673))</f>
        <v>0</v>
      </c>
      <c r="I673" t="s">
        <v>1509</v>
      </c>
      <c r="K673">
        <f t="shared" ref="K673:AE673" si="165">IF(ISNUMBER(K671),IF(ISNUMBER(K672),K672-K671,999999),0)</f>
        <v>0</v>
      </c>
      <c r="L673">
        <f t="shared" si="165"/>
        <v>0</v>
      </c>
      <c r="M673">
        <f t="shared" si="165"/>
        <v>0</v>
      </c>
      <c r="N673">
        <f t="shared" si="165"/>
        <v>0</v>
      </c>
      <c r="O673">
        <f t="shared" si="165"/>
        <v>0</v>
      </c>
      <c r="P673">
        <f t="shared" si="165"/>
        <v>0</v>
      </c>
      <c r="Q673">
        <f t="shared" si="165"/>
        <v>0</v>
      </c>
      <c r="R673">
        <f t="shared" si="165"/>
        <v>0</v>
      </c>
      <c r="S673">
        <f t="shared" si="165"/>
        <v>0</v>
      </c>
      <c r="T673">
        <f t="shared" si="165"/>
        <v>0</v>
      </c>
      <c r="U673">
        <f t="shared" si="165"/>
        <v>0</v>
      </c>
      <c r="V673">
        <f t="shared" si="165"/>
        <v>0</v>
      </c>
      <c r="W673">
        <f t="shared" si="165"/>
        <v>0</v>
      </c>
      <c r="X673">
        <f t="shared" si="165"/>
        <v>0</v>
      </c>
      <c r="Y673">
        <f t="shared" si="165"/>
        <v>0</v>
      </c>
      <c r="Z673">
        <f t="shared" si="165"/>
        <v>0</v>
      </c>
      <c r="AA673">
        <f t="shared" si="165"/>
        <v>0</v>
      </c>
      <c r="AB673">
        <f t="shared" si="165"/>
        <v>0</v>
      </c>
      <c r="AC673">
        <f t="shared" si="165"/>
        <v>0</v>
      </c>
      <c r="AD673">
        <f t="shared" si="165"/>
        <v>0</v>
      </c>
      <c r="AE673">
        <f t="shared" si="165"/>
        <v>0</v>
      </c>
    </row>
    <row r="675" spans="1:31" x14ac:dyDescent="0.45">
      <c r="A675" t="s">
        <v>1531</v>
      </c>
      <c r="B675" t="s">
        <v>1474</v>
      </c>
      <c r="C675" t="s">
        <v>1462</v>
      </c>
      <c r="D675">
        <v>1</v>
      </c>
      <c r="E675" t="s">
        <v>1159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45">
      <c r="A676" t="s">
        <v>1531</v>
      </c>
      <c r="B676" t="s">
        <v>1474</v>
      </c>
      <c r="C676" t="s">
        <v>1462</v>
      </c>
      <c r="D676">
        <v>1</v>
      </c>
      <c r="E676" t="s">
        <v>1160</v>
      </c>
      <c r="K676" t="str">
        <f>IF(ISBLANK(Mitigation_Industry!K303),"",Mitigation_Industry!K303)</f>
        <v/>
      </c>
      <c r="L676">
        <f>IF(ISBLANK(Mitigation_Industry!L303),"",Mitigation_Industry!L303)</f>
        <v>0</v>
      </c>
      <c r="M676">
        <f>IF(ISBLANK(Mitigation_Industry!M303),"",Mitigation_Industry!M303)</f>
        <v>0</v>
      </c>
      <c r="N676">
        <f>IF(ISBLANK(Mitigation_Industry!N303),"",Mitigation_Industry!N303)</f>
        <v>0</v>
      </c>
      <c r="O676">
        <f>IF(ISBLANK(Mitigation_Industry!O303),"",Mitigation_Industry!O303)</f>
        <v>0</v>
      </c>
      <c r="P676">
        <f>IF(ISBLANK(Mitigation_Industry!P303),"",Mitigation_Industry!P303)</f>
        <v>0</v>
      </c>
      <c r="Q676">
        <f>IF(ISBLANK(Mitigation_Industry!Q303),"",Mitigation_Industry!Q303)</f>
        <v>0</v>
      </c>
      <c r="R676">
        <f>IF(ISBLANK(Mitigation_Industry!R303),"",Mitigation_Industry!R303)</f>
        <v>0</v>
      </c>
      <c r="S676">
        <f>IF(ISBLANK(Mitigation_Industry!S303),"",Mitigation_Industry!S303)</f>
        <v>0</v>
      </c>
      <c r="T676">
        <f>IF(ISBLANK(Mitigation_Industry!T303),"",Mitigation_Industry!T303)</f>
        <v>0</v>
      </c>
      <c r="U676">
        <f>IF(ISBLANK(Mitigation_Industry!U303),"",Mitigation_Industry!U303)</f>
        <v>0</v>
      </c>
      <c r="V676">
        <f>IF(ISBLANK(Mitigation_Industry!V303),"",Mitigation_Industry!V303)</f>
        <v>0</v>
      </c>
      <c r="W676">
        <f>IF(ISBLANK(Mitigation_Industry!W303),"",Mitigation_Industry!W303)</f>
        <v>0</v>
      </c>
      <c r="X676">
        <f>IF(ISBLANK(Mitigation_Industry!X303),"",Mitigation_Industry!X303)</f>
        <v>0</v>
      </c>
      <c r="Y676">
        <f>IF(ISBLANK(Mitigation_Industry!Y303),"",Mitigation_Industry!Y303)</f>
        <v>0</v>
      </c>
      <c r="Z676">
        <f>IF(ISBLANK(Mitigation_Industry!Z303),"",Mitigation_Industry!Z303)</f>
        <v>0</v>
      </c>
      <c r="AA676">
        <f>IF(ISBLANK(Mitigation_Industry!AA303),"",Mitigation_Industry!AA303)</f>
        <v>0</v>
      </c>
      <c r="AB676">
        <f>IF(ISBLANK(Mitigation_Industry!AB303),"",Mitigation_Industry!AB303)</f>
        <v>0</v>
      </c>
      <c r="AC676">
        <f>IF(ISBLANK(Mitigation_Industry!AC303),"",Mitigation_Industry!AC303)</f>
        <v>0</v>
      </c>
      <c r="AD676">
        <f>IF(ISBLANK(Mitigation_Industry!AD303),"",Mitigation_Industry!AD303)</f>
        <v>0</v>
      </c>
      <c r="AE676">
        <f>IF(ISBLANK(Mitigation_Industry!AE303),"",Mitigation_Industry!AE303)</f>
        <v>0</v>
      </c>
    </row>
    <row r="677" spans="1:31" x14ac:dyDescent="0.45">
      <c r="A677" t="s">
        <v>1531</v>
      </c>
      <c r="B677" t="s">
        <v>1474</v>
      </c>
      <c r="C677" t="s">
        <v>1462</v>
      </c>
      <c r="D677">
        <v>1</v>
      </c>
      <c r="E677" t="s">
        <v>1161</v>
      </c>
      <c r="F677">
        <f>MAX(MAX(L677:AE677),-MIN(L677:AE677))</f>
        <v>0</v>
      </c>
      <c r="I677" t="s">
        <v>1509</v>
      </c>
      <c r="K677">
        <f t="shared" ref="K677:AE677" si="166">IF(ISNUMBER(K675),IF(ISNUMBER(K676),K676-K675,999999),0)</f>
        <v>0</v>
      </c>
      <c r="L677">
        <f t="shared" si="166"/>
        <v>0</v>
      </c>
      <c r="M677">
        <f t="shared" si="166"/>
        <v>0</v>
      </c>
      <c r="N677">
        <f t="shared" si="166"/>
        <v>0</v>
      </c>
      <c r="O677">
        <f t="shared" si="166"/>
        <v>0</v>
      </c>
      <c r="P677">
        <f t="shared" si="166"/>
        <v>0</v>
      </c>
      <c r="Q677">
        <f t="shared" si="166"/>
        <v>0</v>
      </c>
      <c r="R677">
        <f t="shared" si="166"/>
        <v>0</v>
      </c>
      <c r="S677">
        <f t="shared" si="166"/>
        <v>0</v>
      </c>
      <c r="T677">
        <f t="shared" si="166"/>
        <v>0</v>
      </c>
      <c r="U677">
        <f t="shared" si="166"/>
        <v>0</v>
      </c>
      <c r="V677">
        <f t="shared" si="166"/>
        <v>0</v>
      </c>
      <c r="W677">
        <f t="shared" si="166"/>
        <v>0</v>
      </c>
      <c r="X677">
        <f t="shared" si="166"/>
        <v>0</v>
      </c>
      <c r="Y677">
        <f t="shared" si="166"/>
        <v>0</v>
      </c>
      <c r="Z677">
        <f t="shared" si="166"/>
        <v>0</v>
      </c>
      <c r="AA677">
        <f t="shared" si="166"/>
        <v>0</v>
      </c>
      <c r="AB677">
        <f t="shared" si="166"/>
        <v>0</v>
      </c>
      <c r="AC677">
        <f t="shared" si="166"/>
        <v>0</v>
      </c>
      <c r="AD677">
        <f t="shared" si="166"/>
        <v>0</v>
      </c>
      <c r="AE677">
        <f t="shared" si="166"/>
        <v>0</v>
      </c>
    </row>
    <row r="679" spans="1:31" x14ac:dyDescent="0.45">
      <c r="A679" t="s">
        <v>1532</v>
      </c>
      <c r="B679" t="s">
        <v>1474</v>
      </c>
      <c r="C679" t="s">
        <v>1465</v>
      </c>
      <c r="D679">
        <v>1</v>
      </c>
      <c r="E679" t="s">
        <v>1159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45">
      <c r="A680" t="s">
        <v>1532</v>
      </c>
      <c r="B680" t="s">
        <v>1474</v>
      </c>
      <c r="C680" t="s">
        <v>1465</v>
      </c>
      <c r="D680">
        <v>1</v>
      </c>
      <c r="E680" t="s">
        <v>1160</v>
      </c>
      <c r="K680" t="str">
        <f>IF(ISBLANK(Mitigation_Industry!K304),"",Mitigation_Industry!K304)</f>
        <v/>
      </c>
      <c r="L680">
        <f>IF(ISBLANK(Mitigation_Industry!L304),"",Mitigation_Industry!L304)</f>
        <v>0</v>
      </c>
      <c r="M680">
        <f>IF(ISBLANK(Mitigation_Industry!M304),"",Mitigation_Industry!M304)</f>
        <v>0</v>
      </c>
      <c r="N680">
        <f>IF(ISBLANK(Mitigation_Industry!N304),"",Mitigation_Industry!N304)</f>
        <v>0</v>
      </c>
      <c r="O680">
        <f>IF(ISBLANK(Mitigation_Industry!O304),"",Mitigation_Industry!O304)</f>
        <v>0</v>
      </c>
      <c r="P680">
        <f>IF(ISBLANK(Mitigation_Industry!P304),"",Mitigation_Industry!P304)</f>
        <v>0</v>
      </c>
      <c r="Q680">
        <f>IF(ISBLANK(Mitigation_Industry!Q304),"",Mitigation_Industry!Q304)</f>
        <v>0</v>
      </c>
      <c r="R680">
        <f>IF(ISBLANK(Mitigation_Industry!R304),"",Mitigation_Industry!R304)</f>
        <v>0</v>
      </c>
      <c r="S680">
        <f>IF(ISBLANK(Mitigation_Industry!S304),"",Mitigation_Industry!S304)</f>
        <v>0</v>
      </c>
      <c r="T680">
        <f>IF(ISBLANK(Mitigation_Industry!T304),"",Mitigation_Industry!T304)</f>
        <v>0</v>
      </c>
      <c r="U680">
        <f>IF(ISBLANK(Mitigation_Industry!U304),"",Mitigation_Industry!U304)</f>
        <v>0</v>
      </c>
      <c r="V680">
        <f>IF(ISBLANK(Mitigation_Industry!V304),"",Mitigation_Industry!V304)</f>
        <v>0</v>
      </c>
      <c r="W680">
        <f>IF(ISBLANK(Mitigation_Industry!W304),"",Mitigation_Industry!W304)</f>
        <v>0</v>
      </c>
      <c r="X680">
        <f>IF(ISBLANK(Mitigation_Industry!X304),"",Mitigation_Industry!X304)</f>
        <v>0</v>
      </c>
      <c r="Y680">
        <f>IF(ISBLANK(Mitigation_Industry!Y304),"",Mitigation_Industry!Y304)</f>
        <v>0</v>
      </c>
      <c r="Z680">
        <f>IF(ISBLANK(Mitigation_Industry!Z304),"",Mitigation_Industry!Z304)</f>
        <v>0</v>
      </c>
      <c r="AA680">
        <f>IF(ISBLANK(Mitigation_Industry!AA304),"",Mitigation_Industry!AA304)</f>
        <v>0</v>
      </c>
      <c r="AB680">
        <f>IF(ISBLANK(Mitigation_Industry!AB304),"",Mitigation_Industry!AB304)</f>
        <v>0</v>
      </c>
      <c r="AC680">
        <f>IF(ISBLANK(Mitigation_Industry!AC304),"",Mitigation_Industry!AC304)</f>
        <v>0</v>
      </c>
      <c r="AD680">
        <f>IF(ISBLANK(Mitigation_Industry!AD304),"",Mitigation_Industry!AD304)</f>
        <v>0</v>
      </c>
      <c r="AE680">
        <f>IF(ISBLANK(Mitigation_Industry!AE304),"",Mitigation_Industry!AE304)</f>
        <v>0</v>
      </c>
    </row>
    <row r="681" spans="1:31" x14ac:dyDescent="0.45">
      <c r="A681" t="s">
        <v>1532</v>
      </c>
      <c r="B681" t="s">
        <v>1474</v>
      </c>
      <c r="C681" t="s">
        <v>1465</v>
      </c>
      <c r="D681">
        <v>1</v>
      </c>
      <c r="E681" t="s">
        <v>1161</v>
      </c>
      <c r="F681">
        <f>MAX(MAX(L681:AE681),-MIN(L681:AE681))</f>
        <v>0</v>
      </c>
      <c r="I681" t="s">
        <v>1509</v>
      </c>
      <c r="K681">
        <f t="shared" ref="K681:AE681" si="167">IF(ISNUMBER(K679),IF(ISNUMBER(K680),K680-K679,999999),0)</f>
        <v>0</v>
      </c>
      <c r="L681">
        <f t="shared" si="167"/>
        <v>0</v>
      </c>
      <c r="M681">
        <f t="shared" si="167"/>
        <v>0</v>
      </c>
      <c r="N681">
        <f t="shared" si="167"/>
        <v>0</v>
      </c>
      <c r="O681">
        <f t="shared" si="167"/>
        <v>0</v>
      </c>
      <c r="P681">
        <f t="shared" si="167"/>
        <v>0</v>
      </c>
      <c r="Q681">
        <f t="shared" si="167"/>
        <v>0</v>
      </c>
      <c r="R681">
        <f t="shared" si="167"/>
        <v>0</v>
      </c>
      <c r="S681">
        <f t="shared" si="167"/>
        <v>0</v>
      </c>
      <c r="T681">
        <f t="shared" si="167"/>
        <v>0</v>
      </c>
      <c r="U681">
        <f t="shared" si="167"/>
        <v>0</v>
      </c>
      <c r="V681">
        <f t="shared" si="167"/>
        <v>0</v>
      </c>
      <c r="W681">
        <f t="shared" si="167"/>
        <v>0</v>
      </c>
      <c r="X681">
        <f t="shared" si="167"/>
        <v>0</v>
      </c>
      <c r="Y681">
        <f t="shared" si="167"/>
        <v>0</v>
      </c>
      <c r="Z681">
        <f t="shared" si="167"/>
        <v>0</v>
      </c>
      <c r="AA681">
        <f t="shared" si="167"/>
        <v>0</v>
      </c>
      <c r="AB681">
        <f t="shared" si="167"/>
        <v>0</v>
      </c>
      <c r="AC681">
        <f t="shared" si="167"/>
        <v>0</v>
      </c>
      <c r="AD681">
        <f t="shared" si="167"/>
        <v>0</v>
      </c>
      <c r="AE681">
        <f t="shared" si="167"/>
        <v>0</v>
      </c>
    </row>
    <row r="683" spans="1:31" x14ac:dyDescent="0.45">
      <c r="A683" t="s">
        <v>1533</v>
      </c>
      <c r="B683" t="s">
        <v>1474</v>
      </c>
      <c r="C683" t="s">
        <v>1468</v>
      </c>
      <c r="D683">
        <v>1</v>
      </c>
      <c r="E683" t="s">
        <v>1159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45">
      <c r="A684" t="s">
        <v>1533</v>
      </c>
      <c r="B684" t="s">
        <v>1474</v>
      </c>
      <c r="C684" t="s">
        <v>1468</v>
      </c>
      <c r="D684">
        <v>1</v>
      </c>
      <c r="E684" t="s">
        <v>1160</v>
      </c>
      <c r="K684" t="str">
        <f>IF(ISBLANK(Mitigation_Industry!K305),"",Mitigation_Industry!K305)</f>
        <v/>
      </c>
      <c r="L684">
        <f>IF(ISBLANK(Mitigation_Industry!L305),"",Mitigation_Industry!L305)</f>
        <v>0</v>
      </c>
      <c r="M684">
        <f>IF(ISBLANK(Mitigation_Industry!M305),"",Mitigation_Industry!M305)</f>
        <v>0</v>
      </c>
      <c r="N684">
        <f>IF(ISBLANK(Mitigation_Industry!N305),"",Mitigation_Industry!N305)</f>
        <v>0</v>
      </c>
      <c r="O684">
        <f>IF(ISBLANK(Mitigation_Industry!O305),"",Mitigation_Industry!O305)</f>
        <v>0</v>
      </c>
      <c r="P684">
        <f>IF(ISBLANK(Mitigation_Industry!P305),"",Mitigation_Industry!P305)</f>
        <v>0</v>
      </c>
      <c r="Q684">
        <f>IF(ISBLANK(Mitigation_Industry!Q305),"",Mitigation_Industry!Q305)</f>
        <v>0</v>
      </c>
      <c r="R684">
        <f>IF(ISBLANK(Mitigation_Industry!R305),"",Mitigation_Industry!R305)</f>
        <v>0</v>
      </c>
      <c r="S684">
        <f>IF(ISBLANK(Mitigation_Industry!S305),"",Mitigation_Industry!S305)</f>
        <v>0</v>
      </c>
      <c r="T684">
        <f>IF(ISBLANK(Mitigation_Industry!T305),"",Mitigation_Industry!T305)</f>
        <v>0</v>
      </c>
      <c r="U684">
        <f>IF(ISBLANK(Mitigation_Industry!U305),"",Mitigation_Industry!U305)</f>
        <v>0</v>
      </c>
      <c r="V684">
        <f>IF(ISBLANK(Mitigation_Industry!V305),"",Mitigation_Industry!V305)</f>
        <v>0</v>
      </c>
      <c r="W684">
        <f>IF(ISBLANK(Mitigation_Industry!W305),"",Mitigation_Industry!W305)</f>
        <v>0</v>
      </c>
      <c r="X684">
        <f>IF(ISBLANK(Mitigation_Industry!X305),"",Mitigation_Industry!X305)</f>
        <v>0</v>
      </c>
      <c r="Y684">
        <f>IF(ISBLANK(Mitigation_Industry!Y305),"",Mitigation_Industry!Y305)</f>
        <v>0</v>
      </c>
      <c r="Z684">
        <f>IF(ISBLANK(Mitigation_Industry!Z305),"",Mitigation_Industry!Z305)</f>
        <v>0</v>
      </c>
      <c r="AA684">
        <f>IF(ISBLANK(Mitigation_Industry!AA305),"",Mitigation_Industry!AA305)</f>
        <v>0</v>
      </c>
      <c r="AB684">
        <f>IF(ISBLANK(Mitigation_Industry!AB305),"",Mitigation_Industry!AB305)</f>
        <v>0</v>
      </c>
      <c r="AC684">
        <f>IF(ISBLANK(Mitigation_Industry!AC305),"",Mitigation_Industry!AC305)</f>
        <v>0</v>
      </c>
      <c r="AD684">
        <f>IF(ISBLANK(Mitigation_Industry!AD305),"",Mitigation_Industry!AD305)</f>
        <v>0</v>
      </c>
      <c r="AE684">
        <f>IF(ISBLANK(Mitigation_Industry!AE305),"",Mitigation_Industry!AE305)</f>
        <v>0</v>
      </c>
    </row>
    <row r="685" spans="1:31" x14ac:dyDescent="0.45">
      <c r="A685" t="s">
        <v>1533</v>
      </c>
      <c r="B685" t="s">
        <v>1474</v>
      </c>
      <c r="C685" t="s">
        <v>1468</v>
      </c>
      <c r="D685">
        <v>1</v>
      </c>
      <c r="E685" t="s">
        <v>1161</v>
      </c>
      <c r="F685">
        <f>MAX(MAX(L685:AE685),-MIN(L685:AE685))</f>
        <v>0</v>
      </c>
      <c r="I685" t="s">
        <v>1509</v>
      </c>
      <c r="K685">
        <f t="shared" ref="K685:AE685" si="168">IF(ISNUMBER(K683),IF(ISNUMBER(K684),K684-K683,999999),0)</f>
        <v>0</v>
      </c>
      <c r="L685">
        <f t="shared" si="168"/>
        <v>0</v>
      </c>
      <c r="M685">
        <f t="shared" si="168"/>
        <v>0</v>
      </c>
      <c r="N685">
        <f t="shared" si="168"/>
        <v>0</v>
      </c>
      <c r="O685">
        <f t="shared" si="168"/>
        <v>0</v>
      </c>
      <c r="P685">
        <f t="shared" si="168"/>
        <v>0</v>
      </c>
      <c r="Q685">
        <f t="shared" si="168"/>
        <v>0</v>
      </c>
      <c r="R685">
        <f t="shared" si="168"/>
        <v>0</v>
      </c>
      <c r="S685">
        <f t="shared" si="168"/>
        <v>0</v>
      </c>
      <c r="T685">
        <f t="shared" si="168"/>
        <v>0</v>
      </c>
      <c r="U685">
        <f t="shared" si="168"/>
        <v>0</v>
      </c>
      <c r="V685">
        <f t="shared" si="168"/>
        <v>0</v>
      </c>
      <c r="W685">
        <f t="shared" si="168"/>
        <v>0</v>
      </c>
      <c r="X685">
        <f t="shared" si="168"/>
        <v>0</v>
      </c>
      <c r="Y685">
        <f t="shared" si="168"/>
        <v>0</v>
      </c>
      <c r="Z685">
        <f t="shared" si="168"/>
        <v>0</v>
      </c>
      <c r="AA685">
        <f t="shared" si="168"/>
        <v>0</v>
      </c>
      <c r="AB685">
        <f t="shared" si="168"/>
        <v>0</v>
      </c>
      <c r="AC685">
        <f t="shared" si="168"/>
        <v>0</v>
      </c>
      <c r="AD685">
        <f t="shared" si="168"/>
        <v>0</v>
      </c>
      <c r="AE685">
        <f t="shared" si="168"/>
        <v>0</v>
      </c>
    </row>
    <row r="687" spans="1:31" x14ac:dyDescent="0.45">
      <c r="A687" t="s">
        <v>1534</v>
      </c>
      <c r="B687" t="s">
        <v>1474</v>
      </c>
      <c r="C687" t="s">
        <v>1471</v>
      </c>
      <c r="D687">
        <v>1</v>
      </c>
      <c r="E687" t="s">
        <v>1159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45">
      <c r="A688" t="s">
        <v>1534</v>
      </c>
      <c r="B688" t="s">
        <v>1474</v>
      </c>
      <c r="C688" t="s">
        <v>1471</v>
      </c>
      <c r="D688">
        <v>1</v>
      </c>
      <c r="E688" t="s">
        <v>1160</v>
      </c>
      <c r="K688" t="str">
        <f>IF(ISBLANK(Mitigation_Industry!K306),"",Mitigation_Industry!K306)</f>
        <v/>
      </c>
      <c r="L688">
        <f>IF(ISBLANK(Mitigation_Industry!L306),"",Mitigation_Industry!L306)</f>
        <v>0</v>
      </c>
      <c r="M688">
        <f>IF(ISBLANK(Mitigation_Industry!M306),"",Mitigation_Industry!M306)</f>
        <v>0</v>
      </c>
      <c r="N688">
        <f>IF(ISBLANK(Mitigation_Industry!N306),"",Mitigation_Industry!N306)</f>
        <v>0</v>
      </c>
      <c r="O688">
        <f>IF(ISBLANK(Mitigation_Industry!O306),"",Mitigation_Industry!O306)</f>
        <v>0</v>
      </c>
      <c r="P688">
        <f>IF(ISBLANK(Mitigation_Industry!P306),"",Mitigation_Industry!P306)</f>
        <v>0</v>
      </c>
      <c r="Q688">
        <f>IF(ISBLANK(Mitigation_Industry!Q306),"",Mitigation_Industry!Q306)</f>
        <v>0</v>
      </c>
      <c r="R688">
        <f>IF(ISBLANK(Mitigation_Industry!R306),"",Mitigation_Industry!R306)</f>
        <v>0</v>
      </c>
      <c r="S688">
        <f>IF(ISBLANK(Mitigation_Industry!S306),"",Mitigation_Industry!S306)</f>
        <v>0</v>
      </c>
      <c r="T688">
        <f>IF(ISBLANK(Mitigation_Industry!T306),"",Mitigation_Industry!T306)</f>
        <v>0</v>
      </c>
      <c r="U688">
        <f>IF(ISBLANK(Mitigation_Industry!U306),"",Mitigation_Industry!U306)</f>
        <v>0</v>
      </c>
      <c r="V688">
        <f>IF(ISBLANK(Mitigation_Industry!V306),"",Mitigation_Industry!V306)</f>
        <v>0</v>
      </c>
      <c r="W688">
        <f>IF(ISBLANK(Mitigation_Industry!W306),"",Mitigation_Industry!W306)</f>
        <v>0</v>
      </c>
      <c r="X688">
        <f>IF(ISBLANK(Mitigation_Industry!X306),"",Mitigation_Industry!X306)</f>
        <v>0</v>
      </c>
      <c r="Y688">
        <f>IF(ISBLANK(Mitigation_Industry!Y306),"",Mitigation_Industry!Y306)</f>
        <v>0</v>
      </c>
      <c r="Z688">
        <f>IF(ISBLANK(Mitigation_Industry!Z306),"",Mitigation_Industry!Z306)</f>
        <v>0</v>
      </c>
      <c r="AA688">
        <f>IF(ISBLANK(Mitigation_Industry!AA306),"",Mitigation_Industry!AA306)</f>
        <v>0</v>
      </c>
      <c r="AB688">
        <f>IF(ISBLANK(Mitigation_Industry!AB306),"",Mitigation_Industry!AB306)</f>
        <v>0</v>
      </c>
      <c r="AC688">
        <f>IF(ISBLANK(Mitigation_Industry!AC306),"",Mitigation_Industry!AC306)</f>
        <v>0</v>
      </c>
      <c r="AD688">
        <f>IF(ISBLANK(Mitigation_Industry!AD306),"",Mitigation_Industry!AD306)</f>
        <v>0</v>
      </c>
      <c r="AE688">
        <f>IF(ISBLANK(Mitigation_Industry!AE306),"",Mitigation_Industry!AE306)</f>
        <v>0</v>
      </c>
    </row>
    <row r="689" spans="1:31" x14ac:dyDescent="0.45">
      <c r="A689" t="s">
        <v>1534</v>
      </c>
      <c r="B689" t="s">
        <v>1474</v>
      </c>
      <c r="C689" t="s">
        <v>1471</v>
      </c>
      <c r="D689">
        <v>1</v>
      </c>
      <c r="E689" t="s">
        <v>1161</v>
      </c>
      <c r="F689">
        <f>MAX(MAX(L689:AE689),-MIN(L689:AE689))</f>
        <v>0</v>
      </c>
      <c r="I689" t="s">
        <v>1509</v>
      </c>
      <c r="K689">
        <f t="shared" ref="K689:AE689" si="169">IF(ISNUMBER(K687),IF(ISNUMBER(K688),K688-K687,999999),0)</f>
        <v>0</v>
      </c>
      <c r="L689">
        <f t="shared" si="169"/>
        <v>0</v>
      </c>
      <c r="M689">
        <f t="shared" si="169"/>
        <v>0</v>
      </c>
      <c r="N689">
        <f t="shared" si="169"/>
        <v>0</v>
      </c>
      <c r="O689">
        <f t="shared" si="169"/>
        <v>0</v>
      </c>
      <c r="P689">
        <f t="shared" si="169"/>
        <v>0</v>
      </c>
      <c r="Q689">
        <f t="shared" si="169"/>
        <v>0</v>
      </c>
      <c r="R689">
        <f t="shared" si="169"/>
        <v>0</v>
      </c>
      <c r="S689">
        <f t="shared" si="169"/>
        <v>0</v>
      </c>
      <c r="T689">
        <f t="shared" si="169"/>
        <v>0</v>
      </c>
      <c r="U689">
        <f t="shared" si="169"/>
        <v>0</v>
      </c>
      <c r="V689">
        <f t="shared" si="169"/>
        <v>0</v>
      </c>
      <c r="W689">
        <f t="shared" si="169"/>
        <v>0</v>
      </c>
      <c r="X689">
        <f t="shared" si="169"/>
        <v>0</v>
      </c>
      <c r="Y689">
        <f t="shared" si="169"/>
        <v>0</v>
      </c>
      <c r="Z689">
        <f t="shared" si="169"/>
        <v>0</v>
      </c>
      <c r="AA689">
        <f t="shared" si="169"/>
        <v>0</v>
      </c>
      <c r="AB689">
        <f t="shared" si="169"/>
        <v>0</v>
      </c>
      <c r="AC689">
        <f t="shared" si="169"/>
        <v>0</v>
      </c>
      <c r="AD689">
        <f t="shared" si="169"/>
        <v>0</v>
      </c>
      <c r="AE689">
        <f t="shared" si="169"/>
        <v>0</v>
      </c>
    </row>
    <row r="691" spans="1:31" x14ac:dyDescent="0.45">
      <c r="A691" t="s">
        <v>1535</v>
      </c>
      <c r="B691" t="s">
        <v>1477</v>
      </c>
      <c r="C691" t="s">
        <v>1450</v>
      </c>
      <c r="D691">
        <v>1</v>
      </c>
      <c r="E691" t="s">
        <v>1159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45">
      <c r="A692" t="s">
        <v>1535</v>
      </c>
      <c r="B692" t="s">
        <v>1477</v>
      </c>
      <c r="C692" t="s">
        <v>1450</v>
      </c>
      <c r="D692">
        <v>1</v>
      </c>
      <c r="E692" t="s">
        <v>1160</v>
      </c>
      <c r="K692" t="str">
        <f>IF(ISBLANK(Mitigation_Industry!K310),"",Mitigation_Industry!K310)</f>
        <v/>
      </c>
      <c r="L692">
        <f>IF(ISBLANK(Mitigation_Industry!L310),"",Mitigation_Industry!L310)</f>
        <v>0</v>
      </c>
      <c r="M692">
        <f>IF(ISBLANK(Mitigation_Industry!M310),"",Mitigation_Industry!M310)</f>
        <v>0</v>
      </c>
      <c r="N692">
        <f>IF(ISBLANK(Mitigation_Industry!N310),"",Mitigation_Industry!N310)</f>
        <v>0</v>
      </c>
      <c r="O692">
        <f>IF(ISBLANK(Mitigation_Industry!O310),"",Mitigation_Industry!O310)</f>
        <v>0</v>
      </c>
      <c r="P692">
        <f>IF(ISBLANK(Mitigation_Industry!P310),"",Mitigation_Industry!P310)</f>
        <v>0</v>
      </c>
      <c r="Q692">
        <f>IF(ISBLANK(Mitigation_Industry!Q310),"",Mitigation_Industry!Q310)</f>
        <v>0</v>
      </c>
      <c r="R692">
        <f>IF(ISBLANK(Mitigation_Industry!R310),"",Mitigation_Industry!R310)</f>
        <v>0</v>
      </c>
      <c r="S692">
        <f>IF(ISBLANK(Mitigation_Industry!S310),"",Mitigation_Industry!S310)</f>
        <v>0</v>
      </c>
      <c r="T692">
        <f>IF(ISBLANK(Mitigation_Industry!T310),"",Mitigation_Industry!T310)</f>
        <v>0</v>
      </c>
      <c r="U692">
        <f>IF(ISBLANK(Mitigation_Industry!U310),"",Mitigation_Industry!U310)</f>
        <v>0</v>
      </c>
      <c r="V692">
        <f>IF(ISBLANK(Mitigation_Industry!V310),"",Mitigation_Industry!V310)</f>
        <v>0</v>
      </c>
      <c r="W692">
        <f>IF(ISBLANK(Mitigation_Industry!W310),"",Mitigation_Industry!W310)</f>
        <v>0</v>
      </c>
      <c r="X692">
        <f>IF(ISBLANK(Mitigation_Industry!X310),"",Mitigation_Industry!X310)</f>
        <v>0</v>
      </c>
      <c r="Y692">
        <f>IF(ISBLANK(Mitigation_Industry!Y310),"",Mitigation_Industry!Y310)</f>
        <v>0</v>
      </c>
      <c r="Z692">
        <f>IF(ISBLANK(Mitigation_Industry!Z310),"",Mitigation_Industry!Z310)</f>
        <v>0</v>
      </c>
      <c r="AA692">
        <f>IF(ISBLANK(Mitigation_Industry!AA310),"",Mitigation_Industry!AA310)</f>
        <v>0</v>
      </c>
      <c r="AB692">
        <f>IF(ISBLANK(Mitigation_Industry!AB310),"",Mitigation_Industry!AB310)</f>
        <v>0</v>
      </c>
      <c r="AC692">
        <f>IF(ISBLANK(Mitigation_Industry!AC310),"",Mitigation_Industry!AC310)</f>
        <v>0</v>
      </c>
      <c r="AD692">
        <f>IF(ISBLANK(Mitigation_Industry!AD310),"",Mitigation_Industry!AD310)</f>
        <v>0</v>
      </c>
      <c r="AE692">
        <f>IF(ISBLANK(Mitigation_Industry!AE310),"",Mitigation_Industry!AE310)</f>
        <v>0</v>
      </c>
    </row>
    <row r="693" spans="1:31" x14ac:dyDescent="0.45">
      <c r="A693" t="s">
        <v>1535</v>
      </c>
      <c r="B693" t="s">
        <v>1477</v>
      </c>
      <c r="C693" t="s">
        <v>1450</v>
      </c>
      <c r="D693">
        <v>1</v>
      </c>
      <c r="E693" t="s">
        <v>1161</v>
      </c>
      <c r="F693">
        <f>MAX(MAX(L693:AE693),-MIN(L693:AE693))</f>
        <v>0</v>
      </c>
      <c r="I693" t="s">
        <v>1509</v>
      </c>
      <c r="K693">
        <f t="shared" ref="K693:AE693" si="170">IF(ISNUMBER(K691),IF(ISNUMBER(K692),K692-K691,999999),0)</f>
        <v>0</v>
      </c>
      <c r="L693">
        <f t="shared" si="170"/>
        <v>0</v>
      </c>
      <c r="M693">
        <f t="shared" si="170"/>
        <v>0</v>
      </c>
      <c r="N693">
        <f t="shared" si="170"/>
        <v>0</v>
      </c>
      <c r="O693">
        <f t="shared" si="170"/>
        <v>0</v>
      </c>
      <c r="P693">
        <f t="shared" si="170"/>
        <v>0</v>
      </c>
      <c r="Q693">
        <f t="shared" si="170"/>
        <v>0</v>
      </c>
      <c r="R693">
        <f t="shared" si="170"/>
        <v>0</v>
      </c>
      <c r="S693">
        <f t="shared" si="170"/>
        <v>0</v>
      </c>
      <c r="T693">
        <f t="shared" si="170"/>
        <v>0</v>
      </c>
      <c r="U693">
        <f t="shared" si="170"/>
        <v>0</v>
      </c>
      <c r="V693">
        <f t="shared" si="170"/>
        <v>0</v>
      </c>
      <c r="W693">
        <f t="shared" si="170"/>
        <v>0</v>
      </c>
      <c r="X693">
        <f t="shared" si="170"/>
        <v>0</v>
      </c>
      <c r="Y693">
        <f t="shared" si="170"/>
        <v>0</v>
      </c>
      <c r="Z693">
        <f t="shared" si="170"/>
        <v>0</v>
      </c>
      <c r="AA693">
        <f t="shared" si="170"/>
        <v>0</v>
      </c>
      <c r="AB693">
        <f t="shared" si="170"/>
        <v>0</v>
      </c>
      <c r="AC693">
        <f t="shared" si="170"/>
        <v>0</v>
      </c>
      <c r="AD693">
        <f t="shared" si="170"/>
        <v>0</v>
      </c>
      <c r="AE693">
        <f t="shared" si="170"/>
        <v>0</v>
      </c>
    </row>
    <row r="695" spans="1:31" x14ac:dyDescent="0.45">
      <c r="A695" t="s">
        <v>1536</v>
      </c>
      <c r="B695" t="s">
        <v>1477</v>
      </c>
      <c r="C695" t="s">
        <v>1453</v>
      </c>
      <c r="D695">
        <v>1</v>
      </c>
      <c r="E695" t="s">
        <v>1159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45">
      <c r="A696" t="s">
        <v>1536</v>
      </c>
      <c r="B696" t="s">
        <v>1477</v>
      </c>
      <c r="C696" t="s">
        <v>1453</v>
      </c>
      <c r="D696">
        <v>1</v>
      </c>
      <c r="E696" t="s">
        <v>1160</v>
      </c>
      <c r="K696" t="str">
        <f>IF(ISBLANK(Mitigation_Industry!K311),"",Mitigation_Industry!K311)</f>
        <v/>
      </c>
      <c r="L696">
        <f>IF(ISBLANK(Mitigation_Industry!L311),"",Mitigation_Industry!L311)</f>
        <v>0</v>
      </c>
      <c r="M696">
        <f>IF(ISBLANK(Mitigation_Industry!M311),"",Mitigation_Industry!M311)</f>
        <v>0</v>
      </c>
      <c r="N696">
        <f>IF(ISBLANK(Mitigation_Industry!N311),"",Mitigation_Industry!N311)</f>
        <v>0</v>
      </c>
      <c r="O696">
        <f>IF(ISBLANK(Mitigation_Industry!O311),"",Mitigation_Industry!O311)</f>
        <v>0</v>
      </c>
      <c r="P696">
        <f>IF(ISBLANK(Mitigation_Industry!P311),"",Mitigation_Industry!P311)</f>
        <v>0</v>
      </c>
      <c r="Q696">
        <f>IF(ISBLANK(Mitigation_Industry!Q311),"",Mitigation_Industry!Q311)</f>
        <v>0</v>
      </c>
      <c r="R696">
        <f>IF(ISBLANK(Mitigation_Industry!R311),"",Mitigation_Industry!R311)</f>
        <v>0</v>
      </c>
      <c r="S696">
        <f>IF(ISBLANK(Mitigation_Industry!S311),"",Mitigation_Industry!S311)</f>
        <v>0</v>
      </c>
      <c r="T696">
        <f>IF(ISBLANK(Mitigation_Industry!T311),"",Mitigation_Industry!T311)</f>
        <v>0</v>
      </c>
      <c r="U696">
        <f>IF(ISBLANK(Mitigation_Industry!U311),"",Mitigation_Industry!U311)</f>
        <v>0</v>
      </c>
      <c r="V696">
        <f>IF(ISBLANK(Mitigation_Industry!V311),"",Mitigation_Industry!V311)</f>
        <v>0</v>
      </c>
      <c r="W696">
        <f>IF(ISBLANK(Mitigation_Industry!W311),"",Mitigation_Industry!W311)</f>
        <v>0</v>
      </c>
      <c r="X696">
        <f>IF(ISBLANK(Mitigation_Industry!X311),"",Mitigation_Industry!X311)</f>
        <v>0</v>
      </c>
      <c r="Y696">
        <f>IF(ISBLANK(Mitigation_Industry!Y311),"",Mitigation_Industry!Y311)</f>
        <v>0</v>
      </c>
      <c r="Z696">
        <f>IF(ISBLANK(Mitigation_Industry!Z311),"",Mitigation_Industry!Z311)</f>
        <v>0</v>
      </c>
      <c r="AA696">
        <f>IF(ISBLANK(Mitigation_Industry!AA311),"",Mitigation_Industry!AA311)</f>
        <v>0</v>
      </c>
      <c r="AB696">
        <f>IF(ISBLANK(Mitigation_Industry!AB311),"",Mitigation_Industry!AB311)</f>
        <v>0</v>
      </c>
      <c r="AC696">
        <f>IF(ISBLANK(Mitigation_Industry!AC311),"",Mitigation_Industry!AC311)</f>
        <v>0</v>
      </c>
      <c r="AD696">
        <f>IF(ISBLANK(Mitigation_Industry!AD311),"",Mitigation_Industry!AD311)</f>
        <v>0</v>
      </c>
      <c r="AE696">
        <f>IF(ISBLANK(Mitigation_Industry!AE311),"",Mitigation_Industry!AE311)</f>
        <v>0</v>
      </c>
    </row>
    <row r="697" spans="1:31" x14ac:dyDescent="0.45">
      <c r="A697" t="s">
        <v>1536</v>
      </c>
      <c r="B697" t="s">
        <v>1477</v>
      </c>
      <c r="C697" t="s">
        <v>1453</v>
      </c>
      <c r="D697">
        <v>1</v>
      </c>
      <c r="E697" t="s">
        <v>1161</v>
      </c>
      <c r="F697">
        <f>MAX(MAX(L697:AE697),-MIN(L697:AE697))</f>
        <v>0</v>
      </c>
      <c r="I697" t="s">
        <v>1509</v>
      </c>
      <c r="K697">
        <f t="shared" ref="K697:AE697" si="171">IF(ISNUMBER(K695),IF(ISNUMBER(K696),K696-K695,999999),0)</f>
        <v>0</v>
      </c>
      <c r="L697">
        <f t="shared" si="171"/>
        <v>0</v>
      </c>
      <c r="M697">
        <f t="shared" si="171"/>
        <v>0</v>
      </c>
      <c r="N697">
        <f t="shared" si="171"/>
        <v>0</v>
      </c>
      <c r="O697">
        <f t="shared" si="171"/>
        <v>0</v>
      </c>
      <c r="P697">
        <f t="shared" si="171"/>
        <v>0</v>
      </c>
      <c r="Q697">
        <f t="shared" si="171"/>
        <v>0</v>
      </c>
      <c r="R697">
        <f t="shared" si="171"/>
        <v>0</v>
      </c>
      <c r="S697">
        <f t="shared" si="171"/>
        <v>0</v>
      </c>
      <c r="T697">
        <f t="shared" si="171"/>
        <v>0</v>
      </c>
      <c r="U697">
        <f t="shared" si="171"/>
        <v>0</v>
      </c>
      <c r="V697">
        <f t="shared" si="171"/>
        <v>0</v>
      </c>
      <c r="W697">
        <f t="shared" si="171"/>
        <v>0</v>
      </c>
      <c r="X697">
        <f t="shared" si="171"/>
        <v>0</v>
      </c>
      <c r="Y697">
        <f t="shared" si="171"/>
        <v>0</v>
      </c>
      <c r="Z697">
        <f t="shared" si="171"/>
        <v>0</v>
      </c>
      <c r="AA697">
        <f t="shared" si="171"/>
        <v>0</v>
      </c>
      <c r="AB697">
        <f t="shared" si="171"/>
        <v>0</v>
      </c>
      <c r="AC697">
        <f t="shared" si="171"/>
        <v>0</v>
      </c>
      <c r="AD697">
        <f t="shared" si="171"/>
        <v>0</v>
      </c>
      <c r="AE697">
        <f t="shared" si="171"/>
        <v>0</v>
      </c>
    </row>
    <row r="699" spans="1:31" x14ac:dyDescent="0.45">
      <c r="A699" t="s">
        <v>1537</v>
      </c>
      <c r="B699" t="s">
        <v>1477</v>
      </c>
      <c r="C699" t="s">
        <v>1456</v>
      </c>
      <c r="D699">
        <v>1</v>
      </c>
      <c r="E699" t="s">
        <v>1159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45">
      <c r="A700" t="s">
        <v>1537</v>
      </c>
      <c r="B700" t="s">
        <v>1477</v>
      </c>
      <c r="C700" t="s">
        <v>1456</v>
      </c>
      <c r="D700">
        <v>1</v>
      </c>
      <c r="E700" t="s">
        <v>1160</v>
      </c>
      <c r="K700" t="str">
        <f>IF(ISBLANK(Mitigation_Industry!K312),"",Mitigation_Industry!K312)</f>
        <v/>
      </c>
      <c r="L700">
        <f>IF(ISBLANK(Mitigation_Industry!L312),"",Mitigation_Industry!L312)</f>
        <v>0</v>
      </c>
      <c r="M700">
        <f>IF(ISBLANK(Mitigation_Industry!M312),"",Mitigation_Industry!M312)</f>
        <v>0</v>
      </c>
      <c r="N700">
        <f>IF(ISBLANK(Mitigation_Industry!N312),"",Mitigation_Industry!N312)</f>
        <v>0</v>
      </c>
      <c r="O700">
        <f>IF(ISBLANK(Mitigation_Industry!O312),"",Mitigation_Industry!O312)</f>
        <v>0</v>
      </c>
      <c r="P700">
        <f>IF(ISBLANK(Mitigation_Industry!P312),"",Mitigation_Industry!P312)</f>
        <v>0</v>
      </c>
      <c r="Q700">
        <f>IF(ISBLANK(Mitigation_Industry!Q312),"",Mitigation_Industry!Q312)</f>
        <v>0</v>
      </c>
      <c r="R700">
        <f>IF(ISBLANK(Mitigation_Industry!R312),"",Mitigation_Industry!R312)</f>
        <v>0</v>
      </c>
      <c r="S700">
        <f>IF(ISBLANK(Mitigation_Industry!S312),"",Mitigation_Industry!S312)</f>
        <v>0</v>
      </c>
      <c r="T700">
        <f>IF(ISBLANK(Mitigation_Industry!T312),"",Mitigation_Industry!T312)</f>
        <v>0</v>
      </c>
      <c r="U700">
        <f>IF(ISBLANK(Mitigation_Industry!U312),"",Mitigation_Industry!U312)</f>
        <v>0</v>
      </c>
      <c r="V700">
        <f>IF(ISBLANK(Mitigation_Industry!V312),"",Mitigation_Industry!V312)</f>
        <v>0</v>
      </c>
      <c r="W700">
        <f>IF(ISBLANK(Mitigation_Industry!W312),"",Mitigation_Industry!W312)</f>
        <v>0</v>
      </c>
      <c r="X700">
        <f>IF(ISBLANK(Mitigation_Industry!X312),"",Mitigation_Industry!X312)</f>
        <v>0</v>
      </c>
      <c r="Y700">
        <f>IF(ISBLANK(Mitigation_Industry!Y312),"",Mitigation_Industry!Y312)</f>
        <v>0</v>
      </c>
      <c r="Z700">
        <f>IF(ISBLANK(Mitigation_Industry!Z312),"",Mitigation_Industry!Z312)</f>
        <v>0</v>
      </c>
      <c r="AA700">
        <f>IF(ISBLANK(Mitigation_Industry!AA312),"",Mitigation_Industry!AA312)</f>
        <v>0</v>
      </c>
      <c r="AB700">
        <f>IF(ISBLANK(Mitigation_Industry!AB312),"",Mitigation_Industry!AB312)</f>
        <v>0</v>
      </c>
      <c r="AC700">
        <f>IF(ISBLANK(Mitigation_Industry!AC312),"",Mitigation_Industry!AC312)</f>
        <v>0</v>
      </c>
      <c r="AD700">
        <f>IF(ISBLANK(Mitigation_Industry!AD312),"",Mitigation_Industry!AD312)</f>
        <v>0</v>
      </c>
      <c r="AE700">
        <f>IF(ISBLANK(Mitigation_Industry!AE312),"",Mitigation_Industry!AE312)</f>
        <v>0</v>
      </c>
    </row>
    <row r="701" spans="1:31" x14ac:dyDescent="0.45">
      <c r="A701" t="s">
        <v>1537</v>
      </c>
      <c r="B701" t="s">
        <v>1477</v>
      </c>
      <c r="C701" t="s">
        <v>1456</v>
      </c>
      <c r="D701">
        <v>1</v>
      </c>
      <c r="E701" t="s">
        <v>1161</v>
      </c>
      <c r="F701">
        <f>MAX(MAX(L701:AE701),-MIN(L701:AE701))</f>
        <v>0</v>
      </c>
      <c r="I701" t="s">
        <v>1509</v>
      </c>
      <c r="K701">
        <f t="shared" ref="K701:AE701" si="172">IF(ISNUMBER(K699),IF(ISNUMBER(K700),K700-K699,999999),0)</f>
        <v>0</v>
      </c>
      <c r="L701">
        <f t="shared" si="172"/>
        <v>0</v>
      </c>
      <c r="M701">
        <f t="shared" si="172"/>
        <v>0</v>
      </c>
      <c r="N701">
        <f t="shared" si="172"/>
        <v>0</v>
      </c>
      <c r="O701">
        <f t="shared" si="172"/>
        <v>0</v>
      </c>
      <c r="P701">
        <f t="shared" si="172"/>
        <v>0</v>
      </c>
      <c r="Q701">
        <f t="shared" si="172"/>
        <v>0</v>
      </c>
      <c r="R701">
        <f t="shared" si="172"/>
        <v>0</v>
      </c>
      <c r="S701">
        <f t="shared" si="172"/>
        <v>0</v>
      </c>
      <c r="T701">
        <f t="shared" si="172"/>
        <v>0</v>
      </c>
      <c r="U701">
        <f t="shared" si="172"/>
        <v>0</v>
      </c>
      <c r="V701">
        <f t="shared" si="172"/>
        <v>0</v>
      </c>
      <c r="W701">
        <f t="shared" si="172"/>
        <v>0</v>
      </c>
      <c r="X701">
        <f t="shared" si="172"/>
        <v>0</v>
      </c>
      <c r="Y701">
        <f t="shared" si="172"/>
        <v>0</v>
      </c>
      <c r="Z701">
        <f t="shared" si="172"/>
        <v>0</v>
      </c>
      <c r="AA701">
        <f t="shared" si="172"/>
        <v>0</v>
      </c>
      <c r="AB701">
        <f t="shared" si="172"/>
        <v>0</v>
      </c>
      <c r="AC701">
        <f t="shared" si="172"/>
        <v>0</v>
      </c>
      <c r="AD701">
        <f t="shared" si="172"/>
        <v>0</v>
      </c>
      <c r="AE701">
        <f t="shared" si="172"/>
        <v>0</v>
      </c>
    </row>
    <row r="703" spans="1:31" x14ac:dyDescent="0.45">
      <c r="A703" t="s">
        <v>1538</v>
      </c>
      <c r="B703" t="s">
        <v>1477</v>
      </c>
      <c r="C703" t="s">
        <v>1459</v>
      </c>
      <c r="D703">
        <v>1</v>
      </c>
      <c r="E703" t="s">
        <v>1159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45">
      <c r="A704" t="s">
        <v>1538</v>
      </c>
      <c r="B704" t="s">
        <v>1477</v>
      </c>
      <c r="C704" t="s">
        <v>1459</v>
      </c>
      <c r="D704">
        <v>1</v>
      </c>
      <c r="E704" t="s">
        <v>1160</v>
      </c>
      <c r="K704" t="str">
        <f>IF(ISBLANK(Mitigation_Industry!K313),"",Mitigation_Industry!K313)</f>
        <v/>
      </c>
      <c r="L704">
        <f>IF(ISBLANK(Mitigation_Industry!L313),"",Mitigation_Industry!L313)</f>
        <v>0</v>
      </c>
      <c r="M704">
        <f>IF(ISBLANK(Mitigation_Industry!M313),"",Mitigation_Industry!M313)</f>
        <v>0</v>
      </c>
      <c r="N704">
        <f>IF(ISBLANK(Mitigation_Industry!N313),"",Mitigation_Industry!N313)</f>
        <v>0</v>
      </c>
      <c r="O704">
        <f>IF(ISBLANK(Mitigation_Industry!O313),"",Mitigation_Industry!O313)</f>
        <v>0</v>
      </c>
      <c r="P704">
        <f>IF(ISBLANK(Mitigation_Industry!P313),"",Mitigation_Industry!P313)</f>
        <v>0</v>
      </c>
      <c r="Q704">
        <f>IF(ISBLANK(Mitigation_Industry!Q313),"",Mitigation_Industry!Q313)</f>
        <v>0</v>
      </c>
      <c r="R704">
        <f>IF(ISBLANK(Mitigation_Industry!R313),"",Mitigation_Industry!R313)</f>
        <v>0</v>
      </c>
      <c r="S704">
        <f>IF(ISBLANK(Mitigation_Industry!S313),"",Mitigation_Industry!S313)</f>
        <v>0</v>
      </c>
      <c r="T704">
        <f>IF(ISBLANK(Mitigation_Industry!T313),"",Mitigation_Industry!T313)</f>
        <v>0</v>
      </c>
      <c r="U704">
        <f>IF(ISBLANK(Mitigation_Industry!U313),"",Mitigation_Industry!U313)</f>
        <v>0</v>
      </c>
      <c r="V704">
        <f>IF(ISBLANK(Mitigation_Industry!V313),"",Mitigation_Industry!V313)</f>
        <v>0</v>
      </c>
      <c r="W704">
        <f>IF(ISBLANK(Mitigation_Industry!W313),"",Mitigation_Industry!W313)</f>
        <v>0</v>
      </c>
      <c r="X704">
        <f>IF(ISBLANK(Mitigation_Industry!X313),"",Mitigation_Industry!X313)</f>
        <v>0</v>
      </c>
      <c r="Y704">
        <f>IF(ISBLANK(Mitigation_Industry!Y313),"",Mitigation_Industry!Y313)</f>
        <v>0</v>
      </c>
      <c r="Z704">
        <f>IF(ISBLANK(Mitigation_Industry!Z313),"",Mitigation_Industry!Z313)</f>
        <v>0</v>
      </c>
      <c r="AA704">
        <f>IF(ISBLANK(Mitigation_Industry!AA313),"",Mitigation_Industry!AA313)</f>
        <v>0</v>
      </c>
      <c r="AB704">
        <f>IF(ISBLANK(Mitigation_Industry!AB313),"",Mitigation_Industry!AB313)</f>
        <v>0</v>
      </c>
      <c r="AC704">
        <f>IF(ISBLANK(Mitigation_Industry!AC313),"",Mitigation_Industry!AC313)</f>
        <v>0</v>
      </c>
      <c r="AD704">
        <f>IF(ISBLANK(Mitigation_Industry!AD313),"",Mitigation_Industry!AD313)</f>
        <v>0</v>
      </c>
      <c r="AE704">
        <f>IF(ISBLANK(Mitigation_Industry!AE313),"",Mitigation_Industry!AE313)</f>
        <v>0</v>
      </c>
    </row>
    <row r="705" spans="1:31" x14ac:dyDescent="0.45">
      <c r="A705" t="s">
        <v>1538</v>
      </c>
      <c r="B705" t="s">
        <v>1477</v>
      </c>
      <c r="C705" t="s">
        <v>1459</v>
      </c>
      <c r="D705">
        <v>1</v>
      </c>
      <c r="E705" t="s">
        <v>1161</v>
      </c>
      <c r="F705">
        <f>MAX(MAX(L705:AE705),-MIN(L705:AE705))</f>
        <v>0</v>
      </c>
      <c r="I705" t="s">
        <v>1509</v>
      </c>
      <c r="K705">
        <f t="shared" ref="K705:AE705" si="173">IF(ISNUMBER(K703),IF(ISNUMBER(K704),K704-K703,999999),0)</f>
        <v>0</v>
      </c>
      <c r="L705">
        <f t="shared" si="173"/>
        <v>0</v>
      </c>
      <c r="M705">
        <f t="shared" si="173"/>
        <v>0</v>
      </c>
      <c r="N705">
        <f t="shared" si="173"/>
        <v>0</v>
      </c>
      <c r="O705">
        <f t="shared" si="173"/>
        <v>0</v>
      </c>
      <c r="P705">
        <f t="shared" si="173"/>
        <v>0</v>
      </c>
      <c r="Q705">
        <f t="shared" si="173"/>
        <v>0</v>
      </c>
      <c r="R705">
        <f t="shared" si="173"/>
        <v>0</v>
      </c>
      <c r="S705">
        <f t="shared" si="173"/>
        <v>0</v>
      </c>
      <c r="T705">
        <f t="shared" si="173"/>
        <v>0</v>
      </c>
      <c r="U705">
        <f t="shared" si="173"/>
        <v>0</v>
      </c>
      <c r="V705">
        <f t="shared" si="173"/>
        <v>0</v>
      </c>
      <c r="W705">
        <f t="shared" si="173"/>
        <v>0</v>
      </c>
      <c r="X705">
        <f t="shared" si="173"/>
        <v>0</v>
      </c>
      <c r="Y705">
        <f t="shared" si="173"/>
        <v>0</v>
      </c>
      <c r="Z705">
        <f t="shared" si="173"/>
        <v>0</v>
      </c>
      <c r="AA705">
        <f t="shared" si="173"/>
        <v>0</v>
      </c>
      <c r="AB705">
        <f t="shared" si="173"/>
        <v>0</v>
      </c>
      <c r="AC705">
        <f t="shared" si="173"/>
        <v>0</v>
      </c>
      <c r="AD705">
        <f t="shared" si="173"/>
        <v>0</v>
      </c>
      <c r="AE705">
        <f t="shared" si="173"/>
        <v>0</v>
      </c>
    </row>
    <row r="707" spans="1:31" x14ac:dyDescent="0.45">
      <c r="A707" t="s">
        <v>1539</v>
      </c>
      <c r="B707" t="s">
        <v>1477</v>
      </c>
      <c r="C707" t="s">
        <v>1462</v>
      </c>
      <c r="D707">
        <v>1</v>
      </c>
      <c r="E707" t="s">
        <v>1159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45">
      <c r="A708" t="s">
        <v>1539</v>
      </c>
      <c r="B708" t="s">
        <v>1477</v>
      </c>
      <c r="C708" t="s">
        <v>1462</v>
      </c>
      <c r="D708">
        <v>1</v>
      </c>
      <c r="E708" t="s">
        <v>1160</v>
      </c>
      <c r="K708" t="str">
        <f>IF(ISBLANK(Mitigation_Industry!K314),"",Mitigation_Industry!K314)</f>
        <v/>
      </c>
      <c r="L708">
        <f>IF(ISBLANK(Mitigation_Industry!L314),"",Mitigation_Industry!L314)</f>
        <v>0</v>
      </c>
      <c r="M708">
        <f>IF(ISBLANK(Mitigation_Industry!M314),"",Mitigation_Industry!M314)</f>
        <v>0</v>
      </c>
      <c r="N708">
        <f>IF(ISBLANK(Mitigation_Industry!N314),"",Mitigation_Industry!N314)</f>
        <v>0</v>
      </c>
      <c r="O708">
        <f>IF(ISBLANK(Mitigation_Industry!O314),"",Mitigation_Industry!O314)</f>
        <v>0</v>
      </c>
      <c r="P708">
        <f>IF(ISBLANK(Mitigation_Industry!P314),"",Mitigation_Industry!P314)</f>
        <v>0</v>
      </c>
      <c r="Q708">
        <f>IF(ISBLANK(Mitigation_Industry!Q314),"",Mitigation_Industry!Q314)</f>
        <v>0</v>
      </c>
      <c r="R708">
        <f>IF(ISBLANK(Mitigation_Industry!R314),"",Mitigation_Industry!R314)</f>
        <v>0</v>
      </c>
      <c r="S708">
        <f>IF(ISBLANK(Mitigation_Industry!S314),"",Mitigation_Industry!S314)</f>
        <v>0</v>
      </c>
      <c r="T708">
        <f>IF(ISBLANK(Mitigation_Industry!T314),"",Mitigation_Industry!T314)</f>
        <v>0</v>
      </c>
      <c r="U708">
        <f>IF(ISBLANK(Mitigation_Industry!U314),"",Mitigation_Industry!U314)</f>
        <v>0</v>
      </c>
      <c r="V708">
        <f>IF(ISBLANK(Mitigation_Industry!V314),"",Mitigation_Industry!V314)</f>
        <v>0</v>
      </c>
      <c r="W708">
        <f>IF(ISBLANK(Mitigation_Industry!W314),"",Mitigation_Industry!W314)</f>
        <v>0</v>
      </c>
      <c r="X708">
        <f>IF(ISBLANK(Mitigation_Industry!X314),"",Mitigation_Industry!X314)</f>
        <v>0</v>
      </c>
      <c r="Y708">
        <f>IF(ISBLANK(Mitigation_Industry!Y314),"",Mitigation_Industry!Y314)</f>
        <v>0</v>
      </c>
      <c r="Z708">
        <f>IF(ISBLANK(Mitigation_Industry!Z314),"",Mitigation_Industry!Z314)</f>
        <v>0</v>
      </c>
      <c r="AA708">
        <f>IF(ISBLANK(Mitigation_Industry!AA314),"",Mitigation_Industry!AA314)</f>
        <v>0</v>
      </c>
      <c r="AB708">
        <f>IF(ISBLANK(Mitigation_Industry!AB314),"",Mitigation_Industry!AB314)</f>
        <v>0</v>
      </c>
      <c r="AC708">
        <f>IF(ISBLANK(Mitigation_Industry!AC314),"",Mitigation_Industry!AC314)</f>
        <v>0</v>
      </c>
      <c r="AD708">
        <f>IF(ISBLANK(Mitigation_Industry!AD314),"",Mitigation_Industry!AD314)</f>
        <v>0</v>
      </c>
      <c r="AE708">
        <f>IF(ISBLANK(Mitigation_Industry!AE314),"",Mitigation_Industry!AE314)</f>
        <v>0</v>
      </c>
    </row>
    <row r="709" spans="1:31" x14ac:dyDescent="0.45">
      <c r="A709" t="s">
        <v>1539</v>
      </c>
      <c r="B709" t="s">
        <v>1477</v>
      </c>
      <c r="C709" t="s">
        <v>1462</v>
      </c>
      <c r="D709">
        <v>1</v>
      </c>
      <c r="E709" t="s">
        <v>1161</v>
      </c>
      <c r="F709">
        <f>MAX(MAX(L709:AE709),-MIN(L709:AE709))</f>
        <v>0</v>
      </c>
      <c r="I709" t="s">
        <v>1509</v>
      </c>
      <c r="K709">
        <f t="shared" ref="K709:AE709" si="174">IF(ISNUMBER(K707),IF(ISNUMBER(K708),K708-K707,999999),0)</f>
        <v>0</v>
      </c>
      <c r="L709">
        <f t="shared" si="174"/>
        <v>0</v>
      </c>
      <c r="M709">
        <f t="shared" si="174"/>
        <v>0</v>
      </c>
      <c r="N709">
        <f t="shared" si="174"/>
        <v>0</v>
      </c>
      <c r="O709">
        <f t="shared" si="174"/>
        <v>0</v>
      </c>
      <c r="P709">
        <f t="shared" si="174"/>
        <v>0</v>
      </c>
      <c r="Q709">
        <f t="shared" si="174"/>
        <v>0</v>
      </c>
      <c r="R709">
        <f t="shared" si="174"/>
        <v>0</v>
      </c>
      <c r="S709">
        <f t="shared" si="174"/>
        <v>0</v>
      </c>
      <c r="T709">
        <f t="shared" si="174"/>
        <v>0</v>
      </c>
      <c r="U709">
        <f t="shared" si="174"/>
        <v>0</v>
      </c>
      <c r="V709">
        <f t="shared" si="174"/>
        <v>0</v>
      </c>
      <c r="W709">
        <f t="shared" si="174"/>
        <v>0</v>
      </c>
      <c r="X709">
        <f t="shared" si="174"/>
        <v>0</v>
      </c>
      <c r="Y709">
        <f t="shared" si="174"/>
        <v>0</v>
      </c>
      <c r="Z709">
        <f t="shared" si="174"/>
        <v>0</v>
      </c>
      <c r="AA709">
        <f t="shared" si="174"/>
        <v>0</v>
      </c>
      <c r="AB709">
        <f t="shared" si="174"/>
        <v>0</v>
      </c>
      <c r="AC709">
        <f t="shared" si="174"/>
        <v>0</v>
      </c>
      <c r="AD709">
        <f t="shared" si="174"/>
        <v>0</v>
      </c>
      <c r="AE709">
        <f t="shared" si="174"/>
        <v>0</v>
      </c>
    </row>
    <row r="711" spans="1:31" x14ac:dyDescent="0.45">
      <c r="A711" t="s">
        <v>1540</v>
      </c>
      <c r="B711" t="s">
        <v>1477</v>
      </c>
      <c r="C711" t="s">
        <v>1465</v>
      </c>
      <c r="D711">
        <v>1</v>
      </c>
      <c r="E711" t="s">
        <v>1159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45">
      <c r="A712" t="s">
        <v>1540</v>
      </c>
      <c r="B712" t="s">
        <v>1477</v>
      </c>
      <c r="C712" t="s">
        <v>1465</v>
      </c>
      <c r="D712">
        <v>1</v>
      </c>
      <c r="E712" t="s">
        <v>1160</v>
      </c>
      <c r="K712" t="str">
        <f>IF(ISBLANK(Mitigation_Industry!K315),"",Mitigation_Industry!K315)</f>
        <v/>
      </c>
      <c r="L712">
        <f>IF(ISBLANK(Mitigation_Industry!L315),"",Mitigation_Industry!L315)</f>
        <v>0</v>
      </c>
      <c r="M712">
        <f>IF(ISBLANK(Mitigation_Industry!M315),"",Mitigation_Industry!M315)</f>
        <v>0</v>
      </c>
      <c r="N712">
        <f>IF(ISBLANK(Mitigation_Industry!N315),"",Mitigation_Industry!N315)</f>
        <v>0</v>
      </c>
      <c r="O712">
        <f>IF(ISBLANK(Mitigation_Industry!O315),"",Mitigation_Industry!O315)</f>
        <v>0</v>
      </c>
      <c r="P712">
        <f>IF(ISBLANK(Mitigation_Industry!P315),"",Mitigation_Industry!P315)</f>
        <v>0</v>
      </c>
      <c r="Q712">
        <f>IF(ISBLANK(Mitigation_Industry!Q315),"",Mitigation_Industry!Q315)</f>
        <v>0</v>
      </c>
      <c r="R712">
        <f>IF(ISBLANK(Mitigation_Industry!R315),"",Mitigation_Industry!R315)</f>
        <v>0</v>
      </c>
      <c r="S712">
        <f>IF(ISBLANK(Mitigation_Industry!S315),"",Mitigation_Industry!S315)</f>
        <v>0</v>
      </c>
      <c r="T712">
        <f>IF(ISBLANK(Mitigation_Industry!T315),"",Mitigation_Industry!T315)</f>
        <v>0</v>
      </c>
      <c r="U712">
        <f>IF(ISBLANK(Mitigation_Industry!U315),"",Mitigation_Industry!U315)</f>
        <v>0</v>
      </c>
      <c r="V712">
        <f>IF(ISBLANK(Mitigation_Industry!V315),"",Mitigation_Industry!V315)</f>
        <v>0</v>
      </c>
      <c r="W712">
        <f>IF(ISBLANK(Mitigation_Industry!W315),"",Mitigation_Industry!W315)</f>
        <v>0</v>
      </c>
      <c r="X712">
        <f>IF(ISBLANK(Mitigation_Industry!X315),"",Mitigation_Industry!X315)</f>
        <v>0</v>
      </c>
      <c r="Y712">
        <f>IF(ISBLANK(Mitigation_Industry!Y315),"",Mitigation_Industry!Y315)</f>
        <v>0</v>
      </c>
      <c r="Z712">
        <f>IF(ISBLANK(Mitigation_Industry!Z315),"",Mitigation_Industry!Z315)</f>
        <v>0</v>
      </c>
      <c r="AA712">
        <f>IF(ISBLANK(Mitigation_Industry!AA315),"",Mitigation_Industry!AA315)</f>
        <v>0</v>
      </c>
      <c r="AB712">
        <f>IF(ISBLANK(Mitigation_Industry!AB315),"",Mitigation_Industry!AB315)</f>
        <v>0</v>
      </c>
      <c r="AC712">
        <f>IF(ISBLANK(Mitigation_Industry!AC315),"",Mitigation_Industry!AC315)</f>
        <v>0</v>
      </c>
      <c r="AD712">
        <f>IF(ISBLANK(Mitigation_Industry!AD315),"",Mitigation_Industry!AD315)</f>
        <v>0</v>
      </c>
      <c r="AE712">
        <f>IF(ISBLANK(Mitigation_Industry!AE315),"",Mitigation_Industry!AE315)</f>
        <v>0</v>
      </c>
    </row>
    <row r="713" spans="1:31" x14ac:dyDescent="0.45">
      <c r="A713" t="s">
        <v>1540</v>
      </c>
      <c r="B713" t="s">
        <v>1477</v>
      </c>
      <c r="C713" t="s">
        <v>1465</v>
      </c>
      <c r="D713">
        <v>1</v>
      </c>
      <c r="E713" t="s">
        <v>1161</v>
      </c>
      <c r="F713">
        <f>MAX(MAX(L713:AE713),-MIN(L713:AE713))</f>
        <v>0</v>
      </c>
      <c r="I713" t="s">
        <v>1509</v>
      </c>
      <c r="K713">
        <f t="shared" ref="K713:AE713" si="175">IF(ISNUMBER(K711),IF(ISNUMBER(K712),K712-K711,999999),0)</f>
        <v>0</v>
      </c>
      <c r="L713">
        <f t="shared" si="175"/>
        <v>0</v>
      </c>
      <c r="M713">
        <f t="shared" si="175"/>
        <v>0</v>
      </c>
      <c r="N713">
        <f t="shared" si="175"/>
        <v>0</v>
      </c>
      <c r="O713">
        <f t="shared" si="175"/>
        <v>0</v>
      </c>
      <c r="P713">
        <f t="shared" si="175"/>
        <v>0</v>
      </c>
      <c r="Q713">
        <f t="shared" si="175"/>
        <v>0</v>
      </c>
      <c r="R713">
        <f t="shared" si="175"/>
        <v>0</v>
      </c>
      <c r="S713">
        <f t="shared" si="175"/>
        <v>0</v>
      </c>
      <c r="T713">
        <f t="shared" si="175"/>
        <v>0</v>
      </c>
      <c r="U713">
        <f t="shared" si="175"/>
        <v>0</v>
      </c>
      <c r="V713">
        <f t="shared" si="175"/>
        <v>0</v>
      </c>
      <c r="W713">
        <f t="shared" si="175"/>
        <v>0</v>
      </c>
      <c r="X713">
        <f t="shared" si="175"/>
        <v>0</v>
      </c>
      <c r="Y713">
        <f t="shared" si="175"/>
        <v>0</v>
      </c>
      <c r="Z713">
        <f t="shared" si="175"/>
        <v>0</v>
      </c>
      <c r="AA713">
        <f t="shared" si="175"/>
        <v>0</v>
      </c>
      <c r="AB713">
        <f t="shared" si="175"/>
        <v>0</v>
      </c>
      <c r="AC713">
        <f t="shared" si="175"/>
        <v>0</v>
      </c>
      <c r="AD713">
        <f t="shared" si="175"/>
        <v>0</v>
      </c>
      <c r="AE713">
        <f t="shared" si="175"/>
        <v>0</v>
      </c>
    </row>
    <row r="715" spans="1:31" x14ac:dyDescent="0.45">
      <c r="A715" t="s">
        <v>1541</v>
      </c>
      <c r="B715" t="s">
        <v>1477</v>
      </c>
      <c r="C715" t="s">
        <v>1468</v>
      </c>
      <c r="D715">
        <v>1</v>
      </c>
      <c r="E715" t="s">
        <v>1159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45">
      <c r="A716" t="s">
        <v>1541</v>
      </c>
      <c r="B716" t="s">
        <v>1477</v>
      </c>
      <c r="C716" t="s">
        <v>1468</v>
      </c>
      <c r="D716">
        <v>1</v>
      </c>
      <c r="E716" t="s">
        <v>1160</v>
      </c>
      <c r="K716" t="str">
        <f>IF(ISBLANK(Mitigation_Industry!K316),"",Mitigation_Industry!K316)</f>
        <v/>
      </c>
      <c r="L716">
        <f>IF(ISBLANK(Mitigation_Industry!L316),"",Mitigation_Industry!L316)</f>
        <v>0</v>
      </c>
      <c r="M716">
        <f>IF(ISBLANK(Mitigation_Industry!M316),"",Mitigation_Industry!M316)</f>
        <v>0</v>
      </c>
      <c r="N716">
        <f>IF(ISBLANK(Mitigation_Industry!N316),"",Mitigation_Industry!N316)</f>
        <v>0</v>
      </c>
      <c r="O716">
        <f>IF(ISBLANK(Mitigation_Industry!O316),"",Mitigation_Industry!O316)</f>
        <v>0</v>
      </c>
      <c r="P716">
        <f>IF(ISBLANK(Mitigation_Industry!P316),"",Mitigation_Industry!P316)</f>
        <v>0</v>
      </c>
      <c r="Q716">
        <f>IF(ISBLANK(Mitigation_Industry!Q316),"",Mitigation_Industry!Q316)</f>
        <v>0</v>
      </c>
      <c r="R716">
        <f>IF(ISBLANK(Mitigation_Industry!R316),"",Mitigation_Industry!R316)</f>
        <v>0</v>
      </c>
      <c r="S716">
        <f>IF(ISBLANK(Mitigation_Industry!S316),"",Mitigation_Industry!S316)</f>
        <v>0</v>
      </c>
      <c r="T716">
        <f>IF(ISBLANK(Mitigation_Industry!T316),"",Mitigation_Industry!T316)</f>
        <v>0</v>
      </c>
      <c r="U716">
        <f>IF(ISBLANK(Mitigation_Industry!U316),"",Mitigation_Industry!U316)</f>
        <v>0</v>
      </c>
      <c r="V716">
        <f>IF(ISBLANK(Mitigation_Industry!V316),"",Mitigation_Industry!V316)</f>
        <v>0</v>
      </c>
      <c r="W716">
        <f>IF(ISBLANK(Mitigation_Industry!W316),"",Mitigation_Industry!W316)</f>
        <v>0</v>
      </c>
      <c r="X716">
        <f>IF(ISBLANK(Mitigation_Industry!X316),"",Mitigation_Industry!X316)</f>
        <v>0</v>
      </c>
      <c r="Y716">
        <f>IF(ISBLANK(Mitigation_Industry!Y316),"",Mitigation_Industry!Y316)</f>
        <v>0</v>
      </c>
      <c r="Z716">
        <f>IF(ISBLANK(Mitigation_Industry!Z316),"",Mitigation_Industry!Z316)</f>
        <v>0</v>
      </c>
      <c r="AA716">
        <f>IF(ISBLANK(Mitigation_Industry!AA316),"",Mitigation_Industry!AA316)</f>
        <v>0</v>
      </c>
      <c r="AB716">
        <f>IF(ISBLANK(Mitigation_Industry!AB316),"",Mitigation_Industry!AB316)</f>
        <v>0</v>
      </c>
      <c r="AC716">
        <f>IF(ISBLANK(Mitigation_Industry!AC316),"",Mitigation_Industry!AC316)</f>
        <v>0</v>
      </c>
      <c r="AD716">
        <f>IF(ISBLANK(Mitigation_Industry!AD316),"",Mitigation_Industry!AD316)</f>
        <v>0</v>
      </c>
      <c r="AE716">
        <f>IF(ISBLANK(Mitigation_Industry!AE316),"",Mitigation_Industry!AE316)</f>
        <v>0</v>
      </c>
    </row>
    <row r="717" spans="1:31" x14ac:dyDescent="0.45">
      <c r="A717" t="s">
        <v>1541</v>
      </c>
      <c r="B717" t="s">
        <v>1477</v>
      </c>
      <c r="C717" t="s">
        <v>1468</v>
      </c>
      <c r="D717">
        <v>1</v>
      </c>
      <c r="E717" t="s">
        <v>1161</v>
      </c>
      <c r="F717">
        <f>MAX(MAX(L717:AE717),-MIN(L717:AE717))</f>
        <v>0</v>
      </c>
      <c r="I717" t="s">
        <v>1509</v>
      </c>
      <c r="K717">
        <f t="shared" ref="K717:AE717" si="176">IF(ISNUMBER(K715),IF(ISNUMBER(K716),K716-K715,999999),0)</f>
        <v>0</v>
      </c>
      <c r="L717">
        <f t="shared" si="176"/>
        <v>0</v>
      </c>
      <c r="M717">
        <f t="shared" si="176"/>
        <v>0</v>
      </c>
      <c r="N717">
        <f t="shared" si="176"/>
        <v>0</v>
      </c>
      <c r="O717">
        <f t="shared" si="176"/>
        <v>0</v>
      </c>
      <c r="P717">
        <f t="shared" si="176"/>
        <v>0</v>
      </c>
      <c r="Q717">
        <f t="shared" si="176"/>
        <v>0</v>
      </c>
      <c r="R717">
        <f t="shared" si="176"/>
        <v>0</v>
      </c>
      <c r="S717">
        <f t="shared" si="176"/>
        <v>0</v>
      </c>
      <c r="T717">
        <f t="shared" si="176"/>
        <v>0</v>
      </c>
      <c r="U717">
        <f t="shared" si="176"/>
        <v>0</v>
      </c>
      <c r="V717">
        <f t="shared" si="176"/>
        <v>0</v>
      </c>
      <c r="W717">
        <f t="shared" si="176"/>
        <v>0</v>
      </c>
      <c r="X717">
        <f t="shared" si="176"/>
        <v>0</v>
      </c>
      <c r="Y717">
        <f t="shared" si="176"/>
        <v>0</v>
      </c>
      <c r="Z717">
        <f t="shared" si="176"/>
        <v>0</v>
      </c>
      <c r="AA717">
        <f t="shared" si="176"/>
        <v>0</v>
      </c>
      <c r="AB717">
        <f t="shared" si="176"/>
        <v>0</v>
      </c>
      <c r="AC717">
        <f t="shared" si="176"/>
        <v>0</v>
      </c>
      <c r="AD717">
        <f t="shared" si="176"/>
        <v>0</v>
      </c>
      <c r="AE717">
        <f t="shared" si="176"/>
        <v>0</v>
      </c>
    </row>
    <row r="719" spans="1:31" x14ac:dyDescent="0.45">
      <c r="A719" t="s">
        <v>1542</v>
      </c>
      <c r="B719" t="s">
        <v>1477</v>
      </c>
      <c r="C719" t="s">
        <v>1471</v>
      </c>
      <c r="D719">
        <v>1</v>
      </c>
      <c r="E719" t="s">
        <v>1159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45">
      <c r="A720" t="s">
        <v>1542</v>
      </c>
      <c r="B720" t="s">
        <v>1477</v>
      </c>
      <c r="C720" t="s">
        <v>1471</v>
      </c>
      <c r="D720">
        <v>1</v>
      </c>
      <c r="E720" t="s">
        <v>1160</v>
      </c>
      <c r="K720" t="str">
        <f>IF(ISBLANK(Mitigation_Industry!K317),"",Mitigation_Industry!K317)</f>
        <v/>
      </c>
      <c r="L720">
        <f>IF(ISBLANK(Mitigation_Industry!L317),"",Mitigation_Industry!L317)</f>
        <v>0</v>
      </c>
      <c r="M720">
        <f>IF(ISBLANK(Mitigation_Industry!M317),"",Mitigation_Industry!M317)</f>
        <v>0</v>
      </c>
      <c r="N720">
        <f>IF(ISBLANK(Mitigation_Industry!N317),"",Mitigation_Industry!N317)</f>
        <v>0</v>
      </c>
      <c r="O720">
        <f>IF(ISBLANK(Mitigation_Industry!O317),"",Mitigation_Industry!O317)</f>
        <v>0</v>
      </c>
      <c r="P720">
        <f>IF(ISBLANK(Mitigation_Industry!P317),"",Mitigation_Industry!P317)</f>
        <v>0</v>
      </c>
      <c r="Q720">
        <f>IF(ISBLANK(Mitigation_Industry!Q317),"",Mitigation_Industry!Q317)</f>
        <v>0</v>
      </c>
      <c r="R720">
        <f>IF(ISBLANK(Mitigation_Industry!R317),"",Mitigation_Industry!R317)</f>
        <v>0</v>
      </c>
      <c r="S720">
        <f>IF(ISBLANK(Mitigation_Industry!S317),"",Mitigation_Industry!S317)</f>
        <v>0</v>
      </c>
      <c r="T720">
        <f>IF(ISBLANK(Mitigation_Industry!T317),"",Mitigation_Industry!T317)</f>
        <v>0</v>
      </c>
      <c r="U720">
        <f>IF(ISBLANK(Mitigation_Industry!U317),"",Mitigation_Industry!U317)</f>
        <v>0</v>
      </c>
      <c r="V720">
        <f>IF(ISBLANK(Mitigation_Industry!V317),"",Mitigation_Industry!V317)</f>
        <v>0</v>
      </c>
      <c r="W720">
        <f>IF(ISBLANK(Mitigation_Industry!W317),"",Mitigation_Industry!W317)</f>
        <v>0</v>
      </c>
      <c r="X720">
        <f>IF(ISBLANK(Mitigation_Industry!X317),"",Mitigation_Industry!X317)</f>
        <v>0</v>
      </c>
      <c r="Y720">
        <f>IF(ISBLANK(Mitigation_Industry!Y317),"",Mitigation_Industry!Y317)</f>
        <v>0</v>
      </c>
      <c r="Z720">
        <f>IF(ISBLANK(Mitigation_Industry!Z317),"",Mitigation_Industry!Z317)</f>
        <v>0</v>
      </c>
      <c r="AA720">
        <f>IF(ISBLANK(Mitigation_Industry!AA317),"",Mitigation_Industry!AA317)</f>
        <v>0</v>
      </c>
      <c r="AB720">
        <f>IF(ISBLANK(Mitigation_Industry!AB317),"",Mitigation_Industry!AB317)</f>
        <v>0</v>
      </c>
      <c r="AC720">
        <f>IF(ISBLANK(Mitigation_Industry!AC317),"",Mitigation_Industry!AC317)</f>
        <v>0</v>
      </c>
      <c r="AD720">
        <f>IF(ISBLANK(Mitigation_Industry!AD317),"",Mitigation_Industry!AD317)</f>
        <v>0</v>
      </c>
      <c r="AE720">
        <f>IF(ISBLANK(Mitigation_Industry!AE317),"",Mitigation_Industry!AE317)</f>
        <v>0</v>
      </c>
    </row>
    <row r="721" spans="1:31" x14ac:dyDescent="0.45">
      <c r="A721" t="s">
        <v>1542</v>
      </c>
      <c r="B721" t="s">
        <v>1477</v>
      </c>
      <c r="C721" t="s">
        <v>1471</v>
      </c>
      <c r="D721">
        <v>1</v>
      </c>
      <c r="E721" t="s">
        <v>1161</v>
      </c>
      <c r="F721">
        <f>MAX(MAX(L721:AE721),-MIN(L721:AE721))</f>
        <v>0</v>
      </c>
      <c r="I721" t="s">
        <v>1509</v>
      </c>
      <c r="K721">
        <f t="shared" ref="K721:AE721" si="177">IF(ISNUMBER(K719),IF(ISNUMBER(K720),K720-K719,999999),0)</f>
        <v>0</v>
      </c>
      <c r="L721">
        <f t="shared" si="177"/>
        <v>0</v>
      </c>
      <c r="M721">
        <f t="shared" si="177"/>
        <v>0</v>
      </c>
      <c r="N721">
        <f t="shared" si="177"/>
        <v>0</v>
      </c>
      <c r="O721">
        <f t="shared" si="177"/>
        <v>0</v>
      </c>
      <c r="P721">
        <f t="shared" si="177"/>
        <v>0</v>
      </c>
      <c r="Q721">
        <f t="shared" si="177"/>
        <v>0</v>
      </c>
      <c r="R721">
        <f t="shared" si="177"/>
        <v>0</v>
      </c>
      <c r="S721">
        <f t="shared" si="177"/>
        <v>0</v>
      </c>
      <c r="T721">
        <f t="shared" si="177"/>
        <v>0</v>
      </c>
      <c r="U721">
        <f t="shared" si="177"/>
        <v>0</v>
      </c>
      <c r="V721">
        <f t="shared" si="177"/>
        <v>0</v>
      </c>
      <c r="W721">
        <f t="shared" si="177"/>
        <v>0</v>
      </c>
      <c r="X721">
        <f t="shared" si="177"/>
        <v>0</v>
      </c>
      <c r="Y721">
        <f t="shared" si="177"/>
        <v>0</v>
      </c>
      <c r="Z721">
        <f t="shared" si="177"/>
        <v>0</v>
      </c>
      <c r="AA721">
        <f t="shared" si="177"/>
        <v>0</v>
      </c>
      <c r="AB721">
        <f t="shared" si="177"/>
        <v>0</v>
      </c>
      <c r="AC721">
        <f t="shared" si="177"/>
        <v>0</v>
      </c>
      <c r="AD721">
        <f t="shared" si="177"/>
        <v>0</v>
      </c>
      <c r="AE721">
        <f t="shared" si="177"/>
        <v>0</v>
      </c>
    </row>
    <row r="723" spans="1:31" x14ac:dyDescent="0.45">
      <c r="A723" t="s">
        <v>1543</v>
      </c>
      <c r="B723" t="s">
        <v>1480</v>
      </c>
      <c r="C723" t="s">
        <v>1450</v>
      </c>
      <c r="D723">
        <v>1</v>
      </c>
      <c r="E723" t="s">
        <v>1159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45">
      <c r="A724" t="s">
        <v>1543</v>
      </c>
      <c r="B724" t="s">
        <v>1480</v>
      </c>
      <c r="C724" t="s">
        <v>1450</v>
      </c>
      <c r="D724">
        <v>1</v>
      </c>
      <c r="E724" t="s">
        <v>1160</v>
      </c>
      <c r="K724" t="str">
        <f>IF(ISBLANK(Mitigation_Industry!K320),"",Mitigation_Industry!K320)</f>
        <v/>
      </c>
      <c r="L724">
        <f>IF(ISBLANK(Mitigation_Industry!L320),"",Mitigation_Industry!L320)</f>
        <v>0</v>
      </c>
      <c r="M724">
        <f>IF(ISBLANK(Mitigation_Industry!M320),"",Mitigation_Industry!M320)</f>
        <v>0</v>
      </c>
      <c r="N724">
        <f>IF(ISBLANK(Mitigation_Industry!N320),"",Mitigation_Industry!N320)</f>
        <v>0</v>
      </c>
      <c r="O724">
        <f>IF(ISBLANK(Mitigation_Industry!O320),"",Mitigation_Industry!O320)</f>
        <v>0</v>
      </c>
      <c r="P724">
        <f>IF(ISBLANK(Mitigation_Industry!P320),"",Mitigation_Industry!P320)</f>
        <v>0</v>
      </c>
      <c r="Q724">
        <f>IF(ISBLANK(Mitigation_Industry!Q320),"",Mitigation_Industry!Q320)</f>
        <v>0</v>
      </c>
      <c r="R724">
        <f>IF(ISBLANK(Mitigation_Industry!R320),"",Mitigation_Industry!R320)</f>
        <v>0</v>
      </c>
      <c r="S724">
        <f>IF(ISBLANK(Mitigation_Industry!S320),"",Mitigation_Industry!S320)</f>
        <v>0</v>
      </c>
      <c r="T724">
        <f>IF(ISBLANK(Mitigation_Industry!T320),"",Mitigation_Industry!T320)</f>
        <v>0</v>
      </c>
      <c r="U724">
        <f>IF(ISBLANK(Mitigation_Industry!U320),"",Mitigation_Industry!U320)</f>
        <v>0</v>
      </c>
      <c r="V724">
        <f>IF(ISBLANK(Mitigation_Industry!V320),"",Mitigation_Industry!V320)</f>
        <v>0</v>
      </c>
      <c r="W724">
        <f>IF(ISBLANK(Mitigation_Industry!W320),"",Mitigation_Industry!W320)</f>
        <v>0</v>
      </c>
      <c r="X724">
        <f>IF(ISBLANK(Mitigation_Industry!X320),"",Mitigation_Industry!X320)</f>
        <v>0</v>
      </c>
      <c r="Y724">
        <f>IF(ISBLANK(Mitigation_Industry!Y320),"",Mitigation_Industry!Y320)</f>
        <v>0</v>
      </c>
      <c r="Z724">
        <f>IF(ISBLANK(Mitigation_Industry!Z320),"",Mitigation_Industry!Z320)</f>
        <v>0</v>
      </c>
      <c r="AA724">
        <f>IF(ISBLANK(Mitigation_Industry!AA320),"",Mitigation_Industry!AA320)</f>
        <v>0</v>
      </c>
      <c r="AB724">
        <f>IF(ISBLANK(Mitigation_Industry!AB320),"",Mitigation_Industry!AB320)</f>
        <v>0</v>
      </c>
      <c r="AC724">
        <f>IF(ISBLANK(Mitigation_Industry!AC320),"",Mitigation_Industry!AC320)</f>
        <v>0</v>
      </c>
      <c r="AD724">
        <f>IF(ISBLANK(Mitigation_Industry!AD320),"",Mitigation_Industry!AD320)</f>
        <v>0</v>
      </c>
      <c r="AE724">
        <f>IF(ISBLANK(Mitigation_Industry!AE320),"",Mitigation_Industry!AE320)</f>
        <v>0</v>
      </c>
    </row>
    <row r="725" spans="1:31" x14ac:dyDescent="0.45">
      <c r="A725" t="s">
        <v>1543</v>
      </c>
      <c r="B725" t="s">
        <v>1480</v>
      </c>
      <c r="C725" t="s">
        <v>1450</v>
      </c>
      <c r="D725">
        <v>1</v>
      </c>
      <c r="E725" t="s">
        <v>1161</v>
      </c>
      <c r="F725">
        <f>MAX(MAX(L725:AE725),-MIN(L725:AE725))</f>
        <v>0</v>
      </c>
      <c r="I725" t="s">
        <v>1509</v>
      </c>
      <c r="K725">
        <f t="shared" ref="K725:AE725" si="178">IF(ISNUMBER(K723),IF(ISNUMBER(K724),K724-K723,999999),0)</f>
        <v>0</v>
      </c>
      <c r="L725">
        <f t="shared" si="178"/>
        <v>0</v>
      </c>
      <c r="M725">
        <f t="shared" si="178"/>
        <v>0</v>
      </c>
      <c r="N725">
        <f t="shared" si="178"/>
        <v>0</v>
      </c>
      <c r="O725">
        <f t="shared" si="178"/>
        <v>0</v>
      </c>
      <c r="P725">
        <f t="shared" si="178"/>
        <v>0</v>
      </c>
      <c r="Q725">
        <f t="shared" si="178"/>
        <v>0</v>
      </c>
      <c r="R725">
        <f t="shared" si="178"/>
        <v>0</v>
      </c>
      <c r="S725">
        <f t="shared" si="178"/>
        <v>0</v>
      </c>
      <c r="T725">
        <f t="shared" si="178"/>
        <v>0</v>
      </c>
      <c r="U725">
        <f t="shared" si="178"/>
        <v>0</v>
      </c>
      <c r="V725">
        <f t="shared" si="178"/>
        <v>0</v>
      </c>
      <c r="W725">
        <f t="shared" si="178"/>
        <v>0</v>
      </c>
      <c r="X725">
        <f t="shared" si="178"/>
        <v>0</v>
      </c>
      <c r="Y725">
        <f t="shared" si="178"/>
        <v>0</v>
      </c>
      <c r="Z725">
        <f t="shared" si="178"/>
        <v>0</v>
      </c>
      <c r="AA725">
        <f t="shared" si="178"/>
        <v>0</v>
      </c>
      <c r="AB725">
        <f t="shared" si="178"/>
        <v>0</v>
      </c>
      <c r="AC725">
        <f t="shared" si="178"/>
        <v>0</v>
      </c>
      <c r="AD725">
        <f t="shared" si="178"/>
        <v>0</v>
      </c>
      <c r="AE725">
        <f t="shared" si="178"/>
        <v>0</v>
      </c>
    </row>
    <row r="727" spans="1:31" x14ac:dyDescent="0.45">
      <c r="A727" t="s">
        <v>1544</v>
      </c>
      <c r="B727" t="s">
        <v>1480</v>
      </c>
      <c r="C727" t="s">
        <v>1453</v>
      </c>
      <c r="D727">
        <v>1</v>
      </c>
      <c r="E727" t="s">
        <v>1159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45">
      <c r="A728" t="s">
        <v>1544</v>
      </c>
      <c r="B728" t="s">
        <v>1480</v>
      </c>
      <c r="C728" t="s">
        <v>1453</v>
      </c>
      <c r="D728">
        <v>1</v>
      </c>
      <c r="E728" t="s">
        <v>1160</v>
      </c>
      <c r="K728" t="str">
        <f>IF(ISBLANK(Mitigation_Industry!K321),"",Mitigation_Industry!K321)</f>
        <v/>
      </c>
      <c r="L728">
        <f>IF(ISBLANK(Mitigation_Industry!L321),"",Mitigation_Industry!L321)</f>
        <v>0</v>
      </c>
      <c r="M728">
        <f>IF(ISBLANK(Mitigation_Industry!M321),"",Mitigation_Industry!M321)</f>
        <v>0</v>
      </c>
      <c r="N728">
        <f>IF(ISBLANK(Mitigation_Industry!N321),"",Mitigation_Industry!N321)</f>
        <v>0</v>
      </c>
      <c r="O728">
        <f>IF(ISBLANK(Mitigation_Industry!O321),"",Mitigation_Industry!O321)</f>
        <v>0</v>
      </c>
      <c r="P728">
        <f>IF(ISBLANK(Mitigation_Industry!P321),"",Mitigation_Industry!P321)</f>
        <v>0</v>
      </c>
      <c r="Q728">
        <f>IF(ISBLANK(Mitigation_Industry!Q321),"",Mitigation_Industry!Q321)</f>
        <v>0</v>
      </c>
      <c r="R728">
        <f>IF(ISBLANK(Mitigation_Industry!R321),"",Mitigation_Industry!R321)</f>
        <v>0</v>
      </c>
      <c r="S728">
        <f>IF(ISBLANK(Mitigation_Industry!S321),"",Mitigation_Industry!S321)</f>
        <v>0</v>
      </c>
      <c r="T728">
        <f>IF(ISBLANK(Mitigation_Industry!T321),"",Mitigation_Industry!T321)</f>
        <v>0</v>
      </c>
      <c r="U728">
        <f>IF(ISBLANK(Mitigation_Industry!U321),"",Mitigation_Industry!U321)</f>
        <v>0</v>
      </c>
      <c r="V728">
        <f>IF(ISBLANK(Mitigation_Industry!V321),"",Mitigation_Industry!V321)</f>
        <v>0</v>
      </c>
      <c r="W728">
        <f>IF(ISBLANK(Mitigation_Industry!W321),"",Mitigation_Industry!W321)</f>
        <v>0</v>
      </c>
      <c r="X728">
        <f>IF(ISBLANK(Mitigation_Industry!X321),"",Mitigation_Industry!X321)</f>
        <v>0</v>
      </c>
      <c r="Y728">
        <f>IF(ISBLANK(Mitigation_Industry!Y321),"",Mitigation_Industry!Y321)</f>
        <v>0</v>
      </c>
      <c r="Z728">
        <f>IF(ISBLANK(Mitigation_Industry!Z321),"",Mitigation_Industry!Z321)</f>
        <v>0</v>
      </c>
      <c r="AA728">
        <f>IF(ISBLANK(Mitigation_Industry!AA321),"",Mitigation_Industry!AA321)</f>
        <v>0</v>
      </c>
      <c r="AB728">
        <f>IF(ISBLANK(Mitigation_Industry!AB321),"",Mitigation_Industry!AB321)</f>
        <v>0</v>
      </c>
      <c r="AC728">
        <f>IF(ISBLANK(Mitigation_Industry!AC321),"",Mitigation_Industry!AC321)</f>
        <v>0</v>
      </c>
      <c r="AD728">
        <f>IF(ISBLANK(Mitigation_Industry!AD321),"",Mitigation_Industry!AD321)</f>
        <v>0</v>
      </c>
      <c r="AE728">
        <f>IF(ISBLANK(Mitigation_Industry!AE321),"",Mitigation_Industry!AE321)</f>
        <v>0</v>
      </c>
    </row>
    <row r="729" spans="1:31" x14ac:dyDescent="0.45">
      <c r="A729" t="s">
        <v>1544</v>
      </c>
      <c r="B729" t="s">
        <v>1480</v>
      </c>
      <c r="C729" t="s">
        <v>1453</v>
      </c>
      <c r="D729">
        <v>1</v>
      </c>
      <c r="E729" t="s">
        <v>1161</v>
      </c>
      <c r="F729">
        <f>MAX(MAX(L729:AE729),-MIN(L729:AE729))</f>
        <v>0</v>
      </c>
      <c r="I729" t="s">
        <v>1509</v>
      </c>
      <c r="K729">
        <f t="shared" ref="K729:AE729" si="179">IF(ISNUMBER(K727),IF(ISNUMBER(K728),K728-K727,999999),0)</f>
        <v>0</v>
      </c>
      <c r="L729">
        <f t="shared" si="179"/>
        <v>0</v>
      </c>
      <c r="M729">
        <f t="shared" si="179"/>
        <v>0</v>
      </c>
      <c r="N729">
        <f t="shared" si="179"/>
        <v>0</v>
      </c>
      <c r="O729">
        <f t="shared" si="179"/>
        <v>0</v>
      </c>
      <c r="P729">
        <f t="shared" si="179"/>
        <v>0</v>
      </c>
      <c r="Q729">
        <f t="shared" si="179"/>
        <v>0</v>
      </c>
      <c r="R729">
        <f t="shared" si="179"/>
        <v>0</v>
      </c>
      <c r="S729">
        <f t="shared" si="179"/>
        <v>0</v>
      </c>
      <c r="T729">
        <f t="shared" si="179"/>
        <v>0</v>
      </c>
      <c r="U729">
        <f t="shared" si="179"/>
        <v>0</v>
      </c>
      <c r="V729">
        <f t="shared" si="179"/>
        <v>0</v>
      </c>
      <c r="W729">
        <f t="shared" si="179"/>
        <v>0</v>
      </c>
      <c r="X729">
        <f t="shared" si="179"/>
        <v>0</v>
      </c>
      <c r="Y729">
        <f t="shared" si="179"/>
        <v>0</v>
      </c>
      <c r="Z729">
        <f t="shared" si="179"/>
        <v>0</v>
      </c>
      <c r="AA729">
        <f t="shared" si="179"/>
        <v>0</v>
      </c>
      <c r="AB729">
        <f t="shared" si="179"/>
        <v>0</v>
      </c>
      <c r="AC729">
        <f t="shared" si="179"/>
        <v>0</v>
      </c>
      <c r="AD729">
        <f t="shared" si="179"/>
        <v>0</v>
      </c>
      <c r="AE729">
        <f t="shared" si="179"/>
        <v>0</v>
      </c>
    </row>
    <row r="731" spans="1:31" x14ac:dyDescent="0.45">
      <c r="A731" t="s">
        <v>1545</v>
      </c>
      <c r="B731" t="s">
        <v>1480</v>
      </c>
      <c r="C731" t="s">
        <v>1456</v>
      </c>
      <c r="D731">
        <v>1</v>
      </c>
      <c r="E731" t="s">
        <v>1159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45">
      <c r="A732" t="s">
        <v>1545</v>
      </c>
      <c r="B732" t="s">
        <v>1480</v>
      </c>
      <c r="C732" t="s">
        <v>1456</v>
      </c>
      <c r="D732">
        <v>1</v>
      </c>
      <c r="E732" t="s">
        <v>1160</v>
      </c>
      <c r="K732" t="str">
        <f>IF(ISBLANK(Mitigation_Industry!K322),"",Mitigation_Industry!K322)</f>
        <v/>
      </c>
      <c r="L732">
        <f>IF(ISBLANK(Mitigation_Industry!L322),"",Mitigation_Industry!L322)</f>
        <v>0</v>
      </c>
      <c r="M732">
        <f>IF(ISBLANK(Mitigation_Industry!M322),"",Mitigation_Industry!M322)</f>
        <v>0</v>
      </c>
      <c r="N732">
        <f>IF(ISBLANK(Mitigation_Industry!N322),"",Mitigation_Industry!N322)</f>
        <v>0</v>
      </c>
      <c r="O732">
        <f>IF(ISBLANK(Mitigation_Industry!O322),"",Mitigation_Industry!O322)</f>
        <v>0</v>
      </c>
      <c r="P732">
        <f>IF(ISBLANK(Mitigation_Industry!P322),"",Mitigation_Industry!P322)</f>
        <v>0</v>
      </c>
      <c r="Q732">
        <f>IF(ISBLANK(Mitigation_Industry!Q322),"",Mitigation_Industry!Q322)</f>
        <v>0</v>
      </c>
      <c r="R732">
        <f>IF(ISBLANK(Mitigation_Industry!R322),"",Mitigation_Industry!R322)</f>
        <v>0</v>
      </c>
      <c r="S732">
        <f>IF(ISBLANK(Mitigation_Industry!S322),"",Mitigation_Industry!S322)</f>
        <v>0</v>
      </c>
      <c r="T732">
        <f>IF(ISBLANK(Mitigation_Industry!T322),"",Mitigation_Industry!T322)</f>
        <v>0</v>
      </c>
      <c r="U732">
        <f>IF(ISBLANK(Mitigation_Industry!U322),"",Mitigation_Industry!U322)</f>
        <v>0</v>
      </c>
      <c r="V732">
        <f>IF(ISBLANK(Mitigation_Industry!V322),"",Mitigation_Industry!V322)</f>
        <v>0</v>
      </c>
      <c r="W732">
        <f>IF(ISBLANK(Mitigation_Industry!W322),"",Mitigation_Industry!W322)</f>
        <v>0</v>
      </c>
      <c r="X732">
        <f>IF(ISBLANK(Mitigation_Industry!X322),"",Mitigation_Industry!X322)</f>
        <v>0</v>
      </c>
      <c r="Y732">
        <f>IF(ISBLANK(Mitigation_Industry!Y322),"",Mitigation_Industry!Y322)</f>
        <v>0</v>
      </c>
      <c r="Z732">
        <f>IF(ISBLANK(Mitigation_Industry!Z322),"",Mitigation_Industry!Z322)</f>
        <v>0</v>
      </c>
      <c r="AA732">
        <f>IF(ISBLANK(Mitigation_Industry!AA322),"",Mitigation_Industry!AA322)</f>
        <v>0</v>
      </c>
      <c r="AB732">
        <f>IF(ISBLANK(Mitigation_Industry!AB322),"",Mitigation_Industry!AB322)</f>
        <v>0</v>
      </c>
      <c r="AC732">
        <f>IF(ISBLANK(Mitigation_Industry!AC322),"",Mitigation_Industry!AC322)</f>
        <v>0</v>
      </c>
      <c r="AD732">
        <f>IF(ISBLANK(Mitigation_Industry!AD322),"",Mitigation_Industry!AD322)</f>
        <v>0</v>
      </c>
      <c r="AE732">
        <f>IF(ISBLANK(Mitigation_Industry!AE322),"",Mitigation_Industry!AE322)</f>
        <v>0</v>
      </c>
    </row>
    <row r="733" spans="1:31" x14ac:dyDescent="0.45">
      <c r="A733" t="s">
        <v>1545</v>
      </c>
      <c r="B733" t="s">
        <v>1480</v>
      </c>
      <c r="C733" t="s">
        <v>1456</v>
      </c>
      <c r="D733">
        <v>1</v>
      </c>
      <c r="E733" t="s">
        <v>1161</v>
      </c>
      <c r="F733">
        <f>MAX(MAX(L733:AE733),-MIN(L733:AE733))</f>
        <v>0</v>
      </c>
      <c r="I733" t="s">
        <v>1509</v>
      </c>
      <c r="K733">
        <f t="shared" ref="K733:AE733" si="180">IF(ISNUMBER(K731),IF(ISNUMBER(K732),K732-K731,999999),0)</f>
        <v>0</v>
      </c>
      <c r="L733">
        <f t="shared" si="180"/>
        <v>0</v>
      </c>
      <c r="M733">
        <f t="shared" si="180"/>
        <v>0</v>
      </c>
      <c r="N733">
        <f t="shared" si="180"/>
        <v>0</v>
      </c>
      <c r="O733">
        <f t="shared" si="180"/>
        <v>0</v>
      </c>
      <c r="P733">
        <f t="shared" si="180"/>
        <v>0</v>
      </c>
      <c r="Q733">
        <f t="shared" si="180"/>
        <v>0</v>
      </c>
      <c r="R733">
        <f t="shared" si="180"/>
        <v>0</v>
      </c>
      <c r="S733">
        <f t="shared" si="180"/>
        <v>0</v>
      </c>
      <c r="T733">
        <f t="shared" si="180"/>
        <v>0</v>
      </c>
      <c r="U733">
        <f t="shared" si="180"/>
        <v>0</v>
      </c>
      <c r="V733">
        <f t="shared" si="180"/>
        <v>0</v>
      </c>
      <c r="W733">
        <f t="shared" si="180"/>
        <v>0</v>
      </c>
      <c r="X733">
        <f t="shared" si="180"/>
        <v>0</v>
      </c>
      <c r="Y733">
        <f t="shared" si="180"/>
        <v>0</v>
      </c>
      <c r="Z733">
        <f t="shared" si="180"/>
        <v>0</v>
      </c>
      <c r="AA733">
        <f t="shared" si="180"/>
        <v>0</v>
      </c>
      <c r="AB733">
        <f t="shared" si="180"/>
        <v>0</v>
      </c>
      <c r="AC733">
        <f t="shared" si="180"/>
        <v>0</v>
      </c>
      <c r="AD733">
        <f t="shared" si="180"/>
        <v>0</v>
      </c>
      <c r="AE733">
        <f t="shared" si="180"/>
        <v>0</v>
      </c>
    </row>
    <row r="735" spans="1:31" x14ac:dyDescent="0.45">
      <c r="A735" t="s">
        <v>1546</v>
      </c>
      <c r="B735" t="s">
        <v>1480</v>
      </c>
      <c r="C735" t="s">
        <v>1459</v>
      </c>
      <c r="D735">
        <v>1</v>
      </c>
      <c r="E735" t="s">
        <v>1159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45">
      <c r="A736" t="s">
        <v>1546</v>
      </c>
      <c r="B736" t="s">
        <v>1480</v>
      </c>
      <c r="C736" t="s">
        <v>1459</v>
      </c>
      <c r="D736">
        <v>1</v>
      </c>
      <c r="E736" t="s">
        <v>1160</v>
      </c>
      <c r="K736" t="str">
        <f>IF(ISBLANK(Mitigation_Industry!K323),"",Mitigation_Industry!K323)</f>
        <v/>
      </c>
      <c r="L736">
        <f>IF(ISBLANK(Mitigation_Industry!L323),"",Mitigation_Industry!L323)</f>
        <v>0</v>
      </c>
      <c r="M736">
        <f>IF(ISBLANK(Mitigation_Industry!M323),"",Mitigation_Industry!M323)</f>
        <v>0</v>
      </c>
      <c r="N736">
        <f>IF(ISBLANK(Mitigation_Industry!N323),"",Mitigation_Industry!N323)</f>
        <v>0</v>
      </c>
      <c r="O736">
        <f>IF(ISBLANK(Mitigation_Industry!O323),"",Mitigation_Industry!O323)</f>
        <v>0</v>
      </c>
      <c r="P736">
        <f>IF(ISBLANK(Mitigation_Industry!P323),"",Mitigation_Industry!P323)</f>
        <v>0</v>
      </c>
      <c r="Q736">
        <f>IF(ISBLANK(Mitigation_Industry!Q323),"",Mitigation_Industry!Q323)</f>
        <v>0</v>
      </c>
      <c r="R736">
        <f>IF(ISBLANK(Mitigation_Industry!R323),"",Mitigation_Industry!R323)</f>
        <v>0</v>
      </c>
      <c r="S736">
        <f>IF(ISBLANK(Mitigation_Industry!S323),"",Mitigation_Industry!S323)</f>
        <v>0</v>
      </c>
      <c r="T736">
        <f>IF(ISBLANK(Mitigation_Industry!T323),"",Mitigation_Industry!T323)</f>
        <v>0</v>
      </c>
      <c r="U736">
        <f>IF(ISBLANK(Mitigation_Industry!U323),"",Mitigation_Industry!U323)</f>
        <v>0</v>
      </c>
      <c r="V736">
        <f>IF(ISBLANK(Mitigation_Industry!V323),"",Mitigation_Industry!V323)</f>
        <v>0</v>
      </c>
      <c r="W736">
        <f>IF(ISBLANK(Mitigation_Industry!W323),"",Mitigation_Industry!W323)</f>
        <v>0</v>
      </c>
      <c r="X736">
        <f>IF(ISBLANK(Mitigation_Industry!X323),"",Mitigation_Industry!X323)</f>
        <v>0</v>
      </c>
      <c r="Y736">
        <f>IF(ISBLANK(Mitigation_Industry!Y323),"",Mitigation_Industry!Y323)</f>
        <v>0</v>
      </c>
      <c r="Z736">
        <f>IF(ISBLANK(Mitigation_Industry!Z323),"",Mitigation_Industry!Z323)</f>
        <v>0</v>
      </c>
      <c r="AA736">
        <f>IF(ISBLANK(Mitigation_Industry!AA323),"",Mitigation_Industry!AA323)</f>
        <v>0</v>
      </c>
      <c r="AB736">
        <f>IF(ISBLANK(Mitigation_Industry!AB323),"",Mitigation_Industry!AB323)</f>
        <v>0</v>
      </c>
      <c r="AC736">
        <f>IF(ISBLANK(Mitigation_Industry!AC323),"",Mitigation_Industry!AC323)</f>
        <v>0</v>
      </c>
      <c r="AD736">
        <f>IF(ISBLANK(Mitigation_Industry!AD323),"",Mitigation_Industry!AD323)</f>
        <v>0</v>
      </c>
      <c r="AE736">
        <f>IF(ISBLANK(Mitigation_Industry!AE323),"",Mitigation_Industry!AE323)</f>
        <v>0</v>
      </c>
    </row>
    <row r="737" spans="1:31" x14ac:dyDescent="0.45">
      <c r="A737" t="s">
        <v>1546</v>
      </c>
      <c r="B737" t="s">
        <v>1480</v>
      </c>
      <c r="C737" t="s">
        <v>1459</v>
      </c>
      <c r="D737">
        <v>1</v>
      </c>
      <c r="E737" t="s">
        <v>1161</v>
      </c>
      <c r="F737">
        <f>MAX(MAX(L737:AE737),-MIN(L737:AE737))</f>
        <v>0</v>
      </c>
      <c r="I737" t="s">
        <v>1509</v>
      </c>
      <c r="K737">
        <f t="shared" ref="K737:AE737" si="181">IF(ISNUMBER(K735),IF(ISNUMBER(K736),K736-K735,999999),0)</f>
        <v>0</v>
      </c>
      <c r="L737">
        <f t="shared" si="181"/>
        <v>0</v>
      </c>
      <c r="M737">
        <f t="shared" si="181"/>
        <v>0</v>
      </c>
      <c r="N737">
        <f t="shared" si="181"/>
        <v>0</v>
      </c>
      <c r="O737">
        <f t="shared" si="181"/>
        <v>0</v>
      </c>
      <c r="P737">
        <f t="shared" si="181"/>
        <v>0</v>
      </c>
      <c r="Q737">
        <f t="shared" si="181"/>
        <v>0</v>
      </c>
      <c r="R737">
        <f t="shared" si="181"/>
        <v>0</v>
      </c>
      <c r="S737">
        <f t="shared" si="181"/>
        <v>0</v>
      </c>
      <c r="T737">
        <f t="shared" si="181"/>
        <v>0</v>
      </c>
      <c r="U737">
        <f t="shared" si="181"/>
        <v>0</v>
      </c>
      <c r="V737">
        <f t="shared" si="181"/>
        <v>0</v>
      </c>
      <c r="W737">
        <f t="shared" si="181"/>
        <v>0</v>
      </c>
      <c r="X737">
        <f t="shared" si="181"/>
        <v>0</v>
      </c>
      <c r="Y737">
        <f t="shared" si="181"/>
        <v>0</v>
      </c>
      <c r="Z737">
        <f t="shared" si="181"/>
        <v>0</v>
      </c>
      <c r="AA737">
        <f t="shared" si="181"/>
        <v>0</v>
      </c>
      <c r="AB737">
        <f t="shared" si="181"/>
        <v>0</v>
      </c>
      <c r="AC737">
        <f t="shared" si="181"/>
        <v>0</v>
      </c>
      <c r="AD737">
        <f t="shared" si="181"/>
        <v>0</v>
      </c>
      <c r="AE737">
        <f t="shared" si="181"/>
        <v>0</v>
      </c>
    </row>
    <row r="739" spans="1:31" x14ac:dyDescent="0.45">
      <c r="A739" t="s">
        <v>1547</v>
      </c>
      <c r="B739" t="s">
        <v>1480</v>
      </c>
      <c r="C739" t="s">
        <v>1462</v>
      </c>
      <c r="D739">
        <v>1</v>
      </c>
      <c r="E739" t="s">
        <v>1159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45">
      <c r="A740" t="s">
        <v>1547</v>
      </c>
      <c r="B740" t="s">
        <v>1480</v>
      </c>
      <c r="C740" t="s">
        <v>1462</v>
      </c>
      <c r="D740">
        <v>1</v>
      </c>
      <c r="E740" t="s">
        <v>1160</v>
      </c>
      <c r="K740" t="str">
        <f>IF(ISBLANK(Mitigation_Industry!K324),"",Mitigation_Industry!K324)</f>
        <v/>
      </c>
      <c r="L740">
        <f>IF(ISBLANK(Mitigation_Industry!L324),"",Mitigation_Industry!L324)</f>
        <v>0</v>
      </c>
      <c r="M740">
        <f>IF(ISBLANK(Mitigation_Industry!M324),"",Mitigation_Industry!M324)</f>
        <v>0</v>
      </c>
      <c r="N740">
        <f>IF(ISBLANK(Mitigation_Industry!N324),"",Mitigation_Industry!N324)</f>
        <v>0</v>
      </c>
      <c r="O740">
        <f>IF(ISBLANK(Mitigation_Industry!O324),"",Mitigation_Industry!O324)</f>
        <v>0</v>
      </c>
      <c r="P740">
        <f>IF(ISBLANK(Mitigation_Industry!P324),"",Mitigation_Industry!P324)</f>
        <v>0</v>
      </c>
      <c r="Q740">
        <f>IF(ISBLANK(Mitigation_Industry!Q324),"",Mitigation_Industry!Q324)</f>
        <v>0</v>
      </c>
      <c r="R740">
        <f>IF(ISBLANK(Mitigation_Industry!R324),"",Mitigation_Industry!R324)</f>
        <v>0</v>
      </c>
      <c r="S740">
        <f>IF(ISBLANK(Mitigation_Industry!S324),"",Mitigation_Industry!S324)</f>
        <v>0</v>
      </c>
      <c r="T740">
        <f>IF(ISBLANK(Mitigation_Industry!T324),"",Mitigation_Industry!T324)</f>
        <v>0</v>
      </c>
      <c r="U740">
        <f>IF(ISBLANK(Mitigation_Industry!U324),"",Mitigation_Industry!U324)</f>
        <v>0</v>
      </c>
      <c r="V740">
        <f>IF(ISBLANK(Mitigation_Industry!V324),"",Mitigation_Industry!V324)</f>
        <v>0</v>
      </c>
      <c r="W740">
        <f>IF(ISBLANK(Mitigation_Industry!W324),"",Mitigation_Industry!W324)</f>
        <v>0</v>
      </c>
      <c r="X740">
        <f>IF(ISBLANK(Mitigation_Industry!X324),"",Mitigation_Industry!X324)</f>
        <v>0</v>
      </c>
      <c r="Y740">
        <f>IF(ISBLANK(Mitigation_Industry!Y324),"",Mitigation_Industry!Y324)</f>
        <v>0</v>
      </c>
      <c r="Z740">
        <f>IF(ISBLANK(Mitigation_Industry!Z324),"",Mitigation_Industry!Z324)</f>
        <v>0</v>
      </c>
      <c r="AA740">
        <f>IF(ISBLANK(Mitigation_Industry!AA324),"",Mitigation_Industry!AA324)</f>
        <v>0</v>
      </c>
      <c r="AB740">
        <f>IF(ISBLANK(Mitigation_Industry!AB324),"",Mitigation_Industry!AB324)</f>
        <v>0</v>
      </c>
      <c r="AC740">
        <f>IF(ISBLANK(Mitigation_Industry!AC324),"",Mitigation_Industry!AC324)</f>
        <v>0</v>
      </c>
      <c r="AD740">
        <f>IF(ISBLANK(Mitigation_Industry!AD324),"",Mitigation_Industry!AD324)</f>
        <v>0</v>
      </c>
      <c r="AE740">
        <f>IF(ISBLANK(Mitigation_Industry!AE324),"",Mitigation_Industry!AE324)</f>
        <v>0</v>
      </c>
    </row>
    <row r="741" spans="1:31" x14ac:dyDescent="0.45">
      <c r="A741" t="s">
        <v>1547</v>
      </c>
      <c r="B741" t="s">
        <v>1480</v>
      </c>
      <c r="C741" t="s">
        <v>1462</v>
      </c>
      <c r="D741">
        <v>1</v>
      </c>
      <c r="E741" t="s">
        <v>1161</v>
      </c>
      <c r="F741">
        <f>MAX(MAX(L741:AE741),-MIN(L741:AE741))</f>
        <v>0</v>
      </c>
      <c r="I741" t="s">
        <v>1509</v>
      </c>
      <c r="K741">
        <f t="shared" ref="K741:AE741" si="182">IF(ISNUMBER(K739),IF(ISNUMBER(K740),K740-K739,999999),0)</f>
        <v>0</v>
      </c>
      <c r="L741">
        <f t="shared" si="182"/>
        <v>0</v>
      </c>
      <c r="M741">
        <f t="shared" si="182"/>
        <v>0</v>
      </c>
      <c r="N741">
        <f t="shared" si="182"/>
        <v>0</v>
      </c>
      <c r="O741">
        <f t="shared" si="182"/>
        <v>0</v>
      </c>
      <c r="P741">
        <f t="shared" si="182"/>
        <v>0</v>
      </c>
      <c r="Q741">
        <f t="shared" si="182"/>
        <v>0</v>
      </c>
      <c r="R741">
        <f t="shared" si="182"/>
        <v>0</v>
      </c>
      <c r="S741">
        <f t="shared" si="182"/>
        <v>0</v>
      </c>
      <c r="T741">
        <f t="shared" si="182"/>
        <v>0</v>
      </c>
      <c r="U741">
        <f t="shared" si="182"/>
        <v>0</v>
      </c>
      <c r="V741">
        <f t="shared" si="182"/>
        <v>0</v>
      </c>
      <c r="W741">
        <f t="shared" si="182"/>
        <v>0</v>
      </c>
      <c r="X741">
        <f t="shared" si="182"/>
        <v>0</v>
      </c>
      <c r="Y741">
        <f t="shared" si="182"/>
        <v>0</v>
      </c>
      <c r="Z741">
        <f t="shared" si="182"/>
        <v>0</v>
      </c>
      <c r="AA741">
        <f t="shared" si="182"/>
        <v>0</v>
      </c>
      <c r="AB741">
        <f t="shared" si="182"/>
        <v>0</v>
      </c>
      <c r="AC741">
        <f t="shared" si="182"/>
        <v>0</v>
      </c>
      <c r="AD741">
        <f t="shared" si="182"/>
        <v>0</v>
      </c>
      <c r="AE741">
        <f t="shared" si="182"/>
        <v>0</v>
      </c>
    </row>
    <row r="743" spans="1:31" x14ac:dyDescent="0.45">
      <c r="A743" t="s">
        <v>1548</v>
      </c>
      <c r="B743" t="s">
        <v>1480</v>
      </c>
      <c r="C743" t="s">
        <v>1465</v>
      </c>
      <c r="D743">
        <v>1</v>
      </c>
      <c r="E743" t="s">
        <v>1159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45">
      <c r="A744" t="s">
        <v>1548</v>
      </c>
      <c r="B744" t="s">
        <v>1480</v>
      </c>
      <c r="C744" t="s">
        <v>1465</v>
      </c>
      <c r="D744">
        <v>1</v>
      </c>
      <c r="E744" t="s">
        <v>1160</v>
      </c>
      <c r="K744" t="str">
        <f>IF(ISBLANK(Mitigation_Industry!K325),"",Mitigation_Industry!K325)</f>
        <v/>
      </c>
      <c r="L744">
        <f>IF(ISBLANK(Mitigation_Industry!L325),"",Mitigation_Industry!L325)</f>
        <v>0</v>
      </c>
      <c r="M744">
        <f>IF(ISBLANK(Mitigation_Industry!M325),"",Mitigation_Industry!M325)</f>
        <v>0</v>
      </c>
      <c r="N744">
        <f>IF(ISBLANK(Mitigation_Industry!N325),"",Mitigation_Industry!N325)</f>
        <v>0</v>
      </c>
      <c r="O744">
        <f>IF(ISBLANK(Mitigation_Industry!O325),"",Mitigation_Industry!O325)</f>
        <v>0</v>
      </c>
      <c r="P744">
        <f>IF(ISBLANK(Mitigation_Industry!P325),"",Mitigation_Industry!P325)</f>
        <v>0</v>
      </c>
      <c r="Q744">
        <f>IF(ISBLANK(Mitigation_Industry!Q325),"",Mitigation_Industry!Q325)</f>
        <v>0</v>
      </c>
      <c r="R744">
        <f>IF(ISBLANK(Mitigation_Industry!R325),"",Mitigation_Industry!R325)</f>
        <v>0</v>
      </c>
      <c r="S744">
        <f>IF(ISBLANK(Mitigation_Industry!S325),"",Mitigation_Industry!S325)</f>
        <v>0</v>
      </c>
      <c r="T744">
        <f>IF(ISBLANK(Mitigation_Industry!T325),"",Mitigation_Industry!T325)</f>
        <v>0</v>
      </c>
      <c r="U744">
        <f>IF(ISBLANK(Mitigation_Industry!U325),"",Mitigation_Industry!U325)</f>
        <v>0</v>
      </c>
      <c r="V744">
        <f>IF(ISBLANK(Mitigation_Industry!V325),"",Mitigation_Industry!V325)</f>
        <v>0</v>
      </c>
      <c r="W744">
        <f>IF(ISBLANK(Mitigation_Industry!W325),"",Mitigation_Industry!W325)</f>
        <v>0</v>
      </c>
      <c r="X744">
        <f>IF(ISBLANK(Mitigation_Industry!X325),"",Mitigation_Industry!X325)</f>
        <v>0</v>
      </c>
      <c r="Y744">
        <f>IF(ISBLANK(Mitigation_Industry!Y325),"",Mitigation_Industry!Y325)</f>
        <v>0</v>
      </c>
      <c r="Z744">
        <f>IF(ISBLANK(Mitigation_Industry!Z325),"",Mitigation_Industry!Z325)</f>
        <v>0</v>
      </c>
      <c r="AA744">
        <f>IF(ISBLANK(Mitigation_Industry!AA325),"",Mitigation_Industry!AA325)</f>
        <v>0</v>
      </c>
      <c r="AB744">
        <f>IF(ISBLANK(Mitigation_Industry!AB325),"",Mitigation_Industry!AB325)</f>
        <v>0</v>
      </c>
      <c r="AC744">
        <f>IF(ISBLANK(Mitigation_Industry!AC325),"",Mitigation_Industry!AC325)</f>
        <v>0</v>
      </c>
      <c r="AD744">
        <f>IF(ISBLANK(Mitigation_Industry!AD325),"",Mitigation_Industry!AD325)</f>
        <v>0</v>
      </c>
      <c r="AE744">
        <f>IF(ISBLANK(Mitigation_Industry!AE325),"",Mitigation_Industry!AE325)</f>
        <v>0</v>
      </c>
    </row>
    <row r="745" spans="1:31" x14ac:dyDescent="0.45">
      <c r="A745" t="s">
        <v>1548</v>
      </c>
      <c r="B745" t="s">
        <v>1480</v>
      </c>
      <c r="C745" t="s">
        <v>1465</v>
      </c>
      <c r="D745">
        <v>1</v>
      </c>
      <c r="E745" t="s">
        <v>1161</v>
      </c>
      <c r="F745">
        <f>MAX(MAX(L745:AE745),-MIN(L745:AE745))</f>
        <v>0</v>
      </c>
      <c r="I745" t="s">
        <v>1509</v>
      </c>
      <c r="K745">
        <f t="shared" ref="K745:AE745" si="183">IF(ISNUMBER(K743),IF(ISNUMBER(K744),K744-K743,999999),0)</f>
        <v>0</v>
      </c>
      <c r="L745">
        <f t="shared" si="183"/>
        <v>0</v>
      </c>
      <c r="M745">
        <f t="shared" si="183"/>
        <v>0</v>
      </c>
      <c r="N745">
        <f t="shared" si="183"/>
        <v>0</v>
      </c>
      <c r="O745">
        <f t="shared" si="183"/>
        <v>0</v>
      </c>
      <c r="P745">
        <f t="shared" si="183"/>
        <v>0</v>
      </c>
      <c r="Q745">
        <f t="shared" si="183"/>
        <v>0</v>
      </c>
      <c r="R745">
        <f t="shared" si="183"/>
        <v>0</v>
      </c>
      <c r="S745">
        <f t="shared" si="183"/>
        <v>0</v>
      </c>
      <c r="T745">
        <f t="shared" si="183"/>
        <v>0</v>
      </c>
      <c r="U745">
        <f t="shared" si="183"/>
        <v>0</v>
      </c>
      <c r="V745">
        <f t="shared" si="183"/>
        <v>0</v>
      </c>
      <c r="W745">
        <f t="shared" si="183"/>
        <v>0</v>
      </c>
      <c r="X745">
        <f t="shared" si="183"/>
        <v>0</v>
      </c>
      <c r="Y745">
        <f t="shared" si="183"/>
        <v>0</v>
      </c>
      <c r="Z745">
        <f t="shared" si="183"/>
        <v>0</v>
      </c>
      <c r="AA745">
        <f t="shared" si="183"/>
        <v>0</v>
      </c>
      <c r="AB745">
        <f t="shared" si="183"/>
        <v>0</v>
      </c>
      <c r="AC745">
        <f t="shared" si="183"/>
        <v>0</v>
      </c>
      <c r="AD745">
        <f t="shared" si="183"/>
        <v>0</v>
      </c>
      <c r="AE745">
        <f t="shared" si="183"/>
        <v>0</v>
      </c>
    </row>
    <row r="747" spans="1:31" x14ac:dyDescent="0.45">
      <c r="A747" t="s">
        <v>1549</v>
      </c>
      <c r="B747" t="s">
        <v>1480</v>
      </c>
      <c r="C747" t="s">
        <v>1468</v>
      </c>
      <c r="D747">
        <v>1</v>
      </c>
      <c r="E747" t="s">
        <v>1159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45">
      <c r="A748" t="s">
        <v>1549</v>
      </c>
      <c r="B748" t="s">
        <v>1480</v>
      </c>
      <c r="C748" t="s">
        <v>1468</v>
      </c>
      <c r="D748">
        <v>1</v>
      </c>
      <c r="E748" t="s">
        <v>1160</v>
      </c>
      <c r="K748" t="str">
        <f>IF(ISBLANK(Mitigation_Industry!K326),"",Mitigation_Industry!K326)</f>
        <v/>
      </c>
      <c r="L748">
        <f>IF(ISBLANK(Mitigation_Industry!L326),"",Mitigation_Industry!L326)</f>
        <v>0</v>
      </c>
      <c r="M748">
        <f>IF(ISBLANK(Mitigation_Industry!M326),"",Mitigation_Industry!M326)</f>
        <v>0</v>
      </c>
      <c r="N748">
        <f>IF(ISBLANK(Mitigation_Industry!N326),"",Mitigation_Industry!N326)</f>
        <v>0</v>
      </c>
      <c r="O748">
        <f>IF(ISBLANK(Mitigation_Industry!O326),"",Mitigation_Industry!O326)</f>
        <v>0</v>
      </c>
      <c r="P748">
        <f>IF(ISBLANK(Mitigation_Industry!P326),"",Mitigation_Industry!P326)</f>
        <v>0</v>
      </c>
      <c r="Q748">
        <f>IF(ISBLANK(Mitigation_Industry!Q326),"",Mitigation_Industry!Q326)</f>
        <v>0</v>
      </c>
      <c r="R748">
        <f>IF(ISBLANK(Mitigation_Industry!R326),"",Mitigation_Industry!R326)</f>
        <v>0</v>
      </c>
      <c r="S748">
        <f>IF(ISBLANK(Mitigation_Industry!S326),"",Mitigation_Industry!S326)</f>
        <v>0</v>
      </c>
      <c r="T748">
        <f>IF(ISBLANK(Mitigation_Industry!T326),"",Mitigation_Industry!T326)</f>
        <v>0</v>
      </c>
      <c r="U748">
        <f>IF(ISBLANK(Mitigation_Industry!U326),"",Mitigation_Industry!U326)</f>
        <v>0</v>
      </c>
      <c r="V748">
        <f>IF(ISBLANK(Mitigation_Industry!V326),"",Mitigation_Industry!V326)</f>
        <v>0</v>
      </c>
      <c r="W748">
        <f>IF(ISBLANK(Mitigation_Industry!W326),"",Mitigation_Industry!W326)</f>
        <v>0</v>
      </c>
      <c r="X748">
        <f>IF(ISBLANK(Mitigation_Industry!X326),"",Mitigation_Industry!X326)</f>
        <v>0</v>
      </c>
      <c r="Y748">
        <f>IF(ISBLANK(Mitigation_Industry!Y326),"",Mitigation_Industry!Y326)</f>
        <v>0</v>
      </c>
      <c r="Z748">
        <f>IF(ISBLANK(Mitigation_Industry!Z326),"",Mitigation_Industry!Z326)</f>
        <v>0</v>
      </c>
      <c r="AA748">
        <f>IF(ISBLANK(Mitigation_Industry!AA326),"",Mitigation_Industry!AA326)</f>
        <v>0</v>
      </c>
      <c r="AB748">
        <f>IF(ISBLANK(Mitigation_Industry!AB326),"",Mitigation_Industry!AB326)</f>
        <v>0</v>
      </c>
      <c r="AC748">
        <f>IF(ISBLANK(Mitigation_Industry!AC326),"",Mitigation_Industry!AC326)</f>
        <v>0</v>
      </c>
      <c r="AD748">
        <f>IF(ISBLANK(Mitigation_Industry!AD326),"",Mitigation_Industry!AD326)</f>
        <v>0</v>
      </c>
      <c r="AE748">
        <f>IF(ISBLANK(Mitigation_Industry!AE326),"",Mitigation_Industry!AE326)</f>
        <v>0</v>
      </c>
    </row>
    <row r="749" spans="1:31" x14ac:dyDescent="0.45">
      <c r="A749" t="s">
        <v>1549</v>
      </c>
      <c r="B749" t="s">
        <v>1480</v>
      </c>
      <c r="C749" t="s">
        <v>1468</v>
      </c>
      <c r="D749">
        <v>1</v>
      </c>
      <c r="E749" t="s">
        <v>1161</v>
      </c>
      <c r="F749">
        <f>MAX(MAX(L749:AE749),-MIN(L749:AE749))</f>
        <v>0</v>
      </c>
      <c r="I749" t="s">
        <v>1509</v>
      </c>
      <c r="K749">
        <f t="shared" ref="K749:AE749" si="184">IF(ISNUMBER(K747),IF(ISNUMBER(K748),K748-K747,999999),0)</f>
        <v>0</v>
      </c>
      <c r="L749">
        <f t="shared" si="184"/>
        <v>0</v>
      </c>
      <c r="M749">
        <f t="shared" si="184"/>
        <v>0</v>
      </c>
      <c r="N749">
        <f t="shared" si="184"/>
        <v>0</v>
      </c>
      <c r="O749">
        <f t="shared" si="184"/>
        <v>0</v>
      </c>
      <c r="P749">
        <f t="shared" si="184"/>
        <v>0</v>
      </c>
      <c r="Q749">
        <f t="shared" si="184"/>
        <v>0</v>
      </c>
      <c r="R749">
        <f t="shared" si="184"/>
        <v>0</v>
      </c>
      <c r="S749">
        <f t="shared" si="184"/>
        <v>0</v>
      </c>
      <c r="T749">
        <f t="shared" si="184"/>
        <v>0</v>
      </c>
      <c r="U749">
        <f t="shared" si="184"/>
        <v>0</v>
      </c>
      <c r="V749">
        <f t="shared" si="184"/>
        <v>0</v>
      </c>
      <c r="W749">
        <f t="shared" si="184"/>
        <v>0</v>
      </c>
      <c r="X749">
        <f t="shared" si="184"/>
        <v>0</v>
      </c>
      <c r="Y749">
        <f t="shared" si="184"/>
        <v>0</v>
      </c>
      <c r="Z749">
        <f t="shared" si="184"/>
        <v>0</v>
      </c>
      <c r="AA749">
        <f t="shared" si="184"/>
        <v>0</v>
      </c>
      <c r="AB749">
        <f t="shared" si="184"/>
        <v>0</v>
      </c>
      <c r="AC749">
        <f t="shared" si="184"/>
        <v>0</v>
      </c>
      <c r="AD749">
        <f t="shared" si="184"/>
        <v>0</v>
      </c>
      <c r="AE749">
        <f t="shared" si="184"/>
        <v>0</v>
      </c>
    </row>
    <row r="751" spans="1:31" x14ac:dyDescent="0.45">
      <c r="A751" t="s">
        <v>1550</v>
      </c>
      <c r="B751" t="s">
        <v>1480</v>
      </c>
      <c r="C751" t="s">
        <v>1471</v>
      </c>
      <c r="D751">
        <v>1</v>
      </c>
      <c r="E751" t="s">
        <v>1159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45">
      <c r="A752" t="s">
        <v>1550</v>
      </c>
      <c r="B752" t="s">
        <v>1480</v>
      </c>
      <c r="C752" t="s">
        <v>1471</v>
      </c>
      <c r="D752">
        <v>1</v>
      </c>
      <c r="E752" t="s">
        <v>1160</v>
      </c>
      <c r="K752" t="str">
        <f>IF(ISBLANK(Mitigation_Industry!K327),"",Mitigation_Industry!K327)</f>
        <v/>
      </c>
      <c r="L752">
        <f>IF(ISBLANK(Mitigation_Industry!L327),"",Mitigation_Industry!L327)</f>
        <v>0</v>
      </c>
      <c r="M752">
        <f>IF(ISBLANK(Mitigation_Industry!M327),"",Mitigation_Industry!M327)</f>
        <v>0</v>
      </c>
      <c r="N752">
        <f>IF(ISBLANK(Mitigation_Industry!N327),"",Mitigation_Industry!N327)</f>
        <v>0</v>
      </c>
      <c r="O752">
        <f>IF(ISBLANK(Mitigation_Industry!O327),"",Mitigation_Industry!O327)</f>
        <v>0</v>
      </c>
      <c r="P752">
        <f>IF(ISBLANK(Mitigation_Industry!P327),"",Mitigation_Industry!P327)</f>
        <v>0</v>
      </c>
      <c r="Q752">
        <f>IF(ISBLANK(Mitigation_Industry!Q327),"",Mitigation_Industry!Q327)</f>
        <v>0</v>
      </c>
      <c r="R752">
        <f>IF(ISBLANK(Mitigation_Industry!R327),"",Mitigation_Industry!R327)</f>
        <v>0</v>
      </c>
      <c r="S752">
        <f>IF(ISBLANK(Mitigation_Industry!S327),"",Mitigation_Industry!S327)</f>
        <v>0</v>
      </c>
      <c r="T752">
        <f>IF(ISBLANK(Mitigation_Industry!T327),"",Mitigation_Industry!T327)</f>
        <v>0</v>
      </c>
      <c r="U752">
        <f>IF(ISBLANK(Mitigation_Industry!U327),"",Mitigation_Industry!U327)</f>
        <v>0</v>
      </c>
      <c r="V752">
        <f>IF(ISBLANK(Mitigation_Industry!V327),"",Mitigation_Industry!V327)</f>
        <v>0</v>
      </c>
      <c r="W752">
        <f>IF(ISBLANK(Mitigation_Industry!W327),"",Mitigation_Industry!W327)</f>
        <v>0</v>
      </c>
      <c r="X752">
        <f>IF(ISBLANK(Mitigation_Industry!X327),"",Mitigation_Industry!X327)</f>
        <v>0</v>
      </c>
      <c r="Y752">
        <f>IF(ISBLANK(Mitigation_Industry!Y327),"",Mitigation_Industry!Y327)</f>
        <v>0</v>
      </c>
      <c r="Z752">
        <f>IF(ISBLANK(Mitigation_Industry!Z327),"",Mitigation_Industry!Z327)</f>
        <v>0</v>
      </c>
      <c r="AA752">
        <f>IF(ISBLANK(Mitigation_Industry!AA327),"",Mitigation_Industry!AA327)</f>
        <v>0</v>
      </c>
      <c r="AB752">
        <f>IF(ISBLANK(Mitigation_Industry!AB327),"",Mitigation_Industry!AB327)</f>
        <v>0</v>
      </c>
      <c r="AC752">
        <f>IF(ISBLANK(Mitigation_Industry!AC327),"",Mitigation_Industry!AC327)</f>
        <v>0</v>
      </c>
      <c r="AD752">
        <f>IF(ISBLANK(Mitigation_Industry!AD327),"",Mitigation_Industry!AD327)</f>
        <v>0</v>
      </c>
      <c r="AE752">
        <f>IF(ISBLANK(Mitigation_Industry!AE327),"",Mitigation_Industry!AE327)</f>
        <v>0</v>
      </c>
    </row>
    <row r="753" spans="1:31" x14ac:dyDescent="0.45">
      <c r="A753" t="s">
        <v>1550</v>
      </c>
      <c r="B753" t="s">
        <v>1480</v>
      </c>
      <c r="C753" t="s">
        <v>1471</v>
      </c>
      <c r="D753">
        <v>1</v>
      </c>
      <c r="E753" t="s">
        <v>1161</v>
      </c>
      <c r="F753">
        <f>MAX(MAX(L753:AE753),-MIN(L753:AE753))</f>
        <v>0</v>
      </c>
      <c r="I753" t="s">
        <v>1509</v>
      </c>
      <c r="K753">
        <f t="shared" ref="K753:AE753" si="185">IF(ISNUMBER(K751),IF(ISNUMBER(K752),K752-K751,999999),0)</f>
        <v>0</v>
      </c>
      <c r="L753">
        <f t="shared" si="185"/>
        <v>0</v>
      </c>
      <c r="M753">
        <f t="shared" si="185"/>
        <v>0</v>
      </c>
      <c r="N753">
        <f t="shared" si="185"/>
        <v>0</v>
      </c>
      <c r="O753">
        <f t="shared" si="185"/>
        <v>0</v>
      </c>
      <c r="P753">
        <f t="shared" si="185"/>
        <v>0</v>
      </c>
      <c r="Q753">
        <f t="shared" si="185"/>
        <v>0</v>
      </c>
      <c r="R753">
        <f t="shared" si="185"/>
        <v>0</v>
      </c>
      <c r="S753">
        <f t="shared" si="185"/>
        <v>0</v>
      </c>
      <c r="T753">
        <f t="shared" si="185"/>
        <v>0</v>
      </c>
      <c r="U753">
        <f t="shared" si="185"/>
        <v>0</v>
      </c>
      <c r="V753">
        <f t="shared" si="185"/>
        <v>0</v>
      </c>
      <c r="W753">
        <f t="shared" si="185"/>
        <v>0</v>
      </c>
      <c r="X753">
        <f t="shared" si="185"/>
        <v>0</v>
      </c>
      <c r="Y753">
        <f t="shared" si="185"/>
        <v>0</v>
      </c>
      <c r="Z753">
        <f t="shared" si="185"/>
        <v>0</v>
      </c>
      <c r="AA753">
        <f t="shared" si="185"/>
        <v>0</v>
      </c>
      <c r="AB753">
        <f t="shared" si="185"/>
        <v>0</v>
      </c>
      <c r="AC753">
        <f t="shared" si="185"/>
        <v>0</v>
      </c>
      <c r="AD753">
        <f t="shared" si="185"/>
        <v>0</v>
      </c>
      <c r="AE753">
        <f t="shared" si="185"/>
        <v>0</v>
      </c>
    </row>
    <row r="755" spans="1:31" x14ac:dyDescent="0.45">
      <c r="A755" t="s">
        <v>1551</v>
      </c>
      <c r="B755" t="s">
        <v>1481</v>
      </c>
      <c r="C755" t="s">
        <v>1350</v>
      </c>
      <c r="D755">
        <v>1</v>
      </c>
      <c r="E755" t="s">
        <v>1159</v>
      </c>
      <c r="L755">
        <v>3.2287703131193024</v>
      </c>
      <c r="M755">
        <v>3.3708362068965516</v>
      </c>
      <c r="N755">
        <v>3.5191530000000002</v>
      </c>
      <c r="O755">
        <v>3.6739957320000007</v>
      </c>
      <c r="P755">
        <v>3.8356515442080008</v>
      </c>
      <c r="Q755">
        <v>4.0044202121531534</v>
      </c>
      <c r="R755">
        <v>4.1806147014878912</v>
      </c>
      <c r="S755">
        <v>4.3645617483533599</v>
      </c>
      <c r="T755">
        <v>4.556602465280907</v>
      </c>
      <c r="U755">
        <v>4.7570929737532675</v>
      </c>
      <c r="V755">
        <v>4.9664050645984119</v>
      </c>
      <c r="W755">
        <v>5.1849268874407413</v>
      </c>
      <c r="X755">
        <v>5.4130636704881345</v>
      </c>
      <c r="Y755">
        <v>5.6512384719896129</v>
      </c>
      <c r="Z755">
        <v>5.8998929647571554</v>
      </c>
      <c r="AA755">
        <v>6.1594882552064707</v>
      </c>
      <c r="AB755">
        <v>6.4305057384355555</v>
      </c>
      <c r="AC755">
        <v>6.7134479909267206</v>
      </c>
      <c r="AD755">
        <v>7.0088397025274967</v>
      </c>
      <c r="AE755">
        <v>7.3172286494387055</v>
      </c>
    </row>
    <row r="756" spans="1:31" x14ac:dyDescent="0.45">
      <c r="A756" t="s">
        <v>1551</v>
      </c>
      <c r="B756" t="s">
        <v>1481</v>
      </c>
      <c r="C756" t="s">
        <v>1350</v>
      </c>
      <c r="D756">
        <v>1</v>
      </c>
      <c r="E756" t="s">
        <v>1160</v>
      </c>
      <c r="K756" t="str">
        <f>IF(ISBLANK(Mitigation_Industry!K330),"",Mitigation_Industry!K330)</f>
        <v/>
      </c>
      <c r="L756">
        <f>IF(ISBLANK(Mitigation_Industry!L330),"",Mitigation_Industry!L330)</f>
        <v>3.2287703131193024</v>
      </c>
      <c r="M756">
        <f>IF(ISBLANK(Mitigation_Industry!M330),"",Mitigation_Industry!M330)</f>
        <v>3.3708362068965516</v>
      </c>
      <c r="N756">
        <f>IF(ISBLANK(Mitigation_Industry!N330),"",Mitigation_Industry!N330)</f>
        <v>3.5191530000000002</v>
      </c>
      <c r="O756">
        <f>IF(ISBLANK(Mitigation_Industry!O330),"",Mitigation_Industry!O330)</f>
        <v>3.6739957320000007</v>
      </c>
      <c r="P756">
        <f>IF(ISBLANK(Mitigation_Industry!P330),"",Mitigation_Industry!P330)</f>
        <v>3.8356515442080008</v>
      </c>
      <c r="Q756">
        <f>IF(ISBLANK(Mitigation_Industry!Q330),"",Mitigation_Industry!Q330)</f>
        <v>4.0044202121531534</v>
      </c>
      <c r="R756">
        <f>IF(ISBLANK(Mitigation_Industry!R330),"",Mitigation_Industry!R330)</f>
        <v>4.1806147014878912</v>
      </c>
      <c r="S756">
        <f>IF(ISBLANK(Mitigation_Industry!S330),"",Mitigation_Industry!S330)</f>
        <v>4.3645617483533599</v>
      </c>
      <c r="T756">
        <f>IF(ISBLANK(Mitigation_Industry!T330),"",Mitigation_Industry!T330)</f>
        <v>4.556602465280907</v>
      </c>
      <c r="U756">
        <f>IF(ISBLANK(Mitigation_Industry!U330),"",Mitigation_Industry!U330)</f>
        <v>4.7570929737532675</v>
      </c>
      <c r="V756">
        <f>IF(ISBLANK(Mitigation_Industry!V330),"",Mitigation_Industry!V330)</f>
        <v>4.9664050645984119</v>
      </c>
      <c r="W756">
        <f>IF(ISBLANK(Mitigation_Industry!W330),"",Mitigation_Industry!W330)</f>
        <v>5.1849268874407413</v>
      </c>
      <c r="X756">
        <f>IF(ISBLANK(Mitigation_Industry!X330),"",Mitigation_Industry!X330)</f>
        <v>5.4130636704881345</v>
      </c>
      <c r="Y756">
        <f>IF(ISBLANK(Mitigation_Industry!Y330),"",Mitigation_Industry!Y330)</f>
        <v>5.6512384719896129</v>
      </c>
      <c r="Z756">
        <f>IF(ISBLANK(Mitigation_Industry!Z330),"",Mitigation_Industry!Z330)</f>
        <v>5.8998929647571554</v>
      </c>
      <c r="AA756">
        <f>IF(ISBLANK(Mitigation_Industry!AA330),"",Mitigation_Industry!AA330)</f>
        <v>6.1594882552064707</v>
      </c>
      <c r="AB756">
        <f>IF(ISBLANK(Mitigation_Industry!AB330),"",Mitigation_Industry!AB330)</f>
        <v>6.4305057384355555</v>
      </c>
      <c r="AC756">
        <f>IF(ISBLANK(Mitigation_Industry!AC330),"",Mitigation_Industry!AC330)</f>
        <v>6.7134479909267206</v>
      </c>
      <c r="AD756">
        <f>IF(ISBLANK(Mitigation_Industry!AD330),"",Mitigation_Industry!AD330)</f>
        <v>7.0088397025274967</v>
      </c>
      <c r="AE756">
        <f>IF(ISBLANK(Mitigation_Industry!AE330),"",Mitigation_Industry!AE330)</f>
        <v>7.3172286494387055</v>
      </c>
    </row>
    <row r="757" spans="1:31" x14ac:dyDescent="0.45">
      <c r="A757" t="s">
        <v>1551</v>
      </c>
      <c r="B757" t="s">
        <v>1481</v>
      </c>
      <c r="C757" t="s">
        <v>1350</v>
      </c>
      <c r="D757">
        <v>1</v>
      </c>
      <c r="E757" t="s">
        <v>1161</v>
      </c>
      <c r="F757">
        <f>MAX(MAX(L757:AE757),-MIN(L757:AE757))</f>
        <v>0</v>
      </c>
      <c r="I757" t="s">
        <v>1509</v>
      </c>
      <c r="K757">
        <f t="shared" ref="K757:AE757" si="186">IF(ISNUMBER(K755),IF(ISNUMBER(K756),K756-K755,999999),0)</f>
        <v>0</v>
      </c>
      <c r="L757">
        <f t="shared" si="186"/>
        <v>0</v>
      </c>
      <c r="M757">
        <f t="shared" si="186"/>
        <v>0</v>
      </c>
      <c r="N757">
        <f t="shared" si="186"/>
        <v>0</v>
      </c>
      <c r="O757">
        <f t="shared" si="186"/>
        <v>0</v>
      </c>
      <c r="P757">
        <f t="shared" si="186"/>
        <v>0</v>
      </c>
      <c r="Q757">
        <f t="shared" si="186"/>
        <v>0</v>
      </c>
      <c r="R757">
        <f t="shared" si="186"/>
        <v>0</v>
      </c>
      <c r="S757">
        <f t="shared" si="186"/>
        <v>0</v>
      </c>
      <c r="T757">
        <f t="shared" si="186"/>
        <v>0</v>
      </c>
      <c r="U757">
        <f t="shared" si="186"/>
        <v>0</v>
      </c>
      <c r="V757">
        <f t="shared" si="186"/>
        <v>0</v>
      </c>
      <c r="W757">
        <f t="shared" si="186"/>
        <v>0</v>
      </c>
      <c r="X757">
        <f t="shared" si="186"/>
        <v>0</v>
      </c>
      <c r="Y757">
        <f t="shared" si="186"/>
        <v>0</v>
      </c>
      <c r="Z757">
        <f t="shared" si="186"/>
        <v>0</v>
      </c>
      <c r="AA757">
        <f t="shared" si="186"/>
        <v>0</v>
      </c>
      <c r="AB757">
        <f t="shared" si="186"/>
        <v>0</v>
      </c>
      <c r="AC757">
        <f t="shared" si="186"/>
        <v>0</v>
      </c>
      <c r="AD757">
        <f t="shared" si="186"/>
        <v>0</v>
      </c>
      <c r="AE757">
        <f t="shared" si="186"/>
        <v>0</v>
      </c>
    </row>
    <row r="759" spans="1:31" x14ac:dyDescent="0.45">
      <c r="A759" t="s">
        <v>1552</v>
      </c>
      <c r="B759" t="s">
        <v>1481</v>
      </c>
      <c r="C759" t="s">
        <v>1357</v>
      </c>
      <c r="D759">
        <v>1</v>
      </c>
      <c r="E759" t="s">
        <v>1159</v>
      </c>
      <c r="L759">
        <v>0.61765094464262127</v>
      </c>
      <c r="M759">
        <v>0.64482758620689662</v>
      </c>
      <c r="N759">
        <v>0.67320000000000002</v>
      </c>
      <c r="O759">
        <v>0.70282080000000002</v>
      </c>
      <c r="P759">
        <v>0.73374491520000007</v>
      </c>
      <c r="Q759">
        <v>0.76602969146880007</v>
      </c>
      <c r="R759">
        <v>0.79973499789342728</v>
      </c>
      <c r="S759">
        <v>0.83492333780073813</v>
      </c>
      <c r="T759">
        <v>0.87165996466397067</v>
      </c>
      <c r="U759">
        <v>0.91001300310918543</v>
      </c>
      <c r="V759">
        <v>0.95005357524598955</v>
      </c>
      <c r="W759">
        <v>0.99185593255681304</v>
      </c>
      <c r="X759">
        <v>1.0354975935893131</v>
      </c>
      <c r="Y759">
        <v>1.0810594877072426</v>
      </c>
      <c r="Z759">
        <v>1.1286261051663613</v>
      </c>
      <c r="AA759">
        <v>1.1782856537936812</v>
      </c>
      <c r="AB759">
        <v>1.2301302225606032</v>
      </c>
      <c r="AC759">
        <v>1.2842559523532697</v>
      </c>
      <c r="AD759">
        <v>1.3407632142568136</v>
      </c>
      <c r="AE759">
        <v>1.3997567956841135</v>
      </c>
    </row>
    <row r="760" spans="1:31" x14ac:dyDescent="0.45">
      <c r="A760" t="s">
        <v>1552</v>
      </c>
      <c r="B760" t="s">
        <v>1481</v>
      </c>
      <c r="C760" t="s">
        <v>1357</v>
      </c>
      <c r="D760">
        <v>1</v>
      </c>
      <c r="E760" t="s">
        <v>1160</v>
      </c>
      <c r="K760" t="str">
        <f>IF(ISBLANK(Mitigation_Industry!K331),"",Mitigation_Industry!K331)</f>
        <v/>
      </c>
      <c r="L760">
        <f>IF(ISBLANK(Mitigation_Industry!L331),"",Mitigation_Industry!L331)</f>
        <v>0.61765094464262127</v>
      </c>
      <c r="M760">
        <f>IF(ISBLANK(Mitigation_Industry!M331),"",Mitigation_Industry!M331)</f>
        <v>0.64482758620689662</v>
      </c>
      <c r="N760">
        <f>IF(ISBLANK(Mitigation_Industry!N331),"",Mitigation_Industry!N331)</f>
        <v>0.67320000000000002</v>
      </c>
      <c r="O760">
        <f>IF(ISBLANK(Mitigation_Industry!O331),"",Mitigation_Industry!O331)</f>
        <v>0.70282080000000002</v>
      </c>
      <c r="P760">
        <f>IF(ISBLANK(Mitigation_Industry!P331),"",Mitigation_Industry!P331)</f>
        <v>0.73374491520000007</v>
      </c>
      <c r="Q760">
        <f>IF(ISBLANK(Mitigation_Industry!Q331),"",Mitigation_Industry!Q331)</f>
        <v>0.76602969146880007</v>
      </c>
      <c r="R760">
        <f>IF(ISBLANK(Mitigation_Industry!R331),"",Mitigation_Industry!R331)</f>
        <v>0.79973499789342728</v>
      </c>
      <c r="S760">
        <f>IF(ISBLANK(Mitigation_Industry!S331),"",Mitigation_Industry!S331)</f>
        <v>0.83492333780073813</v>
      </c>
      <c r="T760">
        <f>IF(ISBLANK(Mitigation_Industry!T331),"",Mitigation_Industry!T331)</f>
        <v>0.87165996466397067</v>
      </c>
      <c r="U760">
        <f>IF(ISBLANK(Mitigation_Industry!U331),"",Mitigation_Industry!U331)</f>
        <v>0.91001300310918543</v>
      </c>
      <c r="V760">
        <f>IF(ISBLANK(Mitigation_Industry!V331),"",Mitigation_Industry!V331)</f>
        <v>0.95005357524598955</v>
      </c>
      <c r="W760">
        <f>IF(ISBLANK(Mitigation_Industry!W331),"",Mitigation_Industry!W331)</f>
        <v>0.99185593255681304</v>
      </c>
      <c r="X760">
        <f>IF(ISBLANK(Mitigation_Industry!X331),"",Mitigation_Industry!X331)</f>
        <v>1.0354975935893131</v>
      </c>
      <c r="Y760">
        <f>IF(ISBLANK(Mitigation_Industry!Y331),"",Mitigation_Industry!Y331)</f>
        <v>1.0810594877072426</v>
      </c>
      <c r="Z760">
        <f>IF(ISBLANK(Mitigation_Industry!Z331),"",Mitigation_Industry!Z331)</f>
        <v>1.1286261051663613</v>
      </c>
      <c r="AA760">
        <f>IF(ISBLANK(Mitigation_Industry!AA331),"",Mitigation_Industry!AA331)</f>
        <v>1.1782856537936812</v>
      </c>
      <c r="AB760">
        <f>IF(ISBLANK(Mitigation_Industry!AB331),"",Mitigation_Industry!AB331)</f>
        <v>1.2301302225606032</v>
      </c>
      <c r="AC760">
        <f>IF(ISBLANK(Mitigation_Industry!AC331),"",Mitigation_Industry!AC331)</f>
        <v>1.2842559523532697</v>
      </c>
      <c r="AD760">
        <f>IF(ISBLANK(Mitigation_Industry!AD331),"",Mitigation_Industry!AD331)</f>
        <v>1.3407632142568136</v>
      </c>
      <c r="AE760">
        <f>IF(ISBLANK(Mitigation_Industry!AE331),"",Mitigation_Industry!AE331)</f>
        <v>1.3997567956841135</v>
      </c>
    </row>
    <row r="761" spans="1:31" x14ac:dyDescent="0.45">
      <c r="A761" t="s">
        <v>1552</v>
      </c>
      <c r="B761" t="s">
        <v>1481</v>
      </c>
      <c r="C761" t="s">
        <v>1357</v>
      </c>
      <c r="D761">
        <v>1</v>
      </c>
      <c r="E761" t="s">
        <v>1161</v>
      </c>
      <c r="F761">
        <f>MAX(MAX(L761:AE761),-MIN(L761:AE761))</f>
        <v>0</v>
      </c>
      <c r="I761" t="s">
        <v>1509</v>
      </c>
      <c r="K761">
        <f t="shared" ref="K761:AE761" si="187">IF(ISNUMBER(K759),IF(ISNUMBER(K760),K760-K759,999999),0)</f>
        <v>0</v>
      </c>
      <c r="L761">
        <f t="shared" si="187"/>
        <v>0</v>
      </c>
      <c r="M761">
        <f t="shared" si="187"/>
        <v>0</v>
      </c>
      <c r="N761">
        <f t="shared" si="187"/>
        <v>0</v>
      </c>
      <c r="O761">
        <f t="shared" si="187"/>
        <v>0</v>
      </c>
      <c r="P761">
        <f t="shared" si="187"/>
        <v>0</v>
      </c>
      <c r="Q761">
        <f t="shared" si="187"/>
        <v>0</v>
      </c>
      <c r="R761">
        <f t="shared" si="187"/>
        <v>0</v>
      </c>
      <c r="S761">
        <f t="shared" si="187"/>
        <v>0</v>
      </c>
      <c r="T761">
        <f t="shared" si="187"/>
        <v>0</v>
      </c>
      <c r="U761">
        <f t="shared" si="187"/>
        <v>0</v>
      </c>
      <c r="V761">
        <f t="shared" si="187"/>
        <v>0</v>
      </c>
      <c r="W761">
        <f t="shared" si="187"/>
        <v>0</v>
      </c>
      <c r="X761">
        <f t="shared" si="187"/>
        <v>0</v>
      </c>
      <c r="Y761">
        <f t="shared" si="187"/>
        <v>0</v>
      </c>
      <c r="Z761">
        <f t="shared" si="187"/>
        <v>0</v>
      </c>
      <c r="AA761">
        <f t="shared" si="187"/>
        <v>0</v>
      </c>
      <c r="AB761">
        <f t="shared" si="187"/>
        <v>0</v>
      </c>
      <c r="AC761">
        <f t="shared" si="187"/>
        <v>0</v>
      </c>
      <c r="AD761">
        <f t="shared" si="187"/>
        <v>0</v>
      </c>
      <c r="AE761">
        <f t="shared" si="187"/>
        <v>0</v>
      </c>
    </row>
    <row r="763" spans="1:31" x14ac:dyDescent="0.45">
      <c r="A763" t="s">
        <v>1553</v>
      </c>
      <c r="B763" t="s">
        <v>1481</v>
      </c>
      <c r="C763" t="s">
        <v>1363</v>
      </c>
      <c r="D763">
        <v>1</v>
      </c>
      <c r="E763" t="s">
        <v>1159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45">
      <c r="A764" t="s">
        <v>1553</v>
      </c>
      <c r="B764" t="s">
        <v>1481</v>
      </c>
      <c r="C764" t="s">
        <v>1363</v>
      </c>
      <c r="D764">
        <v>1</v>
      </c>
      <c r="E764" t="s">
        <v>1160</v>
      </c>
      <c r="K764" t="str">
        <f>IF(ISBLANK(Mitigation_Industry!K332),"",Mitigation_Industry!K332)</f>
        <v/>
      </c>
      <c r="L764">
        <f>IF(ISBLANK(Mitigation_Industry!L332),"",Mitigation_Industry!L332)</f>
        <v>0</v>
      </c>
      <c r="M764">
        <f>IF(ISBLANK(Mitigation_Industry!M332),"",Mitigation_Industry!M332)</f>
        <v>0</v>
      </c>
      <c r="N764">
        <f>IF(ISBLANK(Mitigation_Industry!N332),"",Mitigation_Industry!N332)</f>
        <v>0</v>
      </c>
      <c r="O764">
        <f>IF(ISBLANK(Mitigation_Industry!O332),"",Mitigation_Industry!O332)</f>
        <v>0</v>
      </c>
      <c r="P764">
        <f>IF(ISBLANK(Mitigation_Industry!P332),"",Mitigation_Industry!P332)</f>
        <v>0</v>
      </c>
      <c r="Q764">
        <f>IF(ISBLANK(Mitigation_Industry!Q332),"",Mitigation_Industry!Q332)</f>
        <v>0</v>
      </c>
      <c r="R764">
        <f>IF(ISBLANK(Mitigation_Industry!R332),"",Mitigation_Industry!R332)</f>
        <v>0</v>
      </c>
      <c r="S764">
        <f>IF(ISBLANK(Mitigation_Industry!S332),"",Mitigation_Industry!S332)</f>
        <v>0</v>
      </c>
      <c r="T764">
        <f>IF(ISBLANK(Mitigation_Industry!T332),"",Mitigation_Industry!T332)</f>
        <v>0</v>
      </c>
      <c r="U764">
        <f>IF(ISBLANK(Mitigation_Industry!U332),"",Mitigation_Industry!U332)</f>
        <v>0</v>
      </c>
      <c r="V764">
        <f>IF(ISBLANK(Mitigation_Industry!V332),"",Mitigation_Industry!V332)</f>
        <v>0</v>
      </c>
      <c r="W764">
        <f>IF(ISBLANK(Mitigation_Industry!W332),"",Mitigation_Industry!W332)</f>
        <v>0</v>
      </c>
      <c r="X764">
        <f>IF(ISBLANK(Mitigation_Industry!X332),"",Mitigation_Industry!X332)</f>
        <v>0</v>
      </c>
      <c r="Y764">
        <f>IF(ISBLANK(Mitigation_Industry!Y332),"",Mitigation_Industry!Y332)</f>
        <v>0</v>
      </c>
      <c r="Z764">
        <f>IF(ISBLANK(Mitigation_Industry!Z332),"",Mitigation_Industry!Z332)</f>
        <v>0</v>
      </c>
      <c r="AA764">
        <f>IF(ISBLANK(Mitigation_Industry!AA332),"",Mitigation_Industry!AA332)</f>
        <v>0</v>
      </c>
      <c r="AB764">
        <f>IF(ISBLANK(Mitigation_Industry!AB332),"",Mitigation_Industry!AB332)</f>
        <v>0</v>
      </c>
      <c r="AC764">
        <f>IF(ISBLANK(Mitigation_Industry!AC332),"",Mitigation_Industry!AC332)</f>
        <v>0</v>
      </c>
      <c r="AD764">
        <f>IF(ISBLANK(Mitigation_Industry!AD332),"",Mitigation_Industry!AD332)</f>
        <v>0</v>
      </c>
      <c r="AE764">
        <f>IF(ISBLANK(Mitigation_Industry!AE332),"",Mitigation_Industry!AE332)</f>
        <v>0</v>
      </c>
    </row>
    <row r="765" spans="1:31" x14ac:dyDescent="0.45">
      <c r="A765" t="s">
        <v>1553</v>
      </c>
      <c r="B765" t="s">
        <v>1481</v>
      </c>
      <c r="C765" t="s">
        <v>1363</v>
      </c>
      <c r="D765">
        <v>1</v>
      </c>
      <c r="E765" t="s">
        <v>1161</v>
      </c>
      <c r="F765">
        <f>MAX(MAX(L765:AE765),-MIN(L765:AE765))</f>
        <v>0</v>
      </c>
      <c r="I765" t="s">
        <v>1509</v>
      </c>
      <c r="K765">
        <f t="shared" ref="K765:AE765" si="188">IF(ISNUMBER(K763),IF(ISNUMBER(K764),K764-K763,999999),0)</f>
        <v>0</v>
      </c>
      <c r="L765">
        <f t="shared" si="188"/>
        <v>0</v>
      </c>
      <c r="M765">
        <f t="shared" si="188"/>
        <v>0</v>
      </c>
      <c r="N765">
        <f t="shared" si="188"/>
        <v>0</v>
      </c>
      <c r="O765">
        <f t="shared" si="188"/>
        <v>0</v>
      </c>
      <c r="P765">
        <f t="shared" si="188"/>
        <v>0</v>
      </c>
      <c r="Q765">
        <f t="shared" si="188"/>
        <v>0</v>
      </c>
      <c r="R765">
        <f t="shared" si="188"/>
        <v>0</v>
      </c>
      <c r="S765">
        <f t="shared" si="188"/>
        <v>0</v>
      </c>
      <c r="T765">
        <f t="shared" si="188"/>
        <v>0</v>
      </c>
      <c r="U765">
        <f t="shared" si="188"/>
        <v>0</v>
      </c>
      <c r="V765">
        <f t="shared" si="188"/>
        <v>0</v>
      </c>
      <c r="W765">
        <f t="shared" si="188"/>
        <v>0</v>
      </c>
      <c r="X765">
        <f t="shared" si="188"/>
        <v>0</v>
      </c>
      <c r="Y765">
        <f t="shared" si="188"/>
        <v>0</v>
      </c>
      <c r="Z765">
        <f t="shared" si="188"/>
        <v>0</v>
      </c>
      <c r="AA765">
        <f t="shared" si="188"/>
        <v>0</v>
      </c>
      <c r="AB765">
        <f t="shared" si="188"/>
        <v>0</v>
      </c>
      <c r="AC765">
        <f t="shared" si="188"/>
        <v>0</v>
      </c>
      <c r="AD765">
        <f t="shared" si="188"/>
        <v>0</v>
      </c>
      <c r="AE765">
        <f t="shared" si="188"/>
        <v>0</v>
      </c>
    </row>
    <row r="767" spans="1:31" x14ac:dyDescent="0.45">
      <c r="A767" t="s">
        <v>1554</v>
      </c>
      <c r="B767" t="s">
        <v>1481</v>
      </c>
      <c r="C767" t="s">
        <v>1369</v>
      </c>
      <c r="D767">
        <v>1</v>
      </c>
      <c r="E767" t="s">
        <v>1159</v>
      </c>
      <c r="L767">
        <v>13.508713893592757</v>
      </c>
      <c r="M767">
        <v>13.954501452081317</v>
      </c>
      <c r="N767">
        <v>14.414999999999996</v>
      </c>
      <c r="O767">
        <v>14.890694999999994</v>
      </c>
      <c r="P767">
        <v>15.382087934999994</v>
      </c>
      <c r="Q767">
        <v>15.889696836854991</v>
      </c>
      <c r="R767">
        <v>16.414056832471204</v>
      </c>
      <c r="S767">
        <v>16.955720707942753</v>
      </c>
      <c r="T767">
        <v>17.515259491304864</v>
      </c>
      <c r="U767">
        <v>18.093263054517923</v>
      </c>
      <c r="V767">
        <v>18.690340735317012</v>
      </c>
      <c r="W767">
        <v>19.307121979582472</v>
      </c>
      <c r="X767">
        <v>19.944257004908692</v>
      </c>
      <c r="Y767">
        <v>20.602417486070678</v>
      </c>
      <c r="Z767">
        <v>21.282297263111008</v>
      </c>
      <c r="AA767">
        <v>21.984613072793671</v>
      </c>
      <c r="AB767">
        <v>22.710105304195864</v>
      </c>
      <c r="AC767">
        <v>23.459538779234322</v>
      </c>
      <c r="AD767">
        <v>24.233703558949056</v>
      </c>
      <c r="AE767">
        <v>25.033415776394371</v>
      </c>
    </row>
    <row r="768" spans="1:31" x14ac:dyDescent="0.45">
      <c r="A768" t="s">
        <v>1554</v>
      </c>
      <c r="B768" t="s">
        <v>1481</v>
      </c>
      <c r="C768" t="s">
        <v>1369</v>
      </c>
      <c r="D768">
        <v>1</v>
      </c>
      <c r="E768" t="s">
        <v>1160</v>
      </c>
      <c r="K768" t="str">
        <f>IF(ISBLANK(Mitigation_Industry!K333),"",Mitigation_Industry!K333)</f>
        <v/>
      </c>
      <c r="L768">
        <f>IF(ISBLANK(Mitigation_Industry!L333),"",Mitigation_Industry!L333)</f>
        <v>13.508713893592759</v>
      </c>
      <c r="M768">
        <f>IF(ISBLANK(Mitigation_Industry!M333),"",Mitigation_Industry!M333)</f>
        <v>13.954501452081319</v>
      </c>
      <c r="N768">
        <f>IF(ISBLANK(Mitigation_Industry!N333),"",Mitigation_Industry!N333)</f>
        <v>14.414999999999999</v>
      </c>
      <c r="O768">
        <f>IF(ISBLANK(Mitigation_Industry!O333),"",Mitigation_Industry!O333)</f>
        <v>14.890694999999997</v>
      </c>
      <c r="P768">
        <f>IF(ISBLANK(Mitigation_Industry!P333),"",Mitigation_Industry!P333)</f>
        <v>15.382087934999998</v>
      </c>
      <c r="Q768">
        <f>IF(ISBLANK(Mitigation_Industry!Q333),"",Mitigation_Industry!Q333)</f>
        <v>15.889696836854995</v>
      </c>
      <c r="R768">
        <f>IF(ISBLANK(Mitigation_Industry!R333),"",Mitigation_Industry!R333)</f>
        <v>16.414056832471207</v>
      </c>
      <c r="S768">
        <f>IF(ISBLANK(Mitigation_Industry!S333),"",Mitigation_Industry!S333)</f>
        <v>16.955720707942756</v>
      </c>
      <c r="T768">
        <f>IF(ISBLANK(Mitigation_Industry!T333),"",Mitigation_Industry!T333)</f>
        <v>17.515259491304867</v>
      </c>
      <c r="U768">
        <f>IF(ISBLANK(Mitigation_Industry!U333),"",Mitigation_Industry!U333)</f>
        <v>18.093263054517926</v>
      </c>
      <c r="V768">
        <f>IF(ISBLANK(Mitigation_Industry!V333),"",Mitigation_Industry!V333)</f>
        <v>18.690340735317015</v>
      </c>
      <c r="W768">
        <f>IF(ISBLANK(Mitigation_Industry!W333),"",Mitigation_Industry!W333)</f>
        <v>19.307121979582476</v>
      </c>
      <c r="X768">
        <f>IF(ISBLANK(Mitigation_Industry!X333),"",Mitigation_Industry!X333)</f>
        <v>19.944257004908696</v>
      </c>
      <c r="Y768">
        <f>IF(ISBLANK(Mitigation_Industry!Y333),"",Mitigation_Industry!Y333)</f>
        <v>20.602417486070681</v>
      </c>
      <c r="Z768">
        <f>IF(ISBLANK(Mitigation_Industry!Z333),"",Mitigation_Industry!Z333)</f>
        <v>21.282297263111012</v>
      </c>
      <c r="AA768">
        <f>IF(ISBLANK(Mitigation_Industry!AA333),"",Mitigation_Industry!AA333)</f>
        <v>21.984613072793675</v>
      </c>
      <c r="AB768">
        <f>IF(ISBLANK(Mitigation_Industry!AB333),"",Mitigation_Industry!AB333)</f>
        <v>22.710105304195867</v>
      </c>
      <c r="AC768">
        <f>IF(ISBLANK(Mitigation_Industry!AC333),"",Mitigation_Industry!AC333)</f>
        <v>23.459538779234329</v>
      </c>
      <c r="AD768">
        <f>IF(ISBLANK(Mitigation_Industry!AD333),"",Mitigation_Industry!AD333)</f>
        <v>24.23370355894906</v>
      </c>
      <c r="AE768">
        <f>IF(ISBLANK(Mitigation_Industry!AE333),"",Mitigation_Industry!AE333)</f>
        <v>25.033415776394378</v>
      </c>
    </row>
    <row r="769" spans="1:31" x14ac:dyDescent="0.45">
      <c r="A769" t="s">
        <v>1554</v>
      </c>
      <c r="B769" t="s">
        <v>1481</v>
      </c>
      <c r="C769" t="s">
        <v>1369</v>
      </c>
      <c r="D769">
        <v>1</v>
      </c>
      <c r="E769" t="s">
        <v>1161</v>
      </c>
      <c r="F769">
        <f>MAX(MAX(L769:AE769),-MIN(L769:AE769))</f>
        <v>7.1054273576010019E-15</v>
      </c>
      <c r="I769" t="s">
        <v>1509</v>
      </c>
      <c r="K769">
        <f t="shared" ref="K769:AE769" si="189">IF(ISNUMBER(K767),IF(ISNUMBER(K768),K768-K767,999999),0)</f>
        <v>0</v>
      </c>
      <c r="L769">
        <f t="shared" si="189"/>
        <v>1.7763568394002505E-15</v>
      </c>
      <c r="M769">
        <f t="shared" si="189"/>
        <v>1.7763568394002505E-15</v>
      </c>
      <c r="N769">
        <f t="shared" si="189"/>
        <v>3.5527136788005009E-15</v>
      </c>
      <c r="O769">
        <f t="shared" si="189"/>
        <v>3.5527136788005009E-15</v>
      </c>
      <c r="P769">
        <f t="shared" si="189"/>
        <v>3.5527136788005009E-15</v>
      </c>
      <c r="Q769">
        <f t="shared" si="189"/>
        <v>3.5527136788005009E-15</v>
      </c>
      <c r="R769">
        <f t="shared" si="189"/>
        <v>3.5527136788005009E-15</v>
      </c>
      <c r="S769">
        <f t="shared" si="189"/>
        <v>3.5527136788005009E-15</v>
      </c>
      <c r="T769">
        <f t="shared" si="189"/>
        <v>3.5527136788005009E-15</v>
      </c>
      <c r="U769">
        <f t="shared" si="189"/>
        <v>3.5527136788005009E-15</v>
      </c>
      <c r="V769">
        <f t="shared" si="189"/>
        <v>3.5527136788005009E-15</v>
      </c>
      <c r="W769">
        <f t="shared" si="189"/>
        <v>3.5527136788005009E-15</v>
      </c>
      <c r="X769">
        <f t="shared" si="189"/>
        <v>3.5527136788005009E-15</v>
      </c>
      <c r="Y769">
        <f t="shared" si="189"/>
        <v>3.5527136788005009E-15</v>
      </c>
      <c r="Z769">
        <f t="shared" si="189"/>
        <v>3.5527136788005009E-15</v>
      </c>
      <c r="AA769">
        <f t="shared" si="189"/>
        <v>3.5527136788005009E-15</v>
      </c>
      <c r="AB769">
        <f t="shared" si="189"/>
        <v>3.5527136788005009E-15</v>
      </c>
      <c r="AC769">
        <f t="shared" si="189"/>
        <v>7.1054273576010019E-15</v>
      </c>
      <c r="AD769">
        <f t="shared" si="189"/>
        <v>3.5527136788005009E-15</v>
      </c>
      <c r="AE769">
        <f t="shared" si="189"/>
        <v>7.1054273576010019E-15</v>
      </c>
    </row>
    <row r="771" spans="1:31" x14ac:dyDescent="0.45">
      <c r="A771" t="s">
        <v>1555</v>
      </c>
      <c r="B771" t="s">
        <v>1481</v>
      </c>
      <c r="C771" t="s">
        <v>1442</v>
      </c>
      <c r="D771">
        <v>1</v>
      </c>
      <c r="E771" t="s">
        <v>1159</v>
      </c>
      <c r="L771">
        <v>3.1638306570517116</v>
      </c>
      <c r="M771">
        <v>3.2334349315068498</v>
      </c>
      <c r="N771">
        <v>3.3045705000000001</v>
      </c>
      <c r="O771">
        <v>3.3772710510000001</v>
      </c>
      <c r="P771">
        <v>3.451571014122</v>
      </c>
      <c r="Q771">
        <v>3.5275055764326839</v>
      </c>
      <c r="R771">
        <v>3.6051106991142032</v>
      </c>
      <c r="S771">
        <v>3.6844231344947156</v>
      </c>
      <c r="T771">
        <v>3.7654804434535993</v>
      </c>
      <c r="U771">
        <v>3.8483210132095786</v>
      </c>
      <c r="V771">
        <v>3.9329840755001895</v>
      </c>
      <c r="W771">
        <v>4.0195097251611944</v>
      </c>
      <c r="X771">
        <v>4.1079389391147405</v>
      </c>
      <c r="Y771">
        <v>4.1983135957752644</v>
      </c>
      <c r="Z771">
        <v>4.2906764948823213</v>
      </c>
      <c r="AA771">
        <v>4.3850713777697319</v>
      </c>
      <c r="AB771">
        <v>4.4815429480806657</v>
      </c>
      <c r="AC771">
        <v>4.580136892938441</v>
      </c>
      <c r="AD771">
        <v>4.6808999045830859</v>
      </c>
      <c r="AE771">
        <v>4.7838797024839144</v>
      </c>
    </row>
    <row r="772" spans="1:31" x14ac:dyDescent="0.45">
      <c r="A772" t="s">
        <v>1555</v>
      </c>
      <c r="B772" t="s">
        <v>1481</v>
      </c>
      <c r="C772" t="s">
        <v>1442</v>
      </c>
      <c r="D772">
        <v>1</v>
      </c>
      <c r="E772" t="s">
        <v>1160</v>
      </c>
      <c r="K772" t="str">
        <f>IF(ISBLANK(Mitigation_Industry!K334),"",Mitigation_Industry!K334)</f>
        <v/>
      </c>
      <c r="L772">
        <f>IF(ISBLANK(Mitigation_Industry!L334),"",Mitigation_Industry!L334)</f>
        <v>3.1638306570517116</v>
      </c>
      <c r="M772">
        <f>IF(ISBLANK(Mitigation_Industry!M334),"",Mitigation_Industry!M334)</f>
        <v>3.2334349315068494</v>
      </c>
      <c r="N772">
        <f>IF(ISBLANK(Mitigation_Industry!N334),"",Mitigation_Industry!N334)</f>
        <v>3.3045704999999996</v>
      </c>
      <c r="O772">
        <f>IF(ISBLANK(Mitigation_Industry!O334),"",Mitigation_Industry!O334)</f>
        <v>3.3772710509999997</v>
      </c>
      <c r="P772">
        <f>IF(ISBLANK(Mitigation_Industry!P334),"",Mitigation_Industry!P334)</f>
        <v>3.4515710141219995</v>
      </c>
      <c r="Q772">
        <f>IF(ISBLANK(Mitigation_Industry!Q334),"",Mitigation_Industry!Q334)</f>
        <v>3.5275055764326835</v>
      </c>
      <c r="R772">
        <f>IF(ISBLANK(Mitigation_Industry!R334),"",Mitigation_Industry!R334)</f>
        <v>3.6051106991142028</v>
      </c>
      <c r="S772">
        <f>IF(ISBLANK(Mitigation_Industry!S334),"",Mitigation_Industry!S334)</f>
        <v>3.6844231344947151</v>
      </c>
      <c r="T772">
        <f>IF(ISBLANK(Mitigation_Industry!T334),"",Mitigation_Industry!T334)</f>
        <v>3.7654804434535989</v>
      </c>
      <c r="U772">
        <f>IF(ISBLANK(Mitigation_Industry!U334),"",Mitigation_Industry!U334)</f>
        <v>3.8483210132095782</v>
      </c>
      <c r="V772">
        <f>IF(ISBLANK(Mitigation_Industry!V334),"",Mitigation_Industry!V334)</f>
        <v>3.932984075500189</v>
      </c>
      <c r="W772">
        <f>IF(ISBLANK(Mitigation_Industry!W334),"",Mitigation_Industry!W334)</f>
        <v>4.0195097251611935</v>
      </c>
      <c r="X772">
        <f>IF(ISBLANK(Mitigation_Industry!X334),"",Mitigation_Industry!X334)</f>
        <v>4.1079389391147396</v>
      </c>
      <c r="Y772">
        <f>IF(ISBLANK(Mitigation_Industry!Y334),"",Mitigation_Industry!Y334)</f>
        <v>4.1983135957752644</v>
      </c>
      <c r="Z772">
        <f>IF(ISBLANK(Mitigation_Industry!Z334),"",Mitigation_Industry!Z334)</f>
        <v>4.2906764948823204</v>
      </c>
      <c r="AA772">
        <f>IF(ISBLANK(Mitigation_Industry!AA334),"",Mitigation_Industry!AA334)</f>
        <v>4.385071377769731</v>
      </c>
      <c r="AB772">
        <f>IF(ISBLANK(Mitigation_Industry!AB334),"",Mitigation_Industry!AB334)</f>
        <v>4.4815429480806648</v>
      </c>
      <c r="AC772">
        <f>IF(ISBLANK(Mitigation_Industry!AC334),"",Mitigation_Industry!AC334)</f>
        <v>4.5801368929384401</v>
      </c>
      <c r="AD772">
        <f>IF(ISBLANK(Mitigation_Industry!AD334),"",Mitigation_Industry!AD334)</f>
        <v>4.680899904583085</v>
      </c>
      <c r="AE772">
        <f>IF(ISBLANK(Mitigation_Industry!AE334),"",Mitigation_Industry!AE334)</f>
        <v>4.7838797024839135</v>
      </c>
    </row>
    <row r="773" spans="1:31" x14ac:dyDescent="0.45">
      <c r="A773" t="s">
        <v>1555</v>
      </c>
      <c r="B773" t="s">
        <v>1481</v>
      </c>
      <c r="C773" t="s">
        <v>1442</v>
      </c>
      <c r="D773">
        <v>1</v>
      </c>
      <c r="E773" t="s">
        <v>1161</v>
      </c>
      <c r="F773">
        <f>MAX(MAX(L773:AE773),-MIN(L773:AE773))</f>
        <v>8.8817841970012523E-16</v>
      </c>
      <c r="I773" t="s">
        <v>1509</v>
      </c>
      <c r="K773">
        <f t="shared" ref="K773:AE773" si="190">IF(ISNUMBER(K771),IF(ISNUMBER(K772),K772-K771,999999),0)</f>
        <v>0</v>
      </c>
      <c r="L773">
        <f t="shared" si="190"/>
        <v>0</v>
      </c>
      <c r="M773">
        <f t="shared" si="190"/>
        <v>-4.4408920985006262E-16</v>
      </c>
      <c r="N773">
        <f t="shared" si="190"/>
        <v>-4.4408920985006262E-16</v>
      </c>
      <c r="O773">
        <f t="shared" si="190"/>
        <v>-4.4408920985006262E-16</v>
      </c>
      <c r="P773">
        <f t="shared" si="190"/>
        <v>-4.4408920985006262E-16</v>
      </c>
      <c r="Q773">
        <f t="shared" si="190"/>
        <v>-4.4408920985006262E-16</v>
      </c>
      <c r="R773">
        <f t="shared" si="190"/>
        <v>-4.4408920985006262E-16</v>
      </c>
      <c r="S773">
        <f t="shared" si="190"/>
        <v>-4.4408920985006262E-16</v>
      </c>
      <c r="T773">
        <f t="shared" si="190"/>
        <v>-4.4408920985006262E-16</v>
      </c>
      <c r="U773">
        <f t="shared" si="190"/>
        <v>-4.4408920985006262E-16</v>
      </c>
      <c r="V773">
        <f t="shared" si="190"/>
        <v>-4.4408920985006262E-16</v>
      </c>
      <c r="W773">
        <f t="shared" si="190"/>
        <v>-8.8817841970012523E-16</v>
      </c>
      <c r="X773">
        <f t="shared" si="190"/>
        <v>-8.8817841970012523E-16</v>
      </c>
      <c r="Y773">
        <f t="shared" si="190"/>
        <v>0</v>
      </c>
      <c r="Z773">
        <f t="shared" si="190"/>
        <v>-8.8817841970012523E-16</v>
      </c>
      <c r="AA773">
        <f t="shared" si="190"/>
        <v>-8.8817841970012523E-16</v>
      </c>
      <c r="AB773">
        <f t="shared" si="190"/>
        <v>-8.8817841970012523E-16</v>
      </c>
      <c r="AC773">
        <f t="shared" si="190"/>
        <v>-8.8817841970012523E-16</v>
      </c>
      <c r="AD773">
        <f t="shared" si="190"/>
        <v>-8.8817841970012523E-16</v>
      </c>
      <c r="AE773">
        <f t="shared" si="190"/>
        <v>-8.8817841970012523E-16</v>
      </c>
    </row>
    <row r="775" spans="1:31" x14ac:dyDescent="0.45">
      <c r="A775" t="s">
        <v>1556</v>
      </c>
      <c r="B775" t="s">
        <v>1481</v>
      </c>
      <c r="C775" t="s">
        <v>1383</v>
      </c>
      <c r="D775">
        <v>1</v>
      </c>
      <c r="E775" t="s">
        <v>1159</v>
      </c>
      <c r="L775">
        <v>0.3007800981154331</v>
      </c>
      <c r="M775">
        <v>0.30739726027397263</v>
      </c>
      <c r="N775">
        <v>0.31416000000000005</v>
      </c>
      <c r="O775">
        <v>0.32107152</v>
      </c>
      <c r="P775">
        <v>0.32813509343999997</v>
      </c>
      <c r="Q775">
        <v>0.33535406549568003</v>
      </c>
      <c r="R775">
        <v>0.34273185493658498</v>
      </c>
      <c r="S775">
        <v>0.35027195574518988</v>
      </c>
      <c r="T775">
        <v>0.35797793877158401</v>
      </c>
      <c r="U775">
        <v>0.36585345342455888</v>
      </c>
      <c r="V775">
        <v>0.3739022293998992</v>
      </c>
      <c r="W775">
        <v>0.38212807844669705</v>
      </c>
      <c r="X775">
        <v>0.3905348961725244</v>
      </c>
      <c r="Y775">
        <v>0.39912666388831991</v>
      </c>
      <c r="Z775">
        <v>0.40790745049386301</v>
      </c>
      <c r="AA775">
        <v>0.41688141440472798</v>
      </c>
      <c r="AB775">
        <v>0.42605280552163205</v>
      </c>
      <c r="AC775">
        <v>0.435425967243108</v>
      </c>
      <c r="AD775">
        <v>0.44500533852245633</v>
      </c>
      <c r="AE775">
        <v>0.45479545596995041</v>
      </c>
    </row>
    <row r="776" spans="1:31" x14ac:dyDescent="0.45">
      <c r="A776" t="s">
        <v>1556</v>
      </c>
      <c r="B776" t="s">
        <v>1481</v>
      </c>
      <c r="C776" t="s">
        <v>1383</v>
      </c>
      <c r="D776">
        <v>1</v>
      </c>
      <c r="E776" t="s">
        <v>1160</v>
      </c>
      <c r="K776" t="str">
        <f>IF(ISBLANK(Mitigation_Industry!K335),"",Mitigation_Industry!K335)</f>
        <v/>
      </c>
      <c r="L776">
        <f>IF(ISBLANK(Mitigation_Industry!L335),"",Mitigation_Industry!L335)</f>
        <v>0.30078009811543305</v>
      </c>
      <c r="M776">
        <f>IF(ISBLANK(Mitigation_Industry!M335),"",Mitigation_Industry!M335)</f>
        <v>0.30739726027397257</v>
      </c>
      <c r="N776">
        <f>IF(ISBLANK(Mitigation_Industry!N335),"",Mitigation_Industry!N335)</f>
        <v>0.31415999999999999</v>
      </c>
      <c r="O776">
        <f>IF(ISBLANK(Mitigation_Industry!O335),"",Mitigation_Industry!O335)</f>
        <v>0.32107151999999994</v>
      </c>
      <c r="P776">
        <f>IF(ISBLANK(Mitigation_Industry!P335),"",Mitigation_Industry!P335)</f>
        <v>0.32813509343999991</v>
      </c>
      <c r="Q776">
        <f>IF(ISBLANK(Mitigation_Industry!Q335),"",Mitigation_Industry!Q335)</f>
        <v>0.33535406549567992</v>
      </c>
      <c r="R776">
        <f>IF(ISBLANK(Mitigation_Industry!R335),"",Mitigation_Industry!R335)</f>
        <v>0.34273185493658492</v>
      </c>
      <c r="S776">
        <f>IF(ISBLANK(Mitigation_Industry!S335),"",Mitigation_Industry!S335)</f>
        <v>0.35027195574518982</v>
      </c>
      <c r="T776">
        <f>IF(ISBLANK(Mitigation_Industry!T335),"",Mitigation_Industry!T335)</f>
        <v>0.35797793877158396</v>
      </c>
      <c r="U776">
        <f>IF(ISBLANK(Mitigation_Industry!U335),"",Mitigation_Industry!U335)</f>
        <v>0.36585345342455883</v>
      </c>
      <c r="V776">
        <f>IF(ISBLANK(Mitigation_Industry!V335),"",Mitigation_Industry!V335)</f>
        <v>0.37390222939989914</v>
      </c>
      <c r="W776">
        <f>IF(ISBLANK(Mitigation_Industry!W335),"",Mitigation_Industry!W335)</f>
        <v>0.38212807844669699</v>
      </c>
      <c r="X776">
        <f>IF(ISBLANK(Mitigation_Industry!X335),"",Mitigation_Industry!X335)</f>
        <v>0.39053489617252435</v>
      </c>
      <c r="Y776">
        <f>IF(ISBLANK(Mitigation_Industry!Y335),"",Mitigation_Industry!Y335)</f>
        <v>0.39912666388831991</v>
      </c>
      <c r="Z776">
        <f>IF(ISBLANK(Mitigation_Industry!Z335),"",Mitigation_Industry!Z335)</f>
        <v>0.40790745049386296</v>
      </c>
      <c r="AA776">
        <f>IF(ISBLANK(Mitigation_Industry!AA335),"",Mitigation_Industry!AA335)</f>
        <v>0.41688141440472792</v>
      </c>
      <c r="AB776">
        <f>IF(ISBLANK(Mitigation_Industry!AB335),"",Mitigation_Industry!AB335)</f>
        <v>0.42605280552163199</v>
      </c>
      <c r="AC776">
        <f>IF(ISBLANK(Mitigation_Industry!AC335),"",Mitigation_Industry!AC335)</f>
        <v>0.43542596724310795</v>
      </c>
      <c r="AD776">
        <f>IF(ISBLANK(Mitigation_Industry!AD335),"",Mitigation_Industry!AD335)</f>
        <v>0.44500533852245627</v>
      </c>
      <c r="AE776">
        <f>IF(ISBLANK(Mitigation_Industry!AE335),"",Mitigation_Industry!AE335)</f>
        <v>0.45479545596995036</v>
      </c>
    </row>
    <row r="777" spans="1:31" x14ac:dyDescent="0.45">
      <c r="A777" t="s">
        <v>1556</v>
      </c>
      <c r="B777" t="s">
        <v>1481</v>
      </c>
      <c r="C777" t="s">
        <v>1383</v>
      </c>
      <c r="D777">
        <v>1</v>
      </c>
      <c r="E777" t="s">
        <v>1161</v>
      </c>
      <c r="F777">
        <f>MAX(MAX(L777:AE777),-MIN(L777:AE777))</f>
        <v>1.1102230246251565E-16</v>
      </c>
      <c r="I777" t="s">
        <v>1509</v>
      </c>
      <c r="K777">
        <f t="shared" ref="K777:AE777" si="191">IF(ISNUMBER(K775),IF(ISNUMBER(K776),K776-K775,999999),0)</f>
        <v>0</v>
      </c>
      <c r="L777">
        <f t="shared" si="191"/>
        <v>-5.5511151231257827E-17</v>
      </c>
      <c r="M777">
        <f t="shared" si="191"/>
        <v>-5.5511151231257827E-17</v>
      </c>
      <c r="N777">
        <f t="shared" si="191"/>
        <v>-5.5511151231257827E-17</v>
      </c>
      <c r="O777">
        <f t="shared" si="191"/>
        <v>-5.5511151231257827E-17</v>
      </c>
      <c r="P777">
        <f t="shared" si="191"/>
        <v>-5.5511151231257827E-17</v>
      </c>
      <c r="Q777">
        <f t="shared" si="191"/>
        <v>-1.1102230246251565E-16</v>
      </c>
      <c r="R777">
        <f t="shared" si="191"/>
        <v>-5.5511151231257827E-17</v>
      </c>
      <c r="S777">
        <f t="shared" si="191"/>
        <v>-5.5511151231257827E-17</v>
      </c>
      <c r="T777">
        <f t="shared" si="191"/>
        <v>-5.5511151231257827E-17</v>
      </c>
      <c r="U777">
        <f t="shared" si="191"/>
        <v>-5.5511151231257827E-17</v>
      </c>
      <c r="V777">
        <f t="shared" si="191"/>
        <v>-5.5511151231257827E-17</v>
      </c>
      <c r="W777">
        <f t="shared" si="191"/>
        <v>-5.5511151231257827E-17</v>
      </c>
      <c r="X777">
        <f t="shared" si="191"/>
        <v>-5.5511151231257827E-17</v>
      </c>
      <c r="Y777">
        <f t="shared" si="191"/>
        <v>0</v>
      </c>
      <c r="Z777">
        <f t="shared" si="191"/>
        <v>-5.5511151231257827E-17</v>
      </c>
      <c r="AA777">
        <f t="shared" si="191"/>
        <v>-5.5511151231257827E-17</v>
      </c>
      <c r="AB777">
        <f t="shared" si="191"/>
        <v>-5.5511151231257827E-17</v>
      </c>
      <c r="AC777">
        <f t="shared" si="191"/>
        <v>-5.5511151231257827E-17</v>
      </c>
      <c r="AD777">
        <f t="shared" si="191"/>
        <v>-5.5511151231257827E-17</v>
      </c>
      <c r="AE777">
        <f t="shared" si="191"/>
        <v>-5.5511151231257827E-17</v>
      </c>
    </row>
    <row r="779" spans="1:31" x14ac:dyDescent="0.45">
      <c r="A779" t="s">
        <v>1557</v>
      </c>
      <c r="B779" t="s">
        <v>1481</v>
      </c>
      <c r="C779" t="s">
        <v>1390</v>
      </c>
      <c r="D779">
        <v>1</v>
      </c>
      <c r="E779" t="s">
        <v>1159</v>
      </c>
      <c r="L779">
        <v>6.4452878167592806E-2</v>
      </c>
      <c r="M779">
        <v>6.5870841487279841E-2</v>
      </c>
      <c r="N779">
        <v>6.7320000000000005E-2</v>
      </c>
      <c r="O779">
        <v>6.8801040000000008E-2</v>
      </c>
      <c r="P779">
        <v>7.0314662880000017E-2</v>
      </c>
      <c r="Q779">
        <v>7.1861585463360009E-2</v>
      </c>
      <c r="R779">
        <v>7.3442540343553936E-2</v>
      </c>
      <c r="S779">
        <v>7.5058276231112123E-2</v>
      </c>
      <c r="T779">
        <v>7.6709558308196577E-2</v>
      </c>
      <c r="U779">
        <v>7.8397168590976923E-2</v>
      </c>
      <c r="V779">
        <v>8.012190629997841E-2</v>
      </c>
      <c r="W779">
        <v>8.1884588238577929E-2</v>
      </c>
      <c r="X779">
        <v>8.3686049179826638E-2</v>
      </c>
      <c r="Y779">
        <v>8.5527142261782832E-2</v>
      </c>
      <c r="Z779">
        <v>8.7408739391542062E-2</v>
      </c>
      <c r="AA779">
        <v>8.9331731658155986E-2</v>
      </c>
      <c r="AB779">
        <v>9.1297029754635411E-2</v>
      </c>
      <c r="AC779">
        <v>9.3305564409237401E-2</v>
      </c>
      <c r="AD779">
        <v>9.5358286826240632E-2</v>
      </c>
      <c r="AE779">
        <v>9.7456169136417928E-2</v>
      </c>
    </row>
    <row r="780" spans="1:31" x14ac:dyDescent="0.45">
      <c r="A780" t="s">
        <v>1557</v>
      </c>
      <c r="B780" t="s">
        <v>1481</v>
      </c>
      <c r="C780" t="s">
        <v>1390</v>
      </c>
      <c r="D780">
        <v>1</v>
      </c>
      <c r="E780" t="s">
        <v>1160</v>
      </c>
      <c r="K780" t="str">
        <f>IF(ISBLANK(Mitigation_Industry!K336),"",Mitigation_Industry!K336)</f>
        <v/>
      </c>
      <c r="L780">
        <f>IF(ISBLANK(Mitigation_Industry!L336),"",Mitigation_Industry!L336)</f>
        <v>6.4452878167592806E-2</v>
      </c>
      <c r="M780">
        <f>IF(ISBLANK(Mitigation_Industry!M336),"",Mitigation_Industry!M336)</f>
        <v>6.5870841487279841E-2</v>
      </c>
      <c r="N780">
        <f>IF(ISBLANK(Mitigation_Industry!N336),"",Mitigation_Industry!N336)</f>
        <v>6.7319999999999991E-2</v>
      </c>
      <c r="O780">
        <f>IF(ISBLANK(Mitigation_Industry!O336),"",Mitigation_Industry!O336)</f>
        <v>6.8801039999999994E-2</v>
      </c>
      <c r="P780">
        <f>IF(ISBLANK(Mitigation_Industry!P336),"",Mitigation_Industry!P336)</f>
        <v>7.0314662880000003E-2</v>
      </c>
      <c r="Q780">
        <f>IF(ISBLANK(Mitigation_Industry!Q336),"",Mitigation_Industry!Q336)</f>
        <v>7.1861585463359995E-2</v>
      </c>
      <c r="R780">
        <f>IF(ISBLANK(Mitigation_Industry!R336),"",Mitigation_Industry!R336)</f>
        <v>7.3442540343553922E-2</v>
      </c>
      <c r="S780">
        <f>IF(ISBLANK(Mitigation_Industry!S336),"",Mitigation_Industry!S336)</f>
        <v>7.5058276231112109E-2</v>
      </c>
      <c r="T780">
        <f>IF(ISBLANK(Mitigation_Industry!T336),"",Mitigation_Industry!T336)</f>
        <v>7.6709558308196577E-2</v>
      </c>
      <c r="U780">
        <f>IF(ISBLANK(Mitigation_Industry!U336),"",Mitigation_Industry!U336)</f>
        <v>7.8397168590976909E-2</v>
      </c>
      <c r="V780">
        <f>IF(ISBLANK(Mitigation_Industry!V336),"",Mitigation_Industry!V336)</f>
        <v>8.012190629997841E-2</v>
      </c>
      <c r="W780">
        <f>IF(ISBLANK(Mitigation_Industry!W336),"",Mitigation_Industry!W336)</f>
        <v>8.1884588238577916E-2</v>
      </c>
      <c r="X780">
        <f>IF(ISBLANK(Mitigation_Industry!X336),"",Mitigation_Industry!X336)</f>
        <v>8.3686049179826624E-2</v>
      </c>
      <c r="Y780">
        <f>IF(ISBLANK(Mitigation_Industry!Y336),"",Mitigation_Industry!Y336)</f>
        <v>8.5527142261782832E-2</v>
      </c>
      <c r="Z780">
        <f>IF(ISBLANK(Mitigation_Industry!Z336),"",Mitigation_Industry!Z336)</f>
        <v>8.7408739391542062E-2</v>
      </c>
      <c r="AA780">
        <f>IF(ISBLANK(Mitigation_Industry!AA336),"",Mitigation_Industry!AA336)</f>
        <v>8.9331731658155972E-2</v>
      </c>
      <c r="AB780">
        <f>IF(ISBLANK(Mitigation_Industry!AB336),"",Mitigation_Industry!AB336)</f>
        <v>9.1297029754635398E-2</v>
      </c>
      <c r="AC780">
        <f>IF(ISBLANK(Mitigation_Industry!AC336),"",Mitigation_Industry!AC336)</f>
        <v>9.3305564409237388E-2</v>
      </c>
      <c r="AD780">
        <f>IF(ISBLANK(Mitigation_Industry!AD336),"",Mitigation_Industry!AD336)</f>
        <v>9.5358286826240618E-2</v>
      </c>
      <c r="AE780">
        <f>IF(ISBLANK(Mitigation_Industry!AE336),"",Mitigation_Industry!AE336)</f>
        <v>9.7456169136417914E-2</v>
      </c>
    </row>
    <row r="781" spans="1:31" x14ac:dyDescent="0.45">
      <c r="A781" t="s">
        <v>1557</v>
      </c>
      <c r="B781" t="s">
        <v>1481</v>
      </c>
      <c r="C781" t="s">
        <v>1390</v>
      </c>
      <c r="D781">
        <v>1</v>
      </c>
      <c r="E781" t="s">
        <v>1161</v>
      </c>
      <c r="F781">
        <f>MAX(MAX(L781:AE781),-MIN(L781:AE781))</f>
        <v>1.3877787807814457E-17</v>
      </c>
      <c r="I781" t="s">
        <v>1509</v>
      </c>
      <c r="K781">
        <f t="shared" ref="K781:AE781" si="192">IF(ISNUMBER(K779),IF(ISNUMBER(K780),K780-K779,999999),0)</f>
        <v>0</v>
      </c>
      <c r="L781">
        <f t="shared" si="192"/>
        <v>0</v>
      </c>
      <c r="M781">
        <f t="shared" si="192"/>
        <v>0</v>
      </c>
      <c r="N781">
        <f t="shared" si="192"/>
        <v>-1.3877787807814457E-17</v>
      </c>
      <c r="O781">
        <f t="shared" si="192"/>
        <v>-1.3877787807814457E-17</v>
      </c>
      <c r="P781">
        <f t="shared" si="192"/>
        <v>-1.3877787807814457E-17</v>
      </c>
      <c r="Q781">
        <f t="shared" si="192"/>
        <v>-1.3877787807814457E-17</v>
      </c>
      <c r="R781">
        <f t="shared" si="192"/>
        <v>-1.3877787807814457E-17</v>
      </c>
      <c r="S781">
        <f t="shared" si="192"/>
        <v>-1.3877787807814457E-17</v>
      </c>
      <c r="T781">
        <f t="shared" si="192"/>
        <v>0</v>
      </c>
      <c r="U781">
        <f t="shared" si="192"/>
        <v>-1.3877787807814457E-17</v>
      </c>
      <c r="V781">
        <f t="shared" si="192"/>
        <v>0</v>
      </c>
      <c r="W781">
        <f t="shared" si="192"/>
        <v>-1.3877787807814457E-17</v>
      </c>
      <c r="X781">
        <f t="shared" si="192"/>
        <v>-1.3877787807814457E-17</v>
      </c>
      <c r="Y781">
        <f t="shared" si="192"/>
        <v>0</v>
      </c>
      <c r="Z781">
        <f t="shared" si="192"/>
        <v>0</v>
      </c>
      <c r="AA781">
        <f t="shared" si="192"/>
        <v>-1.3877787807814457E-17</v>
      </c>
      <c r="AB781">
        <f t="shared" si="192"/>
        <v>-1.3877787807814457E-17</v>
      </c>
      <c r="AC781">
        <f t="shared" si="192"/>
        <v>-1.3877787807814457E-17</v>
      </c>
      <c r="AD781">
        <f t="shared" si="192"/>
        <v>-1.3877787807814457E-17</v>
      </c>
      <c r="AE781">
        <f t="shared" si="192"/>
        <v>-1.3877787807814457E-17</v>
      </c>
    </row>
    <row r="783" spans="1:31" x14ac:dyDescent="0.45">
      <c r="A783" t="s">
        <v>1558</v>
      </c>
      <c r="B783" t="s">
        <v>1481</v>
      </c>
      <c r="C783" t="s">
        <v>1397</v>
      </c>
      <c r="D783">
        <v>1</v>
      </c>
      <c r="E783" t="s">
        <v>1159</v>
      </c>
      <c r="L783">
        <v>4.2047573055412055E-2</v>
      </c>
      <c r="M783">
        <v>4.4360189573459712E-2</v>
      </c>
      <c r="N783">
        <v>4.6799999999999994E-2</v>
      </c>
      <c r="O783">
        <v>4.9374000000000001E-2</v>
      </c>
      <c r="P783">
        <v>5.2089569999999995E-2</v>
      </c>
      <c r="Q783">
        <v>5.4954496349999993E-2</v>
      </c>
      <c r="R783">
        <v>5.7976993649249998E-2</v>
      </c>
      <c r="S783">
        <v>6.1165728299958741E-2</v>
      </c>
      <c r="T783">
        <v>6.4529843356456465E-2</v>
      </c>
      <c r="U783">
        <v>6.8078984741061568E-2</v>
      </c>
      <c r="V783">
        <v>7.1823328901819944E-2</v>
      </c>
      <c r="W783">
        <v>7.5773611991420048E-2</v>
      </c>
      <c r="X783">
        <v>7.9941160650948154E-2</v>
      </c>
      <c r="Y783">
        <v>8.4337924486750301E-2</v>
      </c>
      <c r="Z783">
        <v>8.8976510333521566E-2</v>
      </c>
      <c r="AA783">
        <v>9.3870218401865241E-2</v>
      </c>
      <c r="AB783">
        <v>9.9033080413967828E-2</v>
      </c>
      <c r="AC783">
        <v>0.10447989983673606</v>
      </c>
      <c r="AD783">
        <v>0.11022629432775652</v>
      </c>
      <c r="AE783">
        <v>0.11628874051578311</v>
      </c>
    </row>
    <row r="784" spans="1:31" x14ac:dyDescent="0.45">
      <c r="A784" t="s">
        <v>1558</v>
      </c>
      <c r="B784" t="s">
        <v>1481</v>
      </c>
      <c r="C784" t="s">
        <v>1397</v>
      </c>
      <c r="D784">
        <v>1</v>
      </c>
      <c r="E784" t="s">
        <v>1160</v>
      </c>
      <c r="K784" t="str">
        <f>IF(ISBLANK(Mitigation_Industry!K337),"",Mitigation_Industry!K337)</f>
        <v/>
      </c>
      <c r="L784">
        <f>IF(ISBLANK(Mitigation_Industry!L337),"",Mitigation_Industry!L337)</f>
        <v>4.2047573055412055E-2</v>
      </c>
      <c r="M784">
        <f>IF(ISBLANK(Mitigation_Industry!M337),"",Mitigation_Industry!M337)</f>
        <v>4.4360189573459712E-2</v>
      </c>
      <c r="N784">
        <f>IF(ISBLANK(Mitigation_Industry!N337),"",Mitigation_Industry!N337)</f>
        <v>4.6799999999999994E-2</v>
      </c>
      <c r="O784">
        <f>IF(ISBLANK(Mitigation_Industry!O337),"",Mitigation_Industry!O337)</f>
        <v>4.9374000000000001E-2</v>
      </c>
      <c r="P784">
        <f>IF(ISBLANK(Mitigation_Industry!P337),"",Mitigation_Industry!P337)</f>
        <v>5.2089569999999995E-2</v>
      </c>
      <c r="Q784">
        <f>IF(ISBLANK(Mitigation_Industry!Q337),"",Mitigation_Industry!Q337)</f>
        <v>5.4954496349999993E-2</v>
      </c>
      <c r="R784">
        <f>IF(ISBLANK(Mitigation_Industry!R337),"",Mitigation_Industry!R337)</f>
        <v>5.7976993649249998E-2</v>
      </c>
      <c r="S784">
        <f>IF(ISBLANK(Mitigation_Industry!S337),"",Mitigation_Industry!S337)</f>
        <v>6.1165728299958741E-2</v>
      </c>
      <c r="T784">
        <f>IF(ISBLANK(Mitigation_Industry!T337),"",Mitigation_Industry!T337)</f>
        <v>6.4529843356456465E-2</v>
      </c>
      <c r="U784">
        <f>IF(ISBLANK(Mitigation_Industry!U337),"",Mitigation_Industry!U337)</f>
        <v>6.8078984741061568E-2</v>
      </c>
      <c r="V784">
        <f>IF(ISBLANK(Mitigation_Industry!V337),"",Mitigation_Industry!V337)</f>
        <v>7.1823328901819944E-2</v>
      </c>
      <c r="W784">
        <f>IF(ISBLANK(Mitigation_Industry!W337),"",Mitigation_Industry!W337)</f>
        <v>7.5773611991420048E-2</v>
      </c>
      <c r="X784">
        <f>IF(ISBLANK(Mitigation_Industry!X337),"",Mitigation_Industry!X337)</f>
        <v>7.9941160650948154E-2</v>
      </c>
      <c r="Y784">
        <f>IF(ISBLANK(Mitigation_Industry!Y337),"",Mitigation_Industry!Y337)</f>
        <v>8.4337924486750301E-2</v>
      </c>
      <c r="Z784">
        <f>IF(ISBLANK(Mitigation_Industry!Z337),"",Mitigation_Industry!Z337)</f>
        <v>8.8976510333521566E-2</v>
      </c>
      <c r="AA784">
        <f>IF(ISBLANK(Mitigation_Industry!AA337),"",Mitigation_Industry!AA337)</f>
        <v>9.3870218401865241E-2</v>
      </c>
      <c r="AB784">
        <f>IF(ISBLANK(Mitigation_Industry!AB337),"",Mitigation_Industry!AB337)</f>
        <v>9.9033080413967828E-2</v>
      </c>
      <c r="AC784">
        <f>IF(ISBLANK(Mitigation_Industry!AC337),"",Mitigation_Industry!AC337)</f>
        <v>0.10447989983673606</v>
      </c>
      <c r="AD784">
        <f>IF(ISBLANK(Mitigation_Industry!AD337),"",Mitigation_Industry!AD337)</f>
        <v>0.11022629432775652</v>
      </c>
      <c r="AE784">
        <f>IF(ISBLANK(Mitigation_Industry!AE337),"",Mitigation_Industry!AE337)</f>
        <v>0.11628874051578311</v>
      </c>
    </row>
    <row r="785" spans="1:31" x14ac:dyDescent="0.45">
      <c r="A785" t="s">
        <v>1558</v>
      </c>
      <c r="B785" t="s">
        <v>1481</v>
      </c>
      <c r="C785" t="s">
        <v>1397</v>
      </c>
      <c r="D785">
        <v>1</v>
      </c>
      <c r="E785" t="s">
        <v>1161</v>
      </c>
      <c r="F785">
        <f>MAX(MAX(L785:AE785),-MIN(L785:AE785))</f>
        <v>0</v>
      </c>
      <c r="I785" t="s">
        <v>1509</v>
      </c>
      <c r="K785">
        <f t="shared" ref="K785:AE785" si="193">IF(ISNUMBER(K783),IF(ISNUMBER(K784),K784-K783,999999),0)</f>
        <v>0</v>
      </c>
      <c r="L785">
        <f t="shared" si="193"/>
        <v>0</v>
      </c>
      <c r="M785">
        <f t="shared" si="193"/>
        <v>0</v>
      </c>
      <c r="N785">
        <f t="shared" si="193"/>
        <v>0</v>
      </c>
      <c r="O785">
        <f t="shared" si="193"/>
        <v>0</v>
      </c>
      <c r="P785">
        <f t="shared" si="193"/>
        <v>0</v>
      </c>
      <c r="Q785">
        <f t="shared" si="193"/>
        <v>0</v>
      </c>
      <c r="R785">
        <f t="shared" si="193"/>
        <v>0</v>
      </c>
      <c r="S785">
        <f t="shared" si="193"/>
        <v>0</v>
      </c>
      <c r="T785">
        <f t="shared" si="193"/>
        <v>0</v>
      </c>
      <c r="U785">
        <f t="shared" si="193"/>
        <v>0</v>
      </c>
      <c r="V785">
        <f t="shared" si="193"/>
        <v>0</v>
      </c>
      <c r="W785">
        <f t="shared" si="193"/>
        <v>0</v>
      </c>
      <c r="X785">
        <f t="shared" si="193"/>
        <v>0</v>
      </c>
      <c r="Y785">
        <f t="shared" si="193"/>
        <v>0</v>
      </c>
      <c r="Z785">
        <f t="shared" si="193"/>
        <v>0</v>
      </c>
      <c r="AA785">
        <f t="shared" si="193"/>
        <v>0</v>
      </c>
      <c r="AB785">
        <f t="shared" si="193"/>
        <v>0</v>
      </c>
      <c r="AC785">
        <f t="shared" si="193"/>
        <v>0</v>
      </c>
      <c r="AD785">
        <f t="shared" si="193"/>
        <v>0</v>
      </c>
      <c r="AE785">
        <f t="shared" si="193"/>
        <v>0</v>
      </c>
    </row>
    <row r="787" spans="1:31" x14ac:dyDescent="0.45">
      <c r="A787" t="s">
        <v>1559</v>
      </c>
      <c r="B787" t="s">
        <v>1481</v>
      </c>
      <c r="C787" t="s">
        <v>1486</v>
      </c>
      <c r="D787">
        <v>1</v>
      </c>
      <c r="E787" t="s">
        <v>1159</v>
      </c>
      <c r="L787">
        <v>20.92624635774483</v>
      </c>
      <c r="M787">
        <v>21.621228468026327</v>
      </c>
      <c r="N787">
        <v>22.340203499999998</v>
      </c>
      <c r="O787">
        <v>23.084029142999995</v>
      </c>
      <c r="P787">
        <v>23.853594734849995</v>
      </c>
      <c r="Q787">
        <v>24.649822464218669</v>
      </c>
      <c r="R787">
        <v>25.47366861989611</v>
      </c>
      <c r="S787">
        <v>26.326124888867824</v>
      </c>
      <c r="T787">
        <v>27.208219705139573</v>
      </c>
      <c r="U787">
        <v>28.12101965134655</v>
      </c>
      <c r="V787">
        <v>29.065630915263306</v>
      </c>
      <c r="W787">
        <v>30.043200803417918</v>
      </c>
      <c r="X787">
        <v>31.054919314104179</v>
      </c>
      <c r="Y787">
        <v>32.102020772179657</v>
      </c>
      <c r="Z787">
        <v>33.185785528135774</v>
      </c>
      <c r="AA787">
        <v>34.307541724028304</v>
      </c>
      <c r="AB787">
        <v>35.468667128962927</v>
      </c>
      <c r="AC787">
        <v>36.670591046941823</v>
      </c>
      <c r="AD787">
        <v>37.914796299992908</v>
      </c>
      <c r="AE787">
        <v>39.202821289623259</v>
      </c>
    </row>
    <row r="788" spans="1:31" x14ac:dyDescent="0.45">
      <c r="A788" t="s">
        <v>1559</v>
      </c>
      <c r="B788" t="s">
        <v>1481</v>
      </c>
      <c r="C788" t="s">
        <v>1486</v>
      </c>
      <c r="D788">
        <v>1</v>
      </c>
      <c r="E788" t="s">
        <v>1160</v>
      </c>
      <c r="K788" t="str">
        <f>IF(ISBLANK(Mitigation_Industry!K338),"",Mitigation_Industry!K338)</f>
        <v/>
      </c>
      <c r="L788">
        <f>IF(ISBLANK(Mitigation_Industry!L338),"",Mitigation_Industry!L338)</f>
        <v>20.926246357744834</v>
      </c>
      <c r="M788">
        <f>IF(ISBLANK(Mitigation_Industry!M338),"",Mitigation_Industry!M338)</f>
        <v>21.621228468026327</v>
      </c>
      <c r="N788">
        <f>IF(ISBLANK(Mitigation_Industry!N338),"",Mitigation_Industry!N338)</f>
        <v>22.340203500000001</v>
      </c>
      <c r="O788">
        <f>IF(ISBLANK(Mitigation_Industry!O338),"",Mitigation_Industry!O338)</f>
        <v>23.084029143000002</v>
      </c>
      <c r="P788">
        <f>IF(ISBLANK(Mitigation_Industry!P338),"",Mitigation_Industry!P338)</f>
        <v>23.853594734849999</v>
      </c>
      <c r="Q788">
        <f>IF(ISBLANK(Mitigation_Industry!Q338),"",Mitigation_Industry!Q338)</f>
        <v>24.649822464218669</v>
      </c>
      <c r="R788">
        <f>IF(ISBLANK(Mitigation_Industry!R338),"",Mitigation_Industry!R338)</f>
        <v>25.473668619896113</v>
      </c>
      <c r="S788">
        <f>IF(ISBLANK(Mitigation_Industry!S338),"",Mitigation_Industry!S338)</f>
        <v>26.326124888867827</v>
      </c>
      <c r="T788">
        <f>IF(ISBLANK(Mitigation_Industry!T338),"",Mitigation_Industry!T338)</f>
        <v>27.20821970513958</v>
      </c>
      <c r="U788">
        <f>IF(ISBLANK(Mitigation_Industry!U338),"",Mitigation_Industry!U338)</f>
        <v>28.121019651346554</v>
      </c>
      <c r="V788">
        <f>IF(ISBLANK(Mitigation_Industry!V338),"",Mitigation_Industry!V338)</f>
        <v>29.065630915263306</v>
      </c>
      <c r="W788">
        <f>IF(ISBLANK(Mitigation_Industry!W338),"",Mitigation_Industry!W338)</f>
        <v>30.043200803417918</v>
      </c>
      <c r="X788">
        <f>IF(ISBLANK(Mitigation_Industry!X338),"",Mitigation_Industry!X338)</f>
        <v>31.054919314104183</v>
      </c>
      <c r="Y788">
        <f>IF(ISBLANK(Mitigation_Industry!Y338),"",Mitigation_Industry!Y338)</f>
        <v>32.102020772179657</v>
      </c>
      <c r="Z788">
        <f>IF(ISBLANK(Mitigation_Industry!Z338),"",Mitigation_Industry!Z338)</f>
        <v>33.185785528135781</v>
      </c>
      <c r="AA788">
        <f>IF(ISBLANK(Mitigation_Industry!AA338),"",Mitigation_Industry!AA338)</f>
        <v>34.307541724028312</v>
      </c>
      <c r="AB788">
        <f>IF(ISBLANK(Mitigation_Industry!AB338),"",Mitigation_Industry!AB338)</f>
        <v>35.468667128962927</v>
      </c>
      <c r="AC788">
        <f>IF(ISBLANK(Mitigation_Industry!AC338),"",Mitigation_Industry!AC338)</f>
        <v>36.67059104694183</v>
      </c>
      <c r="AD788">
        <f>IF(ISBLANK(Mitigation_Industry!AD338),"",Mitigation_Industry!AD338)</f>
        <v>37.914796299992908</v>
      </c>
      <c r="AE788">
        <f>IF(ISBLANK(Mitigation_Industry!AE338),"",Mitigation_Industry!AE338)</f>
        <v>39.202821289623259</v>
      </c>
    </row>
    <row r="789" spans="1:31" x14ac:dyDescent="0.45">
      <c r="A789" t="s">
        <v>1559</v>
      </c>
      <c r="B789" t="s">
        <v>1481</v>
      </c>
      <c r="C789" t="s">
        <v>1486</v>
      </c>
      <c r="D789">
        <v>1</v>
      </c>
      <c r="E789" t="s">
        <v>1161</v>
      </c>
      <c r="F789">
        <f>MAX(MAX(L789:AE789),-MIN(L789:AE789))</f>
        <v>7.1054273576010019E-15</v>
      </c>
      <c r="I789" t="s">
        <v>1509</v>
      </c>
      <c r="K789">
        <f t="shared" ref="K789:AE789" si="194">IF(ISNUMBER(K787),IF(ISNUMBER(K788),K788-K787,999999),0)</f>
        <v>0</v>
      </c>
      <c r="L789">
        <f t="shared" si="194"/>
        <v>3.5527136788005009E-15</v>
      </c>
      <c r="M789">
        <f t="shared" si="194"/>
        <v>0</v>
      </c>
      <c r="N789">
        <f t="shared" si="194"/>
        <v>3.5527136788005009E-15</v>
      </c>
      <c r="O789">
        <f t="shared" si="194"/>
        <v>7.1054273576010019E-15</v>
      </c>
      <c r="P789">
        <f t="shared" si="194"/>
        <v>3.5527136788005009E-15</v>
      </c>
      <c r="Q789">
        <f t="shared" si="194"/>
        <v>0</v>
      </c>
      <c r="R789">
        <f t="shared" si="194"/>
        <v>3.5527136788005009E-15</v>
      </c>
      <c r="S789">
        <f t="shared" si="194"/>
        <v>3.5527136788005009E-15</v>
      </c>
      <c r="T789">
        <f t="shared" si="194"/>
        <v>7.1054273576010019E-15</v>
      </c>
      <c r="U789">
        <f t="shared" si="194"/>
        <v>3.5527136788005009E-15</v>
      </c>
      <c r="V789">
        <f t="shared" si="194"/>
        <v>0</v>
      </c>
      <c r="W789">
        <f t="shared" si="194"/>
        <v>0</v>
      </c>
      <c r="X789">
        <f t="shared" si="194"/>
        <v>3.5527136788005009E-15</v>
      </c>
      <c r="Y789">
        <f t="shared" si="194"/>
        <v>0</v>
      </c>
      <c r="Z789">
        <f t="shared" si="194"/>
        <v>7.1054273576010019E-15</v>
      </c>
      <c r="AA789">
        <f t="shared" si="194"/>
        <v>7.1054273576010019E-15</v>
      </c>
      <c r="AB789">
        <f t="shared" si="194"/>
        <v>0</v>
      </c>
      <c r="AC789">
        <f t="shared" si="194"/>
        <v>7.1054273576010019E-15</v>
      </c>
      <c r="AD789">
        <f t="shared" si="194"/>
        <v>0</v>
      </c>
      <c r="AE789">
        <f t="shared" si="194"/>
        <v>0</v>
      </c>
    </row>
    <row r="791" spans="1:31" x14ac:dyDescent="0.45">
      <c r="A791" t="s">
        <v>1560</v>
      </c>
      <c r="B791" t="s">
        <v>1487</v>
      </c>
      <c r="C791" t="s">
        <v>1350</v>
      </c>
      <c r="D791">
        <v>1</v>
      </c>
      <c r="E791" t="s">
        <v>1159</v>
      </c>
      <c r="L791">
        <v>0.18716695292200644</v>
      </c>
      <c r="M791">
        <v>0.1954022988505747</v>
      </c>
      <c r="N791">
        <v>0.20399999999999999</v>
      </c>
      <c r="O791">
        <v>0.21297600000000003</v>
      </c>
      <c r="P791">
        <v>0.22234694400000005</v>
      </c>
      <c r="Q791">
        <v>0.23213020953600005</v>
      </c>
      <c r="R791">
        <v>0.24234393875558408</v>
      </c>
      <c r="S791">
        <v>0.25300707206082979</v>
      </c>
      <c r="T791">
        <v>0.26413938323150632</v>
      </c>
      <c r="U791">
        <v>0.27576151609369259</v>
      </c>
      <c r="V791">
        <v>0.28789502280181506</v>
      </c>
      <c r="W791">
        <v>0.30056240380509497</v>
      </c>
      <c r="X791">
        <v>0.31378714957251913</v>
      </c>
      <c r="Y791">
        <v>0.32759378415370999</v>
      </c>
      <c r="Z791">
        <v>0.34200791065647324</v>
      </c>
      <c r="AA791">
        <v>0.35705625872535807</v>
      </c>
      <c r="AB791">
        <v>0.37276673410927386</v>
      </c>
      <c r="AC791">
        <v>0.38916847041008185</v>
      </c>
      <c r="AD791">
        <v>0.40629188310812547</v>
      </c>
      <c r="AE791">
        <v>0.42416872596488298</v>
      </c>
    </row>
    <row r="792" spans="1:31" x14ac:dyDescent="0.45">
      <c r="A792" t="s">
        <v>1560</v>
      </c>
      <c r="B792" t="s">
        <v>1487</v>
      </c>
      <c r="C792" t="s">
        <v>1350</v>
      </c>
      <c r="D792">
        <v>1</v>
      </c>
      <c r="E792" t="s">
        <v>1160</v>
      </c>
      <c r="K792" t="str">
        <f>IF(ISBLANK(Mitigation_Industry!K341),"",Mitigation_Industry!K341)</f>
        <v/>
      </c>
      <c r="L792">
        <f>IF(ISBLANK(Mitigation_Industry!L341),"",Mitigation_Industry!L341)</f>
        <v>0.18716695292200644</v>
      </c>
      <c r="M792">
        <f>IF(ISBLANK(Mitigation_Industry!M341),"",Mitigation_Industry!M341)</f>
        <v>0.1954022988505747</v>
      </c>
      <c r="N792">
        <f>IF(ISBLANK(Mitigation_Industry!N341),"",Mitigation_Industry!N341)</f>
        <v>0.20399999999999999</v>
      </c>
      <c r="O792">
        <f>IF(ISBLANK(Mitigation_Industry!O341),"",Mitigation_Industry!O341)</f>
        <v>0.21297600000000003</v>
      </c>
      <c r="P792">
        <f>IF(ISBLANK(Mitigation_Industry!P341),"",Mitigation_Industry!P341)</f>
        <v>0.22234694400000005</v>
      </c>
      <c r="Q792">
        <f>IF(ISBLANK(Mitigation_Industry!Q341),"",Mitigation_Industry!Q341)</f>
        <v>0.23213020953600005</v>
      </c>
      <c r="R792">
        <f>IF(ISBLANK(Mitigation_Industry!R341),"",Mitigation_Industry!R341)</f>
        <v>0.24234393875558408</v>
      </c>
      <c r="S792">
        <f>IF(ISBLANK(Mitigation_Industry!S341),"",Mitigation_Industry!S341)</f>
        <v>0.25300707206082979</v>
      </c>
      <c r="T792">
        <f>IF(ISBLANK(Mitigation_Industry!T341),"",Mitigation_Industry!T341)</f>
        <v>0.26413938323150632</v>
      </c>
      <c r="U792">
        <f>IF(ISBLANK(Mitigation_Industry!U341),"",Mitigation_Industry!U341)</f>
        <v>0.27576151609369259</v>
      </c>
      <c r="V792">
        <f>IF(ISBLANK(Mitigation_Industry!V341),"",Mitigation_Industry!V341)</f>
        <v>0.28789502280181506</v>
      </c>
      <c r="W792">
        <f>IF(ISBLANK(Mitigation_Industry!W341),"",Mitigation_Industry!W341)</f>
        <v>0.30056240380509497</v>
      </c>
      <c r="X792">
        <f>IF(ISBLANK(Mitigation_Industry!X341),"",Mitigation_Industry!X341)</f>
        <v>0.31378714957251913</v>
      </c>
      <c r="Y792">
        <f>IF(ISBLANK(Mitigation_Industry!Y341),"",Mitigation_Industry!Y341)</f>
        <v>0.32759378415370999</v>
      </c>
      <c r="Z792">
        <f>IF(ISBLANK(Mitigation_Industry!Z341),"",Mitigation_Industry!Z341)</f>
        <v>0.34200791065647324</v>
      </c>
      <c r="AA792">
        <f>IF(ISBLANK(Mitigation_Industry!AA341),"",Mitigation_Industry!AA341)</f>
        <v>0.35705625872535807</v>
      </c>
      <c r="AB792">
        <f>IF(ISBLANK(Mitigation_Industry!AB341),"",Mitigation_Industry!AB341)</f>
        <v>0.37276673410927386</v>
      </c>
      <c r="AC792">
        <f>IF(ISBLANK(Mitigation_Industry!AC341),"",Mitigation_Industry!AC341)</f>
        <v>0.38916847041008185</v>
      </c>
      <c r="AD792">
        <f>IF(ISBLANK(Mitigation_Industry!AD341),"",Mitigation_Industry!AD341)</f>
        <v>0.40629188310812547</v>
      </c>
      <c r="AE792">
        <f>IF(ISBLANK(Mitigation_Industry!AE341),"",Mitigation_Industry!AE341)</f>
        <v>0.42416872596488298</v>
      </c>
    </row>
    <row r="793" spans="1:31" x14ac:dyDescent="0.45">
      <c r="A793" t="s">
        <v>1560</v>
      </c>
      <c r="B793" t="s">
        <v>1487</v>
      </c>
      <c r="C793" t="s">
        <v>1350</v>
      </c>
      <c r="D793">
        <v>1</v>
      </c>
      <c r="E793" t="s">
        <v>1161</v>
      </c>
      <c r="F793">
        <f>MAX(MAX(L793:AE793),-MIN(L793:AE793))</f>
        <v>0</v>
      </c>
      <c r="I793" t="s">
        <v>1509</v>
      </c>
      <c r="K793">
        <f t="shared" ref="K793:AE793" si="195">IF(ISNUMBER(K791),IF(ISNUMBER(K792),K792-K791,999999),0)</f>
        <v>0</v>
      </c>
      <c r="L793">
        <f t="shared" si="195"/>
        <v>0</v>
      </c>
      <c r="M793">
        <f t="shared" si="195"/>
        <v>0</v>
      </c>
      <c r="N793">
        <f t="shared" si="195"/>
        <v>0</v>
      </c>
      <c r="O793">
        <f t="shared" si="195"/>
        <v>0</v>
      </c>
      <c r="P793">
        <f t="shared" si="195"/>
        <v>0</v>
      </c>
      <c r="Q793">
        <f t="shared" si="195"/>
        <v>0</v>
      </c>
      <c r="R793">
        <f t="shared" si="195"/>
        <v>0</v>
      </c>
      <c r="S793">
        <f t="shared" si="195"/>
        <v>0</v>
      </c>
      <c r="T793">
        <f t="shared" si="195"/>
        <v>0</v>
      </c>
      <c r="U793">
        <f t="shared" si="195"/>
        <v>0</v>
      </c>
      <c r="V793">
        <f t="shared" si="195"/>
        <v>0</v>
      </c>
      <c r="W793">
        <f t="shared" si="195"/>
        <v>0</v>
      </c>
      <c r="X793">
        <f t="shared" si="195"/>
        <v>0</v>
      </c>
      <c r="Y793">
        <f t="shared" si="195"/>
        <v>0</v>
      </c>
      <c r="Z793">
        <f t="shared" si="195"/>
        <v>0</v>
      </c>
      <c r="AA793">
        <f t="shared" si="195"/>
        <v>0</v>
      </c>
      <c r="AB793">
        <f t="shared" si="195"/>
        <v>0</v>
      </c>
      <c r="AC793">
        <f t="shared" si="195"/>
        <v>0</v>
      </c>
      <c r="AD793">
        <f t="shared" si="195"/>
        <v>0</v>
      </c>
      <c r="AE793">
        <f t="shared" si="195"/>
        <v>0</v>
      </c>
    </row>
    <row r="795" spans="1:31" x14ac:dyDescent="0.45">
      <c r="A795" t="s">
        <v>1561</v>
      </c>
      <c r="B795" t="s">
        <v>1487</v>
      </c>
      <c r="C795" t="s">
        <v>1357</v>
      </c>
      <c r="D795">
        <v>1</v>
      </c>
      <c r="E795" t="s">
        <v>1159</v>
      </c>
      <c r="L795">
        <v>6.6058924560708152E-2</v>
      </c>
      <c r="M795">
        <v>6.8965517241379309E-2</v>
      </c>
      <c r="N795">
        <v>7.1999999999999995E-2</v>
      </c>
      <c r="O795">
        <v>7.5167999999999999E-2</v>
      </c>
      <c r="P795">
        <v>7.8475392000000005E-2</v>
      </c>
      <c r="Q795">
        <v>8.1928309247999986E-2</v>
      </c>
      <c r="R795">
        <v>8.5533154854912002E-2</v>
      </c>
      <c r="S795">
        <v>8.9296613668528119E-2</v>
      </c>
      <c r="T795">
        <v>9.3225664669943364E-2</v>
      </c>
      <c r="U795">
        <v>9.7327593915420896E-2</v>
      </c>
      <c r="V795">
        <v>0.10161000804769942</v>
      </c>
      <c r="W795">
        <v>0.10608084840179818</v>
      </c>
      <c r="X795">
        <v>0.1107484057314773</v>
      </c>
      <c r="Y795">
        <v>0.1156213355836623</v>
      </c>
      <c r="Z795">
        <v>0.12070867434934346</v>
      </c>
      <c r="AA795">
        <v>0.12601985602071455</v>
      </c>
      <c r="AB795">
        <v>0.13156472968562599</v>
      </c>
      <c r="AC795">
        <v>0.13735357779179352</v>
      </c>
      <c r="AD795">
        <v>0.14339713521463243</v>
      </c>
      <c r="AE795">
        <v>0.1497066091640763</v>
      </c>
    </row>
    <row r="796" spans="1:31" x14ac:dyDescent="0.45">
      <c r="A796" t="s">
        <v>1561</v>
      </c>
      <c r="B796" t="s">
        <v>1487</v>
      </c>
      <c r="C796" t="s">
        <v>1357</v>
      </c>
      <c r="D796">
        <v>1</v>
      </c>
      <c r="E796" t="s">
        <v>1160</v>
      </c>
      <c r="K796" t="str">
        <f>IF(ISBLANK(Mitigation_Industry!K342),"",Mitigation_Industry!K342)</f>
        <v/>
      </c>
      <c r="L796">
        <f>IF(ISBLANK(Mitigation_Industry!L342),"",Mitigation_Industry!L342)</f>
        <v>6.6058924560708152E-2</v>
      </c>
      <c r="M796">
        <f>IF(ISBLANK(Mitigation_Industry!M342),"",Mitigation_Industry!M342)</f>
        <v>6.8965517241379309E-2</v>
      </c>
      <c r="N796">
        <f>IF(ISBLANK(Mitigation_Industry!N342),"",Mitigation_Industry!N342)</f>
        <v>7.1999999999999995E-2</v>
      </c>
      <c r="O796">
        <f>IF(ISBLANK(Mitigation_Industry!O342),"",Mitigation_Industry!O342)</f>
        <v>7.5167999999999999E-2</v>
      </c>
      <c r="P796">
        <f>IF(ISBLANK(Mitigation_Industry!P342),"",Mitigation_Industry!P342)</f>
        <v>7.8475392000000005E-2</v>
      </c>
      <c r="Q796">
        <f>IF(ISBLANK(Mitigation_Industry!Q342),"",Mitigation_Industry!Q342)</f>
        <v>8.1928309247999986E-2</v>
      </c>
      <c r="R796">
        <f>IF(ISBLANK(Mitigation_Industry!R342),"",Mitigation_Industry!R342)</f>
        <v>8.5533154854912002E-2</v>
      </c>
      <c r="S796">
        <f>IF(ISBLANK(Mitigation_Industry!S342),"",Mitigation_Industry!S342)</f>
        <v>8.9296613668528119E-2</v>
      </c>
      <c r="T796">
        <f>IF(ISBLANK(Mitigation_Industry!T342),"",Mitigation_Industry!T342)</f>
        <v>9.3225664669943364E-2</v>
      </c>
      <c r="U796">
        <f>IF(ISBLANK(Mitigation_Industry!U342),"",Mitigation_Industry!U342)</f>
        <v>9.7327593915420896E-2</v>
      </c>
      <c r="V796">
        <f>IF(ISBLANK(Mitigation_Industry!V342),"",Mitigation_Industry!V342)</f>
        <v>0.10161000804769942</v>
      </c>
      <c r="W796">
        <f>IF(ISBLANK(Mitigation_Industry!W342),"",Mitigation_Industry!W342)</f>
        <v>0.10608084840179818</v>
      </c>
      <c r="X796">
        <f>IF(ISBLANK(Mitigation_Industry!X342),"",Mitigation_Industry!X342)</f>
        <v>0.1107484057314773</v>
      </c>
      <c r="Y796">
        <f>IF(ISBLANK(Mitigation_Industry!Y342),"",Mitigation_Industry!Y342)</f>
        <v>0.1156213355836623</v>
      </c>
      <c r="Z796">
        <f>IF(ISBLANK(Mitigation_Industry!Z342),"",Mitigation_Industry!Z342)</f>
        <v>0.12070867434934346</v>
      </c>
      <c r="AA796">
        <f>IF(ISBLANK(Mitigation_Industry!AA342),"",Mitigation_Industry!AA342)</f>
        <v>0.12601985602071455</v>
      </c>
      <c r="AB796">
        <f>IF(ISBLANK(Mitigation_Industry!AB342),"",Mitigation_Industry!AB342)</f>
        <v>0.13156472968562599</v>
      </c>
      <c r="AC796">
        <f>IF(ISBLANK(Mitigation_Industry!AC342),"",Mitigation_Industry!AC342)</f>
        <v>0.13735357779179352</v>
      </c>
      <c r="AD796">
        <f>IF(ISBLANK(Mitigation_Industry!AD342),"",Mitigation_Industry!AD342)</f>
        <v>0.14339713521463243</v>
      </c>
      <c r="AE796">
        <f>IF(ISBLANK(Mitigation_Industry!AE342),"",Mitigation_Industry!AE342)</f>
        <v>0.1497066091640763</v>
      </c>
    </row>
    <row r="797" spans="1:31" x14ac:dyDescent="0.45">
      <c r="A797" t="s">
        <v>1561</v>
      </c>
      <c r="B797" t="s">
        <v>1487</v>
      </c>
      <c r="C797" t="s">
        <v>1357</v>
      </c>
      <c r="D797">
        <v>1</v>
      </c>
      <c r="E797" t="s">
        <v>1161</v>
      </c>
      <c r="F797">
        <f>MAX(MAX(L797:AE797),-MIN(L797:AE797))</f>
        <v>0</v>
      </c>
      <c r="I797" t="s">
        <v>1509</v>
      </c>
      <c r="K797">
        <f t="shared" ref="K797:AE797" si="196">IF(ISNUMBER(K795),IF(ISNUMBER(K796),K796-K795,999999),0)</f>
        <v>0</v>
      </c>
      <c r="L797">
        <f t="shared" si="196"/>
        <v>0</v>
      </c>
      <c r="M797">
        <f t="shared" si="196"/>
        <v>0</v>
      </c>
      <c r="N797">
        <f t="shared" si="196"/>
        <v>0</v>
      </c>
      <c r="O797">
        <f t="shared" si="196"/>
        <v>0</v>
      </c>
      <c r="P797">
        <f t="shared" si="196"/>
        <v>0</v>
      </c>
      <c r="Q797">
        <f t="shared" si="196"/>
        <v>0</v>
      </c>
      <c r="R797">
        <f t="shared" si="196"/>
        <v>0</v>
      </c>
      <c r="S797">
        <f t="shared" si="196"/>
        <v>0</v>
      </c>
      <c r="T797">
        <f t="shared" si="196"/>
        <v>0</v>
      </c>
      <c r="U797">
        <f t="shared" si="196"/>
        <v>0</v>
      </c>
      <c r="V797">
        <f t="shared" si="196"/>
        <v>0</v>
      </c>
      <c r="W797">
        <f t="shared" si="196"/>
        <v>0</v>
      </c>
      <c r="X797">
        <f t="shared" si="196"/>
        <v>0</v>
      </c>
      <c r="Y797">
        <f t="shared" si="196"/>
        <v>0</v>
      </c>
      <c r="Z797">
        <f t="shared" si="196"/>
        <v>0</v>
      </c>
      <c r="AA797">
        <f t="shared" si="196"/>
        <v>0</v>
      </c>
      <c r="AB797">
        <f t="shared" si="196"/>
        <v>0</v>
      </c>
      <c r="AC797">
        <f t="shared" si="196"/>
        <v>0</v>
      </c>
      <c r="AD797">
        <f t="shared" si="196"/>
        <v>0</v>
      </c>
      <c r="AE797">
        <f t="shared" si="196"/>
        <v>0</v>
      </c>
    </row>
    <row r="799" spans="1:31" x14ac:dyDescent="0.45">
      <c r="A799" t="s">
        <v>1562</v>
      </c>
      <c r="B799" t="s">
        <v>1487</v>
      </c>
      <c r="C799" t="s">
        <v>1363</v>
      </c>
      <c r="D799">
        <v>1</v>
      </c>
      <c r="E799" t="s">
        <v>1159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45">
      <c r="A800" t="s">
        <v>1562</v>
      </c>
      <c r="B800" t="s">
        <v>1487</v>
      </c>
      <c r="C800" t="s">
        <v>1363</v>
      </c>
      <c r="D800">
        <v>1</v>
      </c>
      <c r="E800" t="s">
        <v>1160</v>
      </c>
      <c r="K800" t="str">
        <f>IF(ISBLANK(Mitigation_Industry!K343),"",Mitigation_Industry!K343)</f>
        <v/>
      </c>
      <c r="L800">
        <f>IF(ISBLANK(Mitigation_Industry!L343),"",Mitigation_Industry!L343)</f>
        <v>0</v>
      </c>
      <c r="M800">
        <f>IF(ISBLANK(Mitigation_Industry!M343),"",Mitigation_Industry!M343)</f>
        <v>0</v>
      </c>
      <c r="N800">
        <f>IF(ISBLANK(Mitigation_Industry!N343),"",Mitigation_Industry!N343)</f>
        <v>0</v>
      </c>
      <c r="O800">
        <f>IF(ISBLANK(Mitigation_Industry!O343),"",Mitigation_Industry!O343)</f>
        <v>0</v>
      </c>
      <c r="P800">
        <f>IF(ISBLANK(Mitigation_Industry!P343),"",Mitigation_Industry!P343)</f>
        <v>0</v>
      </c>
      <c r="Q800">
        <f>IF(ISBLANK(Mitigation_Industry!Q343),"",Mitigation_Industry!Q343)</f>
        <v>0</v>
      </c>
      <c r="R800">
        <f>IF(ISBLANK(Mitigation_Industry!R343),"",Mitigation_Industry!R343)</f>
        <v>0</v>
      </c>
      <c r="S800">
        <f>IF(ISBLANK(Mitigation_Industry!S343),"",Mitigation_Industry!S343)</f>
        <v>0</v>
      </c>
      <c r="T800">
        <f>IF(ISBLANK(Mitigation_Industry!T343),"",Mitigation_Industry!T343)</f>
        <v>0</v>
      </c>
      <c r="U800">
        <f>IF(ISBLANK(Mitigation_Industry!U343),"",Mitigation_Industry!U343)</f>
        <v>0</v>
      </c>
      <c r="V800">
        <f>IF(ISBLANK(Mitigation_Industry!V343),"",Mitigation_Industry!V343)</f>
        <v>0</v>
      </c>
      <c r="W800">
        <f>IF(ISBLANK(Mitigation_Industry!W343),"",Mitigation_Industry!W343)</f>
        <v>0</v>
      </c>
      <c r="X800">
        <f>IF(ISBLANK(Mitigation_Industry!X343),"",Mitigation_Industry!X343)</f>
        <v>0</v>
      </c>
      <c r="Y800">
        <f>IF(ISBLANK(Mitigation_Industry!Y343),"",Mitigation_Industry!Y343)</f>
        <v>0</v>
      </c>
      <c r="Z800">
        <f>IF(ISBLANK(Mitigation_Industry!Z343),"",Mitigation_Industry!Z343)</f>
        <v>0</v>
      </c>
      <c r="AA800">
        <f>IF(ISBLANK(Mitigation_Industry!AA343),"",Mitigation_Industry!AA343)</f>
        <v>0</v>
      </c>
      <c r="AB800">
        <f>IF(ISBLANK(Mitigation_Industry!AB343),"",Mitigation_Industry!AB343)</f>
        <v>0</v>
      </c>
      <c r="AC800">
        <f>IF(ISBLANK(Mitigation_Industry!AC343),"",Mitigation_Industry!AC343)</f>
        <v>0</v>
      </c>
      <c r="AD800">
        <f>IF(ISBLANK(Mitigation_Industry!AD343),"",Mitigation_Industry!AD343)</f>
        <v>0</v>
      </c>
      <c r="AE800">
        <f>IF(ISBLANK(Mitigation_Industry!AE343),"",Mitigation_Industry!AE343)</f>
        <v>0</v>
      </c>
    </row>
    <row r="801" spans="1:31" x14ac:dyDescent="0.45">
      <c r="A801" t="s">
        <v>1562</v>
      </c>
      <c r="B801" t="s">
        <v>1487</v>
      </c>
      <c r="C801" t="s">
        <v>1363</v>
      </c>
      <c r="D801">
        <v>1</v>
      </c>
      <c r="E801" t="s">
        <v>1161</v>
      </c>
      <c r="F801">
        <f>MAX(MAX(L801:AE801),-MIN(L801:AE801))</f>
        <v>0</v>
      </c>
      <c r="I801" t="s">
        <v>1509</v>
      </c>
      <c r="K801">
        <f t="shared" ref="K801:AE801" si="197">IF(ISNUMBER(K799),IF(ISNUMBER(K800),K800-K799,999999),0)</f>
        <v>0</v>
      </c>
      <c r="L801">
        <f t="shared" si="197"/>
        <v>0</v>
      </c>
      <c r="M801">
        <f t="shared" si="197"/>
        <v>0</v>
      </c>
      <c r="N801">
        <f t="shared" si="197"/>
        <v>0</v>
      </c>
      <c r="O801">
        <f t="shared" si="197"/>
        <v>0</v>
      </c>
      <c r="P801">
        <f t="shared" si="197"/>
        <v>0</v>
      </c>
      <c r="Q801">
        <f t="shared" si="197"/>
        <v>0</v>
      </c>
      <c r="R801">
        <f t="shared" si="197"/>
        <v>0</v>
      </c>
      <c r="S801">
        <f t="shared" si="197"/>
        <v>0</v>
      </c>
      <c r="T801">
        <f t="shared" si="197"/>
        <v>0</v>
      </c>
      <c r="U801">
        <f t="shared" si="197"/>
        <v>0</v>
      </c>
      <c r="V801">
        <f t="shared" si="197"/>
        <v>0</v>
      </c>
      <c r="W801">
        <f t="shared" si="197"/>
        <v>0</v>
      </c>
      <c r="X801">
        <f t="shared" si="197"/>
        <v>0</v>
      </c>
      <c r="Y801">
        <f t="shared" si="197"/>
        <v>0</v>
      </c>
      <c r="Z801">
        <f t="shared" si="197"/>
        <v>0</v>
      </c>
      <c r="AA801">
        <f t="shared" si="197"/>
        <v>0</v>
      </c>
      <c r="AB801">
        <f t="shared" si="197"/>
        <v>0</v>
      </c>
      <c r="AC801">
        <f t="shared" si="197"/>
        <v>0</v>
      </c>
      <c r="AD801">
        <f t="shared" si="197"/>
        <v>0</v>
      </c>
      <c r="AE801">
        <f t="shared" si="197"/>
        <v>0</v>
      </c>
    </row>
    <row r="803" spans="1:31" x14ac:dyDescent="0.45">
      <c r="A803" t="s">
        <v>1563</v>
      </c>
      <c r="B803" t="s">
        <v>1487</v>
      </c>
      <c r="C803" t="s">
        <v>1369</v>
      </c>
      <c r="D803">
        <v>1</v>
      </c>
      <c r="E803" t="s">
        <v>1159</v>
      </c>
      <c r="L803">
        <v>24.646491529759945</v>
      </c>
      <c r="M803">
        <v>25.459825750242022</v>
      </c>
      <c r="N803">
        <v>26.3</v>
      </c>
      <c r="O803">
        <v>27.167899999999999</v>
      </c>
      <c r="P803">
        <v>28.064440699999995</v>
      </c>
      <c r="Q803">
        <v>28.990567243099992</v>
      </c>
      <c r="R803">
        <v>29.947255962122291</v>
      </c>
      <c r="S803">
        <v>30.935515408872323</v>
      </c>
      <c r="T803">
        <v>31.956387417365111</v>
      </c>
      <c r="U803">
        <v>33.010948202138152</v>
      </c>
      <c r="V803">
        <v>34.100309492808705</v>
      </c>
      <c r="W803">
        <v>35.225619706071399</v>
      </c>
      <c r="X803">
        <v>36.388065156371745</v>
      </c>
      <c r="Y803">
        <v>37.588871306532013</v>
      </c>
      <c r="Z803">
        <v>38.829304059647569</v>
      </c>
      <c r="AA803">
        <v>40.110671093615935</v>
      </c>
      <c r="AB803">
        <v>41.434323239705257</v>
      </c>
      <c r="AC803">
        <v>42.801655906615522</v>
      </c>
      <c r="AD803">
        <v>44.214110551533835</v>
      </c>
      <c r="AE803">
        <v>45.673176199734449</v>
      </c>
    </row>
    <row r="804" spans="1:31" x14ac:dyDescent="0.45">
      <c r="A804" t="s">
        <v>1563</v>
      </c>
      <c r="B804" t="s">
        <v>1487</v>
      </c>
      <c r="C804" t="s">
        <v>1369</v>
      </c>
      <c r="D804">
        <v>1</v>
      </c>
      <c r="E804" t="s">
        <v>1160</v>
      </c>
      <c r="K804" t="str">
        <f>IF(ISBLANK(Mitigation_Industry!K344),"",Mitigation_Industry!K344)</f>
        <v/>
      </c>
      <c r="L804">
        <f>IF(ISBLANK(Mitigation_Industry!L344),"",Mitigation_Industry!L344)</f>
        <v>24.646491529759945</v>
      </c>
      <c r="M804">
        <f>IF(ISBLANK(Mitigation_Industry!M344),"",Mitigation_Industry!M344)</f>
        <v>25.459825750242022</v>
      </c>
      <c r="N804">
        <f>IF(ISBLANK(Mitigation_Industry!N344),"",Mitigation_Industry!N344)</f>
        <v>26.3</v>
      </c>
      <c r="O804">
        <f>IF(ISBLANK(Mitigation_Industry!O344),"",Mitigation_Industry!O344)</f>
        <v>27.167899999999999</v>
      </c>
      <c r="P804">
        <f>IF(ISBLANK(Mitigation_Industry!P344),"",Mitigation_Industry!P344)</f>
        <v>28.064440699999995</v>
      </c>
      <c r="Q804">
        <f>IF(ISBLANK(Mitigation_Industry!Q344),"",Mitigation_Industry!Q344)</f>
        <v>28.990567243099992</v>
      </c>
      <c r="R804">
        <f>IF(ISBLANK(Mitigation_Industry!R344),"",Mitigation_Industry!R344)</f>
        <v>29.947255962122291</v>
      </c>
      <c r="S804">
        <f>IF(ISBLANK(Mitigation_Industry!S344),"",Mitigation_Industry!S344)</f>
        <v>30.935515408872323</v>
      </c>
      <c r="T804">
        <f>IF(ISBLANK(Mitigation_Industry!T344),"",Mitigation_Industry!T344)</f>
        <v>31.956387417365111</v>
      </c>
      <c r="U804">
        <f>IF(ISBLANK(Mitigation_Industry!U344),"",Mitigation_Industry!U344)</f>
        <v>33.010948202138152</v>
      </c>
      <c r="V804">
        <f>IF(ISBLANK(Mitigation_Industry!V344),"",Mitigation_Industry!V344)</f>
        <v>34.100309492808705</v>
      </c>
      <c r="W804">
        <f>IF(ISBLANK(Mitigation_Industry!W344),"",Mitigation_Industry!W344)</f>
        <v>35.225619706071399</v>
      </c>
      <c r="X804">
        <f>IF(ISBLANK(Mitigation_Industry!X344),"",Mitigation_Industry!X344)</f>
        <v>36.388065156371745</v>
      </c>
      <c r="Y804">
        <f>IF(ISBLANK(Mitigation_Industry!Y344),"",Mitigation_Industry!Y344)</f>
        <v>37.588871306532013</v>
      </c>
      <c r="Z804">
        <f>IF(ISBLANK(Mitigation_Industry!Z344),"",Mitigation_Industry!Z344)</f>
        <v>38.829304059647569</v>
      </c>
      <c r="AA804">
        <f>IF(ISBLANK(Mitigation_Industry!AA344),"",Mitigation_Industry!AA344)</f>
        <v>40.110671093615935</v>
      </c>
      <c r="AB804">
        <f>IF(ISBLANK(Mitigation_Industry!AB344),"",Mitigation_Industry!AB344)</f>
        <v>41.434323239705257</v>
      </c>
      <c r="AC804">
        <f>IF(ISBLANK(Mitigation_Industry!AC344),"",Mitigation_Industry!AC344)</f>
        <v>42.801655906615522</v>
      </c>
      <c r="AD804">
        <f>IF(ISBLANK(Mitigation_Industry!AD344),"",Mitigation_Industry!AD344)</f>
        <v>44.214110551533835</v>
      </c>
      <c r="AE804">
        <f>IF(ISBLANK(Mitigation_Industry!AE344),"",Mitigation_Industry!AE344)</f>
        <v>45.673176199734449</v>
      </c>
    </row>
    <row r="805" spans="1:31" x14ac:dyDescent="0.45">
      <c r="A805" t="s">
        <v>1563</v>
      </c>
      <c r="B805" t="s">
        <v>1487</v>
      </c>
      <c r="C805" t="s">
        <v>1369</v>
      </c>
      <c r="D805">
        <v>1</v>
      </c>
      <c r="E805" t="s">
        <v>1161</v>
      </c>
      <c r="F805">
        <f>MAX(MAX(L805:AE805),-MIN(L805:AE805))</f>
        <v>0</v>
      </c>
      <c r="I805" t="s">
        <v>1509</v>
      </c>
      <c r="K805">
        <f t="shared" ref="K805:AE805" si="198">IF(ISNUMBER(K803),IF(ISNUMBER(K804),K804-K803,999999),0)</f>
        <v>0</v>
      </c>
      <c r="L805">
        <f t="shared" si="198"/>
        <v>0</v>
      </c>
      <c r="M805">
        <f t="shared" si="198"/>
        <v>0</v>
      </c>
      <c r="N805">
        <f t="shared" si="198"/>
        <v>0</v>
      </c>
      <c r="O805">
        <f t="shared" si="198"/>
        <v>0</v>
      </c>
      <c r="P805">
        <f t="shared" si="198"/>
        <v>0</v>
      </c>
      <c r="Q805">
        <f t="shared" si="198"/>
        <v>0</v>
      </c>
      <c r="R805">
        <f t="shared" si="198"/>
        <v>0</v>
      </c>
      <c r="S805">
        <f t="shared" si="198"/>
        <v>0</v>
      </c>
      <c r="T805">
        <f t="shared" si="198"/>
        <v>0</v>
      </c>
      <c r="U805">
        <f t="shared" si="198"/>
        <v>0</v>
      </c>
      <c r="V805">
        <f t="shared" si="198"/>
        <v>0</v>
      </c>
      <c r="W805">
        <f t="shared" si="198"/>
        <v>0</v>
      </c>
      <c r="X805">
        <f t="shared" si="198"/>
        <v>0</v>
      </c>
      <c r="Y805">
        <f t="shared" si="198"/>
        <v>0</v>
      </c>
      <c r="Z805">
        <f t="shared" si="198"/>
        <v>0</v>
      </c>
      <c r="AA805">
        <f t="shared" si="198"/>
        <v>0</v>
      </c>
      <c r="AB805">
        <f t="shared" si="198"/>
        <v>0</v>
      </c>
      <c r="AC805">
        <f t="shared" si="198"/>
        <v>0</v>
      </c>
      <c r="AD805">
        <f t="shared" si="198"/>
        <v>0</v>
      </c>
      <c r="AE805">
        <f t="shared" si="198"/>
        <v>0</v>
      </c>
    </row>
    <row r="807" spans="1:31" x14ac:dyDescent="0.45">
      <c r="A807" t="s">
        <v>1564</v>
      </c>
      <c r="B807" t="s">
        <v>1487</v>
      </c>
      <c r="C807" t="s">
        <v>1442</v>
      </c>
      <c r="D807">
        <v>1</v>
      </c>
      <c r="E807" t="s">
        <v>1159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45">
      <c r="A808" t="s">
        <v>1564</v>
      </c>
      <c r="B808" t="s">
        <v>1487</v>
      </c>
      <c r="C808" t="s">
        <v>1442</v>
      </c>
      <c r="D808">
        <v>1</v>
      </c>
      <c r="E808" t="s">
        <v>1160</v>
      </c>
      <c r="K808" t="str">
        <f>IF(ISBLANK(Mitigation_Industry!K345),"",Mitigation_Industry!K345)</f>
        <v/>
      </c>
      <c r="L808">
        <f>IF(ISBLANK(Mitigation_Industry!L345),"",Mitigation_Industry!L345)</f>
        <v>0</v>
      </c>
      <c r="M808">
        <f>IF(ISBLANK(Mitigation_Industry!M345),"",Mitigation_Industry!M345)</f>
        <v>0</v>
      </c>
      <c r="N808">
        <f>IF(ISBLANK(Mitigation_Industry!N345),"",Mitigation_Industry!N345)</f>
        <v>0</v>
      </c>
      <c r="O808">
        <f>IF(ISBLANK(Mitigation_Industry!O345),"",Mitigation_Industry!O345)</f>
        <v>0</v>
      </c>
      <c r="P808">
        <f>IF(ISBLANK(Mitigation_Industry!P345),"",Mitigation_Industry!P345)</f>
        <v>0</v>
      </c>
      <c r="Q808">
        <f>IF(ISBLANK(Mitigation_Industry!Q345),"",Mitigation_Industry!Q345)</f>
        <v>0</v>
      </c>
      <c r="R808">
        <f>IF(ISBLANK(Mitigation_Industry!R345),"",Mitigation_Industry!R345)</f>
        <v>0</v>
      </c>
      <c r="S808">
        <f>IF(ISBLANK(Mitigation_Industry!S345),"",Mitigation_Industry!S345)</f>
        <v>0</v>
      </c>
      <c r="T808">
        <f>IF(ISBLANK(Mitigation_Industry!T345),"",Mitigation_Industry!T345)</f>
        <v>0</v>
      </c>
      <c r="U808">
        <f>IF(ISBLANK(Mitigation_Industry!U345),"",Mitigation_Industry!U345)</f>
        <v>0</v>
      </c>
      <c r="V808">
        <f>IF(ISBLANK(Mitigation_Industry!V345),"",Mitigation_Industry!V345)</f>
        <v>0</v>
      </c>
      <c r="W808">
        <f>IF(ISBLANK(Mitigation_Industry!W345),"",Mitigation_Industry!W345)</f>
        <v>0</v>
      </c>
      <c r="X808">
        <f>IF(ISBLANK(Mitigation_Industry!X345),"",Mitigation_Industry!X345)</f>
        <v>0</v>
      </c>
      <c r="Y808">
        <f>IF(ISBLANK(Mitigation_Industry!Y345),"",Mitigation_Industry!Y345)</f>
        <v>0</v>
      </c>
      <c r="Z808">
        <f>IF(ISBLANK(Mitigation_Industry!Z345),"",Mitigation_Industry!Z345)</f>
        <v>0</v>
      </c>
      <c r="AA808">
        <f>IF(ISBLANK(Mitigation_Industry!AA345),"",Mitigation_Industry!AA345)</f>
        <v>0</v>
      </c>
      <c r="AB808">
        <f>IF(ISBLANK(Mitigation_Industry!AB345),"",Mitigation_Industry!AB345)</f>
        <v>0</v>
      </c>
      <c r="AC808">
        <f>IF(ISBLANK(Mitigation_Industry!AC345),"",Mitigation_Industry!AC345)</f>
        <v>0</v>
      </c>
      <c r="AD808">
        <f>IF(ISBLANK(Mitigation_Industry!AD345),"",Mitigation_Industry!AD345)</f>
        <v>0</v>
      </c>
      <c r="AE808">
        <f>IF(ISBLANK(Mitigation_Industry!AE345),"",Mitigation_Industry!AE345)</f>
        <v>0</v>
      </c>
    </row>
    <row r="809" spans="1:31" x14ac:dyDescent="0.45">
      <c r="A809" t="s">
        <v>1564</v>
      </c>
      <c r="B809" t="s">
        <v>1487</v>
      </c>
      <c r="C809" t="s">
        <v>1442</v>
      </c>
      <c r="D809">
        <v>1</v>
      </c>
      <c r="E809" t="s">
        <v>1161</v>
      </c>
      <c r="F809">
        <f>MAX(MAX(L809:AE809),-MIN(L809:AE809))</f>
        <v>0</v>
      </c>
      <c r="I809" t="s">
        <v>1509</v>
      </c>
      <c r="K809">
        <f t="shared" ref="K809:AE809" si="199">IF(ISNUMBER(K807),IF(ISNUMBER(K808),K808-K807,999999),0)</f>
        <v>0</v>
      </c>
      <c r="L809">
        <f t="shared" si="199"/>
        <v>0</v>
      </c>
      <c r="M809">
        <f t="shared" si="199"/>
        <v>0</v>
      </c>
      <c r="N809">
        <f t="shared" si="199"/>
        <v>0</v>
      </c>
      <c r="O809">
        <f t="shared" si="199"/>
        <v>0</v>
      </c>
      <c r="P809">
        <f t="shared" si="199"/>
        <v>0</v>
      </c>
      <c r="Q809">
        <f t="shared" si="199"/>
        <v>0</v>
      </c>
      <c r="R809">
        <f t="shared" si="199"/>
        <v>0</v>
      </c>
      <c r="S809">
        <f t="shared" si="199"/>
        <v>0</v>
      </c>
      <c r="T809">
        <f t="shared" si="199"/>
        <v>0</v>
      </c>
      <c r="U809">
        <f t="shared" si="199"/>
        <v>0</v>
      </c>
      <c r="V809">
        <f t="shared" si="199"/>
        <v>0</v>
      </c>
      <c r="W809">
        <f t="shared" si="199"/>
        <v>0</v>
      </c>
      <c r="X809">
        <f t="shared" si="199"/>
        <v>0</v>
      </c>
      <c r="Y809">
        <f t="shared" si="199"/>
        <v>0</v>
      </c>
      <c r="Z809">
        <f t="shared" si="199"/>
        <v>0</v>
      </c>
      <c r="AA809">
        <f t="shared" si="199"/>
        <v>0</v>
      </c>
      <c r="AB809">
        <f t="shared" si="199"/>
        <v>0</v>
      </c>
      <c r="AC809">
        <f t="shared" si="199"/>
        <v>0</v>
      </c>
      <c r="AD809">
        <f t="shared" si="199"/>
        <v>0</v>
      </c>
      <c r="AE809">
        <f t="shared" si="199"/>
        <v>0</v>
      </c>
    </row>
    <row r="811" spans="1:31" x14ac:dyDescent="0.45">
      <c r="A811" t="s">
        <v>1565</v>
      </c>
      <c r="B811" t="s">
        <v>1487</v>
      </c>
      <c r="C811" t="s">
        <v>1383</v>
      </c>
      <c r="D811">
        <v>1</v>
      </c>
      <c r="E811" t="s">
        <v>1159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45">
      <c r="A812" t="s">
        <v>1565</v>
      </c>
      <c r="B812" t="s">
        <v>1487</v>
      </c>
      <c r="C812" t="s">
        <v>1383</v>
      </c>
      <c r="D812">
        <v>1</v>
      </c>
      <c r="E812" t="s">
        <v>1160</v>
      </c>
      <c r="K812" t="str">
        <f>IF(ISBLANK(Mitigation_Industry!K346),"",Mitigation_Industry!K346)</f>
        <v/>
      </c>
      <c r="L812">
        <f>IF(ISBLANK(Mitigation_Industry!L346),"",Mitigation_Industry!L346)</f>
        <v>0</v>
      </c>
      <c r="M812">
        <f>IF(ISBLANK(Mitigation_Industry!M346),"",Mitigation_Industry!M346)</f>
        <v>0</v>
      </c>
      <c r="N812">
        <f>IF(ISBLANK(Mitigation_Industry!N346),"",Mitigation_Industry!N346)</f>
        <v>0</v>
      </c>
      <c r="O812">
        <f>IF(ISBLANK(Mitigation_Industry!O346),"",Mitigation_Industry!O346)</f>
        <v>0</v>
      </c>
      <c r="P812">
        <f>IF(ISBLANK(Mitigation_Industry!P346),"",Mitigation_Industry!P346)</f>
        <v>0</v>
      </c>
      <c r="Q812">
        <f>IF(ISBLANK(Mitigation_Industry!Q346),"",Mitigation_Industry!Q346)</f>
        <v>0</v>
      </c>
      <c r="R812">
        <f>IF(ISBLANK(Mitigation_Industry!R346),"",Mitigation_Industry!R346)</f>
        <v>0</v>
      </c>
      <c r="S812">
        <f>IF(ISBLANK(Mitigation_Industry!S346),"",Mitigation_Industry!S346)</f>
        <v>0</v>
      </c>
      <c r="T812">
        <f>IF(ISBLANK(Mitigation_Industry!T346),"",Mitigation_Industry!T346)</f>
        <v>0</v>
      </c>
      <c r="U812">
        <f>IF(ISBLANK(Mitigation_Industry!U346),"",Mitigation_Industry!U346)</f>
        <v>0</v>
      </c>
      <c r="V812">
        <f>IF(ISBLANK(Mitigation_Industry!V346),"",Mitigation_Industry!V346)</f>
        <v>0</v>
      </c>
      <c r="W812">
        <f>IF(ISBLANK(Mitigation_Industry!W346),"",Mitigation_Industry!W346)</f>
        <v>0</v>
      </c>
      <c r="X812">
        <f>IF(ISBLANK(Mitigation_Industry!X346),"",Mitigation_Industry!X346)</f>
        <v>0</v>
      </c>
      <c r="Y812">
        <f>IF(ISBLANK(Mitigation_Industry!Y346),"",Mitigation_Industry!Y346)</f>
        <v>0</v>
      </c>
      <c r="Z812">
        <f>IF(ISBLANK(Mitigation_Industry!Z346),"",Mitigation_Industry!Z346)</f>
        <v>0</v>
      </c>
      <c r="AA812">
        <f>IF(ISBLANK(Mitigation_Industry!AA346),"",Mitigation_Industry!AA346)</f>
        <v>0</v>
      </c>
      <c r="AB812">
        <f>IF(ISBLANK(Mitigation_Industry!AB346),"",Mitigation_Industry!AB346)</f>
        <v>0</v>
      </c>
      <c r="AC812">
        <f>IF(ISBLANK(Mitigation_Industry!AC346),"",Mitigation_Industry!AC346)</f>
        <v>0</v>
      </c>
      <c r="AD812">
        <f>IF(ISBLANK(Mitigation_Industry!AD346),"",Mitigation_Industry!AD346)</f>
        <v>0</v>
      </c>
      <c r="AE812">
        <f>IF(ISBLANK(Mitigation_Industry!AE346),"",Mitigation_Industry!AE346)</f>
        <v>0</v>
      </c>
    </row>
    <row r="813" spans="1:31" x14ac:dyDescent="0.45">
      <c r="A813" t="s">
        <v>1565</v>
      </c>
      <c r="B813" t="s">
        <v>1487</v>
      </c>
      <c r="C813" t="s">
        <v>1383</v>
      </c>
      <c r="D813">
        <v>1</v>
      </c>
      <c r="E813" t="s">
        <v>1161</v>
      </c>
      <c r="F813">
        <f>MAX(MAX(L813:AE813),-MIN(L813:AE813))</f>
        <v>0</v>
      </c>
      <c r="I813" t="s">
        <v>1509</v>
      </c>
      <c r="K813">
        <f t="shared" ref="K813:AE813" si="200">IF(ISNUMBER(K811),IF(ISNUMBER(K812),K812-K811,999999),0)</f>
        <v>0</v>
      </c>
      <c r="L813">
        <f t="shared" si="200"/>
        <v>0</v>
      </c>
      <c r="M813">
        <f t="shared" si="200"/>
        <v>0</v>
      </c>
      <c r="N813">
        <f t="shared" si="200"/>
        <v>0</v>
      </c>
      <c r="O813">
        <f t="shared" si="200"/>
        <v>0</v>
      </c>
      <c r="P813">
        <f t="shared" si="200"/>
        <v>0</v>
      </c>
      <c r="Q813">
        <f t="shared" si="200"/>
        <v>0</v>
      </c>
      <c r="R813">
        <f t="shared" si="200"/>
        <v>0</v>
      </c>
      <c r="S813">
        <f t="shared" si="200"/>
        <v>0</v>
      </c>
      <c r="T813">
        <f t="shared" si="200"/>
        <v>0</v>
      </c>
      <c r="U813">
        <f t="shared" si="200"/>
        <v>0</v>
      </c>
      <c r="V813">
        <f t="shared" si="200"/>
        <v>0</v>
      </c>
      <c r="W813">
        <f t="shared" si="200"/>
        <v>0</v>
      </c>
      <c r="X813">
        <f t="shared" si="200"/>
        <v>0</v>
      </c>
      <c r="Y813">
        <f t="shared" si="200"/>
        <v>0</v>
      </c>
      <c r="Z813">
        <f t="shared" si="200"/>
        <v>0</v>
      </c>
      <c r="AA813">
        <f t="shared" si="200"/>
        <v>0</v>
      </c>
      <c r="AB813">
        <f t="shared" si="200"/>
        <v>0</v>
      </c>
      <c r="AC813">
        <f t="shared" si="200"/>
        <v>0</v>
      </c>
      <c r="AD813">
        <f t="shared" si="200"/>
        <v>0</v>
      </c>
      <c r="AE813">
        <f t="shared" si="200"/>
        <v>0</v>
      </c>
    </row>
    <row r="815" spans="1:31" x14ac:dyDescent="0.45">
      <c r="A815" t="s">
        <v>1566</v>
      </c>
      <c r="B815" t="s">
        <v>1487</v>
      </c>
      <c r="C815" t="s">
        <v>1390</v>
      </c>
      <c r="D815">
        <v>1</v>
      </c>
      <c r="E815" t="s">
        <v>1159</v>
      </c>
      <c r="L815">
        <v>0.55721293959505358</v>
      </c>
      <c r="M815">
        <v>0.56947162426614473</v>
      </c>
      <c r="N815">
        <v>0.58199999999999996</v>
      </c>
      <c r="O815">
        <v>0.594804</v>
      </c>
      <c r="P815">
        <v>0.60788968800000009</v>
      </c>
      <c r="Q815">
        <v>0.62126326113599994</v>
      </c>
      <c r="R815">
        <v>0.63493105288099194</v>
      </c>
      <c r="S815">
        <v>0.64889953604437378</v>
      </c>
      <c r="T815">
        <v>0.66317532583735006</v>
      </c>
      <c r="U815">
        <v>0.67776518300577182</v>
      </c>
      <c r="V815">
        <v>0.69267601703189885</v>
      </c>
      <c r="W815">
        <v>0.70791488940660052</v>
      </c>
      <c r="X815">
        <v>0.72348901697354573</v>
      </c>
      <c r="Y815">
        <v>0.73940577534696372</v>
      </c>
      <c r="Z815">
        <v>0.75567270240459705</v>
      </c>
      <c r="AA815">
        <v>0.77229750185749824</v>
      </c>
      <c r="AB815">
        <v>0.78928804689836318</v>
      </c>
      <c r="AC815">
        <v>0.80665238393012717</v>
      </c>
      <c r="AD815">
        <v>0.82439873637659</v>
      </c>
      <c r="AE815">
        <v>0.84253550857687498</v>
      </c>
    </row>
    <row r="816" spans="1:31" x14ac:dyDescent="0.45">
      <c r="A816" t="s">
        <v>1566</v>
      </c>
      <c r="B816" t="s">
        <v>1487</v>
      </c>
      <c r="C816" t="s">
        <v>1390</v>
      </c>
      <c r="D816">
        <v>1</v>
      </c>
      <c r="E816" t="s">
        <v>1160</v>
      </c>
      <c r="K816" t="str">
        <f>IF(ISBLANK(Mitigation_Industry!K347),"",Mitigation_Industry!K347)</f>
        <v/>
      </c>
      <c r="L816">
        <f>IF(ISBLANK(Mitigation_Industry!L347),"",Mitigation_Industry!L347)</f>
        <v>0.55721293959505358</v>
      </c>
      <c r="M816">
        <f>IF(ISBLANK(Mitigation_Industry!M347),"",Mitigation_Industry!M347)</f>
        <v>0.56947162426614473</v>
      </c>
      <c r="N816">
        <f>IF(ISBLANK(Mitigation_Industry!N347),"",Mitigation_Industry!N347)</f>
        <v>0.58199999999999996</v>
      </c>
      <c r="O816">
        <f>IF(ISBLANK(Mitigation_Industry!O347),"",Mitigation_Industry!O347)</f>
        <v>0.594804</v>
      </c>
      <c r="P816">
        <f>IF(ISBLANK(Mitigation_Industry!P347),"",Mitigation_Industry!P347)</f>
        <v>0.60788968800000009</v>
      </c>
      <c r="Q816">
        <f>IF(ISBLANK(Mitigation_Industry!Q347),"",Mitigation_Industry!Q347)</f>
        <v>0.62126326113599994</v>
      </c>
      <c r="R816">
        <f>IF(ISBLANK(Mitigation_Industry!R347),"",Mitigation_Industry!R347)</f>
        <v>0.63493105288099194</v>
      </c>
      <c r="S816">
        <f>IF(ISBLANK(Mitigation_Industry!S347),"",Mitigation_Industry!S347)</f>
        <v>0.64889953604437378</v>
      </c>
      <c r="T816">
        <f>IF(ISBLANK(Mitigation_Industry!T347),"",Mitigation_Industry!T347)</f>
        <v>0.66317532583735006</v>
      </c>
      <c r="U816">
        <f>IF(ISBLANK(Mitigation_Industry!U347),"",Mitigation_Industry!U347)</f>
        <v>0.67776518300577182</v>
      </c>
      <c r="V816">
        <f>IF(ISBLANK(Mitigation_Industry!V347),"",Mitigation_Industry!V347)</f>
        <v>0.69267601703189885</v>
      </c>
      <c r="W816">
        <f>IF(ISBLANK(Mitigation_Industry!W347),"",Mitigation_Industry!W347)</f>
        <v>0.70791488940660052</v>
      </c>
      <c r="X816">
        <f>IF(ISBLANK(Mitigation_Industry!X347),"",Mitigation_Industry!X347)</f>
        <v>0.72348901697354573</v>
      </c>
      <c r="Y816">
        <f>IF(ISBLANK(Mitigation_Industry!Y347),"",Mitigation_Industry!Y347)</f>
        <v>0.73940577534696372</v>
      </c>
      <c r="Z816">
        <f>IF(ISBLANK(Mitigation_Industry!Z347),"",Mitigation_Industry!Z347)</f>
        <v>0.75567270240459705</v>
      </c>
      <c r="AA816">
        <f>IF(ISBLANK(Mitigation_Industry!AA347),"",Mitigation_Industry!AA347)</f>
        <v>0.77229750185749824</v>
      </c>
      <c r="AB816">
        <f>IF(ISBLANK(Mitigation_Industry!AB347),"",Mitigation_Industry!AB347)</f>
        <v>0.78928804689836318</v>
      </c>
      <c r="AC816">
        <f>IF(ISBLANK(Mitigation_Industry!AC347),"",Mitigation_Industry!AC347)</f>
        <v>0.80665238393012717</v>
      </c>
      <c r="AD816">
        <f>IF(ISBLANK(Mitigation_Industry!AD347),"",Mitigation_Industry!AD347)</f>
        <v>0.82439873637659</v>
      </c>
      <c r="AE816">
        <f>IF(ISBLANK(Mitigation_Industry!AE347),"",Mitigation_Industry!AE347)</f>
        <v>0.84253550857687498</v>
      </c>
    </row>
    <row r="817" spans="1:31" x14ac:dyDescent="0.45">
      <c r="A817" t="s">
        <v>1566</v>
      </c>
      <c r="B817" t="s">
        <v>1487</v>
      </c>
      <c r="C817" t="s">
        <v>1390</v>
      </c>
      <c r="D817">
        <v>1</v>
      </c>
      <c r="E817" t="s">
        <v>1161</v>
      </c>
      <c r="F817">
        <f>MAX(MAX(L817:AE817),-MIN(L817:AE817))</f>
        <v>0</v>
      </c>
      <c r="I817" t="s">
        <v>1509</v>
      </c>
      <c r="K817">
        <f t="shared" ref="K817:AE817" si="201">IF(ISNUMBER(K815),IF(ISNUMBER(K816),K816-K815,999999),0)</f>
        <v>0</v>
      </c>
      <c r="L817">
        <f t="shared" si="201"/>
        <v>0</v>
      </c>
      <c r="M817">
        <f t="shared" si="201"/>
        <v>0</v>
      </c>
      <c r="N817">
        <f t="shared" si="201"/>
        <v>0</v>
      </c>
      <c r="O817">
        <f t="shared" si="201"/>
        <v>0</v>
      </c>
      <c r="P817">
        <f t="shared" si="201"/>
        <v>0</v>
      </c>
      <c r="Q817">
        <f t="shared" si="201"/>
        <v>0</v>
      </c>
      <c r="R817">
        <f t="shared" si="201"/>
        <v>0</v>
      </c>
      <c r="S817">
        <f t="shared" si="201"/>
        <v>0</v>
      </c>
      <c r="T817">
        <f t="shared" si="201"/>
        <v>0</v>
      </c>
      <c r="U817">
        <f t="shared" si="201"/>
        <v>0</v>
      </c>
      <c r="V817">
        <f t="shared" si="201"/>
        <v>0</v>
      </c>
      <c r="W817">
        <f t="shared" si="201"/>
        <v>0</v>
      </c>
      <c r="X817">
        <f t="shared" si="201"/>
        <v>0</v>
      </c>
      <c r="Y817">
        <f t="shared" si="201"/>
        <v>0</v>
      </c>
      <c r="Z817">
        <f t="shared" si="201"/>
        <v>0</v>
      </c>
      <c r="AA817">
        <f t="shared" si="201"/>
        <v>0</v>
      </c>
      <c r="AB817">
        <f t="shared" si="201"/>
        <v>0</v>
      </c>
      <c r="AC817">
        <f t="shared" si="201"/>
        <v>0</v>
      </c>
      <c r="AD817">
        <f t="shared" si="201"/>
        <v>0</v>
      </c>
      <c r="AE817">
        <f t="shared" si="201"/>
        <v>0</v>
      </c>
    </row>
    <row r="819" spans="1:31" x14ac:dyDescent="0.45">
      <c r="A819" t="s">
        <v>1567</v>
      </c>
      <c r="B819" t="s">
        <v>1487</v>
      </c>
      <c r="C819" t="s">
        <v>1397</v>
      </c>
      <c r="D819">
        <v>1</v>
      </c>
      <c r="E819" t="s">
        <v>1159</v>
      </c>
      <c r="L819">
        <v>0.63340895307832257</v>
      </c>
      <c r="M819">
        <v>0.66824644549763035</v>
      </c>
      <c r="N819">
        <v>0.70499999999999996</v>
      </c>
      <c r="O819">
        <v>0.74377499999999996</v>
      </c>
      <c r="P819">
        <v>0.78468262499999997</v>
      </c>
      <c r="Q819">
        <v>0.82784016937499993</v>
      </c>
      <c r="R819">
        <v>0.87337137869062498</v>
      </c>
      <c r="S819">
        <v>0.92140680451860935</v>
      </c>
      <c r="T819">
        <v>0.97208417876713282</v>
      </c>
      <c r="U819">
        <v>1.025548808599325</v>
      </c>
      <c r="V819">
        <v>1.0819539930722879</v>
      </c>
      <c r="W819">
        <v>1.1414614626912638</v>
      </c>
      <c r="X819">
        <v>1.2042418431392832</v>
      </c>
      <c r="Y819">
        <v>1.2704751445119435</v>
      </c>
      <c r="Z819">
        <v>1.3403512774601003</v>
      </c>
      <c r="AA819">
        <v>1.4140705977204062</v>
      </c>
      <c r="AB819">
        <v>1.4918444805950282</v>
      </c>
      <c r="AC819">
        <v>1.5738959270277546</v>
      </c>
      <c r="AD819">
        <v>1.660460203014281</v>
      </c>
      <c r="AE819">
        <v>1.7517855141800662</v>
      </c>
    </row>
    <row r="820" spans="1:31" x14ac:dyDescent="0.45">
      <c r="A820" t="s">
        <v>1567</v>
      </c>
      <c r="B820" t="s">
        <v>1487</v>
      </c>
      <c r="C820" t="s">
        <v>1397</v>
      </c>
      <c r="D820">
        <v>1</v>
      </c>
      <c r="E820" t="s">
        <v>1160</v>
      </c>
      <c r="K820" t="str">
        <f>IF(ISBLANK(Mitigation_Industry!K348),"",Mitigation_Industry!K348)</f>
        <v/>
      </c>
      <c r="L820">
        <f>IF(ISBLANK(Mitigation_Industry!L348),"",Mitigation_Industry!L348)</f>
        <v>0.63340895307832257</v>
      </c>
      <c r="M820">
        <f>IF(ISBLANK(Mitigation_Industry!M348),"",Mitigation_Industry!M348)</f>
        <v>0.66824644549763035</v>
      </c>
      <c r="N820">
        <f>IF(ISBLANK(Mitigation_Industry!N348),"",Mitigation_Industry!N348)</f>
        <v>0.70499999999999996</v>
      </c>
      <c r="O820">
        <f>IF(ISBLANK(Mitigation_Industry!O348),"",Mitigation_Industry!O348)</f>
        <v>0.74377499999999996</v>
      </c>
      <c r="P820">
        <f>IF(ISBLANK(Mitigation_Industry!P348),"",Mitigation_Industry!P348)</f>
        <v>0.78468262499999997</v>
      </c>
      <c r="Q820">
        <f>IF(ISBLANK(Mitigation_Industry!Q348),"",Mitigation_Industry!Q348)</f>
        <v>0.82784016937499993</v>
      </c>
      <c r="R820">
        <f>IF(ISBLANK(Mitigation_Industry!R348),"",Mitigation_Industry!R348)</f>
        <v>0.87337137869062498</v>
      </c>
      <c r="S820">
        <f>IF(ISBLANK(Mitigation_Industry!S348),"",Mitigation_Industry!S348)</f>
        <v>0.92140680451860935</v>
      </c>
      <c r="T820">
        <f>IF(ISBLANK(Mitigation_Industry!T348),"",Mitigation_Industry!T348)</f>
        <v>0.97208417876713282</v>
      </c>
      <c r="U820">
        <f>IF(ISBLANK(Mitigation_Industry!U348),"",Mitigation_Industry!U348)</f>
        <v>1.025548808599325</v>
      </c>
      <c r="V820">
        <f>IF(ISBLANK(Mitigation_Industry!V348),"",Mitigation_Industry!V348)</f>
        <v>1.0819539930722879</v>
      </c>
      <c r="W820">
        <f>IF(ISBLANK(Mitigation_Industry!W348),"",Mitigation_Industry!W348)</f>
        <v>1.1414614626912638</v>
      </c>
      <c r="X820">
        <f>IF(ISBLANK(Mitigation_Industry!X348),"",Mitigation_Industry!X348)</f>
        <v>1.2042418431392832</v>
      </c>
      <c r="Y820">
        <f>IF(ISBLANK(Mitigation_Industry!Y348),"",Mitigation_Industry!Y348)</f>
        <v>1.2704751445119435</v>
      </c>
      <c r="Z820">
        <f>IF(ISBLANK(Mitigation_Industry!Z348),"",Mitigation_Industry!Z348)</f>
        <v>1.3403512774601003</v>
      </c>
      <c r="AA820">
        <f>IF(ISBLANK(Mitigation_Industry!AA348),"",Mitigation_Industry!AA348)</f>
        <v>1.4140705977204062</v>
      </c>
      <c r="AB820">
        <f>IF(ISBLANK(Mitigation_Industry!AB348),"",Mitigation_Industry!AB348)</f>
        <v>1.4918444805950282</v>
      </c>
      <c r="AC820">
        <f>IF(ISBLANK(Mitigation_Industry!AC348),"",Mitigation_Industry!AC348)</f>
        <v>1.5738959270277546</v>
      </c>
      <c r="AD820">
        <f>IF(ISBLANK(Mitigation_Industry!AD348),"",Mitigation_Industry!AD348)</f>
        <v>1.660460203014281</v>
      </c>
      <c r="AE820">
        <f>IF(ISBLANK(Mitigation_Industry!AE348),"",Mitigation_Industry!AE348)</f>
        <v>1.7517855141800662</v>
      </c>
    </row>
    <row r="821" spans="1:31" x14ac:dyDescent="0.45">
      <c r="A821" t="s">
        <v>1567</v>
      </c>
      <c r="B821" t="s">
        <v>1487</v>
      </c>
      <c r="C821" t="s">
        <v>1397</v>
      </c>
      <c r="D821">
        <v>1</v>
      </c>
      <c r="E821" t="s">
        <v>1161</v>
      </c>
      <c r="F821">
        <f>MAX(MAX(L821:AE821),-MIN(L821:AE821))</f>
        <v>0</v>
      </c>
      <c r="I821" t="s">
        <v>1509</v>
      </c>
      <c r="K821">
        <f t="shared" ref="K821:AE821" si="202">IF(ISNUMBER(K819),IF(ISNUMBER(K820),K820-K819,999999),0)</f>
        <v>0</v>
      </c>
      <c r="L821">
        <f t="shared" si="202"/>
        <v>0</v>
      </c>
      <c r="M821">
        <f t="shared" si="202"/>
        <v>0</v>
      </c>
      <c r="N821">
        <f t="shared" si="202"/>
        <v>0</v>
      </c>
      <c r="O821">
        <f t="shared" si="202"/>
        <v>0</v>
      </c>
      <c r="P821">
        <f t="shared" si="202"/>
        <v>0</v>
      </c>
      <c r="Q821">
        <f t="shared" si="202"/>
        <v>0</v>
      </c>
      <c r="R821">
        <f t="shared" si="202"/>
        <v>0</v>
      </c>
      <c r="S821">
        <f t="shared" si="202"/>
        <v>0</v>
      </c>
      <c r="T821">
        <f t="shared" si="202"/>
        <v>0</v>
      </c>
      <c r="U821">
        <f t="shared" si="202"/>
        <v>0</v>
      </c>
      <c r="V821">
        <f t="shared" si="202"/>
        <v>0</v>
      </c>
      <c r="W821">
        <f t="shared" si="202"/>
        <v>0</v>
      </c>
      <c r="X821">
        <f t="shared" si="202"/>
        <v>0</v>
      </c>
      <c r="Y821">
        <f t="shared" si="202"/>
        <v>0</v>
      </c>
      <c r="Z821">
        <f t="shared" si="202"/>
        <v>0</v>
      </c>
      <c r="AA821">
        <f t="shared" si="202"/>
        <v>0</v>
      </c>
      <c r="AB821">
        <f t="shared" si="202"/>
        <v>0</v>
      </c>
      <c r="AC821">
        <f t="shared" si="202"/>
        <v>0</v>
      </c>
      <c r="AD821">
        <f t="shared" si="202"/>
        <v>0</v>
      </c>
      <c r="AE821">
        <f t="shared" si="202"/>
        <v>0</v>
      </c>
    </row>
    <row r="823" spans="1:31" x14ac:dyDescent="0.45">
      <c r="A823" t="s">
        <v>1568</v>
      </c>
      <c r="B823" t="s">
        <v>1487</v>
      </c>
      <c r="C823" t="s">
        <v>1486</v>
      </c>
      <c r="D823">
        <v>1</v>
      </c>
      <c r="E823" t="s">
        <v>1159</v>
      </c>
      <c r="L823">
        <v>26.090339299916039</v>
      </c>
      <c r="M823">
        <v>26.961911636097753</v>
      </c>
      <c r="N823">
        <v>27.863</v>
      </c>
      <c r="O823">
        <v>28.794622999999998</v>
      </c>
      <c r="P823">
        <v>29.757835348999993</v>
      </c>
      <c r="Q823">
        <v>30.753729192394996</v>
      </c>
      <c r="R823">
        <v>31.783435487304406</v>
      </c>
      <c r="S823">
        <v>32.848125435164668</v>
      </c>
      <c r="T823">
        <v>33.949011969871044</v>
      </c>
      <c r="U823">
        <v>35.087351303752364</v>
      </c>
      <c r="V823">
        <v>36.264444533762408</v>
      </c>
      <c r="W823">
        <v>37.481639310376153</v>
      </c>
      <c r="X823">
        <v>38.740331571788573</v>
      </c>
      <c r="Y823">
        <v>40.041967346128295</v>
      </c>
      <c r="Z823">
        <v>41.388044624518081</v>
      </c>
      <c r="AA823">
        <v>42.780115307939909</v>
      </c>
      <c r="AB823">
        <v>44.219787230993546</v>
      </c>
      <c r="AC823">
        <v>45.708726265775283</v>
      </c>
      <c r="AD823">
        <v>47.248658509247463</v>
      </c>
      <c r="AE823">
        <v>48.841372557620346</v>
      </c>
    </row>
    <row r="824" spans="1:31" x14ac:dyDescent="0.45">
      <c r="A824" t="s">
        <v>1568</v>
      </c>
      <c r="B824" t="s">
        <v>1487</v>
      </c>
      <c r="C824" t="s">
        <v>1486</v>
      </c>
      <c r="D824">
        <v>1</v>
      </c>
      <c r="E824" t="s">
        <v>1160</v>
      </c>
      <c r="K824" t="str">
        <f>IF(ISBLANK(Mitigation_Industry!K349),"",Mitigation_Industry!K349)</f>
        <v/>
      </c>
      <c r="L824">
        <f>IF(ISBLANK(Mitigation_Industry!L349),"",Mitigation_Industry!L349)</f>
        <v>26.090339299916039</v>
      </c>
      <c r="M824">
        <f>IF(ISBLANK(Mitigation_Industry!M349),"",Mitigation_Industry!M349)</f>
        <v>26.961911636097753</v>
      </c>
      <c r="N824">
        <f>IF(ISBLANK(Mitigation_Industry!N349),"",Mitigation_Industry!N349)</f>
        <v>27.863</v>
      </c>
      <c r="O824">
        <f>IF(ISBLANK(Mitigation_Industry!O349),"",Mitigation_Industry!O349)</f>
        <v>28.794622999999998</v>
      </c>
      <c r="P824">
        <f>IF(ISBLANK(Mitigation_Industry!P349),"",Mitigation_Industry!P349)</f>
        <v>29.757835348999993</v>
      </c>
      <c r="Q824">
        <f>IF(ISBLANK(Mitigation_Industry!Q349),"",Mitigation_Industry!Q349)</f>
        <v>30.753729192394996</v>
      </c>
      <c r="R824">
        <f>IF(ISBLANK(Mitigation_Industry!R349),"",Mitigation_Industry!R349)</f>
        <v>31.783435487304406</v>
      </c>
      <c r="S824">
        <f>IF(ISBLANK(Mitigation_Industry!S349),"",Mitigation_Industry!S349)</f>
        <v>32.848125435164668</v>
      </c>
      <c r="T824">
        <f>IF(ISBLANK(Mitigation_Industry!T349),"",Mitigation_Industry!T349)</f>
        <v>33.949011969871044</v>
      </c>
      <c r="U824">
        <f>IF(ISBLANK(Mitigation_Industry!U349),"",Mitigation_Industry!U349)</f>
        <v>35.087351303752364</v>
      </c>
      <c r="V824">
        <f>IF(ISBLANK(Mitigation_Industry!V349),"",Mitigation_Industry!V349)</f>
        <v>36.264444533762408</v>
      </c>
      <c r="W824">
        <f>IF(ISBLANK(Mitigation_Industry!W349),"",Mitigation_Industry!W349)</f>
        <v>37.481639310376153</v>
      </c>
      <c r="X824">
        <f>IF(ISBLANK(Mitigation_Industry!X349),"",Mitigation_Industry!X349)</f>
        <v>38.740331571788573</v>
      </c>
      <c r="Y824">
        <f>IF(ISBLANK(Mitigation_Industry!Y349),"",Mitigation_Industry!Y349)</f>
        <v>40.041967346128295</v>
      </c>
      <c r="Z824">
        <f>IF(ISBLANK(Mitigation_Industry!Z349),"",Mitigation_Industry!Z349)</f>
        <v>41.388044624518081</v>
      </c>
      <c r="AA824">
        <f>IF(ISBLANK(Mitigation_Industry!AA349),"",Mitigation_Industry!AA349)</f>
        <v>42.780115307939909</v>
      </c>
      <c r="AB824">
        <f>IF(ISBLANK(Mitigation_Industry!AB349),"",Mitigation_Industry!AB349)</f>
        <v>44.219787230993546</v>
      </c>
      <c r="AC824">
        <f>IF(ISBLANK(Mitigation_Industry!AC349),"",Mitigation_Industry!AC349)</f>
        <v>45.708726265775283</v>
      </c>
      <c r="AD824">
        <f>IF(ISBLANK(Mitigation_Industry!AD349),"",Mitigation_Industry!AD349)</f>
        <v>47.248658509247463</v>
      </c>
      <c r="AE824">
        <f>IF(ISBLANK(Mitigation_Industry!AE349),"",Mitigation_Industry!AE349)</f>
        <v>48.841372557620346</v>
      </c>
    </row>
    <row r="825" spans="1:31" x14ac:dyDescent="0.45">
      <c r="A825" t="s">
        <v>1568</v>
      </c>
      <c r="B825" t="s">
        <v>1487</v>
      </c>
      <c r="C825" t="s">
        <v>1486</v>
      </c>
      <c r="D825">
        <v>1</v>
      </c>
      <c r="E825" t="s">
        <v>1161</v>
      </c>
      <c r="F825">
        <f>MAX(MAX(L825:AE825),-MIN(L825:AE825))</f>
        <v>0</v>
      </c>
      <c r="I825" t="s">
        <v>1509</v>
      </c>
      <c r="K825">
        <f t="shared" ref="K825:AE825" si="203">IF(ISNUMBER(K823),IF(ISNUMBER(K824),K824-K823,999999),0)</f>
        <v>0</v>
      </c>
      <c r="L825">
        <f t="shared" si="203"/>
        <v>0</v>
      </c>
      <c r="M825">
        <f t="shared" si="203"/>
        <v>0</v>
      </c>
      <c r="N825">
        <f t="shared" si="203"/>
        <v>0</v>
      </c>
      <c r="O825">
        <f t="shared" si="203"/>
        <v>0</v>
      </c>
      <c r="P825">
        <f t="shared" si="203"/>
        <v>0</v>
      </c>
      <c r="Q825">
        <f t="shared" si="203"/>
        <v>0</v>
      </c>
      <c r="R825">
        <f t="shared" si="203"/>
        <v>0</v>
      </c>
      <c r="S825">
        <f t="shared" si="203"/>
        <v>0</v>
      </c>
      <c r="T825">
        <f t="shared" si="203"/>
        <v>0</v>
      </c>
      <c r="U825">
        <f t="shared" si="203"/>
        <v>0</v>
      </c>
      <c r="V825">
        <f t="shared" si="203"/>
        <v>0</v>
      </c>
      <c r="W825">
        <f t="shared" si="203"/>
        <v>0</v>
      </c>
      <c r="X825">
        <f t="shared" si="203"/>
        <v>0</v>
      </c>
      <c r="Y825">
        <f t="shared" si="203"/>
        <v>0</v>
      </c>
      <c r="Z825">
        <f t="shared" si="203"/>
        <v>0</v>
      </c>
      <c r="AA825">
        <f t="shared" si="203"/>
        <v>0</v>
      </c>
      <c r="AB825">
        <f t="shared" si="203"/>
        <v>0</v>
      </c>
      <c r="AC825">
        <f t="shared" si="203"/>
        <v>0</v>
      </c>
      <c r="AD825">
        <f t="shared" si="203"/>
        <v>0</v>
      </c>
      <c r="AE825">
        <f t="shared" si="203"/>
        <v>0</v>
      </c>
    </row>
    <row r="827" spans="1:31" x14ac:dyDescent="0.45">
      <c r="A827" t="s">
        <v>1569</v>
      </c>
      <c r="B827" t="s">
        <v>1488</v>
      </c>
      <c r="C827" t="s">
        <v>1350</v>
      </c>
      <c r="D827">
        <v>1</v>
      </c>
      <c r="E827" t="s">
        <v>1159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45">
      <c r="A828" t="s">
        <v>1569</v>
      </c>
      <c r="B828" t="s">
        <v>1488</v>
      </c>
      <c r="C828" t="s">
        <v>1350</v>
      </c>
      <c r="D828">
        <v>1</v>
      </c>
      <c r="E828" t="s">
        <v>1160</v>
      </c>
      <c r="K828" t="str">
        <f>IF(ISBLANK(Mitigation_Industry!K352),"",Mitigation_Industry!K352)</f>
        <v/>
      </c>
      <c r="L828">
        <f>IF(ISBLANK(Mitigation_Industry!L352),"",Mitigation_Industry!L352)</f>
        <v>0</v>
      </c>
      <c r="M828">
        <f>IF(ISBLANK(Mitigation_Industry!M352),"",Mitigation_Industry!M352)</f>
        <v>0</v>
      </c>
      <c r="N828">
        <f>IF(ISBLANK(Mitigation_Industry!N352),"",Mitigation_Industry!N352)</f>
        <v>0</v>
      </c>
      <c r="O828">
        <f>IF(ISBLANK(Mitigation_Industry!O352),"",Mitigation_Industry!O352)</f>
        <v>0</v>
      </c>
      <c r="P828">
        <f>IF(ISBLANK(Mitigation_Industry!P352),"",Mitigation_Industry!P352)</f>
        <v>0</v>
      </c>
      <c r="Q828">
        <f>IF(ISBLANK(Mitigation_Industry!Q352),"",Mitigation_Industry!Q352)</f>
        <v>0</v>
      </c>
      <c r="R828">
        <f>IF(ISBLANK(Mitigation_Industry!R352),"",Mitigation_Industry!R352)</f>
        <v>0</v>
      </c>
      <c r="S828">
        <f>IF(ISBLANK(Mitigation_Industry!S352),"",Mitigation_Industry!S352)</f>
        <v>0</v>
      </c>
      <c r="T828">
        <f>IF(ISBLANK(Mitigation_Industry!T352),"",Mitigation_Industry!T352)</f>
        <v>0</v>
      </c>
      <c r="U828">
        <f>IF(ISBLANK(Mitigation_Industry!U352),"",Mitigation_Industry!U352)</f>
        <v>0</v>
      </c>
      <c r="V828">
        <f>IF(ISBLANK(Mitigation_Industry!V352),"",Mitigation_Industry!V352)</f>
        <v>0</v>
      </c>
      <c r="W828">
        <f>IF(ISBLANK(Mitigation_Industry!W352),"",Mitigation_Industry!W352)</f>
        <v>0</v>
      </c>
      <c r="X828">
        <f>IF(ISBLANK(Mitigation_Industry!X352),"",Mitigation_Industry!X352)</f>
        <v>0</v>
      </c>
      <c r="Y828">
        <f>IF(ISBLANK(Mitigation_Industry!Y352),"",Mitigation_Industry!Y352)</f>
        <v>0</v>
      </c>
      <c r="Z828">
        <f>IF(ISBLANK(Mitigation_Industry!Z352),"",Mitigation_Industry!Z352)</f>
        <v>0</v>
      </c>
      <c r="AA828">
        <f>IF(ISBLANK(Mitigation_Industry!AA352),"",Mitigation_Industry!AA352)</f>
        <v>0</v>
      </c>
      <c r="AB828">
        <f>IF(ISBLANK(Mitigation_Industry!AB352),"",Mitigation_Industry!AB352)</f>
        <v>0</v>
      </c>
      <c r="AC828">
        <f>IF(ISBLANK(Mitigation_Industry!AC352),"",Mitigation_Industry!AC352)</f>
        <v>0</v>
      </c>
      <c r="AD828">
        <f>IF(ISBLANK(Mitigation_Industry!AD352),"",Mitigation_Industry!AD352)</f>
        <v>0</v>
      </c>
      <c r="AE828">
        <f>IF(ISBLANK(Mitigation_Industry!AE352),"",Mitigation_Industry!AE352)</f>
        <v>0</v>
      </c>
    </row>
    <row r="829" spans="1:31" x14ac:dyDescent="0.45">
      <c r="A829" t="s">
        <v>1569</v>
      </c>
      <c r="B829" t="s">
        <v>1488</v>
      </c>
      <c r="C829" t="s">
        <v>1350</v>
      </c>
      <c r="D829">
        <v>1</v>
      </c>
      <c r="E829" t="s">
        <v>1161</v>
      </c>
      <c r="F829">
        <f>MAX(MAX(L829:AE829),-MIN(L829:AE829))</f>
        <v>0</v>
      </c>
      <c r="I829" t="s">
        <v>1509</v>
      </c>
      <c r="K829">
        <f t="shared" ref="K829:AE829" si="204">IF(ISNUMBER(K827),IF(ISNUMBER(K828),K828-K827,999999),0)</f>
        <v>0</v>
      </c>
      <c r="L829">
        <f t="shared" si="204"/>
        <v>0</v>
      </c>
      <c r="M829">
        <f t="shared" si="204"/>
        <v>0</v>
      </c>
      <c r="N829">
        <f t="shared" si="204"/>
        <v>0</v>
      </c>
      <c r="O829">
        <f t="shared" si="204"/>
        <v>0</v>
      </c>
      <c r="P829">
        <f t="shared" si="204"/>
        <v>0</v>
      </c>
      <c r="Q829">
        <f t="shared" si="204"/>
        <v>0</v>
      </c>
      <c r="R829">
        <f t="shared" si="204"/>
        <v>0</v>
      </c>
      <c r="S829">
        <f t="shared" si="204"/>
        <v>0</v>
      </c>
      <c r="T829">
        <f t="shared" si="204"/>
        <v>0</v>
      </c>
      <c r="U829">
        <f t="shared" si="204"/>
        <v>0</v>
      </c>
      <c r="V829">
        <f t="shared" si="204"/>
        <v>0</v>
      </c>
      <c r="W829">
        <f t="shared" si="204"/>
        <v>0</v>
      </c>
      <c r="X829">
        <f t="shared" si="204"/>
        <v>0</v>
      </c>
      <c r="Y829">
        <f t="shared" si="204"/>
        <v>0</v>
      </c>
      <c r="Z829">
        <f t="shared" si="204"/>
        <v>0</v>
      </c>
      <c r="AA829">
        <f t="shared" si="204"/>
        <v>0</v>
      </c>
      <c r="AB829">
        <f t="shared" si="204"/>
        <v>0</v>
      </c>
      <c r="AC829">
        <f t="shared" si="204"/>
        <v>0</v>
      </c>
      <c r="AD829">
        <f t="shared" si="204"/>
        <v>0</v>
      </c>
      <c r="AE829">
        <f t="shared" si="204"/>
        <v>0</v>
      </c>
    </row>
    <row r="831" spans="1:31" x14ac:dyDescent="0.45">
      <c r="A831" t="s">
        <v>1570</v>
      </c>
      <c r="B831" t="s">
        <v>1488</v>
      </c>
      <c r="C831" t="s">
        <v>1357</v>
      </c>
      <c r="D831">
        <v>1</v>
      </c>
      <c r="E831" t="s">
        <v>1159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45">
      <c r="A832" t="s">
        <v>1570</v>
      </c>
      <c r="B832" t="s">
        <v>1488</v>
      </c>
      <c r="C832" t="s">
        <v>1357</v>
      </c>
      <c r="D832">
        <v>1</v>
      </c>
      <c r="E832" t="s">
        <v>1160</v>
      </c>
      <c r="K832" t="str">
        <f>IF(ISBLANK(Mitigation_Industry!K353),"",Mitigation_Industry!K353)</f>
        <v/>
      </c>
      <c r="L832">
        <f>IF(ISBLANK(Mitigation_Industry!L353),"",Mitigation_Industry!L353)</f>
        <v>0</v>
      </c>
      <c r="M832">
        <f>IF(ISBLANK(Mitigation_Industry!M353),"",Mitigation_Industry!M353)</f>
        <v>0</v>
      </c>
      <c r="N832">
        <f>IF(ISBLANK(Mitigation_Industry!N353),"",Mitigation_Industry!N353)</f>
        <v>0</v>
      </c>
      <c r="O832">
        <f>IF(ISBLANK(Mitigation_Industry!O353),"",Mitigation_Industry!O353)</f>
        <v>0</v>
      </c>
      <c r="P832">
        <f>IF(ISBLANK(Mitigation_Industry!P353),"",Mitigation_Industry!P353)</f>
        <v>0</v>
      </c>
      <c r="Q832">
        <f>IF(ISBLANK(Mitigation_Industry!Q353),"",Mitigation_Industry!Q353)</f>
        <v>0</v>
      </c>
      <c r="R832">
        <f>IF(ISBLANK(Mitigation_Industry!R353),"",Mitigation_Industry!R353)</f>
        <v>0</v>
      </c>
      <c r="S832">
        <f>IF(ISBLANK(Mitigation_Industry!S353),"",Mitigation_Industry!S353)</f>
        <v>0</v>
      </c>
      <c r="T832">
        <f>IF(ISBLANK(Mitigation_Industry!T353),"",Mitigation_Industry!T353)</f>
        <v>0</v>
      </c>
      <c r="U832">
        <f>IF(ISBLANK(Mitigation_Industry!U353),"",Mitigation_Industry!U353)</f>
        <v>0</v>
      </c>
      <c r="V832">
        <f>IF(ISBLANK(Mitigation_Industry!V353),"",Mitigation_Industry!V353)</f>
        <v>0</v>
      </c>
      <c r="W832">
        <f>IF(ISBLANK(Mitigation_Industry!W353),"",Mitigation_Industry!W353)</f>
        <v>0</v>
      </c>
      <c r="X832">
        <f>IF(ISBLANK(Mitigation_Industry!X353),"",Mitigation_Industry!X353)</f>
        <v>0</v>
      </c>
      <c r="Y832">
        <f>IF(ISBLANK(Mitigation_Industry!Y353),"",Mitigation_Industry!Y353)</f>
        <v>0</v>
      </c>
      <c r="Z832">
        <f>IF(ISBLANK(Mitigation_Industry!Z353),"",Mitigation_Industry!Z353)</f>
        <v>0</v>
      </c>
      <c r="AA832">
        <f>IF(ISBLANK(Mitigation_Industry!AA353),"",Mitigation_Industry!AA353)</f>
        <v>0</v>
      </c>
      <c r="AB832">
        <f>IF(ISBLANK(Mitigation_Industry!AB353),"",Mitigation_Industry!AB353)</f>
        <v>0</v>
      </c>
      <c r="AC832">
        <f>IF(ISBLANK(Mitigation_Industry!AC353),"",Mitigation_Industry!AC353)</f>
        <v>0</v>
      </c>
      <c r="AD832">
        <f>IF(ISBLANK(Mitigation_Industry!AD353),"",Mitigation_Industry!AD353)</f>
        <v>0</v>
      </c>
      <c r="AE832">
        <f>IF(ISBLANK(Mitigation_Industry!AE353),"",Mitigation_Industry!AE353)</f>
        <v>0</v>
      </c>
    </row>
    <row r="833" spans="1:31" x14ac:dyDescent="0.45">
      <c r="A833" t="s">
        <v>1570</v>
      </c>
      <c r="B833" t="s">
        <v>1488</v>
      </c>
      <c r="C833" t="s">
        <v>1357</v>
      </c>
      <c r="D833">
        <v>1</v>
      </c>
      <c r="E833" t="s">
        <v>1161</v>
      </c>
      <c r="F833">
        <f>MAX(MAX(L833:AE833),-MIN(L833:AE833))</f>
        <v>0</v>
      </c>
      <c r="I833" t="s">
        <v>1509</v>
      </c>
      <c r="K833">
        <f t="shared" ref="K833:AE833" si="205">IF(ISNUMBER(K831),IF(ISNUMBER(K832),K832-K831,999999),0)</f>
        <v>0</v>
      </c>
      <c r="L833">
        <f t="shared" si="205"/>
        <v>0</v>
      </c>
      <c r="M833">
        <f t="shared" si="205"/>
        <v>0</v>
      </c>
      <c r="N833">
        <f t="shared" si="205"/>
        <v>0</v>
      </c>
      <c r="O833">
        <f t="shared" si="205"/>
        <v>0</v>
      </c>
      <c r="P833">
        <f t="shared" si="205"/>
        <v>0</v>
      </c>
      <c r="Q833">
        <f t="shared" si="205"/>
        <v>0</v>
      </c>
      <c r="R833">
        <f t="shared" si="205"/>
        <v>0</v>
      </c>
      <c r="S833">
        <f t="shared" si="205"/>
        <v>0</v>
      </c>
      <c r="T833">
        <f t="shared" si="205"/>
        <v>0</v>
      </c>
      <c r="U833">
        <f t="shared" si="205"/>
        <v>0</v>
      </c>
      <c r="V833">
        <f t="shared" si="205"/>
        <v>0</v>
      </c>
      <c r="W833">
        <f t="shared" si="205"/>
        <v>0</v>
      </c>
      <c r="X833">
        <f t="shared" si="205"/>
        <v>0</v>
      </c>
      <c r="Y833">
        <f t="shared" si="205"/>
        <v>0</v>
      </c>
      <c r="Z833">
        <f t="shared" si="205"/>
        <v>0</v>
      </c>
      <c r="AA833">
        <f t="shared" si="205"/>
        <v>0</v>
      </c>
      <c r="AB833">
        <f t="shared" si="205"/>
        <v>0</v>
      </c>
      <c r="AC833">
        <f t="shared" si="205"/>
        <v>0</v>
      </c>
      <c r="AD833">
        <f t="shared" si="205"/>
        <v>0</v>
      </c>
      <c r="AE833">
        <f t="shared" si="205"/>
        <v>0</v>
      </c>
    </row>
    <row r="835" spans="1:31" x14ac:dyDescent="0.45">
      <c r="A835" t="s">
        <v>1571</v>
      </c>
      <c r="B835" t="s">
        <v>1488</v>
      </c>
      <c r="C835" t="s">
        <v>1408</v>
      </c>
      <c r="D835">
        <v>1</v>
      </c>
      <c r="E835" t="s">
        <v>1159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45">
      <c r="A836" t="s">
        <v>1571</v>
      </c>
      <c r="B836" t="s">
        <v>1488</v>
      </c>
      <c r="C836" t="s">
        <v>1408</v>
      </c>
      <c r="D836">
        <v>1</v>
      </c>
      <c r="E836" t="s">
        <v>1160</v>
      </c>
      <c r="K836" t="str">
        <f>IF(ISBLANK(Mitigation_Industry!K354),"",Mitigation_Industry!K354)</f>
        <v/>
      </c>
      <c r="L836">
        <f>IF(ISBLANK(Mitigation_Industry!L354),"",Mitigation_Industry!L354)</f>
        <v>0</v>
      </c>
      <c r="M836">
        <f>IF(ISBLANK(Mitigation_Industry!M354),"",Mitigation_Industry!M354)</f>
        <v>0</v>
      </c>
      <c r="N836">
        <f>IF(ISBLANK(Mitigation_Industry!N354),"",Mitigation_Industry!N354)</f>
        <v>0</v>
      </c>
      <c r="O836">
        <f>IF(ISBLANK(Mitigation_Industry!O354),"",Mitigation_Industry!O354)</f>
        <v>0</v>
      </c>
      <c r="P836">
        <f>IF(ISBLANK(Mitigation_Industry!P354),"",Mitigation_Industry!P354)</f>
        <v>0</v>
      </c>
      <c r="Q836">
        <f>IF(ISBLANK(Mitigation_Industry!Q354),"",Mitigation_Industry!Q354)</f>
        <v>0</v>
      </c>
      <c r="R836">
        <f>IF(ISBLANK(Mitigation_Industry!R354),"",Mitigation_Industry!R354)</f>
        <v>0</v>
      </c>
      <c r="S836">
        <f>IF(ISBLANK(Mitigation_Industry!S354),"",Mitigation_Industry!S354)</f>
        <v>0</v>
      </c>
      <c r="T836">
        <f>IF(ISBLANK(Mitigation_Industry!T354),"",Mitigation_Industry!T354)</f>
        <v>0</v>
      </c>
      <c r="U836">
        <f>IF(ISBLANK(Mitigation_Industry!U354),"",Mitigation_Industry!U354)</f>
        <v>0</v>
      </c>
      <c r="V836">
        <f>IF(ISBLANK(Mitigation_Industry!V354),"",Mitigation_Industry!V354)</f>
        <v>0</v>
      </c>
      <c r="W836">
        <f>IF(ISBLANK(Mitigation_Industry!W354),"",Mitigation_Industry!W354)</f>
        <v>0</v>
      </c>
      <c r="X836">
        <f>IF(ISBLANK(Mitigation_Industry!X354),"",Mitigation_Industry!X354)</f>
        <v>0</v>
      </c>
      <c r="Y836">
        <f>IF(ISBLANK(Mitigation_Industry!Y354),"",Mitigation_Industry!Y354)</f>
        <v>0</v>
      </c>
      <c r="Z836">
        <f>IF(ISBLANK(Mitigation_Industry!Z354),"",Mitigation_Industry!Z354)</f>
        <v>0</v>
      </c>
      <c r="AA836">
        <f>IF(ISBLANK(Mitigation_Industry!AA354),"",Mitigation_Industry!AA354)</f>
        <v>0</v>
      </c>
      <c r="AB836">
        <f>IF(ISBLANK(Mitigation_Industry!AB354),"",Mitigation_Industry!AB354)</f>
        <v>0</v>
      </c>
      <c r="AC836">
        <f>IF(ISBLANK(Mitigation_Industry!AC354),"",Mitigation_Industry!AC354)</f>
        <v>0</v>
      </c>
      <c r="AD836">
        <f>IF(ISBLANK(Mitigation_Industry!AD354),"",Mitigation_Industry!AD354)</f>
        <v>0</v>
      </c>
      <c r="AE836">
        <f>IF(ISBLANK(Mitigation_Industry!AE354),"",Mitigation_Industry!AE354)</f>
        <v>0</v>
      </c>
    </row>
    <row r="837" spans="1:31" x14ac:dyDescent="0.45">
      <c r="A837" t="s">
        <v>1571</v>
      </c>
      <c r="B837" t="s">
        <v>1488</v>
      </c>
      <c r="C837" t="s">
        <v>1408</v>
      </c>
      <c r="D837">
        <v>1</v>
      </c>
      <c r="E837" t="s">
        <v>1161</v>
      </c>
      <c r="F837">
        <f>MAX(MAX(L837:AE837),-MIN(L837:AE837))</f>
        <v>0</v>
      </c>
      <c r="I837" t="s">
        <v>1509</v>
      </c>
      <c r="K837">
        <f t="shared" ref="K837:AE837" si="206">IF(ISNUMBER(K835),IF(ISNUMBER(K836),K836-K835,999999),0)</f>
        <v>0</v>
      </c>
      <c r="L837">
        <f t="shared" si="206"/>
        <v>0</v>
      </c>
      <c r="M837">
        <f t="shared" si="206"/>
        <v>0</v>
      </c>
      <c r="N837">
        <f t="shared" si="206"/>
        <v>0</v>
      </c>
      <c r="O837">
        <f t="shared" si="206"/>
        <v>0</v>
      </c>
      <c r="P837">
        <f t="shared" si="206"/>
        <v>0</v>
      </c>
      <c r="Q837">
        <f t="shared" si="206"/>
        <v>0</v>
      </c>
      <c r="R837">
        <f t="shared" si="206"/>
        <v>0</v>
      </c>
      <c r="S837">
        <f t="shared" si="206"/>
        <v>0</v>
      </c>
      <c r="T837">
        <f t="shared" si="206"/>
        <v>0</v>
      </c>
      <c r="U837">
        <f t="shared" si="206"/>
        <v>0</v>
      </c>
      <c r="V837">
        <f t="shared" si="206"/>
        <v>0</v>
      </c>
      <c r="W837">
        <f t="shared" si="206"/>
        <v>0</v>
      </c>
      <c r="X837">
        <f t="shared" si="206"/>
        <v>0</v>
      </c>
      <c r="Y837">
        <f t="shared" si="206"/>
        <v>0</v>
      </c>
      <c r="Z837">
        <f t="shared" si="206"/>
        <v>0</v>
      </c>
      <c r="AA837">
        <f t="shared" si="206"/>
        <v>0</v>
      </c>
      <c r="AB837">
        <f t="shared" si="206"/>
        <v>0</v>
      </c>
      <c r="AC837">
        <f t="shared" si="206"/>
        <v>0</v>
      </c>
      <c r="AD837">
        <f t="shared" si="206"/>
        <v>0</v>
      </c>
      <c r="AE837">
        <f t="shared" si="206"/>
        <v>0</v>
      </c>
    </row>
    <row r="839" spans="1:31" x14ac:dyDescent="0.45">
      <c r="A839" t="s">
        <v>1572</v>
      </c>
      <c r="B839" t="s">
        <v>1488</v>
      </c>
      <c r="C839" t="s">
        <v>1409</v>
      </c>
      <c r="D839">
        <v>1</v>
      </c>
      <c r="E839" t="s">
        <v>1159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45">
      <c r="A840" t="s">
        <v>1572</v>
      </c>
      <c r="B840" t="s">
        <v>1488</v>
      </c>
      <c r="C840" t="s">
        <v>1409</v>
      </c>
      <c r="D840">
        <v>1</v>
      </c>
      <c r="E840" t="s">
        <v>1160</v>
      </c>
      <c r="K840" t="str">
        <f>IF(ISBLANK(Mitigation_Industry!K355),"",Mitigation_Industry!K355)</f>
        <v/>
      </c>
      <c r="L840">
        <f>IF(ISBLANK(Mitigation_Industry!L355),"",Mitigation_Industry!L355)</f>
        <v>0</v>
      </c>
      <c r="M840">
        <f>IF(ISBLANK(Mitigation_Industry!M355),"",Mitigation_Industry!M355)</f>
        <v>0</v>
      </c>
      <c r="N840">
        <f>IF(ISBLANK(Mitigation_Industry!N355),"",Mitigation_Industry!N355)</f>
        <v>0</v>
      </c>
      <c r="O840">
        <f>IF(ISBLANK(Mitigation_Industry!O355),"",Mitigation_Industry!O355)</f>
        <v>0</v>
      </c>
      <c r="P840">
        <f>IF(ISBLANK(Mitigation_Industry!P355),"",Mitigation_Industry!P355)</f>
        <v>0</v>
      </c>
      <c r="Q840">
        <f>IF(ISBLANK(Mitigation_Industry!Q355),"",Mitigation_Industry!Q355)</f>
        <v>0</v>
      </c>
      <c r="R840">
        <f>IF(ISBLANK(Mitigation_Industry!R355),"",Mitigation_Industry!R355)</f>
        <v>0</v>
      </c>
      <c r="S840">
        <f>IF(ISBLANK(Mitigation_Industry!S355),"",Mitigation_Industry!S355)</f>
        <v>0</v>
      </c>
      <c r="T840">
        <f>IF(ISBLANK(Mitigation_Industry!T355),"",Mitigation_Industry!T355)</f>
        <v>0</v>
      </c>
      <c r="U840">
        <f>IF(ISBLANK(Mitigation_Industry!U355),"",Mitigation_Industry!U355)</f>
        <v>0</v>
      </c>
      <c r="V840">
        <f>IF(ISBLANK(Mitigation_Industry!V355),"",Mitigation_Industry!V355)</f>
        <v>0</v>
      </c>
      <c r="W840">
        <f>IF(ISBLANK(Mitigation_Industry!W355),"",Mitigation_Industry!W355)</f>
        <v>0</v>
      </c>
      <c r="X840">
        <f>IF(ISBLANK(Mitigation_Industry!X355),"",Mitigation_Industry!X355)</f>
        <v>0</v>
      </c>
      <c r="Y840">
        <f>IF(ISBLANK(Mitigation_Industry!Y355),"",Mitigation_Industry!Y355)</f>
        <v>0</v>
      </c>
      <c r="Z840">
        <f>IF(ISBLANK(Mitigation_Industry!Z355),"",Mitigation_Industry!Z355)</f>
        <v>0</v>
      </c>
      <c r="AA840">
        <f>IF(ISBLANK(Mitigation_Industry!AA355),"",Mitigation_Industry!AA355)</f>
        <v>0</v>
      </c>
      <c r="AB840">
        <f>IF(ISBLANK(Mitigation_Industry!AB355),"",Mitigation_Industry!AB355)</f>
        <v>0</v>
      </c>
      <c r="AC840">
        <f>IF(ISBLANK(Mitigation_Industry!AC355),"",Mitigation_Industry!AC355)</f>
        <v>0</v>
      </c>
      <c r="AD840">
        <f>IF(ISBLANK(Mitigation_Industry!AD355),"",Mitigation_Industry!AD355)</f>
        <v>0</v>
      </c>
      <c r="AE840">
        <f>IF(ISBLANK(Mitigation_Industry!AE355),"",Mitigation_Industry!AE355)</f>
        <v>0</v>
      </c>
    </row>
    <row r="841" spans="1:31" x14ac:dyDescent="0.45">
      <c r="A841" t="s">
        <v>1572</v>
      </c>
      <c r="B841" t="s">
        <v>1488</v>
      </c>
      <c r="C841" t="s">
        <v>1409</v>
      </c>
      <c r="D841">
        <v>1</v>
      </c>
      <c r="E841" t="s">
        <v>1161</v>
      </c>
      <c r="F841">
        <f>MAX(MAX(L841:AE841),-MIN(L841:AE841))</f>
        <v>0</v>
      </c>
      <c r="I841" t="s">
        <v>1509</v>
      </c>
      <c r="K841">
        <f t="shared" ref="K841:AE841" si="207">IF(ISNUMBER(K839),IF(ISNUMBER(K840),K840-K839,999999),0)</f>
        <v>0</v>
      </c>
      <c r="L841">
        <f t="shared" si="207"/>
        <v>0</v>
      </c>
      <c r="M841">
        <f t="shared" si="207"/>
        <v>0</v>
      </c>
      <c r="N841">
        <f t="shared" si="207"/>
        <v>0</v>
      </c>
      <c r="O841">
        <f t="shared" si="207"/>
        <v>0</v>
      </c>
      <c r="P841">
        <f t="shared" si="207"/>
        <v>0</v>
      </c>
      <c r="Q841">
        <f t="shared" si="207"/>
        <v>0</v>
      </c>
      <c r="R841">
        <f t="shared" si="207"/>
        <v>0</v>
      </c>
      <c r="S841">
        <f t="shared" si="207"/>
        <v>0</v>
      </c>
      <c r="T841">
        <f t="shared" si="207"/>
        <v>0</v>
      </c>
      <c r="U841">
        <f t="shared" si="207"/>
        <v>0</v>
      </c>
      <c r="V841">
        <f t="shared" si="207"/>
        <v>0</v>
      </c>
      <c r="W841">
        <f t="shared" si="207"/>
        <v>0</v>
      </c>
      <c r="X841">
        <f t="shared" si="207"/>
        <v>0</v>
      </c>
      <c r="Y841">
        <f t="shared" si="207"/>
        <v>0</v>
      </c>
      <c r="Z841">
        <f t="shared" si="207"/>
        <v>0</v>
      </c>
      <c r="AA841">
        <f t="shared" si="207"/>
        <v>0</v>
      </c>
      <c r="AB841">
        <f t="shared" si="207"/>
        <v>0</v>
      </c>
      <c r="AC841">
        <f t="shared" si="207"/>
        <v>0</v>
      </c>
      <c r="AD841">
        <f t="shared" si="207"/>
        <v>0</v>
      </c>
      <c r="AE841">
        <f t="shared" si="207"/>
        <v>0</v>
      </c>
    </row>
    <row r="843" spans="1:31" x14ac:dyDescent="0.45">
      <c r="A843" t="s">
        <v>1573</v>
      </c>
      <c r="B843" t="s">
        <v>1488</v>
      </c>
      <c r="C843" t="s">
        <v>1410</v>
      </c>
      <c r="D843">
        <v>1</v>
      </c>
      <c r="E843" t="s">
        <v>1159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45">
      <c r="A844" t="s">
        <v>1573</v>
      </c>
      <c r="B844" t="s">
        <v>1488</v>
      </c>
      <c r="C844" t="s">
        <v>1410</v>
      </c>
      <c r="D844">
        <v>1</v>
      </c>
      <c r="E844" t="s">
        <v>1160</v>
      </c>
      <c r="K844" t="str">
        <f>IF(ISBLANK(Mitigation_Industry!K356),"",Mitigation_Industry!K356)</f>
        <v/>
      </c>
      <c r="L844">
        <f>IF(ISBLANK(Mitigation_Industry!L356),"",Mitigation_Industry!L356)</f>
        <v>0</v>
      </c>
      <c r="M844">
        <f>IF(ISBLANK(Mitigation_Industry!M356),"",Mitigation_Industry!M356)</f>
        <v>0</v>
      </c>
      <c r="N844">
        <f>IF(ISBLANK(Mitigation_Industry!N356),"",Mitigation_Industry!N356)</f>
        <v>0</v>
      </c>
      <c r="O844">
        <f>IF(ISBLANK(Mitigation_Industry!O356),"",Mitigation_Industry!O356)</f>
        <v>0</v>
      </c>
      <c r="P844">
        <f>IF(ISBLANK(Mitigation_Industry!P356),"",Mitigation_Industry!P356)</f>
        <v>0</v>
      </c>
      <c r="Q844">
        <f>IF(ISBLANK(Mitigation_Industry!Q356),"",Mitigation_Industry!Q356)</f>
        <v>0</v>
      </c>
      <c r="R844">
        <f>IF(ISBLANK(Mitigation_Industry!R356),"",Mitigation_Industry!R356)</f>
        <v>0</v>
      </c>
      <c r="S844">
        <f>IF(ISBLANK(Mitigation_Industry!S356),"",Mitigation_Industry!S356)</f>
        <v>0</v>
      </c>
      <c r="T844">
        <f>IF(ISBLANK(Mitigation_Industry!T356),"",Mitigation_Industry!T356)</f>
        <v>0</v>
      </c>
      <c r="U844">
        <f>IF(ISBLANK(Mitigation_Industry!U356),"",Mitigation_Industry!U356)</f>
        <v>0</v>
      </c>
      <c r="V844">
        <f>IF(ISBLANK(Mitigation_Industry!V356),"",Mitigation_Industry!V356)</f>
        <v>0</v>
      </c>
      <c r="W844">
        <f>IF(ISBLANK(Mitigation_Industry!W356),"",Mitigation_Industry!W356)</f>
        <v>0</v>
      </c>
      <c r="X844">
        <f>IF(ISBLANK(Mitigation_Industry!X356),"",Mitigation_Industry!X356)</f>
        <v>0</v>
      </c>
      <c r="Y844">
        <f>IF(ISBLANK(Mitigation_Industry!Y356),"",Mitigation_Industry!Y356)</f>
        <v>0</v>
      </c>
      <c r="Z844">
        <f>IF(ISBLANK(Mitigation_Industry!Z356),"",Mitigation_Industry!Z356)</f>
        <v>0</v>
      </c>
      <c r="AA844">
        <f>IF(ISBLANK(Mitigation_Industry!AA356),"",Mitigation_Industry!AA356)</f>
        <v>0</v>
      </c>
      <c r="AB844">
        <f>IF(ISBLANK(Mitigation_Industry!AB356),"",Mitigation_Industry!AB356)</f>
        <v>0</v>
      </c>
      <c r="AC844">
        <f>IF(ISBLANK(Mitigation_Industry!AC356),"",Mitigation_Industry!AC356)</f>
        <v>0</v>
      </c>
      <c r="AD844">
        <f>IF(ISBLANK(Mitigation_Industry!AD356),"",Mitigation_Industry!AD356)</f>
        <v>0</v>
      </c>
      <c r="AE844">
        <f>IF(ISBLANK(Mitigation_Industry!AE356),"",Mitigation_Industry!AE356)</f>
        <v>0</v>
      </c>
    </row>
    <row r="845" spans="1:31" x14ac:dyDescent="0.45">
      <c r="A845" t="s">
        <v>1573</v>
      </c>
      <c r="B845" t="s">
        <v>1488</v>
      </c>
      <c r="C845" t="s">
        <v>1410</v>
      </c>
      <c r="D845">
        <v>1</v>
      </c>
      <c r="E845" t="s">
        <v>1161</v>
      </c>
      <c r="F845">
        <f>MAX(MAX(L845:AE845),-MIN(L845:AE845))</f>
        <v>0</v>
      </c>
      <c r="I845" t="s">
        <v>1509</v>
      </c>
      <c r="K845">
        <f t="shared" ref="K845:AE845" si="208">IF(ISNUMBER(K843),IF(ISNUMBER(K844),K844-K843,999999),0)</f>
        <v>0</v>
      </c>
      <c r="L845">
        <f t="shared" si="208"/>
        <v>0</v>
      </c>
      <c r="M845">
        <f t="shared" si="208"/>
        <v>0</v>
      </c>
      <c r="N845">
        <f t="shared" si="208"/>
        <v>0</v>
      </c>
      <c r="O845">
        <f t="shared" si="208"/>
        <v>0</v>
      </c>
      <c r="P845">
        <f t="shared" si="208"/>
        <v>0</v>
      </c>
      <c r="Q845">
        <f t="shared" si="208"/>
        <v>0</v>
      </c>
      <c r="R845">
        <f t="shared" si="208"/>
        <v>0</v>
      </c>
      <c r="S845">
        <f t="shared" si="208"/>
        <v>0</v>
      </c>
      <c r="T845">
        <f t="shared" si="208"/>
        <v>0</v>
      </c>
      <c r="U845">
        <f t="shared" si="208"/>
        <v>0</v>
      </c>
      <c r="V845">
        <f t="shared" si="208"/>
        <v>0</v>
      </c>
      <c r="W845">
        <f t="shared" si="208"/>
        <v>0</v>
      </c>
      <c r="X845">
        <f t="shared" si="208"/>
        <v>0</v>
      </c>
      <c r="Y845">
        <f t="shared" si="208"/>
        <v>0</v>
      </c>
      <c r="Z845">
        <f t="shared" si="208"/>
        <v>0</v>
      </c>
      <c r="AA845">
        <f t="shared" si="208"/>
        <v>0</v>
      </c>
      <c r="AB845">
        <f t="shared" si="208"/>
        <v>0</v>
      </c>
      <c r="AC845">
        <f t="shared" si="208"/>
        <v>0</v>
      </c>
      <c r="AD845">
        <f t="shared" si="208"/>
        <v>0</v>
      </c>
      <c r="AE845">
        <f t="shared" si="208"/>
        <v>0</v>
      </c>
    </row>
    <row r="847" spans="1:31" x14ac:dyDescent="0.45">
      <c r="A847" t="s">
        <v>1574</v>
      </c>
      <c r="B847" t="s">
        <v>1488</v>
      </c>
      <c r="C847" t="s">
        <v>1383</v>
      </c>
      <c r="D847">
        <v>1</v>
      </c>
      <c r="E847" t="s">
        <v>1159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45">
      <c r="A848" t="s">
        <v>1574</v>
      </c>
      <c r="B848" t="s">
        <v>1488</v>
      </c>
      <c r="C848" t="s">
        <v>1383</v>
      </c>
      <c r="D848">
        <v>1</v>
      </c>
      <c r="E848" t="s">
        <v>1160</v>
      </c>
      <c r="K848" t="str">
        <f>IF(ISBLANK(Mitigation_Industry!K357),"",Mitigation_Industry!K357)</f>
        <v/>
      </c>
      <c r="L848">
        <f>IF(ISBLANK(Mitigation_Industry!L357),"",Mitigation_Industry!L357)</f>
        <v>0</v>
      </c>
      <c r="M848">
        <f>IF(ISBLANK(Mitigation_Industry!M357),"",Mitigation_Industry!M357)</f>
        <v>0</v>
      </c>
      <c r="N848">
        <f>IF(ISBLANK(Mitigation_Industry!N357),"",Mitigation_Industry!N357)</f>
        <v>0</v>
      </c>
      <c r="O848">
        <f>IF(ISBLANK(Mitigation_Industry!O357),"",Mitigation_Industry!O357)</f>
        <v>0</v>
      </c>
      <c r="P848">
        <f>IF(ISBLANK(Mitigation_Industry!P357),"",Mitigation_Industry!P357)</f>
        <v>0</v>
      </c>
      <c r="Q848">
        <f>IF(ISBLANK(Mitigation_Industry!Q357),"",Mitigation_Industry!Q357)</f>
        <v>0</v>
      </c>
      <c r="R848">
        <f>IF(ISBLANK(Mitigation_Industry!R357),"",Mitigation_Industry!R357)</f>
        <v>0</v>
      </c>
      <c r="S848">
        <f>IF(ISBLANK(Mitigation_Industry!S357),"",Mitigation_Industry!S357)</f>
        <v>0</v>
      </c>
      <c r="T848">
        <f>IF(ISBLANK(Mitigation_Industry!T357),"",Mitigation_Industry!T357)</f>
        <v>0</v>
      </c>
      <c r="U848">
        <f>IF(ISBLANK(Mitigation_Industry!U357),"",Mitigation_Industry!U357)</f>
        <v>0</v>
      </c>
      <c r="V848">
        <f>IF(ISBLANK(Mitigation_Industry!V357),"",Mitigation_Industry!V357)</f>
        <v>0</v>
      </c>
      <c r="W848">
        <f>IF(ISBLANK(Mitigation_Industry!W357),"",Mitigation_Industry!W357)</f>
        <v>0</v>
      </c>
      <c r="X848">
        <f>IF(ISBLANK(Mitigation_Industry!X357),"",Mitigation_Industry!X357)</f>
        <v>0</v>
      </c>
      <c r="Y848">
        <f>IF(ISBLANK(Mitigation_Industry!Y357),"",Mitigation_Industry!Y357)</f>
        <v>0</v>
      </c>
      <c r="Z848">
        <f>IF(ISBLANK(Mitigation_Industry!Z357),"",Mitigation_Industry!Z357)</f>
        <v>0</v>
      </c>
      <c r="AA848">
        <f>IF(ISBLANK(Mitigation_Industry!AA357),"",Mitigation_Industry!AA357)</f>
        <v>0</v>
      </c>
      <c r="AB848">
        <f>IF(ISBLANK(Mitigation_Industry!AB357),"",Mitigation_Industry!AB357)</f>
        <v>0</v>
      </c>
      <c r="AC848">
        <f>IF(ISBLANK(Mitigation_Industry!AC357),"",Mitigation_Industry!AC357)</f>
        <v>0</v>
      </c>
      <c r="AD848">
        <f>IF(ISBLANK(Mitigation_Industry!AD357),"",Mitigation_Industry!AD357)</f>
        <v>0</v>
      </c>
      <c r="AE848">
        <f>IF(ISBLANK(Mitigation_Industry!AE357),"",Mitigation_Industry!AE357)</f>
        <v>0</v>
      </c>
    </row>
    <row r="849" spans="1:31" x14ac:dyDescent="0.45">
      <c r="A849" t="s">
        <v>1574</v>
      </c>
      <c r="B849" t="s">
        <v>1488</v>
      </c>
      <c r="C849" t="s">
        <v>1383</v>
      </c>
      <c r="D849">
        <v>1</v>
      </c>
      <c r="E849" t="s">
        <v>1161</v>
      </c>
      <c r="F849">
        <f>MAX(MAX(L849:AE849),-MIN(L849:AE849))</f>
        <v>0</v>
      </c>
      <c r="I849" t="s">
        <v>1509</v>
      </c>
      <c r="K849">
        <f t="shared" ref="K849:AE849" si="209">IF(ISNUMBER(K847),IF(ISNUMBER(K848),K848-K847,999999),0)</f>
        <v>0</v>
      </c>
      <c r="L849">
        <f t="shared" si="209"/>
        <v>0</v>
      </c>
      <c r="M849">
        <f t="shared" si="209"/>
        <v>0</v>
      </c>
      <c r="N849">
        <f t="shared" si="209"/>
        <v>0</v>
      </c>
      <c r="O849">
        <f t="shared" si="209"/>
        <v>0</v>
      </c>
      <c r="P849">
        <f t="shared" si="209"/>
        <v>0</v>
      </c>
      <c r="Q849">
        <f t="shared" si="209"/>
        <v>0</v>
      </c>
      <c r="R849">
        <f t="shared" si="209"/>
        <v>0</v>
      </c>
      <c r="S849">
        <f t="shared" si="209"/>
        <v>0</v>
      </c>
      <c r="T849">
        <f t="shared" si="209"/>
        <v>0</v>
      </c>
      <c r="U849">
        <f t="shared" si="209"/>
        <v>0</v>
      </c>
      <c r="V849">
        <f t="shared" si="209"/>
        <v>0</v>
      </c>
      <c r="W849">
        <f t="shared" si="209"/>
        <v>0</v>
      </c>
      <c r="X849">
        <f t="shared" si="209"/>
        <v>0</v>
      </c>
      <c r="Y849">
        <f t="shared" si="209"/>
        <v>0</v>
      </c>
      <c r="Z849">
        <f t="shared" si="209"/>
        <v>0</v>
      </c>
      <c r="AA849">
        <f t="shared" si="209"/>
        <v>0</v>
      </c>
      <c r="AB849">
        <f t="shared" si="209"/>
        <v>0</v>
      </c>
      <c r="AC849">
        <f t="shared" si="209"/>
        <v>0</v>
      </c>
      <c r="AD849">
        <f t="shared" si="209"/>
        <v>0</v>
      </c>
      <c r="AE849">
        <f t="shared" si="209"/>
        <v>0</v>
      </c>
    </row>
    <row r="851" spans="1:31" x14ac:dyDescent="0.45">
      <c r="A851" t="s">
        <v>1575</v>
      </c>
      <c r="B851" t="s">
        <v>1488</v>
      </c>
      <c r="C851" t="s">
        <v>1411</v>
      </c>
      <c r="D851">
        <v>1</v>
      </c>
      <c r="E851" t="s">
        <v>1159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45">
      <c r="A852" t="s">
        <v>1575</v>
      </c>
      <c r="B852" t="s">
        <v>1488</v>
      </c>
      <c r="C852" t="s">
        <v>1411</v>
      </c>
      <c r="D852">
        <v>1</v>
      </c>
      <c r="E852" t="s">
        <v>1160</v>
      </c>
      <c r="K852" t="str">
        <f>IF(ISBLANK(Mitigation_Industry!K358),"",Mitigation_Industry!K358)</f>
        <v/>
      </c>
      <c r="L852">
        <f>IF(ISBLANK(Mitigation_Industry!L358),"",Mitigation_Industry!L358)</f>
        <v>0</v>
      </c>
      <c r="M852">
        <f>IF(ISBLANK(Mitigation_Industry!M358),"",Mitigation_Industry!M358)</f>
        <v>0</v>
      </c>
      <c r="N852">
        <f>IF(ISBLANK(Mitigation_Industry!N358),"",Mitigation_Industry!N358)</f>
        <v>0</v>
      </c>
      <c r="O852">
        <f>IF(ISBLANK(Mitigation_Industry!O358),"",Mitigation_Industry!O358)</f>
        <v>0</v>
      </c>
      <c r="P852">
        <f>IF(ISBLANK(Mitigation_Industry!P358),"",Mitigation_Industry!P358)</f>
        <v>0</v>
      </c>
      <c r="Q852">
        <f>IF(ISBLANK(Mitigation_Industry!Q358),"",Mitigation_Industry!Q358)</f>
        <v>0</v>
      </c>
      <c r="R852">
        <f>IF(ISBLANK(Mitigation_Industry!R358),"",Mitigation_Industry!R358)</f>
        <v>0</v>
      </c>
      <c r="S852">
        <f>IF(ISBLANK(Mitigation_Industry!S358),"",Mitigation_Industry!S358)</f>
        <v>0</v>
      </c>
      <c r="T852">
        <f>IF(ISBLANK(Mitigation_Industry!T358),"",Mitigation_Industry!T358)</f>
        <v>0</v>
      </c>
      <c r="U852">
        <f>IF(ISBLANK(Mitigation_Industry!U358),"",Mitigation_Industry!U358)</f>
        <v>0</v>
      </c>
      <c r="V852">
        <f>IF(ISBLANK(Mitigation_Industry!V358),"",Mitigation_Industry!V358)</f>
        <v>0</v>
      </c>
      <c r="W852">
        <f>IF(ISBLANK(Mitigation_Industry!W358),"",Mitigation_Industry!W358)</f>
        <v>0</v>
      </c>
      <c r="X852">
        <f>IF(ISBLANK(Mitigation_Industry!X358),"",Mitigation_Industry!X358)</f>
        <v>0</v>
      </c>
      <c r="Y852">
        <f>IF(ISBLANK(Mitigation_Industry!Y358),"",Mitigation_Industry!Y358)</f>
        <v>0</v>
      </c>
      <c r="Z852">
        <f>IF(ISBLANK(Mitigation_Industry!Z358),"",Mitigation_Industry!Z358)</f>
        <v>0</v>
      </c>
      <c r="AA852">
        <f>IF(ISBLANK(Mitigation_Industry!AA358),"",Mitigation_Industry!AA358)</f>
        <v>0</v>
      </c>
      <c r="AB852">
        <f>IF(ISBLANK(Mitigation_Industry!AB358),"",Mitigation_Industry!AB358)</f>
        <v>0</v>
      </c>
      <c r="AC852">
        <f>IF(ISBLANK(Mitigation_Industry!AC358),"",Mitigation_Industry!AC358)</f>
        <v>0</v>
      </c>
      <c r="AD852">
        <f>IF(ISBLANK(Mitigation_Industry!AD358),"",Mitigation_Industry!AD358)</f>
        <v>0</v>
      </c>
      <c r="AE852">
        <f>IF(ISBLANK(Mitigation_Industry!AE358),"",Mitigation_Industry!AE358)</f>
        <v>0</v>
      </c>
    </row>
    <row r="853" spans="1:31" x14ac:dyDescent="0.45">
      <c r="A853" t="s">
        <v>1575</v>
      </c>
      <c r="B853" t="s">
        <v>1488</v>
      </c>
      <c r="C853" t="s">
        <v>1411</v>
      </c>
      <c r="D853">
        <v>1</v>
      </c>
      <c r="E853" t="s">
        <v>1161</v>
      </c>
      <c r="F853">
        <f>MAX(MAX(L853:AE853),-MIN(L853:AE853))</f>
        <v>0</v>
      </c>
      <c r="I853" t="s">
        <v>1509</v>
      </c>
      <c r="K853">
        <f t="shared" ref="K853:AE853" si="210">IF(ISNUMBER(K851),IF(ISNUMBER(K852),K852-K851,999999),0)</f>
        <v>0</v>
      </c>
      <c r="L853">
        <f t="shared" si="210"/>
        <v>0</v>
      </c>
      <c r="M853">
        <f t="shared" si="210"/>
        <v>0</v>
      </c>
      <c r="N853">
        <f t="shared" si="210"/>
        <v>0</v>
      </c>
      <c r="O853">
        <f t="shared" si="210"/>
        <v>0</v>
      </c>
      <c r="P853">
        <f t="shared" si="210"/>
        <v>0</v>
      </c>
      <c r="Q853">
        <f t="shared" si="210"/>
        <v>0</v>
      </c>
      <c r="R853">
        <f t="shared" si="210"/>
        <v>0</v>
      </c>
      <c r="S853">
        <f t="shared" si="210"/>
        <v>0</v>
      </c>
      <c r="T853">
        <f t="shared" si="210"/>
        <v>0</v>
      </c>
      <c r="U853">
        <f t="shared" si="210"/>
        <v>0</v>
      </c>
      <c r="V853">
        <f t="shared" si="210"/>
        <v>0</v>
      </c>
      <c r="W853">
        <f t="shared" si="210"/>
        <v>0</v>
      </c>
      <c r="X853">
        <f t="shared" si="210"/>
        <v>0</v>
      </c>
      <c r="Y853">
        <f t="shared" si="210"/>
        <v>0</v>
      </c>
      <c r="Z853">
        <f t="shared" si="210"/>
        <v>0</v>
      </c>
      <c r="AA853">
        <f t="shared" si="210"/>
        <v>0</v>
      </c>
      <c r="AB853">
        <f t="shared" si="210"/>
        <v>0</v>
      </c>
      <c r="AC853">
        <f t="shared" si="210"/>
        <v>0</v>
      </c>
      <c r="AD853">
        <f t="shared" si="210"/>
        <v>0</v>
      </c>
      <c r="AE853">
        <f t="shared" si="210"/>
        <v>0</v>
      </c>
    </row>
    <row r="855" spans="1:31" x14ac:dyDescent="0.45">
      <c r="A855" t="s">
        <v>1576</v>
      </c>
      <c r="B855" t="s">
        <v>1488</v>
      </c>
      <c r="C855" t="s">
        <v>1397</v>
      </c>
      <c r="D855">
        <v>1</v>
      </c>
      <c r="E855" t="s">
        <v>1159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45">
      <c r="A856" t="s">
        <v>1576</v>
      </c>
      <c r="B856" t="s">
        <v>1488</v>
      </c>
      <c r="C856" t="s">
        <v>1397</v>
      </c>
      <c r="D856">
        <v>1</v>
      </c>
      <c r="E856" t="s">
        <v>1160</v>
      </c>
      <c r="K856" t="str">
        <f>IF(ISBLANK(Mitigation_Industry!K359),"",Mitigation_Industry!K359)</f>
        <v/>
      </c>
      <c r="L856">
        <f>IF(ISBLANK(Mitigation_Industry!L359),"",Mitigation_Industry!L359)</f>
        <v>0</v>
      </c>
      <c r="M856">
        <f>IF(ISBLANK(Mitigation_Industry!M359),"",Mitigation_Industry!M359)</f>
        <v>0</v>
      </c>
      <c r="N856">
        <f>IF(ISBLANK(Mitigation_Industry!N359),"",Mitigation_Industry!N359)</f>
        <v>0</v>
      </c>
      <c r="O856">
        <f>IF(ISBLANK(Mitigation_Industry!O359),"",Mitigation_Industry!O359)</f>
        <v>0</v>
      </c>
      <c r="P856">
        <f>IF(ISBLANK(Mitigation_Industry!P359),"",Mitigation_Industry!P359)</f>
        <v>0</v>
      </c>
      <c r="Q856">
        <f>IF(ISBLANK(Mitigation_Industry!Q359),"",Mitigation_Industry!Q359)</f>
        <v>0</v>
      </c>
      <c r="R856">
        <f>IF(ISBLANK(Mitigation_Industry!R359),"",Mitigation_Industry!R359)</f>
        <v>0</v>
      </c>
      <c r="S856">
        <f>IF(ISBLANK(Mitigation_Industry!S359),"",Mitigation_Industry!S359)</f>
        <v>0</v>
      </c>
      <c r="T856">
        <f>IF(ISBLANK(Mitigation_Industry!T359),"",Mitigation_Industry!T359)</f>
        <v>0</v>
      </c>
      <c r="U856">
        <f>IF(ISBLANK(Mitigation_Industry!U359),"",Mitigation_Industry!U359)</f>
        <v>0</v>
      </c>
      <c r="V856">
        <f>IF(ISBLANK(Mitigation_Industry!V359),"",Mitigation_Industry!V359)</f>
        <v>0</v>
      </c>
      <c r="W856">
        <f>IF(ISBLANK(Mitigation_Industry!W359),"",Mitigation_Industry!W359)</f>
        <v>0</v>
      </c>
      <c r="X856">
        <f>IF(ISBLANK(Mitigation_Industry!X359),"",Mitigation_Industry!X359)</f>
        <v>0</v>
      </c>
      <c r="Y856">
        <f>IF(ISBLANK(Mitigation_Industry!Y359),"",Mitigation_Industry!Y359)</f>
        <v>0</v>
      </c>
      <c r="Z856">
        <f>IF(ISBLANK(Mitigation_Industry!Z359),"",Mitigation_Industry!Z359)</f>
        <v>0</v>
      </c>
      <c r="AA856">
        <f>IF(ISBLANK(Mitigation_Industry!AA359),"",Mitigation_Industry!AA359)</f>
        <v>0</v>
      </c>
      <c r="AB856">
        <f>IF(ISBLANK(Mitigation_Industry!AB359),"",Mitigation_Industry!AB359)</f>
        <v>0</v>
      </c>
      <c r="AC856">
        <f>IF(ISBLANK(Mitigation_Industry!AC359),"",Mitigation_Industry!AC359)</f>
        <v>0</v>
      </c>
      <c r="AD856">
        <f>IF(ISBLANK(Mitigation_Industry!AD359),"",Mitigation_Industry!AD359)</f>
        <v>0</v>
      </c>
      <c r="AE856">
        <f>IF(ISBLANK(Mitigation_Industry!AE359),"",Mitigation_Industry!AE359)</f>
        <v>0</v>
      </c>
    </row>
    <row r="857" spans="1:31" x14ac:dyDescent="0.45">
      <c r="A857" t="s">
        <v>1576</v>
      </c>
      <c r="B857" t="s">
        <v>1488</v>
      </c>
      <c r="C857" t="s">
        <v>1397</v>
      </c>
      <c r="D857">
        <v>1</v>
      </c>
      <c r="E857" t="s">
        <v>1161</v>
      </c>
      <c r="F857">
        <f>MAX(MAX(L857:AE857),-MIN(L857:AE857))</f>
        <v>0</v>
      </c>
      <c r="I857" t="s">
        <v>1509</v>
      </c>
      <c r="K857">
        <f t="shared" ref="K857:AE857" si="211">IF(ISNUMBER(K855),IF(ISNUMBER(K856),K856-K855,999999),0)</f>
        <v>0</v>
      </c>
      <c r="L857">
        <f t="shared" si="211"/>
        <v>0</v>
      </c>
      <c r="M857">
        <f t="shared" si="211"/>
        <v>0</v>
      </c>
      <c r="N857">
        <f t="shared" si="211"/>
        <v>0</v>
      </c>
      <c r="O857">
        <f t="shared" si="211"/>
        <v>0</v>
      </c>
      <c r="P857">
        <f t="shared" si="211"/>
        <v>0</v>
      </c>
      <c r="Q857">
        <f t="shared" si="211"/>
        <v>0</v>
      </c>
      <c r="R857">
        <f t="shared" si="211"/>
        <v>0</v>
      </c>
      <c r="S857">
        <f t="shared" si="211"/>
        <v>0</v>
      </c>
      <c r="T857">
        <f t="shared" si="211"/>
        <v>0</v>
      </c>
      <c r="U857">
        <f t="shared" si="211"/>
        <v>0</v>
      </c>
      <c r="V857">
        <f t="shared" si="211"/>
        <v>0</v>
      </c>
      <c r="W857">
        <f t="shared" si="211"/>
        <v>0</v>
      </c>
      <c r="X857">
        <f t="shared" si="211"/>
        <v>0</v>
      </c>
      <c r="Y857">
        <f t="shared" si="211"/>
        <v>0</v>
      </c>
      <c r="Z857">
        <f t="shared" si="211"/>
        <v>0</v>
      </c>
      <c r="AA857">
        <f t="shared" si="211"/>
        <v>0</v>
      </c>
      <c r="AB857">
        <f t="shared" si="211"/>
        <v>0</v>
      </c>
      <c r="AC857">
        <f t="shared" si="211"/>
        <v>0</v>
      </c>
      <c r="AD857">
        <f t="shared" si="211"/>
        <v>0</v>
      </c>
      <c r="AE857">
        <f t="shared" si="211"/>
        <v>0</v>
      </c>
    </row>
    <row r="859" spans="1:31" x14ac:dyDescent="0.45">
      <c r="A859" t="s">
        <v>1577</v>
      </c>
      <c r="B859" t="s">
        <v>1488</v>
      </c>
      <c r="D859">
        <v>1</v>
      </c>
      <c r="E859" t="s">
        <v>1159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45">
      <c r="A860" t="s">
        <v>1577</v>
      </c>
      <c r="B860" t="s">
        <v>1488</v>
      </c>
      <c r="D860">
        <v>1</v>
      </c>
      <c r="E860" t="s">
        <v>1160</v>
      </c>
      <c r="K860" t="str">
        <f>IF(ISBLANK(Mitigation_Industry!K360),"",Mitigation_Industry!K360)</f>
        <v/>
      </c>
      <c r="L860">
        <f>IF(ISBLANK(Mitigation_Industry!L360),"",Mitigation_Industry!L360)</f>
        <v>0</v>
      </c>
      <c r="M860">
        <f>IF(ISBLANK(Mitigation_Industry!M360),"",Mitigation_Industry!M360)</f>
        <v>0</v>
      </c>
      <c r="N860">
        <f>IF(ISBLANK(Mitigation_Industry!N360),"",Mitigation_Industry!N360)</f>
        <v>0</v>
      </c>
      <c r="O860">
        <f>IF(ISBLANK(Mitigation_Industry!O360),"",Mitigation_Industry!O360)</f>
        <v>0</v>
      </c>
      <c r="P860">
        <f>IF(ISBLANK(Mitigation_Industry!P360),"",Mitigation_Industry!P360)</f>
        <v>0</v>
      </c>
      <c r="Q860">
        <f>IF(ISBLANK(Mitigation_Industry!Q360),"",Mitigation_Industry!Q360)</f>
        <v>0</v>
      </c>
      <c r="R860">
        <f>IF(ISBLANK(Mitigation_Industry!R360),"",Mitigation_Industry!R360)</f>
        <v>0</v>
      </c>
      <c r="S860">
        <f>IF(ISBLANK(Mitigation_Industry!S360),"",Mitigation_Industry!S360)</f>
        <v>0</v>
      </c>
      <c r="T860">
        <f>IF(ISBLANK(Mitigation_Industry!T360),"",Mitigation_Industry!T360)</f>
        <v>0</v>
      </c>
      <c r="U860">
        <f>IF(ISBLANK(Mitigation_Industry!U360),"",Mitigation_Industry!U360)</f>
        <v>0</v>
      </c>
      <c r="V860">
        <f>IF(ISBLANK(Mitigation_Industry!V360),"",Mitigation_Industry!V360)</f>
        <v>0</v>
      </c>
      <c r="W860">
        <f>IF(ISBLANK(Mitigation_Industry!W360),"",Mitigation_Industry!W360)</f>
        <v>0</v>
      </c>
      <c r="X860">
        <f>IF(ISBLANK(Mitigation_Industry!X360),"",Mitigation_Industry!X360)</f>
        <v>0</v>
      </c>
      <c r="Y860">
        <f>IF(ISBLANK(Mitigation_Industry!Y360),"",Mitigation_Industry!Y360)</f>
        <v>0</v>
      </c>
      <c r="Z860">
        <f>IF(ISBLANK(Mitigation_Industry!Z360),"",Mitigation_Industry!Z360)</f>
        <v>0</v>
      </c>
      <c r="AA860">
        <f>IF(ISBLANK(Mitigation_Industry!AA360),"",Mitigation_Industry!AA360)</f>
        <v>0</v>
      </c>
      <c r="AB860">
        <f>IF(ISBLANK(Mitigation_Industry!AB360),"",Mitigation_Industry!AB360)</f>
        <v>0</v>
      </c>
      <c r="AC860">
        <f>IF(ISBLANK(Mitigation_Industry!AC360),"",Mitigation_Industry!AC360)</f>
        <v>0</v>
      </c>
      <c r="AD860">
        <f>IF(ISBLANK(Mitigation_Industry!AD360),"",Mitigation_Industry!AD360)</f>
        <v>0</v>
      </c>
      <c r="AE860">
        <f>IF(ISBLANK(Mitigation_Industry!AE360),"",Mitigation_Industry!AE360)</f>
        <v>0</v>
      </c>
    </row>
    <row r="861" spans="1:31" x14ac:dyDescent="0.45">
      <c r="A861" t="s">
        <v>1577</v>
      </c>
      <c r="B861" t="s">
        <v>1488</v>
      </c>
      <c r="D861">
        <v>1</v>
      </c>
      <c r="E861" t="s">
        <v>1161</v>
      </c>
      <c r="F861">
        <f>MAX(MAX(L861:AE861),-MIN(L861:AE861))</f>
        <v>0</v>
      </c>
      <c r="I861" t="s">
        <v>1509</v>
      </c>
      <c r="K861">
        <f t="shared" ref="K861:AE861" si="212">IF(ISNUMBER(K859),IF(ISNUMBER(K860),K860-K859,999999),0)</f>
        <v>0</v>
      </c>
      <c r="L861">
        <f t="shared" si="212"/>
        <v>0</v>
      </c>
      <c r="M861">
        <f t="shared" si="212"/>
        <v>0</v>
      </c>
      <c r="N861">
        <f t="shared" si="212"/>
        <v>0</v>
      </c>
      <c r="O861">
        <f t="shared" si="212"/>
        <v>0</v>
      </c>
      <c r="P861">
        <f t="shared" si="212"/>
        <v>0</v>
      </c>
      <c r="Q861">
        <f t="shared" si="212"/>
        <v>0</v>
      </c>
      <c r="R861">
        <f t="shared" si="212"/>
        <v>0</v>
      </c>
      <c r="S861">
        <f t="shared" si="212"/>
        <v>0</v>
      </c>
      <c r="T861">
        <f t="shared" si="212"/>
        <v>0</v>
      </c>
      <c r="U861">
        <f t="shared" si="212"/>
        <v>0</v>
      </c>
      <c r="V861">
        <f t="shared" si="212"/>
        <v>0</v>
      </c>
      <c r="W861">
        <f t="shared" si="212"/>
        <v>0</v>
      </c>
      <c r="X861">
        <f t="shared" si="212"/>
        <v>0</v>
      </c>
      <c r="Y861">
        <f t="shared" si="212"/>
        <v>0</v>
      </c>
      <c r="Z861">
        <f t="shared" si="212"/>
        <v>0</v>
      </c>
      <c r="AA861">
        <f t="shared" si="212"/>
        <v>0</v>
      </c>
      <c r="AB861">
        <f t="shared" si="212"/>
        <v>0</v>
      </c>
      <c r="AC861">
        <f t="shared" si="212"/>
        <v>0</v>
      </c>
      <c r="AD861">
        <f t="shared" si="212"/>
        <v>0</v>
      </c>
      <c r="AE861">
        <f t="shared" si="212"/>
        <v>0</v>
      </c>
    </row>
    <row r="863" spans="1:31" x14ac:dyDescent="0.45">
      <c r="A863" t="s">
        <v>1578</v>
      </c>
      <c r="B863" t="s">
        <v>1491</v>
      </c>
      <c r="C863" t="s">
        <v>1350</v>
      </c>
      <c r="D863">
        <v>1</v>
      </c>
      <c r="E863" t="s">
        <v>1159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45">
      <c r="A864" t="s">
        <v>1578</v>
      </c>
      <c r="B864" t="s">
        <v>1491</v>
      </c>
      <c r="C864" t="s">
        <v>1350</v>
      </c>
      <c r="D864">
        <v>1</v>
      </c>
      <c r="E864" t="s">
        <v>1160</v>
      </c>
      <c r="K864" t="str">
        <f>IF(ISBLANK(Mitigation_Industry!K363),"",Mitigation_Industry!K363)</f>
        <v/>
      </c>
      <c r="L864">
        <f>IF(ISBLANK(Mitigation_Industry!L363),"",Mitigation_Industry!L363)</f>
        <v>0</v>
      </c>
      <c r="M864">
        <f>IF(ISBLANK(Mitigation_Industry!M363),"",Mitigation_Industry!M363)</f>
        <v>0</v>
      </c>
      <c r="N864">
        <f>IF(ISBLANK(Mitigation_Industry!N363),"",Mitigation_Industry!N363)</f>
        <v>0</v>
      </c>
      <c r="O864">
        <f>IF(ISBLANK(Mitigation_Industry!O363),"",Mitigation_Industry!O363)</f>
        <v>0</v>
      </c>
      <c r="P864">
        <f>IF(ISBLANK(Mitigation_Industry!P363),"",Mitigation_Industry!P363)</f>
        <v>0</v>
      </c>
      <c r="Q864">
        <f>IF(ISBLANK(Mitigation_Industry!Q363),"",Mitigation_Industry!Q363)</f>
        <v>0</v>
      </c>
      <c r="R864">
        <f>IF(ISBLANK(Mitigation_Industry!R363),"",Mitigation_Industry!R363)</f>
        <v>0</v>
      </c>
      <c r="S864">
        <f>IF(ISBLANK(Mitigation_Industry!S363),"",Mitigation_Industry!S363)</f>
        <v>0</v>
      </c>
      <c r="T864">
        <f>IF(ISBLANK(Mitigation_Industry!T363),"",Mitigation_Industry!T363)</f>
        <v>0</v>
      </c>
      <c r="U864">
        <f>IF(ISBLANK(Mitigation_Industry!U363),"",Mitigation_Industry!U363)</f>
        <v>0</v>
      </c>
      <c r="V864">
        <f>IF(ISBLANK(Mitigation_Industry!V363),"",Mitigation_Industry!V363)</f>
        <v>0</v>
      </c>
      <c r="W864">
        <f>IF(ISBLANK(Mitigation_Industry!W363),"",Mitigation_Industry!W363)</f>
        <v>0</v>
      </c>
      <c r="X864">
        <f>IF(ISBLANK(Mitigation_Industry!X363),"",Mitigation_Industry!X363)</f>
        <v>0</v>
      </c>
      <c r="Y864">
        <f>IF(ISBLANK(Mitigation_Industry!Y363),"",Mitigation_Industry!Y363)</f>
        <v>0</v>
      </c>
      <c r="Z864">
        <f>IF(ISBLANK(Mitigation_Industry!Z363),"",Mitigation_Industry!Z363)</f>
        <v>0</v>
      </c>
      <c r="AA864">
        <f>IF(ISBLANK(Mitigation_Industry!AA363),"",Mitigation_Industry!AA363)</f>
        <v>0</v>
      </c>
      <c r="AB864">
        <f>IF(ISBLANK(Mitigation_Industry!AB363),"",Mitigation_Industry!AB363)</f>
        <v>0</v>
      </c>
      <c r="AC864">
        <f>IF(ISBLANK(Mitigation_Industry!AC363),"",Mitigation_Industry!AC363)</f>
        <v>0</v>
      </c>
      <c r="AD864">
        <f>IF(ISBLANK(Mitigation_Industry!AD363),"",Mitigation_Industry!AD363)</f>
        <v>0</v>
      </c>
      <c r="AE864">
        <f>IF(ISBLANK(Mitigation_Industry!AE363),"",Mitigation_Industry!AE363)</f>
        <v>0</v>
      </c>
    </row>
    <row r="865" spans="1:31" x14ac:dyDescent="0.45">
      <c r="A865" t="s">
        <v>1578</v>
      </c>
      <c r="B865" t="s">
        <v>1491</v>
      </c>
      <c r="C865" t="s">
        <v>1350</v>
      </c>
      <c r="D865">
        <v>1</v>
      </c>
      <c r="E865" t="s">
        <v>1161</v>
      </c>
      <c r="F865">
        <f>MAX(MAX(L865:AE865),-MIN(L865:AE865))</f>
        <v>0</v>
      </c>
      <c r="I865" t="s">
        <v>1509</v>
      </c>
      <c r="K865">
        <f t="shared" ref="K865:AE865" si="213">IF(ISNUMBER(K863),IF(ISNUMBER(K864),K864-K863,999999),0)</f>
        <v>0</v>
      </c>
      <c r="L865">
        <f t="shared" si="213"/>
        <v>0</v>
      </c>
      <c r="M865">
        <f t="shared" si="213"/>
        <v>0</v>
      </c>
      <c r="N865">
        <f t="shared" si="213"/>
        <v>0</v>
      </c>
      <c r="O865">
        <f t="shared" si="213"/>
        <v>0</v>
      </c>
      <c r="P865">
        <f t="shared" si="213"/>
        <v>0</v>
      </c>
      <c r="Q865">
        <f t="shared" si="213"/>
        <v>0</v>
      </c>
      <c r="R865">
        <f t="shared" si="213"/>
        <v>0</v>
      </c>
      <c r="S865">
        <f t="shared" si="213"/>
        <v>0</v>
      </c>
      <c r="T865">
        <f t="shared" si="213"/>
        <v>0</v>
      </c>
      <c r="U865">
        <f t="shared" si="213"/>
        <v>0</v>
      </c>
      <c r="V865">
        <f t="shared" si="213"/>
        <v>0</v>
      </c>
      <c r="W865">
        <f t="shared" si="213"/>
        <v>0</v>
      </c>
      <c r="X865">
        <f t="shared" si="213"/>
        <v>0</v>
      </c>
      <c r="Y865">
        <f t="shared" si="213"/>
        <v>0</v>
      </c>
      <c r="Z865">
        <f t="shared" si="213"/>
        <v>0</v>
      </c>
      <c r="AA865">
        <f t="shared" si="213"/>
        <v>0</v>
      </c>
      <c r="AB865">
        <f t="shared" si="213"/>
        <v>0</v>
      </c>
      <c r="AC865">
        <f t="shared" si="213"/>
        <v>0</v>
      </c>
      <c r="AD865">
        <f t="shared" si="213"/>
        <v>0</v>
      </c>
      <c r="AE865">
        <f t="shared" si="213"/>
        <v>0</v>
      </c>
    </row>
    <row r="867" spans="1:31" x14ac:dyDescent="0.45">
      <c r="A867" t="s">
        <v>1579</v>
      </c>
      <c r="B867" t="s">
        <v>1491</v>
      </c>
      <c r="C867" t="s">
        <v>1357</v>
      </c>
      <c r="D867">
        <v>1</v>
      </c>
      <c r="E867" t="s">
        <v>1159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45">
      <c r="A868" t="s">
        <v>1579</v>
      </c>
      <c r="B868" t="s">
        <v>1491</v>
      </c>
      <c r="C868" t="s">
        <v>1357</v>
      </c>
      <c r="D868">
        <v>1</v>
      </c>
      <c r="E868" t="s">
        <v>1160</v>
      </c>
      <c r="K868" t="str">
        <f>IF(ISBLANK(Mitigation_Industry!K364),"",Mitigation_Industry!K364)</f>
        <v/>
      </c>
      <c r="L868">
        <f>IF(ISBLANK(Mitigation_Industry!L364),"",Mitigation_Industry!L364)</f>
        <v>0</v>
      </c>
      <c r="M868">
        <f>IF(ISBLANK(Mitigation_Industry!M364),"",Mitigation_Industry!M364)</f>
        <v>0</v>
      </c>
      <c r="N868">
        <f>IF(ISBLANK(Mitigation_Industry!N364),"",Mitigation_Industry!N364)</f>
        <v>0</v>
      </c>
      <c r="O868">
        <f>IF(ISBLANK(Mitigation_Industry!O364),"",Mitigation_Industry!O364)</f>
        <v>0</v>
      </c>
      <c r="P868">
        <f>IF(ISBLANK(Mitigation_Industry!P364),"",Mitigation_Industry!P364)</f>
        <v>0</v>
      </c>
      <c r="Q868">
        <f>IF(ISBLANK(Mitigation_Industry!Q364),"",Mitigation_Industry!Q364)</f>
        <v>0</v>
      </c>
      <c r="R868">
        <f>IF(ISBLANK(Mitigation_Industry!R364),"",Mitigation_Industry!R364)</f>
        <v>0</v>
      </c>
      <c r="S868">
        <f>IF(ISBLANK(Mitigation_Industry!S364),"",Mitigation_Industry!S364)</f>
        <v>0</v>
      </c>
      <c r="T868">
        <f>IF(ISBLANK(Mitigation_Industry!T364),"",Mitigation_Industry!T364)</f>
        <v>0</v>
      </c>
      <c r="U868">
        <f>IF(ISBLANK(Mitigation_Industry!U364),"",Mitigation_Industry!U364)</f>
        <v>0</v>
      </c>
      <c r="V868">
        <f>IF(ISBLANK(Mitigation_Industry!V364),"",Mitigation_Industry!V364)</f>
        <v>0</v>
      </c>
      <c r="W868">
        <f>IF(ISBLANK(Mitigation_Industry!W364),"",Mitigation_Industry!W364)</f>
        <v>0</v>
      </c>
      <c r="X868">
        <f>IF(ISBLANK(Mitigation_Industry!X364),"",Mitigation_Industry!X364)</f>
        <v>0</v>
      </c>
      <c r="Y868">
        <f>IF(ISBLANK(Mitigation_Industry!Y364),"",Mitigation_Industry!Y364)</f>
        <v>0</v>
      </c>
      <c r="Z868">
        <f>IF(ISBLANK(Mitigation_Industry!Z364),"",Mitigation_Industry!Z364)</f>
        <v>0</v>
      </c>
      <c r="AA868">
        <f>IF(ISBLANK(Mitigation_Industry!AA364),"",Mitigation_Industry!AA364)</f>
        <v>0</v>
      </c>
      <c r="AB868">
        <f>IF(ISBLANK(Mitigation_Industry!AB364),"",Mitigation_Industry!AB364)</f>
        <v>0</v>
      </c>
      <c r="AC868">
        <f>IF(ISBLANK(Mitigation_Industry!AC364),"",Mitigation_Industry!AC364)</f>
        <v>0</v>
      </c>
      <c r="AD868">
        <f>IF(ISBLANK(Mitigation_Industry!AD364),"",Mitigation_Industry!AD364)</f>
        <v>0</v>
      </c>
      <c r="AE868">
        <f>IF(ISBLANK(Mitigation_Industry!AE364),"",Mitigation_Industry!AE364)</f>
        <v>0</v>
      </c>
    </row>
    <row r="869" spans="1:31" x14ac:dyDescent="0.45">
      <c r="A869" t="s">
        <v>1579</v>
      </c>
      <c r="B869" t="s">
        <v>1491</v>
      </c>
      <c r="C869" t="s">
        <v>1357</v>
      </c>
      <c r="D869">
        <v>1</v>
      </c>
      <c r="E869" t="s">
        <v>1161</v>
      </c>
      <c r="F869">
        <f>MAX(MAX(L869:AE869),-MIN(L869:AE869))</f>
        <v>0</v>
      </c>
      <c r="I869" t="s">
        <v>1509</v>
      </c>
      <c r="K869">
        <f t="shared" ref="K869:AE869" si="214">IF(ISNUMBER(K867),IF(ISNUMBER(K868),K868-K867,999999),0)</f>
        <v>0</v>
      </c>
      <c r="L869">
        <f t="shared" si="214"/>
        <v>0</v>
      </c>
      <c r="M869">
        <f t="shared" si="214"/>
        <v>0</v>
      </c>
      <c r="N869">
        <f t="shared" si="214"/>
        <v>0</v>
      </c>
      <c r="O869">
        <f t="shared" si="214"/>
        <v>0</v>
      </c>
      <c r="P869">
        <f t="shared" si="214"/>
        <v>0</v>
      </c>
      <c r="Q869">
        <f t="shared" si="214"/>
        <v>0</v>
      </c>
      <c r="R869">
        <f t="shared" si="214"/>
        <v>0</v>
      </c>
      <c r="S869">
        <f t="shared" si="214"/>
        <v>0</v>
      </c>
      <c r="T869">
        <f t="shared" si="214"/>
        <v>0</v>
      </c>
      <c r="U869">
        <f t="shared" si="214"/>
        <v>0</v>
      </c>
      <c r="V869">
        <f t="shared" si="214"/>
        <v>0</v>
      </c>
      <c r="W869">
        <f t="shared" si="214"/>
        <v>0</v>
      </c>
      <c r="X869">
        <f t="shared" si="214"/>
        <v>0</v>
      </c>
      <c r="Y869">
        <f t="shared" si="214"/>
        <v>0</v>
      </c>
      <c r="Z869">
        <f t="shared" si="214"/>
        <v>0</v>
      </c>
      <c r="AA869">
        <f t="shared" si="214"/>
        <v>0</v>
      </c>
      <c r="AB869">
        <f t="shared" si="214"/>
        <v>0</v>
      </c>
      <c r="AC869">
        <f t="shared" si="214"/>
        <v>0</v>
      </c>
      <c r="AD869">
        <f t="shared" si="214"/>
        <v>0</v>
      </c>
      <c r="AE869">
        <f t="shared" si="214"/>
        <v>0</v>
      </c>
    </row>
    <row r="871" spans="1:31" x14ac:dyDescent="0.45">
      <c r="A871" t="s">
        <v>1580</v>
      </c>
      <c r="B871" t="s">
        <v>1491</v>
      </c>
      <c r="C871" t="s">
        <v>1408</v>
      </c>
      <c r="D871">
        <v>1</v>
      </c>
      <c r="E871" t="s">
        <v>1159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45">
      <c r="A872" t="s">
        <v>1580</v>
      </c>
      <c r="B872" t="s">
        <v>1491</v>
      </c>
      <c r="C872" t="s">
        <v>1408</v>
      </c>
      <c r="D872">
        <v>1</v>
      </c>
      <c r="E872" t="s">
        <v>1160</v>
      </c>
      <c r="K872" t="str">
        <f>IF(ISBLANK(Mitigation_Industry!K365),"",Mitigation_Industry!K365)</f>
        <v/>
      </c>
      <c r="L872">
        <f>IF(ISBLANK(Mitigation_Industry!L365),"",Mitigation_Industry!L365)</f>
        <v>0</v>
      </c>
      <c r="M872">
        <f>IF(ISBLANK(Mitigation_Industry!M365),"",Mitigation_Industry!M365)</f>
        <v>0</v>
      </c>
      <c r="N872">
        <f>IF(ISBLANK(Mitigation_Industry!N365),"",Mitigation_Industry!N365)</f>
        <v>0</v>
      </c>
      <c r="O872">
        <f>IF(ISBLANK(Mitigation_Industry!O365),"",Mitigation_Industry!O365)</f>
        <v>0</v>
      </c>
      <c r="P872">
        <f>IF(ISBLANK(Mitigation_Industry!P365),"",Mitigation_Industry!P365)</f>
        <v>0</v>
      </c>
      <c r="Q872">
        <f>IF(ISBLANK(Mitigation_Industry!Q365),"",Mitigation_Industry!Q365)</f>
        <v>0</v>
      </c>
      <c r="R872">
        <f>IF(ISBLANK(Mitigation_Industry!R365),"",Mitigation_Industry!R365)</f>
        <v>0</v>
      </c>
      <c r="S872">
        <f>IF(ISBLANK(Mitigation_Industry!S365),"",Mitigation_Industry!S365)</f>
        <v>0</v>
      </c>
      <c r="T872">
        <f>IF(ISBLANK(Mitigation_Industry!T365),"",Mitigation_Industry!T365)</f>
        <v>0</v>
      </c>
      <c r="U872">
        <f>IF(ISBLANK(Mitigation_Industry!U365),"",Mitigation_Industry!U365)</f>
        <v>0</v>
      </c>
      <c r="V872">
        <f>IF(ISBLANK(Mitigation_Industry!V365),"",Mitigation_Industry!V365)</f>
        <v>0</v>
      </c>
      <c r="W872">
        <f>IF(ISBLANK(Mitigation_Industry!W365),"",Mitigation_Industry!W365)</f>
        <v>0</v>
      </c>
      <c r="X872">
        <f>IF(ISBLANK(Mitigation_Industry!X365),"",Mitigation_Industry!X365)</f>
        <v>0</v>
      </c>
      <c r="Y872">
        <f>IF(ISBLANK(Mitigation_Industry!Y365),"",Mitigation_Industry!Y365)</f>
        <v>0</v>
      </c>
      <c r="Z872">
        <f>IF(ISBLANK(Mitigation_Industry!Z365),"",Mitigation_Industry!Z365)</f>
        <v>0</v>
      </c>
      <c r="AA872">
        <f>IF(ISBLANK(Mitigation_Industry!AA365),"",Mitigation_Industry!AA365)</f>
        <v>0</v>
      </c>
      <c r="AB872">
        <f>IF(ISBLANK(Mitigation_Industry!AB365),"",Mitigation_Industry!AB365)</f>
        <v>0</v>
      </c>
      <c r="AC872">
        <f>IF(ISBLANK(Mitigation_Industry!AC365),"",Mitigation_Industry!AC365)</f>
        <v>0</v>
      </c>
      <c r="AD872">
        <f>IF(ISBLANK(Mitigation_Industry!AD365),"",Mitigation_Industry!AD365)</f>
        <v>0</v>
      </c>
      <c r="AE872">
        <f>IF(ISBLANK(Mitigation_Industry!AE365),"",Mitigation_Industry!AE365)</f>
        <v>0</v>
      </c>
    </row>
    <row r="873" spans="1:31" x14ac:dyDescent="0.45">
      <c r="A873" t="s">
        <v>1580</v>
      </c>
      <c r="B873" t="s">
        <v>1491</v>
      </c>
      <c r="C873" t="s">
        <v>1408</v>
      </c>
      <c r="D873">
        <v>1</v>
      </c>
      <c r="E873" t="s">
        <v>1161</v>
      </c>
      <c r="F873">
        <f>MAX(MAX(L873:AE873),-MIN(L873:AE873))</f>
        <v>0</v>
      </c>
      <c r="I873" t="s">
        <v>1509</v>
      </c>
      <c r="K873">
        <f t="shared" ref="K873:AE873" si="215">IF(ISNUMBER(K871),IF(ISNUMBER(K872),K872-K871,999999),0)</f>
        <v>0</v>
      </c>
      <c r="L873">
        <f t="shared" si="215"/>
        <v>0</v>
      </c>
      <c r="M873">
        <f t="shared" si="215"/>
        <v>0</v>
      </c>
      <c r="N873">
        <f t="shared" si="215"/>
        <v>0</v>
      </c>
      <c r="O873">
        <f t="shared" si="215"/>
        <v>0</v>
      </c>
      <c r="P873">
        <f t="shared" si="215"/>
        <v>0</v>
      </c>
      <c r="Q873">
        <f t="shared" si="215"/>
        <v>0</v>
      </c>
      <c r="R873">
        <f t="shared" si="215"/>
        <v>0</v>
      </c>
      <c r="S873">
        <f t="shared" si="215"/>
        <v>0</v>
      </c>
      <c r="T873">
        <f t="shared" si="215"/>
        <v>0</v>
      </c>
      <c r="U873">
        <f t="shared" si="215"/>
        <v>0</v>
      </c>
      <c r="V873">
        <f t="shared" si="215"/>
        <v>0</v>
      </c>
      <c r="W873">
        <f t="shared" si="215"/>
        <v>0</v>
      </c>
      <c r="X873">
        <f t="shared" si="215"/>
        <v>0</v>
      </c>
      <c r="Y873">
        <f t="shared" si="215"/>
        <v>0</v>
      </c>
      <c r="Z873">
        <f t="shared" si="215"/>
        <v>0</v>
      </c>
      <c r="AA873">
        <f t="shared" si="215"/>
        <v>0</v>
      </c>
      <c r="AB873">
        <f t="shared" si="215"/>
        <v>0</v>
      </c>
      <c r="AC873">
        <f t="shared" si="215"/>
        <v>0</v>
      </c>
      <c r="AD873">
        <f t="shared" si="215"/>
        <v>0</v>
      </c>
      <c r="AE873">
        <f t="shared" si="215"/>
        <v>0</v>
      </c>
    </row>
    <row r="875" spans="1:31" x14ac:dyDescent="0.45">
      <c r="A875" t="s">
        <v>1581</v>
      </c>
      <c r="B875" t="s">
        <v>1491</v>
      </c>
      <c r="C875" t="s">
        <v>1409</v>
      </c>
      <c r="D875">
        <v>1</v>
      </c>
      <c r="E875" t="s">
        <v>1159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45">
      <c r="A876" t="s">
        <v>1581</v>
      </c>
      <c r="B876" t="s">
        <v>1491</v>
      </c>
      <c r="C876" t="s">
        <v>1409</v>
      </c>
      <c r="D876">
        <v>1</v>
      </c>
      <c r="E876" t="s">
        <v>1160</v>
      </c>
      <c r="K876" t="str">
        <f>IF(ISBLANK(Mitigation_Industry!K366),"",Mitigation_Industry!K366)</f>
        <v/>
      </c>
      <c r="L876">
        <f>IF(ISBLANK(Mitigation_Industry!L366),"",Mitigation_Industry!L366)</f>
        <v>0</v>
      </c>
      <c r="M876">
        <f>IF(ISBLANK(Mitigation_Industry!M366),"",Mitigation_Industry!M366)</f>
        <v>0</v>
      </c>
      <c r="N876">
        <f>IF(ISBLANK(Mitigation_Industry!N366),"",Mitigation_Industry!N366)</f>
        <v>0</v>
      </c>
      <c r="O876">
        <f>IF(ISBLANK(Mitigation_Industry!O366),"",Mitigation_Industry!O366)</f>
        <v>0</v>
      </c>
      <c r="P876">
        <f>IF(ISBLANK(Mitigation_Industry!P366),"",Mitigation_Industry!P366)</f>
        <v>0</v>
      </c>
      <c r="Q876">
        <f>IF(ISBLANK(Mitigation_Industry!Q366),"",Mitigation_Industry!Q366)</f>
        <v>0</v>
      </c>
      <c r="R876">
        <f>IF(ISBLANK(Mitigation_Industry!R366),"",Mitigation_Industry!R366)</f>
        <v>0</v>
      </c>
      <c r="S876">
        <f>IF(ISBLANK(Mitigation_Industry!S366),"",Mitigation_Industry!S366)</f>
        <v>0</v>
      </c>
      <c r="T876">
        <f>IF(ISBLANK(Mitigation_Industry!T366),"",Mitigation_Industry!T366)</f>
        <v>0</v>
      </c>
      <c r="U876">
        <f>IF(ISBLANK(Mitigation_Industry!U366),"",Mitigation_Industry!U366)</f>
        <v>0</v>
      </c>
      <c r="V876">
        <f>IF(ISBLANK(Mitigation_Industry!V366),"",Mitigation_Industry!V366)</f>
        <v>0</v>
      </c>
      <c r="W876">
        <f>IF(ISBLANK(Mitigation_Industry!W366),"",Mitigation_Industry!W366)</f>
        <v>0</v>
      </c>
      <c r="X876">
        <f>IF(ISBLANK(Mitigation_Industry!X366),"",Mitigation_Industry!X366)</f>
        <v>0</v>
      </c>
      <c r="Y876">
        <f>IF(ISBLANK(Mitigation_Industry!Y366),"",Mitigation_Industry!Y366)</f>
        <v>0</v>
      </c>
      <c r="Z876">
        <f>IF(ISBLANK(Mitigation_Industry!Z366),"",Mitigation_Industry!Z366)</f>
        <v>0</v>
      </c>
      <c r="AA876">
        <f>IF(ISBLANK(Mitigation_Industry!AA366),"",Mitigation_Industry!AA366)</f>
        <v>0</v>
      </c>
      <c r="AB876">
        <f>IF(ISBLANK(Mitigation_Industry!AB366),"",Mitigation_Industry!AB366)</f>
        <v>0</v>
      </c>
      <c r="AC876">
        <f>IF(ISBLANK(Mitigation_Industry!AC366),"",Mitigation_Industry!AC366)</f>
        <v>0</v>
      </c>
      <c r="AD876">
        <f>IF(ISBLANK(Mitigation_Industry!AD366),"",Mitigation_Industry!AD366)</f>
        <v>0</v>
      </c>
      <c r="AE876">
        <f>IF(ISBLANK(Mitigation_Industry!AE366),"",Mitigation_Industry!AE366)</f>
        <v>0</v>
      </c>
    </row>
    <row r="877" spans="1:31" x14ac:dyDescent="0.45">
      <c r="A877" t="s">
        <v>1581</v>
      </c>
      <c r="B877" t="s">
        <v>1491</v>
      </c>
      <c r="C877" t="s">
        <v>1409</v>
      </c>
      <c r="D877">
        <v>1</v>
      </c>
      <c r="E877" t="s">
        <v>1161</v>
      </c>
      <c r="F877">
        <f>MAX(MAX(L877:AE877),-MIN(L877:AE877))</f>
        <v>0</v>
      </c>
      <c r="I877" t="s">
        <v>1509</v>
      </c>
      <c r="K877">
        <f t="shared" ref="K877:AE877" si="216">IF(ISNUMBER(K875),IF(ISNUMBER(K876),K876-K875,999999),0)</f>
        <v>0</v>
      </c>
      <c r="L877">
        <f t="shared" si="216"/>
        <v>0</v>
      </c>
      <c r="M877">
        <f t="shared" si="216"/>
        <v>0</v>
      </c>
      <c r="N877">
        <f t="shared" si="216"/>
        <v>0</v>
      </c>
      <c r="O877">
        <f t="shared" si="216"/>
        <v>0</v>
      </c>
      <c r="P877">
        <f t="shared" si="216"/>
        <v>0</v>
      </c>
      <c r="Q877">
        <f t="shared" si="216"/>
        <v>0</v>
      </c>
      <c r="R877">
        <f t="shared" si="216"/>
        <v>0</v>
      </c>
      <c r="S877">
        <f t="shared" si="216"/>
        <v>0</v>
      </c>
      <c r="T877">
        <f t="shared" si="216"/>
        <v>0</v>
      </c>
      <c r="U877">
        <f t="shared" si="216"/>
        <v>0</v>
      </c>
      <c r="V877">
        <f t="shared" si="216"/>
        <v>0</v>
      </c>
      <c r="W877">
        <f t="shared" si="216"/>
        <v>0</v>
      </c>
      <c r="X877">
        <f t="shared" si="216"/>
        <v>0</v>
      </c>
      <c r="Y877">
        <f t="shared" si="216"/>
        <v>0</v>
      </c>
      <c r="Z877">
        <f t="shared" si="216"/>
        <v>0</v>
      </c>
      <c r="AA877">
        <f t="shared" si="216"/>
        <v>0</v>
      </c>
      <c r="AB877">
        <f t="shared" si="216"/>
        <v>0</v>
      </c>
      <c r="AC877">
        <f t="shared" si="216"/>
        <v>0</v>
      </c>
      <c r="AD877">
        <f t="shared" si="216"/>
        <v>0</v>
      </c>
      <c r="AE877">
        <f t="shared" si="216"/>
        <v>0</v>
      </c>
    </row>
    <row r="879" spans="1:31" x14ac:dyDescent="0.45">
      <c r="A879" t="s">
        <v>1582</v>
      </c>
      <c r="B879" t="s">
        <v>1491</v>
      </c>
      <c r="C879" t="s">
        <v>1410</v>
      </c>
      <c r="D879">
        <v>1</v>
      </c>
      <c r="E879" t="s">
        <v>1159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45">
      <c r="A880" t="s">
        <v>1582</v>
      </c>
      <c r="B880" t="s">
        <v>1491</v>
      </c>
      <c r="C880" t="s">
        <v>1410</v>
      </c>
      <c r="D880">
        <v>1</v>
      </c>
      <c r="E880" t="s">
        <v>1160</v>
      </c>
      <c r="K880" t="str">
        <f>IF(ISBLANK(Mitigation_Industry!K367),"",Mitigation_Industry!K367)</f>
        <v/>
      </c>
      <c r="L880">
        <f>IF(ISBLANK(Mitigation_Industry!L367),"",Mitigation_Industry!L367)</f>
        <v>0</v>
      </c>
      <c r="M880">
        <f>IF(ISBLANK(Mitigation_Industry!M367),"",Mitigation_Industry!M367)</f>
        <v>0</v>
      </c>
      <c r="N880">
        <f>IF(ISBLANK(Mitigation_Industry!N367),"",Mitigation_Industry!N367)</f>
        <v>0</v>
      </c>
      <c r="O880">
        <f>IF(ISBLANK(Mitigation_Industry!O367),"",Mitigation_Industry!O367)</f>
        <v>0</v>
      </c>
      <c r="P880">
        <f>IF(ISBLANK(Mitigation_Industry!P367),"",Mitigation_Industry!P367)</f>
        <v>0</v>
      </c>
      <c r="Q880">
        <f>IF(ISBLANK(Mitigation_Industry!Q367),"",Mitigation_Industry!Q367)</f>
        <v>0</v>
      </c>
      <c r="R880">
        <f>IF(ISBLANK(Mitigation_Industry!R367),"",Mitigation_Industry!R367)</f>
        <v>0</v>
      </c>
      <c r="S880">
        <f>IF(ISBLANK(Mitigation_Industry!S367),"",Mitigation_Industry!S367)</f>
        <v>0</v>
      </c>
      <c r="T880">
        <f>IF(ISBLANK(Mitigation_Industry!T367),"",Mitigation_Industry!T367)</f>
        <v>0</v>
      </c>
      <c r="U880">
        <f>IF(ISBLANK(Mitigation_Industry!U367),"",Mitigation_Industry!U367)</f>
        <v>0</v>
      </c>
      <c r="V880">
        <f>IF(ISBLANK(Mitigation_Industry!V367),"",Mitigation_Industry!V367)</f>
        <v>0</v>
      </c>
      <c r="W880">
        <f>IF(ISBLANK(Mitigation_Industry!W367),"",Mitigation_Industry!W367)</f>
        <v>0</v>
      </c>
      <c r="X880">
        <f>IF(ISBLANK(Mitigation_Industry!X367),"",Mitigation_Industry!X367)</f>
        <v>0</v>
      </c>
      <c r="Y880">
        <f>IF(ISBLANK(Mitigation_Industry!Y367),"",Mitigation_Industry!Y367)</f>
        <v>0</v>
      </c>
      <c r="Z880">
        <f>IF(ISBLANK(Mitigation_Industry!Z367),"",Mitigation_Industry!Z367)</f>
        <v>0</v>
      </c>
      <c r="AA880">
        <f>IF(ISBLANK(Mitigation_Industry!AA367),"",Mitigation_Industry!AA367)</f>
        <v>0</v>
      </c>
      <c r="AB880">
        <f>IF(ISBLANK(Mitigation_Industry!AB367),"",Mitigation_Industry!AB367)</f>
        <v>0</v>
      </c>
      <c r="AC880">
        <f>IF(ISBLANK(Mitigation_Industry!AC367),"",Mitigation_Industry!AC367)</f>
        <v>0</v>
      </c>
      <c r="AD880">
        <f>IF(ISBLANK(Mitigation_Industry!AD367),"",Mitigation_Industry!AD367)</f>
        <v>0</v>
      </c>
      <c r="AE880">
        <f>IF(ISBLANK(Mitigation_Industry!AE367),"",Mitigation_Industry!AE367)</f>
        <v>0</v>
      </c>
    </row>
    <row r="881" spans="1:31" x14ac:dyDescent="0.45">
      <c r="A881" t="s">
        <v>1582</v>
      </c>
      <c r="B881" t="s">
        <v>1491</v>
      </c>
      <c r="C881" t="s">
        <v>1410</v>
      </c>
      <c r="D881">
        <v>1</v>
      </c>
      <c r="E881" t="s">
        <v>1161</v>
      </c>
      <c r="F881">
        <f>MAX(MAX(L881:AE881),-MIN(L881:AE881))</f>
        <v>0</v>
      </c>
      <c r="I881" t="s">
        <v>1509</v>
      </c>
      <c r="K881">
        <f t="shared" ref="K881:AE881" si="217">IF(ISNUMBER(K879),IF(ISNUMBER(K880),K880-K879,999999),0)</f>
        <v>0</v>
      </c>
      <c r="L881">
        <f t="shared" si="217"/>
        <v>0</v>
      </c>
      <c r="M881">
        <f t="shared" si="217"/>
        <v>0</v>
      </c>
      <c r="N881">
        <f t="shared" si="217"/>
        <v>0</v>
      </c>
      <c r="O881">
        <f t="shared" si="217"/>
        <v>0</v>
      </c>
      <c r="P881">
        <f t="shared" si="217"/>
        <v>0</v>
      </c>
      <c r="Q881">
        <f t="shared" si="217"/>
        <v>0</v>
      </c>
      <c r="R881">
        <f t="shared" si="217"/>
        <v>0</v>
      </c>
      <c r="S881">
        <f t="shared" si="217"/>
        <v>0</v>
      </c>
      <c r="T881">
        <f t="shared" si="217"/>
        <v>0</v>
      </c>
      <c r="U881">
        <f t="shared" si="217"/>
        <v>0</v>
      </c>
      <c r="V881">
        <f t="shared" si="217"/>
        <v>0</v>
      </c>
      <c r="W881">
        <f t="shared" si="217"/>
        <v>0</v>
      </c>
      <c r="X881">
        <f t="shared" si="217"/>
        <v>0</v>
      </c>
      <c r="Y881">
        <f t="shared" si="217"/>
        <v>0</v>
      </c>
      <c r="Z881">
        <f t="shared" si="217"/>
        <v>0</v>
      </c>
      <c r="AA881">
        <f t="shared" si="217"/>
        <v>0</v>
      </c>
      <c r="AB881">
        <f t="shared" si="217"/>
        <v>0</v>
      </c>
      <c r="AC881">
        <f t="shared" si="217"/>
        <v>0</v>
      </c>
      <c r="AD881">
        <f t="shared" si="217"/>
        <v>0</v>
      </c>
      <c r="AE881">
        <f t="shared" si="217"/>
        <v>0</v>
      </c>
    </row>
    <row r="883" spans="1:31" x14ac:dyDescent="0.45">
      <c r="A883" t="s">
        <v>1583</v>
      </c>
      <c r="B883" t="s">
        <v>1491</v>
      </c>
      <c r="C883" t="s">
        <v>1383</v>
      </c>
      <c r="D883">
        <v>1</v>
      </c>
      <c r="E883" t="s">
        <v>1159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45">
      <c r="A884" t="s">
        <v>1583</v>
      </c>
      <c r="B884" t="s">
        <v>1491</v>
      </c>
      <c r="C884" t="s">
        <v>1383</v>
      </c>
      <c r="D884">
        <v>1</v>
      </c>
      <c r="E884" t="s">
        <v>1160</v>
      </c>
      <c r="K884" t="str">
        <f>IF(ISBLANK(Mitigation_Industry!K368),"",Mitigation_Industry!K368)</f>
        <v/>
      </c>
      <c r="L884">
        <f>IF(ISBLANK(Mitigation_Industry!L368),"",Mitigation_Industry!L368)</f>
        <v>0</v>
      </c>
      <c r="M884">
        <f>IF(ISBLANK(Mitigation_Industry!M368),"",Mitigation_Industry!M368)</f>
        <v>0</v>
      </c>
      <c r="N884">
        <f>IF(ISBLANK(Mitigation_Industry!N368),"",Mitigation_Industry!N368)</f>
        <v>0</v>
      </c>
      <c r="O884">
        <f>IF(ISBLANK(Mitigation_Industry!O368),"",Mitigation_Industry!O368)</f>
        <v>0</v>
      </c>
      <c r="P884">
        <f>IF(ISBLANK(Mitigation_Industry!P368),"",Mitigation_Industry!P368)</f>
        <v>0</v>
      </c>
      <c r="Q884">
        <f>IF(ISBLANK(Mitigation_Industry!Q368),"",Mitigation_Industry!Q368)</f>
        <v>0</v>
      </c>
      <c r="R884">
        <f>IF(ISBLANK(Mitigation_Industry!R368),"",Mitigation_Industry!R368)</f>
        <v>0</v>
      </c>
      <c r="S884">
        <f>IF(ISBLANK(Mitigation_Industry!S368),"",Mitigation_Industry!S368)</f>
        <v>0</v>
      </c>
      <c r="T884">
        <f>IF(ISBLANK(Mitigation_Industry!T368),"",Mitigation_Industry!T368)</f>
        <v>0</v>
      </c>
      <c r="U884">
        <f>IF(ISBLANK(Mitigation_Industry!U368),"",Mitigation_Industry!U368)</f>
        <v>0</v>
      </c>
      <c r="V884">
        <f>IF(ISBLANK(Mitigation_Industry!V368),"",Mitigation_Industry!V368)</f>
        <v>0</v>
      </c>
      <c r="W884">
        <f>IF(ISBLANK(Mitigation_Industry!W368),"",Mitigation_Industry!W368)</f>
        <v>0</v>
      </c>
      <c r="X884">
        <f>IF(ISBLANK(Mitigation_Industry!X368),"",Mitigation_Industry!X368)</f>
        <v>0</v>
      </c>
      <c r="Y884">
        <f>IF(ISBLANK(Mitigation_Industry!Y368),"",Mitigation_Industry!Y368)</f>
        <v>0</v>
      </c>
      <c r="Z884">
        <f>IF(ISBLANK(Mitigation_Industry!Z368),"",Mitigation_Industry!Z368)</f>
        <v>0</v>
      </c>
      <c r="AA884">
        <f>IF(ISBLANK(Mitigation_Industry!AA368),"",Mitigation_Industry!AA368)</f>
        <v>0</v>
      </c>
      <c r="AB884">
        <f>IF(ISBLANK(Mitigation_Industry!AB368),"",Mitigation_Industry!AB368)</f>
        <v>0</v>
      </c>
      <c r="AC884">
        <f>IF(ISBLANK(Mitigation_Industry!AC368),"",Mitigation_Industry!AC368)</f>
        <v>0</v>
      </c>
      <c r="AD884">
        <f>IF(ISBLANK(Mitigation_Industry!AD368),"",Mitigation_Industry!AD368)</f>
        <v>0</v>
      </c>
      <c r="AE884">
        <f>IF(ISBLANK(Mitigation_Industry!AE368),"",Mitigation_Industry!AE368)</f>
        <v>0</v>
      </c>
    </row>
    <row r="885" spans="1:31" x14ac:dyDescent="0.45">
      <c r="A885" t="s">
        <v>1583</v>
      </c>
      <c r="B885" t="s">
        <v>1491</v>
      </c>
      <c r="C885" t="s">
        <v>1383</v>
      </c>
      <c r="D885">
        <v>1</v>
      </c>
      <c r="E885" t="s">
        <v>1161</v>
      </c>
      <c r="F885">
        <f>MAX(MAX(L885:AE885),-MIN(L885:AE885))</f>
        <v>0</v>
      </c>
      <c r="I885" t="s">
        <v>1509</v>
      </c>
      <c r="K885">
        <f t="shared" ref="K885:AE885" si="218">IF(ISNUMBER(K883),IF(ISNUMBER(K884),K884-K883,999999),0)</f>
        <v>0</v>
      </c>
      <c r="L885">
        <f t="shared" si="218"/>
        <v>0</v>
      </c>
      <c r="M885">
        <f t="shared" si="218"/>
        <v>0</v>
      </c>
      <c r="N885">
        <f t="shared" si="218"/>
        <v>0</v>
      </c>
      <c r="O885">
        <f t="shared" si="218"/>
        <v>0</v>
      </c>
      <c r="P885">
        <f t="shared" si="218"/>
        <v>0</v>
      </c>
      <c r="Q885">
        <f t="shared" si="218"/>
        <v>0</v>
      </c>
      <c r="R885">
        <f t="shared" si="218"/>
        <v>0</v>
      </c>
      <c r="S885">
        <f t="shared" si="218"/>
        <v>0</v>
      </c>
      <c r="T885">
        <f t="shared" si="218"/>
        <v>0</v>
      </c>
      <c r="U885">
        <f t="shared" si="218"/>
        <v>0</v>
      </c>
      <c r="V885">
        <f t="shared" si="218"/>
        <v>0</v>
      </c>
      <c r="W885">
        <f t="shared" si="218"/>
        <v>0</v>
      </c>
      <c r="X885">
        <f t="shared" si="218"/>
        <v>0</v>
      </c>
      <c r="Y885">
        <f t="shared" si="218"/>
        <v>0</v>
      </c>
      <c r="Z885">
        <f t="shared" si="218"/>
        <v>0</v>
      </c>
      <c r="AA885">
        <f t="shared" si="218"/>
        <v>0</v>
      </c>
      <c r="AB885">
        <f t="shared" si="218"/>
        <v>0</v>
      </c>
      <c r="AC885">
        <f t="shared" si="218"/>
        <v>0</v>
      </c>
      <c r="AD885">
        <f t="shared" si="218"/>
        <v>0</v>
      </c>
      <c r="AE885">
        <f t="shared" si="218"/>
        <v>0</v>
      </c>
    </row>
    <row r="887" spans="1:31" x14ac:dyDescent="0.45">
      <c r="A887" t="s">
        <v>1584</v>
      </c>
      <c r="B887" t="s">
        <v>1491</v>
      </c>
      <c r="C887" t="s">
        <v>1411</v>
      </c>
      <c r="D887">
        <v>1</v>
      </c>
      <c r="E887" t="s">
        <v>1159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45">
      <c r="A888" t="s">
        <v>1584</v>
      </c>
      <c r="B888" t="s">
        <v>1491</v>
      </c>
      <c r="C888" t="s">
        <v>1411</v>
      </c>
      <c r="D888">
        <v>1</v>
      </c>
      <c r="E888" t="s">
        <v>1160</v>
      </c>
      <c r="K888" t="str">
        <f>IF(ISBLANK(Mitigation_Industry!K369),"",Mitigation_Industry!K369)</f>
        <v/>
      </c>
      <c r="L888">
        <f>IF(ISBLANK(Mitigation_Industry!L369),"",Mitigation_Industry!L369)</f>
        <v>0</v>
      </c>
      <c r="M888">
        <f>IF(ISBLANK(Mitigation_Industry!M369),"",Mitigation_Industry!M369)</f>
        <v>0</v>
      </c>
      <c r="N888">
        <f>IF(ISBLANK(Mitigation_Industry!N369),"",Mitigation_Industry!N369)</f>
        <v>0</v>
      </c>
      <c r="O888">
        <f>IF(ISBLANK(Mitigation_Industry!O369),"",Mitigation_Industry!O369)</f>
        <v>0</v>
      </c>
      <c r="P888">
        <f>IF(ISBLANK(Mitigation_Industry!P369),"",Mitigation_Industry!P369)</f>
        <v>0</v>
      </c>
      <c r="Q888">
        <f>IF(ISBLANK(Mitigation_Industry!Q369),"",Mitigation_Industry!Q369)</f>
        <v>0</v>
      </c>
      <c r="R888">
        <f>IF(ISBLANK(Mitigation_Industry!R369),"",Mitigation_Industry!R369)</f>
        <v>0</v>
      </c>
      <c r="S888">
        <f>IF(ISBLANK(Mitigation_Industry!S369),"",Mitigation_Industry!S369)</f>
        <v>0</v>
      </c>
      <c r="T888">
        <f>IF(ISBLANK(Mitigation_Industry!T369),"",Mitigation_Industry!T369)</f>
        <v>0</v>
      </c>
      <c r="U888">
        <f>IF(ISBLANK(Mitigation_Industry!U369),"",Mitigation_Industry!U369)</f>
        <v>0</v>
      </c>
      <c r="V888">
        <f>IF(ISBLANK(Mitigation_Industry!V369),"",Mitigation_Industry!V369)</f>
        <v>0</v>
      </c>
      <c r="W888">
        <f>IF(ISBLANK(Mitigation_Industry!W369),"",Mitigation_Industry!W369)</f>
        <v>0</v>
      </c>
      <c r="X888">
        <f>IF(ISBLANK(Mitigation_Industry!X369),"",Mitigation_Industry!X369)</f>
        <v>0</v>
      </c>
      <c r="Y888">
        <f>IF(ISBLANK(Mitigation_Industry!Y369),"",Mitigation_Industry!Y369)</f>
        <v>0</v>
      </c>
      <c r="Z888">
        <f>IF(ISBLANK(Mitigation_Industry!Z369),"",Mitigation_Industry!Z369)</f>
        <v>0</v>
      </c>
      <c r="AA888">
        <f>IF(ISBLANK(Mitigation_Industry!AA369),"",Mitigation_Industry!AA369)</f>
        <v>0</v>
      </c>
      <c r="AB888">
        <f>IF(ISBLANK(Mitigation_Industry!AB369),"",Mitigation_Industry!AB369)</f>
        <v>0</v>
      </c>
      <c r="AC888">
        <f>IF(ISBLANK(Mitigation_Industry!AC369),"",Mitigation_Industry!AC369)</f>
        <v>0</v>
      </c>
      <c r="AD888">
        <f>IF(ISBLANK(Mitigation_Industry!AD369),"",Mitigation_Industry!AD369)</f>
        <v>0</v>
      </c>
      <c r="AE888">
        <f>IF(ISBLANK(Mitigation_Industry!AE369),"",Mitigation_Industry!AE369)</f>
        <v>0</v>
      </c>
    </row>
    <row r="889" spans="1:31" x14ac:dyDescent="0.45">
      <c r="A889" t="s">
        <v>1584</v>
      </c>
      <c r="B889" t="s">
        <v>1491</v>
      </c>
      <c r="C889" t="s">
        <v>1411</v>
      </c>
      <c r="D889">
        <v>1</v>
      </c>
      <c r="E889" t="s">
        <v>1161</v>
      </c>
      <c r="F889">
        <f>MAX(MAX(L889:AE889),-MIN(L889:AE889))</f>
        <v>0</v>
      </c>
      <c r="I889" t="s">
        <v>1509</v>
      </c>
      <c r="K889">
        <f t="shared" ref="K889:AE889" si="219">IF(ISNUMBER(K887),IF(ISNUMBER(K888),K888-K887,999999),0)</f>
        <v>0</v>
      </c>
      <c r="L889">
        <f t="shared" si="219"/>
        <v>0</v>
      </c>
      <c r="M889">
        <f t="shared" si="219"/>
        <v>0</v>
      </c>
      <c r="N889">
        <f t="shared" si="219"/>
        <v>0</v>
      </c>
      <c r="O889">
        <f t="shared" si="219"/>
        <v>0</v>
      </c>
      <c r="P889">
        <f t="shared" si="219"/>
        <v>0</v>
      </c>
      <c r="Q889">
        <f t="shared" si="219"/>
        <v>0</v>
      </c>
      <c r="R889">
        <f t="shared" si="219"/>
        <v>0</v>
      </c>
      <c r="S889">
        <f t="shared" si="219"/>
        <v>0</v>
      </c>
      <c r="T889">
        <f t="shared" si="219"/>
        <v>0</v>
      </c>
      <c r="U889">
        <f t="shared" si="219"/>
        <v>0</v>
      </c>
      <c r="V889">
        <f t="shared" si="219"/>
        <v>0</v>
      </c>
      <c r="W889">
        <f t="shared" si="219"/>
        <v>0</v>
      </c>
      <c r="X889">
        <f t="shared" si="219"/>
        <v>0</v>
      </c>
      <c r="Y889">
        <f t="shared" si="219"/>
        <v>0</v>
      </c>
      <c r="Z889">
        <f t="shared" si="219"/>
        <v>0</v>
      </c>
      <c r="AA889">
        <f t="shared" si="219"/>
        <v>0</v>
      </c>
      <c r="AB889">
        <f t="shared" si="219"/>
        <v>0</v>
      </c>
      <c r="AC889">
        <f t="shared" si="219"/>
        <v>0</v>
      </c>
      <c r="AD889">
        <f t="shared" si="219"/>
        <v>0</v>
      </c>
      <c r="AE889">
        <f t="shared" si="219"/>
        <v>0</v>
      </c>
    </row>
    <row r="891" spans="1:31" x14ac:dyDescent="0.45">
      <c r="A891" t="s">
        <v>1585</v>
      </c>
      <c r="B891" t="s">
        <v>1491</v>
      </c>
      <c r="C891" t="s">
        <v>1397</v>
      </c>
      <c r="D891">
        <v>1</v>
      </c>
      <c r="E891" t="s">
        <v>1159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45">
      <c r="A892" t="s">
        <v>1585</v>
      </c>
      <c r="B892" t="s">
        <v>1491</v>
      </c>
      <c r="C892" t="s">
        <v>1397</v>
      </c>
      <c r="D892">
        <v>1</v>
      </c>
      <c r="E892" t="s">
        <v>1160</v>
      </c>
      <c r="K892" t="str">
        <f>IF(ISBLANK(Mitigation_Industry!K370),"",Mitigation_Industry!K370)</f>
        <v/>
      </c>
      <c r="L892">
        <f>IF(ISBLANK(Mitigation_Industry!L370),"",Mitigation_Industry!L370)</f>
        <v>0</v>
      </c>
      <c r="M892">
        <f>IF(ISBLANK(Mitigation_Industry!M370),"",Mitigation_Industry!M370)</f>
        <v>0</v>
      </c>
      <c r="N892">
        <f>IF(ISBLANK(Mitigation_Industry!N370),"",Mitigation_Industry!N370)</f>
        <v>0</v>
      </c>
      <c r="O892">
        <f>IF(ISBLANK(Mitigation_Industry!O370),"",Mitigation_Industry!O370)</f>
        <v>0</v>
      </c>
      <c r="P892">
        <f>IF(ISBLANK(Mitigation_Industry!P370),"",Mitigation_Industry!P370)</f>
        <v>0</v>
      </c>
      <c r="Q892">
        <f>IF(ISBLANK(Mitigation_Industry!Q370),"",Mitigation_Industry!Q370)</f>
        <v>0</v>
      </c>
      <c r="R892">
        <f>IF(ISBLANK(Mitigation_Industry!R370),"",Mitigation_Industry!R370)</f>
        <v>0</v>
      </c>
      <c r="S892">
        <f>IF(ISBLANK(Mitigation_Industry!S370),"",Mitigation_Industry!S370)</f>
        <v>0</v>
      </c>
      <c r="T892">
        <f>IF(ISBLANK(Mitigation_Industry!T370),"",Mitigation_Industry!T370)</f>
        <v>0</v>
      </c>
      <c r="U892">
        <f>IF(ISBLANK(Mitigation_Industry!U370),"",Mitigation_Industry!U370)</f>
        <v>0</v>
      </c>
      <c r="V892">
        <f>IF(ISBLANK(Mitigation_Industry!V370),"",Mitigation_Industry!V370)</f>
        <v>0</v>
      </c>
      <c r="W892">
        <f>IF(ISBLANK(Mitigation_Industry!W370),"",Mitigation_Industry!W370)</f>
        <v>0</v>
      </c>
      <c r="X892">
        <f>IF(ISBLANK(Mitigation_Industry!X370),"",Mitigation_Industry!X370)</f>
        <v>0</v>
      </c>
      <c r="Y892">
        <f>IF(ISBLANK(Mitigation_Industry!Y370),"",Mitigation_Industry!Y370)</f>
        <v>0</v>
      </c>
      <c r="Z892">
        <f>IF(ISBLANK(Mitigation_Industry!Z370),"",Mitigation_Industry!Z370)</f>
        <v>0</v>
      </c>
      <c r="AA892">
        <f>IF(ISBLANK(Mitigation_Industry!AA370),"",Mitigation_Industry!AA370)</f>
        <v>0</v>
      </c>
      <c r="AB892">
        <f>IF(ISBLANK(Mitigation_Industry!AB370),"",Mitigation_Industry!AB370)</f>
        <v>0</v>
      </c>
      <c r="AC892">
        <f>IF(ISBLANK(Mitigation_Industry!AC370),"",Mitigation_Industry!AC370)</f>
        <v>0</v>
      </c>
      <c r="AD892">
        <f>IF(ISBLANK(Mitigation_Industry!AD370),"",Mitigation_Industry!AD370)</f>
        <v>0</v>
      </c>
      <c r="AE892">
        <f>IF(ISBLANK(Mitigation_Industry!AE370),"",Mitigation_Industry!AE370)</f>
        <v>0</v>
      </c>
    </row>
    <row r="893" spans="1:31" x14ac:dyDescent="0.45">
      <c r="A893" t="s">
        <v>1585</v>
      </c>
      <c r="B893" t="s">
        <v>1491</v>
      </c>
      <c r="C893" t="s">
        <v>1397</v>
      </c>
      <c r="D893">
        <v>1</v>
      </c>
      <c r="E893" t="s">
        <v>1161</v>
      </c>
      <c r="F893">
        <f>MAX(MAX(L893:AE893),-MIN(L893:AE893))</f>
        <v>0</v>
      </c>
      <c r="I893" t="s">
        <v>1509</v>
      </c>
      <c r="K893">
        <f t="shared" ref="K893:AE893" si="220">IF(ISNUMBER(K891),IF(ISNUMBER(K892),K892-K891,999999),0)</f>
        <v>0</v>
      </c>
      <c r="L893">
        <f t="shared" si="220"/>
        <v>0</v>
      </c>
      <c r="M893">
        <f t="shared" si="220"/>
        <v>0</v>
      </c>
      <c r="N893">
        <f t="shared" si="220"/>
        <v>0</v>
      </c>
      <c r="O893">
        <f t="shared" si="220"/>
        <v>0</v>
      </c>
      <c r="P893">
        <f t="shared" si="220"/>
        <v>0</v>
      </c>
      <c r="Q893">
        <f t="shared" si="220"/>
        <v>0</v>
      </c>
      <c r="R893">
        <f t="shared" si="220"/>
        <v>0</v>
      </c>
      <c r="S893">
        <f t="shared" si="220"/>
        <v>0</v>
      </c>
      <c r="T893">
        <f t="shared" si="220"/>
        <v>0</v>
      </c>
      <c r="U893">
        <f t="shared" si="220"/>
        <v>0</v>
      </c>
      <c r="V893">
        <f t="shared" si="220"/>
        <v>0</v>
      </c>
      <c r="W893">
        <f t="shared" si="220"/>
        <v>0</v>
      </c>
      <c r="X893">
        <f t="shared" si="220"/>
        <v>0</v>
      </c>
      <c r="Y893">
        <f t="shared" si="220"/>
        <v>0</v>
      </c>
      <c r="Z893">
        <f t="shared" si="220"/>
        <v>0</v>
      </c>
      <c r="AA893">
        <f t="shared" si="220"/>
        <v>0</v>
      </c>
      <c r="AB893">
        <f t="shared" si="220"/>
        <v>0</v>
      </c>
      <c r="AC893">
        <f t="shared" si="220"/>
        <v>0</v>
      </c>
      <c r="AD893">
        <f t="shared" si="220"/>
        <v>0</v>
      </c>
      <c r="AE893">
        <f t="shared" si="220"/>
        <v>0</v>
      </c>
    </row>
    <row r="895" spans="1:31" x14ac:dyDescent="0.45">
      <c r="A895" t="s">
        <v>1586</v>
      </c>
      <c r="B895" t="s">
        <v>1491</v>
      </c>
      <c r="C895" t="s">
        <v>1492</v>
      </c>
      <c r="D895">
        <v>1</v>
      </c>
      <c r="E895" t="s">
        <v>1159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45">
      <c r="A896" t="s">
        <v>1586</v>
      </c>
      <c r="B896" t="s">
        <v>1491</v>
      </c>
      <c r="C896" t="s">
        <v>1492</v>
      </c>
      <c r="D896">
        <v>1</v>
      </c>
      <c r="E896" t="s">
        <v>1160</v>
      </c>
      <c r="K896" t="str">
        <f>IF(ISBLANK(Mitigation_Industry!K371),"",Mitigation_Industry!K371)</f>
        <v/>
      </c>
      <c r="L896">
        <f>IF(ISBLANK(Mitigation_Industry!L371),"",Mitigation_Industry!L371)</f>
        <v>0</v>
      </c>
      <c r="M896">
        <f>IF(ISBLANK(Mitigation_Industry!M371),"",Mitigation_Industry!M371)</f>
        <v>0</v>
      </c>
      <c r="N896">
        <f>IF(ISBLANK(Mitigation_Industry!N371),"",Mitigation_Industry!N371)</f>
        <v>0</v>
      </c>
      <c r="O896">
        <f>IF(ISBLANK(Mitigation_Industry!O371),"",Mitigation_Industry!O371)</f>
        <v>0</v>
      </c>
      <c r="P896">
        <f>IF(ISBLANK(Mitigation_Industry!P371),"",Mitigation_Industry!P371)</f>
        <v>0</v>
      </c>
      <c r="Q896">
        <f>IF(ISBLANK(Mitigation_Industry!Q371),"",Mitigation_Industry!Q371)</f>
        <v>0</v>
      </c>
      <c r="R896">
        <f>IF(ISBLANK(Mitigation_Industry!R371),"",Mitigation_Industry!R371)</f>
        <v>0</v>
      </c>
      <c r="S896">
        <f>IF(ISBLANK(Mitigation_Industry!S371),"",Mitigation_Industry!S371)</f>
        <v>0</v>
      </c>
      <c r="T896">
        <f>IF(ISBLANK(Mitigation_Industry!T371),"",Mitigation_Industry!T371)</f>
        <v>0</v>
      </c>
      <c r="U896">
        <f>IF(ISBLANK(Mitigation_Industry!U371),"",Mitigation_Industry!U371)</f>
        <v>0</v>
      </c>
      <c r="V896">
        <f>IF(ISBLANK(Mitigation_Industry!V371),"",Mitigation_Industry!V371)</f>
        <v>0</v>
      </c>
      <c r="W896">
        <f>IF(ISBLANK(Mitigation_Industry!W371),"",Mitigation_Industry!W371)</f>
        <v>0</v>
      </c>
      <c r="X896">
        <f>IF(ISBLANK(Mitigation_Industry!X371),"",Mitigation_Industry!X371)</f>
        <v>0</v>
      </c>
      <c r="Y896">
        <f>IF(ISBLANK(Mitigation_Industry!Y371),"",Mitigation_Industry!Y371)</f>
        <v>0</v>
      </c>
      <c r="Z896">
        <f>IF(ISBLANK(Mitigation_Industry!Z371),"",Mitigation_Industry!Z371)</f>
        <v>0</v>
      </c>
      <c r="AA896">
        <f>IF(ISBLANK(Mitigation_Industry!AA371),"",Mitigation_Industry!AA371)</f>
        <v>0</v>
      </c>
      <c r="AB896">
        <f>IF(ISBLANK(Mitigation_Industry!AB371),"",Mitigation_Industry!AB371)</f>
        <v>0</v>
      </c>
      <c r="AC896">
        <f>IF(ISBLANK(Mitigation_Industry!AC371),"",Mitigation_Industry!AC371)</f>
        <v>0</v>
      </c>
      <c r="AD896">
        <f>IF(ISBLANK(Mitigation_Industry!AD371),"",Mitigation_Industry!AD371)</f>
        <v>0</v>
      </c>
      <c r="AE896">
        <f>IF(ISBLANK(Mitigation_Industry!AE371),"",Mitigation_Industry!AE371)</f>
        <v>0</v>
      </c>
    </row>
    <row r="897" spans="1:31" x14ac:dyDescent="0.45">
      <c r="A897" t="s">
        <v>1586</v>
      </c>
      <c r="B897" t="s">
        <v>1491</v>
      </c>
      <c r="C897" t="s">
        <v>1492</v>
      </c>
      <c r="D897">
        <v>1</v>
      </c>
      <c r="E897" t="s">
        <v>1161</v>
      </c>
      <c r="F897">
        <f>MAX(MAX(L897:AE897),-MIN(L897:AE897))</f>
        <v>0</v>
      </c>
      <c r="I897" t="s">
        <v>1509</v>
      </c>
      <c r="K897">
        <f t="shared" ref="K897:AE897" si="221">IF(ISNUMBER(K895),IF(ISNUMBER(K896),K896-K895,999999),0)</f>
        <v>0</v>
      </c>
      <c r="L897">
        <f t="shared" si="221"/>
        <v>0</v>
      </c>
      <c r="M897">
        <f t="shared" si="221"/>
        <v>0</v>
      </c>
      <c r="N897">
        <f t="shared" si="221"/>
        <v>0</v>
      </c>
      <c r="O897">
        <f t="shared" si="221"/>
        <v>0</v>
      </c>
      <c r="P897">
        <f t="shared" si="221"/>
        <v>0</v>
      </c>
      <c r="Q897">
        <f t="shared" si="221"/>
        <v>0</v>
      </c>
      <c r="R897">
        <f t="shared" si="221"/>
        <v>0</v>
      </c>
      <c r="S897">
        <f t="shared" si="221"/>
        <v>0</v>
      </c>
      <c r="T897">
        <f t="shared" si="221"/>
        <v>0</v>
      </c>
      <c r="U897">
        <f t="shared" si="221"/>
        <v>0</v>
      </c>
      <c r="V897">
        <f t="shared" si="221"/>
        <v>0</v>
      </c>
      <c r="W897">
        <f t="shared" si="221"/>
        <v>0</v>
      </c>
      <c r="X897">
        <f t="shared" si="221"/>
        <v>0</v>
      </c>
      <c r="Y897">
        <f t="shared" si="221"/>
        <v>0</v>
      </c>
      <c r="Z897">
        <f t="shared" si="221"/>
        <v>0</v>
      </c>
      <c r="AA897">
        <f t="shared" si="221"/>
        <v>0</v>
      </c>
      <c r="AB897">
        <f t="shared" si="221"/>
        <v>0</v>
      </c>
      <c r="AC897">
        <f t="shared" si="221"/>
        <v>0</v>
      </c>
      <c r="AD897">
        <f t="shared" si="221"/>
        <v>0</v>
      </c>
      <c r="AE897">
        <f t="shared" si="221"/>
        <v>0</v>
      </c>
    </row>
    <row r="899" spans="1:31" x14ac:dyDescent="0.45">
      <c r="A899" t="s">
        <v>1587</v>
      </c>
      <c r="B899" t="s">
        <v>1493</v>
      </c>
      <c r="C899" t="s">
        <v>283</v>
      </c>
      <c r="D899">
        <v>1</v>
      </c>
      <c r="E899" t="s">
        <v>1159</v>
      </c>
      <c r="L899">
        <v>3.5290636333347374</v>
      </c>
      <c r="M899">
        <v>0.56947162426614473</v>
      </c>
      <c r="N899">
        <v>0.58199999999999996</v>
      </c>
      <c r="O899">
        <v>0.594804</v>
      </c>
      <c r="P899">
        <v>0.60788968800000009</v>
      </c>
      <c r="Q899">
        <v>0.62126326113599994</v>
      </c>
      <c r="R899">
        <v>0.63493105288099194</v>
      </c>
      <c r="S899">
        <v>0.64889953604437378</v>
      </c>
      <c r="T899">
        <v>0.66317532583735006</v>
      </c>
      <c r="U899">
        <v>0.67776518300577182</v>
      </c>
      <c r="V899">
        <v>0.69267601703189885</v>
      </c>
      <c r="W899">
        <v>0.70791488940660052</v>
      </c>
      <c r="X899">
        <v>0.72348901697354573</v>
      </c>
      <c r="Y899">
        <v>0.73940577534696372</v>
      </c>
      <c r="Z899">
        <v>0.75567270240459705</v>
      </c>
      <c r="AA899">
        <v>0.77229750185749824</v>
      </c>
      <c r="AB899">
        <v>0.78928804689836318</v>
      </c>
      <c r="AC899">
        <v>0.80665238393012717</v>
      </c>
      <c r="AD899">
        <v>0.82439873637659</v>
      </c>
      <c r="AE899">
        <v>0.84253550857687498</v>
      </c>
    </row>
    <row r="900" spans="1:31" x14ac:dyDescent="0.45">
      <c r="A900" t="s">
        <v>1587</v>
      </c>
      <c r="B900" t="s">
        <v>1493</v>
      </c>
      <c r="C900" t="s">
        <v>283</v>
      </c>
      <c r="D900">
        <v>1</v>
      </c>
      <c r="E900" t="s">
        <v>1160</v>
      </c>
      <c r="K900" t="str">
        <f>IF(ISBLANK(Mitigation_Industry!K374),"",Mitigation_Industry!K374)</f>
        <v/>
      </c>
      <c r="L900">
        <f>IF(ISBLANK(Mitigation_Industry!L374),"",Mitigation_Industry!L374)</f>
        <v>3.5290636333347374</v>
      </c>
      <c r="M900">
        <f>IF(ISBLANK(Mitigation_Industry!M374),"",Mitigation_Industry!M374)</f>
        <v>3.6067030332681016</v>
      </c>
      <c r="N900">
        <f>IF(ISBLANK(Mitigation_Industry!N374),"",Mitigation_Industry!N374)</f>
        <v>3.6860504999999999</v>
      </c>
      <c r="O900">
        <f>IF(ISBLANK(Mitigation_Industry!O374),"",Mitigation_Industry!O374)</f>
        <v>3.7671436109999994</v>
      </c>
      <c r="P900">
        <f>IF(ISBLANK(Mitigation_Industry!P374),"",Mitigation_Industry!P374)</f>
        <v>3.8500207704419993</v>
      </c>
      <c r="Q900">
        <f>IF(ISBLANK(Mitigation_Industry!Q374),"",Mitigation_Industry!Q374)</f>
        <v>3.9347212273917234</v>
      </c>
      <c r="R900">
        <f>IF(ISBLANK(Mitigation_Industry!R374),"",Mitigation_Industry!R374)</f>
        <v>4.0212850943943419</v>
      </c>
      <c r="S900">
        <f>IF(ISBLANK(Mitigation_Industry!S374),"",Mitigation_Industry!S374)</f>
        <v>4.1097533664710166</v>
      </c>
      <c r="T900">
        <f>IF(ISBLANK(Mitigation_Industry!T374),"",Mitigation_Industry!T374)</f>
        <v>4.2001679405333787</v>
      </c>
      <c r="U900">
        <f>IF(ISBLANK(Mitigation_Industry!U374),"",Mitigation_Industry!U374)</f>
        <v>4.292571635225114</v>
      </c>
      <c r="V900">
        <f>IF(ISBLANK(Mitigation_Industry!V374),"",Mitigation_Industry!V374)</f>
        <v>4.3870082112000661</v>
      </c>
      <c r="W900">
        <f>IF(ISBLANK(Mitigation_Industry!W374),"",Mitigation_Industry!W374)</f>
        <v>4.4835223918464688</v>
      </c>
      <c r="X900">
        <f>IF(ISBLANK(Mitigation_Industry!X374),"",Mitigation_Industry!X374)</f>
        <v>4.5821598844670905</v>
      </c>
      <c r="Y900">
        <f>IF(ISBLANK(Mitigation_Industry!Y374),"",Mitigation_Industry!Y374)</f>
        <v>4.6829674019253673</v>
      </c>
      <c r="Z900">
        <f>IF(ISBLANK(Mitigation_Industry!Z374),"",Mitigation_Industry!Z374)</f>
        <v>4.7859926847677254</v>
      </c>
      <c r="AA900">
        <f>IF(ISBLANK(Mitigation_Industry!AA374),"",Mitigation_Industry!AA374)</f>
        <v>4.8912845238326152</v>
      </c>
      <c r="AB900">
        <f>IF(ISBLANK(Mitigation_Industry!AB374),"",Mitigation_Industry!AB374)</f>
        <v>4.9988927833569319</v>
      </c>
      <c r="AC900">
        <f>IF(ISBLANK(Mitigation_Industry!AC374),"",Mitigation_Industry!AC374)</f>
        <v>5.1088684245907858</v>
      </c>
      <c r="AD900">
        <f>IF(ISBLANK(Mitigation_Industry!AD374),"",Mitigation_Industry!AD374)</f>
        <v>5.2212635299317824</v>
      </c>
      <c r="AE900">
        <f>IF(ISBLANK(Mitigation_Industry!AE374),"",Mitigation_Industry!AE374)</f>
        <v>5.336131327590282</v>
      </c>
    </row>
    <row r="901" spans="1:31" x14ac:dyDescent="0.45">
      <c r="A901" t="s">
        <v>1587</v>
      </c>
      <c r="B901" t="s">
        <v>1493</v>
      </c>
      <c r="C901" t="s">
        <v>283</v>
      </c>
      <c r="D901">
        <v>1</v>
      </c>
      <c r="E901" t="s">
        <v>1161</v>
      </c>
      <c r="F901">
        <f>MAX(MAX(L901:AE901),-MIN(L901:AE901))</f>
        <v>4.4935958190134073</v>
      </c>
      <c r="I901" t="s">
        <v>1588</v>
      </c>
      <c r="J901" t="s">
        <v>1589</v>
      </c>
      <c r="K901">
        <f t="shared" ref="K901:AE901" si="222">IF(ISNUMBER(K899),IF(ISNUMBER(K900),K900-K899,999999),0)</f>
        <v>0</v>
      </c>
      <c r="L901">
        <f t="shared" si="222"/>
        <v>0</v>
      </c>
      <c r="M901">
        <f t="shared" si="222"/>
        <v>3.037231409001957</v>
      </c>
      <c r="N901">
        <f t="shared" si="222"/>
        <v>3.1040505</v>
      </c>
      <c r="O901">
        <f t="shared" si="222"/>
        <v>3.1723396109999995</v>
      </c>
      <c r="P901">
        <f t="shared" si="222"/>
        <v>3.2421310824419991</v>
      </c>
      <c r="Q901">
        <f t="shared" si="222"/>
        <v>3.3134579662557235</v>
      </c>
      <c r="R901">
        <f t="shared" si="222"/>
        <v>3.38635404151335</v>
      </c>
      <c r="S901">
        <f t="shared" si="222"/>
        <v>3.4608538304266427</v>
      </c>
      <c r="T901">
        <f t="shared" si="222"/>
        <v>3.5369926146960289</v>
      </c>
      <c r="U901">
        <f t="shared" si="222"/>
        <v>3.6148064522193422</v>
      </c>
      <c r="V901">
        <f t="shared" si="222"/>
        <v>3.694332194168167</v>
      </c>
      <c r="W901">
        <f t="shared" si="222"/>
        <v>3.7756075024398683</v>
      </c>
      <c r="X901">
        <f t="shared" si="222"/>
        <v>3.8586708674935446</v>
      </c>
      <c r="Y901">
        <f t="shared" si="222"/>
        <v>3.9435616265784037</v>
      </c>
      <c r="Z901">
        <f t="shared" si="222"/>
        <v>4.0303199823631282</v>
      </c>
      <c r="AA901">
        <f t="shared" si="222"/>
        <v>4.1189870219751175</v>
      </c>
      <c r="AB901">
        <f t="shared" si="222"/>
        <v>4.2096047364585685</v>
      </c>
      <c r="AC901">
        <f t="shared" si="222"/>
        <v>4.3022160406606584</v>
      </c>
      <c r="AD901">
        <f t="shared" si="222"/>
        <v>4.3968647935551921</v>
      </c>
      <c r="AE901">
        <f t="shared" si="222"/>
        <v>4.4935958190134073</v>
      </c>
    </row>
    <row r="903" spans="1:31" x14ac:dyDescent="0.45">
      <c r="A903" t="s">
        <v>1590</v>
      </c>
      <c r="B903" t="s">
        <v>1493</v>
      </c>
      <c r="C903" t="s">
        <v>284</v>
      </c>
      <c r="D903">
        <v>1</v>
      </c>
      <c r="E903" t="s">
        <v>1159</v>
      </c>
      <c r="L903">
        <v>3.8464212577619237</v>
      </c>
      <c r="M903">
        <v>0.26436781609195403</v>
      </c>
      <c r="N903">
        <v>0.27599999999999997</v>
      </c>
      <c r="O903">
        <v>0.28814400000000001</v>
      </c>
      <c r="P903">
        <v>0.30082233600000008</v>
      </c>
      <c r="Q903">
        <v>0.31405851878400004</v>
      </c>
      <c r="R903">
        <v>0.32787709361049611</v>
      </c>
      <c r="S903">
        <v>0.34230368572935788</v>
      </c>
      <c r="T903">
        <v>0.35736504790144968</v>
      </c>
      <c r="U903">
        <v>0.37308911000911349</v>
      </c>
      <c r="V903">
        <v>0.38950503084951449</v>
      </c>
      <c r="W903">
        <v>0.40664325220689312</v>
      </c>
      <c r="X903">
        <v>0.42453555530399645</v>
      </c>
      <c r="Y903">
        <v>0.44321511973737227</v>
      </c>
      <c r="Z903">
        <v>0.46271658500581669</v>
      </c>
      <c r="AA903">
        <v>0.48307611474607259</v>
      </c>
      <c r="AB903">
        <v>0.5043314637948999</v>
      </c>
      <c r="AC903">
        <v>0.52652204820187531</v>
      </c>
      <c r="AD903">
        <v>0.54968901832275785</v>
      </c>
      <c r="AE903">
        <v>0.57387533512895927</v>
      </c>
    </row>
    <row r="904" spans="1:31" x14ac:dyDescent="0.45">
      <c r="A904" t="s">
        <v>1590</v>
      </c>
      <c r="B904" t="s">
        <v>1493</v>
      </c>
      <c r="C904" t="s">
        <v>284</v>
      </c>
      <c r="D904">
        <v>1</v>
      </c>
      <c r="E904" t="s">
        <v>1160</v>
      </c>
      <c r="K904" t="str">
        <f>IF(ISBLANK(Mitigation_Industry!K375),"",Mitigation_Industry!K375)</f>
        <v/>
      </c>
      <c r="L904">
        <f>IF(ISBLANK(Mitigation_Industry!L375),"",Mitigation_Industry!L375)</f>
        <v>3.8464212577619237</v>
      </c>
      <c r="M904">
        <f>IF(ISBLANK(Mitigation_Industry!M375),"",Mitigation_Industry!M375)</f>
        <v>4.0156637931034478</v>
      </c>
      <c r="N904">
        <f>IF(ISBLANK(Mitigation_Industry!N375),"",Mitigation_Industry!N375)</f>
        <v>4.1923530000000007</v>
      </c>
      <c r="O904">
        <f>IF(ISBLANK(Mitigation_Industry!O375),"",Mitigation_Industry!O375)</f>
        <v>4.3768165320000012</v>
      </c>
      <c r="P904">
        <f>IF(ISBLANK(Mitigation_Industry!P375),"",Mitigation_Industry!P375)</f>
        <v>4.5693964594080008</v>
      </c>
      <c r="Q904">
        <f>IF(ISBLANK(Mitigation_Industry!Q375),"",Mitigation_Industry!Q375)</f>
        <v>4.7704499036219534</v>
      </c>
      <c r="R904">
        <f>IF(ISBLANK(Mitigation_Industry!R375),"",Mitigation_Industry!R375)</f>
        <v>4.9803496993813186</v>
      </c>
      <c r="S904">
        <f>IF(ISBLANK(Mitigation_Industry!S375),"",Mitigation_Industry!S375)</f>
        <v>5.1994850861540982</v>
      </c>
      <c r="T904">
        <f>IF(ISBLANK(Mitigation_Industry!T375),"",Mitigation_Industry!T375)</f>
        <v>5.4282624299448781</v>
      </c>
      <c r="U904">
        <f>IF(ISBLANK(Mitigation_Industry!U375),"",Mitigation_Industry!U375)</f>
        <v>5.6671059768624525</v>
      </c>
      <c r="V904">
        <f>IF(ISBLANK(Mitigation_Industry!V375),"",Mitigation_Industry!V375)</f>
        <v>5.9164586398444019</v>
      </c>
      <c r="W904">
        <f>IF(ISBLANK(Mitigation_Industry!W375),"",Mitigation_Industry!W375)</f>
        <v>6.1767828199975545</v>
      </c>
      <c r="X904">
        <f>IF(ISBLANK(Mitigation_Industry!X375),"",Mitigation_Industry!X375)</f>
        <v>6.4485612640774477</v>
      </c>
      <c r="Y904">
        <f>IF(ISBLANK(Mitigation_Industry!Y375),"",Mitigation_Industry!Y375)</f>
        <v>6.7322979596968553</v>
      </c>
      <c r="Z904">
        <f>IF(ISBLANK(Mitigation_Industry!Z375),"",Mitigation_Industry!Z375)</f>
        <v>7.0285190699235169</v>
      </c>
      <c r="AA904">
        <f>IF(ISBLANK(Mitigation_Industry!AA375),"",Mitigation_Industry!AA375)</f>
        <v>7.3377739090001519</v>
      </c>
      <c r="AB904">
        <f>IF(ISBLANK(Mitigation_Industry!AB375),"",Mitigation_Industry!AB375)</f>
        <v>7.6606359609961583</v>
      </c>
      <c r="AC904">
        <f>IF(ISBLANK(Mitigation_Industry!AC375),"",Mitigation_Industry!AC375)</f>
        <v>7.9977039432799906</v>
      </c>
      <c r="AD904">
        <f>IF(ISBLANK(Mitigation_Industry!AD375),"",Mitigation_Industry!AD375)</f>
        <v>8.3496029167843098</v>
      </c>
      <c r="AE904">
        <f>IF(ISBLANK(Mitigation_Industry!AE375),"",Mitigation_Industry!AE375)</f>
        <v>8.7169854451228197</v>
      </c>
    </row>
    <row r="905" spans="1:31" x14ac:dyDescent="0.45">
      <c r="A905" t="s">
        <v>1590</v>
      </c>
      <c r="B905" t="s">
        <v>1493</v>
      </c>
      <c r="C905" t="s">
        <v>284</v>
      </c>
      <c r="D905">
        <v>1</v>
      </c>
      <c r="E905" t="s">
        <v>1161</v>
      </c>
      <c r="F905">
        <f>MAX(MAX(L905:AE905),-MIN(L905:AE905))</f>
        <v>8.1431101099938612</v>
      </c>
      <c r="I905" t="s">
        <v>1588</v>
      </c>
      <c r="J905" t="s">
        <v>1589</v>
      </c>
      <c r="K905">
        <f t="shared" ref="K905:AE905" si="223">IF(ISNUMBER(K903),IF(ISNUMBER(K904),K904-K903,999999),0)</f>
        <v>0</v>
      </c>
      <c r="L905">
        <f t="shared" si="223"/>
        <v>0</v>
      </c>
      <c r="M905">
        <f t="shared" si="223"/>
        <v>3.7512959770114938</v>
      </c>
      <c r="N905">
        <f t="shared" si="223"/>
        <v>3.9163530000000009</v>
      </c>
      <c r="O905">
        <f t="shared" si="223"/>
        <v>4.0886725320000012</v>
      </c>
      <c r="P905">
        <f t="shared" si="223"/>
        <v>4.2685741234080004</v>
      </c>
      <c r="Q905">
        <f t="shared" si="223"/>
        <v>4.4563913848379535</v>
      </c>
      <c r="R905">
        <f t="shared" si="223"/>
        <v>4.6524726057708223</v>
      </c>
      <c r="S905">
        <f t="shared" si="223"/>
        <v>4.8571814004247402</v>
      </c>
      <c r="T905">
        <f t="shared" si="223"/>
        <v>5.0708973820434284</v>
      </c>
      <c r="U905">
        <f t="shared" si="223"/>
        <v>5.2940168668533394</v>
      </c>
      <c r="V905">
        <f t="shared" si="223"/>
        <v>5.5269536089948872</v>
      </c>
      <c r="W905">
        <f t="shared" si="223"/>
        <v>5.7701395677906611</v>
      </c>
      <c r="X905">
        <f t="shared" si="223"/>
        <v>6.0240257087734514</v>
      </c>
      <c r="Y905">
        <f t="shared" si="223"/>
        <v>6.2890828399594829</v>
      </c>
      <c r="Z905">
        <f t="shared" si="223"/>
        <v>6.5658024849177004</v>
      </c>
      <c r="AA905">
        <f t="shared" si="223"/>
        <v>6.8546977942540792</v>
      </c>
      <c r="AB905">
        <f t="shared" si="223"/>
        <v>7.1563044972012584</v>
      </c>
      <c r="AC905">
        <f t="shared" si="223"/>
        <v>7.4711818950781153</v>
      </c>
      <c r="AD905">
        <f t="shared" si="223"/>
        <v>7.7999138984615524</v>
      </c>
      <c r="AE905">
        <f t="shared" si="223"/>
        <v>8.1431101099938612</v>
      </c>
    </row>
    <row r="907" spans="1:31" x14ac:dyDescent="0.45">
      <c r="A907" t="s">
        <v>1591</v>
      </c>
      <c r="B907" t="s">
        <v>1493</v>
      </c>
      <c r="C907" t="s">
        <v>285</v>
      </c>
      <c r="D907">
        <v>1</v>
      </c>
      <c r="E907" t="s">
        <v>1159</v>
      </c>
      <c r="L907">
        <v>4.2047573055412055E-2</v>
      </c>
      <c r="M907">
        <v>0.66824644549763035</v>
      </c>
      <c r="N907">
        <v>0.70499999999999996</v>
      </c>
      <c r="O907">
        <v>0.74377499999999996</v>
      </c>
      <c r="P907">
        <v>0.78468262499999997</v>
      </c>
      <c r="Q907">
        <v>0.82784016937499993</v>
      </c>
      <c r="R907">
        <v>0.87337137869062498</v>
      </c>
      <c r="S907">
        <v>0.92140680451860935</v>
      </c>
      <c r="T907">
        <v>0.97208417876713282</v>
      </c>
      <c r="U907">
        <v>1.025548808599325</v>
      </c>
      <c r="V907">
        <v>1.0819539930722879</v>
      </c>
      <c r="W907">
        <v>1.1414614626912638</v>
      </c>
      <c r="X907">
        <v>1.2042418431392832</v>
      </c>
      <c r="Y907">
        <v>1.2704751445119435</v>
      </c>
      <c r="Z907">
        <v>1.3403512774601003</v>
      </c>
      <c r="AA907">
        <v>1.4140705977204062</v>
      </c>
      <c r="AB907">
        <v>1.4918444805950282</v>
      </c>
      <c r="AC907">
        <v>1.5738959270277546</v>
      </c>
      <c r="AD907">
        <v>1.660460203014281</v>
      </c>
      <c r="AE907">
        <v>1.7517855141800662</v>
      </c>
    </row>
    <row r="908" spans="1:31" x14ac:dyDescent="0.45">
      <c r="A908" t="s">
        <v>1591</v>
      </c>
      <c r="B908" t="s">
        <v>1493</v>
      </c>
      <c r="C908" t="s">
        <v>285</v>
      </c>
      <c r="D908">
        <v>1</v>
      </c>
      <c r="E908" t="s">
        <v>1160</v>
      </c>
      <c r="K908" t="str">
        <f>IF(ISBLANK(Mitigation_Industry!K376),"",Mitigation_Industry!K376)</f>
        <v/>
      </c>
      <c r="L908">
        <f>IF(ISBLANK(Mitigation_Industry!L376),"",Mitigation_Industry!L376)</f>
        <v>4.2047573055412055E-2</v>
      </c>
      <c r="M908">
        <f>IF(ISBLANK(Mitigation_Industry!M376),"",Mitigation_Industry!M376)</f>
        <v>4.4360189573459712E-2</v>
      </c>
      <c r="N908">
        <f>IF(ISBLANK(Mitigation_Industry!N376),"",Mitigation_Industry!N376)</f>
        <v>4.6799999999999994E-2</v>
      </c>
      <c r="O908">
        <f>IF(ISBLANK(Mitigation_Industry!O376),"",Mitigation_Industry!O376)</f>
        <v>4.9374000000000001E-2</v>
      </c>
      <c r="P908">
        <f>IF(ISBLANK(Mitigation_Industry!P376),"",Mitigation_Industry!P376)</f>
        <v>5.2089569999999995E-2</v>
      </c>
      <c r="Q908">
        <f>IF(ISBLANK(Mitigation_Industry!Q376),"",Mitigation_Industry!Q376)</f>
        <v>5.4954496349999993E-2</v>
      </c>
      <c r="R908">
        <f>IF(ISBLANK(Mitigation_Industry!R376),"",Mitigation_Industry!R376)</f>
        <v>5.7976993649249998E-2</v>
      </c>
      <c r="S908">
        <f>IF(ISBLANK(Mitigation_Industry!S376),"",Mitigation_Industry!S376)</f>
        <v>6.1165728299958741E-2</v>
      </c>
      <c r="T908">
        <f>IF(ISBLANK(Mitigation_Industry!T376),"",Mitigation_Industry!T376)</f>
        <v>6.4529843356456465E-2</v>
      </c>
      <c r="U908">
        <f>IF(ISBLANK(Mitigation_Industry!U376),"",Mitigation_Industry!U376)</f>
        <v>6.8078984741061568E-2</v>
      </c>
      <c r="V908">
        <f>IF(ISBLANK(Mitigation_Industry!V376),"",Mitigation_Industry!V376)</f>
        <v>7.1823328901819944E-2</v>
      </c>
      <c r="W908">
        <f>IF(ISBLANK(Mitigation_Industry!W376),"",Mitigation_Industry!W376)</f>
        <v>7.5773611991420048E-2</v>
      </c>
      <c r="X908">
        <f>IF(ISBLANK(Mitigation_Industry!X376),"",Mitigation_Industry!X376)</f>
        <v>7.9941160650948154E-2</v>
      </c>
      <c r="Y908">
        <f>IF(ISBLANK(Mitigation_Industry!Y376),"",Mitigation_Industry!Y376)</f>
        <v>8.4337924486750301E-2</v>
      </c>
      <c r="Z908">
        <f>IF(ISBLANK(Mitigation_Industry!Z376),"",Mitigation_Industry!Z376)</f>
        <v>8.8976510333521566E-2</v>
      </c>
      <c r="AA908">
        <f>IF(ISBLANK(Mitigation_Industry!AA376),"",Mitigation_Industry!AA376)</f>
        <v>9.3870218401865241E-2</v>
      </c>
      <c r="AB908">
        <f>IF(ISBLANK(Mitigation_Industry!AB376),"",Mitigation_Industry!AB376)</f>
        <v>9.9033080413967828E-2</v>
      </c>
      <c r="AC908">
        <f>IF(ISBLANK(Mitigation_Industry!AC376),"",Mitigation_Industry!AC376)</f>
        <v>0.10447989983673606</v>
      </c>
      <c r="AD908">
        <f>IF(ISBLANK(Mitigation_Industry!AD376),"",Mitigation_Industry!AD376)</f>
        <v>0.11022629432775652</v>
      </c>
      <c r="AE908">
        <f>IF(ISBLANK(Mitigation_Industry!AE376),"",Mitigation_Industry!AE376)</f>
        <v>0.11628874051578311</v>
      </c>
    </row>
    <row r="909" spans="1:31" x14ac:dyDescent="0.45">
      <c r="A909" t="s">
        <v>1591</v>
      </c>
      <c r="B909" t="s">
        <v>1493</v>
      </c>
      <c r="C909" t="s">
        <v>285</v>
      </c>
      <c r="D909">
        <v>1</v>
      </c>
      <c r="E909" t="s">
        <v>1161</v>
      </c>
      <c r="F909">
        <f>MAX(MAX(L909:AE909),-MIN(L909:AE909))</f>
        <v>1.6354967736642831</v>
      </c>
      <c r="I909" t="s">
        <v>1588</v>
      </c>
      <c r="J909" t="s">
        <v>1589</v>
      </c>
      <c r="K909">
        <f t="shared" ref="K909:AE909" si="224">IF(ISNUMBER(K907),IF(ISNUMBER(K908),K908-K907,999999),0)</f>
        <v>0</v>
      </c>
      <c r="L909">
        <f t="shared" si="224"/>
        <v>0</v>
      </c>
      <c r="M909">
        <f t="shared" si="224"/>
        <v>-0.62388625592417069</v>
      </c>
      <c r="N909">
        <f t="shared" si="224"/>
        <v>-0.65820000000000001</v>
      </c>
      <c r="O909">
        <f t="shared" si="224"/>
        <v>-0.69440099999999993</v>
      </c>
      <c r="P909">
        <f t="shared" si="224"/>
        <v>-0.73259305499999994</v>
      </c>
      <c r="Q909">
        <f t="shared" si="224"/>
        <v>-0.772885673025</v>
      </c>
      <c r="R909">
        <f t="shared" si="224"/>
        <v>-0.81539438504137496</v>
      </c>
      <c r="S909">
        <f t="shared" si="224"/>
        <v>-0.86024107621865065</v>
      </c>
      <c r="T909">
        <f t="shared" si="224"/>
        <v>-0.90755433541067632</v>
      </c>
      <c r="U909">
        <f t="shared" si="224"/>
        <v>-0.9574698238582634</v>
      </c>
      <c r="V909">
        <f t="shared" si="224"/>
        <v>-1.0101306641704679</v>
      </c>
      <c r="W909">
        <f t="shared" si="224"/>
        <v>-1.0656878506998437</v>
      </c>
      <c r="X909">
        <f t="shared" si="224"/>
        <v>-1.124300682488335</v>
      </c>
      <c r="Y909">
        <f t="shared" si="224"/>
        <v>-1.1861372200251932</v>
      </c>
      <c r="Z909">
        <f t="shared" si="224"/>
        <v>-1.2513747671265787</v>
      </c>
      <c r="AA909">
        <f t="shared" si="224"/>
        <v>-1.3202003793185411</v>
      </c>
      <c r="AB909">
        <f t="shared" si="224"/>
        <v>-1.3928114001810603</v>
      </c>
      <c r="AC909">
        <f t="shared" si="224"/>
        <v>-1.4694160271910186</v>
      </c>
      <c r="AD909">
        <f t="shared" si="224"/>
        <v>-1.5502339086865244</v>
      </c>
      <c r="AE909">
        <f t="shared" si="224"/>
        <v>-1.6354967736642831</v>
      </c>
    </row>
    <row r="911" spans="1:31" x14ac:dyDescent="0.45">
      <c r="A911" t="s">
        <v>1592</v>
      </c>
      <c r="B911" t="s">
        <v>1493</v>
      </c>
      <c r="C911" t="s">
        <v>286</v>
      </c>
      <c r="D911">
        <v>1</v>
      </c>
      <c r="E911" t="s">
        <v>1159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45">
      <c r="A912" t="s">
        <v>1592</v>
      </c>
      <c r="B912" t="s">
        <v>1493</v>
      </c>
      <c r="C912" t="s">
        <v>286</v>
      </c>
      <c r="D912">
        <v>1</v>
      </c>
      <c r="E912" t="s">
        <v>1160</v>
      </c>
      <c r="K912" t="str">
        <f>IF(ISBLANK(Mitigation_Industry!K377),"",Mitigation_Industry!K377)</f>
        <v/>
      </c>
      <c r="L912">
        <f>IF(ISBLANK(Mitigation_Industry!L377),"",Mitigation_Industry!L377)</f>
        <v>0</v>
      </c>
      <c r="M912">
        <f>IF(ISBLANK(Mitigation_Industry!M377),"",Mitigation_Industry!M377)</f>
        <v>0</v>
      </c>
      <c r="N912">
        <f>IF(ISBLANK(Mitigation_Industry!N377),"",Mitigation_Industry!N377)</f>
        <v>0</v>
      </c>
      <c r="O912">
        <f>IF(ISBLANK(Mitigation_Industry!O377),"",Mitigation_Industry!O377)</f>
        <v>0</v>
      </c>
      <c r="P912">
        <f>IF(ISBLANK(Mitigation_Industry!P377),"",Mitigation_Industry!P377)</f>
        <v>0</v>
      </c>
      <c r="Q912">
        <f>IF(ISBLANK(Mitigation_Industry!Q377),"",Mitigation_Industry!Q377)</f>
        <v>0</v>
      </c>
      <c r="R912">
        <f>IF(ISBLANK(Mitigation_Industry!R377),"",Mitigation_Industry!R377)</f>
        <v>0</v>
      </c>
      <c r="S912">
        <f>IF(ISBLANK(Mitigation_Industry!S377),"",Mitigation_Industry!S377)</f>
        <v>0</v>
      </c>
      <c r="T912">
        <f>IF(ISBLANK(Mitigation_Industry!T377),"",Mitigation_Industry!T377)</f>
        <v>0</v>
      </c>
      <c r="U912">
        <f>IF(ISBLANK(Mitigation_Industry!U377),"",Mitigation_Industry!U377)</f>
        <v>0</v>
      </c>
      <c r="V912">
        <f>IF(ISBLANK(Mitigation_Industry!V377),"",Mitigation_Industry!V377)</f>
        <v>0</v>
      </c>
      <c r="W912">
        <f>IF(ISBLANK(Mitigation_Industry!W377),"",Mitigation_Industry!W377)</f>
        <v>0</v>
      </c>
      <c r="X912">
        <f>IF(ISBLANK(Mitigation_Industry!X377),"",Mitigation_Industry!X377)</f>
        <v>0</v>
      </c>
      <c r="Y912">
        <f>IF(ISBLANK(Mitigation_Industry!Y377),"",Mitigation_Industry!Y377)</f>
        <v>0</v>
      </c>
      <c r="Z912">
        <f>IF(ISBLANK(Mitigation_Industry!Z377),"",Mitigation_Industry!Z377)</f>
        <v>0</v>
      </c>
      <c r="AA912">
        <f>IF(ISBLANK(Mitigation_Industry!AA377),"",Mitigation_Industry!AA377)</f>
        <v>0</v>
      </c>
      <c r="AB912">
        <f>IF(ISBLANK(Mitigation_Industry!AB377),"",Mitigation_Industry!AB377)</f>
        <v>0</v>
      </c>
      <c r="AC912">
        <f>IF(ISBLANK(Mitigation_Industry!AC377),"",Mitigation_Industry!AC377)</f>
        <v>0</v>
      </c>
      <c r="AD912">
        <f>IF(ISBLANK(Mitigation_Industry!AD377),"",Mitigation_Industry!AD377)</f>
        <v>0</v>
      </c>
      <c r="AE912">
        <f>IF(ISBLANK(Mitigation_Industry!AE377),"",Mitigation_Industry!AE377)</f>
        <v>0</v>
      </c>
    </row>
    <row r="913" spans="1:31" x14ac:dyDescent="0.45">
      <c r="A913" t="s">
        <v>1592</v>
      </c>
      <c r="B913" t="s">
        <v>1493</v>
      </c>
      <c r="C913" t="s">
        <v>286</v>
      </c>
      <c r="D913">
        <v>1</v>
      </c>
      <c r="E913" t="s">
        <v>1161</v>
      </c>
      <c r="F913">
        <f>MAX(MAX(L913:AE913),-MIN(L913:AE913))</f>
        <v>0</v>
      </c>
      <c r="I913" t="s">
        <v>1588</v>
      </c>
      <c r="J913" t="s">
        <v>1589</v>
      </c>
      <c r="K913">
        <f t="shared" ref="K913:AE913" si="225">IF(ISNUMBER(K911),IF(ISNUMBER(K912),K912-K911,999999),0)</f>
        <v>0</v>
      </c>
      <c r="L913">
        <f t="shared" si="225"/>
        <v>0</v>
      </c>
      <c r="M913">
        <f t="shared" si="225"/>
        <v>0</v>
      </c>
      <c r="N913">
        <f t="shared" si="225"/>
        <v>0</v>
      </c>
      <c r="O913">
        <f t="shared" si="225"/>
        <v>0</v>
      </c>
      <c r="P913">
        <f t="shared" si="225"/>
        <v>0</v>
      </c>
      <c r="Q913">
        <f t="shared" si="225"/>
        <v>0</v>
      </c>
      <c r="R913">
        <f t="shared" si="225"/>
        <v>0</v>
      </c>
      <c r="S913">
        <f t="shared" si="225"/>
        <v>0</v>
      </c>
      <c r="T913">
        <f t="shared" si="225"/>
        <v>0</v>
      </c>
      <c r="U913">
        <f t="shared" si="225"/>
        <v>0</v>
      </c>
      <c r="V913">
        <f t="shared" si="225"/>
        <v>0</v>
      </c>
      <c r="W913">
        <f t="shared" si="225"/>
        <v>0</v>
      </c>
      <c r="X913">
        <f t="shared" si="225"/>
        <v>0</v>
      </c>
      <c r="Y913">
        <f t="shared" si="225"/>
        <v>0</v>
      </c>
      <c r="Z913">
        <f t="shared" si="225"/>
        <v>0</v>
      </c>
      <c r="AA913">
        <f t="shared" si="225"/>
        <v>0</v>
      </c>
      <c r="AB913">
        <f t="shared" si="225"/>
        <v>0</v>
      </c>
      <c r="AC913">
        <f t="shared" si="225"/>
        <v>0</v>
      </c>
      <c r="AD913">
        <f t="shared" si="225"/>
        <v>0</v>
      </c>
      <c r="AE913">
        <f t="shared" si="225"/>
        <v>0</v>
      </c>
    </row>
    <row r="915" spans="1:31" x14ac:dyDescent="0.45">
      <c r="A915" t="s">
        <v>1593</v>
      </c>
      <c r="B915" t="s">
        <v>1493</v>
      </c>
      <c r="C915" t="s">
        <v>287</v>
      </c>
      <c r="D915">
        <v>1</v>
      </c>
      <c r="E915" t="s">
        <v>1159</v>
      </c>
      <c r="L915">
        <v>13.508713893592757</v>
      </c>
      <c r="M915">
        <v>25.459825750242022</v>
      </c>
      <c r="N915">
        <v>26.3</v>
      </c>
      <c r="O915">
        <v>27.167899999999999</v>
      </c>
      <c r="P915">
        <v>28.064440699999995</v>
      </c>
      <c r="Q915">
        <v>28.990567243099992</v>
      </c>
      <c r="R915">
        <v>29.947255962122291</v>
      </c>
      <c r="S915">
        <v>30.935515408872323</v>
      </c>
      <c r="T915">
        <v>31.956387417365111</v>
      </c>
      <c r="U915">
        <v>33.010948202138152</v>
      </c>
      <c r="V915">
        <v>34.100309492808705</v>
      </c>
      <c r="W915">
        <v>35.225619706071399</v>
      </c>
      <c r="X915">
        <v>36.388065156371745</v>
      </c>
      <c r="Y915">
        <v>37.588871306532013</v>
      </c>
      <c r="Z915">
        <v>38.829304059647569</v>
      </c>
      <c r="AA915">
        <v>40.110671093615935</v>
      </c>
      <c r="AB915">
        <v>41.434323239705257</v>
      </c>
      <c r="AC915">
        <v>42.801655906615522</v>
      </c>
      <c r="AD915">
        <v>44.214110551533835</v>
      </c>
      <c r="AE915">
        <v>45.673176199734449</v>
      </c>
    </row>
    <row r="916" spans="1:31" x14ac:dyDescent="0.45">
      <c r="A916" t="s">
        <v>1593</v>
      </c>
      <c r="B916" t="s">
        <v>1493</v>
      </c>
      <c r="C916" t="s">
        <v>287</v>
      </c>
      <c r="D916">
        <v>1</v>
      </c>
      <c r="E916" t="s">
        <v>1160</v>
      </c>
      <c r="K916" t="str">
        <f>IF(ISBLANK(Mitigation_Industry!K378),"",Mitigation_Industry!K378)</f>
        <v/>
      </c>
      <c r="L916">
        <f>IF(ISBLANK(Mitigation_Industry!L378),"",Mitigation_Industry!L378)</f>
        <v>13.508713893592759</v>
      </c>
      <c r="M916">
        <f>IF(ISBLANK(Mitigation_Industry!M378),"",Mitigation_Industry!M378)</f>
        <v>13.954501452081319</v>
      </c>
      <c r="N916">
        <f>IF(ISBLANK(Mitigation_Industry!N378),"",Mitigation_Industry!N378)</f>
        <v>14.414999999999999</v>
      </c>
      <c r="O916">
        <f>IF(ISBLANK(Mitigation_Industry!O378),"",Mitigation_Industry!O378)</f>
        <v>14.890694999999997</v>
      </c>
      <c r="P916">
        <f>IF(ISBLANK(Mitigation_Industry!P378),"",Mitigation_Industry!P378)</f>
        <v>15.382087934999998</v>
      </c>
      <c r="Q916">
        <f>IF(ISBLANK(Mitigation_Industry!Q378),"",Mitigation_Industry!Q378)</f>
        <v>15.889696836854995</v>
      </c>
      <c r="R916">
        <f>IF(ISBLANK(Mitigation_Industry!R378),"",Mitigation_Industry!R378)</f>
        <v>16.414056832471207</v>
      </c>
      <c r="S916">
        <f>IF(ISBLANK(Mitigation_Industry!S378),"",Mitigation_Industry!S378)</f>
        <v>16.955720707942756</v>
      </c>
      <c r="T916">
        <f>IF(ISBLANK(Mitigation_Industry!T378),"",Mitigation_Industry!T378)</f>
        <v>17.515259491304867</v>
      </c>
      <c r="U916">
        <f>IF(ISBLANK(Mitigation_Industry!U378),"",Mitigation_Industry!U378)</f>
        <v>18.093263054517926</v>
      </c>
      <c r="V916">
        <f>IF(ISBLANK(Mitigation_Industry!V378),"",Mitigation_Industry!V378)</f>
        <v>18.690340735317015</v>
      </c>
      <c r="W916">
        <f>IF(ISBLANK(Mitigation_Industry!W378),"",Mitigation_Industry!W378)</f>
        <v>19.307121979582476</v>
      </c>
      <c r="X916">
        <f>IF(ISBLANK(Mitigation_Industry!X378),"",Mitigation_Industry!X378)</f>
        <v>19.944257004908696</v>
      </c>
      <c r="Y916">
        <f>IF(ISBLANK(Mitigation_Industry!Y378),"",Mitigation_Industry!Y378)</f>
        <v>20.602417486070681</v>
      </c>
      <c r="Z916">
        <f>IF(ISBLANK(Mitigation_Industry!Z378),"",Mitigation_Industry!Z378)</f>
        <v>21.282297263111012</v>
      </c>
      <c r="AA916">
        <f>IF(ISBLANK(Mitigation_Industry!AA378),"",Mitigation_Industry!AA378)</f>
        <v>21.984613072793675</v>
      </c>
      <c r="AB916">
        <f>IF(ISBLANK(Mitigation_Industry!AB378),"",Mitigation_Industry!AB378)</f>
        <v>22.710105304195867</v>
      </c>
      <c r="AC916">
        <f>IF(ISBLANK(Mitigation_Industry!AC378),"",Mitigation_Industry!AC378)</f>
        <v>23.459538779234329</v>
      </c>
      <c r="AD916">
        <f>IF(ISBLANK(Mitigation_Industry!AD378),"",Mitigation_Industry!AD378)</f>
        <v>24.23370355894906</v>
      </c>
      <c r="AE916">
        <f>IF(ISBLANK(Mitigation_Industry!AE378),"",Mitigation_Industry!AE378)</f>
        <v>25.033415776394378</v>
      </c>
    </row>
    <row r="917" spans="1:31" x14ac:dyDescent="0.45">
      <c r="A917" t="s">
        <v>1593</v>
      </c>
      <c r="B917" t="s">
        <v>1493</v>
      </c>
      <c r="C917" t="s">
        <v>287</v>
      </c>
      <c r="D917">
        <v>1</v>
      </c>
      <c r="E917" t="s">
        <v>1161</v>
      </c>
      <c r="F917">
        <f>MAX(MAX(L917:AE917),-MIN(L917:AE917))</f>
        <v>20.639760423340071</v>
      </c>
      <c r="I917" t="s">
        <v>1588</v>
      </c>
      <c r="J917" t="s">
        <v>1589</v>
      </c>
      <c r="K917">
        <f t="shared" ref="K917:AE917" si="226">IF(ISNUMBER(K915),IF(ISNUMBER(K916),K916-K915,999999),0)</f>
        <v>0</v>
      </c>
      <c r="L917">
        <f t="shared" si="226"/>
        <v>1.7763568394002505E-15</v>
      </c>
      <c r="M917">
        <f t="shared" si="226"/>
        <v>-11.505324298160703</v>
      </c>
      <c r="N917">
        <f t="shared" si="226"/>
        <v>-11.885000000000002</v>
      </c>
      <c r="O917">
        <f t="shared" si="226"/>
        <v>-12.277205000000002</v>
      </c>
      <c r="P917">
        <f t="shared" si="226"/>
        <v>-12.682352764999997</v>
      </c>
      <c r="Q917">
        <f t="shared" si="226"/>
        <v>-13.100870406244997</v>
      </c>
      <c r="R917">
        <f t="shared" si="226"/>
        <v>-13.533199129651084</v>
      </c>
      <c r="S917">
        <f t="shared" si="226"/>
        <v>-13.979794700929567</v>
      </c>
      <c r="T917">
        <f t="shared" si="226"/>
        <v>-14.441127926060243</v>
      </c>
      <c r="U917">
        <f t="shared" si="226"/>
        <v>-14.917685147620226</v>
      </c>
      <c r="V917">
        <f t="shared" si="226"/>
        <v>-15.40996875749169</v>
      </c>
      <c r="W917">
        <f t="shared" si="226"/>
        <v>-15.918497726488923</v>
      </c>
      <c r="X917">
        <f t="shared" si="226"/>
        <v>-16.443808151463049</v>
      </c>
      <c r="Y917">
        <f t="shared" si="226"/>
        <v>-16.986453820461332</v>
      </c>
      <c r="Z917">
        <f t="shared" si="226"/>
        <v>-17.547006796536557</v>
      </c>
      <c r="AA917">
        <f t="shared" si="226"/>
        <v>-18.12605802082226</v>
      </c>
      <c r="AB917">
        <f t="shared" si="226"/>
        <v>-18.72421793550939</v>
      </c>
      <c r="AC917">
        <f t="shared" si="226"/>
        <v>-19.342117127381194</v>
      </c>
      <c r="AD917">
        <f t="shared" si="226"/>
        <v>-19.980406992584776</v>
      </c>
      <c r="AE917">
        <f t="shared" si="226"/>
        <v>-20.639760423340071</v>
      </c>
    </row>
    <row r="919" spans="1:31" x14ac:dyDescent="0.45">
      <c r="A919" t="s">
        <v>1594</v>
      </c>
      <c r="B919" t="s">
        <v>1493</v>
      </c>
      <c r="C919" t="s">
        <v>111</v>
      </c>
      <c r="D919">
        <v>1</v>
      </c>
      <c r="E919" t="s">
        <v>1159</v>
      </c>
      <c r="L919">
        <v>20.92624635774483</v>
      </c>
      <c r="M919">
        <v>26.961911636097749</v>
      </c>
      <c r="N919">
        <v>27.863</v>
      </c>
      <c r="O919">
        <v>28.794623000000001</v>
      </c>
      <c r="P919">
        <v>29.757835348999997</v>
      </c>
      <c r="Q919">
        <v>30.753729192394992</v>
      </c>
      <c r="R919">
        <v>31.783435487304406</v>
      </c>
      <c r="S919">
        <v>32.848125435164661</v>
      </c>
      <c r="T919">
        <v>33.949011969871044</v>
      </c>
      <c r="U919">
        <v>35.087351303752364</v>
      </c>
      <c r="V919">
        <v>36.264444533762408</v>
      </c>
      <c r="W919">
        <v>37.481639310376153</v>
      </c>
      <c r="X919">
        <v>38.740331571788573</v>
      </c>
      <c r="Y919">
        <v>40.041967346128295</v>
      </c>
      <c r="Z919">
        <v>41.388044624518081</v>
      </c>
      <c r="AA919">
        <v>42.780115307939909</v>
      </c>
      <c r="AB919">
        <v>44.219787230993546</v>
      </c>
      <c r="AC919">
        <v>45.708726265775283</v>
      </c>
      <c r="AD919">
        <v>47.248658509247463</v>
      </c>
      <c r="AE919">
        <v>48.841372557620346</v>
      </c>
    </row>
    <row r="920" spans="1:31" x14ac:dyDescent="0.45">
      <c r="A920" t="s">
        <v>1594</v>
      </c>
      <c r="B920" t="s">
        <v>1493</v>
      </c>
      <c r="C920" t="s">
        <v>111</v>
      </c>
      <c r="D920">
        <v>1</v>
      </c>
      <c r="E920" t="s">
        <v>1160</v>
      </c>
      <c r="K920" t="str">
        <f>IF(ISBLANK(Mitigation_Industry!K379),"",Mitigation_Industry!K379)</f>
        <v/>
      </c>
      <c r="L920">
        <f>IF(ISBLANK(Mitigation_Industry!L379),"",Mitigation_Industry!L379)</f>
        <v>20.926246357744834</v>
      </c>
      <c r="M920">
        <f>IF(ISBLANK(Mitigation_Industry!M379),"",Mitigation_Industry!M379)</f>
        <v>21.621228468026327</v>
      </c>
      <c r="N920">
        <f>IF(ISBLANK(Mitigation_Industry!N379),"",Mitigation_Industry!N379)</f>
        <v>22.340203500000001</v>
      </c>
      <c r="O920">
        <f>IF(ISBLANK(Mitigation_Industry!O379),"",Mitigation_Industry!O379)</f>
        <v>23.084029142999999</v>
      </c>
      <c r="P920">
        <f>IF(ISBLANK(Mitigation_Industry!P379),"",Mitigation_Industry!P379)</f>
        <v>23.853594734849999</v>
      </c>
      <c r="Q920">
        <f>IF(ISBLANK(Mitigation_Industry!Q379),"",Mitigation_Industry!Q379)</f>
        <v>24.649822464218673</v>
      </c>
      <c r="R920">
        <f>IF(ISBLANK(Mitigation_Industry!R379),"",Mitigation_Industry!R379)</f>
        <v>25.473668619896117</v>
      </c>
      <c r="S920">
        <f>IF(ISBLANK(Mitigation_Industry!S379),"",Mitigation_Industry!S379)</f>
        <v>26.326124888867831</v>
      </c>
      <c r="T920">
        <f>IF(ISBLANK(Mitigation_Industry!T379),"",Mitigation_Industry!T379)</f>
        <v>27.20821970513958</v>
      </c>
      <c r="U920">
        <f>IF(ISBLANK(Mitigation_Industry!U379),"",Mitigation_Industry!U379)</f>
        <v>28.121019651346558</v>
      </c>
      <c r="V920">
        <f>IF(ISBLANK(Mitigation_Industry!V379),"",Mitigation_Industry!V379)</f>
        <v>29.065630915263306</v>
      </c>
      <c r="W920">
        <f>IF(ISBLANK(Mitigation_Industry!W379),"",Mitigation_Industry!W379)</f>
        <v>30.043200803417918</v>
      </c>
      <c r="X920">
        <f>IF(ISBLANK(Mitigation_Industry!X379),"",Mitigation_Industry!X379)</f>
        <v>31.054919314104183</v>
      </c>
      <c r="Y920">
        <f>IF(ISBLANK(Mitigation_Industry!Y379),"",Mitigation_Industry!Y379)</f>
        <v>32.102020772179657</v>
      </c>
      <c r="Z920">
        <f>IF(ISBLANK(Mitigation_Industry!Z379),"",Mitigation_Industry!Z379)</f>
        <v>33.185785528135774</v>
      </c>
      <c r="AA920">
        <f>IF(ISBLANK(Mitigation_Industry!AA379),"",Mitigation_Industry!AA379)</f>
        <v>34.307541724028304</v>
      </c>
      <c r="AB920">
        <f>IF(ISBLANK(Mitigation_Industry!AB379),"",Mitigation_Industry!AB379)</f>
        <v>35.46866712896292</v>
      </c>
      <c r="AC920">
        <f>IF(ISBLANK(Mitigation_Industry!AC379),"",Mitigation_Industry!AC379)</f>
        <v>36.670591046941837</v>
      </c>
      <c r="AD920">
        <f>IF(ISBLANK(Mitigation_Industry!AD379),"",Mitigation_Industry!AD379)</f>
        <v>37.914796299992908</v>
      </c>
      <c r="AE920">
        <f>IF(ISBLANK(Mitigation_Industry!AE379),"",Mitigation_Industry!AE379)</f>
        <v>39.202821289623259</v>
      </c>
    </row>
    <row r="921" spans="1:31" x14ac:dyDescent="0.45">
      <c r="A921" t="s">
        <v>1594</v>
      </c>
      <c r="B921" t="s">
        <v>1493</v>
      </c>
      <c r="C921" t="s">
        <v>111</v>
      </c>
      <c r="D921">
        <v>1</v>
      </c>
      <c r="E921" t="s">
        <v>1161</v>
      </c>
      <c r="F921">
        <f>MAX(MAX(L921:AE921),-MIN(L921:AE921))</f>
        <v>9.6385512679970873</v>
      </c>
      <c r="I921" t="s">
        <v>1588</v>
      </c>
      <c r="J921" t="s">
        <v>1589</v>
      </c>
      <c r="K921">
        <f t="shared" ref="K921:AE921" si="227">IF(ISNUMBER(K919),IF(ISNUMBER(K920),K920-K919,999999),0)</f>
        <v>0</v>
      </c>
      <c r="L921">
        <f t="shared" si="227"/>
        <v>3.5527136788005009E-15</v>
      </c>
      <c r="M921">
        <f t="shared" si="227"/>
        <v>-5.340683168071422</v>
      </c>
      <c r="N921">
        <f t="shared" si="227"/>
        <v>-5.5227964999999983</v>
      </c>
      <c r="O921">
        <f t="shared" si="227"/>
        <v>-5.7105938570000028</v>
      </c>
      <c r="P921">
        <f t="shared" si="227"/>
        <v>-5.9042406141499981</v>
      </c>
      <c r="Q921">
        <f t="shared" si="227"/>
        <v>-6.1039067281763195</v>
      </c>
      <c r="R921">
        <f t="shared" si="227"/>
        <v>-6.309766867408289</v>
      </c>
      <c r="S921">
        <f t="shared" si="227"/>
        <v>-6.5220005462968302</v>
      </c>
      <c r="T921">
        <f t="shared" si="227"/>
        <v>-6.7407922647314642</v>
      </c>
      <c r="U921">
        <f t="shared" si="227"/>
        <v>-6.9663316524058061</v>
      </c>
      <c r="V921">
        <f t="shared" si="227"/>
        <v>-7.1988136184991021</v>
      </c>
      <c r="W921">
        <f t="shared" si="227"/>
        <v>-7.4384385069582351</v>
      </c>
      <c r="X921">
        <f t="shared" si="227"/>
        <v>-7.6854122576843906</v>
      </c>
      <c r="Y921">
        <f t="shared" si="227"/>
        <v>-7.9399465739486388</v>
      </c>
      <c r="Z921">
        <f t="shared" si="227"/>
        <v>-8.2022590963823063</v>
      </c>
      <c r="AA921">
        <f t="shared" si="227"/>
        <v>-8.4725735839116041</v>
      </c>
      <c r="AB921">
        <f t="shared" si="227"/>
        <v>-8.751120102030626</v>
      </c>
      <c r="AC921">
        <f t="shared" si="227"/>
        <v>-9.0381352188334461</v>
      </c>
      <c r="AD921">
        <f t="shared" si="227"/>
        <v>-9.3338622092545549</v>
      </c>
      <c r="AE921">
        <f t="shared" si="227"/>
        <v>-9.6385512679970873</v>
      </c>
    </row>
    <row r="923" spans="1:31" x14ac:dyDescent="0.45">
      <c r="A923" t="s">
        <v>1595</v>
      </c>
      <c r="B923" t="s">
        <v>1499</v>
      </c>
      <c r="C923" t="s">
        <v>283</v>
      </c>
      <c r="D923">
        <v>1</v>
      </c>
      <c r="E923" t="s">
        <v>1159</v>
      </c>
      <c r="L923">
        <v>0.55721293959505358</v>
      </c>
      <c r="M923">
        <v>0.56947162426614473</v>
      </c>
      <c r="N923">
        <v>0.58199999999999996</v>
      </c>
      <c r="O923">
        <v>0.594804</v>
      </c>
      <c r="P923">
        <v>0.60788968800000009</v>
      </c>
      <c r="Q923">
        <v>0.62126326113599994</v>
      </c>
      <c r="R923">
        <v>0.63493105288099194</v>
      </c>
      <c r="S923">
        <v>0.64889953604437378</v>
      </c>
      <c r="T923">
        <v>0.66317532583735006</v>
      </c>
      <c r="U923">
        <v>0.67776518300577182</v>
      </c>
      <c r="V923">
        <v>0.69267601703189885</v>
      </c>
      <c r="W923">
        <v>0.70791488940660052</v>
      </c>
      <c r="X923">
        <v>0.72348901697354573</v>
      </c>
      <c r="Y923">
        <v>0.73940577534696372</v>
      </c>
      <c r="Z923">
        <v>0.75567270240459705</v>
      </c>
      <c r="AA923">
        <v>0.77229750185749824</v>
      </c>
      <c r="AB923">
        <v>0.78928804689836318</v>
      </c>
      <c r="AC923">
        <v>0.80665238393012717</v>
      </c>
      <c r="AD923">
        <v>0.82439873637659</v>
      </c>
      <c r="AE923">
        <v>0.84253550857687498</v>
      </c>
    </row>
    <row r="924" spans="1:31" x14ac:dyDescent="0.45">
      <c r="A924" t="s">
        <v>1595</v>
      </c>
      <c r="B924" t="s">
        <v>1499</v>
      </c>
      <c r="C924" t="s">
        <v>283</v>
      </c>
      <c r="D924">
        <v>1</v>
      </c>
      <c r="E924" t="s">
        <v>1160</v>
      </c>
      <c r="K924" t="str">
        <f>IF(ISBLANK(Mitigation_Industry!K385),"",Mitigation_Industry!K385)</f>
        <v/>
      </c>
      <c r="L924">
        <f>IF(ISBLANK(Mitigation_Industry!L385),"",Mitigation_Industry!L385)</f>
        <v>0.55721293959505358</v>
      </c>
      <c r="M924">
        <f>IF(ISBLANK(Mitigation_Industry!M385),"",Mitigation_Industry!M385)</f>
        <v>0.56947162426614473</v>
      </c>
      <c r="N924">
        <f>IF(ISBLANK(Mitigation_Industry!N385),"",Mitigation_Industry!N385)</f>
        <v>0.58199999999999996</v>
      </c>
      <c r="O924">
        <f>IF(ISBLANK(Mitigation_Industry!O385),"",Mitigation_Industry!O385)</f>
        <v>0.594804</v>
      </c>
      <c r="P924">
        <f>IF(ISBLANK(Mitigation_Industry!P385),"",Mitigation_Industry!P385)</f>
        <v>0.60788968800000009</v>
      </c>
      <c r="Q924">
        <f>IF(ISBLANK(Mitigation_Industry!Q385),"",Mitigation_Industry!Q385)</f>
        <v>0.62126326113599994</v>
      </c>
      <c r="R924">
        <f>IF(ISBLANK(Mitigation_Industry!R385),"",Mitigation_Industry!R385)</f>
        <v>0.63493105288099194</v>
      </c>
      <c r="S924">
        <f>IF(ISBLANK(Mitigation_Industry!S385),"",Mitigation_Industry!S385)</f>
        <v>0.64889953604437378</v>
      </c>
      <c r="T924">
        <f>IF(ISBLANK(Mitigation_Industry!T385),"",Mitigation_Industry!T385)</f>
        <v>0.66317532583735006</v>
      </c>
      <c r="U924">
        <f>IF(ISBLANK(Mitigation_Industry!U385),"",Mitigation_Industry!U385)</f>
        <v>0.67776518300577182</v>
      </c>
      <c r="V924">
        <f>IF(ISBLANK(Mitigation_Industry!V385),"",Mitigation_Industry!V385)</f>
        <v>0.69267601703189885</v>
      </c>
      <c r="W924">
        <f>IF(ISBLANK(Mitigation_Industry!W385),"",Mitigation_Industry!W385)</f>
        <v>0.70791488940660052</v>
      </c>
      <c r="X924">
        <f>IF(ISBLANK(Mitigation_Industry!X385),"",Mitigation_Industry!X385)</f>
        <v>0.72348901697354573</v>
      </c>
      <c r="Y924">
        <f>IF(ISBLANK(Mitigation_Industry!Y385),"",Mitigation_Industry!Y385)</f>
        <v>0.73940577534696372</v>
      </c>
      <c r="Z924">
        <f>IF(ISBLANK(Mitigation_Industry!Z385),"",Mitigation_Industry!Z385)</f>
        <v>0.75567270240459705</v>
      </c>
      <c r="AA924">
        <f>IF(ISBLANK(Mitigation_Industry!AA385),"",Mitigation_Industry!AA385)</f>
        <v>0.77229750185749824</v>
      </c>
      <c r="AB924">
        <f>IF(ISBLANK(Mitigation_Industry!AB385),"",Mitigation_Industry!AB385)</f>
        <v>0.78928804689836318</v>
      </c>
      <c r="AC924">
        <f>IF(ISBLANK(Mitigation_Industry!AC385),"",Mitigation_Industry!AC385)</f>
        <v>0.80665238393012717</v>
      </c>
      <c r="AD924">
        <f>IF(ISBLANK(Mitigation_Industry!AD385),"",Mitigation_Industry!AD385)</f>
        <v>0.82439873637659</v>
      </c>
      <c r="AE924">
        <f>IF(ISBLANK(Mitigation_Industry!AE385),"",Mitigation_Industry!AE385)</f>
        <v>0.84253550857687498</v>
      </c>
    </row>
    <row r="925" spans="1:31" x14ac:dyDescent="0.45">
      <c r="A925" t="s">
        <v>1595</v>
      </c>
      <c r="B925" t="s">
        <v>1499</v>
      </c>
      <c r="C925" t="s">
        <v>283</v>
      </c>
      <c r="D925">
        <v>1</v>
      </c>
      <c r="E925" t="s">
        <v>1161</v>
      </c>
      <c r="F925">
        <f>MAX(MAX(L925:AE925),-MIN(L925:AE925))</f>
        <v>0</v>
      </c>
      <c r="I925" t="s">
        <v>1509</v>
      </c>
      <c r="K925">
        <f t="shared" ref="K925:AE925" si="228">IF(ISNUMBER(K923),IF(ISNUMBER(K924),K924-K923,999999),0)</f>
        <v>0</v>
      </c>
      <c r="L925">
        <f t="shared" si="228"/>
        <v>0</v>
      </c>
      <c r="M925">
        <f t="shared" si="228"/>
        <v>0</v>
      </c>
      <c r="N925">
        <f t="shared" si="228"/>
        <v>0</v>
      </c>
      <c r="O925">
        <f t="shared" si="228"/>
        <v>0</v>
      </c>
      <c r="P925">
        <f t="shared" si="228"/>
        <v>0</v>
      </c>
      <c r="Q925">
        <f t="shared" si="228"/>
        <v>0</v>
      </c>
      <c r="R925">
        <f t="shared" si="228"/>
        <v>0</v>
      </c>
      <c r="S925">
        <f t="shared" si="228"/>
        <v>0</v>
      </c>
      <c r="T925">
        <f t="shared" si="228"/>
        <v>0</v>
      </c>
      <c r="U925">
        <f t="shared" si="228"/>
        <v>0</v>
      </c>
      <c r="V925">
        <f t="shared" si="228"/>
        <v>0</v>
      </c>
      <c r="W925">
        <f t="shared" si="228"/>
        <v>0</v>
      </c>
      <c r="X925">
        <f t="shared" si="228"/>
        <v>0</v>
      </c>
      <c r="Y925">
        <f t="shared" si="228"/>
        <v>0</v>
      </c>
      <c r="Z925">
        <f t="shared" si="228"/>
        <v>0</v>
      </c>
      <c r="AA925">
        <f t="shared" si="228"/>
        <v>0</v>
      </c>
      <c r="AB925">
        <f t="shared" si="228"/>
        <v>0</v>
      </c>
      <c r="AC925">
        <f t="shared" si="228"/>
        <v>0</v>
      </c>
      <c r="AD925">
        <f t="shared" si="228"/>
        <v>0</v>
      </c>
      <c r="AE925">
        <f t="shared" si="228"/>
        <v>0</v>
      </c>
    </row>
    <row r="927" spans="1:31" x14ac:dyDescent="0.45">
      <c r="A927" t="s">
        <v>1596</v>
      </c>
      <c r="B927" t="s">
        <v>1499</v>
      </c>
      <c r="C927" t="s">
        <v>284</v>
      </c>
      <c r="D927">
        <v>1</v>
      </c>
      <c r="E927" t="s">
        <v>1159</v>
      </c>
      <c r="L927">
        <v>0.25322587748271458</v>
      </c>
      <c r="M927">
        <v>0.26436781609195403</v>
      </c>
      <c r="N927">
        <v>0.27599999999999997</v>
      </c>
      <c r="O927">
        <v>0.28814400000000001</v>
      </c>
      <c r="P927">
        <v>0.30082233600000008</v>
      </c>
      <c r="Q927">
        <v>0.31405851878400004</v>
      </c>
      <c r="R927">
        <v>0.32787709361049611</v>
      </c>
      <c r="S927">
        <v>0.34230368572935788</v>
      </c>
      <c r="T927">
        <v>0.35736504790144968</v>
      </c>
      <c r="U927">
        <v>0.37308911000911349</v>
      </c>
      <c r="V927">
        <v>0.38950503084951449</v>
      </c>
      <c r="W927">
        <v>0.40664325220689312</v>
      </c>
      <c r="X927">
        <v>0.42453555530399645</v>
      </c>
      <c r="Y927">
        <v>0.44321511973737227</v>
      </c>
      <c r="Z927">
        <v>0.46271658500581669</v>
      </c>
      <c r="AA927">
        <v>0.48307611474607259</v>
      </c>
      <c r="AB927">
        <v>0.5043314637948999</v>
      </c>
      <c r="AC927">
        <v>0.52652204820187531</v>
      </c>
      <c r="AD927">
        <v>0.54968901832275785</v>
      </c>
      <c r="AE927">
        <v>0.57387533512895927</v>
      </c>
    </row>
    <row r="928" spans="1:31" x14ac:dyDescent="0.45">
      <c r="A928" t="s">
        <v>1596</v>
      </c>
      <c r="B928" t="s">
        <v>1499</v>
      </c>
      <c r="C928" t="s">
        <v>284</v>
      </c>
      <c r="D928">
        <v>1</v>
      </c>
      <c r="E928" t="s">
        <v>1160</v>
      </c>
      <c r="K928" t="str">
        <f>IF(ISBLANK(Mitigation_Industry!K386),"",Mitigation_Industry!K386)</f>
        <v/>
      </c>
      <c r="L928">
        <f>IF(ISBLANK(Mitigation_Industry!L386),"",Mitigation_Industry!L386)</f>
        <v>0.25322587748271458</v>
      </c>
      <c r="M928">
        <f>IF(ISBLANK(Mitigation_Industry!M386),"",Mitigation_Industry!M386)</f>
        <v>0.26436781609195403</v>
      </c>
      <c r="N928">
        <f>IF(ISBLANK(Mitigation_Industry!N386),"",Mitigation_Industry!N386)</f>
        <v>0.27599999999999997</v>
      </c>
      <c r="O928">
        <f>IF(ISBLANK(Mitigation_Industry!O386),"",Mitigation_Industry!O386)</f>
        <v>0.28814400000000001</v>
      </c>
      <c r="P928">
        <f>IF(ISBLANK(Mitigation_Industry!P386),"",Mitigation_Industry!P386)</f>
        <v>0.30082233600000008</v>
      </c>
      <c r="Q928">
        <f>IF(ISBLANK(Mitigation_Industry!Q386),"",Mitigation_Industry!Q386)</f>
        <v>0.31405851878400004</v>
      </c>
      <c r="R928">
        <f>IF(ISBLANK(Mitigation_Industry!R386),"",Mitigation_Industry!R386)</f>
        <v>0.32787709361049611</v>
      </c>
      <c r="S928">
        <f>IF(ISBLANK(Mitigation_Industry!S386),"",Mitigation_Industry!S386)</f>
        <v>0.34230368572935788</v>
      </c>
      <c r="T928">
        <f>IF(ISBLANK(Mitigation_Industry!T386),"",Mitigation_Industry!T386)</f>
        <v>0.35736504790144968</v>
      </c>
      <c r="U928">
        <f>IF(ISBLANK(Mitigation_Industry!U386),"",Mitigation_Industry!U386)</f>
        <v>0.37308911000911349</v>
      </c>
      <c r="V928">
        <f>IF(ISBLANK(Mitigation_Industry!V386),"",Mitigation_Industry!V386)</f>
        <v>0.38950503084951449</v>
      </c>
      <c r="W928">
        <f>IF(ISBLANK(Mitigation_Industry!W386),"",Mitigation_Industry!W386)</f>
        <v>0.40664325220689312</v>
      </c>
      <c r="X928">
        <f>IF(ISBLANK(Mitigation_Industry!X386),"",Mitigation_Industry!X386)</f>
        <v>0.42453555530399645</v>
      </c>
      <c r="Y928">
        <f>IF(ISBLANK(Mitigation_Industry!Y386),"",Mitigation_Industry!Y386)</f>
        <v>0.44321511973737227</v>
      </c>
      <c r="Z928">
        <f>IF(ISBLANK(Mitigation_Industry!Z386),"",Mitigation_Industry!Z386)</f>
        <v>0.46271658500581669</v>
      </c>
      <c r="AA928">
        <f>IF(ISBLANK(Mitigation_Industry!AA386),"",Mitigation_Industry!AA386)</f>
        <v>0.48307611474607259</v>
      </c>
      <c r="AB928">
        <f>IF(ISBLANK(Mitigation_Industry!AB386),"",Mitigation_Industry!AB386)</f>
        <v>0.5043314637948999</v>
      </c>
      <c r="AC928">
        <f>IF(ISBLANK(Mitigation_Industry!AC386),"",Mitigation_Industry!AC386)</f>
        <v>0.52652204820187531</v>
      </c>
      <c r="AD928">
        <f>IF(ISBLANK(Mitigation_Industry!AD386),"",Mitigation_Industry!AD386)</f>
        <v>0.54968901832275785</v>
      </c>
      <c r="AE928">
        <f>IF(ISBLANK(Mitigation_Industry!AE386),"",Mitigation_Industry!AE386)</f>
        <v>0.57387533512895927</v>
      </c>
    </row>
    <row r="929" spans="1:31" x14ac:dyDescent="0.45">
      <c r="A929" t="s">
        <v>1596</v>
      </c>
      <c r="B929" t="s">
        <v>1499</v>
      </c>
      <c r="C929" t="s">
        <v>284</v>
      </c>
      <c r="D929">
        <v>1</v>
      </c>
      <c r="E929" t="s">
        <v>1161</v>
      </c>
      <c r="F929">
        <f>MAX(MAX(L929:AE929),-MIN(L929:AE929))</f>
        <v>0</v>
      </c>
      <c r="I929" t="s">
        <v>1509</v>
      </c>
      <c r="K929">
        <f t="shared" ref="K929:AE929" si="229">IF(ISNUMBER(K927),IF(ISNUMBER(K928),K928-K927,999999),0)</f>
        <v>0</v>
      </c>
      <c r="L929">
        <f t="shared" si="229"/>
        <v>0</v>
      </c>
      <c r="M929">
        <f t="shared" si="229"/>
        <v>0</v>
      </c>
      <c r="N929">
        <f t="shared" si="229"/>
        <v>0</v>
      </c>
      <c r="O929">
        <f t="shared" si="229"/>
        <v>0</v>
      </c>
      <c r="P929">
        <f t="shared" si="229"/>
        <v>0</v>
      </c>
      <c r="Q929">
        <f t="shared" si="229"/>
        <v>0</v>
      </c>
      <c r="R929">
        <f t="shared" si="229"/>
        <v>0</v>
      </c>
      <c r="S929">
        <f t="shared" si="229"/>
        <v>0</v>
      </c>
      <c r="T929">
        <f t="shared" si="229"/>
        <v>0</v>
      </c>
      <c r="U929">
        <f t="shared" si="229"/>
        <v>0</v>
      </c>
      <c r="V929">
        <f t="shared" si="229"/>
        <v>0</v>
      </c>
      <c r="W929">
        <f t="shared" si="229"/>
        <v>0</v>
      </c>
      <c r="X929">
        <f t="shared" si="229"/>
        <v>0</v>
      </c>
      <c r="Y929">
        <f t="shared" si="229"/>
        <v>0</v>
      </c>
      <c r="Z929">
        <f t="shared" si="229"/>
        <v>0</v>
      </c>
      <c r="AA929">
        <f t="shared" si="229"/>
        <v>0</v>
      </c>
      <c r="AB929">
        <f t="shared" si="229"/>
        <v>0</v>
      </c>
      <c r="AC929">
        <f t="shared" si="229"/>
        <v>0</v>
      </c>
      <c r="AD929">
        <f t="shared" si="229"/>
        <v>0</v>
      </c>
      <c r="AE929">
        <f t="shared" si="229"/>
        <v>0</v>
      </c>
    </row>
    <row r="931" spans="1:31" x14ac:dyDescent="0.45">
      <c r="A931" t="s">
        <v>1597</v>
      </c>
      <c r="B931" t="s">
        <v>1499</v>
      </c>
      <c r="C931" t="s">
        <v>285</v>
      </c>
      <c r="D931">
        <v>1</v>
      </c>
      <c r="E931" t="s">
        <v>1159</v>
      </c>
      <c r="L931">
        <v>0.63340895307832257</v>
      </c>
      <c r="M931">
        <v>0.66824644549763035</v>
      </c>
      <c r="N931">
        <v>0.70499999999999996</v>
      </c>
      <c r="O931">
        <v>0.74377499999999996</v>
      </c>
      <c r="P931">
        <v>0.78468262499999997</v>
      </c>
      <c r="Q931">
        <v>0.82784016937499993</v>
      </c>
      <c r="R931">
        <v>0.87337137869062498</v>
      </c>
      <c r="S931">
        <v>0.92140680451860935</v>
      </c>
      <c r="T931">
        <v>0.97208417876713282</v>
      </c>
      <c r="U931">
        <v>1.025548808599325</v>
      </c>
      <c r="V931">
        <v>1.0819539930722879</v>
      </c>
      <c r="W931">
        <v>1.1414614626912638</v>
      </c>
      <c r="X931">
        <v>1.2042418431392832</v>
      </c>
      <c r="Y931">
        <v>1.2704751445119435</v>
      </c>
      <c r="Z931">
        <v>1.3403512774601003</v>
      </c>
      <c r="AA931">
        <v>1.4140705977204062</v>
      </c>
      <c r="AB931">
        <v>1.4918444805950282</v>
      </c>
      <c r="AC931">
        <v>1.5738959270277546</v>
      </c>
      <c r="AD931">
        <v>1.660460203014281</v>
      </c>
      <c r="AE931">
        <v>1.7517855141800662</v>
      </c>
    </row>
    <row r="932" spans="1:31" x14ac:dyDescent="0.45">
      <c r="A932" t="s">
        <v>1597</v>
      </c>
      <c r="B932" t="s">
        <v>1499</v>
      </c>
      <c r="C932" t="s">
        <v>285</v>
      </c>
      <c r="D932">
        <v>1</v>
      </c>
      <c r="E932" t="s">
        <v>1160</v>
      </c>
      <c r="K932" t="str">
        <f>IF(ISBLANK(Mitigation_Industry!K387),"",Mitigation_Industry!K387)</f>
        <v/>
      </c>
      <c r="L932">
        <f>IF(ISBLANK(Mitigation_Industry!L387),"",Mitigation_Industry!L387)</f>
        <v>0.63340895307832257</v>
      </c>
      <c r="M932">
        <f>IF(ISBLANK(Mitigation_Industry!M387),"",Mitigation_Industry!M387)</f>
        <v>0.66824644549763035</v>
      </c>
      <c r="N932">
        <f>IF(ISBLANK(Mitigation_Industry!N387),"",Mitigation_Industry!N387)</f>
        <v>0.70499999999999996</v>
      </c>
      <c r="O932">
        <f>IF(ISBLANK(Mitigation_Industry!O387),"",Mitigation_Industry!O387)</f>
        <v>0.74377499999999996</v>
      </c>
      <c r="P932">
        <f>IF(ISBLANK(Mitigation_Industry!P387),"",Mitigation_Industry!P387)</f>
        <v>0.78468262499999997</v>
      </c>
      <c r="Q932">
        <f>IF(ISBLANK(Mitigation_Industry!Q387),"",Mitigation_Industry!Q387)</f>
        <v>0.82784016937499993</v>
      </c>
      <c r="R932">
        <f>IF(ISBLANK(Mitigation_Industry!R387),"",Mitigation_Industry!R387)</f>
        <v>0.87337137869062498</v>
      </c>
      <c r="S932">
        <f>IF(ISBLANK(Mitigation_Industry!S387),"",Mitigation_Industry!S387)</f>
        <v>0.92140680451860935</v>
      </c>
      <c r="T932">
        <f>IF(ISBLANK(Mitigation_Industry!T387),"",Mitigation_Industry!T387)</f>
        <v>0.97208417876713282</v>
      </c>
      <c r="U932">
        <f>IF(ISBLANK(Mitigation_Industry!U387),"",Mitigation_Industry!U387)</f>
        <v>1.025548808599325</v>
      </c>
      <c r="V932">
        <f>IF(ISBLANK(Mitigation_Industry!V387),"",Mitigation_Industry!V387)</f>
        <v>1.0819539930722879</v>
      </c>
      <c r="W932">
        <f>IF(ISBLANK(Mitigation_Industry!W387),"",Mitigation_Industry!W387)</f>
        <v>1.1414614626912638</v>
      </c>
      <c r="X932">
        <f>IF(ISBLANK(Mitigation_Industry!X387),"",Mitigation_Industry!X387)</f>
        <v>1.2042418431392832</v>
      </c>
      <c r="Y932">
        <f>IF(ISBLANK(Mitigation_Industry!Y387),"",Mitigation_Industry!Y387)</f>
        <v>1.2704751445119435</v>
      </c>
      <c r="Z932">
        <f>IF(ISBLANK(Mitigation_Industry!Z387),"",Mitigation_Industry!Z387)</f>
        <v>1.3403512774601003</v>
      </c>
      <c r="AA932">
        <f>IF(ISBLANK(Mitigation_Industry!AA387),"",Mitigation_Industry!AA387)</f>
        <v>1.4140705977204062</v>
      </c>
      <c r="AB932">
        <f>IF(ISBLANK(Mitigation_Industry!AB387),"",Mitigation_Industry!AB387)</f>
        <v>1.4918444805950282</v>
      </c>
      <c r="AC932">
        <f>IF(ISBLANK(Mitigation_Industry!AC387),"",Mitigation_Industry!AC387)</f>
        <v>1.5738959270277546</v>
      </c>
      <c r="AD932">
        <f>IF(ISBLANK(Mitigation_Industry!AD387),"",Mitigation_Industry!AD387)</f>
        <v>1.660460203014281</v>
      </c>
      <c r="AE932">
        <f>IF(ISBLANK(Mitigation_Industry!AE387),"",Mitigation_Industry!AE387)</f>
        <v>1.7517855141800662</v>
      </c>
    </row>
    <row r="933" spans="1:31" x14ac:dyDescent="0.45">
      <c r="A933" t="s">
        <v>1597</v>
      </c>
      <c r="B933" t="s">
        <v>1499</v>
      </c>
      <c r="C933" t="s">
        <v>285</v>
      </c>
      <c r="D933">
        <v>1</v>
      </c>
      <c r="E933" t="s">
        <v>1161</v>
      </c>
      <c r="F933">
        <f>MAX(MAX(L933:AE933),-MIN(L933:AE933))</f>
        <v>0</v>
      </c>
      <c r="I933" t="s">
        <v>1509</v>
      </c>
      <c r="K933">
        <f t="shared" ref="K933:AE933" si="230">IF(ISNUMBER(K931),IF(ISNUMBER(K932),K932-K931,999999),0)</f>
        <v>0</v>
      </c>
      <c r="L933">
        <f t="shared" si="230"/>
        <v>0</v>
      </c>
      <c r="M933">
        <f t="shared" si="230"/>
        <v>0</v>
      </c>
      <c r="N933">
        <f t="shared" si="230"/>
        <v>0</v>
      </c>
      <c r="O933">
        <f t="shared" si="230"/>
        <v>0</v>
      </c>
      <c r="P933">
        <f t="shared" si="230"/>
        <v>0</v>
      </c>
      <c r="Q933">
        <f t="shared" si="230"/>
        <v>0</v>
      </c>
      <c r="R933">
        <f t="shared" si="230"/>
        <v>0</v>
      </c>
      <c r="S933">
        <f t="shared" si="230"/>
        <v>0</v>
      </c>
      <c r="T933">
        <f t="shared" si="230"/>
        <v>0</v>
      </c>
      <c r="U933">
        <f t="shared" si="230"/>
        <v>0</v>
      </c>
      <c r="V933">
        <f t="shared" si="230"/>
        <v>0</v>
      </c>
      <c r="W933">
        <f t="shared" si="230"/>
        <v>0</v>
      </c>
      <c r="X933">
        <f t="shared" si="230"/>
        <v>0</v>
      </c>
      <c r="Y933">
        <f t="shared" si="230"/>
        <v>0</v>
      </c>
      <c r="Z933">
        <f t="shared" si="230"/>
        <v>0</v>
      </c>
      <c r="AA933">
        <f t="shared" si="230"/>
        <v>0</v>
      </c>
      <c r="AB933">
        <f t="shared" si="230"/>
        <v>0</v>
      </c>
      <c r="AC933">
        <f t="shared" si="230"/>
        <v>0</v>
      </c>
      <c r="AD933">
        <f t="shared" si="230"/>
        <v>0</v>
      </c>
      <c r="AE933">
        <f t="shared" si="230"/>
        <v>0</v>
      </c>
    </row>
    <row r="935" spans="1:31" x14ac:dyDescent="0.45">
      <c r="A935" t="s">
        <v>1598</v>
      </c>
      <c r="B935" t="s">
        <v>1499</v>
      </c>
      <c r="C935" t="s">
        <v>286</v>
      </c>
      <c r="D935">
        <v>1</v>
      </c>
      <c r="E935" t="s">
        <v>1159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45">
      <c r="A936" t="s">
        <v>1598</v>
      </c>
      <c r="B936" t="s">
        <v>1499</v>
      </c>
      <c r="C936" t="s">
        <v>286</v>
      </c>
      <c r="D936">
        <v>1</v>
      </c>
      <c r="E936" t="s">
        <v>1160</v>
      </c>
      <c r="K936" t="str">
        <f>IF(ISBLANK(Mitigation_Industry!K388),"",Mitigation_Industry!K388)</f>
        <v/>
      </c>
      <c r="L936">
        <f>IF(ISBLANK(Mitigation_Industry!L388),"",Mitigation_Industry!L388)</f>
        <v>0</v>
      </c>
      <c r="M936">
        <f>IF(ISBLANK(Mitigation_Industry!M388),"",Mitigation_Industry!M388)</f>
        <v>0</v>
      </c>
      <c r="N936">
        <f>IF(ISBLANK(Mitigation_Industry!N388),"",Mitigation_Industry!N388)</f>
        <v>0</v>
      </c>
      <c r="O936">
        <f>IF(ISBLANK(Mitigation_Industry!O388),"",Mitigation_Industry!O388)</f>
        <v>0</v>
      </c>
      <c r="P936">
        <f>IF(ISBLANK(Mitigation_Industry!P388),"",Mitigation_Industry!P388)</f>
        <v>0</v>
      </c>
      <c r="Q936">
        <f>IF(ISBLANK(Mitigation_Industry!Q388),"",Mitigation_Industry!Q388)</f>
        <v>0</v>
      </c>
      <c r="R936">
        <f>IF(ISBLANK(Mitigation_Industry!R388),"",Mitigation_Industry!R388)</f>
        <v>0</v>
      </c>
      <c r="S936">
        <f>IF(ISBLANK(Mitigation_Industry!S388),"",Mitigation_Industry!S388)</f>
        <v>0</v>
      </c>
      <c r="T936">
        <f>IF(ISBLANK(Mitigation_Industry!T388),"",Mitigation_Industry!T388)</f>
        <v>0</v>
      </c>
      <c r="U936">
        <f>IF(ISBLANK(Mitigation_Industry!U388),"",Mitigation_Industry!U388)</f>
        <v>0</v>
      </c>
      <c r="V936">
        <f>IF(ISBLANK(Mitigation_Industry!V388),"",Mitigation_Industry!V388)</f>
        <v>0</v>
      </c>
      <c r="W936">
        <f>IF(ISBLANK(Mitigation_Industry!W388),"",Mitigation_Industry!W388)</f>
        <v>0</v>
      </c>
      <c r="X936">
        <f>IF(ISBLANK(Mitigation_Industry!X388),"",Mitigation_Industry!X388)</f>
        <v>0</v>
      </c>
      <c r="Y936">
        <f>IF(ISBLANK(Mitigation_Industry!Y388),"",Mitigation_Industry!Y388)</f>
        <v>0</v>
      </c>
      <c r="Z936">
        <f>IF(ISBLANK(Mitigation_Industry!Z388),"",Mitigation_Industry!Z388)</f>
        <v>0</v>
      </c>
      <c r="AA936">
        <f>IF(ISBLANK(Mitigation_Industry!AA388),"",Mitigation_Industry!AA388)</f>
        <v>0</v>
      </c>
      <c r="AB936">
        <f>IF(ISBLANK(Mitigation_Industry!AB388),"",Mitigation_Industry!AB388)</f>
        <v>0</v>
      </c>
      <c r="AC936">
        <f>IF(ISBLANK(Mitigation_Industry!AC388),"",Mitigation_Industry!AC388)</f>
        <v>0</v>
      </c>
      <c r="AD936">
        <f>IF(ISBLANK(Mitigation_Industry!AD388),"",Mitigation_Industry!AD388)</f>
        <v>0</v>
      </c>
      <c r="AE936">
        <f>IF(ISBLANK(Mitigation_Industry!AE388),"",Mitigation_Industry!AE388)</f>
        <v>0</v>
      </c>
    </row>
    <row r="937" spans="1:31" x14ac:dyDescent="0.45">
      <c r="A937" t="s">
        <v>1598</v>
      </c>
      <c r="B937" t="s">
        <v>1499</v>
      </c>
      <c r="C937" t="s">
        <v>286</v>
      </c>
      <c r="D937">
        <v>1</v>
      </c>
      <c r="E937" t="s">
        <v>1161</v>
      </c>
      <c r="F937">
        <f>MAX(MAX(L937:AE937),-MIN(L937:AE937))</f>
        <v>0</v>
      </c>
      <c r="I937" t="s">
        <v>1509</v>
      </c>
      <c r="K937">
        <f t="shared" ref="K937:AE937" si="231">IF(ISNUMBER(K935),IF(ISNUMBER(K936),K936-K935,999999),0)</f>
        <v>0</v>
      </c>
      <c r="L937">
        <f t="shared" si="231"/>
        <v>0</v>
      </c>
      <c r="M937">
        <f t="shared" si="231"/>
        <v>0</v>
      </c>
      <c r="N937">
        <f t="shared" si="231"/>
        <v>0</v>
      </c>
      <c r="O937">
        <f t="shared" si="231"/>
        <v>0</v>
      </c>
      <c r="P937">
        <f t="shared" si="231"/>
        <v>0</v>
      </c>
      <c r="Q937">
        <f t="shared" si="231"/>
        <v>0</v>
      </c>
      <c r="R937">
        <f t="shared" si="231"/>
        <v>0</v>
      </c>
      <c r="S937">
        <f t="shared" si="231"/>
        <v>0</v>
      </c>
      <c r="T937">
        <f t="shared" si="231"/>
        <v>0</v>
      </c>
      <c r="U937">
        <f t="shared" si="231"/>
        <v>0</v>
      </c>
      <c r="V937">
        <f t="shared" si="231"/>
        <v>0</v>
      </c>
      <c r="W937">
        <f t="shared" si="231"/>
        <v>0</v>
      </c>
      <c r="X937">
        <f t="shared" si="231"/>
        <v>0</v>
      </c>
      <c r="Y937">
        <f t="shared" si="231"/>
        <v>0</v>
      </c>
      <c r="Z937">
        <f t="shared" si="231"/>
        <v>0</v>
      </c>
      <c r="AA937">
        <f t="shared" si="231"/>
        <v>0</v>
      </c>
      <c r="AB937">
        <f t="shared" si="231"/>
        <v>0</v>
      </c>
      <c r="AC937">
        <f t="shared" si="231"/>
        <v>0</v>
      </c>
      <c r="AD937">
        <f t="shared" si="231"/>
        <v>0</v>
      </c>
      <c r="AE937">
        <f t="shared" si="231"/>
        <v>0</v>
      </c>
    </row>
    <row r="939" spans="1:31" x14ac:dyDescent="0.45">
      <c r="A939" t="s">
        <v>1599</v>
      </c>
      <c r="B939" t="s">
        <v>1499</v>
      </c>
      <c r="C939" t="s">
        <v>287</v>
      </c>
      <c r="D939">
        <v>1</v>
      </c>
      <c r="E939" t="s">
        <v>1159</v>
      </c>
      <c r="L939">
        <v>24.646491529759945</v>
      </c>
      <c r="M939">
        <v>25.459825750242022</v>
      </c>
      <c r="N939">
        <v>26.3</v>
      </c>
      <c r="O939">
        <v>27.167899999999999</v>
      </c>
      <c r="P939">
        <v>28.064440699999995</v>
      </c>
      <c r="Q939">
        <v>28.990567243099992</v>
      </c>
      <c r="R939">
        <v>29.947255962122291</v>
      </c>
      <c r="S939">
        <v>30.935515408872323</v>
      </c>
      <c r="T939">
        <v>31.956387417365111</v>
      </c>
      <c r="U939">
        <v>33.010948202138152</v>
      </c>
      <c r="V939">
        <v>34.100309492808705</v>
      </c>
      <c r="W939">
        <v>35.225619706071399</v>
      </c>
      <c r="X939">
        <v>36.388065156371745</v>
      </c>
      <c r="Y939">
        <v>37.588871306532013</v>
      </c>
      <c r="Z939">
        <v>38.829304059647569</v>
      </c>
      <c r="AA939">
        <v>40.110671093615935</v>
      </c>
      <c r="AB939">
        <v>41.434323239705257</v>
      </c>
      <c r="AC939">
        <v>42.801655906615522</v>
      </c>
      <c r="AD939">
        <v>44.214110551533835</v>
      </c>
      <c r="AE939">
        <v>45.673176199734449</v>
      </c>
    </row>
    <row r="940" spans="1:31" x14ac:dyDescent="0.45">
      <c r="A940" t="s">
        <v>1599</v>
      </c>
      <c r="B940" t="s">
        <v>1499</v>
      </c>
      <c r="C940" t="s">
        <v>287</v>
      </c>
      <c r="D940">
        <v>1</v>
      </c>
      <c r="E940" t="s">
        <v>1160</v>
      </c>
      <c r="K940" t="str">
        <f>IF(ISBLANK(Mitigation_Industry!K389),"",Mitigation_Industry!K389)</f>
        <v/>
      </c>
      <c r="L940">
        <f>IF(ISBLANK(Mitigation_Industry!L389),"",Mitigation_Industry!L389)</f>
        <v>24.646491529759945</v>
      </c>
      <c r="M940">
        <f>IF(ISBLANK(Mitigation_Industry!M389),"",Mitigation_Industry!M389)</f>
        <v>25.459825750242022</v>
      </c>
      <c r="N940">
        <f>IF(ISBLANK(Mitigation_Industry!N389),"",Mitigation_Industry!N389)</f>
        <v>26.3</v>
      </c>
      <c r="O940">
        <f>IF(ISBLANK(Mitigation_Industry!O389),"",Mitigation_Industry!O389)</f>
        <v>27.167899999999999</v>
      </c>
      <c r="P940">
        <f>IF(ISBLANK(Mitigation_Industry!P389),"",Mitigation_Industry!P389)</f>
        <v>28.064440699999995</v>
      </c>
      <c r="Q940">
        <f>IF(ISBLANK(Mitigation_Industry!Q389),"",Mitigation_Industry!Q389)</f>
        <v>28.990567243099992</v>
      </c>
      <c r="R940">
        <f>IF(ISBLANK(Mitigation_Industry!R389),"",Mitigation_Industry!R389)</f>
        <v>29.947255962122291</v>
      </c>
      <c r="S940">
        <f>IF(ISBLANK(Mitigation_Industry!S389),"",Mitigation_Industry!S389)</f>
        <v>30.935515408872323</v>
      </c>
      <c r="T940">
        <f>IF(ISBLANK(Mitigation_Industry!T389),"",Mitigation_Industry!T389)</f>
        <v>31.956387417365111</v>
      </c>
      <c r="U940">
        <f>IF(ISBLANK(Mitigation_Industry!U389),"",Mitigation_Industry!U389)</f>
        <v>33.010948202138152</v>
      </c>
      <c r="V940">
        <f>IF(ISBLANK(Mitigation_Industry!V389),"",Mitigation_Industry!V389)</f>
        <v>34.100309492808705</v>
      </c>
      <c r="W940">
        <f>IF(ISBLANK(Mitigation_Industry!W389),"",Mitigation_Industry!W389)</f>
        <v>35.225619706071399</v>
      </c>
      <c r="X940">
        <f>IF(ISBLANK(Mitigation_Industry!X389),"",Mitigation_Industry!X389)</f>
        <v>36.388065156371745</v>
      </c>
      <c r="Y940">
        <f>IF(ISBLANK(Mitigation_Industry!Y389),"",Mitigation_Industry!Y389)</f>
        <v>37.588871306532013</v>
      </c>
      <c r="Z940">
        <f>IF(ISBLANK(Mitigation_Industry!Z389),"",Mitigation_Industry!Z389)</f>
        <v>38.829304059647569</v>
      </c>
      <c r="AA940">
        <f>IF(ISBLANK(Mitigation_Industry!AA389),"",Mitigation_Industry!AA389)</f>
        <v>40.110671093615935</v>
      </c>
      <c r="AB940">
        <f>IF(ISBLANK(Mitigation_Industry!AB389),"",Mitigation_Industry!AB389)</f>
        <v>41.434323239705257</v>
      </c>
      <c r="AC940">
        <f>IF(ISBLANK(Mitigation_Industry!AC389),"",Mitigation_Industry!AC389)</f>
        <v>42.801655906615522</v>
      </c>
      <c r="AD940">
        <f>IF(ISBLANK(Mitigation_Industry!AD389),"",Mitigation_Industry!AD389)</f>
        <v>44.214110551533835</v>
      </c>
      <c r="AE940">
        <f>IF(ISBLANK(Mitigation_Industry!AE389),"",Mitigation_Industry!AE389)</f>
        <v>45.673176199734449</v>
      </c>
    </row>
    <row r="941" spans="1:31" x14ac:dyDescent="0.45">
      <c r="A941" t="s">
        <v>1599</v>
      </c>
      <c r="B941" t="s">
        <v>1499</v>
      </c>
      <c r="C941" t="s">
        <v>287</v>
      </c>
      <c r="D941">
        <v>1</v>
      </c>
      <c r="E941" t="s">
        <v>1161</v>
      </c>
      <c r="F941">
        <f>MAX(MAX(L941:AE941),-MIN(L941:AE941))</f>
        <v>0</v>
      </c>
      <c r="I941" t="s">
        <v>1509</v>
      </c>
      <c r="K941">
        <f t="shared" ref="K941:AE941" si="232">IF(ISNUMBER(K939),IF(ISNUMBER(K940),K940-K939,999999),0)</f>
        <v>0</v>
      </c>
      <c r="L941">
        <f t="shared" si="232"/>
        <v>0</v>
      </c>
      <c r="M941">
        <f t="shared" si="232"/>
        <v>0</v>
      </c>
      <c r="N941">
        <f t="shared" si="232"/>
        <v>0</v>
      </c>
      <c r="O941">
        <f t="shared" si="232"/>
        <v>0</v>
      </c>
      <c r="P941">
        <f t="shared" si="232"/>
        <v>0</v>
      </c>
      <c r="Q941">
        <f t="shared" si="232"/>
        <v>0</v>
      </c>
      <c r="R941">
        <f t="shared" si="232"/>
        <v>0</v>
      </c>
      <c r="S941">
        <f t="shared" si="232"/>
        <v>0</v>
      </c>
      <c r="T941">
        <f t="shared" si="232"/>
        <v>0</v>
      </c>
      <c r="U941">
        <f t="shared" si="232"/>
        <v>0</v>
      </c>
      <c r="V941">
        <f t="shared" si="232"/>
        <v>0</v>
      </c>
      <c r="W941">
        <f t="shared" si="232"/>
        <v>0</v>
      </c>
      <c r="X941">
        <f t="shared" si="232"/>
        <v>0</v>
      </c>
      <c r="Y941">
        <f t="shared" si="232"/>
        <v>0</v>
      </c>
      <c r="Z941">
        <f t="shared" si="232"/>
        <v>0</v>
      </c>
      <c r="AA941">
        <f t="shared" si="232"/>
        <v>0</v>
      </c>
      <c r="AB941">
        <f t="shared" si="232"/>
        <v>0</v>
      </c>
      <c r="AC941">
        <f t="shared" si="232"/>
        <v>0</v>
      </c>
      <c r="AD941">
        <f t="shared" si="232"/>
        <v>0</v>
      </c>
      <c r="AE941">
        <f t="shared" si="232"/>
        <v>0</v>
      </c>
    </row>
    <row r="943" spans="1:31" x14ac:dyDescent="0.45">
      <c r="A943" t="s">
        <v>1600</v>
      </c>
      <c r="B943" t="s">
        <v>1499</v>
      </c>
      <c r="C943" t="s">
        <v>111</v>
      </c>
      <c r="D943">
        <v>1</v>
      </c>
      <c r="E943" t="s">
        <v>1159</v>
      </c>
    </row>
    <row r="944" spans="1:31" x14ac:dyDescent="0.45">
      <c r="A944" t="s">
        <v>1600</v>
      </c>
      <c r="B944" t="s">
        <v>1499</v>
      </c>
      <c r="C944" t="s">
        <v>111</v>
      </c>
      <c r="D944">
        <v>1</v>
      </c>
      <c r="E944" t="s">
        <v>1160</v>
      </c>
      <c r="K944" t="str">
        <f>IF(ISBLANK(Mitigation_Industry!K390),"",Mitigation_Industry!K390)</f>
        <v/>
      </c>
      <c r="L944">
        <f>IF(ISBLANK(Mitigation_Industry!L390),"",Mitigation_Industry!L390)</f>
        <v>26.090339299916035</v>
      </c>
      <c r="M944">
        <f>IF(ISBLANK(Mitigation_Industry!M390),"",Mitigation_Industry!M390)</f>
        <v>26.961911636097749</v>
      </c>
      <c r="N944">
        <f>IF(ISBLANK(Mitigation_Industry!N390),"",Mitigation_Industry!N390)</f>
        <v>27.863</v>
      </c>
      <c r="O944">
        <f>IF(ISBLANK(Mitigation_Industry!O390),"",Mitigation_Industry!O390)</f>
        <v>28.794623000000001</v>
      </c>
      <c r="P944">
        <f>IF(ISBLANK(Mitigation_Industry!P390),"",Mitigation_Industry!P390)</f>
        <v>29.757835348999997</v>
      </c>
      <c r="Q944">
        <f>IF(ISBLANK(Mitigation_Industry!Q390),"",Mitigation_Industry!Q390)</f>
        <v>30.753729192394992</v>
      </c>
      <c r="R944">
        <f>IF(ISBLANK(Mitigation_Industry!R390),"",Mitigation_Industry!R390)</f>
        <v>31.783435487304406</v>
      </c>
      <c r="S944">
        <f>IF(ISBLANK(Mitigation_Industry!S390),"",Mitigation_Industry!S390)</f>
        <v>32.848125435164661</v>
      </c>
      <c r="T944">
        <f>IF(ISBLANK(Mitigation_Industry!T390),"",Mitigation_Industry!T390)</f>
        <v>33.949011969871044</v>
      </c>
      <c r="U944">
        <f>IF(ISBLANK(Mitigation_Industry!U390),"",Mitigation_Industry!U390)</f>
        <v>35.087351303752364</v>
      </c>
      <c r="V944">
        <f>IF(ISBLANK(Mitigation_Industry!V390),"",Mitigation_Industry!V390)</f>
        <v>36.264444533762408</v>
      </c>
      <c r="W944">
        <f>IF(ISBLANK(Mitigation_Industry!W390),"",Mitigation_Industry!W390)</f>
        <v>37.481639310376153</v>
      </c>
      <c r="X944">
        <f>IF(ISBLANK(Mitigation_Industry!X390),"",Mitigation_Industry!X390)</f>
        <v>38.740331571788573</v>
      </c>
      <c r="Y944">
        <f>IF(ISBLANK(Mitigation_Industry!Y390),"",Mitigation_Industry!Y390)</f>
        <v>40.041967346128295</v>
      </c>
      <c r="Z944">
        <f>IF(ISBLANK(Mitigation_Industry!Z390),"",Mitigation_Industry!Z390)</f>
        <v>41.388044624518081</v>
      </c>
      <c r="AA944">
        <f>IF(ISBLANK(Mitigation_Industry!AA390),"",Mitigation_Industry!AA390)</f>
        <v>42.780115307939909</v>
      </c>
      <c r="AB944">
        <f>IF(ISBLANK(Mitigation_Industry!AB390),"",Mitigation_Industry!AB390)</f>
        <v>44.219787230993546</v>
      </c>
      <c r="AC944">
        <f>IF(ISBLANK(Mitigation_Industry!AC390),"",Mitigation_Industry!AC390)</f>
        <v>45.708726265775283</v>
      </c>
      <c r="AD944">
        <f>IF(ISBLANK(Mitigation_Industry!AD390),"",Mitigation_Industry!AD390)</f>
        <v>47.248658509247463</v>
      </c>
      <c r="AE944">
        <f>IF(ISBLANK(Mitigation_Industry!AE390),"",Mitigation_Industry!AE390)</f>
        <v>48.841372557620346</v>
      </c>
    </row>
    <row r="945" spans="1:31" x14ac:dyDescent="0.45">
      <c r="A945" t="s">
        <v>1600</v>
      </c>
      <c r="B945" t="s">
        <v>1499</v>
      </c>
      <c r="C945" t="s">
        <v>111</v>
      </c>
      <c r="D945">
        <v>1</v>
      </c>
      <c r="E945" t="s">
        <v>1161</v>
      </c>
      <c r="F945">
        <f>MAX(MAX(L945:AE945),-MIN(L945:AE945))</f>
        <v>0</v>
      </c>
      <c r="I945" t="s">
        <v>1509</v>
      </c>
      <c r="K945">
        <f t="shared" ref="K945:AE945" si="233">IF(ISNUMBER(K943),IF(ISNUMBER(K944),K944-K943,999999),0)</f>
        <v>0</v>
      </c>
      <c r="L945">
        <f t="shared" si="233"/>
        <v>0</v>
      </c>
      <c r="M945">
        <f t="shared" si="233"/>
        <v>0</v>
      </c>
      <c r="N945">
        <f t="shared" si="233"/>
        <v>0</v>
      </c>
      <c r="O945">
        <f t="shared" si="233"/>
        <v>0</v>
      </c>
      <c r="P945">
        <f t="shared" si="233"/>
        <v>0</v>
      </c>
      <c r="Q945">
        <f t="shared" si="233"/>
        <v>0</v>
      </c>
      <c r="R945">
        <f t="shared" si="233"/>
        <v>0</v>
      </c>
      <c r="S945">
        <f t="shared" si="233"/>
        <v>0</v>
      </c>
      <c r="T945">
        <f t="shared" si="233"/>
        <v>0</v>
      </c>
      <c r="U945">
        <f t="shared" si="233"/>
        <v>0</v>
      </c>
      <c r="V945">
        <f t="shared" si="233"/>
        <v>0</v>
      </c>
      <c r="W945">
        <f t="shared" si="233"/>
        <v>0</v>
      </c>
      <c r="X945">
        <f t="shared" si="233"/>
        <v>0</v>
      </c>
      <c r="Y945">
        <f t="shared" si="233"/>
        <v>0</v>
      </c>
      <c r="Z945">
        <f t="shared" si="233"/>
        <v>0</v>
      </c>
      <c r="AA945">
        <f t="shared" si="233"/>
        <v>0</v>
      </c>
      <c r="AB945">
        <f t="shared" si="233"/>
        <v>0</v>
      </c>
      <c r="AC945">
        <f t="shared" si="233"/>
        <v>0</v>
      </c>
      <c r="AD945">
        <f t="shared" si="233"/>
        <v>0</v>
      </c>
      <c r="AE945">
        <f t="shared" si="233"/>
        <v>0</v>
      </c>
    </row>
    <row r="947" spans="1:31" x14ac:dyDescent="0.45">
      <c r="A947" t="s">
        <v>1601</v>
      </c>
      <c r="B947" t="s">
        <v>1500</v>
      </c>
      <c r="C947" t="s">
        <v>1350</v>
      </c>
      <c r="D947">
        <v>1</v>
      </c>
      <c r="E947" t="s">
        <v>1159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45">
      <c r="A948" t="s">
        <v>1601</v>
      </c>
      <c r="B948" t="s">
        <v>1500</v>
      </c>
      <c r="C948" t="s">
        <v>1350</v>
      </c>
      <c r="D948">
        <v>1</v>
      </c>
      <c r="E948" t="s">
        <v>1160</v>
      </c>
      <c r="K948" t="str">
        <f>IF(ISBLANK(Mitigation_Industry!K392),"",Mitigation_Industry!K392)</f>
        <v/>
      </c>
      <c r="L948">
        <f>IF(ISBLANK(Mitigation_Industry!L392),"",Mitigation_Industry!L392)</f>
        <v>0</v>
      </c>
      <c r="M948">
        <f>IF(ISBLANK(Mitigation_Industry!M392),"",Mitigation_Industry!M392)</f>
        <v>0</v>
      </c>
      <c r="N948">
        <f>IF(ISBLANK(Mitigation_Industry!N392),"",Mitigation_Industry!N392)</f>
        <v>0</v>
      </c>
      <c r="O948">
        <f>IF(ISBLANK(Mitigation_Industry!O392),"",Mitigation_Industry!O392)</f>
        <v>0</v>
      </c>
      <c r="P948">
        <f>IF(ISBLANK(Mitigation_Industry!P392),"",Mitigation_Industry!P392)</f>
        <v>0</v>
      </c>
      <c r="Q948">
        <f>IF(ISBLANK(Mitigation_Industry!Q392),"",Mitigation_Industry!Q392)</f>
        <v>0</v>
      </c>
      <c r="R948">
        <f>IF(ISBLANK(Mitigation_Industry!R392),"",Mitigation_Industry!R392)</f>
        <v>0</v>
      </c>
      <c r="S948">
        <f>IF(ISBLANK(Mitigation_Industry!S392),"",Mitigation_Industry!S392)</f>
        <v>0</v>
      </c>
      <c r="T948">
        <f>IF(ISBLANK(Mitigation_Industry!T392),"",Mitigation_Industry!T392)</f>
        <v>0</v>
      </c>
      <c r="U948">
        <f>IF(ISBLANK(Mitigation_Industry!U392),"",Mitigation_Industry!U392)</f>
        <v>0</v>
      </c>
      <c r="V948">
        <f>IF(ISBLANK(Mitigation_Industry!V392),"",Mitigation_Industry!V392)</f>
        <v>0</v>
      </c>
      <c r="W948">
        <f>IF(ISBLANK(Mitigation_Industry!W392),"",Mitigation_Industry!W392)</f>
        <v>0</v>
      </c>
      <c r="X948">
        <f>IF(ISBLANK(Mitigation_Industry!X392),"",Mitigation_Industry!X392)</f>
        <v>0</v>
      </c>
      <c r="Y948">
        <f>IF(ISBLANK(Mitigation_Industry!Y392),"",Mitigation_Industry!Y392)</f>
        <v>0</v>
      </c>
      <c r="Z948">
        <f>IF(ISBLANK(Mitigation_Industry!Z392),"",Mitigation_Industry!Z392)</f>
        <v>0</v>
      </c>
      <c r="AA948">
        <f>IF(ISBLANK(Mitigation_Industry!AA392),"",Mitigation_Industry!AA392)</f>
        <v>0</v>
      </c>
      <c r="AB948">
        <f>IF(ISBLANK(Mitigation_Industry!AB392),"",Mitigation_Industry!AB392)</f>
        <v>0</v>
      </c>
      <c r="AC948">
        <f>IF(ISBLANK(Mitigation_Industry!AC392),"",Mitigation_Industry!AC392)</f>
        <v>0</v>
      </c>
      <c r="AD948">
        <f>IF(ISBLANK(Mitigation_Industry!AD392),"",Mitigation_Industry!AD392)</f>
        <v>0</v>
      </c>
      <c r="AE948">
        <f>IF(ISBLANK(Mitigation_Industry!AE392),"",Mitigation_Industry!AE392)</f>
        <v>0</v>
      </c>
    </row>
    <row r="949" spans="1:31" x14ac:dyDescent="0.45">
      <c r="A949" t="s">
        <v>1601</v>
      </c>
      <c r="B949" t="s">
        <v>1500</v>
      </c>
      <c r="C949" t="s">
        <v>1350</v>
      </c>
      <c r="D949">
        <v>1</v>
      </c>
      <c r="E949" t="s">
        <v>1161</v>
      </c>
      <c r="F949">
        <f>MAX(MAX(L949:AE949),-MIN(L949:AE949))</f>
        <v>0</v>
      </c>
      <c r="I949" t="s">
        <v>1509</v>
      </c>
      <c r="K949">
        <f t="shared" ref="K949:AE949" si="234">IF(ISNUMBER(K947),IF(ISNUMBER(K948),K948-K947,999999),0)</f>
        <v>0</v>
      </c>
      <c r="L949">
        <f t="shared" si="234"/>
        <v>0</v>
      </c>
      <c r="M949">
        <f t="shared" si="234"/>
        <v>0</v>
      </c>
      <c r="N949">
        <f t="shared" si="234"/>
        <v>0</v>
      </c>
      <c r="O949">
        <f t="shared" si="234"/>
        <v>0</v>
      </c>
      <c r="P949">
        <f t="shared" si="234"/>
        <v>0</v>
      </c>
      <c r="Q949">
        <f t="shared" si="234"/>
        <v>0</v>
      </c>
      <c r="R949">
        <f t="shared" si="234"/>
        <v>0</v>
      </c>
      <c r="S949">
        <f t="shared" si="234"/>
        <v>0</v>
      </c>
      <c r="T949">
        <f t="shared" si="234"/>
        <v>0</v>
      </c>
      <c r="U949">
        <f t="shared" si="234"/>
        <v>0</v>
      </c>
      <c r="V949">
        <f t="shared" si="234"/>
        <v>0</v>
      </c>
      <c r="W949">
        <f t="shared" si="234"/>
        <v>0</v>
      </c>
      <c r="X949">
        <f t="shared" si="234"/>
        <v>0</v>
      </c>
      <c r="Y949">
        <f t="shared" si="234"/>
        <v>0</v>
      </c>
      <c r="Z949">
        <f t="shared" si="234"/>
        <v>0</v>
      </c>
      <c r="AA949">
        <f t="shared" si="234"/>
        <v>0</v>
      </c>
      <c r="AB949">
        <f t="shared" si="234"/>
        <v>0</v>
      </c>
      <c r="AC949">
        <f t="shared" si="234"/>
        <v>0</v>
      </c>
      <c r="AD949">
        <f t="shared" si="234"/>
        <v>0</v>
      </c>
      <c r="AE949">
        <f t="shared" si="234"/>
        <v>0</v>
      </c>
    </row>
    <row r="951" spans="1:31" x14ac:dyDescent="0.45">
      <c r="A951" t="s">
        <v>1602</v>
      </c>
      <c r="B951" t="s">
        <v>1500</v>
      </c>
      <c r="C951" t="s">
        <v>1357</v>
      </c>
      <c r="D951">
        <v>1</v>
      </c>
      <c r="E951" t="s">
        <v>1159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45">
      <c r="A952" t="s">
        <v>1602</v>
      </c>
      <c r="B952" t="s">
        <v>1500</v>
      </c>
      <c r="C952" t="s">
        <v>1357</v>
      </c>
      <c r="D952">
        <v>1</v>
      </c>
      <c r="E952" t="s">
        <v>1160</v>
      </c>
      <c r="K952" t="str">
        <f>IF(ISBLANK(Mitigation_Industry!K393),"",Mitigation_Industry!K393)</f>
        <v/>
      </c>
      <c r="L952">
        <f>IF(ISBLANK(Mitigation_Industry!L393),"",Mitigation_Industry!L393)</f>
        <v>0</v>
      </c>
      <c r="M952">
        <f>IF(ISBLANK(Mitigation_Industry!M393),"",Mitigation_Industry!M393)</f>
        <v>0</v>
      </c>
      <c r="N952">
        <f>IF(ISBLANK(Mitigation_Industry!N393),"",Mitigation_Industry!N393)</f>
        <v>0</v>
      </c>
      <c r="O952">
        <f>IF(ISBLANK(Mitigation_Industry!O393),"",Mitigation_Industry!O393)</f>
        <v>0</v>
      </c>
      <c r="P952">
        <f>IF(ISBLANK(Mitigation_Industry!P393),"",Mitigation_Industry!P393)</f>
        <v>0</v>
      </c>
      <c r="Q952">
        <f>IF(ISBLANK(Mitigation_Industry!Q393),"",Mitigation_Industry!Q393)</f>
        <v>0</v>
      </c>
      <c r="R952">
        <f>IF(ISBLANK(Mitigation_Industry!R393),"",Mitigation_Industry!R393)</f>
        <v>0</v>
      </c>
      <c r="S952">
        <f>IF(ISBLANK(Mitigation_Industry!S393),"",Mitigation_Industry!S393)</f>
        <v>0</v>
      </c>
      <c r="T952">
        <f>IF(ISBLANK(Mitigation_Industry!T393),"",Mitigation_Industry!T393)</f>
        <v>0</v>
      </c>
      <c r="U952">
        <f>IF(ISBLANK(Mitigation_Industry!U393),"",Mitigation_Industry!U393)</f>
        <v>0</v>
      </c>
      <c r="V952">
        <f>IF(ISBLANK(Mitigation_Industry!V393),"",Mitigation_Industry!V393)</f>
        <v>0</v>
      </c>
      <c r="W952">
        <f>IF(ISBLANK(Mitigation_Industry!W393),"",Mitigation_Industry!W393)</f>
        <v>0</v>
      </c>
      <c r="X952">
        <f>IF(ISBLANK(Mitigation_Industry!X393),"",Mitigation_Industry!X393)</f>
        <v>0</v>
      </c>
      <c r="Y952">
        <f>IF(ISBLANK(Mitigation_Industry!Y393),"",Mitigation_Industry!Y393)</f>
        <v>0</v>
      </c>
      <c r="Z952">
        <f>IF(ISBLANK(Mitigation_Industry!Z393),"",Mitigation_Industry!Z393)</f>
        <v>0</v>
      </c>
      <c r="AA952">
        <f>IF(ISBLANK(Mitigation_Industry!AA393),"",Mitigation_Industry!AA393)</f>
        <v>0</v>
      </c>
      <c r="AB952">
        <f>IF(ISBLANK(Mitigation_Industry!AB393),"",Mitigation_Industry!AB393)</f>
        <v>0</v>
      </c>
      <c r="AC952">
        <f>IF(ISBLANK(Mitigation_Industry!AC393),"",Mitigation_Industry!AC393)</f>
        <v>0</v>
      </c>
      <c r="AD952">
        <f>IF(ISBLANK(Mitigation_Industry!AD393),"",Mitigation_Industry!AD393)</f>
        <v>0</v>
      </c>
      <c r="AE952">
        <f>IF(ISBLANK(Mitigation_Industry!AE393),"",Mitigation_Industry!AE393)</f>
        <v>0</v>
      </c>
    </row>
    <row r="953" spans="1:31" x14ac:dyDescent="0.45">
      <c r="A953" t="s">
        <v>1602</v>
      </c>
      <c r="B953" t="s">
        <v>1500</v>
      </c>
      <c r="C953" t="s">
        <v>1357</v>
      </c>
      <c r="D953">
        <v>1</v>
      </c>
      <c r="E953" t="s">
        <v>1161</v>
      </c>
      <c r="F953">
        <f>MAX(MAX(L953:AE953),-MIN(L953:AE953))</f>
        <v>0</v>
      </c>
      <c r="I953" t="s">
        <v>1509</v>
      </c>
      <c r="K953">
        <f t="shared" ref="K953:AE953" si="235">IF(ISNUMBER(K951),IF(ISNUMBER(K952),K952-K951,999999),0)</f>
        <v>0</v>
      </c>
      <c r="L953">
        <f t="shared" si="235"/>
        <v>0</v>
      </c>
      <c r="M953">
        <f t="shared" si="235"/>
        <v>0</v>
      </c>
      <c r="N953">
        <f t="shared" si="235"/>
        <v>0</v>
      </c>
      <c r="O953">
        <f t="shared" si="235"/>
        <v>0</v>
      </c>
      <c r="P953">
        <f t="shared" si="235"/>
        <v>0</v>
      </c>
      <c r="Q953">
        <f t="shared" si="235"/>
        <v>0</v>
      </c>
      <c r="R953">
        <f t="shared" si="235"/>
        <v>0</v>
      </c>
      <c r="S953">
        <f t="shared" si="235"/>
        <v>0</v>
      </c>
      <c r="T953">
        <f t="shared" si="235"/>
        <v>0</v>
      </c>
      <c r="U953">
        <f t="shared" si="235"/>
        <v>0</v>
      </c>
      <c r="V953">
        <f t="shared" si="235"/>
        <v>0</v>
      </c>
      <c r="W953">
        <f t="shared" si="235"/>
        <v>0</v>
      </c>
      <c r="X953">
        <f t="shared" si="235"/>
        <v>0</v>
      </c>
      <c r="Y953">
        <f t="shared" si="235"/>
        <v>0</v>
      </c>
      <c r="Z953">
        <f t="shared" si="235"/>
        <v>0</v>
      </c>
      <c r="AA953">
        <f t="shared" si="235"/>
        <v>0</v>
      </c>
      <c r="AB953">
        <f t="shared" si="235"/>
        <v>0</v>
      </c>
      <c r="AC953">
        <f t="shared" si="235"/>
        <v>0</v>
      </c>
      <c r="AD953">
        <f t="shared" si="235"/>
        <v>0</v>
      </c>
      <c r="AE953">
        <f t="shared" si="235"/>
        <v>0</v>
      </c>
    </row>
    <row r="955" spans="1:31" x14ac:dyDescent="0.45">
      <c r="A955" t="s">
        <v>1603</v>
      </c>
      <c r="B955" t="s">
        <v>1500</v>
      </c>
      <c r="C955" t="s">
        <v>1363</v>
      </c>
      <c r="D955">
        <v>1</v>
      </c>
      <c r="E955" t="s">
        <v>1159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45">
      <c r="A956" t="s">
        <v>1603</v>
      </c>
      <c r="B956" t="s">
        <v>1500</v>
      </c>
      <c r="C956" t="s">
        <v>1363</v>
      </c>
      <c r="D956">
        <v>1</v>
      </c>
      <c r="E956" t="s">
        <v>1160</v>
      </c>
      <c r="K956" t="str">
        <f>IF(ISBLANK(Mitigation_Industry!K394),"",Mitigation_Industry!K394)</f>
        <v/>
      </c>
      <c r="L956">
        <f>IF(ISBLANK(Mitigation_Industry!L394),"",Mitigation_Industry!L394)</f>
        <v>0</v>
      </c>
      <c r="M956">
        <f>IF(ISBLANK(Mitigation_Industry!M394),"",Mitigation_Industry!M394)</f>
        <v>0</v>
      </c>
      <c r="N956">
        <f>IF(ISBLANK(Mitigation_Industry!N394),"",Mitigation_Industry!N394)</f>
        <v>0</v>
      </c>
      <c r="O956">
        <f>IF(ISBLANK(Mitigation_Industry!O394),"",Mitigation_Industry!O394)</f>
        <v>0</v>
      </c>
      <c r="P956">
        <f>IF(ISBLANK(Mitigation_Industry!P394),"",Mitigation_Industry!P394)</f>
        <v>0</v>
      </c>
      <c r="Q956">
        <f>IF(ISBLANK(Mitigation_Industry!Q394),"",Mitigation_Industry!Q394)</f>
        <v>0</v>
      </c>
      <c r="R956">
        <f>IF(ISBLANK(Mitigation_Industry!R394),"",Mitigation_Industry!R394)</f>
        <v>0</v>
      </c>
      <c r="S956">
        <f>IF(ISBLANK(Mitigation_Industry!S394),"",Mitigation_Industry!S394)</f>
        <v>0</v>
      </c>
      <c r="T956">
        <f>IF(ISBLANK(Mitigation_Industry!T394),"",Mitigation_Industry!T394)</f>
        <v>0</v>
      </c>
      <c r="U956">
        <f>IF(ISBLANK(Mitigation_Industry!U394),"",Mitigation_Industry!U394)</f>
        <v>0</v>
      </c>
      <c r="V956">
        <f>IF(ISBLANK(Mitigation_Industry!V394),"",Mitigation_Industry!V394)</f>
        <v>0</v>
      </c>
      <c r="W956">
        <f>IF(ISBLANK(Mitigation_Industry!W394),"",Mitigation_Industry!W394)</f>
        <v>0</v>
      </c>
      <c r="X956">
        <f>IF(ISBLANK(Mitigation_Industry!X394),"",Mitigation_Industry!X394)</f>
        <v>0</v>
      </c>
      <c r="Y956">
        <f>IF(ISBLANK(Mitigation_Industry!Y394),"",Mitigation_Industry!Y394)</f>
        <v>0</v>
      </c>
      <c r="Z956">
        <f>IF(ISBLANK(Mitigation_Industry!Z394),"",Mitigation_Industry!Z394)</f>
        <v>0</v>
      </c>
      <c r="AA956">
        <f>IF(ISBLANK(Mitigation_Industry!AA394),"",Mitigation_Industry!AA394)</f>
        <v>0</v>
      </c>
      <c r="AB956">
        <f>IF(ISBLANK(Mitigation_Industry!AB394),"",Mitigation_Industry!AB394)</f>
        <v>0</v>
      </c>
      <c r="AC956">
        <f>IF(ISBLANK(Mitigation_Industry!AC394),"",Mitigation_Industry!AC394)</f>
        <v>0</v>
      </c>
      <c r="AD956">
        <f>IF(ISBLANK(Mitigation_Industry!AD394),"",Mitigation_Industry!AD394)</f>
        <v>0</v>
      </c>
      <c r="AE956">
        <f>IF(ISBLANK(Mitigation_Industry!AE394),"",Mitigation_Industry!AE394)</f>
        <v>0</v>
      </c>
    </row>
    <row r="957" spans="1:31" x14ac:dyDescent="0.45">
      <c r="A957" t="s">
        <v>1603</v>
      </c>
      <c r="B957" t="s">
        <v>1500</v>
      </c>
      <c r="C957" t="s">
        <v>1363</v>
      </c>
      <c r="D957">
        <v>1</v>
      </c>
      <c r="E957" t="s">
        <v>1161</v>
      </c>
      <c r="F957">
        <f>MAX(MAX(L957:AE957),-MIN(L957:AE957))</f>
        <v>0</v>
      </c>
      <c r="I957" t="s">
        <v>1509</v>
      </c>
      <c r="K957">
        <f t="shared" ref="K957:AE957" si="236">IF(ISNUMBER(K955),IF(ISNUMBER(K956),K956-K955,999999),0)</f>
        <v>0</v>
      </c>
      <c r="L957">
        <f t="shared" si="236"/>
        <v>0</v>
      </c>
      <c r="M957">
        <f t="shared" si="236"/>
        <v>0</v>
      </c>
      <c r="N957">
        <f t="shared" si="236"/>
        <v>0</v>
      </c>
      <c r="O957">
        <f t="shared" si="236"/>
        <v>0</v>
      </c>
      <c r="P957">
        <f t="shared" si="236"/>
        <v>0</v>
      </c>
      <c r="Q957">
        <f t="shared" si="236"/>
        <v>0</v>
      </c>
      <c r="R957">
        <f t="shared" si="236"/>
        <v>0</v>
      </c>
      <c r="S957">
        <f t="shared" si="236"/>
        <v>0</v>
      </c>
      <c r="T957">
        <f t="shared" si="236"/>
        <v>0</v>
      </c>
      <c r="U957">
        <f t="shared" si="236"/>
        <v>0</v>
      </c>
      <c r="V957">
        <f t="shared" si="236"/>
        <v>0</v>
      </c>
      <c r="W957">
        <f t="shared" si="236"/>
        <v>0</v>
      </c>
      <c r="X957">
        <f t="shared" si="236"/>
        <v>0</v>
      </c>
      <c r="Y957">
        <f t="shared" si="236"/>
        <v>0</v>
      </c>
      <c r="Z957">
        <f t="shared" si="236"/>
        <v>0</v>
      </c>
      <c r="AA957">
        <f t="shared" si="236"/>
        <v>0</v>
      </c>
      <c r="AB957">
        <f t="shared" si="236"/>
        <v>0</v>
      </c>
      <c r="AC957">
        <f t="shared" si="236"/>
        <v>0</v>
      </c>
      <c r="AD957">
        <f t="shared" si="236"/>
        <v>0</v>
      </c>
      <c r="AE957">
        <f t="shared" si="236"/>
        <v>0</v>
      </c>
    </row>
    <row r="959" spans="1:31" x14ac:dyDescent="0.45">
      <c r="A959" t="s">
        <v>1604</v>
      </c>
      <c r="B959" t="s">
        <v>1500</v>
      </c>
      <c r="C959" t="s">
        <v>1369</v>
      </c>
      <c r="D959">
        <v>1</v>
      </c>
      <c r="E959" t="s">
        <v>1159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45">
      <c r="A960" t="s">
        <v>1604</v>
      </c>
      <c r="B960" t="s">
        <v>1500</v>
      </c>
      <c r="C960" t="s">
        <v>1369</v>
      </c>
      <c r="D960">
        <v>1</v>
      </c>
      <c r="E960" t="s">
        <v>1160</v>
      </c>
      <c r="K960" t="str">
        <f>IF(ISBLANK(Mitigation_Industry!K395),"",Mitigation_Industry!K395)</f>
        <v/>
      </c>
      <c r="L960">
        <f>IF(ISBLANK(Mitigation_Industry!L395),"",Mitigation_Industry!L395)</f>
        <v>0</v>
      </c>
      <c r="M960">
        <f>IF(ISBLANK(Mitigation_Industry!M395),"",Mitigation_Industry!M395)</f>
        <v>0</v>
      </c>
      <c r="N960">
        <f>IF(ISBLANK(Mitigation_Industry!N395),"",Mitigation_Industry!N395)</f>
        <v>0</v>
      </c>
      <c r="O960">
        <f>IF(ISBLANK(Mitigation_Industry!O395),"",Mitigation_Industry!O395)</f>
        <v>0</v>
      </c>
      <c r="P960">
        <f>IF(ISBLANK(Mitigation_Industry!P395),"",Mitigation_Industry!P395)</f>
        <v>0</v>
      </c>
      <c r="Q960">
        <f>IF(ISBLANK(Mitigation_Industry!Q395),"",Mitigation_Industry!Q395)</f>
        <v>0</v>
      </c>
      <c r="R960">
        <f>IF(ISBLANK(Mitigation_Industry!R395),"",Mitigation_Industry!R395)</f>
        <v>0</v>
      </c>
      <c r="S960">
        <f>IF(ISBLANK(Mitigation_Industry!S395),"",Mitigation_Industry!S395)</f>
        <v>0</v>
      </c>
      <c r="T960">
        <f>IF(ISBLANK(Mitigation_Industry!T395),"",Mitigation_Industry!T395)</f>
        <v>0</v>
      </c>
      <c r="U960">
        <f>IF(ISBLANK(Mitigation_Industry!U395),"",Mitigation_Industry!U395)</f>
        <v>0</v>
      </c>
      <c r="V960">
        <f>IF(ISBLANK(Mitigation_Industry!V395),"",Mitigation_Industry!V395)</f>
        <v>0</v>
      </c>
      <c r="W960">
        <f>IF(ISBLANK(Mitigation_Industry!W395),"",Mitigation_Industry!W395)</f>
        <v>0</v>
      </c>
      <c r="X960">
        <f>IF(ISBLANK(Mitigation_Industry!X395),"",Mitigation_Industry!X395)</f>
        <v>0</v>
      </c>
      <c r="Y960">
        <f>IF(ISBLANK(Mitigation_Industry!Y395),"",Mitigation_Industry!Y395)</f>
        <v>0</v>
      </c>
      <c r="Z960">
        <f>IF(ISBLANK(Mitigation_Industry!Z395),"",Mitigation_Industry!Z395)</f>
        <v>0</v>
      </c>
      <c r="AA960">
        <f>IF(ISBLANK(Mitigation_Industry!AA395),"",Mitigation_Industry!AA395)</f>
        <v>0</v>
      </c>
      <c r="AB960">
        <f>IF(ISBLANK(Mitigation_Industry!AB395),"",Mitigation_Industry!AB395)</f>
        <v>0</v>
      </c>
      <c r="AC960">
        <f>IF(ISBLANK(Mitigation_Industry!AC395),"",Mitigation_Industry!AC395)</f>
        <v>0</v>
      </c>
      <c r="AD960">
        <f>IF(ISBLANK(Mitigation_Industry!AD395),"",Mitigation_Industry!AD395)</f>
        <v>0</v>
      </c>
      <c r="AE960">
        <f>IF(ISBLANK(Mitigation_Industry!AE395),"",Mitigation_Industry!AE395)</f>
        <v>0</v>
      </c>
    </row>
    <row r="961" spans="1:31" x14ac:dyDescent="0.45">
      <c r="A961" t="s">
        <v>1604</v>
      </c>
      <c r="B961" t="s">
        <v>1500</v>
      </c>
      <c r="C961" t="s">
        <v>1369</v>
      </c>
      <c r="D961">
        <v>1</v>
      </c>
      <c r="E961" t="s">
        <v>1161</v>
      </c>
      <c r="F961">
        <f>MAX(MAX(L961:AE961),-MIN(L961:AE961))</f>
        <v>0</v>
      </c>
      <c r="I961" t="s">
        <v>1509</v>
      </c>
      <c r="K961">
        <f t="shared" ref="K961:AE961" si="237">IF(ISNUMBER(K959),IF(ISNUMBER(K960),K960-K959,999999),0)</f>
        <v>0</v>
      </c>
      <c r="L961">
        <f t="shared" si="237"/>
        <v>0</v>
      </c>
      <c r="M961">
        <f t="shared" si="237"/>
        <v>0</v>
      </c>
      <c r="N961">
        <f t="shared" si="237"/>
        <v>0</v>
      </c>
      <c r="O961">
        <f t="shared" si="237"/>
        <v>0</v>
      </c>
      <c r="P961">
        <f t="shared" si="237"/>
        <v>0</v>
      </c>
      <c r="Q961">
        <f t="shared" si="237"/>
        <v>0</v>
      </c>
      <c r="R961">
        <f t="shared" si="237"/>
        <v>0</v>
      </c>
      <c r="S961">
        <f t="shared" si="237"/>
        <v>0</v>
      </c>
      <c r="T961">
        <f t="shared" si="237"/>
        <v>0</v>
      </c>
      <c r="U961">
        <f t="shared" si="237"/>
        <v>0</v>
      </c>
      <c r="V961">
        <f t="shared" si="237"/>
        <v>0</v>
      </c>
      <c r="W961">
        <f t="shared" si="237"/>
        <v>0</v>
      </c>
      <c r="X961">
        <f t="shared" si="237"/>
        <v>0</v>
      </c>
      <c r="Y961">
        <f t="shared" si="237"/>
        <v>0</v>
      </c>
      <c r="Z961">
        <f t="shared" si="237"/>
        <v>0</v>
      </c>
      <c r="AA961">
        <f t="shared" si="237"/>
        <v>0</v>
      </c>
      <c r="AB961">
        <f t="shared" si="237"/>
        <v>0</v>
      </c>
      <c r="AC961">
        <f t="shared" si="237"/>
        <v>0</v>
      </c>
      <c r="AD961">
        <f t="shared" si="237"/>
        <v>0</v>
      </c>
      <c r="AE961">
        <f t="shared" si="237"/>
        <v>0</v>
      </c>
    </row>
    <row r="963" spans="1:31" x14ac:dyDescent="0.45">
      <c r="A963" t="s">
        <v>1605</v>
      </c>
      <c r="B963" t="s">
        <v>1500</v>
      </c>
      <c r="C963" t="s">
        <v>1442</v>
      </c>
      <c r="D963">
        <v>1</v>
      </c>
      <c r="E963" t="s">
        <v>1159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45">
      <c r="A964" t="s">
        <v>1605</v>
      </c>
      <c r="B964" t="s">
        <v>1500</v>
      </c>
      <c r="C964" t="s">
        <v>1442</v>
      </c>
      <c r="D964">
        <v>1</v>
      </c>
      <c r="E964" t="s">
        <v>1160</v>
      </c>
      <c r="K964" t="str">
        <f>IF(ISBLANK(Mitigation_Industry!K396),"",Mitigation_Industry!K396)</f>
        <v/>
      </c>
      <c r="L964">
        <f>IF(ISBLANK(Mitigation_Industry!L396),"",Mitigation_Industry!L396)</f>
        <v>0</v>
      </c>
      <c r="M964">
        <f>IF(ISBLANK(Mitigation_Industry!M396),"",Mitigation_Industry!M396)</f>
        <v>0</v>
      </c>
      <c r="N964">
        <f>IF(ISBLANK(Mitigation_Industry!N396),"",Mitigation_Industry!N396)</f>
        <v>0</v>
      </c>
      <c r="O964">
        <f>IF(ISBLANK(Mitigation_Industry!O396),"",Mitigation_Industry!O396)</f>
        <v>0</v>
      </c>
      <c r="P964">
        <f>IF(ISBLANK(Mitigation_Industry!P396),"",Mitigation_Industry!P396)</f>
        <v>0</v>
      </c>
      <c r="Q964">
        <f>IF(ISBLANK(Mitigation_Industry!Q396),"",Mitigation_Industry!Q396)</f>
        <v>0</v>
      </c>
      <c r="R964">
        <f>IF(ISBLANK(Mitigation_Industry!R396),"",Mitigation_Industry!R396)</f>
        <v>0</v>
      </c>
      <c r="S964">
        <f>IF(ISBLANK(Mitigation_Industry!S396),"",Mitigation_Industry!S396)</f>
        <v>0</v>
      </c>
      <c r="T964">
        <f>IF(ISBLANK(Mitigation_Industry!T396),"",Mitigation_Industry!T396)</f>
        <v>0</v>
      </c>
      <c r="U964">
        <f>IF(ISBLANK(Mitigation_Industry!U396),"",Mitigation_Industry!U396)</f>
        <v>0</v>
      </c>
      <c r="V964">
        <f>IF(ISBLANK(Mitigation_Industry!V396),"",Mitigation_Industry!V396)</f>
        <v>0</v>
      </c>
      <c r="W964">
        <f>IF(ISBLANK(Mitigation_Industry!W396),"",Mitigation_Industry!W396)</f>
        <v>0</v>
      </c>
      <c r="X964">
        <f>IF(ISBLANK(Mitigation_Industry!X396),"",Mitigation_Industry!X396)</f>
        <v>0</v>
      </c>
      <c r="Y964">
        <f>IF(ISBLANK(Mitigation_Industry!Y396),"",Mitigation_Industry!Y396)</f>
        <v>0</v>
      </c>
      <c r="Z964">
        <f>IF(ISBLANK(Mitigation_Industry!Z396),"",Mitigation_Industry!Z396)</f>
        <v>0</v>
      </c>
      <c r="AA964">
        <f>IF(ISBLANK(Mitigation_Industry!AA396),"",Mitigation_Industry!AA396)</f>
        <v>0</v>
      </c>
      <c r="AB964">
        <f>IF(ISBLANK(Mitigation_Industry!AB396),"",Mitigation_Industry!AB396)</f>
        <v>0</v>
      </c>
      <c r="AC964">
        <f>IF(ISBLANK(Mitigation_Industry!AC396),"",Mitigation_Industry!AC396)</f>
        <v>0</v>
      </c>
      <c r="AD964">
        <f>IF(ISBLANK(Mitigation_Industry!AD396),"",Mitigation_Industry!AD396)</f>
        <v>0</v>
      </c>
      <c r="AE964">
        <f>IF(ISBLANK(Mitigation_Industry!AE396),"",Mitigation_Industry!AE396)</f>
        <v>0</v>
      </c>
    </row>
    <row r="965" spans="1:31" x14ac:dyDescent="0.45">
      <c r="A965" t="s">
        <v>1605</v>
      </c>
      <c r="B965" t="s">
        <v>1500</v>
      </c>
      <c r="C965" t="s">
        <v>1442</v>
      </c>
      <c r="D965">
        <v>1</v>
      </c>
      <c r="E965" t="s">
        <v>1161</v>
      </c>
      <c r="F965">
        <f>MAX(MAX(L965:AE965),-MIN(L965:AE965))</f>
        <v>0</v>
      </c>
      <c r="I965" t="s">
        <v>1509</v>
      </c>
      <c r="K965">
        <f t="shared" ref="K965:AE965" si="238">IF(ISNUMBER(K963),IF(ISNUMBER(K964),K964-K963,999999),0)</f>
        <v>0</v>
      </c>
      <c r="L965">
        <f t="shared" si="238"/>
        <v>0</v>
      </c>
      <c r="M965">
        <f t="shared" si="238"/>
        <v>0</v>
      </c>
      <c r="N965">
        <f t="shared" si="238"/>
        <v>0</v>
      </c>
      <c r="O965">
        <f t="shared" si="238"/>
        <v>0</v>
      </c>
      <c r="P965">
        <f t="shared" si="238"/>
        <v>0</v>
      </c>
      <c r="Q965">
        <f t="shared" si="238"/>
        <v>0</v>
      </c>
      <c r="R965">
        <f t="shared" si="238"/>
        <v>0</v>
      </c>
      <c r="S965">
        <f t="shared" si="238"/>
        <v>0</v>
      </c>
      <c r="T965">
        <f t="shared" si="238"/>
        <v>0</v>
      </c>
      <c r="U965">
        <f t="shared" si="238"/>
        <v>0</v>
      </c>
      <c r="V965">
        <f t="shared" si="238"/>
        <v>0</v>
      </c>
      <c r="W965">
        <f t="shared" si="238"/>
        <v>0</v>
      </c>
      <c r="X965">
        <f t="shared" si="238"/>
        <v>0</v>
      </c>
      <c r="Y965">
        <f t="shared" si="238"/>
        <v>0</v>
      </c>
      <c r="Z965">
        <f t="shared" si="238"/>
        <v>0</v>
      </c>
      <c r="AA965">
        <f t="shared" si="238"/>
        <v>0</v>
      </c>
      <c r="AB965">
        <f t="shared" si="238"/>
        <v>0</v>
      </c>
      <c r="AC965">
        <f t="shared" si="238"/>
        <v>0</v>
      </c>
      <c r="AD965">
        <f t="shared" si="238"/>
        <v>0</v>
      </c>
      <c r="AE965">
        <f t="shared" si="238"/>
        <v>0</v>
      </c>
    </row>
    <row r="967" spans="1:31" x14ac:dyDescent="0.45">
      <c r="A967" t="s">
        <v>1606</v>
      </c>
      <c r="B967" t="s">
        <v>1500</v>
      </c>
      <c r="C967" t="s">
        <v>1383</v>
      </c>
      <c r="D967">
        <v>1</v>
      </c>
      <c r="E967" t="s">
        <v>1159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45">
      <c r="A968" t="s">
        <v>1606</v>
      </c>
      <c r="B968" t="s">
        <v>1500</v>
      </c>
      <c r="C968" t="s">
        <v>1383</v>
      </c>
      <c r="D968">
        <v>1</v>
      </c>
      <c r="E968" t="s">
        <v>1160</v>
      </c>
      <c r="K968" t="str">
        <f>IF(ISBLANK(Mitigation_Industry!K397),"",Mitigation_Industry!K397)</f>
        <v/>
      </c>
      <c r="L968">
        <f>IF(ISBLANK(Mitigation_Industry!L397),"",Mitigation_Industry!L397)</f>
        <v>0</v>
      </c>
      <c r="M968">
        <f>IF(ISBLANK(Mitigation_Industry!M397),"",Mitigation_Industry!M397)</f>
        <v>0</v>
      </c>
      <c r="N968">
        <f>IF(ISBLANK(Mitigation_Industry!N397),"",Mitigation_Industry!N397)</f>
        <v>0</v>
      </c>
      <c r="O968">
        <f>IF(ISBLANK(Mitigation_Industry!O397),"",Mitigation_Industry!O397)</f>
        <v>0</v>
      </c>
      <c r="P968">
        <f>IF(ISBLANK(Mitigation_Industry!P397),"",Mitigation_Industry!P397)</f>
        <v>0</v>
      </c>
      <c r="Q968">
        <f>IF(ISBLANK(Mitigation_Industry!Q397),"",Mitigation_Industry!Q397)</f>
        <v>0</v>
      </c>
      <c r="R968">
        <f>IF(ISBLANK(Mitigation_Industry!R397),"",Mitigation_Industry!R397)</f>
        <v>0</v>
      </c>
      <c r="S968">
        <f>IF(ISBLANK(Mitigation_Industry!S397),"",Mitigation_Industry!S397)</f>
        <v>0</v>
      </c>
      <c r="T968">
        <f>IF(ISBLANK(Mitigation_Industry!T397),"",Mitigation_Industry!T397)</f>
        <v>0</v>
      </c>
      <c r="U968">
        <f>IF(ISBLANK(Mitigation_Industry!U397),"",Mitigation_Industry!U397)</f>
        <v>0</v>
      </c>
      <c r="V968">
        <f>IF(ISBLANK(Mitigation_Industry!V397),"",Mitigation_Industry!V397)</f>
        <v>0</v>
      </c>
      <c r="W968">
        <f>IF(ISBLANK(Mitigation_Industry!W397),"",Mitigation_Industry!W397)</f>
        <v>0</v>
      </c>
      <c r="X968">
        <f>IF(ISBLANK(Mitigation_Industry!X397),"",Mitigation_Industry!X397)</f>
        <v>0</v>
      </c>
      <c r="Y968">
        <f>IF(ISBLANK(Mitigation_Industry!Y397),"",Mitigation_Industry!Y397)</f>
        <v>0</v>
      </c>
      <c r="Z968">
        <f>IF(ISBLANK(Mitigation_Industry!Z397),"",Mitigation_Industry!Z397)</f>
        <v>0</v>
      </c>
      <c r="AA968">
        <f>IF(ISBLANK(Mitigation_Industry!AA397),"",Mitigation_Industry!AA397)</f>
        <v>0</v>
      </c>
      <c r="AB968">
        <f>IF(ISBLANK(Mitigation_Industry!AB397),"",Mitigation_Industry!AB397)</f>
        <v>0</v>
      </c>
      <c r="AC968">
        <f>IF(ISBLANK(Mitigation_Industry!AC397),"",Mitigation_Industry!AC397)</f>
        <v>0</v>
      </c>
      <c r="AD968">
        <f>IF(ISBLANK(Mitigation_Industry!AD397),"",Mitigation_Industry!AD397)</f>
        <v>0</v>
      </c>
      <c r="AE968">
        <f>IF(ISBLANK(Mitigation_Industry!AE397),"",Mitigation_Industry!AE397)</f>
        <v>0</v>
      </c>
    </row>
    <row r="969" spans="1:31" x14ac:dyDescent="0.45">
      <c r="A969" t="s">
        <v>1606</v>
      </c>
      <c r="B969" t="s">
        <v>1500</v>
      </c>
      <c r="C969" t="s">
        <v>1383</v>
      </c>
      <c r="D969">
        <v>1</v>
      </c>
      <c r="E969" t="s">
        <v>1161</v>
      </c>
      <c r="F969">
        <f>MAX(MAX(L969:AE969),-MIN(L969:AE969))</f>
        <v>0</v>
      </c>
      <c r="I969" t="s">
        <v>1509</v>
      </c>
      <c r="K969">
        <f t="shared" ref="K969:AE969" si="239">IF(ISNUMBER(K967),IF(ISNUMBER(K968),K968-K967,999999),0)</f>
        <v>0</v>
      </c>
      <c r="L969">
        <f t="shared" si="239"/>
        <v>0</v>
      </c>
      <c r="M969">
        <f t="shared" si="239"/>
        <v>0</v>
      </c>
      <c r="N969">
        <f t="shared" si="239"/>
        <v>0</v>
      </c>
      <c r="O969">
        <f t="shared" si="239"/>
        <v>0</v>
      </c>
      <c r="P969">
        <f t="shared" si="239"/>
        <v>0</v>
      </c>
      <c r="Q969">
        <f t="shared" si="239"/>
        <v>0</v>
      </c>
      <c r="R969">
        <f t="shared" si="239"/>
        <v>0</v>
      </c>
      <c r="S969">
        <f t="shared" si="239"/>
        <v>0</v>
      </c>
      <c r="T969">
        <f t="shared" si="239"/>
        <v>0</v>
      </c>
      <c r="U969">
        <f t="shared" si="239"/>
        <v>0</v>
      </c>
      <c r="V969">
        <f t="shared" si="239"/>
        <v>0</v>
      </c>
      <c r="W969">
        <f t="shared" si="239"/>
        <v>0</v>
      </c>
      <c r="X969">
        <f t="shared" si="239"/>
        <v>0</v>
      </c>
      <c r="Y969">
        <f t="shared" si="239"/>
        <v>0</v>
      </c>
      <c r="Z969">
        <f t="shared" si="239"/>
        <v>0</v>
      </c>
      <c r="AA969">
        <f t="shared" si="239"/>
        <v>0</v>
      </c>
      <c r="AB969">
        <f t="shared" si="239"/>
        <v>0</v>
      </c>
      <c r="AC969">
        <f t="shared" si="239"/>
        <v>0</v>
      </c>
      <c r="AD969">
        <f t="shared" si="239"/>
        <v>0</v>
      </c>
      <c r="AE969">
        <f t="shared" si="239"/>
        <v>0</v>
      </c>
    </row>
    <row r="971" spans="1:31" x14ac:dyDescent="0.45">
      <c r="A971" t="s">
        <v>1607</v>
      </c>
      <c r="B971" t="s">
        <v>1500</v>
      </c>
      <c r="C971" t="s">
        <v>1390</v>
      </c>
      <c r="D971">
        <v>1</v>
      </c>
      <c r="E971" t="s">
        <v>1159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45">
      <c r="A972" t="s">
        <v>1607</v>
      </c>
      <c r="B972" t="s">
        <v>1500</v>
      </c>
      <c r="C972" t="s">
        <v>1390</v>
      </c>
      <c r="D972">
        <v>1</v>
      </c>
      <c r="E972" t="s">
        <v>1160</v>
      </c>
      <c r="K972" t="str">
        <f>IF(ISBLANK(Mitigation_Industry!K398),"",Mitigation_Industry!K398)</f>
        <v/>
      </c>
      <c r="L972">
        <f>IF(ISBLANK(Mitigation_Industry!L398),"",Mitigation_Industry!L398)</f>
        <v>0</v>
      </c>
      <c r="M972">
        <f>IF(ISBLANK(Mitigation_Industry!M398),"",Mitigation_Industry!M398)</f>
        <v>0</v>
      </c>
      <c r="N972">
        <f>IF(ISBLANK(Mitigation_Industry!N398),"",Mitigation_Industry!N398)</f>
        <v>0</v>
      </c>
      <c r="O972">
        <f>IF(ISBLANK(Mitigation_Industry!O398),"",Mitigation_Industry!O398)</f>
        <v>0</v>
      </c>
      <c r="P972">
        <f>IF(ISBLANK(Mitigation_Industry!P398),"",Mitigation_Industry!P398)</f>
        <v>0</v>
      </c>
      <c r="Q972">
        <f>IF(ISBLANK(Mitigation_Industry!Q398),"",Mitigation_Industry!Q398)</f>
        <v>0</v>
      </c>
      <c r="R972">
        <f>IF(ISBLANK(Mitigation_Industry!R398),"",Mitigation_Industry!R398)</f>
        <v>0</v>
      </c>
      <c r="S972">
        <f>IF(ISBLANK(Mitigation_Industry!S398),"",Mitigation_Industry!S398)</f>
        <v>0</v>
      </c>
      <c r="T972">
        <f>IF(ISBLANK(Mitigation_Industry!T398),"",Mitigation_Industry!T398)</f>
        <v>0</v>
      </c>
      <c r="U972">
        <f>IF(ISBLANK(Mitigation_Industry!U398),"",Mitigation_Industry!U398)</f>
        <v>0</v>
      </c>
      <c r="V972">
        <f>IF(ISBLANK(Mitigation_Industry!V398),"",Mitigation_Industry!V398)</f>
        <v>0</v>
      </c>
      <c r="W972">
        <f>IF(ISBLANK(Mitigation_Industry!W398),"",Mitigation_Industry!W398)</f>
        <v>0</v>
      </c>
      <c r="X972">
        <f>IF(ISBLANK(Mitigation_Industry!X398),"",Mitigation_Industry!X398)</f>
        <v>0</v>
      </c>
      <c r="Y972">
        <f>IF(ISBLANK(Mitigation_Industry!Y398),"",Mitigation_Industry!Y398)</f>
        <v>0</v>
      </c>
      <c r="Z972">
        <f>IF(ISBLANK(Mitigation_Industry!Z398),"",Mitigation_Industry!Z398)</f>
        <v>0</v>
      </c>
      <c r="AA972">
        <f>IF(ISBLANK(Mitigation_Industry!AA398),"",Mitigation_Industry!AA398)</f>
        <v>0</v>
      </c>
      <c r="AB972">
        <f>IF(ISBLANK(Mitigation_Industry!AB398),"",Mitigation_Industry!AB398)</f>
        <v>0</v>
      </c>
      <c r="AC972">
        <f>IF(ISBLANK(Mitigation_Industry!AC398),"",Mitigation_Industry!AC398)</f>
        <v>0</v>
      </c>
      <c r="AD972">
        <f>IF(ISBLANK(Mitigation_Industry!AD398),"",Mitigation_Industry!AD398)</f>
        <v>0</v>
      </c>
      <c r="AE972">
        <f>IF(ISBLANK(Mitigation_Industry!AE398),"",Mitigation_Industry!AE398)</f>
        <v>0</v>
      </c>
    </row>
    <row r="973" spans="1:31" x14ac:dyDescent="0.45">
      <c r="A973" t="s">
        <v>1607</v>
      </c>
      <c r="B973" t="s">
        <v>1500</v>
      </c>
      <c r="C973" t="s">
        <v>1390</v>
      </c>
      <c r="D973">
        <v>1</v>
      </c>
      <c r="E973" t="s">
        <v>1161</v>
      </c>
      <c r="F973">
        <f>MAX(MAX(L973:AE973),-MIN(L973:AE973))</f>
        <v>0</v>
      </c>
      <c r="I973" t="s">
        <v>1509</v>
      </c>
      <c r="K973">
        <f t="shared" ref="K973:AE973" si="240">IF(ISNUMBER(K971),IF(ISNUMBER(K972),K972-K971,999999),0)</f>
        <v>0</v>
      </c>
      <c r="L973">
        <f t="shared" si="240"/>
        <v>0</v>
      </c>
      <c r="M973">
        <f t="shared" si="240"/>
        <v>0</v>
      </c>
      <c r="N973">
        <f t="shared" si="240"/>
        <v>0</v>
      </c>
      <c r="O973">
        <f t="shared" si="240"/>
        <v>0</v>
      </c>
      <c r="P973">
        <f t="shared" si="240"/>
        <v>0</v>
      </c>
      <c r="Q973">
        <f t="shared" si="240"/>
        <v>0</v>
      </c>
      <c r="R973">
        <f t="shared" si="240"/>
        <v>0</v>
      </c>
      <c r="S973">
        <f t="shared" si="240"/>
        <v>0</v>
      </c>
      <c r="T973">
        <f t="shared" si="240"/>
        <v>0</v>
      </c>
      <c r="U973">
        <f t="shared" si="240"/>
        <v>0</v>
      </c>
      <c r="V973">
        <f t="shared" si="240"/>
        <v>0</v>
      </c>
      <c r="W973">
        <f t="shared" si="240"/>
        <v>0</v>
      </c>
      <c r="X973">
        <f t="shared" si="240"/>
        <v>0</v>
      </c>
      <c r="Y973">
        <f t="shared" si="240"/>
        <v>0</v>
      </c>
      <c r="Z973">
        <f t="shared" si="240"/>
        <v>0</v>
      </c>
      <c r="AA973">
        <f t="shared" si="240"/>
        <v>0</v>
      </c>
      <c r="AB973">
        <f t="shared" si="240"/>
        <v>0</v>
      </c>
      <c r="AC973">
        <f t="shared" si="240"/>
        <v>0</v>
      </c>
      <c r="AD973">
        <f t="shared" si="240"/>
        <v>0</v>
      </c>
      <c r="AE973">
        <f t="shared" si="240"/>
        <v>0</v>
      </c>
    </row>
    <row r="975" spans="1:31" x14ac:dyDescent="0.45">
      <c r="A975" t="s">
        <v>1608</v>
      </c>
      <c r="B975" t="s">
        <v>1500</v>
      </c>
      <c r="C975" t="s">
        <v>1397</v>
      </c>
      <c r="D975">
        <v>1</v>
      </c>
      <c r="E975" t="s">
        <v>1159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45">
      <c r="A976" t="s">
        <v>1608</v>
      </c>
      <c r="B976" t="s">
        <v>1500</v>
      </c>
      <c r="C976" t="s">
        <v>1397</v>
      </c>
      <c r="D976">
        <v>1</v>
      </c>
      <c r="E976" t="s">
        <v>1160</v>
      </c>
      <c r="K976" t="str">
        <f>IF(ISBLANK(Mitigation_Industry!K399),"",Mitigation_Industry!K399)</f>
        <v/>
      </c>
      <c r="L976">
        <f>IF(ISBLANK(Mitigation_Industry!L399),"",Mitigation_Industry!L399)</f>
        <v>0</v>
      </c>
      <c r="M976">
        <f>IF(ISBLANK(Mitigation_Industry!M399),"",Mitigation_Industry!M399)</f>
        <v>0</v>
      </c>
      <c r="N976">
        <f>IF(ISBLANK(Mitigation_Industry!N399),"",Mitigation_Industry!N399)</f>
        <v>0</v>
      </c>
      <c r="O976">
        <f>IF(ISBLANK(Mitigation_Industry!O399),"",Mitigation_Industry!O399)</f>
        <v>0</v>
      </c>
      <c r="P976">
        <f>IF(ISBLANK(Mitigation_Industry!P399),"",Mitigation_Industry!P399)</f>
        <v>0</v>
      </c>
      <c r="Q976">
        <f>IF(ISBLANK(Mitigation_Industry!Q399),"",Mitigation_Industry!Q399)</f>
        <v>0</v>
      </c>
      <c r="R976">
        <f>IF(ISBLANK(Mitigation_Industry!R399),"",Mitigation_Industry!R399)</f>
        <v>0</v>
      </c>
      <c r="S976">
        <f>IF(ISBLANK(Mitigation_Industry!S399),"",Mitigation_Industry!S399)</f>
        <v>0</v>
      </c>
      <c r="T976">
        <f>IF(ISBLANK(Mitigation_Industry!T399),"",Mitigation_Industry!T399)</f>
        <v>0</v>
      </c>
      <c r="U976">
        <f>IF(ISBLANK(Mitigation_Industry!U399),"",Mitigation_Industry!U399)</f>
        <v>0</v>
      </c>
      <c r="V976">
        <f>IF(ISBLANK(Mitigation_Industry!V399),"",Mitigation_Industry!V399)</f>
        <v>0</v>
      </c>
      <c r="W976">
        <f>IF(ISBLANK(Mitigation_Industry!W399),"",Mitigation_Industry!W399)</f>
        <v>0</v>
      </c>
      <c r="X976">
        <f>IF(ISBLANK(Mitigation_Industry!X399),"",Mitigation_Industry!X399)</f>
        <v>0</v>
      </c>
      <c r="Y976">
        <f>IF(ISBLANK(Mitigation_Industry!Y399),"",Mitigation_Industry!Y399)</f>
        <v>0</v>
      </c>
      <c r="Z976">
        <f>IF(ISBLANK(Mitigation_Industry!Z399),"",Mitigation_Industry!Z399)</f>
        <v>0</v>
      </c>
      <c r="AA976">
        <f>IF(ISBLANK(Mitigation_Industry!AA399),"",Mitigation_Industry!AA399)</f>
        <v>0</v>
      </c>
      <c r="AB976">
        <f>IF(ISBLANK(Mitigation_Industry!AB399),"",Mitigation_Industry!AB399)</f>
        <v>0</v>
      </c>
      <c r="AC976">
        <f>IF(ISBLANK(Mitigation_Industry!AC399),"",Mitigation_Industry!AC399)</f>
        <v>0</v>
      </c>
      <c r="AD976">
        <f>IF(ISBLANK(Mitigation_Industry!AD399),"",Mitigation_Industry!AD399)</f>
        <v>0</v>
      </c>
      <c r="AE976">
        <f>IF(ISBLANK(Mitigation_Industry!AE399),"",Mitigation_Industry!AE399)</f>
        <v>0</v>
      </c>
    </row>
    <row r="977" spans="1:31" x14ac:dyDescent="0.45">
      <c r="A977" t="s">
        <v>1608</v>
      </c>
      <c r="B977" t="s">
        <v>1500</v>
      </c>
      <c r="C977" t="s">
        <v>1397</v>
      </c>
      <c r="D977">
        <v>1</v>
      </c>
      <c r="E977" t="s">
        <v>1161</v>
      </c>
      <c r="F977">
        <f>MAX(MAX(L977:AE977),-MIN(L977:AE977))</f>
        <v>0</v>
      </c>
      <c r="I977" t="s">
        <v>1509</v>
      </c>
      <c r="K977">
        <f t="shared" ref="K977:AE977" si="241">IF(ISNUMBER(K975),IF(ISNUMBER(K976),K976-K975,999999),0)</f>
        <v>0</v>
      </c>
      <c r="L977">
        <f t="shared" si="241"/>
        <v>0</v>
      </c>
      <c r="M977">
        <f t="shared" si="241"/>
        <v>0</v>
      </c>
      <c r="N977">
        <f t="shared" si="241"/>
        <v>0</v>
      </c>
      <c r="O977">
        <f t="shared" si="241"/>
        <v>0</v>
      </c>
      <c r="P977">
        <f t="shared" si="241"/>
        <v>0</v>
      </c>
      <c r="Q977">
        <f t="shared" si="241"/>
        <v>0</v>
      </c>
      <c r="R977">
        <f t="shared" si="241"/>
        <v>0</v>
      </c>
      <c r="S977">
        <f t="shared" si="241"/>
        <v>0</v>
      </c>
      <c r="T977">
        <f t="shared" si="241"/>
        <v>0</v>
      </c>
      <c r="U977">
        <f t="shared" si="241"/>
        <v>0</v>
      </c>
      <c r="V977">
        <f t="shared" si="241"/>
        <v>0</v>
      </c>
      <c r="W977">
        <f t="shared" si="241"/>
        <v>0</v>
      </c>
      <c r="X977">
        <f t="shared" si="241"/>
        <v>0</v>
      </c>
      <c r="Y977">
        <f t="shared" si="241"/>
        <v>0</v>
      </c>
      <c r="Z977">
        <f t="shared" si="241"/>
        <v>0</v>
      </c>
      <c r="AA977">
        <f t="shared" si="241"/>
        <v>0</v>
      </c>
      <c r="AB977">
        <f t="shared" si="241"/>
        <v>0</v>
      </c>
      <c r="AC977">
        <f t="shared" si="241"/>
        <v>0</v>
      </c>
      <c r="AD977">
        <f t="shared" si="241"/>
        <v>0</v>
      </c>
      <c r="AE977">
        <f t="shared" si="241"/>
        <v>0</v>
      </c>
    </row>
    <row r="979" spans="1:31" x14ac:dyDescent="0.45">
      <c r="A979" t="s">
        <v>1609</v>
      </c>
      <c r="B979" t="s">
        <v>1500</v>
      </c>
      <c r="C979" t="s">
        <v>1501</v>
      </c>
      <c r="D979">
        <v>1</v>
      </c>
      <c r="E979" t="s">
        <v>1159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45">
      <c r="A980" t="s">
        <v>1609</v>
      </c>
      <c r="B980" t="s">
        <v>1500</v>
      </c>
      <c r="C980" t="s">
        <v>1501</v>
      </c>
      <c r="D980">
        <v>1</v>
      </c>
      <c r="E980" t="s">
        <v>1160</v>
      </c>
      <c r="K980" t="str">
        <f>IF(ISBLANK(Mitigation_Industry!K400),"",Mitigation_Industry!K400)</f>
        <v/>
      </c>
      <c r="L980">
        <f>IF(ISBLANK(Mitigation_Industry!L400),"",Mitigation_Industry!L400)</f>
        <v>0</v>
      </c>
      <c r="M980">
        <f>IF(ISBLANK(Mitigation_Industry!M400),"",Mitigation_Industry!M400)</f>
        <v>0</v>
      </c>
      <c r="N980">
        <f>IF(ISBLANK(Mitigation_Industry!N400),"",Mitigation_Industry!N400)</f>
        <v>0</v>
      </c>
      <c r="O980">
        <f>IF(ISBLANK(Mitigation_Industry!O400),"",Mitigation_Industry!O400)</f>
        <v>0</v>
      </c>
      <c r="P980">
        <f>IF(ISBLANK(Mitigation_Industry!P400),"",Mitigation_Industry!P400)</f>
        <v>0</v>
      </c>
      <c r="Q980">
        <f>IF(ISBLANK(Mitigation_Industry!Q400),"",Mitigation_Industry!Q400)</f>
        <v>0</v>
      </c>
      <c r="R980">
        <f>IF(ISBLANK(Mitigation_Industry!R400),"",Mitigation_Industry!R400)</f>
        <v>0</v>
      </c>
      <c r="S980">
        <f>IF(ISBLANK(Mitigation_Industry!S400),"",Mitigation_Industry!S400)</f>
        <v>0</v>
      </c>
      <c r="T980">
        <f>IF(ISBLANK(Mitigation_Industry!T400),"",Mitigation_Industry!T400)</f>
        <v>0</v>
      </c>
      <c r="U980">
        <f>IF(ISBLANK(Mitigation_Industry!U400),"",Mitigation_Industry!U400)</f>
        <v>0</v>
      </c>
      <c r="V980">
        <f>IF(ISBLANK(Mitigation_Industry!V400),"",Mitigation_Industry!V400)</f>
        <v>0</v>
      </c>
      <c r="W980">
        <f>IF(ISBLANK(Mitigation_Industry!W400),"",Mitigation_Industry!W400)</f>
        <v>0</v>
      </c>
      <c r="X980">
        <f>IF(ISBLANK(Mitigation_Industry!X400),"",Mitigation_Industry!X400)</f>
        <v>0</v>
      </c>
      <c r="Y980">
        <f>IF(ISBLANK(Mitigation_Industry!Y400),"",Mitigation_Industry!Y400)</f>
        <v>0</v>
      </c>
      <c r="Z980">
        <f>IF(ISBLANK(Mitigation_Industry!Z400),"",Mitigation_Industry!Z400)</f>
        <v>0</v>
      </c>
      <c r="AA980">
        <f>IF(ISBLANK(Mitigation_Industry!AA400),"",Mitigation_Industry!AA400)</f>
        <v>0</v>
      </c>
      <c r="AB980">
        <f>IF(ISBLANK(Mitigation_Industry!AB400),"",Mitigation_Industry!AB400)</f>
        <v>0</v>
      </c>
      <c r="AC980">
        <f>IF(ISBLANK(Mitigation_Industry!AC400),"",Mitigation_Industry!AC400)</f>
        <v>0</v>
      </c>
      <c r="AD980">
        <f>IF(ISBLANK(Mitigation_Industry!AD400),"",Mitigation_Industry!AD400)</f>
        <v>0</v>
      </c>
      <c r="AE980">
        <f>IF(ISBLANK(Mitigation_Industry!AE400),"",Mitigation_Industry!AE400)</f>
        <v>0</v>
      </c>
    </row>
    <row r="981" spans="1:31" x14ac:dyDescent="0.45">
      <c r="A981" t="s">
        <v>1609</v>
      </c>
      <c r="B981" t="s">
        <v>1500</v>
      </c>
      <c r="C981" t="s">
        <v>1501</v>
      </c>
      <c r="D981">
        <v>1</v>
      </c>
      <c r="E981" t="s">
        <v>1161</v>
      </c>
      <c r="F981">
        <f>MAX(MAX(L981:AE981),-MIN(L981:AE981))</f>
        <v>0</v>
      </c>
      <c r="I981" t="s">
        <v>1509</v>
      </c>
      <c r="K981">
        <f t="shared" ref="K981:AE981" si="242">IF(ISNUMBER(K979),IF(ISNUMBER(K980),K980-K979,999999),0)</f>
        <v>0</v>
      </c>
      <c r="L981">
        <f t="shared" si="242"/>
        <v>0</v>
      </c>
      <c r="M981">
        <f t="shared" si="242"/>
        <v>0</v>
      </c>
      <c r="N981">
        <f t="shared" si="242"/>
        <v>0</v>
      </c>
      <c r="O981">
        <f t="shared" si="242"/>
        <v>0</v>
      </c>
      <c r="P981">
        <f t="shared" si="242"/>
        <v>0</v>
      </c>
      <c r="Q981">
        <f t="shared" si="242"/>
        <v>0</v>
      </c>
      <c r="R981">
        <f t="shared" si="242"/>
        <v>0</v>
      </c>
      <c r="S981">
        <f t="shared" si="242"/>
        <v>0</v>
      </c>
      <c r="T981">
        <f t="shared" si="242"/>
        <v>0</v>
      </c>
      <c r="U981">
        <f t="shared" si="242"/>
        <v>0</v>
      </c>
      <c r="V981">
        <f t="shared" si="242"/>
        <v>0</v>
      </c>
      <c r="W981">
        <f t="shared" si="242"/>
        <v>0</v>
      </c>
      <c r="X981">
        <f t="shared" si="242"/>
        <v>0</v>
      </c>
      <c r="Y981">
        <f t="shared" si="242"/>
        <v>0</v>
      </c>
      <c r="Z981">
        <f t="shared" si="242"/>
        <v>0</v>
      </c>
      <c r="AA981">
        <f t="shared" si="242"/>
        <v>0</v>
      </c>
      <c r="AB981">
        <f t="shared" si="242"/>
        <v>0</v>
      </c>
      <c r="AC981">
        <f t="shared" si="242"/>
        <v>0</v>
      </c>
      <c r="AD981">
        <f t="shared" si="242"/>
        <v>0</v>
      </c>
      <c r="AE981">
        <f t="shared" si="242"/>
        <v>0</v>
      </c>
    </row>
    <row r="983" spans="1:31" x14ac:dyDescent="0.45">
      <c r="A983" t="s">
        <v>1610</v>
      </c>
      <c r="B983" t="s">
        <v>1423</v>
      </c>
      <c r="C983" t="s">
        <v>1424</v>
      </c>
      <c r="D983">
        <v>2</v>
      </c>
      <c r="E983" t="s">
        <v>1159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45">
      <c r="A984" t="s">
        <v>1610</v>
      </c>
      <c r="B984" t="s">
        <v>1423</v>
      </c>
      <c r="C984" t="s">
        <v>1424</v>
      </c>
      <c r="D984">
        <v>2</v>
      </c>
      <c r="E984" t="s">
        <v>1160</v>
      </c>
      <c r="K984" t="str">
        <f>IF(ISBLANK(Mitigation_Industry!K646),"",Mitigation_Industry!K646)</f>
        <v/>
      </c>
      <c r="L984">
        <f>IF(ISBLANK(Mitigation_Industry!L646),"",Mitigation_Industry!L646)</f>
        <v>0</v>
      </c>
      <c r="M984">
        <f>IF(ISBLANK(Mitigation_Industry!M646),"",Mitigation_Industry!M646)</f>
        <v>0</v>
      </c>
      <c r="N984">
        <f>IF(ISBLANK(Mitigation_Industry!N646),"",Mitigation_Industry!N646)</f>
        <v>0</v>
      </c>
      <c r="O984">
        <f>IF(ISBLANK(Mitigation_Industry!O646),"",Mitigation_Industry!O646)</f>
        <v>0</v>
      </c>
      <c r="P984">
        <f>IF(ISBLANK(Mitigation_Industry!P646),"",Mitigation_Industry!P646)</f>
        <v>0</v>
      </c>
      <c r="Q984">
        <f>IF(ISBLANK(Mitigation_Industry!Q646),"",Mitigation_Industry!Q646)</f>
        <v>12.5</v>
      </c>
      <c r="R984">
        <f>IF(ISBLANK(Mitigation_Industry!R646),"",Mitigation_Industry!R646)</f>
        <v>25</v>
      </c>
      <c r="S984">
        <f>IF(ISBLANK(Mitigation_Industry!S646),"",Mitigation_Industry!S646)</f>
        <v>37.5</v>
      </c>
      <c r="T984">
        <f>IF(ISBLANK(Mitigation_Industry!T646),"",Mitigation_Industry!T646)</f>
        <v>50</v>
      </c>
      <c r="U984">
        <f>IF(ISBLANK(Mitigation_Industry!U646),"",Mitigation_Industry!U646)</f>
        <v>62.5</v>
      </c>
      <c r="V984">
        <f>IF(ISBLANK(Mitigation_Industry!V646),"",Mitigation_Industry!V646)</f>
        <v>75</v>
      </c>
      <c r="W984">
        <f>IF(ISBLANK(Mitigation_Industry!W646),"",Mitigation_Industry!W646)</f>
        <v>87.5</v>
      </c>
      <c r="X984">
        <f>IF(ISBLANK(Mitigation_Industry!X646),"",Mitigation_Industry!X646)</f>
        <v>100</v>
      </c>
      <c r="Y984">
        <f>IF(ISBLANK(Mitigation_Industry!Y646),"",Mitigation_Industry!Y646)</f>
        <v>112.5</v>
      </c>
      <c r="Z984">
        <f>IF(ISBLANK(Mitigation_Industry!Z646),"",Mitigation_Industry!Z646)</f>
        <v>125</v>
      </c>
      <c r="AA984">
        <f>IF(ISBLANK(Mitigation_Industry!AA646),"",Mitigation_Industry!AA646)</f>
        <v>137.5</v>
      </c>
      <c r="AB984">
        <f>IF(ISBLANK(Mitigation_Industry!AB646),"",Mitigation_Industry!AB646)</f>
        <v>150</v>
      </c>
      <c r="AC984">
        <f>IF(ISBLANK(Mitigation_Industry!AC646),"",Mitigation_Industry!AC646)</f>
        <v>162.5</v>
      </c>
      <c r="AD984">
        <f>IF(ISBLANK(Mitigation_Industry!AD646),"",Mitigation_Industry!AD646)</f>
        <v>175</v>
      </c>
      <c r="AE984">
        <f>IF(ISBLANK(Mitigation_Industry!AE646),"",Mitigation_Industry!AE646)</f>
        <v>187.5</v>
      </c>
    </row>
    <row r="985" spans="1:31" x14ac:dyDescent="0.45">
      <c r="A985" t="s">
        <v>1610</v>
      </c>
      <c r="B985" t="s">
        <v>1423</v>
      </c>
      <c r="C985" t="s">
        <v>1424</v>
      </c>
      <c r="D985">
        <v>2</v>
      </c>
      <c r="E985" t="s">
        <v>1161</v>
      </c>
      <c r="F985">
        <f>MAX(MAX(L985:AE985),-MIN(L985:AE985))</f>
        <v>187.5</v>
      </c>
      <c r="I985" t="s">
        <v>1588</v>
      </c>
      <c r="J985" t="s">
        <v>1611</v>
      </c>
      <c r="K985">
        <f t="shared" ref="K985:AE985" si="243">IF(ISNUMBER(K983),IF(ISNUMBER(K984),K984-K983,999999),0)</f>
        <v>0</v>
      </c>
      <c r="L985">
        <f t="shared" si="243"/>
        <v>0</v>
      </c>
      <c r="M985">
        <f t="shared" si="243"/>
        <v>0</v>
      </c>
      <c r="N985">
        <f t="shared" si="243"/>
        <v>0</v>
      </c>
      <c r="O985">
        <f t="shared" si="243"/>
        <v>0</v>
      </c>
      <c r="P985">
        <f t="shared" si="243"/>
        <v>0</v>
      </c>
      <c r="Q985">
        <f t="shared" si="243"/>
        <v>12.5</v>
      </c>
      <c r="R985">
        <f t="shared" si="243"/>
        <v>25</v>
      </c>
      <c r="S985">
        <f t="shared" si="243"/>
        <v>37.5</v>
      </c>
      <c r="T985">
        <f t="shared" si="243"/>
        <v>50</v>
      </c>
      <c r="U985">
        <f t="shared" si="243"/>
        <v>62.5</v>
      </c>
      <c r="V985">
        <f t="shared" si="243"/>
        <v>75</v>
      </c>
      <c r="W985">
        <f t="shared" si="243"/>
        <v>87.5</v>
      </c>
      <c r="X985">
        <f t="shared" si="243"/>
        <v>100</v>
      </c>
      <c r="Y985">
        <f t="shared" si="243"/>
        <v>112.5</v>
      </c>
      <c r="Z985">
        <f t="shared" si="243"/>
        <v>125</v>
      </c>
      <c r="AA985">
        <f t="shared" si="243"/>
        <v>137.5</v>
      </c>
      <c r="AB985">
        <f t="shared" si="243"/>
        <v>150</v>
      </c>
      <c r="AC985">
        <f t="shared" si="243"/>
        <v>162.5</v>
      </c>
      <c r="AD985">
        <f t="shared" si="243"/>
        <v>175</v>
      </c>
      <c r="AE985">
        <f t="shared" si="243"/>
        <v>187.5</v>
      </c>
    </row>
    <row r="987" spans="1:31" x14ac:dyDescent="0.45">
      <c r="A987" t="s">
        <v>1612</v>
      </c>
      <c r="B987" t="s">
        <v>1423</v>
      </c>
      <c r="C987" t="s">
        <v>1425</v>
      </c>
      <c r="D987">
        <v>2</v>
      </c>
      <c r="E987" t="s">
        <v>1159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45">
      <c r="A988" t="s">
        <v>1612</v>
      </c>
      <c r="B988" t="s">
        <v>1423</v>
      </c>
      <c r="C988" t="s">
        <v>1425</v>
      </c>
      <c r="D988">
        <v>2</v>
      </c>
      <c r="E988" t="s">
        <v>1160</v>
      </c>
      <c r="K988" t="str">
        <f>IF(ISBLANK(Mitigation_Industry!K647),"",Mitigation_Industry!K647)</f>
        <v/>
      </c>
      <c r="L988">
        <f>IF(ISBLANK(Mitigation_Industry!L647),"",Mitigation_Industry!L647)</f>
        <v>0</v>
      </c>
      <c r="M988">
        <f>IF(ISBLANK(Mitigation_Industry!M647),"",Mitigation_Industry!M647)</f>
        <v>0</v>
      </c>
      <c r="N988">
        <f>IF(ISBLANK(Mitigation_Industry!N647),"",Mitigation_Industry!N647)</f>
        <v>0</v>
      </c>
      <c r="O988">
        <f>IF(ISBLANK(Mitigation_Industry!O647),"",Mitigation_Industry!O647)</f>
        <v>0</v>
      </c>
      <c r="P988">
        <f>IF(ISBLANK(Mitigation_Industry!P647),"",Mitigation_Industry!P647)</f>
        <v>0</v>
      </c>
      <c r="Q988">
        <f>IF(ISBLANK(Mitigation_Industry!Q647),"",Mitigation_Industry!Q647)</f>
        <v>0</v>
      </c>
      <c r="R988">
        <f>IF(ISBLANK(Mitigation_Industry!R647),"",Mitigation_Industry!R647)</f>
        <v>0</v>
      </c>
      <c r="S988">
        <f>IF(ISBLANK(Mitigation_Industry!S647),"",Mitigation_Industry!S647)</f>
        <v>0</v>
      </c>
      <c r="T988">
        <f>IF(ISBLANK(Mitigation_Industry!T647),"",Mitigation_Industry!T647)</f>
        <v>0</v>
      </c>
      <c r="U988">
        <f>IF(ISBLANK(Mitigation_Industry!U647),"",Mitigation_Industry!U647)</f>
        <v>0</v>
      </c>
      <c r="V988">
        <f>IF(ISBLANK(Mitigation_Industry!V647),"",Mitigation_Industry!V647)</f>
        <v>0</v>
      </c>
      <c r="W988">
        <f>IF(ISBLANK(Mitigation_Industry!W647),"",Mitigation_Industry!W647)</f>
        <v>0</v>
      </c>
      <c r="X988">
        <f>IF(ISBLANK(Mitigation_Industry!X647),"",Mitigation_Industry!X647)</f>
        <v>0</v>
      </c>
      <c r="Y988">
        <f>IF(ISBLANK(Mitigation_Industry!Y647),"",Mitigation_Industry!Y647)</f>
        <v>0</v>
      </c>
      <c r="Z988">
        <f>IF(ISBLANK(Mitigation_Industry!Z647),"",Mitigation_Industry!Z647)</f>
        <v>0</v>
      </c>
      <c r="AA988">
        <f>IF(ISBLANK(Mitigation_Industry!AA647),"",Mitigation_Industry!AA647)</f>
        <v>0</v>
      </c>
      <c r="AB988">
        <f>IF(ISBLANK(Mitigation_Industry!AB647),"",Mitigation_Industry!AB647)</f>
        <v>0</v>
      </c>
      <c r="AC988">
        <f>IF(ISBLANK(Mitigation_Industry!AC647),"",Mitigation_Industry!AC647)</f>
        <v>0</v>
      </c>
      <c r="AD988">
        <f>IF(ISBLANK(Mitigation_Industry!AD647),"",Mitigation_Industry!AD647)</f>
        <v>0</v>
      </c>
      <c r="AE988">
        <f>IF(ISBLANK(Mitigation_Industry!AE647),"",Mitigation_Industry!AE647)</f>
        <v>0</v>
      </c>
    </row>
    <row r="989" spans="1:31" x14ac:dyDescent="0.45">
      <c r="A989" t="s">
        <v>1612</v>
      </c>
      <c r="B989" t="s">
        <v>1423</v>
      </c>
      <c r="C989" t="s">
        <v>1425</v>
      </c>
      <c r="D989">
        <v>2</v>
      </c>
      <c r="E989" t="s">
        <v>1161</v>
      </c>
      <c r="F989">
        <f>MAX(MAX(L989:AE989),-MIN(L989:AE989))</f>
        <v>0</v>
      </c>
      <c r="I989" t="s">
        <v>1509</v>
      </c>
      <c r="K989">
        <f t="shared" ref="K989:AE989" si="244">IF(ISNUMBER(K987),IF(ISNUMBER(K988),K988-K987,999999),0)</f>
        <v>0</v>
      </c>
      <c r="L989">
        <f t="shared" si="244"/>
        <v>0</v>
      </c>
      <c r="M989">
        <f t="shared" si="244"/>
        <v>0</v>
      </c>
      <c r="N989">
        <f t="shared" si="244"/>
        <v>0</v>
      </c>
      <c r="O989">
        <f t="shared" si="244"/>
        <v>0</v>
      </c>
      <c r="P989">
        <f t="shared" si="244"/>
        <v>0</v>
      </c>
      <c r="Q989">
        <f t="shared" si="244"/>
        <v>0</v>
      </c>
      <c r="R989">
        <f t="shared" si="244"/>
        <v>0</v>
      </c>
      <c r="S989">
        <f t="shared" si="244"/>
        <v>0</v>
      </c>
      <c r="T989">
        <f t="shared" si="244"/>
        <v>0</v>
      </c>
      <c r="U989">
        <f t="shared" si="244"/>
        <v>0</v>
      </c>
      <c r="V989">
        <f t="shared" si="244"/>
        <v>0</v>
      </c>
      <c r="W989">
        <f t="shared" si="244"/>
        <v>0</v>
      </c>
      <c r="X989">
        <f t="shared" si="244"/>
        <v>0</v>
      </c>
      <c r="Y989">
        <f t="shared" si="244"/>
        <v>0</v>
      </c>
      <c r="Z989">
        <f t="shared" si="244"/>
        <v>0</v>
      </c>
      <c r="AA989">
        <f t="shared" si="244"/>
        <v>0</v>
      </c>
      <c r="AB989">
        <f t="shared" si="244"/>
        <v>0</v>
      </c>
      <c r="AC989">
        <f t="shared" si="244"/>
        <v>0</v>
      </c>
      <c r="AD989">
        <f t="shared" si="244"/>
        <v>0</v>
      </c>
      <c r="AE989">
        <f t="shared" si="244"/>
        <v>0</v>
      </c>
    </row>
    <row r="991" spans="1:31" x14ac:dyDescent="0.45">
      <c r="A991" t="s">
        <v>1613</v>
      </c>
      <c r="B991" t="s">
        <v>1434</v>
      </c>
      <c r="C991" t="s">
        <v>1350</v>
      </c>
      <c r="D991">
        <v>2</v>
      </c>
      <c r="E991" t="s">
        <v>1159</v>
      </c>
      <c r="L991">
        <v>4679.1738230501605</v>
      </c>
      <c r="M991">
        <v>4885.0574712643675</v>
      </c>
      <c r="N991">
        <v>5100</v>
      </c>
      <c r="O991">
        <v>5324.4000000000005</v>
      </c>
      <c r="P991">
        <v>5558.673600000001</v>
      </c>
      <c r="Q991">
        <v>5803.255238400001</v>
      </c>
      <c r="R991">
        <v>6058.5984688896015</v>
      </c>
      <c r="S991">
        <v>6325.1768015207444</v>
      </c>
      <c r="T991">
        <v>6603.4845807876573</v>
      </c>
      <c r="U991">
        <v>6894.0379023423147</v>
      </c>
      <c r="V991">
        <v>7197.3755700453767</v>
      </c>
      <c r="W991">
        <v>7514.0600951273736</v>
      </c>
      <c r="X991">
        <v>7844.678739312978</v>
      </c>
      <c r="Y991">
        <v>8189.8446038427492</v>
      </c>
      <c r="Z991">
        <v>8550.1977664118313</v>
      </c>
      <c r="AA991">
        <v>8926.4064681339514</v>
      </c>
      <c r="AB991">
        <v>9319.1683527318455</v>
      </c>
      <c r="AC991">
        <v>9729.2117602520466</v>
      </c>
      <c r="AD991">
        <v>10157.297077703137</v>
      </c>
      <c r="AE991">
        <v>10604.218149122074</v>
      </c>
    </row>
    <row r="992" spans="1:31" x14ac:dyDescent="0.45">
      <c r="A992" t="s">
        <v>1613</v>
      </c>
      <c r="B992" t="s">
        <v>1434</v>
      </c>
      <c r="C992" t="s">
        <v>1350</v>
      </c>
      <c r="D992">
        <v>2</v>
      </c>
      <c r="E992" t="s">
        <v>1160</v>
      </c>
      <c r="K992" t="str">
        <f>IF(ISBLANK(Mitigation_Industry!K675),"",Mitigation_Industry!K675)</f>
        <v/>
      </c>
      <c r="L992">
        <f>IF(ISBLANK(Mitigation_Industry!L675),"",Mitigation_Industry!L675)</f>
        <v>4679.1738230501605</v>
      </c>
      <c r="M992">
        <f>IF(ISBLANK(Mitigation_Industry!M675),"",Mitigation_Industry!M675)</f>
        <v>4885.0574712643675</v>
      </c>
      <c r="N992">
        <f>IF(ISBLANK(Mitigation_Industry!N675),"",Mitigation_Industry!N675)</f>
        <v>5100</v>
      </c>
      <c r="O992">
        <f>IF(ISBLANK(Mitigation_Industry!O675),"",Mitigation_Industry!O675)</f>
        <v>5324.4000000000005</v>
      </c>
      <c r="P992">
        <f>IF(ISBLANK(Mitigation_Industry!P675),"",Mitigation_Industry!P675)</f>
        <v>5558.673600000001</v>
      </c>
      <c r="Q992">
        <f>IF(ISBLANK(Mitigation_Industry!Q675),"",Mitigation_Industry!Q675)</f>
        <v>5803.255238400001</v>
      </c>
      <c r="R992">
        <f>IF(ISBLANK(Mitigation_Industry!R675),"",Mitigation_Industry!R675)</f>
        <v>6058.5984688896015</v>
      </c>
      <c r="S992">
        <f>IF(ISBLANK(Mitigation_Industry!S675),"",Mitigation_Industry!S675)</f>
        <v>6325.1768015207444</v>
      </c>
      <c r="T992">
        <f>IF(ISBLANK(Mitigation_Industry!T675),"",Mitigation_Industry!T675)</f>
        <v>6603.4845807876573</v>
      </c>
      <c r="U992">
        <f>IF(ISBLANK(Mitigation_Industry!U675),"",Mitigation_Industry!U675)</f>
        <v>6894.0379023423147</v>
      </c>
      <c r="V992">
        <f>IF(ISBLANK(Mitigation_Industry!V675),"",Mitigation_Industry!V675)</f>
        <v>7197.3755700453767</v>
      </c>
      <c r="W992">
        <f>IF(ISBLANK(Mitigation_Industry!W675),"",Mitigation_Industry!W675)</f>
        <v>7514.0600951273736</v>
      </c>
      <c r="X992">
        <f>IF(ISBLANK(Mitigation_Industry!X675),"",Mitigation_Industry!X675)</f>
        <v>7844.678739312978</v>
      </c>
      <c r="Y992">
        <f>IF(ISBLANK(Mitigation_Industry!Y675),"",Mitigation_Industry!Y675)</f>
        <v>8189.8446038427492</v>
      </c>
      <c r="Z992">
        <f>IF(ISBLANK(Mitigation_Industry!Z675),"",Mitigation_Industry!Z675)</f>
        <v>8550.1977664118313</v>
      </c>
      <c r="AA992">
        <f>IF(ISBLANK(Mitigation_Industry!AA675),"",Mitigation_Industry!AA675)</f>
        <v>8926.4064681339514</v>
      </c>
      <c r="AB992">
        <f>IF(ISBLANK(Mitigation_Industry!AB675),"",Mitigation_Industry!AB675)</f>
        <v>9319.1683527318455</v>
      </c>
      <c r="AC992">
        <f>IF(ISBLANK(Mitigation_Industry!AC675),"",Mitigation_Industry!AC675)</f>
        <v>9729.2117602520466</v>
      </c>
      <c r="AD992">
        <f>IF(ISBLANK(Mitigation_Industry!AD675),"",Mitigation_Industry!AD675)</f>
        <v>10157.297077703137</v>
      </c>
      <c r="AE992">
        <f>IF(ISBLANK(Mitigation_Industry!AE675),"",Mitigation_Industry!AE675)</f>
        <v>10604.218149122074</v>
      </c>
    </row>
    <row r="993" spans="1:31" x14ac:dyDescent="0.45">
      <c r="A993" t="s">
        <v>1613</v>
      </c>
      <c r="B993" t="s">
        <v>1434</v>
      </c>
      <c r="C993" t="s">
        <v>1350</v>
      </c>
      <c r="D993">
        <v>2</v>
      </c>
      <c r="E993" t="s">
        <v>1161</v>
      </c>
      <c r="F993">
        <f>MAX(MAX(L993:AE993),-MIN(L993:AE993))</f>
        <v>0</v>
      </c>
      <c r="I993" t="s">
        <v>1509</v>
      </c>
      <c r="K993">
        <f t="shared" ref="K993:AE993" si="245">IF(ISNUMBER(K991),IF(ISNUMBER(K992),K992-K991,999999),0)</f>
        <v>0</v>
      </c>
      <c r="L993">
        <f t="shared" si="245"/>
        <v>0</v>
      </c>
      <c r="M993">
        <f t="shared" si="245"/>
        <v>0</v>
      </c>
      <c r="N993">
        <f t="shared" si="245"/>
        <v>0</v>
      </c>
      <c r="O993">
        <f t="shared" si="245"/>
        <v>0</v>
      </c>
      <c r="P993">
        <f t="shared" si="245"/>
        <v>0</v>
      </c>
      <c r="Q993">
        <f t="shared" si="245"/>
        <v>0</v>
      </c>
      <c r="R993">
        <f t="shared" si="245"/>
        <v>0</v>
      </c>
      <c r="S993">
        <f t="shared" si="245"/>
        <v>0</v>
      </c>
      <c r="T993">
        <f t="shared" si="245"/>
        <v>0</v>
      </c>
      <c r="U993">
        <f t="shared" si="245"/>
        <v>0</v>
      </c>
      <c r="V993">
        <f t="shared" si="245"/>
        <v>0</v>
      </c>
      <c r="W993">
        <f t="shared" si="245"/>
        <v>0</v>
      </c>
      <c r="X993">
        <f t="shared" si="245"/>
        <v>0</v>
      </c>
      <c r="Y993">
        <f t="shared" si="245"/>
        <v>0</v>
      </c>
      <c r="Z993">
        <f t="shared" si="245"/>
        <v>0</v>
      </c>
      <c r="AA993">
        <f t="shared" si="245"/>
        <v>0</v>
      </c>
      <c r="AB993">
        <f t="shared" si="245"/>
        <v>0</v>
      </c>
      <c r="AC993">
        <f t="shared" si="245"/>
        <v>0</v>
      </c>
      <c r="AD993">
        <f t="shared" si="245"/>
        <v>0</v>
      </c>
      <c r="AE993">
        <f t="shared" si="245"/>
        <v>0</v>
      </c>
    </row>
    <row r="995" spans="1:31" x14ac:dyDescent="0.45">
      <c r="A995" t="s">
        <v>1614</v>
      </c>
      <c r="B995" t="s">
        <v>1434</v>
      </c>
      <c r="C995" t="s">
        <v>1357</v>
      </c>
      <c r="D995">
        <v>2</v>
      </c>
      <c r="E995" t="s">
        <v>1159</v>
      </c>
      <c r="L995">
        <v>4403.9283040472101</v>
      </c>
      <c r="M995">
        <v>4597.7011494252874</v>
      </c>
      <c r="N995">
        <v>4800</v>
      </c>
      <c r="O995">
        <v>5011.2</v>
      </c>
      <c r="P995">
        <v>5231.6927999999998</v>
      </c>
      <c r="Q995">
        <v>5461.8872831999997</v>
      </c>
      <c r="R995">
        <v>5702.2103236608</v>
      </c>
      <c r="S995">
        <v>5953.1075779018756</v>
      </c>
      <c r="T995">
        <v>6215.0443113295587</v>
      </c>
      <c r="U995">
        <v>6488.5062610280593</v>
      </c>
      <c r="V995">
        <v>6774.0005365132938</v>
      </c>
      <c r="W995">
        <v>7072.0565601198787</v>
      </c>
      <c r="X995">
        <v>7383.227048765154</v>
      </c>
      <c r="Y995">
        <v>7708.0890389108208</v>
      </c>
      <c r="Z995">
        <v>8047.244956622897</v>
      </c>
      <c r="AA995">
        <v>8401.323734714304</v>
      </c>
      <c r="AB995">
        <v>8770.9819790417332</v>
      </c>
      <c r="AC995">
        <v>9156.9051861195694</v>
      </c>
      <c r="AD995">
        <v>9559.8090143088302</v>
      </c>
      <c r="AE995">
        <v>9980.4406109384199</v>
      </c>
    </row>
    <row r="996" spans="1:31" x14ac:dyDescent="0.45">
      <c r="A996" t="s">
        <v>1614</v>
      </c>
      <c r="B996" t="s">
        <v>1434</v>
      </c>
      <c r="C996" t="s">
        <v>1357</v>
      </c>
      <c r="D996">
        <v>2</v>
      </c>
      <c r="E996" t="s">
        <v>1160</v>
      </c>
      <c r="K996" t="str">
        <f>IF(ISBLANK(Mitigation_Industry!K676),"",Mitigation_Industry!K676)</f>
        <v/>
      </c>
      <c r="L996">
        <f>IF(ISBLANK(Mitigation_Industry!L676),"",Mitigation_Industry!L676)</f>
        <v>4403.9283040472101</v>
      </c>
      <c r="M996">
        <f>IF(ISBLANK(Mitigation_Industry!M676),"",Mitigation_Industry!M676)</f>
        <v>4597.7011494252874</v>
      </c>
      <c r="N996">
        <f>IF(ISBLANK(Mitigation_Industry!N676),"",Mitigation_Industry!N676)</f>
        <v>4800</v>
      </c>
      <c r="O996">
        <f>IF(ISBLANK(Mitigation_Industry!O676),"",Mitigation_Industry!O676)</f>
        <v>5011.2</v>
      </c>
      <c r="P996">
        <f>IF(ISBLANK(Mitigation_Industry!P676),"",Mitigation_Industry!P676)</f>
        <v>5231.6927999999998</v>
      </c>
      <c r="Q996">
        <f>IF(ISBLANK(Mitigation_Industry!Q676),"",Mitigation_Industry!Q676)</f>
        <v>5461.8872831999997</v>
      </c>
      <c r="R996">
        <f>IF(ISBLANK(Mitigation_Industry!R676),"",Mitigation_Industry!R676)</f>
        <v>5702.2103236608</v>
      </c>
      <c r="S996">
        <f>IF(ISBLANK(Mitigation_Industry!S676),"",Mitigation_Industry!S676)</f>
        <v>5953.1075779018756</v>
      </c>
      <c r="T996">
        <f>IF(ISBLANK(Mitigation_Industry!T676),"",Mitigation_Industry!T676)</f>
        <v>6215.0443113295587</v>
      </c>
      <c r="U996">
        <f>IF(ISBLANK(Mitigation_Industry!U676),"",Mitigation_Industry!U676)</f>
        <v>6488.5062610280593</v>
      </c>
      <c r="V996">
        <f>IF(ISBLANK(Mitigation_Industry!V676),"",Mitigation_Industry!V676)</f>
        <v>6774.0005365132938</v>
      </c>
      <c r="W996">
        <f>IF(ISBLANK(Mitigation_Industry!W676),"",Mitigation_Industry!W676)</f>
        <v>7072.0565601198787</v>
      </c>
      <c r="X996">
        <f>IF(ISBLANK(Mitigation_Industry!X676),"",Mitigation_Industry!X676)</f>
        <v>7383.227048765154</v>
      </c>
      <c r="Y996">
        <f>IF(ISBLANK(Mitigation_Industry!Y676),"",Mitigation_Industry!Y676)</f>
        <v>7708.0890389108208</v>
      </c>
      <c r="Z996">
        <f>IF(ISBLANK(Mitigation_Industry!Z676),"",Mitigation_Industry!Z676)</f>
        <v>8047.244956622897</v>
      </c>
      <c r="AA996">
        <f>IF(ISBLANK(Mitigation_Industry!AA676),"",Mitigation_Industry!AA676)</f>
        <v>8401.323734714304</v>
      </c>
      <c r="AB996">
        <f>IF(ISBLANK(Mitigation_Industry!AB676),"",Mitigation_Industry!AB676)</f>
        <v>8770.9819790417332</v>
      </c>
      <c r="AC996">
        <f>IF(ISBLANK(Mitigation_Industry!AC676),"",Mitigation_Industry!AC676)</f>
        <v>9156.9051861195694</v>
      </c>
      <c r="AD996">
        <f>IF(ISBLANK(Mitigation_Industry!AD676),"",Mitigation_Industry!AD676)</f>
        <v>9559.8090143088302</v>
      </c>
      <c r="AE996">
        <f>IF(ISBLANK(Mitigation_Industry!AE676),"",Mitigation_Industry!AE676)</f>
        <v>9980.4406109384199</v>
      </c>
    </row>
    <row r="997" spans="1:31" x14ac:dyDescent="0.45">
      <c r="A997" t="s">
        <v>1614</v>
      </c>
      <c r="B997" t="s">
        <v>1434</v>
      </c>
      <c r="C997" t="s">
        <v>1357</v>
      </c>
      <c r="D997">
        <v>2</v>
      </c>
      <c r="E997" t="s">
        <v>1161</v>
      </c>
      <c r="F997">
        <f>MAX(MAX(L997:AE997),-MIN(L997:AE997))</f>
        <v>0</v>
      </c>
      <c r="I997" t="s">
        <v>1509</v>
      </c>
      <c r="K997">
        <f t="shared" ref="K997:AE997" si="246">IF(ISNUMBER(K995),IF(ISNUMBER(K996),K996-K995,999999),0)</f>
        <v>0</v>
      </c>
      <c r="L997">
        <f t="shared" si="246"/>
        <v>0</v>
      </c>
      <c r="M997">
        <f t="shared" si="246"/>
        <v>0</v>
      </c>
      <c r="N997">
        <f t="shared" si="246"/>
        <v>0</v>
      </c>
      <c r="O997">
        <f t="shared" si="246"/>
        <v>0</v>
      </c>
      <c r="P997">
        <f t="shared" si="246"/>
        <v>0</v>
      </c>
      <c r="Q997">
        <f t="shared" si="246"/>
        <v>0</v>
      </c>
      <c r="R997">
        <f t="shared" si="246"/>
        <v>0</v>
      </c>
      <c r="S997">
        <f t="shared" si="246"/>
        <v>0</v>
      </c>
      <c r="T997">
        <f t="shared" si="246"/>
        <v>0</v>
      </c>
      <c r="U997">
        <f t="shared" si="246"/>
        <v>0</v>
      </c>
      <c r="V997">
        <f t="shared" si="246"/>
        <v>0</v>
      </c>
      <c r="W997">
        <f t="shared" si="246"/>
        <v>0</v>
      </c>
      <c r="X997">
        <f t="shared" si="246"/>
        <v>0</v>
      </c>
      <c r="Y997">
        <f t="shared" si="246"/>
        <v>0</v>
      </c>
      <c r="Z997">
        <f t="shared" si="246"/>
        <v>0</v>
      </c>
      <c r="AA997">
        <f t="shared" si="246"/>
        <v>0</v>
      </c>
      <c r="AB997">
        <f t="shared" si="246"/>
        <v>0</v>
      </c>
      <c r="AC997">
        <f t="shared" si="246"/>
        <v>0</v>
      </c>
      <c r="AD997">
        <f t="shared" si="246"/>
        <v>0</v>
      </c>
      <c r="AE997">
        <f t="shared" si="246"/>
        <v>0</v>
      </c>
    </row>
    <row r="999" spans="1:31" x14ac:dyDescent="0.45">
      <c r="A999" t="s">
        <v>1615</v>
      </c>
      <c r="B999" t="s">
        <v>1434</v>
      </c>
      <c r="C999" t="s">
        <v>1363</v>
      </c>
      <c r="D999">
        <v>2</v>
      </c>
      <c r="E999" t="s">
        <v>1159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45">
      <c r="A1000" t="s">
        <v>1615</v>
      </c>
      <c r="B1000" t="s">
        <v>1434</v>
      </c>
      <c r="C1000" t="s">
        <v>1363</v>
      </c>
      <c r="D1000">
        <v>2</v>
      </c>
      <c r="E1000" t="s">
        <v>1160</v>
      </c>
      <c r="K1000" t="str">
        <f>IF(ISBLANK(Mitigation_Industry!K677),"",Mitigation_Industry!K677)</f>
        <v/>
      </c>
      <c r="L1000">
        <f>IF(ISBLANK(Mitigation_Industry!L677),"",Mitigation_Industry!L677)</f>
        <v>0</v>
      </c>
      <c r="M1000">
        <f>IF(ISBLANK(Mitigation_Industry!M677),"",Mitigation_Industry!M677)</f>
        <v>0</v>
      </c>
      <c r="N1000">
        <f>IF(ISBLANK(Mitigation_Industry!N677),"",Mitigation_Industry!N677)</f>
        <v>0</v>
      </c>
      <c r="O1000">
        <f>IF(ISBLANK(Mitigation_Industry!O677),"",Mitigation_Industry!O677)</f>
        <v>0</v>
      </c>
      <c r="P1000">
        <f>IF(ISBLANK(Mitigation_Industry!P677),"",Mitigation_Industry!P677)</f>
        <v>0</v>
      </c>
      <c r="Q1000">
        <f>IF(ISBLANK(Mitigation_Industry!Q677),"",Mitigation_Industry!Q677)</f>
        <v>0</v>
      </c>
      <c r="R1000">
        <f>IF(ISBLANK(Mitigation_Industry!R677),"",Mitigation_Industry!R677)</f>
        <v>0</v>
      </c>
      <c r="S1000">
        <f>IF(ISBLANK(Mitigation_Industry!S677),"",Mitigation_Industry!S677)</f>
        <v>0</v>
      </c>
      <c r="T1000">
        <f>IF(ISBLANK(Mitigation_Industry!T677),"",Mitigation_Industry!T677)</f>
        <v>0</v>
      </c>
      <c r="U1000">
        <f>IF(ISBLANK(Mitigation_Industry!U677),"",Mitigation_Industry!U677)</f>
        <v>0</v>
      </c>
      <c r="V1000">
        <f>IF(ISBLANK(Mitigation_Industry!V677),"",Mitigation_Industry!V677)</f>
        <v>0</v>
      </c>
      <c r="W1000">
        <f>IF(ISBLANK(Mitigation_Industry!W677),"",Mitigation_Industry!W677)</f>
        <v>0</v>
      </c>
      <c r="X1000">
        <f>IF(ISBLANK(Mitigation_Industry!X677),"",Mitigation_Industry!X677)</f>
        <v>0</v>
      </c>
      <c r="Y1000">
        <f>IF(ISBLANK(Mitigation_Industry!Y677),"",Mitigation_Industry!Y677)</f>
        <v>0</v>
      </c>
      <c r="Z1000">
        <f>IF(ISBLANK(Mitigation_Industry!Z677),"",Mitigation_Industry!Z677)</f>
        <v>0</v>
      </c>
      <c r="AA1000">
        <f>IF(ISBLANK(Mitigation_Industry!AA677),"",Mitigation_Industry!AA677)</f>
        <v>0</v>
      </c>
      <c r="AB1000">
        <f>IF(ISBLANK(Mitigation_Industry!AB677),"",Mitigation_Industry!AB677)</f>
        <v>0</v>
      </c>
      <c r="AC1000">
        <f>IF(ISBLANK(Mitigation_Industry!AC677),"",Mitigation_Industry!AC677)</f>
        <v>0</v>
      </c>
      <c r="AD1000">
        <f>IF(ISBLANK(Mitigation_Industry!AD677),"",Mitigation_Industry!AD677)</f>
        <v>0</v>
      </c>
      <c r="AE1000">
        <f>IF(ISBLANK(Mitigation_Industry!AE677),"",Mitigation_Industry!AE677)</f>
        <v>0</v>
      </c>
    </row>
    <row r="1001" spans="1:31" x14ac:dyDescent="0.45">
      <c r="A1001" t="s">
        <v>1615</v>
      </c>
      <c r="B1001" t="s">
        <v>1434</v>
      </c>
      <c r="C1001" t="s">
        <v>1363</v>
      </c>
      <c r="D1001">
        <v>2</v>
      </c>
      <c r="E1001" t="s">
        <v>1161</v>
      </c>
      <c r="F1001">
        <f>MAX(MAX(L1001:AE1001),-MIN(L1001:AE1001))</f>
        <v>0</v>
      </c>
      <c r="I1001" t="s">
        <v>1509</v>
      </c>
      <c r="K1001">
        <f t="shared" ref="K1001:AE1001" si="247">IF(ISNUMBER(K999),IF(ISNUMBER(K1000),K1000-K999,999999),0)</f>
        <v>0</v>
      </c>
      <c r="L1001">
        <f t="shared" si="247"/>
        <v>0</v>
      </c>
      <c r="M1001">
        <f t="shared" si="247"/>
        <v>0</v>
      </c>
      <c r="N1001">
        <f t="shared" si="247"/>
        <v>0</v>
      </c>
      <c r="O1001">
        <f t="shared" si="247"/>
        <v>0</v>
      </c>
      <c r="P1001">
        <f t="shared" si="247"/>
        <v>0</v>
      </c>
      <c r="Q1001">
        <f t="shared" si="247"/>
        <v>0</v>
      </c>
      <c r="R1001">
        <f t="shared" si="247"/>
        <v>0</v>
      </c>
      <c r="S1001">
        <f t="shared" si="247"/>
        <v>0</v>
      </c>
      <c r="T1001">
        <f t="shared" si="247"/>
        <v>0</v>
      </c>
      <c r="U1001">
        <f t="shared" si="247"/>
        <v>0</v>
      </c>
      <c r="V1001">
        <f t="shared" si="247"/>
        <v>0</v>
      </c>
      <c r="W1001">
        <f t="shared" si="247"/>
        <v>0</v>
      </c>
      <c r="X1001">
        <f t="shared" si="247"/>
        <v>0</v>
      </c>
      <c r="Y1001">
        <f t="shared" si="247"/>
        <v>0</v>
      </c>
      <c r="Z1001">
        <f t="shared" si="247"/>
        <v>0</v>
      </c>
      <c r="AA1001">
        <f t="shared" si="247"/>
        <v>0</v>
      </c>
      <c r="AB1001">
        <f t="shared" si="247"/>
        <v>0</v>
      </c>
      <c r="AC1001">
        <f t="shared" si="247"/>
        <v>0</v>
      </c>
      <c r="AD1001">
        <f t="shared" si="247"/>
        <v>0</v>
      </c>
      <c r="AE1001">
        <f t="shared" si="247"/>
        <v>0</v>
      </c>
    </row>
    <row r="1003" spans="1:31" x14ac:dyDescent="0.45">
      <c r="A1003" t="s">
        <v>1616</v>
      </c>
      <c r="B1003" t="s">
        <v>1434</v>
      </c>
      <c r="C1003" t="s">
        <v>1369</v>
      </c>
      <c r="D1003">
        <v>2</v>
      </c>
      <c r="E1003" t="s">
        <v>1159</v>
      </c>
      <c r="L1003">
        <v>46856.447775209017</v>
      </c>
      <c r="M1003">
        <v>48402.710551790908</v>
      </c>
      <c r="N1003">
        <v>50000</v>
      </c>
      <c r="O1003">
        <v>51649.999999999993</v>
      </c>
      <c r="P1003">
        <v>53354.44999999999</v>
      </c>
      <c r="Q1003">
        <v>55115.146849999983</v>
      </c>
      <c r="R1003">
        <v>56933.946696049978</v>
      </c>
      <c r="S1003">
        <v>58812.766937019624</v>
      </c>
      <c r="T1003">
        <v>60753.588245941268</v>
      </c>
      <c r="U1003">
        <v>62758.456658057323</v>
      </c>
      <c r="V1003">
        <v>64829.485727773208</v>
      </c>
      <c r="W1003">
        <v>66968.858756789719</v>
      </c>
      <c r="X1003">
        <v>69178.831095763773</v>
      </c>
      <c r="Y1003">
        <v>71461.732521923972</v>
      </c>
      <c r="Z1003">
        <v>73819.969695147462</v>
      </c>
      <c r="AA1003">
        <v>76256.028695087327</v>
      </c>
      <c r="AB1003">
        <v>78772.477642025202</v>
      </c>
      <c r="AC1003">
        <v>81371.969404212025</v>
      </c>
      <c r="AD1003">
        <v>84057.244394551017</v>
      </c>
      <c r="AE1003">
        <v>86831.133459571196</v>
      </c>
    </row>
    <row r="1004" spans="1:31" x14ac:dyDescent="0.45">
      <c r="A1004" t="s">
        <v>1616</v>
      </c>
      <c r="B1004" t="s">
        <v>1434</v>
      </c>
      <c r="C1004" t="s">
        <v>1369</v>
      </c>
      <c r="D1004">
        <v>2</v>
      </c>
      <c r="E1004" t="s">
        <v>1160</v>
      </c>
      <c r="K1004" t="str">
        <f>IF(ISBLANK(Mitigation_Industry!K678),"",Mitigation_Industry!K678)</f>
        <v/>
      </c>
      <c r="L1004">
        <f>IF(ISBLANK(Mitigation_Industry!L678),"",Mitigation_Industry!L678)</f>
        <v>46856.447775209017</v>
      </c>
      <c r="M1004">
        <f>IF(ISBLANK(Mitigation_Industry!M678),"",Mitigation_Industry!M678)</f>
        <v>48402.710551790908</v>
      </c>
      <c r="N1004">
        <f>IF(ISBLANK(Mitigation_Industry!N678),"",Mitigation_Industry!N678)</f>
        <v>50000</v>
      </c>
      <c r="O1004">
        <f>IF(ISBLANK(Mitigation_Industry!O678),"",Mitigation_Industry!O678)</f>
        <v>51649.999999999993</v>
      </c>
      <c r="P1004">
        <f>IF(ISBLANK(Mitigation_Industry!P678),"",Mitigation_Industry!P678)</f>
        <v>53354.44999999999</v>
      </c>
      <c r="Q1004">
        <f>IF(ISBLANK(Mitigation_Industry!Q678),"",Mitigation_Industry!Q678)</f>
        <v>55115.146849999983</v>
      </c>
      <c r="R1004">
        <f>IF(ISBLANK(Mitigation_Industry!R678),"",Mitigation_Industry!R678)</f>
        <v>56933.946696049978</v>
      </c>
      <c r="S1004">
        <f>IF(ISBLANK(Mitigation_Industry!S678),"",Mitigation_Industry!S678)</f>
        <v>58812.766937019624</v>
      </c>
      <c r="T1004">
        <f>IF(ISBLANK(Mitigation_Industry!T678),"",Mitigation_Industry!T678)</f>
        <v>60753.588245941268</v>
      </c>
      <c r="U1004">
        <f>IF(ISBLANK(Mitigation_Industry!U678),"",Mitigation_Industry!U678)</f>
        <v>62758.456658057323</v>
      </c>
      <c r="V1004">
        <f>IF(ISBLANK(Mitigation_Industry!V678),"",Mitigation_Industry!V678)</f>
        <v>64829.485727773208</v>
      </c>
      <c r="W1004">
        <f>IF(ISBLANK(Mitigation_Industry!W678),"",Mitigation_Industry!W678)</f>
        <v>66968.858756789719</v>
      </c>
      <c r="X1004">
        <f>IF(ISBLANK(Mitigation_Industry!X678),"",Mitigation_Industry!X678)</f>
        <v>69178.831095763773</v>
      </c>
      <c r="Y1004">
        <f>IF(ISBLANK(Mitigation_Industry!Y678),"",Mitigation_Industry!Y678)</f>
        <v>71461.732521923972</v>
      </c>
      <c r="Z1004">
        <f>IF(ISBLANK(Mitigation_Industry!Z678),"",Mitigation_Industry!Z678)</f>
        <v>73819.969695147462</v>
      </c>
      <c r="AA1004">
        <f>IF(ISBLANK(Mitigation_Industry!AA678),"",Mitigation_Industry!AA678)</f>
        <v>76256.028695087327</v>
      </c>
      <c r="AB1004">
        <f>IF(ISBLANK(Mitigation_Industry!AB678),"",Mitigation_Industry!AB678)</f>
        <v>78772.477642025202</v>
      </c>
      <c r="AC1004">
        <f>IF(ISBLANK(Mitigation_Industry!AC678),"",Mitigation_Industry!AC678)</f>
        <v>81371.969404212025</v>
      </c>
      <c r="AD1004">
        <f>IF(ISBLANK(Mitigation_Industry!AD678),"",Mitigation_Industry!AD678)</f>
        <v>84057.244394551017</v>
      </c>
      <c r="AE1004">
        <f>IF(ISBLANK(Mitigation_Industry!AE678),"",Mitigation_Industry!AE678)</f>
        <v>86831.133459571196</v>
      </c>
    </row>
    <row r="1005" spans="1:31" x14ac:dyDescent="0.45">
      <c r="A1005" t="s">
        <v>1616</v>
      </c>
      <c r="B1005" t="s">
        <v>1434</v>
      </c>
      <c r="C1005" t="s">
        <v>1369</v>
      </c>
      <c r="D1005">
        <v>2</v>
      </c>
      <c r="E1005" t="s">
        <v>1161</v>
      </c>
      <c r="F1005">
        <f>MAX(MAX(L1005:AE1005),-MIN(L1005:AE1005))</f>
        <v>0</v>
      </c>
      <c r="I1005" t="s">
        <v>1509</v>
      </c>
      <c r="K1005">
        <f t="shared" ref="K1005:AE1005" si="248">IF(ISNUMBER(K1003),IF(ISNUMBER(K1004),K1004-K1003,999999),0)</f>
        <v>0</v>
      </c>
      <c r="L1005">
        <f t="shared" si="248"/>
        <v>0</v>
      </c>
      <c r="M1005">
        <f t="shared" si="248"/>
        <v>0</v>
      </c>
      <c r="N1005">
        <f t="shared" si="248"/>
        <v>0</v>
      </c>
      <c r="O1005">
        <f t="shared" si="248"/>
        <v>0</v>
      </c>
      <c r="P1005">
        <f t="shared" si="248"/>
        <v>0</v>
      </c>
      <c r="Q1005">
        <f t="shared" si="248"/>
        <v>0</v>
      </c>
      <c r="R1005">
        <f t="shared" si="248"/>
        <v>0</v>
      </c>
      <c r="S1005">
        <f t="shared" si="248"/>
        <v>0</v>
      </c>
      <c r="T1005">
        <f t="shared" si="248"/>
        <v>0</v>
      </c>
      <c r="U1005">
        <f t="shared" si="248"/>
        <v>0</v>
      </c>
      <c r="V1005">
        <f t="shared" si="248"/>
        <v>0</v>
      </c>
      <c r="W1005">
        <f t="shared" si="248"/>
        <v>0</v>
      </c>
      <c r="X1005">
        <f t="shared" si="248"/>
        <v>0</v>
      </c>
      <c r="Y1005">
        <f t="shared" si="248"/>
        <v>0</v>
      </c>
      <c r="Z1005">
        <f t="shared" si="248"/>
        <v>0</v>
      </c>
      <c r="AA1005">
        <f t="shared" si="248"/>
        <v>0</v>
      </c>
      <c r="AB1005">
        <f t="shared" si="248"/>
        <v>0</v>
      </c>
      <c r="AC1005">
        <f t="shared" si="248"/>
        <v>0</v>
      </c>
      <c r="AD1005">
        <f t="shared" si="248"/>
        <v>0</v>
      </c>
      <c r="AE1005">
        <f t="shared" si="248"/>
        <v>0</v>
      </c>
    </row>
    <row r="1007" spans="1:31" x14ac:dyDescent="0.45">
      <c r="A1007" t="s">
        <v>1617</v>
      </c>
      <c r="B1007" t="s">
        <v>1434</v>
      </c>
      <c r="C1007" t="s">
        <v>1442</v>
      </c>
      <c r="D1007">
        <v>2</v>
      </c>
      <c r="E1007" t="s">
        <v>1159</v>
      </c>
      <c r="L1007">
        <v>1708.9778302013242</v>
      </c>
      <c r="M1007">
        <v>1746.5753424657535</v>
      </c>
      <c r="N1007">
        <v>1785</v>
      </c>
      <c r="O1007">
        <v>1824.27</v>
      </c>
      <c r="P1007">
        <v>1864.4039399999999</v>
      </c>
      <c r="Q1007">
        <v>1905.4208266799999</v>
      </c>
      <c r="R1007">
        <v>1947.3400848669598</v>
      </c>
      <c r="S1007">
        <v>1990.1815667340329</v>
      </c>
      <c r="T1007">
        <v>2033.9655612021818</v>
      </c>
      <c r="U1007">
        <v>2078.7128035486298</v>
      </c>
      <c r="V1007">
        <v>2124.4444852266997</v>
      </c>
      <c r="W1007">
        <v>2171.1822639016873</v>
      </c>
      <c r="X1007">
        <v>2218.9482737075245</v>
      </c>
      <c r="Y1007">
        <v>2267.7651357290902</v>
      </c>
      <c r="Z1007">
        <v>2317.6559687151303</v>
      </c>
      <c r="AA1007">
        <v>2368.644400026863</v>
      </c>
      <c r="AB1007">
        <v>2420.754576827454</v>
      </c>
      <c r="AC1007">
        <v>2474.0111775176579</v>
      </c>
      <c r="AD1007">
        <v>2528.4394234230463</v>
      </c>
      <c r="AE1007">
        <v>2584.0650907383533</v>
      </c>
    </row>
    <row r="1008" spans="1:31" x14ac:dyDescent="0.45">
      <c r="A1008" t="s">
        <v>1617</v>
      </c>
      <c r="B1008" t="s">
        <v>1434</v>
      </c>
      <c r="C1008" t="s">
        <v>1442</v>
      </c>
      <c r="D1008">
        <v>2</v>
      </c>
      <c r="E1008" t="s">
        <v>1160</v>
      </c>
      <c r="K1008" t="str">
        <f>IF(ISBLANK(Mitigation_Industry!K679),"",Mitigation_Industry!K679)</f>
        <v/>
      </c>
      <c r="L1008">
        <f>IF(ISBLANK(Mitigation_Industry!L679),"",Mitigation_Industry!L679)</f>
        <v>1708.9778302013242</v>
      </c>
      <c r="M1008">
        <f>IF(ISBLANK(Mitigation_Industry!M679),"",Mitigation_Industry!M679)</f>
        <v>1746.5753424657535</v>
      </c>
      <c r="N1008">
        <f>IF(ISBLANK(Mitigation_Industry!N679),"",Mitigation_Industry!N679)</f>
        <v>1785</v>
      </c>
      <c r="O1008">
        <f>IF(ISBLANK(Mitigation_Industry!O679),"",Mitigation_Industry!O679)</f>
        <v>1824.27</v>
      </c>
      <c r="P1008">
        <f>IF(ISBLANK(Mitigation_Industry!P679),"",Mitigation_Industry!P679)</f>
        <v>1864.4039399999999</v>
      </c>
      <c r="Q1008">
        <f>IF(ISBLANK(Mitigation_Industry!Q679),"",Mitigation_Industry!Q679)</f>
        <v>1905.4208266799999</v>
      </c>
      <c r="R1008">
        <f>IF(ISBLANK(Mitigation_Industry!R679),"",Mitigation_Industry!R679)</f>
        <v>1947.3400848669598</v>
      </c>
      <c r="S1008">
        <f>IF(ISBLANK(Mitigation_Industry!S679),"",Mitigation_Industry!S679)</f>
        <v>1990.1815667340329</v>
      </c>
      <c r="T1008">
        <f>IF(ISBLANK(Mitigation_Industry!T679),"",Mitigation_Industry!T679)</f>
        <v>2033.9655612021818</v>
      </c>
      <c r="U1008">
        <f>IF(ISBLANK(Mitigation_Industry!U679),"",Mitigation_Industry!U679)</f>
        <v>2078.7128035486298</v>
      </c>
      <c r="V1008">
        <f>IF(ISBLANK(Mitigation_Industry!V679),"",Mitigation_Industry!V679)</f>
        <v>2124.4444852266997</v>
      </c>
      <c r="W1008">
        <f>IF(ISBLANK(Mitigation_Industry!W679),"",Mitigation_Industry!W679)</f>
        <v>2171.1822639016873</v>
      </c>
      <c r="X1008">
        <f>IF(ISBLANK(Mitigation_Industry!X679),"",Mitigation_Industry!X679)</f>
        <v>2218.9482737075245</v>
      </c>
      <c r="Y1008">
        <f>IF(ISBLANK(Mitigation_Industry!Y679),"",Mitigation_Industry!Y679)</f>
        <v>2267.7651357290902</v>
      </c>
      <c r="Z1008">
        <f>IF(ISBLANK(Mitigation_Industry!Z679),"",Mitigation_Industry!Z679)</f>
        <v>2317.6559687151303</v>
      </c>
      <c r="AA1008">
        <f>IF(ISBLANK(Mitigation_Industry!AA679),"",Mitigation_Industry!AA679)</f>
        <v>2368.644400026863</v>
      </c>
      <c r="AB1008">
        <f>IF(ISBLANK(Mitigation_Industry!AB679),"",Mitigation_Industry!AB679)</f>
        <v>2420.754576827454</v>
      </c>
      <c r="AC1008">
        <f>IF(ISBLANK(Mitigation_Industry!AC679),"",Mitigation_Industry!AC679)</f>
        <v>2474.0111775176579</v>
      </c>
      <c r="AD1008">
        <f>IF(ISBLANK(Mitigation_Industry!AD679),"",Mitigation_Industry!AD679)</f>
        <v>2528.4394234230463</v>
      </c>
      <c r="AE1008">
        <f>IF(ISBLANK(Mitigation_Industry!AE679),"",Mitigation_Industry!AE679)</f>
        <v>2584.0650907383533</v>
      </c>
    </row>
    <row r="1009" spans="1:31" x14ac:dyDescent="0.45">
      <c r="A1009" t="s">
        <v>1617</v>
      </c>
      <c r="B1009" t="s">
        <v>1434</v>
      </c>
      <c r="C1009" t="s">
        <v>1442</v>
      </c>
      <c r="D1009">
        <v>2</v>
      </c>
      <c r="E1009" t="s">
        <v>1161</v>
      </c>
      <c r="F1009">
        <f>MAX(MAX(L1009:AE1009),-MIN(L1009:AE1009))</f>
        <v>0</v>
      </c>
      <c r="I1009" t="s">
        <v>1509</v>
      </c>
      <c r="K1009">
        <f t="shared" ref="K1009:AE1009" si="249">IF(ISNUMBER(K1007),IF(ISNUMBER(K1008),K1008-K1007,999999),0)</f>
        <v>0</v>
      </c>
      <c r="L1009">
        <f t="shared" si="249"/>
        <v>0</v>
      </c>
      <c r="M1009">
        <f t="shared" si="249"/>
        <v>0</v>
      </c>
      <c r="N1009">
        <f t="shared" si="249"/>
        <v>0</v>
      </c>
      <c r="O1009">
        <f t="shared" si="249"/>
        <v>0</v>
      </c>
      <c r="P1009">
        <f t="shared" si="249"/>
        <v>0</v>
      </c>
      <c r="Q1009">
        <f t="shared" si="249"/>
        <v>0</v>
      </c>
      <c r="R1009">
        <f t="shared" si="249"/>
        <v>0</v>
      </c>
      <c r="S1009">
        <f t="shared" si="249"/>
        <v>0</v>
      </c>
      <c r="T1009">
        <f t="shared" si="249"/>
        <v>0</v>
      </c>
      <c r="U1009">
        <f t="shared" si="249"/>
        <v>0</v>
      </c>
      <c r="V1009">
        <f t="shared" si="249"/>
        <v>0</v>
      </c>
      <c r="W1009">
        <f t="shared" si="249"/>
        <v>0</v>
      </c>
      <c r="X1009">
        <f t="shared" si="249"/>
        <v>0</v>
      </c>
      <c r="Y1009">
        <f t="shared" si="249"/>
        <v>0</v>
      </c>
      <c r="Z1009">
        <f t="shared" si="249"/>
        <v>0</v>
      </c>
      <c r="AA1009">
        <f t="shared" si="249"/>
        <v>0</v>
      </c>
      <c r="AB1009">
        <f t="shared" si="249"/>
        <v>0</v>
      </c>
      <c r="AC1009">
        <f t="shared" si="249"/>
        <v>0</v>
      </c>
      <c r="AD1009">
        <f t="shared" si="249"/>
        <v>0</v>
      </c>
      <c r="AE1009">
        <f t="shared" si="249"/>
        <v>0</v>
      </c>
    </row>
    <row r="1011" spans="1:31" x14ac:dyDescent="0.45">
      <c r="A1011" t="s">
        <v>1618</v>
      </c>
      <c r="B1011" t="s">
        <v>1434</v>
      </c>
      <c r="C1011" t="s">
        <v>1383</v>
      </c>
      <c r="D1011">
        <v>2</v>
      </c>
      <c r="E1011" t="s">
        <v>1159</v>
      </c>
      <c r="L1011">
        <v>2680.7495375707044</v>
      </c>
      <c r="M1011">
        <v>2739.7260273972602</v>
      </c>
      <c r="N1011">
        <v>2800</v>
      </c>
      <c r="O1011">
        <v>2861.6</v>
      </c>
      <c r="P1011">
        <v>2924.5551999999998</v>
      </c>
      <c r="Q1011">
        <v>2988.8954143999999</v>
      </c>
      <c r="R1011">
        <v>3054.6511135167998</v>
      </c>
      <c r="S1011">
        <v>3121.8534380141696</v>
      </c>
      <c r="T1011">
        <v>3190.5342136504814</v>
      </c>
      <c r="U1011">
        <v>3260.7259663507921</v>
      </c>
      <c r="V1011">
        <v>3332.4619376105097</v>
      </c>
      <c r="W1011">
        <v>3405.7761002379411</v>
      </c>
      <c r="X1011">
        <v>3480.7031744431761</v>
      </c>
      <c r="Y1011">
        <v>3557.2786442809261</v>
      </c>
      <c r="Z1011">
        <v>3635.5387744551067</v>
      </c>
      <c r="AA1011">
        <v>3715.5206274931193</v>
      </c>
      <c r="AB1011">
        <v>3797.2620812979681</v>
      </c>
      <c r="AC1011">
        <v>3880.8018470865236</v>
      </c>
      <c r="AD1011">
        <v>3966.179487722427</v>
      </c>
      <c r="AE1011">
        <v>4053.4354364523206</v>
      </c>
    </row>
    <row r="1012" spans="1:31" x14ac:dyDescent="0.45">
      <c r="A1012" t="s">
        <v>1618</v>
      </c>
      <c r="B1012" t="s">
        <v>1434</v>
      </c>
      <c r="C1012" t="s">
        <v>1383</v>
      </c>
      <c r="D1012">
        <v>2</v>
      </c>
      <c r="E1012" t="s">
        <v>1160</v>
      </c>
      <c r="K1012" t="str">
        <f>IF(ISBLANK(Mitigation_Industry!K680),"",Mitigation_Industry!K680)</f>
        <v/>
      </c>
      <c r="L1012">
        <f>IF(ISBLANK(Mitigation_Industry!L680),"",Mitigation_Industry!L680)</f>
        <v>2680.7495375707044</v>
      </c>
      <c r="M1012">
        <f>IF(ISBLANK(Mitigation_Industry!M680),"",Mitigation_Industry!M680)</f>
        <v>2739.7260273972602</v>
      </c>
      <c r="N1012">
        <f>IF(ISBLANK(Mitigation_Industry!N680),"",Mitigation_Industry!N680)</f>
        <v>2800</v>
      </c>
      <c r="O1012">
        <f>IF(ISBLANK(Mitigation_Industry!O680),"",Mitigation_Industry!O680)</f>
        <v>2861.6</v>
      </c>
      <c r="P1012">
        <f>IF(ISBLANK(Mitigation_Industry!P680),"",Mitigation_Industry!P680)</f>
        <v>2924.5551999999998</v>
      </c>
      <c r="Q1012">
        <f>IF(ISBLANK(Mitigation_Industry!Q680),"",Mitigation_Industry!Q680)</f>
        <v>2988.8954143999999</v>
      </c>
      <c r="R1012">
        <f>IF(ISBLANK(Mitigation_Industry!R680),"",Mitigation_Industry!R680)</f>
        <v>3054.6511135167998</v>
      </c>
      <c r="S1012">
        <f>IF(ISBLANK(Mitigation_Industry!S680),"",Mitigation_Industry!S680)</f>
        <v>3121.8534380141696</v>
      </c>
      <c r="T1012">
        <f>IF(ISBLANK(Mitigation_Industry!T680),"",Mitigation_Industry!T680)</f>
        <v>3190.5342136504814</v>
      </c>
      <c r="U1012">
        <f>IF(ISBLANK(Mitigation_Industry!U680),"",Mitigation_Industry!U680)</f>
        <v>3260.7259663507921</v>
      </c>
      <c r="V1012">
        <f>IF(ISBLANK(Mitigation_Industry!V680),"",Mitigation_Industry!V680)</f>
        <v>3332.4619376105097</v>
      </c>
      <c r="W1012">
        <f>IF(ISBLANK(Mitigation_Industry!W680),"",Mitigation_Industry!W680)</f>
        <v>3405.7761002379411</v>
      </c>
      <c r="X1012">
        <f>IF(ISBLANK(Mitigation_Industry!X680),"",Mitigation_Industry!X680)</f>
        <v>3480.7031744431761</v>
      </c>
      <c r="Y1012">
        <f>IF(ISBLANK(Mitigation_Industry!Y680),"",Mitigation_Industry!Y680)</f>
        <v>3557.2786442809261</v>
      </c>
      <c r="Z1012">
        <f>IF(ISBLANK(Mitigation_Industry!Z680),"",Mitigation_Industry!Z680)</f>
        <v>3635.5387744551067</v>
      </c>
      <c r="AA1012">
        <f>IF(ISBLANK(Mitigation_Industry!AA680),"",Mitigation_Industry!AA680)</f>
        <v>3715.5206274931193</v>
      </c>
      <c r="AB1012">
        <f>IF(ISBLANK(Mitigation_Industry!AB680),"",Mitigation_Industry!AB680)</f>
        <v>3797.2620812979681</v>
      </c>
      <c r="AC1012">
        <f>IF(ISBLANK(Mitigation_Industry!AC680),"",Mitigation_Industry!AC680)</f>
        <v>3880.8018470865236</v>
      </c>
      <c r="AD1012">
        <f>IF(ISBLANK(Mitigation_Industry!AD680),"",Mitigation_Industry!AD680)</f>
        <v>3966.179487722427</v>
      </c>
      <c r="AE1012">
        <f>IF(ISBLANK(Mitigation_Industry!AE680),"",Mitigation_Industry!AE680)</f>
        <v>4053.4354364523206</v>
      </c>
    </row>
    <row r="1013" spans="1:31" x14ac:dyDescent="0.45">
      <c r="A1013" t="s">
        <v>1618</v>
      </c>
      <c r="B1013" t="s">
        <v>1434</v>
      </c>
      <c r="C1013" t="s">
        <v>1383</v>
      </c>
      <c r="D1013">
        <v>2</v>
      </c>
      <c r="E1013" t="s">
        <v>1161</v>
      </c>
      <c r="F1013">
        <f>MAX(MAX(L1013:AE1013),-MIN(L1013:AE1013))</f>
        <v>0</v>
      </c>
      <c r="I1013" t="s">
        <v>1509</v>
      </c>
      <c r="K1013">
        <f t="shared" ref="K1013:AE1013" si="250">IF(ISNUMBER(K1011),IF(ISNUMBER(K1012),K1012-K1011,999999),0)</f>
        <v>0</v>
      </c>
      <c r="L1013">
        <f t="shared" si="250"/>
        <v>0</v>
      </c>
      <c r="M1013">
        <f t="shared" si="250"/>
        <v>0</v>
      </c>
      <c r="N1013">
        <f t="shared" si="250"/>
        <v>0</v>
      </c>
      <c r="O1013">
        <f t="shared" si="250"/>
        <v>0</v>
      </c>
      <c r="P1013">
        <f t="shared" si="250"/>
        <v>0</v>
      </c>
      <c r="Q1013">
        <f t="shared" si="250"/>
        <v>0</v>
      </c>
      <c r="R1013">
        <f t="shared" si="250"/>
        <v>0</v>
      </c>
      <c r="S1013">
        <f t="shared" si="250"/>
        <v>0</v>
      </c>
      <c r="T1013">
        <f t="shared" si="250"/>
        <v>0</v>
      </c>
      <c r="U1013">
        <f t="shared" si="250"/>
        <v>0</v>
      </c>
      <c r="V1013">
        <f t="shared" si="250"/>
        <v>0</v>
      </c>
      <c r="W1013">
        <f t="shared" si="250"/>
        <v>0</v>
      </c>
      <c r="X1013">
        <f t="shared" si="250"/>
        <v>0</v>
      </c>
      <c r="Y1013">
        <f t="shared" si="250"/>
        <v>0</v>
      </c>
      <c r="Z1013">
        <f t="shared" si="250"/>
        <v>0</v>
      </c>
      <c r="AA1013">
        <f t="shared" si="250"/>
        <v>0</v>
      </c>
      <c r="AB1013">
        <f t="shared" si="250"/>
        <v>0</v>
      </c>
      <c r="AC1013">
        <f t="shared" si="250"/>
        <v>0</v>
      </c>
      <c r="AD1013">
        <f t="shared" si="250"/>
        <v>0</v>
      </c>
      <c r="AE1013">
        <f t="shared" si="250"/>
        <v>0</v>
      </c>
    </row>
    <row r="1015" spans="1:31" x14ac:dyDescent="0.45">
      <c r="A1015" t="s">
        <v>1619</v>
      </c>
      <c r="B1015" t="s">
        <v>1434</v>
      </c>
      <c r="C1015" t="s">
        <v>1390</v>
      </c>
      <c r="D1015">
        <v>2</v>
      </c>
      <c r="E1015" t="s">
        <v>1159</v>
      </c>
      <c r="L1015">
        <v>574.44632947943671</v>
      </c>
      <c r="M1015">
        <v>587.08414872798437</v>
      </c>
      <c r="N1015">
        <v>600</v>
      </c>
      <c r="O1015">
        <v>613.20000000000005</v>
      </c>
      <c r="P1015">
        <v>626.69040000000007</v>
      </c>
      <c r="Q1015">
        <v>640.47758880000004</v>
      </c>
      <c r="R1015">
        <v>654.56809575360001</v>
      </c>
      <c r="S1015">
        <v>668.96859386017923</v>
      </c>
      <c r="T1015">
        <v>683.68590292510316</v>
      </c>
      <c r="U1015">
        <v>698.72699278945549</v>
      </c>
      <c r="V1015">
        <v>714.09898663082356</v>
      </c>
      <c r="W1015">
        <v>729.80916433670166</v>
      </c>
      <c r="X1015">
        <v>745.86496595210906</v>
      </c>
      <c r="Y1015">
        <v>762.27399520305551</v>
      </c>
      <c r="Z1015">
        <v>779.04402309752277</v>
      </c>
      <c r="AA1015">
        <v>796.18299160566824</v>
      </c>
      <c r="AB1015">
        <v>813.69901742099296</v>
      </c>
      <c r="AC1015">
        <v>831.60039580425484</v>
      </c>
      <c r="AD1015">
        <v>849.89560451194848</v>
      </c>
      <c r="AE1015">
        <v>868.59330781121139</v>
      </c>
    </row>
    <row r="1016" spans="1:31" x14ac:dyDescent="0.45">
      <c r="A1016" t="s">
        <v>1619</v>
      </c>
      <c r="B1016" t="s">
        <v>1434</v>
      </c>
      <c r="C1016" t="s">
        <v>1390</v>
      </c>
      <c r="D1016">
        <v>2</v>
      </c>
      <c r="E1016" t="s">
        <v>1160</v>
      </c>
      <c r="K1016" t="str">
        <f>IF(ISBLANK(Mitigation_Industry!K681),"",Mitigation_Industry!K681)</f>
        <v/>
      </c>
      <c r="L1016">
        <f>IF(ISBLANK(Mitigation_Industry!L681),"",Mitigation_Industry!L681)</f>
        <v>574.44632947943671</v>
      </c>
      <c r="M1016">
        <f>IF(ISBLANK(Mitigation_Industry!M681),"",Mitigation_Industry!M681)</f>
        <v>587.08414872798437</v>
      </c>
      <c r="N1016">
        <f>IF(ISBLANK(Mitigation_Industry!N681),"",Mitigation_Industry!N681)</f>
        <v>600</v>
      </c>
      <c r="O1016">
        <f>IF(ISBLANK(Mitigation_Industry!O681),"",Mitigation_Industry!O681)</f>
        <v>613.20000000000005</v>
      </c>
      <c r="P1016">
        <f>IF(ISBLANK(Mitigation_Industry!P681),"",Mitigation_Industry!P681)</f>
        <v>626.69040000000007</v>
      </c>
      <c r="Q1016">
        <f>IF(ISBLANK(Mitigation_Industry!Q681),"",Mitigation_Industry!Q681)</f>
        <v>640.47758880000004</v>
      </c>
      <c r="R1016">
        <f>IF(ISBLANK(Mitigation_Industry!R681),"",Mitigation_Industry!R681)</f>
        <v>654.56809575360001</v>
      </c>
      <c r="S1016">
        <f>IF(ISBLANK(Mitigation_Industry!S681),"",Mitigation_Industry!S681)</f>
        <v>668.96859386017923</v>
      </c>
      <c r="T1016">
        <f>IF(ISBLANK(Mitigation_Industry!T681),"",Mitigation_Industry!T681)</f>
        <v>683.68590292510316</v>
      </c>
      <c r="U1016">
        <f>IF(ISBLANK(Mitigation_Industry!U681),"",Mitigation_Industry!U681)</f>
        <v>698.72699278945549</v>
      </c>
      <c r="V1016">
        <f>IF(ISBLANK(Mitigation_Industry!V681),"",Mitigation_Industry!V681)</f>
        <v>714.09898663082356</v>
      </c>
      <c r="W1016">
        <f>IF(ISBLANK(Mitigation_Industry!W681),"",Mitigation_Industry!W681)</f>
        <v>729.80916433670166</v>
      </c>
      <c r="X1016">
        <f>IF(ISBLANK(Mitigation_Industry!X681),"",Mitigation_Industry!X681)</f>
        <v>745.86496595210906</v>
      </c>
      <c r="Y1016">
        <f>IF(ISBLANK(Mitigation_Industry!Y681),"",Mitigation_Industry!Y681)</f>
        <v>762.27399520305551</v>
      </c>
      <c r="Z1016">
        <f>IF(ISBLANK(Mitigation_Industry!Z681),"",Mitigation_Industry!Z681)</f>
        <v>779.04402309752277</v>
      </c>
      <c r="AA1016">
        <f>IF(ISBLANK(Mitigation_Industry!AA681),"",Mitigation_Industry!AA681)</f>
        <v>796.18299160566824</v>
      </c>
      <c r="AB1016">
        <f>IF(ISBLANK(Mitigation_Industry!AB681),"",Mitigation_Industry!AB681)</f>
        <v>813.69901742099296</v>
      </c>
      <c r="AC1016">
        <f>IF(ISBLANK(Mitigation_Industry!AC681),"",Mitigation_Industry!AC681)</f>
        <v>831.60039580425484</v>
      </c>
      <c r="AD1016">
        <f>IF(ISBLANK(Mitigation_Industry!AD681),"",Mitigation_Industry!AD681)</f>
        <v>849.89560451194848</v>
      </c>
      <c r="AE1016">
        <f>IF(ISBLANK(Mitigation_Industry!AE681),"",Mitigation_Industry!AE681)</f>
        <v>868.59330781121139</v>
      </c>
    </row>
    <row r="1017" spans="1:31" x14ac:dyDescent="0.45">
      <c r="A1017" t="s">
        <v>1619</v>
      </c>
      <c r="B1017" t="s">
        <v>1434</v>
      </c>
      <c r="C1017" t="s">
        <v>1390</v>
      </c>
      <c r="D1017">
        <v>2</v>
      </c>
      <c r="E1017" t="s">
        <v>1161</v>
      </c>
      <c r="F1017">
        <f>MAX(MAX(L1017:AE1017),-MIN(L1017:AE1017))</f>
        <v>0</v>
      </c>
      <c r="I1017" t="s">
        <v>1509</v>
      </c>
      <c r="K1017">
        <f t="shared" ref="K1017:AE1017" si="251">IF(ISNUMBER(K1015),IF(ISNUMBER(K1016),K1016-K1015,999999),0)</f>
        <v>0</v>
      </c>
      <c r="L1017">
        <f t="shared" si="251"/>
        <v>0</v>
      </c>
      <c r="M1017">
        <f t="shared" si="251"/>
        <v>0</v>
      </c>
      <c r="N1017">
        <f t="shared" si="251"/>
        <v>0</v>
      </c>
      <c r="O1017">
        <f t="shared" si="251"/>
        <v>0</v>
      </c>
      <c r="P1017">
        <f t="shared" si="251"/>
        <v>0</v>
      </c>
      <c r="Q1017">
        <f t="shared" si="251"/>
        <v>0</v>
      </c>
      <c r="R1017">
        <f t="shared" si="251"/>
        <v>0</v>
      </c>
      <c r="S1017">
        <f t="shared" si="251"/>
        <v>0</v>
      </c>
      <c r="T1017">
        <f t="shared" si="251"/>
        <v>0</v>
      </c>
      <c r="U1017">
        <f t="shared" si="251"/>
        <v>0</v>
      </c>
      <c r="V1017">
        <f t="shared" si="251"/>
        <v>0</v>
      </c>
      <c r="W1017">
        <f t="shared" si="251"/>
        <v>0</v>
      </c>
      <c r="X1017">
        <f t="shared" si="251"/>
        <v>0</v>
      </c>
      <c r="Y1017">
        <f t="shared" si="251"/>
        <v>0</v>
      </c>
      <c r="Z1017">
        <f t="shared" si="251"/>
        <v>0</v>
      </c>
      <c r="AA1017">
        <f t="shared" si="251"/>
        <v>0</v>
      </c>
      <c r="AB1017">
        <f t="shared" si="251"/>
        <v>0</v>
      </c>
      <c r="AC1017">
        <f t="shared" si="251"/>
        <v>0</v>
      </c>
      <c r="AD1017">
        <f t="shared" si="251"/>
        <v>0</v>
      </c>
      <c r="AE1017">
        <f t="shared" si="251"/>
        <v>0</v>
      </c>
    </row>
    <row r="1019" spans="1:31" x14ac:dyDescent="0.45">
      <c r="A1019" t="s">
        <v>1620</v>
      </c>
      <c r="B1019" t="s">
        <v>1434</v>
      </c>
      <c r="C1019" t="s">
        <v>1397</v>
      </c>
      <c r="D1019">
        <v>2</v>
      </c>
      <c r="E1019" t="s">
        <v>1159</v>
      </c>
      <c r="L1019">
        <v>269.53572471417982</v>
      </c>
      <c r="M1019">
        <v>284.36018957345971</v>
      </c>
      <c r="N1019">
        <v>300</v>
      </c>
      <c r="O1019">
        <v>316.5</v>
      </c>
      <c r="P1019">
        <v>333.90749999999997</v>
      </c>
      <c r="Q1019">
        <v>352.27241249999997</v>
      </c>
      <c r="R1019">
        <v>371.64739518749997</v>
      </c>
      <c r="S1019">
        <v>392.08800192281245</v>
      </c>
      <c r="T1019">
        <v>413.65284202856714</v>
      </c>
      <c r="U1019">
        <v>436.40374834013829</v>
      </c>
      <c r="V1019">
        <v>460.40595449884586</v>
      </c>
      <c r="W1019">
        <v>485.72828199628236</v>
      </c>
      <c r="X1019">
        <v>512.44333750607791</v>
      </c>
      <c r="Y1019">
        <v>540.62772106891214</v>
      </c>
      <c r="Z1019">
        <v>570.36224572770232</v>
      </c>
      <c r="AA1019">
        <v>601.73216924272594</v>
      </c>
      <c r="AB1019">
        <v>634.82743855107583</v>
      </c>
      <c r="AC1019">
        <v>669.74294767138497</v>
      </c>
      <c r="AD1019">
        <v>706.57880979331105</v>
      </c>
      <c r="AE1019">
        <v>745.44064433194308</v>
      </c>
    </row>
    <row r="1020" spans="1:31" x14ac:dyDescent="0.45">
      <c r="A1020" t="s">
        <v>1620</v>
      </c>
      <c r="B1020" t="s">
        <v>1434</v>
      </c>
      <c r="C1020" t="s">
        <v>1397</v>
      </c>
      <c r="D1020">
        <v>2</v>
      </c>
      <c r="E1020" t="s">
        <v>1160</v>
      </c>
      <c r="K1020" t="str">
        <f>IF(ISBLANK(Mitigation_Industry!K682),"",Mitigation_Industry!K682)</f>
        <v/>
      </c>
      <c r="L1020">
        <f>IF(ISBLANK(Mitigation_Industry!L682),"",Mitigation_Industry!L682)</f>
        <v>269.53572471417982</v>
      </c>
      <c r="M1020">
        <f>IF(ISBLANK(Mitigation_Industry!M682),"",Mitigation_Industry!M682)</f>
        <v>284.36018957345971</v>
      </c>
      <c r="N1020">
        <f>IF(ISBLANK(Mitigation_Industry!N682),"",Mitigation_Industry!N682)</f>
        <v>300</v>
      </c>
      <c r="O1020">
        <f>IF(ISBLANK(Mitigation_Industry!O682),"",Mitigation_Industry!O682)</f>
        <v>316.5</v>
      </c>
      <c r="P1020">
        <f>IF(ISBLANK(Mitigation_Industry!P682),"",Mitigation_Industry!P682)</f>
        <v>333.90749999999997</v>
      </c>
      <c r="Q1020">
        <f>IF(ISBLANK(Mitigation_Industry!Q682),"",Mitigation_Industry!Q682)</f>
        <v>352.27241249999997</v>
      </c>
      <c r="R1020">
        <f>IF(ISBLANK(Mitigation_Industry!R682),"",Mitigation_Industry!R682)</f>
        <v>371.64739518749997</v>
      </c>
      <c r="S1020">
        <f>IF(ISBLANK(Mitigation_Industry!S682),"",Mitigation_Industry!S682)</f>
        <v>392.08800192281245</v>
      </c>
      <c r="T1020">
        <f>IF(ISBLANK(Mitigation_Industry!T682),"",Mitigation_Industry!T682)</f>
        <v>413.65284202856714</v>
      </c>
      <c r="U1020">
        <f>IF(ISBLANK(Mitigation_Industry!U682),"",Mitigation_Industry!U682)</f>
        <v>436.40374834013829</v>
      </c>
      <c r="V1020">
        <f>IF(ISBLANK(Mitigation_Industry!V682),"",Mitigation_Industry!V682)</f>
        <v>460.40595449884586</v>
      </c>
      <c r="W1020">
        <f>IF(ISBLANK(Mitigation_Industry!W682),"",Mitigation_Industry!W682)</f>
        <v>485.72828199628236</v>
      </c>
      <c r="X1020">
        <f>IF(ISBLANK(Mitigation_Industry!X682),"",Mitigation_Industry!X682)</f>
        <v>512.44333750607791</v>
      </c>
      <c r="Y1020">
        <f>IF(ISBLANK(Mitigation_Industry!Y682),"",Mitigation_Industry!Y682)</f>
        <v>540.62772106891214</v>
      </c>
      <c r="Z1020">
        <f>IF(ISBLANK(Mitigation_Industry!Z682),"",Mitigation_Industry!Z682)</f>
        <v>570.36224572770232</v>
      </c>
      <c r="AA1020">
        <f>IF(ISBLANK(Mitigation_Industry!AA682),"",Mitigation_Industry!AA682)</f>
        <v>601.73216924272594</v>
      </c>
      <c r="AB1020">
        <f>IF(ISBLANK(Mitigation_Industry!AB682),"",Mitigation_Industry!AB682)</f>
        <v>634.82743855107583</v>
      </c>
      <c r="AC1020">
        <f>IF(ISBLANK(Mitigation_Industry!AC682),"",Mitigation_Industry!AC682)</f>
        <v>669.74294767138497</v>
      </c>
      <c r="AD1020">
        <f>IF(ISBLANK(Mitigation_Industry!AD682),"",Mitigation_Industry!AD682)</f>
        <v>706.57880979331105</v>
      </c>
      <c r="AE1020">
        <f>IF(ISBLANK(Mitigation_Industry!AE682),"",Mitigation_Industry!AE682)</f>
        <v>745.44064433194308</v>
      </c>
    </row>
    <row r="1021" spans="1:31" x14ac:dyDescent="0.45">
      <c r="A1021" t="s">
        <v>1620</v>
      </c>
      <c r="B1021" t="s">
        <v>1434</v>
      </c>
      <c r="C1021" t="s">
        <v>1397</v>
      </c>
      <c r="D1021">
        <v>2</v>
      </c>
      <c r="E1021" t="s">
        <v>1161</v>
      </c>
      <c r="F1021">
        <f>MAX(MAX(L1021:AE1021),-MIN(L1021:AE1021))</f>
        <v>0</v>
      </c>
      <c r="I1021" t="s">
        <v>1509</v>
      </c>
      <c r="K1021">
        <f t="shared" ref="K1021:AE1021" si="252">IF(ISNUMBER(K1019),IF(ISNUMBER(K1020),K1020-K1019,999999),0)</f>
        <v>0</v>
      </c>
      <c r="L1021">
        <f t="shared" si="252"/>
        <v>0</v>
      </c>
      <c r="M1021">
        <f t="shared" si="252"/>
        <v>0</v>
      </c>
      <c r="N1021">
        <f t="shared" si="252"/>
        <v>0</v>
      </c>
      <c r="O1021">
        <f t="shared" si="252"/>
        <v>0</v>
      </c>
      <c r="P1021">
        <f t="shared" si="252"/>
        <v>0</v>
      </c>
      <c r="Q1021">
        <f t="shared" si="252"/>
        <v>0</v>
      </c>
      <c r="R1021">
        <f t="shared" si="252"/>
        <v>0</v>
      </c>
      <c r="S1021">
        <f t="shared" si="252"/>
        <v>0</v>
      </c>
      <c r="T1021">
        <f t="shared" si="252"/>
        <v>0</v>
      </c>
      <c r="U1021">
        <f t="shared" si="252"/>
        <v>0</v>
      </c>
      <c r="V1021">
        <f t="shared" si="252"/>
        <v>0</v>
      </c>
      <c r="W1021">
        <f t="shared" si="252"/>
        <v>0</v>
      </c>
      <c r="X1021">
        <f t="shared" si="252"/>
        <v>0</v>
      </c>
      <c r="Y1021">
        <f t="shared" si="252"/>
        <v>0</v>
      </c>
      <c r="Z1021">
        <f t="shared" si="252"/>
        <v>0</v>
      </c>
      <c r="AA1021">
        <f t="shared" si="252"/>
        <v>0</v>
      </c>
      <c r="AB1021">
        <f t="shared" si="252"/>
        <v>0</v>
      </c>
      <c r="AC1021">
        <f t="shared" si="252"/>
        <v>0</v>
      </c>
      <c r="AD1021">
        <f t="shared" si="252"/>
        <v>0</v>
      </c>
      <c r="AE1021">
        <f t="shared" si="252"/>
        <v>0</v>
      </c>
    </row>
    <row r="1023" spans="1:31" x14ac:dyDescent="0.45">
      <c r="A1023" t="s">
        <v>1621</v>
      </c>
      <c r="B1023" t="s">
        <v>1447</v>
      </c>
      <c r="C1023" t="s">
        <v>1450</v>
      </c>
      <c r="D1023">
        <v>2</v>
      </c>
      <c r="E1023" t="s">
        <v>1159</v>
      </c>
      <c r="L1023">
        <v>750</v>
      </c>
      <c r="M1023">
        <v>750</v>
      </c>
      <c r="N1023">
        <v>750</v>
      </c>
      <c r="O1023">
        <v>750</v>
      </c>
      <c r="P1023">
        <v>750</v>
      </c>
      <c r="Q1023">
        <v>750</v>
      </c>
      <c r="R1023">
        <v>750</v>
      </c>
      <c r="S1023">
        <v>750</v>
      </c>
      <c r="T1023">
        <v>750</v>
      </c>
      <c r="U1023">
        <v>750</v>
      </c>
      <c r="V1023">
        <v>750</v>
      </c>
      <c r="W1023">
        <v>750</v>
      </c>
      <c r="X1023">
        <v>750</v>
      </c>
      <c r="Y1023">
        <v>750</v>
      </c>
      <c r="Z1023">
        <v>750</v>
      </c>
      <c r="AA1023">
        <v>750</v>
      </c>
      <c r="AB1023">
        <v>750</v>
      </c>
      <c r="AC1023">
        <v>750</v>
      </c>
      <c r="AD1023">
        <v>750</v>
      </c>
      <c r="AE1023">
        <v>750</v>
      </c>
    </row>
    <row r="1024" spans="1:31" x14ac:dyDescent="0.45">
      <c r="A1024" t="s">
        <v>1621</v>
      </c>
      <c r="B1024" t="s">
        <v>1447</v>
      </c>
      <c r="C1024" t="s">
        <v>1450</v>
      </c>
      <c r="D1024">
        <v>2</v>
      </c>
      <c r="E1024" t="s">
        <v>1160</v>
      </c>
      <c r="K1024" t="str">
        <f>IF(ISBLANK(Mitigation_Industry!K687),"",Mitigation_Industry!K687)</f>
        <v/>
      </c>
      <c r="L1024">
        <f>IF(ISBLANK(Mitigation_Industry!L687),"",Mitigation_Industry!L687)</f>
        <v>750</v>
      </c>
      <c r="M1024">
        <f>IF(ISBLANK(Mitigation_Industry!M687),"",Mitigation_Industry!M687)</f>
        <v>750</v>
      </c>
      <c r="N1024">
        <f>IF(ISBLANK(Mitigation_Industry!N687),"",Mitigation_Industry!N687)</f>
        <v>750</v>
      </c>
      <c r="O1024">
        <f>IF(ISBLANK(Mitigation_Industry!O687),"",Mitigation_Industry!O687)</f>
        <v>750</v>
      </c>
      <c r="P1024">
        <f>IF(ISBLANK(Mitigation_Industry!P687),"",Mitigation_Industry!P687)</f>
        <v>750</v>
      </c>
      <c r="Q1024">
        <f>IF(ISBLANK(Mitigation_Industry!Q687),"",Mitigation_Industry!Q687)</f>
        <v>750</v>
      </c>
      <c r="R1024">
        <f>IF(ISBLANK(Mitigation_Industry!R687),"",Mitigation_Industry!R687)</f>
        <v>750</v>
      </c>
      <c r="S1024">
        <f>IF(ISBLANK(Mitigation_Industry!S687),"",Mitigation_Industry!S687)</f>
        <v>750</v>
      </c>
      <c r="T1024">
        <f>IF(ISBLANK(Mitigation_Industry!T687),"",Mitigation_Industry!T687)</f>
        <v>750</v>
      </c>
      <c r="U1024">
        <f>IF(ISBLANK(Mitigation_Industry!U687),"",Mitigation_Industry!U687)</f>
        <v>750</v>
      </c>
      <c r="V1024">
        <f>IF(ISBLANK(Mitigation_Industry!V687),"",Mitigation_Industry!V687)</f>
        <v>750</v>
      </c>
      <c r="W1024">
        <f>IF(ISBLANK(Mitigation_Industry!W687),"",Mitigation_Industry!W687)</f>
        <v>750</v>
      </c>
      <c r="X1024">
        <f>IF(ISBLANK(Mitigation_Industry!X687),"",Mitigation_Industry!X687)</f>
        <v>750</v>
      </c>
      <c r="Y1024">
        <f>IF(ISBLANK(Mitigation_Industry!Y687),"",Mitigation_Industry!Y687)</f>
        <v>750</v>
      </c>
      <c r="Z1024">
        <f>IF(ISBLANK(Mitigation_Industry!Z687),"",Mitigation_Industry!Z687)</f>
        <v>750</v>
      </c>
      <c r="AA1024">
        <f>IF(ISBLANK(Mitigation_Industry!AA687),"",Mitigation_Industry!AA687)</f>
        <v>750</v>
      </c>
      <c r="AB1024">
        <f>IF(ISBLANK(Mitigation_Industry!AB687),"",Mitigation_Industry!AB687)</f>
        <v>750</v>
      </c>
      <c r="AC1024">
        <f>IF(ISBLANK(Mitigation_Industry!AC687),"",Mitigation_Industry!AC687)</f>
        <v>750</v>
      </c>
      <c r="AD1024">
        <f>IF(ISBLANK(Mitigation_Industry!AD687),"",Mitigation_Industry!AD687)</f>
        <v>750</v>
      </c>
      <c r="AE1024">
        <f>IF(ISBLANK(Mitigation_Industry!AE687),"",Mitigation_Industry!AE687)</f>
        <v>750</v>
      </c>
    </row>
    <row r="1025" spans="1:31" x14ac:dyDescent="0.45">
      <c r="A1025" t="s">
        <v>1621</v>
      </c>
      <c r="B1025" t="s">
        <v>1447</v>
      </c>
      <c r="C1025" t="s">
        <v>1450</v>
      </c>
      <c r="D1025">
        <v>2</v>
      </c>
      <c r="E1025" t="s">
        <v>1161</v>
      </c>
      <c r="F1025">
        <f>MAX(MAX(L1025:AE1025),-MIN(L1025:AE1025))</f>
        <v>0</v>
      </c>
      <c r="I1025" t="s">
        <v>1509</v>
      </c>
      <c r="K1025">
        <f t="shared" ref="K1025:AE1025" si="253">IF(ISNUMBER(K1023),IF(ISNUMBER(K1024),K1024-K1023,999999),0)</f>
        <v>0</v>
      </c>
      <c r="L1025">
        <f t="shared" si="253"/>
        <v>0</v>
      </c>
      <c r="M1025">
        <f t="shared" si="253"/>
        <v>0</v>
      </c>
      <c r="N1025">
        <f t="shared" si="253"/>
        <v>0</v>
      </c>
      <c r="O1025">
        <f t="shared" si="253"/>
        <v>0</v>
      </c>
      <c r="P1025">
        <f t="shared" si="253"/>
        <v>0</v>
      </c>
      <c r="Q1025">
        <f t="shared" si="253"/>
        <v>0</v>
      </c>
      <c r="R1025">
        <f t="shared" si="253"/>
        <v>0</v>
      </c>
      <c r="S1025">
        <f t="shared" si="253"/>
        <v>0</v>
      </c>
      <c r="T1025">
        <f t="shared" si="253"/>
        <v>0</v>
      </c>
      <c r="U1025">
        <f t="shared" si="253"/>
        <v>0</v>
      </c>
      <c r="V1025">
        <f t="shared" si="253"/>
        <v>0</v>
      </c>
      <c r="W1025">
        <f t="shared" si="253"/>
        <v>0</v>
      </c>
      <c r="X1025">
        <f t="shared" si="253"/>
        <v>0</v>
      </c>
      <c r="Y1025">
        <f t="shared" si="253"/>
        <v>0</v>
      </c>
      <c r="Z1025">
        <f t="shared" si="253"/>
        <v>0</v>
      </c>
      <c r="AA1025">
        <f t="shared" si="253"/>
        <v>0</v>
      </c>
      <c r="AB1025">
        <f t="shared" si="253"/>
        <v>0</v>
      </c>
      <c r="AC1025">
        <f t="shared" si="253"/>
        <v>0</v>
      </c>
      <c r="AD1025">
        <f t="shared" si="253"/>
        <v>0</v>
      </c>
      <c r="AE1025">
        <f t="shared" si="253"/>
        <v>0</v>
      </c>
    </row>
    <row r="1027" spans="1:31" x14ac:dyDescent="0.45">
      <c r="A1027" t="s">
        <v>1622</v>
      </c>
      <c r="B1027" t="s">
        <v>1447</v>
      </c>
      <c r="C1027" t="s">
        <v>1453</v>
      </c>
      <c r="D1027">
        <v>2</v>
      </c>
      <c r="E1027" t="s">
        <v>1159</v>
      </c>
      <c r="L1027">
        <v>680</v>
      </c>
      <c r="M1027">
        <v>680</v>
      </c>
      <c r="N1027">
        <v>680</v>
      </c>
      <c r="O1027">
        <v>680</v>
      </c>
      <c r="P1027">
        <v>680</v>
      </c>
      <c r="Q1027">
        <v>680</v>
      </c>
      <c r="R1027">
        <v>680</v>
      </c>
      <c r="S1027">
        <v>680</v>
      </c>
      <c r="T1027">
        <v>680</v>
      </c>
      <c r="U1027">
        <v>680</v>
      </c>
      <c r="V1027">
        <v>680</v>
      </c>
      <c r="W1027">
        <v>680</v>
      </c>
      <c r="X1027">
        <v>680</v>
      </c>
      <c r="Y1027">
        <v>680</v>
      </c>
      <c r="Z1027">
        <v>680</v>
      </c>
      <c r="AA1027">
        <v>680</v>
      </c>
      <c r="AB1027">
        <v>680</v>
      </c>
      <c r="AC1027">
        <v>680</v>
      </c>
      <c r="AD1027">
        <v>680</v>
      </c>
      <c r="AE1027">
        <v>680</v>
      </c>
    </row>
    <row r="1028" spans="1:31" x14ac:dyDescent="0.45">
      <c r="A1028" t="s">
        <v>1622</v>
      </c>
      <c r="B1028" t="s">
        <v>1447</v>
      </c>
      <c r="C1028" t="s">
        <v>1453</v>
      </c>
      <c r="D1028">
        <v>2</v>
      </c>
      <c r="E1028" t="s">
        <v>1160</v>
      </c>
      <c r="K1028" t="str">
        <f>IF(ISBLANK(Mitigation_Industry!K688),"",Mitigation_Industry!K688)</f>
        <v/>
      </c>
      <c r="L1028">
        <f>IF(ISBLANK(Mitigation_Industry!L688),"",Mitigation_Industry!L688)</f>
        <v>680</v>
      </c>
      <c r="M1028">
        <f>IF(ISBLANK(Mitigation_Industry!M688),"",Mitigation_Industry!M688)</f>
        <v>680</v>
      </c>
      <c r="N1028">
        <f>IF(ISBLANK(Mitigation_Industry!N688),"",Mitigation_Industry!N688)</f>
        <v>680</v>
      </c>
      <c r="O1028">
        <f>IF(ISBLANK(Mitigation_Industry!O688),"",Mitigation_Industry!O688)</f>
        <v>680</v>
      </c>
      <c r="P1028">
        <f>IF(ISBLANK(Mitigation_Industry!P688),"",Mitigation_Industry!P688)</f>
        <v>680</v>
      </c>
      <c r="Q1028">
        <f>IF(ISBLANK(Mitigation_Industry!Q688),"",Mitigation_Industry!Q688)</f>
        <v>680</v>
      </c>
      <c r="R1028">
        <f>IF(ISBLANK(Mitigation_Industry!R688),"",Mitigation_Industry!R688)</f>
        <v>680</v>
      </c>
      <c r="S1028">
        <f>IF(ISBLANK(Mitigation_Industry!S688),"",Mitigation_Industry!S688)</f>
        <v>680</v>
      </c>
      <c r="T1028">
        <f>IF(ISBLANK(Mitigation_Industry!T688),"",Mitigation_Industry!T688)</f>
        <v>680</v>
      </c>
      <c r="U1028">
        <f>IF(ISBLANK(Mitigation_Industry!U688),"",Mitigation_Industry!U688)</f>
        <v>680</v>
      </c>
      <c r="V1028">
        <f>IF(ISBLANK(Mitigation_Industry!V688),"",Mitigation_Industry!V688)</f>
        <v>680</v>
      </c>
      <c r="W1028">
        <f>IF(ISBLANK(Mitigation_Industry!W688),"",Mitigation_Industry!W688)</f>
        <v>680</v>
      </c>
      <c r="X1028">
        <f>IF(ISBLANK(Mitigation_Industry!X688),"",Mitigation_Industry!X688)</f>
        <v>680</v>
      </c>
      <c r="Y1028">
        <f>IF(ISBLANK(Mitigation_Industry!Y688),"",Mitigation_Industry!Y688)</f>
        <v>680</v>
      </c>
      <c r="Z1028">
        <f>IF(ISBLANK(Mitigation_Industry!Z688),"",Mitigation_Industry!Z688)</f>
        <v>680</v>
      </c>
      <c r="AA1028">
        <f>IF(ISBLANK(Mitigation_Industry!AA688),"",Mitigation_Industry!AA688)</f>
        <v>680</v>
      </c>
      <c r="AB1028">
        <f>IF(ISBLANK(Mitigation_Industry!AB688),"",Mitigation_Industry!AB688)</f>
        <v>680</v>
      </c>
      <c r="AC1028">
        <f>IF(ISBLANK(Mitigation_Industry!AC688),"",Mitigation_Industry!AC688)</f>
        <v>680</v>
      </c>
      <c r="AD1028">
        <f>IF(ISBLANK(Mitigation_Industry!AD688),"",Mitigation_Industry!AD688)</f>
        <v>680</v>
      </c>
      <c r="AE1028">
        <f>IF(ISBLANK(Mitigation_Industry!AE688),"",Mitigation_Industry!AE688)</f>
        <v>680</v>
      </c>
    </row>
    <row r="1029" spans="1:31" x14ac:dyDescent="0.45">
      <c r="A1029" t="s">
        <v>1622</v>
      </c>
      <c r="B1029" t="s">
        <v>1447</v>
      </c>
      <c r="C1029" t="s">
        <v>1453</v>
      </c>
      <c r="D1029">
        <v>2</v>
      </c>
      <c r="E1029" t="s">
        <v>1161</v>
      </c>
      <c r="F1029">
        <f>MAX(MAX(L1029:AE1029),-MIN(L1029:AE1029))</f>
        <v>0</v>
      </c>
      <c r="I1029" t="s">
        <v>1509</v>
      </c>
      <c r="K1029">
        <f t="shared" ref="K1029:AE1029" si="254">IF(ISNUMBER(K1027),IF(ISNUMBER(K1028),K1028-K1027,999999),0)</f>
        <v>0</v>
      </c>
      <c r="L1029">
        <f t="shared" si="254"/>
        <v>0</v>
      </c>
      <c r="M1029">
        <f t="shared" si="254"/>
        <v>0</v>
      </c>
      <c r="N1029">
        <f t="shared" si="254"/>
        <v>0</v>
      </c>
      <c r="O1029">
        <f t="shared" si="254"/>
        <v>0</v>
      </c>
      <c r="P1029">
        <f t="shared" si="254"/>
        <v>0</v>
      </c>
      <c r="Q1029">
        <f t="shared" si="254"/>
        <v>0</v>
      </c>
      <c r="R1029">
        <f t="shared" si="254"/>
        <v>0</v>
      </c>
      <c r="S1029">
        <f t="shared" si="254"/>
        <v>0</v>
      </c>
      <c r="T1029">
        <f t="shared" si="254"/>
        <v>0</v>
      </c>
      <c r="U1029">
        <f t="shared" si="254"/>
        <v>0</v>
      </c>
      <c r="V1029">
        <f t="shared" si="254"/>
        <v>0</v>
      </c>
      <c r="W1029">
        <f t="shared" si="254"/>
        <v>0</v>
      </c>
      <c r="X1029">
        <f t="shared" si="254"/>
        <v>0</v>
      </c>
      <c r="Y1029">
        <f t="shared" si="254"/>
        <v>0</v>
      </c>
      <c r="Z1029">
        <f t="shared" si="254"/>
        <v>0</v>
      </c>
      <c r="AA1029">
        <f t="shared" si="254"/>
        <v>0</v>
      </c>
      <c r="AB1029">
        <f t="shared" si="254"/>
        <v>0</v>
      </c>
      <c r="AC1029">
        <f t="shared" si="254"/>
        <v>0</v>
      </c>
      <c r="AD1029">
        <f t="shared" si="254"/>
        <v>0</v>
      </c>
      <c r="AE1029">
        <f t="shared" si="254"/>
        <v>0</v>
      </c>
    </row>
    <row r="1031" spans="1:31" x14ac:dyDescent="0.45">
      <c r="A1031" t="s">
        <v>1623</v>
      </c>
      <c r="B1031" t="s">
        <v>1447</v>
      </c>
      <c r="C1031" t="s">
        <v>1456</v>
      </c>
      <c r="D1031">
        <v>2</v>
      </c>
      <c r="E1031" t="s">
        <v>1159</v>
      </c>
      <c r="L1031">
        <v>620</v>
      </c>
      <c r="M1031">
        <v>620</v>
      </c>
      <c r="N1031">
        <v>620</v>
      </c>
      <c r="O1031">
        <v>620</v>
      </c>
      <c r="P1031">
        <v>620</v>
      </c>
      <c r="Q1031">
        <v>620</v>
      </c>
      <c r="R1031">
        <v>620</v>
      </c>
      <c r="S1031">
        <v>620</v>
      </c>
      <c r="T1031">
        <v>620</v>
      </c>
      <c r="U1031">
        <v>620</v>
      </c>
      <c r="V1031">
        <v>620</v>
      </c>
      <c r="W1031">
        <v>620</v>
      </c>
      <c r="X1031">
        <v>620</v>
      </c>
      <c r="Y1031">
        <v>620</v>
      </c>
      <c r="Z1031">
        <v>620</v>
      </c>
      <c r="AA1031">
        <v>620</v>
      </c>
      <c r="AB1031">
        <v>620</v>
      </c>
      <c r="AC1031">
        <v>620</v>
      </c>
      <c r="AD1031">
        <v>620</v>
      </c>
      <c r="AE1031">
        <v>620</v>
      </c>
    </row>
    <row r="1032" spans="1:31" x14ac:dyDescent="0.45">
      <c r="A1032" t="s">
        <v>1623</v>
      </c>
      <c r="B1032" t="s">
        <v>1447</v>
      </c>
      <c r="C1032" t="s">
        <v>1456</v>
      </c>
      <c r="D1032">
        <v>2</v>
      </c>
      <c r="E1032" t="s">
        <v>1160</v>
      </c>
      <c r="K1032" t="str">
        <f>IF(ISBLANK(Mitigation_Industry!K689),"",Mitigation_Industry!K689)</f>
        <v/>
      </c>
      <c r="L1032">
        <f>IF(ISBLANK(Mitigation_Industry!L689),"",Mitigation_Industry!L689)</f>
        <v>620</v>
      </c>
      <c r="M1032">
        <f>IF(ISBLANK(Mitigation_Industry!M689),"",Mitigation_Industry!M689)</f>
        <v>620</v>
      </c>
      <c r="N1032">
        <f>IF(ISBLANK(Mitigation_Industry!N689),"",Mitigation_Industry!N689)</f>
        <v>620</v>
      </c>
      <c r="O1032">
        <f>IF(ISBLANK(Mitigation_Industry!O689),"",Mitigation_Industry!O689)</f>
        <v>620</v>
      </c>
      <c r="P1032">
        <f>IF(ISBLANK(Mitigation_Industry!P689),"",Mitigation_Industry!P689)</f>
        <v>620</v>
      </c>
      <c r="Q1032">
        <f>IF(ISBLANK(Mitigation_Industry!Q689),"",Mitigation_Industry!Q689)</f>
        <v>620</v>
      </c>
      <c r="R1032">
        <f>IF(ISBLANK(Mitigation_Industry!R689),"",Mitigation_Industry!R689)</f>
        <v>620</v>
      </c>
      <c r="S1032">
        <f>IF(ISBLANK(Mitigation_Industry!S689),"",Mitigation_Industry!S689)</f>
        <v>620</v>
      </c>
      <c r="T1032">
        <f>IF(ISBLANK(Mitigation_Industry!T689),"",Mitigation_Industry!T689)</f>
        <v>620</v>
      </c>
      <c r="U1032">
        <f>IF(ISBLANK(Mitigation_Industry!U689),"",Mitigation_Industry!U689)</f>
        <v>620</v>
      </c>
      <c r="V1032">
        <f>IF(ISBLANK(Mitigation_Industry!V689),"",Mitigation_Industry!V689)</f>
        <v>620</v>
      </c>
      <c r="W1032">
        <f>IF(ISBLANK(Mitigation_Industry!W689),"",Mitigation_Industry!W689)</f>
        <v>620</v>
      </c>
      <c r="X1032">
        <f>IF(ISBLANK(Mitigation_Industry!X689),"",Mitigation_Industry!X689)</f>
        <v>620</v>
      </c>
      <c r="Y1032">
        <f>IF(ISBLANK(Mitigation_Industry!Y689),"",Mitigation_Industry!Y689)</f>
        <v>620</v>
      </c>
      <c r="Z1032">
        <f>IF(ISBLANK(Mitigation_Industry!Z689),"",Mitigation_Industry!Z689)</f>
        <v>620</v>
      </c>
      <c r="AA1032">
        <f>IF(ISBLANK(Mitigation_Industry!AA689),"",Mitigation_Industry!AA689)</f>
        <v>620</v>
      </c>
      <c r="AB1032">
        <f>IF(ISBLANK(Mitigation_Industry!AB689),"",Mitigation_Industry!AB689)</f>
        <v>620</v>
      </c>
      <c r="AC1032">
        <f>IF(ISBLANK(Mitigation_Industry!AC689),"",Mitigation_Industry!AC689)</f>
        <v>620</v>
      </c>
      <c r="AD1032">
        <f>IF(ISBLANK(Mitigation_Industry!AD689),"",Mitigation_Industry!AD689)</f>
        <v>620</v>
      </c>
      <c r="AE1032">
        <f>IF(ISBLANK(Mitigation_Industry!AE689),"",Mitigation_Industry!AE689)</f>
        <v>620</v>
      </c>
    </row>
    <row r="1033" spans="1:31" x14ac:dyDescent="0.45">
      <c r="A1033" t="s">
        <v>1623</v>
      </c>
      <c r="B1033" t="s">
        <v>1447</v>
      </c>
      <c r="C1033" t="s">
        <v>1456</v>
      </c>
      <c r="D1033">
        <v>2</v>
      </c>
      <c r="E1033" t="s">
        <v>1161</v>
      </c>
      <c r="F1033">
        <f>MAX(MAX(L1033:AE1033),-MIN(L1033:AE1033))</f>
        <v>0</v>
      </c>
      <c r="I1033" t="s">
        <v>1509</v>
      </c>
      <c r="K1033">
        <f t="shared" ref="K1033:AE1033" si="255">IF(ISNUMBER(K1031),IF(ISNUMBER(K1032),K1032-K1031,999999),0)</f>
        <v>0</v>
      </c>
      <c r="L1033">
        <f t="shared" si="255"/>
        <v>0</v>
      </c>
      <c r="M1033">
        <f t="shared" si="255"/>
        <v>0</v>
      </c>
      <c r="N1033">
        <f t="shared" si="255"/>
        <v>0</v>
      </c>
      <c r="O1033">
        <f t="shared" si="255"/>
        <v>0</v>
      </c>
      <c r="P1033">
        <f t="shared" si="255"/>
        <v>0</v>
      </c>
      <c r="Q1033">
        <f t="shared" si="255"/>
        <v>0</v>
      </c>
      <c r="R1033">
        <f t="shared" si="255"/>
        <v>0</v>
      </c>
      <c r="S1033">
        <f t="shared" si="255"/>
        <v>0</v>
      </c>
      <c r="T1033">
        <f t="shared" si="255"/>
        <v>0</v>
      </c>
      <c r="U1033">
        <f t="shared" si="255"/>
        <v>0</v>
      </c>
      <c r="V1033">
        <f t="shared" si="255"/>
        <v>0</v>
      </c>
      <c r="W1033">
        <f t="shared" si="255"/>
        <v>0</v>
      </c>
      <c r="X1033">
        <f t="shared" si="255"/>
        <v>0</v>
      </c>
      <c r="Y1033">
        <f t="shared" si="255"/>
        <v>0</v>
      </c>
      <c r="Z1033">
        <f t="shared" si="255"/>
        <v>0</v>
      </c>
      <c r="AA1033">
        <f t="shared" si="255"/>
        <v>0</v>
      </c>
      <c r="AB1033">
        <f t="shared" si="255"/>
        <v>0</v>
      </c>
      <c r="AC1033">
        <f t="shared" si="255"/>
        <v>0</v>
      </c>
      <c r="AD1033">
        <f t="shared" si="255"/>
        <v>0</v>
      </c>
      <c r="AE1033">
        <f t="shared" si="255"/>
        <v>0</v>
      </c>
    </row>
    <row r="1035" spans="1:31" x14ac:dyDescent="0.45">
      <c r="A1035" t="s">
        <v>1624</v>
      </c>
      <c r="B1035" t="s">
        <v>1447</v>
      </c>
      <c r="C1035" t="s">
        <v>1459</v>
      </c>
      <c r="D1035">
        <v>2</v>
      </c>
      <c r="E1035" t="s">
        <v>1159</v>
      </c>
      <c r="L1035">
        <v>110</v>
      </c>
      <c r="M1035">
        <v>110</v>
      </c>
      <c r="N1035">
        <v>110</v>
      </c>
      <c r="O1035">
        <v>110</v>
      </c>
      <c r="P1035">
        <v>110</v>
      </c>
      <c r="Q1035">
        <v>110</v>
      </c>
      <c r="R1035">
        <v>110</v>
      </c>
      <c r="S1035">
        <v>110</v>
      </c>
      <c r="T1035">
        <v>110</v>
      </c>
      <c r="U1035">
        <v>110</v>
      </c>
      <c r="V1035">
        <v>110</v>
      </c>
      <c r="W1035">
        <v>110</v>
      </c>
      <c r="X1035">
        <v>110</v>
      </c>
      <c r="Y1035">
        <v>110</v>
      </c>
      <c r="Z1035">
        <v>110</v>
      </c>
      <c r="AA1035">
        <v>110</v>
      </c>
      <c r="AB1035">
        <v>110</v>
      </c>
      <c r="AC1035">
        <v>110</v>
      </c>
      <c r="AD1035">
        <v>110</v>
      </c>
      <c r="AE1035">
        <v>110</v>
      </c>
    </row>
    <row r="1036" spans="1:31" x14ac:dyDescent="0.45">
      <c r="A1036" t="s">
        <v>1624</v>
      </c>
      <c r="B1036" t="s">
        <v>1447</v>
      </c>
      <c r="C1036" t="s">
        <v>1459</v>
      </c>
      <c r="D1036">
        <v>2</v>
      </c>
      <c r="E1036" t="s">
        <v>1160</v>
      </c>
      <c r="K1036" t="str">
        <f>IF(ISBLANK(Mitigation_Industry!K690),"",Mitigation_Industry!K690)</f>
        <v/>
      </c>
      <c r="L1036">
        <f>IF(ISBLANK(Mitigation_Industry!L690),"",Mitigation_Industry!L690)</f>
        <v>110</v>
      </c>
      <c r="M1036">
        <f>IF(ISBLANK(Mitigation_Industry!M690),"",Mitigation_Industry!M690)</f>
        <v>110</v>
      </c>
      <c r="N1036">
        <f>IF(ISBLANK(Mitigation_Industry!N690),"",Mitigation_Industry!N690)</f>
        <v>110</v>
      </c>
      <c r="O1036">
        <f>IF(ISBLANK(Mitigation_Industry!O690),"",Mitigation_Industry!O690)</f>
        <v>110</v>
      </c>
      <c r="P1036">
        <f>IF(ISBLANK(Mitigation_Industry!P690),"",Mitigation_Industry!P690)</f>
        <v>110</v>
      </c>
      <c r="Q1036">
        <f>IF(ISBLANK(Mitigation_Industry!Q690),"",Mitigation_Industry!Q690)</f>
        <v>110</v>
      </c>
      <c r="R1036">
        <f>IF(ISBLANK(Mitigation_Industry!R690),"",Mitigation_Industry!R690)</f>
        <v>110</v>
      </c>
      <c r="S1036">
        <f>IF(ISBLANK(Mitigation_Industry!S690),"",Mitigation_Industry!S690)</f>
        <v>110</v>
      </c>
      <c r="T1036">
        <f>IF(ISBLANK(Mitigation_Industry!T690),"",Mitigation_Industry!T690)</f>
        <v>110</v>
      </c>
      <c r="U1036">
        <f>IF(ISBLANK(Mitigation_Industry!U690),"",Mitigation_Industry!U690)</f>
        <v>110</v>
      </c>
      <c r="V1036">
        <f>IF(ISBLANK(Mitigation_Industry!V690),"",Mitigation_Industry!V690)</f>
        <v>110</v>
      </c>
      <c r="W1036">
        <f>IF(ISBLANK(Mitigation_Industry!W690),"",Mitigation_Industry!W690)</f>
        <v>110</v>
      </c>
      <c r="X1036">
        <f>IF(ISBLANK(Mitigation_Industry!X690),"",Mitigation_Industry!X690)</f>
        <v>110</v>
      </c>
      <c r="Y1036">
        <f>IF(ISBLANK(Mitigation_Industry!Y690),"",Mitigation_Industry!Y690)</f>
        <v>110</v>
      </c>
      <c r="Z1036">
        <f>IF(ISBLANK(Mitigation_Industry!Z690),"",Mitigation_Industry!Z690)</f>
        <v>110</v>
      </c>
      <c r="AA1036">
        <f>IF(ISBLANK(Mitigation_Industry!AA690),"",Mitigation_Industry!AA690)</f>
        <v>110</v>
      </c>
      <c r="AB1036">
        <f>IF(ISBLANK(Mitigation_Industry!AB690),"",Mitigation_Industry!AB690)</f>
        <v>110</v>
      </c>
      <c r="AC1036">
        <f>IF(ISBLANK(Mitigation_Industry!AC690),"",Mitigation_Industry!AC690)</f>
        <v>110</v>
      </c>
      <c r="AD1036">
        <f>IF(ISBLANK(Mitigation_Industry!AD690),"",Mitigation_Industry!AD690)</f>
        <v>110</v>
      </c>
      <c r="AE1036">
        <f>IF(ISBLANK(Mitigation_Industry!AE690),"",Mitigation_Industry!AE690)</f>
        <v>110</v>
      </c>
    </row>
    <row r="1037" spans="1:31" x14ac:dyDescent="0.45">
      <c r="A1037" t="s">
        <v>1624</v>
      </c>
      <c r="B1037" t="s">
        <v>1447</v>
      </c>
      <c r="C1037" t="s">
        <v>1459</v>
      </c>
      <c r="D1037">
        <v>2</v>
      </c>
      <c r="E1037" t="s">
        <v>1161</v>
      </c>
      <c r="F1037">
        <f>MAX(MAX(L1037:AE1037),-MIN(L1037:AE1037))</f>
        <v>0</v>
      </c>
      <c r="I1037" t="s">
        <v>1509</v>
      </c>
      <c r="K1037">
        <f t="shared" ref="K1037:AE1037" si="256">IF(ISNUMBER(K1035),IF(ISNUMBER(K1036),K1036-K1035,999999),0)</f>
        <v>0</v>
      </c>
      <c r="L1037">
        <f t="shared" si="256"/>
        <v>0</v>
      </c>
      <c r="M1037">
        <f t="shared" si="256"/>
        <v>0</v>
      </c>
      <c r="N1037">
        <f t="shared" si="256"/>
        <v>0</v>
      </c>
      <c r="O1037">
        <f t="shared" si="256"/>
        <v>0</v>
      </c>
      <c r="P1037">
        <f t="shared" si="256"/>
        <v>0</v>
      </c>
      <c r="Q1037">
        <f t="shared" si="256"/>
        <v>0</v>
      </c>
      <c r="R1037">
        <f t="shared" si="256"/>
        <v>0</v>
      </c>
      <c r="S1037">
        <f t="shared" si="256"/>
        <v>0</v>
      </c>
      <c r="T1037">
        <f t="shared" si="256"/>
        <v>0</v>
      </c>
      <c r="U1037">
        <f t="shared" si="256"/>
        <v>0</v>
      </c>
      <c r="V1037">
        <f t="shared" si="256"/>
        <v>0</v>
      </c>
      <c r="W1037">
        <f t="shared" si="256"/>
        <v>0</v>
      </c>
      <c r="X1037">
        <f t="shared" si="256"/>
        <v>0</v>
      </c>
      <c r="Y1037">
        <f t="shared" si="256"/>
        <v>0</v>
      </c>
      <c r="Z1037">
        <f t="shared" si="256"/>
        <v>0</v>
      </c>
      <c r="AA1037">
        <f t="shared" si="256"/>
        <v>0</v>
      </c>
      <c r="AB1037">
        <f t="shared" si="256"/>
        <v>0</v>
      </c>
      <c r="AC1037">
        <f t="shared" si="256"/>
        <v>0</v>
      </c>
      <c r="AD1037">
        <f t="shared" si="256"/>
        <v>0</v>
      </c>
      <c r="AE1037">
        <f t="shared" si="256"/>
        <v>0</v>
      </c>
    </row>
    <row r="1039" spans="1:31" x14ac:dyDescent="0.45">
      <c r="A1039" t="s">
        <v>1625</v>
      </c>
      <c r="B1039" t="s">
        <v>1447</v>
      </c>
      <c r="C1039" t="s">
        <v>1462</v>
      </c>
      <c r="D1039">
        <v>2</v>
      </c>
      <c r="E1039" t="s">
        <v>1159</v>
      </c>
      <c r="L1039">
        <v>450</v>
      </c>
      <c r="M1039">
        <v>450</v>
      </c>
      <c r="N1039">
        <v>450</v>
      </c>
      <c r="O1039">
        <v>450</v>
      </c>
      <c r="P1039">
        <v>450</v>
      </c>
      <c r="Q1039">
        <v>450</v>
      </c>
      <c r="R1039">
        <v>450</v>
      </c>
      <c r="S1039">
        <v>450</v>
      </c>
      <c r="T1039">
        <v>450</v>
      </c>
      <c r="U1039">
        <v>450</v>
      </c>
      <c r="V1039">
        <v>450</v>
      </c>
      <c r="W1039">
        <v>450</v>
      </c>
      <c r="X1039">
        <v>450</v>
      </c>
      <c r="Y1039">
        <v>450</v>
      </c>
      <c r="Z1039">
        <v>450</v>
      </c>
      <c r="AA1039">
        <v>450</v>
      </c>
      <c r="AB1039">
        <v>450</v>
      </c>
      <c r="AC1039">
        <v>450</v>
      </c>
      <c r="AD1039">
        <v>450</v>
      </c>
      <c r="AE1039">
        <v>450</v>
      </c>
    </row>
    <row r="1040" spans="1:31" x14ac:dyDescent="0.45">
      <c r="A1040" t="s">
        <v>1625</v>
      </c>
      <c r="B1040" t="s">
        <v>1447</v>
      </c>
      <c r="C1040" t="s">
        <v>1462</v>
      </c>
      <c r="D1040">
        <v>2</v>
      </c>
      <c r="E1040" t="s">
        <v>1160</v>
      </c>
      <c r="K1040" t="str">
        <f>IF(ISBLANK(Mitigation_Industry!K691),"",Mitigation_Industry!K691)</f>
        <v/>
      </c>
      <c r="L1040">
        <f>IF(ISBLANK(Mitigation_Industry!L691),"",Mitigation_Industry!L691)</f>
        <v>450</v>
      </c>
      <c r="M1040">
        <f>IF(ISBLANK(Mitigation_Industry!M691),"",Mitigation_Industry!M691)</f>
        <v>450</v>
      </c>
      <c r="N1040">
        <f>IF(ISBLANK(Mitigation_Industry!N691),"",Mitigation_Industry!N691)</f>
        <v>450</v>
      </c>
      <c r="O1040">
        <f>IF(ISBLANK(Mitigation_Industry!O691),"",Mitigation_Industry!O691)</f>
        <v>450</v>
      </c>
      <c r="P1040">
        <f>IF(ISBLANK(Mitigation_Industry!P691),"",Mitigation_Industry!P691)</f>
        <v>450</v>
      </c>
      <c r="Q1040">
        <f>IF(ISBLANK(Mitigation_Industry!Q691),"",Mitigation_Industry!Q691)</f>
        <v>450</v>
      </c>
      <c r="R1040">
        <f>IF(ISBLANK(Mitigation_Industry!R691),"",Mitigation_Industry!R691)</f>
        <v>450</v>
      </c>
      <c r="S1040">
        <f>IF(ISBLANK(Mitigation_Industry!S691),"",Mitigation_Industry!S691)</f>
        <v>450</v>
      </c>
      <c r="T1040">
        <f>IF(ISBLANK(Mitigation_Industry!T691),"",Mitigation_Industry!T691)</f>
        <v>450</v>
      </c>
      <c r="U1040">
        <f>IF(ISBLANK(Mitigation_Industry!U691),"",Mitigation_Industry!U691)</f>
        <v>450</v>
      </c>
      <c r="V1040">
        <f>IF(ISBLANK(Mitigation_Industry!V691),"",Mitigation_Industry!V691)</f>
        <v>450</v>
      </c>
      <c r="W1040">
        <f>IF(ISBLANK(Mitigation_Industry!W691),"",Mitigation_Industry!W691)</f>
        <v>450</v>
      </c>
      <c r="X1040">
        <f>IF(ISBLANK(Mitigation_Industry!X691),"",Mitigation_Industry!X691)</f>
        <v>450</v>
      </c>
      <c r="Y1040">
        <f>IF(ISBLANK(Mitigation_Industry!Y691),"",Mitigation_Industry!Y691)</f>
        <v>450</v>
      </c>
      <c r="Z1040">
        <f>IF(ISBLANK(Mitigation_Industry!Z691),"",Mitigation_Industry!Z691)</f>
        <v>450</v>
      </c>
      <c r="AA1040">
        <f>IF(ISBLANK(Mitigation_Industry!AA691),"",Mitigation_Industry!AA691)</f>
        <v>450</v>
      </c>
      <c r="AB1040">
        <f>IF(ISBLANK(Mitigation_Industry!AB691),"",Mitigation_Industry!AB691)</f>
        <v>450</v>
      </c>
      <c r="AC1040">
        <f>IF(ISBLANK(Mitigation_Industry!AC691),"",Mitigation_Industry!AC691)</f>
        <v>450</v>
      </c>
      <c r="AD1040">
        <f>IF(ISBLANK(Mitigation_Industry!AD691),"",Mitigation_Industry!AD691)</f>
        <v>450</v>
      </c>
      <c r="AE1040">
        <f>IF(ISBLANK(Mitigation_Industry!AE691),"",Mitigation_Industry!AE691)</f>
        <v>450</v>
      </c>
    </row>
    <row r="1041" spans="1:31" x14ac:dyDescent="0.45">
      <c r="A1041" t="s">
        <v>1625</v>
      </c>
      <c r="B1041" t="s">
        <v>1447</v>
      </c>
      <c r="C1041" t="s">
        <v>1462</v>
      </c>
      <c r="D1041">
        <v>2</v>
      </c>
      <c r="E1041" t="s">
        <v>1161</v>
      </c>
      <c r="F1041">
        <f>MAX(MAX(L1041:AE1041),-MIN(L1041:AE1041))</f>
        <v>0</v>
      </c>
      <c r="I1041" t="s">
        <v>1509</v>
      </c>
      <c r="K1041">
        <f t="shared" ref="K1041:AE1041" si="257">IF(ISNUMBER(K1039),IF(ISNUMBER(K1040),K1040-K1039,999999),0)</f>
        <v>0</v>
      </c>
      <c r="L1041">
        <f t="shared" si="257"/>
        <v>0</v>
      </c>
      <c r="M1041">
        <f t="shared" si="257"/>
        <v>0</v>
      </c>
      <c r="N1041">
        <f t="shared" si="257"/>
        <v>0</v>
      </c>
      <c r="O1041">
        <f t="shared" si="257"/>
        <v>0</v>
      </c>
      <c r="P1041">
        <f t="shared" si="257"/>
        <v>0</v>
      </c>
      <c r="Q1041">
        <f t="shared" si="257"/>
        <v>0</v>
      </c>
      <c r="R1041">
        <f t="shared" si="257"/>
        <v>0</v>
      </c>
      <c r="S1041">
        <f t="shared" si="257"/>
        <v>0</v>
      </c>
      <c r="T1041">
        <f t="shared" si="257"/>
        <v>0</v>
      </c>
      <c r="U1041">
        <f t="shared" si="257"/>
        <v>0</v>
      </c>
      <c r="V1041">
        <f t="shared" si="257"/>
        <v>0</v>
      </c>
      <c r="W1041">
        <f t="shared" si="257"/>
        <v>0</v>
      </c>
      <c r="X1041">
        <f t="shared" si="257"/>
        <v>0</v>
      </c>
      <c r="Y1041">
        <f t="shared" si="257"/>
        <v>0</v>
      </c>
      <c r="Z1041">
        <f t="shared" si="257"/>
        <v>0</v>
      </c>
      <c r="AA1041">
        <f t="shared" si="257"/>
        <v>0</v>
      </c>
      <c r="AB1041">
        <f t="shared" si="257"/>
        <v>0</v>
      </c>
      <c r="AC1041">
        <f t="shared" si="257"/>
        <v>0</v>
      </c>
      <c r="AD1041">
        <f t="shared" si="257"/>
        <v>0</v>
      </c>
      <c r="AE1041">
        <f t="shared" si="257"/>
        <v>0</v>
      </c>
    </row>
    <row r="1043" spans="1:31" x14ac:dyDescent="0.45">
      <c r="A1043" t="s">
        <v>1626</v>
      </c>
      <c r="B1043" t="s">
        <v>1447</v>
      </c>
      <c r="C1043" t="s">
        <v>1465</v>
      </c>
      <c r="D1043">
        <v>2</v>
      </c>
      <c r="E1043" t="s">
        <v>1159</v>
      </c>
      <c r="L1043">
        <v>380</v>
      </c>
      <c r="M1043">
        <v>380</v>
      </c>
      <c r="N1043">
        <v>380</v>
      </c>
      <c r="O1043">
        <v>380</v>
      </c>
      <c r="P1043">
        <v>380</v>
      </c>
      <c r="Q1043">
        <v>380</v>
      </c>
      <c r="R1043">
        <v>380</v>
      </c>
      <c r="S1043">
        <v>380</v>
      </c>
      <c r="T1043">
        <v>380</v>
      </c>
      <c r="U1043">
        <v>380</v>
      </c>
      <c r="V1043">
        <v>380</v>
      </c>
      <c r="W1043">
        <v>380</v>
      </c>
      <c r="X1043">
        <v>380</v>
      </c>
      <c r="Y1043">
        <v>380</v>
      </c>
      <c r="Z1043">
        <v>380</v>
      </c>
      <c r="AA1043">
        <v>380</v>
      </c>
      <c r="AB1043">
        <v>380</v>
      </c>
      <c r="AC1043">
        <v>380</v>
      </c>
      <c r="AD1043">
        <v>380</v>
      </c>
      <c r="AE1043">
        <v>380</v>
      </c>
    </row>
    <row r="1044" spans="1:31" x14ac:dyDescent="0.45">
      <c r="A1044" t="s">
        <v>1626</v>
      </c>
      <c r="B1044" t="s">
        <v>1447</v>
      </c>
      <c r="C1044" t="s">
        <v>1465</v>
      </c>
      <c r="D1044">
        <v>2</v>
      </c>
      <c r="E1044" t="s">
        <v>1160</v>
      </c>
      <c r="K1044" t="str">
        <f>IF(ISBLANK(Mitigation_Industry!K692),"",Mitigation_Industry!K692)</f>
        <v/>
      </c>
      <c r="L1044">
        <f>IF(ISBLANK(Mitigation_Industry!L692),"",Mitigation_Industry!L692)</f>
        <v>380</v>
      </c>
      <c r="M1044">
        <f>IF(ISBLANK(Mitigation_Industry!M692),"",Mitigation_Industry!M692)</f>
        <v>380</v>
      </c>
      <c r="N1044">
        <f>IF(ISBLANK(Mitigation_Industry!N692),"",Mitigation_Industry!N692)</f>
        <v>380</v>
      </c>
      <c r="O1044">
        <f>IF(ISBLANK(Mitigation_Industry!O692),"",Mitigation_Industry!O692)</f>
        <v>380</v>
      </c>
      <c r="P1044">
        <f>IF(ISBLANK(Mitigation_Industry!P692),"",Mitigation_Industry!P692)</f>
        <v>380</v>
      </c>
      <c r="Q1044">
        <f>IF(ISBLANK(Mitigation_Industry!Q692),"",Mitigation_Industry!Q692)</f>
        <v>380</v>
      </c>
      <c r="R1044">
        <f>IF(ISBLANK(Mitigation_Industry!R692),"",Mitigation_Industry!R692)</f>
        <v>380</v>
      </c>
      <c r="S1044">
        <f>IF(ISBLANK(Mitigation_Industry!S692),"",Mitigation_Industry!S692)</f>
        <v>380</v>
      </c>
      <c r="T1044">
        <f>IF(ISBLANK(Mitigation_Industry!T692),"",Mitigation_Industry!T692)</f>
        <v>380</v>
      </c>
      <c r="U1044">
        <f>IF(ISBLANK(Mitigation_Industry!U692),"",Mitigation_Industry!U692)</f>
        <v>380</v>
      </c>
      <c r="V1044">
        <f>IF(ISBLANK(Mitigation_Industry!V692),"",Mitigation_Industry!V692)</f>
        <v>380</v>
      </c>
      <c r="W1044">
        <f>IF(ISBLANK(Mitigation_Industry!W692),"",Mitigation_Industry!W692)</f>
        <v>380</v>
      </c>
      <c r="X1044">
        <f>IF(ISBLANK(Mitigation_Industry!X692),"",Mitigation_Industry!X692)</f>
        <v>380</v>
      </c>
      <c r="Y1044">
        <f>IF(ISBLANK(Mitigation_Industry!Y692),"",Mitigation_Industry!Y692)</f>
        <v>380</v>
      </c>
      <c r="Z1044">
        <f>IF(ISBLANK(Mitigation_Industry!Z692),"",Mitigation_Industry!Z692)</f>
        <v>380</v>
      </c>
      <c r="AA1044">
        <f>IF(ISBLANK(Mitigation_Industry!AA692),"",Mitigation_Industry!AA692)</f>
        <v>380</v>
      </c>
      <c r="AB1044">
        <f>IF(ISBLANK(Mitigation_Industry!AB692),"",Mitigation_Industry!AB692)</f>
        <v>380</v>
      </c>
      <c r="AC1044">
        <f>IF(ISBLANK(Mitigation_Industry!AC692),"",Mitigation_Industry!AC692)</f>
        <v>380</v>
      </c>
      <c r="AD1044">
        <f>IF(ISBLANK(Mitigation_Industry!AD692),"",Mitigation_Industry!AD692)</f>
        <v>380</v>
      </c>
      <c r="AE1044">
        <f>IF(ISBLANK(Mitigation_Industry!AE692),"",Mitigation_Industry!AE692)</f>
        <v>380</v>
      </c>
    </row>
    <row r="1045" spans="1:31" x14ac:dyDescent="0.45">
      <c r="A1045" t="s">
        <v>1626</v>
      </c>
      <c r="B1045" t="s">
        <v>1447</v>
      </c>
      <c r="C1045" t="s">
        <v>1465</v>
      </c>
      <c r="D1045">
        <v>2</v>
      </c>
      <c r="E1045" t="s">
        <v>1161</v>
      </c>
      <c r="F1045">
        <f>MAX(MAX(L1045:AE1045),-MIN(L1045:AE1045))</f>
        <v>0</v>
      </c>
      <c r="I1045" t="s">
        <v>1509</v>
      </c>
      <c r="K1045">
        <f t="shared" ref="K1045:AE1045" si="258">IF(ISNUMBER(K1043),IF(ISNUMBER(K1044),K1044-K1043,999999),0)</f>
        <v>0</v>
      </c>
      <c r="L1045">
        <f t="shared" si="258"/>
        <v>0</v>
      </c>
      <c r="M1045">
        <f t="shared" si="258"/>
        <v>0</v>
      </c>
      <c r="N1045">
        <f t="shared" si="258"/>
        <v>0</v>
      </c>
      <c r="O1045">
        <f t="shared" si="258"/>
        <v>0</v>
      </c>
      <c r="P1045">
        <f t="shared" si="258"/>
        <v>0</v>
      </c>
      <c r="Q1045">
        <f t="shared" si="258"/>
        <v>0</v>
      </c>
      <c r="R1045">
        <f t="shared" si="258"/>
        <v>0</v>
      </c>
      <c r="S1045">
        <f t="shared" si="258"/>
        <v>0</v>
      </c>
      <c r="T1045">
        <f t="shared" si="258"/>
        <v>0</v>
      </c>
      <c r="U1045">
        <f t="shared" si="258"/>
        <v>0</v>
      </c>
      <c r="V1045">
        <f t="shared" si="258"/>
        <v>0</v>
      </c>
      <c r="W1045">
        <f t="shared" si="258"/>
        <v>0</v>
      </c>
      <c r="X1045">
        <f t="shared" si="258"/>
        <v>0</v>
      </c>
      <c r="Y1045">
        <f t="shared" si="258"/>
        <v>0</v>
      </c>
      <c r="Z1045">
        <f t="shared" si="258"/>
        <v>0</v>
      </c>
      <c r="AA1045">
        <f t="shared" si="258"/>
        <v>0</v>
      </c>
      <c r="AB1045">
        <f t="shared" si="258"/>
        <v>0</v>
      </c>
      <c r="AC1045">
        <f t="shared" si="258"/>
        <v>0</v>
      </c>
      <c r="AD1045">
        <f t="shared" si="258"/>
        <v>0</v>
      </c>
      <c r="AE1045">
        <f t="shared" si="258"/>
        <v>0</v>
      </c>
    </row>
    <row r="1047" spans="1:31" x14ac:dyDescent="0.45">
      <c r="A1047" t="s">
        <v>1627</v>
      </c>
      <c r="B1047" t="s">
        <v>1447</v>
      </c>
      <c r="C1047" t="s">
        <v>1468</v>
      </c>
      <c r="D1047">
        <v>2</v>
      </c>
      <c r="E1047" t="s">
        <v>1159</v>
      </c>
      <c r="L1047">
        <v>320</v>
      </c>
      <c r="M1047">
        <v>320</v>
      </c>
      <c r="N1047">
        <v>320</v>
      </c>
      <c r="O1047">
        <v>320</v>
      </c>
      <c r="P1047">
        <v>320</v>
      </c>
      <c r="Q1047">
        <v>320</v>
      </c>
      <c r="R1047">
        <v>320</v>
      </c>
      <c r="S1047">
        <v>320</v>
      </c>
      <c r="T1047">
        <v>320</v>
      </c>
      <c r="U1047">
        <v>320</v>
      </c>
      <c r="V1047">
        <v>320</v>
      </c>
      <c r="W1047">
        <v>320</v>
      </c>
      <c r="X1047">
        <v>320</v>
      </c>
      <c r="Y1047">
        <v>320</v>
      </c>
      <c r="Z1047">
        <v>320</v>
      </c>
      <c r="AA1047">
        <v>320</v>
      </c>
      <c r="AB1047">
        <v>320</v>
      </c>
      <c r="AC1047">
        <v>320</v>
      </c>
      <c r="AD1047">
        <v>320</v>
      </c>
      <c r="AE1047">
        <v>320</v>
      </c>
    </row>
    <row r="1048" spans="1:31" x14ac:dyDescent="0.45">
      <c r="A1048" t="s">
        <v>1627</v>
      </c>
      <c r="B1048" t="s">
        <v>1447</v>
      </c>
      <c r="C1048" t="s">
        <v>1468</v>
      </c>
      <c r="D1048">
        <v>2</v>
      </c>
      <c r="E1048" t="s">
        <v>1160</v>
      </c>
      <c r="K1048" t="str">
        <f>IF(ISBLANK(Mitigation_Industry!K693),"",Mitigation_Industry!K693)</f>
        <v/>
      </c>
      <c r="L1048">
        <f>IF(ISBLANK(Mitigation_Industry!L693),"",Mitigation_Industry!L693)</f>
        <v>320</v>
      </c>
      <c r="M1048">
        <f>IF(ISBLANK(Mitigation_Industry!M693),"",Mitigation_Industry!M693)</f>
        <v>320</v>
      </c>
      <c r="N1048">
        <f>IF(ISBLANK(Mitigation_Industry!N693),"",Mitigation_Industry!N693)</f>
        <v>320</v>
      </c>
      <c r="O1048">
        <f>IF(ISBLANK(Mitigation_Industry!O693),"",Mitigation_Industry!O693)</f>
        <v>320</v>
      </c>
      <c r="P1048">
        <f>IF(ISBLANK(Mitigation_Industry!P693),"",Mitigation_Industry!P693)</f>
        <v>320</v>
      </c>
      <c r="Q1048">
        <f>IF(ISBLANK(Mitigation_Industry!Q693),"",Mitigation_Industry!Q693)</f>
        <v>320</v>
      </c>
      <c r="R1048">
        <f>IF(ISBLANK(Mitigation_Industry!R693),"",Mitigation_Industry!R693)</f>
        <v>320</v>
      </c>
      <c r="S1048">
        <f>IF(ISBLANK(Mitigation_Industry!S693),"",Mitigation_Industry!S693)</f>
        <v>320</v>
      </c>
      <c r="T1048">
        <f>IF(ISBLANK(Mitigation_Industry!T693),"",Mitigation_Industry!T693)</f>
        <v>320</v>
      </c>
      <c r="U1048">
        <f>IF(ISBLANK(Mitigation_Industry!U693),"",Mitigation_Industry!U693)</f>
        <v>320</v>
      </c>
      <c r="V1048">
        <f>IF(ISBLANK(Mitigation_Industry!V693),"",Mitigation_Industry!V693)</f>
        <v>320</v>
      </c>
      <c r="W1048">
        <f>IF(ISBLANK(Mitigation_Industry!W693),"",Mitigation_Industry!W693)</f>
        <v>320</v>
      </c>
      <c r="X1048">
        <f>IF(ISBLANK(Mitigation_Industry!X693),"",Mitigation_Industry!X693)</f>
        <v>320</v>
      </c>
      <c r="Y1048">
        <f>IF(ISBLANK(Mitigation_Industry!Y693),"",Mitigation_Industry!Y693)</f>
        <v>320</v>
      </c>
      <c r="Z1048">
        <f>IF(ISBLANK(Mitigation_Industry!Z693),"",Mitigation_Industry!Z693)</f>
        <v>320</v>
      </c>
      <c r="AA1048">
        <f>IF(ISBLANK(Mitigation_Industry!AA693),"",Mitigation_Industry!AA693)</f>
        <v>320</v>
      </c>
      <c r="AB1048">
        <f>IF(ISBLANK(Mitigation_Industry!AB693),"",Mitigation_Industry!AB693)</f>
        <v>320</v>
      </c>
      <c r="AC1048">
        <f>IF(ISBLANK(Mitigation_Industry!AC693),"",Mitigation_Industry!AC693)</f>
        <v>320</v>
      </c>
      <c r="AD1048">
        <f>IF(ISBLANK(Mitigation_Industry!AD693),"",Mitigation_Industry!AD693)</f>
        <v>320</v>
      </c>
      <c r="AE1048">
        <f>IF(ISBLANK(Mitigation_Industry!AE693),"",Mitigation_Industry!AE693)</f>
        <v>320</v>
      </c>
    </row>
    <row r="1049" spans="1:31" x14ac:dyDescent="0.45">
      <c r="A1049" t="s">
        <v>1627</v>
      </c>
      <c r="B1049" t="s">
        <v>1447</v>
      </c>
      <c r="C1049" t="s">
        <v>1468</v>
      </c>
      <c r="D1049">
        <v>2</v>
      </c>
      <c r="E1049" t="s">
        <v>1161</v>
      </c>
      <c r="F1049">
        <f>MAX(MAX(L1049:AE1049),-MIN(L1049:AE1049))</f>
        <v>0</v>
      </c>
      <c r="I1049" t="s">
        <v>1509</v>
      </c>
      <c r="K1049">
        <f t="shared" ref="K1049:AE1049" si="259">IF(ISNUMBER(K1047),IF(ISNUMBER(K1048),K1048-K1047,999999),0)</f>
        <v>0</v>
      </c>
      <c r="L1049">
        <f t="shared" si="259"/>
        <v>0</v>
      </c>
      <c r="M1049">
        <f t="shared" si="259"/>
        <v>0</v>
      </c>
      <c r="N1049">
        <f t="shared" si="259"/>
        <v>0</v>
      </c>
      <c r="O1049">
        <f t="shared" si="259"/>
        <v>0</v>
      </c>
      <c r="P1049">
        <f t="shared" si="259"/>
        <v>0</v>
      </c>
      <c r="Q1049">
        <f t="shared" si="259"/>
        <v>0</v>
      </c>
      <c r="R1049">
        <f t="shared" si="259"/>
        <v>0</v>
      </c>
      <c r="S1049">
        <f t="shared" si="259"/>
        <v>0</v>
      </c>
      <c r="T1049">
        <f t="shared" si="259"/>
        <v>0</v>
      </c>
      <c r="U1049">
        <f t="shared" si="259"/>
        <v>0</v>
      </c>
      <c r="V1049">
        <f t="shared" si="259"/>
        <v>0</v>
      </c>
      <c r="W1049">
        <f t="shared" si="259"/>
        <v>0</v>
      </c>
      <c r="X1049">
        <f t="shared" si="259"/>
        <v>0</v>
      </c>
      <c r="Y1049">
        <f t="shared" si="259"/>
        <v>0</v>
      </c>
      <c r="Z1049">
        <f t="shared" si="259"/>
        <v>0</v>
      </c>
      <c r="AA1049">
        <f t="shared" si="259"/>
        <v>0</v>
      </c>
      <c r="AB1049">
        <f t="shared" si="259"/>
        <v>0</v>
      </c>
      <c r="AC1049">
        <f t="shared" si="259"/>
        <v>0</v>
      </c>
      <c r="AD1049">
        <f t="shared" si="259"/>
        <v>0</v>
      </c>
      <c r="AE1049">
        <f t="shared" si="259"/>
        <v>0</v>
      </c>
    </row>
    <row r="1051" spans="1:31" x14ac:dyDescent="0.45">
      <c r="A1051" t="s">
        <v>1628</v>
      </c>
      <c r="B1051" t="s">
        <v>1447</v>
      </c>
      <c r="C1051" t="s">
        <v>1471</v>
      </c>
      <c r="D1051">
        <v>2</v>
      </c>
      <c r="E1051" t="s">
        <v>1159</v>
      </c>
      <c r="L1051">
        <v>2400</v>
      </c>
      <c r="M1051">
        <v>2400</v>
      </c>
      <c r="N1051">
        <v>2400</v>
      </c>
      <c r="O1051">
        <v>2400</v>
      </c>
      <c r="P1051">
        <v>2400</v>
      </c>
      <c r="Q1051">
        <v>2400</v>
      </c>
      <c r="R1051">
        <v>2400</v>
      </c>
      <c r="S1051">
        <v>2400</v>
      </c>
      <c r="T1051">
        <v>2400</v>
      </c>
      <c r="U1051">
        <v>2400</v>
      </c>
      <c r="V1051">
        <v>2400</v>
      </c>
      <c r="W1051">
        <v>2400</v>
      </c>
      <c r="X1051">
        <v>2400</v>
      </c>
      <c r="Y1051">
        <v>2400</v>
      </c>
      <c r="Z1051">
        <v>2400</v>
      </c>
      <c r="AA1051">
        <v>2400</v>
      </c>
      <c r="AB1051">
        <v>2400</v>
      </c>
      <c r="AC1051">
        <v>2400</v>
      </c>
      <c r="AD1051">
        <v>2400</v>
      </c>
      <c r="AE1051">
        <v>2400</v>
      </c>
    </row>
    <row r="1052" spans="1:31" x14ac:dyDescent="0.45">
      <c r="A1052" t="s">
        <v>1628</v>
      </c>
      <c r="B1052" t="s">
        <v>1447</v>
      </c>
      <c r="C1052" t="s">
        <v>1471</v>
      </c>
      <c r="D1052">
        <v>2</v>
      </c>
      <c r="E1052" t="s">
        <v>1160</v>
      </c>
      <c r="K1052" t="str">
        <f>IF(ISBLANK(Mitigation_Industry!K694),"",Mitigation_Industry!K694)</f>
        <v/>
      </c>
      <c r="L1052">
        <f>IF(ISBLANK(Mitigation_Industry!L694),"",Mitigation_Industry!L694)</f>
        <v>2400</v>
      </c>
      <c r="M1052">
        <f>IF(ISBLANK(Mitigation_Industry!M694),"",Mitigation_Industry!M694)</f>
        <v>2400</v>
      </c>
      <c r="N1052">
        <f>IF(ISBLANK(Mitigation_Industry!N694),"",Mitigation_Industry!N694)</f>
        <v>2400</v>
      </c>
      <c r="O1052">
        <f>IF(ISBLANK(Mitigation_Industry!O694),"",Mitigation_Industry!O694)</f>
        <v>2400</v>
      </c>
      <c r="P1052">
        <f>IF(ISBLANK(Mitigation_Industry!P694),"",Mitigation_Industry!P694)</f>
        <v>2400</v>
      </c>
      <c r="Q1052">
        <f>IF(ISBLANK(Mitigation_Industry!Q694),"",Mitigation_Industry!Q694)</f>
        <v>2400</v>
      </c>
      <c r="R1052">
        <f>IF(ISBLANK(Mitigation_Industry!R694),"",Mitigation_Industry!R694)</f>
        <v>2400</v>
      </c>
      <c r="S1052">
        <f>IF(ISBLANK(Mitigation_Industry!S694),"",Mitigation_Industry!S694)</f>
        <v>2400</v>
      </c>
      <c r="T1052">
        <f>IF(ISBLANK(Mitigation_Industry!T694),"",Mitigation_Industry!T694)</f>
        <v>2400</v>
      </c>
      <c r="U1052">
        <f>IF(ISBLANK(Mitigation_Industry!U694),"",Mitigation_Industry!U694)</f>
        <v>2400</v>
      </c>
      <c r="V1052">
        <f>IF(ISBLANK(Mitigation_Industry!V694),"",Mitigation_Industry!V694)</f>
        <v>2400</v>
      </c>
      <c r="W1052">
        <f>IF(ISBLANK(Mitigation_Industry!W694),"",Mitigation_Industry!W694)</f>
        <v>2400</v>
      </c>
      <c r="X1052">
        <f>IF(ISBLANK(Mitigation_Industry!X694),"",Mitigation_Industry!X694)</f>
        <v>2400</v>
      </c>
      <c r="Y1052">
        <f>IF(ISBLANK(Mitigation_Industry!Y694),"",Mitigation_Industry!Y694)</f>
        <v>2400</v>
      </c>
      <c r="Z1052">
        <f>IF(ISBLANK(Mitigation_Industry!Z694),"",Mitigation_Industry!Z694)</f>
        <v>2400</v>
      </c>
      <c r="AA1052">
        <f>IF(ISBLANK(Mitigation_Industry!AA694),"",Mitigation_Industry!AA694)</f>
        <v>2400</v>
      </c>
      <c r="AB1052">
        <f>IF(ISBLANK(Mitigation_Industry!AB694),"",Mitigation_Industry!AB694)</f>
        <v>2400</v>
      </c>
      <c r="AC1052">
        <f>IF(ISBLANK(Mitigation_Industry!AC694),"",Mitigation_Industry!AC694)</f>
        <v>2400</v>
      </c>
      <c r="AD1052">
        <f>IF(ISBLANK(Mitigation_Industry!AD694),"",Mitigation_Industry!AD694)</f>
        <v>2400</v>
      </c>
      <c r="AE1052">
        <f>IF(ISBLANK(Mitigation_Industry!AE694),"",Mitigation_Industry!AE694)</f>
        <v>2400</v>
      </c>
    </row>
    <row r="1053" spans="1:31" x14ac:dyDescent="0.45">
      <c r="A1053" t="s">
        <v>1628</v>
      </c>
      <c r="B1053" t="s">
        <v>1447</v>
      </c>
      <c r="C1053" t="s">
        <v>1471</v>
      </c>
      <c r="D1053">
        <v>2</v>
      </c>
      <c r="E1053" t="s">
        <v>1161</v>
      </c>
      <c r="F1053">
        <f>MAX(MAX(L1053:AE1053),-MIN(L1053:AE1053))</f>
        <v>0</v>
      </c>
      <c r="I1053" t="s">
        <v>1509</v>
      </c>
      <c r="K1053">
        <f t="shared" ref="K1053:AE1053" si="260">IF(ISNUMBER(K1051),IF(ISNUMBER(K1052),K1052-K1051,999999),0)</f>
        <v>0</v>
      </c>
      <c r="L1053">
        <f t="shared" si="260"/>
        <v>0</v>
      </c>
      <c r="M1053">
        <f t="shared" si="260"/>
        <v>0</v>
      </c>
      <c r="N1053">
        <f t="shared" si="260"/>
        <v>0</v>
      </c>
      <c r="O1053">
        <f t="shared" si="260"/>
        <v>0</v>
      </c>
      <c r="P1053">
        <f t="shared" si="260"/>
        <v>0</v>
      </c>
      <c r="Q1053">
        <f t="shared" si="260"/>
        <v>0</v>
      </c>
      <c r="R1053">
        <f t="shared" si="260"/>
        <v>0</v>
      </c>
      <c r="S1053">
        <f t="shared" si="260"/>
        <v>0</v>
      </c>
      <c r="T1053">
        <f t="shared" si="260"/>
        <v>0</v>
      </c>
      <c r="U1053">
        <f t="shared" si="260"/>
        <v>0</v>
      </c>
      <c r="V1053">
        <f t="shared" si="260"/>
        <v>0</v>
      </c>
      <c r="W1053">
        <f t="shared" si="260"/>
        <v>0</v>
      </c>
      <c r="X1053">
        <f t="shared" si="260"/>
        <v>0</v>
      </c>
      <c r="Y1053">
        <f t="shared" si="260"/>
        <v>0</v>
      </c>
      <c r="Z1053">
        <f t="shared" si="260"/>
        <v>0</v>
      </c>
      <c r="AA1053">
        <f t="shared" si="260"/>
        <v>0</v>
      </c>
      <c r="AB1053">
        <f t="shared" si="260"/>
        <v>0</v>
      </c>
      <c r="AC1053">
        <f t="shared" si="260"/>
        <v>0</v>
      </c>
      <c r="AD1053">
        <f t="shared" si="260"/>
        <v>0</v>
      </c>
      <c r="AE1053">
        <f t="shared" si="260"/>
        <v>0</v>
      </c>
    </row>
    <row r="1055" spans="1:31" x14ac:dyDescent="0.45">
      <c r="A1055" t="s">
        <v>1629</v>
      </c>
      <c r="B1055" t="s">
        <v>1474</v>
      </c>
      <c r="C1055" t="s">
        <v>1450</v>
      </c>
      <c r="D1055">
        <v>2</v>
      </c>
      <c r="E1055" t="s">
        <v>1159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45">
      <c r="A1056" t="s">
        <v>1629</v>
      </c>
      <c r="B1056" t="s">
        <v>1474</v>
      </c>
      <c r="C1056" t="s">
        <v>1450</v>
      </c>
      <c r="D1056">
        <v>2</v>
      </c>
      <c r="E1056" t="s">
        <v>1160</v>
      </c>
      <c r="K1056" t="str">
        <f>IF(ISBLANK(Mitigation_Industry!K698),"",Mitigation_Industry!K698)</f>
        <v/>
      </c>
      <c r="L1056">
        <f>IF(ISBLANK(Mitigation_Industry!L698),"",Mitigation_Industry!L698)</f>
        <v>0</v>
      </c>
      <c r="M1056">
        <f>IF(ISBLANK(Mitigation_Industry!M698),"",Mitigation_Industry!M698)</f>
        <v>0</v>
      </c>
      <c r="N1056">
        <f>IF(ISBLANK(Mitigation_Industry!N698),"",Mitigation_Industry!N698)</f>
        <v>0</v>
      </c>
      <c r="O1056">
        <f>IF(ISBLANK(Mitigation_Industry!O698),"",Mitigation_Industry!O698)</f>
        <v>0</v>
      </c>
      <c r="P1056">
        <f>IF(ISBLANK(Mitigation_Industry!P698),"",Mitigation_Industry!P698)</f>
        <v>0</v>
      </c>
      <c r="Q1056">
        <f>IF(ISBLANK(Mitigation_Industry!Q698),"",Mitigation_Industry!Q698)</f>
        <v>8.625375</v>
      </c>
      <c r="R1056">
        <f>IF(ISBLANK(Mitigation_Industry!R698),"",Mitigation_Industry!R698)</f>
        <v>17.25075</v>
      </c>
      <c r="S1056">
        <f>IF(ISBLANK(Mitigation_Industry!S698),"",Mitigation_Industry!S698)</f>
        <v>25.876125000000002</v>
      </c>
      <c r="T1056">
        <f>IF(ISBLANK(Mitigation_Industry!T698),"",Mitigation_Industry!T698)</f>
        <v>34.5015</v>
      </c>
      <c r="U1056">
        <f>IF(ISBLANK(Mitigation_Industry!U698),"",Mitigation_Industry!U698)</f>
        <v>43.126875000000005</v>
      </c>
      <c r="V1056">
        <f>IF(ISBLANK(Mitigation_Industry!V698),"",Mitigation_Industry!V698)</f>
        <v>51.752250000000004</v>
      </c>
      <c r="W1056">
        <f>IF(ISBLANK(Mitigation_Industry!W698),"",Mitigation_Industry!W698)</f>
        <v>60.377625000000002</v>
      </c>
      <c r="X1056">
        <f>IF(ISBLANK(Mitigation_Industry!X698),"",Mitigation_Industry!X698)</f>
        <v>69.003</v>
      </c>
      <c r="Y1056">
        <f>IF(ISBLANK(Mitigation_Industry!Y698),"",Mitigation_Industry!Y698)</f>
        <v>77.628375000000005</v>
      </c>
      <c r="Z1056">
        <f>IF(ISBLANK(Mitigation_Industry!Z698),"",Mitigation_Industry!Z698)</f>
        <v>86.253750000000011</v>
      </c>
      <c r="AA1056">
        <f>IF(ISBLANK(Mitigation_Industry!AA698),"",Mitigation_Industry!AA698)</f>
        <v>94.879125000000002</v>
      </c>
      <c r="AB1056">
        <f>IF(ISBLANK(Mitigation_Industry!AB698),"",Mitigation_Industry!AB698)</f>
        <v>103.50450000000001</v>
      </c>
      <c r="AC1056">
        <f>IF(ISBLANK(Mitigation_Industry!AC698),"",Mitigation_Industry!AC698)</f>
        <v>112.129875</v>
      </c>
      <c r="AD1056">
        <f>IF(ISBLANK(Mitigation_Industry!AD698),"",Mitigation_Industry!AD698)</f>
        <v>120.75525</v>
      </c>
      <c r="AE1056">
        <f>IF(ISBLANK(Mitigation_Industry!AE698),"",Mitigation_Industry!AE698)</f>
        <v>129.38062500000001</v>
      </c>
    </row>
    <row r="1057" spans="1:31" x14ac:dyDescent="0.45">
      <c r="A1057" t="s">
        <v>1629</v>
      </c>
      <c r="B1057" t="s">
        <v>1474</v>
      </c>
      <c r="C1057" t="s">
        <v>1450</v>
      </c>
      <c r="D1057">
        <v>2</v>
      </c>
      <c r="E1057" t="s">
        <v>1161</v>
      </c>
      <c r="F1057">
        <f>MAX(MAX(L1057:AE1057),-MIN(L1057:AE1057))</f>
        <v>129.38062500000001</v>
      </c>
      <c r="I1057" t="s">
        <v>1588</v>
      </c>
      <c r="J1057" t="s">
        <v>1630</v>
      </c>
      <c r="K1057">
        <f t="shared" ref="K1057:AE1057" si="261">IF(ISNUMBER(K1055),IF(ISNUMBER(K1056),K1056-K1055,999999),0)</f>
        <v>0</v>
      </c>
      <c r="L1057">
        <f t="shared" si="261"/>
        <v>0</v>
      </c>
      <c r="M1057">
        <f t="shared" si="261"/>
        <v>0</v>
      </c>
      <c r="N1057">
        <f t="shared" si="261"/>
        <v>0</v>
      </c>
      <c r="O1057">
        <f t="shared" si="261"/>
        <v>0</v>
      </c>
      <c r="P1057">
        <f t="shared" si="261"/>
        <v>0</v>
      </c>
      <c r="Q1057">
        <f t="shared" si="261"/>
        <v>8.625375</v>
      </c>
      <c r="R1057">
        <f t="shared" si="261"/>
        <v>17.25075</v>
      </c>
      <c r="S1057">
        <f t="shared" si="261"/>
        <v>25.876125000000002</v>
      </c>
      <c r="T1057">
        <f t="shared" si="261"/>
        <v>34.5015</v>
      </c>
      <c r="U1057">
        <f t="shared" si="261"/>
        <v>43.126875000000005</v>
      </c>
      <c r="V1057">
        <f t="shared" si="261"/>
        <v>51.752250000000004</v>
      </c>
      <c r="W1057">
        <f t="shared" si="261"/>
        <v>60.377625000000002</v>
      </c>
      <c r="X1057">
        <f t="shared" si="261"/>
        <v>69.003</v>
      </c>
      <c r="Y1057">
        <f t="shared" si="261"/>
        <v>77.628375000000005</v>
      </c>
      <c r="Z1057">
        <f t="shared" si="261"/>
        <v>86.253750000000011</v>
      </c>
      <c r="AA1057">
        <f t="shared" si="261"/>
        <v>94.879125000000002</v>
      </c>
      <c r="AB1057">
        <f t="shared" si="261"/>
        <v>103.50450000000001</v>
      </c>
      <c r="AC1057">
        <f t="shared" si="261"/>
        <v>112.129875</v>
      </c>
      <c r="AD1057">
        <f t="shared" si="261"/>
        <v>120.75525</v>
      </c>
      <c r="AE1057">
        <f t="shared" si="261"/>
        <v>129.38062500000001</v>
      </c>
    </row>
    <row r="1059" spans="1:31" x14ac:dyDescent="0.45">
      <c r="A1059" t="s">
        <v>1631</v>
      </c>
      <c r="B1059" t="s">
        <v>1474</v>
      </c>
      <c r="C1059" t="s">
        <v>1453</v>
      </c>
      <c r="D1059">
        <v>2</v>
      </c>
      <c r="E1059" t="s">
        <v>1159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45">
      <c r="A1060" t="s">
        <v>1631</v>
      </c>
      <c r="B1060" t="s">
        <v>1474</v>
      </c>
      <c r="C1060" t="s">
        <v>1453</v>
      </c>
      <c r="D1060">
        <v>2</v>
      </c>
      <c r="E1060" t="s">
        <v>1160</v>
      </c>
      <c r="K1060" t="str">
        <f>IF(ISBLANK(Mitigation_Industry!K699),"",Mitigation_Industry!K699)</f>
        <v/>
      </c>
      <c r="L1060">
        <f>IF(ISBLANK(Mitigation_Industry!L699),"",Mitigation_Industry!L699)</f>
        <v>0</v>
      </c>
      <c r="M1060">
        <f>IF(ISBLANK(Mitigation_Industry!M699),"",Mitigation_Industry!M699)</f>
        <v>0</v>
      </c>
      <c r="N1060">
        <f>IF(ISBLANK(Mitigation_Industry!N699),"",Mitigation_Industry!N699)</f>
        <v>0</v>
      </c>
      <c r="O1060">
        <f>IF(ISBLANK(Mitigation_Industry!O699),"",Mitigation_Industry!O699)</f>
        <v>0</v>
      </c>
      <c r="P1060">
        <f>IF(ISBLANK(Mitigation_Industry!P699),"",Mitigation_Industry!P699)</f>
        <v>0</v>
      </c>
      <c r="Q1060">
        <f>IF(ISBLANK(Mitigation_Industry!Q699),"",Mitigation_Industry!Q699)</f>
        <v>1.7531250000000003</v>
      </c>
      <c r="R1060">
        <f>IF(ISBLANK(Mitigation_Industry!R699),"",Mitigation_Industry!R699)</f>
        <v>3.5062500000000005</v>
      </c>
      <c r="S1060">
        <f>IF(ISBLANK(Mitigation_Industry!S699),"",Mitigation_Industry!S699)</f>
        <v>5.2593750000000004</v>
      </c>
      <c r="T1060">
        <f>IF(ISBLANK(Mitigation_Industry!T699),"",Mitigation_Industry!T699)</f>
        <v>7.0125000000000011</v>
      </c>
      <c r="U1060">
        <f>IF(ISBLANK(Mitigation_Industry!U699),"",Mitigation_Industry!U699)</f>
        <v>8.765625</v>
      </c>
      <c r="V1060">
        <f>IF(ISBLANK(Mitigation_Industry!V699),"",Mitigation_Industry!V699)</f>
        <v>10.518750000000001</v>
      </c>
      <c r="W1060">
        <f>IF(ISBLANK(Mitigation_Industry!W699),"",Mitigation_Industry!W699)</f>
        <v>12.271875000000001</v>
      </c>
      <c r="X1060">
        <f>IF(ISBLANK(Mitigation_Industry!X699),"",Mitigation_Industry!X699)</f>
        <v>14.025000000000002</v>
      </c>
      <c r="Y1060">
        <f>IF(ISBLANK(Mitigation_Industry!Y699),"",Mitigation_Industry!Y699)</f>
        <v>15.778125000000001</v>
      </c>
      <c r="Z1060">
        <f>IF(ISBLANK(Mitigation_Industry!Z699),"",Mitigation_Industry!Z699)</f>
        <v>17.53125</v>
      </c>
      <c r="AA1060">
        <f>IF(ISBLANK(Mitigation_Industry!AA699),"",Mitigation_Industry!AA699)</f>
        <v>19.284375000000001</v>
      </c>
      <c r="AB1060">
        <f>IF(ISBLANK(Mitigation_Industry!AB699),"",Mitigation_Industry!AB699)</f>
        <v>21.037500000000001</v>
      </c>
      <c r="AC1060">
        <f>IF(ISBLANK(Mitigation_Industry!AC699),"",Mitigation_Industry!AC699)</f>
        <v>22.790625000000002</v>
      </c>
      <c r="AD1060">
        <f>IF(ISBLANK(Mitigation_Industry!AD699),"",Mitigation_Industry!AD699)</f>
        <v>24.543750000000003</v>
      </c>
      <c r="AE1060">
        <f>IF(ISBLANK(Mitigation_Industry!AE699),"",Mitigation_Industry!AE699)</f>
        <v>26.296875000000004</v>
      </c>
    </row>
    <row r="1061" spans="1:31" x14ac:dyDescent="0.45">
      <c r="A1061" t="s">
        <v>1631</v>
      </c>
      <c r="B1061" t="s">
        <v>1474</v>
      </c>
      <c r="C1061" t="s">
        <v>1453</v>
      </c>
      <c r="D1061">
        <v>2</v>
      </c>
      <c r="E1061" t="s">
        <v>1161</v>
      </c>
      <c r="F1061">
        <f>MAX(MAX(L1061:AE1061),-MIN(L1061:AE1061))</f>
        <v>26.296875000000004</v>
      </c>
      <c r="I1061" t="s">
        <v>1588</v>
      </c>
      <c r="J1061" t="s">
        <v>1630</v>
      </c>
      <c r="K1061">
        <f t="shared" ref="K1061:AE1061" si="262">IF(ISNUMBER(K1059),IF(ISNUMBER(K1060),K1060-K1059,999999),0)</f>
        <v>0</v>
      </c>
      <c r="L1061">
        <f t="shared" si="262"/>
        <v>0</v>
      </c>
      <c r="M1061">
        <f t="shared" si="262"/>
        <v>0</v>
      </c>
      <c r="N1061">
        <f t="shared" si="262"/>
        <v>0</v>
      </c>
      <c r="O1061">
        <f t="shared" si="262"/>
        <v>0</v>
      </c>
      <c r="P1061">
        <f t="shared" si="262"/>
        <v>0</v>
      </c>
      <c r="Q1061">
        <f t="shared" si="262"/>
        <v>1.7531250000000003</v>
      </c>
      <c r="R1061">
        <f t="shared" si="262"/>
        <v>3.5062500000000005</v>
      </c>
      <c r="S1061">
        <f t="shared" si="262"/>
        <v>5.2593750000000004</v>
      </c>
      <c r="T1061">
        <f t="shared" si="262"/>
        <v>7.0125000000000011</v>
      </c>
      <c r="U1061">
        <f t="shared" si="262"/>
        <v>8.765625</v>
      </c>
      <c r="V1061">
        <f t="shared" si="262"/>
        <v>10.518750000000001</v>
      </c>
      <c r="W1061">
        <f t="shared" si="262"/>
        <v>12.271875000000001</v>
      </c>
      <c r="X1061">
        <f t="shared" si="262"/>
        <v>14.025000000000002</v>
      </c>
      <c r="Y1061">
        <f t="shared" si="262"/>
        <v>15.778125000000001</v>
      </c>
      <c r="Z1061">
        <f t="shared" si="262"/>
        <v>17.53125</v>
      </c>
      <c r="AA1061">
        <f t="shared" si="262"/>
        <v>19.284375000000001</v>
      </c>
      <c r="AB1061">
        <f t="shared" si="262"/>
        <v>21.037500000000001</v>
      </c>
      <c r="AC1061">
        <f t="shared" si="262"/>
        <v>22.790625000000002</v>
      </c>
      <c r="AD1061">
        <f t="shared" si="262"/>
        <v>24.543750000000003</v>
      </c>
      <c r="AE1061">
        <f t="shared" si="262"/>
        <v>26.296875000000004</v>
      </c>
    </row>
    <row r="1063" spans="1:31" x14ac:dyDescent="0.45">
      <c r="A1063" t="s">
        <v>1632</v>
      </c>
      <c r="B1063" t="s">
        <v>1474</v>
      </c>
      <c r="C1063" t="s">
        <v>1456</v>
      </c>
      <c r="D1063">
        <v>2</v>
      </c>
      <c r="E1063" t="s">
        <v>1159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45">
      <c r="A1064" t="s">
        <v>1632</v>
      </c>
      <c r="B1064" t="s">
        <v>1474</v>
      </c>
      <c r="C1064" t="s">
        <v>1456</v>
      </c>
      <c r="D1064">
        <v>2</v>
      </c>
      <c r="E1064" t="s">
        <v>1160</v>
      </c>
      <c r="K1064" t="str">
        <f>IF(ISBLANK(Mitigation_Industry!K700),"",Mitigation_Industry!K700)</f>
        <v/>
      </c>
      <c r="L1064">
        <f>IF(ISBLANK(Mitigation_Industry!L700),"",Mitigation_Industry!L700)</f>
        <v>0</v>
      </c>
      <c r="M1064">
        <f>IF(ISBLANK(Mitigation_Industry!M700),"",Mitigation_Industry!M700)</f>
        <v>0</v>
      </c>
      <c r="N1064">
        <f>IF(ISBLANK(Mitigation_Industry!N700),"",Mitigation_Industry!N700)</f>
        <v>0</v>
      </c>
      <c r="O1064">
        <f>IF(ISBLANK(Mitigation_Industry!O700),"",Mitigation_Industry!O700)</f>
        <v>0</v>
      </c>
      <c r="P1064">
        <f>IF(ISBLANK(Mitigation_Industry!P700),"",Mitigation_Industry!P700)</f>
        <v>0</v>
      </c>
      <c r="Q1064">
        <f>IF(ISBLANK(Mitigation_Industry!Q700),"",Mitigation_Industry!Q700)</f>
        <v>24.025000000000002</v>
      </c>
      <c r="R1064">
        <f>IF(ISBLANK(Mitigation_Industry!R700),"",Mitigation_Industry!R700)</f>
        <v>48.050000000000004</v>
      </c>
      <c r="S1064">
        <f>IF(ISBLANK(Mitigation_Industry!S700),"",Mitigation_Industry!S700)</f>
        <v>72.075000000000003</v>
      </c>
      <c r="T1064">
        <f>IF(ISBLANK(Mitigation_Industry!T700),"",Mitigation_Industry!T700)</f>
        <v>96.100000000000009</v>
      </c>
      <c r="U1064">
        <f>IF(ISBLANK(Mitigation_Industry!U700),"",Mitigation_Industry!U700)</f>
        <v>120.12500000000001</v>
      </c>
      <c r="V1064">
        <f>IF(ISBLANK(Mitigation_Industry!V700),"",Mitigation_Industry!V700)</f>
        <v>144.15</v>
      </c>
      <c r="W1064">
        <f>IF(ISBLANK(Mitigation_Industry!W700),"",Mitigation_Industry!W700)</f>
        <v>168.17500000000001</v>
      </c>
      <c r="X1064">
        <f>IF(ISBLANK(Mitigation_Industry!X700),"",Mitigation_Industry!X700)</f>
        <v>192.20000000000002</v>
      </c>
      <c r="Y1064">
        <f>IF(ISBLANK(Mitigation_Industry!Y700),"",Mitigation_Industry!Y700)</f>
        <v>216.22500000000002</v>
      </c>
      <c r="Z1064">
        <f>IF(ISBLANK(Mitigation_Industry!Z700),"",Mitigation_Industry!Z700)</f>
        <v>240.25000000000003</v>
      </c>
      <c r="AA1064">
        <f>IF(ISBLANK(Mitigation_Industry!AA700),"",Mitigation_Industry!AA700)</f>
        <v>264.27500000000003</v>
      </c>
      <c r="AB1064">
        <f>IF(ISBLANK(Mitigation_Industry!AB700),"",Mitigation_Industry!AB700)</f>
        <v>288.3</v>
      </c>
      <c r="AC1064">
        <f>IF(ISBLANK(Mitigation_Industry!AC700),"",Mitigation_Industry!AC700)</f>
        <v>312.32500000000005</v>
      </c>
      <c r="AD1064">
        <f>IF(ISBLANK(Mitigation_Industry!AD700),"",Mitigation_Industry!AD700)</f>
        <v>336.35</v>
      </c>
      <c r="AE1064">
        <f>IF(ISBLANK(Mitigation_Industry!AE700),"",Mitigation_Industry!AE700)</f>
        <v>360.37500000000006</v>
      </c>
    </row>
    <row r="1065" spans="1:31" x14ac:dyDescent="0.45">
      <c r="A1065" t="s">
        <v>1632</v>
      </c>
      <c r="B1065" t="s">
        <v>1474</v>
      </c>
      <c r="C1065" t="s">
        <v>1456</v>
      </c>
      <c r="D1065">
        <v>2</v>
      </c>
      <c r="E1065" t="s">
        <v>1161</v>
      </c>
      <c r="F1065">
        <f>MAX(MAX(L1065:AE1065),-MIN(L1065:AE1065))</f>
        <v>360.37500000000006</v>
      </c>
      <c r="I1065" t="s">
        <v>1588</v>
      </c>
      <c r="J1065" t="s">
        <v>1630</v>
      </c>
      <c r="K1065">
        <f t="shared" ref="K1065:AE1065" si="263">IF(ISNUMBER(K1063),IF(ISNUMBER(K1064),K1064-K1063,999999),0)</f>
        <v>0</v>
      </c>
      <c r="L1065">
        <f t="shared" si="263"/>
        <v>0</v>
      </c>
      <c r="M1065">
        <f t="shared" si="263"/>
        <v>0</v>
      </c>
      <c r="N1065">
        <f t="shared" si="263"/>
        <v>0</v>
      </c>
      <c r="O1065">
        <f t="shared" si="263"/>
        <v>0</v>
      </c>
      <c r="P1065">
        <f t="shared" si="263"/>
        <v>0</v>
      </c>
      <c r="Q1065">
        <f t="shared" si="263"/>
        <v>24.025000000000002</v>
      </c>
      <c r="R1065">
        <f t="shared" si="263"/>
        <v>48.050000000000004</v>
      </c>
      <c r="S1065">
        <f t="shared" si="263"/>
        <v>72.075000000000003</v>
      </c>
      <c r="T1065">
        <f t="shared" si="263"/>
        <v>96.100000000000009</v>
      </c>
      <c r="U1065">
        <f t="shared" si="263"/>
        <v>120.12500000000001</v>
      </c>
      <c r="V1065">
        <f t="shared" si="263"/>
        <v>144.15</v>
      </c>
      <c r="W1065">
        <f t="shared" si="263"/>
        <v>168.17500000000001</v>
      </c>
      <c r="X1065">
        <f t="shared" si="263"/>
        <v>192.20000000000002</v>
      </c>
      <c r="Y1065">
        <f t="shared" si="263"/>
        <v>216.22500000000002</v>
      </c>
      <c r="Z1065">
        <f t="shared" si="263"/>
        <v>240.25000000000003</v>
      </c>
      <c r="AA1065">
        <f t="shared" si="263"/>
        <v>264.27500000000003</v>
      </c>
      <c r="AB1065">
        <f t="shared" si="263"/>
        <v>288.3</v>
      </c>
      <c r="AC1065">
        <f t="shared" si="263"/>
        <v>312.32500000000005</v>
      </c>
      <c r="AD1065">
        <f t="shared" si="263"/>
        <v>336.35</v>
      </c>
      <c r="AE1065">
        <f t="shared" si="263"/>
        <v>360.37500000000006</v>
      </c>
    </row>
    <row r="1067" spans="1:31" x14ac:dyDescent="0.45">
      <c r="A1067" t="s">
        <v>1633</v>
      </c>
      <c r="B1067" t="s">
        <v>1474</v>
      </c>
      <c r="C1067" t="s">
        <v>1459</v>
      </c>
      <c r="D1067">
        <v>2</v>
      </c>
      <c r="E1067" t="s">
        <v>1159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45">
      <c r="A1068" t="s">
        <v>1633</v>
      </c>
      <c r="B1068" t="s">
        <v>1474</v>
      </c>
      <c r="C1068" t="s">
        <v>1459</v>
      </c>
      <c r="D1068">
        <v>2</v>
      </c>
      <c r="E1068" t="s">
        <v>1160</v>
      </c>
      <c r="K1068" t="str">
        <f>IF(ISBLANK(Mitigation_Industry!K701),"",Mitigation_Industry!K701)</f>
        <v/>
      </c>
      <c r="L1068">
        <f>IF(ISBLANK(Mitigation_Industry!L701),"",Mitigation_Industry!L701)</f>
        <v>0</v>
      </c>
      <c r="M1068">
        <f>IF(ISBLANK(Mitigation_Industry!M701),"",Mitigation_Industry!M701)</f>
        <v>0</v>
      </c>
      <c r="N1068">
        <f>IF(ISBLANK(Mitigation_Industry!N701),"",Mitigation_Industry!N701)</f>
        <v>0</v>
      </c>
      <c r="O1068">
        <f>IF(ISBLANK(Mitigation_Industry!O701),"",Mitigation_Industry!O701)</f>
        <v>0</v>
      </c>
      <c r="P1068">
        <f>IF(ISBLANK(Mitigation_Industry!P701),"",Mitigation_Industry!P701)</f>
        <v>0</v>
      </c>
      <c r="Q1068">
        <f>IF(ISBLANK(Mitigation_Industry!Q701),"",Mitigation_Industry!Q701)</f>
        <v>3.6037499999999998</v>
      </c>
      <c r="R1068">
        <f>IF(ISBLANK(Mitigation_Industry!R701),"",Mitigation_Industry!R701)</f>
        <v>7.2074999999999996</v>
      </c>
      <c r="S1068">
        <f>IF(ISBLANK(Mitigation_Industry!S701),"",Mitigation_Industry!S701)</f>
        <v>10.811249999999999</v>
      </c>
      <c r="T1068">
        <f>IF(ISBLANK(Mitigation_Industry!T701),"",Mitigation_Industry!T701)</f>
        <v>14.414999999999999</v>
      </c>
      <c r="U1068">
        <f>IF(ISBLANK(Mitigation_Industry!U701),"",Mitigation_Industry!U701)</f>
        <v>18.018750000000001</v>
      </c>
      <c r="V1068">
        <f>IF(ISBLANK(Mitigation_Industry!V701),"",Mitigation_Industry!V701)</f>
        <v>21.622499999999999</v>
      </c>
      <c r="W1068">
        <f>IF(ISBLANK(Mitigation_Industry!W701),"",Mitigation_Industry!W701)</f>
        <v>25.22625</v>
      </c>
      <c r="X1068">
        <f>IF(ISBLANK(Mitigation_Industry!X701),"",Mitigation_Industry!X701)</f>
        <v>28.83</v>
      </c>
      <c r="Y1068">
        <f>IF(ISBLANK(Mitigation_Industry!Y701),"",Mitigation_Industry!Y701)</f>
        <v>32.433750000000003</v>
      </c>
      <c r="Z1068">
        <f>IF(ISBLANK(Mitigation_Industry!Z701),"",Mitigation_Industry!Z701)</f>
        <v>36.037500000000001</v>
      </c>
      <c r="AA1068">
        <f>IF(ISBLANK(Mitigation_Industry!AA701),"",Mitigation_Industry!AA701)</f>
        <v>39.641249999999999</v>
      </c>
      <c r="AB1068">
        <f>IF(ISBLANK(Mitigation_Industry!AB701),"",Mitigation_Industry!AB701)</f>
        <v>43.244999999999997</v>
      </c>
      <c r="AC1068">
        <f>IF(ISBLANK(Mitigation_Industry!AC701),"",Mitigation_Industry!AC701)</f>
        <v>46.848750000000003</v>
      </c>
      <c r="AD1068">
        <f>IF(ISBLANK(Mitigation_Industry!AD701),"",Mitigation_Industry!AD701)</f>
        <v>50.452500000000001</v>
      </c>
      <c r="AE1068">
        <f>IF(ISBLANK(Mitigation_Industry!AE701),"",Mitigation_Industry!AE701)</f>
        <v>54.056249999999999</v>
      </c>
    </row>
    <row r="1069" spans="1:31" x14ac:dyDescent="0.45">
      <c r="A1069" t="s">
        <v>1633</v>
      </c>
      <c r="B1069" t="s">
        <v>1474</v>
      </c>
      <c r="C1069" t="s">
        <v>1459</v>
      </c>
      <c r="D1069">
        <v>2</v>
      </c>
      <c r="E1069" t="s">
        <v>1161</v>
      </c>
      <c r="F1069">
        <f>MAX(MAX(L1069:AE1069),-MIN(L1069:AE1069))</f>
        <v>54.056249999999999</v>
      </c>
      <c r="I1069" t="s">
        <v>1588</v>
      </c>
      <c r="J1069" t="s">
        <v>1630</v>
      </c>
      <c r="K1069">
        <f t="shared" ref="K1069:AE1069" si="264">IF(ISNUMBER(K1067),IF(ISNUMBER(K1068),K1068-K1067,999999),0)</f>
        <v>0</v>
      </c>
      <c r="L1069">
        <f t="shared" si="264"/>
        <v>0</v>
      </c>
      <c r="M1069">
        <f t="shared" si="264"/>
        <v>0</v>
      </c>
      <c r="N1069">
        <f t="shared" si="264"/>
        <v>0</v>
      </c>
      <c r="O1069">
        <f t="shared" si="264"/>
        <v>0</v>
      </c>
      <c r="P1069">
        <f t="shared" si="264"/>
        <v>0</v>
      </c>
      <c r="Q1069">
        <f t="shared" si="264"/>
        <v>3.6037499999999998</v>
      </c>
      <c r="R1069">
        <f t="shared" si="264"/>
        <v>7.2074999999999996</v>
      </c>
      <c r="S1069">
        <f t="shared" si="264"/>
        <v>10.811249999999999</v>
      </c>
      <c r="T1069">
        <f t="shared" si="264"/>
        <v>14.414999999999999</v>
      </c>
      <c r="U1069">
        <f t="shared" si="264"/>
        <v>18.018750000000001</v>
      </c>
      <c r="V1069">
        <f t="shared" si="264"/>
        <v>21.622499999999999</v>
      </c>
      <c r="W1069">
        <f t="shared" si="264"/>
        <v>25.22625</v>
      </c>
      <c r="X1069">
        <f t="shared" si="264"/>
        <v>28.83</v>
      </c>
      <c r="Y1069">
        <f t="shared" si="264"/>
        <v>32.433750000000003</v>
      </c>
      <c r="Z1069">
        <f t="shared" si="264"/>
        <v>36.037500000000001</v>
      </c>
      <c r="AA1069">
        <f t="shared" si="264"/>
        <v>39.641249999999999</v>
      </c>
      <c r="AB1069">
        <f t="shared" si="264"/>
        <v>43.244999999999997</v>
      </c>
      <c r="AC1069">
        <f t="shared" si="264"/>
        <v>46.848750000000003</v>
      </c>
      <c r="AD1069">
        <f t="shared" si="264"/>
        <v>50.452500000000001</v>
      </c>
      <c r="AE1069">
        <f t="shared" si="264"/>
        <v>54.056249999999999</v>
      </c>
    </row>
    <row r="1071" spans="1:31" x14ac:dyDescent="0.45">
      <c r="A1071" t="s">
        <v>1634</v>
      </c>
      <c r="B1071" t="s">
        <v>1474</v>
      </c>
      <c r="C1071" t="s">
        <v>1462</v>
      </c>
      <c r="D1071">
        <v>2</v>
      </c>
      <c r="E1071" t="s">
        <v>1159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45">
      <c r="A1072" t="s">
        <v>1634</v>
      </c>
      <c r="B1072" t="s">
        <v>1474</v>
      </c>
      <c r="C1072" t="s">
        <v>1462</v>
      </c>
      <c r="D1072">
        <v>2</v>
      </c>
      <c r="E1072" t="s">
        <v>1160</v>
      </c>
      <c r="K1072" t="str">
        <f>IF(ISBLANK(Mitigation_Industry!K702),"",Mitigation_Industry!K702)</f>
        <v/>
      </c>
      <c r="L1072">
        <f>IF(ISBLANK(Mitigation_Industry!L702),"",Mitigation_Industry!L702)</f>
        <v>0</v>
      </c>
      <c r="M1072">
        <f>IF(ISBLANK(Mitigation_Industry!M702),"",Mitigation_Industry!M702)</f>
        <v>0</v>
      </c>
      <c r="N1072">
        <f>IF(ISBLANK(Mitigation_Industry!N702),"",Mitigation_Industry!N702)</f>
        <v>0</v>
      </c>
      <c r="O1072">
        <f>IF(ISBLANK(Mitigation_Industry!O702),"",Mitigation_Industry!O702)</f>
        <v>0</v>
      </c>
      <c r="P1072">
        <f>IF(ISBLANK(Mitigation_Industry!P702),"",Mitigation_Industry!P702)</f>
        <v>0</v>
      </c>
      <c r="Q1072">
        <f>IF(ISBLANK(Mitigation_Industry!Q702),"",Mitigation_Industry!Q702)</f>
        <v>23.141249999999999</v>
      </c>
      <c r="R1072">
        <f>IF(ISBLANK(Mitigation_Industry!R702),"",Mitigation_Industry!R702)</f>
        <v>46.282499999999999</v>
      </c>
      <c r="S1072">
        <f>IF(ISBLANK(Mitigation_Industry!S702),"",Mitigation_Industry!S702)</f>
        <v>69.423749999999998</v>
      </c>
      <c r="T1072">
        <f>IF(ISBLANK(Mitigation_Industry!T702),"",Mitigation_Industry!T702)</f>
        <v>92.564999999999998</v>
      </c>
      <c r="U1072">
        <f>IF(ISBLANK(Mitigation_Industry!U702),"",Mitigation_Industry!U702)</f>
        <v>115.70625</v>
      </c>
      <c r="V1072">
        <f>IF(ISBLANK(Mitigation_Industry!V702),"",Mitigation_Industry!V702)</f>
        <v>138.8475</v>
      </c>
      <c r="W1072">
        <f>IF(ISBLANK(Mitigation_Industry!W702),"",Mitigation_Industry!W702)</f>
        <v>161.98874999999998</v>
      </c>
      <c r="X1072">
        <f>IF(ISBLANK(Mitigation_Industry!X702),"",Mitigation_Industry!X702)</f>
        <v>185.13</v>
      </c>
      <c r="Y1072">
        <f>IF(ISBLANK(Mitigation_Industry!Y702),"",Mitigation_Industry!Y702)</f>
        <v>208.27124999999998</v>
      </c>
      <c r="Z1072">
        <f>IF(ISBLANK(Mitigation_Industry!Z702),"",Mitigation_Industry!Z702)</f>
        <v>231.41249999999999</v>
      </c>
      <c r="AA1072">
        <f>IF(ISBLANK(Mitigation_Industry!AA702),"",Mitigation_Industry!AA702)</f>
        <v>254.55374999999998</v>
      </c>
      <c r="AB1072">
        <f>IF(ISBLANK(Mitigation_Industry!AB702),"",Mitigation_Industry!AB702)</f>
        <v>277.69499999999999</v>
      </c>
      <c r="AC1072">
        <f>IF(ISBLANK(Mitigation_Industry!AC702),"",Mitigation_Industry!AC702)</f>
        <v>300.83625000000001</v>
      </c>
      <c r="AD1072">
        <f>IF(ISBLANK(Mitigation_Industry!AD702),"",Mitigation_Industry!AD702)</f>
        <v>323.97749999999996</v>
      </c>
      <c r="AE1072">
        <f>IF(ISBLANK(Mitigation_Industry!AE702),"",Mitigation_Industry!AE702)</f>
        <v>347.11874999999998</v>
      </c>
    </row>
    <row r="1073" spans="1:31" x14ac:dyDescent="0.45">
      <c r="A1073" t="s">
        <v>1634</v>
      </c>
      <c r="B1073" t="s">
        <v>1474</v>
      </c>
      <c r="C1073" t="s">
        <v>1462</v>
      </c>
      <c r="D1073">
        <v>2</v>
      </c>
      <c r="E1073" t="s">
        <v>1161</v>
      </c>
      <c r="F1073">
        <f>MAX(MAX(L1073:AE1073),-MIN(L1073:AE1073))</f>
        <v>347.11874999999998</v>
      </c>
      <c r="I1073" t="s">
        <v>1588</v>
      </c>
      <c r="J1073" t="s">
        <v>1630</v>
      </c>
      <c r="K1073">
        <f t="shared" ref="K1073:AE1073" si="265">IF(ISNUMBER(K1071),IF(ISNUMBER(K1072),K1072-K1071,999999),0)</f>
        <v>0</v>
      </c>
      <c r="L1073">
        <f t="shared" si="265"/>
        <v>0</v>
      </c>
      <c r="M1073">
        <f t="shared" si="265"/>
        <v>0</v>
      </c>
      <c r="N1073">
        <f t="shared" si="265"/>
        <v>0</v>
      </c>
      <c r="O1073">
        <f t="shared" si="265"/>
        <v>0</v>
      </c>
      <c r="P1073">
        <f t="shared" si="265"/>
        <v>0</v>
      </c>
      <c r="Q1073">
        <f t="shared" si="265"/>
        <v>23.141249999999999</v>
      </c>
      <c r="R1073">
        <f t="shared" si="265"/>
        <v>46.282499999999999</v>
      </c>
      <c r="S1073">
        <f t="shared" si="265"/>
        <v>69.423749999999998</v>
      </c>
      <c r="T1073">
        <f t="shared" si="265"/>
        <v>92.564999999999998</v>
      </c>
      <c r="U1073">
        <f t="shared" si="265"/>
        <v>115.70625</v>
      </c>
      <c r="V1073">
        <f t="shared" si="265"/>
        <v>138.8475</v>
      </c>
      <c r="W1073">
        <f t="shared" si="265"/>
        <v>161.98874999999998</v>
      </c>
      <c r="X1073">
        <f t="shared" si="265"/>
        <v>185.13</v>
      </c>
      <c r="Y1073">
        <f t="shared" si="265"/>
        <v>208.27124999999998</v>
      </c>
      <c r="Z1073">
        <f t="shared" si="265"/>
        <v>231.41249999999999</v>
      </c>
      <c r="AA1073">
        <f t="shared" si="265"/>
        <v>254.55374999999998</v>
      </c>
      <c r="AB1073">
        <f t="shared" si="265"/>
        <v>277.69499999999999</v>
      </c>
      <c r="AC1073">
        <f t="shared" si="265"/>
        <v>300.83625000000001</v>
      </c>
      <c r="AD1073">
        <f t="shared" si="265"/>
        <v>323.97749999999996</v>
      </c>
      <c r="AE1073">
        <f t="shared" si="265"/>
        <v>347.11874999999998</v>
      </c>
    </row>
    <row r="1075" spans="1:31" x14ac:dyDescent="0.45">
      <c r="A1075" t="s">
        <v>1635</v>
      </c>
      <c r="B1075" t="s">
        <v>1474</v>
      </c>
      <c r="C1075" t="s">
        <v>1465</v>
      </c>
      <c r="D1075">
        <v>2</v>
      </c>
      <c r="E1075" t="s">
        <v>1159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45">
      <c r="A1076" t="s">
        <v>1635</v>
      </c>
      <c r="B1076" t="s">
        <v>1474</v>
      </c>
      <c r="C1076" t="s">
        <v>1465</v>
      </c>
      <c r="D1076">
        <v>2</v>
      </c>
      <c r="E1076" t="s">
        <v>1160</v>
      </c>
      <c r="K1076" t="str">
        <f>IF(ISBLANK(Mitigation_Industry!K703),"",Mitigation_Industry!K703)</f>
        <v/>
      </c>
      <c r="L1076">
        <f>IF(ISBLANK(Mitigation_Industry!L703),"",Mitigation_Industry!L703)</f>
        <v>0</v>
      </c>
      <c r="M1076">
        <f>IF(ISBLANK(Mitigation_Industry!M703),"",Mitigation_Industry!M703)</f>
        <v>0</v>
      </c>
      <c r="N1076">
        <f>IF(ISBLANK(Mitigation_Industry!N703),"",Mitigation_Industry!N703)</f>
        <v>0</v>
      </c>
      <c r="O1076">
        <f>IF(ISBLANK(Mitigation_Industry!O703),"",Mitigation_Industry!O703)</f>
        <v>0</v>
      </c>
      <c r="P1076">
        <f>IF(ISBLANK(Mitigation_Industry!P703),"",Mitigation_Industry!P703)</f>
        <v>0</v>
      </c>
      <c r="Q1076">
        <f>IF(ISBLANK(Mitigation_Industry!Q703),"",Mitigation_Industry!Q703)</f>
        <v>1.4024999999999999</v>
      </c>
      <c r="R1076">
        <f>IF(ISBLANK(Mitigation_Industry!R703),"",Mitigation_Industry!R703)</f>
        <v>2.8049999999999997</v>
      </c>
      <c r="S1076">
        <f>IF(ISBLANK(Mitigation_Industry!S703),"",Mitigation_Industry!S703)</f>
        <v>4.2074999999999996</v>
      </c>
      <c r="T1076">
        <f>IF(ISBLANK(Mitigation_Industry!T703),"",Mitigation_Industry!T703)</f>
        <v>5.6099999999999994</v>
      </c>
      <c r="U1076">
        <f>IF(ISBLANK(Mitigation_Industry!U703),"",Mitigation_Industry!U703)</f>
        <v>7.0124999999999993</v>
      </c>
      <c r="V1076">
        <f>IF(ISBLANK(Mitigation_Industry!V703),"",Mitigation_Industry!V703)</f>
        <v>8.4149999999999991</v>
      </c>
      <c r="W1076">
        <f>IF(ISBLANK(Mitigation_Industry!W703),"",Mitigation_Industry!W703)</f>
        <v>9.817499999999999</v>
      </c>
      <c r="X1076">
        <f>IF(ISBLANK(Mitigation_Industry!X703),"",Mitigation_Industry!X703)</f>
        <v>11.219999999999999</v>
      </c>
      <c r="Y1076">
        <f>IF(ISBLANK(Mitigation_Industry!Y703),"",Mitigation_Industry!Y703)</f>
        <v>12.622499999999999</v>
      </c>
      <c r="Z1076">
        <f>IF(ISBLANK(Mitigation_Industry!Z703),"",Mitigation_Industry!Z703)</f>
        <v>14.024999999999999</v>
      </c>
      <c r="AA1076">
        <f>IF(ISBLANK(Mitigation_Industry!AA703),"",Mitigation_Industry!AA703)</f>
        <v>15.427499999999998</v>
      </c>
      <c r="AB1076">
        <f>IF(ISBLANK(Mitigation_Industry!AB703),"",Mitigation_Industry!AB703)</f>
        <v>16.829999999999998</v>
      </c>
      <c r="AC1076">
        <f>IF(ISBLANK(Mitigation_Industry!AC703),"",Mitigation_Industry!AC703)</f>
        <v>18.232499999999998</v>
      </c>
      <c r="AD1076">
        <f>IF(ISBLANK(Mitigation_Industry!AD703),"",Mitigation_Industry!AD703)</f>
        <v>19.634999999999998</v>
      </c>
      <c r="AE1076">
        <f>IF(ISBLANK(Mitigation_Industry!AE703),"",Mitigation_Industry!AE703)</f>
        <v>21.037499999999998</v>
      </c>
    </row>
    <row r="1077" spans="1:31" x14ac:dyDescent="0.45">
      <c r="A1077" t="s">
        <v>1635</v>
      </c>
      <c r="B1077" t="s">
        <v>1474</v>
      </c>
      <c r="C1077" t="s">
        <v>1465</v>
      </c>
      <c r="D1077">
        <v>2</v>
      </c>
      <c r="E1077" t="s">
        <v>1161</v>
      </c>
      <c r="F1077">
        <f>MAX(MAX(L1077:AE1077),-MIN(L1077:AE1077))</f>
        <v>21.037499999999998</v>
      </c>
      <c r="I1077" t="s">
        <v>1588</v>
      </c>
      <c r="J1077" t="s">
        <v>1630</v>
      </c>
      <c r="K1077">
        <f t="shared" ref="K1077:AE1077" si="266">IF(ISNUMBER(K1075),IF(ISNUMBER(K1076),K1076-K1075,999999),0)</f>
        <v>0</v>
      </c>
      <c r="L1077">
        <f t="shared" si="266"/>
        <v>0</v>
      </c>
      <c r="M1077">
        <f t="shared" si="266"/>
        <v>0</v>
      </c>
      <c r="N1077">
        <f t="shared" si="266"/>
        <v>0</v>
      </c>
      <c r="O1077">
        <f t="shared" si="266"/>
        <v>0</v>
      </c>
      <c r="P1077">
        <f t="shared" si="266"/>
        <v>0</v>
      </c>
      <c r="Q1077">
        <f t="shared" si="266"/>
        <v>1.4024999999999999</v>
      </c>
      <c r="R1077">
        <f t="shared" si="266"/>
        <v>2.8049999999999997</v>
      </c>
      <c r="S1077">
        <f t="shared" si="266"/>
        <v>4.2074999999999996</v>
      </c>
      <c r="T1077">
        <f t="shared" si="266"/>
        <v>5.6099999999999994</v>
      </c>
      <c r="U1077">
        <f t="shared" si="266"/>
        <v>7.0124999999999993</v>
      </c>
      <c r="V1077">
        <f t="shared" si="266"/>
        <v>8.4149999999999991</v>
      </c>
      <c r="W1077">
        <f t="shared" si="266"/>
        <v>9.817499999999999</v>
      </c>
      <c r="X1077">
        <f t="shared" si="266"/>
        <v>11.219999999999999</v>
      </c>
      <c r="Y1077">
        <f t="shared" si="266"/>
        <v>12.622499999999999</v>
      </c>
      <c r="Z1077">
        <f t="shared" si="266"/>
        <v>14.024999999999999</v>
      </c>
      <c r="AA1077">
        <f t="shared" si="266"/>
        <v>15.427499999999998</v>
      </c>
      <c r="AB1077">
        <f t="shared" si="266"/>
        <v>16.829999999999998</v>
      </c>
      <c r="AC1077">
        <f t="shared" si="266"/>
        <v>18.232499999999998</v>
      </c>
      <c r="AD1077">
        <f t="shared" si="266"/>
        <v>19.634999999999998</v>
      </c>
      <c r="AE1077">
        <f t="shared" si="266"/>
        <v>21.037499999999998</v>
      </c>
    </row>
    <row r="1079" spans="1:31" x14ac:dyDescent="0.45">
      <c r="A1079" t="s">
        <v>1636</v>
      </c>
      <c r="B1079" t="s">
        <v>1474</v>
      </c>
      <c r="C1079" t="s">
        <v>1468</v>
      </c>
      <c r="D1079">
        <v>2</v>
      </c>
      <c r="E1079" t="s">
        <v>1159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45">
      <c r="A1080" t="s">
        <v>1636</v>
      </c>
      <c r="B1080" t="s">
        <v>1474</v>
      </c>
      <c r="C1080" t="s">
        <v>1468</v>
      </c>
      <c r="D1080">
        <v>2</v>
      </c>
      <c r="E1080" t="s">
        <v>1160</v>
      </c>
      <c r="K1080" t="str">
        <f>IF(ISBLANK(Mitigation_Industry!K704),"",Mitigation_Industry!K704)</f>
        <v/>
      </c>
      <c r="L1080">
        <f>IF(ISBLANK(Mitigation_Industry!L704),"",Mitigation_Industry!L704)</f>
        <v>0</v>
      </c>
      <c r="M1080">
        <f>IF(ISBLANK(Mitigation_Industry!M704),"",Mitigation_Industry!M704)</f>
        <v>0</v>
      </c>
      <c r="N1080">
        <f>IF(ISBLANK(Mitigation_Industry!N704),"",Mitigation_Industry!N704)</f>
        <v>0</v>
      </c>
      <c r="O1080">
        <f>IF(ISBLANK(Mitigation_Industry!O704),"",Mitigation_Industry!O704)</f>
        <v>0</v>
      </c>
      <c r="P1080">
        <f>IF(ISBLANK(Mitigation_Industry!P704),"",Mitigation_Industry!P704)</f>
        <v>0</v>
      </c>
      <c r="Q1080">
        <f>IF(ISBLANK(Mitigation_Industry!Q704),"",Mitigation_Industry!Q704)</f>
        <v>1.4024999999999999</v>
      </c>
      <c r="R1080">
        <f>IF(ISBLANK(Mitigation_Industry!R704),"",Mitigation_Industry!R704)</f>
        <v>2.8049999999999997</v>
      </c>
      <c r="S1080">
        <f>IF(ISBLANK(Mitigation_Industry!S704),"",Mitigation_Industry!S704)</f>
        <v>4.2074999999999996</v>
      </c>
      <c r="T1080">
        <f>IF(ISBLANK(Mitigation_Industry!T704),"",Mitigation_Industry!T704)</f>
        <v>5.6099999999999994</v>
      </c>
      <c r="U1080">
        <f>IF(ISBLANK(Mitigation_Industry!U704),"",Mitigation_Industry!U704)</f>
        <v>7.0124999999999993</v>
      </c>
      <c r="V1080">
        <f>IF(ISBLANK(Mitigation_Industry!V704),"",Mitigation_Industry!V704)</f>
        <v>8.4149999999999991</v>
      </c>
      <c r="W1080">
        <f>IF(ISBLANK(Mitigation_Industry!W704),"",Mitigation_Industry!W704)</f>
        <v>9.817499999999999</v>
      </c>
      <c r="X1080">
        <f>IF(ISBLANK(Mitigation_Industry!X704),"",Mitigation_Industry!X704)</f>
        <v>11.219999999999999</v>
      </c>
      <c r="Y1080">
        <f>IF(ISBLANK(Mitigation_Industry!Y704),"",Mitigation_Industry!Y704)</f>
        <v>12.622499999999999</v>
      </c>
      <c r="Z1080">
        <f>IF(ISBLANK(Mitigation_Industry!Z704),"",Mitigation_Industry!Z704)</f>
        <v>14.024999999999999</v>
      </c>
      <c r="AA1080">
        <f>IF(ISBLANK(Mitigation_Industry!AA704),"",Mitigation_Industry!AA704)</f>
        <v>15.427499999999998</v>
      </c>
      <c r="AB1080">
        <f>IF(ISBLANK(Mitigation_Industry!AB704),"",Mitigation_Industry!AB704)</f>
        <v>16.829999999999998</v>
      </c>
      <c r="AC1080">
        <f>IF(ISBLANK(Mitigation_Industry!AC704),"",Mitigation_Industry!AC704)</f>
        <v>18.232499999999998</v>
      </c>
      <c r="AD1080">
        <f>IF(ISBLANK(Mitigation_Industry!AD704),"",Mitigation_Industry!AD704)</f>
        <v>19.634999999999998</v>
      </c>
      <c r="AE1080">
        <f>IF(ISBLANK(Mitigation_Industry!AE704),"",Mitigation_Industry!AE704)</f>
        <v>21.037499999999998</v>
      </c>
    </row>
    <row r="1081" spans="1:31" x14ac:dyDescent="0.45">
      <c r="A1081" t="s">
        <v>1636</v>
      </c>
      <c r="B1081" t="s">
        <v>1474</v>
      </c>
      <c r="C1081" t="s">
        <v>1468</v>
      </c>
      <c r="D1081">
        <v>2</v>
      </c>
      <c r="E1081" t="s">
        <v>1161</v>
      </c>
      <c r="F1081">
        <f>MAX(MAX(L1081:AE1081),-MIN(L1081:AE1081))</f>
        <v>21.037499999999998</v>
      </c>
      <c r="I1081" t="s">
        <v>1588</v>
      </c>
      <c r="J1081" t="s">
        <v>1630</v>
      </c>
      <c r="K1081">
        <f t="shared" ref="K1081:AE1081" si="267">IF(ISNUMBER(K1079),IF(ISNUMBER(K1080),K1080-K1079,999999),0)</f>
        <v>0</v>
      </c>
      <c r="L1081">
        <f t="shared" si="267"/>
        <v>0</v>
      </c>
      <c r="M1081">
        <f t="shared" si="267"/>
        <v>0</v>
      </c>
      <c r="N1081">
        <f t="shared" si="267"/>
        <v>0</v>
      </c>
      <c r="O1081">
        <f t="shared" si="267"/>
        <v>0</v>
      </c>
      <c r="P1081">
        <f t="shared" si="267"/>
        <v>0</v>
      </c>
      <c r="Q1081">
        <f t="shared" si="267"/>
        <v>1.4024999999999999</v>
      </c>
      <c r="R1081">
        <f t="shared" si="267"/>
        <v>2.8049999999999997</v>
      </c>
      <c r="S1081">
        <f t="shared" si="267"/>
        <v>4.2074999999999996</v>
      </c>
      <c r="T1081">
        <f t="shared" si="267"/>
        <v>5.6099999999999994</v>
      </c>
      <c r="U1081">
        <f t="shared" si="267"/>
        <v>7.0124999999999993</v>
      </c>
      <c r="V1081">
        <f t="shared" si="267"/>
        <v>8.4149999999999991</v>
      </c>
      <c r="W1081">
        <f t="shared" si="267"/>
        <v>9.817499999999999</v>
      </c>
      <c r="X1081">
        <f t="shared" si="267"/>
        <v>11.219999999999999</v>
      </c>
      <c r="Y1081">
        <f t="shared" si="267"/>
        <v>12.622499999999999</v>
      </c>
      <c r="Z1081">
        <f t="shared" si="267"/>
        <v>14.024999999999999</v>
      </c>
      <c r="AA1081">
        <f t="shared" si="267"/>
        <v>15.427499999999998</v>
      </c>
      <c r="AB1081">
        <f t="shared" si="267"/>
        <v>16.829999999999998</v>
      </c>
      <c r="AC1081">
        <f t="shared" si="267"/>
        <v>18.232499999999998</v>
      </c>
      <c r="AD1081">
        <f t="shared" si="267"/>
        <v>19.634999999999998</v>
      </c>
      <c r="AE1081">
        <f t="shared" si="267"/>
        <v>21.037499999999998</v>
      </c>
    </row>
    <row r="1083" spans="1:31" x14ac:dyDescent="0.45">
      <c r="A1083" t="s">
        <v>1637</v>
      </c>
      <c r="B1083" t="s">
        <v>1474</v>
      </c>
      <c r="C1083" t="s">
        <v>1471</v>
      </c>
      <c r="D1083">
        <v>2</v>
      </c>
      <c r="E1083" t="s">
        <v>1159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45">
      <c r="A1084" t="s">
        <v>1637</v>
      </c>
      <c r="B1084" t="s">
        <v>1474</v>
      </c>
      <c r="C1084" t="s">
        <v>1471</v>
      </c>
      <c r="D1084">
        <v>2</v>
      </c>
      <c r="E1084" t="s">
        <v>1160</v>
      </c>
      <c r="K1084" t="str">
        <f>IF(ISBLANK(Mitigation_Industry!K705),"",Mitigation_Industry!K705)</f>
        <v/>
      </c>
      <c r="L1084">
        <f>IF(ISBLANK(Mitigation_Industry!L705),"",Mitigation_Industry!L705)</f>
        <v>0</v>
      </c>
      <c r="M1084">
        <f>IF(ISBLANK(Mitigation_Industry!M705),"",Mitigation_Industry!M705)</f>
        <v>0</v>
      </c>
      <c r="N1084">
        <f>IF(ISBLANK(Mitigation_Industry!N705),"",Mitigation_Industry!N705)</f>
        <v>0</v>
      </c>
      <c r="O1084">
        <f>IF(ISBLANK(Mitigation_Industry!O705),"",Mitigation_Industry!O705)</f>
        <v>0</v>
      </c>
      <c r="P1084">
        <f>IF(ISBLANK(Mitigation_Industry!P705),"",Mitigation_Industry!P705)</f>
        <v>0</v>
      </c>
      <c r="Q1084">
        <f>IF(ISBLANK(Mitigation_Industry!Q705),"",Mitigation_Industry!Q705)</f>
        <v>1.95</v>
      </c>
      <c r="R1084">
        <f>IF(ISBLANK(Mitigation_Industry!R705),"",Mitigation_Industry!R705)</f>
        <v>3.9</v>
      </c>
      <c r="S1084">
        <f>IF(ISBLANK(Mitigation_Industry!S705),"",Mitigation_Industry!S705)</f>
        <v>5.85</v>
      </c>
      <c r="T1084">
        <f>IF(ISBLANK(Mitigation_Industry!T705),"",Mitigation_Industry!T705)</f>
        <v>7.8</v>
      </c>
      <c r="U1084">
        <f>IF(ISBLANK(Mitigation_Industry!U705),"",Mitigation_Industry!U705)</f>
        <v>9.75</v>
      </c>
      <c r="V1084">
        <f>IF(ISBLANK(Mitigation_Industry!V705),"",Mitigation_Industry!V705)</f>
        <v>11.7</v>
      </c>
      <c r="W1084">
        <f>IF(ISBLANK(Mitigation_Industry!W705),"",Mitigation_Industry!W705)</f>
        <v>13.65</v>
      </c>
      <c r="X1084">
        <f>IF(ISBLANK(Mitigation_Industry!X705),"",Mitigation_Industry!X705)</f>
        <v>15.6</v>
      </c>
      <c r="Y1084">
        <f>IF(ISBLANK(Mitigation_Industry!Y705),"",Mitigation_Industry!Y705)</f>
        <v>17.55</v>
      </c>
      <c r="Z1084">
        <f>IF(ISBLANK(Mitigation_Industry!Z705),"",Mitigation_Industry!Z705)</f>
        <v>19.5</v>
      </c>
      <c r="AA1084">
        <f>IF(ISBLANK(Mitigation_Industry!AA705),"",Mitigation_Industry!AA705)</f>
        <v>21.45</v>
      </c>
      <c r="AB1084">
        <f>IF(ISBLANK(Mitigation_Industry!AB705),"",Mitigation_Industry!AB705)</f>
        <v>23.4</v>
      </c>
      <c r="AC1084">
        <f>IF(ISBLANK(Mitigation_Industry!AC705),"",Mitigation_Industry!AC705)</f>
        <v>25.35</v>
      </c>
      <c r="AD1084">
        <f>IF(ISBLANK(Mitigation_Industry!AD705),"",Mitigation_Industry!AD705)</f>
        <v>27.3</v>
      </c>
      <c r="AE1084">
        <f>IF(ISBLANK(Mitigation_Industry!AE705),"",Mitigation_Industry!AE705)</f>
        <v>29.25</v>
      </c>
    </row>
    <row r="1085" spans="1:31" x14ac:dyDescent="0.45">
      <c r="A1085" t="s">
        <v>1637</v>
      </c>
      <c r="B1085" t="s">
        <v>1474</v>
      </c>
      <c r="C1085" t="s">
        <v>1471</v>
      </c>
      <c r="D1085">
        <v>2</v>
      </c>
      <c r="E1085" t="s">
        <v>1161</v>
      </c>
      <c r="F1085">
        <f>MAX(MAX(L1085:AE1085),-MIN(L1085:AE1085))</f>
        <v>29.25</v>
      </c>
      <c r="I1085" t="s">
        <v>1588</v>
      </c>
      <c r="J1085" t="s">
        <v>1630</v>
      </c>
      <c r="K1085">
        <f t="shared" ref="K1085:AE1085" si="268">IF(ISNUMBER(K1083),IF(ISNUMBER(K1084),K1084-K1083,999999),0)</f>
        <v>0</v>
      </c>
      <c r="L1085">
        <f t="shared" si="268"/>
        <v>0</v>
      </c>
      <c r="M1085">
        <f t="shared" si="268"/>
        <v>0</v>
      </c>
      <c r="N1085">
        <f t="shared" si="268"/>
        <v>0</v>
      </c>
      <c r="O1085">
        <f t="shared" si="268"/>
        <v>0</v>
      </c>
      <c r="P1085">
        <f t="shared" si="268"/>
        <v>0</v>
      </c>
      <c r="Q1085">
        <f t="shared" si="268"/>
        <v>1.95</v>
      </c>
      <c r="R1085">
        <f t="shared" si="268"/>
        <v>3.9</v>
      </c>
      <c r="S1085">
        <f t="shared" si="268"/>
        <v>5.85</v>
      </c>
      <c r="T1085">
        <f t="shared" si="268"/>
        <v>7.8</v>
      </c>
      <c r="U1085">
        <f t="shared" si="268"/>
        <v>9.75</v>
      </c>
      <c r="V1085">
        <f t="shared" si="268"/>
        <v>11.7</v>
      </c>
      <c r="W1085">
        <f t="shared" si="268"/>
        <v>13.65</v>
      </c>
      <c r="X1085">
        <f t="shared" si="268"/>
        <v>15.6</v>
      </c>
      <c r="Y1085">
        <f t="shared" si="268"/>
        <v>17.55</v>
      </c>
      <c r="Z1085">
        <f t="shared" si="268"/>
        <v>19.5</v>
      </c>
      <c r="AA1085">
        <f t="shared" si="268"/>
        <v>21.45</v>
      </c>
      <c r="AB1085">
        <f t="shared" si="268"/>
        <v>23.4</v>
      </c>
      <c r="AC1085">
        <f t="shared" si="268"/>
        <v>25.35</v>
      </c>
      <c r="AD1085">
        <f t="shared" si="268"/>
        <v>27.3</v>
      </c>
      <c r="AE1085">
        <f t="shared" si="268"/>
        <v>29.25</v>
      </c>
    </row>
    <row r="1087" spans="1:31" x14ac:dyDescent="0.45">
      <c r="A1087" t="s">
        <v>1638</v>
      </c>
      <c r="B1087" t="s">
        <v>1477</v>
      </c>
      <c r="C1087" t="s">
        <v>1450</v>
      </c>
      <c r="D1087">
        <v>2</v>
      </c>
      <c r="E1087" t="s">
        <v>1159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45">
      <c r="A1088" t="s">
        <v>1638</v>
      </c>
      <c r="B1088" t="s">
        <v>1477</v>
      </c>
      <c r="C1088" t="s">
        <v>1450</v>
      </c>
      <c r="D1088">
        <v>2</v>
      </c>
      <c r="E1088" t="s">
        <v>1160</v>
      </c>
      <c r="K1088" t="str">
        <f>IF(ISBLANK(Mitigation_Industry!K709),"",Mitigation_Industry!K709)</f>
        <v/>
      </c>
      <c r="L1088">
        <f>IF(ISBLANK(Mitigation_Industry!L709),"",Mitigation_Industry!L709)</f>
        <v>0</v>
      </c>
      <c r="M1088">
        <f>IF(ISBLANK(Mitigation_Industry!M709),"",Mitigation_Industry!M709)</f>
        <v>0</v>
      </c>
      <c r="N1088">
        <f>IF(ISBLANK(Mitigation_Industry!N709),"",Mitigation_Industry!N709)</f>
        <v>0</v>
      </c>
      <c r="O1088">
        <f>IF(ISBLANK(Mitigation_Industry!O709),"",Mitigation_Industry!O709)</f>
        <v>0</v>
      </c>
      <c r="P1088">
        <f>IF(ISBLANK(Mitigation_Industry!P709),"",Mitigation_Industry!P709)</f>
        <v>0</v>
      </c>
      <c r="Q1088">
        <f>IF(ISBLANK(Mitigation_Industry!Q709),"",Mitigation_Industry!Q709)</f>
        <v>0</v>
      </c>
      <c r="R1088">
        <f>IF(ISBLANK(Mitigation_Industry!R709),"",Mitigation_Industry!R709)</f>
        <v>0</v>
      </c>
      <c r="S1088">
        <f>IF(ISBLANK(Mitigation_Industry!S709),"",Mitigation_Industry!S709)</f>
        <v>0</v>
      </c>
      <c r="T1088">
        <f>IF(ISBLANK(Mitigation_Industry!T709),"",Mitigation_Industry!T709)</f>
        <v>0</v>
      </c>
      <c r="U1088">
        <f>IF(ISBLANK(Mitigation_Industry!U709),"",Mitigation_Industry!U709)</f>
        <v>0</v>
      </c>
      <c r="V1088">
        <f>IF(ISBLANK(Mitigation_Industry!V709),"",Mitigation_Industry!V709)</f>
        <v>0</v>
      </c>
      <c r="W1088">
        <f>IF(ISBLANK(Mitigation_Industry!W709),"",Mitigation_Industry!W709)</f>
        <v>0</v>
      </c>
      <c r="X1088">
        <f>IF(ISBLANK(Mitigation_Industry!X709),"",Mitigation_Industry!X709)</f>
        <v>0</v>
      </c>
      <c r="Y1088">
        <f>IF(ISBLANK(Mitigation_Industry!Y709),"",Mitigation_Industry!Y709)</f>
        <v>0</v>
      </c>
      <c r="Z1088">
        <f>IF(ISBLANK(Mitigation_Industry!Z709),"",Mitigation_Industry!Z709)</f>
        <v>0</v>
      </c>
      <c r="AA1088">
        <f>IF(ISBLANK(Mitigation_Industry!AA709),"",Mitigation_Industry!AA709)</f>
        <v>0</v>
      </c>
      <c r="AB1088">
        <f>IF(ISBLANK(Mitigation_Industry!AB709),"",Mitigation_Industry!AB709)</f>
        <v>0</v>
      </c>
      <c r="AC1088">
        <f>IF(ISBLANK(Mitigation_Industry!AC709),"",Mitigation_Industry!AC709)</f>
        <v>0</v>
      </c>
      <c r="AD1088">
        <f>IF(ISBLANK(Mitigation_Industry!AD709),"",Mitigation_Industry!AD709)</f>
        <v>0</v>
      </c>
      <c r="AE1088">
        <f>IF(ISBLANK(Mitigation_Industry!AE709),"",Mitigation_Industry!AE709)</f>
        <v>0</v>
      </c>
    </row>
    <row r="1089" spans="1:31" x14ac:dyDescent="0.45">
      <c r="A1089" t="s">
        <v>1638</v>
      </c>
      <c r="B1089" t="s">
        <v>1477</v>
      </c>
      <c r="C1089" t="s">
        <v>1450</v>
      </c>
      <c r="D1089">
        <v>2</v>
      </c>
      <c r="E1089" t="s">
        <v>1161</v>
      </c>
      <c r="F1089">
        <f>MAX(MAX(L1089:AE1089),-MIN(L1089:AE1089))</f>
        <v>0</v>
      </c>
      <c r="I1089" t="s">
        <v>1509</v>
      </c>
      <c r="K1089">
        <f t="shared" ref="K1089:AE1089" si="269">IF(ISNUMBER(K1087),IF(ISNUMBER(K1088),K1088-K1087,999999),0)</f>
        <v>0</v>
      </c>
      <c r="L1089">
        <f t="shared" si="269"/>
        <v>0</v>
      </c>
      <c r="M1089">
        <f t="shared" si="269"/>
        <v>0</v>
      </c>
      <c r="N1089">
        <f t="shared" si="269"/>
        <v>0</v>
      </c>
      <c r="O1089">
        <f t="shared" si="269"/>
        <v>0</v>
      </c>
      <c r="P1089">
        <f t="shared" si="269"/>
        <v>0</v>
      </c>
      <c r="Q1089">
        <f t="shared" si="269"/>
        <v>0</v>
      </c>
      <c r="R1089">
        <f t="shared" si="269"/>
        <v>0</v>
      </c>
      <c r="S1089">
        <f t="shared" si="269"/>
        <v>0</v>
      </c>
      <c r="T1089">
        <f t="shared" si="269"/>
        <v>0</v>
      </c>
      <c r="U1089">
        <f t="shared" si="269"/>
        <v>0</v>
      </c>
      <c r="V1089">
        <f t="shared" si="269"/>
        <v>0</v>
      </c>
      <c r="W1089">
        <f t="shared" si="269"/>
        <v>0</v>
      </c>
      <c r="X1089">
        <f t="shared" si="269"/>
        <v>0</v>
      </c>
      <c r="Y1089">
        <f t="shared" si="269"/>
        <v>0</v>
      </c>
      <c r="Z1089">
        <f t="shared" si="269"/>
        <v>0</v>
      </c>
      <c r="AA1089">
        <f t="shared" si="269"/>
        <v>0</v>
      </c>
      <c r="AB1089">
        <f t="shared" si="269"/>
        <v>0</v>
      </c>
      <c r="AC1089">
        <f t="shared" si="269"/>
        <v>0</v>
      </c>
      <c r="AD1089">
        <f t="shared" si="269"/>
        <v>0</v>
      </c>
      <c r="AE1089">
        <f t="shared" si="269"/>
        <v>0</v>
      </c>
    </row>
    <row r="1091" spans="1:31" x14ac:dyDescent="0.45">
      <c r="A1091" t="s">
        <v>1639</v>
      </c>
      <c r="B1091" t="s">
        <v>1477</v>
      </c>
      <c r="C1091" t="s">
        <v>1453</v>
      </c>
      <c r="D1091">
        <v>2</v>
      </c>
      <c r="E1091" t="s">
        <v>1159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45">
      <c r="A1092" t="s">
        <v>1639</v>
      </c>
      <c r="B1092" t="s">
        <v>1477</v>
      </c>
      <c r="C1092" t="s">
        <v>1453</v>
      </c>
      <c r="D1092">
        <v>2</v>
      </c>
      <c r="E1092" t="s">
        <v>1160</v>
      </c>
      <c r="K1092" t="str">
        <f>IF(ISBLANK(Mitigation_Industry!K710),"",Mitigation_Industry!K710)</f>
        <v/>
      </c>
      <c r="L1092">
        <f>IF(ISBLANK(Mitigation_Industry!L710),"",Mitigation_Industry!L710)</f>
        <v>0</v>
      </c>
      <c r="M1092">
        <f>IF(ISBLANK(Mitigation_Industry!M710),"",Mitigation_Industry!M710)</f>
        <v>0</v>
      </c>
      <c r="N1092">
        <f>IF(ISBLANK(Mitigation_Industry!N710),"",Mitigation_Industry!N710)</f>
        <v>0</v>
      </c>
      <c r="O1092">
        <f>IF(ISBLANK(Mitigation_Industry!O710),"",Mitigation_Industry!O710)</f>
        <v>0</v>
      </c>
      <c r="P1092">
        <f>IF(ISBLANK(Mitigation_Industry!P710),"",Mitigation_Industry!P710)</f>
        <v>0</v>
      </c>
      <c r="Q1092">
        <f>IF(ISBLANK(Mitigation_Industry!Q710),"",Mitigation_Industry!Q710)</f>
        <v>0</v>
      </c>
      <c r="R1092">
        <f>IF(ISBLANK(Mitigation_Industry!R710),"",Mitigation_Industry!R710)</f>
        <v>0</v>
      </c>
      <c r="S1092">
        <f>IF(ISBLANK(Mitigation_Industry!S710),"",Mitigation_Industry!S710)</f>
        <v>0</v>
      </c>
      <c r="T1092">
        <f>IF(ISBLANK(Mitigation_Industry!T710),"",Mitigation_Industry!T710)</f>
        <v>0</v>
      </c>
      <c r="U1092">
        <f>IF(ISBLANK(Mitigation_Industry!U710),"",Mitigation_Industry!U710)</f>
        <v>0</v>
      </c>
      <c r="V1092">
        <f>IF(ISBLANK(Mitigation_Industry!V710),"",Mitigation_Industry!V710)</f>
        <v>0</v>
      </c>
      <c r="W1092">
        <f>IF(ISBLANK(Mitigation_Industry!W710),"",Mitigation_Industry!W710)</f>
        <v>0</v>
      </c>
      <c r="X1092">
        <f>IF(ISBLANK(Mitigation_Industry!X710),"",Mitigation_Industry!X710)</f>
        <v>0</v>
      </c>
      <c r="Y1092">
        <f>IF(ISBLANK(Mitigation_Industry!Y710),"",Mitigation_Industry!Y710)</f>
        <v>0</v>
      </c>
      <c r="Z1092">
        <f>IF(ISBLANK(Mitigation_Industry!Z710),"",Mitigation_Industry!Z710)</f>
        <v>0</v>
      </c>
      <c r="AA1092">
        <f>IF(ISBLANK(Mitigation_Industry!AA710),"",Mitigation_Industry!AA710)</f>
        <v>0</v>
      </c>
      <c r="AB1092">
        <f>IF(ISBLANK(Mitigation_Industry!AB710),"",Mitigation_Industry!AB710)</f>
        <v>0</v>
      </c>
      <c r="AC1092">
        <f>IF(ISBLANK(Mitigation_Industry!AC710),"",Mitigation_Industry!AC710)</f>
        <v>0</v>
      </c>
      <c r="AD1092">
        <f>IF(ISBLANK(Mitigation_Industry!AD710),"",Mitigation_Industry!AD710)</f>
        <v>0</v>
      </c>
      <c r="AE1092">
        <f>IF(ISBLANK(Mitigation_Industry!AE710),"",Mitigation_Industry!AE710)</f>
        <v>0</v>
      </c>
    </row>
    <row r="1093" spans="1:31" x14ac:dyDescent="0.45">
      <c r="A1093" t="s">
        <v>1639</v>
      </c>
      <c r="B1093" t="s">
        <v>1477</v>
      </c>
      <c r="C1093" t="s">
        <v>1453</v>
      </c>
      <c r="D1093">
        <v>2</v>
      </c>
      <c r="E1093" t="s">
        <v>1161</v>
      </c>
      <c r="F1093">
        <f>MAX(MAX(L1093:AE1093),-MIN(L1093:AE1093))</f>
        <v>0</v>
      </c>
      <c r="I1093" t="s">
        <v>1509</v>
      </c>
      <c r="K1093">
        <f t="shared" ref="K1093:AE1093" si="270">IF(ISNUMBER(K1091),IF(ISNUMBER(K1092),K1092-K1091,999999),0)</f>
        <v>0</v>
      </c>
      <c r="L1093">
        <f t="shared" si="270"/>
        <v>0</v>
      </c>
      <c r="M1093">
        <f t="shared" si="270"/>
        <v>0</v>
      </c>
      <c r="N1093">
        <f t="shared" si="270"/>
        <v>0</v>
      </c>
      <c r="O1093">
        <f t="shared" si="270"/>
        <v>0</v>
      </c>
      <c r="P1093">
        <f t="shared" si="270"/>
        <v>0</v>
      </c>
      <c r="Q1093">
        <f t="shared" si="270"/>
        <v>0</v>
      </c>
      <c r="R1093">
        <f t="shared" si="270"/>
        <v>0</v>
      </c>
      <c r="S1093">
        <f t="shared" si="270"/>
        <v>0</v>
      </c>
      <c r="T1093">
        <f t="shared" si="270"/>
        <v>0</v>
      </c>
      <c r="U1093">
        <f t="shared" si="270"/>
        <v>0</v>
      </c>
      <c r="V1093">
        <f t="shared" si="270"/>
        <v>0</v>
      </c>
      <c r="W1093">
        <f t="shared" si="270"/>
        <v>0</v>
      </c>
      <c r="X1093">
        <f t="shared" si="270"/>
        <v>0</v>
      </c>
      <c r="Y1093">
        <f t="shared" si="270"/>
        <v>0</v>
      </c>
      <c r="Z1093">
        <f t="shared" si="270"/>
        <v>0</v>
      </c>
      <c r="AA1093">
        <f t="shared" si="270"/>
        <v>0</v>
      </c>
      <c r="AB1093">
        <f t="shared" si="270"/>
        <v>0</v>
      </c>
      <c r="AC1093">
        <f t="shared" si="270"/>
        <v>0</v>
      </c>
      <c r="AD1093">
        <f t="shared" si="270"/>
        <v>0</v>
      </c>
      <c r="AE1093">
        <f t="shared" si="270"/>
        <v>0</v>
      </c>
    </row>
    <row r="1095" spans="1:31" x14ac:dyDescent="0.45">
      <c r="A1095" t="s">
        <v>1640</v>
      </c>
      <c r="B1095" t="s">
        <v>1477</v>
      </c>
      <c r="C1095" t="s">
        <v>1456</v>
      </c>
      <c r="D1095">
        <v>2</v>
      </c>
      <c r="E1095" t="s">
        <v>1159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45">
      <c r="A1096" t="s">
        <v>1640</v>
      </c>
      <c r="B1096" t="s">
        <v>1477</v>
      </c>
      <c r="C1096" t="s">
        <v>1456</v>
      </c>
      <c r="D1096">
        <v>2</v>
      </c>
      <c r="E1096" t="s">
        <v>1160</v>
      </c>
      <c r="K1096" t="str">
        <f>IF(ISBLANK(Mitigation_Industry!K711),"",Mitigation_Industry!K711)</f>
        <v/>
      </c>
      <c r="L1096">
        <f>IF(ISBLANK(Mitigation_Industry!L711),"",Mitigation_Industry!L711)</f>
        <v>0</v>
      </c>
      <c r="M1096">
        <f>IF(ISBLANK(Mitigation_Industry!M711),"",Mitigation_Industry!M711)</f>
        <v>0</v>
      </c>
      <c r="N1096">
        <f>IF(ISBLANK(Mitigation_Industry!N711),"",Mitigation_Industry!N711)</f>
        <v>0</v>
      </c>
      <c r="O1096">
        <f>IF(ISBLANK(Mitigation_Industry!O711),"",Mitigation_Industry!O711)</f>
        <v>0</v>
      </c>
      <c r="P1096">
        <f>IF(ISBLANK(Mitigation_Industry!P711),"",Mitigation_Industry!P711)</f>
        <v>0</v>
      </c>
      <c r="Q1096">
        <f>IF(ISBLANK(Mitigation_Industry!Q711),"",Mitigation_Industry!Q711)</f>
        <v>0</v>
      </c>
      <c r="R1096">
        <f>IF(ISBLANK(Mitigation_Industry!R711),"",Mitigation_Industry!R711)</f>
        <v>0</v>
      </c>
      <c r="S1096">
        <f>IF(ISBLANK(Mitigation_Industry!S711),"",Mitigation_Industry!S711)</f>
        <v>0</v>
      </c>
      <c r="T1096">
        <f>IF(ISBLANK(Mitigation_Industry!T711),"",Mitigation_Industry!T711)</f>
        <v>0</v>
      </c>
      <c r="U1096">
        <f>IF(ISBLANK(Mitigation_Industry!U711),"",Mitigation_Industry!U711)</f>
        <v>0</v>
      </c>
      <c r="V1096">
        <f>IF(ISBLANK(Mitigation_Industry!V711),"",Mitigation_Industry!V711)</f>
        <v>0</v>
      </c>
      <c r="W1096">
        <f>IF(ISBLANK(Mitigation_Industry!W711),"",Mitigation_Industry!W711)</f>
        <v>0</v>
      </c>
      <c r="X1096">
        <f>IF(ISBLANK(Mitigation_Industry!X711),"",Mitigation_Industry!X711)</f>
        <v>0</v>
      </c>
      <c r="Y1096">
        <f>IF(ISBLANK(Mitigation_Industry!Y711),"",Mitigation_Industry!Y711)</f>
        <v>0</v>
      </c>
      <c r="Z1096">
        <f>IF(ISBLANK(Mitigation_Industry!Z711),"",Mitigation_Industry!Z711)</f>
        <v>0</v>
      </c>
      <c r="AA1096">
        <f>IF(ISBLANK(Mitigation_Industry!AA711),"",Mitigation_Industry!AA711)</f>
        <v>0</v>
      </c>
      <c r="AB1096">
        <f>IF(ISBLANK(Mitigation_Industry!AB711),"",Mitigation_Industry!AB711)</f>
        <v>0</v>
      </c>
      <c r="AC1096">
        <f>IF(ISBLANK(Mitigation_Industry!AC711),"",Mitigation_Industry!AC711)</f>
        <v>0</v>
      </c>
      <c r="AD1096">
        <f>IF(ISBLANK(Mitigation_Industry!AD711),"",Mitigation_Industry!AD711)</f>
        <v>0</v>
      </c>
      <c r="AE1096">
        <f>IF(ISBLANK(Mitigation_Industry!AE711),"",Mitigation_Industry!AE711)</f>
        <v>0</v>
      </c>
    </row>
    <row r="1097" spans="1:31" x14ac:dyDescent="0.45">
      <c r="A1097" t="s">
        <v>1640</v>
      </c>
      <c r="B1097" t="s">
        <v>1477</v>
      </c>
      <c r="C1097" t="s">
        <v>1456</v>
      </c>
      <c r="D1097">
        <v>2</v>
      </c>
      <c r="E1097" t="s">
        <v>1161</v>
      </c>
      <c r="F1097">
        <f>MAX(MAX(L1097:AE1097),-MIN(L1097:AE1097))</f>
        <v>0</v>
      </c>
      <c r="I1097" t="s">
        <v>1509</v>
      </c>
      <c r="K1097">
        <f t="shared" ref="K1097:AE1097" si="271">IF(ISNUMBER(K1095),IF(ISNUMBER(K1096),K1096-K1095,999999),0)</f>
        <v>0</v>
      </c>
      <c r="L1097">
        <f t="shared" si="271"/>
        <v>0</v>
      </c>
      <c r="M1097">
        <f t="shared" si="271"/>
        <v>0</v>
      </c>
      <c r="N1097">
        <f t="shared" si="271"/>
        <v>0</v>
      </c>
      <c r="O1097">
        <f t="shared" si="271"/>
        <v>0</v>
      </c>
      <c r="P1097">
        <f t="shared" si="271"/>
        <v>0</v>
      </c>
      <c r="Q1097">
        <f t="shared" si="271"/>
        <v>0</v>
      </c>
      <c r="R1097">
        <f t="shared" si="271"/>
        <v>0</v>
      </c>
      <c r="S1097">
        <f t="shared" si="271"/>
        <v>0</v>
      </c>
      <c r="T1097">
        <f t="shared" si="271"/>
        <v>0</v>
      </c>
      <c r="U1097">
        <f t="shared" si="271"/>
        <v>0</v>
      </c>
      <c r="V1097">
        <f t="shared" si="271"/>
        <v>0</v>
      </c>
      <c r="W1097">
        <f t="shared" si="271"/>
        <v>0</v>
      </c>
      <c r="X1097">
        <f t="shared" si="271"/>
        <v>0</v>
      </c>
      <c r="Y1097">
        <f t="shared" si="271"/>
        <v>0</v>
      </c>
      <c r="Z1097">
        <f t="shared" si="271"/>
        <v>0</v>
      </c>
      <c r="AA1097">
        <f t="shared" si="271"/>
        <v>0</v>
      </c>
      <c r="AB1097">
        <f t="shared" si="271"/>
        <v>0</v>
      </c>
      <c r="AC1097">
        <f t="shared" si="271"/>
        <v>0</v>
      </c>
      <c r="AD1097">
        <f t="shared" si="271"/>
        <v>0</v>
      </c>
      <c r="AE1097">
        <f t="shared" si="271"/>
        <v>0</v>
      </c>
    </row>
    <row r="1099" spans="1:31" x14ac:dyDescent="0.45">
      <c r="A1099" t="s">
        <v>1641</v>
      </c>
      <c r="B1099" t="s">
        <v>1477</v>
      </c>
      <c r="C1099" t="s">
        <v>1459</v>
      </c>
      <c r="D1099">
        <v>2</v>
      </c>
      <c r="E1099" t="s">
        <v>1159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45">
      <c r="A1100" t="s">
        <v>1641</v>
      </c>
      <c r="B1100" t="s">
        <v>1477</v>
      </c>
      <c r="C1100" t="s">
        <v>1459</v>
      </c>
      <c r="D1100">
        <v>2</v>
      </c>
      <c r="E1100" t="s">
        <v>1160</v>
      </c>
      <c r="K1100" t="str">
        <f>IF(ISBLANK(Mitigation_Industry!K712),"",Mitigation_Industry!K712)</f>
        <v/>
      </c>
      <c r="L1100">
        <f>IF(ISBLANK(Mitigation_Industry!L712),"",Mitigation_Industry!L712)</f>
        <v>0</v>
      </c>
      <c r="M1100">
        <f>IF(ISBLANK(Mitigation_Industry!M712),"",Mitigation_Industry!M712)</f>
        <v>0</v>
      </c>
      <c r="N1100">
        <f>IF(ISBLANK(Mitigation_Industry!N712),"",Mitigation_Industry!N712)</f>
        <v>0</v>
      </c>
      <c r="O1100">
        <f>IF(ISBLANK(Mitigation_Industry!O712),"",Mitigation_Industry!O712)</f>
        <v>0</v>
      </c>
      <c r="P1100">
        <f>IF(ISBLANK(Mitigation_Industry!P712),"",Mitigation_Industry!P712)</f>
        <v>0</v>
      </c>
      <c r="Q1100">
        <f>IF(ISBLANK(Mitigation_Industry!Q712),"",Mitigation_Industry!Q712)</f>
        <v>0</v>
      </c>
      <c r="R1100">
        <f>IF(ISBLANK(Mitigation_Industry!R712),"",Mitigation_Industry!R712)</f>
        <v>0</v>
      </c>
      <c r="S1100">
        <f>IF(ISBLANK(Mitigation_Industry!S712),"",Mitigation_Industry!S712)</f>
        <v>0</v>
      </c>
      <c r="T1100">
        <f>IF(ISBLANK(Mitigation_Industry!T712),"",Mitigation_Industry!T712)</f>
        <v>0</v>
      </c>
      <c r="U1100">
        <f>IF(ISBLANK(Mitigation_Industry!U712),"",Mitigation_Industry!U712)</f>
        <v>0</v>
      </c>
      <c r="V1100">
        <f>IF(ISBLANK(Mitigation_Industry!V712),"",Mitigation_Industry!V712)</f>
        <v>0</v>
      </c>
      <c r="W1100">
        <f>IF(ISBLANK(Mitigation_Industry!W712),"",Mitigation_Industry!W712)</f>
        <v>0</v>
      </c>
      <c r="X1100">
        <f>IF(ISBLANK(Mitigation_Industry!X712),"",Mitigation_Industry!X712)</f>
        <v>0</v>
      </c>
      <c r="Y1100">
        <f>IF(ISBLANK(Mitigation_Industry!Y712),"",Mitigation_Industry!Y712)</f>
        <v>0</v>
      </c>
      <c r="Z1100">
        <f>IF(ISBLANK(Mitigation_Industry!Z712),"",Mitigation_Industry!Z712)</f>
        <v>0</v>
      </c>
      <c r="AA1100">
        <f>IF(ISBLANK(Mitigation_Industry!AA712),"",Mitigation_Industry!AA712)</f>
        <v>0</v>
      </c>
      <c r="AB1100">
        <f>IF(ISBLANK(Mitigation_Industry!AB712),"",Mitigation_Industry!AB712)</f>
        <v>0</v>
      </c>
      <c r="AC1100">
        <f>IF(ISBLANK(Mitigation_Industry!AC712),"",Mitigation_Industry!AC712)</f>
        <v>0</v>
      </c>
      <c r="AD1100">
        <f>IF(ISBLANK(Mitigation_Industry!AD712),"",Mitigation_Industry!AD712)</f>
        <v>0</v>
      </c>
      <c r="AE1100">
        <f>IF(ISBLANK(Mitigation_Industry!AE712),"",Mitigation_Industry!AE712)</f>
        <v>0</v>
      </c>
    </row>
    <row r="1101" spans="1:31" x14ac:dyDescent="0.45">
      <c r="A1101" t="s">
        <v>1641</v>
      </c>
      <c r="B1101" t="s">
        <v>1477</v>
      </c>
      <c r="C1101" t="s">
        <v>1459</v>
      </c>
      <c r="D1101">
        <v>2</v>
      </c>
      <c r="E1101" t="s">
        <v>1161</v>
      </c>
      <c r="F1101">
        <f>MAX(MAX(L1101:AE1101),-MIN(L1101:AE1101))</f>
        <v>0</v>
      </c>
      <c r="I1101" t="s">
        <v>1509</v>
      </c>
      <c r="K1101">
        <f t="shared" ref="K1101:AE1101" si="272">IF(ISNUMBER(K1099),IF(ISNUMBER(K1100),K1100-K1099,999999),0)</f>
        <v>0</v>
      </c>
      <c r="L1101">
        <f t="shared" si="272"/>
        <v>0</v>
      </c>
      <c r="M1101">
        <f t="shared" si="272"/>
        <v>0</v>
      </c>
      <c r="N1101">
        <f t="shared" si="272"/>
        <v>0</v>
      </c>
      <c r="O1101">
        <f t="shared" si="272"/>
        <v>0</v>
      </c>
      <c r="P1101">
        <f t="shared" si="272"/>
        <v>0</v>
      </c>
      <c r="Q1101">
        <f t="shared" si="272"/>
        <v>0</v>
      </c>
      <c r="R1101">
        <f t="shared" si="272"/>
        <v>0</v>
      </c>
      <c r="S1101">
        <f t="shared" si="272"/>
        <v>0</v>
      </c>
      <c r="T1101">
        <f t="shared" si="272"/>
        <v>0</v>
      </c>
      <c r="U1101">
        <f t="shared" si="272"/>
        <v>0</v>
      </c>
      <c r="V1101">
        <f t="shared" si="272"/>
        <v>0</v>
      </c>
      <c r="W1101">
        <f t="shared" si="272"/>
        <v>0</v>
      </c>
      <c r="X1101">
        <f t="shared" si="272"/>
        <v>0</v>
      </c>
      <c r="Y1101">
        <f t="shared" si="272"/>
        <v>0</v>
      </c>
      <c r="Z1101">
        <f t="shared" si="272"/>
        <v>0</v>
      </c>
      <c r="AA1101">
        <f t="shared" si="272"/>
        <v>0</v>
      </c>
      <c r="AB1101">
        <f t="shared" si="272"/>
        <v>0</v>
      </c>
      <c r="AC1101">
        <f t="shared" si="272"/>
        <v>0</v>
      </c>
      <c r="AD1101">
        <f t="shared" si="272"/>
        <v>0</v>
      </c>
      <c r="AE1101">
        <f t="shared" si="272"/>
        <v>0</v>
      </c>
    </row>
    <row r="1103" spans="1:31" x14ac:dyDescent="0.45">
      <c r="A1103" t="s">
        <v>1642</v>
      </c>
      <c r="B1103" t="s">
        <v>1477</v>
      </c>
      <c r="C1103" t="s">
        <v>1462</v>
      </c>
      <c r="D1103">
        <v>2</v>
      </c>
      <c r="E1103" t="s">
        <v>1159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45">
      <c r="A1104" t="s">
        <v>1642</v>
      </c>
      <c r="B1104" t="s">
        <v>1477</v>
      </c>
      <c r="C1104" t="s">
        <v>1462</v>
      </c>
      <c r="D1104">
        <v>2</v>
      </c>
      <c r="E1104" t="s">
        <v>1160</v>
      </c>
      <c r="K1104" t="str">
        <f>IF(ISBLANK(Mitigation_Industry!K713),"",Mitigation_Industry!K713)</f>
        <v/>
      </c>
      <c r="L1104">
        <f>IF(ISBLANK(Mitigation_Industry!L713),"",Mitigation_Industry!L713)</f>
        <v>0</v>
      </c>
      <c r="M1104">
        <f>IF(ISBLANK(Mitigation_Industry!M713),"",Mitigation_Industry!M713)</f>
        <v>0</v>
      </c>
      <c r="N1104">
        <f>IF(ISBLANK(Mitigation_Industry!N713),"",Mitigation_Industry!N713)</f>
        <v>0</v>
      </c>
      <c r="O1104">
        <f>IF(ISBLANK(Mitigation_Industry!O713),"",Mitigation_Industry!O713)</f>
        <v>0</v>
      </c>
      <c r="P1104">
        <f>IF(ISBLANK(Mitigation_Industry!P713),"",Mitigation_Industry!P713)</f>
        <v>0</v>
      </c>
      <c r="Q1104">
        <f>IF(ISBLANK(Mitigation_Industry!Q713),"",Mitigation_Industry!Q713)</f>
        <v>0</v>
      </c>
      <c r="R1104">
        <f>IF(ISBLANK(Mitigation_Industry!R713),"",Mitigation_Industry!R713)</f>
        <v>0</v>
      </c>
      <c r="S1104">
        <f>IF(ISBLANK(Mitigation_Industry!S713),"",Mitigation_Industry!S713)</f>
        <v>0</v>
      </c>
      <c r="T1104">
        <f>IF(ISBLANK(Mitigation_Industry!T713),"",Mitigation_Industry!T713)</f>
        <v>0</v>
      </c>
      <c r="U1104">
        <f>IF(ISBLANK(Mitigation_Industry!U713),"",Mitigation_Industry!U713)</f>
        <v>0</v>
      </c>
      <c r="V1104">
        <f>IF(ISBLANK(Mitigation_Industry!V713),"",Mitigation_Industry!V713)</f>
        <v>0</v>
      </c>
      <c r="W1104">
        <f>IF(ISBLANK(Mitigation_Industry!W713),"",Mitigation_Industry!W713)</f>
        <v>0</v>
      </c>
      <c r="X1104">
        <f>IF(ISBLANK(Mitigation_Industry!X713),"",Mitigation_Industry!X713)</f>
        <v>0</v>
      </c>
      <c r="Y1104">
        <f>IF(ISBLANK(Mitigation_Industry!Y713),"",Mitigation_Industry!Y713)</f>
        <v>0</v>
      </c>
      <c r="Z1104">
        <f>IF(ISBLANK(Mitigation_Industry!Z713),"",Mitigation_Industry!Z713)</f>
        <v>0</v>
      </c>
      <c r="AA1104">
        <f>IF(ISBLANK(Mitigation_Industry!AA713),"",Mitigation_Industry!AA713)</f>
        <v>0</v>
      </c>
      <c r="AB1104">
        <f>IF(ISBLANK(Mitigation_Industry!AB713),"",Mitigation_Industry!AB713)</f>
        <v>0</v>
      </c>
      <c r="AC1104">
        <f>IF(ISBLANK(Mitigation_Industry!AC713),"",Mitigation_Industry!AC713)</f>
        <v>0</v>
      </c>
      <c r="AD1104">
        <f>IF(ISBLANK(Mitigation_Industry!AD713),"",Mitigation_Industry!AD713)</f>
        <v>0</v>
      </c>
      <c r="AE1104">
        <f>IF(ISBLANK(Mitigation_Industry!AE713),"",Mitigation_Industry!AE713)</f>
        <v>0</v>
      </c>
    </row>
    <row r="1105" spans="1:31" x14ac:dyDescent="0.45">
      <c r="A1105" t="s">
        <v>1642</v>
      </c>
      <c r="B1105" t="s">
        <v>1477</v>
      </c>
      <c r="C1105" t="s">
        <v>1462</v>
      </c>
      <c r="D1105">
        <v>2</v>
      </c>
      <c r="E1105" t="s">
        <v>1161</v>
      </c>
      <c r="F1105">
        <f>MAX(MAX(L1105:AE1105),-MIN(L1105:AE1105))</f>
        <v>0</v>
      </c>
      <c r="I1105" t="s">
        <v>1509</v>
      </c>
      <c r="K1105">
        <f t="shared" ref="K1105:AE1105" si="273">IF(ISNUMBER(K1103),IF(ISNUMBER(K1104),K1104-K1103,999999),0)</f>
        <v>0</v>
      </c>
      <c r="L1105">
        <f t="shared" si="273"/>
        <v>0</v>
      </c>
      <c r="M1105">
        <f t="shared" si="273"/>
        <v>0</v>
      </c>
      <c r="N1105">
        <f t="shared" si="273"/>
        <v>0</v>
      </c>
      <c r="O1105">
        <f t="shared" si="273"/>
        <v>0</v>
      </c>
      <c r="P1105">
        <f t="shared" si="273"/>
        <v>0</v>
      </c>
      <c r="Q1105">
        <f t="shared" si="273"/>
        <v>0</v>
      </c>
      <c r="R1105">
        <f t="shared" si="273"/>
        <v>0</v>
      </c>
      <c r="S1105">
        <f t="shared" si="273"/>
        <v>0</v>
      </c>
      <c r="T1105">
        <f t="shared" si="273"/>
        <v>0</v>
      </c>
      <c r="U1105">
        <f t="shared" si="273"/>
        <v>0</v>
      </c>
      <c r="V1105">
        <f t="shared" si="273"/>
        <v>0</v>
      </c>
      <c r="W1105">
        <f t="shared" si="273"/>
        <v>0</v>
      </c>
      <c r="X1105">
        <f t="shared" si="273"/>
        <v>0</v>
      </c>
      <c r="Y1105">
        <f t="shared" si="273"/>
        <v>0</v>
      </c>
      <c r="Z1105">
        <f t="shared" si="273"/>
        <v>0</v>
      </c>
      <c r="AA1105">
        <f t="shared" si="273"/>
        <v>0</v>
      </c>
      <c r="AB1105">
        <f t="shared" si="273"/>
        <v>0</v>
      </c>
      <c r="AC1105">
        <f t="shared" si="273"/>
        <v>0</v>
      </c>
      <c r="AD1105">
        <f t="shared" si="273"/>
        <v>0</v>
      </c>
      <c r="AE1105">
        <f t="shared" si="273"/>
        <v>0</v>
      </c>
    </row>
    <row r="1107" spans="1:31" x14ac:dyDescent="0.45">
      <c r="A1107" t="s">
        <v>1643</v>
      </c>
      <c r="B1107" t="s">
        <v>1477</v>
      </c>
      <c r="C1107" t="s">
        <v>1465</v>
      </c>
      <c r="D1107">
        <v>2</v>
      </c>
      <c r="E1107" t="s">
        <v>1159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45">
      <c r="A1108" t="s">
        <v>1643</v>
      </c>
      <c r="B1108" t="s">
        <v>1477</v>
      </c>
      <c r="C1108" t="s">
        <v>1465</v>
      </c>
      <c r="D1108">
        <v>2</v>
      </c>
      <c r="E1108" t="s">
        <v>1160</v>
      </c>
      <c r="K1108" t="str">
        <f>IF(ISBLANK(Mitigation_Industry!K714),"",Mitigation_Industry!K714)</f>
        <v/>
      </c>
      <c r="L1108">
        <f>IF(ISBLANK(Mitigation_Industry!L714),"",Mitigation_Industry!L714)</f>
        <v>0</v>
      </c>
      <c r="M1108">
        <f>IF(ISBLANK(Mitigation_Industry!M714),"",Mitigation_Industry!M714)</f>
        <v>0</v>
      </c>
      <c r="N1108">
        <f>IF(ISBLANK(Mitigation_Industry!N714),"",Mitigation_Industry!N714)</f>
        <v>0</v>
      </c>
      <c r="O1108">
        <f>IF(ISBLANK(Mitigation_Industry!O714),"",Mitigation_Industry!O714)</f>
        <v>0</v>
      </c>
      <c r="P1108">
        <f>IF(ISBLANK(Mitigation_Industry!P714),"",Mitigation_Industry!P714)</f>
        <v>0</v>
      </c>
      <c r="Q1108">
        <f>IF(ISBLANK(Mitigation_Industry!Q714),"",Mitigation_Industry!Q714)</f>
        <v>0</v>
      </c>
      <c r="R1108">
        <f>IF(ISBLANK(Mitigation_Industry!R714),"",Mitigation_Industry!R714)</f>
        <v>0</v>
      </c>
      <c r="S1108">
        <f>IF(ISBLANK(Mitigation_Industry!S714),"",Mitigation_Industry!S714)</f>
        <v>0</v>
      </c>
      <c r="T1108">
        <f>IF(ISBLANK(Mitigation_Industry!T714),"",Mitigation_Industry!T714)</f>
        <v>0</v>
      </c>
      <c r="U1108">
        <f>IF(ISBLANK(Mitigation_Industry!U714),"",Mitigation_Industry!U714)</f>
        <v>0</v>
      </c>
      <c r="V1108">
        <f>IF(ISBLANK(Mitigation_Industry!V714),"",Mitigation_Industry!V714)</f>
        <v>0</v>
      </c>
      <c r="W1108">
        <f>IF(ISBLANK(Mitigation_Industry!W714),"",Mitigation_Industry!W714)</f>
        <v>0</v>
      </c>
      <c r="X1108">
        <f>IF(ISBLANK(Mitigation_Industry!X714),"",Mitigation_Industry!X714)</f>
        <v>0</v>
      </c>
      <c r="Y1108">
        <f>IF(ISBLANK(Mitigation_Industry!Y714),"",Mitigation_Industry!Y714)</f>
        <v>0</v>
      </c>
      <c r="Z1108">
        <f>IF(ISBLANK(Mitigation_Industry!Z714),"",Mitigation_Industry!Z714)</f>
        <v>0</v>
      </c>
      <c r="AA1108">
        <f>IF(ISBLANK(Mitigation_Industry!AA714),"",Mitigation_Industry!AA714)</f>
        <v>0</v>
      </c>
      <c r="AB1108">
        <f>IF(ISBLANK(Mitigation_Industry!AB714),"",Mitigation_Industry!AB714)</f>
        <v>0</v>
      </c>
      <c r="AC1108">
        <f>IF(ISBLANK(Mitigation_Industry!AC714),"",Mitigation_Industry!AC714)</f>
        <v>0</v>
      </c>
      <c r="AD1108">
        <f>IF(ISBLANK(Mitigation_Industry!AD714),"",Mitigation_Industry!AD714)</f>
        <v>0</v>
      </c>
      <c r="AE1108">
        <f>IF(ISBLANK(Mitigation_Industry!AE714),"",Mitigation_Industry!AE714)</f>
        <v>0</v>
      </c>
    </row>
    <row r="1109" spans="1:31" x14ac:dyDescent="0.45">
      <c r="A1109" t="s">
        <v>1643</v>
      </c>
      <c r="B1109" t="s">
        <v>1477</v>
      </c>
      <c r="C1109" t="s">
        <v>1465</v>
      </c>
      <c r="D1109">
        <v>2</v>
      </c>
      <c r="E1109" t="s">
        <v>1161</v>
      </c>
      <c r="F1109">
        <f>MAX(MAX(L1109:AE1109),-MIN(L1109:AE1109))</f>
        <v>0</v>
      </c>
      <c r="I1109" t="s">
        <v>1509</v>
      </c>
      <c r="K1109">
        <f t="shared" ref="K1109:AE1109" si="274">IF(ISNUMBER(K1107),IF(ISNUMBER(K1108),K1108-K1107,999999),0)</f>
        <v>0</v>
      </c>
      <c r="L1109">
        <f t="shared" si="274"/>
        <v>0</v>
      </c>
      <c r="M1109">
        <f t="shared" si="274"/>
        <v>0</v>
      </c>
      <c r="N1109">
        <f t="shared" si="274"/>
        <v>0</v>
      </c>
      <c r="O1109">
        <f t="shared" si="274"/>
        <v>0</v>
      </c>
      <c r="P1109">
        <f t="shared" si="274"/>
        <v>0</v>
      </c>
      <c r="Q1109">
        <f t="shared" si="274"/>
        <v>0</v>
      </c>
      <c r="R1109">
        <f t="shared" si="274"/>
        <v>0</v>
      </c>
      <c r="S1109">
        <f t="shared" si="274"/>
        <v>0</v>
      </c>
      <c r="T1109">
        <f t="shared" si="274"/>
        <v>0</v>
      </c>
      <c r="U1109">
        <f t="shared" si="274"/>
        <v>0</v>
      </c>
      <c r="V1109">
        <f t="shared" si="274"/>
        <v>0</v>
      </c>
      <c r="W1109">
        <f t="shared" si="274"/>
        <v>0</v>
      </c>
      <c r="X1109">
        <f t="shared" si="274"/>
        <v>0</v>
      </c>
      <c r="Y1109">
        <f t="shared" si="274"/>
        <v>0</v>
      </c>
      <c r="Z1109">
        <f t="shared" si="274"/>
        <v>0</v>
      </c>
      <c r="AA1109">
        <f t="shared" si="274"/>
        <v>0</v>
      </c>
      <c r="AB1109">
        <f t="shared" si="274"/>
        <v>0</v>
      </c>
      <c r="AC1109">
        <f t="shared" si="274"/>
        <v>0</v>
      </c>
      <c r="AD1109">
        <f t="shared" si="274"/>
        <v>0</v>
      </c>
      <c r="AE1109">
        <f t="shared" si="274"/>
        <v>0</v>
      </c>
    </row>
    <row r="1111" spans="1:31" x14ac:dyDescent="0.45">
      <c r="A1111" t="s">
        <v>1644</v>
      </c>
      <c r="B1111" t="s">
        <v>1477</v>
      </c>
      <c r="C1111" t="s">
        <v>1468</v>
      </c>
      <c r="D1111">
        <v>2</v>
      </c>
      <c r="E1111" t="s">
        <v>1159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45">
      <c r="A1112" t="s">
        <v>1644</v>
      </c>
      <c r="B1112" t="s">
        <v>1477</v>
      </c>
      <c r="C1112" t="s">
        <v>1468</v>
      </c>
      <c r="D1112">
        <v>2</v>
      </c>
      <c r="E1112" t="s">
        <v>1160</v>
      </c>
      <c r="K1112" t="str">
        <f>IF(ISBLANK(Mitigation_Industry!K715),"",Mitigation_Industry!K715)</f>
        <v/>
      </c>
      <c r="L1112">
        <f>IF(ISBLANK(Mitigation_Industry!L715),"",Mitigation_Industry!L715)</f>
        <v>0</v>
      </c>
      <c r="M1112">
        <f>IF(ISBLANK(Mitigation_Industry!M715),"",Mitigation_Industry!M715)</f>
        <v>0</v>
      </c>
      <c r="N1112">
        <f>IF(ISBLANK(Mitigation_Industry!N715),"",Mitigation_Industry!N715)</f>
        <v>0</v>
      </c>
      <c r="O1112">
        <f>IF(ISBLANK(Mitigation_Industry!O715),"",Mitigation_Industry!O715)</f>
        <v>0</v>
      </c>
      <c r="P1112">
        <f>IF(ISBLANK(Mitigation_Industry!P715),"",Mitigation_Industry!P715)</f>
        <v>0</v>
      </c>
      <c r="Q1112">
        <f>IF(ISBLANK(Mitigation_Industry!Q715),"",Mitigation_Industry!Q715)</f>
        <v>0</v>
      </c>
      <c r="R1112">
        <f>IF(ISBLANK(Mitigation_Industry!R715),"",Mitigation_Industry!R715)</f>
        <v>0</v>
      </c>
      <c r="S1112">
        <f>IF(ISBLANK(Mitigation_Industry!S715),"",Mitigation_Industry!S715)</f>
        <v>0</v>
      </c>
      <c r="T1112">
        <f>IF(ISBLANK(Mitigation_Industry!T715),"",Mitigation_Industry!T715)</f>
        <v>0</v>
      </c>
      <c r="U1112">
        <f>IF(ISBLANK(Mitigation_Industry!U715),"",Mitigation_Industry!U715)</f>
        <v>0</v>
      </c>
      <c r="V1112">
        <f>IF(ISBLANK(Mitigation_Industry!V715),"",Mitigation_Industry!V715)</f>
        <v>0</v>
      </c>
      <c r="W1112">
        <f>IF(ISBLANK(Mitigation_Industry!W715),"",Mitigation_Industry!W715)</f>
        <v>0</v>
      </c>
      <c r="X1112">
        <f>IF(ISBLANK(Mitigation_Industry!X715),"",Mitigation_Industry!X715)</f>
        <v>0</v>
      </c>
      <c r="Y1112">
        <f>IF(ISBLANK(Mitigation_Industry!Y715),"",Mitigation_Industry!Y715)</f>
        <v>0</v>
      </c>
      <c r="Z1112">
        <f>IF(ISBLANK(Mitigation_Industry!Z715),"",Mitigation_Industry!Z715)</f>
        <v>0</v>
      </c>
      <c r="AA1112">
        <f>IF(ISBLANK(Mitigation_Industry!AA715),"",Mitigation_Industry!AA715)</f>
        <v>0</v>
      </c>
      <c r="AB1112">
        <f>IF(ISBLANK(Mitigation_Industry!AB715),"",Mitigation_Industry!AB715)</f>
        <v>0</v>
      </c>
      <c r="AC1112">
        <f>IF(ISBLANK(Mitigation_Industry!AC715),"",Mitigation_Industry!AC715)</f>
        <v>0</v>
      </c>
      <c r="AD1112">
        <f>IF(ISBLANK(Mitigation_Industry!AD715),"",Mitigation_Industry!AD715)</f>
        <v>0</v>
      </c>
      <c r="AE1112">
        <f>IF(ISBLANK(Mitigation_Industry!AE715),"",Mitigation_Industry!AE715)</f>
        <v>0</v>
      </c>
    </row>
    <row r="1113" spans="1:31" x14ac:dyDescent="0.45">
      <c r="A1113" t="s">
        <v>1644</v>
      </c>
      <c r="B1113" t="s">
        <v>1477</v>
      </c>
      <c r="C1113" t="s">
        <v>1468</v>
      </c>
      <c r="D1113">
        <v>2</v>
      </c>
      <c r="E1113" t="s">
        <v>1161</v>
      </c>
      <c r="F1113">
        <f>MAX(MAX(L1113:AE1113),-MIN(L1113:AE1113))</f>
        <v>0</v>
      </c>
      <c r="I1113" t="s">
        <v>1509</v>
      </c>
      <c r="K1113">
        <f t="shared" ref="K1113:AE1113" si="275">IF(ISNUMBER(K1111),IF(ISNUMBER(K1112),K1112-K1111,999999),0)</f>
        <v>0</v>
      </c>
      <c r="L1113">
        <f t="shared" si="275"/>
        <v>0</v>
      </c>
      <c r="M1113">
        <f t="shared" si="275"/>
        <v>0</v>
      </c>
      <c r="N1113">
        <f t="shared" si="275"/>
        <v>0</v>
      </c>
      <c r="O1113">
        <f t="shared" si="275"/>
        <v>0</v>
      </c>
      <c r="P1113">
        <f t="shared" si="275"/>
        <v>0</v>
      </c>
      <c r="Q1113">
        <f t="shared" si="275"/>
        <v>0</v>
      </c>
      <c r="R1113">
        <f t="shared" si="275"/>
        <v>0</v>
      </c>
      <c r="S1113">
        <f t="shared" si="275"/>
        <v>0</v>
      </c>
      <c r="T1113">
        <f t="shared" si="275"/>
        <v>0</v>
      </c>
      <c r="U1113">
        <f t="shared" si="275"/>
        <v>0</v>
      </c>
      <c r="V1113">
        <f t="shared" si="275"/>
        <v>0</v>
      </c>
      <c r="W1113">
        <f t="shared" si="275"/>
        <v>0</v>
      </c>
      <c r="X1113">
        <f t="shared" si="275"/>
        <v>0</v>
      </c>
      <c r="Y1113">
        <f t="shared" si="275"/>
        <v>0</v>
      </c>
      <c r="Z1113">
        <f t="shared" si="275"/>
        <v>0</v>
      </c>
      <c r="AA1113">
        <f t="shared" si="275"/>
        <v>0</v>
      </c>
      <c r="AB1113">
        <f t="shared" si="275"/>
        <v>0</v>
      </c>
      <c r="AC1113">
        <f t="shared" si="275"/>
        <v>0</v>
      </c>
      <c r="AD1113">
        <f t="shared" si="275"/>
        <v>0</v>
      </c>
      <c r="AE1113">
        <f t="shared" si="275"/>
        <v>0</v>
      </c>
    </row>
    <row r="1115" spans="1:31" x14ac:dyDescent="0.45">
      <c r="A1115" t="s">
        <v>1645</v>
      </c>
      <c r="B1115" t="s">
        <v>1477</v>
      </c>
      <c r="C1115" t="s">
        <v>1471</v>
      </c>
      <c r="D1115">
        <v>2</v>
      </c>
      <c r="E1115" t="s">
        <v>1159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45">
      <c r="A1116" t="s">
        <v>1645</v>
      </c>
      <c r="B1116" t="s">
        <v>1477</v>
      </c>
      <c r="C1116" t="s">
        <v>1471</v>
      </c>
      <c r="D1116">
        <v>2</v>
      </c>
      <c r="E1116" t="s">
        <v>1160</v>
      </c>
      <c r="K1116" t="str">
        <f>IF(ISBLANK(Mitigation_Industry!K716),"",Mitigation_Industry!K716)</f>
        <v/>
      </c>
      <c r="L1116">
        <f>IF(ISBLANK(Mitigation_Industry!L716),"",Mitigation_Industry!L716)</f>
        <v>0</v>
      </c>
      <c r="M1116">
        <f>IF(ISBLANK(Mitigation_Industry!M716),"",Mitigation_Industry!M716)</f>
        <v>0</v>
      </c>
      <c r="N1116">
        <f>IF(ISBLANK(Mitigation_Industry!N716),"",Mitigation_Industry!N716)</f>
        <v>0</v>
      </c>
      <c r="O1116">
        <f>IF(ISBLANK(Mitigation_Industry!O716),"",Mitigation_Industry!O716)</f>
        <v>0</v>
      </c>
      <c r="P1116">
        <f>IF(ISBLANK(Mitigation_Industry!P716),"",Mitigation_Industry!P716)</f>
        <v>0</v>
      </c>
      <c r="Q1116">
        <f>IF(ISBLANK(Mitigation_Industry!Q716),"",Mitigation_Industry!Q716)</f>
        <v>0</v>
      </c>
      <c r="R1116">
        <f>IF(ISBLANK(Mitigation_Industry!R716),"",Mitigation_Industry!R716)</f>
        <v>0</v>
      </c>
      <c r="S1116">
        <f>IF(ISBLANK(Mitigation_Industry!S716),"",Mitigation_Industry!S716)</f>
        <v>0</v>
      </c>
      <c r="T1116">
        <f>IF(ISBLANK(Mitigation_Industry!T716),"",Mitigation_Industry!T716)</f>
        <v>0</v>
      </c>
      <c r="U1116">
        <f>IF(ISBLANK(Mitigation_Industry!U716),"",Mitigation_Industry!U716)</f>
        <v>0</v>
      </c>
      <c r="V1116">
        <f>IF(ISBLANK(Mitigation_Industry!V716),"",Mitigation_Industry!V716)</f>
        <v>0</v>
      </c>
      <c r="W1116">
        <f>IF(ISBLANK(Mitigation_Industry!W716),"",Mitigation_Industry!W716)</f>
        <v>0</v>
      </c>
      <c r="X1116">
        <f>IF(ISBLANK(Mitigation_Industry!X716),"",Mitigation_Industry!X716)</f>
        <v>0</v>
      </c>
      <c r="Y1116">
        <f>IF(ISBLANK(Mitigation_Industry!Y716),"",Mitigation_Industry!Y716)</f>
        <v>0</v>
      </c>
      <c r="Z1116">
        <f>IF(ISBLANK(Mitigation_Industry!Z716),"",Mitigation_Industry!Z716)</f>
        <v>0</v>
      </c>
      <c r="AA1116">
        <f>IF(ISBLANK(Mitigation_Industry!AA716),"",Mitigation_Industry!AA716)</f>
        <v>0</v>
      </c>
      <c r="AB1116">
        <f>IF(ISBLANK(Mitigation_Industry!AB716),"",Mitigation_Industry!AB716)</f>
        <v>0</v>
      </c>
      <c r="AC1116">
        <f>IF(ISBLANK(Mitigation_Industry!AC716),"",Mitigation_Industry!AC716)</f>
        <v>0</v>
      </c>
      <c r="AD1116">
        <f>IF(ISBLANK(Mitigation_Industry!AD716),"",Mitigation_Industry!AD716)</f>
        <v>0</v>
      </c>
      <c r="AE1116">
        <f>IF(ISBLANK(Mitigation_Industry!AE716),"",Mitigation_Industry!AE716)</f>
        <v>0</v>
      </c>
    </row>
    <row r="1117" spans="1:31" x14ac:dyDescent="0.45">
      <c r="A1117" t="s">
        <v>1645</v>
      </c>
      <c r="B1117" t="s">
        <v>1477</v>
      </c>
      <c r="C1117" t="s">
        <v>1471</v>
      </c>
      <c r="D1117">
        <v>2</v>
      </c>
      <c r="E1117" t="s">
        <v>1161</v>
      </c>
      <c r="F1117">
        <f>MAX(MAX(L1117:AE1117),-MIN(L1117:AE1117))</f>
        <v>0</v>
      </c>
      <c r="I1117" t="s">
        <v>1509</v>
      </c>
      <c r="K1117">
        <f t="shared" ref="K1117:AE1117" si="276">IF(ISNUMBER(K1115),IF(ISNUMBER(K1116),K1116-K1115,999999),0)</f>
        <v>0</v>
      </c>
      <c r="L1117">
        <f t="shared" si="276"/>
        <v>0</v>
      </c>
      <c r="M1117">
        <f t="shared" si="276"/>
        <v>0</v>
      </c>
      <c r="N1117">
        <f t="shared" si="276"/>
        <v>0</v>
      </c>
      <c r="O1117">
        <f t="shared" si="276"/>
        <v>0</v>
      </c>
      <c r="P1117">
        <f t="shared" si="276"/>
        <v>0</v>
      </c>
      <c r="Q1117">
        <f t="shared" si="276"/>
        <v>0</v>
      </c>
      <c r="R1117">
        <f t="shared" si="276"/>
        <v>0</v>
      </c>
      <c r="S1117">
        <f t="shared" si="276"/>
        <v>0</v>
      </c>
      <c r="T1117">
        <f t="shared" si="276"/>
        <v>0</v>
      </c>
      <c r="U1117">
        <f t="shared" si="276"/>
        <v>0</v>
      </c>
      <c r="V1117">
        <f t="shared" si="276"/>
        <v>0</v>
      </c>
      <c r="W1117">
        <f t="shared" si="276"/>
        <v>0</v>
      </c>
      <c r="X1117">
        <f t="shared" si="276"/>
        <v>0</v>
      </c>
      <c r="Y1117">
        <f t="shared" si="276"/>
        <v>0</v>
      </c>
      <c r="Z1117">
        <f t="shared" si="276"/>
        <v>0</v>
      </c>
      <c r="AA1117">
        <f t="shared" si="276"/>
        <v>0</v>
      </c>
      <c r="AB1117">
        <f t="shared" si="276"/>
        <v>0</v>
      </c>
      <c r="AC1117">
        <f t="shared" si="276"/>
        <v>0</v>
      </c>
      <c r="AD1117">
        <f t="shared" si="276"/>
        <v>0</v>
      </c>
      <c r="AE1117">
        <f t="shared" si="276"/>
        <v>0</v>
      </c>
    </row>
    <row r="1119" spans="1:31" x14ac:dyDescent="0.45">
      <c r="A1119" t="s">
        <v>1646</v>
      </c>
      <c r="B1119" t="s">
        <v>1480</v>
      </c>
      <c r="C1119" t="s">
        <v>1450</v>
      </c>
      <c r="D1119">
        <v>2</v>
      </c>
      <c r="E1119" t="s">
        <v>1159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45">
      <c r="A1120" t="s">
        <v>1646</v>
      </c>
      <c r="B1120" t="s">
        <v>1480</v>
      </c>
      <c r="C1120" t="s">
        <v>1450</v>
      </c>
      <c r="D1120">
        <v>2</v>
      </c>
      <c r="E1120" t="s">
        <v>1160</v>
      </c>
      <c r="K1120" t="str">
        <f>IF(ISBLANK(Mitigation_Industry!K719),"",Mitigation_Industry!K719)</f>
        <v/>
      </c>
      <c r="L1120">
        <f>IF(ISBLANK(Mitigation_Industry!L719),"",Mitigation_Industry!L719)</f>
        <v>0</v>
      </c>
      <c r="M1120">
        <f>IF(ISBLANK(Mitigation_Industry!M719),"",Mitigation_Industry!M719)</f>
        <v>0</v>
      </c>
      <c r="N1120">
        <f>IF(ISBLANK(Mitigation_Industry!N719),"",Mitigation_Industry!N719)</f>
        <v>0</v>
      </c>
      <c r="O1120">
        <f>IF(ISBLANK(Mitigation_Industry!O719),"",Mitigation_Industry!O719)</f>
        <v>0</v>
      </c>
      <c r="P1120">
        <f>IF(ISBLANK(Mitigation_Industry!P719),"",Mitigation_Industry!P719)</f>
        <v>0</v>
      </c>
      <c r="Q1120">
        <f>IF(ISBLANK(Mitigation_Industry!Q719),"",Mitigation_Industry!Q719)</f>
        <v>1.15005E-2</v>
      </c>
      <c r="R1120">
        <f>IF(ISBLANK(Mitigation_Industry!R719),"",Mitigation_Industry!R719)</f>
        <v>2.3001000000000001E-2</v>
      </c>
      <c r="S1120">
        <f>IF(ISBLANK(Mitigation_Industry!S719),"",Mitigation_Industry!S719)</f>
        <v>3.4501500000000004E-2</v>
      </c>
      <c r="T1120">
        <f>IF(ISBLANK(Mitigation_Industry!T719),"",Mitigation_Industry!T719)</f>
        <v>4.6002000000000001E-2</v>
      </c>
      <c r="U1120">
        <f>IF(ISBLANK(Mitigation_Industry!U719),"",Mitigation_Industry!U719)</f>
        <v>5.7502500000000005E-2</v>
      </c>
      <c r="V1120">
        <f>IF(ISBLANK(Mitigation_Industry!V719),"",Mitigation_Industry!V719)</f>
        <v>6.9003000000000009E-2</v>
      </c>
      <c r="W1120">
        <f>IF(ISBLANK(Mitigation_Industry!W719),"",Mitigation_Industry!W719)</f>
        <v>8.0503500000000006E-2</v>
      </c>
      <c r="X1120">
        <f>IF(ISBLANK(Mitigation_Industry!X719),"",Mitigation_Industry!X719)</f>
        <v>9.2004000000000002E-2</v>
      </c>
      <c r="Y1120">
        <f>IF(ISBLANK(Mitigation_Industry!Y719),"",Mitigation_Industry!Y719)</f>
        <v>0.10350450000000001</v>
      </c>
      <c r="Z1120">
        <f>IF(ISBLANK(Mitigation_Industry!Z719),"",Mitigation_Industry!Z719)</f>
        <v>0.11500500000000001</v>
      </c>
      <c r="AA1120">
        <f>IF(ISBLANK(Mitigation_Industry!AA719),"",Mitigation_Industry!AA719)</f>
        <v>0.12650549999999999</v>
      </c>
      <c r="AB1120">
        <f>IF(ISBLANK(Mitigation_Industry!AB719),"",Mitigation_Industry!AB719)</f>
        <v>0.13800600000000002</v>
      </c>
      <c r="AC1120">
        <f>IF(ISBLANK(Mitigation_Industry!AC719),"",Mitigation_Industry!AC719)</f>
        <v>0.14950649999999999</v>
      </c>
      <c r="AD1120">
        <f>IF(ISBLANK(Mitigation_Industry!AD719),"",Mitigation_Industry!AD719)</f>
        <v>0.16100700000000001</v>
      </c>
      <c r="AE1120">
        <f>IF(ISBLANK(Mitigation_Industry!AE719),"",Mitigation_Industry!AE719)</f>
        <v>0.17250750000000001</v>
      </c>
    </row>
    <row r="1121" spans="1:31" x14ac:dyDescent="0.45">
      <c r="A1121" t="s">
        <v>1646</v>
      </c>
      <c r="B1121" t="s">
        <v>1480</v>
      </c>
      <c r="C1121" t="s">
        <v>1450</v>
      </c>
      <c r="D1121">
        <v>2</v>
      </c>
      <c r="E1121" t="s">
        <v>1161</v>
      </c>
      <c r="F1121">
        <f>MAX(MAX(L1121:AE1121),-MIN(L1121:AE1121))</f>
        <v>0.17250750000000001</v>
      </c>
      <c r="I1121" t="s">
        <v>1588</v>
      </c>
      <c r="J1121" t="s">
        <v>1630</v>
      </c>
      <c r="K1121">
        <f t="shared" ref="K1121:AE1121" si="277">IF(ISNUMBER(K1119),IF(ISNUMBER(K1120),K1120-K1119,999999),0)</f>
        <v>0</v>
      </c>
      <c r="L1121">
        <f t="shared" si="277"/>
        <v>0</v>
      </c>
      <c r="M1121">
        <f t="shared" si="277"/>
        <v>0</v>
      </c>
      <c r="N1121">
        <f t="shared" si="277"/>
        <v>0</v>
      </c>
      <c r="O1121">
        <f t="shared" si="277"/>
        <v>0</v>
      </c>
      <c r="P1121">
        <f t="shared" si="277"/>
        <v>0</v>
      </c>
      <c r="Q1121">
        <f t="shared" si="277"/>
        <v>1.15005E-2</v>
      </c>
      <c r="R1121">
        <f t="shared" si="277"/>
        <v>2.3001000000000001E-2</v>
      </c>
      <c r="S1121">
        <f t="shared" si="277"/>
        <v>3.4501500000000004E-2</v>
      </c>
      <c r="T1121">
        <f t="shared" si="277"/>
        <v>4.6002000000000001E-2</v>
      </c>
      <c r="U1121">
        <f t="shared" si="277"/>
        <v>5.7502500000000005E-2</v>
      </c>
      <c r="V1121">
        <f t="shared" si="277"/>
        <v>6.9003000000000009E-2</v>
      </c>
      <c r="W1121">
        <f t="shared" si="277"/>
        <v>8.0503500000000006E-2</v>
      </c>
      <c r="X1121">
        <f t="shared" si="277"/>
        <v>9.2004000000000002E-2</v>
      </c>
      <c r="Y1121">
        <f t="shared" si="277"/>
        <v>0.10350450000000001</v>
      </c>
      <c r="Z1121">
        <f t="shared" si="277"/>
        <v>0.11500500000000001</v>
      </c>
      <c r="AA1121">
        <f t="shared" si="277"/>
        <v>0.12650549999999999</v>
      </c>
      <c r="AB1121">
        <f t="shared" si="277"/>
        <v>0.13800600000000002</v>
      </c>
      <c r="AC1121">
        <f t="shared" si="277"/>
        <v>0.14950649999999999</v>
      </c>
      <c r="AD1121">
        <f t="shared" si="277"/>
        <v>0.16100700000000001</v>
      </c>
      <c r="AE1121">
        <f t="shared" si="277"/>
        <v>0.17250750000000001</v>
      </c>
    </row>
    <row r="1123" spans="1:31" x14ac:dyDescent="0.45">
      <c r="A1123" t="s">
        <v>1647</v>
      </c>
      <c r="B1123" t="s">
        <v>1480</v>
      </c>
      <c r="C1123" t="s">
        <v>1453</v>
      </c>
      <c r="D1123">
        <v>2</v>
      </c>
      <c r="E1123" t="s">
        <v>1159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45">
      <c r="A1124" t="s">
        <v>1647</v>
      </c>
      <c r="B1124" t="s">
        <v>1480</v>
      </c>
      <c r="C1124" t="s">
        <v>1453</v>
      </c>
      <c r="D1124">
        <v>2</v>
      </c>
      <c r="E1124" t="s">
        <v>1160</v>
      </c>
      <c r="K1124" t="str">
        <f>IF(ISBLANK(Mitigation_Industry!K720),"",Mitigation_Industry!K720)</f>
        <v/>
      </c>
      <c r="L1124">
        <f>IF(ISBLANK(Mitigation_Industry!L720),"",Mitigation_Industry!L720)</f>
        <v>0</v>
      </c>
      <c r="M1124">
        <f>IF(ISBLANK(Mitigation_Industry!M720),"",Mitigation_Industry!M720)</f>
        <v>0</v>
      </c>
      <c r="N1124">
        <f>IF(ISBLANK(Mitigation_Industry!N720),"",Mitigation_Industry!N720)</f>
        <v>0</v>
      </c>
      <c r="O1124">
        <f>IF(ISBLANK(Mitigation_Industry!O720),"",Mitigation_Industry!O720)</f>
        <v>0</v>
      </c>
      <c r="P1124">
        <f>IF(ISBLANK(Mitigation_Industry!P720),"",Mitigation_Industry!P720)</f>
        <v>0</v>
      </c>
      <c r="Q1124">
        <f>IF(ISBLANK(Mitigation_Industry!Q720),"",Mitigation_Industry!Q720)</f>
        <v>2.5781250000000006E-3</v>
      </c>
      <c r="R1124">
        <f>IF(ISBLANK(Mitigation_Industry!R720),"",Mitigation_Industry!R720)</f>
        <v>5.1562500000000011E-3</v>
      </c>
      <c r="S1124">
        <f>IF(ISBLANK(Mitigation_Industry!S720),"",Mitigation_Industry!S720)</f>
        <v>7.7343750000000008E-3</v>
      </c>
      <c r="T1124">
        <f>IF(ISBLANK(Mitigation_Industry!T720),"",Mitigation_Industry!T720)</f>
        <v>1.0312500000000002E-2</v>
      </c>
      <c r="U1124">
        <f>IF(ISBLANK(Mitigation_Industry!U720),"",Mitigation_Industry!U720)</f>
        <v>1.2890624999999999E-2</v>
      </c>
      <c r="V1124">
        <f>IF(ISBLANK(Mitigation_Industry!V720),"",Mitigation_Industry!V720)</f>
        <v>1.5468750000000002E-2</v>
      </c>
      <c r="W1124">
        <f>IF(ISBLANK(Mitigation_Industry!W720),"",Mitigation_Industry!W720)</f>
        <v>1.8046875E-2</v>
      </c>
      <c r="X1124">
        <f>IF(ISBLANK(Mitigation_Industry!X720),"",Mitigation_Industry!X720)</f>
        <v>2.0625000000000004E-2</v>
      </c>
      <c r="Y1124">
        <f>IF(ISBLANK(Mitigation_Industry!Y720),"",Mitigation_Industry!Y720)</f>
        <v>2.3203125000000002E-2</v>
      </c>
      <c r="Z1124">
        <f>IF(ISBLANK(Mitigation_Industry!Z720),"",Mitigation_Industry!Z720)</f>
        <v>2.5781249999999999E-2</v>
      </c>
      <c r="AA1124">
        <f>IF(ISBLANK(Mitigation_Industry!AA720),"",Mitigation_Industry!AA720)</f>
        <v>2.8359375000000003E-2</v>
      </c>
      <c r="AB1124">
        <f>IF(ISBLANK(Mitigation_Industry!AB720),"",Mitigation_Industry!AB720)</f>
        <v>3.0937500000000003E-2</v>
      </c>
      <c r="AC1124">
        <f>IF(ISBLANK(Mitigation_Industry!AC720),"",Mitigation_Industry!AC720)</f>
        <v>3.3515625E-2</v>
      </c>
      <c r="AD1124">
        <f>IF(ISBLANK(Mitigation_Industry!AD720),"",Mitigation_Industry!AD720)</f>
        <v>3.6093750000000001E-2</v>
      </c>
      <c r="AE1124">
        <f>IF(ISBLANK(Mitigation_Industry!AE720),"",Mitigation_Industry!AE720)</f>
        <v>3.8671875000000008E-2</v>
      </c>
    </row>
    <row r="1125" spans="1:31" x14ac:dyDescent="0.45">
      <c r="A1125" t="s">
        <v>1647</v>
      </c>
      <c r="B1125" t="s">
        <v>1480</v>
      </c>
      <c r="C1125" t="s">
        <v>1453</v>
      </c>
      <c r="D1125">
        <v>2</v>
      </c>
      <c r="E1125" t="s">
        <v>1161</v>
      </c>
      <c r="F1125">
        <f>MAX(MAX(L1125:AE1125),-MIN(L1125:AE1125))</f>
        <v>3.8671875000000008E-2</v>
      </c>
      <c r="I1125" t="s">
        <v>1588</v>
      </c>
      <c r="J1125" t="s">
        <v>1630</v>
      </c>
      <c r="K1125">
        <f t="shared" ref="K1125:AE1125" si="278">IF(ISNUMBER(K1123),IF(ISNUMBER(K1124),K1124-K1123,999999),0)</f>
        <v>0</v>
      </c>
      <c r="L1125">
        <f t="shared" si="278"/>
        <v>0</v>
      </c>
      <c r="M1125">
        <f t="shared" si="278"/>
        <v>0</v>
      </c>
      <c r="N1125">
        <f t="shared" si="278"/>
        <v>0</v>
      </c>
      <c r="O1125">
        <f t="shared" si="278"/>
        <v>0</v>
      </c>
      <c r="P1125">
        <f t="shared" si="278"/>
        <v>0</v>
      </c>
      <c r="Q1125">
        <f t="shared" si="278"/>
        <v>2.5781250000000006E-3</v>
      </c>
      <c r="R1125">
        <f t="shared" si="278"/>
        <v>5.1562500000000011E-3</v>
      </c>
      <c r="S1125">
        <f t="shared" si="278"/>
        <v>7.7343750000000008E-3</v>
      </c>
      <c r="T1125">
        <f t="shared" si="278"/>
        <v>1.0312500000000002E-2</v>
      </c>
      <c r="U1125">
        <f t="shared" si="278"/>
        <v>1.2890624999999999E-2</v>
      </c>
      <c r="V1125">
        <f t="shared" si="278"/>
        <v>1.5468750000000002E-2</v>
      </c>
      <c r="W1125">
        <f t="shared" si="278"/>
        <v>1.8046875E-2</v>
      </c>
      <c r="X1125">
        <f t="shared" si="278"/>
        <v>2.0625000000000004E-2</v>
      </c>
      <c r="Y1125">
        <f t="shared" si="278"/>
        <v>2.3203125000000002E-2</v>
      </c>
      <c r="Z1125">
        <f t="shared" si="278"/>
        <v>2.5781249999999999E-2</v>
      </c>
      <c r="AA1125">
        <f t="shared" si="278"/>
        <v>2.8359375000000003E-2</v>
      </c>
      <c r="AB1125">
        <f t="shared" si="278"/>
        <v>3.0937500000000003E-2</v>
      </c>
      <c r="AC1125">
        <f t="shared" si="278"/>
        <v>3.3515625E-2</v>
      </c>
      <c r="AD1125">
        <f t="shared" si="278"/>
        <v>3.6093750000000001E-2</v>
      </c>
      <c r="AE1125">
        <f t="shared" si="278"/>
        <v>3.8671875000000008E-2</v>
      </c>
    </row>
    <row r="1127" spans="1:31" x14ac:dyDescent="0.45">
      <c r="A1127" t="s">
        <v>1648</v>
      </c>
      <c r="B1127" t="s">
        <v>1480</v>
      </c>
      <c r="C1127" t="s">
        <v>1456</v>
      </c>
      <c r="D1127">
        <v>2</v>
      </c>
      <c r="E1127" t="s">
        <v>1159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45">
      <c r="A1128" t="s">
        <v>1648</v>
      </c>
      <c r="B1128" t="s">
        <v>1480</v>
      </c>
      <c r="C1128" t="s">
        <v>1456</v>
      </c>
      <c r="D1128">
        <v>2</v>
      </c>
      <c r="E1128" t="s">
        <v>1160</v>
      </c>
      <c r="K1128" t="str">
        <f>IF(ISBLANK(Mitigation_Industry!K721),"",Mitigation_Industry!K721)</f>
        <v/>
      </c>
      <c r="L1128">
        <f>IF(ISBLANK(Mitigation_Industry!L721),"",Mitigation_Industry!L721)</f>
        <v>0</v>
      </c>
      <c r="M1128">
        <f>IF(ISBLANK(Mitigation_Industry!M721),"",Mitigation_Industry!M721)</f>
        <v>0</v>
      </c>
      <c r="N1128">
        <f>IF(ISBLANK(Mitigation_Industry!N721),"",Mitigation_Industry!N721)</f>
        <v>0</v>
      </c>
      <c r="O1128">
        <f>IF(ISBLANK(Mitigation_Industry!O721),"",Mitigation_Industry!O721)</f>
        <v>0</v>
      </c>
      <c r="P1128">
        <f>IF(ISBLANK(Mitigation_Industry!P721),"",Mitigation_Industry!P721)</f>
        <v>0</v>
      </c>
      <c r="Q1128">
        <f>IF(ISBLANK(Mitigation_Industry!Q721),"",Mitigation_Industry!Q721)</f>
        <v>3.8750000000000007E-2</v>
      </c>
      <c r="R1128">
        <f>IF(ISBLANK(Mitigation_Industry!R721),"",Mitigation_Industry!R721)</f>
        <v>7.7500000000000013E-2</v>
      </c>
      <c r="S1128">
        <f>IF(ISBLANK(Mitigation_Industry!S721),"",Mitigation_Industry!S721)</f>
        <v>0.11625000000000001</v>
      </c>
      <c r="T1128">
        <f>IF(ISBLANK(Mitigation_Industry!T721),"",Mitigation_Industry!T721)</f>
        <v>0.15500000000000003</v>
      </c>
      <c r="U1128">
        <f>IF(ISBLANK(Mitigation_Industry!U721),"",Mitigation_Industry!U721)</f>
        <v>0.19375000000000003</v>
      </c>
      <c r="V1128">
        <f>IF(ISBLANK(Mitigation_Industry!V721),"",Mitigation_Industry!V721)</f>
        <v>0.23250000000000001</v>
      </c>
      <c r="W1128">
        <f>IF(ISBLANK(Mitigation_Industry!W721),"",Mitigation_Industry!W721)</f>
        <v>0.27124999999999999</v>
      </c>
      <c r="X1128">
        <f>IF(ISBLANK(Mitigation_Industry!X721),"",Mitigation_Industry!X721)</f>
        <v>0.31000000000000005</v>
      </c>
      <c r="Y1128">
        <f>IF(ISBLANK(Mitigation_Industry!Y721),"",Mitigation_Industry!Y721)</f>
        <v>0.34875000000000006</v>
      </c>
      <c r="Z1128">
        <f>IF(ISBLANK(Mitigation_Industry!Z721),"",Mitigation_Industry!Z721)</f>
        <v>0.38750000000000007</v>
      </c>
      <c r="AA1128">
        <f>IF(ISBLANK(Mitigation_Industry!AA721),"",Mitigation_Industry!AA721)</f>
        <v>0.42625000000000007</v>
      </c>
      <c r="AB1128">
        <f>IF(ISBLANK(Mitigation_Industry!AB721),"",Mitigation_Industry!AB721)</f>
        <v>0.46500000000000002</v>
      </c>
      <c r="AC1128">
        <f>IF(ISBLANK(Mitigation_Industry!AC721),"",Mitigation_Industry!AC721)</f>
        <v>0.50375000000000003</v>
      </c>
      <c r="AD1128">
        <f>IF(ISBLANK(Mitigation_Industry!AD721),"",Mitigation_Industry!AD721)</f>
        <v>0.54249999999999998</v>
      </c>
      <c r="AE1128">
        <f>IF(ISBLANK(Mitigation_Industry!AE721),"",Mitigation_Industry!AE721)</f>
        <v>0.58125000000000004</v>
      </c>
    </row>
    <row r="1129" spans="1:31" x14ac:dyDescent="0.45">
      <c r="A1129" t="s">
        <v>1648</v>
      </c>
      <c r="B1129" t="s">
        <v>1480</v>
      </c>
      <c r="C1129" t="s">
        <v>1456</v>
      </c>
      <c r="D1129">
        <v>2</v>
      </c>
      <c r="E1129" t="s">
        <v>1161</v>
      </c>
      <c r="F1129">
        <f>MAX(MAX(L1129:AE1129),-MIN(L1129:AE1129))</f>
        <v>0.58125000000000004</v>
      </c>
      <c r="I1129" t="s">
        <v>1588</v>
      </c>
      <c r="J1129" t="s">
        <v>1630</v>
      </c>
      <c r="K1129">
        <f t="shared" ref="K1129:AE1129" si="279">IF(ISNUMBER(K1127),IF(ISNUMBER(K1128),K1128-K1127,999999),0)</f>
        <v>0</v>
      </c>
      <c r="L1129">
        <f t="shared" si="279"/>
        <v>0</v>
      </c>
      <c r="M1129">
        <f t="shared" si="279"/>
        <v>0</v>
      </c>
      <c r="N1129">
        <f t="shared" si="279"/>
        <v>0</v>
      </c>
      <c r="O1129">
        <f t="shared" si="279"/>
        <v>0</v>
      </c>
      <c r="P1129">
        <f t="shared" si="279"/>
        <v>0</v>
      </c>
      <c r="Q1129">
        <f t="shared" si="279"/>
        <v>3.8750000000000007E-2</v>
      </c>
      <c r="R1129">
        <f t="shared" si="279"/>
        <v>7.7500000000000013E-2</v>
      </c>
      <c r="S1129">
        <f t="shared" si="279"/>
        <v>0.11625000000000001</v>
      </c>
      <c r="T1129">
        <f t="shared" si="279"/>
        <v>0.15500000000000003</v>
      </c>
      <c r="U1129">
        <f t="shared" si="279"/>
        <v>0.19375000000000003</v>
      </c>
      <c r="V1129">
        <f t="shared" si="279"/>
        <v>0.23250000000000001</v>
      </c>
      <c r="W1129">
        <f t="shared" si="279"/>
        <v>0.27124999999999999</v>
      </c>
      <c r="X1129">
        <f t="shared" si="279"/>
        <v>0.31000000000000005</v>
      </c>
      <c r="Y1129">
        <f t="shared" si="279"/>
        <v>0.34875000000000006</v>
      </c>
      <c r="Z1129">
        <f t="shared" si="279"/>
        <v>0.38750000000000007</v>
      </c>
      <c r="AA1129">
        <f t="shared" si="279"/>
        <v>0.42625000000000007</v>
      </c>
      <c r="AB1129">
        <f t="shared" si="279"/>
        <v>0.46500000000000002</v>
      </c>
      <c r="AC1129">
        <f t="shared" si="279"/>
        <v>0.50375000000000003</v>
      </c>
      <c r="AD1129">
        <f t="shared" si="279"/>
        <v>0.54249999999999998</v>
      </c>
      <c r="AE1129">
        <f t="shared" si="279"/>
        <v>0.58125000000000004</v>
      </c>
    </row>
    <row r="1131" spans="1:31" x14ac:dyDescent="0.45">
      <c r="A1131" t="s">
        <v>1649</v>
      </c>
      <c r="B1131" t="s">
        <v>1480</v>
      </c>
      <c r="C1131" t="s">
        <v>1459</v>
      </c>
      <c r="D1131">
        <v>2</v>
      </c>
      <c r="E1131" t="s">
        <v>1159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45">
      <c r="A1132" t="s">
        <v>1649</v>
      </c>
      <c r="B1132" t="s">
        <v>1480</v>
      </c>
      <c r="C1132" t="s">
        <v>1459</v>
      </c>
      <c r="D1132">
        <v>2</v>
      </c>
      <c r="E1132" t="s">
        <v>1160</v>
      </c>
      <c r="K1132" t="str">
        <f>IF(ISBLANK(Mitigation_Industry!K722),"",Mitigation_Industry!K722)</f>
        <v/>
      </c>
      <c r="L1132">
        <f>IF(ISBLANK(Mitigation_Industry!L722),"",Mitigation_Industry!L722)</f>
        <v>0</v>
      </c>
      <c r="M1132">
        <f>IF(ISBLANK(Mitigation_Industry!M722),"",Mitigation_Industry!M722)</f>
        <v>0</v>
      </c>
      <c r="N1132">
        <f>IF(ISBLANK(Mitigation_Industry!N722),"",Mitigation_Industry!N722)</f>
        <v>0</v>
      </c>
      <c r="O1132">
        <f>IF(ISBLANK(Mitigation_Industry!O722),"",Mitigation_Industry!O722)</f>
        <v>0</v>
      </c>
      <c r="P1132">
        <f>IF(ISBLANK(Mitigation_Industry!P722),"",Mitigation_Industry!P722)</f>
        <v>0</v>
      </c>
      <c r="Q1132">
        <f>IF(ISBLANK(Mitigation_Industry!Q722),"",Mitigation_Industry!Q722)</f>
        <v>3.2761363636363637E-2</v>
      </c>
      <c r="R1132">
        <f>IF(ISBLANK(Mitigation_Industry!R722),"",Mitigation_Industry!R722)</f>
        <v>6.5522727272727274E-2</v>
      </c>
      <c r="S1132">
        <f>IF(ISBLANK(Mitigation_Industry!S722),"",Mitigation_Industry!S722)</f>
        <v>9.8284090909090904E-2</v>
      </c>
      <c r="T1132">
        <f>IF(ISBLANK(Mitigation_Industry!T722),"",Mitigation_Industry!T722)</f>
        <v>0.13104545454545455</v>
      </c>
      <c r="U1132">
        <f>IF(ISBLANK(Mitigation_Industry!U722),"",Mitigation_Industry!U722)</f>
        <v>0.16380681818181819</v>
      </c>
      <c r="V1132">
        <f>IF(ISBLANK(Mitigation_Industry!V722),"",Mitigation_Industry!V722)</f>
        <v>0.19656818181818181</v>
      </c>
      <c r="W1132">
        <f>IF(ISBLANK(Mitigation_Industry!W722),"",Mitigation_Industry!W722)</f>
        <v>0.22932954545454545</v>
      </c>
      <c r="X1132">
        <f>IF(ISBLANK(Mitigation_Industry!X722),"",Mitigation_Industry!X722)</f>
        <v>0.2620909090909091</v>
      </c>
      <c r="Y1132">
        <f>IF(ISBLANK(Mitigation_Industry!Y722),"",Mitigation_Industry!Y722)</f>
        <v>0.29485227272727277</v>
      </c>
      <c r="Z1132">
        <f>IF(ISBLANK(Mitigation_Industry!Z722),"",Mitigation_Industry!Z722)</f>
        <v>0.32761363636363638</v>
      </c>
      <c r="AA1132">
        <f>IF(ISBLANK(Mitigation_Industry!AA722),"",Mitigation_Industry!AA722)</f>
        <v>0.360375</v>
      </c>
      <c r="AB1132">
        <f>IF(ISBLANK(Mitigation_Industry!AB722),"",Mitigation_Industry!AB722)</f>
        <v>0.39313636363636362</v>
      </c>
      <c r="AC1132">
        <f>IF(ISBLANK(Mitigation_Industry!AC722),"",Mitigation_Industry!AC722)</f>
        <v>0.42589772727272729</v>
      </c>
      <c r="AD1132">
        <f>IF(ISBLANK(Mitigation_Industry!AD722),"",Mitigation_Industry!AD722)</f>
        <v>0.45865909090909091</v>
      </c>
      <c r="AE1132">
        <f>IF(ISBLANK(Mitigation_Industry!AE722),"",Mitigation_Industry!AE722)</f>
        <v>0.49142045454545452</v>
      </c>
    </row>
    <row r="1133" spans="1:31" x14ac:dyDescent="0.45">
      <c r="A1133" t="s">
        <v>1649</v>
      </c>
      <c r="B1133" t="s">
        <v>1480</v>
      </c>
      <c r="C1133" t="s">
        <v>1459</v>
      </c>
      <c r="D1133">
        <v>2</v>
      </c>
      <c r="E1133" t="s">
        <v>1161</v>
      </c>
      <c r="F1133">
        <f>MAX(MAX(L1133:AE1133),-MIN(L1133:AE1133))</f>
        <v>0.49142045454545452</v>
      </c>
      <c r="I1133" t="s">
        <v>1588</v>
      </c>
      <c r="J1133" t="s">
        <v>1630</v>
      </c>
      <c r="K1133">
        <f t="shared" ref="K1133:AE1133" si="280">IF(ISNUMBER(K1131),IF(ISNUMBER(K1132),K1132-K1131,999999),0)</f>
        <v>0</v>
      </c>
      <c r="L1133">
        <f t="shared" si="280"/>
        <v>0</v>
      </c>
      <c r="M1133">
        <f t="shared" si="280"/>
        <v>0</v>
      </c>
      <c r="N1133">
        <f t="shared" si="280"/>
        <v>0</v>
      </c>
      <c r="O1133">
        <f t="shared" si="280"/>
        <v>0</v>
      </c>
      <c r="P1133">
        <f t="shared" si="280"/>
        <v>0</v>
      </c>
      <c r="Q1133">
        <f t="shared" si="280"/>
        <v>3.2761363636363637E-2</v>
      </c>
      <c r="R1133">
        <f t="shared" si="280"/>
        <v>6.5522727272727274E-2</v>
      </c>
      <c r="S1133">
        <f t="shared" si="280"/>
        <v>9.8284090909090904E-2</v>
      </c>
      <c r="T1133">
        <f t="shared" si="280"/>
        <v>0.13104545454545455</v>
      </c>
      <c r="U1133">
        <f t="shared" si="280"/>
        <v>0.16380681818181819</v>
      </c>
      <c r="V1133">
        <f t="shared" si="280"/>
        <v>0.19656818181818181</v>
      </c>
      <c r="W1133">
        <f t="shared" si="280"/>
        <v>0.22932954545454545</v>
      </c>
      <c r="X1133">
        <f t="shared" si="280"/>
        <v>0.2620909090909091</v>
      </c>
      <c r="Y1133">
        <f t="shared" si="280"/>
        <v>0.29485227272727277</v>
      </c>
      <c r="Z1133">
        <f t="shared" si="280"/>
        <v>0.32761363636363638</v>
      </c>
      <c r="AA1133">
        <f t="shared" si="280"/>
        <v>0.360375</v>
      </c>
      <c r="AB1133">
        <f t="shared" si="280"/>
        <v>0.39313636363636362</v>
      </c>
      <c r="AC1133">
        <f t="shared" si="280"/>
        <v>0.42589772727272729</v>
      </c>
      <c r="AD1133">
        <f t="shared" si="280"/>
        <v>0.45865909090909091</v>
      </c>
      <c r="AE1133">
        <f t="shared" si="280"/>
        <v>0.49142045454545452</v>
      </c>
    </row>
    <row r="1135" spans="1:31" x14ac:dyDescent="0.45">
      <c r="A1135" t="s">
        <v>1650</v>
      </c>
      <c r="B1135" t="s">
        <v>1480</v>
      </c>
      <c r="C1135" t="s">
        <v>1462</v>
      </c>
      <c r="D1135">
        <v>2</v>
      </c>
      <c r="E1135" t="s">
        <v>1159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45">
      <c r="A1136" t="s">
        <v>1650</v>
      </c>
      <c r="B1136" t="s">
        <v>1480</v>
      </c>
      <c r="C1136" t="s">
        <v>1462</v>
      </c>
      <c r="D1136">
        <v>2</v>
      </c>
      <c r="E1136" t="s">
        <v>1160</v>
      </c>
      <c r="K1136" t="str">
        <f>IF(ISBLANK(Mitigation_Industry!K723),"",Mitigation_Industry!K723)</f>
        <v/>
      </c>
      <c r="L1136">
        <f>IF(ISBLANK(Mitigation_Industry!L723),"",Mitigation_Industry!L723)</f>
        <v>0</v>
      </c>
      <c r="M1136">
        <f>IF(ISBLANK(Mitigation_Industry!M723),"",Mitigation_Industry!M723)</f>
        <v>0</v>
      </c>
      <c r="N1136">
        <f>IF(ISBLANK(Mitigation_Industry!N723),"",Mitigation_Industry!N723)</f>
        <v>0</v>
      </c>
      <c r="O1136">
        <f>IF(ISBLANK(Mitigation_Industry!O723),"",Mitigation_Industry!O723)</f>
        <v>0</v>
      </c>
      <c r="P1136">
        <f>IF(ISBLANK(Mitigation_Industry!P723),"",Mitigation_Industry!P723)</f>
        <v>0</v>
      </c>
      <c r="Q1136">
        <f>IF(ISBLANK(Mitigation_Industry!Q723),"",Mitigation_Industry!Q723)</f>
        <v>5.1424999999999998E-2</v>
      </c>
      <c r="R1136">
        <f>IF(ISBLANK(Mitigation_Industry!R723),"",Mitigation_Industry!R723)</f>
        <v>0.10285</v>
      </c>
      <c r="S1136">
        <f>IF(ISBLANK(Mitigation_Industry!S723),"",Mitigation_Industry!S723)</f>
        <v>0.154275</v>
      </c>
      <c r="T1136">
        <f>IF(ISBLANK(Mitigation_Industry!T723),"",Mitigation_Industry!T723)</f>
        <v>0.20569999999999999</v>
      </c>
      <c r="U1136">
        <f>IF(ISBLANK(Mitigation_Industry!U723),"",Mitigation_Industry!U723)</f>
        <v>0.25712499999999999</v>
      </c>
      <c r="V1136">
        <f>IF(ISBLANK(Mitigation_Industry!V723),"",Mitigation_Industry!V723)</f>
        <v>0.30854999999999999</v>
      </c>
      <c r="W1136">
        <f>IF(ISBLANK(Mitigation_Industry!W723),"",Mitigation_Industry!W723)</f>
        <v>0.35997499999999993</v>
      </c>
      <c r="X1136">
        <f>IF(ISBLANK(Mitigation_Industry!X723),"",Mitigation_Industry!X723)</f>
        <v>0.41139999999999999</v>
      </c>
      <c r="Y1136">
        <f>IF(ISBLANK(Mitigation_Industry!Y723),"",Mitigation_Industry!Y723)</f>
        <v>0.46282499999999993</v>
      </c>
      <c r="Z1136">
        <f>IF(ISBLANK(Mitigation_Industry!Z723),"",Mitigation_Industry!Z723)</f>
        <v>0.51424999999999998</v>
      </c>
      <c r="AA1136">
        <f>IF(ISBLANK(Mitigation_Industry!AA723),"",Mitigation_Industry!AA723)</f>
        <v>0.56567499999999993</v>
      </c>
      <c r="AB1136">
        <f>IF(ISBLANK(Mitigation_Industry!AB723),"",Mitigation_Industry!AB723)</f>
        <v>0.61709999999999998</v>
      </c>
      <c r="AC1136">
        <f>IF(ISBLANK(Mitigation_Industry!AC723),"",Mitigation_Industry!AC723)</f>
        <v>0.66852500000000004</v>
      </c>
      <c r="AD1136">
        <f>IF(ISBLANK(Mitigation_Industry!AD723),"",Mitigation_Industry!AD723)</f>
        <v>0.71994999999999987</v>
      </c>
      <c r="AE1136">
        <f>IF(ISBLANK(Mitigation_Industry!AE723),"",Mitigation_Industry!AE723)</f>
        <v>0.77137499999999992</v>
      </c>
    </row>
    <row r="1137" spans="1:31" x14ac:dyDescent="0.45">
      <c r="A1137" t="s">
        <v>1650</v>
      </c>
      <c r="B1137" t="s">
        <v>1480</v>
      </c>
      <c r="C1137" t="s">
        <v>1462</v>
      </c>
      <c r="D1137">
        <v>2</v>
      </c>
      <c r="E1137" t="s">
        <v>1161</v>
      </c>
      <c r="F1137">
        <f>MAX(MAX(L1137:AE1137),-MIN(L1137:AE1137))</f>
        <v>0.77137499999999992</v>
      </c>
      <c r="I1137" t="s">
        <v>1588</v>
      </c>
      <c r="J1137" t="s">
        <v>1630</v>
      </c>
      <c r="K1137">
        <f t="shared" ref="K1137:AE1137" si="281">IF(ISNUMBER(K1135),IF(ISNUMBER(K1136),K1136-K1135,999999),0)</f>
        <v>0</v>
      </c>
      <c r="L1137">
        <f t="shared" si="281"/>
        <v>0</v>
      </c>
      <c r="M1137">
        <f t="shared" si="281"/>
        <v>0</v>
      </c>
      <c r="N1137">
        <f t="shared" si="281"/>
        <v>0</v>
      </c>
      <c r="O1137">
        <f t="shared" si="281"/>
        <v>0</v>
      </c>
      <c r="P1137">
        <f t="shared" si="281"/>
        <v>0</v>
      </c>
      <c r="Q1137">
        <f t="shared" si="281"/>
        <v>5.1424999999999998E-2</v>
      </c>
      <c r="R1137">
        <f t="shared" si="281"/>
        <v>0.10285</v>
      </c>
      <c r="S1137">
        <f t="shared" si="281"/>
        <v>0.154275</v>
      </c>
      <c r="T1137">
        <f t="shared" si="281"/>
        <v>0.20569999999999999</v>
      </c>
      <c r="U1137">
        <f t="shared" si="281"/>
        <v>0.25712499999999999</v>
      </c>
      <c r="V1137">
        <f t="shared" si="281"/>
        <v>0.30854999999999999</v>
      </c>
      <c r="W1137">
        <f t="shared" si="281"/>
        <v>0.35997499999999993</v>
      </c>
      <c r="X1137">
        <f t="shared" si="281"/>
        <v>0.41139999999999999</v>
      </c>
      <c r="Y1137">
        <f t="shared" si="281"/>
        <v>0.46282499999999993</v>
      </c>
      <c r="Z1137">
        <f t="shared" si="281"/>
        <v>0.51424999999999998</v>
      </c>
      <c r="AA1137">
        <f t="shared" si="281"/>
        <v>0.56567499999999993</v>
      </c>
      <c r="AB1137">
        <f t="shared" si="281"/>
        <v>0.61709999999999998</v>
      </c>
      <c r="AC1137">
        <f t="shared" si="281"/>
        <v>0.66852500000000004</v>
      </c>
      <c r="AD1137">
        <f t="shared" si="281"/>
        <v>0.71994999999999987</v>
      </c>
      <c r="AE1137">
        <f t="shared" si="281"/>
        <v>0.77137499999999992</v>
      </c>
    </row>
    <row r="1139" spans="1:31" x14ac:dyDescent="0.45">
      <c r="A1139" t="s">
        <v>1651</v>
      </c>
      <c r="B1139" t="s">
        <v>1480</v>
      </c>
      <c r="C1139" t="s">
        <v>1465</v>
      </c>
      <c r="D1139">
        <v>2</v>
      </c>
      <c r="E1139" t="s">
        <v>1159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45">
      <c r="A1140" t="s">
        <v>1651</v>
      </c>
      <c r="B1140" t="s">
        <v>1480</v>
      </c>
      <c r="C1140" t="s">
        <v>1465</v>
      </c>
      <c r="D1140">
        <v>2</v>
      </c>
      <c r="E1140" t="s">
        <v>1160</v>
      </c>
      <c r="K1140" t="str">
        <f>IF(ISBLANK(Mitigation_Industry!K724),"",Mitigation_Industry!K724)</f>
        <v/>
      </c>
      <c r="L1140">
        <f>IF(ISBLANK(Mitigation_Industry!L724),"",Mitigation_Industry!L724)</f>
        <v>0</v>
      </c>
      <c r="M1140">
        <f>IF(ISBLANK(Mitigation_Industry!M724),"",Mitigation_Industry!M724)</f>
        <v>0</v>
      </c>
      <c r="N1140">
        <f>IF(ISBLANK(Mitigation_Industry!N724),"",Mitigation_Industry!N724)</f>
        <v>0</v>
      </c>
      <c r="O1140">
        <f>IF(ISBLANK(Mitigation_Industry!O724),"",Mitigation_Industry!O724)</f>
        <v>0</v>
      </c>
      <c r="P1140">
        <f>IF(ISBLANK(Mitigation_Industry!P724),"",Mitigation_Industry!P724)</f>
        <v>0</v>
      </c>
      <c r="Q1140">
        <f>IF(ISBLANK(Mitigation_Industry!Q724),"",Mitigation_Industry!Q724)</f>
        <v>3.6907894736842102E-3</v>
      </c>
      <c r="R1140">
        <f>IF(ISBLANK(Mitigation_Industry!R724),"",Mitigation_Industry!R724)</f>
        <v>7.3815789473684204E-3</v>
      </c>
      <c r="S1140">
        <f>IF(ISBLANK(Mitigation_Industry!S724),"",Mitigation_Industry!S724)</f>
        <v>1.1072368421052631E-2</v>
      </c>
      <c r="T1140">
        <f>IF(ISBLANK(Mitigation_Industry!T724),"",Mitigation_Industry!T724)</f>
        <v>1.4763157894736841E-2</v>
      </c>
      <c r="U1140">
        <f>IF(ISBLANK(Mitigation_Industry!U724),"",Mitigation_Industry!U724)</f>
        <v>1.8453947368421052E-2</v>
      </c>
      <c r="V1140">
        <f>IF(ISBLANK(Mitigation_Industry!V724),"",Mitigation_Industry!V724)</f>
        <v>2.2144736842105262E-2</v>
      </c>
      <c r="W1140">
        <f>IF(ISBLANK(Mitigation_Industry!W724),"",Mitigation_Industry!W724)</f>
        <v>2.5835526315789472E-2</v>
      </c>
      <c r="X1140">
        <f>IF(ISBLANK(Mitigation_Industry!X724),"",Mitigation_Industry!X724)</f>
        <v>2.9526315789473682E-2</v>
      </c>
      <c r="Y1140">
        <f>IF(ISBLANK(Mitigation_Industry!Y724),"",Mitigation_Industry!Y724)</f>
        <v>3.3217105263157888E-2</v>
      </c>
      <c r="Z1140">
        <f>IF(ISBLANK(Mitigation_Industry!Z724),"",Mitigation_Industry!Z724)</f>
        <v>3.6907894736842105E-2</v>
      </c>
      <c r="AA1140">
        <f>IF(ISBLANK(Mitigation_Industry!AA724),"",Mitigation_Industry!AA724)</f>
        <v>4.0598684210526315E-2</v>
      </c>
      <c r="AB1140">
        <f>IF(ISBLANK(Mitigation_Industry!AB724),"",Mitigation_Industry!AB724)</f>
        <v>4.4289473684210524E-2</v>
      </c>
      <c r="AC1140">
        <f>IF(ISBLANK(Mitigation_Industry!AC724),"",Mitigation_Industry!AC724)</f>
        <v>4.7980263157894734E-2</v>
      </c>
      <c r="AD1140">
        <f>IF(ISBLANK(Mitigation_Industry!AD724),"",Mitigation_Industry!AD724)</f>
        <v>5.1671052631578944E-2</v>
      </c>
      <c r="AE1140">
        <f>IF(ISBLANK(Mitigation_Industry!AE724),"",Mitigation_Industry!AE724)</f>
        <v>5.5361842105263154E-2</v>
      </c>
    </row>
    <row r="1141" spans="1:31" x14ac:dyDescent="0.45">
      <c r="A1141" t="s">
        <v>1651</v>
      </c>
      <c r="B1141" t="s">
        <v>1480</v>
      </c>
      <c r="C1141" t="s">
        <v>1465</v>
      </c>
      <c r="D1141">
        <v>2</v>
      </c>
      <c r="E1141" t="s">
        <v>1161</v>
      </c>
      <c r="F1141">
        <f>MAX(MAX(L1141:AE1141),-MIN(L1141:AE1141))</f>
        <v>5.5361842105263154E-2</v>
      </c>
      <c r="I1141" t="s">
        <v>1588</v>
      </c>
      <c r="J1141" t="s">
        <v>1630</v>
      </c>
      <c r="K1141">
        <f t="shared" ref="K1141:AE1141" si="282">IF(ISNUMBER(K1139),IF(ISNUMBER(K1140),K1140-K1139,999999),0)</f>
        <v>0</v>
      </c>
      <c r="L1141">
        <f t="shared" si="282"/>
        <v>0</v>
      </c>
      <c r="M1141">
        <f t="shared" si="282"/>
        <v>0</v>
      </c>
      <c r="N1141">
        <f t="shared" si="282"/>
        <v>0</v>
      </c>
      <c r="O1141">
        <f t="shared" si="282"/>
        <v>0</v>
      </c>
      <c r="P1141">
        <f t="shared" si="282"/>
        <v>0</v>
      </c>
      <c r="Q1141">
        <f t="shared" si="282"/>
        <v>3.6907894736842102E-3</v>
      </c>
      <c r="R1141">
        <f t="shared" si="282"/>
        <v>7.3815789473684204E-3</v>
      </c>
      <c r="S1141">
        <f t="shared" si="282"/>
        <v>1.1072368421052631E-2</v>
      </c>
      <c r="T1141">
        <f t="shared" si="282"/>
        <v>1.4763157894736841E-2</v>
      </c>
      <c r="U1141">
        <f t="shared" si="282"/>
        <v>1.8453947368421052E-2</v>
      </c>
      <c r="V1141">
        <f t="shared" si="282"/>
        <v>2.2144736842105262E-2</v>
      </c>
      <c r="W1141">
        <f t="shared" si="282"/>
        <v>2.5835526315789472E-2</v>
      </c>
      <c r="X1141">
        <f t="shared" si="282"/>
        <v>2.9526315789473682E-2</v>
      </c>
      <c r="Y1141">
        <f t="shared" si="282"/>
        <v>3.3217105263157888E-2</v>
      </c>
      <c r="Z1141">
        <f t="shared" si="282"/>
        <v>3.6907894736842105E-2</v>
      </c>
      <c r="AA1141">
        <f t="shared" si="282"/>
        <v>4.0598684210526315E-2</v>
      </c>
      <c r="AB1141">
        <f t="shared" si="282"/>
        <v>4.4289473684210524E-2</v>
      </c>
      <c r="AC1141">
        <f t="shared" si="282"/>
        <v>4.7980263157894734E-2</v>
      </c>
      <c r="AD1141">
        <f t="shared" si="282"/>
        <v>5.1671052631578944E-2</v>
      </c>
      <c r="AE1141">
        <f t="shared" si="282"/>
        <v>5.5361842105263154E-2</v>
      </c>
    </row>
    <row r="1143" spans="1:31" x14ac:dyDescent="0.45">
      <c r="A1143" t="s">
        <v>1652</v>
      </c>
      <c r="B1143" t="s">
        <v>1480</v>
      </c>
      <c r="C1143" t="s">
        <v>1468</v>
      </c>
      <c r="D1143">
        <v>2</v>
      </c>
      <c r="E1143" t="s">
        <v>1159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45">
      <c r="A1144" t="s">
        <v>1652</v>
      </c>
      <c r="B1144" t="s">
        <v>1480</v>
      </c>
      <c r="C1144" t="s">
        <v>1468</v>
      </c>
      <c r="D1144">
        <v>2</v>
      </c>
      <c r="E1144" t="s">
        <v>1160</v>
      </c>
      <c r="K1144" t="str">
        <f>IF(ISBLANK(Mitigation_Industry!K725),"",Mitigation_Industry!K725)</f>
        <v/>
      </c>
      <c r="L1144">
        <f>IF(ISBLANK(Mitigation_Industry!L725),"",Mitigation_Industry!L725)</f>
        <v>0</v>
      </c>
      <c r="M1144">
        <f>IF(ISBLANK(Mitigation_Industry!M725),"",Mitigation_Industry!M725)</f>
        <v>0</v>
      </c>
      <c r="N1144">
        <f>IF(ISBLANK(Mitigation_Industry!N725),"",Mitigation_Industry!N725)</f>
        <v>0</v>
      </c>
      <c r="O1144">
        <f>IF(ISBLANK(Mitigation_Industry!O725),"",Mitigation_Industry!O725)</f>
        <v>0</v>
      </c>
      <c r="P1144">
        <f>IF(ISBLANK(Mitigation_Industry!P725),"",Mitigation_Industry!P725)</f>
        <v>0</v>
      </c>
      <c r="Q1144">
        <f>IF(ISBLANK(Mitigation_Industry!Q725),"",Mitigation_Industry!Q725)</f>
        <v>4.3828124999999996E-3</v>
      </c>
      <c r="R1144">
        <f>IF(ISBLANK(Mitigation_Industry!R725),"",Mitigation_Industry!R725)</f>
        <v>8.7656249999999991E-3</v>
      </c>
      <c r="S1144">
        <f>IF(ISBLANK(Mitigation_Industry!S725),"",Mitigation_Industry!S725)</f>
        <v>1.3148437499999999E-2</v>
      </c>
      <c r="T1144">
        <f>IF(ISBLANK(Mitigation_Industry!T725),"",Mitigation_Industry!T725)</f>
        <v>1.7531249999999998E-2</v>
      </c>
      <c r="U1144">
        <f>IF(ISBLANK(Mitigation_Industry!U725),"",Mitigation_Industry!U725)</f>
        <v>2.1914062499999998E-2</v>
      </c>
      <c r="V1144">
        <f>IF(ISBLANK(Mitigation_Industry!V725),"",Mitigation_Industry!V725)</f>
        <v>2.6296874999999997E-2</v>
      </c>
      <c r="W1144">
        <f>IF(ISBLANK(Mitigation_Industry!W725),"",Mitigation_Industry!W725)</f>
        <v>3.0679687499999997E-2</v>
      </c>
      <c r="X1144">
        <f>IF(ISBLANK(Mitigation_Industry!X725),"",Mitigation_Industry!X725)</f>
        <v>3.5062499999999996E-2</v>
      </c>
      <c r="Y1144">
        <f>IF(ISBLANK(Mitigation_Industry!Y725),"",Mitigation_Industry!Y725)</f>
        <v>3.9445312499999996E-2</v>
      </c>
      <c r="Z1144">
        <f>IF(ISBLANK(Mitigation_Industry!Z725),"",Mitigation_Industry!Z725)</f>
        <v>4.3828124999999996E-2</v>
      </c>
      <c r="AA1144">
        <f>IF(ISBLANK(Mitigation_Industry!AA725),"",Mitigation_Industry!AA725)</f>
        <v>4.8210937499999995E-2</v>
      </c>
      <c r="AB1144">
        <f>IF(ISBLANK(Mitigation_Industry!AB725),"",Mitigation_Industry!AB725)</f>
        <v>5.2593749999999995E-2</v>
      </c>
      <c r="AC1144">
        <f>IF(ISBLANK(Mitigation_Industry!AC725),"",Mitigation_Industry!AC725)</f>
        <v>5.6976562499999994E-2</v>
      </c>
      <c r="AD1144">
        <f>IF(ISBLANK(Mitigation_Industry!AD725),"",Mitigation_Industry!AD725)</f>
        <v>6.1359374999999994E-2</v>
      </c>
      <c r="AE1144">
        <f>IF(ISBLANK(Mitigation_Industry!AE725),"",Mitigation_Industry!AE725)</f>
        <v>6.5742187499999993E-2</v>
      </c>
    </row>
    <row r="1145" spans="1:31" x14ac:dyDescent="0.45">
      <c r="A1145" t="s">
        <v>1652</v>
      </c>
      <c r="B1145" t="s">
        <v>1480</v>
      </c>
      <c r="C1145" t="s">
        <v>1468</v>
      </c>
      <c r="D1145">
        <v>2</v>
      </c>
      <c r="E1145" t="s">
        <v>1161</v>
      </c>
      <c r="F1145">
        <f>MAX(MAX(L1145:AE1145),-MIN(L1145:AE1145))</f>
        <v>6.5742187499999993E-2</v>
      </c>
      <c r="I1145" t="s">
        <v>1588</v>
      </c>
      <c r="J1145" t="s">
        <v>1630</v>
      </c>
      <c r="K1145">
        <f t="shared" ref="K1145:AE1145" si="283">IF(ISNUMBER(K1143),IF(ISNUMBER(K1144),K1144-K1143,999999),0)</f>
        <v>0</v>
      </c>
      <c r="L1145">
        <f t="shared" si="283"/>
        <v>0</v>
      </c>
      <c r="M1145">
        <f t="shared" si="283"/>
        <v>0</v>
      </c>
      <c r="N1145">
        <f t="shared" si="283"/>
        <v>0</v>
      </c>
      <c r="O1145">
        <f t="shared" si="283"/>
        <v>0</v>
      </c>
      <c r="P1145">
        <f t="shared" si="283"/>
        <v>0</v>
      </c>
      <c r="Q1145">
        <f t="shared" si="283"/>
        <v>4.3828124999999996E-3</v>
      </c>
      <c r="R1145">
        <f t="shared" si="283"/>
        <v>8.7656249999999991E-3</v>
      </c>
      <c r="S1145">
        <f t="shared" si="283"/>
        <v>1.3148437499999999E-2</v>
      </c>
      <c r="T1145">
        <f t="shared" si="283"/>
        <v>1.7531249999999998E-2</v>
      </c>
      <c r="U1145">
        <f t="shared" si="283"/>
        <v>2.1914062499999998E-2</v>
      </c>
      <c r="V1145">
        <f t="shared" si="283"/>
        <v>2.6296874999999997E-2</v>
      </c>
      <c r="W1145">
        <f t="shared" si="283"/>
        <v>3.0679687499999997E-2</v>
      </c>
      <c r="X1145">
        <f t="shared" si="283"/>
        <v>3.5062499999999996E-2</v>
      </c>
      <c r="Y1145">
        <f t="shared" si="283"/>
        <v>3.9445312499999996E-2</v>
      </c>
      <c r="Z1145">
        <f t="shared" si="283"/>
        <v>4.3828124999999996E-2</v>
      </c>
      <c r="AA1145">
        <f t="shared" si="283"/>
        <v>4.8210937499999995E-2</v>
      </c>
      <c r="AB1145">
        <f t="shared" si="283"/>
        <v>5.2593749999999995E-2</v>
      </c>
      <c r="AC1145">
        <f t="shared" si="283"/>
        <v>5.6976562499999994E-2</v>
      </c>
      <c r="AD1145">
        <f t="shared" si="283"/>
        <v>6.1359374999999994E-2</v>
      </c>
      <c r="AE1145">
        <f t="shared" si="283"/>
        <v>6.5742187499999993E-2</v>
      </c>
    </row>
    <row r="1147" spans="1:31" x14ac:dyDescent="0.45">
      <c r="A1147" t="s">
        <v>1653</v>
      </c>
      <c r="B1147" t="s">
        <v>1480</v>
      </c>
      <c r="C1147" t="s">
        <v>1471</v>
      </c>
      <c r="D1147">
        <v>2</v>
      </c>
      <c r="E1147" t="s">
        <v>1159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45">
      <c r="A1148" t="s">
        <v>1653</v>
      </c>
      <c r="B1148" t="s">
        <v>1480</v>
      </c>
      <c r="C1148" t="s">
        <v>1471</v>
      </c>
      <c r="D1148">
        <v>2</v>
      </c>
      <c r="E1148" t="s">
        <v>1160</v>
      </c>
      <c r="K1148" t="str">
        <f>IF(ISBLANK(Mitigation_Industry!K726),"",Mitigation_Industry!K726)</f>
        <v/>
      </c>
      <c r="L1148">
        <f>IF(ISBLANK(Mitigation_Industry!L726),"",Mitigation_Industry!L726)</f>
        <v>0</v>
      </c>
      <c r="M1148">
        <f>IF(ISBLANK(Mitigation_Industry!M726),"",Mitigation_Industry!M726)</f>
        <v>0</v>
      </c>
      <c r="N1148">
        <f>IF(ISBLANK(Mitigation_Industry!N726),"",Mitigation_Industry!N726)</f>
        <v>0</v>
      </c>
      <c r="O1148">
        <f>IF(ISBLANK(Mitigation_Industry!O726),"",Mitigation_Industry!O726)</f>
        <v>0</v>
      </c>
      <c r="P1148">
        <f>IF(ISBLANK(Mitigation_Industry!P726),"",Mitigation_Industry!P726)</f>
        <v>0</v>
      </c>
      <c r="Q1148">
        <f>IF(ISBLANK(Mitigation_Industry!Q726),"",Mitigation_Industry!Q726)</f>
        <v>8.1249999999999996E-4</v>
      </c>
      <c r="R1148">
        <f>IF(ISBLANK(Mitigation_Industry!R726),"",Mitigation_Industry!R726)</f>
        <v>1.6249999999999999E-3</v>
      </c>
      <c r="S1148">
        <f>IF(ISBLANK(Mitigation_Industry!S726),"",Mitigation_Industry!S726)</f>
        <v>2.4375E-3</v>
      </c>
      <c r="T1148">
        <f>IF(ISBLANK(Mitigation_Industry!T726),"",Mitigation_Industry!T726)</f>
        <v>3.2499999999999999E-3</v>
      </c>
      <c r="U1148">
        <f>IF(ISBLANK(Mitigation_Industry!U726),"",Mitigation_Industry!U726)</f>
        <v>4.0625000000000001E-3</v>
      </c>
      <c r="V1148">
        <f>IF(ISBLANK(Mitigation_Industry!V726),"",Mitigation_Industry!V726)</f>
        <v>4.875E-3</v>
      </c>
      <c r="W1148">
        <f>IF(ISBLANK(Mitigation_Industry!W726),"",Mitigation_Industry!W726)</f>
        <v>5.6874999999999998E-3</v>
      </c>
      <c r="X1148">
        <f>IF(ISBLANK(Mitigation_Industry!X726),"",Mitigation_Industry!X726)</f>
        <v>6.4999999999999997E-3</v>
      </c>
      <c r="Y1148">
        <f>IF(ISBLANK(Mitigation_Industry!Y726),"",Mitigation_Industry!Y726)</f>
        <v>7.3125000000000004E-3</v>
      </c>
      <c r="Z1148">
        <f>IF(ISBLANK(Mitigation_Industry!Z726),"",Mitigation_Industry!Z726)</f>
        <v>8.1250000000000003E-3</v>
      </c>
      <c r="AA1148">
        <f>IF(ISBLANK(Mitigation_Industry!AA726),"",Mitigation_Industry!AA726)</f>
        <v>8.9374999999999993E-3</v>
      </c>
      <c r="AB1148">
        <f>IF(ISBLANK(Mitigation_Industry!AB726),"",Mitigation_Industry!AB726)</f>
        <v>9.75E-3</v>
      </c>
      <c r="AC1148">
        <f>IF(ISBLANK(Mitigation_Industry!AC726),"",Mitigation_Industry!AC726)</f>
        <v>1.0562500000000001E-2</v>
      </c>
      <c r="AD1148">
        <f>IF(ISBLANK(Mitigation_Industry!AD726),"",Mitigation_Industry!AD726)</f>
        <v>1.1375E-2</v>
      </c>
      <c r="AE1148">
        <f>IF(ISBLANK(Mitigation_Industry!AE726),"",Mitigation_Industry!AE726)</f>
        <v>1.21875E-2</v>
      </c>
    </row>
    <row r="1149" spans="1:31" x14ac:dyDescent="0.45">
      <c r="A1149" t="s">
        <v>1653</v>
      </c>
      <c r="B1149" t="s">
        <v>1480</v>
      </c>
      <c r="C1149" t="s">
        <v>1471</v>
      </c>
      <c r="D1149">
        <v>2</v>
      </c>
      <c r="E1149" t="s">
        <v>1161</v>
      </c>
      <c r="F1149">
        <f>MAX(MAX(L1149:AE1149),-MIN(L1149:AE1149))</f>
        <v>1.21875E-2</v>
      </c>
      <c r="I1149" t="s">
        <v>1588</v>
      </c>
      <c r="J1149" t="s">
        <v>1630</v>
      </c>
      <c r="K1149">
        <f t="shared" ref="K1149:AE1149" si="284">IF(ISNUMBER(K1147),IF(ISNUMBER(K1148),K1148-K1147,999999),0)</f>
        <v>0</v>
      </c>
      <c r="L1149">
        <f t="shared" si="284"/>
        <v>0</v>
      </c>
      <c r="M1149">
        <f t="shared" si="284"/>
        <v>0</v>
      </c>
      <c r="N1149">
        <f t="shared" si="284"/>
        <v>0</v>
      </c>
      <c r="O1149">
        <f t="shared" si="284"/>
        <v>0</v>
      </c>
      <c r="P1149">
        <f t="shared" si="284"/>
        <v>0</v>
      </c>
      <c r="Q1149">
        <f t="shared" si="284"/>
        <v>8.1249999999999996E-4</v>
      </c>
      <c r="R1149">
        <f t="shared" si="284"/>
        <v>1.6249999999999999E-3</v>
      </c>
      <c r="S1149">
        <f t="shared" si="284"/>
        <v>2.4375E-3</v>
      </c>
      <c r="T1149">
        <f t="shared" si="284"/>
        <v>3.2499999999999999E-3</v>
      </c>
      <c r="U1149">
        <f t="shared" si="284"/>
        <v>4.0625000000000001E-3</v>
      </c>
      <c r="V1149">
        <f t="shared" si="284"/>
        <v>4.875E-3</v>
      </c>
      <c r="W1149">
        <f t="shared" si="284"/>
        <v>5.6874999999999998E-3</v>
      </c>
      <c r="X1149">
        <f t="shared" si="284"/>
        <v>6.4999999999999997E-3</v>
      </c>
      <c r="Y1149">
        <f t="shared" si="284"/>
        <v>7.3125000000000004E-3</v>
      </c>
      <c r="Z1149">
        <f t="shared" si="284"/>
        <v>8.1250000000000003E-3</v>
      </c>
      <c r="AA1149">
        <f t="shared" si="284"/>
        <v>8.9374999999999993E-3</v>
      </c>
      <c r="AB1149">
        <f t="shared" si="284"/>
        <v>9.75E-3</v>
      </c>
      <c r="AC1149">
        <f t="shared" si="284"/>
        <v>1.0562500000000001E-2</v>
      </c>
      <c r="AD1149">
        <f t="shared" si="284"/>
        <v>1.1375E-2</v>
      </c>
      <c r="AE1149">
        <f t="shared" si="284"/>
        <v>1.21875E-2</v>
      </c>
    </row>
    <row r="1151" spans="1:31" x14ac:dyDescent="0.45">
      <c r="A1151" t="s">
        <v>1654</v>
      </c>
      <c r="B1151" t="s">
        <v>1481</v>
      </c>
      <c r="C1151" t="s">
        <v>1350</v>
      </c>
      <c r="D1151">
        <v>2</v>
      </c>
      <c r="E1151" t="s">
        <v>1159</v>
      </c>
      <c r="L1151">
        <v>3.2287703131193024</v>
      </c>
      <c r="M1151">
        <v>3.3708362068965516</v>
      </c>
      <c r="N1151">
        <v>3.5191530000000002</v>
      </c>
      <c r="O1151">
        <v>3.6739957320000007</v>
      </c>
      <c r="P1151">
        <v>3.8356515442080008</v>
      </c>
      <c r="Q1151">
        <v>4.0044202121531534</v>
      </c>
      <c r="R1151">
        <v>4.1806147014878912</v>
      </c>
      <c r="S1151">
        <v>4.3645617483533599</v>
      </c>
      <c r="T1151">
        <v>4.556602465280907</v>
      </c>
      <c r="U1151">
        <v>4.7570929737532675</v>
      </c>
      <c r="V1151">
        <v>4.9664050645984119</v>
      </c>
      <c r="W1151">
        <v>5.1849268874407413</v>
      </c>
      <c r="X1151">
        <v>5.4130636704881345</v>
      </c>
      <c r="Y1151">
        <v>5.6512384719896129</v>
      </c>
      <c r="Z1151">
        <v>5.8998929647571554</v>
      </c>
      <c r="AA1151">
        <v>6.1594882552064707</v>
      </c>
      <c r="AB1151">
        <v>6.4305057384355555</v>
      </c>
      <c r="AC1151">
        <v>6.7134479909267206</v>
      </c>
      <c r="AD1151">
        <v>7.0088397025274967</v>
      </c>
      <c r="AE1151">
        <v>7.3172286494387055</v>
      </c>
    </row>
    <row r="1152" spans="1:31" x14ac:dyDescent="0.45">
      <c r="A1152" t="s">
        <v>1654</v>
      </c>
      <c r="B1152" t="s">
        <v>1481</v>
      </c>
      <c r="C1152" t="s">
        <v>1350</v>
      </c>
      <c r="D1152">
        <v>2</v>
      </c>
      <c r="E1152" t="s">
        <v>1160</v>
      </c>
      <c r="K1152" t="str">
        <f>IF(ISBLANK(Mitigation_Industry!K729),"",Mitigation_Industry!K729)</f>
        <v/>
      </c>
      <c r="L1152">
        <f>IF(ISBLANK(Mitigation_Industry!L729),"",Mitigation_Industry!L729)</f>
        <v>3.2287703131193024</v>
      </c>
      <c r="M1152">
        <f>IF(ISBLANK(Mitigation_Industry!M729),"",Mitigation_Industry!M729)</f>
        <v>3.3708362068965516</v>
      </c>
      <c r="N1152">
        <f>IF(ISBLANK(Mitigation_Industry!N729),"",Mitigation_Industry!N729)</f>
        <v>3.5191530000000002</v>
      </c>
      <c r="O1152">
        <f>IF(ISBLANK(Mitigation_Industry!O729),"",Mitigation_Industry!O729)</f>
        <v>3.6739957320000007</v>
      </c>
      <c r="P1152">
        <f>IF(ISBLANK(Mitigation_Industry!P729),"",Mitigation_Industry!P729)</f>
        <v>3.8356515442080008</v>
      </c>
      <c r="Q1152">
        <f>IF(ISBLANK(Mitigation_Industry!Q729),"",Mitigation_Industry!Q729)</f>
        <v>4.0044202121531534</v>
      </c>
      <c r="R1152">
        <f>IF(ISBLANK(Mitigation_Industry!R729),"",Mitigation_Industry!R729)</f>
        <v>4.1806147014878912</v>
      </c>
      <c r="S1152">
        <f>IF(ISBLANK(Mitigation_Industry!S729),"",Mitigation_Industry!S729)</f>
        <v>4.3645617483533599</v>
      </c>
      <c r="T1152">
        <f>IF(ISBLANK(Mitigation_Industry!T729),"",Mitigation_Industry!T729)</f>
        <v>4.556602465280907</v>
      </c>
      <c r="U1152">
        <f>IF(ISBLANK(Mitigation_Industry!U729),"",Mitigation_Industry!U729)</f>
        <v>4.7570929737532675</v>
      </c>
      <c r="V1152">
        <f>IF(ISBLANK(Mitigation_Industry!V729),"",Mitigation_Industry!V729)</f>
        <v>4.9664050645984119</v>
      </c>
      <c r="W1152">
        <f>IF(ISBLANK(Mitigation_Industry!W729),"",Mitigation_Industry!W729)</f>
        <v>5.1849268874407413</v>
      </c>
      <c r="X1152">
        <f>IF(ISBLANK(Mitigation_Industry!X729),"",Mitigation_Industry!X729)</f>
        <v>5.4130636704881345</v>
      </c>
      <c r="Y1152">
        <f>IF(ISBLANK(Mitigation_Industry!Y729),"",Mitigation_Industry!Y729)</f>
        <v>5.6512384719896129</v>
      </c>
      <c r="Z1152">
        <f>IF(ISBLANK(Mitigation_Industry!Z729),"",Mitigation_Industry!Z729)</f>
        <v>5.8998929647571554</v>
      </c>
      <c r="AA1152">
        <f>IF(ISBLANK(Mitigation_Industry!AA729),"",Mitigation_Industry!AA729)</f>
        <v>6.1594882552064707</v>
      </c>
      <c r="AB1152">
        <f>IF(ISBLANK(Mitigation_Industry!AB729),"",Mitigation_Industry!AB729)</f>
        <v>6.4305057384355555</v>
      </c>
      <c r="AC1152">
        <f>IF(ISBLANK(Mitigation_Industry!AC729),"",Mitigation_Industry!AC729)</f>
        <v>6.7134479909267206</v>
      </c>
      <c r="AD1152">
        <f>IF(ISBLANK(Mitigation_Industry!AD729),"",Mitigation_Industry!AD729)</f>
        <v>7.0088397025274967</v>
      </c>
      <c r="AE1152">
        <f>IF(ISBLANK(Mitigation_Industry!AE729),"",Mitigation_Industry!AE729)</f>
        <v>7.3172286494387055</v>
      </c>
    </row>
    <row r="1153" spans="1:31" x14ac:dyDescent="0.45">
      <c r="A1153" t="s">
        <v>1654</v>
      </c>
      <c r="B1153" t="s">
        <v>1481</v>
      </c>
      <c r="C1153" t="s">
        <v>1350</v>
      </c>
      <c r="D1153">
        <v>2</v>
      </c>
      <c r="E1153" t="s">
        <v>1161</v>
      </c>
      <c r="F1153">
        <f>MAX(MAX(L1153:AE1153),-MIN(L1153:AE1153))</f>
        <v>0</v>
      </c>
      <c r="I1153" t="s">
        <v>1509</v>
      </c>
      <c r="K1153">
        <f t="shared" ref="K1153:AE1153" si="285">IF(ISNUMBER(K1151),IF(ISNUMBER(K1152),K1152-K1151,999999),0)</f>
        <v>0</v>
      </c>
      <c r="L1153">
        <f t="shared" si="285"/>
        <v>0</v>
      </c>
      <c r="M1153">
        <f t="shared" si="285"/>
        <v>0</v>
      </c>
      <c r="N1153">
        <f t="shared" si="285"/>
        <v>0</v>
      </c>
      <c r="O1153">
        <f t="shared" si="285"/>
        <v>0</v>
      </c>
      <c r="P1153">
        <f t="shared" si="285"/>
        <v>0</v>
      </c>
      <c r="Q1153">
        <f t="shared" si="285"/>
        <v>0</v>
      </c>
      <c r="R1153">
        <f t="shared" si="285"/>
        <v>0</v>
      </c>
      <c r="S1153">
        <f t="shared" si="285"/>
        <v>0</v>
      </c>
      <c r="T1153">
        <f t="shared" si="285"/>
        <v>0</v>
      </c>
      <c r="U1153">
        <f t="shared" si="285"/>
        <v>0</v>
      </c>
      <c r="V1153">
        <f t="shared" si="285"/>
        <v>0</v>
      </c>
      <c r="W1153">
        <f t="shared" si="285"/>
        <v>0</v>
      </c>
      <c r="X1153">
        <f t="shared" si="285"/>
        <v>0</v>
      </c>
      <c r="Y1153">
        <f t="shared" si="285"/>
        <v>0</v>
      </c>
      <c r="Z1153">
        <f t="shared" si="285"/>
        <v>0</v>
      </c>
      <c r="AA1153">
        <f t="shared" si="285"/>
        <v>0</v>
      </c>
      <c r="AB1153">
        <f t="shared" si="285"/>
        <v>0</v>
      </c>
      <c r="AC1153">
        <f t="shared" si="285"/>
        <v>0</v>
      </c>
      <c r="AD1153">
        <f t="shared" si="285"/>
        <v>0</v>
      </c>
      <c r="AE1153">
        <f t="shared" si="285"/>
        <v>0</v>
      </c>
    </row>
    <row r="1155" spans="1:31" x14ac:dyDescent="0.45">
      <c r="A1155" t="s">
        <v>1655</v>
      </c>
      <c r="B1155" t="s">
        <v>1481</v>
      </c>
      <c r="C1155" t="s">
        <v>1357</v>
      </c>
      <c r="D1155">
        <v>2</v>
      </c>
      <c r="E1155" t="s">
        <v>1159</v>
      </c>
      <c r="L1155">
        <v>0.61765094464262127</v>
      </c>
      <c r="M1155">
        <v>0.64482758620689662</v>
      </c>
      <c r="N1155">
        <v>0.67320000000000002</v>
      </c>
      <c r="O1155">
        <v>0.70282080000000002</v>
      </c>
      <c r="P1155">
        <v>0.73374491520000007</v>
      </c>
      <c r="Q1155">
        <v>0.76602969146880007</v>
      </c>
      <c r="R1155">
        <v>0.79973499789342728</v>
      </c>
      <c r="S1155">
        <v>0.83492333780073813</v>
      </c>
      <c r="T1155">
        <v>0.87165996466397067</v>
      </c>
      <c r="U1155">
        <v>0.91001300310918543</v>
      </c>
      <c r="V1155">
        <v>0.95005357524598955</v>
      </c>
      <c r="W1155">
        <v>0.99185593255681304</v>
      </c>
      <c r="X1155">
        <v>1.0354975935893131</v>
      </c>
      <c r="Y1155">
        <v>1.0810594877072426</v>
      </c>
      <c r="Z1155">
        <v>1.1286261051663613</v>
      </c>
      <c r="AA1155">
        <v>1.1782856537936812</v>
      </c>
      <c r="AB1155">
        <v>1.2301302225606032</v>
      </c>
      <c r="AC1155">
        <v>1.2842559523532697</v>
      </c>
      <c r="AD1155">
        <v>1.3407632142568136</v>
      </c>
      <c r="AE1155">
        <v>1.3997567956841135</v>
      </c>
    </row>
    <row r="1156" spans="1:31" x14ac:dyDescent="0.45">
      <c r="A1156" t="s">
        <v>1655</v>
      </c>
      <c r="B1156" t="s">
        <v>1481</v>
      </c>
      <c r="C1156" t="s">
        <v>1357</v>
      </c>
      <c r="D1156">
        <v>2</v>
      </c>
      <c r="E1156" t="s">
        <v>1160</v>
      </c>
      <c r="K1156" t="str">
        <f>IF(ISBLANK(Mitigation_Industry!K730),"",Mitigation_Industry!K730)</f>
        <v/>
      </c>
      <c r="L1156">
        <f>IF(ISBLANK(Mitigation_Industry!L730),"",Mitigation_Industry!L730)</f>
        <v>0.61765094464262127</v>
      </c>
      <c r="M1156">
        <f>IF(ISBLANK(Mitigation_Industry!M730),"",Mitigation_Industry!M730)</f>
        <v>0.64482758620689662</v>
      </c>
      <c r="N1156">
        <f>IF(ISBLANK(Mitigation_Industry!N730),"",Mitigation_Industry!N730)</f>
        <v>0.67320000000000002</v>
      </c>
      <c r="O1156">
        <f>IF(ISBLANK(Mitigation_Industry!O730),"",Mitigation_Industry!O730)</f>
        <v>0.70282080000000002</v>
      </c>
      <c r="P1156">
        <f>IF(ISBLANK(Mitigation_Industry!P730),"",Mitigation_Industry!P730)</f>
        <v>0.73374491520000007</v>
      </c>
      <c r="Q1156">
        <f>IF(ISBLANK(Mitigation_Industry!Q730),"",Mitigation_Industry!Q730)</f>
        <v>0.76602969146880007</v>
      </c>
      <c r="R1156">
        <f>IF(ISBLANK(Mitigation_Industry!R730),"",Mitigation_Industry!R730)</f>
        <v>0.79973499789342728</v>
      </c>
      <c r="S1156">
        <f>IF(ISBLANK(Mitigation_Industry!S730),"",Mitigation_Industry!S730)</f>
        <v>0.83492333780073813</v>
      </c>
      <c r="T1156">
        <f>IF(ISBLANK(Mitigation_Industry!T730),"",Mitigation_Industry!T730)</f>
        <v>0.87165996466397067</v>
      </c>
      <c r="U1156">
        <f>IF(ISBLANK(Mitigation_Industry!U730),"",Mitigation_Industry!U730)</f>
        <v>0.91001300310918543</v>
      </c>
      <c r="V1156">
        <f>IF(ISBLANK(Mitigation_Industry!V730),"",Mitigation_Industry!V730)</f>
        <v>0.95005357524598955</v>
      </c>
      <c r="W1156">
        <f>IF(ISBLANK(Mitigation_Industry!W730),"",Mitigation_Industry!W730)</f>
        <v>0.99185593255681304</v>
      </c>
      <c r="X1156">
        <f>IF(ISBLANK(Mitigation_Industry!X730),"",Mitigation_Industry!X730)</f>
        <v>1.0354975935893131</v>
      </c>
      <c r="Y1156">
        <f>IF(ISBLANK(Mitigation_Industry!Y730),"",Mitigation_Industry!Y730)</f>
        <v>1.0810594877072426</v>
      </c>
      <c r="Z1156">
        <f>IF(ISBLANK(Mitigation_Industry!Z730),"",Mitigation_Industry!Z730)</f>
        <v>1.1286261051663613</v>
      </c>
      <c r="AA1156">
        <f>IF(ISBLANK(Mitigation_Industry!AA730),"",Mitigation_Industry!AA730)</f>
        <v>1.1782856537936812</v>
      </c>
      <c r="AB1156">
        <f>IF(ISBLANK(Mitigation_Industry!AB730),"",Mitigation_Industry!AB730)</f>
        <v>1.2301302225606032</v>
      </c>
      <c r="AC1156">
        <f>IF(ISBLANK(Mitigation_Industry!AC730),"",Mitigation_Industry!AC730)</f>
        <v>1.2842559523532697</v>
      </c>
      <c r="AD1156">
        <f>IF(ISBLANK(Mitigation_Industry!AD730),"",Mitigation_Industry!AD730)</f>
        <v>1.3407632142568136</v>
      </c>
      <c r="AE1156">
        <f>IF(ISBLANK(Mitigation_Industry!AE730),"",Mitigation_Industry!AE730)</f>
        <v>1.3997567956841135</v>
      </c>
    </row>
    <row r="1157" spans="1:31" x14ac:dyDescent="0.45">
      <c r="A1157" t="s">
        <v>1655</v>
      </c>
      <c r="B1157" t="s">
        <v>1481</v>
      </c>
      <c r="C1157" t="s">
        <v>1357</v>
      </c>
      <c r="D1157">
        <v>2</v>
      </c>
      <c r="E1157" t="s">
        <v>1161</v>
      </c>
      <c r="F1157">
        <f>MAX(MAX(L1157:AE1157),-MIN(L1157:AE1157))</f>
        <v>0</v>
      </c>
      <c r="I1157" t="s">
        <v>1509</v>
      </c>
      <c r="K1157">
        <f t="shared" ref="K1157:AE1157" si="286">IF(ISNUMBER(K1155),IF(ISNUMBER(K1156),K1156-K1155,999999),0)</f>
        <v>0</v>
      </c>
      <c r="L1157">
        <f t="shared" si="286"/>
        <v>0</v>
      </c>
      <c r="M1157">
        <f t="shared" si="286"/>
        <v>0</v>
      </c>
      <c r="N1157">
        <f t="shared" si="286"/>
        <v>0</v>
      </c>
      <c r="O1157">
        <f t="shared" si="286"/>
        <v>0</v>
      </c>
      <c r="P1157">
        <f t="shared" si="286"/>
        <v>0</v>
      </c>
      <c r="Q1157">
        <f t="shared" si="286"/>
        <v>0</v>
      </c>
      <c r="R1157">
        <f t="shared" si="286"/>
        <v>0</v>
      </c>
      <c r="S1157">
        <f t="shared" si="286"/>
        <v>0</v>
      </c>
      <c r="T1157">
        <f t="shared" si="286"/>
        <v>0</v>
      </c>
      <c r="U1157">
        <f t="shared" si="286"/>
        <v>0</v>
      </c>
      <c r="V1157">
        <f t="shared" si="286"/>
        <v>0</v>
      </c>
      <c r="W1157">
        <f t="shared" si="286"/>
        <v>0</v>
      </c>
      <c r="X1157">
        <f t="shared" si="286"/>
        <v>0</v>
      </c>
      <c r="Y1157">
        <f t="shared" si="286"/>
        <v>0</v>
      </c>
      <c r="Z1157">
        <f t="shared" si="286"/>
        <v>0</v>
      </c>
      <c r="AA1157">
        <f t="shared" si="286"/>
        <v>0</v>
      </c>
      <c r="AB1157">
        <f t="shared" si="286"/>
        <v>0</v>
      </c>
      <c r="AC1157">
        <f t="shared" si="286"/>
        <v>0</v>
      </c>
      <c r="AD1157">
        <f t="shared" si="286"/>
        <v>0</v>
      </c>
      <c r="AE1157">
        <f t="shared" si="286"/>
        <v>0</v>
      </c>
    </row>
    <row r="1159" spans="1:31" x14ac:dyDescent="0.45">
      <c r="A1159" t="s">
        <v>1656</v>
      </c>
      <c r="B1159" t="s">
        <v>1481</v>
      </c>
      <c r="C1159" t="s">
        <v>1363</v>
      </c>
      <c r="D1159">
        <v>2</v>
      </c>
      <c r="E1159" t="s">
        <v>1159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45">
      <c r="A1160" t="s">
        <v>1656</v>
      </c>
      <c r="B1160" t="s">
        <v>1481</v>
      </c>
      <c r="C1160" t="s">
        <v>1363</v>
      </c>
      <c r="D1160">
        <v>2</v>
      </c>
      <c r="E1160" t="s">
        <v>1160</v>
      </c>
      <c r="K1160" t="str">
        <f>IF(ISBLANK(Mitigation_Industry!K731),"",Mitigation_Industry!K731)</f>
        <v/>
      </c>
      <c r="L1160">
        <f>IF(ISBLANK(Mitigation_Industry!L731),"",Mitigation_Industry!L731)</f>
        <v>0</v>
      </c>
      <c r="M1160">
        <f>IF(ISBLANK(Mitigation_Industry!M731),"",Mitigation_Industry!M731)</f>
        <v>0</v>
      </c>
      <c r="N1160">
        <f>IF(ISBLANK(Mitigation_Industry!N731),"",Mitigation_Industry!N731)</f>
        <v>0</v>
      </c>
      <c r="O1160">
        <f>IF(ISBLANK(Mitigation_Industry!O731),"",Mitigation_Industry!O731)</f>
        <v>0</v>
      </c>
      <c r="P1160">
        <f>IF(ISBLANK(Mitigation_Industry!P731),"",Mitigation_Industry!P731)</f>
        <v>0</v>
      </c>
      <c r="Q1160">
        <f>IF(ISBLANK(Mitigation_Industry!Q731),"",Mitigation_Industry!Q731)</f>
        <v>0</v>
      </c>
      <c r="R1160">
        <f>IF(ISBLANK(Mitigation_Industry!R731),"",Mitigation_Industry!R731)</f>
        <v>0</v>
      </c>
      <c r="S1160">
        <f>IF(ISBLANK(Mitigation_Industry!S731),"",Mitigation_Industry!S731)</f>
        <v>0</v>
      </c>
      <c r="T1160">
        <f>IF(ISBLANK(Mitigation_Industry!T731),"",Mitigation_Industry!T731)</f>
        <v>0</v>
      </c>
      <c r="U1160">
        <f>IF(ISBLANK(Mitigation_Industry!U731),"",Mitigation_Industry!U731)</f>
        <v>0</v>
      </c>
      <c r="V1160">
        <f>IF(ISBLANK(Mitigation_Industry!V731),"",Mitigation_Industry!V731)</f>
        <v>0</v>
      </c>
      <c r="W1160">
        <f>IF(ISBLANK(Mitigation_Industry!W731),"",Mitigation_Industry!W731)</f>
        <v>0</v>
      </c>
      <c r="X1160">
        <f>IF(ISBLANK(Mitigation_Industry!X731),"",Mitigation_Industry!X731)</f>
        <v>0</v>
      </c>
      <c r="Y1160">
        <f>IF(ISBLANK(Mitigation_Industry!Y731),"",Mitigation_Industry!Y731)</f>
        <v>0</v>
      </c>
      <c r="Z1160">
        <f>IF(ISBLANK(Mitigation_Industry!Z731),"",Mitigation_Industry!Z731)</f>
        <v>0</v>
      </c>
      <c r="AA1160">
        <f>IF(ISBLANK(Mitigation_Industry!AA731),"",Mitigation_Industry!AA731)</f>
        <v>0</v>
      </c>
      <c r="AB1160">
        <f>IF(ISBLANK(Mitigation_Industry!AB731),"",Mitigation_Industry!AB731)</f>
        <v>0</v>
      </c>
      <c r="AC1160">
        <f>IF(ISBLANK(Mitigation_Industry!AC731),"",Mitigation_Industry!AC731)</f>
        <v>0</v>
      </c>
      <c r="AD1160">
        <f>IF(ISBLANK(Mitigation_Industry!AD731),"",Mitigation_Industry!AD731)</f>
        <v>0</v>
      </c>
      <c r="AE1160">
        <f>IF(ISBLANK(Mitigation_Industry!AE731),"",Mitigation_Industry!AE731)</f>
        <v>0</v>
      </c>
    </row>
    <row r="1161" spans="1:31" x14ac:dyDescent="0.45">
      <c r="A1161" t="s">
        <v>1656</v>
      </c>
      <c r="B1161" t="s">
        <v>1481</v>
      </c>
      <c r="C1161" t="s">
        <v>1363</v>
      </c>
      <c r="D1161">
        <v>2</v>
      </c>
      <c r="E1161" t="s">
        <v>1161</v>
      </c>
      <c r="F1161">
        <f>MAX(MAX(L1161:AE1161),-MIN(L1161:AE1161))</f>
        <v>0</v>
      </c>
      <c r="I1161" t="s">
        <v>1509</v>
      </c>
      <c r="K1161">
        <f t="shared" ref="K1161:AE1161" si="287">IF(ISNUMBER(K1159),IF(ISNUMBER(K1160),K1160-K1159,999999),0)</f>
        <v>0</v>
      </c>
      <c r="L1161">
        <f t="shared" si="287"/>
        <v>0</v>
      </c>
      <c r="M1161">
        <f t="shared" si="287"/>
        <v>0</v>
      </c>
      <c r="N1161">
        <f t="shared" si="287"/>
        <v>0</v>
      </c>
      <c r="O1161">
        <f t="shared" si="287"/>
        <v>0</v>
      </c>
      <c r="P1161">
        <f t="shared" si="287"/>
        <v>0</v>
      </c>
      <c r="Q1161">
        <f t="shared" si="287"/>
        <v>0</v>
      </c>
      <c r="R1161">
        <f t="shared" si="287"/>
        <v>0</v>
      </c>
      <c r="S1161">
        <f t="shared" si="287"/>
        <v>0</v>
      </c>
      <c r="T1161">
        <f t="shared" si="287"/>
        <v>0</v>
      </c>
      <c r="U1161">
        <f t="shared" si="287"/>
        <v>0</v>
      </c>
      <c r="V1161">
        <f t="shared" si="287"/>
        <v>0</v>
      </c>
      <c r="W1161">
        <f t="shared" si="287"/>
        <v>0</v>
      </c>
      <c r="X1161">
        <f t="shared" si="287"/>
        <v>0</v>
      </c>
      <c r="Y1161">
        <f t="shared" si="287"/>
        <v>0</v>
      </c>
      <c r="Z1161">
        <f t="shared" si="287"/>
        <v>0</v>
      </c>
      <c r="AA1161">
        <f t="shared" si="287"/>
        <v>0</v>
      </c>
      <c r="AB1161">
        <f t="shared" si="287"/>
        <v>0</v>
      </c>
      <c r="AC1161">
        <f t="shared" si="287"/>
        <v>0</v>
      </c>
      <c r="AD1161">
        <f t="shared" si="287"/>
        <v>0</v>
      </c>
      <c r="AE1161">
        <f t="shared" si="287"/>
        <v>0</v>
      </c>
    </row>
    <row r="1163" spans="1:31" x14ac:dyDescent="0.45">
      <c r="A1163" t="s">
        <v>1657</v>
      </c>
      <c r="B1163" t="s">
        <v>1481</v>
      </c>
      <c r="C1163" t="s">
        <v>1369</v>
      </c>
      <c r="D1163">
        <v>2</v>
      </c>
      <c r="E1163" t="s">
        <v>1159</v>
      </c>
      <c r="L1163">
        <v>13.508713893592757</v>
      </c>
      <c r="M1163">
        <v>13.954501452081317</v>
      </c>
      <c r="N1163">
        <v>14.414999999999996</v>
      </c>
      <c r="O1163">
        <v>14.890694999999994</v>
      </c>
      <c r="P1163">
        <v>15.382087934999994</v>
      </c>
      <c r="Q1163">
        <v>15.889696836854991</v>
      </c>
      <c r="R1163">
        <v>16.414056832471204</v>
      </c>
      <c r="S1163">
        <v>16.955720707942753</v>
      </c>
      <c r="T1163">
        <v>17.515259491304864</v>
      </c>
      <c r="U1163">
        <v>18.093263054517923</v>
      </c>
      <c r="V1163">
        <v>18.690340735317012</v>
      </c>
      <c r="W1163">
        <v>19.307121979582472</v>
      </c>
      <c r="X1163">
        <v>19.944257004908692</v>
      </c>
      <c r="Y1163">
        <v>20.602417486070678</v>
      </c>
      <c r="Z1163">
        <v>21.282297263111008</v>
      </c>
      <c r="AA1163">
        <v>21.984613072793671</v>
      </c>
      <c r="AB1163">
        <v>22.710105304195864</v>
      </c>
      <c r="AC1163">
        <v>23.459538779234322</v>
      </c>
      <c r="AD1163">
        <v>24.233703558949056</v>
      </c>
      <c r="AE1163">
        <v>25.033415776394371</v>
      </c>
    </row>
    <row r="1164" spans="1:31" x14ac:dyDescent="0.45">
      <c r="A1164" t="s">
        <v>1657</v>
      </c>
      <c r="B1164" t="s">
        <v>1481</v>
      </c>
      <c r="C1164" t="s">
        <v>1369</v>
      </c>
      <c r="D1164">
        <v>2</v>
      </c>
      <c r="E1164" t="s">
        <v>1160</v>
      </c>
      <c r="K1164" t="str">
        <f>IF(ISBLANK(Mitigation_Industry!K732),"",Mitigation_Industry!K732)</f>
        <v/>
      </c>
      <c r="L1164">
        <f>IF(ISBLANK(Mitigation_Industry!L732),"",Mitigation_Industry!L732)</f>
        <v>13.508713893592759</v>
      </c>
      <c r="M1164">
        <f>IF(ISBLANK(Mitigation_Industry!M732),"",Mitigation_Industry!M732)</f>
        <v>13.954501452081319</v>
      </c>
      <c r="N1164">
        <f>IF(ISBLANK(Mitigation_Industry!N732),"",Mitigation_Industry!N732)</f>
        <v>14.414999999999999</v>
      </c>
      <c r="O1164">
        <f>IF(ISBLANK(Mitigation_Industry!O732),"",Mitigation_Industry!O732)</f>
        <v>14.890694999999997</v>
      </c>
      <c r="P1164">
        <f>IF(ISBLANK(Mitigation_Industry!P732),"",Mitigation_Industry!P732)</f>
        <v>15.382087934999998</v>
      </c>
      <c r="Q1164">
        <f>IF(ISBLANK(Mitigation_Industry!Q732),"",Mitigation_Industry!Q732)</f>
        <v>15.889696836854995</v>
      </c>
      <c r="R1164">
        <f>IF(ISBLANK(Mitigation_Industry!R732),"",Mitigation_Industry!R732)</f>
        <v>16.414056832471207</v>
      </c>
      <c r="S1164">
        <f>IF(ISBLANK(Mitigation_Industry!S732),"",Mitigation_Industry!S732)</f>
        <v>16.955720707942756</v>
      </c>
      <c r="T1164">
        <f>IF(ISBLANK(Mitigation_Industry!T732),"",Mitigation_Industry!T732)</f>
        <v>17.515259491304867</v>
      </c>
      <c r="U1164">
        <f>IF(ISBLANK(Mitigation_Industry!U732),"",Mitigation_Industry!U732)</f>
        <v>18.093263054517926</v>
      </c>
      <c r="V1164">
        <f>IF(ISBLANK(Mitigation_Industry!V732),"",Mitigation_Industry!V732)</f>
        <v>18.690340735317015</v>
      </c>
      <c r="W1164">
        <f>IF(ISBLANK(Mitigation_Industry!W732),"",Mitigation_Industry!W732)</f>
        <v>19.307121979582476</v>
      </c>
      <c r="X1164">
        <f>IF(ISBLANK(Mitigation_Industry!X732),"",Mitigation_Industry!X732)</f>
        <v>19.944257004908696</v>
      </c>
      <c r="Y1164">
        <f>IF(ISBLANK(Mitigation_Industry!Y732),"",Mitigation_Industry!Y732)</f>
        <v>20.602417486070681</v>
      </c>
      <c r="Z1164">
        <f>IF(ISBLANK(Mitigation_Industry!Z732),"",Mitigation_Industry!Z732)</f>
        <v>21.282297263111012</v>
      </c>
      <c r="AA1164">
        <f>IF(ISBLANK(Mitigation_Industry!AA732),"",Mitigation_Industry!AA732)</f>
        <v>21.984613072793675</v>
      </c>
      <c r="AB1164">
        <f>IF(ISBLANK(Mitigation_Industry!AB732),"",Mitigation_Industry!AB732)</f>
        <v>22.710105304195867</v>
      </c>
      <c r="AC1164">
        <f>IF(ISBLANK(Mitigation_Industry!AC732),"",Mitigation_Industry!AC732)</f>
        <v>23.459538779234329</v>
      </c>
      <c r="AD1164">
        <f>IF(ISBLANK(Mitigation_Industry!AD732),"",Mitigation_Industry!AD732)</f>
        <v>24.23370355894906</v>
      </c>
      <c r="AE1164">
        <f>IF(ISBLANK(Mitigation_Industry!AE732),"",Mitigation_Industry!AE732)</f>
        <v>25.033415776394378</v>
      </c>
    </row>
    <row r="1165" spans="1:31" x14ac:dyDescent="0.45">
      <c r="A1165" t="s">
        <v>1657</v>
      </c>
      <c r="B1165" t="s">
        <v>1481</v>
      </c>
      <c r="C1165" t="s">
        <v>1369</v>
      </c>
      <c r="D1165">
        <v>2</v>
      </c>
      <c r="E1165" t="s">
        <v>1161</v>
      </c>
      <c r="F1165">
        <f>MAX(MAX(L1165:AE1165),-MIN(L1165:AE1165))</f>
        <v>7.1054273576010019E-15</v>
      </c>
      <c r="I1165" t="s">
        <v>1509</v>
      </c>
      <c r="K1165">
        <f t="shared" ref="K1165:AE1165" si="288">IF(ISNUMBER(K1163),IF(ISNUMBER(K1164),K1164-K1163,999999),0)</f>
        <v>0</v>
      </c>
      <c r="L1165">
        <f t="shared" si="288"/>
        <v>1.7763568394002505E-15</v>
      </c>
      <c r="M1165">
        <f t="shared" si="288"/>
        <v>1.7763568394002505E-15</v>
      </c>
      <c r="N1165">
        <f t="shared" si="288"/>
        <v>3.5527136788005009E-15</v>
      </c>
      <c r="O1165">
        <f t="shared" si="288"/>
        <v>3.5527136788005009E-15</v>
      </c>
      <c r="P1165">
        <f t="shared" si="288"/>
        <v>3.5527136788005009E-15</v>
      </c>
      <c r="Q1165">
        <f t="shared" si="288"/>
        <v>3.5527136788005009E-15</v>
      </c>
      <c r="R1165">
        <f t="shared" si="288"/>
        <v>3.5527136788005009E-15</v>
      </c>
      <c r="S1165">
        <f t="shared" si="288"/>
        <v>3.5527136788005009E-15</v>
      </c>
      <c r="T1165">
        <f t="shared" si="288"/>
        <v>3.5527136788005009E-15</v>
      </c>
      <c r="U1165">
        <f t="shared" si="288"/>
        <v>3.5527136788005009E-15</v>
      </c>
      <c r="V1165">
        <f t="shared" si="288"/>
        <v>3.5527136788005009E-15</v>
      </c>
      <c r="W1165">
        <f t="shared" si="288"/>
        <v>3.5527136788005009E-15</v>
      </c>
      <c r="X1165">
        <f t="shared" si="288"/>
        <v>3.5527136788005009E-15</v>
      </c>
      <c r="Y1165">
        <f t="shared" si="288"/>
        <v>3.5527136788005009E-15</v>
      </c>
      <c r="Z1165">
        <f t="shared" si="288"/>
        <v>3.5527136788005009E-15</v>
      </c>
      <c r="AA1165">
        <f t="shared" si="288"/>
        <v>3.5527136788005009E-15</v>
      </c>
      <c r="AB1165">
        <f t="shared" si="288"/>
        <v>3.5527136788005009E-15</v>
      </c>
      <c r="AC1165">
        <f t="shared" si="288"/>
        <v>7.1054273576010019E-15</v>
      </c>
      <c r="AD1165">
        <f t="shared" si="288"/>
        <v>3.5527136788005009E-15</v>
      </c>
      <c r="AE1165">
        <f t="shared" si="288"/>
        <v>7.1054273576010019E-15</v>
      </c>
    </row>
    <row r="1167" spans="1:31" x14ac:dyDescent="0.45">
      <c r="A1167" t="s">
        <v>1658</v>
      </c>
      <c r="B1167" t="s">
        <v>1481</v>
      </c>
      <c r="C1167" t="s">
        <v>1442</v>
      </c>
      <c r="D1167">
        <v>2</v>
      </c>
      <c r="E1167" t="s">
        <v>1159</v>
      </c>
      <c r="L1167">
        <v>3.1638306570517116</v>
      </c>
      <c r="M1167">
        <v>3.2334349315068498</v>
      </c>
      <c r="N1167">
        <v>3.3045705000000001</v>
      </c>
      <c r="O1167">
        <v>3.3772710510000001</v>
      </c>
      <c r="P1167">
        <v>3.451571014122</v>
      </c>
      <c r="Q1167">
        <v>3.5275055764326839</v>
      </c>
      <c r="R1167">
        <v>3.6051106991142032</v>
      </c>
      <c r="S1167">
        <v>3.6844231344947156</v>
      </c>
      <c r="T1167">
        <v>3.7654804434535993</v>
      </c>
      <c r="U1167">
        <v>3.8483210132095786</v>
      </c>
      <c r="V1167">
        <v>3.9329840755001895</v>
      </c>
      <c r="W1167">
        <v>4.0195097251611944</v>
      </c>
      <c r="X1167">
        <v>4.1079389391147405</v>
      </c>
      <c r="Y1167">
        <v>4.1983135957752644</v>
      </c>
      <c r="Z1167">
        <v>4.2906764948823213</v>
      </c>
      <c r="AA1167">
        <v>4.3850713777697319</v>
      </c>
      <c r="AB1167">
        <v>4.4815429480806657</v>
      </c>
      <c r="AC1167">
        <v>4.580136892938441</v>
      </c>
      <c r="AD1167">
        <v>4.6808999045830859</v>
      </c>
      <c r="AE1167">
        <v>4.7838797024839144</v>
      </c>
    </row>
    <row r="1168" spans="1:31" x14ac:dyDescent="0.45">
      <c r="A1168" t="s">
        <v>1658</v>
      </c>
      <c r="B1168" t="s">
        <v>1481</v>
      </c>
      <c r="C1168" t="s">
        <v>1442</v>
      </c>
      <c r="D1168">
        <v>2</v>
      </c>
      <c r="E1168" t="s">
        <v>1160</v>
      </c>
      <c r="K1168" t="str">
        <f>IF(ISBLANK(Mitigation_Industry!K733),"",Mitigation_Industry!K733)</f>
        <v/>
      </c>
      <c r="L1168">
        <f>IF(ISBLANK(Mitigation_Industry!L733),"",Mitigation_Industry!L733)</f>
        <v>3.1638306570517116</v>
      </c>
      <c r="M1168">
        <f>IF(ISBLANK(Mitigation_Industry!M733),"",Mitigation_Industry!M733)</f>
        <v>3.2334349315068494</v>
      </c>
      <c r="N1168">
        <f>IF(ISBLANK(Mitigation_Industry!N733),"",Mitigation_Industry!N733)</f>
        <v>3.3045704999999996</v>
      </c>
      <c r="O1168">
        <f>IF(ISBLANK(Mitigation_Industry!O733),"",Mitigation_Industry!O733)</f>
        <v>3.3772710509999997</v>
      </c>
      <c r="P1168">
        <f>IF(ISBLANK(Mitigation_Industry!P733),"",Mitigation_Industry!P733)</f>
        <v>3.4515710141219995</v>
      </c>
      <c r="Q1168">
        <f>IF(ISBLANK(Mitigation_Industry!Q733),"",Mitigation_Industry!Q733)</f>
        <v>3.5275055764326835</v>
      </c>
      <c r="R1168">
        <f>IF(ISBLANK(Mitigation_Industry!R733),"",Mitigation_Industry!R733)</f>
        <v>3.6051106991142028</v>
      </c>
      <c r="S1168">
        <f>IF(ISBLANK(Mitigation_Industry!S733),"",Mitigation_Industry!S733)</f>
        <v>3.6844231344947151</v>
      </c>
      <c r="T1168">
        <f>IF(ISBLANK(Mitigation_Industry!T733),"",Mitigation_Industry!T733)</f>
        <v>3.7654804434535989</v>
      </c>
      <c r="U1168">
        <f>IF(ISBLANK(Mitigation_Industry!U733),"",Mitigation_Industry!U733)</f>
        <v>3.8483210132095782</v>
      </c>
      <c r="V1168">
        <f>IF(ISBLANK(Mitigation_Industry!V733),"",Mitigation_Industry!V733)</f>
        <v>3.932984075500189</v>
      </c>
      <c r="W1168">
        <f>IF(ISBLANK(Mitigation_Industry!W733),"",Mitigation_Industry!W733)</f>
        <v>4.0195097251611935</v>
      </c>
      <c r="X1168">
        <f>IF(ISBLANK(Mitigation_Industry!X733),"",Mitigation_Industry!X733)</f>
        <v>4.1079389391147396</v>
      </c>
      <c r="Y1168">
        <f>IF(ISBLANK(Mitigation_Industry!Y733),"",Mitigation_Industry!Y733)</f>
        <v>4.1983135957752644</v>
      </c>
      <c r="Z1168">
        <f>IF(ISBLANK(Mitigation_Industry!Z733),"",Mitigation_Industry!Z733)</f>
        <v>4.2906764948823204</v>
      </c>
      <c r="AA1168">
        <f>IF(ISBLANK(Mitigation_Industry!AA733),"",Mitigation_Industry!AA733)</f>
        <v>4.385071377769731</v>
      </c>
      <c r="AB1168">
        <f>IF(ISBLANK(Mitigation_Industry!AB733),"",Mitigation_Industry!AB733)</f>
        <v>4.4815429480806648</v>
      </c>
      <c r="AC1168">
        <f>IF(ISBLANK(Mitigation_Industry!AC733),"",Mitigation_Industry!AC733)</f>
        <v>4.5801368929384401</v>
      </c>
      <c r="AD1168">
        <f>IF(ISBLANK(Mitigation_Industry!AD733),"",Mitigation_Industry!AD733)</f>
        <v>4.680899904583085</v>
      </c>
      <c r="AE1168">
        <f>IF(ISBLANK(Mitigation_Industry!AE733),"",Mitigation_Industry!AE733)</f>
        <v>4.7838797024839135</v>
      </c>
    </row>
    <row r="1169" spans="1:31" x14ac:dyDescent="0.45">
      <c r="A1169" t="s">
        <v>1658</v>
      </c>
      <c r="B1169" t="s">
        <v>1481</v>
      </c>
      <c r="C1169" t="s">
        <v>1442</v>
      </c>
      <c r="D1169">
        <v>2</v>
      </c>
      <c r="E1169" t="s">
        <v>1161</v>
      </c>
      <c r="F1169">
        <f>MAX(MAX(L1169:AE1169),-MIN(L1169:AE1169))</f>
        <v>8.8817841970012523E-16</v>
      </c>
      <c r="I1169" t="s">
        <v>1509</v>
      </c>
      <c r="K1169">
        <f t="shared" ref="K1169:AE1169" si="289">IF(ISNUMBER(K1167),IF(ISNUMBER(K1168),K1168-K1167,999999),0)</f>
        <v>0</v>
      </c>
      <c r="L1169">
        <f t="shared" si="289"/>
        <v>0</v>
      </c>
      <c r="M1169">
        <f t="shared" si="289"/>
        <v>-4.4408920985006262E-16</v>
      </c>
      <c r="N1169">
        <f t="shared" si="289"/>
        <v>-4.4408920985006262E-16</v>
      </c>
      <c r="O1169">
        <f t="shared" si="289"/>
        <v>-4.4408920985006262E-16</v>
      </c>
      <c r="P1169">
        <f t="shared" si="289"/>
        <v>-4.4408920985006262E-16</v>
      </c>
      <c r="Q1169">
        <f t="shared" si="289"/>
        <v>-4.4408920985006262E-16</v>
      </c>
      <c r="R1169">
        <f t="shared" si="289"/>
        <v>-4.4408920985006262E-16</v>
      </c>
      <c r="S1169">
        <f t="shared" si="289"/>
        <v>-4.4408920985006262E-16</v>
      </c>
      <c r="T1169">
        <f t="shared" si="289"/>
        <v>-4.4408920985006262E-16</v>
      </c>
      <c r="U1169">
        <f t="shared" si="289"/>
        <v>-4.4408920985006262E-16</v>
      </c>
      <c r="V1169">
        <f t="shared" si="289"/>
        <v>-4.4408920985006262E-16</v>
      </c>
      <c r="W1169">
        <f t="shared" si="289"/>
        <v>-8.8817841970012523E-16</v>
      </c>
      <c r="X1169">
        <f t="shared" si="289"/>
        <v>-8.8817841970012523E-16</v>
      </c>
      <c r="Y1169">
        <f t="shared" si="289"/>
        <v>0</v>
      </c>
      <c r="Z1169">
        <f t="shared" si="289"/>
        <v>-8.8817841970012523E-16</v>
      </c>
      <c r="AA1169">
        <f t="shared" si="289"/>
        <v>-8.8817841970012523E-16</v>
      </c>
      <c r="AB1169">
        <f t="shared" si="289"/>
        <v>-8.8817841970012523E-16</v>
      </c>
      <c r="AC1169">
        <f t="shared" si="289"/>
        <v>-8.8817841970012523E-16</v>
      </c>
      <c r="AD1169">
        <f t="shared" si="289"/>
        <v>-8.8817841970012523E-16</v>
      </c>
      <c r="AE1169">
        <f t="shared" si="289"/>
        <v>-8.8817841970012523E-16</v>
      </c>
    </row>
    <row r="1171" spans="1:31" x14ac:dyDescent="0.45">
      <c r="A1171" t="s">
        <v>1659</v>
      </c>
      <c r="B1171" t="s">
        <v>1481</v>
      </c>
      <c r="C1171" t="s">
        <v>1383</v>
      </c>
      <c r="D1171">
        <v>2</v>
      </c>
      <c r="E1171" t="s">
        <v>1159</v>
      </c>
      <c r="L1171">
        <v>0.3007800981154331</v>
      </c>
      <c r="M1171">
        <v>0.30739726027397263</v>
      </c>
      <c r="N1171">
        <v>0.31416000000000005</v>
      </c>
      <c r="O1171">
        <v>0.32107152</v>
      </c>
      <c r="P1171">
        <v>0.32813509343999997</v>
      </c>
      <c r="Q1171">
        <v>0.33535406549568003</v>
      </c>
      <c r="R1171">
        <v>0.34273185493658498</v>
      </c>
      <c r="S1171">
        <v>0.35027195574518988</v>
      </c>
      <c r="T1171">
        <v>0.35797793877158401</v>
      </c>
      <c r="U1171">
        <v>0.36585345342455888</v>
      </c>
      <c r="V1171">
        <v>0.3739022293998992</v>
      </c>
      <c r="W1171">
        <v>0.38212807844669705</v>
      </c>
      <c r="X1171">
        <v>0.3905348961725244</v>
      </c>
      <c r="Y1171">
        <v>0.39912666388831991</v>
      </c>
      <c r="Z1171">
        <v>0.40790745049386301</v>
      </c>
      <c r="AA1171">
        <v>0.41688141440472798</v>
      </c>
      <c r="AB1171">
        <v>0.42605280552163205</v>
      </c>
      <c r="AC1171">
        <v>0.435425967243108</v>
      </c>
      <c r="AD1171">
        <v>0.44500533852245633</v>
      </c>
      <c r="AE1171">
        <v>0.45479545596995041</v>
      </c>
    </row>
    <row r="1172" spans="1:31" x14ac:dyDescent="0.45">
      <c r="A1172" t="s">
        <v>1659</v>
      </c>
      <c r="B1172" t="s">
        <v>1481</v>
      </c>
      <c r="C1172" t="s">
        <v>1383</v>
      </c>
      <c r="D1172">
        <v>2</v>
      </c>
      <c r="E1172" t="s">
        <v>1160</v>
      </c>
      <c r="K1172" t="str">
        <f>IF(ISBLANK(Mitigation_Industry!K734),"",Mitigation_Industry!K734)</f>
        <v/>
      </c>
      <c r="L1172">
        <f>IF(ISBLANK(Mitigation_Industry!L734),"",Mitigation_Industry!L734)</f>
        <v>0.30078009811543305</v>
      </c>
      <c r="M1172">
        <f>IF(ISBLANK(Mitigation_Industry!M734),"",Mitigation_Industry!M734)</f>
        <v>0.30739726027397257</v>
      </c>
      <c r="N1172">
        <f>IF(ISBLANK(Mitigation_Industry!N734),"",Mitigation_Industry!N734)</f>
        <v>0.31415999999999999</v>
      </c>
      <c r="O1172">
        <f>IF(ISBLANK(Mitigation_Industry!O734),"",Mitigation_Industry!O734)</f>
        <v>0.32107151999999994</v>
      </c>
      <c r="P1172">
        <f>IF(ISBLANK(Mitigation_Industry!P734),"",Mitigation_Industry!P734)</f>
        <v>0.32813509343999991</v>
      </c>
      <c r="Q1172">
        <f>IF(ISBLANK(Mitigation_Industry!Q734),"",Mitigation_Industry!Q734)</f>
        <v>0.33535406549567992</v>
      </c>
      <c r="R1172">
        <f>IF(ISBLANK(Mitigation_Industry!R734),"",Mitigation_Industry!R734)</f>
        <v>0.34273185493658492</v>
      </c>
      <c r="S1172">
        <f>IF(ISBLANK(Mitigation_Industry!S734),"",Mitigation_Industry!S734)</f>
        <v>0.35027195574518982</v>
      </c>
      <c r="T1172">
        <f>IF(ISBLANK(Mitigation_Industry!T734),"",Mitigation_Industry!T734)</f>
        <v>0.35797793877158396</v>
      </c>
      <c r="U1172">
        <f>IF(ISBLANK(Mitigation_Industry!U734),"",Mitigation_Industry!U734)</f>
        <v>0.36585345342455883</v>
      </c>
      <c r="V1172">
        <f>IF(ISBLANK(Mitigation_Industry!V734),"",Mitigation_Industry!V734)</f>
        <v>0.37390222939989914</v>
      </c>
      <c r="W1172">
        <f>IF(ISBLANK(Mitigation_Industry!W734),"",Mitigation_Industry!W734)</f>
        <v>0.38212807844669699</v>
      </c>
      <c r="X1172">
        <f>IF(ISBLANK(Mitigation_Industry!X734),"",Mitigation_Industry!X734)</f>
        <v>0.39053489617252435</v>
      </c>
      <c r="Y1172">
        <f>IF(ISBLANK(Mitigation_Industry!Y734),"",Mitigation_Industry!Y734)</f>
        <v>0.39912666388831991</v>
      </c>
      <c r="Z1172">
        <f>IF(ISBLANK(Mitigation_Industry!Z734),"",Mitigation_Industry!Z734)</f>
        <v>0.40790745049386296</v>
      </c>
      <c r="AA1172">
        <f>IF(ISBLANK(Mitigation_Industry!AA734),"",Mitigation_Industry!AA734)</f>
        <v>0.41688141440472792</v>
      </c>
      <c r="AB1172">
        <f>IF(ISBLANK(Mitigation_Industry!AB734),"",Mitigation_Industry!AB734)</f>
        <v>0.42605280552163199</v>
      </c>
      <c r="AC1172">
        <f>IF(ISBLANK(Mitigation_Industry!AC734),"",Mitigation_Industry!AC734)</f>
        <v>0.43542596724310795</v>
      </c>
      <c r="AD1172">
        <f>IF(ISBLANK(Mitigation_Industry!AD734),"",Mitigation_Industry!AD734)</f>
        <v>0.44500533852245627</v>
      </c>
      <c r="AE1172">
        <f>IF(ISBLANK(Mitigation_Industry!AE734),"",Mitigation_Industry!AE734)</f>
        <v>0.45479545596995036</v>
      </c>
    </row>
    <row r="1173" spans="1:31" x14ac:dyDescent="0.45">
      <c r="A1173" t="s">
        <v>1659</v>
      </c>
      <c r="B1173" t="s">
        <v>1481</v>
      </c>
      <c r="C1173" t="s">
        <v>1383</v>
      </c>
      <c r="D1173">
        <v>2</v>
      </c>
      <c r="E1173" t="s">
        <v>1161</v>
      </c>
      <c r="F1173">
        <f>MAX(MAX(L1173:AE1173),-MIN(L1173:AE1173))</f>
        <v>1.1102230246251565E-16</v>
      </c>
      <c r="I1173" t="s">
        <v>1509</v>
      </c>
      <c r="K1173">
        <f t="shared" ref="K1173:AE1173" si="290">IF(ISNUMBER(K1171),IF(ISNUMBER(K1172),K1172-K1171,999999),0)</f>
        <v>0</v>
      </c>
      <c r="L1173">
        <f t="shared" si="290"/>
        <v>-5.5511151231257827E-17</v>
      </c>
      <c r="M1173">
        <f t="shared" si="290"/>
        <v>-5.5511151231257827E-17</v>
      </c>
      <c r="N1173">
        <f t="shared" si="290"/>
        <v>-5.5511151231257827E-17</v>
      </c>
      <c r="O1173">
        <f t="shared" si="290"/>
        <v>-5.5511151231257827E-17</v>
      </c>
      <c r="P1173">
        <f t="shared" si="290"/>
        <v>-5.5511151231257827E-17</v>
      </c>
      <c r="Q1173">
        <f t="shared" si="290"/>
        <v>-1.1102230246251565E-16</v>
      </c>
      <c r="R1173">
        <f t="shared" si="290"/>
        <v>-5.5511151231257827E-17</v>
      </c>
      <c r="S1173">
        <f t="shared" si="290"/>
        <v>-5.5511151231257827E-17</v>
      </c>
      <c r="T1173">
        <f t="shared" si="290"/>
        <v>-5.5511151231257827E-17</v>
      </c>
      <c r="U1173">
        <f t="shared" si="290"/>
        <v>-5.5511151231257827E-17</v>
      </c>
      <c r="V1173">
        <f t="shared" si="290"/>
        <v>-5.5511151231257827E-17</v>
      </c>
      <c r="W1173">
        <f t="shared" si="290"/>
        <v>-5.5511151231257827E-17</v>
      </c>
      <c r="X1173">
        <f t="shared" si="290"/>
        <v>-5.5511151231257827E-17</v>
      </c>
      <c r="Y1173">
        <f t="shared" si="290"/>
        <v>0</v>
      </c>
      <c r="Z1173">
        <f t="shared" si="290"/>
        <v>-5.5511151231257827E-17</v>
      </c>
      <c r="AA1173">
        <f t="shared" si="290"/>
        <v>-5.5511151231257827E-17</v>
      </c>
      <c r="AB1173">
        <f t="shared" si="290"/>
        <v>-5.5511151231257827E-17</v>
      </c>
      <c r="AC1173">
        <f t="shared" si="290"/>
        <v>-5.5511151231257827E-17</v>
      </c>
      <c r="AD1173">
        <f t="shared" si="290"/>
        <v>-5.5511151231257827E-17</v>
      </c>
      <c r="AE1173">
        <f t="shared" si="290"/>
        <v>-5.5511151231257827E-17</v>
      </c>
    </row>
    <row r="1175" spans="1:31" x14ac:dyDescent="0.45">
      <c r="A1175" t="s">
        <v>1660</v>
      </c>
      <c r="B1175" t="s">
        <v>1481</v>
      </c>
      <c r="C1175" t="s">
        <v>1390</v>
      </c>
      <c r="D1175">
        <v>2</v>
      </c>
      <c r="E1175" t="s">
        <v>1159</v>
      </c>
      <c r="L1175">
        <v>6.4452878167592806E-2</v>
      </c>
      <c r="M1175">
        <v>6.5870841487279841E-2</v>
      </c>
      <c r="N1175">
        <v>6.7320000000000005E-2</v>
      </c>
      <c r="O1175">
        <v>6.8801040000000008E-2</v>
      </c>
      <c r="P1175">
        <v>7.0314662880000017E-2</v>
      </c>
      <c r="Q1175">
        <v>7.1861585463360009E-2</v>
      </c>
      <c r="R1175">
        <v>7.3442540343553936E-2</v>
      </c>
      <c r="S1175">
        <v>7.5058276231112123E-2</v>
      </c>
      <c r="T1175">
        <v>7.6709558308196577E-2</v>
      </c>
      <c r="U1175">
        <v>7.8397168590976923E-2</v>
      </c>
      <c r="V1175">
        <v>8.012190629997841E-2</v>
      </c>
      <c r="W1175">
        <v>8.1884588238577929E-2</v>
      </c>
      <c r="X1175">
        <v>8.3686049179826638E-2</v>
      </c>
      <c r="Y1175">
        <v>8.5527142261782832E-2</v>
      </c>
      <c r="Z1175">
        <v>8.7408739391542062E-2</v>
      </c>
      <c r="AA1175">
        <v>8.9331731658155986E-2</v>
      </c>
      <c r="AB1175">
        <v>9.1297029754635411E-2</v>
      </c>
      <c r="AC1175">
        <v>9.3305564409237401E-2</v>
      </c>
      <c r="AD1175">
        <v>9.5358286826240632E-2</v>
      </c>
      <c r="AE1175">
        <v>9.7456169136417928E-2</v>
      </c>
    </row>
    <row r="1176" spans="1:31" x14ac:dyDescent="0.45">
      <c r="A1176" t="s">
        <v>1660</v>
      </c>
      <c r="B1176" t="s">
        <v>1481</v>
      </c>
      <c r="C1176" t="s">
        <v>1390</v>
      </c>
      <c r="D1176">
        <v>2</v>
      </c>
      <c r="E1176" t="s">
        <v>1160</v>
      </c>
      <c r="K1176" t="str">
        <f>IF(ISBLANK(Mitigation_Industry!K735),"",Mitigation_Industry!K735)</f>
        <v/>
      </c>
      <c r="L1176">
        <f>IF(ISBLANK(Mitigation_Industry!L735),"",Mitigation_Industry!L735)</f>
        <v>6.4452878167592806E-2</v>
      </c>
      <c r="M1176">
        <f>IF(ISBLANK(Mitigation_Industry!M735),"",Mitigation_Industry!M735)</f>
        <v>6.5870841487279841E-2</v>
      </c>
      <c r="N1176">
        <f>IF(ISBLANK(Mitigation_Industry!N735),"",Mitigation_Industry!N735)</f>
        <v>6.7319999999999991E-2</v>
      </c>
      <c r="O1176">
        <f>IF(ISBLANK(Mitigation_Industry!O735),"",Mitigation_Industry!O735)</f>
        <v>6.8801039999999994E-2</v>
      </c>
      <c r="P1176">
        <f>IF(ISBLANK(Mitigation_Industry!P735),"",Mitigation_Industry!P735)</f>
        <v>7.0314662880000003E-2</v>
      </c>
      <c r="Q1176">
        <f>IF(ISBLANK(Mitigation_Industry!Q735),"",Mitigation_Industry!Q735)</f>
        <v>7.1861585463359995E-2</v>
      </c>
      <c r="R1176">
        <f>IF(ISBLANK(Mitigation_Industry!R735),"",Mitigation_Industry!R735)</f>
        <v>7.3442540343553922E-2</v>
      </c>
      <c r="S1176">
        <f>IF(ISBLANK(Mitigation_Industry!S735),"",Mitigation_Industry!S735)</f>
        <v>7.5058276231112109E-2</v>
      </c>
      <c r="T1176">
        <f>IF(ISBLANK(Mitigation_Industry!T735),"",Mitigation_Industry!T735)</f>
        <v>7.6709558308196577E-2</v>
      </c>
      <c r="U1176">
        <f>IF(ISBLANK(Mitigation_Industry!U735),"",Mitigation_Industry!U735)</f>
        <v>7.8397168590976909E-2</v>
      </c>
      <c r="V1176">
        <f>IF(ISBLANK(Mitigation_Industry!V735),"",Mitigation_Industry!V735)</f>
        <v>8.012190629997841E-2</v>
      </c>
      <c r="W1176">
        <f>IF(ISBLANK(Mitigation_Industry!W735),"",Mitigation_Industry!W735)</f>
        <v>8.1884588238577916E-2</v>
      </c>
      <c r="X1176">
        <f>IF(ISBLANK(Mitigation_Industry!X735),"",Mitigation_Industry!X735)</f>
        <v>8.3686049179826624E-2</v>
      </c>
      <c r="Y1176">
        <f>IF(ISBLANK(Mitigation_Industry!Y735),"",Mitigation_Industry!Y735)</f>
        <v>8.5527142261782832E-2</v>
      </c>
      <c r="Z1176">
        <f>IF(ISBLANK(Mitigation_Industry!Z735),"",Mitigation_Industry!Z735)</f>
        <v>8.7408739391542062E-2</v>
      </c>
      <c r="AA1176">
        <f>IF(ISBLANK(Mitigation_Industry!AA735),"",Mitigation_Industry!AA735)</f>
        <v>8.9331731658155972E-2</v>
      </c>
      <c r="AB1176">
        <f>IF(ISBLANK(Mitigation_Industry!AB735),"",Mitigation_Industry!AB735)</f>
        <v>9.1297029754635398E-2</v>
      </c>
      <c r="AC1176">
        <f>IF(ISBLANK(Mitigation_Industry!AC735),"",Mitigation_Industry!AC735)</f>
        <v>9.3305564409237388E-2</v>
      </c>
      <c r="AD1176">
        <f>IF(ISBLANK(Mitigation_Industry!AD735),"",Mitigation_Industry!AD735)</f>
        <v>9.5358286826240618E-2</v>
      </c>
      <c r="AE1176">
        <f>IF(ISBLANK(Mitigation_Industry!AE735),"",Mitigation_Industry!AE735)</f>
        <v>9.7456169136417914E-2</v>
      </c>
    </row>
    <row r="1177" spans="1:31" x14ac:dyDescent="0.45">
      <c r="A1177" t="s">
        <v>1660</v>
      </c>
      <c r="B1177" t="s">
        <v>1481</v>
      </c>
      <c r="C1177" t="s">
        <v>1390</v>
      </c>
      <c r="D1177">
        <v>2</v>
      </c>
      <c r="E1177" t="s">
        <v>1161</v>
      </c>
      <c r="F1177">
        <f>MAX(MAX(L1177:AE1177),-MIN(L1177:AE1177))</f>
        <v>1.3877787807814457E-17</v>
      </c>
      <c r="I1177" t="s">
        <v>1509</v>
      </c>
      <c r="K1177">
        <f t="shared" ref="K1177:AE1177" si="291">IF(ISNUMBER(K1175),IF(ISNUMBER(K1176),K1176-K1175,999999),0)</f>
        <v>0</v>
      </c>
      <c r="L1177">
        <f t="shared" si="291"/>
        <v>0</v>
      </c>
      <c r="M1177">
        <f t="shared" si="291"/>
        <v>0</v>
      </c>
      <c r="N1177">
        <f t="shared" si="291"/>
        <v>-1.3877787807814457E-17</v>
      </c>
      <c r="O1177">
        <f t="shared" si="291"/>
        <v>-1.3877787807814457E-17</v>
      </c>
      <c r="P1177">
        <f t="shared" si="291"/>
        <v>-1.3877787807814457E-17</v>
      </c>
      <c r="Q1177">
        <f t="shared" si="291"/>
        <v>-1.3877787807814457E-17</v>
      </c>
      <c r="R1177">
        <f t="shared" si="291"/>
        <v>-1.3877787807814457E-17</v>
      </c>
      <c r="S1177">
        <f t="shared" si="291"/>
        <v>-1.3877787807814457E-17</v>
      </c>
      <c r="T1177">
        <f t="shared" si="291"/>
        <v>0</v>
      </c>
      <c r="U1177">
        <f t="shared" si="291"/>
        <v>-1.3877787807814457E-17</v>
      </c>
      <c r="V1177">
        <f t="shared" si="291"/>
        <v>0</v>
      </c>
      <c r="W1177">
        <f t="shared" si="291"/>
        <v>-1.3877787807814457E-17</v>
      </c>
      <c r="X1177">
        <f t="shared" si="291"/>
        <v>-1.3877787807814457E-17</v>
      </c>
      <c r="Y1177">
        <f t="shared" si="291"/>
        <v>0</v>
      </c>
      <c r="Z1177">
        <f t="shared" si="291"/>
        <v>0</v>
      </c>
      <c r="AA1177">
        <f t="shared" si="291"/>
        <v>-1.3877787807814457E-17</v>
      </c>
      <c r="AB1177">
        <f t="shared" si="291"/>
        <v>-1.3877787807814457E-17</v>
      </c>
      <c r="AC1177">
        <f t="shared" si="291"/>
        <v>-1.3877787807814457E-17</v>
      </c>
      <c r="AD1177">
        <f t="shared" si="291"/>
        <v>-1.3877787807814457E-17</v>
      </c>
      <c r="AE1177">
        <f t="shared" si="291"/>
        <v>-1.3877787807814457E-17</v>
      </c>
    </row>
    <row r="1179" spans="1:31" x14ac:dyDescent="0.45">
      <c r="A1179" t="s">
        <v>1661</v>
      </c>
      <c r="B1179" t="s">
        <v>1481</v>
      </c>
      <c r="C1179" t="s">
        <v>1397</v>
      </c>
      <c r="D1179">
        <v>2</v>
      </c>
      <c r="E1179" t="s">
        <v>1159</v>
      </c>
      <c r="L1179">
        <v>4.2047573055412055E-2</v>
      </c>
      <c r="M1179">
        <v>4.4360189573459712E-2</v>
      </c>
      <c r="N1179">
        <v>4.6799999999999994E-2</v>
      </c>
      <c r="O1179">
        <v>4.9374000000000001E-2</v>
      </c>
      <c r="P1179">
        <v>5.2089569999999995E-2</v>
      </c>
      <c r="Q1179">
        <v>5.4954496349999993E-2</v>
      </c>
      <c r="R1179">
        <v>5.7976993649249998E-2</v>
      </c>
      <c r="S1179">
        <v>6.1165728299958741E-2</v>
      </c>
      <c r="T1179">
        <v>6.4529843356456465E-2</v>
      </c>
      <c r="U1179">
        <v>6.8078984741061568E-2</v>
      </c>
      <c r="V1179">
        <v>7.1823328901819944E-2</v>
      </c>
      <c r="W1179">
        <v>7.5773611991420048E-2</v>
      </c>
      <c r="X1179">
        <v>7.9941160650948154E-2</v>
      </c>
      <c r="Y1179">
        <v>8.4337924486750301E-2</v>
      </c>
      <c r="Z1179">
        <v>8.8976510333521566E-2</v>
      </c>
      <c r="AA1179">
        <v>9.3870218401865241E-2</v>
      </c>
      <c r="AB1179">
        <v>9.9033080413967828E-2</v>
      </c>
      <c r="AC1179">
        <v>0.10447989983673606</v>
      </c>
      <c r="AD1179">
        <v>0.11022629432775652</v>
      </c>
      <c r="AE1179">
        <v>0.11628874051578311</v>
      </c>
    </row>
    <row r="1180" spans="1:31" x14ac:dyDescent="0.45">
      <c r="A1180" t="s">
        <v>1661</v>
      </c>
      <c r="B1180" t="s">
        <v>1481</v>
      </c>
      <c r="C1180" t="s">
        <v>1397</v>
      </c>
      <c r="D1180">
        <v>2</v>
      </c>
      <c r="E1180" t="s">
        <v>1160</v>
      </c>
      <c r="K1180" t="str">
        <f>IF(ISBLANK(Mitigation_Industry!K736),"",Mitigation_Industry!K736)</f>
        <v/>
      </c>
      <c r="L1180">
        <f>IF(ISBLANK(Mitigation_Industry!L736),"",Mitigation_Industry!L736)</f>
        <v>4.2047573055412055E-2</v>
      </c>
      <c r="M1180">
        <f>IF(ISBLANK(Mitigation_Industry!M736),"",Mitigation_Industry!M736)</f>
        <v>4.4360189573459712E-2</v>
      </c>
      <c r="N1180">
        <f>IF(ISBLANK(Mitigation_Industry!N736),"",Mitigation_Industry!N736)</f>
        <v>4.6799999999999994E-2</v>
      </c>
      <c r="O1180">
        <f>IF(ISBLANK(Mitigation_Industry!O736),"",Mitigation_Industry!O736)</f>
        <v>4.9374000000000001E-2</v>
      </c>
      <c r="P1180">
        <f>IF(ISBLANK(Mitigation_Industry!P736),"",Mitigation_Industry!P736)</f>
        <v>5.2089569999999995E-2</v>
      </c>
      <c r="Q1180">
        <f>IF(ISBLANK(Mitigation_Industry!Q736),"",Mitigation_Industry!Q736)</f>
        <v>5.4954496349999993E-2</v>
      </c>
      <c r="R1180">
        <f>IF(ISBLANK(Mitigation_Industry!R736),"",Mitigation_Industry!R736)</f>
        <v>5.7976993649249998E-2</v>
      </c>
      <c r="S1180">
        <f>IF(ISBLANK(Mitigation_Industry!S736),"",Mitigation_Industry!S736)</f>
        <v>6.1165728299958741E-2</v>
      </c>
      <c r="T1180">
        <f>IF(ISBLANK(Mitigation_Industry!T736),"",Mitigation_Industry!T736)</f>
        <v>6.4529843356456465E-2</v>
      </c>
      <c r="U1180">
        <f>IF(ISBLANK(Mitigation_Industry!U736),"",Mitigation_Industry!U736)</f>
        <v>6.8078984741061568E-2</v>
      </c>
      <c r="V1180">
        <f>IF(ISBLANK(Mitigation_Industry!V736),"",Mitigation_Industry!V736)</f>
        <v>7.1823328901819944E-2</v>
      </c>
      <c r="W1180">
        <f>IF(ISBLANK(Mitigation_Industry!W736),"",Mitigation_Industry!W736)</f>
        <v>7.5773611991420048E-2</v>
      </c>
      <c r="X1180">
        <f>IF(ISBLANK(Mitigation_Industry!X736),"",Mitigation_Industry!X736)</f>
        <v>7.9941160650948154E-2</v>
      </c>
      <c r="Y1180">
        <f>IF(ISBLANK(Mitigation_Industry!Y736),"",Mitigation_Industry!Y736)</f>
        <v>8.4337924486750301E-2</v>
      </c>
      <c r="Z1180">
        <f>IF(ISBLANK(Mitigation_Industry!Z736),"",Mitigation_Industry!Z736)</f>
        <v>8.8976510333521566E-2</v>
      </c>
      <c r="AA1180">
        <f>IF(ISBLANK(Mitigation_Industry!AA736),"",Mitigation_Industry!AA736)</f>
        <v>9.3870218401865241E-2</v>
      </c>
      <c r="AB1180">
        <f>IF(ISBLANK(Mitigation_Industry!AB736),"",Mitigation_Industry!AB736)</f>
        <v>9.9033080413967828E-2</v>
      </c>
      <c r="AC1180">
        <f>IF(ISBLANK(Mitigation_Industry!AC736),"",Mitigation_Industry!AC736)</f>
        <v>0.10447989983673606</v>
      </c>
      <c r="AD1180">
        <f>IF(ISBLANK(Mitigation_Industry!AD736),"",Mitigation_Industry!AD736)</f>
        <v>0.11022629432775652</v>
      </c>
      <c r="AE1180">
        <f>IF(ISBLANK(Mitigation_Industry!AE736),"",Mitigation_Industry!AE736)</f>
        <v>0.11628874051578311</v>
      </c>
    </row>
    <row r="1181" spans="1:31" x14ac:dyDescent="0.45">
      <c r="A1181" t="s">
        <v>1661</v>
      </c>
      <c r="B1181" t="s">
        <v>1481</v>
      </c>
      <c r="C1181" t="s">
        <v>1397</v>
      </c>
      <c r="D1181">
        <v>2</v>
      </c>
      <c r="E1181" t="s">
        <v>1161</v>
      </c>
      <c r="F1181">
        <f>MAX(MAX(L1181:AE1181),-MIN(L1181:AE1181))</f>
        <v>0</v>
      </c>
      <c r="I1181" t="s">
        <v>1509</v>
      </c>
      <c r="K1181">
        <f t="shared" ref="K1181:AE1181" si="292">IF(ISNUMBER(K1179),IF(ISNUMBER(K1180),K1180-K1179,999999),0)</f>
        <v>0</v>
      </c>
      <c r="L1181">
        <f t="shared" si="292"/>
        <v>0</v>
      </c>
      <c r="M1181">
        <f t="shared" si="292"/>
        <v>0</v>
      </c>
      <c r="N1181">
        <f t="shared" si="292"/>
        <v>0</v>
      </c>
      <c r="O1181">
        <f t="shared" si="292"/>
        <v>0</v>
      </c>
      <c r="P1181">
        <f t="shared" si="292"/>
        <v>0</v>
      </c>
      <c r="Q1181">
        <f t="shared" si="292"/>
        <v>0</v>
      </c>
      <c r="R1181">
        <f t="shared" si="292"/>
        <v>0</v>
      </c>
      <c r="S1181">
        <f t="shared" si="292"/>
        <v>0</v>
      </c>
      <c r="T1181">
        <f t="shared" si="292"/>
        <v>0</v>
      </c>
      <c r="U1181">
        <f t="shared" si="292"/>
        <v>0</v>
      </c>
      <c r="V1181">
        <f t="shared" si="292"/>
        <v>0</v>
      </c>
      <c r="W1181">
        <f t="shared" si="292"/>
        <v>0</v>
      </c>
      <c r="X1181">
        <f t="shared" si="292"/>
        <v>0</v>
      </c>
      <c r="Y1181">
        <f t="shared" si="292"/>
        <v>0</v>
      </c>
      <c r="Z1181">
        <f t="shared" si="292"/>
        <v>0</v>
      </c>
      <c r="AA1181">
        <f t="shared" si="292"/>
        <v>0</v>
      </c>
      <c r="AB1181">
        <f t="shared" si="292"/>
        <v>0</v>
      </c>
      <c r="AC1181">
        <f t="shared" si="292"/>
        <v>0</v>
      </c>
      <c r="AD1181">
        <f t="shared" si="292"/>
        <v>0</v>
      </c>
      <c r="AE1181">
        <f t="shared" si="292"/>
        <v>0</v>
      </c>
    </row>
    <row r="1183" spans="1:31" x14ac:dyDescent="0.45">
      <c r="A1183" t="s">
        <v>1662</v>
      </c>
      <c r="B1183" t="s">
        <v>1481</v>
      </c>
      <c r="C1183" t="s">
        <v>1486</v>
      </c>
      <c r="D1183">
        <v>2</v>
      </c>
      <c r="E1183" t="s">
        <v>1159</v>
      </c>
      <c r="L1183">
        <v>20.92624635774483</v>
      </c>
      <c r="M1183">
        <v>21.621228468026327</v>
      </c>
      <c r="N1183">
        <v>22.340203499999998</v>
      </c>
      <c r="O1183">
        <v>23.084029142999995</v>
      </c>
      <c r="P1183">
        <v>23.853594734849995</v>
      </c>
      <c r="Q1183">
        <v>24.649822464218669</v>
      </c>
      <c r="R1183">
        <v>25.47366861989611</v>
      </c>
      <c r="S1183">
        <v>26.326124888867824</v>
      </c>
      <c r="T1183">
        <v>27.208219705139573</v>
      </c>
      <c r="U1183">
        <v>28.12101965134655</v>
      </c>
      <c r="V1183">
        <v>29.065630915263306</v>
      </c>
      <c r="W1183">
        <v>30.043200803417918</v>
      </c>
      <c r="X1183">
        <v>31.054919314104179</v>
      </c>
      <c r="Y1183">
        <v>32.102020772179657</v>
      </c>
      <c r="Z1183">
        <v>33.185785528135774</v>
      </c>
      <c r="AA1183">
        <v>34.307541724028304</v>
      </c>
      <c r="AB1183">
        <v>35.468667128962927</v>
      </c>
      <c r="AC1183">
        <v>36.670591046941823</v>
      </c>
      <c r="AD1183">
        <v>37.914796299992908</v>
      </c>
      <c r="AE1183">
        <v>39.202821289623259</v>
      </c>
    </row>
    <row r="1184" spans="1:31" x14ac:dyDescent="0.45">
      <c r="A1184" t="s">
        <v>1662</v>
      </c>
      <c r="B1184" t="s">
        <v>1481</v>
      </c>
      <c r="C1184" t="s">
        <v>1486</v>
      </c>
      <c r="D1184">
        <v>2</v>
      </c>
      <c r="E1184" t="s">
        <v>1160</v>
      </c>
      <c r="K1184" t="str">
        <f>IF(ISBLANK(Mitigation_Industry!K737),"",Mitigation_Industry!K737)</f>
        <v/>
      </c>
      <c r="L1184">
        <f>IF(ISBLANK(Mitigation_Industry!L737),"",Mitigation_Industry!L737)</f>
        <v>20.926246357744834</v>
      </c>
      <c r="M1184">
        <f>IF(ISBLANK(Mitigation_Industry!M737),"",Mitigation_Industry!M737)</f>
        <v>21.621228468026327</v>
      </c>
      <c r="N1184">
        <f>IF(ISBLANK(Mitigation_Industry!N737),"",Mitigation_Industry!N737)</f>
        <v>22.340203500000001</v>
      </c>
      <c r="O1184">
        <f>IF(ISBLANK(Mitigation_Industry!O737),"",Mitigation_Industry!O737)</f>
        <v>23.084029143000002</v>
      </c>
      <c r="P1184">
        <f>IF(ISBLANK(Mitigation_Industry!P737),"",Mitigation_Industry!P737)</f>
        <v>23.853594734849999</v>
      </c>
      <c r="Q1184">
        <f>IF(ISBLANK(Mitigation_Industry!Q737),"",Mitigation_Industry!Q737)</f>
        <v>24.649822464218669</v>
      </c>
      <c r="R1184">
        <f>IF(ISBLANK(Mitigation_Industry!R737),"",Mitigation_Industry!R737)</f>
        <v>25.473668619896113</v>
      </c>
      <c r="S1184">
        <f>IF(ISBLANK(Mitigation_Industry!S737),"",Mitigation_Industry!S737)</f>
        <v>26.326124888867827</v>
      </c>
      <c r="T1184">
        <f>IF(ISBLANK(Mitigation_Industry!T737),"",Mitigation_Industry!T737)</f>
        <v>27.20821970513958</v>
      </c>
      <c r="U1184">
        <f>IF(ISBLANK(Mitigation_Industry!U737),"",Mitigation_Industry!U737)</f>
        <v>28.121019651346554</v>
      </c>
      <c r="V1184">
        <f>IF(ISBLANK(Mitigation_Industry!V737),"",Mitigation_Industry!V737)</f>
        <v>29.065630915263306</v>
      </c>
      <c r="W1184">
        <f>IF(ISBLANK(Mitigation_Industry!W737),"",Mitigation_Industry!W737)</f>
        <v>30.043200803417918</v>
      </c>
      <c r="X1184">
        <f>IF(ISBLANK(Mitigation_Industry!X737),"",Mitigation_Industry!X737)</f>
        <v>31.054919314104183</v>
      </c>
      <c r="Y1184">
        <f>IF(ISBLANK(Mitigation_Industry!Y737),"",Mitigation_Industry!Y737)</f>
        <v>32.102020772179657</v>
      </c>
      <c r="Z1184">
        <f>IF(ISBLANK(Mitigation_Industry!Z737),"",Mitigation_Industry!Z737)</f>
        <v>33.185785528135781</v>
      </c>
      <c r="AA1184">
        <f>IF(ISBLANK(Mitigation_Industry!AA737),"",Mitigation_Industry!AA737)</f>
        <v>34.307541724028312</v>
      </c>
      <c r="AB1184">
        <f>IF(ISBLANK(Mitigation_Industry!AB737),"",Mitigation_Industry!AB737)</f>
        <v>35.468667128962927</v>
      </c>
      <c r="AC1184">
        <f>IF(ISBLANK(Mitigation_Industry!AC737),"",Mitigation_Industry!AC737)</f>
        <v>36.67059104694183</v>
      </c>
      <c r="AD1184">
        <f>IF(ISBLANK(Mitigation_Industry!AD737),"",Mitigation_Industry!AD737)</f>
        <v>37.914796299992908</v>
      </c>
      <c r="AE1184">
        <f>IF(ISBLANK(Mitigation_Industry!AE737),"",Mitigation_Industry!AE737)</f>
        <v>39.202821289623259</v>
      </c>
    </row>
    <row r="1185" spans="1:31" x14ac:dyDescent="0.45">
      <c r="A1185" t="s">
        <v>1662</v>
      </c>
      <c r="B1185" t="s">
        <v>1481</v>
      </c>
      <c r="C1185" t="s">
        <v>1486</v>
      </c>
      <c r="D1185">
        <v>2</v>
      </c>
      <c r="E1185" t="s">
        <v>1161</v>
      </c>
      <c r="F1185">
        <f>MAX(MAX(L1185:AE1185),-MIN(L1185:AE1185))</f>
        <v>7.1054273576010019E-15</v>
      </c>
      <c r="I1185" t="s">
        <v>1509</v>
      </c>
      <c r="K1185">
        <f t="shared" ref="K1185:AE1185" si="293">IF(ISNUMBER(K1183),IF(ISNUMBER(K1184),K1184-K1183,999999),0)</f>
        <v>0</v>
      </c>
      <c r="L1185">
        <f t="shared" si="293"/>
        <v>3.5527136788005009E-15</v>
      </c>
      <c r="M1185">
        <f t="shared" si="293"/>
        <v>0</v>
      </c>
      <c r="N1185">
        <f t="shared" si="293"/>
        <v>3.5527136788005009E-15</v>
      </c>
      <c r="O1185">
        <f t="shared" si="293"/>
        <v>7.1054273576010019E-15</v>
      </c>
      <c r="P1185">
        <f t="shared" si="293"/>
        <v>3.5527136788005009E-15</v>
      </c>
      <c r="Q1185">
        <f t="shared" si="293"/>
        <v>0</v>
      </c>
      <c r="R1185">
        <f t="shared" si="293"/>
        <v>3.5527136788005009E-15</v>
      </c>
      <c r="S1185">
        <f t="shared" si="293"/>
        <v>3.5527136788005009E-15</v>
      </c>
      <c r="T1185">
        <f t="shared" si="293"/>
        <v>7.1054273576010019E-15</v>
      </c>
      <c r="U1185">
        <f t="shared" si="293"/>
        <v>3.5527136788005009E-15</v>
      </c>
      <c r="V1185">
        <f t="shared" si="293"/>
        <v>0</v>
      </c>
      <c r="W1185">
        <f t="shared" si="293"/>
        <v>0</v>
      </c>
      <c r="X1185">
        <f t="shared" si="293"/>
        <v>3.5527136788005009E-15</v>
      </c>
      <c r="Y1185">
        <f t="shared" si="293"/>
        <v>0</v>
      </c>
      <c r="Z1185">
        <f t="shared" si="293"/>
        <v>7.1054273576010019E-15</v>
      </c>
      <c r="AA1185">
        <f t="shared" si="293"/>
        <v>7.1054273576010019E-15</v>
      </c>
      <c r="AB1185">
        <f t="shared" si="293"/>
        <v>0</v>
      </c>
      <c r="AC1185">
        <f t="shared" si="293"/>
        <v>7.1054273576010019E-15</v>
      </c>
      <c r="AD1185">
        <f t="shared" si="293"/>
        <v>0</v>
      </c>
      <c r="AE1185">
        <f t="shared" si="293"/>
        <v>0</v>
      </c>
    </row>
    <row r="1187" spans="1:31" x14ac:dyDescent="0.45">
      <c r="A1187" t="s">
        <v>1663</v>
      </c>
      <c r="B1187" t="s">
        <v>1487</v>
      </c>
      <c r="C1187" t="s">
        <v>1350</v>
      </c>
      <c r="D1187">
        <v>2</v>
      </c>
      <c r="E1187" t="s">
        <v>1159</v>
      </c>
      <c r="L1187">
        <v>0.18716695292200644</v>
      </c>
      <c r="M1187">
        <v>0.1954022988505747</v>
      </c>
      <c r="N1187">
        <v>0.20399999999999999</v>
      </c>
      <c r="O1187">
        <v>0.21297600000000003</v>
      </c>
      <c r="P1187">
        <v>0.22234694400000005</v>
      </c>
      <c r="Q1187">
        <v>0.23213020953600005</v>
      </c>
      <c r="R1187">
        <v>0.24234393875558408</v>
      </c>
      <c r="S1187">
        <v>0.25300707206082979</v>
      </c>
      <c r="T1187">
        <v>0.26413938323150632</v>
      </c>
      <c r="U1187">
        <v>0.27576151609369259</v>
      </c>
      <c r="V1187">
        <v>0.28789502280181506</v>
      </c>
      <c r="W1187">
        <v>0.30056240380509497</v>
      </c>
      <c r="X1187">
        <v>0.31378714957251913</v>
      </c>
      <c r="Y1187">
        <v>0.32759378415370999</v>
      </c>
      <c r="Z1187">
        <v>0.34200791065647324</v>
      </c>
      <c r="AA1187">
        <v>0.35705625872535807</v>
      </c>
      <c r="AB1187">
        <v>0.37276673410927386</v>
      </c>
      <c r="AC1187">
        <v>0.38916847041008185</v>
      </c>
      <c r="AD1187">
        <v>0.40629188310812547</v>
      </c>
      <c r="AE1187">
        <v>0.42416872596488298</v>
      </c>
    </row>
    <row r="1188" spans="1:31" x14ac:dyDescent="0.45">
      <c r="A1188" t="s">
        <v>1663</v>
      </c>
      <c r="B1188" t="s">
        <v>1487</v>
      </c>
      <c r="C1188" t="s">
        <v>1350</v>
      </c>
      <c r="D1188">
        <v>2</v>
      </c>
      <c r="E1188" t="s">
        <v>1160</v>
      </c>
      <c r="K1188" t="str">
        <f>IF(ISBLANK(Mitigation_Industry!K740),"",Mitigation_Industry!K740)</f>
        <v/>
      </c>
      <c r="L1188">
        <f>IF(ISBLANK(Mitigation_Industry!L740),"",Mitigation_Industry!L740)</f>
        <v>0.18716695292200644</v>
      </c>
      <c r="M1188">
        <f>IF(ISBLANK(Mitigation_Industry!M740),"",Mitigation_Industry!M740)</f>
        <v>0.1954022988505747</v>
      </c>
      <c r="N1188">
        <f>IF(ISBLANK(Mitigation_Industry!N740),"",Mitigation_Industry!N740)</f>
        <v>0.20399999999999999</v>
      </c>
      <c r="O1188">
        <f>IF(ISBLANK(Mitigation_Industry!O740),"",Mitigation_Industry!O740)</f>
        <v>0.21297600000000003</v>
      </c>
      <c r="P1188">
        <f>IF(ISBLANK(Mitigation_Industry!P740),"",Mitigation_Industry!P740)</f>
        <v>0.22234694400000005</v>
      </c>
      <c r="Q1188">
        <f>IF(ISBLANK(Mitigation_Industry!Q740),"",Mitigation_Industry!Q740)</f>
        <v>0.23213020953600005</v>
      </c>
      <c r="R1188">
        <f>IF(ISBLANK(Mitigation_Industry!R740),"",Mitigation_Industry!R740)</f>
        <v>0.24234393875558408</v>
      </c>
      <c r="S1188">
        <f>IF(ISBLANK(Mitigation_Industry!S740),"",Mitigation_Industry!S740)</f>
        <v>0.25300707206082979</v>
      </c>
      <c r="T1188">
        <f>IF(ISBLANK(Mitigation_Industry!T740),"",Mitigation_Industry!T740)</f>
        <v>0.26413938323150632</v>
      </c>
      <c r="U1188">
        <f>IF(ISBLANK(Mitigation_Industry!U740),"",Mitigation_Industry!U740)</f>
        <v>0.27576151609369259</v>
      </c>
      <c r="V1188">
        <f>IF(ISBLANK(Mitigation_Industry!V740),"",Mitigation_Industry!V740)</f>
        <v>0.28789502280181506</v>
      </c>
      <c r="W1188">
        <f>IF(ISBLANK(Mitigation_Industry!W740),"",Mitigation_Industry!W740)</f>
        <v>0.30056240380509497</v>
      </c>
      <c r="X1188">
        <f>IF(ISBLANK(Mitigation_Industry!X740),"",Mitigation_Industry!X740)</f>
        <v>0.31378714957251913</v>
      </c>
      <c r="Y1188">
        <f>IF(ISBLANK(Mitigation_Industry!Y740),"",Mitigation_Industry!Y740)</f>
        <v>0.32759378415370999</v>
      </c>
      <c r="Z1188">
        <f>IF(ISBLANK(Mitigation_Industry!Z740),"",Mitigation_Industry!Z740)</f>
        <v>0.34200791065647324</v>
      </c>
      <c r="AA1188">
        <f>IF(ISBLANK(Mitigation_Industry!AA740),"",Mitigation_Industry!AA740)</f>
        <v>0.35705625872535807</v>
      </c>
      <c r="AB1188">
        <f>IF(ISBLANK(Mitigation_Industry!AB740),"",Mitigation_Industry!AB740)</f>
        <v>0.37276673410927386</v>
      </c>
      <c r="AC1188">
        <f>IF(ISBLANK(Mitigation_Industry!AC740),"",Mitigation_Industry!AC740)</f>
        <v>0.38916847041008185</v>
      </c>
      <c r="AD1188">
        <f>IF(ISBLANK(Mitigation_Industry!AD740),"",Mitigation_Industry!AD740)</f>
        <v>0.40629188310812547</v>
      </c>
      <c r="AE1188">
        <f>IF(ISBLANK(Mitigation_Industry!AE740),"",Mitigation_Industry!AE740)</f>
        <v>0.42416872596488298</v>
      </c>
    </row>
    <row r="1189" spans="1:31" x14ac:dyDescent="0.45">
      <c r="A1189" t="s">
        <v>1663</v>
      </c>
      <c r="B1189" t="s">
        <v>1487</v>
      </c>
      <c r="C1189" t="s">
        <v>1350</v>
      </c>
      <c r="D1189">
        <v>2</v>
      </c>
      <c r="E1189" t="s">
        <v>1161</v>
      </c>
      <c r="F1189">
        <f>MAX(MAX(L1189:AE1189),-MIN(L1189:AE1189))</f>
        <v>0</v>
      </c>
      <c r="I1189" t="s">
        <v>1509</v>
      </c>
      <c r="K1189">
        <f t="shared" ref="K1189:AE1189" si="294">IF(ISNUMBER(K1187),IF(ISNUMBER(K1188),K1188-K1187,999999),0)</f>
        <v>0</v>
      </c>
      <c r="L1189">
        <f t="shared" si="294"/>
        <v>0</v>
      </c>
      <c r="M1189">
        <f t="shared" si="294"/>
        <v>0</v>
      </c>
      <c r="N1189">
        <f t="shared" si="294"/>
        <v>0</v>
      </c>
      <c r="O1189">
        <f t="shared" si="294"/>
        <v>0</v>
      </c>
      <c r="P1189">
        <f t="shared" si="294"/>
        <v>0</v>
      </c>
      <c r="Q1189">
        <f t="shared" si="294"/>
        <v>0</v>
      </c>
      <c r="R1189">
        <f t="shared" si="294"/>
        <v>0</v>
      </c>
      <c r="S1189">
        <f t="shared" si="294"/>
        <v>0</v>
      </c>
      <c r="T1189">
        <f t="shared" si="294"/>
        <v>0</v>
      </c>
      <c r="U1189">
        <f t="shared" si="294"/>
        <v>0</v>
      </c>
      <c r="V1189">
        <f t="shared" si="294"/>
        <v>0</v>
      </c>
      <c r="W1189">
        <f t="shared" si="294"/>
        <v>0</v>
      </c>
      <c r="X1189">
        <f t="shared" si="294"/>
        <v>0</v>
      </c>
      <c r="Y1189">
        <f t="shared" si="294"/>
        <v>0</v>
      </c>
      <c r="Z1189">
        <f t="shared" si="294"/>
        <v>0</v>
      </c>
      <c r="AA1189">
        <f t="shared" si="294"/>
        <v>0</v>
      </c>
      <c r="AB1189">
        <f t="shared" si="294"/>
        <v>0</v>
      </c>
      <c r="AC1189">
        <f t="shared" si="294"/>
        <v>0</v>
      </c>
      <c r="AD1189">
        <f t="shared" si="294"/>
        <v>0</v>
      </c>
      <c r="AE1189">
        <f t="shared" si="294"/>
        <v>0</v>
      </c>
    </row>
    <row r="1191" spans="1:31" x14ac:dyDescent="0.45">
      <c r="A1191" t="s">
        <v>1664</v>
      </c>
      <c r="B1191" t="s">
        <v>1487</v>
      </c>
      <c r="C1191" t="s">
        <v>1357</v>
      </c>
      <c r="D1191">
        <v>2</v>
      </c>
      <c r="E1191" t="s">
        <v>1159</v>
      </c>
      <c r="L1191">
        <v>6.6058924560708152E-2</v>
      </c>
      <c r="M1191">
        <v>6.8965517241379309E-2</v>
      </c>
      <c r="N1191">
        <v>7.1999999999999995E-2</v>
      </c>
      <c r="O1191">
        <v>7.5167999999999999E-2</v>
      </c>
      <c r="P1191">
        <v>7.8475392000000005E-2</v>
      </c>
      <c r="Q1191">
        <v>8.1928309247999986E-2</v>
      </c>
      <c r="R1191">
        <v>8.5533154854912002E-2</v>
      </c>
      <c r="S1191">
        <v>8.9296613668528119E-2</v>
      </c>
      <c r="T1191">
        <v>9.3225664669943364E-2</v>
      </c>
      <c r="U1191">
        <v>9.7327593915420896E-2</v>
      </c>
      <c r="V1191">
        <v>0.10161000804769942</v>
      </c>
      <c r="W1191">
        <v>0.10608084840179818</v>
      </c>
      <c r="X1191">
        <v>0.1107484057314773</v>
      </c>
      <c r="Y1191">
        <v>0.1156213355836623</v>
      </c>
      <c r="Z1191">
        <v>0.12070867434934346</v>
      </c>
      <c r="AA1191">
        <v>0.12601985602071455</v>
      </c>
      <c r="AB1191">
        <v>0.13156472968562599</v>
      </c>
      <c r="AC1191">
        <v>0.13735357779179352</v>
      </c>
      <c r="AD1191">
        <v>0.14339713521463243</v>
      </c>
      <c r="AE1191">
        <v>0.1497066091640763</v>
      </c>
    </row>
    <row r="1192" spans="1:31" x14ac:dyDescent="0.45">
      <c r="A1192" t="s">
        <v>1664</v>
      </c>
      <c r="B1192" t="s">
        <v>1487</v>
      </c>
      <c r="C1192" t="s">
        <v>1357</v>
      </c>
      <c r="D1192">
        <v>2</v>
      </c>
      <c r="E1192" t="s">
        <v>1160</v>
      </c>
      <c r="K1192" t="str">
        <f>IF(ISBLANK(Mitigation_Industry!K741),"",Mitigation_Industry!K741)</f>
        <v/>
      </c>
      <c r="L1192">
        <f>IF(ISBLANK(Mitigation_Industry!L741),"",Mitigation_Industry!L741)</f>
        <v>6.6058924560708152E-2</v>
      </c>
      <c r="M1192">
        <f>IF(ISBLANK(Mitigation_Industry!M741),"",Mitigation_Industry!M741)</f>
        <v>6.8965517241379309E-2</v>
      </c>
      <c r="N1192">
        <f>IF(ISBLANK(Mitigation_Industry!N741),"",Mitigation_Industry!N741)</f>
        <v>7.1999999999999995E-2</v>
      </c>
      <c r="O1192">
        <f>IF(ISBLANK(Mitigation_Industry!O741),"",Mitigation_Industry!O741)</f>
        <v>7.5167999999999999E-2</v>
      </c>
      <c r="P1192">
        <f>IF(ISBLANK(Mitigation_Industry!P741),"",Mitigation_Industry!P741)</f>
        <v>7.8475392000000005E-2</v>
      </c>
      <c r="Q1192">
        <f>IF(ISBLANK(Mitigation_Industry!Q741),"",Mitigation_Industry!Q741)</f>
        <v>8.1928309247999986E-2</v>
      </c>
      <c r="R1192">
        <f>IF(ISBLANK(Mitigation_Industry!R741),"",Mitigation_Industry!R741)</f>
        <v>8.5533154854912002E-2</v>
      </c>
      <c r="S1192">
        <f>IF(ISBLANK(Mitigation_Industry!S741),"",Mitigation_Industry!S741)</f>
        <v>8.9296613668528119E-2</v>
      </c>
      <c r="T1192">
        <f>IF(ISBLANK(Mitigation_Industry!T741),"",Mitigation_Industry!T741)</f>
        <v>9.3225664669943364E-2</v>
      </c>
      <c r="U1192">
        <f>IF(ISBLANK(Mitigation_Industry!U741),"",Mitigation_Industry!U741)</f>
        <v>9.7327593915420896E-2</v>
      </c>
      <c r="V1192">
        <f>IF(ISBLANK(Mitigation_Industry!V741),"",Mitigation_Industry!V741)</f>
        <v>0.10161000804769942</v>
      </c>
      <c r="W1192">
        <f>IF(ISBLANK(Mitigation_Industry!W741),"",Mitigation_Industry!W741)</f>
        <v>0.10608084840179818</v>
      </c>
      <c r="X1192">
        <f>IF(ISBLANK(Mitigation_Industry!X741),"",Mitigation_Industry!X741)</f>
        <v>0.1107484057314773</v>
      </c>
      <c r="Y1192">
        <f>IF(ISBLANK(Mitigation_Industry!Y741),"",Mitigation_Industry!Y741)</f>
        <v>0.1156213355836623</v>
      </c>
      <c r="Z1192">
        <f>IF(ISBLANK(Mitigation_Industry!Z741),"",Mitigation_Industry!Z741)</f>
        <v>0.12070867434934346</v>
      </c>
      <c r="AA1192">
        <f>IF(ISBLANK(Mitigation_Industry!AA741),"",Mitigation_Industry!AA741)</f>
        <v>0.12601985602071455</v>
      </c>
      <c r="AB1192">
        <f>IF(ISBLANK(Mitigation_Industry!AB741),"",Mitigation_Industry!AB741)</f>
        <v>0.13156472968562599</v>
      </c>
      <c r="AC1192">
        <f>IF(ISBLANK(Mitigation_Industry!AC741),"",Mitigation_Industry!AC741)</f>
        <v>0.13735357779179352</v>
      </c>
      <c r="AD1192">
        <f>IF(ISBLANK(Mitigation_Industry!AD741),"",Mitigation_Industry!AD741)</f>
        <v>0.14339713521463243</v>
      </c>
      <c r="AE1192">
        <f>IF(ISBLANK(Mitigation_Industry!AE741),"",Mitigation_Industry!AE741)</f>
        <v>0.1497066091640763</v>
      </c>
    </row>
    <row r="1193" spans="1:31" x14ac:dyDescent="0.45">
      <c r="A1193" t="s">
        <v>1664</v>
      </c>
      <c r="B1193" t="s">
        <v>1487</v>
      </c>
      <c r="C1193" t="s">
        <v>1357</v>
      </c>
      <c r="D1193">
        <v>2</v>
      </c>
      <c r="E1193" t="s">
        <v>1161</v>
      </c>
      <c r="F1193">
        <f>MAX(MAX(L1193:AE1193),-MIN(L1193:AE1193))</f>
        <v>0</v>
      </c>
      <c r="I1193" t="s">
        <v>1509</v>
      </c>
      <c r="K1193">
        <f t="shared" ref="K1193:AE1193" si="295">IF(ISNUMBER(K1191),IF(ISNUMBER(K1192),K1192-K1191,999999),0)</f>
        <v>0</v>
      </c>
      <c r="L1193">
        <f t="shared" si="295"/>
        <v>0</v>
      </c>
      <c r="M1193">
        <f t="shared" si="295"/>
        <v>0</v>
      </c>
      <c r="N1193">
        <f t="shared" si="295"/>
        <v>0</v>
      </c>
      <c r="O1193">
        <f t="shared" si="295"/>
        <v>0</v>
      </c>
      <c r="P1193">
        <f t="shared" si="295"/>
        <v>0</v>
      </c>
      <c r="Q1193">
        <f t="shared" si="295"/>
        <v>0</v>
      </c>
      <c r="R1193">
        <f t="shared" si="295"/>
        <v>0</v>
      </c>
      <c r="S1193">
        <f t="shared" si="295"/>
        <v>0</v>
      </c>
      <c r="T1193">
        <f t="shared" si="295"/>
        <v>0</v>
      </c>
      <c r="U1193">
        <f t="shared" si="295"/>
        <v>0</v>
      </c>
      <c r="V1193">
        <f t="shared" si="295"/>
        <v>0</v>
      </c>
      <c r="W1193">
        <f t="shared" si="295"/>
        <v>0</v>
      </c>
      <c r="X1193">
        <f t="shared" si="295"/>
        <v>0</v>
      </c>
      <c r="Y1193">
        <f t="shared" si="295"/>
        <v>0</v>
      </c>
      <c r="Z1193">
        <f t="shared" si="295"/>
        <v>0</v>
      </c>
      <c r="AA1193">
        <f t="shared" si="295"/>
        <v>0</v>
      </c>
      <c r="AB1193">
        <f t="shared" si="295"/>
        <v>0</v>
      </c>
      <c r="AC1193">
        <f t="shared" si="295"/>
        <v>0</v>
      </c>
      <c r="AD1193">
        <f t="shared" si="295"/>
        <v>0</v>
      </c>
      <c r="AE1193">
        <f t="shared" si="295"/>
        <v>0</v>
      </c>
    </row>
    <row r="1195" spans="1:31" x14ac:dyDescent="0.45">
      <c r="A1195" t="s">
        <v>1665</v>
      </c>
      <c r="B1195" t="s">
        <v>1487</v>
      </c>
      <c r="C1195" t="s">
        <v>1363</v>
      </c>
      <c r="D1195">
        <v>2</v>
      </c>
      <c r="E1195" t="s">
        <v>1159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45">
      <c r="A1196" t="s">
        <v>1665</v>
      </c>
      <c r="B1196" t="s">
        <v>1487</v>
      </c>
      <c r="C1196" t="s">
        <v>1363</v>
      </c>
      <c r="D1196">
        <v>2</v>
      </c>
      <c r="E1196" t="s">
        <v>1160</v>
      </c>
      <c r="K1196" t="str">
        <f>IF(ISBLANK(Mitigation_Industry!K742),"",Mitigation_Industry!K742)</f>
        <v/>
      </c>
      <c r="L1196">
        <f>IF(ISBLANK(Mitigation_Industry!L742),"",Mitigation_Industry!L742)</f>
        <v>0</v>
      </c>
      <c r="M1196">
        <f>IF(ISBLANK(Mitigation_Industry!M742),"",Mitigation_Industry!M742)</f>
        <v>0</v>
      </c>
      <c r="N1196">
        <f>IF(ISBLANK(Mitigation_Industry!N742),"",Mitigation_Industry!N742)</f>
        <v>0</v>
      </c>
      <c r="O1196">
        <f>IF(ISBLANK(Mitigation_Industry!O742),"",Mitigation_Industry!O742)</f>
        <v>0</v>
      </c>
      <c r="P1196">
        <f>IF(ISBLANK(Mitigation_Industry!P742),"",Mitigation_Industry!P742)</f>
        <v>0</v>
      </c>
      <c r="Q1196">
        <f>IF(ISBLANK(Mitigation_Industry!Q742),"",Mitigation_Industry!Q742)</f>
        <v>0</v>
      </c>
      <c r="R1196">
        <f>IF(ISBLANK(Mitigation_Industry!R742),"",Mitigation_Industry!R742)</f>
        <v>0</v>
      </c>
      <c r="S1196">
        <f>IF(ISBLANK(Mitigation_Industry!S742),"",Mitigation_Industry!S742)</f>
        <v>0</v>
      </c>
      <c r="T1196">
        <f>IF(ISBLANK(Mitigation_Industry!T742),"",Mitigation_Industry!T742)</f>
        <v>0</v>
      </c>
      <c r="U1196">
        <f>IF(ISBLANK(Mitigation_Industry!U742),"",Mitigation_Industry!U742)</f>
        <v>0</v>
      </c>
      <c r="V1196">
        <f>IF(ISBLANK(Mitigation_Industry!V742),"",Mitigation_Industry!V742)</f>
        <v>0</v>
      </c>
      <c r="W1196">
        <f>IF(ISBLANK(Mitigation_Industry!W742),"",Mitigation_Industry!W742)</f>
        <v>0</v>
      </c>
      <c r="X1196">
        <f>IF(ISBLANK(Mitigation_Industry!X742),"",Mitigation_Industry!X742)</f>
        <v>0</v>
      </c>
      <c r="Y1196">
        <f>IF(ISBLANK(Mitigation_Industry!Y742),"",Mitigation_Industry!Y742)</f>
        <v>0</v>
      </c>
      <c r="Z1196">
        <f>IF(ISBLANK(Mitigation_Industry!Z742),"",Mitigation_Industry!Z742)</f>
        <v>0</v>
      </c>
      <c r="AA1196">
        <f>IF(ISBLANK(Mitigation_Industry!AA742),"",Mitigation_Industry!AA742)</f>
        <v>0</v>
      </c>
      <c r="AB1196">
        <f>IF(ISBLANK(Mitigation_Industry!AB742),"",Mitigation_Industry!AB742)</f>
        <v>0</v>
      </c>
      <c r="AC1196">
        <f>IF(ISBLANK(Mitigation_Industry!AC742),"",Mitigation_Industry!AC742)</f>
        <v>0</v>
      </c>
      <c r="AD1196">
        <f>IF(ISBLANK(Mitigation_Industry!AD742),"",Mitigation_Industry!AD742)</f>
        <v>0</v>
      </c>
      <c r="AE1196">
        <f>IF(ISBLANK(Mitigation_Industry!AE742),"",Mitigation_Industry!AE742)</f>
        <v>0</v>
      </c>
    </row>
    <row r="1197" spans="1:31" x14ac:dyDescent="0.45">
      <c r="A1197" t="s">
        <v>1665</v>
      </c>
      <c r="B1197" t="s">
        <v>1487</v>
      </c>
      <c r="C1197" t="s">
        <v>1363</v>
      </c>
      <c r="D1197">
        <v>2</v>
      </c>
      <c r="E1197" t="s">
        <v>1161</v>
      </c>
      <c r="F1197">
        <f>MAX(MAX(L1197:AE1197),-MIN(L1197:AE1197))</f>
        <v>0</v>
      </c>
      <c r="I1197" t="s">
        <v>1509</v>
      </c>
      <c r="K1197">
        <f t="shared" ref="K1197:AE1197" si="296">IF(ISNUMBER(K1195),IF(ISNUMBER(K1196),K1196-K1195,999999),0)</f>
        <v>0</v>
      </c>
      <c r="L1197">
        <f t="shared" si="296"/>
        <v>0</v>
      </c>
      <c r="M1197">
        <f t="shared" si="296"/>
        <v>0</v>
      </c>
      <c r="N1197">
        <f t="shared" si="296"/>
        <v>0</v>
      </c>
      <c r="O1197">
        <f t="shared" si="296"/>
        <v>0</v>
      </c>
      <c r="P1197">
        <f t="shared" si="296"/>
        <v>0</v>
      </c>
      <c r="Q1197">
        <f t="shared" si="296"/>
        <v>0</v>
      </c>
      <c r="R1197">
        <f t="shared" si="296"/>
        <v>0</v>
      </c>
      <c r="S1197">
        <f t="shared" si="296"/>
        <v>0</v>
      </c>
      <c r="T1197">
        <f t="shared" si="296"/>
        <v>0</v>
      </c>
      <c r="U1197">
        <f t="shared" si="296"/>
        <v>0</v>
      </c>
      <c r="V1197">
        <f t="shared" si="296"/>
        <v>0</v>
      </c>
      <c r="W1197">
        <f t="shared" si="296"/>
        <v>0</v>
      </c>
      <c r="X1197">
        <f t="shared" si="296"/>
        <v>0</v>
      </c>
      <c r="Y1197">
        <f t="shared" si="296"/>
        <v>0</v>
      </c>
      <c r="Z1197">
        <f t="shared" si="296"/>
        <v>0</v>
      </c>
      <c r="AA1197">
        <f t="shared" si="296"/>
        <v>0</v>
      </c>
      <c r="AB1197">
        <f t="shared" si="296"/>
        <v>0</v>
      </c>
      <c r="AC1197">
        <f t="shared" si="296"/>
        <v>0</v>
      </c>
      <c r="AD1197">
        <f t="shared" si="296"/>
        <v>0</v>
      </c>
      <c r="AE1197">
        <f t="shared" si="296"/>
        <v>0</v>
      </c>
    </row>
    <row r="1199" spans="1:31" x14ac:dyDescent="0.45">
      <c r="A1199" t="s">
        <v>1666</v>
      </c>
      <c r="B1199" t="s">
        <v>1487</v>
      </c>
      <c r="C1199" t="s">
        <v>1369</v>
      </c>
      <c r="D1199">
        <v>2</v>
      </c>
      <c r="E1199" t="s">
        <v>1159</v>
      </c>
      <c r="L1199">
        <v>24.646491529759945</v>
      </c>
      <c r="M1199">
        <v>25.459825750242022</v>
      </c>
      <c r="N1199">
        <v>26.3</v>
      </c>
      <c r="O1199">
        <v>27.167899999999999</v>
      </c>
      <c r="P1199">
        <v>28.064440699999995</v>
      </c>
      <c r="Q1199">
        <v>28.990567243099992</v>
      </c>
      <c r="R1199">
        <v>29.947255962122291</v>
      </c>
      <c r="S1199">
        <v>30.935515408872323</v>
      </c>
      <c r="T1199">
        <v>31.956387417365111</v>
      </c>
      <c r="U1199">
        <v>33.010948202138152</v>
      </c>
      <c r="V1199">
        <v>34.100309492808705</v>
      </c>
      <c r="W1199">
        <v>35.225619706071399</v>
      </c>
      <c r="X1199">
        <v>36.388065156371745</v>
      </c>
      <c r="Y1199">
        <v>37.588871306532013</v>
      </c>
      <c r="Z1199">
        <v>38.829304059647569</v>
      </c>
      <c r="AA1199">
        <v>40.110671093615935</v>
      </c>
      <c r="AB1199">
        <v>41.434323239705257</v>
      </c>
      <c r="AC1199">
        <v>42.801655906615522</v>
      </c>
      <c r="AD1199">
        <v>44.214110551533835</v>
      </c>
      <c r="AE1199">
        <v>45.673176199734449</v>
      </c>
    </row>
    <row r="1200" spans="1:31" x14ac:dyDescent="0.45">
      <c r="A1200" t="s">
        <v>1666</v>
      </c>
      <c r="B1200" t="s">
        <v>1487</v>
      </c>
      <c r="C1200" t="s">
        <v>1369</v>
      </c>
      <c r="D1200">
        <v>2</v>
      </c>
      <c r="E1200" t="s">
        <v>1160</v>
      </c>
      <c r="K1200" t="str">
        <f>IF(ISBLANK(Mitigation_Industry!K743),"",Mitigation_Industry!K743)</f>
        <v/>
      </c>
      <c r="L1200">
        <f>IF(ISBLANK(Mitigation_Industry!L743),"",Mitigation_Industry!L743)</f>
        <v>24.646491529759945</v>
      </c>
      <c r="M1200">
        <f>IF(ISBLANK(Mitigation_Industry!M743),"",Mitigation_Industry!M743)</f>
        <v>25.459825750242022</v>
      </c>
      <c r="N1200">
        <f>IF(ISBLANK(Mitigation_Industry!N743),"",Mitigation_Industry!N743)</f>
        <v>26.3</v>
      </c>
      <c r="O1200">
        <f>IF(ISBLANK(Mitigation_Industry!O743),"",Mitigation_Industry!O743)</f>
        <v>27.167899999999999</v>
      </c>
      <c r="P1200">
        <f>IF(ISBLANK(Mitigation_Industry!P743),"",Mitigation_Industry!P743)</f>
        <v>28.064440699999995</v>
      </c>
      <c r="Q1200">
        <f>IF(ISBLANK(Mitigation_Industry!Q743),"",Mitigation_Industry!Q743)</f>
        <v>28.990567243099992</v>
      </c>
      <c r="R1200">
        <f>IF(ISBLANK(Mitigation_Industry!R743),"",Mitigation_Industry!R743)</f>
        <v>29.947255962122291</v>
      </c>
      <c r="S1200">
        <f>IF(ISBLANK(Mitigation_Industry!S743),"",Mitigation_Industry!S743)</f>
        <v>30.935515408872323</v>
      </c>
      <c r="T1200">
        <f>IF(ISBLANK(Mitigation_Industry!T743),"",Mitigation_Industry!T743)</f>
        <v>31.956387417365111</v>
      </c>
      <c r="U1200">
        <f>IF(ISBLANK(Mitigation_Industry!U743),"",Mitigation_Industry!U743)</f>
        <v>33.010948202138152</v>
      </c>
      <c r="V1200">
        <f>IF(ISBLANK(Mitigation_Industry!V743),"",Mitigation_Industry!V743)</f>
        <v>34.100309492808705</v>
      </c>
      <c r="W1200">
        <f>IF(ISBLANK(Mitigation_Industry!W743),"",Mitigation_Industry!W743)</f>
        <v>35.225619706071399</v>
      </c>
      <c r="X1200">
        <f>IF(ISBLANK(Mitigation_Industry!X743),"",Mitigation_Industry!X743)</f>
        <v>36.388065156371745</v>
      </c>
      <c r="Y1200">
        <f>IF(ISBLANK(Mitigation_Industry!Y743),"",Mitigation_Industry!Y743)</f>
        <v>37.588871306532013</v>
      </c>
      <c r="Z1200">
        <f>IF(ISBLANK(Mitigation_Industry!Z743),"",Mitigation_Industry!Z743)</f>
        <v>38.829304059647569</v>
      </c>
      <c r="AA1200">
        <f>IF(ISBLANK(Mitigation_Industry!AA743),"",Mitigation_Industry!AA743)</f>
        <v>40.110671093615935</v>
      </c>
      <c r="AB1200">
        <f>IF(ISBLANK(Mitigation_Industry!AB743),"",Mitigation_Industry!AB743)</f>
        <v>41.434323239705257</v>
      </c>
      <c r="AC1200">
        <f>IF(ISBLANK(Mitigation_Industry!AC743),"",Mitigation_Industry!AC743)</f>
        <v>42.801655906615522</v>
      </c>
      <c r="AD1200">
        <f>IF(ISBLANK(Mitigation_Industry!AD743),"",Mitigation_Industry!AD743)</f>
        <v>44.214110551533835</v>
      </c>
      <c r="AE1200">
        <f>IF(ISBLANK(Mitigation_Industry!AE743),"",Mitigation_Industry!AE743)</f>
        <v>45.673176199734449</v>
      </c>
    </row>
    <row r="1201" spans="1:31" x14ac:dyDescent="0.45">
      <c r="A1201" t="s">
        <v>1666</v>
      </c>
      <c r="B1201" t="s">
        <v>1487</v>
      </c>
      <c r="C1201" t="s">
        <v>1369</v>
      </c>
      <c r="D1201">
        <v>2</v>
      </c>
      <c r="E1201" t="s">
        <v>1161</v>
      </c>
      <c r="F1201">
        <f>MAX(MAX(L1201:AE1201),-MIN(L1201:AE1201))</f>
        <v>0</v>
      </c>
      <c r="I1201" t="s">
        <v>1509</v>
      </c>
      <c r="K1201">
        <f t="shared" ref="K1201:AE1201" si="297">IF(ISNUMBER(K1199),IF(ISNUMBER(K1200),K1200-K1199,999999),0)</f>
        <v>0</v>
      </c>
      <c r="L1201">
        <f t="shared" si="297"/>
        <v>0</v>
      </c>
      <c r="M1201">
        <f t="shared" si="297"/>
        <v>0</v>
      </c>
      <c r="N1201">
        <f t="shared" si="297"/>
        <v>0</v>
      </c>
      <c r="O1201">
        <f t="shared" si="297"/>
        <v>0</v>
      </c>
      <c r="P1201">
        <f t="shared" si="297"/>
        <v>0</v>
      </c>
      <c r="Q1201">
        <f t="shared" si="297"/>
        <v>0</v>
      </c>
      <c r="R1201">
        <f t="shared" si="297"/>
        <v>0</v>
      </c>
      <c r="S1201">
        <f t="shared" si="297"/>
        <v>0</v>
      </c>
      <c r="T1201">
        <f t="shared" si="297"/>
        <v>0</v>
      </c>
      <c r="U1201">
        <f t="shared" si="297"/>
        <v>0</v>
      </c>
      <c r="V1201">
        <f t="shared" si="297"/>
        <v>0</v>
      </c>
      <c r="W1201">
        <f t="shared" si="297"/>
        <v>0</v>
      </c>
      <c r="X1201">
        <f t="shared" si="297"/>
        <v>0</v>
      </c>
      <c r="Y1201">
        <f t="shared" si="297"/>
        <v>0</v>
      </c>
      <c r="Z1201">
        <f t="shared" si="297"/>
        <v>0</v>
      </c>
      <c r="AA1201">
        <f t="shared" si="297"/>
        <v>0</v>
      </c>
      <c r="AB1201">
        <f t="shared" si="297"/>
        <v>0</v>
      </c>
      <c r="AC1201">
        <f t="shared" si="297"/>
        <v>0</v>
      </c>
      <c r="AD1201">
        <f t="shared" si="297"/>
        <v>0</v>
      </c>
      <c r="AE1201">
        <f t="shared" si="297"/>
        <v>0</v>
      </c>
    </row>
    <row r="1203" spans="1:31" x14ac:dyDescent="0.45">
      <c r="A1203" t="s">
        <v>1667</v>
      </c>
      <c r="B1203" t="s">
        <v>1487</v>
      </c>
      <c r="C1203" t="s">
        <v>1442</v>
      </c>
      <c r="D1203">
        <v>2</v>
      </c>
      <c r="E1203" t="s">
        <v>1159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45">
      <c r="A1204" t="s">
        <v>1667</v>
      </c>
      <c r="B1204" t="s">
        <v>1487</v>
      </c>
      <c r="C1204" t="s">
        <v>1442</v>
      </c>
      <c r="D1204">
        <v>2</v>
      </c>
      <c r="E1204" t="s">
        <v>1160</v>
      </c>
      <c r="K1204" t="str">
        <f>IF(ISBLANK(Mitigation_Industry!K744),"",Mitigation_Industry!K744)</f>
        <v/>
      </c>
      <c r="L1204">
        <f>IF(ISBLANK(Mitigation_Industry!L744),"",Mitigation_Industry!L744)</f>
        <v>0</v>
      </c>
      <c r="M1204">
        <f>IF(ISBLANK(Mitigation_Industry!M744),"",Mitigation_Industry!M744)</f>
        <v>0</v>
      </c>
      <c r="N1204">
        <f>IF(ISBLANK(Mitigation_Industry!N744),"",Mitigation_Industry!N744)</f>
        <v>0</v>
      </c>
      <c r="O1204">
        <f>IF(ISBLANK(Mitigation_Industry!O744),"",Mitigation_Industry!O744)</f>
        <v>0</v>
      </c>
      <c r="P1204">
        <f>IF(ISBLANK(Mitigation_Industry!P744),"",Mitigation_Industry!P744)</f>
        <v>0</v>
      </c>
      <c r="Q1204">
        <f>IF(ISBLANK(Mitigation_Industry!Q744),"",Mitigation_Industry!Q744)</f>
        <v>0</v>
      </c>
      <c r="R1204">
        <f>IF(ISBLANK(Mitigation_Industry!R744),"",Mitigation_Industry!R744)</f>
        <v>0</v>
      </c>
      <c r="S1204">
        <f>IF(ISBLANK(Mitigation_Industry!S744),"",Mitigation_Industry!S744)</f>
        <v>0</v>
      </c>
      <c r="T1204">
        <f>IF(ISBLANK(Mitigation_Industry!T744),"",Mitigation_Industry!T744)</f>
        <v>0</v>
      </c>
      <c r="U1204">
        <f>IF(ISBLANK(Mitigation_Industry!U744),"",Mitigation_Industry!U744)</f>
        <v>0</v>
      </c>
      <c r="V1204">
        <f>IF(ISBLANK(Mitigation_Industry!V744),"",Mitigation_Industry!V744)</f>
        <v>0</v>
      </c>
      <c r="W1204">
        <f>IF(ISBLANK(Mitigation_Industry!W744),"",Mitigation_Industry!W744)</f>
        <v>0</v>
      </c>
      <c r="X1204">
        <f>IF(ISBLANK(Mitigation_Industry!X744),"",Mitigation_Industry!X744)</f>
        <v>0</v>
      </c>
      <c r="Y1204">
        <f>IF(ISBLANK(Mitigation_Industry!Y744),"",Mitigation_Industry!Y744)</f>
        <v>0</v>
      </c>
      <c r="Z1204">
        <f>IF(ISBLANK(Mitigation_Industry!Z744),"",Mitigation_Industry!Z744)</f>
        <v>0</v>
      </c>
      <c r="AA1204">
        <f>IF(ISBLANK(Mitigation_Industry!AA744),"",Mitigation_Industry!AA744)</f>
        <v>0</v>
      </c>
      <c r="AB1204">
        <f>IF(ISBLANK(Mitigation_Industry!AB744),"",Mitigation_Industry!AB744)</f>
        <v>0</v>
      </c>
      <c r="AC1204">
        <f>IF(ISBLANK(Mitigation_Industry!AC744),"",Mitigation_Industry!AC744)</f>
        <v>0</v>
      </c>
      <c r="AD1204">
        <f>IF(ISBLANK(Mitigation_Industry!AD744),"",Mitigation_Industry!AD744)</f>
        <v>0</v>
      </c>
      <c r="AE1204">
        <f>IF(ISBLANK(Mitigation_Industry!AE744),"",Mitigation_Industry!AE744)</f>
        <v>0</v>
      </c>
    </row>
    <row r="1205" spans="1:31" x14ac:dyDescent="0.45">
      <c r="A1205" t="s">
        <v>1667</v>
      </c>
      <c r="B1205" t="s">
        <v>1487</v>
      </c>
      <c r="C1205" t="s">
        <v>1442</v>
      </c>
      <c r="D1205">
        <v>2</v>
      </c>
      <c r="E1205" t="s">
        <v>1161</v>
      </c>
      <c r="F1205">
        <f>MAX(MAX(L1205:AE1205),-MIN(L1205:AE1205))</f>
        <v>0</v>
      </c>
      <c r="I1205" t="s">
        <v>1509</v>
      </c>
      <c r="K1205">
        <f t="shared" ref="K1205:AE1205" si="298">IF(ISNUMBER(K1203),IF(ISNUMBER(K1204),K1204-K1203,999999),0)</f>
        <v>0</v>
      </c>
      <c r="L1205">
        <f t="shared" si="298"/>
        <v>0</v>
      </c>
      <c r="M1205">
        <f t="shared" si="298"/>
        <v>0</v>
      </c>
      <c r="N1205">
        <f t="shared" si="298"/>
        <v>0</v>
      </c>
      <c r="O1205">
        <f t="shared" si="298"/>
        <v>0</v>
      </c>
      <c r="P1205">
        <f t="shared" si="298"/>
        <v>0</v>
      </c>
      <c r="Q1205">
        <f t="shared" si="298"/>
        <v>0</v>
      </c>
      <c r="R1205">
        <f t="shared" si="298"/>
        <v>0</v>
      </c>
      <c r="S1205">
        <f t="shared" si="298"/>
        <v>0</v>
      </c>
      <c r="T1205">
        <f t="shared" si="298"/>
        <v>0</v>
      </c>
      <c r="U1205">
        <f t="shared" si="298"/>
        <v>0</v>
      </c>
      <c r="V1205">
        <f t="shared" si="298"/>
        <v>0</v>
      </c>
      <c r="W1205">
        <f t="shared" si="298"/>
        <v>0</v>
      </c>
      <c r="X1205">
        <f t="shared" si="298"/>
        <v>0</v>
      </c>
      <c r="Y1205">
        <f t="shared" si="298"/>
        <v>0</v>
      </c>
      <c r="Z1205">
        <f t="shared" si="298"/>
        <v>0</v>
      </c>
      <c r="AA1205">
        <f t="shared" si="298"/>
        <v>0</v>
      </c>
      <c r="AB1205">
        <f t="shared" si="298"/>
        <v>0</v>
      </c>
      <c r="AC1205">
        <f t="shared" si="298"/>
        <v>0</v>
      </c>
      <c r="AD1205">
        <f t="shared" si="298"/>
        <v>0</v>
      </c>
      <c r="AE1205">
        <f t="shared" si="298"/>
        <v>0</v>
      </c>
    </row>
    <row r="1207" spans="1:31" x14ac:dyDescent="0.45">
      <c r="A1207" t="s">
        <v>1668</v>
      </c>
      <c r="B1207" t="s">
        <v>1487</v>
      </c>
      <c r="C1207" t="s">
        <v>1383</v>
      </c>
      <c r="D1207">
        <v>2</v>
      </c>
      <c r="E1207" t="s">
        <v>1159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45">
      <c r="A1208" t="s">
        <v>1668</v>
      </c>
      <c r="B1208" t="s">
        <v>1487</v>
      </c>
      <c r="C1208" t="s">
        <v>1383</v>
      </c>
      <c r="D1208">
        <v>2</v>
      </c>
      <c r="E1208" t="s">
        <v>1160</v>
      </c>
      <c r="K1208" t="str">
        <f>IF(ISBLANK(Mitigation_Industry!K745),"",Mitigation_Industry!K745)</f>
        <v/>
      </c>
      <c r="L1208">
        <f>IF(ISBLANK(Mitigation_Industry!L745),"",Mitigation_Industry!L745)</f>
        <v>0</v>
      </c>
      <c r="M1208">
        <f>IF(ISBLANK(Mitigation_Industry!M745),"",Mitigation_Industry!M745)</f>
        <v>0</v>
      </c>
      <c r="N1208">
        <f>IF(ISBLANK(Mitigation_Industry!N745),"",Mitigation_Industry!N745)</f>
        <v>0</v>
      </c>
      <c r="O1208">
        <f>IF(ISBLANK(Mitigation_Industry!O745),"",Mitigation_Industry!O745)</f>
        <v>0</v>
      </c>
      <c r="P1208">
        <f>IF(ISBLANK(Mitigation_Industry!P745),"",Mitigation_Industry!P745)</f>
        <v>0</v>
      </c>
      <c r="Q1208">
        <f>IF(ISBLANK(Mitigation_Industry!Q745),"",Mitigation_Industry!Q745)</f>
        <v>0</v>
      </c>
      <c r="R1208">
        <f>IF(ISBLANK(Mitigation_Industry!R745),"",Mitigation_Industry!R745)</f>
        <v>0</v>
      </c>
      <c r="S1208">
        <f>IF(ISBLANK(Mitigation_Industry!S745),"",Mitigation_Industry!S745)</f>
        <v>0</v>
      </c>
      <c r="T1208">
        <f>IF(ISBLANK(Mitigation_Industry!T745),"",Mitigation_Industry!T745)</f>
        <v>0</v>
      </c>
      <c r="U1208">
        <f>IF(ISBLANK(Mitigation_Industry!U745),"",Mitigation_Industry!U745)</f>
        <v>0</v>
      </c>
      <c r="V1208">
        <f>IF(ISBLANK(Mitigation_Industry!V745),"",Mitigation_Industry!V745)</f>
        <v>0</v>
      </c>
      <c r="W1208">
        <f>IF(ISBLANK(Mitigation_Industry!W745),"",Mitigation_Industry!W745)</f>
        <v>0</v>
      </c>
      <c r="X1208">
        <f>IF(ISBLANK(Mitigation_Industry!X745),"",Mitigation_Industry!X745)</f>
        <v>0</v>
      </c>
      <c r="Y1208">
        <f>IF(ISBLANK(Mitigation_Industry!Y745),"",Mitigation_Industry!Y745)</f>
        <v>0</v>
      </c>
      <c r="Z1208">
        <f>IF(ISBLANK(Mitigation_Industry!Z745),"",Mitigation_Industry!Z745)</f>
        <v>0</v>
      </c>
      <c r="AA1208">
        <f>IF(ISBLANK(Mitigation_Industry!AA745),"",Mitigation_Industry!AA745)</f>
        <v>0</v>
      </c>
      <c r="AB1208">
        <f>IF(ISBLANK(Mitigation_Industry!AB745),"",Mitigation_Industry!AB745)</f>
        <v>0</v>
      </c>
      <c r="AC1208">
        <f>IF(ISBLANK(Mitigation_Industry!AC745),"",Mitigation_Industry!AC745)</f>
        <v>0</v>
      </c>
      <c r="AD1208">
        <f>IF(ISBLANK(Mitigation_Industry!AD745),"",Mitigation_Industry!AD745)</f>
        <v>0</v>
      </c>
      <c r="AE1208">
        <f>IF(ISBLANK(Mitigation_Industry!AE745),"",Mitigation_Industry!AE745)</f>
        <v>0</v>
      </c>
    </row>
    <row r="1209" spans="1:31" x14ac:dyDescent="0.45">
      <c r="A1209" t="s">
        <v>1668</v>
      </c>
      <c r="B1209" t="s">
        <v>1487</v>
      </c>
      <c r="C1209" t="s">
        <v>1383</v>
      </c>
      <c r="D1209">
        <v>2</v>
      </c>
      <c r="E1209" t="s">
        <v>1161</v>
      </c>
      <c r="F1209">
        <f>MAX(MAX(L1209:AE1209),-MIN(L1209:AE1209))</f>
        <v>0</v>
      </c>
      <c r="I1209" t="s">
        <v>1509</v>
      </c>
      <c r="K1209">
        <f t="shared" ref="K1209:AE1209" si="299">IF(ISNUMBER(K1207),IF(ISNUMBER(K1208),K1208-K1207,999999),0)</f>
        <v>0</v>
      </c>
      <c r="L1209">
        <f t="shared" si="299"/>
        <v>0</v>
      </c>
      <c r="M1209">
        <f t="shared" si="299"/>
        <v>0</v>
      </c>
      <c r="N1209">
        <f t="shared" si="299"/>
        <v>0</v>
      </c>
      <c r="O1209">
        <f t="shared" si="299"/>
        <v>0</v>
      </c>
      <c r="P1209">
        <f t="shared" si="299"/>
        <v>0</v>
      </c>
      <c r="Q1209">
        <f t="shared" si="299"/>
        <v>0</v>
      </c>
      <c r="R1209">
        <f t="shared" si="299"/>
        <v>0</v>
      </c>
      <c r="S1209">
        <f t="shared" si="299"/>
        <v>0</v>
      </c>
      <c r="T1209">
        <f t="shared" si="299"/>
        <v>0</v>
      </c>
      <c r="U1209">
        <f t="shared" si="299"/>
        <v>0</v>
      </c>
      <c r="V1209">
        <f t="shared" si="299"/>
        <v>0</v>
      </c>
      <c r="W1209">
        <f t="shared" si="299"/>
        <v>0</v>
      </c>
      <c r="X1209">
        <f t="shared" si="299"/>
        <v>0</v>
      </c>
      <c r="Y1209">
        <f t="shared" si="299"/>
        <v>0</v>
      </c>
      <c r="Z1209">
        <f t="shared" si="299"/>
        <v>0</v>
      </c>
      <c r="AA1209">
        <f t="shared" si="299"/>
        <v>0</v>
      </c>
      <c r="AB1209">
        <f t="shared" si="299"/>
        <v>0</v>
      </c>
      <c r="AC1209">
        <f t="shared" si="299"/>
        <v>0</v>
      </c>
      <c r="AD1209">
        <f t="shared" si="299"/>
        <v>0</v>
      </c>
      <c r="AE1209">
        <f t="shared" si="299"/>
        <v>0</v>
      </c>
    </row>
    <row r="1211" spans="1:31" x14ac:dyDescent="0.45">
      <c r="A1211" t="s">
        <v>1669</v>
      </c>
      <c r="B1211" t="s">
        <v>1487</v>
      </c>
      <c r="C1211" t="s">
        <v>1390</v>
      </c>
      <c r="D1211">
        <v>2</v>
      </c>
      <c r="E1211" t="s">
        <v>1159</v>
      </c>
      <c r="L1211">
        <v>0.55721293959505358</v>
      </c>
      <c r="M1211">
        <v>0.56947162426614473</v>
      </c>
      <c r="N1211">
        <v>0.58199999999999996</v>
      </c>
      <c r="O1211">
        <v>0.594804</v>
      </c>
      <c r="P1211">
        <v>0.60788968800000009</v>
      </c>
      <c r="Q1211">
        <v>0.62126326113599994</v>
      </c>
      <c r="R1211">
        <v>0.63493105288099194</v>
      </c>
      <c r="S1211">
        <v>0.64889953604437378</v>
      </c>
      <c r="T1211">
        <v>0.66317532583735006</v>
      </c>
      <c r="U1211">
        <v>0.67776518300577182</v>
      </c>
      <c r="V1211">
        <v>0.69267601703189885</v>
      </c>
      <c r="W1211">
        <v>0.70791488940660052</v>
      </c>
      <c r="X1211">
        <v>0.72348901697354573</v>
      </c>
      <c r="Y1211">
        <v>0.73940577534696372</v>
      </c>
      <c r="Z1211">
        <v>0.75567270240459705</v>
      </c>
      <c r="AA1211">
        <v>0.77229750185749824</v>
      </c>
      <c r="AB1211">
        <v>0.78928804689836318</v>
      </c>
      <c r="AC1211">
        <v>0.80665238393012717</v>
      </c>
      <c r="AD1211">
        <v>0.82439873637659</v>
      </c>
      <c r="AE1211">
        <v>0.84253550857687498</v>
      </c>
    </row>
    <row r="1212" spans="1:31" x14ac:dyDescent="0.45">
      <c r="A1212" t="s">
        <v>1669</v>
      </c>
      <c r="B1212" t="s">
        <v>1487</v>
      </c>
      <c r="C1212" t="s">
        <v>1390</v>
      </c>
      <c r="D1212">
        <v>2</v>
      </c>
      <c r="E1212" t="s">
        <v>1160</v>
      </c>
      <c r="K1212" t="str">
        <f>IF(ISBLANK(Mitigation_Industry!K746),"",Mitigation_Industry!K746)</f>
        <v/>
      </c>
      <c r="L1212">
        <f>IF(ISBLANK(Mitigation_Industry!L746),"",Mitigation_Industry!L746)</f>
        <v>0.55721293959505358</v>
      </c>
      <c r="M1212">
        <f>IF(ISBLANK(Mitigation_Industry!M746),"",Mitigation_Industry!M746)</f>
        <v>0.56947162426614473</v>
      </c>
      <c r="N1212">
        <f>IF(ISBLANK(Mitigation_Industry!N746),"",Mitigation_Industry!N746)</f>
        <v>0.58199999999999996</v>
      </c>
      <c r="O1212">
        <f>IF(ISBLANK(Mitigation_Industry!O746),"",Mitigation_Industry!O746)</f>
        <v>0.594804</v>
      </c>
      <c r="P1212">
        <f>IF(ISBLANK(Mitigation_Industry!P746),"",Mitigation_Industry!P746)</f>
        <v>0.60788968800000009</v>
      </c>
      <c r="Q1212">
        <f>IF(ISBLANK(Mitigation_Industry!Q746),"",Mitigation_Industry!Q746)</f>
        <v>0.62126326113599994</v>
      </c>
      <c r="R1212">
        <f>IF(ISBLANK(Mitigation_Industry!R746),"",Mitigation_Industry!R746)</f>
        <v>0.63493105288099194</v>
      </c>
      <c r="S1212">
        <f>IF(ISBLANK(Mitigation_Industry!S746),"",Mitigation_Industry!S746)</f>
        <v>0.64889953604437378</v>
      </c>
      <c r="T1212">
        <f>IF(ISBLANK(Mitigation_Industry!T746),"",Mitigation_Industry!T746)</f>
        <v>0.66317532583735006</v>
      </c>
      <c r="U1212">
        <f>IF(ISBLANK(Mitigation_Industry!U746),"",Mitigation_Industry!U746)</f>
        <v>0.67776518300577182</v>
      </c>
      <c r="V1212">
        <f>IF(ISBLANK(Mitigation_Industry!V746),"",Mitigation_Industry!V746)</f>
        <v>0.69267601703189885</v>
      </c>
      <c r="W1212">
        <f>IF(ISBLANK(Mitigation_Industry!W746),"",Mitigation_Industry!W746)</f>
        <v>0.70791488940660052</v>
      </c>
      <c r="X1212">
        <f>IF(ISBLANK(Mitigation_Industry!X746),"",Mitigation_Industry!X746)</f>
        <v>0.72348901697354573</v>
      </c>
      <c r="Y1212">
        <f>IF(ISBLANK(Mitigation_Industry!Y746),"",Mitigation_Industry!Y746)</f>
        <v>0.73940577534696372</v>
      </c>
      <c r="Z1212">
        <f>IF(ISBLANK(Mitigation_Industry!Z746),"",Mitigation_Industry!Z746)</f>
        <v>0.75567270240459705</v>
      </c>
      <c r="AA1212">
        <f>IF(ISBLANK(Mitigation_Industry!AA746),"",Mitigation_Industry!AA746)</f>
        <v>0.77229750185749824</v>
      </c>
      <c r="AB1212">
        <f>IF(ISBLANK(Mitigation_Industry!AB746),"",Mitigation_Industry!AB746)</f>
        <v>0.78928804689836318</v>
      </c>
      <c r="AC1212">
        <f>IF(ISBLANK(Mitigation_Industry!AC746),"",Mitigation_Industry!AC746)</f>
        <v>0.80665238393012717</v>
      </c>
      <c r="AD1212">
        <f>IF(ISBLANK(Mitigation_Industry!AD746),"",Mitigation_Industry!AD746)</f>
        <v>0.82439873637659</v>
      </c>
      <c r="AE1212">
        <f>IF(ISBLANK(Mitigation_Industry!AE746),"",Mitigation_Industry!AE746)</f>
        <v>0.84253550857687498</v>
      </c>
    </row>
    <row r="1213" spans="1:31" x14ac:dyDescent="0.45">
      <c r="A1213" t="s">
        <v>1669</v>
      </c>
      <c r="B1213" t="s">
        <v>1487</v>
      </c>
      <c r="C1213" t="s">
        <v>1390</v>
      </c>
      <c r="D1213">
        <v>2</v>
      </c>
      <c r="E1213" t="s">
        <v>1161</v>
      </c>
      <c r="F1213">
        <f>MAX(MAX(L1213:AE1213),-MIN(L1213:AE1213))</f>
        <v>0</v>
      </c>
      <c r="I1213" t="s">
        <v>1509</v>
      </c>
      <c r="K1213">
        <f t="shared" ref="K1213:AE1213" si="300">IF(ISNUMBER(K1211),IF(ISNUMBER(K1212),K1212-K1211,999999),0)</f>
        <v>0</v>
      </c>
      <c r="L1213">
        <f t="shared" si="300"/>
        <v>0</v>
      </c>
      <c r="M1213">
        <f t="shared" si="300"/>
        <v>0</v>
      </c>
      <c r="N1213">
        <f t="shared" si="300"/>
        <v>0</v>
      </c>
      <c r="O1213">
        <f t="shared" si="300"/>
        <v>0</v>
      </c>
      <c r="P1213">
        <f t="shared" si="300"/>
        <v>0</v>
      </c>
      <c r="Q1213">
        <f t="shared" si="300"/>
        <v>0</v>
      </c>
      <c r="R1213">
        <f t="shared" si="300"/>
        <v>0</v>
      </c>
      <c r="S1213">
        <f t="shared" si="300"/>
        <v>0</v>
      </c>
      <c r="T1213">
        <f t="shared" si="300"/>
        <v>0</v>
      </c>
      <c r="U1213">
        <f t="shared" si="300"/>
        <v>0</v>
      </c>
      <c r="V1213">
        <f t="shared" si="300"/>
        <v>0</v>
      </c>
      <c r="W1213">
        <f t="shared" si="300"/>
        <v>0</v>
      </c>
      <c r="X1213">
        <f t="shared" si="300"/>
        <v>0</v>
      </c>
      <c r="Y1213">
        <f t="shared" si="300"/>
        <v>0</v>
      </c>
      <c r="Z1213">
        <f t="shared" si="300"/>
        <v>0</v>
      </c>
      <c r="AA1213">
        <f t="shared" si="300"/>
        <v>0</v>
      </c>
      <c r="AB1213">
        <f t="shared" si="300"/>
        <v>0</v>
      </c>
      <c r="AC1213">
        <f t="shared" si="300"/>
        <v>0</v>
      </c>
      <c r="AD1213">
        <f t="shared" si="300"/>
        <v>0</v>
      </c>
      <c r="AE1213">
        <f t="shared" si="300"/>
        <v>0</v>
      </c>
    </row>
    <row r="1215" spans="1:31" x14ac:dyDescent="0.45">
      <c r="A1215" t="s">
        <v>1670</v>
      </c>
      <c r="B1215" t="s">
        <v>1487</v>
      </c>
      <c r="C1215" t="s">
        <v>1397</v>
      </c>
      <c r="D1215">
        <v>2</v>
      </c>
      <c r="E1215" t="s">
        <v>1159</v>
      </c>
      <c r="L1215">
        <v>0.63340895307832257</v>
      </c>
      <c r="M1215">
        <v>0.66824644549763035</v>
      </c>
      <c r="N1215">
        <v>0.70499999999999996</v>
      </c>
      <c r="O1215">
        <v>0.74377499999999996</v>
      </c>
      <c r="P1215">
        <v>0.78468262499999997</v>
      </c>
      <c r="Q1215">
        <v>0.82784016937499993</v>
      </c>
      <c r="R1215">
        <v>0.87337137869062498</v>
      </c>
      <c r="S1215">
        <v>0.92140680451860935</v>
      </c>
      <c r="T1215">
        <v>0.97208417876713282</v>
      </c>
      <c r="U1215">
        <v>1.025548808599325</v>
      </c>
      <c r="V1215">
        <v>1.0819539930722879</v>
      </c>
      <c r="W1215">
        <v>1.1414614626912638</v>
      </c>
      <c r="X1215">
        <v>1.2042418431392832</v>
      </c>
      <c r="Y1215">
        <v>1.2704751445119435</v>
      </c>
      <c r="Z1215">
        <v>1.3403512774601003</v>
      </c>
      <c r="AA1215">
        <v>1.4140705977204062</v>
      </c>
      <c r="AB1215">
        <v>1.4918444805950282</v>
      </c>
      <c r="AC1215">
        <v>1.5738959270277546</v>
      </c>
      <c r="AD1215">
        <v>1.660460203014281</v>
      </c>
      <c r="AE1215">
        <v>1.7517855141800662</v>
      </c>
    </row>
    <row r="1216" spans="1:31" x14ac:dyDescent="0.45">
      <c r="A1216" t="s">
        <v>1670</v>
      </c>
      <c r="B1216" t="s">
        <v>1487</v>
      </c>
      <c r="C1216" t="s">
        <v>1397</v>
      </c>
      <c r="D1216">
        <v>2</v>
      </c>
      <c r="E1216" t="s">
        <v>1160</v>
      </c>
      <c r="K1216" t="str">
        <f>IF(ISBLANK(Mitigation_Industry!K747),"",Mitigation_Industry!K747)</f>
        <v/>
      </c>
      <c r="L1216">
        <f>IF(ISBLANK(Mitigation_Industry!L747),"",Mitigation_Industry!L747)</f>
        <v>0.63340895307832257</v>
      </c>
      <c r="M1216">
        <f>IF(ISBLANK(Mitigation_Industry!M747),"",Mitigation_Industry!M747)</f>
        <v>0.66824644549763035</v>
      </c>
      <c r="N1216">
        <f>IF(ISBLANK(Mitigation_Industry!N747),"",Mitigation_Industry!N747)</f>
        <v>0.70499999999999996</v>
      </c>
      <c r="O1216">
        <f>IF(ISBLANK(Mitigation_Industry!O747),"",Mitigation_Industry!O747)</f>
        <v>0.74377499999999996</v>
      </c>
      <c r="P1216">
        <f>IF(ISBLANK(Mitigation_Industry!P747),"",Mitigation_Industry!P747)</f>
        <v>0.78468262499999997</v>
      </c>
      <c r="Q1216">
        <f>IF(ISBLANK(Mitigation_Industry!Q747),"",Mitigation_Industry!Q747)</f>
        <v>0.82784016937499993</v>
      </c>
      <c r="R1216">
        <f>IF(ISBLANK(Mitigation_Industry!R747),"",Mitigation_Industry!R747)</f>
        <v>0.87337137869062498</v>
      </c>
      <c r="S1216">
        <f>IF(ISBLANK(Mitigation_Industry!S747),"",Mitigation_Industry!S747)</f>
        <v>0.92140680451860935</v>
      </c>
      <c r="T1216">
        <f>IF(ISBLANK(Mitigation_Industry!T747),"",Mitigation_Industry!T747)</f>
        <v>0.97208417876713282</v>
      </c>
      <c r="U1216">
        <f>IF(ISBLANK(Mitigation_Industry!U747),"",Mitigation_Industry!U747)</f>
        <v>1.025548808599325</v>
      </c>
      <c r="V1216">
        <f>IF(ISBLANK(Mitigation_Industry!V747),"",Mitigation_Industry!V747)</f>
        <v>1.0819539930722879</v>
      </c>
      <c r="W1216">
        <f>IF(ISBLANK(Mitigation_Industry!W747),"",Mitigation_Industry!W747)</f>
        <v>1.1414614626912638</v>
      </c>
      <c r="X1216">
        <f>IF(ISBLANK(Mitigation_Industry!X747),"",Mitigation_Industry!X747)</f>
        <v>1.2042418431392832</v>
      </c>
      <c r="Y1216">
        <f>IF(ISBLANK(Mitigation_Industry!Y747),"",Mitigation_Industry!Y747)</f>
        <v>1.2704751445119435</v>
      </c>
      <c r="Z1216">
        <f>IF(ISBLANK(Mitigation_Industry!Z747),"",Mitigation_Industry!Z747)</f>
        <v>1.3403512774601003</v>
      </c>
      <c r="AA1216">
        <f>IF(ISBLANK(Mitigation_Industry!AA747),"",Mitigation_Industry!AA747)</f>
        <v>1.4140705977204062</v>
      </c>
      <c r="AB1216">
        <f>IF(ISBLANK(Mitigation_Industry!AB747),"",Mitigation_Industry!AB747)</f>
        <v>1.4918444805950282</v>
      </c>
      <c r="AC1216">
        <f>IF(ISBLANK(Mitigation_Industry!AC747),"",Mitigation_Industry!AC747)</f>
        <v>1.5738959270277546</v>
      </c>
      <c r="AD1216">
        <f>IF(ISBLANK(Mitigation_Industry!AD747),"",Mitigation_Industry!AD747)</f>
        <v>1.660460203014281</v>
      </c>
      <c r="AE1216">
        <f>IF(ISBLANK(Mitigation_Industry!AE747),"",Mitigation_Industry!AE747)</f>
        <v>1.7517855141800662</v>
      </c>
    </row>
    <row r="1217" spans="1:31" x14ac:dyDescent="0.45">
      <c r="A1217" t="s">
        <v>1670</v>
      </c>
      <c r="B1217" t="s">
        <v>1487</v>
      </c>
      <c r="C1217" t="s">
        <v>1397</v>
      </c>
      <c r="D1217">
        <v>2</v>
      </c>
      <c r="E1217" t="s">
        <v>1161</v>
      </c>
      <c r="F1217">
        <f>MAX(MAX(L1217:AE1217),-MIN(L1217:AE1217))</f>
        <v>0</v>
      </c>
      <c r="I1217" t="s">
        <v>1509</v>
      </c>
      <c r="K1217">
        <f t="shared" ref="K1217:AE1217" si="301">IF(ISNUMBER(K1215),IF(ISNUMBER(K1216),K1216-K1215,999999),0)</f>
        <v>0</v>
      </c>
      <c r="L1217">
        <f t="shared" si="301"/>
        <v>0</v>
      </c>
      <c r="M1217">
        <f t="shared" si="301"/>
        <v>0</v>
      </c>
      <c r="N1217">
        <f t="shared" si="301"/>
        <v>0</v>
      </c>
      <c r="O1217">
        <f t="shared" si="301"/>
        <v>0</v>
      </c>
      <c r="P1217">
        <f t="shared" si="301"/>
        <v>0</v>
      </c>
      <c r="Q1217">
        <f t="shared" si="301"/>
        <v>0</v>
      </c>
      <c r="R1217">
        <f t="shared" si="301"/>
        <v>0</v>
      </c>
      <c r="S1217">
        <f t="shared" si="301"/>
        <v>0</v>
      </c>
      <c r="T1217">
        <f t="shared" si="301"/>
        <v>0</v>
      </c>
      <c r="U1217">
        <f t="shared" si="301"/>
        <v>0</v>
      </c>
      <c r="V1217">
        <f t="shared" si="301"/>
        <v>0</v>
      </c>
      <c r="W1217">
        <f t="shared" si="301"/>
        <v>0</v>
      </c>
      <c r="X1217">
        <f t="shared" si="301"/>
        <v>0</v>
      </c>
      <c r="Y1217">
        <f t="shared" si="301"/>
        <v>0</v>
      </c>
      <c r="Z1217">
        <f t="shared" si="301"/>
        <v>0</v>
      </c>
      <c r="AA1217">
        <f t="shared" si="301"/>
        <v>0</v>
      </c>
      <c r="AB1217">
        <f t="shared" si="301"/>
        <v>0</v>
      </c>
      <c r="AC1217">
        <f t="shared" si="301"/>
        <v>0</v>
      </c>
      <c r="AD1217">
        <f t="shared" si="301"/>
        <v>0</v>
      </c>
      <c r="AE1217">
        <f t="shared" si="301"/>
        <v>0</v>
      </c>
    </row>
    <row r="1219" spans="1:31" x14ac:dyDescent="0.45">
      <c r="A1219" t="s">
        <v>1671</v>
      </c>
      <c r="B1219" t="s">
        <v>1487</v>
      </c>
      <c r="C1219" t="s">
        <v>1486</v>
      </c>
      <c r="D1219">
        <v>2</v>
      </c>
      <c r="E1219" t="s">
        <v>1159</v>
      </c>
      <c r="L1219">
        <v>26.090339299916039</v>
      </c>
      <c r="M1219">
        <v>26.961911636097753</v>
      </c>
      <c r="N1219">
        <v>27.863</v>
      </c>
      <c r="O1219">
        <v>28.794622999999998</v>
      </c>
      <c r="P1219">
        <v>29.757835348999993</v>
      </c>
      <c r="Q1219">
        <v>30.753729192394996</v>
      </c>
      <c r="R1219">
        <v>31.783435487304406</v>
      </c>
      <c r="S1219">
        <v>32.848125435164668</v>
      </c>
      <c r="T1219">
        <v>33.949011969871044</v>
      </c>
      <c r="U1219">
        <v>35.087351303752364</v>
      </c>
      <c r="V1219">
        <v>36.264444533762408</v>
      </c>
      <c r="W1219">
        <v>37.481639310376153</v>
      </c>
      <c r="X1219">
        <v>38.740331571788573</v>
      </c>
      <c r="Y1219">
        <v>40.041967346128295</v>
      </c>
      <c r="Z1219">
        <v>41.388044624518081</v>
      </c>
      <c r="AA1219">
        <v>42.780115307939909</v>
      </c>
      <c r="AB1219">
        <v>44.219787230993546</v>
      </c>
      <c r="AC1219">
        <v>45.708726265775283</v>
      </c>
      <c r="AD1219">
        <v>47.248658509247463</v>
      </c>
      <c r="AE1219">
        <v>48.841372557620346</v>
      </c>
    </row>
    <row r="1220" spans="1:31" x14ac:dyDescent="0.45">
      <c r="A1220" t="s">
        <v>1671</v>
      </c>
      <c r="B1220" t="s">
        <v>1487</v>
      </c>
      <c r="C1220" t="s">
        <v>1486</v>
      </c>
      <c r="D1220">
        <v>2</v>
      </c>
      <c r="E1220" t="s">
        <v>1160</v>
      </c>
      <c r="K1220" t="str">
        <f>IF(ISBLANK(Mitigation_Industry!K748),"",Mitigation_Industry!K748)</f>
        <v/>
      </c>
      <c r="L1220">
        <f>IF(ISBLANK(Mitigation_Industry!L748),"",Mitigation_Industry!L748)</f>
        <v>26.090339299916039</v>
      </c>
      <c r="M1220">
        <f>IF(ISBLANK(Mitigation_Industry!M748),"",Mitigation_Industry!M748)</f>
        <v>26.961911636097753</v>
      </c>
      <c r="N1220">
        <f>IF(ISBLANK(Mitigation_Industry!N748),"",Mitigation_Industry!N748)</f>
        <v>27.863</v>
      </c>
      <c r="O1220">
        <f>IF(ISBLANK(Mitigation_Industry!O748),"",Mitigation_Industry!O748)</f>
        <v>28.794622999999998</v>
      </c>
      <c r="P1220">
        <f>IF(ISBLANK(Mitigation_Industry!P748),"",Mitigation_Industry!P748)</f>
        <v>29.757835348999993</v>
      </c>
      <c r="Q1220">
        <f>IF(ISBLANK(Mitigation_Industry!Q748),"",Mitigation_Industry!Q748)</f>
        <v>30.753729192394996</v>
      </c>
      <c r="R1220">
        <f>IF(ISBLANK(Mitigation_Industry!R748),"",Mitigation_Industry!R748)</f>
        <v>31.783435487304406</v>
      </c>
      <c r="S1220">
        <f>IF(ISBLANK(Mitigation_Industry!S748),"",Mitigation_Industry!S748)</f>
        <v>32.848125435164668</v>
      </c>
      <c r="T1220">
        <f>IF(ISBLANK(Mitigation_Industry!T748),"",Mitigation_Industry!T748)</f>
        <v>33.949011969871044</v>
      </c>
      <c r="U1220">
        <f>IF(ISBLANK(Mitigation_Industry!U748),"",Mitigation_Industry!U748)</f>
        <v>35.087351303752364</v>
      </c>
      <c r="V1220">
        <f>IF(ISBLANK(Mitigation_Industry!V748),"",Mitigation_Industry!V748)</f>
        <v>36.264444533762408</v>
      </c>
      <c r="W1220">
        <f>IF(ISBLANK(Mitigation_Industry!W748),"",Mitigation_Industry!W748)</f>
        <v>37.481639310376153</v>
      </c>
      <c r="X1220">
        <f>IF(ISBLANK(Mitigation_Industry!X748),"",Mitigation_Industry!X748)</f>
        <v>38.740331571788573</v>
      </c>
      <c r="Y1220">
        <f>IF(ISBLANK(Mitigation_Industry!Y748),"",Mitigation_Industry!Y748)</f>
        <v>40.041967346128295</v>
      </c>
      <c r="Z1220">
        <f>IF(ISBLANK(Mitigation_Industry!Z748),"",Mitigation_Industry!Z748)</f>
        <v>41.388044624518081</v>
      </c>
      <c r="AA1220">
        <f>IF(ISBLANK(Mitigation_Industry!AA748),"",Mitigation_Industry!AA748)</f>
        <v>42.780115307939909</v>
      </c>
      <c r="AB1220">
        <f>IF(ISBLANK(Mitigation_Industry!AB748),"",Mitigation_Industry!AB748)</f>
        <v>44.219787230993546</v>
      </c>
      <c r="AC1220">
        <f>IF(ISBLANK(Mitigation_Industry!AC748),"",Mitigation_Industry!AC748)</f>
        <v>45.708726265775283</v>
      </c>
      <c r="AD1220">
        <f>IF(ISBLANK(Mitigation_Industry!AD748),"",Mitigation_Industry!AD748)</f>
        <v>47.248658509247463</v>
      </c>
      <c r="AE1220">
        <f>IF(ISBLANK(Mitigation_Industry!AE748),"",Mitigation_Industry!AE748)</f>
        <v>48.841372557620346</v>
      </c>
    </row>
    <row r="1221" spans="1:31" x14ac:dyDescent="0.45">
      <c r="A1221" t="s">
        <v>1671</v>
      </c>
      <c r="B1221" t="s">
        <v>1487</v>
      </c>
      <c r="C1221" t="s">
        <v>1486</v>
      </c>
      <c r="D1221">
        <v>2</v>
      </c>
      <c r="E1221" t="s">
        <v>1161</v>
      </c>
      <c r="F1221">
        <f>MAX(MAX(L1221:AE1221),-MIN(L1221:AE1221))</f>
        <v>0</v>
      </c>
      <c r="I1221" t="s">
        <v>1509</v>
      </c>
      <c r="K1221">
        <f t="shared" ref="K1221:AE1221" si="302">IF(ISNUMBER(K1219),IF(ISNUMBER(K1220),K1220-K1219,999999),0)</f>
        <v>0</v>
      </c>
      <c r="L1221">
        <f t="shared" si="302"/>
        <v>0</v>
      </c>
      <c r="M1221">
        <f t="shared" si="302"/>
        <v>0</v>
      </c>
      <c r="N1221">
        <f t="shared" si="302"/>
        <v>0</v>
      </c>
      <c r="O1221">
        <f t="shared" si="302"/>
        <v>0</v>
      </c>
      <c r="P1221">
        <f t="shared" si="302"/>
        <v>0</v>
      </c>
      <c r="Q1221">
        <f t="shared" si="302"/>
        <v>0</v>
      </c>
      <c r="R1221">
        <f t="shared" si="302"/>
        <v>0</v>
      </c>
      <c r="S1221">
        <f t="shared" si="302"/>
        <v>0</v>
      </c>
      <c r="T1221">
        <f t="shared" si="302"/>
        <v>0</v>
      </c>
      <c r="U1221">
        <f t="shared" si="302"/>
        <v>0</v>
      </c>
      <c r="V1221">
        <f t="shared" si="302"/>
        <v>0</v>
      </c>
      <c r="W1221">
        <f t="shared" si="302"/>
        <v>0</v>
      </c>
      <c r="X1221">
        <f t="shared" si="302"/>
        <v>0</v>
      </c>
      <c r="Y1221">
        <f t="shared" si="302"/>
        <v>0</v>
      </c>
      <c r="Z1221">
        <f t="shared" si="302"/>
        <v>0</v>
      </c>
      <c r="AA1221">
        <f t="shared" si="302"/>
        <v>0</v>
      </c>
      <c r="AB1221">
        <f t="shared" si="302"/>
        <v>0</v>
      </c>
      <c r="AC1221">
        <f t="shared" si="302"/>
        <v>0</v>
      </c>
      <c r="AD1221">
        <f t="shared" si="302"/>
        <v>0</v>
      </c>
      <c r="AE1221">
        <f t="shared" si="302"/>
        <v>0</v>
      </c>
    </row>
    <row r="1223" spans="1:31" x14ac:dyDescent="0.45">
      <c r="A1223" t="s">
        <v>1672</v>
      </c>
      <c r="B1223" t="s">
        <v>1488</v>
      </c>
      <c r="C1223" t="s">
        <v>1350</v>
      </c>
      <c r="D1223">
        <v>2</v>
      </c>
      <c r="E1223" t="s">
        <v>1159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45">
      <c r="A1224" t="s">
        <v>1672</v>
      </c>
      <c r="B1224" t="s">
        <v>1488</v>
      </c>
      <c r="C1224" t="s">
        <v>1350</v>
      </c>
      <c r="D1224">
        <v>2</v>
      </c>
      <c r="E1224" t="s">
        <v>1160</v>
      </c>
      <c r="K1224" t="str">
        <f>IF(ISBLANK(Mitigation_Industry!K751),"",Mitigation_Industry!K751)</f>
        <v/>
      </c>
      <c r="L1224">
        <f>IF(ISBLANK(Mitigation_Industry!L751),"",Mitigation_Industry!L751)</f>
        <v>0</v>
      </c>
      <c r="M1224">
        <f>IF(ISBLANK(Mitigation_Industry!M751),"",Mitigation_Industry!M751)</f>
        <v>0</v>
      </c>
      <c r="N1224">
        <f>IF(ISBLANK(Mitigation_Industry!N751),"",Mitigation_Industry!N751)</f>
        <v>0</v>
      </c>
      <c r="O1224">
        <f>IF(ISBLANK(Mitigation_Industry!O751),"",Mitigation_Industry!O751)</f>
        <v>0</v>
      </c>
      <c r="P1224">
        <f>IF(ISBLANK(Mitigation_Industry!P751),"",Mitigation_Industry!P751)</f>
        <v>0</v>
      </c>
      <c r="Q1224">
        <f>IF(ISBLANK(Mitigation_Industry!Q751),"",Mitigation_Industry!Q751)</f>
        <v>0</v>
      </c>
      <c r="R1224">
        <f>IF(ISBLANK(Mitigation_Industry!R751),"",Mitigation_Industry!R751)</f>
        <v>0</v>
      </c>
      <c r="S1224">
        <f>IF(ISBLANK(Mitigation_Industry!S751),"",Mitigation_Industry!S751)</f>
        <v>0</v>
      </c>
      <c r="T1224">
        <f>IF(ISBLANK(Mitigation_Industry!T751),"",Mitigation_Industry!T751)</f>
        <v>0</v>
      </c>
      <c r="U1224">
        <f>IF(ISBLANK(Mitigation_Industry!U751),"",Mitigation_Industry!U751)</f>
        <v>0</v>
      </c>
      <c r="V1224">
        <f>IF(ISBLANK(Mitigation_Industry!V751),"",Mitigation_Industry!V751)</f>
        <v>0</v>
      </c>
      <c r="W1224">
        <f>IF(ISBLANK(Mitigation_Industry!W751),"",Mitigation_Industry!W751)</f>
        <v>0</v>
      </c>
      <c r="X1224">
        <f>IF(ISBLANK(Mitigation_Industry!X751),"",Mitigation_Industry!X751)</f>
        <v>0</v>
      </c>
      <c r="Y1224">
        <f>IF(ISBLANK(Mitigation_Industry!Y751),"",Mitigation_Industry!Y751)</f>
        <v>0</v>
      </c>
      <c r="Z1224">
        <f>IF(ISBLANK(Mitigation_Industry!Z751),"",Mitigation_Industry!Z751)</f>
        <v>0</v>
      </c>
      <c r="AA1224">
        <f>IF(ISBLANK(Mitigation_Industry!AA751),"",Mitigation_Industry!AA751)</f>
        <v>0</v>
      </c>
      <c r="AB1224">
        <f>IF(ISBLANK(Mitigation_Industry!AB751),"",Mitigation_Industry!AB751)</f>
        <v>0</v>
      </c>
      <c r="AC1224">
        <f>IF(ISBLANK(Mitigation_Industry!AC751),"",Mitigation_Industry!AC751)</f>
        <v>0</v>
      </c>
      <c r="AD1224">
        <f>IF(ISBLANK(Mitigation_Industry!AD751),"",Mitigation_Industry!AD751)</f>
        <v>0</v>
      </c>
      <c r="AE1224">
        <f>IF(ISBLANK(Mitigation_Industry!AE751),"",Mitigation_Industry!AE751)</f>
        <v>0</v>
      </c>
    </row>
    <row r="1225" spans="1:31" x14ac:dyDescent="0.45">
      <c r="A1225" t="s">
        <v>1672</v>
      </c>
      <c r="B1225" t="s">
        <v>1488</v>
      </c>
      <c r="C1225" t="s">
        <v>1350</v>
      </c>
      <c r="D1225">
        <v>2</v>
      </c>
      <c r="E1225" t="s">
        <v>1161</v>
      </c>
      <c r="F1225">
        <f>MAX(MAX(L1225:AE1225),-MIN(L1225:AE1225))</f>
        <v>0</v>
      </c>
      <c r="I1225" t="s">
        <v>1509</v>
      </c>
      <c r="K1225">
        <f t="shared" ref="K1225:AE1225" si="303">IF(ISNUMBER(K1223),IF(ISNUMBER(K1224),K1224-K1223,999999),0)</f>
        <v>0</v>
      </c>
      <c r="L1225">
        <f t="shared" si="303"/>
        <v>0</v>
      </c>
      <c r="M1225">
        <f t="shared" si="303"/>
        <v>0</v>
      </c>
      <c r="N1225">
        <f t="shared" si="303"/>
        <v>0</v>
      </c>
      <c r="O1225">
        <f t="shared" si="303"/>
        <v>0</v>
      </c>
      <c r="P1225">
        <f t="shared" si="303"/>
        <v>0</v>
      </c>
      <c r="Q1225">
        <f t="shared" si="303"/>
        <v>0</v>
      </c>
      <c r="R1225">
        <f t="shared" si="303"/>
        <v>0</v>
      </c>
      <c r="S1225">
        <f t="shared" si="303"/>
        <v>0</v>
      </c>
      <c r="T1225">
        <f t="shared" si="303"/>
        <v>0</v>
      </c>
      <c r="U1225">
        <f t="shared" si="303"/>
        <v>0</v>
      </c>
      <c r="V1225">
        <f t="shared" si="303"/>
        <v>0</v>
      </c>
      <c r="W1225">
        <f t="shared" si="303"/>
        <v>0</v>
      </c>
      <c r="X1225">
        <f t="shared" si="303"/>
        <v>0</v>
      </c>
      <c r="Y1225">
        <f t="shared" si="303"/>
        <v>0</v>
      </c>
      <c r="Z1225">
        <f t="shared" si="303"/>
        <v>0</v>
      </c>
      <c r="AA1225">
        <f t="shared" si="303"/>
        <v>0</v>
      </c>
      <c r="AB1225">
        <f t="shared" si="303"/>
        <v>0</v>
      </c>
      <c r="AC1225">
        <f t="shared" si="303"/>
        <v>0</v>
      </c>
      <c r="AD1225">
        <f t="shared" si="303"/>
        <v>0</v>
      </c>
      <c r="AE1225">
        <f t="shared" si="303"/>
        <v>0</v>
      </c>
    </row>
    <row r="1227" spans="1:31" x14ac:dyDescent="0.45">
      <c r="A1227" t="s">
        <v>1673</v>
      </c>
      <c r="B1227" t="s">
        <v>1488</v>
      </c>
      <c r="C1227" t="s">
        <v>1357</v>
      </c>
      <c r="D1227">
        <v>2</v>
      </c>
      <c r="E1227" t="s">
        <v>1159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45">
      <c r="A1228" t="s">
        <v>1673</v>
      </c>
      <c r="B1228" t="s">
        <v>1488</v>
      </c>
      <c r="C1228" t="s">
        <v>1357</v>
      </c>
      <c r="D1228">
        <v>2</v>
      </c>
      <c r="E1228" t="s">
        <v>1160</v>
      </c>
      <c r="K1228" t="str">
        <f>IF(ISBLANK(Mitigation_Industry!K752),"",Mitigation_Industry!K752)</f>
        <v/>
      </c>
      <c r="L1228">
        <f>IF(ISBLANK(Mitigation_Industry!L752),"",Mitigation_Industry!L752)</f>
        <v>0</v>
      </c>
      <c r="M1228">
        <f>IF(ISBLANK(Mitigation_Industry!M752),"",Mitigation_Industry!M752)</f>
        <v>0</v>
      </c>
      <c r="N1228">
        <f>IF(ISBLANK(Mitigation_Industry!N752),"",Mitigation_Industry!N752)</f>
        <v>0</v>
      </c>
      <c r="O1228">
        <f>IF(ISBLANK(Mitigation_Industry!O752),"",Mitigation_Industry!O752)</f>
        <v>0</v>
      </c>
      <c r="P1228">
        <f>IF(ISBLANK(Mitigation_Industry!P752),"",Mitigation_Industry!P752)</f>
        <v>0</v>
      </c>
      <c r="Q1228">
        <f>IF(ISBLANK(Mitigation_Industry!Q752),"",Mitigation_Industry!Q752)</f>
        <v>0</v>
      </c>
      <c r="R1228">
        <f>IF(ISBLANK(Mitigation_Industry!R752),"",Mitigation_Industry!R752)</f>
        <v>0</v>
      </c>
      <c r="S1228">
        <f>IF(ISBLANK(Mitigation_Industry!S752),"",Mitigation_Industry!S752)</f>
        <v>0</v>
      </c>
      <c r="T1228">
        <f>IF(ISBLANK(Mitigation_Industry!T752),"",Mitigation_Industry!T752)</f>
        <v>0</v>
      </c>
      <c r="U1228">
        <f>IF(ISBLANK(Mitigation_Industry!U752),"",Mitigation_Industry!U752)</f>
        <v>0</v>
      </c>
      <c r="V1228">
        <f>IF(ISBLANK(Mitigation_Industry!V752),"",Mitigation_Industry!V752)</f>
        <v>0</v>
      </c>
      <c r="W1228">
        <f>IF(ISBLANK(Mitigation_Industry!W752),"",Mitigation_Industry!W752)</f>
        <v>0</v>
      </c>
      <c r="X1228">
        <f>IF(ISBLANK(Mitigation_Industry!X752),"",Mitigation_Industry!X752)</f>
        <v>0</v>
      </c>
      <c r="Y1228">
        <f>IF(ISBLANK(Mitigation_Industry!Y752),"",Mitigation_Industry!Y752)</f>
        <v>0</v>
      </c>
      <c r="Z1228">
        <f>IF(ISBLANK(Mitigation_Industry!Z752),"",Mitigation_Industry!Z752)</f>
        <v>0</v>
      </c>
      <c r="AA1228">
        <f>IF(ISBLANK(Mitigation_Industry!AA752),"",Mitigation_Industry!AA752)</f>
        <v>0</v>
      </c>
      <c r="AB1228">
        <f>IF(ISBLANK(Mitigation_Industry!AB752),"",Mitigation_Industry!AB752)</f>
        <v>0</v>
      </c>
      <c r="AC1228">
        <f>IF(ISBLANK(Mitigation_Industry!AC752),"",Mitigation_Industry!AC752)</f>
        <v>0</v>
      </c>
      <c r="AD1228">
        <f>IF(ISBLANK(Mitigation_Industry!AD752),"",Mitigation_Industry!AD752)</f>
        <v>0</v>
      </c>
      <c r="AE1228">
        <f>IF(ISBLANK(Mitigation_Industry!AE752),"",Mitigation_Industry!AE752)</f>
        <v>0</v>
      </c>
    </row>
    <row r="1229" spans="1:31" x14ac:dyDescent="0.45">
      <c r="A1229" t="s">
        <v>1673</v>
      </c>
      <c r="B1229" t="s">
        <v>1488</v>
      </c>
      <c r="C1229" t="s">
        <v>1357</v>
      </c>
      <c r="D1229">
        <v>2</v>
      </c>
      <c r="E1229" t="s">
        <v>1161</v>
      </c>
      <c r="F1229">
        <f>MAX(MAX(L1229:AE1229),-MIN(L1229:AE1229))</f>
        <v>0</v>
      </c>
      <c r="I1229" t="s">
        <v>1509</v>
      </c>
      <c r="K1229">
        <f t="shared" ref="K1229:AE1229" si="304">IF(ISNUMBER(K1227),IF(ISNUMBER(K1228),K1228-K1227,999999),0)</f>
        <v>0</v>
      </c>
      <c r="L1229">
        <f t="shared" si="304"/>
        <v>0</v>
      </c>
      <c r="M1229">
        <f t="shared" si="304"/>
        <v>0</v>
      </c>
      <c r="N1229">
        <f t="shared" si="304"/>
        <v>0</v>
      </c>
      <c r="O1229">
        <f t="shared" si="304"/>
        <v>0</v>
      </c>
      <c r="P1229">
        <f t="shared" si="304"/>
        <v>0</v>
      </c>
      <c r="Q1229">
        <f t="shared" si="304"/>
        <v>0</v>
      </c>
      <c r="R1229">
        <f t="shared" si="304"/>
        <v>0</v>
      </c>
      <c r="S1229">
        <f t="shared" si="304"/>
        <v>0</v>
      </c>
      <c r="T1229">
        <f t="shared" si="304"/>
        <v>0</v>
      </c>
      <c r="U1229">
        <f t="shared" si="304"/>
        <v>0</v>
      </c>
      <c r="V1229">
        <f t="shared" si="304"/>
        <v>0</v>
      </c>
      <c r="W1229">
        <f t="shared" si="304"/>
        <v>0</v>
      </c>
      <c r="X1229">
        <f t="shared" si="304"/>
        <v>0</v>
      </c>
      <c r="Y1229">
        <f t="shared" si="304"/>
        <v>0</v>
      </c>
      <c r="Z1229">
        <f t="shared" si="304"/>
        <v>0</v>
      </c>
      <c r="AA1229">
        <f t="shared" si="304"/>
        <v>0</v>
      </c>
      <c r="AB1229">
        <f t="shared" si="304"/>
        <v>0</v>
      </c>
      <c r="AC1229">
        <f t="shared" si="304"/>
        <v>0</v>
      </c>
      <c r="AD1229">
        <f t="shared" si="304"/>
        <v>0</v>
      </c>
      <c r="AE1229">
        <f t="shared" si="304"/>
        <v>0</v>
      </c>
    </row>
    <row r="1231" spans="1:31" x14ac:dyDescent="0.45">
      <c r="A1231" t="s">
        <v>1674</v>
      </c>
      <c r="B1231" t="s">
        <v>1488</v>
      </c>
      <c r="C1231" t="s">
        <v>1408</v>
      </c>
      <c r="D1231">
        <v>2</v>
      </c>
      <c r="E1231" t="s">
        <v>1159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45">
      <c r="A1232" t="s">
        <v>1674</v>
      </c>
      <c r="B1232" t="s">
        <v>1488</v>
      </c>
      <c r="C1232" t="s">
        <v>1408</v>
      </c>
      <c r="D1232">
        <v>2</v>
      </c>
      <c r="E1232" t="s">
        <v>1160</v>
      </c>
      <c r="K1232" t="str">
        <f>IF(ISBLANK(Mitigation_Industry!K753),"",Mitigation_Industry!K753)</f>
        <v/>
      </c>
      <c r="L1232">
        <f>IF(ISBLANK(Mitigation_Industry!L753),"",Mitigation_Industry!L753)</f>
        <v>0</v>
      </c>
      <c r="M1232">
        <f>IF(ISBLANK(Mitigation_Industry!M753),"",Mitigation_Industry!M753)</f>
        <v>0</v>
      </c>
      <c r="N1232">
        <f>IF(ISBLANK(Mitigation_Industry!N753),"",Mitigation_Industry!N753)</f>
        <v>0</v>
      </c>
      <c r="O1232">
        <f>IF(ISBLANK(Mitigation_Industry!O753),"",Mitigation_Industry!O753)</f>
        <v>0</v>
      </c>
      <c r="P1232">
        <f>IF(ISBLANK(Mitigation_Industry!P753),"",Mitigation_Industry!P753)</f>
        <v>0</v>
      </c>
      <c r="Q1232">
        <f>IF(ISBLANK(Mitigation_Industry!Q753),"",Mitigation_Industry!Q753)</f>
        <v>0</v>
      </c>
      <c r="R1232">
        <f>IF(ISBLANK(Mitigation_Industry!R753),"",Mitigation_Industry!R753)</f>
        <v>0</v>
      </c>
      <c r="S1232">
        <f>IF(ISBLANK(Mitigation_Industry!S753),"",Mitigation_Industry!S753)</f>
        <v>0</v>
      </c>
      <c r="T1232">
        <f>IF(ISBLANK(Mitigation_Industry!T753),"",Mitigation_Industry!T753)</f>
        <v>0</v>
      </c>
      <c r="U1232">
        <f>IF(ISBLANK(Mitigation_Industry!U753),"",Mitigation_Industry!U753)</f>
        <v>0</v>
      </c>
      <c r="V1232">
        <f>IF(ISBLANK(Mitigation_Industry!V753),"",Mitigation_Industry!V753)</f>
        <v>0</v>
      </c>
      <c r="W1232">
        <f>IF(ISBLANK(Mitigation_Industry!W753),"",Mitigation_Industry!W753)</f>
        <v>0</v>
      </c>
      <c r="X1232">
        <f>IF(ISBLANK(Mitigation_Industry!X753),"",Mitigation_Industry!X753)</f>
        <v>0</v>
      </c>
      <c r="Y1232">
        <f>IF(ISBLANK(Mitigation_Industry!Y753),"",Mitigation_Industry!Y753)</f>
        <v>0</v>
      </c>
      <c r="Z1232">
        <f>IF(ISBLANK(Mitigation_Industry!Z753),"",Mitigation_Industry!Z753)</f>
        <v>0</v>
      </c>
      <c r="AA1232">
        <f>IF(ISBLANK(Mitigation_Industry!AA753),"",Mitigation_Industry!AA753)</f>
        <v>0</v>
      </c>
      <c r="AB1232">
        <f>IF(ISBLANK(Mitigation_Industry!AB753),"",Mitigation_Industry!AB753)</f>
        <v>0</v>
      </c>
      <c r="AC1232">
        <f>IF(ISBLANK(Mitigation_Industry!AC753),"",Mitigation_Industry!AC753)</f>
        <v>0</v>
      </c>
      <c r="AD1232">
        <f>IF(ISBLANK(Mitigation_Industry!AD753),"",Mitigation_Industry!AD753)</f>
        <v>0</v>
      </c>
      <c r="AE1232">
        <f>IF(ISBLANK(Mitigation_Industry!AE753),"",Mitigation_Industry!AE753)</f>
        <v>0</v>
      </c>
    </row>
    <row r="1233" spans="1:31" x14ac:dyDescent="0.45">
      <c r="A1233" t="s">
        <v>1674</v>
      </c>
      <c r="B1233" t="s">
        <v>1488</v>
      </c>
      <c r="C1233" t="s">
        <v>1408</v>
      </c>
      <c r="D1233">
        <v>2</v>
      </c>
      <c r="E1233" t="s">
        <v>1161</v>
      </c>
      <c r="F1233">
        <f>MAX(MAX(L1233:AE1233),-MIN(L1233:AE1233))</f>
        <v>0</v>
      </c>
      <c r="I1233" t="s">
        <v>1509</v>
      </c>
      <c r="K1233">
        <f t="shared" ref="K1233:AE1233" si="305">IF(ISNUMBER(K1231),IF(ISNUMBER(K1232),K1232-K1231,999999),0)</f>
        <v>0</v>
      </c>
      <c r="L1233">
        <f t="shared" si="305"/>
        <v>0</v>
      </c>
      <c r="M1233">
        <f t="shared" si="305"/>
        <v>0</v>
      </c>
      <c r="N1233">
        <f t="shared" si="305"/>
        <v>0</v>
      </c>
      <c r="O1233">
        <f t="shared" si="305"/>
        <v>0</v>
      </c>
      <c r="P1233">
        <f t="shared" si="305"/>
        <v>0</v>
      </c>
      <c r="Q1233">
        <f t="shared" si="305"/>
        <v>0</v>
      </c>
      <c r="R1233">
        <f t="shared" si="305"/>
        <v>0</v>
      </c>
      <c r="S1233">
        <f t="shared" si="305"/>
        <v>0</v>
      </c>
      <c r="T1233">
        <f t="shared" si="305"/>
        <v>0</v>
      </c>
      <c r="U1233">
        <f t="shared" si="305"/>
        <v>0</v>
      </c>
      <c r="V1233">
        <f t="shared" si="305"/>
        <v>0</v>
      </c>
      <c r="W1233">
        <f t="shared" si="305"/>
        <v>0</v>
      </c>
      <c r="X1233">
        <f t="shared" si="305"/>
        <v>0</v>
      </c>
      <c r="Y1233">
        <f t="shared" si="305"/>
        <v>0</v>
      </c>
      <c r="Z1233">
        <f t="shared" si="305"/>
        <v>0</v>
      </c>
      <c r="AA1233">
        <f t="shared" si="305"/>
        <v>0</v>
      </c>
      <c r="AB1233">
        <f t="shared" si="305"/>
        <v>0</v>
      </c>
      <c r="AC1233">
        <f t="shared" si="305"/>
        <v>0</v>
      </c>
      <c r="AD1233">
        <f t="shared" si="305"/>
        <v>0</v>
      </c>
      <c r="AE1233">
        <f t="shared" si="305"/>
        <v>0</v>
      </c>
    </row>
    <row r="1235" spans="1:31" x14ac:dyDescent="0.45">
      <c r="A1235" t="s">
        <v>1675</v>
      </c>
      <c r="B1235" t="s">
        <v>1488</v>
      </c>
      <c r="C1235" t="s">
        <v>1409</v>
      </c>
      <c r="D1235">
        <v>2</v>
      </c>
      <c r="E1235" t="s">
        <v>1159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45">
      <c r="A1236" t="s">
        <v>1675</v>
      </c>
      <c r="B1236" t="s">
        <v>1488</v>
      </c>
      <c r="C1236" t="s">
        <v>1409</v>
      </c>
      <c r="D1236">
        <v>2</v>
      </c>
      <c r="E1236" t="s">
        <v>1160</v>
      </c>
      <c r="K1236" t="str">
        <f>IF(ISBLANK(Mitigation_Industry!K754),"",Mitigation_Industry!K754)</f>
        <v/>
      </c>
      <c r="L1236">
        <f>IF(ISBLANK(Mitigation_Industry!L754),"",Mitigation_Industry!L754)</f>
        <v>0</v>
      </c>
      <c r="M1236">
        <f>IF(ISBLANK(Mitigation_Industry!M754),"",Mitigation_Industry!M754)</f>
        <v>0</v>
      </c>
      <c r="N1236">
        <f>IF(ISBLANK(Mitigation_Industry!N754),"",Mitigation_Industry!N754)</f>
        <v>0</v>
      </c>
      <c r="O1236">
        <f>IF(ISBLANK(Mitigation_Industry!O754),"",Mitigation_Industry!O754)</f>
        <v>0</v>
      </c>
      <c r="P1236">
        <f>IF(ISBLANK(Mitigation_Industry!P754),"",Mitigation_Industry!P754)</f>
        <v>0</v>
      </c>
      <c r="Q1236">
        <f>IF(ISBLANK(Mitigation_Industry!Q754),"",Mitigation_Industry!Q754)</f>
        <v>0</v>
      </c>
      <c r="R1236">
        <f>IF(ISBLANK(Mitigation_Industry!R754),"",Mitigation_Industry!R754)</f>
        <v>0</v>
      </c>
      <c r="S1236">
        <f>IF(ISBLANK(Mitigation_Industry!S754),"",Mitigation_Industry!S754)</f>
        <v>0</v>
      </c>
      <c r="T1236">
        <f>IF(ISBLANK(Mitigation_Industry!T754),"",Mitigation_Industry!T754)</f>
        <v>0</v>
      </c>
      <c r="U1236">
        <f>IF(ISBLANK(Mitigation_Industry!U754),"",Mitigation_Industry!U754)</f>
        <v>0</v>
      </c>
      <c r="V1236">
        <f>IF(ISBLANK(Mitigation_Industry!V754),"",Mitigation_Industry!V754)</f>
        <v>0</v>
      </c>
      <c r="W1236">
        <f>IF(ISBLANK(Mitigation_Industry!W754),"",Mitigation_Industry!W754)</f>
        <v>0</v>
      </c>
      <c r="X1236">
        <f>IF(ISBLANK(Mitigation_Industry!X754),"",Mitigation_Industry!X754)</f>
        <v>0</v>
      </c>
      <c r="Y1236">
        <f>IF(ISBLANK(Mitigation_Industry!Y754),"",Mitigation_Industry!Y754)</f>
        <v>0</v>
      </c>
      <c r="Z1236">
        <f>IF(ISBLANK(Mitigation_Industry!Z754),"",Mitigation_Industry!Z754)</f>
        <v>0</v>
      </c>
      <c r="AA1236">
        <f>IF(ISBLANK(Mitigation_Industry!AA754),"",Mitigation_Industry!AA754)</f>
        <v>0</v>
      </c>
      <c r="AB1236">
        <f>IF(ISBLANK(Mitigation_Industry!AB754),"",Mitigation_Industry!AB754)</f>
        <v>0</v>
      </c>
      <c r="AC1236">
        <f>IF(ISBLANK(Mitigation_Industry!AC754),"",Mitigation_Industry!AC754)</f>
        <v>0</v>
      </c>
      <c r="AD1236">
        <f>IF(ISBLANK(Mitigation_Industry!AD754),"",Mitigation_Industry!AD754)</f>
        <v>0</v>
      </c>
      <c r="AE1236">
        <f>IF(ISBLANK(Mitigation_Industry!AE754),"",Mitigation_Industry!AE754)</f>
        <v>0</v>
      </c>
    </row>
    <row r="1237" spans="1:31" x14ac:dyDescent="0.45">
      <c r="A1237" t="s">
        <v>1675</v>
      </c>
      <c r="B1237" t="s">
        <v>1488</v>
      </c>
      <c r="C1237" t="s">
        <v>1409</v>
      </c>
      <c r="D1237">
        <v>2</v>
      </c>
      <c r="E1237" t="s">
        <v>1161</v>
      </c>
      <c r="F1237">
        <f>MAX(MAX(L1237:AE1237),-MIN(L1237:AE1237))</f>
        <v>0</v>
      </c>
      <c r="I1237" t="s">
        <v>1509</v>
      </c>
      <c r="K1237">
        <f t="shared" ref="K1237:AE1237" si="306">IF(ISNUMBER(K1235),IF(ISNUMBER(K1236),K1236-K1235,999999),0)</f>
        <v>0</v>
      </c>
      <c r="L1237">
        <f t="shared" si="306"/>
        <v>0</v>
      </c>
      <c r="M1237">
        <f t="shared" si="306"/>
        <v>0</v>
      </c>
      <c r="N1237">
        <f t="shared" si="306"/>
        <v>0</v>
      </c>
      <c r="O1237">
        <f t="shared" si="306"/>
        <v>0</v>
      </c>
      <c r="P1237">
        <f t="shared" si="306"/>
        <v>0</v>
      </c>
      <c r="Q1237">
        <f t="shared" si="306"/>
        <v>0</v>
      </c>
      <c r="R1237">
        <f t="shared" si="306"/>
        <v>0</v>
      </c>
      <c r="S1237">
        <f t="shared" si="306"/>
        <v>0</v>
      </c>
      <c r="T1237">
        <f t="shared" si="306"/>
        <v>0</v>
      </c>
      <c r="U1237">
        <f t="shared" si="306"/>
        <v>0</v>
      </c>
      <c r="V1237">
        <f t="shared" si="306"/>
        <v>0</v>
      </c>
      <c r="W1237">
        <f t="shared" si="306"/>
        <v>0</v>
      </c>
      <c r="X1237">
        <f t="shared" si="306"/>
        <v>0</v>
      </c>
      <c r="Y1237">
        <f t="shared" si="306"/>
        <v>0</v>
      </c>
      <c r="Z1237">
        <f t="shared" si="306"/>
        <v>0</v>
      </c>
      <c r="AA1237">
        <f t="shared" si="306"/>
        <v>0</v>
      </c>
      <c r="AB1237">
        <f t="shared" si="306"/>
        <v>0</v>
      </c>
      <c r="AC1237">
        <f t="shared" si="306"/>
        <v>0</v>
      </c>
      <c r="AD1237">
        <f t="shared" si="306"/>
        <v>0</v>
      </c>
      <c r="AE1237">
        <f t="shared" si="306"/>
        <v>0</v>
      </c>
    </row>
    <row r="1239" spans="1:31" x14ac:dyDescent="0.45">
      <c r="A1239" t="s">
        <v>1676</v>
      </c>
      <c r="B1239" t="s">
        <v>1488</v>
      </c>
      <c r="C1239" t="s">
        <v>1410</v>
      </c>
      <c r="D1239">
        <v>2</v>
      </c>
      <c r="E1239" t="s">
        <v>1159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45">
      <c r="A1240" t="s">
        <v>1676</v>
      </c>
      <c r="B1240" t="s">
        <v>1488</v>
      </c>
      <c r="C1240" t="s">
        <v>1410</v>
      </c>
      <c r="D1240">
        <v>2</v>
      </c>
      <c r="E1240" t="s">
        <v>1160</v>
      </c>
      <c r="K1240" t="str">
        <f>IF(ISBLANK(Mitigation_Industry!K755),"",Mitigation_Industry!K755)</f>
        <v/>
      </c>
      <c r="L1240">
        <f>IF(ISBLANK(Mitigation_Industry!L755),"",Mitigation_Industry!L755)</f>
        <v>0</v>
      </c>
      <c r="M1240">
        <f>IF(ISBLANK(Mitigation_Industry!M755),"",Mitigation_Industry!M755)</f>
        <v>0</v>
      </c>
      <c r="N1240">
        <f>IF(ISBLANK(Mitigation_Industry!N755),"",Mitigation_Industry!N755)</f>
        <v>0</v>
      </c>
      <c r="O1240">
        <f>IF(ISBLANK(Mitigation_Industry!O755),"",Mitigation_Industry!O755)</f>
        <v>0</v>
      </c>
      <c r="P1240">
        <f>IF(ISBLANK(Mitigation_Industry!P755),"",Mitigation_Industry!P755)</f>
        <v>0</v>
      </c>
      <c r="Q1240">
        <f>IF(ISBLANK(Mitigation_Industry!Q755),"",Mitigation_Industry!Q755)</f>
        <v>0</v>
      </c>
      <c r="R1240">
        <f>IF(ISBLANK(Mitigation_Industry!R755),"",Mitigation_Industry!R755)</f>
        <v>0</v>
      </c>
      <c r="S1240">
        <f>IF(ISBLANK(Mitigation_Industry!S755),"",Mitigation_Industry!S755)</f>
        <v>0</v>
      </c>
      <c r="T1240">
        <f>IF(ISBLANK(Mitigation_Industry!T755),"",Mitigation_Industry!T755)</f>
        <v>0</v>
      </c>
      <c r="U1240">
        <f>IF(ISBLANK(Mitigation_Industry!U755),"",Mitigation_Industry!U755)</f>
        <v>0</v>
      </c>
      <c r="V1240">
        <f>IF(ISBLANK(Mitigation_Industry!V755),"",Mitigation_Industry!V755)</f>
        <v>0</v>
      </c>
      <c r="W1240">
        <f>IF(ISBLANK(Mitigation_Industry!W755),"",Mitigation_Industry!W755)</f>
        <v>0</v>
      </c>
      <c r="X1240">
        <f>IF(ISBLANK(Mitigation_Industry!X755),"",Mitigation_Industry!X755)</f>
        <v>0</v>
      </c>
      <c r="Y1240">
        <f>IF(ISBLANK(Mitigation_Industry!Y755),"",Mitigation_Industry!Y755)</f>
        <v>0</v>
      </c>
      <c r="Z1240">
        <f>IF(ISBLANK(Mitigation_Industry!Z755),"",Mitigation_Industry!Z755)</f>
        <v>0</v>
      </c>
      <c r="AA1240">
        <f>IF(ISBLANK(Mitigation_Industry!AA755),"",Mitigation_Industry!AA755)</f>
        <v>0</v>
      </c>
      <c r="AB1240">
        <f>IF(ISBLANK(Mitigation_Industry!AB755),"",Mitigation_Industry!AB755)</f>
        <v>0</v>
      </c>
      <c r="AC1240">
        <f>IF(ISBLANK(Mitigation_Industry!AC755),"",Mitigation_Industry!AC755)</f>
        <v>0</v>
      </c>
      <c r="AD1240">
        <f>IF(ISBLANK(Mitigation_Industry!AD755),"",Mitigation_Industry!AD755)</f>
        <v>0</v>
      </c>
      <c r="AE1240">
        <f>IF(ISBLANK(Mitigation_Industry!AE755),"",Mitigation_Industry!AE755)</f>
        <v>0</v>
      </c>
    </row>
    <row r="1241" spans="1:31" x14ac:dyDescent="0.45">
      <c r="A1241" t="s">
        <v>1676</v>
      </c>
      <c r="B1241" t="s">
        <v>1488</v>
      </c>
      <c r="C1241" t="s">
        <v>1410</v>
      </c>
      <c r="D1241">
        <v>2</v>
      </c>
      <c r="E1241" t="s">
        <v>1161</v>
      </c>
      <c r="F1241">
        <f>MAX(MAX(L1241:AE1241),-MIN(L1241:AE1241))</f>
        <v>0</v>
      </c>
      <c r="I1241" t="s">
        <v>1509</v>
      </c>
      <c r="K1241">
        <f t="shared" ref="K1241:AE1241" si="307">IF(ISNUMBER(K1239),IF(ISNUMBER(K1240),K1240-K1239,999999),0)</f>
        <v>0</v>
      </c>
      <c r="L1241">
        <f t="shared" si="307"/>
        <v>0</v>
      </c>
      <c r="M1241">
        <f t="shared" si="307"/>
        <v>0</v>
      </c>
      <c r="N1241">
        <f t="shared" si="307"/>
        <v>0</v>
      </c>
      <c r="O1241">
        <f t="shared" si="307"/>
        <v>0</v>
      </c>
      <c r="P1241">
        <f t="shared" si="307"/>
        <v>0</v>
      </c>
      <c r="Q1241">
        <f t="shared" si="307"/>
        <v>0</v>
      </c>
      <c r="R1241">
        <f t="shared" si="307"/>
        <v>0</v>
      </c>
      <c r="S1241">
        <f t="shared" si="307"/>
        <v>0</v>
      </c>
      <c r="T1241">
        <f t="shared" si="307"/>
        <v>0</v>
      </c>
      <c r="U1241">
        <f t="shared" si="307"/>
        <v>0</v>
      </c>
      <c r="V1241">
        <f t="shared" si="307"/>
        <v>0</v>
      </c>
      <c r="W1241">
        <f t="shared" si="307"/>
        <v>0</v>
      </c>
      <c r="X1241">
        <f t="shared" si="307"/>
        <v>0</v>
      </c>
      <c r="Y1241">
        <f t="shared" si="307"/>
        <v>0</v>
      </c>
      <c r="Z1241">
        <f t="shared" si="307"/>
        <v>0</v>
      </c>
      <c r="AA1241">
        <f t="shared" si="307"/>
        <v>0</v>
      </c>
      <c r="AB1241">
        <f t="shared" si="307"/>
        <v>0</v>
      </c>
      <c r="AC1241">
        <f t="shared" si="307"/>
        <v>0</v>
      </c>
      <c r="AD1241">
        <f t="shared" si="307"/>
        <v>0</v>
      </c>
      <c r="AE1241">
        <f t="shared" si="307"/>
        <v>0</v>
      </c>
    </row>
    <row r="1243" spans="1:31" x14ac:dyDescent="0.45">
      <c r="A1243" t="s">
        <v>1677</v>
      </c>
      <c r="B1243" t="s">
        <v>1488</v>
      </c>
      <c r="C1243" t="s">
        <v>1383</v>
      </c>
      <c r="D1243">
        <v>2</v>
      </c>
      <c r="E1243" t="s">
        <v>1159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45">
      <c r="A1244" t="s">
        <v>1677</v>
      </c>
      <c r="B1244" t="s">
        <v>1488</v>
      </c>
      <c r="C1244" t="s">
        <v>1383</v>
      </c>
      <c r="D1244">
        <v>2</v>
      </c>
      <c r="E1244" t="s">
        <v>1160</v>
      </c>
      <c r="K1244" t="str">
        <f>IF(ISBLANK(Mitigation_Industry!K756),"",Mitigation_Industry!K756)</f>
        <v/>
      </c>
      <c r="L1244">
        <f>IF(ISBLANK(Mitigation_Industry!L756),"",Mitigation_Industry!L756)</f>
        <v>0</v>
      </c>
      <c r="M1244">
        <f>IF(ISBLANK(Mitigation_Industry!M756),"",Mitigation_Industry!M756)</f>
        <v>0</v>
      </c>
      <c r="N1244">
        <f>IF(ISBLANK(Mitigation_Industry!N756),"",Mitigation_Industry!N756)</f>
        <v>0</v>
      </c>
      <c r="O1244">
        <f>IF(ISBLANK(Mitigation_Industry!O756),"",Mitigation_Industry!O756)</f>
        <v>0</v>
      </c>
      <c r="P1244">
        <f>IF(ISBLANK(Mitigation_Industry!P756),"",Mitigation_Industry!P756)</f>
        <v>0</v>
      </c>
      <c r="Q1244">
        <f>IF(ISBLANK(Mitigation_Industry!Q756),"",Mitigation_Industry!Q756)</f>
        <v>0</v>
      </c>
      <c r="R1244">
        <f>IF(ISBLANK(Mitigation_Industry!R756),"",Mitigation_Industry!R756)</f>
        <v>0</v>
      </c>
      <c r="S1244">
        <f>IF(ISBLANK(Mitigation_Industry!S756),"",Mitigation_Industry!S756)</f>
        <v>0</v>
      </c>
      <c r="T1244">
        <f>IF(ISBLANK(Mitigation_Industry!T756),"",Mitigation_Industry!T756)</f>
        <v>0</v>
      </c>
      <c r="U1244">
        <f>IF(ISBLANK(Mitigation_Industry!U756),"",Mitigation_Industry!U756)</f>
        <v>0</v>
      </c>
      <c r="V1244">
        <f>IF(ISBLANK(Mitigation_Industry!V756),"",Mitigation_Industry!V756)</f>
        <v>0</v>
      </c>
      <c r="W1244">
        <f>IF(ISBLANK(Mitigation_Industry!W756),"",Mitigation_Industry!W756)</f>
        <v>0</v>
      </c>
      <c r="X1244">
        <f>IF(ISBLANK(Mitigation_Industry!X756),"",Mitigation_Industry!X756)</f>
        <v>0</v>
      </c>
      <c r="Y1244">
        <f>IF(ISBLANK(Mitigation_Industry!Y756),"",Mitigation_Industry!Y756)</f>
        <v>0</v>
      </c>
      <c r="Z1244">
        <f>IF(ISBLANK(Mitigation_Industry!Z756),"",Mitigation_Industry!Z756)</f>
        <v>0</v>
      </c>
      <c r="AA1244">
        <f>IF(ISBLANK(Mitigation_Industry!AA756),"",Mitigation_Industry!AA756)</f>
        <v>0</v>
      </c>
      <c r="AB1244">
        <f>IF(ISBLANK(Mitigation_Industry!AB756),"",Mitigation_Industry!AB756)</f>
        <v>0</v>
      </c>
      <c r="AC1244">
        <f>IF(ISBLANK(Mitigation_Industry!AC756),"",Mitigation_Industry!AC756)</f>
        <v>0</v>
      </c>
      <c r="AD1244">
        <f>IF(ISBLANK(Mitigation_Industry!AD756),"",Mitigation_Industry!AD756)</f>
        <v>0</v>
      </c>
      <c r="AE1244">
        <f>IF(ISBLANK(Mitigation_Industry!AE756),"",Mitigation_Industry!AE756)</f>
        <v>0</v>
      </c>
    </row>
    <row r="1245" spans="1:31" x14ac:dyDescent="0.45">
      <c r="A1245" t="s">
        <v>1677</v>
      </c>
      <c r="B1245" t="s">
        <v>1488</v>
      </c>
      <c r="C1245" t="s">
        <v>1383</v>
      </c>
      <c r="D1245">
        <v>2</v>
      </c>
      <c r="E1245" t="s">
        <v>1161</v>
      </c>
      <c r="F1245">
        <f>MAX(MAX(L1245:AE1245),-MIN(L1245:AE1245))</f>
        <v>0</v>
      </c>
      <c r="I1245" t="s">
        <v>1509</v>
      </c>
      <c r="K1245">
        <f t="shared" ref="K1245:AE1245" si="308">IF(ISNUMBER(K1243),IF(ISNUMBER(K1244),K1244-K1243,999999),0)</f>
        <v>0</v>
      </c>
      <c r="L1245">
        <f t="shared" si="308"/>
        <v>0</v>
      </c>
      <c r="M1245">
        <f t="shared" si="308"/>
        <v>0</v>
      </c>
      <c r="N1245">
        <f t="shared" si="308"/>
        <v>0</v>
      </c>
      <c r="O1245">
        <f t="shared" si="308"/>
        <v>0</v>
      </c>
      <c r="P1245">
        <f t="shared" si="308"/>
        <v>0</v>
      </c>
      <c r="Q1245">
        <f t="shared" si="308"/>
        <v>0</v>
      </c>
      <c r="R1245">
        <f t="shared" si="308"/>
        <v>0</v>
      </c>
      <c r="S1245">
        <f t="shared" si="308"/>
        <v>0</v>
      </c>
      <c r="T1245">
        <f t="shared" si="308"/>
        <v>0</v>
      </c>
      <c r="U1245">
        <f t="shared" si="308"/>
        <v>0</v>
      </c>
      <c r="V1245">
        <f t="shared" si="308"/>
        <v>0</v>
      </c>
      <c r="W1245">
        <f t="shared" si="308"/>
        <v>0</v>
      </c>
      <c r="X1245">
        <f t="shared" si="308"/>
        <v>0</v>
      </c>
      <c r="Y1245">
        <f t="shared" si="308"/>
        <v>0</v>
      </c>
      <c r="Z1245">
        <f t="shared" si="308"/>
        <v>0</v>
      </c>
      <c r="AA1245">
        <f t="shared" si="308"/>
        <v>0</v>
      </c>
      <c r="AB1245">
        <f t="shared" si="308"/>
        <v>0</v>
      </c>
      <c r="AC1245">
        <f t="shared" si="308"/>
        <v>0</v>
      </c>
      <c r="AD1245">
        <f t="shared" si="308"/>
        <v>0</v>
      </c>
      <c r="AE1245">
        <f t="shared" si="308"/>
        <v>0</v>
      </c>
    </row>
    <row r="1247" spans="1:31" x14ac:dyDescent="0.45">
      <c r="A1247" t="s">
        <v>1678</v>
      </c>
      <c r="B1247" t="s">
        <v>1488</v>
      </c>
      <c r="C1247" t="s">
        <v>1411</v>
      </c>
      <c r="D1247">
        <v>2</v>
      </c>
      <c r="E1247" t="s">
        <v>1159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45">
      <c r="A1248" t="s">
        <v>1678</v>
      </c>
      <c r="B1248" t="s">
        <v>1488</v>
      </c>
      <c r="C1248" t="s">
        <v>1411</v>
      </c>
      <c r="D1248">
        <v>2</v>
      </c>
      <c r="E1248" t="s">
        <v>1160</v>
      </c>
      <c r="K1248" t="str">
        <f>IF(ISBLANK(Mitigation_Industry!K757),"",Mitigation_Industry!K757)</f>
        <v/>
      </c>
      <c r="L1248">
        <f>IF(ISBLANK(Mitigation_Industry!L757),"",Mitigation_Industry!L757)</f>
        <v>0</v>
      </c>
      <c r="M1248">
        <f>IF(ISBLANK(Mitigation_Industry!M757),"",Mitigation_Industry!M757)</f>
        <v>0</v>
      </c>
      <c r="N1248">
        <f>IF(ISBLANK(Mitigation_Industry!N757),"",Mitigation_Industry!N757)</f>
        <v>0</v>
      </c>
      <c r="O1248">
        <f>IF(ISBLANK(Mitigation_Industry!O757),"",Mitigation_Industry!O757)</f>
        <v>0</v>
      </c>
      <c r="P1248">
        <f>IF(ISBLANK(Mitigation_Industry!P757),"",Mitigation_Industry!P757)</f>
        <v>0</v>
      </c>
      <c r="Q1248">
        <f>IF(ISBLANK(Mitigation_Industry!Q757),"",Mitigation_Industry!Q757)</f>
        <v>0</v>
      </c>
      <c r="R1248">
        <f>IF(ISBLANK(Mitigation_Industry!R757),"",Mitigation_Industry!R757)</f>
        <v>0</v>
      </c>
      <c r="S1248">
        <f>IF(ISBLANK(Mitigation_Industry!S757),"",Mitigation_Industry!S757)</f>
        <v>0</v>
      </c>
      <c r="T1248">
        <f>IF(ISBLANK(Mitigation_Industry!T757),"",Mitigation_Industry!T757)</f>
        <v>0</v>
      </c>
      <c r="U1248">
        <f>IF(ISBLANK(Mitigation_Industry!U757),"",Mitigation_Industry!U757)</f>
        <v>0</v>
      </c>
      <c r="V1248">
        <f>IF(ISBLANK(Mitigation_Industry!V757),"",Mitigation_Industry!V757)</f>
        <v>0</v>
      </c>
      <c r="W1248">
        <f>IF(ISBLANK(Mitigation_Industry!W757),"",Mitigation_Industry!W757)</f>
        <v>0</v>
      </c>
      <c r="X1248">
        <f>IF(ISBLANK(Mitigation_Industry!X757),"",Mitigation_Industry!X757)</f>
        <v>0</v>
      </c>
      <c r="Y1248">
        <f>IF(ISBLANK(Mitigation_Industry!Y757),"",Mitigation_Industry!Y757)</f>
        <v>0</v>
      </c>
      <c r="Z1248">
        <f>IF(ISBLANK(Mitigation_Industry!Z757),"",Mitigation_Industry!Z757)</f>
        <v>0</v>
      </c>
      <c r="AA1248">
        <f>IF(ISBLANK(Mitigation_Industry!AA757),"",Mitigation_Industry!AA757)</f>
        <v>0</v>
      </c>
      <c r="AB1248">
        <f>IF(ISBLANK(Mitigation_Industry!AB757),"",Mitigation_Industry!AB757)</f>
        <v>0</v>
      </c>
      <c r="AC1248">
        <f>IF(ISBLANK(Mitigation_Industry!AC757),"",Mitigation_Industry!AC757)</f>
        <v>0</v>
      </c>
      <c r="AD1248">
        <f>IF(ISBLANK(Mitigation_Industry!AD757),"",Mitigation_Industry!AD757)</f>
        <v>0</v>
      </c>
      <c r="AE1248">
        <f>IF(ISBLANK(Mitigation_Industry!AE757),"",Mitigation_Industry!AE757)</f>
        <v>0</v>
      </c>
    </row>
    <row r="1249" spans="1:31" x14ac:dyDescent="0.45">
      <c r="A1249" t="s">
        <v>1678</v>
      </c>
      <c r="B1249" t="s">
        <v>1488</v>
      </c>
      <c r="C1249" t="s">
        <v>1411</v>
      </c>
      <c r="D1249">
        <v>2</v>
      </c>
      <c r="E1249" t="s">
        <v>1161</v>
      </c>
      <c r="F1249">
        <f>MAX(MAX(L1249:AE1249),-MIN(L1249:AE1249))</f>
        <v>0</v>
      </c>
      <c r="I1249" t="s">
        <v>1509</v>
      </c>
      <c r="K1249">
        <f t="shared" ref="K1249:AE1249" si="309">IF(ISNUMBER(K1247),IF(ISNUMBER(K1248),K1248-K1247,999999),0)</f>
        <v>0</v>
      </c>
      <c r="L1249">
        <f t="shared" si="309"/>
        <v>0</v>
      </c>
      <c r="M1249">
        <f t="shared" si="309"/>
        <v>0</v>
      </c>
      <c r="N1249">
        <f t="shared" si="309"/>
        <v>0</v>
      </c>
      <c r="O1249">
        <f t="shared" si="309"/>
        <v>0</v>
      </c>
      <c r="P1249">
        <f t="shared" si="309"/>
        <v>0</v>
      </c>
      <c r="Q1249">
        <f t="shared" si="309"/>
        <v>0</v>
      </c>
      <c r="R1249">
        <f t="shared" si="309"/>
        <v>0</v>
      </c>
      <c r="S1249">
        <f t="shared" si="309"/>
        <v>0</v>
      </c>
      <c r="T1249">
        <f t="shared" si="309"/>
        <v>0</v>
      </c>
      <c r="U1249">
        <f t="shared" si="309"/>
        <v>0</v>
      </c>
      <c r="V1249">
        <f t="shared" si="309"/>
        <v>0</v>
      </c>
      <c r="W1249">
        <f t="shared" si="309"/>
        <v>0</v>
      </c>
      <c r="X1249">
        <f t="shared" si="309"/>
        <v>0</v>
      </c>
      <c r="Y1249">
        <f t="shared" si="309"/>
        <v>0</v>
      </c>
      <c r="Z1249">
        <f t="shared" si="309"/>
        <v>0</v>
      </c>
      <c r="AA1249">
        <f t="shared" si="309"/>
        <v>0</v>
      </c>
      <c r="AB1249">
        <f t="shared" si="309"/>
        <v>0</v>
      </c>
      <c r="AC1249">
        <f t="shared" si="309"/>
        <v>0</v>
      </c>
      <c r="AD1249">
        <f t="shared" si="309"/>
        <v>0</v>
      </c>
      <c r="AE1249">
        <f t="shared" si="309"/>
        <v>0</v>
      </c>
    </row>
    <row r="1251" spans="1:31" x14ac:dyDescent="0.45">
      <c r="A1251" t="s">
        <v>1679</v>
      </c>
      <c r="B1251" t="s">
        <v>1488</v>
      </c>
      <c r="C1251" t="s">
        <v>1397</v>
      </c>
      <c r="D1251">
        <v>2</v>
      </c>
      <c r="E1251" t="s">
        <v>1159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45">
      <c r="A1252" t="s">
        <v>1679</v>
      </c>
      <c r="B1252" t="s">
        <v>1488</v>
      </c>
      <c r="C1252" t="s">
        <v>1397</v>
      </c>
      <c r="D1252">
        <v>2</v>
      </c>
      <c r="E1252" t="s">
        <v>1160</v>
      </c>
      <c r="K1252" t="str">
        <f>IF(ISBLANK(Mitigation_Industry!K758),"",Mitigation_Industry!K758)</f>
        <v/>
      </c>
      <c r="L1252">
        <f>IF(ISBLANK(Mitigation_Industry!L758),"",Mitigation_Industry!L758)</f>
        <v>0</v>
      </c>
      <c r="M1252">
        <f>IF(ISBLANK(Mitigation_Industry!M758),"",Mitigation_Industry!M758)</f>
        <v>0</v>
      </c>
      <c r="N1252">
        <f>IF(ISBLANK(Mitigation_Industry!N758),"",Mitigation_Industry!N758)</f>
        <v>0</v>
      </c>
      <c r="O1252">
        <f>IF(ISBLANK(Mitigation_Industry!O758),"",Mitigation_Industry!O758)</f>
        <v>0</v>
      </c>
      <c r="P1252">
        <f>IF(ISBLANK(Mitigation_Industry!P758),"",Mitigation_Industry!P758)</f>
        <v>0</v>
      </c>
      <c r="Q1252">
        <f>IF(ISBLANK(Mitigation_Industry!Q758),"",Mitigation_Industry!Q758)</f>
        <v>0</v>
      </c>
      <c r="R1252">
        <f>IF(ISBLANK(Mitigation_Industry!R758),"",Mitigation_Industry!R758)</f>
        <v>0</v>
      </c>
      <c r="S1252">
        <f>IF(ISBLANK(Mitigation_Industry!S758),"",Mitigation_Industry!S758)</f>
        <v>0</v>
      </c>
      <c r="T1252">
        <f>IF(ISBLANK(Mitigation_Industry!T758),"",Mitigation_Industry!T758)</f>
        <v>0</v>
      </c>
      <c r="U1252">
        <f>IF(ISBLANK(Mitigation_Industry!U758),"",Mitigation_Industry!U758)</f>
        <v>0</v>
      </c>
      <c r="V1252">
        <f>IF(ISBLANK(Mitigation_Industry!V758),"",Mitigation_Industry!V758)</f>
        <v>0</v>
      </c>
      <c r="W1252">
        <f>IF(ISBLANK(Mitigation_Industry!W758),"",Mitigation_Industry!W758)</f>
        <v>0</v>
      </c>
      <c r="X1252">
        <f>IF(ISBLANK(Mitigation_Industry!X758),"",Mitigation_Industry!X758)</f>
        <v>0</v>
      </c>
      <c r="Y1252">
        <f>IF(ISBLANK(Mitigation_Industry!Y758),"",Mitigation_Industry!Y758)</f>
        <v>0</v>
      </c>
      <c r="Z1252">
        <f>IF(ISBLANK(Mitigation_Industry!Z758),"",Mitigation_Industry!Z758)</f>
        <v>0</v>
      </c>
      <c r="AA1252">
        <f>IF(ISBLANK(Mitigation_Industry!AA758),"",Mitigation_Industry!AA758)</f>
        <v>0</v>
      </c>
      <c r="AB1252">
        <f>IF(ISBLANK(Mitigation_Industry!AB758),"",Mitigation_Industry!AB758)</f>
        <v>0</v>
      </c>
      <c r="AC1252">
        <f>IF(ISBLANK(Mitigation_Industry!AC758),"",Mitigation_Industry!AC758)</f>
        <v>0</v>
      </c>
      <c r="AD1252">
        <f>IF(ISBLANK(Mitigation_Industry!AD758),"",Mitigation_Industry!AD758)</f>
        <v>0</v>
      </c>
      <c r="AE1252">
        <f>IF(ISBLANK(Mitigation_Industry!AE758),"",Mitigation_Industry!AE758)</f>
        <v>0</v>
      </c>
    </row>
    <row r="1253" spans="1:31" x14ac:dyDescent="0.45">
      <c r="A1253" t="s">
        <v>1679</v>
      </c>
      <c r="B1253" t="s">
        <v>1488</v>
      </c>
      <c r="C1253" t="s">
        <v>1397</v>
      </c>
      <c r="D1253">
        <v>2</v>
      </c>
      <c r="E1253" t="s">
        <v>1161</v>
      </c>
      <c r="F1253">
        <f>MAX(MAX(L1253:AE1253),-MIN(L1253:AE1253))</f>
        <v>0</v>
      </c>
      <c r="I1253" t="s">
        <v>1509</v>
      </c>
      <c r="K1253">
        <f t="shared" ref="K1253:AE1253" si="310">IF(ISNUMBER(K1251),IF(ISNUMBER(K1252),K1252-K1251,999999),0)</f>
        <v>0</v>
      </c>
      <c r="L1253">
        <f t="shared" si="310"/>
        <v>0</v>
      </c>
      <c r="M1253">
        <f t="shared" si="310"/>
        <v>0</v>
      </c>
      <c r="N1253">
        <f t="shared" si="310"/>
        <v>0</v>
      </c>
      <c r="O1253">
        <f t="shared" si="310"/>
        <v>0</v>
      </c>
      <c r="P1253">
        <f t="shared" si="310"/>
        <v>0</v>
      </c>
      <c r="Q1253">
        <f t="shared" si="310"/>
        <v>0</v>
      </c>
      <c r="R1253">
        <f t="shared" si="310"/>
        <v>0</v>
      </c>
      <c r="S1253">
        <f t="shared" si="310"/>
        <v>0</v>
      </c>
      <c r="T1253">
        <f t="shared" si="310"/>
        <v>0</v>
      </c>
      <c r="U1253">
        <f t="shared" si="310"/>
        <v>0</v>
      </c>
      <c r="V1253">
        <f t="shared" si="310"/>
        <v>0</v>
      </c>
      <c r="W1253">
        <f t="shared" si="310"/>
        <v>0</v>
      </c>
      <c r="X1253">
        <f t="shared" si="310"/>
        <v>0</v>
      </c>
      <c r="Y1253">
        <f t="shared" si="310"/>
        <v>0</v>
      </c>
      <c r="Z1253">
        <f t="shared" si="310"/>
        <v>0</v>
      </c>
      <c r="AA1253">
        <f t="shared" si="310"/>
        <v>0</v>
      </c>
      <c r="AB1253">
        <f t="shared" si="310"/>
        <v>0</v>
      </c>
      <c r="AC1253">
        <f t="shared" si="310"/>
        <v>0</v>
      </c>
      <c r="AD1253">
        <f t="shared" si="310"/>
        <v>0</v>
      </c>
      <c r="AE1253">
        <f t="shared" si="310"/>
        <v>0</v>
      </c>
    </row>
    <row r="1255" spans="1:31" x14ac:dyDescent="0.45">
      <c r="A1255" t="s">
        <v>1680</v>
      </c>
      <c r="B1255" t="s">
        <v>1488</v>
      </c>
      <c r="D1255">
        <v>2</v>
      </c>
      <c r="E1255" t="s">
        <v>1159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45">
      <c r="A1256" t="s">
        <v>1680</v>
      </c>
      <c r="B1256" t="s">
        <v>1488</v>
      </c>
      <c r="D1256">
        <v>2</v>
      </c>
      <c r="E1256" t="s">
        <v>1160</v>
      </c>
      <c r="K1256" t="str">
        <f>IF(ISBLANK(Mitigation_Industry!K759),"",Mitigation_Industry!K759)</f>
        <v/>
      </c>
      <c r="L1256">
        <f>IF(ISBLANK(Mitigation_Industry!L759),"",Mitigation_Industry!L759)</f>
        <v>0</v>
      </c>
      <c r="M1256">
        <f>IF(ISBLANK(Mitigation_Industry!M759),"",Mitigation_Industry!M759)</f>
        <v>0</v>
      </c>
      <c r="N1256">
        <f>IF(ISBLANK(Mitigation_Industry!N759),"",Mitigation_Industry!N759)</f>
        <v>0</v>
      </c>
      <c r="O1256">
        <f>IF(ISBLANK(Mitigation_Industry!O759),"",Mitigation_Industry!O759)</f>
        <v>0</v>
      </c>
      <c r="P1256">
        <f>IF(ISBLANK(Mitigation_Industry!P759),"",Mitigation_Industry!P759)</f>
        <v>0</v>
      </c>
      <c r="Q1256">
        <f>IF(ISBLANK(Mitigation_Industry!Q759),"",Mitigation_Industry!Q759)</f>
        <v>0</v>
      </c>
      <c r="R1256">
        <f>IF(ISBLANK(Mitigation_Industry!R759),"",Mitigation_Industry!R759)</f>
        <v>0</v>
      </c>
      <c r="S1256">
        <f>IF(ISBLANK(Mitigation_Industry!S759),"",Mitigation_Industry!S759)</f>
        <v>0</v>
      </c>
      <c r="T1256">
        <f>IF(ISBLANK(Mitigation_Industry!T759),"",Mitigation_Industry!T759)</f>
        <v>0</v>
      </c>
      <c r="U1256">
        <f>IF(ISBLANK(Mitigation_Industry!U759),"",Mitigation_Industry!U759)</f>
        <v>0</v>
      </c>
      <c r="V1256">
        <f>IF(ISBLANK(Mitigation_Industry!V759),"",Mitigation_Industry!V759)</f>
        <v>0</v>
      </c>
      <c r="W1256">
        <f>IF(ISBLANK(Mitigation_Industry!W759),"",Mitigation_Industry!W759)</f>
        <v>0</v>
      </c>
      <c r="X1256">
        <f>IF(ISBLANK(Mitigation_Industry!X759),"",Mitigation_Industry!X759)</f>
        <v>0</v>
      </c>
      <c r="Y1256">
        <f>IF(ISBLANK(Mitigation_Industry!Y759),"",Mitigation_Industry!Y759)</f>
        <v>0</v>
      </c>
      <c r="Z1256">
        <f>IF(ISBLANK(Mitigation_Industry!Z759),"",Mitigation_Industry!Z759)</f>
        <v>0</v>
      </c>
      <c r="AA1256">
        <f>IF(ISBLANK(Mitigation_Industry!AA759),"",Mitigation_Industry!AA759)</f>
        <v>0</v>
      </c>
      <c r="AB1256">
        <f>IF(ISBLANK(Mitigation_Industry!AB759),"",Mitigation_Industry!AB759)</f>
        <v>0</v>
      </c>
      <c r="AC1256">
        <f>IF(ISBLANK(Mitigation_Industry!AC759),"",Mitigation_Industry!AC759)</f>
        <v>0</v>
      </c>
      <c r="AD1256">
        <f>IF(ISBLANK(Mitigation_Industry!AD759),"",Mitigation_Industry!AD759)</f>
        <v>0</v>
      </c>
      <c r="AE1256">
        <f>IF(ISBLANK(Mitigation_Industry!AE759),"",Mitigation_Industry!AE759)</f>
        <v>0</v>
      </c>
    </row>
    <row r="1257" spans="1:31" x14ac:dyDescent="0.45">
      <c r="A1257" t="s">
        <v>1680</v>
      </c>
      <c r="B1257" t="s">
        <v>1488</v>
      </c>
      <c r="D1257">
        <v>2</v>
      </c>
      <c r="E1257" t="s">
        <v>1161</v>
      </c>
      <c r="F1257">
        <f>MAX(MAX(L1257:AE1257),-MIN(L1257:AE1257))</f>
        <v>0</v>
      </c>
      <c r="I1257" t="s">
        <v>1509</v>
      </c>
      <c r="K1257">
        <f t="shared" ref="K1257:AE1257" si="311">IF(ISNUMBER(K1255),IF(ISNUMBER(K1256),K1256-K1255,999999),0)</f>
        <v>0</v>
      </c>
      <c r="L1257">
        <f t="shared" si="311"/>
        <v>0</v>
      </c>
      <c r="M1257">
        <f t="shared" si="311"/>
        <v>0</v>
      </c>
      <c r="N1257">
        <f t="shared" si="311"/>
        <v>0</v>
      </c>
      <c r="O1257">
        <f t="shared" si="311"/>
        <v>0</v>
      </c>
      <c r="P1257">
        <f t="shared" si="311"/>
        <v>0</v>
      </c>
      <c r="Q1257">
        <f t="shared" si="311"/>
        <v>0</v>
      </c>
      <c r="R1257">
        <f t="shared" si="311"/>
        <v>0</v>
      </c>
      <c r="S1257">
        <f t="shared" si="311"/>
        <v>0</v>
      </c>
      <c r="T1257">
        <f t="shared" si="311"/>
        <v>0</v>
      </c>
      <c r="U1257">
        <f t="shared" si="311"/>
        <v>0</v>
      </c>
      <c r="V1257">
        <f t="shared" si="311"/>
        <v>0</v>
      </c>
      <c r="W1257">
        <f t="shared" si="311"/>
        <v>0</v>
      </c>
      <c r="X1257">
        <f t="shared" si="311"/>
        <v>0</v>
      </c>
      <c r="Y1257">
        <f t="shared" si="311"/>
        <v>0</v>
      </c>
      <c r="Z1257">
        <f t="shared" si="311"/>
        <v>0</v>
      </c>
      <c r="AA1257">
        <f t="shared" si="311"/>
        <v>0</v>
      </c>
      <c r="AB1257">
        <f t="shared" si="311"/>
        <v>0</v>
      </c>
      <c r="AC1257">
        <f t="shared" si="311"/>
        <v>0</v>
      </c>
      <c r="AD1257">
        <f t="shared" si="311"/>
        <v>0</v>
      </c>
      <c r="AE1257">
        <f t="shared" si="311"/>
        <v>0</v>
      </c>
    </row>
    <row r="1259" spans="1:31" x14ac:dyDescent="0.45">
      <c r="A1259" t="s">
        <v>1681</v>
      </c>
      <c r="B1259" t="s">
        <v>1491</v>
      </c>
      <c r="C1259" t="s">
        <v>1350</v>
      </c>
      <c r="D1259">
        <v>2</v>
      </c>
      <c r="E1259" t="s">
        <v>1159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45">
      <c r="A1260" t="s">
        <v>1681</v>
      </c>
      <c r="B1260" t="s">
        <v>1491</v>
      </c>
      <c r="C1260" t="s">
        <v>1350</v>
      </c>
      <c r="D1260">
        <v>2</v>
      </c>
      <c r="E1260" t="s">
        <v>1160</v>
      </c>
      <c r="K1260" t="str">
        <f>IF(ISBLANK(Mitigation_Industry!K762),"",Mitigation_Industry!K762)</f>
        <v/>
      </c>
      <c r="L1260">
        <f>IF(ISBLANK(Mitigation_Industry!L762),"",Mitigation_Industry!L762)</f>
        <v>0</v>
      </c>
      <c r="M1260">
        <f>IF(ISBLANK(Mitigation_Industry!M762),"",Mitigation_Industry!M762)</f>
        <v>0</v>
      </c>
      <c r="N1260">
        <f>IF(ISBLANK(Mitigation_Industry!N762),"",Mitigation_Industry!N762)</f>
        <v>0</v>
      </c>
      <c r="O1260">
        <f>IF(ISBLANK(Mitigation_Industry!O762),"",Mitigation_Industry!O762)</f>
        <v>0</v>
      </c>
      <c r="P1260">
        <f>IF(ISBLANK(Mitigation_Industry!P762),"",Mitigation_Industry!P762)</f>
        <v>0</v>
      </c>
      <c r="Q1260">
        <f>IF(ISBLANK(Mitigation_Industry!Q762),"",Mitigation_Industry!Q762)</f>
        <v>0</v>
      </c>
      <c r="R1260">
        <f>IF(ISBLANK(Mitigation_Industry!R762),"",Mitigation_Industry!R762)</f>
        <v>0</v>
      </c>
      <c r="S1260">
        <f>IF(ISBLANK(Mitigation_Industry!S762),"",Mitigation_Industry!S762)</f>
        <v>0</v>
      </c>
      <c r="T1260">
        <f>IF(ISBLANK(Mitigation_Industry!T762),"",Mitigation_Industry!T762)</f>
        <v>0</v>
      </c>
      <c r="U1260">
        <f>IF(ISBLANK(Mitigation_Industry!U762),"",Mitigation_Industry!U762)</f>
        <v>0</v>
      </c>
      <c r="V1260">
        <f>IF(ISBLANK(Mitigation_Industry!V762),"",Mitigation_Industry!V762)</f>
        <v>0</v>
      </c>
      <c r="W1260">
        <f>IF(ISBLANK(Mitigation_Industry!W762),"",Mitigation_Industry!W762)</f>
        <v>0</v>
      </c>
      <c r="X1260">
        <f>IF(ISBLANK(Mitigation_Industry!X762),"",Mitigation_Industry!X762)</f>
        <v>0</v>
      </c>
      <c r="Y1260">
        <f>IF(ISBLANK(Mitigation_Industry!Y762),"",Mitigation_Industry!Y762)</f>
        <v>0</v>
      </c>
      <c r="Z1260">
        <f>IF(ISBLANK(Mitigation_Industry!Z762),"",Mitigation_Industry!Z762)</f>
        <v>0</v>
      </c>
      <c r="AA1260">
        <f>IF(ISBLANK(Mitigation_Industry!AA762),"",Mitigation_Industry!AA762)</f>
        <v>0</v>
      </c>
      <c r="AB1260">
        <f>IF(ISBLANK(Mitigation_Industry!AB762),"",Mitigation_Industry!AB762)</f>
        <v>0</v>
      </c>
      <c r="AC1260">
        <f>IF(ISBLANK(Mitigation_Industry!AC762),"",Mitigation_Industry!AC762)</f>
        <v>0</v>
      </c>
      <c r="AD1260">
        <f>IF(ISBLANK(Mitigation_Industry!AD762),"",Mitigation_Industry!AD762)</f>
        <v>0</v>
      </c>
      <c r="AE1260">
        <f>IF(ISBLANK(Mitigation_Industry!AE762),"",Mitigation_Industry!AE762)</f>
        <v>0</v>
      </c>
    </row>
    <row r="1261" spans="1:31" x14ac:dyDescent="0.45">
      <c r="A1261" t="s">
        <v>1681</v>
      </c>
      <c r="B1261" t="s">
        <v>1491</v>
      </c>
      <c r="C1261" t="s">
        <v>1350</v>
      </c>
      <c r="D1261">
        <v>2</v>
      </c>
      <c r="E1261" t="s">
        <v>1161</v>
      </c>
      <c r="F1261">
        <f>MAX(MAX(L1261:AE1261),-MIN(L1261:AE1261))</f>
        <v>0</v>
      </c>
      <c r="I1261" t="s">
        <v>1509</v>
      </c>
      <c r="K1261">
        <f t="shared" ref="K1261:AE1261" si="312">IF(ISNUMBER(K1259),IF(ISNUMBER(K1260),K1260-K1259,999999),0)</f>
        <v>0</v>
      </c>
      <c r="L1261">
        <f t="shared" si="312"/>
        <v>0</v>
      </c>
      <c r="M1261">
        <f t="shared" si="312"/>
        <v>0</v>
      </c>
      <c r="N1261">
        <f t="shared" si="312"/>
        <v>0</v>
      </c>
      <c r="O1261">
        <f t="shared" si="312"/>
        <v>0</v>
      </c>
      <c r="P1261">
        <f t="shared" si="312"/>
        <v>0</v>
      </c>
      <c r="Q1261">
        <f t="shared" si="312"/>
        <v>0</v>
      </c>
      <c r="R1261">
        <f t="shared" si="312"/>
        <v>0</v>
      </c>
      <c r="S1261">
        <f t="shared" si="312"/>
        <v>0</v>
      </c>
      <c r="T1261">
        <f t="shared" si="312"/>
        <v>0</v>
      </c>
      <c r="U1261">
        <f t="shared" si="312"/>
        <v>0</v>
      </c>
      <c r="V1261">
        <f t="shared" si="312"/>
        <v>0</v>
      </c>
      <c r="W1261">
        <f t="shared" si="312"/>
        <v>0</v>
      </c>
      <c r="X1261">
        <f t="shared" si="312"/>
        <v>0</v>
      </c>
      <c r="Y1261">
        <f t="shared" si="312"/>
        <v>0</v>
      </c>
      <c r="Z1261">
        <f t="shared" si="312"/>
        <v>0</v>
      </c>
      <c r="AA1261">
        <f t="shared" si="312"/>
        <v>0</v>
      </c>
      <c r="AB1261">
        <f t="shared" si="312"/>
        <v>0</v>
      </c>
      <c r="AC1261">
        <f t="shared" si="312"/>
        <v>0</v>
      </c>
      <c r="AD1261">
        <f t="shared" si="312"/>
        <v>0</v>
      </c>
      <c r="AE1261">
        <f t="shared" si="312"/>
        <v>0</v>
      </c>
    </row>
    <row r="1263" spans="1:31" x14ac:dyDescent="0.45">
      <c r="A1263" t="s">
        <v>1682</v>
      </c>
      <c r="B1263" t="s">
        <v>1491</v>
      </c>
      <c r="C1263" t="s">
        <v>1357</v>
      </c>
      <c r="D1263">
        <v>2</v>
      </c>
      <c r="E1263" t="s">
        <v>1159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45">
      <c r="A1264" t="s">
        <v>1682</v>
      </c>
      <c r="B1264" t="s">
        <v>1491</v>
      </c>
      <c r="C1264" t="s">
        <v>1357</v>
      </c>
      <c r="D1264">
        <v>2</v>
      </c>
      <c r="E1264" t="s">
        <v>1160</v>
      </c>
      <c r="K1264" t="str">
        <f>IF(ISBLANK(Mitigation_Industry!K763),"",Mitigation_Industry!K763)</f>
        <v/>
      </c>
      <c r="L1264">
        <f>IF(ISBLANK(Mitigation_Industry!L763),"",Mitigation_Industry!L763)</f>
        <v>0</v>
      </c>
      <c r="M1264">
        <f>IF(ISBLANK(Mitigation_Industry!M763),"",Mitigation_Industry!M763)</f>
        <v>0</v>
      </c>
      <c r="N1264">
        <f>IF(ISBLANK(Mitigation_Industry!N763),"",Mitigation_Industry!N763)</f>
        <v>0</v>
      </c>
      <c r="O1264">
        <f>IF(ISBLANK(Mitigation_Industry!O763),"",Mitigation_Industry!O763)</f>
        <v>0</v>
      </c>
      <c r="P1264">
        <f>IF(ISBLANK(Mitigation_Industry!P763),"",Mitigation_Industry!P763)</f>
        <v>0</v>
      </c>
      <c r="Q1264">
        <f>IF(ISBLANK(Mitigation_Industry!Q763),"",Mitigation_Industry!Q763)</f>
        <v>0</v>
      </c>
      <c r="R1264">
        <f>IF(ISBLANK(Mitigation_Industry!R763),"",Mitigation_Industry!R763)</f>
        <v>0</v>
      </c>
      <c r="S1264">
        <f>IF(ISBLANK(Mitigation_Industry!S763),"",Mitigation_Industry!S763)</f>
        <v>0</v>
      </c>
      <c r="T1264">
        <f>IF(ISBLANK(Mitigation_Industry!T763),"",Mitigation_Industry!T763)</f>
        <v>0</v>
      </c>
      <c r="U1264">
        <f>IF(ISBLANK(Mitigation_Industry!U763),"",Mitigation_Industry!U763)</f>
        <v>0</v>
      </c>
      <c r="V1264">
        <f>IF(ISBLANK(Mitigation_Industry!V763),"",Mitigation_Industry!V763)</f>
        <v>0</v>
      </c>
      <c r="W1264">
        <f>IF(ISBLANK(Mitigation_Industry!W763),"",Mitigation_Industry!W763)</f>
        <v>0</v>
      </c>
      <c r="X1264">
        <f>IF(ISBLANK(Mitigation_Industry!X763),"",Mitigation_Industry!X763)</f>
        <v>0</v>
      </c>
      <c r="Y1264">
        <f>IF(ISBLANK(Mitigation_Industry!Y763),"",Mitigation_Industry!Y763)</f>
        <v>0</v>
      </c>
      <c r="Z1264">
        <f>IF(ISBLANK(Mitigation_Industry!Z763),"",Mitigation_Industry!Z763)</f>
        <v>0</v>
      </c>
      <c r="AA1264">
        <f>IF(ISBLANK(Mitigation_Industry!AA763),"",Mitigation_Industry!AA763)</f>
        <v>0</v>
      </c>
      <c r="AB1264">
        <f>IF(ISBLANK(Mitigation_Industry!AB763),"",Mitigation_Industry!AB763)</f>
        <v>0</v>
      </c>
      <c r="AC1264">
        <f>IF(ISBLANK(Mitigation_Industry!AC763),"",Mitigation_Industry!AC763)</f>
        <v>0</v>
      </c>
      <c r="AD1264">
        <f>IF(ISBLANK(Mitigation_Industry!AD763),"",Mitigation_Industry!AD763)</f>
        <v>0</v>
      </c>
      <c r="AE1264">
        <f>IF(ISBLANK(Mitigation_Industry!AE763),"",Mitigation_Industry!AE763)</f>
        <v>0</v>
      </c>
    </row>
    <row r="1265" spans="1:31" x14ac:dyDescent="0.45">
      <c r="A1265" t="s">
        <v>1682</v>
      </c>
      <c r="B1265" t="s">
        <v>1491</v>
      </c>
      <c r="C1265" t="s">
        <v>1357</v>
      </c>
      <c r="D1265">
        <v>2</v>
      </c>
      <c r="E1265" t="s">
        <v>1161</v>
      </c>
      <c r="F1265">
        <f>MAX(MAX(L1265:AE1265),-MIN(L1265:AE1265))</f>
        <v>0</v>
      </c>
      <c r="I1265" t="s">
        <v>1509</v>
      </c>
      <c r="K1265">
        <f t="shared" ref="K1265:AE1265" si="313">IF(ISNUMBER(K1263),IF(ISNUMBER(K1264),K1264-K1263,999999),0)</f>
        <v>0</v>
      </c>
      <c r="L1265">
        <f t="shared" si="313"/>
        <v>0</v>
      </c>
      <c r="M1265">
        <f t="shared" si="313"/>
        <v>0</v>
      </c>
      <c r="N1265">
        <f t="shared" si="313"/>
        <v>0</v>
      </c>
      <c r="O1265">
        <f t="shared" si="313"/>
        <v>0</v>
      </c>
      <c r="P1265">
        <f t="shared" si="313"/>
        <v>0</v>
      </c>
      <c r="Q1265">
        <f t="shared" si="313"/>
        <v>0</v>
      </c>
      <c r="R1265">
        <f t="shared" si="313"/>
        <v>0</v>
      </c>
      <c r="S1265">
        <f t="shared" si="313"/>
        <v>0</v>
      </c>
      <c r="T1265">
        <f t="shared" si="313"/>
        <v>0</v>
      </c>
      <c r="U1265">
        <f t="shared" si="313"/>
        <v>0</v>
      </c>
      <c r="V1265">
        <f t="shared" si="313"/>
        <v>0</v>
      </c>
      <c r="W1265">
        <f t="shared" si="313"/>
        <v>0</v>
      </c>
      <c r="X1265">
        <f t="shared" si="313"/>
        <v>0</v>
      </c>
      <c r="Y1265">
        <f t="shared" si="313"/>
        <v>0</v>
      </c>
      <c r="Z1265">
        <f t="shared" si="313"/>
        <v>0</v>
      </c>
      <c r="AA1265">
        <f t="shared" si="313"/>
        <v>0</v>
      </c>
      <c r="AB1265">
        <f t="shared" si="313"/>
        <v>0</v>
      </c>
      <c r="AC1265">
        <f t="shared" si="313"/>
        <v>0</v>
      </c>
      <c r="AD1265">
        <f t="shared" si="313"/>
        <v>0</v>
      </c>
      <c r="AE1265">
        <f t="shared" si="313"/>
        <v>0</v>
      </c>
    </row>
    <row r="1267" spans="1:31" x14ac:dyDescent="0.45">
      <c r="A1267" t="s">
        <v>1683</v>
      </c>
      <c r="B1267" t="s">
        <v>1491</v>
      </c>
      <c r="C1267" t="s">
        <v>1408</v>
      </c>
      <c r="D1267">
        <v>2</v>
      </c>
      <c r="E1267" t="s">
        <v>1159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45">
      <c r="A1268" t="s">
        <v>1683</v>
      </c>
      <c r="B1268" t="s">
        <v>1491</v>
      </c>
      <c r="C1268" t="s">
        <v>1408</v>
      </c>
      <c r="D1268">
        <v>2</v>
      </c>
      <c r="E1268" t="s">
        <v>1160</v>
      </c>
      <c r="K1268" t="str">
        <f>IF(ISBLANK(Mitigation_Industry!K764),"",Mitigation_Industry!K764)</f>
        <v/>
      </c>
      <c r="L1268">
        <f>IF(ISBLANK(Mitigation_Industry!L764),"",Mitigation_Industry!L764)</f>
        <v>0</v>
      </c>
      <c r="M1268">
        <f>IF(ISBLANK(Mitigation_Industry!M764),"",Mitigation_Industry!M764)</f>
        <v>0</v>
      </c>
      <c r="N1268">
        <f>IF(ISBLANK(Mitigation_Industry!N764),"",Mitigation_Industry!N764)</f>
        <v>0</v>
      </c>
      <c r="O1268">
        <f>IF(ISBLANK(Mitigation_Industry!O764),"",Mitigation_Industry!O764)</f>
        <v>0</v>
      </c>
      <c r="P1268">
        <f>IF(ISBLANK(Mitigation_Industry!P764),"",Mitigation_Industry!P764)</f>
        <v>0</v>
      </c>
      <c r="Q1268">
        <f>IF(ISBLANK(Mitigation_Industry!Q764),"",Mitigation_Industry!Q764)</f>
        <v>0</v>
      </c>
      <c r="R1268">
        <f>IF(ISBLANK(Mitigation_Industry!R764),"",Mitigation_Industry!R764)</f>
        <v>0</v>
      </c>
      <c r="S1268">
        <f>IF(ISBLANK(Mitigation_Industry!S764),"",Mitigation_Industry!S764)</f>
        <v>0</v>
      </c>
      <c r="T1268">
        <f>IF(ISBLANK(Mitigation_Industry!T764),"",Mitigation_Industry!T764)</f>
        <v>0</v>
      </c>
      <c r="U1268">
        <f>IF(ISBLANK(Mitigation_Industry!U764),"",Mitigation_Industry!U764)</f>
        <v>0</v>
      </c>
      <c r="V1268">
        <f>IF(ISBLANK(Mitigation_Industry!V764),"",Mitigation_Industry!V764)</f>
        <v>0</v>
      </c>
      <c r="W1268">
        <f>IF(ISBLANK(Mitigation_Industry!W764),"",Mitigation_Industry!W764)</f>
        <v>0</v>
      </c>
      <c r="X1268">
        <f>IF(ISBLANK(Mitigation_Industry!X764),"",Mitigation_Industry!X764)</f>
        <v>0</v>
      </c>
      <c r="Y1268">
        <f>IF(ISBLANK(Mitigation_Industry!Y764),"",Mitigation_Industry!Y764)</f>
        <v>0</v>
      </c>
      <c r="Z1268">
        <f>IF(ISBLANK(Mitigation_Industry!Z764),"",Mitigation_Industry!Z764)</f>
        <v>0</v>
      </c>
      <c r="AA1268">
        <f>IF(ISBLANK(Mitigation_Industry!AA764),"",Mitigation_Industry!AA764)</f>
        <v>0</v>
      </c>
      <c r="AB1268">
        <f>IF(ISBLANK(Mitigation_Industry!AB764),"",Mitigation_Industry!AB764)</f>
        <v>0</v>
      </c>
      <c r="AC1268">
        <f>IF(ISBLANK(Mitigation_Industry!AC764),"",Mitigation_Industry!AC764)</f>
        <v>0</v>
      </c>
      <c r="AD1268">
        <f>IF(ISBLANK(Mitigation_Industry!AD764),"",Mitigation_Industry!AD764)</f>
        <v>0</v>
      </c>
      <c r="AE1268">
        <f>IF(ISBLANK(Mitigation_Industry!AE764),"",Mitigation_Industry!AE764)</f>
        <v>0</v>
      </c>
    </row>
    <row r="1269" spans="1:31" x14ac:dyDescent="0.45">
      <c r="A1269" t="s">
        <v>1683</v>
      </c>
      <c r="B1269" t="s">
        <v>1491</v>
      </c>
      <c r="C1269" t="s">
        <v>1408</v>
      </c>
      <c r="D1269">
        <v>2</v>
      </c>
      <c r="E1269" t="s">
        <v>1161</v>
      </c>
      <c r="F1269">
        <f>MAX(MAX(L1269:AE1269),-MIN(L1269:AE1269))</f>
        <v>0</v>
      </c>
      <c r="I1269" t="s">
        <v>1509</v>
      </c>
      <c r="K1269">
        <f t="shared" ref="K1269:AE1269" si="314">IF(ISNUMBER(K1267),IF(ISNUMBER(K1268),K1268-K1267,999999),0)</f>
        <v>0</v>
      </c>
      <c r="L1269">
        <f t="shared" si="314"/>
        <v>0</v>
      </c>
      <c r="M1269">
        <f t="shared" si="314"/>
        <v>0</v>
      </c>
      <c r="N1269">
        <f t="shared" si="314"/>
        <v>0</v>
      </c>
      <c r="O1269">
        <f t="shared" si="314"/>
        <v>0</v>
      </c>
      <c r="P1269">
        <f t="shared" si="314"/>
        <v>0</v>
      </c>
      <c r="Q1269">
        <f t="shared" si="314"/>
        <v>0</v>
      </c>
      <c r="R1269">
        <f t="shared" si="314"/>
        <v>0</v>
      </c>
      <c r="S1269">
        <f t="shared" si="314"/>
        <v>0</v>
      </c>
      <c r="T1269">
        <f t="shared" si="314"/>
        <v>0</v>
      </c>
      <c r="U1269">
        <f t="shared" si="314"/>
        <v>0</v>
      </c>
      <c r="V1269">
        <f t="shared" si="314"/>
        <v>0</v>
      </c>
      <c r="W1269">
        <f t="shared" si="314"/>
        <v>0</v>
      </c>
      <c r="X1269">
        <f t="shared" si="314"/>
        <v>0</v>
      </c>
      <c r="Y1269">
        <f t="shared" si="314"/>
        <v>0</v>
      </c>
      <c r="Z1269">
        <f t="shared" si="314"/>
        <v>0</v>
      </c>
      <c r="AA1269">
        <f t="shared" si="314"/>
        <v>0</v>
      </c>
      <c r="AB1269">
        <f t="shared" si="314"/>
        <v>0</v>
      </c>
      <c r="AC1269">
        <f t="shared" si="314"/>
        <v>0</v>
      </c>
      <c r="AD1269">
        <f t="shared" si="314"/>
        <v>0</v>
      </c>
      <c r="AE1269">
        <f t="shared" si="314"/>
        <v>0</v>
      </c>
    </row>
    <row r="1271" spans="1:31" x14ac:dyDescent="0.45">
      <c r="A1271" t="s">
        <v>1684</v>
      </c>
      <c r="B1271" t="s">
        <v>1491</v>
      </c>
      <c r="C1271" t="s">
        <v>1409</v>
      </c>
      <c r="D1271">
        <v>2</v>
      </c>
      <c r="E1271" t="s">
        <v>1159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45">
      <c r="A1272" t="s">
        <v>1684</v>
      </c>
      <c r="B1272" t="s">
        <v>1491</v>
      </c>
      <c r="C1272" t="s">
        <v>1409</v>
      </c>
      <c r="D1272">
        <v>2</v>
      </c>
      <c r="E1272" t="s">
        <v>1160</v>
      </c>
      <c r="K1272" t="str">
        <f>IF(ISBLANK(Mitigation_Industry!K765),"",Mitigation_Industry!K765)</f>
        <v/>
      </c>
      <c r="L1272">
        <f>IF(ISBLANK(Mitigation_Industry!L765),"",Mitigation_Industry!L765)</f>
        <v>0</v>
      </c>
      <c r="M1272">
        <f>IF(ISBLANK(Mitigation_Industry!M765),"",Mitigation_Industry!M765)</f>
        <v>0</v>
      </c>
      <c r="N1272">
        <f>IF(ISBLANK(Mitigation_Industry!N765),"",Mitigation_Industry!N765)</f>
        <v>0</v>
      </c>
      <c r="O1272">
        <f>IF(ISBLANK(Mitigation_Industry!O765),"",Mitigation_Industry!O765)</f>
        <v>0</v>
      </c>
      <c r="P1272">
        <f>IF(ISBLANK(Mitigation_Industry!P765),"",Mitigation_Industry!P765)</f>
        <v>0</v>
      </c>
      <c r="Q1272">
        <f>IF(ISBLANK(Mitigation_Industry!Q765),"",Mitigation_Industry!Q765)</f>
        <v>0</v>
      </c>
      <c r="R1272">
        <f>IF(ISBLANK(Mitigation_Industry!R765),"",Mitigation_Industry!R765)</f>
        <v>0</v>
      </c>
      <c r="S1272">
        <f>IF(ISBLANK(Mitigation_Industry!S765),"",Mitigation_Industry!S765)</f>
        <v>0</v>
      </c>
      <c r="T1272">
        <f>IF(ISBLANK(Mitigation_Industry!T765),"",Mitigation_Industry!T765)</f>
        <v>0</v>
      </c>
      <c r="U1272">
        <f>IF(ISBLANK(Mitigation_Industry!U765),"",Mitigation_Industry!U765)</f>
        <v>0</v>
      </c>
      <c r="V1272">
        <f>IF(ISBLANK(Mitigation_Industry!V765),"",Mitigation_Industry!V765)</f>
        <v>0</v>
      </c>
      <c r="W1272">
        <f>IF(ISBLANK(Mitigation_Industry!W765),"",Mitigation_Industry!W765)</f>
        <v>0</v>
      </c>
      <c r="X1272">
        <f>IF(ISBLANK(Mitigation_Industry!X765),"",Mitigation_Industry!X765)</f>
        <v>0</v>
      </c>
      <c r="Y1272">
        <f>IF(ISBLANK(Mitigation_Industry!Y765),"",Mitigation_Industry!Y765)</f>
        <v>0</v>
      </c>
      <c r="Z1272">
        <f>IF(ISBLANK(Mitigation_Industry!Z765),"",Mitigation_Industry!Z765)</f>
        <v>0</v>
      </c>
      <c r="AA1272">
        <f>IF(ISBLANK(Mitigation_Industry!AA765),"",Mitigation_Industry!AA765)</f>
        <v>0</v>
      </c>
      <c r="AB1272">
        <f>IF(ISBLANK(Mitigation_Industry!AB765),"",Mitigation_Industry!AB765)</f>
        <v>0</v>
      </c>
      <c r="AC1272">
        <f>IF(ISBLANK(Mitigation_Industry!AC765),"",Mitigation_Industry!AC765)</f>
        <v>0</v>
      </c>
      <c r="AD1272">
        <f>IF(ISBLANK(Mitigation_Industry!AD765),"",Mitigation_Industry!AD765)</f>
        <v>0</v>
      </c>
      <c r="AE1272">
        <f>IF(ISBLANK(Mitigation_Industry!AE765),"",Mitigation_Industry!AE765)</f>
        <v>0</v>
      </c>
    </row>
    <row r="1273" spans="1:31" x14ac:dyDescent="0.45">
      <c r="A1273" t="s">
        <v>1684</v>
      </c>
      <c r="B1273" t="s">
        <v>1491</v>
      </c>
      <c r="C1273" t="s">
        <v>1409</v>
      </c>
      <c r="D1273">
        <v>2</v>
      </c>
      <c r="E1273" t="s">
        <v>1161</v>
      </c>
      <c r="F1273">
        <f>MAX(MAX(L1273:AE1273),-MIN(L1273:AE1273))</f>
        <v>0</v>
      </c>
      <c r="I1273" t="s">
        <v>1509</v>
      </c>
      <c r="K1273">
        <f t="shared" ref="K1273:AE1273" si="315">IF(ISNUMBER(K1271),IF(ISNUMBER(K1272),K1272-K1271,999999),0)</f>
        <v>0</v>
      </c>
      <c r="L1273">
        <f t="shared" si="315"/>
        <v>0</v>
      </c>
      <c r="M1273">
        <f t="shared" si="315"/>
        <v>0</v>
      </c>
      <c r="N1273">
        <f t="shared" si="315"/>
        <v>0</v>
      </c>
      <c r="O1273">
        <f t="shared" si="315"/>
        <v>0</v>
      </c>
      <c r="P1273">
        <f t="shared" si="315"/>
        <v>0</v>
      </c>
      <c r="Q1273">
        <f t="shared" si="315"/>
        <v>0</v>
      </c>
      <c r="R1273">
        <f t="shared" si="315"/>
        <v>0</v>
      </c>
      <c r="S1273">
        <f t="shared" si="315"/>
        <v>0</v>
      </c>
      <c r="T1273">
        <f t="shared" si="315"/>
        <v>0</v>
      </c>
      <c r="U1273">
        <f t="shared" si="315"/>
        <v>0</v>
      </c>
      <c r="V1273">
        <f t="shared" si="315"/>
        <v>0</v>
      </c>
      <c r="W1273">
        <f t="shared" si="315"/>
        <v>0</v>
      </c>
      <c r="X1273">
        <f t="shared" si="315"/>
        <v>0</v>
      </c>
      <c r="Y1273">
        <f t="shared" si="315"/>
        <v>0</v>
      </c>
      <c r="Z1273">
        <f t="shared" si="315"/>
        <v>0</v>
      </c>
      <c r="AA1273">
        <f t="shared" si="315"/>
        <v>0</v>
      </c>
      <c r="AB1273">
        <f t="shared" si="315"/>
        <v>0</v>
      </c>
      <c r="AC1273">
        <f t="shared" si="315"/>
        <v>0</v>
      </c>
      <c r="AD1273">
        <f t="shared" si="315"/>
        <v>0</v>
      </c>
      <c r="AE1273">
        <f t="shared" si="315"/>
        <v>0</v>
      </c>
    </row>
    <row r="1275" spans="1:31" x14ac:dyDescent="0.45">
      <c r="A1275" t="s">
        <v>1685</v>
      </c>
      <c r="B1275" t="s">
        <v>1491</v>
      </c>
      <c r="C1275" t="s">
        <v>1410</v>
      </c>
      <c r="D1275">
        <v>2</v>
      </c>
      <c r="E1275" t="s">
        <v>1159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45">
      <c r="A1276" t="s">
        <v>1685</v>
      </c>
      <c r="B1276" t="s">
        <v>1491</v>
      </c>
      <c r="C1276" t="s">
        <v>1410</v>
      </c>
      <c r="D1276">
        <v>2</v>
      </c>
      <c r="E1276" t="s">
        <v>1160</v>
      </c>
      <c r="K1276" t="str">
        <f>IF(ISBLANK(Mitigation_Industry!K766),"",Mitigation_Industry!K766)</f>
        <v/>
      </c>
      <c r="L1276">
        <f>IF(ISBLANK(Mitigation_Industry!L766),"",Mitigation_Industry!L766)</f>
        <v>0</v>
      </c>
      <c r="M1276">
        <f>IF(ISBLANK(Mitigation_Industry!M766),"",Mitigation_Industry!M766)</f>
        <v>0</v>
      </c>
      <c r="N1276">
        <f>IF(ISBLANK(Mitigation_Industry!N766),"",Mitigation_Industry!N766)</f>
        <v>0</v>
      </c>
      <c r="O1276">
        <f>IF(ISBLANK(Mitigation_Industry!O766),"",Mitigation_Industry!O766)</f>
        <v>0</v>
      </c>
      <c r="P1276">
        <f>IF(ISBLANK(Mitigation_Industry!P766),"",Mitigation_Industry!P766)</f>
        <v>0</v>
      </c>
      <c r="Q1276">
        <f>IF(ISBLANK(Mitigation_Industry!Q766),"",Mitigation_Industry!Q766)</f>
        <v>0</v>
      </c>
      <c r="R1276">
        <f>IF(ISBLANK(Mitigation_Industry!R766),"",Mitigation_Industry!R766)</f>
        <v>0</v>
      </c>
      <c r="S1276">
        <f>IF(ISBLANK(Mitigation_Industry!S766),"",Mitigation_Industry!S766)</f>
        <v>0</v>
      </c>
      <c r="T1276">
        <f>IF(ISBLANK(Mitigation_Industry!T766),"",Mitigation_Industry!T766)</f>
        <v>0</v>
      </c>
      <c r="U1276">
        <f>IF(ISBLANK(Mitigation_Industry!U766),"",Mitigation_Industry!U766)</f>
        <v>0</v>
      </c>
      <c r="V1276">
        <f>IF(ISBLANK(Mitigation_Industry!V766),"",Mitigation_Industry!V766)</f>
        <v>0</v>
      </c>
      <c r="W1276">
        <f>IF(ISBLANK(Mitigation_Industry!W766),"",Mitigation_Industry!W766)</f>
        <v>0</v>
      </c>
      <c r="X1276">
        <f>IF(ISBLANK(Mitigation_Industry!X766),"",Mitigation_Industry!X766)</f>
        <v>0</v>
      </c>
      <c r="Y1276">
        <f>IF(ISBLANK(Mitigation_Industry!Y766),"",Mitigation_Industry!Y766)</f>
        <v>0</v>
      </c>
      <c r="Z1276">
        <f>IF(ISBLANK(Mitigation_Industry!Z766),"",Mitigation_Industry!Z766)</f>
        <v>0</v>
      </c>
      <c r="AA1276">
        <f>IF(ISBLANK(Mitigation_Industry!AA766),"",Mitigation_Industry!AA766)</f>
        <v>0</v>
      </c>
      <c r="AB1276">
        <f>IF(ISBLANK(Mitigation_Industry!AB766),"",Mitigation_Industry!AB766)</f>
        <v>0</v>
      </c>
      <c r="AC1276">
        <f>IF(ISBLANK(Mitigation_Industry!AC766),"",Mitigation_Industry!AC766)</f>
        <v>0</v>
      </c>
      <c r="AD1276">
        <f>IF(ISBLANK(Mitigation_Industry!AD766),"",Mitigation_Industry!AD766)</f>
        <v>0</v>
      </c>
      <c r="AE1276">
        <f>IF(ISBLANK(Mitigation_Industry!AE766),"",Mitigation_Industry!AE766)</f>
        <v>0</v>
      </c>
    </row>
    <row r="1277" spans="1:31" x14ac:dyDescent="0.45">
      <c r="A1277" t="s">
        <v>1685</v>
      </c>
      <c r="B1277" t="s">
        <v>1491</v>
      </c>
      <c r="C1277" t="s">
        <v>1410</v>
      </c>
      <c r="D1277">
        <v>2</v>
      </c>
      <c r="E1277" t="s">
        <v>1161</v>
      </c>
      <c r="F1277">
        <f>MAX(MAX(L1277:AE1277),-MIN(L1277:AE1277))</f>
        <v>0</v>
      </c>
      <c r="I1277" t="s">
        <v>1509</v>
      </c>
      <c r="K1277">
        <f t="shared" ref="K1277:AE1277" si="316">IF(ISNUMBER(K1275),IF(ISNUMBER(K1276),K1276-K1275,999999),0)</f>
        <v>0</v>
      </c>
      <c r="L1277">
        <f t="shared" si="316"/>
        <v>0</v>
      </c>
      <c r="M1277">
        <f t="shared" si="316"/>
        <v>0</v>
      </c>
      <c r="N1277">
        <f t="shared" si="316"/>
        <v>0</v>
      </c>
      <c r="O1277">
        <f t="shared" si="316"/>
        <v>0</v>
      </c>
      <c r="P1277">
        <f t="shared" si="316"/>
        <v>0</v>
      </c>
      <c r="Q1277">
        <f t="shared" si="316"/>
        <v>0</v>
      </c>
      <c r="R1277">
        <f t="shared" si="316"/>
        <v>0</v>
      </c>
      <c r="S1277">
        <f t="shared" si="316"/>
        <v>0</v>
      </c>
      <c r="T1277">
        <f t="shared" si="316"/>
        <v>0</v>
      </c>
      <c r="U1277">
        <f t="shared" si="316"/>
        <v>0</v>
      </c>
      <c r="V1277">
        <f t="shared" si="316"/>
        <v>0</v>
      </c>
      <c r="W1277">
        <f t="shared" si="316"/>
        <v>0</v>
      </c>
      <c r="X1277">
        <f t="shared" si="316"/>
        <v>0</v>
      </c>
      <c r="Y1277">
        <f t="shared" si="316"/>
        <v>0</v>
      </c>
      <c r="Z1277">
        <f t="shared" si="316"/>
        <v>0</v>
      </c>
      <c r="AA1277">
        <f t="shared" si="316"/>
        <v>0</v>
      </c>
      <c r="AB1277">
        <f t="shared" si="316"/>
        <v>0</v>
      </c>
      <c r="AC1277">
        <f t="shared" si="316"/>
        <v>0</v>
      </c>
      <c r="AD1277">
        <f t="shared" si="316"/>
        <v>0</v>
      </c>
      <c r="AE1277">
        <f t="shared" si="316"/>
        <v>0</v>
      </c>
    </row>
    <row r="1279" spans="1:31" x14ac:dyDescent="0.45">
      <c r="A1279" t="s">
        <v>1686</v>
      </c>
      <c r="B1279" t="s">
        <v>1491</v>
      </c>
      <c r="C1279" t="s">
        <v>1383</v>
      </c>
      <c r="D1279">
        <v>2</v>
      </c>
      <c r="E1279" t="s">
        <v>1159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45">
      <c r="A1280" t="s">
        <v>1686</v>
      </c>
      <c r="B1280" t="s">
        <v>1491</v>
      </c>
      <c r="C1280" t="s">
        <v>1383</v>
      </c>
      <c r="D1280">
        <v>2</v>
      </c>
      <c r="E1280" t="s">
        <v>1160</v>
      </c>
      <c r="K1280" t="str">
        <f>IF(ISBLANK(Mitigation_Industry!K767),"",Mitigation_Industry!K767)</f>
        <v/>
      </c>
      <c r="L1280">
        <f>IF(ISBLANK(Mitigation_Industry!L767),"",Mitigation_Industry!L767)</f>
        <v>0</v>
      </c>
      <c r="M1280">
        <f>IF(ISBLANK(Mitigation_Industry!M767),"",Mitigation_Industry!M767)</f>
        <v>0</v>
      </c>
      <c r="N1280">
        <f>IF(ISBLANK(Mitigation_Industry!N767),"",Mitigation_Industry!N767)</f>
        <v>0</v>
      </c>
      <c r="O1280">
        <f>IF(ISBLANK(Mitigation_Industry!O767),"",Mitigation_Industry!O767)</f>
        <v>0</v>
      </c>
      <c r="P1280">
        <f>IF(ISBLANK(Mitigation_Industry!P767),"",Mitigation_Industry!P767)</f>
        <v>0</v>
      </c>
      <c r="Q1280">
        <f>IF(ISBLANK(Mitigation_Industry!Q767),"",Mitigation_Industry!Q767)</f>
        <v>0</v>
      </c>
      <c r="R1280">
        <f>IF(ISBLANK(Mitigation_Industry!R767),"",Mitigation_Industry!R767)</f>
        <v>0</v>
      </c>
      <c r="S1280">
        <f>IF(ISBLANK(Mitigation_Industry!S767),"",Mitigation_Industry!S767)</f>
        <v>0</v>
      </c>
      <c r="T1280">
        <f>IF(ISBLANK(Mitigation_Industry!T767),"",Mitigation_Industry!T767)</f>
        <v>0</v>
      </c>
      <c r="U1280">
        <f>IF(ISBLANK(Mitigation_Industry!U767),"",Mitigation_Industry!U767)</f>
        <v>0</v>
      </c>
      <c r="V1280">
        <f>IF(ISBLANK(Mitigation_Industry!V767),"",Mitigation_Industry!V767)</f>
        <v>0</v>
      </c>
      <c r="W1280">
        <f>IF(ISBLANK(Mitigation_Industry!W767),"",Mitigation_Industry!W767)</f>
        <v>0</v>
      </c>
      <c r="X1280">
        <f>IF(ISBLANK(Mitigation_Industry!X767),"",Mitigation_Industry!X767)</f>
        <v>0</v>
      </c>
      <c r="Y1280">
        <f>IF(ISBLANK(Mitigation_Industry!Y767),"",Mitigation_Industry!Y767)</f>
        <v>0</v>
      </c>
      <c r="Z1280">
        <f>IF(ISBLANK(Mitigation_Industry!Z767),"",Mitigation_Industry!Z767)</f>
        <v>0</v>
      </c>
      <c r="AA1280">
        <f>IF(ISBLANK(Mitigation_Industry!AA767),"",Mitigation_Industry!AA767)</f>
        <v>0</v>
      </c>
      <c r="AB1280">
        <f>IF(ISBLANK(Mitigation_Industry!AB767),"",Mitigation_Industry!AB767)</f>
        <v>0</v>
      </c>
      <c r="AC1280">
        <f>IF(ISBLANK(Mitigation_Industry!AC767),"",Mitigation_Industry!AC767)</f>
        <v>0</v>
      </c>
      <c r="AD1280">
        <f>IF(ISBLANK(Mitigation_Industry!AD767),"",Mitigation_Industry!AD767)</f>
        <v>0</v>
      </c>
      <c r="AE1280">
        <f>IF(ISBLANK(Mitigation_Industry!AE767),"",Mitigation_Industry!AE767)</f>
        <v>0</v>
      </c>
    </row>
    <row r="1281" spans="1:31" x14ac:dyDescent="0.45">
      <c r="A1281" t="s">
        <v>1686</v>
      </c>
      <c r="B1281" t="s">
        <v>1491</v>
      </c>
      <c r="C1281" t="s">
        <v>1383</v>
      </c>
      <c r="D1281">
        <v>2</v>
      </c>
      <c r="E1281" t="s">
        <v>1161</v>
      </c>
      <c r="F1281">
        <f>MAX(MAX(L1281:AE1281),-MIN(L1281:AE1281))</f>
        <v>0</v>
      </c>
      <c r="I1281" t="s">
        <v>1509</v>
      </c>
      <c r="K1281">
        <f t="shared" ref="K1281:AE1281" si="317">IF(ISNUMBER(K1279),IF(ISNUMBER(K1280),K1280-K1279,999999),0)</f>
        <v>0</v>
      </c>
      <c r="L1281">
        <f t="shared" si="317"/>
        <v>0</v>
      </c>
      <c r="M1281">
        <f t="shared" si="317"/>
        <v>0</v>
      </c>
      <c r="N1281">
        <f t="shared" si="317"/>
        <v>0</v>
      </c>
      <c r="O1281">
        <f t="shared" si="317"/>
        <v>0</v>
      </c>
      <c r="P1281">
        <f t="shared" si="317"/>
        <v>0</v>
      </c>
      <c r="Q1281">
        <f t="shared" si="317"/>
        <v>0</v>
      </c>
      <c r="R1281">
        <f t="shared" si="317"/>
        <v>0</v>
      </c>
      <c r="S1281">
        <f t="shared" si="317"/>
        <v>0</v>
      </c>
      <c r="T1281">
        <f t="shared" si="317"/>
        <v>0</v>
      </c>
      <c r="U1281">
        <f t="shared" si="317"/>
        <v>0</v>
      </c>
      <c r="V1281">
        <f t="shared" si="317"/>
        <v>0</v>
      </c>
      <c r="W1281">
        <f t="shared" si="317"/>
        <v>0</v>
      </c>
      <c r="X1281">
        <f t="shared" si="317"/>
        <v>0</v>
      </c>
      <c r="Y1281">
        <f t="shared" si="317"/>
        <v>0</v>
      </c>
      <c r="Z1281">
        <f t="shared" si="317"/>
        <v>0</v>
      </c>
      <c r="AA1281">
        <f t="shared" si="317"/>
        <v>0</v>
      </c>
      <c r="AB1281">
        <f t="shared" si="317"/>
        <v>0</v>
      </c>
      <c r="AC1281">
        <f t="shared" si="317"/>
        <v>0</v>
      </c>
      <c r="AD1281">
        <f t="shared" si="317"/>
        <v>0</v>
      </c>
      <c r="AE1281">
        <f t="shared" si="317"/>
        <v>0</v>
      </c>
    </row>
    <row r="1283" spans="1:31" x14ac:dyDescent="0.45">
      <c r="A1283" t="s">
        <v>1687</v>
      </c>
      <c r="B1283" t="s">
        <v>1491</v>
      </c>
      <c r="C1283" t="s">
        <v>1411</v>
      </c>
      <c r="D1283">
        <v>2</v>
      </c>
      <c r="E1283" t="s">
        <v>1159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45">
      <c r="A1284" t="s">
        <v>1687</v>
      </c>
      <c r="B1284" t="s">
        <v>1491</v>
      </c>
      <c r="C1284" t="s">
        <v>1411</v>
      </c>
      <c r="D1284">
        <v>2</v>
      </c>
      <c r="E1284" t="s">
        <v>1160</v>
      </c>
      <c r="K1284" t="str">
        <f>IF(ISBLANK(Mitigation_Industry!K768),"",Mitigation_Industry!K768)</f>
        <v/>
      </c>
      <c r="L1284">
        <f>IF(ISBLANK(Mitigation_Industry!L768),"",Mitigation_Industry!L768)</f>
        <v>0</v>
      </c>
      <c r="M1284">
        <f>IF(ISBLANK(Mitigation_Industry!M768),"",Mitigation_Industry!M768)</f>
        <v>0</v>
      </c>
      <c r="N1284">
        <f>IF(ISBLANK(Mitigation_Industry!N768),"",Mitigation_Industry!N768)</f>
        <v>0</v>
      </c>
      <c r="O1284">
        <f>IF(ISBLANK(Mitigation_Industry!O768),"",Mitigation_Industry!O768)</f>
        <v>0</v>
      </c>
      <c r="P1284">
        <f>IF(ISBLANK(Mitigation_Industry!P768),"",Mitigation_Industry!P768)</f>
        <v>0</v>
      </c>
      <c r="Q1284">
        <f>IF(ISBLANK(Mitigation_Industry!Q768),"",Mitigation_Industry!Q768)</f>
        <v>0</v>
      </c>
      <c r="R1284">
        <f>IF(ISBLANK(Mitigation_Industry!R768),"",Mitigation_Industry!R768)</f>
        <v>0</v>
      </c>
      <c r="S1284">
        <f>IF(ISBLANK(Mitigation_Industry!S768),"",Mitigation_Industry!S768)</f>
        <v>0</v>
      </c>
      <c r="T1284">
        <f>IF(ISBLANK(Mitigation_Industry!T768),"",Mitigation_Industry!T768)</f>
        <v>0</v>
      </c>
      <c r="U1284">
        <f>IF(ISBLANK(Mitigation_Industry!U768),"",Mitigation_Industry!U768)</f>
        <v>0</v>
      </c>
      <c r="V1284">
        <f>IF(ISBLANK(Mitigation_Industry!V768),"",Mitigation_Industry!V768)</f>
        <v>0</v>
      </c>
      <c r="W1284">
        <f>IF(ISBLANK(Mitigation_Industry!W768),"",Mitigation_Industry!W768)</f>
        <v>0</v>
      </c>
      <c r="X1284">
        <f>IF(ISBLANK(Mitigation_Industry!X768),"",Mitigation_Industry!X768)</f>
        <v>0</v>
      </c>
      <c r="Y1284">
        <f>IF(ISBLANK(Mitigation_Industry!Y768),"",Mitigation_Industry!Y768)</f>
        <v>0</v>
      </c>
      <c r="Z1284">
        <f>IF(ISBLANK(Mitigation_Industry!Z768),"",Mitigation_Industry!Z768)</f>
        <v>0</v>
      </c>
      <c r="AA1284">
        <f>IF(ISBLANK(Mitigation_Industry!AA768),"",Mitigation_Industry!AA768)</f>
        <v>0</v>
      </c>
      <c r="AB1284">
        <f>IF(ISBLANK(Mitigation_Industry!AB768),"",Mitigation_Industry!AB768)</f>
        <v>0</v>
      </c>
      <c r="AC1284">
        <f>IF(ISBLANK(Mitigation_Industry!AC768),"",Mitigation_Industry!AC768)</f>
        <v>0</v>
      </c>
      <c r="AD1284">
        <f>IF(ISBLANK(Mitigation_Industry!AD768),"",Mitigation_Industry!AD768)</f>
        <v>0</v>
      </c>
      <c r="AE1284">
        <f>IF(ISBLANK(Mitigation_Industry!AE768),"",Mitigation_Industry!AE768)</f>
        <v>0</v>
      </c>
    </row>
    <row r="1285" spans="1:31" x14ac:dyDescent="0.45">
      <c r="A1285" t="s">
        <v>1687</v>
      </c>
      <c r="B1285" t="s">
        <v>1491</v>
      </c>
      <c r="C1285" t="s">
        <v>1411</v>
      </c>
      <c r="D1285">
        <v>2</v>
      </c>
      <c r="E1285" t="s">
        <v>1161</v>
      </c>
      <c r="F1285">
        <f>MAX(MAX(L1285:AE1285),-MIN(L1285:AE1285))</f>
        <v>0</v>
      </c>
      <c r="I1285" t="s">
        <v>1509</v>
      </c>
      <c r="K1285">
        <f t="shared" ref="K1285:AE1285" si="318">IF(ISNUMBER(K1283),IF(ISNUMBER(K1284),K1284-K1283,999999),0)</f>
        <v>0</v>
      </c>
      <c r="L1285">
        <f t="shared" si="318"/>
        <v>0</v>
      </c>
      <c r="M1285">
        <f t="shared" si="318"/>
        <v>0</v>
      </c>
      <c r="N1285">
        <f t="shared" si="318"/>
        <v>0</v>
      </c>
      <c r="O1285">
        <f t="shared" si="318"/>
        <v>0</v>
      </c>
      <c r="P1285">
        <f t="shared" si="318"/>
        <v>0</v>
      </c>
      <c r="Q1285">
        <f t="shared" si="318"/>
        <v>0</v>
      </c>
      <c r="R1285">
        <f t="shared" si="318"/>
        <v>0</v>
      </c>
      <c r="S1285">
        <f t="shared" si="318"/>
        <v>0</v>
      </c>
      <c r="T1285">
        <f t="shared" si="318"/>
        <v>0</v>
      </c>
      <c r="U1285">
        <f t="shared" si="318"/>
        <v>0</v>
      </c>
      <c r="V1285">
        <f t="shared" si="318"/>
        <v>0</v>
      </c>
      <c r="W1285">
        <f t="shared" si="318"/>
        <v>0</v>
      </c>
      <c r="X1285">
        <f t="shared" si="318"/>
        <v>0</v>
      </c>
      <c r="Y1285">
        <f t="shared" si="318"/>
        <v>0</v>
      </c>
      <c r="Z1285">
        <f t="shared" si="318"/>
        <v>0</v>
      </c>
      <c r="AA1285">
        <f t="shared" si="318"/>
        <v>0</v>
      </c>
      <c r="AB1285">
        <f t="shared" si="318"/>
        <v>0</v>
      </c>
      <c r="AC1285">
        <f t="shared" si="318"/>
        <v>0</v>
      </c>
      <c r="AD1285">
        <f t="shared" si="318"/>
        <v>0</v>
      </c>
      <c r="AE1285">
        <f t="shared" si="318"/>
        <v>0</v>
      </c>
    </row>
    <row r="1287" spans="1:31" x14ac:dyDescent="0.45">
      <c r="A1287" t="s">
        <v>1688</v>
      </c>
      <c r="B1287" t="s">
        <v>1491</v>
      </c>
      <c r="C1287" t="s">
        <v>1397</v>
      </c>
      <c r="D1287">
        <v>2</v>
      </c>
      <c r="E1287" t="s">
        <v>1159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45">
      <c r="A1288" t="s">
        <v>1688</v>
      </c>
      <c r="B1288" t="s">
        <v>1491</v>
      </c>
      <c r="C1288" t="s">
        <v>1397</v>
      </c>
      <c r="D1288">
        <v>2</v>
      </c>
      <c r="E1288" t="s">
        <v>1160</v>
      </c>
      <c r="K1288" t="str">
        <f>IF(ISBLANK(Mitigation_Industry!K769),"",Mitigation_Industry!K769)</f>
        <v/>
      </c>
      <c r="L1288">
        <f>IF(ISBLANK(Mitigation_Industry!L769),"",Mitigation_Industry!L769)</f>
        <v>0</v>
      </c>
      <c r="M1288">
        <f>IF(ISBLANK(Mitigation_Industry!M769),"",Mitigation_Industry!M769)</f>
        <v>0</v>
      </c>
      <c r="N1288">
        <f>IF(ISBLANK(Mitigation_Industry!N769),"",Mitigation_Industry!N769)</f>
        <v>0</v>
      </c>
      <c r="O1288">
        <f>IF(ISBLANK(Mitigation_Industry!O769),"",Mitigation_Industry!O769)</f>
        <v>0</v>
      </c>
      <c r="P1288">
        <f>IF(ISBLANK(Mitigation_Industry!P769),"",Mitigation_Industry!P769)</f>
        <v>0</v>
      </c>
      <c r="Q1288">
        <f>IF(ISBLANK(Mitigation_Industry!Q769),"",Mitigation_Industry!Q769)</f>
        <v>0</v>
      </c>
      <c r="R1288">
        <f>IF(ISBLANK(Mitigation_Industry!R769),"",Mitigation_Industry!R769)</f>
        <v>0</v>
      </c>
      <c r="S1288">
        <f>IF(ISBLANK(Mitigation_Industry!S769),"",Mitigation_Industry!S769)</f>
        <v>0</v>
      </c>
      <c r="T1288">
        <f>IF(ISBLANK(Mitigation_Industry!T769),"",Mitigation_Industry!T769)</f>
        <v>0</v>
      </c>
      <c r="U1288">
        <f>IF(ISBLANK(Mitigation_Industry!U769),"",Mitigation_Industry!U769)</f>
        <v>0</v>
      </c>
      <c r="V1288">
        <f>IF(ISBLANK(Mitigation_Industry!V769),"",Mitigation_Industry!V769)</f>
        <v>0</v>
      </c>
      <c r="W1288">
        <f>IF(ISBLANK(Mitigation_Industry!W769),"",Mitigation_Industry!W769)</f>
        <v>0</v>
      </c>
      <c r="X1288">
        <f>IF(ISBLANK(Mitigation_Industry!X769),"",Mitigation_Industry!X769)</f>
        <v>0</v>
      </c>
      <c r="Y1288">
        <f>IF(ISBLANK(Mitigation_Industry!Y769),"",Mitigation_Industry!Y769)</f>
        <v>0</v>
      </c>
      <c r="Z1288">
        <f>IF(ISBLANK(Mitigation_Industry!Z769),"",Mitigation_Industry!Z769)</f>
        <v>0</v>
      </c>
      <c r="AA1288">
        <f>IF(ISBLANK(Mitigation_Industry!AA769),"",Mitigation_Industry!AA769)</f>
        <v>0</v>
      </c>
      <c r="AB1288">
        <f>IF(ISBLANK(Mitigation_Industry!AB769),"",Mitigation_Industry!AB769)</f>
        <v>0</v>
      </c>
      <c r="AC1288">
        <f>IF(ISBLANK(Mitigation_Industry!AC769),"",Mitigation_Industry!AC769)</f>
        <v>0</v>
      </c>
      <c r="AD1288">
        <f>IF(ISBLANK(Mitigation_Industry!AD769),"",Mitigation_Industry!AD769)</f>
        <v>0</v>
      </c>
      <c r="AE1288">
        <f>IF(ISBLANK(Mitigation_Industry!AE769),"",Mitigation_Industry!AE769)</f>
        <v>0</v>
      </c>
    </row>
    <row r="1289" spans="1:31" x14ac:dyDescent="0.45">
      <c r="A1289" t="s">
        <v>1688</v>
      </c>
      <c r="B1289" t="s">
        <v>1491</v>
      </c>
      <c r="C1289" t="s">
        <v>1397</v>
      </c>
      <c r="D1289">
        <v>2</v>
      </c>
      <c r="E1289" t="s">
        <v>1161</v>
      </c>
      <c r="F1289">
        <f>MAX(MAX(L1289:AE1289),-MIN(L1289:AE1289))</f>
        <v>0</v>
      </c>
      <c r="I1289" t="s">
        <v>1509</v>
      </c>
      <c r="K1289">
        <f t="shared" ref="K1289:AE1289" si="319">IF(ISNUMBER(K1287),IF(ISNUMBER(K1288),K1288-K1287,999999),0)</f>
        <v>0</v>
      </c>
      <c r="L1289">
        <f t="shared" si="319"/>
        <v>0</v>
      </c>
      <c r="M1289">
        <f t="shared" si="319"/>
        <v>0</v>
      </c>
      <c r="N1289">
        <f t="shared" si="319"/>
        <v>0</v>
      </c>
      <c r="O1289">
        <f t="shared" si="319"/>
        <v>0</v>
      </c>
      <c r="P1289">
        <f t="shared" si="319"/>
        <v>0</v>
      </c>
      <c r="Q1289">
        <f t="shared" si="319"/>
        <v>0</v>
      </c>
      <c r="R1289">
        <f t="shared" si="319"/>
        <v>0</v>
      </c>
      <c r="S1289">
        <f t="shared" si="319"/>
        <v>0</v>
      </c>
      <c r="T1289">
        <f t="shared" si="319"/>
        <v>0</v>
      </c>
      <c r="U1289">
        <f t="shared" si="319"/>
        <v>0</v>
      </c>
      <c r="V1289">
        <f t="shared" si="319"/>
        <v>0</v>
      </c>
      <c r="W1289">
        <f t="shared" si="319"/>
        <v>0</v>
      </c>
      <c r="X1289">
        <f t="shared" si="319"/>
        <v>0</v>
      </c>
      <c r="Y1289">
        <f t="shared" si="319"/>
        <v>0</v>
      </c>
      <c r="Z1289">
        <f t="shared" si="319"/>
        <v>0</v>
      </c>
      <c r="AA1289">
        <f t="shared" si="319"/>
        <v>0</v>
      </c>
      <c r="AB1289">
        <f t="shared" si="319"/>
        <v>0</v>
      </c>
      <c r="AC1289">
        <f t="shared" si="319"/>
        <v>0</v>
      </c>
      <c r="AD1289">
        <f t="shared" si="319"/>
        <v>0</v>
      </c>
      <c r="AE1289">
        <f t="shared" si="319"/>
        <v>0</v>
      </c>
    </row>
    <row r="1291" spans="1:31" x14ac:dyDescent="0.45">
      <c r="A1291" t="s">
        <v>1689</v>
      </c>
      <c r="B1291" t="s">
        <v>1491</v>
      </c>
      <c r="C1291" t="s">
        <v>1492</v>
      </c>
      <c r="D1291">
        <v>2</v>
      </c>
      <c r="E1291" t="s">
        <v>1159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45">
      <c r="A1292" t="s">
        <v>1689</v>
      </c>
      <c r="B1292" t="s">
        <v>1491</v>
      </c>
      <c r="C1292" t="s">
        <v>1492</v>
      </c>
      <c r="D1292">
        <v>2</v>
      </c>
      <c r="E1292" t="s">
        <v>1160</v>
      </c>
      <c r="K1292" t="str">
        <f>IF(ISBLANK(Mitigation_Industry!K770),"",Mitigation_Industry!K770)</f>
        <v/>
      </c>
      <c r="L1292">
        <f>IF(ISBLANK(Mitigation_Industry!L770),"",Mitigation_Industry!L770)</f>
        <v>0</v>
      </c>
      <c r="M1292">
        <f>IF(ISBLANK(Mitigation_Industry!M770),"",Mitigation_Industry!M770)</f>
        <v>0</v>
      </c>
      <c r="N1292">
        <f>IF(ISBLANK(Mitigation_Industry!N770),"",Mitigation_Industry!N770)</f>
        <v>0</v>
      </c>
      <c r="O1292">
        <f>IF(ISBLANK(Mitigation_Industry!O770),"",Mitigation_Industry!O770)</f>
        <v>0</v>
      </c>
      <c r="P1292">
        <f>IF(ISBLANK(Mitigation_Industry!P770),"",Mitigation_Industry!P770)</f>
        <v>0</v>
      </c>
      <c r="Q1292">
        <f>IF(ISBLANK(Mitigation_Industry!Q770),"",Mitigation_Industry!Q770)</f>
        <v>0</v>
      </c>
      <c r="R1292">
        <f>IF(ISBLANK(Mitigation_Industry!R770),"",Mitigation_Industry!R770)</f>
        <v>0</v>
      </c>
      <c r="S1292">
        <f>IF(ISBLANK(Mitigation_Industry!S770),"",Mitigation_Industry!S770)</f>
        <v>0</v>
      </c>
      <c r="T1292">
        <f>IF(ISBLANK(Mitigation_Industry!T770),"",Mitigation_Industry!T770)</f>
        <v>0</v>
      </c>
      <c r="U1292">
        <f>IF(ISBLANK(Mitigation_Industry!U770),"",Mitigation_Industry!U770)</f>
        <v>0</v>
      </c>
      <c r="V1292">
        <f>IF(ISBLANK(Mitigation_Industry!V770),"",Mitigation_Industry!V770)</f>
        <v>0</v>
      </c>
      <c r="W1292">
        <f>IF(ISBLANK(Mitigation_Industry!W770),"",Mitigation_Industry!W770)</f>
        <v>0</v>
      </c>
      <c r="X1292">
        <f>IF(ISBLANK(Mitigation_Industry!X770),"",Mitigation_Industry!X770)</f>
        <v>0</v>
      </c>
      <c r="Y1292">
        <f>IF(ISBLANK(Mitigation_Industry!Y770),"",Mitigation_Industry!Y770)</f>
        <v>0</v>
      </c>
      <c r="Z1292">
        <f>IF(ISBLANK(Mitigation_Industry!Z770),"",Mitigation_Industry!Z770)</f>
        <v>0</v>
      </c>
      <c r="AA1292">
        <f>IF(ISBLANK(Mitigation_Industry!AA770),"",Mitigation_Industry!AA770)</f>
        <v>0</v>
      </c>
      <c r="AB1292">
        <f>IF(ISBLANK(Mitigation_Industry!AB770),"",Mitigation_Industry!AB770)</f>
        <v>0</v>
      </c>
      <c r="AC1292">
        <f>IF(ISBLANK(Mitigation_Industry!AC770),"",Mitigation_Industry!AC770)</f>
        <v>0</v>
      </c>
      <c r="AD1292">
        <f>IF(ISBLANK(Mitigation_Industry!AD770),"",Mitigation_Industry!AD770)</f>
        <v>0</v>
      </c>
      <c r="AE1292">
        <f>IF(ISBLANK(Mitigation_Industry!AE770),"",Mitigation_Industry!AE770)</f>
        <v>0</v>
      </c>
    </row>
    <row r="1293" spans="1:31" x14ac:dyDescent="0.45">
      <c r="A1293" t="s">
        <v>1689</v>
      </c>
      <c r="B1293" t="s">
        <v>1491</v>
      </c>
      <c r="C1293" t="s">
        <v>1492</v>
      </c>
      <c r="D1293">
        <v>2</v>
      </c>
      <c r="E1293" t="s">
        <v>1161</v>
      </c>
      <c r="F1293">
        <f>MAX(MAX(L1293:AE1293),-MIN(L1293:AE1293))</f>
        <v>0</v>
      </c>
      <c r="I1293" t="s">
        <v>1509</v>
      </c>
      <c r="K1293">
        <f t="shared" ref="K1293:AE1293" si="320">IF(ISNUMBER(K1291),IF(ISNUMBER(K1292),K1292-K1291,999999),0)</f>
        <v>0</v>
      </c>
      <c r="L1293">
        <f t="shared" si="320"/>
        <v>0</v>
      </c>
      <c r="M1293">
        <f t="shared" si="320"/>
        <v>0</v>
      </c>
      <c r="N1293">
        <f t="shared" si="320"/>
        <v>0</v>
      </c>
      <c r="O1293">
        <f t="shared" si="320"/>
        <v>0</v>
      </c>
      <c r="P1293">
        <f t="shared" si="320"/>
        <v>0</v>
      </c>
      <c r="Q1293">
        <f t="shared" si="320"/>
        <v>0</v>
      </c>
      <c r="R1293">
        <f t="shared" si="320"/>
        <v>0</v>
      </c>
      <c r="S1293">
        <f t="shared" si="320"/>
        <v>0</v>
      </c>
      <c r="T1293">
        <f t="shared" si="320"/>
        <v>0</v>
      </c>
      <c r="U1293">
        <f t="shared" si="320"/>
        <v>0</v>
      </c>
      <c r="V1293">
        <f t="shared" si="320"/>
        <v>0</v>
      </c>
      <c r="W1293">
        <f t="shared" si="320"/>
        <v>0</v>
      </c>
      <c r="X1293">
        <f t="shared" si="320"/>
        <v>0</v>
      </c>
      <c r="Y1293">
        <f t="shared" si="320"/>
        <v>0</v>
      </c>
      <c r="Z1293">
        <f t="shared" si="320"/>
        <v>0</v>
      </c>
      <c r="AA1293">
        <f t="shared" si="320"/>
        <v>0</v>
      </c>
      <c r="AB1293">
        <f t="shared" si="320"/>
        <v>0</v>
      </c>
      <c r="AC1293">
        <f t="shared" si="320"/>
        <v>0</v>
      </c>
      <c r="AD1293">
        <f t="shared" si="320"/>
        <v>0</v>
      </c>
      <c r="AE1293">
        <f t="shared" si="320"/>
        <v>0</v>
      </c>
    </row>
    <row r="1295" spans="1:31" x14ac:dyDescent="0.45">
      <c r="A1295" t="s">
        <v>1690</v>
      </c>
      <c r="B1295" t="s">
        <v>1493</v>
      </c>
      <c r="C1295" t="s">
        <v>283</v>
      </c>
      <c r="D1295">
        <v>2</v>
      </c>
      <c r="E1295" t="s">
        <v>1159</v>
      </c>
      <c r="L1295">
        <v>3.5290636333347374</v>
      </c>
      <c r="M1295">
        <v>0.56947162426614473</v>
      </c>
      <c r="N1295">
        <v>0.58199999999999996</v>
      </c>
      <c r="O1295">
        <v>0.594804</v>
      </c>
      <c r="P1295">
        <v>0.60788968800000009</v>
      </c>
      <c r="Q1295">
        <v>0.62126326113599994</v>
      </c>
      <c r="R1295">
        <v>0.63493105288099194</v>
      </c>
      <c r="S1295">
        <v>0.64889953604437378</v>
      </c>
      <c r="T1295">
        <v>0.66317532583735006</v>
      </c>
      <c r="U1295">
        <v>0.67776518300577182</v>
      </c>
      <c r="V1295">
        <v>0.69267601703189885</v>
      </c>
      <c r="W1295">
        <v>0.70791488940660052</v>
      </c>
      <c r="X1295">
        <v>0.72348901697354573</v>
      </c>
      <c r="Y1295">
        <v>0.73940577534696372</v>
      </c>
      <c r="Z1295">
        <v>0.75567270240459705</v>
      </c>
      <c r="AA1295">
        <v>0.77229750185749824</v>
      </c>
      <c r="AB1295">
        <v>0.78928804689836318</v>
      </c>
      <c r="AC1295">
        <v>0.80665238393012717</v>
      </c>
      <c r="AD1295">
        <v>0.82439873637659</v>
      </c>
      <c r="AE1295">
        <v>0.84253550857687498</v>
      </c>
    </row>
    <row r="1296" spans="1:31" x14ac:dyDescent="0.45">
      <c r="A1296" t="s">
        <v>1690</v>
      </c>
      <c r="B1296" t="s">
        <v>1493</v>
      </c>
      <c r="C1296" t="s">
        <v>283</v>
      </c>
      <c r="D1296">
        <v>2</v>
      </c>
      <c r="E1296" t="s">
        <v>1160</v>
      </c>
      <c r="K1296" t="str">
        <f>IF(ISBLANK(Mitigation_Industry!K773),"",Mitigation_Industry!K773)</f>
        <v/>
      </c>
      <c r="L1296">
        <f>IF(ISBLANK(Mitigation_Industry!L773),"",Mitigation_Industry!L773)</f>
        <v>3.5290636333347374</v>
      </c>
      <c r="M1296">
        <f>IF(ISBLANK(Mitigation_Industry!M773),"",Mitigation_Industry!M773)</f>
        <v>3.6067030332681016</v>
      </c>
      <c r="N1296">
        <f>IF(ISBLANK(Mitigation_Industry!N773),"",Mitigation_Industry!N773)</f>
        <v>3.6860504999999999</v>
      </c>
      <c r="O1296">
        <f>IF(ISBLANK(Mitigation_Industry!O773),"",Mitigation_Industry!O773)</f>
        <v>3.7671436109999994</v>
      </c>
      <c r="P1296">
        <f>IF(ISBLANK(Mitigation_Industry!P773),"",Mitigation_Industry!P773)</f>
        <v>3.8500207704419993</v>
      </c>
      <c r="Q1296">
        <f>IF(ISBLANK(Mitigation_Industry!Q773),"",Mitigation_Industry!Q773)</f>
        <v>3.9347212273917234</v>
      </c>
      <c r="R1296">
        <f>IF(ISBLANK(Mitigation_Industry!R773),"",Mitigation_Industry!R773)</f>
        <v>4.0212850943943419</v>
      </c>
      <c r="S1296">
        <f>IF(ISBLANK(Mitigation_Industry!S773),"",Mitigation_Industry!S773)</f>
        <v>4.1097533664710166</v>
      </c>
      <c r="T1296">
        <f>IF(ISBLANK(Mitigation_Industry!T773),"",Mitigation_Industry!T773)</f>
        <v>4.2001679405333787</v>
      </c>
      <c r="U1296">
        <f>IF(ISBLANK(Mitigation_Industry!U773),"",Mitigation_Industry!U773)</f>
        <v>4.292571635225114</v>
      </c>
      <c r="V1296">
        <f>IF(ISBLANK(Mitigation_Industry!V773),"",Mitigation_Industry!V773)</f>
        <v>4.3870082112000661</v>
      </c>
      <c r="W1296">
        <f>IF(ISBLANK(Mitigation_Industry!W773),"",Mitigation_Industry!W773)</f>
        <v>4.4835223918464688</v>
      </c>
      <c r="X1296">
        <f>IF(ISBLANK(Mitigation_Industry!X773),"",Mitigation_Industry!X773)</f>
        <v>4.5821598844670905</v>
      </c>
      <c r="Y1296">
        <f>IF(ISBLANK(Mitigation_Industry!Y773),"",Mitigation_Industry!Y773)</f>
        <v>4.6829674019253673</v>
      </c>
      <c r="Z1296">
        <f>IF(ISBLANK(Mitigation_Industry!Z773),"",Mitigation_Industry!Z773)</f>
        <v>4.7859926847677254</v>
      </c>
      <c r="AA1296">
        <f>IF(ISBLANK(Mitigation_Industry!AA773),"",Mitigation_Industry!AA773)</f>
        <v>4.8912845238326152</v>
      </c>
      <c r="AB1296">
        <f>IF(ISBLANK(Mitigation_Industry!AB773),"",Mitigation_Industry!AB773)</f>
        <v>4.9988927833569319</v>
      </c>
      <c r="AC1296">
        <f>IF(ISBLANK(Mitigation_Industry!AC773),"",Mitigation_Industry!AC773)</f>
        <v>5.1088684245907858</v>
      </c>
      <c r="AD1296">
        <f>IF(ISBLANK(Mitigation_Industry!AD773),"",Mitigation_Industry!AD773)</f>
        <v>5.2212635299317824</v>
      </c>
      <c r="AE1296">
        <f>IF(ISBLANK(Mitigation_Industry!AE773),"",Mitigation_Industry!AE773)</f>
        <v>5.336131327590282</v>
      </c>
    </row>
    <row r="1297" spans="1:31" x14ac:dyDescent="0.45">
      <c r="A1297" t="s">
        <v>1690</v>
      </c>
      <c r="B1297" t="s">
        <v>1493</v>
      </c>
      <c r="C1297" t="s">
        <v>283</v>
      </c>
      <c r="D1297">
        <v>2</v>
      </c>
      <c r="E1297" t="s">
        <v>1161</v>
      </c>
      <c r="F1297">
        <f>MAX(MAX(L1297:AE1297),-MIN(L1297:AE1297))</f>
        <v>4.4935958190134073</v>
      </c>
      <c r="I1297" t="s">
        <v>1588</v>
      </c>
      <c r="J1297" t="s">
        <v>1589</v>
      </c>
      <c r="K1297">
        <f t="shared" ref="K1297:AE1297" si="321">IF(ISNUMBER(K1295),IF(ISNUMBER(K1296),K1296-K1295,999999),0)</f>
        <v>0</v>
      </c>
      <c r="L1297">
        <f t="shared" si="321"/>
        <v>0</v>
      </c>
      <c r="M1297">
        <f t="shared" si="321"/>
        <v>3.037231409001957</v>
      </c>
      <c r="N1297">
        <f t="shared" si="321"/>
        <v>3.1040505</v>
      </c>
      <c r="O1297">
        <f t="shared" si="321"/>
        <v>3.1723396109999995</v>
      </c>
      <c r="P1297">
        <f t="shared" si="321"/>
        <v>3.2421310824419991</v>
      </c>
      <c r="Q1297">
        <f t="shared" si="321"/>
        <v>3.3134579662557235</v>
      </c>
      <c r="R1297">
        <f t="shared" si="321"/>
        <v>3.38635404151335</v>
      </c>
      <c r="S1297">
        <f t="shared" si="321"/>
        <v>3.4608538304266427</v>
      </c>
      <c r="T1297">
        <f t="shared" si="321"/>
        <v>3.5369926146960289</v>
      </c>
      <c r="U1297">
        <f t="shared" si="321"/>
        <v>3.6148064522193422</v>
      </c>
      <c r="V1297">
        <f t="shared" si="321"/>
        <v>3.694332194168167</v>
      </c>
      <c r="W1297">
        <f t="shared" si="321"/>
        <v>3.7756075024398683</v>
      </c>
      <c r="X1297">
        <f t="shared" si="321"/>
        <v>3.8586708674935446</v>
      </c>
      <c r="Y1297">
        <f t="shared" si="321"/>
        <v>3.9435616265784037</v>
      </c>
      <c r="Z1297">
        <f t="shared" si="321"/>
        <v>4.0303199823631282</v>
      </c>
      <c r="AA1297">
        <f t="shared" si="321"/>
        <v>4.1189870219751175</v>
      </c>
      <c r="AB1297">
        <f t="shared" si="321"/>
        <v>4.2096047364585685</v>
      </c>
      <c r="AC1297">
        <f t="shared" si="321"/>
        <v>4.3022160406606584</v>
      </c>
      <c r="AD1297">
        <f t="shared" si="321"/>
        <v>4.3968647935551921</v>
      </c>
      <c r="AE1297">
        <f t="shared" si="321"/>
        <v>4.4935958190134073</v>
      </c>
    </row>
    <row r="1299" spans="1:31" x14ac:dyDescent="0.45">
      <c r="A1299" t="s">
        <v>1691</v>
      </c>
      <c r="B1299" t="s">
        <v>1493</v>
      </c>
      <c r="C1299" t="s">
        <v>284</v>
      </c>
      <c r="D1299">
        <v>2</v>
      </c>
      <c r="E1299" t="s">
        <v>1159</v>
      </c>
      <c r="L1299">
        <v>3.8464212577619237</v>
      </c>
      <c r="M1299">
        <v>0.26436781609195403</v>
      </c>
      <c r="N1299">
        <v>0.27599999999999997</v>
      </c>
      <c r="O1299">
        <v>0.28814400000000001</v>
      </c>
      <c r="P1299">
        <v>0.30082233600000008</v>
      </c>
      <c r="Q1299">
        <v>0.31405851878400004</v>
      </c>
      <c r="R1299">
        <v>0.32787709361049611</v>
      </c>
      <c r="S1299">
        <v>0.34230368572935788</v>
      </c>
      <c r="T1299">
        <v>0.35736504790144968</v>
      </c>
      <c r="U1299">
        <v>0.37308911000911349</v>
      </c>
      <c r="V1299">
        <v>0.38950503084951449</v>
      </c>
      <c r="W1299">
        <v>0.40664325220689312</v>
      </c>
      <c r="X1299">
        <v>0.42453555530399645</v>
      </c>
      <c r="Y1299">
        <v>0.44321511973737227</v>
      </c>
      <c r="Z1299">
        <v>0.46271658500581669</v>
      </c>
      <c r="AA1299">
        <v>0.48307611474607259</v>
      </c>
      <c r="AB1299">
        <v>0.5043314637948999</v>
      </c>
      <c r="AC1299">
        <v>0.52652204820187531</v>
      </c>
      <c r="AD1299">
        <v>0.54968901832275785</v>
      </c>
      <c r="AE1299">
        <v>0.57387533512895927</v>
      </c>
    </row>
    <row r="1300" spans="1:31" x14ac:dyDescent="0.45">
      <c r="A1300" t="s">
        <v>1691</v>
      </c>
      <c r="B1300" t="s">
        <v>1493</v>
      </c>
      <c r="C1300" t="s">
        <v>284</v>
      </c>
      <c r="D1300">
        <v>2</v>
      </c>
      <c r="E1300" t="s">
        <v>1160</v>
      </c>
      <c r="K1300" t="str">
        <f>IF(ISBLANK(Mitigation_Industry!K774),"",Mitigation_Industry!K774)</f>
        <v/>
      </c>
      <c r="L1300">
        <f>IF(ISBLANK(Mitigation_Industry!L774),"",Mitigation_Industry!L774)</f>
        <v>3.8464212577619237</v>
      </c>
      <c r="M1300">
        <f>IF(ISBLANK(Mitigation_Industry!M774),"",Mitigation_Industry!M774)</f>
        <v>4.0156637931034478</v>
      </c>
      <c r="N1300">
        <f>IF(ISBLANK(Mitigation_Industry!N774),"",Mitigation_Industry!N774)</f>
        <v>4.1923530000000007</v>
      </c>
      <c r="O1300">
        <f>IF(ISBLANK(Mitigation_Industry!O774),"",Mitigation_Industry!O774)</f>
        <v>4.3768165320000012</v>
      </c>
      <c r="P1300">
        <f>IF(ISBLANK(Mitigation_Industry!P774),"",Mitigation_Industry!P774)</f>
        <v>4.5693964594080008</v>
      </c>
      <c r="Q1300">
        <f>IF(ISBLANK(Mitigation_Industry!Q774),"",Mitigation_Industry!Q774)</f>
        <v>4.7704499036219534</v>
      </c>
      <c r="R1300">
        <f>IF(ISBLANK(Mitigation_Industry!R774),"",Mitigation_Industry!R774)</f>
        <v>4.9803496993813186</v>
      </c>
      <c r="S1300">
        <f>IF(ISBLANK(Mitigation_Industry!S774),"",Mitigation_Industry!S774)</f>
        <v>5.1994850861540982</v>
      </c>
      <c r="T1300">
        <f>IF(ISBLANK(Mitigation_Industry!T774),"",Mitigation_Industry!T774)</f>
        <v>5.4282624299448781</v>
      </c>
      <c r="U1300">
        <f>IF(ISBLANK(Mitigation_Industry!U774),"",Mitigation_Industry!U774)</f>
        <v>5.6671059768624525</v>
      </c>
      <c r="V1300">
        <f>IF(ISBLANK(Mitigation_Industry!V774),"",Mitigation_Industry!V774)</f>
        <v>5.9164586398444019</v>
      </c>
      <c r="W1300">
        <f>IF(ISBLANK(Mitigation_Industry!W774),"",Mitigation_Industry!W774)</f>
        <v>6.1767828199975545</v>
      </c>
      <c r="X1300">
        <f>IF(ISBLANK(Mitigation_Industry!X774),"",Mitigation_Industry!X774)</f>
        <v>6.4485612640774477</v>
      </c>
      <c r="Y1300">
        <f>IF(ISBLANK(Mitigation_Industry!Y774),"",Mitigation_Industry!Y774)</f>
        <v>6.7322979596968553</v>
      </c>
      <c r="Z1300">
        <f>IF(ISBLANK(Mitigation_Industry!Z774),"",Mitigation_Industry!Z774)</f>
        <v>7.0285190699235169</v>
      </c>
      <c r="AA1300">
        <f>IF(ISBLANK(Mitigation_Industry!AA774),"",Mitigation_Industry!AA774)</f>
        <v>7.3377739090001519</v>
      </c>
      <c r="AB1300">
        <f>IF(ISBLANK(Mitigation_Industry!AB774),"",Mitigation_Industry!AB774)</f>
        <v>7.6606359609961583</v>
      </c>
      <c r="AC1300">
        <f>IF(ISBLANK(Mitigation_Industry!AC774),"",Mitigation_Industry!AC774)</f>
        <v>7.9977039432799906</v>
      </c>
      <c r="AD1300">
        <f>IF(ISBLANK(Mitigation_Industry!AD774),"",Mitigation_Industry!AD774)</f>
        <v>8.3496029167843098</v>
      </c>
      <c r="AE1300">
        <f>IF(ISBLANK(Mitigation_Industry!AE774),"",Mitigation_Industry!AE774)</f>
        <v>8.7169854451228197</v>
      </c>
    </row>
    <row r="1301" spans="1:31" x14ac:dyDescent="0.45">
      <c r="A1301" t="s">
        <v>1691</v>
      </c>
      <c r="B1301" t="s">
        <v>1493</v>
      </c>
      <c r="C1301" t="s">
        <v>284</v>
      </c>
      <c r="D1301">
        <v>2</v>
      </c>
      <c r="E1301" t="s">
        <v>1161</v>
      </c>
      <c r="F1301">
        <f>MAX(MAX(L1301:AE1301),-MIN(L1301:AE1301))</f>
        <v>8.1431101099938612</v>
      </c>
      <c r="I1301" t="s">
        <v>1588</v>
      </c>
      <c r="J1301" t="s">
        <v>1589</v>
      </c>
      <c r="K1301">
        <f t="shared" ref="K1301:AE1301" si="322">IF(ISNUMBER(K1299),IF(ISNUMBER(K1300),K1300-K1299,999999),0)</f>
        <v>0</v>
      </c>
      <c r="L1301">
        <f t="shared" si="322"/>
        <v>0</v>
      </c>
      <c r="M1301">
        <f t="shared" si="322"/>
        <v>3.7512959770114938</v>
      </c>
      <c r="N1301">
        <f t="shared" si="322"/>
        <v>3.9163530000000009</v>
      </c>
      <c r="O1301">
        <f t="shared" si="322"/>
        <v>4.0886725320000012</v>
      </c>
      <c r="P1301">
        <f t="shared" si="322"/>
        <v>4.2685741234080004</v>
      </c>
      <c r="Q1301">
        <f t="shared" si="322"/>
        <v>4.4563913848379535</v>
      </c>
      <c r="R1301">
        <f t="shared" si="322"/>
        <v>4.6524726057708223</v>
      </c>
      <c r="S1301">
        <f t="shared" si="322"/>
        <v>4.8571814004247402</v>
      </c>
      <c r="T1301">
        <f t="shared" si="322"/>
        <v>5.0708973820434284</v>
      </c>
      <c r="U1301">
        <f t="shared" si="322"/>
        <v>5.2940168668533394</v>
      </c>
      <c r="V1301">
        <f t="shared" si="322"/>
        <v>5.5269536089948872</v>
      </c>
      <c r="W1301">
        <f t="shared" si="322"/>
        <v>5.7701395677906611</v>
      </c>
      <c r="X1301">
        <f t="shared" si="322"/>
        <v>6.0240257087734514</v>
      </c>
      <c r="Y1301">
        <f t="shared" si="322"/>
        <v>6.2890828399594829</v>
      </c>
      <c r="Z1301">
        <f t="shared" si="322"/>
        <v>6.5658024849177004</v>
      </c>
      <c r="AA1301">
        <f t="shared" si="322"/>
        <v>6.8546977942540792</v>
      </c>
      <c r="AB1301">
        <f t="shared" si="322"/>
        <v>7.1563044972012584</v>
      </c>
      <c r="AC1301">
        <f t="shared" si="322"/>
        <v>7.4711818950781153</v>
      </c>
      <c r="AD1301">
        <f t="shared" si="322"/>
        <v>7.7999138984615524</v>
      </c>
      <c r="AE1301">
        <f t="shared" si="322"/>
        <v>8.1431101099938612</v>
      </c>
    </row>
    <row r="1303" spans="1:31" x14ac:dyDescent="0.45">
      <c r="A1303" t="s">
        <v>1692</v>
      </c>
      <c r="B1303" t="s">
        <v>1493</v>
      </c>
      <c r="C1303" t="s">
        <v>285</v>
      </c>
      <c r="D1303">
        <v>2</v>
      </c>
      <c r="E1303" t="s">
        <v>1159</v>
      </c>
      <c r="L1303">
        <v>4.2047573055412055E-2</v>
      </c>
      <c r="M1303">
        <v>0.66824644549763035</v>
      </c>
      <c r="N1303">
        <v>0.70499999999999996</v>
      </c>
      <c r="O1303">
        <v>0.74377499999999996</v>
      </c>
      <c r="P1303">
        <v>0.78468262499999997</v>
      </c>
      <c r="Q1303">
        <v>0.82784016937499993</v>
      </c>
      <c r="R1303">
        <v>0.87337137869062498</v>
      </c>
      <c r="S1303">
        <v>0.92140680451860935</v>
      </c>
      <c r="T1303">
        <v>0.97208417876713282</v>
      </c>
      <c r="U1303">
        <v>1.025548808599325</v>
      </c>
      <c r="V1303">
        <v>1.0819539930722879</v>
      </c>
      <c r="W1303">
        <v>1.1414614626912638</v>
      </c>
      <c r="X1303">
        <v>1.2042418431392832</v>
      </c>
      <c r="Y1303">
        <v>1.2704751445119435</v>
      </c>
      <c r="Z1303">
        <v>1.3403512774601003</v>
      </c>
      <c r="AA1303">
        <v>1.4140705977204062</v>
      </c>
      <c r="AB1303">
        <v>1.4918444805950282</v>
      </c>
      <c r="AC1303">
        <v>1.5738959270277546</v>
      </c>
      <c r="AD1303">
        <v>1.660460203014281</v>
      </c>
      <c r="AE1303">
        <v>1.7517855141800662</v>
      </c>
    </row>
    <row r="1304" spans="1:31" x14ac:dyDescent="0.45">
      <c r="A1304" t="s">
        <v>1692</v>
      </c>
      <c r="B1304" t="s">
        <v>1493</v>
      </c>
      <c r="C1304" t="s">
        <v>285</v>
      </c>
      <c r="D1304">
        <v>2</v>
      </c>
      <c r="E1304" t="s">
        <v>1160</v>
      </c>
      <c r="K1304" t="str">
        <f>IF(ISBLANK(Mitigation_Industry!K775),"",Mitigation_Industry!K775)</f>
        <v/>
      </c>
      <c r="L1304">
        <f>IF(ISBLANK(Mitigation_Industry!L775),"",Mitigation_Industry!L775)</f>
        <v>4.2047573055412055E-2</v>
      </c>
      <c r="M1304">
        <f>IF(ISBLANK(Mitigation_Industry!M775),"",Mitigation_Industry!M775)</f>
        <v>4.4360189573459712E-2</v>
      </c>
      <c r="N1304">
        <f>IF(ISBLANK(Mitigation_Industry!N775),"",Mitigation_Industry!N775)</f>
        <v>4.6799999999999994E-2</v>
      </c>
      <c r="O1304">
        <f>IF(ISBLANK(Mitigation_Industry!O775),"",Mitigation_Industry!O775)</f>
        <v>4.9374000000000001E-2</v>
      </c>
      <c r="P1304">
        <f>IF(ISBLANK(Mitigation_Industry!P775),"",Mitigation_Industry!P775)</f>
        <v>5.2089569999999995E-2</v>
      </c>
      <c r="Q1304">
        <f>IF(ISBLANK(Mitigation_Industry!Q775),"",Mitigation_Industry!Q775)</f>
        <v>5.4954496349999993E-2</v>
      </c>
      <c r="R1304">
        <f>IF(ISBLANK(Mitigation_Industry!R775),"",Mitigation_Industry!R775)</f>
        <v>5.7976993649249998E-2</v>
      </c>
      <c r="S1304">
        <f>IF(ISBLANK(Mitigation_Industry!S775),"",Mitigation_Industry!S775)</f>
        <v>6.1165728299958741E-2</v>
      </c>
      <c r="T1304">
        <f>IF(ISBLANK(Mitigation_Industry!T775),"",Mitigation_Industry!T775)</f>
        <v>6.4529843356456465E-2</v>
      </c>
      <c r="U1304">
        <f>IF(ISBLANK(Mitigation_Industry!U775),"",Mitigation_Industry!U775)</f>
        <v>6.8078984741061568E-2</v>
      </c>
      <c r="V1304">
        <f>IF(ISBLANK(Mitigation_Industry!V775),"",Mitigation_Industry!V775)</f>
        <v>7.1823328901819944E-2</v>
      </c>
      <c r="W1304">
        <f>IF(ISBLANK(Mitigation_Industry!W775),"",Mitigation_Industry!W775)</f>
        <v>7.5773611991420048E-2</v>
      </c>
      <c r="X1304">
        <f>IF(ISBLANK(Mitigation_Industry!X775),"",Mitigation_Industry!X775)</f>
        <v>7.9941160650948154E-2</v>
      </c>
      <c r="Y1304">
        <f>IF(ISBLANK(Mitigation_Industry!Y775),"",Mitigation_Industry!Y775)</f>
        <v>8.4337924486750301E-2</v>
      </c>
      <c r="Z1304">
        <f>IF(ISBLANK(Mitigation_Industry!Z775),"",Mitigation_Industry!Z775)</f>
        <v>8.8976510333521566E-2</v>
      </c>
      <c r="AA1304">
        <f>IF(ISBLANK(Mitigation_Industry!AA775),"",Mitigation_Industry!AA775)</f>
        <v>9.3870218401865241E-2</v>
      </c>
      <c r="AB1304">
        <f>IF(ISBLANK(Mitigation_Industry!AB775),"",Mitigation_Industry!AB775)</f>
        <v>9.9033080413967828E-2</v>
      </c>
      <c r="AC1304">
        <f>IF(ISBLANK(Mitigation_Industry!AC775),"",Mitigation_Industry!AC775)</f>
        <v>0.10447989983673606</v>
      </c>
      <c r="AD1304">
        <f>IF(ISBLANK(Mitigation_Industry!AD775),"",Mitigation_Industry!AD775)</f>
        <v>0.11022629432775652</v>
      </c>
      <c r="AE1304">
        <f>IF(ISBLANK(Mitigation_Industry!AE775),"",Mitigation_Industry!AE775)</f>
        <v>0.11628874051578311</v>
      </c>
    </row>
    <row r="1305" spans="1:31" x14ac:dyDescent="0.45">
      <c r="A1305" t="s">
        <v>1692</v>
      </c>
      <c r="B1305" t="s">
        <v>1493</v>
      </c>
      <c r="C1305" t="s">
        <v>285</v>
      </c>
      <c r="D1305">
        <v>2</v>
      </c>
      <c r="E1305" t="s">
        <v>1161</v>
      </c>
      <c r="F1305">
        <f>MAX(MAX(L1305:AE1305),-MIN(L1305:AE1305))</f>
        <v>1.6354967736642831</v>
      </c>
      <c r="I1305" t="s">
        <v>1588</v>
      </c>
      <c r="J1305" t="s">
        <v>1589</v>
      </c>
      <c r="K1305">
        <f t="shared" ref="K1305:AE1305" si="323">IF(ISNUMBER(K1303),IF(ISNUMBER(K1304),K1304-K1303,999999),0)</f>
        <v>0</v>
      </c>
      <c r="L1305">
        <f t="shared" si="323"/>
        <v>0</v>
      </c>
      <c r="M1305">
        <f t="shared" si="323"/>
        <v>-0.62388625592417069</v>
      </c>
      <c r="N1305">
        <f t="shared" si="323"/>
        <v>-0.65820000000000001</v>
      </c>
      <c r="O1305">
        <f t="shared" si="323"/>
        <v>-0.69440099999999993</v>
      </c>
      <c r="P1305">
        <f t="shared" si="323"/>
        <v>-0.73259305499999994</v>
      </c>
      <c r="Q1305">
        <f t="shared" si="323"/>
        <v>-0.772885673025</v>
      </c>
      <c r="R1305">
        <f t="shared" si="323"/>
        <v>-0.81539438504137496</v>
      </c>
      <c r="S1305">
        <f t="shared" si="323"/>
        <v>-0.86024107621865065</v>
      </c>
      <c r="T1305">
        <f t="shared" si="323"/>
        <v>-0.90755433541067632</v>
      </c>
      <c r="U1305">
        <f t="shared" si="323"/>
        <v>-0.9574698238582634</v>
      </c>
      <c r="V1305">
        <f t="shared" si="323"/>
        <v>-1.0101306641704679</v>
      </c>
      <c r="W1305">
        <f t="shared" si="323"/>
        <v>-1.0656878506998437</v>
      </c>
      <c r="X1305">
        <f t="shared" si="323"/>
        <v>-1.124300682488335</v>
      </c>
      <c r="Y1305">
        <f t="shared" si="323"/>
        <v>-1.1861372200251932</v>
      </c>
      <c r="Z1305">
        <f t="shared" si="323"/>
        <v>-1.2513747671265787</v>
      </c>
      <c r="AA1305">
        <f t="shared" si="323"/>
        <v>-1.3202003793185411</v>
      </c>
      <c r="AB1305">
        <f t="shared" si="323"/>
        <v>-1.3928114001810603</v>
      </c>
      <c r="AC1305">
        <f t="shared" si="323"/>
        <v>-1.4694160271910186</v>
      </c>
      <c r="AD1305">
        <f t="shared" si="323"/>
        <v>-1.5502339086865244</v>
      </c>
      <c r="AE1305">
        <f t="shared" si="323"/>
        <v>-1.6354967736642831</v>
      </c>
    </row>
    <row r="1307" spans="1:31" x14ac:dyDescent="0.45">
      <c r="A1307" t="s">
        <v>1693</v>
      </c>
      <c r="B1307" t="s">
        <v>1493</v>
      </c>
      <c r="C1307" t="s">
        <v>286</v>
      </c>
      <c r="D1307">
        <v>2</v>
      </c>
      <c r="E1307" t="s">
        <v>1159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45">
      <c r="A1308" t="s">
        <v>1693</v>
      </c>
      <c r="B1308" t="s">
        <v>1493</v>
      </c>
      <c r="C1308" t="s">
        <v>286</v>
      </c>
      <c r="D1308">
        <v>2</v>
      </c>
      <c r="E1308" t="s">
        <v>1160</v>
      </c>
      <c r="K1308" t="str">
        <f>IF(ISBLANK(Mitigation_Industry!K776),"",Mitigation_Industry!K776)</f>
        <v/>
      </c>
      <c r="L1308">
        <f>IF(ISBLANK(Mitigation_Industry!L776),"",Mitigation_Industry!L776)</f>
        <v>0</v>
      </c>
      <c r="M1308">
        <f>IF(ISBLANK(Mitigation_Industry!M776),"",Mitigation_Industry!M776)</f>
        <v>0</v>
      </c>
      <c r="N1308">
        <f>IF(ISBLANK(Mitigation_Industry!N776),"",Mitigation_Industry!N776)</f>
        <v>0</v>
      </c>
      <c r="O1308">
        <f>IF(ISBLANK(Mitigation_Industry!O776),"",Mitigation_Industry!O776)</f>
        <v>0</v>
      </c>
      <c r="P1308">
        <f>IF(ISBLANK(Mitigation_Industry!P776),"",Mitigation_Industry!P776)</f>
        <v>0</v>
      </c>
      <c r="Q1308">
        <f>IF(ISBLANK(Mitigation_Industry!Q776),"",Mitigation_Industry!Q776)</f>
        <v>0</v>
      </c>
      <c r="R1308">
        <f>IF(ISBLANK(Mitigation_Industry!R776),"",Mitigation_Industry!R776)</f>
        <v>0</v>
      </c>
      <c r="S1308">
        <f>IF(ISBLANK(Mitigation_Industry!S776),"",Mitigation_Industry!S776)</f>
        <v>0</v>
      </c>
      <c r="T1308">
        <f>IF(ISBLANK(Mitigation_Industry!T776),"",Mitigation_Industry!T776)</f>
        <v>0</v>
      </c>
      <c r="U1308">
        <f>IF(ISBLANK(Mitigation_Industry!U776),"",Mitigation_Industry!U776)</f>
        <v>0</v>
      </c>
      <c r="V1308">
        <f>IF(ISBLANK(Mitigation_Industry!V776),"",Mitigation_Industry!V776)</f>
        <v>0</v>
      </c>
      <c r="W1308">
        <f>IF(ISBLANK(Mitigation_Industry!W776),"",Mitigation_Industry!W776)</f>
        <v>0</v>
      </c>
      <c r="X1308">
        <f>IF(ISBLANK(Mitigation_Industry!X776),"",Mitigation_Industry!X776)</f>
        <v>0</v>
      </c>
      <c r="Y1308">
        <f>IF(ISBLANK(Mitigation_Industry!Y776),"",Mitigation_Industry!Y776)</f>
        <v>0</v>
      </c>
      <c r="Z1308">
        <f>IF(ISBLANK(Mitigation_Industry!Z776),"",Mitigation_Industry!Z776)</f>
        <v>0</v>
      </c>
      <c r="AA1308">
        <f>IF(ISBLANK(Mitigation_Industry!AA776),"",Mitigation_Industry!AA776)</f>
        <v>0</v>
      </c>
      <c r="AB1308">
        <f>IF(ISBLANK(Mitigation_Industry!AB776),"",Mitigation_Industry!AB776)</f>
        <v>0</v>
      </c>
      <c r="AC1308">
        <f>IF(ISBLANK(Mitigation_Industry!AC776),"",Mitigation_Industry!AC776)</f>
        <v>0</v>
      </c>
      <c r="AD1308">
        <f>IF(ISBLANK(Mitigation_Industry!AD776),"",Mitigation_Industry!AD776)</f>
        <v>0</v>
      </c>
      <c r="AE1308">
        <f>IF(ISBLANK(Mitigation_Industry!AE776),"",Mitigation_Industry!AE776)</f>
        <v>0</v>
      </c>
    </row>
    <row r="1309" spans="1:31" x14ac:dyDescent="0.45">
      <c r="A1309" t="s">
        <v>1693</v>
      </c>
      <c r="B1309" t="s">
        <v>1493</v>
      </c>
      <c r="C1309" t="s">
        <v>286</v>
      </c>
      <c r="D1309">
        <v>2</v>
      </c>
      <c r="E1309" t="s">
        <v>1161</v>
      </c>
      <c r="F1309">
        <f>MAX(MAX(L1309:AE1309),-MIN(L1309:AE1309))</f>
        <v>0</v>
      </c>
      <c r="I1309" t="s">
        <v>1588</v>
      </c>
      <c r="J1309" t="s">
        <v>1589</v>
      </c>
      <c r="K1309">
        <f t="shared" ref="K1309:AE1309" si="324">IF(ISNUMBER(K1307),IF(ISNUMBER(K1308),K1308-K1307,999999),0)</f>
        <v>0</v>
      </c>
      <c r="L1309">
        <f t="shared" si="324"/>
        <v>0</v>
      </c>
      <c r="M1309">
        <f t="shared" si="324"/>
        <v>0</v>
      </c>
      <c r="N1309">
        <f t="shared" si="324"/>
        <v>0</v>
      </c>
      <c r="O1309">
        <f t="shared" si="324"/>
        <v>0</v>
      </c>
      <c r="P1309">
        <f t="shared" si="324"/>
        <v>0</v>
      </c>
      <c r="Q1309">
        <f t="shared" si="324"/>
        <v>0</v>
      </c>
      <c r="R1309">
        <f t="shared" si="324"/>
        <v>0</v>
      </c>
      <c r="S1309">
        <f t="shared" si="324"/>
        <v>0</v>
      </c>
      <c r="T1309">
        <f t="shared" si="324"/>
        <v>0</v>
      </c>
      <c r="U1309">
        <f t="shared" si="324"/>
        <v>0</v>
      </c>
      <c r="V1309">
        <f t="shared" si="324"/>
        <v>0</v>
      </c>
      <c r="W1309">
        <f t="shared" si="324"/>
        <v>0</v>
      </c>
      <c r="X1309">
        <f t="shared" si="324"/>
        <v>0</v>
      </c>
      <c r="Y1309">
        <f t="shared" si="324"/>
        <v>0</v>
      </c>
      <c r="Z1309">
        <f t="shared" si="324"/>
        <v>0</v>
      </c>
      <c r="AA1309">
        <f t="shared" si="324"/>
        <v>0</v>
      </c>
      <c r="AB1309">
        <f t="shared" si="324"/>
        <v>0</v>
      </c>
      <c r="AC1309">
        <f t="shared" si="324"/>
        <v>0</v>
      </c>
      <c r="AD1309">
        <f t="shared" si="324"/>
        <v>0</v>
      </c>
      <c r="AE1309">
        <f t="shared" si="324"/>
        <v>0</v>
      </c>
    </row>
    <row r="1311" spans="1:31" x14ac:dyDescent="0.45">
      <c r="A1311" t="s">
        <v>1694</v>
      </c>
      <c r="B1311" t="s">
        <v>1493</v>
      </c>
      <c r="C1311" t="s">
        <v>287</v>
      </c>
      <c r="D1311">
        <v>2</v>
      </c>
      <c r="E1311" t="s">
        <v>1159</v>
      </c>
      <c r="L1311">
        <v>13.508713893592757</v>
      </c>
      <c r="M1311">
        <v>25.459825750242022</v>
      </c>
      <c r="N1311">
        <v>26.3</v>
      </c>
      <c r="O1311">
        <v>27.167899999999999</v>
      </c>
      <c r="P1311">
        <v>28.064440699999995</v>
      </c>
      <c r="Q1311">
        <v>28.990567243099992</v>
      </c>
      <c r="R1311">
        <v>29.947255962122291</v>
      </c>
      <c r="S1311">
        <v>30.935515408872323</v>
      </c>
      <c r="T1311">
        <v>31.956387417365111</v>
      </c>
      <c r="U1311">
        <v>33.010948202138152</v>
      </c>
      <c r="V1311">
        <v>34.100309492808705</v>
      </c>
      <c r="W1311">
        <v>35.225619706071399</v>
      </c>
      <c r="X1311">
        <v>36.388065156371745</v>
      </c>
      <c r="Y1311">
        <v>37.588871306532013</v>
      </c>
      <c r="Z1311">
        <v>38.829304059647569</v>
      </c>
      <c r="AA1311">
        <v>40.110671093615935</v>
      </c>
      <c r="AB1311">
        <v>41.434323239705257</v>
      </c>
      <c r="AC1311">
        <v>42.801655906615522</v>
      </c>
      <c r="AD1311">
        <v>44.214110551533835</v>
      </c>
      <c r="AE1311">
        <v>45.673176199734449</v>
      </c>
    </row>
    <row r="1312" spans="1:31" x14ac:dyDescent="0.45">
      <c r="A1312" t="s">
        <v>1694</v>
      </c>
      <c r="B1312" t="s">
        <v>1493</v>
      </c>
      <c r="C1312" t="s">
        <v>287</v>
      </c>
      <c r="D1312">
        <v>2</v>
      </c>
      <c r="E1312" t="s">
        <v>1160</v>
      </c>
      <c r="K1312" t="str">
        <f>IF(ISBLANK(Mitigation_Industry!K777),"",Mitigation_Industry!K777)</f>
        <v/>
      </c>
      <c r="L1312">
        <f>IF(ISBLANK(Mitigation_Industry!L777),"",Mitigation_Industry!L777)</f>
        <v>13.508713893592759</v>
      </c>
      <c r="M1312">
        <f>IF(ISBLANK(Mitigation_Industry!M777),"",Mitigation_Industry!M777)</f>
        <v>13.954501452081319</v>
      </c>
      <c r="N1312">
        <f>IF(ISBLANK(Mitigation_Industry!N777),"",Mitigation_Industry!N777)</f>
        <v>14.414999999999999</v>
      </c>
      <c r="O1312">
        <f>IF(ISBLANK(Mitigation_Industry!O777),"",Mitigation_Industry!O777)</f>
        <v>14.890694999999997</v>
      </c>
      <c r="P1312">
        <f>IF(ISBLANK(Mitigation_Industry!P777),"",Mitigation_Industry!P777)</f>
        <v>15.382087934999998</v>
      </c>
      <c r="Q1312">
        <f>IF(ISBLANK(Mitigation_Industry!Q777),"",Mitigation_Industry!Q777)</f>
        <v>15.889696836854995</v>
      </c>
      <c r="R1312">
        <f>IF(ISBLANK(Mitigation_Industry!R777),"",Mitigation_Industry!R777)</f>
        <v>16.414056832471207</v>
      </c>
      <c r="S1312">
        <f>IF(ISBLANK(Mitigation_Industry!S777),"",Mitigation_Industry!S777)</f>
        <v>16.955720707942756</v>
      </c>
      <c r="T1312">
        <f>IF(ISBLANK(Mitigation_Industry!T777),"",Mitigation_Industry!T777)</f>
        <v>17.515259491304867</v>
      </c>
      <c r="U1312">
        <f>IF(ISBLANK(Mitigation_Industry!U777),"",Mitigation_Industry!U777)</f>
        <v>18.093263054517926</v>
      </c>
      <c r="V1312">
        <f>IF(ISBLANK(Mitigation_Industry!V777),"",Mitigation_Industry!V777)</f>
        <v>18.690340735317015</v>
      </c>
      <c r="W1312">
        <f>IF(ISBLANK(Mitigation_Industry!W777),"",Mitigation_Industry!W777)</f>
        <v>19.307121979582476</v>
      </c>
      <c r="X1312">
        <f>IF(ISBLANK(Mitigation_Industry!X777),"",Mitigation_Industry!X777)</f>
        <v>19.944257004908696</v>
      </c>
      <c r="Y1312">
        <f>IF(ISBLANK(Mitigation_Industry!Y777),"",Mitigation_Industry!Y777)</f>
        <v>20.602417486070681</v>
      </c>
      <c r="Z1312">
        <f>IF(ISBLANK(Mitigation_Industry!Z777),"",Mitigation_Industry!Z777)</f>
        <v>21.282297263111012</v>
      </c>
      <c r="AA1312">
        <f>IF(ISBLANK(Mitigation_Industry!AA777),"",Mitigation_Industry!AA777)</f>
        <v>21.984613072793675</v>
      </c>
      <c r="AB1312">
        <f>IF(ISBLANK(Mitigation_Industry!AB777),"",Mitigation_Industry!AB777)</f>
        <v>22.710105304195867</v>
      </c>
      <c r="AC1312">
        <f>IF(ISBLANK(Mitigation_Industry!AC777),"",Mitigation_Industry!AC777)</f>
        <v>23.459538779234329</v>
      </c>
      <c r="AD1312">
        <f>IF(ISBLANK(Mitigation_Industry!AD777),"",Mitigation_Industry!AD777)</f>
        <v>24.23370355894906</v>
      </c>
      <c r="AE1312">
        <f>IF(ISBLANK(Mitigation_Industry!AE777),"",Mitigation_Industry!AE777)</f>
        <v>25.033415776394378</v>
      </c>
    </row>
    <row r="1313" spans="1:31" x14ac:dyDescent="0.45">
      <c r="A1313" t="s">
        <v>1694</v>
      </c>
      <c r="B1313" t="s">
        <v>1493</v>
      </c>
      <c r="C1313" t="s">
        <v>287</v>
      </c>
      <c r="D1313">
        <v>2</v>
      </c>
      <c r="E1313" t="s">
        <v>1161</v>
      </c>
      <c r="F1313">
        <f>MAX(MAX(L1313:AE1313),-MIN(L1313:AE1313))</f>
        <v>20.639760423340071</v>
      </c>
      <c r="I1313" t="s">
        <v>1588</v>
      </c>
      <c r="J1313" t="s">
        <v>1589</v>
      </c>
      <c r="K1313">
        <f t="shared" ref="K1313:AE1313" si="325">IF(ISNUMBER(K1311),IF(ISNUMBER(K1312),K1312-K1311,999999),0)</f>
        <v>0</v>
      </c>
      <c r="L1313">
        <f t="shared" si="325"/>
        <v>1.7763568394002505E-15</v>
      </c>
      <c r="M1313">
        <f t="shared" si="325"/>
        <v>-11.505324298160703</v>
      </c>
      <c r="N1313">
        <f t="shared" si="325"/>
        <v>-11.885000000000002</v>
      </c>
      <c r="O1313">
        <f t="shared" si="325"/>
        <v>-12.277205000000002</v>
      </c>
      <c r="P1313">
        <f t="shared" si="325"/>
        <v>-12.682352764999997</v>
      </c>
      <c r="Q1313">
        <f t="shared" si="325"/>
        <v>-13.100870406244997</v>
      </c>
      <c r="R1313">
        <f t="shared" si="325"/>
        <v>-13.533199129651084</v>
      </c>
      <c r="S1313">
        <f t="shared" si="325"/>
        <v>-13.979794700929567</v>
      </c>
      <c r="T1313">
        <f t="shared" si="325"/>
        <v>-14.441127926060243</v>
      </c>
      <c r="U1313">
        <f t="shared" si="325"/>
        <v>-14.917685147620226</v>
      </c>
      <c r="V1313">
        <f t="shared" si="325"/>
        <v>-15.40996875749169</v>
      </c>
      <c r="W1313">
        <f t="shared" si="325"/>
        <v>-15.918497726488923</v>
      </c>
      <c r="X1313">
        <f t="shared" si="325"/>
        <v>-16.443808151463049</v>
      </c>
      <c r="Y1313">
        <f t="shared" si="325"/>
        <v>-16.986453820461332</v>
      </c>
      <c r="Z1313">
        <f t="shared" si="325"/>
        <v>-17.547006796536557</v>
      </c>
      <c r="AA1313">
        <f t="shared" si="325"/>
        <v>-18.12605802082226</v>
      </c>
      <c r="AB1313">
        <f t="shared" si="325"/>
        <v>-18.72421793550939</v>
      </c>
      <c r="AC1313">
        <f t="shared" si="325"/>
        <v>-19.342117127381194</v>
      </c>
      <c r="AD1313">
        <f t="shared" si="325"/>
        <v>-19.980406992584776</v>
      </c>
      <c r="AE1313">
        <f t="shared" si="325"/>
        <v>-20.639760423340071</v>
      </c>
    </row>
    <row r="1315" spans="1:31" x14ac:dyDescent="0.45">
      <c r="A1315" t="s">
        <v>1695</v>
      </c>
      <c r="B1315" t="s">
        <v>1493</v>
      </c>
      <c r="C1315" t="s">
        <v>111</v>
      </c>
      <c r="D1315">
        <v>2</v>
      </c>
      <c r="E1315" t="s">
        <v>1159</v>
      </c>
      <c r="L1315">
        <v>20.92624635774483</v>
      </c>
      <c r="M1315">
        <v>26.961911636097749</v>
      </c>
      <c r="N1315">
        <v>27.863</v>
      </c>
      <c r="O1315">
        <v>28.794623000000001</v>
      </c>
      <c r="P1315">
        <v>29.757835348999997</v>
      </c>
      <c r="Q1315">
        <v>30.753729192394992</v>
      </c>
      <c r="R1315">
        <v>31.783435487304406</v>
      </c>
      <c r="S1315">
        <v>32.848125435164661</v>
      </c>
      <c r="T1315">
        <v>33.949011969871044</v>
      </c>
      <c r="U1315">
        <v>35.087351303752364</v>
      </c>
      <c r="V1315">
        <v>36.264444533762408</v>
      </c>
      <c r="W1315">
        <v>37.481639310376153</v>
      </c>
      <c r="X1315">
        <v>38.740331571788573</v>
      </c>
      <c r="Y1315">
        <v>40.041967346128295</v>
      </c>
      <c r="Z1315">
        <v>41.388044624518081</v>
      </c>
      <c r="AA1315">
        <v>42.780115307939909</v>
      </c>
      <c r="AB1315">
        <v>44.219787230993546</v>
      </c>
      <c r="AC1315">
        <v>45.708726265775283</v>
      </c>
      <c r="AD1315">
        <v>47.248658509247463</v>
      </c>
      <c r="AE1315">
        <v>48.841372557620346</v>
      </c>
    </row>
    <row r="1316" spans="1:31" x14ac:dyDescent="0.45">
      <c r="A1316" t="s">
        <v>1695</v>
      </c>
      <c r="B1316" t="s">
        <v>1493</v>
      </c>
      <c r="C1316" t="s">
        <v>111</v>
      </c>
      <c r="D1316">
        <v>2</v>
      </c>
      <c r="E1316" t="s">
        <v>1160</v>
      </c>
      <c r="K1316" t="str">
        <f>IF(ISBLANK(Mitigation_Industry!K778),"",Mitigation_Industry!K778)</f>
        <v/>
      </c>
      <c r="L1316">
        <f>IF(ISBLANK(Mitigation_Industry!L778),"",Mitigation_Industry!L778)</f>
        <v>20.926246357744834</v>
      </c>
      <c r="M1316">
        <f>IF(ISBLANK(Mitigation_Industry!M778),"",Mitigation_Industry!M778)</f>
        <v>21.621228468026327</v>
      </c>
      <c r="N1316">
        <f>IF(ISBLANK(Mitigation_Industry!N778),"",Mitigation_Industry!N778)</f>
        <v>22.340203500000001</v>
      </c>
      <c r="O1316">
        <f>IF(ISBLANK(Mitigation_Industry!O778),"",Mitigation_Industry!O778)</f>
        <v>23.084029142999999</v>
      </c>
      <c r="P1316">
        <f>IF(ISBLANK(Mitigation_Industry!P778),"",Mitigation_Industry!P778)</f>
        <v>23.853594734849999</v>
      </c>
      <c r="Q1316">
        <f>IF(ISBLANK(Mitigation_Industry!Q778),"",Mitigation_Industry!Q778)</f>
        <v>24.649822464218673</v>
      </c>
      <c r="R1316">
        <f>IF(ISBLANK(Mitigation_Industry!R778),"",Mitigation_Industry!R778)</f>
        <v>25.473668619896117</v>
      </c>
      <c r="S1316">
        <f>IF(ISBLANK(Mitigation_Industry!S778),"",Mitigation_Industry!S778)</f>
        <v>26.326124888867831</v>
      </c>
      <c r="T1316">
        <f>IF(ISBLANK(Mitigation_Industry!T778),"",Mitigation_Industry!T778)</f>
        <v>27.20821970513958</v>
      </c>
      <c r="U1316">
        <f>IF(ISBLANK(Mitigation_Industry!U778),"",Mitigation_Industry!U778)</f>
        <v>28.121019651346558</v>
      </c>
      <c r="V1316">
        <f>IF(ISBLANK(Mitigation_Industry!V778),"",Mitigation_Industry!V778)</f>
        <v>29.065630915263306</v>
      </c>
      <c r="W1316">
        <f>IF(ISBLANK(Mitigation_Industry!W778),"",Mitigation_Industry!W778)</f>
        <v>30.043200803417918</v>
      </c>
      <c r="X1316">
        <f>IF(ISBLANK(Mitigation_Industry!X778),"",Mitigation_Industry!X778)</f>
        <v>31.054919314104183</v>
      </c>
      <c r="Y1316">
        <f>IF(ISBLANK(Mitigation_Industry!Y778),"",Mitigation_Industry!Y778)</f>
        <v>32.102020772179657</v>
      </c>
      <c r="Z1316">
        <f>IF(ISBLANK(Mitigation_Industry!Z778),"",Mitigation_Industry!Z778)</f>
        <v>33.185785528135774</v>
      </c>
      <c r="AA1316">
        <f>IF(ISBLANK(Mitigation_Industry!AA778),"",Mitigation_Industry!AA778)</f>
        <v>34.307541724028304</v>
      </c>
      <c r="AB1316">
        <f>IF(ISBLANK(Mitigation_Industry!AB778),"",Mitigation_Industry!AB778)</f>
        <v>35.46866712896292</v>
      </c>
      <c r="AC1316">
        <f>IF(ISBLANK(Mitigation_Industry!AC778),"",Mitigation_Industry!AC778)</f>
        <v>36.670591046941837</v>
      </c>
      <c r="AD1316">
        <f>IF(ISBLANK(Mitigation_Industry!AD778),"",Mitigation_Industry!AD778)</f>
        <v>37.914796299992908</v>
      </c>
      <c r="AE1316">
        <f>IF(ISBLANK(Mitigation_Industry!AE778),"",Mitigation_Industry!AE778)</f>
        <v>39.202821289623259</v>
      </c>
    </row>
    <row r="1317" spans="1:31" x14ac:dyDescent="0.45">
      <c r="A1317" t="s">
        <v>1695</v>
      </c>
      <c r="B1317" t="s">
        <v>1493</v>
      </c>
      <c r="C1317" t="s">
        <v>111</v>
      </c>
      <c r="D1317">
        <v>2</v>
      </c>
      <c r="E1317" t="s">
        <v>1161</v>
      </c>
      <c r="F1317">
        <f>MAX(MAX(L1317:AE1317),-MIN(L1317:AE1317))</f>
        <v>9.6385512679970873</v>
      </c>
      <c r="I1317" t="s">
        <v>1588</v>
      </c>
      <c r="J1317" t="s">
        <v>1589</v>
      </c>
      <c r="K1317">
        <f t="shared" ref="K1317:AE1317" si="326">IF(ISNUMBER(K1315),IF(ISNUMBER(K1316),K1316-K1315,999999),0)</f>
        <v>0</v>
      </c>
      <c r="L1317">
        <f t="shared" si="326"/>
        <v>3.5527136788005009E-15</v>
      </c>
      <c r="M1317">
        <f t="shared" si="326"/>
        <v>-5.340683168071422</v>
      </c>
      <c r="N1317">
        <f t="shared" si="326"/>
        <v>-5.5227964999999983</v>
      </c>
      <c r="O1317">
        <f t="shared" si="326"/>
        <v>-5.7105938570000028</v>
      </c>
      <c r="P1317">
        <f t="shared" si="326"/>
        <v>-5.9042406141499981</v>
      </c>
      <c r="Q1317">
        <f t="shared" si="326"/>
        <v>-6.1039067281763195</v>
      </c>
      <c r="R1317">
        <f t="shared" si="326"/>
        <v>-6.309766867408289</v>
      </c>
      <c r="S1317">
        <f t="shared" si="326"/>
        <v>-6.5220005462968302</v>
      </c>
      <c r="T1317">
        <f t="shared" si="326"/>
        <v>-6.7407922647314642</v>
      </c>
      <c r="U1317">
        <f t="shared" si="326"/>
        <v>-6.9663316524058061</v>
      </c>
      <c r="V1317">
        <f t="shared" si="326"/>
        <v>-7.1988136184991021</v>
      </c>
      <c r="W1317">
        <f t="shared" si="326"/>
        <v>-7.4384385069582351</v>
      </c>
      <c r="X1317">
        <f t="shared" si="326"/>
        <v>-7.6854122576843906</v>
      </c>
      <c r="Y1317">
        <f t="shared" si="326"/>
        <v>-7.9399465739486388</v>
      </c>
      <c r="Z1317">
        <f t="shared" si="326"/>
        <v>-8.2022590963823063</v>
      </c>
      <c r="AA1317">
        <f t="shared" si="326"/>
        <v>-8.4725735839116041</v>
      </c>
      <c r="AB1317">
        <f t="shared" si="326"/>
        <v>-8.751120102030626</v>
      </c>
      <c r="AC1317">
        <f t="shared" si="326"/>
        <v>-9.0381352188334461</v>
      </c>
      <c r="AD1317">
        <f t="shared" si="326"/>
        <v>-9.3338622092545549</v>
      </c>
      <c r="AE1317">
        <f t="shared" si="326"/>
        <v>-9.6385512679970873</v>
      </c>
    </row>
    <row r="1319" spans="1:31" x14ac:dyDescent="0.45">
      <c r="A1319" t="s">
        <v>1696</v>
      </c>
      <c r="B1319" t="s">
        <v>1499</v>
      </c>
      <c r="C1319" t="s">
        <v>283</v>
      </c>
      <c r="D1319">
        <v>2</v>
      </c>
      <c r="E1319" t="s">
        <v>1159</v>
      </c>
      <c r="L1319">
        <v>0.55721293959505358</v>
      </c>
      <c r="M1319">
        <v>0.56947162426614473</v>
      </c>
      <c r="N1319">
        <v>0.58199999999999996</v>
      </c>
      <c r="O1319">
        <v>0.594804</v>
      </c>
      <c r="P1319">
        <v>0.60788968800000009</v>
      </c>
      <c r="Q1319">
        <v>0.62126326113599994</v>
      </c>
      <c r="R1319">
        <v>0.63493105288099194</v>
      </c>
      <c r="S1319">
        <v>0.64889953604437378</v>
      </c>
      <c r="T1319">
        <v>0.66317532583735006</v>
      </c>
      <c r="U1319">
        <v>0.67776518300577182</v>
      </c>
      <c r="V1319">
        <v>0.69267601703189885</v>
      </c>
      <c r="W1319">
        <v>0.70791488940660052</v>
      </c>
      <c r="X1319">
        <v>0.72348901697354573</v>
      </c>
      <c r="Y1319">
        <v>0.73940577534696372</v>
      </c>
      <c r="Z1319">
        <v>0.75567270240459705</v>
      </c>
      <c r="AA1319">
        <v>0.77229750185749824</v>
      </c>
      <c r="AB1319">
        <v>0.78928804689836318</v>
      </c>
      <c r="AC1319">
        <v>0.80665238393012717</v>
      </c>
      <c r="AD1319">
        <v>0.82439873637659</v>
      </c>
      <c r="AE1319">
        <v>0.84253550857687498</v>
      </c>
    </row>
    <row r="1320" spans="1:31" x14ac:dyDescent="0.45">
      <c r="A1320" t="s">
        <v>1696</v>
      </c>
      <c r="B1320" t="s">
        <v>1499</v>
      </c>
      <c r="C1320" t="s">
        <v>283</v>
      </c>
      <c r="D1320">
        <v>2</v>
      </c>
      <c r="E1320" t="s">
        <v>1160</v>
      </c>
      <c r="K1320" t="str">
        <f>IF(ISBLANK(Mitigation_Industry!K784),"",Mitigation_Industry!K784)</f>
        <v/>
      </c>
      <c r="L1320">
        <f>IF(ISBLANK(Mitigation_Industry!L784),"",Mitigation_Industry!L784)</f>
        <v>0.55721293959505358</v>
      </c>
      <c r="M1320">
        <f>IF(ISBLANK(Mitigation_Industry!M784),"",Mitigation_Industry!M784)</f>
        <v>0.56947162426614473</v>
      </c>
      <c r="N1320">
        <f>IF(ISBLANK(Mitigation_Industry!N784),"",Mitigation_Industry!N784)</f>
        <v>0.58199999999999996</v>
      </c>
      <c r="O1320">
        <f>IF(ISBLANK(Mitigation_Industry!O784),"",Mitigation_Industry!O784)</f>
        <v>0.594804</v>
      </c>
      <c r="P1320">
        <f>IF(ISBLANK(Mitigation_Industry!P784),"",Mitigation_Industry!P784)</f>
        <v>0.60788968800000009</v>
      </c>
      <c r="Q1320">
        <f>IF(ISBLANK(Mitigation_Industry!Q784),"",Mitigation_Industry!Q784)</f>
        <v>0.62126326113599994</v>
      </c>
      <c r="R1320">
        <f>IF(ISBLANK(Mitigation_Industry!R784),"",Mitigation_Industry!R784)</f>
        <v>0.63493105288099194</v>
      </c>
      <c r="S1320">
        <f>IF(ISBLANK(Mitigation_Industry!S784),"",Mitigation_Industry!S784)</f>
        <v>0.64889953604437378</v>
      </c>
      <c r="T1320">
        <f>IF(ISBLANK(Mitigation_Industry!T784),"",Mitigation_Industry!T784)</f>
        <v>0.66317532583735006</v>
      </c>
      <c r="U1320">
        <f>IF(ISBLANK(Mitigation_Industry!U784),"",Mitigation_Industry!U784)</f>
        <v>0.67776518300577182</v>
      </c>
      <c r="V1320">
        <f>IF(ISBLANK(Mitigation_Industry!V784),"",Mitigation_Industry!V784)</f>
        <v>0.69267601703189885</v>
      </c>
      <c r="W1320">
        <f>IF(ISBLANK(Mitigation_Industry!W784),"",Mitigation_Industry!W784)</f>
        <v>0.70791488940660052</v>
      </c>
      <c r="X1320">
        <f>IF(ISBLANK(Mitigation_Industry!X784),"",Mitigation_Industry!X784)</f>
        <v>0.72348901697354573</v>
      </c>
      <c r="Y1320">
        <f>IF(ISBLANK(Mitigation_Industry!Y784),"",Mitigation_Industry!Y784)</f>
        <v>0.73940577534696372</v>
      </c>
      <c r="Z1320">
        <f>IF(ISBLANK(Mitigation_Industry!Z784),"",Mitigation_Industry!Z784)</f>
        <v>0.75567270240459705</v>
      </c>
      <c r="AA1320">
        <f>IF(ISBLANK(Mitigation_Industry!AA784),"",Mitigation_Industry!AA784)</f>
        <v>0.77229750185749824</v>
      </c>
      <c r="AB1320">
        <f>IF(ISBLANK(Mitigation_Industry!AB784),"",Mitigation_Industry!AB784)</f>
        <v>0.78928804689836318</v>
      </c>
      <c r="AC1320">
        <f>IF(ISBLANK(Mitigation_Industry!AC784),"",Mitigation_Industry!AC784)</f>
        <v>0.80665238393012717</v>
      </c>
      <c r="AD1320">
        <f>IF(ISBLANK(Mitigation_Industry!AD784),"",Mitigation_Industry!AD784)</f>
        <v>0.82439873637659</v>
      </c>
      <c r="AE1320">
        <f>IF(ISBLANK(Mitigation_Industry!AE784),"",Mitigation_Industry!AE784)</f>
        <v>0.84253550857687498</v>
      </c>
    </row>
    <row r="1321" spans="1:31" x14ac:dyDescent="0.45">
      <c r="A1321" t="s">
        <v>1696</v>
      </c>
      <c r="B1321" t="s">
        <v>1499</v>
      </c>
      <c r="C1321" t="s">
        <v>283</v>
      </c>
      <c r="D1321">
        <v>2</v>
      </c>
      <c r="E1321" t="s">
        <v>1161</v>
      </c>
      <c r="F1321">
        <f>MAX(MAX(L1321:AE1321),-MIN(L1321:AE1321))</f>
        <v>0</v>
      </c>
      <c r="I1321" t="s">
        <v>1509</v>
      </c>
      <c r="K1321">
        <f t="shared" ref="K1321:AE1321" si="327">IF(ISNUMBER(K1319),IF(ISNUMBER(K1320),K1320-K1319,999999),0)</f>
        <v>0</v>
      </c>
      <c r="L1321">
        <f t="shared" si="327"/>
        <v>0</v>
      </c>
      <c r="M1321">
        <f t="shared" si="327"/>
        <v>0</v>
      </c>
      <c r="N1321">
        <f t="shared" si="327"/>
        <v>0</v>
      </c>
      <c r="O1321">
        <f t="shared" si="327"/>
        <v>0</v>
      </c>
      <c r="P1321">
        <f t="shared" si="327"/>
        <v>0</v>
      </c>
      <c r="Q1321">
        <f t="shared" si="327"/>
        <v>0</v>
      </c>
      <c r="R1321">
        <f t="shared" si="327"/>
        <v>0</v>
      </c>
      <c r="S1321">
        <f t="shared" si="327"/>
        <v>0</v>
      </c>
      <c r="T1321">
        <f t="shared" si="327"/>
        <v>0</v>
      </c>
      <c r="U1321">
        <f t="shared" si="327"/>
        <v>0</v>
      </c>
      <c r="V1321">
        <f t="shared" si="327"/>
        <v>0</v>
      </c>
      <c r="W1321">
        <f t="shared" si="327"/>
        <v>0</v>
      </c>
      <c r="X1321">
        <f t="shared" si="327"/>
        <v>0</v>
      </c>
      <c r="Y1321">
        <f t="shared" si="327"/>
        <v>0</v>
      </c>
      <c r="Z1321">
        <f t="shared" si="327"/>
        <v>0</v>
      </c>
      <c r="AA1321">
        <f t="shared" si="327"/>
        <v>0</v>
      </c>
      <c r="AB1321">
        <f t="shared" si="327"/>
        <v>0</v>
      </c>
      <c r="AC1321">
        <f t="shared" si="327"/>
        <v>0</v>
      </c>
      <c r="AD1321">
        <f t="shared" si="327"/>
        <v>0</v>
      </c>
      <c r="AE1321">
        <f t="shared" si="327"/>
        <v>0</v>
      </c>
    </row>
    <row r="1323" spans="1:31" x14ac:dyDescent="0.45">
      <c r="A1323" t="s">
        <v>1697</v>
      </c>
      <c r="B1323" t="s">
        <v>1499</v>
      </c>
      <c r="C1323" t="s">
        <v>284</v>
      </c>
      <c r="D1323">
        <v>2</v>
      </c>
      <c r="E1323" t="s">
        <v>1159</v>
      </c>
      <c r="L1323">
        <v>0.25322587748271458</v>
      </c>
      <c r="M1323">
        <v>0.26436781609195403</v>
      </c>
      <c r="N1323">
        <v>0.27599999999999997</v>
      </c>
      <c r="O1323">
        <v>0.28814400000000001</v>
      </c>
      <c r="P1323">
        <v>0.30082233600000008</v>
      </c>
      <c r="Q1323">
        <v>0.31405851878400004</v>
      </c>
      <c r="R1323">
        <v>0.32787709361049611</v>
      </c>
      <c r="S1323">
        <v>0.34230368572935788</v>
      </c>
      <c r="T1323">
        <v>0.35736504790144968</v>
      </c>
      <c r="U1323">
        <v>0.37308911000911349</v>
      </c>
      <c r="V1323">
        <v>0.38950503084951449</v>
      </c>
      <c r="W1323">
        <v>0.40664325220689312</v>
      </c>
      <c r="X1323">
        <v>0.42453555530399645</v>
      </c>
      <c r="Y1323">
        <v>0.44321511973737227</v>
      </c>
      <c r="Z1323">
        <v>0.46271658500581669</v>
      </c>
      <c r="AA1323">
        <v>0.48307611474607259</v>
      </c>
      <c r="AB1323">
        <v>0.5043314637948999</v>
      </c>
      <c r="AC1323">
        <v>0.52652204820187531</v>
      </c>
      <c r="AD1323">
        <v>0.54968901832275785</v>
      </c>
      <c r="AE1323">
        <v>0.57387533512895927</v>
      </c>
    </row>
    <row r="1324" spans="1:31" x14ac:dyDescent="0.45">
      <c r="A1324" t="s">
        <v>1697</v>
      </c>
      <c r="B1324" t="s">
        <v>1499</v>
      </c>
      <c r="C1324" t="s">
        <v>284</v>
      </c>
      <c r="D1324">
        <v>2</v>
      </c>
      <c r="E1324" t="s">
        <v>1160</v>
      </c>
      <c r="K1324" t="str">
        <f>IF(ISBLANK(Mitigation_Industry!K785),"",Mitigation_Industry!K785)</f>
        <v/>
      </c>
      <c r="L1324">
        <f>IF(ISBLANK(Mitigation_Industry!L785),"",Mitigation_Industry!L785)</f>
        <v>0.25322587748271458</v>
      </c>
      <c r="M1324">
        <f>IF(ISBLANK(Mitigation_Industry!M785),"",Mitigation_Industry!M785)</f>
        <v>0.26436781609195403</v>
      </c>
      <c r="N1324">
        <f>IF(ISBLANK(Mitigation_Industry!N785),"",Mitigation_Industry!N785)</f>
        <v>0.27599999999999997</v>
      </c>
      <c r="O1324">
        <f>IF(ISBLANK(Mitigation_Industry!O785),"",Mitigation_Industry!O785)</f>
        <v>0.28814400000000001</v>
      </c>
      <c r="P1324">
        <f>IF(ISBLANK(Mitigation_Industry!P785),"",Mitigation_Industry!P785)</f>
        <v>0.30082233600000008</v>
      </c>
      <c r="Q1324">
        <f>IF(ISBLANK(Mitigation_Industry!Q785),"",Mitigation_Industry!Q785)</f>
        <v>0.31405851878400004</v>
      </c>
      <c r="R1324">
        <f>IF(ISBLANK(Mitigation_Industry!R785),"",Mitigation_Industry!R785)</f>
        <v>0.32787709361049611</v>
      </c>
      <c r="S1324">
        <f>IF(ISBLANK(Mitigation_Industry!S785),"",Mitigation_Industry!S785)</f>
        <v>0.34230368572935788</v>
      </c>
      <c r="T1324">
        <f>IF(ISBLANK(Mitigation_Industry!T785),"",Mitigation_Industry!T785)</f>
        <v>0.35736504790144968</v>
      </c>
      <c r="U1324">
        <f>IF(ISBLANK(Mitigation_Industry!U785),"",Mitigation_Industry!U785)</f>
        <v>0.37308911000911349</v>
      </c>
      <c r="V1324">
        <f>IF(ISBLANK(Mitigation_Industry!V785),"",Mitigation_Industry!V785)</f>
        <v>0.38950503084951449</v>
      </c>
      <c r="W1324">
        <f>IF(ISBLANK(Mitigation_Industry!W785),"",Mitigation_Industry!W785)</f>
        <v>0.40664325220689312</v>
      </c>
      <c r="X1324">
        <f>IF(ISBLANK(Mitigation_Industry!X785),"",Mitigation_Industry!X785)</f>
        <v>0.42453555530399645</v>
      </c>
      <c r="Y1324">
        <f>IF(ISBLANK(Mitigation_Industry!Y785),"",Mitigation_Industry!Y785)</f>
        <v>0.44321511973737227</v>
      </c>
      <c r="Z1324">
        <f>IF(ISBLANK(Mitigation_Industry!Z785),"",Mitigation_Industry!Z785)</f>
        <v>0.46271658500581669</v>
      </c>
      <c r="AA1324">
        <f>IF(ISBLANK(Mitigation_Industry!AA785),"",Mitigation_Industry!AA785)</f>
        <v>0.48307611474607259</v>
      </c>
      <c r="AB1324">
        <f>IF(ISBLANK(Mitigation_Industry!AB785),"",Mitigation_Industry!AB785)</f>
        <v>0.5043314637948999</v>
      </c>
      <c r="AC1324">
        <f>IF(ISBLANK(Mitigation_Industry!AC785),"",Mitigation_Industry!AC785)</f>
        <v>0.52652204820187531</v>
      </c>
      <c r="AD1324">
        <f>IF(ISBLANK(Mitigation_Industry!AD785),"",Mitigation_Industry!AD785)</f>
        <v>0.54968901832275785</v>
      </c>
      <c r="AE1324">
        <f>IF(ISBLANK(Mitigation_Industry!AE785),"",Mitigation_Industry!AE785)</f>
        <v>0.57387533512895927</v>
      </c>
    </row>
    <row r="1325" spans="1:31" x14ac:dyDescent="0.45">
      <c r="A1325" t="s">
        <v>1697</v>
      </c>
      <c r="B1325" t="s">
        <v>1499</v>
      </c>
      <c r="C1325" t="s">
        <v>284</v>
      </c>
      <c r="D1325">
        <v>2</v>
      </c>
      <c r="E1325" t="s">
        <v>1161</v>
      </c>
      <c r="F1325">
        <f>MAX(MAX(L1325:AE1325),-MIN(L1325:AE1325))</f>
        <v>0</v>
      </c>
      <c r="I1325" t="s">
        <v>1509</v>
      </c>
      <c r="K1325">
        <f t="shared" ref="K1325:AE1325" si="328">IF(ISNUMBER(K1323),IF(ISNUMBER(K1324),K1324-K1323,999999),0)</f>
        <v>0</v>
      </c>
      <c r="L1325">
        <f t="shared" si="328"/>
        <v>0</v>
      </c>
      <c r="M1325">
        <f t="shared" si="328"/>
        <v>0</v>
      </c>
      <c r="N1325">
        <f t="shared" si="328"/>
        <v>0</v>
      </c>
      <c r="O1325">
        <f t="shared" si="328"/>
        <v>0</v>
      </c>
      <c r="P1325">
        <f t="shared" si="328"/>
        <v>0</v>
      </c>
      <c r="Q1325">
        <f t="shared" si="328"/>
        <v>0</v>
      </c>
      <c r="R1325">
        <f t="shared" si="328"/>
        <v>0</v>
      </c>
      <c r="S1325">
        <f t="shared" si="328"/>
        <v>0</v>
      </c>
      <c r="T1325">
        <f t="shared" si="328"/>
        <v>0</v>
      </c>
      <c r="U1325">
        <f t="shared" si="328"/>
        <v>0</v>
      </c>
      <c r="V1325">
        <f t="shared" si="328"/>
        <v>0</v>
      </c>
      <c r="W1325">
        <f t="shared" si="328"/>
        <v>0</v>
      </c>
      <c r="X1325">
        <f t="shared" si="328"/>
        <v>0</v>
      </c>
      <c r="Y1325">
        <f t="shared" si="328"/>
        <v>0</v>
      </c>
      <c r="Z1325">
        <f t="shared" si="328"/>
        <v>0</v>
      </c>
      <c r="AA1325">
        <f t="shared" si="328"/>
        <v>0</v>
      </c>
      <c r="AB1325">
        <f t="shared" si="328"/>
        <v>0</v>
      </c>
      <c r="AC1325">
        <f t="shared" si="328"/>
        <v>0</v>
      </c>
      <c r="AD1325">
        <f t="shared" si="328"/>
        <v>0</v>
      </c>
      <c r="AE1325">
        <f t="shared" si="328"/>
        <v>0</v>
      </c>
    </row>
    <row r="1327" spans="1:31" x14ac:dyDescent="0.45">
      <c r="A1327" t="s">
        <v>1698</v>
      </c>
      <c r="B1327" t="s">
        <v>1499</v>
      </c>
      <c r="C1327" t="s">
        <v>285</v>
      </c>
      <c r="D1327">
        <v>2</v>
      </c>
      <c r="E1327" t="s">
        <v>1159</v>
      </c>
      <c r="L1327">
        <v>0.63340895307832257</v>
      </c>
      <c r="M1327">
        <v>0.66824644549763035</v>
      </c>
      <c r="N1327">
        <v>0.70499999999999996</v>
      </c>
      <c r="O1327">
        <v>0.74377499999999996</v>
      </c>
      <c r="P1327">
        <v>0.78468262499999997</v>
      </c>
      <c r="Q1327">
        <v>0.82784016937499993</v>
      </c>
      <c r="R1327">
        <v>0.87337137869062498</v>
      </c>
      <c r="S1327">
        <v>0.92140680451860935</v>
      </c>
      <c r="T1327">
        <v>0.97208417876713282</v>
      </c>
      <c r="U1327">
        <v>1.025548808599325</v>
      </c>
      <c r="V1327">
        <v>1.0819539930722879</v>
      </c>
      <c r="W1327">
        <v>1.1414614626912638</v>
      </c>
      <c r="X1327">
        <v>1.2042418431392832</v>
      </c>
      <c r="Y1327">
        <v>1.2704751445119435</v>
      </c>
      <c r="Z1327">
        <v>1.3403512774601003</v>
      </c>
      <c r="AA1327">
        <v>1.4140705977204062</v>
      </c>
      <c r="AB1327">
        <v>1.4918444805950282</v>
      </c>
      <c r="AC1327">
        <v>1.5738959270277546</v>
      </c>
      <c r="AD1327">
        <v>1.660460203014281</v>
      </c>
      <c r="AE1327">
        <v>1.7517855141800662</v>
      </c>
    </row>
    <row r="1328" spans="1:31" x14ac:dyDescent="0.45">
      <c r="A1328" t="s">
        <v>1698</v>
      </c>
      <c r="B1328" t="s">
        <v>1499</v>
      </c>
      <c r="C1328" t="s">
        <v>285</v>
      </c>
      <c r="D1328">
        <v>2</v>
      </c>
      <c r="E1328" t="s">
        <v>1160</v>
      </c>
      <c r="K1328" t="str">
        <f>IF(ISBLANK(Mitigation_Industry!K786),"",Mitigation_Industry!K786)</f>
        <v/>
      </c>
      <c r="L1328">
        <f>IF(ISBLANK(Mitigation_Industry!L786),"",Mitigation_Industry!L786)</f>
        <v>0.63340895307832257</v>
      </c>
      <c r="M1328">
        <f>IF(ISBLANK(Mitigation_Industry!M786),"",Mitigation_Industry!M786)</f>
        <v>0.66824644549763035</v>
      </c>
      <c r="N1328">
        <f>IF(ISBLANK(Mitigation_Industry!N786),"",Mitigation_Industry!N786)</f>
        <v>0.70499999999999996</v>
      </c>
      <c r="O1328">
        <f>IF(ISBLANK(Mitigation_Industry!O786),"",Mitigation_Industry!O786)</f>
        <v>0.74377499999999996</v>
      </c>
      <c r="P1328">
        <f>IF(ISBLANK(Mitigation_Industry!P786),"",Mitigation_Industry!P786)</f>
        <v>0.78468262499999997</v>
      </c>
      <c r="Q1328">
        <f>IF(ISBLANK(Mitigation_Industry!Q786),"",Mitigation_Industry!Q786)</f>
        <v>0.82784016937499993</v>
      </c>
      <c r="R1328">
        <f>IF(ISBLANK(Mitigation_Industry!R786),"",Mitigation_Industry!R786)</f>
        <v>0.87337137869062498</v>
      </c>
      <c r="S1328">
        <f>IF(ISBLANK(Mitigation_Industry!S786),"",Mitigation_Industry!S786)</f>
        <v>0.92140680451860935</v>
      </c>
      <c r="T1328">
        <f>IF(ISBLANK(Mitigation_Industry!T786),"",Mitigation_Industry!T786)</f>
        <v>0.97208417876713282</v>
      </c>
      <c r="U1328">
        <f>IF(ISBLANK(Mitigation_Industry!U786),"",Mitigation_Industry!U786)</f>
        <v>1.025548808599325</v>
      </c>
      <c r="V1328">
        <f>IF(ISBLANK(Mitigation_Industry!V786),"",Mitigation_Industry!V786)</f>
        <v>1.0819539930722879</v>
      </c>
      <c r="W1328">
        <f>IF(ISBLANK(Mitigation_Industry!W786),"",Mitigation_Industry!W786)</f>
        <v>1.1414614626912638</v>
      </c>
      <c r="X1328">
        <f>IF(ISBLANK(Mitigation_Industry!X786),"",Mitigation_Industry!X786)</f>
        <v>1.2042418431392832</v>
      </c>
      <c r="Y1328">
        <f>IF(ISBLANK(Mitigation_Industry!Y786),"",Mitigation_Industry!Y786)</f>
        <v>1.2704751445119435</v>
      </c>
      <c r="Z1328">
        <f>IF(ISBLANK(Mitigation_Industry!Z786),"",Mitigation_Industry!Z786)</f>
        <v>1.3403512774601003</v>
      </c>
      <c r="AA1328">
        <f>IF(ISBLANK(Mitigation_Industry!AA786),"",Mitigation_Industry!AA786)</f>
        <v>1.4140705977204062</v>
      </c>
      <c r="AB1328">
        <f>IF(ISBLANK(Mitigation_Industry!AB786),"",Mitigation_Industry!AB786)</f>
        <v>1.4918444805950282</v>
      </c>
      <c r="AC1328">
        <f>IF(ISBLANK(Mitigation_Industry!AC786),"",Mitigation_Industry!AC786)</f>
        <v>1.5738959270277546</v>
      </c>
      <c r="AD1328">
        <f>IF(ISBLANK(Mitigation_Industry!AD786),"",Mitigation_Industry!AD786)</f>
        <v>1.660460203014281</v>
      </c>
      <c r="AE1328">
        <f>IF(ISBLANK(Mitigation_Industry!AE786),"",Mitigation_Industry!AE786)</f>
        <v>1.7517855141800662</v>
      </c>
    </row>
    <row r="1329" spans="1:31" x14ac:dyDescent="0.45">
      <c r="A1329" t="s">
        <v>1698</v>
      </c>
      <c r="B1329" t="s">
        <v>1499</v>
      </c>
      <c r="C1329" t="s">
        <v>285</v>
      </c>
      <c r="D1329">
        <v>2</v>
      </c>
      <c r="E1329" t="s">
        <v>1161</v>
      </c>
      <c r="F1329">
        <f>MAX(MAX(L1329:AE1329),-MIN(L1329:AE1329))</f>
        <v>0</v>
      </c>
      <c r="I1329" t="s">
        <v>1509</v>
      </c>
      <c r="K1329">
        <f t="shared" ref="K1329:AE1329" si="329">IF(ISNUMBER(K1327),IF(ISNUMBER(K1328),K1328-K1327,999999),0)</f>
        <v>0</v>
      </c>
      <c r="L1329">
        <f t="shared" si="329"/>
        <v>0</v>
      </c>
      <c r="M1329">
        <f t="shared" si="329"/>
        <v>0</v>
      </c>
      <c r="N1329">
        <f t="shared" si="329"/>
        <v>0</v>
      </c>
      <c r="O1329">
        <f t="shared" si="329"/>
        <v>0</v>
      </c>
      <c r="P1329">
        <f t="shared" si="329"/>
        <v>0</v>
      </c>
      <c r="Q1329">
        <f t="shared" si="329"/>
        <v>0</v>
      </c>
      <c r="R1329">
        <f t="shared" si="329"/>
        <v>0</v>
      </c>
      <c r="S1329">
        <f t="shared" si="329"/>
        <v>0</v>
      </c>
      <c r="T1329">
        <f t="shared" si="329"/>
        <v>0</v>
      </c>
      <c r="U1329">
        <f t="shared" si="329"/>
        <v>0</v>
      </c>
      <c r="V1329">
        <f t="shared" si="329"/>
        <v>0</v>
      </c>
      <c r="W1329">
        <f t="shared" si="329"/>
        <v>0</v>
      </c>
      <c r="X1329">
        <f t="shared" si="329"/>
        <v>0</v>
      </c>
      <c r="Y1329">
        <f t="shared" si="329"/>
        <v>0</v>
      </c>
      <c r="Z1329">
        <f t="shared" si="329"/>
        <v>0</v>
      </c>
      <c r="AA1329">
        <f t="shared" si="329"/>
        <v>0</v>
      </c>
      <c r="AB1329">
        <f t="shared" si="329"/>
        <v>0</v>
      </c>
      <c r="AC1329">
        <f t="shared" si="329"/>
        <v>0</v>
      </c>
      <c r="AD1329">
        <f t="shared" si="329"/>
        <v>0</v>
      </c>
      <c r="AE1329">
        <f t="shared" si="329"/>
        <v>0</v>
      </c>
    </row>
    <row r="1331" spans="1:31" x14ac:dyDescent="0.45">
      <c r="A1331" t="s">
        <v>1699</v>
      </c>
      <c r="B1331" t="s">
        <v>1499</v>
      </c>
      <c r="C1331" t="s">
        <v>286</v>
      </c>
      <c r="D1331">
        <v>2</v>
      </c>
      <c r="E1331" t="s">
        <v>1159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45">
      <c r="A1332" t="s">
        <v>1699</v>
      </c>
      <c r="B1332" t="s">
        <v>1499</v>
      </c>
      <c r="C1332" t="s">
        <v>286</v>
      </c>
      <c r="D1332">
        <v>2</v>
      </c>
      <c r="E1332" t="s">
        <v>1160</v>
      </c>
      <c r="K1332" t="str">
        <f>IF(ISBLANK(Mitigation_Industry!K787),"",Mitigation_Industry!K787)</f>
        <v/>
      </c>
      <c r="L1332">
        <f>IF(ISBLANK(Mitigation_Industry!L787),"",Mitigation_Industry!L787)</f>
        <v>0</v>
      </c>
      <c r="M1332">
        <f>IF(ISBLANK(Mitigation_Industry!M787),"",Mitigation_Industry!M787)</f>
        <v>0</v>
      </c>
      <c r="N1332">
        <f>IF(ISBLANK(Mitigation_Industry!N787),"",Mitigation_Industry!N787)</f>
        <v>0</v>
      </c>
      <c r="O1332">
        <f>IF(ISBLANK(Mitigation_Industry!O787),"",Mitigation_Industry!O787)</f>
        <v>0</v>
      </c>
      <c r="P1332">
        <f>IF(ISBLANK(Mitigation_Industry!P787),"",Mitigation_Industry!P787)</f>
        <v>0</v>
      </c>
      <c r="Q1332">
        <f>IF(ISBLANK(Mitigation_Industry!Q787),"",Mitigation_Industry!Q787)</f>
        <v>0</v>
      </c>
      <c r="R1332">
        <f>IF(ISBLANK(Mitigation_Industry!R787),"",Mitigation_Industry!R787)</f>
        <v>0</v>
      </c>
      <c r="S1332">
        <f>IF(ISBLANK(Mitigation_Industry!S787),"",Mitigation_Industry!S787)</f>
        <v>0</v>
      </c>
      <c r="T1332">
        <f>IF(ISBLANK(Mitigation_Industry!T787),"",Mitigation_Industry!T787)</f>
        <v>0</v>
      </c>
      <c r="U1332">
        <f>IF(ISBLANK(Mitigation_Industry!U787),"",Mitigation_Industry!U787)</f>
        <v>0</v>
      </c>
      <c r="V1332">
        <f>IF(ISBLANK(Mitigation_Industry!V787),"",Mitigation_Industry!V787)</f>
        <v>0</v>
      </c>
      <c r="W1332">
        <f>IF(ISBLANK(Mitigation_Industry!W787),"",Mitigation_Industry!W787)</f>
        <v>0</v>
      </c>
      <c r="X1332">
        <f>IF(ISBLANK(Mitigation_Industry!X787),"",Mitigation_Industry!X787)</f>
        <v>0</v>
      </c>
      <c r="Y1332">
        <f>IF(ISBLANK(Mitigation_Industry!Y787),"",Mitigation_Industry!Y787)</f>
        <v>0</v>
      </c>
      <c r="Z1332">
        <f>IF(ISBLANK(Mitigation_Industry!Z787),"",Mitigation_Industry!Z787)</f>
        <v>0</v>
      </c>
      <c r="AA1332">
        <f>IF(ISBLANK(Mitigation_Industry!AA787),"",Mitigation_Industry!AA787)</f>
        <v>0</v>
      </c>
      <c r="AB1332">
        <f>IF(ISBLANK(Mitigation_Industry!AB787),"",Mitigation_Industry!AB787)</f>
        <v>0</v>
      </c>
      <c r="AC1332">
        <f>IF(ISBLANK(Mitigation_Industry!AC787),"",Mitigation_Industry!AC787)</f>
        <v>0</v>
      </c>
      <c r="AD1332">
        <f>IF(ISBLANK(Mitigation_Industry!AD787),"",Mitigation_Industry!AD787)</f>
        <v>0</v>
      </c>
      <c r="AE1332">
        <f>IF(ISBLANK(Mitigation_Industry!AE787),"",Mitigation_Industry!AE787)</f>
        <v>0</v>
      </c>
    </row>
    <row r="1333" spans="1:31" x14ac:dyDescent="0.45">
      <c r="A1333" t="s">
        <v>1699</v>
      </c>
      <c r="B1333" t="s">
        <v>1499</v>
      </c>
      <c r="C1333" t="s">
        <v>286</v>
      </c>
      <c r="D1333">
        <v>2</v>
      </c>
      <c r="E1333" t="s">
        <v>1161</v>
      </c>
      <c r="F1333">
        <f>MAX(MAX(L1333:AE1333),-MIN(L1333:AE1333))</f>
        <v>0</v>
      </c>
      <c r="I1333" t="s">
        <v>1509</v>
      </c>
      <c r="K1333">
        <f t="shared" ref="K1333:AE1333" si="330">IF(ISNUMBER(K1331),IF(ISNUMBER(K1332),K1332-K1331,999999),0)</f>
        <v>0</v>
      </c>
      <c r="L1333">
        <f t="shared" si="330"/>
        <v>0</v>
      </c>
      <c r="M1333">
        <f t="shared" si="330"/>
        <v>0</v>
      </c>
      <c r="N1333">
        <f t="shared" si="330"/>
        <v>0</v>
      </c>
      <c r="O1333">
        <f t="shared" si="330"/>
        <v>0</v>
      </c>
      <c r="P1333">
        <f t="shared" si="330"/>
        <v>0</v>
      </c>
      <c r="Q1333">
        <f t="shared" si="330"/>
        <v>0</v>
      </c>
      <c r="R1333">
        <f t="shared" si="330"/>
        <v>0</v>
      </c>
      <c r="S1333">
        <f t="shared" si="330"/>
        <v>0</v>
      </c>
      <c r="T1333">
        <f t="shared" si="330"/>
        <v>0</v>
      </c>
      <c r="U1333">
        <f t="shared" si="330"/>
        <v>0</v>
      </c>
      <c r="V1333">
        <f t="shared" si="330"/>
        <v>0</v>
      </c>
      <c r="W1333">
        <f t="shared" si="330"/>
        <v>0</v>
      </c>
      <c r="X1333">
        <f t="shared" si="330"/>
        <v>0</v>
      </c>
      <c r="Y1333">
        <f t="shared" si="330"/>
        <v>0</v>
      </c>
      <c r="Z1333">
        <f t="shared" si="330"/>
        <v>0</v>
      </c>
      <c r="AA1333">
        <f t="shared" si="330"/>
        <v>0</v>
      </c>
      <c r="AB1333">
        <f t="shared" si="330"/>
        <v>0</v>
      </c>
      <c r="AC1333">
        <f t="shared" si="330"/>
        <v>0</v>
      </c>
      <c r="AD1333">
        <f t="shared" si="330"/>
        <v>0</v>
      </c>
      <c r="AE1333">
        <f t="shared" si="330"/>
        <v>0</v>
      </c>
    </row>
    <row r="1335" spans="1:31" x14ac:dyDescent="0.45">
      <c r="A1335" t="s">
        <v>1700</v>
      </c>
      <c r="B1335" t="s">
        <v>1499</v>
      </c>
      <c r="C1335" t="s">
        <v>287</v>
      </c>
      <c r="D1335">
        <v>2</v>
      </c>
      <c r="E1335" t="s">
        <v>1159</v>
      </c>
      <c r="L1335">
        <v>24.646491529759945</v>
      </c>
      <c r="M1335">
        <v>25.459825750242022</v>
      </c>
      <c r="N1335">
        <v>26.3</v>
      </c>
      <c r="O1335">
        <v>27.167899999999999</v>
      </c>
      <c r="P1335">
        <v>28.064440699999995</v>
      </c>
      <c r="Q1335">
        <v>28.990567243099992</v>
      </c>
      <c r="R1335">
        <v>29.947255962122291</v>
      </c>
      <c r="S1335">
        <v>30.935515408872323</v>
      </c>
      <c r="T1335">
        <v>31.956387417365111</v>
      </c>
      <c r="U1335">
        <v>33.010948202138152</v>
      </c>
      <c r="V1335">
        <v>34.100309492808705</v>
      </c>
      <c r="W1335">
        <v>35.225619706071399</v>
      </c>
      <c r="X1335">
        <v>36.388065156371745</v>
      </c>
      <c r="Y1335">
        <v>37.588871306532013</v>
      </c>
      <c r="Z1335">
        <v>38.829304059647569</v>
      </c>
      <c r="AA1335">
        <v>40.110671093615935</v>
      </c>
      <c r="AB1335">
        <v>41.434323239705257</v>
      </c>
      <c r="AC1335">
        <v>42.801655906615522</v>
      </c>
      <c r="AD1335">
        <v>44.214110551533835</v>
      </c>
      <c r="AE1335">
        <v>45.673176199734449</v>
      </c>
    </row>
    <row r="1336" spans="1:31" x14ac:dyDescent="0.45">
      <c r="A1336" t="s">
        <v>1700</v>
      </c>
      <c r="B1336" t="s">
        <v>1499</v>
      </c>
      <c r="C1336" t="s">
        <v>287</v>
      </c>
      <c r="D1336">
        <v>2</v>
      </c>
      <c r="E1336" t="s">
        <v>1160</v>
      </c>
      <c r="K1336" t="str">
        <f>IF(ISBLANK(Mitigation_Industry!K788),"",Mitigation_Industry!K788)</f>
        <v/>
      </c>
      <c r="L1336">
        <f>IF(ISBLANK(Mitigation_Industry!L788),"",Mitigation_Industry!L788)</f>
        <v>24.646491529759945</v>
      </c>
      <c r="M1336">
        <f>IF(ISBLANK(Mitigation_Industry!M788),"",Mitigation_Industry!M788)</f>
        <v>25.459825750242022</v>
      </c>
      <c r="N1336">
        <f>IF(ISBLANK(Mitigation_Industry!N788),"",Mitigation_Industry!N788)</f>
        <v>26.3</v>
      </c>
      <c r="O1336">
        <f>IF(ISBLANK(Mitigation_Industry!O788),"",Mitigation_Industry!O788)</f>
        <v>27.167899999999999</v>
      </c>
      <c r="P1336">
        <f>IF(ISBLANK(Mitigation_Industry!P788),"",Mitigation_Industry!P788)</f>
        <v>28.064440699999995</v>
      </c>
      <c r="Q1336">
        <f>IF(ISBLANK(Mitigation_Industry!Q788),"",Mitigation_Industry!Q788)</f>
        <v>28.990567243099992</v>
      </c>
      <c r="R1336">
        <f>IF(ISBLANK(Mitigation_Industry!R788),"",Mitigation_Industry!R788)</f>
        <v>29.947255962122291</v>
      </c>
      <c r="S1336">
        <f>IF(ISBLANK(Mitigation_Industry!S788),"",Mitigation_Industry!S788)</f>
        <v>30.935515408872323</v>
      </c>
      <c r="T1336">
        <f>IF(ISBLANK(Mitigation_Industry!T788),"",Mitigation_Industry!T788)</f>
        <v>31.956387417365111</v>
      </c>
      <c r="U1336">
        <f>IF(ISBLANK(Mitigation_Industry!U788),"",Mitigation_Industry!U788)</f>
        <v>33.010948202138152</v>
      </c>
      <c r="V1336">
        <f>IF(ISBLANK(Mitigation_Industry!V788),"",Mitigation_Industry!V788)</f>
        <v>34.100309492808705</v>
      </c>
      <c r="W1336">
        <f>IF(ISBLANK(Mitigation_Industry!W788),"",Mitigation_Industry!W788)</f>
        <v>35.225619706071399</v>
      </c>
      <c r="X1336">
        <f>IF(ISBLANK(Mitigation_Industry!X788),"",Mitigation_Industry!X788)</f>
        <v>36.388065156371745</v>
      </c>
      <c r="Y1336">
        <f>IF(ISBLANK(Mitigation_Industry!Y788),"",Mitigation_Industry!Y788)</f>
        <v>37.588871306532013</v>
      </c>
      <c r="Z1336">
        <f>IF(ISBLANK(Mitigation_Industry!Z788),"",Mitigation_Industry!Z788)</f>
        <v>38.829304059647569</v>
      </c>
      <c r="AA1336">
        <f>IF(ISBLANK(Mitigation_Industry!AA788),"",Mitigation_Industry!AA788)</f>
        <v>40.110671093615935</v>
      </c>
      <c r="AB1336">
        <f>IF(ISBLANK(Mitigation_Industry!AB788),"",Mitigation_Industry!AB788)</f>
        <v>41.434323239705257</v>
      </c>
      <c r="AC1336">
        <f>IF(ISBLANK(Mitigation_Industry!AC788),"",Mitigation_Industry!AC788)</f>
        <v>42.801655906615522</v>
      </c>
      <c r="AD1336">
        <f>IF(ISBLANK(Mitigation_Industry!AD788),"",Mitigation_Industry!AD788)</f>
        <v>44.214110551533835</v>
      </c>
      <c r="AE1336">
        <f>IF(ISBLANK(Mitigation_Industry!AE788),"",Mitigation_Industry!AE788)</f>
        <v>45.673176199734449</v>
      </c>
    </row>
    <row r="1337" spans="1:31" x14ac:dyDescent="0.45">
      <c r="A1337" t="s">
        <v>1700</v>
      </c>
      <c r="B1337" t="s">
        <v>1499</v>
      </c>
      <c r="C1337" t="s">
        <v>287</v>
      </c>
      <c r="D1337">
        <v>2</v>
      </c>
      <c r="E1337" t="s">
        <v>1161</v>
      </c>
      <c r="F1337">
        <f>MAX(MAX(L1337:AE1337),-MIN(L1337:AE1337))</f>
        <v>0</v>
      </c>
      <c r="I1337" t="s">
        <v>1509</v>
      </c>
      <c r="K1337">
        <f t="shared" ref="K1337:AE1337" si="331">IF(ISNUMBER(K1335),IF(ISNUMBER(K1336),K1336-K1335,999999),0)</f>
        <v>0</v>
      </c>
      <c r="L1337">
        <f t="shared" si="331"/>
        <v>0</v>
      </c>
      <c r="M1337">
        <f t="shared" si="331"/>
        <v>0</v>
      </c>
      <c r="N1337">
        <f t="shared" si="331"/>
        <v>0</v>
      </c>
      <c r="O1337">
        <f t="shared" si="331"/>
        <v>0</v>
      </c>
      <c r="P1337">
        <f t="shared" si="331"/>
        <v>0</v>
      </c>
      <c r="Q1337">
        <f t="shared" si="331"/>
        <v>0</v>
      </c>
      <c r="R1337">
        <f t="shared" si="331"/>
        <v>0</v>
      </c>
      <c r="S1337">
        <f t="shared" si="331"/>
        <v>0</v>
      </c>
      <c r="T1337">
        <f t="shared" si="331"/>
        <v>0</v>
      </c>
      <c r="U1337">
        <f t="shared" si="331"/>
        <v>0</v>
      </c>
      <c r="V1337">
        <f t="shared" si="331"/>
        <v>0</v>
      </c>
      <c r="W1337">
        <f t="shared" si="331"/>
        <v>0</v>
      </c>
      <c r="X1337">
        <f t="shared" si="331"/>
        <v>0</v>
      </c>
      <c r="Y1337">
        <f t="shared" si="331"/>
        <v>0</v>
      </c>
      <c r="Z1337">
        <f t="shared" si="331"/>
        <v>0</v>
      </c>
      <c r="AA1337">
        <f t="shared" si="331"/>
        <v>0</v>
      </c>
      <c r="AB1337">
        <f t="shared" si="331"/>
        <v>0</v>
      </c>
      <c r="AC1337">
        <f t="shared" si="331"/>
        <v>0</v>
      </c>
      <c r="AD1337">
        <f t="shared" si="331"/>
        <v>0</v>
      </c>
      <c r="AE1337">
        <f t="shared" si="331"/>
        <v>0</v>
      </c>
    </row>
    <row r="1339" spans="1:31" x14ac:dyDescent="0.45">
      <c r="A1339" t="s">
        <v>1701</v>
      </c>
      <c r="B1339" t="s">
        <v>1499</v>
      </c>
      <c r="C1339" t="s">
        <v>111</v>
      </c>
      <c r="D1339">
        <v>2</v>
      </c>
      <c r="E1339" t="s">
        <v>1159</v>
      </c>
    </row>
    <row r="1340" spans="1:31" x14ac:dyDescent="0.45">
      <c r="A1340" t="s">
        <v>1701</v>
      </c>
      <c r="B1340" t="s">
        <v>1499</v>
      </c>
      <c r="C1340" t="s">
        <v>111</v>
      </c>
      <c r="D1340">
        <v>2</v>
      </c>
      <c r="E1340" t="s">
        <v>1160</v>
      </c>
      <c r="K1340" t="str">
        <f>IF(ISBLANK(Mitigation_Industry!K789),"",Mitigation_Industry!K789)</f>
        <v/>
      </c>
      <c r="L1340">
        <f>IF(ISBLANK(Mitigation_Industry!L789),"",Mitigation_Industry!L789)</f>
        <v>26.090339299916035</v>
      </c>
      <c r="M1340">
        <f>IF(ISBLANK(Mitigation_Industry!M789),"",Mitigation_Industry!M789)</f>
        <v>26.961911636097749</v>
      </c>
      <c r="N1340">
        <f>IF(ISBLANK(Mitigation_Industry!N789),"",Mitigation_Industry!N789)</f>
        <v>27.863</v>
      </c>
      <c r="O1340">
        <f>IF(ISBLANK(Mitigation_Industry!O789),"",Mitigation_Industry!O789)</f>
        <v>28.794623000000001</v>
      </c>
      <c r="P1340">
        <f>IF(ISBLANK(Mitigation_Industry!P789),"",Mitigation_Industry!P789)</f>
        <v>29.757835348999997</v>
      </c>
      <c r="Q1340">
        <f>IF(ISBLANK(Mitigation_Industry!Q789),"",Mitigation_Industry!Q789)</f>
        <v>30.753729192394992</v>
      </c>
      <c r="R1340">
        <f>IF(ISBLANK(Mitigation_Industry!R789),"",Mitigation_Industry!R789)</f>
        <v>31.783435487304406</v>
      </c>
      <c r="S1340">
        <f>IF(ISBLANK(Mitigation_Industry!S789),"",Mitigation_Industry!S789)</f>
        <v>32.848125435164661</v>
      </c>
      <c r="T1340">
        <f>IF(ISBLANK(Mitigation_Industry!T789),"",Mitigation_Industry!T789)</f>
        <v>33.949011969871044</v>
      </c>
      <c r="U1340">
        <f>IF(ISBLANK(Mitigation_Industry!U789),"",Mitigation_Industry!U789)</f>
        <v>35.087351303752364</v>
      </c>
      <c r="V1340">
        <f>IF(ISBLANK(Mitigation_Industry!V789),"",Mitigation_Industry!V789)</f>
        <v>36.264444533762408</v>
      </c>
      <c r="W1340">
        <f>IF(ISBLANK(Mitigation_Industry!W789),"",Mitigation_Industry!W789)</f>
        <v>37.481639310376153</v>
      </c>
      <c r="X1340">
        <f>IF(ISBLANK(Mitigation_Industry!X789),"",Mitigation_Industry!X789)</f>
        <v>38.740331571788573</v>
      </c>
      <c r="Y1340">
        <f>IF(ISBLANK(Mitigation_Industry!Y789),"",Mitigation_Industry!Y789)</f>
        <v>40.041967346128295</v>
      </c>
      <c r="Z1340">
        <f>IF(ISBLANK(Mitigation_Industry!Z789),"",Mitigation_Industry!Z789)</f>
        <v>41.388044624518081</v>
      </c>
      <c r="AA1340">
        <f>IF(ISBLANK(Mitigation_Industry!AA789),"",Mitigation_Industry!AA789)</f>
        <v>42.780115307939909</v>
      </c>
      <c r="AB1340">
        <f>IF(ISBLANK(Mitigation_Industry!AB789),"",Mitigation_Industry!AB789)</f>
        <v>44.219787230993546</v>
      </c>
      <c r="AC1340">
        <f>IF(ISBLANK(Mitigation_Industry!AC789),"",Mitigation_Industry!AC789)</f>
        <v>45.708726265775283</v>
      </c>
      <c r="AD1340">
        <f>IF(ISBLANK(Mitigation_Industry!AD789),"",Mitigation_Industry!AD789)</f>
        <v>47.248658509247463</v>
      </c>
      <c r="AE1340">
        <f>IF(ISBLANK(Mitigation_Industry!AE789),"",Mitigation_Industry!AE789)</f>
        <v>48.841372557620346</v>
      </c>
    </row>
    <row r="1341" spans="1:31" x14ac:dyDescent="0.45">
      <c r="A1341" t="s">
        <v>1701</v>
      </c>
      <c r="B1341" t="s">
        <v>1499</v>
      </c>
      <c r="C1341" t="s">
        <v>111</v>
      </c>
      <c r="D1341">
        <v>2</v>
      </c>
      <c r="E1341" t="s">
        <v>1161</v>
      </c>
      <c r="F1341">
        <f>MAX(MAX(L1341:AE1341),-MIN(L1341:AE1341))</f>
        <v>0</v>
      </c>
      <c r="I1341" t="s">
        <v>1509</v>
      </c>
      <c r="K1341">
        <f t="shared" ref="K1341:AE1341" si="332">IF(ISNUMBER(K1339),IF(ISNUMBER(K1340),K1340-K1339,999999),0)</f>
        <v>0</v>
      </c>
      <c r="L1341">
        <f t="shared" si="332"/>
        <v>0</v>
      </c>
      <c r="M1341">
        <f t="shared" si="332"/>
        <v>0</v>
      </c>
      <c r="N1341">
        <f t="shared" si="332"/>
        <v>0</v>
      </c>
      <c r="O1341">
        <f t="shared" si="332"/>
        <v>0</v>
      </c>
      <c r="P1341">
        <f t="shared" si="332"/>
        <v>0</v>
      </c>
      <c r="Q1341">
        <f t="shared" si="332"/>
        <v>0</v>
      </c>
      <c r="R1341">
        <f t="shared" si="332"/>
        <v>0</v>
      </c>
      <c r="S1341">
        <f t="shared" si="332"/>
        <v>0</v>
      </c>
      <c r="T1341">
        <f t="shared" si="332"/>
        <v>0</v>
      </c>
      <c r="U1341">
        <f t="shared" si="332"/>
        <v>0</v>
      </c>
      <c r="V1341">
        <f t="shared" si="332"/>
        <v>0</v>
      </c>
      <c r="W1341">
        <f t="shared" si="332"/>
        <v>0</v>
      </c>
      <c r="X1341">
        <f t="shared" si="332"/>
        <v>0</v>
      </c>
      <c r="Y1341">
        <f t="shared" si="332"/>
        <v>0</v>
      </c>
      <c r="Z1341">
        <f t="shared" si="332"/>
        <v>0</v>
      </c>
      <c r="AA1341">
        <f t="shared" si="332"/>
        <v>0</v>
      </c>
      <c r="AB1341">
        <f t="shared" si="332"/>
        <v>0</v>
      </c>
      <c r="AC1341">
        <f t="shared" si="332"/>
        <v>0</v>
      </c>
      <c r="AD1341">
        <f t="shared" si="332"/>
        <v>0</v>
      </c>
      <c r="AE1341">
        <f t="shared" si="332"/>
        <v>0</v>
      </c>
    </row>
    <row r="1343" spans="1:31" x14ac:dyDescent="0.45">
      <c r="A1343" t="s">
        <v>1702</v>
      </c>
      <c r="B1343" t="s">
        <v>1500</v>
      </c>
      <c r="C1343" t="s">
        <v>1350</v>
      </c>
      <c r="D1343">
        <v>2</v>
      </c>
      <c r="E1343" t="s">
        <v>1159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45">
      <c r="A1344" t="s">
        <v>1702</v>
      </c>
      <c r="B1344" t="s">
        <v>1500</v>
      </c>
      <c r="C1344" t="s">
        <v>1350</v>
      </c>
      <c r="D1344">
        <v>2</v>
      </c>
      <c r="E1344" t="s">
        <v>1160</v>
      </c>
      <c r="K1344" t="str">
        <f>IF(ISBLANK(Mitigation_Industry!K791),"",Mitigation_Industry!K791)</f>
        <v/>
      </c>
      <c r="L1344">
        <f>IF(ISBLANK(Mitigation_Industry!L791),"",Mitigation_Industry!L791)</f>
        <v>0</v>
      </c>
      <c r="M1344">
        <f>IF(ISBLANK(Mitigation_Industry!M791),"",Mitigation_Industry!M791)</f>
        <v>0</v>
      </c>
      <c r="N1344">
        <f>IF(ISBLANK(Mitigation_Industry!N791),"",Mitigation_Industry!N791)</f>
        <v>0</v>
      </c>
      <c r="O1344">
        <f>IF(ISBLANK(Mitigation_Industry!O791),"",Mitigation_Industry!O791)</f>
        <v>0</v>
      </c>
      <c r="P1344">
        <f>IF(ISBLANK(Mitigation_Industry!P791),"",Mitigation_Industry!P791)</f>
        <v>0</v>
      </c>
      <c r="Q1344">
        <f>IF(ISBLANK(Mitigation_Industry!Q791),"",Mitigation_Industry!Q791)</f>
        <v>50.055252651914415</v>
      </c>
      <c r="R1344">
        <f>IF(ISBLANK(Mitigation_Industry!R791),"",Mitigation_Industry!R791)</f>
        <v>104.51536753719728</v>
      </c>
      <c r="S1344">
        <f>IF(ISBLANK(Mitigation_Industry!S791),"",Mitigation_Industry!S791)</f>
        <v>163.67106556325101</v>
      </c>
      <c r="T1344">
        <f>IF(ISBLANK(Mitigation_Industry!T791),"",Mitigation_Industry!T791)</f>
        <v>227.83012326404534</v>
      </c>
      <c r="U1344">
        <f>IF(ISBLANK(Mitigation_Industry!U791),"",Mitigation_Industry!U791)</f>
        <v>297.31831085957924</v>
      </c>
      <c r="V1344">
        <f>IF(ISBLANK(Mitigation_Industry!V791),"",Mitigation_Industry!V791)</f>
        <v>372.48037984488087</v>
      </c>
      <c r="W1344">
        <f>IF(ISBLANK(Mitigation_Industry!W791),"",Mitigation_Industry!W791)</f>
        <v>453.68110265106486</v>
      </c>
      <c r="X1344">
        <f>IF(ISBLANK(Mitigation_Industry!X791),"",Mitigation_Industry!X791)</f>
        <v>541.3063670488134</v>
      </c>
      <c r="Y1344">
        <f>IF(ISBLANK(Mitigation_Industry!Y791),"",Mitigation_Industry!Y791)</f>
        <v>635.76432809883147</v>
      </c>
      <c r="Z1344">
        <f>IF(ISBLANK(Mitigation_Industry!Z791),"",Mitigation_Industry!Z791)</f>
        <v>737.48662059464448</v>
      </c>
      <c r="AA1344">
        <f>IF(ISBLANK(Mitigation_Industry!AA791),"",Mitigation_Industry!AA791)</f>
        <v>846.92963509088975</v>
      </c>
      <c r="AB1344">
        <f>IF(ISBLANK(Mitigation_Industry!AB791),"",Mitigation_Industry!AB791)</f>
        <v>964.57586076533335</v>
      </c>
      <c r="AC1344">
        <f>IF(ISBLANK(Mitigation_Industry!AC791),"",Mitigation_Industry!AC791)</f>
        <v>1090.9352985255921</v>
      </c>
      <c r="AD1344">
        <f>IF(ISBLANK(Mitigation_Industry!AD791),"",Mitigation_Industry!AD791)</f>
        <v>1226.5469479423118</v>
      </c>
      <c r="AE1344">
        <f>IF(ISBLANK(Mitigation_Industry!AE791),"",Mitigation_Industry!AE791)</f>
        <v>1371.9803717697573</v>
      </c>
    </row>
    <row r="1345" spans="1:31" x14ac:dyDescent="0.45">
      <c r="A1345" t="s">
        <v>1702</v>
      </c>
      <c r="B1345" t="s">
        <v>1500</v>
      </c>
      <c r="C1345" t="s">
        <v>1350</v>
      </c>
      <c r="D1345">
        <v>2</v>
      </c>
      <c r="E1345" t="s">
        <v>1161</v>
      </c>
      <c r="F1345">
        <f>MAX(MAX(L1345:AE1345),-MIN(L1345:AE1345))</f>
        <v>1371.9803717697573</v>
      </c>
      <c r="I1345" t="s">
        <v>1588</v>
      </c>
      <c r="J1345" t="s">
        <v>1875</v>
      </c>
      <c r="K1345">
        <f t="shared" ref="K1345:AE1345" si="333">IF(ISNUMBER(K1343),IF(ISNUMBER(K1344),K1344-K1343,999999),0)</f>
        <v>0</v>
      </c>
      <c r="L1345">
        <f t="shared" si="333"/>
        <v>0</v>
      </c>
      <c r="M1345">
        <f t="shared" si="333"/>
        <v>0</v>
      </c>
      <c r="N1345">
        <f t="shared" si="333"/>
        <v>0</v>
      </c>
      <c r="O1345">
        <f t="shared" si="333"/>
        <v>0</v>
      </c>
      <c r="P1345">
        <f t="shared" si="333"/>
        <v>0</v>
      </c>
      <c r="Q1345">
        <f t="shared" si="333"/>
        <v>50.055252651914415</v>
      </c>
      <c r="R1345">
        <f t="shared" si="333"/>
        <v>104.51536753719728</v>
      </c>
      <c r="S1345">
        <f t="shared" si="333"/>
        <v>163.67106556325101</v>
      </c>
      <c r="T1345">
        <f t="shared" si="333"/>
        <v>227.83012326404534</v>
      </c>
      <c r="U1345">
        <f t="shared" si="333"/>
        <v>297.31831085957924</v>
      </c>
      <c r="V1345">
        <f t="shared" si="333"/>
        <v>372.48037984488087</v>
      </c>
      <c r="W1345">
        <f t="shared" si="333"/>
        <v>453.68110265106486</v>
      </c>
      <c r="X1345">
        <f t="shared" si="333"/>
        <v>541.3063670488134</v>
      </c>
      <c r="Y1345">
        <f t="shared" si="333"/>
        <v>635.76432809883147</v>
      </c>
      <c r="Z1345">
        <f t="shared" si="333"/>
        <v>737.48662059464448</v>
      </c>
      <c r="AA1345">
        <f t="shared" si="333"/>
        <v>846.92963509088975</v>
      </c>
      <c r="AB1345">
        <f t="shared" si="333"/>
        <v>964.57586076533335</v>
      </c>
      <c r="AC1345">
        <f t="shared" si="333"/>
        <v>1090.9352985255921</v>
      </c>
      <c r="AD1345">
        <f t="shared" si="333"/>
        <v>1226.5469479423118</v>
      </c>
      <c r="AE1345">
        <f t="shared" si="333"/>
        <v>1371.9803717697573</v>
      </c>
    </row>
    <row r="1347" spans="1:31" x14ac:dyDescent="0.45">
      <c r="A1347" t="s">
        <v>1703</v>
      </c>
      <c r="B1347" t="s">
        <v>1500</v>
      </c>
      <c r="C1347" t="s">
        <v>1357</v>
      </c>
      <c r="D1347">
        <v>2</v>
      </c>
      <c r="E1347" t="s">
        <v>1159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45">
      <c r="A1348" t="s">
        <v>1703</v>
      </c>
      <c r="B1348" t="s">
        <v>1500</v>
      </c>
      <c r="C1348" t="s">
        <v>1357</v>
      </c>
      <c r="D1348">
        <v>2</v>
      </c>
      <c r="E1348" t="s">
        <v>1160</v>
      </c>
      <c r="K1348" t="str">
        <f>IF(ISBLANK(Mitigation_Industry!K792),"",Mitigation_Industry!K792)</f>
        <v/>
      </c>
      <c r="L1348">
        <f>IF(ISBLANK(Mitigation_Industry!L792),"",Mitigation_Industry!L792)</f>
        <v>0</v>
      </c>
      <c r="M1348">
        <f>IF(ISBLANK(Mitigation_Industry!M792),"",Mitigation_Industry!M792)</f>
        <v>0</v>
      </c>
      <c r="N1348">
        <f>IF(ISBLANK(Mitigation_Industry!N792),"",Mitigation_Industry!N792)</f>
        <v>0</v>
      </c>
      <c r="O1348">
        <f>IF(ISBLANK(Mitigation_Industry!O792),"",Mitigation_Industry!O792)</f>
        <v>0</v>
      </c>
      <c r="P1348">
        <f>IF(ISBLANK(Mitigation_Industry!P792),"",Mitigation_Industry!P792)</f>
        <v>0</v>
      </c>
      <c r="Q1348">
        <f>IF(ISBLANK(Mitigation_Industry!Q792),"",Mitigation_Industry!Q792)</f>
        <v>9.5753711433600017</v>
      </c>
      <c r="R1348">
        <f>IF(ISBLANK(Mitigation_Industry!R792),"",Mitigation_Industry!R792)</f>
        <v>19.993374947335681</v>
      </c>
      <c r="S1348">
        <f>IF(ISBLANK(Mitigation_Industry!S792),"",Mitigation_Industry!S792)</f>
        <v>31.309625167527681</v>
      </c>
      <c r="T1348">
        <f>IF(ISBLANK(Mitigation_Industry!T792),"",Mitigation_Industry!T792)</f>
        <v>43.582998233198531</v>
      </c>
      <c r="U1348">
        <f>IF(ISBLANK(Mitigation_Industry!U792),"",Mitigation_Industry!U792)</f>
        <v>56.87581269432409</v>
      </c>
      <c r="V1348">
        <f>IF(ISBLANK(Mitigation_Industry!V792),"",Mitigation_Industry!V792)</f>
        <v>71.254018143449215</v>
      </c>
      <c r="W1348">
        <f>IF(ISBLANK(Mitigation_Industry!W792),"",Mitigation_Industry!W792)</f>
        <v>86.787394098721137</v>
      </c>
      <c r="X1348">
        <f>IF(ISBLANK(Mitigation_Industry!X792),"",Mitigation_Industry!X792)</f>
        <v>103.54975935893131</v>
      </c>
      <c r="Y1348">
        <f>IF(ISBLANK(Mitigation_Industry!Y792),"",Mitigation_Industry!Y792)</f>
        <v>121.61919236706478</v>
      </c>
      <c r="Z1348">
        <f>IF(ISBLANK(Mitigation_Industry!Z792),"",Mitigation_Industry!Z792)</f>
        <v>141.07826314579518</v>
      </c>
      <c r="AA1348">
        <f>IF(ISBLANK(Mitigation_Industry!AA792),"",Mitigation_Industry!AA792)</f>
        <v>162.01427739663117</v>
      </c>
      <c r="AB1348">
        <f>IF(ISBLANK(Mitigation_Industry!AB792),"",Mitigation_Industry!AB792)</f>
        <v>184.51953338409049</v>
      </c>
      <c r="AC1348">
        <f>IF(ISBLANK(Mitigation_Industry!AC792),"",Mitigation_Industry!AC792)</f>
        <v>208.69159225740634</v>
      </c>
      <c r="AD1348">
        <f>IF(ISBLANK(Mitigation_Industry!AD792),"",Mitigation_Industry!AD792)</f>
        <v>234.63356249494237</v>
      </c>
      <c r="AE1348">
        <f>IF(ISBLANK(Mitigation_Industry!AE792),"",Mitigation_Industry!AE792)</f>
        <v>262.45439919077126</v>
      </c>
    </row>
    <row r="1349" spans="1:31" x14ac:dyDescent="0.45">
      <c r="A1349" t="s">
        <v>1703</v>
      </c>
      <c r="B1349" t="s">
        <v>1500</v>
      </c>
      <c r="C1349" t="s">
        <v>1357</v>
      </c>
      <c r="D1349">
        <v>2</v>
      </c>
      <c r="E1349" t="s">
        <v>1161</v>
      </c>
      <c r="F1349">
        <f>MAX(MAX(L1349:AE1349),-MIN(L1349:AE1349))</f>
        <v>262.45439919077126</v>
      </c>
      <c r="I1349" t="s">
        <v>1588</v>
      </c>
      <c r="J1349" t="s">
        <v>1875</v>
      </c>
      <c r="K1349">
        <f t="shared" ref="K1349:AE1349" si="334">IF(ISNUMBER(K1347),IF(ISNUMBER(K1348),K1348-K1347,999999),0)</f>
        <v>0</v>
      </c>
      <c r="L1349">
        <f t="shared" si="334"/>
        <v>0</v>
      </c>
      <c r="M1349">
        <f t="shared" si="334"/>
        <v>0</v>
      </c>
      <c r="N1349">
        <f t="shared" si="334"/>
        <v>0</v>
      </c>
      <c r="O1349">
        <f t="shared" si="334"/>
        <v>0</v>
      </c>
      <c r="P1349">
        <f t="shared" si="334"/>
        <v>0</v>
      </c>
      <c r="Q1349">
        <f t="shared" si="334"/>
        <v>9.5753711433600017</v>
      </c>
      <c r="R1349">
        <f t="shared" si="334"/>
        <v>19.993374947335681</v>
      </c>
      <c r="S1349">
        <f t="shared" si="334"/>
        <v>31.309625167527681</v>
      </c>
      <c r="T1349">
        <f t="shared" si="334"/>
        <v>43.582998233198531</v>
      </c>
      <c r="U1349">
        <f t="shared" si="334"/>
        <v>56.87581269432409</v>
      </c>
      <c r="V1349">
        <f t="shared" si="334"/>
        <v>71.254018143449215</v>
      </c>
      <c r="W1349">
        <f t="shared" si="334"/>
        <v>86.787394098721137</v>
      </c>
      <c r="X1349">
        <f t="shared" si="334"/>
        <v>103.54975935893131</v>
      </c>
      <c r="Y1349">
        <f t="shared" si="334"/>
        <v>121.61919236706478</v>
      </c>
      <c r="Z1349">
        <f t="shared" si="334"/>
        <v>141.07826314579518</v>
      </c>
      <c r="AA1349">
        <f t="shared" si="334"/>
        <v>162.01427739663117</v>
      </c>
      <c r="AB1349">
        <f t="shared" si="334"/>
        <v>184.51953338409049</v>
      </c>
      <c r="AC1349">
        <f t="shared" si="334"/>
        <v>208.69159225740634</v>
      </c>
      <c r="AD1349">
        <f t="shared" si="334"/>
        <v>234.63356249494237</v>
      </c>
      <c r="AE1349">
        <f t="shared" si="334"/>
        <v>262.45439919077126</v>
      </c>
    </row>
    <row r="1351" spans="1:31" x14ac:dyDescent="0.45">
      <c r="A1351" t="s">
        <v>1704</v>
      </c>
      <c r="B1351" t="s">
        <v>1500</v>
      </c>
      <c r="C1351" t="s">
        <v>1363</v>
      </c>
      <c r="D1351">
        <v>2</v>
      </c>
      <c r="E1351" t="s">
        <v>1159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45">
      <c r="A1352" t="s">
        <v>1704</v>
      </c>
      <c r="B1352" t="s">
        <v>1500</v>
      </c>
      <c r="C1352" t="s">
        <v>1363</v>
      </c>
      <c r="D1352">
        <v>2</v>
      </c>
      <c r="E1352" t="s">
        <v>1160</v>
      </c>
      <c r="K1352" t="str">
        <f>IF(ISBLANK(Mitigation_Industry!K793),"",Mitigation_Industry!K793)</f>
        <v/>
      </c>
      <c r="L1352">
        <f>IF(ISBLANK(Mitigation_Industry!L793),"",Mitigation_Industry!L793)</f>
        <v>0</v>
      </c>
      <c r="M1352">
        <f>IF(ISBLANK(Mitigation_Industry!M793),"",Mitigation_Industry!M793)</f>
        <v>0</v>
      </c>
      <c r="N1352">
        <f>IF(ISBLANK(Mitigation_Industry!N793),"",Mitigation_Industry!N793)</f>
        <v>0</v>
      </c>
      <c r="O1352">
        <f>IF(ISBLANK(Mitigation_Industry!O793),"",Mitigation_Industry!O793)</f>
        <v>0</v>
      </c>
      <c r="P1352">
        <f>IF(ISBLANK(Mitigation_Industry!P793),"",Mitigation_Industry!P793)</f>
        <v>0</v>
      </c>
      <c r="Q1352">
        <f>IF(ISBLANK(Mitigation_Industry!Q793),"",Mitigation_Industry!Q793)</f>
        <v>0</v>
      </c>
      <c r="R1352">
        <f>IF(ISBLANK(Mitigation_Industry!R793),"",Mitigation_Industry!R793)</f>
        <v>0</v>
      </c>
      <c r="S1352">
        <f>IF(ISBLANK(Mitigation_Industry!S793),"",Mitigation_Industry!S793)</f>
        <v>0</v>
      </c>
      <c r="T1352">
        <f>IF(ISBLANK(Mitigation_Industry!T793),"",Mitigation_Industry!T793)</f>
        <v>0</v>
      </c>
      <c r="U1352">
        <f>IF(ISBLANK(Mitigation_Industry!U793),"",Mitigation_Industry!U793)</f>
        <v>0</v>
      </c>
      <c r="V1352">
        <f>IF(ISBLANK(Mitigation_Industry!V793),"",Mitigation_Industry!V793)</f>
        <v>0</v>
      </c>
      <c r="W1352">
        <f>IF(ISBLANK(Mitigation_Industry!W793),"",Mitigation_Industry!W793)</f>
        <v>0</v>
      </c>
      <c r="X1352">
        <f>IF(ISBLANK(Mitigation_Industry!X793),"",Mitigation_Industry!X793)</f>
        <v>0</v>
      </c>
      <c r="Y1352">
        <f>IF(ISBLANK(Mitigation_Industry!Y793),"",Mitigation_Industry!Y793)</f>
        <v>0</v>
      </c>
      <c r="Z1352">
        <f>IF(ISBLANK(Mitigation_Industry!Z793),"",Mitigation_Industry!Z793)</f>
        <v>0</v>
      </c>
      <c r="AA1352">
        <f>IF(ISBLANK(Mitigation_Industry!AA793),"",Mitigation_Industry!AA793)</f>
        <v>0</v>
      </c>
      <c r="AB1352">
        <f>IF(ISBLANK(Mitigation_Industry!AB793),"",Mitigation_Industry!AB793)</f>
        <v>0</v>
      </c>
      <c r="AC1352">
        <f>IF(ISBLANK(Mitigation_Industry!AC793),"",Mitigation_Industry!AC793)</f>
        <v>0</v>
      </c>
      <c r="AD1352">
        <f>IF(ISBLANK(Mitigation_Industry!AD793),"",Mitigation_Industry!AD793)</f>
        <v>0</v>
      </c>
      <c r="AE1352">
        <f>IF(ISBLANK(Mitigation_Industry!AE793),"",Mitigation_Industry!AE793)</f>
        <v>0</v>
      </c>
    </row>
    <row r="1353" spans="1:31" x14ac:dyDescent="0.45">
      <c r="A1353" t="s">
        <v>1704</v>
      </c>
      <c r="B1353" t="s">
        <v>1500</v>
      </c>
      <c r="C1353" t="s">
        <v>1363</v>
      </c>
      <c r="D1353">
        <v>2</v>
      </c>
      <c r="E1353" t="s">
        <v>1161</v>
      </c>
      <c r="F1353">
        <f>MAX(MAX(L1353:AE1353),-MIN(L1353:AE1353))</f>
        <v>0</v>
      </c>
      <c r="I1353" t="s">
        <v>1588</v>
      </c>
      <c r="J1353" t="s">
        <v>1875</v>
      </c>
      <c r="K1353">
        <f t="shared" ref="K1353:AE1353" si="335">IF(ISNUMBER(K1351),IF(ISNUMBER(K1352),K1352-K1351,999999),0)</f>
        <v>0</v>
      </c>
      <c r="L1353">
        <f t="shared" si="335"/>
        <v>0</v>
      </c>
      <c r="M1353">
        <f t="shared" si="335"/>
        <v>0</v>
      </c>
      <c r="N1353">
        <f t="shared" si="335"/>
        <v>0</v>
      </c>
      <c r="O1353">
        <f t="shared" si="335"/>
        <v>0</v>
      </c>
      <c r="P1353">
        <f t="shared" si="335"/>
        <v>0</v>
      </c>
      <c r="Q1353">
        <f t="shared" si="335"/>
        <v>0</v>
      </c>
      <c r="R1353">
        <f t="shared" si="335"/>
        <v>0</v>
      </c>
      <c r="S1353">
        <f t="shared" si="335"/>
        <v>0</v>
      </c>
      <c r="T1353">
        <f t="shared" si="335"/>
        <v>0</v>
      </c>
      <c r="U1353">
        <f t="shared" si="335"/>
        <v>0</v>
      </c>
      <c r="V1353">
        <f t="shared" si="335"/>
        <v>0</v>
      </c>
      <c r="W1353">
        <f t="shared" si="335"/>
        <v>0</v>
      </c>
      <c r="X1353">
        <f t="shared" si="335"/>
        <v>0</v>
      </c>
      <c r="Y1353">
        <f t="shared" si="335"/>
        <v>0</v>
      </c>
      <c r="Z1353">
        <f t="shared" si="335"/>
        <v>0</v>
      </c>
      <c r="AA1353">
        <f t="shared" si="335"/>
        <v>0</v>
      </c>
      <c r="AB1353">
        <f t="shared" si="335"/>
        <v>0</v>
      </c>
      <c r="AC1353">
        <f t="shared" si="335"/>
        <v>0</v>
      </c>
      <c r="AD1353">
        <f t="shared" si="335"/>
        <v>0</v>
      </c>
      <c r="AE1353">
        <f t="shared" si="335"/>
        <v>0</v>
      </c>
    </row>
    <row r="1355" spans="1:31" x14ac:dyDescent="0.45">
      <c r="A1355" t="s">
        <v>1705</v>
      </c>
      <c r="B1355" t="s">
        <v>1500</v>
      </c>
      <c r="C1355" t="s">
        <v>1369</v>
      </c>
      <c r="D1355">
        <v>2</v>
      </c>
      <c r="E1355" t="s">
        <v>1159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45">
      <c r="A1356" t="s">
        <v>1705</v>
      </c>
      <c r="B1356" t="s">
        <v>1500</v>
      </c>
      <c r="C1356" t="s">
        <v>1369</v>
      </c>
      <c r="D1356">
        <v>2</v>
      </c>
      <c r="E1356" t="s">
        <v>1160</v>
      </c>
      <c r="K1356" t="str">
        <f>IF(ISBLANK(Mitigation_Industry!K794),"",Mitigation_Industry!K794)</f>
        <v/>
      </c>
      <c r="L1356">
        <f>IF(ISBLANK(Mitigation_Industry!L794),"",Mitigation_Industry!L794)</f>
        <v>0</v>
      </c>
      <c r="M1356">
        <f>IF(ISBLANK(Mitigation_Industry!M794),"",Mitigation_Industry!M794)</f>
        <v>0</v>
      </c>
      <c r="N1356">
        <f>IF(ISBLANK(Mitigation_Industry!N794),"",Mitigation_Industry!N794)</f>
        <v>0</v>
      </c>
      <c r="O1356">
        <f>IF(ISBLANK(Mitigation_Industry!O794),"",Mitigation_Industry!O794)</f>
        <v>0</v>
      </c>
      <c r="P1356">
        <f>IF(ISBLANK(Mitigation_Industry!P794),"",Mitigation_Industry!P794)</f>
        <v>0</v>
      </c>
      <c r="Q1356">
        <f>IF(ISBLANK(Mitigation_Industry!Q794),"",Mitigation_Industry!Q794)</f>
        <v>198.62121046068745</v>
      </c>
      <c r="R1356">
        <f>IF(ISBLANK(Mitigation_Industry!R794),"",Mitigation_Industry!R794)</f>
        <v>410.3514208117802</v>
      </c>
      <c r="S1356">
        <f>IF(ISBLANK(Mitigation_Industry!S794),"",Mitigation_Industry!S794)</f>
        <v>635.83952654785332</v>
      </c>
      <c r="T1356">
        <f>IF(ISBLANK(Mitigation_Industry!T794),"",Mitigation_Industry!T794)</f>
        <v>875.76297456524333</v>
      </c>
      <c r="U1356">
        <f>IF(ISBLANK(Mitigation_Industry!U794),"",Mitigation_Industry!U794)</f>
        <v>1130.8289409073705</v>
      </c>
      <c r="V1356">
        <f>IF(ISBLANK(Mitigation_Industry!V794),"",Mitigation_Industry!V794)</f>
        <v>1401.7755551487762</v>
      </c>
      <c r="W1356">
        <f>IF(ISBLANK(Mitigation_Industry!W794),"",Mitigation_Industry!W794)</f>
        <v>1689.3731732134665</v>
      </c>
      <c r="X1356">
        <f>IF(ISBLANK(Mitigation_Industry!X794),"",Mitigation_Industry!X794)</f>
        <v>1994.4257004908695</v>
      </c>
      <c r="Y1356">
        <f>IF(ISBLANK(Mitigation_Industry!Y794),"",Mitigation_Industry!Y794)</f>
        <v>2317.7719671829518</v>
      </c>
      <c r="Z1356">
        <f>IF(ISBLANK(Mitigation_Industry!Z794),"",Mitigation_Industry!Z794)</f>
        <v>2660.2871578888767</v>
      </c>
      <c r="AA1356">
        <f>IF(ISBLANK(Mitigation_Industry!AA794),"",Mitigation_Industry!AA794)</f>
        <v>3022.8842975091302</v>
      </c>
      <c r="AB1356">
        <f>IF(ISBLANK(Mitigation_Industry!AB794),"",Mitigation_Industry!AB794)</f>
        <v>3406.5157956293801</v>
      </c>
      <c r="AC1356">
        <f>IF(ISBLANK(Mitigation_Industry!AC794),"",Mitigation_Industry!AC794)</f>
        <v>3812.1750516255784</v>
      </c>
      <c r="AD1356">
        <f>IF(ISBLANK(Mitigation_Industry!AD794),"",Mitigation_Industry!AD794)</f>
        <v>4240.8981228160856</v>
      </c>
      <c r="AE1356">
        <f>IF(ISBLANK(Mitigation_Industry!AE794),"",Mitigation_Industry!AE794)</f>
        <v>4693.7654580739454</v>
      </c>
    </row>
    <row r="1357" spans="1:31" x14ac:dyDescent="0.45">
      <c r="A1357" t="s">
        <v>1705</v>
      </c>
      <c r="B1357" t="s">
        <v>1500</v>
      </c>
      <c r="C1357" t="s">
        <v>1369</v>
      </c>
      <c r="D1357">
        <v>2</v>
      </c>
      <c r="E1357" t="s">
        <v>1161</v>
      </c>
      <c r="F1357">
        <f>MAX(MAX(L1357:AE1357),-MIN(L1357:AE1357))</f>
        <v>4693.7654580739454</v>
      </c>
      <c r="I1357" t="s">
        <v>1588</v>
      </c>
      <c r="J1357" t="s">
        <v>1875</v>
      </c>
      <c r="K1357">
        <f t="shared" ref="K1357:AE1357" si="336">IF(ISNUMBER(K1355),IF(ISNUMBER(K1356),K1356-K1355,999999),0)</f>
        <v>0</v>
      </c>
      <c r="L1357">
        <f t="shared" si="336"/>
        <v>0</v>
      </c>
      <c r="M1357">
        <f t="shared" si="336"/>
        <v>0</v>
      </c>
      <c r="N1357">
        <f t="shared" si="336"/>
        <v>0</v>
      </c>
      <c r="O1357">
        <f t="shared" si="336"/>
        <v>0</v>
      </c>
      <c r="P1357">
        <f t="shared" si="336"/>
        <v>0</v>
      </c>
      <c r="Q1357">
        <f t="shared" si="336"/>
        <v>198.62121046068745</v>
      </c>
      <c r="R1357">
        <f t="shared" si="336"/>
        <v>410.3514208117802</v>
      </c>
      <c r="S1357">
        <f t="shared" si="336"/>
        <v>635.83952654785332</v>
      </c>
      <c r="T1357">
        <f t="shared" si="336"/>
        <v>875.76297456524333</v>
      </c>
      <c r="U1357">
        <f t="shared" si="336"/>
        <v>1130.8289409073705</v>
      </c>
      <c r="V1357">
        <f t="shared" si="336"/>
        <v>1401.7755551487762</v>
      </c>
      <c r="W1357">
        <f t="shared" si="336"/>
        <v>1689.3731732134665</v>
      </c>
      <c r="X1357">
        <f t="shared" si="336"/>
        <v>1994.4257004908695</v>
      </c>
      <c r="Y1357">
        <f t="shared" si="336"/>
        <v>2317.7719671829518</v>
      </c>
      <c r="Z1357">
        <f t="shared" si="336"/>
        <v>2660.2871578888767</v>
      </c>
      <c r="AA1357">
        <f t="shared" si="336"/>
        <v>3022.8842975091302</v>
      </c>
      <c r="AB1357">
        <f t="shared" si="336"/>
        <v>3406.5157956293801</v>
      </c>
      <c r="AC1357">
        <f t="shared" si="336"/>
        <v>3812.1750516255784</v>
      </c>
      <c r="AD1357">
        <f t="shared" si="336"/>
        <v>4240.8981228160856</v>
      </c>
      <c r="AE1357">
        <f t="shared" si="336"/>
        <v>4693.7654580739454</v>
      </c>
    </row>
    <row r="1359" spans="1:31" x14ac:dyDescent="0.45">
      <c r="A1359" t="s">
        <v>1706</v>
      </c>
      <c r="B1359" t="s">
        <v>1500</v>
      </c>
      <c r="C1359" t="s">
        <v>1442</v>
      </c>
      <c r="D1359">
        <v>2</v>
      </c>
      <c r="E1359" t="s">
        <v>1159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45">
      <c r="A1360" t="s">
        <v>1706</v>
      </c>
      <c r="B1360" t="s">
        <v>1500</v>
      </c>
      <c r="C1360" t="s">
        <v>1442</v>
      </c>
      <c r="D1360">
        <v>2</v>
      </c>
      <c r="E1360" t="s">
        <v>1160</v>
      </c>
      <c r="K1360" t="str">
        <f>IF(ISBLANK(Mitigation_Industry!K795),"",Mitigation_Industry!K795)</f>
        <v/>
      </c>
      <c r="L1360">
        <f>IF(ISBLANK(Mitigation_Industry!L795),"",Mitigation_Industry!L795)</f>
        <v>0</v>
      </c>
      <c r="M1360">
        <f>IF(ISBLANK(Mitigation_Industry!M795),"",Mitigation_Industry!M795)</f>
        <v>0</v>
      </c>
      <c r="N1360">
        <f>IF(ISBLANK(Mitigation_Industry!N795),"",Mitigation_Industry!N795)</f>
        <v>0</v>
      </c>
      <c r="O1360">
        <f>IF(ISBLANK(Mitigation_Industry!O795),"",Mitigation_Industry!O795)</f>
        <v>0</v>
      </c>
      <c r="P1360">
        <f>IF(ISBLANK(Mitigation_Industry!P795),"",Mitigation_Industry!P795)</f>
        <v>0</v>
      </c>
      <c r="Q1360">
        <f>IF(ISBLANK(Mitigation_Industry!Q795),"",Mitigation_Industry!Q795)</f>
        <v>44.093819705408542</v>
      </c>
      <c r="R1360">
        <f>IF(ISBLANK(Mitigation_Industry!R795),"",Mitigation_Industry!R795)</f>
        <v>90.127767477855073</v>
      </c>
      <c r="S1360">
        <f>IF(ISBLANK(Mitigation_Industry!S795),"",Mitigation_Industry!S795)</f>
        <v>138.16586754355183</v>
      </c>
      <c r="T1360">
        <f>IF(ISBLANK(Mitigation_Industry!T795),"",Mitigation_Industry!T795)</f>
        <v>188.27402217267993</v>
      </c>
      <c r="U1360">
        <f>IF(ISBLANK(Mitigation_Industry!U795),"",Mitigation_Industry!U795)</f>
        <v>240.52006332559864</v>
      </c>
      <c r="V1360">
        <f>IF(ISBLANK(Mitigation_Industry!V795),"",Mitigation_Industry!V795)</f>
        <v>294.97380566251417</v>
      </c>
      <c r="W1360">
        <f>IF(ISBLANK(Mitigation_Industry!W795),"",Mitigation_Industry!W795)</f>
        <v>351.70710095160445</v>
      </c>
      <c r="X1360">
        <f>IF(ISBLANK(Mitigation_Industry!X795),"",Mitigation_Industry!X795)</f>
        <v>410.79389391147396</v>
      </c>
      <c r="Y1360">
        <f>IF(ISBLANK(Mitigation_Industry!Y795),"",Mitigation_Industry!Y795)</f>
        <v>472.31027952471726</v>
      </c>
      <c r="Z1360">
        <f>IF(ISBLANK(Mitigation_Industry!Z795),"",Mitigation_Industry!Z795)</f>
        <v>536.33456186029002</v>
      </c>
      <c r="AA1360">
        <f>IF(ISBLANK(Mitigation_Industry!AA795),"",Mitigation_Industry!AA795)</f>
        <v>602.94731444333797</v>
      </c>
      <c r="AB1360">
        <f>IF(ISBLANK(Mitigation_Industry!AB795),"",Mitigation_Industry!AB795)</f>
        <v>672.23144221209975</v>
      </c>
      <c r="AC1360">
        <f>IF(ISBLANK(Mitigation_Industry!AC795),"",Mitigation_Industry!AC795)</f>
        <v>744.27224510249653</v>
      </c>
      <c r="AD1360">
        <f>IF(ISBLANK(Mitigation_Industry!AD795),"",Mitigation_Industry!AD795)</f>
        <v>819.15748330203985</v>
      </c>
      <c r="AE1360">
        <f>IF(ISBLANK(Mitigation_Industry!AE795),"",Mitigation_Industry!AE795)</f>
        <v>896.97744421573373</v>
      </c>
    </row>
    <row r="1361" spans="1:31" x14ac:dyDescent="0.45">
      <c r="A1361" t="s">
        <v>1706</v>
      </c>
      <c r="B1361" t="s">
        <v>1500</v>
      </c>
      <c r="C1361" t="s">
        <v>1442</v>
      </c>
      <c r="D1361">
        <v>2</v>
      </c>
      <c r="E1361" t="s">
        <v>1161</v>
      </c>
      <c r="F1361">
        <f>MAX(MAX(L1361:AE1361),-MIN(L1361:AE1361))</f>
        <v>896.97744421573373</v>
      </c>
      <c r="I1361" t="s">
        <v>1588</v>
      </c>
      <c r="J1361" t="s">
        <v>1875</v>
      </c>
      <c r="K1361">
        <f t="shared" ref="K1361:AE1361" si="337">IF(ISNUMBER(K1359),IF(ISNUMBER(K1360),K1360-K1359,999999),0)</f>
        <v>0</v>
      </c>
      <c r="L1361">
        <f t="shared" si="337"/>
        <v>0</v>
      </c>
      <c r="M1361">
        <f t="shared" si="337"/>
        <v>0</v>
      </c>
      <c r="N1361">
        <f t="shared" si="337"/>
        <v>0</v>
      </c>
      <c r="O1361">
        <f t="shared" si="337"/>
        <v>0</v>
      </c>
      <c r="P1361">
        <f t="shared" si="337"/>
        <v>0</v>
      </c>
      <c r="Q1361">
        <f t="shared" si="337"/>
        <v>44.093819705408542</v>
      </c>
      <c r="R1361">
        <f t="shared" si="337"/>
        <v>90.127767477855073</v>
      </c>
      <c r="S1361">
        <f t="shared" si="337"/>
        <v>138.16586754355183</v>
      </c>
      <c r="T1361">
        <f t="shared" si="337"/>
        <v>188.27402217267993</v>
      </c>
      <c r="U1361">
        <f t="shared" si="337"/>
        <v>240.52006332559864</v>
      </c>
      <c r="V1361">
        <f t="shared" si="337"/>
        <v>294.97380566251417</v>
      </c>
      <c r="W1361">
        <f t="shared" si="337"/>
        <v>351.70710095160445</v>
      </c>
      <c r="X1361">
        <f t="shared" si="337"/>
        <v>410.79389391147396</v>
      </c>
      <c r="Y1361">
        <f t="shared" si="337"/>
        <v>472.31027952471726</v>
      </c>
      <c r="Z1361">
        <f t="shared" si="337"/>
        <v>536.33456186029002</v>
      </c>
      <c r="AA1361">
        <f t="shared" si="337"/>
        <v>602.94731444333797</v>
      </c>
      <c r="AB1361">
        <f t="shared" si="337"/>
        <v>672.23144221209975</v>
      </c>
      <c r="AC1361">
        <f t="shared" si="337"/>
        <v>744.27224510249653</v>
      </c>
      <c r="AD1361">
        <f t="shared" si="337"/>
        <v>819.15748330203985</v>
      </c>
      <c r="AE1361">
        <f t="shared" si="337"/>
        <v>896.97744421573373</v>
      </c>
    </row>
    <row r="1363" spans="1:31" x14ac:dyDescent="0.45">
      <c r="A1363" t="s">
        <v>1707</v>
      </c>
      <c r="B1363" t="s">
        <v>1500</v>
      </c>
      <c r="C1363" t="s">
        <v>1383</v>
      </c>
      <c r="D1363">
        <v>2</v>
      </c>
      <c r="E1363" t="s">
        <v>1159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45">
      <c r="A1364" t="s">
        <v>1707</v>
      </c>
      <c r="B1364" t="s">
        <v>1500</v>
      </c>
      <c r="C1364" t="s">
        <v>1383</v>
      </c>
      <c r="D1364">
        <v>2</v>
      </c>
      <c r="E1364" t="s">
        <v>1160</v>
      </c>
      <c r="K1364" t="str">
        <f>IF(ISBLANK(Mitigation_Industry!K796),"",Mitigation_Industry!K796)</f>
        <v/>
      </c>
      <c r="L1364">
        <f>IF(ISBLANK(Mitigation_Industry!L796),"",Mitigation_Industry!L796)</f>
        <v>0</v>
      </c>
      <c r="M1364">
        <f>IF(ISBLANK(Mitigation_Industry!M796),"",Mitigation_Industry!M796)</f>
        <v>0</v>
      </c>
      <c r="N1364">
        <f>IF(ISBLANK(Mitigation_Industry!N796),"",Mitigation_Industry!N796)</f>
        <v>0</v>
      </c>
      <c r="O1364">
        <f>IF(ISBLANK(Mitigation_Industry!O796),"",Mitigation_Industry!O796)</f>
        <v>0</v>
      </c>
      <c r="P1364">
        <f>IF(ISBLANK(Mitigation_Industry!P796),"",Mitigation_Industry!P796)</f>
        <v>0</v>
      </c>
      <c r="Q1364">
        <f>IF(ISBLANK(Mitigation_Industry!Q796),"",Mitigation_Industry!Q796)</f>
        <v>4.1919258186959993</v>
      </c>
      <c r="R1364">
        <f>IF(ISBLANK(Mitigation_Industry!R796),"",Mitigation_Industry!R796)</f>
        <v>8.5682963734146238</v>
      </c>
      <c r="S1364">
        <f>IF(ISBLANK(Mitigation_Industry!S796),"",Mitigation_Industry!S796)</f>
        <v>13.135198340444619</v>
      </c>
      <c r="T1364">
        <f>IF(ISBLANK(Mitigation_Industry!T796),"",Mitigation_Industry!T796)</f>
        <v>17.898896938579199</v>
      </c>
      <c r="U1364">
        <f>IF(ISBLANK(Mitigation_Industry!U796),"",Mitigation_Industry!U796)</f>
        <v>22.865840839034927</v>
      </c>
      <c r="V1364">
        <f>IF(ISBLANK(Mitigation_Industry!V796),"",Mitigation_Industry!V796)</f>
        <v>28.042667204992437</v>
      </c>
      <c r="W1364">
        <f>IF(ISBLANK(Mitigation_Industry!W796),"",Mitigation_Industry!W796)</f>
        <v>33.436206864085989</v>
      </c>
      <c r="X1364">
        <f>IF(ISBLANK(Mitigation_Industry!X796),"",Mitigation_Industry!X796)</f>
        <v>39.053489617252438</v>
      </c>
      <c r="Y1364">
        <f>IF(ISBLANK(Mitigation_Industry!Y796),"",Mitigation_Industry!Y796)</f>
        <v>44.901749687435988</v>
      </c>
      <c r="Z1364">
        <f>IF(ISBLANK(Mitigation_Industry!Z796),"",Mitigation_Industry!Z796)</f>
        <v>50.988431311732867</v>
      </c>
      <c r="AA1364">
        <f>IF(ISBLANK(Mitigation_Industry!AA796),"",Mitigation_Industry!AA796)</f>
        <v>57.321194480650092</v>
      </c>
      <c r="AB1364">
        <f>IF(ISBLANK(Mitigation_Industry!AB796),"",Mitigation_Industry!AB796)</f>
        <v>63.907920828244798</v>
      </c>
      <c r="AC1364">
        <f>IF(ISBLANK(Mitigation_Industry!AC796),"",Mitigation_Industry!AC796)</f>
        <v>70.756719677005037</v>
      </c>
      <c r="AD1364">
        <f>IF(ISBLANK(Mitigation_Industry!AD796),"",Mitigation_Industry!AD796)</f>
        <v>77.875934241429846</v>
      </c>
      <c r="AE1364">
        <f>IF(ISBLANK(Mitigation_Industry!AE796),"",Mitigation_Industry!AE796)</f>
        <v>85.274147994365691</v>
      </c>
    </row>
    <row r="1365" spans="1:31" x14ac:dyDescent="0.45">
      <c r="A1365" t="s">
        <v>1707</v>
      </c>
      <c r="B1365" t="s">
        <v>1500</v>
      </c>
      <c r="C1365" t="s">
        <v>1383</v>
      </c>
      <c r="D1365">
        <v>2</v>
      </c>
      <c r="E1365" t="s">
        <v>1161</v>
      </c>
      <c r="F1365">
        <f>MAX(MAX(L1365:AE1365),-MIN(L1365:AE1365))</f>
        <v>85.274147994365691</v>
      </c>
      <c r="I1365" t="s">
        <v>1588</v>
      </c>
      <c r="J1365" t="s">
        <v>1875</v>
      </c>
      <c r="K1365">
        <f t="shared" ref="K1365:AE1365" si="338">IF(ISNUMBER(K1363),IF(ISNUMBER(K1364),K1364-K1363,999999),0)</f>
        <v>0</v>
      </c>
      <c r="L1365">
        <f t="shared" si="338"/>
        <v>0</v>
      </c>
      <c r="M1365">
        <f t="shared" si="338"/>
        <v>0</v>
      </c>
      <c r="N1365">
        <f t="shared" si="338"/>
        <v>0</v>
      </c>
      <c r="O1365">
        <f t="shared" si="338"/>
        <v>0</v>
      </c>
      <c r="P1365">
        <f t="shared" si="338"/>
        <v>0</v>
      </c>
      <c r="Q1365">
        <f t="shared" si="338"/>
        <v>4.1919258186959993</v>
      </c>
      <c r="R1365">
        <f t="shared" si="338"/>
        <v>8.5682963734146238</v>
      </c>
      <c r="S1365">
        <f t="shared" si="338"/>
        <v>13.135198340444619</v>
      </c>
      <c r="T1365">
        <f t="shared" si="338"/>
        <v>17.898896938579199</v>
      </c>
      <c r="U1365">
        <f t="shared" si="338"/>
        <v>22.865840839034927</v>
      </c>
      <c r="V1365">
        <f t="shared" si="338"/>
        <v>28.042667204992437</v>
      </c>
      <c r="W1365">
        <f t="shared" si="338"/>
        <v>33.436206864085989</v>
      </c>
      <c r="X1365">
        <f t="shared" si="338"/>
        <v>39.053489617252438</v>
      </c>
      <c r="Y1365">
        <f t="shared" si="338"/>
        <v>44.901749687435988</v>
      </c>
      <c r="Z1365">
        <f t="shared" si="338"/>
        <v>50.988431311732867</v>
      </c>
      <c r="AA1365">
        <f t="shared" si="338"/>
        <v>57.321194480650092</v>
      </c>
      <c r="AB1365">
        <f t="shared" si="338"/>
        <v>63.907920828244798</v>
      </c>
      <c r="AC1365">
        <f t="shared" si="338"/>
        <v>70.756719677005037</v>
      </c>
      <c r="AD1365">
        <f t="shared" si="338"/>
        <v>77.875934241429846</v>
      </c>
      <c r="AE1365">
        <f t="shared" si="338"/>
        <v>85.274147994365691</v>
      </c>
    </row>
    <row r="1367" spans="1:31" x14ac:dyDescent="0.45">
      <c r="A1367" t="s">
        <v>1708</v>
      </c>
      <c r="B1367" t="s">
        <v>1500</v>
      </c>
      <c r="C1367" t="s">
        <v>1390</v>
      </c>
      <c r="D1367">
        <v>2</v>
      </c>
      <c r="E1367" t="s">
        <v>1159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45">
      <c r="A1368" t="s">
        <v>1708</v>
      </c>
      <c r="B1368" t="s">
        <v>1500</v>
      </c>
      <c r="C1368" t="s">
        <v>1390</v>
      </c>
      <c r="D1368">
        <v>2</v>
      </c>
      <c r="E1368" t="s">
        <v>1160</v>
      </c>
      <c r="K1368" t="str">
        <f>IF(ISBLANK(Mitigation_Industry!K797),"",Mitigation_Industry!K797)</f>
        <v/>
      </c>
      <c r="L1368">
        <f>IF(ISBLANK(Mitigation_Industry!L797),"",Mitigation_Industry!L797)</f>
        <v>0</v>
      </c>
      <c r="M1368">
        <f>IF(ISBLANK(Mitigation_Industry!M797),"",Mitigation_Industry!M797)</f>
        <v>0</v>
      </c>
      <c r="N1368">
        <f>IF(ISBLANK(Mitigation_Industry!N797),"",Mitigation_Industry!N797)</f>
        <v>0</v>
      </c>
      <c r="O1368">
        <f>IF(ISBLANK(Mitigation_Industry!O797),"",Mitigation_Industry!O797)</f>
        <v>0</v>
      </c>
      <c r="P1368">
        <f>IF(ISBLANK(Mitigation_Industry!P797),"",Mitigation_Industry!P797)</f>
        <v>0</v>
      </c>
      <c r="Q1368">
        <f>IF(ISBLANK(Mitigation_Industry!Q797),"",Mitigation_Industry!Q797)</f>
        <v>0.89826981829199992</v>
      </c>
      <c r="R1368">
        <f>IF(ISBLANK(Mitigation_Industry!R797),"",Mitigation_Industry!R797)</f>
        <v>1.8360635085888481</v>
      </c>
      <c r="S1368">
        <f>IF(ISBLANK(Mitigation_Industry!S797),"",Mitigation_Industry!S797)</f>
        <v>2.8146853586667042</v>
      </c>
      <c r="T1368">
        <f>IF(ISBLANK(Mitigation_Industry!T797),"",Mitigation_Industry!T797)</f>
        <v>3.8354779154098289</v>
      </c>
      <c r="U1368">
        <f>IF(ISBLANK(Mitigation_Industry!U797),"",Mitigation_Industry!U797)</f>
        <v>4.8998230369360565</v>
      </c>
      <c r="V1368">
        <f>IF(ISBLANK(Mitigation_Industry!V797),"",Mitigation_Industry!V797)</f>
        <v>6.0091429724983811</v>
      </c>
      <c r="W1368">
        <f>IF(ISBLANK(Mitigation_Industry!W797),"",Mitigation_Industry!W797)</f>
        <v>7.1649014708755674</v>
      </c>
      <c r="X1368">
        <f>IF(ISBLANK(Mitigation_Industry!X797),"",Mitigation_Industry!X797)</f>
        <v>8.3686049179826618</v>
      </c>
      <c r="Y1368">
        <f>IF(ISBLANK(Mitigation_Industry!Y797),"",Mitigation_Industry!Y797)</f>
        <v>9.6218035044505683</v>
      </c>
      <c r="Z1368">
        <f>IF(ISBLANK(Mitigation_Industry!Z797),"",Mitigation_Industry!Z797)</f>
        <v>10.926092423942757</v>
      </c>
      <c r="AA1368">
        <f>IF(ISBLANK(Mitigation_Industry!AA797),"",Mitigation_Industry!AA797)</f>
        <v>12.283113102996445</v>
      </c>
      <c r="AB1368">
        <f>IF(ISBLANK(Mitigation_Industry!AB797),"",Mitigation_Industry!AB797)</f>
        <v>13.69455446319531</v>
      </c>
      <c r="AC1368">
        <f>IF(ISBLANK(Mitigation_Industry!AC797),"",Mitigation_Industry!AC797)</f>
        <v>15.162154216501076</v>
      </c>
      <c r="AD1368">
        <f>IF(ISBLANK(Mitigation_Industry!AD797),"",Mitigation_Industry!AD797)</f>
        <v>16.687700194592107</v>
      </c>
      <c r="AE1368">
        <f>IF(ISBLANK(Mitigation_Industry!AE797),"",Mitigation_Industry!AE797)</f>
        <v>18.27303171307836</v>
      </c>
    </row>
    <row r="1369" spans="1:31" x14ac:dyDescent="0.45">
      <c r="A1369" t="s">
        <v>1708</v>
      </c>
      <c r="B1369" t="s">
        <v>1500</v>
      </c>
      <c r="C1369" t="s">
        <v>1390</v>
      </c>
      <c r="D1369">
        <v>2</v>
      </c>
      <c r="E1369" t="s">
        <v>1161</v>
      </c>
      <c r="F1369">
        <f>MAX(MAX(L1369:AE1369),-MIN(L1369:AE1369))</f>
        <v>18.27303171307836</v>
      </c>
      <c r="I1369" t="s">
        <v>1588</v>
      </c>
      <c r="J1369" t="s">
        <v>1875</v>
      </c>
      <c r="K1369">
        <f t="shared" ref="K1369:AE1369" si="339">IF(ISNUMBER(K1367),IF(ISNUMBER(K1368),K1368-K1367,999999),0)</f>
        <v>0</v>
      </c>
      <c r="L1369">
        <f t="shared" si="339"/>
        <v>0</v>
      </c>
      <c r="M1369">
        <f t="shared" si="339"/>
        <v>0</v>
      </c>
      <c r="N1369">
        <f t="shared" si="339"/>
        <v>0</v>
      </c>
      <c r="O1369">
        <f t="shared" si="339"/>
        <v>0</v>
      </c>
      <c r="P1369">
        <f t="shared" si="339"/>
        <v>0</v>
      </c>
      <c r="Q1369">
        <f t="shared" si="339"/>
        <v>0.89826981829199992</v>
      </c>
      <c r="R1369">
        <f t="shared" si="339"/>
        <v>1.8360635085888481</v>
      </c>
      <c r="S1369">
        <f t="shared" si="339"/>
        <v>2.8146853586667042</v>
      </c>
      <c r="T1369">
        <f t="shared" si="339"/>
        <v>3.8354779154098289</v>
      </c>
      <c r="U1369">
        <f t="shared" si="339"/>
        <v>4.8998230369360565</v>
      </c>
      <c r="V1369">
        <f t="shared" si="339"/>
        <v>6.0091429724983811</v>
      </c>
      <c r="W1369">
        <f t="shared" si="339"/>
        <v>7.1649014708755674</v>
      </c>
      <c r="X1369">
        <f t="shared" si="339"/>
        <v>8.3686049179826618</v>
      </c>
      <c r="Y1369">
        <f t="shared" si="339"/>
        <v>9.6218035044505683</v>
      </c>
      <c r="Z1369">
        <f t="shared" si="339"/>
        <v>10.926092423942757</v>
      </c>
      <c r="AA1369">
        <f t="shared" si="339"/>
        <v>12.283113102996445</v>
      </c>
      <c r="AB1369">
        <f t="shared" si="339"/>
        <v>13.69455446319531</v>
      </c>
      <c r="AC1369">
        <f t="shared" si="339"/>
        <v>15.162154216501076</v>
      </c>
      <c r="AD1369">
        <f t="shared" si="339"/>
        <v>16.687700194592107</v>
      </c>
      <c r="AE1369">
        <f t="shared" si="339"/>
        <v>18.27303171307836</v>
      </c>
    </row>
    <row r="1371" spans="1:31" x14ac:dyDescent="0.45">
      <c r="A1371" t="s">
        <v>1709</v>
      </c>
      <c r="B1371" t="s">
        <v>1500</v>
      </c>
      <c r="C1371" t="s">
        <v>1397</v>
      </c>
      <c r="D1371">
        <v>2</v>
      </c>
      <c r="E1371" t="s">
        <v>1159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45">
      <c r="A1372" t="s">
        <v>1709</v>
      </c>
      <c r="B1372" t="s">
        <v>1500</v>
      </c>
      <c r="C1372" t="s">
        <v>1397</v>
      </c>
      <c r="D1372">
        <v>2</v>
      </c>
      <c r="E1372" t="s">
        <v>1160</v>
      </c>
      <c r="K1372" t="str">
        <f>IF(ISBLANK(Mitigation_Industry!K798),"",Mitigation_Industry!K798)</f>
        <v/>
      </c>
      <c r="L1372">
        <f>IF(ISBLANK(Mitigation_Industry!L798),"",Mitigation_Industry!L798)</f>
        <v>0</v>
      </c>
      <c r="M1372">
        <f>IF(ISBLANK(Mitigation_Industry!M798),"",Mitigation_Industry!M798)</f>
        <v>0</v>
      </c>
      <c r="N1372">
        <f>IF(ISBLANK(Mitigation_Industry!N798),"",Mitigation_Industry!N798)</f>
        <v>0</v>
      </c>
      <c r="O1372">
        <f>IF(ISBLANK(Mitigation_Industry!O798),"",Mitigation_Industry!O798)</f>
        <v>0</v>
      </c>
      <c r="P1372">
        <f>IF(ISBLANK(Mitigation_Industry!P798),"",Mitigation_Industry!P798)</f>
        <v>0</v>
      </c>
      <c r="Q1372">
        <f>IF(ISBLANK(Mitigation_Industry!Q798),"",Mitigation_Industry!Q798)</f>
        <v>0.68693120437499988</v>
      </c>
      <c r="R1372">
        <f>IF(ISBLANK(Mitigation_Industry!R798),"",Mitigation_Industry!R798)</f>
        <v>1.44942484123125</v>
      </c>
      <c r="S1372">
        <f>IF(ISBLANK(Mitigation_Industry!S798),"",Mitigation_Industry!S798)</f>
        <v>2.2937148112484529</v>
      </c>
      <c r="T1372">
        <f>IF(ISBLANK(Mitigation_Industry!T798),"",Mitigation_Industry!T798)</f>
        <v>3.2264921678228231</v>
      </c>
      <c r="U1372">
        <f>IF(ISBLANK(Mitigation_Industry!U798),"",Mitigation_Industry!U798)</f>
        <v>4.2549365463163484</v>
      </c>
      <c r="V1372">
        <f>IF(ISBLANK(Mitigation_Industry!V798),"",Mitigation_Industry!V798)</f>
        <v>5.3867496676364954</v>
      </c>
      <c r="W1372">
        <f>IF(ISBLANK(Mitigation_Industry!W798),"",Mitigation_Industry!W798)</f>
        <v>6.6301910492492544</v>
      </c>
      <c r="X1372">
        <f>IF(ISBLANK(Mitigation_Industry!X798),"",Mitigation_Industry!X798)</f>
        <v>7.9941160650948158</v>
      </c>
      <c r="Y1372">
        <f>IF(ISBLANK(Mitigation_Industry!Y798),"",Mitigation_Industry!Y798)</f>
        <v>9.4880165047594094</v>
      </c>
      <c r="Z1372">
        <f>IF(ISBLANK(Mitigation_Industry!Z798),"",Mitigation_Industry!Z798)</f>
        <v>11.122063791690195</v>
      </c>
      <c r="AA1372">
        <f>IF(ISBLANK(Mitigation_Industry!AA798),"",Mitigation_Industry!AA798)</f>
        <v>12.907155030256471</v>
      </c>
      <c r="AB1372">
        <f>IF(ISBLANK(Mitigation_Industry!AB798),"",Mitigation_Industry!AB798)</f>
        <v>14.854962062095174</v>
      </c>
      <c r="AC1372">
        <f>IF(ISBLANK(Mitigation_Industry!AC798),"",Mitigation_Industry!AC798)</f>
        <v>16.97798372346961</v>
      </c>
      <c r="AD1372">
        <f>IF(ISBLANK(Mitigation_Industry!AD798),"",Mitigation_Industry!AD798)</f>
        <v>19.289601507357389</v>
      </c>
      <c r="AE1372">
        <f>IF(ISBLANK(Mitigation_Industry!AE798),"",Mitigation_Industry!AE798)</f>
        <v>21.804138846709332</v>
      </c>
    </row>
    <row r="1373" spans="1:31" x14ac:dyDescent="0.45">
      <c r="A1373" t="s">
        <v>1709</v>
      </c>
      <c r="B1373" t="s">
        <v>1500</v>
      </c>
      <c r="C1373" t="s">
        <v>1397</v>
      </c>
      <c r="D1373">
        <v>2</v>
      </c>
      <c r="E1373" t="s">
        <v>1161</v>
      </c>
      <c r="F1373">
        <f>MAX(MAX(L1373:AE1373),-MIN(L1373:AE1373))</f>
        <v>21.804138846709332</v>
      </c>
      <c r="I1373" t="s">
        <v>1588</v>
      </c>
      <c r="J1373" t="s">
        <v>1875</v>
      </c>
      <c r="K1373">
        <f t="shared" ref="K1373:AE1373" si="340">IF(ISNUMBER(K1371),IF(ISNUMBER(K1372),K1372-K1371,999999),0)</f>
        <v>0</v>
      </c>
      <c r="L1373">
        <f t="shared" si="340"/>
        <v>0</v>
      </c>
      <c r="M1373">
        <f t="shared" si="340"/>
        <v>0</v>
      </c>
      <c r="N1373">
        <f t="shared" si="340"/>
        <v>0</v>
      </c>
      <c r="O1373">
        <f t="shared" si="340"/>
        <v>0</v>
      </c>
      <c r="P1373">
        <f t="shared" si="340"/>
        <v>0</v>
      </c>
      <c r="Q1373">
        <f t="shared" si="340"/>
        <v>0.68693120437499988</v>
      </c>
      <c r="R1373">
        <f t="shared" si="340"/>
        <v>1.44942484123125</v>
      </c>
      <c r="S1373">
        <f t="shared" si="340"/>
        <v>2.2937148112484529</v>
      </c>
      <c r="T1373">
        <f t="shared" si="340"/>
        <v>3.2264921678228231</v>
      </c>
      <c r="U1373">
        <f t="shared" si="340"/>
        <v>4.2549365463163484</v>
      </c>
      <c r="V1373">
        <f t="shared" si="340"/>
        <v>5.3867496676364954</v>
      </c>
      <c r="W1373">
        <f t="shared" si="340"/>
        <v>6.6301910492492544</v>
      </c>
      <c r="X1373">
        <f t="shared" si="340"/>
        <v>7.9941160650948158</v>
      </c>
      <c r="Y1373">
        <f t="shared" si="340"/>
        <v>9.4880165047594094</v>
      </c>
      <c r="Z1373">
        <f t="shared" si="340"/>
        <v>11.122063791690195</v>
      </c>
      <c r="AA1373">
        <f t="shared" si="340"/>
        <v>12.907155030256471</v>
      </c>
      <c r="AB1373">
        <f t="shared" si="340"/>
        <v>14.854962062095174</v>
      </c>
      <c r="AC1373">
        <f t="shared" si="340"/>
        <v>16.97798372346961</v>
      </c>
      <c r="AD1373">
        <f t="shared" si="340"/>
        <v>19.289601507357389</v>
      </c>
      <c r="AE1373">
        <f t="shared" si="340"/>
        <v>21.804138846709332</v>
      </c>
    </row>
    <row r="1375" spans="1:31" x14ac:dyDescent="0.45">
      <c r="A1375" t="s">
        <v>1710</v>
      </c>
      <c r="B1375" t="s">
        <v>1500</v>
      </c>
      <c r="C1375" t="s">
        <v>1501</v>
      </c>
      <c r="D1375">
        <v>2</v>
      </c>
      <c r="E1375" t="s">
        <v>1159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45">
      <c r="A1376" t="s">
        <v>1710</v>
      </c>
      <c r="B1376" t="s">
        <v>1500</v>
      </c>
      <c r="C1376" t="s">
        <v>1501</v>
      </c>
      <c r="D1376">
        <v>2</v>
      </c>
      <c r="E1376" t="s">
        <v>1160</v>
      </c>
      <c r="K1376" t="str">
        <f>IF(ISBLANK(Mitigation_Industry!K799),"",Mitigation_Industry!K799)</f>
        <v/>
      </c>
      <c r="L1376">
        <f>IF(ISBLANK(Mitigation_Industry!L799),"",Mitigation_Industry!L799)</f>
        <v>0</v>
      </c>
      <c r="M1376">
        <f>IF(ISBLANK(Mitigation_Industry!M799),"",Mitigation_Industry!M799)</f>
        <v>0</v>
      </c>
      <c r="N1376">
        <f>IF(ISBLANK(Mitigation_Industry!N799),"",Mitigation_Industry!N799)</f>
        <v>0</v>
      </c>
      <c r="O1376">
        <f>IF(ISBLANK(Mitigation_Industry!O799),"",Mitigation_Industry!O799)</f>
        <v>0</v>
      </c>
      <c r="P1376">
        <f>IF(ISBLANK(Mitigation_Industry!P799),"",Mitigation_Industry!P799)</f>
        <v>0</v>
      </c>
      <c r="Q1376">
        <f>IF(ISBLANK(Mitigation_Industry!Q799),"",Mitigation_Industry!Q799)</f>
        <v>308.12278080273342</v>
      </c>
      <c r="R1376">
        <f>IF(ISBLANK(Mitigation_Industry!R799),"",Mitigation_Industry!R799)</f>
        <v>636.8417154974029</v>
      </c>
      <c r="S1376">
        <f>IF(ISBLANK(Mitigation_Industry!S799),"",Mitigation_Industry!S799)</f>
        <v>987.22968333254369</v>
      </c>
      <c r="T1376">
        <f>IF(ISBLANK(Mitigation_Industry!T799),"",Mitigation_Industry!T799)</f>
        <v>1360.4109852569791</v>
      </c>
      <c r="U1376">
        <f>IF(ISBLANK(Mitigation_Industry!U799),"",Mitigation_Industry!U799)</f>
        <v>1757.56372820916</v>
      </c>
      <c r="V1376">
        <f>IF(ISBLANK(Mitigation_Industry!V799),"",Mitigation_Industry!V799)</f>
        <v>2179.922318644748</v>
      </c>
      <c r="W1376">
        <f>IF(ISBLANK(Mitigation_Industry!W799),"",Mitigation_Industry!W799)</f>
        <v>2628.780070299068</v>
      </c>
      <c r="X1376">
        <f>IF(ISBLANK(Mitigation_Industry!X799),"",Mitigation_Industry!X799)</f>
        <v>3105.4919314104181</v>
      </c>
      <c r="Y1376">
        <f>IF(ISBLANK(Mitigation_Industry!Y799),"",Mitigation_Industry!Y799)</f>
        <v>3611.4773368702113</v>
      </c>
      <c r="Z1376">
        <f>IF(ISBLANK(Mitigation_Industry!Z799),"",Mitigation_Industry!Z799)</f>
        <v>4148.2231910169721</v>
      </c>
      <c r="AA1376">
        <f>IF(ISBLANK(Mitigation_Industry!AA799),"",Mitigation_Industry!AA799)</f>
        <v>4717.2869870538907</v>
      </c>
      <c r="AB1376">
        <f>IF(ISBLANK(Mitigation_Industry!AB799),"",Mitigation_Industry!AB799)</f>
        <v>5320.3000693444392</v>
      </c>
      <c r="AC1376">
        <f>IF(ISBLANK(Mitigation_Industry!AC799),"",Mitigation_Industry!AC799)</f>
        <v>5958.9710451280498</v>
      </c>
      <c r="AD1376">
        <f>IF(ISBLANK(Mitigation_Industry!AD799),"",Mitigation_Industry!AD799)</f>
        <v>6635.0893524987587</v>
      </c>
      <c r="AE1376">
        <f>IF(ISBLANK(Mitigation_Industry!AE799),"",Mitigation_Industry!AE799)</f>
        <v>7350.5289918043609</v>
      </c>
    </row>
    <row r="1377" spans="1:35" x14ac:dyDescent="0.45">
      <c r="A1377" t="s">
        <v>1710</v>
      </c>
      <c r="B1377" t="s">
        <v>1500</v>
      </c>
      <c r="C1377" t="s">
        <v>1501</v>
      </c>
      <c r="D1377">
        <v>2</v>
      </c>
      <c r="E1377" t="s">
        <v>1161</v>
      </c>
      <c r="F1377">
        <f>MAX(MAX(L1377:AE1377),-MIN(L1377:AE1377))</f>
        <v>7350.5289918043609</v>
      </c>
      <c r="I1377" t="s">
        <v>1588</v>
      </c>
      <c r="J1377" t="s">
        <v>1875</v>
      </c>
      <c r="K1377">
        <f t="shared" ref="K1377:AE1377" si="341">IF(ISNUMBER(K1375),IF(ISNUMBER(K1376),K1376-K1375,999999),0)</f>
        <v>0</v>
      </c>
      <c r="L1377">
        <f t="shared" si="341"/>
        <v>0</v>
      </c>
      <c r="M1377">
        <f t="shared" si="341"/>
        <v>0</v>
      </c>
      <c r="N1377">
        <f t="shared" si="341"/>
        <v>0</v>
      </c>
      <c r="O1377">
        <f t="shared" si="341"/>
        <v>0</v>
      </c>
      <c r="P1377">
        <f t="shared" si="341"/>
        <v>0</v>
      </c>
      <c r="Q1377">
        <f t="shared" si="341"/>
        <v>308.12278080273342</v>
      </c>
      <c r="R1377">
        <f t="shared" si="341"/>
        <v>636.8417154974029</v>
      </c>
      <c r="S1377">
        <f t="shared" si="341"/>
        <v>987.22968333254369</v>
      </c>
      <c r="T1377">
        <f t="shared" si="341"/>
        <v>1360.4109852569791</v>
      </c>
      <c r="U1377">
        <f t="shared" si="341"/>
        <v>1757.56372820916</v>
      </c>
      <c r="V1377">
        <f t="shared" si="341"/>
        <v>2179.922318644748</v>
      </c>
      <c r="W1377">
        <f t="shared" si="341"/>
        <v>2628.780070299068</v>
      </c>
      <c r="X1377">
        <f t="shared" si="341"/>
        <v>3105.4919314104181</v>
      </c>
      <c r="Y1377">
        <f t="shared" si="341"/>
        <v>3611.4773368702113</v>
      </c>
      <c r="Z1377">
        <f t="shared" si="341"/>
        <v>4148.2231910169721</v>
      </c>
      <c r="AA1377">
        <f t="shared" si="341"/>
        <v>4717.2869870538907</v>
      </c>
      <c r="AB1377">
        <f t="shared" si="341"/>
        <v>5320.3000693444392</v>
      </c>
      <c r="AC1377">
        <f t="shared" si="341"/>
        <v>5958.9710451280498</v>
      </c>
      <c r="AD1377">
        <f t="shared" si="341"/>
        <v>6635.0893524987587</v>
      </c>
      <c r="AE1377">
        <f t="shared" si="341"/>
        <v>7350.5289918043609</v>
      </c>
    </row>
    <row r="1380" spans="1:35" x14ac:dyDescent="0.45">
      <c r="A1380" s="52" t="s">
        <v>1865</v>
      </c>
    </row>
    <row r="1381" spans="1:35" x14ac:dyDescent="0.45">
      <c r="A1381" t="s">
        <v>1867</v>
      </c>
      <c r="D1381" s="92">
        <f>MAX(F1383:F1426)</f>
        <v>8.3266726846886741E-16</v>
      </c>
    </row>
    <row r="1382" spans="1:35" x14ac:dyDescent="0.45">
      <c r="A1382" s="50" t="s">
        <v>929</v>
      </c>
      <c r="B1382" s="50"/>
      <c r="C1382" s="50"/>
      <c r="D1382" s="50" t="s">
        <v>47</v>
      </c>
      <c r="E1382" s="50" t="s">
        <v>1156</v>
      </c>
      <c r="F1382" s="50" t="s">
        <v>1157</v>
      </c>
      <c r="G1382" s="50"/>
      <c r="H1382" s="50"/>
      <c r="I1382" s="50" t="s">
        <v>1506</v>
      </c>
      <c r="J1382" s="50"/>
      <c r="K1382" s="50">
        <v>2021</v>
      </c>
      <c r="L1382" s="50">
        <v>2022</v>
      </c>
      <c r="M1382" s="50">
        <v>2023</v>
      </c>
      <c r="N1382" s="50">
        <v>2024</v>
      </c>
      <c r="O1382" s="50">
        <v>2025</v>
      </c>
      <c r="P1382" s="50">
        <v>2026</v>
      </c>
      <c r="Q1382" s="50">
        <v>2027</v>
      </c>
      <c r="R1382" s="50">
        <v>2028</v>
      </c>
      <c r="S1382" s="50">
        <v>2029</v>
      </c>
      <c r="T1382" s="50">
        <v>2030</v>
      </c>
      <c r="U1382" s="50">
        <v>2031</v>
      </c>
      <c r="V1382" s="50">
        <v>2032</v>
      </c>
      <c r="W1382" s="50">
        <v>2033</v>
      </c>
      <c r="X1382" s="50">
        <v>2034</v>
      </c>
      <c r="Y1382" s="50">
        <v>2035</v>
      </c>
      <c r="Z1382" s="50">
        <v>2036</v>
      </c>
      <c r="AA1382" s="50">
        <v>2037</v>
      </c>
      <c r="AB1382" s="50">
        <v>2038</v>
      </c>
      <c r="AC1382" s="50">
        <v>2039</v>
      </c>
      <c r="AD1382" s="50">
        <v>2040</v>
      </c>
      <c r="AE1382" s="50">
        <v>2041</v>
      </c>
      <c r="AF1382" s="50">
        <v>2042</v>
      </c>
      <c r="AG1382" s="50">
        <v>2043</v>
      </c>
      <c r="AH1382" s="50">
        <v>2044</v>
      </c>
      <c r="AI1382" s="50">
        <v>2045</v>
      </c>
    </row>
    <row r="1383" spans="1:35" x14ac:dyDescent="0.45">
      <c r="A1383" t="s">
        <v>1420</v>
      </c>
      <c r="D1383">
        <v>2</v>
      </c>
      <c r="E1383" t="s">
        <v>1716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12.5</v>
      </c>
      <c r="R1383">
        <v>25</v>
      </c>
      <c r="S1383">
        <v>37.5</v>
      </c>
      <c r="T1383">
        <v>50</v>
      </c>
      <c r="U1383">
        <v>62.5</v>
      </c>
      <c r="V1383">
        <v>75</v>
      </c>
      <c r="W1383">
        <v>87.5</v>
      </c>
      <c r="X1383">
        <v>100</v>
      </c>
      <c r="Y1383">
        <v>112.5</v>
      </c>
      <c r="Z1383">
        <v>125</v>
      </c>
      <c r="AA1383">
        <v>137.5</v>
      </c>
      <c r="AB1383">
        <v>150</v>
      </c>
      <c r="AC1383">
        <v>162.5</v>
      </c>
      <c r="AD1383">
        <v>175</v>
      </c>
      <c r="AE1383">
        <v>187.5</v>
      </c>
    </row>
    <row r="1384" spans="1:35" x14ac:dyDescent="0.45">
      <c r="A1384" t="s">
        <v>1420</v>
      </c>
      <c r="D1384">
        <v>2</v>
      </c>
      <c r="E1384" t="s">
        <v>1837</v>
      </c>
      <c r="L1384">
        <f>INDEX(Data_Prices!L:L,MATCH($A1384,Data_Prices!$A:$A,0))</f>
        <v>0</v>
      </c>
      <c r="M1384">
        <f>INDEX(Data_Prices!M:M,MATCH($A1384,Data_Prices!$A:$A,0))</f>
        <v>0</v>
      </c>
      <c r="N1384">
        <f>INDEX(Data_Prices!N:N,MATCH($A1384,Data_Prices!$A:$A,0))</f>
        <v>0</v>
      </c>
      <c r="O1384">
        <f>INDEX(Data_Prices!O:O,MATCH($A1384,Data_Prices!$A:$A,0))</f>
        <v>0</v>
      </c>
      <c r="P1384">
        <f>INDEX(Data_Prices!P:P,MATCH($A1384,Data_Prices!$A:$A,0))</f>
        <v>0</v>
      </c>
      <c r="Q1384">
        <f>INDEX(Data_Prices!Q:Q,MATCH($A1384,Data_Prices!$A:$A,0))</f>
        <v>12.5</v>
      </c>
      <c r="R1384">
        <f>INDEX(Data_Prices!R:R,MATCH($A1384,Data_Prices!$A:$A,0))</f>
        <v>25</v>
      </c>
      <c r="S1384">
        <f>INDEX(Data_Prices!S:S,MATCH($A1384,Data_Prices!$A:$A,0))</f>
        <v>37.5</v>
      </c>
      <c r="T1384">
        <f>INDEX(Data_Prices!T:T,MATCH($A1384,Data_Prices!$A:$A,0))</f>
        <v>50</v>
      </c>
      <c r="U1384">
        <f>INDEX(Data_Prices!U:U,MATCH($A1384,Data_Prices!$A:$A,0))</f>
        <v>62.5</v>
      </c>
      <c r="V1384">
        <f>INDEX(Data_Prices!V:V,MATCH($A1384,Data_Prices!$A:$A,0))</f>
        <v>75</v>
      </c>
      <c r="W1384">
        <f>INDEX(Data_Prices!W:W,MATCH($A1384,Data_Prices!$A:$A,0))</f>
        <v>87.5</v>
      </c>
      <c r="X1384">
        <f>INDEX(Data_Prices!X:X,MATCH($A1384,Data_Prices!$A:$A,0))</f>
        <v>100</v>
      </c>
      <c r="Y1384">
        <f>INDEX(Data_Prices!Y:Y,MATCH($A1384,Data_Prices!$A:$A,0))</f>
        <v>112.5</v>
      </c>
      <c r="Z1384">
        <f>INDEX(Data_Prices!Z:Z,MATCH($A1384,Data_Prices!$A:$A,0))</f>
        <v>125</v>
      </c>
      <c r="AA1384">
        <f>INDEX(Data_Prices!AA:AA,MATCH($A1384,Data_Prices!$A:$A,0))</f>
        <v>137.5</v>
      </c>
      <c r="AB1384">
        <f>INDEX(Data_Prices!AB:AB,MATCH($A1384,Data_Prices!$A:$A,0))</f>
        <v>150</v>
      </c>
      <c r="AC1384">
        <f>INDEX(Data_Prices!AC:AC,MATCH($A1384,Data_Prices!$A:$A,0))</f>
        <v>162.5</v>
      </c>
      <c r="AD1384">
        <f>INDEX(Data_Prices!AD:AD,MATCH($A1384,Data_Prices!$A:$A,0))</f>
        <v>175</v>
      </c>
      <c r="AE1384">
        <f>INDEX(Data_Prices!AE:AE,MATCH($A1384,Data_Prices!$A:$A,0))</f>
        <v>187.5</v>
      </c>
    </row>
    <row r="1385" spans="1:35" x14ac:dyDescent="0.45">
      <c r="A1385" t="s">
        <v>1420</v>
      </c>
      <c r="D1385">
        <v>2</v>
      </c>
      <c r="E1385" t="s">
        <v>1161</v>
      </c>
      <c r="F1385">
        <f>MAX(MAX(L1385:AE1385),-MIN(L1385:AE1385))</f>
        <v>0</v>
      </c>
      <c r="I1385" t="s">
        <v>1866</v>
      </c>
      <c r="L1385">
        <f t="shared" ref="L1385:AE1385" si="342">L1384-L1383</f>
        <v>0</v>
      </c>
      <c r="M1385">
        <f t="shared" si="342"/>
        <v>0</v>
      </c>
      <c r="N1385">
        <f t="shared" si="342"/>
        <v>0</v>
      </c>
      <c r="O1385">
        <f t="shared" si="342"/>
        <v>0</v>
      </c>
      <c r="P1385">
        <f t="shared" si="342"/>
        <v>0</v>
      </c>
      <c r="Q1385">
        <f t="shared" si="342"/>
        <v>0</v>
      </c>
      <c r="R1385">
        <f t="shared" si="342"/>
        <v>0</v>
      </c>
      <c r="S1385">
        <f t="shared" si="342"/>
        <v>0</v>
      </c>
      <c r="T1385">
        <f t="shared" si="342"/>
        <v>0</v>
      </c>
      <c r="U1385">
        <f t="shared" si="342"/>
        <v>0</v>
      </c>
      <c r="V1385">
        <f t="shared" si="342"/>
        <v>0</v>
      </c>
      <c r="W1385">
        <f t="shared" si="342"/>
        <v>0</v>
      </c>
      <c r="X1385">
        <f t="shared" si="342"/>
        <v>0</v>
      </c>
      <c r="Y1385">
        <f t="shared" si="342"/>
        <v>0</v>
      </c>
      <c r="Z1385">
        <f t="shared" si="342"/>
        <v>0</v>
      </c>
      <c r="AA1385">
        <f t="shared" si="342"/>
        <v>0</v>
      </c>
      <c r="AB1385">
        <f t="shared" si="342"/>
        <v>0</v>
      </c>
      <c r="AC1385">
        <f t="shared" si="342"/>
        <v>0</v>
      </c>
      <c r="AD1385">
        <f t="shared" si="342"/>
        <v>0</v>
      </c>
      <c r="AE1385">
        <f t="shared" si="342"/>
        <v>0</v>
      </c>
    </row>
    <row r="1387" spans="1:35" x14ac:dyDescent="0.45">
      <c r="A1387" t="s">
        <v>1421</v>
      </c>
      <c r="D1387">
        <v>2</v>
      </c>
      <c r="E1387" t="s">
        <v>1716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5" x14ac:dyDescent="0.45">
      <c r="A1388" t="s">
        <v>1421</v>
      </c>
      <c r="D1388">
        <v>2</v>
      </c>
      <c r="E1388" t="s">
        <v>1837</v>
      </c>
      <c r="L1388">
        <f>INDEX(Data_Prices!L:L,MATCH($A1388,Data_Prices!$A:$A,0))</f>
        <v>0</v>
      </c>
      <c r="M1388">
        <f>INDEX(Data_Prices!M:M,MATCH($A1388,Data_Prices!$A:$A,0))</f>
        <v>0</v>
      </c>
      <c r="N1388">
        <f>INDEX(Data_Prices!N:N,MATCH($A1388,Data_Prices!$A:$A,0))</f>
        <v>0</v>
      </c>
      <c r="O1388">
        <f>INDEX(Data_Prices!O:O,MATCH($A1388,Data_Prices!$A:$A,0))</f>
        <v>0</v>
      </c>
      <c r="P1388">
        <f>INDEX(Data_Prices!P:P,MATCH($A1388,Data_Prices!$A:$A,0))</f>
        <v>0</v>
      </c>
      <c r="Q1388">
        <f>INDEX(Data_Prices!Q:Q,MATCH($A1388,Data_Prices!$A:$A,0))</f>
        <v>0</v>
      </c>
      <c r="R1388">
        <f>INDEX(Data_Prices!R:R,MATCH($A1388,Data_Prices!$A:$A,0))</f>
        <v>0</v>
      </c>
      <c r="S1388">
        <f>INDEX(Data_Prices!S:S,MATCH($A1388,Data_Prices!$A:$A,0))</f>
        <v>0</v>
      </c>
      <c r="T1388">
        <f>INDEX(Data_Prices!T:T,MATCH($A1388,Data_Prices!$A:$A,0))</f>
        <v>0</v>
      </c>
      <c r="U1388">
        <f>INDEX(Data_Prices!U:U,MATCH($A1388,Data_Prices!$A:$A,0))</f>
        <v>0</v>
      </c>
      <c r="V1388">
        <f>INDEX(Data_Prices!V:V,MATCH($A1388,Data_Prices!$A:$A,0))</f>
        <v>0</v>
      </c>
      <c r="W1388">
        <f>INDEX(Data_Prices!W:W,MATCH($A1388,Data_Prices!$A:$A,0))</f>
        <v>0</v>
      </c>
      <c r="X1388">
        <f>INDEX(Data_Prices!X:X,MATCH($A1388,Data_Prices!$A:$A,0))</f>
        <v>0</v>
      </c>
      <c r="Y1388">
        <f>INDEX(Data_Prices!Y:Y,MATCH($A1388,Data_Prices!$A:$A,0))</f>
        <v>0</v>
      </c>
      <c r="Z1388">
        <f>INDEX(Data_Prices!Z:Z,MATCH($A1388,Data_Prices!$A:$A,0))</f>
        <v>0</v>
      </c>
      <c r="AA1388">
        <f>INDEX(Data_Prices!AA:AA,MATCH($A1388,Data_Prices!$A:$A,0))</f>
        <v>0</v>
      </c>
      <c r="AB1388">
        <f>INDEX(Data_Prices!AB:AB,MATCH($A1388,Data_Prices!$A:$A,0))</f>
        <v>0</v>
      </c>
      <c r="AC1388">
        <f>INDEX(Data_Prices!AC:AC,MATCH($A1388,Data_Prices!$A:$A,0))</f>
        <v>0</v>
      </c>
      <c r="AD1388">
        <f>INDEX(Data_Prices!AD:AD,MATCH($A1388,Data_Prices!$A:$A,0))</f>
        <v>0</v>
      </c>
      <c r="AE1388">
        <f>INDEX(Data_Prices!AE:AE,MATCH($A1388,Data_Prices!$A:$A,0))</f>
        <v>0</v>
      </c>
    </row>
    <row r="1389" spans="1:35" x14ac:dyDescent="0.45">
      <c r="A1389" t="s">
        <v>1421</v>
      </c>
      <c r="D1389">
        <v>2</v>
      </c>
      <c r="E1389" t="s">
        <v>1161</v>
      </c>
      <c r="F1389">
        <f>MAX(MAX(L1389:AE1389),-MIN(L1389:AE1389))</f>
        <v>0</v>
      </c>
      <c r="I1389" t="s">
        <v>1866</v>
      </c>
      <c r="L1389">
        <f t="shared" ref="L1389:AE1389" si="343">L1388-L1387</f>
        <v>0</v>
      </c>
      <c r="M1389">
        <f t="shared" si="343"/>
        <v>0</v>
      </c>
      <c r="N1389">
        <f t="shared" si="343"/>
        <v>0</v>
      </c>
      <c r="O1389">
        <f t="shared" si="343"/>
        <v>0</v>
      </c>
      <c r="P1389">
        <f t="shared" si="343"/>
        <v>0</v>
      </c>
      <c r="Q1389">
        <f t="shared" si="343"/>
        <v>0</v>
      </c>
      <c r="R1389">
        <f t="shared" si="343"/>
        <v>0</v>
      </c>
      <c r="S1389">
        <f t="shared" si="343"/>
        <v>0</v>
      </c>
      <c r="T1389">
        <f t="shared" si="343"/>
        <v>0</v>
      </c>
      <c r="U1389">
        <f t="shared" si="343"/>
        <v>0</v>
      </c>
      <c r="V1389">
        <f t="shared" si="343"/>
        <v>0</v>
      </c>
      <c r="W1389">
        <f t="shared" si="343"/>
        <v>0</v>
      </c>
      <c r="X1389">
        <f t="shared" si="343"/>
        <v>0</v>
      </c>
      <c r="Y1389">
        <f t="shared" si="343"/>
        <v>0</v>
      </c>
      <c r="Z1389">
        <f t="shared" si="343"/>
        <v>0</v>
      </c>
      <c r="AA1389">
        <f t="shared" si="343"/>
        <v>0</v>
      </c>
      <c r="AB1389">
        <f t="shared" si="343"/>
        <v>0</v>
      </c>
      <c r="AC1389">
        <f t="shared" si="343"/>
        <v>0</v>
      </c>
      <c r="AD1389">
        <f t="shared" si="343"/>
        <v>0</v>
      </c>
      <c r="AE1389">
        <f t="shared" si="343"/>
        <v>0</v>
      </c>
    </row>
    <row r="1391" spans="1:35" x14ac:dyDescent="0.45">
      <c r="A1391" t="s">
        <v>1023</v>
      </c>
      <c r="D1391">
        <v>2</v>
      </c>
      <c r="E1391" t="s">
        <v>1716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1.25</v>
      </c>
      <c r="R1391">
        <v>2.5</v>
      </c>
      <c r="S1391">
        <v>3.75</v>
      </c>
      <c r="T1391">
        <v>5</v>
      </c>
      <c r="U1391">
        <v>6.25</v>
      </c>
      <c r="V1391">
        <v>7.5</v>
      </c>
      <c r="W1391">
        <v>8.75</v>
      </c>
      <c r="X1391">
        <v>10</v>
      </c>
      <c r="Y1391">
        <v>11.25</v>
      </c>
      <c r="Z1391">
        <v>12.5</v>
      </c>
      <c r="AA1391">
        <v>13.75</v>
      </c>
      <c r="AB1391">
        <v>15</v>
      </c>
      <c r="AC1391">
        <v>16.25</v>
      </c>
      <c r="AD1391">
        <v>17.5</v>
      </c>
      <c r="AE1391">
        <v>18.75</v>
      </c>
    </row>
    <row r="1392" spans="1:35" x14ac:dyDescent="0.45">
      <c r="A1392" t="s">
        <v>1023</v>
      </c>
      <c r="D1392">
        <v>2</v>
      </c>
      <c r="E1392" t="s">
        <v>1837</v>
      </c>
      <c r="L1392">
        <f>INDEX(Data_Prices!L:L,MATCH($A1392,Data_Prices!$A:$A,0))</f>
        <v>0</v>
      </c>
      <c r="M1392">
        <f>INDEX(Data_Prices!M:M,MATCH($A1392,Data_Prices!$A:$A,0))</f>
        <v>0</v>
      </c>
      <c r="N1392">
        <f>INDEX(Data_Prices!N:N,MATCH($A1392,Data_Prices!$A:$A,0))</f>
        <v>0</v>
      </c>
      <c r="O1392">
        <f>INDEX(Data_Prices!O:O,MATCH($A1392,Data_Prices!$A:$A,0))</f>
        <v>0</v>
      </c>
      <c r="P1392">
        <f>INDEX(Data_Prices!P:P,MATCH($A1392,Data_Prices!$A:$A,0))</f>
        <v>0</v>
      </c>
      <c r="Q1392">
        <f>INDEX(Data_Prices!Q:Q,MATCH($A1392,Data_Prices!$A:$A,0))</f>
        <v>1.25</v>
      </c>
      <c r="R1392">
        <f>INDEX(Data_Prices!R:R,MATCH($A1392,Data_Prices!$A:$A,0))</f>
        <v>2.5</v>
      </c>
      <c r="S1392">
        <f>INDEX(Data_Prices!S:S,MATCH($A1392,Data_Prices!$A:$A,0))</f>
        <v>3.75</v>
      </c>
      <c r="T1392">
        <f>INDEX(Data_Prices!T:T,MATCH($A1392,Data_Prices!$A:$A,0))</f>
        <v>5</v>
      </c>
      <c r="U1392">
        <f>INDEX(Data_Prices!U:U,MATCH($A1392,Data_Prices!$A:$A,0))</f>
        <v>6.25</v>
      </c>
      <c r="V1392">
        <f>INDEX(Data_Prices!V:V,MATCH($A1392,Data_Prices!$A:$A,0))</f>
        <v>7.5</v>
      </c>
      <c r="W1392">
        <f>INDEX(Data_Prices!W:W,MATCH($A1392,Data_Prices!$A:$A,0))</f>
        <v>8.75</v>
      </c>
      <c r="X1392">
        <f>INDEX(Data_Prices!X:X,MATCH($A1392,Data_Prices!$A:$A,0))</f>
        <v>10</v>
      </c>
      <c r="Y1392">
        <f>INDEX(Data_Prices!Y:Y,MATCH($A1392,Data_Prices!$A:$A,0))</f>
        <v>11.25</v>
      </c>
      <c r="Z1392">
        <f>INDEX(Data_Prices!Z:Z,MATCH($A1392,Data_Prices!$A:$A,0))</f>
        <v>12.5</v>
      </c>
      <c r="AA1392">
        <f>INDEX(Data_Prices!AA:AA,MATCH($A1392,Data_Prices!$A:$A,0))</f>
        <v>13.75</v>
      </c>
      <c r="AB1392">
        <f>INDEX(Data_Prices!AB:AB,MATCH($A1392,Data_Prices!$A:$A,0))</f>
        <v>15</v>
      </c>
      <c r="AC1392">
        <f>INDEX(Data_Prices!AC:AC,MATCH($A1392,Data_Prices!$A:$A,0))</f>
        <v>16.25</v>
      </c>
      <c r="AD1392">
        <f>INDEX(Data_Prices!AD:AD,MATCH($A1392,Data_Prices!$A:$A,0))</f>
        <v>17.5</v>
      </c>
      <c r="AE1392">
        <f>INDEX(Data_Prices!AE:AE,MATCH($A1392,Data_Prices!$A:$A,0))</f>
        <v>18.75</v>
      </c>
    </row>
    <row r="1393" spans="1:31" x14ac:dyDescent="0.45">
      <c r="A1393" t="s">
        <v>1023</v>
      </c>
      <c r="D1393">
        <v>2</v>
      </c>
      <c r="E1393" t="s">
        <v>1161</v>
      </c>
      <c r="F1393">
        <f>MAX(MAX(L1393:AE1393),-MIN(L1393:AE1393))</f>
        <v>0</v>
      </c>
      <c r="I1393" t="s">
        <v>1866</v>
      </c>
      <c r="L1393">
        <f t="shared" ref="L1393:AE1393" si="344">L1392-L1391</f>
        <v>0</v>
      </c>
      <c r="M1393">
        <f t="shared" si="344"/>
        <v>0</v>
      </c>
      <c r="N1393">
        <f t="shared" si="344"/>
        <v>0</v>
      </c>
      <c r="O1393">
        <f t="shared" si="344"/>
        <v>0</v>
      </c>
      <c r="P1393">
        <f t="shared" si="344"/>
        <v>0</v>
      </c>
      <c r="Q1393">
        <f t="shared" si="344"/>
        <v>0</v>
      </c>
      <c r="R1393">
        <f t="shared" si="344"/>
        <v>0</v>
      </c>
      <c r="S1393">
        <f t="shared" si="344"/>
        <v>0</v>
      </c>
      <c r="T1393">
        <f t="shared" si="344"/>
        <v>0</v>
      </c>
      <c r="U1393">
        <f t="shared" si="344"/>
        <v>0</v>
      </c>
      <c r="V1393">
        <f t="shared" si="344"/>
        <v>0</v>
      </c>
      <c r="W1393">
        <f t="shared" si="344"/>
        <v>0</v>
      </c>
      <c r="X1393">
        <f t="shared" si="344"/>
        <v>0</v>
      </c>
      <c r="Y1393">
        <f t="shared" si="344"/>
        <v>0</v>
      </c>
      <c r="Z1393">
        <f t="shared" si="344"/>
        <v>0</v>
      </c>
      <c r="AA1393">
        <f t="shared" si="344"/>
        <v>0</v>
      </c>
      <c r="AB1393">
        <f t="shared" si="344"/>
        <v>0</v>
      </c>
      <c r="AC1393">
        <f t="shared" si="344"/>
        <v>0</v>
      </c>
      <c r="AD1393">
        <f t="shared" si="344"/>
        <v>0</v>
      </c>
      <c r="AE1393">
        <f t="shared" si="344"/>
        <v>0</v>
      </c>
    </row>
    <row r="1395" spans="1:31" x14ac:dyDescent="0.45">
      <c r="A1395" t="s">
        <v>1025</v>
      </c>
      <c r="D1395">
        <v>2</v>
      </c>
      <c r="E1395" t="s">
        <v>1716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0.69750000000000001</v>
      </c>
      <c r="R1395">
        <v>1.395</v>
      </c>
      <c r="S1395">
        <v>2.0924999999999998</v>
      </c>
      <c r="T1395">
        <v>2.79</v>
      </c>
      <c r="U1395">
        <v>3.4874999999999998</v>
      </c>
      <c r="V1395">
        <v>4.1849999999999996</v>
      </c>
      <c r="W1395">
        <v>4.8825000000000003</v>
      </c>
      <c r="X1395">
        <v>5.58</v>
      </c>
      <c r="Y1395">
        <v>6.2774999999999999</v>
      </c>
      <c r="Z1395">
        <v>6.9749999999999996</v>
      </c>
      <c r="AA1395">
        <v>7.6725000000000003</v>
      </c>
      <c r="AB1395">
        <v>8.3699999999999992</v>
      </c>
      <c r="AC1395">
        <v>9.0675000000000008</v>
      </c>
      <c r="AD1395">
        <v>9.7650000000000006</v>
      </c>
      <c r="AE1395">
        <v>10.4625</v>
      </c>
    </row>
    <row r="1396" spans="1:31" x14ac:dyDescent="0.45">
      <c r="A1396" t="s">
        <v>1025</v>
      </c>
      <c r="D1396">
        <v>2</v>
      </c>
      <c r="E1396" t="s">
        <v>1837</v>
      </c>
      <c r="L1396">
        <f>INDEX(Data_Prices!L:L,MATCH($A1396,Data_Prices!$A:$A,0))</f>
        <v>0</v>
      </c>
      <c r="M1396">
        <f>INDEX(Data_Prices!M:M,MATCH($A1396,Data_Prices!$A:$A,0))</f>
        <v>0</v>
      </c>
      <c r="N1396">
        <f>INDEX(Data_Prices!N:N,MATCH($A1396,Data_Prices!$A:$A,0))</f>
        <v>0</v>
      </c>
      <c r="O1396">
        <f>INDEX(Data_Prices!O:O,MATCH($A1396,Data_Prices!$A:$A,0))</f>
        <v>0</v>
      </c>
      <c r="P1396">
        <f>INDEX(Data_Prices!P:P,MATCH($A1396,Data_Prices!$A:$A,0))</f>
        <v>0</v>
      </c>
      <c r="Q1396">
        <f>INDEX(Data_Prices!Q:Q,MATCH($A1396,Data_Prices!$A:$A,0))</f>
        <v>0.69750000000000001</v>
      </c>
      <c r="R1396">
        <f>INDEX(Data_Prices!R:R,MATCH($A1396,Data_Prices!$A:$A,0))</f>
        <v>1.395</v>
      </c>
      <c r="S1396">
        <f>INDEX(Data_Prices!S:S,MATCH($A1396,Data_Prices!$A:$A,0))</f>
        <v>2.0925000000000002</v>
      </c>
      <c r="T1396">
        <f>INDEX(Data_Prices!T:T,MATCH($A1396,Data_Prices!$A:$A,0))</f>
        <v>2.79</v>
      </c>
      <c r="U1396">
        <f>INDEX(Data_Prices!U:U,MATCH($A1396,Data_Prices!$A:$A,0))</f>
        <v>3.4875000000000003</v>
      </c>
      <c r="V1396">
        <f>INDEX(Data_Prices!V:V,MATCH($A1396,Data_Prices!$A:$A,0))</f>
        <v>4.1850000000000005</v>
      </c>
      <c r="W1396">
        <f>INDEX(Data_Prices!W:W,MATCH($A1396,Data_Prices!$A:$A,0))</f>
        <v>4.8825000000000003</v>
      </c>
      <c r="X1396">
        <f>INDEX(Data_Prices!X:X,MATCH($A1396,Data_Prices!$A:$A,0))</f>
        <v>5.58</v>
      </c>
      <c r="Y1396">
        <f>INDEX(Data_Prices!Y:Y,MATCH($A1396,Data_Prices!$A:$A,0))</f>
        <v>6.2774999999999999</v>
      </c>
      <c r="Z1396">
        <f>INDEX(Data_Prices!Z:Z,MATCH($A1396,Data_Prices!$A:$A,0))</f>
        <v>6.9750000000000005</v>
      </c>
      <c r="AA1396">
        <f>INDEX(Data_Prices!AA:AA,MATCH($A1396,Data_Prices!$A:$A,0))</f>
        <v>7.6725000000000003</v>
      </c>
      <c r="AB1396">
        <f>INDEX(Data_Prices!AB:AB,MATCH($A1396,Data_Prices!$A:$A,0))</f>
        <v>8.370000000000001</v>
      </c>
      <c r="AC1396">
        <f>INDEX(Data_Prices!AC:AC,MATCH($A1396,Data_Prices!$A:$A,0))</f>
        <v>9.0675000000000008</v>
      </c>
      <c r="AD1396">
        <f>INDEX(Data_Prices!AD:AD,MATCH($A1396,Data_Prices!$A:$A,0))</f>
        <v>9.7650000000000006</v>
      </c>
      <c r="AE1396">
        <f>INDEX(Data_Prices!AE:AE,MATCH($A1396,Data_Prices!$A:$A,0))</f>
        <v>10.4625</v>
      </c>
    </row>
    <row r="1397" spans="1:31" x14ac:dyDescent="0.45">
      <c r="A1397" t="s">
        <v>1025</v>
      </c>
      <c r="D1397">
        <v>2</v>
      </c>
      <c r="E1397" t="s">
        <v>1161</v>
      </c>
      <c r="F1397">
        <f>MAX(MAX(L1397:AE1397),-MIN(L1397:AE1397))</f>
        <v>0</v>
      </c>
      <c r="I1397" t="s">
        <v>1866</v>
      </c>
      <c r="L1397">
        <f t="shared" ref="L1397:AE1397" si="345">L1396-L1395</f>
        <v>0</v>
      </c>
      <c r="M1397">
        <f t="shared" si="345"/>
        <v>0</v>
      </c>
      <c r="N1397">
        <f t="shared" si="345"/>
        <v>0</v>
      </c>
      <c r="O1397">
        <f t="shared" si="345"/>
        <v>0</v>
      </c>
      <c r="P1397">
        <f t="shared" si="345"/>
        <v>0</v>
      </c>
      <c r="Q1397">
        <f t="shared" si="345"/>
        <v>0</v>
      </c>
      <c r="R1397">
        <f t="shared" si="345"/>
        <v>0</v>
      </c>
      <c r="S1397">
        <f t="shared" si="345"/>
        <v>0</v>
      </c>
      <c r="T1397">
        <f t="shared" si="345"/>
        <v>0</v>
      </c>
      <c r="U1397">
        <f t="shared" si="345"/>
        <v>0</v>
      </c>
      <c r="V1397">
        <f t="shared" si="345"/>
        <v>0</v>
      </c>
      <c r="W1397">
        <f t="shared" si="345"/>
        <v>0</v>
      </c>
      <c r="X1397">
        <f t="shared" si="345"/>
        <v>0</v>
      </c>
      <c r="Y1397">
        <f t="shared" si="345"/>
        <v>0</v>
      </c>
      <c r="Z1397">
        <f t="shared" si="345"/>
        <v>0</v>
      </c>
      <c r="AA1397">
        <f t="shared" si="345"/>
        <v>0</v>
      </c>
      <c r="AB1397">
        <f t="shared" si="345"/>
        <v>0</v>
      </c>
      <c r="AC1397">
        <f t="shared" si="345"/>
        <v>0</v>
      </c>
      <c r="AD1397">
        <f t="shared" si="345"/>
        <v>0</v>
      </c>
      <c r="AE1397">
        <f t="shared" si="345"/>
        <v>0</v>
      </c>
    </row>
    <row r="1399" spans="1:31" x14ac:dyDescent="0.45">
      <c r="A1399" t="s">
        <v>1028</v>
      </c>
      <c r="D1399">
        <v>2</v>
      </c>
      <c r="E1399" t="s">
        <v>1716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2.89278431715E-2</v>
      </c>
      <c r="R1399">
        <v>5.7855686343E-2</v>
      </c>
      <c r="S1399">
        <v>8.6783529514499996E-2</v>
      </c>
      <c r="T1399">
        <v>0.115711372686</v>
      </c>
      <c r="U1399">
        <v>0.1446392158575</v>
      </c>
      <c r="V1399">
        <v>0.17356705902899999</v>
      </c>
      <c r="W1399">
        <v>0.20249490220050001</v>
      </c>
      <c r="X1399">
        <v>0.231422745372</v>
      </c>
      <c r="Y1399">
        <v>0.26035058854350002</v>
      </c>
      <c r="Z1399">
        <v>0.28927843171500001</v>
      </c>
      <c r="AA1399">
        <v>0.3182062748865</v>
      </c>
      <c r="AB1399">
        <v>0.34713411805799999</v>
      </c>
      <c r="AC1399">
        <v>0.37606196122949997</v>
      </c>
      <c r="AD1399">
        <v>0.40498980440100002</v>
      </c>
      <c r="AE1399">
        <v>0.43391764757250001</v>
      </c>
    </row>
    <row r="1400" spans="1:31" x14ac:dyDescent="0.45">
      <c r="A1400" t="s">
        <v>1028</v>
      </c>
      <c r="D1400">
        <v>2</v>
      </c>
      <c r="E1400" t="s">
        <v>1837</v>
      </c>
      <c r="L1400">
        <f>INDEX(Data_Prices!L:L,MATCH($A1400,Data_Prices!$A:$A,0))</f>
        <v>0</v>
      </c>
      <c r="M1400">
        <f>INDEX(Data_Prices!M:M,MATCH($A1400,Data_Prices!$A:$A,0))</f>
        <v>0</v>
      </c>
      <c r="N1400">
        <f>INDEX(Data_Prices!N:N,MATCH($A1400,Data_Prices!$A:$A,0))</f>
        <v>0</v>
      </c>
      <c r="O1400">
        <f>INDEX(Data_Prices!O:O,MATCH($A1400,Data_Prices!$A:$A,0))</f>
        <v>0</v>
      </c>
      <c r="P1400">
        <f>INDEX(Data_Prices!P:P,MATCH($A1400,Data_Prices!$A:$A,0))</f>
        <v>0</v>
      </c>
      <c r="Q1400">
        <f>INDEX(Data_Prices!Q:Q,MATCH($A1400,Data_Prices!$A:$A,0))</f>
        <v>2.8927843171500003E-2</v>
      </c>
      <c r="R1400">
        <f>INDEX(Data_Prices!R:R,MATCH($A1400,Data_Prices!$A:$A,0))</f>
        <v>5.7855686343000007E-2</v>
      </c>
      <c r="S1400">
        <f>INDEX(Data_Prices!S:S,MATCH($A1400,Data_Prices!$A:$A,0))</f>
        <v>8.678352951450001E-2</v>
      </c>
      <c r="T1400">
        <f>INDEX(Data_Prices!T:T,MATCH($A1400,Data_Prices!$A:$A,0))</f>
        <v>0.11571137268600001</v>
      </c>
      <c r="U1400">
        <f>INDEX(Data_Prices!U:U,MATCH($A1400,Data_Prices!$A:$A,0))</f>
        <v>0.1446392158575</v>
      </c>
      <c r="V1400">
        <f>INDEX(Data_Prices!V:V,MATCH($A1400,Data_Prices!$A:$A,0))</f>
        <v>0.17356705902900002</v>
      </c>
      <c r="W1400">
        <f>INDEX(Data_Prices!W:W,MATCH($A1400,Data_Prices!$A:$A,0))</f>
        <v>0.20249490220050001</v>
      </c>
      <c r="X1400">
        <f>INDEX(Data_Prices!X:X,MATCH($A1400,Data_Prices!$A:$A,0))</f>
        <v>0.23142274537200003</v>
      </c>
      <c r="Y1400">
        <f>INDEX(Data_Prices!Y:Y,MATCH($A1400,Data_Prices!$A:$A,0))</f>
        <v>0.26035058854350002</v>
      </c>
      <c r="Z1400">
        <f>INDEX(Data_Prices!Z:Z,MATCH($A1400,Data_Prices!$A:$A,0))</f>
        <v>0.28927843171500001</v>
      </c>
      <c r="AA1400">
        <f>INDEX(Data_Prices!AA:AA,MATCH($A1400,Data_Prices!$A:$A,0))</f>
        <v>0.31820627488650005</v>
      </c>
      <c r="AB1400">
        <f>INDEX(Data_Prices!AB:AB,MATCH($A1400,Data_Prices!$A:$A,0))</f>
        <v>0.34713411805800004</v>
      </c>
      <c r="AC1400">
        <f>INDEX(Data_Prices!AC:AC,MATCH($A1400,Data_Prices!$A:$A,0))</f>
        <v>0.37606196122950003</v>
      </c>
      <c r="AD1400">
        <f>INDEX(Data_Prices!AD:AD,MATCH($A1400,Data_Prices!$A:$A,0))</f>
        <v>0.40498980440100002</v>
      </c>
      <c r="AE1400">
        <f>INDEX(Data_Prices!AE:AE,MATCH($A1400,Data_Prices!$A:$A,0))</f>
        <v>0.43391764757250006</v>
      </c>
    </row>
    <row r="1401" spans="1:31" x14ac:dyDescent="0.45">
      <c r="A1401" t="s">
        <v>1028</v>
      </c>
      <c r="D1401">
        <v>2</v>
      </c>
      <c r="E1401" t="s">
        <v>1161</v>
      </c>
      <c r="F1401">
        <f>MAX(MAX(L1401:AE1401),-MIN(L1401:AE1401))</f>
        <v>0</v>
      </c>
      <c r="I1401" t="s">
        <v>1866</v>
      </c>
      <c r="L1401">
        <f t="shared" ref="L1401:AE1401" si="346">L1400-L1399</f>
        <v>0</v>
      </c>
      <c r="M1401">
        <f t="shared" si="346"/>
        <v>0</v>
      </c>
      <c r="N1401">
        <f t="shared" si="346"/>
        <v>0</v>
      </c>
      <c r="O1401">
        <f t="shared" si="346"/>
        <v>0</v>
      </c>
      <c r="P1401">
        <f t="shared" si="346"/>
        <v>0</v>
      </c>
      <c r="Q1401">
        <f t="shared" si="346"/>
        <v>0</v>
      </c>
      <c r="R1401">
        <f t="shared" si="346"/>
        <v>0</v>
      </c>
      <c r="S1401">
        <f t="shared" si="346"/>
        <v>0</v>
      </c>
      <c r="T1401">
        <f t="shared" si="346"/>
        <v>0</v>
      </c>
      <c r="U1401">
        <f t="shared" si="346"/>
        <v>0</v>
      </c>
      <c r="V1401">
        <f t="shared" si="346"/>
        <v>0</v>
      </c>
      <c r="W1401">
        <f t="shared" si="346"/>
        <v>0</v>
      </c>
      <c r="X1401">
        <f t="shared" si="346"/>
        <v>0</v>
      </c>
      <c r="Y1401">
        <f t="shared" si="346"/>
        <v>0</v>
      </c>
      <c r="Z1401">
        <f t="shared" si="346"/>
        <v>0</v>
      </c>
      <c r="AA1401">
        <f t="shared" si="346"/>
        <v>0</v>
      </c>
      <c r="AB1401">
        <f t="shared" si="346"/>
        <v>0</v>
      </c>
      <c r="AC1401">
        <f t="shared" si="346"/>
        <v>0</v>
      </c>
      <c r="AD1401">
        <f t="shared" si="346"/>
        <v>0</v>
      </c>
      <c r="AE1401">
        <f t="shared" si="346"/>
        <v>0</v>
      </c>
    </row>
    <row r="1403" spans="1:31" x14ac:dyDescent="0.45">
      <c r="A1403" t="s">
        <v>1032</v>
      </c>
      <c r="D1403">
        <v>2</v>
      </c>
      <c r="E1403" t="s">
        <v>1716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3.3010438858875002E-2</v>
      </c>
      <c r="R1403">
        <v>6.6020877717750004E-2</v>
      </c>
      <c r="S1403">
        <v>9.9031316576625006E-2</v>
      </c>
      <c r="T1403">
        <v>0.13204175543550001</v>
      </c>
      <c r="U1403">
        <v>0.16505219429437501</v>
      </c>
      <c r="V1403">
        <v>0.19806263315325001</v>
      </c>
      <c r="W1403">
        <v>0.23107307201212501</v>
      </c>
      <c r="X1403">
        <v>0.26408351087100002</v>
      </c>
      <c r="Y1403">
        <v>0.29709394972987502</v>
      </c>
      <c r="Z1403">
        <v>0.33010438858875002</v>
      </c>
      <c r="AA1403">
        <v>0.36311482744762502</v>
      </c>
      <c r="AB1403">
        <v>0.39612526630650002</v>
      </c>
      <c r="AC1403">
        <v>0.42913570516537503</v>
      </c>
      <c r="AD1403">
        <v>0.46214614402425003</v>
      </c>
      <c r="AE1403">
        <v>0.49515658288312497</v>
      </c>
    </row>
    <row r="1404" spans="1:31" x14ac:dyDescent="0.45">
      <c r="A1404" t="s">
        <v>1032</v>
      </c>
      <c r="D1404">
        <v>2</v>
      </c>
      <c r="E1404" t="s">
        <v>1837</v>
      </c>
      <c r="L1404">
        <f>INDEX(Data_Prices!L:L,MATCH($A1404,Data_Prices!$A:$A,0))</f>
        <v>0</v>
      </c>
      <c r="M1404">
        <f>INDEX(Data_Prices!M:M,MATCH($A1404,Data_Prices!$A:$A,0))</f>
        <v>0</v>
      </c>
      <c r="N1404">
        <f>INDEX(Data_Prices!N:N,MATCH($A1404,Data_Prices!$A:$A,0))</f>
        <v>0</v>
      </c>
      <c r="O1404">
        <f>INDEX(Data_Prices!O:O,MATCH($A1404,Data_Prices!$A:$A,0))</f>
        <v>0</v>
      </c>
      <c r="P1404">
        <f>INDEX(Data_Prices!P:P,MATCH($A1404,Data_Prices!$A:$A,0))</f>
        <v>0</v>
      </c>
      <c r="Q1404">
        <f>INDEX(Data_Prices!Q:Q,MATCH($A1404,Data_Prices!$A:$A,0))</f>
        <v>3.3010438858875002E-2</v>
      </c>
      <c r="R1404">
        <f>INDEX(Data_Prices!R:R,MATCH($A1404,Data_Prices!$A:$A,0))</f>
        <v>6.6020877717750004E-2</v>
      </c>
      <c r="S1404">
        <f>INDEX(Data_Prices!S:S,MATCH($A1404,Data_Prices!$A:$A,0))</f>
        <v>9.9031316576625006E-2</v>
      </c>
      <c r="T1404">
        <f>INDEX(Data_Prices!T:T,MATCH($A1404,Data_Prices!$A:$A,0))</f>
        <v>0.13204175543550001</v>
      </c>
      <c r="U1404">
        <f>INDEX(Data_Prices!U:U,MATCH($A1404,Data_Prices!$A:$A,0))</f>
        <v>0.16505219429437501</v>
      </c>
      <c r="V1404">
        <f>INDEX(Data_Prices!V:V,MATCH($A1404,Data_Prices!$A:$A,0))</f>
        <v>0.19806263315325001</v>
      </c>
      <c r="W1404">
        <f>INDEX(Data_Prices!W:W,MATCH($A1404,Data_Prices!$A:$A,0))</f>
        <v>0.23107307201212501</v>
      </c>
      <c r="X1404">
        <f>INDEX(Data_Prices!X:X,MATCH($A1404,Data_Prices!$A:$A,0))</f>
        <v>0.26408351087100002</v>
      </c>
      <c r="Y1404">
        <f>INDEX(Data_Prices!Y:Y,MATCH($A1404,Data_Prices!$A:$A,0))</f>
        <v>0.29709394972987502</v>
      </c>
      <c r="Z1404">
        <f>INDEX(Data_Prices!Z:Z,MATCH($A1404,Data_Prices!$A:$A,0))</f>
        <v>0.33010438858875002</v>
      </c>
      <c r="AA1404">
        <f>INDEX(Data_Prices!AA:AA,MATCH($A1404,Data_Prices!$A:$A,0))</f>
        <v>0.36311482744762502</v>
      </c>
      <c r="AB1404">
        <f>INDEX(Data_Prices!AB:AB,MATCH($A1404,Data_Prices!$A:$A,0))</f>
        <v>0.39612526630650002</v>
      </c>
      <c r="AC1404">
        <f>INDEX(Data_Prices!AC:AC,MATCH($A1404,Data_Prices!$A:$A,0))</f>
        <v>0.42913570516537503</v>
      </c>
      <c r="AD1404">
        <f>INDEX(Data_Prices!AD:AD,MATCH($A1404,Data_Prices!$A:$A,0))</f>
        <v>0.46214614402425003</v>
      </c>
      <c r="AE1404">
        <f>INDEX(Data_Prices!AE:AE,MATCH($A1404,Data_Prices!$A:$A,0))</f>
        <v>0.49515658288312497</v>
      </c>
    </row>
    <row r="1405" spans="1:31" x14ac:dyDescent="0.45">
      <c r="A1405" t="s">
        <v>1032</v>
      </c>
      <c r="D1405">
        <v>2</v>
      </c>
      <c r="E1405" t="s">
        <v>1161</v>
      </c>
      <c r="F1405">
        <f>MAX(MAX(L1405:AE1405),-MIN(L1405:AE1405))</f>
        <v>0</v>
      </c>
      <c r="I1405" t="s">
        <v>1866</v>
      </c>
      <c r="L1405">
        <f t="shared" ref="L1405:AE1405" si="347">L1404-L1403</f>
        <v>0</v>
      </c>
      <c r="M1405">
        <f t="shared" si="347"/>
        <v>0</v>
      </c>
      <c r="N1405">
        <f t="shared" si="347"/>
        <v>0</v>
      </c>
      <c r="O1405">
        <f t="shared" si="347"/>
        <v>0</v>
      </c>
      <c r="P1405">
        <f t="shared" si="347"/>
        <v>0</v>
      </c>
      <c r="Q1405">
        <f t="shared" si="347"/>
        <v>0</v>
      </c>
      <c r="R1405">
        <f t="shared" si="347"/>
        <v>0</v>
      </c>
      <c r="S1405">
        <f t="shared" si="347"/>
        <v>0</v>
      </c>
      <c r="T1405">
        <f t="shared" si="347"/>
        <v>0</v>
      </c>
      <c r="U1405">
        <f t="shared" si="347"/>
        <v>0</v>
      </c>
      <c r="V1405">
        <f t="shared" si="347"/>
        <v>0</v>
      </c>
      <c r="W1405">
        <f t="shared" si="347"/>
        <v>0</v>
      </c>
      <c r="X1405">
        <f t="shared" si="347"/>
        <v>0</v>
      </c>
      <c r="Y1405">
        <f t="shared" si="347"/>
        <v>0</v>
      </c>
      <c r="Z1405">
        <f t="shared" si="347"/>
        <v>0</v>
      </c>
      <c r="AA1405">
        <f t="shared" si="347"/>
        <v>0</v>
      </c>
      <c r="AB1405">
        <f t="shared" si="347"/>
        <v>0</v>
      </c>
      <c r="AC1405">
        <f t="shared" si="347"/>
        <v>0</v>
      </c>
      <c r="AD1405">
        <f t="shared" si="347"/>
        <v>0</v>
      </c>
      <c r="AE1405">
        <f t="shared" si="347"/>
        <v>0</v>
      </c>
    </row>
    <row r="1407" spans="1:31" x14ac:dyDescent="0.45">
      <c r="A1407" t="s">
        <v>1036</v>
      </c>
      <c r="D1407">
        <v>2</v>
      </c>
      <c r="E1407" t="s">
        <v>1716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2.2106082927295701E-2</v>
      </c>
      <c r="R1407">
        <v>4.4212165854591402E-2</v>
      </c>
      <c r="S1407">
        <v>6.6318248781887107E-2</v>
      </c>
      <c r="T1407">
        <v>8.8424331709182805E-2</v>
      </c>
      <c r="U1407">
        <v>0.110530414636479</v>
      </c>
      <c r="V1407">
        <v>0.13263649756377399</v>
      </c>
      <c r="W1407">
        <v>0.15474258049107001</v>
      </c>
      <c r="X1407">
        <v>0.176848663418366</v>
      </c>
      <c r="Y1407">
        <v>0.19895474634566099</v>
      </c>
      <c r="Z1407">
        <v>0.221060829272957</v>
      </c>
      <c r="AA1407">
        <v>0.24316691220025299</v>
      </c>
      <c r="AB1407">
        <v>0.26527299512754798</v>
      </c>
      <c r="AC1407">
        <v>0.28737907805484397</v>
      </c>
      <c r="AD1407">
        <v>0.30948516098214002</v>
      </c>
      <c r="AE1407">
        <v>0.33159124390943501</v>
      </c>
    </row>
    <row r="1408" spans="1:31" x14ac:dyDescent="0.45">
      <c r="A1408" t="s">
        <v>1036</v>
      </c>
      <c r="D1408">
        <v>2</v>
      </c>
      <c r="E1408" t="s">
        <v>1837</v>
      </c>
      <c r="L1408">
        <f>INDEX(Data_Prices!L:L,MATCH($A1408,Data_Prices!$A:$A,0))</f>
        <v>0</v>
      </c>
      <c r="M1408">
        <f>INDEX(Data_Prices!M:M,MATCH($A1408,Data_Prices!$A:$A,0))</f>
        <v>0</v>
      </c>
      <c r="N1408">
        <f>INDEX(Data_Prices!N:N,MATCH($A1408,Data_Prices!$A:$A,0))</f>
        <v>0</v>
      </c>
      <c r="O1408">
        <f>INDEX(Data_Prices!O:O,MATCH($A1408,Data_Prices!$A:$A,0))</f>
        <v>0</v>
      </c>
      <c r="P1408">
        <f>INDEX(Data_Prices!P:P,MATCH($A1408,Data_Prices!$A:$A,0))</f>
        <v>0</v>
      </c>
      <c r="Q1408">
        <f>INDEX(Data_Prices!Q:Q,MATCH($A1408,Data_Prices!$A:$A,0))</f>
        <v>2.2106082927295666E-2</v>
      </c>
      <c r="R1408">
        <f>INDEX(Data_Prices!R:R,MATCH($A1408,Data_Prices!$A:$A,0))</f>
        <v>4.4212165854591333E-2</v>
      </c>
      <c r="S1408">
        <f>INDEX(Data_Prices!S:S,MATCH($A1408,Data_Prices!$A:$A,0))</f>
        <v>6.6318248781886996E-2</v>
      </c>
      <c r="T1408">
        <f>INDEX(Data_Prices!T:T,MATCH($A1408,Data_Prices!$A:$A,0))</f>
        <v>8.8424331709182666E-2</v>
      </c>
      <c r="U1408">
        <f>INDEX(Data_Prices!U:U,MATCH($A1408,Data_Prices!$A:$A,0))</f>
        <v>0.11053041463647834</v>
      </c>
      <c r="V1408">
        <f>INDEX(Data_Prices!V:V,MATCH($A1408,Data_Prices!$A:$A,0))</f>
        <v>0.13263649756377399</v>
      </c>
      <c r="W1408">
        <f>INDEX(Data_Prices!W:W,MATCH($A1408,Data_Prices!$A:$A,0))</f>
        <v>0.15474258049106968</v>
      </c>
      <c r="X1408">
        <f>INDEX(Data_Prices!X:X,MATCH($A1408,Data_Prices!$A:$A,0))</f>
        <v>0.17684866341836533</v>
      </c>
      <c r="Y1408">
        <f>INDEX(Data_Prices!Y:Y,MATCH($A1408,Data_Prices!$A:$A,0))</f>
        <v>0.19895474634566102</v>
      </c>
      <c r="Z1408">
        <f>INDEX(Data_Prices!Z:Z,MATCH($A1408,Data_Prices!$A:$A,0))</f>
        <v>0.22106082927295667</v>
      </c>
      <c r="AA1408">
        <f>INDEX(Data_Prices!AA:AA,MATCH($A1408,Data_Prices!$A:$A,0))</f>
        <v>0.24316691220025236</v>
      </c>
      <c r="AB1408">
        <f>INDEX(Data_Prices!AB:AB,MATCH($A1408,Data_Prices!$A:$A,0))</f>
        <v>0.26527299512754798</v>
      </c>
      <c r="AC1408">
        <f>INDEX(Data_Prices!AC:AC,MATCH($A1408,Data_Prices!$A:$A,0))</f>
        <v>0.2873790780548437</v>
      </c>
      <c r="AD1408">
        <f>INDEX(Data_Prices!AD:AD,MATCH($A1408,Data_Prices!$A:$A,0))</f>
        <v>0.30948516098213935</v>
      </c>
      <c r="AE1408">
        <f>INDEX(Data_Prices!AE:AE,MATCH($A1408,Data_Prices!$A:$A,0))</f>
        <v>0.33159124390943501</v>
      </c>
    </row>
    <row r="1409" spans="1:31" x14ac:dyDescent="0.45">
      <c r="A1409" t="s">
        <v>1036</v>
      </c>
      <c r="D1409">
        <v>2</v>
      </c>
      <c r="E1409" t="s">
        <v>1161</v>
      </c>
      <c r="F1409">
        <f>MAX(MAX(L1409:AE1409),-MIN(L1409:AE1409))</f>
        <v>6.6613381477509392E-16</v>
      </c>
      <c r="I1409" t="s">
        <v>1866</v>
      </c>
      <c r="L1409">
        <f t="shared" ref="L1409:AE1409" si="348">L1408-L1407</f>
        <v>0</v>
      </c>
      <c r="M1409">
        <f t="shared" si="348"/>
        <v>0</v>
      </c>
      <c r="N1409">
        <f t="shared" si="348"/>
        <v>0</v>
      </c>
      <c r="O1409">
        <f t="shared" si="348"/>
        <v>0</v>
      </c>
      <c r="P1409">
        <f t="shared" si="348"/>
        <v>0</v>
      </c>
      <c r="Q1409">
        <f t="shared" si="348"/>
        <v>-3.4694469519536142E-17</v>
      </c>
      <c r="R1409">
        <f t="shared" si="348"/>
        <v>-6.9388939039072284E-17</v>
      </c>
      <c r="S1409">
        <f t="shared" si="348"/>
        <v>-1.1102230246251565E-16</v>
      </c>
      <c r="T1409">
        <f t="shared" si="348"/>
        <v>-1.3877787807814457E-16</v>
      </c>
      <c r="U1409">
        <f t="shared" si="348"/>
        <v>-6.6613381477509392E-16</v>
      </c>
      <c r="V1409">
        <f t="shared" si="348"/>
        <v>0</v>
      </c>
      <c r="W1409">
        <f t="shared" si="348"/>
        <v>-3.3306690738754696E-16</v>
      </c>
      <c r="X1409">
        <f t="shared" si="348"/>
        <v>-6.6613381477509392E-16</v>
      </c>
      <c r="Y1409">
        <f t="shared" si="348"/>
        <v>0</v>
      </c>
      <c r="Z1409">
        <f t="shared" si="348"/>
        <v>-3.3306690738754696E-16</v>
      </c>
      <c r="AA1409">
        <f t="shared" si="348"/>
        <v>-6.3837823915946501E-16</v>
      </c>
      <c r="AB1409">
        <f t="shared" si="348"/>
        <v>0</v>
      </c>
      <c r="AC1409">
        <f t="shared" si="348"/>
        <v>0</v>
      </c>
      <c r="AD1409">
        <f t="shared" si="348"/>
        <v>-6.6613381477509392E-16</v>
      </c>
      <c r="AE1409">
        <f t="shared" si="348"/>
        <v>0</v>
      </c>
    </row>
    <row r="1411" spans="1:31" x14ac:dyDescent="0.45">
      <c r="A1411" t="s">
        <v>1040</v>
      </c>
      <c r="D1411">
        <v>2</v>
      </c>
      <c r="E1411" t="s">
        <v>1716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3.1988830110108502E-2</v>
      </c>
      <c r="R1411">
        <v>6.3977660220217003E-2</v>
      </c>
      <c r="S1411">
        <v>9.5966490330325505E-2</v>
      </c>
      <c r="T1411">
        <v>0.12795532044043401</v>
      </c>
      <c r="U1411">
        <v>0.15994415055054301</v>
      </c>
      <c r="V1411">
        <v>0.19193298066065101</v>
      </c>
      <c r="W1411">
        <v>0.22392181077076001</v>
      </c>
      <c r="X1411">
        <v>0.25591064088086801</v>
      </c>
      <c r="Y1411">
        <v>0.28789947099097701</v>
      </c>
      <c r="Z1411">
        <v>0.31988830110108502</v>
      </c>
      <c r="AA1411">
        <v>0.35187713121119302</v>
      </c>
      <c r="AB1411">
        <v>0.38386596132130202</v>
      </c>
      <c r="AC1411">
        <v>0.41585479143141002</v>
      </c>
      <c r="AD1411">
        <v>0.44784362154151902</v>
      </c>
      <c r="AE1411">
        <v>0.47983245165162702</v>
      </c>
    </row>
    <row r="1412" spans="1:31" x14ac:dyDescent="0.45">
      <c r="A1412" t="s">
        <v>1040</v>
      </c>
      <c r="D1412">
        <v>2</v>
      </c>
      <c r="E1412" t="s">
        <v>1837</v>
      </c>
      <c r="L1412">
        <f>INDEX(Data_Prices!L:L,MATCH($A1412,Data_Prices!$A:$A,0))</f>
        <v>0</v>
      </c>
      <c r="M1412">
        <f>INDEX(Data_Prices!M:M,MATCH($A1412,Data_Prices!$A:$A,0))</f>
        <v>0</v>
      </c>
      <c r="N1412">
        <f>INDEX(Data_Prices!N:N,MATCH($A1412,Data_Prices!$A:$A,0))</f>
        <v>0</v>
      </c>
      <c r="O1412">
        <f>INDEX(Data_Prices!O:O,MATCH($A1412,Data_Prices!$A:$A,0))</f>
        <v>0</v>
      </c>
      <c r="P1412">
        <f>INDEX(Data_Prices!P:P,MATCH($A1412,Data_Prices!$A:$A,0))</f>
        <v>0</v>
      </c>
      <c r="Q1412">
        <f>INDEX(Data_Prices!Q:Q,MATCH($A1412,Data_Prices!$A:$A,0))</f>
        <v>3.1988830110108467E-2</v>
      </c>
      <c r="R1412">
        <f>INDEX(Data_Prices!R:R,MATCH($A1412,Data_Prices!$A:$A,0))</f>
        <v>6.3977660220216934E-2</v>
      </c>
      <c r="S1412">
        <f>INDEX(Data_Prices!S:S,MATCH($A1412,Data_Prices!$A:$A,0))</f>
        <v>9.5966490330325394E-2</v>
      </c>
      <c r="T1412">
        <f>INDEX(Data_Prices!T:T,MATCH($A1412,Data_Prices!$A:$A,0))</f>
        <v>0.12795532044043387</v>
      </c>
      <c r="U1412">
        <f>INDEX(Data_Prices!U:U,MATCH($A1412,Data_Prices!$A:$A,0))</f>
        <v>0.15994415055054234</v>
      </c>
      <c r="V1412">
        <f>INDEX(Data_Prices!V:V,MATCH($A1412,Data_Prices!$A:$A,0))</f>
        <v>0.19193298066065079</v>
      </c>
      <c r="W1412">
        <f>INDEX(Data_Prices!W:W,MATCH($A1412,Data_Prices!$A:$A,0))</f>
        <v>0.22392181077075926</v>
      </c>
      <c r="X1412">
        <f>INDEX(Data_Prices!X:X,MATCH($A1412,Data_Prices!$A:$A,0))</f>
        <v>0.25591064088086773</v>
      </c>
      <c r="Y1412">
        <f>INDEX(Data_Prices!Y:Y,MATCH($A1412,Data_Prices!$A:$A,0))</f>
        <v>0.28789947099097618</v>
      </c>
      <c r="Z1412">
        <f>INDEX(Data_Prices!Z:Z,MATCH($A1412,Data_Prices!$A:$A,0))</f>
        <v>0.31988830110108468</v>
      </c>
      <c r="AA1412">
        <f>INDEX(Data_Prices!AA:AA,MATCH($A1412,Data_Prices!$A:$A,0))</f>
        <v>0.35187713121119313</v>
      </c>
      <c r="AB1412">
        <f>INDEX(Data_Prices!AB:AB,MATCH($A1412,Data_Prices!$A:$A,0))</f>
        <v>0.38386596132130157</v>
      </c>
      <c r="AC1412">
        <f>INDEX(Data_Prices!AC:AC,MATCH($A1412,Data_Prices!$A:$A,0))</f>
        <v>0.41585479143141008</v>
      </c>
      <c r="AD1412">
        <f>INDEX(Data_Prices!AD:AD,MATCH($A1412,Data_Prices!$A:$A,0))</f>
        <v>0.44784362154151852</v>
      </c>
      <c r="AE1412">
        <f>INDEX(Data_Prices!AE:AE,MATCH($A1412,Data_Prices!$A:$A,0))</f>
        <v>0.47983245165162697</v>
      </c>
    </row>
    <row r="1413" spans="1:31" x14ac:dyDescent="0.45">
      <c r="A1413" t="s">
        <v>1040</v>
      </c>
      <c r="D1413">
        <v>2</v>
      </c>
      <c r="E1413" t="s">
        <v>1161</v>
      </c>
      <c r="F1413">
        <f>MAX(MAX(L1413:AE1413),-MIN(L1413:AE1413))</f>
        <v>8.3266726846886741E-16</v>
      </c>
      <c r="I1413" t="s">
        <v>1866</v>
      </c>
      <c r="L1413">
        <f t="shared" ref="L1413:AE1413" si="349">L1412-L1411</f>
        <v>0</v>
      </c>
      <c r="M1413">
        <f t="shared" si="349"/>
        <v>0</v>
      </c>
      <c r="N1413">
        <f t="shared" si="349"/>
        <v>0</v>
      </c>
      <c r="O1413">
        <f t="shared" si="349"/>
        <v>0</v>
      </c>
      <c r="P1413">
        <f t="shared" si="349"/>
        <v>0</v>
      </c>
      <c r="Q1413">
        <f t="shared" si="349"/>
        <v>0</v>
      </c>
      <c r="R1413">
        <f t="shared" si="349"/>
        <v>0</v>
      </c>
      <c r="S1413">
        <f t="shared" si="349"/>
        <v>-1.1102230246251565E-16</v>
      </c>
      <c r="T1413">
        <f t="shared" si="349"/>
        <v>0</v>
      </c>
      <c r="U1413">
        <f t="shared" si="349"/>
        <v>-6.6613381477509392E-16</v>
      </c>
      <c r="V1413">
        <f t="shared" si="349"/>
        <v>-2.2204460492503131E-16</v>
      </c>
      <c r="W1413">
        <f t="shared" si="349"/>
        <v>-7.4940054162198066E-16</v>
      </c>
      <c r="X1413">
        <f t="shared" si="349"/>
        <v>0</v>
      </c>
      <c r="Y1413">
        <f t="shared" si="349"/>
        <v>-8.3266726846886741E-16</v>
      </c>
      <c r="Z1413">
        <f t="shared" si="349"/>
        <v>0</v>
      </c>
      <c r="AA1413">
        <f t="shared" si="349"/>
        <v>0</v>
      </c>
      <c r="AB1413">
        <f t="shared" si="349"/>
        <v>-4.4408920985006262E-16</v>
      </c>
      <c r="AC1413">
        <f t="shared" si="349"/>
        <v>0</v>
      </c>
      <c r="AD1413">
        <f t="shared" si="349"/>
        <v>-4.9960036108132044E-16</v>
      </c>
      <c r="AE1413">
        <f t="shared" si="349"/>
        <v>0</v>
      </c>
    </row>
    <row r="1415" spans="1:31" x14ac:dyDescent="0.45">
      <c r="A1415" t="s">
        <v>1044</v>
      </c>
      <c r="D1415">
        <v>2</v>
      </c>
      <c r="E1415" t="s">
        <v>1716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5.8675499999999996</v>
      </c>
      <c r="R1415">
        <v>11.735099999999999</v>
      </c>
      <c r="S1415">
        <v>17.602650000000001</v>
      </c>
      <c r="T1415">
        <v>23.470199999999998</v>
      </c>
      <c r="U1415">
        <v>29.33775</v>
      </c>
      <c r="V1415">
        <v>35.205300000000001</v>
      </c>
      <c r="W1415">
        <v>41.072850000000003</v>
      </c>
      <c r="X1415">
        <v>46.940399999999997</v>
      </c>
      <c r="Y1415">
        <v>52.807949999999998</v>
      </c>
      <c r="Z1415">
        <v>58.6755</v>
      </c>
      <c r="AA1415">
        <v>64.543049999999994</v>
      </c>
      <c r="AB1415">
        <v>70.410600000000002</v>
      </c>
      <c r="AC1415">
        <v>76.278149999999997</v>
      </c>
      <c r="AD1415">
        <v>82.145700000000005</v>
      </c>
      <c r="AE1415">
        <v>88.013249999999999</v>
      </c>
    </row>
    <row r="1416" spans="1:31" x14ac:dyDescent="0.45">
      <c r="A1416" t="s">
        <v>1044</v>
      </c>
      <c r="D1416">
        <v>2</v>
      </c>
      <c r="E1416" t="s">
        <v>1837</v>
      </c>
      <c r="L1416">
        <f>INDEX(Data_Prices!L:L,MATCH($A1416,Data_Prices!$A:$A,0))</f>
        <v>0</v>
      </c>
      <c r="M1416">
        <f>INDEX(Data_Prices!M:M,MATCH($A1416,Data_Prices!$A:$A,0))</f>
        <v>0</v>
      </c>
      <c r="N1416">
        <f>INDEX(Data_Prices!N:N,MATCH($A1416,Data_Prices!$A:$A,0))</f>
        <v>0</v>
      </c>
      <c r="O1416">
        <f>INDEX(Data_Prices!O:O,MATCH($A1416,Data_Prices!$A:$A,0))</f>
        <v>0</v>
      </c>
      <c r="P1416">
        <f>INDEX(Data_Prices!P:P,MATCH($A1416,Data_Prices!$A:$A,0))</f>
        <v>0</v>
      </c>
      <c r="Q1416">
        <f>INDEX(Data_Prices!Q:Q,MATCH($A1416,Data_Prices!$A:$A,0))</f>
        <v>5.8675499999999996</v>
      </c>
      <c r="R1416">
        <f>INDEX(Data_Prices!R:R,MATCH($A1416,Data_Prices!$A:$A,0))</f>
        <v>11.735099999999999</v>
      </c>
      <c r="S1416">
        <f>INDEX(Data_Prices!S:S,MATCH($A1416,Data_Prices!$A:$A,0))</f>
        <v>17.602650000000001</v>
      </c>
      <c r="T1416">
        <f>INDEX(Data_Prices!T:T,MATCH($A1416,Data_Prices!$A:$A,0))</f>
        <v>23.470199999999998</v>
      </c>
      <c r="U1416">
        <f>INDEX(Data_Prices!U:U,MATCH($A1416,Data_Prices!$A:$A,0))</f>
        <v>29.33775</v>
      </c>
      <c r="V1416">
        <f>INDEX(Data_Prices!V:V,MATCH($A1416,Data_Prices!$A:$A,0))</f>
        <v>35.205300000000001</v>
      </c>
      <c r="W1416">
        <f>INDEX(Data_Prices!W:W,MATCH($A1416,Data_Prices!$A:$A,0))</f>
        <v>41.072849999999995</v>
      </c>
      <c r="X1416">
        <f>INDEX(Data_Prices!X:X,MATCH($A1416,Data_Prices!$A:$A,0))</f>
        <v>46.940399999999997</v>
      </c>
      <c r="Y1416">
        <f>INDEX(Data_Prices!Y:Y,MATCH($A1416,Data_Prices!$A:$A,0))</f>
        <v>52.807949999999998</v>
      </c>
      <c r="Z1416">
        <f>INDEX(Data_Prices!Z:Z,MATCH($A1416,Data_Prices!$A:$A,0))</f>
        <v>58.6755</v>
      </c>
      <c r="AA1416">
        <f>INDEX(Data_Prices!AA:AA,MATCH($A1416,Data_Prices!$A:$A,0))</f>
        <v>64.543049999999994</v>
      </c>
      <c r="AB1416">
        <f>INDEX(Data_Prices!AB:AB,MATCH($A1416,Data_Prices!$A:$A,0))</f>
        <v>70.410600000000002</v>
      </c>
      <c r="AC1416">
        <f>INDEX(Data_Prices!AC:AC,MATCH($A1416,Data_Prices!$A:$A,0))</f>
        <v>76.278149999999997</v>
      </c>
      <c r="AD1416">
        <f>INDEX(Data_Prices!AD:AD,MATCH($A1416,Data_Prices!$A:$A,0))</f>
        <v>82.145699999999991</v>
      </c>
      <c r="AE1416">
        <f>INDEX(Data_Prices!AE:AE,MATCH($A1416,Data_Prices!$A:$A,0))</f>
        <v>88.013249999999999</v>
      </c>
    </row>
    <row r="1417" spans="1:31" x14ac:dyDescent="0.45">
      <c r="A1417" t="s">
        <v>1044</v>
      </c>
      <c r="D1417">
        <v>2</v>
      </c>
      <c r="E1417" t="s">
        <v>1161</v>
      </c>
      <c r="F1417">
        <f>MAX(MAX(L1417:AE1417),-MIN(L1417:AE1417))</f>
        <v>0</v>
      </c>
      <c r="I1417" t="s">
        <v>1866</v>
      </c>
      <c r="L1417">
        <f t="shared" ref="L1417:AE1417" si="350">L1416-L1415</f>
        <v>0</v>
      </c>
      <c r="M1417">
        <f t="shared" si="350"/>
        <v>0</v>
      </c>
      <c r="N1417">
        <f t="shared" si="350"/>
        <v>0</v>
      </c>
      <c r="O1417">
        <f t="shared" si="350"/>
        <v>0</v>
      </c>
      <c r="P1417">
        <f t="shared" si="350"/>
        <v>0</v>
      </c>
      <c r="Q1417">
        <f t="shared" si="350"/>
        <v>0</v>
      </c>
      <c r="R1417">
        <f t="shared" si="350"/>
        <v>0</v>
      </c>
      <c r="S1417">
        <f t="shared" si="350"/>
        <v>0</v>
      </c>
      <c r="T1417">
        <f t="shared" si="350"/>
        <v>0</v>
      </c>
      <c r="U1417">
        <f t="shared" si="350"/>
        <v>0</v>
      </c>
      <c r="V1417">
        <f t="shared" si="350"/>
        <v>0</v>
      </c>
      <c r="W1417">
        <f t="shared" si="350"/>
        <v>0</v>
      </c>
      <c r="X1417">
        <f t="shared" si="350"/>
        <v>0</v>
      </c>
      <c r="Y1417">
        <f t="shared" si="350"/>
        <v>0</v>
      </c>
      <c r="Z1417">
        <f t="shared" si="350"/>
        <v>0</v>
      </c>
      <c r="AA1417">
        <f t="shared" si="350"/>
        <v>0</v>
      </c>
      <c r="AB1417">
        <f t="shared" si="350"/>
        <v>0</v>
      </c>
      <c r="AC1417">
        <f t="shared" si="350"/>
        <v>0</v>
      </c>
      <c r="AD1417">
        <f t="shared" si="350"/>
        <v>0</v>
      </c>
      <c r="AE1417">
        <f t="shared" si="350"/>
        <v>0</v>
      </c>
    </row>
    <row r="1419" spans="1:31" x14ac:dyDescent="0.45">
      <c r="A1419" t="s">
        <v>1048</v>
      </c>
      <c r="D1419">
        <v>2</v>
      </c>
      <c r="E1419" t="s">
        <v>1716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45">
      <c r="A1420" t="s">
        <v>1048</v>
      </c>
      <c r="D1420">
        <v>2</v>
      </c>
      <c r="E1420" t="s">
        <v>1837</v>
      </c>
      <c r="L1420">
        <f>INDEX(Data_Prices!L:L,MATCH($A1420,Data_Prices!$A:$A,0))</f>
        <v>0</v>
      </c>
      <c r="M1420">
        <f>INDEX(Data_Prices!M:M,MATCH($A1420,Data_Prices!$A:$A,0))</f>
        <v>0</v>
      </c>
      <c r="N1420">
        <f>INDEX(Data_Prices!N:N,MATCH($A1420,Data_Prices!$A:$A,0))</f>
        <v>0</v>
      </c>
      <c r="O1420">
        <f>INDEX(Data_Prices!O:O,MATCH($A1420,Data_Prices!$A:$A,0))</f>
        <v>0</v>
      </c>
      <c r="P1420">
        <f>INDEX(Data_Prices!P:P,MATCH($A1420,Data_Prices!$A:$A,0))</f>
        <v>0</v>
      </c>
      <c r="Q1420">
        <f>INDEX(Data_Prices!Q:Q,MATCH($A1420,Data_Prices!$A:$A,0))</f>
        <v>0</v>
      </c>
      <c r="R1420">
        <f>INDEX(Data_Prices!R:R,MATCH($A1420,Data_Prices!$A:$A,0))</f>
        <v>0</v>
      </c>
      <c r="S1420">
        <f>INDEX(Data_Prices!S:S,MATCH($A1420,Data_Prices!$A:$A,0))</f>
        <v>0</v>
      </c>
      <c r="T1420">
        <f>INDEX(Data_Prices!T:T,MATCH($A1420,Data_Prices!$A:$A,0))</f>
        <v>0</v>
      </c>
      <c r="U1420">
        <f>INDEX(Data_Prices!U:U,MATCH($A1420,Data_Prices!$A:$A,0))</f>
        <v>0</v>
      </c>
      <c r="V1420">
        <f>INDEX(Data_Prices!V:V,MATCH($A1420,Data_Prices!$A:$A,0))</f>
        <v>0</v>
      </c>
      <c r="W1420">
        <f>INDEX(Data_Prices!W:W,MATCH($A1420,Data_Prices!$A:$A,0))</f>
        <v>0</v>
      </c>
      <c r="X1420">
        <f>INDEX(Data_Prices!X:X,MATCH($A1420,Data_Prices!$A:$A,0))</f>
        <v>0</v>
      </c>
      <c r="Y1420">
        <f>INDEX(Data_Prices!Y:Y,MATCH($A1420,Data_Prices!$A:$A,0))</f>
        <v>0</v>
      </c>
      <c r="Z1420">
        <f>INDEX(Data_Prices!Z:Z,MATCH($A1420,Data_Prices!$A:$A,0))</f>
        <v>0</v>
      </c>
      <c r="AA1420">
        <f>INDEX(Data_Prices!AA:AA,MATCH($A1420,Data_Prices!$A:$A,0))</f>
        <v>0</v>
      </c>
      <c r="AB1420">
        <f>INDEX(Data_Prices!AB:AB,MATCH($A1420,Data_Prices!$A:$A,0))</f>
        <v>0</v>
      </c>
      <c r="AC1420">
        <f>INDEX(Data_Prices!AC:AC,MATCH($A1420,Data_Prices!$A:$A,0))</f>
        <v>0</v>
      </c>
      <c r="AD1420">
        <f>INDEX(Data_Prices!AD:AD,MATCH($A1420,Data_Prices!$A:$A,0))</f>
        <v>0</v>
      </c>
      <c r="AE1420">
        <f>INDEX(Data_Prices!AE:AE,MATCH($A1420,Data_Prices!$A:$A,0))</f>
        <v>0</v>
      </c>
    </row>
    <row r="1421" spans="1:31" x14ac:dyDescent="0.45">
      <c r="A1421" t="s">
        <v>1048</v>
      </c>
      <c r="D1421">
        <v>2</v>
      </c>
      <c r="E1421" t="s">
        <v>1161</v>
      </c>
      <c r="F1421">
        <f>MAX(MAX(L1421:AE1421),-MIN(L1421:AE1421))</f>
        <v>0</v>
      </c>
      <c r="I1421" t="s">
        <v>1866</v>
      </c>
      <c r="L1421">
        <f t="shared" ref="L1421:AE1421" si="351">L1420-L1419</f>
        <v>0</v>
      </c>
      <c r="M1421">
        <f t="shared" si="351"/>
        <v>0</v>
      </c>
      <c r="N1421">
        <f t="shared" si="351"/>
        <v>0</v>
      </c>
      <c r="O1421">
        <f t="shared" si="351"/>
        <v>0</v>
      </c>
      <c r="P1421">
        <f t="shared" si="351"/>
        <v>0</v>
      </c>
      <c r="Q1421">
        <f t="shared" si="351"/>
        <v>0</v>
      </c>
      <c r="R1421">
        <f t="shared" si="351"/>
        <v>0</v>
      </c>
      <c r="S1421">
        <f t="shared" si="351"/>
        <v>0</v>
      </c>
      <c r="T1421">
        <f t="shared" si="351"/>
        <v>0</v>
      </c>
      <c r="U1421">
        <f t="shared" si="351"/>
        <v>0</v>
      </c>
      <c r="V1421">
        <f t="shared" si="351"/>
        <v>0</v>
      </c>
      <c r="W1421">
        <f t="shared" si="351"/>
        <v>0</v>
      </c>
      <c r="X1421">
        <f t="shared" si="351"/>
        <v>0</v>
      </c>
      <c r="Y1421">
        <f t="shared" si="351"/>
        <v>0</v>
      </c>
      <c r="Z1421">
        <f t="shared" si="351"/>
        <v>0</v>
      </c>
      <c r="AA1421">
        <f t="shared" si="351"/>
        <v>0</v>
      </c>
      <c r="AB1421">
        <f t="shared" si="351"/>
        <v>0</v>
      </c>
      <c r="AC1421">
        <f t="shared" si="351"/>
        <v>0</v>
      </c>
      <c r="AD1421">
        <f t="shared" si="351"/>
        <v>0</v>
      </c>
      <c r="AE1421">
        <f t="shared" si="351"/>
        <v>0</v>
      </c>
    </row>
    <row r="1423" spans="1:31" x14ac:dyDescent="0.45">
      <c r="A1423" t="s">
        <v>1052</v>
      </c>
      <c r="D1423">
        <v>2</v>
      </c>
      <c r="E1423" t="s">
        <v>1716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45">
      <c r="A1424" t="s">
        <v>1052</v>
      </c>
      <c r="D1424">
        <v>2</v>
      </c>
      <c r="E1424" t="s">
        <v>1837</v>
      </c>
      <c r="L1424">
        <f>INDEX(Data_Prices!L:L,MATCH($A1424,Data_Prices!$A:$A,0))</f>
        <v>0</v>
      </c>
      <c r="M1424">
        <f>INDEX(Data_Prices!M:M,MATCH($A1424,Data_Prices!$A:$A,0))</f>
        <v>0</v>
      </c>
      <c r="N1424">
        <f>INDEX(Data_Prices!N:N,MATCH($A1424,Data_Prices!$A:$A,0))</f>
        <v>0</v>
      </c>
      <c r="O1424">
        <f>INDEX(Data_Prices!O:O,MATCH($A1424,Data_Prices!$A:$A,0))</f>
        <v>0</v>
      </c>
      <c r="P1424">
        <f>INDEX(Data_Prices!P:P,MATCH($A1424,Data_Prices!$A:$A,0))</f>
        <v>0</v>
      </c>
      <c r="Q1424">
        <f>INDEX(Data_Prices!Q:Q,MATCH($A1424,Data_Prices!$A:$A,0))</f>
        <v>0</v>
      </c>
      <c r="R1424">
        <f>INDEX(Data_Prices!R:R,MATCH($A1424,Data_Prices!$A:$A,0))</f>
        <v>0</v>
      </c>
      <c r="S1424">
        <f>INDEX(Data_Prices!S:S,MATCH($A1424,Data_Prices!$A:$A,0))</f>
        <v>0</v>
      </c>
      <c r="T1424">
        <f>INDEX(Data_Prices!T:T,MATCH($A1424,Data_Prices!$A:$A,0))</f>
        <v>0</v>
      </c>
      <c r="U1424">
        <f>INDEX(Data_Prices!U:U,MATCH($A1424,Data_Prices!$A:$A,0))</f>
        <v>0</v>
      </c>
      <c r="V1424">
        <f>INDEX(Data_Prices!V:V,MATCH($A1424,Data_Prices!$A:$A,0))</f>
        <v>0</v>
      </c>
      <c r="W1424">
        <f>INDEX(Data_Prices!W:W,MATCH($A1424,Data_Prices!$A:$A,0))</f>
        <v>0</v>
      </c>
      <c r="X1424">
        <f>INDEX(Data_Prices!X:X,MATCH($A1424,Data_Prices!$A:$A,0))</f>
        <v>0</v>
      </c>
      <c r="Y1424">
        <f>INDEX(Data_Prices!Y:Y,MATCH($A1424,Data_Prices!$A:$A,0))</f>
        <v>0</v>
      </c>
      <c r="Z1424">
        <f>INDEX(Data_Prices!Z:Z,MATCH($A1424,Data_Prices!$A:$A,0))</f>
        <v>0</v>
      </c>
      <c r="AA1424">
        <f>INDEX(Data_Prices!AA:AA,MATCH($A1424,Data_Prices!$A:$A,0))</f>
        <v>0</v>
      </c>
      <c r="AB1424">
        <f>INDEX(Data_Prices!AB:AB,MATCH($A1424,Data_Prices!$A:$A,0))</f>
        <v>0</v>
      </c>
      <c r="AC1424">
        <f>INDEX(Data_Prices!AC:AC,MATCH($A1424,Data_Prices!$A:$A,0))</f>
        <v>0</v>
      </c>
      <c r="AD1424">
        <f>INDEX(Data_Prices!AD:AD,MATCH($A1424,Data_Prices!$A:$A,0))</f>
        <v>0</v>
      </c>
      <c r="AE1424">
        <f>INDEX(Data_Prices!AE:AE,MATCH($A1424,Data_Prices!$A:$A,0))</f>
        <v>0</v>
      </c>
    </row>
    <row r="1425" spans="1:35" x14ac:dyDescent="0.45">
      <c r="A1425" t="s">
        <v>1052</v>
      </c>
      <c r="D1425">
        <v>2</v>
      </c>
      <c r="E1425" t="s">
        <v>1161</v>
      </c>
      <c r="F1425">
        <f>MAX(MAX(L1425:AE1425),-MIN(L1425:AE1425))</f>
        <v>0</v>
      </c>
      <c r="I1425" t="s">
        <v>1866</v>
      </c>
      <c r="L1425">
        <f t="shared" ref="L1425:AE1425" si="352">L1424-L1423</f>
        <v>0</v>
      </c>
      <c r="M1425">
        <f t="shared" si="352"/>
        <v>0</v>
      </c>
      <c r="N1425">
        <f t="shared" si="352"/>
        <v>0</v>
      </c>
      <c r="O1425">
        <f t="shared" si="352"/>
        <v>0</v>
      </c>
      <c r="P1425">
        <f t="shared" si="352"/>
        <v>0</v>
      </c>
      <c r="Q1425">
        <f t="shared" si="352"/>
        <v>0</v>
      </c>
      <c r="R1425">
        <f t="shared" si="352"/>
        <v>0</v>
      </c>
      <c r="S1425">
        <f t="shared" si="352"/>
        <v>0</v>
      </c>
      <c r="T1425">
        <f t="shared" si="352"/>
        <v>0</v>
      </c>
      <c r="U1425">
        <f t="shared" si="352"/>
        <v>0</v>
      </c>
      <c r="V1425">
        <f t="shared" si="352"/>
        <v>0</v>
      </c>
      <c r="W1425">
        <f t="shared" si="352"/>
        <v>0</v>
      </c>
      <c r="X1425">
        <f t="shared" si="352"/>
        <v>0</v>
      </c>
      <c r="Y1425">
        <f t="shared" si="352"/>
        <v>0</v>
      </c>
      <c r="Z1425">
        <f t="shared" si="352"/>
        <v>0</v>
      </c>
      <c r="AA1425">
        <f t="shared" si="352"/>
        <v>0</v>
      </c>
      <c r="AB1425">
        <f t="shared" si="352"/>
        <v>0</v>
      </c>
      <c r="AC1425">
        <f t="shared" si="352"/>
        <v>0</v>
      </c>
      <c r="AD1425">
        <f t="shared" si="352"/>
        <v>0</v>
      </c>
      <c r="AE1425">
        <f t="shared" si="352"/>
        <v>0</v>
      </c>
    </row>
    <row r="1428" spans="1:35" x14ac:dyDescent="0.45">
      <c r="A1428" s="52" t="s">
        <v>1876</v>
      </c>
    </row>
    <row r="1429" spans="1:35" x14ac:dyDescent="0.45">
      <c r="A1429" t="s">
        <v>1882</v>
      </c>
      <c r="D1429" s="98">
        <f>MAX(F1431:F1439)</f>
        <v>0</v>
      </c>
    </row>
    <row r="1430" spans="1:35" x14ac:dyDescent="0.45">
      <c r="A1430" s="50" t="s">
        <v>1505</v>
      </c>
      <c r="B1430" s="50"/>
      <c r="C1430" s="50"/>
      <c r="D1430" s="50" t="s">
        <v>47</v>
      </c>
      <c r="E1430" s="50" t="s">
        <v>1156</v>
      </c>
      <c r="F1430" s="50" t="s">
        <v>1157</v>
      </c>
      <c r="G1430" s="50"/>
      <c r="H1430" s="50"/>
      <c r="I1430" s="50" t="s">
        <v>1506</v>
      </c>
      <c r="J1430" s="50"/>
      <c r="K1430" s="50">
        <v>2021</v>
      </c>
      <c r="L1430" s="50">
        <v>2022</v>
      </c>
      <c r="M1430" s="50">
        <v>2023</v>
      </c>
      <c r="N1430" s="50">
        <v>2024</v>
      </c>
      <c r="O1430" s="50">
        <v>2025</v>
      </c>
      <c r="P1430" s="50">
        <v>2026</v>
      </c>
      <c r="Q1430" s="50">
        <v>2027</v>
      </c>
      <c r="R1430" s="50">
        <v>2028</v>
      </c>
      <c r="S1430" s="50">
        <v>2029</v>
      </c>
      <c r="T1430" s="50">
        <v>2030</v>
      </c>
      <c r="U1430" s="50">
        <v>2031</v>
      </c>
      <c r="V1430" s="50">
        <v>2032</v>
      </c>
      <c r="W1430" s="50">
        <v>2033</v>
      </c>
      <c r="X1430" s="50">
        <v>2034</v>
      </c>
      <c r="Y1430" s="50">
        <v>2035</v>
      </c>
      <c r="Z1430" s="50">
        <v>2036</v>
      </c>
      <c r="AA1430" s="50">
        <v>2037</v>
      </c>
      <c r="AB1430" s="50">
        <v>2038</v>
      </c>
      <c r="AC1430" s="50">
        <v>2039</v>
      </c>
      <c r="AD1430" s="50">
        <v>2040</v>
      </c>
      <c r="AE1430" s="50">
        <v>2041</v>
      </c>
      <c r="AF1430" s="50">
        <v>2042</v>
      </c>
      <c r="AG1430" s="50">
        <v>2043</v>
      </c>
      <c r="AH1430" s="50">
        <v>2044</v>
      </c>
      <c r="AI1430" s="50">
        <v>2045</v>
      </c>
    </row>
    <row r="1431" spans="1:35" x14ac:dyDescent="0.45">
      <c r="A1431" t="s">
        <v>1877</v>
      </c>
      <c r="D1431">
        <v>1</v>
      </c>
      <c r="E1431" t="s">
        <v>1161</v>
      </c>
      <c r="F1431" s="97">
        <f t="shared" ref="F1431:F1438" si="353">MAX(MAX(L1431:AE1431),-MIN(L1431:AE1431))</f>
        <v>0</v>
      </c>
      <c r="I1431">
        <v>0</v>
      </c>
      <c r="L1431" s="97">
        <f>Mitigation_Industry!L400-Mitigation_Industry!L382-Mitigation_Industry!L383</f>
        <v>0</v>
      </c>
      <c r="M1431" s="97">
        <f>Mitigation_Industry!M400-Mitigation_Industry!M382-Mitigation_Industry!M383</f>
        <v>0</v>
      </c>
      <c r="N1431" s="97">
        <f>Mitigation_Industry!N400-Mitigation_Industry!N382-Mitigation_Industry!N383</f>
        <v>0</v>
      </c>
      <c r="O1431" s="97">
        <f>Mitigation_Industry!O400-Mitigation_Industry!O382-Mitigation_Industry!O383</f>
        <v>0</v>
      </c>
      <c r="P1431" s="97">
        <f>Mitigation_Industry!P400-Mitigation_Industry!P382-Mitigation_Industry!P383</f>
        <v>0</v>
      </c>
      <c r="Q1431" s="97">
        <f>Mitigation_Industry!Q400-Mitigation_Industry!Q382-Mitigation_Industry!Q383</f>
        <v>0</v>
      </c>
      <c r="R1431" s="97">
        <f>Mitigation_Industry!R400-Mitigation_Industry!R382-Mitigation_Industry!R383</f>
        <v>0</v>
      </c>
      <c r="S1431" s="97">
        <f>Mitigation_Industry!S400-Mitigation_Industry!S382-Mitigation_Industry!S383</f>
        <v>0</v>
      </c>
      <c r="T1431" s="97">
        <f>Mitigation_Industry!T400-Mitigation_Industry!T382-Mitigation_Industry!T383</f>
        <v>0</v>
      </c>
      <c r="U1431" s="97">
        <f>Mitigation_Industry!U400-Mitigation_Industry!U382-Mitigation_Industry!U383</f>
        <v>0</v>
      </c>
      <c r="V1431" s="97">
        <f>Mitigation_Industry!V400-Mitigation_Industry!V382-Mitigation_Industry!V383</f>
        <v>0</v>
      </c>
      <c r="W1431" s="97">
        <f>Mitigation_Industry!W400-Mitigation_Industry!W382-Mitigation_Industry!W383</f>
        <v>0</v>
      </c>
      <c r="X1431" s="97">
        <f>Mitigation_Industry!X400-Mitigation_Industry!X382-Mitigation_Industry!X383</f>
        <v>0</v>
      </c>
      <c r="Y1431" s="97">
        <f>Mitigation_Industry!Y400-Mitigation_Industry!Y382-Mitigation_Industry!Y383</f>
        <v>0</v>
      </c>
      <c r="Z1431" s="97">
        <f>Mitigation_Industry!Z400-Mitigation_Industry!Z382-Mitigation_Industry!Z383</f>
        <v>0</v>
      </c>
      <c r="AA1431" s="97">
        <f>Mitigation_Industry!AA400-Mitigation_Industry!AA382-Mitigation_Industry!AA383</f>
        <v>0</v>
      </c>
      <c r="AB1431" s="97">
        <f>Mitigation_Industry!AB400-Mitigation_Industry!AB382-Mitigation_Industry!AB383</f>
        <v>0</v>
      </c>
      <c r="AC1431" s="97">
        <f>Mitigation_Industry!AC400-Mitigation_Industry!AC382-Mitigation_Industry!AC383</f>
        <v>0</v>
      </c>
      <c r="AD1431" s="97">
        <f>Mitigation_Industry!AD400-Mitigation_Industry!AD382-Mitigation_Industry!AD383</f>
        <v>0</v>
      </c>
      <c r="AE1431" s="97">
        <f>Mitigation_Industry!AE400-Mitigation_Industry!AE382-Mitigation_Industry!AE383</f>
        <v>0</v>
      </c>
    </row>
    <row r="1432" spans="1:35" x14ac:dyDescent="0.45">
      <c r="A1432" t="s">
        <v>1878</v>
      </c>
      <c r="D1432">
        <v>1</v>
      </c>
      <c r="E1432" t="s">
        <v>1161</v>
      </c>
      <c r="F1432" s="97">
        <f t="shared" si="353"/>
        <v>0</v>
      </c>
      <c r="I1432">
        <v>0</v>
      </c>
      <c r="L1432" s="97">
        <f>Mitigation_Industry!L400-SUM(Mitigation_Industry!L392:L399)</f>
        <v>0</v>
      </c>
      <c r="M1432" s="97">
        <f>Mitigation_Industry!M400-SUM(Mitigation_Industry!M392:M399)</f>
        <v>0</v>
      </c>
      <c r="N1432" s="97">
        <f>Mitigation_Industry!N400-SUM(Mitigation_Industry!N392:N399)</f>
        <v>0</v>
      </c>
      <c r="O1432" s="97">
        <f>Mitigation_Industry!O400-SUM(Mitigation_Industry!O392:O399)</f>
        <v>0</v>
      </c>
      <c r="P1432" s="97">
        <f>Mitigation_Industry!P400-SUM(Mitigation_Industry!P392:P399)</f>
        <v>0</v>
      </c>
      <c r="Q1432" s="97">
        <f>Mitigation_Industry!Q400-SUM(Mitigation_Industry!Q392:Q399)</f>
        <v>0</v>
      </c>
      <c r="R1432" s="97">
        <f>Mitigation_Industry!R400-SUM(Mitigation_Industry!R392:R399)</f>
        <v>0</v>
      </c>
      <c r="S1432" s="97">
        <f>Mitigation_Industry!S400-SUM(Mitigation_Industry!S392:S399)</f>
        <v>0</v>
      </c>
      <c r="T1432" s="97">
        <f>Mitigation_Industry!T400-SUM(Mitigation_Industry!T392:T399)</f>
        <v>0</v>
      </c>
      <c r="U1432" s="97">
        <f>Mitigation_Industry!U400-SUM(Mitigation_Industry!U392:U399)</f>
        <v>0</v>
      </c>
      <c r="V1432" s="97">
        <f>Mitigation_Industry!V400-SUM(Mitigation_Industry!V392:V399)</f>
        <v>0</v>
      </c>
      <c r="W1432" s="97">
        <f>Mitigation_Industry!W400-SUM(Mitigation_Industry!W392:W399)</f>
        <v>0</v>
      </c>
      <c r="X1432" s="97">
        <f>Mitigation_Industry!X400-SUM(Mitigation_Industry!X392:X399)</f>
        <v>0</v>
      </c>
      <c r="Y1432" s="97">
        <f>Mitigation_Industry!Y400-SUM(Mitigation_Industry!Y392:Y399)</f>
        <v>0</v>
      </c>
      <c r="Z1432" s="97">
        <f>Mitigation_Industry!Z400-SUM(Mitigation_Industry!Z392:Z399)</f>
        <v>0</v>
      </c>
      <c r="AA1432" s="97">
        <f>Mitigation_Industry!AA400-SUM(Mitigation_Industry!AA392:AA399)</f>
        <v>0</v>
      </c>
      <c r="AB1432" s="97">
        <f>Mitigation_Industry!AB400-SUM(Mitigation_Industry!AB392:AB399)</f>
        <v>0</v>
      </c>
      <c r="AC1432" s="97">
        <f>Mitigation_Industry!AC400-SUM(Mitigation_Industry!AC392:AC399)</f>
        <v>0</v>
      </c>
      <c r="AD1432" s="97">
        <f>Mitigation_Industry!AD400-SUM(Mitigation_Industry!AD392:AD399)</f>
        <v>0</v>
      </c>
      <c r="AE1432" s="97">
        <f>Mitigation_Industry!AE400-SUM(Mitigation_Industry!AE392:AE399)</f>
        <v>0</v>
      </c>
    </row>
    <row r="1433" spans="1:35" x14ac:dyDescent="0.45">
      <c r="A1433" t="s">
        <v>1879</v>
      </c>
      <c r="D1433">
        <v>1</v>
      </c>
      <c r="E1433" t="s">
        <v>1161</v>
      </c>
      <c r="F1433" s="97">
        <f t="shared" si="353"/>
        <v>0</v>
      </c>
      <c r="I1433">
        <v>0</v>
      </c>
      <c r="L1433" s="97">
        <f>Mitigation_Industry!L380-SUM(Mitigation_Industry!L374:L378)-SUM(Mitigation_Industry!L385:L389)</f>
        <v>0</v>
      </c>
      <c r="M1433" s="97">
        <f>Mitigation_Industry!M380-SUM(Mitigation_Industry!M374:M378)-SUM(Mitigation_Industry!M385:M389)</f>
        <v>0</v>
      </c>
      <c r="N1433" s="97">
        <f>Mitigation_Industry!N380-SUM(Mitigation_Industry!N374:N378)-SUM(Mitigation_Industry!N385:N389)</f>
        <v>0</v>
      </c>
      <c r="O1433" s="97">
        <f>Mitigation_Industry!O380-SUM(Mitigation_Industry!O374:O378)-SUM(Mitigation_Industry!O385:O389)</f>
        <v>0</v>
      </c>
      <c r="P1433" s="97">
        <f>Mitigation_Industry!P380-SUM(Mitigation_Industry!P374:P378)-SUM(Mitigation_Industry!P385:P389)</f>
        <v>0</v>
      </c>
      <c r="Q1433" s="97">
        <f>Mitigation_Industry!Q380-SUM(Mitigation_Industry!Q374:Q378)-SUM(Mitigation_Industry!Q385:Q389)</f>
        <v>0</v>
      </c>
      <c r="R1433" s="97">
        <f>Mitigation_Industry!R380-SUM(Mitigation_Industry!R374:R378)-SUM(Mitigation_Industry!R385:R389)</f>
        <v>0</v>
      </c>
      <c r="S1433" s="97">
        <f>Mitigation_Industry!S380-SUM(Mitigation_Industry!S374:S378)-SUM(Mitigation_Industry!S385:S389)</f>
        <v>0</v>
      </c>
      <c r="T1433" s="97">
        <f>Mitigation_Industry!T380-SUM(Mitigation_Industry!T374:T378)-SUM(Mitigation_Industry!T385:T389)</f>
        <v>0</v>
      </c>
      <c r="U1433" s="97">
        <f>Mitigation_Industry!U380-SUM(Mitigation_Industry!U374:U378)-SUM(Mitigation_Industry!U385:U389)</f>
        <v>0</v>
      </c>
      <c r="V1433" s="97">
        <f>Mitigation_Industry!V380-SUM(Mitigation_Industry!V374:V378)-SUM(Mitigation_Industry!V385:V389)</f>
        <v>0</v>
      </c>
      <c r="W1433" s="97">
        <f>Mitigation_Industry!W380-SUM(Mitigation_Industry!W374:W378)-SUM(Mitigation_Industry!W385:W389)</f>
        <v>0</v>
      </c>
      <c r="X1433" s="97">
        <f>Mitigation_Industry!X380-SUM(Mitigation_Industry!X374:X378)-SUM(Mitigation_Industry!X385:X389)</f>
        <v>0</v>
      </c>
      <c r="Y1433" s="97">
        <f>Mitigation_Industry!Y380-SUM(Mitigation_Industry!Y374:Y378)-SUM(Mitigation_Industry!Y385:Y389)</f>
        <v>0</v>
      </c>
      <c r="Z1433" s="97">
        <f>Mitigation_Industry!Z380-SUM(Mitigation_Industry!Z374:Z378)-SUM(Mitigation_Industry!Z385:Z389)</f>
        <v>0</v>
      </c>
      <c r="AA1433" s="97">
        <f>Mitigation_Industry!AA380-SUM(Mitigation_Industry!AA374:AA378)-SUM(Mitigation_Industry!AA385:AA389)</f>
        <v>0</v>
      </c>
      <c r="AB1433" s="97">
        <f>Mitigation_Industry!AB380-SUM(Mitigation_Industry!AB374:AB378)-SUM(Mitigation_Industry!AB385:AB389)</f>
        <v>0</v>
      </c>
      <c r="AC1433" s="97">
        <f>Mitigation_Industry!AC380-SUM(Mitigation_Industry!AC374:AC378)-SUM(Mitigation_Industry!AC385:AC389)</f>
        <v>0</v>
      </c>
      <c r="AD1433" s="97">
        <f>Mitigation_Industry!AD380-SUM(Mitigation_Industry!AD374:AD378)-SUM(Mitigation_Industry!AD385:AD389)</f>
        <v>0</v>
      </c>
      <c r="AE1433" s="97">
        <f>Mitigation_Industry!AE380-SUM(Mitigation_Industry!AE374:AE378)-SUM(Mitigation_Industry!AE385:AE389)</f>
        <v>0</v>
      </c>
    </row>
    <row r="1434" spans="1:35" x14ac:dyDescent="0.45">
      <c r="A1434" t="s">
        <v>1880</v>
      </c>
      <c r="D1434">
        <v>1</v>
      </c>
      <c r="E1434" t="s">
        <v>1161</v>
      </c>
      <c r="F1434" s="97">
        <f t="shared" si="353"/>
        <v>0</v>
      </c>
      <c r="I1434">
        <v>0</v>
      </c>
      <c r="L1434" s="97">
        <f>Mitigation_Industry!L381-SUM(Mitigation_Industry!L352:L359)-SUM(Mitigation_Industry!L363:L370)</f>
        <v>0</v>
      </c>
      <c r="M1434" s="97">
        <f>Mitigation_Industry!M381-SUM(Mitigation_Industry!M352:M359)-SUM(Mitigation_Industry!M363:M370)</f>
        <v>0</v>
      </c>
      <c r="N1434" s="97">
        <f>Mitigation_Industry!N381-SUM(Mitigation_Industry!N352:N359)-SUM(Mitigation_Industry!N363:N370)</f>
        <v>0</v>
      </c>
      <c r="O1434" s="97">
        <f>Mitigation_Industry!O381-SUM(Mitigation_Industry!O352:O359)-SUM(Mitigation_Industry!O363:O370)</f>
        <v>0</v>
      </c>
      <c r="P1434" s="97">
        <f>Mitigation_Industry!P381-SUM(Mitigation_Industry!P352:P359)-SUM(Mitigation_Industry!P363:P370)</f>
        <v>0</v>
      </c>
      <c r="Q1434" s="97">
        <f>Mitigation_Industry!Q381-SUM(Mitigation_Industry!Q352:Q359)-SUM(Mitigation_Industry!Q363:Q370)</f>
        <v>0</v>
      </c>
      <c r="R1434" s="97">
        <f>Mitigation_Industry!R381-SUM(Mitigation_Industry!R352:R359)-SUM(Mitigation_Industry!R363:R370)</f>
        <v>0</v>
      </c>
      <c r="S1434" s="97">
        <f>Mitigation_Industry!S381-SUM(Mitigation_Industry!S352:S359)-SUM(Mitigation_Industry!S363:S370)</f>
        <v>0</v>
      </c>
      <c r="T1434" s="97">
        <f>Mitigation_Industry!T381-SUM(Mitigation_Industry!T352:T359)-SUM(Mitigation_Industry!T363:T370)</f>
        <v>0</v>
      </c>
      <c r="U1434" s="97">
        <f>Mitigation_Industry!U381-SUM(Mitigation_Industry!U352:U359)-SUM(Mitigation_Industry!U363:U370)</f>
        <v>0</v>
      </c>
      <c r="V1434" s="97">
        <f>Mitigation_Industry!V381-SUM(Mitigation_Industry!V352:V359)-SUM(Mitigation_Industry!V363:V370)</f>
        <v>0</v>
      </c>
      <c r="W1434" s="97">
        <f>Mitigation_Industry!W381-SUM(Mitigation_Industry!W352:W359)-SUM(Mitigation_Industry!W363:W370)</f>
        <v>0</v>
      </c>
      <c r="X1434" s="97">
        <f>Mitigation_Industry!X381-SUM(Mitigation_Industry!X352:X359)-SUM(Mitigation_Industry!X363:X370)</f>
        <v>0</v>
      </c>
      <c r="Y1434" s="97">
        <f>Mitigation_Industry!Y381-SUM(Mitigation_Industry!Y352:Y359)-SUM(Mitigation_Industry!Y363:Y370)</f>
        <v>0</v>
      </c>
      <c r="Z1434" s="97">
        <f>Mitigation_Industry!Z381-SUM(Mitigation_Industry!Z352:Z359)-SUM(Mitigation_Industry!Z363:Z370)</f>
        <v>0</v>
      </c>
      <c r="AA1434" s="97">
        <f>Mitigation_Industry!AA381-SUM(Mitigation_Industry!AA352:AA359)-SUM(Mitigation_Industry!AA363:AA370)</f>
        <v>0</v>
      </c>
      <c r="AB1434" s="97">
        <f>Mitigation_Industry!AB381-SUM(Mitigation_Industry!AB352:AB359)-SUM(Mitigation_Industry!AB363:AB370)</f>
        <v>0</v>
      </c>
      <c r="AC1434" s="97">
        <f>Mitigation_Industry!AC381-SUM(Mitigation_Industry!AC352:AC359)-SUM(Mitigation_Industry!AC363:AC370)</f>
        <v>0</v>
      </c>
      <c r="AD1434" s="97">
        <f>Mitigation_Industry!AD381-SUM(Mitigation_Industry!AD352:AD359)-SUM(Mitigation_Industry!AD363:AD370)</f>
        <v>0</v>
      </c>
      <c r="AE1434" s="97">
        <f>Mitigation_Industry!AE381-SUM(Mitigation_Industry!AE352:AE359)-SUM(Mitigation_Industry!AE363:AE370)</f>
        <v>0</v>
      </c>
    </row>
    <row r="1435" spans="1:35" x14ac:dyDescent="0.45">
      <c r="A1435" t="s">
        <v>1877</v>
      </c>
      <c r="D1435">
        <v>2</v>
      </c>
      <c r="E1435" t="s">
        <v>1161</v>
      </c>
      <c r="F1435" s="97">
        <f t="shared" si="353"/>
        <v>0</v>
      </c>
      <c r="I1435">
        <v>0</v>
      </c>
      <c r="L1435" s="97">
        <f>Mitigation_Industry!L799-Mitigation_Industry!L781-Mitigation_Industry!L782</f>
        <v>0</v>
      </c>
      <c r="M1435" s="97">
        <f>Mitigation_Industry!M799-Mitigation_Industry!M781-Mitigation_Industry!M782</f>
        <v>0</v>
      </c>
      <c r="N1435" s="97">
        <f>Mitigation_Industry!N799-Mitigation_Industry!N781-Mitigation_Industry!N782</f>
        <v>0</v>
      </c>
      <c r="O1435" s="97">
        <f>Mitigation_Industry!O799-Mitigation_Industry!O781-Mitigation_Industry!O782</f>
        <v>0</v>
      </c>
      <c r="P1435" s="97">
        <f>Mitigation_Industry!P799-Mitigation_Industry!P781-Mitigation_Industry!P782</f>
        <v>0</v>
      </c>
      <c r="Q1435" s="97">
        <f>Mitigation_Industry!Q799-Mitigation_Industry!Q781-Mitigation_Industry!Q782</f>
        <v>0</v>
      </c>
      <c r="R1435" s="97">
        <f>Mitigation_Industry!R799-Mitigation_Industry!R781-Mitigation_Industry!R782</f>
        <v>0</v>
      </c>
      <c r="S1435" s="97">
        <f>Mitigation_Industry!S799-Mitigation_Industry!S781-Mitigation_Industry!S782</f>
        <v>0</v>
      </c>
      <c r="T1435" s="97">
        <f>Mitigation_Industry!T799-Mitigation_Industry!T781-Mitigation_Industry!T782</f>
        <v>0</v>
      </c>
      <c r="U1435" s="97">
        <f>Mitigation_Industry!U799-Mitigation_Industry!U781-Mitigation_Industry!U782</f>
        <v>0</v>
      </c>
      <c r="V1435" s="97">
        <f>Mitigation_Industry!V799-Mitigation_Industry!V781-Mitigation_Industry!V782</f>
        <v>0</v>
      </c>
      <c r="W1435" s="97">
        <f>Mitigation_Industry!W799-Mitigation_Industry!W781-Mitigation_Industry!W782</f>
        <v>0</v>
      </c>
      <c r="X1435" s="97">
        <f>Mitigation_Industry!X799-Mitigation_Industry!X781-Mitigation_Industry!X782</f>
        <v>0</v>
      </c>
      <c r="Y1435" s="97">
        <f>Mitigation_Industry!Y799-Mitigation_Industry!Y781-Mitigation_Industry!Y782</f>
        <v>0</v>
      </c>
      <c r="Z1435" s="97">
        <f>Mitigation_Industry!Z799-Mitigation_Industry!Z781-Mitigation_Industry!Z782</f>
        <v>0</v>
      </c>
      <c r="AA1435" s="97">
        <f>Mitigation_Industry!AA799-Mitigation_Industry!AA781-Mitigation_Industry!AA782</f>
        <v>0</v>
      </c>
      <c r="AB1435" s="97">
        <f>Mitigation_Industry!AB799-Mitigation_Industry!AB781-Mitigation_Industry!AB782</f>
        <v>0</v>
      </c>
      <c r="AC1435" s="97">
        <f>Mitigation_Industry!AC799-Mitigation_Industry!AC781-Mitigation_Industry!AC782</f>
        <v>0</v>
      </c>
      <c r="AD1435" s="97">
        <f>Mitigation_Industry!AD799-Mitigation_Industry!AD781-Mitigation_Industry!AD782</f>
        <v>0</v>
      </c>
      <c r="AE1435" s="97">
        <f>Mitigation_Industry!AE799-Mitigation_Industry!AE781-Mitigation_Industry!AE782</f>
        <v>0</v>
      </c>
    </row>
    <row r="1436" spans="1:35" x14ac:dyDescent="0.45">
      <c r="A1436" t="s">
        <v>1878</v>
      </c>
      <c r="D1436">
        <v>2</v>
      </c>
      <c r="E1436" t="s">
        <v>1161</v>
      </c>
      <c r="F1436" s="97">
        <f t="shared" si="353"/>
        <v>0</v>
      </c>
      <c r="I1436">
        <v>0</v>
      </c>
      <c r="L1436" s="97">
        <f>Mitigation_Industry!L799-SUM(Mitigation_Industry!L791:L798)</f>
        <v>0</v>
      </c>
      <c r="M1436" s="97">
        <f>Mitigation_Industry!M799-SUM(Mitigation_Industry!M791:M798)</f>
        <v>0</v>
      </c>
      <c r="N1436" s="97">
        <f>Mitigation_Industry!N799-SUM(Mitigation_Industry!N791:N798)</f>
        <v>0</v>
      </c>
      <c r="O1436" s="97">
        <f>Mitigation_Industry!O799-SUM(Mitigation_Industry!O791:O798)</f>
        <v>0</v>
      </c>
      <c r="P1436" s="97">
        <f>Mitigation_Industry!P799-SUM(Mitigation_Industry!P791:P798)</f>
        <v>0</v>
      </c>
      <c r="Q1436" s="97">
        <f>Mitigation_Industry!Q799-SUM(Mitigation_Industry!Q791:Q798)</f>
        <v>0</v>
      </c>
      <c r="R1436" s="97">
        <f>Mitigation_Industry!R799-SUM(Mitigation_Industry!R791:R798)</f>
        <v>0</v>
      </c>
      <c r="S1436" s="97">
        <f>Mitigation_Industry!S799-SUM(Mitigation_Industry!S791:S798)</f>
        <v>0</v>
      </c>
      <c r="T1436" s="97">
        <f>Mitigation_Industry!T799-SUM(Mitigation_Industry!T791:T798)</f>
        <v>0</v>
      </c>
      <c r="U1436" s="97">
        <f>Mitigation_Industry!U799-SUM(Mitigation_Industry!U791:U798)</f>
        <v>0</v>
      </c>
      <c r="V1436" s="97">
        <f>Mitigation_Industry!V799-SUM(Mitigation_Industry!V791:V798)</f>
        <v>0</v>
      </c>
      <c r="W1436" s="97">
        <f>Mitigation_Industry!W799-SUM(Mitigation_Industry!W791:W798)</f>
        <v>0</v>
      </c>
      <c r="X1436" s="97">
        <f>Mitigation_Industry!X799-SUM(Mitigation_Industry!X791:X798)</f>
        <v>0</v>
      </c>
      <c r="Y1436" s="97">
        <f>Mitigation_Industry!Y799-SUM(Mitigation_Industry!Y791:Y798)</f>
        <v>0</v>
      </c>
      <c r="Z1436" s="97">
        <f>Mitigation_Industry!Z799-SUM(Mitigation_Industry!Z791:Z798)</f>
        <v>0</v>
      </c>
      <c r="AA1436" s="97">
        <f>Mitigation_Industry!AA799-SUM(Mitigation_Industry!AA791:AA798)</f>
        <v>0</v>
      </c>
      <c r="AB1436" s="97">
        <f>Mitigation_Industry!AB799-SUM(Mitigation_Industry!AB791:AB798)</f>
        <v>0</v>
      </c>
      <c r="AC1436" s="97">
        <f>Mitigation_Industry!AC799-SUM(Mitigation_Industry!AC791:AC798)</f>
        <v>0</v>
      </c>
      <c r="AD1436" s="97">
        <f>Mitigation_Industry!AD799-SUM(Mitigation_Industry!AD791:AD798)</f>
        <v>0</v>
      </c>
      <c r="AE1436" s="97">
        <f>Mitigation_Industry!AE799-SUM(Mitigation_Industry!AE791:AE798)</f>
        <v>0</v>
      </c>
    </row>
    <row r="1437" spans="1:35" x14ac:dyDescent="0.45">
      <c r="A1437" t="s">
        <v>1879</v>
      </c>
      <c r="D1437">
        <v>2</v>
      </c>
      <c r="E1437" t="s">
        <v>1161</v>
      </c>
      <c r="F1437" s="97">
        <f t="shared" si="353"/>
        <v>0</v>
      </c>
      <c r="I1437">
        <v>0</v>
      </c>
      <c r="L1437" s="97">
        <f>Mitigation_Industry!L779-SUM(Mitigation_Industry!L773:L777)-SUM(Mitigation_Industry!L784:L788)</f>
        <v>0</v>
      </c>
      <c r="M1437" s="97">
        <f>Mitigation_Industry!M779-SUM(Mitigation_Industry!M773:M777)-SUM(Mitigation_Industry!M784:M788)</f>
        <v>0</v>
      </c>
      <c r="N1437" s="97">
        <f>Mitigation_Industry!N779-SUM(Mitigation_Industry!N773:N777)-SUM(Mitigation_Industry!N784:N788)</f>
        <v>0</v>
      </c>
      <c r="O1437" s="97">
        <f>Mitigation_Industry!O779-SUM(Mitigation_Industry!O773:O777)-SUM(Mitigation_Industry!O784:O788)</f>
        <v>0</v>
      </c>
      <c r="P1437" s="97">
        <f>Mitigation_Industry!P779-SUM(Mitigation_Industry!P773:P777)-SUM(Mitigation_Industry!P784:P788)</f>
        <v>0</v>
      </c>
      <c r="Q1437" s="97">
        <f>Mitigation_Industry!Q779-SUM(Mitigation_Industry!Q773:Q777)-SUM(Mitigation_Industry!Q784:Q788)</f>
        <v>0</v>
      </c>
      <c r="R1437" s="97">
        <f>Mitigation_Industry!R779-SUM(Mitigation_Industry!R773:R777)-SUM(Mitigation_Industry!R784:R788)</f>
        <v>0</v>
      </c>
      <c r="S1437" s="97">
        <f>Mitigation_Industry!S779-SUM(Mitigation_Industry!S773:S777)-SUM(Mitigation_Industry!S784:S788)</f>
        <v>0</v>
      </c>
      <c r="T1437" s="97">
        <f>Mitigation_Industry!T779-SUM(Mitigation_Industry!T773:T777)-SUM(Mitigation_Industry!T784:T788)</f>
        <v>0</v>
      </c>
      <c r="U1437" s="97">
        <f>Mitigation_Industry!U779-SUM(Mitigation_Industry!U773:U777)-SUM(Mitigation_Industry!U784:U788)</f>
        <v>0</v>
      </c>
      <c r="V1437" s="97">
        <f>Mitigation_Industry!V779-SUM(Mitigation_Industry!V773:V777)-SUM(Mitigation_Industry!V784:V788)</f>
        <v>0</v>
      </c>
      <c r="W1437" s="97">
        <f>Mitigation_Industry!W779-SUM(Mitigation_Industry!W773:W777)-SUM(Mitigation_Industry!W784:W788)</f>
        <v>0</v>
      </c>
      <c r="X1437" s="97">
        <f>Mitigation_Industry!X779-SUM(Mitigation_Industry!X773:X777)-SUM(Mitigation_Industry!X784:X788)</f>
        <v>0</v>
      </c>
      <c r="Y1437" s="97">
        <f>Mitigation_Industry!Y779-SUM(Mitigation_Industry!Y773:Y777)-SUM(Mitigation_Industry!Y784:Y788)</f>
        <v>0</v>
      </c>
      <c r="Z1437" s="97">
        <f>Mitigation_Industry!Z779-SUM(Mitigation_Industry!Z773:Z777)-SUM(Mitigation_Industry!Z784:Z788)</f>
        <v>0</v>
      </c>
      <c r="AA1437" s="97">
        <f>Mitigation_Industry!AA779-SUM(Mitigation_Industry!AA773:AA777)-SUM(Mitigation_Industry!AA784:AA788)</f>
        <v>0</v>
      </c>
      <c r="AB1437" s="97">
        <f>Mitigation_Industry!AB779-SUM(Mitigation_Industry!AB773:AB777)-SUM(Mitigation_Industry!AB784:AB788)</f>
        <v>0</v>
      </c>
      <c r="AC1437" s="97">
        <f>Mitigation_Industry!AC779-SUM(Mitigation_Industry!AC773:AC777)-SUM(Mitigation_Industry!AC784:AC788)</f>
        <v>0</v>
      </c>
      <c r="AD1437" s="97">
        <f>Mitigation_Industry!AD779-SUM(Mitigation_Industry!AD773:AD777)-SUM(Mitigation_Industry!AD784:AD788)</f>
        <v>0</v>
      </c>
      <c r="AE1437" s="97">
        <f>Mitigation_Industry!AE779-SUM(Mitigation_Industry!AE773:AE777)-SUM(Mitigation_Industry!AE784:AE788)</f>
        <v>0</v>
      </c>
    </row>
    <row r="1438" spans="1:35" x14ac:dyDescent="0.45">
      <c r="A1438" t="s">
        <v>1880</v>
      </c>
      <c r="D1438">
        <v>2</v>
      </c>
      <c r="E1438" t="s">
        <v>1161</v>
      </c>
      <c r="F1438" s="97">
        <f t="shared" si="353"/>
        <v>0</v>
      </c>
      <c r="I1438">
        <v>0</v>
      </c>
      <c r="L1438" s="97">
        <f>Mitigation_Industry!L780-SUM(Mitigation_Industry!L751:L758)-SUM(Mitigation_Industry!L762:L769)</f>
        <v>0</v>
      </c>
      <c r="M1438" s="97">
        <f>Mitigation_Industry!M780-SUM(Mitigation_Industry!M751:M758)-SUM(Mitigation_Industry!M762:M769)</f>
        <v>0</v>
      </c>
      <c r="N1438" s="97">
        <f>Mitigation_Industry!N780-SUM(Mitigation_Industry!N751:N758)-SUM(Mitigation_Industry!N762:N769)</f>
        <v>0</v>
      </c>
      <c r="O1438" s="97">
        <f>Mitigation_Industry!O780-SUM(Mitigation_Industry!O751:O758)-SUM(Mitigation_Industry!O762:O769)</f>
        <v>0</v>
      </c>
      <c r="P1438" s="97">
        <f>Mitigation_Industry!P780-SUM(Mitigation_Industry!P751:P758)-SUM(Mitigation_Industry!P762:P769)</f>
        <v>0</v>
      </c>
      <c r="Q1438" s="97">
        <f>Mitigation_Industry!Q780-SUM(Mitigation_Industry!Q751:Q758)-SUM(Mitigation_Industry!Q762:Q769)</f>
        <v>0</v>
      </c>
      <c r="R1438" s="97">
        <f>Mitigation_Industry!R780-SUM(Mitigation_Industry!R751:R758)-SUM(Mitigation_Industry!R762:R769)</f>
        <v>0</v>
      </c>
      <c r="S1438" s="97">
        <f>Mitigation_Industry!S780-SUM(Mitigation_Industry!S751:S758)-SUM(Mitigation_Industry!S762:S769)</f>
        <v>0</v>
      </c>
      <c r="T1438" s="97">
        <f>Mitigation_Industry!T780-SUM(Mitigation_Industry!T751:T758)-SUM(Mitigation_Industry!T762:T769)</f>
        <v>0</v>
      </c>
      <c r="U1438" s="97">
        <f>Mitigation_Industry!U780-SUM(Mitigation_Industry!U751:U758)-SUM(Mitigation_Industry!U762:U769)</f>
        <v>0</v>
      </c>
      <c r="V1438" s="97">
        <f>Mitigation_Industry!V780-SUM(Mitigation_Industry!V751:V758)-SUM(Mitigation_Industry!V762:V769)</f>
        <v>0</v>
      </c>
      <c r="W1438" s="97">
        <f>Mitigation_Industry!W780-SUM(Mitigation_Industry!W751:W758)-SUM(Mitigation_Industry!W762:W769)</f>
        <v>0</v>
      </c>
      <c r="X1438" s="97">
        <f>Mitigation_Industry!X780-SUM(Mitigation_Industry!X751:X758)-SUM(Mitigation_Industry!X762:X769)</f>
        <v>0</v>
      </c>
      <c r="Y1438" s="97">
        <f>Mitigation_Industry!Y780-SUM(Mitigation_Industry!Y751:Y758)-SUM(Mitigation_Industry!Y762:Y769)</f>
        <v>0</v>
      </c>
      <c r="Z1438" s="97">
        <f>Mitigation_Industry!Z780-SUM(Mitigation_Industry!Z751:Z758)-SUM(Mitigation_Industry!Z762:Z769)</f>
        <v>0</v>
      </c>
      <c r="AA1438" s="97">
        <f>Mitigation_Industry!AA780-SUM(Mitigation_Industry!AA751:AA758)-SUM(Mitigation_Industry!AA762:AA769)</f>
        <v>0</v>
      </c>
      <c r="AB1438" s="97">
        <f>Mitigation_Industry!AB780-SUM(Mitigation_Industry!AB751:AB758)-SUM(Mitigation_Industry!AB762:AB769)</f>
        <v>0</v>
      </c>
      <c r="AC1438" s="97">
        <f>Mitigation_Industry!AC780-SUM(Mitigation_Industry!AC751:AC758)-SUM(Mitigation_Industry!AC762:AC769)</f>
        <v>0</v>
      </c>
      <c r="AD1438" s="97">
        <f>Mitigation_Industry!AD780-SUM(Mitigation_Industry!AD751:AD758)-SUM(Mitigation_Industry!AD762:AD769)</f>
        <v>0</v>
      </c>
      <c r="AE1438" s="97">
        <f>Mitigation_Industry!AE780-SUM(Mitigation_Industry!AE751:AE758)-SUM(Mitigation_Industry!AE762:AE769)</f>
        <v>0</v>
      </c>
    </row>
    <row r="1439" spans="1:35" x14ac:dyDescent="0.45">
      <c r="A1439" t="s">
        <v>1881</v>
      </c>
      <c r="F1439">
        <f>SUMPRODUCT((LEFT(Mitigation_Industry!$H$1:$H$1000,LEN(Settings!$B$3)+5)=Settings!$B$3&amp;".mit.")*(COUNTIF(Mitigation_Industry!$H$1:$H$1000,Mitigation_Industry!$H$1:$H$1000)&gt;1))</f>
        <v>0</v>
      </c>
      <c r="I1439">
        <v>0</v>
      </c>
    </row>
    <row r="1442" spans="1:35" x14ac:dyDescent="0.45">
      <c r="A1442" s="52" t="s">
        <v>1906</v>
      </c>
    </row>
    <row r="1443" spans="1:35" x14ac:dyDescent="0.45">
      <c r="A1443" t="s">
        <v>1911</v>
      </c>
      <c r="D1443" s="98">
        <f>MAX(F1445:F1451)</f>
        <v>0</v>
      </c>
    </row>
    <row r="1444" spans="1:35" x14ac:dyDescent="0.45">
      <c r="A1444" s="50" t="s">
        <v>1505</v>
      </c>
      <c r="B1444" s="50"/>
      <c r="C1444" s="50"/>
      <c r="D1444" s="50" t="s">
        <v>47</v>
      </c>
      <c r="E1444" s="50" t="s">
        <v>1156</v>
      </c>
      <c r="F1444" s="50" t="s">
        <v>1157</v>
      </c>
      <c r="G1444" s="50"/>
      <c r="H1444" s="50"/>
      <c r="I1444" s="50" t="s">
        <v>1506</v>
      </c>
      <c r="J1444" s="50"/>
      <c r="K1444" s="50">
        <v>2021</v>
      </c>
      <c r="L1444" s="50">
        <v>2022</v>
      </c>
      <c r="M1444" s="50">
        <v>2023</v>
      </c>
      <c r="N1444" s="50">
        <v>2024</v>
      </c>
      <c r="O1444" s="50">
        <v>2025</v>
      </c>
      <c r="P1444" s="50">
        <v>2026</v>
      </c>
      <c r="Q1444" s="50">
        <v>2027</v>
      </c>
      <c r="R1444" s="50">
        <v>2028</v>
      </c>
      <c r="S1444" s="50">
        <v>2029</v>
      </c>
      <c r="T1444" s="50">
        <v>2030</v>
      </c>
      <c r="U1444" s="50">
        <v>2031</v>
      </c>
      <c r="V1444" s="50">
        <v>2032</v>
      </c>
      <c r="W1444" s="50">
        <v>2033</v>
      </c>
      <c r="X1444" s="50">
        <v>2034</v>
      </c>
      <c r="Y1444" s="50">
        <v>2035</v>
      </c>
      <c r="Z1444" s="50">
        <v>2036</v>
      </c>
      <c r="AA1444" s="50">
        <v>2037</v>
      </c>
      <c r="AB1444" s="50">
        <v>2038</v>
      </c>
      <c r="AC1444" s="50">
        <v>2039</v>
      </c>
      <c r="AD1444" s="50">
        <v>2040</v>
      </c>
      <c r="AE1444" s="50">
        <v>2041</v>
      </c>
      <c r="AF1444" s="50">
        <v>2042</v>
      </c>
      <c r="AG1444" s="50">
        <v>2043</v>
      </c>
      <c r="AH1444" s="50">
        <v>2044</v>
      </c>
      <c r="AI1444" s="50">
        <v>2045</v>
      </c>
    </row>
    <row r="1445" spans="1:35" x14ac:dyDescent="0.45">
      <c r="A1445" t="s">
        <v>1907</v>
      </c>
      <c r="D1445">
        <v>1</v>
      </c>
      <c r="E1445" t="s">
        <v>1161</v>
      </c>
      <c r="F1445" s="97">
        <f>MAX(MAX(L1445:AE1445),-MIN(L1445:AE1445))</f>
        <v>0</v>
      </c>
      <c r="I1445">
        <v>0</v>
      </c>
      <c r="L1445" s="97">
        <f>Mitigation_Industry!L380-SUM(Mitigation_Industry!L258:L261)</f>
        <v>0</v>
      </c>
      <c r="M1445" s="97">
        <f>Mitigation_Industry!M380-SUM(Mitigation_Industry!M258:M261)</f>
        <v>0</v>
      </c>
      <c r="N1445" s="97">
        <f>Mitigation_Industry!N380-SUM(Mitigation_Industry!N258:N261)</f>
        <v>0</v>
      </c>
      <c r="O1445" s="97">
        <f>Mitigation_Industry!O380-SUM(Mitigation_Industry!O258:O261)</f>
        <v>0</v>
      </c>
      <c r="P1445" s="97">
        <f>Mitigation_Industry!P380-SUM(Mitigation_Industry!P258:P261)</f>
        <v>0</v>
      </c>
      <c r="Q1445" s="97">
        <f>Mitigation_Industry!Q380-SUM(Mitigation_Industry!Q258:Q261)</f>
        <v>0</v>
      </c>
      <c r="R1445" s="97">
        <f>Mitigation_Industry!R380-SUM(Mitigation_Industry!R258:R261)</f>
        <v>0</v>
      </c>
      <c r="S1445" s="97">
        <f>Mitigation_Industry!S380-SUM(Mitigation_Industry!S258:S261)</f>
        <v>0</v>
      </c>
      <c r="T1445" s="97">
        <f>Mitigation_Industry!T380-SUM(Mitigation_Industry!T258:T261)</f>
        <v>0</v>
      </c>
      <c r="U1445" s="97">
        <f>Mitigation_Industry!U380-SUM(Mitigation_Industry!U258:U261)</f>
        <v>0</v>
      </c>
      <c r="V1445" s="97">
        <f>Mitigation_Industry!V380-SUM(Mitigation_Industry!V258:V261)</f>
        <v>0</v>
      </c>
      <c r="W1445" s="97">
        <f>Mitigation_Industry!W380-SUM(Mitigation_Industry!W258:W261)</f>
        <v>0</v>
      </c>
      <c r="X1445" s="97">
        <f>Mitigation_Industry!X380-SUM(Mitigation_Industry!X258:X261)</f>
        <v>0</v>
      </c>
      <c r="Y1445" s="97">
        <f>Mitigation_Industry!Y380-SUM(Mitigation_Industry!Y258:Y261)</f>
        <v>0</v>
      </c>
      <c r="Z1445" s="97">
        <f>Mitigation_Industry!Z380-SUM(Mitigation_Industry!Z258:Z261)</f>
        <v>0</v>
      </c>
      <c r="AA1445" s="97">
        <f>Mitigation_Industry!AA380-SUM(Mitigation_Industry!AA258:AA261)</f>
        <v>0</v>
      </c>
      <c r="AB1445" s="97">
        <f>Mitigation_Industry!AB380-SUM(Mitigation_Industry!AB258:AB261)</f>
        <v>0</v>
      </c>
      <c r="AC1445" s="97">
        <f>Mitigation_Industry!AC380-SUM(Mitigation_Industry!AC258:AC261)</f>
        <v>0</v>
      </c>
      <c r="AD1445" s="97">
        <f>Mitigation_Industry!AD380-SUM(Mitigation_Industry!AD258:AD261)</f>
        <v>0</v>
      </c>
      <c r="AE1445" s="97">
        <f>Mitigation_Industry!AE380-SUM(Mitigation_Industry!AE258:AE261)</f>
        <v>0</v>
      </c>
    </row>
    <row r="1446" spans="1:35" x14ac:dyDescent="0.45">
      <c r="A1446" t="s">
        <v>1908</v>
      </c>
      <c r="D1446">
        <v>1</v>
      </c>
      <c r="F1446">
        <f>SUMPRODUCT((Mitigation_Industry!$E$299:$E$306&gt;Mitigation_Industry!$F$330:$F$337+0.000000000001)+(Mitigation_Industry!$E$310:$E$317&gt;Mitigation_Industry!$G$330:$G$337+0.000000000001))</f>
        <v>0</v>
      </c>
      <c r="I1446">
        <v>0</v>
      </c>
    </row>
    <row r="1447" spans="1:35" x14ac:dyDescent="0.45">
      <c r="A1447" t="s">
        <v>1909</v>
      </c>
      <c r="D1447">
        <v>1</v>
      </c>
      <c r="F1447">
        <f>SUMPRODUCT((Mitigation_Industry!$H$273:$K$273&lt;&gt;0)*(Mitigation_Industry!$H$273:$K$273&lt;&gt;1))</f>
        <v>0</v>
      </c>
      <c r="I1447">
        <v>0</v>
      </c>
    </row>
    <row r="1448" spans="1:35" x14ac:dyDescent="0.45">
      <c r="A1448" t="s">
        <v>1907</v>
      </c>
      <c r="D1448">
        <v>2</v>
      </c>
      <c r="E1448" t="s">
        <v>1161</v>
      </c>
      <c r="F1448" s="97">
        <f>MAX(MAX(L1448:AE1448),-MIN(L1448:AE1448))</f>
        <v>0</v>
      </c>
      <c r="I1448">
        <v>0</v>
      </c>
      <c r="L1448" s="97">
        <f>Mitigation_Industry!L779-SUM(Mitigation_Industry!L657:L660)</f>
        <v>0</v>
      </c>
      <c r="M1448" s="97">
        <f>Mitigation_Industry!M779-SUM(Mitigation_Industry!M657:M660)</f>
        <v>0</v>
      </c>
      <c r="N1448" s="97">
        <f>Mitigation_Industry!N779-SUM(Mitigation_Industry!N657:N660)</f>
        <v>0</v>
      </c>
      <c r="O1448" s="97">
        <f>Mitigation_Industry!O779-SUM(Mitigation_Industry!O657:O660)</f>
        <v>0</v>
      </c>
      <c r="P1448" s="97">
        <f>Mitigation_Industry!P779-SUM(Mitigation_Industry!P657:P660)</f>
        <v>0</v>
      </c>
      <c r="Q1448" s="97">
        <f>Mitigation_Industry!Q779-SUM(Mitigation_Industry!Q657:Q660)</f>
        <v>0</v>
      </c>
      <c r="R1448" s="97">
        <f>Mitigation_Industry!R779-SUM(Mitigation_Industry!R657:R660)</f>
        <v>0</v>
      </c>
      <c r="S1448" s="97">
        <f>Mitigation_Industry!S779-SUM(Mitigation_Industry!S657:S660)</f>
        <v>0</v>
      </c>
      <c r="T1448" s="97">
        <f>Mitigation_Industry!T779-SUM(Mitigation_Industry!T657:T660)</f>
        <v>0</v>
      </c>
      <c r="U1448" s="97">
        <f>Mitigation_Industry!U779-SUM(Mitigation_Industry!U657:U660)</f>
        <v>0</v>
      </c>
      <c r="V1448" s="97">
        <f>Mitigation_Industry!V779-SUM(Mitigation_Industry!V657:V660)</f>
        <v>0</v>
      </c>
      <c r="W1448" s="97">
        <f>Mitigation_Industry!W779-SUM(Mitigation_Industry!W657:W660)</f>
        <v>0</v>
      </c>
      <c r="X1448" s="97">
        <f>Mitigation_Industry!X779-SUM(Mitigation_Industry!X657:X660)</f>
        <v>0</v>
      </c>
      <c r="Y1448" s="97">
        <f>Mitigation_Industry!Y779-SUM(Mitigation_Industry!Y657:Y660)</f>
        <v>0</v>
      </c>
      <c r="Z1448" s="97">
        <f>Mitigation_Industry!Z779-SUM(Mitigation_Industry!Z657:Z660)</f>
        <v>0</v>
      </c>
      <c r="AA1448" s="97">
        <f>Mitigation_Industry!AA779-SUM(Mitigation_Industry!AA657:AA660)</f>
        <v>0</v>
      </c>
      <c r="AB1448" s="97">
        <f>Mitigation_Industry!AB779-SUM(Mitigation_Industry!AB657:AB660)</f>
        <v>0</v>
      </c>
      <c r="AC1448" s="97">
        <f>Mitigation_Industry!AC779-SUM(Mitigation_Industry!AC657:AC660)</f>
        <v>0</v>
      </c>
      <c r="AD1448" s="97">
        <f>Mitigation_Industry!AD779-SUM(Mitigation_Industry!AD657:AD660)</f>
        <v>0</v>
      </c>
      <c r="AE1448" s="97">
        <f>Mitigation_Industry!AE779-SUM(Mitigation_Industry!AE657:AE660)</f>
        <v>0</v>
      </c>
    </row>
    <row r="1449" spans="1:35" x14ac:dyDescent="0.45">
      <c r="A1449" t="s">
        <v>1908</v>
      </c>
      <c r="D1449">
        <v>2</v>
      </c>
      <c r="F1449">
        <f>SUMPRODUCT((Mitigation_Industry!$E$698:$E$705&gt;Mitigation_Industry!$F$729:$F$736+0.000000000001)+(Mitigation_Industry!$E$709:$E$716&gt;Mitigation_Industry!$G$729:$G$736+0.000000000001))</f>
        <v>0</v>
      </c>
      <c r="I1449">
        <v>0</v>
      </c>
    </row>
    <row r="1450" spans="1:35" x14ac:dyDescent="0.45">
      <c r="A1450" t="s">
        <v>1909</v>
      </c>
      <c r="D1450">
        <v>2</v>
      </c>
      <c r="F1450">
        <f>SUMPRODUCT((Mitigation_Industry!$H$672:$K$672&lt;&gt;0)*(Mitigation_Industry!$H$672:$K$672&lt;&gt;1))</f>
        <v>0</v>
      </c>
      <c r="I1450">
        <v>0</v>
      </c>
    </row>
    <row r="1451" spans="1:35" x14ac:dyDescent="0.45">
      <c r="A1451" t="s">
        <v>1910</v>
      </c>
      <c r="F1451">
        <f>SUMPRODUCT((Scenarios!$M$17:$P$23&lt;&gt;0)*(Scenarios!$M$17:$P$23&lt;&gt;1))</f>
        <v>0</v>
      </c>
      <c r="I1451">
        <v>0</v>
      </c>
    </row>
    <row r="1454" spans="1:35" x14ac:dyDescent="0.45">
      <c r="A1454" s="52" t="s">
        <v>1920</v>
      </c>
    </row>
    <row r="1455" spans="1:35" x14ac:dyDescent="0.45">
      <c r="A1455" t="s">
        <v>1924</v>
      </c>
      <c r="D1455" s="92">
        <f>MAX(F1457:F1460)</f>
        <v>0</v>
      </c>
    </row>
    <row r="1456" spans="1:35" x14ac:dyDescent="0.45">
      <c r="A1456" s="50" t="s">
        <v>1505</v>
      </c>
      <c r="B1456" s="50"/>
      <c r="C1456" s="50"/>
      <c r="D1456" s="50" t="s">
        <v>47</v>
      </c>
      <c r="E1456" s="50" t="s">
        <v>1156</v>
      </c>
      <c r="F1456" s="50" t="s">
        <v>1157</v>
      </c>
      <c r="G1456" s="50"/>
      <c r="H1456" s="50"/>
      <c r="I1456" s="50" t="s">
        <v>1506</v>
      </c>
      <c r="J1456" s="50"/>
      <c r="K1456" s="50">
        <v>2021</v>
      </c>
      <c r="L1456" s="50">
        <v>2022</v>
      </c>
      <c r="M1456" s="50">
        <v>2023</v>
      </c>
      <c r="N1456" s="50">
        <v>2024</v>
      </c>
      <c r="O1456" s="50">
        <v>2025</v>
      </c>
      <c r="P1456" s="50">
        <v>2026</v>
      </c>
      <c r="Q1456" s="50">
        <v>2027</v>
      </c>
      <c r="R1456" s="50">
        <v>2028</v>
      </c>
      <c r="S1456" s="50">
        <v>2029</v>
      </c>
      <c r="T1456" s="50">
        <v>2030</v>
      </c>
      <c r="U1456" s="50">
        <v>2031</v>
      </c>
      <c r="V1456" s="50">
        <v>2032</v>
      </c>
      <c r="W1456" s="50">
        <v>2033</v>
      </c>
      <c r="X1456" s="50">
        <v>2034</v>
      </c>
      <c r="Y1456" s="50">
        <v>2035</v>
      </c>
      <c r="Z1456" s="50">
        <v>2036</v>
      </c>
      <c r="AA1456" s="50">
        <v>2037</v>
      </c>
      <c r="AB1456" s="50">
        <v>2038</v>
      </c>
      <c r="AC1456" s="50">
        <v>2039</v>
      </c>
      <c r="AD1456" s="50">
        <v>2040</v>
      </c>
      <c r="AE1456" s="50">
        <v>2041</v>
      </c>
      <c r="AF1456" s="50">
        <v>2042</v>
      </c>
      <c r="AG1456" s="50">
        <v>2043</v>
      </c>
      <c r="AH1456" s="50">
        <v>2044</v>
      </c>
      <c r="AI1456" s="50">
        <v>2045</v>
      </c>
    </row>
    <row r="1457" spans="1:35" x14ac:dyDescent="0.45">
      <c r="A1457" t="s">
        <v>1921</v>
      </c>
      <c r="D1457">
        <v>1</v>
      </c>
      <c r="E1457" t="s">
        <v>1161</v>
      </c>
      <c r="F1457">
        <f>MAX(MAX(L1457:AE1457),-MIN(L1457:AE1457))</f>
        <v>0</v>
      </c>
      <c r="I1457">
        <v>0</v>
      </c>
      <c r="L1457">
        <f>Mitigation_Industry!L308-INDEX(Data_Prices!L:L,MATCH("egy.mit.pptraj.1",Data_Prices!$A:$A,0))</f>
        <v>0</v>
      </c>
      <c r="M1457">
        <f>Mitigation_Industry!M308-INDEX(Data_Prices!M:M,MATCH("egy.mit.pptraj.1",Data_Prices!$A:$A,0))</f>
        <v>0</v>
      </c>
      <c r="N1457">
        <f>Mitigation_Industry!N308-INDEX(Data_Prices!N:N,MATCH("egy.mit.pptraj.1",Data_Prices!$A:$A,0))</f>
        <v>0</v>
      </c>
      <c r="O1457">
        <f>Mitigation_Industry!O308-INDEX(Data_Prices!O:O,MATCH("egy.mit.pptraj.1",Data_Prices!$A:$A,0))</f>
        <v>0</v>
      </c>
      <c r="P1457">
        <f>Mitigation_Industry!P308-INDEX(Data_Prices!P:P,MATCH("egy.mit.pptraj.1",Data_Prices!$A:$A,0))</f>
        <v>0</v>
      </c>
      <c r="Q1457">
        <f>Mitigation_Industry!Q308-INDEX(Data_Prices!Q:Q,MATCH("egy.mit.pptraj.1",Data_Prices!$A:$A,0))</f>
        <v>0</v>
      </c>
      <c r="R1457">
        <f>Mitigation_Industry!R308-INDEX(Data_Prices!R:R,MATCH("egy.mit.pptraj.1",Data_Prices!$A:$A,0))</f>
        <v>0</v>
      </c>
      <c r="S1457">
        <f>Mitigation_Industry!S308-INDEX(Data_Prices!S:S,MATCH("egy.mit.pptraj.1",Data_Prices!$A:$A,0))</f>
        <v>0</v>
      </c>
      <c r="T1457">
        <f>Mitigation_Industry!T308-INDEX(Data_Prices!T:T,MATCH("egy.mit.pptraj.1",Data_Prices!$A:$A,0))</f>
        <v>0</v>
      </c>
      <c r="U1457">
        <f>Mitigation_Industry!U308-INDEX(Data_Prices!U:U,MATCH("egy.mit.pptraj.1",Data_Prices!$A:$A,0))</f>
        <v>0</v>
      </c>
      <c r="V1457">
        <f>Mitigation_Industry!V308-INDEX(Data_Prices!V:V,MATCH("egy.mit.pptraj.1",Data_Prices!$A:$A,0))</f>
        <v>0</v>
      </c>
      <c r="W1457">
        <f>Mitigation_Industry!W308-INDEX(Data_Prices!W:W,MATCH("egy.mit.pptraj.1",Data_Prices!$A:$A,0))</f>
        <v>0</v>
      </c>
      <c r="X1457">
        <f>Mitigation_Industry!X308-INDEX(Data_Prices!X:X,MATCH("egy.mit.pptraj.1",Data_Prices!$A:$A,0))</f>
        <v>0</v>
      </c>
      <c r="Y1457">
        <f>Mitigation_Industry!Y308-INDEX(Data_Prices!Y:Y,MATCH("egy.mit.pptraj.1",Data_Prices!$A:$A,0))</f>
        <v>0</v>
      </c>
      <c r="Z1457">
        <f>Mitigation_Industry!Z308-INDEX(Data_Prices!Z:Z,MATCH("egy.mit.pptraj.1",Data_Prices!$A:$A,0))</f>
        <v>0</v>
      </c>
      <c r="AA1457">
        <f>Mitigation_Industry!AA308-INDEX(Data_Prices!AA:AA,MATCH("egy.mit.pptraj.1",Data_Prices!$A:$A,0))</f>
        <v>0</v>
      </c>
      <c r="AB1457">
        <f>Mitigation_Industry!AB308-INDEX(Data_Prices!AB:AB,MATCH("egy.mit.pptraj.1",Data_Prices!$A:$A,0))</f>
        <v>0</v>
      </c>
      <c r="AC1457">
        <f>Mitigation_Industry!AC308-INDEX(Data_Prices!AC:AC,MATCH("egy.mit.pptraj.1",Data_Prices!$A:$A,0))</f>
        <v>0</v>
      </c>
      <c r="AD1457">
        <f>Mitigation_Industry!AD308-INDEX(Data_Prices!AD:AD,MATCH("egy.mit.pptraj.1",Data_Prices!$A:$A,0))</f>
        <v>0</v>
      </c>
      <c r="AE1457">
        <f>Mitigation_Industry!AE308-INDEX(Data_Prices!AE:AE,MATCH("egy.mit.pptraj.1",Data_Prices!$A:$A,0))</f>
        <v>0</v>
      </c>
    </row>
    <row r="1458" spans="1:35" x14ac:dyDescent="0.45">
      <c r="A1458" t="s">
        <v>1921</v>
      </c>
      <c r="D1458">
        <v>2</v>
      </c>
      <c r="E1458" t="s">
        <v>1161</v>
      </c>
      <c r="F1458">
        <f>MAX(MAX(L1458:AE1458),-MIN(L1458:AE1458))</f>
        <v>0</v>
      </c>
      <c r="I1458">
        <v>0</v>
      </c>
      <c r="L1458">
        <f>Mitigation_Industry!L707-INDEX(Data_Prices!L:L,MATCH("egy.mit.pptraj.2",Data_Prices!$A:$A,0))</f>
        <v>0</v>
      </c>
      <c r="M1458">
        <f>Mitigation_Industry!M707-INDEX(Data_Prices!M:M,MATCH("egy.mit.pptraj.2",Data_Prices!$A:$A,0))</f>
        <v>0</v>
      </c>
      <c r="N1458">
        <f>Mitigation_Industry!N707-INDEX(Data_Prices!N:N,MATCH("egy.mit.pptraj.2",Data_Prices!$A:$A,0))</f>
        <v>0</v>
      </c>
      <c r="O1458">
        <f>Mitigation_Industry!O707-INDEX(Data_Prices!O:O,MATCH("egy.mit.pptraj.2",Data_Prices!$A:$A,0))</f>
        <v>0</v>
      </c>
      <c r="P1458">
        <f>Mitigation_Industry!P707-INDEX(Data_Prices!P:P,MATCH("egy.mit.pptraj.2",Data_Prices!$A:$A,0))</f>
        <v>0</v>
      </c>
      <c r="Q1458">
        <f>Mitigation_Industry!Q707-INDEX(Data_Prices!Q:Q,MATCH("egy.mit.pptraj.2",Data_Prices!$A:$A,0))</f>
        <v>0</v>
      </c>
      <c r="R1458">
        <f>Mitigation_Industry!R707-INDEX(Data_Prices!R:R,MATCH("egy.mit.pptraj.2",Data_Prices!$A:$A,0))</f>
        <v>0</v>
      </c>
      <c r="S1458">
        <f>Mitigation_Industry!S707-INDEX(Data_Prices!S:S,MATCH("egy.mit.pptraj.2",Data_Prices!$A:$A,0))</f>
        <v>0</v>
      </c>
      <c r="T1458">
        <f>Mitigation_Industry!T707-INDEX(Data_Prices!T:T,MATCH("egy.mit.pptraj.2",Data_Prices!$A:$A,0))</f>
        <v>0</v>
      </c>
      <c r="U1458">
        <f>Mitigation_Industry!U707-INDEX(Data_Prices!U:U,MATCH("egy.mit.pptraj.2",Data_Prices!$A:$A,0))</f>
        <v>0</v>
      </c>
      <c r="V1458">
        <f>Mitigation_Industry!V707-INDEX(Data_Prices!V:V,MATCH("egy.mit.pptraj.2",Data_Prices!$A:$A,0))</f>
        <v>0</v>
      </c>
      <c r="W1458">
        <f>Mitigation_Industry!W707-INDEX(Data_Prices!W:W,MATCH("egy.mit.pptraj.2",Data_Prices!$A:$A,0))</f>
        <v>0</v>
      </c>
      <c r="X1458">
        <f>Mitigation_Industry!X707-INDEX(Data_Prices!X:X,MATCH("egy.mit.pptraj.2",Data_Prices!$A:$A,0))</f>
        <v>0</v>
      </c>
      <c r="Y1458">
        <f>Mitigation_Industry!Y707-INDEX(Data_Prices!Y:Y,MATCH("egy.mit.pptraj.2",Data_Prices!$A:$A,0))</f>
        <v>0</v>
      </c>
      <c r="Z1458">
        <f>Mitigation_Industry!Z707-INDEX(Data_Prices!Z:Z,MATCH("egy.mit.pptraj.2",Data_Prices!$A:$A,0))</f>
        <v>0</v>
      </c>
      <c r="AA1458">
        <f>Mitigation_Industry!AA707-INDEX(Data_Prices!AA:AA,MATCH("egy.mit.pptraj.2",Data_Prices!$A:$A,0))</f>
        <v>0</v>
      </c>
      <c r="AB1458">
        <f>Mitigation_Industry!AB707-INDEX(Data_Prices!AB:AB,MATCH("egy.mit.pptraj.2",Data_Prices!$A:$A,0))</f>
        <v>0</v>
      </c>
      <c r="AC1458">
        <f>Mitigation_Industry!AC707-INDEX(Data_Prices!AC:AC,MATCH("egy.mit.pptraj.2",Data_Prices!$A:$A,0))</f>
        <v>0</v>
      </c>
      <c r="AD1458">
        <f>Mitigation_Industry!AD707-INDEX(Data_Prices!AD:AD,MATCH("egy.mit.pptraj.2",Data_Prices!$A:$A,0))</f>
        <v>0</v>
      </c>
      <c r="AE1458">
        <f>Mitigation_Industry!AE707-INDEX(Data_Prices!AE:AE,MATCH("egy.mit.pptraj.2",Data_Prices!$A:$A,0))</f>
        <v>0</v>
      </c>
    </row>
    <row r="1459" spans="1:35" x14ac:dyDescent="0.45">
      <c r="A1459" t="s">
        <v>1922</v>
      </c>
      <c r="D1459">
        <v>2</v>
      </c>
      <c r="F1459">
        <f>IF(Scenarios!$B$27="LEGACY",0,ABS(Mitigation_Industry!T707-Scenarios!$G$27*Mitigation_Industry!T646))</f>
        <v>0</v>
      </c>
      <c r="I1459">
        <v>0</v>
      </c>
    </row>
    <row r="1460" spans="1:35" x14ac:dyDescent="0.45">
      <c r="A1460" t="s">
        <v>1923</v>
      </c>
      <c r="D1460">
        <v>2</v>
      </c>
      <c r="F1460">
        <f>IF(Scenarios!$B$27="LEGACY",0,ABS(Mitigation_Industry!T646-20))</f>
        <v>0</v>
      </c>
      <c r="I1460">
        <v>0</v>
      </c>
    </row>
    <row r="1463" spans="1:35" x14ac:dyDescent="0.45">
      <c r="A1463" s="52" t="s">
        <v>2043</v>
      </c>
    </row>
    <row r="1464" spans="1:35" x14ac:dyDescent="0.45">
      <c r="A1464" t="s">
        <v>2071</v>
      </c>
      <c r="D1464" s="92">
        <f>MAX(F1466:F1490)</f>
        <v>1.4210854715202004E-14</v>
      </c>
    </row>
    <row r="1465" spans="1:35" x14ac:dyDescent="0.45">
      <c r="A1465" s="50" t="s">
        <v>1505</v>
      </c>
      <c r="B1465" s="50"/>
      <c r="C1465" s="50"/>
      <c r="D1465" s="50" t="s">
        <v>47</v>
      </c>
      <c r="E1465" s="50" t="s">
        <v>1156</v>
      </c>
      <c r="F1465" s="50" t="s">
        <v>1157</v>
      </c>
      <c r="G1465" s="50" t="s">
        <v>2044</v>
      </c>
      <c r="H1465" s="50"/>
      <c r="I1465" s="50" t="s">
        <v>1506</v>
      </c>
      <c r="J1465" s="50"/>
      <c r="K1465" s="50">
        <v>2021</v>
      </c>
      <c r="L1465" s="50">
        <v>2022</v>
      </c>
      <c r="M1465" s="50">
        <v>2023</v>
      </c>
      <c r="N1465" s="50">
        <v>2024</v>
      </c>
      <c r="O1465" s="50">
        <v>2025</v>
      </c>
      <c r="P1465" s="50">
        <v>2026</v>
      </c>
      <c r="Q1465" s="50">
        <v>2027</v>
      </c>
      <c r="R1465" s="50">
        <v>2028</v>
      </c>
      <c r="S1465" s="50">
        <v>2029</v>
      </c>
      <c r="T1465" s="50">
        <v>2030</v>
      </c>
      <c r="U1465" s="50">
        <v>2031</v>
      </c>
      <c r="V1465" s="50">
        <v>2032</v>
      </c>
      <c r="W1465" s="50">
        <v>2033</v>
      </c>
      <c r="X1465" s="50">
        <v>2034</v>
      </c>
      <c r="Y1465" s="50">
        <v>2035</v>
      </c>
      <c r="Z1465" s="50">
        <v>2036</v>
      </c>
      <c r="AA1465" s="50">
        <v>2037</v>
      </c>
      <c r="AB1465" s="50">
        <v>2038</v>
      </c>
      <c r="AC1465" s="50">
        <v>2039</v>
      </c>
      <c r="AD1465" s="50">
        <v>2040</v>
      </c>
      <c r="AE1465" s="50">
        <v>2041</v>
      </c>
      <c r="AF1465" s="50">
        <v>2042</v>
      </c>
      <c r="AG1465" s="50">
        <v>2043</v>
      </c>
      <c r="AH1465" s="50">
        <v>2044</v>
      </c>
      <c r="AI1465" s="50">
        <v>2045</v>
      </c>
    </row>
    <row r="1466" spans="1:35" x14ac:dyDescent="0.45">
      <c r="A1466" t="s">
        <v>2045</v>
      </c>
      <c r="D1466">
        <v>1</v>
      </c>
      <c r="E1466" t="s">
        <v>1161</v>
      </c>
      <c r="F1466">
        <f t="shared" ref="F1466:F1473" si="354">MAX(MAX(L1466:AE1466),-MIN(L1466:AE1466))</f>
        <v>0</v>
      </c>
      <c r="I1466">
        <v>0</v>
      </c>
      <c r="L1466">
        <f>Emissions_Industry!L15-SUM(Emissions_Industry!L6:L14)</f>
        <v>0</v>
      </c>
      <c r="M1466">
        <f>Emissions_Industry!M15-SUM(Emissions_Industry!M6:M14)</f>
        <v>0</v>
      </c>
      <c r="N1466">
        <f>Emissions_Industry!N15-SUM(Emissions_Industry!N6:N14)</f>
        <v>0</v>
      </c>
      <c r="O1466">
        <f>Emissions_Industry!O15-SUM(Emissions_Industry!O6:O14)</f>
        <v>0</v>
      </c>
      <c r="P1466">
        <f>Emissions_Industry!P15-SUM(Emissions_Industry!P6:P14)</f>
        <v>0</v>
      </c>
      <c r="Q1466">
        <f>Emissions_Industry!Q15-SUM(Emissions_Industry!Q6:Q14)</f>
        <v>0</v>
      </c>
      <c r="R1466">
        <f>Emissions_Industry!R15-SUM(Emissions_Industry!R6:R14)</f>
        <v>0</v>
      </c>
      <c r="S1466">
        <f>Emissions_Industry!S15-SUM(Emissions_Industry!S6:S14)</f>
        <v>0</v>
      </c>
      <c r="T1466">
        <f>Emissions_Industry!T15-SUM(Emissions_Industry!T6:T14)</f>
        <v>0</v>
      </c>
      <c r="U1466">
        <f>Emissions_Industry!U15-SUM(Emissions_Industry!U6:U14)</f>
        <v>0</v>
      </c>
      <c r="V1466">
        <f>Emissions_Industry!V15-SUM(Emissions_Industry!V6:V14)</f>
        <v>0</v>
      </c>
      <c r="W1466">
        <f>Emissions_Industry!W15-SUM(Emissions_Industry!W6:W14)</f>
        <v>0</v>
      </c>
      <c r="X1466">
        <f>Emissions_Industry!X15-SUM(Emissions_Industry!X6:X14)</f>
        <v>0</v>
      </c>
      <c r="Y1466">
        <f>Emissions_Industry!Y15-SUM(Emissions_Industry!Y6:Y14)</f>
        <v>0</v>
      </c>
      <c r="Z1466">
        <f>Emissions_Industry!Z15-SUM(Emissions_Industry!Z6:Z14)</f>
        <v>0</v>
      </c>
      <c r="AA1466">
        <f>Emissions_Industry!AA15-SUM(Emissions_Industry!AA6:AA14)</f>
        <v>0</v>
      </c>
      <c r="AB1466">
        <f>Emissions_Industry!AB15-SUM(Emissions_Industry!AB6:AB14)</f>
        <v>0</v>
      </c>
      <c r="AC1466">
        <f>Emissions_Industry!AC15-SUM(Emissions_Industry!AC6:AC14)</f>
        <v>0</v>
      </c>
      <c r="AD1466">
        <f>Emissions_Industry!AD15-SUM(Emissions_Industry!AD6:AD14)</f>
        <v>0</v>
      </c>
      <c r="AE1466">
        <f>Emissions_Industry!AE15-SUM(Emissions_Industry!AE6:AE14)</f>
        <v>0</v>
      </c>
    </row>
    <row r="1467" spans="1:35" x14ac:dyDescent="0.45">
      <c r="A1467" t="s">
        <v>2046</v>
      </c>
      <c r="D1467">
        <v>1</v>
      </c>
      <c r="E1467" t="s">
        <v>1161</v>
      </c>
      <c r="F1467">
        <f t="shared" si="354"/>
        <v>0</v>
      </c>
      <c r="I1467">
        <v>0</v>
      </c>
      <c r="L1467">
        <f>Emissions_Industry!L27-SUM(Emissions_Industry!L18:L26)</f>
        <v>0</v>
      </c>
      <c r="M1467">
        <f>Emissions_Industry!M27-SUM(Emissions_Industry!M18:M26)</f>
        <v>0</v>
      </c>
      <c r="N1467">
        <f>Emissions_Industry!N27-SUM(Emissions_Industry!N18:N26)</f>
        <v>0</v>
      </c>
      <c r="O1467">
        <f>Emissions_Industry!O27-SUM(Emissions_Industry!O18:O26)</f>
        <v>0</v>
      </c>
      <c r="P1467">
        <f>Emissions_Industry!P27-SUM(Emissions_Industry!P18:P26)</f>
        <v>0</v>
      </c>
      <c r="Q1467">
        <f>Emissions_Industry!Q27-SUM(Emissions_Industry!Q18:Q26)</f>
        <v>0</v>
      </c>
      <c r="R1467">
        <f>Emissions_Industry!R27-SUM(Emissions_Industry!R18:R26)</f>
        <v>0</v>
      </c>
      <c r="S1467">
        <f>Emissions_Industry!S27-SUM(Emissions_Industry!S18:S26)</f>
        <v>0</v>
      </c>
      <c r="T1467">
        <f>Emissions_Industry!T27-SUM(Emissions_Industry!T18:T26)</f>
        <v>0</v>
      </c>
      <c r="U1467">
        <f>Emissions_Industry!U27-SUM(Emissions_Industry!U18:U26)</f>
        <v>0</v>
      </c>
      <c r="V1467">
        <f>Emissions_Industry!V27-SUM(Emissions_Industry!V18:V26)</f>
        <v>0</v>
      </c>
      <c r="W1467">
        <f>Emissions_Industry!W27-SUM(Emissions_Industry!W18:W26)</f>
        <v>0</v>
      </c>
      <c r="X1467">
        <f>Emissions_Industry!X27-SUM(Emissions_Industry!X18:X26)</f>
        <v>0</v>
      </c>
      <c r="Y1467">
        <f>Emissions_Industry!Y27-SUM(Emissions_Industry!Y18:Y26)</f>
        <v>0</v>
      </c>
      <c r="Z1467">
        <f>Emissions_Industry!Z27-SUM(Emissions_Industry!Z18:Z26)</f>
        <v>0</v>
      </c>
      <c r="AA1467">
        <f>Emissions_Industry!AA27-SUM(Emissions_Industry!AA18:AA26)</f>
        <v>0</v>
      </c>
      <c r="AB1467">
        <f>Emissions_Industry!AB27-SUM(Emissions_Industry!AB18:AB26)</f>
        <v>0</v>
      </c>
      <c r="AC1467">
        <f>Emissions_Industry!AC27-SUM(Emissions_Industry!AC18:AC26)</f>
        <v>0</v>
      </c>
      <c r="AD1467">
        <f>Emissions_Industry!AD27-SUM(Emissions_Industry!AD18:AD26)</f>
        <v>0</v>
      </c>
      <c r="AE1467">
        <f>Emissions_Industry!AE27-SUM(Emissions_Industry!AE18:AE26)</f>
        <v>0</v>
      </c>
    </row>
    <row r="1468" spans="1:35" x14ac:dyDescent="0.45">
      <c r="A1468" t="s">
        <v>2047</v>
      </c>
      <c r="D1468">
        <v>1</v>
      </c>
      <c r="E1468" t="s">
        <v>1161</v>
      </c>
      <c r="F1468">
        <f t="shared" si="354"/>
        <v>0</v>
      </c>
      <c r="I1468">
        <v>0</v>
      </c>
      <c r="L1468">
        <f>Emissions_Industry!L39-SUM(Emissions_Industry!L30:L38)</f>
        <v>0</v>
      </c>
      <c r="M1468">
        <f>Emissions_Industry!M39-SUM(Emissions_Industry!M30:M38)</f>
        <v>0</v>
      </c>
      <c r="N1468">
        <f>Emissions_Industry!N39-SUM(Emissions_Industry!N30:N38)</f>
        <v>0</v>
      </c>
      <c r="O1468">
        <f>Emissions_Industry!O39-SUM(Emissions_Industry!O30:O38)</f>
        <v>0</v>
      </c>
      <c r="P1468">
        <f>Emissions_Industry!P39-SUM(Emissions_Industry!P30:P38)</f>
        <v>0</v>
      </c>
      <c r="Q1468">
        <f>Emissions_Industry!Q39-SUM(Emissions_Industry!Q30:Q38)</f>
        <v>0</v>
      </c>
      <c r="R1468">
        <f>Emissions_Industry!R39-SUM(Emissions_Industry!R30:R38)</f>
        <v>0</v>
      </c>
      <c r="S1468">
        <f>Emissions_Industry!S39-SUM(Emissions_Industry!S30:S38)</f>
        <v>0</v>
      </c>
      <c r="T1468">
        <f>Emissions_Industry!T39-SUM(Emissions_Industry!T30:T38)</f>
        <v>0</v>
      </c>
      <c r="U1468">
        <f>Emissions_Industry!U39-SUM(Emissions_Industry!U30:U38)</f>
        <v>0</v>
      </c>
      <c r="V1468">
        <f>Emissions_Industry!V39-SUM(Emissions_Industry!V30:V38)</f>
        <v>0</v>
      </c>
      <c r="W1468">
        <f>Emissions_Industry!W39-SUM(Emissions_Industry!W30:W38)</f>
        <v>0</v>
      </c>
      <c r="X1468">
        <f>Emissions_Industry!X39-SUM(Emissions_Industry!X30:X38)</f>
        <v>0</v>
      </c>
      <c r="Y1468">
        <f>Emissions_Industry!Y39-SUM(Emissions_Industry!Y30:Y38)</f>
        <v>0</v>
      </c>
      <c r="Z1468">
        <f>Emissions_Industry!Z39-SUM(Emissions_Industry!Z30:Z38)</f>
        <v>0</v>
      </c>
      <c r="AA1468">
        <f>Emissions_Industry!AA39-SUM(Emissions_Industry!AA30:AA38)</f>
        <v>0</v>
      </c>
      <c r="AB1468">
        <f>Emissions_Industry!AB39-SUM(Emissions_Industry!AB30:AB38)</f>
        <v>0</v>
      </c>
      <c r="AC1468">
        <f>Emissions_Industry!AC39-SUM(Emissions_Industry!AC30:AC38)</f>
        <v>0</v>
      </c>
      <c r="AD1468">
        <f>Emissions_Industry!AD39-SUM(Emissions_Industry!AD30:AD38)</f>
        <v>0</v>
      </c>
      <c r="AE1468">
        <f>Emissions_Industry!AE39-SUM(Emissions_Industry!AE30:AE38)</f>
        <v>0</v>
      </c>
    </row>
    <row r="1469" spans="1:35" x14ac:dyDescent="0.45">
      <c r="A1469" t="s">
        <v>2048</v>
      </c>
      <c r="D1469">
        <v>1</v>
      </c>
      <c r="E1469" t="s">
        <v>1161</v>
      </c>
      <c r="F1469">
        <f t="shared" si="354"/>
        <v>0</v>
      </c>
      <c r="I1469">
        <v>0</v>
      </c>
      <c r="L1469">
        <f>Emissions_Industry!L51-SUM(Emissions_Industry!L42:L50)</f>
        <v>0</v>
      </c>
      <c r="M1469">
        <f>Emissions_Industry!M51-SUM(Emissions_Industry!M42:M50)</f>
        <v>0</v>
      </c>
      <c r="N1469">
        <f>Emissions_Industry!N51-SUM(Emissions_Industry!N42:N50)</f>
        <v>0</v>
      </c>
      <c r="O1469">
        <f>Emissions_Industry!O51-SUM(Emissions_Industry!O42:O50)</f>
        <v>0</v>
      </c>
      <c r="P1469">
        <f>Emissions_Industry!P51-SUM(Emissions_Industry!P42:P50)</f>
        <v>0</v>
      </c>
      <c r="Q1469">
        <f>Emissions_Industry!Q51-SUM(Emissions_Industry!Q42:Q50)</f>
        <v>0</v>
      </c>
      <c r="R1469">
        <f>Emissions_Industry!R51-SUM(Emissions_Industry!R42:R50)</f>
        <v>0</v>
      </c>
      <c r="S1469">
        <f>Emissions_Industry!S51-SUM(Emissions_Industry!S42:S50)</f>
        <v>0</v>
      </c>
      <c r="T1469">
        <f>Emissions_Industry!T51-SUM(Emissions_Industry!T42:T50)</f>
        <v>0</v>
      </c>
      <c r="U1469">
        <f>Emissions_Industry!U51-SUM(Emissions_Industry!U42:U50)</f>
        <v>0</v>
      </c>
      <c r="V1469">
        <f>Emissions_Industry!V51-SUM(Emissions_Industry!V42:V50)</f>
        <v>0</v>
      </c>
      <c r="W1469">
        <f>Emissions_Industry!W51-SUM(Emissions_Industry!W42:W50)</f>
        <v>0</v>
      </c>
      <c r="X1469">
        <f>Emissions_Industry!X51-SUM(Emissions_Industry!X42:X50)</f>
        <v>0</v>
      </c>
      <c r="Y1469">
        <f>Emissions_Industry!Y51-SUM(Emissions_Industry!Y42:Y50)</f>
        <v>0</v>
      </c>
      <c r="Z1469">
        <f>Emissions_Industry!Z51-SUM(Emissions_Industry!Z42:Z50)</f>
        <v>0</v>
      </c>
      <c r="AA1469">
        <f>Emissions_Industry!AA51-SUM(Emissions_Industry!AA42:AA50)</f>
        <v>0</v>
      </c>
      <c r="AB1469">
        <f>Emissions_Industry!AB51-SUM(Emissions_Industry!AB42:AB50)</f>
        <v>0</v>
      </c>
      <c r="AC1469">
        <f>Emissions_Industry!AC51-SUM(Emissions_Industry!AC42:AC50)</f>
        <v>0</v>
      </c>
      <c r="AD1469">
        <f>Emissions_Industry!AD51-SUM(Emissions_Industry!AD42:AD50)</f>
        <v>0</v>
      </c>
      <c r="AE1469">
        <f>Emissions_Industry!AE51-SUM(Emissions_Industry!AE42:AE50)</f>
        <v>0</v>
      </c>
    </row>
    <row r="1470" spans="1:35" x14ac:dyDescent="0.45">
      <c r="A1470" t="s">
        <v>2049</v>
      </c>
      <c r="D1470">
        <v>2</v>
      </c>
      <c r="E1470" t="s">
        <v>1161</v>
      </c>
      <c r="F1470">
        <f t="shared" si="354"/>
        <v>0</v>
      </c>
      <c r="I1470">
        <v>0</v>
      </c>
      <c r="L1470">
        <f>Emissions_Industry!L66-SUM(Emissions_Industry!L57:L65)</f>
        <v>0</v>
      </c>
      <c r="M1470">
        <f>Emissions_Industry!M66-SUM(Emissions_Industry!M57:M65)</f>
        <v>0</v>
      </c>
      <c r="N1470">
        <f>Emissions_Industry!N66-SUM(Emissions_Industry!N57:N65)</f>
        <v>0</v>
      </c>
      <c r="O1470">
        <f>Emissions_Industry!O66-SUM(Emissions_Industry!O57:O65)</f>
        <v>0</v>
      </c>
      <c r="P1470">
        <f>Emissions_Industry!P66-SUM(Emissions_Industry!P57:P65)</f>
        <v>0</v>
      </c>
      <c r="Q1470">
        <f>Emissions_Industry!Q66-SUM(Emissions_Industry!Q57:Q65)</f>
        <v>0</v>
      </c>
      <c r="R1470">
        <f>Emissions_Industry!R66-SUM(Emissions_Industry!R57:R65)</f>
        <v>0</v>
      </c>
      <c r="S1470">
        <f>Emissions_Industry!S66-SUM(Emissions_Industry!S57:S65)</f>
        <v>0</v>
      </c>
      <c r="T1470">
        <f>Emissions_Industry!T66-SUM(Emissions_Industry!T57:T65)</f>
        <v>0</v>
      </c>
      <c r="U1470">
        <f>Emissions_Industry!U66-SUM(Emissions_Industry!U57:U65)</f>
        <v>0</v>
      </c>
      <c r="V1470">
        <f>Emissions_Industry!V66-SUM(Emissions_Industry!V57:V65)</f>
        <v>0</v>
      </c>
      <c r="W1470">
        <f>Emissions_Industry!W66-SUM(Emissions_Industry!W57:W65)</f>
        <v>0</v>
      </c>
      <c r="X1470">
        <f>Emissions_Industry!X66-SUM(Emissions_Industry!X57:X65)</f>
        <v>0</v>
      </c>
      <c r="Y1470">
        <f>Emissions_Industry!Y66-SUM(Emissions_Industry!Y57:Y65)</f>
        <v>0</v>
      </c>
      <c r="Z1470">
        <f>Emissions_Industry!Z66-SUM(Emissions_Industry!Z57:Z65)</f>
        <v>0</v>
      </c>
      <c r="AA1470">
        <f>Emissions_Industry!AA66-SUM(Emissions_Industry!AA57:AA65)</f>
        <v>0</v>
      </c>
      <c r="AB1470">
        <f>Emissions_Industry!AB66-SUM(Emissions_Industry!AB57:AB65)</f>
        <v>0</v>
      </c>
      <c r="AC1470">
        <f>Emissions_Industry!AC66-SUM(Emissions_Industry!AC57:AC65)</f>
        <v>0</v>
      </c>
      <c r="AD1470">
        <f>Emissions_Industry!AD66-SUM(Emissions_Industry!AD57:AD65)</f>
        <v>0</v>
      </c>
      <c r="AE1470">
        <f>Emissions_Industry!AE66-SUM(Emissions_Industry!AE57:AE65)</f>
        <v>0</v>
      </c>
    </row>
    <row r="1471" spans="1:35" x14ac:dyDescent="0.45">
      <c r="A1471" t="s">
        <v>2050</v>
      </c>
      <c r="D1471">
        <v>2</v>
      </c>
      <c r="E1471" t="s">
        <v>1161</v>
      </c>
      <c r="F1471">
        <f t="shared" si="354"/>
        <v>0</v>
      </c>
      <c r="I1471">
        <v>0</v>
      </c>
      <c r="L1471">
        <f>Emissions_Industry!L78-SUM(Emissions_Industry!L69:L77)</f>
        <v>0</v>
      </c>
      <c r="M1471">
        <f>Emissions_Industry!M78-SUM(Emissions_Industry!M69:M77)</f>
        <v>0</v>
      </c>
      <c r="N1471">
        <f>Emissions_Industry!N78-SUM(Emissions_Industry!N69:N77)</f>
        <v>0</v>
      </c>
      <c r="O1471">
        <f>Emissions_Industry!O78-SUM(Emissions_Industry!O69:O77)</f>
        <v>0</v>
      </c>
      <c r="P1471">
        <f>Emissions_Industry!P78-SUM(Emissions_Industry!P69:P77)</f>
        <v>0</v>
      </c>
      <c r="Q1471">
        <f>Emissions_Industry!Q78-SUM(Emissions_Industry!Q69:Q77)</f>
        <v>0</v>
      </c>
      <c r="R1471">
        <f>Emissions_Industry!R78-SUM(Emissions_Industry!R69:R77)</f>
        <v>0</v>
      </c>
      <c r="S1471">
        <f>Emissions_Industry!S78-SUM(Emissions_Industry!S69:S77)</f>
        <v>0</v>
      </c>
      <c r="T1471">
        <f>Emissions_Industry!T78-SUM(Emissions_Industry!T69:T77)</f>
        <v>0</v>
      </c>
      <c r="U1471">
        <f>Emissions_Industry!U78-SUM(Emissions_Industry!U69:U77)</f>
        <v>0</v>
      </c>
      <c r="V1471">
        <f>Emissions_Industry!V78-SUM(Emissions_Industry!V69:V77)</f>
        <v>0</v>
      </c>
      <c r="W1471">
        <f>Emissions_Industry!W78-SUM(Emissions_Industry!W69:W77)</f>
        <v>0</v>
      </c>
      <c r="X1471">
        <f>Emissions_Industry!X78-SUM(Emissions_Industry!X69:X77)</f>
        <v>0</v>
      </c>
      <c r="Y1471">
        <f>Emissions_Industry!Y78-SUM(Emissions_Industry!Y69:Y77)</f>
        <v>0</v>
      </c>
      <c r="Z1471">
        <f>Emissions_Industry!Z78-SUM(Emissions_Industry!Z69:Z77)</f>
        <v>0</v>
      </c>
      <c r="AA1471">
        <f>Emissions_Industry!AA78-SUM(Emissions_Industry!AA69:AA77)</f>
        <v>0</v>
      </c>
      <c r="AB1471">
        <f>Emissions_Industry!AB78-SUM(Emissions_Industry!AB69:AB77)</f>
        <v>0</v>
      </c>
      <c r="AC1471">
        <f>Emissions_Industry!AC78-SUM(Emissions_Industry!AC69:AC77)</f>
        <v>0</v>
      </c>
      <c r="AD1471">
        <f>Emissions_Industry!AD78-SUM(Emissions_Industry!AD69:AD77)</f>
        <v>0</v>
      </c>
      <c r="AE1471">
        <f>Emissions_Industry!AE78-SUM(Emissions_Industry!AE69:AE77)</f>
        <v>0</v>
      </c>
    </row>
    <row r="1472" spans="1:35" x14ac:dyDescent="0.45">
      <c r="A1472" t="s">
        <v>2051</v>
      </c>
      <c r="D1472">
        <v>2</v>
      </c>
      <c r="E1472" t="s">
        <v>1161</v>
      </c>
      <c r="F1472">
        <f t="shared" si="354"/>
        <v>0</v>
      </c>
      <c r="I1472">
        <v>0</v>
      </c>
      <c r="L1472">
        <f>Emissions_Industry!L90-SUM(Emissions_Industry!L81:L89)</f>
        <v>0</v>
      </c>
      <c r="M1472">
        <f>Emissions_Industry!M90-SUM(Emissions_Industry!M81:M89)</f>
        <v>0</v>
      </c>
      <c r="N1472">
        <f>Emissions_Industry!N90-SUM(Emissions_Industry!N81:N89)</f>
        <v>0</v>
      </c>
      <c r="O1472">
        <f>Emissions_Industry!O90-SUM(Emissions_Industry!O81:O89)</f>
        <v>0</v>
      </c>
      <c r="P1472">
        <f>Emissions_Industry!P90-SUM(Emissions_Industry!P81:P89)</f>
        <v>0</v>
      </c>
      <c r="Q1472">
        <f>Emissions_Industry!Q90-SUM(Emissions_Industry!Q81:Q89)</f>
        <v>0</v>
      </c>
      <c r="R1472">
        <f>Emissions_Industry!R90-SUM(Emissions_Industry!R81:R89)</f>
        <v>0</v>
      </c>
      <c r="S1472">
        <f>Emissions_Industry!S90-SUM(Emissions_Industry!S81:S89)</f>
        <v>0</v>
      </c>
      <c r="T1472">
        <f>Emissions_Industry!T90-SUM(Emissions_Industry!T81:T89)</f>
        <v>0</v>
      </c>
      <c r="U1472">
        <f>Emissions_Industry!U90-SUM(Emissions_Industry!U81:U89)</f>
        <v>0</v>
      </c>
      <c r="V1472">
        <f>Emissions_Industry!V90-SUM(Emissions_Industry!V81:V89)</f>
        <v>0</v>
      </c>
      <c r="W1472">
        <f>Emissions_Industry!W90-SUM(Emissions_Industry!W81:W89)</f>
        <v>0</v>
      </c>
      <c r="X1472">
        <f>Emissions_Industry!X90-SUM(Emissions_Industry!X81:X89)</f>
        <v>0</v>
      </c>
      <c r="Y1472">
        <f>Emissions_Industry!Y90-SUM(Emissions_Industry!Y81:Y89)</f>
        <v>0</v>
      </c>
      <c r="Z1472">
        <f>Emissions_Industry!Z90-SUM(Emissions_Industry!Z81:Z89)</f>
        <v>0</v>
      </c>
      <c r="AA1472">
        <f>Emissions_Industry!AA90-SUM(Emissions_Industry!AA81:AA89)</f>
        <v>0</v>
      </c>
      <c r="AB1472">
        <f>Emissions_Industry!AB90-SUM(Emissions_Industry!AB81:AB89)</f>
        <v>0</v>
      </c>
      <c r="AC1472">
        <f>Emissions_Industry!AC90-SUM(Emissions_Industry!AC81:AC89)</f>
        <v>0</v>
      </c>
      <c r="AD1472">
        <f>Emissions_Industry!AD90-SUM(Emissions_Industry!AD81:AD89)</f>
        <v>0</v>
      </c>
      <c r="AE1472">
        <f>Emissions_Industry!AE90-SUM(Emissions_Industry!AE81:AE89)</f>
        <v>0</v>
      </c>
    </row>
    <row r="1473" spans="1:31" x14ac:dyDescent="0.45">
      <c r="A1473" t="s">
        <v>2052</v>
      </c>
      <c r="D1473">
        <v>2</v>
      </c>
      <c r="E1473" t="s">
        <v>1161</v>
      </c>
      <c r="F1473">
        <f t="shared" si="354"/>
        <v>0</v>
      </c>
      <c r="I1473">
        <v>0</v>
      </c>
      <c r="L1473">
        <f>Emissions_Industry!L102-SUM(Emissions_Industry!L93:L101)</f>
        <v>0</v>
      </c>
      <c r="M1473">
        <f>Emissions_Industry!M102-SUM(Emissions_Industry!M93:M101)</f>
        <v>0</v>
      </c>
      <c r="N1473">
        <f>Emissions_Industry!N102-SUM(Emissions_Industry!N93:N101)</f>
        <v>0</v>
      </c>
      <c r="O1473">
        <f>Emissions_Industry!O102-SUM(Emissions_Industry!O93:O101)</f>
        <v>0</v>
      </c>
      <c r="P1473">
        <f>Emissions_Industry!P102-SUM(Emissions_Industry!P93:P101)</f>
        <v>0</v>
      </c>
      <c r="Q1473">
        <f>Emissions_Industry!Q102-SUM(Emissions_Industry!Q93:Q101)</f>
        <v>0</v>
      </c>
      <c r="R1473">
        <f>Emissions_Industry!R102-SUM(Emissions_Industry!R93:R101)</f>
        <v>0</v>
      </c>
      <c r="S1473">
        <f>Emissions_Industry!S102-SUM(Emissions_Industry!S93:S101)</f>
        <v>0</v>
      </c>
      <c r="T1473">
        <f>Emissions_Industry!T102-SUM(Emissions_Industry!T93:T101)</f>
        <v>0</v>
      </c>
      <c r="U1473">
        <f>Emissions_Industry!U102-SUM(Emissions_Industry!U93:U101)</f>
        <v>0</v>
      </c>
      <c r="V1473">
        <f>Emissions_Industry!V102-SUM(Emissions_Industry!V93:V101)</f>
        <v>0</v>
      </c>
      <c r="W1473">
        <f>Emissions_Industry!W102-SUM(Emissions_Industry!W93:W101)</f>
        <v>0</v>
      </c>
      <c r="X1473">
        <f>Emissions_Industry!X102-SUM(Emissions_Industry!X93:X101)</f>
        <v>0</v>
      </c>
      <c r="Y1473">
        <f>Emissions_Industry!Y102-SUM(Emissions_Industry!Y93:Y101)</f>
        <v>0</v>
      </c>
      <c r="Z1473">
        <f>Emissions_Industry!Z102-SUM(Emissions_Industry!Z93:Z101)</f>
        <v>0</v>
      </c>
      <c r="AA1473">
        <f>Emissions_Industry!AA102-SUM(Emissions_Industry!AA93:AA101)</f>
        <v>0</v>
      </c>
      <c r="AB1473">
        <f>Emissions_Industry!AB102-SUM(Emissions_Industry!AB93:AB101)</f>
        <v>0</v>
      </c>
      <c r="AC1473">
        <f>Emissions_Industry!AC102-SUM(Emissions_Industry!AC93:AC101)</f>
        <v>0</v>
      </c>
      <c r="AD1473">
        <f>Emissions_Industry!AD102-SUM(Emissions_Industry!AD93:AD101)</f>
        <v>0</v>
      </c>
      <c r="AE1473">
        <f>Emissions_Industry!AE102-SUM(Emissions_Industry!AE93:AE101)</f>
        <v>0</v>
      </c>
    </row>
    <row r="1474" spans="1:31" x14ac:dyDescent="0.45">
      <c r="A1474" t="s">
        <v>2053</v>
      </c>
      <c r="E1474" t="s">
        <v>1161</v>
      </c>
      <c r="F1474">
        <f>MAX(MAX(Data_EF!I4:I12),-MIN(Data_EF!I4:I12))</f>
        <v>0</v>
      </c>
      <c r="I1474">
        <v>0</v>
      </c>
    </row>
    <row r="1475" spans="1:31" x14ac:dyDescent="0.45">
      <c r="A1475" t="s">
        <v>2054</v>
      </c>
      <c r="B1475" t="s">
        <v>110</v>
      </c>
      <c r="C1475" t="s">
        <v>43</v>
      </c>
      <c r="D1475">
        <v>1</v>
      </c>
      <c r="E1475" t="s">
        <v>1159</v>
      </c>
      <c r="J1475" t="s">
        <v>2055</v>
      </c>
      <c r="L1475">
        <v>4.5303835184019583</v>
      </c>
      <c r="M1475">
        <v>3.8469033618625139</v>
      </c>
      <c r="N1475">
        <v>4.3290746208215127</v>
      </c>
      <c r="O1475">
        <v>4.5451606543511947</v>
      </c>
      <c r="P1475">
        <v>4.6606527233890924</v>
      </c>
      <c r="Q1475">
        <v>4.8330795942744276</v>
      </c>
      <c r="R1475">
        <v>5.0529306123252535</v>
      </c>
      <c r="S1475">
        <v>5.2667916999615318</v>
      </c>
      <c r="T1475">
        <v>5.4699790897750393</v>
      </c>
      <c r="U1475">
        <v>5.6771103604276592</v>
      </c>
      <c r="V1475">
        <v>5.8842858461533076</v>
      </c>
      <c r="W1475">
        <v>6.0960674143926372</v>
      </c>
      <c r="X1475">
        <v>6.3124466882788486</v>
      </c>
      <c r="Y1475">
        <v>6.533411878712708</v>
      </c>
      <c r="Z1475">
        <v>6.7589477212745397</v>
      </c>
      <c r="AA1475">
        <v>6.9890354050403474</v>
      </c>
      <c r="AB1475">
        <v>7.223652492772068</v>
      </c>
      <c r="AC1475">
        <v>7.4627728319721705</v>
      </c>
      <c r="AD1475">
        <v>7.7063664563130727</v>
      </c>
      <c r="AE1475">
        <v>7.9543994769708535</v>
      </c>
    </row>
    <row r="1476" spans="1:31" x14ac:dyDescent="0.45">
      <c r="A1476" t="s">
        <v>2056</v>
      </c>
      <c r="B1476" t="s">
        <v>110</v>
      </c>
      <c r="C1476" t="s">
        <v>43</v>
      </c>
      <c r="D1476">
        <v>1</v>
      </c>
      <c r="E1476" t="s">
        <v>1160</v>
      </c>
      <c r="L1476">
        <f>INDEX(Emissions_Industry!L:L,MATCH($A1476,Emissions_Industry!$H:$H,0))</f>
        <v>4.5303835184019645</v>
      </c>
      <c r="M1476">
        <f>INDEX(Emissions_Industry!M:M,MATCH($A1476,Emissions_Industry!$H:$H,0))</f>
        <v>3.8469033618625206</v>
      </c>
      <c r="N1476">
        <f>INDEX(Emissions_Industry!N:N,MATCH($A1476,Emissions_Industry!$H:$H,0))</f>
        <v>4.3290746208215198</v>
      </c>
      <c r="O1476">
        <f>INDEX(Emissions_Industry!O:O,MATCH($A1476,Emissions_Industry!$H:$H,0))</f>
        <v>4.5451606543512009</v>
      </c>
      <c r="P1476">
        <f>INDEX(Emissions_Industry!P:P,MATCH($A1476,Emissions_Industry!$H:$H,0))</f>
        <v>4.6606527233890995</v>
      </c>
      <c r="Q1476">
        <f>INDEX(Emissions_Industry!Q:Q,MATCH($A1476,Emissions_Industry!$H:$H,0))</f>
        <v>4.8330795942744347</v>
      </c>
      <c r="R1476">
        <f>INDEX(Emissions_Industry!R:R,MATCH($A1476,Emissions_Industry!$H:$H,0))</f>
        <v>5.0529306123252606</v>
      </c>
      <c r="S1476">
        <f>INDEX(Emissions_Industry!S:S,MATCH($A1476,Emissions_Industry!$H:$H,0))</f>
        <v>5.2667916999615381</v>
      </c>
      <c r="T1476">
        <f>INDEX(Emissions_Industry!T:T,MATCH($A1476,Emissions_Industry!$H:$H,0))</f>
        <v>5.4699790897750464</v>
      </c>
      <c r="U1476">
        <f>INDEX(Emissions_Industry!U:U,MATCH($A1476,Emissions_Industry!$H:$H,0))</f>
        <v>5.6771103604276671</v>
      </c>
      <c r="V1476">
        <f>INDEX(Emissions_Industry!V:V,MATCH($A1476,Emissions_Industry!$H:$H,0))</f>
        <v>5.8842858461533165</v>
      </c>
      <c r="W1476">
        <f>INDEX(Emissions_Industry!W:W,MATCH($A1476,Emissions_Industry!$H:$H,0))</f>
        <v>6.0960674143926461</v>
      </c>
      <c r="X1476">
        <f>INDEX(Emissions_Industry!X:X,MATCH($A1476,Emissions_Industry!$H:$H,0))</f>
        <v>6.3124466882788575</v>
      </c>
      <c r="Y1476">
        <f>INDEX(Emissions_Industry!Y:Y,MATCH($A1476,Emissions_Industry!$H:$H,0))</f>
        <v>6.5334118787127196</v>
      </c>
      <c r="Z1476">
        <f>INDEX(Emissions_Industry!Z:Z,MATCH($A1476,Emissions_Industry!$H:$H,0))</f>
        <v>6.7589477212745512</v>
      </c>
      <c r="AA1476">
        <f>INDEX(Emissions_Industry!AA:AA,MATCH($A1476,Emissions_Industry!$H:$H,0))</f>
        <v>6.9890354050403589</v>
      </c>
      <c r="AB1476">
        <f>INDEX(Emissions_Industry!AB:AB,MATCH($A1476,Emissions_Industry!$H:$H,0))</f>
        <v>7.2236524927720804</v>
      </c>
      <c r="AC1476">
        <f>INDEX(Emissions_Industry!AC:AC,MATCH($A1476,Emissions_Industry!$H:$H,0))</f>
        <v>7.4627728319721847</v>
      </c>
      <c r="AD1476">
        <f>INDEX(Emissions_Industry!AD:AD,MATCH($A1476,Emissions_Industry!$H:$H,0))</f>
        <v>7.7063664563130869</v>
      </c>
      <c r="AE1476">
        <f>INDEX(Emissions_Industry!AE:AE,MATCH($A1476,Emissions_Industry!$H:$H,0))</f>
        <v>7.9543994769708668</v>
      </c>
    </row>
    <row r="1477" spans="1:31" x14ac:dyDescent="0.45">
      <c r="A1477" t="s">
        <v>2056</v>
      </c>
      <c r="B1477" t="s">
        <v>110</v>
      </c>
      <c r="C1477" t="s">
        <v>43</v>
      </c>
      <c r="D1477">
        <v>1</v>
      </c>
      <c r="E1477" t="s">
        <v>1161</v>
      </c>
      <c r="F1477">
        <f>MAX(MAX(L1477:AE1477),-MIN(L1477:AE1477))</f>
        <v>1.4210854715202004E-14</v>
      </c>
      <c r="G1477" s="117">
        <f>IF(MAX(L1475:AE1475)=0,0,F1477/MAX(L1475:AE1475))</f>
        <v>1.7865402355444304E-15</v>
      </c>
      <c r="I1477">
        <v>0</v>
      </c>
      <c r="L1477">
        <f t="shared" ref="L1477:AE1477" si="355">L1476-L1475</f>
        <v>0</v>
      </c>
      <c r="M1477">
        <f t="shared" si="355"/>
        <v>6.6613381477509392E-15</v>
      </c>
      <c r="N1477">
        <f t="shared" si="355"/>
        <v>7.1054273576010019E-15</v>
      </c>
      <c r="O1477">
        <f t="shared" si="355"/>
        <v>0</v>
      </c>
      <c r="P1477">
        <f t="shared" si="355"/>
        <v>7.1054273576010019E-15</v>
      </c>
      <c r="Q1477">
        <f t="shared" si="355"/>
        <v>7.1054273576010019E-15</v>
      </c>
      <c r="R1477">
        <f t="shared" si="355"/>
        <v>7.1054273576010019E-15</v>
      </c>
      <c r="S1477">
        <f t="shared" si="355"/>
        <v>0</v>
      </c>
      <c r="T1477">
        <f t="shared" si="355"/>
        <v>7.1054273576010019E-15</v>
      </c>
      <c r="U1477">
        <f t="shared" si="355"/>
        <v>7.9936057773011271E-15</v>
      </c>
      <c r="V1477">
        <f t="shared" si="355"/>
        <v>8.8817841970012523E-15</v>
      </c>
      <c r="W1477">
        <f t="shared" si="355"/>
        <v>8.8817841970012523E-15</v>
      </c>
      <c r="X1477">
        <f t="shared" si="355"/>
        <v>8.8817841970012523E-15</v>
      </c>
      <c r="Y1477">
        <f t="shared" si="355"/>
        <v>1.1546319456101628E-14</v>
      </c>
      <c r="Z1477">
        <f t="shared" si="355"/>
        <v>1.1546319456101628E-14</v>
      </c>
      <c r="AA1477">
        <f t="shared" si="355"/>
        <v>1.1546319456101628E-14</v>
      </c>
      <c r="AB1477">
        <f t="shared" si="355"/>
        <v>1.2434497875801753E-14</v>
      </c>
      <c r="AC1477">
        <f t="shared" si="355"/>
        <v>1.4210854715202004E-14</v>
      </c>
      <c r="AD1477">
        <f t="shared" si="355"/>
        <v>1.4210854715202004E-14</v>
      </c>
      <c r="AE1477">
        <f t="shared" si="355"/>
        <v>1.3322676295501878E-14</v>
      </c>
    </row>
    <row r="1478" spans="1:31" x14ac:dyDescent="0.45">
      <c r="A1478" t="s">
        <v>2057</v>
      </c>
      <c r="B1478" t="s">
        <v>110</v>
      </c>
      <c r="C1478" t="s">
        <v>113</v>
      </c>
      <c r="D1478">
        <v>1</v>
      </c>
      <c r="E1478" t="s">
        <v>1159</v>
      </c>
      <c r="J1478" t="s">
        <v>2058</v>
      </c>
      <c r="L1478">
        <v>9.4893574461323063</v>
      </c>
      <c r="M1478">
        <v>7.8923978681734726</v>
      </c>
      <c r="N1478">
        <v>8.9740498980415797</v>
      </c>
      <c r="O1478">
        <v>9.6117389440758156</v>
      </c>
      <c r="P1478">
        <v>9.6255920185944603</v>
      </c>
      <c r="Q1478">
        <v>9.8610476555574493</v>
      </c>
      <c r="R1478">
        <v>10.224041222352259</v>
      </c>
      <c r="S1478">
        <v>10.577278178288619</v>
      </c>
      <c r="T1478">
        <v>10.913917324515172</v>
      </c>
      <c r="U1478">
        <v>11.25498088660003</v>
      </c>
      <c r="V1478">
        <v>11.572436051134586</v>
      </c>
      <c r="W1478">
        <v>11.894967219383657</v>
      </c>
      <c r="X1478">
        <v>12.222536887315176</v>
      </c>
      <c r="Y1478">
        <v>12.555104231742494</v>
      </c>
      <c r="Z1478">
        <v>12.892625020155878</v>
      </c>
      <c r="AA1478">
        <v>13.235051509488896</v>
      </c>
      <c r="AB1478">
        <v>13.582332333397817</v>
      </c>
      <c r="AC1478">
        <v>13.934412377644659</v>
      </c>
      <c r="AD1478">
        <v>14.291232643187334</v>
      </c>
      <c r="AE1478">
        <v>14.652730096591432</v>
      </c>
    </row>
    <row r="1479" spans="1:31" x14ac:dyDescent="0.45">
      <c r="A1479" t="s">
        <v>2059</v>
      </c>
      <c r="B1479" t="s">
        <v>110</v>
      </c>
      <c r="C1479" t="s">
        <v>113</v>
      </c>
      <c r="D1479">
        <v>1</v>
      </c>
      <c r="E1479" t="s">
        <v>1160</v>
      </c>
      <c r="L1479">
        <f>INDEX(Emissions_Industry!L:L,MATCH($A1479,Emissions_Industry!$H:$H,0))</f>
        <v>9.4893574461323063</v>
      </c>
      <c r="M1479">
        <f>INDEX(Emissions_Industry!M:M,MATCH($A1479,Emissions_Industry!$H:$H,0))</f>
        <v>7.892397868173477</v>
      </c>
      <c r="N1479">
        <f>INDEX(Emissions_Industry!N:N,MATCH($A1479,Emissions_Industry!$H:$H,0))</f>
        <v>8.974049898041585</v>
      </c>
      <c r="O1479">
        <f>INDEX(Emissions_Industry!O:O,MATCH($A1479,Emissions_Industry!$H:$H,0))</f>
        <v>9.6117389440758174</v>
      </c>
      <c r="P1479">
        <f>INDEX(Emissions_Industry!P:P,MATCH($A1479,Emissions_Industry!$H:$H,0))</f>
        <v>9.6255920185944621</v>
      </c>
      <c r="Q1479">
        <f>INDEX(Emissions_Industry!Q:Q,MATCH($A1479,Emissions_Industry!$H:$H,0))</f>
        <v>9.8610476555574511</v>
      </c>
      <c r="R1479">
        <f>INDEX(Emissions_Industry!R:R,MATCH($A1479,Emissions_Industry!$H:$H,0))</f>
        <v>10.224041222352259</v>
      </c>
      <c r="S1479">
        <f>INDEX(Emissions_Industry!S:S,MATCH($A1479,Emissions_Industry!$H:$H,0))</f>
        <v>10.577278178288619</v>
      </c>
      <c r="T1479">
        <f>INDEX(Emissions_Industry!T:T,MATCH($A1479,Emissions_Industry!$H:$H,0))</f>
        <v>10.913917324515168</v>
      </c>
      <c r="U1479">
        <f>INDEX(Emissions_Industry!U:U,MATCH($A1479,Emissions_Industry!$H:$H,0))</f>
        <v>11.254980886600027</v>
      </c>
      <c r="V1479">
        <f>INDEX(Emissions_Industry!V:V,MATCH($A1479,Emissions_Industry!$H:$H,0))</f>
        <v>11.572436051134584</v>
      </c>
      <c r="W1479">
        <f>INDEX(Emissions_Industry!W:W,MATCH($A1479,Emissions_Industry!$H:$H,0))</f>
        <v>11.894967219383652</v>
      </c>
      <c r="X1479">
        <f>INDEX(Emissions_Industry!X:X,MATCH($A1479,Emissions_Industry!$H:$H,0))</f>
        <v>12.222536887315171</v>
      </c>
      <c r="Y1479">
        <f>INDEX(Emissions_Industry!Y:Y,MATCH($A1479,Emissions_Industry!$H:$H,0))</f>
        <v>12.55510423174249</v>
      </c>
      <c r="Z1479">
        <f>INDEX(Emissions_Industry!Z:Z,MATCH($A1479,Emissions_Industry!$H:$H,0))</f>
        <v>12.892625020155874</v>
      </c>
      <c r="AA1479">
        <f>INDEX(Emissions_Industry!AA:AA,MATCH($A1479,Emissions_Industry!$H:$H,0))</f>
        <v>13.235051509488891</v>
      </c>
      <c r="AB1479">
        <f>INDEX(Emissions_Industry!AB:AB,MATCH($A1479,Emissions_Industry!$H:$H,0))</f>
        <v>13.582332333397812</v>
      </c>
      <c r="AC1479">
        <f>INDEX(Emissions_Industry!AC:AC,MATCH($A1479,Emissions_Industry!$H:$H,0))</f>
        <v>13.934412377644653</v>
      </c>
      <c r="AD1479">
        <f>INDEX(Emissions_Industry!AD:AD,MATCH($A1479,Emissions_Industry!$H:$H,0))</f>
        <v>14.291232643187328</v>
      </c>
      <c r="AE1479">
        <f>INDEX(Emissions_Industry!AE:AE,MATCH($A1479,Emissions_Industry!$H:$H,0))</f>
        <v>14.652730096591428</v>
      </c>
    </row>
    <row r="1480" spans="1:31" x14ac:dyDescent="0.45">
      <c r="A1480" t="s">
        <v>2059</v>
      </c>
      <c r="B1480" t="s">
        <v>110</v>
      </c>
      <c r="C1480" t="s">
        <v>113</v>
      </c>
      <c r="D1480">
        <v>1</v>
      </c>
      <c r="E1480" t="s">
        <v>1161</v>
      </c>
      <c r="F1480">
        <f>MAX(MAX(L1480:AE1480),-MIN(L1480:AE1480))</f>
        <v>0</v>
      </c>
      <c r="G1480" s="117">
        <f>IF(MAX(L1478:AE1478)=0,0,F1480/MAX(L1478:AE1478))</f>
        <v>0</v>
      </c>
      <c r="I1480">
        <v>0</v>
      </c>
      <c r="L1480">
        <f t="shared" ref="L1480:AE1480" si="356">L1479-L1478</f>
        <v>0</v>
      </c>
      <c r="M1480">
        <f t="shared" si="356"/>
        <v>0</v>
      </c>
      <c r="N1480">
        <f t="shared" si="356"/>
        <v>0</v>
      </c>
      <c r="O1480">
        <f t="shared" si="356"/>
        <v>0</v>
      </c>
      <c r="P1480">
        <f t="shared" si="356"/>
        <v>0</v>
      </c>
      <c r="Q1480">
        <f t="shared" si="356"/>
        <v>0</v>
      </c>
      <c r="R1480">
        <f t="shared" si="356"/>
        <v>0</v>
      </c>
      <c r="S1480">
        <f t="shared" si="356"/>
        <v>0</v>
      </c>
      <c r="T1480">
        <f t="shared" si="356"/>
        <v>0</v>
      </c>
      <c r="U1480">
        <f t="shared" si="356"/>
        <v>0</v>
      </c>
      <c r="V1480">
        <f t="shared" si="356"/>
        <v>0</v>
      </c>
      <c r="W1480">
        <f t="shared" si="356"/>
        <v>0</v>
      </c>
      <c r="X1480">
        <f t="shared" si="356"/>
        <v>0</v>
      </c>
      <c r="Y1480">
        <f t="shared" si="356"/>
        <v>0</v>
      </c>
      <c r="Z1480">
        <f t="shared" si="356"/>
        <v>0</v>
      </c>
      <c r="AA1480">
        <f t="shared" si="356"/>
        <v>0</v>
      </c>
      <c r="AB1480">
        <f t="shared" si="356"/>
        <v>0</v>
      </c>
      <c r="AC1480">
        <f t="shared" si="356"/>
        <v>0</v>
      </c>
      <c r="AD1480">
        <f t="shared" si="356"/>
        <v>0</v>
      </c>
      <c r="AE1480">
        <f t="shared" si="356"/>
        <v>0</v>
      </c>
    </row>
    <row r="1481" spans="1:31" x14ac:dyDescent="0.45">
      <c r="A1481" t="s">
        <v>2060</v>
      </c>
      <c r="B1481" t="s">
        <v>110</v>
      </c>
      <c r="C1481" t="s">
        <v>115</v>
      </c>
      <c r="D1481">
        <v>1</v>
      </c>
      <c r="E1481" t="s">
        <v>1159</v>
      </c>
      <c r="J1481" t="s">
        <v>2061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</row>
    <row r="1482" spans="1:31" x14ac:dyDescent="0.45">
      <c r="A1482" t="s">
        <v>2062</v>
      </c>
      <c r="B1482" t="s">
        <v>110</v>
      </c>
      <c r="C1482" t="s">
        <v>115</v>
      </c>
      <c r="D1482">
        <v>1</v>
      </c>
      <c r="E1482" t="s">
        <v>1160</v>
      </c>
      <c r="L1482">
        <f>INDEX(Emissions_Industry!L:L,MATCH($A1482,Emissions_Industry!$H:$H,0))</f>
        <v>0</v>
      </c>
      <c r="M1482">
        <f>INDEX(Emissions_Industry!M:M,MATCH($A1482,Emissions_Industry!$H:$H,0))</f>
        <v>0</v>
      </c>
      <c r="N1482">
        <f>INDEX(Emissions_Industry!N:N,MATCH($A1482,Emissions_Industry!$H:$H,0))</f>
        <v>0</v>
      </c>
      <c r="O1482">
        <f>INDEX(Emissions_Industry!O:O,MATCH($A1482,Emissions_Industry!$H:$H,0))</f>
        <v>0</v>
      </c>
      <c r="P1482">
        <f>INDEX(Emissions_Industry!P:P,MATCH($A1482,Emissions_Industry!$H:$H,0))</f>
        <v>0</v>
      </c>
      <c r="Q1482">
        <f>INDEX(Emissions_Industry!Q:Q,MATCH($A1482,Emissions_Industry!$H:$H,0))</f>
        <v>0</v>
      </c>
      <c r="R1482">
        <f>INDEX(Emissions_Industry!R:R,MATCH($A1482,Emissions_Industry!$H:$H,0))</f>
        <v>0</v>
      </c>
      <c r="S1482">
        <f>INDEX(Emissions_Industry!S:S,MATCH($A1482,Emissions_Industry!$H:$H,0))</f>
        <v>0</v>
      </c>
      <c r="T1482">
        <f>INDEX(Emissions_Industry!T:T,MATCH($A1482,Emissions_Industry!$H:$H,0))</f>
        <v>0</v>
      </c>
      <c r="U1482">
        <f>INDEX(Emissions_Industry!U:U,MATCH($A1482,Emissions_Industry!$H:$H,0))</f>
        <v>0</v>
      </c>
      <c r="V1482">
        <f>INDEX(Emissions_Industry!V:V,MATCH($A1482,Emissions_Industry!$H:$H,0))</f>
        <v>0</v>
      </c>
      <c r="W1482">
        <f>INDEX(Emissions_Industry!W:W,MATCH($A1482,Emissions_Industry!$H:$H,0))</f>
        <v>0</v>
      </c>
      <c r="X1482">
        <f>INDEX(Emissions_Industry!X:X,MATCH($A1482,Emissions_Industry!$H:$H,0))</f>
        <v>0</v>
      </c>
      <c r="Y1482">
        <f>INDEX(Emissions_Industry!Y:Y,MATCH($A1482,Emissions_Industry!$H:$H,0))</f>
        <v>0</v>
      </c>
      <c r="Z1482">
        <f>INDEX(Emissions_Industry!Z:Z,MATCH($A1482,Emissions_Industry!$H:$H,0))</f>
        <v>0</v>
      </c>
      <c r="AA1482">
        <f>INDEX(Emissions_Industry!AA:AA,MATCH($A1482,Emissions_Industry!$H:$H,0))</f>
        <v>0</v>
      </c>
      <c r="AB1482">
        <f>INDEX(Emissions_Industry!AB:AB,MATCH($A1482,Emissions_Industry!$H:$H,0))</f>
        <v>0</v>
      </c>
      <c r="AC1482">
        <f>INDEX(Emissions_Industry!AC:AC,MATCH($A1482,Emissions_Industry!$H:$H,0))</f>
        <v>0</v>
      </c>
      <c r="AD1482">
        <f>INDEX(Emissions_Industry!AD:AD,MATCH($A1482,Emissions_Industry!$H:$H,0))</f>
        <v>0</v>
      </c>
      <c r="AE1482">
        <f>INDEX(Emissions_Industry!AE:AE,MATCH($A1482,Emissions_Industry!$H:$H,0))</f>
        <v>0</v>
      </c>
    </row>
    <row r="1483" spans="1:31" x14ac:dyDescent="0.45">
      <c r="A1483" t="s">
        <v>2062</v>
      </c>
      <c r="B1483" t="s">
        <v>110</v>
      </c>
      <c r="C1483" t="s">
        <v>115</v>
      </c>
      <c r="D1483">
        <v>1</v>
      </c>
      <c r="E1483" t="s">
        <v>1161</v>
      </c>
      <c r="F1483">
        <f>MAX(MAX(L1483:AE1483),-MIN(L1483:AE1483))</f>
        <v>0</v>
      </c>
      <c r="G1483" s="117">
        <f>IF(MAX(L1481:AE1481)=0,0,F1483/MAX(L1481:AE1481))</f>
        <v>0</v>
      </c>
      <c r="I1483">
        <v>0</v>
      </c>
      <c r="L1483">
        <f t="shared" ref="L1483:AE1483" si="357">L1482-L1481</f>
        <v>0</v>
      </c>
      <c r="M1483">
        <f t="shared" si="357"/>
        <v>0</v>
      </c>
      <c r="N1483">
        <f t="shared" si="357"/>
        <v>0</v>
      </c>
      <c r="O1483">
        <f t="shared" si="357"/>
        <v>0</v>
      </c>
      <c r="P1483">
        <f t="shared" si="357"/>
        <v>0</v>
      </c>
      <c r="Q1483">
        <f t="shared" si="357"/>
        <v>0</v>
      </c>
      <c r="R1483">
        <f t="shared" si="357"/>
        <v>0</v>
      </c>
      <c r="S1483">
        <f t="shared" si="357"/>
        <v>0</v>
      </c>
      <c r="T1483">
        <f t="shared" si="357"/>
        <v>0</v>
      </c>
      <c r="U1483">
        <f t="shared" si="357"/>
        <v>0</v>
      </c>
      <c r="V1483">
        <f t="shared" si="357"/>
        <v>0</v>
      </c>
      <c r="W1483">
        <f t="shared" si="357"/>
        <v>0</v>
      </c>
      <c r="X1483">
        <f t="shared" si="357"/>
        <v>0</v>
      </c>
      <c r="Y1483">
        <f t="shared" si="357"/>
        <v>0</v>
      </c>
      <c r="Z1483">
        <f t="shared" si="357"/>
        <v>0</v>
      </c>
      <c r="AA1483">
        <f t="shared" si="357"/>
        <v>0</v>
      </c>
      <c r="AB1483">
        <f t="shared" si="357"/>
        <v>0</v>
      </c>
      <c r="AC1483">
        <f t="shared" si="357"/>
        <v>0</v>
      </c>
      <c r="AD1483">
        <f t="shared" si="357"/>
        <v>0</v>
      </c>
      <c r="AE1483">
        <f t="shared" si="357"/>
        <v>0</v>
      </c>
    </row>
    <row r="1484" spans="1:31" x14ac:dyDescent="0.45">
      <c r="A1484" t="s">
        <v>2063</v>
      </c>
      <c r="B1484" t="s">
        <v>110</v>
      </c>
      <c r="C1484" t="s">
        <v>117</v>
      </c>
      <c r="D1484">
        <v>1</v>
      </c>
      <c r="E1484" t="s">
        <v>1159</v>
      </c>
      <c r="J1484" t="s">
        <v>2064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</row>
    <row r="1485" spans="1:31" x14ac:dyDescent="0.45">
      <c r="A1485" t="s">
        <v>2065</v>
      </c>
      <c r="B1485" t="s">
        <v>110</v>
      </c>
      <c r="C1485" t="s">
        <v>117</v>
      </c>
      <c r="D1485">
        <v>1</v>
      </c>
      <c r="E1485" t="s">
        <v>1160</v>
      </c>
      <c r="L1485">
        <f>INDEX(Emissions_Industry!L:L,MATCH($A1485,Emissions_Industry!$H:$H,0))</f>
        <v>0</v>
      </c>
      <c r="M1485">
        <f>INDEX(Emissions_Industry!M:M,MATCH($A1485,Emissions_Industry!$H:$H,0))</f>
        <v>0</v>
      </c>
      <c r="N1485">
        <f>INDEX(Emissions_Industry!N:N,MATCH($A1485,Emissions_Industry!$H:$H,0))</f>
        <v>0</v>
      </c>
      <c r="O1485">
        <f>INDEX(Emissions_Industry!O:O,MATCH($A1485,Emissions_Industry!$H:$H,0))</f>
        <v>0</v>
      </c>
      <c r="P1485">
        <f>INDEX(Emissions_Industry!P:P,MATCH($A1485,Emissions_Industry!$H:$H,0))</f>
        <v>0</v>
      </c>
      <c r="Q1485">
        <f>INDEX(Emissions_Industry!Q:Q,MATCH($A1485,Emissions_Industry!$H:$H,0))</f>
        <v>0</v>
      </c>
      <c r="R1485">
        <f>INDEX(Emissions_Industry!R:R,MATCH($A1485,Emissions_Industry!$H:$H,0))</f>
        <v>0</v>
      </c>
      <c r="S1485">
        <f>INDEX(Emissions_Industry!S:S,MATCH($A1485,Emissions_Industry!$H:$H,0))</f>
        <v>0</v>
      </c>
      <c r="T1485">
        <f>INDEX(Emissions_Industry!T:T,MATCH($A1485,Emissions_Industry!$H:$H,0))</f>
        <v>0</v>
      </c>
      <c r="U1485">
        <f>INDEX(Emissions_Industry!U:U,MATCH($A1485,Emissions_Industry!$H:$H,0))</f>
        <v>0</v>
      </c>
      <c r="V1485">
        <f>INDEX(Emissions_Industry!V:V,MATCH($A1485,Emissions_Industry!$H:$H,0))</f>
        <v>0</v>
      </c>
      <c r="W1485">
        <f>INDEX(Emissions_Industry!W:W,MATCH($A1485,Emissions_Industry!$H:$H,0))</f>
        <v>0</v>
      </c>
      <c r="X1485">
        <f>INDEX(Emissions_Industry!X:X,MATCH($A1485,Emissions_Industry!$H:$H,0))</f>
        <v>0</v>
      </c>
      <c r="Y1485">
        <f>INDEX(Emissions_Industry!Y:Y,MATCH($A1485,Emissions_Industry!$H:$H,0))</f>
        <v>0</v>
      </c>
      <c r="Z1485">
        <f>INDEX(Emissions_Industry!Z:Z,MATCH($A1485,Emissions_Industry!$H:$H,0))</f>
        <v>0</v>
      </c>
      <c r="AA1485">
        <f>INDEX(Emissions_Industry!AA:AA,MATCH($A1485,Emissions_Industry!$H:$H,0))</f>
        <v>0</v>
      </c>
      <c r="AB1485">
        <f>INDEX(Emissions_Industry!AB:AB,MATCH($A1485,Emissions_Industry!$H:$H,0))</f>
        <v>0</v>
      </c>
      <c r="AC1485">
        <f>INDEX(Emissions_Industry!AC:AC,MATCH($A1485,Emissions_Industry!$H:$H,0))</f>
        <v>0</v>
      </c>
      <c r="AD1485">
        <f>INDEX(Emissions_Industry!AD:AD,MATCH($A1485,Emissions_Industry!$H:$H,0))</f>
        <v>0</v>
      </c>
      <c r="AE1485">
        <f>INDEX(Emissions_Industry!AE:AE,MATCH($A1485,Emissions_Industry!$H:$H,0))</f>
        <v>0</v>
      </c>
    </row>
    <row r="1486" spans="1:31" x14ac:dyDescent="0.45">
      <c r="A1486" t="s">
        <v>2065</v>
      </c>
      <c r="B1486" t="s">
        <v>110</v>
      </c>
      <c r="C1486" t="s">
        <v>117</v>
      </c>
      <c r="D1486">
        <v>1</v>
      </c>
      <c r="E1486" t="s">
        <v>1161</v>
      </c>
      <c r="F1486">
        <f>MAX(MAX(L1486:AE1486),-MIN(L1486:AE1486))</f>
        <v>0</v>
      </c>
      <c r="G1486" s="117">
        <f>IF(MAX(L1484:AE1484)=0,0,F1486/MAX(L1484:AE1484))</f>
        <v>0</v>
      </c>
      <c r="I1486">
        <v>0</v>
      </c>
      <c r="L1486">
        <f t="shared" ref="L1486:AE1486" si="358">L1485-L1484</f>
        <v>0</v>
      </c>
      <c r="M1486">
        <f t="shared" si="358"/>
        <v>0</v>
      </c>
      <c r="N1486">
        <f t="shared" si="358"/>
        <v>0</v>
      </c>
      <c r="O1486">
        <f t="shared" si="358"/>
        <v>0</v>
      </c>
      <c r="P1486">
        <f t="shared" si="358"/>
        <v>0</v>
      </c>
      <c r="Q1486">
        <f t="shared" si="358"/>
        <v>0</v>
      </c>
      <c r="R1486">
        <f t="shared" si="358"/>
        <v>0</v>
      </c>
      <c r="S1486">
        <f t="shared" si="358"/>
        <v>0</v>
      </c>
      <c r="T1486">
        <f t="shared" si="358"/>
        <v>0</v>
      </c>
      <c r="U1486">
        <f t="shared" si="358"/>
        <v>0</v>
      </c>
      <c r="V1486">
        <f t="shared" si="358"/>
        <v>0</v>
      </c>
      <c r="W1486">
        <f t="shared" si="358"/>
        <v>0</v>
      </c>
      <c r="X1486">
        <f t="shared" si="358"/>
        <v>0</v>
      </c>
      <c r="Y1486">
        <f t="shared" si="358"/>
        <v>0</v>
      </c>
      <c r="Z1486">
        <f t="shared" si="358"/>
        <v>0</v>
      </c>
      <c r="AA1486">
        <f t="shared" si="358"/>
        <v>0</v>
      </c>
      <c r="AB1486">
        <f t="shared" si="358"/>
        <v>0</v>
      </c>
      <c r="AC1486">
        <f t="shared" si="358"/>
        <v>0</v>
      </c>
      <c r="AD1486">
        <f t="shared" si="358"/>
        <v>0</v>
      </c>
      <c r="AE1486">
        <f t="shared" si="358"/>
        <v>0</v>
      </c>
    </row>
    <row r="1487" spans="1:31" x14ac:dyDescent="0.45">
      <c r="A1487" t="s">
        <v>2066</v>
      </c>
      <c r="D1487">
        <v>2</v>
      </c>
      <c r="E1487" t="s">
        <v>2067</v>
      </c>
      <c r="F1487">
        <f>SUM(L1487:AE1487)</f>
        <v>0</v>
      </c>
      <c r="I1487">
        <v>0</v>
      </c>
      <c r="L1487">
        <f>SUMPRODUCT((Emissions_Industry!L57:L65&gt;Emissions_Industry!L6:L14+0.000000001)*(Mitigation_Industry!L645&gt;0))</f>
        <v>0</v>
      </c>
      <c r="M1487">
        <f>SUMPRODUCT((Emissions_Industry!M57:M65&gt;Emissions_Industry!M6:M14+0.000000001)*(Mitigation_Industry!M645&gt;0))</f>
        <v>0</v>
      </c>
      <c r="N1487">
        <f>SUMPRODUCT((Emissions_Industry!N57:N65&gt;Emissions_Industry!N6:N14+0.000000001)*(Mitigation_Industry!N645&gt;0))</f>
        <v>0</v>
      </c>
      <c r="O1487">
        <f>SUMPRODUCT((Emissions_Industry!O57:O65&gt;Emissions_Industry!O6:O14+0.000000001)*(Mitigation_Industry!O645&gt;0))</f>
        <v>0</v>
      </c>
      <c r="P1487">
        <f>SUMPRODUCT((Emissions_Industry!P57:P65&gt;Emissions_Industry!P6:P14+0.000000001)*(Mitigation_Industry!P645&gt;0))</f>
        <v>0</v>
      </c>
      <c r="Q1487">
        <f>SUMPRODUCT((Emissions_Industry!Q57:Q65&gt;Emissions_Industry!Q6:Q14+0.000000001)*(Mitigation_Industry!Q645&gt;0))</f>
        <v>0</v>
      </c>
      <c r="R1487">
        <f>SUMPRODUCT((Emissions_Industry!R57:R65&gt;Emissions_Industry!R6:R14+0.000000001)*(Mitigation_Industry!R645&gt;0))</f>
        <v>0</v>
      </c>
      <c r="S1487">
        <f>SUMPRODUCT((Emissions_Industry!S57:S65&gt;Emissions_Industry!S6:S14+0.000000001)*(Mitigation_Industry!S645&gt;0))</f>
        <v>0</v>
      </c>
      <c r="T1487">
        <f>SUMPRODUCT((Emissions_Industry!T57:T65&gt;Emissions_Industry!T6:T14+0.000000001)*(Mitigation_Industry!T645&gt;0))</f>
        <v>0</v>
      </c>
      <c r="U1487">
        <f>SUMPRODUCT((Emissions_Industry!U57:U65&gt;Emissions_Industry!U6:U14+0.000000001)*(Mitigation_Industry!U645&gt;0))</f>
        <v>0</v>
      </c>
      <c r="V1487">
        <f>SUMPRODUCT((Emissions_Industry!V57:V65&gt;Emissions_Industry!V6:V14+0.000000001)*(Mitigation_Industry!V645&gt;0))</f>
        <v>0</v>
      </c>
      <c r="W1487">
        <f>SUMPRODUCT((Emissions_Industry!W57:W65&gt;Emissions_Industry!W6:W14+0.000000001)*(Mitigation_Industry!W645&gt;0))</f>
        <v>0</v>
      </c>
      <c r="X1487">
        <f>SUMPRODUCT((Emissions_Industry!X57:X65&gt;Emissions_Industry!X6:X14+0.000000001)*(Mitigation_Industry!X645&gt;0))</f>
        <v>0</v>
      </c>
      <c r="Y1487">
        <f>SUMPRODUCT((Emissions_Industry!Y57:Y65&gt;Emissions_Industry!Y6:Y14+0.000000001)*(Mitigation_Industry!Y645&gt;0))</f>
        <v>0</v>
      </c>
      <c r="Z1487">
        <f>SUMPRODUCT((Emissions_Industry!Z57:Z65&gt;Emissions_Industry!Z6:Z14+0.000000001)*(Mitigation_Industry!Z645&gt;0))</f>
        <v>0</v>
      </c>
      <c r="AA1487">
        <f>SUMPRODUCT((Emissions_Industry!AA57:AA65&gt;Emissions_Industry!AA6:AA14+0.000000001)*(Mitigation_Industry!AA645&gt;0))</f>
        <v>0</v>
      </c>
      <c r="AB1487">
        <f>SUMPRODUCT((Emissions_Industry!AB57:AB65&gt;Emissions_Industry!AB6:AB14+0.000000001)*(Mitigation_Industry!AB645&gt;0))</f>
        <v>0</v>
      </c>
      <c r="AC1487">
        <f>SUMPRODUCT((Emissions_Industry!AC57:AC65&gt;Emissions_Industry!AC6:AC14+0.000000001)*(Mitigation_Industry!AC645&gt;0))</f>
        <v>0</v>
      </c>
      <c r="AD1487">
        <f>SUMPRODUCT((Emissions_Industry!AD57:AD65&gt;Emissions_Industry!AD6:AD14+0.000000001)*(Mitigation_Industry!AD645&gt;0))</f>
        <v>0</v>
      </c>
      <c r="AE1487">
        <f>SUMPRODUCT((Emissions_Industry!AE57:AE65&gt;Emissions_Industry!AE6:AE14+0.000000001)*(Mitigation_Industry!AE645&gt;0))</f>
        <v>0</v>
      </c>
    </row>
    <row r="1488" spans="1:31" x14ac:dyDescent="0.45">
      <c r="A1488" t="s">
        <v>2068</v>
      </c>
      <c r="D1488">
        <v>2</v>
      </c>
      <c r="E1488" t="s">
        <v>2067</v>
      </c>
      <c r="F1488">
        <f>SUM(L1488:AE1488)</f>
        <v>0</v>
      </c>
      <c r="I1488">
        <v>0</v>
      </c>
      <c r="L1488">
        <f>SUMPRODUCT((Emissions_Industry!L69:L77&gt;Emissions_Industry!L18:L26+0.000000001)*(Mitigation_Industry!L645&gt;0))</f>
        <v>0</v>
      </c>
      <c r="M1488">
        <f>SUMPRODUCT((Emissions_Industry!M69:M77&gt;Emissions_Industry!M18:M26+0.000000001)*(Mitigation_Industry!M645&gt;0))</f>
        <v>0</v>
      </c>
      <c r="N1488">
        <f>SUMPRODUCT((Emissions_Industry!N69:N77&gt;Emissions_Industry!N18:N26+0.000000001)*(Mitigation_Industry!N645&gt;0))</f>
        <v>0</v>
      </c>
      <c r="O1488">
        <f>SUMPRODUCT((Emissions_Industry!O69:O77&gt;Emissions_Industry!O18:O26+0.000000001)*(Mitigation_Industry!O645&gt;0))</f>
        <v>0</v>
      </c>
      <c r="P1488">
        <f>SUMPRODUCT((Emissions_Industry!P69:P77&gt;Emissions_Industry!P18:P26+0.000000001)*(Mitigation_Industry!P645&gt;0))</f>
        <v>0</v>
      </c>
      <c r="Q1488">
        <f>SUMPRODUCT((Emissions_Industry!Q69:Q77&gt;Emissions_Industry!Q18:Q26+0.000000001)*(Mitigation_Industry!Q645&gt;0))</f>
        <v>0</v>
      </c>
      <c r="R1488">
        <f>SUMPRODUCT((Emissions_Industry!R69:R77&gt;Emissions_Industry!R18:R26+0.000000001)*(Mitigation_Industry!R645&gt;0))</f>
        <v>0</v>
      </c>
      <c r="S1488">
        <f>SUMPRODUCT((Emissions_Industry!S69:S77&gt;Emissions_Industry!S18:S26+0.000000001)*(Mitigation_Industry!S645&gt;0))</f>
        <v>0</v>
      </c>
      <c r="T1488">
        <f>SUMPRODUCT((Emissions_Industry!T69:T77&gt;Emissions_Industry!T18:T26+0.000000001)*(Mitigation_Industry!T645&gt;0))</f>
        <v>0</v>
      </c>
      <c r="U1488">
        <f>SUMPRODUCT((Emissions_Industry!U69:U77&gt;Emissions_Industry!U18:U26+0.000000001)*(Mitigation_Industry!U645&gt;0))</f>
        <v>0</v>
      </c>
      <c r="V1488">
        <f>SUMPRODUCT((Emissions_Industry!V69:V77&gt;Emissions_Industry!V18:V26+0.000000001)*(Mitigation_Industry!V645&gt;0))</f>
        <v>0</v>
      </c>
      <c r="W1488">
        <f>SUMPRODUCT((Emissions_Industry!W69:W77&gt;Emissions_Industry!W18:W26+0.000000001)*(Mitigation_Industry!W645&gt;0))</f>
        <v>0</v>
      </c>
      <c r="X1488">
        <f>SUMPRODUCT((Emissions_Industry!X69:X77&gt;Emissions_Industry!X18:X26+0.000000001)*(Mitigation_Industry!X645&gt;0))</f>
        <v>0</v>
      </c>
      <c r="Y1488">
        <f>SUMPRODUCT((Emissions_Industry!Y69:Y77&gt;Emissions_Industry!Y18:Y26+0.000000001)*(Mitigation_Industry!Y645&gt;0))</f>
        <v>0</v>
      </c>
      <c r="Z1488">
        <f>SUMPRODUCT((Emissions_Industry!Z69:Z77&gt;Emissions_Industry!Z18:Z26+0.000000001)*(Mitigation_Industry!Z645&gt;0))</f>
        <v>0</v>
      </c>
      <c r="AA1488">
        <f>SUMPRODUCT((Emissions_Industry!AA69:AA77&gt;Emissions_Industry!AA18:AA26+0.000000001)*(Mitigation_Industry!AA645&gt;0))</f>
        <v>0</v>
      </c>
      <c r="AB1488">
        <f>SUMPRODUCT((Emissions_Industry!AB69:AB77&gt;Emissions_Industry!AB18:AB26+0.000000001)*(Mitigation_Industry!AB645&gt;0))</f>
        <v>0</v>
      </c>
      <c r="AC1488">
        <f>SUMPRODUCT((Emissions_Industry!AC69:AC77&gt;Emissions_Industry!AC18:AC26+0.000000001)*(Mitigation_Industry!AC645&gt;0))</f>
        <v>0</v>
      </c>
      <c r="AD1488">
        <f>SUMPRODUCT((Emissions_Industry!AD69:AD77&gt;Emissions_Industry!AD18:AD26+0.000000001)*(Mitigation_Industry!AD645&gt;0))</f>
        <v>0</v>
      </c>
      <c r="AE1488">
        <f>SUMPRODUCT((Emissions_Industry!AE69:AE77&gt;Emissions_Industry!AE18:AE26+0.000000001)*(Mitigation_Industry!AE645&gt;0))</f>
        <v>0</v>
      </c>
    </row>
    <row r="1489" spans="1:35" x14ac:dyDescent="0.45">
      <c r="A1489" t="s">
        <v>2069</v>
      </c>
      <c r="D1489">
        <v>2</v>
      </c>
      <c r="E1489" t="s">
        <v>2067</v>
      </c>
      <c r="F1489">
        <f>SUM(L1489:AE1489)</f>
        <v>0</v>
      </c>
      <c r="I1489">
        <v>0</v>
      </c>
      <c r="L1489">
        <f>SUMPRODUCT((Emissions_Industry!L81:L89&gt;Emissions_Industry!L30:L38+0.000000001)*(Mitigation_Industry!L645&gt;0))</f>
        <v>0</v>
      </c>
      <c r="M1489">
        <f>SUMPRODUCT((Emissions_Industry!M81:M89&gt;Emissions_Industry!M30:M38+0.000000001)*(Mitigation_Industry!M645&gt;0))</f>
        <v>0</v>
      </c>
      <c r="N1489">
        <f>SUMPRODUCT((Emissions_Industry!N81:N89&gt;Emissions_Industry!N30:N38+0.000000001)*(Mitigation_Industry!N645&gt;0))</f>
        <v>0</v>
      </c>
      <c r="O1489">
        <f>SUMPRODUCT((Emissions_Industry!O81:O89&gt;Emissions_Industry!O30:O38+0.000000001)*(Mitigation_Industry!O645&gt;0))</f>
        <v>0</v>
      </c>
      <c r="P1489">
        <f>SUMPRODUCT((Emissions_Industry!P81:P89&gt;Emissions_Industry!P30:P38+0.000000001)*(Mitigation_Industry!P645&gt;0))</f>
        <v>0</v>
      </c>
      <c r="Q1489">
        <f>SUMPRODUCT((Emissions_Industry!Q81:Q89&gt;Emissions_Industry!Q30:Q38+0.000000001)*(Mitigation_Industry!Q645&gt;0))</f>
        <v>0</v>
      </c>
      <c r="R1489">
        <f>SUMPRODUCT((Emissions_Industry!R81:R89&gt;Emissions_Industry!R30:R38+0.000000001)*(Mitigation_Industry!R645&gt;0))</f>
        <v>0</v>
      </c>
      <c r="S1489">
        <f>SUMPRODUCT((Emissions_Industry!S81:S89&gt;Emissions_Industry!S30:S38+0.000000001)*(Mitigation_Industry!S645&gt;0))</f>
        <v>0</v>
      </c>
      <c r="T1489">
        <f>SUMPRODUCT((Emissions_Industry!T81:T89&gt;Emissions_Industry!T30:T38+0.000000001)*(Mitigation_Industry!T645&gt;0))</f>
        <v>0</v>
      </c>
      <c r="U1489">
        <f>SUMPRODUCT((Emissions_Industry!U81:U89&gt;Emissions_Industry!U30:U38+0.000000001)*(Mitigation_Industry!U645&gt;0))</f>
        <v>0</v>
      </c>
      <c r="V1489">
        <f>SUMPRODUCT((Emissions_Industry!V81:V89&gt;Emissions_Industry!V30:V38+0.000000001)*(Mitigation_Industry!V645&gt;0))</f>
        <v>0</v>
      </c>
      <c r="W1489">
        <f>SUMPRODUCT((Emissions_Industry!W81:W89&gt;Emissions_Industry!W30:W38+0.000000001)*(Mitigation_Industry!W645&gt;0))</f>
        <v>0</v>
      </c>
      <c r="X1489">
        <f>SUMPRODUCT((Emissions_Industry!X81:X89&gt;Emissions_Industry!X30:X38+0.000000001)*(Mitigation_Industry!X645&gt;0))</f>
        <v>0</v>
      </c>
      <c r="Y1489">
        <f>SUMPRODUCT((Emissions_Industry!Y81:Y89&gt;Emissions_Industry!Y30:Y38+0.000000001)*(Mitigation_Industry!Y645&gt;0))</f>
        <v>0</v>
      </c>
      <c r="Z1489">
        <f>SUMPRODUCT((Emissions_Industry!Z81:Z89&gt;Emissions_Industry!Z30:Z38+0.000000001)*(Mitigation_Industry!Z645&gt;0))</f>
        <v>0</v>
      </c>
      <c r="AA1489">
        <f>SUMPRODUCT((Emissions_Industry!AA81:AA89&gt;Emissions_Industry!AA30:AA38+0.000000001)*(Mitigation_Industry!AA645&gt;0))</f>
        <v>0</v>
      </c>
      <c r="AB1489">
        <f>SUMPRODUCT((Emissions_Industry!AB81:AB89&gt;Emissions_Industry!AB30:AB38+0.000000001)*(Mitigation_Industry!AB645&gt;0))</f>
        <v>0</v>
      </c>
      <c r="AC1489">
        <f>SUMPRODUCT((Emissions_Industry!AC81:AC89&gt;Emissions_Industry!AC30:AC38+0.000000001)*(Mitigation_Industry!AC645&gt;0))</f>
        <v>0</v>
      </c>
      <c r="AD1489">
        <f>SUMPRODUCT((Emissions_Industry!AD81:AD89&gt;Emissions_Industry!AD30:AD38+0.000000001)*(Mitigation_Industry!AD645&gt;0))</f>
        <v>0</v>
      </c>
      <c r="AE1489">
        <f>SUMPRODUCT((Emissions_Industry!AE81:AE89&gt;Emissions_Industry!AE30:AE38+0.000000001)*(Mitigation_Industry!AE645&gt;0))</f>
        <v>0</v>
      </c>
    </row>
    <row r="1490" spans="1:35" x14ac:dyDescent="0.45">
      <c r="A1490" t="s">
        <v>2070</v>
      </c>
      <c r="D1490">
        <v>2</v>
      </c>
      <c r="E1490" t="s">
        <v>2067</v>
      </c>
      <c r="F1490">
        <f>SUM(L1490:AE1490)</f>
        <v>0</v>
      </c>
      <c r="I1490">
        <v>0</v>
      </c>
      <c r="L1490">
        <f>SUMPRODUCT((Emissions_Industry!L93:L101&gt;Emissions_Industry!L42:L50+0.000000001)*(Mitigation_Industry!L645&gt;0))</f>
        <v>0</v>
      </c>
      <c r="M1490">
        <f>SUMPRODUCT((Emissions_Industry!M93:M101&gt;Emissions_Industry!M42:M50+0.000000001)*(Mitigation_Industry!M645&gt;0))</f>
        <v>0</v>
      </c>
      <c r="N1490">
        <f>SUMPRODUCT((Emissions_Industry!N93:N101&gt;Emissions_Industry!N42:N50+0.000000001)*(Mitigation_Industry!N645&gt;0))</f>
        <v>0</v>
      </c>
      <c r="O1490">
        <f>SUMPRODUCT((Emissions_Industry!O93:O101&gt;Emissions_Industry!O42:O50+0.000000001)*(Mitigation_Industry!O645&gt;0))</f>
        <v>0</v>
      </c>
      <c r="P1490">
        <f>SUMPRODUCT((Emissions_Industry!P93:P101&gt;Emissions_Industry!P42:P50+0.000000001)*(Mitigation_Industry!P645&gt;0))</f>
        <v>0</v>
      </c>
      <c r="Q1490">
        <f>SUMPRODUCT((Emissions_Industry!Q93:Q101&gt;Emissions_Industry!Q42:Q50+0.000000001)*(Mitigation_Industry!Q645&gt;0))</f>
        <v>0</v>
      </c>
      <c r="R1490">
        <f>SUMPRODUCT((Emissions_Industry!R93:R101&gt;Emissions_Industry!R42:R50+0.000000001)*(Mitigation_Industry!R645&gt;0))</f>
        <v>0</v>
      </c>
      <c r="S1490">
        <f>SUMPRODUCT((Emissions_Industry!S93:S101&gt;Emissions_Industry!S42:S50+0.000000001)*(Mitigation_Industry!S645&gt;0))</f>
        <v>0</v>
      </c>
      <c r="T1490">
        <f>SUMPRODUCT((Emissions_Industry!T93:T101&gt;Emissions_Industry!T42:T50+0.000000001)*(Mitigation_Industry!T645&gt;0))</f>
        <v>0</v>
      </c>
      <c r="U1490">
        <f>SUMPRODUCT((Emissions_Industry!U93:U101&gt;Emissions_Industry!U42:U50+0.000000001)*(Mitigation_Industry!U645&gt;0))</f>
        <v>0</v>
      </c>
      <c r="V1490">
        <f>SUMPRODUCT((Emissions_Industry!V93:V101&gt;Emissions_Industry!V42:V50+0.000000001)*(Mitigation_Industry!V645&gt;0))</f>
        <v>0</v>
      </c>
      <c r="W1490">
        <f>SUMPRODUCT((Emissions_Industry!W93:W101&gt;Emissions_Industry!W42:W50+0.000000001)*(Mitigation_Industry!W645&gt;0))</f>
        <v>0</v>
      </c>
      <c r="X1490">
        <f>SUMPRODUCT((Emissions_Industry!X93:X101&gt;Emissions_Industry!X42:X50+0.000000001)*(Mitigation_Industry!X645&gt;0))</f>
        <v>0</v>
      </c>
      <c r="Y1490">
        <f>SUMPRODUCT((Emissions_Industry!Y93:Y101&gt;Emissions_Industry!Y42:Y50+0.000000001)*(Mitigation_Industry!Y645&gt;0))</f>
        <v>0</v>
      </c>
      <c r="Z1490">
        <f>SUMPRODUCT((Emissions_Industry!Z93:Z101&gt;Emissions_Industry!Z42:Z50+0.000000001)*(Mitigation_Industry!Z645&gt;0))</f>
        <v>0</v>
      </c>
      <c r="AA1490">
        <f>SUMPRODUCT((Emissions_Industry!AA93:AA101&gt;Emissions_Industry!AA42:AA50+0.000000001)*(Mitigation_Industry!AA645&gt;0))</f>
        <v>0</v>
      </c>
      <c r="AB1490">
        <f>SUMPRODUCT((Emissions_Industry!AB93:AB101&gt;Emissions_Industry!AB42:AB50+0.000000001)*(Mitigation_Industry!AB645&gt;0))</f>
        <v>0</v>
      </c>
      <c r="AC1490">
        <f>SUMPRODUCT((Emissions_Industry!AC93:AC101&gt;Emissions_Industry!AC42:AC50+0.000000001)*(Mitigation_Industry!AC645&gt;0))</f>
        <v>0</v>
      </c>
      <c r="AD1490">
        <f>SUMPRODUCT((Emissions_Industry!AD93:AD101&gt;Emissions_Industry!AD42:AD50+0.000000001)*(Mitigation_Industry!AD645&gt;0))</f>
        <v>0</v>
      </c>
      <c r="AE1490">
        <f>SUMPRODUCT((Emissions_Industry!AE93:AE101&gt;Emissions_Industry!AE42:AE50+0.000000001)*(Mitigation_Industry!AE645&gt;0))</f>
        <v>0</v>
      </c>
    </row>
    <row r="1492" spans="1:35" x14ac:dyDescent="0.45">
      <c r="A1492" t="s">
        <v>2072</v>
      </c>
    </row>
    <row r="1495" spans="1:35" x14ac:dyDescent="0.45">
      <c r="A1495" s="52" t="s">
        <v>2331</v>
      </c>
    </row>
    <row r="1496" spans="1:35" x14ac:dyDescent="0.45">
      <c r="A1496" t="s">
        <v>2440</v>
      </c>
      <c r="D1496" s="92">
        <f>MAX(F1498:F1533)</f>
        <v>2.8421709430404007E-14</v>
      </c>
      <c r="F1496" t="s">
        <v>2441</v>
      </c>
    </row>
    <row r="1497" spans="1:35" x14ac:dyDescent="0.45">
      <c r="A1497" s="50" t="s">
        <v>1505</v>
      </c>
      <c r="B1497" s="50"/>
      <c r="C1497" s="50"/>
      <c r="D1497" s="50" t="s">
        <v>47</v>
      </c>
      <c r="E1497" s="50" t="s">
        <v>1156</v>
      </c>
      <c r="F1497" s="50" t="s">
        <v>2332</v>
      </c>
      <c r="G1497" s="50"/>
      <c r="H1497" s="50"/>
      <c r="I1497" s="50" t="s">
        <v>1506</v>
      </c>
      <c r="J1497" s="50"/>
      <c r="K1497" s="50">
        <v>2021</v>
      </c>
      <c r="L1497" s="50">
        <v>2022</v>
      </c>
      <c r="M1497" s="50">
        <v>2023</v>
      </c>
      <c r="N1497" s="50">
        <v>2024</v>
      </c>
      <c r="O1497" s="50">
        <v>2025</v>
      </c>
      <c r="P1497" s="50">
        <v>2026</v>
      </c>
      <c r="Q1497" s="50">
        <v>2027</v>
      </c>
      <c r="R1497" s="50">
        <v>2028</v>
      </c>
      <c r="S1497" s="50">
        <v>2029</v>
      </c>
      <c r="T1497" s="50">
        <v>2030</v>
      </c>
      <c r="U1497" s="50">
        <v>2031</v>
      </c>
      <c r="V1497" s="50">
        <v>2032</v>
      </c>
      <c r="W1497" s="50">
        <v>2033</v>
      </c>
      <c r="X1497" s="50">
        <v>2034</v>
      </c>
      <c r="Y1497" s="50">
        <v>2035</v>
      </c>
      <c r="Z1497" s="50">
        <v>2036</v>
      </c>
      <c r="AA1497" s="50">
        <v>2037</v>
      </c>
      <c r="AB1497" s="50">
        <v>2038</v>
      </c>
      <c r="AC1497" s="50">
        <v>2039</v>
      </c>
      <c r="AD1497" s="50">
        <v>2040</v>
      </c>
      <c r="AE1497" s="50">
        <v>2041</v>
      </c>
      <c r="AF1497" s="50">
        <v>2042</v>
      </c>
      <c r="AG1497" s="50">
        <v>2043</v>
      </c>
      <c r="AH1497" s="50">
        <v>2044</v>
      </c>
      <c r="AI1497" s="50">
        <v>2045</v>
      </c>
    </row>
    <row r="1498" spans="1:35" x14ac:dyDescent="0.45">
      <c r="A1498" t="s">
        <v>2333</v>
      </c>
      <c r="D1498">
        <v>1</v>
      </c>
      <c r="E1498" t="s">
        <v>1161</v>
      </c>
      <c r="F1498">
        <f>MAX(MAX(L1498:AE1498),-MIN(L1498:AE1498))</f>
        <v>0</v>
      </c>
      <c r="I1498">
        <v>0</v>
      </c>
      <c r="L1498">
        <f>SUMPRODUCT(ABS(Rebate_Industry!L40:L47))*(Rebate_Industry!L6=0)</f>
        <v>0</v>
      </c>
      <c r="M1498">
        <f>SUMPRODUCT(ABS(Rebate_Industry!M40:M47))*(Rebate_Industry!M6=0)</f>
        <v>0</v>
      </c>
      <c r="N1498">
        <f>SUMPRODUCT(ABS(Rebate_Industry!N40:N47))*(Rebate_Industry!N6=0)</f>
        <v>0</v>
      </c>
      <c r="O1498">
        <f>SUMPRODUCT(ABS(Rebate_Industry!O40:O47))*(Rebate_Industry!O6=0)</f>
        <v>0</v>
      </c>
      <c r="P1498">
        <f>SUMPRODUCT(ABS(Rebate_Industry!P40:P47))*(Rebate_Industry!P6=0)</f>
        <v>0</v>
      </c>
      <c r="Q1498">
        <f>SUMPRODUCT(ABS(Rebate_Industry!Q40:Q47))*(Rebate_Industry!Q6=0)</f>
        <v>0</v>
      </c>
      <c r="R1498">
        <f>SUMPRODUCT(ABS(Rebate_Industry!R40:R47))*(Rebate_Industry!R6=0)</f>
        <v>0</v>
      </c>
      <c r="S1498">
        <f>SUMPRODUCT(ABS(Rebate_Industry!S40:S47))*(Rebate_Industry!S6=0)</f>
        <v>0</v>
      </c>
      <c r="T1498">
        <f>SUMPRODUCT(ABS(Rebate_Industry!T40:T47))*(Rebate_Industry!T6=0)</f>
        <v>0</v>
      </c>
      <c r="U1498">
        <f>SUMPRODUCT(ABS(Rebate_Industry!U40:U47))*(Rebate_Industry!U6=0)</f>
        <v>0</v>
      </c>
      <c r="V1498">
        <f>SUMPRODUCT(ABS(Rebate_Industry!V40:V47))*(Rebate_Industry!V6=0)</f>
        <v>0</v>
      </c>
      <c r="W1498">
        <f>SUMPRODUCT(ABS(Rebate_Industry!W40:W47))*(Rebate_Industry!W6=0)</f>
        <v>0</v>
      </c>
      <c r="X1498">
        <f>SUMPRODUCT(ABS(Rebate_Industry!X40:X47))*(Rebate_Industry!X6=0)</f>
        <v>0</v>
      </c>
      <c r="Y1498">
        <f>SUMPRODUCT(ABS(Rebate_Industry!Y40:Y47))*(Rebate_Industry!Y6=0)</f>
        <v>0</v>
      </c>
      <c r="Z1498">
        <f>SUMPRODUCT(ABS(Rebate_Industry!Z40:Z47))*(Rebate_Industry!Z6=0)</f>
        <v>0</v>
      </c>
      <c r="AA1498">
        <f>SUMPRODUCT(ABS(Rebate_Industry!AA40:AA47))*(Rebate_Industry!AA6=0)</f>
        <v>0</v>
      </c>
      <c r="AB1498">
        <f>SUMPRODUCT(ABS(Rebate_Industry!AB40:AB47))*(Rebate_Industry!AB6=0)</f>
        <v>0</v>
      </c>
      <c r="AC1498">
        <f>SUMPRODUCT(ABS(Rebate_Industry!AC40:AC47))*(Rebate_Industry!AC6=0)</f>
        <v>0</v>
      </c>
      <c r="AD1498">
        <f>SUMPRODUCT(ABS(Rebate_Industry!AD40:AD47))*(Rebate_Industry!AD6=0)</f>
        <v>0</v>
      </c>
      <c r="AE1498">
        <f>SUMPRODUCT(ABS(Rebate_Industry!AE40:AE47))*(Rebate_Industry!AE6=0)</f>
        <v>0</v>
      </c>
    </row>
    <row r="1499" spans="1:35" x14ac:dyDescent="0.45">
      <c r="A1499" t="s">
        <v>2334</v>
      </c>
      <c r="D1499">
        <v>1</v>
      </c>
      <c r="E1499" t="s">
        <v>2067</v>
      </c>
      <c r="F1499">
        <f t="shared" ref="F1499:F1504" si="359">SUM(L1499:AE1499)</f>
        <v>0</v>
      </c>
      <c r="I1499">
        <v>0</v>
      </c>
      <c r="L1499">
        <f>SUMPRODUCT((Rebate_Industry!L50:L57&lt;-0.000000001)+(Rebate_Industry!L50:L57&gt;Rebate_Industry!L20:L27+0.000000001))</f>
        <v>0</v>
      </c>
      <c r="M1499">
        <f>SUMPRODUCT((Rebate_Industry!M50:M57&lt;-0.000000001)+(Rebate_Industry!M50:M57&gt;Rebate_Industry!M20:M27+0.000000001))</f>
        <v>0</v>
      </c>
      <c r="N1499">
        <f>SUMPRODUCT((Rebate_Industry!N50:N57&lt;-0.000000001)+(Rebate_Industry!N50:N57&gt;Rebate_Industry!N20:N27+0.000000001))</f>
        <v>0</v>
      </c>
      <c r="O1499">
        <f>SUMPRODUCT((Rebate_Industry!O50:O57&lt;-0.000000001)+(Rebate_Industry!O50:O57&gt;Rebate_Industry!O20:O27+0.000000001))</f>
        <v>0</v>
      </c>
      <c r="P1499">
        <f>SUMPRODUCT((Rebate_Industry!P50:P57&lt;-0.000000001)+(Rebate_Industry!P50:P57&gt;Rebate_Industry!P20:P27+0.000000001))</f>
        <v>0</v>
      </c>
      <c r="Q1499">
        <f>SUMPRODUCT((Rebate_Industry!Q50:Q57&lt;-0.000000001)+(Rebate_Industry!Q50:Q57&gt;Rebate_Industry!Q20:Q27+0.000000001))</f>
        <v>0</v>
      </c>
      <c r="R1499">
        <f>SUMPRODUCT((Rebate_Industry!R50:R57&lt;-0.000000001)+(Rebate_Industry!R50:R57&gt;Rebate_Industry!R20:R27+0.000000001))</f>
        <v>0</v>
      </c>
      <c r="S1499">
        <f>SUMPRODUCT((Rebate_Industry!S50:S57&lt;-0.000000001)+(Rebate_Industry!S50:S57&gt;Rebate_Industry!S20:S27+0.000000001))</f>
        <v>0</v>
      </c>
      <c r="T1499">
        <f>SUMPRODUCT((Rebate_Industry!T50:T57&lt;-0.000000001)+(Rebate_Industry!T50:T57&gt;Rebate_Industry!T20:T27+0.000000001))</f>
        <v>0</v>
      </c>
      <c r="U1499">
        <f>SUMPRODUCT((Rebate_Industry!U50:U57&lt;-0.000000001)+(Rebate_Industry!U50:U57&gt;Rebate_Industry!U20:U27+0.000000001))</f>
        <v>0</v>
      </c>
      <c r="V1499">
        <f>SUMPRODUCT((Rebate_Industry!V50:V57&lt;-0.000000001)+(Rebate_Industry!V50:V57&gt;Rebate_Industry!V20:V27+0.000000001))</f>
        <v>0</v>
      </c>
      <c r="W1499">
        <f>SUMPRODUCT((Rebate_Industry!W50:W57&lt;-0.000000001)+(Rebate_Industry!W50:W57&gt;Rebate_Industry!W20:W27+0.000000001))</f>
        <v>0</v>
      </c>
      <c r="X1499">
        <f>SUMPRODUCT((Rebate_Industry!X50:X57&lt;-0.000000001)+(Rebate_Industry!X50:X57&gt;Rebate_Industry!X20:X27+0.000000001))</f>
        <v>0</v>
      </c>
      <c r="Y1499">
        <f>SUMPRODUCT((Rebate_Industry!Y50:Y57&lt;-0.000000001)+(Rebate_Industry!Y50:Y57&gt;Rebate_Industry!Y20:Y27+0.000000001))</f>
        <v>0</v>
      </c>
      <c r="Z1499">
        <f>SUMPRODUCT((Rebate_Industry!Z50:Z57&lt;-0.000000001)+(Rebate_Industry!Z50:Z57&gt;Rebate_Industry!Z20:Z27+0.000000001))</f>
        <v>0</v>
      </c>
      <c r="AA1499">
        <f>SUMPRODUCT((Rebate_Industry!AA50:AA57&lt;-0.000000001)+(Rebate_Industry!AA50:AA57&gt;Rebate_Industry!AA20:AA27+0.000000001))</f>
        <v>0</v>
      </c>
      <c r="AB1499">
        <f>SUMPRODUCT((Rebate_Industry!AB50:AB57&lt;-0.000000001)+(Rebate_Industry!AB50:AB57&gt;Rebate_Industry!AB20:AB27+0.000000001))</f>
        <v>0</v>
      </c>
      <c r="AC1499">
        <f>SUMPRODUCT((Rebate_Industry!AC50:AC57&lt;-0.000000001)+(Rebate_Industry!AC50:AC57&gt;Rebate_Industry!AC20:AC27+0.000000001))</f>
        <v>0</v>
      </c>
      <c r="AD1499">
        <f>SUMPRODUCT((Rebate_Industry!AD50:AD57&lt;-0.000000001)+(Rebate_Industry!AD50:AD57&gt;Rebate_Industry!AD20:AD27+0.000000001))</f>
        <v>0</v>
      </c>
      <c r="AE1499">
        <f>SUMPRODUCT((Rebate_Industry!AE50:AE57&lt;-0.000000001)+(Rebate_Industry!AE50:AE57&gt;Rebate_Industry!AE20:AE27+0.000000001))</f>
        <v>0</v>
      </c>
    </row>
    <row r="1500" spans="1:35" x14ac:dyDescent="0.45">
      <c r="A1500" t="s">
        <v>2335</v>
      </c>
      <c r="D1500">
        <v>1</v>
      </c>
      <c r="E1500" t="s">
        <v>2067</v>
      </c>
      <c r="F1500">
        <f t="shared" si="359"/>
        <v>0</v>
      </c>
      <c r="I1500">
        <v>0</v>
      </c>
      <c r="L1500">
        <f>SUMPRODUCT((Rebate_Industry!L84:L92&gt;Mitigation_Industry!L17:L25+0.000000001)+(Rebate_Industry!L84:L92&lt;Mitigation_Industry!L7:L15-0.000000001))</f>
        <v>0</v>
      </c>
      <c r="M1500">
        <f>SUMPRODUCT((Rebate_Industry!M84:M92&gt;Mitigation_Industry!M17:M25+0.000000001)+(Rebate_Industry!M84:M92&lt;Mitigation_Industry!M7:M15-0.000000001))</f>
        <v>0</v>
      </c>
      <c r="N1500">
        <f>SUMPRODUCT((Rebate_Industry!N84:N92&gt;Mitigation_Industry!N17:N25+0.000000001)+(Rebate_Industry!N84:N92&lt;Mitigation_Industry!N7:N15-0.000000001))</f>
        <v>0</v>
      </c>
      <c r="O1500">
        <f>SUMPRODUCT((Rebate_Industry!O84:O92&gt;Mitigation_Industry!O17:O25+0.000000001)+(Rebate_Industry!O84:O92&lt;Mitigation_Industry!O7:O15-0.000000001))</f>
        <v>0</v>
      </c>
      <c r="P1500">
        <f>SUMPRODUCT((Rebate_Industry!P84:P92&gt;Mitigation_Industry!P17:P25+0.000000001)+(Rebate_Industry!P84:P92&lt;Mitigation_Industry!P7:P15-0.000000001))</f>
        <v>0</v>
      </c>
      <c r="Q1500">
        <f>SUMPRODUCT((Rebate_Industry!Q84:Q92&gt;Mitigation_Industry!Q17:Q25+0.000000001)+(Rebate_Industry!Q84:Q92&lt;Mitigation_Industry!Q7:Q15-0.000000001))</f>
        <v>0</v>
      </c>
      <c r="R1500">
        <f>SUMPRODUCT((Rebate_Industry!R84:R92&gt;Mitigation_Industry!R17:R25+0.000000001)+(Rebate_Industry!R84:R92&lt;Mitigation_Industry!R7:R15-0.000000001))</f>
        <v>0</v>
      </c>
      <c r="S1500">
        <f>SUMPRODUCT((Rebate_Industry!S84:S92&gt;Mitigation_Industry!S17:S25+0.000000001)+(Rebate_Industry!S84:S92&lt;Mitigation_Industry!S7:S15-0.000000001))</f>
        <v>0</v>
      </c>
      <c r="T1500">
        <f>SUMPRODUCT((Rebate_Industry!T84:T92&gt;Mitigation_Industry!T17:T25+0.000000001)+(Rebate_Industry!T84:T92&lt;Mitigation_Industry!T7:T15-0.000000001))</f>
        <v>0</v>
      </c>
      <c r="U1500">
        <f>SUMPRODUCT((Rebate_Industry!U84:U92&gt;Mitigation_Industry!U17:U25+0.000000001)+(Rebate_Industry!U84:U92&lt;Mitigation_Industry!U7:U15-0.000000001))</f>
        <v>0</v>
      </c>
      <c r="V1500">
        <f>SUMPRODUCT((Rebate_Industry!V84:V92&gt;Mitigation_Industry!V17:V25+0.000000001)+(Rebate_Industry!V84:V92&lt;Mitigation_Industry!V7:V15-0.000000001))</f>
        <v>0</v>
      </c>
      <c r="W1500">
        <f>SUMPRODUCT((Rebate_Industry!W84:W92&gt;Mitigation_Industry!W17:W25+0.000000001)+(Rebate_Industry!W84:W92&lt;Mitigation_Industry!W7:W15-0.000000001))</f>
        <v>0</v>
      </c>
      <c r="X1500">
        <f>SUMPRODUCT((Rebate_Industry!X84:X92&gt;Mitigation_Industry!X17:X25+0.000000001)+(Rebate_Industry!X84:X92&lt;Mitigation_Industry!X7:X15-0.000000001))</f>
        <v>0</v>
      </c>
      <c r="Y1500">
        <f>SUMPRODUCT((Rebate_Industry!Y84:Y92&gt;Mitigation_Industry!Y17:Y25+0.000000001)+(Rebate_Industry!Y84:Y92&lt;Mitigation_Industry!Y7:Y15-0.000000001))</f>
        <v>0</v>
      </c>
      <c r="Z1500">
        <f>SUMPRODUCT((Rebate_Industry!Z84:Z92&gt;Mitigation_Industry!Z17:Z25+0.000000001)+(Rebate_Industry!Z84:Z92&lt;Mitigation_Industry!Z7:Z15-0.000000001))</f>
        <v>0</v>
      </c>
      <c r="AA1500">
        <f>SUMPRODUCT((Rebate_Industry!AA84:AA92&gt;Mitigation_Industry!AA17:AA25+0.000000001)+(Rebate_Industry!AA84:AA92&lt;Mitigation_Industry!AA7:AA15-0.000000001))</f>
        <v>0</v>
      </c>
      <c r="AB1500">
        <f>SUMPRODUCT((Rebate_Industry!AB84:AB92&gt;Mitigation_Industry!AB17:AB25+0.000000001)+(Rebate_Industry!AB84:AB92&lt;Mitigation_Industry!AB7:AB15-0.000000001))</f>
        <v>0</v>
      </c>
      <c r="AC1500">
        <f>SUMPRODUCT((Rebate_Industry!AC84:AC92&gt;Mitigation_Industry!AC17:AC25+0.000000001)+(Rebate_Industry!AC84:AC92&lt;Mitigation_Industry!AC7:AC15-0.000000001))</f>
        <v>0</v>
      </c>
      <c r="AD1500">
        <f>SUMPRODUCT((Rebate_Industry!AD84:AD92&gt;Mitigation_Industry!AD17:AD25+0.000000001)+(Rebate_Industry!AD84:AD92&lt;Mitigation_Industry!AD7:AD15-0.000000001))</f>
        <v>0</v>
      </c>
      <c r="AE1500">
        <f>SUMPRODUCT((Rebate_Industry!AE84:AE92&gt;Mitigation_Industry!AE17:AE25+0.000000001)+(Rebate_Industry!AE84:AE92&lt;Mitigation_Industry!AE7:AE15-0.000000001))</f>
        <v>0</v>
      </c>
    </row>
    <row r="1501" spans="1:35" x14ac:dyDescent="0.45">
      <c r="A1501" t="s">
        <v>2336</v>
      </c>
      <c r="D1501">
        <v>1</v>
      </c>
      <c r="E1501" t="s">
        <v>2067</v>
      </c>
      <c r="F1501">
        <f t="shared" si="359"/>
        <v>0</v>
      </c>
      <c r="I1501">
        <v>0</v>
      </c>
      <c r="L1501">
        <f>SUMPRODUCT((Rebate_Industry!L98:L106&gt;Mitigation_Industry!L77:L85+0.000000001)+(Rebate_Industry!L98:L106&lt;Mitigation_Industry!L67:L75-0.000000001))</f>
        <v>0</v>
      </c>
      <c r="M1501">
        <f>SUMPRODUCT((Rebate_Industry!M98:M106&gt;Mitigation_Industry!M77:M85+0.000000001)+(Rebate_Industry!M98:M106&lt;Mitigation_Industry!M67:M75-0.000000001))</f>
        <v>0</v>
      </c>
      <c r="N1501">
        <f>SUMPRODUCT((Rebate_Industry!N98:N106&gt;Mitigation_Industry!N77:N85+0.000000001)+(Rebate_Industry!N98:N106&lt;Mitigation_Industry!N67:N75-0.000000001))</f>
        <v>0</v>
      </c>
      <c r="O1501">
        <f>SUMPRODUCT((Rebate_Industry!O98:O106&gt;Mitigation_Industry!O77:O85+0.000000001)+(Rebate_Industry!O98:O106&lt;Mitigation_Industry!O67:O75-0.000000001))</f>
        <v>0</v>
      </c>
      <c r="P1501">
        <f>SUMPRODUCT((Rebate_Industry!P98:P106&gt;Mitigation_Industry!P77:P85+0.000000001)+(Rebate_Industry!P98:P106&lt;Mitigation_Industry!P67:P75-0.000000001))</f>
        <v>0</v>
      </c>
      <c r="Q1501">
        <f>SUMPRODUCT((Rebate_Industry!Q98:Q106&gt;Mitigation_Industry!Q77:Q85+0.000000001)+(Rebate_Industry!Q98:Q106&lt;Mitigation_Industry!Q67:Q75-0.000000001))</f>
        <v>0</v>
      </c>
      <c r="R1501">
        <f>SUMPRODUCT((Rebate_Industry!R98:R106&gt;Mitigation_Industry!R77:R85+0.000000001)+(Rebate_Industry!R98:R106&lt;Mitigation_Industry!R67:R75-0.000000001))</f>
        <v>0</v>
      </c>
      <c r="S1501">
        <f>SUMPRODUCT((Rebate_Industry!S98:S106&gt;Mitigation_Industry!S77:S85+0.000000001)+(Rebate_Industry!S98:S106&lt;Mitigation_Industry!S67:S75-0.000000001))</f>
        <v>0</v>
      </c>
      <c r="T1501">
        <f>SUMPRODUCT((Rebate_Industry!T98:T106&gt;Mitigation_Industry!T77:T85+0.000000001)+(Rebate_Industry!T98:T106&lt;Mitigation_Industry!T67:T75-0.000000001))</f>
        <v>0</v>
      </c>
      <c r="U1501">
        <f>SUMPRODUCT((Rebate_Industry!U98:U106&gt;Mitigation_Industry!U77:U85+0.000000001)+(Rebate_Industry!U98:U106&lt;Mitigation_Industry!U67:U75-0.000000001))</f>
        <v>0</v>
      </c>
      <c r="V1501">
        <f>SUMPRODUCT((Rebate_Industry!V98:V106&gt;Mitigation_Industry!V77:V85+0.000000001)+(Rebate_Industry!V98:V106&lt;Mitigation_Industry!V67:V75-0.000000001))</f>
        <v>0</v>
      </c>
      <c r="W1501">
        <f>SUMPRODUCT((Rebate_Industry!W98:W106&gt;Mitigation_Industry!W77:W85+0.000000001)+(Rebate_Industry!W98:W106&lt;Mitigation_Industry!W67:W75-0.000000001))</f>
        <v>0</v>
      </c>
      <c r="X1501">
        <f>SUMPRODUCT((Rebate_Industry!X98:X106&gt;Mitigation_Industry!X77:X85+0.000000001)+(Rebate_Industry!X98:X106&lt;Mitigation_Industry!X67:X75-0.000000001))</f>
        <v>0</v>
      </c>
      <c r="Y1501">
        <f>SUMPRODUCT((Rebate_Industry!Y98:Y106&gt;Mitigation_Industry!Y77:Y85+0.000000001)+(Rebate_Industry!Y98:Y106&lt;Mitigation_Industry!Y67:Y75-0.000000001))</f>
        <v>0</v>
      </c>
      <c r="Z1501">
        <f>SUMPRODUCT((Rebate_Industry!Z98:Z106&gt;Mitigation_Industry!Z77:Z85+0.000000001)+(Rebate_Industry!Z98:Z106&lt;Mitigation_Industry!Z67:Z75-0.000000001))</f>
        <v>0</v>
      </c>
      <c r="AA1501">
        <f>SUMPRODUCT((Rebate_Industry!AA98:AA106&gt;Mitigation_Industry!AA77:AA85+0.000000001)+(Rebate_Industry!AA98:AA106&lt;Mitigation_Industry!AA67:AA75-0.000000001))</f>
        <v>0</v>
      </c>
      <c r="AB1501">
        <f>SUMPRODUCT((Rebate_Industry!AB98:AB106&gt;Mitigation_Industry!AB77:AB85+0.000000001)+(Rebate_Industry!AB98:AB106&lt;Mitigation_Industry!AB67:AB75-0.000000001))</f>
        <v>0</v>
      </c>
      <c r="AC1501">
        <f>SUMPRODUCT((Rebate_Industry!AC98:AC106&gt;Mitigation_Industry!AC77:AC85+0.000000001)+(Rebate_Industry!AC98:AC106&lt;Mitigation_Industry!AC67:AC75-0.000000001))</f>
        <v>0</v>
      </c>
      <c r="AD1501">
        <f>SUMPRODUCT((Rebate_Industry!AD98:AD106&gt;Mitigation_Industry!AD77:AD85+0.000000001)+(Rebate_Industry!AD98:AD106&lt;Mitigation_Industry!AD67:AD75-0.000000001))</f>
        <v>0</v>
      </c>
      <c r="AE1501">
        <f>SUMPRODUCT((Rebate_Industry!AE98:AE106&gt;Mitigation_Industry!AE77:AE85+0.000000001)+(Rebate_Industry!AE98:AE106&lt;Mitigation_Industry!AE67:AE75-0.000000001))</f>
        <v>0</v>
      </c>
    </row>
    <row r="1502" spans="1:35" x14ac:dyDescent="0.45">
      <c r="A1502" t="s">
        <v>2337</v>
      </c>
      <c r="D1502">
        <v>1</v>
      </c>
      <c r="E1502" t="s">
        <v>2067</v>
      </c>
      <c r="F1502">
        <f t="shared" si="359"/>
        <v>0</v>
      </c>
      <c r="I1502">
        <v>0</v>
      </c>
      <c r="L1502">
        <f>SUMPRODUCT((Rebate_Industry!L112:L120&gt;Mitigation_Industry!L137:L145+0.000000001)+(Rebate_Industry!L112:L120&lt;Mitigation_Industry!L127:L135-0.000000001))</f>
        <v>0</v>
      </c>
      <c r="M1502">
        <f>SUMPRODUCT((Rebate_Industry!M112:M120&gt;Mitigation_Industry!M137:M145+0.000000001)+(Rebate_Industry!M112:M120&lt;Mitigation_Industry!M127:M135-0.000000001))</f>
        <v>0</v>
      </c>
      <c r="N1502">
        <f>SUMPRODUCT((Rebate_Industry!N112:N120&gt;Mitigation_Industry!N137:N145+0.000000001)+(Rebate_Industry!N112:N120&lt;Mitigation_Industry!N127:N135-0.000000001))</f>
        <v>0</v>
      </c>
      <c r="O1502">
        <f>SUMPRODUCT((Rebate_Industry!O112:O120&gt;Mitigation_Industry!O137:O145+0.000000001)+(Rebate_Industry!O112:O120&lt;Mitigation_Industry!O127:O135-0.000000001))</f>
        <v>0</v>
      </c>
      <c r="P1502">
        <f>SUMPRODUCT((Rebate_Industry!P112:P120&gt;Mitigation_Industry!P137:P145+0.000000001)+(Rebate_Industry!P112:P120&lt;Mitigation_Industry!P127:P135-0.000000001))</f>
        <v>0</v>
      </c>
      <c r="Q1502">
        <f>SUMPRODUCT((Rebate_Industry!Q112:Q120&gt;Mitigation_Industry!Q137:Q145+0.000000001)+(Rebate_Industry!Q112:Q120&lt;Mitigation_Industry!Q127:Q135-0.000000001))</f>
        <v>0</v>
      </c>
      <c r="R1502">
        <f>SUMPRODUCT((Rebate_Industry!R112:R120&gt;Mitigation_Industry!R137:R145+0.000000001)+(Rebate_Industry!R112:R120&lt;Mitigation_Industry!R127:R135-0.000000001))</f>
        <v>0</v>
      </c>
      <c r="S1502">
        <f>SUMPRODUCT((Rebate_Industry!S112:S120&gt;Mitigation_Industry!S137:S145+0.000000001)+(Rebate_Industry!S112:S120&lt;Mitigation_Industry!S127:S135-0.000000001))</f>
        <v>0</v>
      </c>
      <c r="T1502">
        <f>SUMPRODUCT((Rebate_Industry!T112:T120&gt;Mitigation_Industry!T137:T145+0.000000001)+(Rebate_Industry!T112:T120&lt;Mitigation_Industry!T127:T135-0.000000001))</f>
        <v>0</v>
      </c>
      <c r="U1502">
        <f>SUMPRODUCT((Rebate_Industry!U112:U120&gt;Mitigation_Industry!U137:U145+0.000000001)+(Rebate_Industry!U112:U120&lt;Mitigation_Industry!U127:U135-0.000000001))</f>
        <v>0</v>
      </c>
      <c r="V1502">
        <f>SUMPRODUCT((Rebate_Industry!V112:V120&gt;Mitigation_Industry!V137:V145+0.000000001)+(Rebate_Industry!V112:V120&lt;Mitigation_Industry!V127:V135-0.000000001))</f>
        <v>0</v>
      </c>
      <c r="W1502">
        <f>SUMPRODUCT((Rebate_Industry!W112:W120&gt;Mitigation_Industry!W137:W145+0.000000001)+(Rebate_Industry!W112:W120&lt;Mitigation_Industry!W127:W135-0.000000001))</f>
        <v>0</v>
      </c>
      <c r="X1502">
        <f>SUMPRODUCT((Rebate_Industry!X112:X120&gt;Mitigation_Industry!X137:X145+0.000000001)+(Rebate_Industry!X112:X120&lt;Mitigation_Industry!X127:X135-0.000000001))</f>
        <v>0</v>
      </c>
      <c r="Y1502">
        <f>SUMPRODUCT((Rebate_Industry!Y112:Y120&gt;Mitigation_Industry!Y137:Y145+0.000000001)+(Rebate_Industry!Y112:Y120&lt;Mitigation_Industry!Y127:Y135-0.000000001))</f>
        <v>0</v>
      </c>
      <c r="Z1502">
        <f>SUMPRODUCT((Rebate_Industry!Z112:Z120&gt;Mitigation_Industry!Z137:Z145+0.000000001)+(Rebate_Industry!Z112:Z120&lt;Mitigation_Industry!Z127:Z135-0.000000001))</f>
        <v>0</v>
      </c>
      <c r="AA1502">
        <f>SUMPRODUCT((Rebate_Industry!AA112:AA120&gt;Mitigation_Industry!AA137:AA145+0.000000001)+(Rebate_Industry!AA112:AA120&lt;Mitigation_Industry!AA127:AA135-0.000000001))</f>
        <v>0</v>
      </c>
      <c r="AB1502">
        <f>SUMPRODUCT((Rebate_Industry!AB112:AB120&gt;Mitigation_Industry!AB137:AB145+0.000000001)+(Rebate_Industry!AB112:AB120&lt;Mitigation_Industry!AB127:AB135-0.000000001))</f>
        <v>0</v>
      </c>
      <c r="AC1502">
        <f>SUMPRODUCT((Rebate_Industry!AC112:AC120&gt;Mitigation_Industry!AC137:AC145+0.000000001)+(Rebate_Industry!AC112:AC120&lt;Mitigation_Industry!AC127:AC135-0.000000001))</f>
        <v>0</v>
      </c>
      <c r="AD1502">
        <f>SUMPRODUCT((Rebate_Industry!AD112:AD120&gt;Mitigation_Industry!AD137:AD145+0.000000001)+(Rebate_Industry!AD112:AD120&lt;Mitigation_Industry!AD127:AD135-0.000000001))</f>
        <v>0</v>
      </c>
      <c r="AE1502">
        <f>SUMPRODUCT((Rebate_Industry!AE112:AE120&gt;Mitigation_Industry!AE137:AE145+0.000000001)+(Rebate_Industry!AE112:AE120&lt;Mitigation_Industry!AE127:AE135-0.000000001))</f>
        <v>0</v>
      </c>
    </row>
    <row r="1503" spans="1:35" x14ac:dyDescent="0.45">
      <c r="A1503" t="s">
        <v>2338</v>
      </c>
      <c r="D1503">
        <v>1</v>
      </c>
      <c r="E1503" t="s">
        <v>2067</v>
      </c>
      <c r="F1503">
        <f t="shared" si="359"/>
        <v>0</v>
      </c>
      <c r="I1503">
        <v>0</v>
      </c>
      <c r="L1503">
        <f>SUMPRODUCT((Rebate_Industry!L126:L134&gt;Mitigation_Industry!L197:L205+0.000000001)+(Rebate_Industry!L126:L134&lt;Mitigation_Industry!L187:L195-0.000000001))</f>
        <v>0</v>
      </c>
      <c r="M1503">
        <f>SUMPRODUCT((Rebate_Industry!M126:M134&gt;Mitigation_Industry!M197:M205+0.000000001)+(Rebate_Industry!M126:M134&lt;Mitigation_Industry!M187:M195-0.000000001))</f>
        <v>0</v>
      </c>
      <c r="N1503">
        <f>SUMPRODUCT((Rebate_Industry!N126:N134&gt;Mitigation_Industry!N197:N205+0.000000001)+(Rebate_Industry!N126:N134&lt;Mitigation_Industry!N187:N195-0.000000001))</f>
        <v>0</v>
      </c>
      <c r="O1503">
        <f>SUMPRODUCT((Rebate_Industry!O126:O134&gt;Mitigation_Industry!O197:O205+0.000000001)+(Rebate_Industry!O126:O134&lt;Mitigation_Industry!O187:O195-0.000000001))</f>
        <v>0</v>
      </c>
      <c r="P1503">
        <f>SUMPRODUCT((Rebate_Industry!P126:P134&gt;Mitigation_Industry!P197:P205+0.000000001)+(Rebate_Industry!P126:P134&lt;Mitigation_Industry!P187:P195-0.000000001))</f>
        <v>0</v>
      </c>
      <c r="Q1503">
        <f>SUMPRODUCT((Rebate_Industry!Q126:Q134&gt;Mitigation_Industry!Q197:Q205+0.000000001)+(Rebate_Industry!Q126:Q134&lt;Mitigation_Industry!Q187:Q195-0.000000001))</f>
        <v>0</v>
      </c>
      <c r="R1503">
        <f>SUMPRODUCT((Rebate_Industry!R126:R134&gt;Mitigation_Industry!R197:R205+0.000000001)+(Rebate_Industry!R126:R134&lt;Mitigation_Industry!R187:R195-0.000000001))</f>
        <v>0</v>
      </c>
      <c r="S1503">
        <f>SUMPRODUCT((Rebate_Industry!S126:S134&gt;Mitigation_Industry!S197:S205+0.000000001)+(Rebate_Industry!S126:S134&lt;Mitigation_Industry!S187:S195-0.000000001))</f>
        <v>0</v>
      </c>
      <c r="T1503">
        <f>SUMPRODUCT((Rebate_Industry!T126:T134&gt;Mitigation_Industry!T197:T205+0.000000001)+(Rebate_Industry!T126:T134&lt;Mitigation_Industry!T187:T195-0.000000001))</f>
        <v>0</v>
      </c>
      <c r="U1503">
        <f>SUMPRODUCT((Rebate_Industry!U126:U134&gt;Mitigation_Industry!U197:U205+0.000000001)+(Rebate_Industry!U126:U134&lt;Mitigation_Industry!U187:U195-0.000000001))</f>
        <v>0</v>
      </c>
      <c r="V1503">
        <f>SUMPRODUCT((Rebate_Industry!V126:V134&gt;Mitigation_Industry!V197:V205+0.000000001)+(Rebate_Industry!V126:V134&lt;Mitigation_Industry!V187:V195-0.000000001))</f>
        <v>0</v>
      </c>
      <c r="W1503">
        <f>SUMPRODUCT((Rebate_Industry!W126:W134&gt;Mitigation_Industry!W197:W205+0.000000001)+(Rebate_Industry!W126:W134&lt;Mitigation_Industry!W187:W195-0.000000001))</f>
        <v>0</v>
      </c>
      <c r="X1503">
        <f>SUMPRODUCT((Rebate_Industry!X126:X134&gt;Mitigation_Industry!X197:X205+0.000000001)+(Rebate_Industry!X126:X134&lt;Mitigation_Industry!X187:X195-0.000000001))</f>
        <v>0</v>
      </c>
      <c r="Y1503">
        <f>SUMPRODUCT((Rebate_Industry!Y126:Y134&gt;Mitigation_Industry!Y197:Y205+0.000000001)+(Rebate_Industry!Y126:Y134&lt;Mitigation_Industry!Y187:Y195-0.000000001))</f>
        <v>0</v>
      </c>
      <c r="Z1503">
        <f>SUMPRODUCT((Rebate_Industry!Z126:Z134&gt;Mitigation_Industry!Z197:Z205+0.000000001)+(Rebate_Industry!Z126:Z134&lt;Mitigation_Industry!Z187:Z195-0.000000001))</f>
        <v>0</v>
      </c>
      <c r="AA1503">
        <f>SUMPRODUCT((Rebate_Industry!AA126:AA134&gt;Mitigation_Industry!AA197:AA205+0.000000001)+(Rebate_Industry!AA126:AA134&lt;Mitigation_Industry!AA187:AA195-0.000000001))</f>
        <v>0</v>
      </c>
      <c r="AB1503">
        <f>SUMPRODUCT((Rebate_Industry!AB126:AB134&gt;Mitigation_Industry!AB197:AB205+0.000000001)+(Rebate_Industry!AB126:AB134&lt;Mitigation_Industry!AB187:AB195-0.000000001))</f>
        <v>0</v>
      </c>
      <c r="AC1503">
        <f>SUMPRODUCT((Rebate_Industry!AC126:AC134&gt;Mitigation_Industry!AC197:AC205+0.000000001)+(Rebate_Industry!AC126:AC134&lt;Mitigation_Industry!AC187:AC195-0.000000001))</f>
        <v>0</v>
      </c>
      <c r="AD1503">
        <f>SUMPRODUCT((Rebate_Industry!AD126:AD134&gt;Mitigation_Industry!AD197:AD205+0.000000001)+(Rebate_Industry!AD126:AD134&lt;Mitigation_Industry!AD187:AD195-0.000000001))</f>
        <v>0</v>
      </c>
      <c r="AE1503">
        <f>SUMPRODUCT((Rebate_Industry!AE126:AE134&gt;Mitigation_Industry!AE197:AE205+0.000000001)+(Rebate_Industry!AE126:AE134&lt;Mitigation_Industry!AE187:AE195-0.000000001))</f>
        <v>0</v>
      </c>
    </row>
    <row r="1504" spans="1:35" x14ac:dyDescent="0.45">
      <c r="A1504" t="s">
        <v>2339</v>
      </c>
      <c r="D1504">
        <v>1</v>
      </c>
      <c r="E1504" t="s">
        <v>2067</v>
      </c>
      <c r="F1504">
        <f t="shared" si="359"/>
        <v>0</v>
      </c>
      <c r="I1504">
        <v>0</v>
      </c>
      <c r="L1504">
        <f>(Rebate_Industry!L83&lt;0)+(Rebate_Industry!L83&gt;1)+(Rebate_Industry!L97&lt;0)+(Rebate_Industry!L97&gt;1)+(Rebate_Industry!L111&lt;0)+(Rebate_Industry!L111&gt;1)+(Rebate_Industry!L125&lt;0)+(Rebate_Industry!L125&gt;1)</f>
        <v>0</v>
      </c>
      <c r="M1504">
        <f>(Rebate_Industry!M83&lt;0)+(Rebate_Industry!M83&gt;1)+(Rebate_Industry!M97&lt;0)+(Rebate_Industry!M97&gt;1)+(Rebate_Industry!M111&lt;0)+(Rebate_Industry!M111&gt;1)+(Rebate_Industry!M125&lt;0)+(Rebate_Industry!M125&gt;1)</f>
        <v>0</v>
      </c>
      <c r="N1504">
        <f>(Rebate_Industry!N83&lt;0)+(Rebate_Industry!N83&gt;1)+(Rebate_Industry!N97&lt;0)+(Rebate_Industry!N97&gt;1)+(Rebate_Industry!N111&lt;0)+(Rebate_Industry!N111&gt;1)+(Rebate_Industry!N125&lt;0)+(Rebate_Industry!N125&gt;1)</f>
        <v>0</v>
      </c>
      <c r="O1504">
        <f>(Rebate_Industry!O83&lt;0)+(Rebate_Industry!O83&gt;1)+(Rebate_Industry!O97&lt;0)+(Rebate_Industry!O97&gt;1)+(Rebate_Industry!O111&lt;0)+(Rebate_Industry!O111&gt;1)+(Rebate_Industry!O125&lt;0)+(Rebate_Industry!O125&gt;1)</f>
        <v>0</v>
      </c>
      <c r="P1504">
        <f>(Rebate_Industry!P83&lt;0)+(Rebate_Industry!P83&gt;1)+(Rebate_Industry!P97&lt;0)+(Rebate_Industry!P97&gt;1)+(Rebate_Industry!P111&lt;0)+(Rebate_Industry!P111&gt;1)+(Rebate_Industry!P125&lt;0)+(Rebate_Industry!P125&gt;1)</f>
        <v>0</v>
      </c>
      <c r="Q1504">
        <f>(Rebate_Industry!Q83&lt;0)+(Rebate_Industry!Q83&gt;1)+(Rebate_Industry!Q97&lt;0)+(Rebate_Industry!Q97&gt;1)+(Rebate_Industry!Q111&lt;0)+(Rebate_Industry!Q111&gt;1)+(Rebate_Industry!Q125&lt;0)+(Rebate_Industry!Q125&gt;1)</f>
        <v>0</v>
      </c>
      <c r="R1504">
        <f>(Rebate_Industry!R83&lt;0)+(Rebate_Industry!R83&gt;1)+(Rebate_Industry!R97&lt;0)+(Rebate_Industry!R97&gt;1)+(Rebate_Industry!R111&lt;0)+(Rebate_Industry!R111&gt;1)+(Rebate_Industry!R125&lt;0)+(Rebate_Industry!R125&gt;1)</f>
        <v>0</v>
      </c>
      <c r="S1504">
        <f>(Rebate_Industry!S83&lt;0)+(Rebate_Industry!S83&gt;1)+(Rebate_Industry!S97&lt;0)+(Rebate_Industry!S97&gt;1)+(Rebate_Industry!S111&lt;0)+(Rebate_Industry!S111&gt;1)+(Rebate_Industry!S125&lt;0)+(Rebate_Industry!S125&gt;1)</f>
        <v>0</v>
      </c>
      <c r="T1504">
        <f>(Rebate_Industry!T83&lt;0)+(Rebate_Industry!T83&gt;1)+(Rebate_Industry!T97&lt;0)+(Rebate_Industry!T97&gt;1)+(Rebate_Industry!T111&lt;0)+(Rebate_Industry!T111&gt;1)+(Rebate_Industry!T125&lt;0)+(Rebate_Industry!T125&gt;1)</f>
        <v>0</v>
      </c>
      <c r="U1504">
        <f>(Rebate_Industry!U83&lt;0)+(Rebate_Industry!U83&gt;1)+(Rebate_Industry!U97&lt;0)+(Rebate_Industry!U97&gt;1)+(Rebate_Industry!U111&lt;0)+(Rebate_Industry!U111&gt;1)+(Rebate_Industry!U125&lt;0)+(Rebate_Industry!U125&gt;1)</f>
        <v>0</v>
      </c>
      <c r="V1504">
        <f>(Rebate_Industry!V83&lt;0)+(Rebate_Industry!V83&gt;1)+(Rebate_Industry!V97&lt;0)+(Rebate_Industry!V97&gt;1)+(Rebate_Industry!V111&lt;0)+(Rebate_Industry!V111&gt;1)+(Rebate_Industry!V125&lt;0)+(Rebate_Industry!V125&gt;1)</f>
        <v>0</v>
      </c>
      <c r="W1504">
        <f>(Rebate_Industry!W83&lt;0)+(Rebate_Industry!W83&gt;1)+(Rebate_Industry!W97&lt;0)+(Rebate_Industry!W97&gt;1)+(Rebate_Industry!W111&lt;0)+(Rebate_Industry!W111&gt;1)+(Rebate_Industry!W125&lt;0)+(Rebate_Industry!W125&gt;1)</f>
        <v>0</v>
      </c>
      <c r="X1504">
        <f>(Rebate_Industry!X83&lt;0)+(Rebate_Industry!X83&gt;1)+(Rebate_Industry!X97&lt;0)+(Rebate_Industry!X97&gt;1)+(Rebate_Industry!X111&lt;0)+(Rebate_Industry!X111&gt;1)+(Rebate_Industry!X125&lt;0)+(Rebate_Industry!X125&gt;1)</f>
        <v>0</v>
      </c>
      <c r="Y1504">
        <f>(Rebate_Industry!Y83&lt;0)+(Rebate_Industry!Y83&gt;1)+(Rebate_Industry!Y97&lt;0)+(Rebate_Industry!Y97&gt;1)+(Rebate_Industry!Y111&lt;0)+(Rebate_Industry!Y111&gt;1)+(Rebate_Industry!Y125&lt;0)+(Rebate_Industry!Y125&gt;1)</f>
        <v>0</v>
      </c>
      <c r="Z1504">
        <f>(Rebate_Industry!Z83&lt;0)+(Rebate_Industry!Z83&gt;1)+(Rebate_Industry!Z97&lt;0)+(Rebate_Industry!Z97&gt;1)+(Rebate_Industry!Z111&lt;0)+(Rebate_Industry!Z111&gt;1)+(Rebate_Industry!Z125&lt;0)+(Rebate_Industry!Z125&gt;1)</f>
        <v>0</v>
      </c>
      <c r="AA1504">
        <f>(Rebate_Industry!AA83&lt;0)+(Rebate_Industry!AA83&gt;1)+(Rebate_Industry!AA97&lt;0)+(Rebate_Industry!AA97&gt;1)+(Rebate_Industry!AA111&lt;0)+(Rebate_Industry!AA111&gt;1)+(Rebate_Industry!AA125&lt;0)+(Rebate_Industry!AA125&gt;1)</f>
        <v>0</v>
      </c>
      <c r="AB1504">
        <f>(Rebate_Industry!AB83&lt;0)+(Rebate_Industry!AB83&gt;1)+(Rebate_Industry!AB97&lt;0)+(Rebate_Industry!AB97&gt;1)+(Rebate_Industry!AB111&lt;0)+(Rebate_Industry!AB111&gt;1)+(Rebate_Industry!AB125&lt;0)+(Rebate_Industry!AB125&gt;1)</f>
        <v>0</v>
      </c>
      <c r="AC1504">
        <f>(Rebate_Industry!AC83&lt;0)+(Rebate_Industry!AC83&gt;1)+(Rebate_Industry!AC97&lt;0)+(Rebate_Industry!AC97&gt;1)+(Rebate_Industry!AC111&lt;0)+(Rebate_Industry!AC111&gt;1)+(Rebate_Industry!AC125&lt;0)+(Rebate_Industry!AC125&gt;1)</f>
        <v>0</v>
      </c>
      <c r="AD1504">
        <f>(Rebate_Industry!AD83&lt;0)+(Rebate_Industry!AD83&gt;1)+(Rebate_Industry!AD97&lt;0)+(Rebate_Industry!AD97&gt;1)+(Rebate_Industry!AD111&lt;0)+(Rebate_Industry!AD111&gt;1)+(Rebate_Industry!AD125&lt;0)+(Rebate_Industry!AD125&gt;1)</f>
        <v>0</v>
      </c>
      <c r="AE1504">
        <f>(Rebate_Industry!AE83&lt;0)+(Rebate_Industry!AE83&gt;1)+(Rebate_Industry!AE97&lt;0)+(Rebate_Industry!AE97&gt;1)+(Rebate_Industry!AE111&lt;0)+(Rebate_Industry!AE111&gt;1)+(Rebate_Industry!AE125&lt;0)+(Rebate_Industry!AE125&gt;1)</f>
        <v>0</v>
      </c>
    </row>
    <row r="1505" spans="1:31" x14ac:dyDescent="0.45">
      <c r="A1505" t="s">
        <v>2340</v>
      </c>
      <c r="D1505">
        <v>1</v>
      </c>
      <c r="E1505" t="s">
        <v>1161</v>
      </c>
      <c r="F1505">
        <f>MAX(MAX(L1505:AE1505),-MIN(L1505:AE1505))</f>
        <v>0</v>
      </c>
      <c r="I1505">
        <v>0</v>
      </c>
      <c r="L1505">
        <f>Rebate_Industry!L78-SUM(Rebate_Industry!L70:L77)</f>
        <v>0</v>
      </c>
      <c r="M1505">
        <f>Rebate_Industry!M78-SUM(Rebate_Industry!M70:M77)</f>
        <v>0</v>
      </c>
      <c r="N1505">
        <f>Rebate_Industry!N78-SUM(Rebate_Industry!N70:N77)</f>
        <v>0</v>
      </c>
      <c r="O1505">
        <f>Rebate_Industry!O78-SUM(Rebate_Industry!O70:O77)</f>
        <v>0</v>
      </c>
      <c r="P1505">
        <f>Rebate_Industry!P78-SUM(Rebate_Industry!P70:P77)</f>
        <v>0</v>
      </c>
      <c r="Q1505">
        <f>Rebate_Industry!Q78-SUM(Rebate_Industry!Q70:Q77)</f>
        <v>0</v>
      </c>
      <c r="R1505">
        <f>Rebate_Industry!R78-SUM(Rebate_Industry!R70:R77)</f>
        <v>0</v>
      </c>
      <c r="S1505">
        <f>Rebate_Industry!S78-SUM(Rebate_Industry!S70:S77)</f>
        <v>0</v>
      </c>
      <c r="T1505">
        <f>Rebate_Industry!T78-SUM(Rebate_Industry!T70:T77)</f>
        <v>0</v>
      </c>
      <c r="U1505">
        <f>Rebate_Industry!U78-SUM(Rebate_Industry!U70:U77)</f>
        <v>0</v>
      </c>
      <c r="V1505">
        <f>Rebate_Industry!V78-SUM(Rebate_Industry!V70:V77)</f>
        <v>0</v>
      </c>
      <c r="W1505">
        <f>Rebate_Industry!W78-SUM(Rebate_Industry!W70:W77)</f>
        <v>0</v>
      </c>
      <c r="X1505">
        <f>Rebate_Industry!X78-SUM(Rebate_Industry!X70:X77)</f>
        <v>0</v>
      </c>
      <c r="Y1505">
        <f>Rebate_Industry!Y78-SUM(Rebate_Industry!Y70:Y77)</f>
        <v>0</v>
      </c>
      <c r="Z1505">
        <f>Rebate_Industry!Z78-SUM(Rebate_Industry!Z70:Z77)</f>
        <v>0</v>
      </c>
      <c r="AA1505">
        <f>Rebate_Industry!AA78-SUM(Rebate_Industry!AA70:AA77)</f>
        <v>0</v>
      </c>
      <c r="AB1505">
        <f>Rebate_Industry!AB78-SUM(Rebate_Industry!AB70:AB77)</f>
        <v>0</v>
      </c>
      <c r="AC1505">
        <f>Rebate_Industry!AC78-SUM(Rebate_Industry!AC70:AC77)</f>
        <v>0</v>
      </c>
      <c r="AD1505">
        <f>Rebate_Industry!AD78-SUM(Rebate_Industry!AD70:AD77)</f>
        <v>0</v>
      </c>
      <c r="AE1505">
        <f>Rebate_Industry!AE78-SUM(Rebate_Industry!AE70:AE77)</f>
        <v>0</v>
      </c>
    </row>
    <row r="1506" spans="1:31" x14ac:dyDescent="0.45">
      <c r="A1506" t="s">
        <v>2341</v>
      </c>
      <c r="D1506">
        <v>1</v>
      </c>
      <c r="E1506" t="s">
        <v>1161</v>
      </c>
      <c r="F1506">
        <f>MAX(MAX(L1506:AE1506),-MIN(L1506:AE1506))</f>
        <v>0</v>
      </c>
      <c r="I1506">
        <v>0</v>
      </c>
      <c r="L1506">
        <f>Rebate_Industry!L78-(Rebate_Industry!L81+Rebate_Industry!L95+Rebate_Industry!L109+Rebate_Industry!L123)</f>
        <v>0</v>
      </c>
      <c r="M1506">
        <f>Rebate_Industry!M78-(Rebate_Industry!M81+Rebate_Industry!M95+Rebate_Industry!M109+Rebate_Industry!M123)</f>
        <v>0</v>
      </c>
      <c r="N1506">
        <f>Rebate_Industry!N78-(Rebate_Industry!N81+Rebate_Industry!N95+Rebate_Industry!N109+Rebate_Industry!N123)</f>
        <v>0</v>
      </c>
      <c r="O1506">
        <f>Rebate_Industry!O78-(Rebate_Industry!O81+Rebate_Industry!O95+Rebate_Industry!O109+Rebate_Industry!O123)</f>
        <v>0</v>
      </c>
      <c r="P1506">
        <f>Rebate_Industry!P78-(Rebate_Industry!P81+Rebate_Industry!P95+Rebate_Industry!P109+Rebate_Industry!P123)</f>
        <v>0</v>
      </c>
      <c r="Q1506">
        <f>Rebate_Industry!Q78-(Rebate_Industry!Q81+Rebate_Industry!Q95+Rebate_Industry!Q109+Rebate_Industry!Q123)</f>
        <v>0</v>
      </c>
      <c r="R1506">
        <f>Rebate_Industry!R78-(Rebate_Industry!R81+Rebate_Industry!R95+Rebate_Industry!R109+Rebate_Industry!R123)</f>
        <v>0</v>
      </c>
      <c r="S1506">
        <f>Rebate_Industry!S78-(Rebate_Industry!S81+Rebate_Industry!S95+Rebate_Industry!S109+Rebate_Industry!S123)</f>
        <v>0</v>
      </c>
      <c r="T1506">
        <f>Rebate_Industry!T78-(Rebate_Industry!T81+Rebate_Industry!T95+Rebate_Industry!T109+Rebate_Industry!T123)</f>
        <v>0</v>
      </c>
      <c r="U1506">
        <f>Rebate_Industry!U78-(Rebate_Industry!U81+Rebate_Industry!U95+Rebate_Industry!U109+Rebate_Industry!U123)</f>
        <v>0</v>
      </c>
      <c r="V1506">
        <f>Rebate_Industry!V78-(Rebate_Industry!V81+Rebate_Industry!V95+Rebate_Industry!V109+Rebate_Industry!V123)</f>
        <v>0</v>
      </c>
      <c r="W1506">
        <f>Rebate_Industry!W78-(Rebate_Industry!W81+Rebate_Industry!W95+Rebate_Industry!W109+Rebate_Industry!W123)</f>
        <v>0</v>
      </c>
      <c r="X1506">
        <f>Rebate_Industry!X78-(Rebate_Industry!X81+Rebate_Industry!X95+Rebate_Industry!X109+Rebate_Industry!X123)</f>
        <v>0</v>
      </c>
      <c r="Y1506">
        <f>Rebate_Industry!Y78-(Rebate_Industry!Y81+Rebate_Industry!Y95+Rebate_Industry!Y109+Rebate_Industry!Y123)</f>
        <v>0</v>
      </c>
      <c r="Z1506">
        <f>Rebate_Industry!Z78-(Rebate_Industry!Z81+Rebate_Industry!Z95+Rebate_Industry!Z109+Rebate_Industry!Z123)</f>
        <v>0</v>
      </c>
      <c r="AA1506">
        <f>Rebate_Industry!AA78-(Rebate_Industry!AA81+Rebate_Industry!AA95+Rebate_Industry!AA109+Rebate_Industry!AA123)</f>
        <v>0</v>
      </c>
      <c r="AB1506">
        <f>Rebate_Industry!AB78-(Rebate_Industry!AB81+Rebate_Industry!AB95+Rebate_Industry!AB109+Rebate_Industry!AB123)</f>
        <v>0</v>
      </c>
      <c r="AC1506">
        <f>Rebate_Industry!AC78-(Rebate_Industry!AC81+Rebate_Industry!AC95+Rebate_Industry!AC109+Rebate_Industry!AC123)</f>
        <v>0</v>
      </c>
      <c r="AD1506">
        <f>Rebate_Industry!AD78-(Rebate_Industry!AD81+Rebate_Industry!AD95+Rebate_Industry!AD109+Rebate_Industry!AD123)</f>
        <v>0</v>
      </c>
      <c r="AE1506">
        <f>Rebate_Industry!AE78-(Rebate_Industry!AE81+Rebate_Industry!AE95+Rebate_Industry!AE109+Rebate_Industry!AE123)</f>
        <v>0</v>
      </c>
    </row>
    <row r="1507" spans="1:31" x14ac:dyDescent="0.45">
      <c r="A1507" t="s">
        <v>2342</v>
      </c>
      <c r="D1507">
        <v>1</v>
      </c>
      <c r="E1507" t="s">
        <v>1161</v>
      </c>
      <c r="F1507">
        <f>MAX(MAX(L1507:AE1507),-MIN(L1507:AE1507))</f>
        <v>0</v>
      </c>
      <c r="I1507">
        <v>0</v>
      </c>
      <c r="L1507">
        <f>Rebate_Industry!L139-(Rebate_Industry!L137-Rebate_Industry!L78)</f>
        <v>0</v>
      </c>
      <c r="M1507">
        <f>Rebate_Industry!M139-(Rebate_Industry!M137-Rebate_Industry!M78)</f>
        <v>0</v>
      </c>
      <c r="N1507">
        <f>Rebate_Industry!N139-(Rebate_Industry!N137-Rebate_Industry!N78)</f>
        <v>0</v>
      </c>
      <c r="O1507">
        <f>Rebate_Industry!O139-(Rebate_Industry!O137-Rebate_Industry!O78)</f>
        <v>0</v>
      </c>
      <c r="P1507">
        <f>Rebate_Industry!P139-(Rebate_Industry!P137-Rebate_Industry!P78)</f>
        <v>0</v>
      </c>
      <c r="Q1507">
        <f>Rebate_Industry!Q139-(Rebate_Industry!Q137-Rebate_Industry!Q78)</f>
        <v>0</v>
      </c>
      <c r="R1507">
        <f>Rebate_Industry!R139-(Rebate_Industry!R137-Rebate_Industry!R78)</f>
        <v>0</v>
      </c>
      <c r="S1507">
        <f>Rebate_Industry!S139-(Rebate_Industry!S137-Rebate_Industry!S78)</f>
        <v>0</v>
      </c>
      <c r="T1507">
        <f>Rebate_Industry!T139-(Rebate_Industry!T137-Rebate_Industry!T78)</f>
        <v>0</v>
      </c>
      <c r="U1507">
        <f>Rebate_Industry!U139-(Rebate_Industry!U137-Rebate_Industry!U78)</f>
        <v>0</v>
      </c>
      <c r="V1507">
        <f>Rebate_Industry!V139-(Rebate_Industry!V137-Rebate_Industry!V78)</f>
        <v>0</v>
      </c>
      <c r="W1507">
        <f>Rebate_Industry!W139-(Rebate_Industry!W137-Rebate_Industry!W78)</f>
        <v>0</v>
      </c>
      <c r="X1507">
        <f>Rebate_Industry!X139-(Rebate_Industry!X137-Rebate_Industry!X78)</f>
        <v>0</v>
      </c>
      <c r="Y1507">
        <f>Rebate_Industry!Y139-(Rebate_Industry!Y137-Rebate_Industry!Y78)</f>
        <v>0</v>
      </c>
      <c r="Z1507">
        <f>Rebate_Industry!Z139-(Rebate_Industry!Z137-Rebate_Industry!Z78)</f>
        <v>0</v>
      </c>
      <c r="AA1507">
        <f>Rebate_Industry!AA139-(Rebate_Industry!AA137-Rebate_Industry!AA78)</f>
        <v>0</v>
      </c>
      <c r="AB1507">
        <f>Rebate_Industry!AB139-(Rebate_Industry!AB137-Rebate_Industry!AB78)</f>
        <v>0</v>
      </c>
      <c r="AC1507">
        <f>Rebate_Industry!AC139-(Rebate_Industry!AC137-Rebate_Industry!AC78)</f>
        <v>0</v>
      </c>
      <c r="AD1507">
        <f>Rebate_Industry!AD139-(Rebate_Industry!AD137-Rebate_Industry!AD78)</f>
        <v>0</v>
      </c>
      <c r="AE1507">
        <f>Rebate_Industry!AE139-(Rebate_Industry!AE137-Rebate_Industry!AE78)</f>
        <v>0</v>
      </c>
    </row>
    <row r="1508" spans="1:31" x14ac:dyDescent="0.45">
      <c r="A1508" t="s">
        <v>2333</v>
      </c>
      <c r="D1508">
        <v>2</v>
      </c>
      <c r="E1508" t="s">
        <v>1161</v>
      </c>
      <c r="F1508">
        <f>MAX(MAX(L1508:AE1508),-MIN(L1508:AE1508))</f>
        <v>0</v>
      </c>
      <c r="I1508">
        <v>0</v>
      </c>
      <c r="L1508">
        <f>SUMPRODUCT(ABS(Rebate_Industry!L179:L186))*(Rebate_Industry!L145=0)</f>
        <v>0</v>
      </c>
      <c r="M1508">
        <f>SUMPRODUCT(ABS(Rebate_Industry!M179:M186))*(Rebate_Industry!M145=0)</f>
        <v>0</v>
      </c>
      <c r="N1508">
        <f>SUMPRODUCT(ABS(Rebate_Industry!N179:N186))*(Rebate_Industry!N145=0)</f>
        <v>0</v>
      </c>
      <c r="O1508">
        <f>SUMPRODUCT(ABS(Rebate_Industry!O179:O186))*(Rebate_Industry!O145=0)</f>
        <v>0</v>
      </c>
      <c r="P1508">
        <f>SUMPRODUCT(ABS(Rebate_Industry!P179:P186))*(Rebate_Industry!P145=0)</f>
        <v>0</v>
      </c>
      <c r="Q1508">
        <f>SUMPRODUCT(ABS(Rebate_Industry!Q179:Q186))*(Rebate_Industry!Q145=0)</f>
        <v>0</v>
      </c>
      <c r="R1508">
        <f>SUMPRODUCT(ABS(Rebate_Industry!R179:R186))*(Rebate_Industry!R145=0)</f>
        <v>0</v>
      </c>
      <c r="S1508">
        <f>SUMPRODUCT(ABS(Rebate_Industry!S179:S186))*(Rebate_Industry!S145=0)</f>
        <v>0</v>
      </c>
      <c r="T1508">
        <f>SUMPRODUCT(ABS(Rebate_Industry!T179:T186))*(Rebate_Industry!T145=0)</f>
        <v>0</v>
      </c>
      <c r="U1508">
        <f>SUMPRODUCT(ABS(Rebate_Industry!U179:U186))*(Rebate_Industry!U145=0)</f>
        <v>0</v>
      </c>
      <c r="V1508">
        <f>SUMPRODUCT(ABS(Rebate_Industry!V179:V186))*(Rebate_Industry!V145=0)</f>
        <v>0</v>
      </c>
      <c r="W1508">
        <f>SUMPRODUCT(ABS(Rebate_Industry!W179:W186))*(Rebate_Industry!W145=0)</f>
        <v>0</v>
      </c>
      <c r="X1508">
        <f>SUMPRODUCT(ABS(Rebate_Industry!X179:X186))*(Rebate_Industry!X145=0)</f>
        <v>0</v>
      </c>
      <c r="Y1508">
        <f>SUMPRODUCT(ABS(Rebate_Industry!Y179:Y186))*(Rebate_Industry!Y145=0)</f>
        <v>0</v>
      </c>
      <c r="Z1508">
        <f>SUMPRODUCT(ABS(Rebate_Industry!Z179:Z186))*(Rebate_Industry!Z145=0)</f>
        <v>0</v>
      </c>
      <c r="AA1508">
        <f>SUMPRODUCT(ABS(Rebate_Industry!AA179:AA186))*(Rebate_Industry!AA145=0)</f>
        <v>0</v>
      </c>
      <c r="AB1508">
        <f>SUMPRODUCT(ABS(Rebate_Industry!AB179:AB186))*(Rebate_Industry!AB145=0)</f>
        <v>0</v>
      </c>
      <c r="AC1508">
        <f>SUMPRODUCT(ABS(Rebate_Industry!AC179:AC186))*(Rebate_Industry!AC145=0)</f>
        <v>0</v>
      </c>
      <c r="AD1508">
        <f>SUMPRODUCT(ABS(Rebate_Industry!AD179:AD186))*(Rebate_Industry!AD145=0)</f>
        <v>0</v>
      </c>
      <c r="AE1508">
        <f>SUMPRODUCT(ABS(Rebate_Industry!AE179:AE186))*(Rebate_Industry!AE145=0)</f>
        <v>0</v>
      </c>
    </row>
    <row r="1509" spans="1:31" x14ac:dyDescent="0.45">
      <c r="A1509" t="s">
        <v>2334</v>
      </c>
      <c r="D1509">
        <v>2</v>
      </c>
      <c r="E1509" t="s">
        <v>2067</v>
      </c>
      <c r="F1509">
        <f t="shared" ref="F1509:F1514" si="360">SUM(L1509:AE1509)</f>
        <v>0</v>
      </c>
      <c r="I1509">
        <v>0</v>
      </c>
      <c r="L1509">
        <f>SUMPRODUCT((Rebate_Industry!L189:L196&lt;-0.000000001)+(Rebate_Industry!L189:L196&gt;Rebate_Industry!L159:L166+0.000000001))</f>
        <v>0</v>
      </c>
      <c r="M1509">
        <f>SUMPRODUCT((Rebate_Industry!M189:M196&lt;-0.000000001)+(Rebate_Industry!M189:M196&gt;Rebate_Industry!M159:M166+0.000000001))</f>
        <v>0</v>
      </c>
      <c r="N1509">
        <f>SUMPRODUCT((Rebate_Industry!N189:N196&lt;-0.000000001)+(Rebate_Industry!N189:N196&gt;Rebate_Industry!N159:N166+0.000000001))</f>
        <v>0</v>
      </c>
      <c r="O1509">
        <f>SUMPRODUCT((Rebate_Industry!O189:O196&lt;-0.000000001)+(Rebate_Industry!O189:O196&gt;Rebate_Industry!O159:O166+0.000000001))</f>
        <v>0</v>
      </c>
      <c r="P1509">
        <f>SUMPRODUCT((Rebate_Industry!P189:P196&lt;-0.000000001)+(Rebate_Industry!P189:P196&gt;Rebate_Industry!P159:P166+0.000000001))</f>
        <v>0</v>
      </c>
      <c r="Q1509">
        <f>SUMPRODUCT((Rebate_Industry!Q189:Q196&lt;-0.000000001)+(Rebate_Industry!Q189:Q196&gt;Rebate_Industry!Q159:Q166+0.000000001))</f>
        <v>0</v>
      </c>
      <c r="R1509">
        <f>SUMPRODUCT((Rebate_Industry!R189:R196&lt;-0.000000001)+(Rebate_Industry!R189:R196&gt;Rebate_Industry!R159:R166+0.000000001))</f>
        <v>0</v>
      </c>
      <c r="S1509">
        <f>SUMPRODUCT((Rebate_Industry!S189:S196&lt;-0.000000001)+(Rebate_Industry!S189:S196&gt;Rebate_Industry!S159:S166+0.000000001))</f>
        <v>0</v>
      </c>
      <c r="T1509">
        <f>SUMPRODUCT((Rebate_Industry!T189:T196&lt;-0.000000001)+(Rebate_Industry!T189:T196&gt;Rebate_Industry!T159:T166+0.000000001))</f>
        <v>0</v>
      </c>
      <c r="U1509">
        <f>SUMPRODUCT((Rebate_Industry!U189:U196&lt;-0.000000001)+(Rebate_Industry!U189:U196&gt;Rebate_Industry!U159:U166+0.000000001))</f>
        <v>0</v>
      </c>
      <c r="V1509">
        <f>SUMPRODUCT((Rebate_Industry!V189:V196&lt;-0.000000001)+(Rebate_Industry!V189:V196&gt;Rebate_Industry!V159:V166+0.000000001))</f>
        <v>0</v>
      </c>
      <c r="W1509">
        <f>SUMPRODUCT((Rebate_Industry!W189:W196&lt;-0.000000001)+(Rebate_Industry!W189:W196&gt;Rebate_Industry!W159:W166+0.000000001))</f>
        <v>0</v>
      </c>
      <c r="X1509">
        <f>SUMPRODUCT((Rebate_Industry!X189:X196&lt;-0.000000001)+(Rebate_Industry!X189:X196&gt;Rebate_Industry!X159:X166+0.000000001))</f>
        <v>0</v>
      </c>
      <c r="Y1509">
        <f>SUMPRODUCT((Rebate_Industry!Y189:Y196&lt;-0.000000001)+(Rebate_Industry!Y189:Y196&gt;Rebate_Industry!Y159:Y166+0.000000001))</f>
        <v>0</v>
      </c>
      <c r="Z1509">
        <f>SUMPRODUCT((Rebate_Industry!Z189:Z196&lt;-0.000000001)+(Rebate_Industry!Z189:Z196&gt;Rebate_Industry!Z159:Z166+0.000000001))</f>
        <v>0</v>
      </c>
      <c r="AA1509">
        <f>SUMPRODUCT((Rebate_Industry!AA189:AA196&lt;-0.000000001)+(Rebate_Industry!AA189:AA196&gt;Rebate_Industry!AA159:AA166+0.000000001))</f>
        <v>0</v>
      </c>
      <c r="AB1509">
        <f>SUMPRODUCT((Rebate_Industry!AB189:AB196&lt;-0.000000001)+(Rebate_Industry!AB189:AB196&gt;Rebate_Industry!AB159:AB166+0.000000001))</f>
        <v>0</v>
      </c>
      <c r="AC1509">
        <f>SUMPRODUCT((Rebate_Industry!AC189:AC196&lt;-0.000000001)+(Rebate_Industry!AC189:AC196&gt;Rebate_Industry!AC159:AC166+0.000000001))</f>
        <v>0</v>
      </c>
      <c r="AD1509">
        <f>SUMPRODUCT((Rebate_Industry!AD189:AD196&lt;-0.000000001)+(Rebate_Industry!AD189:AD196&gt;Rebate_Industry!AD159:AD166+0.000000001))</f>
        <v>0</v>
      </c>
      <c r="AE1509">
        <f>SUMPRODUCT((Rebate_Industry!AE189:AE196&lt;-0.000000001)+(Rebate_Industry!AE189:AE196&gt;Rebate_Industry!AE159:AE166+0.000000001))</f>
        <v>0</v>
      </c>
    </row>
    <row r="1510" spans="1:31" x14ac:dyDescent="0.45">
      <c r="A1510" t="s">
        <v>2335</v>
      </c>
      <c r="D1510">
        <v>2</v>
      </c>
      <c r="E1510" t="s">
        <v>2067</v>
      </c>
      <c r="F1510">
        <f t="shared" si="360"/>
        <v>0</v>
      </c>
      <c r="I1510">
        <v>0</v>
      </c>
      <c r="L1510">
        <f>SUMPRODUCT((Rebate_Industry!L223:L231&gt;Mitigation_Industry!L416:L424+0.000000001)+(Rebate_Industry!L223:L231&lt;Mitigation_Industry!L406:L414-0.000000001))</f>
        <v>0</v>
      </c>
      <c r="M1510">
        <f>SUMPRODUCT((Rebate_Industry!M223:M231&gt;Mitigation_Industry!M416:M424+0.000000001)+(Rebate_Industry!M223:M231&lt;Mitigation_Industry!M406:M414-0.000000001))</f>
        <v>0</v>
      </c>
      <c r="N1510">
        <f>SUMPRODUCT((Rebate_Industry!N223:N231&gt;Mitigation_Industry!N416:N424+0.000000001)+(Rebate_Industry!N223:N231&lt;Mitigation_Industry!N406:N414-0.000000001))</f>
        <v>0</v>
      </c>
      <c r="O1510">
        <f>SUMPRODUCT((Rebate_Industry!O223:O231&gt;Mitigation_Industry!O416:O424+0.000000001)+(Rebate_Industry!O223:O231&lt;Mitigation_Industry!O406:O414-0.000000001))</f>
        <v>0</v>
      </c>
      <c r="P1510">
        <f>SUMPRODUCT((Rebate_Industry!P223:P231&gt;Mitigation_Industry!P416:P424+0.000000001)+(Rebate_Industry!P223:P231&lt;Mitigation_Industry!P406:P414-0.000000001))</f>
        <v>0</v>
      </c>
      <c r="Q1510">
        <f>SUMPRODUCT((Rebate_Industry!Q223:Q231&gt;Mitigation_Industry!Q416:Q424+0.000000001)+(Rebate_Industry!Q223:Q231&lt;Mitigation_Industry!Q406:Q414-0.000000001))</f>
        <v>0</v>
      </c>
      <c r="R1510">
        <f>SUMPRODUCT((Rebate_Industry!R223:R231&gt;Mitigation_Industry!R416:R424+0.000000001)+(Rebate_Industry!R223:R231&lt;Mitigation_Industry!R406:R414-0.000000001))</f>
        <v>0</v>
      </c>
      <c r="S1510">
        <f>SUMPRODUCT((Rebate_Industry!S223:S231&gt;Mitigation_Industry!S416:S424+0.000000001)+(Rebate_Industry!S223:S231&lt;Mitigation_Industry!S406:S414-0.000000001))</f>
        <v>0</v>
      </c>
      <c r="T1510">
        <f>SUMPRODUCT((Rebate_Industry!T223:T231&gt;Mitigation_Industry!T416:T424+0.000000001)+(Rebate_Industry!T223:T231&lt;Mitigation_Industry!T406:T414-0.000000001))</f>
        <v>0</v>
      </c>
      <c r="U1510">
        <f>SUMPRODUCT((Rebate_Industry!U223:U231&gt;Mitigation_Industry!U416:U424+0.000000001)+(Rebate_Industry!U223:U231&lt;Mitigation_Industry!U406:U414-0.000000001))</f>
        <v>0</v>
      </c>
      <c r="V1510">
        <f>SUMPRODUCT((Rebate_Industry!V223:V231&gt;Mitigation_Industry!V416:V424+0.000000001)+(Rebate_Industry!V223:V231&lt;Mitigation_Industry!V406:V414-0.000000001))</f>
        <v>0</v>
      </c>
      <c r="W1510">
        <f>SUMPRODUCT((Rebate_Industry!W223:W231&gt;Mitigation_Industry!W416:W424+0.000000001)+(Rebate_Industry!W223:W231&lt;Mitigation_Industry!W406:W414-0.000000001))</f>
        <v>0</v>
      </c>
      <c r="X1510">
        <f>SUMPRODUCT((Rebate_Industry!X223:X231&gt;Mitigation_Industry!X416:X424+0.000000001)+(Rebate_Industry!X223:X231&lt;Mitigation_Industry!X406:X414-0.000000001))</f>
        <v>0</v>
      </c>
      <c r="Y1510">
        <f>SUMPRODUCT((Rebate_Industry!Y223:Y231&gt;Mitigation_Industry!Y416:Y424+0.000000001)+(Rebate_Industry!Y223:Y231&lt;Mitigation_Industry!Y406:Y414-0.000000001))</f>
        <v>0</v>
      </c>
      <c r="Z1510">
        <f>SUMPRODUCT((Rebate_Industry!Z223:Z231&gt;Mitigation_Industry!Z416:Z424+0.000000001)+(Rebate_Industry!Z223:Z231&lt;Mitigation_Industry!Z406:Z414-0.000000001))</f>
        <v>0</v>
      </c>
      <c r="AA1510">
        <f>SUMPRODUCT((Rebate_Industry!AA223:AA231&gt;Mitigation_Industry!AA416:AA424+0.000000001)+(Rebate_Industry!AA223:AA231&lt;Mitigation_Industry!AA406:AA414-0.000000001))</f>
        <v>0</v>
      </c>
      <c r="AB1510">
        <f>SUMPRODUCT((Rebate_Industry!AB223:AB231&gt;Mitigation_Industry!AB416:AB424+0.000000001)+(Rebate_Industry!AB223:AB231&lt;Mitigation_Industry!AB406:AB414-0.000000001))</f>
        <v>0</v>
      </c>
      <c r="AC1510">
        <f>SUMPRODUCT((Rebate_Industry!AC223:AC231&gt;Mitigation_Industry!AC416:AC424+0.000000001)+(Rebate_Industry!AC223:AC231&lt;Mitigation_Industry!AC406:AC414-0.000000001))</f>
        <v>0</v>
      </c>
      <c r="AD1510">
        <f>SUMPRODUCT((Rebate_Industry!AD223:AD231&gt;Mitigation_Industry!AD416:AD424+0.000000001)+(Rebate_Industry!AD223:AD231&lt;Mitigation_Industry!AD406:AD414-0.000000001))</f>
        <v>0</v>
      </c>
      <c r="AE1510">
        <f>SUMPRODUCT((Rebate_Industry!AE223:AE231&gt;Mitigation_Industry!AE416:AE424+0.000000001)+(Rebate_Industry!AE223:AE231&lt;Mitigation_Industry!AE406:AE414-0.000000001))</f>
        <v>0</v>
      </c>
    </row>
    <row r="1511" spans="1:31" x14ac:dyDescent="0.45">
      <c r="A1511" t="s">
        <v>2336</v>
      </c>
      <c r="D1511">
        <v>2</v>
      </c>
      <c r="E1511" t="s">
        <v>2067</v>
      </c>
      <c r="F1511">
        <f t="shared" si="360"/>
        <v>0</v>
      </c>
      <c r="I1511">
        <v>0</v>
      </c>
      <c r="L1511">
        <f>SUMPRODUCT((Rebate_Industry!L237:L245&gt;Mitigation_Industry!L476:L484+0.000000001)+(Rebate_Industry!L237:L245&lt;Mitigation_Industry!L466:L474-0.000000001))</f>
        <v>0</v>
      </c>
      <c r="M1511">
        <f>SUMPRODUCT((Rebate_Industry!M237:M245&gt;Mitigation_Industry!M476:M484+0.000000001)+(Rebate_Industry!M237:M245&lt;Mitigation_Industry!M466:M474-0.000000001))</f>
        <v>0</v>
      </c>
      <c r="N1511">
        <f>SUMPRODUCT((Rebate_Industry!N237:N245&gt;Mitigation_Industry!N476:N484+0.000000001)+(Rebate_Industry!N237:N245&lt;Mitigation_Industry!N466:N474-0.000000001))</f>
        <v>0</v>
      </c>
      <c r="O1511">
        <f>SUMPRODUCT((Rebate_Industry!O237:O245&gt;Mitigation_Industry!O476:O484+0.000000001)+(Rebate_Industry!O237:O245&lt;Mitigation_Industry!O466:O474-0.000000001))</f>
        <v>0</v>
      </c>
      <c r="P1511">
        <f>SUMPRODUCT((Rebate_Industry!P237:P245&gt;Mitigation_Industry!P476:P484+0.000000001)+(Rebate_Industry!P237:P245&lt;Mitigation_Industry!P466:P474-0.000000001))</f>
        <v>0</v>
      </c>
      <c r="Q1511">
        <f>SUMPRODUCT((Rebate_Industry!Q237:Q245&gt;Mitigation_Industry!Q476:Q484+0.000000001)+(Rebate_Industry!Q237:Q245&lt;Mitigation_Industry!Q466:Q474-0.000000001))</f>
        <v>0</v>
      </c>
      <c r="R1511">
        <f>SUMPRODUCT((Rebate_Industry!R237:R245&gt;Mitigation_Industry!R476:R484+0.000000001)+(Rebate_Industry!R237:R245&lt;Mitigation_Industry!R466:R474-0.000000001))</f>
        <v>0</v>
      </c>
      <c r="S1511">
        <f>SUMPRODUCT((Rebate_Industry!S237:S245&gt;Mitigation_Industry!S476:S484+0.000000001)+(Rebate_Industry!S237:S245&lt;Mitigation_Industry!S466:S474-0.000000001))</f>
        <v>0</v>
      </c>
      <c r="T1511">
        <f>SUMPRODUCT((Rebate_Industry!T237:T245&gt;Mitigation_Industry!T476:T484+0.000000001)+(Rebate_Industry!T237:T245&lt;Mitigation_Industry!T466:T474-0.000000001))</f>
        <v>0</v>
      </c>
      <c r="U1511">
        <f>SUMPRODUCT((Rebate_Industry!U237:U245&gt;Mitigation_Industry!U476:U484+0.000000001)+(Rebate_Industry!U237:U245&lt;Mitigation_Industry!U466:U474-0.000000001))</f>
        <v>0</v>
      </c>
      <c r="V1511">
        <f>SUMPRODUCT((Rebate_Industry!V237:V245&gt;Mitigation_Industry!V476:V484+0.000000001)+(Rebate_Industry!V237:V245&lt;Mitigation_Industry!V466:V474-0.000000001))</f>
        <v>0</v>
      </c>
      <c r="W1511">
        <f>SUMPRODUCT((Rebate_Industry!W237:W245&gt;Mitigation_Industry!W476:W484+0.000000001)+(Rebate_Industry!W237:W245&lt;Mitigation_Industry!W466:W474-0.000000001))</f>
        <v>0</v>
      </c>
      <c r="X1511">
        <f>SUMPRODUCT((Rebate_Industry!X237:X245&gt;Mitigation_Industry!X476:X484+0.000000001)+(Rebate_Industry!X237:X245&lt;Mitigation_Industry!X466:X474-0.000000001))</f>
        <v>0</v>
      </c>
      <c r="Y1511">
        <f>SUMPRODUCT((Rebate_Industry!Y237:Y245&gt;Mitigation_Industry!Y476:Y484+0.000000001)+(Rebate_Industry!Y237:Y245&lt;Mitigation_Industry!Y466:Y474-0.000000001))</f>
        <v>0</v>
      </c>
      <c r="Z1511">
        <f>SUMPRODUCT((Rebate_Industry!Z237:Z245&gt;Mitigation_Industry!Z476:Z484+0.000000001)+(Rebate_Industry!Z237:Z245&lt;Mitigation_Industry!Z466:Z474-0.000000001))</f>
        <v>0</v>
      </c>
      <c r="AA1511">
        <f>SUMPRODUCT((Rebate_Industry!AA237:AA245&gt;Mitigation_Industry!AA476:AA484+0.000000001)+(Rebate_Industry!AA237:AA245&lt;Mitigation_Industry!AA466:AA474-0.000000001))</f>
        <v>0</v>
      </c>
      <c r="AB1511">
        <f>SUMPRODUCT((Rebate_Industry!AB237:AB245&gt;Mitigation_Industry!AB476:AB484+0.000000001)+(Rebate_Industry!AB237:AB245&lt;Mitigation_Industry!AB466:AB474-0.000000001))</f>
        <v>0</v>
      </c>
      <c r="AC1511">
        <f>SUMPRODUCT((Rebate_Industry!AC237:AC245&gt;Mitigation_Industry!AC476:AC484+0.000000001)+(Rebate_Industry!AC237:AC245&lt;Mitigation_Industry!AC466:AC474-0.000000001))</f>
        <v>0</v>
      </c>
      <c r="AD1511">
        <f>SUMPRODUCT((Rebate_Industry!AD237:AD245&gt;Mitigation_Industry!AD476:AD484+0.000000001)+(Rebate_Industry!AD237:AD245&lt;Mitigation_Industry!AD466:AD474-0.000000001))</f>
        <v>0</v>
      </c>
      <c r="AE1511">
        <f>SUMPRODUCT((Rebate_Industry!AE237:AE245&gt;Mitigation_Industry!AE476:AE484+0.000000001)+(Rebate_Industry!AE237:AE245&lt;Mitigation_Industry!AE466:AE474-0.000000001))</f>
        <v>0</v>
      </c>
    </row>
    <row r="1512" spans="1:31" x14ac:dyDescent="0.45">
      <c r="A1512" t="s">
        <v>2337</v>
      </c>
      <c r="D1512">
        <v>2</v>
      </c>
      <c r="E1512" t="s">
        <v>2067</v>
      </c>
      <c r="F1512">
        <f t="shared" si="360"/>
        <v>0</v>
      </c>
      <c r="I1512">
        <v>0</v>
      </c>
      <c r="L1512">
        <f>SUMPRODUCT((Rebate_Industry!L251:L259&gt;Mitigation_Industry!L536:L544+0.000000001)+(Rebate_Industry!L251:L259&lt;Mitigation_Industry!L526:L534-0.000000001))</f>
        <v>0</v>
      </c>
      <c r="M1512">
        <f>SUMPRODUCT((Rebate_Industry!M251:M259&gt;Mitigation_Industry!M536:M544+0.000000001)+(Rebate_Industry!M251:M259&lt;Mitigation_Industry!M526:M534-0.000000001))</f>
        <v>0</v>
      </c>
      <c r="N1512">
        <f>SUMPRODUCT((Rebate_Industry!N251:N259&gt;Mitigation_Industry!N536:N544+0.000000001)+(Rebate_Industry!N251:N259&lt;Mitigation_Industry!N526:N534-0.000000001))</f>
        <v>0</v>
      </c>
      <c r="O1512">
        <f>SUMPRODUCT((Rebate_Industry!O251:O259&gt;Mitigation_Industry!O536:O544+0.000000001)+(Rebate_Industry!O251:O259&lt;Mitigation_Industry!O526:O534-0.000000001))</f>
        <v>0</v>
      </c>
      <c r="P1512">
        <f>SUMPRODUCT((Rebate_Industry!P251:P259&gt;Mitigation_Industry!P536:P544+0.000000001)+(Rebate_Industry!P251:P259&lt;Mitigation_Industry!P526:P534-0.000000001))</f>
        <v>0</v>
      </c>
      <c r="Q1512">
        <f>SUMPRODUCT((Rebate_Industry!Q251:Q259&gt;Mitigation_Industry!Q536:Q544+0.000000001)+(Rebate_Industry!Q251:Q259&lt;Mitigation_Industry!Q526:Q534-0.000000001))</f>
        <v>0</v>
      </c>
      <c r="R1512">
        <f>SUMPRODUCT((Rebate_Industry!R251:R259&gt;Mitigation_Industry!R536:R544+0.000000001)+(Rebate_Industry!R251:R259&lt;Mitigation_Industry!R526:R534-0.000000001))</f>
        <v>0</v>
      </c>
      <c r="S1512">
        <f>SUMPRODUCT((Rebate_Industry!S251:S259&gt;Mitigation_Industry!S536:S544+0.000000001)+(Rebate_Industry!S251:S259&lt;Mitigation_Industry!S526:S534-0.000000001))</f>
        <v>0</v>
      </c>
      <c r="T1512">
        <f>SUMPRODUCT((Rebate_Industry!T251:T259&gt;Mitigation_Industry!T536:T544+0.000000001)+(Rebate_Industry!T251:T259&lt;Mitigation_Industry!T526:T534-0.000000001))</f>
        <v>0</v>
      </c>
      <c r="U1512">
        <f>SUMPRODUCT((Rebate_Industry!U251:U259&gt;Mitigation_Industry!U536:U544+0.000000001)+(Rebate_Industry!U251:U259&lt;Mitigation_Industry!U526:U534-0.000000001))</f>
        <v>0</v>
      </c>
      <c r="V1512">
        <f>SUMPRODUCT((Rebate_Industry!V251:V259&gt;Mitigation_Industry!V536:V544+0.000000001)+(Rebate_Industry!V251:V259&lt;Mitigation_Industry!V526:V534-0.000000001))</f>
        <v>0</v>
      </c>
      <c r="W1512">
        <f>SUMPRODUCT((Rebate_Industry!W251:W259&gt;Mitigation_Industry!W536:W544+0.000000001)+(Rebate_Industry!W251:W259&lt;Mitigation_Industry!W526:W534-0.000000001))</f>
        <v>0</v>
      </c>
      <c r="X1512">
        <f>SUMPRODUCT((Rebate_Industry!X251:X259&gt;Mitigation_Industry!X536:X544+0.000000001)+(Rebate_Industry!X251:X259&lt;Mitigation_Industry!X526:X534-0.000000001))</f>
        <v>0</v>
      </c>
      <c r="Y1512">
        <f>SUMPRODUCT((Rebate_Industry!Y251:Y259&gt;Mitigation_Industry!Y536:Y544+0.000000001)+(Rebate_Industry!Y251:Y259&lt;Mitigation_Industry!Y526:Y534-0.000000001))</f>
        <v>0</v>
      </c>
      <c r="Z1512">
        <f>SUMPRODUCT((Rebate_Industry!Z251:Z259&gt;Mitigation_Industry!Z536:Z544+0.000000001)+(Rebate_Industry!Z251:Z259&lt;Mitigation_Industry!Z526:Z534-0.000000001))</f>
        <v>0</v>
      </c>
      <c r="AA1512">
        <f>SUMPRODUCT((Rebate_Industry!AA251:AA259&gt;Mitigation_Industry!AA536:AA544+0.000000001)+(Rebate_Industry!AA251:AA259&lt;Mitigation_Industry!AA526:AA534-0.000000001))</f>
        <v>0</v>
      </c>
      <c r="AB1512">
        <f>SUMPRODUCT((Rebate_Industry!AB251:AB259&gt;Mitigation_Industry!AB536:AB544+0.000000001)+(Rebate_Industry!AB251:AB259&lt;Mitigation_Industry!AB526:AB534-0.000000001))</f>
        <v>0</v>
      </c>
      <c r="AC1512">
        <f>SUMPRODUCT((Rebate_Industry!AC251:AC259&gt;Mitigation_Industry!AC536:AC544+0.000000001)+(Rebate_Industry!AC251:AC259&lt;Mitigation_Industry!AC526:AC534-0.000000001))</f>
        <v>0</v>
      </c>
      <c r="AD1512">
        <f>SUMPRODUCT((Rebate_Industry!AD251:AD259&gt;Mitigation_Industry!AD536:AD544+0.000000001)+(Rebate_Industry!AD251:AD259&lt;Mitigation_Industry!AD526:AD534-0.000000001))</f>
        <v>0</v>
      </c>
      <c r="AE1512">
        <f>SUMPRODUCT((Rebate_Industry!AE251:AE259&gt;Mitigation_Industry!AE536:AE544+0.000000001)+(Rebate_Industry!AE251:AE259&lt;Mitigation_Industry!AE526:AE534-0.000000001))</f>
        <v>0</v>
      </c>
    </row>
    <row r="1513" spans="1:31" x14ac:dyDescent="0.45">
      <c r="A1513" t="s">
        <v>2338</v>
      </c>
      <c r="D1513">
        <v>2</v>
      </c>
      <c r="E1513" t="s">
        <v>2067</v>
      </c>
      <c r="F1513">
        <f t="shared" si="360"/>
        <v>0</v>
      </c>
      <c r="I1513">
        <v>0</v>
      </c>
      <c r="L1513">
        <f>SUMPRODUCT((Rebate_Industry!L265:L273&gt;Mitigation_Industry!L596:L604+0.000000001)+(Rebate_Industry!L265:L273&lt;Mitigation_Industry!L586:L594-0.000000001))</f>
        <v>0</v>
      </c>
      <c r="M1513">
        <f>SUMPRODUCT((Rebate_Industry!M265:M273&gt;Mitigation_Industry!M596:M604+0.000000001)+(Rebate_Industry!M265:M273&lt;Mitigation_Industry!M586:M594-0.000000001))</f>
        <v>0</v>
      </c>
      <c r="N1513">
        <f>SUMPRODUCT((Rebate_Industry!N265:N273&gt;Mitigation_Industry!N596:N604+0.000000001)+(Rebate_Industry!N265:N273&lt;Mitigation_Industry!N586:N594-0.000000001))</f>
        <v>0</v>
      </c>
      <c r="O1513">
        <f>SUMPRODUCT((Rebate_Industry!O265:O273&gt;Mitigation_Industry!O596:O604+0.000000001)+(Rebate_Industry!O265:O273&lt;Mitigation_Industry!O586:O594-0.000000001))</f>
        <v>0</v>
      </c>
      <c r="P1513">
        <f>SUMPRODUCT((Rebate_Industry!P265:P273&gt;Mitigation_Industry!P596:P604+0.000000001)+(Rebate_Industry!P265:P273&lt;Mitigation_Industry!P586:P594-0.000000001))</f>
        <v>0</v>
      </c>
      <c r="Q1513">
        <f>SUMPRODUCT((Rebate_Industry!Q265:Q273&gt;Mitigation_Industry!Q596:Q604+0.000000001)+(Rebate_Industry!Q265:Q273&lt;Mitigation_Industry!Q586:Q594-0.000000001))</f>
        <v>0</v>
      </c>
      <c r="R1513">
        <f>SUMPRODUCT((Rebate_Industry!R265:R273&gt;Mitigation_Industry!R596:R604+0.000000001)+(Rebate_Industry!R265:R273&lt;Mitigation_Industry!R586:R594-0.000000001))</f>
        <v>0</v>
      </c>
      <c r="S1513">
        <f>SUMPRODUCT((Rebate_Industry!S265:S273&gt;Mitigation_Industry!S596:S604+0.000000001)+(Rebate_Industry!S265:S273&lt;Mitigation_Industry!S586:S594-0.000000001))</f>
        <v>0</v>
      </c>
      <c r="T1513">
        <f>SUMPRODUCT((Rebate_Industry!T265:T273&gt;Mitigation_Industry!T596:T604+0.000000001)+(Rebate_Industry!T265:T273&lt;Mitigation_Industry!T586:T594-0.000000001))</f>
        <v>0</v>
      </c>
      <c r="U1513">
        <f>SUMPRODUCT((Rebate_Industry!U265:U273&gt;Mitigation_Industry!U596:U604+0.000000001)+(Rebate_Industry!U265:U273&lt;Mitigation_Industry!U586:U594-0.000000001))</f>
        <v>0</v>
      </c>
      <c r="V1513">
        <f>SUMPRODUCT((Rebate_Industry!V265:V273&gt;Mitigation_Industry!V596:V604+0.000000001)+(Rebate_Industry!V265:V273&lt;Mitigation_Industry!V586:V594-0.000000001))</f>
        <v>0</v>
      </c>
      <c r="W1513">
        <f>SUMPRODUCT((Rebate_Industry!W265:W273&gt;Mitigation_Industry!W596:W604+0.000000001)+(Rebate_Industry!W265:W273&lt;Mitigation_Industry!W586:W594-0.000000001))</f>
        <v>0</v>
      </c>
      <c r="X1513">
        <f>SUMPRODUCT((Rebate_Industry!X265:X273&gt;Mitigation_Industry!X596:X604+0.000000001)+(Rebate_Industry!X265:X273&lt;Mitigation_Industry!X586:X594-0.000000001))</f>
        <v>0</v>
      </c>
      <c r="Y1513">
        <f>SUMPRODUCT((Rebate_Industry!Y265:Y273&gt;Mitigation_Industry!Y596:Y604+0.000000001)+(Rebate_Industry!Y265:Y273&lt;Mitigation_Industry!Y586:Y594-0.000000001))</f>
        <v>0</v>
      </c>
      <c r="Z1513">
        <f>SUMPRODUCT((Rebate_Industry!Z265:Z273&gt;Mitigation_Industry!Z596:Z604+0.000000001)+(Rebate_Industry!Z265:Z273&lt;Mitigation_Industry!Z586:Z594-0.000000001))</f>
        <v>0</v>
      </c>
      <c r="AA1513">
        <f>SUMPRODUCT((Rebate_Industry!AA265:AA273&gt;Mitigation_Industry!AA596:AA604+0.000000001)+(Rebate_Industry!AA265:AA273&lt;Mitigation_Industry!AA586:AA594-0.000000001))</f>
        <v>0</v>
      </c>
      <c r="AB1513">
        <f>SUMPRODUCT((Rebate_Industry!AB265:AB273&gt;Mitigation_Industry!AB596:AB604+0.000000001)+(Rebate_Industry!AB265:AB273&lt;Mitigation_Industry!AB586:AB594-0.000000001))</f>
        <v>0</v>
      </c>
      <c r="AC1513">
        <f>SUMPRODUCT((Rebate_Industry!AC265:AC273&gt;Mitigation_Industry!AC596:AC604+0.000000001)+(Rebate_Industry!AC265:AC273&lt;Mitigation_Industry!AC586:AC594-0.000000001))</f>
        <v>0</v>
      </c>
      <c r="AD1513">
        <f>SUMPRODUCT((Rebate_Industry!AD265:AD273&gt;Mitigation_Industry!AD596:AD604+0.000000001)+(Rebate_Industry!AD265:AD273&lt;Mitigation_Industry!AD586:AD594-0.000000001))</f>
        <v>0</v>
      </c>
      <c r="AE1513">
        <f>SUMPRODUCT((Rebate_Industry!AE265:AE273&gt;Mitigation_Industry!AE596:AE604+0.000000001)+(Rebate_Industry!AE265:AE273&lt;Mitigation_Industry!AE586:AE594-0.000000001))</f>
        <v>0</v>
      </c>
    </row>
    <row r="1514" spans="1:31" x14ac:dyDescent="0.45">
      <c r="A1514" t="s">
        <v>2339</v>
      </c>
      <c r="D1514">
        <v>2</v>
      </c>
      <c r="E1514" t="s">
        <v>2067</v>
      </c>
      <c r="F1514">
        <f t="shared" si="360"/>
        <v>0</v>
      </c>
      <c r="I1514">
        <v>0</v>
      </c>
      <c r="L1514">
        <f>(Rebate_Industry!L222&lt;0)+(Rebate_Industry!L222&gt;1)+(Rebate_Industry!L236&lt;0)+(Rebate_Industry!L236&gt;1)+(Rebate_Industry!L250&lt;0)+(Rebate_Industry!L250&gt;1)+(Rebate_Industry!L264&lt;0)+(Rebate_Industry!L264&gt;1)</f>
        <v>0</v>
      </c>
      <c r="M1514">
        <f>(Rebate_Industry!M222&lt;0)+(Rebate_Industry!M222&gt;1)+(Rebate_Industry!M236&lt;0)+(Rebate_Industry!M236&gt;1)+(Rebate_Industry!M250&lt;0)+(Rebate_Industry!M250&gt;1)+(Rebate_Industry!M264&lt;0)+(Rebate_Industry!M264&gt;1)</f>
        <v>0</v>
      </c>
      <c r="N1514">
        <f>(Rebate_Industry!N222&lt;0)+(Rebate_Industry!N222&gt;1)+(Rebate_Industry!N236&lt;0)+(Rebate_Industry!N236&gt;1)+(Rebate_Industry!N250&lt;0)+(Rebate_Industry!N250&gt;1)+(Rebate_Industry!N264&lt;0)+(Rebate_Industry!N264&gt;1)</f>
        <v>0</v>
      </c>
      <c r="O1514">
        <f>(Rebate_Industry!O222&lt;0)+(Rebate_Industry!O222&gt;1)+(Rebate_Industry!O236&lt;0)+(Rebate_Industry!O236&gt;1)+(Rebate_Industry!O250&lt;0)+(Rebate_Industry!O250&gt;1)+(Rebate_Industry!O264&lt;0)+(Rebate_Industry!O264&gt;1)</f>
        <v>0</v>
      </c>
      <c r="P1514">
        <f>(Rebate_Industry!P222&lt;0)+(Rebate_Industry!P222&gt;1)+(Rebate_Industry!P236&lt;0)+(Rebate_Industry!P236&gt;1)+(Rebate_Industry!P250&lt;0)+(Rebate_Industry!P250&gt;1)+(Rebate_Industry!P264&lt;0)+(Rebate_Industry!P264&gt;1)</f>
        <v>0</v>
      </c>
      <c r="Q1514">
        <f>(Rebate_Industry!Q222&lt;0)+(Rebate_Industry!Q222&gt;1)+(Rebate_Industry!Q236&lt;0)+(Rebate_Industry!Q236&gt;1)+(Rebate_Industry!Q250&lt;0)+(Rebate_Industry!Q250&gt;1)+(Rebate_Industry!Q264&lt;0)+(Rebate_Industry!Q264&gt;1)</f>
        <v>0</v>
      </c>
      <c r="R1514">
        <f>(Rebate_Industry!R222&lt;0)+(Rebate_Industry!R222&gt;1)+(Rebate_Industry!R236&lt;0)+(Rebate_Industry!R236&gt;1)+(Rebate_Industry!R250&lt;0)+(Rebate_Industry!R250&gt;1)+(Rebate_Industry!R264&lt;0)+(Rebate_Industry!R264&gt;1)</f>
        <v>0</v>
      </c>
      <c r="S1514">
        <f>(Rebate_Industry!S222&lt;0)+(Rebate_Industry!S222&gt;1)+(Rebate_Industry!S236&lt;0)+(Rebate_Industry!S236&gt;1)+(Rebate_Industry!S250&lt;0)+(Rebate_Industry!S250&gt;1)+(Rebate_Industry!S264&lt;0)+(Rebate_Industry!S264&gt;1)</f>
        <v>0</v>
      </c>
      <c r="T1514">
        <f>(Rebate_Industry!T222&lt;0)+(Rebate_Industry!T222&gt;1)+(Rebate_Industry!T236&lt;0)+(Rebate_Industry!T236&gt;1)+(Rebate_Industry!T250&lt;0)+(Rebate_Industry!T250&gt;1)+(Rebate_Industry!T264&lt;0)+(Rebate_Industry!T264&gt;1)</f>
        <v>0</v>
      </c>
      <c r="U1514">
        <f>(Rebate_Industry!U222&lt;0)+(Rebate_Industry!U222&gt;1)+(Rebate_Industry!U236&lt;0)+(Rebate_Industry!U236&gt;1)+(Rebate_Industry!U250&lt;0)+(Rebate_Industry!U250&gt;1)+(Rebate_Industry!U264&lt;0)+(Rebate_Industry!U264&gt;1)</f>
        <v>0</v>
      </c>
      <c r="V1514">
        <f>(Rebate_Industry!V222&lt;0)+(Rebate_Industry!V222&gt;1)+(Rebate_Industry!V236&lt;0)+(Rebate_Industry!V236&gt;1)+(Rebate_Industry!V250&lt;0)+(Rebate_Industry!V250&gt;1)+(Rebate_Industry!V264&lt;0)+(Rebate_Industry!V264&gt;1)</f>
        <v>0</v>
      </c>
      <c r="W1514">
        <f>(Rebate_Industry!W222&lt;0)+(Rebate_Industry!W222&gt;1)+(Rebate_Industry!W236&lt;0)+(Rebate_Industry!W236&gt;1)+(Rebate_Industry!W250&lt;0)+(Rebate_Industry!W250&gt;1)+(Rebate_Industry!W264&lt;0)+(Rebate_Industry!W264&gt;1)</f>
        <v>0</v>
      </c>
      <c r="X1514">
        <f>(Rebate_Industry!X222&lt;0)+(Rebate_Industry!X222&gt;1)+(Rebate_Industry!X236&lt;0)+(Rebate_Industry!X236&gt;1)+(Rebate_Industry!X250&lt;0)+(Rebate_Industry!X250&gt;1)+(Rebate_Industry!X264&lt;0)+(Rebate_Industry!X264&gt;1)</f>
        <v>0</v>
      </c>
      <c r="Y1514">
        <f>(Rebate_Industry!Y222&lt;0)+(Rebate_Industry!Y222&gt;1)+(Rebate_Industry!Y236&lt;0)+(Rebate_Industry!Y236&gt;1)+(Rebate_Industry!Y250&lt;0)+(Rebate_Industry!Y250&gt;1)+(Rebate_Industry!Y264&lt;0)+(Rebate_Industry!Y264&gt;1)</f>
        <v>0</v>
      </c>
      <c r="Z1514">
        <f>(Rebate_Industry!Z222&lt;0)+(Rebate_Industry!Z222&gt;1)+(Rebate_Industry!Z236&lt;0)+(Rebate_Industry!Z236&gt;1)+(Rebate_Industry!Z250&lt;0)+(Rebate_Industry!Z250&gt;1)+(Rebate_Industry!Z264&lt;0)+(Rebate_Industry!Z264&gt;1)</f>
        <v>0</v>
      </c>
      <c r="AA1514">
        <f>(Rebate_Industry!AA222&lt;0)+(Rebate_Industry!AA222&gt;1)+(Rebate_Industry!AA236&lt;0)+(Rebate_Industry!AA236&gt;1)+(Rebate_Industry!AA250&lt;0)+(Rebate_Industry!AA250&gt;1)+(Rebate_Industry!AA264&lt;0)+(Rebate_Industry!AA264&gt;1)</f>
        <v>0</v>
      </c>
      <c r="AB1514">
        <f>(Rebate_Industry!AB222&lt;0)+(Rebate_Industry!AB222&gt;1)+(Rebate_Industry!AB236&lt;0)+(Rebate_Industry!AB236&gt;1)+(Rebate_Industry!AB250&lt;0)+(Rebate_Industry!AB250&gt;1)+(Rebate_Industry!AB264&lt;0)+(Rebate_Industry!AB264&gt;1)</f>
        <v>0</v>
      </c>
      <c r="AC1514">
        <f>(Rebate_Industry!AC222&lt;0)+(Rebate_Industry!AC222&gt;1)+(Rebate_Industry!AC236&lt;0)+(Rebate_Industry!AC236&gt;1)+(Rebate_Industry!AC250&lt;0)+(Rebate_Industry!AC250&gt;1)+(Rebate_Industry!AC264&lt;0)+(Rebate_Industry!AC264&gt;1)</f>
        <v>0</v>
      </c>
      <c r="AD1514">
        <f>(Rebate_Industry!AD222&lt;0)+(Rebate_Industry!AD222&gt;1)+(Rebate_Industry!AD236&lt;0)+(Rebate_Industry!AD236&gt;1)+(Rebate_Industry!AD250&lt;0)+(Rebate_Industry!AD250&gt;1)+(Rebate_Industry!AD264&lt;0)+(Rebate_Industry!AD264&gt;1)</f>
        <v>0</v>
      </c>
      <c r="AE1514">
        <f>(Rebate_Industry!AE222&lt;0)+(Rebate_Industry!AE222&gt;1)+(Rebate_Industry!AE236&lt;0)+(Rebate_Industry!AE236&gt;1)+(Rebate_Industry!AE250&lt;0)+(Rebate_Industry!AE250&gt;1)+(Rebate_Industry!AE264&lt;0)+(Rebate_Industry!AE264&gt;1)</f>
        <v>0</v>
      </c>
    </row>
    <row r="1515" spans="1:31" x14ac:dyDescent="0.45">
      <c r="A1515" t="s">
        <v>2340</v>
      </c>
      <c r="D1515">
        <v>2</v>
      </c>
      <c r="E1515" t="s">
        <v>1161</v>
      </c>
      <c r="F1515">
        <f t="shared" ref="F1515:F1529" si="361">MAX(MAX(L1515:AE1515),-MIN(L1515:AE1515))</f>
        <v>0</v>
      </c>
      <c r="I1515">
        <v>0</v>
      </c>
      <c r="L1515">
        <f>Rebate_Industry!L217-SUM(Rebate_Industry!L209:L216)</f>
        <v>0</v>
      </c>
      <c r="M1515">
        <f>Rebate_Industry!M217-SUM(Rebate_Industry!M209:M216)</f>
        <v>0</v>
      </c>
      <c r="N1515">
        <f>Rebate_Industry!N217-SUM(Rebate_Industry!N209:N216)</f>
        <v>0</v>
      </c>
      <c r="O1515">
        <f>Rebate_Industry!O217-SUM(Rebate_Industry!O209:O216)</f>
        <v>0</v>
      </c>
      <c r="P1515">
        <f>Rebate_Industry!P217-SUM(Rebate_Industry!P209:P216)</f>
        <v>0</v>
      </c>
      <c r="Q1515">
        <f>Rebate_Industry!Q217-SUM(Rebate_Industry!Q209:Q216)</f>
        <v>0</v>
      </c>
      <c r="R1515">
        <f>Rebate_Industry!R217-SUM(Rebate_Industry!R209:R216)</f>
        <v>0</v>
      </c>
      <c r="S1515">
        <f>Rebate_Industry!S217-SUM(Rebate_Industry!S209:S216)</f>
        <v>0</v>
      </c>
      <c r="T1515">
        <f>Rebate_Industry!T217-SUM(Rebate_Industry!T209:T216)</f>
        <v>0</v>
      </c>
      <c r="U1515">
        <f>Rebate_Industry!U217-SUM(Rebate_Industry!U209:U216)</f>
        <v>0</v>
      </c>
      <c r="V1515">
        <f>Rebate_Industry!V217-SUM(Rebate_Industry!V209:V216)</f>
        <v>0</v>
      </c>
      <c r="W1515">
        <f>Rebate_Industry!W217-SUM(Rebate_Industry!W209:W216)</f>
        <v>0</v>
      </c>
      <c r="X1515">
        <f>Rebate_Industry!X217-SUM(Rebate_Industry!X209:X216)</f>
        <v>0</v>
      </c>
      <c r="Y1515">
        <f>Rebate_Industry!Y217-SUM(Rebate_Industry!Y209:Y216)</f>
        <v>0</v>
      </c>
      <c r="Z1515">
        <f>Rebate_Industry!Z217-SUM(Rebate_Industry!Z209:Z216)</f>
        <v>0</v>
      </c>
      <c r="AA1515">
        <f>Rebate_Industry!AA217-SUM(Rebate_Industry!AA209:AA216)</f>
        <v>0</v>
      </c>
      <c r="AB1515">
        <f>Rebate_Industry!AB217-SUM(Rebate_Industry!AB209:AB216)</f>
        <v>0</v>
      </c>
      <c r="AC1515">
        <f>Rebate_Industry!AC217-SUM(Rebate_Industry!AC209:AC216)</f>
        <v>0</v>
      </c>
      <c r="AD1515">
        <f>Rebate_Industry!AD217-SUM(Rebate_Industry!AD209:AD216)</f>
        <v>0</v>
      </c>
      <c r="AE1515">
        <f>Rebate_Industry!AE217-SUM(Rebate_Industry!AE209:AE216)</f>
        <v>0</v>
      </c>
    </row>
    <row r="1516" spans="1:31" x14ac:dyDescent="0.45">
      <c r="A1516" t="s">
        <v>2341</v>
      </c>
      <c r="D1516">
        <v>2</v>
      </c>
      <c r="E1516" t="s">
        <v>1161</v>
      </c>
      <c r="F1516">
        <f t="shared" si="361"/>
        <v>0</v>
      </c>
      <c r="I1516">
        <v>0</v>
      </c>
      <c r="L1516">
        <f>Rebate_Industry!L217-(Rebate_Industry!L220+Rebate_Industry!L234+Rebate_Industry!L248+Rebate_Industry!L262)</f>
        <v>0</v>
      </c>
      <c r="M1516">
        <f>Rebate_Industry!M217-(Rebate_Industry!M220+Rebate_Industry!M234+Rebate_Industry!M248+Rebate_Industry!M262)</f>
        <v>0</v>
      </c>
      <c r="N1516">
        <f>Rebate_Industry!N217-(Rebate_Industry!N220+Rebate_Industry!N234+Rebate_Industry!N248+Rebate_Industry!N262)</f>
        <v>0</v>
      </c>
      <c r="O1516">
        <f>Rebate_Industry!O217-(Rebate_Industry!O220+Rebate_Industry!O234+Rebate_Industry!O248+Rebate_Industry!O262)</f>
        <v>0</v>
      </c>
      <c r="P1516">
        <f>Rebate_Industry!P217-(Rebate_Industry!P220+Rebate_Industry!P234+Rebate_Industry!P248+Rebate_Industry!P262)</f>
        <v>0</v>
      </c>
      <c r="Q1516">
        <f>Rebate_Industry!Q217-(Rebate_Industry!Q220+Rebate_Industry!Q234+Rebate_Industry!Q248+Rebate_Industry!Q262)</f>
        <v>0</v>
      </c>
      <c r="R1516">
        <f>Rebate_Industry!R217-(Rebate_Industry!R220+Rebate_Industry!R234+Rebate_Industry!R248+Rebate_Industry!R262)</f>
        <v>0</v>
      </c>
      <c r="S1516">
        <f>Rebate_Industry!S217-(Rebate_Industry!S220+Rebate_Industry!S234+Rebate_Industry!S248+Rebate_Industry!S262)</f>
        <v>0</v>
      </c>
      <c r="T1516">
        <f>Rebate_Industry!T217-(Rebate_Industry!T220+Rebate_Industry!T234+Rebate_Industry!T248+Rebate_Industry!T262)</f>
        <v>0</v>
      </c>
      <c r="U1516">
        <f>Rebate_Industry!U217-(Rebate_Industry!U220+Rebate_Industry!U234+Rebate_Industry!U248+Rebate_Industry!U262)</f>
        <v>0</v>
      </c>
      <c r="V1516">
        <f>Rebate_Industry!V217-(Rebate_Industry!V220+Rebate_Industry!V234+Rebate_Industry!V248+Rebate_Industry!V262)</f>
        <v>0</v>
      </c>
      <c r="W1516">
        <f>Rebate_Industry!W217-(Rebate_Industry!W220+Rebate_Industry!W234+Rebate_Industry!W248+Rebate_Industry!W262)</f>
        <v>0</v>
      </c>
      <c r="X1516">
        <f>Rebate_Industry!X217-(Rebate_Industry!X220+Rebate_Industry!X234+Rebate_Industry!X248+Rebate_Industry!X262)</f>
        <v>0</v>
      </c>
      <c r="Y1516">
        <f>Rebate_Industry!Y217-(Rebate_Industry!Y220+Rebate_Industry!Y234+Rebate_Industry!Y248+Rebate_Industry!Y262)</f>
        <v>0</v>
      </c>
      <c r="Z1516">
        <f>Rebate_Industry!Z217-(Rebate_Industry!Z220+Rebate_Industry!Z234+Rebate_Industry!Z248+Rebate_Industry!Z262)</f>
        <v>0</v>
      </c>
      <c r="AA1516">
        <f>Rebate_Industry!AA217-(Rebate_Industry!AA220+Rebate_Industry!AA234+Rebate_Industry!AA248+Rebate_Industry!AA262)</f>
        <v>0</v>
      </c>
      <c r="AB1516">
        <f>Rebate_Industry!AB217-(Rebate_Industry!AB220+Rebate_Industry!AB234+Rebate_Industry!AB248+Rebate_Industry!AB262)</f>
        <v>0</v>
      </c>
      <c r="AC1516">
        <f>Rebate_Industry!AC217-(Rebate_Industry!AC220+Rebate_Industry!AC234+Rebate_Industry!AC248+Rebate_Industry!AC262)</f>
        <v>0</v>
      </c>
      <c r="AD1516">
        <f>Rebate_Industry!AD217-(Rebate_Industry!AD220+Rebate_Industry!AD234+Rebate_Industry!AD248+Rebate_Industry!AD262)</f>
        <v>0</v>
      </c>
      <c r="AE1516">
        <f>Rebate_Industry!AE217-(Rebate_Industry!AE220+Rebate_Industry!AE234+Rebate_Industry!AE248+Rebate_Industry!AE262)</f>
        <v>0</v>
      </c>
    </row>
    <row r="1517" spans="1:31" x14ac:dyDescent="0.45">
      <c r="A1517" t="s">
        <v>2342</v>
      </c>
      <c r="D1517">
        <v>2</v>
      </c>
      <c r="E1517" t="s">
        <v>1161</v>
      </c>
      <c r="F1517">
        <f t="shared" si="361"/>
        <v>0</v>
      </c>
      <c r="I1517">
        <v>0</v>
      </c>
      <c r="L1517">
        <f>Rebate_Industry!L278-(Rebate_Industry!L276-Rebate_Industry!L217)</f>
        <v>0</v>
      </c>
      <c r="M1517">
        <f>Rebate_Industry!M278-(Rebate_Industry!M276-Rebate_Industry!M217)</f>
        <v>0</v>
      </c>
      <c r="N1517">
        <f>Rebate_Industry!N278-(Rebate_Industry!N276-Rebate_Industry!N217)</f>
        <v>0</v>
      </c>
      <c r="O1517">
        <f>Rebate_Industry!O278-(Rebate_Industry!O276-Rebate_Industry!O217)</f>
        <v>0</v>
      </c>
      <c r="P1517">
        <f>Rebate_Industry!P278-(Rebate_Industry!P276-Rebate_Industry!P217)</f>
        <v>0</v>
      </c>
      <c r="Q1517">
        <f>Rebate_Industry!Q278-(Rebate_Industry!Q276-Rebate_Industry!Q217)</f>
        <v>0</v>
      </c>
      <c r="R1517">
        <f>Rebate_Industry!R278-(Rebate_Industry!R276-Rebate_Industry!R217)</f>
        <v>0</v>
      </c>
      <c r="S1517">
        <f>Rebate_Industry!S278-(Rebate_Industry!S276-Rebate_Industry!S217)</f>
        <v>0</v>
      </c>
      <c r="T1517">
        <f>Rebate_Industry!T278-(Rebate_Industry!T276-Rebate_Industry!T217)</f>
        <v>0</v>
      </c>
      <c r="U1517">
        <f>Rebate_Industry!U278-(Rebate_Industry!U276-Rebate_Industry!U217)</f>
        <v>0</v>
      </c>
      <c r="V1517">
        <f>Rebate_Industry!V278-(Rebate_Industry!V276-Rebate_Industry!V217)</f>
        <v>0</v>
      </c>
      <c r="W1517">
        <f>Rebate_Industry!W278-(Rebate_Industry!W276-Rebate_Industry!W217)</f>
        <v>0</v>
      </c>
      <c r="X1517">
        <f>Rebate_Industry!X278-(Rebate_Industry!X276-Rebate_Industry!X217)</f>
        <v>0</v>
      </c>
      <c r="Y1517">
        <f>Rebate_Industry!Y278-(Rebate_Industry!Y276-Rebate_Industry!Y217)</f>
        <v>0</v>
      </c>
      <c r="Z1517">
        <f>Rebate_Industry!Z278-(Rebate_Industry!Z276-Rebate_Industry!Z217)</f>
        <v>0</v>
      </c>
      <c r="AA1517">
        <f>Rebate_Industry!AA278-(Rebate_Industry!AA276-Rebate_Industry!AA217)</f>
        <v>0</v>
      </c>
      <c r="AB1517">
        <f>Rebate_Industry!AB278-(Rebate_Industry!AB276-Rebate_Industry!AB217)</f>
        <v>0</v>
      </c>
      <c r="AC1517">
        <f>Rebate_Industry!AC278-(Rebate_Industry!AC276-Rebate_Industry!AC217)</f>
        <v>0</v>
      </c>
      <c r="AD1517">
        <f>Rebate_Industry!AD278-(Rebate_Industry!AD276-Rebate_Industry!AD217)</f>
        <v>0</v>
      </c>
      <c r="AE1517">
        <f>Rebate_Industry!AE278-(Rebate_Industry!AE276-Rebate_Industry!AE217)</f>
        <v>0</v>
      </c>
    </row>
    <row r="1518" spans="1:31" x14ac:dyDescent="0.45">
      <c r="A1518" t="s">
        <v>2736</v>
      </c>
      <c r="D1518">
        <v>2</v>
      </c>
      <c r="E1518" t="s">
        <v>1161</v>
      </c>
      <c r="F1518">
        <f t="shared" si="361"/>
        <v>2.8421709430404007E-14</v>
      </c>
      <c r="I1518">
        <v>0</v>
      </c>
      <c r="L1518">
        <f>IF(Scenarios!$J$27=0,SUM(Mitigation_Industry!L426:L434)-INDEX(L$1548:L$1607,MATCH("v1:shp:2:irn:"&amp;Settings!$B$10,$A$1548:$A$1607,0)),0)</f>
        <v>1.4210854715202004E-14</v>
      </c>
      <c r="M1518">
        <f>IF(Scenarios!$J$27=0,SUM(Mitigation_Industry!M426:M434)-INDEX(M$1548:M$1607,MATCH("v1:shp:2:irn:"&amp;Settings!$B$10,$A$1548:$A$1607,0)),0)</f>
        <v>0</v>
      </c>
      <c r="N1518">
        <f>IF(Scenarios!$J$27=0,SUM(Mitigation_Industry!N426:N434)-INDEX(N$1548:N$1607,MATCH("v1:shp:2:irn:"&amp;Settings!$B$10,$A$1548:$A$1607,0)),0)</f>
        <v>0</v>
      </c>
      <c r="O1518">
        <f>IF(Scenarios!$J$27=0,SUM(Mitigation_Industry!O426:O434)-INDEX(O$1548:O$1607,MATCH("v1:shp:2:irn:"&amp;Settings!$B$10,$A$1548:$A$1607,0)),0)</f>
        <v>0</v>
      </c>
      <c r="P1518">
        <f>IF(Scenarios!$J$27=0,SUM(Mitigation_Industry!P426:P434)-INDEX(P$1548:P$1607,MATCH("v1:shp:2:irn:"&amp;Settings!$B$10,$A$1548:$A$1607,0)),0)</f>
        <v>-7.1054273576010019E-15</v>
      </c>
      <c r="Q1518">
        <f>IF(Scenarios!$J$27=0,SUM(Mitigation_Industry!Q426:Q434)-INDEX(Q$1548:Q$1607,MATCH("v1:shp:2:irn:"&amp;Settings!$B$10,$A$1548:$A$1607,0)),0)</f>
        <v>0</v>
      </c>
      <c r="R1518">
        <f>IF(Scenarios!$J$27=0,SUM(Mitigation_Industry!R426:R434)-INDEX(R$1548:R$1607,MATCH("v1:shp:2:irn:"&amp;Settings!$B$10,$A$1548:$A$1607,0)),0)</f>
        <v>-7.1054273576010019E-15</v>
      </c>
      <c r="S1518">
        <f>IF(Scenarios!$J$27=0,SUM(Mitigation_Industry!S426:S434)-INDEX(S$1548:S$1607,MATCH("v1:shp:2:irn:"&amp;Settings!$B$10,$A$1548:$A$1607,0)),0)</f>
        <v>0</v>
      </c>
      <c r="T1518">
        <f>IF(Scenarios!$J$27=0,SUM(Mitigation_Industry!T426:T434)-INDEX(T$1548:T$1607,MATCH("v1:shp:2:irn:"&amp;Settings!$B$10,$A$1548:$A$1607,0)),0)</f>
        <v>-1.4210854715202004E-14</v>
      </c>
      <c r="U1518">
        <f>IF(Scenarios!$J$27=0,SUM(Mitigation_Industry!U426:U434)-INDEX(U$1548:U$1607,MATCH("v1:shp:2:irn:"&amp;Settings!$B$10,$A$1548:$A$1607,0)),0)</f>
        <v>0</v>
      </c>
      <c r="V1518">
        <f>IF(Scenarios!$J$27=0,SUM(Mitigation_Industry!V426:V434)-INDEX(V$1548:V$1607,MATCH("v1:shp:2:irn:"&amp;Settings!$B$10,$A$1548:$A$1607,0)),0)</f>
        <v>0</v>
      </c>
      <c r="W1518">
        <f>IF(Scenarios!$J$27=0,SUM(Mitigation_Industry!W426:W434)-INDEX(W$1548:W$1607,MATCH("v1:shp:2:irn:"&amp;Settings!$B$10,$A$1548:$A$1607,0)),0)</f>
        <v>0</v>
      </c>
      <c r="X1518">
        <f>IF(Scenarios!$J$27=0,SUM(Mitigation_Industry!X426:X434)-INDEX(X$1548:X$1607,MATCH("v1:shp:2:irn:"&amp;Settings!$B$10,$A$1548:$A$1607,0)),0)</f>
        <v>0</v>
      </c>
      <c r="Y1518">
        <f>IF(Scenarios!$J$27=0,SUM(Mitigation_Industry!Y426:Y434)-INDEX(Y$1548:Y$1607,MATCH("v1:shp:2:irn:"&amp;Settings!$B$10,$A$1548:$A$1607,0)),0)</f>
        <v>-1.4210854715202004E-14</v>
      </c>
      <c r="Z1518">
        <f>IF(Scenarios!$J$27=0,SUM(Mitigation_Industry!Z426:Z434)-INDEX(Z$1548:Z$1607,MATCH("v1:shp:2:irn:"&amp;Settings!$B$10,$A$1548:$A$1607,0)),0)</f>
        <v>-1.4210854715202004E-14</v>
      </c>
      <c r="AA1518">
        <f>IF(Scenarios!$J$27=0,SUM(Mitigation_Industry!AA426:AA434)-INDEX(AA$1548:AA$1607,MATCH("v1:shp:2:irn:"&amp;Settings!$B$10,$A$1548:$A$1607,0)),0)</f>
        <v>0</v>
      </c>
      <c r="AB1518">
        <f>IF(Scenarios!$J$27=0,SUM(Mitigation_Industry!AB426:AB434)-INDEX(AB$1548:AB$1607,MATCH("v1:shp:2:irn:"&amp;Settings!$B$10,$A$1548:$A$1607,0)),0)</f>
        <v>2.8421709430404007E-14</v>
      </c>
      <c r="AC1518">
        <f>IF(Scenarios!$J$27=0,SUM(Mitigation_Industry!AC426:AC434)-INDEX(AC$1548:AC$1607,MATCH("v1:shp:2:irn:"&amp;Settings!$B$10,$A$1548:$A$1607,0)),0)</f>
        <v>0</v>
      </c>
      <c r="AD1518">
        <f>IF(Scenarios!$J$27=0,SUM(Mitigation_Industry!AD426:AD434)-INDEX(AD$1548:AD$1607,MATCH("v1:shp:2:irn:"&amp;Settings!$B$10,$A$1548:$A$1607,0)),0)</f>
        <v>2.8421709430404007E-14</v>
      </c>
      <c r="AE1518">
        <f>IF(Scenarios!$J$27=0,SUM(Mitigation_Industry!AE426:AE434)-INDEX(AE$1548:AE$1607,MATCH("v1:shp:2:irn:"&amp;Settings!$B$10,$A$1548:$A$1607,0)),0)</f>
        <v>0</v>
      </c>
    </row>
    <row r="1519" spans="1:31" x14ac:dyDescent="0.45">
      <c r="A1519" t="s">
        <v>2737</v>
      </c>
      <c r="D1519">
        <v>2</v>
      </c>
      <c r="E1519" t="s">
        <v>1161</v>
      </c>
      <c r="F1519">
        <f t="shared" si="361"/>
        <v>2.8421709430404007E-14</v>
      </c>
      <c r="I1519">
        <v>0</v>
      </c>
      <c r="L1519">
        <f>IF(Scenarios!$J$27=0,SUM(Mitigation_Industry!L486:L494)-INDEX(L$1548:L$1607,MATCH("v1:shp:2:cem:"&amp;Settings!$B$10,$A$1548:$A$1607,0)),0)</f>
        <v>1.4210854715202004E-14</v>
      </c>
      <c r="M1519">
        <f>IF(Scenarios!$J$27=0,SUM(Mitigation_Industry!M486:M494)-INDEX(M$1548:M$1607,MATCH("v1:shp:2:cem:"&amp;Settings!$B$10,$A$1548:$A$1607,0)),0)</f>
        <v>0</v>
      </c>
      <c r="N1519">
        <f>IF(Scenarios!$J$27=0,SUM(Mitigation_Industry!N486:N494)-INDEX(N$1548:N$1607,MATCH("v1:shp:2:cem:"&amp;Settings!$B$10,$A$1548:$A$1607,0)),0)</f>
        <v>0</v>
      </c>
      <c r="O1519">
        <f>IF(Scenarios!$J$27=0,SUM(Mitigation_Industry!O486:O494)-INDEX(O$1548:O$1607,MATCH("v1:shp:2:cem:"&amp;Settings!$B$10,$A$1548:$A$1607,0)),0)</f>
        <v>0</v>
      </c>
      <c r="P1519">
        <f>IF(Scenarios!$J$27=0,SUM(Mitigation_Industry!P486:P494)-INDEX(P$1548:P$1607,MATCH("v1:shp:2:cem:"&amp;Settings!$B$10,$A$1548:$A$1607,0)),0)</f>
        <v>-7.1054273576010019E-15</v>
      </c>
      <c r="Q1519">
        <f>IF(Scenarios!$J$27=0,SUM(Mitigation_Industry!Q486:Q494)-INDEX(Q$1548:Q$1607,MATCH("v1:shp:2:cem:"&amp;Settings!$B$10,$A$1548:$A$1607,0)),0)</f>
        <v>0</v>
      </c>
      <c r="R1519">
        <f>IF(Scenarios!$J$27=0,SUM(Mitigation_Industry!R486:R494)-INDEX(R$1548:R$1607,MATCH("v1:shp:2:cem:"&amp;Settings!$B$10,$A$1548:$A$1607,0)),0)</f>
        <v>-7.1054273576010019E-15</v>
      </c>
      <c r="S1519">
        <f>IF(Scenarios!$J$27=0,SUM(Mitigation_Industry!S486:S494)-INDEX(S$1548:S$1607,MATCH("v1:shp:2:cem:"&amp;Settings!$B$10,$A$1548:$A$1607,0)),0)</f>
        <v>0</v>
      </c>
      <c r="T1519">
        <f>IF(Scenarios!$J$27=0,SUM(Mitigation_Industry!T486:T494)-INDEX(T$1548:T$1607,MATCH("v1:shp:2:cem:"&amp;Settings!$B$10,$A$1548:$A$1607,0)),0)</f>
        <v>-1.4210854715202004E-14</v>
      </c>
      <c r="U1519">
        <f>IF(Scenarios!$J$27=0,SUM(Mitigation_Industry!U486:U494)-INDEX(U$1548:U$1607,MATCH("v1:shp:2:cem:"&amp;Settings!$B$10,$A$1548:$A$1607,0)),0)</f>
        <v>0</v>
      </c>
      <c r="V1519">
        <f>IF(Scenarios!$J$27=0,SUM(Mitigation_Industry!V486:V494)-INDEX(V$1548:V$1607,MATCH("v1:shp:2:cem:"&amp;Settings!$B$10,$A$1548:$A$1607,0)),0)</f>
        <v>0</v>
      </c>
      <c r="W1519">
        <f>IF(Scenarios!$J$27=0,SUM(Mitigation_Industry!W486:W494)-INDEX(W$1548:W$1607,MATCH("v1:shp:2:cem:"&amp;Settings!$B$10,$A$1548:$A$1607,0)),0)</f>
        <v>0</v>
      </c>
      <c r="X1519">
        <f>IF(Scenarios!$J$27=0,SUM(Mitigation_Industry!X486:X494)-INDEX(X$1548:X$1607,MATCH("v1:shp:2:cem:"&amp;Settings!$B$10,$A$1548:$A$1607,0)),0)</f>
        <v>0</v>
      </c>
      <c r="Y1519">
        <f>IF(Scenarios!$J$27=0,SUM(Mitigation_Industry!Y486:Y494)-INDEX(Y$1548:Y$1607,MATCH("v1:shp:2:cem:"&amp;Settings!$B$10,$A$1548:$A$1607,0)),0)</f>
        <v>-1.4210854715202004E-14</v>
      </c>
      <c r="Z1519">
        <f>IF(Scenarios!$J$27=0,SUM(Mitigation_Industry!Z486:Z494)-INDEX(Z$1548:Z$1607,MATCH("v1:shp:2:cem:"&amp;Settings!$B$10,$A$1548:$A$1607,0)),0)</f>
        <v>-1.4210854715202004E-14</v>
      </c>
      <c r="AA1519">
        <f>IF(Scenarios!$J$27=0,SUM(Mitigation_Industry!AA486:AA494)-INDEX(AA$1548:AA$1607,MATCH("v1:shp:2:cem:"&amp;Settings!$B$10,$A$1548:$A$1607,0)),0)</f>
        <v>0</v>
      </c>
      <c r="AB1519">
        <f>IF(Scenarios!$J$27=0,SUM(Mitigation_Industry!AB486:AB494)-INDEX(AB$1548:AB$1607,MATCH("v1:shp:2:cem:"&amp;Settings!$B$10,$A$1548:$A$1607,0)),0)</f>
        <v>2.8421709430404007E-14</v>
      </c>
      <c r="AC1519">
        <f>IF(Scenarios!$J$27=0,SUM(Mitigation_Industry!AC486:AC494)-INDEX(AC$1548:AC$1607,MATCH("v1:shp:2:cem:"&amp;Settings!$B$10,$A$1548:$A$1607,0)),0)</f>
        <v>0</v>
      </c>
      <c r="AD1519">
        <f>IF(Scenarios!$J$27=0,SUM(Mitigation_Industry!AD486:AD494)-INDEX(AD$1548:AD$1607,MATCH("v1:shp:2:cem:"&amp;Settings!$B$10,$A$1548:$A$1607,0)),0)</f>
        <v>2.8421709430404007E-14</v>
      </c>
      <c r="AE1519">
        <f>IF(Scenarios!$J$27=0,SUM(Mitigation_Industry!AE486:AE494)-INDEX(AE$1548:AE$1607,MATCH("v1:shp:2:cem:"&amp;Settings!$B$10,$A$1548:$A$1607,0)),0)</f>
        <v>0</v>
      </c>
    </row>
    <row r="1520" spans="1:31" x14ac:dyDescent="0.45">
      <c r="A1520" t="s">
        <v>2738</v>
      </c>
      <c r="D1520">
        <v>2</v>
      </c>
      <c r="E1520" t="s">
        <v>1161</v>
      </c>
      <c r="F1520">
        <f t="shared" si="361"/>
        <v>2.8421709430404007E-14</v>
      </c>
      <c r="I1520">
        <v>0</v>
      </c>
      <c r="L1520">
        <f>IF(Scenarios!$J$27=0,SUM(Mitigation_Industry!L546:L554)-INDEX(L$1548:L$1607,MATCH("v1:shp:2:nfm:"&amp;Settings!$B$10,$A$1548:$A$1607,0)),0)</f>
        <v>1.4210854715202004E-14</v>
      </c>
      <c r="M1520">
        <f>IF(Scenarios!$J$27=0,SUM(Mitigation_Industry!M546:M554)-INDEX(M$1548:M$1607,MATCH("v1:shp:2:nfm:"&amp;Settings!$B$10,$A$1548:$A$1607,0)),0)</f>
        <v>0</v>
      </c>
      <c r="N1520">
        <f>IF(Scenarios!$J$27=0,SUM(Mitigation_Industry!N546:N554)-INDEX(N$1548:N$1607,MATCH("v1:shp:2:nfm:"&amp;Settings!$B$10,$A$1548:$A$1607,0)),0)</f>
        <v>0</v>
      </c>
      <c r="O1520">
        <f>IF(Scenarios!$J$27=0,SUM(Mitigation_Industry!O546:O554)-INDEX(O$1548:O$1607,MATCH("v1:shp:2:nfm:"&amp;Settings!$B$10,$A$1548:$A$1607,0)),0)</f>
        <v>0</v>
      </c>
      <c r="P1520">
        <f>IF(Scenarios!$J$27=0,SUM(Mitigation_Industry!P546:P554)-INDEX(P$1548:P$1607,MATCH("v1:shp:2:nfm:"&amp;Settings!$B$10,$A$1548:$A$1607,0)),0)</f>
        <v>-7.1054273576010019E-15</v>
      </c>
      <c r="Q1520">
        <f>IF(Scenarios!$J$27=0,SUM(Mitigation_Industry!Q546:Q554)-INDEX(Q$1548:Q$1607,MATCH("v1:shp:2:nfm:"&amp;Settings!$B$10,$A$1548:$A$1607,0)),0)</f>
        <v>0</v>
      </c>
      <c r="R1520">
        <f>IF(Scenarios!$J$27=0,SUM(Mitigation_Industry!R546:R554)-INDEX(R$1548:R$1607,MATCH("v1:shp:2:nfm:"&amp;Settings!$B$10,$A$1548:$A$1607,0)),0)</f>
        <v>-7.1054273576010019E-15</v>
      </c>
      <c r="S1520">
        <f>IF(Scenarios!$J$27=0,SUM(Mitigation_Industry!S546:S554)-INDEX(S$1548:S$1607,MATCH("v1:shp:2:nfm:"&amp;Settings!$B$10,$A$1548:$A$1607,0)),0)</f>
        <v>0</v>
      </c>
      <c r="T1520">
        <f>IF(Scenarios!$J$27=0,SUM(Mitigation_Industry!T546:T554)-INDEX(T$1548:T$1607,MATCH("v1:shp:2:nfm:"&amp;Settings!$B$10,$A$1548:$A$1607,0)),0)</f>
        <v>-1.4210854715202004E-14</v>
      </c>
      <c r="U1520">
        <f>IF(Scenarios!$J$27=0,SUM(Mitigation_Industry!U546:U554)-INDEX(U$1548:U$1607,MATCH("v1:shp:2:nfm:"&amp;Settings!$B$10,$A$1548:$A$1607,0)),0)</f>
        <v>0</v>
      </c>
      <c r="V1520">
        <f>IF(Scenarios!$J$27=0,SUM(Mitigation_Industry!V546:V554)-INDEX(V$1548:V$1607,MATCH("v1:shp:2:nfm:"&amp;Settings!$B$10,$A$1548:$A$1607,0)),0)</f>
        <v>0</v>
      </c>
      <c r="W1520">
        <f>IF(Scenarios!$J$27=0,SUM(Mitigation_Industry!W546:W554)-INDEX(W$1548:W$1607,MATCH("v1:shp:2:nfm:"&amp;Settings!$B$10,$A$1548:$A$1607,0)),0)</f>
        <v>0</v>
      </c>
      <c r="X1520">
        <f>IF(Scenarios!$J$27=0,SUM(Mitigation_Industry!X546:X554)-INDEX(X$1548:X$1607,MATCH("v1:shp:2:nfm:"&amp;Settings!$B$10,$A$1548:$A$1607,0)),0)</f>
        <v>0</v>
      </c>
      <c r="Y1520">
        <f>IF(Scenarios!$J$27=0,SUM(Mitigation_Industry!Y546:Y554)-INDEX(Y$1548:Y$1607,MATCH("v1:shp:2:nfm:"&amp;Settings!$B$10,$A$1548:$A$1607,0)),0)</f>
        <v>-1.4210854715202004E-14</v>
      </c>
      <c r="Z1520">
        <f>IF(Scenarios!$J$27=0,SUM(Mitigation_Industry!Z546:Z554)-INDEX(Z$1548:Z$1607,MATCH("v1:shp:2:nfm:"&amp;Settings!$B$10,$A$1548:$A$1607,0)),0)</f>
        <v>-1.4210854715202004E-14</v>
      </c>
      <c r="AA1520">
        <f>IF(Scenarios!$J$27=0,SUM(Mitigation_Industry!AA546:AA554)-INDEX(AA$1548:AA$1607,MATCH("v1:shp:2:nfm:"&amp;Settings!$B$10,$A$1548:$A$1607,0)),0)</f>
        <v>0</v>
      </c>
      <c r="AB1520">
        <f>IF(Scenarios!$J$27=0,SUM(Mitigation_Industry!AB546:AB554)-INDEX(AB$1548:AB$1607,MATCH("v1:shp:2:nfm:"&amp;Settings!$B$10,$A$1548:$A$1607,0)),0)</f>
        <v>2.8421709430404007E-14</v>
      </c>
      <c r="AC1520">
        <f>IF(Scenarios!$J$27=0,SUM(Mitigation_Industry!AC546:AC554)-INDEX(AC$1548:AC$1607,MATCH("v1:shp:2:nfm:"&amp;Settings!$B$10,$A$1548:$A$1607,0)),0)</f>
        <v>0</v>
      </c>
      <c r="AD1520">
        <f>IF(Scenarios!$J$27=0,SUM(Mitigation_Industry!AD546:AD554)-INDEX(AD$1548:AD$1607,MATCH("v1:shp:2:nfm:"&amp;Settings!$B$10,$A$1548:$A$1607,0)),0)</f>
        <v>2.8421709430404007E-14</v>
      </c>
      <c r="AE1520">
        <f>IF(Scenarios!$J$27=0,SUM(Mitigation_Industry!AE546:AE554)-INDEX(AE$1548:AE$1607,MATCH("v1:shp:2:nfm:"&amp;Settings!$B$10,$A$1548:$A$1607,0)),0)</f>
        <v>0</v>
      </c>
    </row>
    <row r="1521" spans="1:31" x14ac:dyDescent="0.45">
      <c r="A1521" t="s">
        <v>2739</v>
      </c>
      <c r="D1521">
        <v>2</v>
      </c>
      <c r="E1521" t="s">
        <v>1161</v>
      </c>
      <c r="F1521">
        <f t="shared" si="361"/>
        <v>2.8421709430404007E-14</v>
      </c>
      <c r="I1521">
        <v>0</v>
      </c>
      <c r="L1521">
        <f>IF(Scenarios!$J$27=0,SUM(Mitigation_Industry!L606:L614)-INDEX(L$1548:L$1607,MATCH("v1:shp:2:mch:"&amp;Settings!$B$10,$A$1548:$A$1607,0)),0)</f>
        <v>1.4210854715202004E-14</v>
      </c>
      <c r="M1521">
        <f>IF(Scenarios!$J$27=0,SUM(Mitigation_Industry!M606:M614)-INDEX(M$1548:M$1607,MATCH("v1:shp:2:mch:"&amp;Settings!$B$10,$A$1548:$A$1607,0)),0)</f>
        <v>0</v>
      </c>
      <c r="N1521">
        <f>IF(Scenarios!$J$27=0,SUM(Mitigation_Industry!N606:N614)-INDEX(N$1548:N$1607,MATCH("v1:shp:2:mch:"&amp;Settings!$B$10,$A$1548:$A$1607,0)),0)</f>
        <v>0</v>
      </c>
      <c r="O1521">
        <f>IF(Scenarios!$J$27=0,SUM(Mitigation_Industry!O606:O614)-INDEX(O$1548:O$1607,MATCH("v1:shp:2:mch:"&amp;Settings!$B$10,$A$1548:$A$1607,0)),0)</f>
        <v>0</v>
      </c>
      <c r="P1521">
        <f>IF(Scenarios!$J$27=0,SUM(Mitigation_Industry!P606:P614)-INDEX(P$1548:P$1607,MATCH("v1:shp:2:mch:"&amp;Settings!$B$10,$A$1548:$A$1607,0)),0)</f>
        <v>-7.1054273576010019E-15</v>
      </c>
      <c r="Q1521">
        <f>IF(Scenarios!$J$27=0,SUM(Mitigation_Industry!Q606:Q614)-INDEX(Q$1548:Q$1607,MATCH("v1:shp:2:mch:"&amp;Settings!$B$10,$A$1548:$A$1607,0)),0)</f>
        <v>0</v>
      </c>
      <c r="R1521">
        <f>IF(Scenarios!$J$27=0,SUM(Mitigation_Industry!R606:R614)-INDEX(R$1548:R$1607,MATCH("v1:shp:2:mch:"&amp;Settings!$B$10,$A$1548:$A$1607,0)),0)</f>
        <v>-7.1054273576010019E-15</v>
      </c>
      <c r="S1521">
        <f>IF(Scenarios!$J$27=0,SUM(Mitigation_Industry!S606:S614)-INDEX(S$1548:S$1607,MATCH("v1:shp:2:mch:"&amp;Settings!$B$10,$A$1548:$A$1607,0)),0)</f>
        <v>0</v>
      </c>
      <c r="T1521">
        <f>IF(Scenarios!$J$27=0,SUM(Mitigation_Industry!T606:T614)-INDEX(T$1548:T$1607,MATCH("v1:shp:2:mch:"&amp;Settings!$B$10,$A$1548:$A$1607,0)),0)</f>
        <v>-1.4210854715202004E-14</v>
      </c>
      <c r="U1521">
        <f>IF(Scenarios!$J$27=0,SUM(Mitigation_Industry!U606:U614)-INDEX(U$1548:U$1607,MATCH("v1:shp:2:mch:"&amp;Settings!$B$10,$A$1548:$A$1607,0)),0)</f>
        <v>0</v>
      </c>
      <c r="V1521">
        <f>IF(Scenarios!$J$27=0,SUM(Mitigation_Industry!V606:V614)-INDEX(V$1548:V$1607,MATCH("v1:shp:2:mch:"&amp;Settings!$B$10,$A$1548:$A$1607,0)),0)</f>
        <v>0</v>
      </c>
      <c r="W1521">
        <f>IF(Scenarios!$J$27=0,SUM(Mitigation_Industry!W606:W614)-INDEX(W$1548:W$1607,MATCH("v1:shp:2:mch:"&amp;Settings!$B$10,$A$1548:$A$1607,0)),0)</f>
        <v>0</v>
      </c>
      <c r="X1521">
        <f>IF(Scenarios!$J$27=0,SUM(Mitigation_Industry!X606:X614)-INDEX(X$1548:X$1607,MATCH("v1:shp:2:mch:"&amp;Settings!$B$10,$A$1548:$A$1607,0)),0)</f>
        <v>0</v>
      </c>
      <c r="Y1521">
        <f>IF(Scenarios!$J$27=0,SUM(Mitigation_Industry!Y606:Y614)-INDEX(Y$1548:Y$1607,MATCH("v1:shp:2:mch:"&amp;Settings!$B$10,$A$1548:$A$1607,0)),0)</f>
        <v>-1.4210854715202004E-14</v>
      </c>
      <c r="Z1521">
        <f>IF(Scenarios!$J$27=0,SUM(Mitigation_Industry!Z606:Z614)-INDEX(Z$1548:Z$1607,MATCH("v1:shp:2:mch:"&amp;Settings!$B$10,$A$1548:$A$1607,0)),0)</f>
        <v>-1.4210854715202004E-14</v>
      </c>
      <c r="AA1521">
        <f>IF(Scenarios!$J$27=0,SUM(Mitigation_Industry!AA606:AA614)-INDEX(AA$1548:AA$1607,MATCH("v1:shp:2:mch:"&amp;Settings!$B$10,$A$1548:$A$1607,0)),0)</f>
        <v>0</v>
      </c>
      <c r="AB1521">
        <f>IF(Scenarios!$J$27=0,SUM(Mitigation_Industry!AB606:AB614)-INDEX(AB$1548:AB$1607,MATCH("v1:shp:2:mch:"&amp;Settings!$B$10,$A$1548:$A$1607,0)),0)</f>
        <v>2.8421709430404007E-14</v>
      </c>
      <c r="AC1521">
        <f>IF(Scenarios!$J$27=0,SUM(Mitigation_Industry!AC606:AC614)-INDEX(AC$1548:AC$1607,MATCH("v1:shp:2:mch:"&amp;Settings!$B$10,$A$1548:$A$1607,0)),0)</f>
        <v>0</v>
      </c>
      <c r="AD1521">
        <f>IF(Scenarios!$J$27=0,SUM(Mitigation_Industry!AD606:AD614)-INDEX(AD$1548:AD$1607,MATCH("v1:shp:2:mch:"&amp;Settings!$B$10,$A$1548:$A$1607,0)),0)</f>
        <v>2.8421709430404007E-14</v>
      </c>
      <c r="AE1521">
        <f>IF(Scenarios!$J$27=0,SUM(Mitigation_Industry!AE606:AE614)-INDEX(AE$1548:AE$1607,MATCH("v1:shp:2:mch:"&amp;Settings!$B$10,$A$1548:$A$1607,0)),0)</f>
        <v>0</v>
      </c>
    </row>
    <row r="1522" spans="1:31" x14ac:dyDescent="0.45">
      <c r="A1522" t="s">
        <v>2343</v>
      </c>
      <c r="D1522">
        <v>1</v>
      </c>
      <c r="E1522" t="s">
        <v>1161</v>
      </c>
      <c r="F1522">
        <f t="shared" si="361"/>
        <v>0</v>
      </c>
      <c r="I1522">
        <v>0</v>
      </c>
      <c r="L1522">
        <f>Mitigation_Industry!L63-INDEX(L$1548:L$1607,MATCH("v1:ener:1:irn:",$A$1548:$A$1607,0))</f>
        <v>0</v>
      </c>
      <c r="M1522">
        <f>Mitigation_Industry!M63-INDEX(M$1548:M$1607,MATCH("v1:ener:1:irn:",$A$1548:$A$1607,0))</f>
        <v>0</v>
      </c>
      <c r="N1522">
        <f>Mitigation_Industry!N63-INDEX(N$1548:N$1607,MATCH("v1:ener:1:irn:",$A$1548:$A$1607,0))</f>
        <v>0</v>
      </c>
      <c r="O1522">
        <f>Mitigation_Industry!O63-INDEX(O$1548:O$1607,MATCH("v1:ener:1:irn:",$A$1548:$A$1607,0))</f>
        <v>0</v>
      </c>
      <c r="P1522">
        <f>Mitigation_Industry!P63-INDEX(P$1548:P$1607,MATCH("v1:ener:1:irn:",$A$1548:$A$1607,0))</f>
        <v>0</v>
      </c>
      <c r="Q1522">
        <f>Mitigation_Industry!Q63-INDEX(Q$1548:Q$1607,MATCH("v1:ener:1:irn:",$A$1548:$A$1607,0))</f>
        <v>0</v>
      </c>
      <c r="R1522">
        <f>Mitigation_Industry!R63-INDEX(R$1548:R$1607,MATCH("v1:ener:1:irn:",$A$1548:$A$1607,0))</f>
        <v>0</v>
      </c>
      <c r="S1522">
        <f>Mitigation_Industry!S63-INDEX(S$1548:S$1607,MATCH("v1:ener:1:irn:",$A$1548:$A$1607,0))</f>
        <v>0</v>
      </c>
      <c r="T1522">
        <f>Mitigation_Industry!T63-INDEX(T$1548:T$1607,MATCH("v1:ener:1:irn:",$A$1548:$A$1607,0))</f>
        <v>0</v>
      </c>
      <c r="U1522">
        <f>Mitigation_Industry!U63-INDEX(U$1548:U$1607,MATCH("v1:ener:1:irn:",$A$1548:$A$1607,0))</f>
        <v>0</v>
      </c>
      <c r="V1522">
        <f>Mitigation_Industry!V63-INDEX(V$1548:V$1607,MATCH("v1:ener:1:irn:",$A$1548:$A$1607,0))</f>
        <v>0</v>
      </c>
      <c r="W1522">
        <f>Mitigation_Industry!W63-INDEX(W$1548:W$1607,MATCH("v1:ener:1:irn:",$A$1548:$A$1607,0))</f>
        <v>0</v>
      </c>
      <c r="X1522">
        <f>Mitigation_Industry!X63-INDEX(X$1548:X$1607,MATCH("v1:ener:1:irn:",$A$1548:$A$1607,0))</f>
        <v>0</v>
      </c>
      <c r="Y1522">
        <f>Mitigation_Industry!Y63-INDEX(Y$1548:Y$1607,MATCH("v1:ener:1:irn:",$A$1548:$A$1607,0))</f>
        <v>0</v>
      </c>
      <c r="Z1522">
        <f>Mitigation_Industry!Z63-INDEX(Z$1548:Z$1607,MATCH("v1:ener:1:irn:",$A$1548:$A$1607,0))</f>
        <v>0</v>
      </c>
      <c r="AA1522">
        <f>Mitigation_Industry!AA63-INDEX(AA$1548:AA$1607,MATCH("v1:ener:1:irn:",$A$1548:$A$1607,0))</f>
        <v>0</v>
      </c>
      <c r="AB1522">
        <f>Mitigation_Industry!AB63-INDEX(AB$1548:AB$1607,MATCH("v1:ener:1:irn:",$A$1548:$A$1607,0))</f>
        <v>0</v>
      </c>
      <c r="AC1522">
        <f>Mitigation_Industry!AC63-INDEX(AC$1548:AC$1607,MATCH("v1:ener:1:irn:",$A$1548:$A$1607,0))</f>
        <v>0</v>
      </c>
      <c r="AD1522">
        <f>Mitigation_Industry!AD63-INDEX(AD$1548:AD$1607,MATCH("v1:ener:1:irn:",$A$1548:$A$1607,0))</f>
        <v>0</v>
      </c>
      <c r="AE1522">
        <f>Mitigation_Industry!AE63-INDEX(AE$1548:AE$1607,MATCH("v1:ener:1:irn:",$A$1548:$A$1607,0))</f>
        <v>0</v>
      </c>
    </row>
    <row r="1523" spans="1:31" x14ac:dyDescent="0.45">
      <c r="A1523" t="s">
        <v>2344</v>
      </c>
      <c r="D1523">
        <v>1</v>
      </c>
      <c r="E1523" t="s">
        <v>1161</v>
      </c>
      <c r="F1523">
        <f t="shared" si="361"/>
        <v>0</v>
      </c>
      <c r="I1523">
        <v>0</v>
      </c>
      <c r="L1523">
        <f>Mitigation_Industry!L123-INDEX(L$1548:L$1607,MATCH("v1:ener:1:cem:",$A$1548:$A$1607,0))</f>
        <v>0</v>
      </c>
      <c r="M1523">
        <f>Mitigation_Industry!M123-INDEX(M$1548:M$1607,MATCH("v1:ener:1:cem:",$A$1548:$A$1607,0))</f>
        <v>0</v>
      </c>
      <c r="N1523">
        <f>Mitigation_Industry!N123-INDEX(N$1548:N$1607,MATCH("v1:ener:1:cem:",$A$1548:$A$1607,0))</f>
        <v>0</v>
      </c>
      <c r="O1523">
        <f>Mitigation_Industry!O123-INDEX(O$1548:O$1607,MATCH("v1:ener:1:cem:",$A$1548:$A$1607,0))</f>
        <v>0</v>
      </c>
      <c r="P1523">
        <f>Mitigation_Industry!P123-INDEX(P$1548:P$1607,MATCH("v1:ener:1:cem:",$A$1548:$A$1607,0))</f>
        <v>0</v>
      </c>
      <c r="Q1523">
        <f>Mitigation_Industry!Q123-INDEX(Q$1548:Q$1607,MATCH("v1:ener:1:cem:",$A$1548:$A$1607,0))</f>
        <v>0</v>
      </c>
      <c r="R1523">
        <f>Mitigation_Industry!R123-INDEX(R$1548:R$1607,MATCH("v1:ener:1:cem:",$A$1548:$A$1607,0))</f>
        <v>0</v>
      </c>
      <c r="S1523">
        <f>Mitigation_Industry!S123-INDEX(S$1548:S$1607,MATCH("v1:ener:1:cem:",$A$1548:$A$1607,0))</f>
        <v>0</v>
      </c>
      <c r="T1523">
        <f>Mitigation_Industry!T123-INDEX(T$1548:T$1607,MATCH("v1:ener:1:cem:",$A$1548:$A$1607,0))</f>
        <v>0</v>
      </c>
      <c r="U1523">
        <f>Mitigation_Industry!U123-INDEX(U$1548:U$1607,MATCH("v1:ener:1:cem:",$A$1548:$A$1607,0))</f>
        <v>0</v>
      </c>
      <c r="V1523">
        <f>Mitigation_Industry!V123-INDEX(V$1548:V$1607,MATCH("v1:ener:1:cem:",$A$1548:$A$1607,0))</f>
        <v>0</v>
      </c>
      <c r="W1523">
        <f>Mitigation_Industry!W123-INDEX(W$1548:W$1607,MATCH("v1:ener:1:cem:",$A$1548:$A$1607,0))</f>
        <v>0</v>
      </c>
      <c r="X1523">
        <f>Mitigation_Industry!X123-INDEX(X$1548:X$1607,MATCH("v1:ener:1:cem:",$A$1548:$A$1607,0))</f>
        <v>0</v>
      </c>
      <c r="Y1523">
        <f>Mitigation_Industry!Y123-INDEX(Y$1548:Y$1607,MATCH("v1:ener:1:cem:",$A$1548:$A$1607,0))</f>
        <v>0</v>
      </c>
      <c r="Z1523">
        <f>Mitigation_Industry!Z123-INDEX(Z$1548:Z$1607,MATCH("v1:ener:1:cem:",$A$1548:$A$1607,0))</f>
        <v>0</v>
      </c>
      <c r="AA1523">
        <f>Mitigation_Industry!AA123-INDEX(AA$1548:AA$1607,MATCH("v1:ener:1:cem:",$A$1548:$A$1607,0))</f>
        <v>0</v>
      </c>
      <c r="AB1523">
        <f>Mitigation_Industry!AB123-INDEX(AB$1548:AB$1607,MATCH("v1:ener:1:cem:",$A$1548:$A$1607,0))</f>
        <v>0</v>
      </c>
      <c r="AC1523">
        <f>Mitigation_Industry!AC123-INDEX(AC$1548:AC$1607,MATCH("v1:ener:1:cem:",$A$1548:$A$1607,0))</f>
        <v>0</v>
      </c>
      <c r="AD1523">
        <f>Mitigation_Industry!AD123-INDEX(AD$1548:AD$1607,MATCH("v1:ener:1:cem:",$A$1548:$A$1607,0))</f>
        <v>0</v>
      </c>
      <c r="AE1523">
        <f>Mitigation_Industry!AE123-INDEX(AE$1548:AE$1607,MATCH("v1:ener:1:cem:",$A$1548:$A$1607,0))</f>
        <v>0</v>
      </c>
    </row>
    <row r="1524" spans="1:31" x14ac:dyDescent="0.45">
      <c r="A1524" t="s">
        <v>2345</v>
      </c>
      <c r="D1524">
        <v>1</v>
      </c>
      <c r="E1524" t="s">
        <v>1161</v>
      </c>
      <c r="F1524">
        <f t="shared" si="361"/>
        <v>0</v>
      </c>
      <c r="I1524">
        <v>0</v>
      </c>
      <c r="L1524">
        <f>Mitigation_Industry!L183-INDEX(L$1548:L$1607,MATCH("v1:ener:1:nfm:",$A$1548:$A$1607,0))</f>
        <v>0</v>
      </c>
      <c r="M1524">
        <f>Mitigation_Industry!M183-INDEX(M$1548:M$1607,MATCH("v1:ener:1:nfm:",$A$1548:$A$1607,0))</f>
        <v>0</v>
      </c>
      <c r="N1524">
        <f>Mitigation_Industry!N183-INDEX(N$1548:N$1607,MATCH("v1:ener:1:nfm:",$A$1548:$A$1607,0))</f>
        <v>0</v>
      </c>
      <c r="O1524">
        <f>Mitigation_Industry!O183-INDEX(O$1548:O$1607,MATCH("v1:ener:1:nfm:",$A$1548:$A$1607,0))</f>
        <v>0</v>
      </c>
      <c r="P1524">
        <f>Mitigation_Industry!P183-INDEX(P$1548:P$1607,MATCH("v1:ener:1:nfm:",$A$1548:$A$1607,0))</f>
        <v>0</v>
      </c>
      <c r="Q1524">
        <f>Mitigation_Industry!Q183-INDEX(Q$1548:Q$1607,MATCH("v1:ener:1:nfm:",$A$1548:$A$1607,0))</f>
        <v>0</v>
      </c>
      <c r="R1524">
        <f>Mitigation_Industry!R183-INDEX(R$1548:R$1607,MATCH("v1:ener:1:nfm:",$A$1548:$A$1607,0))</f>
        <v>0</v>
      </c>
      <c r="S1524">
        <f>Mitigation_Industry!S183-INDEX(S$1548:S$1607,MATCH("v1:ener:1:nfm:",$A$1548:$A$1607,0))</f>
        <v>0</v>
      </c>
      <c r="T1524">
        <f>Mitigation_Industry!T183-INDEX(T$1548:T$1607,MATCH("v1:ener:1:nfm:",$A$1548:$A$1607,0))</f>
        <v>0</v>
      </c>
      <c r="U1524">
        <f>Mitigation_Industry!U183-INDEX(U$1548:U$1607,MATCH("v1:ener:1:nfm:",$A$1548:$A$1607,0))</f>
        <v>0</v>
      </c>
      <c r="V1524">
        <f>Mitigation_Industry!V183-INDEX(V$1548:V$1607,MATCH("v1:ener:1:nfm:",$A$1548:$A$1607,0))</f>
        <v>0</v>
      </c>
      <c r="W1524">
        <f>Mitigation_Industry!W183-INDEX(W$1548:W$1607,MATCH("v1:ener:1:nfm:",$A$1548:$A$1607,0))</f>
        <v>0</v>
      </c>
      <c r="X1524">
        <f>Mitigation_Industry!X183-INDEX(X$1548:X$1607,MATCH("v1:ener:1:nfm:",$A$1548:$A$1607,0))</f>
        <v>0</v>
      </c>
      <c r="Y1524">
        <f>Mitigation_Industry!Y183-INDEX(Y$1548:Y$1607,MATCH("v1:ener:1:nfm:",$A$1548:$A$1607,0))</f>
        <v>0</v>
      </c>
      <c r="Z1524">
        <f>Mitigation_Industry!Z183-INDEX(Z$1548:Z$1607,MATCH("v1:ener:1:nfm:",$A$1548:$A$1607,0))</f>
        <v>0</v>
      </c>
      <c r="AA1524">
        <f>Mitigation_Industry!AA183-INDEX(AA$1548:AA$1607,MATCH("v1:ener:1:nfm:",$A$1548:$A$1607,0))</f>
        <v>0</v>
      </c>
      <c r="AB1524">
        <f>Mitigation_Industry!AB183-INDEX(AB$1548:AB$1607,MATCH("v1:ener:1:nfm:",$A$1548:$A$1607,0))</f>
        <v>0</v>
      </c>
      <c r="AC1524">
        <f>Mitigation_Industry!AC183-INDEX(AC$1548:AC$1607,MATCH("v1:ener:1:nfm:",$A$1548:$A$1607,0))</f>
        <v>0</v>
      </c>
      <c r="AD1524">
        <f>Mitigation_Industry!AD183-INDEX(AD$1548:AD$1607,MATCH("v1:ener:1:nfm:",$A$1548:$A$1607,0))</f>
        <v>0</v>
      </c>
      <c r="AE1524">
        <f>Mitigation_Industry!AE183-INDEX(AE$1548:AE$1607,MATCH("v1:ener:1:nfm:",$A$1548:$A$1607,0))</f>
        <v>0</v>
      </c>
    </row>
    <row r="1525" spans="1:31" x14ac:dyDescent="0.45">
      <c r="A1525" t="s">
        <v>2346</v>
      </c>
      <c r="D1525">
        <v>1</v>
      </c>
      <c r="E1525" t="s">
        <v>1161</v>
      </c>
      <c r="F1525">
        <f t="shared" si="361"/>
        <v>0</v>
      </c>
      <c r="I1525">
        <v>0</v>
      </c>
      <c r="L1525">
        <f>Mitigation_Industry!L243-INDEX(L$1548:L$1607,MATCH("v1:ener:1:mch:",$A$1548:$A$1607,0))</f>
        <v>0</v>
      </c>
      <c r="M1525">
        <f>Mitigation_Industry!M243-INDEX(M$1548:M$1607,MATCH("v1:ener:1:mch:",$A$1548:$A$1607,0))</f>
        <v>0</v>
      </c>
      <c r="N1525">
        <f>Mitigation_Industry!N243-INDEX(N$1548:N$1607,MATCH("v1:ener:1:mch:",$A$1548:$A$1607,0))</f>
        <v>0</v>
      </c>
      <c r="O1525">
        <f>Mitigation_Industry!O243-INDEX(O$1548:O$1607,MATCH("v1:ener:1:mch:",$A$1548:$A$1607,0))</f>
        <v>0</v>
      </c>
      <c r="P1525">
        <f>Mitigation_Industry!P243-INDEX(P$1548:P$1607,MATCH("v1:ener:1:mch:",$A$1548:$A$1607,0))</f>
        <v>0</v>
      </c>
      <c r="Q1525">
        <f>Mitigation_Industry!Q243-INDEX(Q$1548:Q$1607,MATCH("v1:ener:1:mch:",$A$1548:$A$1607,0))</f>
        <v>0</v>
      </c>
      <c r="R1525">
        <f>Mitigation_Industry!R243-INDEX(R$1548:R$1607,MATCH("v1:ener:1:mch:",$A$1548:$A$1607,0))</f>
        <v>0</v>
      </c>
      <c r="S1525">
        <f>Mitigation_Industry!S243-INDEX(S$1548:S$1607,MATCH("v1:ener:1:mch:",$A$1548:$A$1607,0))</f>
        <v>0</v>
      </c>
      <c r="T1525">
        <f>Mitigation_Industry!T243-INDEX(T$1548:T$1607,MATCH("v1:ener:1:mch:",$A$1548:$A$1607,0))</f>
        <v>0</v>
      </c>
      <c r="U1525">
        <f>Mitigation_Industry!U243-INDEX(U$1548:U$1607,MATCH("v1:ener:1:mch:",$A$1548:$A$1607,0))</f>
        <v>0</v>
      </c>
      <c r="V1525">
        <f>Mitigation_Industry!V243-INDEX(V$1548:V$1607,MATCH("v1:ener:1:mch:",$A$1548:$A$1607,0))</f>
        <v>0</v>
      </c>
      <c r="W1525">
        <f>Mitigation_Industry!W243-INDEX(W$1548:W$1607,MATCH("v1:ener:1:mch:",$A$1548:$A$1607,0))</f>
        <v>0</v>
      </c>
      <c r="X1525">
        <f>Mitigation_Industry!X243-INDEX(X$1548:X$1607,MATCH("v1:ener:1:mch:",$A$1548:$A$1607,0))</f>
        <v>0</v>
      </c>
      <c r="Y1525">
        <f>Mitigation_Industry!Y243-INDEX(Y$1548:Y$1607,MATCH("v1:ener:1:mch:",$A$1548:$A$1607,0))</f>
        <v>0</v>
      </c>
      <c r="Z1525">
        <f>Mitigation_Industry!Z243-INDEX(Z$1548:Z$1607,MATCH("v1:ener:1:mch:",$A$1548:$A$1607,0))</f>
        <v>0</v>
      </c>
      <c r="AA1525">
        <f>Mitigation_Industry!AA243-INDEX(AA$1548:AA$1607,MATCH("v1:ener:1:mch:",$A$1548:$A$1607,0))</f>
        <v>0</v>
      </c>
      <c r="AB1525">
        <f>Mitigation_Industry!AB243-INDEX(AB$1548:AB$1607,MATCH("v1:ener:1:mch:",$A$1548:$A$1607,0))</f>
        <v>0</v>
      </c>
      <c r="AC1525">
        <f>Mitigation_Industry!AC243-INDEX(AC$1548:AC$1607,MATCH("v1:ener:1:mch:",$A$1548:$A$1607,0))</f>
        <v>0</v>
      </c>
      <c r="AD1525">
        <f>Mitigation_Industry!AD243-INDEX(AD$1548:AD$1607,MATCH("v1:ener:1:mch:",$A$1548:$A$1607,0))</f>
        <v>0</v>
      </c>
      <c r="AE1525">
        <f>Mitigation_Industry!AE243-INDEX(AE$1548:AE$1607,MATCH("v1:ener:1:mch:",$A$1548:$A$1607,0))</f>
        <v>0</v>
      </c>
    </row>
    <row r="1526" spans="1:31" x14ac:dyDescent="0.45">
      <c r="A1526" t="s">
        <v>2740</v>
      </c>
      <c r="D1526">
        <v>2</v>
      </c>
      <c r="E1526" t="s">
        <v>1161</v>
      </c>
      <c r="F1526">
        <f t="shared" si="361"/>
        <v>0</v>
      </c>
      <c r="I1526">
        <v>0</v>
      </c>
      <c r="L1526">
        <f>IF(AND(Scenarios!$I$27=0,Scenarios!$J$27=0),Mitigation_Industry!L462-INDEX(L$1548:L$1607,MATCH("v1:ener:2:irn:"&amp;Settings!$B$10,$A$1548:$A$1607,0)),0)</f>
        <v>0</v>
      </c>
      <c r="M1526">
        <f>IF(AND(Scenarios!$I$27=0,Scenarios!$J$27=0),Mitigation_Industry!M462-INDEX(M$1548:M$1607,MATCH("v1:ener:2:irn:"&amp;Settings!$B$10,$A$1548:$A$1607,0)),0)</f>
        <v>0</v>
      </c>
      <c r="N1526">
        <f>IF(AND(Scenarios!$I$27=0,Scenarios!$J$27=0),Mitigation_Industry!N462-INDEX(N$1548:N$1607,MATCH("v1:ener:2:irn:"&amp;Settings!$B$10,$A$1548:$A$1607,0)),0)</f>
        <v>0</v>
      </c>
      <c r="O1526">
        <f>IF(AND(Scenarios!$I$27=0,Scenarios!$J$27=0),Mitigation_Industry!O462-INDEX(O$1548:O$1607,MATCH("v1:ener:2:irn:"&amp;Settings!$B$10,$A$1548:$A$1607,0)),0)</f>
        <v>0</v>
      </c>
      <c r="P1526">
        <f>IF(AND(Scenarios!$I$27=0,Scenarios!$J$27=0),Mitigation_Industry!P462-INDEX(P$1548:P$1607,MATCH("v1:ener:2:irn:"&amp;Settings!$B$10,$A$1548:$A$1607,0)),0)</f>
        <v>0</v>
      </c>
      <c r="Q1526">
        <f>IF(AND(Scenarios!$I$27=0,Scenarios!$J$27=0),Mitigation_Industry!Q462-INDEX(Q$1548:Q$1607,MATCH("v1:ener:2:irn:"&amp;Settings!$B$10,$A$1548:$A$1607,0)),0)</f>
        <v>0</v>
      </c>
      <c r="R1526">
        <f>IF(AND(Scenarios!$I$27=0,Scenarios!$J$27=0),Mitigation_Industry!R462-INDEX(R$1548:R$1607,MATCH("v1:ener:2:irn:"&amp;Settings!$B$10,$A$1548:$A$1607,0)),0)</f>
        <v>0</v>
      </c>
      <c r="S1526">
        <f>IF(AND(Scenarios!$I$27=0,Scenarios!$J$27=0),Mitigation_Industry!S462-INDEX(S$1548:S$1607,MATCH("v1:ener:2:irn:"&amp;Settings!$B$10,$A$1548:$A$1607,0)),0)</f>
        <v>0</v>
      </c>
      <c r="T1526">
        <f>IF(AND(Scenarios!$I$27=0,Scenarios!$J$27=0),Mitigation_Industry!T462-INDEX(T$1548:T$1607,MATCH("v1:ener:2:irn:"&amp;Settings!$B$10,$A$1548:$A$1607,0)),0)</f>
        <v>0</v>
      </c>
      <c r="U1526">
        <f>IF(AND(Scenarios!$I$27=0,Scenarios!$J$27=0),Mitigation_Industry!U462-INDEX(U$1548:U$1607,MATCH("v1:ener:2:irn:"&amp;Settings!$B$10,$A$1548:$A$1607,0)),0)</f>
        <v>0</v>
      </c>
      <c r="V1526">
        <f>IF(AND(Scenarios!$I$27=0,Scenarios!$J$27=0),Mitigation_Industry!V462-INDEX(V$1548:V$1607,MATCH("v1:ener:2:irn:"&amp;Settings!$B$10,$A$1548:$A$1607,0)),0)</f>
        <v>0</v>
      </c>
      <c r="W1526">
        <f>IF(AND(Scenarios!$I$27=0,Scenarios!$J$27=0),Mitigation_Industry!W462-INDEX(W$1548:W$1607,MATCH("v1:ener:2:irn:"&amp;Settings!$B$10,$A$1548:$A$1607,0)),0)</f>
        <v>0</v>
      </c>
      <c r="X1526">
        <f>IF(AND(Scenarios!$I$27=0,Scenarios!$J$27=0),Mitigation_Industry!X462-INDEX(X$1548:X$1607,MATCH("v1:ener:2:irn:"&amp;Settings!$B$10,$A$1548:$A$1607,0)),0)</f>
        <v>0</v>
      </c>
      <c r="Y1526">
        <f>IF(AND(Scenarios!$I$27=0,Scenarios!$J$27=0),Mitigation_Industry!Y462-INDEX(Y$1548:Y$1607,MATCH("v1:ener:2:irn:"&amp;Settings!$B$10,$A$1548:$A$1607,0)),0)</f>
        <v>0</v>
      </c>
      <c r="Z1526">
        <f>IF(AND(Scenarios!$I$27=0,Scenarios!$J$27=0),Mitigation_Industry!Z462-INDEX(Z$1548:Z$1607,MATCH("v1:ener:2:irn:"&amp;Settings!$B$10,$A$1548:$A$1607,0)),0)</f>
        <v>0</v>
      </c>
      <c r="AA1526">
        <f>IF(AND(Scenarios!$I$27=0,Scenarios!$J$27=0),Mitigation_Industry!AA462-INDEX(AA$1548:AA$1607,MATCH("v1:ener:2:irn:"&amp;Settings!$B$10,$A$1548:$A$1607,0)),0)</f>
        <v>0</v>
      </c>
      <c r="AB1526">
        <f>IF(AND(Scenarios!$I$27=0,Scenarios!$J$27=0),Mitigation_Industry!AB462-INDEX(AB$1548:AB$1607,MATCH("v1:ener:2:irn:"&amp;Settings!$B$10,$A$1548:$A$1607,0)),0)</f>
        <v>0</v>
      </c>
      <c r="AC1526">
        <f>IF(AND(Scenarios!$I$27=0,Scenarios!$J$27=0),Mitigation_Industry!AC462-INDEX(AC$1548:AC$1607,MATCH("v1:ener:2:irn:"&amp;Settings!$B$10,$A$1548:$A$1607,0)),0)</f>
        <v>0</v>
      </c>
      <c r="AD1526">
        <f>IF(AND(Scenarios!$I$27=0,Scenarios!$J$27=0),Mitigation_Industry!AD462-INDEX(AD$1548:AD$1607,MATCH("v1:ener:2:irn:"&amp;Settings!$B$10,$A$1548:$A$1607,0)),0)</f>
        <v>0</v>
      </c>
      <c r="AE1526">
        <f>IF(AND(Scenarios!$I$27=0,Scenarios!$J$27=0),Mitigation_Industry!AE462-INDEX(AE$1548:AE$1607,MATCH("v1:ener:2:irn:"&amp;Settings!$B$10,$A$1548:$A$1607,0)),0)</f>
        <v>0</v>
      </c>
    </row>
    <row r="1527" spans="1:31" x14ac:dyDescent="0.45">
      <c r="A1527" t="s">
        <v>2741</v>
      </c>
      <c r="D1527">
        <v>2</v>
      </c>
      <c r="E1527" t="s">
        <v>1161</v>
      </c>
      <c r="F1527">
        <f t="shared" si="361"/>
        <v>0</v>
      </c>
      <c r="I1527">
        <v>0</v>
      </c>
      <c r="L1527">
        <f>IF(AND(Scenarios!$I$27=0,Scenarios!$J$27=0),Mitigation_Industry!L522-INDEX(L$1548:L$1607,MATCH("v1:ener:2:cem:"&amp;Settings!$B$10,$A$1548:$A$1607,0)),0)</f>
        <v>0</v>
      </c>
      <c r="M1527">
        <f>IF(AND(Scenarios!$I$27=0,Scenarios!$J$27=0),Mitigation_Industry!M522-INDEX(M$1548:M$1607,MATCH("v1:ener:2:cem:"&amp;Settings!$B$10,$A$1548:$A$1607,0)),0)</f>
        <v>0</v>
      </c>
      <c r="N1527">
        <f>IF(AND(Scenarios!$I$27=0,Scenarios!$J$27=0),Mitigation_Industry!N522-INDEX(N$1548:N$1607,MATCH("v1:ener:2:cem:"&amp;Settings!$B$10,$A$1548:$A$1607,0)),0)</f>
        <v>0</v>
      </c>
      <c r="O1527">
        <f>IF(AND(Scenarios!$I$27=0,Scenarios!$J$27=0),Mitigation_Industry!O522-INDEX(O$1548:O$1607,MATCH("v1:ener:2:cem:"&amp;Settings!$B$10,$A$1548:$A$1607,0)),0)</f>
        <v>0</v>
      </c>
      <c r="P1527">
        <f>IF(AND(Scenarios!$I$27=0,Scenarios!$J$27=0),Mitigation_Industry!P522-INDEX(P$1548:P$1607,MATCH("v1:ener:2:cem:"&amp;Settings!$B$10,$A$1548:$A$1607,0)),0)</f>
        <v>0</v>
      </c>
      <c r="Q1527">
        <f>IF(AND(Scenarios!$I$27=0,Scenarios!$J$27=0),Mitigation_Industry!Q522-INDEX(Q$1548:Q$1607,MATCH("v1:ener:2:cem:"&amp;Settings!$B$10,$A$1548:$A$1607,0)),0)</f>
        <v>0</v>
      </c>
      <c r="R1527">
        <f>IF(AND(Scenarios!$I$27=0,Scenarios!$J$27=0),Mitigation_Industry!R522-INDEX(R$1548:R$1607,MATCH("v1:ener:2:cem:"&amp;Settings!$B$10,$A$1548:$A$1607,0)),0)</f>
        <v>0</v>
      </c>
      <c r="S1527">
        <f>IF(AND(Scenarios!$I$27=0,Scenarios!$J$27=0),Mitigation_Industry!S522-INDEX(S$1548:S$1607,MATCH("v1:ener:2:cem:"&amp;Settings!$B$10,$A$1548:$A$1607,0)),0)</f>
        <v>0</v>
      </c>
      <c r="T1527">
        <f>IF(AND(Scenarios!$I$27=0,Scenarios!$J$27=0),Mitigation_Industry!T522-INDEX(T$1548:T$1607,MATCH("v1:ener:2:cem:"&amp;Settings!$B$10,$A$1548:$A$1607,0)),0)</f>
        <v>0</v>
      </c>
      <c r="U1527">
        <f>IF(AND(Scenarios!$I$27=0,Scenarios!$J$27=0),Mitigation_Industry!U522-INDEX(U$1548:U$1607,MATCH("v1:ener:2:cem:"&amp;Settings!$B$10,$A$1548:$A$1607,0)),0)</f>
        <v>0</v>
      </c>
      <c r="V1527">
        <f>IF(AND(Scenarios!$I$27=0,Scenarios!$J$27=0),Mitigation_Industry!V522-INDEX(V$1548:V$1607,MATCH("v1:ener:2:cem:"&amp;Settings!$B$10,$A$1548:$A$1607,0)),0)</f>
        <v>0</v>
      </c>
      <c r="W1527">
        <f>IF(AND(Scenarios!$I$27=0,Scenarios!$J$27=0),Mitigation_Industry!W522-INDEX(W$1548:W$1607,MATCH("v1:ener:2:cem:"&amp;Settings!$B$10,$A$1548:$A$1607,0)),0)</f>
        <v>0</v>
      </c>
      <c r="X1527">
        <f>IF(AND(Scenarios!$I$27=0,Scenarios!$J$27=0),Mitigation_Industry!X522-INDEX(X$1548:X$1607,MATCH("v1:ener:2:cem:"&amp;Settings!$B$10,$A$1548:$A$1607,0)),0)</f>
        <v>0</v>
      </c>
      <c r="Y1527">
        <f>IF(AND(Scenarios!$I$27=0,Scenarios!$J$27=0),Mitigation_Industry!Y522-INDEX(Y$1548:Y$1607,MATCH("v1:ener:2:cem:"&amp;Settings!$B$10,$A$1548:$A$1607,0)),0)</f>
        <v>0</v>
      </c>
      <c r="Z1527">
        <f>IF(AND(Scenarios!$I$27=0,Scenarios!$J$27=0),Mitigation_Industry!Z522-INDEX(Z$1548:Z$1607,MATCH("v1:ener:2:cem:"&amp;Settings!$B$10,$A$1548:$A$1607,0)),0)</f>
        <v>0</v>
      </c>
      <c r="AA1527">
        <f>IF(AND(Scenarios!$I$27=0,Scenarios!$J$27=0),Mitigation_Industry!AA522-INDEX(AA$1548:AA$1607,MATCH("v1:ener:2:cem:"&amp;Settings!$B$10,$A$1548:$A$1607,0)),0)</f>
        <v>0</v>
      </c>
      <c r="AB1527">
        <f>IF(AND(Scenarios!$I$27=0,Scenarios!$J$27=0),Mitigation_Industry!AB522-INDEX(AB$1548:AB$1607,MATCH("v1:ener:2:cem:"&amp;Settings!$B$10,$A$1548:$A$1607,0)),0)</f>
        <v>0</v>
      </c>
      <c r="AC1527">
        <f>IF(AND(Scenarios!$I$27=0,Scenarios!$J$27=0),Mitigation_Industry!AC522-INDEX(AC$1548:AC$1607,MATCH("v1:ener:2:cem:"&amp;Settings!$B$10,$A$1548:$A$1607,0)),0)</f>
        <v>0</v>
      </c>
      <c r="AD1527">
        <f>IF(AND(Scenarios!$I$27=0,Scenarios!$J$27=0),Mitigation_Industry!AD522-INDEX(AD$1548:AD$1607,MATCH("v1:ener:2:cem:"&amp;Settings!$B$10,$A$1548:$A$1607,0)),0)</f>
        <v>0</v>
      </c>
      <c r="AE1527">
        <f>IF(AND(Scenarios!$I$27=0,Scenarios!$J$27=0),Mitigation_Industry!AE522-INDEX(AE$1548:AE$1607,MATCH("v1:ener:2:cem:"&amp;Settings!$B$10,$A$1548:$A$1607,0)),0)</f>
        <v>0</v>
      </c>
    </row>
    <row r="1528" spans="1:31" x14ac:dyDescent="0.45">
      <c r="A1528" t="s">
        <v>2742</v>
      </c>
      <c r="D1528">
        <v>2</v>
      </c>
      <c r="E1528" t="s">
        <v>1161</v>
      </c>
      <c r="F1528">
        <f t="shared" si="361"/>
        <v>0</v>
      </c>
      <c r="I1528">
        <v>0</v>
      </c>
      <c r="L1528">
        <f>IF(AND(Scenarios!$I$27=0,Scenarios!$J$27=0),Mitigation_Industry!L582-INDEX(L$1548:L$1607,MATCH("v1:ener:2:nfm:"&amp;Settings!$B$10,$A$1548:$A$1607,0)),0)</f>
        <v>0</v>
      </c>
      <c r="M1528">
        <f>IF(AND(Scenarios!$I$27=0,Scenarios!$J$27=0),Mitigation_Industry!M582-INDEX(M$1548:M$1607,MATCH("v1:ener:2:nfm:"&amp;Settings!$B$10,$A$1548:$A$1607,0)),0)</f>
        <v>0</v>
      </c>
      <c r="N1528">
        <f>IF(AND(Scenarios!$I$27=0,Scenarios!$J$27=0),Mitigation_Industry!N582-INDEX(N$1548:N$1607,MATCH("v1:ener:2:nfm:"&amp;Settings!$B$10,$A$1548:$A$1607,0)),0)</f>
        <v>0</v>
      </c>
      <c r="O1528">
        <f>IF(AND(Scenarios!$I$27=0,Scenarios!$J$27=0),Mitigation_Industry!O582-INDEX(O$1548:O$1607,MATCH("v1:ener:2:nfm:"&amp;Settings!$B$10,$A$1548:$A$1607,0)),0)</f>
        <v>0</v>
      </c>
      <c r="P1528">
        <f>IF(AND(Scenarios!$I$27=0,Scenarios!$J$27=0),Mitigation_Industry!P582-INDEX(P$1548:P$1607,MATCH("v1:ener:2:nfm:"&amp;Settings!$B$10,$A$1548:$A$1607,0)),0)</f>
        <v>0</v>
      </c>
      <c r="Q1528">
        <f>IF(AND(Scenarios!$I$27=0,Scenarios!$J$27=0),Mitigation_Industry!Q582-INDEX(Q$1548:Q$1607,MATCH("v1:ener:2:nfm:"&amp;Settings!$B$10,$A$1548:$A$1607,0)),0)</f>
        <v>0</v>
      </c>
      <c r="R1528">
        <f>IF(AND(Scenarios!$I$27=0,Scenarios!$J$27=0),Mitigation_Industry!R582-INDEX(R$1548:R$1607,MATCH("v1:ener:2:nfm:"&amp;Settings!$B$10,$A$1548:$A$1607,0)),0)</f>
        <v>0</v>
      </c>
      <c r="S1528">
        <f>IF(AND(Scenarios!$I$27=0,Scenarios!$J$27=0),Mitigation_Industry!S582-INDEX(S$1548:S$1607,MATCH("v1:ener:2:nfm:"&amp;Settings!$B$10,$A$1548:$A$1607,0)),0)</f>
        <v>0</v>
      </c>
      <c r="T1528">
        <f>IF(AND(Scenarios!$I$27=0,Scenarios!$J$27=0),Mitigation_Industry!T582-INDEX(T$1548:T$1607,MATCH("v1:ener:2:nfm:"&amp;Settings!$B$10,$A$1548:$A$1607,0)),0)</f>
        <v>0</v>
      </c>
      <c r="U1528">
        <f>IF(AND(Scenarios!$I$27=0,Scenarios!$J$27=0),Mitigation_Industry!U582-INDEX(U$1548:U$1607,MATCH("v1:ener:2:nfm:"&amp;Settings!$B$10,$A$1548:$A$1607,0)),0)</f>
        <v>0</v>
      </c>
      <c r="V1528">
        <f>IF(AND(Scenarios!$I$27=0,Scenarios!$J$27=0),Mitigation_Industry!V582-INDEX(V$1548:V$1607,MATCH("v1:ener:2:nfm:"&amp;Settings!$B$10,$A$1548:$A$1607,0)),0)</f>
        <v>0</v>
      </c>
      <c r="W1528">
        <f>IF(AND(Scenarios!$I$27=0,Scenarios!$J$27=0),Mitigation_Industry!W582-INDEX(W$1548:W$1607,MATCH("v1:ener:2:nfm:"&amp;Settings!$B$10,$A$1548:$A$1607,0)),0)</f>
        <v>0</v>
      </c>
      <c r="X1528">
        <f>IF(AND(Scenarios!$I$27=0,Scenarios!$J$27=0),Mitigation_Industry!X582-INDEX(X$1548:X$1607,MATCH("v1:ener:2:nfm:"&amp;Settings!$B$10,$A$1548:$A$1607,0)),0)</f>
        <v>0</v>
      </c>
      <c r="Y1528">
        <f>IF(AND(Scenarios!$I$27=0,Scenarios!$J$27=0),Mitigation_Industry!Y582-INDEX(Y$1548:Y$1607,MATCH("v1:ener:2:nfm:"&amp;Settings!$B$10,$A$1548:$A$1607,0)),0)</f>
        <v>0</v>
      </c>
      <c r="Z1528">
        <f>IF(AND(Scenarios!$I$27=0,Scenarios!$J$27=0),Mitigation_Industry!Z582-INDEX(Z$1548:Z$1607,MATCH("v1:ener:2:nfm:"&amp;Settings!$B$10,$A$1548:$A$1607,0)),0)</f>
        <v>0</v>
      </c>
      <c r="AA1528">
        <f>IF(AND(Scenarios!$I$27=0,Scenarios!$J$27=0),Mitigation_Industry!AA582-INDEX(AA$1548:AA$1607,MATCH("v1:ener:2:nfm:"&amp;Settings!$B$10,$A$1548:$A$1607,0)),0)</f>
        <v>0</v>
      </c>
      <c r="AB1528">
        <f>IF(AND(Scenarios!$I$27=0,Scenarios!$J$27=0),Mitigation_Industry!AB582-INDEX(AB$1548:AB$1607,MATCH("v1:ener:2:nfm:"&amp;Settings!$B$10,$A$1548:$A$1607,0)),0)</f>
        <v>0</v>
      </c>
      <c r="AC1528">
        <f>IF(AND(Scenarios!$I$27=0,Scenarios!$J$27=0),Mitigation_Industry!AC582-INDEX(AC$1548:AC$1607,MATCH("v1:ener:2:nfm:"&amp;Settings!$B$10,$A$1548:$A$1607,0)),0)</f>
        <v>0</v>
      </c>
      <c r="AD1528">
        <f>IF(AND(Scenarios!$I$27=0,Scenarios!$J$27=0),Mitigation_Industry!AD582-INDEX(AD$1548:AD$1607,MATCH("v1:ener:2:nfm:"&amp;Settings!$B$10,$A$1548:$A$1607,0)),0)</f>
        <v>0</v>
      </c>
      <c r="AE1528">
        <f>IF(AND(Scenarios!$I$27=0,Scenarios!$J$27=0),Mitigation_Industry!AE582-INDEX(AE$1548:AE$1607,MATCH("v1:ener:2:nfm:"&amp;Settings!$B$10,$A$1548:$A$1607,0)),0)</f>
        <v>0</v>
      </c>
    </row>
    <row r="1529" spans="1:31" x14ac:dyDescent="0.45">
      <c r="A1529" t="s">
        <v>2743</v>
      </c>
      <c r="D1529">
        <v>2</v>
      </c>
      <c r="E1529" t="s">
        <v>1161</v>
      </c>
      <c r="F1529">
        <f t="shared" si="361"/>
        <v>0</v>
      </c>
      <c r="I1529">
        <v>0</v>
      </c>
      <c r="L1529">
        <f>IF(AND(Scenarios!$I$27=0,Scenarios!$J$27=0),Mitigation_Industry!L642-INDEX(L$1548:L$1607,MATCH("v1:ener:2:mch:"&amp;Settings!$B$10,$A$1548:$A$1607,0)),0)</f>
        <v>0</v>
      </c>
      <c r="M1529">
        <f>IF(AND(Scenarios!$I$27=0,Scenarios!$J$27=0),Mitigation_Industry!M642-INDEX(M$1548:M$1607,MATCH("v1:ener:2:mch:"&amp;Settings!$B$10,$A$1548:$A$1607,0)),0)</f>
        <v>0</v>
      </c>
      <c r="N1529">
        <f>IF(AND(Scenarios!$I$27=0,Scenarios!$J$27=0),Mitigation_Industry!N642-INDEX(N$1548:N$1607,MATCH("v1:ener:2:mch:"&amp;Settings!$B$10,$A$1548:$A$1607,0)),0)</f>
        <v>0</v>
      </c>
      <c r="O1529">
        <f>IF(AND(Scenarios!$I$27=0,Scenarios!$J$27=0),Mitigation_Industry!O642-INDEX(O$1548:O$1607,MATCH("v1:ener:2:mch:"&amp;Settings!$B$10,$A$1548:$A$1607,0)),0)</f>
        <v>0</v>
      </c>
      <c r="P1529">
        <f>IF(AND(Scenarios!$I$27=0,Scenarios!$J$27=0),Mitigation_Industry!P642-INDEX(P$1548:P$1607,MATCH("v1:ener:2:mch:"&amp;Settings!$B$10,$A$1548:$A$1607,0)),0)</f>
        <v>0</v>
      </c>
      <c r="Q1529">
        <f>IF(AND(Scenarios!$I$27=0,Scenarios!$J$27=0),Mitigation_Industry!Q642-INDEX(Q$1548:Q$1607,MATCH("v1:ener:2:mch:"&amp;Settings!$B$10,$A$1548:$A$1607,0)),0)</f>
        <v>0</v>
      </c>
      <c r="R1529">
        <f>IF(AND(Scenarios!$I$27=0,Scenarios!$J$27=0),Mitigation_Industry!R642-INDEX(R$1548:R$1607,MATCH("v1:ener:2:mch:"&amp;Settings!$B$10,$A$1548:$A$1607,0)),0)</f>
        <v>0</v>
      </c>
      <c r="S1529">
        <f>IF(AND(Scenarios!$I$27=0,Scenarios!$J$27=0),Mitigation_Industry!S642-INDEX(S$1548:S$1607,MATCH("v1:ener:2:mch:"&amp;Settings!$B$10,$A$1548:$A$1607,0)),0)</f>
        <v>0</v>
      </c>
      <c r="T1529">
        <f>IF(AND(Scenarios!$I$27=0,Scenarios!$J$27=0),Mitigation_Industry!T642-INDEX(T$1548:T$1607,MATCH("v1:ener:2:mch:"&amp;Settings!$B$10,$A$1548:$A$1607,0)),0)</f>
        <v>0</v>
      </c>
      <c r="U1529">
        <f>IF(AND(Scenarios!$I$27=0,Scenarios!$J$27=0),Mitigation_Industry!U642-INDEX(U$1548:U$1607,MATCH("v1:ener:2:mch:"&amp;Settings!$B$10,$A$1548:$A$1607,0)),0)</f>
        <v>0</v>
      </c>
      <c r="V1529">
        <f>IF(AND(Scenarios!$I$27=0,Scenarios!$J$27=0),Mitigation_Industry!V642-INDEX(V$1548:V$1607,MATCH("v1:ener:2:mch:"&amp;Settings!$B$10,$A$1548:$A$1607,0)),0)</f>
        <v>0</v>
      </c>
      <c r="W1529">
        <f>IF(AND(Scenarios!$I$27=0,Scenarios!$J$27=0),Mitigation_Industry!W642-INDEX(W$1548:W$1607,MATCH("v1:ener:2:mch:"&amp;Settings!$B$10,$A$1548:$A$1607,0)),0)</f>
        <v>0</v>
      </c>
      <c r="X1529">
        <f>IF(AND(Scenarios!$I$27=0,Scenarios!$J$27=0),Mitigation_Industry!X642-INDEX(X$1548:X$1607,MATCH("v1:ener:2:mch:"&amp;Settings!$B$10,$A$1548:$A$1607,0)),0)</f>
        <v>0</v>
      </c>
      <c r="Y1529">
        <f>IF(AND(Scenarios!$I$27=0,Scenarios!$J$27=0),Mitigation_Industry!Y642-INDEX(Y$1548:Y$1607,MATCH("v1:ener:2:mch:"&amp;Settings!$B$10,$A$1548:$A$1607,0)),0)</f>
        <v>0</v>
      </c>
      <c r="Z1529">
        <f>IF(AND(Scenarios!$I$27=0,Scenarios!$J$27=0),Mitigation_Industry!Z642-INDEX(Z$1548:Z$1607,MATCH("v1:ener:2:mch:"&amp;Settings!$B$10,$A$1548:$A$1607,0)),0)</f>
        <v>0</v>
      </c>
      <c r="AA1529">
        <f>IF(AND(Scenarios!$I$27=0,Scenarios!$J$27=0),Mitigation_Industry!AA642-INDEX(AA$1548:AA$1607,MATCH("v1:ener:2:mch:"&amp;Settings!$B$10,$A$1548:$A$1607,0)),0)</f>
        <v>0</v>
      </c>
      <c r="AB1529">
        <f>IF(AND(Scenarios!$I$27=0,Scenarios!$J$27=0),Mitigation_Industry!AB642-INDEX(AB$1548:AB$1607,MATCH("v1:ener:2:mch:"&amp;Settings!$B$10,$A$1548:$A$1607,0)),0)</f>
        <v>0</v>
      </c>
      <c r="AC1529">
        <f>IF(AND(Scenarios!$I$27=0,Scenarios!$J$27=0),Mitigation_Industry!AC642-INDEX(AC$1548:AC$1607,MATCH("v1:ener:2:mch:"&amp;Settings!$B$10,$A$1548:$A$1607,0)),0)</f>
        <v>0</v>
      </c>
      <c r="AD1529">
        <f>IF(AND(Scenarios!$I$27=0,Scenarios!$J$27=0),Mitigation_Industry!AD642-INDEX(AD$1548:AD$1607,MATCH("v1:ener:2:mch:"&amp;Settings!$B$10,$A$1548:$A$1607,0)),0)</f>
        <v>0</v>
      </c>
      <c r="AE1529">
        <f>IF(AND(Scenarios!$I$27=0,Scenarios!$J$27=0),Mitigation_Industry!AE642-INDEX(AE$1548:AE$1607,MATCH("v1:ener:2:mch:"&amp;Settings!$B$10,$A$1548:$A$1607,0)),0)</f>
        <v>0</v>
      </c>
    </row>
    <row r="1530" spans="1:31" x14ac:dyDescent="0.45">
      <c r="A1530" t="s">
        <v>2347</v>
      </c>
      <c r="D1530">
        <v>2</v>
      </c>
      <c r="E1530" t="s">
        <v>2067</v>
      </c>
      <c r="F1530">
        <f>SUM(L1530:AE1530)</f>
        <v>0</v>
      </c>
      <c r="I1530">
        <v>0</v>
      </c>
      <c r="L1530">
        <f>IF(Scenarios!$I$27=0,0,--(Mitigation_Industry!L462&lt;INDEX(L$1548:L$1607,MATCH("v1:ener:2:irn:"&amp;Settings!$B$10,$A$1548:$A$1607,0))-0.000000001))</f>
        <v>0</v>
      </c>
      <c r="M1530">
        <f>IF(Scenarios!$I$27=0,0,--(Mitigation_Industry!M462&lt;INDEX(M$1548:M$1607,MATCH("v1:ener:2:irn:"&amp;Settings!$B$10,$A$1548:$A$1607,0))-0.000000001))</f>
        <v>0</v>
      </c>
      <c r="N1530">
        <f>IF(Scenarios!$I$27=0,0,--(Mitigation_Industry!N462&lt;INDEX(N$1548:N$1607,MATCH("v1:ener:2:irn:"&amp;Settings!$B$10,$A$1548:$A$1607,0))-0.000000001))</f>
        <v>0</v>
      </c>
      <c r="O1530">
        <f>IF(Scenarios!$I$27=0,0,--(Mitigation_Industry!O462&lt;INDEX(O$1548:O$1607,MATCH("v1:ener:2:irn:"&amp;Settings!$B$10,$A$1548:$A$1607,0))-0.000000001))</f>
        <v>0</v>
      </c>
      <c r="P1530">
        <f>IF(Scenarios!$I$27=0,0,--(Mitigation_Industry!P462&lt;INDEX(P$1548:P$1607,MATCH("v1:ener:2:irn:"&amp;Settings!$B$10,$A$1548:$A$1607,0))-0.000000001))</f>
        <v>0</v>
      </c>
      <c r="Q1530">
        <f>IF(Scenarios!$I$27=0,0,--(Mitigation_Industry!Q462&lt;INDEX(Q$1548:Q$1607,MATCH("v1:ener:2:irn:"&amp;Settings!$B$10,$A$1548:$A$1607,0))-0.000000001))</f>
        <v>0</v>
      </c>
      <c r="R1530">
        <f>IF(Scenarios!$I$27=0,0,--(Mitigation_Industry!R462&lt;INDEX(R$1548:R$1607,MATCH("v1:ener:2:irn:"&amp;Settings!$B$10,$A$1548:$A$1607,0))-0.000000001))</f>
        <v>0</v>
      </c>
      <c r="S1530">
        <f>IF(Scenarios!$I$27=0,0,--(Mitigation_Industry!S462&lt;INDEX(S$1548:S$1607,MATCH("v1:ener:2:irn:"&amp;Settings!$B$10,$A$1548:$A$1607,0))-0.000000001))</f>
        <v>0</v>
      </c>
      <c r="T1530">
        <f>IF(Scenarios!$I$27=0,0,--(Mitigation_Industry!T462&lt;INDEX(T$1548:T$1607,MATCH("v1:ener:2:irn:"&amp;Settings!$B$10,$A$1548:$A$1607,0))-0.000000001))</f>
        <v>0</v>
      </c>
      <c r="U1530">
        <f>IF(Scenarios!$I$27=0,0,--(Mitigation_Industry!U462&lt;INDEX(U$1548:U$1607,MATCH("v1:ener:2:irn:"&amp;Settings!$B$10,$A$1548:$A$1607,0))-0.000000001))</f>
        <v>0</v>
      </c>
      <c r="V1530">
        <f>IF(Scenarios!$I$27=0,0,--(Mitigation_Industry!V462&lt;INDEX(V$1548:V$1607,MATCH("v1:ener:2:irn:"&amp;Settings!$B$10,$A$1548:$A$1607,0))-0.000000001))</f>
        <v>0</v>
      </c>
      <c r="W1530">
        <f>IF(Scenarios!$I$27=0,0,--(Mitigation_Industry!W462&lt;INDEX(W$1548:W$1607,MATCH("v1:ener:2:irn:"&amp;Settings!$B$10,$A$1548:$A$1607,0))-0.000000001))</f>
        <v>0</v>
      </c>
      <c r="X1530">
        <f>IF(Scenarios!$I$27=0,0,--(Mitigation_Industry!X462&lt;INDEX(X$1548:X$1607,MATCH("v1:ener:2:irn:"&amp;Settings!$B$10,$A$1548:$A$1607,0))-0.000000001))</f>
        <v>0</v>
      </c>
      <c r="Y1530">
        <f>IF(Scenarios!$I$27=0,0,--(Mitigation_Industry!Y462&lt;INDEX(Y$1548:Y$1607,MATCH("v1:ener:2:irn:"&amp;Settings!$B$10,$A$1548:$A$1607,0))-0.000000001))</f>
        <v>0</v>
      </c>
      <c r="Z1530">
        <f>IF(Scenarios!$I$27=0,0,--(Mitigation_Industry!Z462&lt;INDEX(Z$1548:Z$1607,MATCH("v1:ener:2:irn:"&amp;Settings!$B$10,$A$1548:$A$1607,0))-0.000000001))</f>
        <v>0</v>
      </c>
      <c r="AA1530">
        <f>IF(Scenarios!$I$27=0,0,--(Mitigation_Industry!AA462&lt;INDEX(AA$1548:AA$1607,MATCH("v1:ener:2:irn:"&amp;Settings!$B$10,$A$1548:$A$1607,0))-0.000000001))</f>
        <v>0</v>
      </c>
      <c r="AB1530">
        <f>IF(Scenarios!$I$27=0,0,--(Mitigation_Industry!AB462&lt;INDEX(AB$1548:AB$1607,MATCH("v1:ener:2:irn:"&amp;Settings!$B$10,$A$1548:$A$1607,0))-0.000000001))</f>
        <v>0</v>
      </c>
      <c r="AC1530">
        <f>IF(Scenarios!$I$27=0,0,--(Mitigation_Industry!AC462&lt;INDEX(AC$1548:AC$1607,MATCH("v1:ener:2:irn:"&amp;Settings!$B$10,$A$1548:$A$1607,0))-0.000000001))</f>
        <v>0</v>
      </c>
      <c r="AD1530">
        <f>IF(Scenarios!$I$27=0,0,--(Mitigation_Industry!AD462&lt;INDEX(AD$1548:AD$1607,MATCH("v1:ener:2:irn:"&amp;Settings!$B$10,$A$1548:$A$1607,0))-0.000000001))</f>
        <v>0</v>
      </c>
      <c r="AE1530">
        <f>IF(Scenarios!$I$27=0,0,--(Mitigation_Industry!AE462&lt;INDEX(AE$1548:AE$1607,MATCH("v1:ener:2:irn:"&amp;Settings!$B$10,$A$1548:$A$1607,0))-0.000000001))</f>
        <v>0</v>
      </c>
    </row>
    <row r="1531" spans="1:31" x14ac:dyDescent="0.45">
      <c r="A1531" t="s">
        <v>2348</v>
      </c>
      <c r="D1531">
        <v>2</v>
      </c>
      <c r="E1531" t="s">
        <v>2067</v>
      </c>
      <c r="F1531">
        <f>SUM(L1531:AE1531)</f>
        <v>0</v>
      </c>
      <c r="I1531">
        <v>0</v>
      </c>
      <c r="L1531">
        <f>IF(Scenarios!$I$27=0,0,--(Mitigation_Industry!L522&lt;INDEX(L$1548:L$1607,MATCH("v1:ener:2:cem:"&amp;Settings!$B$10,$A$1548:$A$1607,0))-0.000000001))</f>
        <v>0</v>
      </c>
      <c r="M1531">
        <f>IF(Scenarios!$I$27=0,0,--(Mitigation_Industry!M522&lt;INDEX(M$1548:M$1607,MATCH("v1:ener:2:cem:"&amp;Settings!$B$10,$A$1548:$A$1607,0))-0.000000001))</f>
        <v>0</v>
      </c>
      <c r="N1531">
        <f>IF(Scenarios!$I$27=0,0,--(Mitigation_Industry!N522&lt;INDEX(N$1548:N$1607,MATCH("v1:ener:2:cem:"&amp;Settings!$B$10,$A$1548:$A$1607,0))-0.000000001))</f>
        <v>0</v>
      </c>
      <c r="O1531">
        <f>IF(Scenarios!$I$27=0,0,--(Mitigation_Industry!O522&lt;INDEX(O$1548:O$1607,MATCH("v1:ener:2:cem:"&amp;Settings!$B$10,$A$1548:$A$1607,0))-0.000000001))</f>
        <v>0</v>
      </c>
      <c r="P1531">
        <f>IF(Scenarios!$I$27=0,0,--(Mitigation_Industry!P522&lt;INDEX(P$1548:P$1607,MATCH("v1:ener:2:cem:"&amp;Settings!$B$10,$A$1548:$A$1607,0))-0.000000001))</f>
        <v>0</v>
      </c>
      <c r="Q1531">
        <f>IF(Scenarios!$I$27=0,0,--(Mitigation_Industry!Q522&lt;INDEX(Q$1548:Q$1607,MATCH("v1:ener:2:cem:"&amp;Settings!$B$10,$A$1548:$A$1607,0))-0.000000001))</f>
        <v>0</v>
      </c>
      <c r="R1531">
        <f>IF(Scenarios!$I$27=0,0,--(Mitigation_Industry!R522&lt;INDEX(R$1548:R$1607,MATCH("v1:ener:2:cem:"&amp;Settings!$B$10,$A$1548:$A$1607,0))-0.000000001))</f>
        <v>0</v>
      </c>
      <c r="S1531">
        <f>IF(Scenarios!$I$27=0,0,--(Mitigation_Industry!S522&lt;INDEX(S$1548:S$1607,MATCH("v1:ener:2:cem:"&amp;Settings!$B$10,$A$1548:$A$1607,0))-0.000000001))</f>
        <v>0</v>
      </c>
      <c r="T1531">
        <f>IF(Scenarios!$I$27=0,0,--(Mitigation_Industry!T522&lt;INDEX(T$1548:T$1607,MATCH("v1:ener:2:cem:"&amp;Settings!$B$10,$A$1548:$A$1607,0))-0.000000001))</f>
        <v>0</v>
      </c>
      <c r="U1531">
        <f>IF(Scenarios!$I$27=0,0,--(Mitigation_Industry!U522&lt;INDEX(U$1548:U$1607,MATCH("v1:ener:2:cem:"&amp;Settings!$B$10,$A$1548:$A$1607,0))-0.000000001))</f>
        <v>0</v>
      </c>
      <c r="V1531">
        <f>IF(Scenarios!$I$27=0,0,--(Mitigation_Industry!V522&lt;INDEX(V$1548:V$1607,MATCH("v1:ener:2:cem:"&amp;Settings!$B$10,$A$1548:$A$1607,0))-0.000000001))</f>
        <v>0</v>
      </c>
      <c r="W1531">
        <f>IF(Scenarios!$I$27=0,0,--(Mitigation_Industry!W522&lt;INDEX(W$1548:W$1607,MATCH("v1:ener:2:cem:"&amp;Settings!$B$10,$A$1548:$A$1607,0))-0.000000001))</f>
        <v>0</v>
      </c>
      <c r="X1531">
        <f>IF(Scenarios!$I$27=0,0,--(Mitigation_Industry!X522&lt;INDEX(X$1548:X$1607,MATCH("v1:ener:2:cem:"&amp;Settings!$B$10,$A$1548:$A$1607,0))-0.000000001))</f>
        <v>0</v>
      </c>
      <c r="Y1531">
        <f>IF(Scenarios!$I$27=0,0,--(Mitigation_Industry!Y522&lt;INDEX(Y$1548:Y$1607,MATCH("v1:ener:2:cem:"&amp;Settings!$B$10,$A$1548:$A$1607,0))-0.000000001))</f>
        <v>0</v>
      </c>
      <c r="Z1531">
        <f>IF(Scenarios!$I$27=0,0,--(Mitigation_Industry!Z522&lt;INDEX(Z$1548:Z$1607,MATCH("v1:ener:2:cem:"&amp;Settings!$B$10,$A$1548:$A$1607,0))-0.000000001))</f>
        <v>0</v>
      </c>
      <c r="AA1531">
        <f>IF(Scenarios!$I$27=0,0,--(Mitigation_Industry!AA522&lt;INDEX(AA$1548:AA$1607,MATCH("v1:ener:2:cem:"&amp;Settings!$B$10,$A$1548:$A$1607,0))-0.000000001))</f>
        <v>0</v>
      </c>
      <c r="AB1531">
        <f>IF(Scenarios!$I$27=0,0,--(Mitigation_Industry!AB522&lt;INDEX(AB$1548:AB$1607,MATCH("v1:ener:2:cem:"&amp;Settings!$B$10,$A$1548:$A$1607,0))-0.000000001))</f>
        <v>0</v>
      </c>
      <c r="AC1531">
        <f>IF(Scenarios!$I$27=0,0,--(Mitigation_Industry!AC522&lt;INDEX(AC$1548:AC$1607,MATCH("v1:ener:2:cem:"&amp;Settings!$B$10,$A$1548:$A$1607,0))-0.000000001))</f>
        <v>0</v>
      </c>
      <c r="AD1531">
        <f>IF(Scenarios!$I$27=0,0,--(Mitigation_Industry!AD522&lt;INDEX(AD$1548:AD$1607,MATCH("v1:ener:2:cem:"&amp;Settings!$B$10,$A$1548:$A$1607,0))-0.000000001))</f>
        <v>0</v>
      </c>
      <c r="AE1531">
        <f>IF(Scenarios!$I$27=0,0,--(Mitigation_Industry!AE522&lt;INDEX(AE$1548:AE$1607,MATCH("v1:ener:2:cem:"&amp;Settings!$B$10,$A$1548:$A$1607,0))-0.000000001))</f>
        <v>0</v>
      </c>
    </row>
    <row r="1532" spans="1:31" x14ac:dyDescent="0.45">
      <c r="A1532" t="s">
        <v>2349</v>
      </c>
      <c r="D1532">
        <v>2</v>
      </c>
      <c r="E1532" t="s">
        <v>2067</v>
      </c>
      <c r="F1532">
        <f>SUM(L1532:AE1532)</f>
        <v>0</v>
      </c>
      <c r="I1532">
        <v>0</v>
      </c>
      <c r="L1532">
        <f>IF(Scenarios!$I$27=0,0,--(Mitigation_Industry!L582&lt;INDEX(L$1548:L$1607,MATCH("v1:ener:2:nfm:"&amp;Settings!$B$10,$A$1548:$A$1607,0))-0.000000001))</f>
        <v>0</v>
      </c>
      <c r="M1532">
        <f>IF(Scenarios!$I$27=0,0,--(Mitigation_Industry!M582&lt;INDEX(M$1548:M$1607,MATCH("v1:ener:2:nfm:"&amp;Settings!$B$10,$A$1548:$A$1607,0))-0.000000001))</f>
        <v>0</v>
      </c>
      <c r="N1532">
        <f>IF(Scenarios!$I$27=0,0,--(Mitigation_Industry!N582&lt;INDEX(N$1548:N$1607,MATCH("v1:ener:2:nfm:"&amp;Settings!$B$10,$A$1548:$A$1607,0))-0.000000001))</f>
        <v>0</v>
      </c>
      <c r="O1532">
        <f>IF(Scenarios!$I$27=0,0,--(Mitigation_Industry!O582&lt;INDEX(O$1548:O$1607,MATCH("v1:ener:2:nfm:"&amp;Settings!$B$10,$A$1548:$A$1607,0))-0.000000001))</f>
        <v>0</v>
      </c>
      <c r="P1532">
        <f>IF(Scenarios!$I$27=0,0,--(Mitigation_Industry!P582&lt;INDEX(P$1548:P$1607,MATCH("v1:ener:2:nfm:"&amp;Settings!$B$10,$A$1548:$A$1607,0))-0.000000001))</f>
        <v>0</v>
      </c>
      <c r="Q1532">
        <f>IF(Scenarios!$I$27=0,0,--(Mitigation_Industry!Q582&lt;INDEX(Q$1548:Q$1607,MATCH("v1:ener:2:nfm:"&amp;Settings!$B$10,$A$1548:$A$1607,0))-0.000000001))</f>
        <v>0</v>
      </c>
      <c r="R1532">
        <f>IF(Scenarios!$I$27=0,0,--(Mitigation_Industry!R582&lt;INDEX(R$1548:R$1607,MATCH("v1:ener:2:nfm:"&amp;Settings!$B$10,$A$1548:$A$1607,0))-0.000000001))</f>
        <v>0</v>
      </c>
      <c r="S1532">
        <f>IF(Scenarios!$I$27=0,0,--(Mitigation_Industry!S582&lt;INDEX(S$1548:S$1607,MATCH("v1:ener:2:nfm:"&amp;Settings!$B$10,$A$1548:$A$1607,0))-0.000000001))</f>
        <v>0</v>
      </c>
      <c r="T1532">
        <f>IF(Scenarios!$I$27=0,0,--(Mitigation_Industry!T582&lt;INDEX(T$1548:T$1607,MATCH("v1:ener:2:nfm:"&amp;Settings!$B$10,$A$1548:$A$1607,0))-0.000000001))</f>
        <v>0</v>
      </c>
      <c r="U1532">
        <f>IF(Scenarios!$I$27=0,0,--(Mitigation_Industry!U582&lt;INDEX(U$1548:U$1607,MATCH("v1:ener:2:nfm:"&amp;Settings!$B$10,$A$1548:$A$1607,0))-0.000000001))</f>
        <v>0</v>
      </c>
      <c r="V1532">
        <f>IF(Scenarios!$I$27=0,0,--(Mitigation_Industry!V582&lt;INDEX(V$1548:V$1607,MATCH("v1:ener:2:nfm:"&amp;Settings!$B$10,$A$1548:$A$1607,0))-0.000000001))</f>
        <v>0</v>
      </c>
      <c r="W1532">
        <f>IF(Scenarios!$I$27=0,0,--(Mitigation_Industry!W582&lt;INDEX(W$1548:W$1607,MATCH("v1:ener:2:nfm:"&amp;Settings!$B$10,$A$1548:$A$1607,0))-0.000000001))</f>
        <v>0</v>
      </c>
      <c r="X1532">
        <f>IF(Scenarios!$I$27=0,0,--(Mitigation_Industry!X582&lt;INDEX(X$1548:X$1607,MATCH("v1:ener:2:nfm:"&amp;Settings!$B$10,$A$1548:$A$1607,0))-0.000000001))</f>
        <v>0</v>
      </c>
      <c r="Y1532">
        <f>IF(Scenarios!$I$27=0,0,--(Mitigation_Industry!Y582&lt;INDEX(Y$1548:Y$1607,MATCH("v1:ener:2:nfm:"&amp;Settings!$B$10,$A$1548:$A$1607,0))-0.000000001))</f>
        <v>0</v>
      </c>
      <c r="Z1532">
        <f>IF(Scenarios!$I$27=0,0,--(Mitigation_Industry!Z582&lt;INDEX(Z$1548:Z$1607,MATCH("v1:ener:2:nfm:"&amp;Settings!$B$10,$A$1548:$A$1607,0))-0.000000001))</f>
        <v>0</v>
      </c>
      <c r="AA1532">
        <f>IF(Scenarios!$I$27=0,0,--(Mitigation_Industry!AA582&lt;INDEX(AA$1548:AA$1607,MATCH("v1:ener:2:nfm:"&amp;Settings!$B$10,$A$1548:$A$1607,0))-0.000000001))</f>
        <v>0</v>
      </c>
      <c r="AB1532">
        <f>IF(Scenarios!$I$27=0,0,--(Mitigation_Industry!AB582&lt;INDEX(AB$1548:AB$1607,MATCH("v1:ener:2:nfm:"&amp;Settings!$B$10,$A$1548:$A$1607,0))-0.000000001))</f>
        <v>0</v>
      </c>
      <c r="AC1532">
        <f>IF(Scenarios!$I$27=0,0,--(Mitigation_Industry!AC582&lt;INDEX(AC$1548:AC$1607,MATCH("v1:ener:2:nfm:"&amp;Settings!$B$10,$A$1548:$A$1607,0))-0.000000001))</f>
        <v>0</v>
      </c>
      <c r="AD1532">
        <f>IF(Scenarios!$I$27=0,0,--(Mitigation_Industry!AD582&lt;INDEX(AD$1548:AD$1607,MATCH("v1:ener:2:nfm:"&amp;Settings!$B$10,$A$1548:$A$1607,0))-0.000000001))</f>
        <v>0</v>
      </c>
      <c r="AE1532">
        <f>IF(Scenarios!$I$27=0,0,--(Mitigation_Industry!AE582&lt;INDEX(AE$1548:AE$1607,MATCH("v1:ener:2:nfm:"&amp;Settings!$B$10,$A$1548:$A$1607,0))-0.000000001))</f>
        <v>0</v>
      </c>
    </row>
    <row r="1533" spans="1:31" x14ac:dyDescent="0.45">
      <c r="A1533" t="s">
        <v>2350</v>
      </c>
      <c r="D1533">
        <v>2</v>
      </c>
      <c r="E1533" t="s">
        <v>2067</v>
      </c>
      <c r="F1533">
        <f>SUM(L1533:AE1533)</f>
        <v>0</v>
      </c>
      <c r="I1533">
        <v>0</v>
      </c>
      <c r="L1533">
        <f>IF(Scenarios!$I$27=0,0,--(Mitigation_Industry!L642&lt;INDEX(L$1548:L$1607,MATCH("v1:ener:2:mch:"&amp;Settings!$B$10,$A$1548:$A$1607,0))-0.000000001))</f>
        <v>0</v>
      </c>
      <c r="M1533">
        <f>IF(Scenarios!$I$27=0,0,--(Mitigation_Industry!M642&lt;INDEX(M$1548:M$1607,MATCH("v1:ener:2:mch:"&amp;Settings!$B$10,$A$1548:$A$1607,0))-0.000000001))</f>
        <v>0</v>
      </c>
      <c r="N1533">
        <f>IF(Scenarios!$I$27=0,0,--(Mitigation_Industry!N642&lt;INDEX(N$1548:N$1607,MATCH("v1:ener:2:mch:"&amp;Settings!$B$10,$A$1548:$A$1607,0))-0.000000001))</f>
        <v>0</v>
      </c>
      <c r="O1533">
        <f>IF(Scenarios!$I$27=0,0,--(Mitigation_Industry!O642&lt;INDEX(O$1548:O$1607,MATCH("v1:ener:2:mch:"&amp;Settings!$B$10,$A$1548:$A$1607,0))-0.000000001))</f>
        <v>0</v>
      </c>
      <c r="P1533">
        <f>IF(Scenarios!$I$27=0,0,--(Mitigation_Industry!P642&lt;INDEX(P$1548:P$1607,MATCH("v1:ener:2:mch:"&amp;Settings!$B$10,$A$1548:$A$1607,0))-0.000000001))</f>
        <v>0</v>
      </c>
      <c r="Q1533">
        <f>IF(Scenarios!$I$27=0,0,--(Mitigation_Industry!Q642&lt;INDEX(Q$1548:Q$1607,MATCH("v1:ener:2:mch:"&amp;Settings!$B$10,$A$1548:$A$1607,0))-0.000000001))</f>
        <v>0</v>
      </c>
      <c r="R1533">
        <f>IF(Scenarios!$I$27=0,0,--(Mitigation_Industry!R642&lt;INDEX(R$1548:R$1607,MATCH("v1:ener:2:mch:"&amp;Settings!$B$10,$A$1548:$A$1607,0))-0.000000001))</f>
        <v>0</v>
      </c>
      <c r="S1533">
        <f>IF(Scenarios!$I$27=0,0,--(Mitigation_Industry!S642&lt;INDEX(S$1548:S$1607,MATCH("v1:ener:2:mch:"&amp;Settings!$B$10,$A$1548:$A$1607,0))-0.000000001))</f>
        <v>0</v>
      </c>
      <c r="T1533">
        <f>IF(Scenarios!$I$27=0,0,--(Mitigation_Industry!T642&lt;INDEX(T$1548:T$1607,MATCH("v1:ener:2:mch:"&amp;Settings!$B$10,$A$1548:$A$1607,0))-0.000000001))</f>
        <v>0</v>
      </c>
      <c r="U1533">
        <f>IF(Scenarios!$I$27=0,0,--(Mitigation_Industry!U642&lt;INDEX(U$1548:U$1607,MATCH("v1:ener:2:mch:"&amp;Settings!$B$10,$A$1548:$A$1607,0))-0.000000001))</f>
        <v>0</v>
      </c>
      <c r="V1533">
        <f>IF(Scenarios!$I$27=0,0,--(Mitigation_Industry!V642&lt;INDEX(V$1548:V$1607,MATCH("v1:ener:2:mch:"&amp;Settings!$B$10,$A$1548:$A$1607,0))-0.000000001))</f>
        <v>0</v>
      </c>
      <c r="W1533">
        <f>IF(Scenarios!$I$27=0,0,--(Mitigation_Industry!W642&lt;INDEX(W$1548:W$1607,MATCH("v1:ener:2:mch:"&amp;Settings!$B$10,$A$1548:$A$1607,0))-0.000000001))</f>
        <v>0</v>
      </c>
      <c r="X1533">
        <f>IF(Scenarios!$I$27=0,0,--(Mitigation_Industry!X642&lt;INDEX(X$1548:X$1607,MATCH("v1:ener:2:mch:"&amp;Settings!$B$10,$A$1548:$A$1607,0))-0.000000001))</f>
        <v>0</v>
      </c>
      <c r="Y1533">
        <f>IF(Scenarios!$I$27=0,0,--(Mitigation_Industry!Y642&lt;INDEX(Y$1548:Y$1607,MATCH("v1:ener:2:mch:"&amp;Settings!$B$10,$A$1548:$A$1607,0))-0.000000001))</f>
        <v>0</v>
      </c>
      <c r="Z1533">
        <f>IF(Scenarios!$I$27=0,0,--(Mitigation_Industry!Z642&lt;INDEX(Z$1548:Z$1607,MATCH("v1:ener:2:mch:"&amp;Settings!$B$10,$A$1548:$A$1607,0))-0.000000001))</f>
        <v>0</v>
      </c>
      <c r="AA1533">
        <f>IF(Scenarios!$I$27=0,0,--(Mitigation_Industry!AA642&lt;INDEX(AA$1548:AA$1607,MATCH("v1:ener:2:mch:"&amp;Settings!$B$10,$A$1548:$A$1607,0))-0.000000001))</f>
        <v>0</v>
      </c>
      <c r="AB1533">
        <f>IF(Scenarios!$I$27=0,0,--(Mitigation_Industry!AB642&lt;INDEX(AB$1548:AB$1607,MATCH("v1:ener:2:mch:"&amp;Settings!$B$10,$A$1548:$A$1607,0))-0.000000001))</f>
        <v>0</v>
      </c>
      <c r="AC1533">
        <f>IF(Scenarios!$I$27=0,0,--(Mitigation_Industry!AC642&lt;INDEX(AC$1548:AC$1607,MATCH("v1:ener:2:mch:"&amp;Settings!$B$10,$A$1548:$A$1607,0))-0.000000001))</f>
        <v>0</v>
      </c>
      <c r="AD1533">
        <f>IF(Scenarios!$I$27=0,0,--(Mitigation_Industry!AD642&lt;INDEX(AD$1548:AD$1607,MATCH("v1:ener:2:mch:"&amp;Settings!$B$10,$A$1548:$A$1607,0))-0.000000001))</f>
        <v>0</v>
      </c>
      <c r="AE1533">
        <f>IF(Scenarios!$I$27=0,0,--(Mitigation_Industry!AE642&lt;INDEX(AE$1548:AE$1607,MATCH("v1:ener:2:mch:"&amp;Settings!$B$10,$A$1548:$A$1607,0))-0.000000001))</f>
        <v>0</v>
      </c>
    </row>
    <row r="1534" spans="1:31" x14ac:dyDescent="0.45">
      <c r="A1534" t="s">
        <v>2351</v>
      </c>
      <c r="D1534">
        <v>2</v>
      </c>
      <c r="E1534" t="s">
        <v>2352</v>
      </c>
      <c r="F1534">
        <f t="shared" ref="F1534:F1543" si="362">MAX(MAX(L1534:AE1534),-MIN(L1534:AE1534))</f>
        <v>0</v>
      </c>
      <c r="L1534">
        <f>Mitigation_Industry!L462-INDEX(L$1548:L$1607,MATCH("v1:ener:2:irn:"&amp;Settings!$B$10,$A$1548:$A$1607,0))</f>
        <v>0</v>
      </c>
      <c r="M1534">
        <f>Mitigation_Industry!M462-INDEX(M$1548:M$1607,MATCH("v1:ener:2:irn:"&amp;Settings!$B$10,$A$1548:$A$1607,0))</f>
        <v>0</v>
      </c>
      <c r="N1534">
        <f>Mitigation_Industry!N462-INDEX(N$1548:N$1607,MATCH("v1:ener:2:irn:"&amp;Settings!$B$10,$A$1548:$A$1607,0))</f>
        <v>0</v>
      </c>
      <c r="O1534">
        <f>Mitigation_Industry!O462-INDEX(O$1548:O$1607,MATCH("v1:ener:2:irn:"&amp;Settings!$B$10,$A$1548:$A$1607,0))</f>
        <v>0</v>
      </c>
      <c r="P1534">
        <f>Mitigation_Industry!P462-INDEX(P$1548:P$1607,MATCH("v1:ener:2:irn:"&amp;Settings!$B$10,$A$1548:$A$1607,0))</f>
        <v>0</v>
      </c>
      <c r="Q1534">
        <f>Mitigation_Industry!Q462-INDEX(Q$1548:Q$1607,MATCH("v1:ener:2:irn:"&amp;Settings!$B$10,$A$1548:$A$1607,0))</f>
        <v>0</v>
      </c>
      <c r="R1534">
        <f>Mitigation_Industry!R462-INDEX(R$1548:R$1607,MATCH("v1:ener:2:irn:"&amp;Settings!$B$10,$A$1548:$A$1607,0))</f>
        <v>0</v>
      </c>
      <c r="S1534">
        <f>Mitigation_Industry!S462-INDEX(S$1548:S$1607,MATCH("v1:ener:2:irn:"&amp;Settings!$B$10,$A$1548:$A$1607,0))</f>
        <v>0</v>
      </c>
      <c r="T1534">
        <f>Mitigation_Industry!T462-INDEX(T$1548:T$1607,MATCH("v1:ener:2:irn:"&amp;Settings!$B$10,$A$1548:$A$1607,0))</f>
        <v>0</v>
      </c>
      <c r="U1534">
        <f>Mitigation_Industry!U462-INDEX(U$1548:U$1607,MATCH("v1:ener:2:irn:"&amp;Settings!$B$10,$A$1548:$A$1607,0))</f>
        <v>0</v>
      </c>
      <c r="V1534">
        <f>Mitigation_Industry!V462-INDEX(V$1548:V$1607,MATCH("v1:ener:2:irn:"&amp;Settings!$B$10,$A$1548:$A$1607,0))</f>
        <v>0</v>
      </c>
      <c r="W1534">
        <f>Mitigation_Industry!W462-INDEX(W$1548:W$1607,MATCH("v1:ener:2:irn:"&amp;Settings!$B$10,$A$1548:$A$1607,0))</f>
        <v>0</v>
      </c>
      <c r="X1534">
        <f>Mitigation_Industry!X462-INDEX(X$1548:X$1607,MATCH("v1:ener:2:irn:"&amp;Settings!$B$10,$A$1548:$A$1607,0))</f>
        <v>0</v>
      </c>
      <c r="Y1534">
        <f>Mitigation_Industry!Y462-INDEX(Y$1548:Y$1607,MATCH("v1:ener:2:irn:"&amp;Settings!$B$10,$A$1548:$A$1607,0))</f>
        <v>0</v>
      </c>
      <c r="Z1534">
        <f>Mitigation_Industry!Z462-INDEX(Z$1548:Z$1607,MATCH("v1:ener:2:irn:"&amp;Settings!$B$10,$A$1548:$A$1607,0))</f>
        <v>0</v>
      </c>
      <c r="AA1534">
        <f>Mitigation_Industry!AA462-INDEX(AA$1548:AA$1607,MATCH("v1:ener:2:irn:"&amp;Settings!$B$10,$A$1548:$A$1607,0))</f>
        <v>0</v>
      </c>
      <c r="AB1534">
        <f>Mitigation_Industry!AB462-INDEX(AB$1548:AB$1607,MATCH("v1:ener:2:irn:"&amp;Settings!$B$10,$A$1548:$A$1607,0))</f>
        <v>0</v>
      </c>
      <c r="AC1534">
        <f>Mitigation_Industry!AC462-INDEX(AC$1548:AC$1607,MATCH("v1:ener:2:irn:"&amp;Settings!$B$10,$A$1548:$A$1607,0))</f>
        <v>0</v>
      </c>
      <c r="AD1534">
        <f>Mitigation_Industry!AD462-INDEX(AD$1548:AD$1607,MATCH("v1:ener:2:irn:"&amp;Settings!$B$10,$A$1548:$A$1607,0))</f>
        <v>0</v>
      </c>
      <c r="AE1534">
        <f>Mitigation_Industry!AE462-INDEX(AE$1548:AE$1607,MATCH("v1:ener:2:irn:"&amp;Settings!$B$10,$A$1548:$A$1607,0))</f>
        <v>0</v>
      </c>
    </row>
    <row r="1535" spans="1:31" x14ac:dyDescent="0.45">
      <c r="A1535" t="s">
        <v>2353</v>
      </c>
      <c r="D1535">
        <v>2</v>
      </c>
      <c r="E1535" t="s">
        <v>2352</v>
      </c>
      <c r="F1535">
        <f t="shared" si="362"/>
        <v>0</v>
      </c>
      <c r="L1535">
        <f>Mitigation_Industry!L522-INDEX(L$1548:L$1607,MATCH("v1:ener:2:cem:"&amp;Settings!$B$10,$A$1548:$A$1607,0))</f>
        <v>0</v>
      </c>
      <c r="M1535">
        <f>Mitigation_Industry!M522-INDEX(M$1548:M$1607,MATCH("v1:ener:2:cem:"&amp;Settings!$B$10,$A$1548:$A$1607,0))</f>
        <v>0</v>
      </c>
      <c r="N1535">
        <f>Mitigation_Industry!N522-INDEX(N$1548:N$1607,MATCH("v1:ener:2:cem:"&amp;Settings!$B$10,$A$1548:$A$1607,0))</f>
        <v>0</v>
      </c>
      <c r="O1535">
        <f>Mitigation_Industry!O522-INDEX(O$1548:O$1607,MATCH("v1:ener:2:cem:"&amp;Settings!$B$10,$A$1548:$A$1607,0))</f>
        <v>0</v>
      </c>
      <c r="P1535">
        <f>Mitigation_Industry!P522-INDEX(P$1548:P$1607,MATCH("v1:ener:2:cem:"&amp;Settings!$B$10,$A$1548:$A$1607,0))</f>
        <v>0</v>
      </c>
      <c r="Q1535">
        <f>Mitigation_Industry!Q522-INDEX(Q$1548:Q$1607,MATCH("v1:ener:2:cem:"&amp;Settings!$B$10,$A$1548:$A$1607,0))</f>
        <v>0</v>
      </c>
      <c r="R1535">
        <f>Mitigation_Industry!R522-INDEX(R$1548:R$1607,MATCH("v1:ener:2:cem:"&amp;Settings!$B$10,$A$1548:$A$1607,0))</f>
        <v>0</v>
      </c>
      <c r="S1535">
        <f>Mitigation_Industry!S522-INDEX(S$1548:S$1607,MATCH("v1:ener:2:cem:"&amp;Settings!$B$10,$A$1548:$A$1607,0))</f>
        <v>0</v>
      </c>
      <c r="T1535">
        <f>Mitigation_Industry!T522-INDEX(T$1548:T$1607,MATCH("v1:ener:2:cem:"&amp;Settings!$B$10,$A$1548:$A$1607,0))</f>
        <v>0</v>
      </c>
      <c r="U1535">
        <f>Mitigation_Industry!U522-INDEX(U$1548:U$1607,MATCH("v1:ener:2:cem:"&amp;Settings!$B$10,$A$1548:$A$1607,0))</f>
        <v>0</v>
      </c>
      <c r="V1535">
        <f>Mitigation_Industry!V522-INDEX(V$1548:V$1607,MATCH("v1:ener:2:cem:"&amp;Settings!$B$10,$A$1548:$A$1607,0))</f>
        <v>0</v>
      </c>
      <c r="W1535">
        <f>Mitigation_Industry!W522-INDEX(W$1548:W$1607,MATCH("v1:ener:2:cem:"&amp;Settings!$B$10,$A$1548:$A$1607,0))</f>
        <v>0</v>
      </c>
      <c r="X1535">
        <f>Mitigation_Industry!X522-INDEX(X$1548:X$1607,MATCH("v1:ener:2:cem:"&amp;Settings!$B$10,$A$1548:$A$1607,0))</f>
        <v>0</v>
      </c>
      <c r="Y1535">
        <f>Mitigation_Industry!Y522-INDEX(Y$1548:Y$1607,MATCH("v1:ener:2:cem:"&amp;Settings!$B$10,$A$1548:$A$1607,0))</f>
        <v>0</v>
      </c>
      <c r="Z1535">
        <f>Mitigation_Industry!Z522-INDEX(Z$1548:Z$1607,MATCH("v1:ener:2:cem:"&amp;Settings!$B$10,$A$1548:$A$1607,0))</f>
        <v>0</v>
      </c>
      <c r="AA1535">
        <f>Mitigation_Industry!AA522-INDEX(AA$1548:AA$1607,MATCH("v1:ener:2:cem:"&amp;Settings!$B$10,$A$1548:$A$1607,0))</f>
        <v>0</v>
      </c>
      <c r="AB1535">
        <f>Mitigation_Industry!AB522-INDEX(AB$1548:AB$1607,MATCH("v1:ener:2:cem:"&amp;Settings!$B$10,$A$1548:$A$1607,0))</f>
        <v>0</v>
      </c>
      <c r="AC1535">
        <f>Mitigation_Industry!AC522-INDEX(AC$1548:AC$1607,MATCH("v1:ener:2:cem:"&amp;Settings!$B$10,$A$1548:$A$1607,0))</f>
        <v>0</v>
      </c>
      <c r="AD1535">
        <f>Mitigation_Industry!AD522-INDEX(AD$1548:AD$1607,MATCH("v1:ener:2:cem:"&amp;Settings!$B$10,$A$1548:$A$1607,0))</f>
        <v>0</v>
      </c>
      <c r="AE1535">
        <f>Mitigation_Industry!AE522-INDEX(AE$1548:AE$1607,MATCH("v1:ener:2:cem:"&amp;Settings!$B$10,$A$1548:$A$1607,0))</f>
        <v>0</v>
      </c>
    </row>
    <row r="1536" spans="1:31" x14ac:dyDescent="0.45">
      <c r="A1536" t="s">
        <v>2354</v>
      </c>
      <c r="D1536">
        <v>2</v>
      </c>
      <c r="E1536" t="s">
        <v>2352</v>
      </c>
      <c r="F1536">
        <f t="shared" si="362"/>
        <v>0</v>
      </c>
      <c r="L1536">
        <f>Mitigation_Industry!L582-INDEX(L$1548:L$1607,MATCH("v1:ener:2:nfm:"&amp;Settings!$B$10,$A$1548:$A$1607,0))</f>
        <v>0</v>
      </c>
      <c r="M1536">
        <f>Mitigation_Industry!M582-INDEX(M$1548:M$1607,MATCH("v1:ener:2:nfm:"&amp;Settings!$B$10,$A$1548:$A$1607,0))</f>
        <v>0</v>
      </c>
      <c r="N1536">
        <f>Mitigation_Industry!N582-INDEX(N$1548:N$1607,MATCH("v1:ener:2:nfm:"&amp;Settings!$B$10,$A$1548:$A$1607,0))</f>
        <v>0</v>
      </c>
      <c r="O1536">
        <f>Mitigation_Industry!O582-INDEX(O$1548:O$1607,MATCH("v1:ener:2:nfm:"&amp;Settings!$B$10,$A$1548:$A$1607,0))</f>
        <v>0</v>
      </c>
      <c r="P1536">
        <f>Mitigation_Industry!P582-INDEX(P$1548:P$1607,MATCH("v1:ener:2:nfm:"&amp;Settings!$B$10,$A$1548:$A$1607,0))</f>
        <v>0</v>
      </c>
      <c r="Q1536">
        <f>Mitigation_Industry!Q582-INDEX(Q$1548:Q$1607,MATCH("v1:ener:2:nfm:"&amp;Settings!$B$10,$A$1548:$A$1607,0))</f>
        <v>0</v>
      </c>
      <c r="R1536">
        <f>Mitigation_Industry!R582-INDEX(R$1548:R$1607,MATCH("v1:ener:2:nfm:"&amp;Settings!$B$10,$A$1548:$A$1607,0))</f>
        <v>0</v>
      </c>
      <c r="S1536">
        <f>Mitigation_Industry!S582-INDEX(S$1548:S$1607,MATCH("v1:ener:2:nfm:"&amp;Settings!$B$10,$A$1548:$A$1607,0))</f>
        <v>0</v>
      </c>
      <c r="T1536">
        <f>Mitigation_Industry!T582-INDEX(T$1548:T$1607,MATCH("v1:ener:2:nfm:"&amp;Settings!$B$10,$A$1548:$A$1607,0))</f>
        <v>0</v>
      </c>
      <c r="U1536">
        <f>Mitigation_Industry!U582-INDEX(U$1548:U$1607,MATCH("v1:ener:2:nfm:"&amp;Settings!$B$10,$A$1548:$A$1607,0))</f>
        <v>0</v>
      </c>
      <c r="V1536">
        <f>Mitigation_Industry!V582-INDEX(V$1548:V$1607,MATCH("v1:ener:2:nfm:"&amp;Settings!$B$10,$A$1548:$A$1607,0))</f>
        <v>0</v>
      </c>
      <c r="W1536">
        <f>Mitigation_Industry!W582-INDEX(W$1548:W$1607,MATCH("v1:ener:2:nfm:"&amp;Settings!$B$10,$A$1548:$A$1607,0))</f>
        <v>0</v>
      </c>
      <c r="X1536">
        <f>Mitigation_Industry!X582-INDEX(X$1548:X$1607,MATCH("v1:ener:2:nfm:"&amp;Settings!$B$10,$A$1548:$A$1607,0))</f>
        <v>0</v>
      </c>
      <c r="Y1536">
        <f>Mitigation_Industry!Y582-INDEX(Y$1548:Y$1607,MATCH("v1:ener:2:nfm:"&amp;Settings!$B$10,$A$1548:$A$1607,0))</f>
        <v>0</v>
      </c>
      <c r="Z1536">
        <f>Mitigation_Industry!Z582-INDEX(Z$1548:Z$1607,MATCH("v1:ener:2:nfm:"&amp;Settings!$B$10,$A$1548:$A$1607,0))</f>
        <v>0</v>
      </c>
      <c r="AA1536">
        <f>Mitigation_Industry!AA582-INDEX(AA$1548:AA$1607,MATCH("v1:ener:2:nfm:"&amp;Settings!$B$10,$A$1548:$A$1607,0))</f>
        <v>0</v>
      </c>
      <c r="AB1536">
        <f>Mitigation_Industry!AB582-INDEX(AB$1548:AB$1607,MATCH("v1:ener:2:nfm:"&amp;Settings!$B$10,$A$1548:$A$1607,0))</f>
        <v>0</v>
      </c>
      <c r="AC1536">
        <f>Mitigation_Industry!AC582-INDEX(AC$1548:AC$1607,MATCH("v1:ener:2:nfm:"&amp;Settings!$B$10,$A$1548:$A$1607,0))</f>
        <v>0</v>
      </c>
      <c r="AD1536">
        <f>Mitigation_Industry!AD582-INDEX(AD$1548:AD$1607,MATCH("v1:ener:2:nfm:"&amp;Settings!$B$10,$A$1548:$A$1607,0))</f>
        <v>0</v>
      </c>
      <c r="AE1536">
        <f>Mitigation_Industry!AE582-INDEX(AE$1548:AE$1607,MATCH("v1:ener:2:nfm:"&amp;Settings!$B$10,$A$1548:$A$1607,0))</f>
        <v>0</v>
      </c>
    </row>
    <row r="1537" spans="1:31" x14ac:dyDescent="0.45">
      <c r="A1537" t="s">
        <v>2355</v>
      </c>
      <c r="D1537">
        <v>2</v>
      </c>
      <c r="E1537" t="s">
        <v>2352</v>
      </c>
      <c r="F1537">
        <f t="shared" si="362"/>
        <v>0</v>
      </c>
      <c r="L1537">
        <f>Mitigation_Industry!L642-INDEX(L$1548:L$1607,MATCH("v1:ener:2:mch:"&amp;Settings!$B$10,$A$1548:$A$1607,0))</f>
        <v>0</v>
      </c>
      <c r="M1537">
        <f>Mitigation_Industry!M642-INDEX(M$1548:M$1607,MATCH("v1:ener:2:mch:"&amp;Settings!$B$10,$A$1548:$A$1607,0))</f>
        <v>0</v>
      </c>
      <c r="N1537">
        <f>Mitigation_Industry!N642-INDEX(N$1548:N$1607,MATCH("v1:ener:2:mch:"&amp;Settings!$B$10,$A$1548:$A$1607,0))</f>
        <v>0</v>
      </c>
      <c r="O1537">
        <f>Mitigation_Industry!O642-INDEX(O$1548:O$1607,MATCH("v1:ener:2:mch:"&amp;Settings!$B$10,$A$1548:$A$1607,0))</f>
        <v>0</v>
      </c>
      <c r="P1537">
        <f>Mitigation_Industry!P642-INDEX(P$1548:P$1607,MATCH("v1:ener:2:mch:"&amp;Settings!$B$10,$A$1548:$A$1607,0))</f>
        <v>0</v>
      </c>
      <c r="Q1537">
        <f>Mitigation_Industry!Q642-INDEX(Q$1548:Q$1607,MATCH("v1:ener:2:mch:"&amp;Settings!$B$10,$A$1548:$A$1607,0))</f>
        <v>0</v>
      </c>
      <c r="R1537">
        <f>Mitigation_Industry!R642-INDEX(R$1548:R$1607,MATCH("v1:ener:2:mch:"&amp;Settings!$B$10,$A$1548:$A$1607,0))</f>
        <v>0</v>
      </c>
      <c r="S1537">
        <f>Mitigation_Industry!S642-INDEX(S$1548:S$1607,MATCH("v1:ener:2:mch:"&amp;Settings!$B$10,$A$1548:$A$1607,0))</f>
        <v>0</v>
      </c>
      <c r="T1537">
        <f>Mitigation_Industry!T642-INDEX(T$1548:T$1607,MATCH("v1:ener:2:mch:"&amp;Settings!$B$10,$A$1548:$A$1607,0))</f>
        <v>0</v>
      </c>
      <c r="U1537">
        <f>Mitigation_Industry!U642-INDEX(U$1548:U$1607,MATCH("v1:ener:2:mch:"&amp;Settings!$B$10,$A$1548:$A$1607,0))</f>
        <v>0</v>
      </c>
      <c r="V1537">
        <f>Mitigation_Industry!V642-INDEX(V$1548:V$1607,MATCH("v1:ener:2:mch:"&amp;Settings!$B$10,$A$1548:$A$1607,0))</f>
        <v>0</v>
      </c>
      <c r="W1537">
        <f>Mitigation_Industry!W642-INDEX(W$1548:W$1607,MATCH("v1:ener:2:mch:"&amp;Settings!$B$10,$A$1548:$A$1607,0))</f>
        <v>0</v>
      </c>
      <c r="X1537">
        <f>Mitigation_Industry!X642-INDEX(X$1548:X$1607,MATCH("v1:ener:2:mch:"&amp;Settings!$B$10,$A$1548:$A$1607,0))</f>
        <v>0</v>
      </c>
      <c r="Y1537">
        <f>Mitigation_Industry!Y642-INDEX(Y$1548:Y$1607,MATCH("v1:ener:2:mch:"&amp;Settings!$B$10,$A$1548:$A$1607,0))</f>
        <v>0</v>
      </c>
      <c r="Z1537">
        <f>Mitigation_Industry!Z642-INDEX(Z$1548:Z$1607,MATCH("v1:ener:2:mch:"&amp;Settings!$B$10,$A$1548:$A$1607,0))</f>
        <v>0</v>
      </c>
      <c r="AA1537">
        <f>Mitigation_Industry!AA642-INDEX(AA$1548:AA$1607,MATCH("v1:ener:2:mch:"&amp;Settings!$B$10,$A$1548:$A$1607,0))</f>
        <v>0</v>
      </c>
      <c r="AB1537">
        <f>Mitigation_Industry!AB642-INDEX(AB$1548:AB$1607,MATCH("v1:ener:2:mch:"&amp;Settings!$B$10,$A$1548:$A$1607,0))</f>
        <v>0</v>
      </c>
      <c r="AC1537">
        <f>Mitigation_Industry!AC642-INDEX(AC$1548:AC$1607,MATCH("v1:ener:2:mch:"&amp;Settings!$B$10,$A$1548:$A$1607,0))</f>
        <v>0</v>
      </c>
      <c r="AD1537">
        <f>Mitigation_Industry!AD642-INDEX(AD$1548:AD$1607,MATCH("v1:ener:2:mch:"&amp;Settings!$B$10,$A$1548:$A$1607,0))</f>
        <v>0</v>
      </c>
      <c r="AE1537">
        <f>Mitigation_Industry!AE642-INDEX(AE$1548:AE$1607,MATCH("v1:ener:2:mch:"&amp;Settings!$B$10,$A$1548:$A$1607,0))</f>
        <v>0</v>
      </c>
    </row>
    <row r="1538" spans="1:31" x14ac:dyDescent="0.45">
      <c r="A1538" t="s">
        <v>2356</v>
      </c>
      <c r="D1538">
        <v>2</v>
      </c>
      <c r="E1538" t="s">
        <v>2352</v>
      </c>
      <c r="F1538">
        <f t="shared" si="362"/>
        <v>0</v>
      </c>
      <c r="L1538">
        <f>Rebate_Industry!L217</f>
        <v>0</v>
      </c>
      <c r="M1538">
        <f>Rebate_Industry!M217</f>
        <v>0</v>
      </c>
      <c r="N1538">
        <f>Rebate_Industry!N217</f>
        <v>0</v>
      </c>
      <c r="O1538">
        <f>Rebate_Industry!O217</f>
        <v>0</v>
      </c>
      <c r="P1538">
        <f>Rebate_Industry!P217</f>
        <v>0</v>
      </c>
      <c r="Q1538">
        <f>Rebate_Industry!Q217</f>
        <v>0</v>
      </c>
      <c r="R1538">
        <f>Rebate_Industry!R217</f>
        <v>0</v>
      </c>
      <c r="S1538">
        <f>Rebate_Industry!S217</f>
        <v>0</v>
      </c>
      <c r="T1538">
        <f>Rebate_Industry!T217</f>
        <v>0</v>
      </c>
      <c r="U1538">
        <f>Rebate_Industry!U217</f>
        <v>0</v>
      </c>
      <c r="V1538">
        <f>Rebate_Industry!V217</f>
        <v>0</v>
      </c>
      <c r="W1538">
        <f>Rebate_Industry!W217</f>
        <v>0</v>
      </c>
      <c r="X1538">
        <f>Rebate_Industry!X217</f>
        <v>0</v>
      </c>
      <c r="Y1538">
        <f>Rebate_Industry!Y217</f>
        <v>0</v>
      </c>
      <c r="Z1538">
        <f>Rebate_Industry!Z217</f>
        <v>0</v>
      </c>
      <c r="AA1538">
        <f>Rebate_Industry!AA217</f>
        <v>0</v>
      </c>
      <c r="AB1538">
        <f>Rebate_Industry!AB217</f>
        <v>0</v>
      </c>
      <c r="AC1538">
        <f>Rebate_Industry!AC217</f>
        <v>0</v>
      </c>
      <c r="AD1538">
        <f>Rebate_Industry!AD217</f>
        <v>0</v>
      </c>
      <c r="AE1538">
        <f>Rebate_Industry!AE217</f>
        <v>0</v>
      </c>
    </row>
    <row r="1539" spans="1:31" x14ac:dyDescent="0.45">
      <c r="A1539" t="s">
        <v>2357</v>
      </c>
      <c r="D1539">
        <v>2</v>
      </c>
      <c r="E1539" t="s">
        <v>2352</v>
      </c>
      <c r="F1539">
        <f t="shared" si="362"/>
        <v>7350.5289918043609</v>
      </c>
      <c r="L1539">
        <f>Rebate_Industry!L278</f>
        <v>0</v>
      </c>
      <c r="M1539">
        <f>Rebate_Industry!M278</f>
        <v>0</v>
      </c>
      <c r="N1539">
        <f>Rebate_Industry!N278</f>
        <v>0</v>
      </c>
      <c r="O1539">
        <f>Rebate_Industry!O278</f>
        <v>0</v>
      </c>
      <c r="P1539">
        <f>Rebate_Industry!P278</f>
        <v>0</v>
      </c>
      <c r="Q1539">
        <f>Rebate_Industry!Q278</f>
        <v>308.12278080273342</v>
      </c>
      <c r="R1539">
        <f>Rebate_Industry!R278</f>
        <v>636.8417154974029</v>
      </c>
      <c r="S1539">
        <f>Rebate_Industry!S278</f>
        <v>987.22968333254369</v>
      </c>
      <c r="T1539">
        <f>Rebate_Industry!T278</f>
        <v>1360.4109852569791</v>
      </c>
      <c r="U1539">
        <f>Rebate_Industry!U278</f>
        <v>1757.56372820916</v>
      </c>
      <c r="V1539">
        <f>Rebate_Industry!V278</f>
        <v>2179.922318644748</v>
      </c>
      <c r="W1539">
        <f>Rebate_Industry!W278</f>
        <v>2628.780070299068</v>
      </c>
      <c r="X1539">
        <f>Rebate_Industry!X278</f>
        <v>3105.4919314104181</v>
      </c>
      <c r="Y1539">
        <f>Rebate_Industry!Y278</f>
        <v>3611.4773368702113</v>
      </c>
      <c r="Z1539">
        <f>Rebate_Industry!Z278</f>
        <v>4148.2231910169721</v>
      </c>
      <c r="AA1539">
        <f>Rebate_Industry!AA278</f>
        <v>4717.2869870538907</v>
      </c>
      <c r="AB1539">
        <f>Rebate_Industry!AB278</f>
        <v>5320.3000693444392</v>
      </c>
      <c r="AC1539">
        <f>Rebate_Industry!AC278</f>
        <v>5958.9710451280498</v>
      </c>
      <c r="AD1539">
        <f>Rebate_Industry!AD278</f>
        <v>6635.0893524987587</v>
      </c>
      <c r="AE1539">
        <f>Rebate_Industry!AE278</f>
        <v>7350.5289918043609</v>
      </c>
    </row>
    <row r="1540" spans="1:31" x14ac:dyDescent="0.45">
      <c r="A1540" t="s">
        <v>2358</v>
      </c>
      <c r="D1540">
        <v>2</v>
      </c>
      <c r="E1540" t="s">
        <v>2352</v>
      </c>
      <c r="F1540">
        <f t="shared" si="362"/>
        <v>0</v>
      </c>
      <c r="L1540">
        <f>Rebate_Industry!L222</f>
        <v>0</v>
      </c>
      <c r="M1540">
        <f>Rebate_Industry!M222</f>
        <v>0</v>
      </c>
      <c r="N1540">
        <f>Rebate_Industry!N222</f>
        <v>0</v>
      </c>
      <c r="O1540">
        <f>Rebate_Industry!O222</f>
        <v>0</v>
      </c>
      <c r="P1540">
        <f>Rebate_Industry!P222</f>
        <v>0</v>
      </c>
      <c r="Q1540">
        <f>Rebate_Industry!Q222</f>
        <v>0</v>
      </c>
      <c r="R1540">
        <f>Rebate_Industry!R222</f>
        <v>0</v>
      </c>
      <c r="S1540">
        <f>Rebate_Industry!S222</f>
        <v>0</v>
      </c>
      <c r="T1540">
        <f>Rebate_Industry!T222</f>
        <v>0</v>
      </c>
      <c r="U1540">
        <f>Rebate_Industry!U222</f>
        <v>0</v>
      </c>
      <c r="V1540">
        <f>Rebate_Industry!V222</f>
        <v>0</v>
      </c>
      <c r="W1540">
        <f>Rebate_Industry!W222</f>
        <v>0</v>
      </c>
      <c r="X1540">
        <f>Rebate_Industry!X222</f>
        <v>0</v>
      </c>
      <c r="Y1540">
        <f>Rebate_Industry!Y222</f>
        <v>0</v>
      </c>
      <c r="Z1540">
        <f>Rebate_Industry!Z222</f>
        <v>0</v>
      </c>
      <c r="AA1540">
        <f>Rebate_Industry!AA222</f>
        <v>0</v>
      </c>
      <c r="AB1540">
        <f>Rebate_Industry!AB222</f>
        <v>0</v>
      </c>
      <c r="AC1540">
        <f>Rebate_Industry!AC222</f>
        <v>0</v>
      </c>
      <c r="AD1540">
        <f>Rebate_Industry!AD222</f>
        <v>0</v>
      </c>
      <c r="AE1540">
        <f>Rebate_Industry!AE222</f>
        <v>0</v>
      </c>
    </row>
    <row r="1541" spans="1:31" x14ac:dyDescent="0.45">
      <c r="A1541" t="s">
        <v>2359</v>
      </c>
      <c r="D1541">
        <v>2</v>
      </c>
      <c r="E1541" t="s">
        <v>2352</v>
      </c>
      <c r="F1541">
        <f t="shared" si="362"/>
        <v>0</v>
      </c>
      <c r="L1541">
        <f>Rebate_Industry!L236</f>
        <v>0</v>
      </c>
      <c r="M1541">
        <f>Rebate_Industry!M236</f>
        <v>0</v>
      </c>
      <c r="N1541">
        <f>Rebate_Industry!N236</f>
        <v>0</v>
      </c>
      <c r="O1541">
        <f>Rebate_Industry!O236</f>
        <v>0</v>
      </c>
      <c r="P1541">
        <f>Rebate_Industry!P236</f>
        <v>0</v>
      </c>
      <c r="Q1541">
        <f>Rebate_Industry!Q236</f>
        <v>0</v>
      </c>
      <c r="R1541">
        <f>Rebate_Industry!R236</f>
        <v>0</v>
      </c>
      <c r="S1541">
        <f>Rebate_Industry!S236</f>
        <v>0</v>
      </c>
      <c r="T1541">
        <f>Rebate_Industry!T236</f>
        <v>0</v>
      </c>
      <c r="U1541">
        <f>Rebate_Industry!U236</f>
        <v>0</v>
      </c>
      <c r="V1541">
        <f>Rebate_Industry!V236</f>
        <v>0</v>
      </c>
      <c r="W1541">
        <f>Rebate_Industry!W236</f>
        <v>0</v>
      </c>
      <c r="X1541">
        <f>Rebate_Industry!X236</f>
        <v>0</v>
      </c>
      <c r="Y1541">
        <f>Rebate_Industry!Y236</f>
        <v>0</v>
      </c>
      <c r="Z1541">
        <f>Rebate_Industry!Z236</f>
        <v>0</v>
      </c>
      <c r="AA1541">
        <f>Rebate_Industry!AA236</f>
        <v>0</v>
      </c>
      <c r="AB1541">
        <f>Rebate_Industry!AB236</f>
        <v>0</v>
      </c>
      <c r="AC1541">
        <f>Rebate_Industry!AC236</f>
        <v>0</v>
      </c>
      <c r="AD1541">
        <f>Rebate_Industry!AD236</f>
        <v>0</v>
      </c>
      <c r="AE1541">
        <f>Rebate_Industry!AE236</f>
        <v>0</v>
      </c>
    </row>
    <row r="1542" spans="1:31" x14ac:dyDescent="0.45">
      <c r="A1542" t="s">
        <v>2360</v>
      </c>
      <c r="D1542">
        <v>2</v>
      </c>
      <c r="E1542" t="s">
        <v>2352</v>
      </c>
      <c r="F1542">
        <f t="shared" si="362"/>
        <v>0</v>
      </c>
      <c r="L1542">
        <f>Rebate_Industry!L250</f>
        <v>0</v>
      </c>
      <c r="M1542">
        <f>Rebate_Industry!M250</f>
        <v>0</v>
      </c>
      <c r="N1542">
        <f>Rebate_Industry!N250</f>
        <v>0</v>
      </c>
      <c r="O1542">
        <f>Rebate_Industry!O250</f>
        <v>0</v>
      </c>
      <c r="P1542">
        <f>Rebate_Industry!P250</f>
        <v>0</v>
      </c>
      <c r="Q1542">
        <f>Rebate_Industry!Q250</f>
        <v>0</v>
      </c>
      <c r="R1542">
        <f>Rebate_Industry!R250</f>
        <v>0</v>
      </c>
      <c r="S1542">
        <f>Rebate_Industry!S250</f>
        <v>0</v>
      </c>
      <c r="T1542">
        <f>Rebate_Industry!T250</f>
        <v>0</v>
      </c>
      <c r="U1542">
        <f>Rebate_Industry!U250</f>
        <v>0</v>
      </c>
      <c r="V1542">
        <f>Rebate_Industry!V250</f>
        <v>0</v>
      </c>
      <c r="W1542">
        <f>Rebate_Industry!W250</f>
        <v>0</v>
      </c>
      <c r="X1542">
        <f>Rebate_Industry!X250</f>
        <v>0</v>
      </c>
      <c r="Y1542">
        <f>Rebate_Industry!Y250</f>
        <v>0</v>
      </c>
      <c r="Z1542">
        <f>Rebate_Industry!Z250</f>
        <v>0</v>
      </c>
      <c r="AA1542">
        <f>Rebate_Industry!AA250</f>
        <v>0</v>
      </c>
      <c r="AB1542">
        <f>Rebate_Industry!AB250</f>
        <v>0</v>
      </c>
      <c r="AC1542">
        <f>Rebate_Industry!AC250</f>
        <v>0</v>
      </c>
      <c r="AD1542">
        <f>Rebate_Industry!AD250</f>
        <v>0</v>
      </c>
      <c r="AE1542">
        <f>Rebate_Industry!AE250</f>
        <v>0</v>
      </c>
    </row>
    <row r="1543" spans="1:31" x14ac:dyDescent="0.45">
      <c r="A1543" t="s">
        <v>2361</v>
      </c>
      <c r="D1543">
        <v>2</v>
      </c>
      <c r="E1543" t="s">
        <v>2352</v>
      </c>
      <c r="F1543">
        <f t="shared" si="362"/>
        <v>0</v>
      </c>
      <c r="L1543">
        <f>Rebate_Industry!L264</f>
        <v>0</v>
      </c>
      <c r="M1543">
        <f>Rebate_Industry!M264</f>
        <v>0</v>
      </c>
      <c r="N1543">
        <f>Rebate_Industry!N264</f>
        <v>0</v>
      </c>
      <c r="O1543">
        <f>Rebate_Industry!O264</f>
        <v>0</v>
      </c>
      <c r="P1543">
        <f>Rebate_Industry!P264</f>
        <v>0</v>
      </c>
      <c r="Q1543">
        <f>Rebate_Industry!Q264</f>
        <v>0</v>
      </c>
      <c r="R1543">
        <f>Rebate_Industry!R264</f>
        <v>0</v>
      </c>
      <c r="S1543">
        <f>Rebate_Industry!S264</f>
        <v>0</v>
      </c>
      <c r="T1543">
        <f>Rebate_Industry!T264</f>
        <v>0</v>
      </c>
      <c r="U1543">
        <f>Rebate_Industry!U264</f>
        <v>0</v>
      </c>
      <c r="V1543">
        <f>Rebate_Industry!V264</f>
        <v>0</v>
      </c>
      <c r="W1543">
        <f>Rebate_Industry!W264</f>
        <v>0</v>
      </c>
      <c r="X1543">
        <f>Rebate_Industry!X264</f>
        <v>0</v>
      </c>
      <c r="Y1543">
        <f>Rebate_Industry!Y264</f>
        <v>0</v>
      </c>
      <c r="Z1543">
        <f>Rebate_Industry!Z264</f>
        <v>0</v>
      </c>
      <c r="AA1543">
        <f>Rebate_Industry!AA264</f>
        <v>0</v>
      </c>
      <c r="AB1543">
        <f>Rebate_Industry!AB264</f>
        <v>0</v>
      </c>
      <c r="AC1543">
        <f>Rebate_Industry!AC264</f>
        <v>0</v>
      </c>
      <c r="AD1543">
        <f>Rebate_Industry!AD264</f>
        <v>0</v>
      </c>
      <c r="AE1543">
        <f>Rebate_Industry!AE264</f>
        <v>0</v>
      </c>
    </row>
    <row r="1545" spans="1:31" x14ac:dyDescent="0.45">
      <c r="A1545" t="s">
        <v>2362</v>
      </c>
    </row>
    <row r="1547" spans="1:31" x14ac:dyDescent="0.45">
      <c r="A1547" s="52" t="s">
        <v>2363</v>
      </c>
    </row>
    <row r="1548" spans="1:31" x14ac:dyDescent="0.45">
      <c r="A1548" t="s">
        <v>2364</v>
      </c>
      <c r="B1548" t="s">
        <v>110</v>
      </c>
      <c r="C1548" t="s">
        <v>43</v>
      </c>
      <c r="D1548">
        <v>1</v>
      </c>
      <c r="E1548" t="s">
        <v>2365</v>
      </c>
      <c r="L1548" s="43">
        <v>1901.7140738122609</v>
      </c>
      <c r="M1548" s="43">
        <v>1621.2301769893743</v>
      </c>
      <c r="N1548" s="43">
        <v>1820.8469202303741</v>
      </c>
      <c r="O1548" s="43">
        <v>1904.3670376253485</v>
      </c>
      <c r="P1548" s="43">
        <v>1961.702021253242</v>
      </c>
      <c r="Q1548" s="43">
        <v>2038.962541648895</v>
      </c>
      <c r="R1548" s="43">
        <v>2135.0351712538527</v>
      </c>
      <c r="S1548" s="43">
        <v>2228.4850873444593</v>
      </c>
      <c r="T1548" s="43">
        <v>2317.2308926620321</v>
      </c>
      <c r="U1548" s="43">
        <v>2407.7811783186385</v>
      </c>
      <c r="V1548" s="43">
        <v>2499.2702877093025</v>
      </c>
      <c r="W1548" s="43">
        <v>2592.8704056506044</v>
      </c>
      <c r="X1548" s="43">
        <v>2688.5787907172216</v>
      </c>
      <c r="Y1548" s="43">
        <v>2786.3911204964452</v>
      </c>
      <c r="Z1548" s="43">
        <v>2886.3014634759543</v>
      </c>
      <c r="AA1548" s="43">
        <v>2988.3022473044075</v>
      </c>
      <c r="AB1548" s="43">
        <v>3092.384223175638</v>
      </c>
      <c r="AC1548" s="43">
        <v>3198.5364260969</v>
      </c>
      <c r="AD1548" s="43">
        <v>3306.7461308112624</v>
      </c>
      <c r="AE1548" s="43">
        <v>3416.9988031533467</v>
      </c>
    </row>
    <row r="1549" spans="1:31" x14ac:dyDescent="0.45">
      <c r="A1549" t="s">
        <v>2366</v>
      </c>
      <c r="B1549" t="s">
        <v>110</v>
      </c>
      <c r="C1549" t="s">
        <v>113</v>
      </c>
      <c r="D1549">
        <v>1</v>
      </c>
      <c r="E1549" t="s">
        <v>2365</v>
      </c>
      <c r="L1549" s="43">
        <v>3210.4467592248702</v>
      </c>
      <c r="M1549" s="43">
        <v>2690.3404093921163</v>
      </c>
      <c r="N1549" s="43">
        <v>3047.5360888007326</v>
      </c>
      <c r="O1549" s="43">
        <v>3240.6928223889822</v>
      </c>
      <c r="P1549" s="43">
        <v>3273.2119677539522</v>
      </c>
      <c r="Q1549" s="43">
        <v>3368.2133423743344</v>
      </c>
      <c r="R1549" s="43">
        <v>3502.9215016591916</v>
      </c>
      <c r="S1549" s="43">
        <v>3633.9883116592123</v>
      </c>
      <c r="T1549" s="43">
        <v>3758.7368588981471</v>
      </c>
      <c r="U1549" s="43">
        <v>3885.4504831789814</v>
      </c>
      <c r="V1549" s="43">
        <v>4007.0693968852165</v>
      </c>
      <c r="W1549" s="43">
        <v>4130.9635900529229</v>
      </c>
      <c r="X1549" s="43">
        <v>4257.1228099657064</v>
      </c>
      <c r="Y1549" s="43">
        <v>4385.5352137797545</v>
      </c>
      <c r="Z1549" s="43">
        <v>4516.1873328951651</v>
      </c>
      <c r="AA1549" s="43">
        <v>4649.0640328646023</v>
      </c>
      <c r="AB1549" s="43">
        <v>4784.148468612525</v>
      </c>
      <c r="AC1549" s="43">
        <v>4921.422034746156</v>
      </c>
      <c r="AD1549" s="43">
        <v>5060.864310747279</v>
      </c>
      <c r="AE1549" s="43">
        <v>5202.4530008412194</v>
      </c>
    </row>
    <row r="1550" spans="1:31" x14ac:dyDescent="0.45">
      <c r="A1550" t="s">
        <v>2367</v>
      </c>
      <c r="B1550" t="s">
        <v>110</v>
      </c>
      <c r="C1550" t="s">
        <v>115</v>
      </c>
      <c r="D1550">
        <v>1</v>
      </c>
      <c r="E1550" t="s">
        <v>2365</v>
      </c>
      <c r="L1550" s="43">
        <v>0</v>
      </c>
      <c r="M1550" s="43">
        <v>0</v>
      </c>
      <c r="N1550" s="43">
        <v>0</v>
      </c>
      <c r="O1550" s="43">
        <v>0</v>
      </c>
      <c r="P1550" s="43">
        <v>0</v>
      </c>
      <c r="Q1550" s="43">
        <v>0</v>
      </c>
      <c r="R1550" s="43">
        <v>0</v>
      </c>
      <c r="S1550" s="43">
        <v>0</v>
      </c>
      <c r="T1550" s="43">
        <v>0</v>
      </c>
      <c r="U1550" s="43">
        <v>0</v>
      </c>
      <c r="V1550" s="43">
        <v>0</v>
      </c>
      <c r="W1550" s="43">
        <v>0</v>
      </c>
      <c r="X1550" s="43">
        <v>0</v>
      </c>
      <c r="Y1550" s="43">
        <v>0</v>
      </c>
      <c r="Z1550" s="43">
        <v>0</v>
      </c>
      <c r="AA1550" s="43">
        <v>0</v>
      </c>
      <c r="AB1550" s="43">
        <v>0</v>
      </c>
      <c r="AC1550" s="43">
        <v>0</v>
      </c>
      <c r="AD1550" s="43">
        <v>0</v>
      </c>
      <c r="AE1550" s="43">
        <v>0</v>
      </c>
    </row>
    <row r="1551" spans="1:31" x14ac:dyDescent="0.45">
      <c r="A1551" t="s">
        <v>2368</v>
      </c>
      <c r="B1551" t="s">
        <v>110</v>
      </c>
      <c r="C1551" t="s">
        <v>117</v>
      </c>
      <c r="D1551">
        <v>1</v>
      </c>
      <c r="E1551" t="s">
        <v>2365</v>
      </c>
      <c r="L1551" s="43">
        <v>0</v>
      </c>
      <c r="M1551" s="43">
        <v>0</v>
      </c>
      <c r="N1551" s="43">
        <v>0</v>
      </c>
      <c r="O1551" s="43">
        <v>0</v>
      </c>
      <c r="P1551" s="43">
        <v>0</v>
      </c>
      <c r="Q1551" s="43">
        <v>0</v>
      </c>
      <c r="R1551" s="43">
        <v>0</v>
      </c>
      <c r="S1551" s="43">
        <v>0</v>
      </c>
      <c r="T1551" s="43">
        <v>0</v>
      </c>
      <c r="U1551" s="43">
        <v>0</v>
      </c>
      <c r="V1551" s="43">
        <v>0</v>
      </c>
      <c r="W1551" s="43">
        <v>0</v>
      </c>
      <c r="X1551" s="43">
        <v>0</v>
      </c>
      <c r="Y1551" s="43">
        <v>0</v>
      </c>
      <c r="Z1551" s="43">
        <v>0</v>
      </c>
      <c r="AA1551" s="43">
        <v>0</v>
      </c>
      <c r="AB1551" s="43">
        <v>0</v>
      </c>
      <c r="AC1551" s="43">
        <v>0</v>
      </c>
      <c r="AD1551" s="43">
        <v>0</v>
      </c>
      <c r="AE1551" s="43">
        <v>0</v>
      </c>
    </row>
    <row r="1552" spans="1:31" x14ac:dyDescent="0.45">
      <c r="A1552" t="s">
        <v>2369</v>
      </c>
      <c r="B1552" t="s">
        <v>110</v>
      </c>
      <c r="C1552" t="s">
        <v>43</v>
      </c>
      <c r="D1552">
        <v>2</v>
      </c>
      <c r="E1552" t="s">
        <v>2370</v>
      </c>
      <c r="L1552" s="43">
        <v>1901.7140738122609</v>
      </c>
      <c r="M1552" s="43">
        <v>1621.2301769893743</v>
      </c>
      <c r="N1552" s="43">
        <v>1820.8469202303741</v>
      </c>
      <c r="O1552" s="43">
        <v>1904.3670376253485</v>
      </c>
      <c r="P1552" s="43">
        <v>1961.702021253242</v>
      </c>
      <c r="Q1552" s="43">
        <v>1856.404797168507</v>
      </c>
      <c r="R1552" s="43">
        <v>1788.9492171961813</v>
      </c>
      <c r="S1552" s="43">
        <v>1732.3328660968311</v>
      </c>
      <c r="T1552" s="43">
        <v>1682.3885530274299</v>
      </c>
      <c r="U1552" s="43">
        <v>1641.4681088716557</v>
      </c>
      <c r="V1552" s="43">
        <v>1607.9067887450958</v>
      </c>
      <c r="W1552" s="43">
        <v>1581.3612458923553</v>
      </c>
      <c r="X1552" s="43">
        <v>1561.0275376536185</v>
      </c>
      <c r="Y1552" s="43">
        <v>1546.4517889063816</v>
      </c>
      <c r="Z1552" s="43">
        <v>1537.5943975526714</v>
      </c>
      <c r="AA1552" s="43">
        <v>1534.1781017151086</v>
      </c>
      <c r="AB1552" s="43">
        <v>1535.9010092298067</v>
      </c>
      <c r="AC1552" s="43">
        <v>1542.2263096902577</v>
      </c>
      <c r="AD1552" s="43">
        <v>1552.707818724469</v>
      </c>
      <c r="AE1552" s="43">
        <v>1567.016662377554</v>
      </c>
    </row>
    <row r="1553" spans="1:31" x14ac:dyDescent="0.45">
      <c r="A1553" t="s">
        <v>2371</v>
      </c>
      <c r="B1553" t="s">
        <v>110</v>
      </c>
      <c r="C1553" t="s">
        <v>113</v>
      </c>
      <c r="D1553">
        <v>2</v>
      </c>
      <c r="E1553" t="s">
        <v>2370</v>
      </c>
      <c r="L1553" s="43">
        <v>3210.4467592248702</v>
      </c>
      <c r="M1553" s="43">
        <v>2690.3404093921163</v>
      </c>
      <c r="N1553" s="43">
        <v>3047.5360888007326</v>
      </c>
      <c r="O1553" s="43">
        <v>3240.6928223889822</v>
      </c>
      <c r="P1553" s="43">
        <v>3273.2119677539522</v>
      </c>
      <c r="Q1553" s="43">
        <v>3089.4258527074826</v>
      </c>
      <c r="R1553" s="43">
        <v>2975.1242061609983</v>
      </c>
      <c r="S1553" s="43">
        <v>2878.4338008647092</v>
      </c>
      <c r="T1553" s="43">
        <v>2793.1021878663519</v>
      </c>
      <c r="U1553" s="43">
        <v>2721.6867792281105</v>
      </c>
      <c r="V1553" s="43">
        <v>2659.4365656902273</v>
      </c>
      <c r="W1553" s="43">
        <v>2608.3843590415554</v>
      </c>
      <c r="X1553" s="43">
        <v>2567.1439632109241</v>
      </c>
      <c r="Y1553" s="43">
        <v>2534.8641732295537</v>
      </c>
      <c r="Z1553" s="43">
        <v>2511.2970995969799</v>
      </c>
      <c r="AA1553" s="43">
        <v>2495.8988717310085</v>
      </c>
      <c r="AB1553" s="43">
        <v>2488.1145593655265</v>
      </c>
      <c r="AC1553" s="43">
        <v>2487.0912005211107</v>
      </c>
      <c r="AD1553" s="43">
        <v>2492.116697620846</v>
      </c>
      <c r="AE1553" s="43">
        <v>2502.6519509263308</v>
      </c>
    </row>
    <row r="1554" spans="1:31" x14ac:dyDescent="0.45">
      <c r="A1554" t="s">
        <v>2372</v>
      </c>
      <c r="B1554" t="s">
        <v>110</v>
      </c>
      <c r="C1554" t="s">
        <v>115</v>
      </c>
      <c r="D1554">
        <v>2</v>
      </c>
      <c r="E1554" t="s">
        <v>2370</v>
      </c>
      <c r="L1554" s="43">
        <v>0</v>
      </c>
      <c r="M1554" s="43">
        <v>0</v>
      </c>
      <c r="N1554" s="43">
        <v>0</v>
      </c>
      <c r="O1554" s="43">
        <v>0</v>
      </c>
      <c r="P1554" s="43">
        <v>0</v>
      </c>
      <c r="Q1554" s="43">
        <v>0</v>
      </c>
      <c r="R1554" s="43">
        <v>0</v>
      </c>
      <c r="S1554" s="43">
        <v>0</v>
      </c>
      <c r="T1554" s="43">
        <v>0</v>
      </c>
      <c r="U1554" s="43">
        <v>0</v>
      </c>
      <c r="V1554" s="43">
        <v>0</v>
      </c>
      <c r="W1554" s="43">
        <v>0</v>
      </c>
      <c r="X1554" s="43">
        <v>0</v>
      </c>
      <c r="Y1554" s="43">
        <v>0</v>
      </c>
      <c r="Z1554" s="43">
        <v>0</v>
      </c>
      <c r="AA1554" s="43">
        <v>0</v>
      </c>
      <c r="AB1554" s="43">
        <v>0</v>
      </c>
      <c r="AC1554" s="43">
        <v>0</v>
      </c>
      <c r="AD1554" s="43">
        <v>0</v>
      </c>
      <c r="AE1554" s="43">
        <v>0</v>
      </c>
    </row>
    <row r="1555" spans="1:31" x14ac:dyDescent="0.45">
      <c r="A1555" t="s">
        <v>2373</v>
      </c>
      <c r="B1555" t="s">
        <v>110</v>
      </c>
      <c r="C1555" t="s">
        <v>117</v>
      </c>
      <c r="D1555">
        <v>2</v>
      </c>
      <c r="E1555" t="s">
        <v>2370</v>
      </c>
      <c r="L1555" s="43">
        <v>0</v>
      </c>
      <c r="M1555" s="43">
        <v>0</v>
      </c>
      <c r="N1555" s="43">
        <v>0</v>
      </c>
      <c r="O1555" s="43">
        <v>0</v>
      </c>
      <c r="P1555" s="43">
        <v>0</v>
      </c>
      <c r="Q1555" s="43">
        <v>0</v>
      </c>
      <c r="R1555" s="43">
        <v>0</v>
      </c>
      <c r="S1555" s="43">
        <v>0</v>
      </c>
      <c r="T1555" s="43">
        <v>0</v>
      </c>
      <c r="U1555" s="43">
        <v>0</v>
      </c>
      <c r="V1555" s="43">
        <v>0</v>
      </c>
      <c r="W1555" s="43">
        <v>0</v>
      </c>
      <c r="X1555" s="43">
        <v>0</v>
      </c>
      <c r="Y1555" s="43">
        <v>0</v>
      </c>
      <c r="Z1555" s="43">
        <v>0</v>
      </c>
      <c r="AA1555" s="43">
        <v>0</v>
      </c>
      <c r="AB1555" s="43">
        <v>0</v>
      </c>
      <c r="AC1555" s="43">
        <v>0</v>
      </c>
      <c r="AD1555" s="43">
        <v>0</v>
      </c>
      <c r="AE1555" s="43">
        <v>0</v>
      </c>
    </row>
    <row r="1556" spans="1:31" x14ac:dyDescent="0.45">
      <c r="A1556" t="s">
        <v>2374</v>
      </c>
      <c r="B1556" t="s">
        <v>2375</v>
      </c>
      <c r="C1556" t="s">
        <v>43</v>
      </c>
      <c r="D1556">
        <v>2</v>
      </c>
      <c r="E1556" t="s">
        <v>2376</v>
      </c>
      <c r="L1556" s="43">
        <v>66.453659723176557</v>
      </c>
      <c r="M1556" s="43">
        <v>68.485475215764879</v>
      </c>
      <c r="N1556" s="43">
        <v>58.995402742046402</v>
      </c>
      <c r="O1556" s="43">
        <v>43.916716887965812</v>
      </c>
      <c r="P1556" s="43">
        <v>53.774364143577706</v>
      </c>
      <c r="Q1556" s="43">
        <v>50.675872845484811</v>
      </c>
      <c r="R1556" s="43">
        <v>55.46880544094482</v>
      </c>
      <c r="S1556" s="43">
        <v>61.779135607650517</v>
      </c>
      <c r="T1556" s="43">
        <v>68.278756797558202</v>
      </c>
      <c r="U1556" s="43">
        <v>74.667213426547335</v>
      </c>
      <c r="V1556" s="43">
        <v>82.597719303077696</v>
      </c>
      <c r="W1556" s="43">
        <v>90.528194297201395</v>
      </c>
      <c r="X1556" s="43">
        <v>98.458538681584031</v>
      </c>
      <c r="Y1556" s="43">
        <v>106.38879966199983</v>
      </c>
      <c r="Z1556" s="43">
        <v>114.31912307448249</v>
      </c>
      <c r="AA1556" s="43">
        <v>122.2493141862853</v>
      </c>
      <c r="AB1556" s="43">
        <v>130.17957112660253</v>
      </c>
      <c r="AC1556" s="43">
        <v>138.10868154539935</v>
      </c>
      <c r="AD1556" s="43">
        <v>146.0378588759541</v>
      </c>
      <c r="AE1556" s="43">
        <v>153.96697674227667</v>
      </c>
    </row>
    <row r="1557" spans="1:31" x14ac:dyDescent="0.45">
      <c r="A1557" t="s">
        <v>2377</v>
      </c>
      <c r="B1557" t="s">
        <v>2375</v>
      </c>
      <c r="C1557" t="s">
        <v>113</v>
      </c>
      <c r="D1557">
        <v>2</v>
      </c>
      <c r="E1557" t="s">
        <v>2376</v>
      </c>
      <c r="L1557" s="43">
        <v>66.453659723176557</v>
      </c>
      <c r="M1557" s="43">
        <v>68.485475215764879</v>
      </c>
      <c r="N1557" s="43">
        <v>58.995402742046402</v>
      </c>
      <c r="O1557" s="43">
        <v>43.916716887965812</v>
      </c>
      <c r="P1557" s="43">
        <v>53.774364143577706</v>
      </c>
      <c r="Q1557" s="43">
        <v>50.675872845484811</v>
      </c>
      <c r="R1557" s="43">
        <v>55.46880544094482</v>
      </c>
      <c r="S1557" s="43">
        <v>61.779135607650517</v>
      </c>
      <c r="T1557" s="43">
        <v>68.278756797558202</v>
      </c>
      <c r="U1557" s="43">
        <v>74.667213426547335</v>
      </c>
      <c r="V1557" s="43">
        <v>82.597719303077696</v>
      </c>
      <c r="W1557" s="43">
        <v>90.528194297201395</v>
      </c>
      <c r="X1557" s="43">
        <v>98.458538681584031</v>
      </c>
      <c r="Y1557" s="43">
        <v>106.38879966199983</v>
      </c>
      <c r="Z1557" s="43">
        <v>114.31912307448249</v>
      </c>
      <c r="AA1557" s="43">
        <v>122.2493141862853</v>
      </c>
      <c r="AB1557" s="43">
        <v>130.17957112660253</v>
      </c>
      <c r="AC1557" s="43">
        <v>138.10868154539935</v>
      </c>
      <c r="AD1557" s="43">
        <v>146.0378588759541</v>
      </c>
      <c r="AE1557" s="43">
        <v>153.96697674227667</v>
      </c>
    </row>
    <row r="1558" spans="1:31" x14ac:dyDescent="0.45">
      <c r="A1558" t="s">
        <v>2378</v>
      </c>
      <c r="B1558" t="s">
        <v>2375</v>
      </c>
      <c r="C1558" t="s">
        <v>115</v>
      </c>
      <c r="D1558">
        <v>2</v>
      </c>
      <c r="E1558" t="s">
        <v>2376</v>
      </c>
      <c r="L1558" s="43">
        <v>66.453659723176557</v>
      </c>
      <c r="M1558" s="43">
        <v>68.485475215764879</v>
      </c>
      <c r="N1558" s="43">
        <v>58.995402742046402</v>
      </c>
      <c r="O1558" s="43">
        <v>43.916716887965812</v>
      </c>
      <c r="P1558" s="43">
        <v>53.774364143577706</v>
      </c>
      <c r="Q1558" s="43">
        <v>50.675872845484811</v>
      </c>
      <c r="R1558" s="43">
        <v>55.46880544094482</v>
      </c>
      <c r="S1558" s="43">
        <v>61.779135607650517</v>
      </c>
      <c r="T1558" s="43">
        <v>68.278756797558202</v>
      </c>
      <c r="U1558" s="43">
        <v>74.667213426547335</v>
      </c>
      <c r="V1558" s="43">
        <v>82.597719303077696</v>
      </c>
      <c r="W1558" s="43">
        <v>90.528194297201395</v>
      </c>
      <c r="X1558" s="43">
        <v>98.458538681584031</v>
      </c>
      <c r="Y1558" s="43">
        <v>106.38879966199983</v>
      </c>
      <c r="Z1558" s="43">
        <v>114.31912307448249</v>
      </c>
      <c r="AA1558" s="43">
        <v>122.2493141862853</v>
      </c>
      <c r="AB1558" s="43">
        <v>130.17957112660253</v>
      </c>
      <c r="AC1558" s="43">
        <v>138.10868154539935</v>
      </c>
      <c r="AD1558" s="43">
        <v>146.0378588759541</v>
      </c>
      <c r="AE1558" s="43">
        <v>153.96697674227667</v>
      </c>
    </row>
    <row r="1559" spans="1:31" x14ac:dyDescent="0.45">
      <c r="A1559" t="s">
        <v>2379</v>
      </c>
      <c r="B1559" t="s">
        <v>2375</v>
      </c>
      <c r="C1559" t="s">
        <v>117</v>
      </c>
      <c r="D1559">
        <v>2</v>
      </c>
      <c r="E1559" t="s">
        <v>2376</v>
      </c>
      <c r="L1559" s="43">
        <v>66.453659723176557</v>
      </c>
      <c r="M1559" s="43">
        <v>68.485475215764879</v>
      </c>
      <c r="N1559" s="43">
        <v>58.995402742046402</v>
      </c>
      <c r="O1559" s="43">
        <v>43.916716887965812</v>
      </c>
      <c r="P1559" s="43">
        <v>53.774364143577706</v>
      </c>
      <c r="Q1559" s="43">
        <v>50.675872845484811</v>
      </c>
      <c r="R1559" s="43">
        <v>55.46880544094482</v>
      </c>
      <c r="S1559" s="43">
        <v>61.779135607650517</v>
      </c>
      <c r="T1559" s="43">
        <v>68.278756797558202</v>
      </c>
      <c r="U1559" s="43">
        <v>74.667213426547335</v>
      </c>
      <c r="V1559" s="43">
        <v>82.597719303077696</v>
      </c>
      <c r="W1559" s="43">
        <v>90.528194297201395</v>
      </c>
      <c r="X1559" s="43">
        <v>98.458538681584031</v>
      </c>
      <c r="Y1559" s="43">
        <v>106.38879966199983</v>
      </c>
      <c r="Z1559" s="43">
        <v>114.31912307448249</v>
      </c>
      <c r="AA1559" s="43">
        <v>122.2493141862853</v>
      </c>
      <c r="AB1559" s="43">
        <v>130.17957112660253</v>
      </c>
      <c r="AC1559" s="43">
        <v>138.10868154539935</v>
      </c>
      <c r="AD1559" s="43">
        <v>146.0378588759541</v>
      </c>
      <c r="AE1559" s="43">
        <v>153.96697674227667</v>
      </c>
    </row>
    <row r="1560" spans="1:31" x14ac:dyDescent="0.45">
      <c r="A1560" t="s">
        <v>2380</v>
      </c>
      <c r="B1560" t="s">
        <v>110</v>
      </c>
      <c r="C1560" t="s">
        <v>43</v>
      </c>
      <c r="D1560">
        <v>2</v>
      </c>
      <c r="E1560" t="s">
        <v>2381</v>
      </c>
      <c r="L1560" s="43">
        <v>1901.7140738122609</v>
      </c>
      <c r="M1560" s="43">
        <v>1621.2301769893743</v>
      </c>
      <c r="N1560" s="43">
        <v>1820.8469202303741</v>
      </c>
      <c r="O1560" s="43">
        <v>1904.3670376253485</v>
      </c>
      <c r="P1560" s="43">
        <v>1961.702021253242</v>
      </c>
      <c r="Q1560" s="43">
        <v>2038.9739202925941</v>
      </c>
      <c r="R1560" s="43">
        <v>1847.3650852128353</v>
      </c>
      <c r="S1560" s="43">
        <v>1927.6967656346794</v>
      </c>
      <c r="T1560" s="43">
        <v>2003.6478535386466</v>
      </c>
      <c r="U1560" s="43">
        <v>2080.420807425895</v>
      </c>
      <c r="V1560" s="43">
        <v>2158.1017458230463</v>
      </c>
      <c r="W1560" s="43">
        <v>2238.4314308137432</v>
      </c>
      <c r="X1560" s="43">
        <v>2322.0852782283118</v>
      </c>
      <c r="Y1560" s="43">
        <v>2409.9601076918048</v>
      </c>
      <c r="Z1560" s="43">
        <v>2503.4273650546652</v>
      </c>
      <c r="AA1560" s="43">
        <v>2603.380841256117</v>
      </c>
      <c r="AB1560" s="43">
        <v>2710.5421417180701</v>
      </c>
      <c r="AC1560" s="43">
        <v>2825.0739330466899</v>
      </c>
      <c r="AD1560" s="43">
        <v>2947.1310655860725</v>
      </c>
      <c r="AE1560" s="43">
        <v>3076.9518919077177</v>
      </c>
    </row>
    <row r="1561" spans="1:31" x14ac:dyDescent="0.45">
      <c r="A1561" t="s">
        <v>2382</v>
      </c>
      <c r="B1561" t="s">
        <v>110</v>
      </c>
      <c r="C1561" t="s">
        <v>113</v>
      </c>
      <c r="D1561">
        <v>2</v>
      </c>
      <c r="E1561" t="s">
        <v>2381</v>
      </c>
      <c r="L1561" s="43">
        <v>3210.4467592248702</v>
      </c>
      <c r="M1561" s="43">
        <v>2690.3404093921163</v>
      </c>
      <c r="N1561" s="43">
        <v>3047.5360888007326</v>
      </c>
      <c r="O1561" s="43">
        <v>3240.6928223889822</v>
      </c>
      <c r="P1561" s="43">
        <v>3273.2119677539522</v>
      </c>
      <c r="Q1561" s="43">
        <v>3368.228907853118</v>
      </c>
      <c r="R1561" s="43">
        <v>3064.6631828354202</v>
      </c>
      <c r="S1561" s="43">
        <v>3177.4158490906384</v>
      </c>
      <c r="T1561" s="43">
        <v>3284.1252951076308</v>
      </c>
      <c r="U1561" s="43">
        <v>3391.5167507993629</v>
      </c>
      <c r="V1561" s="43">
        <v>3495.4443719317869</v>
      </c>
      <c r="W1561" s="43">
        <v>3602.4640735657167</v>
      </c>
      <c r="X1561" s="43">
        <v>3713.4594095241946</v>
      </c>
      <c r="Y1561" s="43">
        <v>3829.5951733815596</v>
      </c>
      <c r="Z1561" s="43">
        <v>3952.6477392689649</v>
      </c>
      <c r="AA1561" s="43">
        <v>4083.733553983021</v>
      </c>
      <c r="AB1561" s="43">
        <v>4223.7247296458527</v>
      </c>
      <c r="AC1561" s="43">
        <v>4372.7475422680927</v>
      </c>
      <c r="AD1561" s="43">
        <v>4530.9176443081178</v>
      </c>
      <c r="AE1561" s="43">
        <v>4698.4592756394795</v>
      </c>
    </row>
    <row r="1562" spans="1:31" x14ac:dyDescent="0.45">
      <c r="A1562" t="s">
        <v>2383</v>
      </c>
      <c r="B1562" t="s">
        <v>110</v>
      </c>
      <c r="C1562" t="s">
        <v>115</v>
      </c>
      <c r="D1562">
        <v>2</v>
      </c>
      <c r="E1562" t="s">
        <v>2381</v>
      </c>
      <c r="L1562" s="43">
        <v>0</v>
      </c>
      <c r="M1562" s="43">
        <v>0</v>
      </c>
      <c r="N1562" s="43">
        <v>0</v>
      </c>
      <c r="O1562" s="43">
        <v>0</v>
      </c>
      <c r="P1562" s="43">
        <v>0</v>
      </c>
      <c r="Q1562" s="43">
        <v>0</v>
      </c>
      <c r="R1562" s="43">
        <v>0</v>
      </c>
      <c r="S1562" s="43">
        <v>0</v>
      </c>
      <c r="T1562" s="43">
        <v>0</v>
      </c>
      <c r="U1562" s="43">
        <v>0</v>
      </c>
      <c r="V1562" s="43">
        <v>0</v>
      </c>
      <c r="W1562" s="43">
        <v>0</v>
      </c>
      <c r="X1562" s="43">
        <v>0</v>
      </c>
      <c r="Y1562" s="43">
        <v>0</v>
      </c>
      <c r="Z1562" s="43">
        <v>0</v>
      </c>
      <c r="AA1562" s="43">
        <v>0</v>
      </c>
      <c r="AB1562" s="43">
        <v>0</v>
      </c>
      <c r="AC1562" s="43">
        <v>0</v>
      </c>
      <c r="AD1562" s="43">
        <v>0</v>
      </c>
      <c r="AE1562" s="43">
        <v>0</v>
      </c>
    </row>
    <row r="1563" spans="1:31" x14ac:dyDescent="0.45">
      <c r="A1563" t="s">
        <v>2384</v>
      </c>
      <c r="B1563" t="s">
        <v>110</v>
      </c>
      <c r="C1563" t="s">
        <v>117</v>
      </c>
      <c r="D1563">
        <v>2</v>
      </c>
      <c r="E1563" t="s">
        <v>2381</v>
      </c>
      <c r="L1563" s="43">
        <v>0</v>
      </c>
      <c r="M1563" s="43">
        <v>0</v>
      </c>
      <c r="N1563" s="43">
        <v>0</v>
      </c>
      <c r="O1563" s="43">
        <v>0</v>
      </c>
      <c r="P1563" s="43">
        <v>0</v>
      </c>
      <c r="Q1563" s="43">
        <v>0</v>
      </c>
      <c r="R1563" s="43">
        <v>0</v>
      </c>
      <c r="S1563" s="43">
        <v>0</v>
      </c>
      <c r="T1563" s="43">
        <v>0</v>
      </c>
      <c r="U1563" s="43">
        <v>0</v>
      </c>
      <c r="V1563" s="43">
        <v>0</v>
      </c>
      <c r="W1563" s="43">
        <v>0</v>
      </c>
      <c r="X1563" s="43">
        <v>0</v>
      </c>
      <c r="Y1563" s="43">
        <v>0</v>
      </c>
      <c r="Z1563" s="43">
        <v>0</v>
      </c>
      <c r="AA1563" s="43">
        <v>0</v>
      </c>
      <c r="AB1563" s="43">
        <v>0</v>
      </c>
      <c r="AC1563" s="43">
        <v>0</v>
      </c>
      <c r="AD1563" s="43">
        <v>0</v>
      </c>
      <c r="AE1563" s="43">
        <v>0</v>
      </c>
    </row>
    <row r="1564" spans="1:31" x14ac:dyDescent="0.45">
      <c r="A1564" t="s">
        <v>2385</v>
      </c>
      <c r="B1564" t="s">
        <v>2375</v>
      </c>
      <c r="C1564" t="s">
        <v>43</v>
      </c>
      <c r="D1564">
        <v>2</v>
      </c>
      <c r="E1564" t="s">
        <v>2386</v>
      </c>
      <c r="L1564" s="43">
        <v>66.453659723176557</v>
      </c>
      <c r="M1564" s="43">
        <v>68.485475215764879</v>
      </c>
      <c r="N1564" s="43">
        <v>58.995402742046402</v>
      </c>
      <c r="O1564" s="43">
        <v>43.916716887965812</v>
      </c>
      <c r="P1564" s="43">
        <v>53.774364143577706</v>
      </c>
      <c r="Q1564" s="43">
        <v>42.744789650417033</v>
      </c>
      <c r="R1564" s="43">
        <v>52.296372162917706</v>
      </c>
      <c r="S1564" s="43">
        <v>50.675619134555625</v>
      </c>
      <c r="T1564" s="43">
        <v>49.244157129395532</v>
      </c>
      <c r="U1564" s="43">
        <v>47.701530563316886</v>
      </c>
      <c r="V1564" s="43">
        <v>47.700953244779463</v>
      </c>
      <c r="W1564" s="43">
        <v>47.700345043835391</v>
      </c>
      <c r="X1564" s="43">
        <v>47.699606233150249</v>
      </c>
      <c r="Y1564" s="43">
        <v>47.698784018498259</v>
      </c>
      <c r="Z1564" s="43">
        <v>47.698024235913145</v>
      </c>
      <c r="AA1564" s="43">
        <v>47.69713215264818</v>
      </c>
      <c r="AB1564" s="43">
        <v>47.696305897897624</v>
      </c>
      <c r="AC1564" s="43">
        <v>47.694333121626656</v>
      </c>
      <c r="AD1564" s="43">
        <v>47.692427257113664</v>
      </c>
      <c r="AE1564" s="43">
        <v>47.690461928368428</v>
      </c>
    </row>
    <row r="1565" spans="1:31" x14ac:dyDescent="0.45">
      <c r="A1565" t="s">
        <v>2387</v>
      </c>
      <c r="B1565" t="s">
        <v>2375</v>
      </c>
      <c r="C1565" t="s">
        <v>113</v>
      </c>
      <c r="D1565">
        <v>2</v>
      </c>
      <c r="E1565" t="s">
        <v>2386</v>
      </c>
      <c r="L1565" s="43">
        <v>66.453659723176557</v>
      </c>
      <c r="M1565" s="43">
        <v>68.485475215764879</v>
      </c>
      <c r="N1565" s="43">
        <v>58.995402742046402</v>
      </c>
      <c r="O1565" s="43">
        <v>43.916716887965812</v>
      </c>
      <c r="P1565" s="43">
        <v>53.774364143577706</v>
      </c>
      <c r="Q1565" s="43">
        <v>42.744789650417033</v>
      </c>
      <c r="R1565" s="43">
        <v>52.296372162917706</v>
      </c>
      <c r="S1565" s="43">
        <v>50.675619134555625</v>
      </c>
      <c r="T1565" s="43">
        <v>49.244157129395532</v>
      </c>
      <c r="U1565" s="43">
        <v>47.701530563316886</v>
      </c>
      <c r="V1565" s="43">
        <v>47.700953244779463</v>
      </c>
      <c r="W1565" s="43">
        <v>47.700345043835391</v>
      </c>
      <c r="X1565" s="43">
        <v>47.699606233150249</v>
      </c>
      <c r="Y1565" s="43">
        <v>47.698784018498259</v>
      </c>
      <c r="Z1565" s="43">
        <v>47.698024235913145</v>
      </c>
      <c r="AA1565" s="43">
        <v>47.69713215264818</v>
      </c>
      <c r="AB1565" s="43">
        <v>47.696305897897624</v>
      </c>
      <c r="AC1565" s="43">
        <v>47.694333121626656</v>
      </c>
      <c r="AD1565" s="43">
        <v>47.692427257113664</v>
      </c>
      <c r="AE1565" s="43">
        <v>47.690461928368428</v>
      </c>
    </row>
    <row r="1566" spans="1:31" x14ac:dyDescent="0.45">
      <c r="A1566" t="s">
        <v>2388</v>
      </c>
      <c r="B1566" t="s">
        <v>2375</v>
      </c>
      <c r="C1566" t="s">
        <v>115</v>
      </c>
      <c r="D1566">
        <v>2</v>
      </c>
      <c r="E1566" t="s">
        <v>2386</v>
      </c>
      <c r="L1566" s="43">
        <v>66.453659723176557</v>
      </c>
      <c r="M1566" s="43">
        <v>68.485475215764879</v>
      </c>
      <c r="N1566" s="43">
        <v>58.995402742046402</v>
      </c>
      <c r="O1566" s="43">
        <v>43.916716887965812</v>
      </c>
      <c r="P1566" s="43">
        <v>53.774364143577706</v>
      </c>
      <c r="Q1566" s="43">
        <v>42.744789650417033</v>
      </c>
      <c r="R1566" s="43">
        <v>52.296372162917706</v>
      </c>
      <c r="S1566" s="43">
        <v>50.675619134555625</v>
      </c>
      <c r="T1566" s="43">
        <v>49.244157129395532</v>
      </c>
      <c r="U1566" s="43">
        <v>47.701530563316886</v>
      </c>
      <c r="V1566" s="43">
        <v>47.700953244779463</v>
      </c>
      <c r="W1566" s="43">
        <v>47.700345043835391</v>
      </c>
      <c r="X1566" s="43">
        <v>47.699606233150249</v>
      </c>
      <c r="Y1566" s="43">
        <v>47.698784018498259</v>
      </c>
      <c r="Z1566" s="43">
        <v>47.698024235913145</v>
      </c>
      <c r="AA1566" s="43">
        <v>47.69713215264818</v>
      </c>
      <c r="AB1566" s="43">
        <v>47.696305897897624</v>
      </c>
      <c r="AC1566" s="43">
        <v>47.694333121626656</v>
      </c>
      <c r="AD1566" s="43">
        <v>47.692427257113664</v>
      </c>
      <c r="AE1566" s="43">
        <v>47.690461928368428</v>
      </c>
    </row>
    <row r="1567" spans="1:31" x14ac:dyDescent="0.45">
      <c r="A1567" t="s">
        <v>2389</v>
      </c>
      <c r="B1567" t="s">
        <v>2375</v>
      </c>
      <c r="C1567" t="s">
        <v>117</v>
      </c>
      <c r="D1567">
        <v>2</v>
      </c>
      <c r="E1567" t="s">
        <v>2386</v>
      </c>
      <c r="L1567" s="43">
        <v>66.453659723176557</v>
      </c>
      <c r="M1567" s="43">
        <v>68.485475215764879</v>
      </c>
      <c r="N1567" s="43">
        <v>58.995402742046402</v>
      </c>
      <c r="O1567" s="43">
        <v>43.916716887965812</v>
      </c>
      <c r="P1567" s="43">
        <v>53.774364143577706</v>
      </c>
      <c r="Q1567" s="43">
        <v>42.744789650417033</v>
      </c>
      <c r="R1567" s="43">
        <v>52.296372162917706</v>
      </c>
      <c r="S1567" s="43">
        <v>50.675619134555625</v>
      </c>
      <c r="T1567" s="43">
        <v>49.244157129395532</v>
      </c>
      <c r="U1567" s="43">
        <v>47.701530563316886</v>
      </c>
      <c r="V1567" s="43">
        <v>47.700953244779463</v>
      </c>
      <c r="W1567" s="43">
        <v>47.700345043835391</v>
      </c>
      <c r="X1567" s="43">
        <v>47.699606233150249</v>
      </c>
      <c r="Y1567" s="43">
        <v>47.698784018498259</v>
      </c>
      <c r="Z1567" s="43">
        <v>47.698024235913145</v>
      </c>
      <c r="AA1567" s="43">
        <v>47.69713215264818</v>
      </c>
      <c r="AB1567" s="43">
        <v>47.696305897897624</v>
      </c>
      <c r="AC1567" s="43">
        <v>47.694333121626656</v>
      </c>
      <c r="AD1567" s="43">
        <v>47.692427257113664</v>
      </c>
      <c r="AE1567" s="43">
        <v>47.690461928368428</v>
      </c>
    </row>
    <row r="1568" spans="1:31" x14ac:dyDescent="0.45">
      <c r="A1568" t="s">
        <v>2390</v>
      </c>
      <c r="B1568" t="s">
        <v>110</v>
      </c>
      <c r="C1568" t="s">
        <v>43</v>
      </c>
      <c r="D1568">
        <v>2</v>
      </c>
      <c r="E1568" t="s">
        <v>2391</v>
      </c>
      <c r="L1568" s="43">
        <v>1901.7140738122609</v>
      </c>
      <c r="M1568" s="43">
        <v>1621.2301769893743</v>
      </c>
      <c r="N1568" s="43">
        <v>1820.8469202303741</v>
      </c>
      <c r="O1568" s="43">
        <v>1904.3670376253485</v>
      </c>
      <c r="P1568" s="43">
        <v>1961.702021253242</v>
      </c>
      <c r="Q1568" s="43">
        <v>2038.9739202925941</v>
      </c>
      <c r="R1568" s="43">
        <v>1847.3650852128353</v>
      </c>
      <c r="S1568" s="43">
        <v>1927.6967656346794</v>
      </c>
      <c r="T1568" s="43">
        <v>2003.6478535386466</v>
      </c>
      <c r="U1568" s="43">
        <v>2080.420807425895</v>
      </c>
      <c r="V1568" s="43">
        <v>2158.1017458230463</v>
      </c>
      <c r="W1568" s="43">
        <v>2238.4314308137432</v>
      </c>
      <c r="X1568" s="43">
        <v>2322.0852782283118</v>
      </c>
      <c r="Y1568" s="43">
        <v>2409.9601076918048</v>
      </c>
      <c r="Z1568" s="43">
        <v>2503.4273650546652</v>
      </c>
      <c r="AA1568" s="43">
        <v>2603.380841256117</v>
      </c>
      <c r="AB1568" s="43">
        <v>2710.5421417180701</v>
      </c>
      <c r="AC1568" s="43">
        <v>2825.0739330466899</v>
      </c>
      <c r="AD1568" s="43">
        <v>2947.1310655860725</v>
      </c>
      <c r="AE1568" s="43">
        <v>3076.9518919077177</v>
      </c>
    </row>
    <row r="1569" spans="1:31" x14ac:dyDescent="0.45">
      <c r="A1569" t="s">
        <v>2392</v>
      </c>
      <c r="B1569" t="s">
        <v>110</v>
      </c>
      <c r="C1569" t="s">
        <v>113</v>
      </c>
      <c r="D1569">
        <v>2</v>
      </c>
      <c r="E1569" t="s">
        <v>2391</v>
      </c>
      <c r="L1569" s="43">
        <v>3210.4467592248702</v>
      </c>
      <c r="M1569" s="43">
        <v>2690.3404093921163</v>
      </c>
      <c r="N1569" s="43">
        <v>3047.5360888007326</v>
      </c>
      <c r="O1569" s="43">
        <v>3240.6928223889822</v>
      </c>
      <c r="P1569" s="43">
        <v>3273.2119677539522</v>
      </c>
      <c r="Q1569" s="43">
        <v>3368.228907853118</v>
      </c>
      <c r="R1569" s="43">
        <v>3064.6631828354202</v>
      </c>
      <c r="S1569" s="43">
        <v>3177.4158490906384</v>
      </c>
      <c r="T1569" s="43">
        <v>3284.1252951076308</v>
      </c>
      <c r="U1569" s="43">
        <v>3391.5167507993629</v>
      </c>
      <c r="V1569" s="43">
        <v>3495.4443719317869</v>
      </c>
      <c r="W1569" s="43">
        <v>3602.4640735657167</v>
      </c>
      <c r="X1569" s="43">
        <v>3713.4594095241946</v>
      </c>
      <c r="Y1569" s="43">
        <v>3829.5951733815596</v>
      </c>
      <c r="Z1569" s="43">
        <v>3952.6477392689649</v>
      </c>
      <c r="AA1569" s="43">
        <v>4083.733553983021</v>
      </c>
      <c r="AB1569" s="43">
        <v>4223.7247296458527</v>
      </c>
      <c r="AC1569" s="43">
        <v>4372.7475422680927</v>
      </c>
      <c r="AD1569" s="43">
        <v>4530.9176443081178</v>
      </c>
      <c r="AE1569" s="43">
        <v>4698.4592756394795</v>
      </c>
    </row>
    <row r="1570" spans="1:31" x14ac:dyDescent="0.45">
      <c r="A1570" t="s">
        <v>2393</v>
      </c>
      <c r="B1570" t="s">
        <v>110</v>
      </c>
      <c r="C1570" t="s">
        <v>115</v>
      </c>
      <c r="D1570">
        <v>2</v>
      </c>
      <c r="E1570" t="s">
        <v>2391</v>
      </c>
      <c r="L1570" s="43">
        <v>0</v>
      </c>
      <c r="M1570" s="43">
        <v>0</v>
      </c>
      <c r="N1570" s="43">
        <v>0</v>
      </c>
      <c r="O1570" s="43">
        <v>0</v>
      </c>
      <c r="P1570" s="43">
        <v>0</v>
      </c>
      <c r="Q1570" s="43">
        <v>0</v>
      </c>
      <c r="R1570" s="43">
        <v>0</v>
      </c>
      <c r="S1570" s="43">
        <v>0</v>
      </c>
      <c r="T1570" s="43">
        <v>0</v>
      </c>
      <c r="U1570" s="43">
        <v>0</v>
      </c>
      <c r="V1570" s="43">
        <v>0</v>
      </c>
      <c r="W1570" s="43">
        <v>0</v>
      </c>
      <c r="X1570" s="43">
        <v>0</v>
      </c>
      <c r="Y1570" s="43">
        <v>0</v>
      </c>
      <c r="Z1570" s="43">
        <v>0</v>
      </c>
      <c r="AA1570" s="43">
        <v>0</v>
      </c>
      <c r="AB1570" s="43">
        <v>0</v>
      </c>
      <c r="AC1570" s="43">
        <v>0</v>
      </c>
      <c r="AD1570" s="43">
        <v>0</v>
      </c>
      <c r="AE1570" s="43">
        <v>0</v>
      </c>
    </row>
    <row r="1571" spans="1:31" x14ac:dyDescent="0.45">
      <c r="A1571" t="s">
        <v>2394</v>
      </c>
      <c r="B1571" t="s">
        <v>110</v>
      </c>
      <c r="C1571" t="s">
        <v>117</v>
      </c>
      <c r="D1571">
        <v>2</v>
      </c>
      <c r="E1571" t="s">
        <v>2391</v>
      </c>
      <c r="L1571" s="43">
        <v>0</v>
      </c>
      <c r="M1571" s="43">
        <v>0</v>
      </c>
      <c r="N1571" s="43">
        <v>0</v>
      </c>
      <c r="O1571" s="43">
        <v>0</v>
      </c>
      <c r="P1571" s="43">
        <v>0</v>
      </c>
      <c r="Q1571" s="43">
        <v>0</v>
      </c>
      <c r="R1571" s="43">
        <v>0</v>
      </c>
      <c r="S1571" s="43">
        <v>0</v>
      </c>
      <c r="T1571" s="43">
        <v>0</v>
      </c>
      <c r="U1571" s="43">
        <v>0</v>
      </c>
      <c r="V1571" s="43">
        <v>0</v>
      </c>
      <c r="W1571" s="43">
        <v>0</v>
      </c>
      <c r="X1571" s="43">
        <v>0</v>
      </c>
      <c r="Y1571" s="43">
        <v>0</v>
      </c>
      <c r="Z1571" s="43">
        <v>0</v>
      </c>
      <c r="AA1571" s="43">
        <v>0</v>
      </c>
      <c r="AB1571" s="43">
        <v>0</v>
      </c>
      <c r="AC1571" s="43">
        <v>0</v>
      </c>
      <c r="AD1571" s="43">
        <v>0</v>
      </c>
      <c r="AE1571" s="43">
        <v>0</v>
      </c>
    </row>
    <row r="1572" spans="1:31" x14ac:dyDescent="0.45">
      <c r="A1572" t="s">
        <v>2395</v>
      </c>
      <c r="B1572" t="s">
        <v>2375</v>
      </c>
      <c r="C1572" t="s">
        <v>43</v>
      </c>
      <c r="D1572">
        <v>2</v>
      </c>
      <c r="E1572" t="s">
        <v>2396</v>
      </c>
      <c r="L1572" s="43">
        <v>66.453659723176557</v>
      </c>
      <c r="M1572" s="43">
        <v>68.485475215764879</v>
      </c>
      <c r="N1572" s="43">
        <v>58.995402742046402</v>
      </c>
      <c r="O1572" s="43">
        <v>43.916716887965812</v>
      </c>
      <c r="P1572" s="43">
        <v>53.774364143577706</v>
      </c>
      <c r="Q1572" s="43">
        <v>42.744789650417033</v>
      </c>
      <c r="R1572" s="43">
        <v>52.296372162917706</v>
      </c>
      <c r="S1572" s="43">
        <v>50.675619134555625</v>
      </c>
      <c r="T1572" s="43">
        <v>49.244157129395532</v>
      </c>
      <c r="U1572" s="43">
        <v>47.701530563316886</v>
      </c>
      <c r="V1572" s="43">
        <v>47.700953244779463</v>
      </c>
      <c r="W1572" s="43">
        <v>47.700345043835391</v>
      </c>
      <c r="X1572" s="43">
        <v>47.699606233150249</v>
      </c>
      <c r="Y1572" s="43">
        <v>47.698784018498259</v>
      </c>
      <c r="Z1572" s="43">
        <v>47.698024235913145</v>
      </c>
      <c r="AA1572" s="43">
        <v>47.69713215264818</v>
      </c>
      <c r="AB1572" s="43">
        <v>47.696305897897624</v>
      </c>
      <c r="AC1572" s="43">
        <v>47.694333121626656</v>
      </c>
      <c r="AD1572" s="43">
        <v>47.692427257113664</v>
      </c>
      <c r="AE1572" s="43">
        <v>47.690461928368428</v>
      </c>
    </row>
    <row r="1573" spans="1:31" x14ac:dyDescent="0.45">
      <c r="A1573" t="s">
        <v>2397</v>
      </c>
      <c r="B1573" t="s">
        <v>2375</v>
      </c>
      <c r="C1573" t="s">
        <v>113</v>
      </c>
      <c r="D1573">
        <v>2</v>
      </c>
      <c r="E1573" t="s">
        <v>2396</v>
      </c>
      <c r="L1573" s="43">
        <v>66.453659723176557</v>
      </c>
      <c r="M1573" s="43">
        <v>68.485475215764879</v>
      </c>
      <c r="N1573" s="43">
        <v>58.995402742046402</v>
      </c>
      <c r="O1573" s="43">
        <v>43.916716887965812</v>
      </c>
      <c r="P1573" s="43">
        <v>53.774364143577706</v>
      </c>
      <c r="Q1573" s="43">
        <v>42.744789650417033</v>
      </c>
      <c r="R1573" s="43">
        <v>52.296372162917706</v>
      </c>
      <c r="S1573" s="43">
        <v>50.675619134555625</v>
      </c>
      <c r="T1573" s="43">
        <v>49.244157129395532</v>
      </c>
      <c r="U1573" s="43">
        <v>47.701530563316886</v>
      </c>
      <c r="V1573" s="43">
        <v>47.700953244779463</v>
      </c>
      <c r="W1573" s="43">
        <v>47.700345043835391</v>
      </c>
      <c r="X1573" s="43">
        <v>47.699606233150249</v>
      </c>
      <c r="Y1573" s="43">
        <v>47.698784018498259</v>
      </c>
      <c r="Z1573" s="43">
        <v>47.698024235913145</v>
      </c>
      <c r="AA1573" s="43">
        <v>47.69713215264818</v>
      </c>
      <c r="AB1573" s="43">
        <v>47.696305897897624</v>
      </c>
      <c r="AC1573" s="43">
        <v>47.694333121626656</v>
      </c>
      <c r="AD1573" s="43">
        <v>47.692427257113664</v>
      </c>
      <c r="AE1573" s="43">
        <v>47.690461928368428</v>
      </c>
    </row>
    <row r="1574" spans="1:31" x14ac:dyDescent="0.45">
      <c r="A1574" t="s">
        <v>2398</v>
      </c>
      <c r="B1574" t="s">
        <v>2375</v>
      </c>
      <c r="C1574" t="s">
        <v>115</v>
      </c>
      <c r="D1574">
        <v>2</v>
      </c>
      <c r="E1574" t="s">
        <v>2396</v>
      </c>
      <c r="L1574" s="43">
        <v>66.453659723176557</v>
      </c>
      <c r="M1574" s="43">
        <v>68.485475215764879</v>
      </c>
      <c r="N1574" s="43">
        <v>58.995402742046402</v>
      </c>
      <c r="O1574" s="43">
        <v>43.916716887965812</v>
      </c>
      <c r="P1574" s="43">
        <v>53.774364143577706</v>
      </c>
      <c r="Q1574" s="43">
        <v>42.744789650417033</v>
      </c>
      <c r="R1574" s="43">
        <v>52.296372162917706</v>
      </c>
      <c r="S1574" s="43">
        <v>50.675619134555625</v>
      </c>
      <c r="T1574" s="43">
        <v>49.244157129395532</v>
      </c>
      <c r="U1574" s="43">
        <v>47.701530563316886</v>
      </c>
      <c r="V1574" s="43">
        <v>47.700953244779463</v>
      </c>
      <c r="W1574" s="43">
        <v>47.700345043835391</v>
      </c>
      <c r="X1574" s="43">
        <v>47.699606233150249</v>
      </c>
      <c r="Y1574" s="43">
        <v>47.698784018498259</v>
      </c>
      <c r="Z1574" s="43">
        <v>47.698024235913145</v>
      </c>
      <c r="AA1574" s="43">
        <v>47.69713215264818</v>
      </c>
      <c r="AB1574" s="43">
        <v>47.696305897897624</v>
      </c>
      <c r="AC1574" s="43">
        <v>47.694333121626656</v>
      </c>
      <c r="AD1574" s="43">
        <v>47.692427257113664</v>
      </c>
      <c r="AE1574" s="43">
        <v>47.690461928368428</v>
      </c>
    </row>
    <row r="1575" spans="1:31" x14ac:dyDescent="0.45">
      <c r="A1575" t="s">
        <v>2399</v>
      </c>
      <c r="B1575" t="s">
        <v>2375</v>
      </c>
      <c r="C1575" t="s">
        <v>117</v>
      </c>
      <c r="D1575">
        <v>2</v>
      </c>
      <c r="E1575" t="s">
        <v>2396</v>
      </c>
      <c r="L1575" s="43">
        <v>66.453659723176557</v>
      </c>
      <c r="M1575" s="43">
        <v>68.485475215764879</v>
      </c>
      <c r="N1575" s="43">
        <v>58.995402742046402</v>
      </c>
      <c r="O1575" s="43">
        <v>43.916716887965812</v>
      </c>
      <c r="P1575" s="43">
        <v>53.774364143577706</v>
      </c>
      <c r="Q1575" s="43">
        <v>42.744789650417033</v>
      </c>
      <c r="R1575" s="43">
        <v>52.296372162917706</v>
      </c>
      <c r="S1575" s="43">
        <v>50.675619134555625</v>
      </c>
      <c r="T1575" s="43">
        <v>49.244157129395532</v>
      </c>
      <c r="U1575" s="43">
        <v>47.701530563316886</v>
      </c>
      <c r="V1575" s="43">
        <v>47.700953244779463</v>
      </c>
      <c r="W1575" s="43">
        <v>47.700345043835391</v>
      </c>
      <c r="X1575" s="43">
        <v>47.699606233150249</v>
      </c>
      <c r="Y1575" s="43">
        <v>47.698784018498259</v>
      </c>
      <c r="Z1575" s="43">
        <v>47.698024235913145</v>
      </c>
      <c r="AA1575" s="43">
        <v>47.69713215264818</v>
      </c>
      <c r="AB1575" s="43">
        <v>47.696305897897624</v>
      </c>
      <c r="AC1575" s="43">
        <v>47.694333121626656</v>
      </c>
      <c r="AD1575" s="43">
        <v>47.692427257113664</v>
      </c>
      <c r="AE1575" s="43">
        <v>47.690461928368428</v>
      </c>
    </row>
    <row r="1576" spans="1:31" x14ac:dyDescent="0.45">
      <c r="A1576" t="s">
        <v>2400</v>
      </c>
      <c r="B1576" t="s">
        <v>110</v>
      </c>
      <c r="C1576" t="s">
        <v>43</v>
      </c>
      <c r="D1576">
        <v>2</v>
      </c>
      <c r="E1576" t="s">
        <v>2401</v>
      </c>
      <c r="L1576" s="43">
        <v>1901.7140738122609</v>
      </c>
      <c r="M1576" s="43">
        <v>1621.2301769893743</v>
      </c>
      <c r="N1576" s="43">
        <v>1820.8469202303741</v>
      </c>
      <c r="O1576" s="43">
        <v>1904.3670376253485</v>
      </c>
      <c r="P1576" s="43">
        <v>1961.702021253242</v>
      </c>
      <c r="Q1576" s="43">
        <v>2038.9739202925941</v>
      </c>
      <c r="R1576" s="43">
        <v>1847.3650852128353</v>
      </c>
      <c r="S1576" s="43">
        <v>1927.6967656346794</v>
      </c>
      <c r="T1576" s="43">
        <v>2003.6478535386466</v>
      </c>
      <c r="U1576" s="43">
        <v>2080.420807425895</v>
      </c>
      <c r="V1576" s="43">
        <v>2158.1017458230463</v>
      </c>
      <c r="W1576" s="43">
        <v>2238.4314308137432</v>
      </c>
      <c r="X1576" s="43">
        <v>2322.0852782283118</v>
      </c>
      <c r="Y1576" s="43">
        <v>2409.9601076918048</v>
      </c>
      <c r="Z1576" s="43">
        <v>2503.4273650546652</v>
      </c>
      <c r="AA1576" s="43">
        <v>2603.380841256117</v>
      </c>
      <c r="AB1576" s="43">
        <v>2710.5421417180701</v>
      </c>
      <c r="AC1576" s="43">
        <v>2825.0739330466899</v>
      </c>
      <c r="AD1576" s="43">
        <v>2947.1310655860725</v>
      </c>
      <c r="AE1576" s="43">
        <v>3076.9518919077177</v>
      </c>
    </row>
    <row r="1577" spans="1:31" x14ac:dyDescent="0.45">
      <c r="A1577" t="s">
        <v>2402</v>
      </c>
      <c r="B1577" t="s">
        <v>110</v>
      </c>
      <c r="C1577" t="s">
        <v>113</v>
      </c>
      <c r="D1577">
        <v>2</v>
      </c>
      <c r="E1577" t="s">
        <v>2401</v>
      </c>
      <c r="L1577" s="43">
        <v>3210.4467592248702</v>
      </c>
      <c r="M1577" s="43">
        <v>2690.3404093921163</v>
      </c>
      <c r="N1577" s="43">
        <v>3047.5360888007326</v>
      </c>
      <c r="O1577" s="43">
        <v>3240.6928223889822</v>
      </c>
      <c r="P1577" s="43">
        <v>3273.2119677539522</v>
      </c>
      <c r="Q1577" s="43">
        <v>3368.228907853118</v>
      </c>
      <c r="R1577" s="43">
        <v>3064.6631828354202</v>
      </c>
      <c r="S1577" s="43">
        <v>3177.4158490906384</v>
      </c>
      <c r="T1577" s="43">
        <v>3284.1252951076308</v>
      </c>
      <c r="U1577" s="43">
        <v>3391.5167507993629</v>
      </c>
      <c r="V1577" s="43">
        <v>3495.4443719317869</v>
      </c>
      <c r="W1577" s="43">
        <v>3602.4640735657167</v>
      </c>
      <c r="X1577" s="43">
        <v>3713.4594095241946</v>
      </c>
      <c r="Y1577" s="43">
        <v>3829.5951733815596</v>
      </c>
      <c r="Z1577" s="43">
        <v>3952.6477392689649</v>
      </c>
      <c r="AA1577" s="43">
        <v>4083.733553983021</v>
      </c>
      <c r="AB1577" s="43">
        <v>4223.7247296458527</v>
      </c>
      <c r="AC1577" s="43">
        <v>4372.7475422680927</v>
      </c>
      <c r="AD1577" s="43">
        <v>4530.9176443081178</v>
      </c>
      <c r="AE1577" s="43">
        <v>4698.4592756394795</v>
      </c>
    </row>
    <row r="1578" spans="1:31" x14ac:dyDescent="0.45">
      <c r="A1578" t="s">
        <v>2403</v>
      </c>
      <c r="B1578" t="s">
        <v>110</v>
      </c>
      <c r="C1578" t="s">
        <v>115</v>
      </c>
      <c r="D1578">
        <v>2</v>
      </c>
      <c r="E1578" t="s">
        <v>2401</v>
      </c>
      <c r="L1578" s="43">
        <v>0</v>
      </c>
      <c r="M1578" s="43">
        <v>0</v>
      </c>
      <c r="N1578" s="43">
        <v>0</v>
      </c>
      <c r="O1578" s="43">
        <v>0</v>
      </c>
      <c r="P1578" s="43">
        <v>0</v>
      </c>
      <c r="Q1578" s="43">
        <v>0</v>
      </c>
      <c r="R1578" s="43">
        <v>0</v>
      </c>
      <c r="S1578" s="43">
        <v>0</v>
      </c>
      <c r="T1578" s="43">
        <v>0</v>
      </c>
      <c r="U1578" s="43">
        <v>0</v>
      </c>
      <c r="V1578" s="43">
        <v>0</v>
      </c>
      <c r="W1578" s="43">
        <v>0</v>
      </c>
      <c r="X1578" s="43">
        <v>0</v>
      </c>
      <c r="Y1578" s="43">
        <v>0</v>
      </c>
      <c r="Z1578" s="43">
        <v>0</v>
      </c>
      <c r="AA1578" s="43">
        <v>0</v>
      </c>
      <c r="AB1578" s="43">
        <v>0</v>
      </c>
      <c r="AC1578" s="43">
        <v>0</v>
      </c>
      <c r="AD1578" s="43">
        <v>0</v>
      </c>
      <c r="AE1578" s="43">
        <v>0</v>
      </c>
    </row>
    <row r="1579" spans="1:31" x14ac:dyDescent="0.45">
      <c r="A1579" t="s">
        <v>2404</v>
      </c>
      <c r="B1579" t="s">
        <v>110</v>
      </c>
      <c r="C1579" t="s">
        <v>117</v>
      </c>
      <c r="D1579">
        <v>2</v>
      </c>
      <c r="E1579" t="s">
        <v>2401</v>
      </c>
      <c r="L1579" s="43">
        <v>0</v>
      </c>
      <c r="M1579" s="43">
        <v>0</v>
      </c>
      <c r="N1579" s="43">
        <v>0</v>
      </c>
      <c r="O1579" s="43">
        <v>0</v>
      </c>
      <c r="P1579" s="43">
        <v>0</v>
      </c>
      <c r="Q1579" s="43">
        <v>0</v>
      </c>
      <c r="R1579" s="43">
        <v>0</v>
      </c>
      <c r="S1579" s="43">
        <v>0</v>
      </c>
      <c r="T1579" s="43">
        <v>0</v>
      </c>
      <c r="U1579" s="43">
        <v>0</v>
      </c>
      <c r="V1579" s="43">
        <v>0</v>
      </c>
      <c r="W1579" s="43">
        <v>0</v>
      </c>
      <c r="X1579" s="43">
        <v>0</v>
      </c>
      <c r="Y1579" s="43">
        <v>0</v>
      </c>
      <c r="Z1579" s="43">
        <v>0</v>
      </c>
      <c r="AA1579" s="43">
        <v>0</v>
      </c>
      <c r="AB1579" s="43">
        <v>0</v>
      </c>
      <c r="AC1579" s="43">
        <v>0</v>
      </c>
      <c r="AD1579" s="43">
        <v>0</v>
      </c>
      <c r="AE1579" s="43">
        <v>0</v>
      </c>
    </row>
    <row r="1580" spans="1:31" x14ac:dyDescent="0.45">
      <c r="A1580" t="s">
        <v>2405</v>
      </c>
      <c r="B1580" t="s">
        <v>2375</v>
      </c>
      <c r="C1580" t="s">
        <v>43</v>
      </c>
      <c r="D1580">
        <v>2</v>
      </c>
      <c r="E1580" t="s">
        <v>2406</v>
      </c>
      <c r="L1580" s="43">
        <v>66.453659723176557</v>
      </c>
      <c r="M1580" s="43">
        <v>68.485475215764879</v>
      </c>
      <c r="N1580" s="43">
        <v>58.995402742046402</v>
      </c>
      <c r="O1580" s="43">
        <v>43.916716887965812</v>
      </c>
      <c r="P1580" s="43">
        <v>53.774364143577706</v>
      </c>
      <c r="Q1580" s="43">
        <v>42.744789650417033</v>
      </c>
      <c r="R1580" s="43">
        <v>52.296372162917706</v>
      </c>
      <c r="S1580" s="43">
        <v>50.675619134555625</v>
      </c>
      <c r="T1580" s="43">
        <v>49.244157129395532</v>
      </c>
      <c r="U1580" s="43">
        <v>47.701530563316886</v>
      </c>
      <c r="V1580" s="43">
        <v>47.700953244779463</v>
      </c>
      <c r="W1580" s="43">
        <v>47.700345043835391</v>
      </c>
      <c r="X1580" s="43">
        <v>47.699606233150249</v>
      </c>
      <c r="Y1580" s="43">
        <v>47.698784018498259</v>
      </c>
      <c r="Z1580" s="43">
        <v>47.698024235913145</v>
      </c>
      <c r="AA1580" s="43">
        <v>47.69713215264818</v>
      </c>
      <c r="AB1580" s="43">
        <v>47.696305897897624</v>
      </c>
      <c r="AC1580" s="43">
        <v>47.694333121626656</v>
      </c>
      <c r="AD1580" s="43">
        <v>47.692427257113664</v>
      </c>
      <c r="AE1580" s="43">
        <v>47.690461928368428</v>
      </c>
    </row>
    <row r="1581" spans="1:31" x14ac:dyDescent="0.45">
      <c r="A1581" t="s">
        <v>2407</v>
      </c>
      <c r="B1581" t="s">
        <v>2375</v>
      </c>
      <c r="C1581" t="s">
        <v>113</v>
      </c>
      <c r="D1581">
        <v>2</v>
      </c>
      <c r="E1581" t="s">
        <v>2406</v>
      </c>
      <c r="L1581" s="43">
        <v>66.453659723176557</v>
      </c>
      <c r="M1581" s="43">
        <v>68.485475215764879</v>
      </c>
      <c r="N1581" s="43">
        <v>58.995402742046402</v>
      </c>
      <c r="O1581" s="43">
        <v>43.916716887965812</v>
      </c>
      <c r="P1581" s="43">
        <v>53.774364143577706</v>
      </c>
      <c r="Q1581" s="43">
        <v>42.744789650417033</v>
      </c>
      <c r="R1581" s="43">
        <v>52.296372162917706</v>
      </c>
      <c r="S1581" s="43">
        <v>50.675619134555625</v>
      </c>
      <c r="T1581" s="43">
        <v>49.244157129395532</v>
      </c>
      <c r="U1581" s="43">
        <v>47.701530563316886</v>
      </c>
      <c r="V1581" s="43">
        <v>47.700953244779463</v>
      </c>
      <c r="W1581" s="43">
        <v>47.700345043835391</v>
      </c>
      <c r="X1581" s="43">
        <v>47.699606233150249</v>
      </c>
      <c r="Y1581" s="43">
        <v>47.698784018498259</v>
      </c>
      <c r="Z1581" s="43">
        <v>47.698024235913145</v>
      </c>
      <c r="AA1581" s="43">
        <v>47.69713215264818</v>
      </c>
      <c r="AB1581" s="43">
        <v>47.696305897897624</v>
      </c>
      <c r="AC1581" s="43">
        <v>47.694333121626656</v>
      </c>
      <c r="AD1581" s="43">
        <v>47.692427257113664</v>
      </c>
      <c r="AE1581" s="43">
        <v>47.690461928368428</v>
      </c>
    </row>
    <row r="1582" spans="1:31" x14ac:dyDescent="0.45">
      <c r="A1582" t="s">
        <v>2408</v>
      </c>
      <c r="B1582" t="s">
        <v>2375</v>
      </c>
      <c r="C1582" t="s">
        <v>115</v>
      </c>
      <c r="D1582">
        <v>2</v>
      </c>
      <c r="E1582" t="s">
        <v>2406</v>
      </c>
      <c r="L1582" s="43">
        <v>66.453659723176557</v>
      </c>
      <c r="M1582" s="43">
        <v>68.485475215764879</v>
      </c>
      <c r="N1582" s="43">
        <v>58.995402742046402</v>
      </c>
      <c r="O1582" s="43">
        <v>43.916716887965812</v>
      </c>
      <c r="P1582" s="43">
        <v>53.774364143577706</v>
      </c>
      <c r="Q1582" s="43">
        <v>42.744789650417033</v>
      </c>
      <c r="R1582" s="43">
        <v>52.296372162917706</v>
      </c>
      <c r="S1582" s="43">
        <v>50.675619134555625</v>
      </c>
      <c r="T1582" s="43">
        <v>49.244157129395532</v>
      </c>
      <c r="U1582" s="43">
        <v>47.701530563316886</v>
      </c>
      <c r="V1582" s="43">
        <v>47.700953244779463</v>
      </c>
      <c r="W1582" s="43">
        <v>47.700345043835391</v>
      </c>
      <c r="X1582" s="43">
        <v>47.699606233150249</v>
      </c>
      <c r="Y1582" s="43">
        <v>47.698784018498259</v>
      </c>
      <c r="Z1582" s="43">
        <v>47.698024235913145</v>
      </c>
      <c r="AA1582" s="43">
        <v>47.69713215264818</v>
      </c>
      <c r="AB1582" s="43">
        <v>47.696305897897624</v>
      </c>
      <c r="AC1582" s="43">
        <v>47.694333121626656</v>
      </c>
      <c r="AD1582" s="43">
        <v>47.692427257113664</v>
      </c>
      <c r="AE1582" s="43">
        <v>47.690461928368428</v>
      </c>
    </row>
    <row r="1583" spans="1:31" x14ac:dyDescent="0.45">
      <c r="A1583" t="s">
        <v>2409</v>
      </c>
      <c r="B1583" t="s">
        <v>2375</v>
      </c>
      <c r="C1583" t="s">
        <v>117</v>
      </c>
      <c r="D1583">
        <v>2</v>
      </c>
      <c r="E1583" t="s">
        <v>2406</v>
      </c>
      <c r="L1583" s="43">
        <v>66.453659723176557</v>
      </c>
      <c r="M1583" s="43">
        <v>68.485475215764879</v>
      </c>
      <c r="N1583" s="43">
        <v>58.995402742046402</v>
      </c>
      <c r="O1583" s="43">
        <v>43.916716887965812</v>
      </c>
      <c r="P1583" s="43">
        <v>53.774364143577706</v>
      </c>
      <c r="Q1583" s="43">
        <v>42.744789650417033</v>
      </c>
      <c r="R1583" s="43">
        <v>52.296372162917706</v>
      </c>
      <c r="S1583" s="43">
        <v>50.675619134555625</v>
      </c>
      <c r="T1583" s="43">
        <v>49.244157129395532</v>
      </c>
      <c r="U1583" s="43">
        <v>47.701530563316886</v>
      </c>
      <c r="V1583" s="43">
        <v>47.700953244779463</v>
      </c>
      <c r="W1583" s="43">
        <v>47.700345043835391</v>
      </c>
      <c r="X1583" s="43">
        <v>47.699606233150249</v>
      </c>
      <c r="Y1583" s="43">
        <v>47.698784018498259</v>
      </c>
      <c r="Z1583" s="43">
        <v>47.698024235913145</v>
      </c>
      <c r="AA1583" s="43">
        <v>47.69713215264818</v>
      </c>
      <c r="AB1583" s="43">
        <v>47.696305897897624</v>
      </c>
      <c r="AC1583" s="43">
        <v>47.694333121626656</v>
      </c>
      <c r="AD1583" s="43">
        <v>47.692427257113664</v>
      </c>
      <c r="AE1583" s="43">
        <v>47.690461928368428</v>
      </c>
    </row>
    <row r="1584" spans="1:31" x14ac:dyDescent="0.45">
      <c r="A1584" t="s">
        <v>2410</v>
      </c>
      <c r="B1584" t="s">
        <v>110</v>
      </c>
      <c r="C1584" t="s">
        <v>43</v>
      </c>
      <c r="D1584">
        <v>2</v>
      </c>
      <c r="E1584" t="s">
        <v>2411</v>
      </c>
      <c r="L1584" s="43">
        <v>1901.7140738122609</v>
      </c>
      <c r="M1584" s="43">
        <v>1621.2301769893743</v>
      </c>
      <c r="N1584" s="43">
        <v>1820.8469202303741</v>
      </c>
      <c r="O1584" s="43">
        <v>1904.3670376253485</v>
      </c>
      <c r="P1584" s="43">
        <v>1961.702021253242</v>
      </c>
      <c r="Q1584" s="43">
        <v>2038.9739202925941</v>
      </c>
      <c r="R1584" s="43">
        <v>2053.7524223291048</v>
      </c>
      <c r="S1584" s="43">
        <v>2028.7258545687616</v>
      </c>
      <c r="T1584" s="43">
        <v>2003.6478535386473</v>
      </c>
      <c r="U1584" s="43">
        <v>1983.2706278023495</v>
      </c>
      <c r="V1584" s="43">
        <v>1966.960491119863</v>
      </c>
      <c r="W1584" s="43">
        <v>1955.5819635673633</v>
      </c>
      <c r="X1584" s="43">
        <v>1949.000028543926</v>
      </c>
      <c r="Y1584" s="43">
        <v>1947.3059514210311</v>
      </c>
      <c r="Z1584" s="43">
        <v>1950.9693766450584</v>
      </c>
      <c r="AA1584" s="43">
        <v>1960.0564283126205</v>
      </c>
      <c r="AB1584" s="43">
        <v>1974.5170929136352</v>
      </c>
      <c r="AC1584" s="43">
        <v>1993.9297991003125</v>
      </c>
      <c r="AD1584" s="43">
        <v>2017.9315635538314</v>
      </c>
      <c r="AE1584" s="43">
        <v>2046.2675129889969</v>
      </c>
    </row>
    <row r="1585" spans="1:31" x14ac:dyDescent="0.45">
      <c r="A1585" t="s">
        <v>2412</v>
      </c>
      <c r="B1585" t="s">
        <v>110</v>
      </c>
      <c r="C1585" t="s">
        <v>113</v>
      </c>
      <c r="D1585">
        <v>2</v>
      </c>
      <c r="E1585" t="s">
        <v>2411</v>
      </c>
      <c r="L1585" s="43">
        <v>3210.4467592248702</v>
      </c>
      <c r="M1585" s="43">
        <v>2690.3404093921163</v>
      </c>
      <c r="N1585" s="43">
        <v>3047.5360888007326</v>
      </c>
      <c r="O1585" s="43">
        <v>3240.6928223889822</v>
      </c>
      <c r="P1585" s="43">
        <v>3273.2119677539522</v>
      </c>
      <c r="Q1585" s="43">
        <v>3368.228907853118</v>
      </c>
      <c r="R1585" s="43">
        <v>3379.4779585853985</v>
      </c>
      <c r="S1585" s="43">
        <v>3331.2392751518291</v>
      </c>
      <c r="T1585" s="43">
        <v>3284.1252951076317</v>
      </c>
      <c r="U1585" s="43">
        <v>3244.0426318203517</v>
      </c>
      <c r="V1585" s="43">
        <v>3206.5962688425279</v>
      </c>
      <c r="W1585" s="43">
        <v>3176.9586228001854</v>
      </c>
      <c r="X1585" s="43">
        <v>3154.7672508666237</v>
      </c>
      <c r="Y1585" s="43">
        <v>3139.9898420802028</v>
      </c>
      <c r="Z1585" s="43">
        <v>3133.1186800267096</v>
      </c>
      <c r="AA1585" s="43">
        <v>3134.112488762697</v>
      </c>
      <c r="AB1585" s="43">
        <v>3142.7839499983083</v>
      </c>
      <c r="AC1585" s="43">
        <v>3158.4600343757443</v>
      </c>
      <c r="AD1585" s="43">
        <v>3180.5588326837142</v>
      </c>
      <c r="AE1585" s="43">
        <v>3208.6530755839376</v>
      </c>
    </row>
    <row r="1586" spans="1:31" x14ac:dyDescent="0.45">
      <c r="A1586" t="s">
        <v>2413</v>
      </c>
      <c r="B1586" t="s">
        <v>110</v>
      </c>
      <c r="C1586" t="s">
        <v>115</v>
      </c>
      <c r="D1586">
        <v>2</v>
      </c>
      <c r="E1586" t="s">
        <v>2411</v>
      </c>
      <c r="L1586" s="43">
        <v>0</v>
      </c>
      <c r="M1586" s="43">
        <v>0</v>
      </c>
      <c r="N1586" s="43">
        <v>0</v>
      </c>
      <c r="O1586" s="43">
        <v>0</v>
      </c>
      <c r="P1586" s="43">
        <v>0</v>
      </c>
      <c r="Q1586" s="43">
        <v>0</v>
      </c>
      <c r="R1586" s="43">
        <v>0</v>
      </c>
      <c r="S1586" s="43">
        <v>0</v>
      </c>
      <c r="T1586" s="43">
        <v>0</v>
      </c>
      <c r="U1586" s="43">
        <v>0</v>
      </c>
      <c r="V1586" s="43">
        <v>0</v>
      </c>
      <c r="W1586" s="43">
        <v>0</v>
      </c>
      <c r="X1586" s="43">
        <v>0</v>
      </c>
      <c r="Y1586" s="43">
        <v>0</v>
      </c>
      <c r="Z1586" s="43">
        <v>0</v>
      </c>
      <c r="AA1586" s="43">
        <v>0</v>
      </c>
      <c r="AB1586" s="43">
        <v>0</v>
      </c>
      <c r="AC1586" s="43">
        <v>0</v>
      </c>
      <c r="AD1586" s="43">
        <v>0</v>
      </c>
      <c r="AE1586" s="43">
        <v>0</v>
      </c>
    </row>
    <row r="1587" spans="1:31" x14ac:dyDescent="0.45">
      <c r="A1587" t="s">
        <v>2414</v>
      </c>
      <c r="B1587" t="s">
        <v>110</v>
      </c>
      <c r="C1587" t="s">
        <v>117</v>
      </c>
      <c r="D1587">
        <v>2</v>
      </c>
      <c r="E1587" t="s">
        <v>2411</v>
      </c>
      <c r="L1587" s="43">
        <v>0</v>
      </c>
      <c r="M1587" s="43">
        <v>0</v>
      </c>
      <c r="N1587" s="43">
        <v>0</v>
      </c>
      <c r="O1587" s="43">
        <v>0</v>
      </c>
      <c r="P1587" s="43">
        <v>0</v>
      </c>
      <c r="Q1587" s="43">
        <v>0</v>
      </c>
      <c r="R1587" s="43">
        <v>0</v>
      </c>
      <c r="S1587" s="43">
        <v>0</v>
      </c>
      <c r="T1587" s="43">
        <v>0</v>
      </c>
      <c r="U1587" s="43">
        <v>0</v>
      </c>
      <c r="V1587" s="43">
        <v>0</v>
      </c>
      <c r="W1587" s="43">
        <v>0</v>
      </c>
      <c r="X1587" s="43">
        <v>0</v>
      </c>
      <c r="Y1587" s="43">
        <v>0</v>
      </c>
      <c r="Z1587" s="43">
        <v>0</v>
      </c>
      <c r="AA1587" s="43">
        <v>0</v>
      </c>
      <c r="AB1587" s="43">
        <v>0</v>
      </c>
      <c r="AC1587" s="43">
        <v>0</v>
      </c>
      <c r="AD1587" s="43">
        <v>0</v>
      </c>
      <c r="AE1587" s="43">
        <v>0</v>
      </c>
    </row>
    <row r="1588" spans="1:31" x14ac:dyDescent="0.45">
      <c r="A1588" t="s">
        <v>2415</v>
      </c>
      <c r="B1588" t="s">
        <v>2375</v>
      </c>
      <c r="C1588" t="s">
        <v>43</v>
      </c>
      <c r="D1588">
        <v>2</v>
      </c>
      <c r="E1588" t="s">
        <v>2416</v>
      </c>
      <c r="L1588" s="43">
        <v>66.453659723176557</v>
      </c>
      <c r="M1588" s="43">
        <v>68.485475215764879</v>
      </c>
      <c r="N1588" s="43">
        <v>58.995402742046402</v>
      </c>
      <c r="O1588" s="43">
        <v>43.916716887965812</v>
      </c>
      <c r="P1588" s="43">
        <v>53.774364143577706</v>
      </c>
      <c r="Q1588" s="43">
        <v>42.744789650417033</v>
      </c>
      <c r="R1588" s="43">
        <v>42.779072328836371</v>
      </c>
      <c r="S1588" s="43">
        <v>45.916969217514961</v>
      </c>
      <c r="T1588" s="43">
        <v>49.244157129395532</v>
      </c>
      <c r="U1588" s="43">
        <v>52.460180480357558</v>
      </c>
      <c r="V1588" s="43">
        <v>57.218253078860805</v>
      </c>
      <c r="W1588" s="43">
        <v>61.976294794957397</v>
      </c>
      <c r="X1588" s="43">
        <v>66.734205901312919</v>
      </c>
      <c r="Y1588" s="43">
        <v>71.4920336037016</v>
      </c>
      <c r="Z1588" s="43">
        <v>76.24992373815715</v>
      </c>
      <c r="AA1588" s="43">
        <v>81.007681571932849</v>
      </c>
      <c r="AB1588" s="43">
        <v>85.765505234222971</v>
      </c>
      <c r="AC1588" s="43">
        <v>90.522182374992653</v>
      </c>
      <c r="AD1588" s="43">
        <v>95.278926427520332</v>
      </c>
      <c r="AE1588" s="43">
        <v>100.03561101581576</v>
      </c>
    </row>
    <row r="1589" spans="1:31" x14ac:dyDescent="0.45">
      <c r="A1589" t="s">
        <v>2417</v>
      </c>
      <c r="B1589" t="s">
        <v>2375</v>
      </c>
      <c r="C1589" t="s">
        <v>113</v>
      </c>
      <c r="D1589">
        <v>2</v>
      </c>
      <c r="E1589" t="s">
        <v>2416</v>
      </c>
      <c r="L1589" s="43">
        <v>66.453659723176557</v>
      </c>
      <c r="M1589" s="43">
        <v>68.485475215764879</v>
      </c>
      <c r="N1589" s="43">
        <v>58.995402742046402</v>
      </c>
      <c r="O1589" s="43">
        <v>43.916716887965812</v>
      </c>
      <c r="P1589" s="43">
        <v>53.774364143577706</v>
      </c>
      <c r="Q1589" s="43">
        <v>42.744789650417033</v>
      </c>
      <c r="R1589" s="43">
        <v>42.779072328836371</v>
      </c>
      <c r="S1589" s="43">
        <v>45.916969217514961</v>
      </c>
      <c r="T1589" s="43">
        <v>49.244157129395532</v>
      </c>
      <c r="U1589" s="43">
        <v>52.460180480357558</v>
      </c>
      <c r="V1589" s="43">
        <v>57.218253078860805</v>
      </c>
      <c r="W1589" s="43">
        <v>61.976294794957397</v>
      </c>
      <c r="X1589" s="43">
        <v>66.734205901312919</v>
      </c>
      <c r="Y1589" s="43">
        <v>71.4920336037016</v>
      </c>
      <c r="Z1589" s="43">
        <v>76.24992373815715</v>
      </c>
      <c r="AA1589" s="43">
        <v>81.007681571932849</v>
      </c>
      <c r="AB1589" s="43">
        <v>85.765505234222971</v>
      </c>
      <c r="AC1589" s="43">
        <v>90.522182374992653</v>
      </c>
      <c r="AD1589" s="43">
        <v>95.278926427520332</v>
      </c>
      <c r="AE1589" s="43">
        <v>100.03561101581576</v>
      </c>
    </row>
    <row r="1590" spans="1:31" x14ac:dyDescent="0.45">
      <c r="A1590" t="s">
        <v>2418</v>
      </c>
      <c r="B1590" t="s">
        <v>2375</v>
      </c>
      <c r="C1590" t="s">
        <v>115</v>
      </c>
      <c r="D1590">
        <v>2</v>
      </c>
      <c r="E1590" t="s">
        <v>2416</v>
      </c>
      <c r="L1590" s="43">
        <v>66.453659723176557</v>
      </c>
      <c r="M1590" s="43">
        <v>68.485475215764879</v>
      </c>
      <c r="N1590" s="43">
        <v>58.995402742046402</v>
      </c>
      <c r="O1590" s="43">
        <v>43.916716887965812</v>
      </c>
      <c r="P1590" s="43">
        <v>53.774364143577706</v>
      </c>
      <c r="Q1590" s="43">
        <v>42.744789650417033</v>
      </c>
      <c r="R1590" s="43">
        <v>42.779072328836371</v>
      </c>
      <c r="S1590" s="43">
        <v>45.916969217514961</v>
      </c>
      <c r="T1590" s="43">
        <v>49.244157129395532</v>
      </c>
      <c r="U1590" s="43">
        <v>52.460180480357558</v>
      </c>
      <c r="V1590" s="43">
        <v>57.218253078860805</v>
      </c>
      <c r="W1590" s="43">
        <v>61.976294794957397</v>
      </c>
      <c r="X1590" s="43">
        <v>66.734205901312919</v>
      </c>
      <c r="Y1590" s="43">
        <v>71.4920336037016</v>
      </c>
      <c r="Z1590" s="43">
        <v>76.24992373815715</v>
      </c>
      <c r="AA1590" s="43">
        <v>81.007681571932849</v>
      </c>
      <c r="AB1590" s="43">
        <v>85.765505234222971</v>
      </c>
      <c r="AC1590" s="43">
        <v>90.522182374992653</v>
      </c>
      <c r="AD1590" s="43">
        <v>95.278926427520332</v>
      </c>
      <c r="AE1590" s="43">
        <v>100.03561101581576</v>
      </c>
    </row>
    <row r="1591" spans="1:31" x14ac:dyDescent="0.45">
      <c r="A1591" t="s">
        <v>2419</v>
      </c>
      <c r="B1591" t="s">
        <v>2375</v>
      </c>
      <c r="C1591" t="s">
        <v>117</v>
      </c>
      <c r="D1591">
        <v>2</v>
      </c>
      <c r="E1591" t="s">
        <v>2416</v>
      </c>
      <c r="L1591" s="43">
        <v>66.453659723176557</v>
      </c>
      <c r="M1591" s="43">
        <v>68.485475215764879</v>
      </c>
      <c r="N1591" s="43">
        <v>58.995402742046402</v>
      </c>
      <c r="O1591" s="43">
        <v>43.916716887965812</v>
      </c>
      <c r="P1591" s="43">
        <v>53.774364143577706</v>
      </c>
      <c r="Q1591" s="43">
        <v>42.744789650417033</v>
      </c>
      <c r="R1591" s="43">
        <v>42.779072328836371</v>
      </c>
      <c r="S1591" s="43">
        <v>45.916969217514961</v>
      </c>
      <c r="T1591" s="43">
        <v>49.244157129395532</v>
      </c>
      <c r="U1591" s="43">
        <v>52.460180480357558</v>
      </c>
      <c r="V1591" s="43">
        <v>57.218253078860805</v>
      </c>
      <c r="W1591" s="43">
        <v>61.976294794957397</v>
      </c>
      <c r="X1591" s="43">
        <v>66.734205901312919</v>
      </c>
      <c r="Y1591" s="43">
        <v>71.4920336037016</v>
      </c>
      <c r="Z1591" s="43">
        <v>76.24992373815715</v>
      </c>
      <c r="AA1591" s="43">
        <v>81.007681571932849</v>
      </c>
      <c r="AB1591" s="43">
        <v>85.765505234222971</v>
      </c>
      <c r="AC1591" s="43">
        <v>90.522182374992653</v>
      </c>
      <c r="AD1591" s="43">
        <v>95.278926427520332</v>
      </c>
      <c r="AE1591" s="43">
        <v>100.03561101581576</v>
      </c>
    </row>
    <row r="1592" spans="1:31" x14ac:dyDescent="0.45">
      <c r="A1592" t="s">
        <v>2420</v>
      </c>
      <c r="B1592" t="s">
        <v>110</v>
      </c>
      <c r="C1592" t="s">
        <v>43</v>
      </c>
      <c r="D1592">
        <v>2</v>
      </c>
      <c r="E1592" t="s">
        <v>2421</v>
      </c>
      <c r="L1592" s="43">
        <v>1901.7140738122609</v>
      </c>
      <c r="M1592" s="43">
        <v>1621.2301769893743</v>
      </c>
      <c r="N1592" s="43">
        <v>1820.8469202303741</v>
      </c>
      <c r="O1592" s="43">
        <v>1904.3670376253485</v>
      </c>
      <c r="P1592" s="43">
        <v>1961.702021253242</v>
      </c>
      <c r="Q1592" s="43">
        <v>2038.9739202925941</v>
      </c>
      <c r="R1592" s="43">
        <v>2053.7524223291048</v>
      </c>
      <c r="S1592" s="43">
        <v>2028.7258545687616</v>
      </c>
      <c r="T1592" s="43">
        <v>2003.6478535386473</v>
      </c>
      <c r="U1592" s="43">
        <v>1983.2706278023495</v>
      </c>
      <c r="V1592" s="43">
        <v>1966.960491119863</v>
      </c>
      <c r="W1592" s="43">
        <v>1955.5819635673633</v>
      </c>
      <c r="X1592" s="43">
        <v>1949.000028543926</v>
      </c>
      <c r="Y1592" s="43">
        <v>1947.3059514210311</v>
      </c>
      <c r="Z1592" s="43">
        <v>1950.9693766450584</v>
      </c>
      <c r="AA1592" s="43">
        <v>1960.0564283126205</v>
      </c>
      <c r="AB1592" s="43">
        <v>1974.5170929136352</v>
      </c>
      <c r="AC1592" s="43">
        <v>1993.9297991003125</v>
      </c>
      <c r="AD1592" s="43">
        <v>2017.9315635538314</v>
      </c>
      <c r="AE1592" s="43">
        <v>2046.2675129889969</v>
      </c>
    </row>
    <row r="1593" spans="1:31" x14ac:dyDescent="0.45">
      <c r="A1593" t="s">
        <v>2422</v>
      </c>
      <c r="B1593" t="s">
        <v>110</v>
      </c>
      <c r="C1593" t="s">
        <v>113</v>
      </c>
      <c r="D1593">
        <v>2</v>
      </c>
      <c r="E1593" t="s">
        <v>2421</v>
      </c>
      <c r="L1593" s="43">
        <v>3210.4467592248702</v>
      </c>
      <c r="M1593" s="43">
        <v>2690.3404093921163</v>
      </c>
      <c r="N1593" s="43">
        <v>3047.5360888007326</v>
      </c>
      <c r="O1593" s="43">
        <v>3240.6928223889822</v>
      </c>
      <c r="P1593" s="43">
        <v>3273.2119677539522</v>
      </c>
      <c r="Q1593" s="43">
        <v>3368.228907853118</v>
      </c>
      <c r="R1593" s="43">
        <v>3379.4779585853985</v>
      </c>
      <c r="S1593" s="43">
        <v>3331.2392751518291</v>
      </c>
      <c r="T1593" s="43">
        <v>3284.1252951076317</v>
      </c>
      <c r="U1593" s="43">
        <v>3244.0426318203517</v>
      </c>
      <c r="V1593" s="43">
        <v>3206.5962688425279</v>
      </c>
      <c r="W1593" s="43">
        <v>3176.9586228001854</v>
      </c>
      <c r="X1593" s="43">
        <v>3154.7672508666237</v>
      </c>
      <c r="Y1593" s="43">
        <v>3139.9898420802028</v>
      </c>
      <c r="Z1593" s="43">
        <v>3133.1186800267096</v>
      </c>
      <c r="AA1593" s="43">
        <v>3134.112488762697</v>
      </c>
      <c r="AB1593" s="43">
        <v>3142.7839499983083</v>
      </c>
      <c r="AC1593" s="43">
        <v>3158.4600343757443</v>
      </c>
      <c r="AD1593" s="43">
        <v>3180.5588326837142</v>
      </c>
      <c r="AE1593" s="43">
        <v>3208.6530755839376</v>
      </c>
    </row>
    <row r="1594" spans="1:31" x14ac:dyDescent="0.45">
      <c r="A1594" t="s">
        <v>2423</v>
      </c>
      <c r="B1594" t="s">
        <v>110</v>
      </c>
      <c r="C1594" t="s">
        <v>115</v>
      </c>
      <c r="D1594">
        <v>2</v>
      </c>
      <c r="E1594" t="s">
        <v>2421</v>
      </c>
      <c r="L1594" s="43">
        <v>0</v>
      </c>
      <c r="M1594" s="43">
        <v>0</v>
      </c>
      <c r="N1594" s="43">
        <v>0</v>
      </c>
      <c r="O1594" s="43">
        <v>0</v>
      </c>
      <c r="P1594" s="43">
        <v>0</v>
      </c>
      <c r="Q1594" s="43">
        <v>0</v>
      </c>
      <c r="R1594" s="43">
        <v>0</v>
      </c>
      <c r="S1594" s="43">
        <v>0</v>
      </c>
      <c r="T1594" s="43">
        <v>0</v>
      </c>
      <c r="U1594" s="43">
        <v>0</v>
      </c>
      <c r="V1594" s="43">
        <v>0</v>
      </c>
      <c r="W1594" s="43">
        <v>0</v>
      </c>
      <c r="X1594" s="43">
        <v>0</v>
      </c>
      <c r="Y1594" s="43">
        <v>0</v>
      </c>
      <c r="Z1594" s="43">
        <v>0</v>
      </c>
      <c r="AA1594" s="43">
        <v>0</v>
      </c>
      <c r="AB1594" s="43">
        <v>0</v>
      </c>
      <c r="AC1594" s="43">
        <v>0</v>
      </c>
      <c r="AD1594" s="43">
        <v>0</v>
      </c>
      <c r="AE1594" s="43">
        <v>0</v>
      </c>
    </row>
    <row r="1595" spans="1:31" x14ac:dyDescent="0.45">
      <c r="A1595" t="s">
        <v>2424</v>
      </c>
      <c r="B1595" t="s">
        <v>110</v>
      </c>
      <c r="C1595" t="s">
        <v>117</v>
      </c>
      <c r="D1595">
        <v>2</v>
      </c>
      <c r="E1595" t="s">
        <v>2421</v>
      </c>
      <c r="L1595" s="43">
        <v>0</v>
      </c>
      <c r="M1595" s="43">
        <v>0</v>
      </c>
      <c r="N1595" s="43">
        <v>0</v>
      </c>
      <c r="O1595" s="43">
        <v>0</v>
      </c>
      <c r="P1595" s="43">
        <v>0</v>
      </c>
      <c r="Q1595" s="43">
        <v>0</v>
      </c>
      <c r="R1595" s="43">
        <v>0</v>
      </c>
      <c r="S1595" s="43">
        <v>0</v>
      </c>
      <c r="T1595" s="43">
        <v>0</v>
      </c>
      <c r="U1595" s="43">
        <v>0</v>
      </c>
      <c r="V1595" s="43">
        <v>0</v>
      </c>
      <c r="W1595" s="43">
        <v>0</v>
      </c>
      <c r="X1595" s="43">
        <v>0</v>
      </c>
      <c r="Y1595" s="43">
        <v>0</v>
      </c>
      <c r="Z1595" s="43">
        <v>0</v>
      </c>
      <c r="AA1595" s="43">
        <v>0</v>
      </c>
      <c r="AB1595" s="43">
        <v>0</v>
      </c>
      <c r="AC1595" s="43">
        <v>0</v>
      </c>
      <c r="AD1595" s="43">
        <v>0</v>
      </c>
      <c r="AE1595" s="43">
        <v>0</v>
      </c>
    </row>
    <row r="1596" spans="1:31" x14ac:dyDescent="0.45">
      <c r="A1596" t="s">
        <v>2425</v>
      </c>
      <c r="B1596" t="s">
        <v>2375</v>
      </c>
      <c r="C1596" t="s">
        <v>43</v>
      </c>
      <c r="D1596">
        <v>2</v>
      </c>
      <c r="E1596" t="s">
        <v>2426</v>
      </c>
      <c r="L1596" s="43">
        <v>66.453659723176557</v>
      </c>
      <c r="M1596" s="43">
        <v>68.485475215764879</v>
      </c>
      <c r="N1596" s="43">
        <v>58.995402742046402</v>
      </c>
      <c r="O1596" s="43">
        <v>43.916716887965812</v>
      </c>
      <c r="P1596" s="43">
        <v>53.774364143577706</v>
      </c>
      <c r="Q1596" s="43">
        <v>42.744789650417033</v>
      </c>
      <c r="R1596" s="43">
        <v>42.779072328836371</v>
      </c>
      <c r="S1596" s="43">
        <v>45.916969217514961</v>
      </c>
      <c r="T1596" s="43">
        <v>49.244157129395532</v>
      </c>
      <c r="U1596" s="43">
        <v>52.460180480357558</v>
      </c>
      <c r="V1596" s="43">
        <v>57.218253078860805</v>
      </c>
      <c r="W1596" s="43">
        <v>61.976294794957397</v>
      </c>
      <c r="X1596" s="43">
        <v>66.734205901312919</v>
      </c>
      <c r="Y1596" s="43">
        <v>71.4920336037016</v>
      </c>
      <c r="Z1596" s="43">
        <v>76.24992373815715</v>
      </c>
      <c r="AA1596" s="43">
        <v>81.007681571932849</v>
      </c>
      <c r="AB1596" s="43">
        <v>85.765505234222971</v>
      </c>
      <c r="AC1596" s="43">
        <v>90.522182374992653</v>
      </c>
      <c r="AD1596" s="43">
        <v>95.278926427520332</v>
      </c>
      <c r="AE1596" s="43">
        <v>100.03561101581576</v>
      </c>
    </row>
    <row r="1597" spans="1:31" x14ac:dyDescent="0.45">
      <c r="A1597" t="s">
        <v>2427</v>
      </c>
      <c r="B1597" t="s">
        <v>2375</v>
      </c>
      <c r="C1597" t="s">
        <v>113</v>
      </c>
      <c r="D1597">
        <v>2</v>
      </c>
      <c r="E1597" t="s">
        <v>2426</v>
      </c>
      <c r="L1597" s="43">
        <v>66.453659723176557</v>
      </c>
      <c r="M1597" s="43">
        <v>68.485475215764879</v>
      </c>
      <c r="N1597" s="43">
        <v>58.995402742046402</v>
      </c>
      <c r="O1597" s="43">
        <v>43.916716887965812</v>
      </c>
      <c r="P1597" s="43">
        <v>53.774364143577706</v>
      </c>
      <c r="Q1597" s="43">
        <v>42.744789650417033</v>
      </c>
      <c r="R1597" s="43">
        <v>42.779072328836371</v>
      </c>
      <c r="S1597" s="43">
        <v>45.916969217514961</v>
      </c>
      <c r="T1597" s="43">
        <v>49.244157129395532</v>
      </c>
      <c r="U1597" s="43">
        <v>52.460180480357558</v>
      </c>
      <c r="V1597" s="43">
        <v>57.218253078860805</v>
      </c>
      <c r="W1597" s="43">
        <v>61.976294794957397</v>
      </c>
      <c r="X1597" s="43">
        <v>66.734205901312919</v>
      </c>
      <c r="Y1597" s="43">
        <v>71.4920336037016</v>
      </c>
      <c r="Z1597" s="43">
        <v>76.24992373815715</v>
      </c>
      <c r="AA1597" s="43">
        <v>81.007681571932849</v>
      </c>
      <c r="AB1597" s="43">
        <v>85.765505234222971</v>
      </c>
      <c r="AC1597" s="43">
        <v>90.522182374992653</v>
      </c>
      <c r="AD1597" s="43">
        <v>95.278926427520332</v>
      </c>
      <c r="AE1597" s="43">
        <v>100.03561101581576</v>
      </c>
    </row>
    <row r="1598" spans="1:31" x14ac:dyDescent="0.45">
      <c r="A1598" t="s">
        <v>2428</v>
      </c>
      <c r="B1598" t="s">
        <v>2375</v>
      </c>
      <c r="C1598" t="s">
        <v>115</v>
      </c>
      <c r="D1598">
        <v>2</v>
      </c>
      <c r="E1598" t="s">
        <v>2426</v>
      </c>
      <c r="L1598" s="43">
        <v>66.453659723176557</v>
      </c>
      <c r="M1598" s="43">
        <v>68.485475215764879</v>
      </c>
      <c r="N1598" s="43">
        <v>58.995402742046402</v>
      </c>
      <c r="O1598" s="43">
        <v>43.916716887965812</v>
      </c>
      <c r="P1598" s="43">
        <v>53.774364143577706</v>
      </c>
      <c r="Q1598" s="43">
        <v>42.744789650417033</v>
      </c>
      <c r="R1598" s="43">
        <v>42.779072328836371</v>
      </c>
      <c r="S1598" s="43">
        <v>45.916969217514961</v>
      </c>
      <c r="T1598" s="43">
        <v>49.244157129395532</v>
      </c>
      <c r="U1598" s="43">
        <v>52.460180480357558</v>
      </c>
      <c r="V1598" s="43">
        <v>57.218253078860805</v>
      </c>
      <c r="W1598" s="43">
        <v>61.976294794957397</v>
      </c>
      <c r="X1598" s="43">
        <v>66.734205901312919</v>
      </c>
      <c r="Y1598" s="43">
        <v>71.4920336037016</v>
      </c>
      <c r="Z1598" s="43">
        <v>76.24992373815715</v>
      </c>
      <c r="AA1598" s="43">
        <v>81.007681571932849</v>
      </c>
      <c r="AB1598" s="43">
        <v>85.765505234222971</v>
      </c>
      <c r="AC1598" s="43">
        <v>90.522182374992653</v>
      </c>
      <c r="AD1598" s="43">
        <v>95.278926427520332</v>
      </c>
      <c r="AE1598" s="43">
        <v>100.03561101581576</v>
      </c>
    </row>
    <row r="1599" spans="1:31" x14ac:dyDescent="0.45">
      <c r="A1599" t="s">
        <v>2429</v>
      </c>
      <c r="B1599" t="s">
        <v>2375</v>
      </c>
      <c r="C1599" t="s">
        <v>117</v>
      </c>
      <c r="D1599">
        <v>2</v>
      </c>
      <c r="E1599" t="s">
        <v>2426</v>
      </c>
      <c r="L1599" s="43">
        <v>66.453659723176557</v>
      </c>
      <c r="M1599" s="43">
        <v>68.485475215764879</v>
      </c>
      <c r="N1599" s="43">
        <v>58.995402742046402</v>
      </c>
      <c r="O1599" s="43">
        <v>43.916716887965812</v>
      </c>
      <c r="P1599" s="43">
        <v>53.774364143577706</v>
      </c>
      <c r="Q1599" s="43">
        <v>42.744789650417033</v>
      </c>
      <c r="R1599" s="43">
        <v>42.779072328836371</v>
      </c>
      <c r="S1599" s="43">
        <v>45.916969217514961</v>
      </c>
      <c r="T1599" s="43">
        <v>49.244157129395532</v>
      </c>
      <c r="U1599" s="43">
        <v>52.460180480357558</v>
      </c>
      <c r="V1599" s="43">
        <v>57.218253078860805</v>
      </c>
      <c r="W1599" s="43">
        <v>61.976294794957397</v>
      </c>
      <c r="X1599" s="43">
        <v>66.734205901312919</v>
      </c>
      <c r="Y1599" s="43">
        <v>71.4920336037016</v>
      </c>
      <c r="Z1599" s="43">
        <v>76.24992373815715</v>
      </c>
      <c r="AA1599" s="43">
        <v>81.007681571932849</v>
      </c>
      <c r="AB1599" s="43">
        <v>85.765505234222971</v>
      </c>
      <c r="AC1599" s="43">
        <v>90.522182374992653</v>
      </c>
      <c r="AD1599" s="43">
        <v>95.278926427520332</v>
      </c>
      <c r="AE1599" s="43">
        <v>100.03561101581576</v>
      </c>
    </row>
    <row r="1600" spans="1:31" x14ac:dyDescent="0.45">
      <c r="A1600" t="s">
        <v>2430</v>
      </c>
      <c r="B1600" t="s">
        <v>110</v>
      </c>
      <c r="C1600" t="s">
        <v>43</v>
      </c>
      <c r="D1600">
        <v>2</v>
      </c>
      <c r="E1600" t="s">
        <v>2431</v>
      </c>
      <c r="L1600" s="43">
        <v>1901.7140738122609</v>
      </c>
      <c r="M1600" s="43">
        <v>1621.2301769893743</v>
      </c>
      <c r="N1600" s="43">
        <v>1820.8469202303741</v>
      </c>
      <c r="O1600" s="43">
        <v>1904.3670376253485</v>
      </c>
      <c r="P1600" s="43">
        <v>1961.702021253242</v>
      </c>
      <c r="Q1600" s="43">
        <v>2038.9739202925941</v>
      </c>
      <c r="R1600" s="43">
        <v>2053.7524223291048</v>
      </c>
      <c r="S1600" s="43">
        <v>2028.7258545687616</v>
      </c>
      <c r="T1600" s="43">
        <v>2003.6478535386473</v>
      </c>
      <c r="U1600" s="43">
        <v>1983.2706278023495</v>
      </c>
      <c r="V1600" s="43">
        <v>1966.960491119863</v>
      </c>
      <c r="W1600" s="43">
        <v>1955.5819635673633</v>
      </c>
      <c r="X1600" s="43">
        <v>1949.000028543926</v>
      </c>
      <c r="Y1600" s="43">
        <v>1947.3059514210311</v>
      </c>
      <c r="Z1600" s="43">
        <v>1950.9693766450584</v>
      </c>
      <c r="AA1600" s="43">
        <v>1960.0564283126205</v>
      </c>
      <c r="AB1600" s="43">
        <v>1974.5170929136352</v>
      </c>
      <c r="AC1600" s="43">
        <v>1993.9297991003125</v>
      </c>
      <c r="AD1600" s="43">
        <v>2017.9315635538314</v>
      </c>
      <c r="AE1600" s="43">
        <v>2046.2675129889969</v>
      </c>
    </row>
    <row r="1601" spans="1:35" x14ac:dyDescent="0.45">
      <c r="A1601" t="s">
        <v>2432</v>
      </c>
      <c r="B1601" t="s">
        <v>110</v>
      </c>
      <c r="C1601" t="s">
        <v>113</v>
      </c>
      <c r="D1601">
        <v>2</v>
      </c>
      <c r="E1601" t="s">
        <v>2431</v>
      </c>
      <c r="L1601" s="43">
        <v>3210.4467592248702</v>
      </c>
      <c r="M1601" s="43">
        <v>2690.3404093921163</v>
      </c>
      <c r="N1601" s="43">
        <v>3047.5360888007326</v>
      </c>
      <c r="O1601" s="43">
        <v>3240.6928223889822</v>
      </c>
      <c r="P1601" s="43">
        <v>3273.2119677539522</v>
      </c>
      <c r="Q1601" s="43">
        <v>3368.228907853118</v>
      </c>
      <c r="R1601" s="43">
        <v>3379.4779585853985</v>
      </c>
      <c r="S1601" s="43">
        <v>3331.2392751518291</v>
      </c>
      <c r="T1601" s="43">
        <v>3284.1252951076317</v>
      </c>
      <c r="U1601" s="43">
        <v>3244.0426318203517</v>
      </c>
      <c r="V1601" s="43">
        <v>3206.5962688425279</v>
      </c>
      <c r="W1601" s="43">
        <v>3176.9586228001854</v>
      </c>
      <c r="X1601" s="43">
        <v>3154.7672508666237</v>
      </c>
      <c r="Y1601" s="43">
        <v>3139.9898420802028</v>
      </c>
      <c r="Z1601" s="43">
        <v>3133.1186800267096</v>
      </c>
      <c r="AA1601" s="43">
        <v>3134.112488762697</v>
      </c>
      <c r="AB1601" s="43">
        <v>3142.7839499983083</v>
      </c>
      <c r="AC1601" s="43">
        <v>3158.4600343757443</v>
      </c>
      <c r="AD1601" s="43">
        <v>3180.5588326837142</v>
      </c>
      <c r="AE1601" s="43">
        <v>3208.6530755839376</v>
      </c>
    </row>
    <row r="1602" spans="1:35" x14ac:dyDescent="0.45">
      <c r="A1602" t="s">
        <v>2433</v>
      </c>
      <c r="B1602" t="s">
        <v>110</v>
      </c>
      <c r="C1602" t="s">
        <v>115</v>
      </c>
      <c r="D1602">
        <v>2</v>
      </c>
      <c r="E1602" t="s">
        <v>2431</v>
      </c>
      <c r="L1602" s="43">
        <v>0</v>
      </c>
      <c r="M1602" s="43">
        <v>0</v>
      </c>
      <c r="N1602" s="43">
        <v>0</v>
      </c>
      <c r="O1602" s="43">
        <v>0</v>
      </c>
      <c r="P1602" s="43">
        <v>0</v>
      </c>
      <c r="Q1602" s="43">
        <v>0</v>
      </c>
      <c r="R1602" s="43">
        <v>0</v>
      </c>
      <c r="S1602" s="43">
        <v>0</v>
      </c>
      <c r="T1602" s="43">
        <v>0</v>
      </c>
      <c r="U1602" s="43">
        <v>0</v>
      </c>
      <c r="V1602" s="43">
        <v>0</v>
      </c>
      <c r="W1602" s="43">
        <v>0</v>
      </c>
      <c r="X1602" s="43">
        <v>0</v>
      </c>
      <c r="Y1602" s="43">
        <v>0</v>
      </c>
      <c r="Z1602" s="43">
        <v>0</v>
      </c>
      <c r="AA1602" s="43">
        <v>0</v>
      </c>
      <c r="AB1602" s="43">
        <v>0</v>
      </c>
      <c r="AC1602" s="43">
        <v>0</v>
      </c>
      <c r="AD1602" s="43">
        <v>0</v>
      </c>
      <c r="AE1602" s="43">
        <v>0</v>
      </c>
    </row>
    <row r="1603" spans="1:35" x14ac:dyDescent="0.45">
      <c r="A1603" t="s">
        <v>2434</v>
      </c>
      <c r="B1603" t="s">
        <v>110</v>
      </c>
      <c r="C1603" t="s">
        <v>117</v>
      </c>
      <c r="D1603">
        <v>2</v>
      </c>
      <c r="E1603" t="s">
        <v>2431</v>
      </c>
      <c r="L1603" s="43">
        <v>0</v>
      </c>
      <c r="M1603" s="43">
        <v>0</v>
      </c>
      <c r="N1603" s="43">
        <v>0</v>
      </c>
      <c r="O1603" s="43">
        <v>0</v>
      </c>
      <c r="P1603" s="43">
        <v>0</v>
      </c>
      <c r="Q1603" s="43">
        <v>0</v>
      </c>
      <c r="R1603" s="43">
        <v>0</v>
      </c>
      <c r="S1603" s="43">
        <v>0</v>
      </c>
      <c r="T1603" s="43">
        <v>0</v>
      </c>
      <c r="U1603" s="43">
        <v>0</v>
      </c>
      <c r="V1603" s="43">
        <v>0</v>
      </c>
      <c r="W1603" s="43">
        <v>0</v>
      </c>
      <c r="X1603" s="43">
        <v>0</v>
      </c>
      <c r="Y1603" s="43">
        <v>0</v>
      </c>
      <c r="Z1603" s="43">
        <v>0</v>
      </c>
      <c r="AA1603" s="43">
        <v>0</v>
      </c>
      <c r="AB1603" s="43">
        <v>0</v>
      </c>
      <c r="AC1603" s="43">
        <v>0</v>
      </c>
      <c r="AD1603" s="43">
        <v>0</v>
      </c>
      <c r="AE1603" s="43">
        <v>0</v>
      </c>
    </row>
    <row r="1604" spans="1:35" x14ac:dyDescent="0.45">
      <c r="A1604" t="s">
        <v>2435</v>
      </c>
      <c r="B1604" t="s">
        <v>2375</v>
      </c>
      <c r="C1604" t="s">
        <v>43</v>
      </c>
      <c r="D1604">
        <v>2</v>
      </c>
      <c r="E1604" t="s">
        <v>2436</v>
      </c>
      <c r="L1604" s="43">
        <v>66.453659723176557</v>
      </c>
      <c r="M1604" s="43">
        <v>68.485475215764879</v>
      </c>
      <c r="N1604" s="43">
        <v>58.995402742046402</v>
      </c>
      <c r="O1604" s="43">
        <v>43.916716887965812</v>
      </c>
      <c r="P1604" s="43">
        <v>53.774364143577706</v>
      </c>
      <c r="Q1604" s="43">
        <v>42.744789650417033</v>
      </c>
      <c r="R1604" s="43">
        <v>42.779072328836371</v>
      </c>
      <c r="S1604" s="43">
        <v>45.916969217514961</v>
      </c>
      <c r="T1604" s="43">
        <v>49.244157129395532</v>
      </c>
      <c r="U1604" s="43">
        <v>52.460180480357558</v>
      </c>
      <c r="V1604" s="43">
        <v>57.218253078860805</v>
      </c>
      <c r="W1604" s="43">
        <v>61.976294794957397</v>
      </c>
      <c r="X1604" s="43">
        <v>66.734205901312919</v>
      </c>
      <c r="Y1604" s="43">
        <v>71.4920336037016</v>
      </c>
      <c r="Z1604" s="43">
        <v>76.24992373815715</v>
      </c>
      <c r="AA1604" s="43">
        <v>81.007681571932849</v>
      </c>
      <c r="AB1604" s="43">
        <v>85.765505234222971</v>
      </c>
      <c r="AC1604" s="43">
        <v>90.522182374992653</v>
      </c>
      <c r="AD1604" s="43">
        <v>95.278926427520332</v>
      </c>
      <c r="AE1604" s="43">
        <v>100.03561101581576</v>
      </c>
    </row>
    <row r="1605" spans="1:35" x14ac:dyDescent="0.45">
      <c r="A1605" t="s">
        <v>2437</v>
      </c>
      <c r="B1605" t="s">
        <v>2375</v>
      </c>
      <c r="C1605" t="s">
        <v>113</v>
      </c>
      <c r="D1605">
        <v>2</v>
      </c>
      <c r="E1605" t="s">
        <v>2436</v>
      </c>
      <c r="L1605" s="43">
        <v>66.453659723176557</v>
      </c>
      <c r="M1605" s="43">
        <v>68.485475215764879</v>
      </c>
      <c r="N1605" s="43">
        <v>58.995402742046402</v>
      </c>
      <c r="O1605" s="43">
        <v>43.916716887965812</v>
      </c>
      <c r="P1605" s="43">
        <v>53.774364143577706</v>
      </c>
      <c r="Q1605" s="43">
        <v>42.744789650417033</v>
      </c>
      <c r="R1605" s="43">
        <v>42.779072328836371</v>
      </c>
      <c r="S1605" s="43">
        <v>45.916969217514961</v>
      </c>
      <c r="T1605" s="43">
        <v>49.244157129395532</v>
      </c>
      <c r="U1605" s="43">
        <v>52.460180480357558</v>
      </c>
      <c r="V1605" s="43">
        <v>57.218253078860805</v>
      </c>
      <c r="W1605" s="43">
        <v>61.976294794957397</v>
      </c>
      <c r="X1605" s="43">
        <v>66.734205901312919</v>
      </c>
      <c r="Y1605" s="43">
        <v>71.4920336037016</v>
      </c>
      <c r="Z1605" s="43">
        <v>76.24992373815715</v>
      </c>
      <c r="AA1605" s="43">
        <v>81.007681571932849</v>
      </c>
      <c r="AB1605" s="43">
        <v>85.765505234222971</v>
      </c>
      <c r="AC1605" s="43">
        <v>90.522182374992653</v>
      </c>
      <c r="AD1605" s="43">
        <v>95.278926427520332</v>
      </c>
      <c r="AE1605" s="43">
        <v>100.03561101581576</v>
      </c>
    </row>
    <row r="1606" spans="1:35" x14ac:dyDescent="0.45">
      <c r="A1606" t="s">
        <v>2438</v>
      </c>
      <c r="B1606" t="s">
        <v>2375</v>
      </c>
      <c r="C1606" t="s">
        <v>115</v>
      </c>
      <c r="D1606">
        <v>2</v>
      </c>
      <c r="E1606" t="s">
        <v>2436</v>
      </c>
      <c r="L1606" s="43">
        <v>66.453659723176557</v>
      </c>
      <c r="M1606" s="43">
        <v>68.485475215764879</v>
      </c>
      <c r="N1606" s="43">
        <v>58.995402742046402</v>
      </c>
      <c r="O1606" s="43">
        <v>43.916716887965812</v>
      </c>
      <c r="P1606" s="43">
        <v>53.774364143577706</v>
      </c>
      <c r="Q1606" s="43">
        <v>42.744789650417033</v>
      </c>
      <c r="R1606" s="43">
        <v>42.779072328836371</v>
      </c>
      <c r="S1606" s="43">
        <v>45.916969217514961</v>
      </c>
      <c r="T1606" s="43">
        <v>49.244157129395532</v>
      </c>
      <c r="U1606" s="43">
        <v>52.460180480357558</v>
      </c>
      <c r="V1606" s="43">
        <v>57.218253078860805</v>
      </c>
      <c r="W1606" s="43">
        <v>61.976294794957397</v>
      </c>
      <c r="X1606" s="43">
        <v>66.734205901312919</v>
      </c>
      <c r="Y1606" s="43">
        <v>71.4920336037016</v>
      </c>
      <c r="Z1606" s="43">
        <v>76.24992373815715</v>
      </c>
      <c r="AA1606" s="43">
        <v>81.007681571932849</v>
      </c>
      <c r="AB1606" s="43">
        <v>85.765505234222971</v>
      </c>
      <c r="AC1606" s="43">
        <v>90.522182374992653</v>
      </c>
      <c r="AD1606" s="43">
        <v>95.278926427520332</v>
      </c>
      <c r="AE1606" s="43">
        <v>100.03561101581576</v>
      </c>
    </row>
    <row r="1607" spans="1:35" x14ac:dyDescent="0.45">
      <c r="A1607" t="s">
        <v>2439</v>
      </c>
      <c r="B1607" t="s">
        <v>2375</v>
      </c>
      <c r="C1607" t="s">
        <v>117</v>
      </c>
      <c r="D1607">
        <v>2</v>
      </c>
      <c r="E1607" t="s">
        <v>2436</v>
      </c>
      <c r="L1607" s="43">
        <v>66.453659723176557</v>
      </c>
      <c r="M1607" s="43">
        <v>68.485475215764879</v>
      </c>
      <c r="N1607" s="43">
        <v>58.995402742046402</v>
      </c>
      <c r="O1607" s="43">
        <v>43.916716887965812</v>
      </c>
      <c r="P1607" s="43">
        <v>53.774364143577706</v>
      </c>
      <c r="Q1607" s="43">
        <v>42.744789650417033</v>
      </c>
      <c r="R1607" s="43">
        <v>42.779072328836371</v>
      </c>
      <c r="S1607" s="43">
        <v>45.916969217514961</v>
      </c>
      <c r="T1607" s="43">
        <v>49.244157129395532</v>
      </c>
      <c r="U1607" s="43">
        <v>52.460180480357558</v>
      </c>
      <c r="V1607" s="43">
        <v>57.218253078860805</v>
      </c>
      <c r="W1607" s="43">
        <v>61.976294794957397</v>
      </c>
      <c r="X1607" s="43">
        <v>66.734205901312919</v>
      </c>
      <c r="Y1607" s="43">
        <v>71.4920336037016</v>
      </c>
      <c r="Z1607" s="43">
        <v>76.24992373815715</v>
      </c>
      <c r="AA1607" s="43">
        <v>81.007681571932849</v>
      </c>
      <c r="AB1607" s="43">
        <v>85.765505234222971</v>
      </c>
      <c r="AC1607" s="43">
        <v>90.522182374992653</v>
      </c>
      <c r="AD1607" s="43">
        <v>95.278926427520332</v>
      </c>
      <c r="AE1607" s="43">
        <v>100.03561101581576</v>
      </c>
    </row>
    <row r="1610" spans="1:35" x14ac:dyDescent="0.45">
      <c r="A1610" s="52" t="s">
        <v>2744</v>
      </c>
    </row>
    <row r="1611" spans="1:35" x14ac:dyDescent="0.45">
      <c r="A1611" t="s">
        <v>2950</v>
      </c>
      <c r="D1611" s="92">
        <f>MAX(F1613:F1648)</f>
        <v>0</v>
      </c>
      <c r="F1611" t="s">
        <v>2951</v>
      </c>
    </row>
    <row r="1612" spans="1:35" x14ac:dyDescent="0.45">
      <c r="A1612" s="50" t="s">
        <v>1505</v>
      </c>
      <c r="B1612" s="50"/>
      <c r="C1612" s="50"/>
      <c r="D1612" s="50" t="s">
        <v>47</v>
      </c>
      <c r="E1612" s="50" t="s">
        <v>1156</v>
      </c>
      <c r="F1612" s="50" t="s">
        <v>2332</v>
      </c>
      <c r="G1612" s="50"/>
      <c r="H1612" s="50"/>
      <c r="I1612" s="50" t="s">
        <v>1506</v>
      </c>
      <c r="J1612" s="50"/>
      <c r="K1612" s="50">
        <v>2021</v>
      </c>
      <c r="L1612" s="50">
        <v>2022</v>
      </c>
      <c r="M1612" s="50">
        <v>2023</v>
      </c>
      <c r="N1612" s="50">
        <v>2024</v>
      </c>
      <c r="O1612" s="50">
        <v>2025</v>
      </c>
      <c r="P1612" s="50">
        <v>2026</v>
      </c>
      <c r="Q1612" s="50">
        <v>2027</v>
      </c>
      <c r="R1612" s="50">
        <v>2028</v>
      </c>
      <c r="S1612" s="50">
        <v>2029</v>
      </c>
      <c r="T1612" s="50">
        <v>2030</v>
      </c>
      <c r="U1612" s="50">
        <v>2031</v>
      </c>
      <c r="V1612" s="50">
        <v>2032</v>
      </c>
      <c r="W1612" s="50">
        <v>2033</v>
      </c>
      <c r="X1612" s="50">
        <v>2034</v>
      </c>
      <c r="Y1612" s="50">
        <v>2035</v>
      </c>
      <c r="Z1612" s="50">
        <v>2036</v>
      </c>
      <c r="AA1612" s="50">
        <v>2037</v>
      </c>
      <c r="AB1612" s="50">
        <v>2038</v>
      </c>
      <c r="AC1612" s="50">
        <v>2039</v>
      </c>
      <c r="AD1612" s="50">
        <v>2040</v>
      </c>
      <c r="AE1612" s="50">
        <v>2041</v>
      </c>
      <c r="AF1612" s="50">
        <v>2042</v>
      </c>
      <c r="AG1612" s="50">
        <v>2043</v>
      </c>
      <c r="AH1612" s="50">
        <v>2044</v>
      </c>
      <c r="AI1612" s="50">
        <v>2045</v>
      </c>
    </row>
    <row r="1613" spans="1:35" x14ac:dyDescent="0.45">
      <c r="A1613" t="s">
        <v>2745</v>
      </c>
      <c r="D1613">
        <v>1</v>
      </c>
      <c r="E1613" t="s">
        <v>1161</v>
      </c>
      <c r="F1613">
        <f>MAX(MAX(L1613:AE1613),-MIN(L1613:AE1613))</f>
        <v>0</v>
      </c>
      <c r="I1613">
        <v>0</v>
      </c>
      <c r="L1613">
        <f>Fund_Industry!L148</f>
        <v>0</v>
      </c>
      <c r="M1613">
        <f>Fund_Industry!M148</f>
        <v>0</v>
      </c>
      <c r="N1613">
        <f>Fund_Industry!N148</f>
        <v>0</v>
      </c>
      <c r="O1613">
        <f>Fund_Industry!O148</f>
        <v>0</v>
      </c>
      <c r="P1613">
        <f>Fund_Industry!P148</f>
        <v>0</v>
      </c>
      <c r="Q1613">
        <f>Fund_Industry!Q148</f>
        <v>0</v>
      </c>
      <c r="R1613">
        <f>Fund_Industry!R148</f>
        <v>0</v>
      </c>
      <c r="S1613">
        <f>Fund_Industry!S148</f>
        <v>0</v>
      </c>
      <c r="T1613">
        <f>Fund_Industry!T148</f>
        <v>0</v>
      </c>
      <c r="U1613">
        <f>Fund_Industry!U148</f>
        <v>0</v>
      </c>
      <c r="V1613">
        <f>Fund_Industry!V148</f>
        <v>0</v>
      </c>
      <c r="W1613">
        <f>Fund_Industry!W148</f>
        <v>0</v>
      </c>
      <c r="X1613">
        <f>Fund_Industry!X148</f>
        <v>0</v>
      </c>
      <c r="Y1613">
        <f>Fund_Industry!Y148</f>
        <v>0</v>
      </c>
      <c r="Z1613">
        <f>Fund_Industry!Z148</f>
        <v>0</v>
      </c>
      <c r="AA1613">
        <f>Fund_Industry!AA148</f>
        <v>0</v>
      </c>
      <c r="AB1613">
        <f>Fund_Industry!AB148</f>
        <v>0</v>
      </c>
      <c r="AC1613">
        <f>Fund_Industry!AC148</f>
        <v>0</v>
      </c>
      <c r="AD1613">
        <f>Fund_Industry!AD148</f>
        <v>0</v>
      </c>
      <c r="AE1613">
        <f>Fund_Industry!AE148</f>
        <v>0</v>
      </c>
    </row>
    <row r="1614" spans="1:35" x14ac:dyDescent="0.45">
      <c r="A1614" t="s">
        <v>2746</v>
      </c>
      <c r="D1614">
        <v>1</v>
      </c>
      <c r="E1614" t="s">
        <v>1161</v>
      </c>
      <c r="F1614">
        <f>MAX(MAX(L1614:AE1614),-MIN(L1614:AE1614))</f>
        <v>0</v>
      </c>
      <c r="I1614">
        <v>0</v>
      </c>
      <c r="L1614">
        <f>Fund_Industry!L153*(Fund_Industry!L80&gt;0)*(1-Fund_Industry!L155)*(Fund_Industry!L82&gt;0)</f>
        <v>0</v>
      </c>
      <c r="M1614">
        <f>Fund_Industry!M153*(Fund_Industry!M80&gt;0)*(1-Fund_Industry!M155)*(Fund_Industry!M82&gt;0)</f>
        <v>0</v>
      </c>
      <c r="N1614">
        <f>Fund_Industry!N153*(Fund_Industry!N80&gt;0)*(1-Fund_Industry!N155)*(Fund_Industry!N82&gt;0)</f>
        <v>0</v>
      </c>
      <c r="O1614">
        <f>Fund_Industry!O153*(Fund_Industry!O80&gt;0)*(1-Fund_Industry!O155)*(Fund_Industry!O82&gt;0)</f>
        <v>0</v>
      </c>
      <c r="P1614">
        <f>Fund_Industry!P153*(Fund_Industry!P80&gt;0)*(1-Fund_Industry!P155)*(Fund_Industry!P82&gt;0)</f>
        <v>0</v>
      </c>
      <c r="Q1614">
        <f>Fund_Industry!Q153*(Fund_Industry!Q80&gt;0)*(1-Fund_Industry!Q155)*(Fund_Industry!Q82&gt;0)</f>
        <v>0</v>
      </c>
      <c r="R1614">
        <f>Fund_Industry!R153*(Fund_Industry!R80&gt;0)*(1-Fund_Industry!R155)*(Fund_Industry!R82&gt;0)</f>
        <v>0</v>
      </c>
      <c r="S1614">
        <f>Fund_Industry!S153*(Fund_Industry!S80&gt;0)*(1-Fund_Industry!S155)*(Fund_Industry!S82&gt;0)</f>
        <v>0</v>
      </c>
      <c r="T1614">
        <f>Fund_Industry!T153*(Fund_Industry!T80&gt;0)*(1-Fund_Industry!T155)*(Fund_Industry!T82&gt;0)</f>
        <v>0</v>
      </c>
      <c r="U1614">
        <f>Fund_Industry!U153*(Fund_Industry!U80&gt;0)*(1-Fund_Industry!U155)*(Fund_Industry!U82&gt;0)</f>
        <v>0</v>
      </c>
      <c r="V1614">
        <f>Fund_Industry!V153*(Fund_Industry!V80&gt;0)*(1-Fund_Industry!V155)*(Fund_Industry!V82&gt;0)</f>
        <v>0</v>
      </c>
      <c r="W1614">
        <f>Fund_Industry!W153*(Fund_Industry!W80&gt;0)*(1-Fund_Industry!W155)*(Fund_Industry!W82&gt;0)</f>
        <v>0</v>
      </c>
      <c r="X1614">
        <f>Fund_Industry!X153*(Fund_Industry!X80&gt;0)*(1-Fund_Industry!X155)*(Fund_Industry!X82&gt;0)</f>
        <v>0</v>
      </c>
      <c r="Y1614">
        <f>Fund_Industry!Y153*(Fund_Industry!Y80&gt;0)*(1-Fund_Industry!Y155)*(Fund_Industry!Y82&gt;0)</f>
        <v>0</v>
      </c>
      <c r="Z1614">
        <f>Fund_Industry!Z153*(Fund_Industry!Z80&gt;0)*(1-Fund_Industry!Z155)*(Fund_Industry!Z82&gt;0)</f>
        <v>0</v>
      </c>
      <c r="AA1614">
        <f>Fund_Industry!AA153*(Fund_Industry!AA80&gt;0)*(1-Fund_Industry!AA155)*(Fund_Industry!AA82&gt;0)</f>
        <v>0</v>
      </c>
      <c r="AB1614">
        <f>Fund_Industry!AB153*(Fund_Industry!AB80&gt;0)*(1-Fund_Industry!AB155)*(Fund_Industry!AB82&gt;0)</f>
        <v>0</v>
      </c>
      <c r="AC1614">
        <f>Fund_Industry!AC153*(Fund_Industry!AC80&gt;0)*(1-Fund_Industry!AC155)*(Fund_Industry!AC82&gt;0)</f>
        <v>0</v>
      </c>
      <c r="AD1614">
        <f>Fund_Industry!AD153*(Fund_Industry!AD80&gt;0)*(1-Fund_Industry!AD155)*(Fund_Industry!AD82&gt;0)</f>
        <v>0</v>
      </c>
      <c r="AE1614">
        <f>Fund_Industry!AE153*(Fund_Industry!AE80&gt;0)*(1-Fund_Industry!AE155)*(Fund_Industry!AE82&gt;0)</f>
        <v>0</v>
      </c>
    </row>
    <row r="1615" spans="1:35" x14ac:dyDescent="0.45">
      <c r="A1615" t="s">
        <v>2747</v>
      </c>
      <c r="D1615">
        <v>1</v>
      </c>
      <c r="E1615" t="s">
        <v>1161</v>
      </c>
      <c r="F1615" s="97">
        <f>MAX(MAX(L1615:AE1615),-MIN(L1615:AE1615))</f>
        <v>0</v>
      </c>
      <c r="I1615">
        <v>0</v>
      </c>
      <c r="L1615" s="97">
        <f>Mitigation_Industry!L360+Mitigation_Industry!L371-Fund_Industry!L81+Fund_Industry!L149</f>
        <v>0</v>
      </c>
      <c r="M1615" s="97">
        <f>Mitigation_Industry!M360+Mitigation_Industry!M371-Fund_Industry!M81+Fund_Industry!M149</f>
        <v>0</v>
      </c>
      <c r="N1615" s="97">
        <f>Mitigation_Industry!N360+Mitigation_Industry!N371-Fund_Industry!N81+Fund_Industry!N149</f>
        <v>0</v>
      </c>
      <c r="O1615" s="97">
        <f>Mitigation_Industry!O360+Mitigation_Industry!O371-Fund_Industry!O81+Fund_Industry!O149</f>
        <v>0</v>
      </c>
      <c r="P1615" s="97">
        <f>Mitigation_Industry!P360+Mitigation_Industry!P371-Fund_Industry!P81+Fund_Industry!P149</f>
        <v>0</v>
      </c>
      <c r="Q1615" s="97">
        <f>Mitigation_Industry!Q360+Mitigation_Industry!Q371-Fund_Industry!Q81+Fund_Industry!Q149</f>
        <v>0</v>
      </c>
      <c r="R1615" s="97">
        <f>Mitigation_Industry!R360+Mitigation_Industry!R371-Fund_Industry!R81+Fund_Industry!R149</f>
        <v>0</v>
      </c>
      <c r="S1615" s="97">
        <f>Mitigation_Industry!S360+Mitigation_Industry!S371-Fund_Industry!S81+Fund_Industry!S149</f>
        <v>0</v>
      </c>
      <c r="T1615" s="97">
        <f>Mitigation_Industry!T360+Mitigation_Industry!T371-Fund_Industry!T81+Fund_Industry!T149</f>
        <v>0</v>
      </c>
      <c r="U1615" s="97">
        <f>Mitigation_Industry!U360+Mitigation_Industry!U371-Fund_Industry!U81+Fund_Industry!U149</f>
        <v>0</v>
      </c>
      <c r="V1615" s="97">
        <f>Mitigation_Industry!V360+Mitigation_Industry!V371-Fund_Industry!V81+Fund_Industry!V149</f>
        <v>0</v>
      </c>
      <c r="W1615" s="97">
        <f>Mitigation_Industry!W360+Mitigation_Industry!W371-Fund_Industry!W81+Fund_Industry!W149</f>
        <v>0</v>
      </c>
      <c r="X1615" s="97">
        <f>Mitigation_Industry!X360+Mitigation_Industry!X371-Fund_Industry!X81+Fund_Industry!X149</f>
        <v>0</v>
      </c>
      <c r="Y1615" s="97">
        <f>Mitigation_Industry!Y360+Mitigation_Industry!Y371-Fund_Industry!Y81+Fund_Industry!Y149</f>
        <v>0</v>
      </c>
      <c r="Z1615" s="97">
        <f>Mitigation_Industry!Z360+Mitigation_Industry!Z371-Fund_Industry!Z81+Fund_Industry!Z149</f>
        <v>0</v>
      </c>
      <c r="AA1615" s="97">
        <f>Mitigation_Industry!AA360+Mitigation_Industry!AA371-Fund_Industry!AA81+Fund_Industry!AA149</f>
        <v>0</v>
      </c>
      <c r="AB1615" s="97">
        <f>Mitigation_Industry!AB360+Mitigation_Industry!AB371-Fund_Industry!AB81+Fund_Industry!AB149</f>
        <v>0</v>
      </c>
      <c r="AC1615" s="97">
        <f>Mitigation_Industry!AC360+Mitigation_Industry!AC371-Fund_Industry!AC81+Fund_Industry!AC149</f>
        <v>0</v>
      </c>
      <c r="AD1615" s="97">
        <f>Mitigation_Industry!AD360+Mitigation_Industry!AD371-Fund_Industry!AD81+Fund_Industry!AD149</f>
        <v>0</v>
      </c>
      <c r="AE1615" s="97">
        <f>Mitigation_Industry!AE360+Mitigation_Industry!AE371-Fund_Industry!AE81+Fund_Industry!AE149</f>
        <v>0</v>
      </c>
    </row>
    <row r="1616" spans="1:35" x14ac:dyDescent="0.45">
      <c r="A1616" t="s">
        <v>2748</v>
      </c>
      <c r="D1616">
        <v>1</v>
      </c>
      <c r="E1616" t="s">
        <v>1161</v>
      </c>
      <c r="F1616">
        <f>MAX(MAX(L1616:AE1616),-MIN(L1616:AE1616))</f>
        <v>0</v>
      </c>
      <c r="I1616">
        <v>0</v>
      </c>
      <c r="L1616">
        <f>IF(Fund_Industry!L11=0,Fund_Industry!L79-Mitigation_Industry!L400,0)</f>
        <v>0</v>
      </c>
      <c r="M1616">
        <f>IF(Fund_Industry!M11=0,Fund_Industry!M79-Mitigation_Industry!M400,0)</f>
        <v>0</v>
      </c>
      <c r="N1616">
        <f>IF(Fund_Industry!N11=0,Fund_Industry!N79-Mitigation_Industry!N400,0)</f>
        <v>0</v>
      </c>
      <c r="O1616">
        <f>IF(Fund_Industry!O11=0,Fund_Industry!O79-Mitigation_Industry!O400,0)</f>
        <v>0</v>
      </c>
      <c r="P1616">
        <f>IF(Fund_Industry!P11=0,Fund_Industry!P79-Mitigation_Industry!P400,0)</f>
        <v>0</v>
      </c>
      <c r="Q1616">
        <f>IF(Fund_Industry!Q11=0,Fund_Industry!Q79-Mitigation_Industry!Q400,0)</f>
        <v>0</v>
      </c>
      <c r="R1616">
        <f>IF(Fund_Industry!R11=0,Fund_Industry!R79-Mitigation_Industry!R400,0)</f>
        <v>0</v>
      </c>
      <c r="S1616">
        <f>IF(Fund_Industry!S11=0,Fund_Industry!S79-Mitigation_Industry!S400,0)</f>
        <v>0</v>
      </c>
      <c r="T1616">
        <f>IF(Fund_Industry!T11=0,Fund_Industry!T79-Mitigation_Industry!T400,0)</f>
        <v>0</v>
      </c>
      <c r="U1616">
        <f>IF(Fund_Industry!U11=0,Fund_Industry!U79-Mitigation_Industry!U400,0)</f>
        <v>0</v>
      </c>
      <c r="V1616">
        <f>IF(Fund_Industry!V11=0,Fund_Industry!V79-Mitigation_Industry!V400,0)</f>
        <v>0</v>
      </c>
      <c r="W1616">
        <f>IF(Fund_Industry!W11=0,Fund_Industry!W79-Mitigation_Industry!W400,0)</f>
        <v>0</v>
      </c>
      <c r="X1616">
        <f>IF(Fund_Industry!X11=0,Fund_Industry!X79-Mitigation_Industry!X400,0)</f>
        <v>0</v>
      </c>
      <c r="Y1616">
        <f>IF(Fund_Industry!Y11=0,Fund_Industry!Y79-Mitigation_Industry!Y400,0)</f>
        <v>0</v>
      </c>
      <c r="Z1616">
        <f>IF(Fund_Industry!Z11=0,Fund_Industry!Z79-Mitigation_Industry!Z400,0)</f>
        <v>0</v>
      </c>
      <c r="AA1616">
        <f>IF(Fund_Industry!AA11=0,Fund_Industry!AA79-Mitigation_Industry!AA400,0)</f>
        <v>0</v>
      </c>
      <c r="AB1616">
        <f>IF(Fund_Industry!AB11=0,Fund_Industry!AB79-Mitigation_Industry!AB400,0)</f>
        <v>0</v>
      </c>
      <c r="AC1616">
        <f>IF(Fund_Industry!AC11=0,Fund_Industry!AC79-Mitigation_Industry!AC400,0)</f>
        <v>0</v>
      </c>
      <c r="AD1616">
        <f>IF(Fund_Industry!AD11=0,Fund_Industry!AD79-Mitigation_Industry!AD400,0)</f>
        <v>0</v>
      </c>
      <c r="AE1616">
        <f>IF(Fund_Industry!AE11=0,Fund_Industry!AE79-Mitigation_Industry!AE400,0)</f>
        <v>0</v>
      </c>
    </row>
    <row r="1617" spans="1:31" x14ac:dyDescent="0.45">
      <c r="A1617" t="s">
        <v>2749</v>
      </c>
      <c r="D1617">
        <v>1</v>
      </c>
      <c r="E1617" t="s">
        <v>1161</v>
      </c>
      <c r="F1617" s="120">
        <f>MAX(MAX(L1617:AE1617),-MIN(L1617:AE1617))</f>
        <v>0</v>
      </c>
      <c r="I1617">
        <v>0</v>
      </c>
      <c r="L1617" s="120">
        <f>Mitigation_Industry!L250-Fund_Industry!L80</f>
        <v>0</v>
      </c>
      <c r="M1617" s="120">
        <f>Mitigation_Industry!M250-Fund_Industry!M80</f>
        <v>0</v>
      </c>
      <c r="N1617" s="120">
        <f>Mitigation_Industry!N250-Fund_Industry!N80</f>
        <v>0</v>
      </c>
      <c r="O1617" s="120">
        <f>Mitigation_Industry!O250-Fund_Industry!O80</f>
        <v>0</v>
      </c>
      <c r="P1617" s="120">
        <f>Mitigation_Industry!P250-Fund_Industry!P80</f>
        <v>0</v>
      </c>
      <c r="Q1617" s="120">
        <f>Mitigation_Industry!Q250-Fund_Industry!Q80</f>
        <v>0</v>
      </c>
      <c r="R1617" s="120">
        <f>Mitigation_Industry!R250-Fund_Industry!R80</f>
        <v>0</v>
      </c>
      <c r="S1617" s="120">
        <f>Mitigation_Industry!S250-Fund_Industry!S80</f>
        <v>0</v>
      </c>
      <c r="T1617" s="120">
        <f>Mitigation_Industry!T250-Fund_Industry!T80</f>
        <v>0</v>
      </c>
      <c r="U1617" s="120">
        <f>Mitigation_Industry!U250-Fund_Industry!U80</f>
        <v>0</v>
      </c>
      <c r="V1617" s="120">
        <f>Mitigation_Industry!V250-Fund_Industry!V80</f>
        <v>0</v>
      </c>
      <c r="W1617" s="120">
        <f>Mitigation_Industry!W250-Fund_Industry!W80</f>
        <v>0</v>
      </c>
      <c r="X1617" s="120">
        <f>Mitigation_Industry!X250-Fund_Industry!X80</f>
        <v>0</v>
      </c>
      <c r="Y1617" s="120">
        <f>Mitigation_Industry!Y250-Fund_Industry!Y80</f>
        <v>0</v>
      </c>
      <c r="Z1617" s="120">
        <f>Mitigation_Industry!Z250-Fund_Industry!Z80</f>
        <v>0</v>
      </c>
      <c r="AA1617" s="120">
        <f>Mitigation_Industry!AA250-Fund_Industry!AA80</f>
        <v>0</v>
      </c>
      <c r="AB1617" s="120">
        <f>Mitigation_Industry!AB250-Fund_Industry!AB80</f>
        <v>0</v>
      </c>
      <c r="AC1617" s="120">
        <f>Mitigation_Industry!AC250-Fund_Industry!AC80</f>
        <v>0</v>
      </c>
      <c r="AD1617" s="120">
        <f>Mitigation_Industry!AD250-Fund_Industry!AD80</f>
        <v>0</v>
      </c>
      <c r="AE1617" s="120">
        <f>Mitigation_Industry!AE250-Fund_Industry!AE80</f>
        <v>0</v>
      </c>
    </row>
    <row r="1618" spans="1:31" x14ac:dyDescent="0.45">
      <c r="A1618" t="s">
        <v>2746</v>
      </c>
      <c r="D1618">
        <v>2</v>
      </c>
      <c r="E1618" t="s">
        <v>1161</v>
      </c>
      <c r="F1618">
        <f>MAX(MAX(L1618:AE1618),-MIN(L1618:AE1618))</f>
        <v>0</v>
      </c>
      <c r="I1618">
        <v>0</v>
      </c>
      <c r="L1618">
        <f>Fund_Industry!L318*(Fund_Industry!L245&gt;0)*(1-Fund_Industry!L320)*(Fund_Industry!L247&gt;0)</f>
        <v>0</v>
      </c>
      <c r="M1618">
        <f>Fund_Industry!M318*(Fund_Industry!M245&gt;0)*(1-Fund_Industry!M320)*(Fund_Industry!M247&gt;0)</f>
        <v>0</v>
      </c>
      <c r="N1618">
        <f>Fund_Industry!N318*(Fund_Industry!N245&gt;0)*(1-Fund_Industry!N320)*(Fund_Industry!N247&gt;0)</f>
        <v>0</v>
      </c>
      <c r="O1618">
        <f>Fund_Industry!O318*(Fund_Industry!O245&gt;0)*(1-Fund_Industry!O320)*(Fund_Industry!O247&gt;0)</f>
        <v>0</v>
      </c>
      <c r="P1618">
        <f>Fund_Industry!P318*(Fund_Industry!P245&gt;0)*(1-Fund_Industry!P320)*(Fund_Industry!P247&gt;0)</f>
        <v>0</v>
      </c>
      <c r="Q1618">
        <f>Fund_Industry!Q318*(Fund_Industry!Q245&gt;0)*(1-Fund_Industry!Q320)*(Fund_Industry!Q247&gt;0)</f>
        <v>0</v>
      </c>
      <c r="R1618">
        <f>Fund_Industry!R318*(Fund_Industry!R245&gt;0)*(1-Fund_Industry!R320)*(Fund_Industry!R247&gt;0)</f>
        <v>0</v>
      </c>
      <c r="S1618">
        <f>Fund_Industry!S318*(Fund_Industry!S245&gt;0)*(1-Fund_Industry!S320)*(Fund_Industry!S247&gt;0)</f>
        <v>0</v>
      </c>
      <c r="T1618">
        <f>Fund_Industry!T318*(Fund_Industry!T245&gt;0)*(1-Fund_Industry!T320)*(Fund_Industry!T247&gt;0)</f>
        <v>0</v>
      </c>
      <c r="U1618">
        <f>Fund_Industry!U318*(Fund_Industry!U245&gt;0)*(1-Fund_Industry!U320)*(Fund_Industry!U247&gt;0)</f>
        <v>0</v>
      </c>
      <c r="V1618">
        <f>Fund_Industry!V318*(Fund_Industry!V245&gt;0)*(1-Fund_Industry!V320)*(Fund_Industry!V247&gt;0)</f>
        <v>0</v>
      </c>
      <c r="W1618">
        <f>Fund_Industry!W318*(Fund_Industry!W245&gt;0)*(1-Fund_Industry!W320)*(Fund_Industry!W247&gt;0)</f>
        <v>0</v>
      </c>
      <c r="X1618">
        <f>Fund_Industry!X318*(Fund_Industry!X245&gt;0)*(1-Fund_Industry!X320)*(Fund_Industry!X247&gt;0)</f>
        <v>0</v>
      </c>
      <c r="Y1618">
        <f>Fund_Industry!Y318*(Fund_Industry!Y245&gt;0)*(1-Fund_Industry!Y320)*(Fund_Industry!Y247&gt;0)</f>
        <v>0</v>
      </c>
      <c r="Z1618">
        <f>Fund_Industry!Z318*(Fund_Industry!Z245&gt;0)*(1-Fund_Industry!Z320)*(Fund_Industry!Z247&gt;0)</f>
        <v>0</v>
      </c>
      <c r="AA1618">
        <f>Fund_Industry!AA318*(Fund_Industry!AA245&gt;0)*(1-Fund_Industry!AA320)*(Fund_Industry!AA247&gt;0)</f>
        <v>0</v>
      </c>
      <c r="AB1618">
        <f>Fund_Industry!AB318*(Fund_Industry!AB245&gt;0)*(1-Fund_Industry!AB320)*(Fund_Industry!AB247&gt;0)</f>
        <v>0</v>
      </c>
      <c r="AC1618">
        <f>Fund_Industry!AC318*(Fund_Industry!AC245&gt;0)*(1-Fund_Industry!AC320)*(Fund_Industry!AC247&gt;0)</f>
        <v>0</v>
      </c>
      <c r="AD1618">
        <f>Fund_Industry!AD318*(Fund_Industry!AD245&gt;0)*(1-Fund_Industry!AD320)*(Fund_Industry!AD247&gt;0)</f>
        <v>0</v>
      </c>
      <c r="AE1618">
        <f>Fund_Industry!AE318*(Fund_Industry!AE245&gt;0)*(1-Fund_Industry!AE320)*(Fund_Industry!AE247&gt;0)</f>
        <v>0</v>
      </c>
    </row>
    <row r="1619" spans="1:31" x14ac:dyDescent="0.45">
      <c r="A1619" t="s">
        <v>2747</v>
      </c>
      <c r="D1619">
        <v>2</v>
      </c>
      <c r="E1619" t="s">
        <v>1161</v>
      </c>
      <c r="F1619" s="97">
        <f>MAX(MAX(L1619:AE1619),-MIN(L1619:AE1619))</f>
        <v>0</v>
      </c>
      <c r="I1619">
        <v>0</v>
      </c>
      <c r="L1619" s="97">
        <f>Mitigation_Industry!L759+Mitigation_Industry!L770-Fund_Industry!L246+Fund_Industry!L314</f>
        <v>0</v>
      </c>
      <c r="M1619" s="97">
        <f>Mitigation_Industry!M759+Mitigation_Industry!M770-Fund_Industry!M246+Fund_Industry!M314</f>
        <v>0</v>
      </c>
      <c r="N1619" s="97">
        <f>Mitigation_Industry!N759+Mitigation_Industry!N770-Fund_Industry!N246+Fund_Industry!N314</f>
        <v>0</v>
      </c>
      <c r="O1619" s="97">
        <f>Mitigation_Industry!O759+Mitigation_Industry!O770-Fund_Industry!O246+Fund_Industry!O314</f>
        <v>0</v>
      </c>
      <c r="P1619" s="97">
        <f>Mitigation_Industry!P759+Mitigation_Industry!P770-Fund_Industry!P246+Fund_Industry!P314</f>
        <v>0</v>
      </c>
      <c r="Q1619" s="97">
        <f>Mitigation_Industry!Q759+Mitigation_Industry!Q770-Fund_Industry!Q246+Fund_Industry!Q314</f>
        <v>0</v>
      </c>
      <c r="R1619" s="97">
        <f>Mitigation_Industry!R759+Mitigation_Industry!R770-Fund_Industry!R246+Fund_Industry!R314</f>
        <v>0</v>
      </c>
      <c r="S1619" s="97">
        <f>Mitigation_Industry!S759+Mitigation_Industry!S770-Fund_Industry!S246+Fund_Industry!S314</f>
        <v>0</v>
      </c>
      <c r="T1619" s="97">
        <f>Mitigation_Industry!T759+Mitigation_Industry!T770-Fund_Industry!T246+Fund_Industry!T314</f>
        <v>0</v>
      </c>
      <c r="U1619" s="97">
        <f>Mitigation_Industry!U759+Mitigation_Industry!U770-Fund_Industry!U246+Fund_Industry!U314</f>
        <v>0</v>
      </c>
      <c r="V1619" s="97">
        <f>Mitigation_Industry!V759+Mitigation_Industry!V770-Fund_Industry!V246+Fund_Industry!V314</f>
        <v>0</v>
      </c>
      <c r="W1619" s="97">
        <f>Mitigation_Industry!W759+Mitigation_Industry!W770-Fund_Industry!W246+Fund_Industry!W314</f>
        <v>0</v>
      </c>
      <c r="X1619" s="97">
        <f>Mitigation_Industry!X759+Mitigation_Industry!X770-Fund_Industry!X246+Fund_Industry!X314</f>
        <v>0</v>
      </c>
      <c r="Y1619" s="97">
        <f>Mitigation_Industry!Y759+Mitigation_Industry!Y770-Fund_Industry!Y246+Fund_Industry!Y314</f>
        <v>0</v>
      </c>
      <c r="Z1619" s="97">
        <f>Mitigation_Industry!Z759+Mitigation_Industry!Z770-Fund_Industry!Z246+Fund_Industry!Z314</f>
        <v>0</v>
      </c>
      <c r="AA1619" s="97">
        <f>Mitigation_Industry!AA759+Mitigation_Industry!AA770-Fund_Industry!AA246+Fund_Industry!AA314</f>
        <v>0</v>
      </c>
      <c r="AB1619" s="97">
        <f>Mitigation_Industry!AB759+Mitigation_Industry!AB770-Fund_Industry!AB246+Fund_Industry!AB314</f>
        <v>0</v>
      </c>
      <c r="AC1619" s="97">
        <f>Mitigation_Industry!AC759+Mitigation_Industry!AC770-Fund_Industry!AC246+Fund_Industry!AC314</f>
        <v>0</v>
      </c>
      <c r="AD1619" s="97">
        <f>Mitigation_Industry!AD759+Mitigation_Industry!AD770-Fund_Industry!AD246+Fund_Industry!AD314</f>
        <v>0</v>
      </c>
      <c r="AE1619" s="97">
        <f>Mitigation_Industry!AE759+Mitigation_Industry!AE770-Fund_Industry!AE246+Fund_Industry!AE314</f>
        <v>0</v>
      </c>
    </row>
    <row r="1620" spans="1:31" x14ac:dyDescent="0.45">
      <c r="A1620" t="s">
        <v>2748</v>
      </c>
      <c r="D1620">
        <v>2</v>
      </c>
      <c r="E1620" t="s">
        <v>1161</v>
      </c>
      <c r="F1620">
        <f>MAX(MAX(L1620:AE1620),-MIN(L1620:AE1620))</f>
        <v>0</v>
      </c>
      <c r="I1620">
        <v>0</v>
      </c>
      <c r="L1620">
        <f>IF(Fund_Industry!L176=0,Fund_Industry!L244-Mitigation_Industry!L799,0)</f>
        <v>0</v>
      </c>
      <c r="M1620">
        <f>IF(Fund_Industry!M176=0,Fund_Industry!M244-Mitigation_Industry!M799,0)</f>
        <v>0</v>
      </c>
      <c r="N1620">
        <f>IF(Fund_Industry!N176=0,Fund_Industry!N244-Mitigation_Industry!N799,0)</f>
        <v>0</v>
      </c>
      <c r="O1620">
        <f>IF(Fund_Industry!O176=0,Fund_Industry!O244-Mitigation_Industry!O799,0)</f>
        <v>0</v>
      </c>
      <c r="P1620">
        <f>IF(Fund_Industry!P176=0,Fund_Industry!P244-Mitigation_Industry!P799,0)</f>
        <v>0</v>
      </c>
      <c r="Q1620">
        <f>IF(Fund_Industry!Q176=0,Fund_Industry!Q244-Mitigation_Industry!Q799,0)</f>
        <v>0</v>
      </c>
      <c r="R1620">
        <f>IF(Fund_Industry!R176=0,Fund_Industry!R244-Mitigation_Industry!R799,0)</f>
        <v>0</v>
      </c>
      <c r="S1620">
        <f>IF(Fund_Industry!S176=0,Fund_Industry!S244-Mitigation_Industry!S799,0)</f>
        <v>0</v>
      </c>
      <c r="T1620">
        <f>IF(Fund_Industry!T176=0,Fund_Industry!T244-Mitigation_Industry!T799,0)</f>
        <v>0</v>
      </c>
      <c r="U1620">
        <f>IF(Fund_Industry!U176=0,Fund_Industry!U244-Mitigation_Industry!U799,0)</f>
        <v>0</v>
      </c>
      <c r="V1620">
        <f>IF(Fund_Industry!V176=0,Fund_Industry!V244-Mitigation_Industry!V799,0)</f>
        <v>0</v>
      </c>
      <c r="W1620">
        <f>IF(Fund_Industry!W176=0,Fund_Industry!W244-Mitigation_Industry!W799,0)</f>
        <v>0</v>
      </c>
      <c r="X1620">
        <f>IF(Fund_Industry!X176=0,Fund_Industry!X244-Mitigation_Industry!X799,0)</f>
        <v>0</v>
      </c>
      <c r="Y1620">
        <f>IF(Fund_Industry!Y176=0,Fund_Industry!Y244-Mitigation_Industry!Y799,0)</f>
        <v>0</v>
      </c>
      <c r="Z1620">
        <f>IF(Fund_Industry!Z176=0,Fund_Industry!Z244-Mitigation_Industry!Z799,0)</f>
        <v>0</v>
      </c>
      <c r="AA1620">
        <f>IF(Fund_Industry!AA176=0,Fund_Industry!AA244-Mitigation_Industry!AA799,0)</f>
        <v>0</v>
      </c>
      <c r="AB1620">
        <f>IF(Fund_Industry!AB176=0,Fund_Industry!AB244-Mitigation_Industry!AB799,0)</f>
        <v>0</v>
      </c>
      <c r="AC1620">
        <f>IF(Fund_Industry!AC176=0,Fund_Industry!AC244-Mitigation_Industry!AC799,0)</f>
        <v>0</v>
      </c>
      <c r="AD1620">
        <f>IF(Fund_Industry!AD176=0,Fund_Industry!AD244-Mitigation_Industry!AD799,0)</f>
        <v>0</v>
      </c>
      <c r="AE1620">
        <f>IF(Fund_Industry!AE176=0,Fund_Industry!AE244-Mitigation_Industry!AE799,0)</f>
        <v>0</v>
      </c>
    </row>
    <row r="1621" spans="1:31" x14ac:dyDescent="0.45">
      <c r="A1621" t="s">
        <v>2749</v>
      </c>
      <c r="D1621">
        <v>2</v>
      </c>
      <c r="E1621" t="s">
        <v>1161</v>
      </c>
      <c r="F1621" s="120">
        <f>MAX(MAX(L1621:AE1621),-MIN(L1621:AE1621))</f>
        <v>0</v>
      </c>
      <c r="I1621">
        <v>0</v>
      </c>
      <c r="L1621" s="120">
        <f>Mitigation_Industry!L649-Fund_Industry!L245</f>
        <v>0</v>
      </c>
      <c r="M1621" s="120">
        <f>Mitigation_Industry!M649-Fund_Industry!M245</f>
        <v>0</v>
      </c>
      <c r="N1621" s="120">
        <f>Mitigation_Industry!N649-Fund_Industry!N245</f>
        <v>0</v>
      </c>
      <c r="O1621" s="120">
        <f>Mitigation_Industry!O649-Fund_Industry!O245</f>
        <v>0</v>
      </c>
      <c r="P1621" s="120">
        <f>Mitigation_Industry!P649-Fund_Industry!P245</f>
        <v>0</v>
      </c>
      <c r="Q1621" s="120">
        <f>Mitigation_Industry!Q649-Fund_Industry!Q245</f>
        <v>0</v>
      </c>
      <c r="R1621" s="120">
        <f>Mitigation_Industry!R649-Fund_Industry!R245</f>
        <v>0</v>
      </c>
      <c r="S1621" s="120">
        <f>Mitigation_Industry!S649-Fund_Industry!S245</f>
        <v>0</v>
      </c>
      <c r="T1621" s="120">
        <f>Mitigation_Industry!T649-Fund_Industry!T245</f>
        <v>0</v>
      </c>
      <c r="U1621" s="120">
        <f>Mitigation_Industry!U649-Fund_Industry!U245</f>
        <v>0</v>
      </c>
      <c r="V1621" s="120">
        <f>Mitigation_Industry!V649-Fund_Industry!V245</f>
        <v>0</v>
      </c>
      <c r="W1621" s="120">
        <f>Mitigation_Industry!W649-Fund_Industry!W245</f>
        <v>0</v>
      </c>
      <c r="X1621" s="120">
        <f>Mitigation_Industry!X649-Fund_Industry!X245</f>
        <v>0</v>
      </c>
      <c r="Y1621" s="120">
        <f>Mitigation_Industry!Y649-Fund_Industry!Y245</f>
        <v>0</v>
      </c>
      <c r="Z1621" s="120">
        <f>Mitigation_Industry!Z649-Fund_Industry!Z245</f>
        <v>0</v>
      </c>
      <c r="AA1621" s="120">
        <f>Mitigation_Industry!AA649-Fund_Industry!AA245</f>
        <v>0</v>
      </c>
      <c r="AB1621" s="120">
        <f>Mitigation_Industry!AB649-Fund_Industry!AB245</f>
        <v>0</v>
      </c>
      <c r="AC1621" s="120">
        <f>Mitigation_Industry!AC649-Fund_Industry!AC245</f>
        <v>0</v>
      </c>
      <c r="AD1621" s="120">
        <f>Mitigation_Industry!AD649-Fund_Industry!AD245</f>
        <v>0</v>
      </c>
      <c r="AE1621" s="120">
        <f>Mitigation_Industry!AE649-Fund_Industry!AE245</f>
        <v>0</v>
      </c>
    </row>
    <row r="1622" spans="1:31" x14ac:dyDescent="0.45">
      <c r="A1622" t="s">
        <v>2750</v>
      </c>
      <c r="D1622">
        <v>2</v>
      </c>
      <c r="E1622" t="s">
        <v>1161</v>
      </c>
      <c r="F1622">
        <f>MAX(MAX(L1622:AE1622),-MIN(L1622:AE1622))</f>
        <v>0</v>
      </c>
      <c r="I1622">
        <v>0</v>
      </c>
      <c r="L1622">
        <f>SUM(Mitigation_Industry!L426:L434)-SUM(Mitigation_Industry!L416:L424)-SUM(Fund_Industry!L326:L334)*Fund_Industry!$F$6</f>
        <v>0</v>
      </c>
      <c r="M1622">
        <f>SUM(Mitigation_Industry!M426:M434)-SUM(Mitigation_Industry!M416:M424)-SUM(Fund_Industry!M326:M334)*Fund_Industry!$F$6</f>
        <v>0</v>
      </c>
      <c r="N1622">
        <f>SUM(Mitigation_Industry!N426:N434)-SUM(Mitigation_Industry!N416:N424)-SUM(Fund_Industry!N326:N334)*Fund_Industry!$F$6</f>
        <v>0</v>
      </c>
      <c r="O1622">
        <f>SUM(Mitigation_Industry!O426:O434)-SUM(Mitigation_Industry!O416:O424)-SUM(Fund_Industry!O326:O334)*Fund_Industry!$F$6</f>
        <v>0</v>
      </c>
      <c r="P1622">
        <f>SUM(Mitigation_Industry!P426:P434)-SUM(Mitigation_Industry!P416:P424)-SUM(Fund_Industry!P326:P334)*Fund_Industry!$F$6</f>
        <v>0</v>
      </c>
      <c r="Q1622">
        <f>SUM(Mitigation_Industry!Q426:Q434)-SUM(Mitigation_Industry!Q416:Q424)-SUM(Fund_Industry!Q326:Q334)*Fund_Industry!$F$6</f>
        <v>0</v>
      </c>
      <c r="R1622">
        <f>SUM(Mitigation_Industry!R426:R434)-SUM(Mitigation_Industry!R416:R424)-SUM(Fund_Industry!R326:R334)*Fund_Industry!$F$6</f>
        <v>0</v>
      </c>
      <c r="S1622">
        <f>SUM(Mitigation_Industry!S426:S434)-SUM(Mitigation_Industry!S416:S424)-SUM(Fund_Industry!S326:S334)*Fund_Industry!$F$6</f>
        <v>0</v>
      </c>
      <c r="T1622">
        <f>SUM(Mitigation_Industry!T426:T434)-SUM(Mitigation_Industry!T416:T424)-SUM(Fund_Industry!T326:T334)*Fund_Industry!$F$6</f>
        <v>0</v>
      </c>
      <c r="U1622">
        <f>SUM(Mitigation_Industry!U426:U434)-SUM(Mitigation_Industry!U416:U424)-SUM(Fund_Industry!U326:U334)*Fund_Industry!$F$6</f>
        <v>0</v>
      </c>
      <c r="V1622">
        <f>SUM(Mitigation_Industry!V426:V434)-SUM(Mitigation_Industry!V416:V424)-SUM(Fund_Industry!V326:V334)*Fund_Industry!$F$6</f>
        <v>0</v>
      </c>
      <c r="W1622">
        <f>SUM(Mitigation_Industry!W426:W434)-SUM(Mitigation_Industry!W416:W424)-SUM(Fund_Industry!W326:W334)*Fund_Industry!$F$6</f>
        <v>0</v>
      </c>
      <c r="X1622">
        <f>SUM(Mitigation_Industry!X426:X434)-SUM(Mitigation_Industry!X416:X424)-SUM(Fund_Industry!X326:X334)*Fund_Industry!$F$6</f>
        <v>0</v>
      </c>
      <c r="Y1622">
        <f>SUM(Mitigation_Industry!Y426:Y434)-SUM(Mitigation_Industry!Y416:Y424)-SUM(Fund_Industry!Y326:Y334)*Fund_Industry!$F$6</f>
        <v>0</v>
      </c>
      <c r="Z1622">
        <f>SUM(Mitigation_Industry!Z426:Z434)-SUM(Mitigation_Industry!Z416:Z424)-SUM(Fund_Industry!Z326:Z334)*Fund_Industry!$F$6</f>
        <v>0</v>
      </c>
      <c r="AA1622">
        <f>SUM(Mitigation_Industry!AA426:AA434)-SUM(Mitigation_Industry!AA416:AA424)-SUM(Fund_Industry!AA326:AA334)*Fund_Industry!$F$6</f>
        <v>0</v>
      </c>
      <c r="AB1622">
        <f>SUM(Mitigation_Industry!AB426:AB434)-SUM(Mitigation_Industry!AB416:AB424)-SUM(Fund_Industry!AB326:AB334)*Fund_Industry!$F$6</f>
        <v>0</v>
      </c>
      <c r="AC1622">
        <f>SUM(Mitigation_Industry!AC426:AC434)-SUM(Mitigation_Industry!AC416:AC424)-SUM(Fund_Industry!AC326:AC334)*Fund_Industry!$F$6</f>
        <v>0</v>
      </c>
      <c r="AD1622">
        <f>SUM(Mitigation_Industry!AD426:AD434)-SUM(Mitigation_Industry!AD416:AD424)-SUM(Fund_Industry!AD326:AD334)*Fund_Industry!$F$6</f>
        <v>0</v>
      </c>
      <c r="AE1622">
        <f>SUM(Mitigation_Industry!AE426:AE434)-SUM(Mitigation_Industry!AE416:AE424)-SUM(Fund_Industry!AE326:AE334)*Fund_Industry!$F$6</f>
        <v>0</v>
      </c>
    </row>
    <row r="1623" spans="1:31" x14ac:dyDescent="0.45">
      <c r="A1623" t="s">
        <v>2751</v>
      </c>
      <c r="D1623">
        <v>2</v>
      </c>
      <c r="E1623" t="s">
        <v>1161</v>
      </c>
      <c r="F1623">
        <f>MAX(MAX(L1623:AE1623),-MIN(L1623:AE1623))</f>
        <v>0</v>
      </c>
      <c r="I1623">
        <v>0</v>
      </c>
      <c r="L1623">
        <f>SUM(Mitigation_Industry!L486:L494)-SUM(Mitigation_Industry!L476:L484)-SUM(Fund_Industry!L326:L334)*Fund_Industry!$F$6</f>
        <v>0</v>
      </c>
      <c r="M1623">
        <f>SUM(Mitigation_Industry!M486:M494)-SUM(Mitigation_Industry!M476:M484)-SUM(Fund_Industry!M326:M334)*Fund_Industry!$F$6</f>
        <v>0</v>
      </c>
      <c r="N1623">
        <f>SUM(Mitigation_Industry!N486:N494)-SUM(Mitigation_Industry!N476:N484)-SUM(Fund_Industry!N326:N334)*Fund_Industry!$F$6</f>
        <v>0</v>
      </c>
      <c r="O1623">
        <f>SUM(Mitigation_Industry!O486:O494)-SUM(Mitigation_Industry!O476:O484)-SUM(Fund_Industry!O326:O334)*Fund_Industry!$F$6</f>
        <v>0</v>
      </c>
      <c r="P1623">
        <f>SUM(Mitigation_Industry!P486:P494)-SUM(Mitigation_Industry!P476:P484)-SUM(Fund_Industry!P326:P334)*Fund_Industry!$F$6</f>
        <v>0</v>
      </c>
      <c r="Q1623">
        <f>SUM(Mitigation_Industry!Q486:Q494)-SUM(Mitigation_Industry!Q476:Q484)-SUM(Fund_Industry!Q326:Q334)*Fund_Industry!$F$6</f>
        <v>0</v>
      </c>
      <c r="R1623">
        <f>SUM(Mitigation_Industry!R486:R494)-SUM(Mitigation_Industry!R476:R484)-SUM(Fund_Industry!R326:R334)*Fund_Industry!$F$6</f>
        <v>0</v>
      </c>
      <c r="S1623">
        <f>SUM(Mitigation_Industry!S486:S494)-SUM(Mitigation_Industry!S476:S484)-SUM(Fund_Industry!S326:S334)*Fund_Industry!$F$6</f>
        <v>0</v>
      </c>
      <c r="T1623">
        <f>SUM(Mitigation_Industry!T486:T494)-SUM(Mitigation_Industry!T476:T484)-SUM(Fund_Industry!T326:T334)*Fund_Industry!$F$6</f>
        <v>0</v>
      </c>
      <c r="U1623">
        <f>SUM(Mitigation_Industry!U486:U494)-SUM(Mitigation_Industry!U476:U484)-SUM(Fund_Industry!U326:U334)*Fund_Industry!$F$6</f>
        <v>0</v>
      </c>
      <c r="V1623">
        <f>SUM(Mitigation_Industry!V486:V494)-SUM(Mitigation_Industry!V476:V484)-SUM(Fund_Industry!V326:V334)*Fund_Industry!$F$6</f>
        <v>0</v>
      </c>
      <c r="W1623">
        <f>SUM(Mitigation_Industry!W486:W494)-SUM(Mitigation_Industry!W476:W484)-SUM(Fund_Industry!W326:W334)*Fund_Industry!$F$6</f>
        <v>0</v>
      </c>
      <c r="X1623">
        <f>SUM(Mitigation_Industry!X486:X494)-SUM(Mitigation_Industry!X476:X484)-SUM(Fund_Industry!X326:X334)*Fund_Industry!$F$6</f>
        <v>0</v>
      </c>
      <c r="Y1623">
        <f>SUM(Mitigation_Industry!Y486:Y494)-SUM(Mitigation_Industry!Y476:Y484)-SUM(Fund_Industry!Y326:Y334)*Fund_Industry!$F$6</f>
        <v>0</v>
      </c>
      <c r="Z1623">
        <f>SUM(Mitigation_Industry!Z486:Z494)-SUM(Mitigation_Industry!Z476:Z484)-SUM(Fund_Industry!Z326:Z334)*Fund_Industry!$F$6</f>
        <v>0</v>
      </c>
      <c r="AA1623">
        <f>SUM(Mitigation_Industry!AA486:AA494)-SUM(Mitigation_Industry!AA476:AA484)-SUM(Fund_Industry!AA326:AA334)*Fund_Industry!$F$6</f>
        <v>0</v>
      </c>
      <c r="AB1623">
        <f>SUM(Mitigation_Industry!AB486:AB494)-SUM(Mitigation_Industry!AB476:AB484)-SUM(Fund_Industry!AB326:AB334)*Fund_Industry!$F$6</f>
        <v>0</v>
      </c>
      <c r="AC1623">
        <f>SUM(Mitigation_Industry!AC486:AC494)-SUM(Mitigation_Industry!AC476:AC484)-SUM(Fund_Industry!AC326:AC334)*Fund_Industry!$F$6</f>
        <v>0</v>
      </c>
      <c r="AD1623">
        <f>SUM(Mitigation_Industry!AD486:AD494)-SUM(Mitigation_Industry!AD476:AD484)-SUM(Fund_Industry!AD326:AD334)*Fund_Industry!$F$6</f>
        <v>0</v>
      </c>
      <c r="AE1623">
        <f>SUM(Mitigation_Industry!AE486:AE494)-SUM(Mitigation_Industry!AE476:AE484)-SUM(Fund_Industry!AE326:AE334)*Fund_Industry!$F$6</f>
        <v>0</v>
      </c>
    </row>
    <row r="1624" spans="1:31" x14ac:dyDescent="0.45">
      <c r="A1624" t="s">
        <v>2752</v>
      </c>
      <c r="D1624">
        <v>2</v>
      </c>
      <c r="E1624" t="s">
        <v>1161</v>
      </c>
      <c r="F1624">
        <f>MAX(MAX(L1624:AE1624),-MIN(L1624:AE1624))</f>
        <v>0</v>
      </c>
      <c r="I1624">
        <v>0</v>
      </c>
      <c r="L1624">
        <f>SUM(Mitigation_Industry!L546:L554)-SUM(Mitigation_Industry!L536:L544)-SUM(Fund_Industry!L326:L334)*Fund_Industry!$F$6</f>
        <v>0</v>
      </c>
      <c r="M1624">
        <f>SUM(Mitigation_Industry!M546:M554)-SUM(Mitigation_Industry!M536:M544)-SUM(Fund_Industry!M326:M334)*Fund_Industry!$F$6</f>
        <v>0</v>
      </c>
      <c r="N1624">
        <f>SUM(Mitigation_Industry!N546:N554)-SUM(Mitigation_Industry!N536:N544)-SUM(Fund_Industry!N326:N334)*Fund_Industry!$F$6</f>
        <v>0</v>
      </c>
      <c r="O1624">
        <f>SUM(Mitigation_Industry!O546:O554)-SUM(Mitigation_Industry!O536:O544)-SUM(Fund_Industry!O326:O334)*Fund_Industry!$F$6</f>
        <v>0</v>
      </c>
      <c r="P1624">
        <f>SUM(Mitigation_Industry!P546:P554)-SUM(Mitigation_Industry!P536:P544)-SUM(Fund_Industry!P326:P334)*Fund_Industry!$F$6</f>
        <v>0</v>
      </c>
      <c r="Q1624">
        <f>SUM(Mitigation_Industry!Q546:Q554)-SUM(Mitigation_Industry!Q536:Q544)-SUM(Fund_Industry!Q326:Q334)*Fund_Industry!$F$6</f>
        <v>0</v>
      </c>
      <c r="R1624">
        <f>SUM(Mitigation_Industry!R546:R554)-SUM(Mitigation_Industry!R536:R544)-SUM(Fund_Industry!R326:R334)*Fund_Industry!$F$6</f>
        <v>0</v>
      </c>
      <c r="S1624">
        <f>SUM(Mitigation_Industry!S546:S554)-SUM(Mitigation_Industry!S536:S544)-SUM(Fund_Industry!S326:S334)*Fund_Industry!$F$6</f>
        <v>0</v>
      </c>
      <c r="T1624">
        <f>SUM(Mitigation_Industry!T546:T554)-SUM(Mitigation_Industry!T536:T544)-SUM(Fund_Industry!T326:T334)*Fund_Industry!$F$6</f>
        <v>0</v>
      </c>
      <c r="U1624">
        <f>SUM(Mitigation_Industry!U546:U554)-SUM(Mitigation_Industry!U536:U544)-SUM(Fund_Industry!U326:U334)*Fund_Industry!$F$6</f>
        <v>0</v>
      </c>
      <c r="V1624">
        <f>SUM(Mitigation_Industry!V546:V554)-SUM(Mitigation_Industry!V536:V544)-SUM(Fund_Industry!V326:V334)*Fund_Industry!$F$6</f>
        <v>0</v>
      </c>
      <c r="W1624">
        <f>SUM(Mitigation_Industry!W546:W554)-SUM(Mitigation_Industry!W536:W544)-SUM(Fund_Industry!W326:W334)*Fund_Industry!$F$6</f>
        <v>0</v>
      </c>
      <c r="X1624">
        <f>SUM(Mitigation_Industry!X546:X554)-SUM(Mitigation_Industry!X536:X544)-SUM(Fund_Industry!X326:X334)*Fund_Industry!$F$6</f>
        <v>0</v>
      </c>
      <c r="Y1624">
        <f>SUM(Mitigation_Industry!Y546:Y554)-SUM(Mitigation_Industry!Y536:Y544)-SUM(Fund_Industry!Y326:Y334)*Fund_Industry!$F$6</f>
        <v>0</v>
      </c>
      <c r="Z1624">
        <f>SUM(Mitigation_Industry!Z546:Z554)-SUM(Mitigation_Industry!Z536:Z544)-SUM(Fund_Industry!Z326:Z334)*Fund_Industry!$F$6</f>
        <v>0</v>
      </c>
      <c r="AA1624">
        <f>SUM(Mitigation_Industry!AA546:AA554)-SUM(Mitigation_Industry!AA536:AA544)-SUM(Fund_Industry!AA326:AA334)*Fund_Industry!$F$6</f>
        <v>0</v>
      </c>
      <c r="AB1624">
        <f>SUM(Mitigation_Industry!AB546:AB554)-SUM(Mitigation_Industry!AB536:AB544)-SUM(Fund_Industry!AB326:AB334)*Fund_Industry!$F$6</f>
        <v>0</v>
      </c>
      <c r="AC1624">
        <f>SUM(Mitigation_Industry!AC546:AC554)-SUM(Mitigation_Industry!AC536:AC544)-SUM(Fund_Industry!AC326:AC334)*Fund_Industry!$F$6</f>
        <v>0</v>
      </c>
      <c r="AD1624">
        <f>SUM(Mitigation_Industry!AD546:AD554)-SUM(Mitigation_Industry!AD536:AD544)-SUM(Fund_Industry!AD326:AD334)*Fund_Industry!$F$6</f>
        <v>0</v>
      </c>
      <c r="AE1624">
        <f>SUM(Mitigation_Industry!AE546:AE554)-SUM(Mitigation_Industry!AE536:AE544)-SUM(Fund_Industry!AE326:AE334)*Fund_Industry!$F$6</f>
        <v>0</v>
      </c>
    </row>
    <row r="1625" spans="1:31" x14ac:dyDescent="0.45">
      <c r="A1625" t="s">
        <v>2753</v>
      </c>
      <c r="D1625">
        <v>2</v>
      </c>
      <c r="E1625" t="s">
        <v>1161</v>
      </c>
      <c r="F1625">
        <f>MAX(MAX(L1625:AE1625),-MIN(L1625:AE1625))</f>
        <v>0</v>
      </c>
      <c r="I1625">
        <v>0</v>
      </c>
      <c r="L1625">
        <f>SUM(Mitigation_Industry!L606:L614)-SUM(Mitigation_Industry!L596:L604)-SUM(Fund_Industry!L326:L334)*Fund_Industry!$F$6</f>
        <v>0</v>
      </c>
      <c r="M1625">
        <f>SUM(Mitigation_Industry!M606:M614)-SUM(Mitigation_Industry!M596:M604)-SUM(Fund_Industry!M326:M334)*Fund_Industry!$F$6</f>
        <v>0</v>
      </c>
      <c r="N1625">
        <f>SUM(Mitigation_Industry!N606:N614)-SUM(Mitigation_Industry!N596:N604)-SUM(Fund_Industry!N326:N334)*Fund_Industry!$F$6</f>
        <v>0</v>
      </c>
      <c r="O1625">
        <f>SUM(Mitigation_Industry!O606:O614)-SUM(Mitigation_Industry!O596:O604)-SUM(Fund_Industry!O326:O334)*Fund_Industry!$F$6</f>
        <v>0</v>
      </c>
      <c r="P1625">
        <f>SUM(Mitigation_Industry!P606:P614)-SUM(Mitigation_Industry!P596:P604)-SUM(Fund_Industry!P326:P334)*Fund_Industry!$F$6</f>
        <v>0</v>
      </c>
      <c r="Q1625">
        <f>SUM(Mitigation_Industry!Q606:Q614)-SUM(Mitigation_Industry!Q596:Q604)-SUM(Fund_Industry!Q326:Q334)*Fund_Industry!$F$6</f>
        <v>0</v>
      </c>
      <c r="R1625">
        <f>SUM(Mitigation_Industry!R606:R614)-SUM(Mitigation_Industry!R596:R604)-SUM(Fund_Industry!R326:R334)*Fund_Industry!$F$6</f>
        <v>0</v>
      </c>
      <c r="S1625">
        <f>SUM(Mitigation_Industry!S606:S614)-SUM(Mitigation_Industry!S596:S604)-SUM(Fund_Industry!S326:S334)*Fund_Industry!$F$6</f>
        <v>0</v>
      </c>
      <c r="T1625">
        <f>SUM(Mitigation_Industry!T606:T614)-SUM(Mitigation_Industry!T596:T604)-SUM(Fund_Industry!T326:T334)*Fund_Industry!$F$6</f>
        <v>0</v>
      </c>
      <c r="U1625">
        <f>SUM(Mitigation_Industry!U606:U614)-SUM(Mitigation_Industry!U596:U604)-SUM(Fund_Industry!U326:U334)*Fund_Industry!$F$6</f>
        <v>0</v>
      </c>
      <c r="V1625">
        <f>SUM(Mitigation_Industry!V606:V614)-SUM(Mitigation_Industry!V596:V604)-SUM(Fund_Industry!V326:V334)*Fund_Industry!$F$6</f>
        <v>0</v>
      </c>
      <c r="W1625">
        <f>SUM(Mitigation_Industry!W606:W614)-SUM(Mitigation_Industry!W596:W604)-SUM(Fund_Industry!W326:W334)*Fund_Industry!$F$6</f>
        <v>0</v>
      </c>
      <c r="X1625">
        <f>SUM(Mitigation_Industry!X606:X614)-SUM(Mitigation_Industry!X596:X604)-SUM(Fund_Industry!X326:X334)*Fund_Industry!$F$6</f>
        <v>0</v>
      </c>
      <c r="Y1625">
        <f>SUM(Mitigation_Industry!Y606:Y614)-SUM(Mitigation_Industry!Y596:Y604)-SUM(Fund_Industry!Y326:Y334)*Fund_Industry!$F$6</f>
        <v>0</v>
      </c>
      <c r="Z1625">
        <f>SUM(Mitigation_Industry!Z606:Z614)-SUM(Mitigation_Industry!Z596:Z604)-SUM(Fund_Industry!Z326:Z334)*Fund_Industry!$F$6</f>
        <v>0</v>
      </c>
      <c r="AA1625">
        <f>SUM(Mitigation_Industry!AA606:AA614)-SUM(Mitigation_Industry!AA596:AA604)-SUM(Fund_Industry!AA326:AA334)*Fund_Industry!$F$6</f>
        <v>0</v>
      </c>
      <c r="AB1625">
        <f>SUM(Mitigation_Industry!AB606:AB614)-SUM(Mitigation_Industry!AB596:AB604)-SUM(Fund_Industry!AB326:AB334)*Fund_Industry!$F$6</f>
        <v>0</v>
      </c>
      <c r="AC1625">
        <f>SUM(Mitigation_Industry!AC606:AC614)-SUM(Mitigation_Industry!AC596:AC604)-SUM(Fund_Industry!AC326:AC334)*Fund_Industry!$F$6</f>
        <v>0</v>
      </c>
      <c r="AD1625">
        <f>SUM(Mitigation_Industry!AD606:AD614)-SUM(Mitigation_Industry!AD596:AD604)-SUM(Fund_Industry!AD326:AD334)*Fund_Industry!$F$6</f>
        <v>0</v>
      </c>
      <c r="AE1625">
        <f>SUM(Mitigation_Industry!AE606:AE614)-SUM(Mitigation_Industry!AE596:AE604)-SUM(Fund_Industry!AE326:AE334)*Fund_Industry!$F$6</f>
        <v>0</v>
      </c>
    </row>
    <row r="1626" spans="1:31" x14ac:dyDescent="0.45">
      <c r="A1626" t="s">
        <v>2754</v>
      </c>
      <c r="D1626">
        <v>2</v>
      </c>
      <c r="E1626" t="s">
        <v>1161</v>
      </c>
      <c r="F1626">
        <f>MAX(MAX(L1626:AE1626),-MIN(L1626:AE1626))</f>
        <v>0</v>
      </c>
      <c r="I1626">
        <v>0</v>
      </c>
      <c r="L1626">
        <f>Scenarios!L49-Fund_Industry!L313</f>
        <v>0</v>
      </c>
      <c r="M1626">
        <f>Scenarios!M49-Fund_Industry!M313</f>
        <v>0</v>
      </c>
      <c r="N1626">
        <f>Scenarios!N49-Fund_Industry!N313</f>
        <v>0</v>
      </c>
      <c r="O1626">
        <f>Scenarios!O49-Fund_Industry!O313</f>
        <v>0</v>
      </c>
      <c r="P1626">
        <f>Scenarios!P49-Fund_Industry!P313</f>
        <v>0</v>
      </c>
      <c r="Q1626">
        <f>Scenarios!Q49-Fund_Industry!Q313</f>
        <v>0</v>
      </c>
      <c r="R1626">
        <f>Scenarios!R49-Fund_Industry!R313</f>
        <v>0</v>
      </c>
      <c r="S1626">
        <f>Scenarios!S49-Fund_Industry!S313</f>
        <v>0</v>
      </c>
      <c r="T1626">
        <f>Scenarios!T49-Fund_Industry!T313</f>
        <v>0</v>
      </c>
      <c r="U1626">
        <f>Scenarios!U49-Fund_Industry!U313</f>
        <v>0</v>
      </c>
      <c r="V1626">
        <f>Scenarios!V49-Fund_Industry!V313</f>
        <v>0</v>
      </c>
      <c r="W1626">
        <f>Scenarios!W49-Fund_Industry!W313</f>
        <v>0</v>
      </c>
      <c r="X1626">
        <f>Scenarios!X49-Fund_Industry!X313</f>
        <v>0</v>
      </c>
      <c r="Y1626">
        <f>Scenarios!Y49-Fund_Industry!Y313</f>
        <v>0</v>
      </c>
      <c r="Z1626">
        <f>Scenarios!Z49-Fund_Industry!Z313</f>
        <v>0</v>
      </c>
      <c r="AA1626">
        <f>Scenarios!AA49-Fund_Industry!AA313</f>
        <v>0</v>
      </c>
      <c r="AB1626">
        <f>Scenarios!AB49-Fund_Industry!AB313</f>
        <v>0</v>
      </c>
      <c r="AC1626">
        <f>Scenarios!AC49-Fund_Industry!AC313</f>
        <v>0</v>
      </c>
      <c r="AD1626">
        <f>Scenarios!AD49-Fund_Industry!AD313</f>
        <v>0</v>
      </c>
      <c r="AE1626">
        <f>Scenarios!AE49-Fund_Industry!AE313</f>
        <v>0</v>
      </c>
    </row>
    <row r="1627" spans="1:31" x14ac:dyDescent="0.45">
      <c r="A1627" t="s">
        <v>2755</v>
      </c>
      <c r="D1627">
        <v>2</v>
      </c>
      <c r="E1627" t="s">
        <v>1161</v>
      </c>
      <c r="F1627">
        <f>MAX(MAX(L1627:AE1627),-MIN(L1627:AE1627))</f>
        <v>0</v>
      </c>
      <c r="I1627">
        <v>0</v>
      </c>
      <c r="L1627">
        <f>Mitigation_Industry!L648-Fund_Industry!L313</f>
        <v>0</v>
      </c>
      <c r="M1627">
        <f>Mitigation_Industry!M648-Fund_Industry!M313</f>
        <v>0</v>
      </c>
      <c r="N1627">
        <f>Mitigation_Industry!N648-Fund_Industry!N313</f>
        <v>0</v>
      </c>
      <c r="O1627">
        <f>Mitigation_Industry!O648-Fund_Industry!O313</f>
        <v>0</v>
      </c>
      <c r="P1627">
        <f>Mitigation_Industry!P648-Fund_Industry!P313</f>
        <v>0</v>
      </c>
      <c r="Q1627">
        <f>Mitigation_Industry!Q648-Fund_Industry!Q313</f>
        <v>0</v>
      </c>
      <c r="R1627">
        <f>Mitigation_Industry!R648-Fund_Industry!R313</f>
        <v>0</v>
      </c>
      <c r="S1627">
        <f>Mitigation_Industry!S648-Fund_Industry!S313</f>
        <v>0</v>
      </c>
      <c r="T1627">
        <f>Mitigation_Industry!T648-Fund_Industry!T313</f>
        <v>0</v>
      </c>
      <c r="U1627">
        <f>Mitigation_Industry!U648-Fund_Industry!U313</f>
        <v>0</v>
      </c>
      <c r="V1627">
        <f>Mitigation_Industry!V648-Fund_Industry!V313</f>
        <v>0</v>
      </c>
      <c r="W1627">
        <f>Mitigation_Industry!W648-Fund_Industry!W313</f>
        <v>0</v>
      </c>
      <c r="X1627">
        <f>Mitigation_Industry!X648-Fund_Industry!X313</f>
        <v>0</v>
      </c>
      <c r="Y1627">
        <f>Mitigation_Industry!Y648-Fund_Industry!Y313</f>
        <v>0</v>
      </c>
      <c r="Z1627">
        <f>Mitigation_Industry!Z648-Fund_Industry!Z313</f>
        <v>0</v>
      </c>
      <c r="AA1627">
        <f>Mitigation_Industry!AA648-Fund_Industry!AA313</f>
        <v>0</v>
      </c>
      <c r="AB1627">
        <f>Mitigation_Industry!AB648-Fund_Industry!AB313</f>
        <v>0</v>
      </c>
      <c r="AC1627">
        <f>Mitigation_Industry!AC648-Fund_Industry!AC313</f>
        <v>0</v>
      </c>
      <c r="AD1627">
        <f>Mitigation_Industry!AD648-Fund_Industry!AD313</f>
        <v>0</v>
      </c>
      <c r="AE1627">
        <f>Mitigation_Industry!AE648-Fund_Industry!AE313</f>
        <v>0</v>
      </c>
    </row>
    <row r="1628" spans="1:31" x14ac:dyDescent="0.45">
      <c r="A1628" t="s">
        <v>2756</v>
      </c>
      <c r="D1628">
        <v>1</v>
      </c>
      <c r="E1628" t="s">
        <v>1161</v>
      </c>
      <c r="F1628">
        <f>MAX(MAX(L1628:AE1628),-MIN(L1628:AE1628))</f>
        <v>0</v>
      </c>
      <c r="I1628">
        <v>0</v>
      </c>
      <c r="L1628">
        <f>Mitigation_Industry!L63-INDEX(L$1670:L$1771,MATCH("v2:ener:1:irn:",$A$1670:$A$1771,0))</f>
        <v>0</v>
      </c>
      <c r="M1628">
        <f>Mitigation_Industry!M63-INDEX(M$1670:M$1771,MATCH("v2:ener:1:irn:",$A$1670:$A$1771,0))</f>
        <v>0</v>
      </c>
      <c r="N1628">
        <f>Mitigation_Industry!N63-INDEX(N$1670:N$1771,MATCH("v2:ener:1:irn:",$A$1670:$A$1771,0))</f>
        <v>0</v>
      </c>
      <c r="O1628">
        <f>Mitigation_Industry!O63-INDEX(O$1670:O$1771,MATCH("v2:ener:1:irn:",$A$1670:$A$1771,0))</f>
        <v>0</v>
      </c>
      <c r="P1628">
        <f>Mitigation_Industry!P63-INDEX(P$1670:P$1771,MATCH("v2:ener:1:irn:",$A$1670:$A$1771,0))</f>
        <v>0</v>
      </c>
      <c r="Q1628">
        <f>Mitigation_Industry!Q63-INDEX(Q$1670:Q$1771,MATCH("v2:ener:1:irn:",$A$1670:$A$1771,0))</f>
        <v>0</v>
      </c>
      <c r="R1628">
        <f>Mitigation_Industry!R63-INDEX(R$1670:R$1771,MATCH("v2:ener:1:irn:",$A$1670:$A$1771,0))</f>
        <v>0</v>
      </c>
      <c r="S1628">
        <f>Mitigation_Industry!S63-INDEX(S$1670:S$1771,MATCH("v2:ener:1:irn:",$A$1670:$A$1771,0))</f>
        <v>0</v>
      </c>
      <c r="T1628">
        <f>Mitigation_Industry!T63-INDEX(T$1670:T$1771,MATCH("v2:ener:1:irn:",$A$1670:$A$1771,0))</f>
        <v>0</v>
      </c>
      <c r="U1628">
        <f>Mitigation_Industry!U63-INDEX(U$1670:U$1771,MATCH("v2:ener:1:irn:",$A$1670:$A$1771,0))</f>
        <v>0</v>
      </c>
      <c r="V1628">
        <f>Mitigation_Industry!V63-INDEX(V$1670:V$1771,MATCH("v2:ener:1:irn:",$A$1670:$A$1771,0))</f>
        <v>0</v>
      </c>
      <c r="W1628">
        <f>Mitigation_Industry!W63-INDEX(W$1670:W$1771,MATCH("v2:ener:1:irn:",$A$1670:$A$1771,0))</f>
        <v>0</v>
      </c>
      <c r="X1628">
        <f>Mitigation_Industry!X63-INDEX(X$1670:X$1771,MATCH("v2:ener:1:irn:",$A$1670:$A$1771,0))</f>
        <v>0</v>
      </c>
      <c r="Y1628">
        <f>Mitigation_Industry!Y63-INDEX(Y$1670:Y$1771,MATCH("v2:ener:1:irn:",$A$1670:$A$1771,0))</f>
        <v>0</v>
      </c>
      <c r="Z1628">
        <f>Mitigation_Industry!Z63-INDEX(Z$1670:Z$1771,MATCH("v2:ener:1:irn:",$A$1670:$A$1771,0))</f>
        <v>0</v>
      </c>
      <c r="AA1628">
        <f>Mitigation_Industry!AA63-INDEX(AA$1670:AA$1771,MATCH("v2:ener:1:irn:",$A$1670:$A$1771,0))</f>
        <v>0</v>
      </c>
      <c r="AB1628">
        <f>Mitigation_Industry!AB63-INDEX(AB$1670:AB$1771,MATCH("v2:ener:1:irn:",$A$1670:$A$1771,0))</f>
        <v>0</v>
      </c>
      <c r="AC1628">
        <f>Mitigation_Industry!AC63-INDEX(AC$1670:AC$1771,MATCH("v2:ener:1:irn:",$A$1670:$A$1771,0))</f>
        <v>0</v>
      </c>
      <c r="AD1628">
        <f>Mitigation_Industry!AD63-INDEX(AD$1670:AD$1771,MATCH("v2:ener:1:irn:",$A$1670:$A$1771,0))</f>
        <v>0</v>
      </c>
      <c r="AE1628">
        <f>Mitigation_Industry!AE63-INDEX(AE$1670:AE$1771,MATCH("v2:ener:1:irn:",$A$1670:$A$1771,0))</f>
        <v>0</v>
      </c>
    </row>
    <row r="1629" spans="1:31" x14ac:dyDescent="0.45">
      <c r="A1629" t="s">
        <v>2757</v>
      </c>
      <c r="D1629">
        <v>1</v>
      </c>
      <c r="E1629" t="s">
        <v>1161</v>
      </c>
      <c r="F1629">
        <f>MAX(MAX(L1629:AE1629),-MIN(L1629:AE1629))</f>
        <v>0</v>
      </c>
      <c r="I1629">
        <v>0</v>
      </c>
      <c r="L1629">
        <f>Mitigation_Industry!L123-INDEX(L$1670:L$1771,MATCH("v2:ener:1:cem:",$A$1670:$A$1771,0))</f>
        <v>0</v>
      </c>
      <c r="M1629">
        <f>Mitigation_Industry!M123-INDEX(M$1670:M$1771,MATCH("v2:ener:1:cem:",$A$1670:$A$1771,0))</f>
        <v>0</v>
      </c>
      <c r="N1629">
        <f>Mitigation_Industry!N123-INDEX(N$1670:N$1771,MATCH("v2:ener:1:cem:",$A$1670:$A$1771,0))</f>
        <v>0</v>
      </c>
      <c r="O1629">
        <f>Mitigation_Industry!O123-INDEX(O$1670:O$1771,MATCH("v2:ener:1:cem:",$A$1670:$A$1771,0))</f>
        <v>0</v>
      </c>
      <c r="P1629">
        <f>Mitigation_Industry!P123-INDEX(P$1670:P$1771,MATCH("v2:ener:1:cem:",$A$1670:$A$1771,0))</f>
        <v>0</v>
      </c>
      <c r="Q1629">
        <f>Mitigation_Industry!Q123-INDEX(Q$1670:Q$1771,MATCH("v2:ener:1:cem:",$A$1670:$A$1771,0))</f>
        <v>0</v>
      </c>
      <c r="R1629">
        <f>Mitigation_Industry!R123-INDEX(R$1670:R$1771,MATCH("v2:ener:1:cem:",$A$1670:$A$1771,0))</f>
        <v>0</v>
      </c>
      <c r="S1629">
        <f>Mitigation_Industry!S123-INDEX(S$1670:S$1771,MATCH("v2:ener:1:cem:",$A$1670:$A$1771,0))</f>
        <v>0</v>
      </c>
      <c r="T1629">
        <f>Mitigation_Industry!T123-INDEX(T$1670:T$1771,MATCH("v2:ener:1:cem:",$A$1670:$A$1771,0))</f>
        <v>0</v>
      </c>
      <c r="U1629">
        <f>Mitigation_Industry!U123-INDEX(U$1670:U$1771,MATCH("v2:ener:1:cem:",$A$1670:$A$1771,0))</f>
        <v>0</v>
      </c>
      <c r="V1629">
        <f>Mitigation_Industry!V123-INDEX(V$1670:V$1771,MATCH("v2:ener:1:cem:",$A$1670:$A$1771,0))</f>
        <v>0</v>
      </c>
      <c r="W1629">
        <f>Mitigation_Industry!W123-INDEX(W$1670:W$1771,MATCH("v2:ener:1:cem:",$A$1670:$A$1771,0))</f>
        <v>0</v>
      </c>
      <c r="X1629">
        <f>Mitigation_Industry!X123-INDEX(X$1670:X$1771,MATCH("v2:ener:1:cem:",$A$1670:$A$1771,0))</f>
        <v>0</v>
      </c>
      <c r="Y1629">
        <f>Mitigation_Industry!Y123-INDEX(Y$1670:Y$1771,MATCH("v2:ener:1:cem:",$A$1670:$A$1771,0))</f>
        <v>0</v>
      </c>
      <c r="Z1629">
        <f>Mitigation_Industry!Z123-INDEX(Z$1670:Z$1771,MATCH("v2:ener:1:cem:",$A$1670:$A$1771,0))</f>
        <v>0</v>
      </c>
      <c r="AA1629">
        <f>Mitigation_Industry!AA123-INDEX(AA$1670:AA$1771,MATCH("v2:ener:1:cem:",$A$1670:$A$1771,0))</f>
        <v>0</v>
      </c>
      <c r="AB1629">
        <f>Mitigation_Industry!AB123-INDEX(AB$1670:AB$1771,MATCH("v2:ener:1:cem:",$A$1670:$A$1771,0))</f>
        <v>0</v>
      </c>
      <c r="AC1629">
        <f>Mitigation_Industry!AC123-INDEX(AC$1670:AC$1771,MATCH("v2:ener:1:cem:",$A$1670:$A$1771,0))</f>
        <v>0</v>
      </c>
      <c r="AD1629">
        <f>Mitigation_Industry!AD123-INDEX(AD$1670:AD$1771,MATCH("v2:ener:1:cem:",$A$1670:$A$1771,0))</f>
        <v>0</v>
      </c>
      <c r="AE1629">
        <f>Mitigation_Industry!AE123-INDEX(AE$1670:AE$1771,MATCH("v2:ener:1:cem:",$A$1670:$A$1771,0))</f>
        <v>0</v>
      </c>
    </row>
    <row r="1630" spans="1:31" x14ac:dyDescent="0.45">
      <c r="A1630" t="s">
        <v>2758</v>
      </c>
      <c r="D1630">
        <v>1</v>
      </c>
      <c r="E1630" t="s">
        <v>1161</v>
      </c>
      <c r="F1630">
        <f>MAX(MAX(L1630:AE1630),-MIN(L1630:AE1630))</f>
        <v>0</v>
      </c>
      <c r="I1630">
        <v>0</v>
      </c>
      <c r="L1630">
        <f>Mitigation_Industry!L183-INDEX(L$1670:L$1771,MATCH("v2:ener:1:nfm:",$A$1670:$A$1771,0))</f>
        <v>0</v>
      </c>
      <c r="M1630">
        <f>Mitigation_Industry!M183-INDEX(M$1670:M$1771,MATCH("v2:ener:1:nfm:",$A$1670:$A$1771,0))</f>
        <v>0</v>
      </c>
      <c r="N1630">
        <f>Mitigation_Industry!N183-INDEX(N$1670:N$1771,MATCH("v2:ener:1:nfm:",$A$1670:$A$1771,0))</f>
        <v>0</v>
      </c>
      <c r="O1630">
        <f>Mitigation_Industry!O183-INDEX(O$1670:O$1771,MATCH("v2:ener:1:nfm:",$A$1670:$A$1771,0))</f>
        <v>0</v>
      </c>
      <c r="P1630">
        <f>Mitigation_Industry!P183-INDEX(P$1670:P$1771,MATCH("v2:ener:1:nfm:",$A$1670:$A$1771,0))</f>
        <v>0</v>
      </c>
      <c r="Q1630">
        <f>Mitigation_Industry!Q183-INDEX(Q$1670:Q$1771,MATCH("v2:ener:1:nfm:",$A$1670:$A$1771,0))</f>
        <v>0</v>
      </c>
      <c r="R1630">
        <f>Mitigation_Industry!R183-INDEX(R$1670:R$1771,MATCH("v2:ener:1:nfm:",$A$1670:$A$1771,0))</f>
        <v>0</v>
      </c>
      <c r="S1630">
        <f>Mitigation_Industry!S183-INDEX(S$1670:S$1771,MATCH("v2:ener:1:nfm:",$A$1670:$A$1771,0))</f>
        <v>0</v>
      </c>
      <c r="T1630">
        <f>Mitigation_Industry!T183-INDEX(T$1670:T$1771,MATCH("v2:ener:1:nfm:",$A$1670:$A$1771,0))</f>
        <v>0</v>
      </c>
      <c r="U1630">
        <f>Mitigation_Industry!U183-INDEX(U$1670:U$1771,MATCH("v2:ener:1:nfm:",$A$1670:$A$1771,0))</f>
        <v>0</v>
      </c>
      <c r="V1630">
        <f>Mitigation_Industry!V183-INDEX(V$1670:V$1771,MATCH("v2:ener:1:nfm:",$A$1670:$A$1771,0))</f>
        <v>0</v>
      </c>
      <c r="W1630">
        <f>Mitigation_Industry!W183-INDEX(W$1670:W$1771,MATCH("v2:ener:1:nfm:",$A$1670:$A$1771,0))</f>
        <v>0</v>
      </c>
      <c r="X1630">
        <f>Mitigation_Industry!X183-INDEX(X$1670:X$1771,MATCH("v2:ener:1:nfm:",$A$1670:$A$1771,0))</f>
        <v>0</v>
      </c>
      <c r="Y1630">
        <f>Mitigation_Industry!Y183-INDEX(Y$1670:Y$1771,MATCH("v2:ener:1:nfm:",$A$1670:$A$1771,0))</f>
        <v>0</v>
      </c>
      <c r="Z1630">
        <f>Mitigation_Industry!Z183-INDEX(Z$1670:Z$1771,MATCH("v2:ener:1:nfm:",$A$1670:$A$1771,0))</f>
        <v>0</v>
      </c>
      <c r="AA1630">
        <f>Mitigation_Industry!AA183-INDEX(AA$1670:AA$1771,MATCH("v2:ener:1:nfm:",$A$1670:$A$1771,0))</f>
        <v>0</v>
      </c>
      <c r="AB1630">
        <f>Mitigation_Industry!AB183-INDEX(AB$1670:AB$1771,MATCH("v2:ener:1:nfm:",$A$1670:$A$1771,0))</f>
        <v>0</v>
      </c>
      <c r="AC1630">
        <f>Mitigation_Industry!AC183-INDEX(AC$1670:AC$1771,MATCH("v2:ener:1:nfm:",$A$1670:$A$1771,0))</f>
        <v>0</v>
      </c>
      <c r="AD1630">
        <f>Mitigation_Industry!AD183-INDEX(AD$1670:AD$1771,MATCH("v2:ener:1:nfm:",$A$1670:$A$1771,0))</f>
        <v>0</v>
      </c>
      <c r="AE1630">
        <f>Mitigation_Industry!AE183-INDEX(AE$1670:AE$1771,MATCH("v2:ener:1:nfm:",$A$1670:$A$1771,0))</f>
        <v>0</v>
      </c>
    </row>
    <row r="1631" spans="1:31" x14ac:dyDescent="0.45">
      <c r="A1631" t="s">
        <v>2759</v>
      </c>
      <c r="D1631">
        <v>1</v>
      </c>
      <c r="E1631" t="s">
        <v>1161</v>
      </c>
      <c r="F1631">
        <f>MAX(MAX(L1631:AE1631),-MIN(L1631:AE1631))</f>
        <v>0</v>
      </c>
      <c r="I1631">
        <v>0</v>
      </c>
      <c r="L1631">
        <f>Mitigation_Industry!L243-INDEX(L$1670:L$1771,MATCH("v2:ener:1:mch:",$A$1670:$A$1771,0))</f>
        <v>0</v>
      </c>
      <c r="M1631">
        <f>Mitigation_Industry!M243-INDEX(M$1670:M$1771,MATCH("v2:ener:1:mch:",$A$1670:$A$1771,0))</f>
        <v>0</v>
      </c>
      <c r="N1631">
        <f>Mitigation_Industry!N243-INDEX(N$1670:N$1771,MATCH("v2:ener:1:mch:",$A$1670:$A$1771,0))</f>
        <v>0</v>
      </c>
      <c r="O1631">
        <f>Mitigation_Industry!O243-INDEX(O$1670:O$1771,MATCH("v2:ener:1:mch:",$A$1670:$A$1771,0))</f>
        <v>0</v>
      </c>
      <c r="P1631">
        <f>Mitigation_Industry!P243-INDEX(P$1670:P$1771,MATCH("v2:ener:1:mch:",$A$1670:$A$1771,0))</f>
        <v>0</v>
      </c>
      <c r="Q1631">
        <f>Mitigation_Industry!Q243-INDEX(Q$1670:Q$1771,MATCH("v2:ener:1:mch:",$A$1670:$A$1771,0))</f>
        <v>0</v>
      </c>
      <c r="R1631">
        <f>Mitigation_Industry!R243-INDEX(R$1670:R$1771,MATCH("v2:ener:1:mch:",$A$1670:$A$1771,0))</f>
        <v>0</v>
      </c>
      <c r="S1631">
        <f>Mitigation_Industry!S243-INDEX(S$1670:S$1771,MATCH("v2:ener:1:mch:",$A$1670:$A$1771,0))</f>
        <v>0</v>
      </c>
      <c r="T1631">
        <f>Mitigation_Industry!T243-INDEX(T$1670:T$1771,MATCH("v2:ener:1:mch:",$A$1670:$A$1771,0))</f>
        <v>0</v>
      </c>
      <c r="U1631">
        <f>Mitigation_Industry!U243-INDEX(U$1670:U$1771,MATCH("v2:ener:1:mch:",$A$1670:$A$1771,0))</f>
        <v>0</v>
      </c>
      <c r="V1631">
        <f>Mitigation_Industry!V243-INDEX(V$1670:V$1771,MATCH("v2:ener:1:mch:",$A$1670:$A$1771,0))</f>
        <v>0</v>
      </c>
      <c r="W1631">
        <f>Mitigation_Industry!W243-INDEX(W$1670:W$1771,MATCH("v2:ener:1:mch:",$A$1670:$A$1771,0))</f>
        <v>0</v>
      </c>
      <c r="X1631">
        <f>Mitigation_Industry!X243-INDEX(X$1670:X$1771,MATCH("v2:ener:1:mch:",$A$1670:$A$1771,0))</f>
        <v>0</v>
      </c>
      <c r="Y1631">
        <f>Mitigation_Industry!Y243-INDEX(Y$1670:Y$1771,MATCH("v2:ener:1:mch:",$A$1670:$A$1771,0))</f>
        <v>0</v>
      </c>
      <c r="Z1631">
        <f>Mitigation_Industry!Z243-INDEX(Z$1670:Z$1771,MATCH("v2:ener:1:mch:",$A$1670:$A$1771,0))</f>
        <v>0</v>
      </c>
      <c r="AA1631">
        <f>Mitigation_Industry!AA243-INDEX(AA$1670:AA$1771,MATCH("v2:ener:1:mch:",$A$1670:$A$1771,0))</f>
        <v>0</v>
      </c>
      <c r="AB1631">
        <f>Mitigation_Industry!AB243-INDEX(AB$1670:AB$1771,MATCH("v2:ener:1:mch:",$A$1670:$A$1771,0))</f>
        <v>0</v>
      </c>
      <c r="AC1631">
        <f>Mitigation_Industry!AC243-INDEX(AC$1670:AC$1771,MATCH("v2:ener:1:mch:",$A$1670:$A$1771,0))</f>
        <v>0</v>
      </c>
      <c r="AD1631">
        <f>Mitigation_Industry!AD243-INDEX(AD$1670:AD$1771,MATCH("v2:ener:1:mch:",$A$1670:$A$1771,0))</f>
        <v>0</v>
      </c>
      <c r="AE1631">
        <f>Mitigation_Industry!AE243-INDEX(AE$1670:AE$1771,MATCH("v2:ener:1:mch:",$A$1670:$A$1771,0))</f>
        <v>0</v>
      </c>
    </row>
    <row r="1632" spans="1:31" x14ac:dyDescent="0.45">
      <c r="A1632" t="s">
        <v>2760</v>
      </c>
      <c r="D1632">
        <v>2</v>
      </c>
      <c r="E1632" t="s">
        <v>1161</v>
      </c>
      <c r="F1632">
        <f>MAX(MAX(L1632:AE1632),-MIN(L1632:AE1632))</f>
        <v>0</v>
      </c>
      <c r="I1632">
        <v>0</v>
      </c>
      <c r="L1632">
        <f>IF(Scenarios!$J$27=0,Mitigation_Industry!L462-INDEX(L$1670:L$1771,MATCH("v2:ener:2:irn:"&amp;Settings!$B$10,$A$1670:$A$1771,0)),0)</f>
        <v>0</v>
      </c>
      <c r="M1632">
        <f>IF(Scenarios!$J$27=0,Mitigation_Industry!M462-INDEX(M$1670:M$1771,MATCH("v2:ener:2:irn:"&amp;Settings!$B$10,$A$1670:$A$1771,0)),0)</f>
        <v>0</v>
      </c>
      <c r="N1632">
        <f>IF(Scenarios!$J$27=0,Mitigation_Industry!N462-INDEX(N$1670:N$1771,MATCH("v2:ener:2:irn:"&amp;Settings!$B$10,$A$1670:$A$1771,0)),0)</f>
        <v>0</v>
      </c>
      <c r="O1632">
        <f>IF(Scenarios!$J$27=0,Mitigation_Industry!O462-INDEX(O$1670:O$1771,MATCH("v2:ener:2:irn:"&amp;Settings!$B$10,$A$1670:$A$1771,0)),0)</f>
        <v>0</v>
      </c>
      <c r="P1632">
        <f>IF(Scenarios!$J$27=0,Mitigation_Industry!P462-INDEX(P$1670:P$1771,MATCH("v2:ener:2:irn:"&amp;Settings!$B$10,$A$1670:$A$1771,0)),0)</f>
        <v>0</v>
      </c>
      <c r="Q1632">
        <f>IF(Scenarios!$J$27=0,Mitigation_Industry!Q462-INDEX(Q$1670:Q$1771,MATCH("v2:ener:2:irn:"&amp;Settings!$B$10,$A$1670:$A$1771,0)),0)</f>
        <v>0</v>
      </c>
      <c r="R1632">
        <f>IF(Scenarios!$J$27=0,Mitigation_Industry!R462-INDEX(R$1670:R$1771,MATCH("v2:ener:2:irn:"&amp;Settings!$B$10,$A$1670:$A$1771,0)),0)</f>
        <v>0</v>
      </c>
      <c r="S1632">
        <f>IF(Scenarios!$J$27=0,Mitigation_Industry!S462-INDEX(S$1670:S$1771,MATCH("v2:ener:2:irn:"&amp;Settings!$B$10,$A$1670:$A$1771,0)),0)</f>
        <v>0</v>
      </c>
      <c r="T1632">
        <f>IF(Scenarios!$J$27=0,Mitigation_Industry!T462-INDEX(T$1670:T$1771,MATCH("v2:ener:2:irn:"&amp;Settings!$B$10,$A$1670:$A$1771,0)),0)</f>
        <v>0</v>
      </c>
      <c r="U1632">
        <f>IF(Scenarios!$J$27=0,Mitigation_Industry!U462-INDEX(U$1670:U$1771,MATCH("v2:ener:2:irn:"&amp;Settings!$B$10,$A$1670:$A$1771,0)),0)</f>
        <v>0</v>
      </c>
      <c r="V1632">
        <f>IF(Scenarios!$J$27=0,Mitigation_Industry!V462-INDEX(V$1670:V$1771,MATCH("v2:ener:2:irn:"&amp;Settings!$B$10,$A$1670:$A$1771,0)),0)</f>
        <v>0</v>
      </c>
      <c r="W1632">
        <f>IF(Scenarios!$J$27=0,Mitigation_Industry!W462-INDEX(W$1670:W$1771,MATCH("v2:ener:2:irn:"&amp;Settings!$B$10,$A$1670:$A$1771,0)),0)</f>
        <v>0</v>
      </c>
      <c r="X1632">
        <f>IF(Scenarios!$J$27=0,Mitigation_Industry!X462-INDEX(X$1670:X$1771,MATCH("v2:ener:2:irn:"&amp;Settings!$B$10,$A$1670:$A$1771,0)),0)</f>
        <v>0</v>
      </c>
      <c r="Y1632">
        <f>IF(Scenarios!$J$27=0,Mitigation_Industry!Y462-INDEX(Y$1670:Y$1771,MATCH("v2:ener:2:irn:"&amp;Settings!$B$10,$A$1670:$A$1771,0)),0)</f>
        <v>0</v>
      </c>
      <c r="Z1632">
        <f>IF(Scenarios!$J$27=0,Mitigation_Industry!Z462-INDEX(Z$1670:Z$1771,MATCH("v2:ener:2:irn:"&amp;Settings!$B$10,$A$1670:$A$1771,0)),0)</f>
        <v>0</v>
      </c>
      <c r="AA1632">
        <f>IF(Scenarios!$J$27=0,Mitigation_Industry!AA462-INDEX(AA$1670:AA$1771,MATCH("v2:ener:2:irn:"&amp;Settings!$B$10,$A$1670:$A$1771,0)),0)</f>
        <v>0</v>
      </c>
      <c r="AB1632">
        <f>IF(Scenarios!$J$27=0,Mitigation_Industry!AB462-INDEX(AB$1670:AB$1771,MATCH("v2:ener:2:irn:"&amp;Settings!$B$10,$A$1670:$A$1771,0)),0)</f>
        <v>0</v>
      </c>
      <c r="AC1632">
        <f>IF(Scenarios!$J$27=0,Mitigation_Industry!AC462-INDEX(AC$1670:AC$1771,MATCH("v2:ener:2:irn:"&amp;Settings!$B$10,$A$1670:$A$1771,0)),0)</f>
        <v>0</v>
      </c>
      <c r="AD1632">
        <f>IF(Scenarios!$J$27=0,Mitigation_Industry!AD462-INDEX(AD$1670:AD$1771,MATCH("v2:ener:2:irn:"&amp;Settings!$B$10,$A$1670:$A$1771,0)),0)</f>
        <v>0</v>
      </c>
      <c r="AE1632">
        <f>IF(Scenarios!$J$27=0,Mitigation_Industry!AE462-INDEX(AE$1670:AE$1771,MATCH("v2:ener:2:irn:"&amp;Settings!$B$10,$A$1670:$A$1771,0)),0)</f>
        <v>0</v>
      </c>
    </row>
    <row r="1633" spans="1:31" x14ac:dyDescent="0.45">
      <c r="A1633" t="s">
        <v>2761</v>
      </c>
      <c r="D1633">
        <v>2</v>
      </c>
      <c r="E1633" t="s">
        <v>1161</v>
      </c>
      <c r="F1633">
        <f>MAX(MAX(L1633:AE1633),-MIN(L1633:AE1633))</f>
        <v>0</v>
      </c>
      <c r="I1633">
        <v>0</v>
      </c>
      <c r="L1633">
        <f>IF(Scenarios!$J$27=0,Mitigation_Industry!L522-INDEX(L$1670:L$1771,MATCH("v2:ener:2:cem:"&amp;Settings!$B$10,$A$1670:$A$1771,0)),0)</f>
        <v>0</v>
      </c>
      <c r="M1633">
        <f>IF(Scenarios!$J$27=0,Mitigation_Industry!M522-INDEX(M$1670:M$1771,MATCH("v2:ener:2:cem:"&amp;Settings!$B$10,$A$1670:$A$1771,0)),0)</f>
        <v>0</v>
      </c>
      <c r="N1633">
        <f>IF(Scenarios!$J$27=0,Mitigation_Industry!N522-INDEX(N$1670:N$1771,MATCH("v2:ener:2:cem:"&amp;Settings!$B$10,$A$1670:$A$1771,0)),0)</f>
        <v>0</v>
      </c>
      <c r="O1633">
        <f>IF(Scenarios!$J$27=0,Mitigation_Industry!O522-INDEX(O$1670:O$1771,MATCH("v2:ener:2:cem:"&amp;Settings!$B$10,$A$1670:$A$1771,0)),0)</f>
        <v>0</v>
      </c>
      <c r="P1633">
        <f>IF(Scenarios!$J$27=0,Mitigation_Industry!P522-INDEX(P$1670:P$1771,MATCH("v2:ener:2:cem:"&amp;Settings!$B$10,$A$1670:$A$1771,0)),0)</f>
        <v>0</v>
      </c>
      <c r="Q1633">
        <f>IF(Scenarios!$J$27=0,Mitigation_Industry!Q522-INDEX(Q$1670:Q$1771,MATCH("v2:ener:2:cem:"&amp;Settings!$B$10,$A$1670:$A$1771,0)),0)</f>
        <v>0</v>
      </c>
      <c r="R1633">
        <f>IF(Scenarios!$J$27=0,Mitigation_Industry!R522-INDEX(R$1670:R$1771,MATCH("v2:ener:2:cem:"&amp;Settings!$B$10,$A$1670:$A$1771,0)),0)</f>
        <v>0</v>
      </c>
      <c r="S1633">
        <f>IF(Scenarios!$J$27=0,Mitigation_Industry!S522-INDEX(S$1670:S$1771,MATCH("v2:ener:2:cem:"&amp;Settings!$B$10,$A$1670:$A$1771,0)),0)</f>
        <v>0</v>
      </c>
      <c r="T1633">
        <f>IF(Scenarios!$J$27=0,Mitigation_Industry!T522-INDEX(T$1670:T$1771,MATCH("v2:ener:2:cem:"&amp;Settings!$B$10,$A$1670:$A$1771,0)),0)</f>
        <v>0</v>
      </c>
      <c r="U1633">
        <f>IF(Scenarios!$J$27=0,Mitigation_Industry!U522-INDEX(U$1670:U$1771,MATCH("v2:ener:2:cem:"&amp;Settings!$B$10,$A$1670:$A$1771,0)),0)</f>
        <v>0</v>
      </c>
      <c r="V1633">
        <f>IF(Scenarios!$J$27=0,Mitigation_Industry!V522-INDEX(V$1670:V$1771,MATCH("v2:ener:2:cem:"&amp;Settings!$B$10,$A$1670:$A$1771,0)),0)</f>
        <v>0</v>
      </c>
      <c r="W1633">
        <f>IF(Scenarios!$J$27=0,Mitigation_Industry!W522-INDEX(W$1670:W$1771,MATCH("v2:ener:2:cem:"&amp;Settings!$B$10,$A$1670:$A$1771,0)),0)</f>
        <v>0</v>
      </c>
      <c r="X1633">
        <f>IF(Scenarios!$J$27=0,Mitigation_Industry!X522-INDEX(X$1670:X$1771,MATCH("v2:ener:2:cem:"&amp;Settings!$B$10,$A$1670:$A$1771,0)),0)</f>
        <v>0</v>
      </c>
      <c r="Y1633">
        <f>IF(Scenarios!$J$27=0,Mitigation_Industry!Y522-INDEX(Y$1670:Y$1771,MATCH("v2:ener:2:cem:"&amp;Settings!$B$10,$A$1670:$A$1771,0)),0)</f>
        <v>0</v>
      </c>
      <c r="Z1633">
        <f>IF(Scenarios!$J$27=0,Mitigation_Industry!Z522-INDEX(Z$1670:Z$1771,MATCH("v2:ener:2:cem:"&amp;Settings!$B$10,$A$1670:$A$1771,0)),0)</f>
        <v>0</v>
      </c>
      <c r="AA1633">
        <f>IF(Scenarios!$J$27=0,Mitigation_Industry!AA522-INDEX(AA$1670:AA$1771,MATCH("v2:ener:2:cem:"&amp;Settings!$B$10,$A$1670:$A$1771,0)),0)</f>
        <v>0</v>
      </c>
      <c r="AB1633">
        <f>IF(Scenarios!$J$27=0,Mitigation_Industry!AB522-INDEX(AB$1670:AB$1771,MATCH("v2:ener:2:cem:"&amp;Settings!$B$10,$A$1670:$A$1771,0)),0)</f>
        <v>0</v>
      </c>
      <c r="AC1633">
        <f>IF(Scenarios!$J$27=0,Mitigation_Industry!AC522-INDEX(AC$1670:AC$1771,MATCH("v2:ener:2:cem:"&amp;Settings!$B$10,$A$1670:$A$1771,0)),0)</f>
        <v>0</v>
      </c>
      <c r="AD1633">
        <f>IF(Scenarios!$J$27=0,Mitigation_Industry!AD522-INDEX(AD$1670:AD$1771,MATCH("v2:ener:2:cem:"&amp;Settings!$B$10,$A$1670:$A$1771,0)),0)</f>
        <v>0</v>
      </c>
      <c r="AE1633">
        <f>IF(Scenarios!$J$27=0,Mitigation_Industry!AE522-INDEX(AE$1670:AE$1771,MATCH("v2:ener:2:cem:"&amp;Settings!$B$10,$A$1670:$A$1771,0)),0)</f>
        <v>0</v>
      </c>
    </row>
    <row r="1634" spans="1:31" x14ac:dyDescent="0.45">
      <c r="A1634" t="s">
        <v>2762</v>
      </c>
      <c r="D1634">
        <v>2</v>
      </c>
      <c r="E1634" t="s">
        <v>1161</v>
      </c>
      <c r="F1634">
        <f>MAX(MAX(L1634:AE1634),-MIN(L1634:AE1634))</f>
        <v>0</v>
      </c>
      <c r="I1634">
        <v>0</v>
      </c>
      <c r="L1634">
        <f>IF(Scenarios!$J$27=0,Mitigation_Industry!L582-INDEX(L$1670:L$1771,MATCH("v2:ener:2:nfm:"&amp;Settings!$B$10,$A$1670:$A$1771,0)),0)</f>
        <v>0</v>
      </c>
      <c r="M1634">
        <f>IF(Scenarios!$J$27=0,Mitigation_Industry!M582-INDEX(M$1670:M$1771,MATCH("v2:ener:2:nfm:"&amp;Settings!$B$10,$A$1670:$A$1771,0)),0)</f>
        <v>0</v>
      </c>
      <c r="N1634">
        <f>IF(Scenarios!$J$27=0,Mitigation_Industry!N582-INDEX(N$1670:N$1771,MATCH("v2:ener:2:nfm:"&amp;Settings!$B$10,$A$1670:$A$1771,0)),0)</f>
        <v>0</v>
      </c>
      <c r="O1634">
        <f>IF(Scenarios!$J$27=0,Mitigation_Industry!O582-INDEX(O$1670:O$1771,MATCH("v2:ener:2:nfm:"&amp;Settings!$B$10,$A$1670:$A$1771,0)),0)</f>
        <v>0</v>
      </c>
      <c r="P1634">
        <f>IF(Scenarios!$J$27=0,Mitigation_Industry!P582-INDEX(P$1670:P$1771,MATCH("v2:ener:2:nfm:"&amp;Settings!$B$10,$A$1670:$A$1771,0)),0)</f>
        <v>0</v>
      </c>
      <c r="Q1634">
        <f>IF(Scenarios!$J$27=0,Mitigation_Industry!Q582-INDEX(Q$1670:Q$1771,MATCH("v2:ener:2:nfm:"&amp;Settings!$B$10,$A$1670:$A$1771,0)),0)</f>
        <v>0</v>
      </c>
      <c r="R1634">
        <f>IF(Scenarios!$J$27=0,Mitigation_Industry!R582-INDEX(R$1670:R$1771,MATCH("v2:ener:2:nfm:"&amp;Settings!$B$10,$A$1670:$A$1771,0)),0)</f>
        <v>0</v>
      </c>
      <c r="S1634">
        <f>IF(Scenarios!$J$27=0,Mitigation_Industry!S582-INDEX(S$1670:S$1771,MATCH("v2:ener:2:nfm:"&amp;Settings!$B$10,$A$1670:$A$1771,0)),0)</f>
        <v>0</v>
      </c>
      <c r="T1634">
        <f>IF(Scenarios!$J$27=0,Mitigation_Industry!T582-INDEX(T$1670:T$1771,MATCH("v2:ener:2:nfm:"&amp;Settings!$B$10,$A$1670:$A$1771,0)),0)</f>
        <v>0</v>
      </c>
      <c r="U1634">
        <f>IF(Scenarios!$J$27=0,Mitigation_Industry!U582-INDEX(U$1670:U$1771,MATCH("v2:ener:2:nfm:"&amp;Settings!$B$10,$A$1670:$A$1771,0)),0)</f>
        <v>0</v>
      </c>
      <c r="V1634">
        <f>IF(Scenarios!$J$27=0,Mitigation_Industry!V582-INDEX(V$1670:V$1771,MATCH("v2:ener:2:nfm:"&amp;Settings!$B$10,$A$1670:$A$1771,0)),0)</f>
        <v>0</v>
      </c>
      <c r="W1634">
        <f>IF(Scenarios!$J$27=0,Mitigation_Industry!W582-INDEX(W$1670:W$1771,MATCH("v2:ener:2:nfm:"&amp;Settings!$B$10,$A$1670:$A$1771,0)),0)</f>
        <v>0</v>
      </c>
      <c r="X1634">
        <f>IF(Scenarios!$J$27=0,Mitigation_Industry!X582-INDEX(X$1670:X$1771,MATCH("v2:ener:2:nfm:"&amp;Settings!$B$10,$A$1670:$A$1771,0)),0)</f>
        <v>0</v>
      </c>
      <c r="Y1634">
        <f>IF(Scenarios!$J$27=0,Mitigation_Industry!Y582-INDEX(Y$1670:Y$1771,MATCH("v2:ener:2:nfm:"&amp;Settings!$B$10,$A$1670:$A$1771,0)),0)</f>
        <v>0</v>
      </c>
      <c r="Z1634">
        <f>IF(Scenarios!$J$27=0,Mitigation_Industry!Z582-INDEX(Z$1670:Z$1771,MATCH("v2:ener:2:nfm:"&amp;Settings!$B$10,$A$1670:$A$1771,0)),0)</f>
        <v>0</v>
      </c>
      <c r="AA1634">
        <f>IF(Scenarios!$J$27=0,Mitigation_Industry!AA582-INDEX(AA$1670:AA$1771,MATCH("v2:ener:2:nfm:"&amp;Settings!$B$10,$A$1670:$A$1771,0)),0)</f>
        <v>0</v>
      </c>
      <c r="AB1634">
        <f>IF(Scenarios!$J$27=0,Mitigation_Industry!AB582-INDEX(AB$1670:AB$1771,MATCH("v2:ener:2:nfm:"&amp;Settings!$B$10,$A$1670:$A$1771,0)),0)</f>
        <v>0</v>
      </c>
      <c r="AC1634">
        <f>IF(Scenarios!$J$27=0,Mitigation_Industry!AC582-INDEX(AC$1670:AC$1771,MATCH("v2:ener:2:nfm:"&amp;Settings!$B$10,$A$1670:$A$1771,0)),0)</f>
        <v>0</v>
      </c>
      <c r="AD1634">
        <f>IF(Scenarios!$J$27=0,Mitigation_Industry!AD582-INDEX(AD$1670:AD$1771,MATCH("v2:ener:2:nfm:"&amp;Settings!$B$10,$A$1670:$A$1771,0)),0)</f>
        <v>0</v>
      </c>
      <c r="AE1634">
        <f>IF(Scenarios!$J$27=0,Mitigation_Industry!AE582-INDEX(AE$1670:AE$1771,MATCH("v2:ener:2:nfm:"&amp;Settings!$B$10,$A$1670:$A$1771,0)),0)</f>
        <v>0</v>
      </c>
    </row>
    <row r="1635" spans="1:31" x14ac:dyDescent="0.45">
      <c r="A1635" t="s">
        <v>2763</v>
      </c>
      <c r="D1635">
        <v>2</v>
      </c>
      <c r="E1635" t="s">
        <v>1161</v>
      </c>
      <c r="F1635">
        <f>MAX(MAX(L1635:AE1635),-MIN(L1635:AE1635))</f>
        <v>0</v>
      </c>
      <c r="I1635">
        <v>0</v>
      </c>
      <c r="L1635">
        <f>IF(Scenarios!$J$27=0,Mitigation_Industry!L642-INDEX(L$1670:L$1771,MATCH("v2:ener:2:mch:"&amp;Settings!$B$10,$A$1670:$A$1771,0)),0)</f>
        <v>0</v>
      </c>
      <c r="M1635">
        <f>IF(Scenarios!$J$27=0,Mitigation_Industry!M642-INDEX(M$1670:M$1771,MATCH("v2:ener:2:mch:"&amp;Settings!$B$10,$A$1670:$A$1771,0)),0)</f>
        <v>0</v>
      </c>
      <c r="N1635">
        <f>IF(Scenarios!$J$27=0,Mitigation_Industry!N642-INDEX(N$1670:N$1771,MATCH("v2:ener:2:mch:"&amp;Settings!$B$10,$A$1670:$A$1771,0)),0)</f>
        <v>0</v>
      </c>
      <c r="O1635">
        <f>IF(Scenarios!$J$27=0,Mitigation_Industry!O642-INDEX(O$1670:O$1771,MATCH("v2:ener:2:mch:"&amp;Settings!$B$10,$A$1670:$A$1771,0)),0)</f>
        <v>0</v>
      </c>
      <c r="P1635">
        <f>IF(Scenarios!$J$27=0,Mitigation_Industry!P642-INDEX(P$1670:P$1771,MATCH("v2:ener:2:mch:"&amp;Settings!$B$10,$A$1670:$A$1771,0)),0)</f>
        <v>0</v>
      </c>
      <c r="Q1635">
        <f>IF(Scenarios!$J$27=0,Mitigation_Industry!Q642-INDEX(Q$1670:Q$1771,MATCH("v2:ener:2:mch:"&amp;Settings!$B$10,$A$1670:$A$1771,0)),0)</f>
        <v>0</v>
      </c>
      <c r="R1635">
        <f>IF(Scenarios!$J$27=0,Mitigation_Industry!R642-INDEX(R$1670:R$1771,MATCH("v2:ener:2:mch:"&amp;Settings!$B$10,$A$1670:$A$1771,0)),0)</f>
        <v>0</v>
      </c>
      <c r="S1635">
        <f>IF(Scenarios!$J$27=0,Mitigation_Industry!S642-INDEX(S$1670:S$1771,MATCH("v2:ener:2:mch:"&amp;Settings!$B$10,$A$1670:$A$1771,0)),0)</f>
        <v>0</v>
      </c>
      <c r="T1635">
        <f>IF(Scenarios!$J$27=0,Mitigation_Industry!T642-INDEX(T$1670:T$1771,MATCH("v2:ener:2:mch:"&amp;Settings!$B$10,$A$1670:$A$1771,0)),0)</f>
        <v>0</v>
      </c>
      <c r="U1635">
        <f>IF(Scenarios!$J$27=0,Mitigation_Industry!U642-INDEX(U$1670:U$1771,MATCH("v2:ener:2:mch:"&amp;Settings!$B$10,$A$1670:$A$1771,0)),0)</f>
        <v>0</v>
      </c>
      <c r="V1635">
        <f>IF(Scenarios!$J$27=0,Mitigation_Industry!V642-INDEX(V$1670:V$1771,MATCH("v2:ener:2:mch:"&amp;Settings!$B$10,$A$1670:$A$1771,0)),0)</f>
        <v>0</v>
      </c>
      <c r="W1635">
        <f>IF(Scenarios!$J$27=0,Mitigation_Industry!W642-INDEX(W$1670:W$1771,MATCH("v2:ener:2:mch:"&amp;Settings!$B$10,$A$1670:$A$1771,0)),0)</f>
        <v>0</v>
      </c>
      <c r="X1635">
        <f>IF(Scenarios!$J$27=0,Mitigation_Industry!X642-INDEX(X$1670:X$1771,MATCH("v2:ener:2:mch:"&amp;Settings!$B$10,$A$1670:$A$1771,0)),0)</f>
        <v>0</v>
      </c>
      <c r="Y1635">
        <f>IF(Scenarios!$J$27=0,Mitigation_Industry!Y642-INDEX(Y$1670:Y$1771,MATCH("v2:ener:2:mch:"&amp;Settings!$B$10,$A$1670:$A$1771,0)),0)</f>
        <v>0</v>
      </c>
      <c r="Z1635">
        <f>IF(Scenarios!$J$27=0,Mitigation_Industry!Z642-INDEX(Z$1670:Z$1771,MATCH("v2:ener:2:mch:"&amp;Settings!$B$10,$A$1670:$A$1771,0)),0)</f>
        <v>0</v>
      </c>
      <c r="AA1635">
        <f>IF(Scenarios!$J$27=0,Mitigation_Industry!AA642-INDEX(AA$1670:AA$1771,MATCH("v2:ener:2:mch:"&amp;Settings!$B$10,$A$1670:$A$1771,0)),0)</f>
        <v>0</v>
      </c>
      <c r="AB1635">
        <f>IF(Scenarios!$J$27=0,Mitigation_Industry!AB642-INDEX(AB$1670:AB$1771,MATCH("v2:ener:2:mch:"&amp;Settings!$B$10,$A$1670:$A$1771,0)),0)</f>
        <v>0</v>
      </c>
      <c r="AC1635">
        <f>IF(Scenarios!$J$27=0,Mitigation_Industry!AC642-INDEX(AC$1670:AC$1771,MATCH("v2:ener:2:mch:"&amp;Settings!$B$10,$A$1670:$A$1771,0)),0)</f>
        <v>0</v>
      </c>
      <c r="AD1635">
        <f>IF(Scenarios!$J$27=0,Mitigation_Industry!AD642-INDEX(AD$1670:AD$1771,MATCH("v2:ener:2:mch:"&amp;Settings!$B$10,$A$1670:$A$1771,0)),0)</f>
        <v>0</v>
      </c>
      <c r="AE1635">
        <f>IF(Scenarios!$J$27=0,Mitigation_Industry!AE642-INDEX(AE$1670:AE$1771,MATCH("v2:ener:2:mch:"&amp;Settings!$B$10,$A$1670:$A$1771,0)),0)</f>
        <v>0</v>
      </c>
    </row>
    <row r="1636" spans="1:31" x14ac:dyDescent="0.45">
      <c r="A1636" t="s">
        <v>2764</v>
      </c>
      <c r="D1636">
        <v>2</v>
      </c>
      <c r="E1636" t="s">
        <v>1161</v>
      </c>
      <c r="F1636">
        <f>MAX(MAX(L1636:AE1636),-MIN(L1636:AE1636))</f>
        <v>0</v>
      </c>
      <c r="I1636">
        <v>0</v>
      </c>
      <c r="L1636">
        <f>SUM(Mitigation_Industry!L416:L424)-INDEX(L$1670:L$1771,MATCH("v2:atp:2:irn:"&amp;Settings!$B$10,$A$1670:$A$1771,0))</f>
        <v>0</v>
      </c>
      <c r="M1636">
        <f>SUM(Mitigation_Industry!M416:M424)-INDEX(M$1670:M$1771,MATCH("v2:atp:2:irn:"&amp;Settings!$B$10,$A$1670:$A$1771,0))</f>
        <v>0</v>
      </c>
      <c r="N1636">
        <f>SUM(Mitigation_Industry!N416:N424)-INDEX(N$1670:N$1771,MATCH("v2:atp:2:irn:"&amp;Settings!$B$10,$A$1670:$A$1771,0))</f>
        <v>0</v>
      </c>
      <c r="O1636">
        <f>SUM(Mitigation_Industry!O416:O424)-INDEX(O$1670:O$1771,MATCH("v2:atp:2:irn:"&amp;Settings!$B$10,$A$1670:$A$1771,0))</f>
        <v>0</v>
      </c>
      <c r="P1636">
        <f>SUM(Mitigation_Industry!P416:P424)-INDEX(P$1670:P$1771,MATCH("v2:atp:2:irn:"&amp;Settings!$B$10,$A$1670:$A$1771,0))</f>
        <v>0</v>
      </c>
      <c r="Q1636">
        <f>SUM(Mitigation_Industry!Q416:Q424)-INDEX(Q$1670:Q$1771,MATCH("v2:atp:2:irn:"&amp;Settings!$B$10,$A$1670:$A$1771,0))</f>
        <v>0</v>
      </c>
      <c r="R1636">
        <f>SUM(Mitigation_Industry!R416:R424)-INDEX(R$1670:R$1771,MATCH("v2:atp:2:irn:"&amp;Settings!$B$10,$A$1670:$A$1771,0))</f>
        <v>0</v>
      </c>
      <c r="S1636">
        <f>SUM(Mitigation_Industry!S416:S424)-INDEX(S$1670:S$1771,MATCH("v2:atp:2:irn:"&amp;Settings!$B$10,$A$1670:$A$1771,0))</f>
        <v>0</v>
      </c>
      <c r="T1636">
        <f>SUM(Mitigation_Industry!T416:T424)-INDEX(T$1670:T$1771,MATCH("v2:atp:2:irn:"&amp;Settings!$B$10,$A$1670:$A$1771,0))</f>
        <v>0</v>
      </c>
      <c r="U1636">
        <f>SUM(Mitigation_Industry!U416:U424)-INDEX(U$1670:U$1771,MATCH("v2:atp:2:irn:"&amp;Settings!$B$10,$A$1670:$A$1771,0))</f>
        <v>0</v>
      </c>
      <c r="V1636">
        <f>SUM(Mitigation_Industry!V416:V424)-INDEX(V$1670:V$1771,MATCH("v2:atp:2:irn:"&amp;Settings!$B$10,$A$1670:$A$1771,0))</f>
        <v>0</v>
      </c>
      <c r="W1636">
        <f>SUM(Mitigation_Industry!W416:W424)-INDEX(W$1670:W$1771,MATCH("v2:atp:2:irn:"&amp;Settings!$B$10,$A$1670:$A$1771,0))</f>
        <v>0</v>
      </c>
      <c r="X1636">
        <f>SUM(Mitigation_Industry!X416:X424)-INDEX(X$1670:X$1771,MATCH("v2:atp:2:irn:"&amp;Settings!$B$10,$A$1670:$A$1771,0))</f>
        <v>0</v>
      </c>
      <c r="Y1636">
        <f>SUM(Mitigation_Industry!Y416:Y424)-INDEX(Y$1670:Y$1771,MATCH("v2:atp:2:irn:"&amp;Settings!$B$10,$A$1670:$A$1771,0))</f>
        <v>0</v>
      </c>
      <c r="Z1636">
        <f>SUM(Mitigation_Industry!Z416:Z424)-INDEX(Z$1670:Z$1771,MATCH("v2:atp:2:irn:"&amp;Settings!$B$10,$A$1670:$A$1771,0))</f>
        <v>0</v>
      </c>
      <c r="AA1636">
        <f>SUM(Mitigation_Industry!AA416:AA424)-INDEX(AA$1670:AA$1771,MATCH("v2:atp:2:irn:"&amp;Settings!$B$10,$A$1670:$A$1771,0))</f>
        <v>0</v>
      </c>
      <c r="AB1636">
        <f>SUM(Mitigation_Industry!AB416:AB424)-INDEX(AB$1670:AB$1771,MATCH("v2:atp:2:irn:"&amp;Settings!$B$10,$A$1670:$A$1771,0))</f>
        <v>0</v>
      </c>
      <c r="AC1636">
        <f>SUM(Mitigation_Industry!AC416:AC424)-INDEX(AC$1670:AC$1771,MATCH("v2:atp:2:irn:"&amp;Settings!$B$10,$A$1670:$A$1771,0))</f>
        <v>0</v>
      </c>
      <c r="AD1636">
        <f>SUM(Mitigation_Industry!AD416:AD424)-INDEX(AD$1670:AD$1771,MATCH("v2:atp:2:irn:"&amp;Settings!$B$10,$A$1670:$A$1771,0))</f>
        <v>0</v>
      </c>
      <c r="AE1636">
        <f>SUM(Mitigation_Industry!AE416:AE424)-INDEX(AE$1670:AE$1771,MATCH("v2:atp:2:irn:"&amp;Settings!$B$10,$A$1670:$A$1771,0))</f>
        <v>0</v>
      </c>
    </row>
    <row r="1637" spans="1:31" x14ac:dyDescent="0.45">
      <c r="A1637" t="s">
        <v>2765</v>
      </c>
      <c r="D1637">
        <v>2</v>
      </c>
      <c r="E1637" t="s">
        <v>1161</v>
      </c>
      <c r="F1637">
        <f>MAX(MAX(L1637:AE1637),-MIN(L1637:AE1637))</f>
        <v>0</v>
      </c>
      <c r="I1637">
        <v>0</v>
      </c>
      <c r="L1637">
        <f>SUM(Mitigation_Industry!L476:L484)-INDEX(L$1670:L$1771,MATCH("v2:atp:2:cem:"&amp;Settings!$B$10,$A$1670:$A$1771,0))</f>
        <v>0</v>
      </c>
      <c r="M1637">
        <f>SUM(Mitigation_Industry!M476:M484)-INDEX(M$1670:M$1771,MATCH("v2:atp:2:cem:"&amp;Settings!$B$10,$A$1670:$A$1771,0))</f>
        <v>0</v>
      </c>
      <c r="N1637">
        <f>SUM(Mitigation_Industry!N476:N484)-INDEX(N$1670:N$1771,MATCH("v2:atp:2:cem:"&amp;Settings!$B$10,$A$1670:$A$1771,0))</f>
        <v>0</v>
      </c>
      <c r="O1637">
        <f>SUM(Mitigation_Industry!O476:O484)-INDEX(O$1670:O$1771,MATCH("v2:atp:2:cem:"&amp;Settings!$B$10,$A$1670:$A$1771,0))</f>
        <v>0</v>
      </c>
      <c r="P1637">
        <f>SUM(Mitigation_Industry!P476:P484)-INDEX(P$1670:P$1771,MATCH("v2:atp:2:cem:"&amp;Settings!$B$10,$A$1670:$A$1771,0))</f>
        <v>0</v>
      </c>
      <c r="Q1637">
        <f>SUM(Mitigation_Industry!Q476:Q484)-INDEX(Q$1670:Q$1771,MATCH("v2:atp:2:cem:"&amp;Settings!$B$10,$A$1670:$A$1771,0))</f>
        <v>0</v>
      </c>
      <c r="R1637">
        <f>SUM(Mitigation_Industry!R476:R484)-INDEX(R$1670:R$1771,MATCH("v2:atp:2:cem:"&amp;Settings!$B$10,$A$1670:$A$1771,0))</f>
        <v>0</v>
      </c>
      <c r="S1637">
        <f>SUM(Mitigation_Industry!S476:S484)-INDEX(S$1670:S$1771,MATCH("v2:atp:2:cem:"&amp;Settings!$B$10,$A$1670:$A$1771,0))</f>
        <v>0</v>
      </c>
      <c r="T1637">
        <f>SUM(Mitigation_Industry!T476:T484)-INDEX(T$1670:T$1771,MATCH("v2:atp:2:cem:"&amp;Settings!$B$10,$A$1670:$A$1771,0))</f>
        <v>0</v>
      </c>
      <c r="U1637">
        <f>SUM(Mitigation_Industry!U476:U484)-INDEX(U$1670:U$1771,MATCH("v2:atp:2:cem:"&amp;Settings!$B$10,$A$1670:$A$1771,0))</f>
        <v>0</v>
      </c>
      <c r="V1637">
        <f>SUM(Mitigation_Industry!V476:V484)-INDEX(V$1670:V$1771,MATCH("v2:atp:2:cem:"&amp;Settings!$B$10,$A$1670:$A$1771,0))</f>
        <v>0</v>
      </c>
      <c r="W1637">
        <f>SUM(Mitigation_Industry!W476:W484)-INDEX(W$1670:W$1771,MATCH("v2:atp:2:cem:"&amp;Settings!$B$10,$A$1670:$A$1771,0))</f>
        <v>0</v>
      </c>
      <c r="X1637">
        <f>SUM(Mitigation_Industry!X476:X484)-INDEX(X$1670:X$1771,MATCH("v2:atp:2:cem:"&amp;Settings!$B$10,$A$1670:$A$1771,0))</f>
        <v>0</v>
      </c>
      <c r="Y1637">
        <f>SUM(Mitigation_Industry!Y476:Y484)-INDEX(Y$1670:Y$1771,MATCH("v2:atp:2:cem:"&amp;Settings!$B$10,$A$1670:$A$1771,0))</f>
        <v>0</v>
      </c>
      <c r="Z1637">
        <f>SUM(Mitigation_Industry!Z476:Z484)-INDEX(Z$1670:Z$1771,MATCH("v2:atp:2:cem:"&amp;Settings!$B$10,$A$1670:$A$1771,0))</f>
        <v>0</v>
      </c>
      <c r="AA1637">
        <f>SUM(Mitigation_Industry!AA476:AA484)-INDEX(AA$1670:AA$1771,MATCH("v2:atp:2:cem:"&amp;Settings!$B$10,$A$1670:$A$1771,0))</f>
        <v>0</v>
      </c>
      <c r="AB1637">
        <f>SUM(Mitigation_Industry!AB476:AB484)-INDEX(AB$1670:AB$1771,MATCH("v2:atp:2:cem:"&amp;Settings!$B$10,$A$1670:$A$1771,0))</f>
        <v>0</v>
      </c>
      <c r="AC1637">
        <f>SUM(Mitigation_Industry!AC476:AC484)-INDEX(AC$1670:AC$1771,MATCH("v2:atp:2:cem:"&amp;Settings!$B$10,$A$1670:$A$1771,0))</f>
        <v>0</v>
      </c>
      <c r="AD1637">
        <f>SUM(Mitigation_Industry!AD476:AD484)-INDEX(AD$1670:AD$1771,MATCH("v2:atp:2:cem:"&amp;Settings!$B$10,$A$1670:$A$1771,0))</f>
        <v>0</v>
      </c>
      <c r="AE1637">
        <f>SUM(Mitigation_Industry!AE476:AE484)-INDEX(AE$1670:AE$1771,MATCH("v2:atp:2:cem:"&amp;Settings!$B$10,$A$1670:$A$1771,0))</f>
        <v>0</v>
      </c>
    </row>
    <row r="1638" spans="1:31" x14ac:dyDescent="0.45">
      <c r="A1638" t="s">
        <v>2766</v>
      </c>
      <c r="D1638">
        <v>2</v>
      </c>
      <c r="E1638" t="s">
        <v>1161</v>
      </c>
      <c r="F1638">
        <f>MAX(MAX(L1638:AE1638),-MIN(L1638:AE1638))</f>
        <v>0</v>
      </c>
      <c r="I1638">
        <v>0</v>
      </c>
      <c r="L1638">
        <f>SUM(Mitigation_Industry!L536:L544)-INDEX(L$1670:L$1771,MATCH("v2:atp:2:nfm:"&amp;Settings!$B$10,$A$1670:$A$1771,0))</f>
        <v>0</v>
      </c>
      <c r="M1638">
        <f>SUM(Mitigation_Industry!M536:M544)-INDEX(M$1670:M$1771,MATCH("v2:atp:2:nfm:"&amp;Settings!$B$10,$A$1670:$A$1771,0))</f>
        <v>0</v>
      </c>
      <c r="N1638">
        <f>SUM(Mitigation_Industry!N536:N544)-INDEX(N$1670:N$1771,MATCH("v2:atp:2:nfm:"&amp;Settings!$B$10,$A$1670:$A$1771,0))</f>
        <v>0</v>
      </c>
      <c r="O1638">
        <f>SUM(Mitigation_Industry!O536:O544)-INDEX(O$1670:O$1771,MATCH("v2:atp:2:nfm:"&amp;Settings!$B$10,$A$1670:$A$1771,0))</f>
        <v>0</v>
      </c>
      <c r="P1638">
        <f>SUM(Mitigation_Industry!P536:P544)-INDEX(P$1670:P$1771,MATCH("v2:atp:2:nfm:"&amp;Settings!$B$10,$A$1670:$A$1771,0))</f>
        <v>0</v>
      </c>
      <c r="Q1638">
        <f>SUM(Mitigation_Industry!Q536:Q544)-INDEX(Q$1670:Q$1771,MATCH("v2:atp:2:nfm:"&amp;Settings!$B$10,$A$1670:$A$1771,0))</f>
        <v>0</v>
      </c>
      <c r="R1638">
        <f>SUM(Mitigation_Industry!R536:R544)-INDEX(R$1670:R$1771,MATCH("v2:atp:2:nfm:"&amp;Settings!$B$10,$A$1670:$A$1771,0))</f>
        <v>0</v>
      </c>
      <c r="S1638">
        <f>SUM(Mitigation_Industry!S536:S544)-INDEX(S$1670:S$1771,MATCH("v2:atp:2:nfm:"&amp;Settings!$B$10,$A$1670:$A$1771,0))</f>
        <v>0</v>
      </c>
      <c r="T1638">
        <f>SUM(Mitigation_Industry!T536:T544)-INDEX(T$1670:T$1771,MATCH("v2:atp:2:nfm:"&amp;Settings!$B$10,$A$1670:$A$1771,0))</f>
        <v>0</v>
      </c>
      <c r="U1638">
        <f>SUM(Mitigation_Industry!U536:U544)-INDEX(U$1670:U$1771,MATCH("v2:atp:2:nfm:"&amp;Settings!$B$10,$A$1670:$A$1771,0))</f>
        <v>0</v>
      </c>
      <c r="V1638">
        <f>SUM(Mitigation_Industry!V536:V544)-INDEX(V$1670:V$1771,MATCH("v2:atp:2:nfm:"&amp;Settings!$B$10,$A$1670:$A$1771,0))</f>
        <v>0</v>
      </c>
      <c r="W1638">
        <f>SUM(Mitigation_Industry!W536:W544)-INDEX(W$1670:W$1771,MATCH("v2:atp:2:nfm:"&amp;Settings!$B$10,$A$1670:$A$1771,0))</f>
        <v>0</v>
      </c>
      <c r="X1638">
        <f>SUM(Mitigation_Industry!X536:X544)-INDEX(X$1670:X$1771,MATCH("v2:atp:2:nfm:"&amp;Settings!$B$10,$A$1670:$A$1771,0))</f>
        <v>0</v>
      </c>
      <c r="Y1638">
        <f>SUM(Mitigation_Industry!Y536:Y544)-INDEX(Y$1670:Y$1771,MATCH("v2:atp:2:nfm:"&amp;Settings!$B$10,$A$1670:$A$1771,0))</f>
        <v>0</v>
      </c>
      <c r="Z1638">
        <f>SUM(Mitigation_Industry!Z536:Z544)-INDEX(Z$1670:Z$1771,MATCH("v2:atp:2:nfm:"&amp;Settings!$B$10,$A$1670:$A$1771,0))</f>
        <v>0</v>
      </c>
      <c r="AA1638">
        <f>SUM(Mitigation_Industry!AA536:AA544)-INDEX(AA$1670:AA$1771,MATCH("v2:atp:2:nfm:"&amp;Settings!$B$10,$A$1670:$A$1771,0))</f>
        <v>0</v>
      </c>
      <c r="AB1638">
        <f>SUM(Mitigation_Industry!AB536:AB544)-INDEX(AB$1670:AB$1771,MATCH("v2:atp:2:nfm:"&amp;Settings!$B$10,$A$1670:$A$1771,0))</f>
        <v>0</v>
      </c>
      <c r="AC1638">
        <f>SUM(Mitigation_Industry!AC536:AC544)-INDEX(AC$1670:AC$1771,MATCH("v2:atp:2:nfm:"&amp;Settings!$B$10,$A$1670:$A$1771,0))</f>
        <v>0</v>
      </c>
      <c r="AD1638">
        <f>SUM(Mitigation_Industry!AD536:AD544)-INDEX(AD$1670:AD$1771,MATCH("v2:atp:2:nfm:"&amp;Settings!$B$10,$A$1670:$A$1771,0))</f>
        <v>0</v>
      </c>
      <c r="AE1638">
        <f>SUM(Mitigation_Industry!AE536:AE544)-INDEX(AE$1670:AE$1771,MATCH("v2:atp:2:nfm:"&amp;Settings!$B$10,$A$1670:$A$1771,0))</f>
        <v>0</v>
      </c>
    </row>
    <row r="1639" spans="1:31" x14ac:dyDescent="0.45">
      <c r="A1639" t="s">
        <v>2767</v>
      </c>
      <c r="D1639">
        <v>2</v>
      </c>
      <c r="E1639" t="s">
        <v>1161</v>
      </c>
      <c r="F1639">
        <f>MAX(MAX(L1639:AE1639),-MIN(L1639:AE1639))</f>
        <v>0</v>
      </c>
      <c r="I1639">
        <v>0</v>
      </c>
      <c r="L1639">
        <f>SUM(Mitigation_Industry!L596:L604)-INDEX(L$1670:L$1771,MATCH("v2:atp:2:mch:"&amp;Settings!$B$10,$A$1670:$A$1771,0))</f>
        <v>0</v>
      </c>
      <c r="M1639">
        <f>SUM(Mitigation_Industry!M596:M604)-INDEX(M$1670:M$1771,MATCH("v2:atp:2:mch:"&amp;Settings!$B$10,$A$1670:$A$1771,0))</f>
        <v>0</v>
      </c>
      <c r="N1639">
        <f>SUM(Mitigation_Industry!N596:N604)-INDEX(N$1670:N$1771,MATCH("v2:atp:2:mch:"&amp;Settings!$B$10,$A$1670:$A$1771,0))</f>
        <v>0</v>
      </c>
      <c r="O1639">
        <f>SUM(Mitigation_Industry!O596:O604)-INDEX(O$1670:O$1771,MATCH("v2:atp:2:mch:"&amp;Settings!$B$10,$A$1670:$A$1771,0))</f>
        <v>0</v>
      </c>
      <c r="P1639">
        <f>SUM(Mitigation_Industry!P596:P604)-INDEX(P$1670:P$1771,MATCH("v2:atp:2:mch:"&amp;Settings!$B$10,$A$1670:$A$1771,0))</f>
        <v>0</v>
      </c>
      <c r="Q1639">
        <f>SUM(Mitigation_Industry!Q596:Q604)-INDEX(Q$1670:Q$1771,MATCH("v2:atp:2:mch:"&amp;Settings!$B$10,$A$1670:$A$1771,0))</f>
        <v>0</v>
      </c>
      <c r="R1639">
        <f>SUM(Mitigation_Industry!R596:R604)-INDEX(R$1670:R$1771,MATCH("v2:atp:2:mch:"&amp;Settings!$B$10,$A$1670:$A$1771,0))</f>
        <v>0</v>
      </c>
      <c r="S1639">
        <f>SUM(Mitigation_Industry!S596:S604)-INDEX(S$1670:S$1771,MATCH("v2:atp:2:mch:"&amp;Settings!$B$10,$A$1670:$A$1771,0))</f>
        <v>0</v>
      </c>
      <c r="T1639">
        <f>SUM(Mitigation_Industry!T596:T604)-INDEX(T$1670:T$1771,MATCH("v2:atp:2:mch:"&amp;Settings!$B$10,$A$1670:$A$1771,0))</f>
        <v>0</v>
      </c>
      <c r="U1639">
        <f>SUM(Mitigation_Industry!U596:U604)-INDEX(U$1670:U$1771,MATCH("v2:atp:2:mch:"&amp;Settings!$B$10,$A$1670:$A$1771,0))</f>
        <v>0</v>
      </c>
      <c r="V1639">
        <f>SUM(Mitigation_Industry!V596:V604)-INDEX(V$1670:V$1771,MATCH("v2:atp:2:mch:"&amp;Settings!$B$10,$A$1670:$A$1771,0))</f>
        <v>0</v>
      </c>
      <c r="W1639">
        <f>SUM(Mitigation_Industry!W596:W604)-INDEX(W$1670:W$1771,MATCH("v2:atp:2:mch:"&amp;Settings!$B$10,$A$1670:$A$1771,0))</f>
        <v>0</v>
      </c>
      <c r="X1639">
        <f>SUM(Mitigation_Industry!X596:X604)-INDEX(X$1670:X$1771,MATCH("v2:atp:2:mch:"&amp;Settings!$B$10,$A$1670:$A$1771,0))</f>
        <v>0</v>
      </c>
      <c r="Y1639">
        <f>SUM(Mitigation_Industry!Y596:Y604)-INDEX(Y$1670:Y$1771,MATCH("v2:atp:2:mch:"&amp;Settings!$B$10,$A$1670:$A$1771,0))</f>
        <v>0</v>
      </c>
      <c r="Z1639">
        <f>SUM(Mitigation_Industry!Z596:Z604)-INDEX(Z$1670:Z$1771,MATCH("v2:atp:2:mch:"&amp;Settings!$B$10,$A$1670:$A$1771,0))</f>
        <v>0</v>
      </c>
      <c r="AA1639">
        <f>SUM(Mitigation_Industry!AA596:AA604)-INDEX(AA$1670:AA$1771,MATCH("v2:atp:2:mch:"&amp;Settings!$B$10,$A$1670:$A$1771,0))</f>
        <v>0</v>
      </c>
      <c r="AB1639">
        <f>SUM(Mitigation_Industry!AB596:AB604)-INDEX(AB$1670:AB$1771,MATCH("v2:atp:2:mch:"&amp;Settings!$B$10,$A$1670:$A$1771,0))</f>
        <v>0</v>
      </c>
      <c r="AC1639">
        <f>SUM(Mitigation_Industry!AC596:AC604)-INDEX(AC$1670:AC$1771,MATCH("v2:atp:2:mch:"&amp;Settings!$B$10,$A$1670:$A$1771,0))</f>
        <v>0</v>
      </c>
      <c r="AD1639">
        <f>SUM(Mitigation_Industry!AD596:AD604)-INDEX(AD$1670:AD$1771,MATCH("v2:atp:2:mch:"&amp;Settings!$B$10,$A$1670:$A$1771,0))</f>
        <v>0</v>
      </c>
      <c r="AE1639">
        <f>SUM(Mitigation_Industry!AE596:AE604)-INDEX(AE$1670:AE$1771,MATCH("v2:atp:2:mch:"&amp;Settings!$B$10,$A$1670:$A$1771,0))</f>
        <v>0</v>
      </c>
    </row>
    <row r="1640" spans="1:31" x14ac:dyDescent="0.45">
      <c r="A1640" t="s">
        <v>2768</v>
      </c>
      <c r="D1640">
        <v>2</v>
      </c>
      <c r="E1640" t="s">
        <v>1161</v>
      </c>
      <c r="F1640">
        <f>MAX(MAX(L1640:AE1640),-MIN(L1640:AE1640))</f>
        <v>0</v>
      </c>
      <c r="I1640">
        <v>0</v>
      </c>
      <c r="L1640">
        <f>IF(Scenarios!$J$27=0,Mitigation_Industry!L779-INDEX(L$1670:L$1771,MATCH("v2:emis:2:tot:"&amp;Settings!$B$10,$A$1670:$A$1771,0)),0)</f>
        <v>0</v>
      </c>
      <c r="M1640">
        <f>IF(Scenarios!$J$27=0,Mitigation_Industry!M779-INDEX(M$1670:M$1771,MATCH("v2:emis:2:tot:"&amp;Settings!$B$10,$A$1670:$A$1771,0)),0)</f>
        <v>0</v>
      </c>
      <c r="N1640">
        <f>IF(Scenarios!$J$27=0,Mitigation_Industry!N779-INDEX(N$1670:N$1771,MATCH("v2:emis:2:tot:"&amp;Settings!$B$10,$A$1670:$A$1771,0)),0)</f>
        <v>0</v>
      </c>
      <c r="O1640">
        <f>IF(Scenarios!$J$27=0,Mitigation_Industry!O779-INDEX(O$1670:O$1771,MATCH("v2:emis:2:tot:"&amp;Settings!$B$10,$A$1670:$A$1771,0)),0)</f>
        <v>0</v>
      </c>
      <c r="P1640">
        <f>IF(Scenarios!$J$27=0,Mitigation_Industry!P779-INDEX(P$1670:P$1771,MATCH("v2:emis:2:tot:"&amp;Settings!$B$10,$A$1670:$A$1771,0)),0)</f>
        <v>0</v>
      </c>
      <c r="Q1640">
        <f>IF(Scenarios!$J$27=0,Mitigation_Industry!Q779-INDEX(Q$1670:Q$1771,MATCH("v2:emis:2:tot:"&amp;Settings!$B$10,$A$1670:$A$1771,0)),0)</f>
        <v>0</v>
      </c>
      <c r="R1640">
        <f>IF(Scenarios!$J$27=0,Mitigation_Industry!R779-INDEX(R$1670:R$1771,MATCH("v2:emis:2:tot:"&amp;Settings!$B$10,$A$1670:$A$1771,0)),0)</f>
        <v>0</v>
      </c>
      <c r="S1640">
        <f>IF(Scenarios!$J$27=0,Mitigation_Industry!S779-INDEX(S$1670:S$1771,MATCH("v2:emis:2:tot:"&amp;Settings!$B$10,$A$1670:$A$1771,0)),0)</f>
        <v>0</v>
      </c>
      <c r="T1640">
        <f>IF(Scenarios!$J$27=0,Mitigation_Industry!T779-INDEX(T$1670:T$1771,MATCH("v2:emis:2:tot:"&amp;Settings!$B$10,$A$1670:$A$1771,0)),0)</f>
        <v>0</v>
      </c>
      <c r="U1640">
        <f>IF(Scenarios!$J$27=0,Mitigation_Industry!U779-INDEX(U$1670:U$1771,MATCH("v2:emis:2:tot:"&amp;Settings!$B$10,$A$1670:$A$1771,0)),0)</f>
        <v>0</v>
      </c>
      <c r="V1640">
        <f>IF(Scenarios!$J$27=0,Mitigation_Industry!V779-INDEX(V$1670:V$1771,MATCH("v2:emis:2:tot:"&amp;Settings!$B$10,$A$1670:$A$1771,0)),0)</f>
        <v>0</v>
      </c>
      <c r="W1640">
        <f>IF(Scenarios!$J$27=0,Mitigation_Industry!W779-INDEX(W$1670:W$1771,MATCH("v2:emis:2:tot:"&amp;Settings!$B$10,$A$1670:$A$1771,0)),0)</f>
        <v>0</v>
      </c>
      <c r="X1640">
        <f>IF(Scenarios!$J$27=0,Mitigation_Industry!X779-INDEX(X$1670:X$1771,MATCH("v2:emis:2:tot:"&amp;Settings!$B$10,$A$1670:$A$1771,0)),0)</f>
        <v>0</v>
      </c>
      <c r="Y1640">
        <f>IF(Scenarios!$J$27=0,Mitigation_Industry!Y779-INDEX(Y$1670:Y$1771,MATCH("v2:emis:2:tot:"&amp;Settings!$B$10,$A$1670:$A$1771,0)),0)</f>
        <v>0</v>
      </c>
      <c r="Z1640">
        <f>IF(Scenarios!$J$27=0,Mitigation_Industry!Z779-INDEX(Z$1670:Z$1771,MATCH("v2:emis:2:tot:"&amp;Settings!$B$10,$A$1670:$A$1771,0)),0)</f>
        <v>0</v>
      </c>
      <c r="AA1640">
        <f>IF(Scenarios!$J$27=0,Mitigation_Industry!AA779-INDEX(AA$1670:AA$1771,MATCH("v2:emis:2:tot:"&amp;Settings!$B$10,$A$1670:$A$1771,0)),0)</f>
        <v>0</v>
      </c>
      <c r="AB1640">
        <f>IF(Scenarios!$J$27=0,Mitigation_Industry!AB779-INDEX(AB$1670:AB$1771,MATCH("v2:emis:2:tot:"&amp;Settings!$B$10,$A$1670:$A$1771,0)),0)</f>
        <v>0</v>
      </c>
      <c r="AC1640">
        <f>IF(Scenarios!$J$27=0,Mitigation_Industry!AC779-INDEX(AC$1670:AC$1771,MATCH("v2:emis:2:tot:"&amp;Settings!$B$10,$A$1670:$A$1771,0)),0)</f>
        <v>0</v>
      </c>
      <c r="AD1640">
        <f>IF(Scenarios!$J$27=0,Mitigation_Industry!AD779-INDEX(AD$1670:AD$1771,MATCH("v2:emis:2:tot:"&amp;Settings!$B$10,$A$1670:$A$1771,0)),0)</f>
        <v>0</v>
      </c>
      <c r="AE1640">
        <f>IF(Scenarios!$J$27=0,Mitigation_Industry!AE779-INDEX(AE$1670:AE$1771,MATCH("v2:emis:2:tot:"&amp;Settings!$B$10,$A$1670:$A$1771,0)),0)</f>
        <v>0</v>
      </c>
    </row>
    <row r="1641" spans="1:31" x14ac:dyDescent="0.45">
      <c r="A1641" t="s">
        <v>2769</v>
      </c>
      <c r="D1641">
        <v>2</v>
      </c>
      <c r="E1641" t="s">
        <v>1161</v>
      </c>
      <c r="F1641">
        <f>MAX(MAX(L1641:AE1641),-MIN(L1641:AE1641))</f>
        <v>0</v>
      </c>
      <c r="I1641">
        <v>0</v>
      </c>
      <c r="L1641">
        <f>Rebate_Industry!L217-INDEX(L$1670:L$1771,MATCH("v2:obr:2:tot:"&amp;Settings!$B$10,$A$1670:$A$1771,0))</f>
        <v>0</v>
      </c>
      <c r="M1641">
        <f>Rebate_Industry!M217-INDEX(M$1670:M$1771,MATCH("v2:obr:2:tot:"&amp;Settings!$B$10,$A$1670:$A$1771,0))</f>
        <v>0</v>
      </c>
      <c r="N1641">
        <f>Rebate_Industry!N217-INDEX(N$1670:N$1771,MATCH("v2:obr:2:tot:"&amp;Settings!$B$10,$A$1670:$A$1771,0))</f>
        <v>0</v>
      </c>
      <c r="O1641">
        <f>Rebate_Industry!O217-INDEX(O$1670:O$1771,MATCH("v2:obr:2:tot:"&amp;Settings!$B$10,$A$1670:$A$1771,0))</f>
        <v>0</v>
      </c>
      <c r="P1641">
        <f>Rebate_Industry!P217-INDEX(P$1670:P$1771,MATCH("v2:obr:2:tot:"&amp;Settings!$B$10,$A$1670:$A$1771,0))</f>
        <v>0</v>
      </c>
      <c r="Q1641">
        <f>Rebate_Industry!Q217-INDEX(Q$1670:Q$1771,MATCH("v2:obr:2:tot:"&amp;Settings!$B$10,$A$1670:$A$1771,0))</f>
        <v>0</v>
      </c>
      <c r="R1641">
        <f>Rebate_Industry!R217-INDEX(R$1670:R$1771,MATCH("v2:obr:2:tot:"&amp;Settings!$B$10,$A$1670:$A$1771,0))</f>
        <v>0</v>
      </c>
      <c r="S1641">
        <f>Rebate_Industry!S217-INDEX(S$1670:S$1771,MATCH("v2:obr:2:tot:"&amp;Settings!$B$10,$A$1670:$A$1771,0))</f>
        <v>0</v>
      </c>
      <c r="T1641">
        <f>Rebate_Industry!T217-INDEX(T$1670:T$1771,MATCH("v2:obr:2:tot:"&amp;Settings!$B$10,$A$1670:$A$1771,0))</f>
        <v>0</v>
      </c>
      <c r="U1641">
        <f>Rebate_Industry!U217-INDEX(U$1670:U$1771,MATCH("v2:obr:2:tot:"&amp;Settings!$B$10,$A$1670:$A$1771,0))</f>
        <v>0</v>
      </c>
      <c r="V1641">
        <f>Rebate_Industry!V217-INDEX(V$1670:V$1771,MATCH("v2:obr:2:tot:"&amp;Settings!$B$10,$A$1670:$A$1771,0))</f>
        <v>0</v>
      </c>
      <c r="W1641">
        <f>Rebate_Industry!W217-INDEX(W$1670:W$1771,MATCH("v2:obr:2:tot:"&amp;Settings!$B$10,$A$1670:$A$1771,0))</f>
        <v>0</v>
      </c>
      <c r="X1641">
        <f>Rebate_Industry!X217-INDEX(X$1670:X$1771,MATCH("v2:obr:2:tot:"&amp;Settings!$B$10,$A$1670:$A$1771,0))</f>
        <v>0</v>
      </c>
      <c r="Y1641">
        <f>Rebate_Industry!Y217-INDEX(Y$1670:Y$1771,MATCH("v2:obr:2:tot:"&amp;Settings!$B$10,$A$1670:$A$1771,0))</f>
        <v>0</v>
      </c>
      <c r="Z1641">
        <f>Rebate_Industry!Z217-INDEX(Z$1670:Z$1771,MATCH("v2:obr:2:tot:"&amp;Settings!$B$10,$A$1670:$A$1771,0))</f>
        <v>0</v>
      </c>
      <c r="AA1641">
        <f>Rebate_Industry!AA217-INDEX(AA$1670:AA$1771,MATCH("v2:obr:2:tot:"&amp;Settings!$B$10,$A$1670:$A$1771,0))</f>
        <v>0</v>
      </c>
      <c r="AB1641">
        <f>Rebate_Industry!AB217-INDEX(AB$1670:AB$1771,MATCH("v2:obr:2:tot:"&amp;Settings!$B$10,$A$1670:$A$1771,0))</f>
        <v>0</v>
      </c>
      <c r="AC1641">
        <f>Rebate_Industry!AC217-INDEX(AC$1670:AC$1771,MATCH("v2:obr:2:tot:"&amp;Settings!$B$10,$A$1670:$A$1771,0))</f>
        <v>0</v>
      </c>
      <c r="AD1641">
        <f>Rebate_Industry!AD217-INDEX(AD$1670:AD$1771,MATCH("v2:obr:2:tot:"&amp;Settings!$B$10,$A$1670:$A$1771,0))</f>
        <v>0</v>
      </c>
      <c r="AE1641">
        <f>Rebate_Industry!AE217-INDEX(AE$1670:AE$1771,MATCH("v2:obr:2:tot:"&amp;Settings!$B$10,$A$1670:$A$1771,0))</f>
        <v>0</v>
      </c>
    </row>
    <row r="1642" spans="1:31" x14ac:dyDescent="0.45">
      <c r="A1642" t="s">
        <v>2770</v>
      </c>
      <c r="D1642">
        <v>2</v>
      </c>
      <c r="E1642" t="s">
        <v>1161</v>
      </c>
      <c r="F1642">
        <f>MAX(MAX(L1642:AE1642),-MIN(L1642:AE1642))</f>
        <v>0</v>
      </c>
      <c r="I1642">
        <v>0</v>
      </c>
      <c r="L1642">
        <f>IF(Scenarios!$J$27=0,Rebate_Industry!L278-INDEX(L$1670:L$1771,MATCH("v2:revnet:2:tot:"&amp;Settings!$B$10,$A$1670:$A$1771,0)),0)</f>
        <v>0</v>
      </c>
      <c r="M1642">
        <f>IF(Scenarios!$J$27=0,Rebate_Industry!M278-INDEX(M$1670:M$1771,MATCH("v2:revnet:2:tot:"&amp;Settings!$B$10,$A$1670:$A$1771,0)),0)</f>
        <v>0</v>
      </c>
      <c r="N1642">
        <f>IF(Scenarios!$J$27=0,Rebate_Industry!N278-INDEX(N$1670:N$1771,MATCH("v2:revnet:2:tot:"&amp;Settings!$B$10,$A$1670:$A$1771,0)),0)</f>
        <v>0</v>
      </c>
      <c r="O1642">
        <f>IF(Scenarios!$J$27=0,Rebate_Industry!O278-INDEX(O$1670:O$1771,MATCH("v2:revnet:2:tot:"&amp;Settings!$B$10,$A$1670:$A$1771,0)),0)</f>
        <v>0</v>
      </c>
      <c r="P1642">
        <f>IF(Scenarios!$J$27=0,Rebate_Industry!P278-INDEX(P$1670:P$1771,MATCH("v2:revnet:2:tot:"&amp;Settings!$B$10,$A$1670:$A$1771,0)),0)</f>
        <v>0</v>
      </c>
      <c r="Q1642">
        <f>IF(Scenarios!$J$27=0,Rebate_Industry!Q278-INDEX(Q$1670:Q$1771,MATCH("v2:revnet:2:tot:"&amp;Settings!$B$10,$A$1670:$A$1771,0)),0)</f>
        <v>0</v>
      </c>
      <c r="R1642">
        <f>IF(Scenarios!$J$27=0,Rebate_Industry!R278-INDEX(R$1670:R$1771,MATCH("v2:revnet:2:tot:"&amp;Settings!$B$10,$A$1670:$A$1771,0)),0)</f>
        <v>0</v>
      </c>
      <c r="S1642">
        <f>IF(Scenarios!$J$27=0,Rebate_Industry!S278-INDEX(S$1670:S$1771,MATCH("v2:revnet:2:tot:"&amp;Settings!$B$10,$A$1670:$A$1771,0)),0)</f>
        <v>0</v>
      </c>
      <c r="T1642">
        <f>IF(Scenarios!$J$27=0,Rebate_Industry!T278-INDEX(T$1670:T$1771,MATCH("v2:revnet:2:tot:"&amp;Settings!$B$10,$A$1670:$A$1771,0)),0)</f>
        <v>0</v>
      </c>
      <c r="U1642">
        <f>IF(Scenarios!$J$27=0,Rebate_Industry!U278-INDEX(U$1670:U$1771,MATCH("v2:revnet:2:tot:"&amp;Settings!$B$10,$A$1670:$A$1771,0)),0)</f>
        <v>0</v>
      </c>
      <c r="V1642">
        <f>IF(Scenarios!$J$27=0,Rebate_Industry!V278-INDEX(V$1670:V$1771,MATCH("v2:revnet:2:tot:"&amp;Settings!$B$10,$A$1670:$A$1771,0)),0)</f>
        <v>0</v>
      </c>
      <c r="W1642">
        <f>IF(Scenarios!$J$27=0,Rebate_Industry!W278-INDEX(W$1670:W$1771,MATCH("v2:revnet:2:tot:"&amp;Settings!$B$10,$A$1670:$A$1771,0)),0)</f>
        <v>0</v>
      </c>
      <c r="X1642">
        <f>IF(Scenarios!$J$27=0,Rebate_Industry!X278-INDEX(X$1670:X$1771,MATCH("v2:revnet:2:tot:"&amp;Settings!$B$10,$A$1670:$A$1771,0)),0)</f>
        <v>0</v>
      </c>
      <c r="Y1642">
        <f>IF(Scenarios!$J$27=0,Rebate_Industry!Y278-INDEX(Y$1670:Y$1771,MATCH("v2:revnet:2:tot:"&amp;Settings!$B$10,$A$1670:$A$1771,0)),0)</f>
        <v>0</v>
      </c>
      <c r="Z1642">
        <f>IF(Scenarios!$J$27=0,Rebate_Industry!Z278-INDEX(Z$1670:Z$1771,MATCH("v2:revnet:2:tot:"&amp;Settings!$B$10,$A$1670:$A$1771,0)),0)</f>
        <v>0</v>
      </c>
      <c r="AA1642">
        <f>IF(Scenarios!$J$27=0,Rebate_Industry!AA278-INDEX(AA$1670:AA$1771,MATCH("v2:revnet:2:tot:"&amp;Settings!$B$10,$A$1670:$A$1771,0)),0)</f>
        <v>0</v>
      </c>
      <c r="AB1642">
        <f>IF(Scenarios!$J$27=0,Rebate_Industry!AB278-INDEX(AB$1670:AB$1771,MATCH("v2:revnet:2:tot:"&amp;Settings!$B$10,$A$1670:$A$1771,0)),0)</f>
        <v>0</v>
      </c>
      <c r="AC1642">
        <f>IF(Scenarios!$J$27=0,Rebate_Industry!AC278-INDEX(AC$1670:AC$1771,MATCH("v2:revnet:2:tot:"&amp;Settings!$B$10,$A$1670:$A$1771,0)),0)</f>
        <v>0</v>
      </c>
      <c r="AD1642">
        <f>IF(Scenarios!$J$27=0,Rebate_Industry!AD278-INDEX(AD$1670:AD$1771,MATCH("v2:revnet:2:tot:"&amp;Settings!$B$10,$A$1670:$A$1771,0)),0)</f>
        <v>0</v>
      </c>
      <c r="AE1642">
        <f>IF(Scenarios!$J$27=0,Rebate_Industry!AE278-INDEX(AE$1670:AE$1771,MATCH("v2:revnet:2:tot:"&amp;Settings!$B$10,$A$1670:$A$1771,0)),0)</f>
        <v>0</v>
      </c>
    </row>
    <row r="1643" spans="1:31" x14ac:dyDescent="0.45">
      <c r="A1643" t="s">
        <v>2771</v>
      </c>
      <c r="D1643">
        <v>2</v>
      </c>
      <c r="E1643" t="s">
        <v>2067</v>
      </c>
      <c r="F1643">
        <f>SUM(L1643:AE1643)</f>
        <v>0</v>
      </c>
      <c r="I1643">
        <v>0</v>
      </c>
      <c r="L1643">
        <f>(Fund_Industry!L313&lt;-0.000000001)+(Fund_Industry!L313&gt;Fund_Industry!$F$5+0.000000001)</f>
        <v>0</v>
      </c>
      <c r="M1643">
        <f>(Fund_Industry!M313&lt;-0.000000001)+(Fund_Industry!M313&gt;Fund_Industry!$F$5+0.000000001)</f>
        <v>0</v>
      </c>
      <c r="N1643">
        <f>(Fund_Industry!N313&lt;-0.000000001)+(Fund_Industry!N313&gt;Fund_Industry!$F$5+0.000000001)</f>
        <v>0</v>
      </c>
      <c r="O1643">
        <f>(Fund_Industry!O313&lt;-0.000000001)+(Fund_Industry!O313&gt;Fund_Industry!$F$5+0.000000001)</f>
        <v>0</v>
      </c>
      <c r="P1643">
        <f>(Fund_Industry!P313&lt;-0.000000001)+(Fund_Industry!P313&gt;Fund_Industry!$F$5+0.000000001)</f>
        <v>0</v>
      </c>
      <c r="Q1643">
        <f>(Fund_Industry!Q313&lt;-0.000000001)+(Fund_Industry!Q313&gt;Fund_Industry!$F$5+0.000000001)</f>
        <v>0</v>
      </c>
      <c r="R1643">
        <f>(Fund_Industry!R313&lt;-0.000000001)+(Fund_Industry!R313&gt;Fund_Industry!$F$5+0.000000001)</f>
        <v>0</v>
      </c>
      <c r="S1643">
        <f>(Fund_Industry!S313&lt;-0.000000001)+(Fund_Industry!S313&gt;Fund_Industry!$F$5+0.000000001)</f>
        <v>0</v>
      </c>
      <c r="T1643">
        <f>(Fund_Industry!T313&lt;-0.000000001)+(Fund_Industry!T313&gt;Fund_Industry!$F$5+0.000000001)</f>
        <v>0</v>
      </c>
      <c r="U1643">
        <f>(Fund_Industry!U313&lt;-0.000000001)+(Fund_Industry!U313&gt;Fund_Industry!$F$5+0.000000001)</f>
        <v>0</v>
      </c>
      <c r="V1643">
        <f>(Fund_Industry!V313&lt;-0.000000001)+(Fund_Industry!V313&gt;Fund_Industry!$F$5+0.000000001)</f>
        <v>0</v>
      </c>
      <c r="W1643">
        <f>(Fund_Industry!W313&lt;-0.000000001)+(Fund_Industry!W313&gt;Fund_Industry!$F$5+0.000000001)</f>
        <v>0</v>
      </c>
      <c r="X1643">
        <f>(Fund_Industry!X313&lt;-0.000000001)+(Fund_Industry!X313&gt;Fund_Industry!$F$5+0.000000001)</f>
        <v>0</v>
      </c>
      <c r="Y1643">
        <f>(Fund_Industry!Y313&lt;-0.000000001)+(Fund_Industry!Y313&gt;Fund_Industry!$F$5+0.000000001)</f>
        <v>0</v>
      </c>
      <c r="Z1643">
        <f>(Fund_Industry!Z313&lt;-0.000000001)+(Fund_Industry!Z313&gt;Fund_Industry!$F$5+0.000000001)</f>
        <v>0</v>
      </c>
      <c r="AA1643">
        <f>(Fund_Industry!AA313&lt;-0.000000001)+(Fund_Industry!AA313&gt;Fund_Industry!$F$5+0.000000001)</f>
        <v>0</v>
      </c>
      <c r="AB1643">
        <f>(Fund_Industry!AB313&lt;-0.000000001)+(Fund_Industry!AB313&gt;Fund_Industry!$F$5+0.000000001)</f>
        <v>0</v>
      </c>
      <c r="AC1643">
        <f>(Fund_Industry!AC313&lt;-0.000000001)+(Fund_Industry!AC313&gt;Fund_Industry!$F$5+0.000000001)</f>
        <v>0</v>
      </c>
      <c r="AD1643">
        <f>(Fund_Industry!AD313&lt;-0.000000001)+(Fund_Industry!AD313&gt;Fund_Industry!$F$5+0.000000001)</f>
        <v>0</v>
      </c>
      <c r="AE1643">
        <f>(Fund_Industry!AE313&lt;-0.000000001)+(Fund_Industry!AE313&gt;Fund_Industry!$F$5+0.000000001)</f>
        <v>0</v>
      </c>
    </row>
    <row r="1644" spans="1:31" x14ac:dyDescent="0.45">
      <c r="A1644" t="s">
        <v>2772</v>
      </c>
      <c r="D1644">
        <v>2</v>
      </c>
      <c r="E1644" t="s">
        <v>2067</v>
      </c>
      <c r="F1644">
        <f>SUM(L1644:AE1644)</f>
        <v>0</v>
      </c>
      <c r="I1644">
        <v>0</v>
      </c>
      <c r="L1644">
        <f>IF(Scenarios!$J$27=0,0,--(Mitigation_Industry!L462&gt;INDEX(L$1670:L$1771,MATCH("v2:ener:2:irn:"&amp;Settings!$B$10,$A$1670:$A$1771,0))+0.000000001))</f>
        <v>0</v>
      </c>
      <c r="M1644">
        <f>IF(Scenarios!$J$27=0,0,--(Mitigation_Industry!M462&gt;INDEX(M$1670:M$1771,MATCH("v2:ener:2:irn:"&amp;Settings!$B$10,$A$1670:$A$1771,0))+0.000000001))</f>
        <v>0</v>
      </c>
      <c r="N1644">
        <f>IF(Scenarios!$J$27=0,0,--(Mitigation_Industry!N462&gt;INDEX(N$1670:N$1771,MATCH("v2:ener:2:irn:"&amp;Settings!$B$10,$A$1670:$A$1771,0))+0.000000001))</f>
        <v>0</v>
      </c>
      <c r="O1644">
        <f>IF(Scenarios!$J$27=0,0,--(Mitigation_Industry!O462&gt;INDEX(O$1670:O$1771,MATCH("v2:ener:2:irn:"&amp;Settings!$B$10,$A$1670:$A$1771,0))+0.000000001))</f>
        <v>0</v>
      </c>
      <c r="P1644">
        <f>IF(Scenarios!$J$27=0,0,--(Mitigation_Industry!P462&gt;INDEX(P$1670:P$1771,MATCH("v2:ener:2:irn:"&amp;Settings!$B$10,$A$1670:$A$1771,0))+0.000000001))</f>
        <v>0</v>
      </c>
      <c r="Q1644">
        <f>IF(Scenarios!$J$27=0,0,--(Mitigation_Industry!Q462&gt;INDEX(Q$1670:Q$1771,MATCH("v2:ener:2:irn:"&amp;Settings!$B$10,$A$1670:$A$1771,0))+0.000000001))</f>
        <v>0</v>
      </c>
      <c r="R1644">
        <f>IF(Scenarios!$J$27=0,0,--(Mitigation_Industry!R462&gt;INDEX(R$1670:R$1771,MATCH("v2:ener:2:irn:"&amp;Settings!$B$10,$A$1670:$A$1771,0))+0.000000001))</f>
        <v>0</v>
      </c>
      <c r="S1644">
        <f>IF(Scenarios!$J$27=0,0,--(Mitigation_Industry!S462&gt;INDEX(S$1670:S$1771,MATCH("v2:ener:2:irn:"&amp;Settings!$B$10,$A$1670:$A$1771,0))+0.000000001))</f>
        <v>0</v>
      </c>
      <c r="T1644">
        <f>IF(Scenarios!$J$27=0,0,--(Mitigation_Industry!T462&gt;INDEX(T$1670:T$1771,MATCH("v2:ener:2:irn:"&amp;Settings!$B$10,$A$1670:$A$1771,0))+0.000000001))</f>
        <v>0</v>
      </c>
      <c r="U1644">
        <f>IF(Scenarios!$J$27=0,0,--(Mitigation_Industry!U462&gt;INDEX(U$1670:U$1771,MATCH("v2:ener:2:irn:"&amp;Settings!$B$10,$A$1670:$A$1771,0))+0.000000001))</f>
        <v>0</v>
      </c>
      <c r="V1644">
        <f>IF(Scenarios!$J$27=0,0,--(Mitigation_Industry!V462&gt;INDEX(V$1670:V$1771,MATCH("v2:ener:2:irn:"&amp;Settings!$B$10,$A$1670:$A$1771,0))+0.000000001))</f>
        <v>0</v>
      </c>
      <c r="W1644">
        <f>IF(Scenarios!$J$27=0,0,--(Mitigation_Industry!W462&gt;INDEX(W$1670:W$1771,MATCH("v2:ener:2:irn:"&amp;Settings!$B$10,$A$1670:$A$1771,0))+0.000000001))</f>
        <v>0</v>
      </c>
      <c r="X1644">
        <f>IF(Scenarios!$J$27=0,0,--(Mitigation_Industry!X462&gt;INDEX(X$1670:X$1771,MATCH("v2:ener:2:irn:"&amp;Settings!$B$10,$A$1670:$A$1771,0))+0.000000001))</f>
        <v>0</v>
      </c>
      <c r="Y1644">
        <f>IF(Scenarios!$J$27=0,0,--(Mitigation_Industry!Y462&gt;INDEX(Y$1670:Y$1771,MATCH("v2:ener:2:irn:"&amp;Settings!$B$10,$A$1670:$A$1771,0))+0.000000001))</f>
        <v>0</v>
      </c>
      <c r="Z1644">
        <f>IF(Scenarios!$J$27=0,0,--(Mitigation_Industry!Z462&gt;INDEX(Z$1670:Z$1771,MATCH("v2:ener:2:irn:"&amp;Settings!$B$10,$A$1670:$A$1771,0))+0.000000001))</f>
        <v>0</v>
      </c>
      <c r="AA1644">
        <f>IF(Scenarios!$J$27=0,0,--(Mitigation_Industry!AA462&gt;INDEX(AA$1670:AA$1771,MATCH("v2:ener:2:irn:"&amp;Settings!$B$10,$A$1670:$A$1771,0))+0.000000001))</f>
        <v>0</v>
      </c>
      <c r="AB1644">
        <f>IF(Scenarios!$J$27=0,0,--(Mitigation_Industry!AB462&gt;INDEX(AB$1670:AB$1771,MATCH("v2:ener:2:irn:"&amp;Settings!$B$10,$A$1670:$A$1771,0))+0.000000001))</f>
        <v>0</v>
      </c>
      <c r="AC1644">
        <f>IF(Scenarios!$J$27=0,0,--(Mitigation_Industry!AC462&gt;INDEX(AC$1670:AC$1771,MATCH("v2:ener:2:irn:"&amp;Settings!$B$10,$A$1670:$A$1771,0))+0.000000001))</f>
        <v>0</v>
      </c>
      <c r="AD1644">
        <f>IF(Scenarios!$J$27=0,0,--(Mitigation_Industry!AD462&gt;INDEX(AD$1670:AD$1771,MATCH("v2:ener:2:irn:"&amp;Settings!$B$10,$A$1670:$A$1771,0))+0.000000001))</f>
        <v>0</v>
      </c>
      <c r="AE1644">
        <f>IF(Scenarios!$J$27=0,0,--(Mitigation_Industry!AE462&gt;INDEX(AE$1670:AE$1771,MATCH("v2:ener:2:irn:"&amp;Settings!$B$10,$A$1670:$A$1771,0))+0.000000001))</f>
        <v>0</v>
      </c>
    </row>
    <row r="1645" spans="1:31" x14ac:dyDescent="0.45">
      <c r="A1645" t="s">
        <v>2773</v>
      </c>
      <c r="D1645">
        <v>2</v>
      </c>
      <c r="E1645" t="s">
        <v>2067</v>
      </c>
      <c r="F1645">
        <f>SUM(L1645:AE1645)</f>
        <v>0</v>
      </c>
      <c r="I1645">
        <v>0</v>
      </c>
      <c r="L1645">
        <f>IF(Scenarios!$J$27=0,0,--(Mitigation_Industry!L522&gt;INDEX(L$1670:L$1771,MATCH("v2:ener:2:cem:"&amp;Settings!$B$10,$A$1670:$A$1771,0))+0.000000001))</f>
        <v>0</v>
      </c>
      <c r="M1645">
        <f>IF(Scenarios!$J$27=0,0,--(Mitigation_Industry!M522&gt;INDEX(M$1670:M$1771,MATCH("v2:ener:2:cem:"&amp;Settings!$B$10,$A$1670:$A$1771,0))+0.000000001))</f>
        <v>0</v>
      </c>
      <c r="N1645">
        <f>IF(Scenarios!$J$27=0,0,--(Mitigation_Industry!N522&gt;INDEX(N$1670:N$1771,MATCH("v2:ener:2:cem:"&amp;Settings!$B$10,$A$1670:$A$1771,0))+0.000000001))</f>
        <v>0</v>
      </c>
      <c r="O1645">
        <f>IF(Scenarios!$J$27=0,0,--(Mitigation_Industry!O522&gt;INDEX(O$1670:O$1771,MATCH("v2:ener:2:cem:"&amp;Settings!$B$10,$A$1670:$A$1771,0))+0.000000001))</f>
        <v>0</v>
      </c>
      <c r="P1645">
        <f>IF(Scenarios!$J$27=0,0,--(Mitigation_Industry!P522&gt;INDEX(P$1670:P$1771,MATCH("v2:ener:2:cem:"&amp;Settings!$B$10,$A$1670:$A$1771,0))+0.000000001))</f>
        <v>0</v>
      </c>
      <c r="Q1645">
        <f>IF(Scenarios!$J$27=0,0,--(Mitigation_Industry!Q522&gt;INDEX(Q$1670:Q$1771,MATCH("v2:ener:2:cem:"&amp;Settings!$B$10,$A$1670:$A$1771,0))+0.000000001))</f>
        <v>0</v>
      </c>
      <c r="R1645">
        <f>IF(Scenarios!$J$27=0,0,--(Mitigation_Industry!R522&gt;INDEX(R$1670:R$1771,MATCH("v2:ener:2:cem:"&amp;Settings!$B$10,$A$1670:$A$1771,0))+0.000000001))</f>
        <v>0</v>
      </c>
      <c r="S1645">
        <f>IF(Scenarios!$J$27=0,0,--(Mitigation_Industry!S522&gt;INDEX(S$1670:S$1771,MATCH("v2:ener:2:cem:"&amp;Settings!$B$10,$A$1670:$A$1771,0))+0.000000001))</f>
        <v>0</v>
      </c>
      <c r="T1645">
        <f>IF(Scenarios!$J$27=0,0,--(Mitigation_Industry!T522&gt;INDEX(T$1670:T$1771,MATCH("v2:ener:2:cem:"&amp;Settings!$B$10,$A$1670:$A$1771,0))+0.000000001))</f>
        <v>0</v>
      </c>
      <c r="U1645">
        <f>IF(Scenarios!$J$27=0,0,--(Mitigation_Industry!U522&gt;INDEX(U$1670:U$1771,MATCH("v2:ener:2:cem:"&amp;Settings!$B$10,$A$1670:$A$1771,0))+0.000000001))</f>
        <v>0</v>
      </c>
      <c r="V1645">
        <f>IF(Scenarios!$J$27=0,0,--(Mitigation_Industry!V522&gt;INDEX(V$1670:V$1771,MATCH("v2:ener:2:cem:"&amp;Settings!$B$10,$A$1670:$A$1771,0))+0.000000001))</f>
        <v>0</v>
      </c>
      <c r="W1645">
        <f>IF(Scenarios!$J$27=0,0,--(Mitigation_Industry!W522&gt;INDEX(W$1670:W$1771,MATCH("v2:ener:2:cem:"&amp;Settings!$B$10,$A$1670:$A$1771,0))+0.000000001))</f>
        <v>0</v>
      </c>
      <c r="X1645">
        <f>IF(Scenarios!$J$27=0,0,--(Mitigation_Industry!X522&gt;INDEX(X$1670:X$1771,MATCH("v2:ener:2:cem:"&amp;Settings!$B$10,$A$1670:$A$1771,0))+0.000000001))</f>
        <v>0</v>
      </c>
      <c r="Y1645">
        <f>IF(Scenarios!$J$27=0,0,--(Mitigation_Industry!Y522&gt;INDEX(Y$1670:Y$1771,MATCH("v2:ener:2:cem:"&amp;Settings!$B$10,$A$1670:$A$1771,0))+0.000000001))</f>
        <v>0</v>
      </c>
      <c r="Z1645">
        <f>IF(Scenarios!$J$27=0,0,--(Mitigation_Industry!Z522&gt;INDEX(Z$1670:Z$1771,MATCH("v2:ener:2:cem:"&amp;Settings!$B$10,$A$1670:$A$1771,0))+0.000000001))</f>
        <v>0</v>
      </c>
      <c r="AA1645">
        <f>IF(Scenarios!$J$27=0,0,--(Mitigation_Industry!AA522&gt;INDEX(AA$1670:AA$1771,MATCH("v2:ener:2:cem:"&amp;Settings!$B$10,$A$1670:$A$1771,0))+0.000000001))</f>
        <v>0</v>
      </c>
      <c r="AB1645">
        <f>IF(Scenarios!$J$27=0,0,--(Mitigation_Industry!AB522&gt;INDEX(AB$1670:AB$1771,MATCH("v2:ener:2:cem:"&amp;Settings!$B$10,$A$1670:$A$1771,0))+0.000000001))</f>
        <v>0</v>
      </c>
      <c r="AC1645">
        <f>IF(Scenarios!$J$27=0,0,--(Mitigation_Industry!AC522&gt;INDEX(AC$1670:AC$1771,MATCH("v2:ener:2:cem:"&amp;Settings!$B$10,$A$1670:$A$1771,0))+0.000000001))</f>
        <v>0</v>
      </c>
      <c r="AD1645">
        <f>IF(Scenarios!$J$27=0,0,--(Mitigation_Industry!AD522&gt;INDEX(AD$1670:AD$1771,MATCH("v2:ener:2:cem:"&amp;Settings!$B$10,$A$1670:$A$1771,0))+0.000000001))</f>
        <v>0</v>
      </c>
      <c r="AE1645">
        <f>IF(Scenarios!$J$27=0,0,--(Mitigation_Industry!AE522&gt;INDEX(AE$1670:AE$1771,MATCH("v2:ener:2:cem:"&amp;Settings!$B$10,$A$1670:$A$1771,0))+0.000000001))</f>
        <v>0</v>
      </c>
    </row>
    <row r="1646" spans="1:31" x14ac:dyDescent="0.45">
      <c r="A1646" t="s">
        <v>2774</v>
      </c>
      <c r="D1646">
        <v>2</v>
      </c>
      <c r="E1646" t="s">
        <v>2067</v>
      </c>
      <c r="F1646">
        <f>SUM(L1646:AE1646)</f>
        <v>0</v>
      </c>
      <c r="I1646">
        <v>0</v>
      </c>
      <c r="L1646">
        <f>IF(Scenarios!$J$27=0,0,--(Mitigation_Industry!L582&gt;INDEX(L$1670:L$1771,MATCH("v2:ener:2:nfm:"&amp;Settings!$B$10,$A$1670:$A$1771,0))+0.000000001))</f>
        <v>0</v>
      </c>
      <c r="M1646">
        <f>IF(Scenarios!$J$27=0,0,--(Mitigation_Industry!M582&gt;INDEX(M$1670:M$1771,MATCH("v2:ener:2:nfm:"&amp;Settings!$B$10,$A$1670:$A$1771,0))+0.000000001))</f>
        <v>0</v>
      </c>
      <c r="N1646">
        <f>IF(Scenarios!$J$27=0,0,--(Mitigation_Industry!N582&gt;INDEX(N$1670:N$1771,MATCH("v2:ener:2:nfm:"&amp;Settings!$B$10,$A$1670:$A$1771,0))+0.000000001))</f>
        <v>0</v>
      </c>
      <c r="O1646">
        <f>IF(Scenarios!$J$27=0,0,--(Mitigation_Industry!O582&gt;INDEX(O$1670:O$1771,MATCH("v2:ener:2:nfm:"&amp;Settings!$B$10,$A$1670:$A$1771,0))+0.000000001))</f>
        <v>0</v>
      </c>
      <c r="P1646">
        <f>IF(Scenarios!$J$27=0,0,--(Mitigation_Industry!P582&gt;INDEX(P$1670:P$1771,MATCH("v2:ener:2:nfm:"&amp;Settings!$B$10,$A$1670:$A$1771,0))+0.000000001))</f>
        <v>0</v>
      </c>
      <c r="Q1646">
        <f>IF(Scenarios!$J$27=0,0,--(Mitigation_Industry!Q582&gt;INDEX(Q$1670:Q$1771,MATCH("v2:ener:2:nfm:"&amp;Settings!$B$10,$A$1670:$A$1771,0))+0.000000001))</f>
        <v>0</v>
      </c>
      <c r="R1646">
        <f>IF(Scenarios!$J$27=0,0,--(Mitigation_Industry!R582&gt;INDEX(R$1670:R$1771,MATCH("v2:ener:2:nfm:"&amp;Settings!$B$10,$A$1670:$A$1771,0))+0.000000001))</f>
        <v>0</v>
      </c>
      <c r="S1646">
        <f>IF(Scenarios!$J$27=0,0,--(Mitigation_Industry!S582&gt;INDEX(S$1670:S$1771,MATCH("v2:ener:2:nfm:"&amp;Settings!$B$10,$A$1670:$A$1771,0))+0.000000001))</f>
        <v>0</v>
      </c>
      <c r="T1646">
        <f>IF(Scenarios!$J$27=0,0,--(Mitigation_Industry!T582&gt;INDEX(T$1670:T$1771,MATCH("v2:ener:2:nfm:"&amp;Settings!$B$10,$A$1670:$A$1771,0))+0.000000001))</f>
        <v>0</v>
      </c>
      <c r="U1646">
        <f>IF(Scenarios!$J$27=0,0,--(Mitigation_Industry!U582&gt;INDEX(U$1670:U$1771,MATCH("v2:ener:2:nfm:"&amp;Settings!$B$10,$A$1670:$A$1771,0))+0.000000001))</f>
        <v>0</v>
      </c>
      <c r="V1646">
        <f>IF(Scenarios!$J$27=0,0,--(Mitigation_Industry!V582&gt;INDEX(V$1670:V$1771,MATCH("v2:ener:2:nfm:"&amp;Settings!$B$10,$A$1670:$A$1771,0))+0.000000001))</f>
        <v>0</v>
      </c>
      <c r="W1646">
        <f>IF(Scenarios!$J$27=0,0,--(Mitigation_Industry!W582&gt;INDEX(W$1670:W$1771,MATCH("v2:ener:2:nfm:"&amp;Settings!$B$10,$A$1670:$A$1771,0))+0.000000001))</f>
        <v>0</v>
      </c>
      <c r="X1646">
        <f>IF(Scenarios!$J$27=0,0,--(Mitigation_Industry!X582&gt;INDEX(X$1670:X$1771,MATCH("v2:ener:2:nfm:"&amp;Settings!$B$10,$A$1670:$A$1771,0))+0.000000001))</f>
        <v>0</v>
      </c>
      <c r="Y1646">
        <f>IF(Scenarios!$J$27=0,0,--(Mitigation_Industry!Y582&gt;INDEX(Y$1670:Y$1771,MATCH("v2:ener:2:nfm:"&amp;Settings!$B$10,$A$1670:$A$1771,0))+0.000000001))</f>
        <v>0</v>
      </c>
      <c r="Z1646">
        <f>IF(Scenarios!$J$27=0,0,--(Mitigation_Industry!Z582&gt;INDEX(Z$1670:Z$1771,MATCH("v2:ener:2:nfm:"&amp;Settings!$B$10,$A$1670:$A$1771,0))+0.000000001))</f>
        <v>0</v>
      </c>
      <c r="AA1646">
        <f>IF(Scenarios!$J$27=0,0,--(Mitigation_Industry!AA582&gt;INDEX(AA$1670:AA$1771,MATCH("v2:ener:2:nfm:"&amp;Settings!$B$10,$A$1670:$A$1771,0))+0.000000001))</f>
        <v>0</v>
      </c>
      <c r="AB1646">
        <f>IF(Scenarios!$J$27=0,0,--(Mitigation_Industry!AB582&gt;INDEX(AB$1670:AB$1771,MATCH("v2:ener:2:nfm:"&amp;Settings!$B$10,$A$1670:$A$1771,0))+0.000000001))</f>
        <v>0</v>
      </c>
      <c r="AC1646">
        <f>IF(Scenarios!$J$27=0,0,--(Mitigation_Industry!AC582&gt;INDEX(AC$1670:AC$1771,MATCH("v2:ener:2:nfm:"&amp;Settings!$B$10,$A$1670:$A$1771,0))+0.000000001))</f>
        <v>0</v>
      </c>
      <c r="AD1646">
        <f>IF(Scenarios!$J$27=0,0,--(Mitigation_Industry!AD582&gt;INDEX(AD$1670:AD$1771,MATCH("v2:ener:2:nfm:"&amp;Settings!$B$10,$A$1670:$A$1771,0))+0.000000001))</f>
        <v>0</v>
      </c>
      <c r="AE1646">
        <f>IF(Scenarios!$J$27=0,0,--(Mitigation_Industry!AE582&gt;INDEX(AE$1670:AE$1771,MATCH("v2:ener:2:nfm:"&amp;Settings!$B$10,$A$1670:$A$1771,0))+0.000000001))</f>
        <v>0</v>
      </c>
    </row>
    <row r="1647" spans="1:31" x14ac:dyDescent="0.45">
      <c r="A1647" t="s">
        <v>2775</v>
      </c>
      <c r="D1647">
        <v>2</v>
      </c>
      <c r="E1647" t="s">
        <v>2067</v>
      </c>
      <c r="F1647">
        <f>SUM(L1647:AE1647)</f>
        <v>0</v>
      </c>
      <c r="I1647">
        <v>0</v>
      </c>
      <c r="L1647">
        <f>IF(Scenarios!$J$27=0,0,--(Mitigation_Industry!L642&gt;INDEX(L$1670:L$1771,MATCH("v2:ener:2:mch:"&amp;Settings!$B$10,$A$1670:$A$1771,0))+0.000000001))</f>
        <v>0</v>
      </c>
      <c r="M1647">
        <f>IF(Scenarios!$J$27=0,0,--(Mitigation_Industry!M642&gt;INDEX(M$1670:M$1771,MATCH("v2:ener:2:mch:"&amp;Settings!$B$10,$A$1670:$A$1771,0))+0.000000001))</f>
        <v>0</v>
      </c>
      <c r="N1647">
        <f>IF(Scenarios!$J$27=0,0,--(Mitigation_Industry!N642&gt;INDEX(N$1670:N$1771,MATCH("v2:ener:2:mch:"&amp;Settings!$B$10,$A$1670:$A$1771,0))+0.000000001))</f>
        <v>0</v>
      </c>
      <c r="O1647">
        <f>IF(Scenarios!$J$27=0,0,--(Mitigation_Industry!O642&gt;INDEX(O$1670:O$1771,MATCH("v2:ener:2:mch:"&amp;Settings!$B$10,$A$1670:$A$1771,0))+0.000000001))</f>
        <v>0</v>
      </c>
      <c r="P1647">
        <f>IF(Scenarios!$J$27=0,0,--(Mitigation_Industry!P642&gt;INDEX(P$1670:P$1771,MATCH("v2:ener:2:mch:"&amp;Settings!$B$10,$A$1670:$A$1771,0))+0.000000001))</f>
        <v>0</v>
      </c>
      <c r="Q1647">
        <f>IF(Scenarios!$J$27=0,0,--(Mitigation_Industry!Q642&gt;INDEX(Q$1670:Q$1771,MATCH("v2:ener:2:mch:"&amp;Settings!$B$10,$A$1670:$A$1771,0))+0.000000001))</f>
        <v>0</v>
      </c>
      <c r="R1647">
        <f>IF(Scenarios!$J$27=0,0,--(Mitigation_Industry!R642&gt;INDEX(R$1670:R$1771,MATCH("v2:ener:2:mch:"&amp;Settings!$B$10,$A$1670:$A$1771,0))+0.000000001))</f>
        <v>0</v>
      </c>
      <c r="S1647">
        <f>IF(Scenarios!$J$27=0,0,--(Mitigation_Industry!S642&gt;INDEX(S$1670:S$1771,MATCH("v2:ener:2:mch:"&amp;Settings!$B$10,$A$1670:$A$1771,0))+0.000000001))</f>
        <v>0</v>
      </c>
      <c r="T1647">
        <f>IF(Scenarios!$J$27=0,0,--(Mitigation_Industry!T642&gt;INDEX(T$1670:T$1771,MATCH("v2:ener:2:mch:"&amp;Settings!$B$10,$A$1670:$A$1771,0))+0.000000001))</f>
        <v>0</v>
      </c>
      <c r="U1647">
        <f>IF(Scenarios!$J$27=0,0,--(Mitigation_Industry!U642&gt;INDEX(U$1670:U$1771,MATCH("v2:ener:2:mch:"&amp;Settings!$B$10,$A$1670:$A$1771,0))+0.000000001))</f>
        <v>0</v>
      </c>
      <c r="V1647">
        <f>IF(Scenarios!$J$27=0,0,--(Mitigation_Industry!V642&gt;INDEX(V$1670:V$1771,MATCH("v2:ener:2:mch:"&amp;Settings!$B$10,$A$1670:$A$1771,0))+0.000000001))</f>
        <v>0</v>
      </c>
      <c r="W1647">
        <f>IF(Scenarios!$J$27=0,0,--(Mitigation_Industry!W642&gt;INDEX(W$1670:W$1771,MATCH("v2:ener:2:mch:"&amp;Settings!$B$10,$A$1670:$A$1771,0))+0.000000001))</f>
        <v>0</v>
      </c>
      <c r="X1647">
        <f>IF(Scenarios!$J$27=0,0,--(Mitigation_Industry!X642&gt;INDEX(X$1670:X$1771,MATCH("v2:ener:2:mch:"&amp;Settings!$B$10,$A$1670:$A$1771,0))+0.000000001))</f>
        <v>0</v>
      </c>
      <c r="Y1647">
        <f>IF(Scenarios!$J$27=0,0,--(Mitigation_Industry!Y642&gt;INDEX(Y$1670:Y$1771,MATCH("v2:ener:2:mch:"&amp;Settings!$B$10,$A$1670:$A$1771,0))+0.000000001))</f>
        <v>0</v>
      </c>
      <c r="Z1647">
        <f>IF(Scenarios!$J$27=0,0,--(Mitigation_Industry!Z642&gt;INDEX(Z$1670:Z$1771,MATCH("v2:ener:2:mch:"&amp;Settings!$B$10,$A$1670:$A$1771,0))+0.000000001))</f>
        <v>0</v>
      </c>
      <c r="AA1647">
        <f>IF(Scenarios!$J$27=0,0,--(Mitigation_Industry!AA642&gt;INDEX(AA$1670:AA$1771,MATCH("v2:ener:2:mch:"&amp;Settings!$B$10,$A$1670:$A$1771,0))+0.000000001))</f>
        <v>0</v>
      </c>
      <c r="AB1647">
        <f>IF(Scenarios!$J$27=0,0,--(Mitigation_Industry!AB642&gt;INDEX(AB$1670:AB$1771,MATCH("v2:ener:2:mch:"&amp;Settings!$B$10,$A$1670:$A$1771,0))+0.000000001))</f>
        <v>0</v>
      </c>
      <c r="AC1647">
        <f>IF(Scenarios!$J$27=0,0,--(Mitigation_Industry!AC642&gt;INDEX(AC$1670:AC$1771,MATCH("v2:ener:2:mch:"&amp;Settings!$B$10,$A$1670:$A$1771,0))+0.000000001))</f>
        <v>0</v>
      </c>
      <c r="AD1647">
        <f>IF(Scenarios!$J$27=0,0,--(Mitigation_Industry!AD642&gt;INDEX(AD$1670:AD$1771,MATCH("v2:ener:2:mch:"&amp;Settings!$B$10,$A$1670:$A$1771,0))+0.000000001))</f>
        <v>0</v>
      </c>
      <c r="AE1647">
        <f>IF(Scenarios!$J$27=0,0,--(Mitigation_Industry!AE642&gt;INDEX(AE$1670:AE$1771,MATCH("v2:ener:2:mch:"&amp;Settings!$B$10,$A$1670:$A$1771,0))+0.000000001))</f>
        <v>0</v>
      </c>
    </row>
    <row r="1648" spans="1:31" x14ac:dyDescent="0.45">
      <c r="A1648" t="s">
        <v>2776</v>
      </c>
      <c r="D1648">
        <v>2</v>
      </c>
      <c r="E1648" t="s">
        <v>2067</v>
      </c>
      <c r="F1648">
        <f>SUM(L1648:AE1648)</f>
        <v>0</v>
      </c>
      <c r="I1648">
        <v>0</v>
      </c>
      <c r="L1648">
        <f>IF(Scenarios!$J$27=0,0,--(Mitigation_Industry!L779&gt;INDEX(L$1670:L$1771,MATCH("v2:emis:2:tot:"&amp;Settings!$B$10,$A$1670:$A$1771,0))+0.000000001))</f>
        <v>0</v>
      </c>
      <c r="M1648">
        <f>IF(Scenarios!$J$27=0,0,--(Mitigation_Industry!M779&gt;INDEX(M$1670:M$1771,MATCH("v2:emis:2:tot:"&amp;Settings!$B$10,$A$1670:$A$1771,0))+0.000000001))</f>
        <v>0</v>
      </c>
      <c r="N1648">
        <f>IF(Scenarios!$J$27=0,0,--(Mitigation_Industry!N779&gt;INDEX(N$1670:N$1771,MATCH("v2:emis:2:tot:"&amp;Settings!$B$10,$A$1670:$A$1771,0))+0.000000001))</f>
        <v>0</v>
      </c>
      <c r="O1648">
        <f>IF(Scenarios!$J$27=0,0,--(Mitigation_Industry!O779&gt;INDEX(O$1670:O$1771,MATCH("v2:emis:2:tot:"&amp;Settings!$B$10,$A$1670:$A$1771,0))+0.000000001))</f>
        <v>0</v>
      </c>
      <c r="P1648">
        <f>IF(Scenarios!$J$27=0,0,--(Mitigation_Industry!P779&gt;INDEX(P$1670:P$1771,MATCH("v2:emis:2:tot:"&amp;Settings!$B$10,$A$1670:$A$1771,0))+0.000000001))</f>
        <v>0</v>
      </c>
      <c r="Q1648">
        <f>IF(Scenarios!$J$27=0,0,--(Mitigation_Industry!Q779&gt;INDEX(Q$1670:Q$1771,MATCH("v2:emis:2:tot:"&amp;Settings!$B$10,$A$1670:$A$1771,0))+0.000000001))</f>
        <v>0</v>
      </c>
      <c r="R1648">
        <f>IF(Scenarios!$J$27=0,0,--(Mitigation_Industry!R779&gt;INDEX(R$1670:R$1771,MATCH("v2:emis:2:tot:"&amp;Settings!$B$10,$A$1670:$A$1771,0))+0.000000001))</f>
        <v>0</v>
      </c>
      <c r="S1648">
        <f>IF(Scenarios!$J$27=0,0,--(Mitigation_Industry!S779&gt;INDEX(S$1670:S$1771,MATCH("v2:emis:2:tot:"&amp;Settings!$B$10,$A$1670:$A$1771,0))+0.000000001))</f>
        <v>0</v>
      </c>
      <c r="T1648">
        <f>IF(Scenarios!$J$27=0,0,--(Mitigation_Industry!T779&gt;INDEX(T$1670:T$1771,MATCH("v2:emis:2:tot:"&amp;Settings!$B$10,$A$1670:$A$1771,0))+0.000000001))</f>
        <v>0</v>
      </c>
      <c r="U1648">
        <f>IF(Scenarios!$J$27=0,0,--(Mitigation_Industry!U779&gt;INDEX(U$1670:U$1771,MATCH("v2:emis:2:tot:"&amp;Settings!$B$10,$A$1670:$A$1771,0))+0.000000001))</f>
        <v>0</v>
      </c>
      <c r="V1648">
        <f>IF(Scenarios!$J$27=0,0,--(Mitigation_Industry!V779&gt;INDEX(V$1670:V$1771,MATCH("v2:emis:2:tot:"&amp;Settings!$B$10,$A$1670:$A$1771,0))+0.000000001))</f>
        <v>0</v>
      </c>
      <c r="W1648">
        <f>IF(Scenarios!$J$27=0,0,--(Mitigation_Industry!W779&gt;INDEX(W$1670:W$1771,MATCH("v2:emis:2:tot:"&amp;Settings!$B$10,$A$1670:$A$1771,0))+0.000000001))</f>
        <v>0</v>
      </c>
      <c r="X1648">
        <f>IF(Scenarios!$J$27=0,0,--(Mitigation_Industry!X779&gt;INDEX(X$1670:X$1771,MATCH("v2:emis:2:tot:"&amp;Settings!$B$10,$A$1670:$A$1771,0))+0.000000001))</f>
        <v>0</v>
      </c>
      <c r="Y1648">
        <f>IF(Scenarios!$J$27=0,0,--(Mitigation_Industry!Y779&gt;INDEX(Y$1670:Y$1771,MATCH("v2:emis:2:tot:"&amp;Settings!$B$10,$A$1670:$A$1771,0))+0.000000001))</f>
        <v>0</v>
      </c>
      <c r="Z1648">
        <f>IF(Scenarios!$J$27=0,0,--(Mitigation_Industry!Z779&gt;INDEX(Z$1670:Z$1771,MATCH("v2:emis:2:tot:"&amp;Settings!$B$10,$A$1670:$A$1771,0))+0.000000001))</f>
        <v>0</v>
      </c>
      <c r="AA1648">
        <f>IF(Scenarios!$J$27=0,0,--(Mitigation_Industry!AA779&gt;INDEX(AA$1670:AA$1771,MATCH("v2:emis:2:tot:"&amp;Settings!$B$10,$A$1670:$A$1771,0))+0.000000001))</f>
        <v>0</v>
      </c>
      <c r="AB1648">
        <f>IF(Scenarios!$J$27=0,0,--(Mitigation_Industry!AB779&gt;INDEX(AB$1670:AB$1771,MATCH("v2:emis:2:tot:"&amp;Settings!$B$10,$A$1670:$A$1771,0))+0.000000001))</f>
        <v>0</v>
      </c>
      <c r="AC1648">
        <f>IF(Scenarios!$J$27=0,0,--(Mitigation_Industry!AC779&gt;INDEX(AC$1670:AC$1771,MATCH("v2:emis:2:tot:"&amp;Settings!$B$10,$A$1670:$A$1771,0))+0.000000001))</f>
        <v>0</v>
      </c>
      <c r="AD1648">
        <f>IF(Scenarios!$J$27=0,0,--(Mitigation_Industry!AD779&gt;INDEX(AD$1670:AD$1771,MATCH("v2:emis:2:tot:"&amp;Settings!$B$10,$A$1670:$A$1771,0))+0.000000001))</f>
        <v>0</v>
      </c>
      <c r="AE1648">
        <f>IF(Scenarios!$J$27=0,0,--(Mitigation_Industry!AE779&gt;INDEX(AE$1670:AE$1771,MATCH("v2:emis:2:tot:"&amp;Settings!$B$10,$A$1670:$A$1771,0))+0.000000001))</f>
        <v>0</v>
      </c>
    </row>
    <row r="1649" spans="1:31" x14ac:dyDescent="0.45">
      <c r="A1649" t="s">
        <v>2777</v>
      </c>
      <c r="D1649">
        <v>2</v>
      </c>
      <c r="E1649" t="s">
        <v>2352</v>
      </c>
      <c r="F1649" s="120">
        <f>MAX(MAX(L1649:AE1649),-MIN(L1649:AE1649))</f>
        <v>0</v>
      </c>
      <c r="L1649" s="120">
        <f>Fund_Industry!L245</f>
        <v>0</v>
      </c>
      <c r="M1649" s="120">
        <f>Fund_Industry!M245</f>
        <v>0</v>
      </c>
      <c r="N1649" s="120">
        <f>Fund_Industry!N245</f>
        <v>0</v>
      </c>
      <c r="O1649" s="120">
        <f>Fund_Industry!O245</f>
        <v>0</v>
      </c>
      <c r="P1649" s="120">
        <f>Fund_Industry!P245</f>
        <v>0</v>
      </c>
      <c r="Q1649" s="120">
        <f>Fund_Industry!Q245</f>
        <v>0</v>
      </c>
      <c r="R1649" s="120">
        <f>Fund_Industry!R245</f>
        <v>0</v>
      </c>
      <c r="S1649" s="120">
        <f>Fund_Industry!S245</f>
        <v>0</v>
      </c>
      <c r="T1649" s="120">
        <f>Fund_Industry!T245</f>
        <v>0</v>
      </c>
      <c r="U1649" s="120">
        <f>Fund_Industry!U245</f>
        <v>0</v>
      </c>
      <c r="V1649" s="120">
        <f>Fund_Industry!V245</f>
        <v>0</v>
      </c>
      <c r="W1649" s="120">
        <f>Fund_Industry!W245</f>
        <v>0</v>
      </c>
      <c r="X1649" s="120">
        <f>Fund_Industry!X245</f>
        <v>0</v>
      </c>
      <c r="Y1649" s="120">
        <f>Fund_Industry!Y245</f>
        <v>0</v>
      </c>
      <c r="Z1649" s="120">
        <f>Fund_Industry!Z245</f>
        <v>0</v>
      </c>
      <c r="AA1649" s="120">
        <f>Fund_Industry!AA245</f>
        <v>0</v>
      </c>
      <c r="AB1649" s="120">
        <f>Fund_Industry!AB245</f>
        <v>0</v>
      </c>
      <c r="AC1649" s="120">
        <f>Fund_Industry!AC245</f>
        <v>0</v>
      </c>
      <c r="AD1649" s="120">
        <f>Fund_Industry!AD245</f>
        <v>0</v>
      </c>
      <c r="AE1649" s="120">
        <f>Fund_Industry!AE245</f>
        <v>0</v>
      </c>
    </row>
    <row r="1650" spans="1:31" x14ac:dyDescent="0.45">
      <c r="A1650" t="s">
        <v>2778</v>
      </c>
      <c r="D1650">
        <v>2</v>
      </c>
      <c r="E1650" t="s">
        <v>2352</v>
      </c>
      <c r="F1650">
        <f>MAX(MAX(L1650:AE1650),-MIN(L1650:AE1650))</f>
        <v>0</v>
      </c>
      <c r="L1650">
        <f>Fund_Industry!L313</f>
        <v>0</v>
      </c>
      <c r="M1650">
        <f>Fund_Industry!M313</f>
        <v>0</v>
      </c>
      <c r="N1650">
        <f>Fund_Industry!N313</f>
        <v>0</v>
      </c>
      <c r="O1650">
        <f>Fund_Industry!O313</f>
        <v>0</v>
      </c>
      <c r="P1650">
        <f>Fund_Industry!P313</f>
        <v>0</v>
      </c>
      <c r="Q1650">
        <f>Fund_Industry!Q313</f>
        <v>0</v>
      </c>
      <c r="R1650">
        <f>Fund_Industry!R313</f>
        <v>0</v>
      </c>
      <c r="S1650">
        <f>Fund_Industry!S313</f>
        <v>0</v>
      </c>
      <c r="T1650">
        <f>Fund_Industry!T313</f>
        <v>0</v>
      </c>
      <c r="U1650">
        <f>Fund_Industry!U313</f>
        <v>0</v>
      </c>
      <c r="V1650">
        <f>Fund_Industry!V313</f>
        <v>0</v>
      </c>
      <c r="W1650">
        <f>Fund_Industry!W313</f>
        <v>0</v>
      </c>
      <c r="X1650">
        <f>Fund_Industry!X313</f>
        <v>0</v>
      </c>
      <c r="Y1650">
        <f>Fund_Industry!Y313</f>
        <v>0</v>
      </c>
      <c r="Z1650">
        <f>Fund_Industry!Z313</f>
        <v>0</v>
      </c>
      <c r="AA1650">
        <f>Fund_Industry!AA313</f>
        <v>0</v>
      </c>
      <c r="AB1650">
        <f>Fund_Industry!AB313</f>
        <v>0</v>
      </c>
      <c r="AC1650">
        <f>Fund_Industry!AC313</f>
        <v>0</v>
      </c>
      <c r="AD1650">
        <f>Fund_Industry!AD313</f>
        <v>0</v>
      </c>
      <c r="AE1650">
        <f>Fund_Industry!AE313</f>
        <v>0</v>
      </c>
    </row>
    <row r="1651" spans="1:31" x14ac:dyDescent="0.45">
      <c r="A1651" t="s">
        <v>2779</v>
      </c>
      <c r="D1651">
        <v>2</v>
      </c>
      <c r="E1651" t="s">
        <v>2352</v>
      </c>
      <c r="F1651">
        <f>MAX(MAX(L1651:AE1651),-MIN(L1651:AE1651))</f>
        <v>0</v>
      </c>
      <c r="L1651">
        <f>Fund_Industry!L314</f>
        <v>0</v>
      </c>
      <c r="M1651">
        <f>Fund_Industry!M314</f>
        <v>0</v>
      </c>
      <c r="N1651">
        <f>Fund_Industry!N314</f>
        <v>0</v>
      </c>
      <c r="O1651">
        <f>Fund_Industry!O314</f>
        <v>0</v>
      </c>
      <c r="P1651">
        <f>Fund_Industry!P314</f>
        <v>0</v>
      </c>
      <c r="Q1651">
        <f>Fund_Industry!Q314</f>
        <v>0</v>
      </c>
      <c r="R1651">
        <f>Fund_Industry!R314</f>
        <v>0</v>
      </c>
      <c r="S1651">
        <f>Fund_Industry!S314</f>
        <v>0</v>
      </c>
      <c r="T1651">
        <f>Fund_Industry!T314</f>
        <v>0</v>
      </c>
      <c r="U1651">
        <f>Fund_Industry!U314</f>
        <v>0</v>
      </c>
      <c r="V1651">
        <f>Fund_Industry!V314</f>
        <v>0</v>
      </c>
      <c r="W1651">
        <f>Fund_Industry!W314</f>
        <v>0</v>
      </c>
      <c r="X1651">
        <f>Fund_Industry!X314</f>
        <v>0</v>
      </c>
      <c r="Y1651">
        <f>Fund_Industry!Y314</f>
        <v>0</v>
      </c>
      <c r="Z1651">
        <f>Fund_Industry!Z314</f>
        <v>0</v>
      </c>
      <c r="AA1651">
        <f>Fund_Industry!AA314</f>
        <v>0</v>
      </c>
      <c r="AB1651">
        <f>Fund_Industry!AB314</f>
        <v>0</v>
      </c>
      <c r="AC1651">
        <f>Fund_Industry!AC314</f>
        <v>0</v>
      </c>
      <c r="AD1651">
        <f>Fund_Industry!AD314</f>
        <v>0</v>
      </c>
      <c r="AE1651">
        <f>Fund_Industry!AE314</f>
        <v>0</v>
      </c>
    </row>
    <row r="1652" spans="1:31" x14ac:dyDescent="0.45">
      <c r="A1652" t="s">
        <v>2780</v>
      </c>
      <c r="D1652">
        <v>2</v>
      </c>
      <c r="E1652" t="s">
        <v>2352</v>
      </c>
      <c r="F1652">
        <f>MAX(MAX(L1652:AE1652),-MIN(L1652:AE1652))</f>
        <v>0</v>
      </c>
      <c r="L1652">
        <f>Fund_Industry!L315</f>
        <v>0</v>
      </c>
      <c r="M1652">
        <f>Fund_Industry!M315</f>
        <v>0</v>
      </c>
      <c r="N1652">
        <f>Fund_Industry!N315</f>
        <v>0</v>
      </c>
      <c r="O1652">
        <f>Fund_Industry!O315</f>
        <v>0</v>
      </c>
      <c r="P1652">
        <f>Fund_Industry!P315</f>
        <v>0</v>
      </c>
      <c r="Q1652">
        <f>Fund_Industry!Q315</f>
        <v>0</v>
      </c>
      <c r="R1652">
        <f>Fund_Industry!R315</f>
        <v>0</v>
      </c>
      <c r="S1652">
        <f>Fund_Industry!S315</f>
        <v>0</v>
      </c>
      <c r="T1652">
        <f>Fund_Industry!T315</f>
        <v>0</v>
      </c>
      <c r="U1652">
        <f>Fund_Industry!U315</f>
        <v>0</v>
      </c>
      <c r="V1652">
        <f>Fund_Industry!V315</f>
        <v>0</v>
      </c>
      <c r="W1652">
        <f>Fund_Industry!W315</f>
        <v>0</v>
      </c>
      <c r="X1652">
        <f>Fund_Industry!X315</f>
        <v>0</v>
      </c>
      <c r="Y1652">
        <f>Fund_Industry!Y315</f>
        <v>0</v>
      </c>
      <c r="Z1652">
        <f>Fund_Industry!Z315</f>
        <v>0</v>
      </c>
      <c r="AA1652">
        <f>Fund_Industry!AA315</f>
        <v>0</v>
      </c>
      <c r="AB1652">
        <f>Fund_Industry!AB315</f>
        <v>0</v>
      </c>
      <c r="AC1652">
        <f>Fund_Industry!AC315</f>
        <v>0</v>
      </c>
      <c r="AD1652">
        <f>Fund_Industry!AD315</f>
        <v>0</v>
      </c>
      <c r="AE1652">
        <f>Fund_Industry!AE315</f>
        <v>0</v>
      </c>
    </row>
    <row r="1653" spans="1:31" x14ac:dyDescent="0.45">
      <c r="A1653" t="s">
        <v>2781</v>
      </c>
      <c r="D1653">
        <v>2</v>
      </c>
      <c r="E1653" t="s">
        <v>2352</v>
      </c>
      <c r="F1653">
        <f>MAX(MAX(L1653:AE1653),-MIN(L1653:AE1653))</f>
        <v>0</v>
      </c>
      <c r="L1653">
        <f>Fund_Industry!L316</f>
        <v>0</v>
      </c>
      <c r="M1653">
        <f>Fund_Industry!M316</f>
        <v>0</v>
      </c>
      <c r="N1653">
        <f>Fund_Industry!N316</f>
        <v>0</v>
      </c>
      <c r="O1653">
        <f>Fund_Industry!O316</f>
        <v>0</v>
      </c>
      <c r="P1653">
        <f>Fund_Industry!P316</f>
        <v>0</v>
      </c>
      <c r="Q1653">
        <f>Fund_Industry!Q316</f>
        <v>0</v>
      </c>
      <c r="R1653">
        <f>Fund_Industry!R316</f>
        <v>0</v>
      </c>
      <c r="S1653">
        <f>Fund_Industry!S316</f>
        <v>0</v>
      </c>
      <c r="T1653">
        <f>Fund_Industry!T316</f>
        <v>0</v>
      </c>
      <c r="U1653">
        <f>Fund_Industry!U316</f>
        <v>0</v>
      </c>
      <c r="V1653">
        <f>Fund_Industry!V316</f>
        <v>0</v>
      </c>
      <c r="W1653">
        <f>Fund_Industry!W316</f>
        <v>0</v>
      </c>
      <c r="X1653">
        <f>Fund_Industry!X316</f>
        <v>0</v>
      </c>
      <c r="Y1653">
        <f>Fund_Industry!Y316</f>
        <v>0</v>
      </c>
      <c r="Z1653">
        <f>Fund_Industry!Z316</f>
        <v>0</v>
      </c>
      <c r="AA1653">
        <f>Fund_Industry!AA316</f>
        <v>0</v>
      </c>
      <c r="AB1653">
        <f>Fund_Industry!AB316</f>
        <v>0</v>
      </c>
      <c r="AC1653">
        <f>Fund_Industry!AC316</f>
        <v>0</v>
      </c>
      <c r="AD1653">
        <f>Fund_Industry!AD316</f>
        <v>0</v>
      </c>
      <c r="AE1653">
        <f>Fund_Industry!AE316</f>
        <v>0</v>
      </c>
    </row>
    <row r="1654" spans="1:31" x14ac:dyDescent="0.45">
      <c r="A1654" t="s">
        <v>2782</v>
      </c>
      <c r="D1654">
        <v>2</v>
      </c>
      <c r="E1654" t="s">
        <v>2352</v>
      </c>
      <c r="F1654">
        <f>MAX(MAX(L1654:AE1654),-MIN(L1654:AE1654))</f>
        <v>0</v>
      </c>
      <c r="L1654">
        <f>Fund_Industry!L317</f>
        <v>0</v>
      </c>
      <c r="M1654">
        <f>Fund_Industry!M317</f>
        <v>0</v>
      </c>
      <c r="N1654">
        <f>Fund_Industry!N317</f>
        <v>0</v>
      </c>
      <c r="O1654">
        <f>Fund_Industry!O317</f>
        <v>0</v>
      </c>
      <c r="P1654">
        <f>Fund_Industry!P317</f>
        <v>0</v>
      </c>
      <c r="Q1654">
        <f>Fund_Industry!Q317</f>
        <v>0</v>
      </c>
      <c r="R1654">
        <f>Fund_Industry!R317</f>
        <v>0</v>
      </c>
      <c r="S1654">
        <f>Fund_Industry!S317</f>
        <v>0</v>
      </c>
      <c r="T1654">
        <f>Fund_Industry!T317</f>
        <v>0</v>
      </c>
      <c r="U1654">
        <f>Fund_Industry!U317</f>
        <v>0</v>
      </c>
      <c r="V1654">
        <f>Fund_Industry!V317</f>
        <v>0</v>
      </c>
      <c r="W1654">
        <f>Fund_Industry!W317</f>
        <v>0</v>
      </c>
      <c r="X1654">
        <f>Fund_Industry!X317</f>
        <v>0</v>
      </c>
      <c r="Y1654">
        <f>Fund_Industry!Y317</f>
        <v>0</v>
      </c>
      <c r="Z1654">
        <f>Fund_Industry!Z317</f>
        <v>0</v>
      </c>
      <c r="AA1654">
        <f>Fund_Industry!AA317</f>
        <v>0</v>
      </c>
      <c r="AB1654">
        <f>Fund_Industry!AB317</f>
        <v>0</v>
      </c>
      <c r="AC1654">
        <f>Fund_Industry!AC317</f>
        <v>0</v>
      </c>
      <c r="AD1654">
        <f>Fund_Industry!AD317</f>
        <v>0</v>
      </c>
      <c r="AE1654">
        <f>Fund_Industry!AE317</f>
        <v>0</v>
      </c>
    </row>
    <row r="1655" spans="1:31" x14ac:dyDescent="0.45">
      <c r="A1655" t="s">
        <v>2783</v>
      </c>
      <c r="D1655">
        <v>2</v>
      </c>
      <c r="E1655" t="s">
        <v>2352</v>
      </c>
      <c r="F1655">
        <f>MAX(MAX(L1655:AE1655),-MIN(L1655:AE1655))</f>
        <v>0</v>
      </c>
      <c r="L1655">
        <f>Fund_Industry!L319</f>
        <v>0</v>
      </c>
      <c r="M1655">
        <f>Fund_Industry!M319</f>
        <v>0</v>
      </c>
      <c r="N1655">
        <f>Fund_Industry!N319</f>
        <v>0</v>
      </c>
      <c r="O1655">
        <f>Fund_Industry!O319</f>
        <v>0</v>
      </c>
      <c r="P1655">
        <f>Fund_Industry!P319</f>
        <v>0</v>
      </c>
      <c r="Q1655">
        <f>Fund_Industry!Q319</f>
        <v>0</v>
      </c>
      <c r="R1655">
        <f>Fund_Industry!R319</f>
        <v>0</v>
      </c>
      <c r="S1655">
        <f>Fund_Industry!S319</f>
        <v>0</v>
      </c>
      <c r="T1655">
        <f>Fund_Industry!T319</f>
        <v>0</v>
      </c>
      <c r="U1655">
        <f>Fund_Industry!U319</f>
        <v>0</v>
      </c>
      <c r="V1655">
        <f>Fund_Industry!V319</f>
        <v>0</v>
      </c>
      <c r="W1655">
        <f>Fund_Industry!W319</f>
        <v>0</v>
      </c>
      <c r="X1655">
        <f>Fund_Industry!X319</f>
        <v>0</v>
      </c>
      <c r="Y1655">
        <f>Fund_Industry!Y319</f>
        <v>0</v>
      </c>
      <c r="Z1655">
        <f>Fund_Industry!Z319</f>
        <v>0</v>
      </c>
      <c r="AA1655">
        <f>Fund_Industry!AA319</f>
        <v>0</v>
      </c>
      <c r="AB1655">
        <f>Fund_Industry!AB319</f>
        <v>0</v>
      </c>
      <c r="AC1655">
        <f>Fund_Industry!AC319</f>
        <v>0</v>
      </c>
      <c r="AD1655">
        <f>Fund_Industry!AD319</f>
        <v>0</v>
      </c>
      <c r="AE1655">
        <f>Fund_Industry!AE319</f>
        <v>0</v>
      </c>
    </row>
    <row r="1656" spans="1:31" x14ac:dyDescent="0.45">
      <c r="A1656" t="s">
        <v>2784</v>
      </c>
      <c r="D1656">
        <v>2</v>
      </c>
      <c r="E1656" t="s">
        <v>2352</v>
      </c>
      <c r="F1656" s="121">
        <f>MAX(MAX(L1656:AE1656),-MIN(L1656:AE1656))</f>
        <v>0</v>
      </c>
      <c r="L1656" s="121">
        <f>Fund_Industry!L320</f>
        <v>0</v>
      </c>
      <c r="M1656" s="121">
        <f>Fund_Industry!M320</f>
        <v>0</v>
      </c>
      <c r="N1656" s="121">
        <f>Fund_Industry!N320</f>
        <v>0</v>
      </c>
      <c r="O1656" s="121">
        <f>Fund_Industry!O320</f>
        <v>0</v>
      </c>
      <c r="P1656" s="121">
        <f>Fund_Industry!P320</f>
        <v>0</v>
      </c>
      <c r="Q1656" s="121">
        <f>Fund_Industry!Q320</f>
        <v>0</v>
      </c>
      <c r="R1656" s="121">
        <f>Fund_Industry!R320</f>
        <v>0</v>
      </c>
      <c r="S1656" s="121">
        <f>Fund_Industry!S320</f>
        <v>0</v>
      </c>
      <c r="T1656" s="121">
        <f>Fund_Industry!T320</f>
        <v>0</v>
      </c>
      <c r="U1656" s="121">
        <f>Fund_Industry!U320</f>
        <v>0</v>
      </c>
      <c r="V1656" s="121">
        <f>Fund_Industry!V320</f>
        <v>0</v>
      </c>
      <c r="W1656" s="121">
        <f>Fund_Industry!W320</f>
        <v>0</v>
      </c>
      <c r="X1656" s="121">
        <f>Fund_Industry!X320</f>
        <v>0</v>
      </c>
      <c r="Y1656" s="121">
        <f>Fund_Industry!Y320</f>
        <v>0</v>
      </c>
      <c r="Z1656" s="121">
        <f>Fund_Industry!Z320</f>
        <v>0</v>
      </c>
      <c r="AA1656" s="121">
        <f>Fund_Industry!AA320</f>
        <v>0</v>
      </c>
      <c r="AB1656" s="121">
        <f>Fund_Industry!AB320</f>
        <v>0</v>
      </c>
      <c r="AC1656" s="121">
        <f>Fund_Industry!AC320</f>
        <v>0</v>
      </c>
      <c r="AD1656" s="121">
        <f>Fund_Industry!AD320</f>
        <v>0</v>
      </c>
      <c r="AE1656" s="121">
        <f>Fund_Industry!AE320</f>
        <v>0</v>
      </c>
    </row>
    <row r="1657" spans="1:31" x14ac:dyDescent="0.45">
      <c r="A1657" t="s">
        <v>2785</v>
      </c>
      <c r="D1657">
        <v>2</v>
      </c>
      <c r="E1657" t="s">
        <v>2352</v>
      </c>
      <c r="F1657" s="120">
        <f>MAX(MAX(L1657:AE1657),-MIN(L1657:AE1657))</f>
        <v>0</v>
      </c>
      <c r="L1657" s="120">
        <f>Fund_Industry!L323</f>
        <v>0</v>
      </c>
      <c r="M1657" s="120">
        <f>Fund_Industry!M323</f>
        <v>0</v>
      </c>
      <c r="N1657" s="120">
        <f>Fund_Industry!N323</f>
        <v>0</v>
      </c>
      <c r="O1657" s="120">
        <f>Fund_Industry!O323</f>
        <v>0</v>
      </c>
      <c r="P1657" s="120">
        <f>Fund_Industry!P323</f>
        <v>0</v>
      </c>
      <c r="Q1657" s="120">
        <f>Fund_Industry!Q323</f>
        <v>0</v>
      </c>
      <c r="R1657" s="120">
        <f>Fund_Industry!R323</f>
        <v>0</v>
      </c>
      <c r="S1657" s="120">
        <f>Fund_Industry!S323</f>
        <v>0</v>
      </c>
      <c r="T1657" s="120">
        <f>Fund_Industry!T323</f>
        <v>0</v>
      </c>
      <c r="U1657" s="120">
        <f>Fund_Industry!U323</f>
        <v>0</v>
      </c>
      <c r="V1657" s="120">
        <f>Fund_Industry!V323</f>
        <v>0</v>
      </c>
      <c r="W1657" s="120">
        <f>Fund_Industry!W323</f>
        <v>0</v>
      </c>
      <c r="X1657" s="120">
        <f>Fund_Industry!X323</f>
        <v>0</v>
      </c>
      <c r="Y1657" s="120">
        <f>Fund_Industry!Y323</f>
        <v>0</v>
      </c>
      <c r="Z1657" s="120">
        <f>Fund_Industry!Z323</f>
        <v>0</v>
      </c>
      <c r="AA1657" s="120">
        <f>Fund_Industry!AA323</f>
        <v>0</v>
      </c>
      <c r="AB1657" s="120">
        <f>Fund_Industry!AB323</f>
        <v>0</v>
      </c>
      <c r="AC1657" s="120">
        <f>Fund_Industry!AC323</f>
        <v>0</v>
      </c>
      <c r="AD1657" s="120">
        <f>Fund_Industry!AD323</f>
        <v>0</v>
      </c>
      <c r="AE1657" s="120">
        <f>Fund_Industry!AE323</f>
        <v>0</v>
      </c>
    </row>
    <row r="1658" spans="1:31" x14ac:dyDescent="0.45">
      <c r="A1658" t="s">
        <v>2786</v>
      </c>
      <c r="D1658">
        <v>2</v>
      </c>
      <c r="E1658" t="s">
        <v>2352</v>
      </c>
      <c r="F1658">
        <f>MAX(MAX(L1658:AE1658),-MIN(L1658:AE1658))</f>
        <v>0</v>
      </c>
      <c r="L1658">
        <f>Mitigation_Industry!L462-INDEX(L$1670:L$1771,MATCH("v2:ener:2:irn:"&amp;Settings!$B$10,$A$1670:$A$1771,0))</f>
        <v>0</v>
      </c>
      <c r="M1658">
        <f>Mitigation_Industry!M462-INDEX(M$1670:M$1771,MATCH("v2:ener:2:irn:"&amp;Settings!$B$10,$A$1670:$A$1771,0))</f>
        <v>0</v>
      </c>
      <c r="N1658">
        <f>Mitigation_Industry!N462-INDEX(N$1670:N$1771,MATCH("v2:ener:2:irn:"&amp;Settings!$B$10,$A$1670:$A$1771,0))</f>
        <v>0</v>
      </c>
      <c r="O1658">
        <f>Mitigation_Industry!O462-INDEX(O$1670:O$1771,MATCH("v2:ener:2:irn:"&amp;Settings!$B$10,$A$1670:$A$1771,0))</f>
        <v>0</v>
      </c>
      <c r="P1658">
        <f>Mitigation_Industry!P462-INDEX(P$1670:P$1771,MATCH("v2:ener:2:irn:"&amp;Settings!$B$10,$A$1670:$A$1771,0))</f>
        <v>0</v>
      </c>
      <c r="Q1658">
        <f>Mitigation_Industry!Q462-INDEX(Q$1670:Q$1771,MATCH("v2:ener:2:irn:"&amp;Settings!$B$10,$A$1670:$A$1771,0))</f>
        <v>0</v>
      </c>
      <c r="R1658">
        <f>Mitigation_Industry!R462-INDEX(R$1670:R$1771,MATCH("v2:ener:2:irn:"&amp;Settings!$B$10,$A$1670:$A$1771,0))</f>
        <v>0</v>
      </c>
      <c r="S1658">
        <f>Mitigation_Industry!S462-INDEX(S$1670:S$1771,MATCH("v2:ener:2:irn:"&amp;Settings!$B$10,$A$1670:$A$1771,0))</f>
        <v>0</v>
      </c>
      <c r="T1658">
        <f>Mitigation_Industry!T462-INDEX(T$1670:T$1771,MATCH("v2:ener:2:irn:"&amp;Settings!$B$10,$A$1670:$A$1771,0))</f>
        <v>0</v>
      </c>
      <c r="U1658">
        <f>Mitigation_Industry!U462-INDEX(U$1670:U$1771,MATCH("v2:ener:2:irn:"&amp;Settings!$B$10,$A$1670:$A$1771,0))</f>
        <v>0</v>
      </c>
      <c r="V1658">
        <f>Mitigation_Industry!V462-INDEX(V$1670:V$1771,MATCH("v2:ener:2:irn:"&amp;Settings!$B$10,$A$1670:$A$1771,0))</f>
        <v>0</v>
      </c>
      <c r="W1658">
        <f>Mitigation_Industry!W462-INDEX(W$1670:W$1771,MATCH("v2:ener:2:irn:"&amp;Settings!$B$10,$A$1670:$A$1771,0))</f>
        <v>0</v>
      </c>
      <c r="X1658">
        <f>Mitigation_Industry!X462-INDEX(X$1670:X$1771,MATCH("v2:ener:2:irn:"&amp;Settings!$B$10,$A$1670:$A$1771,0))</f>
        <v>0</v>
      </c>
      <c r="Y1658">
        <f>Mitigation_Industry!Y462-INDEX(Y$1670:Y$1771,MATCH("v2:ener:2:irn:"&amp;Settings!$B$10,$A$1670:$A$1771,0))</f>
        <v>0</v>
      </c>
      <c r="Z1658">
        <f>Mitigation_Industry!Z462-INDEX(Z$1670:Z$1771,MATCH("v2:ener:2:irn:"&amp;Settings!$B$10,$A$1670:$A$1771,0))</f>
        <v>0</v>
      </c>
      <c r="AA1658">
        <f>Mitigation_Industry!AA462-INDEX(AA$1670:AA$1771,MATCH("v2:ener:2:irn:"&amp;Settings!$B$10,$A$1670:$A$1771,0))</f>
        <v>0</v>
      </c>
      <c r="AB1658">
        <f>Mitigation_Industry!AB462-INDEX(AB$1670:AB$1771,MATCH("v2:ener:2:irn:"&amp;Settings!$B$10,$A$1670:$A$1771,0))</f>
        <v>0</v>
      </c>
      <c r="AC1658">
        <f>Mitigation_Industry!AC462-INDEX(AC$1670:AC$1771,MATCH("v2:ener:2:irn:"&amp;Settings!$B$10,$A$1670:$A$1771,0))</f>
        <v>0</v>
      </c>
      <c r="AD1658">
        <f>Mitigation_Industry!AD462-INDEX(AD$1670:AD$1771,MATCH("v2:ener:2:irn:"&amp;Settings!$B$10,$A$1670:$A$1771,0))</f>
        <v>0</v>
      </c>
      <c r="AE1658">
        <f>Mitigation_Industry!AE462-INDEX(AE$1670:AE$1771,MATCH("v2:ener:2:irn:"&amp;Settings!$B$10,$A$1670:$A$1771,0))</f>
        <v>0</v>
      </c>
    </row>
    <row r="1659" spans="1:31" x14ac:dyDescent="0.45">
      <c r="A1659" t="s">
        <v>2787</v>
      </c>
      <c r="D1659">
        <v>2</v>
      </c>
      <c r="E1659" t="s">
        <v>2352</v>
      </c>
      <c r="F1659">
        <f>MAX(MAX(L1659:AE1659),-MIN(L1659:AE1659))</f>
        <v>0</v>
      </c>
      <c r="L1659">
        <f>Mitigation_Industry!L522-INDEX(L$1670:L$1771,MATCH("v2:ener:2:cem:"&amp;Settings!$B$10,$A$1670:$A$1771,0))</f>
        <v>0</v>
      </c>
      <c r="M1659">
        <f>Mitigation_Industry!M522-INDEX(M$1670:M$1771,MATCH("v2:ener:2:cem:"&amp;Settings!$B$10,$A$1670:$A$1771,0))</f>
        <v>0</v>
      </c>
      <c r="N1659">
        <f>Mitigation_Industry!N522-INDEX(N$1670:N$1771,MATCH("v2:ener:2:cem:"&amp;Settings!$B$10,$A$1670:$A$1771,0))</f>
        <v>0</v>
      </c>
      <c r="O1659">
        <f>Mitigation_Industry!O522-INDEX(O$1670:O$1771,MATCH("v2:ener:2:cem:"&amp;Settings!$B$10,$A$1670:$A$1771,0))</f>
        <v>0</v>
      </c>
      <c r="P1659">
        <f>Mitigation_Industry!P522-INDEX(P$1670:P$1771,MATCH("v2:ener:2:cem:"&amp;Settings!$B$10,$A$1670:$A$1771,0))</f>
        <v>0</v>
      </c>
      <c r="Q1659">
        <f>Mitigation_Industry!Q522-INDEX(Q$1670:Q$1771,MATCH("v2:ener:2:cem:"&amp;Settings!$B$10,$A$1670:$A$1771,0))</f>
        <v>0</v>
      </c>
      <c r="R1659">
        <f>Mitigation_Industry!R522-INDEX(R$1670:R$1771,MATCH("v2:ener:2:cem:"&amp;Settings!$B$10,$A$1670:$A$1771,0))</f>
        <v>0</v>
      </c>
      <c r="S1659">
        <f>Mitigation_Industry!S522-INDEX(S$1670:S$1771,MATCH("v2:ener:2:cem:"&amp;Settings!$B$10,$A$1670:$A$1771,0))</f>
        <v>0</v>
      </c>
      <c r="T1659">
        <f>Mitigation_Industry!T522-INDEX(T$1670:T$1771,MATCH("v2:ener:2:cem:"&amp;Settings!$B$10,$A$1670:$A$1771,0))</f>
        <v>0</v>
      </c>
      <c r="U1659">
        <f>Mitigation_Industry!U522-INDEX(U$1670:U$1771,MATCH("v2:ener:2:cem:"&amp;Settings!$B$10,$A$1670:$A$1771,0))</f>
        <v>0</v>
      </c>
      <c r="V1659">
        <f>Mitigation_Industry!V522-INDEX(V$1670:V$1771,MATCH("v2:ener:2:cem:"&amp;Settings!$B$10,$A$1670:$A$1771,0))</f>
        <v>0</v>
      </c>
      <c r="W1659">
        <f>Mitigation_Industry!W522-INDEX(W$1670:W$1771,MATCH("v2:ener:2:cem:"&amp;Settings!$B$10,$A$1670:$A$1771,0))</f>
        <v>0</v>
      </c>
      <c r="X1659">
        <f>Mitigation_Industry!X522-INDEX(X$1670:X$1771,MATCH("v2:ener:2:cem:"&amp;Settings!$B$10,$A$1670:$A$1771,0))</f>
        <v>0</v>
      </c>
      <c r="Y1659">
        <f>Mitigation_Industry!Y522-INDEX(Y$1670:Y$1771,MATCH("v2:ener:2:cem:"&amp;Settings!$B$10,$A$1670:$A$1771,0))</f>
        <v>0</v>
      </c>
      <c r="Z1659">
        <f>Mitigation_Industry!Z522-INDEX(Z$1670:Z$1771,MATCH("v2:ener:2:cem:"&amp;Settings!$B$10,$A$1670:$A$1771,0))</f>
        <v>0</v>
      </c>
      <c r="AA1659">
        <f>Mitigation_Industry!AA522-INDEX(AA$1670:AA$1771,MATCH("v2:ener:2:cem:"&amp;Settings!$B$10,$A$1670:$A$1771,0))</f>
        <v>0</v>
      </c>
      <c r="AB1659">
        <f>Mitigation_Industry!AB522-INDEX(AB$1670:AB$1771,MATCH("v2:ener:2:cem:"&amp;Settings!$B$10,$A$1670:$A$1771,0))</f>
        <v>0</v>
      </c>
      <c r="AC1659">
        <f>Mitigation_Industry!AC522-INDEX(AC$1670:AC$1771,MATCH("v2:ener:2:cem:"&amp;Settings!$B$10,$A$1670:$A$1771,0))</f>
        <v>0</v>
      </c>
      <c r="AD1659">
        <f>Mitigation_Industry!AD522-INDEX(AD$1670:AD$1771,MATCH("v2:ener:2:cem:"&amp;Settings!$B$10,$A$1670:$A$1771,0))</f>
        <v>0</v>
      </c>
      <c r="AE1659">
        <f>Mitigation_Industry!AE522-INDEX(AE$1670:AE$1771,MATCH("v2:ener:2:cem:"&amp;Settings!$B$10,$A$1670:$A$1771,0))</f>
        <v>0</v>
      </c>
    </row>
    <row r="1660" spans="1:31" x14ac:dyDescent="0.45">
      <c r="A1660" t="s">
        <v>2788</v>
      </c>
      <c r="D1660">
        <v>2</v>
      </c>
      <c r="E1660" t="s">
        <v>2352</v>
      </c>
      <c r="F1660">
        <f>MAX(MAX(L1660:AE1660),-MIN(L1660:AE1660))</f>
        <v>0</v>
      </c>
      <c r="L1660">
        <f>Mitigation_Industry!L582-INDEX(L$1670:L$1771,MATCH("v2:ener:2:nfm:"&amp;Settings!$B$10,$A$1670:$A$1771,0))</f>
        <v>0</v>
      </c>
      <c r="M1660">
        <f>Mitigation_Industry!M582-INDEX(M$1670:M$1771,MATCH("v2:ener:2:nfm:"&amp;Settings!$B$10,$A$1670:$A$1771,0))</f>
        <v>0</v>
      </c>
      <c r="N1660">
        <f>Mitigation_Industry!N582-INDEX(N$1670:N$1771,MATCH("v2:ener:2:nfm:"&amp;Settings!$B$10,$A$1670:$A$1771,0))</f>
        <v>0</v>
      </c>
      <c r="O1660">
        <f>Mitigation_Industry!O582-INDEX(O$1670:O$1771,MATCH("v2:ener:2:nfm:"&amp;Settings!$B$10,$A$1670:$A$1771,0))</f>
        <v>0</v>
      </c>
      <c r="P1660">
        <f>Mitigation_Industry!P582-INDEX(P$1670:P$1771,MATCH("v2:ener:2:nfm:"&amp;Settings!$B$10,$A$1670:$A$1771,0))</f>
        <v>0</v>
      </c>
      <c r="Q1660">
        <f>Mitigation_Industry!Q582-INDEX(Q$1670:Q$1771,MATCH("v2:ener:2:nfm:"&amp;Settings!$B$10,$A$1670:$A$1771,0))</f>
        <v>0</v>
      </c>
      <c r="R1660">
        <f>Mitigation_Industry!R582-INDEX(R$1670:R$1771,MATCH("v2:ener:2:nfm:"&amp;Settings!$B$10,$A$1670:$A$1771,0))</f>
        <v>0</v>
      </c>
      <c r="S1660">
        <f>Mitigation_Industry!S582-INDEX(S$1670:S$1771,MATCH("v2:ener:2:nfm:"&amp;Settings!$B$10,$A$1670:$A$1771,0))</f>
        <v>0</v>
      </c>
      <c r="T1660">
        <f>Mitigation_Industry!T582-INDEX(T$1670:T$1771,MATCH("v2:ener:2:nfm:"&amp;Settings!$B$10,$A$1670:$A$1771,0))</f>
        <v>0</v>
      </c>
      <c r="U1660">
        <f>Mitigation_Industry!U582-INDEX(U$1670:U$1771,MATCH("v2:ener:2:nfm:"&amp;Settings!$B$10,$A$1670:$A$1771,0))</f>
        <v>0</v>
      </c>
      <c r="V1660">
        <f>Mitigation_Industry!V582-INDEX(V$1670:V$1771,MATCH("v2:ener:2:nfm:"&amp;Settings!$B$10,$A$1670:$A$1771,0))</f>
        <v>0</v>
      </c>
      <c r="W1660">
        <f>Mitigation_Industry!W582-INDEX(W$1670:W$1771,MATCH("v2:ener:2:nfm:"&amp;Settings!$B$10,$A$1670:$A$1771,0))</f>
        <v>0</v>
      </c>
      <c r="X1660">
        <f>Mitigation_Industry!X582-INDEX(X$1670:X$1771,MATCH("v2:ener:2:nfm:"&amp;Settings!$B$10,$A$1670:$A$1771,0))</f>
        <v>0</v>
      </c>
      <c r="Y1660">
        <f>Mitigation_Industry!Y582-INDEX(Y$1670:Y$1771,MATCH("v2:ener:2:nfm:"&amp;Settings!$B$10,$A$1670:$A$1771,0))</f>
        <v>0</v>
      </c>
      <c r="Z1660">
        <f>Mitigation_Industry!Z582-INDEX(Z$1670:Z$1771,MATCH("v2:ener:2:nfm:"&amp;Settings!$B$10,$A$1670:$A$1771,0))</f>
        <v>0</v>
      </c>
      <c r="AA1660">
        <f>Mitigation_Industry!AA582-INDEX(AA$1670:AA$1771,MATCH("v2:ener:2:nfm:"&amp;Settings!$B$10,$A$1670:$A$1771,0))</f>
        <v>0</v>
      </c>
      <c r="AB1660">
        <f>Mitigation_Industry!AB582-INDEX(AB$1670:AB$1771,MATCH("v2:ener:2:nfm:"&amp;Settings!$B$10,$A$1670:$A$1771,0))</f>
        <v>0</v>
      </c>
      <c r="AC1660">
        <f>Mitigation_Industry!AC582-INDEX(AC$1670:AC$1771,MATCH("v2:ener:2:nfm:"&amp;Settings!$B$10,$A$1670:$A$1771,0))</f>
        <v>0</v>
      </c>
      <c r="AD1660">
        <f>Mitigation_Industry!AD582-INDEX(AD$1670:AD$1771,MATCH("v2:ener:2:nfm:"&amp;Settings!$B$10,$A$1670:$A$1771,0))</f>
        <v>0</v>
      </c>
      <c r="AE1660">
        <f>Mitigation_Industry!AE582-INDEX(AE$1670:AE$1771,MATCH("v2:ener:2:nfm:"&amp;Settings!$B$10,$A$1670:$A$1771,0))</f>
        <v>0</v>
      </c>
    </row>
    <row r="1661" spans="1:31" x14ac:dyDescent="0.45">
      <c r="A1661" t="s">
        <v>2789</v>
      </c>
      <c r="D1661">
        <v>2</v>
      </c>
      <c r="E1661" t="s">
        <v>2352</v>
      </c>
      <c r="F1661">
        <f>MAX(MAX(L1661:AE1661),-MIN(L1661:AE1661))</f>
        <v>0</v>
      </c>
      <c r="L1661">
        <f>Mitigation_Industry!L642-INDEX(L$1670:L$1771,MATCH("v2:ener:2:mch:"&amp;Settings!$B$10,$A$1670:$A$1771,0))</f>
        <v>0</v>
      </c>
      <c r="M1661">
        <f>Mitigation_Industry!M642-INDEX(M$1670:M$1771,MATCH("v2:ener:2:mch:"&amp;Settings!$B$10,$A$1670:$A$1771,0))</f>
        <v>0</v>
      </c>
      <c r="N1661">
        <f>Mitigation_Industry!N642-INDEX(N$1670:N$1771,MATCH("v2:ener:2:mch:"&amp;Settings!$B$10,$A$1670:$A$1771,0))</f>
        <v>0</v>
      </c>
      <c r="O1661">
        <f>Mitigation_Industry!O642-INDEX(O$1670:O$1771,MATCH("v2:ener:2:mch:"&amp;Settings!$B$10,$A$1670:$A$1771,0))</f>
        <v>0</v>
      </c>
      <c r="P1661">
        <f>Mitigation_Industry!P642-INDEX(P$1670:P$1771,MATCH("v2:ener:2:mch:"&amp;Settings!$B$10,$A$1670:$A$1771,0))</f>
        <v>0</v>
      </c>
      <c r="Q1661">
        <f>Mitigation_Industry!Q642-INDEX(Q$1670:Q$1771,MATCH("v2:ener:2:mch:"&amp;Settings!$B$10,$A$1670:$A$1771,0))</f>
        <v>0</v>
      </c>
      <c r="R1661">
        <f>Mitigation_Industry!R642-INDEX(R$1670:R$1771,MATCH("v2:ener:2:mch:"&amp;Settings!$B$10,$A$1670:$A$1771,0))</f>
        <v>0</v>
      </c>
      <c r="S1661">
        <f>Mitigation_Industry!S642-INDEX(S$1670:S$1771,MATCH("v2:ener:2:mch:"&amp;Settings!$B$10,$A$1670:$A$1771,0))</f>
        <v>0</v>
      </c>
      <c r="T1661">
        <f>Mitigation_Industry!T642-INDEX(T$1670:T$1771,MATCH("v2:ener:2:mch:"&amp;Settings!$B$10,$A$1670:$A$1771,0))</f>
        <v>0</v>
      </c>
      <c r="U1661">
        <f>Mitigation_Industry!U642-INDEX(U$1670:U$1771,MATCH("v2:ener:2:mch:"&amp;Settings!$B$10,$A$1670:$A$1771,0))</f>
        <v>0</v>
      </c>
      <c r="V1661">
        <f>Mitigation_Industry!V642-INDEX(V$1670:V$1771,MATCH("v2:ener:2:mch:"&amp;Settings!$B$10,$A$1670:$A$1771,0))</f>
        <v>0</v>
      </c>
      <c r="W1661">
        <f>Mitigation_Industry!W642-INDEX(W$1670:W$1771,MATCH("v2:ener:2:mch:"&amp;Settings!$B$10,$A$1670:$A$1771,0))</f>
        <v>0</v>
      </c>
      <c r="X1661">
        <f>Mitigation_Industry!X642-INDEX(X$1670:X$1771,MATCH("v2:ener:2:mch:"&amp;Settings!$B$10,$A$1670:$A$1771,0))</f>
        <v>0</v>
      </c>
      <c r="Y1661">
        <f>Mitigation_Industry!Y642-INDEX(Y$1670:Y$1771,MATCH("v2:ener:2:mch:"&amp;Settings!$B$10,$A$1670:$A$1771,0))</f>
        <v>0</v>
      </c>
      <c r="Z1661">
        <f>Mitigation_Industry!Z642-INDEX(Z$1670:Z$1771,MATCH("v2:ener:2:mch:"&amp;Settings!$B$10,$A$1670:$A$1771,0))</f>
        <v>0</v>
      </c>
      <c r="AA1661">
        <f>Mitigation_Industry!AA642-INDEX(AA$1670:AA$1771,MATCH("v2:ener:2:mch:"&amp;Settings!$B$10,$A$1670:$A$1771,0))</f>
        <v>0</v>
      </c>
      <c r="AB1661">
        <f>Mitigation_Industry!AB642-INDEX(AB$1670:AB$1771,MATCH("v2:ener:2:mch:"&amp;Settings!$B$10,$A$1670:$A$1771,0))</f>
        <v>0</v>
      </c>
      <c r="AC1661">
        <f>Mitigation_Industry!AC642-INDEX(AC$1670:AC$1771,MATCH("v2:ener:2:mch:"&amp;Settings!$B$10,$A$1670:$A$1771,0))</f>
        <v>0</v>
      </c>
      <c r="AD1661">
        <f>Mitigation_Industry!AD642-INDEX(AD$1670:AD$1771,MATCH("v2:ener:2:mch:"&amp;Settings!$B$10,$A$1670:$A$1771,0))</f>
        <v>0</v>
      </c>
      <c r="AE1661">
        <f>Mitigation_Industry!AE642-INDEX(AE$1670:AE$1771,MATCH("v2:ener:2:mch:"&amp;Settings!$B$10,$A$1670:$A$1771,0))</f>
        <v>0</v>
      </c>
    </row>
    <row r="1662" spans="1:31" x14ac:dyDescent="0.45">
      <c r="A1662" t="s">
        <v>2790</v>
      </c>
      <c r="D1662">
        <v>2</v>
      </c>
      <c r="E1662" t="s">
        <v>2352</v>
      </c>
      <c r="F1662">
        <f>MAX(MAX(L1662:AE1662),-MIN(L1662:AE1662))</f>
        <v>0</v>
      </c>
      <c r="L1662">
        <f>Emissions_Industry!L66+Emissions_Industry!L78+Emissions_Industry!L90+Emissions_Industry!L102-INDEX(L$1670:L$1771,MATCH("v2:eco2:2:tot:"&amp;Settings!$B$10,$A$1670:$A$1771,0))</f>
        <v>0</v>
      </c>
      <c r="M1662">
        <f>Emissions_Industry!M66+Emissions_Industry!M78+Emissions_Industry!M90+Emissions_Industry!M102-INDEX(M$1670:M$1771,MATCH("v2:eco2:2:tot:"&amp;Settings!$B$10,$A$1670:$A$1771,0))</f>
        <v>0</v>
      </c>
      <c r="N1662">
        <f>Emissions_Industry!N66+Emissions_Industry!N78+Emissions_Industry!N90+Emissions_Industry!N102-INDEX(N$1670:N$1771,MATCH("v2:eco2:2:tot:"&amp;Settings!$B$10,$A$1670:$A$1771,0))</f>
        <v>0</v>
      </c>
      <c r="O1662">
        <f>Emissions_Industry!O66+Emissions_Industry!O78+Emissions_Industry!O90+Emissions_Industry!O102-INDEX(O$1670:O$1771,MATCH("v2:eco2:2:tot:"&amp;Settings!$B$10,$A$1670:$A$1771,0))</f>
        <v>0</v>
      </c>
      <c r="P1662">
        <f>Emissions_Industry!P66+Emissions_Industry!P78+Emissions_Industry!P90+Emissions_Industry!P102-INDEX(P$1670:P$1771,MATCH("v2:eco2:2:tot:"&amp;Settings!$B$10,$A$1670:$A$1771,0))</f>
        <v>0</v>
      </c>
      <c r="Q1662">
        <f>Emissions_Industry!Q66+Emissions_Industry!Q78+Emissions_Industry!Q90+Emissions_Industry!Q102-INDEX(Q$1670:Q$1771,MATCH("v2:eco2:2:tot:"&amp;Settings!$B$10,$A$1670:$A$1771,0))</f>
        <v>0</v>
      </c>
      <c r="R1662">
        <f>Emissions_Industry!R66+Emissions_Industry!R78+Emissions_Industry!R90+Emissions_Industry!R102-INDEX(R$1670:R$1771,MATCH("v2:eco2:2:tot:"&amp;Settings!$B$10,$A$1670:$A$1771,0))</f>
        <v>0</v>
      </c>
      <c r="S1662">
        <f>Emissions_Industry!S66+Emissions_Industry!S78+Emissions_Industry!S90+Emissions_Industry!S102-INDEX(S$1670:S$1771,MATCH("v2:eco2:2:tot:"&amp;Settings!$B$10,$A$1670:$A$1771,0))</f>
        <v>0</v>
      </c>
      <c r="T1662">
        <f>Emissions_Industry!T66+Emissions_Industry!T78+Emissions_Industry!T90+Emissions_Industry!T102-INDEX(T$1670:T$1771,MATCH("v2:eco2:2:tot:"&amp;Settings!$B$10,$A$1670:$A$1771,0))</f>
        <v>0</v>
      </c>
      <c r="U1662">
        <f>Emissions_Industry!U66+Emissions_Industry!U78+Emissions_Industry!U90+Emissions_Industry!U102-INDEX(U$1670:U$1771,MATCH("v2:eco2:2:tot:"&amp;Settings!$B$10,$A$1670:$A$1771,0))</f>
        <v>0</v>
      </c>
      <c r="V1662">
        <f>Emissions_Industry!V66+Emissions_Industry!V78+Emissions_Industry!V90+Emissions_Industry!V102-INDEX(V$1670:V$1771,MATCH("v2:eco2:2:tot:"&amp;Settings!$B$10,$A$1670:$A$1771,0))</f>
        <v>0</v>
      </c>
      <c r="W1662">
        <f>Emissions_Industry!W66+Emissions_Industry!W78+Emissions_Industry!W90+Emissions_Industry!W102-INDEX(W$1670:W$1771,MATCH("v2:eco2:2:tot:"&amp;Settings!$B$10,$A$1670:$A$1771,0))</f>
        <v>0</v>
      </c>
      <c r="X1662">
        <f>Emissions_Industry!X66+Emissions_Industry!X78+Emissions_Industry!X90+Emissions_Industry!X102-INDEX(X$1670:X$1771,MATCH("v2:eco2:2:tot:"&amp;Settings!$B$10,$A$1670:$A$1771,0))</f>
        <v>0</v>
      </c>
      <c r="Y1662">
        <f>Emissions_Industry!Y66+Emissions_Industry!Y78+Emissions_Industry!Y90+Emissions_Industry!Y102-INDEX(Y$1670:Y$1771,MATCH("v2:eco2:2:tot:"&amp;Settings!$B$10,$A$1670:$A$1771,0))</f>
        <v>0</v>
      </c>
      <c r="Z1662">
        <f>Emissions_Industry!Z66+Emissions_Industry!Z78+Emissions_Industry!Z90+Emissions_Industry!Z102-INDEX(Z$1670:Z$1771,MATCH("v2:eco2:2:tot:"&amp;Settings!$B$10,$A$1670:$A$1771,0))</f>
        <v>0</v>
      </c>
      <c r="AA1662">
        <f>Emissions_Industry!AA66+Emissions_Industry!AA78+Emissions_Industry!AA90+Emissions_Industry!AA102-INDEX(AA$1670:AA$1771,MATCH("v2:eco2:2:tot:"&amp;Settings!$B$10,$A$1670:$A$1771,0))</f>
        <v>0</v>
      </c>
      <c r="AB1662">
        <f>Emissions_Industry!AB66+Emissions_Industry!AB78+Emissions_Industry!AB90+Emissions_Industry!AB102-INDEX(AB$1670:AB$1771,MATCH("v2:eco2:2:tot:"&amp;Settings!$B$10,$A$1670:$A$1771,0))</f>
        <v>0</v>
      </c>
      <c r="AC1662">
        <f>Emissions_Industry!AC66+Emissions_Industry!AC78+Emissions_Industry!AC90+Emissions_Industry!AC102-INDEX(AC$1670:AC$1771,MATCH("v2:eco2:2:tot:"&amp;Settings!$B$10,$A$1670:$A$1771,0))</f>
        <v>0</v>
      </c>
      <c r="AD1662">
        <f>Emissions_Industry!AD66+Emissions_Industry!AD78+Emissions_Industry!AD90+Emissions_Industry!AD102-INDEX(AD$1670:AD$1771,MATCH("v2:eco2:2:tot:"&amp;Settings!$B$10,$A$1670:$A$1771,0))</f>
        <v>0</v>
      </c>
      <c r="AE1662">
        <f>Emissions_Industry!AE66+Emissions_Industry!AE78+Emissions_Industry!AE90+Emissions_Industry!AE102-INDEX(AE$1670:AE$1771,MATCH("v2:eco2:2:tot:"&amp;Settings!$B$10,$A$1670:$A$1771,0))</f>
        <v>0</v>
      </c>
    </row>
    <row r="1663" spans="1:31" x14ac:dyDescent="0.45">
      <c r="A1663" t="s">
        <v>2791</v>
      </c>
      <c r="D1663">
        <v>2</v>
      </c>
      <c r="E1663" t="s">
        <v>2352</v>
      </c>
      <c r="F1663">
        <f>MAX(MAX(L1663:AE1663),-MIN(L1663:AE1663))</f>
        <v>0</v>
      </c>
      <c r="L1663">
        <f>Mitigation_Industry!L779-INDEX(L$1670:L$1771,MATCH("v2:emis:2:tot:"&amp;Settings!$B$10,$A$1670:$A$1771,0))</f>
        <v>0</v>
      </c>
      <c r="M1663">
        <f>Mitigation_Industry!M779-INDEX(M$1670:M$1771,MATCH("v2:emis:2:tot:"&amp;Settings!$B$10,$A$1670:$A$1771,0))</f>
        <v>0</v>
      </c>
      <c r="N1663">
        <f>Mitigation_Industry!N779-INDEX(N$1670:N$1771,MATCH("v2:emis:2:tot:"&amp;Settings!$B$10,$A$1670:$A$1771,0))</f>
        <v>0</v>
      </c>
      <c r="O1663">
        <f>Mitigation_Industry!O779-INDEX(O$1670:O$1771,MATCH("v2:emis:2:tot:"&amp;Settings!$B$10,$A$1670:$A$1771,0))</f>
        <v>0</v>
      </c>
      <c r="P1663">
        <f>Mitigation_Industry!P779-INDEX(P$1670:P$1771,MATCH("v2:emis:2:tot:"&amp;Settings!$B$10,$A$1670:$A$1771,0))</f>
        <v>0</v>
      </c>
      <c r="Q1663">
        <f>Mitigation_Industry!Q779-INDEX(Q$1670:Q$1771,MATCH("v2:emis:2:tot:"&amp;Settings!$B$10,$A$1670:$A$1771,0))</f>
        <v>0</v>
      </c>
      <c r="R1663">
        <f>Mitigation_Industry!R779-INDEX(R$1670:R$1771,MATCH("v2:emis:2:tot:"&amp;Settings!$B$10,$A$1670:$A$1771,0))</f>
        <v>0</v>
      </c>
      <c r="S1663">
        <f>Mitigation_Industry!S779-INDEX(S$1670:S$1771,MATCH("v2:emis:2:tot:"&amp;Settings!$B$10,$A$1670:$A$1771,0))</f>
        <v>0</v>
      </c>
      <c r="T1663">
        <f>Mitigation_Industry!T779-INDEX(T$1670:T$1771,MATCH("v2:emis:2:tot:"&amp;Settings!$B$10,$A$1670:$A$1771,0))</f>
        <v>0</v>
      </c>
      <c r="U1663">
        <f>Mitigation_Industry!U779-INDEX(U$1670:U$1771,MATCH("v2:emis:2:tot:"&amp;Settings!$B$10,$A$1670:$A$1771,0))</f>
        <v>0</v>
      </c>
      <c r="V1663">
        <f>Mitigation_Industry!V779-INDEX(V$1670:V$1771,MATCH("v2:emis:2:tot:"&amp;Settings!$B$10,$A$1670:$A$1771,0))</f>
        <v>0</v>
      </c>
      <c r="W1663">
        <f>Mitigation_Industry!W779-INDEX(W$1670:W$1771,MATCH("v2:emis:2:tot:"&amp;Settings!$B$10,$A$1670:$A$1771,0))</f>
        <v>0</v>
      </c>
      <c r="X1663">
        <f>Mitigation_Industry!X779-INDEX(X$1670:X$1771,MATCH("v2:emis:2:tot:"&amp;Settings!$B$10,$A$1670:$A$1771,0))</f>
        <v>0</v>
      </c>
      <c r="Y1663">
        <f>Mitigation_Industry!Y779-INDEX(Y$1670:Y$1771,MATCH("v2:emis:2:tot:"&amp;Settings!$B$10,$A$1670:$A$1771,0))</f>
        <v>0</v>
      </c>
      <c r="Z1663">
        <f>Mitigation_Industry!Z779-INDEX(Z$1670:Z$1771,MATCH("v2:emis:2:tot:"&amp;Settings!$B$10,$A$1670:$A$1771,0))</f>
        <v>0</v>
      </c>
      <c r="AA1663">
        <f>Mitigation_Industry!AA779-INDEX(AA$1670:AA$1771,MATCH("v2:emis:2:tot:"&amp;Settings!$B$10,$A$1670:$A$1771,0))</f>
        <v>0</v>
      </c>
      <c r="AB1663">
        <f>Mitigation_Industry!AB779-INDEX(AB$1670:AB$1771,MATCH("v2:emis:2:tot:"&amp;Settings!$B$10,$A$1670:$A$1771,0))</f>
        <v>0</v>
      </c>
      <c r="AC1663">
        <f>Mitigation_Industry!AC779-INDEX(AC$1670:AC$1771,MATCH("v2:emis:2:tot:"&amp;Settings!$B$10,$A$1670:$A$1771,0))</f>
        <v>0</v>
      </c>
      <c r="AD1663">
        <f>Mitigation_Industry!AD779-INDEX(AD$1670:AD$1771,MATCH("v2:emis:2:tot:"&amp;Settings!$B$10,$A$1670:$A$1771,0))</f>
        <v>0</v>
      </c>
      <c r="AE1663">
        <f>Mitigation_Industry!AE779-INDEX(AE$1670:AE$1771,MATCH("v2:emis:2:tot:"&amp;Settings!$B$10,$A$1670:$A$1771,0))</f>
        <v>0</v>
      </c>
    </row>
    <row r="1664" spans="1:31" x14ac:dyDescent="0.45">
      <c r="A1664" t="s">
        <v>2792</v>
      </c>
      <c r="D1664">
        <v>2</v>
      </c>
      <c r="E1664" t="s">
        <v>2352</v>
      </c>
      <c r="F1664">
        <f>MAX(MAX(L1664:AE1664),-MIN(L1664:AE1664))</f>
        <v>0</v>
      </c>
      <c r="L1664">
        <f>Mitigation_Industry!L799-INDEX(L$1670:L$1771,MATCH("v2:rev:2:tot:"&amp;Settings!$B$10,$A$1670:$A$1771,0))</f>
        <v>0</v>
      </c>
      <c r="M1664">
        <f>Mitigation_Industry!M799-INDEX(M$1670:M$1771,MATCH("v2:rev:2:tot:"&amp;Settings!$B$10,$A$1670:$A$1771,0))</f>
        <v>0</v>
      </c>
      <c r="N1664">
        <f>Mitigation_Industry!N799-INDEX(N$1670:N$1771,MATCH("v2:rev:2:tot:"&amp;Settings!$B$10,$A$1670:$A$1771,0))</f>
        <v>0</v>
      </c>
      <c r="O1664">
        <f>Mitigation_Industry!O799-INDEX(O$1670:O$1771,MATCH("v2:rev:2:tot:"&amp;Settings!$B$10,$A$1670:$A$1771,0))</f>
        <v>0</v>
      </c>
      <c r="P1664">
        <f>Mitigation_Industry!P799-INDEX(P$1670:P$1771,MATCH("v2:rev:2:tot:"&amp;Settings!$B$10,$A$1670:$A$1771,0))</f>
        <v>0</v>
      </c>
      <c r="Q1664">
        <f>Mitigation_Industry!Q799-INDEX(Q$1670:Q$1771,MATCH("v2:rev:2:tot:"&amp;Settings!$B$10,$A$1670:$A$1771,0))</f>
        <v>0</v>
      </c>
      <c r="R1664">
        <f>Mitigation_Industry!R799-INDEX(R$1670:R$1771,MATCH("v2:rev:2:tot:"&amp;Settings!$B$10,$A$1670:$A$1771,0))</f>
        <v>0</v>
      </c>
      <c r="S1664">
        <f>Mitigation_Industry!S799-INDEX(S$1670:S$1771,MATCH("v2:rev:2:tot:"&amp;Settings!$B$10,$A$1670:$A$1771,0))</f>
        <v>0</v>
      </c>
      <c r="T1664">
        <f>Mitigation_Industry!T799-INDEX(T$1670:T$1771,MATCH("v2:rev:2:tot:"&amp;Settings!$B$10,$A$1670:$A$1771,0))</f>
        <v>0</v>
      </c>
      <c r="U1664">
        <f>Mitigation_Industry!U799-INDEX(U$1670:U$1771,MATCH("v2:rev:2:tot:"&amp;Settings!$B$10,$A$1670:$A$1771,0))</f>
        <v>0</v>
      </c>
      <c r="V1664">
        <f>Mitigation_Industry!V799-INDEX(V$1670:V$1771,MATCH("v2:rev:2:tot:"&amp;Settings!$B$10,$A$1670:$A$1771,0))</f>
        <v>0</v>
      </c>
      <c r="W1664">
        <f>Mitigation_Industry!W799-INDEX(W$1670:W$1771,MATCH("v2:rev:2:tot:"&amp;Settings!$B$10,$A$1670:$A$1771,0))</f>
        <v>0</v>
      </c>
      <c r="X1664">
        <f>Mitigation_Industry!X799-INDEX(X$1670:X$1771,MATCH("v2:rev:2:tot:"&amp;Settings!$B$10,$A$1670:$A$1771,0))</f>
        <v>0</v>
      </c>
      <c r="Y1664">
        <f>Mitigation_Industry!Y799-INDEX(Y$1670:Y$1771,MATCH("v2:rev:2:tot:"&amp;Settings!$B$10,$A$1670:$A$1771,0))</f>
        <v>0</v>
      </c>
      <c r="Z1664">
        <f>Mitigation_Industry!Z799-INDEX(Z$1670:Z$1771,MATCH("v2:rev:2:tot:"&amp;Settings!$B$10,$A$1670:$A$1771,0))</f>
        <v>0</v>
      </c>
      <c r="AA1664">
        <f>Mitigation_Industry!AA799-INDEX(AA$1670:AA$1771,MATCH("v2:rev:2:tot:"&amp;Settings!$B$10,$A$1670:$A$1771,0))</f>
        <v>0</v>
      </c>
      <c r="AB1664">
        <f>Mitigation_Industry!AB799-INDEX(AB$1670:AB$1771,MATCH("v2:rev:2:tot:"&amp;Settings!$B$10,$A$1670:$A$1771,0))</f>
        <v>0</v>
      </c>
      <c r="AC1664">
        <f>Mitigation_Industry!AC799-INDEX(AC$1670:AC$1771,MATCH("v2:rev:2:tot:"&amp;Settings!$B$10,$A$1670:$A$1771,0))</f>
        <v>0</v>
      </c>
      <c r="AD1664">
        <f>Mitigation_Industry!AD799-INDEX(AD$1670:AD$1771,MATCH("v2:rev:2:tot:"&amp;Settings!$B$10,$A$1670:$A$1771,0))</f>
        <v>0</v>
      </c>
      <c r="AE1664">
        <f>Mitigation_Industry!AE799-INDEX(AE$1670:AE$1771,MATCH("v2:rev:2:tot:"&amp;Settings!$B$10,$A$1670:$A$1771,0))</f>
        <v>0</v>
      </c>
    </row>
    <row r="1665" spans="1:31" x14ac:dyDescent="0.45">
      <c r="A1665" t="s">
        <v>2793</v>
      </c>
      <c r="D1665">
        <v>2</v>
      </c>
      <c r="E1665" t="s">
        <v>2352</v>
      </c>
      <c r="F1665">
        <f>MAX(MAX(L1665:AE1665),-MIN(L1665:AE1665))</f>
        <v>7350.5289918043609</v>
      </c>
      <c r="L1665">
        <f>Rebate_Industry!L278</f>
        <v>0</v>
      </c>
      <c r="M1665">
        <f>Rebate_Industry!M278</f>
        <v>0</v>
      </c>
      <c r="N1665">
        <f>Rebate_Industry!N278</f>
        <v>0</v>
      </c>
      <c r="O1665">
        <f>Rebate_Industry!O278</f>
        <v>0</v>
      </c>
      <c r="P1665">
        <f>Rebate_Industry!P278</f>
        <v>0</v>
      </c>
      <c r="Q1665">
        <f>Rebate_Industry!Q278</f>
        <v>308.12278080273342</v>
      </c>
      <c r="R1665">
        <f>Rebate_Industry!R278</f>
        <v>636.8417154974029</v>
      </c>
      <c r="S1665">
        <f>Rebate_Industry!S278</f>
        <v>987.22968333254369</v>
      </c>
      <c r="T1665">
        <f>Rebate_Industry!T278</f>
        <v>1360.4109852569791</v>
      </c>
      <c r="U1665">
        <f>Rebate_Industry!U278</f>
        <v>1757.56372820916</v>
      </c>
      <c r="V1665">
        <f>Rebate_Industry!V278</f>
        <v>2179.922318644748</v>
      </c>
      <c r="W1665">
        <f>Rebate_Industry!W278</f>
        <v>2628.780070299068</v>
      </c>
      <c r="X1665">
        <f>Rebate_Industry!X278</f>
        <v>3105.4919314104181</v>
      </c>
      <c r="Y1665">
        <f>Rebate_Industry!Y278</f>
        <v>3611.4773368702113</v>
      </c>
      <c r="Z1665">
        <f>Rebate_Industry!Z278</f>
        <v>4148.2231910169721</v>
      </c>
      <c r="AA1665">
        <f>Rebate_Industry!AA278</f>
        <v>4717.2869870538907</v>
      </c>
      <c r="AB1665">
        <f>Rebate_Industry!AB278</f>
        <v>5320.3000693444392</v>
      </c>
      <c r="AC1665">
        <f>Rebate_Industry!AC278</f>
        <v>5958.9710451280498</v>
      </c>
      <c r="AD1665">
        <f>Rebate_Industry!AD278</f>
        <v>6635.0893524987587</v>
      </c>
      <c r="AE1665">
        <f>Rebate_Industry!AE278</f>
        <v>7350.5289918043609</v>
      </c>
    </row>
    <row r="1667" spans="1:31" x14ac:dyDescent="0.45">
      <c r="A1667" t="s">
        <v>2794</v>
      </c>
    </row>
    <row r="1669" spans="1:31" x14ac:dyDescent="0.45">
      <c r="A1669" s="52" t="s">
        <v>2795</v>
      </c>
    </row>
    <row r="1670" spans="1:31" x14ac:dyDescent="0.45">
      <c r="A1670" t="s">
        <v>2796</v>
      </c>
      <c r="B1670" t="s">
        <v>110</v>
      </c>
      <c r="C1670" t="s">
        <v>43</v>
      </c>
      <c r="D1670">
        <v>1</v>
      </c>
      <c r="E1670" t="s">
        <v>2797</v>
      </c>
      <c r="L1670" s="43">
        <v>1901.7140738122609</v>
      </c>
      <c r="M1670" s="43">
        <v>1621.2301769893743</v>
      </c>
      <c r="N1670" s="43">
        <v>1820.8469202303741</v>
      </c>
      <c r="O1670" s="43">
        <v>1904.3670376253485</v>
      </c>
      <c r="P1670" s="43">
        <v>1961.702021253242</v>
      </c>
      <c r="Q1670" s="43">
        <v>2038.962541648895</v>
      </c>
      <c r="R1670" s="43">
        <v>2135.0351712538527</v>
      </c>
      <c r="S1670" s="43">
        <v>2228.4850873444593</v>
      </c>
      <c r="T1670" s="43">
        <v>2317.2308926620321</v>
      </c>
      <c r="U1670" s="43">
        <v>2407.7811783186385</v>
      </c>
      <c r="V1670" s="43">
        <v>2499.2702877093025</v>
      </c>
      <c r="W1670" s="43">
        <v>2592.8704056506044</v>
      </c>
      <c r="X1670" s="43">
        <v>2688.5787907172216</v>
      </c>
      <c r="Y1670" s="43">
        <v>2786.3911204964452</v>
      </c>
      <c r="Z1670" s="43">
        <v>2886.3014634759543</v>
      </c>
      <c r="AA1670" s="43">
        <v>2988.3022473044075</v>
      </c>
      <c r="AB1670" s="43">
        <v>3092.384223175638</v>
      </c>
      <c r="AC1670" s="43">
        <v>3198.5364260969</v>
      </c>
      <c r="AD1670" s="43">
        <v>3306.7461308112624</v>
      </c>
      <c r="AE1670" s="43">
        <v>3416.9988031533467</v>
      </c>
    </row>
    <row r="1671" spans="1:31" x14ac:dyDescent="0.45">
      <c r="A1671" t="s">
        <v>2798</v>
      </c>
      <c r="B1671" t="s">
        <v>110</v>
      </c>
      <c r="C1671" t="s">
        <v>113</v>
      </c>
      <c r="D1671">
        <v>1</v>
      </c>
      <c r="E1671" t="s">
        <v>2797</v>
      </c>
      <c r="L1671" s="43">
        <v>3210.4467592248702</v>
      </c>
      <c r="M1671" s="43">
        <v>2690.3404093921163</v>
      </c>
      <c r="N1671" s="43">
        <v>3047.5360888007326</v>
      </c>
      <c r="O1671" s="43">
        <v>3240.6928223889822</v>
      </c>
      <c r="P1671" s="43">
        <v>3273.2119677539522</v>
      </c>
      <c r="Q1671" s="43">
        <v>3368.2133423743344</v>
      </c>
      <c r="R1671" s="43">
        <v>3502.9215016591916</v>
      </c>
      <c r="S1671" s="43">
        <v>3633.9883116592123</v>
      </c>
      <c r="T1671" s="43">
        <v>3758.7368588981471</v>
      </c>
      <c r="U1671" s="43">
        <v>3885.4504831789814</v>
      </c>
      <c r="V1671" s="43">
        <v>4007.0693968852165</v>
      </c>
      <c r="W1671" s="43">
        <v>4130.9635900529229</v>
      </c>
      <c r="X1671" s="43">
        <v>4257.1228099657064</v>
      </c>
      <c r="Y1671" s="43">
        <v>4385.5352137797545</v>
      </c>
      <c r="Z1671" s="43">
        <v>4516.1873328951651</v>
      </c>
      <c r="AA1671" s="43">
        <v>4649.0640328646023</v>
      </c>
      <c r="AB1671" s="43">
        <v>4784.148468612525</v>
      </c>
      <c r="AC1671" s="43">
        <v>4921.422034746156</v>
      </c>
      <c r="AD1671" s="43">
        <v>5060.864310747279</v>
      </c>
      <c r="AE1671" s="43">
        <v>5202.4530008412194</v>
      </c>
    </row>
    <row r="1672" spans="1:31" x14ac:dyDescent="0.45">
      <c r="A1672" t="s">
        <v>2799</v>
      </c>
      <c r="B1672" t="s">
        <v>110</v>
      </c>
      <c r="C1672" t="s">
        <v>115</v>
      </c>
      <c r="D1672">
        <v>1</v>
      </c>
      <c r="E1672" t="s">
        <v>2797</v>
      </c>
      <c r="L1672" s="43">
        <v>0</v>
      </c>
      <c r="M1672" s="43">
        <v>0</v>
      </c>
      <c r="N1672" s="43">
        <v>0</v>
      </c>
      <c r="O1672" s="43">
        <v>0</v>
      </c>
      <c r="P1672" s="43">
        <v>0</v>
      </c>
      <c r="Q1672" s="43">
        <v>0</v>
      </c>
      <c r="R1672" s="43">
        <v>0</v>
      </c>
      <c r="S1672" s="43">
        <v>0</v>
      </c>
      <c r="T1672" s="43">
        <v>0</v>
      </c>
      <c r="U1672" s="43">
        <v>0</v>
      </c>
      <c r="V1672" s="43">
        <v>0</v>
      </c>
      <c r="W1672" s="43">
        <v>0</v>
      </c>
      <c r="X1672" s="43">
        <v>0</v>
      </c>
      <c r="Y1672" s="43">
        <v>0</v>
      </c>
      <c r="Z1672" s="43">
        <v>0</v>
      </c>
      <c r="AA1672" s="43">
        <v>0</v>
      </c>
      <c r="AB1672" s="43">
        <v>0</v>
      </c>
      <c r="AC1672" s="43">
        <v>0</v>
      </c>
      <c r="AD1672" s="43">
        <v>0</v>
      </c>
      <c r="AE1672" s="43">
        <v>0</v>
      </c>
    </row>
    <row r="1673" spans="1:31" x14ac:dyDescent="0.45">
      <c r="A1673" t="s">
        <v>2800</v>
      </c>
      <c r="B1673" t="s">
        <v>110</v>
      </c>
      <c r="C1673" t="s">
        <v>117</v>
      </c>
      <c r="D1673">
        <v>1</v>
      </c>
      <c r="E1673" t="s">
        <v>2797</v>
      </c>
      <c r="L1673" s="43">
        <v>0</v>
      </c>
      <c r="M1673" s="43">
        <v>0</v>
      </c>
      <c r="N1673" s="43">
        <v>0</v>
      </c>
      <c r="O1673" s="43">
        <v>0</v>
      </c>
      <c r="P1673" s="43">
        <v>0</v>
      </c>
      <c r="Q1673" s="43">
        <v>0</v>
      </c>
      <c r="R1673" s="43">
        <v>0</v>
      </c>
      <c r="S1673" s="43">
        <v>0</v>
      </c>
      <c r="T1673" s="43">
        <v>0</v>
      </c>
      <c r="U1673" s="43">
        <v>0</v>
      </c>
      <c r="V1673" s="43">
        <v>0</v>
      </c>
      <c r="W1673" s="43">
        <v>0</v>
      </c>
      <c r="X1673" s="43">
        <v>0</v>
      </c>
      <c r="Y1673" s="43">
        <v>0</v>
      </c>
      <c r="Z1673" s="43">
        <v>0</v>
      </c>
      <c r="AA1673" s="43">
        <v>0</v>
      </c>
      <c r="AB1673" s="43">
        <v>0</v>
      </c>
      <c r="AC1673" s="43">
        <v>0</v>
      </c>
      <c r="AD1673" s="43">
        <v>0</v>
      </c>
      <c r="AE1673" s="43">
        <v>0</v>
      </c>
    </row>
    <row r="1674" spans="1:31" x14ac:dyDescent="0.45">
      <c r="A1674" t="s">
        <v>2801</v>
      </c>
      <c r="B1674" t="s">
        <v>110</v>
      </c>
      <c r="C1674" t="s">
        <v>43</v>
      </c>
      <c r="D1674">
        <v>2</v>
      </c>
      <c r="E1674" t="s">
        <v>2802</v>
      </c>
      <c r="L1674" s="43">
        <v>1901.7140738122609</v>
      </c>
      <c r="M1674" s="43">
        <v>1621.2301769893743</v>
      </c>
      <c r="N1674" s="43">
        <v>1820.8469202303741</v>
      </c>
      <c r="O1674" s="43">
        <v>1904.3670376253485</v>
      </c>
      <c r="P1674" s="43">
        <v>1961.702021253242</v>
      </c>
      <c r="Q1674" s="43">
        <v>1856.404797168507</v>
      </c>
      <c r="R1674" s="43">
        <v>1788.9492171961813</v>
      </c>
      <c r="S1674" s="43">
        <v>1732.3328660968311</v>
      </c>
      <c r="T1674" s="43">
        <v>1682.3885530274299</v>
      </c>
      <c r="U1674" s="43">
        <v>1641.4681088716557</v>
      </c>
      <c r="V1674" s="43">
        <v>1607.9067887450958</v>
      </c>
      <c r="W1674" s="43">
        <v>1581.3612458923553</v>
      </c>
      <c r="X1674" s="43">
        <v>1561.0275376536185</v>
      </c>
      <c r="Y1674" s="43">
        <v>1546.4517889063816</v>
      </c>
      <c r="Z1674" s="43">
        <v>1537.5943975526714</v>
      </c>
      <c r="AA1674" s="43">
        <v>1534.1781017151086</v>
      </c>
      <c r="AB1674" s="43">
        <v>1535.9010092298067</v>
      </c>
      <c r="AC1674" s="43">
        <v>1542.2263096902577</v>
      </c>
      <c r="AD1674" s="43">
        <v>1552.707818724469</v>
      </c>
      <c r="AE1674" s="43">
        <v>1567.016662377554</v>
      </c>
    </row>
    <row r="1675" spans="1:31" x14ac:dyDescent="0.45">
      <c r="A1675" t="s">
        <v>2803</v>
      </c>
      <c r="B1675" t="s">
        <v>110</v>
      </c>
      <c r="C1675" t="s">
        <v>113</v>
      </c>
      <c r="D1675">
        <v>2</v>
      </c>
      <c r="E1675" t="s">
        <v>2802</v>
      </c>
      <c r="L1675" s="43">
        <v>3210.4467592248702</v>
      </c>
      <c r="M1675" s="43">
        <v>2690.3404093921163</v>
      </c>
      <c r="N1675" s="43">
        <v>3047.5360888007326</v>
      </c>
      <c r="O1675" s="43">
        <v>3240.6928223889822</v>
      </c>
      <c r="P1675" s="43">
        <v>3273.2119677539522</v>
      </c>
      <c r="Q1675" s="43">
        <v>3089.4258527074826</v>
      </c>
      <c r="R1675" s="43">
        <v>2975.1242061609983</v>
      </c>
      <c r="S1675" s="43">
        <v>2878.4338008647092</v>
      </c>
      <c r="T1675" s="43">
        <v>2793.1021878663519</v>
      </c>
      <c r="U1675" s="43">
        <v>2721.6867792281105</v>
      </c>
      <c r="V1675" s="43">
        <v>2659.4365656902273</v>
      </c>
      <c r="W1675" s="43">
        <v>2608.3843590415554</v>
      </c>
      <c r="X1675" s="43">
        <v>2567.1439632109241</v>
      </c>
      <c r="Y1675" s="43">
        <v>2534.8641732295537</v>
      </c>
      <c r="Z1675" s="43">
        <v>2511.2970995969799</v>
      </c>
      <c r="AA1675" s="43">
        <v>2495.8988717310085</v>
      </c>
      <c r="AB1675" s="43">
        <v>2488.1145593655265</v>
      </c>
      <c r="AC1675" s="43">
        <v>2487.0912005211107</v>
      </c>
      <c r="AD1675" s="43">
        <v>2492.116697620846</v>
      </c>
      <c r="AE1675" s="43">
        <v>2502.6519509263308</v>
      </c>
    </row>
    <row r="1676" spans="1:31" x14ac:dyDescent="0.45">
      <c r="A1676" t="s">
        <v>2804</v>
      </c>
      <c r="B1676" t="s">
        <v>110</v>
      </c>
      <c r="C1676" t="s">
        <v>115</v>
      </c>
      <c r="D1676">
        <v>2</v>
      </c>
      <c r="E1676" t="s">
        <v>2802</v>
      </c>
      <c r="L1676" s="43">
        <v>0</v>
      </c>
      <c r="M1676" s="43">
        <v>0</v>
      </c>
      <c r="N1676" s="43">
        <v>0</v>
      </c>
      <c r="O1676" s="43">
        <v>0</v>
      </c>
      <c r="P1676" s="43">
        <v>0</v>
      </c>
      <c r="Q1676" s="43">
        <v>0</v>
      </c>
      <c r="R1676" s="43">
        <v>0</v>
      </c>
      <c r="S1676" s="43">
        <v>0</v>
      </c>
      <c r="T1676" s="43">
        <v>0</v>
      </c>
      <c r="U1676" s="43">
        <v>0</v>
      </c>
      <c r="V1676" s="43">
        <v>0</v>
      </c>
      <c r="W1676" s="43">
        <v>0</v>
      </c>
      <c r="X1676" s="43">
        <v>0</v>
      </c>
      <c r="Y1676" s="43">
        <v>0</v>
      </c>
      <c r="Z1676" s="43">
        <v>0</v>
      </c>
      <c r="AA1676" s="43">
        <v>0</v>
      </c>
      <c r="AB1676" s="43">
        <v>0</v>
      </c>
      <c r="AC1676" s="43">
        <v>0</v>
      </c>
      <c r="AD1676" s="43">
        <v>0</v>
      </c>
      <c r="AE1676" s="43">
        <v>0</v>
      </c>
    </row>
    <row r="1677" spans="1:31" x14ac:dyDescent="0.45">
      <c r="A1677" t="s">
        <v>2805</v>
      </c>
      <c r="B1677" t="s">
        <v>110</v>
      </c>
      <c r="C1677" t="s">
        <v>117</v>
      </c>
      <c r="D1677">
        <v>2</v>
      </c>
      <c r="E1677" t="s">
        <v>2802</v>
      </c>
      <c r="L1677" s="43">
        <v>0</v>
      </c>
      <c r="M1677" s="43">
        <v>0</v>
      </c>
      <c r="N1677" s="43">
        <v>0</v>
      </c>
      <c r="O1677" s="43">
        <v>0</v>
      </c>
      <c r="P1677" s="43">
        <v>0</v>
      </c>
      <c r="Q1677" s="43">
        <v>0</v>
      </c>
      <c r="R1677" s="43">
        <v>0</v>
      </c>
      <c r="S1677" s="43">
        <v>0</v>
      </c>
      <c r="T1677" s="43">
        <v>0</v>
      </c>
      <c r="U1677" s="43">
        <v>0</v>
      </c>
      <c r="V1677" s="43">
        <v>0</v>
      </c>
      <c r="W1677" s="43">
        <v>0</v>
      </c>
      <c r="X1677" s="43">
        <v>0</v>
      </c>
      <c r="Y1677" s="43">
        <v>0</v>
      </c>
      <c r="Z1677" s="43">
        <v>0</v>
      </c>
      <c r="AA1677" s="43">
        <v>0</v>
      </c>
      <c r="AB1677" s="43">
        <v>0</v>
      </c>
      <c r="AC1677" s="43">
        <v>0</v>
      </c>
      <c r="AD1677" s="43">
        <v>0</v>
      </c>
      <c r="AE1677" s="43">
        <v>0</v>
      </c>
    </row>
    <row r="1678" spans="1:31" x14ac:dyDescent="0.45">
      <c r="A1678" t="s">
        <v>2806</v>
      </c>
      <c r="B1678" t="s">
        <v>2375</v>
      </c>
      <c r="C1678" t="s">
        <v>43</v>
      </c>
      <c r="D1678">
        <v>2</v>
      </c>
      <c r="E1678" t="s">
        <v>2807</v>
      </c>
      <c r="L1678" s="43">
        <v>66.453659723176557</v>
      </c>
      <c r="M1678" s="43">
        <v>68.485475215764879</v>
      </c>
      <c r="N1678" s="43">
        <v>58.995402742046402</v>
      </c>
      <c r="O1678" s="43">
        <v>43.916716887965812</v>
      </c>
      <c r="P1678" s="43">
        <v>53.774364143577706</v>
      </c>
      <c r="Q1678" s="43">
        <v>50.675872845484811</v>
      </c>
      <c r="R1678" s="43">
        <v>55.46880544094482</v>
      </c>
      <c r="S1678" s="43">
        <v>61.779135607650517</v>
      </c>
      <c r="T1678" s="43">
        <v>68.278756797558202</v>
      </c>
      <c r="U1678" s="43">
        <v>74.667213426547335</v>
      </c>
      <c r="V1678" s="43">
        <v>82.597719303077696</v>
      </c>
      <c r="W1678" s="43">
        <v>90.528194297201395</v>
      </c>
      <c r="X1678" s="43">
        <v>98.458538681584031</v>
      </c>
      <c r="Y1678" s="43">
        <v>106.38879966199983</v>
      </c>
      <c r="Z1678" s="43">
        <v>114.31912307448249</v>
      </c>
      <c r="AA1678" s="43">
        <v>122.2493141862853</v>
      </c>
      <c r="AB1678" s="43">
        <v>130.17957112660253</v>
      </c>
      <c r="AC1678" s="43">
        <v>138.10868154539935</v>
      </c>
      <c r="AD1678" s="43">
        <v>146.0378588759541</v>
      </c>
      <c r="AE1678" s="43">
        <v>153.96697674227667</v>
      </c>
    </row>
    <row r="1679" spans="1:31" x14ac:dyDescent="0.45">
      <c r="A1679" t="s">
        <v>2808</v>
      </c>
      <c r="B1679" t="s">
        <v>2375</v>
      </c>
      <c r="C1679" t="s">
        <v>113</v>
      </c>
      <c r="D1679">
        <v>2</v>
      </c>
      <c r="E1679" t="s">
        <v>2807</v>
      </c>
      <c r="L1679" s="43">
        <v>66.453659723176557</v>
      </c>
      <c r="M1679" s="43">
        <v>68.485475215764879</v>
      </c>
      <c r="N1679" s="43">
        <v>58.995402742046402</v>
      </c>
      <c r="O1679" s="43">
        <v>43.916716887965812</v>
      </c>
      <c r="P1679" s="43">
        <v>53.774364143577706</v>
      </c>
      <c r="Q1679" s="43">
        <v>50.675872845484811</v>
      </c>
      <c r="R1679" s="43">
        <v>55.46880544094482</v>
      </c>
      <c r="S1679" s="43">
        <v>61.779135607650517</v>
      </c>
      <c r="T1679" s="43">
        <v>68.278756797558202</v>
      </c>
      <c r="U1679" s="43">
        <v>74.667213426547335</v>
      </c>
      <c r="V1679" s="43">
        <v>82.597719303077696</v>
      </c>
      <c r="W1679" s="43">
        <v>90.528194297201395</v>
      </c>
      <c r="X1679" s="43">
        <v>98.458538681584031</v>
      </c>
      <c r="Y1679" s="43">
        <v>106.38879966199983</v>
      </c>
      <c r="Z1679" s="43">
        <v>114.31912307448249</v>
      </c>
      <c r="AA1679" s="43">
        <v>122.2493141862853</v>
      </c>
      <c r="AB1679" s="43">
        <v>130.17957112660253</v>
      </c>
      <c r="AC1679" s="43">
        <v>138.10868154539935</v>
      </c>
      <c r="AD1679" s="43">
        <v>146.0378588759541</v>
      </c>
      <c r="AE1679" s="43">
        <v>153.96697674227667</v>
      </c>
    </row>
    <row r="1680" spans="1:31" x14ac:dyDescent="0.45">
      <c r="A1680" t="s">
        <v>2809</v>
      </c>
      <c r="B1680" t="s">
        <v>2375</v>
      </c>
      <c r="C1680" t="s">
        <v>115</v>
      </c>
      <c r="D1680">
        <v>2</v>
      </c>
      <c r="E1680" t="s">
        <v>2807</v>
      </c>
      <c r="L1680" s="43">
        <v>66.453659723176557</v>
      </c>
      <c r="M1680" s="43">
        <v>68.485475215764879</v>
      </c>
      <c r="N1680" s="43">
        <v>58.995402742046402</v>
      </c>
      <c r="O1680" s="43">
        <v>43.916716887965812</v>
      </c>
      <c r="P1680" s="43">
        <v>53.774364143577706</v>
      </c>
      <c r="Q1680" s="43">
        <v>50.675872845484811</v>
      </c>
      <c r="R1680" s="43">
        <v>55.46880544094482</v>
      </c>
      <c r="S1680" s="43">
        <v>61.779135607650517</v>
      </c>
      <c r="T1680" s="43">
        <v>68.278756797558202</v>
      </c>
      <c r="U1680" s="43">
        <v>74.667213426547335</v>
      </c>
      <c r="V1680" s="43">
        <v>82.597719303077696</v>
      </c>
      <c r="W1680" s="43">
        <v>90.528194297201395</v>
      </c>
      <c r="X1680" s="43">
        <v>98.458538681584031</v>
      </c>
      <c r="Y1680" s="43">
        <v>106.38879966199983</v>
      </c>
      <c r="Z1680" s="43">
        <v>114.31912307448249</v>
      </c>
      <c r="AA1680" s="43">
        <v>122.2493141862853</v>
      </c>
      <c r="AB1680" s="43">
        <v>130.17957112660253</v>
      </c>
      <c r="AC1680" s="43">
        <v>138.10868154539935</v>
      </c>
      <c r="AD1680" s="43">
        <v>146.0378588759541</v>
      </c>
      <c r="AE1680" s="43">
        <v>153.96697674227667</v>
      </c>
    </row>
    <row r="1681" spans="1:31" x14ac:dyDescent="0.45">
      <c r="A1681" t="s">
        <v>2810</v>
      </c>
      <c r="B1681" t="s">
        <v>2375</v>
      </c>
      <c r="C1681" t="s">
        <v>117</v>
      </c>
      <c r="D1681">
        <v>2</v>
      </c>
      <c r="E1681" t="s">
        <v>2807</v>
      </c>
      <c r="L1681" s="43">
        <v>66.453659723176557</v>
      </c>
      <c r="M1681" s="43">
        <v>68.485475215764879</v>
      </c>
      <c r="N1681" s="43">
        <v>58.995402742046402</v>
      </c>
      <c r="O1681" s="43">
        <v>43.916716887965812</v>
      </c>
      <c r="P1681" s="43">
        <v>53.774364143577706</v>
      </c>
      <c r="Q1681" s="43">
        <v>50.675872845484811</v>
      </c>
      <c r="R1681" s="43">
        <v>55.46880544094482</v>
      </c>
      <c r="S1681" s="43">
        <v>61.779135607650517</v>
      </c>
      <c r="T1681" s="43">
        <v>68.278756797558202</v>
      </c>
      <c r="U1681" s="43">
        <v>74.667213426547335</v>
      </c>
      <c r="V1681" s="43">
        <v>82.597719303077696</v>
      </c>
      <c r="W1681" s="43">
        <v>90.528194297201395</v>
      </c>
      <c r="X1681" s="43">
        <v>98.458538681584031</v>
      </c>
      <c r="Y1681" s="43">
        <v>106.38879966199983</v>
      </c>
      <c r="Z1681" s="43">
        <v>114.31912307448249</v>
      </c>
      <c r="AA1681" s="43">
        <v>122.2493141862853</v>
      </c>
      <c r="AB1681" s="43">
        <v>130.17957112660253</v>
      </c>
      <c r="AC1681" s="43">
        <v>138.10868154539935</v>
      </c>
      <c r="AD1681" s="43">
        <v>146.0378588759541</v>
      </c>
      <c r="AE1681" s="43">
        <v>153.96697674227667</v>
      </c>
    </row>
    <row r="1682" spans="1:31" x14ac:dyDescent="0.45">
      <c r="A1682" t="s">
        <v>2811</v>
      </c>
      <c r="B1682" t="s">
        <v>110</v>
      </c>
      <c r="C1682" t="s">
        <v>2522</v>
      </c>
      <c r="D1682">
        <v>2</v>
      </c>
      <c r="E1682" t="s">
        <v>2812</v>
      </c>
      <c r="L1682" s="43">
        <v>47.016585657660869</v>
      </c>
      <c r="M1682" s="43">
        <v>48.583140104124077</v>
      </c>
      <c r="N1682" s="43">
        <v>50.203203500000001</v>
      </c>
      <c r="O1682" s="43">
        <v>51.878652142999996</v>
      </c>
      <c r="P1682" s="43">
        <v>53.611430083849996</v>
      </c>
      <c r="Q1682" s="43">
        <v>55.403551656613665</v>
      </c>
      <c r="R1682" s="43">
        <v>57.257104107200519</v>
      </c>
      <c r="S1682" s="43">
        <v>59.174250324032492</v>
      </c>
      <c r="T1682" s="43">
        <v>61.157231675010621</v>
      </c>
      <c r="U1682" s="43">
        <v>63.208370955098921</v>
      </c>
      <c r="V1682" s="43">
        <v>65.330075449025713</v>
      </c>
      <c r="W1682" s="43">
        <v>67.52484011379407</v>
      </c>
      <c r="X1682" s="43">
        <v>69.795250885892756</v>
      </c>
      <c r="Y1682" s="43">
        <v>72.143988118307959</v>
      </c>
      <c r="Z1682" s="43">
        <v>74.573830152653855</v>
      </c>
      <c r="AA1682" s="43">
        <v>77.087657031968206</v>
      </c>
      <c r="AB1682" s="43">
        <v>79.688454359956467</v>
      </c>
      <c r="AC1682" s="43">
        <v>82.37931731271712</v>
      </c>
      <c r="AD1682" s="43">
        <v>85.163454809240363</v>
      </c>
      <c r="AE1682" s="43">
        <v>88.044193847243605</v>
      </c>
    </row>
    <row r="1683" spans="1:31" x14ac:dyDescent="0.45">
      <c r="A1683" t="s">
        <v>2813</v>
      </c>
      <c r="B1683" t="s">
        <v>110</v>
      </c>
      <c r="C1683" t="s">
        <v>2522</v>
      </c>
      <c r="D1683">
        <v>2</v>
      </c>
      <c r="E1683" t="s">
        <v>2814</v>
      </c>
      <c r="L1683" s="43">
        <v>0</v>
      </c>
      <c r="M1683" s="43">
        <v>0</v>
      </c>
      <c r="N1683" s="43">
        <v>0</v>
      </c>
      <c r="O1683" s="43">
        <v>0</v>
      </c>
      <c r="P1683" s="43">
        <v>0</v>
      </c>
      <c r="Q1683" s="43">
        <v>308.12278080273342</v>
      </c>
      <c r="R1683" s="43">
        <v>636.8417154974029</v>
      </c>
      <c r="S1683" s="43">
        <v>987.22968333254369</v>
      </c>
      <c r="T1683" s="43">
        <v>1360.4109852569791</v>
      </c>
      <c r="U1683" s="43">
        <v>1757.56372820916</v>
      </c>
      <c r="V1683" s="43">
        <v>2179.922318644748</v>
      </c>
      <c r="W1683" s="43">
        <v>2628.780070299068</v>
      </c>
      <c r="X1683" s="43">
        <v>3105.4919314104181</v>
      </c>
      <c r="Y1683" s="43">
        <v>3611.4773368702113</v>
      </c>
      <c r="Z1683" s="43">
        <v>4148.2231910169721</v>
      </c>
      <c r="AA1683" s="43">
        <v>4717.2869870538907</v>
      </c>
      <c r="AB1683" s="43">
        <v>5320.3000693444392</v>
      </c>
      <c r="AC1683" s="43">
        <v>5958.9710451280498</v>
      </c>
      <c r="AD1683" s="43">
        <v>6635.0893524987587</v>
      </c>
      <c r="AE1683" s="43">
        <v>7350.5289918043609</v>
      </c>
    </row>
    <row r="1684" spans="1:31" x14ac:dyDescent="0.45">
      <c r="A1684" t="s">
        <v>2815</v>
      </c>
      <c r="B1684" t="s">
        <v>110</v>
      </c>
      <c r="C1684" t="s">
        <v>2522</v>
      </c>
      <c r="D1684">
        <v>2</v>
      </c>
      <c r="E1684" t="s">
        <v>2816</v>
      </c>
      <c r="L1684" s="43">
        <v>0</v>
      </c>
      <c r="M1684" s="43">
        <v>0</v>
      </c>
      <c r="N1684" s="43">
        <v>0</v>
      </c>
      <c r="O1684" s="43">
        <v>0</v>
      </c>
      <c r="P1684" s="43">
        <v>0</v>
      </c>
      <c r="Q1684" s="43">
        <v>0</v>
      </c>
      <c r="R1684" s="43">
        <v>0</v>
      </c>
      <c r="S1684" s="43">
        <v>0</v>
      </c>
      <c r="T1684" s="43">
        <v>0</v>
      </c>
      <c r="U1684" s="43">
        <v>0</v>
      </c>
      <c r="V1684" s="43">
        <v>0</v>
      </c>
      <c r="W1684" s="43">
        <v>0</v>
      </c>
      <c r="X1684" s="43">
        <v>0</v>
      </c>
      <c r="Y1684" s="43">
        <v>0</v>
      </c>
      <c r="Z1684" s="43">
        <v>0</v>
      </c>
      <c r="AA1684" s="43">
        <v>0</v>
      </c>
      <c r="AB1684" s="43">
        <v>0</v>
      </c>
      <c r="AC1684" s="43">
        <v>0</v>
      </c>
      <c r="AD1684" s="43">
        <v>0</v>
      </c>
      <c r="AE1684" s="43">
        <v>0</v>
      </c>
    </row>
    <row r="1685" spans="1:31" x14ac:dyDescent="0.45">
      <c r="A1685" t="s">
        <v>2817</v>
      </c>
      <c r="B1685" t="s">
        <v>110</v>
      </c>
      <c r="C1685" t="s">
        <v>2522</v>
      </c>
      <c r="D1685">
        <v>2</v>
      </c>
      <c r="E1685" t="s">
        <v>2818</v>
      </c>
      <c r="L1685" s="43">
        <v>0</v>
      </c>
      <c r="M1685" s="43">
        <v>0</v>
      </c>
      <c r="N1685" s="43">
        <v>0</v>
      </c>
      <c r="O1685" s="43">
        <v>0</v>
      </c>
      <c r="P1685" s="43">
        <v>0</v>
      </c>
      <c r="Q1685" s="43">
        <v>308.12278080273342</v>
      </c>
      <c r="R1685" s="43">
        <v>636.8417154974029</v>
      </c>
      <c r="S1685" s="43">
        <v>987.22968333254369</v>
      </c>
      <c r="T1685" s="43">
        <v>1360.4109852569791</v>
      </c>
      <c r="U1685" s="43">
        <v>1757.56372820916</v>
      </c>
      <c r="V1685" s="43">
        <v>2179.922318644748</v>
      </c>
      <c r="W1685" s="43">
        <v>2628.780070299068</v>
      </c>
      <c r="X1685" s="43">
        <v>3105.4919314104181</v>
      </c>
      <c r="Y1685" s="43">
        <v>3611.4773368702113</v>
      </c>
      <c r="Z1685" s="43">
        <v>4148.2231910169721</v>
      </c>
      <c r="AA1685" s="43">
        <v>4717.2869870538907</v>
      </c>
      <c r="AB1685" s="43">
        <v>5320.3000693444392</v>
      </c>
      <c r="AC1685" s="43">
        <v>5958.9710451280498</v>
      </c>
      <c r="AD1685" s="43">
        <v>6635.0893524987587</v>
      </c>
      <c r="AE1685" s="43">
        <v>7350.5289918043609</v>
      </c>
    </row>
    <row r="1686" spans="1:31" x14ac:dyDescent="0.45">
      <c r="A1686" t="s">
        <v>2819</v>
      </c>
      <c r="B1686" t="s">
        <v>110</v>
      </c>
      <c r="C1686" t="s">
        <v>2522</v>
      </c>
      <c r="D1686">
        <v>2</v>
      </c>
      <c r="E1686" t="s">
        <v>2820</v>
      </c>
      <c r="L1686" s="43">
        <v>14.019740964534272</v>
      </c>
      <c r="M1686" s="43">
        <v>11.739301230035998</v>
      </c>
      <c r="N1686" s="43">
        <v>13.303124518863104</v>
      </c>
      <c r="O1686" s="43">
        <v>14.156899598427017</v>
      </c>
      <c r="P1686" s="43">
        <v>14.286244741983563</v>
      </c>
      <c r="Q1686" s="43">
        <v>13.482479789369556</v>
      </c>
      <c r="R1686" s="43">
        <v>12.983250913859607</v>
      </c>
      <c r="S1686" s="43">
        <v>12.560793362152866</v>
      </c>
      <c r="T1686" s="43">
        <v>12.187957412625254</v>
      </c>
      <c r="U1686" s="43">
        <v>11.875632686552137</v>
      </c>
      <c r="V1686" s="43">
        <v>11.602689599741135</v>
      </c>
      <c r="W1686" s="43">
        <v>11.378519970656047</v>
      </c>
      <c r="X1686" s="43">
        <v>11.19706469003696</v>
      </c>
      <c r="Y1686" s="43">
        <v>11.054589877296367</v>
      </c>
      <c r="Z1686" s="43">
        <v>10.949977353134972</v>
      </c>
      <c r="AA1686" s="43">
        <v>10.880837147763879</v>
      </c>
      <c r="AB1686" s="43">
        <v>10.844737007963213</v>
      </c>
      <c r="AC1686" s="43">
        <v>10.837962619219041</v>
      </c>
      <c r="AD1686" s="43">
        <v>10.857412419871189</v>
      </c>
      <c r="AE1686" s="43">
        <v>10.900735380545399</v>
      </c>
    </row>
    <row r="1687" spans="1:31" x14ac:dyDescent="0.45">
      <c r="A1687" t="s">
        <v>2821</v>
      </c>
      <c r="B1687" t="s">
        <v>2822</v>
      </c>
      <c r="C1687" t="s">
        <v>2522</v>
      </c>
      <c r="D1687">
        <v>2</v>
      </c>
      <c r="E1687" t="s">
        <v>2823</v>
      </c>
      <c r="L1687" s="43">
        <v>0</v>
      </c>
      <c r="M1687" s="43">
        <v>0</v>
      </c>
      <c r="N1687" s="43">
        <v>0</v>
      </c>
      <c r="O1687" s="43">
        <v>0</v>
      </c>
      <c r="P1687" s="43">
        <v>0</v>
      </c>
      <c r="Q1687" s="43">
        <v>0</v>
      </c>
      <c r="R1687" s="43">
        <v>0</v>
      </c>
      <c r="S1687" s="43">
        <v>0</v>
      </c>
      <c r="T1687" s="43">
        <v>0</v>
      </c>
      <c r="U1687" s="43">
        <v>0</v>
      </c>
      <c r="V1687" s="43">
        <v>0</v>
      </c>
      <c r="W1687" s="43">
        <v>0</v>
      </c>
      <c r="X1687" s="43">
        <v>0</v>
      </c>
      <c r="Y1687" s="43">
        <v>0</v>
      </c>
      <c r="Z1687" s="43">
        <v>0</v>
      </c>
      <c r="AA1687" s="43">
        <v>0</v>
      </c>
      <c r="AB1687" s="43">
        <v>0</v>
      </c>
      <c r="AC1687" s="43">
        <v>0</v>
      </c>
      <c r="AD1687" s="43">
        <v>0</v>
      </c>
      <c r="AE1687" s="43">
        <v>0</v>
      </c>
    </row>
    <row r="1688" spans="1:31" x14ac:dyDescent="0.45">
      <c r="A1688" t="s">
        <v>2824</v>
      </c>
      <c r="B1688" t="s">
        <v>110</v>
      </c>
      <c r="C1688" t="s">
        <v>43</v>
      </c>
      <c r="D1688">
        <v>2</v>
      </c>
      <c r="E1688" t="s">
        <v>2825</v>
      </c>
      <c r="L1688" s="43">
        <v>1901.7140738122609</v>
      </c>
      <c r="M1688" s="43">
        <v>1621.2301769893743</v>
      </c>
      <c r="N1688" s="43">
        <v>1820.8469202303741</v>
      </c>
      <c r="O1688" s="43">
        <v>1904.3670376253485</v>
      </c>
      <c r="P1688" s="43">
        <v>1961.702021253242</v>
      </c>
      <c r="Q1688" s="43">
        <v>2038.9739202925941</v>
      </c>
      <c r="R1688" s="43">
        <v>1847.3650852128353</v>
      </c>
      <c r="S1688" s="43">
        <v>1927.6967656346794</v>
      </c>
      <c r="T1688" s="43">
        <v>2003.6478535386466</v>
      </c>
      <c r="U1688" s="43">
        <v>2080.420807425895</v>
      </c>
      <c r="V1688" s="43">
        <v>2158.1017458230463</v>
      </c>
      <c r="W1688" s="43">
        <v>2238.4314308137432</v>
      </c>
      <c r="X1688" s="43">
        <v>2322.0852782283118</v>
      </c>
      <c r="Y1688" s="43">
        <v>2409.9601076918048</v>
      </c>
      <c r="Z1688" s="43">
        <v>2503.4273650546652</v>
      </c>
      <c r="AA1688" s="43">
        <v>2603.380841256117</v>
      </c>
      <c r="AB1688" s="43">
        <v>2710.5421417180701</v>
      </c>
      <c r="AC1688" s="43">
        <v>2825.0739330466899</v>
      </c>
      <c r="AD1688" s="43">
        <v>2947.1310655860725</v>
      </c>
      <c r="AE1688" s="43">
        <v>3076.9518919077177</v>
      </c>
    </row>
    <row r="1689" spans="1:31" x14ac:dyDescent="0.45">
      <c r="A1689" t="s">
        <v>2826</v>
      </c>
      <c r="B1689" t="s">
        <v>110</v>
      </c>
      <c r="C1689" t="s">
        <v>113</v>
      </c>
      <c r="D1689">
        <v>2</v>
      </c>
      <c r="E1689" t="s">
        <v>2825</v>
      </c>
      <c r="L1689" s="43">
        <v>3210.4467592248702</v>
      </c>
      <c r="M1689" s="43">
        <v>2690.3404093921163</v>
      </c>
      <c r="N1689" s="43">
        <v>3047.5360888007326</v>
      </c>
      <c r="O1689" s="43">
        <v>3240.6928223889822</v>
      </c>
      <c r="P1689" s="43">
        <v>3273.2119677539522</v>
      </c>
      <c r="Q1689" s="43">
        <v>3368.228907853118</v>
      </c>
      <c r="R1689" s="43">
        <v>3064.6631828354202</v>
      </c>
      <c r="S1689" s="43">
        <v>3177.4158490906384</v>
      </c>
      <c r="T1689" s="43">
        <v>3284.1252951076308</v>
      </c>
      <c r="U1689" s="43">
        <v>3391.5167507993629</v>
      </c>
      <c r="V1689" s="43">
        <v>3495.4443719317869</v>
      </c>
      <c r="W1689" s="43">
        <v>3602.4640735657167</v>
      </c>
      <c r="X1689" s="43">
        <v>3713.4594095241946</v>
      </c>
      <c r="Y1689" s="43">
        <v>3829.5951733815596</v>
      </c>
      <c r="Z1689" s="43">
        <v>3952.6477392689649</v>
      </c>
      <c r="AA1689" s="43">
        <v>4083.733553983021</v>
      </c>
      <c r="AB1689" s="43">
        <v>4223.7247296458527</v>
      </c>
      <c r="AC1689" s="43">
        <v>4372.7475422680927</v>
      </c>
      <c r="AD1689" s="43">
        <v>4530.9176443081178</v>
      </c>
      <c r="AE1689" s="43">
        <v>4698.4592756394795</v>
      </c>
    </row>
    <row r="1690" spans="1:31" x14ac:dyDescent="0.45">
      <c r="A1690" t="s">
        <v>2827</v>
      </c>
      <c r="B1690" t="s">
        <v>110</v>
      </c>
      <c r="C1690" t="s">
        <v>115</v>
      </c>
      <c r="D1690">
        <v>2</v>
      </c>
      <c r="E1690" t="s">
        <v>2825</v>
      </c>
      <c r="L1690" s="43">
        <v>0</v>
      </c>
      <c r="M1690" s="43">
        <v>0</v>
      </c>
      <c r="N1690" s="43">
        <v>0</v>
      </c>
      <c r="O1690" s="43">
        <v>0</v>
      </c>
      <c r="P1690" s="43">
        <v>0</v>
      </c>
      <c r="Q1690" s="43">
        <v>0</v>
      </c>
      <c r="R1690" s="43">
        <v>0</v>
      </c>
      <c r="S1690" s="43">
        <v>0</v>
      </c>
      <c r="T1690" s="43">
        <v>0</v>
      </c>
      <c r="U1690" s="43">
        <v>0</v>
      </c>
      <c r="V1690" s="43">
        <v>0</v>
      </c>
      <c r="W1690" s="43">
        <v>0</v>
      </c>
      <c r="X1690" s="43">
        <v>0</v>
      </c>
      <c r="Y1690" s="43">
        <v>0</v>
      </c>
      <c r="Z1690" s="43">
        <v>0</v>
      </c>
      <c r="AA1690" s="43">
        <v>0</v>
      </c>
      <c r="AB1690" s="43">
        <v>0</v>
      </c>
      <c r="AC1690" s="43">
        <v>0</v>
      </c>
      <c r="AD1690" s="43">
        <v>0</v>
      </c>
      <c r="AE1690" s="43">
        <v>0</v>
      </c>
    </row>
    <row r="1691" spans="1:31" x14ac:dyDescent="0.45">
      <c r="A1691" t="s">
        <v>2828</v>
      </c>
      <c r="B1691" t="s">
        <v>110</v>
      </c>
      <c r="C1691" t="s">
        <v>117</v>
      </c>
      <c r="D1691">
        <v>2</v>
      </c>
      <c r="E1691" t="s">
        <v>2825</v>
      </c>
      <c r="L1691" s="43">
        <v>0</v>
      </c>
      <c r="M1691" s="43">
        <v>0</v>
      </c>
      <c r="N1691" s="43">
        <v>0</v>
      </c>
      <c r="O1691" s="43">
        <v>0</v>
      </c>
      <c r="P1691" s="43">
        <v>0</v>
      </c>
      <c r="Q1691" s="43">
        <v>0</v>
      </c>
      <c r="R1691" s="43">
        <v>0</v>
      </c>
      <c r="S1691" s="43">
        <v>0</v>
      </c>
      <c r="T1691" s="43">
        <v>0</v>
      </c>
      <c r="U1691" s="43">
        <v>0</v>
      </c>
      <c r="V1691" s="43">
        <v>0</v>
      </c>
      <c r="W1691" s="43">
        <v>0</v>
      </c>
      <c r="X1691" s="43">
        <v>0</v>
      </c>
      <c r="Y1691" s="43">
        <v>0</v>
      </c>
      <c r="Z1691" s="43">
        <v>0</v>
      </c>
      <c r="AA1691" s="43">
        <v>0</v>
      </c>
      <c r="AB1691" s="43">
        <v>0</v>
      </c>
      <c r="AC1691" s="43">
        <v>0</v>
      </c>
      <c r="AD1691" s="43">
        <v>0</v>
      </c>
      <c r="AE1691" s="43">
        <v>0</v>
      </c>
    </row>
    <row r="1692" spans="1:31" x14ac:dyDescent="0.45">
      <c r="A1692" t="s">
        <v>2829</v>
      </c>
      <c r="B1692" t="s">
        <v>2375</v>
      </c>
      <c r="C1692" t="s">
        <v>43</v>
      </c>
      <c r="D1692">
        <v>2</v>
      </c>
      <c r="E1692" t="s">
        <v>2830</v>
      </c>
      <c r="L1692" s="43">
        <v>66.453659723176557</v>
      </c>
      <c r="M1692" s="43">
        <v>68.485475215764879</v>
      </c>
      <c r="N1692" s="43">
        <v>58.995402742046402</v>
      </c>
      <c r="O1692" s="43">
        <v>43.916716887965812</v>
      </c>
      <c r="P1692" s="43">
        <v>53.774364143577706</v>
      </c>
      <c r="Q1692" s="43">
        <v>42.744789650417033</v>
      </c>
      <c r="R1692" s="43">
        <v>52.296372162917706</v>
      </c>
      <c r="S1692" s="43">
        <v>50.675619134555625</v>
      </c>
      <c r="T1692" s="43">
        <v>49.244157129395532</v>
      </c>
      <c r="U1692" s="43">
        <v>47.701530563316886</v>
      </c>
      <c r="V1692" s="43">
        <v>47.700953244779463</v>
      </c>
      <c r="W1692" s="43">
        <v>47.700345043835391</v>
      </c>
      <c r="X1692" s="43">
        <v>47.699606233150249</v>
      </c>
      <c r="Y1692" s="43">
        <v>47.698784018498259</v>
      </c>
      <c r="Z1692" s="43">
        <v>47.698024235913145</v>
      </c>
      <c r="AA1692" s="43">
        <v>47.69713215264818</v>
      </c>
      <c r="AB1692" s="43">
        <v>47.696305897897624</v>
      </c>
      <c r="AC1692" s="43">
        <v>47.694333121626656</v>
      </c>
      <c r="AD1692" s="43">
        <v>47.692427257113664</v>
      </c>
      <c r="AE1692" s="43">
        <v>47.690461928368428</v>
      </c>
    </row>
    <row r="1693" spans="1:31" x14ac:dyDescent="0.45">
      <c r="A1693" t="s">
        <v>2831</v>
      </c>
      <c r="B1693" t="s">
        <v>2375</v>
      </c>
      <c r="C1693" t="s">
        <v>113</v>
      </c>
      <c r="D1693">
        <v>2</v>
      </c>
      <c r="E1693" t="s">
        <v>2830</v>
      </c>
      <c r="L1693" s="43">
        <v>66.453659723176557</v>
      </c>
      <c r="M1693" s="43">
        <v>68.485475215764879</v>
      </c>
      <c r="N1693" s="43">
        <v>58.995402742046402</v>
      </c>
      <c r="O1693" s="43">
        <v>43.916716887965812</v>
      </c>
      <c r="P1693" s="43">
        <v>53.774364143577706</v>
      </c>
      <c r="Q1693" s="43">
        <v>42.744789650417033</v>
      </c>
      <c r="R1693" s="43">
        <v>52.296372162917706</v>
      </c>
      <c r="S1693" s="43">
        <v>50.675619134555625</v>
      </c>
      <c r="T1693" s="43">
        <v>49.244157129395532</v>
      </c>
      <c r="U1693" s="43">
        <v>47.701530563316886</v>
      </c>
      <c r="V1693" s="43">
        <v>47.700953244779463</v>
      </c>
      <c r="W1693" s="43">
        <v>47.700345043835391</v>
      </c>
      <c r="X1693" s="43">
        <v>47.699606233150249</v>
      </c>
      <c r="Y1693" s="43">
        <v>47.698784018498259</v>
      </c>
      <c r="Z1693" s="43">
        <v>47.698024235913145</v>
      </c>
      <c r="AA1693" s="43">
        <v>47.69713215264818</v>
      </c>
      <c r="AB1693" s="43">
        <v>47.696305897897624</v>
      </c>
      <c r="AC1693" s="43">
        <v>47.694333121626656</v>
      </c>
      <c r="AD1693" s="43">
        <v>47.692427257113664</v>
      </c>
      <c r="AE1693" s="43">
        <v>47.690461928368428</v>
      </c>
    </row>
    <row r="1694" spans="1:31" x14ac:dyDescent="0.45">
      <c r="A1694" t="s">
        <v>2832</v>
      </c>
      <c r="B1694" t="s">
        <v>2375</v>
      </c>
      <c r="C1694" t="s">
        <v>115</v>
      </c>
      <c r="D1694">
        <v>2</v>
      </c>
      <c r="E1694" t="s">
        <v>2830</v>
      </c>
      <c r="L1694" s="43">
        <v>66.453659723176557</v>
      </c>
      <c r="M1694" s="43">
        <v>68.485475215764879</v>
      </c>
      <c r="N1694" s="43">
        <v>58.995402742046402</v>
      </c>
      <c r="O1694" s="43">
        <v>43.916716887965812</v>
      </c>
      <c r="P1694" s="43">
        <v>53.774364143577706</v>
      </c>
      <c r="Q1694" s="43">
        <v>42.744789650417033</v>
      </c>
      <c r="R1694" s="43">
        <v>52.296372162917706</v>
      </c>
      <c r="S1694" s="43">
        <v>50.675619134555625</v>
      </c>
      <c r="T1694" s="43">
        <v>49.244157129395532</v>
      </c>
      <c r="U1694" s="43">
        <v>47.701530563316886</v>
      </c>
      <c r="V1694" s="43">
        <v>47.700953244779463</v>
      </c>
      <c r="W1694" s="43">
        <v>47.700345043835391</v>
      </c>
      <c r="X1694" s="43">
        <v>47.699606233150249</v>
      </c>
      <c r="Y1694" s="43">
        <v>47.698784018498259</v>
      </c>
      <c r="Z1694" s="43">
        <v>47.698024235913145</v>
      </c>
      <c r="AA1694" s="43">
        <v>47.69713215264818</v>
      </c>
      <c r="AB1694" s="43">
        <v>47.696305897897624</v>
      </c>
      <c r="AC1694" s="43">
        <v>47.694333121626656</v>
      </c>
      <c r="AD1694" s="43">
        <v>47.692427257113664</v>
      </c>
      <c r="AE1694" s="43">
        <v>47.690461928368428</v>
      </c>
    </row>
    <row r="1695" spans="1:31" x14ac:dyDescent="0.45">
      <c r="A1695" t="s">
        <v>2833</v>
      </c>
      <c r="B1695" t="s">
        <v>2375</v>
      </c>
      <c r="C1695" t="s">
        <v>117</v>
      </c>
      <c r="D1695">
        <v>2</v>
      </c>
      <c r="E1695" t="s">
        <v>2830</v>
      </c>
      <c r="L1695" s="43">
        <v>66.453659723176557</v>
      </c>
      <c r="M1695" s="43">
        <v>68.485475215764879</v>
      </c>
      <c r="N1695" s="43">
        <v>58.995402742046402</v>
      </c>
      <c r="O1695" s="43">
        <v>43.916716887965812</v>
      </c>
      <c r="P1695" s="43">
        <v>53.774364143577706</v>
      </c>
      <c r="Q1695" s="43">
        <v>42.744789650417033</v>
      </c>
      <c r="R1695" s="43">
        <v>52.296372162917706</v>
      </c>
      <c r="S1695" s="43">
        <v>50.675619134555625</v>
      </c>
      <c r="T1695" s="43">
        <v>49.244157129395532</v>
      </c>
      <c r="U1695" s="43">
        <v>47.701530563316886</v>
      </c>
      <c r="V1695" s="43">
        <v>47.700953244779463</v>
      </c>
      <c r="W1695" s="43">
        <v>47.700345043835391</v>
      </c>
      <c r="X1695" s="43">
        <v>47.699606233150249</v>
      </c>
      <c r="Y1695" s="43">
        <v>47.698784018498259</v>
      </c>
      <c r="Z1695" s="43">
        <v>47.698024235913145</v>
      </c>
      <c r="AA1695" s="43">
        <v>47.69713215264818</v>
      </c>
      <c r="AB1695" s="43">
        <v>47.696305897897624</v>
      </c>
      <c r="AC1695" s="43">
        <v>47.694333121626656</v>
      </c>
      <c r="AD1695" s="43">
        <v>47.692427257113664</v>
      </c>
      <c r="AE1695" s="43">
        <v>47.690461928368428</v>
      </c>
    </row>
    <row r="1696" spans="1:31" x14ac:dyDescent="0.45">
      <c r="A1696" t="s">
        <v>2834</v>
      </c>
      <c r="B1696" t="s">
        <v>110</v>
      </c>
      <c r="C1696" t="s">
        <v>2522</v>
      </c>
      <c r="D1696">
        <v>2</v>
      </c>
      <c r="E1696" t="s">
        <v>2835</v>
      </c>
      <c r="L1696" s="43">
        <v>47.016585657660869</v>
      </c>
      <c r="M1696" s="43">
        <v>48.583140104124077</v>
      </c>
      <c r="N1696" s="43">
        <v>50.203203500000001</v>
      </c>
      <c r="O1696" s="43">
        <v>51.878652142999996</v>
      </c>
      <c r="P1696" s="43">
        <v>53.611430083849996</v>
      </c>
      <c r="Q1696" s="43">
        <v>55.403551656613665</v>
      </c>
      <c r="R1696" s="43">
        <v>56.621745482449839</v>
      </c>
      <c r="S1696" s="43">
        <v>58.518870444014659</v>
      </c>
      <c r="T1696" s="43">
        <v>60.481178848453411</v>
      </c>
      <c r="U1696" s="43">
        <v>62.51097154891869</v>
      </c>
      <c r="V1696" s="43">
        <v>64.610633120405694</v>
      </c>
      <c r="W1696" s="43">
        <v>66.782635014100777</v>
      </c>
      <c r="X1696" s="43">
        <v>69.029538835338215</v>
      </c>
      <c r="Y1696" s="43">
        <v>71.353999750220567</v>
      </c>
      <c r="Z1696" s="43">
        <v>73.758770026173238</v>
      </c>
      <c r="AA1696" s="43">
        <v>76.246702711930368</v>
      </c>
      <c r="AB1696" s="43">
        <v>78.820755462684474</v>
      </c>
      <c r="AC1696" s="43">
        <v>81.483994516378345</v>
      </c>
      <c r="AD1696" s="43">
        <v>84.239598827375659</v>
      </c>
      <c r="AE1696" s="43">
        <v>87.090864364015147</v>
      </c>
    </row>
    <row r="1697" spans="1:31" x14ac:dyDescent="0.45">
      <c r="A1697" t="s">
        <v>2836</v>
      </c>
      <c r="B1697" t="s">
        <v>110</v>
      </c>
      <c r="C1697" t="s">
        <v>2522</v>
      </c>
      <c r="D1697">
        <v>2</v>
      </c>
      <c r="E1697" t="s">
        <v>2837</v>
      </c>
      <c r="L1697" s="43">
        <v>0</v>
      </c>
      <c r="M1697" s="43">
        <v>0</v>
      </c>
      <c r="N1697" s="43">
        <v>0</v>
      </c>
      <c r="O1697" s="43">
        <v>0</v>
      </c>
      <c r="P1697" s="43">
        <v>0</v>
      </c>
      <c r="Q1697" s="43">
        <v>0</v>
      </c>
      <c r="R1697" s="43">
        <v>1132.4349096489966</v>
      </c>
      <c r="S1697" s="43">
        <v>1170.3774088802934</v>
      </c>
      <c r="T1697" s="43">
        <v>1209.6235769690682</v>
      </c>
      <c r="U1697" s="43">
        <v>1250.2194309783738</v>
      </c>
      <c r="V1697" s="43">
        <v>1292.2126624081141</v>
      </c>
      <c r="W1697" s="43">
        <v>1335.6527002820153</v>
      </c>
      <c r="X1697" s="43">
        <v>1380.5907767067642</v>
      </c>
      <c r="Y1697" s="43">
        <v>1427.0799950044111</v>
      </c>
      <c r="Z1697" s="43">
        <v>1475.1754005234645</v>
      </c>
      <c r="AA1697" s="43">
        <v>1524.9340542386076</v>
      </c>
      <c r="AB1697" s="43">
        <v>1576.4151092536899</v>
      </c>
      <c r="AC1697" s="43">
        <v>1629.6798903275671</v>
      </c>
      <c r="AD1697" s="43">
        <v>1684.7919765475131</v>
      </c>
      <c r="AE1697" s="43">
        <v>1741.8172872803025</v>
      </c>
    </row>
    <row r="1698" spans="1:31" x14ac:dyDescent="0.45">
      <c r="A1698" t="s">
        <v>2838</v>
      </c>
      <c r="B1698" t="s">
        <v>110</v>
      </c>
      <c r="C1698" t="s">
        <v>2522</v>
      </c>
      <c r="D1698">
        <v>2</v>
      </c>
      <c r="E1698" t="s">
        <v>2839</v>
      </c>
      <c r="L1698" s="43">
        <v>0</v>
      </c>
      <c r="M1698" s="43">
        <v>0</v>
      </c>
      <c r="N1698" s="43">
        <v>0</v>
      </c>
      <c r="O1698" s="43">
        <v>0</v>
      </c>
      <c r="P1698" s="43">
        <v>0</v>
      </c>
      <c r="Q1698" s="43">
        <v>0</v>
      </c>
      <c r="R1698" s="43">
        <v>0</v>
      </c>
      <c r="S1698" s="43">
        <v>0</v>
      </c>
      <c r="T1698" s="43">
        <v>0</v>
      </c>
      <c r="U1698" s="43">
        <v>0</v>
      </c>
      <c r="V1698" s="43">
        <v>0</v>
      </c>
      <c r="W1698" s="43">
        <v>0</v>
      </c>
      <c r="X1698" s="43">
        <v>0</v>
      </c>
      <c r="Y1698" s="43">
        <v>0</v>
      </c>
      <c r="Z1698" s="43">
        <v>0</v>
      </c>
      <c r="AA1698" s="43">
        <v>0</v>
      </c>
      <c r="AB1698" s="43">
        <v>0</v>
      </c>
      <c r="AC1698" s="43">
        <v>0</v>
      </c>
      <c r="AD1698" s="43">
        <v>0</v>
      </c>
      <c r="AE1698" s="43">
        <v>0</v>
      </c>
    </row>
    <row r="1699" spans="1:31" x14ac:dyDescent="0.45">
      <c r="A1699" t="s">
        <v>2840</v>
      </c>
      <c r="B1699" t="s">
        <v>110</v>
      </c>
      <c r="C1699" t="s">
        <v>2522</v>
      </c>
      <c r="D1699">
        <v>2</v>
      </c>
      <c r="E1699" t="s">
        <v>2841</v>
      </c>
      <c r="L1699" s="43">
        <v>0</v>
      </c>
      <c r="M1699" s="43">
        <v>0</v>
      </c>
      <c r="N1699" s="43">
        <v>0</v>
      </c>
      <c r="O1699" s="43">
        <v>0</v>
      </c>
      <c r="P1699" s="43">
        <v>0</v>
      </c>
      <c r="Q1699" s="43">
        <v>0</v>
      </c>
      <c r="R1699" s="43">
        <v>1132.4349096489966</v>
      </c>
      <c r="S1699" s="43">
        <v>1170.3774088802934</v>
      </c>
      <c r="T1699" s="43">
        <v>1209.6235769690682</v>
      </c>
      <c r="U1699" s="43">
        <v>1250.2194309783738</v>
      </c>
      <c r="V1699" s="43">
        <v>1292.2126624081141</v>
      </c>
      <c r="W1699" s="43">
        <v>1335.6527002820153</v>
      </c>
      <c r="X1699" s="43">
        <v>1380.5907767067642</v>
      </c>
      <c r="Y1699" s="43">
        <v>1427.0799950044111</v>
      </c>
      <c r="Z1699" s="43">
        <v>1475.1754005234645</v>
      </c>
      <c r="AA1699" s="43">
        <v>1524.9340542386076</v>
      </c>
      <c r="AB1699" s="43">
        <v>1576.4151092536899</v>
      </c>
      <c r="AC1699" s="43">
        <v>1629.6798903275671</v>
      </c>
      <c r="AD1699" s="43">
        <v>1684.7919765475131</v>
      </c>
      <c r="AE1699" s="43">
        <v>1741.8172872803025</v>
      </c>
    </row>
    <row r="1700" spans="1:31" x14ac:dyDescent="0.45">
      <c r="A1700" t="s">
        <v>2842</v>
      </c>
      <c r="B1700" t="s">
        <v>110</v>
      </c>
      <c r="C1700" t="s">
        <v>2522</v>
      </c>
      <c r="D1700">
        <v>2</v>
      </c>
      <c r="E1700" t="s">
        <v>2843</v>
      </c>
      <c r="L1700" s="43">
        <v>14.019740964534272</v>
      </c>
      <c r="M1700" s="43">
        <v>11.739301230035998</v>
      </c>
      <c r="N1700" s="43">
        <v>13.303124518863104</v>
      </c>
      <c r="O1700" s="43">
        <v>14.156899598427017</v>
      </c>
      <c r="P1700" s="43">
        <v>14.286244741983563</v>
      </c>
      <c r="Q1700" s="43">
        <v>14.694194505017343</v>
      </c>
      <c r="R1700" s="43">
        <v>13.372471284389238</v>
      </c>
      <c r="S1700" s="43">
        <v>13.860348019977691</v>
      </c>
      <c r="T1700" s="43">
        <v>14.322100919094265</v>
      </c>
      <c r="U1700" s="43">
        <v>14.786693105898717</v>
      </c>
      <c r="V1700" s="43">
        <v>15.235174577847717</v>
      </c>
      <c r="W1700" s="43">
        <v>15.696887105864223</v>
      </c>
      <c r="X1700" s="43">
        <v>16.175638522314799</v>
      </c>
      <c r="Y1700" s="43">
        <v>16.676446578472209</v>
      </c>
      <c r="Z1700" s="43">
        <v>17.206962374246245</v>
      </c>
      <c r="AA1700" s="43">
        <v>17.77198401678017</v>
      </c>
      <c r="AB1700" s="43">
        <v>18.375251756238463</v>
      </c>
      <c r="AC1700" s="43">
        <v>19.017287803735954</v>
      </c>
      <c r="AD1700" s="43">
        <v>19.698568484950489</v>
      </c>
      <c r="AE1700" s="43">
        <v>20.420037937815266</v>
      </c>
    </row>
    <row r="1701" spans="1:31" x14ac:dyDescent="0.45">
      <c r="A1701" t="s">
        <v>2844</v>
      </c>
      <c r="B1701" t="s">
        <v>2822</v>
      </c>
      <c r="C1701" t="s">
        <v>2522</v>
      </c>
      <c r="D1701">
        <v>2</v>
      </c>
      <c r="E1701" t="s">
        <v>2823</v>
      </c>
      <c r="L1701" s="43">
        <v>0</v>
      </c>
      <c r="M1701" s="43">
        <v>0</v>
      </c>
      <c r="N1701" s="43">
        <v>0</v>
      </c>
      <c r="O1701" s="43">
        <v>0</v>
      </c>
      <c r="P1701" s="43">
        <v>0</v>
      </c>
      <c r="Q1701" s="43">
        <v>0</v>
      </c>
      <c r="R1701" s="43">
        <v>0</v>
      </c>
      <c r="S1701" s="43">
        <v>0</v>
      </c>
      <c r="T1701" s="43">
        <v>0</v>
      </c>
      <c r="U1701" s="43">
        <v>0</v>
      </c>
      <c r="V1701" s="43">
        <v>0</v>
      </c>
      <c r="W1701" s="43">
        <v>0</v>
      </c>
      <c r="X1701" s="43">
        <v>0</v>
      </c>
      <c r="Y1701" s="43">
        <v>0</v>
      </c>
      <c r="Z1701" s="43">
        <v>0</v>
      </c>
      <c r="AA1701" s="43">
        <v>0</v>
      </c>
      <c r="AB1701" s="43">
        <v>0</v>
      </c>
      <c r="AC1701" s="43">
        <v>0</v>
      </c>
      <c r="AD1701" s="43">
        <v>0</v>
      </c>
      <c r="AE1701" s="43">
        <v>0</v>
      </c>
    </row>
    <row r="1702" spans="1:31" x14ac:dyDescent="0.45">
      <c r="A1702" t="s">
        <v>2845</v>
      </c>
      <c r="B1702" t="s">
        <v>110</v>
      </c>
      <c r="C1702" t="s">
        <v>43</v>
      </c>
      <c r="D1702">
        <v>2</v>
      </c>
      <c r="E1702" t="s">
        <v>2846</v>
      </c>
      <c r="L1702" s="43">
        <v>1901.7140738122609</v>
      </c>
      <c r="M1702" s="43">
        <v>1621.2301769893743</v>
      </c>
      <c r="N1702" s="43">
        <v>1820.8469202303741</v>
      </c>
      <c r="O1702" s="43">
        <v>1904.3670376253485</v>
      </c>
      <c r="P1702" s="43">
        <v>1961.702021253242</v>
      </c>
      <c r="Q1702" s="43">
        <v>2038.9739202925941</v>
      </c>
      <c r="R1702" s="43">
        <v>1847.3650852128353</v>
      </c>
      <c r="S1702" s="43">
        <v>1927.6967656346794</v>
      </c>
      <c r="T1702" s="43">
        <v>2003.6478535386466</v>
      </c>
      <c r="U1702" s="43">
        <v>2080.420807425895</v>
      </c>
      <c r="V1702" s="43">
        <v>2158.1017458230463</v>
      </c>
      <c r="W1702" s="43">
        <v>2238.4314308137432</v>
      </c>
      <c r="X1702" s="43">
        <v>2322.0852782283118</v>
      </c>
      <c r="Y1702" s="43">
        <v>2409.9601076918048</v>
      </c>
      <c r="Z1702" s="43">
        <v>2503.4273650546652</v>
      </c>
      <c r="AA1702" s="43">
        <v>2603.380841256117</v>
      </c>
      <c r="AB1702" s="43">
        <v>2710.5421417180701</v>
      </c>
      <c r="AC1702" s="43">
        <v>2825.0739330466899</v>
      </c>
      <c r="AD1702" s="43">
        <v>2947.1310655860725</v>
      </c>
      <c r="AE1702" s="43">
        <v>3076.9518919077177</v>
      </c>
    </row>
    <row r="1703" spans="1:31" x14ac:dyDescent="0.45">
      <c r="A1703" t="s">
        <v>2847</v>
      </c>
      <c r="B1703" t="s">
        <v>110</v>
      </c>
      <c r="C1703" t="s">
        <v>113</v>
      </c>
      <c r="D1703">
        <v>2</v>
      </c>
      <c r="E1703" t="s">
        <v>2846</v>
      </c>
      <c r="L1703" s="43">
        <v>3210.4467592248702</v>
      </c>
      <c r="M1703" s="43">
        <v>2690.3404093921163</v>
      </c>
      <c r="N1703" s="43">
        <v>3047.5360888007326</v>
      </c>
      <c r="O1703" s="43">
        <v>3240.6928223889822</v>
      </c>
      <c r="P1703" s="43">
        <v>3273.2119677539522</v>
      </c>
      <c r="Q1703" s="43">
        <v>3368.228907853118</v>
      </c>
      <c r="R1703" s="43">
        <v>3064.6631828354202</v>
      </c>
      <c r="S1703" s="43">
        <v>3177.4158490906384</v>
      </c>
      <c r="T1703" s="43">
        <v>3284.1252951076308</v>
      </c>
      <c r="U1703" s="43">
        <v>3391.5167507993629</v>
      </c>
      <c r="V1703" s="43">
        <v>3495.4443719317869</v>
      </c>
      <c r="W1703" s="43">
        <v>3602.4640735657167</v>
      </c>
      <c r="X1703" s="43">
        <v>3713.4594095241946</v>
      </c>
      <c r="Y1703" s="43">
        <v>3829.5951733815596</v>
      </c>
      <c r="Z1703" s="43">
        <v>3952.6477392689649</v>
      </c>
      <c r="AA1703" s="43">
        <v>4083.733553983021</v>
      </c>
      <c r="AB1703" s="43">
        <v>4223.7247296458527</v>
      </c>
      <c r="AC1703" s="43">
        <v>4372.7475422680927</v>
      </c>
      <c r="AD1703" s="43">
        <v>4530.9176443081178</v>
      </c>
      <c r="AE1703" s="43">
        <v>4698.4592756394795</v>
      </c>
    </row>
    <row r="1704" spans="1:31" x14ac:dyDescent="0.45">
      <c r="A1704" t="s">
        <v>2848</v>
      </c>
      <c r="B1704" t="s">
        <v>110</v>
      </c>
      <c r="C1704" t="s">
        <v>115</v>
      </c>
      <c r="D1704">
        <v>2</v>
      </c>
      <c r="E1704" t="s">
        <v>2846</v>
      </c>
      <c r="L1704" s="43">
        <v>0</v>
      </c>
      <c r="M1704" s="43">
        <v>0</v>
      </c>
      <c r="N1704" s="43">
        <v>0</v>
      </c>
      <c r="O1704" s="43">
        <v>0</v>
      </c>
      <c r="P1704" s="43">
        <v>0</v>
      </c>
      <c r="Q1704" s="43">
        <v>0</v>
      </c>
      <c r="R1704" s="43">
        <v>0</v>
      </c>
      <c r="S1704" s="43">
        <v>0</v>
      </c>
      <c r="T1704" s="43">
        <v>0</v>
      </c>
      <c r="U1704" s="43">
        <v>0</v>
      </c>
      <c r="V1704" s="43">
        <v>0</v>
      </c>
      <c r="W1704" s="43">
        <v>0</v>
      </c>
      <c r="X1704" s="43">
        <v>0</v>
      </c>
      <c r="Y1704" s="43">
        <v>0</v>
      </c>
      <c r="Z1704" s="43">
        <v>0</v>
      </c>
      <c r="AA1704" s="43">
        <v>0</v>
      </c>
      <c r="AB1704" s="43">
        <v>0</v>
      </c>
      <c r="AC1704" s="43">
        <v>0</v>
      </c>
      <c r="AD1704" s="43">
        <v>0</v>
      </c>
      <c r="AE1704" s="43">
        <v>0</v>
      </c>
    </row>
    <row r="1705" spans="1:31" x14ac:dyDescent="0.45">
      <c r="A1705" t="s">
        <v>2849</v>
      </c>
      <c r="B1705" t="s">
        <v>110</v>
      </c>
      <c r="C1705" t="s">
        <v>117</v>
      </c>
      <c r="D1705">
        <v>2</v>
      </c>
      <c r="E1705" t="s">
        <v>2846</v>
      </c>
      <c r="L1705" s="43">
        <v>0</v>
      </c>
      <c r="M1705" s="43">
        <v>0</v>
      </c>
      <c r="N1705" s="43">
        <v>0</v>
      </c>
      <c r="O1705" s="43">
        <v>0</v>
      </c>
      <c r="P1705" s="43">
        <v>0</v>
      </c>
      <c r="Q1705" s="43">
        <v>0</v>
      </c>
      <c r="R1705" s="43">
        <v>0</v>
      </c>
      <c r="S1705" s="43">
        <v>0</v>
      </c>
      <c r="T1705" s="43">
        <v>0</v>
      </c>
      <c r="U1705" s="43">
        <v>0</v>
      </c>
      <c r="V1705" s="43">
        <v>0</v>
      </c>
      <c r="W1705" s="43">
        <v>0</v>
      </c>
      <c r="X1705" s="43">
        <v>0</v>
      </c>
      <c r="Y1705" s="43">
        <v>0</v>
      </c>
      <c r="Z1705" s="43">
        <v>0</v>
      </c>
      <c r="AA1705" s="43">
        <v>0</v>
      </c>
      <c r="AB1705" s="43">
        <v>0</v>
      </c>
      <c r="AC1705" s="43">
        <v>0</v>
      </c>
      <c r="AD1705" s="43">
        <v>0</v>
      </c>
      <c r="AE1705" s="43">
        <v>0</v>
      </c>
    </row>
    <row r="1706" spans="1:31" x14ac:dyDescent="0.45">
      <c r="A1706" t="s">
        <v>2850</v>
      </c>
      <c r="B1706" t="s">
        <v>2375</v>
      </c>
      <c r="C1706" t="s">
        <v>43</v>
      </c>
      <c r="D1706">
        <v>2</v>
      </c>
      <c r="E1706" t="s">
        <v>2851</v>
      </c>
      <c r="L1706" s="43">
        <v>66.453659723176557</v>
      </c>
      <c r="M1706" s="43">
        <v>68.485475215764879</v>
      </c>
      <c r="N1706" s="43">
        <v>58.995402742046402</v>
      </c>
      <c r="O1706" s="43">
        <v>43.916716887965812</v>
      </c>
      <c r="P1706" s="43">
        <v>53.774364143577706</v>
      </c>
      <c r="Q1706" s="43">
        <v>42.744789650417033</v>
      </c>
      <c r="R1706" s="43">
        <v>52.296372162917706</v>
      </c>
      <c r="S1706" s="43">
        <v>50.675619134555625</v>
      </c>
      <c r="T1706" s="43">
        <v>49.244157129395532</v>
      </c>
      <c r="U1706" s="43">
        <v>47.701530563316886</v>
      </c>
      <c r="V1706" s="43">
        <v>47.700953244779463</v>
      </c>
      <c r="W1706" s="43">
        <v>47.700345043835391</v>
      </c>
      <c r="X1706" s="43">
        <v>47.699606233150249</v>
      </c>
      <c r="Y1706" s="43">
        <v>47.698784018498259</v>
      </c>
      <c r="Z1706" s="43">
        <v>47.698024235913145</v>
      </c>
      <c r="AA1706" s="43">
        <v>47.69713215264818</v>
      </c>
      <c r="AB1706" s="43">
        <v>47.696305897897624</v>
      </c>
      <c r="AC1706" s="43">
        <v>47.694333121626656</v>
      </c>
      <c r="AD1706" s="43">
        <v>47.692427257113664</v>
      </c>
      <c r="AE1706" s="43">
        <v>47.690461928368428</v>
      </c>
    </row>
    <row r="1707" spans="1:31" x14ac:dyDescent="0.45">
      <c r="A1707" t="s">
        <v>2852</v>
      </c>
      <c r="B1707" t="s">
        <v>2375</v>
      </c>
      <c r="C1707" t="s">
        <v>113</v>
      </c>
      <c r="D1707">
        <v>2</v>
      </c>
      <c r="E1707" t="s">
        <v>2851</v>
      </c>
      <c r="L1707" s="43">
        <v>66.453659723176557</v>
      </c>
      <c r="M1707" s="43">
        <v>68.485475215764879</v>
      </c>
      <c r="N1707" s="43">
        <v>58.995402742046402</v>
      </c>
      <c r="O1707" s="43">
        <v>43.916716887965812</v>
      </c>
      <c r="P1707" s="43">
        <v>53.774364143577706</v>
      </c>
      <c r="Q1707" s="43">
        <v>42.744789650417033</v>
      </c>
      <c r="R1707" s="43">
        <v>52.296372162917706</v>
      </c>
      <c r="S1707" s="43">
        <v>50.675619134555625</v>
      </c>
      <c r="T1707" s="43">
        <v>49.244157129395532</v>
      </c>
      <c r="U1707" s="43">
        <v>47.701530563316886</v>
      </c>
      <c r="V1707" s="43">
        <v>47.700953244779463</v>
      </c>
      <c r="W1707" s="43">
        <v>47.700345043835391</v>
      </c>
      <c r="X1707" s="43">
        <v>47.699606233150249</v>
      </c>
      <c r="Y1707" s="43">
        <v>47.698784018498259</v>
      </c>
      <c r="Z1707" s="43">
        <v>47.698024235913145</v>
      </c>
      <c r="AA1707" s="43">
        <v>47.69713215264818</v>
      </c>
      <c r="AB1707" s="43">
        <v>47.696305897897624</v>
      </c>
      <c r="AC1707" s="43">
        <v>47.694333121626656</v>
      </c>
      <c r="AD1707" s="43">
        <v>47.692427257113664</v>
      </c>
      <c r="AE1707" s="43">
        <v>47.690461928368428</v>
      </c>
    </row>
    <row r="1708" spans="1:31" x14ac:dyDescent="0.45">
      <c r="A1708" t="s">
        <v>2853</v>
      </c>
      <c r="B1708" t="s">
        <v>2375</v>
      </c>
      <c r="C1708" t="s">
        <v>115</v>
      </c>
      <c r="D1708">
        <v>2</v>
      </c>
      <c r="E1708" t="s">
        <v>2851</v>
      </c>
      <c r="L1708" s="43">
        <v>66.453659723176557</v>
      </c>
      <c r="M1708" s="43">
        <v>68.485475215764879</v>
      </c>
      <c r="N1708" s="43">
        <v>58.995402742046402</v>
      </c>
      <c r="O1708" s="43">
        <v>43.916716887965812</v>
      </c>
      <c r="P1708" s="43">
        <v>53.774364143577706</v>
      </c>
      <c r="Q1708" s="43">
        <v>42.744789650417033</v>
      </c>
      <c r="R1708" s="43">
        <v>52.296372162917706</v>
      </c>
      <c r="S1708" s="43">
        <v>50.675619134555625</v>
      </c>
      <c r="T1708" s="43">
        <v>49.244157129395532</v>
      </c>
      <c r="U1708" s="43">
        <v>47.701530563316886</v>
      </c>
      <c r="V1708" s="43">
        <v>47.700953244779463</v>
      </c>
      <c r="W1708" s="43">
        <v>47.700345043835391</v>
      </c>
      <c r="X1708" s="43">
        <v>47.699606233150249</v>
      </c>
      <c r="Y1708" s="43">
        <v>47.698784018498259</v>
      </c>
      <c r="Z1708" s="43">
        <v>47.698024235913145</v>
      </c>
      <c r="AA1708" s="43">
        <v>47.69713215264818</v>
      </c>
      <c r="AB1708" s="43">
        <v>47.696305897897624</v>
      </c>
      <c r="AC1708" s="43">
        <v>47.694333121626656</v>
      </c>
      <c r="AD1708" s="43">
        <v>47.692427257113664</v>
      </c>
      <c r="AE1708" s="43">
        <v>47.690461928368428</v>
      </c>
    </row>
    <row r="1709" spans="1:31" x14ac:dyDescent="0.45">
      <c r="A1709" t="s">
        <v>2854</v>
      </c>
      <c r="B1709" t="s">
        <v>2375</v>
      </c>
      <c r="C1709" t="s">
        <v>117</v>
      </c>
      <c r="D1709">
        <v>2</v>
      </c>
      <c r="E1709" t="s">
        <v>2851</v>
      </c>
      <c r="L1709" s="43">
        <v>66.453659723176557</v>
      </c>
      <c r="M1709" s="43">
        <v>68.485475215764879</v>
      </c>
      <c r="N1709" s="43">
        <v>58.995402742046402</v>
      </c>
      <c r="O1709" s="43">
        <v>43.916716887965812</v>
      </c>
      <c r="P1709" s="43">
        <v>53.774364143577706</v>
      </c>
      <c r="Q1709" s="43">
        <v>42.744789650417033</v>
      </c>
      <c r="R1709" s="43">
        <v>52.296372162917706</v>
      </c>
      <c r="S1709" s="43">
        <v>50.675619134555625</v>
      </c>
      <c r="T1709" s="43">
        <v>49.244157129395532</v>
      </c>
      <c r="U1709" s="43">
        <v>47.701530563316886</v>
      </c>
      <c r="V1709" s="43">
        <v>47.700953244779463</v>
      </c>
      <c r="W1709" s="43">
        <v>47.700345043835391</v>
      </c>
      <c r="X1709" s="43">
        <v>47.699606233150249</v>
      </c>
      <c r="Y1709" s="43">
        <v>47.698784018498259</v>
      </c>
      <c r="Z1709" s="43">
        <v>47.698024235913145</v>
      </c>
      <c r="AA1709" s="43">
        <v>47.69713215264818</v>
      </c>
      <c r="AB1709" s="43">
        <v>47.696305897897624</v>
      </c>
      <c r="AC1709" s="43">
        <v>47.694333121626656</v>
      </c>
      <c r="AD1709" s="43">
        <v>47.692427257113664</v>
      </c>
      <c r="AE1709" s="43">
        <v>47.690461928368428</v>
      </c>
    </row>
    <row r="1710" spans="1:31" x14ac:dyDescent="0.45">
      <c r="A1710" t="s">
        <v>2855</v>
      </c>
      <c r="B1710" t="s">
        <v>110</v>
      </c>
      <c r="C1710" t="s">
        <v>2522</v>
      </c>
      <c r="D1710">
        <v>2</v>
      </c>
      <c r="E1710" t="s">
        <v>2856</v>
      </c>
      <c r="L1710" s="43">
        <v>47.016585657660869</v>
      </c>
      <c r="M1710" s="43">
        <v>48.583140104124077</v>
      </c>
      <c r="N1710" s="43">
        <v>50.203203500000001</v>
      </c>
      <c r="O1710" s="43">
        <v>51.878652142999996</v>
      </c>
      <c r="P1710" s="43">
        <v>53.611430083849996</v>
      </c>
      <c r="Q1710" s="43">
        <v>55.403551656613665</v>
      </c>
      <c r="R1710" s="43">
        <v>57.257104107200519</v>
      </c>
      <c r="S1710" s="43">
        <v>59.174250324032492</v>
      </c>
      <c r="T1710" s="43">
        <v>61.157231675010621</v>
      </c>
      <c r="U1710" s="43">
        <v>63.208370955098921</v>
      </c>
      <c r="V1710" s="43">
        <v>65.330075449025713</v>
      </c>
      <c r="W1710" s="43">
        <v>67.52484011379407</v>
      </c>
      <c r="X1710" s="43">
        <v>69.795250885892756</v>
      </c>
      <c r="Y1710" s="43">
        <v>72.143988118307959</v>
      </c>
      <c r="Z1710" s="43">
        <v>74.573830152653855</v>
      </c>
      <c r="AA1710" s="43">
        <v>77.087657031968206</v>
      </c>
      <c r="AB1710" s="43">
        <v>79.688454359956467</v>
      </c>
      <c r="AC1710" s="43">
        <v>82.37931731271712</v>
      </c>
      <c r="AD1710" s="43">
        <v>85.163454809240363</v>
      </c>
      <c r="AE1710" s="43">
        <v>88.044193847243605</v>
      </c>
    </row>
    <row r="1711" spans="1:31" x14ac:dyDescent="0.45">
      <c r="A1711" t="s">
        <v>2857</v>
      </c>
      <c r="B1711" t="s">
        <v>110</v>
      </c>
      <c r="C1711" t="s">
        <v>2522</v>
      </c>
      <c r="D1711">
        <v>2</v>
      </c>
      <c r="E1711" t="s">
        <v>2858</v>
      </c>
      <c r="L1711" s="43">
        <v>0</v>
      </c>
      <c r="M1711" s="43">
        <v>0</v>
      </c>
      <c r="N1711" s="43">
        <v>0</v>
      </c>
      <c r="O1711" s="43">
        <v>0</v>
      </c>
      <c r="P1711" s="43">
        <v>0</v>
      </c>
      <c r="Q1711" s="43">
        <v>0</v>
      </c>
      <c r="R1711" s="43">
        <v>509.47337239792239</v>
      </c>
      <c r="S1711" s="43">
        <v>526.52249777735665</v>
      </c>
      <c r="T1711" s="43">
        <v>544.16439410279168</v>
      </c>
      <c r="U1711" s="43">
        <v>562.42039302693104</v>
      </c>
      <c r="V1711" s="43">
        <v>581.31261830526603</v>
      </c>
      <c r="W1711" s="43">
        <v>600.86401606835852</v>
      </c>
      <c r="X1711" s="43">
        <v>621.09838628208365</v>
      </c>
      <c r="Y1711" s="43">
        <v>642.04041544359313</v>
      </c>
      <c r="Z1711" s="43">
        <v>663.71571056271546</v>
      </c>
      <c r="AA1711" s="43">
        <v>686.15083448056623</v>
      </c>
      <c r="AB1711" s="43">
        <v>709.37334257925841</v>
      </c>
      <c r="AC1711" s="43">
        <v>733.41182093883674</v>
      </c>
      <c r="AD1711" s="43">
        <v>758.29592599985813</v>
      </c>
      <c r="AE1711" s="43">
        <v>784.05642579246535</v>
      </c>
    </row>
    <row r="1712" spans="1:31" x14ac:dyDescent="0.45">
      <c r="A1712" t="s">
        <v>2859</v>
      </c>
      <c r="B1712" t="s">
        <v>110</v>
      </c>
      <c r="C1712" t="s">
        <v>2522</v>
      </c>
      <c r="D1712">
        <v>2</v>
      </c>
      <c r="E1712" t="s">
        <v>2860</v>
      </c>
      <c r="L1712" s="43">
        <v>0</v>
      </c>
      <c r="M1712" s="43">
        <v>0</v>
      </c>
      <c r="N1712" s="43">
        <v>0</v>
      </c>
      <c r="O1712" s="43">
        <v>0</v>
      </c>
      <c r="P1712" s="43">
        <v>0</v>
      </c>
      <c r="Q1712" s="43">
        <v>0</v>
      </c>
      <c r="R1712" s="43">
        <v>0</v>
      </c>
      <c r="S1712" s="43">
        <v>0</v>
      </c>
      <c r="T1712" s="43">
        <v>0</v>
      </c>
      <c r="U1712" s="43">
        <v>0</v>
      </c>
      <c r="V1712" s="43">
        <v>0</v>
      </c>
      <c r="W1712" s="43">
        <v>0</v>
      </c>
      <c r="X1712" s="43">
        <v>0</v>
      </c>
      <c r="Y1712" s="43">
        <v>0</v>
      </c>
      <c r="Z1712" s="43">
        <v>0</v>
      </c>
      <c r="AA1712" s="43">
        <v>0</v>
      </c>
      <c r="AB1712" s="43">
        <v>0</v>
      </c>
      <c r="AC1712" s="43">
        <v>0</v>
      </c>
      <c r="AD1712" s="43">
        <v>0</v>
      </c>
      <c r="AE1712" s="43">
        <v>0</v>
      </c>
    </row>
    <row r="1713" spans="1:31" x14ac:dyDescent="0.45">
      <c r="A1713" t="s">
        <v>2861</v>
      </c>
      <c r="B1713" t="s">
        <v>110</v>
      </c>
      <c r="C1713" t="s">
        <v>2522</v>
      </c>
      <c r="D1713">
        <v>2</v>
      </c>
      <c r="E1713" t="s">
        <v>2862</v>
      </c>
      <c r="L1713" s="43">
        <v>0</v>
      </c>
      <c r="M1713" s="43">
        <v>0</v>
      </c>
      <c r="N1713" s="43">
        <v>0</v>
      </c>
      <c r="O1713" s="43">
        <v>0</v>
      </c>
      <c r="P1713" s="43">
        <v>0</v>
      </c>
      <c r="Q1713" s="43">
        <v>0</v>
      </c>
      <c r="R1713" s="43">
        <v>509.47337239792239</v>
      </c>
      <c r="S1713" s="43">
        <v>526.52249777735665</v>
      </c>
      <c r="T1713" s="43">
        <v>544.16439410279168</v>
      </c>
      <c r="U1713" s="43">
        <v>562.42039302693104</v>
      </c>
      <c r="V1713" s="43">
        <v>581.31261830526603</v>
      </c>
      <c r="W1713" s="43">
        <v>600.86401606835852</v>
      </c>
      <c r="X1713" s="43">
        <v>621.09838628208365</v>
      </c>
      <c r="Y1713" s="43">
        <v>642.04041544359313</v>
      </c>
      <c r="Z1713" s="43">
        <v>663.71571056271546</v>
      </c>
      <c r="AA1713" s="43">
        <v>686.15083448056623</v>
      </c>
      <c r="AB1713" s="43">
        <v>709.37334257925841</v>
      </c>
      <c r="AC1713" s="43">
        <v>733.41182093883674</v>
      </c>
      <c r="AD1713" s="43">
        <v>758.29592599985813</v>
      </c>
      <c r="AE1713" s="43">
        <v>784.05642579246535</v>
      </c>
    </row>
    <row r="1714" spans="1:31" x14ac:dyDescent="0.45">
      <c r="A1714" t="s">
        <v>2863</v>
      </c>
      <c r="B1714" t="s">
        <v>110</v>
      </c>
      <c r="C1714" t="s">
        <v>2522</v>
      </c>
      <c r="D1714">
        <v>2</v>
      </c>
      <c r="E1714" t="s">
        <v>2864</v>
      </c>
      <c r="L1714" s="43">
        <v>14.019740964534272</v>
      </c>
      <c r="M1714" s="43">
        <v>11.739301230035998</v>
      </c>
      <c r="N1714" s="43">
        <v>13.303124518863104</v>
      </c>
      <c r="O1714" s="43">
        <v>14.156899598427017</v>
      </c>
      <c r="P1714" s="43">
        <v>14.286244741983563</v>
      </c>
      <c r="Q1714" s="43">
        <v>14.694194505017343</v>
      </c>
      <c r="R1714" s="43">
        <v>13.372471284389238</v>
      </c>
      <c r="S1714" s="43">
        <v>13.860348019977691</v>
      </c>
      <c r="T1714" s="43">
        <v>14.322100919094265</v>
      </c>
      <c r="U1714" s="43">
        <v>14.786693105898717</v>
      </c>
      <c r="V1714" s="43">
        <v>15.235174577847717</v>
      </c>
      <c r="W1714" s="43">
        <v>15.696887105864223</v>
      </c>
      <c r="X1714" s="43">
        <v>16.175638522314799</v>
      </c>
      <c r="Y1714" s="43">
        <v>16.676446578472209</v>
      </c>
      <c r="Z1714" s="43">
        <v>17.206962374246245</v>
      </c>
      <c r="AA1714" s="43">
        <v>17.77198401678017</v>
      </c>
      <c r="AB1714" s="43">
        <v>18.375251756238463</v>
      </c>
      <c r="AC1714" s="43">
        <v>19.017287803735954</v>
      </c>
      <c r="AD1714" s="43">
        <v>19.698568484950489</v>
      </c>
      <c r="AE1714" s="43">
        <v>20.420037937815266</v>
      </c>
    </row>
    <row r="1715" spans="1:31" x14ac:dyDescent="0.45">
      <c r="A1715" t="s">
        <v>2865</v>
      </c>
      <c r="B1715" t="s">
        <v>2822</v>
      </c>
      <c r="C1715" t="s">
        <v>2522</v>
      </c>
      <c r="D1715">
        <v>2</v>
      </c>
      <c r="E1715" t="s">
        <v>2823</v>
      </c>
      <c r="L1715" s="43">
        <v>0</v>
      </c>
      <c r="M1715" s="43">
        <v>0</v>
      </c>
      <c r="N1715" s="43">
        <v>0</v>
      </c>
      <c r="O1715" s="43">
        <v>0</v>
      </c>
      <c r="P1715" s="43">
        <v>0</v>
      </c>
      <c r="Q1715" s="43">
        <v>0</v>
      </c>
      <c r="R1715" s="43">
        <v>0</v>
      </c>
      <c r="S1715" s="43">
        <v>0</v>
      </c>
      <c r="T1715" s="43">
        <v>0</v>
      </c>
      <c r="U1715" s="43">
        <v>0</v>
      </c>
      <c r="V1715" s="43">
        <v>0</v>
      </c>
      <c r="W1715" s="43">
        <v>0</v>
      </c>
      <c r="X1715" s="43">
        <v>0</v>
      </c>
      <c r="Y1715" s="43">
        <v>0</v>
      </c>
      <c r="Z1715" s="43">
        <v>0</v>
      </c>
      <c r="AA1715" s="43">
        <v>0</v>
      </c>
      <c r="AB1715" s="43">
        <v>0</v>
      </c>
      <c r="AC1715" s="43">
        <v>0</v>
      </c>
      <c r="AD1715" s="43">
        <v>0</v>
      </c>
      <c r="AE1715" s="43">
        <v>0</v>
      </c>
    </row>
    <row r="1716" spans="1:31" x14ac:dyDescent="0.45">
      <c r="A1716" t="s">
        <v>2866</v>
      </c>
      <c r="B1716" t="s">
        <v>110</v>
      </c>
      <c r="C1716" t="s">
        <v>43</v>
      </c>
      <c r="D1716">
        <v>2</v>
      </c>
      <c r="E1716" t="s">
        <v>2867</v>
      </c>
      <c r="L1716" s="43">
        <v>1901.7140738122609</v>
      </c>
      <c r="M1716" s="43">
        <v>1621.2301769893743</v>
      </c>
      <c r="N1716" s="43">
        <v>1820.8469202303741</v>
      </c>
      <c r="O1716" s="43">
        <v>1904.3670376253485</v>
      </c>
      <c r="P1716" s="43">
        <v>1961.702021253242</v>
      </c>
      <c r="Q1716" s="43">
        <v>2038.9739202925941</v>
      </c>
      <c r="R1716" s="43">
        <v>1847.3650852128353</v>
      </c>
      <c r="S1716" s="43">
        <v>1927.6967656346794</v>
      </c>
      <c r="T1716" s="43">
        <v>2003.6478535386466</v>
      </c>
      <c r="U1716" s="43">
        <v>2080.420807425895</v>
      </c>
      <c r="V1716" s="43">
        <v>2158.1017458230463</v>
      </c>
      <c r="W1716" s="43">
        <v>2238.4314308137432</v>
      </c>
      <c r="X1716" s="43">
        <v>2322.0852782283118</v>
      </c>
      <c r="Y1716" s="43">
        <v>2409.9601076918048</v>
      </c>
      <c r="Z1716" s="43">
        <v>2503.4273650546652</v>
      </c>
      <c r="AA1716" s="43">
        <v>2603.380841256117</v>
      </c>
      <c r="AB1716" s="43">
        <v>2710.5421417180701</v>
      </c>
      <c r="AC1716" s="43">
        <v>2825.0739330466899</v>
      </c>
      <c r="AD1716" s="43">
        <v>2947.1310655860725</v>
      </c>
      <c r="AE1716" s="43">
        <v>3076.9518919077177</v>
      </c>
    </row>
    <row r="1717" spans="1:31" x14ac:dyDescent="0.45">
      <c r="A1717" t="s">
        <v>2868</v>
      </c>
      <c r="B1717" t="s">
        <v>110</v>
      </c>
      <c r="C1717" t="s">
        <v>113</v>
      </c>
      <c r="D1717">
        <v>2</v>
      </c>
      <c r="E1717" t="s">
        <v>2867</v>
      </c>
      <c r="L1717" s="43">
        <v>3210.4467592248702</v>
      </c>
      <c r="M1717" s="43">
        <v>2690.3404093921163</v>
      </c>
      <c r="N1717" s="43">
        <v>3047.5360888007326</v>
      </c>
      <c r="O1717" s="43">
        <v>3240.6928223889822</v>
      </c>
      <c r="P1717" s="43">
        <v>3273.2119677539522</v>
      </c>
      <c r="Q1717" s="43">
        <v>3368.228907853118</v>
      </c>
      <c r="R1717" s="43">
        <v>3064.6631828354202</v>
      </c>
      <c r="S1717" s="43">
        <v>3177.4158490906384</v>
      </c>
      <c r="T1717" s="43">
        <v>3284.1252951076308</v>
      </c>
      <c r="U1717" s="43">
        <v>3391.5167507993629</v>
      </c>
      <c r="V1717" s="43">
        <v>3495.4443719317869</v>
      </c>
      <c r="W1717" s="43">
        <v>3602.4640735657167</v>
      </c>
      <c r="X1717" s="43">
        <v>3713.4594095241946</v>
      </c>
      <c r="Y1717" s="43">
        <v>3829.5951733815596</v>
      </c>
      <c r="Z1717" s="43">
        <v>3952.6477392689649</v>
      </c>
      <c r="AA1717" s="43">
        <v>4083.733553983021</v>
      </c>
      <c r="AB1717" s="43">
        <v>4223.7247296458527</v>
      </c>
      <c r="AC1717" s="43">
        <v>4372.7475422680927</v>
      </c>
      <c r="AD1717" s="43">
        <v>4530.9176443081178</v>
      </c>
      <c r="AE1717" s="43">
        <v>4698.4592756394795</v>
      </c>
    </row>
    <row r="1718" spans="1:31" x14ac:dyDescent="0.45">
      <c r="A1718" t="s">
        <v>2869</v>
      </c>
      <c r="B1718" t="s">
        <v>110</v>
      </c>
      <c r="C1718" t="s">
        <v>115</v>
      </c>
      <c r="D1718">
        <v>2</v>
      </c>
      <c r="E1718" t="s">
        <v>2867</v>
      </c>
      <c r="L1718" s="43">
        <v>0</v>
      </c>
      <c r="M1718" s="43">
        <v>0</v>
      </c>
      <c r="N1718" s="43">
        <v>0</v>
      </c>
      <c r="O1718" s="43">
        <v>0</v>
      </c>
      <c r="P1718" s="43">
        <v>0</v>
      </c>
      <c r="Q1718" s="43">
        <v>0</v>
      </c>
      <c r="R1718" s="43">
        <v>0</v>
      </c>
      <c r="S1718" s="43">
        <v>0</v>
      </c>
      <c r="T1718" s="43">
        <v>0</v>
      </c>
      <c r="U1718" s="43">
        <v>0</v>
      </c>
      <c r="V1718" s="43">
        <v>0</v>
      </c>
      <c r="W1718" s="43">
        <v>0</v>
      </c>
      <c r="X1718" s="43">
        <v>0</v>
      </c>
      <c r="Y1718" s="43">
        <v>0</v>
      </c>
      <c r="Z1718" s="43">
        <v>0</v>
      </c>
      <c r="AA1718" s="43">
        <v>0</v>
      </c>
      <c r="AB1718" s="43">
        <v>0</v>
      </c>
      <c r="AC1718" s="43">
        <v>0</v>
      </c>
      <c r="AD1718" s="43">
        <v>0</v>
      </c>
      <c r="AE1718" s="43">
        <v>0</v>
      </c>
    </row>
    <row r="1719" spans="1:31" x14ac:dyDescent="0.45">
      <c r="A1719" t="s">
        <v>2870</v>
      </c>
      <c r="B1719" t="s">
        <v>110</v>
      </c>
      <c r="C1719" t="s">
        <v>117</v>
      </c>
      <c r="D1719">
        <v>2</v>
      </c>
      <c r="E1719" t="s">
        <v>2867</v>
      </c>
      <c r="L1719" s="43">
        <v>0</v>
      </c>
      <c r="M1719" s="43">
        <v>0</v>
      </c>
      <c r="N1719" s="43">
        <v>0</v>
      </c>
      <c r="O1719" s="43">
        <v>0</v>
      </c>
      <c r="P1719" s="43">
        <v>0</v>
      </c>
      <c r="Q1719" s="43">
        <v>0</v>
      </c>
      <c r="R1719" s="43">
        <v>0</v>
      </c>
      <c r="S1719" s="43">
        <v>0</v>
      </c>
      <c r="T1719" s="43">
        <v>0</v>
      </c>
      <c r="U1719" s="43">
        <v>0</v>
      </c>
      <c r="V1719" s="43">
        <v>0</v>
      </c>
      <c r="W1719" s="43">
        <v>0</v>
      </c>
      <c r="X1719" s="43">
        <v>0</v>
      </c>
      <c r="Y1719" s="43">
        <v>0</v>
      </c>
      <c r="Z1719" s="43">
        <v>0</v>
      </c>
      <c r="AA1719" s="43">
        <v>0</v>
      </c>
      <c r="AB1719" s="43">
        <v>0</v>
      </c>
      <c r="AC1719" s="43">
        <v>0</v>
      </c>
      <c r="AD1719" s="43">
        <v>0</v>
      </c>
      <c r="AE1719" s="43">
        <v>0</v>
      </c>
    </row>
    <row r="1720" spans="1:31" x14ac:dyDescent="0.45">
      <c r="A1720" t="s">
        <v>2871</v>
      </c>
      <c r="B1720" t="s">
        <v>2375</v>
      </c>
      <c r="C1720" t="s">
        <v>43</v>
      </c>
      <c r="D1720">
        <v>2</v>
      </c>
      <c r="E1720" t="s">
        <v>2872</v>
      </c>
      <c r="L1720" s="43">
        <v>66.453659723176557</v>
      </c>
      <c r="M1720" s="43">
        <v>68.485475215764879</v>
      </c>
      <c r="N1720" s="43">
        <v>58.995402742046402</v>
      </c>
      <c r="O1720" s="43">
        <v>43.916716887965812</v>
      </c>
      <c r="P1720" s="43">
        <v>53.774364143577706</v>
      </c>
      <c r="Q1720" s="43">
        <v>42.744789650417033</v>
      </c>
      <c r="R1720" s="43">
        <v>52.296372162917706</v>
      </c>
      <c r="S1720" s="43">
        <v>50.675619134555625</v>
      </c>
      <c r="T1720" s="43">
        <v>49.244157129395532</v>
      </c>
      <c r="U1720" s="43">
        <v>47.701530563316886</v>
      </c>
      <c r="V1720" s="43">
        <v>47.700953244779463</v>
      </c>
      <c r="W1720" s="43">
        <v>47.700345043835391</v>
      </c>
      <c r="X1720" s="43">
        <v>47.699606233150249</v>
      </c>
      <c r="Y1720" s="43">
        <v>47.698784018498259</v>
      </c>
      <c r="Z1720" s="43">
        <v>47.698024235913145</v>
      </c>
      <c r="AA1720" s="43">
        <v>47.69713215264818</v>
      </c>
      <c r="AB1720" s="43">
        <v>47.696305897897624</v>
      </c>
      <c r="AC1720" s="43">
        <v>47.694333121626656</v>
      </c>
      <c r="AD1720" s="43">
        <v>47.692427257113664</v>
      </c>
      <c r="AE1720" s="43">
        <v>47.690461928368428</v>
      </c>
    </row>
    <row r="1721" spans="1:31" x14ac:dyDescent="0.45">
      <c r="A1721" t="s">
        <v>2873</v>
      </c>
      <c r="B1721" t="s">
        <v>2375</v>
      </c>
      <c r="C1721" t="s">
        <v>113</v>
      </c>
      <c r="D1721">
        <v>2</v>
      </c>
      <c r="E1721" t="s">
        <v>2872</v>
      </c>
      <c r="L1721" s="43">
        <v>66.453659723176557</v>
      </c>
      <c r="M1721" s="43">
        <v>68.485475215764879</v>
      </c>
      <c r="N1721" s="43">
        <v>58.995402742046402</v>
      </c>
      <c r="O1721" s="43">
        <v>43.916716887965812</v>
      </c>
      <c r="P1721" s="43">
        <v>53.774364143577706</v>
      </c>
      <c r="Q1721" s="43">
        <v>42.744789650417033</v>
      </c>
      <c r="R1721" s="43">
        <v>52.296372162917706</v>
      </c>
      <c r="S1721" s="43">
        <v>50.675619134555625</v>
      </c>
      <c r="T1721" s="43">
        <v>49.244157129395532</v>
      </c>
      <c r="U1721" s="43">
        <v>47.701530563316886</v>
      </c>
      <c r="V1721" s="43">
        <v>47.700953244779463</v>
      </c>
      <c r="W1721" s="43">
        <v>47.700345043835391</v>
      </c>
      <c r="X1721" s="43">
        <v>47.699606233150249</v>
      </c>
      <c r="Y1721" s="43">
        <v>47.698784018498259</v>
      </c>
      <c r="Z1721" s="43">
        <v>47.698024235913145</v>
      </c>
      <c r="AA1721" s="43">
        <v>47.69713215264818</v>
      </c>
      <c r="AB1721" s="43">
        <v>47.696305897897624</v>
      </c>
      <c r="AC1721" s="43">
        <v>47.694333121626656</v>
      </c>
      <c r="AD1721" s="43">
        <v>47.692427257113664</v>
      </c>
      <c r="AE1721" s="43">
        <v>47.690461928368428</v>
      </c>
    </row>
    <row r="1722" spans="1:31" x14ac:dyDescent="0.45">
      <c r="A1722" t="s">
        <v>2874</v>
      </c>
      <c r="B1722" t="s">
        <v>2375</v>
      </c>
      <c r="C1722" t="s">
        <v>115</v>
      </c>
      <c r="D1722">
        <v>2</v>
      </c>
      <c r="E1722" t="s">
        <v>2872</v>
      </c>
      <c r="L1722" s="43">
        <v>66.453659723176557</v>
      </c>
      <c r="M1722" s="43">
        <v>68.485475215764879</v>
      </c>
      <c r="N1722" s="43">
        <v>58.995402742046402</v>
      </c>
      <c r="O1722" s="43">
        <v>43.916716887965812</v>
      </c>
      <c r="P1722" s="43">
        <v>53.774364143577706</v>
      </c>
      <c r="Q1722" s="43">
        <v>42.744789650417033</v>
      </c>
      <c r="R1722" s="43">
        <v>52.296372162917706</v>
      </c>
      <c r="S1722" s="43">
        <v>50.675619134555625</v>
      </c>
      <c r="T1722" s="43">
        <v>49.244157129395532</v>
      </c>
      <c r="U1722" s="43">
        <v>47.701530563316886</v>
      </c>
      <c r="V1722" s="43">
        <v>47.700953244779463</v>
      </c>
      <c r="W1722" s="43">
        <v>47.700345043835391</v>
      </c>
      <c r="X1722" s="43">
        <v>47.699606233150249</v>
      </c>
      <c r="Y1722" s="43">
        <v>47.698784018498259</v>
      </c>
      <c r="Z1722" s="43">
        <v>47.698024235913145</v>
      </c>
      <c r="AA1722" s="43">
        <v>47.69713215264818</v>
      </c>
      <c r="AB1722" s="43">
        <v>47.696305897897624</v>
      </c>
      <c r="AC1722" s="43">
        <v>47.694333121626656</v>
      </c>
      <c r="AD1722" s="43">
        <v>47.692427257113664</v>
      </c>
      <c r="AE1722" s="43">
        <v>47.690461928368428</v>
      </c>
    </row>
    <row r="1723" spans="1:31" x14ac:dyDescent="0.45">
      <c r="A1723" t="s">
        <v>2875</v>
      </c>
      <c r="B1723" t="s">
        <v>2375</v>
      </c>
      <c r="C1723" t="s">
        <v>117</v>
      </c>
      <c r="D1723">
        <v>2</v>
      </c>
      <c r="E1723" t="s">
        <v>2872</v>
      </c>
      <c r="L1723" s="43">
        <v>66.453659723176557</v>
      </c>
      <c r="M1723" s="43">
        <v>68.485475215764879</v>
      </c>
      <c r="N1723" s="43">
        <v>58.995402742046402</v>
      </c>
      <c r="O1723" s="43">
        <v>43.916716887965812</v>
      </c>
      <c r="P1723" s="43">
        <v>53.774364143577706</v>
      </c>
      <c r="Q1723" s="43">
        <v>42.744789650417033</v>
      </c>
      <c r="R1723" s="43">
        <v>52.296372162917706</v>
      </c>
      <c r="S1723" s="43">
        <v>50.675619134555625</v>
      </c>
      <c r="T1723" s="43">
        <v>49.244157129395532</v>
      </c>
      <c r="U1723" s="43">
        <v>47.701530563316886</v>
      </c>
      <c r="V1723" s="43">
        <v>47.700953244779463</v>
      </c>
      <c r="W1723" s="43">
        <v>47.700345043835391</v>
      </c>
      <c r="X1723" s="43">
        <v>47.699606233150249</v>
      </c>
      <c r="Y1723" s="43">
        <v>47.698784018498259</v>
      </c>
      <c r="Z1723" s="43">
        <v>47.698024235913145</v>
      </c>
      <c r="AA1723" s="43">
        <v>47.69713215264818</v>
      </c>
      <c r="AB1723" s="43">
        <v>47.696305897897624</v>
      </c>
      <c r="AC1723" s="43">
        <v>47.694333121626656</v>
      </c>
      <c r="AD1723" s="43">
        <v>47.692427257113664</v>
      </c>
      <c r="AE1723" s="43">
        <v>47.690461928368428</v>
      </c>
    </row>
    <row r="1724" spans="1:31" x14ac:dyDescent="0.45">
      <c r="A1724" t="s">
        <v>2876</v>
      </c>
      <c r="B1724" t="s">
        <v>110</v>
      </c>
      <c r="C1724" t="s">
        <v>2522</v>
      </c>
      <c r="D1724">
        <v>2</v>
      </c>
      <c r="E1724" t="s">
        <v>2877</v>
      </c>
      <c r="L1724" s="43">
        <v>47.016585657660869</v>
      </c>
      <c r="M1724" s="43">
        <v>48.583140104124077</v>
      </c>
      <c r="N1724" s="43">
        <v>50.203203500000001</v>
      </c>
      <c r="O1724" s="43">
        <v>51.878652142999996</v>
      </c>
      <c r="P1724" s="43">
        <v>53.611430083849996</v>
      </c>
      <c r="Q1724" s="43">
        <v>55.403551656613665</v>
      </c>
      <c r="R1724" s="43">
        <v>57.257104107200519</v>
      </c>
      <c r="S1724" s="43">
        <v>59.174250324032492</v>
      </c>
      <c r="T1724" s="43">
        <v>61.157231675010621</v>
      </c>
      <c r="U1724" s="43">
        <v>63.208370955098921</v>
      </c>
      <c r="V1724" s="43">
        <v>65.330075449025713</v>
      </c>
      <c r="W1724" s="43">
        <v>67.52484011379407</v>
      </c>
      <c r="X1724" s="43">
        <v>69.795250885892756</v>
      </c>
      <c r="Y1724" s="43">
        <v>72.143988118307959</v>
      </c>
      <c r="Z1724" s="43">
        <v>74.573830152653855</v>
      </c>
      <c r="AA1724" s="43">
        <v>77.087657031968206</v>
      </c>
      <c r="AB1724" s="43">
        <v>79.688454359956467</v>
      </c>
      <c r="AC1724" s="43">
        <v>82.37931731271712</v>
      </c>
      <c r="AD1724" s="43">
        <v>85.163454809240363</v>
      </c>
      <c r="AE1724" s="43">
        <v>88.044193847243605</v>
      </c>
    </row>
    <row r="1725" spans="1:31" x14ac:dyDescent="0.45">
      <c r="A1725" t="s">
        <v>2878</v>
      </c>
      <c r="B1725" t="s">
        <v>110</v>
      </c>
      <c r="C1725" t="s">
        <v>2522</v>
      </c>
      <c r="D1725">
        <v>2</v>
      </c>
      <c r="E1725" t="s">
        <v>2879</v>
      </c>
      <c r="L1725" s="43">
        <v>0</v>
      </c>
      <c r="M1725" s="43">
        <v>0</v>
      </c>
      <c r="N1725" s="43">
        <v>0</v>
      </c>
      <c r="O1725" s="43">
        <v>0</v>
      </c>
      <c r="P1725" s="43">
        <v>0</v>
      </c>
      <c r="Q1725" s="43">
        <v>0</v>
      </c>
      <c r="R1725" s="43">
        <v>509.47337239792239</v>
      </c>
      <c r="S1725" s="43">
        <v>526.52249777735665</v>
      </c>
      <c r="T1725" s="43">
        <v>544.16439410279168</v>
      </c>
      <c r="U1725" s="43">
        <v>562.42039302693104</v>
      </c>
      <c r="V1725" s="43">
        <v>581.31261830526603</v>
      </c>
      <c r="W1725" s="43">
        <v>600.86401606835852</v>
      </c>
      <c r="X1725" s="43">
        <v>621.09838628208365</v>
      </c>
      <c r="Y1725" s="43">
        <v>642.04041544359313</v>
      </c>
      <c r="Z1725" s="43">
        <v>663.71571056271546</v>
      </c>
      <c r="AA1725" s="43">
        <v>686.15083448056623</v>
      </c>
      <c r="AB1725" s="43">
        <v>709.37334257925841</v>
      </c>
      <c r="AC1725" s="43">
        <v>733.41182093883674</v>
      </c>
      <c r="AD1725" s="43">
        <v>758.29592599985813</v>
      </c>
      <c r="AE1725" s="43">
        <v>784.05642579246535</v>
      </c>
    </row>
    <row r="1726" spans="1:31" x14ac:dyDescent="0.45">
      <c r="A1726" t="s">
        <v>2880</v>
      </c>
      <c r="B1726" t="s">
        <v>110</v>
      </c>
      <c r="C1726" t="s">
        <v>2522</v>
      </c>
      <c r="D1726">
        <v>2</v>
      </c>
      <c r="E1726" t="s">
        <v>2881</v>
      </c>
      <c r="L1726" s="43">
        <v>0</v>
      </c>
      <c r="M1726" s="43">
        <v>0</v>
      </c>
      <c r="N1726" s="43">
        <v>0</v>
      </c>
      <c r="O1726" s="43">
        <v>0</v>
      </c>
      <c r="P1726" s="43">
        <v>0</v>
      </c>
      <c r="Q1726" s="43">
        <v>0</v>
      </c>
      <c r="R1726" s="43">
        <v>0</v>
      </c>
      <c r="S1726" s="43">
        <v>0</v>
      </c>
      <c r="T1726" s="43">
        <v>0</v>
      </c>
      <c r="U1726" s="43">
        <v>0</v>
      </c>
      <c r="V1726" s="43">
        <v>0</v>
      </c>
      <c r="W1726" s="43">
        <v>0</v>
      </c>
      <c r="X1726" s="43">
        <v>0</v>
      </c>
      <c r="Y1726" s="43">
        <v>0</v>
      </c>
      <c r="Z1726" s="43">
        <v>0</v>
      </c>
      <c r="AA1726" s="43">
        <v>0</v>
      </c>
      <c r="AB1726" s="43">
        <v>0</v>
      </c>
      <c r="AC1726" s="43">
        <v>0</v>
      </c>
      <c r="AD1726" s="43">
        <v>0</v>
      </c>
      <c r="AE1726" s="43">
        <v>0</v>
      </c>
    </row>
    <row r="1727" spans="1:31" x14ac:dyDescent="0.45">
      <c r="A1727" t="s">
        <v>2882</v>
      </c>
      <c r="B1727" t="s">
        <v>110</v>
      </c>
      <c r="C1727" t="s">
        <v>2522</v>
      </c>
      <c r="D1727">
        <v>2</v>
      </c>
      <c r="E1727" t="s">
        <v>2883</v>
      </c>
      <c r="L1727" s="43">
        <v>0</v>
      </c>
      <c r="M1727" s="43">
        <v>0</v>
      </c>
      <c r="N1727" s="43">
        <v>0</v>
      </c>
      <c r="O1727" s="43">
        <v>0</v>
      </c>
      <c r="P1727" s="43">
        <v>0</v>
      </c>
      <c r="Q1727" s="43">
        <v>0</v>
      </c>
      <c r="R1727" s="43">
        <v>509.47337239792239</v>
      </c>
      <c r="S1727" s="43">
        <v>526.52249777735665</v>
      </c>
      <c r="T1727" s="43">
        <v>544.16439410279168</v>
      </c>
      <c r="U1727" s="43">
        <v>562.42039302693104</v>
      </c>
      <c r="V1727" s="43">
        <v>581.31261830526603</v>
      </c>
      <c r="W1727" s="43">
        <v>600.86401606835852</v>
      </c>
      <c r="X1727" s="43">
        <v>621.09838628208365</v>
      </c>
      <c r="Y1727" s="43">
        <v>642.04041544359313</v>
      </c>
      <c r="Z1727" s="43">
        <v>663.71571056271546</v>
      </c>
      <c r="AA1727" s="43">
        <v>686.15083448056623</v>
      </c>
      <c r="AB1727" s="43">
        <v>709.37334257925841</v>
      </c>
      <c r="AC1727" s="43">
        <v>733.41182093883674</v>
      </c>
      <c r="AD1727" s="43">
        <v>758.29592599985813</v>
      </c>
      <c r="AE1727" s="43">
        <v>784.05642579246535</v>
      </c>
    </row>
    <row r="1728" spans="1:31" x14ac:dyDescent="0.45">
      <c r="A1728" t="s">
        <v>2884</v>
      </c>
      <c r="B1728" t="s">
        <v>110</v>
      </c>
      <c r="C1728" t="s">
        <v>2522</v>
      </c>
      <c r="D1728">
        <v>2</v>
      </c>
      <c r="E1728" t="s">
        <v>2885</v>
      </c>
      <c r="L1728" s="43">
        <v>14.019740964534272</v>
      </c>
      <c r="M1728" s="43">
        <v>11.739301230035998</v>
      </c>
      <c r="N1728" s="43">
        <v>13.303124518863104</v>
      </c>
      <c r="O1728" s="43">
        <v>14.156899598427017</v>
      </c>
      <c r="P1728" s="43">
        <v>14.286244741983563</v>
      </c>
      <c r="Q1728" s="43">
        <v>14.694194505017343</v>
      </c>
      <c r="R1728" s="43">
        <v>13.372471284389238</v>
      </c>
      <c r="S1728" s="43">
        <v>13.860348019977691</v>
      </c>
      <c r="T1728" s="43">
        <v>14.322100919094265</v>
      </c>
      <c r="U1728" s="43">
        <v>14.786693105898717</v>
      </c>
      <c r="V1728" s="43">
        <v>15.235174577847717</v>
      </c>
      <c r="W1728" s="43">
        <v>15.696887105864223</v>
      </c>
      <c r="X1728" s="43">
        <v>16.175638522314799</v>
      </c>
      <c r="Y1728" s="43">
        <v>16.676446578472209</v>
      </c>
      <c r="Z1728" s="43">
        <v>17.206962374246245</v>
      </c>
      <c r="AA1728" s="43">
        <v>17.77198401678017</v>
      </c>
      <c r="AB1728" s="43">
        <v>18.375251756238463</v>
      </c>
      <c r="AC1728" s="43">
        <v>19.017287803735954</v>
      </c>
      <c r="AD1728" s="43">
        <v>19.698568484950489</v>
      </c>
      <c r="AE1728" s="43">
        <v>20.420037937815266</v>
      </c>
    </row>
    <row r="1729" spans="1:31" x14ac:dyDescent="0.45">
      <c r="A1729" t="s">
        <v>2886</v>
      </c>
      <c r="B1729" t="s">
        <v>2822</v>
      </c>
      <c r="C1729" t="s">
        <v>2522</v>
      </c>
      <c r="D1729">
        <v>2</v>
      </c>
      <c r="E1729" t="s">
        <v>2823</v>
      </c>
      <c r="L1729" s="43">
        <v>0</v>
      </c>
      <c r="M1729" s="43">
        <v>0</v>
      </c>
      <c r="N1729" s="43">
        <v>0</v>
      </c>
      <c r="O1729" s="43">
        <v>0</v>
      </c>
      <c r="P1729" s="43">
        <v>0</v>
      </c>
      <c r="Q1729" s="43">
        <v>0</v>
      </c>
      <c r="R1729" s="43">
        <v>0</v>
      </c>
      <c r="S1729" s="43">
        <v>0</v>
      </c>
      <c r="T1729" s="43">
        <v>0</v>
      </c>
      <c r="U1729" s="43">
        <v>0</v>
      </c>
      <c r="V1729" s="43">
        <v>0</v>
      </c>
      <c r="W1729" s="43">
        <v>0</v>
      </c>
      <c r="X1729" s="43">
        <v>0</v>
      </c>
      <c r="Y1729" s="43">
        <v>0</v>
      </c>
      <c r="Z1729" s="43">
        <v>0</v>
      </c>
      <c r="AA1729" s="43">
        <v>0</v>
      </c>
      <c r="AB1729" s="43">
        <v>0</v>
      </c>
      <c r="AC1729" s="43">
        <v>0</v>
      </c>
      <c r="AD1729" s="43">
        <v>0</v>
      </c>
      <c r="AE1729" s="43">
        <v>0</v>
      </c>
    </row>
    <row r="1730" spans="1:31" x14ac:dyDescent="0.45">
      <c r="A1730" t="s">
        <v>2887</v>
      </c>
      <c r="B1730" t="s">
        <v>110</v>
      </c>
      <c r="C1730" t="s">
        <v>43</v>
      </c>
      <c r="D1730">
        <v>2</v>
      </c>
      <c r="E1730" t="s">
        <v>2888</v>
      </c>
      <c r="L1730" s="43">
        <v>1901.7140738122609</v>
      </c>
      <c r="M1730" s="43">
        <v>1621.2301769893743</v>
      </c>
      <c r="N1730" s="43">
        <v>1820.8469202303741</v>
      </c>
      <c r="O1730" s="43">
        <v>1904.3670376253485</v>
      </c>
      <c r="P1730" s="43">
        <v>1961.702021253242</v>
      </c>
      <c r="Q1730" s="43">
        <v>2038.9739202925941</v>
      </c>
      <c r="R1730" s="43">
        <v>2053.7524223291048</v>
      </c>
      <c r="S1730" s="43">
        <v>2028.7258545687616</v>
      </c>
      <c r="T1730" s="43">
        <v>2003.6478535386473</v>
      </c>
      <c r="U1730" s="43">
        <v>1983.2706278023495</v>
      </c>
      <c r="V1730" s="43">
        <v>1966.960491119863</v>
      </c>
      <c r="W1730" s="43">
        <v>1955.5819635673633</v>
      </c>
      <c r="X1730" s="43">
        <v>1949.000028543926</v>
      </c>
      <c r="Y1730" s="43">
        <v>1947.3059514210311</v>
      </c>
      <c r="Z1730" s="43">
        <v>1950.9693766450584</v>
      </c>
      <c r="AA1730" s="43">
        <v>1960.0564283126205</v>
      </c>
      <c r="AB1730" s="43">
        <v>1974.5170929136352</v>
      </c>
      <c r="AC1730" s="43">
        <v>1993.9297991003125</v>
      </c>
      <c r="AD1730" s="43">
        <v>2017.9315635538314</v>
      </c>
      <c r="AE1730" s="43">
        <v>2046.2675129889969</v>
      </c>
    </row>
    <row r="1731" spans="1:31" x14ac:dyDescent="0.45">
      <c r="A1731" t="s">
        <v>2889</v>
      </c>
      <c r="B1731" t="s">
        <v>110</v>
      </c>
      <c r="C1731" t="s">
        <v>113</v>
      </c>
      <c r="D1731">
        <v>2</v>
      </c>
      <c r="E1731" t="s">
        <v>2888</v>
      </c>
      <c r="L1731" s="43">
        <v>3210.4467592248702</v>
      </c>
      <c r="M1731" s="43">
        <v>2690.3404093921163</v>
      </c>
      <c r="N1731" s="43">
        <v>3047.5360888007326</v>
      </c>
      <c r="O1731" s="43">
        <v>3240.6928223889822</v>
      </c>
      <c r="P1731" s="43">
        <v>3273.2119677539522</v>
      </c>
      <c r="Q1731" s="43">
        <v>3368.228907853118</v>
      </c>
      <c r="R1731" s="43">
        <v>3379.4779585853985</v>
      </c>
      <c r="S1731" s="43">
        <v>3331.2392751518291</v>
      </c>
      <c r="T1731" s="43">
        <v>3284.1252951076317</v>
      </c>
      <c r="U1731" s="43">
        <v>3244.0426318203517</v>
      </c>
      <c r="V1731" s="43">
        <v>3206.5962688425279</v>
      </c>
      <c r="W1731" s="43">
        <v>3176.9586228001854</v>
      </c>
      <c r="X1731" s="43">
        <v>3154.7672508666237</v>
      </c>
      <c r="Y1731" s="43">
        <v>3139.9898420802028</v>
      </c>
      <c r="Z1731" s="43">
        <v>3133.1186800267096</v>
      </c>
      <c r="AA1731" s="43">
        <v>3134.112488762697</v>
      </c>
      <c r="AB1731" s="43">
        <v>3142.7839499983083</v>
      </c>
      <c r="AC1731" s="43">
        <v>3158.4600343757443</v>
      </c>
      <c r="AD1731" s="43">
        <v>3180.5588326837142</v>
      </c>
      <c r="AE1731" s="43">
        <v>3208.6530755839376</v>
      </c>
    </row>
    <row r="1732" spans="1:31" x14ac:dyDescent="0.45">
      <c r="A1732" t="s">
        <v>2890</v>
      </c>
      <c r="B1732" t="s">
        <v>110</v>
      </c>
      <c r="C1732" t="s">
        <v>115</v>
      </c>
      <c r="D1732">
        <v>2</v>
      </c>
      <c r="E1732" t="s">
        <v>2888</v>
      </c>
      <c r="L1732" s="43">
        <v>0</v>
      </c>
      <c r="M1732" s="43">
        <v>0</v>
      </c>
      <c r="N1732" s="43">
        <v>0</v>
      </c>
      <c r="O1732" s="43">
        <v>0</v>
      </c>
      <c r="P1732" s="43">
        <v>0</v>
      </c>
      <c r="Q1732" s="43">
        <v>0</v>
      </c>
      <c r="R1732" s="43">
        <v>0</v>
      </c>
      <c r="S1732" s="43">
        <v>0</v>
      </c>
      <c r="T1732" s="43">
        <v>0</v>
      </c>
      <c r="U1732" s="43">
        <v>0</v>
      </c>
      <c r="V1732" s="43">
        <v>0</v>
      </c>
      <c r="W1732" s="43">
        <v>0</v>
      </c>
      <c r="X1732" s="43">
        <v>0</v>
      </c>
      <c r="Y1732" s="43">
        <v>0</v>
      </c>
      <c r="Z1732" s="43">
        <v>0</v>
      </c>
      <c r="AA1732" s="43">
        <v>0</v>
      </c>
      <c r="AB1732" s="43">
        <v>0</v>
      </c>
      <c r="AC1732" s="43">
        <v>0</v>
      </c>
      <c r="AD1732" s="43">
        <v>0</v>
      </c>
      <c r="AE1732" s="43">
        <v>0</v>
      </c>
    </row>
    <row r="1733" spans="1:31" x14ac:dyDescent="0.45">
      <c r="A1733" t="s">
        <v>2891</v>
      </c>
      <c r="B1733" t="s">
        <v>110</v>
      </c>
      <c r="C1733" t="s">
        <v>117</v>
      </c>
      <c r="D1733">
        <v>2</v>
      </c>
      <c r="E1733" t="s">
        <v>2888</v>
      </c>
      <c r="L1733" s="43">
        <v>0</v>
      </c>
      <c r="M1733" s="43">
        <v>0</v>
      </c>
      <c r="N1733" s="43">
        <v>0</v>
      </c>
      <c r="O1733" s="43">
        <v>0</v>
      </c>
      <c r="P1733" s="43">
        <v>0</v>
      </c>
      <c r="Q1733" s="43">
        <v>0</v>
      </c>
      <c r="R1733" s="43">
        <v>0</v>
      </c>
      <c r="S1733" s="43">
        <v>0</v>
      </c>
      <c r="T1733" s="43">
        <v>0</v>
      </c>
      <c r="U1733" s="43">
        <v>0</v>
      </c>
      <c r="V1733" s="43">
        <v>0</v>
      </c>
      <c r="W1733" s="43">
        <v>0</v>
      </c>
      <c r="X1733" s="43">
        <v>0</v>
      </c>
      <c r="Y1733" s="43">
        <v>0</v>
      </c>
      <c r="Z1733" s="43">
        <v>0</v>
      </c>
      <c r="AA1733" s="43">
        <v>0</v>
      </c>
      <c r="AB1733" s="43">
        <v>0</v>
      </c>
      <c r="AC1733" s="43">
        <v>0</v>
      </c>
      <c r="AD1733" s="43">
        <v>0</v>
      </c>
      <c r="AE1733" s="43">
        <v>0</v>
      </c>
    </row>
    <row r="1734" spans="1:31" x14ac:dyDescent="0.45">
      <c r="A1734" t="s">
        <v>2892</v>
      </c>
      <c r="B1734" t="s">
        <v>2375</v>
      </c>
      <c r="C1734" t="s">
        <v>43</v>
      </c>
      <c r="D1734">
        <v>2</v>
      </c>
      <c r="E1734" t="s">
        <v>2893</v>
      </c>
      <c r="L1734" s="43">
        <v>66.453659723176557</v>
      </c>
      <c r="M1734" s="43">
        <v>68.485475215764879</v>
      </c>
      <c r="N1734" s="43">
        <v>58.995402742046402</v>
      </c>
      <c r="O1734" s="43">
        <v>43.916716887965812</v>
      </c>
      <c r="P1734" s="43">
        <v>53.774364143577706</v>
      </c>
      <c r="Q1734" s="43">
        <v>42.744789650417033</v>
      </c>
      <c r="R1734" s="43">
        <v>42.779072328836371</v>
      </c>
      <c r="S1734" s="43">
        <v>45.916969217514961</v>
      </c>
      <c r="T1734" s="43">
        <v>49.244157129395532</v>
      </c>
      <c r="U1734" s="43">
        <v>52.460180480357558</v>
      </c>
      <c r="V1734" s="43">
        <v>57.218253078860805</v>
      </c>
      <c r="W1734" s="43">
        <v>61.976294794957397</v>
      </c>
      <c r="X1734" s="43">
        <v>66.734205901312919</v>
      </c>
      <c r="Y1734" s="43">
        <v>71.4920336037016</v>
      </c>
      <c r="Z1734" s="43">
        <v>76.24992373815715</v>
      </c>
      <c r="AA1734" s="43">
        <v>81.007681571932849</v>
      </c>
      <c r="AB1734" s="43">
        <v>85.765505234222971</v>
      </c>
      <c r="AC1734" s="43">
        <v>90.522182374992653</v>
      </c>
      <c r="AD1734" s="43">
        <v>95.278926427520332</v>
      </c>
      <c r="AE1734" s="43">
        <v>100.03561101581576</v>
      </c>
    </row>
    <row r="1735" spans="1:31" x14ac:dyDescent="0.45">
      <c r="A1735" t="s">
        <v>2894</v>
      </c>
      <c r="B1735" t="s">
        <v>2375</v>
      </c>
      <c r="C1735" t="s">
        <v>113</v>
      </c>
      <c r="D1735">
        <v>2</v>
      </c>
      <c r="E1735" t="s">
        <v>2893</v>
      </c>
      <c r="L1735" s="43">
        <v>66.453659723176557</v>
      </c>
      <c r="M1735" s="43">
        <v>68.485475215764879</v>
      </c>
      <c r="N1735" s="43">
        <v>58.995402742046402</v>
      </c>
      <c r="O1735" s="43">
        <v>43.916716887965812</v>
      </c>
      <c r="P1735" s="43">
        <v>53.774364143577706</v>
      </c>
      <c r="Q1735" s="43">
        <v>42.744789650417033</v>
      </c>
      <c r="R1735" s="43">
        <v>42.779072328836371</v>
      </c>
      <c r="S1735" s="43">
        <v>45.916969217514961</v>
      </c>
      <c r="T1735" s="43">
        <v>49.244157129395532</v>
      </c>
      <c r="U1735" s="43">
        <v>52.460180480357558</v>
      </c>
      <c r="V1735" s="43">
        <v>57.218253078860805</v>
      </c>
      <c r="W1735" s="43">
        <v>61.976294794957397</v>
      </c>
      <c r="X1735" s="43">
        <v>66.734205901312919</v>
      </c>
      <c r="Y1735" s="43">
        <v>71.4920336037016</v>
      </c>
      <c r="Z1735" s="43">
        <v>76.24992373815715</v>
      </c>
      <c r="AA1735" s="43">
        <v>81.007681571932849</v>
      </c>
      <c r="AB1735" s="43">
        <v>85.765505234222971</v>
      </c>
      <c r="AC1735" s="43">
        <v>90.522182374992653</v>
      </c>
      <c r="AD1735" s="43">
        <v>95.278926427520332</v>
      </c>
      <c r="AE1735" s="43">
        <v>100.03561101581576</v>
      </c>
    </row>
    <row r="1736" spans="1:31" x14ac:dyDescent="0.45">
      <c r="A1736" t="s">
        <v>2895</v>
      </c>
      <c r="B1736" t="s">
        <v>2375</v>
      </c>
      <c r="C1736" t="s">
        <v>115</v>
      </c>
      <c r="D1736">
        <v>2</v>
      </c>
      <c r="E1736" t="s">
        <v>2893</v>
      </c>
      <c r="L1736" s="43">
        <v>66.453659723176557</v>
      </c>
      <c r="M1736" s="43">
        <v>68.485475215764879</v>
      </c>
      <c r="N1736" s="43">
        <v>58.995402742046402</v>
      </c>
      <c r="O1736" s="43">
        <v>43.916716887965812</v>
      </c>
      <c r="P1736" s="43">
        <v>53.774364143577706</v>
      </c>
      <c r="Q1736" s="43">
        <v>42.744789650417033</v>
      </c>
      <c r="R1736" s="43">
        <v>42.779072328836371</v>
      </c>
      <c r="S1736" s="43">
        <v>45.916969217514961</v>
      </c>
      <c r="T1736" s="43">
        <v>49.244157129395532</v>
      </c>
      <c r="U1736" s="43">
        <v>52.460180480357558</v>
      </c>
      <c r="V1736" s="43">
        <v>57.218253078860805</v>
      </c>
      <c r="W1736" s="43">
        <v>61.976294794957397</v>
      </c>
      <c r="X1736" s="43">
        <v>66.734205901312919</v>
      </c>
      <c r="Y1736" s="43">
        <v>71.4920336037016</v>
      </c>
      <c r="Z1736" s="43">
        <v>76.24992373815715</v>
      </c>
      <c r="AA1736" s="43">
        <v>81.007681571932849</v>
      </c>
      <c r="AB1736" s="43">
        <v>85.765505234222971</v>
      </c>
      <c r="AC1736" s="43">
        <v>90.522182374992653</v>
      </c>
      <c r="AD1736" s="43">
        <v>95.278926427520332</v>
      </c>
      <c r="AE1736" s="43">
        <v>100.03561101581576</v>
      </c>
    </row>
    <row r="1737" spans="1:31" x14ac:dyDescent="0.45">
      <c r="A1737" t="s">
        <v>2896</v>
      </c>
      <c r="B1737" t="s">
        <v>2375</v>
      </c>
      <c r="C1737" t="s">
        <v>117</v>
      </c>
      <c r="D1737">
        <v>2</v>
      </c>
      <c r="E1737" t="s">
        <v>2893</v>
      </c>
      <c r="L1737" s="43">
        <v>66.453659723176557</v>
      </c>
      <c r="M1737" s="43">
        <v>68.485475215764879</v>
      </c>
      <c r="N1737" s="43">
        <v>58.995402742046402</v>
      </c>
      <c r="O1737" s="43">
        <v>43.916716887965812</v>
      </c>
      <c r="P1737" s="43">
        <v>53.774364143577706</v>
      </c>
      <c r="Q1737" s="43">
        <v>42.744789650417033</v>
      </c>
      <c r="R1737" s="43">
        <v>42.779072328836371</v>
      </c>
      <c r="S1737" s="43">
        <v>45.916969217514961</v>
      </c>
      <c r="T1737" s="43">
        <v>49.244157129395532</v>
      </c>
      <c r="U1737" s="43">
        <v>52.460180480357558</v>
      </c>
      <c r="V1737" s="43">
        <v>57.218253078860805</v>
      </c>
      <c r="W1737" s="43">
        <v>61.976294794957397</v>
      </c>
      <c r="X1737" s="43">
        <v>66.734205901312919</v>
      </c>
      <c r="Y1737" s="43">
        <v>71.4920336037016</v>
      </c>
      <c r="Z1737" s="43">
        <v>76.24992373815715</v>
      </c>
      <c r="AA1737" s="43">
        <v>81.007681571932849</v>
      </c>
      <c r="AB1737" s="43">
        <v>85.765505234222971</v>
      </c>
      <c r="AC1737" s="43">
        <v>90.522182374992653</v>
      </c>
      <c r="AD1737" s="43">
        <v>95.278926427520332</v>
      </c>
      <c r="AE1737" s="43">
        <v>100.03561101581576</v>
      </c>
    </row>
    <row r="1738" spans="1:31" x14ac:dyDescent="0.45">
      <c r="A1738" t="s">
        <v>2897</v>
      </c>
      <c r="B1738" t="s">
        <v>110</v>
      </c>
      <c r="C1738" t="s">
        <v>2522</v>
      </c>
      <c r="D1738">
        <v>2</v>
      </c>
      <c r="E1738" t="s">
        <v>2898</v>
      </c>
      <c r="L1738" s="43">
        <v>47.016585657660869</v>
      </c>
      <c r="M1738" s="43">
        <v>48.583140104124077</v>
      </c>
      <c r="N1738" s="43">
        <v>50.203203500000001</v>
      </c>
      <c r="O1738" s="43">
        <v>51.878652142999996</v>
      </c>
      <c r="P1738" s="43">
        <v>53.611430083849996</v>
      </c>
      <c r="Q1738" s="43">
        <v>55.403551656613665</v>
      </c>
      <c r="R1738" s="43">
        <v>57.095049615461427</v>
      </c>
      <c r="S1738" s="43">
        <v>58.760601043372631</v>
      </c>
      <c r="T1738" s="43">
        <v>60.481178848453411</v>
      </c>
      <c r="U1738" s="43">
        <v>62.258422369008848</v>
      </c>
      <c r="V1738" s="43">
        <v>64.094036511299521</v>
      </c>
      <c r="W1738" s="43">
        <v>65.989793600870058</v>
      </c>
      <c r="X1738" s="43">
        <v>67.947535333346224</v>
      </c>
      <c r="Y1738" s="43">
        <v>69.969174826986062</v>
      </c>
      <c r="Z1738" s="43">
        <v>72.056698779456639</v>
      </c>
      <c r="AA1738" s="43">
        <v>74.212169731498349</v>
      </c>
      <c r="AB1738" s="43">
        <v>76.437728440330446</v>
      </c>
      <c r="AC1738" s="43">
        <v>78.735596365847528</v>
      </c>
      <c r="AD1738" s="43">
        <v>81.108078272856801</v>
      </c>
      <c r="AE1738" s="43">
        <v>83.557564952810168</v>
      </c>
    </row>
    <row r="1739" spans="1:31" x14ac:dyDescent="0.45">
      <c r="A1739" t="s">
        <v>2899</v>
      </c>
      <c r="B1739" t="s">
        <v>110</v>
      </c>
      <c r="C1739" t="s">
        <v>2522</v>
      </c>
      <c r="D1739">
        <v>2</v>
      </c>
      <c r="E1739" t="s">
        <v>2900</v>
      </c>
      <c r="L1739" s="43">
        <v>0</v>
      </c>
      <c r="M1739" s="43">
        <v>0</v>
      </c>
      <c r="N1739" s="43">
        <v>0</v>
      </c>
      <c r="O1739" s="43">
        <v>0</v>
      </c>
      <c r="P1739" s="43">
        <v>0</v>
      </c>
      <c r="Q1739" s="43">
        <v>0</v>
      </c>
      <c r="R1739" s="43">
        <v>285.47524807730713</v>
      </c>
      <c r="S1739" s="43">
        <v>734.50751304215794</v>
      </c>
      <c r="T1739" s="43">
        <v>1209.6235769690682</v>
      </c>
      <c r="U1739" s="43">
        <v>1712.1066151477435</v>
      </c>
      <c r="V1739" s="43">
        <v>2243.2912778954828</v>
      </c>
      <c r="W1739" s="43">
        <v>2804.566228036977</v>
      </c>
      <c r="X1739" s="43">
        <v>3397.3767666673111</v>
      </c>
      <c r="Y1739" s="43">
        <v>4023.2275525516989</v>
      </c>
      <c r="Z1739" s="43">
        <v>4683.6854206646813</v>
      </c>
      <c r="AA1739" s="43">
        <v>5380.3823055336297</v>
      </c>
      <c r="AB1739" s="43">
        <v>6115.0182752264373</v>
      </c>
      <c r="AC1739" s="43">
        <v>6889.3646820116583</v>
      </c>
      <c r="AD1739" s="43">
        <v>7705.2674359213961</v>
      </c>
      <c r="AE1739" s="43">
        <v>8564.6504076630426</v>
      </c>
    </row>
    <row r="1740" spans="1:31" x14ac:dyDescent="0.45">
      <c r="A1740" t="s">
        <v>2901</v>
      </c>
      <c r="B1740" t="s">
        <v>110</v>
      </c>
      <c r="C1740" t="s">
        <v>2522</v>
      </c>
      <c r="D1740">
        <v>2</v>
      </c>
      <c r="E1740" t="s">
        <v>2902</v>
      </c>
      <c r="L1740" s="43">
        <v>0</v>
      </c>
      <c r="M1740" s="43">
        <v>0</v>
      </c>
      <c r="N1740" s="43">
        <v>0</v>
      </c>
      <c r="O1740" s="43">
        <v>0</v>
      </c>
      <c r="P1740" s="43">
        <v>0</v>
      </c>
      <c r="Q1740" s="43">
        <v>0</v>
      </c>
      <c r="R1740" s="43">
        <v>0</v>
      </c>
      <c r="S1740" s="43">
        <v>0</v>
      </c>
      <c r="T1740" s="43">
        <v>0</v>
      </c>
      <c r="U1740" s="43">
        <v>0</v>
      </c>
      <c r="V1740" s="43">
        <v>0</v>
      </c>
      <c r="W1740" s="43">
        <v>0</v>
      </c>
      <c r="X1740" s="43">
        <v>0</v>
      </c>
      <c r="Y1740" s="43">
        <v>0</v>
      </c>
      <c r="Z1740" s="43">
        <v>0</v>
      </c>
      <c r="AA1740" s="43">
        <v>0</v>
      </c>
      <c r="AB1740" s="43">
        <v>0</v>
      </c>
      <c r="AC1740" s="43">
        <v>0</v>
      </c>
      <c r="AD1740" s="43">
        <v>0</v>
      </c>
      <c r="AE1740" s="43">
        <v>0</v>
      </c>
    </row>
    <row r="1741" spans="1:31" x14ac:dyDescent="0.45">
      <c r="A1741" t="s">
        <v>2903</v>
      </c>
      <c r="B1741" t="s">
        <v>110</v>
      </c>
      <c r="C1741" t="s">
        <v>2522</v>
      </c>
      <c r="D1741">
        <v>2</v>
      </c>
      <c r="E1741" t="s">
        <v>2904</v>
      </c>
      <c r="L1741" s="43">
        <v>0</v>
      </c>
      <c r="M1741" s="43">
        <v>0</v>
      </c>
      <c r="N1741" s="43">
        <v>0</v>
      </c>
      <c r="O1741" s="43">
        <v>0</v>
      </c>
      <c r="P1741" s="43">
        <v>0</v>
      </c>
      <c r="Q1741" s="43">
        <v>0</v>
      </c>
      <c r="R1741" s="43">
        <v>285.47524807730713</v>
      </c>
      <c r="S1741" s="43">
        <v>734.50751304215794</v>
      </c>
      <c r="T1741" s="43">
        <v>1209.6235769690682</v>
      </c>
      <c r="U1741" s="43">
        <v>1712.1066151477435</v>
      </c>
      <c r="V1741" s="43">
        <v>2243.2912778954828</v>
      </c>
      <c r="W1741" s="43">
        <v>2804.566228036977</v>
      </c>
      <c r="X1741" s="43">
        <v>3397.3767666673111</v>
      </c>
      <c r="Y1741" s="43">
        <v>4023.2275525516989</v>
      </c>
      <c r="Z1741" s="43">
        <v>4683.6854206646813</v>
      </c>
      <c r="AA1741" s="43">
        <v>5380.3823055336297</v>
      </c>
      <c r="AB1741" s="43">
        <v>6115.0182752264373</v>
      </c>
      <c r="AC1741" s="43">
        <v>6889.3646820116583</v>
      </c>
      <c r="AD1741" s="43">
        <v>7705.2674359213961</v>
      </c>
      <c r="AE1741" s="43">
        <v>8564.6504076630426</v>
      </c>
    </row>
    <row r="1742" spans="1:31" x14ac:dyDescent="0.45">
      <c r="A1742" t="s">
        <v>2905</v>
      </c>
      <c r="B1742" t="s">
        <v>110</v>
      </c>
      <c r="C1742" t="s">
        <v>2522</v>
      </c>
      <c r="D1742">
        <v>2</v>
      </c>
      <c r="E1742" t="s">
        <v>2906</v>
      </c>
      <c r="L1742" s="43">
        <v>14.019740964534272</v>
      </c>
      <c r="M1742" s="43">
        <v>11.739301230035998</v>
      </c>
      <c r="N1742" s="43">
        <v>13.303124518863104</v>
      </c>
      <c r="O1742" s="43">
        <v>14.156899598427017</v>
      </c>
      <c r="P1742" s="43">
        <v>14.286244741983563</v>
      </c>
      <c r="Q1742" s="43">
        <v>14.694194505017343</v>
      </c>
      <c r="R1742" s="43">
        <v>14.740618977705909</v>
      </c>
      <c r="S1742" s="43">
        <v>14.52878485890464</v>
      </c>
      <c r="T1742" s="43">
        <v>14.322100919094268</v>
      </c>
      <c r="U1742" s="43">
        <v>14.14594392748921</v>
      </c>
      <c r="V1742" s="43">
        <v>13.980466089001904</v>
      </c>
      <c r="W1742" s="43">
        <v>13.848986424483872</v>
      </c>
      <c r="X1742" s="43">
        <v>13.74989567647736</v>
      </c>
      <c r="Y1742" s="43">
        <v>13.683016024281805</v>
      </c>
      <c r="Z1742" s="43">
        <v>13.650438010030964</v>
      </c>
      <c r="AA1742" s="43">
        <v>13.651951259634075</v>
      </c>
      <c r="AB1742" s="43">
        <v>13.686717499710817</v>
      </c>
      <c r="AC1742" s="43">
        <v>13.75180528687531</v>
      </c>
      <c r="AD1742" s="43">
        <v>13.844679557204563</v>
      </c>
      <c r="AE1742" s="43">
        <v>13.96347505464426</v>
      </c>
    </row>
    <row r="1743" spans="1:31" x14ac:dyDescent="0.45">
      <c r="A1743" t="s">
        <v>2907</v>
      </c>
      <c r="B1743" t="s">
        <v>2822</v>
      </c>
      <c r="C1743" t="s">
        <v>2522</v>
      </c>
      <c r="D1743">
        <v>2</v>
      </c>
      <c r="E1743" t="s">
        <v>2823</v>
      </c>
      <c r="L1743" s="43">
        <v>0</v>
      </c>
      <c r="M1743" s="43">
        <v>0</v>
      </c>
      <c r="N1743" s="43">
        <v>0</v>
      </c>
      <c r="O1743" s="43">
        <v>0</v>
      </c>
      <c r="P1743" s="43">
        <v>0</v>
      </c>
      <c r="Q1743" s="43">
        <v>0</v>
      </c>
      <c r="R1743" s="43">
        <v>0</v>
      </c>
      <c r="S1743" s="43">
        <v>0</v>
      </c>
      <c r="T1743" s="43">
        <v>0</v>
      </c>
      <c r="U1743" s="43">
        <v>0</v>
      </c>
      <c r="V1743" s="43">
        <v>0</v>
      </c>
      <c r="W1743" s="43">
        <v>0</v>
      </c>
      <c r="X1743" s="43">
        <v>0</v>
      </c>
      <c r="Y1743" s="43">
        <v>0</v>
      </c>
      <c r="Z1743" s="43">
        <v>0</v>
      </c>
      <c r="AA1743" s="43">
        <v>0</v>
      </c>
      <c r="AB1743" s="43">
        <v>0</v>
      </c>
      <c r="AC1743" s="43">
        <v>0</v>
      </c>
      <c r="AD1743" s="43">
        <v>0</v>
      </c>
      <c r="AE1743" s="43">
        <v>0</v>
      </c>
    </row>
    <row r="1744" spans="1:31" x14ac:dyDescent="0.45">
      <c r="A1744" t="s">
        <v>2908</v>
      </c>
      <c r="B1744" t="s">
        <v>110</v>
      </c>
      <c r="C1744" t="s">
        <v>43</v>
      </c>
      <c r="D1744">
        <v>2</v>
      </c>
      <c r="E1744" t="s">
        <v>2909</v>
      </c>
      <c r="L1744" s="43">
        <v>1901.7140738122609</v>
      </c>
      <c r="M1744" s="43">
        <v>1621.2301769893743</v>
      </c>
      <c r="N1744" s="43">
        <v>1820.8469202303741</v>
      </c>
      <c r="O1744" s="43">
        <v>1904.3670376253485</v>
      </c>
      <c r="P1744" s="43">
        <v>1961.702021253242</v>
      </c>
      <c r="Q1744" s="43">
        <v>2038.9739202925941</v>
      </c>
      <c r="R1744" s="43">
        <v>2086.476935496969</v>
      </c>
      <c r="S1744" s="43">
        <v>2106.312560306003</v>
      </c>
      <c r="T1744" s="43">
        <v>2121.5723042941463</v>
      </c>
      <c r="U1744" s="43">
        <v>2137.9016739850676</v>
      </c>
      <c r="V1744" s="43">
        <v>2155.2425578819798</v>
      </c>
      <c r="W1744" s="43">
        <v>2175.1652391227267</v>
      </c>
      <c r="X1744" s="43">
        <v>2198.0469883618684</v>
      </c>
      <c r="Y1744" s="43">
        <v>2224.4464311640741</v>
      </c>
      <c r="Z1744" s="43">
        <v>2255.3085437303766</v>
      </c>
      <c r="AA1744" s="43">
        <v>2291.0812055112824</v>
      </c>
      <c r="AB1744" s="43">
        <v>2332.0347392099548</v>
      </c>
      <c r="AC1744" s="43">
        <v>2377.9554123266685</v>
      </c>
      <c r="AD1744" s="43">
        <v>2428.6499034880821</v>
      </c>
      <c r="AE1744" s="43">
        <v>2484.0154740623757</v>
      </c>
    </row>
    <row r="1745" spans="1:31" x14ac:dyDescent="0.45">
      <c r="A1745" t="s">
        <v>2910</v>
      </c>
      <c r="B1745" t="s">
        <v>110</v>
      </c>
      <c r="C1745" t="s">
        <v>113</v>
      </c>
      <c r="D1745">
        <v>2</v>
      </c>
      <c r="E1745" t="s">
        <v>2909</v>
      </c>
      <c r="L1745" s="43">
        <v>3210.4467592248702</v>
      </c>
      <c r="M1745" s="43">
        <v>2690.3404093921163</v>
      </c>
      <c r="N1745" s="43">
        <v>3047.5360888007326</v>
      </c>
      <c r="O1745" s="43">
        <v>3240.6928223889822</v>
      </c>
      <c r="P1745" s="43">
        <v>3273.2119677539522</v>
      </c>
      <c r="Q1745" s="43">
        <v>3368.228907853118</v>
      </c>
      <c r="R1745" s="43">
        <v>3440.6189929018365</v>
      </c>
      <c r="S1745" s="43">
        <v>3477.6109587928431</v>
      </c>
      <c r="T1745" s="43">
        <v>3508.7210912748901</v>
      </c>
      <c r="U1745" s="43">
        <v>3541.1364216441061</v>
      </c>
      <c r="V1745" s="43">
        <v>3570.3940316472435</v>
      </c>
      <c r="W1745" s="43">
        <v>3603.4604378639924</v>
      </c>
      <c r="X1745" s="43">
        <v>3640.8298245307169</v>
      </c>
      <c r="Y1745" s="43">
        <v>3683.2617863819687</v>
      </c>
      <c r="Z1745" s="43">
        <v>3732.0661418097966</v>
      </c>
      <c r="AA1745" s="43">
        <v>3787.868153892101</v>
      </c>
      <c r="AB1745" s="43">
        <v>3851.0479452767004</v>
      </c>
      <c r="AC1745" s="43">
        <v>3921.3081581898887</v>
      </c>
      <c r="AD1745" s="43">
        <v>3998.3777508734247</v>
      </c>
      <c r="AE1745" s="43">
        <v>4082.1109474927925</v>
      </c>
    </row>
    <row r="1746" spans="1:31" x14ac:dyDescent="0.45">
      <c r="A1746" t="s">
        <v>2911</v>
      </c>
      <c r="B1746" t="s">
        <v>110</v>
      </c>
      <c r="C1746" t="s">
        <v>115</v>
      </c>
      <c r="D1746">
        <v>2</v>
      </c>
      <c r="E1746" t="s">
        <v>2909</v>
      </c>
      <c r="L1746" s="43">
        <v>0</v>
      </c>
      <c r="M1746" s="43">
        <v>0</v>
      </c>
      <c r="N1746" s="43">
        <v>0</v>
      </c>
      <c r="O1746" s="43">
        <v>0</v>
      </c>
      <c r="P1746" s="43">
        <v>0</v>
      </c>
      <c r="Q1746" s="43">
        <v>0</v>
      </c>
      <c r="R1746" s="43">
        <v>0</v>
      </c>
      <c r="S1746" s="43">
        <v>0</v>
      </c>
      <c r="T1746" s="43">
        <v>0</v>
      </c>
      <c r="U1746" s="43">
        <v>0</v>
      </c>
      <c r="V1746" s="43">
        <v>0</v>
      </c>
      <c r="W1746" s="43">
        <v>0</v>
      </c>
      <c r="X1746" s="43">
        <v>0</v>
      </c>
      <c r="Y1746" s="43">
        <v>0</v>
      </c>
      <c r="Z1746" s="43">
        <v>0</v>
      </c>
      <c r="AA1746" s="43">
        <v>0</v>
      </c>
      <c r="AB1746" s="43">
        <v>0</v>
      </c>
      <c r="AC1746" s="43">
        <v>0</v>
      </c>
      <c r="AD1746" s="43">
        <v>0</v>
      </c>
      <c r="AE1746" s="43">
        <v>0</v>
      </c>
    </row>
    <row r="1747" spans="1:31" x14ac:dyDescent="0.45">
      <c r="A1747" t="s">
        <v>2912</v>
      </c>
      <c r="B1747" t="s">
        <v>110</v>
      </c>
      <c r="C1747" t="s">
        <v>117</v>
      </c>
      <c r="D1747">
        <v>2</v>
      </c>
      <c r="E1747" t="s">
        <v>2909</v>
      </c>
      <c r="L1747" s="43">
        <v>0</v>
      </c>
      <c r="M1747" s="43">
        <v>0</v>
      </c>
      <c r="N1747" s="43">
        <v>0</v>
      </c>
      <c r="O1747" s="43">
        <v>0</v>
      </c>
      <c r="P1747" s="43">
        <v>0</v>
      </c>
      <c r="Q1747" s="43">
        <v>0</v>
      </c>
      <c r="R1747" s="43">
        <v>0</v>
      </c>
      <c r="S1747" s="43">
        <v>0</v>
      </c>
      <c r="T1747" s="43">
        <v>0</v>
      </c>
      <c r="U1747" s="43">
        <v>0</v>
      </c>
      <c r="V1747" s="43">
        <v>0</v>
      </c>
      <c r="W1747" s="43">
        <v>0</v>
      </c>
      <c r="X1747" s="43">
        <v>0</v>
      </c>
      <c r="Y1747" s="43">
        <v>0</v>
      </c>
      <c r="Z1747" s="43">
        <v>0</v>
      </c>
      <c r="AA1747" s="43">
        <v>0</v>
      </c>
      <c r="AB1747" s="43">
        <v>0</v>
      </c>
      <c r="AC1747" s="43">
        <v>0</v>
      </c>
      <c r="AD1747" s="43">
        <v>0</v>
      </c>
      <c r="AE1747" s="43">
        <v>0</v>
      </c>
    </row>
    <row r="1748" spans="1:31" x14ac:dyDescent="0.45">
      <c r="A1748" t="s">
        <v>2913</v>
      </c>
      <c r="B1748" t="s">
        <v>2375</v>
      </c>
      <c r="C1748" t="s">
        <v>43</v>
      </c>
      <c r="D1748">
        <v>2</v>
      </c>
      <c r="E1748" t="s">
        <v>2914</v>
      </c>
      <c r="L1748" s="43">
        <v>66.453659723176557</v>
      </c>
      <c r="M1748" s="43">
        <v>68.485475215764879</v>
      </c>
      <c r="N1748" s="43">
        <v>58.995402742046402</v>
      </c>
      <c r="O1748" s="43">
        <v>43.916716887965812</v>
      </c>
      <c r="P1748" s="43">
        <v>53.774364143577706</v>
      </c>
      <c r="Q1748" s="43">
        <v>42.744789650417033</v>
      </c>
      <c r="R1748" s="43">
        <v>42.779072328836371</v>
      </c>
      <c r="S1748" s="43">
        <v>45.916969217514961</v>
      </c>
      <c r="T1748" s="43">
        <v>49.244157129395532</v>
      </c>
      <c r="U1748" s="43">
        <v>52.460180480357558</v>
      </c>
      <c r="V1748" s="43">
        <v>57.218253078860805</v>
      </c>
      <c r="W1748" s="43">
        <v>61.976294794957397</v>
      </c>
      <c r="X1748" s="43">
        <v>66.734205901312919</v>
      </c>
      <c r="Y1748" s="43">
        <v>71.4920336037016</v>
      </c>
      <c r="Z1748" s="43">
        <v>76.24992373815715</v>
      </c>
      <c r="AA1748" s="43">
        <v>81.007681571932849</v>
      </c>
      <c r="AB1748" s="43">
        <v>85.765505234222971</v>
      </c>
      <c r="AC1748" s="43">
        <v>90.522182374992653</v>
      </c>
      <c r="AD1748" s="43">
        <v>95.278926427520332</v>
      </c>
      <c r="AE1748" s="43">
        <v>100.03561101581576</v>
      </c>
    </row>
    <row r="1749" spans="1:31" x14ac:dyDescent="0.45">
      <c r="A1749" t="s">
        <v>2915</v>
      </c>
      <c r="B1749" t="s">
        <v>2375</v>
      </c>
      <c r="C1749" t="s">
        <v>113</v>
      </c>
      <c r="D1749">
        <v>2</v>
      </c>
      <c r="E1749" t="s">
        <v>2914</v>
      </c>
      <c r="L1749" s="43">
        <v>66.453659723176557</v>
      </c>
      <c r="M1749" s="43">
        <v>68.485475215764879</v>
      </c>
      <c r="N1749" s="43">
        <v>58.995402742046402</v>
      </c>
      <c r="O1749" s="43">
        <v>43.916716887965812</v>
      </c>
      <c r="P1749" s="43">
        <v>53.774364143577706</v>
      </c>
      <c r="Q1749" s="43">
        <v>42.744789650417033</v>
      </c>
      <c r="R1749" s="43">
        <v>42.779072328836371</v>
      </c>
      <c r="S1749" s="43">
        <v>45.916969217514961</v>
      </c>
      <c r="T1749" s="43">
        <v>49.244157129395532</v>
      </c>
      <c r="U1749" s="43">
        <v>52.460180480357558</v>
      </c>
      <c r="V1749" s="43">
        <v>57.218253078860805</v>
      </c>
      <c r="W1749" s="43">
        <v>61.976294794957397</v>
      </c>
      <c r="X1749" s="43">
        <v>66.734205901312919</v>
      </c>
      <c r="Y1749" s="43">
        <v>71.4920336037016</v>
      </c>
      <c r="Z1749" s="43">
        <v>76.24992373815715</v>
      </c>
      <c r="AA1749" s="43">
        <v>81.007681571932849</v>
      </c>
      <c r="AB1749" s="43">
        <v>85.765505234222971</v>
      </c>
      <c r="AC1749" s="43">
        <v>90.522182374992653</v>
      </c>
      <c r="AD1749" s="43">
        <v>95.278926427520332</v>
      </c>
      <c r="AE1749" s="43">
        <v>100.03561101581576</v>
      </c>
    </row>
    <row r="1750" spans="1:31" x14ac:dyDescent="0.45">
      <c r="A1750" t="s">
        <v>2916</v>
      </c>
      <c r="B1750" t="s">
        <v>2375</v>
      </c>
      <c r="C1750" t="s">
        <v>115</v>
      </c>
      <c r="D1750">
        <v>2</v>
      </c>
      <c r="E1750" t="s">
        <v>2914</v>
      </c>
      <c r="L1750" s="43">
        <v>66.453659723176557</v>
      </c>
      <c r="M1750" s="43">
        <v>68.485475215764879</v>
      </c>
      <c r="N1750" s="43">
        <v>58.995402742046402</v>
      </c>
      <c r="O1750" s="43">
        <v>43.916716887965812</v>
      </c>
      <c r="P1750" s="43">
        <v>53.774364143577706</v>
      </c>
      <c r="Q1750" s="43">
        <v>42.744789650417033</v>
      </c>
      <c r="R1750" s="43">
        <v>42.779072328836371</v>
      </c>
      <c r="S1750" s="43">
        <v>45.916969217514961</v>
      </c>
      <c r="T1750" s="43">
        <v>49.244157129395532</v>
      </c>
      <c r="U1750" s="43">
        <v>52.460180480357558</v>
      </c>
      <c r="V1750" s="43">
        <v>57.218253078860805</v>
      </c>
      <c r="W1750" s="43">
        <v>61.976294794957397</v>
      </c>
      <c r="X1750" s="43">
        <v>66.734205901312919</v>
      </c>
      <c r="Y1750" s="43">
        <v>71.4920336037016</v>
      </c>
      <c r="Z1750" s="43">
        <v>76.24992373815715</v>
      </c>
      <c r="AA1750" s="43">
        <v>81.007681571932849</v>
      </c>
      <c r="AB1750" s="43">
        <v>85.765505234222971</v>
      </c>
      <c r="AC1750" s="43">
        <v>90.522182374992653</v>
      </c>
      <c r="AD1750" s="43">
        <v>95.278926427520332</v>
      </c>
      <c r="AE1750" s="43">
        <v>100.03561101581576</v>
      </c>
    </row>
    <row r="1751" spans="1:31" x14ac:dyDescent="0.45">
      <c r="A1751" t="s">
        <v>2917</v>
      </c>
      <c r="B1751" t="s">
        <v>2375</v>
      </c>
      <c r="C1751" t="s">
        <v>117</v>
      </c>
      <c r="D1751">
        <v>2</v>
      </c>
      <c r="E1751" t="s">
        <v>2914</v>
      </c>
      <c r="L1751" s="43">
        <v>66.453659723176557</v>
      </c>
      <c r="M1751" s="43">
        <v>68.485475215764879</v>
      </c>
      <c r="N1751" s="43">
        <v>58.995402742046402</v>
      </c>
      <c r="O1751" s="43">
        <v>43.916716887965812</v>
      </c>
      <c r="P1751" s="43">
        <v>53.774364143577706</v>
      </c>
      <c r="Q1751" s="43">
        <v>42.744789650417033</v>
      </c>
      <c r="R1751" s="43">
        <v>42.779072328836371</v>
      </c>
      <c r="S1751" s="43">
        <v>45.916969217514961</v>
      </c>
      <c r="T1751" s="43">
        <v>49.244157129395532</v>
      </c>
      <c r="U1751" s="43">
        <v>52.460180480357558</v>
      </c>
      <c r="V1751" s="43">
        <v>57.218253078860805</v>
      </c>
      <c r="W1751" s="43">
        <v>61.976294794957397</v>
      </c>
      <c r="X1751" s="43">
        <v>66.734205901312919</v>
      </c>
      <c r="Y1751" s="43">
        <v>71.4920336037016</v>
      </c>
      <c r="Z1751" s="43">
        <v>76.24992373815715</v>
      </c>
      <c r="AA1751" s="43">
        <v>81.007681571932849</v>
      </c>
      <c r="AB1751" s="43">
        <v>85.765505234222971</v>
      </c>
      <c r="AC1751" s="43">
        <v>90.522182374992653</v>
      </c>
      <c r="AD1751" s="43">
        <v>95.278926427520332</v>
      </c>
      <c r="AE1751" s="43">
        <v>100.03561101581576</v>
      </c>
    </row>
    <row r="1752" spans="1:31" x14ac:dyDescent="0.45">
      <c r="A1752" t="s">
        <v>2918</v>
      </c>
      <c r="B1752" t="s">
        <v>110</v>
      </c>
      <c r="C1752" t="s">
        <v>2522</v>
      </c>
      <c r="D1752">
        <v>2</v>
      </c>
      <c r="E1752" t="s">
        <v>2919</v>
      </c>
      <c r="L1752" s="43">
        <v>47.016585657660869</v>
      </c>
      <c r="M1752" s="43">
        <v>48.583140104124077</v>
      </c>
      <c r="N1752" s="43">
        <v>50.203203500000001</v>
      </c>
      <c r="O1752" s="43">
        <v>51.878652142999996</v>
      </c>
      <c r="P1752" s="43">
        <v>53.611430083849996</v>
      </c>
      <c r="Q1752" s="43">
        <v>55.403551656613665</v>
      </c>
      <c r="R1752" s="43">
        <v>57.095049615461427</v>
      </c>
      <c r="S1752" s="43">
        <v>58.760601043372631</v>
      </c>
      <c r="T1752" s="43">
        <v>60.481178848453411</v>
      </c>
      <c r="U1752" s="43">
        <v>62.258422369008848</v>
      </c>
      <c r="V1752" s="43">
        <v>64.094036511299521</v>
      </c>
      <c r="W1752" s="43">
        <v>65.989793600870058</v>
      </c>
      <c r="X1752" s="43">
        <v>67.947535333346224</v>
      </c>
      <c r="Y1752" s="43">
        <v>69.969174826986062</v>
      </c>
      <c r="Z1752" s="43">
        <v>72.056698779456639</v>
      </c>
      <c r="AA1752" s="43">
        <v>74.212169731498349</v>
      </c>
      <c r="AB1752" s="43">
        <v>76.437728440330446</v>
      </c>
      <c r="AC1752" s="43">
        <v>78.735596365847528</v>
      </c>
      <c r="AD1752" s="43">
        <v>81.108078272856801</v>
      </c>
      <c r="AE1752" s="43">
        <v>83.557564952810168</v>
      </c>
    </row>
    <row r="1753" spans="1:31" x14ac:dyDescent="0.45">
      <c r="A1753" t="s">
        <v>2920</v>
      </c>
      <c r="B1753" t="s">
        <v>110</v>
      </c>
      <c r="C1753" t="s">
        <v>2522</v>
      </c>
      <c r="D1753">
        <v>2</v>
      </c>
      <c r="E1753" t="s">
        <v>2921</v>
      </c>
      <c r="L1753" s="43">
        <v>0</v>
      </c>
      <c r="M1753" s="43">
        <v>0</v>
      </c>
      <c r="N1753" s="43">
        <v>0</v>
      </c>
      <c r="O1753" s="43">
        <v>0</v>
      </c>
      <c r="P1753" s="43">
        <v>0</v>
      </c>
      <c r="Q1753" s="43">
        <v>0</v>
      </c>
      <c r="R1753" s="43">
        <v>285.47524807730713</v>
      </c>
      <c r="S1753" s="43">
        <v>734.50751304215794</v>
      </c>
      <c r="T1753" s="43">
        <v>1209.6235769690682</v>
      </c>
      <c r="U1753" s="43">
        <v>1712.1066151477435</v>
      </c>
      <c r="V1753" s="43">
        <v>2243.2912778954828</v>
      </c>
      <c r="W1753" s="43">
        <v>2804.566228036977</v>
      </c>
      <c r="X1753" s="43">
        <v>3397.3767666673111</v>
      </c>
      <c r="Y1753" s="43">
        <v>4023.2275525516989</v>
      </c>
      <c r="Z1753" s="43">
        <v>4683.6854206646813</v>
      </c>
      <c r="AA1753" s="43">
        <v>5380.3823055336297</v>
      </c>
      <c r="AB1753" s="43">
        <v>6115.0182752264373</v>
      </c>
      <c r="AC1753" s="43">
        <v>6889.3646820116583</v>
      </c>
      <c r="AD1753" s="43">
        <v>7705.2674359213961</v>
      </c>
      <c r="AE1753" s="43">
        <v>8564.6504076630426</v>
      </c>
    </row>
    <row r="1754" spans="1:31" x14ac:dyDescent="0.45">
      <c r="A1754" t="s">
        <v>2922</v>
      </c>
      <c r="B1754" t="s">
        <v>110</v>
      </c>
      <c r="C1754" t="s">
        <v>2522</v>
      </c>
      <c r="D1754">
        <v>2</v>
      </c>
      <c r="E1754" t="s">
        <v>2923</v>
      </c>
      <c r="L1754" s="43">
        <v>0</v>
      </c>
      <c r="M1754" s="43">
        <v>0</v>
      </c>
      <c r="N1754" s="43">
        <v>0</v>
      </c>
      <c r="O1754" s="43">
        <v>0</v>
      </c>
      <c r="P1754" s="43">
        <v>0</v>
      </c>
      <c r="Q1754" s="43">
        <v>0</v>
      </c>
      <c r="R1754" s="43">
        <v>226.00935927778656</v>
      </c>
      <c r="S1754" s="43">
        <v>583.80009637569901</v>
      </c>
      <c r="T1754" s="43">
        <v>965.14266028114264</v>
      </c>
      <c r="U1754" s="43">
        <v>1371.2329992814205</v>
      </c>
      <c r="V1754" s="43">
        <v>1803.3223808322953</v>
      </c>
      <c r="W1754" s="43">
        <v>2262.7198551964975</v>
      </c>
      <c r="X1754" s="43">
        <v>2750.7948277121245</v>
      </c>
      <c r="Y1754" s="43">
        <v>3268.9797445181539</v>
      </c>
      <c r="Z1754" s="43">
        <v>3818.7728967831445</v>
      </c>
      <c r="AA1754" s="43">
        <v>4401.7413487122903</v>
      </c>
      <c r="AB1754" s="43">
        <v>5019.5239948477356</v>
      </c>
      <c r="AC1754" s="43">
        <v>5673.8347524281171</v>
      </c>
      <c r="AD1754" s="43">
        <v>6366.4658948359311</v>
      </c>
      <c r="AE1754" s="43">
        <v>7099.2915324365176</v>
      </c>
    </row>
    <row r="1755" spans="1:31" x14ac:dyDescent="0.45">
      <c r="A1755" t="s">
        <v>2924</v>
      </c>
      <c r="B1755" t="s">
        <v>110</v>
      </c>
      <c r="C1755" t="s">
        <v>2522</v>
      </c>
      <c r="D1755">
        <v>2</v>
      </c>
      <c r="E1755" t="s">
        <v>2925</v>
      </c>
      <c r="L1755" s="43">
        <v>0</v>
      </c>
      <c r="M1755" s="43">
        <v>0</v>
      </c>
      <c r="N1755" s="43">
        <v>0</v>
      </c>
      <c r="O1755" s="43">
        <v>0</v>
      </c>
      <c r="P1755" s="43">
        <v>0</v>
      </c>
      <c r="Q1755" s="43">
        <v>0</v>
      </c>
      <c r="R1755" s="43">
        <v>59.46588879952057</v>
      </c>
      <c r="S1755" s="43">
        <v>150.70741666645893</v>
      </c>
      <c r="T1755" s="43">
        <v>244.48091668792551</v>
      </c>
      <c r="U1755" s="43">
        <v>340.87361586632301</v>
      </c>
      <c r="V1755" s="43">
        <v>439.96889706318757</v>
      </c>
      <c r="W1755" s="43">
        <v>541.84637284047949</v>
      </c>
      <c r="X1755" s="43">
        <v>646.58193895518662</v>
      </c>
      <c r="Y1755" s="43">
        <v>754.24780803354497</v>
      </c>
      <c r="Z1755" s="43">
        <v>864.9125238815368</v>
      </c>
      <c r="AA1755" s="43">
        <v>978.64095682133939</v>
      </c>
      <c r="AB1755" s="43">
        <v>1095.4942803787017</v>
      </c>
      <c r="AC1755" s="43">
        <v>1215.5299295835412</v>
      </c>
      <c r="AD1755" s="43">
        <v>1338.801541085465</v>
      </c>
      <c r="AE1755" s="43">
        <v>1465.358875226525</v>
      </c>
    </row>
    <row r="1756" spans="1:31" x14ac:dyDescent="0.45">
      <c r="A1756" t="s">
        <v>2926</v>
      </c>
      <c r="B1756" t="s">
        <v>110</v>
      </c>
      <c r="C1756" t="s">
        <v>2522</v>
      </c>
      <c r="D1756">
        <v>2</v>
      </c>
      <c r="E1756" t="s">
        <v>2927</v>
      </c>
      <c r="L1756" s="43">
        <v>14.019740964534272</v>
      </c>
      <c r="M1756" s="43">
        <v>11.739301230035998</v>
      </c>
      <c r="N1756" s="43">
        <v>13.303124518863104</v>
      </c>
      <c r="O1756" s="43">
        <v>14.156899598427017</v>
      </c>
      <c r="P1756" s="43">
        <v>14.286244741983563</v>
      </c>
      <c r="Q1756" s="43">
        <v>14.694194505017343</v>
      </c>
      <c r="R1756" s="43">
        <v>14.981630339183639</v>
      </c>
      <c r="S1756" s="43">
        <v>15.103706095389551</v>
      </c>
      <c r="T1756" s="43">
        <v>15.201329135676135</v>
      </c>
      <c r="U1756" s="43">
        <v>15.305253451939947</v>
      </c>
      <c r="V1756" s="43">
        <v>15.39518675775119</v>
      </c>
      <c r="W1756" s="43">
        <v>15.50205940815561</v>
      </c>
      <c r="X1756" s="43">
        <v>15.627797424709474</v>
      </c>
      <c r="Y1756" s="43">
        <v>15.775441478898921</v>
      </c>
      <c r="Z1756" s="43">
        <v>15.950335846142259</v>
      </c>
      <c r="AA1756" s="43">
        <v>16.154903543426379</v>
      </c>
      <c r="AB1756" s="43">
        <v>16.390527292618213</v>
      </c>
      <c r="AC1756" s="43">
        <v>16.655749085340656</v>
      </c>
      <c r="AD1756" s="43">
        <v>16.949244220606857</v>
      </c>
      <c r="AE1756" s="43">
        <v>17.270231360460066</v>
      </c>
    </row>
    <row r="1757" spans="1:31" x14ac:dyDescent="0.45">
      <c r="A1757" t="s">
        <v>2928</v>
      </c>
      <c r="B1757" t="s">
        <v>2822</v>
      </c>
      <c r="C1757" t="s">
        <v>2522</v>
      </c>
      <c r="D1757">
        <v>2</v>
      </c>
      <c r="E1757" t="s">
        <v>2823</v>
      </c>
      <c r="L1757" s="43">
        <v>0</v>
      </c>
      <c r="M1757" s="43">
        <v>0</v>
      </c>
      <c r="N1757" s="43">
        <v>0</v>
      </c>
      <c r="O1757" s="43">
        <v>0</v>
      </c>
      <c r="P1757" s="43">
        <v>0</v>
      </c>
      <c r="Q1757" s="43">
        <v>0</v>
      </c>
      <c r="R1757" s="43">
        <v>0</v>
      </c>
      <c r="S1757" s="43">
        <v>0</v>
      </c>
      <c r="T1757" s="43">
        <v>0</v>
      </c>
      <c r="U1757" s="43">
        <v>0</v>
      </c>
      <c r="V1757" s="43">
        <v>0</v>
      </c>
      <c r="W1757" s="43">
        <v>0</v>
      </c>
      <c r="X1757" s="43">
        <v>0</v>
      </c>
      <c r="Y1757" s="43">
        <v>0</v>
      </c>
      <c r="Z1757" s="43">
        <v>0</v>
      </c>
      <c r="AA1757" s="43">
        <v>0</v>
      </c>
      <c r="AB1757" s="43">
        <v>0</v>
      </c>
      <c r="AC1757" s="43">
        <v>0</v>
      </c>
      <c r="AD1757" s="43">
        <v>0</v>
      </c>
      <c r="AE1757" s="43">
        <v>0</v>
      </c>
    </row>
    <row r="1758" spans="1:31" x14ac:dyDescent="0.45">
      <c r="A1758" t="s">
        <v>2929</v>
      </c>
      <c r="B1758" t="s">
        <v>110</v>
      </c>
      <c r="C1758" t="s">
        <v>43</v>
      </c>
      <c r="D1758">
        <v>2</v>
      </c>
      <c r="E1758" t="s">
        <v>2930</v>
      </c>
      <c r="L1758" s="43">
        <v>1901.7140738122609</v>
      </c>
      <c r="M1758" s="43">
        <v>1621.2301769893743</v>
      </c>
      <c r="N1758" s="43">
        <v>1820.8469202303741</v>
      </c>
      <c r="O1758" s="43">
        <v>1904.3670376253485</v>
      </c>
      <c r="P1758" s="43">
        <v>1961.702021253242</v>
      </c>
      <c r="Q1758" s="43">
        <v>2038.9739202925941</v>
      </c>
      <c r="R1758" s="43">
        <v>2053.7524223291048</v>
      </c>
      <c r="S1758" s="43">
        <v>2028.7258545687616</v>
      </c>
      <c r="T1758" s="43">
        <v>2003.6478535386473</v>
      </c>
      <c r="U1758" s="43">
        <v>1983.2706278023495</v>
      </c>
      <c r="V1758" s="43">
        <v>1966.960491119863</v>
      </c>
      <c r="W1758" s="43">
        <v>1955.5819635673633</v>
      </c>
      <c r="X1758" s="43">
        <v>1949.000028543926</v>
      </c>
      <c r="Y1758" s="43">
        <v>1947.3059514210311</v>
      </c>
      <c r="Z1758" s="43">
        <v>1950.9693766450584</v>
      </c>
      <c r="AA1758" s="43">
        <v>1960.0564283126205</v>
      </c>
      <c r="AB1758" s="43">
        <v>1974.5170929136352</v>
      </c>
      <c r="AC1758" s="43">
        <v>1993.9297991003125</v>
      </c>
      <c r="AD1758" s="43">
        <v>2017.9315635538314</v>
      </c>
      <c r="AE1758" s="43">
        <v>2046.2675129889969</v>
      </c>
    </row>
    <row r="1759" spans="1:31" x14ac:dyDescent="0.45">
      <c r="A1759" t="s">
        <v>2931</v>
      </c>
      <c r="B1759" t="s">
        <v>110</v>
      </c>
      <c r="C1759" t="s">
        <v>113</v>
      </c>
      <c r="D1759">
        <v>2</v>
      </c>
      <c r="E1759" t="s">
        <v>2930</v>
      </c>
      <c r="L1759" s="43">
        <v>3210.4467592248702</v>
      </c>
      <c r="M1759" s="43">
        <v>2690.3404093921163</v>
      </c>
      <c r="N1759" s="43">
        <v>3047.5360888007326</v>
      </c>
      <c r="O1759" s="43">
        <v>3240.6928223889822</v>
      </c>
      <c r="P1759" s="43">
        <v>3273.2119677539522</v>
      </c>
      <c r="Q1759" s="43">
        <v>3368.228907853118</v>
      </c>
      <c r="R1759" s="43">
        <v>3379.4779585853985</v>
      </c>
      <c r="S1759" s="43">
        <v>3331.2392751518291</v>
      </c>
      <c r="T1759" s="43">
        <v>3284.1252951076317</v>
      </c>
      <c r="U1759" s="43">
        <v>3244.0426318203517</v>
      </c>
      <c r="V1759" s="43">
        <v>3206.5962688425279</v>
      </c>
      <c r="W1759" s="43">
        <v>3176.9586228001854</v>
      </c>
      <c r="X1759" s="43">
        <v>3154.7672508666237</v>
      </c>
      <c r="Y1759" s="43">
        <v>3139.9898420802028</v>
      </c>
      <c r="Z1759" s="43">
        <v>3133.1186800267096</v>
      </c>
      <c r="AA1759" s="43">
        <v>3134.112488762697</v>
      </c>
      <c r="AB1759" s="43">
        <v>3142.7839499983083</v>
      </c>
      <c r="AC1759" s="43">
        <v>3158.4600343757443</v>
      </c>
      <c r="AD1759" s="43">
        <v>3180.5588326837142</v>
      </c>
      <c r="AE1759" s="43">
        <v>3208.6530755839376</v>
      </c>
    </row>
    <row r="1760" spans="1:31" x14ac:dyDescent="0.45">
      <c r="A1760" t="s">
        <v>2932</v>
      </c>
      <c r="B1760" t="s">
        <v>110</v>
      </c>
      <c r="C1760" t="s">
        <v>115</v>
      </c>
      <c r="D1760">
        <v>2</v>
      </c>
      <c r="E1760" t="s">
        <v>2930</v>
      </c>
      <c r="L1760" s="43">
        <v>0</v>
      </c>
      <c r="M1760" s="43">
        <v>0</v>
      </c>
      <c r="N1760" s="43">
        <v>0</v>
      </c>
      <c r="O1760" s="43">
        <v>0</v>
      </c>
      <c r="P1760" s="43">
        <v>0</v>
      </c>
      <c r="Q1760" s="43">
        <v>0</v>
      </c>
      <c r="R1760" s="43">
        <v>0</v>
      </c>
      <c r="S1760" s="43">
        <v>0</v>
      </c>
      <c r="T1760" s="43">
        <v>0</v>
      </c>
      <c r="U1760" s="43">
        <v>0</v>
      </c>
      <c r="V1760" s="43">
        <v>0</v>
      </c>
      <c r="W1760" s="43">
        <v>0</v>
      </c>
      <c r="X1760" s="43">
        <v>0</v>
      </c>
      <c r="Y1760" s="43">
        <v>0</v>
      </c>
      <c r="Z1760" s="43">
        <v>0</v>
      </c>
      <c r="AA1760" s="43">
        <v>0</v>
      </c>
      <c r="AB1760" s="43">
        <v>0</v>
      </c>
      <c r="AC1760" s="43">
        <v>0</v>
      </c>
      <c r="AD1760" s="43">
        <v>0</v>
      </c>
      <c r="AE1760" s="43">
        <v>0</v>
      </c>
    </row>
    <row r="1761" spans="1:31" x14ac:dyDescent="0.45">
      <c r="A1761" t="s">
        <v>2933</v>
      </c>
      <c r="B1761" t="s">
        <v>110</v>
      </c>
      <c r="C1761" t="s">
        <v>117</v>
      </c>
      <c r="D1761">
        <v>2</v>
      </c>
      <c r="E1761" t="s">
        <v>2930</v>
      </c>
      <c r="L1761" s="43">
        <v>0</v>
      </c>
      <c r="M1761" s="43">
        <v>0</v>
      </c>
      <c r="N1761" s="43">
        <v>0</v>
      </c>
      <c r="O1761" s="43">
        <v>0</v>
      </c>
      <c r="P1761" s="43">
        <v>0</v>
      </c>
      <c r="Q1761" s="43">
        <v>0</v>
      </c>
      <c r="R1761" s="43">
        <v>0</v>
      </c>
      <c r="S1761" s="43">
        <v>0</v>
      </c>
      <c r="T1761" s="43">
        <v>0</v>
      </c>
      <c r="U1761" s="43">
        <v>0</v>
      </c>
      <c r="V1761" s="43">
        <v>0</v>
      </c>
      <c r="W1761" s="43">
        <v>0</v>
      </c>
      <c r="X1761" s="43">
        <v>0</v>
      </c>
      <c r="Y1761" s="43">
        <v>0</v>
      </c>
      <c r="Z1761" s="43">
        <v>0</v>
      </c>
      <c r="AA1761" s="43">
        <v>0</v>
      </c>
      <c r="AB1761" s="43">
        <v>0</v>
      </c>
      <c r="AC1761" s="43">
        <v>0</v>
      </c>
      <c r="AD1761" s="43">
        <v>0</v>
      </c>
      <c r="AE1761" s="43">
        <v>0</v>
      </c>
    </row>
    <row r="1762" spans="1:31" x14ac:dyDescent="0.45">
      <c r="A1762" t="s">
        <v>2934</v>
      </c>
      <c r="B1762" t="s">
        <v>2375</v>
      </c>
      <c r="C1762" t="s">
        <v>43</v>
      </c>
      <c r="D1762">
        <v>2</v>
      </c>
      <c r="E1762" t="s">
        <v>2935</v>
      </c>
      <c r="L1762" s="43">
        <v>66.453659723176557</v>
      </c>
      <c r="M1762" s="43">
        <v>68.485475215764879</v>
      </c>
      <c r="N1762" s="43">
        <v>58.995402742046402</v>
      </c>
      <c r="O1762" s="43">
        <v>43.916716887965812</v>
      </c>
      <c r="P1762" s="43">
        <v>53.774364143577706</v>
      </c>
      <c r="Q1762" s="43">
        <v>42.744789650417033</v>
      </c>
      <c r="R1762" s="43">
        <v>42.779072328836371</v>
      </c>
      <c r="S1762" s="43">
        <v>45.916969217514961</v>
      </c>
      <c r="T1762" s="43">
        <v>49.244157129395532</v>
      </c>
      <c r="U1762" s="43">
        <v>52.460180480357558</v>
      </c>
      <c r="V1762" s="43">
        <v>57.218253078860805</v>
      </c>
      <c r="W1762" s="43">
        <v>61.976294794957397</v>
      </c>
      <c r="X1762" s="43">
        <v>66.734205901312919</v>
      </c>
      <c r="Y1762" s="43">
        <v>71.4920336037016</v>
      </c>
      <c r="Z1762" s="43">
        <v>76.24992373815715</v>
      </c>
      <c r="AA1762" s="43">
        <v>81.007681571932849</v>
      </c>
      <c r="AB1762" s="43">
        <v>85.765505234222971</v>
      </c>
      <c r="AC1762" s="43">
        <v>90.522182374992653</v>
      </c>
      <c r="AD1762" s="43">
        <v>95.278926427520332</v>
      </c>
      <c r="AE1762" s="43">
        <v>100.03561101581576</v>
      </c>
    </row>
    <row r="1763" spans="1:31" x14ac:dyDescent="0.45">
      <c r="A1763" t="s">
        <v>2936</v>
      </c>
      <c r="B1763" t="s">
        <v>2375</v>
      </c>
      <c r="C1763" t="s">
        <v>113</v>
      </c>
      <c r="D1763">
        <v>2</v>
      </c>
      <c r="E1763" t="s">
        <v>2935</v>
      </c>
      <c r="L1763" s="43">
        <v>66.453659723176557</v>
      </c>
      <c r="M1763" s="43">
        <v>68.485475215764879</v>
      </c>
      <c r="N1763" s="43">
        <v>58.995402742046402</v>
      </c>
      <c r="O1763" s="43">
        <v>43.916716887965812</v>
      </c>
      <c r="P1763" s="43">
        <v>53.774364143577706</v>
      </c>
      <c r="Q1763" s="43">
        <v>42.744789650417033</v>
      </c>
      <c r="R1763" s="43">
        <v>42.779072328836371</v>
      </c>
      <c r="S1763" s="43">
        <v>45.916969217514961</v>
      </c>
      <c r="T1763" s="43">
        <v>49.244157129395532</v>
      </c>
      <c r="U1763" s="43">
        <v>52.460180480357558</v>
      </c>
      <c r="V1763" s="43">
        <v>57.218253078860805</v>
      </c>
      <c r="W1763" s="43">
        <v>61.976294794957397</v>
      </c>
      <c r="X1763" s="43">
        <v>66.734205901312919</v>
      </c>
      <c r="Y1763" s="43">
        <v>71.4920336037016</v>
      </c>
      <c r="Z1763" s="43">
        <v>76.24992373815715</v>
      </c>
      <c r="AA1763" s="43">
        <v>81.007681571932849</v>
      </c>
      <c r="AB1763" s="43">
        <v>85.765505234222971</v>
      </c>
      <c r="AC1763" s="43">
        <v>90.522182374992653</v>
      </c>
      <c r="AD1763" s="43">
        <v>95.278926427520332</v>
      </c>
      <c r="AE1763" s="43">
        <v>100.03561101581576</v>
      </c>
    </row>
    <row r="1764" spans="1:31" x14ac:dyDescent="0.45">
      <c r="A1764" t="s">
        <v>2937</v>
      </c>
      <c r="B1764" t="s">
        <v>2375</v>
      </c>
      <c r="C1764" t="s">
        <v>115</v>
      </c>
      <c r="D1764">
        <v>2</v>
      </c>
      <c r="E1764" t="s">
        <v>2935</v>
      </c>
      <c r="L1764" s="43">
        <v>66.453659723176557</v>
      </c>
      <c r="M1764" s="43">
        <v>68.485475215764879</v>
      </c>
      <c r="N1764" s="43">
        <v>58.995402742046402</v>
      </c>
      <c r="O1764" s="43">
        <v>43.916716887965812</v>
      </c>
      <c r="P1764" s="43">
        <v>53.774364143577706</v>
      </c>
      <c r="Q1764" s="43">
        <v>42.744789650417033</v>
      </c>
      <c r="R1764" s="43">
        <v>42.779072328836371</v>
      </c>
      <c r="S1764" s="43">
        <v>45.916969217514961</v>
      </c>
      <c r="T1764" s="43">
        <v>49.244157129395532</v>
      </c>
      <c r="U1764" s="43">
        <v>52.460180480357558</v>
      </c>
      <c r="V1764" s="43">
        <v>57.218253078860805</v>
      </c>
      <c r="W1764" s="43">
        <v>61.976294794957397</v>
      </c>
      <c r="X1764" s="43">
        <v>66.734205901312919</v>
      </c>
      <c r="Y1764" s="43">
        <v>71.4920336037016</v>
      </c>
      <c r="Z1764" s="43">
        <v>76.24992373815715</v>
      </c>
      <c r="AA1764" s="43">
        <v>81.007681571932849</v>
      </c>
      <c r="AB1764" s="43">
        <v>85.765505234222971</v>
      </c>
      <c r="AC1764" s="43">
        <v>90.522182374992653</v>
      </c>
      <c r="AD1764" s="43">
        <v>95.278926427520332</v>
      </c>
      <c r="AE1764" s="43">
        <v>100.03561101581576</v>
      </c>
    </row>
    <row r="1765" spans="1:31" x14ac:dyDescent="0.45">
      <c r="A1765" t="s">
        <v>2938</v>
      </c>
      <c r="B1765" t="s">
        <v>2375</v>
      </c>
      <c r="C1765" t="s">
        <v>117</v>
      </c>
      <c r="D1765">
        <v>2</v>
      </c>
      <c r="E1765" t="s">
        <v>2935</v>
      </c>
      <c r="L1765" s="43">
        <v>66.453659723176557</v>
      </c>
      <c r="M1765" s="43">
        <v>68.485475215764879</v>
      </c>
      <c r="N1765" s="43">
        <v>58.995402742046402</v>
      </c>
      <c r="O1765" s="43">
        <v>43.916716887965812</v>
      </c>
      <c r="P1765" s="43">
        <v>53.774364143577706</v>
      </c>
      <c r="Q1765" s="43">
        <v>42.744789650417033</v>
      </c>
      <c r="R1765" s="43">
        <v>42.779072328836371</v>
      </c>
      <c r="S1765" s="43">
        <v>45.916969217514961</v>
      </c>
      <c r="T1765" s="43">
        <v>49.244157129395532</v>
      </c>
      <c r="U1765" s="43">
        <v>52.460180480357558</v>
      </c>
      <c r="V1765" s="43">
        <v>57.218253078860805</v>
      </c>
      <c r="W1765" s="43">
        <v>61.976294794957397</v>
      </c>
      <c r="X1765" s="43">
        <v>66.734205901312919</v>
      </c>
      <c r="Y1765" s="43">
        <v>71.4920336037016</v>
      </c>
      <c r="Z1765" s="43">
        <v>76.24992373815715</v>
      </c>
      <c r="AA1765" s="43">
        <v>81.007681571932849</v>
      </c>
      <c r="AB1765" s="43">
        <v>85.765505234222971</v>
      </c>
      <c r="AC1765" s="43">
        <v>90.522182374992653</v>
      </c>
      <c r="AD1765" s="43">
        <v>95.278926427520332</v>
      </c>
      <c r="AE1765" s="43">
        <v>100.03561101581576</v>
      </c>
    </row>
    <row r="1766" spans="1:31" x14ac:dyDescent="0.45">
      <c r="A1766" t="s">
        <v>2939</v>
      </c>
      <c r="B1766" t="s">
        <v>110</v>
      </c>
      <c r="C1766" t="s">
        <v>2522</v>
      </c>
      <c r="D1766">
        <v>2</v>
      </c>
      <c r="E1766" t="s">
        <v>2940</v>
      </c>
      <c r="L1766" s="43">
        <v>47.016585657660869</v>
      </c>
      <c r="M1766" s="43">
        <v>48.583140104124077</v>
      </c>
      <c r="N1766" s="43">
        <v>50.203203500000001</v>
      </c>
      <c r="O1766" s="43">
        <v>51.878652142999996</v>
      </c>
      <c r="P1766" s="43">
        <v>53.611430083849996</v>
      </c>
      <c r="Q1766" s="43">
        <v>55.403551656613665</v>
      </c>
      <c r="R1766" s="43">
        <v>57.095049615461427</v>
      </c>
      <c r="S1766" s="43">
        <v>58.760601043372631</v>
      </c>
      <c r="T1766" s="43">
        <v>60.481178848453411</v>
      </c>
      <c r="U1766" s="43">
        <v>62.258422369008848</v>
      </c>
      <c r="V1766" s="43">
        <v>64.094036511299521</v>
      </c>
      <c r="W1766" s="43">
        <v>65.989793600870058</v>
      </c>
      <c r="X1766" s="43">
        <v>67.947535333346224</v>
      </c>
      <c r="Y1766" s="43">
        <v>69.969174826986062</v>
      </c>
      <c r="Z1766" s="43">
        <v>72.056698779456639</v>
      </c>
      <c r="AA1766" s="43">
        <v>74.212169731498349</v>
      </c>
      <c r="AB1766" s="43">
        <v>76.437728440330446</v>
      </c>
      <c r="AC1766" s="43">
        <v>78.735596365847528</v>
      </c>
      <c r="AD1766" s="43">
        <v>81.108078272856801</v>
      </c>
      <c r="AE1766" s="43">
        <v>83.557564952810168</v>
      </c>
    </row>
    <row r="1767" spans="1:31" x14ac:dyDescent="0.45">
      <c r="A1767" t="s">
        <v>2941</v>
      </c>
      <c r="B1767" t="s">
        <v>110</v>
      </c>
      <c r="C1767" t="s">
        <v>2522</v>
      </c>
      <c r="D1767">
        <v>2</v>
      </c>
      <c r="E1767" t="s">
        <v>2942</v>
      </c>
      <c r="L1767" s="43">
        <v>0</v>
      </c>
      <c r="M1767" s="43">
        <v>0</v>
      </c>
      <c r="N1767" s="43">
        <v>0</v>
      </c>
      <c r="O1767" s="43">
        <v>0</v>
      </c>
      <c r="P1767" s="43">
        <v>0</v>
      </c>
      <c r="Q1767" s="43">
        <v>0</v>
      </c>
      <c r="R1767" s="43">
        <v>285.47524807730713</v>
      </c>
      <c r="S1767" s="43">
        <v>734.50751304215794</v>
      </c>
      <c r="T1767" s="43">
        <v>1209.6235769690682</v>
      </c>
      <c r="U1767" s="43">
        <v>1712.1066151477435</v>
      </c>
      <c r="V1767" s="43">
        <v>2243.2912778954828</v>
      </c>
      <c r="W1767" s="43">
        <v>2804.566228036977</v>
      </c>
      <c r="X1767" s="43">
        <v>3397.3767666673111</v>
      </c>
      <c r="Y1767" s="43">
        <v>4023.2275525516989</v>
      </c>
      <c r="Z1767" s="43">
        <v>4683.6854206646813</v>
      </c>
      <c r="AA1767" s="43">
        <v>5380.3823055336297</v>
      </c>
      <c r="AB1767" s="43">
        <v>6115.0182752264373</v>
      </c>
      <c r="AC1767" s="43">
        <v>6889.3646820116583</v>
      </c>
      <c r="AD1767" s="43">
        <v>7705.2674359213961</v>
      </c>
      <c r="AE1767" s="43">
        <v>8564.6504076630426</v>
      </c>
    </row>
    <row r="1768" spans="1:31" x14ac:dyDescent="0.45">
      <c r="A1768" t="s">
        <v>2943</v>
      </c>
      <c r="B1768" t="s">
        <v>110</v>
      </c>
      <c r="C1768" t="s">
        <v>2522</v>
      </c>
      <c r="D1768">
        <v>2</v>
      </c>
      <c r="E1768" t="s">
        <v>2944</v>
      </c>
      <c r="L1768" s="43">
        <v>0</v>
      </c>
      <c r="M1768" s="43">
        <v>0</v>
      </c>
      <c r="N1768" s="43">
        <v>0</v>
      </c>
      <c r="O1768" s="43">
        <v>0</v>
      </c>
      <c r="P1768" s="43">
        <v>0</v>
      </c>
      <c r="Q1768" s="43">
        <v>0</v>
      </c>
      <c r="R1768" s="43">
        <v>0</v>
      </c>
      <c r="S1768" s="43">
        <v>0</v>
      </c>
      <c r="T1768" s="43">
        <v>0</v>
      </c>
      <c r="U1768" s="43">
        <v>0</v>
      </c>
      <c r="V1768" s="43">
        <v>0</v>
      </c>
      <c r="W1768" s="43">
        <v>0</v>
      </c>
      <c r="X1768" s="43">
        <v>0</v>
      </c>
      <c r="Y1768" s="43">
        <v>0</v>
      </c>
      <c r="Z1768" s="43">
        <v>0</v>
      </c>
      <c r="AA1768" s="43">
        <v>0</v>
      </c>
      <c r="AB1768" s="43">
        <v>0</v>
      </c>
      <c r="AC1768" s="43">
        <v>0</v>
      </c>
      <c r="AD1768" s="43">
        <v>0</v>
      </c>
      <c r="AE1768" s="43">
        <v>0</v>
      </c>
    </row>
    <row r="1769" spans="1:31" x14ac:dyDescent="0.45">
      <c r="A1769" t="s">
        <v>2945</v>
      </c>
      <c r="B1769" t="s">
        <v>110</v>
      </c>
      <c r="C1769" t="s">
        <v>2522</v>
      </c>
      <c r="D1769">
        <v>2</v>
      </c>
      <c r="E1769" t="s">
        <v>2946</v>
      </c>
      <c r="L1769" s="43">
        <v>0</v>
      </c>
      <c r="M1769" s="43">
        <v>0</v>
      </c>
      <c r="N1769" s="43">
        <v>0</v>
      </c>
      <c r="O1769" s="43">
        <v>0</v>
      </c>
      <c r="P1769" s="43">
        <v>0</v>
      </c>
      <c r="Q1769" s="43">
        <v>0</v>
      </c>
      <c r="R1769" s="43">
        <v>285.47524807730713</v>
      </c>
      <c r="S1769" s="43">
        <v>734.50751304215794</v>
      </c>
      <c r="T1769" s="43">
        <v>1209.6235769690682</v>
      </c>
      <c r="U1769" s="43">
        <v>1712.1066151477435</v>
      </c>
      <c r="V1769" s="43">
        <v>2243.2912778954828</v>
      </c>
      <c r="W1769" s="43">
        <v>2804.566228036977</v>
      </c>
      <c r="X1769" s="43">
        <v>3397.3767666673111</v>
      </c>
      <c r="Y1769" s="43">
        <v>4023.2275525516989</v>
      </c>
      <c r="Z1769" s="43">
        <v>4683.6854206646813</v>
      </c>
      <c r="AA1769" s="43">
        <v>5380.3823055336297</v>
      </c>
      <c r="AB1769" s="43">
        <v>6115.0182752264373</v>
      </c>
      <c r="AC1769" s="43">
        <v>6889.3646820116583</v>
      </c>
      <c r="AD1769" s="43">
        <v>7705.2674359213961</v>
      </c>
      <c r="AE1769" s="43">
        <v>8564.6504076630426</v>
      </c>
    </row>
    <row r="1770" spans="1:31" x14ac:dyDescent="0.45">
      <c r="A1770" t="s">
        <v>2947</v>
      </c>
      <c r="B1770" t="s">
        <v>110</v>
      </c>
      <c r="C1770" t="s">
        <v>2522</v>
      </c>
      <c r="D1770">
        <v>2</v>
      </c>
      <c r="E1770" t="s">
        <v>2948</v>
      </c>
      <c r="L1770" s="43">
        <v>14.019740964534272</v>
      </c>
      <c r="M1770" s="43">
        <v>11.739301230035998</v>
      </c>
      <c r="N1770" s="43">
        <v>13.303124518863104</v>
      </c>
      <c r="O1770" s="43">
        <v>14.156899598427017</v>
      </c>
      <c r="P1770" s="43">
        <v>14.286244741983563</v>
      </c>
      <c r="Q1770" s="43">
        <v>14.694194505017343</v>
      </c>
      <c r="R1770" s="43">
        <v>14.740618977705909</v>
      </c>
      <c r="S1770" s="43">
        <v>14.52878485890464</v>
      </c>
      <c r="T1770" s="43">
        <v>14.322100919094268</v>
      </c>
      <c r="U1770" s="43">
        <v>14.14594392748921</v>
      </c>
      <c r="V1770" s="43">
        <v>13.980466089001904</v>
      </c>
      <c r="W1770" s="43">
        <v>13.848986424483872</v>
      </c>
      <c r="X1770" s="43">
        <v>13.74989567647736</v>
      </c>
      <c r="Y1770" s="43">
        <v>13.683016024281805</v>
      </c>
      <c r="Z1770" s="43">
        <v>13.650438010030964</v>
      </c>
      <c r="AA1770" s="43">
        <v>13.651951259634075</v>
      </c>
      <c r="AB1770" s="43">
        <v>13.686717499710817</v>
      </c>
      <c r="AC1770" s="43">
        <v>13.75180528687531</v>
      </c>
      <c r="AD1770" s="43">
        <v>13.844679557204563</v>
      </c>
      <c r="AE1770" s="43">
        <v>13.96347505464426</v>
      </c>
    </row>
    <row r="1771" spans="1:31" x14ac:dyDescent="0.45">
      <c r="A1771" t="s">
        <v>2949</v>
      </c>
      <c r="B1771" t="s">
        <v>2822</v>
      </c>
      <c r="C1771" t="s">
        <v>2522</v>
      </c>
      <c r="D1771">
        <v>2</v>
      </c>
      <c r="E1771" t="s">
        <v>2823</v>
      </c>
      <c r="L1771" s="43">
        <v>1</v>
      </c>
      <c r="M1771" s="43">
        <v>1</v>
      </c>
      <c r="N1771" s="43">
        <v>1</v>
      </c>
      <c r="O1771" s="43">
        <v>1</v>
      </c>
      <c r="P1771" s="43">
        <v>1</v>
      </c>
      <c r="Q1771" s="43">
        <v>1</v>
      </c>
      <c r="R1771" s="43">
        <v>1</v>
      </c>
      <c r="S1771" s="43">
        <v>1</v>
      </c>
      <c r="T1771" s="43">
        <v>1</v>
      </c>
      <c r="U1771" s="43">
        <v>1</v>
      </c>
      <c r="V1771" s="43">
        <v>1</v>
      </c>
      <c r="W1771" s="43">
        <v>1</v>
      </c>
      <c r="X1771" s="43">
        <v>1</v>
      </c>
      <c r="Y1771" s="43">
        <v>1</v>
      </c>
      <c r="Z1771" s="43">
        <v>1</v>
      </c>
      <c r="AA1771" s="43">
        <v>1</v>
      </c>
      <c r="AB1771" s="43">
        <v>1</v>
      </c>
      <c r="AC1771" s="43">
        <v>1</v>
      </c>
      <c r="AD1771" s="43">
        <v>1</v>
      </c>
      <c r="AE1771" s="43">
        <v>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Settings</vt:lpstr>
      <vt:lpstr>Manual inputs</vt:lpstr>
      <vt:lpstr>Scenarios</vt:lpstr>
      <vt:lpstr>Mitigation_Industry</vt:lpstr>
      <vt:lpstr>Emissions_Industry</vt:lpstr>
      <vt:lpstr>Rebate_Industry</vt:lpstr>
      <vt:lpstr>Fund_Industry</vt:lpstr>
      <vt:lpstr>MTInputs</vt:lpstr>
      <vt:lpstr>Data_Energy</vt:lpstr>
      <vt:lpstr>Data_Prices</vt:lpstr>
      <vt:lpstr>Data_Macro</vt:lpstr>
      <vt:lpstr>Data_Elast</vt:lpstr>
      <vt:lpstr>Data_EF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 John Stretton</cp:lastModifiedBy>
  <cp:revision>0</cp:revision>
  <dcterms:created xsi:type="dcterms:W3CDTF">2026-10-01T19:36:19Z</dcterms:created>
  <dcterms:modified xsi:type="dcterms:W3CDTF">2026-10-02T21:53:51Z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2026-10-02T18:51:18Z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a865109e-cdb1-4e6b-9545-8651e9fc50a6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